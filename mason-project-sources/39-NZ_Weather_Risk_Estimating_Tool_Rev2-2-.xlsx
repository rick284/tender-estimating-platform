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ck2\Downloads\"/>
    </mc:Choice>
  </mc:AlternateContent>
  <xr:revisionPtr revIDLastSave="0" documentId="13_ncr:1_{DC799654-3B7B-4397-952D-07D31D933FB2}" xr6:coauthVersionLast="47" xr6:coauthVersionMax="47" xr10:uidLastSave="{00000000-0000-0000-0000-000000000000}"/>
  <bookViews>
    <workbookView xWindow="1476" yWindow="7452" windowWidth="26004" windowHeight="16296" xr2:uid="{00000000-000D-0000-FFFF-FFFF00000000}"/>
  </bookViews>
  <sheets>
    <sheet name="Estimator" sheetId="1" r:id="rId1"/>
    <sheet name="Activity Allowances" sheetId="2" r:id="rId2"/>
    <sheet name="Task Library" sheetId="3" r:id="rId3"/>
    <sheet name="Climate Data" sheetId="4" r:id="rId4"/>
    <sheet name="Station Register" sheetId="5" r:id="rId5"/>
    <sheet name="Wind Proxy" sheetId="6" r:id="rId6"/>
    <sheet name="Weather Log" sheetId="7" r:id="rId7"/>
    <sheet name="Calibration Summary" sheetId="8" r:id="rId8"/>
    <sheet name="Calculation Audit" sheetId="9" r:id="rId9"/>
    <sheet name="Source Register" sheetId="10" r:id="rId10"/>
    <sheet name="Date Engin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850" i="11" l="1"/>
  <c r="G5849" i="11"/>
  <c r="G5848" i="11"/>
  <c r="G5847" i="11"/>
  <c r="G5846" i="11"/>
  <c r="G5845" i="11"/>
  <c r="G5844" i="11"/>
  <c r="G5843" i="11"/>
  <c r="G5842" i="11"/>
  <c r="G5841" i="11"/>
  <c r="G5840" i="11"/>
  <c r="G5839" i="11"/>
  <c r="G5838" i="11"/>
  <c r="G5837" i="11"/>
  <c r="G5836" i="11"/>
  <c r="G5835" i="11"/>
  <c r="G5834" i="11"/>
  <c r="G5833" i="11"/>
  <c r="G5832" i="11"/>
  <c r="G5831" i="11"/>
  <c r="G5830" i="11"/>
  <c r="G5829" i="11"/>
  <c r="G5828" i="11"/>
  <c r="G5827" i="11"/>
  <c r="G5826" i="11"/>
  <c r="G5825" i="11"/>
  <c r="G5824" i="11"/>
  <c r="G5823" i="11"/>
  <c r="G5822" i="11"/>
  <c r="G5821" i="11"/>
  <c r="G5820" i="11"/>
  <c r="G5819" i="11"/>
  <c r="G5818" i="11"/>
  <c r="G5817" i="11"/>
  <c r="G5816" i="11"/>
  <c r="G5815" i="11"/>
  <c r="G5814" i="11"/>
  <c r="G5813" i="11"/>
  <c r="G5812" i="11"/>
  <c r="G5811" i="11"/>
  <c r="G5810" i="11"/>
  <c r="G5809" i="11"/>
  <c r="G5808" i="11"/>
  <c r="G5807" i="11"/>
  <c r="G5806" i="11"/>
  <c r="G5805" i="11"/>
  <c r="G5804" i="11"/>
  <c r="G5803" i="11"/>
  <c r="G5802" i="11"/>
  <c r="G5801" i="11"/>
  <c r="G5800" i="11"/>
  <c r="G5799" i="11"/>
  <c r="G5798" i="11"/>
  <c r="G5797" i="11"/>
  <c r="G5796" i="11"/>
  <c r="G5795" i="11"/>
  <c r="G5794" i="11"/>
  <c r="G5793" i="11"/>
  <c r="G5792" i="11"/>
  <c r="G5791" i="11"/>
  <c r="G5790" i="11"/>
  <c r="G5789" i="11"/>
  <c r="G5788" i="11"/>
  <c r="G5787" i="11"/>
  <c r="G5786" i="11"/>
  <c r="G5785" i="11"/>
  <c r="G5784" i="11"/>
  <c r="G5783" i="11"/>
  <c r="G5782" i="11"/>
  <c r="G5781" i="11"/>
  <c r="G5780" i="11"/>
  <c r="G5779" i="11"/>
  <c r="G5778" i="11"/>
  <c r="G5777" i="11"/>
  <c r="G5776" i="11"/>
  <c r="G5775" i="11"/>
  <c r="G5774" i="11"/>
  <c r="G5773" i="11"/>
  <c r="G5772" i="11"/>
  <c r="G5771" i="11"/>
  <c r="G5770" i="11"/>
  <c r="G5769" i="11"/>
  <c r="G5768" i="11"/>
  <c r="G5767" i="11"/>
  <c r="G5766" i="11"/>
  <c r="G5765" i="11"/>
  <c r="G5764" i="11"/>
  <c r="G5763" i="11"/>
  <c r="G5762" i="11"/>
  <c r="G5761" i="11"/>
  <c r="G5760" i="11"/>
  <c r="G5759" i="11"/>
  <c r="G5758" i="11"/>
  <c r="G5757" i="11"/>
  <c r="G5756" i="11"/>
  <c r="G5755" i="11"/>
  <c r="G5754" i="11"/>
  <c r="G5753" i="11"/>
  <c r="G5752" i="11"/>
  <c r="G5751" i="11"/>
  <c r="G5750" i="11"/>
  <c r="G5749" i="11"/>
  <c r="G5748" i="11"/>
  <c r="G5747" i="11"/>
  <c r="G5746" i="11"/>
  <c r="G5745" i="11"/>
  <c r="G5744" i="11"/>
  <c r="G5743" i="11"/>
  <c r="G5742" i="11"/>
  <c r="G5741" i="11"/>
  <c r="G5740" i="11"/>
  <c r="G5739" i="11"/>
  <c r="G5738" i="11"/>
  <c r="G5737" i="11"/>
  <c r="G5736" i="11"/>
  <c r="G5735" i="11"/>
  <c r="G5734" i="11"/>
  <c r="G5733" i="11"/>
  <c r="G5732" i="11"/>
  <c r="G5731" i="11"/>
  <c r="G5730" i="11"/>
  <c r="G5729" i="11"/>
  <c r="G5728" i="11"/>
  <c r="G5727" i="11"/>
  <c r="G5726" i="11"/>
  <c r="G5725" i="11"/>
  <c r="G5724" i="11"/>
  <c r="G5723" i="11"/>
  <c r="G5722" i="11"/>
  <c r="G5721" i="11"/>
  <c r="G5720" i="11"/>
  <c r="G5719" i="11"/>
  <c r="G5718" i="11"/>
  <c r="G5717" i="11"/>
  <c r="G5716" i="11"/>
  <c r="G5715" i="11"/>
  <c r="G5714" i="11"/>
  <c r="G5713" i="11"/>
  <c r="G5712" i="11"/>
  <c r="G5711" i="11"/>
  <c r="G5710" i="11"/>
  <c r="G5709" i="11"/>
  <c r="G5708" i="11"/>
  <c r="G5707" i="11"/>
  <c r="G5706" i="11"/>
  <c r="G5705" i="11"/>
  <c r="G5704" i="11"/>
  <c r="G5703" i="11"/>
  <c r="G5702" i="11"/>
  <c r="G5701" i="11"/>
  <c r="G5700" i="11"/>
  <c r="G5699" i="11"/>
  <c r="G5698" i="11"/>
  <c r="G5697" i="11"/>
  <c r="G5696" i="11"/>
  <c r="G5695" i="11"/>
  <c r="G5694" i="11"/>
  <c r="G5693" i="11"/>
  <c r="G5692" i="11"/>
  <c r="G5691" i="11"/>
  <c r="G5690" i="11"/>
  <c r="G5689" i="11"/>
  <c r="G5688" i="11"/>
  <c r="G5687" i="11"/>
  <c r="G5686" i="11"/>
  <c r="G5685" i="11"/>
  <c r="G5684" i="11"/>
  <c r="G5683" i="11"/>
  <c r="G5682" i="11"/>
  <c r="G5681" i="11"/>
  <c r="G5680" i="11"/>
  <c r="G5679" i="11"/>
  <c r="G5678" i="11"/>
  <c r="G5677" i="11"/>
  <c r="G5676" i="11"/>
  <c r="G5675" i="11"/>
  <c r="G5674" i="11"/>
  <c r="G5673" i="11"/>
  <c r="G5672" i="11"/>
  <c r="G5671" i="11"/>
  <c r="G5670" i="11"/>
  <c r="G5669" i="11"/>
  <c r="G5668" i="11"/>
  <c r="G5667" i="11"/>
  <c r="G5666" i="11"/>
  <c r="G5665" i="11"/>
  <c r="G5664" i="11"/>
  <c r="G5663" i="11"/>
  <c r="G5662" i="11"/>
  <c r="G5661" i="11"/>
  <c r="G5660" i="11"/>
  <c r="G5659" i="11"/>
  <c r="G5658" i="11"/>
  <c r="G5657" i="11"/>
  <c r="G5656" i="11"/>
  <c r="G5655" i="11"/>
  <c r="G5654" i="11"/>
  <c r="G5653" i="11"/>
  <c r="G5652" i="11"/>
  <c r="G5651" i="11"/>
  <c r="G5650" i="11"/>
  <c r="G5649" i="11"/>
  <c r="G5648" i="11"/>
  <c r="G5647" i="11"/>
  <c r="G5646" i="11"/>
  <c r="G5645" i="11"/>
  <c r="G5644" i="11"/>
  <c r="G5643" i="11"/>
  <c r="G5642" i="11"/>
  <c r="G5641" i="11"/>
  <c r="G5640" i="11"/>
  <c r="G5639" i="11"/>
  <c r="G5638" i="11"/>
  <c r="G5637" i="11"/>
  <c r="G5636" i="11"/>
  <c r="G5635" i="11"/>
  <c r="G5634" i="11"/>
  <c r="G5633" i="11"/>
  <c r="G5632" i="11"/>
  <c r="G5631" i="11"/>
  <c r="G5630" i="11"/>
  <c r="G5629" i="11"/>
  <c r="G5628" i="11"/>
  <c r="G5627" i="11"/>
  <c r="G5626" i="11"/>
  <c r="G5625" i="11"/>
  <c r="G5624" i="11"/>
  <c r="G5623" i="11"/>
  <c r="G5622" i="11"/>
  <c r="G5621" i="11"/>
  <c r="G5620" i="11"/>
  <c r="G5619" i="11"/>
  <c r="G5618" i="11"/>
  <c r="G5617" i="11"/>
  <c r="G5616" i="11"/>
  <c r="G5615" i="11"/>
  <c r="G5614" i="11"/>
  <c r="G5613" i="11"/>
  <c r="G5612" i="11"/>
  <c r="G5611" i="11"/>
  <c r="G5610" i="11"/>
  <c r="G5609" i="11"/>
  <c r="G5608" i="11"/>
  <c r="G5607" i="11"/>
  <c r="G5606" i="11"/>
  <c r="G5605" i="11"/>
  <c r="G5604" i="11"/>
  <c r="G5603" i="11"/>
  <c r="G5602" i="11"/>
  <c r="G5601" i="11"/>
  <c r="G5600" i="11"/>
  <c r="G5599" i="11"/>
  <c r="G5598" i="11"/>
  <c r="G5597" i="11"/>
  <c r="G5596" i="11"/>
  <c r="G5595" i="11"/>
  <c r="G5594" i="11"/>
  <c r="G5593" i="11"/>
  <c r="G5592" i="11"/>
  <c r="G5591" i="11"/>
  <c r="G5590" i="11"/>
  <c r="G5589" i="11"/>
  <c r="G5588" i="11"/>
  <c r="G5587" i="11"/>
  <c r="G5586" i="11"/>
  <c r="G5585" i="11"/>
  <c r="G5584" i="11"/>
  <c r="G5583" i="11"/>
  <c r="G5582" i="11"/>
  <c r="G5581" i="11"/>
  <c r="G5580" i="11"/>
  <c r="G5579" i="11"/>
  <c r="G5578" i="11"/>
  <c r="G5577" i="11"/>
  <c r="G5576" i="11"/>
  <c r="G5575" i="11"/>
  <c r="G5574" i="11"/>
  <c r="G5573" i="11"/>
  <c r="G5572" i="11"/>
  <c r="G5571" i="11"/>
  <c r="G5570" i="11"/>
  <c r="G5569" i="11"/>
  <c r="G5568" i="11"/>
  <c r="G5567" i="11"/>
  <c r="G5566" i="11"/>
  <c r="G5565" i="11"/>
  <c r="G5564" i="11"/>
  <c r="G5563" i="11"/>
  <c r="G5562" i="11"/>
  <c r="G5561" i="11"/>
  <c r="G5560" i="11"/>
  <c r="G5559" i="11"/>
  <c r="G5558" i="11"/>
  <c r="G5557" i="11"/>
  <c r="G5556" i="11"/>
  <c r="G5555" i="11"/>
  <c r="G5554" i="11"/>
  <c r="G5553" i="11"/>
  <c r="G5552" i="11"/>
  <c r="G5551" i="11"/>
  <c r="G5550" i="11"/>
  <c r="G5549" i="11"/>
  <c r="G5548" i="11"/>
  <c r="G5547" i="11"/>
  <c r="G5546" i="11"/>
  <c r="G5545" i="11"/>
  <c r="G5544" i="11"/>
  <c r="G5543" i="11"/>
  <c r="G5542" i="11"/>
  <c r="G5541" i="11"/>
  <c r="G5540" i="11"/>
  <c r="G5539" i="11"/>
  <c r="G5538" i="11"/>
  <c r="G5537" i="11"/>
  <c r="G5536" i="11"/>
  <c r="G5535" i="11"/>
  <c r="G5534" i="11"/>
  <c r="G5533" i="11"/>
  <c r="G5532" i="11"/>
  <c r="G5531" i="11"/>
  <c r="G5530" i="11"/>
  <c r="G5529" i="11"/>
  <c r="G5528" i="11"/>
  <c r="G5527" i="11"/>
  <c r="G5526" i="11"/>
  <c r="G5525" i="11"/>
  <c r="G5524" i="11"/>
  <c r="G5523" i="11"/>
  <c r="G5522" i="11"/>
  <c r="G5521" i="11"/>
  <c r="G5520" i="11"/>
  <c r="G5519" i="11"/>
  <c r="G5518" i="11"/>
  <c r="G5517" i="11"/>
  <c r="G5516" i="11"/>
  <c r="G5515" i="11"/>
  <c r="G5514" i="11"/>
  <c r="G5513" i="11"/>
  <c r="G5512" i="11"/>
  <c r="G5511" i="11"/>
  <c r="G5510" i="11"/>
  <c r="G5509" i="11"/>
  <c r="G5508" i="11"/>
  <c r="G5507" i="11"/>
  <c r="G5506" i="11"/>
  <c r="G5505" i="11"/>
  <c r="G5504" i="11"/>
  <c r="G5503" i="11"/>
  <c r="G5502" i="11"/>
  <c r="G5501" i="11"/>
  <c r="G5500" i="11"/>
  <c r="G5499" i="11"/>
  <c r="G5498" i="11"/>
  <c r="G5497" i="11"/>
  <c r="G5496" i="11"/>
  <c r="G5495" i="11"/>
  <c r="G5494" i="11"/>
  <c r="G5493" i="11"/>
  <c r="G5492" i="11"/>
  <c r="G5491" i="11"/>
  <c r="G5490" i="11"/>
  <c r="G5489" i="11"/>
  <c r="G5488" i="11"/>
  <c r="G5487" i="11"/>
  <c r="G5486" i="11"/>
  <c r="G5485" i="11"/>
  <c r="G5484" i="11"/>
  <c r="G5483" i="11"/>
  <c r="G5482" i="11"/>
  <c r="G5481" i="11"/>
  <c r="G5480" i="11"/>
  <c r="G5479" i="11"/>
  <c r="G5478" i="11"/>
  <c r="G5477" i="11"/>
  <c r="G5476" i="11"/>
  <c r="G5475" i="11"/>
  <c r="G5474" i="11"/>
  <c r="G5473" i="11"/>
  <c r="G5472" i="11"/>
  <c r="G5471" i="11"/>
  <c r="G5470" i="11"/>
  <c r="G5469" i="11"/>
  <c r="G5468" i="11"/>
  <c r="G5467" i="11"/>
  <c r="G5466" i="11"/>
  <c r="G5465" i="11"/>
  <c r="G5464" i="11"/>
  <c r="G5463" i="11"/>
  <c r="G5462" i="11"/>
  <c r="G5461" i="11"/>
  <c r="G5460" i="11"/>
  <c r="G5459" i="11"/>
  <c r="G5458" i="11"/>
  <c r="G5457" i="11"/>
  <c r="G5456" i="11"/>
  <c r="G5455" i="11"/>
  <c r="G5454" i="11"/>
  <c r="G5453" i="11"/>
  <c r="G5452" i="11"/>
  <c r="G5451" i="11"/>
  <c r="G5450" i="11"/>
  <c r="G5449" i="11"/>
  <c r="G5448" i="11"/>
  <c r="G5447" i="11"/>
  <c r="G5446" i="11"/>
  <c r="G5445" i="11"/>
  <c r="G5444" i="11"/>
  <c r="G5443" i="11"/>
  <c r="G5442" i="11"/>
  <c r="G5441" i="11"/>
  <c r="G5440" i="11"/>
  <c r="G5439" i="11"/>
  <c r="G5438" i="11"/>
  <c r="G5437" i="11"/>
  <c r="G5436" i="11"/>
  <c r="G5435" i="11"/>
  <c r="G5434" i="11"/>
  <c r="G5433" i="11"/>
  <c r="G5432" i="11"/>
  <c r="G5431" i="11"/>
  <c r="G5430" i="11"/>
  <c r="G5429" i="11"/>
  <c r="G5428" i="11"/>
  <c r="G5427" i="11"/>
  <c r="G5426" i="11"/>
  <c r="G5425" i="11"/>
  <c r="G5424" i="11"/>
  <c r="G5423" i="11"/>
  <c r="G5422" i="11"/>
  <c r="G5421" i="11"/>
  <c r="G5420" i="11"/>
  <c r="G5419" i="11"/>
  <c r="G5418" i="11"/>
  <c r="G5417" i="11"/>
  <c r="G5416" i="11"/>
  <c r="G5415" i="11"/>
  <c r="G5414" i="11"/>
  <c r="G5413" i="11"/>
  <c r="G5412" i="11"/>
  <c r="G5411" i="11"/>
  <c r="G5410" i="11"/>
  <c r="G5409" i="11"/>
  <c r="G5408" i="11"/>
  <c r="G5407" i="11"/>
  <c r="G5406" i="11"/>
  <c r="G5405" i="11"/>
  <c r="G5404" i="11"/>
  <c r="G5403" i="11"/>
  <c r="G5402" i="11"/>
  <c r="G5401" i="11"/>
  <c r="G5400" i="11"/>
  <c r="G5399" i="11"/>
  <c r="G5398" i="11"/>
  <c r="G5397" i="11"/>
  <c r="G5396" i="11"/>
  <c r="G5395" i="11"/>
  <c r="G5394" i="11"/>
  <c r="G5393" i="11"/>
  <c r="G5392" i="11"/>
  <c r="G5391" i="11"/>
  <c r="G5390" i="11"/>
  <c r="G5389" i="11"/>
  <c r="G5388" i="11"/>
  <c r="G5387" i="11"/>
  <c r="G5386" i="11"/>
  <c r="G5385" i="11"/>
  <c r="G5384" i="11"/>
  <c r="G5383" i="11"/>
  <c r="G5382" i="11"/>
  <c r="G5381" i="11"/>
  <c r="G5380" i="11"/>
  <c r="G5379" i="11"/>
  <c r="G5378" i="11"/>
  <c r="G5377" i="11"/>
  <c r="G5376" i="11"/>
  <c r="G5375" i="11"/>
  <c r="G5374" i="11"/>
  <c r="G5373" i="11"/>
  <c r="G5372" i="11"/>
  <c r="G5371" i="11"/>
  <c r="G5370" i="11"/>
  <c r="G5369" i="11"/>
  <c r="G5368" i="11"/>
  <c r="G5367" i="11"/>
  <c r="G5366" i="11"/>
  <c r="G5365" i="11"/>
  <c r="G5364" i="11"/>
  <c r="G5363" i="11"/>
  <c r="G5362" i="11"/>
  <c r="G5361" i="11"/>
  <c r="G5360" i="11"/>
  <c r="G5359" i="11"/>
  <c r="G5358" i="11"/>
  <c r="G5357" i="11"/>
  <c r="G5356" i="11"/>
  <c r="G5355" i="11"/>
  <c r="G5354" i="11"/>
  <c r="G5353" i="11"/>
  <c r="G5352" i="11"/>
  <c r="G5351" i="11"/>
  <c r="G5350" i="11"/>
  <c r="G5349" i="11"/>
  <c r="G5348" i="11"/>
  <c r="G5347" i="11"/>
  <c r="G5346" i="11"/>
  <c r="G5345" i="11"/>
  <c r="G5344" i="11"/>
  <c r="G5343" i="11"/>
  <c r="G5342" i="11"/>
  <c r="G5341" i="11"/>
  <c r="G5340" i="11"/>
  <c r="G5339" i="11"/>
  <c r="G5338" i="11"/>
  <c r="G5337" i="11"/>
  <c r="G5336" i="11"/>
  <c r="G5335" i="11"/>
  <c r="G5334" i="11"/>
  <c r="G5333" i="11"/>
  <c r="G5332" i="11"/>
  <c r="G5331" i="11"/>
  <c r="G5330" i="11"/>
  <c r="G5329" i="11"/>
  <c r="G5328" i="11"/>
  <c r="G5327" i="11"/>
  <c r="G5326" i="11"/>
  <c r="G5325" i="11"/>
  <c r="G5324" i="11"/>
  <c r="G5323" i="11"/>
  <c r="G5322" i="11"/>
  <c r="G5321" i="11"/>
  <c r="G5320" i="11"/>
  <c r="G5319" i="11"/>
  <c r="G5318" i="11"/>
  <c r="G5317" i="11"/>
  <c r="G5316" i="11"/>
  <c r="G5315" i="11"/>
  <c r="G5314" i="11"/>
  <c r="G5313" i="11"/>
  <c r="G5312" i="11"/>
  <c r="G5311" i="11"/>
  <c r="G5310" i="11"/>
  <c r="G5309" i="11"/>
  <c r="G5308" i="11"/>
  <c r="G5307" i="11"/>
  <c r="G5306" i="11"/>
  <c r="G5305" i="11"/>
  <c r="G5304" i="11"/>
  <c r="G5303" i="11"/>
  <c r="G5302" i="11"/>
  <c r="G5301" i="11"/>
  <c r="G5300" i="11"/>
  <c r="G5299" i="11"/>
  <c r="G5298" i="11"/>
  <c r="G5297" i="11"/>
  <c r="G5296" i="11"/>
  <c r="G5295" i="11"/>
  <c r="G5294" i="11"/>
  <c r="G5293" i="11"/>
  <c r="G5292" i="11"/>
  <c r="G5291" i="11"/>
  <c r="G5290" i="11"/>
  <c r="G5289" i="11"/>
  <c r="G5288" i="11"/>
  <c r="G5287" i="11"/>
  <c r="G5286" i="11"/>
  <c r="G5285" i="11"/>
  <c r="G5284" i="11"/>
  <c r="G5283" i="11"/>
  <c r="G5282" i="11"/>
  <c r="G5281" i="11"/>
  <c r="G5280" i="11"/>
  <c r="G5279" i="11"/>
  <c r="G5278" i="11"/>
  <c r="G5277" i="11"/>
  <c r="G5276" i="11"/>
  <c r="G5275" i="11"/>
  <c r="G5274" i="11"/>
  <c r="G5273" i="11"/>
  <c r="G5272" i="11"/>
  <c r="G5271" i="11"/>
  <c r="G5270" i="11"/>
  <c r="G5269" i="11"/>
  <c r="G5268" i="11"/>
  <c r="G5267" i="11"/>
  <c r="G5266" i="11"/>
  <c r="G5265" i="11"/>
  <c r="G5264" i="11"/>
  <c r="G5263" i="11"/>
  <c r="G5262" i="11"/>
  <c r="G5261" i="11"/>
  <c r="G5260" i="11"/>
  <c r="G5259" i="11"/>
  <c r="G5258" i="11"/>
  <c r="G5257" i="11"/>
  <c r="G5256" i="11"/>
  <c r="G5255" i="11"/>
  <c r="G5254" i="11"/>
  <c r="G5253" i="11"/>
  <c r="G5252" i="11"/>
  <c r="G5251" i="11"/>
  <c r="G5250" i="11"/>
  <c r="G5249" i="11"/>
  <c r="G5248" i="11"/>
  <c r="G5247" i="11"/>
  <c r="G5246" i="11"/>
  <c r="G5245" i="11"/>
  <c r="G5244" i="11"/>
  <c r="G5243" i="11"/>
  <c r="G5242" i="11"/>
  <c r="G5241" i="11"/>
  <c r="G5240" i="11"/>
  <c r="G5239" i="11"/>
  <c r="G5238" i="11"/>
  <c r="G5237" i="11"/>
  <c r="G5236" i="11"/>
  <c r="G5235" i="11"/>
  <c r="G5234" i="11"/>
  <c r="G5233" i="11"/>
  <c r="G5232" i="11"/>
  <c r="G5231" i="11"/>
  <c r="G5230" i="11"/>
  <c r="G5229" i="11"/>
  <c r="G5228" i="11"/>
  <c r="G5227" i="11"/>
  <c r="G5226" i="11"/>
  <c r="G5225" i="11"/>
  <c r="G5224" i="11"/>
  <c r="G5223" i="11"/>
  <c r="G5222" i="11"/>
  <c r="G5221" i="11"/>
  <c r="G5220" i="11"/>
  <c r="G5219" i="11"/>
  <c r="G5218" i="11"/>
  <c r="G5217" i="11"/>
  <c r="G5216" i="11"/>
  <c r="G5215" i="11"/>
  <c r="G5214" i="11"/>
  <c r="G5213" i="11"/>
  <c r="G5212" i="11"/>
  <c r="G5211" i="11"/>
  <c r="G5210" i="11"/>
  <c r="G5209" i="11"/>
  <c r="G5208" i="11"/>
  <c r="G5207" i="11"/>
  <c r="G5206" i="11"/>
  <c r="G5205" i="11"/>
  <c r="G5204" i="11"/>
  <c r="G5203" i="11"/>
  <c r="G5202" i="11"/>
  <c r="G5201" i="11"/>
  <c r="G5200" i="11"/>
  <c r="G5199" i="11"/>
  <c r="G5198" i="11"/>
  <c r="G5197" i="11"/>
  <c r="G5196" i="11"/>
  <c r="G5195" i="11"/>
  <c r="G5194" i="11"/>
  <c r="G5193" i="11"/>
  <c r="G5192" i="11"/>
  <c r="G5191" i="11"/>
  <c r="G5190" i="11"/>
  <c r="G5189" i="11"/>
  <c r="G5188" i="11"/>
  <c r="G5187" i="11"/>
  <c r="G5186" i="11"/>
  <c r="G5185" i="11"/>
  <c r="G5184" i="11"/>
  <c r="G5183" i="11"/>
  <c r="G5182" i="11"/>
  <c r="G5181" i="11"/>
  <c r="G5180" i="11"/>
  <c r="G5179" i="11"/>
  <c r="G5178" i="11"/>
  <c r="G5177" i="11"/>
  <c r="G5176" i="11"/>
  <c r="G5175" i="11"/>
  <c r="G5174" i="11"/>
  <c r="G5173" i="11"/>
  <c r="G5172" i="11"/>
  <c r="G5171" i="11"/>
  <c r="G5170" i="11"/>
  <c r="G5169" i="11"/>
  <c r="G5168" i="11"/>
  <c r="G5167" i="11"/>
  <c r="G5166" i="11"/>
  <c r="G5165" i="11"/>
  <c r="G5164" i="11"/>
  <c r="G5163" i="11"/>
  <c r="G5162" i="11"/>
  <c r="G5161" i="11"/>
  <c r="G5160" i="11"/>
  <c r="G5159" i="11"/>
  <c r="G5158" i="11"/>
  <c r="G5157" i="11"/>
  <c r="G5156" i="11"/>
  <c r="G5155" i="11"/>
  <c r="G5154" i="11"/>
  <c r="G5153" i="11"/>
  <c r="G5152" i="11"/>
  <c r="G5151" i="11"/>
  <c r="G5150" i="11"/>
  <c r="G5149" i="11"/>
  <c r="G5148" i="11"/>
  <c r="G5147" i="11"/>
  <c r="G5146" i="11"/>
  <c r="G5145" i="11"/>
  <c r="G5144" i="11"/>
  <c r="G5143" i="11"/>
  <c r="G5142" i="11"/>
  <c r="G5141" i="11"/>
  <c r="G5140" i="11"/>
  <c r="G5139" i="11"/>
  <c r="G5138" i="11"/>
  <c r="G5137" i="11"/>
  <c r="G5136" i="11"/>
  <c r="G5135" i="11"/>
  <c r="G5134" i="11"/>
  <c r="G5133" i="11"/>
  <c r="G5132" i="11"/>
  <c r="G5131" i="11"/>
  <c r="G5130" i="11"/>
  <c r="G5129" i="11"/>
  <c r="G5128" i="11"/>
  <c r="G5127" i="11"/>
  <c r="G5126" i="11"/>
  <c r="G5125" i="11"/>
  <c r="G5124" i="11"/>
  <c r="G5123" i="11"/>
  <c r="G5122" i="11"/>
  <c r="G5121" i="11"/>
  <c r="G5120" i="11"/>
  <c r="G5119" i="11"/>
  <c r="G5118" i="11"/>
  <c r="G5117" i="11"/>
  <c r="G5116" i="11"/>
  <c r="G5115" i="11"/>
  <c r="G5114" i="11"/>
  <c r="G5113" i="11"/>
  <c r="G5112" i="11"/>
  <c r="G5111" i="11"/>
  <c r="G5110" i="11"/>
  <c r="G5109" i="11"/>
  <c r="G5108" i="11"/>
  <c r="G5107" i="11"/>
  <c r="G5106" i="11"/>
  <c r="G5105" i="11"/>
  <c r="G5104" i="11"/>
  <c r="G5103" i="11"/>
  <c r="G5102" i="11"/>
  <c r="G5101" i="11"/>
  <c r="G5100" i="11"/>
  <c r="G5099" i="11"/>
  <c r="G5098" i="11"/>
  <c r="G5097" i="11"/>
  <c r="G5096" i="11"/>
  <c r="G5095" i="11"/>
  <c r="G5094" i="11"/>
  <c r="G5093" i="11"/>
  <c r="G5092" i="11"/>
  <c r="G5091" i="11"/>
  <c r="G5090" i="11"/>
  <c r="G5089" i="11"/>
  <c r="G5088" i="11"/>
  <c r="G5087" i="11"/>
  <c r="G5086" i="11"/>
  <c r="G5085" i="11"/>
  <c r="G5084" i="11"/>
  <c r="G5083" i="11"/>
  <c r="G5082" i="11"/>
  <c r="G5081" i="11"/>
  <c r="G5080" i="11"/>
  <c r="G5079" i="11"/>
  <c r="G5078" i="11"/>
  <c r="G5077" i="11"/>
  <c r="G5076" i="11"/>
  <c r="G5075" i="11"/>
  <c r="G5074" i="11"/>
  <c r="G5073" i="11"/>
  <c r="G5072" i="11"/>
  <c r="G5071" i="11"/>
  <c r="G5070" i="11"/>
  <c r="G5069" i="11"/>
  <c r="G5068" i="11"/>
  <c r="G5067" i="11"/>
  <c r="G5066" i="11"/>
  <c r="G5065" i="11"/>
  <c r="G5064" i="11"/>
  <c r="G5063" i="11"/>
  <c r="G5062" i="11"/>
  <c r="G5061" i="11"/>
  <c r="G5060" i="11"/>
  <c r="G5059" i="11"/>
  <c r="G5058" i="11"/>
  <c r="G5057" i="11"/>
  <c r="G5056" i="11"/>
  <c r="G5055" i="11"/>
  <c r="G5054" i="11"/>
  <c r="G5053" i="11"/>
  <c r="G5052" i="11"/>
  <c r="G5051" i="11"/>
  <c r="G5050" i="11"/>
  <c r="G5049" i="11"/>
  <c r="G5048" i="11"/>
  <c r="G5047" i="11"/>
  <c r="G5046" i="11"/>
  <c r="G5045" i="11"/>
  <c r="G5044" i="11"/>
  <c r="G5043" i="11"/>
  <c r="G5042" i="11"/>
  <c r="G5041" i="11"/>
  <c r="G5040" i="11"/>
  <c r="G5039" i="11"/>
  <c r="G5038" i="11"/>
  <c r="G5037" i="11"/>
  <c r="G5036" i="11"/>
  <c r="G5035" i="11"/>
  <c r="G5034" i="11"/>
  <c r="G5033" i="11"/>
  <c r="G5032" i="11"/>
  <c r="G5031" i="11"/>
  <c r="G5030" i="11"/>
  <c r="G5029" i="11"/>
  <c r="G5028" i="11"/>
  <c r="G5027" i="11"/>
  <c r="G5026" i="11"/>
  <c r="G5025" i="11"/>
  <c r="G5024" i="11"/>
  <c r="G5023" i="11"/>
  <c r="G5022" i="11"/>
  <c r="G5021" i="11"/>
  <c r="G5020" i="11"/>
  <c r="G5019" i="11"/>
  <c r="G5018" i="11"/>
  <c r="G5017" i="11"/>
  <c r="G5016" i="11"/>
  <c r="G5015" i="11"/>
  <c r="G5014" i="11"/>
  <c r="G5013" i="11"/>
  <c r="G5012" i="11"/>
  <c r="G5011" i="11"/>
  <c r="G5010" i="11"/>
  <c r="G5009" i="11"/>
  <c r="G5008" i="11"/>
  <c r="G5007" i="11"/>
  <c r="G5006" i="11"/>
  <c r="G5005" i="11"/>
  <c r="G5004" i="11"/>
  <c r="G5003" i="11"/>
  <c r="G5002" i="11"/>
  <c r="G5001" i="11"/>
  <c r="G5000" i="11"/>
  <c r="G4999" i="11"/>
  <c r="G4998" i="11"/>
  <c r="G4997" i="11"/>
  <c r="G4996" i="11"/>
  <c r="G4995" i="11"/>
  <c r="G4994" i="11"/>
  <c r="G4993" i="11"/>
  <c r="G4992" i="11"/>
  <c r="G4991" i="11"/>
  <c r="G4990" i="11"/>
  <c r="G4989" i="11"/>
  <c r="G4988" i="11"/>
  <c r="G4987" i="11"/>
  <c r="G4986" i="11"/>
  <c r="G4985" i="11"/>
  <c r="G4984" i="11"/>
  <c r="G4983" i="11"/>
  <c r="G4982" i="11"/>
  <c r="G4981" i="11"/>
  <c r="G4980" i="11"/>
  <c r="G4979" i="11"/>
  <c r="G4978" i="11"/>
  <c r="G4977" i="11"/>
  <c r="G4976" i="11"/>
  <c r="G4975" i="11"/>
  <c r="G4974" i="11"/>
  <c r="G4973" i="11"/>
  <c r="G4972" i="11"/>
  <c r="G4971" i="11"/>
  <c r="G4970" i="11"/>
  <c r="G4969" i="11"/>
  <c r="G4968" i="11"/>
  <c r="G4967" i="11"/>
  <c r="G4966" i="11"/>
  <c r="G4965" i="11"/>
  <c r="G4964" i="11"/>
  <c r="G4963" i="11"/>
  <c r="G4962" i="11"/>
  <c r="G4961" i="11"/>
  <c r="G4960" i="11"/>
  <c r="G4959" i="11"/>
  <c r="G4958" i="11"/>
  <c r="G4957" i="11"/>
  <c r="G4956" i="11"/>
  <c r="G4955" i="11"/>
  <c r="G4954" i="11"/>
  <c r="G4953" i="11"/>
  <c r="G4952" i="11"/>
  <c r="G4951" i="11"/>
  <c r="G4950" i="11"/>
  <c r="G4949" i="11"/>
  <c r="G4948" i="11"/>
  <c r="G4947" i="11"/>
  <c r="G4946" i="11"/>
  <c r="G4945" i="11"/>
  <c r="G4944" i="11"/>
  <c r="G4943" i="11"/>
  <c r="G4942" i="11"/>
  <c r="G4941" i="11"/>
  <c r="G4940" i="11"/>
  <c r="G4939" i="11"/>
  <c r="G4938" i="11"/>
  <c r="G4937" i="11"/>
  <c r="G4936" i="11"/>
  <c r="G4935" i="11"/>
  <c r="G4934" i="11"/>
  <c r="G4933" i="11"/>
  <c r="G4932" i="11"/>
  <c r="G4931" i="11"/>
  <c r="G4930" i="11"/>
  <c r="G4929" i="11"/>
  <c r="G4928" i="11"/>
  <c r="G4927" i="11"/>
  <c r="G4926" i="11"/>
  <c r="G4925" i="11"/>
  <c r="G4924" i="11"/>
  <c r="G4923" i="11"/>
  <c r="G4922" i="11"/>
  <c r="G4921" i="11"/>
  <c r="G4920" i="11"/>
  <c r="G4919" i="11"/>
  <c r="G4918" i="11"/>
  <c r="G4917" i="11"/>
  <c r="G4916" i="11"/>
  <c r="G4915" i="11"/>
  <c r="G4914" i="11"/>
  <c r="G4913" i="11"/>
  <c r="G4912" i="11"/>
  <c r="G4911" i="11"/>
  <c r="G4910" i="11"/>
  <c r="G4909" i="11"/>
  <c r="G4908" i="11"/>
  <c r="G4907" i="11"/>
  <c r="G4906" i="11"/>
  <c r="G4905" i="11"/>
  <c r="G4904" i="11"/>
  <c r="G4903" i="11"/>
  <c r="G4902" i="11"/>
  <c r="G4901" i="11"/>
  <c r="G4900" i="11"/>
  <c r="G4899" i="11"/>
  <c r="G4898" i="11"/>
  <c r="G4897" i="11"/>
  <c r="G4896" i="11"/>
  <c r="G4895" i="11"/>
  <c r="G4894" i="11"/>
  <c r="G4893" i="11"/>
  <c r="G4892" i="11"/>
  <c r="G4891" i="11"/>
  <c r="G4890" i="11"/>
  <c r="G4889" i="11"/>
  <c r="G4888" i="11"/>
  <c r="G4887" i="11"/>
  <c r="G4886" i="11"/>
  <c r="G4885" i="11"/>
  <c r="G4884" i="11"/>
  <c r="G4883" i="11"/>
  <c r="G4882" i="11"/>
  <c r="G4881" i="11"/>
  <c r="G4880" i="11"/>
  <c r="G4879" i="11"/>
  <c r="G4878" i="11"/>
  <c r="G4877" i="11"/>
  <c r="G4876" i="11"/>
  <c r="G4875" i="11"/>
  <c r="G4874" i="11"/>
  <c r="G4873" i="11"/>
  <c r="G4872" i="11"/>
  <c r="G4871" i="11"/>
  <c r="G4870" i="11"/>
  <c r="G4869" i="11"/>
  <c r="G4868" i="11"/>
  <c r="G4867" i="11"/>
  <c r="G4866" i="11"/>
  <c r="G4865" i="11"/>
  <c r="G4864" i="11"/>
  <c r="G4863" i="11"/>
  <c r="G4862" i="11"/>
  <c r="G4861" i="11"/>
  <c r="G4860" i="11"/>
  <c r="G4859" i="11"/>
  <c r="G4858" i="11"/>
  <c r="G4857" i="11"/>
  <c r="G4856" i="11"/>
  <c r="G4855" i="11"/>
  <c r="G4854" i="11"/>
  <c r="G4853" i="11"/>
  <c r="G4852" i="11"/>
  <c r="G4851" i="11"/>
  <c r="G4850" i="11"/>
  <c r="G4849" i="11"/>
  <c r="G4848" i="11"/>
  <c r="G4847" i="11"/>
  <c r="G4846" i="11"/>
  <c r="G4845" i="11"/>
  <c r="G4844" i="11"/>
  <c r="G4843" i="11"/>
  <c r="G4842" i="11"/>
  <c r="G4841" i="11"/>
  <c r="G4840" i="11"/>
  <c r="G4839" i="11"/>
  <c r="G4838" i="11"/>
  <c r="G4837" i="11"/>
  <c r="G4836" i="11"/>
  <c r="G4835" i="11"/>
  <c r="G4834" i="11"/>
  <c r="G4833" i="11"/>
  <c r="G4832" i="11"/>
  <c r="G4831" i="11"/>
  <c r="G4830" i="11"/>
  <c r="G4829" i="11"/>
  <c r="G4828" i="11"/>
  <c r="G4827" i="11"/>
  <c r="G4826" i="11"/>
  <c r="G4825" i="11"/>
  <c r="G4824" i="11"/>
  <c r="G4823" i="11"/>
  <c r="G4822" i="11"/>
  <c r="G4821" i="11"/>
  <c r="G4820" i="11"/>
  <c r="G4819" i="11"/>
  <c r="G4818" i="11"/>
  <c r="G4817" i="11"/>
  <c r="G4816" i="11"/>
  <c r="G4815" i="11"/>
  <c r="G4814" i="11"/>
  <c r="G4813" i="11"/>
  <c r="G4812" i="11"/>
  <c r="G4811" i="11"/>
  <c r="G4810" i="11"/>
  <c r="G4809" i="11"/>
  <c r="G4808" i="11"/>
  <c r="G4807" i="11"/>
  <c r="G4806" i="11"/>
  <c r="G4805" i="11"/>
  <c r="G4804" i="11"/>
  <c r="G4803" i="11"/>
  <c r="G4802" i="11"/>
  <c r="G4801" i="11"/>
  <c r="G4800" i="11"/>
  <c r="G4799" i="11"/>
  <c r="G4798" i="11"/>
  <c r="G4797" i="11"/>
  <c r="G4796" i="11"/>
  <c r="G4795" i="11"/>
  <c r="G4794" i="11"/>
  <c r="G4793" i="11"/>
  <c r="G4792" i="11"/>
  <c r="G4791" i="11"/>
  <c r="G4790" i="11"/>
  <c r="G4789" i="11"/>
  <c r="G4788" i="11"/>
  <c r="G4787" i="11"/>
  <c r="G4786" i="11"/>
  <c r="G4785" i="11"/>
  <c r="G4784" i="11"/>
  <c r="G4783" i="11"/>
  <c r="G4782" i="11"/>
  <c r="G4781" i="11"/>
  <c r="G4780" i="11"/>
  <c r="G4779" i="11"/>
  <c r="G4778" i="11"/>
  <c r="G4777" i="11"/>
  <c r="G4776" i="11"/>
  <c r="G4775" i="11"/>
  <c r="G4774" i="11"/>
  <c r="G4773" i="11"/>
  <c r="G4772" i="11"/>
  <c r="G4771" i="11"/>
  <c r="G4770" i="11"/>
  <c r="G4769" i="11"/>
  <c r="G4768" i="11"/>
  <c r="G4767" i="11"/>
  <c r="G4766" i="11"/>
  <c r="G4765" i="11"/>
  <c r="G4764" i="11"/>
  <c r="G4763" i="11"/>
  <c r="G4762" i="11"/>
  <c r="G4761" i="11"/>
  <c r="G4760" i="11"/>
  <c r="G4759" i="11"/>
  <c r="G4758" i="11"/>
  <c r="G4757" i="11"/>
  <c r="G4756" i="11"/>
  <c r="G4755" i="11"/>
  <c r="G4754" i="11"/>
  <c r="G4753" i="11"/>
  <c r="G4752" i="11"/>
  <c r="G4751" i="11"/>
  <c r="G4750" i="11"/>
  <c r="G4749" i="11"/>
  <c r="G4748" i="11"/>
  <c r="G4747" i="11"/>
  <c r="G4746" i="11"/>
  <c r="G4745" i="11"/>
  <c r="G4744" i="11"/>
  <c r="G4743" i="11"/>
  <c r="G4742" i="11"/>
  <c r="G4741" i="11"/>
  <c r="G4740" i="11"/>
  <c r="G4739" i="11"/>
  <c r="G4738" i="11"/>
  <c r="G4737" i="11"/>
  <c r="G4736" i="11"/>
  <c r="G4735" i="11"/>
  <c r="G4734" i="11"/>
  <c r="G4733" i="11"/>
  <c r="G4732" i="11"/>
  <c r="G4731" i="11"/>
  <c r="G4730" i="11"/>
  <c r="G4729" i="11"/>
  <c r="G4728" i="11"/>
  <c r="G4727" i="11"/>
  <c r="G4726" i="11"/>
  <c r="G4725" i="11"/>
  <c r="G4724" i="11"/>
  <c r="G4723" i="11"/>
  <c r="G4722" i="11"/>
  <c r="G4721" i="11"/>
  <c r="G4720" i="11"/>
  <c r="G4719" i="11"/>
  <c r="G4718" i="11"/>
  <c r="G4717" i="11"/>
  <c r="G4716" i="11"/>
  <c r="G4715" i="11"/>
  <c r="G4714" i="11"/>
  <c r="G4713" i="11"/>
  <c r="G4712" i="11"/>
  <c r="G4711" i="11"/>
  <c r="G4710" i="11"/>
  <c r="G4709" i="11"/>
  <c r="G4708" i="11"/>
  <c r="G4707" i="11"/>
  <c r="G4706" i="11"/>
  <c r="G4705" i="11"/>
  <c r="G4704" i="11"/>
  <c r="G4703" i="11"/>
  <c r="G4702" i="11"/>
  <c r="G4701" i="11"/>
  <c r="G4700" i="11"/>
  <c r="G4699" i="11"/>
  <c r="G4698" i="11"/>
  <c r="G4697" i="11"/>
  <c r="G4696" i="11"/>
  <c r="G4695" i="11"/>
  <c r="G4694" i="11"/>
  <c r="G4693" i="11"/>
  <c r="G4692" i="11"/>
  <c r="G4691" i="11"/>
  <c r="G4690" i="11"/>
  <c r="G4689" i="11"/>
  <c r="G4688" i="11"/>
  <c r="G4687" i="11"/>
  <c r="G4686" i="11"/>
  <c r="G4685" i="11"/>
  <c r="G4684" i="11"/>
  <c r="G4683" i="11"/>
  <c r="G4682" i="11"/>
  <c r="G4681" i="11"/>
  <c r="G4680" i="11"/>
  <c r="G4679" i="11"/>
  <c r="G4678" i="11"/>
  <c r="G4677" i="11"/>
  <c r="G4676" i="11"/>
  <c r="G4675" i="11"/>
  <c r="G4674" i="11"/>
  <c r="G4673" i="11"/>
  <c r="G4672" i="11"/>
  <c r="G4671" i="11"/>
  <c r="G4670" i="11"/>
  <c r="G4669" i="11"/>
  <c r="G4668" i="11"/>
  <c r="G4667" i="11"/>
  <c r="G4666" i="11"/>
  <c r="G4665" i="11"/>
  <c r="G4664" i="11"/>
  <c r="G4663" i="11"/>
  <c r="G4662" i="11"/>
  <c r="G4661" i="11"/>
  <c r="G4660" i="11"/>
  <c r="G4659" i="11"/>
  <c r="G4658" i="11"/>
  <c r="G4657" i="11"/>
  <c r="G4656" i="11"/>
  <c r="G4655" i="11"/>
  <c r="G4654" i="11"/>
  <c r="G4653" i="11"/>
  <c r="G4652" i="11"/>
  <c r="G4651" i="11"/>
  <c r="G4650" i="11"/>
  <c r="G4649" i="11"/>
  <c r="G4648" i="11"/>
  <c r="G4647" i="11"/>
  <c r="G4646" i="11"/>
  <c r="G4645" i="11"/>
  <c r="G4644" i="11"/>
  <c r="G4643" i="11"/>
  <c r="G4642" i="11"/>
  <c r="G4641" i="11"/>
  <c r="G4640" i="11"/>
  <c r="G4639" i="11"/>
  <c r="G4638" i="11"/>
  <c r="G4637" i="11"/>
  <c r="G4636" i="11"/>
  <c r="G4635" i="11"/>
  <c r="G4634" i="11"/>
  <c r="G4633" i="11"/>
  <c r="G4632" i="11"/>
  <c r="G4631" i="11"/>
  <c r="G4630" i="11"/>
  <c r="G4629" i="11"/>
  <c r="G4628" i="11"/>
  <c r="G4627" i="11"/>
  <c r="G4626" i="11"/>
  <c r="G4625" i="11"/>
  <c r="G4624" i="11"/>
  <c r="G4623" i="11"/>
  <c r="G4622" i="11"/>
  <c r="G4621" i="11"/>
  <c r="G4620" i="11"/>
  <c r="G4619" i="11"/>
  <c r="G4618" i="11"/>
  <c r="G4617" i="11"/>
  <c r="G4616" i="11"/>
  <c r="G4615" i="11"/>
  <c r="G4614" i="11"/>
  <c r="G4613" i="11"/>
  <c r="G4612" i="11"/>
  <c r="G4611" i="11"/>
  <c r="G4610" i="11"/>
  <c r="G4609" i="11"/>
  <c r="G4608" i="11"/>
  <c r="G4607" i="11"/>
  <c r="G4606" i="11"/>
  <c r="G4605" i="11"/>
  <c r="G4604" i="11"/>
  <c r="G4603" i="11"/>
  <c r="G4602" i="11"/>
  <c r="G4601" i="11"/>
  <c r="G4600" i="11"/>
  <c r="G4599" i="11"/>
  <c r="G4598" i="11"/>
  <c r="G4597" i="11"/>
  <c r="G4596" i="11"/>
  <c r="G4595" i="11"/>
  <c r="G4594" i="11"/>
  <c r="G4593" i="11"/>
  <c r="G4592" i="11"/>
  <c r="G4591" i="11"/>
  <c r="G4590" i="11"/>
  <c r="G4589" i="11"/>
  <c r="G4588" i="11"/>
  <c r="G4587" i="11"/>
  <c r="G4586" i="11"/>
  <c r="G4585" i="11"/>
  <c r="G4584" i="11"/>
  <c r="G4583" i="11"/>
  <c r="G4582" i="11"/>
  <c r="G4581" i="11"/>
  <c r="G4580" i="11"/>
  <c r="G4579" i="11"/>
  <c r="G4578" i="11"/>
  <c r="G4577" i="11"/>
  <c r="G4576" i="11"/>
  <c r="G4575" i="11"/>
  <c r="G4574" i="11"/>
  <c r="G4573" i="11"/>
  <c r="G4572" i="11"/>
  <c r="G4571" i="11"/>
  <c r="G4570" i="11"/>
  <c r="G4569" i="11"/>
  <c r="G4568" i="11"/>
  <c r="G4567" i="11"/>
  <c r="G4566" i="11"/>
  <c r="G4565" i="11"/>
  <c r="G4564" i="11"/>
  <c r="G4563" i="11"/>
  <c r="G4562" i="11"/>
  <c r="G4561" i="11"/>
  <c r="G4560" i="11"/>
  <c r="G4559" i="11"/>
  <c r="G4558" i="11"/>
  <c r="G4557" i="11"/>
  <c r="G4556" i="11"/>
  <c r="G4555" i="11"/>
  <c r="G4554" i="11"/>
  <c r="G4553" i="11"/>
  <c r="G4552" i="11"/>
  <c r="G4551" i="11"/>
  <c r="G4550" i="11"/>
  <c r="G4549" i="11"/>
  <c r="G4548" i="11"/>
  <c r="G4547" i="11"/>
  <c r="G4546" i="11"/>
  <c r="G4545" i="11"/>
  <c r="G4544" i="11"/>
  <c r="G4543" i="11"/>
  <c r="G4542" i="11"/>
  <c r="G4541" i="11"/>
  <c r="G4540" i="11"/>
  <c r="G4539" i="11"/>
  <c r="G4538" i="11"/>
  <c r="G4537" i="11"/>
  <c r="G4536" i="11"/>
  <c r="G4535" i="11"/>
  <c r="G4534" i="11"/>
  <c r="G4533" i="11"/>
  <c r="G4532" i="11"/>
  <c r="G4531" i="11"/>
  <c r="G4530" i="11"/>
  <c r="G4529" i="11"/>
  <c r="G4528" i="11"/>
  <c r="G4527" i="11"/>
  <c r="G4526" i="11"/>
  <c r="G4525" i="11"/>
  <c r="G4524" i="11"/>
  <c r="G4523" i="11"/>
  <c r="G4522" i="11"/>
  <c r="G4521" i="11"/>
  <c r="G4520" i="11"/>
  <c r="G4519" i="11"/>
  <c r="G4518" i="11"/>
  <c r="G4517" i="11"/>
  <c r="G4516" i="11"/>
  <c r="G4515" i="11"/>
  <c r="G4514" i="11"/>
  <c r="G4513" i="11"/>
  <c r="G4512" i="11"/>
  <c r="G4511" i="11"/>
  <c r="G4510" i="11"/>
  <c r="G4509" i="11"/>
  <c r="G4508" i="11"/>
  <c r="G4507" i="11"/>
  <c r="G4506" i="11"/>
  <c r="G4505" i="11"/>
  <c r="G4504" i="11"/>
  <c r="G4503" i="11"/>
  <c r="G4502" i="11"/>
  <c r="G4501" i="11"/>
  <c r="G4500" i="11"/>
  <c r="G4499" i="11"/>
  <c r="G4498" i="11"/>
  <c r="G4497" i="11"/>
  <c r="G4496" i="11"/>
  <c r="G4495" i="11"/>
  <c r="G4494" i="11"/>
  <c r="G4493" i="11"/>
  <c r="G4492" i="11"/>
  <c r="G4491" i="11"/>
  <c r="G4490" i="11"/>
  <c r="G4489" i="11"/>
  <c r="G4488" i="11"/>
  <c r="G4487" i="11"/>
  <c r="G4486" i="11"/>
  <c r="G4485" i="11"/>
  <c r="G4484" i="11"/>
  <c r="G4483" i="11"/>
  <c r="G4482" i="11"/>
  <c r="G4481" i="11"/>
  <c r="G4480" i="11"/>
  <c r="G4479" i="11"/>
  <c r="G4478" i="11"/>
  <c r="G4477" i="11"/>
  <c r="I4476" i="11"/>
  <c r="G4476" i="11"/>
  <c r="G4475" i="11"/>
  <c r="G4474" i="11"/>
  <c r="G4473" i="11"/>
  <c r="G4472" i="11"/>
  <c r="G4471" i="11"/>
  <c r="G4470" i="11"/>
  <c r="G4469" i="11"/>
  <c r="I4468" i="11"/>
  <c r="G4468" i="11"/>
  <c r="G4467" i="11"/>
  <c r="G4466" i="11"/>
  <c r="G4465" i="11"/>
  <c r="G4464" i="11"/>
  <c r="G4463" i="11"/>
  <c r="G4462" i="11"/>
  <c r="G4461" i="11"/>
  <c r="I4460" i="11"/>
  <c r="G4460" i="11"/>
  <c r="G4459" i="11"/>
  <c r="G4458" i="11"/>
  <c r="G4457" i="11"/>
  <c r="G4456" i="11"/>
  <c r="G4455" i="11"/>
  <c r="G4454" i="11"/>
  <c r="G4453" i="11"/>
  <c r="G4452" i="11"/>
  <c r="G4451" i="11"/>
  <c r="I4450" i="11"/>
  <c r="G4450" i="11"/>
  <c r="G4449" i="11"/>
  <c r="G4448" i="11"/>
  <c r="G4447" i="11"/>
  <c r="G4446" i="11"/>
  <c r="G4445" i="11"/>
  <c r="G4444" i="11"/>
  <c r="G4443" i="11"/>
  <c r="G4442" i="11"/>
  <c r="G4441" i="11"/>
  <c r="G4440" i="11"/>
  <c r="G4439" i="11"/>
  <c r="G4438" i="11"/>
  <c r="G4437" i="11"/>
  <c r="G4436" i="11"/>
  <c r="G4435" i="11"/>
  <c r="G4434" i="11"/>
  <c r="G4433" i="11"/>
  <c r="G4432" i="11"/>
  <c r="G4431" i="11"/>
  <c r="G4430" i="11"/>
  <c r="G4429" i="11"/>
  <c r="G4428" i="11"/>
  <c r="G4427" i="11"/>
  <c r="G4426" i="11"/>
  <c r="G4425" i="11"/>
  <c r="G4424" i="11"/>
  <c r="G4423" i="11"/>
  <c r="G4422" i="11"/>
  <c r="G4421" i="11"/>
  <c r="G4420" i="11"/>
  <c r="G4419" i="11"/>
  <c r="G4418" i="11"/>
  <c r="G4417" i="11"/>
  <c r="G4416" i="11"/>
  <c r="G4415" i="11"/>
  <c r="G4414" i="11"/>
  <c r="G4413" i="11"/>
  <c r="G4412" i="11"/>
  <c r="G4411" i="11"/>
  <c r="G4410" i="11"/>
  <c r="G4409" i="11"/>
  <c r="G4408" i="11"/>
  <c r="G4407" i="11"/>
  <c r="G4406" i="11"/>
  <c r="G4405" i="11"/>
  <c r="G4404" i="11"/>
  <c r="G4403" i="11"/>
  <c r="G4402" i="11"/>
  <c r="G4401" i="11"/>
  <c r="G4400" i="11"/>
  <c r="G4399" i="11"/>
  <c r="G4398" i="11"/>
  <c r="G4397" i="11"/>
  <c r="G4396" i="11"/>
  <c r="G4395" i="11"/>
  <c r="G4394" i="11"/>
  <c r="G4393" i="11"/>
  <c r="G4392" i="11"/>
  <c r="G4391" i="11"/>
  <c r="G4390" i="11"/>
  <c r="G4389" i="11"/>
  <c r="G4388" i="11"/>
  <c r="G4387" i="11"/>
  <c r="G4386" i="11"/>
  <c r="G4385" i="11"/>
  <c r="G4384" i="11"/>
  <c r="G4383" i="11"/>
  <c r="G4382" i="11"/>
  <c r="G4381" i="11"/>
  <c r="G4380" i="11"/>
  <c r="G4379" i="11"/>
  <c r="G4378" i="11"/>
  <c r="G4377" i="11"/>
  <c r="G4376" i="11"/>
  <c r="G4375" i="11"/>
  <c r="G4374" i="11"/>
  <c r="G4373" i="11"/>
  <c r="G4372" i="11"/>
  <c r="G4371" i="11"/>
  <c r="G4370" i="11"/>
  <c r="G4369" i="11"/>
  <c r="G4368" i="11"/>
  <c r="G4367" i="11"/>
  <c r="G4366" i="11"/>
  <c r="G4365" i="11"/>
  <c r="G4364" i="11"/>
  <c r="G4363" i="11"/>
  <c r="G4362" i="11"/>
  <c r="G4361" i="11"/>
  <c r="G4360" i="11"/>
  <c r="G4359" i="11"/>
  <c r="I4358" i="11"/>
  <c r="G4358" i="11"/>
  <c r="G4357" i="11"/>
  <c r="I4356" i="11"/>
  <c r="G4356" i="11"/>
  <c r="G4355" i="11"/>
  <c r="I4354" i="11"/>
  <c r="G4354" i="11"/>
  <c r="G4353" i="11"/>
  <c r="I4352" i="11"/>
  <c r="G4352" i="11"/>
  <c r="G4351" i="11"/>
  <c r="I4350" i="11"/>
  <c r="G4350" i="11"/>
  <c r="G4349" i="11"/>
  <c r="I4348" i="11"/>
  <c r="G4348" i="11"/>
  <c r="G4347" i="11"/>
  <c r="I4346" i="11"/>
  <c r="G4346" i="11"/>
  <c r="G4345" i="11"/>
  <c r="I4344" i="11"/>
  <c r="G4344" i="11"/>
  <c r="G4343" i="11"/>
  <c r="I4342" i="11"/>
  <c r="G4342" i="11"/>
  <c r="G4341" i="11"/>
  <c r="I4340" i="11"/>
  <c r="G4340" i="11"/>
  <c r="G4339" i="11"/>
  <c r="I4338" i="11"/>
  <c r="G4338" i="11"/>
  <c r="G4337" i="11"/>
  <c r="I4336" i="11"/>
  <c r="G4336" i="11"/>
  <c r="G4335" i="11"/>
  <c r="I4334" i="11"/>
  <c r="G4334" i="11"/>
  <c r="G4333" i="11"/>
  <c r="I4332" i="11"/>
  <c r="G4332" i="11"/>
  <c r="G4331" i="11"/>
  <c r="I4330" i="11"/>
  <c r="G4330" i="11"/>
  <c r="G4329" i="11"/>
  <c r="G4328" i="11"/>
  <c r="G4327" i="11"/>
  <c r="G4326" i="11"/>
  <c r="G4325" i="11"/>
  <c r="G4324" i="11"/>
  <c r="G4323" i="11"/>
  <c r="G4322" i="11"/>
  <c r="G4321" i="11"/>
  <c r="G4320" i="11"/>
  <c r="G4319" i="11"/>
  <c r="G4318" i="11"/>
  <c r="G4317" i="11"/>
  <c r="G4316" i="11"/>
  <c r="G4315" i="11"/>
  <c r="G4314" i="11"/>
  <c r="G4313" i="11"/>
  <c r="G4312" i="11"/>
  <c r="G4311" i="11"/>
  <c r="G4310" i="11"/>
  <c r="G4309" i="11"/>
  <c r="G4308" i="11"/>
  <c r="G4307" i="11"/>
  <c r="G4306" i="11"/>
  <c r="G4305" i="11"/>
  <c r="G4304" i="11"/>
  <c r="G4303" i="11"/>
  <c r="G4302" i="11"/>
  <c r="G4301" i="11"/>
  <c r="G4300" i="11"/>
  <c r="G4299" i="11"/>
  <c r="G4298" i="11"/>
  <c r="G4297" i="11"/>
  <c r="G4296" i="11"/>
  <c r="G4295" i="11"/>
  <c r="G4294" i="11"/>
  <c r="G4293" i="11"/>
  <c r="G4292" i="11"/>
  <c r="G4291" i="11"/>
  <c r="G4290" i="11"/>
  <c r="G4289" i="11"/>
  <c r="G4288" i="11"/>
  <c r="G4287" i="11"/>
  <c r="G4286" i="11"/>
  <c r="G4285" i="11"/>
  <c r="G4284" i="11"/>
  <c r="G4283" i="11"/>
  <c r="G4282" i="11"/>
  <c r="G4281" i="11"/>
  <c r="G4280" i="11"/>
  <c r="G4279" i="11"/>
  <c r="G4278" i="11"/>
  <c r="G4277" i="11"/>
  <c r="G4276" i="11"/>
  <c r="G4275" i="11"/>
  <c r="G4274" i="11"/>
  <c r="G4273" i="11"/>
  <c r="G4272" i="11"/>
  <c r="G4271" i="11"/>
  <c r="G4270" i="11"/>
  <c r="G4269" i="11"/>
  <c r="G4268" i="11"/>
  <c r="G4267" i="11"/>
  <c r="G4266" i="11"/>
  <c r="G4265" i="11"/>
  <c r="G4264" i="11"/>
  <c r="G4263" i="11"/>
  <c r="G4262" i="11"/>
  <c r="G4261" i="11"/>
  <c r="G4260" i="11"/>
  <c r="G4259" i="11"/>
  <c r="G4258" i="11"/>
  <c r="G4257" i="11"/>
  <c r="G4256" i="11"/>
  <c r="G4255" i="11"/>
  <c r="G4254" i="11"/>
  <c r="G4253" i="11"/>
  <c r="G4252" i="11"/>
  <c r="G4251" i="11"/>
  <c r="G4250" i="11"/>
  <c r="G4249" i="11"/>
  <c r="G4248" i="11"/>
  <c r="G4247" i="11"/>
  <c r="G4246" i="11"/>
  <c r="G4245" i="11"/>
  <c r="G4244" i="11"/>
  <c r="G4243" i="11"/>
  <c r="G4242" i="11"/>
  <c r="G4241" i="11"/>
  <c r="G4240" i="11"/>
  <c r="G4239" i="11"/>
  <c r="G4238" i="11"/>
  <c r="G4237" i="11"/>
  <c r="I4236" i="11"/>
  <c r="G4236" i="11"/>
  <c r="I4235" i="11"/>
  <c r="G4235" i="11"/>
  <c r="I4234" i="11"/>
  <c r="G4234" i="11"/>
  <c r="I4233" i="11"/>
  <c r="G4233" i="11"/>
  <c r="I4232" i="11"/>
  <c r="G4232" i="11"/>
  <c r="I4231" i="11"/>
  <c r="G4231" i="11"/>
  <c r="I4230" i="11"/>
  <c r="G4230" i="11"/>
  <c r="I4229" i="11"/>
  <c r="G4229" i="11"/>
  <c r="I4228" i="11"/>
  <c r="G4228" i="11"/>
  <c r="I4227" i="11"/>
  <c r="G4227" i="11"/>
  <c r="I4226" i="11"/>
  <c r="G4226" i="11"/>
  <c r="I4225" i="11"/>
  <c r="G4225" i="11"/>
  <c r="I4224" i="11"/>
  <c r="G4224" i="11"/>
  <c r="I4223" i="11"/>
  <c r="G4223" i="11"/>
  <c r="I4222" i="11"/>
  <c r="G4222" i="11"/>
  <c r="I4221" i="11"/>
  <c r="G4221" i="11"/>
  <c r="I4220" i="11"/>
  <c r="G4220" i="11"/>
  <c r="I4219" i="11"/>
  <c r="G4219" i="11"/>
  <c r="I4218" i="11"/>
  <c r="G4218" i="11"/>
  <c r="I4217" i="11"/>
  <c r="G4217" i="11"/>
  <c r="I4216" i="11"/>
  <c r="G4216" i="11"/>
  <c r="I4215" i="11"/>
  <c r="G4215" i="11"/>
  <c r="I4214" i="11"/>
  <c r="G4214" i="11"/>
  <c r="I4213" i="11"/>
  <c r="G4213" i="11"/>
  <c r="I4212" i="11"/>
  <c r="G4212" i="11"/>
  <c r="I4211" i="11"/>
  <c r="G4211" i="11"/>
  <c r="I4210" i="11"/>
  <c r="G4210" i="11"/>
  <c r="I4209" i="11"/>
  <c r="G4209" i="11"/>
  <c r="I4208" i="11"/>
  <c r="G4208" i="11"/>
  <c r="I4207" i="11"/>
  <c r="G4207" i="11"/>
  <c r="I4206" i="11"/>
  <c r="G4206" i="11"/>
  <c r="G4205" i="11"/>
  <c r="G4204" i="11"/>
  <c r="G4203" i="11"/>
  <c r="G4202" i="11"/>
  <c r="G4201" i="11"/>
  <c r="G4200" i="11"/>
  <c r="G4199" i="11"/>
  <c r="G4198" i="11"/>
  <c r="G4197" i="11"/>
  <c r="G4196" i="11"/>
  <c r="G4195" i="11"/>
  <c r="G4194" i="11"/>
  <c r="G4193" i="11"/>
  <c r="G4192" i="11"/>
  <c r="G4191" i="11"/>
  <c r="G4190" i="11"/>
  <c r="G4189" i="11"/>
  <c r="G4188" i="11"/>
  <c r="G4187" i="11"/>
  <c r="G4186" i="11"/>
  <c r="G4185" i="11"/>
  <c r="G4184" i="11"/>
  <c r="G4183" i="11"/>
  <c r="G4182" i="11"/>
  <c r="G4181" i="11"/>
  <c r="G4180" i="11"/>
  <c r="G4179" i="11"/>
  <c r="G4178" i="11"/>
  <c r="G4177" i="11"/>
  <c r="G4176" i="11"/>
  <c r="G4175" i="11"/>
  <c r="G4174" i="11"/>
  <c r="G4173" i="11"/>
  <c r="G4172" i="11"/>
  <c r="G4171" i="11"/>
  <c r="G4170" i="11"/>
  <c r="G4169" i="11"/>
  <c r="G4168" i="11"/>
  <c r="G4167" i="11"/>
  <c r="G4166" i="11"/>
  <c r="G4165" i="11"/>
  <c r="G4164" i="11"/>
  <c r="G4163" i="11"/>
  <c r="G4162" i="11"/>
  <c r="G4161" i="11"/>
  <c r="G4160" i="11"/>
  <c r="G4159" i="11"/>
  <c r="G4158" i="11"/>
  <c r="G4157" i="11"/>
  <c r="G4156" i="11"/>
  <c r="G4155" i="11"/>
  <c r="G4154" i="11"/>
  <c r="G4153" i="11"/>
  <c r="G4152" i="11"/>
  <c r="G4151" i="11"/>
  <c r="G4150" i="11"/>
  <c r="G4149" i="11"/>
  <c r="G4148" i="11"/>
  <c r="G4147" i="11"/>
  <c r="G4146" i="11"/>
  <c r="G4145" i="11"/>
  <c r="G4144" i="11"/>
  <c r="G4143" i="11"/>
  <c r="G4142" i="11"/>
  <c r="G4141" i="11"/>
  <c r="G4140" i="11"/>
  <c r="G4139" i="11"/>
  <c r="G4138" i="11"/>
  <c r="G4137" i="11"/>
  <c r="G4136" i="11"/>
  <c r="G4135" i="11"/>
  <c r="G4134" i="11"/>
  <c r="H4133" i="11"/>
  <c r="G4133" i="11"/>
  <c r="G4132" i="11"/>
  <c r="G4131" i="11"/>
  <c r="G4130" i="11"/>
  <c r="G4129" i="11"/>
  <c r="G4128" i="11"/>
  <c r="G4127" i="11"/>
  <c r="G4126" i="11"/>
  <c r="G4125" i="11"/>
  <c r="G4124" i="11"/>
  <c r="G4123" i="11"/>
  <c r="G4122" i="11"/>
  <c r="G4121" i="11"/>
  <c r="G4120" i="11"/>
  <c r="G4119" i="11"/>
  <c r="G4118" i="11"/>
  <c r="H4117" i="11"/>
  <c r="G4117" i="11"/>
  <c r="G4116" i="11"/>
  <c r="G4115" i="11"/>
  <c r="I4114" i="11"/>
  <c r="G4114" i="11"/>
  <c r="I4113" i="11"/>
  <c r="G4113" i="11"/>
  <c r="I4112" i="11"/>
  <c r="G4112" i="11"/>
  <c r="I4111" i="11"/>
  <c r="G4111" i="11"/>
  <c r="I4110" i="11"/>
  <c r="G4110" i="11"/>
  <c r="I4109" i="11"/>
  <c r="G4109" i="11"/>
  <c r="I4108" i="11"/>
  <c r="G4108" i="11"/>
  <c r="I4107" i="11"/>
  <c r="G4107" i="11"/>
  <c r="I4106" i="11"/>
  <c r="G4106" i="11"/>
  <c r="I4105" i="11"/>
  <c r="G4105" i="11"/>
  <c r="I4104" i="11"/>
  <c r="G4104" i="11"/>
  <c r="I4103" i="11"/>
  <c r="G4103" i="11"/>
  <c r="I4102" i="11"/>
  <c r="G4102" i="11"/>
  <c r="I4101" i="11"/>
  <c r="G4101" i="11"/>
  <c r="I4100" i="11"/>
  <c r="G4100" i="11"/>
  <c r="I4099" i="11"/>
  <c r="G4099" i="11"/>
  <c r="I4098" i="11"/>
  <c r="G4098" i="11"/>
  <c r="I4097" i="11"/>
  <c r="G4097" i="11"/>
  <c r="I4096" i="11"/>
  <c r="G4096" i="11"/>
  <c r="I4095" i="11"/>
  <c r="G4095" i="11"/>
  <c r="I4094" i="11"/>
  <c r="G4094" i="11"/>
  <c r="I4093" i="11"/>
  <c r="G4093" i="11"/>
  <c r="I4092" i="11"/>
  <c r="G4092" i="11"/>
  <c r="I4091" i="11"/>
  <c r="G4091" i="11"/>
  <c r="I4090" i="11"/>
  <c r="G4090" i="11"/>
  <c r="I4089" i="11"/>
  <c r="G4089" i="11"/>
  <c r="I4088" i="11"/>
  <c r="G4088" i="11"/>
  <c r="I4087" i="11"/>
  <c r="G4087" i="11"/>
  <c r="I4086" i="11"/>
  <c r="G4086" i="11"/>
  <c r="I4085" i="11"/>
  <c r="G4085" i="11"/>
  <c r="I4084" i="11"/>
  <c r="G4084" i="11"/>
  <c r="G4083" i="11"/>
  <c r="G4082" i="11"/>
  <c r="G4081" i="11"/>
  <c r="G4080" i="11"/>
  <c r="G4079" i="11"/>
  <c r="G4078" i="11"/>
  <c r="G4077" i="11"/>
  <c r="G4076" i="11"/>
  <c r="G4075" i="11"/>
  <c r="G4074" i="11"/>
  <c r="G4073" i="11"/>
  <c r="G4072" i="11"/>
  <c r="G4071" i="11"/>
  <c r="G4070" i="11"/>
  <c r="G4069" i="11"/>
  <c r="G4068" i="11"/>
  <c r="G4067" i="11"/>
  <c r="G4066" i="11"/>
  <c r="G4065" i="11"/>
  <c r="G4064" i="11"/>
  <c r="G4063" i="11"/>
  <c r="G4062" i="11"/>
  <c r="G4061" i="11"/>
  <c r="G4060" i="11"/>
  <c r="G4059" i="11"/>
  <c r="G4058" i="11"/>
  <c r="G4057" i="11"/>
  <c r="G4056" i="11"/>
  <c r="G4055" i="11"/>
  <c r="G4054" i="11"/>
  <c r="G4053" i="11"/>
  <c r="G4052" i="11"/>
  <c r="G4051" i="11"/>
  <c r="G4050" i="11"/>
  <c r="G4049" i="11"/>
  <c r="G4048" i="11"/>
  <c r="G4047" i="11"/>
  <c r="G4046" i="11"/>
  <c r="G4045" i="11"/>
  <c r="G4044" i="11"/>
  <c r="G4043" i="11"/>
  <c r="G4042" i="11"/>
  <c r="G4041" i="11"/>
  <c r="G4040" i="11"/>
  <c r="G4039" i="11"/>
  <c r="G4038" i="11"/>
  <c r="G4037" i="11"/>
  <c r="G4036" i="11"/>
  <c r="G4035" i="11"/>
  <c r="G4034" i="11"/>
  <c r="G4033" i="11"/>
  <c r="G4032" i="11"/>
  <c r="G4031" i="11"/>
  <c r="G4030" i="11"/>
  <c r="G4029" i="11"/>
  <c r="G4028" i="11"/>
  <c r="G4027" i="11"/>
  <c r="G4026" i="11"/>
  <c r="G4025" i="11"/>
  <c r="G4024" i="11"/>
  <c r="G4023" i="11"/>
  <c r="G4022" i="11"/>
  <c r="G4021" i="11"/>
  <c r="G4020" i="11"/>
  <c r="G4019" i="11"/>
  <c r="G4018" i="11"/>
  <c r="G4017" i="11"/>
  <c r="G4016" i="11"/>
  <c r="H4015" i="11"/>
  <c r="G4015" i="11"/>
  <c r="G4014" i="11"/>
  <c r="G4013" i="11"/>
  <c r="G4012" i="11"/>
  <c r="G4011" i="11"/>
  <c r="G4010" i="11"/>
  <c r="G4009" i="11"/>
  <c r="G4008" i="11"/>
  <c r="G4007" i="11"/>
  <c r="G4006" i="11"/>
  <c r="G4005" i="11"/>
  <c r="G4004" i="11"/>
  <c r="G4003" i="11"/>
  <c r="G4002" i="11"/>
  <c r="G4001" i="11"/>
  <c r="G4000" i="11"/>
  <c r="H3999" i="11"/>
  <c r="G3999" i="11"/>
  <c r="G3998" i="11"/>
  <c r="G3997" i="11"/>
  <c r="G3996" i="11"/>
  <c r="G3995" i="11"/>
  <c r="G3994" i="11"/>
  <c r="G3993" i="11"/>
  <c r="I3992" i="11"/>
  <c r="G3992" i="11"/>
  <c r="I3991" i="11"/>
  <c r="G3991" i="11"/>
  <c r="I3990" i="11"/>
  <c r="G3990" i="11"/>
  <c r="I3989" i="11"/>
  <c r="G3989" i="11"/>
  <c r="I3988" i="11"/>
  <c r="G3988" i="11"/>
  <c r="I3987" i="11"/>
  <c r="G3987" i="11"/>
  <c r="I3986" i="11"/>
  <c r="G3986" i="11"/>
  <c r="I3985" i="11"/>
  <c r="G3985" i="11"/>
  <c r="I3984" i="11"/>
  <c r="G3984" i="11"/>
  <c r="I3983" i="11"/>
  <c r="G3983" i="11"/>
  <c r="I3982" i="11"/>
  <c r="G3982" i="11"/>
  <c r="I3981" i="11"/>
  <c r="G3981" i="11"/>
  <c r="I3980" i="11"/>
  <c r="G3980" i="11"/>
  <c r="I3979" i="11"/>
  <c r="G3979" i="11"/>
  <c r="I3978" i="11"/>
  <c r="G3978" i="11"/>
  <c r="I3977" i="11"/>
  <c r="G3977" i="11"/>
  <c r="I3976" i="11"/>
  <c r="G3976" i="11"/>
  <c r="I3975" i="11"/>
  <c r="G3975" i="11"/>
  <c r="I3974" i="11"/>
  <c r="G3974" i="11"/>
  <c r="I3973" i="11"/>
  <c r="G3973" i="11"/>
  <c r="I3972" i="11"/>
  <c r="G3972" i="11"/>
  <c r="I3971" i="11"/>
  <c r="G3971" i="11"/>
  <c r="I3970" i="11"/>
  <c r="G3970" i="11"/>
  <c r="I3969" i="11"/>
  <c r="G3969" i="11"/>
  <c r="I3968" i="11"/>
  <c r="G3968" i="11"/>
  <c r="I3967" i="11"/>
  <c r="G3967" i="11"/>
  <c r="I3966" i="11"/>
  <c r="G3966" i="11"/>
  <c r="I3965" i="11"/>
  <c r="G3965" i="11"/>
  <c r="I3964" i="11"/>
  <c r="G3964" i="11"/>
  <c r="I3963" i="11"/>
  <c r="G3963" i="11"/>
  <c r="G3962" i="11"/>
  <c r="G3961" i="11"/>
  <c r="G3960" i="11"/>
  <c r="G3959" i="11"/>
  <c r="G3958" i="11"/>
  <c r="G3957" i="11"/>
  <c r="G3956" i="11"/>
  <c r="G3955" i="11"/>
  <c r="G3954" i="11"/>
  <c r="G3953" i="11"/>
  <c r="G3952" i="11"/>
  <c r="G3951" i="11"/>
  <c r="G3950" i="11"/>
  <c r="G3949" i="11"/>
  <c r="G3948" i="11"/>
  <c r="G3947" i="11"/>
  <c r="G3946" i="11"/>
  <c r="G3945" i="11"/>
  <c r="G3944" i="11"/>
  <c r="G3943" i="11"/>
  <c r="G3942" i="11"/>
  <c r="G3941" i="11"/>
  <c r="G3940" i="11"/>
  <c r="G3939" i="11"/>
  <c r="G3938" i="11"/>
  <c r="G3937" i="11"/>
  <c r="G3936" i="11"/>
  <c r="G3935" i="11"/>
  <c r="G3934" i="11"/>
  <c r="G3933" i="11"/>
  <c r="G3932" i="11"/>
  <c r="G3931" i="11"/>
  <c r="G3930" i="11"/>
  <c r="G3929" i="11"/>
  <c r="G3928" i="11"/>
  <c r="G3927" i="11"/>
  <c r="G3926" i="11"/>
  <c r="G3925" i="11"/>
  <c r="G3924" i="11"/>
  <c r="G3923" i="11"/>
  <c r="G3922" i="11"/>
  <c r="G3921" i="11"/>
  <c r="G3920" i="11"/>
  <c r="G3919" i="11"/>
  <c r="G3918" i="11"/>
  <c r="G3917" i="11"/>
  <c r="G3916" i="11"/>
  <c r="G3915" i="11"/>
  <c r="G3914" i="11"/>
  <c r="G3913" i="11"/>
  <c r="G3912" i="11"/>
  <c r="G3911" i="11"/>
  <c r="G3910" i="11"/>
  <c r="G3909" i="11"/>
  <c r="G3908" i="11"/>
  <c r="G3907" i="11"/>
  <c r="G3906" i="11"/>
  <c r="G3905" i="11"/>
  <c r="G3904" i="11"/>
  <c r="G3903" i="11"/>
  <c r="G3902" i="11"/>
  <c r="G3901" i="11"/>
  <c r="G3900" i="11"/>
  <c r="G3899" i="11"/>
  <c r="G3898" i="11"/>
  <c r="H3897" i="11"/>
  <c r="G3897" i="11"/>
  <c r="G3896" i="11"/>
  <c r="G3895" i="11"/>
  <c r="G3894" i="11"/>
  <c r="G3893" i="11"/>
  <c r="G3892" i="11"/>
  <c r="G3891" i="11"/>
  <c r="H3890" i="11"/>
  <c r="G3890" i="11"/>
  <c r="G3889" i="11"/>
  <c r="G3888" i="11"/>
  <c r="G3887" i="11"/>
  <c r="G3886" i="11"/>
  <c r="G3885" i="11"/>
  <c r="G3884" i="11"/>
  <c r="G3883" i="11"/>
  <c r="G3882" i="11"/>
  <c r="H3881" i="11"/>
  <c r="G3881" i="11"/>
  <c r="G3880" i="11"/>
  <c r="G3879" i="11"/>
  <c r="G3878" i="11"/>
  <c r="G3877" i="11"/>
  <c r="G3876" i="11"/>
  <c r="G3875" i="11"/>
  <c r="H3874" i="11"/>
  <c r="G3874" i="11"/>
  <c r="G3873" i="11"/>
  <c r="G3872" i="11"/>
  <c r="G3871" i="11"/>
  <c r="I3870" i="11"/>
  <c r="G3870" i="11"/>
  <c r="I3869" i="11"/>
  <c r="G3869" i="11"/>
  <c r="I3868" i="11"/>
  <c r="G3868" i="11"/>
  <c r="I3867" i="11"/>
  <c r="G3867" i="11"/>
  <c r="I3866" i="11"/>
  <c r="G3866" i="11"/>
  <c r="I3865" i="11"/>
  <c r="G3865" i="11"/>
  <c r="I3864" i="11"/>
  <c r="G3864" i="11"/>
  <c r="I3863" i="11"/>
  <c r="G3863" i="11"/>
  <c r="I3862" i="11"/>
  <c r="G3862" i="11"/>
  <c r="I3861" i="11"/>
  <c r="G3861" i="11"/>
  <c r="I3860" i="11"/>
  <c r="G3860" i="11"/>
  <c r="I3859" i="11"/>
  <c r="G3859" i="11"/>
  <c r="I3858" i="11"/>
  <c r="G3858" i="11"/>
  <c r="I3857" i="11"/>
  <c r="G3857" i="11"/>
  <c r="I3856" i="11"/>
  <c r="G3856" i="11"/>
  <c r="I3855" i="11"/>
  <c r="G3855" i="11"/>
  <c r="I3854" i="11"/>
  <c r="G3854" i="11"/>
  <c r="I3853" i="11"/>
  <c r="G3853" i="11"/>
  <c r="I3852" i="11"/>
  <c r="G3852" i="11"/>
  <c r="I3851" i="11"/>
  <c r="G3851" i="11"/>
  <c r="I3850" i="11"/>
  <c r="G3850" i="11"/>
  <c r="I3849" i="11"/>
  <c r="G3849" i="11"/>
  <c r="I3848" i="11"/>
  <c r="G3848" i="11"/>
  <c r="I3847" i="11"/>
  <c r="G3847" i="11"/>
  <c r="I3846" i="11"/>
  <c r="G3846" i="11"/>
  <c r="I3845" i="11"/>
  <c r="G3845" i="11"/>
  <c r="I3844" i="11"/>
  <c r="G3844" i="11"/>
  <c r="I3843" i="11"/>
  <c r="G3843" i="11"/>
  <c r="I3842" i="11"/>
  <c r="G3842" i="11"/>
  <c r="I3841" i="11"/>
  <c r="G3841" i="11"/>
  <c r="I3840" i="11"/>
  <c r="G3840" i="11"/>
  <c r="G3839" i="11"/>
  <c r="G3838" i="11"/>
  <c r="G3837" i="11"/>
  <c r="G3836" i="11"/>
  <c r="G3835" i="11"/>
  <c r="G3834" i="11"/>
  <c r="G3833" i="11"/>
  <c r="G3832" i="11"/>
  <c r="G3831" i="11"/>
  <c r="G3830" i="11"/>
  <c r="G3829" i="11"/>
  <c r="G3828" i="11"/>
  <c r="G3827" i="11"/>
  <c r="G3826" i="11"/>
  <c r="G3825" i="11"/>
  <c r="G3824" i="11"/>
  <c r="G3823" i="11"/>
  <c r="G3822" i="11"/>
  <c r="G3821" i="11"/>
  <c r="G3820" i="11"/>
  <c r="G3819" i="11"/>
  <c r="G3818" i="11"/>
  <c r="G3817" i="11"/>
  <c r="G3816" i="11"/>
  <c r="G3815" i="11"/>
  <c r="G3814" i="11"/>
  <c r="G3813" i="11"/>
  <c r="G3812" i="11"/>
  <c r="G3811" i="11"/>
  <c r="G3810" i="11"/>
  <c r="G3809" i="11"/>
  <c r="G3808" i="11"/>
  <c r="G3807" i="11"/>
  <c r="G3806" i="11"/>
  <c r="G3805" i="11"/>
  <c r="G3804" i="11"/>
  <c r="G3803" i="11"/>
  <c r="G3802" i="11"/>
  <c r="G3801" i="11"/>
  <c r="G3800" i="11"/>
  <c r="G3799" i="11"/>
  <c r="G3798" i="11"/>
  <c r="G3797" i="11"/>
  <c r="G3796" i="11"/>
  <c r="G3795" i="11"/>
  <c r="G3794" i="11"/>
  <c r="G3793" i="11"/>
  <c r="G3792" i="11"/>
  <c r="G3791" i="11"/>
  <c r="G3790" i="11"/>
  <c r="G3789" i="11"/>
  <c r="G3788" i="11"/>
  <c r="G3787" i="11"/>
  <c r="G3786" i="11"/>
  <c r="G3785" i="11"/>
  <c r="G3784" i="11"/>
  <c r="G3783" i="11"/>
  <c r="G3782" i="11"/>
  <c r="G3781" i="11"/>
  <c r="G3780" i="11"/>
  <c r="G3779" i="11"/>
  <c r="G3778" i="11"/>
  <c r="H3777" i="11"/>
  <c r="G3777" i="11"/>
  <c r="G3776" i="11"/>
  <c r="H3775" i="11"/>
  <c r="G3775" i="11"/>
  <c r="G3774" i="11"/>
  <c r="H3773" i="11"/>
  <c r="G3773" i="11"/>
  <c r="G3772" i="11"/>
  <c r="H3771" i="11"/>
  <c r="G3771" i="11"/>
  <c r="G3770" i="11"/>
  <c r="H3769" i="11"/>
  <c r="G3769" i="11"/>
  <c r="G3768" i="11"/>
  <c r="H3767" i="11"/>
  <c r="G3767" i="11"/>
  <c r="G3766" i="11"/>
  <c r="H3765" i="11"/>
  <c r="G3765" i="11"/>
  <c r="G3764" i="11"/>
  <c r="H3763" i="11"/>
  <c r="G3763" i="11"/>
  <c r="G3762" i="11"/>
  <c r="H3761" i="11"/>
  <c r="G3761" i="11"/>
  <c r="G3760" i="11"/>
  <c r="H3759" i="11"/>
  <c r="G3759" i="11"/>
  <c r="G3758" i="11"/>
  <c r="H3757" i="11"/>
  <c r="G3757" i="11"/>
  <c r="G3756" i="11"/>
  <c r="H3755" i="11"/>
  <c r="G3755" i="11"/>
  <c r="G3754" i="11"/>
  <c r="H3753" i="11"/>
  <c r="G3753" i="11"/>
  <c r="G3752" i="11"/>
  <c r="H3751" i="11"/>
  <c r="G3751" i="11"/>
  <c r="G3750" i="11"/>
  <c r="H3749" i="11"/>
  <c r="G3749" i="11"/>
  <c r="I3748" i="11"/>
  <c r="G3748" i="11"/>
  <c r="I3747" i="11"/>
  <c r="G3747" i="11"/>
  <c r="I3746" i="11"/>
  <c r="G3746" i="11"/>
  <c r="I3745" i="11"/>
  <c r="G3745" i="11"/>
  <c r="I3744" i="11"/>
  <c r="G3744" i="11"/>
  <c r="I3743" i="11"/>
  <c r="G3743" i="11"/>
  <c r="I3742" i="11"/>
  <c r="G3742" i="11"/>
  <c r="I3741" i="11"/>
  <c r="G3741" i="11"/>
  <c r="I3740" i="11"/>
  <c r="G3740" i="11"/>
  <c r="I3739" i="11"/>
  <c r="G3739" i="11"/>
  <c r="I3738" i="11"/>
  <c r="G3738" i="11"/>
  <c r="I3737" i="11"/>
  <c r="G3737" i="11"/>
  <c r="I3736" i="11"/>
  <c r="G3736" i="11"/>
  <c r="I3735" i="11"/>
  <c r="G3735" i="11"/>
  <c r="I3734" i="11"/>
  <c r="G3734" i="11"/>
  <c r="I3733" i="11"/>
  <c r="G3733" i="11"/>
  <c r="I3732" i="11"/>
  <c r="G3732" i="11"/>
  <c r="I3731" i="11"/>
  <c r="G3731" i="11"/>
  <c r="I3730" i="11"/>
  <c r="G3730" i="11"/>
  <c r="I3729" i="11"/>
  <c r="G3729" i="11"/>
  <c r="I3728" i="11"/>
  <c r="G3728" i="11"/>
  <c r="I3727" i="11"/>
  <c r="G3727" i="11"/>
  <c r="I3726" i="11"/>
  <c r="G3726" i="11"/>
  <c r="I3725" i="11"/>
  <c r="G3725" i="11"/>
  <c r="I3724" i="11"/>
  <c r="G3724" i="11"/>
  <c r="I3723" i="11"/>
  <c r="G3723" i="11"/>
  <c r="I3722" i="11"/>
  <c r="G3722" i="11"/>
  <c r="I3721" i="11"/>
  <c r="G3721" i="11"/>
  <c r="I3720" i="11"/>
  <c r="G3720" i="11"/>
  <c r="I3719" i="11"/>
  <c r="G3719" i="11"/>
  <c r="I3718" i="11"/>
  <c r="G3718" i="11"/>
  <c r="G3717" i="11"/>
  <c r="G3716" i="11"/>
  <c r="G3715" i="11"/>
  <c r="G3714" i="11"/>
  <c r="G3713" i="11"/>
  <c r="I3712" i="11"/>
  <c r="G3712" i="11"/>
  <c r="G3711" i="11"/>
  <c r="G3710" i="11"/>
  <c r="G3709" i="11"/>
  <c r="G3708" i="11"/>
  <c r="G3707" i="11"/>
  <c r="G3706" i="11"/>
  <c r="G3705" i="11"/>
  <c r="G3704" i="11"/>
  <c r="G3703" i="11"/>
  <c r="G3702" i="11"/>
  <c r="G3701" i="11"/>
  <c r="G3700" i="11"/>
  <c r="G3699" i="11"/>
  <c r="G3698" i="11"/>
  <c r="G3697" i="11"/>
  <c r="I3696" i="11"/>
  <c r="G3696" i="11"/>
  <c r="G3695" i="11"/>
  <c r="G3694" i="11"/>
  <c r="G3693" i="11"/>
  <c r="G3692" i="11"/>
  <c r="G3691" i="11"/>
  <c r="G3690" i="11"/>
  <c r="G3689" i="11"/>
  <c r="G3688" i="11"/>
  <c r="G3687" i="11"/>
  <c r="G3686" i="11"/>
  <c r="G3685" i="11"/>
  <c r="G3684" i="11"/>
  <c r="G3683" i="11"/>
  <c r="G3682" i="11"/>
  <c r="G3681" i="11"/>
  <c r="G3680" i="11"/>
  <c r="G3679" i="11"/>
  <c r="G3678" i="11"/>
  <c r="G3677" i="11"/>
  <c r="G3676" i="11"/>
  <c r="G3675" i="11"/>
  <c r="G3674" i="11"/>
  <c r="G3673" i="11"/>
  <c r="G3672" i="11"/>
  <c r="G3671" i="11"/>
  <c r="G3670" i="11"/>
  <c r="G3669" i="11"/>
  <c r="G3668" i="11"/>
  <c r="G3667" i="11"/>
  <c r="G3666" i="11"/>
  <c r="G3665" i="11"/>
  <c r="G3664" i="11"/>
  <c r="G3663" i="11"/>
  <c r="G3662" i="11"/>
  <c r="G3661" i="11"/>
  <c r="G3660" i="11"/>
  <c r="G3659" i="11"/>
  <c r="G3658" i="11"/>
  <c r="H3657" i="11"/>
  <c r="G3657" i="11"/>
  <c r="G3656" i="11"/>
  <c r="H3655" i="11"/>
  <c r="G3655" i="11"/>
  <c r="G3654" i="11"/>
  <c r="H3653" i="11"/>
  <c r="G3653" i="11"/>
  <c r="G3652" i="11"/>
  <c r="H3651" i="11"/>
  <c r="G3651" i="11"/>
  <c r="G3650" i="11"/>
  <c r="H3649" i="11"/>
  <c r="G3649" i="11"/>
  <c r="G3648" i="11"/>
  <c r="H3647" i="11"/>
  <c r="G3647" i="11"/>
  <c r="G3646" i="11"/>
  <c r="H3645" i="11"/>
  <c r="G3645" i="11"/>
  <c r="G3644" i="11"/>
  <c r="H3643" i="11"/>
  <c r="G3643" i="11"/>
  <c r="G3642" i="11"/>
  <c r="H3641" i="11"/>
  <c r="G3641" i="11"/>
  <c r="G3640" i="11"/>
  <c r="H3639" i="11"/>
  <c r="G3639" i="11"/>
  <c r="G3638" i="11"/>
  <c r="H3637" i="11"/>
  <c r="G3637" i="11"/>
  <c r="G3636" i="11"/>
  <c r="H3635" i="11"/>
  <c r="G3635" i="11"/>
  <c r="G3634" i="11"/>
  <c r="H3633" i="11"/>
  <c r="G3633" i="11"/>
  <c r="G3632" i="11"/>
  <c r="H3631" i="11"/>
  <c r="G3631" i="11"/>
  <c r="G3630" i="11"/>
  <c r="H3629" i="11"/>
  <c r="G3629" i="11"/>
  <c r="G3628" i="11"/>
  <c r="I3627" i="11"/>
  <c r="G3627" i="11"/>
  <c r="I3626" i="11"/>
  <c r="G3626" i="11"/>
  <c r="I3625" i="11"/>
  <c r="G3625" i="11"/>
  <c r="I3624" i="11"/>
  <c r="G3624" i="11"/>
  <c r="I3623" i="11"/>
  <c r="G3623" i="11"/>
  <c r="I3622" i="11"/>
  <c r="G3622" i="11"/>
  <c r="I3621" i="11"/>
  <c r="G3621" i="11"/>
  <c r="I3620" i="11"/>
  <c r="G3620" i="11"/>
  <c r="I3619" i="11"/>
  <c r="G3619" i="11"/>
  <c r="I3618" i="11"/>
  <c r="G3618" i="11"/>
  <c r="I3617" i="11"/>
  <c r="G3617" i="11"/>
  <c r="I3616" i="11"/>
  <c r="G3616" i="11"/>
  <c r="I3615" i="11"/>
  <c r="G3615" i="11"/>
  <c r="I3614" i="11"/>
  <c r="G3614" i="11"/>
  <c r="I3613" i="11"/>
  <c r="G3613" i="11"/>
  <c r="I3612" i="11"/>
  <c r="G3612" i="11"/>
  <c r="I3611" i="11"/>
  <c r="G3611" i="11"/>
  <c r="I3610" i="11"/>
  <c r="G3610" i="11"/>
  <c r="I3609" i="11"/>
  <c r="G3609" i="11"/>
  <c r="I3608" i="11"/>
  <c r="G3608" i="11"/>
  <c r="I3607" i="11"/>
  <c r="G3607" i="11"/>
  <c r="I3606" i="11"/>
  <c r="G3606" i="11"/>
  <c r="I3605" i="11"/>
  <c r="G3605" i="11"/>
  <c r="I3604" i="11"/>
  <c r="G3604" i="11"/>
  <c r="I3603" i="11"/>
  <c r="G3603" i="11"/>
  <c r="I3602" i="11"/>
  <c r="G3602" i="11"/>
  <c r="I3601" i="11"/>
  <c r="G3601" i="11"/>
  <c r="I3600" i="11"/>
  <c r="G3600" i="11"/>
  <c r="I3599" i="11"/>
  <c r="G3599" i="11"/>
  <c r="I3598" i="11"/>
  <c r="G3598" i="11"/>
  <c r="G3597" i="11"/>
  <c r="G3596" i="11"/>
  <c r="G3595" i="11"/>
  <c r="G3594" i="11"/>
  <c r="G3593" i="11"/>
  <c r="G3592" i="11"/>
  <c r="G3591" i="11"/>
  <c r="G3590" i="11"/>
  <c r="G3589" i="11"/>
  <c r="G3588" i="11"/>
  <c r="G3587" i="11"/>
  <c r="G3586" i="11"/>
  <c r="G3585" i="11"/>
  <c r="G3584" i="11"/>
  <c r="G3583" i="11"/>
  <c r="G3582" i="11"/>
  <c r="G3581" i="11"/>
  <c r="G3580" i="11"/>
  <c r="G3579" i="11"/>
  <c r="G3578" i="11"/>
  <c r="G3577" i="11"/>
  <c r="G3576" i="11"/>
  <c r="G3575" i="11"/>
  <c r="G3574" i="11"/>
  <c r="G3573" i="11"/>
  <c r="G3572" i="11"/>
  <c r="G3571" i="11"/>
  <c r="G3570" i="11"/>
  <c r="G3569" i="11"/>
  <c r="G3568" i="11"/>
  <c r="G3567" i="11"/>
  <c r="G3566" i="11"/>
  <c r="G3565" i="11"/>
  <c r="G3564" i="11"/>
  <c r="G3563" i="11"/>
  <c r="G3562" i="11"/>
  <c r="G3561" i="11"/>
  <c r="G3560" i="11"/>
  <c r="G3559" i="11"/>
  <c r="G3558" i="11"/>
  <c r="G3557" i="11"/>
  <c r="G3556" i="11"/>
  <c r="G3555" i="11"/>
  <c r="G3554" i="11"/>
  <c r="G3553" i="11"/>
  <c r="G3552" i="11"/>
  <c r="G3551" i="11"/>
  <c r="G3550" i="11"/>
  <c r="G3549" i="11"/>
  <c r="G3548" i="11"/>
  <c r="G3547" i="11"/>
  <c r="G3546" i="11"/>
  <c r="G3545" i="11"/>
  <c r="G3544" i="11"/>
  <c r="G3543" i="11"/>
  <c r="G3542" i="11"/>
  <c r="G3541" i="11"/>
  <c r="G3540" i="11"/>
  <c r="G3539" i="11"/>
  <c r="G3538" i="11"/>
  <c r="G3537" i="11"/>
  <c r="H3536" i="11"/>
  <c r="G3536" i="11"/>
  <c r="H3535" i="11"/>
  <c r="G3535" i="11"/>
  <c r="H3534" i="11"/>
  <c r="G3534" i="11"/>
  <c r="H3533" i="11"/>
  <c r="G3533" i="11"/>
  <c r="H3532" i="11"/>
  <c r="G3532" i="11"/>
  <c r="H3531" i="11"/>
  <c r="G3531" i="11"/>
  <c r="H3530" i="11"/>
  <c r="G3530" i="11"/>
  <c r="H3529" i="11"/>
  <c r="G3529" i="11"/>
  <c r="H3528" i="11"/>
  <c r="G3528" i="11"/>
  <c r="H3527" i="11"/>
  <c r="G3527" i="11"/>
  <c r="H3526" i="11"/>
  <c r="G3526" i="11"/>
  <c r="H3525" i="11"/>
  <c r="G3525" i="11"/>
  <c r="H3524" i="11"/>
  <c r="G3524" i="11"/>
  <c r="H3523" i="11"/>
  <c r="G3523" i="11"/>
  <c r="H3522" i="11"/>
  <c r="G3522" i="11"/>
  <c r="H3521" i="11"/>
  <c r="G3521" i="11"/>
  <c r="H3520" i="11"/>
  <c r="G3520" i="11"/>
  <c r="H3519" i="11"/>
  <c r="G3519" i="11"/>
  <c r="H3518" i="11"/>
  <c r="G3518" i="11"/>
  <c r="H3517" i="11"/>
  <c r="G3517" i="11"/>
  <c r="H3516" i="11"/>
  <c r="G3516" i="11"/>
  <c r="H3515" i="11"/>
  <c r="G3515" i="11"/>
  <c r="H3514" i="11"/>
  <c r="G3514" i="11"/>
  <c r="H3513" i="11"/>
  <c r="G3513" i="11"/>
  <c r="H3512" i="11"/>
  <c r="G3512" i="11"/>
  <c r="H3511" i="11"/>
  <c r="G3511" i="11"/>
  <c r="H3510" i="11"/>
  <c r="G3510" i="11"/>
  <c r="H3509" i="11"/>
  <c r="G3509" i="11"/>
  <c r="H3508" i="11"/>
  <c r="G3508" i="11"/>
  <c r="H3507" i="11"/>
  <c r="G3507" i="11"/>
  <c r="H3506" i="11"/>
  <c r="G3506" i="11"/>
  <c r="I3505" i="11"/>
  <c r="G3505" i="11"/>
  <c r="I3504" i="11"/>
  <c r="G3504" i="11"/>
  <c r="I3503" i="11"/>
  <c r="G3503" i="11"/>
  <c r="I3502" i="11"/>
  <c r="G3502" i="11"/>
  <c r="I3501" i="11"/>
  <c r="G3501" i="11"/>
  <c r="I3500" i="11"/>
  <c r="G3500" i="11"/>
  <c r="I3499" i="11"/>
  <c r="G3499" i="11"/>
  <c r="I3498" i="11"/>
  <c r="G3498" i="11"/>
  <c r="I3497" i="11"/>
  <c r="G3497" i="11"/>
  <c r="I3496" i="11"/>
  <c r="G3496" i="11"/>
  <c r="I3495" i="11"/>
  <c r="G3495" i="11"/>
  <c r="I3494" i="11"/>
  <c r="G3494" i="11"/>
  <c r="I3493" i="11"/>
  <c r="G3493" i="11"/>
  <c r="I3492" i="11"/>
  <c r="G3492" i="11"/>
  <c r="I3491" i="11"/>
  <c r="G3491" i="11"/>
  <c r="I3490" i="11"/>
  <c r="G3490" i="11"/>
  <c r="I3489" i="11"/>
  <c r="G3489" i="11"/>
  <c r="I3488" i="11"/>
  <c r="G3488" i="11"/>
  <c r="I3487" i="11"/>
  <c r="G3487" i="11"/>
  <c r="I3486" i="11"/>
  <c r="G3486" i="11"/>
  <c r="I3485" i="11"/>
  <c r="G3485" i="11"/>
  <c r="I3484" i="11"/>
  <c r="G3484" i="11"/>
  <c r="I3483" i="11"/>
  <c r="G3483" i="11"/>
  <c r="I3482" i="11"/>
  <c r="G3482" i="11"/>
  <c r="I3481" i="11"/>
  <c r="G3481" i="11"/>
  <c r="I3480" i="11"/>
  <c r="G3480" i="11"/>
  <c r="I3479" i="11"/>
  <c r="G3479" i="11"/>
  <c r="I3478" i="11"/>
  <c r="G3478" i="11"/>
  <c r="I3477" i="11"/>
  <c r="G3477" i="11"/>
  <c r="I3476" i="11"/>
  <c r="G3476" i="11"/>
  <c r="I3475" i="11"/>
  <c r="G3475" i="11"/>
  <c r="G3474" i="11"/>
  <c r="G3473" i="11"/>
  <c r="G3472" i="11"/>
  <c r="G3471" i="11"/>
  <c r="G3470" i="11"/>
  <c r="G3469" i="11"/>
  <c r="G3468" i="11"/>
  <c r="G3467" i="11"/>
  <c r="I3466" i="11"/>
  <c r="G3466" i="11"/>
  <c r="G3465" i="11"/>
  <c r="G3464" i="11"/>
  <c r="G3463" i="11"/>
  <c r="G3462" i="11"/>
  <c r="G3461" i="11"/>
  <c r="G3460" i="11"/>
  <c r="I3459" i="11"/>
  <c r="G3459" i="11"/>
  <c r="G3458" i="11"/>
  <c r="G3457" i="11"/>
  <c r="G3456" i="11"/>
  <c r="G3455" i="11"/>
  <c r="G3454" i="11"/>
  <c r="G3453" i="11"/>
  <c r="G3452" i="11"/>
  <c r="G3451" i="11"/>
  <c r="I3450" i="11"/>
  <c r="G3450" i="11"/>
  <c r="G3449" i="11"/>
  <c r="G3448" i="11"/>
  <c r="G3447" i="11"/>
  <c r="G3446" i="11"/>
  <c r="G3445" i="11"/>
  <c r="G3444" i="11"/>
  <c r="G3443" i="11"/>
  <c r="G3442" i="11"/>
  <c r="G3441" i="11"/>
  <c r="G3440" i="11"/>
  <c r="G3439" i="11"/>
  <c r="G3438" i="11"/>
  <c r="G3437" i="11"/>
  <c r="G3436" i="11"/>
  <c r="G3435" i="11"/>
  <c r="G3434" i="11"/>
  <c r="G3433" i="11"/>
  <c r="G3432" i="11"/>
  <c r="G3431" i="11"/>
  <c r="G3430" i="11"/>
  <c r="G3429" i="11"/>
  <c r="G3428" i="11"/>
  <c r="G3427" i="11"/>
  <c r="G3426" i="11"/>
  <c r="G3425" i="11"/>
  <c r="G3424" i="11"/>
  <c r="G3423" i="11"/>
  <c r="G3422" i="11"/>
  <c r="G3421" i="11"/>
  <c r="G3420" i="11"/>
  <c r="G3419" i="11"/>
  <c r="G3418" i="11"/>
  <c r="G3417" i="11"/>
  <c r="G3416" i="11"/>
  <c r="G3415" i="11"/>
  <c r="G3414" i="11"/>
  <c r="H3413" i="11"/>
  <c r="G3413" i="11"/>
  <c r="H3412" i="11"/>
  <c r="G3412" i="11"/>
  <c r="H3411" i="11"/>
  <c r="G3411" i="11"/>
  <c r="H3410" i="11"/>
  <c r="G3410" i="11"/>
  <c r="H3409" i="11"/>
  <c r="G3409" i="11"/>
  <c r="H3408" i="11"/>
  <c r="G3408" i="11"/>
  <c r="H3407" i="11"/>
  <c r="G3407" i="11"/>
  <c r="H3406" i="11"/>
  <c r="G3406" i="11"/>
  <c r="H3405" i="11"/>
  <c r="G3405" i="11"/>
  <c r="H3404" i="11"/>
  <c r="G3404" i="11"/>
  <c r="H3403" i="11"/>
  <c r="G3403" i="11"/>
  <c r="H3402" i="11"/>
  <c r="G3402" i="11"/>
  <c r="H3401" i="11"/>
  <c r="G3401" i="11"/>
  <c r="H3400" i="11"/>
  <c r="G3400" i="11"/>
  <c r="H3399" i="11"/>
  <c r="G3399" i="11"/>
  <c r="H3398" i="11"/>
  <c r="G3398" i="11"/>
  <c r="H3397" i="11"/>
  <c r="G3397" i="11"/>
  <c r="H3396" i="11"/>
  <c r="G3396" i="11"/>
  <c r="H3395" i="11"/>
  <c r="G3395" i="11"/>
  <c r="H3394" i="11"/>
  <c r="G3394" i="11"/>
  <c r="H3393" i="11"/>
  <c r="G3393" i="11"/>
  <c r="H3392" i="11"/>
  <c r="G3392" i="11"/>
  <c r="H3391" i="11"/>
  <c r="G3391" i="11"/>
  <c r="H3390" i="11"/>
  <c r="G3390" i="11"/>
  <c r="H3389" i="11"/>
  <c r="G3389" i="11"/>
  <c r="H3388" i="11"/>
  <c r="G3388" i="11"/>
  <c r="H3387" i="11"/>
  <c r="G3387" i="11"/>
  <c r="H3386" i="11"/>
  <c r="G3386" i="11"/>
  <c r="H3385" i="11"/>
  <c r="G3385" i="11"/>
  <c r="H3384" i="11"/>
  <c r="G3384" i="11"/>
  <c r="I3383" i="11"/>
  <c r="G3383" i="11"/>
  <c r="I3382" i="11"/>
  <c r="G3382" i="11"/>
  <c r="I3381" i="11"/>
  <c r="G3381" i="11"/>
  <c r="I3380" i="11"/>
  <c r="G3380" i="11"/>
  <c r="I3379" i="11"/>
  <c r="G3379" i="11"/>
  <c r="I3378" i="11"/>
  <c r="G3378" i="11"/>
  <c r="I3377" i="11"/>
  <c r="G3377" i="11"/>
  <c r="I3376" i="11"/>
  <c r="G3376" i="11"/>
  <c r="I3375" i="11"/>
  <c r="G3375" i="11"/>
  <c r="I3374" i="11"/>
  <c r="G3374" i="11"/>
  <c r="I3373" i="11"/>
  <c r="G3373" i="11"/>
  <c r="I3372" i="11"/>
  <c r="G3372" i="11"/>
  <c r="I3371" i="11"/>
  <c r="G3371" i="11"/>
  <c r="I3370" i="11"/>
  <c r="G3370" i="11"/>
  <c r="I3369" i="11"/>
  <c r="G3369" i="11"/>
  <c r="I3368" i="11"/>
  <c r="G3368" i="11"/>
  <c r="I3367" i="11"/>
  <c r="G3367" i="11"/>
  <c r="I3366" i="11"/>
  <c r="G3366" i="11"/>
  <c r="I3365" i="11"/>
  <c r="G3365" i="11"/>
  <c r="I3364" i="11"/>
  <c r="G3364" i="11"/>
  <c r="I3363" i="11"/>
  <c r="G3363" i="11"/>
  <c r="I3362" i="11"/>
  <c r="G3362" i="11"/>
  <c r="I3361" i="11"/>
  <c r="G3361" i="11"/>
  <c r="I3360" i="11"/>
  <c r="G3360" i="11"/>
  <c r="I3359" i="11"/>
  <c r="G3359" i="11"/>
  <c r="I3358" i="11"/>
  <c r="G3358" i="11"/>
  <c r="I3357" i="11"/>
  <c r="G3357" i="11"/>
  <c r="I3356" i="11"/>
  <c r="G3356" i="11"/>
  <c r="I3355" i="11"/>
  <c r="G3355" i="11"/>
  <c r="I3354" i="11"/>
  <c r="G3354" i="11"/>
  <c r="I3353" i="11"/>
  <c r="G3353" i="11"/>
  <c r="G3352" i="11"/>
  <c r="G3351" i="11"/>
  <c r="G3350" i="11"/>
  <c r="G3349" i="11"/>
  <c r="G3348" i="11"/>
  <c r="I3347" i="11"/>
  <c r="G3347" i="11"/>
  <c r="G3346" i="11"/>
  <c r="G3345" i="11"/>
  <c r="G3344" i="11"/>
  <c r="G3343" i="11"/>
  <c r="G3342" i="11"/>
  <c r="G3341" i="11"/>
  <c r="G3340" i="11"/>
  <c r="G3339" i="11"/>
  <c r="I3338" i="11"/>
  <c r="G3338" i="11"/>
  <c r="G3337" i="11"/>
  <c r="G3336" i="11"/>
  <c r="G3335" i="11"/>
  <c r="G3334" i="11"/>
  <c r="G3333" i="11"/>
  <c r="G3332" i="11"/>
  <c r="I3331" i="11"/>
  <c r="G3331" i="11"/>
  <c r="G3330" i="11"/>
  <c r="G3329" i="11"/>
  <c r="G3328" i="11"/>
  <c r="G3327" i="11"/>
  <c r="G3326" i="11"/>
  <c r="G3325" i="11"/>
  <c r="G3324" i="11"/>
  <c r="G3323" i="11"/>
  <c r="G3322" i="11"/>
  <c r="G3321" i="11"/>
  <c r="G3320" i="11"/>
  <c r="G3319" i="11"/>
  <c r="G3318" i="11"/>
  <c r="G3317" i="11"/>
  <c r="G3316" i="11"/>
  <c r="G3315" i="11"/>
  <c r="G3314" i="11"/>
  <c r="G3313" i="11"/>
  <c r="G3312" i="11"/>
  <c r="G3311" i="11"/>
  <c r="G3310" i="11"/>
  <c r="G3309" i="11"/>
  <c r="G3308" i="11"/>
  <c r="G3307" i="11"/>
  <c r="G3306" i="11"/>
  <c r="G3305" i="11"/>
  <c r="G3304" i="11"/>
  <c r="G3303" i="11"/>
  <c r="G3302" i="11"/>
  <c r="G3301" i="11"/>
  <c r="G3300" i="11"/>
  <c r="G3299" i="11"/>
  <c r="G3298" i="11"/>
  <c r="G3297" i="11"/>
  <c r="G3296" i="11"/>
  <c r="G3295" i="11"/>
  <c r="G3294" i="11"/>
  <c r="H3293" i="11"/>
  <c r="G3293" i="11"/>
  <c r="H3292" i="11"/>
  <c r="G3292" i="11"/>
  <c r="H3291" i="11"/>
  <c r="G3291" i="11"/>
  <c r="H3290" i="11"/>
  <c r="G3290" i="11"/>
  <c r="H3289" i="11"/>
  <c r="G3289" i="11"/>
  <c r="H3288" i="11"/>
  <c r="G3288" i="11"/>
  <c r="H3287" i="11"/>
  <c r="G3287" i="11"/>
  <c r="H3286" i="11"/>
  <c r="G3286" i="11"/>
  <c r="H3285" i="11"/>
  <c r="G3285" i="11"/>
  <c r="H3284" i="11"/>
  <c r="G3284" i="11"/>
  <c r="H3283" i="11"/>
  <c r="G3283" i="11"/>
  <c r="H3282" i="11"/>
  <c r="G3282" i="11"/>
  <c r="H3281" i="11"/>
  <c r="G3281" i="11"/>
  <c r="H3280" i="11"/>
  <c r="G3280" i="11"/>
  <c r="H3279" i="11"/>
  <c r="G3279" i="11"/>
  <c r="H3278" i="11"/>
  <c r="G3278" i="11"/>
  <c r="H3277" i="11"/>
  <c r="G3277" i="11"/>
  <c r="H3276" i="11"/>
  <c r="G3276" i="11"/>
  <c r="H3275" i="11"/>
  <c r="G3275" i="11"/>
  <c r="H3274" i="11"/>
  <c r="G3274" i="11"/>
  <c r="H3273" i="11"/>
  <c r="G3273" i="11"/>
  <c r="H3272" i="11"/>
  <c r="G3272" i="11"/>
  <c r="H3271" i="11"/>
  <c r="G3271" i="11"/>
  <c r="H3270" i="11"/>
  <c r="G3270" i="11"/>
  <c r="H3269" i="11"/>
  <c r="G3269" i="11"/>
  <c r="H3268" i="11"/>
  <c r="G3268" i="11"/>
  <c r="H3267" i="11"/>
  <c r="G3267" i="11"/>
  <c r="H3266" i="11"/>
  <c r="G3266" i="11"/>
  <c r="H3265" i="11"/>
  <c r="G3265" i="11"/>
  <c r="H3264" i="11"/>
  <c r="G3264" i="11"/>
  <c r="H3263" i="11"/>
  <c r="G3263" i="11"/>
  <c r="I3262" i="11"/>
  <c r="G3262" i="11"/>
  <c r="I3261" i="11"/>
  <c r="G3261" i="11"/>
  <c r="I3260" i="11"/>
  <c r="G3260" i="11"/>
  <c r="I3259" i="11"/>
  <c r="G3259" i="11"/>
  <c r="I3258" i="11"/>
  <c r="G3258" i="11"/>
  <c r="I3257" i="11"/>
  <c r="G3257" i="11"/>
  <c r="I3256" i="11"/>
  <c r="G3256" i="11"/>
  <c r="I3255" i="11"/>
  <c r="G3255" i="11"/>
  <c r="I3254" i="11"/>
  <c r="G3254" i="11"/>
  <c r="I3253" i="11"/>
  <c r="G3253" i="11"/>
  <c r="I3252" i="11"/>
  <c r="G3252" i="11"/>
  <c r="I3251" i="11"/>
  <c r="G3251" i="11"/>
  <c r="I3250" i="11"/>
  <c r="G3250" i="11"/>
  <c r="I3249" i="11"/>
  <c r="G3249" i="11"/>
  <c r="I3248" i="11"/>
  <c r="G3248" i="11"/>
  <c r="I3247" i="11"/>
  <c r="G3247" i="11"/>
  <c r="I3246" i="11"/>
  <c r="G3246" i="11"/>
  <c r="I3245" i="11"/>
  <c r="G3245" i="11"/>
  <c r="I3244" i="11"/>
  <c r="G3244" i="11"/>
  <c r="I3243" i="11"/>
  <c r="G3243" i="11"/>
  <c r="I3242" i="11"/>
  <c r="G3242" i="11"/>
  <c r="I3241" i="11"/>
  <c r="G3241" i="11"/>
  <c r="I3240" i="11"/>
  <c r="G3240" i="11"/>
  <c r="I3239" i="11"/>
  <c r="G3239" i="11"/>
  <c r="I3238" i="11"/>
  <c r="G3238" i="11"/>
  <c r="I3237" i="11"/>
  <c r="G3237" i="11"/>
  <c r="I3236" i="11"/>
  <c r="G3236" i="11"/>
  <c r="I3235" i="11"/>
  <c r="G3235" i="11"/>
  <c r="I3234" i="11"/>
  <c r="G3234" i="11"/>
  <c r="I3233" i="11"/>
  <c r="G3233" i="11"/>
  <c r="I3232" i="11"/>
  <c r="G3232" i="11"/>
  <c r="I3231" i="11"/>
  <c r="G3231" i="11"/>
  <c r="I3230" i="11"/>
  <c r="G3230" i="11"/>
  <c r="I3229" i="11"/>
  <c r="G3229" i="11"/>
  <c r="I3228" i="11"/>
  <c r="G3228" i="11"/>
  <c r="I3227" i="11"/>
  <c r="G3227" i="11"/>
  <c r="I3226" i="11"/>
  <c r="G3226" i="11"/>
  <c r="I3225" i="11"/>
  <c r="G3225" i="11"/>
  <c r="I3224" i="11"/>
  <c r="G3224" i="11"/>
  <c r="I3223" i="11"/>
  <c r="G3223" i="11"/>
  <c r="I3222" i="11"/>
  <c r="G3222" i="11"/>
  <c r="I3221" i="11"/>
  <c r="G3221" i="11"/>
  <c r="I3220" i="11"/>
  <c r="G3220" i="11"/>
  <c r="I3219" i="11"/>
  <c r="G3219" i="11"/>
  <c r="I3218" i="11"/>
  <c r="G3218" i="11"/>
  <c r="I3217" i="11"/>
  <c r="G3217" i="11"/>
  <c r="I3216" i="11"/>
  <c r="G3216" i="11"/>
  <c r="I3215" i="11"/>
  <c r="G3215" i="11"/>
  <c r="I3214" i="11"/>
  <c r="G3214" i="11"/>
  <c r="I3213" i="11"/>
  <c r="G3213" i="11"/>
  <c r="I3212" i="11"/>
  <c r="G3212" i="11"/>
  <c r="I3211" i="11"/>
  <c r="G3211" i="11"/>
  <c r="I3210" i="11"/>
  <c r="G3210" i="11"/>
  <c r="I3209" i="11"/>
  <c r="G3209" i="11"/>
  <c r="I3208" i="11"/>
  <c r="G3208" i="11"/>
  <c r="I3207" i="11"/>
  <c r="G3207" i="11"/>
  <c r="I3206" i="11"/>
  <c r="G3206" i="11"/>
  <c r="I3205" i="11"/>
  <c r="G3205" i="11"/>
  <c r="I3204" i="11"/>
  <c r="G3204" i="11"/>
  <c r="I3203" i="11"/>
  <c r="G3203" i="11"/>
  <c r="I3202" i="11"/>
  <c r="G3202" i="11"/>
  <c r="G3201" i="11"/>
  <c r="G3200" i="11"/>
  <c r="G3199" i="11"/>
  <c r="G3198" i="11"/>
  <c r="G3197" i="11"/>
  <c r="G3196" i="11"/>
  <c r="G3195" i="11"/>
  <c r="G3194" i="11"/>
  <c r="G3193" i="11"/>
  <c r="G3192" i="11"/>
  <c r="G3191" i="11"/>
  <c r="G3190" i="11"/>
  <c r="G3189" i="11"/>
  <c r="G3188" i="11"/>
  <c r="G3187" i="11"/>
  <c r="G3186" i="11"/>
  <c r="G3185" i="11"/>
  <c r="G3184" i="11"/>
  <c r="G3183" i="11"/>
  <c r="G3182" i="11"/>
  <c r="G3181" i="11"/>
  <c r="G3180" i="11"/>
  <c r="G3179" i="11"/>
  <c r="G3178" i="11"/>
  <c r="G3177" i="11"/>
  <c r="G3176" i="11"/>
  <c r="G3175" i="11"/>
  <c r="G3174" i="11"/>
  <c r="G3173" i="11"/>
  <c r="G3172" i="11"/>
  <c r="H3171" i="11"/>
  <c r="G3171" i="11"/>
  <c r="H3170" i="11"/>
  <c r="G3170" i="11"/>
  <c r="H3169" i="11"/>
  <c r="G3169" i="11"/>
  <c r="H3168" i="11"/>
  <c r="G3168" i="11"/>
  <c r="H3167" i="11"/>
  <c r="G3167" i="11"/>
  <c r="H3166" i="11"/>
  <c r="G3166" i="11"/>
  <c r="H3165" i="11"/>
  <c r="G3165" i="11"/>
  <c r="H3164" i="11"/>
  <c r="G3164" i="11"/>
  <c r="H3163" i="11"/>
  <c r="G3163" i="11"/>
  <c r="H3162" i="11"/>
  <c r="G3162" i="11"/>
  <c r="H3161" i="11"/>
  <c r="G3161" i="11"/>
  <c r="H3160" i="11"/>
  <c r="G3160" i="11"/>
  <c r="H3159" i="11"/>
  <c r="G3159" i="11"/>
  <c r="H3158" i="11"/>
  <c r="G3158" i="11"/>
  <c r="H3157" i="11"/>
  <c r="G3157" i="11"/>
  <c r="H3156" i="11"/>
  <c r="G3156" i="11"/>
  <c r="H3155" i="11"/>
  <c r="G3155" i="11"/>
  <c r="H3154" i="11"/>
  <c r="G3154" i="11"/>
  <c r="H3153" i="11"/>
  <c r="G3153" i="11"/>
  <c r="H3152" i="11"/>
  <c r="G3152" i="11"/>
  <c r="H3151" i="11"/>
  <c r="G3151" i="11"/>
  <c r="H3150" i="11"/>
  <c r="G3150" i="11"/>
  <c r="H3149" i="11"/>
  <c r="G3149" i="11"/>
  <c r="H3148" i="11"/>
  <c r="G3148" i="11"/>
  <c r="H3147" i="11"/>
  <c r="G3147" i="11"/>
  <c r="H3146" i="11"/>
  <c r="G3146" i="11"/>
  <c r="H3145" i="11"/>
  <c r="G3145" i="11"/>
  <c r="H3144" i="11"/>
  <c r="G3144" i="11"/>
  <c r="H3143" i="11"/>
  <c r="G3143" i="11"/>
  <c r="H3142" i="11"/>
  <c r="G3142" i="11"/>
  <c r="H3141" i="11"/>
  <c r="G3141" i="11"/>
  <c r="I3140" i="11"/>
  <c r="G3140" i="11"/>
  <c r="I3139" i="11"/>
  <c r="G3139" i="11"/>
  <c r="I3138" i="11"/>
  <c r="G3138" i="11"/>
  <c r="I3137" i="11"/>
  <c r="G3137" i="11"/>
  <c r="I3136" i="11"/>
  <c r="G3136" i="11"/>
  <c r="I3135" i="11"/>
  <c r="G3135" i="11"/>
  <c r="I3134" i="11"/>
  <c r="G3134" i="11"/>
  <c r="I3133" i="11"/>
  <c r="G3133" i="11"/>
  <c r="I3132" i="11"/>
  <c r="G3132" i="11"/>
  <c r="I3131" i="11"/>
  <c r="G3131" i="11"/>
  <c r="I3130" i="11"/>
  <c r="G3130" i="11"/>
  <c r="I3129" i="11"/>
  <c r="G3129" i="11"/>
  <c r="I3128" i="11"/>
  <c r="G3128" i="11"/>
  <c r="I3127" i="11"/>
  <c r="G3127" i="11"/>
  <c r="I3126" i="11"/>
  <c r="G3126" i="11"/>
  <c r="I3125" i="11"/>
  <c r="G3125" i="11"/>
  <c r="I3124" i="11"/>
  <c r="G3124" i="11"/>
  <c r="I3123" i="11"/>
  <c r="G3123" i="11"/>
  <c r="I3122" i="11"/>
  <c r="G3122" i="11"/>
  <c r="I3121" i="11"/>
  <c r="G3121" i="11"/>
  <c r="I3120" i="11"/>
  <c r="G3120" i="11"/>
  <c r="I3119" i="11"/>
  <c r="G3119" i="11"/>
  <c r="I3118" i="11"/>
  <c r="G3118" i="11"/>
  <c r="I3117" i="11"/>
  <c r="G3117" i="11"/>
  <c r="I3116" i="11"/>
  <c r="G3116" i="11"/>
  <c r="I3115" i="11"/>
  <c r="G3115" i="11"/>
  <c r="I3114" i="11"/>
  <c r="G3114" i="11"/>
  <c r="I3113" i="11"/>
  <c r="G3113" i="11"/>
  <c r="I3112" i="11"/>
  <c r="G3112" i="11"/>
  <c r="I3111" i="11"/>
  <c r="G3111" i="11"/>
  <c r="I3110" i="11"/>
  <c r="G3110" i="11"/>
  <c r="I3109" i="11"/>
  <c r="G3109" i="11"/>
  <c r="I3108" i="11"/>
  <c r="G3108" i="11"/>
  <c r="I3107" i="11"/>
  <c r="G3107" i="11"/>
  <c r="I3106" i="11"/>
  <c r="G3106" i="11"/>
  <c r="I3105" i="11"/>
  <c r="G3105" i="11"/>
  <c r="I3104" i="11"/>
  <c r="G3104" i="11"/>
  <c r="I3103" i="11"/>
  <c r="G3103" i="11"/>
  <c r="I3102" i="11"/>
  <c r="G3102" i="11"/>
  <c r="I3101" i="11"/>
  <c r="G3101" i="11"/>
  <c r="I3100" i="11"/>
  <c r="G3100" i="11"/>
  <c r="I3099" i="11"/>
  <c r="G3099" i="11"/>
  <c r="I3098" i="11"/>
  <c r="G3098" i="11"/>
  <c r="I3097" i="11"/>
  <c r="G3097" i="11"/>
  <c r="I3096" i="11"/>
  <c r="G3096" i="11"/>
  <c r="I3095" i="11"/>
  <c r="G3095" i="11"/>
  <c r="I3094" i="11"/>
  <c r="G3094" i="11"/>
  <c r="I3093" i="11"/>
  <c r="G3093" i="11"/>
  <c r="I3092" i="11"/>
  <c r="G3092" i="11"/>
  <c r="I3091" i="11"/>
  <c r="G3091" i="11"/>
  <c r="I3090" i="11"/>
  <c r="G3090" i="11"/>
  <c r="I3089" i="11"/>
  <c r="G3089" i="11"/>
  <c r="I3088" i="11"/>
  <c r="G3088" i="11"/>
  <c r="I3087" i="11"/>
  <c r="G3087" i="11"/>
  <c r="I3086" i="11"/>
  <c r="G3086" i="11"/>
  <c r="I3085" i="11"/>
  <c r="G3085" i="11"/>
  <c r="I3084" i="11"/>
  <c r="G3084" i="11"/>
  <c r="I3083" i="11"/>
  <c r="G3083" i="11"/>
  <c r="I3082" i="11"/>
  <c r="G3082" i="11"/>
  <c r="I3081" i="11"/>
  <c r="G3081" i="11"/>
  <c r="I3080" i="11"/>
  <c r="G3080" i="11"/>
  <c r="G3079" i="11"/>
  <c r="G3078" i="11"/>
  <c r="G3077" i="11"/>
  <c r="G3076" i="11"/>
  <c r="G3075" i="11"/>
  <c r="G3074" i="11"/>
  <c r="G3073" i="11"/>
  <c r="G3072" i="11"/>
  <c r="G3071" i="11"/>
  <c r="G3070" i="11"/>
  <c r="G3069" i="11"/>
  <c r="G3068" i="11"/>
  <c r="G3067" i="11"/>
  <c r="G3066" i="11"/>
  <c r="G3065" i="11"/>
  <c r="G3064" i="11"/>
  <c r="G3063" i="11"/>
  <c r="G3062" i="11"/>
  <c r="G3061" i="11"/>
  <c r="G3060" i="11"/>
  <c r="G3059" i="11"/>
  <c r="G3058" i="11"/>
  <c r="G3057" i="11"/>
  <c r="G3056" i="11"/>
  <c r="G3055" i="11"/>
  <c r="G3054" i="11"/>
  <c r="G3053" i="11"/>
  <c r="G3052" i="11"/>
  <c r="G3051" i="11"/>
  <c r="G3050" i="11"/>
  <c r="G3049" i="11"/>
  <c r="H3048" i="11"/>
  <c r="G3048" i="11"/>
  <c r="H3047" i="11"/>
  <c r="G3047" i="11"/>
  <c r="H3046" i="11"/>
  <c r="G3046" i="11"/>
  <c r="H3045" i="11"/>
  <c r="G3045" i="11"/>
  <c r="H3044" i="11"/>
  <c r="G3044" i="11"/>
  <c r="H3043" i="11"/>
  <c r="G3043" i="11"/>
  <c r="H3042" i="11"/>
  <c r="G3042" i="11"/>
  <c r="H3041" i="11"/>
  <c r="G3041" i="11"/>
  <c r="H3040" i="11"/>
  <c r="G3040" i="11"/>
  <c r="H3039" i="11"/>
  <c r="G3039" i="11"/>
  <c r="H3038" i="11"/>
  <c r="G3038" i="11"/>
  <c r="H3037" i="11"/>
  <c r="G3037" i="11"/>
  <c r="H3036" i="11"/>
  <c r="G3036" i="11"/>
  <c r="H3035" i="11"/>
  <c r="G3035" i="11"/>
  <c r="H3034" i="11"/>
  <c r="G3034" i="11"/>
  <c r="H3033" i="11"/>
  <c r="G3033" i="11"/>
  <c r="H3032" i="11"/>
  <c r="G3032" i="11"/>
  <c r="H3031" i="11"/>
  <c r="G3031" i="11"/>
  <c r="H3030" i="11"/>
  <c r="G3030" i="11"/>
  <c r="H3029" i="11"/>
  <c r="G3029" i="11"/>
  <c r="H3028" i="11"/>
  <c r="G3028" i="11"/>
  <c r="H3027" i="11"/>
  <c r="G3027" i="11"/>
  <c r="H3026" i="11"/>
  <c r="G3026" i="11"/>
  <c r="H3025" i="11"/>
  <c r="G3025" i="11"/>
  <c r="H3024" i="11"/>
  <c r="G3024" i="11"/>
  <c r="H3023" i="11"/>
  <c r="G3023" i="11"/>
  <c r="H3022" i="11"/>
  <c r="G3022" i="11"/>
  <c r="H3021" i="11"/>
  <c r="G3021" i="11"/>
  <c r="H3020" i="11"/>
  <c r="G3020" i="11"/>
  <c r="H3019" i="11"/>
  <c r="G3019" i="11"/>
  <c r="I3018" i="11"/>
  <c r="G3018" i="11"/>
  <c r="I3017" i="11"/>
  <c r="G3017" i="11"/>
  <c r="I3016" i="11"/>
  <c r="G3016" i="11"/>
  <c r="I3015" i="11"/>
  <c r="G3015" i="11"/>
  <c r="I3014" i="11"/>
  <c r="G3014" i="11"/>
  <c r="I3013" i="11"/>
  <c r="G3013" i="11"/>
  <c r="I3012" i="11"/>
  <c r="G3012" i="11"/>
  <c r="I3011" i="11"/>
  <c r="G3011" i="11"/>
  <c r="I3010" i="11"/>
  <c r="G3010" i="11"/>
  <c r="I3009" i="11"/>
  <c r="G3009" i="11"/>
  <c r="I3008" i="11"/>
  <c r="G3008" i="11"/>
  <c r="I3007" i="11"/>
  <c r="G3007" i="11"/>
  <c r="I3006" i="11"/>
  <c r="G3006" i="11"/>
  <c r="I3005" i="11"/>
  <c r="G3005" i="11"/>
  <c r="I3004" i="11"/>
  <c r="G3004" i="11"/>
  <c r="I3003" i="11"/>
  <c r="G3003" i="11"/>
  <c r="I3002" i="11"/>
  <c r="G3002" i="11"/>
  <c r="I3001" i="11"/>
  <c r="G3001" i="11"/>
  <c r="I3000" i="11"/>
  <c r="G3000" i="11"/>
  <c r="I2999" i="11"/>
  <c r="G2999" i="11"/>
  <c r="I2998" i="11"/>
  <c r="G2998" i="11"/>
  <c r="I2997" i="11"/>
  <c r="G2997" i="11"/>
  <c r="I2996" i="11"/>
  <c r="G2996" i="11"/>
  <c r="I2995" i="11"/>
  <c r="G2995" i="11"/>
  <c r="I2994" i="11"/>
  <c r="G2994" i="11"/>
  <c r="I2993" i="11"/>
  <c r="G2993" i="11"/>
  <c r="I2992" i="11"/>
  <c r="G2992" i="11"/>
  <c r="I2991" i="11"/>
  <c r="G2991" i="11"/>
  <c r="I2990" i="11"/>
  <c r="G2990" i="11"/>
  <c r="I2989" i="11"/>
  <c r="G2989" i="11"/>
  <c r="I2988" i="11"/>
  <c r="G2988" i="11"/>
  <c r="I2987" i="11"/>
  <c r="G2987" i="11"/>
  <c r="I2986" i="11"/>
  <c r="G2986" i="11"/>
  <c r="I2985" i="11"/>
  <c r="G2985" i="11"/>
  <c r="I2984" i="11"/>
  <c r="G2984" i="11"/>
  <c r="I2983" i="11"/>
  <c r="G2983" i="11"/>
  <c r="I2982" i="11"/>
  <c r="G2982" i="11"/>
  <c r="I2981" i="11"/>
  <c r="G2981" i="11"/>
  <c r="I2980" i="11"/>
  <c r="G2980" i="11"/>
  <c r="I2979" i="11"/>
  <c r="G2979" i="11"/>
  <c r="I2978" i="11"/>
  <c r="G2978" i="11"/>
  <c r="I2977" i="11"/>
  <c r="G2977" i="11"/>
  <c r="I2976" i="11"/>
  <c r="G2976" i="11"/>
  <c r="I2975" i="11"/>
  <c r="G2975" i="11"/>
  <c r="I2974" i="11"/>
  <c r="G2974" i="11"/>
  <c r="I2973" i="11"/>
  <c r="G2973" i="11"/>
  <c r="I2972" i="11"/>
  <c r="G2972" i="11"/>
  <c r="I2971" i="11"/>
  <c r="G2971" i="11"/>
  <c r="I2970" i="11"/>
  <c r="G2970" i="11"/>
  <c r="I2969" i="11"/>
  <c r="G2969" i="11"/>
  <c r="I2968" i="11"/>
  <c r="G2968" i="11"/>
  <c r="I2967" i="11"/>
  <c r="G2967" i="11"/>
  <c r="I2966" i="11"/>
  <c r="G2966" i="11"/>
  <c r="I2965" i="11"/>
  <c r="G2965" i="11"/>
  <c r="I2964" i="11"/>
  <c r="G2964" i="11"/>
  <c r="I2963" i="11"/>
  <c r="G2963" i="11"/>
  <c r="I2962" i="11"/>
  <c r="G2962" i="11"/>
  <c r="I2961" i="11"/>
  <c r="G2961" i="11"/>
  <c r="I2960" i="11"/>
  <c r="G2960" i="11"/>
  <c r="G2959" i="11"/>
  <c r="G2958" i="11"/>
  <c r="G2957" i="11"/>
  <c r="G2956" i="11"/>
  <c r="G2955" i="11"/>
  <c r="G2954" i="11"/>
  <c r="G2953" i="11"/>
  <c r="G2952" i="11"/>
  <c r="G2951" i="11"/>
  <c r="G2950" i="11"/>
  <c r="G2949" i="11"/>
  <c r="G2948" i="11"/>
  <c r="G2947" i="11"/>
  <c r="G2946" i="11"/>
  <c r="G2945" i="11"/>
  <c r="G2944" i="11"/>
  <c r="G2943" i="11"/>
  <c r="G2942" i="11"/>
  <c r="G2941" i="11"/>
  <c r="G2940" i="11"/>
  <c r="G2939" i="11"/>
  <c r="G2938" i="11"/>
  <c r="G2937" i="11"/>
  <c r="G2936" i="11"/>
  <c r="G2935" i="11"/>
  <c r="G2934" i="11"/>
  <c r="G2933" i="11"/>
  <c r="G2932" i="11"/>
  <c r="G2931" i="11"/>
  <c r="G2930" i="11"/>
  <c r="G2929" i="11"/>
  <c r="H2928" i="11"/>
  <c r="G2928" i="11"/>
  <c r="H2927" i="11"/>
  <c r="G2927" i="11"/>
  <c r="H2926" i="11"/>
  <c r="G2926" i="11"/>
  <c r="H2925" i="11"/>
  <c r="G2925" i="11"/>
  <c r="H2924" i="11"/>
  <c r="G2924" i="11"/>
  <c r="H2923" i="11"/>
  <c r="G2923" i="11"/>
  <c r="H2922" i="11"/>
  <c r="G2922" i="11"/>
  <c r="H2921" i="11"/>
  <c r="G2921" i="11"/>
  <c r="H2920" i="11"/>
  <c r="G2920" i="11"/>
  <c r="H2919" i="11"/>
  <c r="G2919" i="11"/>
  <c r="H2918" i="11"/>
  <c r="G2918" i="11"/>
  <c r="H2917" i="11"/>
  <c r="G2917" i="11"/>
  <c r="H2916" i="11"/>
  <c r="G2916" i="11"/>
  <c r="H2915" i="11"/>
  <c r="G2915" i="11"/>
  <c r="H2914" i="11"/>
  <c r="G2914" i="11"/>
  <c r="H2913" i="11"/>
  <c r="G2913" i="11"/>
  <c r="H2912" i="11"/>
  <c r="G2912" i="11"/>
  <c r="H2911" i="11"/>
  <c r="G2911" i="11"/>
  <c r="H2910" i="11"/>
  <c r="G2910" i="11"/>
  <c r="H2909" i="11"/>
  <c r="G2909" i="11"/>
  <c r="H2908" i="11"/>
  <c r="G2908" i="11"/>
  <c r="H2907" i="11"/>
  <c r="G2907" i="11"/>
  <c r="H2906" i="11"/>
  <c r="G2906" i="11"/>
  <c r="H2905" i="11"/>
  <c r="G2905" i="11"/>
  <c r="H2904" i="11"/>
  <c r="G2904" i="11"/>
  <c r="H2903" i="11"/>
  <c r="G2903" i="11"/>
  <c r="H2902" i="11"/>
  <c r="G2902" i="11"/>
  <c r="H2901" i="11"/>
  <c r="G2901" i="11"/>
  <c r="H2900" i="11"/>
  <c r="G2900" i="11"/>
  <c r="H2899" i="11"/>
  <c r="G2899" i="11"/>
  <c r="H2898" i="11"/>
  <c r="G2898" i="11"/>
  <c r="I2897" i="11"/>
  <c r="G2897" i="11"/>
  <c r="I2896" i="11"/>
  <c r="G2896" i="11"/>
  <c r="I2895" i="11"/>
  <c r="G2895" i="11"/>
  <c r="I2894" i="11"/>
  <c r="G2894" i="11"/>
  <c r="I2893" i="11"/>
  <c r="G2893" i="11"/>
  <c r="I2892" i="11"/>
  <c r="G2892" i="11"/>
  <c r="I2891" i="11"/>
  <c r="G2891" i="11"/>
  <c r="I2890" i="11"/>
  <c r="G2890" i="11"/>
  <c r="I2889" i="11"/>
  <c r="G2889" i="11"/>
  <c r="I2888" i="11"/>
  <c r="G2888" i="11"/>
  <c r="I2887" i="11"/>
  <c r="G2887" i="11"/>
  <c r="I2886" i="11"/>
  <c r="G2886" i="11"/>
  <c r="I2885" i="11"/>
  <c r="G2885" i="11"/>
  <c r="I2884" i="11"/>
  <c r="G2884" i="11"/>
  <c r="I2883" i="11"/>
  <c r="G2883" i="11"/>
  <c r="I2882" i="11"/>
  <c r="G2882" i="11"/>
  <c r="I2881" i="11"/>
  <c r="G2881" i="11"/>
  <c r="I2880" i="11"/>
  <c r="G2880" i="11"/>
  <c r="I2879" i="11"/>
  <c r="G2879" i="11"/>
  <c r="I2878" i="11"/>
  <c r="G2878" i="11"/>
  <c r="I2877" i="11"/>
  <c r="G2877" i="11"/>
  <c r="I2876" i="11"/>
  <c r="G2876" i="11"/>
  <c r="I2875" i="11"/>
  <c r="G2875" i="11"/>
  <c r="I2874" i="11"/>
  <c r="G2874" i="11"/>
  <c r="I2873" i="11"/>
  <c r="G2873" i="11"/>
  <c r="I2872" i="11"/>
  <c r="G2872" i="11"/>
  <c r="I2871" i="11"/>
  <c r="G2871" i="11"/>
  <c r="I2870" i="11"/>
  <c r="G2870" i="11"/>
  <c r="I2869" i="11"/>
  <c r="G2869" i="11"/>
  <c r="I2868" i="11"/>
  <c r="G2868" i="11"/>
  <c r="I2867" i="11"/>
  <c r="G2867" i="11"/>
  <c r="I2866" i="11"/>
  <c r="G2866" i="11"/>
  <c r="I2865" i="11"/>
  <c r="G2865" i="11"/>
  <c r="I2864" i="11"/>
  <c r="G2864" i="11"/>
  <c r="I2863" i="11"/>
  <c r="G2863" i="11"/>
  <c r="I2862" i="11"/>
  <c r="G2862" i="11"/>
  <c r="I2861" i="11"/>
  <c r="G2861" i="11"/>
  <c r="I2860" i="11"/>
  <c r="G2860" i="11"/>
  <c r="I2859" i="11"/>
  <c r="G2859" i="11"/>
  <c r="I2858" i="11"/>
  <c r="G2858" i="11"/>
  <c r="I2857" i="11"/>
  <c r="G2857" i="11"/>
  <c r="I2856" i="11"/>
  <c r="G2856" i="11"/>
  <c r="I2855" i="11"/>
  <c r="G2855" i="11"/>
  <c r="I2854" i="11"/>
  <c r="G2854" i="11"/>
  <c r="I2853" i="11"/>
  <c r="G2853" i="11"/>
  <c r="I2852" i="11"/>
  <c r="G2852" i="11"/>
  <c r="I2851" i="11"/>
  <c r="G2851" i="11"/>
  <c r="I2850" i="11"/>
  <c r="G2850" i="11"/>
  <c r="I2849" i="11"/>
  <c r="G2849" i="11"/>
  <c r="I2848" i="11"/>
  <c r="G2848" i="11"/>
  <c r="I2847" i="11"/>
  <c r="G2847" i="11"/>
  <c r="I2846" i="11"/>
  <c r="G2846" i="11"/>
  <c r="I2845" i="11"/>
  <c r="G2845" i="11"/>
  <c r="I2844" i="11"/>
  <c r="G2844" i="11"/>
  <c r="I2843" i="11"/>
  <c r="G2843" i="11"/>
  <c r="I2842" i="11"/>
  <c r="G2842" i="11"/>
  <c r="I2841" i="11"/>
  <c r="G2841" i="11"/>
  <c r="I2840" i="11"/>
  <c r="G2840" i="11"/>
  <c r="I2839" i="11"/>
  <c r="G2839" i="11"/>
  <c r="I2838" i="11"/>
  <c r="G2838" i="11"/>
  <c r="I2837" i="11"/>
  <c r="G2837" i="11"/>
  <c r="G2836" i="11"/>
  <c r="G2835" i="11"/>
  <c r="G2834" i="11"/>
  <c r="G2833" i="11"/>
  <c r="G2832" i="11"/>
  <c r="G2831" i="11"/>
  <c r="G2830" i="11"/>
  <c r="G2829" i="11"/>
  <c r="G2828" i="11"/>
  <c r="G2827" i="11"/>
  <c r="G2826" i="11"/>
  <c r="G2825" i="11"/>
  <c r="G2824" i="11"/>
  <c r="G2823" i="11"/>
  <c r="G2822" i="11"/>
  <c r="G2821" i="11"/>
  <c r="G2820" i="11"/>
  <c r="G2819" i="11"/>
  <c r="G2818" i="11"/>
  <c r="G2817" i="11"/>
  <c r="G2816" i="11"/>
  <c r="G2815" i="11"/>
  <c r="G2814" i="11"/>
  <c r="G2813" i="11"/>
  <c r="G2812" i="11"/>
  <c r="G2811" i="11"/>
  <c r="G2810" i="11"/>
  <c r="G2809" i="11"/>
  <c r="G2808" i="11"/>
  <c r="G2807" i="11"/>
  <c r="H2806" i="11"/>
  <c r="G2806" i="11"/>
  <c r="H2805" i="11"/>
  <c r="G2805" i="11"/>
  <c r="H2804" i="11"/>
  <c r="G2804" i="11"/>
  <c r="H2803" i="11"/>
  <c r="G2803" i="11"/>
  <c r="H2802" i="11"/>
  <c r="G2802" i="11"/>
  <c r="H2801" i="11"/>
  <c r="G2801" i="11"/>
  <c r="H2800" i="11"/>
  <c r="G2800" i="11"/>
  <c r="H2799" i="11"/>
  <c r="G2799" i="11"/>
  <c r="H2798" i="11"/>
  <c r="G2798" i="11"/>
  <c r="H2797" i="11"/>
  <c r="G2797" i="11"/>
  <c r="H2796" i="11"/>
  <c r="G2796" i="11"/>
  <c r="H2795" i="11"/>
  <c r="G2795" i="11"/>
  <c r="H2794" i="11"/>
  <c r="G2794" i="11"/>
  <c r="H2793" i="11"/>
  <c r="G2793" i="11"/>
  <c r="H2792" i="11"/>
  <c r="G2792" i="11"/>
  <c r="H2791" i="11"/>
  <c r="G2791" i="11"/>
  <c r="H2790" i="11"/>
  <c r="G2790" i="11"/>
  <c r="H2789" i="11"/>
  <c r="G2789" i="11"/>
  <c r="H2788" i="11"/>
  <c r="G2788" i="11"/>
  <c r="H2787" i="11"/>
  <c r="G2787" i="11"/>
  <c r="H2786" i="11"/>
  <c r="G2786" i="11"/>
  <c r="H2785" i="11"/>
  <c r="G2785" i="11"/>
  <c r="H2784" i="11"/>
  <c r="G2784" i="11"/>
  <c r="H2783" i="11"/>
  <c r="G2783" i="11"/>
  <c r="H2782" i="11"/>
  <c r="G2782" i="11"/>
  <c r="H2781" i="11"/>
  <c r="G2781" i="11"/>
  <c r="H2780" i="11"/>
  <c r="G2780" i="11"/>
  <c r="H2779" i="11"/>
  <c r="G2779" i="11"/>
  <c r="H2778" i="11"/>
  <c r="G2778" i="11"/>
  <c r="H2777" i="11"/>
  <c r="G2777" i="11"/>
  <c r="H2776" i="11"/>
  <c r="G2776" i="11"/>
  <c r="I2775" i="11"/>
  <c r="G2775" i="11"/>
  <c r="I2774" i="11"/>
  <c r="G2774" i="11"/>
  <c r="I2773" i="11"/>
  <c r="G2773" i="11"/>
  <c r="I2772" i="11"/>
  <c r="G2772" i="11"/>
  <c r="I2771" i="11"/>
  <c r="G2771" i="11"/>
  <c r="I2770" i="11"/>
  <c r="G2770" i="11"/>
  <c r="I2769" i="11"/>
  <c r="G2769" i="11"/>
  <c r="I2768" i="11"/>
  <c r="G2768" i="11"/>
  <c r="I2767" i="11"/>
  <c r="G2767" i="11"/>
  <c r="I2766" i="11"/>
  <c r="G2766" i="11"/>
  <c r="I2765" i="11"/>
  <c r="G2765" i="11"/>
  <c r="I2764" i="11"/>
  <c r="G2764" i="11"/>
  <c r="I2763" i="11"/>
  <c r="G2763" i="11"/>
  <c r="I2762" i="11"/>
  <c r="G2762" i="11"/>
  <c r="I2761" i="11"/>
  <c r="G2761" i="11"/>
  <c r="I2760" i="11"/>
  <c r="G2760" i="11"/>
  <c r="I2759" i="11"/>
  <c r="G2759" i="11"/>
  <c r="I2758" i="11"/>
  <c r="G2758" i="11"/>
  <c r="I2757" i="11"/>
  <c r="G2757" i="11"/>
  <c r="I2756" i="11"/>
  <c r="G2756" i="11"/>
  <c r="I2755" i="11"/>
  <c r="G2755" i="11"/>
  <c r="I2754" i="11"/>
  <c r="G2754" i="11"/>
  <c r="I2753" i="11"/>
  <c r="G2753" i="11"/>
  <c r="I2752" i="11"/>
  <c r="G2752" i="11"/>
  <c r="I2751" i="11"/>
  <c r="G2751" i="11"/>
  <c r="I2750" i="11"/>
  <c r="G2750" i="11"/>
  <c r="I2749" i="11"/>
  <c r="G2749" i="11"/>
  <c r="I2748" i="11"/>
  <c r="G2748" i="11"/>
  <c r="I2747" i="11"/>
  <c r="G2747" i="11"/>
  <c r="I2746" i="11"/>
  <c r="G2746" i="11"/>
  <c r="I2745" i="11"/>
  <c r="G2745" i="11"/>
  <c r="I2744" i="11"/>
  <c r="G2744" i="11"/>
  <c r="I2743" i="11"/>
  <c r="G2743" i="11"/>
  <c r="I2742" i="11"/>
  <c r="G2742" i="11"/>
  <c r="I2741" i="11"/>
  <c r="G2741" i="11"/>
  <c r="I2740" i="11"/>
  <c r="G2740" i="11"/>
  <c r="I2739" i="11"/>
  <c r="G2739" i="11"/>
  <c r="I2738" i="11"/>
  <c r="G2738" i="11"/>
  <c r="I2737" i="11"/>
  <c r="G2737" i="11"/>
  <c r="I2736" i="11"/>
  <c r="G2736" i="11"/>
  <c r="I2735" i="11"/>
  <c r="G2735" i="11"/>
  <c r="I2734" i="11"/>
  <c r="G2734" i="11"/>
  <c r="I2733" i="11"/>
  <c r="G2733" i="11"/>
  <c r="I2732" i="11"/>
  <c r="G2732" i="11"/>
  <c r="I2731" i="11"/>
  <c r="G2731" i="11"/>
  <c r="I2730" i="11"/>
  <c r="G2730" i="11"/>
  <c r="I2729" i="11"/>
  <c r="G2729" i="11"/>
  <c r="I2728" i="11"/>
  <c r="G2728" i="11"/>
  <c r="I2727" i="11"/>
  <c r="G2727" i="11"/>
  <c r="I2726" i="11"/>
  <c r="G2726" i="11"/>
  <c r="I2725" i="11"/>
  <c r="G2725" i="11"/>
  <c r="I2724" i="11"/>
  <c r="G2724" i="11"/>
  <c r="I2723" i="11"/>
  <c r="G2723" i="11"/>
  <c r="I2722" i="11"/>
  <c r="G2722" i="11"/>
  <c r="I2721" i="11"/>
  <c r="G2721" i="11"/>
  <c r="I2720" i="11"/>
  <c r="G2720" i="11"/>
  <c r="I2719" i="11"/>
  <c r="G2719" i="11"/>
  <c r="I2718" i="11"/>
  <c r="G2718" i="11"/>
  <c r="I2717" i="11"/>
  <c r="G2717" i="11"/>
  <c r="I2716" i="11"/>
  <c r="G2716" i="11"/>
  <c r="I2715" i="11"/>
  <c r="G2715" i="11"/>
  <c r="G2714" i="11"/>
  <c r="G2713" i="11"/>
  <c r="G2712" i="11"/>
  <c r="G2711" i="11"/>
  <c r="G2710" i="11"/>
  <c r="G2709" i="11"/>
  <c r="G2708" i="11"/>
  <c r="G2707" i="11"/>
  <c r="G2706" i="11"/>
  <c r="G2705" i="11"/>
  <c r="G2704" i="11"/>
  <c r="G2703" i="11"/>
  <c r="G2702" i="11"/>
  <c r="G2701" i="11"/>
  <c r="G2700" i="11"/>
  <c r="G2699" i="11"/>
  <c r="G2698" i="11"/>
  <c r="G2697" i="11"/>
  <c r="G2696" i="11"/>
  <c r="G2695" i="11"/>
  <c r="G2694" i="11"/>
  <c r="G2693" i="11"/>
  <c r="G2692" i="11"/>
  <c r="G2691" i="11"/>
  <c r="G2690" i="11"/>
  <c r="G2689" i="11"/>
  <c r="G2688" i="11"/>
  <c r="G2687" i="11"/>
  <c r="G2686" i="11"/>
  <c r="G2685" i="11"/>
  <c r="G2684" i="11"/>
  <c r="H2683" i="11"/>
  <c r="G2683" i="11"/>
  <c r="H2682" i="11"/>
  <c r="G2682" i="11"/>
  <c r="H2681" i="11"/>
  <c r="G2681" i="11"/>
  <c r="H2680" i="11"/>
  <c r="G2680" i="11"/>
  <c r="H2679" i="11"/>
  <c r="G2679" i="11"/>
  <c r="H2678" i="11"/>
  <c r="G2678" i="11"/>
  <c r="H2677" i="11"/>
  <c r="G2677" i="11"/>
  <c r="H2676" i="11"/>
  <c r="G2676" i="11"/>
  <c r="H2675" i="11"/>
  <c r="G2675" i="11"/>
  <c r="H2674" i="11"/>
  <c r="G2674" i="11"/>
  <c r="H2673" i="11"/>
  <c r="G2673" i="11"/>
  <c r="H2672" i="11"/>
  <c r="G2672" i="11"/>
  <c r="H2671" i="11"/>
  <c r="G2671" i="11"/>
  <c r="H2670" i="11"/>
  <c r="G2670" i="11"/>
  <c r="H2669" i="11"/>
  <c r="G2669" i="11"/>
  <c r="H2668" i="11"/>
  <c r="G2668" i="11"/>
  <c r="H2667" i="11"/>
  <c r="G2667" i="11"/>
  <c r="H2666" i="11"/>
  <c r="G2666" i="11"/>
  <c r="H2665" i="11"/>
  <c r="G2665" i="11"/>
  <c r="H2664" i="11"/>
  <c r="G2664" i="11"/>
  <c r="H2663" i="11"/>
  <c r="G2663" i="11"/>
  <c r="H2662" i="11"/>
  <c r="G2662" i="11"/>
  <c r="H2661" i="11"/>
  <c r="G2661" i="11"/>
  <c r="H2660" i="11"/>
  <c r="G2660" i="11"/>
  <c r="H2659" i="11"/>
  <c r="G2659" i="11"/>
  <c r="H2658" i="11"/>
  <c r="G2658" i="11"/>
  <c r="H2657" i="11"/>
  <c r="G2657" i="11"/>
  <c r="H2656" i="11"/>
  <c r="G2656" i="11"/>
  <c r="H2655" i="11"/>
  <c r="G2655" i="11"/>
  <c r="H2654" i="11"/>
  <c r="G2654" i="11"/>
  <c r="I2653" i="11"/>
  <c r="G2653" i="11"/>
  <c r="I2652" i="11"/>
  <c r="G2652" i="11"/>
  <c r="I2651" i="11"/>
  <c r="G2651" i="11"/>
  <c r="I2650" i="11"/>
  <c r="G2650" i="11"/>
  <c r="I2649" i="11"/>
  <c r="G2649" i="11"/>
  <c r="I2648" i="11"/>
  <c r="G2648" i="11"/>
  <c r="I2647" i="11"/>
  <c r="G2647" i="11"/>
  <c r="I2646" i="11"/>
  <c r="G2646" i="11"/>
  <c r="I2645" i="11"/>
  <c r="G2645" i="11"/>
  <c r="I2644" i="11"/>
  <c r="G2644" i="11"/>
  <c r="I2643" i="11"/>
  <c r="G2643" i="11"/>
  <c r="I2642" i="11"/>
  <c r="G2642" i="11"/>
  <c r="I2641" i="11"/>
  <c r="G2641" i="11"/>
  <c r="I2640" i="11"/>
  <c r="G2640" i="11"/>
  <c r="I2639" i="11"/>
  <c r="G2639" i="11"/>
  <c r="I2638" i="11"/>
  <c r="G2638" i="11"/>
  <c r="I2637" i="11"/>
  <c r="G2637" i="11"/>
  <c r="I2636" i="11"/>
  <c r="G2636" i="11"/>
  <c r="I2635" i="11"/>
  <c r="G2635" i="11"/>
  <c r="I2634" i="11"/>
  <c r="G2634" i="11"/>
  <c r="I2633" i="11"/>
  <c r="G2633" i="11"/>
  <c r="I2632" i="11"/>
  <c r="G2632" i="11"/>
  <c r="I2631" i="11"/>
  <c r="G2631" i="11"/>
  <c r="I2630" i="11"/>
  <c r="G2630" i="11"/>
  <c r="I2629" i="11"/>
  <c r="G2629" i="11"/>
  <c r="I2628" i="11"/>
  <c r="G2628" i="11"/>
  <c r="I2627" i="11"/>
  <c r="G2627" i="11"/>
  <c r="I2626" i="11"/>
  <c r="G2626" i="11"/>
  <c r="I2625" i="11"/>
  <c r="G2625" i="11"/>
  <c r="I2624" i="11"/>
  <c r="G2624" i="11"/>
  <c r="I2623" i="11"/>
  <c r="G2623" i="11"/>
  <c r="I2622" i="11"/>
  <c r="G2622" i="11"/>
  <c r="I2621" i="11"/>
  <c r="G2621" i="11"/>
  <c r="I2620" i="11"/>
  <c r="G2620" i="11"/>
  <c r="I2619" i="11"/>
  <c r="G2619" i="11"/>
  <c r="I2618" i="11"/>
  <c r="G2618" i="11"/>
  <c r="I2617" i="11"/>
  <c r="G2617" i="11"/>
  <c r="I2616" i="11"/>
  <c r="G2616" i="11"/>
  <c r="I2615" i="11"/>
  <c r="G2615" i="11"/>
  <c r="I2614" i="11"/>
  <c r="G2614" i="11"/>
  <c r="I2613" i="11"/>
  <c r="G2613" i="11"/>
  <c r="I2612" i="11"/>
  <c r="G2612" i="11"/>
  <c r="I2611" i="11"/>
  <c r="G2611" i="11"/>
  <c r="I2610" i="11"/>
  <c r="G2610" i="11"/>
  <c r="I2609" i="11"/>
  <c r="G2609" i="11"/>
  <c r="I2608" i="11"/>
  <c r="G2608" i="11"/>
  <c r="I2607" i="11"/>
  <c r="G2607" i="11"/>
  <c r="I2606" i="11"/>
  <c r="G2606" i="11"/>
  <c r="I2605" i="11"/>
  <c r="G2605" i="11"/>
  <c r="I2604" i="11"/>
  <c r="G2604" i="11"/>
  <c r="I2603" i="11"/>
  <c r="G2603" i="11"/>
  <c r="I2602" i="11"/>
  <c r="G2602" i="11"/>
  <c r="I2601" i="11"/>
  <c r="G2601" i="11"/>
  <c r="I2600" i="11"/>
  <c r="G2600" i="11"/>
  <c r="I2599" i="11"/>
  <c r="G2599" i="11"/>
  <c r="I2598" i="11"/>
  <c r="G2598" i="11"/>
  <c r="I2597" i="11"/>
  <c r="G2597" i="11"/>
  <c r="I2596" i="11"/>
  <c r="G2596" i="11"/>
  <c r="I2595" i="11"/>
  <c r="G2595" i="11"/>
  <c r="I2594" i="11"/>
  <c r="G2594" i="11"/>
  <c r="G2593" i="11"/>
  <c r="G2592" i="11"/>
  <c r="G2591" i="11"/>
  <c r="G2590" i="11"/>
  <c r="G2589" i="11"/>
  <c r="G2588" i="11"/>
  <c r="G2587" i="11"/>
  <c r="G2586" i="11"/>
  <c r="G2585" i="11"/>
  <c r="G2584" i="11"/>
  <c r="G2583" i="11"/>
  <c r="G2582" i="11"/>
  <c r="G2581" i="11"/>
  <c r="G2580" i="11"/>
  <c r="G2579" i="11"/>
  <c r="G2578" i="11"/>
  <c r="G2577" i="11"/>
  <c r="G2576" i="11"/>
  <c r="G2575" i="11"/>
  <c r="G2574" i="11"/>
  <c r="G2573" i="11"/>
  <c r="G2572" i="11"/>
  <c r="G2571" i="11"/>
  <c r="G2570" i="11"/>
  <c r="G2569" i="11"/>
  <c r="G2568" i="11"/>
  <c r="G2567" i="11"/>
  <c r="G2566" i="11"/>
  <c r="G2565" i="11"/>
  <c r="G2564" i="11"/>
  <c r="G2563" i="11"/>
  <c r="H2562" i="11"/>
  <c r="G2562" i="11"/>
  <c r="H2561" i="11"/>
  <c r="G2561" i="11"/>
  <c r="H2560" i="11"/>
  <c r="G2560" i="11"/>
  <c r="H2559" i="11"/>
  <c r="G2559" i="11"/>
  <c r="H2558" i="11"/>
  <c r="G2558" i="11"/>
  <c r="H2557" i="11"/>
  <c r="G2557" i="11"/>
  <c r="H2556" i="11"/>
  <c r="G2556" i="11"/>
  <c r="H2555" i="11"/>
  <c r="G2555" i="11"/>
  <c r="H2554" i="11"/>
  <c r="G2554" i="11"/>
  <c r="H2553" i="11"/>
  <c r="G2553" i="11"/>
  <c r="H2552" i="11"/>
  <c r="G2552" i="11"/>
  <c r="H2551" i="11"/>
  <c r="G2551" i="11"/>
  <c r="H2550" i="11"/>
  <c r="G2550" i="11"/>
  <c r="H2549" i="11"/>
  <c r="G2549" i="11"/>
  <c r="H2548" i="11"/>
  <c r="G2548" i="11"/>
  <c r="H2547" i="11"/>
  <c r="G2547" i="11"/>
  <c r="H2546" i="11"/>
  <c r="G2546" i="11"/>
  <c r="H2545" i="11"/>
  <c r="G2545" i="11"/>
  <c r="H2544" i="11"/>
  <c r="G2544" i="11"/>
  <c r="H2543" i="11"/>
  <c r="G2543" i="11"/>
  <c r="H2542" i="11"/>
  <c r="G2542" i="11"/>
  <c r="H2541" i="11"/>
  <c r="G2541" i="11"/>
  <c r="H2540" i="11"/>
  <c r="G2540" i="11"/>
  <c r="H2539" i="11"/>
  <c r="G2539" i="11"/>
  <c r="H2538" i="11"/>
  <c r="G2538" i="11"/>
  <c r="H2537" i="11"/>
  <c r="G2537" i="11"/>
  <c r="H2536" i="11"/>
  <c r="G2536" i="11"/>
  <c r="H2535" i="11"/>
  <c r="G2535" i="11"/>
  <c r="H2534" i="11"/>
  <c r="G2534" i="11"/>
  <c r="H2533" i="11"/>
  <c r="G2533" i="11"/>
  <c r="H2532" i="11"/>
  <c r="G2532" i="11"/>
  <c r="I2531" i="11"/>
  <c r="G2531" i="11"/>
  <c r="I2530" i="11"/>
  <c r="G2530" i="11"/>
  <c r="I2529" i="11"/>
  <c r="G2529" i="11"/>
  <c r="I2528" i="11"/>
  <c r="G2528" i="11"/>
  <c r="I2527" i="11"/>
  <c r="G2527" i="11"/>
  <c r="I2526" i="11"/>
  <c r="G2526" i="11"/>
  <c r="I2525" i="11"/>
  <c r="G2525" i="11"/>
  <c r="I2524" i="11"/>
  <c r="G2524" i="11"/>
  <c r="I2523" i="11"/>
  <c r="G2523" i="11"/>
  <c r="I2522" i="11"/>
  <c r="G2522" i="11"/>
  <c r="I2521" i="11"/>
  <c r="G2521" i="11"/>
  <c r="I2520" i="11"/>
  <c r="G2520" i="11"/>
  <c r="I2519" i="11"/>
  <c r="G2519" i="11"/>
  <c r="I2518" i="11"/>
  <c r="G2518" i="11"/>
  <c r="I2517" i="11"/>
  <c r="G2517" i="11"/>
  <c r="I2516" i="11"/>
  <c r="G2516" i="11"/>
  <c r="I2515" i="11"/>
  <c r="G2515" i="11"/>
  <c r="I2514" i="11"/>
  <c r="G2514" i="11"/>
  <c r="I2513" i="11"/>
  <c r="G2513" i="11"/>
  <c r="I2512" i="11"/>
  <c r="G2512" i="11"/>
  <c r="I2511" i="11"/>
  <c r="G2511" i="11"/>
  <c r="I2510" i="11"/>
  <c r="G2510" i="11"/>
  <c r="I2509" i="11"/>
  <c r="G2509" i="11"/>
  <c r="I2508" i="11"/>
  <c r="G2508" i="11"/>
  <c r="I2507" i="11"/>
  <c r="G2507" i="11"/>
  <c r="I2506" i="11"/>
  <c r="G2506" i="11"/>
  <c r="I2505" i="11"/>
  <c r="G2505" i="11"/>
  <c r="I2504" i="11"/>
  <c r="G2504" i="11"/>
  <c r="I2503" i="11"/>
  <c r="G2503" i="11"/>
  <c r="I2502" i="11"/>
  <c r="G2502" i="11"/>
  <c r="I2501" i="11"/>
  <c r="G2501" i="11"/>
  <c r="I2500" i="11"/>
  <c r="G2500" i="11"/>
  <c r="I2499" i="11"/>
  <c r="G2499" i="11"/>
  <c r="I2498" i="11"/>
  <c r="G2498" i="11"/>
  <c r="I2497" i="11"/>
  <c r="G2497" i="11"/>
  <c r="I2496" i="11"/>
  <c r="G2496" i="11"/>
  <c r="I2495" i="11"/>
  <c r="G2495" i="11"/>
  <c r="I2494" i="11"/>
  <c r="G2494" i="11"/>
  <c r="I2493" i="11"/>
  <c r="G2493" i="11"/>
  <c r="I2492" i="11"/>
  <c r="G2492" i="11"/>
  <c r="I2491" i="11"/>
  <c r="G2491" i="11"/>
  <c r="I2490" i="11"/>
  <c r="G2490" i="11"/>
  <c r="I2489" i="11"/>
  <c r="G2489" i="11"/>
  <c r="I2488" i="11"/>
  <c r="G2488" i="11"/>
  <c r="I2487" i="11"/>
  <c r="G2487" i="11"/>
  <c r="I2486" i="11"/>
  <c r="G2486" i="11"/>
  <c r="I2485" i="11"/>
  <c r="G2485" i="11"/>
  <c r="I2484" i="11"/>
  <c r="G2484" i="11"/>
  <c r="I2483" i="11"/>
  <c r="G2483" i="11"/>
  <c r="I2482" i="11"/>
  <c r="G2482" i="11"/>
  <c r="I2481" i="11"/>
  <c r="G2481" i="11"/>
  <c r="I2480" i="11"/>
  <c r="G2480" i="11"/>
  <c r="I2479" i="11"/>
  <c r="G2479" i="11"/>
  <c r="I2478" i="11"/>
  <c r="G2478" i="11"/>
  <c r="I2477" i="11"/>
  <c r="G2477" i="11"/>
  <c r="I2476" i="11"/>
  <c r="G2476" i="11"/>
  <c r="I2475" i="11"/>
  <c r="G2475" i="11"/>
  <c r="I2474" i="11"/>
  <c r="G2474" i="11"/>
  <c r="I2473" i="11"/>
  <c r="G2473" i="11"/>
  <c r="I2472" i="11"/>
  <c r="G2472" i="11"/>
  <c r="I2471" i="11"/>
  <c r="G2471" i="11"/>
  <c r="G2470" i="11"/>
  <c r="G2469" i="11"/>
  <c r="G2468" i="11"/>
  <c r="G2467" i="11"/>
  <c r="G2466" i="11"/>
  <c r="G2465" i="11"/>
  <c r="G2464" i="11"/>
  <c r="G2463" i="11"/>
  <c r="G2462" i="11"/>
  <c r="G2461" i="11"/>
  <c r="G2460" i="11"/>
  <c r="G2459" i="11"/>
  <c r="G2458" i="11"/>
  <c r="G2457" i="11"/>
  <c r="G2456" i="11"/>
  <c r="G2455" i="11"/>
  <c r="G2454" i="11"/>
  <c r="G2453" i="11"/>
  <c r="G2452" i="11"/>
  <c r="G2451" i="11"/>
  <c r="G2450" i="11"/>
  <c r="G2449" i="11"/>
  <c r="G2448" i="11"/>
  <c r="G2447" i="11"/>
  <c r="G2446" i="11"/>
  <c r="G2445" i="11"/>
  <c r="G2444" i="11"/>
  <c r="G2443" i="11"/>
  <c r="G2442" i="11"/>
  <c r="G2441" i="11"/>
  <c r="H2440" i="11"/>
  <c r="G2440" i="11"/>
  <c r="H2439" i="11"/>
  <c r="G2439" i="11"/>
  <c r="H2438" i="11"/>
  <c r="G2438" i="11"/>
  <c r="H2437" i="11"/>
  <c r="G2437" i="11"/>
  <c r="H2436" i="11"/>
  <c r="G2436" i="11"/>
  <c r="H2435" i="11"/>
  <c r="G2435" i="11"/>
  <c r="H2434" i="11"/>
  <c r="G2434" i="11"/>
  <c r="H2433" i="11"/>
  <c r="G2433" i="11"/>
  <c r="H2432" i="11"/>
  <c r="G2432" i="11"/>
  <c r="H2431" i="11"/>
  <c r="G2431" i="11"/>
  <c r="H2430" i="11"/>
  <c r="G2430" i="11"/>
  <c r="H2429" i="11"/>
  <c r="G2429" i="11"/>
  <c r="H2428" i="11"/>
  <c r="G2428" i="11"/>
  <c r="H2427" i="11"/>
  <c r="G2427" i="11"/>
  <c r="H2426" i="11"/>
  <c r="G2426" i="11"/>
  <c r="H2425" i="11"/>
  <c r="G2425" i="11"/>
  <c r="H2424" i="11"/>
  <c r="G2424" i="11"/>
  <c r="H2423" i="11"/>
  <c r="G2423" i="11"/>
  <c r="H2422" i="11"/>
  <c r="G2422" i="11"/>
  <c r="H2421" i="11"/>
  <c r="G2421" i="11"/>
  <c r="H2420" i="11"/>
  <c r="G2420" i="11"/>
  <c r="H2419" i="11"/>
  <c r="G2419" i="11"/>
  <c r="H2418" i="11"/>
  <c r="G2418" i="11"/>
  <c r="H2417" i="11"/>
  <c r="G2417" i="11"/>
  <c r="H2416" i="11"/>
  <c r="G2416" i="11"/>
  <c r="H2415" i="11"/>
  <c r="G2415" i="11"/>
  <c r="H2414" i="11"/>
  <c r="G2414" i="11"/>
  <c r="H2413" i="11"/>
  <c r="G2413" i="11"/>
  <c r="H2412" i="11"/>
  <c r="G2412" i="11"/>
  <c r="H2411" i="11"/>
  <c r="G2411" i="11"/>
  <c r="H2410" i="11"/>
  <c r="G2410" i="11"/>
  <c r="I2409" i="11"/>
  <c r="G2409" i="11"/>
  <c r="I2408" i="11"/>
  <c r="G2408" i="11"/>
  <c r="I2407" i="11"/>
  <c r="G2407" i="11"/>
  <c r="I2406" i="11"/>
  <c r="G2406" i="11"/>
  <c r="I2405" i="11"/>
  <c r="G2405" i="11"/>
  <c r="I2404" i="11"/>
  <c r="G2404" i="11"/>
  <c r="I2403" i="11"/>
  <c r="G2403" i="11"/>
  <c r="I2402" i="11"/>
  <c r="G2402" i="11"/>
  <c r="I2401" i="11"/>
  <c r="G2401" i="11"/>
  <c r="I2400" i="11"/>
  <c r="G2400" i="11"/>
  <c r="I2399" i="11"/>
  <c r="G2399" i="11"/>
  <c r="I2398" i="11"/>
  <c r="G2398" i="11"/>
  <c r="I2397" i="11"/>
  <c r="G2397" i="11"/>
  <c r="I2396" i="11"/>
  <c r="G2396" i="11"/>
  <c r="I2395" i="11"/>
  <c r="G2395" i="11"/>
  <c r="I2394" i="11"/>
  <c r="G2394" i="11"/>
  <c r="I2393" i="11"/>
  <c r="G2393" i="11"/>
  <c r="I2392" i="11"/>
  <c r="G2392" i="11"/>
  <c r="I2391" i="11"/>
  <c r="G2391" i="11"/>
  <c r="I2390" i="11"/>
  <c r="G2390" i="11"/>
  <c r="I2389" i="11"/>
  <c r="G2389" i="11"/>
  <c r="I2388" i="11"/>
  <c r="G2388" i="11"/>
  <c r="I2387" i="11"/>
  <c r="G2387" i="11"/>
  <c r="I2386" i="11"/>
  <c r="G2386" i="11"/>
  <c r="I2385" i="11"/>
  <c r="G2385" i="11"/>
  <c r="I2384" i="11"/>
  <c r="G2384" i="11"/>
  <c r="I2383" i="11"/>
  <c r="G2383" i="11"/>
  <c r="I2382" i="11"/>
  <c r="G2382" i="11"/>
  <c r="I2381" i="11"/>
  <c r="G2381" i="11"/>
  <c r="I2380" i="11"/>
  <c r="G2380" i="11"/>
  <c r="I2379" i="11"/>
  <c r="G2379" i="11"/>
  <c r="I2378" i="11"/>
  <c r="G2378" i="11"/>
  <c r="I2377" i="11"/>
  <c r="G2377" i="11"/>
  <c r="I2376" i="11"/>
  <c r="G2376" i="11"/>
  <c r="I2375" i="11"/>
  <c r="G2375" i="11"/>
  <c r="I2374" i="11"/>
  <c r="G2374" i="11"/>
  <c r="I2373" i="11"/>
  <c r="G2373" i="11"/>
  <c r="I2372" i="11"/>
  <c r="G2372" i="11"/>
  <c r="I2371" i="11"/>
  <c r="G2371" i="11"/>
  <c r="I2370" i="11"/>
  <c r="G2370" i="11"/>
  <c r="I2369" i="11"/>
  <c r="G2369" i="11"/>
  <c r="I2368" i="11"/>
  <c r="G2368" i="11"/>
  <c r="I2367" i="11"/>
  <c r="G2367" i="11"/>
  <c r="I2366" i="11"/>
  <c r="G2366" i="11"/>
  <c r="I2365" i="11"/>
  <c r="G2365" i="11"/>
  <c r="I2364" i="11"/>
  <c r="G2364" i="11"/>
  <c r="I2363" i="11"/>
  <c r="G2363" i="11"/>
  <c r="I2362" i="11"/>
  <c r="G2362" i="11"/>
  <c r="I2361" i="11"/>
  <c r="G2361" i="11"/>
  <c r="I2360" i="11"/>
  <c r="G2360" i="11"/>
  <c r="I2359" i="11"/>
  <c r="G2359" i="11"/>
  <c r="I2358" i="11"/>
  <c r="G2358" i="11"/>
  <c r="I2357" i="11"/>
  <c r="G2357" i="11"/>
  <c r="I2356" i="11"/>
  <c r="G2356" i="11"/>
  <c r="I2355" i="11"/>
  <c r="G2355" i="11"/>
  <c r="I2354" i="11"/>
  <c r="G2354" i="11"/>
  <c r="I2353" i="11"/>
  <c r="G2353" i="11"/>
  <c r="I2352" i="11"/>
  <c r="G2352" i="11"/>
  <c r="I2351" i="11"/>
  <c r="G2351" i="11"/>
  <c r="I2350" i="11"/>
  <c r="G2350" i="11"/>
  <c r="I2349" i="11"/>
  <c r="G2349" i="11"/>
  <c r="G2348" i="11"/>
  <c r="G2347" i="11"/>
  <c r="G2346" i="11"/>
  <c r="G2345" i="11"/>
  <c r="G2344" i="11"/>
  <c r="G2343" i="11"/>
  <c r="G2342" i="11"/>
  <c r="G2341" i="11"/>
  <c r="G2340" i="11"/>
  <c r="G2339" i="11"/>
  <c r="G2338" i="11"/>
  <c r="G2337" i="11"/>
  <c r="G2336" i="11"/>
  <c r="G2335" i="11"/>
  <c r="G2334" i="11"/>
  <c r="G2333" i="11"/>
  <c r="G2332" i="11"/>
  <c r="G2331" i="11"/>
  <c r="G2330" i="11"/>
  <c r="G2329" i="11"/>
  <c r="G2328" i="11"/>
  <c r="G2327" i="11"/>
  <c r="G2326" i="11"/>
  <c r="G2325" i="11"/>
  <c r="G2324" i="11"/>
  <c r="G2323" i="11"/>
  <c r="G2322" i="11"/>
  <c r="G2321" i="11"/>
  <c r="G2320" i="11"/>
  <c r="G2319" i="11"/>
  <c r="G2318" i="11"/>
  <c r="H2317" i="11"/>
  <c r="G2317" i="11"/>
  <c r="H2316" i="11"/>
  <c r="G2316" i="11"/>
  <c r="H2315" i="11"/>
  <c r="G2315" i="11"/>
  <c r="H2314" i="11"/>
  <c r="G2314" i="11"/>
  <c r="H2313" i="11"/>
  <c r="G2313" i="11"/>
  <c r="H2312" i="11"/>
  <c r="G2312" i="11"/>
  <c r="H2311" i="11"/>
  <c r="G2311" i="11"/>
  <c r="H2310" i="11"/>
  <c r="G2310" i="11"/>
  <c r="H2309" i="11"/>
  <c r="G2309" i="11"/>
  <c r="H2308" i="11"/>
  <c r="G2308" i="11"/>
  <c r="H2307" i="11"/>
  <c r="G2307" i="11"/>
  <c r="H2306" i="11"/>
  <c r="G2306" i="11"/>
  <c r="H2305" i="11"/>
  <c r="G2305" i="11"/>
  <c r="H2304" i="11"/>
  <c r="G2304" i="11"/>
  <c r="H2303" i="11"/>
  <c r="G2303" i="11"/>
  <c r="H2302" i="11"/>
  <c r="G2302" i="11"/>
  <c r="H2301" i="11"/>
  <c r="G2301" i="11"/>
  <c r="H2300" i="11"/>
  <c r="G2300" i="11"/>
  <c r="H2299" i="11"/>
  <c r="G2299" i="11"/>
  <c r="H2298" i="11"/>
  <c r="G2298" i="11"/>
  <c r="H2297" i="11"/>
  <c r="G2297" i="11"/>
  <c r="H2296" i="11"/>
  <c r="G2296" i="11"/>
  <c r="H2295" i="11"/>
  <c r="G2295" i="11"/>
  <c r="H2294" i="11"/>
  <c r="G2294" i="11"/>
  <c r="H2293" i="11"/>
  <c r="G2293" i="11"/>
  <c r="H2292" i="11"/>
  <c r="G2292" i="11"/>
  <c r="H2291" i="11"/>
  <c r="G2291" i="11"/>
  <c r="H2290" i="11"/>
  <c r="G2290" i="11"/>
  <c r="H2289" i="11"/>
  <c r="G2289" i="11"/>
  <c r="H2288" i="11"/>
  <c r="G2288" i="11"/>
  <c r="I2287" i="11"/>
  <c r="G2287" i="11"/>
  <c r="I2286" i="11"/>
  <c r="G2286" i="11"/>
  <c r="I2285" i="11"/>
  <c r="G2285" i="11"/>
  <c r="I2284" i="11"/>
  <c r="G2284" i="11"/>
  <c r="I2283" i="11"/>
  <c r="G2283" i="11"/>
  <c r="I2282" i="11"/>
  <c r="G2282" i="11"/>
  <c r="I2281" i="11"/>
  <c r="G2281" i="11"/>
  <c r="I2280" i="11"/>
  <c r="G2280" i="11"/>
  <c r="I2279" i="11"/>
  <c r="G2279" i="11"/>
  <c r="I2278" i="11"/>
  <c r="G2278" i="11"/>
  <c r="I2277" i="11"/>
  <c r="G2277" i="11"/>
  <c r="I2276" i="11"/>
  <c r="G2276" i="11"/>
  <c r="I2275" i="11"/>
  <c r="G2275" i="11"/>
  <c r="I2274" i="11"/>
  <c r="G2274" i="11"/>
  <c r="I2273" i="11"/>
  <c r="G2273" i="11"/>
  <c r="I2272" i="11"/>
  <c r="G2272" i="11"/>
  <c r="I2271" i="11"/>
  <c r="G2271" i="11"/>
  <c r="I2270" i="11"/>
  <c r="G2270" i="11"/>
  <c r="I2269" i="11"/>
  <c r="G2269" i="11"/>
  <c r="I2268" i="11"/>
  <c r="G2268" i="11"/>
  <c r="I2267" i="11"/>
  <c r="G2267" i="11"/>
  <c r="I2266" i="11"/>
  <c r="G2266" i="11"/>
  <c r="I2265" i="11"/>
  <c r="G2265" i="11"/>
  <c r="I2264" i="11"/>
  <c r="G2264" i="11"/>
  <c r="I2263" i="11"/>
  <c r="G2263" i="11"/>
  <c r="I2262" i="11"/>
  <c r="G2262" i="11"/>
  <c r="I2261" i="11"/>
  <c r="G2261" i="11"/>
  <c r="I2260" i="11"/>
  <c r="G2260" i="11"/>
  <c r="I2259" i="11"/>
  <c r="G2259" i="11"/>
  <c r="I2258" i="11"/>
  <c r="G2258" i="11"/>
  <c r="I2257" i="11"/>
  <c r="G2257" i="11"/>
  <c r="I2256" i="11"/>
  <c r="G2256" i="11"/>
  <c r="I2255" i="11"/>
  <c r="G2255" i="11"/>
  <c r="I2254" i="11"/>
  <c r="G2254" i="11"/>
  <c r="I2253" i="11"/>
  <c r="G2253" i="11"/>
  <c r="I2252" i="11"/>
  <c r="G2252" i="11"/>
  <c r="I2251" i="11"/>
  <c r="G2251" i="11"/>
  <c r="I2250" i="11"/>
  <c r="G2250" i="11"/>
  <c r="I2249" i="11"/>
  <c r="G2249" i="11"/>
  <c r="I2248" i="11"/>
  <c r="G2248" i="11"/>
  <c r="I2247" i="11"/>
  <c r="G2247" i="11"/>
  <c r="I2246" i="11"/>
  <c r="G2246" i="11"/>
  <c r="I2245" i="11"/>
  <c r="G2245" i="11"/>
  <c r="I2244" i="11"/>
  <c r="G2244" i="11"/>
  <c r="I2243" i="11"/>
  <c r="G2243" i="11"/>
  <c r="I2242" i="11"/>
  <c r="G2242" i="11"/>
  <c r="I2241" i="11"/>
  <c r="G2241" i="11"/>
  <c r="I2240" i="11"/>
  <c r="G2240" i="11"/>
  <c r="I2239" i="11"/>
  <c r="G2239" i="11"/>
  <c r="I2238" i="11"/>
  <c r="G2238" i="11"/>
  <c r="I2237" i="11"/>
  <c r="G2237" i="11"/>
  <c r="I2236" i="11"/>
  <c r="G2236" i="11"/>
  <c r="I2235" i="11"/>
  <c r="G2235" i="11"/>
  <c r="I2234" i="11"/>
  <c r="G2234" i="11"/>
  <c r="I2233" i="11"/>
  <c r="G2233" i="11"/>
  <c r="I2232" i="11"/>
  <c r="G2232" i="11"/>
  <c r="I2231" i="11"/>
  <c r="G2231" i="11"/>
  <c r="I2230" i="11"/>
  <c r="G2230" i="11"/>
  <c r="I2229" i="11"/>
  <c r="G2229" i="11"/>
  <c r="G2228" i="11"/>
  <c r="G2227" i="11"/>
  <c r="G2226" i="11"/>
  <c r="G2225" i="11"/>
  <c r="G2224" i="11"/>
  <c r="G2223" i="11"/>
  <c r="G2222" i="11"/>
  <c r="G2221" i="11"/>
  <c r="G2220" i="11"/>
  <c r="G2219" i="11"/>
  <c r="G2218" i="11"/>
  <c r="G2217" i="11"/>
  <c r="G2216" i="11"/>
  <c r="G2215" i="11"/>
  <c r="G2214" i="11"/>
  <c r="G2213" i="11"/>
  <c r="G2212" i="11"/>
  <c r="G2211" i="11"/>
  <c r="G2210" i="11"/>
  <c r="G2209" i="11"/>
  <c r="G2208" i="11"/>
  <c r="G2207" i="11"/>
  <c r="G2206" i="11"/>
  <c r="G2205" i="11"/>
  <c r="G2204" i="11"/>
  <c r="G2203" i="11"/>
  <c r="G2202" i="11"/>
  <c r="G2201" i="11"/>
  <c r="G2200" i="11"/>
  <c r="G2199" i="11"/>
  <c r="G2198" i="11"/>
  <c r="H2197" i="11"/>
  <c r="G2197" i="11"/>
  <c r="H2196" i="11"/>
  <c r="G2196" i="11"/>
  <c r="H2195" i="11"/>
  <c r="G2195" i="11"/>
  <c r="H2194" i="11"/>
  <c r="G2194" i="11"/>
  <c r="H2193" i="11"/>
  <c r="G2193" i="11"/>
  <c r="H2192" i="11"/>
  <c r="G2192" i="11"/>
  <c r="H2191" i="11"/>
  <c r="G2191" i="11"/>
  <c r="H2190" i="11"/>
  <c r="G2190" i="11"/>
  <c r="H2189" i="11"/>
  <c r="G2189" i="11"/>
  <c r="H2188" i="11"/>
  <c r="G2188" i="11"/>
  <c r="H2187" i="11"/>
  <c r="G2187" i="11"/>
  <c r="H2186" i="11"/>
  <c r="G2186" i="11"/>
  <c r="H2185" i="11"/>
  <c r="G2185" i="11"/>
  <c r="H2184" i="11"/>
  <c r="G2184" i="11"/>
  <c r="H2183" i="11"/>
  <c r="G2183" i="11"/>
  <c r="H2182" i="11"/>
  <c r="G2182" i="11"/>
  <c r="H2181" i="11"/>
  <c r="G2181" i="11"/>
  <c r="H2180" i="11"/>
  <c r="G2180" i="11"/>
  <c r="H2179" i="11"/>
  <c r="G2179" i="11"/>
  <c r="H2178" i="11"/>
  <c r="G2178" i="11"/>
  <c r="H2177" i="11"/>
  <c r="G2177" i="11"/>
  <c r="H2176" i="11"/>
  <c r="G2176" i="11"/>
  <c r="H2175" i="11"/>
  <c r="G2175" i="11"/>
  <c r="H2174" i="11"/>
  <c r="G2174" i="11"/>
  <c r="H2173" i="11"/>
  <c r="G2173" i="11"/>
  <c r="H2172" i="11"/>
  <c r="G2172" i="11"/>
  <c r="H2171" i="11"/>
  <c r="G2171" i="11"/>
  <c r="H2170" i="11"/>
  <c r="G2170" i="11"/>
  <c r="H2169" i="11"/>
  <c r="G2169" i="11"/>
  <c r="H2168" i="11"/>
  <c r="G2168" i="11"/>
  <c r="H2167" i="11"/>
  <c r="G2167" i="11"/>
  <c r="I2166" i="11"/>
  <c r="G2166" i="11"/>
  <c r="I2165" i="11"/>
  <c r="G2165" i="11"/>
  <c r="I2164" i="11"/>
  <c r="G2164" i="11"/>
  <c r="I2163" i="11"/>
  <c r="G2163" i="11"/>
  <c r="I2162" i="11"/>
  <c r="G2162" i="11"/>
  <c r="I2161" i="11"/>
  <c r="G2161" i="11"/>
  <c r="I2160" i="11"/>
  <c r="G2160" i="11"/>
  <c r="I2159" i="11"/>
  <c r="G2159" i="11"/>
  <c r="I2158" i="11"/>
  <c r="G2158" i="11"/>
  <c r="I2157" i="11"/>
  <c r="G2157" i="11"/>
  <c r="I2156" i="11"/>
  <c r="G2156" i="11"/>
  <c r="I2155" i="11"/>
  <c r="G2155" i="11"/>
  <c r="I2154" i="11"/>
  <c r="G2154" i="11"/>
  <c r="I2153" i="11"/>
  <c r="G2153" i="11"/>
  <c r="I2152" i="11"/>
  <c r="G2152" i="11"/>
  <c r="I2151" i="11"/>
  <c r="G2151" i="11"/>
  <c r="I2150" i="11"/>
  <c r="G2150" i="11"/>
  <c r="I2149" i="11"/>
  <c r="G2149" i="11"/>
  <c r="I2148" i="11"/>
  <c r="G2148" i="11"/>
  <c r="I2147" i="11"/>
  <c r="G2147" i="11"/>
  <c r="I2146" i="11"/>
  <c r="G2146" i="11"/>
  <c r="I2145" i="11"/>
  <c r="G2145" i="11"/>
  <c r="I2144" i="11"/>
  <c r="G2144" i="11"/>
  <c r="I2143" i="11"/>
  <c r="G2143" i="11"/>
  <c r="I2142" i="11"/>
  <c r="G2142" i="11"/>
  <c r="I2141" i="11"/>
  <c r="G2141" i="11"/>
  <c r="I2140" i="11"/>
  <c r="G2140" i="11"/>
  <c r="I2139" i="11"/>
  <c r="G2139" i="11"/>
  <c r="I2138" i="11"/>
  <c r="G2138" i="11"/>
  <c r="I2137" i="11"/>
  <c r="G2137" i="11"/>
  <c r="I2136" i="11"/>
  <c r="G2136" i="11"/>
  <c r="I2135" i="11"/>
  <c r="G2135" i="11"/>
  <c r="I2134" i="11"/>
  <c r="G2134" i="11"/>
  <c r="I2133" i="11"/>
  <c r="G2133" i="11"/>
  <c r="I2132" i="11"/>
  <c r="G2132" i="11"/>
  <c r="I2131" i="11"/>
  <c r="G2131" i="11"/>
  <c r="I2130" i="11"/>
  <c r="G2130" i="11"/>
  <c r="I2129" i="11"/>
  <c r="G2129" i="11"/>
  <c r="I2128" i="11"/>
  <c r="G2128" i="11"/>
  <c r="I2127" i="11"/>
  <c r="G2127" i="11"/>
  <c r="I2126" i="11"/>
  <c r="G2126" i="11"/>
  <c r="I2125" i="11"/>
  <c r="G2125" i="11"/>
  <c r="I2124" i="11"/>
  <c r="G2124" i="11"/>
  <c r="I2123" i="11"/>
  <c r="G2123" i="11"/>
  <c r="I2122" i="11"/>
  <c r="G2122" i="11"/>
  <c r="I2121" i="11"/>
  <c r="G2121" i="11"/>
  <c r="I2120" i="11"/>
  <c r="G2120" i="11"/>
  <c r="I2119" i="11"/>
  <c r="G2119" i="11"/>
  <c r="I2118" i="11"/>
  <c r="G2118" i="11"/>
  <c r="I2117" i="11"/>
  <c r="G2117" i="11"/>
  <c r="I2116" i="11"/>
  <c r="G2116" i="11"/>
  <c r="I2115" i="11"/>
  <c r="G2115" i="11"/>
  <c r="I2114" i="11"/>
  <c r="G2114" i="11"/>
  <c r="I2113" i="11"/>
  <c r="G2113" i="11"/>
  <c r="I2112" i="11"/>
  <c r="G2112" i="11"/>
  <c r="I2111" i="11"/>
  <c r="G2111" i="11"/>
  <c r="I2110" i="11"/>
  <c r="G2110" i="11"/>
  <c r="I2109" i="11"/>
  <c r="G2109" i="11"/>
  <c r="I2108" i="11"/>
  <c r="G2108" i="11"/>
  <c r="I2107" i="11"/>
  <c r="G2107" i="11"/>
  <c r="I2106" i="11"/>
  <c r="G2106" i="11"/>
  <c r="G2105" i="11"/>
  <c r="G2104" i="11"/>
  <c r="G2103" i="11"/>
  <c r="G2102" i="11"/>
  <c r="G2101" i="11"/>
  <c r="G2100" i="11"/>
  <c r="G2099" i="11"/>
  <c r="G2098" i="11"/>
  <c r="G2097" i="11"/>
  <c r="G2096" i="11"/>
  <c r="G2095" i="11"/>
  <c r="G2094" i="11"/>
  <c r="G2093" i="11"/>
  <c r="G2092" i="11"/>
  <c r="G2091" i="11"/>
  <c r="G2090" i="11"/>
  <c r="G2089" i="11"/>
  <c r="G2088" i="11"/>
  <c r="G2087" i="11"/>
  <c r="G2086" i="11"/>
  <c r="G2085" i="11"/>
  <c r="G2084" i="11"/>
  <c r="G2083" i="11"/>
  <c r="G2082" i="11"/>
  <c r="G2081" i="11"/>
  <c r="G2080" i="11"/>
  <c r="G2079" i="11"/>
  <c r="G2078" i="11"/>
  <c r="G2077" i="11"/>
  <c r="G2076" i="11"/>
  <c r="H2075" i="11"/>
  <c r="G2075" i="11"/>
  <c r="H2074" i="11"/>
  <c r="G2074" i="11"/>
  <c r="H2073" i="11"/>
  <c r="G2073" i="11"/>
  <c r="H2072" i="11"/>
  <c r="G2072" i="11"/>
  <c r="H2071" i="11"/>
  <c r="G2071" i="11"/>
  <c r="H2070" i="11"/>
  <c r="G2070" i="11"/>
  <c r="H2069" i="11"/>
  <c r="G2069" i="11"/>
  <c r="H2068" i="11"/>
  <c r="G2068" i="11"/>
  <c r="H2067" i="11"/>
  <c r="G2067" i="11"/>
  <c r="H2066" i="11"/>
  <c r="G2066" i="11"/>
  <c r="H2065" i="11"/>
  <c r="G2065" i="11"/>
  <c r="H2064" i="11"/>
  <c r="G2064" i="11"/>
  <c r="H2063" i="11"/>
  <c r="G2063" i="11"/>
  <c r="H2062" i="11"/>
  <c r="G2062" i="11"/>
  <c r="H2061" i="11"/>
  <c r="G2061" i="11"/>
  <c r="H2060" i="11"/>
  <c r="G2060" i="11"/>
  <c r="H2059" i="11"/>
  <c r="G2059" i="11"/>
  <c r="H2058" i="11"/>
  <c r="G2058" i="11"/>
  <c r="H2057" i="11"/>
  <c r="G2057" i="11"/>
  <c r="H2056" i="11"/>
  <c r="G2056" i="11"/>
  <c r="H2055" i="11"/>
  <c r="G2055" i="11"/>
  <c r="H2054" i="11"/>
  <c r="G2054" i="11"/>
  <c r="H2053" i="11"/>
  <c r="G2053" i="11"/>
  <c r="H2052" i="11"/>
  <c r="G2052" i="11"/>
  <c r="H2051" i="11"/>
  <c r="G2051" i="11"/>
  <c r="H2050" i="11"/>
  <c r="G2050" i="11"/>
  <c r="H2049" i="11"/>
  <c r="G2049" i="11"/>
  <c r="H2048" i="11"/>
  <c r="G2048" i="11"/>
  <c r="H2047" i="11"/>
  <c r="G2047" i="11"/>
  <c r="H2046" i="11"/>
  <c r="G2046" i="11"/>
  <c r="H2045" i="11"/>
  <c r="G2045" i="11"/>
  <c r="I2044" i="11"/>
  <c r="G2044" i="11"/>
  <c r="I2043" i="11"/>
  <c r="G2043" i="11"/>
  <c r="I2042" i="11"/>
  <c r="G2042" i="11"/>
  <c r="I2041" i="11"/>
  <c r="G2041" i="11"/>
  <c r="I2040" i="11"/>
  <c r="G2040" i="11"/>
  <c r="I2039" i="11"/>
  <c r="G2039" i="11"/>
  <c r="I2038" i="11"/>
  <c r="G2038" i="11"/>
  <c r="I2037" i="11"/>
  <c r="G2037" i="11"/>
  <c r="I2036" i="11"/>
  <c r="G2036" i="11"/>
  <c r="I2035" i="11"/>
  <c r="G2035" i="11"/>
  <c r="I2034" i="11"/>
  <c r="G2034" i="11"/>
  <c r="I2033" i="11"/>
  <c r="G2033" i="11"/>
  <c r="I2032" i="11"/>
  <c r="G2032" i="11"/>
  <c r="I2031" i="11"/>
  <c r="G2031" i="11"/>
  <c r="I2030" i="11"/>
  <c r="G2030" i="11"/>
  <c r="I2029" i="11"/>
  <c r="G2029" i="11"/>
  <c r="I2028" i="11"/>
  <c r="G2028" i="11"/>
  <c r="I2027" i="11"/>
  <c r="G2027" i="11"/>
  <c r="I2026" i="11"/>
  <c r="G2026" i="11"/>
  <c r="I2025" i="11"/>
  <c r="G2025" i="11"/>
  <c r="I2024" i="11"/>
  <c r="G2024" i="11"/>
  <c r="I2023" i="11"/>
  <c r="G2023" i="11"/>
  <c r="I2022" i="11"/>
  <c r="G2022" i="11"/>
  <c r="I2021" i="11"/>
  <c r="G2021" i="11"/>
  <c r="I2020" i="11"/>
  <c r="G2020" i="11"/>
  <c r="I2019" i="11"/>
  <c r="G2019" i="11"/>
  <c r="I2018" i="11"/>
  <c r="G2018" i="11"/>
  <c r="I2017" i="11"/>
  <c r="G2017" i="11"/>
  <c r="I2016" i="11"/>
  <c r="G2016" i="11"/>
  <c r="I2015" i="11"/>
  <c r="G2015" i="11"/>
  <c r="I2014" i="11"/>
  <c r="G2014" i="11"/>
  <c r="I2013" i="11"/>
  <c r="G2013" i="11"/>
  <c r="I2012" i="11"/>
  <c r="G2012" i="11"/>
  <c r="I2011" i="11"/>
  <c r="G2011" i="11"/>
  <c r="I2010" i="11"/>
  <c r="G2010" i="11"/>
  <c r="I2009" i="11"/>
  <c r="G2009" i="11"/>
  <c r="I2008" i="11"/>
  <c r="G2008" i="11"/>
  <c r="I2007" i="11"/>
  <c r="G2007" i="11"/>
  <c r="I2006" i="11"/>
  <c r="G2006" i="11"/>
  <c r="I2005" i="11"/>
  <c r="G2005" i="11"/>
  <c r="I2004" i="11"/>
  <c r="G2004" i="11"/>
  <c r="I2003" i="11"/>
  <c r="G2003" i="11"/>
  <c r="I2002" i="11"/>
  <c r="G2002" i="11"/>
  <c r="I2001" i="11"/>
  <c r="G2001" i="11"/>
  <c r="I2000" i="11"/>
  <c r="G2000" i="11"/>
  <c r="I1999" i="11"/>
  <c r="G1999" i="11"/>
  <c r="I1998" i="11"/>
  <c r="G1998" i="11"/>
  <c r="I1997" i="11"/>
  <c r="G1997" i="11"/>
  <c r="I1996" i="11"/>
  <c r="G1996" i="11"/>
  <c r="I1995" i="11"/>
  <c r="G1995" i="11"/>
  <c r="I1994" i="11"/>
  <c r="G1994" i="11"/>
  <c r="I1993" i="11"/>
  <c r="G1993" i="11"/>
  <c r="I1992" i="11"/>
  <c r="G1992" i="11"/>
  <c r="I1991" i="11"/>
  <c r="G1991" i="11"/>
  <c r="I1990" i="11"/>
  <c r="G1990" i="11"/>
  <c r="I1989" i="11"/>
  <c r="G1989" i="11"/>
  <c r="I1988" i="11"/>
  <c r="G1988" i="11"/>
  <c r="I1987" i="11"/>
  <c r="G1987" i="11"/>
  <c r="I1986" i="11"/>
  <c r="G1986" i="11"/>
  <c r="I1985" i="11"/>
  <c r="G1985" i="11"/>
  <c r="I1984" i="11"/>
  <c r="G1984" i="11"/>
  <c r="G1983" i="11"/>
  <c r="G1982" i="11"/>
  <c r="G1981" i="11"/>
  <c r="G1980" i="11"/>
  <c r="G1979" i="11"/>
  <c r="G1978" i="11"/>
  <c r="G1977" i="11"/>
  <c r="G1976" i="11"/>
  <c r="G1975" i="11"/>
  <c r="G1974" i="11"/>
  <c r="G1973" i="11"/>
  <c r="G1972" i="11"/>
  <c r="G1971" i="11"/>
  <c r="G1970" i="11"/>
  <c r="G1969" i="11"/>
  <c r="G1968" i="11"/>
  <c r="G1967" i="11"/>
  <c r="G1966" i="11"/>
  <c r="G1965" i="11"/>
  <c r="G1964" i="11"/>
  <c r="G1963" i="11"/>
  <c r="G1962" i="11"/>
  <c r="G1961" i="11"/>
  <c r="G1960" i="11"/>
  <c r="G1959" i="11"/>
  <c r="G1958" i="11"/>
  <c r="G1957" i="11"/>
  <c r="G1956" i="11"/>
  <c r="G1955" i="11"/>
  <c r="G1954" i="11"/>
  <c r="G1953" i="11"/>
  <c r="H1952" i="11"/>
  <c r="G1952" i="11"/>
  <c r="H1951" i="11"/>
  <c r="G1951" i="11"/>
  <c r="H1950" i="11"/>
  <c r="G1950" i="11"/>
  <c r="H1949" i="11"/>
  <c r="G1949" i="11"/>
  <c r="H1948" i="11"/>
  <c r="G1948" i="11"/>
  <c r="H1947" i="11"/>
  <c r="G1947" i="11"/>
  <c r="H1946" i="11"/>
  <c r="G1946" i="11"/>
  <c r="H1945" i="11"/>
  <c r="G1945" i="11"/>
  <c r="H1944" i="11"/>
  <c r="G1944" i="11"/>
  <c r="H1943" i="11"/>
  <c r="G1943" i="11"/>
  <c r="H1942" i="11"/>
  <c r="G1942" i="11"/>
  <c r="H1941" i="11"/>
  <c r="G1941" i="11"/>
  <c r="H1940" i="11"/>
  <c r="G1940" i="11"/>
  <c r="H1939" i="11"/>
  <c r="G1939" i="11"/>
  <c r="H1938" i="11"/>
  <c r="G1938" i="11"/>
  <c r="H1937" i="11"/>
  <c r="G1937" i="11"/>
  <c r="H1936" i="11"/>
  <c r="G1936" i="11"/>
  <c r="H1935" i="11"/>
  <c r="G1935" i="11"/>
  <c r="H1934" i="11"/>
  <c r="G1934" i="11"/>
  <c r="H1933" i="11"/>
  <c r="G1933" i="11"/>
  <c r="H1932" i="11"/>
  <c r="G1932" i="11"/>
  <c r="H1931" i="11"/>
  <c r="G1931" i="11"/>
  <c r="H1930" i="11"/>
  <c r="G1930" i="11"/>
  <c r="H1929" i="11"/>
  <c r="G1929" i="11"/>
  <c r="H1928" i="11"/>
  <c r="G1928" i="11"/>
  <c r="H1927" i="11"/>
  <c r="G1927" i="11"/>
  <c r="H1926" i="11"/>
  <c r="G1926" i="11"/>
  <c r="H1925" i="11"/>
  <c r="G1925" i="11"/>
  <c r="H1924" i="11"/>
  <c r="G1924" i="11"/>
  <c r="H1923" i="11"/>
  <c r="G1923" i="11"/>
  <c r="I1922" i="11"/>
  <c r="G1922" i="11"/>
  <c r="I1921" i="11"/>
  <c r="G1921" i="11"/>
  <c r="I1920" i="11"/>
  <c r="G1920" i="11"/>
  <c r="I1919" i="11"/>
  <c r="G1919" i="11"/>
  <c r="I1918" i="11"/>
  <c r="G1918" i="11"/>
  <c r="I1917" i="11"/>
  <c r="G1917" i="11"/>
  <c r="I1916" i="11"/>
  <c r="G1916" i="11"/>
  <c r="I1915" i="11"/>
  <c r="G1915" i="11"/>
  <c r="I1914" i="11"/>
  <c r="G1914" i="11"/>
  <c r="I1913" i="11"/>
  <c r="G1913" i="11"/>
  <c r="I1912" i="11"/>
  <c r="G1912" i="11"/>
  <c r="I1911" i="11"/>
  <c r="G1911" i="11"/>
  <c r="I1910" i="11"/>
  <c r="G1910" i="11"/>
  <c r="I1909" i="11"/>
  <c r="G1909" i="11"/>
  <c r="I1908" i="11"/>
  <c r="G1908" i="11"/>
  <c r="I1907" i="11"/>
  <c r="G1907" i="11"/>
  <c r="I1906" i="11"/>
  <c r="G1906" i="11"/>
  <c r="I1905" i="11"/>
  <c r="G1905" i="11"/>
  <c r="I1904" i="11"/>
  <c r="G1904" i="11"/>
  <c r="I1903" i="11"/>
  <c r="G1903" i="11"/>
  <c r="I1902" i="11"/>
  <c r="G1902" i="11"/>
  <c r="I1901" i="11"/>
  <c r="G1901" i="11"/>
  <c r="I1900" i="11"/>
  <c r="G1900" i="11"/>
  <c r="I1899" i="11"/>
  <c r="G1899" i="11"/>
  <c r="I1898" i="11"/>
  <c r="G1898" i="11"/>
  <c r="I1897" i="11"/>
  <c r="G1897" i="11"/>
  <c r="I1896" i="11"/>
  <c r="G1896" i="11"/>
  <c r="I1895" i="11"/>
  <c r="G1895" i="11"/>
  <c r="I1894" i="11"/>
  <c r="G1894" i="11"/>
  <c r="I1893" i="11"/>
  <c r="G1893" i="11"/>
  <c r="I1892" i="11"/>
  <c r="G1892" i="11"/>
  <c r="I1891" i="11"/>
  <c r="G1891" i="11"/>
  <c r="I1890" i="11"/>
  <c r="G1890" i="11"/>
  <c r="I1889" i="11"/>
  <c r="G1889" i="11"/>
  <c r="I1888" i="11"/>
  <c r="G1888" i="11"/>
  <c r="I1887" i="11"/>
  <c r="G1887" i="11"/>
  <c r="I1886" i="11"/>
  <c r="G1886" i="11"/>
  <c r="I1885" i="11"/>
  <c r="G1885" i="11"/>
  <c r="I1884" i="11"/>
  <c r="G1884" i="11"/>
  <c r="I1883" i="11"/>
  <c r="G1883" i="11"/>
  <c r="I1882" i="11"/>
  <c r="G1882" i="11"/>
  <c r="I1881" i="11"/>
  <c r="G1881" i="11"/>
  <c r="I1880" i="11"/>
  <c r="G1880" i="11"/>
  <c r="I1879" i="11"/>
  <c r="G1879" i="11"/>
  <c r="I1878" i="11"/>
  <c r="G1878" i="11"/>
  <c r="I1877" i="11"/>
  <c r="G1877" i="11"/>
  <c r="I1876" i="11"/>
  <c r="G1876" i="11"/>
  <c r="I1875" i="11"/>
  <c r="G1875" i="11"/>
  <c r="I1874" i="11"/>
  <c r="G1874" i="11"/>
  <c r="I1873" i="11"/>
  <c r="G1873" i="11"/>
  <c r="I1872" i="11"/>
  <c r="G1872" i="11"/>
  <c r="I1871" i="11"/>
  <c r="G1871" i="11"/>
  <c r="I1870" i="11"/>
  <c r="G1870" i="11"/>
  <c r="I1869" i="11"/>
  <c r="G1869" i="11"/>
  <c r="I1868" i="11"/>
  <c r="G1868" i="11"/>
  <c r="I1867" i="11"/>
  <c r="G1867" i="11"/>
  <c r="I1866" i="11"/>
  <c r="G1866" i="11"/>
  <c r="I1865" i="11"/>
  <c r="G1865" i="11"/>
  <c r="I1864" i="11"/>
  <c r="G1864" i="11"/>
  <c r="G1863" i="11"/>
  <c r="G1862" i="11"/>
  <c r="G1861" i="11"/>
  <c r="G1860" i="11"/>
  <c r="G1859" i="11"/>
  <c r="G1858" i="11"/>
  <c r="G1857" i="11"/>
  <c r="G1856" i="11"/>
  <c r="G1855" i="11"/>
  <c r="G1854" i="11"/>
  <c r="G1853" i="11"/>
  <c r="G1852" i="11"/>
  <c r="G1851" i="11"/>
  <c r="G1850" i="11"/>
  <c r="G1849" i="11"/>
  <c r="G1848" i="11"/>
  <c r="G1847" i="11"/>
  <c r="G1846" i="11"/>
  <c r="G1845" i="11"/>
  <c r="G1844" i="11"/>
  <c r="G1843" i="11"/>
  <c r="G1842" i="11"/>
  <c r="G1841" i="11"/>
  <c r="G1840" i="11"/>
  <c r="G1839" i="11"/>
  <c r="G1838" i="11"/>
  <c r="G1837" i="11"/>
  <c r="G1836" i="11"/>
  <c r="G1835" i="11"/>
  <c r="G1834" i="11"/>
  <c r="G1833" i="11"/>
  <c r="H1832" i="11"/>
  <c r="G1832" i="11"/>
  <c r="H1831" i="11"/>
  <c r="G1831" i="11"/>
  <c r="H1830" i="11"/>
  <c r="G1830" i="11"/>
  <c r="H1829" i="11"/>
  <c r="G1829" i="11"/>
  <c r="H1828" i="11"/>
  <c r="G1828" i="11"/>
  <c r="H1827" i="11"/>
  <c r="G1827" i="11"/>
  <c r="H1826" i="11"/>
  <c r="G1826" i="11"/>
  <c r="H1825" i="11"/>
  <c r="G1825" i="11"/>
  <c r="H1824" i="11"/>
  <c r="G1824" i="11"/>
  <c r="H1823" i="11"/>
  <c r="G1823" i="11"/>
  <c r="H1822" i="11"/>
  <c r="G1822" i="11"/>
  <c r="H1821" i="11"/>
  <c r="G1821" i="11"/>
  <c r="H1820" i="11"/>
  <c r="G1820" i="11"/>
  <c r="H1819" i="11"/>
  <c r="G1819" i="11"/>
  <c r="H1818" i="11"/>
  <c r="G1818" i="11"/>
  <c r="H1817" i="11"/>
  <c r="G1817" i="11"/>
  <c r="H1816" i="11"/>
  <c r="G1816" i="11"/>
  <c r="H1815" i="11"/>
  <c r="G1815" i="11"/>
  <c r="H1814" i="11"/>
  <c r="G1814" i="11"/>
  <c r="H1813" i="11"/>
  <c r="G1813" i="11"/>
  <c r="H1812" i="11"/>
  <c r="G1812" i="11"/>
  <c r="H1811" i="11"/>
  <c r="G1811" i="11"/>
  <c r="H1810" i="11"/>
  <c r="G1810" i="11"/>
  <c r="H1809" i="11"/>
  <c r="G1809" i="11"/>
  <c r="H1808" i="11"/>
  <c r="G1808" i="11"/>
  <c r="H1807" i="11"/>
  <c r="G1807" i="11"/>
  <c r="H1806" i="11"/>
  <c r="G1806" i="11"/>
  <c r="H1805" i="11"/>
  <c r="G1805" i="11"/>
  <c r="H1804" i="11"/>
  <c r="G1804" i="11"/>
  <c r="H1803" i="11"/>
  <c r="G1803" i="11"/>
  <c r="H1802" i="11"/>
  <c r="G1802" i="11"/>
  <c r="I1801" i="11"/>
  <c r="G1801" i="11"/>
  <c r="I1800" i="11"/>
  <c r="G1800" i="11"/>
  <c r="I1799" i="11"/>
  <c r="G1799" i="11"/>
  <c r="I1798" i="11"/>
  <c r="G1798" i="11"/>
  <c r="I1797" i="11"/>
  <c r="G1797" i="11"/>
  <c r="I1796" i="11"/>
  <c r="G1796" i="11"/>
  <c r="I1795" i="11"/>
  <c r="G1795" i="11"/>
  <c r="I1794" i="11"/>
  <c r="G1794" i="11"/>
  <c r="I1793" i="11"/>
  <c r="G1793" i="11"/>
  <c r="I1792" i="11"/>
  <c r="G1792" i="11"/>
  <c r="I1791" i="11"/>
  <c r="G1791" i="11"/>
  <c r="I1790" i="11"/>
  <c r="G1790" i="11"/>
  <c r="I1789" i="11"/>
  <c r="G1789" i="11"/>
  <c r="I1788" i="11"/>
  <c r="G1788" i="11"/>
  <c r="I1787" i="11"/>
  <c r="G1787" i="11"/>
  <c r="I1786" i="11"/>
  <c r="G1786" i="11"/>
  <c r="I1785" i="11"/>
  <c r="G1785" i="11"/>
  <c r="I1784" i="11"/>
  <c r="G1784" i="11"/>
  <c r="I1783" i="11"/>
  <c r="G1783" i="11"/>
  <c r="I1782" i="11"/>
  <c r="G1782" i="11"/>
  <c r="I1781" i="11"/>
  <c r="G1781" i="11"/>
  <c r="I1780" i="11"/>
  <c r="G1780" i="11"/>
  <c r="I1779" i="11"/>
  <c r="G1779" i="11"/>
  <c r="I1778" i="11"/>
  <c r="G1778" i="11"/>
  <c r="I1777" i="11"/>
  <c r="G1777" i="11"/>
  <c r="I1776" i="11"/>
  <c r="G1776" i="11"/>
  <c r="I1775" i="11"/>
  <c r="G1775" i="11"/>
  <c r="I1774" i="11"/>
  <c r="G1774" i="11"/>
  <c r="I1773" i="11"/>
  <c r="G1773" i="11"/>
  <c r="I1772" i="11"/>
  <c r="G1772" i="11"/>
  <c r="I1771" i="11"/>
  <c r="G1771" i="11"/>
  <c r="I1770" i="11"/>
  <c r="G1770" i="11"/>
  <c r="I1769" i="11"/>
  <c r="G1769" i="11"/>
  <c r="I1768" i="11"/>
  <c r="G1768" i="11"/>
  <c r="I1767" i="11"/>
  <c r="G1767" i="11"/>
  <c r="I1766" i="11"/>
  <c r="G1766" i="11"/>
  <c r="I1765" i="11"/>
  <c r="G1765" i="11"/>
  <c r="I1764" i="11"/>
  <c r="G1764" i="11"/>
  <c r="I1763" i="11"/>
  <c r="G1763" i="11"/>
  <c r="I1762" i="11"/>
  <c r="G1762" i="11"/>
  <c r="I1761" i="11"/>
  <c r="G1761" i="11"/>
  <c r="I1760" i="11"/>
  <c r="G1760" i="11"/>
  <c r="I1759" i="11"/>
  <c r="G1759" i="11"/>
  <c r="I1758" i="11"/>
  <c r="G1758" i="11"/>
  <c r="I1757" i="11"/>
  <c r="G1757" i="11"/>
  <c r="I1756" i="11"/>
  <c r="G1756" i="11"/>
  <c r="I1755" i="11"/>
  <c r="G1755" i="11"/>
  <c r="I1754" i="11"/>
  <c r="G1754" i="11"/>
  <c r="I1753" i="11"/>
  <c r="G1753" i="11"/>
  <c r="I1752" i="11"/>
  <c r="G1752" i="11"/>
  <c r="I1751" i="11"/>
  <c r="G1751" i="11"/>
  <c r="I1750" i="11"/>
  <c r="G1750" i="11"/>
  <c r="I1749" i="11"/>
  <c r="G1749" i="11"/>
  <c r="I1748" i="11"/>
  <c r="G1748" i="11"/>
  <c r="I1747" i="11"/>
  <c r="G1747" i="11"/>
  <c r="I1746" i="11"/>
  <c r="G1746" i="11"/>
  <c r="I1745" i="11"/>
  <c r="G1745" i="11"/>
  <c r="I1744" i="11"/>
  <c r="G1744" i="11"/>
  <c r="I1743" i="11"/>
  <c r="G1743" i="11"/>
  <c r="I1742" i="11"/>
  <c r="G1742" i="11"/>
  <c r="I1741" i="11"/>
  <c r="G1741" i="11"/>
  <c r="G1740" i="11"/>
  <c r="G1739" i="11"/>
  <c r="G1738" i="11"/>
  <c r="G1737" i="11"/>
  <c r="G1736" i="11"/>
  <c r="G1735" i="11"/>
  <c r="G1734" i="11"/>
  <c r="G1733" i="11"/>
  <c r="G1732" i="11"/>
  <c r="G1731" i="11"/>
  <c r="G1730" i="11"/>
  <c r="G1729" i="11"/>
  <c r="G1728" i="11"/>
  <c r="G1727" i="11"/>
  <c r="G1726" i="11"/>
  <c r="G1725" i="11"/>
  <c r="G1724" i="11"/>
  <c r="G1723" i="11"/>
  <c r="G1722" i="11"/>
  <c r="G1721" i="11"/>
  <c r="G1720" i="11"/>
  <c r="G1719" i="11"/>
  <c r="G1718" i="11"/>
  <c r="G1717" i="11"/>
  <c r="G1716" i="11"/>
  <c r="G1715" i="11"/>
  <c r="G1714" i="11"/>
  <c r="G1713" i="11"/>
  <c r="G1712" i="11"/>
  <c r="G1711" i="11"/>
  <c r="H1710" i="11"/>
  <c r="G1710" i="11"/>
  <c r="H1709" i="11"/>
  <c r="G1709" i="11"/>
  <c r="H1708" i="11"/>
  <c r="G1708" i="11"/>
  <c r="H1707" i="11"/>
  <c r="G1707" i="11"/>
  <c r="H1706" i="11"/>
  <c r="G1706" i="11"/>
  <c r="H1705" i="11"/>
  <c r="G1705" i="11"/>
  <c r="H1704" i="11"/>
  <c r="G1704" i="11"/>
  <c r="H1703" i="11"/>
  <c r="G1703" i="11"/>
  <c r="H1702" i="11"/>
  <c r="G1702" i="11"/>
  <c r="H1701" i="11"/>
  <c r="G1701" i="11"/>
  <c r="H1700" i="11"/>
  <c r="G1700" i="11"/>
  <c r="H1699" i="11"/>
  <c r="G1699" i="11"/>
  <c r="H1698" i="11"/>
  <c r="G1698" i="11"/>
  <c r="H1697" i="11"/>
  <c r="G1697" i="11"/>
  <c r="H1696" i="11"/>
  <c r="G1696" i="11"/>
  <c r="H1695" i="11"/>
  <c r="G1695" i="11"/>
  <c r="H1694" i="11"/>
  <c r="G1694" i="11"/>
  <c r="H1693" i="11"/>
  <c r="G1693" i="11"/>
  <c r="H1692" i="11"/>
  <c r="G1692" i="11"/>
  <c r="H1691" i="11"/>
  <c r="G1691" i="11"/>
  <c r="H1690" i="11"/>
  <c r="G1690" i="11"/>
  <c r="H1689" i="11"/>
  <c r="G1689" i="11"/>
  <c r="H1688" i="11"/>
  <c r="G1688" i="11"/>
  <c r="H1687" i="11"/>
  <c r="G1687" i="11"/>
  <c r="H1686" i="11"/>
  <c r="G1686" i="11"/>
  <c r="H1685" i="11"/>
  <c r="G1685" i="11"/>
  <c r="H1684" i="11"/>
  <c r="G1684" i="11"/>
  <c r="H1683" i="11"/>
  <c r="G1683" i="11"/>
  <c r="H1682" i="11"/>
  <c r="G1682" i="11"/>
  <c r="H1681" i="11"/>
  <c r="G1681" i="11"/>
  <c r="H1680" i="11"/>
  <c r="G1680" i="11"/>
  <c r="I1679" i="11"/>
  <c r="G1679" i="11"/>
  <c r="I1678" i="11"/>
  <c r="G1678" i="11"/>
  <c r="I1677" i="11"/>
  <c r="G1677" i="11"/>
  <c r="I1676" i="11"/>
  <c r="G1676" i="11"/>
  <c r="I1675" i="11"/>
  <c r="G1675" i="11"/>
  <c r="I1674" i="11"/>
  <c r="G1674" i="11"/>
  <c r="I1673" i="11"/>
  <c r="G1673" i="11"/>
  <c r="I1672" i="11"/>
  <c r="G1672" i="11"/>
  <c r="I1671" i="11"/>
  <c r="G1671" i="11"/>
  <c r="I1670" i="11"/>
  <c r="G1670" i="11"/>
  <c r="I1669" i="11"/>
  <c r="G1669" i="11"/>
  <c r="I1668" i="11"/>
  <c r="G1668" i="11"/>
  <c r="I1667" i="11"/>
  <c r="G1667" i="11"/>
  <c r="I1666" i="11"/>
  <c r="G1666" i="11"/>
  <c r="I1665" i="11"/>
  <c r="G1665" i="11"/>
  <c r="I1664" i="11"/>
  <c r="G1664" i="11"/>
  <c r="I1663" i="11"/>
  <c r="G1663" i="11"/>
  <c r="I1662" i="11"/>
  <c r="G1662" i="11"/>
  <c r="I1661" i="11"/>
  <c r="G1661" i="11"/>
  <c r="I1660" i="11"/>
  <c r="G1660" i="11"/>
  <c r="I1659" i="11"/>
  <c r="G1659" i="11"/>
  <c r="I1658" i="11"/>
  <c r="G1658" i="11"/>
  <c r="I1657" i="11"/>
  <c r="G1657" i="11"/>
  <c r="I1656" i="11"/>
  <c r="G1656" i="11"/>
  <c r="I1655" i="11"/>
  <c r="G1655" i="11"/>
  <c r="I1654" i="11"/>
  <c r="G1654" i="11"/>
  <c r="I1653" i="11"/>
  <c r="G1653" i="11"/>
  <c r="I1652" i="11"/>
  <c r="G1652" i="11"/>
  <c r="I1651" i="11"/>
  <c r="G1651" i="11"/>
  <c r="I1650" i="11"/>
  <c r="G1650" i="11"/>
  <c r="I1649" i="11"/>
  <c r="G1649" i="11"/>
  <c r="I1648" i="11"/>
  <c r="G1648" i="11"/>
  <c r="I1647" i="11"/>
  <c r="G1647" i="11"/>
  <c r="I1646" i="11"/>
  <c r="G1646" i="11"/>
  <c r="I1645" i="11"/>
  <c r="G1645" i="11"/>
  <c r="I1644" i="11"/>
  <c r="G1644" i="11"/>
  <c r="I1643" i="11"/>
  <c r="G1643" i="11"/>
  <c r="I1642" i="11"/>
  <c r="G1642" i="11"/>
  <c r="I1641" i="11"/>
  <c r="G1641" i="11"/>
  <c r="I1640" i="11"/>
  <c r="G1640" i="11"/>
  <c r="I1639" i="11"/>
  <c r="G1639" i="11"/>
  <c r="I1638" i="11"/>
  <c r="G1638" i="11"/>
  <c r="I1637" i="11"/>
  <c r="G1637" i="11"/>
  <c r="I1636" i="11"/>
  <c r="G1636" i="11"/>
  <c r="I1635" i="11"/>
  <c r="G1635" i="11"/>
  <c r="I1634" i="11"/>
  <c r="G1634" i="11"/>
  <c r="I1633" i="11"/>
  <c r="G1633" i="11"/>
  <c r="I1632" i="11"/>
  <c r="G1632" i="11"/>
  <c r="I1631" i="11"/>
  <c r="G1631" i="11"/>
  <c r="I1630" i="11"/>
  <c r="G1630" i="11"/>
  <c r="I1629" i="11"/>
  <c r="G1629" i="11"/>
  <c r="I1628" i="11"/>
  <c r="G1628" i="11"/>
  <c r="I1627" i="11"/>
  <c r="G1627" i="11"/>
  <c r="I1626" i="11"/>
  <c r="G1626" i="11"/>
  <c r="I1625" i="11"/>
  <c r="G1625" i="11"/>
  <c r="I1624" i="11"/>
  <c r="G1624" i="11"/>
  <c r="I1623" i="11"/>
  <c r="G1623" i="11"/>
  <c r="I1622" i="11"/>
  <c r="G1622" i="11"/>
  <c r="I1621" i="11"/>
  <c r="G1621" i="11"/>
  <c r="I1620" i="11"/>
  <c r="G1620" i="11"/>
  <c r="I1619" i="11"/>
  <c r="G1619" i="11"/>
  <c r="G1618" i="11"/>
  <c r="G1617" i="11"/>
  <c r="G1616" i="11"/>
  <c r="G1615" i="11"/>
  <c r="H1614" i="11"/>
  <c r="G1614" i="11"/>
  <c r="G1613" i="11"/>
  <c r="G1612" i="11"/>
  <c r="G1611" i="11"/>
  <c r="G1610" i="11"/>
  <c r="G1609" i="11"/>
  <c r="G1608" i="11"/>
  <c r="G1607" i="11"/>
  <c r="G1606" i="11"/>
  <c r="G1605" i="11"/>
  <c r="G1604" i="11"/>
  <c r="G1603" i="11"/>
  <c r="G1602" i="11"/>
  <c r="G1601" i="11"/>
  <c r="G1600" i="11"/>
  <c r="G1599" i="11"/>
  <c r="G1598" i="11"/>
  <c r="G1597" i="11"/>
  <c r="G1596" i="11"/>
  <c r="G1595" i="11"/>
  <c r="G1594" i="11"/>
  <c r="G1593" i="11"/>
  <c r="G1592" i="11"/>
  <c r="G1591" i="11"/>
  <c r="G1590" i="11"/>
  <c r="G1589" i="11"/>
  <c r="G1588" i="11"/>
  <c r="H1587" i="11"/>
  <c r="G1587" i="11"/>
  <c r="H1586" i="11"/>
  <c r="G1586" i="11"/>
  <c r="H1585" i="11"/>
  <c r="G1585" i="11"/>
  <c r="H1584" i="11"/>
  <c r="G1584" i="11"/>
  <c r="H1583" i="11"/>
  <c r="G1583" i="11"/>
  <c r="H1582" i="11"/>
  <c r="G1582" i="11"/>
  <c r="H1581" i="11"/>
  <c r="G1581" i="11"/>
  <c r="H1580" i="11"/>
  <c r="G1580" i="11"/>
  <c r="H1579" i="11"/>
  <c r="G1579" i="11"/>
  <c r="H1578" i="11"/>
  <c r="G1578" i="11"/>
  <c r="H1577" i="11"/>
  <c r="G1577" i="11"/>
  <c r="H1576" i="11"/>
  <c r="G1576" i="11"/>
  <c r="H1575" i="11"/>
  <c r="G1575" i="11"/>
  <c r="H1574" i="11"/>
  <c r="G1574" i="11"/>
  <c r="H1573" i="11"/>
  <c r="G1573" i="11"/>
  <c r="H1572" i="11"/>
  <c r="G1572" i="11"/>
  <c r="H1571" i="11"/>
  <c r="G1571" i="11"/>
  <c r="H1570" i="11"/>
  <c r="G1570" i="11"/>
  <c r="H1569" i="11"/>
  <c r="G1569" i="11"/>
  <c r="H1568" i="11"/>
  <c r="G1568" i="11"/>
  <c r="H1567" i="11"/>
  <c r="G1567" i="11"/>
  <c r="H1566" i="11"/>
  <c r="G1566" i="11"/>
  <c r="H1565" i="11"/>
  <c r="G1565" i="11"/>
  <c r="H1564" i="11"/>
  <c r="G1564" i="11"/>
  <c r="H1563" i="11"/>
  <c r="G1563" i="11"/>
  <c r="H1562" i="11"/>
  <c r="G1562" i="11"/>
  <c r="H1561" i="11"/>
  <c r="G1561" i="11"/>
  <c r="H1560" i="11"/>
  <c r="G1560" i="11"/>
  <c r="H1559" i="11"/>
  <c r="G1559" i="11"/>
  <c r="H1558" i="11"/>
  <c r="G1558" i="11"/>
  <c r="I1557" i="11"/>
  <c r="G1557" i="11"/>
  <c r="I1556" i="11"/>
  <c r="G1556" i="11"/>
  <c r="I1555" i="11"/>
  <c r="G1555" i="11"/>
  <c r="I1554" i="11"/>
  <c r="G1554" i="11"/>
  <c r="I1553" i="11"/>
  <c r="G1553" i="11"/>
  <c r="I1552" i="11"/>
  <c r="G1552" i="11"/>
  <c r="I1551" i="11"/>
  <c r="G1551" i="11"/>
  <c r="I1550" i="11"/>
  <c r="G1550" i="11"/>
  <c r="I1549" i="11"/>
  <c r="G1549" i="11"/>
  <c r="I1548" i="11"/>
  <c r="G1548" i="11"/>
  <c r="I1547" i="11"/>
  <c r="G1547" i="11"/>
  <c r="I1546" i="11"/>
  <c r="G1546" i="11"/>
  <c r="I1545" i="11"/>
  <c r="G1545" i="11"/>
  <c r="I1544" i="11"/>
  <c r="G1544" i="11"/>
  <c r="I1543" i="11"/>
  <c r="G1543" i="11"/>
  <c r="I1542" i="11"/>
  <c r="G1542" i="11"/>
  <c r="I1541" i="11"/>
  <c r="G1541" i="11"/>
  <c r="I1540" i="11"/>
  <c r="G1540" i="11"/>
  <c r="I1539" i="11"/>
  <c r="G1539" i="11"/>
  <c r="I1538" i="11"/>
  <c r="G1538" i="11"/>
  <c r="I1537" i="11"/>
  <c r="G1537" i="11"/>
  <c r="I1536" i="11"/>
  <c r="G1536" i="11"/>
  <c r="I1535" i="11"/>
  <c r="G1535" i="11"/>
  <c r="I1534" i="11"/>
  <c r="G1534" i="11"/>
  <c r="I1533" i="11"/>
  <c r="G1533" i="11"/>
  <c r="I1532" i="11"/>
  <c r="G1532" i="11"/>
  <c r="I1531" i="11"/>
  <c r="G1531" i="11"/>
  <c r="I1530" i="11"/>
  <c r="G1530" i="11"/>
  <c r="I1529" i="11"/>
  <c r="G1529" i="11"/>
  <c r="I1528" i="11"/>
  <c r="G1528" i="11"/>
  <c r="I1527" i="11"/>
  <c r="G1527" i="11"/>
  <c r="I1526" i="11"/>
  <c r="G1526" i="11"/>
  <c r="I1525" i="11"/>
  <c r="G1525" i="11"/>
  <c r="I1524" i="11"/>
  <c r="G1524" i="11"/>
  <c r="I1523" i="11"/>
  <c r="G1523" i="11"/>
  <c r="I1522" i="11"/>
  <c r="G1522" i="11"/>
  <c r="I1521" i="11"/>
  <c r="G1521" i="11"/>
  <c r="I1520" i="11"/>
  <c r="G1520" i="11"/>
  <c r="I1519" i="11"/>
  <c r="G1519" i="11"/>
  <c r="I1518" i="11"/>
  <c r="G1518" i="11"/>
  <c r="I1517" i="11"/>
  <c r="G1517" i="11"/>
  <c r="I1516" i="11"/>
  <c r="G1516" i="11"/>
  <c r="I1515" i="11"/>
  <c r="G1515" i="11"/>
  <c r="I1514" i="11"/>
  <c r="G1514" i="11"/>
  <c r="I1513" i="11"/>
  <c r="G1513" i="11"/>
  <c r="I1512" i="11"/>
  <c r="G1512" i="11"/>
  <c r="I1511" i="11"/>
  <c r="G1511" i="11"/>
  <c r="I1510" i="11"/>
  <c r="G1510" i="11"/>
  <c r="I1509" i="11"/>
  <c r="G1509" i="11"/>
  <c r="I1508" i="11"/>
  <c r="G1508" i="11"/>
  <c r="I1507" i="11"/>
  <c r="G1507" i="11"/>
  <c r="I1506" i="11"/>
  <c r="G1506" i="11"/>
  <c r="I1505" i="11"/>
  <c r="G1505" i="11"/>
  <c r="I1504" i="11"/>
  <c r="G1504" i="11"/>
  <c r="I1503" i="11"/>
  <c r="G1503" i="11"/>
  <c r="I1502" i="11"/>
  <c r="G1502" i="11"/>
  <c r="I1501" i="11"/>
  <c r="G1501" i="11"/>
  <c r="I1500" i="11"/>
  <c r="G1500" i="11"/>
  <c r="I1499" i="11"/>
  <c r="G1499" i="11"/>
  <c r="G1498" i="11"/>
  <c r="G1497" i="11"/>
  <c r="G1496" i="11"/>
  <c r="G1495" i="11"/>
  <c r="G1494" i="11"/>
  <c r="G1493" i="11"/>
  <c r="G1492" i="11"/>
  <c r="G1491" i="11"/>
  <c r="G1490" i="11"/>
  <c r="G1489" i="11"/>
  <c r="I1488" i="11"/>
  <c r="G1488" i="11"/>
  <c r="G1487" i="11"/>
  <c r="G1486" i="11"/>
  <c r="G1485" i="11"/>
  <c r="I1484" i="11"/>
  <c r="G1484" i="11"/>
  <c r="G1483" i="11"/>
  <c r="G1482" i="11"/>
  <c r="G1481" i="11"/>
  <c r="G1480" i="11"/>
  <c r="G1479" i="11"/>
  <c r="G1478" i="11"/>
  <c r="G1477" i="11"/>
  <c r="G1476" i="11"/>
  <c r="G1475" i="11"/>
  <c r="G1474" i="11"/>
  <c r="G1473" i="11"/>
  <c r="G1472" i="11"/>
  <c r="G1471" i="11"/>
  <c r="G1470" i="11"/>
  <c r="G1469" i="11"/>
  <c r="G1468" i="11"/>
  <c r="H1467" i="11"/>
  <c r="G1467" i="11"/>
  <c r="H1466" i="11"/>
  <c r="G1466" i="11"/>
  <c r="H1465" i="11"/>
  <c r="G1465" i="11"/>
  <c r="H1464" i="11"/>
  <c r="G1464" i="11"/>
  <c r="H1463" i="11"/>
  <c r="G1463" i="11"/>
  <c r="H1462" i="11"/>
  <c r="G1462" i="11"/>
  <c r="H1461" i="11"/>
  <c r="G1461" i="11"/>
  <c r="H1460" i="11"/>
  <c r="G1460" i="11"/>
  <c r="H1459" i="11"/>
  <c r="G1459" i="11"/>
  <c r="H1458" i="11"/>
  <c r="G1458" i="11"/>
  <c r="H1457" i="11"/>
  <c r="G1457" i="11"/>
  <c r="H1456" i="11"/>
  <c r="G1456" i="11"/>
  <c r="H1455" i="11"/>
  <c r="G1455" i="11"/>
  <c r="H1454" i="11"/>
  <c r="G1454" i="11"/>
  <c r="H1453" i="11"/>
  <c r="G1453" i="11"/>
  <c r="H1452" i="11"/>
  <c r="G1452" i="11"/>
  <c r="H1451" i="11"/>
  <c r="G1451" i="11"/>
  <c r="H1450" i="11"/>
  <c r="G1450" i="11"/>
  <c r="H1449" i="11"/>
  <c r="G1449" i="11"/>
  <c r="H1448" i="11"/>
  <c r="G1448" i="11"/>
  <c r="H1447" i="11"/>
  <c r="G1447" i="11"/>
  <c r="H1446" i="11"/>
  <c r="G1446" i="11"/>
  <c r="H1445" i="11"/>
  <c r="G1445" i="11"/>
  <c r="H1444" i="11"/>
  <c r="G1444" i="11"/>
  <c r="H1443" i="11"/>
  <c r="G1443" i="11"/>
  <c r="H1442" i="11"/>
  <c r="G1442" i="11"/>
  <c r="H1441" i="11"/>
  <c r="G1441" i="11"/>
  <c r="H1440" i="11"/>
  <c r="G1440" i="11"/>
  <c r="H1439" i="11"/>
  <c r="G1439" i="11"/>
  <c r="H1438" i="11"/>
  <c r="G1438" i="11"/>
  <c r="H1437" i="11"/>
  <c r="G1437" i="11"/>
  <c r="I1436" i="11"/>
  <c r="G1436" i="11"/>
  <c r="I1435" i="11"/>
  <c r="G1435" i="11"/>
  <c r="I1434" i="11"/>
  <c r="G1434" i="11"/>
  <c r="I1433" i="11"/>
  <c r="G1433" i="11"/>
  <c r="I1432" i="11"/>
  <c r="G1432" i="11"/>
  <c r="I1431" i="11"/>
  <c r="G1431" i="11"/>
  <c r="I1430" i="11"/>
  <c r="G1430" i="11"/>
  <c r="I1429" i="11"/>
  <c r="G1429" i="11"/>
  <c r="I1428" i="11"/>
  <c r="G1428" i="11"/>
  <c r="I1427" i="11"/>
  <c r="G1427" i="11"/>
  <c r="I1426" i="11"/>
  <c r="G1426" i="11"/>
  <c r="I1425" i="11"/>
  <c r="G1425" i="11"/>
  <c r="I1424" i="11"/>
  <c r="G1424" i="11"/>
  <c r="I1423" i="11"/>
  <c r="G1423" i="11"/>
  <c r="I1422" i="11"/>
  <c r="G1422" i="11"/>
  <c r="I1421" i="11"/>
  <c r="G1421" i="11"/>
  <c r="I1420" i="11"/>
  <c r="G1420" i="11"/>
  <c r="I1419" i="11"/>
  <c r="G1419" i="11"/>
  <c r="I1418" i="11"/>
  <c r="G1418" i="11"/>
  <c r="I1417" i="11"/>
  <c r="G1417" i="11"/>
  <c r="I1416" i="11"/>
  <c r="G1416" i="11"/>
  <c r="I1415" i="11"/>
  <c r="G1415" i="11"/>
  <c r="I1414" i="11"/>
  <c r="G1414" i="11"/>
  <c r="I1413" i="11"/>
  <c r="G1413" i="11"/>
  <c r="I1412" i="11"/>
  <c r="G1412" i="11"/>
  <c r="I1411" i="11"/>
  <c r="G1411" i="11"/>
  <c r="I1410" i="11"/>
  <c r="G1410" i="11"/>
  <c r="I1409" i="11"/>
  <c r="G1409" i="11"/>
  <c r="I1408" i="11"/>
  <c r="G1408" i="11"/>
  <c r="I1407" i="11"/>
  <c r="G1407" i="11"/>
  <c r="I1406" i="11"/>
  <c r="G1406" i="11"/>
  <c r="I1405" i="11"/>
  <c r="G1405" i="11"/>
  <c r="I1404" i="11"/>
  <c r="G1404" i="11"/>
  <c r="I1403" i="11"/>
  <c r="G1403" i="11"/>
  <c r="I1402" i="11"/>
  <c r="G1402" i="11"/>
  <c r="I1401" i="11"/>
  <c r="G1401" i="11"/>
  <c r="I1400" i="11"/>
  <c r="G1400" i="11"/>
  <c r="I1399" i="11"/>
  <c r="G1399" i="11"/>
  <c r="I1398" i="11"/>
  <c r="G1398" i="11"/>
  <c r="I1397" i="11"/>
  <c r="G1397" i="11"/>
  <c r="I1396" i="11"/>
  <c r="G1396" i="11"/>
  <c r="I1395" i="11"/>
  <c r="G1395" i="11"/>
  <c r="I1394" i="11"/>
  <c r="G1394" i="11"/>
  <c r="I1393" i="11"/>
  <c r="G1393" i="11"/>
  <c r="I1392" i="11"/>
  <c r="G1392" i="11"/>
  <c r="I1391" i="11"/>
  <c r="G1391" i="11"/>
  <c r="I1390" i="11"/>
  <c r="G1390" i="11"/>
  <c r="I1389" i="11"/>
  <c r="G1389" i="11"/>
  <c r="I1388" i="11"/>
  <c r="G1388" i="11"/>
  <c r="I1387" i="11"/>
  <c r="G1387" i="11"/>
  <c r="I1386" i="11"/>
  <c r="G1386" i="11"/>
  <c r="I1385" i="11"/>
  <c r="G1385" i="11"/>
  <c r="I1384" i="11"/>
  <c r="G1384" i="11"/>
  <c r="I1383" i="11"/>
  <c r="G1383" i="11"/>
  <c r="I1382" i="11"/>
  <c r="G1382" i="11"/>
  <c r="I1381" i="11"/>
  <c r="G1381" i="11"/>
  <c r="I1380" i="11"/>
  <c r="G1380" i="11"/>
  <c r="I1379" i="11"/>
  <c r="G1379" i="11"/>
  <c r="I1378" i="11"/>
  <c r="G1378" i="11"/>
  <c r="I1377" i="11"/>
  <c r="G1377" i="11"/>
  <c r="I1376" i="11"/>
  <c r="G1376" i="11"/>
  <c r="G1375" i="11"/>
  <c r="G1374" i="11"/>
  <c r="G1373" i="11"/>
  <c r="G1372" i="11"/>
  <c r="G1371" i="11"/>
  <c r="G1370" i="11"/>
  <c r="G1369" i="11"/>
  <c r="G1368" i="11"/>
  <c r="G1367" i="11"/>
  <c r="G1366" i="11"/>
  <c r="G1365" i="11"/>
  <c r="G1364" i="11"/>
  <c r="I1363" i="11"/>
  <c r="G1363" i="11"/>
  <c r="G1362" i="11"/>
  <c r="G1361" i="11"/>
  <c r="G1360" i="11"/>
  <c r="G1359" i="11"/>
  <c r="G1358" i="11"/>
  <c r="G1357" i="11"/>
  <c r="G1356" i="11"/>
  <c r="G1355" i="11"/>
  <c r="I1354" i="11"/>
  <c r="G1354" i="11"/>
  <c r="G1353" i="11"/>
  <c r="G1352" i="11"/>
  <c r="I1351" i="11"/>
  <c r="G1351" i="11"/>
  <c r="G1350" i="11"/>
  <c r="G1349" i="11"/>
  <c r="G1348" i="11"/>
  <c r="G1347" i="11"/>
  <c r="G1346" i="11"/>
  <c r="H1345" i="11"/>
  <c r="G1345" i="11"/>
  <c r="H1344" i="11"/>
  <c r="G1344" i="11"/>
  <c r="H1343" i="11"/>
  <c r="G1343" i="11"/>
  <c r="H1342" i="11"/>
  <c r="G1342" i="11"/>
  <c r="H1341" i="11"/>
  <c r="G1341" i="11"/>
  <c r="H1340" i="11"/>
  <c r="G1340" i="11"/>
  <c r="H1339" i="11"/>
  <c r="G1339" i="11"/>
  <c r="H1338" i="11"/>
  <c r="G1338" i="11"/>
  <c r="H1337" i="11"/>
  <c r="G1337" i="11"/>
  <c r="H1336" i="11"/>
  <c r="G1336" i="11"/>
  <c r="H1335" i="11"/>
  <c r="G1335" i="11"/>
  <c r="H1334" i="11"/>
  <c r="G1334" i="11"/>
  <c r="H1333" i="11"/>
  <c r="G1333" i="11"/>
  <c r="H1332" i="11"/>
  <c r="G1332" i="11"/>
  <c r="H1331" i="11"/>
  <c r="G1331" i="11"/>
  <c r="H1330" i="11"/>
  <c r="G1330" i="11"/>
  <c r="H1329" i="11"/>
  <c r="G1329" i="11"/>
  <c r="H1328" i="11"/>
  <c r="G1328" i="11"/>
  <c r="H1327" i="11"/>
  <c r="G1327" i="11"/>
  <c r="H1326" i="11"/>
  <c r="G1326" i="11"/>
  <c r="H1325" i="11"/>
  <c r="G1325" i="11"/>
  <c r="H1324" i="11"/>
  <c r="G1324" i="11"/>
  <c r="H1323" i="11"/>
  <c r="G1323" i="11"/>
  <c r="H1322" i="11"/>
  <c r="G1322" i="11"/>
  <c r="H1321" i="11"/>
  <c r="G1321" i="11"/>
  <c r="H1320" i="11"/>
  <c r="G1320" i="11"/>
  <c r="H1319" i="11"/>
  <c r="G1319" i="11"/>
  <c r="H1318" i="11"/>
  <c r="G1318" i="11"/>
  <c r="H1317" i="11"/>
  <c r="G1317" i="11"/>
  <c r="H1316" i="11"/>
  <c r="G1316" i="11"/>
  <c r="H1315" i="11"/>
  <c r="G1315" i="11"/>
  <c r="I1314" i="11"/>
  <c r="G1314" i="11"/>
  <c r="I1313" i="11"/>
  <c r="G1313" i="11"/>
  <c r="I1312" i="11"/>
  <c r="G1312" i="11"/>
  <c r="I1311" i="11"/>
  <c r="G1311" i="11"/>
  <c r="I1310" i="11"/>
  <c r="G1310" i="11"/>
  <c r="I1309" i="11"/>
  <c r="G1309" i="11"/>
  <c r="I1308" i="11"/>
  <c r="G1308" i="11"/>
  <c r="I1307" i="11"/>
  <c r="G1307" i="11"/>
  <c r="I1306" i="11"/>
  <c r="G1306" i="11"/>
  <c r="I1305" i="11"/>
  <c r="G1305" i="11"/>
  <c r="I1304" i="11"/>
  <c r="G1304" i="11"/>
  <c r="I1303" i="11"/>
  <c r="G1303" i="11"/>
  <c r="I1302" i="11"/>
  <c r="G1302" i="11"/>
  <c r="I1301" i="11"/>
  <c r="G1301" i="11"/>
  <c r="I1300" i="11"/>
  <c r="G1300" i="11"/>
  <c r="I1299" i="11"/>
  <c r="G1299" i="11"/>
  <c r="I1298" i="11"/>
  <c r="G1298" i="11"/>
  <c r="I1297" i="11"/>
  <c r="G1297" i="11"/>
  <c r="I1296" i="11"/>
  <c r="G1296" i="11"/>
  <c r="I1295" i="11"/>
  <c r="G1295" i="11"/>
  <c r="I1294" i="11"/>
  <c r="G1294" i="11"/>
  <c r="I1293" i="11"/>
  <c r="G1293" i="11"/>
  <c r="I1292" i="11"/>
  <c r="G1292" i="11"/>
  <c r="I1291" i="11"/>
  <c r="G1291" i="11"/>
  <c r="I1290" i="11"/>
  <c r="G1290" i="11"/>
  <c r="I1289" i="11"/>
  <c r="G1289" i="11"/>
  <c r="I1288" i="11"/>
  <c r="G1288" i="11"/>
  <c r="I1287" i="11"/>
  <c r="G1287" i="11"/>
  <c r="I1286" i="11"/>
  <c r="G1286" i="11"/>
  <c r="I1285" i="11"/>
  <c r="G1285" i="11"/>
  <c r="I1284" i="11"/>
  <c r="G1284" i="11"/>
  <c r="I1283" i="11"/>
  <c r="G1283" i="11"/>
  <c r="I1282" i="11"/>
  <c r="G1282" i="11"/>
  <c r="I1281" i="11"/>
  <c r="G1281" i="11"/>
  <c r="I1280" i="11"/>
  <c r="G1280" i="11"/>
  <c r="I1279" i="11"/>
  <c r="G1279" i="11"/>
  <c r="I1278" i="11"/>
  <c r="G1278" i="11"/>
  <c r="I1277" i="11"/>
  <c r="G1277" i="11"/>
  <c r="I1276" i="11"/>
  <c r="G1276" i="11"/>
  <c r="I1275" i="11"/>
  <c r="G1275" i="11"/>
  <c r="I1274" i="11"/>
  <c r="G1274" i="11"/>
  <c r="I1273" i="11"/>
  <c r="G1273" i="11"/>
  <c r="I1272" i="11"/>
  <c r="G1272" i="11"/>
  <c r="I1271" i="11"/>
  <c r="G1271" i="11"/>
  <c r="I1270" i="11"/>
  <c r="G1270" i="11"/>
  <c r="I1269" i="11"/>
  <c r="G1269" i="11"/>
  <c r="I1268" i="11"/>
  <c r="G1268" i="11"/>
  <c r="I1267" i="11"/>
  <c r="G1267" i="11"/>
  <c r="I1266" i="11"/>
  <c r="G1266" i="11"/>
  <c r="I1265" i="11"/>
  <c r="G1265" i="11"/>
  <c r="I1264" i="11"/>
  <c r="G1264" i="11"/>
  <c r="I1263" i="11"/>
  <c r="G1263" i="11"/>
  <c r="I1262" i="11"/>
  <c r="G1262" i="11"/>
  <c r="I1261" i="11"/>
  <c r="G1261" i="11"/>
  <c r="I1260" i="11"/>
  <c r="G1260" i="11"/>
  <c r="I1259" i="11"/>
  <c r="G1259" i="11"/>
  <c r="I1258" i="11"/>
  <c r="G1258" i="11"/>
  <c r="I1257" i="11"/>
  <c r="G1257" i="11"/>
  <c r="I1256" i="11"/>
  <c r="G1256" i="11"/>
  <c r="I1255" i="11"/>
  <c r="G1255" i="11"/>
  <c r="I1254" i="11"/>
  <c r="G1254" i="11"/>
  <c r="I1253" i="11"/>
  <c r="G1253" i="11"/>
  <c r="I1252" i="11"/>
  <c r="G1252" i="11"/>
  <c r="I1251" i="11"/>
  <c r="G1251" i="11"/>
  <c r="I1250" i="11"/>
  <c r="G1250" i="11"/>
  <c r="I1249" i="11"/>
  <c r="G1249" i="11"/>
  <c r="I1248" i="11"/>
  <c r="G1248" i="11"/>
  <c r="I1247" i="11"/>
  <c r="G1247" i="11"/>
  <c r="I1246" i="11"/>
  <c r="G1246" i="11"/>
  <c r="I1245" i="11"/>
  <c r="G1245" i="11"/>
  <c r="I1244" i="11"/>
  <c r="G1244" i="11"/>
  <c r="I1243" i="11"/>
  <c r="G1243" i="11"/>
  <c r="I1242" i="11"/>
  <c r="G1242" i="11"/>
  <c r="I1241" i="11"/>
  <c r="G1241" i="11"/>
  <c r="I1240" i="11"/>
  <c r="G1240" i="11"/>
  <c r="I1239" i="11"/>
  <c r="G1239" i="11"/>
  <c r="I1238" i="11"/>
  <c r="G1238" i="11"/>
  <c r="I1237" i="11"/>
  <c r="G1237" i="11"/>
  <c r="I1236" i="11"/>
  <c r="G1236" i="11"/>
  <c r="I1235" i="11"/>
  <c r="G1235" i="11"/>
  <c r="I1234" i="11"/>
  <c r="G1234" i="11"/>
  <c r="I1233" i="11"/>
  <c r="G1233" i="11"/>
  <c r="I1232" i="11"/>
  <c r="G1232" i="11"/>
  <c r="I1231" i="11"/>
  <c r="G1231" i="11"/>
  <c r="I1230" i="11"/>
  <c r="G1230" i="11"/>
  <c r="I1229" i="11"/>
  <c r="G1229" i="11"/>
  <c r="I1228" i="11"/>
  <c r="G1228" i="11"/>
  <c r="I1227" i="11"/>
  <c r="G1227" i="11"/>
  <c r="I1226" i="11"/>
  <c r="G1226" i="11"/>
  <c r="I1225" i="11"/>
  <c r="G1225" i="11"/>
  <c r="I1224" i="11"/>
  <c r="G1224" i="11"/>
  <c r="I1223" i="11"/>
  <c r="G1223" i="11"/>
  <c r="H1222" i="11"/>
  <c r="G1222" i="11"/>
  <c r="H1221" i="11"/>
  <c r="G1221" i="11"/>
  <c r="H1220" i="11"/>
  <c r="G1220" i="11"/>
  <c r="H1219" i="11"/>
  <c r="G1219" i="11"/>
  <c r="H1218" i="11"/>
  <c r="G1218" i="11"/>
  <c r="H1217" i="11"/>
  <c r="G1217" i="11"/>
  <c r="H1216" i="11"/>
  <c r="G1216" i="11"/>
  <c r="H1215" i="11"/>
  <c r="G1215" i="11"/>
  <c r="H1214" i="11"/>
  <c r="G1214" i="11"/>
  <c r="H1213" i="11"/>
  <c r="G1213" i="11"/>
  <c r="H1212" i="11"/>
  <c r="G1212" i="11"/>
  <c r="H1211" i="11"/>
  <c r="G1211" i="11"/>
  <c r="H1210" i="11"/>
  <c r="G1210" i="11"/>
  <c r="H1209" i="11"/>
  <c r="G1209" i="11"/>
  <c r="H1208" i="11"/>
  <c r="G1208" i="11"/>
  <c r="H1207" i="11"/>
  <c r="G1207" i="11"/>
  <c r="H1206" i="11"/>
  <c r="G1206" i="11"/>
  <c r="H1205" i="11"/>
  <c r="G1205" i="11"/>
  <c r="H1204" i="11"/>
  <c r="G1204" i="11"/>
  <c r="H1203" i="11"/>
  <c r="G1203" i="11"/>
  <c r="H1202" i="11"/>
  <c r="G1202" i="11"/>
  <c r="H1201" i="11"/>
  <c r="G1201" i="11"/>
  <c r="H1200" i="11"/>
  <c r="G1200" i="11"/>
  <c r="H1199" i="11"/>
  <c r="G1199" i="11"/>
  <c r="H1198" i="11"/>
  <c r="G1198" i="11"/>
  <c r="H1197" i="11"/>
  <c r="G1197" i="11"/>
  <c r="H1196" i="11"/>
  <c r="G1196" i="11"/>
  <c r="H1195" i="11"/>
  <c r="G1195" i="11"/>
  <c r="H1194" i="11"/>
  <c r="G1194" i="11"/>
  <c r="H1193" i="11"/>
  <c r="G1193" i="11"/>
  <c r="I1192" i="11"/>
  <c r="G1192" i="11"/>
  <c r="I1191" i="11"/>
  <c r="G1191" i="11"/>
  <c r="I1190" i="11"/>
  <c r="G1190" i="11"/>
  <c r="I1189" i="11"/>
  <c r="G1189" i="11"/>
  <c r="I1188" i="11"/>
  <c r="G1188" i="11"/>
  <c r="I1187" i="11"/>
  <c r="G1187" i="11"/>
  <c r="I1186" i="11"/>
  <c r="G1186" i="11"/>
  <c r="I1185" i="11"/>
  <c r="G1185" i="11"/>
  <c r="I1184" i="11"/>
  <c r="G1184" i="11"/>
  <c r="I1183" i="11"/>
  <c r="G1183" i="11"/>
  <c r="I1182" i="11"/>
  <c r="G1182" i="11"/>
  <c r="I1181" i="11"/>
  <c r="G1181" i="11"/>
  <c r="I1180" i="11"/>
  <c r="G1180" i="11"/>
  <c r="I1179" i="11"/>
  <c r="G1179" i="11"/>
  <c r="I1178" i="11"/>
  <c r="G1178" i="11"/>
  <c r="I1177" i="11"/>
  <c r="G1177" i="11"/>
  <c r="I1176" i="11"/>
  <c r="G1176" i="11"/>
  <c r="I1175" i="11"/>
  <c r="G1175" i="11"/>
  <c r="I1174" i="11"/>
  <c r="G1174" i="11"/>
  <c r="I1173" i="11"/>
  <c r="G1173" i="11"/>
  <c r="I1172" i="11"/>
  <c r="G1172" i="11"/>
  <c r="I1171" i="11"/>
  <c r="G1171" i="11"/>
  <c r="I1170" i="11"/>
  <c r="G1170" i="11"/>
  <c r="I1169" i="11"/>
  <c r="G1169" i="11"/>
  <c r="I1168" i="11"/>
  <c r="G1168" i="11"/>
  <c r="I1167" i="11"/>
  <c r="G1167" i="11"/>
  <c r="I1166" i="11"/>
  <c r="G1166" i="11"/>
  <c r="I1165" i="11"/>
  <c r="G1165" i="11"/>
  <c r="I1164" i="11"/>
  <c r="G1164" i="11"/>
  <c r="I1163" i="11"/>
  <c r="G1163" i="11"/>
  <c r="I1162" i="11"/>
  <c r="G1162" i="11"/>
  <c r="I1161" i="11"/>
  <c r="G1161" i="11"/>
  <c r="I1160" i="11"/>
  <c r="G1160" i="11"/>
  <c r="I1159" i="11"/>
  <c r="G1159" i="11"/>
  <c r="I1158" i="11"/>
  <c r="G1158" i="11"/>
  <c r="I1157" i="11"/>
  <c r="G1157" i="11"/>
  <c r="I1156" i="11"/>
  <c r="G1156" i="11"/>
  <c r="I1155" i="11"/>
  <c r="G1155" i="11"/>
  <c r="I1154" i="11"/>
  <c r="G1154" i="11"/>
  <c r="I1153" i="11"/>
  <c r="G1153" i="11"/>
  <c r="I1152" i="11"/>
  <c r="G1152" i="11"/>
  <c r="I1151" i="11"/>
  <c r="G1151" i="11"/>
  <c r="I1150" i="11"/>
  <c r="G1150" i="11"/>
  <c r="I1149" i="11"/>
  <c r="G1149" i="11"/>
  <c r="I1148" i="11"/>
  <c r="G1148" i="11"/>
  <c r="I1147" i="11"/>
  <c r="G1147" i="11"/>
  <c r="I1146" i="11"/>
  <c r="G1146" i="11"/>
  <c r="I1145" i="11"/>
  <c r="G1145" i="11"/>
  <c r="I1144" i="11"/>
  <c r="G1144" i="11"/>
  <c r="I1143" i="11"/>
  <c r="G1143" i="11"/>
  <c r="I1142" i="11"/>
  <c r="G1142" i="11"/>
  <c r="I1141" i="11"/>
  <c r="G1141" i="11"/>
  <c r="I1140" i="11"/>
  <c r="G1140" i="11"/>
  <c r="I1139" i="11"/>
  <c r="G1139" i="11"/>
  <c r="I1138" i="11"/>
  <c r="G1138" i="11"/>
  <c r="I1137" i="11"/>
  <c r="G1137" i="11"/>
  <c r="I1136" i="11"/>
  <c r="G1136" i="11"/>
  <c r="I1135" i="11"/>
  <c r="G1135" i="11"/>
  <c r="I1134" i="11"/>
  <c r="G1134" i="11"/>
  <c r="I1133" i="11"/>
  <c r="G1133" i="11"/>
  <c r="I1132" i="11"/>
  <c r="G1132" i="11"/>
  <c r="I1131" i="11"/>
  <c r="G1131" i="11"/>
  <c r="I1130" i="11"/>
  <c r="G1130" i="11"/>
  <c r="I1129" i="11"/>
  <c r="G1129" i="11"/>
  <c r="I1128" i="11"/>
  <c r="G1128" i="11"/>
  <c r="I1127" i="11"/>
  <c r="G1127" i="11"/>
  <c r="I1126" i="11"/>
  <c r="G1126" i="11"/>
  <c r="I1125" i="11"/>
  <c r="G1125" i="11"/>
  <c r="I1124" i="11"/>
  <c r="G1124" i="11"/>
  <c r="I1123" i="11"/>
  <c r="G1123" i="11"/>
  <c r="I1122" i="11"/>
  <c r="G1122" i="11"/>
  <c r="I1121" i="11"/>
  <c r="G1121" i="11"/>
  <c r="I1120" i="11"/>
  <c r="G1120" i="11"/>
  <c r="I1119" i="11"/>
  <c r="G1119" i="11"/>
  <c r="I1118" i="11"/>
  <c r="G1118" i="11"/>
  <c r="I1117" i="11"/>
  <c r="G1117" i="11"/>
  <c r="I1116" i="11"/>
  <c r="G1116" i="11"/>
  <c r="I1115" i="11"/>
  <c r="G1115" i="11"/>
  <c r="I1114" i="11"/>
  <c r="G1114" i="11"/>
  <c r="I1113" i="11"/>
  <c r="G1113" i="11"/>
  <c r="I1112" i="11"/>
  <c r="G1112" i="11"/>
  <c r="I1111" i="11"/>
  <c r="G1111" i="11"/>
  <c r="I1110" i="11"/>
  <c r="G1110" i="11"/>
  <c r="I1109" i="11"/>
  <c r="G1109" i="11"/>
  <c r="I1108" i="11"/>
  <c r="G1108" i="11"/>
  <c r="I1107" i="11"/>
  <c r="G1107" i="11"/>
  <c r="I1106" i="11"/>
  <c r="G1106" i="11"/>
  <c r="I1105" i="11"/>
  <c r="G1105" i="11"/>
  <c r="I1104" i="11"/>
  <c r="G1104" i="11"/>
  <c r="I1103" i="11"/>
  <c r="G1103" i="11"/>
  <c r="I1102" i="11"/>
  <c r="G1102" i="11"/>
  <c r="H1101" i="11"/>
  <c r="G1101" i="11"/>
  <c r="H1100" i="11"/>
  <c r="G1100" i="11"/>
  <c r="H1099" i="11"/>
  <c r="G1099" i="11"/>
  <c r="H1098" i="11"/>
  <c r="G1098" i="11"/>
  <c r="H1097" i="11"/>
  <c r="G1097" i="11"/>
  <c r="H1096" i="11"/>
  <c r="G1096" i="11"/>
  <c r="H1095" i="11"/>
  <c r="G1095" i="11"/>
  <c r="H1094" i="11"/>
  <c r="G1094" i="11"/>
  <c r="H1093" i="11"/>
  <c r="G1093" i="11"/>
  <c r="H1092" i="11"/>
  <c r="G1092" i="11"/>
  <c r="H1091" i="11"/>
  <c r="G1091" i="11"/>
  <c r="H1090" i="11"/>
  <c r="G1090" i="11"/>
  <c r="H1089" i="11"/>
  <c r="G1089" i="11"/>
  <c r="H1088" i="11"/>
  <c r="G1088" i="11"/>
  <c r="H1087" i="11"/>
  <c r="G1087" i="11"/>
  <c r="H1086" i="11"/>
  <c r="G1086" i="11"/>
  <c r="H1085" i="11"/>
  <c r="G1085" i="11"/>
  <c r="H1084" i="11"/>
  <c r="G1084" i="11"/>
  <c r="H1083" i="11"/>
  <c r="G1083" i="11"/>
  <c r="H1082" i="11"/>
  <c r="G1082" i="11"/>
  <c r="H1081" i="11"/>
  <c r="G1081" i="11"/>
  <c r="H1080" i="11"/>
  <c r="G1080" i="11"/>
  <c r="H1079" i="11"/>
  <c r="G1079" i="11"/>
  <c r="H1078" i="11"/>
  <c r="G1078" i="11"/>
  <c r="H1077" i="11"/>
  <c r="G1077" i="11"/>
  <c r="H1076" i="11"/>
  <c r="G1076" i="11"/>
  <c r="H1075" i="11"/>
  <c r="G1075" i="11"/>
  <c r="H1074" i="11"/>
  <c r="G1074" i="11"/>
  <c r="H1073" i="11"/>
  <c r="G1073" i="11"/>
  <c r="H1072" i="11"/>
  <c r="G1072" i="11"/>
  <c r="H1071" i="11"/>
  <c r="G1071" i="11"/>
  <c r="I1070" i="11"/>
  <c r="H1070" i="11"/>
  <c r="G1070" i="11"/>
  <c r="I1069" i="11"/>
  <c r="G1069" i="11"/>
  <c r="I1068" i="11"/>
  <c r="G1068" i="11"/>
  <c r="I1067" i="11"/>
  <c r="G1067" i="11"/>
  <c r="I1066" i="11"/>
  <c r="G1066" i="11"/>
  <c r="I1065" i="11"/>
  <c r="G1065" i="11"/>
  <c r="I1064" i="11"/>
  <c r="G1064" i="11"/>
  <c r="I1063" i="11"/>
  <c r="H1063" i="11"/>
  <c r="G1063" i="11"/>
  <c r="I1062" i="11"/>
  <c r="H1062" i="11"/>
  <c r="G1062" i="11"/>
  <c r="I1061" i="11"/>
  <c r="G1061" i="11"/>
  <c r="I1060" i="11"/>
  <c r="G1060" i="11"/>
  <c r="I1059" i="11"/>
  <c r="G1059" i="11"/>
  <c r="I1058" i="11"/>
  <c r="G1058" i="11"/>
  <c r="I1057" i="11"/>
  <c r="G1057" i="11"/>
  <c r="I1056" i="11"/>
  <c r="G1056" i="11"/>
  <c r="I1055" i="11"/>
  <c r="H1055" i="11"/>
  <c r="G1055" i="11"/>
  <c r="I1054" i="11"/>
  <c r="H1054" i="11"/>
  <c r="G1054" i="11"/>
  <c r="I1053" i="11"/>
  <c r="G1053" i="11"/>
  <c r="I1052" i="11"/>
  <c r="G1052" i="11"/>
  <c r="I1051" i="11"/>
  <c r="G1051" i="11"/>
  <c r="I1050" i="11"/>
  <c r="G1050" i="11"/>
  <c r="I1049" i="11"/>
  <c r="G1049" i="11"/>
  <c r="I1048" i="11"/>
  <c r="G1048" i="11"/>
  <c r="I1047" i="11"/>
  <c r="H1047" i="11"/>
  <c r="G1047" i="11"/>
  <c r="I1046" i="11"/>
  <c r="H1046" i="11"/>
  <c r="G1046" i="11"/>
  <c r="I1045" i="11"/>
  <c r="G1045" i="11"/>
  <c r="I1044" i="11"/>
  <c r="G1044" i="11"/>
  <c r="I1043" i="11"/>
  <c r="G1043" i="11"/>
  <c r="I1042" i="11"/>
  <c r="G1042" i="11"/>
  <c r="I1041" i="11"/>
  <c r="G1041" i="11"/>
  <c r="I1040" i="11"/>
  <c r="G1040" i="11"/>
  <c r="I1039" i="11"/>
  <c r="G1039" i="11"/>
  <c r="I1038" i="11"/>
  <c r="G1038" i="11"/>
  <c r="I1037" i="11"/>
  <c r="G1037" i="11"/>
  <c r="I1036" i="11"/>
  <c r="G1036" i="11"/>
  <c r="I1035" i="11"/>
  <c r="G1035" i="11"/>
  <c r="I1034" i="11"/>
  <c r="G1034" i="11"/>
  <c r="I1033" i="11"/>
  <c r="G1033" i="11"/>
  <c r="I1032" i="11"/>
  <c r="G1032" i="11"/>
  <c r="I1031" i="11"/>
  <c r="G1031" i="11"/>
  <c r="I1030" i="11"/>
  <c r="G1030" i="11"/>
  <c r="I1029" i="11"/>
  <c r="G1029" i="11"/>
  <c r="I1028" i="11"/>
  <c r="G1028" i="11"/>
  <c r="I1027" i="11"/>
  <c r="G1027" i="11"/>
  <c r="I1026" i="11"/>
  <c r="G1026" i="11"/>
  <c r="I1025" i="11"/>
  <c r="G1025" i="11"/>
  <c r="I1024" i="11"/>
  <c r="G1024" i="11"/>
  <c r="I1023" i="11"/>
  <c r="G1023" i="11"/>
  <c r="I1022" i="11"/>
  <c r="G1022" i="11"/>
  <c r="I1021" i="11"/>
  <c r="G1021" i="11"/>
  <c r="I1020" i="11"/>
  <c r="G1020" i="11"/>
  <c r="I1019" i="11"/>
  <c r="G1019" i="11"/>
  <c r="I1018" i="11"/>
  <c r="G1018" i="11"/>
  <c r="I1017" i="11"/>
  <c r="G1017" i="11"/>
  <c r="I1016" i="11"/>
  <c r="G1016" i="11"/>
  <c r="I1015" i="11"/>
  <c r="G1015" i="11"/>
  <c r="I1014" i="11"/>
  <c r="G1014" i="11"/>
  <c r="I1013" i="11"/>
  <c r="G1013" i="11"/>
  <c r="I1012" i="11"/>
  <c r="G1012" i="11"/>
  <c r="I1011" i="11"/>
  <c r="G1011" i="11"/>
  <c r="I1010" i="11"/>
  <c r="G1010" i="11"/>
  <c r="I1009" i="11"/>
  <c r="G1009" i="11"/>
  <c r="I1008" i="11"/>
  <c r="G1008" i="11"/>
  <c r="I1007" i="11"/>
  <c r="H1007" i="11"/>
  <c r="G1007" i="11"/>
  <c r="I1006" i="11"/>
  <c r="H1006" i="11"/>
  <c r="G1006" i="11"/>
  <c r="I1005" i="11"/>
  <c r="G1005" i="11"/>
  <c r="I1004" i="11"/>
  <c r="G1004" i="11"/>
  <c r="I1003" i="11"/>
  <c r="G1003" i="11"/>
  <c r="I1002" i="11"/>
  <c r="G1002" i="11"/>
  <c r="I1001" i="11"/>
  <c r="G1001" i="11"/>
  <c r="I1000" i="11"/>
  <c r="G1000" i="11"/>
  <c r="I999" i="11"/>
  <c r="H999" i="11"/>
  <c r="G999" i="11"/>
  <c r="I998" i="11"/>
  <c r="H998" i="11"/>
  <c r="G998" i="11"/>
  <c r="I997" i="11"/>
  <c r="G997" i="11"/>
  <c r="I996" i="11"/>
  <c r="G996" i="11"/>
  <c r="I995" i="11"/>
  <c r="G995" i="11"/>
  <c r="I994" i="11"/>
  <c r="G994" i="11"/>
  <c r="I993" i="11"/>
  <c r="G993" i="11"/>
  <c r="I992" i="11"/>
  <c r="G992" i="11"/>
  <c r="I991" i="11"/>
  <c r="H991" i="11"/>
  <c r="G991" i="11"/>
  <c r="I990" i="11"/>
  <c r="H990" i="11"/>
  <c r="G990" i="11"/>
  <c r="I989" i="11"/>
  <c r="G989" i="11"/>
  <c r="I988" i="11"/>
  <c r="G988" i="11"/>
  <c r="I987" i="11"/>
  <c r="G987" i="11"/>
  <c r="I986" i="11"/>
  <c r="G986" i="11"/>
  <c r="I985" i="11"/>
  <c r="G985" i="11"/>
  <c r="I984" i="11"/>
  <c r="G984" i="11"/>
  <c r="I983" i="11"/>
  <c r="H983" i="11"/>
  <c r="G983" i="11"/>
  <c r="I982" i="11"/>
  <c r="H982" i="11"/>
  <c r="G982" i="11"/>
  <c r="I981" i="11"/>
  <c r="G981" i="11"/>
  <c r="I980" i="11"/>
  <c r="G980" i="11"/>
  <c r="H979" i="11"/>
  <c r="G979" i="11"/>
  <c r="H978" i="11"/>
  <c r="G978" i="11"/>
  <c r="H977" i="11"/>
  <c r="G977" i="11"/>
  <c r="H976" i="11"/>
  <c r="G976" i="11"/>
  <c r="H975" i="11"/>
  <c r="G975" i="11"/>
  <c r="H974" i="11"/>
  <c r="G974" i="11"/>
  <c r="H973" i="11"/>
  <c r="G973" i="11"/>
  <c r="H972" i="11"/>
  <c r="G972" i="11"/>
  <c r="H971" i="11"/>
  <c r="G971" i="11"/>
  <c r="H970" i="11"/>
  <c r="G970" i="11"/>
  <c r="H969" i="11"/>
  <c r="G969" i="11"/>
  <c r="H968" i="11"/>
  <c r="G968" i="11"/>
  <c r="H967" i="11"/>
  <c r="G967" i="11"/>
  <c r="H966" i="11"/>
  <c r="G966" i="11"/>
  <c r="H965" i="11"/>
  <c r="G965" i="11"/>
  <c r="H964" i="11"/>
  <c r="G964" i="11"/>
  <c r="H963" i="11"/>
  <c r="G963" i="11"/>
  <c r="H962" i="11"/>
  <c r="G962" i="11"/>
  <c r="H961" i="11"/>
  <c r="G961" i="11"/>
  <c r="H960" i="11"/>
  <c r="G960" i="11"/>
  <c r="H959" i="11"/>
  <c r="G959" i="11"/>
  <c r="H958" i="11"/>
  <c r="G958" i="11"/>
  <c r="H957" i="11"/>
  <c r="G957" i="11"/>
  <c r="H956" i="11"/>
  <c r="G956" i="11"/>
  <c r="H955" i="11"/>
  <c r="G955" i="11"/>
  <c r="H954" i="11"/>
  <c r="G954" i="11"/>
  <c r="H953" i="11"/>
  <c r="G953" i="11"/>
  <c r="H952" i="11"/>
  <c r="G952" i="11"/>
  <c r="H951" i="11"/>
  <c r="G951" i="11"/>
  <c r="H950" i="11"/>
  <c r="G950" i="11"/>
  <c r="H949" i="11"/>
  <c r="G949" i="11"/>
  <c r="I948" i="11"/>
  <c r="G948" i="11"/>
  <c r="I947" i="11"/>
  <c r="G947" i="11"/>
  <c r="I946" i="11"/>
  <c r="G946" i="11"/>
  <c r="I945" i="11"/>
  <c r="G945" i="11"/>
  <c r="I944" i="11"/>
  <c r="G944" i="11"/>
  <c r="I943" i="11"/>
  <c r="H943" i="11"/>
  <c r="G943" i="11"/>
  <c r="I942" i="11"/>
  <c r="H942" i="11"/>
  <c r="G942" i="11"/>
  <c r="I941" i="11"/>
  <c r="G941" i="11"/>
  <c r="I940" i="11"/>
  <c r="G940" i="11"/>
  <c r="I939" i="11"/>
  <c r="G939" i="11"/>
  <c r="I938" i="11"/>
  <c r="G938" i="11"/>
  <c r="I937" i="11"/>
  <c r="G937" i="11"/>
  <c r="I936" i="11"/>
  <c r="G936" i="11"/>
  <c r="I935" i="11"/>
  <c r="H935" i="11"/>
  <c r="G935" i="11"/>
  <c r="I934" i="11"/>
  <c r="H934" i="11"/>
  <c r="G934" i="11"/>
  <c r="I933" i="11"/>
  <c r="G933" i="11"/>
  <c r="I932" i="11"/>
  <c r="G932" i="11"/>
  <c r="I931" i="11"/>
  <c r="G931" i="11"/>
  <c r="I930" i="11"/>
  <c r="G930" i="11"/>
  <c r="I929" i="11"/>
  <c r="G929" i="11"/>
  <c r="I928" i="11"/>
  <c r="G928" i="11"/>
  <c r="I927" i="11"/>
  <c r="H927" i="11"/>
  <c r="G927" i="11"/>
  <c r="I926" i="11"/>
  <c r="H926" i="11"/>
  <c r="G926" i="11"/>
  <c r="I925" i="11"/>
  <c r="G925" i="11"/>
  <c r="I924" i="11"/>
  <c r="G924" i="11"/>
  <c r="I923" i="11"/>
  <c r="G923" i="11"/>
  <c r="I922" i="11"/>
  <c r="G922" i="11"/>
  <c r="I921" i="11"/>
  <c r="G921" i="11"/>
  <c r="I920" i="11"/>
  <c r="G920" i="11"/>
  <c r="I919" i="11"/>
  <c r="H919" i="11"/>
  <c r="G919" i="11"/>
  <c r="I918" i="11"/>
  <c r="H918" i="11"/>
  <c r="G918" i="11"/>
  <c r="I917" i="11"/>
  <c r="G917" i="11"/>
  <c r="I916" i="11"/>
  <c r="G916" i="11"/>
  <c r="I915" i="11"/>
  <c r="G915" i="11"/>
  <c r="I914" i="11"/>
  <c r="G914" i="11"/>
  <c r="I913" i="11"/>
  <c r="G913" i="11"/>
  <c r="I912" i="11"/>
  <c r="G912" i="11"/>
  <c r="I911" i="11"/>
  <c r="G911" i="11"/>
  <c r="I910" i="11"/>
  <c r="G910" i="11"/>
  <c r="I909" i="11"/>
  <c r="G909" i="11"/>
  <c r="I908" i="11"/>
  <c r="G908" i="11"/>
  <c r="I907" i="11"/>
  <c r="G907" i="11"/>
  <c r="I906" i="11"/>
  <c r="G906" i="11"/>
  <c r="I905" i="11"/>
  <c r="G905" i="11"/>
  <c r="I904" i="11"/>
  <c r="G904" i="11"/>
  <c r="I903" i="11"/>
  <c r="G903" i="11"/>
  <c r="I902" i="11"/>
  <c r="G902" i="11"/>
  <c r="I901" i="11"/>
  <c r="G901" i="11"/>
  <c r="I900" i="11"/>
  <c r="G900" i="11"/>
  <c r="I899" i="11"/>
  <c r="G899" i="11"/>
  <c r="I898" i="11"/>
  <c r="G898" i="11"/>
  <c r="I897" i="11"/>
  <c r="G897" i="11"/>
  <c r="I896" i="11"/>
  <c r="G896" i="11"/>
  <c r="I895" i="11"/>
  <c r="G895" i="11"/>
  <c r="I894" i="11"/>
  <c r="G894" i="11"/>
  <c r="I893" i="11"/>
  <c r="G893" i="11"/>
  <c r="I892" i="11"/>
  <c r="G892" i="11"/>
  <c r="I891" i="11"/>
  <c r="G891" i="11"/>
  <c r="I890" i="11"/>
  <c r="G890" i="11"/>
  <c r="I889" i="11"/>
  <c r="G889" i="11"/>
  <c r="I888" i="11"/>
  <c r="G888" i="11"/>
  <c r="I887" i="11"/>
  <c r="H887" i="11"/>
  <c r="G887" i="11"/>
  <c r="I886" i="11"/>
  <c r="H886" i="11"/>
  <c r="G886" i="11"/>
  <c r="I885" i="11"/>
  <c r="G885" i="11"/>
  <c r="I884" i="11"/>
  <c r="G884" i="11"/>
  <c r="I883" i="11"/>
  <c r="G883" i="11"/>
  <c r="I882" i="11"/>
  <c r="G882" i="11"/>
  <c r="I881" i="11"/>
  <c r="G881" i="11"/>
  <c r="I880" i="11"/>
  <c r="G880" i="11"/>
  <c r="I879" i="11"/>
  <c r="H879" i="11"/>
  <c r="G879" i="11"/>
  <c r="I878" i="11"/>
  <c r="H878" i="11"/>
  <c r="G878" i="11"/>
  <c r="I877" i="11"/>
  <c r="G877" i="11"/>
  <c r="I876" i="11"/>
  <c r="G876" i="11"/>
  <c r="I875" i="11"/>
  <c r="G875" i="11"/>
  <c r="I874" i="11"/>
  <c r="G874" i="11"/>
  <c r="I873" i="11"/>
  <c r="G873" i="11"/>
  <c r="I872" i="11"/>
  <c r="G872" i="11"/>
  <c r="I871" i="11"/>
  <c r="H871" i="11"/>
  <c r="G871" i="11"/>
  <c r="I870" i="11"/>
  <c r="H870" i="11"/>
  <c r="G870" i="11"/>
  <c r="I869" i="11"/>
  <c r="G869" i="11"/>
  <c r="I868" i="11"/>
  <c r="G868" i="11"/>
  <c r="I867" i="11"/>
  <c r="G867" i="11"/>
  <c r="I866" i="11"/>
  <c r="G866" i="11"/>
  <c r="I865" i="11"/>
  <c r="G865" i="11"/>
  <c r="I864" i="11"/>
  <c r="G864" i="11"/>
  <c r="I863" i="11"/>
  <c r="H863" i="11"/>
  <c r="G863" i="11"/>
  <c r="I862" i="11"/>
  <c r="H862" i="11"/>
  <c r="G862" i="11"/>
  <c r="I861" i="11"/>
  <c r="G861" i="11"/>
  <c r="I860" i="11"/>
  <c r="G860" i="11"/>
  <c r="I859" i="11"/>
  <c r="G859" i="11"/>
  <c r="I858" i="11"/>
  <c r="G858" i="11"/>
  <c r="I857" i="11"/>
  <c r="G857" i="11"/>
  <c r="H856" i="11"/>
  <c r="G856" i="11"/>
  <c r="H855" i="11"/>
  <c r="G855" i="11"/>
  <c r="H854" i="11"/>
  <c r="G854" i="11"/>
  <c r="H853" i="11"/>
  <c r="G853" i="11"/>
  <c r="H852" i="11"/>
  <c r="G852" i="11"/>
  <c r="H851" i="11"/>
  <c r="G851" i="11"/>
  <c r="H850" i="11"/>
  <c r="G850" i="11"/>
  <c r="H849" i="11"/>
  <c r="G849" i="11"/>
  <c r="H848" i="11"/>
  <c r="G848" i="11"/>
  <c r="H847" i="11"/>
  <c r="G847" i="11"/>
  <c r="H846" i="11"/>
  <c r="G846" i="11"/>
  <c r="H845" i="11"/>
  <c r="G845" i="11"/>
  <c r="H844" i="11"/>
  <c r="G844" i="11"/>
  <c r="H843" i="11"/>
  <c r="G843" i="11"/>
  <c r="H842" i="11"/>
  <c r="G842" i="11"/>
  <c r="H841" i="11"/>
  <c r="G841" i="11"/>
  <c r="H840" i="11"/>
  <c r="G840" i="11"/>
  <c r="H839" i="11"/>
  <c r="G839" i="11"/>
  <c r="H838" i="11"/>
  <c r="G838" i="11"/>
  <c r="H837" i="11"/>
  <c r="G837" i="11"/>
  <c r="H836" i="11"/>
  <c r="G836" i="11"/>
  <c r="H835" i="11"/>
  <c r="G835" i="11"/>
  <c r="H834" i="11"/>
  <c r="G834" i="11"/>
  <c r="H833" i="11"/>
  <c r="G833" i="11"/>
  <c r="H832" i="11"/>
  <c r="G832" i="11"/>
  <c r="H831" i="11"/>
  <c r="G831" i="11"/>
  <c r="H830" i="11"/>
  <c r="G830" i="11"/>
  <c r="H829" i="11"/>
  <c r="G829" i="11"/>
  <c r="H828" i="11"/>
  <c r="G828" i="11"/>
  <c r="H827" i="11"/>
  <c r="G827" i="11"/>
  <c r="I826" i="11"/>
  <c r="G826" i="11"/>
  <c r="I825" i="11"/>
  <c r="G825" i="11"/>
  <c r="I824" i="11"/>
  <c r="G824" i="11"/>
  <c r="I823" i="11"/>
  <c r="H823" i="11"/>
  <c r="G823" i="11"/>
  <c r="I822" i="11"/>
  <c r="H822" i="11"/>
  <c r="G822" i="11"/>
  <c r="I821" i="11"/>
  <c r="G821" i="11"/>
  <c r="I820" i="11"/>
  <c r="G820" i="11"/>
  <c r="I819" i="11"/>
  <c r="G819" i="11"/>
  <c r="I818" i="11"/>
  <c r="G818" i="11"/>
  <c r="I817" i="11"/>
  <c r="G817" i="11"/>
  <c r="I816" i="11"/>
  <c r="G816" i="11"/>
  <c r="I815" i="11"/>
  <c r="H815" i="11"/>
  <c r="G815" i="11"/>
  <c r="I814" i="11"/>
  <c r="H814" i="11"/>
  <c r="G814" i="11"/>
  <c r="I813" i="11"/>
  <c r="G813" i="11"/>
  <c r="I812" i="11"/>
  <c r="G812" i="11"/>
  <c r="I811" i="11"/>
  <c r="G811" i="11"/>
  <c r="I810" i="11"/>
  <c r="G810" i="11"/>
  <c r="I809" i="11"/>
  <c r="G809" i="11"/>
  <c r="I808" i="11"/>
  <c r="G808" i="11"/>
  <c r="I807" i="11"/>
  <c r="H807" i="11"/>
  <c r="G807" i="11"/>
  <c r="I806" i="11"/>
  <c r="H806" i="11"/>
  <c r="G806" i="11"/>
  <c r="I805" i="11"/>
  <c r="G805" i="11"/>
  <c r="I804" i="11"/>
  <c r="G804" i="11"/>
  <c r="I803" i="11"/>
  <c r="G803" i="11"/>
  <c r="I802" i="11"/>
  <c r="G802" i="11"/>
  <c r="I801" i="11"/>
  <c r="G801" i="11"/>
  <c r="I800" i="11"/>
  <c r="G800" i="11"/>
  <c r="I799" i="11"/>
  <c r="H799" i="11"/>
  <c r="G799" i="11"/>
  <c r="I798" i="11"/>
  <c r="H798" i="11"/>
  <c r="G798" i="11"/>
  <c r="I797" i="11"/>
  <c r="G797" i="11"/>
  <c r="I796" i="11"/>
  <c r="G796" i="11"/>
  <c r="I795" i="11"/>
  <c r="G795" i="11"/>
  <c r="I794" i="11"/>
  <c r="G794" i="11"/>
  <c r="I793" i="11"/>
  <c r="G793" i="11"/>
  <c r="I792" i="11"/>
  <c r="G792" i="11"/>
  <c r="I791" i="11"/>
  <c r="G791" i="11"/>
  <c r="I790" i="11"/>
  <c r="G790" i="11"/>
  <c r="I789" i="11"/>
  <c r="G789" i="11"/>
  <c r="I788" i="11"/>
  <c r="G788" i="11"/>
  <c r="I787" i="11"/>
  <c r="G787" i="11"/>
  <c r="I786" i="11"/>
  <c r="G786" i="11"/>
  <c r="I785" i="11"/>
  <c r="G785" i="11"/>
  <c r="I784" i="11"/>
  <c r="G784" i="11"/>
  <c r="I783" i="11"/>
  <c r="G783" i="11"/>
  <c r="I782" i="11"/>
  <c r="G782" i="11"/>
  <c r="I781" i="11"/>
  <c r="G781" i="11"/>
  <c r="I780" i="11"/>
  <c r="G780" i="11"/>
  <c r="I779" i="11"/>
  <c r="G779" i="11"/>
  <c r="I778" i="11"/>
  <c r="G778" i="11"/>
  <c r="I777" i="11"/>
  <c r="G777" i="11"/>
  <c r="I776" i="11"/>
  <c r="G776" i="11"/>
  <c r="I775" i="11"/>
  <c r="G775" i="11"/>
  <c r="I774" i="11"/>
  <c r="G774" i="11"/>
  <c r="I773" i="11"/>
  <c r="G773" i="11"/>
  <c r="I772" i="11"/>
  <c r="G772" i="11"/>
  <c r="I771" i="11"/>
  <c r="G771" i="11"/>
  <c r="I770" i="11"/>
  <c r="G770" i="11"/>
  <c r="I769" i="11"/>
  <c r="G769" i="11"/>
  <c r="I768" i="11"/>
  <c r="G768" i="11"/>
  <c r="I767" i="11"/>
  <c r="H767" i="11"/>
  <c r="G767" i="11"/>
  <c r="I766" i="11"/>
  <c r="H766" i="11"/>
  <c r="G766" i="11"/>
  <c r="I765" i="11"/>
  <c r="G765" i="11"/>
  <c r="I764" i="11"/>
  <c r="G764" i="11"/>
  <c r="I763" i="11"/>
  <c r="G763" i="11"/>
  <c r="I762" i="11"/>
  <c r="G762" i="11"/>
  <c r="I761" i="11"/>
  <c r="G761" i="11"/>
  <c r="I760" i="11"/>
  <c r="G760" i="11"/>
  <c r="I759" i="11"/>
  <c r="H759" i="11"/>
  <c r="G759" i="11"/>
  <c r="I758" i="11"/>
  <c r="H758" i="11"/>
  <c r="G758" i="11"/>
  <c r="I757" i="11"/>
  <c r="G757" i="11"/>
  <c r="I756" i="11"/>
  <c r="G756" i="11"/>
  <c r="I755" i="11"/>
  <c r="G755" i="11"/>
  <c r="I754" i="11"/>
  <c r="G754" i="11"/>
  <c r="I753" i="11"/>
  <c r="G753" i="11"/>
  <c r="I752" i="11"/>
  <c r="G752" i="11"/>
  <c r="I751" i="11"/>
  <c r="H751" i="11"/>
  <c r="G751" i="11"/>
  <c r="I750" i="11"/>
  <c r="H750" i="11"/>
  <c r="G750" i="11"/>
  <c r="I749" i="11"/>
  <c r="G749" i="11"/>
  <c r="I748" i="11"/>
  <c r="G748" i="11"/>
  <c r="I747" i="11"/>
  <c r="G747" i="11"/>
  <c r="I746" i="11"/>
  <c r="G746" i="11"/>
  <c r="I745" i="11"/>
  <c r="G745" i="11"/>
  <c r="I744" i="11"/>
  <c r="G744" i="11"/>
  <c r="I743" i="11"/>
  <c r="H743" i="11"/>
  <c r="G743" i="11"/>
  <c r="I742" i="11"/>
  <c r="H742" i="11"/>
  <c r="G742" i="11"/>
  <c r="I741" i="11"/>
  <c r="G741" i="11"/>
  <c r="I740" i="11"/>
  <c r="G740" i="11"/>
  <c r="I739" i="11"/>
  <c r="G739" i="11"/>
  <c r="I738" i="11"/>
  <c r="G738" i="11"/>
  <c r="I737" i="11"/>
  <c r="G737" i="11"/>
  <c r="H736" i="11"/>
  <c r="G736" i="11"/>
  <c r="H735" i="11"/>
  <c r="G735" i="11"/>
  <c r="H734" i="11"/>
  <c r="G734" i="11"/>
  <c r="H733" i="11"/>
  <c r="G733" i="11"/>
  <c r="H732" i="11"/>
  <c r="G732" i="11"/>
  <c r="H731" i="11"/>
  <c r="G731" i="11"/>
  <c r="H730" i="11"/>
  <c r="G730" i="11"/>
  <c r="H729" i="11"/>
  <c r="G729" i="11"/>
  <c r="H728" i="11"/>
  <c r="G728" i="11"/>
  <c r="H727" i="11"/>
  <c r="G727" i="11"/>
  <c r="H726" i="11"/>
  <c r="G726" i="11"/>
  <c r="H725" i="11"/>
  <c r="G725" i="11"/>
  <c r="H724" i="11"/>
  <c r="G724" i="11"/>
  <c r="H723" i="11"/>
  <c r="G723" i="11"/>
  <c r="H722" i="11"/>
  <c r="G722" i="11"/>
  <c r="H721" i="11"/>
  <c r="G721" i="11"/>
  <c r="H720" i="11"/>
  <c r="G720" i="11"/>
  <c r="H719" i="11"/>
  <c r="G719" i="11"/>
  <c r="H718" i="11"/>
  <c r="G718" i="11"/>
  <c r="H717" i="11"/>
  <c r="G717" i="11"/>
  <c r="H716" i="11"/>
  <c r="G716" i="11"/>
  <c r="H715" i="11"/>
  <c r="G715" i="11"/>
  <c r="H714" i="11"/>
  <c r="G714" i="11"/>
  <c r="H713" i="11"/>
  <c r="G713" i="11"/>
  <c r="H712" i="11"/>
  <c r="G712" i="11"/>
  <c r="H711" i="11"/>
  <c r="G711" i="11"/>
  <c r="H710" i="11"/>
  <c r="G710" i="11"/>
  <c r="H709" i="11"/>
  <c r="G709" i="11"/>
  <c r="H708" i="11"/>
  <c r="G708" i="11"/>
  <c r="H707" i="11"/>
  <c r="G707" i="11"/>
  <c r="H706" i="11"/>
  <c r="G706" i="11"/>
  <c r="I705" i="11"/>
  <c r="H705" i="11"/>
  <c r="G705" i="11"/>
  <c r="I704" i="11"/>
  <c r="H704" i="11"/>
  <c r="G704" i="11"/>
  <c r="I703" i="11"/>
  <c r="G703" i="11"/>
  <c r="I702" i="11"/>
  <c r="G702" i="11"/>
  <c r="I701" i="11"/>
  <c r="G701" i="11"/>
  <c r="I700" i="11"/>
  <c r="G700" i="11"/>
  <c r="J699" i="11"/>
  <c r="I699" i="11"/>
  <c r="G699" i="11"/>
  <c r="I698" i="11"/>
  <c r="H698" i="11"/>
  <c r="G698" i="11"/>
  <c r="I697" i="11"/>
  <c r="G697" i="11"/>
  <c r="I696" i="11"/>
  <c r="G696" i="11"/>
  <c r="I695" i="11"/>
  <c r="H695" i="11"/>
  <c r="G695" i="11"/>
  <c r="I694" i="11"/>
  <c r="G694" i="11"/>
  <c r="J693" i="11"/>
  <c r="I693" i="11"/>
  <c r="G693" i="11"/>
  <c r="I692" i="11"/>
  <c r="G692" i="11"/>
  <c r="I691" i="11"/>
  <c r="G691" i="11"/>
  <c r="I690" i="11"/>
  <c r="G690" i="11"/>
  <c r="I689" i="11"/>
  <c r="H689" i="11"/>
  <c r="G689" i="11"/>
  <c r="I688" i="11"/>
  <c r="H688" i="11"/>
  <c r="G688" i="11"/>
  <c r="I687" i="11"/>
  <c r="G687" i="11"/>
  <c r="I686" i="11"/>
  <c r="G686" i="11"/>
  <c r="I685" i="11"/>
  <c r="G685" i="11"/>
  <c r="I684" i="11"/>
  <c r="G684" i="11"/>
  <c r="J683" i="11"/>
  <c r="I683" i="11"/>
  <c r="G683" i="11"/>
  <c r="I682" i="11"/>
  <c r="H682" i="11"/>
  <c r="G682" i="11"/>
  <c r="I681" i="11"/>
  <c r="G681" i="11"/>
  <c r="I680" i="11"/>
  <c r="G680" i="11"/>
  <c r="I679" i="11"/>
  <c r="H679" i="11"/>
  <c r="G679" i="11"/>
  <c r="I678" i="11"/>
  <c r="G678" i="11"/>
  <c r="J677" i="11"/>
  <c r="I677" i="11"/>
  <c r="G677" i="11"/>
  <c r="I676" i="11"/>
  <c r="G676" i="11"/>
  <c r="I675" i="11"/>
  <c r="G675" i="11"/>
  <c r="I674" i="11"/>
  <c r="G674" i="11"/>
  <c r="I673" i="11"/>
  <c r="G673" i="11"/>
  <c r="I672" i="11"/>
  <c r="G672" i="11"/>
  <c r="I671" i="11"/>
  <c r="G671" i="11"/>
  <c r="I670" i="11"/>
  <c r="G670" i="11"/>
  <c r="I669" i="11"/>
  <c r="G669" i="11"/>
  <c r="I668" i="11"/>
  <c r="G668" i="11"/>
  <c r="J667" i="11"/>
  <c r="I667" i="11"/>
  <c r="G667" i="11"/>
  <c r="I666" i="11"/>
  <c r="G666" i="11"/>
  <c r="I665" i="11"/>
  <c r="G665" i="11"/>
  <c r="I664" i="11"/>
  <c r="G664" i="11"/>
  <c r="I663" i="11"/>
  <c r="G663" i="11"/>
  <c r="I662" i="11"/>
  <c r="G662" i="11"/>
  <c r="J661" i="11"/>
  <c r="I661" i="11"/>
  <c r="G661" i="11"/>
  <c r="I660" i="11"/>
  <c r="G660" i="11"/>
  <c r="I659" i="11"/>
  <c r="G659" i="11"/>
  <c r="I658" i="11"/>
  <c r="G658" i="11"/>
  <c r="I657" i="11"/>
  <c r="G657" i="11"/>
  <c r="I656" i="11"/>
  <c r="G656" i="11"/>
  <c r="I655" i="11"/>
  <c r="G655" i="11"/>
  <c r="I654" i="11"/>
  <c r="G654" i="11"/>
  <c r="I653" i="11"/>
  <c r="G653" i="11"/>
  <c r="I652" i="11"/>
  <c r="G652" i="11"/>
  <c r="J651" i="11"/>
  <c r="I651" i="11"/>
  <c r="G651" i="11"/>
  <c r="I650" i="11"/>
  <c r="G650" i="11"/>
  <c r="I649" i="11"/>
  <c r="G649" i="11"/>
  <c r="I648" i="11"/>
  <c r="G648" i="11"/>
  <c r="I647" i="11"/>
  <c r="G647" i="11"/>
  <c r="I646" i="11"/>
  <c r="G646" i="11"/>
  <c r="J645" i="11"/>
  <c r="I645" i="11"/>
  <c r="G645" i="11"/>
  <c r="I644" i="11"/>
  <c r="G644" i="11"/>
  <c r="I643" i="11"/>
  <c r="G643" i="11"/>
  <c r="I642" i="11"/>
  <c r="G642" i="11"/>
  <c r="I641" i="11"/>
  <c r="H641" i="11"/>
  <c r="G641" i="11"/>
  <c r="I640" i="11"/>
  <c r="H640" i="11"/>
  <c r="G640" i="11"/>
  <c r="I639" i="11"/>
  <c r="G639" i="11"/>
  <c r="I638" i="11"/>
  <c r="G638" i="11"/>
  <c r="I637" i="11"/>
  <c r="G637" i="11"/>
  <c r="I636" i="11"/>
  <c r="G636" i="11"/>
  <c r="J635" i="11"/>
  <c r="I635" i="11"/>
  <c r="G635" i="11"/>
  <c r="I634" i="11"/>
  <c r="H634" i="11"/>
  <c r="G634" i="11"/>
  <c r="I633" i="11"/>
  <c r="G633" i="11"/>
  <c r="I632" i="11"/>
  <c r="G632" i="11"/>
  <c r="I631" i="11"/>
  <c r="H631" i="11"/>
  <c r="G631" i="11"/>
  <c r="I630" i="11"/>
  <c r="G630" i="11"/>
  <c r="J629" i="11"/>
  <c r="I629" i="11"/>
  <c r="G629" i="11"/>
  <c r="I628" i="11"/>
  <c r="G628" i="11"/>
  <c r="I627" i="11"/>
  <c r="G627" i="11"/>
  <c r="I626" i="11"/>
  <c r="G626" i="11"/>
  <c r="I625" i="11"/>
  <c r="H625" i="11"/>
  <c r="G625" i="11"/>
  <c r="I624" i="11"/>
  <c r="H624" i="11"/>
  <c r="G624" i="11"/>
  <c r="I623" i="11"/>
  <c r="G623" i="11"/>
  <c r="I622" i="11"/>
  <c r="G622" i="11"/>
  <c r="I621" i="11"/>
  <c r="G621" i="11"/>
  <c r="I620" i="11"/>
  <c r="G620" i="11"/>
  <c r="J619" i="11"/>
  <c r="I619" i="11"/>
  <c r="G619" i="11"/>
  <c r="I618" i="11"/>
  <c r="H618" i="11"/>
  <c r="G618" i="11"/>
  <c r="I617" i="11"/>
  <c r="G617" i="11"/>
  <c r="I616" i="11"/>
  <c r="G616" i="11"/>
  <c r="I615" i="11"/>
  <c r="H615" i="11"/>
  <c r="G615" i="11"/>
  <c r="H614" i="11"/>
  <c r="G614" i="11"/>
  <c r="J613" i="11"/>
  <c r="H613" i="11"/>
  <c r="G613" i="11"/>
  <c r="H612" i="11"/>
  <c r="G612" i="11"/>
  <c r="H611" i="11"/>
  <c r="G611" i="11"/>
  <c r="H610" i="11"/>
  <c r="G610" i="11"/>
  <c r="H609" i="11"/>
  <c r="G609" i="11"/>
  <c r="H608" i="11"/>
  <c r="G608" i="11"/>
  <c r="H607" i="11"/>
  <c r="G607" i="11"/>
  <c r="H606" i="11"/>
  <c r="G606" i="11"/>
  <c r="H605" i="11"/>
  <c r="G605" i="11"/>
  <c r="H604" i="11"/>
  <c r="G604" i="11"/>
  <c r="J603" i="11"/>
  <c r="H603" i="11"/>
  <c r="G603" i="11"/>
  <c r="H602" i="11"/>
  <c r="G602" i="11"/>
  <c r="H601" i="11"/>
  <c r="G601" i="11"/>
  <c r="H600" i="11"/>
  <c r="G600" i="11"/>
  <c r="H599" i="11"/>
  <c r="G599" i="11"/>
  <c r="H598" i="11"/>
  <c r="G598" i="11"/>
  <c r="J597" i="11"/>
  <c r="H597" i="11"/>
  <c r="G597" i="11"/>
  <c r="H596" i="11"/>
  <c r="G596" i="11"/>
  <c r="H595" i="11"/>
  <c r="G595" i="11"/>
  <c r="H594" i="11"/>
  <c r="G594" i="11"/>
  <c r="H593" i="11"/>
  <c r="G593" i="11"/>
  <c r="H592" i="11"/>
  <c r="G592" i="11"/>
  <c r="H591" i="11"/>
  <c r="G591" i="11"/>
  <c r="H590" i="11"/>
  <c r="G590" i="11"/>
  <c r="H589" i="11"/>
  <c r="G589" i="11"/>
  <c r="H588" i="11"/>
  <c r="G588" i="11"/>
  <c r="J587" i="11"/>
  <c r="H587" i="11"/>
  <c r="G587" i="11"/>
  <c r="H586" i="11"/>
  <c r="G586" i="11"/>
  <c r="H585" i="11"/>
  <c r="G585" i="11"/>
  <c r="H584" i="11"/>
  <c r="G584" i="11"/>
  <c r="I583" i="11"/>
  <c r="H583" i="11"/>
  <c r="G583" i="11"/>
  <c r="I582" i="11"/>
  <c r="G582" i="11"/>
  <c r="I581" i="11"/>
  <c r="G581" i="11"/>
  <c r="I580" i="11"/>
  <c r="G580" i="11"/>
  <c r="I579" i="11"/>
  <c r="G579" i="11"/>
  <c r="I578" i="11"/>
  <c r="G578" i="11"/>
  <c r="I577" i="11"/>
  <c r="H577" i="11"/>
  <c r="G577" i="11"/>
  <c r="I576" i="11"/>
  <c r="H576" i="11"/>
  <c r="G576" i="11"/>
  <c r="I575" i="11"/>
  <c r="G575" i="11"/>
  <c r="I574" i="11"/>
  <c r="G574" i="11"/>
  <c r="I573" i="11"/>
  <c r="G573" i="11"/>
  <c r="I572" i="11"/>
  <c r="G572" i="11"/>
  <c r="I571" i="11"/>
  <c r="G571" i="11"/>
  <c r="I570" i="11"/>
  <c r="H570" i="11"/>
  <c r="G570" i="11"/>
  <c r="I569" i="11"/>
  <c r="G569" i="11"/>
  <c r="I568" i="11"/>
  <c r="G568" i="11"/>
  <c r="I567" i="11"/>
  <c r="H567" i="11"/>
  <c r="G567" i="11"/>
  <c r="I566" i="11"/>
  <c r="G566" i="11"/>
  <c r="I565" i="11"/>
  <c r="G565" i="11"/>
  <c r="I564" i="11"/>
  <c r="G564" i="11"/>
  <c r="I563" i="11"/>
  <c r="G563" i="11"/>
  <c r="I562" i="11"/>
  <c r="G562" i="11"/>
  <c r="I561" i="11"/>
  <c r="H561" i="11"/>
  <c r="G561" i="11"/>
  <c r="I560" i="11"/>
  <c r="H560" i="11"/>
  <c r="G560" i="11"/>
  <c r="I559" i="11"/>
  <c r="G559" i="11"/>
  <c r="I558" i="11"/>
  <c r="G558" i="11"/>
  <c r="I557" i="11"/>
  <c r="G557" i="11"/>
  <c r="I556" i="11"/>
  <c r="G556" i="11"/>
  <c r="I555" i="11"/>
  <c r="G555" i="11"/>
  <c r="I554" i="11"/>
  <c r="G554" i="11"/>
  <c r="I553" i="11"/>
  <c r="G553" i="11"/>
  <c r="I552" i="11"/>
  <c r="G552" i="11"/>
  <c r="I551" i="11"/>
  <c r="G551" i="11"/>
  <c r="I550" i="11"/>
  <c r="G550" i="11"/>
  <c r="I549" i="11"/>
  <c r="G549" i="11"/>
  <c r="I548" i="11"/>
  <c r="G548" i="11"/>
  <c r="I547" i="11"/>
  <c r="G547" i="11"/>
  <c r="I546" i="11"/>
  <c r="G546" i="11"/>
  <c r="I545" i="11"/>
  <c r="G545" i="11"/>
  <c r="I544" i="11"/>
  <c r="G544" i="11"/>
  <c r="I543" i="11"/>
  <c r="G543" i="11"/>
  <c r="I542" i="11"/>
  <c r="G542" i="11"/>
  <c r="I541" i="11"/>
  <c r="G541" i="11"/>
  <c r="I540" i="11"/>
  <c r="G540" i="11"/>
  <c r="I539" i="11"/>
  <c r="G539" i="11"/>
  <c r="I538" i="11"/>
  <c r="G538" i="11"/>
  <c r="I537" i="11"/>
  <c r="G537" i="11"/>
  <c r="I536" i="11"/>
  <c r="G536" i="11"/>
  <c r="I535" i="11"/>
  <c r="G535" i="11"/>
  <c r="I534" i="11"/>
  <c r="G534" i="11"/>
  <c r="I533" i="11"/>
  <c r="G533" i="11"/>
  <c r="I532" i="11"/>
  <c r="G532" i="11"/>
  <c r="I531" i="11"/>
  <c r="G531" i="11"/>
  <c r="I530" i="11"/>
  <c r="G530" i="11"/>
  <c r="I529" i="11"/>
  <c r="G529" i="11"/>
  <c r="I528" i="11"/>
  <c r="G528" i="11"/>
  <c r="I527" i="11"/>
  <c r="G527" i="11"/>
  <c r="I526" i="11"/>
  <c r="G526" i="11"/>
  <c r="I525" i="11"/>
  <c r="G525" i="11"/>
  <c r="I524" i="11"/>
  <c r="G524" i="11"/>
  <c r="I523" i="11"/>
  <c r="G523" i="11"/>
  <c r="J522" i="11"/>
  <c r="I522" i="11"/>
  <c r="G522" i="11"/>
  <c r="I521" i="11"/>
  <c r="G521" i="11"/>
  <c r="J520" i="11"/>
  <c r="I520" i="11"/>
  <c r="G520" i="11"/>
  <c r="I519" i="11"/>
  <c r="G519" i="11"/>
  <c r="J518" i="11"/>
  <c r="I518" i="11"/>
  <c r="G518" i="11"/>
  <c r="I517" i="11"/>
  <c r="G517" i="11"/>
  <c r="J516" i="11"/>
  <c r="I516" i="11"/>
  <c r="G516" i="11"/>
  <c r="I515" i="11"/>
  <c r="G515" i="11"/>
  <c r="J514" i="11"/>
  <c r="I514" i="11"/>
  <c r="G514" i="11"/>
  <c r="I513" i="11"/>
  <c r="G513" i="11"/>
  <c r="J512" i="11"/>
  <c r="I512" i="11"/>
  <c r="G512" i="11"/>
  <c r="I511" i="11"/>
  <c r="G511" i="11"/>
  <c r="J510" i="11"/>
  <c r="I510" i="11"/>
  <c r="G510" i="11"/>
  <c r="I509" i="11"/>
  <c r="G509" i="11"/>
  <c r="J508" i="11"/>
  <c r="I508" i="11"/>
  <c r="G508" i="11"/>
  <c r="I507" i="11"/>
  <c r="G507" i="11"/>
  <c r="J506" i="11"/>
  <c r="I506" i="11"/>
  <c r="G506" i="11"/>
  <c r="I505" i="11"/>
  <c r="G505" i="11"/>
  <c r="J504" i="11"/>
  <c r="I504" i="11"/>
  <c r="G504" i="11"/>
  <c r="I503" i="11"/>
  <c r="G503" i="11"/>
  <c r="J502" i="11"/>
  <c r="I502" i="11"/>
  <c r="G502" i="11"/>
  <c r="I501" i="11"/>
  <c r="G501" i="11"/>
  <c r="J500" i="11"/>
  <c r="I500" i="11"/>
  <c r="G500" i="11"/>
  <c r="I499" i="11"/>
  <c r="G499" i="11"/>
  <c r="J498" i="11"/>
  <c r="I498" i="11"/>
  <c r="G498" i="11"/>
  <c r="I497" i="11"/>
  <c r="G497" i="11"/>
  <c r="J496" i="11"/>
  <c r="I496" i="11"/>
  <c r="G496" i="11"/>
  <c r="I495" i="11"/>
  <c r="G495" i="11"/>
  <c r="J494" i="11"/>
  <c r="I494" i="11"/>
  <c r="G494" i="11"/>
  <c r="I493" i="11"/>
  <c r="G493" i="11"/>
  <c r="J492" i="11"/>
  <c r="I492" i="11"/>
  <c r="G492" i="11"/>
  <c r="H491" i="11"/>
  <c r="G491" i="11"/>
  <c r="J490" i="11"/>
  <c r="H490" i="11"/>
  <c r="G490" i="11"/>
  <c r="H489" i="11"/>
  <c r="G489" i="11"/>
  <c r="J488" i="11"/>
  <c r="H488" i="11"/>
  <c r="G488" i="11"/>
  <c r="H487" i="11"/>
  <c r="G487" i="11"/>
  <c r="J486" i="11"/>
  <c r="H486" i="11"/>
  <c r="G486" i="11"/>
  <c r="H485" i="11"/>
  <c r="G485" i="11"/>
  <c r="J484" i="11"/>
  <c r="H484" i="11"/>
  <c r="G484" i="11"/>
  <c r="H483" i="11"/>
  <c r="G483" i="11"/>
  <c r="J482" i="11"/>
  <c r="H482" i="11"/>
  <c r="G482" i="11"/>
  <c r="H481" i="11"/>
  <c r="G481" i="11"/>
  <c r="J480" i="11"/>
  <c r="H480" i="11"/>
  <c r="G480" i="11"/>
  <c r="H479" i="11"/>
  <c r="G479" i="11"/>
  <c r="J478" i="11"/>
  <c r="H478" i="11"/>
  <c r="G478" i="11"/>
  <c r="H477" i="11"/>
  <c r="G477" i="11"/>
  <c r="J476" i="11"/>
  <c r="H476" i="11"/>
  <c r="G476" i="11"/>
  <c r="H475" i="11"/>
  <c r="G475" i="11"/>
  <c r="J474" i="11"/>
  <c r="H474" i="11"/>
  <c r="G474" i="11"/>
  <c r="H473" i="11"/>
  <c r="G473" i="11"/>
  <c r="J472" i="11"/>
  <c r="H472" i="11"/>
  <c r="G472" i="11"/>
  <c r="H471" i="11"/>
  <c r="G471" i="11"/>
  <c r="J470" i="11"/>
  <c r="H470" i="11"/>
  <c r="G470" i="11"/>
  <c r="H469" i="11"/>
  <c r="G469" i="11"/>
  <c r="J468" i="11"/>
  <c r="H468" i="11"/>
  <c r="G468" i="11"/>
  <c r="H467" i="11"/>
  <c r="G467" i="11"/>
  <c r="J466" i="11"/>
  <c r="H466" i="11"/>
  <c r="G466" i="11"/>
  <c r="H465" i="11"/>
  <c r="G465" i="11"/>
  <c r="J464" i="11"/>
  <c r="H464" i="11"/>
  <c r="G464" i="11"/>
  <c r="H463" i="11"/>
  <c r="G463" i="11"/>
  <c r="J462" i="11"/>
  <c r="H462" i="11"/>
  <c r="G462" i="11"/>
  <c r="I461" i="11"/>
  <c r="G461" i="11"/>
  <c r="I460" i="11"/>
  <c r="G460" i="11"/>
  <c r="I459" i="11"/>
  <c r="G459" i="11"/>
  <c r="I458" i="11"/>
  <c r="G458" i="11"/>
  <c r="I457" i="11"/>
  <c r="G457" i="11"/>
  <c r="I456" i="11"/>
  <c r="G456" i="11"/>
  <c r="I455" i="11"/>
  <c r="G455" i="11"/>
  <c r="I454" i="11"/>
  <c r="G454" i="11"/>
  <c r="I453" i="11"/>
  <c r="G453" i="11"/>
  <c r="I452" i="11"/>
  <c r="G452" i="11"/>
  <c r="I451" i="11"/>
  <c r="G451" i="11"/>
  <c r="I450" i="11"/>
  <c r="G450" i="11"/>
  <c r="I449" i="11"/>
  <c r="G449" i="11"/>
  <c r="I448" i="11"/>
  <c r="G448" i="11"/>
  <c r="I447" i="11"/>
  <c r="G447" i="11"/>
  <c r="I446" i="11"/>
  <c r="G446" i="11"/>
  <c r="I445" i="11"/>
  <c r="G445" i="11"/>
  <c r="I444" i="11"/>
  <c r="G444" i="11"/>
  <c r="I443" i="11"/>
  <c r="G443" i="11"/>
  <c r="I442" i="11"/>
  <c r="G442" i="11"/>
  <c r="I441" i="11"/>
  <c r="G441" i="11"/>
  <c r="I440" i="11"/>
  <c r="G440" i="11"/>
  <c r="I439" i="11"/>
  <c r="G439" i="11"/>
  <c r="I438" i="11"/>
  <c r="G438" i="11"/>
  <c r="I437" i="11"/>
  <c r="G437" i="11"/>
  <c r="I436" i="11"/>
  <c r="G436" i="11"/>
  <c r="I435" i="11"/>
  <c r="G435" i="11"/>
  <c r="I434" i="11"/>
  <c r="G434" i="11"/>
  <c r="I433" i="11"/>
  <c r="G433" i="11"/>
  <c r="I432" i="11"/>
  <c r="G432" i="11"/>
  <c r="I431" i="11"/>
  <c r="G431" i="11"/>
  <c r="J430" i="11"/>
  <c r="I430" i="11"/>
  <c r="G430" i="11"/>
  <c r="I429" i="11"/>
  <c r="G429" i="11"/>
  <c r="J428" i="11"/>
  <c r="I428" i="11"/>
  <c r="G428" i="11"/>
  <c r="I427" i="11"/>
  <c r="G427" i="11"/>
  <c r="J426" i="11"/>
  <c r="I426" i="11"/>
  <c r="G426" i="11"/>
  <c r="I425" i="11"/>
  <c r="G425" i="11"/>
  <c r="J424" i="11"/>
  <c r="I424" i="11"/>
  <c r="G424" i="11"/>
  <c r="I423" i="11"/>
  <c r="G423" i="11"/>
  <c r="J422" i="11"/>
  <c r="I422" i="11"/>
  <c r="G422" i="11"/>
  <c r="I421" i="11"/>
  <c r="G421" i="11"/>
  <c r="J420" i="11"/>
  <c r="I420" i="11"/>
  <c r="G420" i="11"/>
  <c r="I419" i="11"/>
  <c r="G419" i="11"/>
  <c r="J418" i="11"/>
  <c r="I418" i="11"/>
  <c r="G418" i="11"/>
  <c r="I417" i="11"/>
  <c r="G417" i="11"/>
  <c r="J416" i="11"/>
  <c r="I416" i="11"/>
  <c r="G416" i="11"/>
  <c r="I415" i="11"/>
  <c r="G415" i="11"/>
  <c r="J414" i="11"/>
  <c r="I414" i="11"/>
  <c r="G414" i="11"/>
  <c r="I413" i="11"/>
  <c r="G413" i="11"/>
  <c r="J412" i="11"/>
  <c r="I412" i="11"/>
  <c r="G412" i="11"/>
  <c r="I411" i="11"/>
  <c r="G411" i="11"/>
  <c r="J410" i="11"/>
  <c r="I410" i="11"/>
  <c r="G410" i="11"/>
  <c r="I409" i="11"/>
  <c r="G409" i="11"/>
  <c r="J408" i="11"/>
  <c r="I408" i="11"/>
  <c r="G408" i="11"/>
  <c r="I407" i="11"/>
  <c r="G407" i="11"/>
  <c r="J406" i="11"/>
  <c r="I406" i="11"/>
  <c r="G406" i="11"/>
  <c r="I405" i="11"/>
  <c r="G405" i="11"/>
  <c r="J404" i="11"/>
  <c r="I404" i="11"/>
  <c r="G404" i="11"/>
  <c r="I403" i="11"/>
  <c r="G403" i="11"/>
  <c r="J402" i="11"/>
  <c r="I402" i="11"/>
  <c r="G402" i="11"/>
  <c r="I401" i="11"/>
  <c r="G401" i="11"/>
  <c r="J400" i="11"/>
  <c r="I400" i="11"/>
  <c r="G400" i="11"/>
  <c r="I399" i="11"/>
  <c r="G399" i="11"/>
  <c r="J398" i="11"/>
  <c r="I398" i="11"/>
  <c r="G398" i="11"/>
  <c r="I397" i="11"/>
  <c r="G397" i="11"/>
  <c r="J396" i="11"/>
  <c r="I396" i="11"/>
  <c r="G396" i="11"/>
  <c r="I395" i="11"/>
  <c r="G395" i="11"/>
  <c r="J394" i="11"/>
  <c r="I394" i="11"/>
  <c r="G394" i="11"/>
  <c r="I393" i="11"/>
  <c r="G393" i="11"/>
  <c r="J392" i="11"/>
  <c r="I392" i="11"/>
  <c r="G392" i="11"/>
  <c r="I391" i="11"/>
  <c r="G391" i="11"/>
  <c r="J390" i="11"/>
  <c r="I390" i="11"/>
  <c r="G390" i="11"/>
  <c r="I389" i="11"/>
  <c r="G389" i="11"/>
  <c r="J388" i="11"/>
  <c r="I388" i="11"/>
  <c r="G388" i="11"/>
  <c r="I387" i="11"/>
  <c r="G387" i="11"/>
  <c r="J386" i="11"/>
  <c r="I386" i="11"/>
  <c r="G386" i="11"/>
  <c r="I385" i="11"/>
  <c r="G385" i="11"/>
  <c r="J384" i="11"/>
  <c r="I384" i="11"/>
  <c r="G384" i="11"/>
  <c r="I383" i="11"/>
  <c r="G383" i="11"/>
  <c r="J382" i="11"/>
  <c r="I382" i="11"/>
  <c r="G382" i="11"/>
  <c r="I381" i="11"/>
  <c r="G381" i="11"/>
  <c r="J380" i="11"/>
  <c r="I380" i="11"/>
  <c r="G380" i="11"/>
  <c r="I379" i="11"/>
  <c r="G379" i="11"/>
  <c r="J378" i="11"/>
  <c r="I378" i="11"/>
  <c r="G378" i="11"/>
  <c r="I377" i="11"/>
  <c r="G377" i="11"/>
  <c r="J376" i="11"/>
  <c r="I376" i="11"/>
  <c r="G376" i="11"/>
  <c r="I375" i="11"/>
  <c r="G375" i="11"/>
  <c r="J374" i="11"/>
  <c r="I374" i="11"/>
  <c r="G374" i="11"/>
  <c r="I373" i="11"/>
  <c r="G373" i="11"/>
  <c r="J372" i="11"/>
  <c r="I372" i="11"/>
  <c r="G372" i="11"/>
  <c r="H371" i="11"/>
  <c r="G371" i="11"/>
  <c r="H370" i="11"/>
  <c r="G370" i="11"/>
  <c r="H369" i="11"/>
  <c r="G369" i="11"/>
  <c r="H368" i="11"/>
  <c r="G368" i="11"/>
  <c r="H367" i="11"/>
  <c r="G367" i="11"/>
  <c r="H366" i="11"/>
  <c r="G366" i="11"/>
  <c r="H365" i="11"/>
  <c r="G365" i="11"/>
  <c r="H364" i="11"/>
  <c r="G364" i="11"/>
  <c r="H363" i="11"/>
  <c r="G363" i="11"/>
  <c r="H362" i="11"/>
  <c r="G362" i="11"/>
  <c r="H361" i="11"/>
  <c r="G361" i="11"/>
  <c r="H360" i="11"/>
  <c r="G360" i="11"/>
  <c r="H359" i="11"/>
  <c r="G359" i="11"/>
  <c r="H358" i="11"/>
  <c r="G358" i="11"/>
  <c r="H357" i="11"/>
  <c r="G357" i="11"/>
  <c r="H356" i="11"/>
  <c r="G356" i="11"/>
  <c r="H355" i="11"/>
  <c r="G355" i="11"/>
  <c r="H354" i="11"/>
  <c r="G354" i="11"/>
  <c r="H353" i="11"/>
  <c r="G353" i="11"/>
  <c r="H352" i="11"/>
  <c r="G352" i="11"/>
  <c r="H351" i="11"/>
  <c r="G351" i="11"/>
  <c r="H350" i="11"/>
  <c r="G350" i="11"/>
  <c r="H349" i="11"/>
  <c r="G349" i="11"/>
  <c r="H348" i="11"/>
  <c r="G348" i="11"/>
  <c r="H347" i="11"/>
  <c r="G347" i="11"/>
  <c r="H346" i="11"/>
  <c r="G346" i="11"/>
  <c r="H345" i="11"/>
  <c r="G345" i="11"/>
  <c r="H344" i="11"/>
  <c r="G344" i="11"/>
  <c r="H343" i="11"/>
  <c r="G343" i="11"/>
  <c r="H342" i="11"/>
  <c r="G342" i="11"/>
  <c r="H341" i="11"/>
  <c r="G341" i="11"/>
  <c r="J340" i="11"/>
  <c r="I340" i="11"/>
  <c r="G340" i="11"/>
  <c r="I339" i="11"/>
  <c r="G339" i="11"/>
  <c r="J338" i="11"/>
  <c r="I338" i="11"/>
  <c r="G338" i="11"/>
  <c r="I337" i="11"/>
  <c r="G337" i="11"/>
  <c r="J336" i="11"/>
  <c r="I336" i="11"/>
  <c r="G336" i="11"/>
  <c r="I335" i="11"/>
  <c r="G335" i="11"/>
  <c r="J334" i="11"/>
  <c r="I334" i="11"/>
  <c r="G334" i="11"/>
  <c r="I333" i="11"/>
  <c r="G333" i="11"/>
  <c r="J332" i="11"/>
  <c r="I332" i="11"/>
  <c r="G332" i="11"/>
  <c r="I331" i="11"/>
  <c r="G331" i="11"/>
  <c r="J330" i="11"/>
  <c r="I330" i="11"/>
  <c r="G330" i="11"/>
  <c r="I329" i="11"/>
  <c r="G329" i="11"/>
  <c r="J328" i="11"/>
  <c r="I328" i="11"/>
  <c r="G328" i="11"/>
  <c r="I327" i="11"/>
  <c r="G327" i="11"/>
  <c r="J326" i="11"/>
  <c r="I326" i="11"/>
  <c r="G326" i="11"/>
  <c r="I325" i="11"/>
  <c r="G325" i="11"/>
  <c r="J324" i="11"/>
  <c r="I324" i="11"/>
  <c r="G324" i="11"/>
  <c r="I323" i="11"/>
  <c r="G323" i="11"/>
  <c r="J322" i="11"/>
  <c r="I322" i="11"/>
  <c r="G322" i="11"/>
  <c r="I321" i="11"/>
  <c r="G321" i="11"/>
  <c r="J320" i="11"/>
  <c r="I320" i="11"/>
  <c r="G320" i="11"/>
  <c r="I319" i="11"/>
  <c r="G319" i="11"/>
  <c r="J318" i="11"/>
  <c r="I318" i="11"/>
  <c r="G318" i="11"/>
  <c r="I317" i="11"/>
  <c r="G317" i="11"/>
  <c r="J316" i="11"/>
  <c r="I316" i="11"/>
  <c r="G316" i="11"/>
  <c r="I315" i="11"/>
  <c r="G315" i="11"/>
  <c r="J314" i="11"/>
  <c r="I314" i="11"/>
  <c r="G314" i="11"/>
  <c r="I313" i="11"/>
  <c r="G313" i="11"/>
  <c r="J312" i="11"/>
  <c r="I312" i="11"/>
  <c r="G312" i="11"/>
  <c r="I311" i="11"/>
  <c r="G311" i="11"/>
  <c r="J310" i="11"/>
  <c r="I310" i="11"/>
  <c r="G310" i="11"/>
  <c r="I309" i="11"/>
  <c r="G309" i="11"/>
  <c r="J308" i="11"/>
  <c r="I308" i="11"/>
  <c r="G308" i="11"/>
  <c r="I307" i="11"/>
  <c r="G307" i="11"/>
  <c r="J306" i="11"/>
  <c r="I306" i="11"/>
  <c r="G306" i="11"/>
  <c r="I305" i="11"/>
  <c r="G305" i="11"/>
  <c r="J304" i="11"/>
  <c r="I304" i="11"/>
  <c r="G304" i="11"/>
  <c r="I303" i="11"/>
  <c r="G303" i="11"/>
  <c r="J302" i="11"/>
  <c r="I302" i="11"/>
  <c r="G302" i="11"/>
  <c r="I301" i="11"/>
  <c r="G301" i="11"/>
  <c r="J300" i="11"/>
  <c r="I300" i="11"/>
  <c r="G300" i="11"/>
  <c r="I299" i="11"/>
  <c r="G299" i="11"/>
  <c r="J298" i="11"/>
  <c r="I298" i="11"/>
  <c r="G298" i="11"/>
  <c r="I297" i="11"/>
  <c r="G297" i="11"/>
  <c r="J296" i="11"/>
  <c r="I296" i="11"/>
  <c r="G296" i="11"/>
  <c r="I295" i="11"/>
  <c r="G295" i="11"/>
  <c r="J294" i="11"/>
  <c r="I294" i="11"/>
  <c r="G294" i="11"/>
  <c r="I293" i="11"/>
  <c r="G293" i="11"/>
  <c r="J292" i="11"/>
  <c r="I292" i="11"/>
  <c r="G292" i="11"/>
  <c r="I291" i="11"/>
  <c r="G291" i="11"/>
  <c r="J290" i="11"/>
  <c r="I290" i="11"/>
  <c r="G290" i="11"/>
  <c r="I289" i="11"/>
  <c r="G289" i="11"/>
  <c r="J288" i="11"/>
  <c r="I288" i="11"/>
  <c r="G288" i="11"/>
  <c r="I287" i="11"/>
  <c r="G287" i="11"/>
  <c r="J286" i="11"/>
  <c r="I286" i="11"/>
  <c r="G286" i="11"/>
  <c r="I285" i="11"/>
  <c r="G285" i="11"/>
  <c r="J284" i="11"/>
  <c r="I284" i="11"/>
  <c r="G284" i="11"/>
  <c r="I283" i="11"/>
  <c r="G283" i="11"/>
  <c r="J282" i="11"/>
  <c r="I282" i="11"/>
  <c r="G282" i="11"/>
  <c r="I281" i="11"/>
  <c r="G281" i="11"/>
  <c r="J280" i="11"/>
  <c r="I280" i="11"/>
  <c r="G280" i="11"/>
  <c r="I279" i="11"/>
  <c r="G279" i="11"/>
  <c r="J278" i="11"/>
  <c r="I278" i="11"/>
  <c r="G278" i="11"/>
  <c r="I277" i="11"/>
  <c r="G277" i="11"/>
  <c r="J276" i="11"/>
  <c r="I276" i="11"/>
  <c r="G276" i="11"/>
  <c r="I275" i="11"/>
  <c r="G275" i="11"/>
  <c r="J274" i="11"/>
  <c r="I274" i="11"/>
  <c r="G274" i="11"/>
  <c r="I273" i="11"/>
  <c r="G273" i="11"/>
  <c r="J272" i="11"/>
  <c r="I272" i="11"/>
  <c r="G272" i="11"/>
  <c r="I271" i="11"/>
  <c r="G271" i="11"/>
  <c r="J270" i="11"/>
  <c r="I270" i="11"/>
  <c r="G270" i="11"/>
  <c r="I269" i="11"/>
  <c r="G269" i="11"/>
  <c r="J268" i="11"/>
  <c r="I268" i="11"/>
  <c r="G268" i="11"/>
  <c r="I267" i="11"/>
  <c r="G267" i="11"/>
  <c r="J266" i="11"/>
  <c r="I266" i="11"/>
  <c r="G266" i="11"/>
  <c r="I265" i="11"/>
  <c r="G265" i="11"/>
  <c r="J264" i="11"/>
  <c r="I264" i="11"/>
  <c r="G264" i="11"/>
  <c r="I263" i="11"/>
  <c r="G263" i="11"/>
  <c r="J262" i="11"/>
  <c r="I262" i="11"/>
  <c r="G262" i="11"/>
  <c r="I261" i="11"/>
  <c r="G261" i="11"/>
  <c r="J260" i="11"/>
  <c r="I260" i="11"/>
  <c r="G260" i="11"/>
  <c r="I259" i="11"/>
  <c r="G259" i="11"/>
  <c r="J258" i="11"/>
  <c r="I258" i="11"/>
  <c r="G258" i="11"/>
  <c r="I257" i="11"/>
  <c r="G257" i="11"/>
  <c r="J256" i="11"/>
  <c r="I256" i="11"/>
  <c r="G256" i="11"/>
  <c r="I255" i="11"/>
  <c r="G255" i="11"/>
  <c r="J254" i="11"/>
  <c r="I254" i="11"/>
  <c r="G254" i="11"/>
  <c r="I253" i="11"/>
  <c r="G253" i="11"/>
  <c r="J252" i="11"/>
  <c r="I252" i="11"/>
  <c r="G252" i="11"/>
  <c r="I251" i="11"/>
  <c r="G251" i="11"/>
  <c r="J250" i="11"/>
  <c r="I250" i="11"/>
  <c r="G250" i="11"/>
  <c r="H249" i="11"/>
  <c r="G249" i="11"/>
  <c r="J248" i="11"/>
  <c r="H248" i="11"/>
  <c r="G248" i="11"/>
  <c r="H247" i="11"/>
  <c r="G247" i="11"/>
  <c r="J246" i="11"/>
  <c r="H246" i="11"/>
  <c r="G246" i="11"/>
  <c r="H245" i="11"/>
  <c r="G245" i="11"/>
  <c r="J244" i="11"/>
  <c r="H244" i="11"/>
  <c r="G244" i="11"/>
  <c r="H243" i="11"/>
  <c r="G243" i="11"/>
  <c r="J242" i="11"/>
  <c r="H242" i="11"/>
  <c r="G242" i="11"/>
  <c r="H241" i="11"/>
  <c r="G241" i="11"/>
  <c r="J240" i="11"/>
  <c r="H240" i="11"/>
  <c r="G240" i="11"/>
  <c r="H239" i="11"/>
  <c r="G239" i="11"/>
  <c r="J238" i="11"/>
  <c r="H238" i="11"/>
  <c r="G238" i="11"/>
  <c r="H237" i="11"/>
  <c r="G237" i="11"/>
  <c r="J236" i="11"/>
  <c r="H236" i="11"/>
  <c r="G236" i="11"/>
  <c r="H235" i="11"/>
  <c r="G235" i="11"/>
  <c r="J234" i="11"/>
  <c r="H234" i="11"/>
  <c r="G234" i="11"/>
  <c r="H233" i="11"/>
  <c r="G233" i="11"/>
  <c r="J232" i="11"/>
  <c r="H232" i="11"/>
  <c r="G232" i="11"/>
  <c r="H231" i="11"/>
  <c r="G231" i="11"/>
  <c r="J230" i="11"/>
  <c r="H230" i="11"/>
  <c r="G230" i="11"/>
  <c r="H229" i="11"/>
  <c r="G229" i="11"/>
  <c r="J228" i="11"/>
  <c r="H228" i="11"/>
  <c r="G228" i="11"/>
  <c r="H227" i="11"/>
  <c r="G227" i="11"/>
  <c r="J226" i="11"/>
  <c r="H226" i="11"/>
  <c r="G226" i="11"/>
  <c r="H225" i="11"/>
  <c r="G225" i="11"/>
  <c r="J224" i="11"/>
  <c r="H224" i="11"/>
  <c r="G224" i="11"/>
  <c r="H223" i="11"/>
  <c r="G223" i="11"/>
  <c r="J222" i="11"/>
  <c r="H222" i="11"/>
  <c r="G222" i="11"/>
  <c r="H221" i="11"/>
  <c r="G221" i="11"/>
  <c r="J220" i="11"/>
  <c r="H220" i="11"/>
  <c r="G220" i="11"/>
  <c r="H219" i="11"/>
  <c r="G219" i="11"/>
  <c r="I218" i="11"/>
  <c r="G218" i="11"/>
  <c r="I217" i="11"/>
  <c r="G217" i="11"/>
  <c r="I216" i="11"/>
  <c r="G216" i="11"/>
  <c r="I215" i="11"/>
  <c r="G215" i="11"/>
  <c r="I214" i="11"/>
  <c r="G214" i="11"/>
  <c r="I213" i="11"/>
  <c r="G213" i="11"/>
  <c r="I212" i="11"/>
  <c r="G212" i="11"/>
  <c r="I211" i="11"/>
  <c r="G211" i="11"/>
  <c r="I210" i="11"/>
  <c r="G210" i="11"/>
  <c r="I209" i="11"/>
  <c r="G209" i="11"/>
  <c r="I208" i="11"/>
  <c r="G208" i="11"/>
  <c r="I207" i="11"/>
  <c r="G207" i="11"/>
  <c r="I206" i="11"/>
  <c r="G206" i="11"/>
  <c r="I205" i="11"/>
  <c r="G205" i="11"/>
  <c r="I204" i="11"/>
  <c r="G204" i="11"/>
  <c r="I203" i="11"/>
  <c r="G203" i="11"/>
  <c r="I202" i="11"/>
  <c r="G202" i="11"/>
  <c r="I201" i="11"/>
  <c r="G201" i="11"/>
  <c r="I200" i="11"/>
  <c r="G200" i="11"/>
  <c r="I199" i="11"/>
  <c r="G199" i="11"/>
  <c r="I198" i="11"/>
  <c r="G198" i="11"/>
  <c r="I197" i="11"/>
  <c r="G197" i="11"/>
  <c r="I196" i="11"/>
  <c r="G196" i="11"/>
  <c r="I195" i="11"/>
  <c r="G195" i="11"/>
  <c r="I194" i="11"/>
  <c r="G194" i="11"/>
  <c r="I193" i="11"/>
  <c r="G193" i="11"/>
  <c r="I192" i="11"/>
  <c r="G192" i="11"/>
  <c r="I191" i="11"/>
  <c r="G191" i="11"/>
  <c r="I190" i="11"/>
  <c r="G190" i="11"/>
  <c r="I189" i="11"/>
  <c r="G189" i="11"/>
  <c r="I188" i="11"/>
  <c r="G188" i="11"/>
  <c r="I187" i="11"/>
  <c r="G187" i="11"/>
  <c r="I186" i="11"/>
  <c r="G186" i="11"/>
  <c r="I185" i="11"/>
  <c r="G185" i="11"/>
  <c r="I184" i="11"/>
  <c r="G184" i="11"/>
  <c r="I183" i="11"/>
  <c r="G183" i="11"/>
  <c r="I182" i="11"/>
  <c r="G182" i="11"/>
  <c r="I181" i="11"/>
  <c r="G181" i="11"/>
  <c r="I180" i="11"/>
  <c r="G180" i="11"/>
  <c r="I179" i="11"/>
  <c r="G179" i="11"/>
  <c r="I178" i="11"/>
  <c r="G178" i="11"/>
  <c r="I177" i="11"/>
  <c r="G177" i="11"/>
  <c r="I176" i="11"/>
  <c r="G176" i="11"/>
  <c r="I175" i="11"/>
  <c r="G175" i="11"/>
  <c r="I174" i="11"/>
  <c r="G174" i="11"/>
  <c r="I173" i="11"/>
  <c r="G173" i="11"/>
  <c r="I172" i="11"/>
  <c r="G172" i="11"/>
  <c r="I171" i="11"/>
  <c r="G171" i="11"/>
  <c r="I170" i="11"/>
  <c r="G170" i="11"/>
  <c r="I169" i="11"/>
  <c r="G169" i="11"/>
  <c r="I168" i="11"/>
  <c r="G168" i="11"/>
  <c r="I167" i="11"/>
  <c r="G167" i="11"/>
  <c r="I166" i="11"/>
  <c r="G166" i="11"/>
  <c r="I165" i="11"/>
  <c r="G165" i="11"/>
  <c r="I164" i="11"/>
  <c r="G164" i="11"/>
  <c r="I163" i="11"/>
  <c r="G163" i="11"/>
  <c r="I162" i="11"/>
  <c r="G162" i="11"/>
  <c r="I161" i="11"/>
  <c r="G161" i="11"/>
  <c r="I160" i="11"/>
  <c r="G160" i="11"/>
  <c r="I159" i="11"/>
  <c r="G159" i="11"/>
  <c r="I158" i="11"/>
  <c r="G158" i="11"/>
  <c r="I157" i="11"/>
  <c r="G157" i="11"/>
  <c r="J156" i="11"/>
  <c r="I156" i="11"/>
  <c r="G156" i="11"/>
  <c r="I155" i="11"/>
  <c r="G155" i="11"/>
  <c r="J154" i="11"/>
  <c r="I154" i="11"/>
  <c r="G154" i="11"/>
  <c r="I153" i="11"/>
  <c r="G153" i="11"/>
  <c r="J152" i="11"/>
  <c r="I152" i="11"/>
  <c r="G152" i="11"/>
  <c r="I151" i="11"/>
  <c r="G151" i="11"/>
  <c r="J150" i="11"/>
  <c r="I150" i="11"/>
  <c r="G150" i="11"/>
  <c r="I149" i="11"/>
  <c r="G149" i="11"/>
  <c r="J148" i="11"/>
  <c r="I148" i="11"/>
  <c r="G148" i="11"/>
  <c r="I147" i="11"/>
  <c r="G147" i="11"/>
  <c r="J146" i="11"/>
  <c r="I146" i="11"/>
  <c r="G146" i="11"/>
  <c r="I145" i="11"/>
  <c r="G145" i="11"/>
  <c r="J144" i="11"/>
  <c r="I144" i="11"/>
  <c r="G144" i="11"/>
  <c r="I143" i="11"/>
  <c r="G143" i="11"/>
  <c r="J142" i="11"/>
  <c r="I142" i="11"/>
  <c r="G142" i="11"/>
  <c r="I141" i="11"/>
  <c r="G141" i="11"/>
  <c r="J140" i="11"/>
  <c r="I140" i="11"/>
  <c r="G140" i="11"/>
  <c r="I139" i="11"/>
  <c r="G139" i="11"/>
  <c r="J138" i="11"/>
  <c r="I138" i="11"/>
  <c r="G138" i="11"/>
  <c r="I137" i="11"/>
  <c r="G137" i="11"/>
  <c r="J136" i="11"/>
  <c r="I136" i="11"/>
  <c r="G136" i="11"/>
  <c r="I135" i="11"/>
  <c r="G135" i="11"/>
  <c r="J134" i="11"/>
  <c r="I134" i="11"/>
  <c r="G134" i="11"/>
  <c r="I133" i="11"/>
  <c r="G133" i="11"/>
  <c r="J132" i="11"/>
  <c r="I132" i="11"/>
  <c r="G132" i="11"/>
  <c r="I131" i="11"/>
  <c r="G131" i="11"/>
  <c r="J130" i="11"/>
  <c r="I130" i="11"/>
  <c r="G130" i="11"/>
  <c r="I129" i="11"/>
  <c r="G129" i="11"/>
  <c r="J128" i="11"/>
  <c r="I128" i="11"/>
  <c r="G128" i="11"/>
  <c r="I127" i="11"/>
  <c r="G127" i="11"/>
  <c r="J126" i="11"/>
  <c r="H126" i="11"/>
  <c r="G126" i="11"/>
  <c r="H125" i="11"/>
  <c r="G125" i="11"/>
  <c r="J124" i="11"/>
  <c r="H124" i="11"/>
  <c r="G124" i="11"/>
  <c r="H123" i="11"/>
  <c r="G123" i="11"/>
  <c r="J122" i="11"/>
  <c r="H122" i="11"/>
  <c r="G122" i="11"/>
  <c r="H121" i="11"/>
  <c r="G121" i="11"/>
  <c r="J120" i="11"/>
  <c r="H120" i="11"/>
  <c r="G120" i="11"/>
  <c r="H119" i="11"/>
  <c r="G119" i="11"/>
  <c r="J118" i="11"/>
  <c r="H118" i="11"/>
  <c r="G118" i="11"/>
  <c r="H117" i="11"/>
  <c r="G117" i="11"/>
  <c r="J116" i="11"/>
  <c r="H116" i="11"/>
  <c r="G116" i="11"/>
  <c r="H115" i="11"/>
  <c r="G115" i="11"/>
  <c r="J114" i="11"/>
  <c r="H114" i="11"/>
  <c r="G114" i="11"/>
  <c r="H113" i="11"/>
  <c r="G113" i="11"/>
  <c r="J112" i="11"/>
  <c r="H112" i="11"/>
  <c r="G112" i="11"/>
  <c r="H111" i="11"/>
  <c r="G111" i="11"/>
  <c r="J110" i="11"/>
  <c r="H110" i="11"/>
  <c r="G110" i="11"/>
  <c r="H109" i="11"/>
  <c r="G109" i="11"/>
  <c r="J108" i="11"/>
  <c r="H108" i="11"/>
  <c r="G108" i="11"/>
  <c r="H107" i="11"/>
  <c r="G107" i="11"/>
  <c r="J106" i="11"/>
  <c r="H106" i="11"/>
  <c r="G106" i="11"/>
  <c r="H105" i="11"/>
  <c r="G105" i="11"/>
  <c r="J104" i="11"/>
  <c r="H104" i="11"/>
  <c r="G104" i="11"/>
  <c r="H103" i="11"/>
  <c r="G103" i="11"/>
  <c r="J102" i="11"/>
  <c r="H102" i="11"/>
  <c r="G102" i="11"/>
  <c r="H101" i="11"/>
  <c r="G101" i="11"/>
  <c r="J100" i="11"/>
  <c r="H100" i="11"/>
  <c r="G100" i="11"/>
  <c r="H99" i="11"/>
  <c r="G99" i="11"/>
  <c r="J98" i="11"/>
  <c r="H98" i="11"/>
  <c r="G98" i="11"/>
  <c r="H97" i="11"/>
  <c r="G97" i="11"/>
  <c r="I96" i="11"/>
  <c r="G96" i="11"/>
  <c r="I95" i="11"/>
  <c r="G95" i="11"/>
  <c r="I94" i="11"/>
  <c r="G94" i="11"/>
  <c r="I93" i="11"/>
  <c r="G93" i="11"/>
  <c r="I92" i="11"/>
  <c r="G92" i="11"/>
  <c r="I91" i="11"/>
  <c r="G91" i="11"/>
  <c r="I90" i="11"/>
  <c r="G90" i="11"/>
  <c r="I89" i="11"/>
  <c r="G89" i="11"/>
  <c r="I88" i="11"/>
  <c r="G88" i="11"/>
  <c r="I87" i="11"/>
  <c r="G87" i="11"/>
  <c r="I86" i="11"/>
  <c r="G86" i="11"/>
  <c r="I85" i="11"/>
  <c r="G85" i="11"/>
  <c r="I84" i="11"/>
  <c r="G84" i="11"/>
  <c r="I83" i="11"/>
  <c r="G83" i="11"/>
  <c r="I82" i="11"/>
  <c r="G82" i="11"/>
  <c r="I81" i="11"/>
  <c r="G81" i="11"/>
  <c r="I80" i="11"/>
  <c r="G80" i="11"/>
  <c r="I79" i="11"/>
  <c r="G79" i="11"/>
  <c r="I78" i="11"/>
  <c r="G78" i="11"/>
  <c r="I77" i="11"/>
  <c r="G77" i="11"/>
  <c r="I76" i="11"/>
  <c r="G76" i="11"/>
  <c r="I75" i="11"/>
  <c r="G75" i="11"/>
  <c r="I74" i="11"/>
  <c r="G74" i="11"/>
  <c r="I73" i="11"/>
  <c r="G73" i="11"/>
  <c r="I72" i="11"/>
  <c r="G72" i="11"/>
  <c r="I71" i="11"/>
  <c r="G71" i="11"/>
  <c r="I70" i="11"/>
  <c r="G70" i="11"/>
  <c r="I69" i="11"/>
  <c r="G69" i="11"/>
  <c r="I68" i="11"/>
  <c r="G68" i="11"/>
  <c r="I67" i="11"/>
  <c r="G67" i="11"/>
  <c r="I66" i="11"/>
  <c r="G66" i="11"/>
  <c r="I65" i="11"/>
  <c r="G65" i="11"/>
  <c r="J64" i="11"/>
  <c r="I64" i="11"/>
  <c r="G64" i="11"/>
  <c r="I63" i="11"/>
  <c r="G63" i="11"/>
  <c r="J62" i="11"/>
  <c r="I62" i="11"/>
  <c r="G62" i="11"/>
  <c r="I61" i="11"/>
  <c r="G61" i="11"/>
  <c r="J60" i="11"/>
  <c r="I60" i="11"/>
  <c r="G60" i="11"/>
  <c r="I59" i="11"/>
  <c r="G59" i="11"/>
  <c r="J58" i="11"/>
  <c r="I58" i="11"/>
  <c r="G58" i="11"/>
  <c r="I57" i="11"/>
  <c r="G57" i="11"/>
  <c r="J56" i="11"/>
  <c r="I56" i="11"/>
  <c r="G56" i="11"/>
  <c r="I55" i="11"/>
  <c r="G55" i="11"/>
  <c r="J54" i="11"/>
  <c r="I54" i="11"/>
  <c r="G54" i="11"/>
  <c r="I53" i="11"/>
  <c r="G53" i="11"/>
  <c r="J52" i="11"/>
  <c r="I52" i="11"/>
  <c r="G52" i="11"/>
  <c r="I51" i="11"/>
  <c r="G51" i="11"/>
  <c r="J50" i="11"/>
  <c r="I50" i="11"/>
  <c r="G50" i="11"/>
  <c r="I49" i="11"/>
  <c r="G49" i="11"/>
  <c r="J48" i="11"/>
  <c r="I48" i="11"/>
  <c r="G48" i="11"/>
  <c r="I47" i="11"/>
  <c r="G47" i="11"/>
  <c r="J46" i="11"/>
  <c r="I46" i="11"/>
  <c r="G46" i="11"/>
  <c r="I45" i="11"/>
  <c r="G45" i="11"/>
  <c r="J44" i="11"/>
  <c r="I44" i="11"/>
  <c r="G44" i="11"/>
  <c r="I43" i="11"/>
  <c r="G43" i="11"/>
  <c r="J42" i="11"/>
  <c r="I42" i="11"/>
  <c r="G42" i="11"/>
  <c r="I41" i="11"/>
  <c r="G41" i="11"/>
  <c r="J40" i="11"/>
  <c r="I40" i="11"/>
  <c r="G40" i="11"/>
  <c r="I39" i="11"/>
  <c r="G39" i="11"/>
  <c r="J38" i="11"/>
  <c r="I38" i="11"/>
  <c r="G38" i="11"/>
  <c r="I37" i="11"/>
  <c r="G37" i="11"/>
  <c r="J36" i="11"/>
  <c r="I36" i="11"/>
  <c r="G36" i="11"/>
  <c r="I35" i="11"/>
  <c r="G35" i="11"/>
  <c r="J34" i="11"/>
  <c r="I34" i="11"/>
  <c r="G34" i="11"/>
  <c r="I33" i="11"/>
  <c r="G33" i="11"/>
  <c r="J32" i="11"/>
  <c r="I32" i="11"/>
  <c r="G32" i="11"/>
  <c r="I31" i="11"/>
  <c r="G31" i="11"/>
  <c r="J30" i="11"/>
  <c r="I30" i="11"/>
  <c r="G30" i="11"/>
  <c r="I29" i="11"/>
  <c r="G29" i="11"/>
  <c r="J28" i="11"/>
  <c r="I28" i="11"/>
  <c r="G28" i="11"/>
  <c r="I27" i="11"/>
  <c r="G27" i="11"/>
  <c r="J26" i="11"/>
  <c r="I26" i="11"/>
  <c r="G26" i="11"/>
  <c r="I25" i="11"/>
  <c r="G25" i="11"/>
  <c r="J24" i="11"/>
  <c r="I24" i="11"/>
  <c r="G24" i="11"/>
  <c r="I23" i="11"/>
  <c r="G23" i="11"/>
  <c r="J22" i="11"/>
  <c r="I22" i="11"/>
  <c r="G22" i="11"/>
  <c r="I21" i="11"/>
  <c r="G21" i="11"/>
  <c r="J20" i="11"/>
  <c r="I20" i="11"/>
  <c r="G20" i="11"/>
  <c r="I19" i="11"/>
  <c r="G19" i="11"/>
  <c r="J18" i="11"/>
  <c r="I18" i="11"/>
  <c r="G18" i="11"/>
  <c r="I17" i="11"/>
  <c r="G17" i="11"/>
  <c r="J16" i="11"/>
  <c r="I16" i="11"/>
  <c r="G16" i="11"/>
  <c r="I15" i="11"/>
  <c r="G15" i="11"/>
  <c r="J14" i="11"/>
  <c r="I14" i="11"/>
  <c r="G14" i="11"/>
  <c r="I13" i="11"/>
  <c r="G13" i="11"/>
  <c r="J12" i="11"/>
  <c r="I12" i="11"/>
  <c r="G12" i="11"/>
  <c r="I11" i="11"/>
  <c r="G11" i="11"/>
  <c r="J10" i="11"/>
  <c r="I10" i="11"/>
  <c r="G10" i="11"/>
  <c r="I9" i="11"/>
  <c r="G9" i="11"/>
  <c r="J8" i="11"/>
  <c r="I8" i="11"/>
  <c r="G8" i="11"/>
  <c r="I7" i="11"/>
  <c r="G7" i="11"/>
  <c r="C11" i="9"/>
  <c r="D11" i="9" s="1"/>
  <c r="C10" i="9"/>
  <c r="D10" i="9" s="1"/>
  <c r="C9" i="9"/>
  <c r="D9" i="9" s="1"/>
  <c r="C7" i="9"/>
  <c r="D7" i="9" s="1"/>
  <c r="C6" i="9"/>
  <c r="D6" i="9" s="1"/>
  <c r="D5" i="9"/>
  <c r="C5" i="9"/>
  <c r="C4" i="9"/>
  <c r="D4" i="9" s="1"/>
  <c r="L45" i="8"/>
  <c r="K45" i="8"/>
  <c r="I45" i="8"/>
  <c r="H45" i="8"/>
  <c r="G45" i="8"/>
  <c r="F45" i="8"/>
  <c r="E45" i="8"/>
  <c r="D45" i="8"/>
  <c r="J45" i="8" s="1"/>
  <c r="C45" i="8"/>
  <c r="M45" i="8" s="1"/>
  <c r="K44" i="8"/>
  <c r="J44" i="8"/>
  <c r="I44" i="8"/>
  <c r="H44" i="8"/>
  <c r="G44" i="8"/>
  <c r="F44" i="8"/>
  <c r="E44" i="8"/>
  <c r="D44" i="8"/>
  <c r="C44" i="8"/>
  <c r="K43" i="8"/>
  <c r="I43" i="8"/>
  <c r="J43" i="8" s="1"/>
  <c r="H43" i="8"/>
  <c r="G43" i="8"/>
  <c r="F43" i="8"/>
  <c r="E43" i="8"/>
  <c r="D43" i="8"/>
  <c r="C43" i="8"/>
  <c r="L43" i="8" s="1"/>
  <c r="L42" i="8"/>
  <c r="K42" i="8"/>
  <c r="J42" i="8"/>
  <c r="I42" i="8"/>
  <c r="H42" i="8"/>
  <c r="G42" i="8"/>
  <c r="F42" i="8"/>
  <c r="E42" i="8"/>
  <c r="D42" i="8"/>
  <c r="C42" i="8"/>
  <c r="M42" i="8" s="1"/>
  <c r="M41" i="8"/>
  <c r="K41" i="8"/>
  <c r="I41" i="8"/>
  <c r="H41" i="8"/>
  <c r="G41" i="8"/>
  <c r="F41" i="8"/>
  <c r="E41" i="8"/>
  <c r="D41" i="8"/>
  <c r="C41" i="8"/>
  <c r="L41" i="8" s="1"/>
  <c r="L40" i="8"/>
  <c r="K40" i="8"/>
  <c r="I40" i="8"/>
  <c r="H40" i="8"/>
  <c r="G40" i="8"/>
  <c r="F40" i="8"/>
  <c r="E40" i="8"/>
  <c r="D40" i="8"/>
  <c r="J40" i="8" s="1"/>
  <c r="C40" i="8"/>
  <c r="M40" i="8" s="1"/>
  <c r="K39" i="8"/>
  <c r="J39" i="8"/>
  <c r="I39" i="8"/>
  <c r="H39" i="8"/>
  <c r="G39" i="8"/>
  <c r="F39" i="8"/>
  <c r="E39" i="8"/>
  <c r="D39" i="8"/>
  <c r="C39" i="8"/>
  <c r="M38" i="8"/>
  <c r="L38" i="8"/>
  <c r="K38" i="8"/>
  <c r="J38" i="8"/>
  <c r="I38" i="8"/>
  <c r="H38" i="8"/>
  <c r="G38" i="8"/>
  <c r="F38" i="8"/>
  <c r="E38" i="8"/>
  <c r="D38" i="8"/>
  <c r="C38" i="8"/>
  <c r="M37" i="8"/>
  <c r="K37" i="8"/>
  <c r="I37" i="8"/>
  <c r="H37" i="8"/>
  <c r="G37" i="8"/>
  <c r="F37" i="8"/>
  <c r="E37" i="8"/>
  <c r="D37" i="8"/>
  <c r="C37" i="8"/>
  <c r="L37" i="8" s="1"/>
  <c r="K36" i="8"/>
  <c r="J36" i="8"/>
  <c r="I36" i="8"/>
  <c r="H36" i="8"/>
  <c r="G36" i="8"/>
  <c r="F36" i="8"/>
  <c r="E36" i="8"/>
  <c r="D36" i="8"/>
  <c r="C36" i="8"/>
  <c r="M35" i="8"/>
  <c r="K35" i="8"/>
  <c r="J35" i="8"/>
  <c r="I35" i="8"/>
  <c r="H35" i="8"/>
  <c r="G35" i="8"/>
  <c r="F35" i="8"/>
  <c r="E35" i="8"/>
  <c r="D35" i="8"/>
  <c r="C35" i="8"/>
  <c r="L35" i="8" s="1"/>
  <c r="M34" i="8"/>
  <c r="K34" i="8"/>
  <c r="I34" i="8"/>
  <c r="H34" i="8"/>
  <c r="G34" i="8"/>
  <c r="F34" i="8"/>
  <c r="E34" i="8"/>
  <c r="D34" i="8"/>
  <c r="C34" i="8"/>
  <c r="L34" i="8" s="1"/>
  <c r="K33" i="8"/>
  <c r="I33" i="8"/>
  <c r="J33" i="8" s="1"/>
  <c r="H33" i="8"/>
  <c r="G33" i="8"/>
  <c r="F33" i="8"/>
  <c r="E33" i="8"/>
  <c r="D33" i="8"/>
  <c r="C33" i="8"/>
  <c r="M33" i="8" s="1"/>
  <c r="K32" i="8"/>
  <c r="I32" i="8"/>
  <c r="J32" i="8" s="1"/>
  <c r="H32" i="8"/>
  <c r="G32" i="8"/>
  <c r="F32" i="8"/>
  <c r="E32" i="8"/>
  <c r="D32" i="8"/>
  <c r="C32" i="8"/>
  <c r="M32" i="8" s="1"/>
  <c r="K31" i="8"/>
  <c r="J31" i="8"/>
  <c r="I31" i="8"/>
  <c r="H31" i="8"/>
  <c r="G31" i="8"/>
  <c r="F31" i="8"/>
  <c r="E31" i="8"/>
  <c r="D31" i="8"/>
  <c r="C31" i="8"/>
  <c r="M30" i="8"/>
  <c r="L30" i="8"/>
  <c r="K30" i="8"/>
  <c r="J30" i="8"/>
  <c r="I30" i="8"/>
  <c r="H30" i="8"/>
  <c r="G30" i="8"/>
  <c r="F30" i="8"/>
  <c r="E30" i="8"/>
  <c r="D30" i="8"/>
  <c r="C30" i="8"/>
  <c r="M29" i="8"/>
  <c r="L29" i="8"/>
  <c r="K29" i="8"/>
  <c r="I29" i="8"/>
  <c r="H29" i="8"/>
  <c r="G29" i="8"/>
  <c r="F29" i="8"/>
  <c r="E29" i="8"/>
  <c r="D29" i="8"/>
  <c r="C29" i="8"/>
  <c r="K28" i="8"/>
  <c r="I28" i="8"/>
  <c r="H28" i="8"/>
  <c r="G28" i="8"/>
  <c r="F28" i="8"/>
  <c r="E28" i="8"/>
  <c r="D28" i="8"/>
  <c r="J28" i="8" s="1"/>
  <c r="C28" i="8"/>
  <c r="M28" i="8" s="1"/>
  <c r="K27" i="8"/>
  <c r="I27" i="8"/>
  <c r="J27" i="8" s="1"/>
  <c r="H27" i="8"/>
  <c r="G27" i="8"/>
  <c r="F27" i="8"/>
  <c r="E27" i="8"/>
  <c r="D27" i="8"/>
  <c r="C27" i="8"/>
  <c r="M26" i="8"/>
  <c r="L26" i="8"/>
  <c r="K26" i="8"/>
  <c r="I26" i="8"/>
  <c r="J26" i="8" s="1"/>
  <c r="H26" i="8"/>
  <c r="G26" i="8"/>
  <c r="F26" i="8"/>
  <c r="E26" i="8"/>
  <c r="D26" i="8"/>
  <c r="C26" i="8"/>
  <c r="K25" i="8"/>
  <c r="I25" i="8"/>
  <c r="J25" i="8" s="1"/>
  <c r="H25" i="8"/>
  <c r="G25" i="8"/>
  <c r="F25" i="8"/>
  <c r="E25" i="8"/>
  <c r="D25" i="8"/>
  <c r="C25" i="8"/>
  <c r="M25" i="8" s="1"/>
  <c r="K24" i="8"/>
  <c r="J24" i="8"/>
  <c r="I24" i="8"/>
  <c r="H24" i="8"/>
  <c r="G24" i="8"/>
  <c r="F24" i="8"/>
  <c r="E24" i="8"/>
  <c r="D24" i="8"/>
  <c r="C24" i="8"/>
  <c r="M23" i="8"/>
  <c r="K23" i="8"/>
  <c r="I23" i="8"/>
  <c r="H23" i="8"/>
  <c r="G23" i="8"/>
  <c r="F23" i="8"/>
  <c r="E23" i="8"/>
  <c r="D23" i="8"/>
  <c r="C23" i="8"/>
  <c r="L23" i="8" s="1"/>
  <c r="M22" i="8"/>
  <c r="L22" i="8"/>
  <c r="K22" i="8"/>
  <c r="I22" i="8"/>
  <c r="H22" i="8"/>
  <c r="G22" i="8"/>
  <c r="F22" i="8"/>
  <c r="E22" i="8"/>
  <c r="D22" i="8"/>
  <c r="J22" i="8" s="1"/>
  <c r="C22" i="8"/>
  <c r="K21" i="8"/>
  <c r="J21" i="8"/>
  <c r="I21" i="8"/>
  <c r="H21" i="8"/>
  <c r="G21" i="8"/>
  <c r="F21" i="8"/>
  <c r="E21" i="8"/>
  <c r="D21" i="8"/>
  <c r="C21" i="8"/>
  <c r="M20" i="8"/>
  <c r="L20" i="8"/>
  <c r="K20" i="8"/>
  <c r="J20" i="8"/>
  <c r="I20" i="8"/>
  <c r="H20" i="8"/>
  <c r="G20" i="8"/>
  <c r="F20" i="8"/>
  <c r="E20" i="8"/>
  <c r="D20" i="8"/>
  <c r="C20" i="8"/>
  <c r="M19" i="8"/>
  <c r="K19" i="8"/>
  <c r="J19" i="8"/>
  <c r="I19" i="8"/>
  <c r="H19" i="8"/>
  <c r="G19" i="8"/>
  <c r="F19" i="8"/>
  <c r="E19" i="8"/>
  <c r="D19" i="8"/>
  <c r="C19" i="8"/>
  <c r="L19" i="8" s="1"/>
  <c r="K18" i="8"/>
  <c r="I18" i="8"/>
  <c r="J18" i="8" s="1"/>
  <c r="H18" i="8"/>
  <c r="G18" i="8"/>
  <c r="F18" i="8"/>
  <c r="E18" i="8"/>
  <c r="D18" i="8"/>
  <c r="C18" i="8"/>
  <c r="K17" i="8"/>
  <c r="I17" i="8"/>
  <c r="J17" i="8" s="1"/>
  <c r="H17" i="8"/>
  <c r="G17" i="8"/>
  <c r="F17" i="8"/>
  <c r="E17" i="8"/>
  <c r="D17" i="8"/>
  <c r="C17" i="8"/>
  <c r="M17" i="8" s="1"/>
  <c r="K16" i="8"/>
  <c r="I16" i="8"/>
  <c r="J16" i="8" s="1"/>
  <c r="H16" i="8"/>
  <c r="G16" i="8"/>
  <c r="F16" i="8"/>
  <c r="E16" i="8"/>
  <c r="D16" i="8"/>
  <c r="C16" i="8"/>
  <c r="K15" i="8"/>
  <c r="I15" i="8"/>
  <c r="H15" i="8"/>
  <c r="G15" i="8"/>
  <c r="F15" i="8"/>
  <c r="E15" i="8"/>
  <c r="D15" i="8"/>
  <c r="C15" i="8"/>
  <c r="M15" i="8" s="1"/>
  <c r="M14" i="8"/>
  <c r="L14" i="8"/>
  <c r="K14" i="8"/>
  <c r="I14" i="8"/>
  <c r="J14" i="8" s="1"/>
  <c r="H14" i="8"/>
  <c r="G14" i="8"/>
  <c r="F14" i="8"/>
  <c r="E14" i="8"/>
  <c r="D14" i="8"/>
  <c r="C14" i="8"/>
  <c r="L13" i="8"/>
  <c r="K13" i="8"/>
  <c r="I13" i="8"/>
  <c r="H13" i="8"/>
  <c r="G13" i="8"/>
  <c r="F13" i="8"/>
  <c r="E13" i="8"/>
  <c r="D13" i="8"/>
  <c r="J13" i="8" s="1"/>
  <c r="C13" i="8"/>
  <c r="M13" i="8" s="1"/>
  <c r="M12" i="8"/>
  <c r="L12" i="8"/>
  <c r="K12" i="8"/>
  <c r="J12" i="8"/>
  <c r="I12" i="8"/>
  <c r="H12" i="8"/>
  <c r="G12" i="8"/>
  <c r="F12" i="8"/>
  <c r="E12" i="8"/>
  <c r="D12" i="8"/>
  <c r="C12" i="8"/>
  <c r="K11" i="8"/>
  <c r="I11" i="8"/>
  <c r="J11" i="8" s="1"/>
  <c r="H11" i="8"/>
  <c r="G11" i="8"/>
  <c r="F11" i="8"/>
  <c r="E11" i="8"/>
  <c r="D11" i="8"/>
  <c r="C11" i="8"/>
  <c r="L11" i="8" s="1"/>
  <c r="K10" i="8"/>
  <c r="I10" i="8"/>
  <c r="J10" i="8" s="1"/>
  <c r="H10" i="8"/>
  <c r="G10" i="8"/>
  <c r="F10" i="8"/>
  <c r="E10" i="8"/>
  <c r="D10" i="8"/>
  <c r="C10" i="8"/>
  <c r="K9" i="8"/>
  <c r="I9" i="8"/>
  <c r="J9" i="8" s="1"/>
  <c r="H9" i="8"/>
  <c r="G9" i="8"/>
  <c r="F9" i="8"/>
  <c r="E9" i="8"/>
  <c r="D9" i="8"/>
  <c r="C9" i="8"/>
  <c r="M9" i="8" s="1"/>
  <c r="K8" i="8"/>
  <c r="I8" i="8"/>
  <c r="H8" i="8"/>
  <c r="G8" i="8"/>
  <c r="F8" i="8"/>
  <c r="E8" i="8"/>
  <c r="D8" i="8"/>
  <c r="J8" i="8" s="1"/>
  <c r="C8" i="8"/>
  <c r="M8" i="8" s="1"/>
  <c r="K7" i="8"/>
  <c r="I7" i="8"/>
  <c r="J7" i="8" s="1"/>
  <c r="H7" i="8"/>
  <c r="G7" i="8"/>
  <c r="F7" i="8"/>
  <c r="E7" i="8"/>
  <c r="D7" i="8"/>
  <c r="C7" i="8"/>
  <c r="L7" i="8" s="1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G19" i="6"/>
  <c r="H19" i="6" s="1"/>
  <c r="G18" i="6"/>
  <c r="H18" i="6" s="1"/>
  <c r="J703" i="11" s="1"/>
  <c r="H17" i="6"/>
  <c r="J673" i="11" s="1"/>
  <c r="G17" i="6"/>
  <c r="H16" i="6"/>
  <c r="J631" i="11" s="1"/>
  <c r="G16" i="6"/>
  <c r="H15" i="6"/>
  <c r="J601" i="11" s="1"/>
  <c r="G15" i="6"/>
  <c r="G14" i="6"/>
  <c r="H14" i="6" s="1"/>
  <c r="G13" i="6"/>
  <c r="H13" i="6" s="1"/>
  <c r="G12" i="6"/>
  <c r="H12" i="6" s="1"/>
  <c r="G11" i="6"/>
  <c r="H11" i="6" s="1"/>
  <c r="J1570" i="11" s="1"/>
  <c r="G10" i="6"/>
  <c r="H10" i="6" s="1"/>
  <c r="G9" i="6"/>
  <c r="H9" i="6" s="1"/>
  <c r="G8" i="6"/>
  <c r="H8" i="6" s="1"/>
  <c r="H366" i="4"/>
  <c r="G366" i="4"/>
  <c r="H365" i="4"/>
  <c r="G365" i="4"/>
  <c r="H364" i="4"/>
  <c r="G364" i="4"/>
  <c r="H363" i="4"/>
  <c r="G363" i="4"/>
  <c r="H362" i="4"/>
  <c r="G362" i="4"/>
  <c r="H361" i="4"/>
  <c r="G361" i="4"/>
  <c r="H360" i="4"/>
  <c r="G360" i="4"/>
  <c r="H359" i="4"/>
  <c r="G359" i="4"/>
  <c r="H358" i="4"/>
  <c r="G358" i="4"/>
  <c r="H357" i="4"/>
  <c r="G357" i="4"/>
  <c r="H356" i="4"/>
  <c r="G356" i="4"/>
  <c r="H355" i="4"/>
  <c r="G355" i="4"/>
  <c r="H354" i="4"/>
  <c r="G354" i="4"/>
  <c r="H353" i="4"/>
  <c r="G353" i="4"/>
  <c r="H352" i="4"/>
  <c r="G352" i="4"/>
  <c r="H351" i="4"/>
  <c r="G351" i="4"/>
  <c r="H350" i="4"/>
  <c r="G350" i="4"/>
  <c r="H349" i="4"/>
  <c r="G349" i="4"/>
  <c r="H348" i="4"/>
  <c r="G348" i="4"/>
  <c r="H347" i="4"/>
  <c r="G347" i="4"/>
  <c r="H346" i="4"/>
  <c r="G346" i="4"/>
  <c r="H345" i="4"/>
  <c r="G345" i="4"/>
  <c r="H344" i="4"/>
  <c r="G344" i="4"/>
  <c r="H343" i="4"/>
  <c r="G343" i="4"/>
  <c r="H342" i="4"/>
  <c r="G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H335" i="4"/>
  <c r="G335" i="4"/>
  <c r="H334" i="4"/>
  <c r="G334" i="4"/>
  <c r="H333" i="4"/>
  <c r="G333" i="4"/>
  <c r="H332" i="4"/>
  <c r="G332" i="4"/>
  <c r="H331" i="4"/>
  <c r="G331" i="4"/>
  <c r="H330" i="4"/>
  <c r="G330" i="4"/>
  <c r="H329" i="4"/>
  <c r="G329" i="4"/>
  <c r="H328" i="4"/>
  <c r="G328" i="4"/>
  <c r="H327" i="4"/>
  <c r="G327" i="4"/>
  <c r="H326" i="4"/>
  <c r="G326" i="4"/>
  <c r="H325" i="4"/>
  <c r="G325" i="4"/>
  <c r="H324" i="4"/>
  <c r="G324" i="4"/>
  <c r="H323" i="4"/>
  <c r="G323" i="4"/>
  <c r="H322" i="4"/>
  <c r="G322" i="4"/>
  <c r="H321" i="4"/>
  <c r="G321" i="4"/>
  <c r="H320" i="4"/>
  <c r="G320" i="4"/>
  <c r="H319" i="4"/>
  <c r="G319" i="4"/>
  <c r="H318" i="4"/>
  <c r="G318" i="4"/>
  <c r="H317" i="4"/>
  <c r="G317" i="4"/>
  <c r="H316" i="4"/>
  <c r="G316" i="4"/>
  <c r="H315" i="4"/>
  <c r="G315" i="4"/>
  <c r="H314" i="4"/>
  <c r="G314" i="4"/>
  <c r="H313" i="4"/>
  <c r="G313" i="4"/>
  <c r="H312" i="4"/>
  <c r="G312" i="4"/>
  <c r="H311" i="4"/>
  <c r="G311" i="4"/>
  <c r="H310" i="4"/>
  <c r="G310" i="4"/>
  <c r="H309" i="4"/>
  <c r="G309" i="4"/>
  <c r="H308" i="4"/>
  <c r="G308" i="4"/>
  <c r="H307" i="4"/>
  <c r="G307" i="4"/>
  <c r="H306" i="4"/>
  <c r="G306" i="4"/>
  <c r="H305" i="4"/>
  <c r="G305" i="4"/>
  <c r="H304" i="4"/>
  <c r="G304" i="4"/>
  <c r="H303" i="4"/>
  <c r="G303" i="4"/>
  <c r="H302" i="4"/>
  <c r="G302" i="4"/>
  <c r="H301" i="4"/>
  <c r="G301" i="4"/>
  <c r="H300" i="4"/>
  <c r="G300" i="4"/>
  <c r="H299" i="4"/>
  <c r="G299" i="4"/>
  <c r="H298" i="4"/>
  <c r="G298" i="4"/>
  <c r="H297" i="4"/>
  <c r="G297" i="4"/>
  <c r="H296" i="4"/>
  <c r="G296" i="4"/>
  <c r="H295" i="4"/>
  <c r="G295" i="4"/>
  <c r="H294" i="4"/>
  <c r="G294" i="4"/>
  <c r="H293" i="4"/>
  <c r="G293" i="4"/>
  <c r="H292" i="4"/>
  <c r="G292" i="4"/>
  <c r="H291" i="4"/>
  <c r="G291" i="4"/>
  <c r="H290" i="4"/>
  <c r="G290" i="4"/>
  <c r="H289" i="4"/>
  <c r="G289" i="4"/>
  <c r="H288" i="4"/>
  <c r="G288" i="4"/>
  <c r="H287" i="4"/>
  <c r="G287" i="4"/>
  <c r="H286" i="4"/>
  <c r="G286" i="4"/>
  <c r="H285" i="4"/>
  <c r="G285" i="4"/>
  <c r="H284" i="4"/>
  <c r="G284" i="4"/>
  <c r="H283" i="4"/>
  <c r="G283" i="4"/>
  <c r="H282" i="4"/>
  <c r="G282" i="4"/>
  <c r="H281" i="4"/>
  <c r="G281" i="4"/>
  <c r="H280" i="4"/>
  <c r="G280" i="4"/>
  <c r="H279" i="4"/>
  <c r="G279" i="4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87" i="4"/>
  <c r="G187" i="4"/>
  <c r="H186" i="4"/>
  <c r="G186" i="4"/>
  <c r="H185" i="4"/>
  <c r="G185" i="4"/>
  <c r="H184" i="4"/>
  <c r="G184" i="4"/>
  <c r="H183" i="4"/>
  <c r="G183" i="4"/>
  <c r="H182" i="4"/>
  <c r="G182" i="4"/>
  <c r="H181" i="4"/>
  <c r="G181" i="4"/>
  <c r="H180" i="4"/>
  <c r="G180" i="4"/>
  <c r="H179" i="4"/>
  <c r="G179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023" i="11" s="1"/>
  <c r="H41" i="4"/>
  <c r="I4723" i="11" s="1"/>
  <c r="G41" i="4"/>
  <c r="H1066" i="11" s="1"/>
  <c r="H40" i="4"/>
  <c r="I4306" i="11" s="1"/>
  <c r="G40" i="4"/>
  <c r="H1036" i="11" s="1"/>
  <c r="H39" i="4"/>
  <c r="I1737" i="11" s="1"/>
  <c r="G39" i="4"/>
  <c r="H38" i="4"/>
  <c r="G38" i="4"/>
  <c r="H3898" i="11" s="1"/>
  <c r="H37" i="4"/>
  <c r="G37" i="4"/>
  <c r="H946" i="11" s="1"/>
  <c r="H36" i="4"/>
  <c r="I4180" i="11" s="1"/>
  <c r="G36" i="4"/>
  <c r="H916" i="11" s="1"/>
  <c r="H35" i="4"/>
  <c r="I1977" i="11" s="1"/>
  <c r="G35" i="4"/>
  <c r="H34" i="4"/>
  <c r="G34" i="4"/>
  <c r="H4141" i="11" s="1"/>
  <c r="H33" i="4"/>
  <c r="I4477" i="11" s="1"/>
  <c r="G33" i="4"/>
  <c r="H826" i="11" s="1"/>
  <c r="H32" i="4"/>
  <c r="I4056" i="11" s="1"/>
  <c r="G32" i="4"/>
  <c r="H788" i="11" s="1"/>
  <c r="H31" i="4"/>
  <c r="I1840" i="11" s="1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K45" i="3"/>
  <c r="J45" i="3"/>
  <c r="J44" i="3"/>
  <c r="K44" i="3" s="1"/>
  <c r="K43" i="3"/>
  <c r="J43" i="3"/>
  <c r="K42" i="3"/>
  <c r="J42" i="3"/>
  <c r="J41" i="3"/>
  <c r="K41" i="3" s="1"/>
  <c r="J40" i="3"/>
  <c r="K40" i="3" s="1"/>
  <c r="K39" i="3"/>
  <c r="J39" i="3"/>
  <c r="J38" i="3"/>
  <c r="K38" i="3" s="1"/>
  <c r="J37" i="3"/>
  <c r="K37" i="3" s="1"/>
  <c r="J36" i="3"/>
  <c r="K36" i="3" s="1"/>
  <c r="J35" i="3"/>
  <c r="K35" i="3" s="1"/>
  <c r="J34" i="3"/>
  <c r="K34" i="3" s="1"/>
  <c r="K33" i="3"/>
  <c r="J33" i="3"/>
  <c r="J32" i="3"/>
  <c r="K32" i="3" s="1"/>
  <c r="K31" i="3"/>
  <c r="J31" i="3"/>
  <c r="J30" i="3"/>
  <c r="K30" i="3" s="1"/>
  <c r="J29" i="3"/>
  <c r="K29" i="3" s="1"/>
  <c r="J28" i="3"/>
  <c r="K28" i="3" s="1"/>
  <c r="K27" i="3"/>
  <c r="J27" i="3"/>
  <c r="J26" i="3"/>
  <c r="K26" i="3" s="1"/>
  <c r="J25" i="3"/>
  <c r="K25" i="3" s="1"/>
  <c r="J24" i="3"/>
  <c r="K24" i="3" s="1"/>
  <c r="J23" i="3"/>
  <c r="K23" i="3" s="1"/>
  <c r="K22" i="3"/>
  <c r="J22" i="3"/>
  <c r="K21" i="3"/>
  <c r="J21" i="3"/>
  <c r="J20" i="3"/>
  <c r="K20" i="3" s="1"/>
  <c r="K19" i="3"/>
  <c r="J19" i="3"/>
  <c r="K18" i="3"/>
  <c r="J18" i="3"/>
  <c r="J17" i="3"/>
  <c r="K17" i="3" s="1"/>
  <c r="J16" i="3"/>
  <c r="K16" i="3" s="1"/>
  <c r="J15" i="3"/>
  <c r="K15" i="3" s="1"/>
  <c r="J14" i="3"/>
  <c r="K14" i="3" s="1"/>
  <c r="K13" i="3"/>
  <c r="J13" i="3"/>
  <c r="J12" i="3"/>
  <c r="K12" i="3" s="1"/>
  <c r="K11" i="3"/>
  <c r="J11" i="3"/>
  <c r="K10" i="3"/>
  <c r="J10" i="3"/>
  <c r="K9" i="3"/>
  <c r="J9" i="3"/>
  <c r="J8" i="3"/>
  <c r="K8" i="3" s="1"/>
  <c r="K7" i="3"/>
  <c r="J7" i="3"/>
  <c r="B45" i="2"/>
  <c r="B39" i="2"/>
  <c r="AK36" i="2"/>
  <c r="AJ36" i="2"/>
  <c r="AH36" i="2"/>
  <c r="AG36" i="2"/>
  <c r="Z36" i="2"/>
  <c r="AI36" i="2" s="1"/>
  <c r="W36" i="2"/>
  <c r="Y36" i="2" s="1"/>
  <c r="V36" i="2"/>
  <c r="T36" i="2"/>
  <c r="Q36" i="2"/>
  <c r="S36" i="2" s="1"/>
  <c r="AF36" i="2" s="1"/>
  <c r="N36" i="2"/>
  <c r="P36" i="2" s="1"/>
  <c r="K36" i="2"/>
  <c r="M36" i="2" s="1"/>
  <c r="J36" i="2"/>
  <c r="H36" i="2"/>
  <c r="B36" i="2"/>
  <c r="AK35" i="2"/>
  <c r="AJ35" i="2"/>
  <c r="AI35" i="2"/>
  <c r="AH35" i="2"/>
  <c r="AG35" i="2"/>
  <c r="Z35" i="2"/>
  <c r="Y35" i="2"/>
  <c r="W35" i="2"/>
  <c r="V35" i="2"/>
  <c r="T35" i="2"/>
  <c r="S35" i="2"/>
  <c r="AF35" i="2" s="1"/>
  <c r="Q35" i="2"/>
  <c r="P35" i="2"/>
  <c r="N35" i="2"/>
  <c r="M35" i="2"/>
  <c r="K35" i="2"/>
  <c r="J35" i="2"/>
  <c r="H35" i="2"/>
  <c r="B35" i="2"/>
  <c r="AK34" i="2"/>
  <c r="AJ34" i="2"/>
  <c r="AH34" i="2"/>
  <c r="AG34" i="2"/>
  <c r="Z34" i="2"/>
  <c r="AI34" i="2" s="1"/>
  <c r="Y34" i="2"/>
  <c r="W34" i="2"/>
  <c r="V34" i="2"/>
  <c r="T34" i="2"/>
  <c r="Q34" i="2"/>
  <c r="S34" i="2" s="1"/>
  <c r="P34" i="2"/>
  <c r="N34" i="2"/>
  <c r="K34" i="2"/>
  <c r="M34" i="2" s="1"/>
  <c r="J34" i="2"/>
  <c r="H34" i="2"/>
  <c r="B34" i="2"/>
  <c r="AK33" i="2"/>
  <c r="AJ33" i="2"/>
  <c r="AH33" i="2"/>
  <c r="AG33" i="2"/>
  <c r="Z33" i="2"/>
  <c r="AI33" i="2" s="1"/>
  <c r="W33" i="2"/>
  <c r="Y33" i="2" s="1"/>
  <c r="V33" i="2"/>
  <c r="T33" i="2"/>
  <c r="S33" i="2"/>
  <c r="AF33" i="2" s="1"/>
  <c r="Q33" i="2"/>
  <c r="N33" i="2"/>
  <c r="P33" i="2" s="1"/>
  <c r="K33" i="2"/>
  <c r="M33" i="2" s="1"/>
  <c r="J33" i="2"/>
  <c r="H33" i="2"/>
  <c r="B33" i="2"/>
  <c r="AK32" i="2"/>
  <c r="AJ32" i="2"/>
  <c r="AH32" i="2"/>
  <c r="AG32" i="2"/>
  <c r="Z32" i="2"/>
  <c r="AI32" i="2" s="1"/>
  <c r="W32" i="2"/>
  <c r="Y32" i="2" s="1"/>
  <c r="T32" i="2"/>
  <c r="V32" i="2" s="1"/>
  <c r="S32" i="2"/>
  <c r="AF32" i="2" s="1"/>
  <c r="Q32" i="2"/>
  <c r="N32" i="2"/>
  <c r="P32" i="2" s="1"/>
  <c r="M32" i="2"/>
  <c r="K32" i="2"/>
  <c r="H32" i="2"/>
  <c r="J32" i="2" s="1"/>
  <c r="B32" i="2"/>
  <c r="AK31" i="2"/>
  <c r="AJ31" i="2"/>
  <c r="AH31" i="2"/>
  <c r="AG31" i="2"/>
  <c r="Z31" i="2"/>
  <c r="AI31" i="2" s="1"/>
  <c r="Y31" i="2"/>
  <c r="W31" i="2"/>
  <c r="T31" i="2"/>
  <c r="V31" i="2" s="1"/>
  <c r="Q31" i="2"/>
  <c r="S31" i="2" s="1"/>
  <c r="AF31" i="2" s="1"/>
  <c r="N31" i="2"/>
  <c r="P31" i="2" s="1"/>
  <c r="M31" i="2"/>
  <c r="K31" i="2"/>
  <c r="H31" i="2"/>
  <c r="J31" i="2" s="1"/>
  <c r="B31" i="2"/>
  <c r="AK30" i="2"/>
  <c r="AJ30" i="2"/>
  <c r="AH30" i="2"/>
  <c r="AG30" i="2"/>
  <c r="Z30" i="2"/>
  <c r="AI30" i="2" s="1"/>
  <c r="W30" i="2"/>
  <c r="Y30" i="2" s="1"/>
  <c r="T30" i="2"/>
  <c r="V30" i="2" s="1"/>
  <c r="Q30" i="2"/>
  <c r="S30" i="2" s="1"/>
  <c r="AF30" i="2" s="1"/>
  <c r="P30" i="2"/>
  <c r="N30" i="2"/>
  <c r="K30" i="2"/>
  <c r="M30" i="2" s="1"/>
  <c r="J30" i="2"/>
  <c r="H30" i="2"/>
  <c r="B30" i="2"/>
  <c r="AK29" i="2"/>
  <c r="AJ29" i="2"/>
  <c r="AI29" i="2"/>
  <c r="AH29" i="2"/>
  <c r="AG29" i="2"/>
  <c r="Z29" i="2"/>
  <c r="W29" i="2"/>
  <c r="Y29" i="2" s="1"/>
  <c r="T29" i="2"/>
  <c r="V29" i="2" s="1"/>
  <c r="S29" i="2"/>
  <c r="Q29" i="2"/>
  <c r="P29" i="2"/>
  <c r="N29" i="2"/>
  <c r="M29" i="2"/>
  <c r="K29" i="2"/>
  <c r="H29" i="2"/>
  <c r="J29" i="2" s="1"/>
  <c r="B29" i="2"/>
  <c r="AK28" i="2"/>
  <c r="AJ28" i="2"/>
  <c r="AH28" i="2"/>
  <c r="AG28" i="2"/>
  <c r="Z28" i="2"/>
  <c r="AI28" i="2" s="1"/>
  <c r="Y28" i="2"/>
  <c r="W28" i="2"/>
  <c r="V28" i="2"/>
  <c r="T28" i="2"/>
  <c r="Q28" i="2"/>
  <c r="S28" i="2" s="1"/>
  <c r="AF28" i="2" s="1"/>
  <c r="N28" i="2"/>
  <c r="P28" i="2" s="1"/>
  <c r="M28" i="2"/>
  <c r="K28" i="2"/>
  <c r="J28" i="2"/>
  <c r="H28" i="2"/>
  <c r="B28" i="2"/>
  <c r="AK27" i="2"/>
  <c r="AJ27" i="2"/>
  <c r="AH27" i="2"/>
  <c r="AG27" i="2"/>
  <c r="Z27" i="2"/>
  <c r="AI27" i="2" s="1"/>
  <c r="Y27" i="2"/>
  <c r="W27" i="2"/>
  <c r="T27" i="2"/>
  <c r="V27" i="2" s="1"/>
  <c r="AF27" i="2" s="1"/>
  <c r="S27" i="2"/>
  <c r="Q27" i="2"/>
  <c r="P27" i="2"/>
  <c r="N27" i="2"/>
  <c r="M27" i="2"/>
  <c r="K27" i="2"/>
  <c r="H27" i="2"/>
  <c r="J27" i="2" s="1"/>
  <c r="B27" i="2"/>
  <c r="AK26" i="2"/>
  <c r="AJ26" i="2"/>
  <c r="AI26" i="2"/>
  <c r="AH26" i="2"/>
  <c r="AG26" i="2"/>
  <c r="Z26" i="2"/>
  <c r="Y26" i="2"/>
  <c r="W26" i="2"/>
  <c r="V26" i="2"/>
  <c r="T26" i="2"/>
  <c r="S26" i="2"/>
  <c r="AF26" i="2" s="1"/>
  <c r="Q26" i="2"/>
  <c r="N26" i="2"/>
  <c r="P26" i="2" s="1"/>
  <c r="M26" i="2"/>
  <c r="K26" i="2"/>
  <c r="J26" i="2"/>
  <c r="H26" i="2"/>
  <c r="B26" i="2"/>
  <c r="AK25" i="2"/>
  <c r="AJ25" i="2"/>
  <c r="AI25" i="2"/>
  <c r="AH25" i="2"/>
  <c r="AG25" i="2"/>
  <c r="Z25" i="2"/>
  <c r="W25" i="2"/>
  <c r="Y25" i="2" s="1"/>
  <c r="V25" i="2"/>
  <c r="T25" i="2"/>
  <c r="S25" i="2"/>
  <c r="AF25" i="2" s="1"/>
  <c r="Q25" i="2"/>
  <c r="N25" i="2"/>
  <c r="P25" i="2" s="1"/>
  <c r="K25" i="2"/>
  <c r="M25" i="2" s="1"/>
  <c r="J25" i="2"/>
  <c r="H25" i="2"/>
  <c r="B25" i="2"/>
  <c r="AK24" i="2"/>
  <c r="AJ24" i="2"/>
  <c r="AI24" i="2"/>
  <c r="AH24" i="2"/>
  <c r="AG24" i="2"/>
  <c r="Z24" i="2"/>
  <c r="W24" i="2"/>
  <c r="Y24" i="2" s="1"/>
  <c r="V24" i="2"/>
  <c r="T24" i="2"/>
  <c r="S24" i="2"/>
  <c r="AF24" i="2" s="1"/>
  <c r="Q24" i="2"/>
  <c r="P24" i="2"/>
  <c r="N24" i="2"/>
  <c r="K24" i="2"/>
  <c r="M24" i="2" s="1"/>
  <c r="J24" i="2"/>
  <c r="H24" i="2"/>
  <c r="B24" i="2"/>
  <c r="AK23" i="2"/>
  <c r="AJ23" i="2"/>
  <c r="AH23" i="2"/>
  <c r="AG23" i="2"/>
  <c r="Z23" i="2"/>
  <c r="AI23" i="2" s="1"/>
  <c r="Y23" i="2"/>
  <c r="W23" i="2"/>
  <c r="V23" i="2"/>
  <c r="T23" i="2"/>
  <c r="Q23" i="2"/>
  <c r="S23" i="2" s="1"/>
  <c r="N23" i="2"/>
  <c r="P23" i="2" s="1"/>
  <c r="M23" i="2"/>
  <c r="K23" i="2"/>
  <c r="J23" i="2"/>
  <c r="H23" i="2"/>
  <c r="B23" i="2"/>
  <c r="AK22" i="2"/>
  <c r="AJ22" i="2"/>
  <c r="AH22" i="2"/>
  <c r="AG22" i="2"/>
  <c r="Z22" i="2"/>
  <c r="AI22" i="2" s="1"/>
  <c r="W22" i="2"/>
  <c r="Y22" i="2" s="1"/>
  <c r="V22" i="2"/>
  <c r="T22" i="2"/>
  <c r="S22" i="2"/>
  <c r="AF22" i="2" s="1"/>
  <c r="Q22" i="2"/>
  <c r="N22" i="2"/>
  <c r="P22" i="2" s="1"/>
  <c r="K22" i="2"/>
  <c r="M22" i="2" s="1"/>
  <c r="J22" i="2"/>
  <c r="H22" i="2"/>
  <c r="B22" i="2"/>
  <c r="AK21" i="2"/>
  <c r="AJ21" i="2"/>
  <c r="AI21" i="2"/>
  <c r="AH21" i="2"/>
  <c r="AG21" i="2"/>
  <c r="Z21" i="2"/>
  <c r="Y21" i="2"/>
  <c r="W21" i="2"/>
  <c r="T21" i="2"/>
  <c r="V21" i="2" s="1"/>
  <c r="Q21" i="2"/>
  <c r="S21" i="2" s="1"/>
  <c r="P21" i="2"/>
  <c r="N21" i="2"/>
  <c r="M21" i="2"/>
  <c r="K21" i="2"/>
  <c r="H21" i="2"/>
  <c r="J21" i="2" s="1"/>
  <c r="B21" i="2"/>
  <c r="AK20" i="2"/>
  <c r="AJ20" i="2"/>
  <c r="AH20" i="2"/>
  <c r="AG20" i="2"/>
  <c r="Z20" i="2"/>
  <c r="AI20" i="2" s="1"/>
  <c r="Y20" i="2"/>
  <c r="W20" i="2"/>
  <c r="V20" i="2"/>
  <c r="T20" i="2"/>
  <c r="Q20" i="2"/>
  <c r="S20" i="2" s="1"/>
  <c r="AF20" i="2" s="1"/>
  <c r="N20" i="2"/>
  <c r="P20" i="2" s="1"/>
  <c r="M20" i="2"/>
  <c r="K20" i="2"/>
  <c r="J20" i="2"/>
  <c r="H20" i="2"/>
  <c r="B20" i="2"/>
  <c r="AK19" i="2"/>
  <c r="AJ19" i="2"/>
  <c r="AI19" i="2"/>
  <c r="AH19" i="2"/>
  <c r="AG19" i="2"/>
  <c r="Z19" i="2"/>
  <c r="W19" i="2"/>
  <c r="Y19" i="2" s="1"/>
  <c r="T19" i="2"/>
  <c r="V19" i="2" s="1"/>
  <c r="S19" i="2"/>
  <c r="AF19" i="2" s="1"/>
  <c r="Q19" i="2"/>
  <c r="P19" i="2"/>
  <c r="N19" i="2"/>
  <c r="K19" i="2"/>
  <c r="M19" i="2" s="1"/>
  <c r="H19" i="2"/>
  <c r="J19" i="2" s="1"/>
  <c r="B19" i="2"/>
  <c r="AK18" i="2"/>
  <c r="AJ18" i="2"/>
  <c r="AI18" i="2"/>
  <c r="AH18" i="2"/>
  <c r="AG18" i="2"/>
  <c r="Z18" i="2"/>
  <c r="Y18" i="2"/>
  <c r="W18" i="2"/>
  <c r="T18" i="2"/>
  <c r="V18" i="2" s="1"/>
  <c r="Q18" i="2"/>
  <c r="S18" i="2" s="1"/>
  <c r="P18" i="2"/>
  <c r="N18" i="2"/>
  <c r="M18" i="2"/>
  <c r="K18" i="2"/>
  <c r="H18" i="2"/>
  <c r="J18" i="2" s="1"/>
  <c r="B18" i="2"/>
  <c r="AK17" i="2"/>
  <c r="AJ17" i="2"/>
  <c r="AH17" i="2"/>
  <c r="AG17" i="2"/>
  <c r="Z17" i="2"/>
  <c r="AI17" i="2" s="1"/>
  <c r="W17" i="2"/>
  <c r="Y17" i="2" s="1"/>
  <c r="V17" i="2"/>
  <c r="T17" i="2"/>
  <c r="S17" i="2"/>
  <c r="Q17" i="2"/>
  <c r="N17" i="2"/>
  <c r="P17" i="2" s="1"/>
  <c r="K17" i="2"/>
  <c r="M17" i="2" s="1"/>
  <c r="J17" i="2"/>
  <c r="H17" i="2"/>
  <c r="B17" i="2"/>
  <c r="AK16" i="2"/>
  <c r="AJ16" i="2"/>
  <c r="AI16" i="2"/>
  <c r="AH16" i="2"/>
  <c r="AG16" i="2"/>
  <c r="Z16" i="2"/>
  <c r="W16" i="2"/>
  <c r="Y16" i="2" s="1"/>
  <c r="AF16" i="2" s="1"/>
  <c r="T16" i="2"/>
  <c r="V16" i="2" s="1"/>
  <c r="S16" i="2"/>
  <c r="Q16" i="2"/>
  <c r="P16" i="2"/>
  <c r="N16" i="2"/>
  <c r="K16" i="2"/>
  <c r="M16" i="2" s="1"/>
  <c r="H16" i="2"/>
  <c r="J16" i="2" s="1"/>
  <c r="B16" i="2"/>
  <c r="AK15" i="2"/>
  <c r="AJ15" i="2"/>
  <c r="AH15" i="2"/>
  <c r="AG15" i="2"/>
  <c r="Z15" i="2"/>
  <c r="AI15" i="2" s="1"/>
  <c r="Y15" i="2"/>
  <c r="W15" i="2"/>
  <c r="T15" i="2"/>
  <c r="V15" i="2" s="1"/>
  <c r="Q15" i="2"/>
  <c r="S15" i="2" s="1"/>
  <c r="N15" i="2"/>
  <c r="P15" i="2" s="1"/>
  <c r="M15" i="2"/>
  <c r="K15" i="2"/>
  <c r="H15" i="2"/>
  <c r="J15" i="2" s="1"/>
  <c r="B15" i="2"/>
  <c r="AK14" i="2"/>
  <c r="AJ14" i="2"/>
  <c r="AH14" i="2"/>
  <c r="AG14" i="2"/>
  <c r="Z14" i="2"/>
  <c r="AI14" i="2" s="1"/>
  <c r="W14" i="2"/>
  <c r="Y14" i="2" s="1"/>
  <c r="V14" i="2"/>
  <c r="T14" i="2"/>
  <c r="S14" i="2"/>
  <c r="Q14" i="2"/>
  <c r="N14" i="2"/>
  <c r="P14" i="2" s="1"/>
  <c r="K14" i="2"/>
  <c r="M14" i="2" s="1"/>
  <c r="J14" i="2"/>
  <c r="H14" i="2"/>
  <c r="B14" i="2"/>
  <c r="AK13" i="2"/>
  <c r="AJ13" i="2"/>
  <c r="AI13" i="2"/>
  <c r="AH13" i="2"/>
  <c r="AG13" i="2"/>
  <c r="Z13" i="2"/>
  <c r="W13" i="2"/>
  <c r="Y13" i="2" s="1"/>
  <c r="T13" i="2"/>
  <c r="V13" i="2" s="1"/>
  <c r="AF13" i="2" s="1"/>
  <c r="Q13" i="2"/>
  <c r="S13" i="2" s="1"/>
  <c r="P13" i="2"/>
  <c r="N13" i="2"/>
  <c r="K13" i="2"/>
  <c r="M13" i="2" s="1"/>
  <c r="H13" i="2"/>
  <c r="J13" i="2" s="1"/>
  <c r="B13" i="2"/>
  <c r="AK12" i="2"/>
  <c r="AJ12" i="2"/>
  <c r="AH12" i="2"/>
  <c r="AG12" i="2"/>
  <c r="Z12" i="2"/>
  <c r="AI12" i="2" s="1"/>
  <c r="Y12" i="2"/>
  <c r="W12" i="2"/>
  <c r="V12" i="2"/>
  <c r="T12" i="2"/>
  <c r="Q12" i="2"/>
  <c r="S12" i="2" s="1"/>
  <c r="AF12" i="2" s="1"/>
  <c r="N12" i="2"/>
  <c r="P12" i="2" s="1"/>
  <c r="M12" i="2"/>
  <c r="K12" i="2"/>
  <c r="J12" i="2"/>
  <c r="H12" i="2"/>
  <c r="B12" i="2"/>
  <c r="AK11" i="2"/>
  <c r="AJ11" i="2"/>
  <c r="AH11" i="2"/>
  <c r="AG11" i="2"/>
  <c r="Z11" i="2"/>
  <c r="AI11" i="2" s="1"/>
  <c r="W11" i="2"/>
  <c r="Y11" i="2" s="1"/>
  <c r="T11" i="2"/>
  <c r="V11" i="2" s="1"/>
  <c r="S11" i="2"/>
  <c r="AF11" i="2" s="1"/>
  <c r="Q11" i="2"/>
  <c r="N11" i="2"/>
  <c r="P11" i="2" s="1"/>
  <c r="K11" i="2"/>
  <c r="M11" i="2" s="1"/>
  <c r="H11" i="2"/>
  <c r="J11" i="2" s="1"/>
  <c r="B11" i="2"/>
  <c r="AK10" i="2"/>
  <c r="AJ10" i="2"/>
  <c r="AI10" i="2"/>
  <c r="AH10" i="2"/>
  <c r="AG10" i="2"/>
  <c r="Z10" i="2"/>
  <c r="Y10" i="2"/>
  <c r="W10" i="2"/>
  <c r="V10" i="2"/>
  <c r="T10" i="2"/>
  <c r="S10" i="2"/>
  <c r="Q10" i="2"/>
  <c r="P10" i="2"/>
  <c r="N10" i="2"/>
  <c r="M10" i="2"/>
  <c r="K10" i="2"/>
  <c r="J10" i="2"/>
  <c r="H10" i="2"/>
  <c r="B10" i="2"/>
  <c r="AK9" i="2"/>
  <c r="AJ9" i="2"/>
  <c r="AH9" i="2"/>
  <c r="AG9" i="2"/>
  <c r="Z9" i="2"/>
  <c r="AI9" i="2" s="1"/>
  <c r="W9" i="2"/>
  <c r="Y9" i="2" s="1"/>
  <c r="V9" i="2"/>
  <c r="T9" i="2"/>
  <c r="S9" i="2"/>
  <c r="AF9" i="2" s="1"/>
  <c r="Q9" i="2"/>
  <c r="N9" i="2"/>
  <c r="P9" i="2" s="1"/>
  <c r="K9" i="2"/>
  <c r="M9" i="2" s="1"/>
  <c r="H9" i="2"/>
  <c r="J9" i="2" s="1"/>
  <c r="B9" i="2"/>
  <c r="AK8" i="2"/>
  <c r="AJ8" i="2"/>
  <c r="AI8" i="2"/>
  <c r="AH8" i="2"/>
  <c r="AG8" i="2"/>
  <c r="Z8" i="2"/>
  <c r="Y8" i="2"/>
  <c r="W8" i="2"/>
  <c r="T8" i="2"/>
  <c r="V8" i="2" s="1"/>
  <c r="S8" i="2"/>
  <c r="AF8" i="2" s="1"/>
  <c r="Q8" i="2"/>
  <c r="P8" i="2"/>
  <c r="N8" i="2"/>
  <c r="M8" i="2"/>
  <c r="K8" i="2"/>
  <c r="H8" i="2"/>
  <c r="J8" i="2" s="1"/>
  <c r="B8" i="2"/>
  <c r="AK7" i="2"/>
  <c r="C13" i="9" s="1"/>
  <c r="D13" i="9" s="1"/>
  <c r="AJ7" i="2"/>
  <c r="AH7" i="2"/>
  <c r="AG7" i="2"/>
  <c r="Z7" i="2"/>
  <c r="AI7" i="2" s="1"/>
  <c r="Y7" i="2"/>
  <c r="W7" i="2"/>
  <c r="V7" i="2"/>
  <c r="T7" i="2"/>
  <c r="Q7" i="2"/>
  <c r="S7" i="2" s="1"/>
  <c r="AF7" i="2" s="1"/>
  <c r="N7" i="2"/>
  <c r="P7" i="2" s="1"/>
  <c r="K7" i="2"/>
  <c r="M7" i="2" s="1"/>
  <c r="H7" i="2"/>
  <c r="J7" i="2" s="1"/>
  <c r="B7" i="2"/>
  <c r="L32" i="1"/>
  <c r="K32" i="1"/>
  <c r="L31" i="1"/>
  <c r="K31" i="1"/>
  <c r="L30" i="1"/>
  <c r="K30" i="1"/>
  <c r="L29" i="1"/>
  <c r="K29" i="1"/>
  <c r="H29" i="1"/>
  <c r="L28" i="1"/>
  <c r="K28" i="1"/>
  <c r="L27" i="1"/>
  <c r="K27" i="1"/>
  <c r="L26" i="1"/>
  <c r="K26" i="1"/>
  <c r="E26" i="1"/>
  <c r="L25" i="1"/>
  <c r="K25" i="1"/>
  <c r="L24" i="1"/>
  <c r="K24" i="1"/>
  <c r="H24" i="1"/>
  <c r="E24" i="1"/>
  <c r="L23" i="1"/>
  <c r="K23" i="1"/>
  <c r="L22" i="1"/>
  <c r="K22" i="1"/>
  <c r="L21" i="1"/>
  <c r="K21" i="1"/>
  <c r="E20" i="1"/>
  <c r="E22" i="1" s="1"/>
  <c r="E16" i="1"/>
  <c r="E18" i="1" s="1"/>
  <c r="E12" i="1"/>
  <c r="E14" i="1" s="1"/>
  <c r="H11" i="1"/>
  <c r="E8" i="1"/>
  <c r="E10" i="1" s="1"/>
  <c r="H5" i="1"/>
  <c r="H6" i="1" s="1"/>
  <c r="E4" i="1"/>
  <c r="E6" i="1" s="1"/>
  <c r="B40" i="2" l="1"/>
  <c r="B41" i="2"/>
  <c r="H15" i="1"/>
  <c r="C12" i="9"/>
  <c r="D12" i="9" s="1"/>
  <c r="H30" i="1"/>
  <c r="AF14" i="2"/>
  <c r="AF15" i="2"/>
  <c r="AF23" i="2"/>
  <c r="AF29" i="2"/>
  <c r="J5666" i="11"/>
  <c r="J5664" i="11"/>
  <c r="J5662" i="11"/>
  <c r="J5660" i="11"/>
  <c r="J5658" i="11"/>
  <c r="J5656" i="11"/>
  <c r="J5654" i="11"/>
  <c r="J5652" i="11"/>
  <c r="J5650" i="11"/>
  <c r="J5648" i="11"/>
  <c r="J5646" i="11"/>
  <c r="J5644" i="11"/>
  <c r="J5642" i="11"/>
  <c r="J5640" i="11"/>
  <c r="J5638" i="11"/>
  <c r="J5637" i="11"/>
  <c r="J5663" i="11"/>
  <c r="J5659" i="11"/>
  <c r="J5655" i="11"/>
  <c r="J5651" i="11"/>
  <c r="J5647" i="11"/>
  <c r="J5643" i="11"/>
  <c r="J5665" i="11"/>
  <c r="J5661" i="11"/>
  <c r="J5657" i="11"/>
  <c r="J5653" i="11"/>
  <c r="J5649" i="11"/>
  <c r="J5645" i="11"/>
  <c r="J5641" i="11"/>
  <c r="J5639" i="11"/>
  <c r="J5299" i="11"/>
  <c r="J5297" i="11"/>
  <c r="J5295" i="11"/>
  <c r="J5293" i="11"/>
  <c r="J5291" i="11"/>
  <c r="J5289" i="11"/>
  <c r="J5287" i="11"/>
  <c r="J5285" i="11"/>
  <c r="J5298" i="11"/>
  <c r="J5294" i="11"/>
  <c r="J5290" i="11"/>
  <c r="J5286" i="11"/>
  <c r="J5279" i="11"/>
  <c r="J5276" i="11"/>
  <c r="J5273" i="11"/>
  <c r="J5282" i="11"/>
  <c r="J5275" i="11"/>
  <c r="J5281" i="11"/>
  <c r="J5278" i="11"/>
  <c r="J5272" i="11"/>
  <c r="J5300" i="11"/>
  <c r="J5296" i="11"/>
  <c r="J5292" i="11"/>
  <c r="J5288" i="11"/>
  <c r="J5284" i="11"/>
  <c r="J5277" i="11"/>
  <c r="J5274" i="11"/>
  <c r="J5283" i="11"/>
  <c r="J5280" i="11"/>
  <c r="J5271" i="11"/>
  <c r="J4934" i="11"/>
  <c r="J4932" i="11"/>
  <c r="J4930" i="11"/>
  <c r="J4928" i="11"/>
  <c r="J4926" i="11"/>
  <c r="J4924" i="11"/>
  <c r="J4922" i="11"/>
  <c r="J4920" i="11"/>
  <c r="J4918" i="11"/>
  <c r="J4916" i="11"/>
  <c r="J4914" i="11"/>
  <c r="J4912" i="11"/>
  <c r="J4910" i="11"/>
  <c r="J4908" i="11"/>
  <c r="J4906" i="11"/>
  <c r="J4935" i="11"/>
  <c r="J4933" i="11"/>
  <c r="J4931" i="11"/>
  <c r="J4929" i="11"/>
  <c r="J4927" i="11"/>
  <c r="J4925" i="11"/>
  <c r="J4923" i="11"/>
  <c r="J4921" i="11"/>
  <c r="J4919" i="11"/>
  <c r="J4917" i="11"/>
  <c r="J4915" i="11"/>
  <c r="J4913" i="11"/>
  <c r="J4911" i="11"/>
  <c r="J4909" i="11"/>
  <c r="J4907" i="11"/>
  <c r="J4569" i="11"/>
  <c r="J4567" i="11"/>
  <c r="J4565" i="11"/>
  <c r="J4563" i="11"/>
  <c r="J4561" i="11"/>
  <c r="J4559" i="11"/>
  <c r="J4557" i="11"/>
  <c r="J4555" i="11"/>
  <c r="J4553" i="11"/>
  <c r="J4551" i="11"/>
  <c r="J4549" i="11"/>
  <c r="J4547" i="11"/>
  <c r="J4545" i="11"/>
  <c r="J4543" i="11"/>
  <c r="J4541" i="11"/>
  <c r="J4570" i="11"/>
  <c r="J4568" i="11"/>
  <c r="J4566" i="11"/>
  <c r="J4564" i="11"/>
  <c r="J4562" i="11"/>
  <c r="J4560" i="11"/>
  <c r="J4558" i="11"/>
  <c r="J4556" i="11"/>
  <c r="J4554" i="11"/>
  <c r="J4552" i="11"/>
  <c r="J4550" i="11"/>
  <c r="J4548" i="11"/>
  <c r="J4546" i="11"/>
  <c r="J4544" i="11"/>
  <c r="J4542" i="11"/>
  <c r="J4205" i="11"/>
  <c r="J4203" i="11"/>
  <c r="J4201" i="11"/>
  <c r="J4204" i="11"/>
  <c r="J4202" i="11"/>
  <c r="J4200" i="11"/>
  <c r="J4198" i="11"/>
  <c r="J4196" i="11"/>
  <c r="J4194" i="11"/>
  <c r="J4192" i="11"/>
  <c r="J4190" i="11"/>
  <c r="J4188" i="11"/>
  <c r="J4186" i="11"/>
  <c r="J4184" i="11"/>
  <c r="J4182" i="11"/>
  <c r="J4180" i="11"/>
  <c r="J4178" i="11"/>
  <c r="J4176" i="11"/>
  <c r="J4191" i="11"/>
  <c r="J4193" i="11"/>
  <c r="J4177" i="11"/>
  <c r="J4195" i="11"/>
  <c r="J4179" i="11"/>
  <c r="J4197" i="11"/>
  <c r="J4181" i="11"/>
  <c r="J4185" i="11"/>
  <c r="J4187" i="11"/>
  <c r="J4199" i="11"/>
  <c r="J4189" i="11"/>
  <c r="J4183" i="11"/>
  <c r="J3839" i="11"/>
  <c r="J3837" i="11"/>
  <c r="J3835" i="11"/>
  <c r="J3833" i="11"/>
  <c r="J3831" i="11"/>
  <c r="J3829" i="11"/>
  <c r="J3827" i="11"/>
  <c r="J3825" i="11"/>
  <c r="J3823" i="11"/>
  <c r="J3821" i="11"/>
  <c r="J3819" i="11"/>
  <c r="J3817" i="11"/>
  <c r="J3815" i="11"/>
  <c r="J3813" i="11"/>
  <c r="J3811" i="11"/>
  <c r="J3473" i="11"/>
  <c r="J3471" i="11"/>
  <c r="J3469" i="11"/>
  <c r="J3467" i="11"/>
  <c r="J3465" i="11"/>
  <c r="J3463" i="11"/>
  <c r="J3461" i="11"/>
  <c r="J3459" i="11"/>
  <c r="J3457" i="11"/>
  <c r="J3455" i="11"/>
  <c r="J3453" i="11"/>
  <c r="J3451" i="11"/>
  <c r="J3449" i="11"/>
  <c r="J3447" i="11"/>
  <c r="J3445" i="11"/>
  <c r="J3832" i="11"/>
  <c r="J3816" i="11"/>
  <c r="J3470" i="11"/>
  <c r="J3454" i="11"/>
  <c r="J3826" i="11"/>
  <c r="J3810" i="11"/>
  <c r="J3472" i="11"/>
  <c r="J3456" i="11"/>
  <c r="J3836" i="11"/>
  <c r="J3820" i="11"/>
  <c r="J3474" i="11"/>
  <c r="J3458" i="11"/>
  <c r="J3830" i="11"/>
  <c r="J3814" i="11"/>
  <c r="J3460" i="11"/>
  <c r="J3824" i="11"/>
  <c r="J3462" i="11"/>
  <c r="J3446" i="11"/>
  <c r="J3834" i="11"/>
  <c r="J3818" i="11"/>
  <c r="J3464" i="11"/>
  <c r="J3448" i="11"/>
  <c r="J3828" i="11"/>
  <c r="J3812" i="11"/>
  <c r="J3466" i="11"/>
  <c r="J3450" i="11"/>
  <c r="J3109" i="11"/>
  <c r="J3107" i="11"/>
  <c r="J3105" i="11"/>
  <c r="J3103" i="11"/>
  <c r="J3101" i="11"/>
  <c r="J3099" i="11"/>
  <c r="J3097" i="11"/>
  <c r="J3095" i="11"/>
  <c r="J3093" i="11"/>
  <c r="J3091" i="11"/>
  <c r="J3089" i="11"/>
  <c r="J3087" i="11"/>
  <c r="J3085" i="11"/>
  <c r="J3083" i="11"/>
  <c r="J3081" i="11"/>
  <c r="J2743" i="11"/>
  <c r="J2741" i="11"/>
  <c r="J2739" i="11"/>
  <c r="J2737" i="11"/>
  <c r="J2735" i="11"/>
  <c r="J2733" i="11"/>
  <c r="J2731" i="11"/>
  <c r="J2729" i="11"/>
  <c r="J2727" i="11"/>
  <c r="J2725" i="11"/>
  <c r="J2723" i="11"/>
  <c r="J2721" i="11"/>
  <c r="J2719" i="11"/>
  <c r="J2717" i="11"/>
  <c r="J2715" i="11"/>
  <c r="J3452" i="11"/>
  <c r="J3838" i="11"/>
  <c r="J3822" i="11"/>
  <c r="J3468" i="11"/>
  <c r="J3108" i="11"/>
  <c r="J3106" i="11"/>
  <c r="J3104" i="11"/>
  <c r="J3102" i="11"/>
  <c r="J3100" i="11"/>
  <c r="J3098" i="11"/>
  <c r="J3096" i="11"/>
  <c r="J3094" i="11"/>
  <c r="J3092" i="11"/>
  <c r="J3090" i="11"/>
  <c r="J3088" i="11"/>
  <c r="J3086" i="11"/>
  <c r="J3084" i="11"/>
  <c r="J3082" i="11"/>
  <c r="J3080" i="11"/>
  <c r="J2744" i="11"/>
  <c r="J2742" i="11"/>
  <c r="J2740" i="11"/>
  <c r="J2738" i="11"/>
  <c r="J2736" i="11"/>
  <c r="J2734" i="11"/>
  <c r="J2732" i="11"/>
  <c r="J2730" i="11"/>
  <c r="J2728" i="11"/>
  <c r="J2726" i="11"/>
  <c r="J2724" i="11"/>
  <c r="J2722" i="11"/>
  <c r="J2720" i="11"/>
  <c r="J2718" i="11"/>
  <c r="J2716" i="11"/>
  <c r="J2377" i="11"/>
  <c r="J2375" i="11"/>
  <c r="J2373" i="11"/>
  <c r="J2371" i="11"/>
  <c r="J2369" i="11"/>
  <c r="J2367" i="11"/>
  <c r="J2365" i="11"/>
  <c r="J2363" i="11"/>
  <c r="J2361" i="11"/>
  <c r="J2359" i="11"/>
  <c r="J2357" i="11"/>
  <c r="J2355" i="11"/>
  <c r="J2353" i="11"/>
  <c r="J2351" i="11"/>
  <c r="J2349" i="11"/>
  <c r="J2013" i="11"/>
  <c r="J2011" i="11"/>
  <c r="J2009" i="11"/>
  <c r="J2007" i="11"/>
  <c r="J2005" i="11"/>
  <c r="J2003" i="11"/>
  <c r="J2001" i="11"/>
  <c r="J1999" i="11"/>
  <c r="J1997" i="11"/>
  <c r="J1995" i="11"/>
  <c r="J1993" i="11"/>
  <c r="J1991" i="11"/>
  <c r="J1989" i="11"/>
  <c r="J1987" i="11"/>
  <c r="J1985" i="11"/>
  <c r="J1647" i="11"/>
  <c r="J1645" i="11"/>
  <c r="J1643" i="11"/>
  <c r="J1641" i="11"/>
  <c r="J1639" i="11"/>
  <c r="J1637" i="11"/>
  <c r="J1635" i="11"/>
  <c r="J1633" i="11"/>
  <c r="J1631" i="11"/>
  <c r="J1629" i="11"/>
  <c r="J1627" i="11"/>
  <c r="J1625" i="11"/>
  <c r="J1623" i="11"/>
  <c r="J1621" i="11"/>
  <c r="J1619" i="11"/>
  <c r="J2378" i="11"/>
  <c r="J2370" i="11"/>
  <c r="J2362" i="11"/>
  <c r="J2354" i="11"/>
  <c r="J2004" i="11"/>
  <c r="J1988" i="11"/>
  <c r="J1636" i="11"/>
  <c r="J1620" i="11"/>
  <c r="J2006" i="11"/>
  <c r="J1990" i="11"/>
  <c r="J1638" i="11"/>
  <c r="J1622" i="11"/>
  <c r="J2372" i="11"/>
  <c r="J2364" i="11"/>
  <c r="J2356" i="11"/>
  <c r="J2008" i="11"/>
  <c r="J1992" i="11"/>
  <c r="J1640" i="11"/>
  <c r="J1624" i="11"/>
  <c r="J2010" i="11"/>
  <c r="J1994" i="11"/>
  <c r="J1642" i="11"/>
  <c r="J1626" i="11"/>
  <c r="J2374" i="11"/>
  <c r="J2366" i="11"/>
  <c r="J2358" i="11"/>
  <c r="J2350" i="11"/>
  <c r="J2012" i="11"/>
  <c r="J1996" i="11"/>
  <c r="J1644" i="11"/>
  <c r="J1628" i="11"/>
  <c r="J1998" i="11"/>
  <c r="J1646" i="11"/>
  <c r="J1630" i="11"/>
  <c r="J2376" i="11"/>
  <c r="J2368" i="11"/>
  <c r="J2360" i="11"/>
  <c r="J2352" i="11"/>
  <c r="J2000" i="11"/>
  <c r="J1984" i="11"/>
  <c r="J1648" i="11"/>
  <c r="J1632" i="11"/>
  <c r="J1282" i="11"/>
  <c r="J1280" i="11"/>
  <c r="J1278" i="11"/>
  <c r="J1276" i="11"/>
  <c r="J1274" i="11"/>
  <c r="J1272" i="11"/>
  <c r="J1270" i="11"/>
  <c r="J1268" i="11"/>
  <c r="J1266" i="11"/>
  <c r="J1264" i="11"/>
  <c r="J1262" i="11"/>
  <c r="J1260" i="11"/>
  <c r="J1258" i="11"/>
  <c r="J1256" i="11"/>
  <c r="J1254" i="11"/>
  <c r="J916" i="11"/>
  <c r="J914" i="11"/>
  <c r="J912" i="11"/>
  <c r="J910" i="11"/>
  <c r="J908" i="11"/>
  <c r="J906" i="11"/>
  <c r="J904" i="11"/>
  <c r="J902" i="11"/>
  <c r="J900" i="11"/>
  <c r="J898" i="11"/>
  <c r="J896" i="11"/>
  <c r="J894" i="11"/>
  <c r="J892" i="11"/>
  <c r="J890" i="11"/>
  <c r="J888" i="11"/>
  <c r="J2002" i="11"/>
  <c r="J1283" i="11"/>
  <c r="J1281" i="11"/>
  <c r="J1279" i="11"/>
  <c r="J1277" i="11"/>
  <c r="J1275" i="11"/>
  <c r="J1273" i="11"/>
  <c r="J1271" i="11"/>
  <c r="J1269" i="11"/>
  <c r="J1267" i="11"/>
  <c r="J1265" i="11"/>
  <c r="J1263" i="11"/>
  <c r="J1261" i="11"/>
  <c r="J1259" i="11"/>
  <c r="J1257" i="11"/>
  <c r="J1255" i="11"/>
  <c r="J917" i="11"/>
  <c r="J915" i="11"/>
  <c r="J913" i="11"/>
  <c r="J911" i="11"/>
  <c r="J909" i="11"/>
  <c r="J907" i="11"/>
  <c r="J905" i="11"/>
  <c r="J903" i="11"/>
  <c r="J901" i="11"/>
  <c r="J899" i="11"/>
  <c r="J897" i="11"/>
  <c r="J895" i="11"/>
  <c r="J893" i="11"/>
  <c r="J891" i="11"/>
  <c r="J889" i="11"/>
  <c r="J1986" i="11"/>
  <c r="J1634" i="11"/>
  <c r="J551" i="11"/>
  <c r="J549" i="11"/>
  <c r="J547" i="11"/>
  <c r="J545" i="11"/>
  <c r="J543" i="11"/>
  <c r="J541" i="11"/>
  <c r="J539" i="11"/>
  <c r="J537" i="11"/>
  <c r="J535" i="11"/>
  <c r="J533" i="11"/>
  <c r="J531" i="11"/>
  <c r="J529" i="11"/>
  <c r="J527" i="11"/>
  <c r="J525" i="11"/>
  <c r="J523" i="11"/>
  <c r="J187" i="11"/>
  <c r="J185" i="11"/>
  <c r="J183" i="11"/>
  <c r="J181" i="11"/>
  <c r="J179" i="11"/>
  <c r="J177" i="11"/>
  <c r="J175" i="11"/>
  <c r="J173" i="11"/>
  <c r="J171" i="11"/>
  <c r="J169" i="11"/>
  <c r="J167" i="11"/>
  <c r="J165" i="11"/>
  <c r="J163" i="11"/>
  <c r="J161" i="11"/>
  <c r="J159" i="11"/>
  <c r="J552" i="11"/>
  <c r="J550" i="11"/>
  <c r="J548" i="11"/>
  <c r="J546" i="11"/>
  <c r="J544" i="11"/>
  <c r="J542" i="11"/>
  <c r="J540" i="11"/>
  <c r="J538" i="11"/>
  <c r="J536" i="11"/>
  <c r="J534" i="11"/>
  <c r="J532" i="11"/>
  <c r="J530" i="11"/>
  <c r="J528" i="11"/>
  <c r="J526" i="11"/>
  <c r="J524" i="11"/>
  <c r="J186" i="11"/>
  <c r="J184" i="11"/>
  <c r="J182" i="11"/>
  <c r="J180" i="11"/>
  <c r="J178" i="11"/>
  <c r="J176" i="11"/>
  <c r="J174" i="11"/>
  <c r="J172" i="11"/>
  <c r="J170" i="11"/>
  <c r="J168" i="11"/>
  <c r="J166" i="11"/>
  <c r="J164" i="11"/>
  <c r="J162" i="11"/>
  <c r="J160" i="11"/>
  <c r="J158" i="11"/>
  <c r="AF17" i="2"/>
  <c r="AF18" i="2"/>
  <c r="AF10" i="2"/>
  <c r="B46" i="2"/>
  <c r="B42" i="2"/>
  <c r="B43" i="2"/>
  <c r="B44" i="2" s="1"/>
  <c r="AF21" i="2"/>
  <c r="I5604" i="11"/>
  <c r="I5602" i="11"/>
  <c r="I5600" i="11"/>
  <c r="I5598" i="11"/>
  <c r="I5601" i="11"/>
  <c r="I5589" i="11"/>
  <c r="I5587" i="11"/>
  <c r="I5585" i="11"/>
  <c r="I5583" i="11"/>
  <c r="I5581" i="11"/>
  <c r="I5579" i="11"/>
  <c r="I5577" i="11"/>
  <c r="I5591" i="11"/>
  <c r="I5603" i="11"/>
  <c r="I5593" i="11"/>
  <c r="I5592" i="11"/>
  <c r="I5599" i="11"/>
  <c r="I5594" i="11"/>
  <c r="I5586" i="11"/>
  <c r="I5597" i="11"/>
  <c r="I5576" i="11"/>
  <c r="I5605" i="11"/>
  <c r="I5582" i="11"/>
  <c r="I5595" i="11"/>
  <c r="I5584" i="11"/>
  <c r="I5590" i="11"/>
  <c r="I5238" i="11"/>
  <c r="I5236" i="11"/>
  <c r="I5234" i="11"/>
  <c r="I5232" i="11"/>
  <c r="I5230" i="11"/>
  <c r="I5228" i="11"/>
  <c r="I5226" i="11"/>
  <c r="I5224" i="11"/>
  <c r="I5580" i="11"/>
  <c r="I5596" i="11"/>
  <c r="I5588" i="11"/>
  <c r="I5225" i="11"/>
  <c r="I5578" i="11"/>
  <c r="I5227" i="11"/>
  <c r="I5231" i="11"/>
  <c r="I5222" i="11"/>
  <c r="I5220" i="11"/>
  <c r="I5218" i="11"/>
  <c r="I5216" i="11"/>
  <c r="I5214" i="11"/>
  <c r="I5212" i="11"/>
  <c r="I5210" i="11"/>
  <c r="I5235" i="11"/>
  <c r="I5237" i="11"/>
  <c r="I5239" i="11"/>
  <c r="I5219" i="11"/>
  <c r="I5211" i="11"/>
  <c r="I5233" i="11"/>
  <c r="I5213" i="11"/>
  <c r="I5215" i="11"/>
  <c r="I5221" i="11"/>
  <c r="I4874" i="11"/>
  <c r="I4872" i="11"/>
  <c r="I4870" i="11"/>
  <c r="I4868" i="11"/>
  <c r="I4866" i="11"/>
  <c r="I4864" i="11"/>
  <c r="I4862" i="11"/>
  <c r="I4860" i="11"/>
  <c r="I4858" i="11"/>
  <c r="I4856" i="11"/>
  <c r="I4854" i="11"/>
  <c r="I4852" i="11"/>
  <c r="I4850" i="11"/>
  <c r="I4848" i="11"/>
  <c r="I4846" i="11"/>
  <c r="I5229" i="11"/>
  <c r="I5223" i="11"/>
  <c r="I4865" i="11"/>
  <c r="I4849" i="11"/>
  <c r="I5217" i="11"/>
  <c r="I4859" i="11"/>
  <c r="I4869" i="11"/>
  <c r="I4853" i="11"/>
  <c r="I4863" i="11"/>
  <c r="I4847" i="11"/>
  <c r="I4873" i="11"/>
  <c r="I4857" i="11"/>
  <c r="I4867" i="11"/>
  <c r="I4851" i="11"/>
  <c r="I4861" i="11"/>
  <c r="I4845" i="11"/>
  <c r="I4871" i="11"/>
  <c r="I4855" i="11"/>
  <c r="I4506" i="11"/>
  <c r="I4503" i="11"/>
  <c r="I4490" i="11"/>
  <c r="I4487" i="11"/>
  <c r="I4481" i="11"/>
  <c r="I4509" i="11"/>
  <c r="I4496" i="11"/>
  <c r="I4493" i="11"/>
  <c r="I4502" i="11"/>
  <c r="I4499" i="11"/>
  <c r="I4486" i="11"/>
  <c r="I4483" i="11"/>
  <c r="I4508" i="11"/>
  <c r="I4505" i="11"/>
  <c r="I4492" i="11"/>
  <c r="I4489" i="11"/>
  <c r="I4480" i="11"/>
  <c r="I4498" i="11"/>
  <c r="I4495" i="11"/>
  <c r="I4504" i="11"/>
  <c r="I4501" i="11"/>
  <c r="I4488" i="11"/>
  <c r="I4485" i="11"/>
  <c r="I4482" i="11"/>
  <c r="I4507" i="11"/>
  <c r="I4494" i="11"/>
  <c r="I4491" i="11"/>
  <c r="I4144" i="11"/>
  <c r="I4142" i="11"/>
  <c r="I4140" i="11"/>
  <c r="I4138" i="11"/>
  <c r="I4136" i="11"/>
  <c r="I4134" i="11"/>
  <c r="I4132" i="11"/>
  <c r="I4130" i="11"/>
  <c r="I4128" i="11"/>
  <c r="I4126" i="11"/>
  <c r="I4124" i="11"/>
  <c r="I4122" i="11"/>
  <c r="I4120" i="11"/>
  <c r="I4118" i="11"/>
  <c r="I4116" i="11"/>
  <c r="I4500" i="11"/>
  <c r="I4484" i="11"/>
  <c r="I4143" i="11"/>
  <c r="I4141" i="11"/>
  <c r="I4139" i="11"/>
  <c r="I4137" i="11"/>
  <c r="I4135" i="11"/>
  <c r="I4133" i="11"/>
  <c r="I4131" i="11"/>
  <c r="I4129" i="11"/>
  <c r="I4127" i="11"/>
  <c r="I4125" i="11"/>
  <c r="I4123" i="11"/>
  <c r="I4121" i="11"/>
  <c r="I4119" i="11"/>
  <c r="I4117" i="11"/>
  <c r="I4115" i="11"/>
  <c r="I3778" i="11"/>
  <c r="I3776" i="11"/>
  <c r="I3774" i="11"/>
  <c r="I3772" i="11"/>
  <c r="I3770" i="11"/>
  <c r="I3768" i="11"/>
  <c r="I3766" i="11"/>
  <c r="I3764" i="11"/>
  <c r="I3762" i="11"/>
  <c r="I3760" i="11"/>
  <c r="I3758" i="11"/>
  <c r="I3756" i="11"/>
  <c r="I3754" i="11"/>
  <c r="I3752" i="11"/>
  <c r="I3750" i="11"/>
  <c r="I4497" i="11"/>
  <c r="I3777" i="11"/>
  <c r="I3775" i="11"/>
  <c r="I3773" i="11"/>
  <c r="I3771" i="11"/>
  <c r="I3769" i="11"/>
  <c r="I3767" i="11"/>
  <c r="I3765" i="11"/>
  <c r="I3763" i="11"/>
  <c r="I3761" i="11"/>
  <c r="I3759" i="11"/>
  <c r="I3757" i="11"/>
  <c r="I3755" i="11"/>
  <c r="I3753" i="11"/>
  <c r="I3751" i="11"/>
  <c r="I3749" i="11"/>
  <c r="I3413" i="11"/>
  <c r="I3404" i="11"/>
  <c r="I3397" i="11"/>
  <c r="I3388" i="11"/>
  <c r="I3406" i="11"/>
  <c r="I3399" i="11"/>
  <c r="I3390" i="11"/>
  <c r="I3408" i="11"/>
  <c r="I3401" i="11"/>
  <c r="I3392" i="11"/>
  <c r="I3385" i="11"/>
  <c r="I3410" i="11"/>
  <c r="I3403" i="11"/>
  <c r="I3394" i="11"/>
  <c r="I3387" i="11"/>
  <c r="I3412" i="11"/>
  <c r="I3405" i="11"/>
  <c r="I3396" i="11"/>
  <c r="I3389" i="11"/>
  <c r="I3407" i="11"/>
  <c r="I3398" i="11"/>
  <c r="I3391" i="11"/>
  <c r="I3409" i="11"/>
  <c r="I3400" i="11"/>
  <c r="I3393" i="11"/>
  <c r="I3384" i="11"/>
  <c r="I3386" i="11"/>
  <c r="I3411" i="11"/>
  <c r="I3047" i="11"/>
  <c r="I3045" i="11"/>
  <c r="I3043" i="11"/>
  <c r="I3041" i="11"/>
  <c r="I3039" i="11"/>
  <c r="I3037" i="11"/>
  <c r="I3035" i="11"/>
  <c r="I3033" i="11"/>
  <c r="I3031" i="11"/>
  <c r="I3029" i="11"/>
  <c r="I3027" i="11"/>
  <c r="I3025" i="11"/>
  <c r="I3023" i="11"/>
  <c r="I3021" i="11"/>
  <c r="I3019" i="11"/>
  <c r="I3395" i="11"/>
  <c r="I3402" i="11"/>
  <c r="I3044" i="11"/>
  <c r="I3028" i="11"/>
  <c r="I2678" i="11"/>
  <c r="I2670" i="11"/>
  <c r="I2662" i="11"/>
  <c r="I2654" i="11"/>
  <c r="I3034" i="11"/>
  <c r="I2683" i="11"/>
  <c r="I2675" i="11"/>
  <c r="I2667" i="11"/>
  <c r="I2659" i="11"/>
  <c r="I2317" i="11"/>
  <c r="I2315" i="11"/>
  <c r="I2313" i="11"/>
  <c r="I2311" i="11"/>
  <c r="I2309" i="11"/>
  <c r="I2307" i="11"/>
  <c r="I2305" i="11"/>
  <c r="I2303" i="11"/>
  <c r="I2301" i="11"/>
  <c r="I2299" i="11"/>
  <c r="I2297" i="11"/>
  <c r="I2295" i="11"/>
  <c r="I2293" i="11"/>
  <c r="I2291" i="11"/>
  <c r="I2289" i="11"/>
  <c r="I3040" i="11"/>
  <c r="I3024" i="11"/>
  <c r="I2680" i="11"/>
  <c r="I2672" i="11"/>
  <c r="I2664" i="11"/>
  <c r="I2656" i="11"/>
  <c r="I3046" i="11"/>
  <c r="I3030" i="11"/>
  <c r="I2677" i="11"/>
  <c r="I2669" i="11"/>
  <c r="I2661" i="11"/>
  <c r="I3036" i="11"/>
  <c r="I3020" i="11"/>
  <c r="I3042" i="11"/>
  <c r="I3026" i="11"/>
  <c r="I2679" i="11"/>
  <c r="I2671" i="11"/>
  <c r="I2663" i="11"/>
  <c r="I2655" i="11"/>
  <c r="I2316" i="11"/>
  <c r="I2314" i="11"/>
  <c r="I2312" i="11"/>
  <c r="I2310" i="11"/>
  <c r="I2308" i="11"/>
  <c r="I2306" i="11"/>
  <c r="I2304" i="11"/>
  <c r="I2302" i="11"/>
  <c r="I2300" i="11"/>
  <c r="I2298" i="11"/>
  <c r="I2296" i="11"/>
  <c r="I2294" i="11"/>
  <c r="I2292" i="11"/>
  <c r="I2290" i="11"/>
  <c r="I2288" i="11"/>
  <c r="I3048" i="11"/>
  <c r="I3032" i="11"/>
  <c r="I2676" i="11"/>
  <c r="I2668" i="11"/>
  <c r="I2660" i="11"/>
  <c r="I3038" i="11"/>
  <c r="I2674" i="11"/>
  <c r="I1947" i="11"/>
  <c r="I1938" i="11"/>
  <c r="I1931" i="11"/>
  <c r="I1586" i="11"/>
  <c r="I1579" i="11"/>
  <c r="I1570" i="11"/>
  <c r="I1563" i="11"/>
  <c r="I3022" i="11"/>
  <c r="I2681" i="11"/>
  <c r="I1949" i="11"/>
  <c r="I1940" i="11"/>
  <c r="I1933" i="11"/>
  <c r="I1924" i="11"/>
  <c r="I1581" i="11"/>
  <c r="I1572" i="11"/>
  <c r="I1565" i="11"/>
  <c r="I2666" i="11"/>
  <c r="I1951" i="11"/>
  <c r="I1942" i="11"/>
  <c r="I1935" i="11"/>
  <c r="I1926" i="11"/>
  <c r="I1583" i="11"/>
  <c r="I1574" i="11"/>
  <c r="I1567" i="11"/>
  <c r="I1558" i="11"/>
  <c r="I2673" i="11"/>
  <c r="I1944" i="11"/>
  <c r="I1937" i="11"/>
  <c r="I1928" i="11"/>
  <c r="I1585" i="11"/>
  <c r="I1576" i="11"/>
  <c r="I1569" i="11"/>
  <c r="I1560" i="11"/>
  <c r="I2658" i="11"/>
  <c r="I1946" i="11"/>
  <c r="I1939" i="11"/>
  <c r="I1930" i="11"/>
  <c r="I1923" i="11"/>
  <c r="I1587" i="11"/>
  <c r="I1578" i="11"/>
  <c r="I1571" i="11"/>
  <c r="I1562" i="11"/>
  <c r="I2665" i="11"/>
  <c r="I1948" i="11"/>
  <c r="I1941" i="11"/>
  <c r="I1932" i="11"/>
  <c r="I1925" i="11"/>
  <c r="I1580" i="11"/>
  <c r="I1573" i="11"/>
  <c r="I1564" i="11"/>
  <c r="I2682" i="11"/>
  <c r="I1950" i="11"/>
  <c r="I1943" i="11"/>
  <c r="I1934" i="11"/>
  <c r="I1927" i="11"/>
  <c r="I1582" i="11"/>
  <c r="I1575" i="11"/>
  <c r="I1566" i="11"/>
  <c r="I1559" i="11"/>
  <c r="I2657" i="11"/>
  <c r="I1936" i="11"/>
  <c r="I1577" i="11"/>
  <c r="I1584" i="11"/>
  <c r="I1561" i="11"/>
  <c r="I1945" i="11"/>
  <c r="I1568" i="11"/>
  <c r="I1952" i="11"/>
  <c r="I1221" i="11"/>
  <c r="I1219" i="11"/>
  <c r="I1217" i="11"/>
  <c r="I1215" i="11"/>
  <c r="I1213" i="11"/>
  <c r="I1211" i="11"/>
  <c r="I1209" i="11"/>
  <c r="I1207" i="11"/>
  <c r="I1205" i="11"/>
  <c r="I1929" i="11"/>
  <c r="I5724" i="11"/>
  <c r="I5721" i="11"/>
  <c r="I5716" i="11"/>
  <c r="I5713" i="11"/>
  <c r="I5708" i="11"/>
  <c r="I5705" i="11"/>
  <c r="I5700" i="11"/>
  <c r="I5728" i="11"/>
  <c r="I5725" i="11"/>
  <c r="I5720" i="11"/>
  <c r="I5717" i="11"/>
  <c r="I5712" i="11"/>
  <c r="I5709" i="11"/>
  <c r="I5704" i="11"/>
  <c r="I5701" i="11"/>
  <c r="I5726" i="11"/>
  <c r="I5718" i="11"/>
  <c r="I5710" i="11"/>
  <c r="I5702" i="11"/>
  <c r="I5722" i="11"/>
  <c r="I5714" i="11"/>
  <c r="I5706" i="11"/>
  <c r="I5698" i="11"/>
  <c r="I5723" i="11"/>
  <c r="I5715" i="11"/>
  <c r="I5707" i="11"/>
  <c r="I5699" i="11"/>
  <c r="I5711" i="11"/>
  <c r="I5727" i="11"/>
  <c r="I5719" i="11"/>
  <c r="I5703" i="11"/>
  <c r="I5362" i="11"/>
  <c r="I5360" i="11"/>
  <c r="I5358" i="11"/>
  <c r="I5356" i="11"/>
  <c r="I5354" i="11"/>
  <c r="I5352" i="11"/>
  <c r="I5350" i="11"/>
  <c r="I5348" i="11"/>
  <c r="I5346" i="11"/>
  <c r="I5344" i="11"/>
  <c r="I5342" i="11"/>
  <c r="I5340" i="11"/>
  <c r="I5338" i="11"/>
  <c r="I5336" i="11"/>
  <c r="I5334" i="11"/>
  <c r="I5332" i="11"/>
  <c r="I5361" i="11"/>
  <c r="I5357" i="11"/>
  <c r="I5353" i="11"/>
  <c r="I5349" i="11"/>
  <c r="I5345" i="11"/>
  <c r="I5341" i="11"/>
  <c r="I5337" i="11"/>
  <c r="I5333" i="11"/>
  <c r="I5359" i="11"/>
  <c r="I5355" i="11"/>
  <c r="I5351" i="11"/>
  <c r="I5347" i="11"/>
  <c r="I5343" i="11"/>
  <c r="I5339" i="11"/>
  <c r="I5335" i="11"/>
  <c r="I4996" i="11"/>
  <c r="I4997" i="11"/>
  <c r="I4994" i="11"/>
  <c r="I4992" i="11"/>
  <c r="I4990" i="11"/>
  <c r="I4988" i="11"/>
  <c r="I4986" i="11"/>
  <c r="I4984" i="11"/>
  <c r="I4982" i="11"/>
  <c r="I4980" i="11"/>
  <c r="I4978" i="11"/>
  <c r="I4976" i="11"/>
  <c r="I4974" i="11"/>
  <c r="I4972" i="11"/>
  <c r="I4970" i="11"/>
  <c r="I4968" i="11"/>
  <c r="I4993" i="11"/>
  <c r="I4977" i="11"/>
  <c r="I4987" i="11"/>
  <c r="I4971" i="11"/>
  <c r="I4981" i="11"/>
  <c r="I4631" i="11"/>
  <c r="I4629" i="11"/>
  <c r="I4627" i="11"/>
  <c r="I4625" i="11"/>
  <c r="I4623" i="11"/>
  <c r="I4621" i="11"/>
  <c r="I4619" i="11"/>
  <c r="I4617" i="11"/>
  <c r="I4615" i="11"/>
  <c r="I4613" i="11"/>
  <c r="I4611" i="11"/>
  <c r="I4609" i="11"/>
  <c r="I4607" i="11"/>
  <c r="I4605" i="11"/>
  <c r="I4603" i="11"/>
  <c r="I4991" i="11"/>
  <c r="I4975" i="11"/>
  <c r="I4985" i="11"/>
  <c r="I4969" i="11"/>
  <c r="I4995" i="11"/>
  <c r="I4979" i="11"/>
  <c r="I4989" i="11"/>
  <c r="I4973" i="11"/>
  <c r="I4632" i="11"/>
  <c r="I4630" i="11"/>
  <c r="I4628" i="11"/>
  <c r="I4626" i="11"/>
  <c r="I4624" i="11"/>
  <c r="I4622" i="11"/>
  <c r="I4620" i="11"/>
  <c r="I4618" i="11"/>
  <c r="I4616" i="11"/>
  <c r="I4614" i="11"/>
  <c r="I4612" i="11"/>
  <c r="I4610" i="11"/>
  <c r="I4608" i="11"/>
  <c r="I4606" i="11"/>
  <c r="I4604" i="11"/>
  <c r="I4602" i="11"/>
  <c r="I4983" i="11"/>
  <c r="I4967" i="11"/>
  <c r="I4267" i="11"/>
  <c r="I4265" i="11"/>
  <c r="I4263" i="11"/>
  <c r="I4261" i="11"/>
  <c r="I4259" i="11"/>
  <c r="I4257" i="11"/>
  <c r="I4255" i="11"/>
  <c r="I4253" i="11"/>
  <c r="I4254" i="11"/>
  <c r="I4251" i="11"/>
  <c r="I4243" i="11"/>
  <c r="I4260" i="11"/>
  <c r="I4248" i="11"/>
  <c r="I4240" i="11"/>
  <c r="I4266" i="11"/>
  <c r="I4245" i="11"/>
  <c r="I4237" i="11"/>
  <c r="I4256" i="11"/>
  <c r="I4250" i="11"/>
  <c r="I4242" i="11"/>
  <c r="I4262" i="11"/>
  <c r="I4247" i="11"/>
  <c r="I4239" i="11"/>
  <c r="I4252" i="11"/>
  <c r="I4244" i="11"/>
  <c r="I4258" i="11"/>
  <c r="I4249" i="11"/>
  <c r="I4241" i="11"/>
  <c r="I4264" i="11"/>
  <c r="I4238" i="11"/>
  <c r="I3901" i="11"/>
  <c r="I3894" i="11"/>
  <c r="I3885" i="11"/>
  <c r="I3878" i="11"/>
  <c r="I3896" i="11"/>
  <c r="I3887" i="11"/>
  <c r="I3880" i="11"/>
  <c r="I3871" i="11"/>
  <c r="I3898" i="11"/>
  <c r="I3889" i="11"/>
  <c r="I3882" i="11"/>
  <c r="I3873" i="11"/>
  <c r="I3900" i="11"/>
  <c r="I3891" i="11"/>
  <c r="I3884" i="11"/>
  <c r="I3875" i="11"/>
  <c r="I3893" i="11"/>
  <c r="I3886" i="11"/>
  <c r="I3877" i="11"/>
  <c r="I3895" i="11"/>
  <c r="I3888" i="11"/>
  <c r="I3879" i="11"/>
  <c r="I3872" i="11"/>
  <c r="I4246" i="11"/>
  <c r="I3897" i="11"/>
  <c r="I3890" i="11"/>
  <c r="I3881" i="11"/>
  <c r="I3874" i="11"/>
  <c r="I3532" i="11"/>
  <c r="I3525" i="11"/>
  <c r="I3516" i="11"/>
  <c r="I3509" i="11"/>
  <c r="I3534" i="11"/>
  <c r="I3527" i="11"/>
  <c r="I3518" i="11"/>
  <c r="I3511" i="11"/>
  <c r="I3883" i="11"/>
  <c r="I3536" i="11"/>
  <c r="I3529" i="11"/>
  <c r="I3520" i="11"/>
  <c r="I3513" i="11"/>
  <c r="I3876" i="11"/>
  <c r="I3531" i="11"/>
  <c r="I3522" i="11"/>
  <c r="I3515" i="11"/>
  <c r="I3506" i="11"/>
  <c r="I3533" i="11"/>
  <c r="I3524" i="11"/>
  <c r="I3517" i="11"/>
  <c r="I3508" i="11"/>
  <c r="I3899" i="11"/>
  <c r="I3535" i="11"/>
  <c r="I3526" i="11"/>
  <c r="I3519" i="11"/>
  <c r="I3510" i="11"/>
  <c r="I3892" i="11"/>
  <c r="I3528" i="11"/>
  <c r="I3521" i="11"/>
  <c r="I3512" i="11"/>
  <c r="I3171" i="11"/>
  <c r="I3162" i="11"/>
  <c r="I3523" i="11"/>
  <c r="I3164" i="11"/>
  <c r="I3157" i="11"/>
  <c r="I3155" i="11"/>
  <c r="I3153" i="11"/>
  <c r="I3151" i="11"/>
  <c r="I3149" i="11"/>
  <c r="I3147" i="11"/>
  <c r="I3145" i="11"/>
  <c r="I3143" i="11"/>
  <c r="I3141" i="11"/>
  <c r="I3530" i="11"/>
  <c r="I3166" i="11"/>
  <c r="I3159" i="11"/>
  <c r="I3507" i="11"/>
  <c r="I3170" i="11"/>
  <c r="I3163" i="11"/>
  <c r="I3514" i="11"/>
  <c r="I3165" i="11"/>
  <c r="I3156" i="11"/>
  <c r="I3154" i="11"/>
  <c r="I3152" i="11"/>
  <c r="I3150" i="11"/>
  <c r="I3148" i="11"/>
  <c r="I3146" i="11"/>
  <c r="I3144" i="11"/>
  <c r="I3142" i="11"/>
  <c r="I2806" i="11"/>
  <c r="I2798" i="11"/>
  <c r="I2790" i="11"/>
  <c r="I2782" i="11"/>
  <c r="I3168" i="11"/>
  <c r="I2803" i="11"/>
  <c r="I2795" i="11"/>
  <c r="I2787" i="11"/>
  <c r="I2779" i="11"/>
  <c r="I2439" i="11"/>
  <c r="I2437" i="11"/>
  <c r="I2435" i="11"/>
  <c r="I2433" i="11"/>
  <c r="I2431" i="11"/>
  <c r="I2429" i="11"/>
  <c r="I2427" i="11"/>
  <c r="I2425" i="11"/>
  <c r="I2423" i="11"/>
  <c r="I2421" i="11"/>
  <c r="I2419" i="11"/>
  <c r="I2417" i="11"/>
  <c r="I2415" i="11"/>
  <c r="I2413" i="11"/>
  <c r="I2411" i="11"/>
  <c r="I3161" i="11"/>
  <c r="I2800" i="11"/>
  <c r="I2792" i="11"/>
  <c r="I2784" i="11"/>
  <c r="I2776" i="11"/>
  <c r="I3158" i="11"/>
  <c r="I2805" i="11"/>
  <c r="I2797" i="11"/>
  <c r="I2789" i="11"/>
  <c r="I2781" i="11"/>
  <c r="I3167" i="11"/>
  <c r="I2799" i="11"/>
  <c r="I2791" i="11"/>
  <c r="I2783" i="11"/>
  <c r="I2440" i="11"/>
  <c r="I2438" i="11"/>
  <c r="I2436" i="11"/>
  <c r="I2434" i="11"/>
  <c r="I2432" i="11"/>
  <c r="I2430" i="11"/>
  <c r="I2428" i="11"/>
  <c r="I2426" i="11"/>
  <c r="I2424" i="11"/>
  <c r="I2422" i="11"/>
  <c r="I2420" i="11"/>
  <c r="I2418" i="11"/>
  <c r="I2416" i="11"/>
  <c r="I2414" i="11"/>
  <c r="I2412" i="11"/>
  <c r="I2410" i="11"/>
  <c r="I3169" i="11"/>
  <c r="I3160" i="11"/>
  <c r="I2804" i="11"/>
  <c r="I2796" i="11"/>
  <c r="I2788" i="11"/>
  <c r="I2780" i="11"/>
  <c r="I2801" i="11"/>
  <c r="I2075" i="11"/>
  <c r="I2066" i="11"/>
  <c r="I2059" i="11"/>
  <c r="I2050" i="11"/>
  <c r="I1707" i="11"/>
  <c r="I1698" i="11"/>
  <c r="I1691" i="11"/>
  <c r="I1682" i="11"/>
  <c r="I2786" i="11"/>
  <c r="I2068" i="11"/>
  <c r="I2061" i="11"/>
  <c r="I2052" i="11"/>
  <c r="I2045" i="11"/>
  <c r="I1709" i="11"/>
  <c r="I1700" i="11"/>
  <c r="I1693" i="11"/>
  <c r="I1684" i="11"/>
  <c r="I2793" i="11"/>
  <c r="I2070" i="11"/>
  <c r="I2063" i="11"/>
  <c r="I2054" i="11"/>
  <c r="I2047" i="11"/>
  <c r="I1702" i="11"/>
  <c r="I1695" i="11"/>
  <c r="I1686" i="11"/>
  <c r="I1343" i="11"/>
  <c r="I1341" i="11"/>
  <c r="I1339" i="11"/>
  <c r="I2778" i="11"/>
  <c r="I2072" i="11"/>
  <c r="I2065" i="11"/>
  <c r="I2056" i="11"/>
  <c r="I2049" i="11"/>
  <c r="I1704" i="11"/>
  <c r="I1697" i="11"/>
  <c r="I1688" i="11"/>
  <c r="I1681" i="11"/>
  <c r="I1345" i="11"/>
  <c r="I2785" i="11"/>
  <c r="I2074" i="11"/>
  <c r="I2067" i="11"/>
  <c r="I2058" i="11"/>
  <c r="I2051" i="11"/>
  <c r="I1706" i="11"/>
  <c r="I1699" i="11"/>
  <c r="I1690" i="11"/>
  <c r="I1683" i="11"/>
  <c r="I2802" i="11"/>
  <c r="I2069" i="11"/>
  <c r="I2060" i="11"/>
  <c r="I2053" i="11"/>
  <c r="I1708" i="11"/>
  <c r="I1701" i="11"/>
  <c r="I1692" i="11"/>
  <c r="I1685" i="11"/>
  <c r="I2777" i="11"/>
  <c r="I2071" i="11"/>
  <c r="I2062" i="11"/>
  <c r="I2055" i="11"/>
  <c r="I2046" i="11"/>
  <c r="I1710" i="11"/>
  <c r="I1703" i="11"/>
  <c r="I1694" i="11"/>
  <c r="I1687" i="11"/>
  <c r="I2794" i="11"/>
  <c r="I2073" i="11"/>
  <c r="I1332" i="11"/>
  <c r="I1325" i="11"/>
  <c r="I1680" i="11"/>
  <c r="I1344" i="11"/>
  <c r="I1334" i="11"/>
  <c r="I1327" i="11"/>
  <c r="I1318" i="11"/>
  <c r="I1316" i="11"/>
  <c r="I1705" i="11"/>
  <c r="I1336" i="11"/>
  <c r="I1329" i="11"/>
  <c r="I1320" i="11"/>
  <c r="I2057" i="11"/>
  <c r="I1338" i="11"/>
  <c r="I1331" i="11"/>
  <c r="I1322" i="11"/>
  <c r="I2064" i="11"/>
  <c r="I1333" i="11"/>
  <c r="I1324" i="11"/>
  <c r="I1689" i="11"/>
  <c r="I1340" i="11"/>
  <c r="I1335" i="11"/>
  <c r="I1326" i="11"/>
  <c r="I1319" i="11"/>
  <c r="I1317" i="11"/>
  <c r="I1315" i="11"/>
  <c r="I1696" i="11"/>
  <c r="I1337" i="11"/>
  <c r="I1328" i="11"/>
  <c r="I1321" i="11"/>
  <c r="I2048" i="11"/>
  <c r="I5850" i="11"/>
  <c r="I5848" i="11"/>
  <c r="I5846" i="11"/>
  <c r="I5844" i="11"/>
  <c r="I5842" i="11"/>
  <c r="I5840" i="11"/>
  <c r="I5838" i="11"/>
  <c r="I5836" i="11"/>
  <c r="I5834" i="11"/>
  <c r="I5832" i="11"/>
  <c r="I5830" i="11"/>
  <c r="I5828" i="11"/>
  <c r="I5826" i="11"/>
  <c r="I5824" i="11"/>
  <c r="I5822" i="11"/>
  <c r="I5820" i="11"/>
  <c r="I5849" i="11"/>
  <c r="I5847" i="11"/>
  <c r="I5845" i="11"/>
  <c r="I5843" i="11"/>
  <c r="I5841" i="11"/>
  <c r="I5839" i="11"/>
  <c r="I5837" i="11"/>
  <c r="I5835" i="11"/>
  <c r="I5833" i="11"/>
  <c r="I5831" i="11"/>
  <c r="I5829" i="11"/>
  <c r="I5827" i="11"/>
  <c r="I5825" i="11"/>
  <c r="I5823" i="11"/>
  <c r="I5821" i="11"/>
  <c r="I5483" i="11"/>
  <c r="I5481" i="11"/>
  <c r="I5479" i="11"/>
  <c r="I5477" i="11"/>
  <c r="I5475" i="11"/>
  <c r="I5473" i="11"/>
  <c r="I5471" i="11"/>
  <c r="I5469" i="11"/>
  <c r="I5467" i="11"/>
  <c r="I5465" i="11"/>
  <c r="I5463" i="11"/>
  <c r="I5461" i="11"/>
  <c r="I5459" i="11"/>
  <c r="I5457" i="11"/>
  <c r="I5455" i="11"/>
  <c r="I5484" i="11"/>
  <c r="I5482" i="11"/>
  <c r="I5480" i="11"/>
  <c r="I5478" i="11"/>
  <c r="I5476" i="11"/>
  <c r="I5474" i="11"/>
  <c r="I5472" i="11"/>
  <c r="I5470" i="11"/>
  <c r="I5468" i="11"/>
  <c r="I5466" i="11"/>
  <c r="I5464" i="11"/>
  <c r="I5462" i="11"/>
  <c r="I5460" i="11"/>
  <c r="I5458" i="11"/>
  <c r="I5456" i="11"/>
  <c r="I5454" i="11"/>
  <c r="I5118" i="11"/>
  <c r="I5116" i="11"/>
  <c r="I5114" i="11"/>
  <c r="I5112" i="11"/>
  <c r="I5110" i="11"/>
  <c r="I5108" i="11"/>
  <c r="I5106" i="11"/>
  <c r="I5111" i="11"/>
  <c r="I5113" i="11"/>
  <c r="I5104" i="11"/>
  <c r="I5102" i="11"/>
  <c r="I5100" i="11"/>
  <c r="I5098" i="11"/>
  <c r="I5096" i="11"/>
  <c r="I5094" i="11"/>
  <c r="I5092" i="11"/>
  <c r="I5090" i="11"/>
  <c r="I5115" i="11"/>
  <c r="I5105" i="11"/>
  <c r="I5103" i="11"/>
  <c r="I5101" i="11"/>
  <c r="I5099" i="11"/>
  <c r="I5097" i="11"/>
  <c r="I5095" i="11"/>
  <c r="I5093" i="11"/>
  <c r="I5091" i="11"/>
  <c r="I5089" i="11"/>
  <c r="I5107" i="11"/>
  <c r="I5119" i="11"/>
  <c r="I5117" i="11"/>
  <c r="I5109" i="11"/>
  <c r="I4752" i="11"/>
  <c r="I4744" i="11"/>
  <c r="I4736" i="11"/>
  <c r="I4728" i="11"/>
  <c r="I4749" i="11"/>
  <c r="I4741" i="11"/>
  <c r="I4733" i="11"/>
  <c r="I4725" i="11"/>
  <c r="I4754" i="11"/>
  <c r="I4746" i="11"/>
  <c r="I4738" i="11"/>
  <c r="I4730" i="11"/>
  <c r="I4751" i="11"/>
  <c r="I4743" i="11"/>
  <c r="I4735" i="11"/>
  <c r="I4727" i="11"/>
  <c r="I4748" i="11"/>
  <c r="I4740" i="11"/>
  <c r="I4732" i="11"/>
  <c r="I4724" i="11"/>
  <c r="I4753" i="11"/>
  <c r="I4745" i="11"/>
  <c r="I4737" i="11"/>
  <c r="I4729" i="11"/>
  <c r="I4750" i="11"/>
  <c r="I4742" i="11"/>
  <c r="I4734" i="11"/>
  <c r="I4726" i="11"/>
  <c r="I4747" i="11"/>
  <c r="I4389" i="11"/>
  <c r="I4387" i="11"/>
  <c r="I4385" i="11"/>
  <c r="I4383" i="11"/>
  <c r="I4381" i="11"/>
  <c r="I4379" i="11"/>
  <c r="I4377" i="11"/>
  <c r="I4375" i="11"/>
  <c r="I4373" i="11"/>
  <c r="I4371" i="11"/>
  <c r="I4369" i="11"/>
  <c r="I4367" i="11"/>
  <c r="I4365" i="11"/>
  <c r="I4363" i="11"/>
  <c r="I4361" i="11"/>
  <c r="I4359" i="11"/>
  <c r="I4739" i="11"/>
  <c r="I4731" i="11"/>
  <c r="I4378" i="11"/>
  <c r="I4362" i="11"/>
  <c r="I4388" i="11"/>
  <c r="I4372" i="11"/>
  <c r="I4382" i="11"/>
  <c r="I4366" i="11"/>
  <c r="I4376" i="11"/>
  <c r="I4360" i="11"/>
  <c r="I4386" i="11"/>
  <c r="I4370" i="11"/>
  <c r="I4380" i="11"/>
  <c r="I4364" i="11"/>
  <c r="I4374" i="11"/>
  <c r="I4011" i="11"/>
  <c r="I4008" i="11"/>
  <c r="I3995" i="11"/>
  <c r="I4017" i="11"/>
  <c r="I4014" i="11"/>
  <c r="I4001" i="11"/>
  <c r="I3998" i="11"/>
  <c r="I4023" i="11"/>
  <c r="I4020" i="11"/>
  <c r="I4007" i="11"/>
  <c r="I4004" i="11"/>
  <c r="I4384" i="11"/>
  <c r="I4013" i="11"/>
  <c r="I4010" i="11"/>
  <c r="I3997" i="11"/>
  <c r="I3994" i="11"/>
  <c r="I4368" i="11"/>
  <c r="I4019" i="11"/>
  <c r="I4016" i="11"/>
  <c r="I4003" i="11"/>
  <c r="I4000" i="11"/>
  <c r="I3657" i="11"/>
  <c r="I3655" i="11"/>
  <c r="I4022" i="11"/>
  <c r="I4009" i="11"/>
  <c r="I4006" i="11"/>
  <c r="I3993" i="11"/>
  <c r="I4015" i="11"/>
  <c r="I4012" i="11"/>
  <c r="I3999" i="11"/>
  <c r="I3996" i="11"/>
  <c r="I3654" i="11"/>
  <c r="I3651" i="11"/>
  <c r="I3646" i="11"/>
  <c r="I3643" i="11"/>
  <c r="I3638" i="11"/>
  <c r="I3635" i="11"/>
  <c r="I3630" i="11"/>
  <c r="I4005" i="11"/>
  <c r="I4018" i="11"/>
  <c r="I3653" i="11"/>
  <c r="I3648" i="11"/>
  <c r="I3645" i="11"/>
  <c r="I3640" i="11"/>
  <c r="I3637" i="11"/>
  <c r="I3632" i="11"/>
  <c r="I3629" i="11"/>
  <c r="I3656" i="11"/>
  <c r="I3650" i="11"/>
  <c r="I3647" i="11"/>
  <c r="I3642" i="11"/>
  <c r="I3639" i="11"/>
  <c r="I3634" i="11"/>
  <c r="I3631" i="11"/>
  <c r="I4002" i="11"/>
  <c r="I3292" i="11"/>
  <c r="I3290" i="11"/>
  <c r="I3288" i="11"/>
  <c r="I3286" i="11"/>
  <c r="I3284" i="11"/>
  <c r="I3282" i="11"/>
  <c r="I3280" i="11"/>
  <c r="I3278" i="11"/>
  <c r="I3276" i="11"/>
  <c r="I3274" i="11"/>
  <c r="I3272" i="11"/>
  <c r="I3270" i="11"/>
  <c r="I3268" i="11"/>
  <c r="I3266" i="11"/>
  <c r="I3264" i="11"/>
  <c r="I4021" i="11"/>
  <c r="I3658" i="11"/>
  <c r="I3652" i="11"/>
  <c r="I3649" i="11"/>
  <c r="I3644" i="11"/>
  <c r="I3641" i="11"/>
  <c r="I3636" i="11"/>
  <c r="I3633" i="11"/>
  <c r="I3628" i="11"/>
  <c r="I3283" i="11"/>
  <c r="I3267" i="11"/>
  <c r="I3289" i="11"/>
  <c r="I3273" i="11"/>
  <c r="I3279" i="11"/>
  <c r="I3263" i="11"/>
  <c r="I3285" i="11"/>
  <c r="I3269" i="11"/>
  <c r="I3291" i="11"/>
  <c r="I3275" i="11"/>
  <c r="I3281" i="11"/>
  <c r="I3265" i="11"/>
  <c r="I3287" i="11"/>
  <c r="I3271" i="11"/>
  <c r="I2926" i="11"/>
  <c r="I2918" i="11"/>
  <c r="I2910" i="11"/>
  <c r="I2902" i="11"/>
  <c r="I2558" i="11"/>
  <c r="I2548" i="11"/>
  <c r="I3293" i="11"/>
  <c r="I2923" i="11"/>
  <c r="I2915" i="11"/>
  <c r="I2907" i="11"/>
  <c r="I2899" i="11"/>
  <c r="I2555" i="11"/>
  <c r="I2550" i="11"/>
  <c r="I2543" i="11"/>
  <c r="I2541" i="11"/>
  <c r="I2539" i="11"/>
  <c r="I2537" i="11"/>
  <c r="I2535" i="11"/>
  <c r="I2533" i="11"/>
  <c r="I3277" i="11"/>
  <c r="I2928" i="11"/>
  <c r="I2920" i="11"/>
  <c r="I2912" i="11"/>
  <c r="I2904" i="11"/>
  <c r="I2560" i="11"/>
  <c r="I2552" i="11"/>
  <c r="I2545" i="11"/>
  <c r="I2925" i="11"/>
  <c r="I2917" i="11"/>
  <c r="I2909" i="11"/>
  <c r="I2901" i="11"/>
  <c r="I2557" i="11"/>
  <c r="I2547" i="11"/>
  <c r="I2927" i="11"/>
  <c r="I2919" i="11"/>
  <c r="I2911" i="11"/>
  <c r="I2903" i="11"/>
  <c r="I2559" i="11"/>
  <c r="I2551" i="11"/>
  <c r="I2542" i="11"/>
  <c r="I2540" i="11"/>
  <c r="I2538" i="11"/>
  <c r="I2536" i="11"/>
  <c r="I2534" i="11"/>
  <c r="I2532" i="11"/>
  <c r="I2924" i="11"/>
  <c r="I2916" i="11"/>
  <c r="I2908" i="11"/>
  <c r="I2900" i="11"/>
  <c r="I2556" i="11"/>
  <c r="I2544" i="11"/>
  <c r="I2914" i="11"/>
  <c r="I2554" i="11"/>
  <c r="I2193" i="11"/>
  <c r="I2184" i="11"/>
  <c r="I2177" i="11"/>
  <c r="I2168" i="11"/>
  <c r="I1826" i="11"/>
  <c r="I1819" i="11"/>
  <c r="I1810" i="11"/>
  <c r="I1803" i="11"/>
  <c r="I2921" i="11"/>
  <c r="I2561" i="11"/>
  <c r="I2195" i="11"/>
  <c r="I2186" i="11"/>
  <c r="I2179" i="11"/>
  <c r="I2170" i="11"/>
  <c r="I1828" i="11"/>
  <c r="I1821" i="11"/>
  <c r="I1812" i="11"/>
  <c r="I1805" i="11"/>
  <c r="I1460" i="11"/>
  <c r="I1453" i="11"/>
  <c r="I1444" i="11"/>
  <c r="I1437" i="11"/>
  <c r="I2906" i="11"/>
  <c r="I2197" i="11"/>
  <c r="I2188" i="11"/>
  <c r="I2181" i="11"/>
  <c r="I2172" i="11"/>
  <c r="I1830" i="11"/>
  <c r="I1823" i="11"/>
  <c r="I1814" i="11"/>
  <c r="I1807" i="11"/>
  <c r="I1462" i="11"/>
  <c r="I1455" i="11"/>
  <c r="I1446" i="11"/>
  <c r="I1439" i="11"/>
  <c r="I2913" i="11"/>
  <c r="I2553" i="11"/>
  <c r="I2190" i="11"/>
  <c r="I2183" i="11"/>
  <c r="I2174" i="11"/>
  <c r="I2167" i="11"/>
  <c r="I1832" i="11"/>
  <c r="I1825" i="11"/>
  <c r="I1816" i="11"/>
  <c r="I1809" i="11"/>
  <c r="I1464" i="11"/>
  <c r="I1457" i="11"/>
  <c r="I1448" i="11"/>
  <c r="I1441" i="11"/>
  <c r="I2898" i="11"/>
  <c r="I2549" i="11"/>
  <c r="I2546" i="11"/>
  <c r="I2192" i="11"/>
  <c r="I2185" i="11"/>
  <c r="I2176" i="11"/>
  <c r="I2169" i="11"/>
  <c r="I1827" i="11"/>
  <c r="I1818" i="11"/>
  <c r="I1811" i="11"/>
  <c r="I1802" i="11"/>
  <c r="I2905" i="11"/>
  <c r="I2194" i="11"/>
  <c r="I2187" i="11"/>
  <c r="I2178" i="11"/>
  <c r="I2171" i="11"/>
  <c r="I1829" i="11"/>
  <c r="I1820" i="11"/>
  <c r="I1813" i="11"/>
  <c r="I1804" i="11"/>
  <c r="I2922" i="11"/>
  <c r="I2562" i="11"/>
  <c r="I2196" i="11"/>
  <c r="I2189" i="11"/>
  <c r="I2180" i="11"/>
  <c r="I2173" i="11"/>
  <c r="I1831" i="11"/>
  <c r="I1822" i="11"/>
  <c r="I1815" i="11"/>
  <c r="I1806" i="11"/>
  <c r="I1463" i="11"/>
  <c r="I1454" i="11"/>
  <c r="I1447" i="11"/>
  <c r="I1438" i="11"/>
  <c r="I2191" i="11"/>
  <c r="I2182" i="11"/>
  <c r="I2175" i="11"/>
  <c r="I1817" i="11"/>
  <c r="I1466" i="11"/>
  <c r="I1445" i="11"/>
  <c r="I1824" i="11"/>
  <c r="I1451" i="11"/>
  <c r="I1459" i="11"/>
  <c r="I1442" i="11"/>
  <c r="I1465" i="11"/>
  <c r="I1456" i="11"/>
  <c r="I1808" i="11"/>
  <c r="I1461" i="11"/>
  <c r="I1450" i="11"/>
  <c r="I1467" i="11"/>
  <c r="I1458" i="11"/>
  <c r="I1452" i="11"/>
  <c r="I1443" i="11"/>
  <c r="J5697" i="11"/>
  <c r="J5695" i="11"/>
  <c r="J5693" i="11"/>
  <c r="J5691" i="11"/>
  <c r="J5689" i="11"/>
  <c r="J5687" i="11"/>
  <c r="J5685" i="11"/>
  <c r="J5683" i="11"/>
  <c r="J5681" i="11"/>
  <c r="J5692" i="11"/>
  <c r="J5680" i="11"/>
  <c r="J5678" i="11"/>
  <c r="J5676" i="11"/>
  <c r="J5674" i="11"/>
  <c r="J5672" i="11"/>
  <c r="J5670" i="11"/>
  <c r="J5668" i="11"/>
  <c r="J5682" i="11"/>
  <c r="J5694" i="11"/>
  <c r="J5684" i="11"/>
  <c r="J5690" i="11"/>
  <c r="J5686" i="11"/>
  <c r="J5679" i="11"/>
  <c r="J5675" i="11"/>
  <c r="J5671" i="11"/>
  <c r="J5667" i="11"/>
  <c r="J5696" i="11"/>
  <c r="J5688" i="11"/>
  <c r="J5677" i="11"/>
  <c r="J5673" i="11"/>
  <c r="J5669" i="11"/>
  <c r="J5331" i="11"/>
  <c r="J5329" i="11"/>
  <c r="J5327" i="11"/>
  <c r="J5325" i="11"/>
  <c r="J5323" i="11"/>
  <c r="J5321" i="11"/>
  <c r="J5319" i="11"/>
  <c r="J5317" i="11"/>
  <c r="J5315" i="11"/>
  <c r="J5313" i="11"/>
  <c r="J5311" i="11"/>
  <c r="J5309" i="11"/>
  <c r="J5307" i="11"/>
  <c r="J5305" i="11"/>
  <c r="J5303" i="11"/>
  <c r="J5301" i="11"/>
  <c r="J5330" i="11"/>
  <c r="J5326" i="11"/>
  <c r="J5322" i="11"/>
  <c r="J5318" i="11"/>
  <c r="J5314" i="11"/>
  <c r="J5310" i="11"/>
  <c r="J5306" i="11"/>
  <c r="J5302" i="11"/>
  <c r="J5328" i="11"/>
  <c r="J5324" i="11"/>
  <c r="J5320" i="11"/>
  <c r="J5316" i="11"/>
  <c r="J5312" i="11"/>
  <c r="J5308" i="11"/>
  <c r="J5304" i="11"/>
  <c r="J4966" i="11"/>
  <c r="J4964" i="11"/>
  <c r="J4962" i="11"/>
  <c r="J4960" i="11"/>
  <c r="J4958" i="11"/>
  <c r="J4956" i="11"/>
  <c r="J4954" i="11"/>
  <c r="J4952" i="11"/>
  <c r="J4950" i="11"/>
  <c r="J4948" i="11"/>
  <c r="J4946" i="11"/>
  <c r="J4944" i="11"/>
  <c r="J4942" i="11"/>
  <c r="J4940" i="11"/>
  <c r="J4938" i="11"/>
  <c r="J4936" i="11"/>
  <c r="J4965" i="11"/>
  <c r="J4963" i="11"/>
  <c r="J4961" i="11"/>
  <c r="J4959" i="11"/>
  <c r="J4957" i="11"/>
  <c r="J4955" i="11"/>
  <c r="J4953" i="11"/>
  <c r="J4951" i="11"/>
  <c r="J4949" i="11"/>
  <c r="J4947" i="11"/>
  <c r="J4945" i="11"/>
  <c r="J4943" i="11"/>
  <c r="J4941" i="11"/>
  <c r="J4939" i="11"/>
  <c r="J4937" i="11"/>
  <c r="J4601" i="11"/>
  <c r="J4599" i="11"/>
  <c r="J4597" i="11"/>
  <c r="J4595" i="11"/>
  <c r="J4593" i="11"/>
  <c r="J4591" i="11"/>
  <c r="J4589" i="11"/>
  <c r="J4587" i="11"/>
  <c r="J4585" i="11"/>
  <c r="J4583" i="11"/>
  <c r="J4581" i="11"/>
  <c r="J4579" i="11"/>
  <c r="J4577" i="11"/>
  <c r="J4575" i="11"/>
  <c r="J4573" i="11"/>
  <c r="J4571" i="11"/>
  <c r="J4600" i="11"/>
  <c r="J4598" i="11"/>
  <c r="J4596" i="11"/>
  <c r="J4594" i="11"/>
  <c r="J4592" i="11"/>
  <c r="J4590" i="11"/>
  <c r="J4588" i="11"/>
  <c r="J4586" i="11"/>
  <c r="J4584" i="11"/>
  <c r="J4582" i="11"/>
  <c r="J4580" i="11"/>
  <c r="J4578" i="11"/>
  <c r="J4576" i="11"/>
  <c r="J4574" i="11"/>
  <c r="J4572" i="11"/>
  <c r="J4235" i="11"/>
  <c r="J4233" i="11"/>
  <c r="J4231" i="11"/>
  <c r="J4229" i="11"/>
  <c r="J4227" i="11"/>
  <c r="J4225" i="11"/>
  <c r="J4223" i="11"/>
  <c r="J4221" i="11"/>
  <c r="J4219" i="11"/>
  <c r="J4217" i="11"/>
  <c r="J4215" i="11"/>
  <c r="J4213" i="11"/>
  <c r="J4211" i="11"/>
  <c r="J4209" i="11"/>
  <c r="J4207" i="11"/>
  <c r="J4236" i="11"/>
  <c r="J4234" i="11"/>
  <c r="J4232" i="11"/>
  <c r="J4230" i="11"/>
  <c r="J4228" i="11"/>
  <c r="J4226" i="11"/>
  <c r="J4224" i="11"/>
  <c r="J4222" i="11"/>
  <c r="J4220" i="11"/>
  <c r="J4218" i="11"/>
  <c r="J4216" i="11"/>
  <c r="J4214" i="11"/>
  <c r="J4212" i="11"/>
  <c r="J4210" i="11"/>
  <c r="J4208" i="11"/>
  <c r="J4206" i="11"/>
  <c r="J3870" i="11"/>
  <c r="J3868" i="11"/>
  <c r="J3866" i="11"/>
  <c r="J3864" i="11"/>
  <c r="J3862" i="11"/>
  <c r="J3861" i="11"/>
  <c r="J3859" i="11"/>
  <c r="J3857" i="11"/>
  <c r="J3855" i="11"/>
  <c r="J3853" i="11"/>
  <c r="J3851" i="11"/>
  <c r="J3849" i="11"/>
  <c r="J3847" i="11"/>
  <c r="J3845" i="11"/>
  <c r="J3843" i="11"/>
  <c r="J3841" i="11"/>
  <c r="J3505" i="11"/>
  <c r="J3503" i="11"/>
  <c r="J3501" i="11"/>
  <c r="J3499" i="11"/>
  <c r="J3497" i="11"/>
  <c r="J3495" i="11"/>
  <c r="J3493" i="11"/>
  <c r="J3491" i="11"/>
  <c r="J3489" i="11"/>
  <c r="J3487" i="11"/>
  <c r="J3485" i="11"/>
  <c r="J3483" i="11"/>
  <c r="J3481" i="11"/>
  <c r="J3479" i="11"/>
  <c r="J3477" i="11"/>
  <c r="J3475" i="11"/>
  <c r="J3863" i="11"/>
  <c r="J3865" i="11"/>
  <c r="J3867" i="11"/>
  <c r="J3854" i="11"/>
  <c r="J3502" i="11"/>
  <c r="J3486" i="11"/>
  <c r="J3860" i="11"/>
  <c r="J3844" i="11"/>
  <c r="J3504" i="11"/>
  <c r="J3488" i="11"/>
  <c r="J3850" i="11"/>
  <c r="J3490" i="11"/>
  <c r="J3856" i="11"/>
  <c r="J3840" i="11"/>
  <c r="J3492" i="11"/>
  <c r="J3476" i="11"/>
  <c r="J3846" i="11"/>
  <c r="J3494" i="11"/>
  <c r="J3478" i="11"/>
  <c r="J3869" i="11"/>
  <c r="J3852" i="11"/>
  <c r="J3496" i="11"/>
  <c r="J3480" i="11"/>
  <c r="J3858" i="11"/>
  <c r="J3842" i="11"/>
  <c r="J3498" i="11"/>
  <c r="J3482" i="11"/>
  <c r="J3848" i="11"/>
  <c r="J3139" i="11"/>
  <c r="J3137" i="11"/>
  <c r="J3135" i="11"/>
  <c r="J3133" i="11"/>
  <c r="J3131" i="11"/>
  <c r="J3129" i="11"/>
  <c r="J3127" i="11"/>
  <c r="J3125" i="11"/>
  <c r="J3123" i="11"/>
  <c r="J3121" i="11"/>
  <c r="J3119" i="11"/>
  <c r="J3117" i="11"/>
  <c r="J3115" i="11"/>
  <c r="J3113" i="11"/>
  <c r="J3111" i="11"/>
  <c r="J2775" i="11"/>
  <c r="J2773" i="11"/>
  <c r="J2771" i="11"/>
  <c r="J2769" i="11"/>
  <c r="J2767" i="11"/>
  <c r="J2765" i="11"/>
  <c r="J2763" i="11"/>
  <c r="J2761" i="11"/>
  <c r="J2759" i="11"/>
  <c r="J2757" i="11"/>
  <c r="J2755" i="11"/>
  <c r="J2753" i="11"/>
  <c r="J2751" i="11"/>
  <c r="J2749" i="11"/>
  <c r="J2747" i="11"/>
  <c r="J2745" i="11"/>
  <c r="J3500" i="11"/>
  <c r="J3140" i="11"/>
  <c r="J3138" i="11"/>
  <c r="J3136" i="11"/>
  <c r="J3134" i="11"/>
  <c r="J3132" i="11"/>
  <c r="J3130" i="11"/>
  <c r="J3128" i="11"/>
  <c r="J3126" i="11"/>
  <c r="J3124" i="11"/>
  <c r="J3122" i="11"/>
  <c r="J3120" i="11"/>
  <c r="J3118" i="11"/>
  <c r="J3116" i="11"/>
  <c r="J3114" i="11"/>
  <c r="J3112" i="11"/>
  <c r="J3110" i="11"/>
  <c r="J2774" i="11"/>
  <c r="J2772" i="11"/>
  <c r="J2770" i="11"/>
  <c r="J2768" i="11"/>
  <c r="J2766" i="11"/>
  <c r="J2764" i="11"/>
  <c r="J2762" i="11"/>
  <c r="J2760" i="11"/>
  <c r="J2758" i="11"/>
  <c r="J2756" i="11"/>
  <c r="J2754" i="11"/>
  <c r="J2752" i="11"/>
  <c r="J2750" i="11"/>
  <c r="J2748" i="11"/>
  <c r="J2746" i="11"/>
  <c r="J2409" i="11"/>
  <c r="J2407" i="11"/>
  <c r="J2405" i="11"/>
  <c r="J2403" i="11"/>
  <c r="J2401" i="11"/>
  <c r="J2399" i="11"/>
  <c r="J2397" i="11"/>
  <c r="J2395" i="11"/>
  <c r="J2393" i="11"/>
  <c r="J2391" i="11"/>
  <c r="J2389" i="11"/>
  <c r="J2387" i="11"/>
  <c r="J2385" i="11"/>
  <c r="J2383" i="11"/>
  <c r="J2381" i="11"/>
  <c r="J2379" i="11"/>
  <c r="J2043" i="11"/>
  <c r="J2041" i="11"/>
  <c r="J2039" i="11"/>
  <c r="J2037" i="11"/>
  <c r="J2035" i="11"/>
  <c r="J2033" i="11"/>
  <c r="J2031" i="11"/>
  <c r="J2029" i="11"/>
  <c r="J2027" i="11"/>
  <c r="J2025" i="11"/>
  <c r="J2023" i="11"/>
  <c r="J2021" i="11"/>
  <c r="J2019" i="11"/>
  <c r="J2017" i="11"/>
  <c r="J2015" i="11"/>
  <c r="J1679" i="11"/>
  <c r="J1677" i="11"/>
  <c r="J1675" i="11"/>
  <c r="J1673" i="11"/>
  <c r="J1671" i="11"/>
  <c r="J1669" i="11"/>
  <c r="J1667" i="11"/>
  <c r="J1665" i="11"/>
  <c r="J1663" i="11"/>
  <c r="J1661" i="11"/>
  <c r="J1659" i="11"/>
  <c r="J1657" i="11"/>
  <c r="J1655" i="11"/>
  <c r="J1653" i="11"/>
  <c r="J1651" i="11"/>
  <c r="J1649" i="11"/>
  <c r="J3484" i="11"/>
  <c r="J2402" i="11"/>
  <c r="J2394" i="11"/>
  <c r="J2386" i="11"/>
  <c r="J2036" i="11"/>
  <c r="J2020" i="11"/>
  <c r="J1668" i="11"/>
  <c r="J1652" i="11"/>
  <c r="J2038" i="11"/>
  <c r="J2022" i="11"/>
  <c r="J1670" i="11"/>
  <c r="J1654" i="11"/>
  <c r="J2404" i="11"/>
  <c r="J2396" i="11"/>
  <c r="J2388" i="11"/>
  <c r="J2380" i="11"/>
  <c r="J2040" i="11"/>
  <c r="J2024" i="11"/>
  <c r="J1672" i="11"/>
  <c r="J1656" i="11"/>
  <c r="J2042" i="11"/>
  <c r="J2026" i="11"/>
  <c r="J1674" i="11"/>
  <c r="J1658" i="11"/>
  <c r="J2406" i="11"/>
  <c r="J2398" i="11"/>
  <c r="J2390" i="11"/>
  <c r="J2382" i="11"/>
  <c r="J2044" i="11"/>
  <c r="J2028" i="11"/>
  <c r="J1676" i="11"/>
  <c r="J1660" i="11"/>
  <c r="J2030" i="11"/>
  <c r="J2014" i="11"/>
  <c r="J1678" i="11"/>
  <c r="J1662" i="11"/>
  <c r="J2408" i="11"/>
  <c r="J2400" i="11"/>
  <c r="J2392" i="11"/>
  <c r="J2384" i="11"/>
  <c r="J2032" i="11"/>
  <c r="J2016" i="11"/>
  <c r="J1664" i="11"/>
  <c r="J2018" i="11"/>
  <c r="J1666" i="11"/>
  <c r="J1314" i="11"/>
  <c r="J1312" i="11"/>
  <c r="J1310" i="11"/>
  <c r="J1308" i="11"/>
  <c r="J1306" i="11"/>
  <c r="J1304" i="11"/>
  <c r="J1302" i="11"/>
  <c r="J1300" i="11"/>
  <c r="J1298" i="11"/>
  <c r="J1296" i="11"/>
  <c r="J1294" i="11"/>
  <c r="J1292" i="11"/>
  <c r="J1290" i="11"/>
  <c r="J1288" i="11"/>
  <c r="J1286" i="11"/>
  <c r="J1284" i="11"/>
  <c r="J948" i="11"/>
  <c r="J946" i="11"/>
  <c r="J944" i="11"/>
  <c r="J942" i="11"/>
  <c r="J940" i="11"/>
  <c r="J938" i="11"/>
  <c r="J936" i="11"/>
  <c r="J934" i="11"/>
  <c r="J932" i="11"/>
  <c r="J930" i="11"/>
  <c r="J928" i="11"/>
  <c r="J926" i="11"/>
  <c r="J924" i="11"/>
  <c r="J922" i="11"/>
  <c r="J920" i="11"/>
  <c r="J918" i="11"/>
  <c r="J582" i="11"/>
  <c r="J580" i="11"/>
  <c r="J578" i="11"/>
  <c r="J576" i="11"/>
  <c r="J574" i="11"/>
  <c r="J572" i="11"/>
  <c r="J570" i="11"/>
  <c r="J568" i="11"/>
  <c r="J566" i="11"/>
  <c r="J564" i="11"/>
  <c r="J562" i="11"/>
  <c r="J560" i="11"/>
  <c r="J558" i="11"/>
  <c r="J1650" i="11"/>
  <c r="J1313" i="11"/>
  <c r="J1311" i="11"/>
  <c r="J1309" i="11"/>
  <c r="J1307" i="11"/>
  <c r="J1305" i="11"/>
  <c r="J1303" i="11"/>
  <c r="J1301" i="11"/>
  <c r="J1299" i="11"/>
  <c r="J1297" i="11"/>
  <c r="J1295" i="11"/>
  <c r="J1293" i="11"/>
  <c r="J1291" i="11"/>
  <c r="J1289" i="11"/>
  <c r="J1287" i="11"/>
  <c r="J1285" i="11"/>
  <c r="J947" i="11"/>
  <c r="J945" i="11"/>
  <c r="J943" i="11"/>
  <c r="J941" i="11"/>
  <c r="J939" i="11"/>
  <c r="J937" i="11"/>
  <c r="J935" i="11"/>
  <c r="J933" i="11"/>
  <c r="J931" i="11"/>
  <c r="J929" i="11"/>
  <c r="J927" i="11"/>
  <c r="J925" i="11"/>
  <c r="J923" i="11"/>
  <c r="J921" i="11"/>
  <c r="J919" i="11"/>
  <c r="J2034" i="11"/>
  <c r="J5850" i="11"/>
  <c r="J5849" i="11"/>
  <c r="J5847" i="11"/>
  <c r="J5845" i="11"/>
  <c r="J5843" i="11"/>
  <c r="J5841" i="11"/>
  <c r="J5839" i="11"/>
  <c r="J5837" i="11"/>
  <c r="J5835" i="11"/>
  <c r="J5833" i="11"/>
  <c r="J5831" i="11"/>
  <c r="J5829" i="11"/>
  <c r="J5827" i="11"/>
  <c r="J5825" i="11"/>
  <c r="J5823" i="11"/>
  <c r="J5821" i="11"/>
  <c r="J5848" i="11"/>
  <c r="J5844" i="11"/>
  <c r="J5840" i="11"/>
  <c r="J5836" i="11"/>
  <c r="J5832" i="11"/>
  <c r="J5828" i="11"/>
  <c r="J5824" i="11"/>
  <c r="J5820" i="11"/>
  <c r="J5846" i="11"/>
  <c r="J5842" i="11"/>
  <c r="J5838" i="11"/>
  <c r="J5834" i="11"/>
  <c r="J5830" i="11"/>
  <c r="J5826" i="11"/>
  <c r="J5822" i="11"/>
  <c r="J5483" i="11"/>
  <c r="J5481" i="11"/>
  <c r="J5479" i="11"/>
  <c r="J5477" i="11"/>
  <c r="J5475" i="11"/>
  <c r="J5473" i="11"/>
  <c r="J5471" i="11"/>
  <c r="J5469" i="11"/>
  <c r="J5467" i="11"/>
  <c r="J5465" i="11"/>
  <c r="J5463" i="11"/>
  <c r="J5461" i="11"/>
  <c r="J5459" i="11"/>
  <c r="J5457" i="11"/>
  <c r="J5455" i="11"/>
  <c r="J5484" i="11"/>
  <c r="J5482" i="11"/>
  <c r="J5480" i="11"/>
  <c r="J5478" i="11"/>
  <c r="J5476" i="11"/>
  <c r="J5474" i="11"/>
  <c r="J5472" i="11"/>
  <c r="J5470" i="11"/>
  <c r="J5468" i="11"/>
  <c r="J5466" i="11"/>
  <c r="J5464" i="11"/>
  <c r="J5462" i="11"/>
  <c r="J5460" i="11"/>
  <c r="J5458" i="11"/>
  <c r="J5456" i="11"/>
  <c r="J5454" i="11"/>
  <c r="J5113" i="11"/>
  <c r="J5104" i="11"/>
  <c r="J5102" i="11"/>
  <c r="J5100" i="11"/>
  <c r="J5098" i="11"/>
  <c r="J5096" i="11"/>
  <c r="J5094" i="11"/>
  <c r="J5092" i="11"/>
  <c r="J5090" i="11"/>
  <c r="J5115" i="11"/>
  <c r="J5106" i="11"/>
  <c r="J5117" i="11"/>
  <c r="J5108" i="11"/>
  <c r="J5114" i="11"/>
  <c r="J5107" i="11"/>
  <c r="J5116" i="11"/>
  <c r="J5109" i="11"/>
  <c r="J5091" i="11"/>
  <c r="J5110" i="11"/>
  <c r="J5101" i="11"/>
  <c r="J5118" i="11"/>
  <c r="J5095" i="11"/>
  <c r="J4754" i="11"/>
  <c r="J4752" i="11"/>
  <c r="J4750" i="11"/>
  <c r="J4748" i="11"/>
  <c r="J4746" i="11"/>
  <c r="J4744" i="11"/>
  <c r="J4742" i="11"/>
  <c r="J4740" i="11"/>
  <c r="J4738" i="11"/>
  <c r="J4736" i="11"/>
  <c r="J4734" i="11"/>
  <c r="J4732" i="11"/>
  <c r="J4730" i="11"/>
  <c r="J4728" i="11"/>
  <c r="J4726" i="11"/>
  <c r="J4724" i="11"/>
  <c r="J5105" i="11"/>
  <c r="J5089" i="11"/>
  <c r="J5099" i="11"/>
  <c r="J5112" i="11"/>
  <c r="J5093" i="11"/>
  <c r="J5103" i="11"/>
  <c r="J4753" i="11"/>
  <c r="J4751" i="11"/>
  <c r="J4749" i="11"/>
  <c r="J4747" i="11"/>
  <c r="J4745" i="11"/>
  <c r="J4743" i="11"/>
  <c r="J4741" i="11"/>
  <c r="J4739" i="11"/>
  <c r="J4737" i="11"/>
  <c r="J4735" i="11"/>
  <c r="J4733" i="11"/>
  <c r="J4731" i="11"/>
  <c r="J4729" i="11"/>
  <c r="J4727" i="11"/>
  <c r="J4725" i="11"/>
  <c r="J5119" i="11"/>
  <c r="J5097" i="11"/>
  <c r="J5111" i="11"/>
  <c r="J4389" i="11"/>
  <c r="J4387" i="11"/>
  <c r="J4385" i="11"/>
  <c r="J4383" i="11"/>
  <c r="J4381" i="11"/>
  <c r="J4379" i="11"/>
  <c r="J4377" i="11"/>
  <c r="J4375" i="11"/>
  <c r="J4373" i="11"/>
  <c r="J4371" i="11"/>
  <c r="J4369" i="11"/>
  <c r="J4367" i="11"/>
  <c r="J4365" i="11"/>
  <c r="J4363" i="11"/>
  <c r="J4361" i="11"/>
  <c r="J4359" i="11"/>
  <c r="J4388" i="11"/>
  <c r="J4386" i="11"/>
  <c r="J4384" i="11"/>
  <c r="J4382" i="11"/>
  <c r="J4380" i="11"/>
  <c r="J4378" i="11"/>
  <c r="J4376" i="11"/>
  <c r="J4374" i="11"/>
  <c r="J4372" i="11"/>
  <c r="J4370" i="11"/>
  <c r="J4368" i="11"/>
  <c r="J4366" i="11"/>
  <c r="J4364" i="11"/>
  <c r="J4362" i="11"/>
  <c r="J4360" i="11"/>
  <c r="J4022" i="11"/>
  <c r="J4020" i="11"/>
  <c r="J4018" i="11"/>
  <c r="J4016" i="11"/>
  <c r="J4014" i="11"/>
  <c r="J4012" i="11"/>
  <c r="J4010" i="11"/>
  <c r="J4008" i="11"/>
  <c r="J4006" i="11"/>
  <c r="J4004" i="11"/>
  <c r="J4002" i="11"/>
  <c r="J4000" i="11"/>
  <c r="J3998" i="11"/>
  <c r="J3996" i="11"/>
  <c r="J3994" i="11"/>
  <c r="J4023" i="11"/>
  <c r="J4021" i="11"/>
  <c r="J4019" i="11"/>
  <c r="J4017" i="11"/>
  <c r="J4015" i="11"/>
  <c r="J4013" i="11"/>
  <c r="J4011" i="11"/>
  <c r="J4009" i="11"/>
  <c r="J4007" i="11"/>
  <c r="J4005" i="11"/>
  <c r="J4003" i="11"/>
  <c r="J4001" i="11"/>
  <c r="J3999" i="11"/>
  <c r="J3997" i="11"/>
  <c r="J3995" i="11"/>
  <c r="J3993" i="11"/>
  <c r="J3657" i="11"/>
  <c r="J3655" i="11"/>
  <c r="J3653" i="11"/>
  <c r="J3651" i="11"/>
  <c r="J3649" i="11"/>
  <c r="J3647" i="11"/>
  <c r="J3645" i="11"/>
  <c r="J3643" i="11"/>
  <c r="J3641" i="11"/>
  <c r="J3639" i="11"/>
  <c r="J3637" i="11"/>
  <c r="J3635" i="11"/>
  <c r="J3633" i="11"/>
  <c r="J3631" i="11"/>
  <c r="J3629" i="11"/>
  <c r="J3293" i="11"/>
  <c r="J3291" i="11"/>
  <c r="J3289" i="11"/>
  <c r="J3287" i="11"/>
  <c r="J3285" i="11"/>
  <c r="J3283" i="11"/>
  <c r="J3281" i="11"/>
  <c r="J3279" i="11"/>
  <c r="J3277" i="11"/>
  <c r="J3275" i="11"/>
  <c r="J3273" i="11"/>
  <c r="J3271" i="11"/>
  <c r="J3269" i="11"/>
  <c r="J3267" i="11"/>
  <c r="J3265" i="11"/>
  <c r="J3263" i="11"/>
  <c r="J3648" i="11"/>
  <c r="J3640" i="11"/>
  <c r="J3632" i="11"/>
  <c r="J3656" i="11"/>
  <c r="J3650" i="11"/>
  <c r="J3642" i="11"/>
  <c r="J3634" i="11"/>
  <c r="J3292" i="11"/>
  <c r="J3290" i="11"/>
  <c r="J3288" i="11"/>
  <c r="J3286" i="11"/>
  <c r="J3284" i="11"/>
  <c r="J3282" i="11"/>
  <c r="J3280" i="11"/>
  <c r="J3278" i="11"/>
  <c r="J3276" i="11"/>
  <c r="J3274" i="11"/>
  <c r="J3272" i="11"/>
  <c r="J3270" i="11"/>
  <c r="J3268" i="11"/>
  <c r="J3266" i="11"/>
  <c r="J3264" i="11"/>
  <c r="J3658" i="11"/>
  <c r="J3652" i="11"/>
  <c r="J3644" i="11"/>
  <c r="J3636" i="11"/>
  <c r="J3628" i="11"/>
  <c r="J3630" i="11"/>
  <c r="J2927" i="11"/>
  <c r="J2925" i="11"/>
  <c r="J2923" i="11"/>
  <c r="J2921" i="11"/>
  <c r="J2919" i="11"/>
  <c r="J2917" i="11"/>
  <c r="J2915" i="11"/>
  <c r="J2913" i="11"/>
  <c r="J2911" i="11"/>
  <c r="J2909" i="11"/>
  <c r="J2907" i="11"/>
  <c r="J2905" i="11"/>
  <c r="J2903" i="11"/>
  <c r="J2901" i="11"/>
  <c r="J2899" i="11"/>
  <c r="J2561" i="11"/>
  <c r="J2559" i="11"/>
  <c r="J2557" i="11"/>
  <c r="J2555" i="11"/>
  <c r="J2553" i="11"/>
  <c r="J2551" i="11"/>
  <c r="J2549" i="11"/>
  <c r="J2547" i="11"/>
  <c r="J2545" i="11"/>
  <c r="J2543" i="11"/>
  <c r="J3654" i="11"/>
  <c r="J3638" i="11"/>
  <c r="J2928" i="11"/>
  <c r="J2926" i="11"/>
  <c r="J2924" i="11"/>
  <c r="J2922" i="11"/>
  <c r="J2920" i="11"/>
  <c r="J2918" i="11"/>
  <c r="J2916" i="11"/>
  <c r="J2914" i="11"/>
  <c r="J2912" i="11"/>
  <c r="J2910" i="11"/>
  <c r="J2908" i="11"/>
  <c r="J2906" i="11"/>
  <c r="J2904" i="11"/>
  <c r="J2902" i="11"/>
  <c r="J2900" i="11"/>
  <c r="J2898" i="11"/>
  <c r="J2562" i="11"/>
  <c r="J2560" i="11"/>
  <c r="J2558" i="11"/>
  <c r="J2556" i="11"/>
  <c r="J2554" i="11"/>
  <c r="J2552" i="11"/>
  <c r="J3646" i="11"/>
  <c r="J2550" i="11"/>
  <c r="J2541" i="11"/>
  <c r="J2539" i="11"/>
  <c r="J2537" i="11"/>
  <c r="J2535" i="11"/>
  <c r="J2533" i="11"/>
  <c r="J2197" i="11"/>
  <c r="J2195" i="11"/>
  <c r="J2193" i="11"/>
  <c r="J2191" i="11"/>
  <c r="J2189" i="11"/>
  <c r="J2187" i="11"/>
  <c r="J2185" i="11"/>
  <c r="J2183" i="11"/>
  <c r="J2181" i="11"/>
  <c r="J2179" i="11"/>
  <c r="J2177" i="11"/>
  <c r="J2175" i="11"/>
  <c r="J2173" i="11"/>
  <c r="J2171" i="11"/>
  <c r="J2169" i="11"/>
  <c r="J2167" i="11"/>
  <c r="J1831" i="11"/>
  <c r="J1829" i="11"/>
  <c r="J1827" i="11"/>
  <c r="J1825" i="11"/>
  <c r="J1823" i="11"/>
  <c r="J1821" i="11"/>
  <c r="J1819" i="11"/>
  <c r="J1817" i="11"/>
  <c r="J1815" i="11"/>
  <c r="J1813" i="11"/>
  <c r="J1811" i="11"/>
  <c r="J1809" i="11"/>
  <c r="J1807" i="11"/>
  <c r="J1805" i="11"/>
  <c r="J1803" i="11"/>
  <c r="J1467" i="11"/>
  <c r="J1465" i="11"/>
  <c r="J1463" i="11"/>
  <c r="J1461" i="11"/>
  <c r="J1459" i="11"/>
  <c r="J1457" i="11"/>
  <c r="J1455" i="11"/>
  <c r="J1453" i="11"/>
  <c r="J1451" i="11"/>
  <c r="J1449" i="11"/>
  <c r="J1447" i="11"/>
  <c r="J1445" i="11"/>
  <c r="J1443" i="11"/>
  <c r="J1441" i="11"/>
  <c r="J1439" i="11"/>
  <c r="J1437" i="11"/>
  <c r="J2544" i="11"/>
  <c r="J2546" i="11"/>
  <c r="J2186" i="11"/>
  <c r="J2170" i="11"/>
  <c r="J1828" i="11"/>
  <c r="J1812" i="11"/>
  <c r="J2534" i="11"/>
  <c r="J2188" i="11"/>
  <c r="J2172" i="11"/>
  <c r="J1830" i="11"/>
  <c r="J1814" i="11"/>
  <c r="J1462" i="11"/>
  <c r="J1446" i="11"/>
  <c r="J2540" i="11"/>
  <c r="J2190" i="11"/>
  <c r="J2174" i="11"/>
  <c r="J1832" i="11"/>
  <c r="J1816" i="11"/>
  <c r="J1464" i="11"/>
  <c r="J1448" i="11"/>
  <c r="J2192" i="11"/>
  <c r="J2176" i="11"/>
  <c r="J1818" i="11"/>
  <c r="J1802" i="11"/>
  <c r="J1466" i="11"/>
  <c r="J1450" i="11"/>
  <c r="J2536" i="11"/>
  <c r="J2194" i="11"/>
  <c r="J2178" i="11"/>
  <c r="J1820" i="11"/>
  <c r="J1804" i="11"/>
  <c r="J2542" i="11"/>
  <c r="J2196" i="11"/>
  <c r="J2180" i="11"/>
  <c r="J1822" i="11"/>
  <c r="J1806" i="11"/>
  <c r="J2532" i="11"/>
  <c r="J2182" i="11"/>
  <c r="J1824" i="11"/>
  <c r="J1808" i="11"/>
  <c r="J1456" i="11"/>
  <c r="J1440" i="11"/>
  <c r="J2548" i="11"/>
  <c r="J2538" i="11"/>
  <c r="J2184" i="11"/>
  <c r="J2168" i="11"/>
  <c r="J1454" i="11"/>
  <c r="J1100" i="11"/>
  <c r="J1098" i="11"/>
  <c r="J1096" i="11"/>
  <c r="J1094" i="11"/>
  <c r="J1092" i="11"/>
  <c r="J1090" i="11"/>
  <c r="J1088" i="11"/>
  <c r="J1086" i="11"/>
  <c r="J1084" i="11"/>
  <c r="J1082" i="11"/>
  <c r="J1080" i="11"/>
  <c r="J1078" i="11"/>
  <c r="J1076" i="11"/>
  <c r="J1074" i="11"/>
  <c r="J1072" i="11"/>
  <c r="J736" i="11"/>
  <c r="J734" i="11"/>
  <c r="J732" i="11"/>
  <c r="J730" i="11"/>
  <c r="J728" i="11"/>
  <c r="J726" i="11"/>
  <c r="J724" i="11"/>
  <c r="J722" i="11"/>
  <c r="J720" i="11"/>
  <c r="J718" i="11"/>
  <c r="J716" i="11"/>
  <c r="J714" i="11"/>
  <c r="J712" i="11"/>
  <c r="J710" i="11"/>
  <c r="J708" i="11"/>
  <c r="J706" i="11"/>
  <c r="J1442" i="11"/>
  <c r="J1444" i="11"/>
  <c r="J1826" i="11"/>
  <c r="J1438" i="11"/>
  <c r="J1101" i="11"/>
  <c r="J1099" i="11"/>
  <c r="J1097" i="11"/>
  <c r="J1095" i="11"/>
  <c r="J1093" i="11"/>
  <c r="J1091" i="11"/>
  <c r="J1089" i="11"/>
  <c r="J1087" i="11"/>
  <c r="J1085" i="11"/>
  <c r="J1083" i="11"/>
  <c r="J1081" i="11"/>
  <c r="J1079" i="11"/>
  <c r="J1077" i="11"/>
  <c r="J1075" i="11"/>
  <c r="J1073" i="11"/>
  <c r="J1071" i="11"/>
  <c r="J735" i="11"/>
  <c r="J733" i="11"/>
  <c r="J731" i="11"/>
  <c r="J729" i="11"/>
  <c r="J727" i="11"/>
  <c r="J725" i="11"/>
  <c r="J723" i="11"/>
  <c r="J721" i="11"/>
  <c r="J719" i="11"/>
  <c r="J717" i="11"/>
  <c r="J1458" i="11"/>
  <c r="J1452" i="11"/>
  <c r="J1810" i="11"/>
  <c r="J571" i="11"/>
  <c r="I585" i="11"/>
  <c r="I594" i="11"/>
  <c r="I601" i="11"/>
  <c r="I610" i="11"/>
  <c r="H647" i="11"/>
  <c r="H656" i="11"/>
  <c r="H663" i="11"/>
  <c r="H672" i="11"/>
  <c r="I706" i="11"/>
  <c r="I713" i="11"/>
  <c r="J715" i="11"/>
  <c r="I723" i="11"/>
  <c r="I731" i="11"/>
  <c r="H774" i="11"/>
  <c r="H782" i="11"/>
  <c r="H790" i="11"/>
  <c r="I827" i="11"/>
  <c r="I835" i="11"/>
  <c r="I843" i="11"/>
  <c r="I851" i="11"/>
  <c r="H894" i="11"/>
  <c r="H902" i="11"/>
  <c r="H910" i="11"/>
  <c r="I955" i="11"/>
  <c r="I963" i="11"/>
  <c r="I971" i="11"/>
  <c r="I979" i="11"/>
  <c r="H1014" i="11"/>
  <c r="H1022" i="11"/>
  <c r="H1030" i="11"/>
  <c r="H1038" i="11"/>
  <c r="I1075" i="11"/>
  <c r="I1083" i="11"/>
  <c r="I1091" i="11"/>
  <c r="I1099" i="11"/>
  <c r="I1196" i="11"/>
  <c r="I1204" i="11"/>
  <c r="I1220" i="11"/>
  <c r="I1323" i="11"/>
  <c r="I1449" i="11"/>
  <c r="C8" i="9"/>
  <c r="D8" i="9" s="1"/>
  <c r="H5514" i="11"/>
  <c r="H5512" i="11"/>
  <c r="H5510" i="11"/>
  <c r="H5508" i="11"/>
  <c r="H5506" i="11"/>
  <c r="H5504" i="11"/>
  <c r="H5502" i="11"/>
  <c r="H5500" i="11"/>
  <c r="H5498" i="11"/>
  <c r="H5496" i="11"/>
  <c r="H5494" i="11"/>
  <c r="H5490" i="11"/>
  <c r="H5513" i="11"/>
  <c r="H5505" i="11"/>
  <c r="H5497" i="11"/>
  <c r="H5492" i="11"/>
  <c r="H5509" i="11"/>
  <c r="H5501" i="11"/>
  <c r="H5493" i="11"/>
  <c r="H5499" i="11"/>
  <c r="H5503" i="11"/>
  <c r="H5486" i="11"/>
  <c r="H5507" i="11"/>
  <c r="H5511" i="11"/>
  <c r="H5489" i="11"/>
  <c r="H5485" i="11"/>
  <c r="H5515" i="11"/>
  <c r="H5488" i="11"/>
  <c r="H5491" i="11"/>
  <c r="H5495" i="11"/>
  <c r="H5487" i="11"/>
  <c r="H5141" i="11"/>
  <c r="H5134" i="11"/>
  <c r="H5125" i="11"/>
  <c r="H5150" i="11"/>
  <c r="H5143" i="11"/>
  <c r="H5136" i="11"/>
  <c r="H5127" i="11"/>
  <c r="H5120" i="11"/>
  <c r="H5145" i="11"/>
  <c r="H5138" i="11"/>
  <c r="H5129" i="11"/>
  <c r="H5122" i="11"/>
  <c r="H5144" i="11"/>
  <c r="H5135" i="11"/>
  <c r="H5128" i="11"/>
  <c r="H5146" i="11"/>
  <c r="H5137" i="11"/>
  <c r="H5130" i="11"/>
  <c r="H5121" i="11"/>
  <c r="H5140" i="11"/>
  <c r="H5132" i="11"/>
  <c r="H5148" i="11"/>
  <c r="H5123" i="11"/>
  <c r="H5139" i="11"/>
  <c r="H5131" i="11"/>
  <c r="H5147" i="11"/>
  <c r="H5126" i="11"/>
  <c r="H5142" i="11"/>
  <c r="H5133" i="11"/>
  <c r="H4776" i="11"/>
  <c r="H4773" i="11"/>
  <c r="H4755" i="11"/>
  <c r="H5149" i="11"/>
  <c r="H4782" i="11"/>
  <c r="H4779" i="11"/>
  <c r="H4766" i="11"/>
  <c r="H4763" i="11"/>
  <c r="H4760" i="11"/>
  <c r="H4785" i="11"/>
  <c r="H4772" i="11"/>
  <c r="H4769" i="11"/>
  <c r="H4757" i="11"/>
  <c r="H4778" i="11"/>
  <c r="H4775" i="11"/>
  <c r="H4762" i="11"/>
  <c r="H5124" i="11"/>
  <c r="H4784" i="11"/>
  <c r="H4781" i="11"/>
  <c r="H4768" i="11"/>
  <c r="H4765" i="11"/>
  <c r="H4759" i="11"/>
  <c r="H4774" i="11"/>
  <c r="H4771" i="11"/>
  <c r="H4756" i="11"/>
  <c r="H4780" i="11"/>
  <c r="H4777" i="11"/>
  <c r="H4764" i="11"/>
  <c r="H4761" i="11"/>
  <c r="H4767" i="11"/>
  <c r="H4758" i="11"/>
  <c r="H4419" i="11"/>
  <c r="H4417" i="11"/>
  <c r="H4415" i="11"/>
  <c r="H4413" i="11"/>
  <c r="H4411" i="11"/>
  <c r="H4409" i="11"/>
  <c r="H4407" i="11"/>
  <c r="H4405" i="11"/>
  <c r="H4403" i="11"/>
  <c r="H4401" i="11"/>
  <c r="H4399" i="11"/>
  <c r="H4397" i="11"/>
  <c r="H4395" i="11"/>
  <c r="H4393" i="11"/>
  <c r="H4391" i="11"/>
  <c r="H4770" i="11"/>
  <c r="H4783" i="11"/>
  <c r="H4420" i="11"/>
  <c r="H4418" i="11"/>
  <c r="H4416" i="11"/>
  <c r="H4414" i="11"/>
  <c r="H4412" i="11"/>
  <c r="H4410" i="11"/>
  <c r="H4408" i="11"/>
  <c r="H4406" i="11"/>
  <c r="H4404" i="11"/>
  <c r="H4402" i="11"/>
  <c r="H4400" i="11"/>
  <c r="H4398" i="11"/>
  <c r="H4396" i="11"/>
  <c r="H4394" i="11"/>
  <c r="H4392" i="11"/>
  <c r="H4390" i="11"/>
  <c r="H4054" i="11"/>
  <c r="H4052" i="11"/>
  <c r="H4050" i="11"/>
  <c r="H4048" i="11"/>
  <c r="H4046" i="11"/>
  <c r="H4044" i="11"/>
  <c r="H4042" i="11"/>
  <c r="H4040" i="11"/>
  <c r="H4038" i="11"/>
  <c r="H4036" i="11"/>
  <c r="H4034" i="11"/>
  <c r="H4032" i="11"/>
  <c r="H4030" i="11"/>
  <c r="H4028" i="11"/>
  <c r="H4026" i="11"/>
  <c r="H4024" i="11"/>
  <c r="H4037" i="11"/>
  <c r="H4051" i="11"/>
  <c r="H4047" i="11"/>
  <c r="H4043" i="11"/>
  <c r="H4027" i="11"/>
  <c r="H3688" i="11"/>
  <c r="H3686" i="11"/>
  <c r="H3684" i="11"/>
  <c r="H3682" i="11"/>
  <c r="H3680" i="11"/>
  <c r="H3678" i="11"/>
  <c r="H3676" i="11"/>
  <c r="H3674" i="11"/>
  <c r="H3672" i="11"/>
  <c r="H3670" i="11"/>
  <c r="H3668" i="11"/>
  <c r="H3666" i="11"/>
  <c r="H3664" i="11"/>
  <c r="H3662" i="11"/>
  <c r="H3660" i="11"/>
  <c r="H4033" i="11"/>
  <c r="H4039" i="11"/>
  <c r="H4029" i="11"/>
  <c r="H4053" i="11"/>
  <c r="H4049" i="11"/>
  <c r="H4045" i="11"/>
  <c r="H4035" i="11"/>
  <c r="H4041" i="11"/>
  <c r="H4025" i="11"/>
  <c r="H3689" i="11"/>
  <c r="H3673" i="11"/>
  <c r="H3322" i="11"/>
  <c r="H3315" i="11"/>
  <c r="H3306" i="11"/>
  <c r="H3679" i="11"/>
  <c r="H3663" i="11"/>
  <c r="H3324" i="11"/>
  <c r="H3317" i="11"/>
  <c r="H3308" i="11"/>
  <c r="H3685" i="11"/>
  <c r="H3669" i="11"/>
  <c r="H3319" i="11"/>
  <c r="H3310" i="11"/>
  <c r="H3303" i="11"/>
  <c r="H3301" i="11"/>
  <c r="H3299" i="11"/>
  <c r="H3297" i="11"/>
  <c r="H3295" i="11"/>
  <c r="H4031" i="11"/>
  <c r="H3675" i="11"/>
  <c r="H3659" i="11"/>
  <c r="H3321" i="11"/>
  <c r="H3312" i="11"/>
  <c r="H3305" i="11"/>
  <c r="H3681" i="11"/>
  <c r="H3665" i="11"/>
  <c r="H3323" i="11"/>
  <c r="H3314" i="11"/>
  <c r="H3307" i="11"/>
  <c r="H3687" i="11"/>
  <c r="H3671" i="11"/>
  <c r="H3316" i="11"/>
  <c r="H3309" i="11"/>
  <c r="H3677" i="11"/>
  <c r="H3661" i="11"/>
  <c r="H3318" i="11"/>
  <c r="H3311" i="11"/>
  <c r="H3302" i="11"/>
  <c r="H3300" i="11"/>
  <c r="H3298" i="11"/>
  <c r="H3296" i="11"/>
  <c r="H3294" i="11"/>
  <c r="H3667" i="11"/>
  <c r="H3304" i="11"/>
  <c r="H2959" i="11"/>
  <c r="H2957" i="11"/>
  <c r="H2955" i="11"/>
  <c r="H2953" i="11"/>
  <c r="H2951" i="11"/>
  <c r="H2949" i="11"/>
  <c r="H2947" i="11"/>
  <c r="H2945" i="11"/>
  <c r="H2943" i="11"/>
  <c r="H2941" i="11"/>
  <c r="H2939" i="11"/>
  <c r="H2937" i="11"/>
  <c r="H2935" i="11"/>
  <c r="H2933" i="11"/>
  <c r="H2931" i="11"/>
  <c r="H2929" i="11"/>
  <c r="H3320" i="11"/>
  <c r="H3683" i="11"/>
  <c r="H3313" i="11"/>
  <c r="H2958" i="11"/>
  <c r="H2942" i="11"/>
  <c r="H2593" i="11"/>
  <c r="H2585" i="11"/>
  <c r="H2577" i="11"/>
  <c r="H2569" i="11"/>
  <c r="H2948" i="11"/>
  <c r="H2932" i="11"/>
  <c r="H2590" i="11"/>
  <c r="H2582" i="11"/>
  <c r="H2574" i="11"/>
  <c r="H2566" i="11"/>
  <c r="H2954" i="11"/>
  <c r="H2938" i="11"/>
  <c r="H2587" i="11"/>
  <c r="H2579" i="11"/>
  <c r="H2571" i="11"/>
  <c r="H2563" i="11"/>
  <c r="H2227" i="11"/>
  <c r="H2225" i="11"/>
  <c r="H2223" i="11"/>
  <c r="H2221" i="11"/>
  <c r="H2219" i="11"/>
  <c r="H2217" i="11"/>
  <c r="H2215" i="11"/>
  <c r="H2213" i="11"/>
  <c r="H2211" i="11"/>
  <c r="H2209" i="11"/>
  <c r="H2207" i="11"/>
  <c r="H2205" i="11"/>
  <c r="H2203" i="11"/>
  <c r="H2201" i="11"/>
  <c r="H2199" i="11"/>
  <c r="H2944" i="11"/>
  <c r="H2592" i="11"/>
  <c r="H2584" i="11"/>
  <c r="H2576" i="11"/>
  <c r="H2568" i="11"/>
  <c r="H2956" i="11"/>
  <c r="H2940" i="11"/>
  <c r="H2586" i="11"/>
  <c r="H2578" i="11"/>
  <c r="H2570" i="11"/>
  <c r="H2946" i="11"/>
  <c r="H2930" i="11"/>
  <c r="H2591" i="11"/>
  <c r="H2583" i="11"/>
  <c r="H2575" i="11"/>
  <c r="H2567" i="11"/>
  <c r="H2936" i="11"/>
  <c r="H2222" i="11"/>
  <c r="H2214" i="11"/>
  <c r="H2206" i="11"/>
  <c r="H2198" i="11"/>
  <c r="H1856" i="11"/>
  <c r="H1849" i="11"/>
  <c r="H1840" i="11"/>
  <c r="H1833" i="11"/>
  <c r="H2581" i="11"/>
  <c r="H2565" i="11"/>
  <c r="H1858" i="11"/>
  <c r="H1851" i="11"/>
  <c r="H1842" i="11"/>
  <c r="H1835" i="11"/>
  <c r="H1490" i="11"/>
  <c r="H1483" i="11"/>
  <c r="H1474" i="11"/>
  <c r="H2952" i="11"/>
  <c r="H2224" i="11"/>
  <c r="H2216" i="11"/>
  <c r="H2208" i="11"/>
  <c r="H2200" i="11"/>
  <c r="H1860" i="11"/>
  <c r="H1853" i="11"/>
  <c r="H1844" i="11"/>
  <c r="H1837" i="11"/>
  <c r="H1492" i="11"/>
  <c r="H1485" i="11"/>
  <c r="H1476" i="11"/>
  <c r="H1469" i="11"/>
  <c r="H2934" i="11"/>
  <c r="H2580" i="11"/>
  <c r="H2564" i="11"/>
  <c r="H1862" i="11"/>
  <c r="H1855" i="11"/>
  <c r="H1846" i="11"/>
  <c r="H1839" i="11"/>
  <c r="H1494" i="11"/>
  <c r="H1487" i="11"/>
  <c r="H1478" i="11"/>
  <c r="H1471" i="11"/>
  <c r="H2226" i="11"/>
  <c r="H2218" i="11"/>
  <c r="H2210" i="11"/>
  <c r="H2202" i="11"/>
  <c r="H1857" i="11"/>
  <c r="H1848" i="11"/>
  <c r="H1841" i="11"/>
  <c r="H2950" i="11"/>
  <c r="H2589" i="11"/>
  <c r="H2573" i="11"/>
  <c r="H1859" i="11"/>
  <c r="H1850" i="11"/>
  <c r="H1843" i="11"/>
  <c r="H1834" i="11"/>
  <c r="H1498" i="11"/>
  <c r="H1491" i="11"/>
  <c r="H2228" i="11"/>
  <c r="H2220" i="11"/>
  <c r="H2212" i="11"/>
  <c r="H2204" i="11"/>
  <c r="H1861" i="11"/>
  <c r="H1852" i="11"/>
  <c r="H1845" i="11"/>
  <c r="H1836" i="11"/>
  <c r="H1493" i="11"/>
  <c r="H1484" i="11"/>
  <c r="H1477" i="11"/>
  <c r="H1468" i="11"/>
  <c r="H2588" i="11"/>
  <c r="H2572" i="11"/>
  <c r="H1838" i="11"/>
  <c r="H1496" i="11"/>
  <c r="H1488" i="11"/>
  <c r="H1473" i="11"/>
  <c r="H1480" i="11"/>
  <c r="H1495" i="11"/>
  <c r="H1132" i="11"/>
  <c r="H1130" i="11"/>
  <c r="H1128" i="11"/>
  <c r="H1126" i="11"/>
  <c r="H1124" i="11"/>
  <c r="H1122" i="11"/>
  <c r="H1120" i="11"/>
  <c r="H1118" i="11"/>
  <c r="H1116" i="11"/>
  <c r="H1114" i="11"/>
  <c r="H1112" i="11"/>
  <c r="H1110" i="11"/>
  <c r="H1108" i="11"/>
  <c r="H1106" i="11"/>
  <c r="H1104" i="11"/>
  <c r="H1102" i="11"/>
  <c r="H1854" i="11"/>
  <c r="H1486" i="11"/>
  <c r="H1479" i="11"/>
  <c r="H1475" i="11"/>
  <c r="H1472" i="11"/>
  <c r="H1847" i="11"/>
  <c r="H1482" i="11"/>
  <c r="H1489" i="11"/>
  <c r="H1497" i="11"/>
  <c r="H1131" i="11"/>
  <c r="H1129" i="11"/>
  <c r="H1127" i="11"/>
  <c r="H1125" i="11"/>
  <c r="H1123" i="11"/>
  <c r="H1121" i="11"/>
  <c r="H1119" i="11"/>
  <c r="H1117" i="11"/>
  <c r="H1115" i="11"/>
  <c r="H1113" i="11"/>
  <c r="H1111" i="11"/>
  <c r="H1109" i="11"/>
  <c r="H1107" i="11"/>
  <c r="H1105" i="11"/>
  <c r="H1103" i="11"/>
  <c r="H1863" i="11"/>
  <c r="H5634" i="11"/>
  <c r="H5631" i="11"/>
  <c r="H5625" i="11"/>
  <c r="H5622" i="11"/>
  <c r="H5617" i="11"/>
  <c r="H5614" i="11"/>
  <c r="H5609" i="11"/>
  <c r="H5606" i="11"/>
  <c r="H5630" i="11"/>
  <c r="H5632" i="11"/>
  <c r="H5629" i="11"/>
  <c r="H5626" i="11"/>
  <c r="H5621" i="11"/>
  <c r="H5618" i="11"/>
  <c r="H5613" i="11"/>
  <c r="H5610" i="11"/>
  <c r="H5635" i="11"/>
  <c r="H5623" i="11"/>
  <c r="H5619" i="11"/>
  <c r="H5627" i="11"/>
  <c r="H5616" i="11"/>
  <c r="H5612" i="11"/>
  <c r="H5624" i="11"/>
  <c r="H5620" i="11"/>
  <c r="H5607" i="11"/>
  <c r="H5636" i="11"/>
  <c r="H5628" i="11"/>
  <c r="H5611" i="11"/>
  <c r="H5633" i="11"/>
  <c r="H5615" i="11"/>
  <c r="H5608" i="11"/>
  <c r="H5264" i="11"/>
  <c r="H5255" i="11"/>
  <c r="H5248" i="11"/>
  <c r="H5266" i="11"/>
  <c r="H5257" i="11"/>
  <c r="H5250" i="11"/>
  <c r="H5241" i="11"/>
  <c r="H5268" i="11"/>
  <c r="H5270" i="11"/>
  <c r="H5261" i="11"/>
  <c r="H5254" i="11"/>
  <c r="H5245" i="11"/>
  <c r="H5263" i="11"/>
  <c r="H5265" i="11"/>
  <c r="H5258" i="11"/>
  <c r="H5249" i="11"/>
  <c r="H5242" i="11"/>
  <c r="H5267" i="11"/>
  <c r="H5260" i="11"/>
  <c r="H5251" i="11"/>
  <c r="H5244" i="11"/>
  <c r="H5243" i="11"/>
  <c r="H5259" i="11"/>
  <c r="H5247" i="11"/>
  <c r="H5269" i="11"/>
  <c r="H5246" i="11"/>
  <c r="H5253" i="11"/>
  <c r="H5240" i="11"/>
  <c r="H4905" i="11"/>
  <c r="H4903" i="11"/>
  <c r="H4901" i="11"/>
  <c r="H4899" i="11"/>
  <c r="H4897" i="11"/>
  <c r="H4895" i="11"/>
  <c r="H4893" i="11"/>
  <c r="H4891" i="11"/>
  <c r="H4889" i="11"/>
  <c r="H4887" i="11"/>
  <c r="H4885" i="11"/>
  <c r="H4883" i="11"/>
  <c r="H4881" i="11"/>
  <c r="H4879" i="11"/>
  <c r="H4877" i="11"/>
  <c r="H4875" i="11"/>
  <c r="H5252" i="11"/>
  <c r="H5256" i="11"/>
  <c r="H4904" i="11"/>
  <c r="H4902" i="11"/>
  <c r="H4900" i="11"/>
  <c r="H4898" i="11"/>
  <c r="H4896" i="11"/>
  <c r="H4894" i="11"/>
  <c r="H4892" i="11"/>
  <c r="H4890" i="11"/>
  <c r="H4888" i="11"/>
  <c r="H4886" i="11"/>
  <c r="H4884" i="11"/>
  <c r="H4882" i="11"/>
  <c r="H4880" i="11"/>
  <c r="H4878" i="11"/>
  <c r="H4876" i="11"/>
  <c r="H5262" i="11"/>
  <c r="H4539" i="11"/>
  <c r="H4537" i="11"/>
  <c r="H4535" i="11"/>
  <c r="H4533" i="11"/>
  <c r="H4531" i="11"/>
  <c r="H4529" i="11"/>
  <c r="H4527" i="11"/>
  <c r="H4525" i="11"/>
  <c r="H4523" i="11"/>
  <c r="H4521" i="11"/>
  <c r="H4519" i="11"/>
  <c r="H4517" i="11"/>
  <c r="H4515" i="11"/>
  <c r="H4513" i="11"/>
  <c r="H4511" i="11"/>
  <c r="H4526" i="11"/>
  <c r="H4536" i="11"/>
  <c r="H4520" i="11"/>
  <c r="H4516" i="11"/>
  <c r="H4530" i="11"/>
  <c r="H4512" i="11"/>
  <c r="H4540" i="11"/>
  <c r="H4524" i="11"/>
  <c r="H4534" i="11"/>
  <c r="H4528" i="11"/>
  <c r="H4518" i="11"/>
  <c r="H4514" i="11"/>
  <c r="H4538" i="11"/>
  <c r="H4522" i="11"/>
  <c r="H4532" i="11"/>
  <c r="H4510" i="11"/>
  <c r="H4171" i="11"/>
  <c r="H4173" i="11"/>
  <c r="H4175" i="11"/>
  <c r="H4170" i="11"/>
  <c r="H4168" i="11"/>
  <c r="H4166" i="11"/>
  <c r="H4164" i="11"/>
  <c r="H4162" i="11"/>
  <c r="H4160" i="11"/>
  <c r="H4158" i="11"/>
  <c r="H4156" i="11"/>
  <c r="H4154" i="11"/>
  <c r="H4152" i="11"/>
  <c r="H4150" i="11"/>
  <c r="H4148" i="11"/>
  <c r="H4146" i="11"/>
  <c r="H4174" i="11"/>
  <c r="H4159" i="11"/>
  <c r="H4169" i="11"/>
  <c r="H4153" i="11"/>
  <c r="H3808" i="11"/>
  <c r="H3806" i="11"/>
  <c r="H3804" i="11"/>
  <c r="H3802" i="11"/>
  <c r="H3800" i="11"/>
  <c r="H3798" i="11"/>
  <c r="H3796" i="11"/>
  <c r="H3794" i="11"/>
  <c r="H3792" i="11"/>
  <c r="H3790" i="11"/>
  <c r="H3788" i="11"/>
  <c r="H3786" i="11"/>
  <c r="H3784" i="11"/>
  <c r="H3782" i="11"/>
  <c r="H3780" i="11"/>
  <c r="H4163" i="11"/>
  <c r="H4147" i="11"/>
  <c r="H4157" i="11"/>
  <c r="H4172" i="11"/>
  <c r="H4167" i="11"/>
  <c r="H4151" i="11"/>
  <c r="H4161" i="11"/>
  <c r="H4145" i="11"/>
  <c r="H3809" i="11"/>
  <c r="H3807" i="11"/>
  <c r="H3805" i="11"/>
  <c r="H3803" i="11"/>
  <c r="H3801" i="11"/>
  <c r="H3799" i="11"/>
  <c r="H3797" i="11"/>
  <c r="H3795" i="11"/>
  <c r="H3793" i="11"/>
  <c r="H3791" i="11"/>
  <c r="H3789" i="11"/>
  <c r="H3787" i="11"/>
  <c r="H3785" i="11"/>
  <c r="H3783" i="11"/>
  <c r="H3781" i="11"/>
  <c r="H3779" i="11"/>
  <c r="H4155" i="11"/>
  <c r="H3443" i="11"/>
  <c r="H3434" i="11"/>
  <c r="H3427" i="11"/>
  <c r="H3418" i="11"/>
  <c r="H3436" i="11"/>
  <c r="H3429" i="11"/>
  <c r="H3420" i="11"/>
  <c r="H3438" i="11"/>
  <c r="H3431" i="11"/>
  <c r="H3422" i="11"/>
  <c r="H3415" i="11"/>
  <c r="H3440" i="11"/>
  <c r="H3433" i="11"/>
  <c r="H3424" i="11"/>
  <c r="H3417" i="11"/>
  <c r="H4165" i="11"/>
  <c r="H3442" i="11"/>
  <c r="H3435" i="11"/>
  <c r="H3426" i="11"/>
  <c r="H3419" i="11"/>
  <c r="H4149" i="11"/>
  <c r="H3444" i="11"/>
  <c r="H3437" i="11"/>
  <c r="H3428" i="11"/>
  <c r="H3421" i="11"/>
  <c r="H3439" i="11"/>
  <c r="H3430" i="11"/>
  <c r="H3423" i="11"/>
  <c r="H3414" i="11"/>
  <c r="H3441" i="11"/>
  <c r="H3416" i="11"/>
  <c r="H3079" i="11"/>
  <c r="H3077" i="11"/>
  <c r="H3075" i="11"/>
  <c r="H3073" i="11"/>
  <c r="H3071" i="11"/>
  <c r="H3069" i="11"/>
  <c r="H3067" i="11"/>
  <c r="H3065" i="11"/>
  <c r="H3063" i="11"/>
  <c r="H3061" i="11"/>
  <c r="H3059" i="11"/>
  <c r="H3057" i="11"/>
  <c r="H3055" i="11"/>
  <c r="H3053" i="11"/>
  <c r="H3051" i="11"/>
  <c r="H3049" i="11"/>
  <c r="H3432" i="11"/>
  <c r="H3425" i="11"/>
  <c r="H2713" i="11"/>
  <c r="H2705" i="11"/>
  <c r="H2697" i="11"/>
  <c r="H2689" i="11"/>
  <c r="H2710" i="11"/>
  <c r="H2702" i="11"/>
  <c r="H2694" i="11"/>
  <c r="H2686" i="11"/>
  <c r="H2707" i="11"/>
  <c r="H2699" i="11"/>
  <c r="H2691" i="11"/>
  <c r="H2347" i="11"/>
  <c r="H2345" i="11"/>
  <c r="H2343" i="11"/>
  <c r="H2341" i="11"/>
  <c r="H2339" i="11"/>
  <c r="H2337" i="11"/>
  <c r="H2335" i="11"/>
  <c r="H2333" i="11"/>
  <c r="H2331" i="11"/>
  <c r="H2329" i="11"/>
  <c r="H2327" i="11"/>
  <c r="H2325" i="11"/>
  <c r="H2323" i="11"/>
  <c r="H2321" i="11"/>
  <c r="H2319" i="11"/>
  <c r="H3078" i="11"/>
  <c r="H3074" i="11"/>
  <c r="H3070" i="11"/>
  <c r="H3066" i="11"/>
  <c r="H3062" i="11"/>
  <c r="H3058" i="11"/>
  <c r="H3054" i="11"/>
  <c r="H3050" i="11"/>
  <c r="H2712" i="11"/>
  <c r="H2704" i="11"/>
  <c r="H2696" i="11"/>
  <c r="H2688" i="11"/>
  <c r="H2714" i="11"/>
  <c r="H2706" i="11"/>
  <c r="H2698" i="11"/>
  <c r="H2690" i="11"/>
  <c r="H2711" i="11"/>
  <c r="H2703" i="11"/>
  <c r="H2695" i="11"/>
  <c r="H2687" i="11"/>
  <c r="H3064" i="11"/>
  <c r="H2701" i="11"/>
  <c r="H2685" i="11"/>
  <c r="H1977" i="11"/>
  <c r="H1968" i="11"/>
  <c r="H1961" i="11"/>
  <c r="H1616" i="11"/>
  <c r="H1609" i="11"/>
  <c r="H1600" i="11"/>
  <c r="H1593" i="11"/>
  <c r="H3076" i="11"/>
  <c r="H1979" i="11"/>
  <c r="H1970" i="11"/>
  <c r="H1963" i="11"/>
  <c r="H1954" i="11"/>
  <c r="H1618" i="11"/>
  <c r="H1611" i="11"/>
  <c r="H1602" i="11"/>
  <c r="H1595" i="11"/>
  <c r="H3056" i="11"/>
  <c r="H2700" i="11"/>
  <c r="H2684" i="11"/>
  <c r="H1981" i="11"/>
  <c r="H1972" i="11"/>
  <c r="H1965" i="11"/>
  <c r="H1956" i="11"/>
  <c r="H1613" i="11"/>
  <c r="H1604" i="11"/>
  <c r="H1597" i="11"/>
  <c r="H1588" i="11"/>
  <c r="H3068" i="11"/>
  <c r="H2348" i="11"/>
  <c r="H2344" i="11"/>
  <c r="H2340" i="11"/>
  <c r="H2336" i="11"/>
  <c r="H2332" i="11"/>
  <c r="H2328" i="11"/>
  <c r="H2324" i="11"/>
  <c r="H2320" i="11"/>
  <c r="H1983" i="11"/>
  <c r="H1974" i="11"/>
  <c r="H1967" i="11"/>
  <c r="H1958" i="11"/>
  <c r="H1615" i="11"/>
  <c r="H1606" i="11"/>
  <c r="H1599" i="11"/>
  <c r="H1590" i="11"/>
  <c r="H2709" i="11"/>
  <c r="H2693" i="11"/>
  <c r="H1976" i="11"/>
  <c r="H1969" i="11"/>
  <c r="H1960" i="11"/>
  <c r="H1953" i="11"/>
  <c r="H1617" i="11"/>
  <c r="H1608" i="11"/>
  <c r="H1601" i="11"/>
  <c r="H1592" i="11"/>
  <c r="H3060" i="11"/>
  <c r="H1978" i="11"/>
  <c r="H1971" i="11"/>
  <c r="H1962" i="11"/>
  <c r="H1955" i="11"/>
  <c r="H1610" i="11"/>
  <c r="H1603" i="11"/>
  <c r="H1594" i="11"/>
  <c r="H3072" i="11"/>
  <c r="H2708" i="11"/>
  <c r="H2692" i="11"/>
  <c r="H1980" i="11"/>
  <c r="H1973" i="11"/>
  <c r="H1964" i="11"/>
  <c r="H1957" i="11"/>
  <c r="H1612" i="11"/>
  <c r="H1605" i="11"/>
  <c r="H1596" i="11"/>
  <c r="H1589" i="11"/>
  <c r="H3052" i="11"/>
  <c r="H2346" i="11"/>
  <c r="H2342" i="11"/>
  <c r="H2338" i="11"/>
  <c r="H2334" i="11"/>
  <c r="H2330" i="11"/>
  <c r="H2326" i="11"/>
  <c r="H2322" i="11"/>
  <c r="H2318" i="11"/>
  <c r="H1607" i="11"/>
  <c r="H1252" i="11"/>
  <c r="H1250" i="11"/>
  <c r="H1248" i="11"/>
  <c r="H1246" i="11"/>
  <c r="H1244" i="11"/>
  <c r="H1242" i="11"/>
  <c r="H1240" i="11"/>
  <c r="H1238" i="11"/>
  <c r="H1236" i="11"/>
  <c r="H1234" i="11"/>
  <c r="H1232" i="11"/>
  <c r="H1230" i="11"/>
  <c r="H1228" i="11"/>
  <c r="H1226" i="11"/>
  <c r="H1224" i="11"/>
  <c r="H1966" i="11"/>
  <c r="H1959" i="11"/>
  <c r="H1598" i="11"/>
  <c r="H1591" i="11"/>
  <c r="H1982" i="11"/>
  <c r="H1253" i="11"/>
  <c r="H1251" i="11"/>
  <c r="H1249" i="11"/>
  <c r="H1247" i="11"/>
  <c r="H1245" i="11"/>
  <c r="H1243" i="11"/>
  <c r="H1241" i="11"/>
  <c r="H1239" i="11"/>
  <c r="H1237" i="11"/>
  <c r="H1235" i="11"/>
  <c r="H1233" i="11"/>
  <c r="H1231" i="11"/>
  <c r="H1229" i="11"/>
  <c r="H1227" i="11"/>
  <c r="H1225" i="11"/>
  <c r="H1223" i="11"/>
  <c r="H1975" i="11"/>
  <c r="H5758" i="11"/>
  <c r="H5756" i="11"/>
  <c r="H5754" i="11"/>
  <c r="H5752" i="11"/>
  <c r="H5750" i="11"/>
  <c r="H5748" i="11"/>
  <c r="H5746" i="11"/>
  <c r="H5744" i="11"/>
  <c r="H5742" i="11"/>
  <c r="H5740" i="11"/>
  <c r="H5738" i="11"/>
  <c r="H5736" i="11"/>
  <c r="H5734" i="11"/>
  <c r="H5732" i="11"/>
  <c r="H5730" i="11"/>
  <c r="H5745" i="11"/>
  <c r="H5751" i="11"/>
  <c r="H5735" i="11"/>
  <c r="H5757" i="11"/>
  <c r="H5741" i="11"/>
  <c r="H5729" i="11"/>
  <c r="H5743" i="11"/>
  <c r="H5749" i="11"/>
  <c r="H5733" i="11"/>
  <c r="H5755" i="11"/>
  <c r="H5739" i="11"/>
  <c r="H5747" i="11"/>
  <c r="H5753" i="11"/>
  <c r="H5731" i="11"/>
  <c r="H5737" i="11"/>
  <c r="H5392" i="11"/>
  <c r="H5385" i="11"/>
  <c r="H5387" i="11"/>
  <c r="H5378" i="11"/>
  <c r="H5376" i="11"/>
  <c r="H5374" i="11"/>
  <c r="H5372" i="11"/>
  <c r="H5370" i="11"/>
  <c r="H5368" i="11"/>
  <c r="H5366" i="11"/>
  <c r="H5364" i="11"/>
  <c r="H5389" i="11"/>
  <c r="H5380" i="11"/>
  <c r="H5391" i="11"/>
  <c r="H5382" i="11"/>
  <c r="H5384" i="11"/>
  <c r="H5386" i="11"/>
  <c r="H5379" i="11"/>
  <c r="H5377" i="11"/>
  <c r="H5375" i="11"/>
  <c r="H5373" i="11"/>
  <c r="H5371" i="11"/>
  <c r="H5369" i="11"/>
  <c r="H5367" i="11"/>
  <c r="H5365" i="11"/>
  <c r="H5363" i="11"/>
  <c r="H5388" i="11"/>
  <c r="H5381" i="11"/>
  <c r="H5390" i="11"/>
  <c r="H5383" i="11"/>
  <c r="H5026" i="11"/>
  <c r="H5024" i="11"/>
  <c r="H5022" i="11"/>
  <c r="H5020" i="11"/>
  <c r="H5018" i="11"/>
  <c r="H5016" i="11"/>
  <c r="H5014" i="11"/>
  <c r="H5012" i="11"/>
  <c r="H5010" i="11"/>
  <c r="H5004" i="11"/>
  <c r="H5027" i="11"/>
  <c r="H5023" i="11"/>
  <c r="H5019" i="11"/>
  <c r="H5011" i="11"/>
  <c r="H5006" i="11"/>
  <c r="H5008" i="11"/>
  <c r="H4999" i="11"/>
  <c r="H5013" i="11"/>
  <c r="H5001" i="11"/>
  <c r="H5003" i="11"/>
  <c r="H5025" i="11"/>
  <c r="H5021" i="11"/>
  <c r="H5015" i="11"/>
  <c r="H5005" i="11"/>
  <c r="H4998" i="11"/>
  <c r="H5007" i="11"/>
  <c r="H5000" i="11"/>
  <c r="H5017" i="11"/>
  <c r="H5009" i="11"/>
  <c r="H4661" i="11"/>
  <c r="H4659" i="11"/>
  <c r="H4657" i="11"/>
  <c r="H4655" i="11"/>
  <c r="H4653" i="11"/>
  <c r="H4651" i="11"/>
  <c r="H4649" i="11"/>
  <c r="H4647" i="11"/>
  <c r="H4645" i="11"/>
  <c r="H4643" i="11"/>
  <c r="H4641" i="11"/>
  <c r="H4639" i="11"/>
  <c r="H4637" i="11"/>
  <c r="H4635" i="11"/>
  <c r="H4633" i="11"/>
  <c r="H5002" i="11"/>
  <c r="H4654" i="11"/>
  <c r="H4638" i="11"/>
  <c r="H4648" i="11"/>
  <c r="H4658" i="11"/>
  <c r="H4642" i="11"/>
  <c r="H4652" i="11"/>
  <c r="H4636" i="11"/>
  <c r="H4662" i="11"/>
  <c r="H4646" i="11"/>
  <c r="H4656" i="11"/>
  <c r="H4640" i="11"/>
  <c r="H4650" i="11"/>
  <c r="H4634" i="11"/>
  <c r="H4660" i="11"/>
  <c r="H4296" i="11"/>
  <c r="H4283" i="11"/>
  <c r="H4280" i="11"/>
  <c r="H4644" i="11"/>
  <c r="H4289" i="11"/>
  <c r="H4286" i="11"/>
  <c r="H4273" i="11"/>
  <c r="H4270" i="11"/>
  <c r="H4295" i="11"/>
  <c r="H4292" i="11"/>
  <c r="H4279" i="11"/>
  <c r="H4276" i="11"/>
  <c r="H4285" i="11"/>
  <c r="H4282" i="11"/>
  <c r="H4269" i="11"/>
  <c r="H3930" i="11"/>
  <c r="H3928" i="11"/>
  <c r="H3926" i="11"/>
  <c r="H3924" i="11"/>
  <c r="H3922" i="11"/>
  <c r="H3920" i="11"/>
  <c r="H3918" i="11"/>
  <c r="H4291" i="11"/>
  <c r="H4288" i="11"/>
  <c r="H4275" i="11"/>
  <c r="H4272" i="11"/>
  <c r="H4297" i="11"/>
  <c r="H4294" i="11"/>
  <c r="H4281" i="11"/>
  <c r="H4278" i="11"/>
  <c r="H4287" i="11"/>
  <c r="H4284" i="11"/>
  <c r="H4271" i="11"/>
  <c r="H4268" i="11"/>
  <c r="H3915" i="11"/>
  <c r="H3908" i="11"/>
  <c r="H4277" i="11"/>
  <c r="H3931" i="11"/>
  <c r="H3925" i="11"/>
  <c r="H3917" i="11"/>
  <c r="H3910" i="11"/>
  <c r="H3566" i="11"/>
  <c r="H3564" i="11"/>
  <c r="H3562" i="11"/>
  <c r="H3560" i="11"/>
  <c r="H3558" i="11"/>
  <c r="H3556" i="11"/>
  <c r="H3554" i="11"/>
  <c r="H3552" i="11"/>
  <c r="H3550" i="11"/>
  <c r="H3548" i="11"/>
  <c r="H3546" i="11"/>
  <c r="H3544" i="11"/>
  <c r="H3542" i="11"/>
  <c r="H3540" i="11"/>
  <c r="H3538" i="11"/>
  <c r="H4290" i="11"/>
  <c r="H3912" i="11"/>
  <c r="H3903" i="11"/>
  <c r="H3927" i="11"/>
  <c r="H3919" i="11"/>
  <c r="H3914" i="11"/>
  <c r="H3905" i="11"/>
  <c r="H3916" i="11"/>
  <c r="H3907" i="11"/>
  <c r="H4274" i="11"/>
  <c r="H3921" i="11"/>
  <c r="H3909" i="11"/>
  <c r="H3902" i="11"/>
  <c r="H4293" i="11"/>
  <c r="H3929" i="11"/>
  <c r="H3911" i="11"/>
  <c r="H3904" i="11"/>
  <c r="H3563" i="11"/>
  <c r="H3555" i="11"/>
  <c r="H3547" i="11"/>
  <c r="H3539" i="11"/>
  <c r="H3913" i="11"/>
  <c r="H3565" i="11"/>
  <c r="H3557" i="11"/>
  <c r="H3549" i="11"/>
  <c r="H3541" i="11"/>
  <c r="H3906" i="11"/>
  <c r="H3923" i="11"/>
  <c r="H3559" i="11"/>
  <c r="H3551" i="11"/>
  <c r="H3543" i="11"/>
  <c r="H3201" i="11"/>
  <c r="H3192" i="11"/>
  <c r="H3185" i="11"/>
  <c r="H3176" i="11"/>
  <c r="H3545" i="11"/>
  <c r="H3194" i="11"/>
  <c r="H3187" i="11"/>
  <c r="H3178" i="11"/>
  <c r="H3196" i="11"/>
  <c r="H3189" i="11"/>
  <c r="H3180" i="11"/>
  <c r="H3173" i="11"/>
  <c r="H3537" i="11"/>
  <c r="H3200" i="11"/>
  <c r="H3193" i="11"/>
  <c r="H3184" i="11"/>
  <c r="H3177" i="11"/>
  <c r="H3561" i="11"/>
  <c r="H3195" i="11"/>
  <c r="H3186" i="11"/>
  <c r="H3179" i="11"/>
  <c r="H3188" i="11"/>
  <c r="H2833" i="11"/>
  <c r="H2825" i="11"/>
  <c r="H2817" i="11"/>
  <c r="H2809" i="11"/>
  <c r="H3175" i="11"/>
  <c r="H2830" i="11"/>
  <c r="H2822" i="11"/>
  <c r="H2814" i="11"/>
  <c r="H3191" i="11"/>
  <c r="H3183" i="11"/>
  <c r="H2835" i="11"/>
  <c r="H2827" i="11"/>
  <c r="H2819" i="11"/>
  <c r="H2811" i="11"/>
  <c r="H2469" i="11"/>
  <c r="H2467" i="11"/>
  <c r="H2465" i="11"/>
  <c r="H2463" i="11"/>
  <c r="H2461" i="11"/>
  <c r="H2459" i="11"/>
  <c r="H2457" i="11"/>
  <c r="H2455" i="11"/>
  <c r="H2453" i="11"/>
  <c r="H2451" i="11"/>
  <c r="H2449" i="11"/>
  <c r="H2447" i="11"/>
  <c r="H2445" i="11"/>
  <c r="H2443" i="11"/>
  <c r="H2441" i="11"/>
  <c r="H2105" i="11"/>
  <c r="H2103" i="11"/>
  <c r="H2101" i="11"/>
  <c r="H2099" i="11"/>
  <c r="H2097" i="11"/>
  <c r="H2095" i="11"/>
  <c r="H2093" i="11"/>
  <c r="H2091" i="11"/>
  <c r="H2089" i="11"/>
  <c r="H2087" i="11"/>
  <c r="H2085" i="11"/>
  <c r="H2083" i="11"/>
  <c r="H2081" i="11"/>
  <c r="H2079" i="11"/>
  <c r="H2077" i="11"/>
  <c r="H3199" i="11"/>
  <c r="H2832" i="11"/>
  <c r="H2824" i="11"/>
  <c r="H2816" i="11"/>
  <c r="H2808" i="11"/>
  <c r="H3182" i="11"/>
  <c r="H3174" i="11"/>
  <c r="H3198" i="11"/>
  <c r="H3190" i="11"/>
  <c r="H2834" i="11"/>
  <c r="H2826" i="11"/>
  <c r="H2818" i="11"/>
  <c r="H2810" i="11"/>
  <c r="H3181" i="11"/>
  <c r="H2831" i="11"/>
  <c r="H2823" i="11"/>
  <c r="H2815" i="11"/>
  <c r="H2807" i="11"/>
  <c r="H2470" i="11"/>
  <c r="H2468" i="11"/>
  <c r="H2466" i="11"/>
  <c r="H2464" i="11"/>
  <c r="H2462" i="11"/>
  <c r="H2460" i="11"/>
  <c r="H2458" i="11"/>
  <c r="H2456" i="11"/>
  <c r="H2454" i="11"/>
  <c r="H2452" i="11"/>
  <c r="H2450" i="11"/>
  <c r="H2448" i="11"/>
  <c r="H2446" i="11"/>
  <c r="H2444" i="11"/>
  <c r="H2442" i="11"/>
  <c r="H2836" i="11"/>
  <c r="H2820" i="11"/>
  <c r="H2102" i="11"/>
  <c r="H2094" i="11"/>
  <c r="H2086" i="11"/>
  <c r="H2078" i="11"/>
  <c r="H1737" i="11"/>
  <c r="H1728" i="11"/>
  <c r="H1721" i="11"/>
  <c r="H1712" i="11"/>
  <c r="H1739" i="11"/>
  <c r="H1730" i="11"/>
  <c r="H1723" i="11"/>
  <c r="H1714" i="11"/>
  <c r="H1371" i="11"/>
  <c r="H1362" i="11"/>
  <c r="H1355" i="11"/>
  <c r="H1346" i="11"/>
  <c r="H3197" i="11"/>
  <c r="H2829" i="11"/>
  <c r="H2813" i="11"/>
  <c r="H2104" i="11"/>
  <c r="H2096" i="11"/>
  <c r="H2088" i="11"/>
  <c r="H2080" i="11"/>
  <c r="H1732" i="11"/>
  <c r="H1725" i="11"/>
  <c r="H1716" i="11"/>
  <c r="H1373" i="11"/>
  <c r="H1364" i="11"/>
  <c r="H1357" i="11"/>
  <c r="H1348" i="11"/>
  <c r="H1734" i="11"/>
  <c r="H1727" i="11"/>
  <c r="H1718" i="11"/>
  <c r="H1711" i="11"/>
  <c r="H1375" i="11"/>
  <c r="H1366" i="11"/>
  <c r="H1359" i="11"/>
  <c r="H1350" i="11"/>
  <c r="H3553" i="11"/>
  <c r="H2828" i="11"/>
  <c r="H2812" i="11"/>
  <c r="H2098" i="11"/>
  <c r="H2090" i="11"/>
  <c r="H2082" i="11"/>
  <c r="H1736" i="11"/>
  <c r="H1729" i="11"/>
  <c r="H1720" i="11"/>
  <c r="H1713" i="11"/>
  <c r="H1738" i="11"/>
  <c r="H1731" i="11"/>
  <c r="H1722" i="11"/>
  <c r="H1715" i="11"/>
  <c r="H2821" i="11"/>
  <c r="H2100" i="11"/>
  <c r="H2092" i="11"/>
  <c r="H2084" i="11"/>
  <c r="H2076" i="11"/>
  <c r="H1740" i="11"/>
  <c r="H1733" i="11"/>
  <c r="H1724" i="11"/>
  <c r="H1717" i="11"/>
  <c r="H3172" i="11"/>
  <c r="H1363" i="11"/>
  <c r="H1354" i="11"/>
  <c r="H1351" i="11"/>
  <c r="H1360" i="11"/>
  <c r="H1347" i="11"/>
  <c r="H1372" i="11"/>
  <c r="H1369" i="11"/>
  <c r="H1726" i="11"/>
  <c r="H1365" i="11"/>
  <c r="H1356" i="11"/>
  <c r="H1353" i="11"/>
  <c r="H1719" i="11"/>
  <c r="H1368" i="11"/>
  <c r="H1349" i="11"/>
  <c r="H1374" i="11"/>
  <c r="H1361" i="11"/>
  <c r="H1352" i="11"/>
  <c r="H1358" i="11"/>
  <c r="H1735" i="11"/>
  <c r="J5513" i="11"/>
  <c r="J5505" i="11"/>
  <c r="J5497" i="11"/>
  <c r="J5510" i="11"/>
  <c r="J5502" i="11"/>
  <c r="J5494" i="11"/>
  <c r="J5487" i="11"/>
  <c r="J5485" i="11"/>
  <c r="J5515" i="11"/>
  <c r="J5507" i="11"/>
  <c r="J5499" i="11"/>
  <c r="J5489" i="11"/>
  <c r="J5514" i="11"/>
  <c r="J5506" i="11"/>
  <c r="J5498" i="11"/>
  <c r="J5488" i="11"/>
  <c r="J5486" i="11"/>
  <c r="J5511" i="11"/>
  <c r="J5503" i="11"/>
  <c r="J5495" i="11"/>
  <c r="J5490" i="11"/>
  <c r="J5512" i="11"/>
  <c r="J5508" i="11"/>
  <c r="J5493" i="11"/>
  <c r="J5501" i="11"/>
  <c r="J5496" i="11"/>
  <c r="J5492" i="11"/>
  <c r="J5509" i="11"/>
  <c r="J5504" i="11"/>
  <c r="J5500" i="11"/>
  <c r="J5491" i="11"/>
  <c r="J5149" i="11"/>
  <c r="J5150" i="11"/>
  <c r="J5145" i="11"/>
  <c r="J5136" i="11"/>
  <c r="J5129" i="11"/>
  <c r="J5120" i="11"/>
  <c r="J5147" i="11"/>
  <c r="J5138" i="11"/>
  <c r="J5131" i="11"/>
  <c r="J5122" i="11"/>
  <c r="J5140" i="11"/>
  <c r="J5133" i="11"/>
  <c r="J5124" i="11"/>
  <c r="J5146" i="11"/>
  <c r="J5139" i="11"/>
  <c r="J5130" i="11"/>
  <c r="J5123" i="11"/>
  <c r="J5148" i="11"/>
  <c r="J5141" i="11"/>
  <c r="J5132" i="11"/>
  <c r="J5125" i="11"/>
  <c r="J5135" i="11"/>
  <c r="J5127" i="11"/>
  <c r="J5143" i="11"/>
  <c r="J5126" i="11"/>
  <c r="J4784" i="11"/>
  <c r="J4782" i="11"/>
  <c r="J4780" i="11"/>
  <c r="J4778" i="11"/>
  <c r="J4776" i="11"/>
  <c r="J4774" i="11"/>
  <c r="J4772" i="11"/>
  <c r="J4770" i="11"/>
  <c r="J4768" i="11"/>
  <c r="J4766" i="11"/>
  <c r="J4764" i="11"/>
  <c r="J4762" i="11"/>
  <c r="J4760" i="11"/>
  <c r="J4758" i="11"/>
  <c r="J4756" i="11"/>
  <c r="J5142" i="11"/>
  <c r="J5134" i="11"/>
  <c r="J5121" i="11"/>
  <c r="J5137" i="11"/>
  <c r="J5128" i="11"/>
  <c r="J4785" i="11"/>
  <c r="J4783" i="11"/>
  <c r="J4781" i="11"/>
  <c r="J4779" i="11"/>
  <c r="J4777" i="11"/>
  <c r="J4775" i="11"/>
  <c r="J4773" i="11"/>
  <c r="J4771" i="11"/>
  <c r="J4769" i="11"/>
  <c r="J4767" i="11"/>
  <c r="J4765" i="11"/>
  <c r="J4763" i="11"/>
  <c r="J4761" i="11"/>
  <c r="J4759" i="11"/>
  <c r="J4757" i="11"/>
  <c r="J4755" i="11"/>
  <c r="J5144" i="11"/>
  <c r="J4419" i="11"/>
  <c r="J4417" i="11"/>
  <c r="J4415" i="11"/>
  <c r="J4413" i="11"/>
  <c r="J4411" i="11"/>
  <c r="J4409" i="11"/>
  <c r="J4407" i="11"/>
  <c r="J4405" i="11"/>
  <c r="J4403" i="11"/>
  <c r="J4401" i="11"/>
  <c r="J4399" i="11"/>
  <c r="J4397" i="11"/>
  <c r="J4395" i="11"/>
  <c r="J4393" i="11"/>
  <c r="J4391" i="11"/>
  <c r="J4420" i="11"/>
  <c r="J4418" i="11"/>
  <c r="J4416" i="11"/>
  <c r="J4414" i="11"/>
  <c r="J4412" i="11"/>
  <c r="J4410" i="11"/>
  <c r="J4408" i="11"/>
  <c r="J4406" i="11"/>
  <c r="J4404" i="11"/>
  <c r="J4402" i="11"/>
  <c r="J4400" i="11"/>
  <c r="J4398" i="11"/>
  <c r="J4396" i="11"/>
  <c r="J4394" i="11"/>
  <c r="J4392" i="11"/>
  <c r="J4390" i="11"/>
  <c r="J4054" i="11"/>
  <c r="J4052" i="11"/>
  <c r="J4050" i="11"/>
  <c r="J4048" i="11"/>
  <c r="J4046" i="11"/>
  <c r="J4044" i="11"/>
  <c r="J4042" i="11"/>
  <c r="J4040" i="11"/>
  <c r="J4038" i="11"/>
  <c r="J4036" i="11"/>
  <c r="J4034" i="11"/>
  <c r="J4032" i="11"/>
  <c r="J4030" i="11"/>
  <c r="J4028" i="11"/>
  <c r="J4026" i="11"/>
  <c r="J4024" i="11"/>
  <c r="J4053" i="11"/>
  <c r="J4051" i="11"/>
  <c r="J4049" i="11"/>
  <c r="J4047" i="11"/>
  <c r="J4045" i="11"/>
  <c r="J4043" i="11"/>
  <c r="J4041" i="11"/>
  <c r="J4039" i="11"/>
  <c r="J4037" i="11"/>
  <c r="J4035" i="11"/>
  <c r="J4033" i="11"/>
  <c r="J4031" i="11"/>
  <c r="J4029" i="11"/>
  <c r="J4027" i="11"/>
  <c r="J4025" i="11"/>
  <c r="J3689" i="11"/>
  <c r="J3687" i="11"/>
  <c r="J3685" i="11"/>
  <c r="J3683" i="11"/>
  <c r="J3681" i="11"/>
  <c r="J3679" i="11"/>
  <c r="J3677" i="11"/>
  <c r="J3675" i="11"/>
  <c r="J3673" i="11"/>
  <c r="J3671" i="11"/>
  <c r="J3669" i="11"/>
  <c r="J3667" i="11"/>
  <c r="J3665" i="11"/>
  <c r="J3663" i="11"/>
  <c r="J3661" i="11"/>
  <c r="J3659" i="11"/>
  <c r="J3323" i="11"/>
  <c r="J3321" i="11"/>
  <c r="J3319" i="11"/>
  <c r="J3317" i="11"/>
  <c r="J3315" i="11"/>
  <c r="J3313" i="11"/>
  <c r="J3311" i="11"/>
  <c r="J3309" i="11"/>
  <c r="J3307" i="11"/>
  <c r="J3305" i="11"/>
  <c r="J3303" i="11"/>
  <c r="J3676" i="11"/>
  <c r="J3660" i="11"/>
  <c r="J3310" i="11"/>
  <c r="J3301" i="11"/>
  <c r="J3299" i="11"/>
  <c r="J3297" i="11"/>
  <c r="J3295" i="11"/>
  <c r="J3682" i="11"/>
  <c r="J3666" i="11"/>
  <c r="J3312" i="11"/>
  <c r="J3688" i="11"/>
  <c r="J3672" i="11"/>
  <c r="J3314" i="11"/>
  <c r="J3678" i="11"/>
  <c r="J3662" i="11"/>
  <c r="J3316" i="11"/>
  <c r="J3684" i="11"/>
  <c r="J3668" i="11"/>
  <c r="J3318" i="11"/>
  <c r="J3302" i="11"/>
  <c r="J3300" i="11"/>
  <c r="J3298" i="11"/>
  <c r="J3296" i="11"/>
  <c r="J3294" i="11"/>
  <c r="J3674" i="11"/>
  <c r="J3320" i="11"/>
  <c r="J3304" i="11"/>
  <c r="J3680" i="11"/>
  <c r="J3664" i="11"/>
  <c r="J3322" i="11"/>
  <c r="J3306" i="11"/>
  <c r="J2959" i="11"/>
  <c r="J2957" i="11"/>
  <c r="J2955" i="11"/>
  <c r="J2953" i="11"/>
  <c r="J2951" i="11"/>
  <c r="J2949" i="11"/>
  <c r="J2947" i="11"/>
  <c r="J2945" i="11"/>
  <c r="J2943" i="11"/>
  <c r="J2941" i="11"/>
  <c r="J2939" i="11"/>
  <c r="J2937" i="11"/>
  <c r="J2935" i="11"/>
  <c r="J2933" i="11"/>
  <c r="J2931" i="11"/>
  <c r="J2929" i="11"/>
  <c r="J2593" i="11"/>
  <c r="J2591" i="11"/>
  <c r="J2589" i="11"/>
  <c r="J2587" i="11"/>
  <c r="J2585" i="11"/>
  <c r="J2583" i="11"/>
  <c r="J2581" i="11"/>
  <c r="J2579" i="11"/>
  <c r="J2577" i="11"/>
  <c r="J2575" i="11"/>
  <c r="J2573" i="11"/>
  <c r="J2571" i="11"/>
  <c r="J2569" i="11"/>
  <c r="J2567" i="11"/>
  <c r="J2565" i="11"/>
  <c r="J2563" i="11"/>
  <c r="J3686" i="11"/>
  <c r="J3308" i="11"/>
  <c r="J3670" i="11"/>
  <c r="J2958" i="11"/>
  <c r="J2956" i="11"/>
  <c r="J2954" i="11"/>
  <c r="J2952" i="11"/>
  <c r="J2950" i="11"/>
  <c r="J2948" i="11"/>
  <c r="J2946" i="11"/>
  <c r="J2944" i="11"/>
  <c r="J2942" i="11"/>
  <c r="J2940" i="11"/>
  <c r="J2938" i="11"/>
  <c r="J2936" i="11"/>
  <c r="J2934" i="11"/>
  <c r="J2932" i="11"/>
  <c r="J2930" i="11"/>
  <c r="J2592" i="11"/>
  <c r="J2590" i="11"/>
  <c r="J2588" i="11"/>
  <c r="J2586" i="11"/>
  <c r="J2584" i="11"/>
  <c r="J2582" i="11"/>
  <c r="J2580" i="11"/>
  <c r="J2578" i="11"/>
  <c r="J2576" i="11"/>
  <c r="J2574" i="11"/>
  <c r="J2572" i="11"/>
  <c r="J2570" i="11"/>
  <c r="J2568" i="11"/>
  <c r="J2566" i="11"/>
  <c r="J2564" i="11"/>
  <c r="J3324" i="11"/>
  <c r="J2227" i="11"/>
  <c r="J2225" i="11"/>
  <c r="J2223" i="11"/>
  <c r="J2221" i="11"/>
  <c r="J2219" i="11"/>
  <c r="J2217" i="11"/>
  <c r="J2215" i="11"/>
  <c r="J2213" i="11"/>
  <c r="J2211" i="11"/>
  <c r="J2209" i="11"/>
  <c r="J2207" i="11"/>
  <c r="J2205" i="11"/>
  <c r="J2203" i="11"/>
  <c r="J2201" i="11"/>
  <c r="J2199" i="11"/>
  <c r="J1863" i="11"/>
  <c r="J1861" i="11"/>
  <c r="J1859" i="11"/>
  <c r="J1857" i="11"/>
  <c r="J1855" i="11"/>
  <c r="J1853" i="11"/>
  <c r="J1851" i="11"/>
  <c r="J1849" i="11"/>
  <c r="J1847" i="11"/>
  <c r="J1845" i="11"/>
  <c r="J1843" i="11"/>
  <c r="J1841" i="11"/>
  <c r="J1839" i="11"/>
  <c r="J1837" i="11"/>
  <c r="J1835" i="11"/>
  <c r="J1833" i="11"/>
  <c r="J1497" i="11"/>
  <c r="J1495" i="11"/>
  <c r="J1493" i="11"/>
  <c r="J1491" i="11"/>
  <c r="J1489" i="11"/>
  <c r="J1487" i="11"/>
  <c r="J1485" i="11"/>
  <c r="J1483" i="11"/>
  <c r="J1481" i="11"/>
  <c r="J1479" i="11"/>
  <c r="J1477" i="11"/>
  <c r="J1475" i="11"/>
  <c r="J1473" i="11"/>
  <c r="J1471" i="11"/>
  <c r="J1469" i="11"/>
  <c r="J2224" i="11"/>
  <c r="J2216" i="11"/>
  <c r="J2208" i="11"/>
  <c r="J2200" i="11"/>
  <c r="J1860" i="11"/>
  <c r="J1844" i="11"/>
  <c r="J1862" i="11"/>
  <c r="J1846" i="11"/>
  <c r="J1494" i="11"/>
  <c r="J1478" i="11"/>
  <c r="J2226" i="11"/>
  <c r="J2218" i="11"/>
  <c r="J2210" i="11"/>
  <c r="J2202" i="11"/>
  <c r="J1848" i="11"/>
  <c r="J1496" i="11"/>
  <c r="J1480" i="11"/>
  <c r="J1850" i="11"/>
  <c r="J1834" i="11"/>
  <c r="J1498" i="11"/>
  <c r="J1482" i="11"/>
  <c r="J2228" i="11"/>
  <c r="J2220" i="11"/>
  <c r="J2212" i="11"/>
  <c r="J2204" i="11"/>
  <c r="J1852" i="11"/>
  <c r="J1836" i="11"/>
  <c r="J1854" i="11"/>
  <c r="J1838" i="11"/>
  <c r="J1486" i="11"/>
  <c r="J2222" i="11"/>
  <c r="J2214" i="11"/>
  <c r="J2206" i="11"/>
  <c r="J2198" i="11"/>
  <c r="J1856" i="11"/>
  <c r="J1840" i="11"/>
  <c r="J1488" i="11"/>
  <c r="J1472" i="11"/>
  <c r="J1476" i="11"/>
  <c r="J1132" i="11"/>
  <c r="J1130" i="11"/>
  <c r="J1128" i="11"/>
  <c r="J1126" i="11"/>
  <c r="J1124" i="11"/>
  <c r="J1122" i="11"/>
  <c r="J1120" i="11"/>
  <c r="J1118" i="11"/>
  <c r="J1116" i="11"/>
  <c r="J1114" i="11"/>
  <c r="J1112" i="11"/>
  <c r="J1110" i="11"/>
  <c r="J1108" i="11"/>
  <c r="J1106" i="11"/>
  <c r="J1104" i="11"/>
  <c r="J1102" i="11"/>
  <c r="J766" i="11"/>
  <c r="J764" i="11"/>
  <c r="J762" i="11"/>
  <c r="J760" i="11"/>
  <c r="J758" i="11"/>
  <c r="J756" i="11"/>
  <c r="J754" i="11"/>
  <c r="J752" i="11"/>
  <c r="J750" i="11"/>
  <c r="J748" i="11"/>
  <c r="J746" i="11"/>
  <c r="J744" i="11"/>
  <c r="J742" i="11"/>
  <c r="J740" i="11"/>
  <c r="J738" i="11"/>
  <c r="J1842" i="11"/>
  <c r="J1490" i="11"/>
  <c r="J1468" i="11"/>
  <c r="J1131" i="11"/>
  <c r="J1129" i="11"/>
  <c r="J1127" i="11"/>
  <c r="J1125" i="11"/>
  <c r="J1123" i="11"/>
  <c r="J1121" i="11"/>
  <c r="J1119" i="11"/>
  <c r="J1117" i="11"/>
  <c r="J1115" i="11"/>
  <c r="J1113" i="11"/>
  <c r="J1111" i="11"/>
  <c r="J1109" i="11"/>
  <c r="J1107" i="11"/>
  <c r="J1105" i="11"/>
  <c r="J1103" i="11"/>
  <c r="J767" i="11"/>
  <c r="J765" i="11"/>
  <c r="J763" i="11"/>
  <c r="J761" i="11"/>
  <c r="J759" i="11"/>
  <c r="J757" i="11"/>
  <c r="J755" i="11"/>
  <c r="J753" i="11"/>
  <c r="J751" i="11"/>
  <c r="J749" i="11"/>
  <c r="J747" i="11"/>
  <c r="J745" i="11"/>
  <c r="J743" i="11"/>
  <c r="J741" i="11"/>
  <c r="J739" i="11"/>
  <c r="J737" i="11"/>
  <c r="J1858" i="11"/>
  <c r="J1474" i="11"/>
  <c r="J1492" i="11"/>
  <c r="J1484" i="11"/>
  <c r="J1470" i="11"/>
  <c r="L8" i="8"/>
  <c r="M24" i="8"/>
  <c r="L24" i="8"/>
  <c r="H8" i="11"/>
  <c r="H10" i="11"/>
  <c r="H12" i="11"/>
  <c r="H14" i="11"/>
  <c r="H16" i="11"/>
  <c r="H18" i="11"/>
  <c r="H20" i="11"/>
  <c r="H22" i="11"/>
  <c r="H24" i="11"/>
  <c r="H26" i="11"/>
  <c r="H28" i="11"/>
  <c r="H30" i="11"/>
  <c r="H32" i="11"/>
  <c r="H34" i="11"/>
  <c r="H36" i="11"/>
  <c r="H38" i="11"/>
  <c r="H40" i="11"/>
  <c r="H42" i="11"/>
  <c r="H44" i="11"/>
  <c r="H46" i="11"/>
  <c r="H48" i="11"/>
  <c r="H50" i="11"/>
  <c r="H52" i="11"/>
  <c r="H54" i="11"/>
  <c r="H56" i="11"/>
  <c r="H58" i="11"/>
  <c r="H60" i="11"/>
  <c r="H62" i="11"/>
  <c r="H64" i="11"/>
  <c r="H66" i="11"/>
  <c r="H68" i="11"/>
  <c r="H70" i="11"/>
  <c r="H72" i="11"/>
  <c r="H74" i="11"/>
  <c r="H76" i="11"/>
  <c r="H78" i="11"/>
  <c r="H80" i="11"/>
  <c r="H82" i="11"/>
  <c r="H84" i="11"/>
  <c r="H86" i="11"/>
  <c r="H88" i="11"/>
  <c r="H90" i="11"/>
  <c r="H92" i="11"/>
  <c r="H94" i="11"/>
  <c r="H96" i="11"/>
  <c r="H128" i="11"/>
  <c r="H130" i="11"/>
  <c r="H132" i="11"/>
  <c r="H134" i="11"/>
  <c r="H136" i="11"/>
  <c r="H138" i="11"/>
  <c r="H140" i="11"/>
  <c r="H142" i="11"/>
  <c r="H144" i="11"/>
  <c r="H146" i="11"/>
  <c r="H148" i="11"/>
  <c r="H150" i="11"/>
  <c r="H152" i="11"/>
  <c r="H154" i="11"/>
  <c r="H156" i="11"/>
  <c r="H158" i="11"/>
  <c r="H160" i="11"/>
  <c r="H162" i="11"/>
  <c r="H164" i="11"/>
  <c r="H166" i="11"/>
  <c r="H168" i="11"/>
  <c r="H170" i="11"/>
  <c r="H172" i="11"/>
  <c r="H174" i="11"/>
  <c r="H176" i="11"/>
  <c r="H178" i="11"/>
  <c r="H180" i="11"/>
  <c r="H182" i="11"/>
  <c r="H184" i="11"/>
  <c r="H186" i="11"/>
  <c r="H188" i="11"/>
  <c r="H190" i="11"/>
  <c r="H192" i="11"/>
  <c r="H194" i="11"/>
  <c r="H196" i="11"/>
  <c r="H198" i="11"/>
  <c r="H200" i="11"/>
  <c r="H202" i="11"/>
  <c r="H204" i="11"/>
  <c r="H206" i="11"/>
  <c r="H208" i="11"/>
  <c r="H210" i="11"/>
  <c r="H212" i="11"/>
  <c r="H214" i="11"/>
  <c r="H216" i="11"/>
  <c r="H218" i="11"/>
  <c r="H250" i="11"/>
  <c r="H252" i="11"/>
  <c r="H254" i="11"/>
  <c r="H256" i="11"/>
  <c r="H258" i="11"/>
  <c r="H260" i="11"/>
  <c r="H262" i="11"/>
  <c r="H264" i="11"/>
  <c r="H266" i="11"/>
  <c r="H268" i="11"/>
  <c r="H270" i="11"/>
  <c r="H272" i="11"/>
  <c r="H274" i="11"/>
  <c r="H276" i="11"/>
  <c r="H278" i="11"/>
  <c r="H280" i="11"/>
  <c r="H282" i="11"/>
  <c r="H284" i="11"/>
  <c r="H286" i="11"/>
  <c r="H288" i="11"/>
  <c r="H290" i="11"/>
  <c r="H292" i="11"/>
  <c r="H294" i="11"/>
  <c r="H296" i="11"/>
  <c r="H298" i="11"/>
  <c r="H300" i="11"/>
  <c r="H302" i="11"/>
  <c r="H304" i="11"/>
  <c r="H306" i="11"/>
  <c r="H308" i="11"/>
  <c r="H310" i="11"/>
  <c r="H312" i="11"/>
  <c r="H314" i="11"/>
  <c r="H316" i="11"/>
  <c r="H318" i="11"/>
  <c r="H320" i="11"/>
  <c r="H322" i="11"/>
  <c r="H324" i="11"/>
  <c r="H326" i="11"/>
  <c r="H328" i="11"/>
  <c r="H330" i="11"/>
  <c r="H332" i="11"/>
  <c r="H334" i="11"/>
  <c r="H336" i="11"/>
  <c r="H338" i="11"/>
  <c r="H340" i="11"/>
  <c r="H372" i="11"/>
  <c r="H374" i="11"/>
  <c r="H376" i="11"/>
  <c r="H378" i="11"/>
  <c r="H380" i="11"/>
  <c r="H382" i="11"/>
  <c r="H384" i="11"/>
  <c r="H386" i="11"/>
  <c r="H388" i="11"/>
  <c r="H390" i="11"/>
  <c r="H392" i="11"/>
  <c r="H394" i="11"/>
  <c r="H396" i="11"/>
  <c r="H398" i="11"/>
  <c r="H400" i="11"/>
  <c r="H402" i="11"/>
  <c r="H404" i="11"/>
  <c r="H406" i="11"/>
  <c r="H408" i="11"/>
  <c r="H410" i="11"/>
  <c r="H412" i="11"/>
  <c r="H414" i="11"/>
  <c r="H416" i="11"/>
  <c r="H418" i="11"/>
  <c r="H420" i="11"/>
  <c r="H422" i="11"/>
  <c r="H424" i="11"/>
  <c r="H426" i="11"/>
  <c r="H428" i="11"/>
  <c r="H430" i="11"/>
  <c r="H432" i="11"/>
  <c r="H434" i="11"/>
  <c r="H436" i="11"/>
  <c r="H438" i="11"/>
  <c r="H440" i="11"/>
  <c r="H442" i="11"/>
  <c r="H444" i="11"/>
  <c r="H446" i="11"/>
  <c r="H448" i="11"/>
  <c r="H450" i="11"/>
  <c r="H452" i="11"/>
  <c r="H454" i="11"/>
  <c r="H456" i="11"/>
  <c r="H458" i="11"/>
  <c r="H460" i="11"/>
  <c r="H492" i="11"/>
  <c r="H494" i="11"/>
  <c r="H496" i="11"/>
  <c r="H498" i="11"/>
  <c r="H500" i="11"/>
  <c r="H502" i="11"/>
  <c r="H504" i="11"/>
  <c r="H506" i="11"/>
  <c r="H508" i="11"/>
  <c r="H510" i="11"/>
  <c r="H512" i="11"/>
  <c r="H514" i="11"/>
  <c r="H516" i="11"/>
  <c r="H518" i="11"/>
  <c r="H520" i="11"/>
  <c r="H522" i="11"/>
  <c r="H524" i="11"/>
  <c r="H526" i="11"/>
  <c r="H528" i="11"/>
  <c r="H530" i="11"/>
  <c r="H532" i="11"/>
  <c r="H534" i="11"/>
  <c r="H536" i="11"/>
  <c r="H538" i="11"/>
  <c r="H540" i="11"/>
  <c r="H542" i="11"/>
  <c r="H544" i="11"/>
  <c r="H546" i="11"/>
  <c r="H548" i="11"/>
  <c r="H550" i="11"/>
  <c r="H552" i="11"/>
  <c r="H554" i="11"/>
  <c r="H556" i="11"/>
  <c r="H558" i="11"/>
  <c r="H565" i="11"/>
  <c r="J569" i="11"/>
  <c r="H574" i="11"/>
  <c r="H581" i="11"/>
  <c r="J585" i="11"/>
  <c r="I592" i="11"/>
  <c r="I599" i="11"/>
  <c r="I608" i="11"/>
  <c r="J617" i="11"/>
  <c r="H622" i="11"/>
  <c r="H629" i="11"/>
  <c r="J633" i="11"/>
  <c r="H638" i="11"/>
  <c r="H645" i="11"/>
  <c r="J649" i="11"/>
  <c r="H654" i="11"/>
  <c r="H661" i="11"/>
  <c r="J665" i="11"/>
  <c r="H670" i="11"/>
  <c r="H677" i="11"/>
  <c r="J681" i="11"/>
  <c r="H686" i="11"/>
  <c r="H693" i="11"/>
  <c r="J697" i="11"/>
  <c r="H702" i="11"/>
  <c r="I711" i="11"/>
  <c r="J713" i="11"/>
  <c r="I718" i="11"/>
  <c r="I726" i="11"/>
  <c r="I734" i="11"/>
  <c r="H737" i="11"/>
  <c r="H745" i="11"/>
  <c r="H753" i="11"/>
  <c r="H761" i="11"/>
  <c r="H769" i="11"/>
  <c r="H777" i="11"/>
  <c r="H785" i="11"/>
  <c r="H793" i="11"/>
  <c r="H801" i="11"/>
  <c r="H809" i="11"/>
  <c r="H817" i="11"/>
  <c r="H825" i="11"/>
  <c r="I830" i="11"/>
  <c r="I838" i="11"/>
  <c r="I846" i="11"/>
  <c r="I854" i="11"/>
  <c r="H857" i="11"/>
  <c r="H865" i="11"/>
  <c r="H873" i="11"/>
  <c r="H881" i="11"/>
  <c r="H889" i="11"/>
  <c r="H897" i="11"/>
  <c r="H905" i="11"/>
  <c r="H913" i="11"/>
  <c r="H921" i="11"/>
  <c r="H929" i="11"/>
  <c r="H937" i="11"/>
  <c r="H945" i="11"/>
  <c r="I950" i="11"/>
  <c r="I958" i="11"/>
  <c r="I966" i="11"/>
  <c r="I974" i="11"/>
  <c r="H985" i="11"/>
  <c r="H993" i="11"/>
  <c r="H1001" i="11"/>
  <c r="H1009" i="11"/>
  <c r="H1017" i="11"/>
  <c r="H1025" i="11"/>
  <c r="H1033" i="11"/>
  <c r="H1041" i="11"/>
  <c r="H1049" i="11"/>
  <c r="H1057" i="11"/>
  <c r="H1065" i="11"/>
  <c r="I1078" i="11"/>
  <c r="I1086" i="11"/>
  <c r="I1094" i="11"/>
  <c r="I1199" i="11"/>
  <c r="I1214" i="11"/>
  <c r="I1342" i="11"/>
  <c r="J1360" i="11"/>
  <c r="H1390" i="11"/>
  <c r="H1420" i="11"/>
  <c r="H1470" i="11"/>
  <c r="J5544" i="11"/>
  <c r="J5541" i="11"/>
  <c r="J5529" i="11"/>
  <c r="J5521" i="11"/>
  <c r="J5534" i="11"/>
  <c r="J5526" i="11"/>
  <c r="J5518" i="11"/>
  <c r="J5540" i="11"/>
  <c r="J5537" i="11"/>
  <c r="J5531" i="11"/>
  <c r="J5523" i="11"/>
  <c r="J5542" i="11"/>
  <c r="J5539" i="11"/>
  <c r="J5530" i="11"/>
  <c r="J5522" i="11"/>
  <c r="J5527" i="11"/>
  <c r="J5519" i="11"/>
  <c r="J5517" i="11"/>
  <c r="J5535" i="11"/>
  <c r="J5525" i="11"/>
  <c r="J5520" i="11"/>
  <c r="J5516" i="11"/>
  <c r="J5538" i="11"/>
  <c r="J5533" i="11"/>
  <c r="J5528" i="11"/>
  <c r="J5524" i="11"/>
  <c r="J5543" i="11"/>
  <c r="J5532" i="11"/>
  <c r="J5177" i="11"/>
  <c r="J5175" i="11"/>
  <c r="J5173" i="11"/>
  <c r="J5171" i="11"/>
  <c r="J5169" i="11"/>
  <c r="J5167" i="11"/>
  <c r="J5165" i="11"/>
  <c r="J5163" i="11"/>
  <c r="J5161" i="11"/>
  <c r="J5159" i="11"/>
  <c r="J5157" i="11"/>
  <c r="J5155" i="11"/>
  <c r="J5153" i="11"/>
  <c r="J5151" i="11"/>
  <c r="J5174" i="11"/>
  <c r="J5166" i="11"/>
  <c r="J5158" i="11"/>
  <c r="J5536" i="11"/>
  <c r="J5176" i="11"/>
  <c r="J5168" i="11"/>
  <c r="J5160" i="11"/>
  <c r="J5152" i="11"/>
  <c r="J5172" i="11"/>
  <c r="J5164" i="11"/>
  <c r="J5156" i="11"/>
  <c r="J5162" i="11"/>
  <c r="J5170" i="11"/>
  <c r="J4812" i="11"/>
  <c r="J4810" i="11"/>
  <c r="J4808" i="11"/>
  <c r="J4806" i="11"/>
  <c r="J4804" i="11"/>
  <c r="J4802" i="11"/>
  <c r="J4800" i="11"/>
  <c r="J4798" i="11"/>
  <c r="J4796" i="11"/>
  <c r="J4794" i="11"/>
  <c r="J4792" i="11"/>
  <c r="J4790" i="11"/>
  <c r="J4788" i="11"/>
  <c r="J4786" i="11"/>
  <c r="J5178" i="11"/>
  <c r="J5154" i="11"/>
  <c r="J4813" i="11"/>
  <c r="J4811" i="11"/>
  <c r="J4809" i="11"/>
  <c r="J4807" i="11"/>
  <c r="J4805" i="11"/>
  <c r="J4803" i="11"/>
  <c r="J4801" i="11"/>
  <c r="J4799" i="11"/>
  <c r="J4797" i="11"/>
  <c r="J4795" i="11"/>
  <c r="J4793" i="11"/>
  <c r="J4791" i="11"/>
  <c r="J4789" i="11"/>
  <c r="J4787" i="11"/>
  <c r="J4448" i="11"/>
  <c r="J4446" i="11"/>
  <c r="J4445" i="11"/>
  <c r="J4443" i="11"/>
  <c r="J4441" i="11"/>
  <c r="J4439" i="11"/>
  <c r="J4437" i="11"/>
  <c r="J4435" i="11"/>
  <c r="J4433" i="11"/>
  <c r="J4431" i="11"/>
  <c r="J4429" i="11"/>
  <c r="J4427" i="11"/>
  <c r="J4425" i="11"/>
  <c r="J4423" i="11"/>
  <c r="J4421" i="11"/>
  <c r="J4447" i="11"/>
  <c r="J4444" i="11"/>
  <c r="J4442" i="11"/>
  <c r="J4440" i="11"/>
  <c r="J4438" i="11"/>
  <c r="J4436" i="11"/>
  <c r="J4434" i="11"/>
  <c r="J4432" i="11"/>
  <c r="J4430" i="11"/>
  <c r="J4428" i="11"/>
  <c r="J4426" i="11"/>
  <c r="J4424" i="11"/>
  <c r="J4422" i="11"/>
  <c r="J4082" i="11"/>
  <c r="J4080" i="11"/>
  <c r="J4078" i="11"/>
  <c r="J4076" i="11"/>
  <c r="J4074" i="11"/>
  <c r="J4072" i="11"/>
  <c r="J4070" i="11"/>
  <c r="J4068" i="11"/>
  <c r="J4066" i="11"/>
  <c r="J4064" i="11"/>
  <c r="J4062" i="11"/>
  <c r="J4060" i="11"/>
  <c r="J4058" i="11"/>
  <c r="J4056" i="11"/>
  <c r="J4083" i="11"/>
  <c r="J4081" i="11"/>
  <c r="J4079" i="11"/>
  <c r="J4077" i="11"/>
  <c r="J4075" i="11"/>
  <c r="J4073" i="11"/>
  <c r="J4071" i="11"/>
  <c r="J4069" i="11"/>
  <c r="J4067" i="11"/>
  <c r="J4065" i="11"/>
  <c r="J4063" i="11"/>
  <c r="J4061" i="11"/>
  <c r="J4059" i="11"/>
  <c r="J4057" i="11"/>
  <c r="J4055" i="11"/>
  <c r="J3717" i="11"/>
  <c r="J3715" i="11"/>
  <c r="J3713" i="11"/>
  <c r="J3711" i="11"/>
  <c r="J3709" i="11"/>
  <c r="J3707" i="11"/>
  <c r="J3705" i="11"/>
  <c r="J3703" i="11"/>
  <c r="J3701" i="11"/>
  <c r="J3699" i="11"/>
  <c r="J3697" i="11"/>
  <c r="J3695" i="11"/>
  <c r="J3693" i="11"/>
  <c r="J3691" i="11"/>
  <c r="J3351" i="11"/>
  <c r="J3349" i="11"/>
  <c r="J3347" i="11"/>
  <c r="J3345" i="11"/>
  <c r="J3343" i="11"/>
  <c r="J3341" i="11"/>
  <c r="J3339" i="11"/>
  <c r="J3337" i="11"/>
  <c r="J3335" i="11"/>
  <c r="J3333" i="11"/>
  <c r="J3331" i="11"/>
  <c r="J3329" i="11"/>
  <c r="J3327" i="11"/>
  <c r="J3325" i="11"/>
  <c r="J3708" i="11"/>
  <c r="J3692" i="11"/>
  <c r="J3342" i="11"/>
  <c r="J3326" i="11"/>
  <c r="J3714" i="11"/>
  <c r="J3698" i="11"/>
  <c r="J3344" i="11"/>
  <c r="J3328" i="11"/>
  <c r="J3704" i="11"/>
  <c r="J3346" i="11"/>
  <c r="J3330" i="11"/>
  <c r="J3710" i="11"/>
  <c r="J3694" i="11"/>
  <c r="J3348" i="11"/>
  <c r="J3332" i="11"/>
  <c r="J3716" i="11"/>
  <c r="J3700" i="11"/>
  <c r="J3350" i="11"/>
  <c r="J3334" i="11"/>
  <c r="J3706" i="11"/>
  <c r="J3690" i="11"/>
  <c r="J3352" i="11"/>
  <c r="J3336" i="11"/>
  <c r="J3712" i="11"/>
  <c r="J3696" i="11"/>
  <c r="J3338" i="11"/>
  <c r="J2987" i="11"/>
  <c r="J2985" i="11"/>
  <c r="J2983" i="11"/>
  <c r="J2981" i="11"/>
  <c r="J2979" i="11"/>
  <c r="J2977" i="11"/>
  <c r="J2975" i="11"/>
  <c r="J2973" i="11"/>
  <c r="J2971" i="11"/>
  <c r="J2969" i="11"/>
  <c r="J2967" i="11"/>
  <c r="J2965" i="11"/>
  <c r="J2963" i="11"/>
  <c r="J2961" i="11"/>
  <c r="J2621" i="11"/>
  <c r="J2619" i="11"/>
  <c r="J2617" i="11"/>
  <c r="J2615" i="11"/>
  <c r="J2613" i="11"/>
  <c r="J2611" i="11"/>
  <c r="J2609" i="11"/>
  <c r="J2607" i="11"/>
  <c r="J2605" i="11"/>
  <c r="J2603" i="11"/>
  <c r="J2601" i="11"/>
  <c r="J2599" i="11"/>
  <c r="J2597" i="11"/>
  <c r="J2595" i="11"/>
  <c r="J3340" i="11"/>
  <c r="J2986" i="11"/>
  <c r="J2984" i="11"/>
  <c r="J2982" i="11"/>
  <c r="J2980" i="11"/>
  <c r="J2978" i="11"/>
  <c r="J2976" i="11"/>
  <c r="J2974" i="11"/>
  <c r="J2972" i="11"/>
  <c r="J2970" i="11"/>
  <c r="J2968" i="11"/>
  <c r="J2966" i="11"/>
  <c r="J2964" i="11"/>
  <c r="J2962" i="11"/>
  <c r="J2960" i="11"/>
  <c r="J2622" i="11"/>
  <c r="J2620" i="11"/>
  <c r="J2618" i="11"/>
  <c r="J2616" i="11"/>
  <c r="J2614" i="11"/>
  <c r="J2612" i="11"/>
  <c r="J2610" i="11"/>
  <c r="J2608" i="11"/>
  <c r="J2606" i="11"/>
  <c r="J2604" i="11"/>
  <c r="J2602" i="11"/>
  <c r="J2600" i="11"/>
  <c r="J2598" i="11"/>
  <c r="J2596" i="11"/>
  <c r="J2594" i="11"/>
  <c r="J3702" i="11"/>
  <c r="J2255" i="11"/>
  <c r="J2253" i="11"/>
  <c r="J2251" i="11"/>
  <c r="J2249" i="11"/>
  <c r="J2247" i="11"/>
  <c r="J2245" i="11"/>
  <c r="J2243" i="11"/>
  <c r="J2241" i="11"/>
  <c r="J2239" i="11"/>
  <c r="J2237" i="11"/>
  <c r="J2235" i="11"/>
  <c r="J2233" i="11"/>
  <c r="J2231" i="11"/>
  <c r="J2229" i="11"/>
  <c r="J1891" i="11"/>
  <c r="J1889" i="11"/>
  <c r="J1887" i="11"/>
  <c r="J1885" i="11"/>
  <c r="J1883" i="11"/>
  <c r="J1881" i="11"/>
  <c r="J1879" i="11"/>
  <c r="J1877" i="11"/>
  <c r="J1875" i="11"/>
  <c r="J1873" i="11"/>
  <c r="J1871" i="11"/>
  <c r="J1869" i="11"/>
  <c r="J1867" i="11"/>
  <c r="J1865" i="11"/>
  <c r="J1525" i="11"/>
  <c r="J1523" i="11"/>
  <c r="J1521" i="11"/>
  <c r="J1519" i="11"/>
  <c r="J1517" i="11"/>
  <c r="J1515" i="11"/>
  <c r="J1513" i="11"/>
  <c r="J1511" i="11"/>
  <c r="J1509" i="11"/>
  <c r="J1507" i="11"/>
  <c r="J1505" i="11"/>
  <c r="J1503" i="11"/>
  <c r="J1501" i="11"/>
  <c r="J1499" i="11"/>
  <c r="J2256" i="11"/>
  <c r="J2248" i="11"/>
  <c r="J2240" i="11"/>
  <c r="J2232" i="11"/>
  <c r="J1876" i="11"/>
  <c r="J1524" i="11"/>
  <c r="J1878" i="11"/>
  <c r="J1526" i="11"/>
  <c r="J1510" i="11"/>
  <c r="J2250" i="11"/>
  <c r="J2242" i="11"/>
  <c r="J2234" i="11"/>
  <c r="J1880" i="11"/>
  <c r="J1864" i="11"/>
  <c r="J1512" i="11"/>
  <c r="J1882" i="11"/>
  <c r="J1866" i="11"/>
  <c r="J1514" i="11"/>
  <c r="J2252" i="11"/>
  <c r="J2244" i="11"/>
  <c r="J2236" i="11"/>
  <c r="J1884" i="11"/>
  <c r="J1868" i="11"/>
  <c r="J1886" i="11"/>
  <c r="J1870" i="11"/>
  <c r="J1518" i="11"/>
  <c r="J1502" i="11"/>
  <c r="J2254" i="11"/>
  <c r="J2246" i="11"/>
  <c r="J2238" i="11"/>
  <c r="J2230" i="11"/>
  <c r="J1888" i="11"/>
  <c r="J1872" i="11"/>
  <c r="J1520" i="11"/>
  <c r="J1504" i="11"/>
  <c r="J1160" i="11"/>
  <c r="J1158" i="11"/>
  <c r="J1156" i="11"/>
  <c r="J1154" i="11"/>
  <c r="J1152" i="11"/>
  <c r="J1150" i="11"/>
  <c r="J1148" i="11"/>
  <c r="J1146" i="11"/>
  <c r="J1144" i="11"/>
  <c r="J1142" i="11"/>
  <c r="J1140" i="11"/>
  <c r="J1138" i="11"/>
  <c r="J1136" i="11"/>
  <c r="J1134" i="11"/>
  <c r="J794" i="11"/>
  <c r="J792" i="11"/>
  <c r="J790" i="11"/>
  <c r="J788" i="11"/>
  <c r="J786" i="11"/>
  <c r="J784" i="11"/>
  <c r="J782" i="11"/>
  <c r="J780" i="11"/>
  <c r="J778" i="11"/>
  <c r="J776" i="11"/>
  <c r="J774" i="11"/>
  <c r="J772" i="11"/>
  <c r="J770" i="11"/>
  <c r="J768" i="11"/>
  <c r="J1508" i="11"/>
  <c r="J1890" i="11"/>
  <c r="J1161" i="11"/>
  <c r="J1159" i="11"/>
  <c r="J1157" i="11"/>
  <c r="J1155" i="11"/>
  <c r="J1153" i="11"/>
  <c r="J1151" i="11"/>
  <c r="J1149" i="11"/>
  <c r="J1147" i="11"/>
  <c r="J1145" i="11"/>
  <c r="J1143" i="11"/>
  <c r="J1141" i="11"/>
  <c r="J1139" i="11"/>
  <c r="J1137" i="11"/>
  <c r="J1135" i="11"/>
  <c r="J1133" i="11"/>
  <c r="J795" i="11"/>
  <c r="J793" i="11"/>
  <c r="J791" i="11"/>
  <c r="J789" i="11"/>
  <c r="J787" i="11"/>
  <c r="J785" i="11"/>
  <c r="J783" i="11"/>
  <c r="J781" i="11"/>
  <c r="J779" i="11"/>
  <c r="J777" i="11"/>
  <c r="J775" i="11"/>
  <c r="J773" i="11"/>
  <c r="J771" i="11"/>
  <c r="J769" i="11"/>
  <c r="J1516" i="11"/>
  <c r="J1522" i="11"/>
  <c r="J1506" i="11"/>
  <c r="J1500" i="11"/>
  <c r="J1874" i="11"/>
  <c r="J5727" i="11"/>
  <c r="J5725" i="11"/>
  <c r="J5723" i="11"/>
  <c r="J5721" i="11"/>
  <c r="J5719" i="11"/>
  <c r="J5717" i="11"/>
  <c r="J5715" i="11"/>
  <c r="J5713" i="11"/>
  <c r="J5711" i="11"/>
  <c r="J5709" i="11"/>
  <c r="J5707" i="11"/>
  <c r="J5705" i="11"/>
  <c r="J5703" i="11"/>
  <c r="J5701" i="11"/>
  <c r="J5699" i="11"/>
  <c r="J5724" i="11"/>
  <c r="J5716" i="11"/>
  <c r="J5708" i="11"/>
  <c r="J5700" i="11"/>
  <c r="J5726" i="11"/>
  <c r="J5718" i="11"/>
  <c r="J5710" i="11"/>
  <c r="J5702" i="11"/>
  <c r="J5722" i="11"/>
  <c r="J5714" i="11"/>
  <c r="J5706" i="11"/>
  <c r="J5698" i="11"/>
  <c r="J5728" i="11"/>
  <c r="J5720" i="11"/>
  <c r="J5712" i="11"/>
  <c r="J5704" i="11"/>
  <c r="J5361" i="11"/>
  <c r="J5359" i="11"/>
  <c r="J5357" i="11"/>
  <c r="J5355" i="11"/>
  <c r="J5353" i="11"/>
  <c r="J5351" i="11"/>
  <c r="J5349" i="11"/>
  <c r="J5347" i="11"/>
  <c r="J5345" i="11"/>
  <c r="J5343" i="11"/>
  <c r="J5341" i="11"/>
  <c r="J5339" i="11"/>
  <c r="J5337" i="11"/>
  <c r="J5335" i="11"/>
  <c r="J5333" i="11"/>
  <c r="J5362" i="11"/>
  <c r="J5358" i="11"/>
  <c r="J5354" i="11"/>
  <c r="J5350" i="11"/>
  <c r="J5346" i="11"/>
  <c r="J5342" i="11"/>
  <c r="J5338" i="11"/>
  <c r="J5334" i="11"/>
  <c r="J5360" i="11"/>
  <c r="J5356" i="11"/>
  <c r="J5352" i="11"/>
  <c r="J5348" i="11"/>
  <c r="J5344" i="11"/>
  <c r="J5340" i="11"/>
  <c r="J5336" i="11"/>
  <c r="J5332" i="11"/>
  <c r="J4994" i="11"/>
  <c r="J4992" i="11"/>
  <c r="J4990" i="11"/>
  <c r="J4988" i="11"/>
  <c r="J4986" i="11"/>
  <c r="J4984" i="11"/>
  <c r="J4982" i="11"/>
  <c r="J4980" i="11"/>
  <c r="J4978" i="11"/>
  <c r="J4976" i="11"/>
  <c r="J4974" i="11"/>
  <c r="J4972" i="11"/>
  <c r="J4970" i="11"/>
  <c r="J4968" i="11"/>
  <c r="J4996" i="11"/>
  <c r="J4995" i="11"/>
  <c r="J4993" i="11"/>
  <c r="J4991" i="11"/>
  <c r="J4989" i="11"/>
  <c r="J4987" i="11"/>
  <c r="J4985" i="11"/>
  <c r="J4983" i="11"/>
  <c r="J4981" i="11"/>
  <c r="J4979" i="11"/>
  <c r="J4977" i="11"/>
  <c r="J4975" i="11"/>
  <c r="J4973" i="11"/>
  <c r="J4971" i="11"/>
  <c r="J4969" i="11"/>
  <c r="J4967" i="11"/>
  <c r="J4631" i="11"/>
  <c r="J4629" i="11"/>
  <c r="J4627" i="11"/>
  <c r="J4625" i="11"/>
  <c r="J4623" i="11"/>
  <c r="J4621" i="11"/>
  <c r="J4619" i="11"/>
  <c r="J4617" i="11"/>
  <c r="J4615" i="11"/>
  <c r="J4613" i="11"/>
  <c r="J4611" i="11"/>
  <c r="J4609" i="11"/>
  <c r="J4607" i="11"/>
  <c r="J4605" i="11"/>
  <c r="J4603" i="11"/>
  <c r="J4997" i="11"/>
  <c r="J4632" i="11"/>
  <c r="J4630" i="11"/>
  <c r="J4628" i="11"/>
  <c r="J4626" i="11"/>
  <c r="J4624" i="11"/>
  <c r="J4622" i="11"/>
  <c r="J4620" i="11"/>
  <c r="J4618" i="11"/>
  <c r="J4616" i="11"/>
  <c r="J4614" i="11"/>
  <c r="J4612" i="11"/>
  <c r="J4610" i="11"/>
  <c r="J4608" i="11"/>
  <c r="J4606" i="11"/>
  <c r="J4604" i="11"/>
  <c r="J4602" i="11"/>
  <c r="J4267" i="11"/>
  <c r="J4265" i="11"/>
  <c r="J4263" i="11"/>
  <c r="J4261" i="11"/>
  <c r="J4259" i="11"/>
  <c r="J4257" i="11"/>
  <c r="J4255" i="11"/>
  <c r="J4253" i="11"/>
  <c r="J4251" i="11"/>
  <c r="J4249" i="11"/>
  <c r="J4247" i="11"/>
  <c r="J4245" i="11"/>
  <c r="J4243" i="11"/>
  <c r="J4241" i="11"/>
  <c r="J4239" i="11"/>
  <c r="J4237" i="11"/>
  <c r="J4266" i="11"/>
  <c r="J4264" i="11"/>
  <c r="J4262" i="11"/>
  <c r="J4260" i="11"/>
  <c r="J4258" i="11"/>
  <c r="J4256" i="11"/>
  <c r="J4254" i="11"/>
  <c r="J4252" i="11"/>
  <c r="J4250" i="11"/>
  <c r="J4248" i="11"/>
  <c r="J4246" i="11"/>
  <c r="J4244" i="11"/>
  <c r="J4242" i="11"/>
  <c r="J4240" i="11"/>
  <c r="J4238" i="11"/>
  <c r="J3900" i="11"/>
  <c r="J3898" i="11"/>
  <c r="J3896" i="11"/>
  <c r="J3894" i="11"/>
  <c r="J3892" i="11"/>
  <c r="J3890" i="11"/>
  <c r="J3888" i="11"/>
  <c r="J3886" i="11"/>
  <c r="J3884" i="11"/>
  <c r="J3882" i="11"/>
  <c r="J3880" i="11"/>
  <c r="J3878" i="11"/>
  <c r="J3876" i="11"/>
  <c r="J3874" i="11"/>
  <c r="J3872" i="11"/>
  <c r="J3887" i="11"/>
  <c r="J3871" i="11"/>
  <c r="J3889" i="11"/>
  <c r="J3873" i="11"/>
  <c r="J3891" i="11"/>
  <c r="J3875" i="11"/>
  <c r="J3893" i="11"/>
  <c r="J3877" i="11"/>
  <c r="J3535" i="11"/>
  <c r="J3533" i="11"/>
  <c r="J3531" i="11"/>
  <c r="J3529" i="11"/>
  <c r="J3527" i="11"/>
  <c r="J3525" i="11"/>
  <c r="J3523" i="11"/>
  <c r="J3521" i="11"/>
  <c r="J3519" i="11"/>
  <c r="J3517" i="11"/>
  <c r="J3515" i="11"/>
  <c r="J3513" i="11"/>
  <c r="J3511" i="11"/>
  <c r="J3509" i="11"/>
  <c r="J3507" i="11"/>
  <c r="J3895" i="11"/>
  <c r="J3879" i="11"/>
  <c r="J3897" i="11"/>
  <c r="J3881" i="11"/>
  <c r="J3899" i="11"/>
  <c r="J3883" i="11"/>
  <c r="J3534" i="11"/>
  <c r="J3518" i="11"/>
  <c r="J3171" i="11"/>
  <c r="J3169" i="11"/>
  <c r="J3167" i="11"/>
  <c r="J3165" i="11"/>
  <c r="J3163" i="11"/>
  <c r="J3161" i="11"/>
  <c r="J3159" i="11"/>
  <c r="J3157" i="11"/>
  <c r="J3536" i="11"/>
  <c r="J3520" i="11"/>
  <c r="J3901" i="11"/>
  <c r="J3522" i="11"/>
  <c r="J3506" i="11"/>
  <c r="J3524" i="11"/>
  <c r="J3508" i="11"/>
  <c r="J3526" i="11"/>
  <c r="J3510" i="11"/>
  <c r="J3528" i="11"/>
  <c r="J3512" i="11"/>
  <c r="J3530" i="11"/>
  <c r="J3514" i="11"/>
  <c r="J3885" i="11"/>
  <c r="J3516" i="11"/>
  <c r="J3164" i="11"/>
  <c r="J3155" i="11"/>
  <c r="J3153" i="11"/>
  <c r="J3151" i="11"/>
  <c r="J3149" i="11"/>
  <c r="J3147" i="11"/>
  <c r="J3145" i="11"/>
  <c r="J3143" i="11"/>
  <c r="J3141" i="11"/>
  <c r="J2805" i="11"/>
  <c r="J2803" i="11"/>
  <c r="J2801" i="11"/>
  <c r="J2799" i="11"/>
  <c r="J2797" i="11"/>
  <c r="J2795" i="11"/>
  <c r="J2793" i="11"/>
  <c r="J2791" i="11"/>
  <c r="J2789" i="11"/>
  <c r="J2787" i="11"/>
  <c r="J2785" i="11"/>
  <c r="J2783" i="11"/>
  <c r="J2781" i="11"/>
  <c r="J2779" i="11"/>
  <c r="J2777" i="11"/>
  <c r="J3166" i="11"/>
  <c r="J3168" i="11"/>
  <c r="J3156" i="11"/>
  <c r="J3154" i="11"/>
  <c r="J3152" i="11"/>
  <c r="J3150" i="11"/>
  <c r="J3148" i="11"/>
  <c r="J3146" i="11"/>
  <c r="J3144" i="11"/>
  <c r="J3142" i="11"/>
  <c r="J2806" i="11"/>
  <c r="J2804" i="11"/>
  <c r="J2802" i="11"/>
  <c r="J2800" i="11"/>
  <c r="J2798" i="11"/>
  <c r="J2796" i="11"/>
  <c r="J2794" i="11"/>
  <c r="J2792" i="11"/>
  <c r="J2790" i="11"/>
  <c r="J2788" i="11"/>
  <c r="J2786" i="11"/>
  <c r="J2784" i="11"/>
  <c r="J2782" i="11"/>
  <c r="J2780" i="11"/>
  <c r="J2778" i="11"/>
  <c r="J2776" i="11"/>
  <c r="J3532" i="11"/>
  <c r="J3158" i="11"/>
  <c r="J2439" i="11"/>
  <c r="J2437" i="11"/>
  <c r="J2435" i="11"/>
  <c r="J2433" i="11"/>
  <c r="J2431" i="11"/>
  <c r="J2429" i="11"/>
  <c r="J2427" i="11"/>
  <c r="J2425" i="11"/>
  <c r="J2423" i="11"/>
  <c r="J2421" i="11"/>
  <c r="J2419" i="11"/>
  <c r="J2417" i="11"/>
  <c r="J2415" i="11"/>
  <c r="J2413" i="11"/>
  <c r="J2411" i="11"/>
  <c r="J2075" i="11"/>
  <c r="J2073" i="11"/>
  <c r="J2071" i="11"/>
  <c r="J2069" i="11"/>
  <c r="J2067" i="11"/>
  <c r="J2065" i="11"/>
  <c r="J2063" i="11"/>
  <c r="J2061" i="11"/>
  <c r="J2059" i="11"/>
  <c r="J2057" i="11"/>
  <c r="J2055" i="11"/>
  <c r="J2053" i="11"/>
  <c r="J2051" i="11"/>
  <c r="J2049" i="11"/>
  <c r="J2047" i="11"/>
  <c r="J2045" i="11"/>
  <c r="J1709" i="11"/>
  <c r="J1707" i="11"/>
  <c r="J1705" i="11"/>
  <c r="J1703" i="11"/>
  <c r="J1701" i="11"/>
  <c r="J1699" i="11"/>
  <c r="J1697" i="11"/>
  <c r="J1695" i="11"/>
  <c r="J1693" i="11"/>
  <c r="J1691" i="11"/>
  <c r="J1689" i="11"/>
  <c r="J1687" i="11"/>
  <c r="J1685" i="11"/>
  <c r="J1683" i="11"/>
  <c r="J1681" i="11"/>
  <c r="J1345" i="11"/>
  <c r="J1343" i="11"/>
  <c r="J3170" i="11"/>
  <c r="J3160" i="11"/>
  <c r="J2436" i="11"/>
  <c r="J2420" i="11"/>
  <c r="J2068" i="11"/>
  <c r="J2052" i="11"/>
  <c r="J1700" i="11"/>
  <c r="J1684" i="11"/>
  <c r="J2426" i="11"/>
  <c r="J2410" i="11"/>
  <c r="J2070" i="11"/>
  <c r="J2054" i="11"/>
  <c r="J1702" i="11"/>
  <c r="J1686" i="11"/>
  <c r="J1341" i="11"/>
  <c r="J1339" i="11"/>
  <c r="J1337" i="11"/>
  <c r="J1335" i="11"/>
  <c r="J1333" i="11"/>
  <c r="J1331" i="11"/>
  <c r="J1329" i="11"/>
  <c r="J1327" i="11"/>
  <c r="J1325" i="11"/>
  <c r="J1323" i="11"/>
  <c r="J1321" i="11"/>
  <c r="J1319" i="11"/>
  <c r="J2432" i="11"/>
  <c r="J2416" i="11"/>
  <c r="J2072" i="11"/>
  <c r="J2056" i="11"/>
  <c r="J1704" i="11"/>
  <c r="J1688" i="11"/>
  <c r="J3162" i="11"/>
  <c r="J2438" i="11"/>
  <c r="J2422" i="11"/>
  <c r="J2074" i="11"/>
  <c r="J2058" i="11"/>
  <c r="J1706" i="11"/>
  <c r="J1690" i="11"/>
  <c r="J2428" i="11"/>
  <c r="J2412" i="11"/>
  <c r="J2060" i="11"/>
  <c r="J1708" i="11"/>
  <c r="J1692" i="11"/>
  <c r="J2434" i="11"/>
  <c r="J2418" i="11"/>
  <c r="J2062" i="11"/>
  <c r="J2046" i="11"/>
  <c r="J1710" i="11"/>
  <c r="J1694" i="11"/>
  <c r="J2440" i="11"/>
  <c r="J2424" i="11"/>
  <c r="J2064" i="11"/>
  <c r="J2048" i="11"/>
  <c r="J1696" i="11"/>
  <c r="J1680" i="11"/>
  <c r="J2430" i="11"/>
  <c r="J2414" i="11"/>
  <c r="J1344" i="11"/>
  <c r="J1334" i="11"/>
  <c r="J1318" i="11"/>
  <c r="J1316" i="11"/>
  <c r="J978" i="11"/>
  <c r="J976" i="11"/>
  <c r="J974" i="11"/>
  <c r="J972" i="11"/>
  <c r="J970" i="11"/>
  <c r="J968" i="11"/>
  <c r="J966" i="11"/>
  <c r="J964" i="11"/>
  <c r="J962" i="11"/>
  <c r="J960" i="11"/>
  <c r="J958" i="11"/>
  <c r="J956" i="11"/>
  <c r="J954" i="11"/>
  <c r="J952" i="11"/>
  <c r="J950" i="11"/>
  <c r="J614" i="11"/>
  <c r="J612" i="11"/>
  <c r="J610" i="11"/>
  <c r="J608" i="11"/>
  <c r="J606" i="11"/>
  <c r="J604" i="11"/>
  <c r="J602" i="11"/>
  <c r="J600" i="11"/>
  <c r="J598" i="11"/>
  <c r="J596" i="11"/>
  <c r="J594" i="11"/>
  <c r="J592" i="11"/>
  <c r="J590" i="11"/>
  <c r="J588" i="11"/>
  <c r="J586" i="11"/>
  <c r="J584" i="11"/>
  <c r="J1698" i="11"/>
  <c r="J1336" i="11"/>
  <c r="J1320" i="11"/>
  <c r="J2050" i="11"/>
  <c r="J1338" i="11"/>
  <c r="J1322" i="11"/>
  <c r="J1324" i="11"/>
  <c r="J1682" i="11"/>
  <c r="J1340" i="11"/>
  <c r="J1326" i="11"/>
  <c r="J1317" i="11"/>
  <c r="J1315" i="11"/>
  <c r="J979" i="11"/>
  <c r="J977" i="11"/>
  <c r="J975" i="11"/>
  <c r="J973" i="11"/>
  <c r="J971" i="11"/>
  <c r="J969" i="11"/>
  <c r="J967" i="11"/>
  <c r="J965" i="11"/>
  <c r="J963" i="11"/>
  <c r="J961" i="11"/>
  <c r="J959" i="11"/>
  <c r="J957" i="11"/>
  <c r="J955" i="11"/>
  <c r="J953" i="11"/>
  <c r="J951" i="11"/>
  <c r="J949" i="11"/>
  <c r="J1328" i="11"/>
  <c r="J1342" i="11"/>
  <c r="J1330" i="11"/>
  <c r="J2066" i="11"/>
  <c r="L9" i="8"/>
  <c r="L25" i="8"/>
  <c r="I98" i="11"/>
  <c r="I100" i="11"/>
  <c r="I102" i="11"/>
  <c r="I104" i="11"/>
  <c r="I106" i="11"/>
  <c r="I108" i="11"/>
  <c r="I110" i="11"/>
  <c r="I112" i="11"/>
  <c r="I114" i="11"/>
  <c r="I116" i="11"/>
  <c r="I118" i="11"/>
  <c r="I120" i="11"/>
  <c r="I122" i="11"/>
  <c r="I124" i="11"/>
  <c r="I126" i="11"/>
  <c r="I220" i="11"/>
  <c r="I222" i="11"/>
  <c r="I224" i="11"/>
  <c r="I226" i="11"/>
  <c r="I228" i="11"/>
  <c r="I230" i="11"/>
  <c r="I232" i="11"/>
  <c r="I234" i="11"/>
  <c r="I236" i="11"/>
  <c r="I238" i="11"/>
  <c r="I240" i="11"/>
  <c r="I242" i="11"/>
  <c r="I244" i="11"/>
  <c r="I246" i="11"/>
  <c r="I248" i="11"/>
  <c r="I342" i="11"/>
  <c r="I344" i="11"/>
  <c r="I346" i="11"/>
  <c r="I348" i="11"/>
  <c r="I350" i="11"/>
  <c r="I352" i="11"/>
  <c r="I354" i="11"/>
  <c r="I356" i="11"/>
  <c r="I358" i="11"/>
  <c r="I360" i="11"/>
  <c r="I362" i="11"/>
  <c r="I364" i="11"/>
  <c r="I366" i="11"/>
  <c r="I368" i="11"/>
  <c r="I370" i="11"/>
  <c r="I462" i="11"/>
  <c r="I464" i="11"/>
  <c r="I466" i="11"/>
  <c r="I468" i="11"/>
  <c r="I470" i="11"/>
  <c r="I472" i="11"/>
  <c r="I474" i="11"/>
  <c r="I476" i="11"/>
  <c r="I478" i="11"/>
  <c r="I480" i="11"/>
  <c r="I482" i="11"/>
  <c r="I484" i="11"/>
  <c r="I486" i="11"/>
  <c r="I488" i="11"/>
  <c r="I490" i="11"/>
  <c r="H563" i="11"/>
  <c r="J567" i="11"/>
  <c r="H572" i="11"/>
  <c r="H579" i="11"/>
  <c r="J583" i="11"/>
  <c r="I590" i="11"/>
  <c r="I597" i="11"/>
  <c r="J599" i="11"/>
  <c r="I606" i="11"/>
  <c r="I613" i="11"/>
  <c r="J615" i="11"/>
  <c r="H620" i="11"/>
  <c r="H627" i="11"/>
  <c r="H636" i="11"/>
  <c r="H643" i="11"/>
  <c r="J647" i="11"/>
  <c r="H652" i="11"/>
  <c r="H659" i="11"/>
  <c r="J663" i="11"/>
  <c r="H668" i="11"/>
  <c r="H675" i="11"/>
  <c r="J679" i="11"/>
  <c r="H684" i="11"/>
  <c r="H691" i="11"/>
  <c r="J695" i="11"/>
  <c r="H700" i="11"/>
  <c r="I709" i="11"/>
  <c r="J711" i="11"/>
  <c r="I721" i="11"/>
  <c r="I729" i="11"/>
  <c r="H740" i="11"/>
  <c r="H748" i="11"/>
  <c r="H756" i="11"/>
  <c r="H764" i="11"/>
  <c r="H772" i="11"/>
  <c r="H780" i="11"/>
  <c r="H796" i="11"/>
  <c r="H804" i="11"/>
  <c r="H812" i="11"/>
  <c r="H820" i="11"/>
  <c r="I833" i="11"/>
  <c r="I841" i="11"/>
  <c r="I849" i="11"/>
  <c r="H860" i="11"/>
  <c r="H868" i="11"/>
  <c r="H876" i="11"/>
  <c r="H884" i="11"/>
  <c r="H892" i="11"/>
  <c r="H900" i="11"/>
  <c r="H908" i="11"/>
  <c r="H924" i="11"/>
  <c r="H932" i="11"/>
  <c r="H940" i="11"/>
  <c r="H948" i="11"/>
  <c r="I953" i="11"/>
  <c r="I961" i="11"/>
  <c r="I969" i="11"/>
  <c r="I977" i="11"/>
  <c r="H980" i="11"/>
  <c r="H988" i="11"/>
  <c r="H996" i="11"/>
  <c r="H1004" i="11"/>
  <c r="H1012" i="11"/>
  <c r="H1020" i="11"/>
  <c r="H1028" i="11"/>
  <c r="H1044" i="11"/>
  <c r="H1052" i="11"/>
  <c r="H1060" i="11"/>
  <c r="H1068" i="11"/>
  <c r="I1073" i="11"/>
  <c r="I1081" i="11"/>
  <c r="I1089" i="11"/>
  <c r="I1097" i="11"/>
  <c r="I1194" i="11"/>
  <c r="I1202" i="11"/>
  <c r="I1208" i="11"/>
  <c r="H1367" i="11"/>
  <c r="H1417" i="11"/>
  <c r="H5543" i="11"/>
  <c r="H5541" i="11"/>
  <c r="H5539" i="11"/>
  <c r="H5537" i="11"/>
  <c r="H5535" i="11"/>
  <c r="H5544" i="11"/>
  <c r="H5542" i="11"/>
  <c r="H5540" i="11"/>
  <c r="H5538" i="11"/>
  <c r="H5536" i="11"/>
  <c r="H5534" i="11"/>
  <c r="H5532" i="11"/>
  <c r="H5530" i="11"/>
  <c r="H5528" i="11"/>
  <c r="H5526" i="11"/>
  <c r="H5524" i="11"/>
  <c r="H5522" i="11"/>
  <c r="H5520" i="11"/>
  <c r="H5518" i="11"/>
  <c r="H5516" i="11"/>
  <c r="H5529" i="11"/>
  <c r="H5521" i="11"/>
  <c r="H5533" i="11"/>
  <c r="H5525" i="11"/>
  <c r="H5517" i="11"/>
  <c r="H5531" i="11"/>
  <c r="H5519" i="11"/>
  <c r="H5523" i="11"/>
  <c r="H5527" i="11"/>
  <c r="H5177" i="11"/>
  <c r="H5169" i="11"/>
  <c r="H5161" i="11"/>
  <c r="H5153" i="11"/>
  <c r="H5174" i="11"/>
  <c r="H5166" i="11"/>
  <c r="H5158" i="11"/>
  <c r="H5171" i="11"/>
  <c r="H5163" i="11"/>
  <c r="H5155" i="11"/>
  <c r="H5178" i="11"/>
  <c r="H5170" i="11"/>
  <c r="H5162" i="11"/>
  <c r="H5154" i="11"/>
  <c r="H5175" i="11"/>
  <c r="H5167" i="11"/>
  <c r="H5159" i="11"/>
  <c r="H5151" i="11"/>
  <c r="H5176" i="11"/>
  <c r="H5157" i="11"/>
  <c r="H5152" i="11"/>
  <c r="H5165" i="11"/>
  <c r="H5156" i="11"/>
  <c r="H5160" i="11"/>
  <c r="H4812" i="11"/>
  <c r="H4810" i="11"/>
  <c r="H4808" i="11"/>
  <c r="H4806" i="11"/>
  <c r="H4804" i="11"/>
  <c r="H4802" i="11"/>
  <c r="H5173" i="11"/>
  <c r="H5164" i="11"/>
  <c r="H5168" i="11"/>
  <c r="H4792" i="11"/>
  <c r="H4789" i="11"/>
  <c r="H5172" i="11"/>
  <c r="H4798" i="11"/>
  <c r="H4795" i="11"/>
  <c r="H4813" i="11"/>
  <c r="H4809" i="11"/>
  <c r="H4805" i="11"/>
  <c r="H4801" i="11"/>
  <c r="H4788" i="11"/>
  <c r="H4794" i="11"/>
  <c r="H4791" i="11"/>
  <c r="H4800" i="11"/>
  <c r="H4797" i="11"/>
  <c r="H4790" i="11"/>
  <c r="H4787" i="11"/>
  <c r="H4811" i="11"/>
  <c r="H4807" i="11"/>
  <c r="H4803" i="11"/>
  <c r="H4796" i="11"/>
  <c r="H4793" i="11"/>
  <c r="H4799" i="11"/>
  <c r="H4786" i="11"/>
  <c r="H4445" i="11"/>
  <c r="H4443" i="11"/>
  <c r="H4441" i="11"/>
  <c r="H4439" i="11"/>
  <c r="H4437" i="11"/>
  <c r="H4435" i="11"/>
  <c r="H4433" i="11"/>
  <c r="H4431" i="11"/>
  <c r="H4429" i="11"/>
  <c r="H4427" i="11"/>
  <c r="H4425" i="11"/>
  <c r="H4423" i="11"/>
  <c r="H4421" i="11"/>
  <c r="H4447" i="11"/>
  <c r="H4446" i="11"/>
  <c r="H4444" i="11"/>
  <c r="H4442" i="11"/>
  <c r="H4440" i="11"/>
  <c r="H4438" i="11"/>
  <c r="H4436" i="11"/>
  <c r="H4434" i="11"/>
  <c r="H4432" i="11"/>
  <c r="H4430" i="11"/>
  <c r="H4428" i="11"/>
  <c r="H4426" i="11"/>
  <c r="H4424" i="11"/>
  <c r="H4422" i="11"/>
  <c r="H4448" i="11"/>
  <c r="H4082" i="11"/>
  <c r="H4080" i="11"/>
  <c r="H4078" i="11"/>
  <c r="H4076" i="11"/>
  <c r="H4074" i="11"/>
  <c r="H4072" i="11"/>
  <c r="H4070" i="11"/>
  <c r="H4068" i="11"/>
  <c r="H4066" i="11"/>
  <c r="H4064" i="11"/>
  <c r="H4062" i="11"/>
  <c r="H4060" i="11"/>
  <c r="H4058" i="11"/>
  <c r="H4056" i="11"/>
  <c r="H4083" i="11"/>
  <c r="H4079" i="11"/>
  <c r="H4075" i="11"/>
  <c r="H4071" i="11"/>
  <c r="H4067" i="11"/>
  <c r="H4063" i="11"/>
  <c r="H4059" i="11"/>
  <c r="H4055" i="11"/>
  <c r="H3716" i="11"/>
  <c r="H3714" i="11"/>
  <c r="H3712" i="11"/>
  <c r="H3710" i="11"/>
  <c r="H3708" i="11"/>
  <c r="H3706" i="11"/>
  <c r="H3704" i="11"/>
  <c r="H3702" i="11"/>
  <c r="H3700" i="11"/>
  <c r="H3698" i="11"/>
  <c r="H3696" i="11"/>
  <c r="H3694" i="11"/>
  <c r="H3692" i="11"/>
  <c r="H3690" i="11"/>
  <c r="H4081" i="11"/>
  <c r="H4077" i="11"/>
  <c r="H4073" i="11"/>
  <c r="H4069" i="11"/>
  <c r="H4065" i="11"/>
  <c r="H4061" i="11"/>
  <c r="H4057" i="11"/>
  <c r="H3705" i="11"/>
  <c r="H3347" i="11"/>
  <c r="H3338" i="11"/>
  <c r="H3331" i="11"/>
  <c r="H3711" i="11"/>
  <c r="H3695" i="11"/>
  <c r="H3349" i="11"/>
  <c r="H3340" i="11"/>
  <c r="H3333" i="11"/>
  <c r="H3717" i="11"/>
  <c r="H3701" i="11"/>
  <c r="H3351" i="11"/>
  <c r="H3342" i="11"/>
  <c r="H3335" i="11"/>
  <c r="H3326" i="11"/>
  <c r="H3707" i="11"/>
  <c r="H3691" i="11"/>
  <c r="H3344" i="11"/>
  <c r="H3337" i="11"/>
  <c r="H3328" i="11"/>
  <c r="H3713" i="11"/>
  <c r="H3697" i="11"/>
  <c r="H3346" i="11"/>
  <c r="H3339" i="11"/>
  <c r="H3330" i="11"/>
  <c r="H3703" i="11"/>
  <c r="H3348" i="11"/>
  <c r="H3341" i="11"/>
  <c r="H3332" i="11"/>
  <c r="H3325" i="11"/>
  <c r="H3709" i="11"/>
  <c r="H3693" i="11"/>
  <c r="H3350" i="11"/>
  <c r="H3343" i="11"/>
  <c r="H3334" i="11"/>
  <c r="H3327" i="11"/>
  <c r="H3329" i="11"/>
  <c r="H3699" i="11"/>
  <c r="H3352" i="11"/>
  <c r="H2987" i="11"/>
  <c r="H2985" i="11"/>
  <c r="H2983" i="11"/>
  <c r="H2981" i="11"/>
  <c r="H2979" i="11"/>
  <c r="H2977" i="11"/>
  <c r="H2975" i="11"/>
  <c r="H2973" i="11"/>
  <c r="H2971" i="11"/>
  <c r="H2969" i="11"/>
  <c r="H2967" i="11"/>
  <c r="H2965" i="11"/>
  <c r="H2963" i="11"/>
  <c r="H2961" i="11"/>
  <c r="H3345" i="11"/>
  <c r="H2974" i="11"/>
  <c r="H2617" i="11"/>
  <c r="H2609" i="11"/>
  <c r="H2601" i="11"/>
  <c r="H2980" i="11"/>
  <c r="H2964" i="11"/>
  <c r="H2622" i="11"/>
  <c r="H2614" i="11"/>
  <c r="H2606" i="11"/>
  <c r="H2598" i="11"/>
  <c r="H2986" i="11"/>
  <c r="H2970" i="11"/>
  <c r="H2619" i="11"/>
  <c r="H2611" i="11"/>
  <c r="H2603" i="11"/>
  <c r="H2595" i="11"/>
  <c r="H2255" i="11"/>
  <c r="H2253" i="11"/>
  <c r="H2251" i="11"/>
  <c r="H2249" i="11"/>
  <c r="H2247" i="11"/>
  <c r="H2245" i="11"/>
  <c r="H2243" i="11"/>
  <c r="H2241" i="11"/>
  <c r="H2239" i="11"/>
  <c r="H2237" i="11"/>
  <c r="H2235" i="11"/>
  <c r="H2233" i="11"/>
  <c r="H2231" i="11"/>
  <c r="H2229" i="11"/>
  <c r="H3715" i="11"/>
  <c r="H2976" i="11"/>
  <c r="H2960" i="11"/>
  <c r="H2616" i="11"/>
  <c r="H2608" i="11"/>
  <c r="H2600" i="11"/>
  <c r="H3336" i="11"/>
  <c r="H2972" i="11"/>
  <c r="H2618" i="11"/>
  <c r="H2610" i="11"/>
  <c r="H2602" i="11"/>
  <c r="H2594" i="11"/>
  <c r="H2978" i="11"/>
  <c r="H2962" i="11"/>
  <c r="H2615" i="11"/>
  <c r="H2607" i="11"/>
  <c r="H2599" i="11"/>
  <c r="H2604" i="11"/>
  <c r="H2254" i="11"/>
  <c r="H2246" i="11"/>
  <c r="H2238" i="11"/>
  <c r="H2230" i="11"/>
  <c r="H1888" i="11"/>
  <c r="H1881" i="11"/>
  <c r="H1872" i="11"/>
  <c r="H1865" i="11"/>
  <c r="H1520" i="11"/>
  <c r="H2966" i="11"/>
  <c r="H2621" i="11"/>
  <c r="H1890" i="11"/>
  <c r="H1883" i="11"/>
  <c r="H1874" i="11"/>
  <c r="H1867" i="11"/>
  <c r="H1522" i="11"/>
  <c r="H1515" i="11"/>
  <c r="H1506" i="11"/>
  <c r="H1499" i="11"/>
  <c r="H2984" i="11"/>
  <c r="H2596" i="11"/>
  <c r="H2256" i="11"/>
  <c r="H2248" i="11"/>
  <c r="H2240" i="11"/>
  <c r="H2232" i="11"/>
  <c r="H1885" i="11"/>
  <c r="H1876" i="11"/>
  <c r="H1869" i="11"/>
  <c r="H1524" i="11"/>
  <c r="H1517" i="11"/>
  <c r="H1508" i="11"/>
  <c r="H1501" i="11"/>
  <c r="H2613" i="11"/>
  <c r="H1887" i="11"/>
  <c r="H1878" i="11"/>
  <c r="H1871" i="11"/>
  <c r="H1526" i="11"/>
  <c r="H1519" i="11"/>
  <c r="H1510" i="11"/>
  <c r="H1503" i="11"/>
  <c r="H2968" i="11"/>
  <c r="H2620" i="11"/>
  <c r="H2250" i="11"/>
  <c r="H2242" i="11"/>
  <c r="H2234" i="11"/>
  <c r="H1889" i="11"/>
  <c r="H1880" i="11"/>
  <c r="H1873" i="11"/>
  <c r="H1864" i="11"/>
  <c r="H2605" i="11"/>
  <c r="H1891" i="11"/>
  <c r="H1882" i="11"/>
  <c r="H1875" i="11"/>
  <c r="H1866" i="11"/>
  <c r="H1523" i="11"/>
  <c r="H1514" i="11"/>
  <c r="H1507" i="11"/>
  <c r="H2612" i="11"/>
  <c r="H2252" i="11"/>
  <c r="H2244" i="11"/>
  <c r="H2236" i="11"/>
  <c r="H1884" i="11"/>
  <c r="H1877" i="11"/>
  <c r="H1868" i="11"/>
  <c r="H1525" i="11"/>
  <c r="H1516" i="11"/>
  <c r="H1509" i="11"/>
  <c r="H1500" i="11"/>
  <c r="H2982" i="11"/>
  <c r="H2597" i="11"/>
  <c r="H1512" i="11"/>
  <c r="H1870" i="11"/>
  <c r="H1518" i="11"/>
  <c r="H1521" i="11"/>
  <c r="H1505" i="11"/>
  <c r="H1502" i="11"/>
  <c r="H1160" i="11"/>
  <c r="H1158" i="11"/>
  <c r="H1156" i="11"/>
  <c r="H1154" i="11"/>
  <c r="H1152" i="11"/>
  <c r="H1150" i="11"/>
  <c r="H1148" i="11"/>
  <c r="H1146" i="11"/>
  <c r="H1144" i="11"/>
  <c r="H1142" i="11"/>
  <c r="H1140" i="11"/>
  <c r="H1138" i="11"/>
  <c r="H1136" i="11"/>
  <c r="H1134" i="11"/>
  <c r="H1511" i="11"/>
  <c r="H1879" i="11"/>
  <c r="H1513" i="11"/>
  <c r="H1504" i="11"/>
  <c r="H1886" i="11"/>
  <c r="H1161" i="11"/>
  <c r="H1159" i="11"/>
  <c r="H1157" i="11"/>
  <c r="H1155" i="11"/>
  <c r="H1153" i="11"/>
  <c r="H1151" i="11"/>
  <c r="H1149" i="11"/>
  <c r="H1147" i="11"/>
  <c r="H1145" i="11"/>
  <c r="H1143" i="11"/>
  <c r="H1141" i="11"/>
  <c r="H1139" i="11"/>
  <c r="H1137" i="11"/>
  <c r="H1135" i="11"/>
  <c r="H1133" i="11"/>
  <c r="H5666" i="11"/>
  <c r="H5664" i="11"/>
  <c r="H5662" i="11"/>
  <c r="H5660" i="11"/>
  <c r="H5658" i="11"/>
  <c r="H5656" i="11"/>
  <c r="H5654" i="11"/>
  <c r="H5652" i="11"/>
  <c r="H5650" i="11"/>
  <c r="H5648" i="11"/>
  <c r="H5646" i="11"/>
  <c r="H5644" i="11"/>
  <c r="H5640" i="11"/>
  <c r="H5637" i="11"/>
  <c r="H5663" i="11"/>
  <c r="H5659" i="11"/>
  <c r="H5655" i="11"/>
  <c r="H5651" i="11"/>
  <c r="H5647" i="11"/>
  <c r="H5643" i="11"/>
  <c r="H5665" i="11"/>
  <c r="H5661" i="11"/>
  <c r="H5657" i="11"/>
  <c r="H5653" i="11"/>
  <c r="H5649" i="11"/>
  <c r="H5645" i="11"/>
  <c r="H5638" i="11"/>
  <c r="H5642" i="11"/>
  <c r="H5641" i="11"/>
  <c r="H5300" i="11"/>
  <c r="H5298" i="11"/>
  <c r="H5296" i="11"/>
  <c r="H5294" i="11"/>
  <c r="H5292" i="11"/>
  <c r="H5290" i="11"/>
  <c r="H5288" i="11"/>
  <c r="H5286" i="11"/>
  <c r="H5284" i="11"/>
  <c r="H5282" i="11"/>
  <c r="H5280" i="11"/>
  <c r="H5278" i="11"/>
  <c r="H5276" i="11"/>
  <c r="H5639" i="11"/>
  <c r="H5299" i="11"/>
  <c r="H5297" i="11"/>
  <c r="H5295" i="11"/>
  <c r="H5293" i="11"/>
  <c r="H5291" i="11"/>
  <c r="H5289" i="11"/>
  <c r="H5287" i="11"/>
  <c r="H5285" i="11"/>
  <c r="H5283" i="11"/>
  <c r="H5281" i="11"/>
  <c r="H5279" i="11"/>
  <c r="H5277" i="11"/>
  <c r="H5275" i="11"/>
  <c r="H5273" i="11"/>
  <c r="H5271" i="11"/>
  <c r="H5272" i="11"/>
  <c r="H5274" i="11"/>
  <c r="H4935" i="11"/>
  <c r="H4933" i="11"/>
  <c r="H4931" i="11"/>
  <c r="H4929" i="11"/>
  <c r="H4927" i="11"/>
  <c r="H4925" i="11"/>
  <c r="H4923" i="11"/>
  <c r="H4921" i="11"/>
  <c r="H4919" i="11"/>
  <c r="H4917" i="11"/>
  <c r="H4915" i="11"/>
  <c r="H4913" i="11"/>
  <c r="H4911" i="11"/>
  <c r="H4909" i="11"/>
  <c r="H4907" i="11"/>
  <c r="H4934" i="11"/>
  <c r="H4932" i="11"/>
  <c r="H4930" i="11"/>
  <c r="H4928" i="11"/>
  <c r="H4926" i="11"/>
  <c r="H4924" i="11"/>
  <c r="H4922" i="11"/>
  <c r="H4920" i="11"/>
  <c r="H4918" i="11"/>
  <c r="H4916" i="11"/>
  <c r="H4914" i="11"/>
  <c r="H4912" i="11"/>
  <c r="H4910" i="11"/>
  <c r="H4908" i="11"/>
  <c r="H4906" i="11"/>
  <c r="H4569" i="11"/>
  <c r="H4567" i="11"/>
  <c r="H4565" i="11"/>
  <c r="H4563" i="11"/>
  <c r="H4561" i="11"/>
  <c r="H4559" i="11"/>
  <c r="H4557" i="11"/>
  <c r="H4555" i="11"/>
  <c r="H4553" i="11"/>
  <c r="H4551" i="11"/>
  <c r="H4549" i="11"/>
  <c r="H4547" i="11"/>
  <c r="H4545" i="11"/>
  <c r="H4543" i="11"/>
  <c r="H4541" i="11"/>
  <c r="H4558" i="11"/>
  <c r="H4542" i="11"/>
  <c r="H4568" i="11"/>
  <c r="H4552" i="11"/>
  <c r="H4562" i="11"/>
  <c r="H4546" i="11"/>
  <c r="H4556" i="11"/>
  <c r="H4566" i="11"/>
  <c r="H4550" i="11"/>
  <c r="H4560" i="11"/>
  <c r="H4544" i="11"/>
  <c r="H4570" i="11"/>
  <c r="H4554" i="11"/>
  <c r="H4196" i="11"/>
  <c r="H4187" i="11"/>
  <c r="H4180" i="11"/>
  <c r="H4203" i="11"/>
  <c r="H4198" i="11"/>
  <c r="H4189" i="11"/>
  <c r="H4182" i="11"/>
  <c r="H4200" i="11"/>
  <c r="H4191" i="11"/>
  <c r="H4184" i="11"/>
  <c r="H4205" i="11"/>
  <c r="H4193" i="11"/>
  <c r="H4186" i="11"/>
  <c r="H4177" i="11"/>
  <c r="H4197" i="11"/>
  <c r="H4190" i="11"/>
  <c r="H4181" i="11"/>
  <c r="H4564" i="11"/>
  <c r="H4204" i="11"/>
  <c r="H4199" i="11"/>
  <c r="H4192" i="11"/>
  <c r="H4183" i="11"/>
  <c r="H4176" i="11"/>
  <c r="H4194" i="11"/>
  <c r="H4179" i="11"/>
  <c r="H3838" i="11"/>
  <c r="H3836" i="11"/>
  <c r="H3834" i="11"/>
  <c r="H3832" i="11"/>
  <c r="H3830" i="11"/>
  <c r="H3828" i="11"/>
  <c r="H3826" i="11"/>
  <c r="H3824" i="11"/>
  <c r="H3822" i="11"/>
  <c r="H3820" i="11"/>
  <c r="H3818" i="11"/>
  <c r="H3816" i="11"/>
  <c r="H3814" i="11"/>
  <c r="H3812" i="11"/>
  <c r="H3810" i="11"/>
  <c r="H4188" i="11"/>
  <c r="H4202" i="11"/>
  <c r="H4178" i="11"/>
  <c r="H4201" i="11"/>
  <c r="H3839" i="11"/>
  <c r="H3837" i="11"/>
  <c r="H3835" i="11"/>
  <c r="H3833" i="11"/>
  <c r="H3831" i="11"/>
  <c r="H3829" i="11"/>
  <c r="H3827" i="11"/>
  <c r="H3825" i="11"/>
  <c r="H3823" i="11"/>
  <c r="H3821" i="11"/>
  <c r="H3819" i="11"/>
  <c r="H3817" i="11"/>
  <c r="H3815" i="11"/>
  <c r="H3813" i="11"/>
  <c r="H3811" i="11"/>
  <c r="H3466" i="11"/>
  <c r="H3459" i="11"/>
  <c r="H3450" i="11"/>
  <c r="H3468" i="11"/>
  <c r="H3461" i="11"/>
  <c r="H3452" i="11"/>
  <c r="H3445" i="11"/>
  <c r="H3470" i="11"/>
  <c r="H3463" i="11"/>
  <c r="H3454" i="11"/>
  <c r="H3447" i="11"/>
  <c r="H4195" i="11"/>
  <c r="H3472" i="11"/>
  <c r="H3465" i="11"/>
  <c r="H3456" i="11"/>
  <c r="H3449" i="11"/>
  <c r="H3474" i="11"/>
  <c r="H3467" i="11"/>
  <c r="H3458" i="11"/>
  <c r="H3451" i="11"/>
  <c r="H3469" i="11"/>
  <c r="H3460" i="11"/>
  <c r="H3453" i="11"/>
  <c r="H4548" i="11"/>
  <c r="H4185" i="11"/>
  <c r="H3471" i="11"/>
  <c r="H3462" i="11"/>
  <c r="H3455" i="11"/>
  <c r="H3446" i="11"/>
  <c r="H3464" i="11"/>
  <c r="H3109" i="11"/>
  <c r="H3107" i="11"/>
  <c r="H3105" i="11"/>
  <c r="H3103" i="11"/>
  <c r="H3101" i="11"/>
  <c r="H3099" i="11"/>
  <c r="H3097" i="11"/>
  <c r="H3095" i="11"/>
  <c r="H3093" i="11"/>
  <c r="H3091" i="11"/>
  <c r="H3089" i="11"/>
  <c r="H3087" i="11"/>
  <c r="H3085" i="11"/>
  <c r="H3083" i="11"/>
  <c r="H3081" i="11"/>
  <c r="H3457" i="11"/>
  <c r="H3473" i="11"/>
  <c r="H3102" i="11"/>
  <c r="H3086" i="11"/>
  <c r="H2737" i="11"/>
  <c r="H2729" i="11"/>
  <c r="H2721" i="11"/>
  <c r="H3108" i="11"/>
  <c r="H3092" i="11"/>
  <c r="H2742" i="11"/>
  <c r="H2734" i="11"/>
  <c r="H2726" i="11"/>
  <c r="H2718" i="11"/>
  <c r="H3098" i="11"/>
  <c r="H3082" i="11"/>
  <c r="H2739" i="11"/>
  <c r="H2731" i="11"/>
  <c r="H2723" i="11"/>
  <c r="H2715" i="11"/>
  <c r="H2377" i="11"/>
  <c r="H2375" i="11"/>
  <c r="H2373" i="11"/>
  <c r="H2371" i="11"/>
  <c r="H2369" i="11"/>
  <c r="H2367" i="11"/>
  <c r="H2365" i="11"/>
  <c r="H2363" i="11"/>
  <c r="H2361" i="11"/>
  <c r="H2359" i="11"/>
  <c r="H2357" i="11"/>
  <c r="H2355" i="11"/>
  <c r="H2353" i="11"/>
  <c r="H2351" i="11"/>
  <c r="H2349" i="11"/>
  <c r="H3448" i="11"/>
  <c r="H3104" i="11"/>
  <c r="H3088" i="11"/>
  <c r="H2744" i="11"/>
  <c r="H2736" i="11"/>
  <c r="H2728" i="11"/>
  <c r="H2720" i="11"/>
  <c r="H3094" i="11"/>
  <c r="H3100" i="11"/>
  <c r="H3084" i="11"/>
  <c r="H2738" i="11"/>
  <c r="H2730" i="11"/>
  <c r="H2722" i="11"/>
  <c r="H3106" i="11"/>
  <c r="H3090" i="11"/>
  <c r="H2743" i="11"/>
  <c r="H2735" i="11"/>
  <c r="H2727" i="11"/>
  <c r="H2719" i="11"/>
  <c r="H2741" i="11"/>
  <c r="H2376" i="11"/>
  <c r="H2368" i="11"/>
  <c r="H2360" i="11"/>
  <c r="H2352" i="11"/>
  <c r="H2009" i="11"/>
  <c r="H2000" i="11"/>
  <c r="H1993" i="11"/>
  <c r="H1984" i="11"/>
  <c r="H1648" i="11"/>
  <c r="H1641" i="11"/>
  <c r="H1632" i="11"/>
  <c r="H1625" i="11"/>
  <c r="H2716" i="11"/>
  <c r="H2011" i="11"/>
  <c r="H2002" i="11"/>
  <c r="H1995" i="11"/>
  <c r="H1986" i="11"/>
  <c r="H1643" i="11"/>
  <c r="H1634" i="11"/>
  <c r="H1627" i="11"/>
  <c r="H2733" i="11"/>
  <c r="H2378" i="11"/>
  <c r="H2370" i="11"/>
  <c r="H2362" i="11"/>
  <c r="H2354" i="11"/>
  <c r="H2013" i="11"/>
  <c r="H2004" i="11"/>
  <c r="H1997" i="11"/>
  <c r="H1988" i="11"/>
  <c r="H1645" i="11"/>
  <c r="H1636" i="11"/>
  <c r="H1629" i="11"/>
  <c r="H1620" i="11"/>
  <c r="H3096" i="11"/>
  <c r="H2740" i="11"/>
  <c r="H2006" i="11"/>
  <c r="H1999" i="11"/>
  <c r="H1990" i="11"/>
  <c r="H1647" i="11"/>
  <c r="H1638" i="11"/>
  <c r="H1631" i="11"/>
  <c r="H1622" i="11"/>
  <c r="H3080" i="11"/>
  <c r="H2725" i="11"/>
  <c r="H2372" i="11"/>
  <c r="H2364" i="11"/>
  <c r="H2356" i="11"/>
  <c r="H2008" i="11"/>
  <c r="H2001" i="11"/>
  <c r="H1992" i="11"/>
  <c r="H1985" i="11"/>
  <c r="H1640" i="11"/>
  <c r="H1633" i="11"/>
  <c r="H1624" i="11"/>
  <c r="H2732" i="11"/>
  <c r="H2010" i="11"/>
  <c r="H2003" i="11"/>
  <c r="H1994" i="11"/>
  <c r="H1987" i="11"/>
  <c r="H1642" i="11"/>
  <c r="H1635" i="11"/>
  <c r="H1626" i="11"/>
  <c r="H1619" i="11"/>
  <c r="H2717" i="11"/>
  <c r="H2374" i="11"/>
  <c r="H2366" i="11"/>
  <c r="H2358" i="11"/>
  <c r="H2350" i="11"/>
  <c r="H2012" i="11"/>
  <c r="H2005" i="11"/>
  <c r="H1996" i="11"/>
  <c r="H1989" i="11"/>
  <c r="H1644" i="11"/>
  <c r="H1637" i="11"/>
  <c r="H1628" i="11"/>
  <c r="H1621" i="11"/>
  <c r="H2724" i="11"/>
  <c r="H1630" i="11"/>
  <c r="H2007" i="11"/>
  <c r="H1282" i="11"/>
  <c r="H1280" i="11"/>
  <c r="H1278" i="11"/>
  <c r="H1276" i="11"/>
  <c r="H1274" i="11"/>
  <c r="H1272" i="11"/>
  <c r="H1270" i="11"/>
  <c r="H1268" i="11"/>
  <c r="H1266" i="11"/>
  <c r="H1264" i="11"/>
  <c r="H1262" i="11"/>
  <c r="H1260" i="11"/>
  <c r="H1258" i="11"/>
  <c r="H1256" i="11"/>
  <c r="H1254" i="11"/>
  <c r="H1991" i="11"/>
  <c r="H1639" i="11"/>
  <c r="H1998" i="11"/>
  <c r="H1646" i="11"/>
  <c r="H1283" i="11"/>
  <c r="H1281" i="11"/>
  <c r="H1279" i="11"/>
  <c r="H1277" i="11"/>
  <c r="H1275" i="11"/>
  <c r="H1273" i="11"/>
  <c r="H1271" i="11"/>
  <c r="H1269" i="11"/>
  <c r="H1267" i="11"/>
  <c r="H1265" i="11"/>
  <c r="H1263" i="11"/>
  <c r="H1261" i="11"/>
  <c r="H1259" i="11"/>
  <c r="H1257" i="11"/>
  <c r="H1255" i="11"/>
  <c r="H5788" i="11"/>
  <c r="H5786" i="11"/>
  <c r="H5784" i="11"/>
  <c r="H5782" i="11"/>
  <c r="H5780" i="11"/>
  <c r="H5778" i="11"/>
  <c r="H5776" i="11"/>
  <c r="H5774" i="11"/>
  <c r="H5772" i="11"/>
  <c r="H5770" i="11"/>
  <c r="H5768" i="11"/>
  <c r="H5766" i="11"/>
  <c r="H5764" i="11"/>
  <c r="H5762" i="11"/>
  <c r="H5760" i="11"/>
  <c r="H5789" i="11"/>
  <c r="H5785" i="11"/>
  <c r="H5781" i="11"/>
  <c r="H5777" i="11"/>
  <c r="H5773" i="11"/>
  <c r="H5769" i="11"/>
  <c r="H5765" i="11"/>
  <c r="H5761" i="11"/>
  <c r="H5759" i="11"/>
  <c r="H5779" i="11"/>
  <c r="H5771" i="11"/>
  <c r="H5775" i="11"/>
  <c r="H5787" i="11"/>
  <c r="H5783" i="11"/>
  <c r="H5767" i="11"/>
  <c r="H5423" i="11"/>
  <c r="H5415" i="11"/>
  <c r="H5408" i="11"/>
  <c r="H5401" i="11"/>
  <c r="H5420" i="11"/>
  <c r="H5410" i="11"/>
  <c r="H5403" i="11"/>
  <c r="H5394" i="11"/>
  <c r="H5763" i="11"/>
  <c r="H5417" i="11"/>
  <c r="H5412" i="11"/>
  <c r="H5405" i="11"/>
  <c r="H5396" i="11"/>
  <c r="H5422" i="11"/>
  <c r="H5414" i="11"/>
  <c r="H5407" i="11"/>
  <c r="H5398" i="11"/>
  <c r="H5419" i="11"/>
  <c r="H5409" i="11"/>
  <c r="H5400" i="11"/>
  <c r="H5393" i="11"/>
  <c r="H5416" i="11"/>
  <c r="H5411" i="11"/>
  <c r="H5402" i="11"/>
  <c r="H5395" i="11"/>
  <c r="H5421" i="11"/>
  <c r="H5413" i="11"/>
  <c r="H5404" i="11"/>
  <c r="H5397" i="11"/>
  <c r="H5418" i="11"/>
  <c r="H5406" i="11"/>
  <c r="H5399" i="11"/>
  <c r="H5058" i="11"/>
  <c r="H5056" i="11"/>
  <c r="H5054" i="11"/>
  <c r="H5052" i="11"/>
  <c r="H5050" i="11"/>
  <c r="H5048" i="11"/>
  <c r="H5046" i="11"/>
  <c r="H5044" i="11"/>
  <c r="H5042" i="11"/>
  <c r="H5040" i="11"/>
  <c r="H5038" i="11"/>
  <c r="H5036" i="11"/>
  <c r="H5034" i="11"/>
  <c r="H5032" i="11"/>
  <c r="H5030" i="11"/>
  <c r="H5028" i="11"/>
  <c r="H5057" i="11"/>
  <c r="H5055" i="11"/>
  <c r="H5053" i="11"/>
  <c r="H5051" i="11"/>
  <c r="H5049" i="11"/>
  <c r="H5047" i="11"/>
  <c r="H5045" i="11"/>
  <c r="H5043" i="11"/>
  <c r="H5041" i="11"/>
  <c r="H5039" i="11"/>
  <c r="H5037" i="11"/>
  <c r="H5035" i="11"/>
  <c r="H5033" i="11"/>
  <c r="H5031" i="11"/>
  <c r="H5029" i="11"/>
  <c r="H4693" i="11"/>
  <c r="H4691" i="11"/>
  <c r="H4689" i="11"/>
  <c r="H4687" i="11"/>
  <c r="H4685" i="11"/>
  <c r="H4683" i="11"/>
  <c r="H4681" i="11"/>
  <c r="H4679" i="11"/>
  <c r="H4677" i="11"/>
  <c r="H4675" i="11"/>
  <c r="H4673" i="11"/>
  <c r="H4671" i="11"/>
  <c r="H4669" i="11"/>
  <c r="H4667" i="11"/>
  <c r="H4665" i="11"/>
  <c r="H4663" i="11"/>
  <c r="H4686" i="11"/>
  <c r="H4670" i="11"/>
  <c r="H4680" i="11"/>
  <c r="H4664" i="11"/>
  <c r="H4690" i="11"/>
  <c r="H4674" i="11"/>
  <c r="H4327" i="11"/>
  <c r="H4325" i="11"/>
  <c r="H4323" i="11"/>
  <c r="H4321" i="11"/>
  <c r="H4319" i="11"/>
  <c r="H4317" i="11"/>
  <c r="H4315" i="11"/>
  <c r="H4313" i="11"/>
  <c r="H4311" i="11"/>
  <c r="H4309" i="11"/>
  <c r="H4307" i="11"/>
  <c r="H4305" i="11"/>
  <c r="H4684" i="11"/>
  <c r="H4668" i="11"/>
  <c r="H4678" i="11"/>
  <c r="H4688" i="11"/>
  <c r="H4672" i="11"/>
  <c r="H4682" i="11"/>
  <c r="H4666" i="11"/>
  <c r="H4326" i="11"/>
  <c r="H4322" i="11"/>
  <c r="H4318" i="11"/>
  <c r="H4314" i="11"/>
  <c r="H4310" i="11"/>
  <c r="H4306" i="11"/>
  <c r="H4299" i="11"/>
  <c r="H4302" i="11"/>
  <c r="H4301" i="11"/>
  <c r="H4298" i="11"/>
  <c r="H3962" i="11"/>
  <c r="H3960" i="11"/>
  <c r="H3958" i="11"/>
  <c r="H3956" i="11"/>
  <c r="H3954" i="11"/>
  <c r="H3952" i="11"/>
  <c r="H3950" i="11"/>
  <c r="H3948" i="11"/>
  <c r="H3946" i="11"/>
  <c r="H3944" i="11"/>
  <c r="H3942" i="11"/>
  <c r="H3940" i="11"/>
  <c r="H3938" i="11"/>
  <c r="H3936" i="11"/>
  <c r="H3934" i="11"/>
  <c r="H3932" i="11"/>
  <c r="H4328" i="11"/>
  <c r="H4324" i="11"/>
  <c r="H4320" i="11"/>
  <c r="H4316" i="11"/>
  <c r="H4312" i="11"/>
  <c r="H4308" i="11"/>
  <c r="H4304" i="11"/>
  <c r="H4692" i="11"/>
  <c r="H4303" i="11"/>
  <c r="H4300" i="11"/>
  <c r="H3957" i="11"/>
  <c r="H3941" i="11"/>
  <c r="H3947" i="11"/>
  <c r="H3596" i="11"/>
  <c r="H3594" i="11"/>
  <c r="H3592" i="11"/>
  <c r="H3590" i="11"/>
  <c r="H3588" i="11"/>
  <c r="H3586" i="11"/>
  <c r="H3584" i="11"/>
  <c r="H3582" i="11"/>
  <c r="H3580" i="11"/>
  <c r="H3578" i="11"/>
  <c r="H3576" i="11"/>
  <c r="H3574" i="11"/>
  <c r="H3572" i="11"/>
  <c r="H3570" i="11"/>
  <c r="H3568" i="11"/>
  <c r="H3953" i="11"/>
  <c r="H3937" i="11"/>
  <c r="H3959" i="11"/>
  <c r="H3943" i="11"/>
  <c r="H3949" i="11"/>
  <c r="H3933" i="11"/>
  <c r="H3955" i="11"/>
  <c r="H3939" i="11"/>
  <c r="H4676" i="11"/>
  <c r="H3961" i="11"/>
  <c r="H3945" i="11"/>
  <c r="H3595" i="11"/>
  <c r="H3587" i="11"/>
  <c r="H3579" i="11"/>
  <c r="H3571" i="11"/>
  <c r="H3597" i="11"/>
  <c r="H3589" i="11"/>
  <c r="H3581" i="11"/>
  <c r="H3573" i="11"/>
  <c r="H3951" i="11"/>
  <c r="H3591" i="11"/>
  <c r="H3583" i="11"/>
  <c r="H3575" i="11"/>
  <c r="H3567" i="11"/>
  <c r="H3935" i="11"/>
  <c r="H3232" i="11"/>
  <c r="H3224" i="11"/>
  <c r="H3217" i="11"/>
  <c r="H3208" i="11"/>
  <c r="H3577" i="11"/>
  <c r="H3229" i="11"/>
  <c r="H3219" i="11"/>
  <c r="H3210" i="11"/>
  <c r="H3203" i="11"/>
  <c r="H3226" i="11"/>
  <c r="H3221" i="11"/>
  <c r="H3212" i="11"/>
  <c r="H3205" i="11"/>
  <c r="H3569" i="11"/>
  <c r="H3231" i="11"/>
  <c r="H3223" i="11"/>
  <c r="H3228" i="11"/>
  <c r="H3216" i="11"/>
  <c r="H3209" i="11"/>
  <c r="H3593" i="11"/>
  <c r="H3225" i="11"/>
  <c r="H3218" i="11"/>
  <c r="H3211" i="11"/>
  <c r="H3202" i="11"/>
  <c r="H3230" i="11"/>
  <c r="H3213" i="11"/>
  <c r="H2865" i="11"/>
  <c r="H2857" i="11"/>
  <c r="H2849" i="11"/>
  <c r="H2841" i="11"/>
  <c r="H2862" i="11"/>
  <c r="H2854" i="11"/>
  <c r="H2846" i="11"/>
  <c r="H2838" i="11"/>
  <c r="H3222" i="11"/>
  <c r="H3215" i="11"/>
  <c r="H3206" i="11"/>
  <c r="H2867" i="11"/>
  <c r="H2859" i="11"/>
  <c r="H2851" i="11"/>
  <c r="H2843" i="11"/>
  <c r="H2501" i="11"/>
  <c r="H2499" i="11"/>
  <c r="H2497" i="11"/>
  <c r="H2495" i="11"/>
  <c r="H2493" i="11"/>
  <c r="H2491" i="11"/>
  <c r="H2489" i="11"/>
  <c r="H2487" i="11"/>
  <c r="H2485" i="11"/>
  <c r="H2483" i="11"/>
  <c r="H2481" i="11"/>
  <c r="H2479" i="11"/>
  <c r="H2477" i="11"/>
  <c r="H2475" i="11"/>
  <c r="H2473" i="11"/>
  <c r="H2471" i="11"/>
  <c r="H2135" i="11"/>
  <c r="H2133" i="11"/>
  <c r="H2131" i="11"/>
  <c r="H2129" i="11"/>
  <c r="H2127" i="11"/>
  <c r="H2125" i="11"/>
  <c r="H2123" i="11"/>
  <c r="H2121" i="11"/>
  <c r="H2119" i="11"/>
  <c r="H2117" i="11"/>
  <c r="H2115" i="11"/>
  <c r="H2113" i="11"/>
  <c r="H2111" i="11"/>
  <c r="H2109" i="11"/>
  <c r="H2107" i="11"/>
  <c r="H2864" i="11"/>
  <c r="H2856" i="11"/>
  <c r="H2848" i="11"/>
  <c r="H2840" i="11"/>
  <c r="H3585" i="11"/>
  <c r="H3214" i="11"/>
  <c r="H2866" i="11"/>
  <c r="H2858" i="11"/>
  <c r="H2850" i="11"/>
  <c r="H2842" i="11"/>
  <c r="H2863" i="11"/>
  <c r="H2855" i="11"/>
  <c r="H2847" i="11"/>
  <c r="H2839" i="11"/>
  <c r="H2500" i="11"/>
  <c r="H2498" i="11"/>
  <c r="H2496" i="11"/>
  <c r="H2494" i="11"/>
  <c r="H2492" i="11"/>
  <c r="H2490" i="11"/>
  <c r="H2488" i="11"/>
  <c r="H2486" i="11"/>
  <c r="H2484" i="11"/>
  <c r="H2482" i="11"/>
  <c r="H2480" i="11"/>
  <c r="H2478" i="11"/>
  <c r="H2476" i="11"/>
  <c r="H2474" i="11"/>
  <c r="H2472" i="11"/>
  <c r="H3204" i="11"/>
  <c r="H2861" i="11"/>
  <c r="H2134" i="11"/>
  <c r="H2126" i="11"/>
  <c r="H2118" i="11"/>
  <c r="H2110" i="11"/>
  <c r="H1769" i="11"/>
  <c r="H1760" i="11"/>
  <c r="H1753" i="11"/>
  <c r="H1744" i="11"/>
  <c r="H3207" i="11"/>
  <c r="H1771" i="11"/>
  <c r="H1762" i="11"/>
  <c r="H1755" i="11"/>
  <c r="H1746" i="11"/>
  <c r="H1403" i="11"/>
  <c r="H1394" i="11"/>
  <c r="H1387" i="11"/>
  <c r="H1378" i="11"/>
  <c r="H2853" i="11"/>
  <c r="H2136" i="11"/>
  <c r="H2128" i="11"/>
  <c r="H2120" i="11"/>
  <c r="H2112" i="11"/>
  <c r="H1764" i="11"/>
  <c r="H1757" i="11"/>
  <c r="H1748" i="11"/>
  <c r="H1741" i="11"/>
  <c r="H1405" i="11"/>
  <c r="H1396" i="11"/>
  <c r="H1389" i="11"/>
  <c r="H1380" i="11"/>
  <c r="H2860" i="11"/>
  <c r="H1766" i="11"/>
  <c r="H1759" i="11"/>
  <c r="H1750" i="11"/>
  <c r="H1743" i="11"/>
  <c r="H1398" i="11"/>
  <c r="H1391" i="11"/>
  <c r="H1382" i="11"/>
  <c r="H2845" i="11"/>
  <c r="H2130" i="11"/>
  <c r="H2122" i="11"/>
  <c r="H2114" i="11"/>
  <c r="H2106" i="11"/>
  <c r="H1768" i="11"/>
  <c r="H1761" i="11"/>
  <c r="H1752" i="11"/>
  <c r="H1745" i="11"/>
  <c r="H2852" i="11"/>
  <c r="H1770" i="11"/>
  <c r="H1763" i="11"/>
  <c r="H1754" i="11"/>
  <c r="H1747" i="11"/>
  <c r="H3220" i="11"/>
  <c r="H2837" i="11"/>
  <c r="H2132" i="11"/>
  <c r="H2124" i="11"/>
  <c r="H2116" i="11"/>
  <c r="H2108" i="11"/>
  <c r="H1765" i="11"/>
  <c r="H1756" i="11"/>
  <c r="H1749" i="11"/>
  <c r="H3227" i="11"/>
  <c r="H2844" i="11"/>
  <c r="H1406" i="11"/>
  <c r="H1384" i="11"/>
  <c r="H1381" i="11"/>
  <c r="H1376" i="11"/>
  <c r="H1751" i="11"/>
  <c r="H1400" i="11"/>
  <c r="H1397" i="11"/>
  <c r="H1392" i="11"/>
  <c r="H1758" i="11"/>
  <c r="H1386" i="11"/>
  <c r="H1402" i="11"/>
  <c r="H1383" i="11"/>
  <c r="H1399" i="11"/>
  <c r="H1377" i="11"/>
  <c r="H1742" i="11"/>
  <c r="H1393" i="11"/>
  <c r="H1388" i="11"/>
  <c r="H1385" i="11"/>
  <c r="H1767" i="11"/>
  <c r="H1404" i="11"/>
  <c r="H1401" i="11"/>
  <c r="H1379" i="11"/>
  <c r="J5573" i="11"/>
  <c r="J5560" i="11"/>
  <c r="J5557" i="11"/>
  <c r="J5566" i="11"/>
  <c r="J5563" i="11"/>
  <c r="J5550" i="11"/>
  <c r="J5547" i="11"/>
  <c r="J5572" i="11"/>
  <c r="J5569" i="11"/>
  <c r="J5556" i="11"/>
  <c r="J5553" i="11"/>
  <c r="J5574" i="11"/>
  <c r="J5571" i="11"/>
  <c r="J5558" i="11"/>
  <c r="J5555" i="11"/>
  <c r="J5564" i="11"/>
  <c r="J5561" i="11"/>
  <c r="J5548" i="11"/>
  <c r="J5545" i="11"/>
  <c r="J5551" i="11"/>
  <c r="J5546" i="11"/>
  <c r="J5570" i="11"/>
  <c r="J5565" i="11"/>
  <c r="J5575" i="11"/>
  <c r="J5554" i="11"/>
  <c r="J5549" i="11"/>
  <c r="J5559" i="11"/>
  <c r="J5568" i="11"/>
  <c r="J5552" i="11"/>
  <c r="J5562" i="11"/>
  <c r="J5567" i="11"/>
  <c r="J5209" i="11"/>
  <c r="J5207" i="11"/>
  <c r="J5205" i="11"/>
  <c r="J5203" i="11"/>
  <c r="J5201" i="11"/>
  <c r="J5199" i="11"/>
  <c r="J5197" i="11"/>
  <c r="J5195" i="11"/>
  <c r="J5193" i="11"/>
  <c r="J5191" i="11"/>
  <c r="J5189" i="11"/>
  <c r="J5187" i="11"/>
  <c r="J5185" i="11"/>
  <c r="J5183" i="11"/>
  <c r="J5181" i="11"/>
  <c r="J5179" i="11"/>
  <c r="J5206" i="11"/>
  <c r="J5198" i="11"/>
  <c r="J5190" i="11"/>
  <c r="J5182" i="11"/>
  <c r="J5208" i="11"/>
  <c r="J5200" i="11"/>
  <c r="J5192" i="11"/>
  <c r="J5184" i="11"/>
  <c r="J5204" i="11"/>
  <c r="J5196" i="11"/>
  <c r="J5188" i="11"/>
  <c r="J5180" i="11"/>
  <c r="J5194" i="11"/>
  <c r="J4844" i="11"/>
  <c r="J4842" i="11"/>
  <c r="J4840" i="11"/>
  <c r="J4838" i="11"/>
  <c r="J4836" i="11"/>
  <c r="J4834" i="11"/>
  <c r="J4832" i="11"/>
  <c r="J4830" i="11"/>
  <c r="J4828" i="11"/>
  <c r="J4826" i="11"/>
  <c r="J4824" i="11"/>
  <c r="J4822" i="11"/>
  <c r="J4820" i="11"/>
  <c r="J4818" i="11"/>
  <c r="J4816" i="11"/>
  <c r="J4814" i="11"/>
  <c r="J5202" i="11"/>
  <c r="J5186" i="11"/>
  <c r="J4843" i="11"/>
  <c r="J4841" i="11"/>
  <c r="J4839" i="11"/>
  <c r="J4837" i="11"/>
  <c r="J4835" i="11"/>
  <c r="J4833" i="11"/>
  <c r="J4831" i="11"/>
  <c r="J4829" i="11"/>
  <c r="J4827" i="11"/>
  <c r="J4825" i="11"/>
  <c r="J4823" i="11"/>
  <c r="J4821" i="11"/>
  <c r="J4819" i="11"/>
  <c r="J4817" i="11"/>
  <c r="J4815" i="11"/>
  <c r="J4479" i="11"/>
  <c r="J4477" i="11"/>
  <c r="J4475" i="11"/>
  <c r="J4473" i="11"/>
  <c r="J4471" i="11"/>
  <c r="J4469" i="11"/>
  <c r="J4467" i="11"/>
  <c r="J4465" i="11"/>
  <c r="J4463" i="11"/>
  <c r="J4461" i="11"/>
  <c r="J4459" i="11"/>
  <c r="J4457" i="11"/>
  <c r="J4455" i="11"/>
  <c r="J4478" i="11"/>
  <c r="J4476" i="11"/>
  <c r="J4474" i="11"/>
  <c r="J4472" i="11"/>
  <c r="J4470" i="11"/>
  <c r="J4468" i="11"/>
  <c r="J4466" i="11"/>
  <c r="J4464" i="11"/>
  <c r="J4462" i="11"/>
  <c r="J4460" i="11"/>
  <c r="J4458" i="11"/>
  <c r="J4456" i="11"/>
  <c r="J4454" i="11"/>
  <c r="J4452" i="11"/>
  <c r="J4450" i="11"/>
  <c r="J4449" i="11"/>
  <c r="J4451" i="11"/>
  <c r="J4453" i="11"/>
  <c r="J4114" i="11"/>
  <c r="J4112" i="11"/>
  <c r="J4110" i="11"/>
  <c r="J4108" i="11"/>
  <c r="J4106" i="11"/>
  <c r="J4104" i="11"/>
  <c r="J4102" i="11"/>
  <c r="J4100" i="11"/>
  <c r="J4098" i="11"/>
  <c r="J4096" i="11"/>
  <c r="J4094" i="11"/>
  <c r="J4092" i="11"/>
  <c r="J4090" i="11"/>
  <c r="J4088" i="11"/>
  <c r="J4086" i="11"/>
  <c r="J4084" i="11"/>
  <c r="J4113" i="11"/>
  <c r="J4111" i="11"/>
  <c r="J4109" i="11"/>
  <c r="J4107" i="11"/>
  <c r="J4105" i="11"/>
  <c r="J4103" i="11"/>
  <c r="J4101" i="11"/>
  <c r="J4099" i="11"/>
  <c r="J4097" i="11"/>
  <c r="J4095" i="11"/>
  <c r="J4093" i="11"/>
  <c r="J4091" i="11"/>
  <c r="J4089" i="11"/>
  <c r="J4087" i="11"/>
  <c r="J4085" i="11"/>
  <c r="J3747" i="11"/>
  <c r="J3745" i="11"/>
  <c r="J3743" i="11"/>
  <c r="J3741" i="11"/>
  <c r="J3739" i="11"/>
  <c r="J3737" i="11"/>
  <c r="J3735" i="11"/>
  <c r="J3733" i="11"/>
  <c r="J3731" i="11"/>
  <c r="J3729" i="11"/>
  <c r="J3727" i="11"/>
  <c r="J3725" i="11"/>
  <c r="J3723" i="11"/>
  <c r="J3721" i="11"/>
  <c r="J3719" i="11"/>
  <c r="J3383" i="11"/>
  <c r="J3381" i="11"/>
  <c r="J3379" i="11"/>
  <c r="J3377" i="11"/>
  <c r="J3375" i="11"/>
  <c r="J3373" i="11"/>
  <c r="J3371" i="11"/>
  <c r="J3369" i="11"/>
  <c r="J3367" i="11"/>
  <c r="J3365" i="11"/>
  <c r="J3363" i="11"/>
  <c r="J3361" i="11"/>
  <c r="J3359" i="11"/>
  <c r="J3357" i="11"/>
  <c r="J3355" i="11"/>
  <c r="J3353" i="11"/>
  <c r="J3374" i="11"/>
  <c r="J3358" i="11"/>
  <c r="J3744" i="11"/>
  <c r="J3736" i="11"/>
  <c r="J3728" i="11"/>
  <c r="J3720" i="11"/>
  <c r="J3376" i="11"/>
  <c r="J3360" i="11"/>
  <c r="J3378" i="11"/>
  <c r="J3362" i="11"/>
  <c r="J3746" i="11"/>
  <c r="J3738" i="11"/>
  <c r="J3730" i="11"/>
  <c r="J3722" i="11"/>
  <c r="J3380" i="11"/>
  <c r="J3364" i="11"/>
  <c r="J3382" i="11"/>
  <c r="J3366" i="11"/>
  <c r="J3748" i="11"/>
  <c r="J3740" i="11"/>
  <c r="J3732" i="11"/>
  <c r="J3724" i="11"/>
  <c r="J3368" i="11"/>
  <c r="J3370" i="11"/>
  <c r="J3354" i="11"/>
  <c r="J3726" i="11"/>
  <c r="J3017" i="11"/>
  <c r="J3015" i="11"/>
  <c r="J3013" i="11"/>
  <c r="J3011" i="11"/>
  <c r="J3009" i="11"/>
  <c r="J3007" i="11"/>
  <c r="J3005" i="11"/>
  <c r="J3003" i="11"/>
  <c r="J3001" i="11"/>
  <c r="J2999" i="11"/>
  <c r="J2997" i="11"/>
  <c r="J2995" i="11"/>
  <c r="J2993" i="11"/>
  <c r="J2991" i="11"/>
  <c r="J2989" i="11"/>
  <c r="J2653" i="11"/>
  <c r="J2651" i="11"/>
  <c r="J2649" i="11"/>
  <c r="J2647" i="11"/>
  <c r="J2645" i="11"/>
  <c r="J2643" i="11"/>
  <c r="J2641" i="11"/>
  <c r="J2639" i="11"/>
  <c r="J2637" i="11"/>
  <c r="J2635" i="11"/>
  <c r="J2633" i="11"/>
  <c r="J2631" i="11"/>
  <c r="J2629" i="11"/>
  <c r="J2627" i="11"/>
  <c r="J2625" i="11"/>
  <c r="J2623" i="11"/>
  <c r="J3356" i="11"/>
  <c r="J3718" i="11"/>
  <c r="J3742" i="11"/>
  <c r="J3018" i="11"/>
  <c r="J3016" i="11"/>
  <c r="J3014" i="11"/>
  <c r="J3012" i="11"/>
  <c r="J3010" i="11"/>
  <c r="J3008" i="11"/>
  <c r="J3006" i="11"/>
  <c r="J3004" i="11"/>
  <c r="J3002" i="11"/>
  <c r="J3000" i="11"/>
  <c r="J2998" i="11"/>
  <c r="J2996" i="11"/>
  <c r="J2994" i="11"/>
  <c r="J2992" i="11"/>
  <c r="J2990" i="11"/>
  <c r="J2988" i="11"/>
  <c r="J2652" i="11"/>
  <c r="J2650" i="11"/>
  <c r="J2648" i="11"/>
  <c r="J2646" i="11"/>
  <c r="J2644" i="11"/>
  <c r="J2642" i="11"/>
  <c r="J2640" i="11"/>
  <c r="J2638" i="11"/>
  <c r="J2636" i="11"/>
  <c r="J2634" i="11"/>
  <c r="J2632" i="11"/>
  <c r="J2630" i="11"/>
  <c r="J2628" i="11"/>
  <c r="J2626" i="11"/>
  <c r="J2624" i="11"/>
  <c r="J3734" i="11"/>
  <c r="J3372" i="11"/>
  <c r="J2287" i="11"/>
  <c r="J2285" i="11"/>
  <c r="J2283" i="11"/>
  <c r="J2281" i="11"/>
  <c r="J2279" i="11"/>
  <c r="J2277" i="11"/>
  <c r="J2275" i="11"/>
  <c r="J2273" i="11"/>
  <c r="J2271" i="11"/>
  <c r="J2269" i="11"/>
  <c r="J2267" i="11"/>
  <c r="J2265" i="11"/>
  <c r="J2263" i="11"/>
  <c r="J2261" i="11"/>
  <c r="J2259" i="11"/>
  <c r="J2257" i="11"/>
  <c r="J1921" i="11"/>
  <c r="J1919" i="11"/>
  <c r="J1917" i="11"/>
  <c r="J1915" i="11"/>
  <c r="J1913" i="11"/>
  <c r="J1911" i="11"/>
  <c r="J1909" i="11"/>
  <c r="J1907" i="11"/>
  <c r="J1905" i="11"/>
  <c r="J1903" i="11"/>
  <c r="J1901" i="11"/>
  <c r="J1899" i="11"/>
  <c r="J1897" i="11"/>
  <c r="J1895" i="11"/>
  <c r="J1893" i="11"/>
  <c r="J1557" i="11"/>
  <c r="J1555" i="11"/>
  <c r="J1553" i="11"/>
  <c r="J1551" i="11"/>
  <c r="J1549" i="11"/>
  <c r="J1547" i="11"/>
  <c r="J1545" i="11"/>
  <c r="J1543" i="11"/>
  <c r="J1541" i="11"/>
  <c r="J1539" i="11"/>
  <c r="J1537" i="11"/>
  <c r="J1535" i="11"/>
  <c r="J1533" i="11"/>
  <c r="J1531" i="11"/>
  <c r="J1529" i="11"/>
  <c r="J1527" i="11"/>
  <c r="J2280" i="11"/>
  <c r="J2272" i="11"/>
  <c r="J2264" i="11"/>
  <c r="J1908" i="11"/>
  <c r="J1892" i="11"/>
  <c r="J1556" i="11"/>
  <c r="J1540" i="11"/>
  <c r="J1910" i="11"/>
  <c r="J1894" i="11"/>
  <c r="J1542" i="11"/>
  <c r="J2282" i="11"/>
  <c r="J2274" i="11"/>
  <c r="J2266" i="11"/>
  <c r="J2258" i="11"/>
  <c r="J1912" i="11"/>
  <c r="J1896" i="11"/>
  <c r="J1544" i="11"/>
  <c r="J1528" i="11"/>
  <c r="J1914" i="11"/>
  <c r="J1898" i="11"/>
  <c r="J1546" i="11"/>
  <c r="J1530" i="11"/>
  <c r="J2284" i="11"/>
  <c r="J2276" i="11"/>
  <c r="J2268" i="11"/>
  <c r="J2260" i="11"/>
  <c r="J1916" i="11"/>
  <c r="J1900" i="11"/>
  <c r="J1918" i="11"/>
  <c r="J1902" i="11"/>
  <c r="J1550" i="11"/>
  <c r="J1534" i="11"/>
  <c r="J2286" i="11"/>
  <c r="J2278" i="11"/>
  <c r="J2270" i="11"/>
  <c r="J2262" i="11"/>
  <c r="J1920" i="11"/>
  <c r="J1904" i="11"/>
  <c r="J1552" i="11"/>
  <c r="J1536" i="11"/>
  <c r="J1538" i="11"/>
  <c r="J1192" i="11"/>
  <c r="J1190" i="11"/>
  <c r="J1188" i="11"/>
  <c r="J1186" i="11"/>
  <c r="J1184" i="11"/>
  <c r="J1182" i="11"/>
  <c r="J1180" i="11"/>
  <c r="J1178" i="11"/>
  <c r="J1176" i="11"/>
  <c r="J1174" i="11"/>
  <c r="J1172" i="11"/>
  <c r="J1170" i="11"/>
  <c r="J1168" i="11"/>
  <c r="J1166" i="11"/>
  <c r="J1164" i="11"/>
  <c r="J1162" i="11"/>
  <c r="J826" i="11"/>
  <c r="J824" i="11"/>
  <c r="J822" i="11"/>
  <c r="J820" i="11"/>
  <c r="J818" i="11"/>
  <c r="J816" i="11"/>
  <c r="J814" i="11"/>
  <c r="J812" i="11"/>
  <c r="J810" i="11"/>
  <c r="J808" i="11"/>
  <c r="J806" i="11"/>
  <c r="J804" i="11"/>
  <c r="J802" i="11"/>
  <c r="J800" i="11"/>
  <c r="J798" i="11"/>
  <c r="J796" i="11"/>
  <c r="J1906" i="11"/>
  <c r="J1548" i="11"/>
  <c r="J1554" i="11"/>
  <c r="J1191" i="11"/>
  <c r="J1189" i="11"/>
  <c r="J1187" i="11"/>
  <c r="J1185" i="11"/>
  <c r="J1183" i="11"/>
  <c r="J1181" i="11"/>
  <c r="J1179" i="11"/>
  <c r="J1177" i="11"/>
  <c r="J1175" i="11"/>
  <c r="J1173" i="11"/>
  <c r="J1171" i="11"/>
  <c r="J1169" i="11"/>
  <c r="J1167" i="11"/>
  <c r="J1165" i="11"/>
  <c r="J1163" i="11"/>
  <c r="J825" i="11"/>
  <c r="J823" i="11"/>
  <c r="J821" i="11"/>
  <c r="J819" i="11"/>
  <c r="J817" i="11"/>
  <c r="J815" i="11"/>
  <c r="J813" i="11"/>
  <c r="J811" i="11"/>
  <c r="J809" i="11"/>
  <c r="J807" i="11"/>
  <c r="J805" i="11"/>
  <c r="J803" i="11"/>
  <c r="J801" i="11"/>
  <c r="J799" i="11"/>
  <c r="J797" i="11"/>
  <c r="J1922" i="11"/>
  <c r="M10" i="8"/>
  <c r="L10" i="8"/>
  <c r="M11" i="8"/>
  <c r="L15" i="8"/>
  <c r="M36" i="8"/>
  <c r="L36" i="8"/>
  <c r="J66" i="11"/>
  <c r="J68" i="11"/>
  <c r="J70" i="11"/>
  <c r="J72" i="11"/>
  <c r="J74" i="11"/>
  <c r="J76" i="11"/>
  <c r="J78" i="11"/>
  <c r="J80" i="11"/>
  <c r="J82" i="11"/>
  <c r="J84" i="11"/>
  <c r="J86" i="11"/>
  <c r="J88" i="11"/>
  <c r="J90" i="11"/>
  <c r="J92" i="11"/>
  <c r="J94" i="11"/>
  <c r="J96" i="11"/>
  <c r="J188" i="11"/>
  <c r="J190" i="11"/>
  <c r="J192" i="11"/>
  <c r="J194" i="11"/>
  <c r="J196" i="11"/>
  <c r="J198" i="11"/>
  <c r="J200" i="11"/>
  <c r="J202" i="11"/>
  <c r="J204" i="11"/>
  <c r="J206" i="11"/>
  <c r="J208" i="11"/>
  <c r="J210" i="11"/>
  <c r="J212" i="11"/>
  <c r="J214" i="11"/>
  <c r="J216" i="11"/>
  <c r="J218" i="11"/>
  <c r="J342" i="11"/>
  <c r="J344" i="11"/>
  <c r="J346" i="11"/>
  <c r="J348" i="11"/>
  <c r="J350" i="11"/>
  <c r="J352" i="11"/>
  <c r="J354" i="11"/>
  <c r="J356" i="11"/>
  <c r="J358" i="11"/>
  <c r="J360" i="11"/>
  <c r="J362" i="11"/>
  <c r="J364" i="11"/>
  <c r="J366" i="11"/>
  <c r="J368" i="11"/>
  <c r="J370" i="11"/>
  <c r="J432" i="11"/>
  <c r="J434" i="11"/>
  <c r="J436" i="11"/>
  <c r="J438" i="11"/>
  <c r="J440" i="11"/>
  <c r="J442" i="11"/>
  <c r="J444" i="11"/>
  <c r="J446" i="11"/>
  <c r="J448" i="11"/>
  <c r="J450" i="11"/>
  <c r="J452" i="11"/>
  <c r="J454" i="11"/>
  <c r="J456" i="11"/>
  <c r="J458" i="11"/>
  <c r="J460" i="11"/>
  <c r="J554" i="11"/>
  <c r="J556" i="11"/>
  <c r="J565" i="11"/>
  <c r="J581" i="11"/>
  <c r="I588" i="11"/>
  <c r="I595" i="11"/>
  <c r="I604" i="11"/>
  <c r="I611" i="11"/>
  <c r="H650" i="11"/>
  <c r="H657" i="11"/>
  <c r="H666" i="11"/>
  <c r="H673" i="11"/>
  <c r="I707" i="11"/>
  <c r="J709" i="11"/>
  <c r="I716" i="11"/>
  <c r="I724" i="11"/>
  <c r="I732" i="11"/>
  <c r="H775" i="11"/>
  <c r="H783" i="11"/>
  <c r="H791" i="11"/>
  <c r="I828" i="11"/>
  <c r="I836" i="11"/>
  <c r="I844" i="11"/>
  <c r="I852" i="11"/>
  <c r="H895" i="11"/>
  <c r="H903" i="11"/>
  <c r="H911" i="11"/>
  <c r="I956" i="11"/>
  <c r="I964" i="11"/>
  <c r="I972" i="11"/>
  <c r="H1015" i="11"/>
  <c r="H1023" i="11"/>
  <c r="H1031" i="11"/>
  <c r="H1039" i="11"/>
  <c r="I1076" i="11"/>
  <c r="I1084" i="11"/>
  <c r="I1092" i="11"/>
  <c r="I1100" i="11"/>
  <c r="I1197" i="11"/>
  <c r="I1218" i="11"/>
  <c r="J5604" i="11"/>
  <c r="J5602" i="11"/>
  <c r="J5600" i="11"/>
  <c r="J5598" i="11"/>
  <c r="J5596" i="11"/>
  <c r="J5594" i="11"/>
  <c r="J5592" i="11"/>
  <c r="J5590" i="11"/>
  <c r="J5591" i="11"/>
  <c r="J5603" i="11"/>
  <c r="J5593" i="11"/>
  <c r="J5595" i="11"/>
  <c r="J5599" i="11"/>
  <c r="J5597" i="11"/>
  <c r="J5589" i="11"/>
  <c r="J5576" i="11"/>
  <c r="J5605" i="11"/>
  <c r="J5601" i="11"/>
  <c r="J5582" i="11"/>
  <c r="J5579" i="11"/>
  <c r="J5588" i="11"/>
  <c r="J5585" i="11"/>
  <c r="J5587" i="11"/>
  <c r="J5580" i="11"/>
  <c r="J5577" i="11"/>
  <c r="J5586" i="11"/>
  <c r="J5581" i="11"/>
  <c r="J5584" i="11"/>
  <c r="J5583" i="11"/>
  <c r="J5578" i="11"/>
  <c r="J5234" i="11"/>
  <c r="J5227" i="11"/>
  <c r="J5236" i="11"/>
  <c r="J5229" i="11"/>
  <c r="J5233" i="11"/>
  <c r="J5224" i="11"/>
  <c r="J5237" i="11"/>
  <c r="J5228" i="11"/>
  <c r="J5239" i="11"/>
  <c r="J5230" i="11"/>
  <c r="J5223" i="11"/>
  <c r="J5221" i="11"/>
  <c r="J5219" i="11"/>
  <c r="J5217" i="11"/>
  <c r="J5215" i="11"/>
  <c r="J5213" i="11"/>
  <c r="J5211" i="11"/>
  <c r="J5235" i="11"/>
  <c r="J5214" i="11"/>
  <c r="J5226" i="11"/>
  <c r="J5222" i="11"/>
  <c r="J5238" i="11"/>
  <c r="J5216" i="11"/>
  <c r="J5225" i="11"/>
  <c r="J5232" i="11"/>
  <c r="J5220" i="11"/>
  <c r="J5212" i="11"/>
  <c r="J5210" i="11"/>
  <c r="J5231" i="11"/>
  <c r="J4874" i="11"/>
  <c r="J4872" i="11"/>
  <c r="J4870" i="11"/>
  <c r="J4868" i="11"/>
  <c r="J4866" i="11"/>
  <c r="J4864" i="11"/>
  <c r="J4862" i="11"/>
  <c r="J4860" i="11"/>
  <c r="J4858" i="11"/>
  <c r="J4856" i="11"/>
  <c r="J4854" i="11"/>
  <c r="J4852" i="11"/>
  <c r="J4850" i="11"/>
  <c r="J4848" i="11"/>
  <c r="J4846" i="11"/>
  <c r="J5218" i="11"/>
  <c r="J4873" i="11"/>
  <c r="J4871" i="11"/>
  <c r="J4869" i="11"/>
  <c r="J4867" i="11"/>
  <c r="J4865" i="11"/>
  <c r="J4863" i="11"/>
  <c r="J4861" i="11"/>
  <c r="J4859" i="11"/>
  <c r="J4857" i="11"/>
  <c r="J4855" i="11"/>
  <c r="J4853" i="11"/>
  <c r="J4851" i="11"/>
  <c r="J4849" i="11"/>
  <c r="J4847" i="11"/>
  <c r="J4845" i="11"/>
  <c r="J4509" i="11"/>
  <c r="J4507" i="11"/>
  <c r="J4505" i="11"/>
  <c r="J4503" i="11"/>
  <c r="J4501" i="11"/>
  <c r="J4499" i="11"/>
  <c r="J4497" i="11"/>
  <c r="J4495" i="11"/>
  <c r="J4493" i="11"/>
  <c r="J4491" i="11"/>
  <c r="J4489" i="11"/>
  <c r="J4487" i="11"/>
  <c r="J4485" i="11"/>
  <c r="J4483" i="11"/>
  <c r="J4481" i="11"/>
  <c r="J4508" i="11"/>
  <c r="J4506" i="11"/>
  <c r="J4504" i="11"/>
  <c r="J4502" i="11"/>
  <c r="J4500" i="11"/>
  <c r="J4498" i="11"/>
  <c r="J4496" i="11"/>
  <c r="J4494" i="11"/>
  <c r="J4492" i="11"/>
  <c r="J4490" i="11"/>
  <c r="J4488" i="11"/>
  <c r="J4486" i="11"/>
  <c r="J4484" i="11"/>
  <c r="J4482" i="11"/>
  <c r="J4480" i="11"/>
  <c r="J4144" i="11"/>
  <c r="J4142" i="11"/>
  <c r="J4140" i="11"/>
  <c r="J4138" i="11"/>
  <c r="J4136" i="11"/>
  <c r="J4134" i="11"/>
  <c r="J4132" i="11"/>
  <c r="J4130" i="11"/>
  <c r="J4128" i="11"/>
  <c r="J4126" i="11"/>
  <c r="J4124" i="11"/>
  <c r="J4122" i="11"/>
  <c r="J4120" i="11"/>
  <c r="J4118" i="11"/>
  <c r="J4116" i="11"/>
  <c r="J4143" i="11"/>
  <c r="J4141" i="11"/>
  <c r="J4139" i="11"/>
  <c r="J4137" i="11"/>
  <c r="J4135" i="11"/>
  <c r="J4133" i="11"/>
  <c r="J4131" i="11"/>
  <c r="J4129" i="11"/>
  <c r="J4127" i="11"/>
  <c r="J4125" i="11"/>
  <c r="J4123" i="11"/>
  <c r="J4121" i="11"/>
  <c r="J4119" i="11"/>
  <c r="J4117" i="11"/>
  <c r="J4115" i="11"/>
  <c r="J3777" i="11"/>
  <c r="J3775" i="11"/>
  <c r="J3773" i="11"/>
  <c r="J3771" i="11"/>
  <c r="J3769" i="11"/>
  <c r="J3767" i="11"/>
  <c r="J3765" i="11"/>
  <c r="J3763" i="11"/>
  <c r="J3761" i="11"/>
  <c r="J3759" i="11"/>
  <c r="J3757" i="11"/>
  <c r="J3755" i="11"/>
  <c r="J3753" i="11"/>
  <c r="J3751" i="11"/>
  <c r="J3749" i="11"/>
  <c r="J3413" i="11"/>
  <c r="J3411" i="11"/>
  <c r="J3409" i="11"/>
  <c r="J3407" i="11"/>
  <c r="J3405" i="11"/>
  <c r="J3403" i="11"/>
  <c r="J3401" i="11"/>
  <c r="J3399" i="11"/>
  <c r="J3397" i="11"/>
  <c r="J3395" i="11"/>
  <c r="J3393" i="11"/>
  <c r="J3391" i="11"/>
  <c r="J3389" i="11"/>
  <c r="J3387" i="11"/>
  <c r="J3385" i="11"/>
  <c r="J3406" i="11"/>
  <c r="J3390" i="11"/>
  <c r="J3778" i="11"/>
  <c r="J3774" i="11"/>
  <c r="J3770" i="11"/>
  <c r="J3766" i="11"/>
  <c r="J3762" i="11"/>
  <c r="J3758" i="11"/>
  <c r="J3754" i="11"/>
  <c r="J3750" i="11"/>
  <c r="J3408" i="11"/>
  <c r="J3392" i="11"/>
  <c r="J3410" i="11"/>
  <c r="J3394" i="11"/>
  <c r="J3412" i="11"/>
  <c r="J3396" i="11"/>
  <c r="J3398" i="11"/>
  <c r="J3776" i="11"/>
  <c r="J3772" i="11"/>
  <c r="J3768" i="11"/>
  <c r="J3764" i="11"/>
  <c r="J3760" i="11"/>
  <c r="J3756" i="11"/>
  <c r="J3752" i="11"/>
  <c r="J3400" i="11"/>
  <c r="J3384" i="11"/>
  <c r="J3402" i="11"/>
  <c r="J3386" i="11"/>
  <c r="J3404" i="11"/>
  <c r="J3047" i="11"/>
  <c r="J3045" i="11"/>
  <c r="J3043" i="11"/>
  <c r="J3041" i="11"/>
  <c r="J3039" i="11"/>
  <c r="J3037" i="11"/>
  <c r="J3035" i="11"/>
  <c r="J3033" i="11"/>
  <c r="J3031" i="11"/>
  <c r="J3029" i="11"/>
  <c r="J3027" i="11"/>
  <c r="J3025" i="11"/>
  <c r="J3023" i="11"/>
  <c r="J3021" i="11"/>
  <c r="J3019" i="11"/>
  <c r="J2683" i="11"/>
  <c r="J2681" i="11"/>
  <c r="J2679" i="11"/>
  <c r="J2677" i="11"/>
  <c r="J2675" i="11"/>
  <c r="J2673" i="11"/>
  <c r="J2671" i="11"/>
  <c r="J2669" i="11"/>
  <c r="J2667" i="11"/>
  <c r="J2665" i="11"/>
  <c r="J2663" i="11"/>
  <c r="J2661" i="11"/>
  <c r="J2659" i="11"/>
  <c r="J2657" i="11"/>
  <c r="J2655" i="11"/>
  <c r="J3388" i="11"/>
  <c r="J3048" i="11"/>
  <c r="J3046" i="11"/>
  <c r="J3044" i="11"/>
  <c r="J3042" i="11"/>
  <c r="J3040" i="11"/>
  <c r="J3038" i="11"/>
  <c r="J3036" i="11"/>
  <c r="J3034" i="11"/>
  <c r="J3032" i="11"/>
  <c r="J3030" i="11"/>
  <c r="J3028" i="11"/>
  <c r="J3026" i="11"/>
  <c r="J3024" i="11"/>
  <c r="J3022" i="11"/>
  <c r="J3020" i="11"/>
  <c r="J2682" i="11"/>
  <c r="J2680" i="11"/>
  <c r="J2678" i="11"/>
  <c r="J2676" i="11"/>
  <c r="J2674" i="11"/>
  <c r="J2672" i="11"/>
  <c r="J2670" i="11"/>
  <c r="J2668" i="11"/>
  <c r="J2666" i="11"/>
  <c r="J2664" i="11"/>
  <c r="J2662" i="11"/>
  <c r="J2660" i="11"/>
  <c r="J2658" i="11"/>
  <c r="J2656" i="11"/>
  <c r="J2654" i="11"/>
  <c r="J2317" i="11"/>
  <c r="J2315" i="11"/>
  <c r="J2313" i="11"/>
  <c r="J2311" i="11"/>
  <c r="J2309" i="11"/>
  <c r="J2307" i="11"/>
  <c r="J2305" i="11"/>
  <c r="J2303" i="11"/>
  <c r="J2301" i="11"/>
  <c r="J2299" i="11"/>
  <c r="J2297" i="11"/>
  <c r="J2295" i="11"/>
  <c r="J2293" i="11"/>
  <c r="J2291" i="11"/>
  <c r="J2289" i="11"/>
  <c r="J1951" i="11"/>
  <c r="J1949" i="11"/>
  <c r="J1947" i="11"/>
  <c r="J1945" i="11"/>
  <c r="J1943" i="11"/>
  <c r="J1941" i="11"/>
  <c r="J1939" i="11"/>
  <c r="J1937" i="11"/>
  <c r="J1935" i="11"/>
  <c r="J1933" i="11"/>
  <c r="J1931" i="11"/>
  <c r="J1929" i="11"/>
  <c r="J1927" i="11"/>
  <c r="J1925" i="11"/>
  <c r="J1923" i="11"/>
  <c r="J1587" i="11"/>
  <c r="J1585" i="11"/>
  <c r="J1583" i="11"/>
  <c r="J1581" i="11"/>
  <c r="J1579" i="11"/>
  <c r="J1577" i="11"/>
  <c r="J1575" i="11"/>
  <c r="J1573" i="11"/>
  <c r="J1571" i="11"/>
  <c r="J1569" i="11"/>
  <c r="J1567" i="11"/>
  <c r="J1565" i="11"/>
  <c r="J1563" i="11"/>
  <c r="J1561" i="11"/>
  <c r="J1559" i="11"/>
  <c r="J2314" i="11"/>
  <c r="J2298" i="11"/>
  <c r="J1940" i="11"/>
  <c r="J1924" i="11"/>
  <c r="J1572" i="11"/>
  <c r="J2304" i="11"/>
  <c r="J2288" i="11"/>
  <c r="J1942" i="11"/>
  <c r="J1926" i="11"/>
  <c r="J1574" i="11"/>
  <c r="J1558" i="11"/>
  <c r="J2310" i="11"/>
  <c r="J2294" i="11"/>
  <c r="J1944" i="11"/>
  <c r="J1928" i="11"/>
  <c r="J1576" i="11"/>
  <c r="J1560" i="11"/>
  <c r="J2316" i="11"/>
  <c r="J2300" i="11"/>
  <c r="J1946" i="11"/>
  <c r="J1930" i="11"/>
  <c r="J1578" i="11"/>
  <c r="J1562" i="11"/>
  <c r="J2306" i="11"/>
  <c r="J2290" i="11"/>
  <c r="J1948" i="11"/>
  <c r="J1932" i="11"/>
  <c r="J1580" i="11"/>
  <c r="J1564" i="11"/>
  <c r="J2312" i="11"/>
  <c r="J2296" i="11"/>
  <c r="J1950" i="11"/>
  <c r="J1934" i="11"/>
  <c r="J1582" i="11"/>
  <c r="J1566" i="11"/>
  <c r="J2302" i="11"/>
  <c r="J1952" i="11"/>
  <c r="J1936" i="11"/>
  <c r="J1584" i="11"/>
  <c r="J1568" i="11"/>
  <c r="J2308" i="11"/>
  <c r="J2292" i="11"/>
  <c r="J1222" i="11"/>
  <c r="J1220" i="11"/>
  <c r="J1218" i="11"/>
  <c r="J1216" i="11"/>
  <c r="J1214" i="11"/>
  <c r="J1212" i="11"/>
  <c r="J1210" i="11"/>
  <c r="J1208" i="11"/>
  <c r="J1206" i="11"/>
  <c r="J1204" i="11"/>
  <c r="J1202" i="11"/>
  <c r="J1200" i="11"/>
  <c r="J1198" i="11"/>
  <c r="J1196" i="11"/>
  <c r="J1194" i="11"/>
  <c r="J856" i="11"/>
  <c r="J854" i="11"/>
  <c r="J852" i="11"/>
  <c r="J850" i="11"/>
  <c r="J848" i="11"/>
  <c r="J846" i="11"/>
  <c r="J844" i="11"/>
  <c r="J842" i="11"/>
  <c r="J840" i="11"/>
  <c r="J838" i="11"/>
  <c r="J836" i="11"/>
  <c r="J834" i="11"/>
  <c r="J832" i="11"/>
  <c r="J830" i="11"/>
  <c r="J828" i="11"/>
  <c r="J1938" i="11"/>
  <c r="J1586" i="11"/>
  <c r="J1221" i="11"/>
  <c r="J1219" i="11"/>
  <c r="J1217" i="11"/>
  <c r="J1215" i="11"/>
  <c r="J1213" i="11"/>
  <c r="J1211" i="11"/>
  <c r="J1209" i="11"/>
  <c r="J1207" i="11"/>
  <c r="J1205" i="11"/>
  <c r="J1203" i="11"/>
  <c r="J1201" i="11"/>
  <c r="J1199" i="11"/>
  <c r="J1197" i="11"/>
  <c r="J1195" i="11"/>
  <c r="J1193" i="11"/>
  <c r="J855" i="11"/>
  <c r="J853" i="11"/>
  <c r="J851" i="11"/>
  <c r="J849" i="11"/>
  <c r="J847" i="11"/>
  <c r="J845" i="11"/>
  <c r="J843" i="11"/>
  <c r="J841" i="11"/>
  <c r="J839" i="11"/>
  <c r="J837" i="11"/>
  <c r="J835" i="11"/>
  <c r="J833" i="11"/>
  <c r="J831" i="11"/>
  <c r="J829" i="11"/>
  <c r="J827" i="11"/>
  <c r="J5757" i="11"/>
  <c r="J5755" i="11"/>
  <c r="J5753" i="11"/>
  <c r="J5751" i="11"/>
  <c r="J5749" i="11"/>
  <c r="J5747" i="11"/>
  <c r="J5745" i="11"/>
  <c r="J5743" i="11"/>
  <c r="J5741" i="11"/>
  <c r="J5739" i="11"/>
  <c r="J5737" i="11"/>
  <c r="J5735" i="11"/>
  <c r="J5733" i="11"/>
  <c r="J5731" i="11"/>
  <c r="J5729" i="11"/>
  <c r="J5748" i="11"/>
  <c r="J5732" i="11"/>
  <c r="J5754" i="11"/>
  <c r="J5738" i="11"/>
  <c r="J5744" i="11"/>
  <c r="J5746" i="11"/>
  <c r="J5752" i="11"/>
  <c r="J5736" i="11"/>
  <c r="J5750" i="11"/>
  <c r="J5734" i="11"/>
  <c r="J5730" i="11"/>
  <c r="J5756" i="11"/>
  <c r="J5391" i="11"/>
  <c r="J5389" i="11"/>
  <c r="J5387" i="11"/>
  <c r="J5385" i="11"/>
  <c r="J5383" i="11"/>
  <c r="J5381" i="11"/>
  <c r="J5379" i="11"/>
  <c r="J5740" i="11"/>
  <c r="J5758" i="11"/>
  <c r="J5742" i="11"/>
  <c r="J5380" i="11"/>
  <c r="J5382" i="11"/>
  <c r="J5384" i="11"/>
  <c r="J5386" i="11"/>
  <c r="J5377" i="11"/>
  <c r="J5375" i="11"/>
  <c r="J5373" i="11"/>
  <c r="J5371" i="11"/>
  <c r="J5369" i="11"/>
  <c r="J5367" i="11"/>
  <c r="J5365" i="11"/>
  <c r="J5363" i="11"/>
  <c r="J5388" i="11"/>
  <c r="J5390" i="11"/>
  <c r="J5392" i="11"/>
  <c r="J5378" i="11"/>
  <c r="J5374" i="11"/>
  <c r="J5370" i="11"/>
  <c r="J5366" i="11"/>
  <c r="J5376" i="11"/>
  <c r="J5372" i="11"/>
  <c r="J5368" i="11"/>
  <c r="J5364" i="11"/>
  <c r="J5026" i="11"/>
  <c r="J5024" i="11"/>
  <c r="J5022" i="11"/>
  <c r="J5020" i="11"/>
  <c r="J5027" i="11"/>
  <c r="J5023" i="11"/>
  <c r="J5019" i="11"/>
  <c r="J5006" i="11"/>
  <c r="J4999" i="11"/>
  <c r="J5016" i="11"/>
  <c r="J5013" i="11"/>
  <c r="J5008" i="11"/>
  <c r="J5001" i="11"/>
  <c r="J5003" i="11"/>
  <c r="J5018" i="11"/>
  <c r="J5015" i="11"/>
  <c r="J5010" i="11"/>
  <c r="J5005" i="11"/>
  <c r="J5025" i="11"/>
  <c r="J5021" i="11"/>
  <c r="J5007" i="11"/>
  <c r="J4998" i="11"/>
  <c r="J5017" i="11"/>
  <c r="J5012" i="11"/>
  <c r="J5009" i="11"/>
  <c r="J5000" i="11"/>
  <c r="J5002" i="11"/>
  <c r="J5011" i="11"/>
  <c r="J5004" i="11"/>
  <c r="J4661" i="11"/>
  <c r="J4659" i="11"/>
  <c r="J4657" i="11"/>
  <c r="J4655" i="11"/>
  <c r="J4653" i="11"/>
  <c r="J4651" i="11"/>
  <c r="J4649" i="11"/>
  <c r="J4647" i="11"/>
  <c r="J4645" i="11"/>
  <c r="J4643" i="11"/>
  <c r="J4641" i="11"/>
  <c r="J4639" i="11"/>
  <c r="J4637" i="11"/>
  <c r="J4635" i="11"/>
  <c r="J4633" i="11"/>
  <c r="J5014" i="11"/>
  <c r="J4662" i="11"/>
  <c r="J4660" i="11"/>
  <c r="J4658" i="11"/>
  <c r="J4656" i="11"/>
  <c r="J4654" i="11"/>
  <c r="J4652" i="11"/>
  <c r="J4650" i="11"/>
  <c r="J4648" i="11"/>
  <c r="J4646" i="11"/>
  <c r="J4644" i="11"/>
  <c r="J4642" i="11"/>
  <c r="J4640" i="11"/>
  <c r="J4638" i="11"/>
  <c r="J4636" i="11"/>
  <c r="J4634" i="11"/>
  <c r="J4297" i="11"/>
  <c r="J4295" i="11"/>
  <c r="J4293" i="11"/>
  <c r="J4291" i="11"/>
  <c r="J4289" i="11"/>
  <c r="J4287" i="11"/>
  <c r="J4285" i="11"/>
  <c r="J4283" i="11"/>
  <c r="J4281" i="11"/>
  <c r="J4279" i="11"/>
  <c r="J4277" i="11"/>
  <c r="J4275" i="11"/>
  <c r="J4273" i="11"/>
  <c r="J4271" i="11"/>
  <c r="J4269" i="11"/>
  <c r="J4296" i="11"/>
  <c r="J4294" i="11"/>
  <c r="J4292" i="11"/>
  <c r="J4290" i="11"/>
  <c r="J4288" i="11"/>
  <c r="J4286" i="11"/>
  <c r="J4284" i="11"/>
  <c r="J4282" i="11"/>
  <c r="J4280" i="11"/>
  <c r="J4278" i="11"/>
  <c r="J4276" i="11"/>
  <c r="J4274" i="11"/>
  <c r="J4272" i="11"/>
  <c r="J4270" i="11"/>
  <c r="J4268" i="11"/>
  <c r="J3930" i="11"/>
  <c r="J3928" i="11"/>
  <c r="J3926" i="11"/>
  <c r="J3924" i="11"/>
  <c r="J3922" i="11"/>
  <c r="J3920" i="11"/>
  <c r="J3918" i="11"/>
  <c r="J3916" i="11"/>
  <c r="J3914" i="11"/>
  <c r="J3912" i="11"/>
  <c r="J3910" i="11"/>
  <c r="J3908" i="11"/>
  <c r="J3906" i="11"/>
  <c r="J3904" i="11"/>
  <c r="J3902" i="11"/>
  <c r="J3931" i="11"/>
  <c r="J3929" i="11"/>
  <c r="J3927" i="11"/>
  <c r="J3903" i="11"/>
  <c r="J3919" i="11"/>
  <c r="J3905" i="11"/>
  <c r="J3907" i="11"/>
  <c r="J3921" i="11"/>
  <c r="J3909" i="11"/>
  <c r="J3565" i="11"/>
  <c r="J3563" i="11"/>
  <c r="J3561" i="11"/>
  <c r="J3559" i="11"/>
  <c r="J3557" i="11"/>
  <c r="J3555" i="11"/>
  <c r="J3553" i="11"/>
  <c r="J3551" i="11"/>
  <c r="J3549" i="11"/>
  <c r="J3547" i="11"/>
  <c r="J3545" i="11"/>
  <c r="J3543" i="11"/>
  <c r="J3541" i="11"/>
  <c r="J3539" i="11"/>
  <c r="J3537" i="11"/>
  <c r="J3911" i="11"/>
  <c r="J3923" i="11"/>
  <c r="J3913" i="11"/>
  <c r="J3915" i="11"/>
  <c r="J3201" i="11"/>
  <c r="J3199" i="11"/>
  <c r="J3197" i="11"/>
  <c r="J3195" i="11"/>
  <c r="J3193" i="11"/>
  <c r="J3191" i="11"/>
  <c r="J3189" i="11"/>
  <c r="J3187" i="11"/>
  <c r="J3185" i="11"/>
  <c r="J3183" i="11"/>
  <c r="J3181" i="11"/>
  <c r="J3179" i="11"/>
  <c r="J3177" i="11"/>
  <c r="J3175" i="11"/>
  <c r="J3173" i="11"/>
  <c r="J3560" i="11"/>
  <c r="J3552" i="11"/>
  <c r="J3544" i="11"/>
  <c r="J3925" i="11"/>
  <c r="J3562" i="11"/>
  <c r="J3554" i="11"/>
  <c r="J3546" i="11"/>
  <c r="J3538" i="11"/>
  <c r="J3917" i="11"/>
  <c r="J3564" i="11"/>
  <c r="J3556" i="11"/>
  <c r="J3548" i="11"/>
  <c r="J3540" i="11"/>
  <c r="J3196" i="11"/>
  <c r="J3180" i="11"/>
  <c r="J2835" i="11"/>
  <c r="J2833" i="11"/>
  <c r="J2831" i="11"/>
  <c r="J2829" i="11"/>
  <c r="J2827" i="11"/>
  <c r="J2825" i="11"/>
  <c r="J2823" i="11"/>
  <c r="J2821" i="11"/>
  <c r="J2819" i="11"/>
  <c r="J2817" i="11"/>
  <c r="J2815" i="11"/>
  <c r="J2813" i="11"/>
  <c r="J2811" i="11"/>
  <c r="J2809" i="11"/>
  <c r="J2807" i="11"/>
  <c r="J3558" i="11"/>
  <c r="J3198" i="11"/>
  <c r="J3182" i="11"/>
  <c r="J3200" i="11"/>
  <c r="J3184" i="11"/>
  <c r="J3550" i="11"/>
  <c r="J3188" i="11"/>
  <c r="J3172" i="11"/>
  <c r="J2836" i="11"/>
  <c r="J2834" i="11"/>
  <c r="J2832" i="11"/>
  <c r="J2830" i="11"/>
  <c r="J2828" i="11"/>
  <c r="J2826" i="11"/>
  <c r="J2824" i="11"/>
  <c r="J2822" i="11"/>
  <c r="J2820" i="11"/>
  <c r="J2818" i="11"/>
  <c r="J2816" i="11"/>
  <c r="J2814" i="11"/>
  <c r="J2812" i="11"/>
  <c r="J2810" i="11"/>
  <c r="J2808" i="11"/>
  <c r="J3542" i="11"/>
  <c r="J3190" i="11"/>
  <c r="J3174" i="11"/>
  <c r="J2469" i="11"/>
  <c r="J2467" i="11"/>
  <c r="J2465" i="11"/>
  <c r="J2463" i="11"/>
  <c r="J2461" i="11"/>
  <c r="J2459" i="11"/>
  <c r="J2457" i="11"/>
  <c r="J2455" i="11"/>
  <c r="J2453" i="11"/>
  <c r="J2451" i="11"/>
  <c r="J2449" i="11"/>
  <c r="J2447" i="11"/>
  <c r="J2445" i="11"/>
  <c r="J2443" i="11"/>
  <c r="J2441" i="11"/>
  <c r="J2105" i="11"/>
  <c r="J2103" i="11"/>
  <c r="J2101" i="11"/>
  <c r="J2099" i="11"/>
  <c r="J2097" i="11"/>
  <c r="J2095" i="11"/>
  <c r="J2093" i="11"/>
  <c r="J2091" i="11"/>
  <c r="J2089" i="11"/>
  <c r="J2087" i="11"/>
  <c r="J2085" i="11"/>
  <c r="J2083" i="11"/>
  <c r="J2081" i="11"/>
  <c r="J2079" i="11"/>
  <c r="J2077" i="11"/>
  <c r="J1739" i="11"/>
  <c r="J1737" i="11"/>
  <c r="J1735" i="11"/>
  <c r="J1733" i="11"/>
  <c r="J1731" i="11"/>
  <c r="J1729" i="11"/>
  <c r="J1727" i="11"/>
  <c r="J1725" i="11"/>
  <c r="J1723" i="11"/>
  <c r="J1721" i="11"/>
  <c r="J1719" i="11"/>
  <c r="J1717" i="11"/>
  <c r="J1715" i="11"/>
  <c r="J1713" i="11"/>
  <c r="J1711" i="11"/>
  <c r="J1375" i="11"/>
  <c r="J1373" i="11"/>
  <c r="J1371" i="11"/>
  <c r="J1369" i="11"/>
  <c r="J1367" i="11"/>
  <c r="J1365" i="11"/>
  <c r="J1363" i="11"/>
  <c r="J1361" i="11"/>
  <c r="J1359" i="11"/>
  <c r="J1357" i="11"/>
  <c r="J1355" i="11"/>
  <c r="J1353" i="11"/>
  <c r="J1351" i="11"/>
  <c r="J1349" i="11"/>
  <c r="J1347" i="11"/>
  <c r="J3566" i="11"/>
  <c r="J3178" i="11"/>
  <c r="J3194" i="11"/>
  <c r="J3186" i="11"/>
  <c r="J3176" i="11"/>
  <c r="J3192" i="11"/>
  <c r="J2460" i="11"/>
  <c r="J2444" i="11"/>
  <c r="J2104" i="11"/>
  <c r="J2096" i="11"/>
  <c r="J2088" i="11"/>
  <c r="J2080" i="11"/>
  <c r="J1732" i="11"/>
  <c r="J1716" i="11"/>
  <c r="J2470" i="11"/>
  <c r="J2454" i="11"/>
  <c r="J1734" i="11"/>
  <c r="J1718" i="11"/>
  <c r="J1366" i="11"/>
  <c r="J1350" i="11"/>
  <c r="J2464" i="11"/>
  <c r="J2448" i="11"/>
  <c r="J2098" i="11"/>
  <c r="J2090" i="11"/>
  <c r="J2082" i="11"/>
  <c r="J1736" i="11"/>
  <c r="J1720" i="11"/>
  <c r="J1368" i="11"/>
  <c r="J1352" i="11"/>
  <c r="J2458" i="11"/>
  <c r="J2442" i="11"/>
  <c r="J1738" i="11"/>
  <c r="J1722" i="11"/>
  <c r="J1370" i="11"/>
  <c r="J1354" i="11"/>
  <c r="J2468" i="11"/>
  <c r="J2452" i="11"/>
  <c r="J2100" i="11"/>
  <c r="J2092" i="11"/>
  <c r="J2084" i="11"/>
  <c r="J2076" i="11"/>
  <c r="J1740" i="11"/>
  <c r="J1724" i="11"/>
  <c r="J2462" i="11"/>
  <c r="J2446" i="11"/>
  <c r="J1726" i="11"/>
  <c r="J2456" i="11"/>
  <c r="J2102" i="11"/>
  <c r="J2094" i="11"/>
  <c r="J2086" i="11"/>
  <c r="J2078" i="11"/>
  <c r="J1728" i="11"/>
  <c r="J1712" i="11"/>
  <c r="J2466" i="11"/>
  <c r="J2450" i="11"/>
  <c r="J1372" i="11"/>
  <c r="J1008" i="11"/>
  <c r="J1006" i="11"/>
  <c r="J1004" i="11"/>
  <c r="J1002" i="11"/>
  <c r="J1000" i="11"/>
  <c r="J998" i="11"/>
  <c r="J996" i="11"/>
  <c r="J994" i="11"/>
  <c r="J992" i="11"/>
  <c r="J990" i="11"/>
  <c r="J988" i="11"/>
  <c r="J986" i="11"/>
  <c r="J984" i="11"/>
  <c r="J982" i="11"/>
  <c r="J980" i="11"/>
  <c r="J644" i="11"/>
  <c r="J642" i="11"/>
  <c r="J640" i="11"/>
  <c r="J638" i="11"/>
  <c r="J636" i="11"/>
  <c r="J634" i="11"/>
  <c r="J632" i="11"/>
  <c r="J630" i="11"/>
  <c r="J628" i="11"/>
  <c r="J626" i="11"/>
  <c r="J624" i="11"/>
  <c r="J622" i="11"/>
  <c r="J620" i="11"/>
  <c r="J618" i="11"/>
  <c r="J616" i="11"/>
  <c r="J1356" i="11"/>
  <c r="J1714" i="11"/>
  <c r="J1362" i="11"/>
  <c r="J1374" i="11"/>
  <c r="J1346" i="11"/>
  <c r="J1358" i="11"/>
  <c r="J1009" i="11"/>
  <c r="J1007" i="11"/>
  <c r="J1005" i="11"/>
  <c r="J1003" i="11"/>
  <c r="J1001" i="11"/>
  <c r="J999" i="11"/>
  <c r="J997" i="11"/>
  <c r="J995" i="11"/>
  <c r="J993" i="11"/>
  <c r="J991" i="11"/>
  <c r="J989" i="11"/>
  <c r="J987" i="11"/>
  <c r="J985" i="11"/>
  <c r="J983" i="11"/>
  <c r="J981" i="11"/>
  <c r="J1730" i="11"/>
  <c r="J1364" i="11"/>
  <c r="J1348" i="11"/>
  <c r="L21" i="8"/>
  <c r="M21" i="8"/>
  <c r="M31" i="8"/>
  <c r="L31" i="8"/>
  <c r="H559" i="11"/>
  <c r="J563" i="11"/>
  <c r="H568" i="11"/>
  <c r="H575" i="11"/>
  <c r="J579" i="11"/>
  <c r="I586" i="11"/>
  <c r="I593" i="11"/>
  <c r="J595" i="11"/>
  <c r="I602" i="11"/>
  <c r="I609" i="11"/>
  <c r="J611" i="11"/>
  <c r="H616" i="11"/>
  <c r="H623" i="11"/>
  <c r="J627" i="11"/>
  <c r="H632" i="11"/>
  <c r="H639" i="11"/>
  <c r="J643" i="11"/>
  <c r="H648" i="11"/>
  <c r="H655" i="11"/>
  <c r="J659" i="11"/>
  <c r="H664" i="11"/>
  <c r="H671" i="11"/>
  <c r="J675" i="11"/>
  <c r="H680" i="11"/>
  <c r="H687" i="11"/>
  <c r="J691" i="11"/>
  <c r="H696" i="11"/>
  <c r="H703" i="11"/>
  <c r="J707" i="11"/>
  <c r="I714" i="11"/>
  <c r="I719" i="11"/>
  <c r="I727" i="11"/>
  <c r="I735" i="11"/>
  <c r="H738" i="11"/>
  <c r="H746" i="11"/>
  <c r="H754" i="11"/>
  <c r="H762" i="11"/>
  <c r="H770" i="11"/>
  <c r="H778" i="11"/>
  <c r="H786" i="11"/>
  <c r="H794" i="11"/>
  <c r="H802" i="11"/>
  <c r="H810" i="11"/>
  <c r="H818" i="11"/>
  <c r="I831" i="11"/>
  <c r="I839" i="11"/>
  <c r="I847" i="11"/>
  <c r="I855" i="11"/>
  <c r="H858" i="11"/>
  <c r="H866" i="11"/>
  <c r="H874" i="11"/>
  <c r="H882" i="11"/>
  <c r="H890" i="11"/>
  <c r="H898" i="11"/>
  <c r="H906" i="11"/>
  <c r="H914" i="11"/>
  <c r="H922" i="11"/>
  <c r="H930" i="11"/>
  <c r="H938" i="11"/>
  <c r="I951" i="11"/>
  <c r="I959" i="11"/>
  <c r="I967" i="11"/>
  <c r="I975" i="11"/>
  <c r="H986" i="11"/>
  <c r="H994" i="11"/>
  <c r="H1002" i="11"/>
  <c r="H1010" i="11"/>
  <c r="H1018" i="11"/>
  <c r="H1026" i="11"/>
  <c r="H1034" i="11"/>
  <c r="H1042" i="11"/>
  <c r="H1050" i="11"/>
  <c r="H1058" i="11"/>
  <c r="I1071" i="11"/>
  <c r="I1079" i="11"/>
  <c r="I1087" i="11"/>
  <c r="I1095" i="11"/>
  <c r="I1200" i="11"/>
  <c r="I1212" i="11"/>
  <c r="J1332" i="11"/>
  <c r="H5575" i="11"/>
  <c r="H5573" i="11"/>
  <c r="H5571" i="11"/>
  <c r="H5569" i="11"/>
  <c r="H5567" i="11"/>
  <c r="H5565" i="11"/>
  <c r="H5563" i="11"/>
  <c r="H5561" i="11"/>
  <c r="H5559" i="11"/>
  <c r="H5557" i="11"/>
  <c r="H5555" i="11"/>
  <c r="H5553" i="11"/>
  <c r="H5551" i="11"/>
  <c r="H5549" i="11"/>
  <c r="H5547" i="11"/>
  <c r="H5545" i="11"/>
  <c r="H5574" i="11"/>
  <c r="H5572" i="11"/>
  <c r="H5570" i="11"/>
  <c r="H5568" i="11"/>
  <c r="H5566" i="11"/>
  <c r="H5564" i="11"/>
  <c r="H5562" i="11"/>
  <c r="H5560" i="11"/>
  <c r="H5558" i="11"/>
  <c r="H5556" i="11"/>
  <c r="H5554" i="11"/>
  <c r="H5552" i="11"/>
  <c r="H5550" i="11"/>
  <c r="H5548" i="11"/>
  <c r="H5546" i="11"/>
  <c r="H5209" i="11"/>
  <c r="H5201" i="11"/>
  <c r="H5193" i="11"/>
  <c r="H5185" i="11"/>
  <c r="H5206" i="11"/>
  <c r="H5198" i="11"/>
  <c r="H5190" i="11"/>
  <c r="H5182" i="11"/>
  <c r="H5203" i="11"/>
  <c r="H5195" i="11"/>
  <c r="H5187" i="11"/>
  <c r="H5179" i="11"/>
  <c r="H5208" i="11"/>
  <c r="H5200" i="11"/>
  <c r="H5192" i="11"/>
  <c r="H5202" i="11"/>
  <c r="H5194" i="11"/>
  <c r="H5186" i="11"/>
  <c r="H5207" i="11"/>
  <c r="H5199" i="11"/>
  <c r="H5191" i="11"/>
  <c r="H5183" i="11"/>
  <c r="H5205" i="11"/>
  <c r="H4843" i="11"/>
  <c r="H4841" i="11"/>
  <c r="H4839" i="11"/>
  <c r="H4837" i="11"/>
  <c r="H5189" i="11"/>
  <c r="H5180" i="11"/>
  <c r="H5204" i="11"/>
  <c r="H5184" i="11"/>
  <c r="H5188" i="11"/>
  <c r="H5197" i="11"/>
  <c r="H4844" i="11"/>
  <c r="H4842" i="11"/>
  <c r="H4840" i="11"/>
  <c r="H4838" i="11"/>
  <c r="H4836" i="11"/>
  <c r="H4834" i="11"/>
  <c r="H4832" i="11"/>
  <c r="H4830" i="11"/>
  <c r="H4828" i="11"/>
  <c r="H4826" i="11"/>
  <c r="H4824" i="11"/>
  <c r="H4822" i="11"/>
  <c r="H4820" i="11"/>
  <c r="H4818" i="11"/>
  <c r="H4816" i="11"/>
  <c r="H4814" i="11"/>
  <c r="H5196" i="11"/>
  <c r="H4833" i="11"/>
  <c r="H4829" i="11"/>
  <c r="H4825" i="11"/>
  <c r="H4821" i="11"/>
  <c r="H4817" i="11"/>
  <c r="H4835" i="11"/>
  <c r="H4831" i="11"/>
  <c r="H4827" i="11"/>
  <c r="H4823" i="11"/>
  <c r="H4819" i="11"/>
  <c r="H4815" i="11"/>
  <c r="H5181" i="11"/>
  <c r="H4476" i="11"/>
  <c r="H4468" i="11"/>
  <c r="H4460" i="11"/>
  <c r="H4450" i="11"/>
  <c r="H4473" i="11"/>
  <c r="H4465" i="11"/>
  <c r="H4457" i="11"/>
  <c r="H4452" i="11"/>
  <c r="H4478" i="11"/>
  <c r="H4470" i="11"/>
  <c r="H4462" i="11"/>
  <c r="H4454" i="11"/>
  <c r="H4475" i="11"/>
  <c r="H4467" i="11"/>
  <c r="H4459" i="11"/>
  <c r="H4472" i="11"/>
  <c r="H4464" i="11"/>
  <c r="H4456" i="11"/>
  <c r="H4449" i="11"/>
  <c r="H4477" i="11"/>
  <c r="H4469" i="11"/>
  <c r="H4461" i="11"/>
  <c r="H4451" i="11"/>
  <c r="H4474" i="11"/>
  <c r="H4466" i="11"/>
  <c r="H4458" i="11"/>
  <c r="H4453" i="11"/>
  <c r="H4463" i="11"/>
  <c r="H4455" i="11"/>
  <c r="H4114" i="11"/>
  <c r="H4112" i="11"/>
  <c r="H4110" i="11"/>
  <c r="H4108" i="11"/>
  <c r="H4106" i="11"/>
  <c r="H4104" i="11"/>
  <c r="H4102" i="11"/>
  <c r="H4100" i="11"/>
  <c r="H4098" i="11"/>
  <c r="H4096" i="11"/>
  <c r="H4094" i="11"/>
  <c r="H4092" i="11"/>
  <c r="H4090" i="11"/>
  <c r="H4088" i="11"/>
  <c r="H4086" i="11"/>
  <c r="H4084" i="11"/>
  <c r="H4479" i="11"/>
  <c r="H4471" i="11"/>
  <c r="H4103" i="11"/>
  <c r="H4087" i="11"/>
  <c r="H4109" i="11"/>
  <c r="H4093" i="11"/>
  <c r="H3748" i="11"/>
  <c r="H3746" i="11"/>
  <c r="H3744" i="11"/>
  <c r="H3742" i="11"/>
  <c r="H3740" i="11"/>
  <c r="H3738" i="11"/>
  <c r="H3736" i="11"/>
  <c r="H3734" i="11"/>
  <c r="H3732" i="11"/>
  <c r="H3730" i="11"/>
  <c r="H3728" i="11"/>
  <c r="H3726" i="11"/>
  <c r="H3724" i="11"/>
  <c r="H3722" i="11"/>
  <c r="H3720" i="11"/>
  <c r="H3718" i="11"/>
  <c r="H4099" i="11"/>
  <c r="H4105" i="11"/>
  <c r="H4089" i="11"/>
  <c r="H4111" i="11"/>
  <c r="H4095" i="11"/>
  <c r="H4101" i="11"/>
  <c r="H4085" i="11"/>
  <c r="H4107" i="11"/>
  <c r="H4091" i="11"/>
  <c r="H3379" i="11"/>
  <c r="H3370" i="11"/>
  <c r="H3363" i="11"/>
  <c r="H3354" i="11"/>
  <c r="H3747" i="11"/>
  <c r="H3739" i="11"/>
  <c r="H3731" i="11"/>
  <c r="H3723" i="11"/>
  <c r="H3381" i="11"/>
  <c r="H3372" i="11"/>
  <c r="H3365" i="11"/>
  <c r="H3356" i="11"/>
  <c r="H3383" i="11"/>
  <c r="H3374" i="11"/>
  <c r="H3367" i="11"/>
  <c r="H3358" i="11"/>
  <c r="H3741" i="11"/>
  <c r="H3733" i="11"/>
  <c r="H3725" i="11"/>
  <c r="H3376" i="11"/>
  <c r="H3369" i="11"/>
  <c r="H3360" i="11"/>
  <c r="H3353" i="11"/>
  <c r="H3378" i="11"/>
  <c r="H3371" i="11"/>
  <c r="H3362" i="11"/>
  <c r="H3355" i="11"/>
  <c r="H3743" i="11"/>
  <c r="H3735" i="11"/>
  <c r="H3727" i="11"/>
  <c r="H3719" i="11"/>
  <c r="H3380" i="11"/>
  <c r="H3373" i="11"/>
  <c r="H3364" i="11"/>
  <c r="H3357" i="11"/>
  <c r="H4113" i="11"/>
  <c r="H3382" i="11"/>
  <c r="H3375" i="11"/>
  <c r="H3366" i="11"/>
  <c r="H3359" i="11"/>
  <c r="H4097" i="11"/>
  <c r="H3737" i="11"/>
  <c r="H3368" i="11"/>
  <c r="H3729" i="11"/>
  <c r="H3017" i="11"/>
  <c r="H3015" i="11"/>
  <c r="H3013" i="11"/>
  <c r="H3011" i="11"/>
  <c r="H3009" i="11"/>
  <c r="H3007" i="11"/>
  <c r="H3005" i="11"/>
  <c r="H3003" i="11"/>
  <c r="H3001" i="11"/>
  <c r="H2999" i="11"/>
  <c r="H2997" i="11"/>
  <c r="H2995" i="11"/>
  <c r="H2993" i="11"/>
  <c r="H2991" i="11"/>
  <c r="H2989" i="11"/>
  <c r="H3721" i="11"/>
  <c r="H3377" i="11"/>
  <c r="H3745" i="11"/>
  <c r="H3361" i="11"/>
  <c r="H3006" i="11"/>
  <c r="H2990" i="11"/>
  <c r="H2649" i="11"/>
  <c r="H2641" i="11"/>
  <c r="H2633" i="11"/>
  <c r="H2625" i="11"/>
  <c r="H3012" i="11"/>
  <c r="H2996" i="11"/>
  <c r="H2646" i="11"/>
  <c r="H2638" i="11"/>
  <c r="H2630" i="11"/>
  <c r="H3018" i="11"/>
  <c r="H3002" i="11"/>
  <c r="H2651" i="11"/>
  <c r="H2643" i="11"/>
  <c r="H2635" i="11"/>
  <c r="H2627" i="11"/>
  <c r="H2287" i="11"/>
  <c r="H2285" i="11"/>
  <c r="H2283" i="11"/>
  <c r="H2281" i="11"/>
  <c r="H2279" i="11"/>
  <c r="H2277" i="11"/>
  <c r="H2275" i="11"/>
  <c r="H2273" i="11"/>
  <c r="H2271" i="11"/>
  <c r="H2269" i="11"/>
  <c r="H2267" i="11"/>
  <c r="H2265" i="11"/>
  <c r="H2263" i="11"/>
  <c r="H2261" i="11"/>
  <c r="H2259" i="11"/>
  <c r="H2257" i="11"/>
  <c r="H3008" i="11"/>
  <c r="H2992" i="11"/>
  <c r="H2648" i="11"/>
  <c r="H2640" i="11"/>
  <c r="H2632" i="11"/>
  <c r="H2624" i="11"/>
  <c r="H3014" i="11"/>
  <c r="H3004" i="11"/>
  <c r="H2988" i="11"/>
  <c r="H2650" i="11"/>
  <c r="H2642" i="11"/>
  <c r="H2634" i="11"/>
  <c r="H2626" i="11"/>
  <c r="H3010" i="11"/>
  <c r="H2994" i="11"/>
  <c r="H2647" i="11"/>
  <c r="H2639" i="11"/>
  <c r="H2631" i="11"/>
  <c r="H2623" i="11"/>
  <c r="H3000" i="11"/>
  <c r="H2636" i="11"/>
  <c r="H2286" i="11"/>
  <c r="H2278" i="11"/>
  <c r="H2270" i="11"/>
  <c r="H2262" i="11"/>
  <c r="H1920" i="11"/>
  <c r="H1913" i="11"/>
  <c r="H1904" i="11"/>
  <c r="H1897" i="11"/>
  <c r="H1552" i="11"/>
  <c r="H1545" i="11"/>
  <c r="H1536" i="11"/>
  <c r="H1529" i="11"/>
  <c r="H2653" i="11"/>
  <c r="H1922" i="11"/>
  <c r="H1915" i="11"/>
  <c r="H1906" i="11"/>
  <c r="H1899" i="11"/>
  <c r="H1554" i="11"/>
  <c r="H1547" i="11"/>
  <c r="H1538" i="11"/>
  <c r="H1531" i="11"/>
  <c r="H2628" i="11"/>
  <c r="H2280" i="11"/>
  <c r="H2272" i="11"/>
  <c r="H2264" i="11"/>
  <c r="H1917" i="11"/>
  <c r="H1908" i="11"/>
  <c r="H1901" i="11"/>
  <c r="H1892" i="11"/>
  <c r="H1556" i="11"/>
  <c r="H1549" i="11"/>
  <c r="H1540" i="11"/>
  <c r="H1533" i="11"/>
  <c r="H2645" i="11"/>
  <c r="H1919" i="11"/>
  <c r="H1910" i="11"/>
  <c r="H1903" i="11"/>
  <c r="H1894" i="11"/>
  <c r="H1551" i="11"/>
  <c r="H1542" i="11"/>
  <c r="H1535" i="11"/>
  <c r="H2652" i="11"/>
  <c r="H2282" i="11"/>
  <c r="H2274" i="11"/>
  <c r="H2266" i="11"/>
  <c r="H2258" i="11"/>
  <c r="H1921" i="11"/>
  <c r="H1912" i="11"/>
  <c r="H1905" i="11"/>
  <c r="H1896" i="11"/>
  <c r="H2998" i="11"/>
  <c r="H2637" i="11"/>
  <c r="H1914" i="11"/>
  <c r="H1907" i="11"/>
  <c r="H1898" i="11"/>
  <c r="H1555" i="11"/>
  <c r="H1546" i="11"/>
  <c r="H1539" i="11"/>
  <c r="H1530" i="11"/>
  <c r="H2644" i="11"/>
  <c r="H2284" i="11"/>
  <c r="H2276" i="11"/>
  <c r="H2268" i="11"/>
  <c r="H2260" i="11"/>
  <c r="H1916" i="11"/>
  <c r="H1909" i="11"/>
  <c r="H1900" i="11"/>
  <c r="H1893" i="11"/>
  <c r="H1557" i="11"/>
  <c r="H1548" i="11"/>
  <c r="H1541" i="11"/>
  <c r="H1532" i="11"/>
  <c r="H3016" i="11"/>
  <c r="H2629" i="11"/>
  <c r="H1918" i="11"/>
  <c r="H1528" i="11"/>
  <c r="H1895" i="11"/>
  <c r="H1192" i="11"/>
  <c r="H1190" i="11"/>
  <c r="H1188" i="11"/>
  <c r="H1186" i="11"/>
  <c r="H1184" i="11"/>
  <c r="H1182" i="11"/>
  <c r="H1180" i="11"/>
  <c r="H1178" i="11"/>
  <c r="H1176" i="11"/>
  <c r="H1174" i="11"/>
  <c r="H1172" i="11"/>
  <c r="H1170" i="11"/>
  <c r="H1168" i="11"/>
  <c r="H1166" i="11"/>
  <c r="H1164" i="11"/>
  <c r="H1162" i="11"/>
  <c r="H1902" i="11"/>
  <c r="H1544" i="11"/>
  <c r="H1534" i="11"/>
  <c r="H1537" i="11"/>
  <c r="H1527" i="11"/>
  <c r="H1550" i="11"/>
  <c r="H1553" i="11"/>
  <c r="H1543" i="11"/>
  <c r="H1191" i="11"/>
  <c r="H1189" i="11"/>
  <c r="H1187" i="11"/>
  <c r="H1185" i="11"/>
  <c r="H1183" i="11"/>
  <c r="H1181" i="11"/>
  <c r="H1179" i="11"/>
  <c r="H1177" i="11"/>
  <c r="H1175" i="11"/>
  <c r="H1173" i="11"/>
  <c r="H1171" i="11"/>
  <c r="H1169" i="11"/>
  <c r="H1167" i="11"/>
  <c r="H1165" i="11"/>
  <c r="H1163" i="11"/>
  <c r="H1911" i="11"/>
  <c r="H5696" i="11"/>
  <c r="H5694" i="11"/>
  <c r="H5692" i="11"/>
  <c r="H5690" i="11"/>
  <c r="H5695" i="11"/>
  <c r="H5685" i="11"/>
  <c r="H5687" i="11"/>
  <c r="H5697" i="11"/>
  <c r="H5689" i="11"/>
  <c r="H5680" i="11"/>
  <c r="H5678" i="11"/>
  <c r="H5676" i="11"/>
  <c r="H5674" i="11"/>
  <c r="H5672" i="11"/>
  <c r="H5670" i="11"/>
  <c r="H5668" i="11"/>
  <c r="H5686" i="11"/>
  <c r="H5683" i="11"/>
  <c r="H5679" i="11"/>
  <c r="H5675" i="11"/>
  <c r="H5671" i="11"/>
  <c r="H5667" i="11"/>
  <c r="H5688" i="11"/>
  <c r="H5681" i="11"/>
  <c r="H5677" i="11"/>
  <c r="H5673" i="11"/>
  <c r="H5669" i="11"/>
  <c r="H5682" i="11"/>
  <c r="H5693" i="11"/>
  <c r="H5684" i="11"/>
  <c r="H5330" i="11"/>
  <c r="H5328" i="11"/>
  <c r="H5326" i="11"/>
  <c r="H5324" i="11"/>
  <c r="H5322" i="11"/>
  <c r="H5320" i="11"/>
  <c r="H5318" i="11"/>
  <c r="H5316" i="11"/>
  <c r="H5314" i="11"/>
  <c r="H5312" i="11"/>
  <c r="H5310" i="11"/>
  <c r="H5308" i="11"/>
  <c r="H5306" i="11"/>
  <c r="H5304" i="11"/>
  <c r="H5302" i="11"/>
  <c r="H5691" i="11"/>
  <c r="H5331" i="11"/>
  <c r="H5329" i="11"/>
  <c r="H5327" i="11"/>
  <c r="H5325" i="11"/>
  <c r="H5323" i="11"/>
  <c r="H5321" i="11"/>
  <c r="H5319" i="11"/>
  <c r="H5317" i="11"/>
  <c r="H5315" i="11"/>
  <c r="H5313" i="11"/>
  <c r="H5311" i="11"/>
  <c r="H5309" i="11"/>
  <c r="H5307" i="11"/>
  <c r="H5305" i="11"/>
  <c r="H5303" i="11"/>
  <c r="H5301" i="11"/>
  <c r="H4965" i="11"/>
  <c r="H4963" i="11"/>
  <c r="H4961" i="11"/>
  <c r="H4959" i="11"/>
  <c r="H4957" i="11"/>
  <c r="H4955" i="11"/>
  <c r="H4953" i="11"/>
  <c r="H4951" i="11"/>
  <c r="H4949" i="11"/>
  <c r="H4947" i="11"/>
  <c r="H4945" i="11"/>
  <c r="H4943" i="11"/>
  <c r="H4941" i="11"/>
  <c r="H4939" i="11"/>
  <c r="H4937" i="11"/>
  <c r="H4966" i="11"/>
  <c r="H4964" i="11"/>
  <c r="H4962" i="11"/>
  <c r="H4960" i="11"/>
  <c r="H4958" i="11"/>
  <c r="H4956" i="11"/>
  <c r="H4954" i="11"/>
  <c r="H4952" i="11"/>
  <c r="H4950" i="11"/>
  <c r="H4948" i="11"/>
  <c r="H4946" i="11"/>
  <c r="H4944" i="11"/>
  <c r="H4942" i="11"/>
  <c r="H4940" i="11"/>
  <c r="H4938" i="11"/>
  <c r="H4936" i="11"/>
  <c r="H4601" i="11"/>
  <c r="H4599" i="11"/>
  <c r="H4597" i="11"/>
  <c r="H4595" i="11"/>
  <c r="H4593" i="11"/>
  <c r="H4591" i="11"/>
  <c r="H4589" i="11"/>
  <c r="H4587" i="11"/>
  <c r="H4585" i="11"/>
  <c r="H4583" i="11"/>
  <c r="H4581" i="11"/>
  <c r="H4579" i="11"/>
  <c r="H4577" i="11"/>
  <c r="H4575" i="11"/>
  <c r="H4573" i="11"/>
  <c r="H4571" i="11"/>
  <c r="H4590" i="11"/>
  <c r="H4574" i="11"/>
  <c r="H4600" i="11"/>
  <c r="H4584" i="11"/>
  <c r="H4594" i="11"/>
  <c r="H4578" i="11"/>
  <c r="H4588" i="11"/>
  <c r="H4572" i="11"/>
  <c r="H4598" i="11"/>
  <c r="H4582" i="11"/>
  <c r="H4592" i="11"/>
  <c r="H4576" i="11"/>
  <c r="H4586" i="11"/>
  <c r="H4230" i="11"/>
  <c r="H4222" i="11"/>
  <c r="H4214" i="11"/>
  <c r="H4206" i="11"/>
  <c r="H4235" i="11"/>
  <c r="H4227" i="11"/>
  <c r="H4219" i="11"/>
  <c r="H4211" i="11"/>
  <c r="H4232" i="11"/>
  <c r="H4224" i="11"/>
  <c r="H4216" i="11"/>
  <c r="H4208" i="11"/>
  <c r="H4229" i="11"/>
  <c r="H4221" i="11"/>
  <c r="H4213" i="11"/>
  <c r="H4596" i="11"/>
  <c r="H4234" i="11"/>
  <c r="H4580" i="11"/>
  <c r="H4231" i="11"/>
  <c r="H4223" i="11"/>
  <c r="H4215" i="11"/>
  <c r="H4207" i="11"/>
  <c r="H4236" i="11"/>
  <c r="H4228" i="11"/>
  <c r="H4220" i="11"/>
  <c r="H4212" i="11"/>
  <c r="H4209" i="11"/>
  <c r="H3867" i="11"/>
  <c r="H4226" i="11"/>
  <c r="H3869" i="11"/>
  <c r="H3862" i="11"/>
  <c r="H3860" i="11"/>
  <c r="H3858" i="11"/>
  <c r="H3856" i="11"/>
  <c r="H3854" i="11"/>
  <c r="H3852" i="11"/>
  <c r="H3850" i="11"/>
  <c r="H3848" i="11"/>
  <c r="H3846" i="11"/>
  <c r="H3844" i="11"/>
  <c r="H3842" i="11"/>
  <c r="H3840" i="11"/>
  <c r="H4233" i="11"/>
  <c r="H3864" i="11"/>
  <c r="H4218" i="11"/>
  <c r="H3866" i="11"/>
  <c r="H4225" i="11"/>
  <c r="H3868" i="11"/>
  <c r="H4210" i="11"/>
  <c r="H3870" i="11"/>
  <c r="H3861" i="11"/>
  <c r="H3859" i="11"/>
  <c r="H3857" i="11"/>
  <c r="H3855" i="11"/>
  <c r="H3853" i="11"/>
  <c r="H3851" i="11"/>
  <c r="H3849" i="11"/>
  <c r="H3847" i="11"/>
  <c r="H3845" i="11"/>
  <c r="H3843" i="11"/>
  <c r="H3841" i="11"/>
  <c r="H4217" i="11"/>
  <c r="H3863" i="11"/>
  <c r="H3498" i="11"/>
  <c r="H3491" i="11"/>
  <c r="H3482" i="11"/>
  <c r="H3475" i="11"/>
  <c r="H3500" i="11"/>
  <c r="H3493" i="11"/>
  <c r="H3484" i="11"/>
  <c r="H3477" i="11"/>
  <c r="H3502" i="11"/>
  <c r="H3495" i="11"/>
  <c r="H3486" i="11"/>
  <c r="H3479" i="11"/>
  <c r="H3504" i="11"/>
  <c r="H3497" i="11"/>
  <c r="H3488" i="11"/>
  <c r="H3481" i="11"/>
  <c r="H3499" i="11"/>
  <c r="H3490" i="11"/>
  <c r="H3483" i="11"/>
  <c r="H3501" i="11"/>
  <c r="H3492" i="11"/>
  <c r="H3485" i="11"/>
  <c r="H3476" i="11"/>
  <c r="H3503" i="11"/>
  <c r="H3494" i="11"/>
  <c r="H3487" i="11"/>
  <c r="H3478" i="11"/>
  <c r="H3865" i="11"/>
  <c r="H3480" i="11"/>
  <c r="H3505" i="11"/>
  <c r="H3139" i="11"/>
  <c r="H3137" i="11"/>
  <c r="H3135" i="11"/>
  <c r="H3133" i="11"/>
  <c r="H3131" i="11"/>
  <c r="H3129" i="11"/>
  <c r="H3127" i="11"/>
  <c r="H3125" i="11"/>
  <c r="H3123" i="11"/>
  <c r="H3121" i="11"/>
  <c r="H3119" i="11"/>
  <c r="H3117" i="11"/>
  <c r="H3115" i="11"/>
  <c r="H3113" i="11"/>
  <c r="H3111" i="11"/>
  <c r="H3489" i="11"/>
  <c r="H3496" i="11"/>
  <c r="H3134" i="11"/>
  <c r="H3118" i="11"/>
  <c r="H2769" i="11"/>
  <c r="H2761" i="11"/>
  <c r="H2753" i="11"/>
  <c r="H2745" i="11"/>
  <c r="H3140" i="11"/>
  <c r="H3124" i="11"/>
  <c r="H2774" i="11"/>
  <c r="H2766" i="11"/>
  <c r="H2758" i="11"/>
  <c r="H2750" i="11"/>
  <c r="H3130" i="11"/>
  <c r="H3114" i="11"/>
  <c r="H2771" i="11"/>
  <c r="H2763" i="11"/>
  <c r="H2755" i="11"/>
  <c r="H2747" i="11"/>
  <c r="H2409" i="11"/>
  <c r="H2407" i="11"/>
  <c r="H2405" i="11"/>
  <c r="H2403" i="11"/>
  <c r="H2401" i="11"/>
  <c r="H2399" i="11"/>
  <c r="H2397" i="11"/>
  <c r="H2395" i="11"/>
  <c r="H2393" i="11"/>
  <c r="H2391" i="11"/>
  <c r="H2389" i="11"/>
  <c r="H2387" i="11"/>
  <c r="H2385" i="11"/>
  <c r="H2383" i="11"/>
  <c r="H2381" i="11"/>
  <c r="H2379" i="11"/>
  <c r="H3136" i="11"/>
  <c r="H3120" i="11"/>
  <c r="H2768" i="11"/>
  <c r="H2760" i="11"/>
  <c r="H2752" i="11"/>
  <c r="H3126" i="11"/>
  <c r="H3110" i="11"/>
  <c r="H3132" i="11"/>
  <c r="H3116" i="11"/>
  <c r="H2770" i="11"/>
  <c r="H2762" i="11"/>
  <c r="H2754" i="11"/>
  <c r="H2746" i="11"/>
  <c r="H3138" i="11"/>
  <c r="H3122" i="11"/>
  <c r="H2775" i="11"/>
  <c r="H2767" i="11"/>
  <c r="H2759" i="11"/>
  <c r="H2751" i="11"/>
  <c r="H2773" i="11"/>
  <c r="H2408" i="11"/>
  <c r="H2400" i="11"/>
  <c r="H2392" i="11"/>
  <c r="H2384" i="11"/>
  <c r="H2041" i="11"/>
  <c r="H2032" i="11"/>
  <c r="H2025" i="11"/>
  <c r="H2016" i="11"/>
  <c r="H1673" i="11"/>
  <c r="H1664" i="11"/>
  <c r="H1657" i="11"/>
  <c r="H3128" i="11"/>
  <c r="H2748" i="11"/>
  <c r="H2043" i="11"/>
  <c r="H2034" i="11"/>
  <c r="H2027" i="11"/>
  <c r="H2018" i="11"/>
  <c r="H1675" i="11"/>
  <c r="H1666" i="11"/>
  <c r="H1659" i="11"/>
  <c r="H1650" i="11"/>
  <c r="H3112" i="11"/>
  <c r="H2765" i="11"/>
  <c r="H2402" i="11"/>
  <c r="H2394" i="11"/>
  <c r="H2386" i="11"/>
  <c r="H2036" i="11"/>
  <c r="H2029" i="11"/>
  <c r="H2020" i="11"/>
  <c r="H1677" i="11"/>
  <c r="H1668" i="11"/>
  <c r="H1661" i="11"/>
  <c r="H1652" i="11"/>
  <c r="H2772" i="11"/>
  <c r="H2038" i="11"/>
  <c r="H2031" i="11"/>
  <c r="H2022" i="11"/>
  <c r="H2015" i="11"/>
  <c r="H1679" i="11"/>
  <c r="H1670" i="11"/>
  <c r="H1663" i="11"/>
  <c r="H1654" i="11"/>
  <c r="H2757" i="11"/>
  <c r="H2404" i="11"/>
  <c r="H2396" i="11"/>
  <c r="H2388" i="11"/>
  <c r="H2380" i="11"/>
  <c r="H2040" i="11"/>
  <c r="H2033" i="11"/>
  <c r="H2024" i="11"/>
  <c r="H2017" i="11"/>
  <c r="H1672" i="11"/>
  <c r="H1665" i="11"/>
  <c r="H1656" i="11"/>
  <c r="H1649" i="11"/>
  <c r="H2764" i="11"/>
  <c r="H2042" i="11"/>
  <c r="H2035" i="11"/>
  <c r="H2026" i="11"/>
  <c r="H2019" i="11"/>
  <c r="H1674" i="11"/>
  <c r="H1667" i="11"/>
  <c r="H1658" i="11"/>
  <c r="H1651" i="11"/>
  <c r="H2749" i="11"/>
  <c r="H2406" i="11"/>
  <c r="H2398" i="11"/>
  <c r="H2390" i="11"/>
  <c r="H2382" i="11"/>
  <c r="H2044" i="11"/>
  <c r="H2037" i="11"/>
  <c r="H2028" i="11"/>
  <c r="H2021" i="11"/>
  <c r="H1676" i="11"/>
  <c r="H1669" i="11"/>
  <c r="H1660" i="11"/>
  <c r="H1653" i="11"/>
  <c r="H2756" i="11"/>
  <c r="H1655" i="11"/>
  <c r="H2014" i="11"/>
  <c r="H1662" i="11"/>
  <c r="H1314" i="11"/>
  <c r="H1312" i="11"/>
  <c r="H1310" i="11"/>
  <c r="H1308" i="11"/>
  <c r="H1306" i="11"/>
  <c r="H1304" i="11"/>
  <c r="H1302" i="11"/>
  <c r="H1300" i="11"/>
  <c r="H1298" i="11"/>
  <c r="H1296" i="11"/>
  <c r="H1294" i="11"/>
  <c r="H1292" i="11"/>
  <c r="H1290" i="11"/>
  <c r="H1288" i="11"/>
  <c r="H1286" i="11"/>
  <c r="H1284" i="11"/>
  <c r="H2039" i="11"/>
  <c r="H2023" i="11"/>
  <c r="H1671" i="11"/>
  <c r="H1313" i="11"/>
  <c r="H1311" i="11"/>
  <c r="H1309" i="11"/>
  <c r="H1307" i="11"/>
  <c r="H1305" i="11"/>
  <c r="H1303" i="11"/>
  <c r="H1301" i="11"/>
  <c r="H1299" i="11"/>
  <c r="H1297" i="11"/>
  <c r="H1295" i="11"/>
  <c r="H1293" i="11"/>
  <c r="H1291" i="11"/>
  <c r="H1289" i="11"/>
  <c r="H1287" i="11"/>
  <c r="H1285" i="11"/>
  <c r="H2030" i="11"/>
  <c r="H5818" i="11"/>
  <c r="H5816" i="11"/>
  <c r="H5814" i="11"/>
  <c r="H5812" i="11"/>
  <c r="H5810" i="11"/>
  <c r="H5808" i="11"/>
  <c r="H5806" i="11"/>
  <c r="H5804" i="11"/>
  <c r="H5802" i="11"/>
  <c r="H5800" i="11"/>
  <c r="H5798" i="11"/>
  <c r="H5796" i="11"/>
  <c r="H5794" i="11"/>
  <c r="H5792" i="11"/>
  <c r="H5790" i="11"/>
  <c r="H5817" i="11"/>
  <c r="H5813" i="11"/>
  <c r="H5809" i="11"/>
  <c r="H5805" i="11"/>
  <c r="H5801" i="11"/>
  <c r="H5797" i="11"/>
  <c r="H5793" i="11"/>
  <c r="H5811" i="11"/>
  <c r="H5791" i="11"/>
  <c r="H5803" i="11"/>
  <c r="H5807" i="11"/>
  <c r="H5819" i="11"/>
  <c r="H5815" i="11"/>
  <c r="H5795" i="11"/>
  <c r="H5450" i="11"/>
  <c r="H5446" i="11"/>
  <c r="H5442" i="11"/>
  <c r="H5438" i="11"/>
  <c r="H5431" i="11"/>
  <c r="H5428" i="11"/>
  <c r="H5434" i="11"/>
  <c r="H5425" i="11"/>
  <c r="H5453" i="11"/>
  <c r="H5449" i="11"/>
  <c r="H5445" i="11"/>
  <c r="H5441" i="11"/>
  <c r="H5437" i="11"/>
  <c r="H5799" i="11"/>
  <c r="H5433" i="11"/>
  <c r="H5430" i="11"/>
  <c r="H5427" i="11"/>
  <c r="H5452" i="11"/>
  <c r="H5448" i="11"/>
  <c r="H5444" i="11"/>
  <c r="H5440" i="11"/>
  <c r="H5436" i="11"/>
  <c r="H5424" i="11"/>
  <c r="H5429" i="11"/>
  <c r="H5439" i="11"/>
  <c r="H5426" i="11"/>
  <c r="H5451" i="11"/>
  <c r="H5432" i="11"/>
  <c r="H5443" i="11"/>
  <c r="H5435" i="11"/>
  <c r="H5088" i="11"/>
  <c r="H5086" i="11"/>
  <c r="H5084" i="11"/>
  <c r="H5082" i="11"/>
  <c r="H5080" i="11"/>
  <c r="H5078" i="11"/>
  <c r="H5076" i="11"/>
  <c r="H5074" i="11"/>
  <c r="H5072" i="11"/>
  <c r="H5070" i="11"/>
  <c r="H5068" i="11"/>
  <c r="H5066" i="11"/>
  <c r="H5064" i="11"/>
  <c r="H5062" i="11"/>
  <c r="H5060" i="11"/>
  <c r="H5447" i="11"/>
  <c r="H5087" i="11"/>
  <c r="H5085" i="11"/>
  <c r="H5083" i="11"/>
  <c r="H5081" i="11"/>
  <c r="H5079" i="11"/>
  <c r="H5077" i="11"/>
  <c r="H5075" i="11"/>
  <c r="H5073" i="11"/>
  <c r="H5071" i="11"/>
  <c r="H5069" i="11"/>
  <c r="H5067" i="11"/>
  <c r="H5065" i="11"/>
  <c r="H5063" i="11"/>
  <c r="H5061" i="11"/>
  <c r="H5059" i="11"/>
  <c r="H4723" i="11"/>
  <c r="H4715" i="11"/>
  <c r="H4707" i="11"/>
  <c r="H4720" i="11"/>
  <c r="H4712" i="11"/>
  <c r="H4704" i="11"/>
  <c r="H4717" i="11"/>
  <c r="H4709" i="11"/>
  <c r="H4722" i="11"/>
  <c r="H4714" i="11"/>
  <c r="H4706" i="11"/>
  <c r="H4701" i="11"/>
  <c r="H4699" i="11"/>
  <c r="H4697" i="11"/>
  <c r="H4695" i="11"/>
  <c r="H4719" i="11"/>
  <c r="H4711" i="11"/>
  <c r="H4703" i="11"/>
  <c r="H4716" i="11"/>
  <c r="H4708" i="11"/>
  <c r="H4721" i="11"/>
  <c r="H4713" i="11"/>
  <c r="H4705" i="11"/>
  <c r="H4702" i="11"/>
  <c r="H4696" i="11"/>
  <c r="H4357" i="11"/>
  <c r="H4355" i="11"/>
  <c r="H4353" i="11"/>
  <c r="H4351" i="11"/>
  <c r="H4349" i="11"/>
  <c r="H4347" i="11"/>
  <c r="H4345" i="11"/>
  <c r="H4343" i="11"/>
  <c r="H4341" i="11"/>
  <c r="H4339" i="11"/>
  <c r="H4337" i="11"/>
  <c r="H4335" i="11"/>
  <c r="H4333" i="11"/>
  <c r="H4331" i="11"/>
  <c r="H4329" i="11"/>
  <c r="H4700" i="11"/>
  <c r="H4718" i="11"/>
  <c r="H4694" i="11"/>
  <c r="H4710" i="11"/>
  <c r="H4698" i="11"/>
  <c r="H4358" i="11"/>
  <c r="H4354" i="11"/>
  <c r="H4350" i="11"/>
  <c r="H4346" i="11"/>
  <c r="H4342" i="11"/>
  <c r="H4338" i="11"/>
  <c r="H4334" i="11"/>
  <c r="H4330" i="11"/>
  <c r="H3992" i="11"/>
  <c r="H3990" i="11"/>
  <c r="H3988" i="11"/>
  <c r="H3986" i="11"/>
  <c r="H3984" i="11"/>
  <c r="H3982" i="11"/>
  <c r="H3980" i="11"/>
  <c r="H3978" i="11"/>
  <c r="H3976" i="11"/>
  <c r="H3974" i="11"/>
  <c r="H3972" i="11"/>
  <c r="H3970" i="11"/>
  <c r="H3968" i="11"/>
  <c r="H3966" i="11"/>
  <c r="H3964" i="11"/>
  <c r="H4356" i="11"/>
  <c r="H4352" i="11"/>
  <c r="H4348" i="11"/>
  <c r="H4344" i="11"/>
  <c r="H4340" i="11"/>
  <c r="H4336" i="11"/>
  <c r="H4332" i="11"/>
  <c r="H3989" i="11"/>
  <c r="H3973" i="11"/>
  <c r="H3979" i="11"/>
  <c r="H3963" i="11"/>
  <c r="H3626" i="11"/>
  <c r="H3624" i="11"/>
  <c r="H3622" i="11"/>
  <c r="H3620" i="11"/>
  <c r="H3618" i="11"/>
  <c r="H3616" i="11"/>
  <c r="H3614" i="11"/>
  <c r="H3612" i="11"/>
  <c r="H3610" i="11"/>
  <c r="H3608" i="11"/>
  <c r="H3606" i="11"/>
  <c r="H3604" i="11"/>
  <c r="H3602" i="11"/>
  <c r="H3600" i="11"/>
  <c r="H3598" i="11"/>
  <c r="H3985" i="11"/>
  <c r="H3969" i="11"/>
  <c r="H3991" i="11"/>
  <c r="H3975" i="11"/>
  <c r="H3981" i="11"/>
  <c r="H3965" i="11"/>
  <c r="H3987" i="11"/>
  <c r="H3971" i="11"/>
  <c r="H3977" i="11"/>
  <c r="H3627" i="11"/>
  <c r="H3619" i="11"/>
  <c r="H3611" i="11"/>
  <c r="H3603" i="11"/>
  <c r="H3621" i="11"/>
  <c r="H3613" i="11"/>
  <c r="H3605" i="11"/>
  <c r="H3983" i="11"/>
  <c r="H3967" i="11"/>
  <c r="H3623" i="11"/>
  <c r="H3615" i="11"/>
  <c r="H3607" i="11"/>
  <c r="H3599" i="11"/>
  <c r="H3601" i="11"/>
  <c r="H3256" i="11"/>
  <c r="H3248" i="11"/>
  <c r="H3240" i="11"/>
  <c r="H3261" i="11"/>
  <c r="H3253" i="11"/>
  <c r="H3245" i="11"/>
  <c r="H3237" i="11"/>
  <c r="H3625" i="11"/>
  <c r="H3258" i="11"/>
  <c r="H3250" i="11"/>
  <c r="H3242" i="11"/>
  <c r="H3234" i="11"/>
  <c r="H3255" i="11"/>
  <c r="H3247" i="11"/>
  <c r="H3239" i="11"/>
  <c r="H3617" i="11"/>
  <c r="H3260" i="11"/>
  <c r="H3252" i="11"/>
  <c r="H3244" i="11"/>
  <c r="H3236" i="11"/>
  <c r="H3257" i="11"/>
  <c r="H3249" i="11"/>
  <c r="H3241" i="11"/>
  <c r="H3233" i="11"/>
  <c r="H3609" i="11"/>
  <c r="H3262" i="11"/>
  <c r="H3254" i="11"/>
  <c r="H3259" i="11"/>
  <c r="H2897" i="11"/>
  <c r="H2889" i="11"/>
  <c r="H2881" i="11"/>
  <c r="H2873" i="11"/>
  <c r="H3251" i="11"/>
  <c r="H2894" i="11"/>
  <c r="H2886" i="11"/>
  <c r="H2878" i="11"/>
  <c r="H2870" i="11"/>
  <c r="H2891" i="11"/>
  <c r="H2883" i="11"/>
  <c r="H2875" i="11"/>
  <c r="H2531" i="11"/>
  <c r="H2529" i="11"/>
  <c r="H2527" i="11"/>
  <c r="H2525" i="11"/>
  <c r="H2523" i="11"/>
  <c r="H2521" i="11"/>
  <c r="H2519" i="11"/>
  <c r="H2517" i="11"/>
  <c r="H2515" i="11"/>
  <c r="H2513" i="11"/>
  <c r="H2511" i="11"/>
  <c r="H2509" i="11"/>
  <c r="H2507" i="11"/>
  <c r="H2505" i="11"/>
  <c r="H2503" i="11"/>
  <c r="H2165" i="11"/>
  <c r="H2163" i="11"/>
  <c r="H2161" i="11"/>
  <c r="H2159" i="11"/>
  <c r="H2157" i="11"/>
  <c r="H2155" i="11"/>
  <c r="H2153" i="11"/>
  <c r="H2151" i="11"/>
  <c r="H2149" i="11"/>
  <c r="H2147" i="11"/>
  <c r="H2145" i="11"/>
  <c r="H2143" i="11"/>
  <c r="H2141" i="11"/>
  <c r="H2139" i="11"/>
  <c r="H2137" i="11"/>
  <c r="H3243" i="11"/>
  <c r="H2896" i="11"/>
  <c r="H2888" i="11"/>
  <c r="H2880" i="11"/>
  <c r="H2872" i="11"/>
  <c r="H3246" i="11"/>
  <c r="H3235" i="11"/>
  <c r="H2890" i="11"/>
  <c r="H2882" i="11"/>
  <c r="H2874" i="11"/>
  <c r="H3238" i="11"/>
  <c r="H2895" i="11"/>
  <c r="H2887" i="11"/>
  <c r="H2879" i="11"/>
  <c r="H2871" i="11"/>
  <c r="H2530" i="11"/>
  <c r="H2528" i="11"/>
  <c r="H2526" i="11"/>
  <c r="H2524" i="11"/>
  <c r="H2522" i="11"/>
  <c r="H2520" i="11"/>
  <c r="H2518" i="11"/>
  <c r="H2516" i="11"/>
  <c r="H2514" i="11"/>
  <c r="H2512" i="11"/>
  <c r="H2510" i="11"/>
  <c r="H2508" i="11"/>
  <c r="H2506" i="11"/>
  <c r="H2504" i="11"/>
  <c r="H2502" i="11"/>
  <c r="H2893" i="11"/>
  <c r="H2166" i="11"/>
  <c r="H2158" i="11"/>
  <c r="H2150" i="11"/>
  <c r="H2142" i="11"/>
  <c r="H1801" i="11"/>
  <c r="H1792" i="11"/>
  <c r="H1785" i="11"/>
  <c r="H1776" i="11"/>
  <c r="H2868" i="11"/>
  <c r="H1794" i="11"/>
  <c r="H1787" i="11"/>
  <c r="H1778" i="11"/>
  <c r="H1435" i="11"/>
  <c r="H1426" i="11"/>
  <c r="H1419" i="11"/>
  <c r="H1410" i="11"/>
  <c r="H2885" i="11"/>
  <c r="H2160" i="11"/>
  <c r="H2152" i="11"/>
  <c r="H2144" i="11"/>
  <c r="H1796" i="11"/>
  <c r="H1789" i="11"/>
  <c r="H1780" i="11"/>
  <c r="H1773" i="11"/>
  <c r="H1428" i="11"/>
  <c r="H1421" i="11"/>
  <c r="H1412" i="11"/>
  <c r="H2892" i="11"/>
  <c r="H1798" i="11"/>
  <c r="H1791" i="11"/>
  <c r="H1782" i="11"/>
  <c r="H1775" i="11"/>
  <c r="H1430" i="11"/>
  <c r="H1423" i="11"/>
  <c r="H1414" i="11"/>
  <c r="H1407" i="11"/>
  <c r="H2877" i="11"/>
  <c r="H2162" i="11"/>
  <c r="H2154" i="11"/>
  <c r="H2146" i="11"/>
  <c r="H2138" i="11"/>
  <c r="H1800" i="11"/>
  <c r="H1793" i="11"/>
  <c r="H1784" i="11"/>
  <c r="H1777" i="11"/>
  <c r="H2884" i="11"/>
  <c r="H1795" i="11"/>
  <c r="H1786" i="11"/>
  <c r="H1779" i="11"/>
  <c r="H2869" i="11"/>
  <c r="H2164" i="11"/>
  <c r="H2156" i="11"/>
  <c r="H2148" i="11"/>
  <c r="H2140" i="11"/>
  <c r="H1797" i="11"/>
  <c r="H1788" i="11"/>
  <c r="H1781" i="11"/>
  <c r="H1772" i="11"/>
  <c r="H1436" i="11"/>
  <c r="H1429" i="11"/>
  <c r="H2876" i="11"/>
  <c r="H1799" i="11"/>
  <c r="H1431" i="11"/>
  <c r="H1425" i="11"/>
  <c r="H1411" i="11"/>
  <c r="H1422" i="11"/>
  <c r="H1433" i="11"/>
  <c r="H1427" i="11"/>
  <c r="H1416" i="11"/>
  <c r="H1413" i="11"/>
  <c r="H1408" i="11"/>
  <c r="H1783" i="11"/>
  <c r="H1424" i="11"/>
  <c r="H1790" i="11"/>
  <c r="H1418" i="11"/>
  <c r="H1432" i="11"/>
  <c r="H1415" i="11"/>
  <c r="H1409" i="11"/>
  <c r="H1774" i="11"/>
  <c r="J5636" i="11"/>
  <c r="J5634" i="11"/>
  <c r="J5632" i="11"/>
  <c r="J5630" i="11"/>
  <c r="J5628" i="11"/>
  <c r="J5626" i="11"/>
  <c r="J5624" i="11"/>
  <c r="J5622" i="11"/>
  <c r="J5620" i="11"/>
  <c r="J5618" i="11"/>
  <c r="J5616" i="11"/>
  <c r="J5614" i="11"/>
  <c r="J5612" i="11"/>
  <c r="J5610" i="11"/>
  <c r="J5608" i="11"/>
  <c r="J5606" i="11"/>
  <c r="J5627" i="11"/>
  <c r="J5619" i="11"/>
  <c r="J5611" i="11"/>
  <c r="J5633" i="11"/>
  <c r="J5635" i="11"/>
  <c r="J5623" i="11"/>
  <c r="J5615" i="11"/>
  <c r="J5607" i="11"/>
  <c r="J5631" i="11"/>
  <c r="J5613" i="11"/>
  <c r="J5609" i="11"/>
  <c r="J5629" i="11"/>
  <c r="J5617" i="11"/>
  <c r="J5621" i="11"/>
  <c r="J5625" i="11"/>
  <c r="J5266" i="11"/>
  <c r="J5259" i="11"/>
  <c r="J5250" i="11"/>
  <c r="J5243" i="11"/>
  <c r="J5268" i="11"/>
  <c r="J5261" i="11"/>
  <c r="J5252" i="11"/>
  <c r="J5245" i="11"/>
  <c r="J5270" i="11"/>
  <c r="J5263" i="11"/>
  <c r="J5265" i="11"/>
  <c r="J5256" i="11"/>
  <c r="J5249" i="11"/>
  <c r="J5240" i="11"/>
  <c r="J5267" i="11"/>
  <c r="J5269" i="11"/>
  <c r="J5260" i="11"/>
  <c r="J5253" i="11"/>
  <c r="J5244" i="11"/>
  <c r="J5262" i="11"/>
  <c r="J5255" i="11"/>
  <c r="J5246" i="11"/>
  <c r="J5247" i="11"/>
  <c r="J5264" i="11"/>
  <c r="J5251" i="11"/>
  <c r="J5242" i="11"/>
  <c r="J5258" i="11"/>
  <c r="J5254" i="11"/>
  <c r="J5257" i="11"/>
  <c r="J5248" i="11"/>
  <c r="J4904" i="11"/>
  <c r="J4902" i="11"/>
  <c r="J4900" i="11"/>
  <c r="J4898" i="11"/>
  <c r="J4896" i="11"/>
  <c r="J4894" i="11"/>
  <c r="J4892" i="11"/>
  <c r="J4890" i="11"/>
  <c r="J4888" i="11"/>
  <c r="J4886" i="11"/>
  <c r="J4884" i="11"/>
  <c r="J4882" i="11"/>
  <c r="J4880" i="11"/>
  <c r="J4878" i="11"/>
  <c r="J4876" i="11"/>
  <c r="J5241" i="11"/>
  <c r="J4905" i="11"/>
  <c r="J4903" i="11"/>
  <c r="J4901" i="11"/>
  <c r="J4899" i="11"/>
  <c r="J4897" i="11"/>
  <c r="J4895" i="11"/>
  <c r="J4893" i="11"/>
  <c r="J4891" i="11"/>
  <c r="J4889" i="11"/>
  <c r="J4887" i="11"/>
  <c r="J4885" i="11"/>
  <c r="J4883" i="11"/>
  <c r="J4881" i="11"/>
  <c r="J4879" i="11"/>
  <c r="J4877" i="11"/>
  <c r="J4875" i="11"/>
  <c r="J4539" i="11"/>
  <c r="J4537" i="11"/>
  <c r="J4535" i="11"/>
  <c r="J4533" i="11"/>
  <c r="J4531" i="11"/>
  <c r="J4529" i="11"/>
  <c r="J4527" i="11"/>
  <c r="J4525" i="11"/>
  <c r="J4523" i="11"/>
  <c r="J4521" i="11"/>
  <c r="J4519" i="11"/>
  <c r="J4517" i="11"/>
  <c r="J4515" i="11"/>
  <c r="J4513" i="11"/>
  <c r="J4511" i="11"/>
  <c r="J4540" i="11"/>
  <c r="J4538" i="11"/>
  <c r="J4536" i="11"/>
  <c r="J4534" i="11"/>
  <c r="J4532" i="11"/>
  <c r="J4530" i="11"/>
  <c r="J4528" i="11"/>
  <c r="J4526" i="11"/>
  <c r="J4524" i="11"/>
  <c r="J4522" i="11"/>
  <c r="J4520" i="11"/>
  <c r="J4518" i="11"/>
  <c r="J4516" i="11"/>
  <c r="J4514" i="11"/>
  <c r="J4512" i="11"/>
  <c r="J4510" i="11"/>
  <c r="J4174" i="11"/>
  <c r="J4172" i="11"/>
  <c r="J4170" i="11"/>
  <c r="J4175" i="11"/>
  <c r="J4168" i="11"/>
  <c r="J4166" i="11"/>
  <c r="J4164" i="11"/>
  <c r="J4162" i="11"/>
  <c r="J4160" i="11"/>
  <c r="J4158" i="11"/>
  <c r="J4156" i="11"/>
  <c r="J4154" i="11"/>
  <c r="J4152" i="11"/>
  <c r="J4150" i="11"/>
  <c r="J4148" i="11"/>
  <c r="J4146" i="11"/>
  <c r="J4169" i="11"/>
  <c r="J4167" i="11"/>
  <c r="J4165" i="11"/>
  <c r="J4163" i="11"/>
  <c r="J4161" i="11"/>
  <c r="J4159" i="11"/>
  <c r="J4157" i="11"/>
  <c r="J4155" i="11"/>
  <c r="J4153" i="11"/>
  <c r="J4151" i="11"/>
  <c r="J4149" i="11"/>
  <c r="J4147" i="11"/>
  <c r="J4145" i="11"/>
  <c r="J4171" i="11"/>
  <c r="J4173" i="11"/>
  <c r="J3809" i="11"/>
  <c r="J3807" i="11"/>
  <c r="J3805" i="11"/>
  <c r="J3803" i="11"/>
  <c r="J3801" i="11"/>
  <c r="J3799" i="11"/>
  <c r="J3797" i="11"/>
  <c r="J3795" i="11"/>
  <c r="J3793" i="11"/>
  <c r="J3791" i="11"/>
  <c r="J3789" i="11"/>
  <c r="J3787" i="11"/>
  <c r="J3785" i="11"/>
  <c r="J3783" i="11"/>
  <c r="J3781" i="11"/>
  <c r="J3779" i="11"/>
  <c r="J3443" i="11"/>
  <c r="J3441" i="11"/>
  <c r="J3439" i="11"/>
  <c r="J3437" i="11"/>
  <c r="J3435" i="11"/>
  <c r="J3433" i="11"/>
  <c r="J3431" i="11"/>
  <c r="J3429" i="11"/>
  <c r="J3427" i="11"/>
  <c r="J3425" i="11"/>
  <c r="J3423" i="11"/>
  <c r="J3421" i="11"/>
  <c r="J3419" i="11"/>
  <c r="J3417" i="11"/>
  <c r="J3415" i="11"/>
  <c r="J3800" i="11"/>
  <c r="J3784" i="11"/>
  <c r="J3438" i="11"/>
  <c r="J3422" i="11"/>
  <c r="J3794" i="11"/>
  <c r="J3440" i="11"/>
  <c r="J3424" i="11"/>
  <c r="J3804" i="11"/>
  <c r="J3788" i="11"/>
  <c r="J3442" i="11"/>
  <c r="J3426" i="11"/>
  <c r="J3798" i="11"/>
  <c r="J3782" i="11"/>
  <c r="J3444" i="11"/>
  <c r="J3428" i="11"/>
  <c r="J3808" i="11"/>
  <c r="J3792" i="11"/>
  <c r="J3430" i="11"/>
  <c r="J3414" i="11"/>
  <c r="J3802" i="11"/>
  <c r="J3786" i="11"/>
  <c r="J3432" i="11"/>
  <c r="J3416" i="11"/>
  <c r="J3796" i="11"/>
  <c r="J3780" i="11"/>
  <c r="J3434" i="11"/>
  <c r="J3418" i="11"/>
  <c r="J3079" i="11"/>
  <c r="J3077" i="11"/>
  <c r="J3075" i="11"/>
  <c r="J3073" i="11"/>
  <c r="J3071" i="11"/>
  <c r="J3069" i="11"/>
  <c r="J3067" i="11"/>
  <c r="J3065" i="11"/>
  <c r="J3063" i="11"/>
  <c r="J3061" i="11"/>
  <c r="J3059" i="11"/>
  <c r="J3057" i="11"/>
  <c r="J3055" i="11"/>
  <c r="J3053" i="11"/>
  <c r="J3051" i="11"/>
  <c r="J3049" i="11"/>
  <c r="J2713" i="11"/>
  <c r="J2711" i="11"/>
  <c r="J2709" i="11"/>
  <c r="J2707" i="11"/>
  <c r="J2705" i="11"/>
  <c r="J2703" i="11"/>
  <c r="J2701" i="11"/>
  <c r="J2699" i="11"/>
  <c r="J2697" i="11"/>
  <c r="J2695" i="11"/>
  <c r="J2693" i="11"/>
  <c r="J2691" i="11"/>
  <c r="J2689" i="11"/>
  <c r="J2687" i="11"/>
  <c r="J2685" i="11"/>
  <c r="J3420" i="11"/>
  <c r="J3806" i="11"/>
  <c r="J3078" i="11"/>
  <c r="J3076" i="11"/>
  <c r="J3074" i="11"/>
  <c r="J3072" i="11"/>
  <c r="J3070" i="11"/>
  <c r="J3068" i="11"/>
  <c r="J3066" i="11"/>
  <c r="J3064" i="11"/>
  <c r="J3062" i="11"/>
  <c r="J3060" i="11"/>
  <c r="J3058" i="11"/>
  <c r="J3056" i="11"/>
  <c r="J3054" i="11"/>
  <c r="J3052" i="11"/>
  <c r="J3050" i="11"/>
  <c r="J2714" i="11"/>
  <c r="J2712" i="11"/>
  <c r="J2710" i="11"/>
  <c r="J2708" i="11"/>
  <c r="J2706" i="11"/>
  <c r="J2704" i="11"/>
  <c r="J2702" i="11"/>
  <c r="J2700" i="11"/>
  <c r="J2698" i="11"/>
  <c r="J2696" i="11"/>
  <c r="J2694" i="11"/>
  <c r="J2692" i="11"/>
  <c r="J2690" i="11"/>
  <c r="J2688" i="11"/>
  <c r="J2686" i="11"/>
  <c r="J2684" i="11"/>
  <c r="J3790" i="11"/>
  <c r="J3436" i="11"/>
  <c r="J2347" i="11"/>
  <c r="J2345" i="11"/>
  <c r="J2343" i="11"/>
  <c r="J2341" i="11"/>
  <c r="J2339" i="11"/>
  <c r="J2337" i="11"/>
  <c r="J2335" i="11"/>
  <c r="J2333" i="11"/>
  <c r="J2331" i="11"/>
  <c r="J2329" i="11"/>
  <c r="J2327" i="11"/>
  <c r="J2325" i="11"/>
  <c r="J2323" i="11"/>
  <c r="J2321" i="11"/>
  <c r="J2319" i="11"/>
  <c r="J1983" i="11"/>
  <c r="J1981" i="11"/>
  <c r="J1979" i="11"/>
  <c r="J1977" i="11"/>
  <c r="J1975" i="11"/>
  <c r="J1973" i="11"/>
  <c r="J1971" i="11"/>
  <c r="J1969" i="11"/>
  <c r="J1967" i="11"/>
  <c r="J1965" i="11"/>
  <c r="J1963" i="11"/>
  <c r="J1961" i="11"/>
  <c r="J1959" i="11"/>
  <c r="J1957" i="11"/>
  <c r="J1955" i="11"/>
  <c r="J1953" i="11"/>
  <c r="J1617" i="11"/>
  <c r="J1615" i="11"/>
  <c r="J1613" i="11"/>
  <c r="J1611" i="11"/>
  <c r="J1609" i="11"/>
  <c r="J1607" i="11"/>
  <c r="J1605" i="11"/>
  <c r="J1603" i="11"/>
  <c r="J1601" i="11"/>
  <c r="J1599" i="11"/>
  <c r="J1597" i="11"/>
  <c r="J1595" i="11"/>
  <c r="J1593" i="11"/>
  <c r="J1591" i="11"/>
  <c r="J1589" i="11"/>
  <c r="J1972" i="11"/>
  <c r="J1956" i="11"/>
  <c r="J1604" i="11"/>
  <c r="J1588" i="11"/>
  <c r="J1974" i="11"/>
  <c r="J1958" i="11"/>
  <c r="J1606" i="11"/>
  <c r="J1590" i="11"/>
  <c r="J2348" i="11"/>
  <c r="J2344" i="11"/>
  <c r="J2340" i="11"/>
  <c r="J2336" i="11"/>
  <c r="J2332" i="11"/>
  <c r="J2328" i="11"/>
  <c r="J2324" i="11"/>
  <c r="J2320" i="11"/>
  <c r="J1976" i="11"/>
  <c r="J1960" i="11"/>
  <c r="J1608" i="11"/>
  <c r="J1592" i="11"/>
  <c r="J1978" i="11"/>
  <c r="J1962" i="11"/>
  <c r="J1610" i="11"/>
  <c r="J1594" i="11"/>
  <c r="J1980" i="11"/>
  <c r="J1964" i="11"/>
  <c r="J1612" i="11"/>
  <c r="J1596" i="11"/>
  <c r="J1982" i="11"/>
  <c r="J1966" i="11"/>
  <c r="J1614" i="11"/>
  <c r="J1598" i="11"/>
  <c r="J2346" i="11"/>
  <c r="J2342" i="11"/>
  <c r="J2338" i="11"/>
  <c r="J2334" i="11"/>
  <c r="J2330" i="11"/>
  <c r="J2326" i="11"/>
  <c r="J2322" i="11"/>
  <c r="J2318" i="11"/>
  <c r="J1968" i="11"/>
  <c r="J1616" i="11"/>
  <c r="J1600" i="11"/>
  <c r="J1252" i="11"/>
  <c r="J1250" i="11"/>
  <c r="J1248" i="11"/>
  <c r="J1246" i="11"/>
  <c r="J1244" i="11"/>
  <c r="J1242" i="11"/>
  <c r="J1240" i="11"/>
  <c r="J1238" i="11"/>
  <c r="J1236" i="11"/>
  <c r="J1234" i="11"/>
  <c r="J1232" i="11"/>
  <c r="J1230" i="11"/>
  <c r="J1228" i="11"/>
  <c r="J1226" i="11"/>
  <c r="J1224" i="11"/>
  <c r="J886" i="11"/>
  <c r="J884" i="11"/>
  <c r="J882" i="11"/>
  <c r="J880" i="11"/>
  <c r="J878" i="11"/>
  <c r="J876" i="11"/>
  <c r="J874" i="11"/>
  <c r="J872" i="11"/>
  <c r="J870" i="11"/>
  <c r="J868" i="11"/>
  <c r="J866" i="11"/>
  <c r="J864" i="11"/>
  <c r="J862" i="11"/>
  <c r="J860" i="11"/>
  <c r="J858" i="11"/>
  <c r="J1618" i="11"/>
  <c r="J1954" i="11"/>
  <c r="J1253" i="11"/>
  <c r="J1251" i="11"/>
  <c r="J1249" i="11"/>
  <c r="J1247" i="11"/>
  <c r="J1245" i="11"/>
  <c r="J1243" i="11"/>
  <c r="J1241" i="11"/>
  <c r="J1239" i="11"/>
  <c r="J1237" i="11"/>
  <c r="J1235" i="11"/>
  <c r="J1233" i="11"/>
  <c r="J1231" i="11"/>
  <c r="J1229" i="11"/>
  <c r="J1227" i="11"/>
  <c r="J1225" i="11"/>
  <c r="J1223" i="11"/>
  <c r="J887" i="11"/>
  <c r="J885" i="11"/>
  <c r="J883" i="11"/>
  <c r="J881" i="11"/>
  <c r="J879" i="11"/>
  <c r="J877" i="11"/>
  <c r="J875" i="11"/>
  <c r="J873" i="11"/>
  <c r="J871" i="11"/>
  <c r="J869" i="11"/>
  <c r="J867" i="11"/>
  <c r="J865" i="11"/>
  <c r="J863" i="11"/>
  <c r="J861" i="11"/>
  <c r="J859" i="11"/>
  <c r="J857" i="11"/>
  <c r="J1970" i="11"/>
  <c r="J1602" i="11"/>
  <c r="M16" i="8"/>
  <c r="L16" i="8"/>
  <c r="J23" i="8"/>
  <c r="L27" i="8"/>
  <c r="M27" i="8"/>
  <c r="J29" i="8"/>
  <c r="L32" i="8"/>
  <c r="J34" i="8"/>
  <c r="H7" i="11"/>
  <c r="H9" i="11"/>
  <c r="H11" i="11"/>
  <c r="H13" i="11"/>
  <c r="H15" i="11"/>
  <c r="H17" i="11"/>
  <c r="H19" i="11"/>
  <c r="H21" i="11"/>
  <c r="H23" i="11"/>
  <c r="H25" i="11"/>
  <c r="H27" i="11"/>
  <c r="H29" i="11"/>
  <c r="H31" i="11"/>
  <c r="H33" i="11"/>
  <c r="H35" i="11"/>
  <c r="H37" i="11"/>
  <c r="H39" i="11"/>
  <c r="H41" i="11"/>
  <c r="H43" i="11"/>
  <c r="H45" i="11"/>
  <c r="H47" i="11"/>
  <c r="H49" i="11"/>
  <c r="H51" i="11"/>
  <c r="H53" i="11"/>
  <c r="H55" i="11"/>
  <c r="H57" i="11"/>
  <c r="H59" i="11"/>
  <c r="H61" i="11"/>
  <c r="H63" i="11"/>
  <c r="H65" i="11"/>
  <c r="H67" i="11"/>
  <c r="H69" i="11"/>
  <c r="H71" i="11"/>
  <c r="H73" i="11"/>
  <c r="H75" i="11"/>
  <c r="H77" i="11"/>
  <c r="H79" i="11"/>
  <c r="H81" i="11"/>
  <c r="H83" i="11"/>
  <c r="H85" i="11"/>
  <c r="H87" i="11"/>
  <c r="H89" i="11"/>
  <c r="H91" i="11"/>
  <c r="H93" i="11"/>
  <c r="H95" i="11"/>
  <c r="H127" i="11"/>
  <c r="H129" i="11"/>
  <c r="H131" i="11"/>
  <c r="H133" i="11"/>
  <c r="H135" i="11"/>
  <c r="H137" i="11"/>
  <c r="H139" i="11"/>
  <c r="H141" i="11"/>
  <c r="H143" i="11"/>
  <c r="H145" i="11"/>
  <c r="H147" i="11"/>
  <c r="H149" i="11"/>
  <c r="H151" i="11"/>
  <c r="H153" i="11"/>
  <c r="H155" i="11"/>
  <c r="H157" i="11"/>
  <c r="H159" i="11"/>
  <c r="H161" i="11"/>
  <c r="H163" i="11"/>
  <c r="H165" i="11"/>
  <c r="H167" i="11"/>
  <c r="H169" i="11"/>
  <c r="H171" i="11"/>
  <c r="H173" i="11"/>
  <c r="H175" i="11"/>
  <c r="H177" i="11"/>
  <c r="H179" i="11"/>
  <c r="H181" i="11"/>
  <c r="H183" i="11"/>
  <c r="H185" i="11"/>
  <c r="H187" i="11"/>
  <c r="H189" i="11"/>
  <c r="H191" i="11"/>
  <c r="H193" i="11"/>
  <c r="H195" i="11"/>
  <c r="H197" i="11"/>
  <c r="H199" i="11"/>
  <c r="H201" i="11"/>
  <c r="H203" i="11"/>
  <c r="H205" i="11"/>
  <c r="H207" i="11"/>
  <c r="H209" i="11"/>
  <c r="H211" i="11"/>
  <c r="H213" i="11"/>
  <c r="H215" i="11"/>
  <c r="H217" i="11"/>
  <c r="H251" i="11"/>
  <c r="H253" i="11"/>
  <c r="H255" i="11"/>
  <c r="H257" i="11"/>
  <c r="H259" i="11"/>
  <c r="H261" i="11"/>
  <c r="H263" i="11"/>
  <c r="H265" i="11"/>
  <c r="H267" i="11"/>
  <c r="H269" i="11"/>
  <c r="H271" i="11"/>
  <c r="H273" i="11"/>
  <c r="H275" i="11"/>
  <c r="H277" i="11"/>
  <c r="H279" i="11"/>
  <c r="H281" i="11"/>
  <c r="H283" i="11"/>
  <c r="H285" i="11"/>
  <c r="H287" i="11"/>
  <c r="H289" i="11"/>
  <c r="H291" i="11"/>
  <c r="H293" i="11"/>
  <c r="H295" i="11"/>
  <c r="H297" i="11"/>
  <c r="H299" i="11"/>
  <c r="H301" i="11"/>
  <c r="H303" i="11"/>
  <c r="H305" i="11"/>
  <c r="H307" i="11"/>
  <c r="H309" i="11"/>
  <c r="H311" i="11"/>
  <c r="H313" i="11"/>
  <c r="H315" i="11"/>
  <c r="H317" i="11"/>
  <c r="H319" i="11"/>
  <c r="H321" i="11"/>
  <c r="H323" i="11"/>
  <c r="H325" i="11"/>
  <c r="H327" i="11"/>
  <c r="H329" i="11"/>
  <c r="H331" i="11"/>
  <c r="H333" i="11"/>
  <c r="H335" i="11"/>
  <c r="H337" i="11"/>
  <c r="H339" i="11"/>
  <c r="H373" i="11"/>
  <c r="H375" i="11"/>
  <c r="H377" i="11"/>
  <c r="H379" i="11"/>
  <c r="H381" i="11"/>
  <c r="H383" i="11"/>
  <c r="H385" i="11"/>
  <c r="H387" i="11"/>
  <c r="H389" i="11"/>
  <c r="H391" i="11"/>
  <c r="H393" i="11"/>
  <c r="H395" i="11"/>
  <c r="H397" i="11"/>
  <c r="H399" i="11"/>
  <c r="H401" i="11"/>
  <c r="H403" i="11"/>
  <c r="H405" i="11"/>
  <c r="H407" i="11"/>
  <c r="H409" i="11"/>
  <c r="H411" i="11"/>
  <c r="H413" i="11"/>
  <c r="H415" i="11"/>
  <c r="H417" i="11"/>
  <c r="H419" i="11"/>
  <c r="H421" i="11"/>
  <c r="H423" i="11"/>
  <c r="H425" i="11"/>
  <c r="H427" i="11"/>
  <c r="H429" i="11"/>
  <c r="H431" i="11"/>
  <c r="H433" i="11"/>
  <c r="H435" i="11"/>
  <c r="H437" i="11"/>
  <c r="H439" i="11"/>
  <c r="H441" i="11"/>
  <c r="H443" i="11"/>
  <c r="H445" i="11"/>
  <c r="H447" i="11"/>
  <c r="H449" i="11"/>
  <c r="H451" i="11"/>
  <c r="H453" i="11"/>
  <c r="H455" i="11"/>
  <c r="H457" i="11"/>
  <c r="H459" i="11"/>
  <c r="H461" i="11"/>
  <c r="H493" i="11"/>
  <c r="H495" i="11"/>
  <c r="H497" i="11"/>
  <c r="H499" i="11"/>
  <c r="H501" i="11"/>
  <c r="H503" i="11"/>
  <c r="H505" i="11"/>
  <c r="H507" i="11"/>
  <c r="H509" i="11"/>
  <c r="H511" i="11"/>
  <c r="H513" i="11"/>
  <c r="H515" i="11"/>
  <c r="H517" i="11"/>
  <c r="H519" i="11"/>
  <c r="H521" i="11"/>
  <c r="H523" i="11"/>
  <c r="H525" i="11"/>
  <c r="H527" i="11"/>
  <c r="H529" i="11"/>
  <c r="H531" i="11"/>
  <c r="H533" i="11"/>
  <c r="H535" i="11"/>
  <c r="H537" i="11"/>
  <c r="H539" i="11"/>
  <c r="H541" i="11"/>
  <c r="H543" i="11"/>
  <c r="H545" i="11"/>
  <c r="H547" i="11"/>
  <c r="H549" i="11"/>
  <c r="H551" i="11"/>
  <c r="H553" i="11"/>
  <c r="H555" i="11"/>
  <c r="H557" i="11"/>
  <c r="J561" i="11"/>
  <c r="H566" i="11"/>
  <c r="H573" i="11"/>
  <c r="J577" i="11"/>
  <c r="H582" i="11"/>
  <c r="I584" i="11"/>
  <c r="I591" i="11"/>
  <c r="J593" i="11"/>
  <c r="I600" i="11"/>
  <c r="I607" i="11"/>
  <c r="J609" i="11"/>
  <c r="H621" i="11"/>
  <c r="J625" i="11"/>
  <c r="H630" i="11"/>
  <c r="H637" i="11"/>
  <c r="J641" i="11"/>
  <c r="H646" i="11"/>
  <c r="H653" i="11"/>
  <c r="J657" i="11"/>
  <c r="H662" i="11"/>
  <c r="H669" i="11"/>
  <c r="H678" i="11"/>
  <c r="H685" i="11"/>
  <c r="J689" i="11"/>
  <c r="H694" i="11"/>
  <c r="H701" i="11"/>
  <c r="J705" i="11"/>
  <c r="I712" i="11"/>
  <c r="I722" i="11"/>
  <c r="I730" i="11"/>
  <c r="H741" i="11"/>
  <c r="H749" i="11"/>
  <c r="H757" i="11"/>
  <c r="H765" i="11"/>
  <c r="H773" i="11"/>
  <c r="H781" i="11"/>
  <c r="H789" i="11"/>
  <c r="H797" i="11"/>
  <c r="H805" i="11"/>
  <c r="H813" i="11"/>
  <c r="H821" i="11"/>
  <c r="I834" i="11"/>
  <c r="I842" i="11"/>
  <c r="I850" i="11"/>
  <c r="H861" i="11"/>
  <c r="H869" i="11"/>
  <c r="H877" i="11"/>
  <c r="H885" i="11"/>
  <c r="H893" i="11"/>
  <c r="H901" i="11"/>
  <c r="H909" i="11"/>
  <c r="H917" i="11"/>
  <c r="H925" i="11"/>
  <c r="H933" i="11"/>
  <c r="H941" i="11"/>
  <c r="I954" i="11"/>
  <c r="I962" i="11"/>
  <c r="I970" i="11"/>
  <c r="I978" i="11"/>
  <c r="H981" i="11"/>
  <c r="H989" i="11"/>
  <c r="H997" i="11"/>
  <c r="H1005" i="11"/>
  <c r="H1013" i="11"/>
  <c r="H1021" i="11"/>
  <c r="H1029" i="11"/>
  <c r="H1037" i="11"/>
  <c r="H1045" i="11"/>
  <c r="H1053" i="11"/>
  <c r="H1061" i="11"/>
  <c r="H1069" i="11"/>
  <c r="I1074" i="11"/>
  <c r="I1082" i="11"/>
  <c r="I1090" i="11"/>
  <c r="I1098" i="11"/>
  <c r="I1195" i="11"/>
  <c r="I1203" i="11"/>
  <c r="I1206" i="11"/>
  <c r="I1222" i="11"/>
  <c r="H1395" i="11"/>
  <c r="I1440" i="11"/>
  <c r="H1481" i="11"/>
  <c r="J1532" i="11"/>
  <c r="H1678" i="11"/>
  <c r="J5789" i="11"/>
  <c r="J5787" i="11"/>
  <c r="J5785" i="11"/>
  <c r="J5783" i="11"/>
  <c r="J5781" i="11"/>
  <c r="J5779" i="11"/>
  <c r="J5777" i="11"/>
  <c r="J5775" i="11"/>
  <c r="J5773" i="11"/>
  <c r="J5771" i="11"/>
  <c r="J5769" i="11"/>
  <c r="J5767" i="11"/>
  <c r="J5765" i="11"/>
  <c r="J5763" i="11"/>
  <c r="J5761" i="11"/>
  <c r="J5759" i="11"/>
  <c r="J5788" i="11"/>
  <c r="J5784" i="11"/>
  <c r="J5780" i="11"/>
  <c r="J5776" i="11"/>
  <c r="J5772" i="11"/>
  <c r="J5768" i="11"/>
  <c r="J5764" i="11"/>
  <c r="J5760" i="11"/>
  <c r="J5786" i="11"/>
  <c r="J5782" i="11"/>
  <c r="J5778" i="11"/>
  <c r="J5774" i="11"/>
  <c r="J5770" i="11"/>
  <c r="J5766" i="11"/>
  <c r="J5762" i="11"/>
  <c r="J5423" i="11"/>
  <c r="J5421" i="11"/>
  <c r="J5419" i="11"/>
  <c r="J5417" i="11"/>
  <c r="J5415" i="11"/>
  <c r="J5413" i="11"/>
  <c r="J5411" i="11"/>
  <c r="J5409" i="11"/>
  <c r="J5407" i="11"/>
  <c r="J5405" i="11"/>
  <c r="J5403" i="11"/>
  <c r="J5401" i="11"/>
  <c r="J5399" i="11"/>
  <c r="J5397" i="11"/>
  <c r="J5395" i="11"/>
  <c r="J5393" i="11"/>
  <c r="J5422" i="11"/>
  <c r="J5420" i="11"/>
  <c r="J5418" i="11"/>
  <c r="J5416" i="11"/>
  <c r="J5414" i="11"/>
  <c r="J5412" i="11"/>
  <c r="J5396" i="11"/>
  <c r="J5398" i="11"/>
  <c r="J5400" i="11"/>
  <c r="J5402" i="11"/>
  <c r="J5404" i="11"/>
  <c r="J5406" i="11"/>
  <c r="J5408" i="11"/>
  <c r="J5394" i="11"/>
  <c r="J5410" i="11"/>
  <c r="J5058" i="11"/>
  <c r="J5056" i="11"/>
  <c r="J5054" i="11"/>
  <c r="J5052" i="11"/>
  <c r="J5050" i="11"/>
  <c r="J5048" i="11"/>
  <c r="J5046" i="11"/>
  <c r="J5044" i="11"/>
  <c r="J5042" i="11"/>
  <c r="J5040" i="11"/>
  <c r="J5038" i="11"/>
  <c r="J5036" i="11"/>
  <c r="J5034" i="11"/>
  <c r="J5032" i="11"/>
  <c r="J5030" i="11"/>
  <c r="J5028" i="11"/>
  <c r="J5043" i="11"/>
  <c r="J5053" i="11"/>
  <c r="J5037" i="11"/>
  <c r="J5047" i="11"/>
  <c r="J5031" i="11"/>
  <c r="J5057" i="11"/>
  <c r="J5041" i="11"/>
  <c r="J5051" i="11"/>
  <c r="J5035" i="11"/>
  <c r="J5045" i="11"/>
  <c r="J5029" i="11"/>
  <c r="J5055" i="11"/>
  <c r="J5039" i="11"/>
  <c r="J4693" i="11"/>
  <c r="J4691" i="11"/>
  <c r="J4689" i="11"/>
  <c r="J4687" i="11"/>
  <c r="J4685" i="11"/>
  <c r="J4683" i="11"/>
  <c r="J4681" i="11"/>
  <c r="J4679" i="11"/>
  <c r="J4677" i="11"/>
  <c r="J4675" i="11"/>
  <c r="J4673" i="11"/>
  <c r="J4671" i="11"/>
  <c r="J4669" i="11"/>
  <c r="J4667" i="11"/>
  <c r="J4665" i="11"/>
  <c r="J4663" i="11"/>
  <c r="J4692" i="11"/>
  <c r="J4690" i="11"/>
  <c r="J4688" i="11"/>
  <c r="J4686" i="11"/>
  <c r="J4684" i="11"/>
  <c r="J4682" i="11"/>
  <c r="J4680" i="11"/>
  <c r="J4678" i="11"/>
  <c r="J4676" i="11"/>
  <c r="J4674" i="11"/>
  <c r="J4672" i="11"/>
  <c r="J4670" i="11"/>
  <c r="J4668" i="11"/>
  <c r="J4666" i="11"/>
  <c r="J4664" i="11"/>
  <c r="J5049" i="11"/>
  <c r="J5033" i="11"/>
  <c r="J4327" i="11"/>
  <c r="J4325" i="11"/>
  <c r="J4323" i="11"/>
  <c r="J4321" i="11"/>
  <c r="J4319" i="11"/>
  <c r="J4317" i="11"/>
  <c r="J4315" i="11"/>
  <c r="J4313" i="11"/>
  <c r="J4311" i="11"/>
  <c r="J4309" i="11"/>
  <c r="J4307" i="11"/>
  <c r="J4305" i="11"/>
  <c r="J4303" i="11"/>
  <c r="J4301" i="11"/>
  <c r="J4299" i="11"/>
  <c r="J4328" i="11"/>
  <c r="J4326" i="11"/>
  <c r="J4324" i="11"/>
  <c r="J4322" i="11"/>
  <c r="J4320" i="11"/>
  <c r="J4318" i="11"/>
  <c r="J4316" i="11"/>
  <c r="J4314" i="11"/>
  <c r="J4312" i="11"/>
  <c r="J4310" i="11"/>
  <c r="J4308" i="11"/>
  <c r="J4306" i="11"/>
  <c r="J4304" i="11"/>
  <c r="J4302" i="11"/>
  <c r="J4300" i="11"/>
  <c r="J4298" i="11"/>
  <c r="J3962" i="11"/>
  <c r="J3960" i="11"/>
  <c r="J3958" i="11"/>
  <c r="J3956" i="11"/>
  <c r="J3954" i="11"/>
  <c r="J3952" i="11"/>
  <c r="J3950" i="11"/>
  <c r="J3948" i="11"/>
  <c r="J3946" i="11"/>
  <c r="J3944" i="11"/>
  <c r="J3942" i="11"/>
  <c r="J3940" i="11"/>
  <c r="J3938" i="11"/>
  <c r="J3936" i="11"/>
  <c r="J3934" i="11"/>
  <c r="J3932" i="11"/>
  <c r="J3961" i="11"/>
  <c r="J3959" i="11"/>
  <c r="J3957" i="11"/>
  <c r="J3955" i="11"/>
  <c r="J3953" i="11"/>
  <c r="J3951" i="11"/>
  <c r="J3949" i="11"/>
  <c r="J3947" i="11"/>
  <c r="J3945" i="11"/>
  <c r="J3943" i="11"/>
  <c r="J3941" i="11"/>
  <c r="J3939" i="11"/>
  <c r="J3937" i="11"/>
  <c r="J3935" i="11"/>
  <c r="J3933" i="11"/>
  <c r="J3597" i="11"/>
  <c r="J3595" i="11"/>
  <c r="J3593" i="11"/>
  <c r="J3591" i="11"/>
  <c r="J3589" i="11"/>
  <c r="J3587" i="11"/>
  <c r="J3585" i="11"/>
  <c r="J3583" i="11"/>
  <c r="J3581" i="11"/>
  <c r="J3579" i="11"/>
  <c r="J3577" i="11"/>
  <c r="J3575" i="11"/>
  <c r="J3573" i="11"/>
  <c r="J3571" i="11"/>
  <c r="J3569" i="11"/>
  <c r="J3567" i="11"/>
  <c r="J3231" i="11"/>
  <c r="J3229" i="11"/>
  <c r="J3227" i="11"/>
  <c r="J3225" i="11"/>
  <c r="J3223" i="11"/>
  <c r="J3221" i="11"/>
  <c r="J3219" i="11"/>
  <c r="J3217" i="11"/>
  <c r="J3215" i="11"/>
  <c r="J3213" i="11"/>
  <c r="J3211" i="11"/>
  <c r="J3209" i="11"/>
  <c r="J3207" i="11"/>
  <c r="J3205" i="11"/>
  <c r="J3203" i="11"/>
  <c r="J3592" i="11"/>
  <c r="J3584" i="11"/>
  <c r="J3576" i="11"/>
  <c r="J3568" i="11"/>
  <c r="J3594" i="11"/>
  <c r="J3586" i="11"/>
  <c r="J3578" i="11"/>
  <c r="J3570" i="11"/>
  <c r="J3232" i="11"/>
  <c r="J3230" i="11"/>
  <c r="J3228" i="11"/>
  <c r="J3226" i="11"/>
  <c r="J3224" i="11"/>
  <c r="J3596" i="11"/>
  <c r="J3588" i="11"/>
  <c r="J3580" i="11"/>
  <c r="J3572" i="11"/>
  <c r="J3212" i="11"/>
  <c r="J2867" i="11"/>
  <c r="J2865" i="11"/>
  <c r="J2863" i="11"/>
  <c r="J2861" i="11"/>
  <c r="J2859" i="11"/>
  <c r="J2857" i="11"/>
  <c r="J2855" i="11"/>
  <c r="J2853" i="11"/>
  <c r="J2851" i="11"/>
  <c r="J2849" i="11"/>
  <c r="J2847" i="11"/>
  <c r="J2845" i="11"/>
  <c r="J2843" i="11"/>
  <c r="J2841" i="11"/>
  <c r="J2839" i="11"/>
  <c r="J2837" i="11"/>
  <c r="J3590" i="11"/>
  <c r="J3214" i="11"/>
  <c r="J3216" i="11"/>
  <c r="J3582" i="11"/>
  <c r="J3218" i="11"/>
  <c r="J3220" i="11"/>
  <c r="J3204" i="11"/>
  <c r="J2866" i="11"/>
  <c r="J2864" i="11"/>
  <c r="J2862" i="11"/>
  <c r="J2860" i="11"/>
  <c r="J2858" i="11"/>
  <c r="J2856" i="11"/>
  <c r="J2854" i="11"/>
  <c r="J2852" i="11"/>
  <c r="J2850" i="11"/>
  <c r="J2848" i="11"/>
  <c r="J2846" i="11"/>
  <c r="J2844" i="11"/>
  <c r="J2842" i="11"/>
  <c r="J2840" i="11"/>
  <c r="J2838" i="11"/>
  <c r="J3574" i="11"/>
  <c r="J3222" i="11"/>
  <c r="J3206" i="11"/>
  <c r="J2501" i="11"/>
  <c r="J2499" i="11"/>
  <c r="J2497" i="11"/>
  <c r="J2495" i="11"/>
  <c r="J2493" i="11"/>
  <c r="J2491" i="11"/>
  <c r="J2489" i="11"/>
  <c r="J2487" i="11"/>
  <c r="J2485" i="11"/>
  <c r="J2483" i="11"/>
  <c r="J2481" i="11"/>
  <c r="J2479" i="11"/>
  <c r="J2477" i="11"/>
  <c r="J2475" i="11"/>
  <c r="J2473" i="11"/>
  <c r="J2471" i="11"/>
  <c r="J2135" i="11"/>
  <c r="J2133" i="11"/>
  <c r="J2131" i="11"/>
  <c r="J2129" i="11"/>
  <c r="J2127" i="11"/>
  <c r="J2125" i="11"/>
  <c r="J2123" i="11"/>
  <c r="J2121" i="11"/>
  <c r="J2119" i="11"/>
  <c r="J2117" i="11"/>
  <c r="J2115" i="11"/>
  <c r="J2113" i="11"/>
  <c r="J2111" i="11"/>
  <c r="J2109" i="11"/>
  <c r="J2107" i="11"/>
  <c r="J1771" i="11"/>
  <c r="J1769" i="11"/>
  <c r="J1767" i="11"/>
  <c r="J1765" i="11"/>
  <c r="J1763" i="11"/>
  <c r="J1761" i="11"/>
  <c r="J1759" i="11"/>
  <c r="J1757" i="11"/>
  <c r="J1755" i="11"/>
  <c r="J1753" i="11"/>
  <c r="J1751" i="11"/>
  <c r="J1749" i="11"/>
  <c r="J1747" i="11"/>
  <c r="J1745" i="11"/>
  <c r="J1743" i="11"/>
  <c r="J1741" i="11"/>
  <c r="J1405" i="11"/>
  <c r="J1403" i="11"/>
  <c r="J1401" i="11"/>
  <c r="J1399" i="11"/>
  <c r="J1397" i="11"/>
  <c r="J1395" i="11"/>
  <c r="J1393" i="11"/>
  <c r="J1391" i="11"/>
  <c r="J1389" i="11"/>
  <c r="J1387" i="11"/>
  <c r="J1385" i="11"/>
  <c r="J1383" i="11"/>
  <c r="J1381" i="11"/>
  <c r="J1379" i="11"/>
  <c r="J1377" i="11"/>
  <c r="J3208" i="11"/>
  <c r="J3202" i="11"/>
  <c r="J3210" i="11"/>
  <c r="J2496" i="11"/>
  <c r="J2480" i="11"/>
  <c r="J2136" i="11"/>
  <c r="J2128" i="11"/>
  <c r="J2120" i="11"/>
  <c r="J2112" i="11"/>
  <c r="J1764" i="11"/>
  <c r="J1748" i="11"/>
  <c r="J2486" i="11"/>
  <c r="J1766" i="11"/>
  <c r="J1750" i="11"/>
  <c r="J1398" i="11"/>
  <c r="J1382" i="11"/>
  <c r="J2492" i="11"/>
  <c r="J2476" i="11"/>
  <c r="J2130" i="11"/>
  <c r="J2122" i="11"/>
  <c r="J2114" i="11"/>
  <c r="J2106" i="11"/>
  <c r="J1768" i="11"/>
  <c r="J1752" i="11"/>
  <c r="J1400" i="11"/>
  <c r="J1384" i="11"/>
  <c r="J2498" i="11"/>
  <c r="J2482" i="11"/>
  <c r="J1770" i="11"/>
  <c r="J1754" i="11"/>
  <c r="J1402" i="11"/>
  <c r="J1386" i="11"/>
  <c r="J2488" i="11"/>
  <c r="J2472" i="11"/>
  <c r="J2132" i="11"/>
  <c r="J2124" i="11"/>
  <c r="J2116" i="11"/>
  <c r="J2108" i="11"/>
  <c r="J1756" i="11"/>
  <c r="J2494" i="11"/>
  <c r="J2478" i="11"/>
  <c r="J1758" i="11"/>
  <c r="J1742" i="11"/>
  <c r="J2500" i="11"/>
  <c r="J2484" i="11"/>
  <c r="J2134" i="11"/>
  <c r="J2126" i="11"/>
  <c r="J2118" i="11"/>
  <c r="J2110" i="11"/>
  <c r="J1760" i="11"/>
  <c r="J1744" i="11"/>
  <c r="J2490" i="11"/>
  <c r="J2474" i="11"/>
  <c r="J1762" i="11"/>
  <c r="J1378" i="11"/>
  <c r="J1040" i="11"/>
  <c r="J1038" i="11"/>
  <c r="J1036" i="11"/>
  <c r="J1034" i="11"/>
  <c r="J1032" i="11"/>
  <c r="J1030" i="11"/>
  <c r="J1028" i="11"/>
  <c r="J1026" i="11"/>
  <c r="J1024" i="11"/>
  <c r="J1022" i="11"/>
  <c r="J1020" i="11"/>
  <c r="J1018" i="11"/>
  <c r="J1016" i="11"/>
  <c r="J1014" i="11"/>
  <c r="J1012" i="11"/>
  <c r="J1010" i="11"/>
  <c r="J674" i="11"/>
  <c r="J672" i="11"/>
  <c r="J670" i="11"/>
  <c r="J668" i="11"/>
  <c r="J666" i="11"/>
  <c r="J664" i="11"/>
  <c r="J662" i="11"/>
  <c r="J660" i="11"/>
  <c r="J658" i="11"/>
  <c r="J656" i="11"/>
  <c r="J654" i="11"/>
  <c r="J652" i="11"/>
  <c r="J650" i="11"/>
  <c r="J648" i="11"/>
  <c r="J646" i="11"/>
  <c r="J1394" i="11"/>
  <c r="J1380" i="11"/>
  <c r="J1746" i="11"/>
  <c r="J1396" i="11"/>
  <c r="J1388" i="11"/>
  <c r="J1404" i="11"/>
  <c r="J1039" i="11"/>
  <c r="J1037" i="11"/>
  <c r="J1035" i="11"/>
  <c r="J1033" i="11"/>
  <c r="J1031" i="11"/>
  <c r="J1029" i="11"/>
  <c r="J1027" i="11"/>
  <c r="J1025" i="11"/>
  <c r="J1023" i="11"/>
  <c r="J1021" i="11"/>
  <c r="J1019" i="11"/>
  <c r="J1017" i="11"/>
  <c r="J1015" i="11"/>
  <c r="J1013" i="11"/>
  <c r="J1011" i="11"/>
  <c r="J1390" i="11"/>
  <c r="J1406" i="11"/>
  <c r="J1376" i="11"/>
  <c r="L17" i="8"/>
  <c r="L28" i="8"/>
  <c r="L33" i="8"/>
  <c r="M43" i="8"/>
  <c r="I97" i="11"/>
  <c r="I99" i="11"/>
  <c r="I101" i="11"/>
  <c r="I103" i="11"/>
  <c r="I105" i="11"/>
  <c r="I107" i="11"/>
  <c r="I109" i="11"/>
  <c r="I111" i="11"/>
  <c r="I113" i="11"/>
  <c r="I115" i="11"/>
  <c r="I117" i="11"/>
  <c r="I119" i="11"/>
  <c r="I121" i="11"/>
  <c r="I123" i="11"/>
  <c r="I125" i="11"/>
  <c r="I219" i="11"/>
  <c r="I221" i="11"/>
  <c r="I223" i="11"/>
  <c r="I225" i="11"/>
  <c r="I227" i="11"/>
  <c r="I229" i="11"/>
  <c r="I231" i="11"/>
  <c r="I233" i="11"/>
  <c r="I235" i="11"/>
  <c r="I237" i="11"/>
  <c r="I239" i="11"/>
  <c r="I241" i="11"/>
  <c r="I243" i="11"/>
  <c r="I245" i="11"/>
  <c r="I247" i="11"/>
  <c r="I249" i="11"/>
  <c r="I341" i="11"/>
  <c r="I343" i="11"/>
  <c r="I345" i="11"/>
  <c r="I347" i="11"/>
  <c r="I349" i="11"/>
  <c r="I351" i="11"/>
  <c r="I353" i="11"/>
  <c r="I355" i="11"/>
  <c r="I357" i="11"/>
  <c r="I359" i="11"/>
  <c r="I361" i="11"/>
  <c r="I363" i="11"/>
  <c r="I365" i="11"/>
  <c r="I367" i="11"/>
  <c r="I369" i="11"/>
  <c r="I371" i="11"/>
  <c r="I463" i="11"/>
  <c r="I465" i="11"/>
  <c r="I467" i="11"/>
  <c r="I469" i="11"/>
  <c r="I471" i="11"/>
  <c r="I473" i="11"/>
  <c r="I475" i="11"/>
  <c r="I477" i="11"/>
  <c r="I479" i="11"/>
  <c r="I481" i="11"/>
  <c r="I483" i="11"/>
  <c r="I485" i="11"/>
  <c r="I487" i="11"/>
  <c r="I489" i="11"/>
  <c r="I491" i="11"/>
  <c r="J559" i="11"/>
  <c r="H564" i="11"/>
  <c r="H571" i="11"/>
  <c r="J575" i="11"/>
  <c r="H580" i="11"/>
  <c r="I589" i="11"/>
  <c r="J591" i="11"/>
  <c r="I598" i="11"/>
  <c r="I605" i="11"/>
  <c r="J607" i="11"/>
  <c r="I614" i="11"/>
  <c r="H619" i="11"/>
  <c r="J623" i="11"/>
  <c r="H628" i="11"/>
  <c r="H635" i="11"/>
  <c r="J639" i="11"/>
  <c r="H644" i="11"/>
  <c r="H651" i="11"/>
  <c r="J655" i="11"/>
  <c r="H660" i="11"/>
  <c r="H667" i="11"/>
  <c r="J671" i="11"/>
  <c r="H676" i="11"/>
  <c r="H683" i="11"/>
  <c r="J687" i="11"/>
  <c r="H692" i="11"/>
  <c r="H699" i="11"/>
  <c r="I710" i="11"/>
  <c r="I717" i="11"/>
  <c r="I725" i="11"/>
  <c r="I733" i="11"/>
  <c r="H744" i="11"/>
  <c r="H752" i="11"/>
  <c r="H760" i="11"/>
  <c r="H768" i="11"/>
  <c r="H776" i="11"/>
  <c r="H784" i="11"/>
  <c r="H792" i="11"/>
  <c r="H800" i="11"/>
  <c r="H808" i="11"/>
  <c r="H816" i="11"/>
  <c r="H824" i="11"/>
  <c r="I829" i="11"/>
  <c r="I837" i="11"/>
  <c r="I845" i="11"/>
  <c r="I853" i="11"/>
  <c r="H864" i="11"/>
  <c r="H872" i="11"/>
  <c r="H880" i="11"/>
  <c r="H888" i="11"/>
  <c r="H896" i="11"/>
  <c r="H904" i="11"/>
  <c r="H912" i="11"/>
  <c r="H920" i="11"/>
  <c r="H928" i="11"/>
  <c r="H936" i="11"/>
  <c r="H944" i="11"/>
  <c r="I949" i="11"/>
  <c r="I957" i="11"/>
  <c r="I965" i="11"/>
  <c r="I973" i="11"/>
  <c r="H984" i="11"/>
  <c r="H992" i="11"/>
  <c r="H1000" i="11"/>
  <c r="H1008" i="11"/>
  <c r="H1016" i="11"/>
  <c r="H1024" i="11"/>
  <c r="H1032" i="11"/>
  <c r="H1040" i="11"/>
  <c r="H1048" i="11"/>
  <c r="H1056" i="11"/>
  <c r="H1064" i="11"/>
  <c r="I1077" i="11"/>
  <c r="I1085" i="11"/>
  <c r="I1093" i="11"/>
  <c r="I1101" i="11"/>
  <c r="I1198" i="11"/>
  <c r="I1216" i="11"/>
  <c r="H1370" i="11"/>
  <c r="H1623" i="11"/>
  <c r="AF34" i="2"/>
  <c r="J5819" i="11"/>
  <c r="J5817" i="11"/>
  <c r="J5815" i="11"/>
  <c r="J5813" i="11"/>
  <c r="J5811" i="11"/>
  <c r="J5809" i="11"/>
  <c r="J5807" i="11"/>
  <c r="J5805" i="11"/>
  <c r="J5803" i="11"/>
  <c r="J5801" i="11"/>
  <c r="J5799" i="11"/>
  <c r="J5797" i="11"/>
  <c r="J5795" i="11"/>
  <c r="J5793" i="11"/>
  <c r="J5791" i="11"/>
  <c r="J5816" i="11"/>
  <c r="J5812" i="11"/>
  <c r="J5808" i="11"/>
  <c r="J5804" i="11"/>
  <c r="J5800" i="11"/>
  <c r="J5796" i="11"/>
  <c r="J5792" i="11"/>
  <c r="J5818" i="11"/>
  <c r="J5814" i="11"/>
  <c r="J5810" i="11"/>
  <c r="J5806" i="11"/>
  <c r="J5802" i="11"/>
  <c r="J5798" i="11"/>
  <c r="J5794" i="11"/>
  <c r="J5790" i="11"/>
  <c r="J5453" i="11"/>
  <c r="J5451" i="11"/>
  <c r="J5449" i="11"/>
  <c r="J5447" i="11"/>
  <c r="J5445" i="11"/>
  <c r="J5443" i="11"/>
  <c r="J5441" i="11"/>
  <c r="J5439" i="11"/>
  <c r="J5437" i="11"/>
  <c r="J5435" i="11"/>
  <c r="J5433" i="11"/>
  <c r="J5431" i="11"/>
  <c r="J5429" i="11"/>
  <c r="J5427" i="11"/>
  <c r="J5425" i="11"/>
  <c r="J5452" i="11"/>
  <c r="J5450" i="11"/>
  <c r="J5448" i="11"/>
  <c r="J5446" i="11"/>
  <c r="J5444" i="11"/>
  <c r="J5442" i="11"/>
  <c r="J5440" i="11"/>
  <c r="J5438" i="11"/>
  <c r="J5436" i="11"/>
  <c r="J5434" i="11"/>
  <c r="J5432" i="11"/>
  <c r="J5430" i="11"/>
  <c r="J5428" i="11"/>
  <c r="J5426" i="11"/>
  <c r="J5424" i="11"/>
  <c r="J5088" i="11"/>
  <c r="J5086" i="11"/>
  <c r="J5084" i="11"/>
  <c r="J5082" i="11"/>
  <c r="J5080" i="11"/>
  <c r="J5078" i="11"/>
  <c r="J5076" i="11"/>
  <c r="J5074" i="11"/>
  <c r="J5072" i="11"/>
  <c r="J5070" i="11"/>
  <c r="J5068" i="11"/>
  <c r="J5066" i="11"/>
  <c r="J5064" i="11"/>
  <c r="J5062" i="11"/>
  <c r="J5060" i="11"/>
  <c r="J5075" i="11"/>
  <c r="J5059" i="11"/>
  <c r="J5085" i="11"/>
  <c r="J5069" i="11"/>
  <c r="J5079" i="11"/>
  <c r="J5063" i="11"/>
  <c r="J4722" i="11"/>
  <c r="J4720" i="11"/>
  <c r="J4718" i="11"/>
  <c r="J4716" i="11"/>
  <c r="J4714" i="11"/>
  <c r="J4712" i="11"/>
  <c r="J4710" i="11"/>
  <c r="J4708" i="11"/>
  <c r="J4706" i="11"/>
  <c r="J4704" i="11"/>
  <c r="J4702" i="11"/>
  <c r="J5073" i="11"/>
  <c r="J5083" i="11"/>
  <c r="J5067" i="11"/>
  <c r="J5077" i="11"/>
  <c r="J5061" i="11"/>
  <c r="J5087" i="11"/>
  <c r="J5071" i="11"/>
  <c r="J4723" i="11"/>
  <c r="J4721" i="11"/>
  <c r="J4719" i="11"/>
  <c r="J4717" i="11"/>
  <c r="J4715" i="11"/>
  <c r="J4713" i="11"/>
  <c r="J4711" i="11"/>
  <c r="J4709" i="11"/>
  <c r="J4707" i="11"/>
  <c r="J4705" i="11"/>
  <c r="J4703" i="11"/>
  <c r="J4701" i="11"/>
  <c r="J4699" i="11"/>
  <c r="J4697" i="11"/>
  <c r="J4695" i="11"/>
  <c r="J5081" i="11"/>
  <c r="J5065" i="11"/>
  <c r="J4700" i="11"/>
  <c r="J4698" i="11"/>
  <c r="J4696" i="11"/>
  <c r="J4694" i="11"/>
  <c r="J4357" i="11"/>
  <c r="J4355" i="11"/>
  <c r="J4353" i="11"/>
  <c r="J4351" i="11"/>
  <c r="J4349" i="11"/>
  <c r="J4347" i="11"/>
  <c r="J4345" i="11"/>
  <c r="J4343" i="11"/>
  <c r="J4341" i="11"/>
  <c r="J4339" i="11"/>
  <c r="J4337" i="11"/>
  <c r="J4335" i="11"/>
  <c r="J4333" i="11"/>
  <c r="J4331" i="11"/>
  <c r="J4329" i="11"/>
  <c r="J4358" i="11"/>
  <c r="J4356" i="11"/>
  <c r="J4354" i="11"/>
  <c r="J4352" i="11"/>
  <c r="J4350" i="11"/>
  <c r="J4348" i="11"/>
  <c r="J4346" i="11"/>
  <c r="J4344" i="11"/>
  <c r="J4342" i="11"/>
  <c r="J4340" i="11"/>
  <c r="J4338" i="11"/>
  <c r="J4336" i="11"/>
  <c r="J4334" i="11"/>
  <c r="J4332" i="11"/>
  <c r="J4330" i="11"/>
  <c r="J3992" i="11"/>
  <c r="J3990" i="11"/>
  <c r="J3988" i="11"/>
  <c r="J3986" i="11"/>
  <c r="J3984" i="11"/>
  <c r="J3982" i="11"/>
  <c r="J3980" i="11"/>
  <c r="J3978" i="11"/>
  <c r="J3976" i="11"/>
  <c r="J3974" i="11"/>
  <c r="J3972" i="11"/>
  <c r="J3970" i="11"/>
  <c r="J3968" i="11"/>
  <c r="J3966" i="11"/>
  <c r="J3964" i="11"/>
  <c r="J3991" i="11"/>
  <c r="J3989" i="11"/>
  <c r="J3987" i="11"/>
  <c r="J3985" i="11"/>
  <c r="J3983" i="11"/>
  <c r="J3981" i="11"/>
  <c r="J3979" i="11"/>
  <c r="J3977" i="11"/>
  <c r="J3975" i="11"/>
  <c r="J3973" i="11"/>
  <c r="J3971" i="11"/>
  <c r="J3969" i="11"/>
  <c r="J3967" i="11"/>
  <c r="J3965" i="11"/>
  <c r="J3963" i="11"/>
  <c r="J3627" i="11"/>
  <c r="J3625" i="11"/>
  <c r="J3623" i="11"/>
  <c r="J3621" i="11"/>
  <c r="J3619" i="11"/>
  <c r="J3617" i="11"/>
  <c r="J3615" i="11"/>
  <c r="J3613" i="11"/>
  <c r="J3611" i="11"/>
  <c r="J3609" i="11"/>
  <c r="J3607" i="11"/>
  <c r="J3605" i="11"/>
  <c r="J3603" i="11"/>
  <c r="J3601" i="11"/>
  <c r="J3599" i="11"/>
  <c r="J3261" i="11"/>
  <c r="J3259" i="11"/>
  <c r="J3257" i="11"/>
  <c r="J3255" i="11"/>
  <c r="J3253" i="11"/>
  <c r="J3251" i="11"/>
  <c r="J3249" i="11"/>
  <c r="J3247" i="11"/>
  <c r="J3245" i="11"/>
  <c r="J3243" i="11"/>
  <c r="J3241" i="11"/>
  <c r="J3239" i="11"/>
  <c r="J3237" i="11"/>
  <c r="J3235" i="11"/>
  <c r="J3233" i="11"/>
  <c r="J3624" i="11"/>
  <c r="J3616" i="11"/>
  <c r="J3608" i="11"/>
  <c r="J3600" i="11"/>
  <c r="J3626" i="11"/>
  <c r="J3618" i="11"/>
  <c r="J3610" i="11"/>
  <c r="J3602" i="11"/>
  <c r="J3262" i="11"/>
  <c r="J3260" i="11"/>
  <c r="J3258" i="11"/>
  <c r="J3256" i="11"/>
  <c r="J3254" i="11"/>
  <c r="J3252" i="11"/>
  <c r="J3250" i="11"/>
  <c r="J3248" i="11"/>
  <c r="J3246" i="11"/>
  <c r="J3244" i="11"/>
  <c r="J3242" i="11"/>
  <c r="J3240" i="11"/>
  <c r="J3238" i="11"/>
  <c r="J3236" i="11"/>
  <c r="J3234" i="11"/>
  <c r="J3620" i="11"/>
  <c r="J3612" i="11"/>
  <c r="J3604" i="11"/>
  <c r="J3622" i="11"/>
  <c r="J2897" i="11"/>
  <c r="J2895" i="11"/>
  <c r="J2893" i="11"/>
  <c r="J2891" i="11"/>
  <c r="J2889" i="11"/>
  <c r="J2887" i="11"/>
  <c r="J2885" i="11"/>
  <c r="J2883" i="11"/>
  <c r="J2881" i="11"/>
  <c r="J2879" i="11"/>
  <c r="J2877" i="11"/>
  <c r="J2875" i="11"/>
  <c r="J2873" i="11"/>
  <c r="J2871" i="11"/>
  <c r="J2869" i="11"/>
  <c r="J3614" i="11"/>
  <c r="J3606" i="11"/>
  <c r="J2896" i="11"/>
  <c r="J2894" i="11"/>
  <c r="J2892" i="11"/>
  <c r="J2890" i="11"/>
  <c r="J2888" i="11"/>
  <c r="J2886" i="11"/>
  <c r="J2884" i="11"/>
  <c r="J2882" i="11"/>
  <c r="J2880" i="11"/>
  <c r="J2878" i="11"/>
  <c r="J2876" i="11"/>
  <c r="J2874" i="11"/>
  <c r="J2872" i="11"/>
  <c r="J2870" i="11"/>
  <c r="J2868" i="11"/>
  <c r="J3598" i="11"/>
  <c r="J2531" i="11"/>
  <c r="J2529" i="11"/>
  <c r="J2527" i="11"/>
  <c r="J2525" i="11"/>
  <c r="J2523" i="11"/>
  <c r="J2521" i="11"/>
  <c r="J2519" i="11"/>
  <c r="J2517" i="11"/>
  <c r="J2515" i="11"/>
  <c r="J2513" i="11"/>
  <c r="J2511" i="11"/>
  <c r="J2509" i="11"/>
  <c r="J2507" i="11"/>
  <c r="J2505" i="11"/>
  <c r="J2503" i="11"/>
  <c r="J2165" i="11"/>
  <c r="J2163" i="11"/>
  <c r="J2161" i="11"/>
  <c r="J2159" i="11"/>
  <c r="J2157" i="11"/>
  <c r="J2155" i="11"/>
  <c r="J2153" i="11"/>
  <c r="J2151" i="11"/>
  <c r="J2149" i="11"/>
  <c r="J2147" i="11"/>
  <c r="J2145" i="11"/>
  <c r="J2143" i="11"/>
  <c r="J2141" i="11"/>
  <c r="J2139" i="11"/>
  <c r="J2137" i="11"/>
  <c r="J1801" i="11"/>
  <c r="J1799" i="11"/>
  <c r="J1797" i="11"/>
  <c r="J1795" i="11"/>
  <c r="J1793" i="11"/>
  <c r="J1791" i="11"/>
  <c r="J1789" i="11"/>
  <c r="J1787" i="11"/>
  <c r="J1785" i="11"/>
  <c r="J1783" i="11"/>
  <c r="J1781" i="11"/>
  <c r="J1779" i="11"/>
  <c r="J1777" i="11"/>
  <c r="J1775" i="11"/>
  <c r="J1773" i="11"/>
  <c r="J1435" i="11"/>
  <c r="J1433" i="11"/>
  <c r="J1431" i="11"/>
  <c r="J1429" i="11"/>
  <c r="J1427" i="11"/>
  <c r="J1425" i="11"/>
  <c r="J1423" i="11"/>
  <c r="J1421" i="11"/>
  <c r="J1419" i="11"/>
  <c r="J1417" i="11"/>
  <c r="J1415" i="11"/>
  <c r="J1413" i="11"/>
  <c r="J1411" i="11"/>
  <c r="J1409" i="11"/>
  <c r="J1407" i="11"/>
  <c r="J2528" i="11"/>
  <c r="J2512" i="11"/>
  <c r="J2160" i="11"/>
  <c r="J2152" i="11"/>
  <c r="J2144" i="11"/>
  <c r="J1796" i="11"/>
  <c r="J1780" i="11"/>
  <c r="J2518" i="11"/>
  <c r="J2502" i="11"/>
  <c r="J1798" i="11"/>
  <c r="J1782" i="11"/>
  <c r="J1430" i="11"/>
  <c r="J1414" i="11"/>
  <c r="J2524" i="11"/>
  <c r="J2508" i="11"/>
  <c r="J2162" i="11"/>
  <c r="J2154" i="11"/>
  <c r="J2146" i="11"/>
  <c r="J2138" i="11"/>
  <c r="J1800" i="11"/>
  <c r="J1784" i="11"/>
  <c r="J1432" i="11"/>
  <c r="J1416" i="11"/>
  <c r="J2530" i="11"/>
  <c r="J2514" i="11"/>
  <c r="J1786" i="11"/>
  <c r="J1434" i="11"/>
  <c r="J1418" i="11"/>
  <c r="J2520" i="11"/>
  <c r="J2504" i="11"/>
  <c r="J2164" i="11"/>
  <c r="J2156" i="11"/>
  <c r="J2148" i="11"/>
  <c r="J2140" i="11"/>
  <c r="J1788" i="11"/>
  <c r="J1772" i="11"/>
  <c r="J2526" i="11"/>
  <c r="J2510" i="11"/>
  <c r="J1790" i="11"/>
  <c r="J1774" i="11"/>
  <c r="J2516" i="11"/>
  <c r="J2166" i="11"/>
  <c r="J2158" i="11"/>
  <c r="J2150" i="11"/>
  <c r="J2142" i="11"/>
  <c r="J1792" i="11"/>
  <c r="J1776" i="11"/>
  <c r="J1424" i="11"/>
  <c r="J2522" i="11"/>
  <c r="J2506" i="11"/>
  <c r="J1408" i="11"/>
  <c r="J1070" i="11"/>
  <c r="J1068" i="11"/>
  <c r="J1066" i="11"/>
  <c r="J1064" i="11"/>
  <c r="J1062" i="11"/>
  <c r="J1060" i="11"/>
  <c r="J1058" i="11"/>
  <c r="J1056" i="11"/>
  <c r="J1054" i="11"/>
  <c r="J1052" i="11"/>
  <c r="J1050" i="11"/>
  <c r="J1048" i="11"/>
  <c r="J1046" i="11"/>
  <c r="J1044" i="11"/>
  <c r="J1042" i="11"/>
  <c r="J704" i="11"/>
  <c r="J702" i="11"/>
  <c r="J700" i="11"/>
  <c r="J698" i="11"/>
  <c r="J696" i="11"/>
  <c r="J694" i="11"/>
  <c r="J692" i="11"/>
  <c r="J690" i="11"/>
  <c r="J688" i="11"/>
  <c r="J686" i="11"/>
  <c r="J684" i="11"/>
  <c r="J682" i="11"/>
  <c r="J680" i="11"/>
  <c r="J678" i="11"/>
  <c r="J676" i="11"/>
  <c r="J1436" i="11"/>
  <c r="J1794" i="11"/>
  <c r="J1410" i="11"/>
  <c r="J1426" i="11"/>
  <c r="J1412" i="11"/>
  <c r="J1069" i="11"/>
  <c r="J1067" i="11"/>
  <c r="J1065" i="11"/>
  <c r="J1063" i="11"/>
  <c r="J1061" i="11"/>
  <c r="J1059" i="11"/>
  <c r="J1057" i="11"/>
  <c r="J1055" i="11"/>
  <c r="J1053" i="11"/>
  <c r="J1051" i="11"/>
  <c r="J1049" i="11"/>
  <c r="J1047" i="11"/>
  <c r="J1045" i="11"/>
  <c r="J1043" i="11"/>
  <c r="J1041" i="11"/>
  <c r="J1778" i="11"/>
  <c r="J1420" i="11"/>
  <c r="J1428" i="11"/>
  <c r="L18" i="8"/>
  <c r="M18" i="8"/>
  <c r="L44" i="8"/>
  <c r="M44" i="8"/>
  <c r="J7" i="11"/>
  <c r="J9" i="11"/>
  <c r="J11" i="11"/>
  <c r="J13" i="11"/>
  <c r="J15" i="11"/>
  <c r="J17" i="11"/>
  <c r="J19" i="11"/>
  <c r="J21" i="11"/>
  <c r="J23" i="11"/>
  <c r="J25" i="11"/>
  <c r="J27" i="11"/>
  <c r="J29" i="11"/>
  <c r="J31" i="11"/>
  <c r="J33" i="11"/>
  <c r="J35" i="11"/>
  <c r="J37" i="11"/>
  <c r="J39" i="11"/>
  <c r="J41" i="11"/>
  <c r="J43" i="11"/>
  <c r="J45" i="11"/>
  <c r="J47" i="11"/>
  <c r="J49" i="11"/>
  <c r="J51" i="11"/>
  <c r="J53" i="11"/>
  <c r="J55" i="11"/>
  <c r="J57" i="11"/>
  <c r="J59" i="11"/>
  <c r="J61" i="11"/>
  <c r="J63" i="11"/>
  <c r="J65" i="11"/>
  <c r="J67" i="11"/>
  <c r="J69" i="11"/>
  <c r="J71" i="11"/>
  <c r="J73" i="11"/>
  <c r="J75" i="11"/>
  <c r="J77" i="11"/>
  <c r="J79" i="11"/>
  <c r="J81" i="11"/>
  <c r="J83" i="11"/>
  <c r="J85" i="11"/>
  <c r="J87" i="11"/>
  <c r="J89" i="11"/>
  <c r="J91" i="11"/>
  <c r="J93" i="11"/>
  <c r="J95" i="11"/>
  <c r="J97" i="11"/>
  <c r="J99" i="11"/>
  <c r="J101" i="11"/>
  <c r="J103" i="11"/>
  <c r="J105" i="11"/>
  <c r="J107" i="11"/>
  <c r="J109" i="11"/>
  <c r="J111" i="11"/>
  <c r="J113" i="11"/>
  <c r="J115" i="11"/>
  <c r="J117" i="11"/>
  <c r="J119" i="11"/>
  <c r="J121" i="11"/>
  <c r="J123" i="11"/>
  <c r="J125" i="11"/>
  <c r="J127" i="11"/>
  <c r="J129" i="11"/>
  <c r="J131" i="11"/>
  <c r="J133" i="11"/>
  <c r="J135" i="11"/>
  <c r="J137" i="11"/>
  <c r="J139" i="11"/>
  <c r="J141" i="11"/>
  <c r="J143" i="11"/>
  <c r="J145" i="11"/>
  <c r="J147" i="11"/>
  <c r="J149" i="11"/>
  <c r="J151" i="11"/>
  <c r="J153" i="11"/>
  <c r="J155" i="11"/>
  <c r="J157" i="11"/>
  <c r="J189" i="11"/>
  <c r="J191" i="11"/>
  <c r="J193" i="11"/>
  <c r="J195" i="11"/>
  <c r="J197" i="11"/>
  <c r="J199" i="11"/>
  <c r="J201" i="11"/>
  <c r="J203" i="11"/>
  <c r="J205" i="11"/>
  <c r="J207" i="11"/>
  <c r="J209" i="11"/>
  <c r="J211" i="11"/>
  <c r="J213" i="11"/>
  <c r="J215" i="11"/>
  <c r="J217" i="11"/>
  <c r="J219" i="11"/>
  <c r="J221" i="11"/>
  <c r="J223" i="11"/>
  <c r="J225" i="11"/>
  <c r="J227" i="11"/>
  <c r="J229" i="11"/>
  <c r="J231" i="11"/>
  <c r="J233" i="11"/>
  <c r="J235" i="11"/>
  <c r="J237" i="11"/>
  <c r="J239" i="11"/>
  <c r="J241" i="11"/>
  <c r="J243" i="11"/>
  <c r="J245" i="11"/>
  <c r="J247" i="11"/>
  <c r="J249" i="11"/>
  <c r="J251" i="11"/>
  <c r="J253" i="11"/>
  <c r="J255" i="11"/>
  <c r="J257" i="11"/>
  <c r="J259" i="11"/>
  <c r="J261" i="11"/>
  <c r="J263" i="11"/>
  <c r="J265" i="11"/>
  <c r="J267" i="11"/>
  <c r="J269" i="11"/>
  <c r="J271" i="11"/>
  <c r="J273" i="11"/>
  <c r="J275" i="11"/>
  <c r="J277" i="11"/>
  <c r="J279" i="11"/>
  <c r="J281" i="11"/>
  <c r="J283" i="11"/>
  <c r="J285" i="11"/>
  <c r="J287" i="11"/>
  <c r="J289" i="11"/>
  <c r="J291" i="11"/>
  <c r="J293" i="11"/>
  <c r="J295" i="11"/>
  <c r="J297" i="11"/>
  <c r="J299" i="11"/>
  <c r="J301" i="11"/>
  <c r="J303" i="11"/>
  <c r="J305" i="11"/>
  <c r="J307" i="11"/>
  <c r="J309" i="11"/>
  <c r="J311" i="11"/>
  <c r="J313" i="11"/>
  <c r="J315" i="11"/>
  <c r="J317" i="11"/>
  <c r="J319" i="11"/>
  <c r="J321" i="11"/>
  <c r="J323" i="11"/>
  <c r="J325" i="11"/>
  <c r="J327" i="11"/>
  <c r="J329" i="11"/>
  <c r="J331" i="11"/>
  <c r="J333" i="11"/>
  <c r="J335" i="11"/>
  <c r="J337" i="11"/>
  <c r="J339" i="11"/>
  <c r="J341" i="11"/>
  <c r="J343" i="11"/>
  <c r="J345" i="11"/>
  <c r="J347" i="11"/>
  <c r="J349" i="11"/>
  <c r="J351" i="11"/>
  <c r="J353" i="11"/>
  <c r="J355" i="11"/>
  <c r="J357" i="11"/>
  <c r="J359" i="11"/>
  <c r="J361" i="11"/>
  <c r="J363" i="11"/>
  <c r="J365" i="11"/>
  <c r="J367" i="11"/>
  <c r="J369" i="11"/>
  <c r="J371" i="11"/>
  <c r="J373" i="11"/>
  <c r="J375" i="11"/>
  <c r="J377" i="11"/>
  <c r="J379" i="11"/>
  <c r="J381" i="11"/>
  <c r="J383" i="11"/>
  <c r="J385" i="11"/>
  <c r="J387" i="11"/>
  <c r="J389" i="11"/>
  <c r="J391" i="11"/>
  <c r="J393" i="11"/>
  <c r="J395" i="11"/>
  <c r="J397" i="11"/>
  <c r="J399" i="11"/>
  <c r="J401" i="11"/>
  <c r="J403" i="11"/>
  <c r="J405" i="11"/>
  <c r="J407" i="11"/>
  <c r="J409" i="11"/>
  <c r="J411" i="11"/>
  <c r="J413" i="11"/>
  <c r="J415" i="11"/>
  <c r="J417" i="11"/>
  <c r="J419" i="11"/>
  <c r="J421" i="11"/>
  <c r="J423" i="11"/>
  <c r="J425" i="11"/>
  <c r="J427" i="11"/>
  <c r="J429" i="11"/>
  <c r="J431" i="11"/>
  <c r="J433" i="11"/>
  <c r="J435" i="11"/>
  <c r="J437" i="11"/>
  <c r="J439" i="11"/>
  <c r="J441" i="11"/>
  <c r="J443" i="11"/>
  <c r="J445" i="11"/>
  <c r="J447" i="11"/>
  <c r="J449" i="11"/>
  <c r="J451" i="11"/>
  <c r="J453" i="11"/>
  <c r="J455" i="11"/>
  <c r="J457" i="11"/>
  <c r="J459" i="11"/>
  <c r="J461" i="11"/>
  <c r="J463" i="11"/>
  <c r="J465" i="11"/>
  <c r="J467" i="11"/>
  <c r="J469" i="11"/>
  <c r="J471" i="11"/>
  <c r="J473" i="11"/>
  <c r="J475" i="11"/>
  <c r="J477" i="11"/>
  <c r="J479" i="11"/>
  <c r="J481" i="11"/>
  <c r="J483" i="11"/>
  <c r="J485" i="11"/>
  <c r="J487" i="11"/>
  <c r="J489" i="11"/>
  <c r="J491" i="11"/>
  <c r="J493" i="11"/>
  <c r="J495" i="11"/>
  <c r="J497" i="11"/>
  <c r="J499" i="11"/>
  <c r="J501" i="11"/>
  <c r="J503" i="11"/>
  <c r="J505" i="11"/>
  <c r="J507" i="11"/>
  <c r="J509" i="11"/>
  <c r="J511" i="11"/>
  <c r="J513" i="11"/>
  <c r="J515" i="11"/>
  <c r="J517" i="11"/>
  <c r="J519" i="11"/>
  <c r="J521" i="11"/>
  <c r="J553" i="11"/>
  <c r="J555" i="11"/>
  <c r="J557" i="11"/>
  <c r="H562" i="11"/>
  <c r="H569" i="11"/>
  <c r="J573" i="11"/>
  <c r="H578" i="11"/>
  <c r="I587" i="11"/>
  <c r="J589" i="11"/>
  <c r="I596" i="11"/>
  <c r="I603" i="11"/>
  <c r="J605" i="11"/>
  <c r="I612" i="11"/>
  <c r="H617" i="11"/>
  <c r="J621" i="11"/>
  <c r="H626" i="11"/>
  <c r="H633" i="11"/>
  <c r="J637" i="11"/>
  <c r="H642" i="11"/>
  <c r="H649" i="11"/>
  <c r="J653" i="11"/>
  <c r="H658" i="11"/>
  <c r="H665" i="11"/>
  <c r="J669" i="11"/>
  <c r="H674" i="11"/>
  <c r="H681" i="11"/>
  <c r="J685" i="11"/>
  <c r="H690" i="11"/>
  <c r="H697" i="11"/>
  <c r="J701" i="11"/>
  <c r="I708" i="11"/>
  <c r="I715" i="11"/>
  <c r="I720" i="11"/>
  <c r="I728" i="11"/>
  <c r="I736" i="11"/>
  <c r="H739" i="11"/>
  <c r="H747" i="11"/>
  <c r="H755" i="11"/>
  <c r="H763" i="11"/>
  <c r="H771" i="11"/>
  <c r="H779" i="11"/>
  <c r="H787" i="11"/>
  <c r="H795" i="11"/>
  <c r="H803" i="11"/>
  <c r="H811" i="11"/>
  <c r="H819" i="11"/>
  <c r="I832" i="11"/>
  <c r="I840" i="11"/>
  <c r="I848" i="11"/>
  <c r="I856" i="11"/>
  <c r="H859" i="11"/>
  <c r="H867" i="11"/>
  <c r="H875" i="11"/>
  <c r="H883" i="11"/>
  <c r="H891" i="11"/>
  <c r="H899" i="11"/>
  <c r="H907" i="11"/>
  <c r="H915" i="11"/>
  <c r="H923" i="11"/>
  <c r="H931" i="11"/>
  <c r="H939" i="11"/>
  <c r="H947" i="11"/>
  <c r="I952" i="11"/>
  <c r="I960" i="11"/>
  <c r="I968" i="11"/>
  <c r="I976" i="11"/>
  <c r="H987" i="11"/>
  <c r="H995" i="11"/>
  <c r="H1003" i="11"/>
  <c r="H1011" i="11"/>
  <c r="H1019" i="11"/>
  <c r="H1027" i="11"/>
  <c r="H1035" i="11"/>
  <c r="H1043" i="11"/>
  <c r="H1051" i="11"/>
  <c r="H1059" i="11"/>
  <c r="H1067" i="11"/>
  <c r="I1072" i="11"/>
  <c r="I1080" i="11"/>
  <c r="I1088" i="11"/>
  <c r="I1096" i="11"/>
  <c r="I1193" i="11"/>
  <c r="I1201" i="11"/>
  <c r="I1210" i="11"/>
  <c r="I1330" i="11"/>
  <c r="J1392" i="11"/>
  <c r="J1422" i="11"/>
  <c r="H1434" i="11"/>
  <c r="J1460" i="11"/>
  <c r="I1367" i="11"/>
  <c r="I1370" i="11"/>
  <c r="I1474" i="11"/>
  <c r="I1477" i="11"/>
  <c r="I1481" i="11"/>
  <c r="I1833" i="11"/>
  <c r="I1355" i="11"/>
  <c r="I1358" i="11"/>
  <c r="I1497" i="11"/>
  <c r="I1609" i="11"/>
  <c r="I1712" i="11"/>
  <c r="I1346" i="11"/>
  <c r="I1371" i="11"/>
  <c r="I1374" i="11"/>
  <c r="I1616" i="11"/>
  <c r="I5515" i="11"/>
  <c r="I5513" i="11"/>
  <c r="I5511" i="11"/>
  <c r="I5509" i="11"/>
  <c r="I5507" i="11"/>
  <c r="I5505" i="11"/>
  <c r="I5503" i="11"/>
  <c r="I5501" i="11"/>
  <c r="I5499" i="11"/>
  <c r="I5497" i="11"/>
  <c r="I5495" i="11"/>
  <c r="I5493" i="11"/>
  <c r="I5491" i="11"/>
  <c r="I5489" i="11"/>
  <c r="I5508" i="11"/>
  <c r="I5500" i="11"/>
  <c r="I5492" i="11"/>
  <c r="I5510" i="11"/>
  <c r="I5502" i="11"/>
  <c r="I5494" i="11"/>
  <c r="I5487" i="11"/>
  <c r="I5485" i="11"/>
  <c r="I5514" i="11"/>
  <c r="I5506" i="11"/>
  <c r="I5498" i="11"/>
  <c r="I5488" i="11"/>
  <c r="I5486" i="11"/>
  <c r="I5512" i="11"/>
  <c r="I5490" i="11"/>
  <c r="I5496" i="11"/>
  <c r="I5504" i="11"/>
  <c r="I5150" i="11"/>
  <c r="I5148" i="11"/>
  <c r="I5146" i="11"/>
  <c r="I5144" i="11"/>
  <c r="I5142" i="11"/>
  <c r="I5140" i="11"/>
  <c r="I5138" i="11"/>
  <c r="I5136" i="11"/>
  <c r="I5134" i="11"/>
  <c r="I5132" i="11"/>
  <c r="I5130" i="11"/>
  <c r="I5128" i="11"/>
  <c r="I5126" i="11"/>
  <c r="I5124" i="11"/>
  <c r="I5122" i="11"/>
  <c r="I5120" i="11"/>
  <c r="I5143" i="11"/>
  <c r="I5127" i="11"/>
  <c r="I5145" i="11"/>
  <c r="I5129" i="11"/>
  <c r="I5147" i="11"/>
  <c r="I5131" i="11"/>
  <c r="I5137" i="11"/>
  <c r="I5121" i="11"/>
  <c r="I5139" i="11"/>
  <c r="I5123" i="11"/>
  <c r="I5135" i="11"/>
  <c r="I4784" i="11"/>
  <c r="I4782" i="11"/>
  <c r="I4780" i="11"/>
  <c r="I4778" i="11"/>
  <c r="I4776" i="11"/>
  <c r="I4774" i="11"/>
  <c r="I4772" i="11"/>
  <c r="I4770" i="11"/>
  <c r="I4768" i="11"/>
  <c r="I4766" i="11"/>
  <c r="I4764" i="11"/>
  <c r="I4762" i="11"/>
  <c r="I5133" i="11"/>
  <c r="I5125" i="11"/>
  <c r="I5149" i="11"/>
  <c r="I5141" i="11"/>
  <c r="I4779" i="11"/>
  <c r="I4763" i="11"/>
  <c r="I4760" i="11"/>
  <c r="I4785" i="11"/>
  <c r="I4769" i="11"/>
  <c r="I4757" i="11"/>
  <c r="I4775" i="11"/>
  <c r="I4781" i="11"/>
  <c r="I4765" i="11"/>
  <c r="I4759" i="11"/>
  <c r="I4771" i="11"/>
  <c r="I4756" i="11"/>
  <c r="I4777" i="11"/>
  <c r="I4761" i="11"/>
  <c r="I4783" i="11"/>
  <c r="I4767" i="11"/>
  <c r="I4758" i="11"/>
  <c r="I4773" i="11"/>
  <c r="I4419" i="11"/>
  <c r="I4417" i="11"/>
  <c r="I4415" i="11"/>
  <c r="I4413" i="11"/>
  <c r="I4411" i="11"/>
  <c r="I4409" i="11"/>
  <c r="I4407" i="11"/>
  <c r="I4405" i="11"/>
  <c r="I4403" i="11"/>
  <c r="I4401" i="11"/>
  <c r="I4399" i="11"/>
  <c r="I4397" i="11"/>
  <c r="I4395" i="11"/>
  <c r="I4393" i="11"/>
  <c r="I4391" i="11"/>
  <c r="I4755" i="11"/>
  <c r="I4410" i="11"/>
  <c r="I4394" i="11"/>
  <c r="I4420" i="11"/>
  <c r="I4404" i="11"/>
  <c r="I4414" i="11"/>
  <c r="I4398" i="11"/>
  <c r="I4408" i="11"/>
  <c r="I4392" i="11"/>
  <c r="I4418" i="11"/>
  <c r="I4402" i="11"/>
  <c r="I4412" i="11"/>
  <c r="I4396" i="11"/>
  <c r="I4406" i="11"/>
  <c r="I4390" i="11"/>
  <c r="I4053" i="11"/>
  <c r="I4051" i="11"/>
  <c r="I4049" i="11"/>
  <c r="I4047" i="11"/>
  <c r="I4045" i="11"/>
  <c r="I4043" i="11"/>
  <c r="I4040" i="11"/>
  <c r="I4027" i="11"/>
  <c r="I4024" i="11"/>
  <c r="I4416" i="11"/>
  <c r="I4033" i="11"/>
  <c r="I4030" i="11"/>
  <c r="I4400" i="11"/>
  <c r="I4039" i="11"/>
  <c r="I4036" i="11"/>
  <c r="I4054" i="11"/>
  <c r="I4050" i="11"/>
  <c r="I4046" i="11"/>
  <c r="I4042" i="11"/>
  <c r="I4029" i="11"/>
  <c r="I4026" i="11"/>
  <c r="I4035" i="11"/>
  <c r="I4032" i="11"/>
  <c r="I3689" i="11"/>
  <c r="I3687" i="11"/>
  <c r="I3685" i="11"/>
  <c r="I3683" i="11"/>
  <c r="I3681" i="11"/>
  <c r="I3679" i="11"/>
  <c r="I3677" i="11"/>
  <c r="I3675" i="11"/>
  <c r="I3673" i="11"/>
  <c r="I3671" i="11"/>
  <c r="I3669" i="11"/>
  <c r="I3667" i="11"/>
  <c r="I3665" i="11"/>
  <c r="I3663" i="11"/>
  <c r="I3661" i="11"/>
  <c r="I3659" i="11"/>
  <c r="I4041" i="11"/>
  <c r="I4038" i="11"/>
  <c r="I4025" i="11"/>
  <c r="I4031" i="11"/>
  <c r="I4028" i="11"/>
  <c r="I3686" i="11"/>
  <c r="I3670" i="11"/>
  <c r="I3324" i="11"/>
  <c r="I3317" i="11"/>
  <c r="I3308" i="11"/>
  <c r="I4052" i="11"/>
  <c r="I3676" i="11"/>
  <c r="I3660" i="11"/>
  <c r="I3319" i="11"/>
  <c r="I3310" i="11"/>
  <c r="I3303" i="11"/>
  <c r="I3301" i="11"/>
  <c r="I3299" i="11"/>
  <c r="I3682" i="11"/>
  <c r="I3666" i="11"/>
  <c r="I3321" i="11"/>
  <c r="I3312" i="11"/>
  <c r="I3305" i="11"/>
  <c r="I4044" i="11"/>
  <c r="I4037" i="11"/>
  <c r="I3688" i="11"/>
  <c r="I3672" i="11"/>
  <c r="I3323" i="11"/>
  <c r="I3314" i="11"/>
  <c r="I3307" i="11"/>
  <c r="I3678" i="11"/>
  <c r="I3662" i="11"/>
  <c r="I3316" i="11"/>
  <c r="I3309" i="11"/>
  <c r="I3684" i="11"/>
  <c r="I3668" i="11"/>
  <c r="I3318" i="11"/>
  <c r="I3311" i="11"/>
  <c r="I3302" i="11"/>
  <c r="I3300" i="11"/>
  <c r="I3298" i="11"/>
  <c r="I3296" i="11"/>
  <c r="I3294" i="11"/>
  <c r="I4048" i="11"/>
  <c r="I3674" i="11"/>
  <c r="I3320" i="11"/>
  <c r="I3313" i="11"/>
  <c r="I3304" i="11"/>
  <c r="I4034" i="11"/>
  <c r="I3680" i="11"/>
  <c r="I3322" i="11"/>
  <c r="I3297" i="11"/>
  <c r="I3315" i="11"/>
  <c r="I3664" i="11"/>
  <c r="I3295" i="11"/>
  <c r="I3306" i="11"/>
  <c r="I2948" i="11"/>
  <c r="I2945" i="11"/>
  <c r="I2932" i="11"/>
  <c r="I2929" i="11"/>
  <c r="I2590" i="11"/>
  <c r="I2582" i="11"/>
  <c r="I2574" i="11"/>
  <c r="I2566" i="11"/>
  <c r="I2954" i="11"/>
  <c r="I2951" i="11"/>
  <c r="I2938" i="11"/>
  <c r="I2935" i="11"/>
  <c r="I2587" i="11"/>
  <c r="I2579" i="11"/>
  <c r="I2571" i="11"/>
  <c r="I2563" i="11"/>
  <c r="I2957" i="11"/>
  <c r="I2944" i="11"/>
  <c r="I2941" i="11"/>
  <c r="I2592" i="11"/>
  <c r="I2584" i="11"/>
  <c r="I2576" i="11"/>
  <c r="I2568" i="11"/>
  <c r="I2950" i="11"/>
  <c r="I2947" i="11"/>
  <c r="I2934" i="11"/>
  <c r="I2931" i="11"/>
  <c r="I2589" i="11"/>
  <c r="I2581" i="11"/>
  <c r="I2573" i="11"/>
  <c r="I2565" i="11"/>
  <c r="I2959" i="11"/>
  <c r="I2946" i="11"/>
  <c r="I2943" i="11"/>
  <c r="I2930" i="11"/>
  <c r="I2591" i="11"/>
  <c r="I2583" i="11"/>
  <c r="I2575" i="11"/>
  <c r="I2567" i="11"/>
  <c r="I2952" i="11"/>
  <c r="I2949" i="11"/>
  <c r="I2936" i="11"/>
  <c r="I2933" i="11"/>
  <c r="I2588" i="11"/>
  <c r="I2580" i="11"/>
  <c r="I2572" i="11"/>
  <c r="I2564" i="11"/>
  <c r="I2958" i="11"/>
  <c r="I2953" i="11"/>
  <c r="I2593" i="11"/>
  <c r="I2577" i="11"/>
  <c r="I2227" i="11"/>
  <c r="I2219" i="11"/>
  <c r="I2211" i="11"/>
  <c r="I2203" i="11"/>
  <c r="I1858" i="11"/>
  <c r="I1851" i="11"/>
  <c r="I1842" i="11"/>
  <c r="I1835" i="11"/>
  <c r="I2940" i="11"/>
  <c r="I2224" i="11"/>
  <c r="I2216" i="11"/>
  <c r="I2208" i="11"/>
  <c r="I2200" i="11"/>
  <c r="I1860" i="11"/>
  <c r="I1853" i="11"/>
  <c r="I1844" i="11"/>
  <c r="I1837" i="11"/>
  <c r="I1492" i="11"/>
  <c r="I1485" i="11"/>
  <c r="I1476" i="11"/>
  <c r="I1469" i="11"/>
  <c r="I2586" i="11"/>
  <c r="I2570" i="11"/>
  <c r="I2221" i="11"/>
  <c r="I2213" i="11"/>
  <c r="I2205" i="11"/>
  <c r="I1862" i="11"/>
  <c r="I1855" i="11"/>
  <c r="I1846" i="11"/>
  <c r="I1839" i="11"/>
  <c r="I1494" i="11"/>
  <c r="I1487" i="11"/>
  <c r="I1478" i="11"/>
  <c r="I1471" i="11"/>
  <c r="I2956" i="11"/>
  <c r="I2939" i="11"/>
  <c r="I2226" i="11"/>
  <c r="I2218" i="11"/>
  <c r="I2210" i="11"/>
  <c r="I2202" i="11"/>
  <c r="I1857" i="11"/>
  <c r="I1848" i="11"/>
  <c r="I1841" i="11"/>
  <c r="I1496" i="11"/>
  <c r="I1489" i="11"/>
  <c r="I1480" i="11"/>
  <c r="I1473" i="11"/>
  <c r="I2585" i="11"/>
  <c r="I2569" i="11"/>
  <c r="I2223" i="11"/>
  <c r="I2215" i="11"/>
  <c r="I2207" i="11"/>
  <c r="I2199" i="11"/>
  <c r="I1859" i="11"/>
  <c r="I1850" i="11"/>
  <c r="I1843" i="11"/>
  <c r="I1834" i="11"/>
  <c r="I2955" i="11"/>
  <c r="I2228" i="11"/>
  <c r="I2220" i="11"/>
  <c r="I2212" i="11"/>
  <c r="I2204" i="11"/>
  <c r="I1861" i="11"/>
  <c r="I1852" i="11"/>
  <c r="I1845" i="11"/>
  <c r="I1836" i="11"/>
  <c r="I1493" i="11"/>
  <c r="I2942" i="11"/>
  <c r="I2937" i="11"/>
  <c r="I2578" i="11"/>
  <c r="I2225" i="11"/>
  <c r="I2217" i="11"/>
  <c r="I2209" i="11"/>
  <c r="I2201" i="11"/>
  <c r="I1863" i="11"/>
  <c r="I1854" i="11"/>
  <c r="I1847" i="11"/>
  <c r="I1838" i="11"/>
  <c r="I1495" i="11"/>
  <c r="I1486" i="11"/>
  <c r="I1479" i="11"/>
  <c r="I1470" i="11"/>
  <c r="I2222" i="11"/>
  <c r="I2214" i="11"/>
  <c r="I2206" i="11"/>
  <c r="I2198" i="11"/>
  <c r="I5636" i="11"/>
  <c r="I5634" i="11"/>
  <c r="I5632" i="11"/>
  <c r="I5630" i="11"/>
  <c r="I5628" i="11"/>
  <c r="I5626" i="11"/>
  <c r="I5624" i="11"/>
  <c r="I5622" i="11"/>
  <c r="I5620" i="11"/>
  <c r="I5618" i="11"/>
  <c r="I5616" i="11"/>
  <c r="I5614" i="11"/>
  <c r="I5612" i="11"/>
  <c r="I5610" i="11"/>
  <c r="I5608" i="11"/>
  <c r="I5606" i="11"/>
  <c r="I5635" i="11"/>
  <c r="I5633" i="11"/>
  <c r="I5631" i="11"/>
  <c r="I5629" i="11"/>
  <c r="I5625" i="11"/>
  <c r="I5617" i="11"/>
  <c r="I5609" i="11"/>
  <c r="I5627" i="11"/>
  <c r="I5619" i="11"/>
  <c r="I5611" i="11"/>
  <c r="I5623" i="11"/>
  <c r="I5615" i="11"/>
  <c r="I5607" i="11"/>
  <c r="I5270" i="11"/>
  <c r="I5268" i="11"/>
  <c r="I5266" i="11"/>
  <c r="I5264" i="11"/>
  <c r="I5262" i="11"/>
  <c r="I5260" i="11"/>
  <c r="I5258" i="11"/>
  <c r="I5256" i="11"/>
  <c r="I5254" i="11"/>
  <c r="I5252" i="11"/>
  <c r="I5250" i="11"/>
  <c r="I5248" i="11"/>
  <c r="I5246" i="11"/>
  <c r="I5244" i="11"/>
  <c r="I5242" i="11"/>
  <c r="I5240" i="11"/>
  <c r="I5621" i="11"/>
  <c r="I5257" i="11"/>
  <c r="I5241" i="11"/>
  <c r="I5259" i="11"/>
  <c r="I5243" i="11"/>
  <c r="I5263" i="11"/>
  <c r="I5247" i="11"/>
  <c r="I5265" i="11"/>
  <c r="I5613" i="11"/>
  <c r="I5267" i="11"/>
  <c r="I5251" i="11"/>
  <c r="I5269" i="11"/>
  <c r="I5253" i="11"/>
  <c r="I5255" i="11"/>
  <c r="I5245" i="11"/>
  <c r="I5261" i="11"/>
  <c r="I4904" i="11"/>
  <c r="I4902" i="11"/>
  <c r="I4900" i="11"/>
  <c r="I4898" i="11"/>
  <c r="I4896" i="11"/>
  <c r="I4894" i="11"/>
  <c r="I4892" i="11"/>
  <c r="I4890" i="11"/>
  <c r="I4888" i="11"/>
  <c r="I4886" i="11"/>
  <c r="I4884" i="11"/>
  <c r="I4882" i="11"/>
  <c r="I4880" i="11"/>
  <c r="I4878" i="11"/>
  <c r="I4876" i="11"/>
  <c r="I5249" i="11"/>
  <c r="I4897" i="11"/>
  <c r="I4881" i="11"/>
  <c r="I4891" i="11"/>
  <c r="I4875" i="11"/>
  <c r="I4901" i="11"/>
  <c r="I4885" i="11"/>
  <c r="I4539" i="11"/>
  <c r="I4537" i="11"/>
  <c r="I4535" i="11"/>
  <c r="I4533" i="11"/>
  <c r="I4531" i="11"/>
  <c r="I4529" i="11"/>
  <c r="I4527" i="11"/>
  <c r="I4525" i="11"/>
  <c r="I4523" i="11"/>
  <c r="I4521" i="11"/>
  <c r="I4519" i="11"/>
  <c r="I4517" i="11"/>
  <c r="I4515" i="11"/>
  <c r="I4895" i="11"/>
  <c r="I4879" i="11"/>
  <c r="I4905" i="11"/>
  <c r="I4889" i="11"/>
  <c r="I4899" i="11"/>
  <c r="I4883" i="11"/>
  <c r="I4893" i="11"/>
  <c r="I4877" i="11"/>
  <c r="I4540" i="11"/>
  <c r="I4538" i="11"/>
  <c r="I4536" i="11"/>
  <c r="I4534" i="11"/>
  <c r="I4532" i="11"/>
  <c r="I4530" i="11"/>
  <c r="I4528" i="11"/>
  <c r="I4526" i="11"/>
  <c r="I4524" i="11"/>
  <c r="I4522" i="11"/>
  <c r="I4520" i="11"/>
  <c r="I4903" i="11"/>
  <c r="I4887" i="11"/>
  <c r="I4516" i="11"/>
  <c r="I4512" i="11"/>
  <c r="I4518" i="11"/>
  <c r="I4514" i="11"/>
  <c r="I4511" i="11"/>
  <c r="I4510" i="11"/>
  <c r="I4173" i="11"/>
  <c r="I4175" i="11"/>
  <c r="I4170" i="11"/>
  <c r="I4168" i="11"/>
  <c r="I4166" i="11"/>
  <c r="I4164" i="11"/>
  <c r="I4162" i="11"/>
  <c r="I4160" i="11"/>
  <c r="I4158" i="11"/>
  <c r="I4156" i="11"/>
  <c r="I4154" i="11"/>
  <c r="I4152" i="11"/>
  <c r="I4150" i="11"/>
  <c r="I4148" i="11"/>
  <c r="I4146" i="11"/>
  <c r="I4172" i="11"/>
  <c r="I4513" i="11"/>
  <c r="I4169" i="11"/>
  <c r="I4167" i="11"/>
  <c r="I4165" i="11"/>
  <c r="I4163" i="11"/>
  <c r="I4161" i="11"/>
  <c r="I4159" i="11"/>
  <c r="I4157" i="11"/>
  <c r="I4155" i="11"/>
  <c r="I4153" i="11"/>
  <c r="I4151" i="11"/>
  <c r="I4149" i="11"/>
  <c r="I4147" i="11"/>
  <c r="I4145" i="11"/>
  <c r="I4174" i="11"/>
  <c r="I3808" i="11"/>
  <c r="I3806" i="11"/>
  <c r="I3804" i="11"/>
  <c r="I3802" i="11"/>
  <c r="I3800" i="11"/>
  <c r="I3798" i="11"/>
  <c r="I3796" i="11"/>
  <c r="I3794" i="11"/>
  <c r="I3792" i="11"/>
  <c r="I3790" i="11"/>
  <c r="I3788" i="11"/>
  <c r="I3786" i="11"/>
  <c r="I3784" i="11"/>
  <c r="I3782" i="11"/>
  <c r="I3780" i="11"/>
  <c r="I3809" i="11"/>
  <c r="I3807" i="11"/>
  <c r="I3805" i="11"/>
  <c r="I3803" i="11"/>
  <c r="I3801" i="11"/>
  <c r="I3799" i="11"/>
  <c r="I3797" i="11"/>
  <c r="I3795" i="11"/>
  <c r="I3793" i="11"/>
  <c r="I3791" i="11"/>
  <c r="I3789" i="11"/>
  <c r="I3787" i="11"/>
  <c r="I3785" i="11"/>
  <c r="I3783" i="11"/>
  <c r="I3781" i="11"/>
  <c r="I3779" i="11"/>
  <c r="I4171" i="11"/>
  <c r="I3436" i="11"/>
  <c r="I3429" i="11"/>
  <c r="I3420" i="11"/>
  <c r="I3438" i="11"/>
  <c r="I3431" i="11"/>
  <c r="I3422" i="11"/>
  <c r="I3415" i="11"/>
  <c r="I3440" i="11"/>
  <c r="I3433" i="11"/>
  <c r="I3424" i="11"/>
  <c r="I3417" i="11"/>
  <c r="I3442" i="11"/>
  <c r="I3435" i="11"/>
  <c r="I3426" i="11"/>
  <c r="I3419" i="11"/>
  <c r="I3444" i="11"/>
  <c r="I3437" i="11"/>
  <c r="I3428" i="11"/>
  <c r="I3421" i="11"/>
  <c r="I3439" i="11"/>
  <c r="I3430" i="11"/>
  <c r="I3423" i="11"/>
  <c r="I3414" i="11"/>
  <c r="I3441" i="11"/>
  <c r="I3432" i="11"/>
  <c r="I3425" i="11"/>
  <c r="I3416" i="11"/>
  <c r="I3434" i="11"/>
  <c r="I3079" i="11"/>
  <c r="I3077" i="11"/>
  <c r="I3075" i="11"/>
  <c r="I3073" i="11"/>
  <c r="I3071" i="11"/>
  <c r="I3069" i="11"/>
  <c r="I3067" i="11"/>
  <c r="I3065" i="11"/>
  <c r="I3063" i="11"/>
  <c r="I3061" i="11"/>
  <c r="I3059" i="11"/>
  <c r="I3057" i="11"/>
  <c r="I3055" i="11"/>
  <c r="I3053" i="11"/>
  <c r="I3051" i="11"/>
  <c r="I3049" i="11"/>
  <c r="I3427" i="11"/>
  <c r="I3443" i="11"/>
  <c r="I3418" i="11"/>
  <c r="I2710" i="11"/>
  <c r="I2702" i="11"/>
  <c r="I2694" i="11"/>
  <c r="I2686" i="11"/>
  <c r="I2707" i="11"/>
  <c r="I2699" i="11"/>
  <c r="I2691" i="11"/>
  <c r="I2347" i="11"/>
  <c r="I2345" i="11"/>
  <c r="I2343" i="11"/>
  <c r="I2341" i="11"/>
  <c r="I2339" i="11"/>
  <c r="I2337" i="11"/>
  <c r="I2335" i="11"/>
  <c r="I2333" i="11"/>
  <c r="I2331" i="11"/>
  <c r="I2329" i="11"/>
  <c r="I2327" i="11"/>
  <c r="I2325" i="11"/>
  <c r="I2323" i="11"/>
  <c r="I2321" i="11"/>
  <c r="I2319" i="11"/>
  <c r="I3078" i="11"/>
  <c r="I3074" i="11"/>
  <c r="I3070" i="11"/>
  <c r="I3066" i="11"/>
  <c r="I3062" i="11"/>
  <c r="I3058" i="11"/>
  <c r="I3054" i="11"/>
  <c r="I3050" i="11"/>
  <c r="I2712" i="11"/>
  <c r="I2704" i="11"/>
  <c r="I2696" i="11"/>
  <c r="I2688" i="11"/>
  <c r="I2709" i="11"/>
  <c r="I2701" i="11"/>
  <c r="I2693" i="11"/>
  <c r="I2685" i="11"/>
  <c r="I2711" i="11"/>
  <c r="I2703" i="11"/>
  <c r="I2695" i="11"/>
  <c r="I2687" i="11"/>
  <c r="I2348" i="11"/>
  <c r="I2346" i="11"/>
  <c r="I2344" i="11"/>
  <c r="I2342" i="11"/>
  <c r="I2340" i="11"/>
  <c r="I2338" i="11"/>
  <c r="I2336" i="11"/>
  <c r="I2334" i="11"/>
  <c r="I2332" i="11"/>
  <c r="I2330" i="11"/>
  <c r="I2328" i="11"/>
  <c r="I2326" i="11"/>
  <c r="I2324" i="11"/>
  <c r="I2322" i="11"/>
  <c r="I2320" i="11"/>
  <c r="I2318" i="11"/>
  <c r="I3076" i="11"/>
  <c r="I3072" i="11"/>
  <c r="I3068" i="11"/>
  <c r="I3064" i="11"/>
  <c r="I3060" i="11"/>
  <c r="I3056" i="11"/>
  <c r="I3052" i="11"/>
  <c r="I2708" i="11"/>
  <c r="I2700" i="11"/>
  <c r="I2692" i="11"/>
  <c r="I2684" i="11"/>
  <c r="I1979" i="11"/>
  <c r="I1970" i="11"/>
  <c r="I1963" i="11"/>
  <c r="I1954" i="11"/>
  <c r="I1618" i="11"/>
  <c r="I1611" i="11"/>
  <c r="I1602" i="11"/>
  <c r="I1595" i="11"/>
  <c r="I2706" i="11"/>
  <c r="I2690" i="11"/>
  <c r="I1981" i="11"/>
  <c r="I1972" i="11"/>
  <c r="I1965" i="11"/>
  <c r="I1956" i="11"/>
  <c r="I1613" i="11"/>
  <c r="I1604" i="11"/>
  <c r="I1597" i="11"/>
  <c r="I1588" i="11"/>
  <c r="I1983" i="11"/>
  <c r="I1974" i="11"/>
  <c r="I1967" i="11"/>
  <c r="I1958" i="11"/>
  <c r="I1615" i="11"/>
  <c r="I1606" i="11"/>
  <c r="I1599" i="11"/>
  <c r="I1590" i="11"/>
  <c r="I2705" i="11"/>
  <c r="I2689" i="11"/>
  <c r="I1976" i="11"/>
  <c r="I1969" i="11"/>
  <c r="I1960" i="11"/>
  <c r="I1953" i="11"/>
  <c r="I1617" i="11"/>
  <c r="I1608" i="11"/>
  <c r="I1601" i="11"/>
  <c r="I1592" i="11"/>
  <c r="I1978" i="11"/>
  <c r="I1971" i="11"/>
  <c r="I1962" i="11"/>
  <c r="I1955" i="11"/>
  <c r="I1610" i="11"/>
  <c r="I1603" i="11"/>
  <c r="I1594" i="11"/>
  <c r="I2714" i="11"/>
  <c r="I2698" i="11"/>
  <c r="I1980" i="11"/>
  <c r="I1973" i="11"/>
  <c r="I1964" i="11"/>
  <c r="I1957" i="11"/>
  <c r="I1612" i="11"/>
  <c r="I1605" i="11"/>
  <c r="I1596" i="11"/>
  <c r="I1589" i="11"/>
  <c r="I1982" i="11"/>
  <c r="I1975" i="11"/>
  <c r="I1966" i="11"/>
  <c r="I1959" i="11"/>
  <c r="I1614" i="11"/>
  <c r="I1607" i="11"/>
  <c r="I1598" i="11"/>
  <c r="I1591" i="11"/>
  <c r="I2713" i="11"/>
  <c r="I2697" i="11"/>
  <c r="I5757" i="11"/>
  <c r="I5755" i="11"/>
  <c r="I5753" i="11"/>
  <c r="I5751" i="11"/>
  <c r="I5749" i="11"/>
  <c r="I5747" i="11"/>
  <c r="I5745" i="11"/>
  <c r="I5743" i="11"/>
  <c r="I5741" i="11"/>
  <c r="I5739" i="11"/>
  <c r="I5737" i="11"/>
  <c r="I5735" i="11"/>
  <c r="I5733" i="11"/>
  <c r="I5758" i="11"/>
  <c r="I5742" i="11"/>
  <c r="I5748" i="11"/>
  <c r="I5732" i="11"/>
  <c r="I5729" i="11"/>
  <c r="I5754" i="11"/>
  <c r="I5738" i="11"/>
  <c r="I5756" i="11"/>
  <c r="I5740" i="11"/>
  <c r="I5746" i="11"/>
  <c r="I5750" i="11"/>
  <c r="I5744" i="11"/>
  <c r="I5734" i="11"/>
  <c r="I5730" i="11"/>
  <c r="I5752" i="11"/>
  <c r="I5736" i="11"/>
  <c r="I5731" i="11"/>
  <c r="I5387" i="11"/>
  <c r="I5378" i="11"/>
  <c r="I5376" i="11"/>
  <c r="I5374" i="11"/>
  <c r="I5372" i="11"/>
  <c r="I5370" i="11"/>
  <c r="I5368" i="11"/>
  <c r="I5366" i="11"/>
  <c r="I5364" i="11"/>
  <c r="I5389" i="11"/>
  <c r="I5380" i="11"/>
  <c r="I5391" i="11"/>
  <c r="I5382" i="11"/>
  <c r="I5384" i="11"/>
  <c r="I5386" i="11"/>
  <c r="I5388" i="11"/>
  <c r="I5381" i="11"/>
  <c r="I5390" i="11"/>
  <c r="I5383" i="11"/>
  <c r="I5377" i="11"/>
  <c r="I5373" i="11"/>
  <c r="I5369" i="11"/>
  <c r="I5365" i="11"/>
  <c r="I5392" i="11"/>
  <c r="I5385" i="11"/>
  <c r="I5379" i="11"/>
  <c r="I5375" i="11"/>
  <c r="I5371" i="11"/>
  <c r="I5367" i="11"/>
  <c r="I5363" i="11"/>
  <c r="I5026" i="11"/>
  <c r="I5024" i="11"/>
  <c r="I5022" i="11"/>
  <c r="I5020" i="11"/>
  <c r="I5018" i="11"/>
  <c r="I5016" i="11"/>
  <c r="I5014" i="11"/>
  <c r="I5012" i="11"/>
  <c r="I5010" i="11"/>
  <c r="I5008" i="11"/>
  <c r="I5006" i="11"/>
  <c r="I5004" i="11"/>
  <c r="I5002" i="11"/>
  <c r="I5000" i="11"/>
  <c r="I4998" i="11"/>
  <c r="I5027" i="11"/>
  <c r="I5025" i="11"/>
  <c r="I5023" i="11"/>
  <c r="I5021" i="11"/>
  <c r="I5019" i="11"/>
  <c r="I5011" i="11"/>
  <c r="I4999" i="11"/>
  <c r="I5013" i="11"/>
  <c r="I5001" i="11"/>
  <c r="I5003" i="11"/>
  <c r="I5015" i="11"/>
  <c r="I5005" i="11"/>
  <c r="I5007" i="11"/>
  <c r="I5017" i="11"/>
  <c r="I5009" i="11"/>
  <c r="I4661" i="11"/>
  <c r="I4659" i="11"/>
  <c r="I4657" i="11"/>
  <c r="I4655" i="11"/>
  <c r="I4653" i="11"/>
  <c r="I4651" i="11"/>
  <c r="I4649" i="11"/>
  <c r="I4647" i="11"/>
  <c r="I4645" i="11"/>
  <c r="I4643" i="11"/>
  <c r="I4641" i="11"/>
  <c r="I4639" i="11"/>
  <c r="I4637" i="11"/>
  <c r="I4635" i="11"/>
  <c r="I4633" i="11"/>
  <c r="I4662" i="11"/>
  <c r="I4660" i="11"/>
  <c r="I4658" i="11"/>
  <c r="I4656" i="11"/>
  <c r="I4654" i="11"/>
  <c r="I4652" i="11"/>
  <c r="I4650" i="11"/>
  <c r="I4648" i="11"/>
  <c r="I4646" i="11"/>
  <c r="I4644" i="11"/>
  <c r="I4642" i="11"/>
  <c r="I4640" i="11"/>
  <c r="I4638" i="11"/>
  <c r="I4636" i="11"/>
  <c r="I4634" i="11"/>
  <c r="I4297" i="11"/>
  <c r="I4295" i="11"/>
  <c r="I4293" i="11"/>
  <c r="I4291" i="11"/>
  <c r="I4289" i="11"/>
  <c r="I4287" i="11"/>
  <c r="I4285" i="11"/>
  <c r="I4283" i="11"/>
  <c r="I4281" i="11"/>
  <c r="I4279" i="11"/>
  <c r="I4277" i="11"/>
  <c r="I4275" i="11"/>
  <c r="I4273" i="11"/>
  <c r="I4271" i="11"/>
  <c r="I4269" i="11"/>
  <c r="I4286" i="11"/>
  <c r="I4270" i="11"/>
  <c r="I4292" i="11"/>
  <c r="I4276" i="11"/>
  <c r="I4282" i="11"/>
  <c r="I4288" i="11"/>
  <c r="I4272" i="11"/>
  <c r="I4294" i="11"/>
  <c r="I4278" i="11"/>
  <c r="I4284" i="11"/>
  <c r="I4268" i="11"/>
  <c r="I4290" i="11"/>
  <c r="I4274" i="11"/>
  <c r="I3931" i="11"/>
  <c r="I3928" i="11"/>
  <c r="I3925" i="11"/>
  <c r="I3917" i="11"/>
  <c r="I3910" i="11"/>
  <c r="I3922" i="11"/>
  <c r="I3912" i="11"/>
  <c r="I3903" i="11"/>
  <c r="I4296" i="11"/>
  <c r="I3927" i="11"/>
  <c r="I3919" i="11"/>
  <c r="I3914" i="11"/>
  <c r="I3905" i="11"/>
  <c r="I3930" i="11"/>
  <c r="I3924" i="11"/>
  <c r="I3916" i="11"/>
  <c r="I3907" i="11"/>
  <c r="I3921" i="11"/>
  <c r="I3909" i="11"/>
  <c r="I3902" i="11"/>
  <c r="I4280" i="11"/>
  <c r="I3929" i="11"/>
  <c r="I3926" i="11"/>
  <c r="I3918" i="11"/>
  <c r="I3911" i="11"/>
  <c r="I3904" i="11"/>
  <c r="I3923" i="11"/>
  <c r="I3913" i="11"/>
  <c r="I3906" i="11"/>
  <c r="I3915" i="11"/>
  <c r="I3566" i="11"/>
  <c r="I3563" i="11"/>
  <c r="I3558" i="11"/>
  <c r="I3555" i="11"/>
  <c r="I3550" i="11"/>
  <c r="I3547" i="11"/>
  <c r="I3542" i="11"/>
  <c r="I3539" i="11"/>
  <c r="I3920" i="11"/>
  <c r="I3908" i="11"/>
  <c r="I3565" i="11"/>
  <c r="I3560" i="11"/>
  <c r="I3557" i="11"/>
  <c r="I3552" i="11"/>
  <c r="I3549" i="11"/>
  <c r="I3544" i="11"/>
  <c r="I3541" i="11"/>
  <c r="I3562" i="11"/>
  <c r="I3559" i="11"/>
  <c r="I3554" i="11"/>
  <c r="I3551" i="11"/>
  <c r="I3546" i="11"/>
  <c r="I3543" i="11"/>
  <c r="I3538" i="11"/>
  <c r="I3564" i="11"/>
  <c r="I3561" i="11"/>
  <c r="I3556" i="11"/>
  <c r="I3553" i="11"/>
  <c r="I3548" i="11"/>
  <c r="I3545" i="11"/>
  <c r="I3540" i="11"/>
  <c r="I3537" i="11"/>
  <c r="I3194" i="11"/>
  <c r="I3187" i="11"/>
  <c r="I3178" i="11"/>
  <c r="I3196" i="11"/>
  <c r="I3189" i="11"/>
  <c r="I3180" i="11"/>
  <c r="I3173" i="11"/>
  <c r="I3198" i="11"/>
  <c r="I3191" i="11"/>
  <c r="I3182" i="11"/>
  <c r="I3175" i="11"/>
  <c r="I3195" i="11"/>
  <c r="I3186" i="11"/>
  <c r="I3179" i="11"/>
  <c r="I3197" i="11"/>
  <c r="I3188" i="11"/>
  <c r="I3181" i="11"/>
  <c r="I3172" i="11"/>
  <c r="I3200" i="11"/>
  <c r="I3192" i="11"/>
  <c r="I2830" i="11"/>
  <c r="I2822" i="11"/>
  <c r="I2814" i="11"/>
  <c r="I3183" i="11"/>
  <c r="I2835" i="11"/>
  <c r="I2827" i="11"/>
  <c r="I2819" i="11"/>
  <c r="I2811" i="11"/>
  <c r="I2469" i="11"/>
  <c r="I2467" i="11"/>
  <c r="I2465" i="11"/>
  <c r="I2463" i="11"/>
  <c r="I2461" i="11"/>
  <c r="I2459" i="11"/>
  <c r="I2457" i="11"/>
  <c r="I2455" i="11"/>
  <c r="I2453" i="11"/>
  <c r="I2451" i="11"/>
  <c r="I2449" i="11"/>
  <c r="I2447" i="11"/>
  <c r="I2445" i="11"/>
  <c r="I2443" i="11"/>
  <c r="I2441" i="11"/>
  <c r="I3199" i="11"/>
  <c r="I2832" i="11"/>
  <c r="I2824" i="11"/>
  <c r="I2816" i="11"/>
  <c r="I2808" i="11"/>
  <c r="I3174" i="11"/>
  <c r="I2829" i="11"/>
  <c r="I2821" i="11"/>
  <c r="I2813" i="11"/>
  <c r="I3190" i="11"/>
  <c r="I3177" i="11"/>
  <c r="I3193" i="11"/>
  <c r="I3185" i="11"/>
  <c r="I2831" i="11"/>
  <c r="I2823" i="11"/>
  <c r="I2815" i="11"/>
  <c r="I2807" i="11"/>
  <c r="I2470" i="11"/>
  <c r="I2468" i="11"/>
  <c r="I2466" i="11"/>
  <c r="I2464" i="11"/>
  <c r="I2462" i="11"/>
  <c r="I2460" i="11"/>
  <c r="I2458" i="11"/>
  <c r="I2456" i="11"/>
  <c r="I2454" i="11"/>
  <c r="I2452" i="11"/>
  <c r="I2450" i="11"/>
  <c r="I2448" i="11"/>
  <c r="I2446" i="11"/>
  <c r="I2444" i="11"/>
  <c r="I2442" i="11"/>
  <c r="I3201" i="11"/>
  <c r="I2836" i="11"/>
  <c r="I2828" i="11"/>
  <c r="I2820" i="11"/>
  <c r="I2812" i="11"/>
  <c r="I2099" i="11"/>
  <c r="I2091" i="11"/>
  <c r="I2083" i="11"/>
  <c r="I1739" i="11"/>
  <c r="I1730" i="11"/>
  <c r="I1723" i="11"/>
  <c r="I1714" i="11"/>
  <c r="I3184" i="11"/>
  <c r="I2825" i="11"/>
  <c r="I2809" i="11"/>
  <c r="I2104" i="11"/>
  <c r="I2096" i="11"/>
  <c r="I2088" i="11"/>
  <c r="I2080" i="11"/>
  <c r="I1732" i="11"/>
  <c r="I1725" i="11"/>
  <c r="I1716" i="11"/>
  <c r="I1373" i="11"/>
  <c r="I1364" i="11"/>
  <c r="I1357" i="11"/>
  <c r="I1348" i="11"/>
  <c r="I3176" i="11"/>
  <c r="I2101" i="11"/>
  <c r="I2093" i="11"/>
  <c r="I2085" i="11"/>
  <c r="I2077" i="11"/>
  <c r="I1734" i="11"/>
  <c r="I1727" i="11"/>
  <c r="I1718" i="11"/>
  <c r="I1711" i="11"/>
  <c r="I1375" i="11"/>
  <c r="I1366" i="11"/>
  <c r="I1359" i="11"/>
  <c r="I1350" i="11"/>
  <c r="I2834" i="11"/>
  <c r="I2818" i="11"/>
  <c r="I2098" i="11"/>
  <c r="I2090" i="11"/>
  <c r="I2082" i="11"/>
  <c r="I1736" i="11"/>
  <c r="I1729" i="11"/>
  <c r="I1720" i="11"/>
  <c r="I1713" i="11"/>
  <c r="I1368" i="11"/>
  <c r="I1361" i="11"/>
  <c r="I1352" i="11"/>
  <c r="I2103" i="11"/>
  <c r="I2095" i="11"/>
  <c r="I2087" i="11"/>
  <c r="I2079" i="11"/>
  <c r="I1738" i="11"/>
  <c r="I1731" i="11"/>
  <c r="I1722" i="11"/>
  <c r="I1715" i="11"/>
  <c r="I2833" i="11"/>
  <c r="I2817" i="11"/>
  <c r="I2100" i="11"/>
  <c r="I2092" i="11"/>
  <c r="I2084" i="11"/>
  <c r="I2076" i="11"/>
  <c r="I1740" i="11"/>
  <c r="I1733" i="11"/>
  <c r="I1724" i="11"/>
  <c r="I1717" i="11"/>
  <c r="I2105" i="11"/>
  <c r="I2097" i="11"/>
  <c r="I2089" i="11"/>
  <c r="I2081" i="11"/>
  <c r="I1735" i="11"/>
  <c r="I1726" i="11"/>
  <c r="I1719" i="11"/>
  <c r="I2826" i="11"/>
  <c r="I2810" i="11"/>
  <c r="I2102" i="11"/>
  <c r="I2094" i="11"/>
  <c r="I2086" i="11"/>
  <c r="M7" i="8"/>
  <c r="L39" i="8"/>
  <c r="M39" i="8"/>
  <c r="I1349" i="11"/>
  <c r="I1362" i="11"/>
  <c r="I1468" i="11"/>
  <c r="I1482" i="11"/>
  <c r="I1490" i="11"/>
  <c r="I1498" i="11"/>
  <c r="I1353" i="11"/>
  <c r="I1356" i="11"/>
  <c r="I1365" i="11"/>
  <c r="I1472" i="11"/>
  <c r="I1475" i="11"/>
  <c r="I1593" i="11"/>
  <c r="I1369" i="11"/>
  <c r="I1372" i="11"/>
  <c r="I1483" i="11"/>
  <c r="I1600" i="11"/>
  <c r="I1721" i="11"/>
  <c r="I1849" i="11"/>
  <c r="I1961" i="11"/>
  <c r="I1347" i="11"/>
  <c r="I1360" i="11"/>
  <c r="I1491" i="11"/>
  <c r="I1728" i="11"/>
  <c r="I1856" i="11"/>
  <c r="I1968" i="11"/>
  <c r="I2078" i="11"/>
  <c r="J15" i="8"/>
  <c r="J37" i="8"/>
  <c r="I3941" i="11"/>
  <c r="I4060" i="11"/>
  <c r="I3329" i="11"/>
  <c r="I3336" i="11"/>
  <c r="I3345" i="11"/>
  <c r="I3352" i="11"/>
  <c r="I3448" i="11"/>
  <c r="I3457" i="11"/>
  <c r="I3464" i="11"/>
  <c r="I3473" i="11"/>
  <c r="I3569" i="11"/>
  <c r="I3572" i="11"/>
  <c r="I3577" i="11"/>
  <c r="I3580" i="11"/>
  <c r="I3585" i="11"/>
  <c r="I3588" i="11"/>
  <c r="I3593" i="11"/>
  <c r="I3596" i="11"/>
  <c r="I3690" i="11"/>
  <c r="I3706" i="11"/>
  <c r="I4080" i="11"/>
  <c r="I3327" i="11"/>
  <c r="I3334" i="11"/>
  <c r="I3343" i="11"/>
  <c r="I3350" i="11"/>
  <c r="I3446" i="11"/>
  <c r="I3455" i="11"/>
  <c r="I3462" i="11"/>
  <c r="I3471" i="11"/>
  <c r="I3700" i="11"/>
  <c r="I3716" i="11"/>
  <c r="I4068" i="11"/>
  <c r="I3325" i="11"/>
  <c r="I3332" i="11"/>
  <c r="I3341" i="11"/>
  <c r="I3348" i="11"/>
  <c r="I3453" i="11"/>
  <c r="I3460" i="11"/>
  <c r="I3469" i="11"/>
  <c r="I3567" i="11"/>
  <c r="I3570" i="11"/>
  <c r="I3575" i="11"/>
  <c r="I3578" i="11"/>
  <c r="I3583" i="11"/>
  <c r="I3586" i="11"/>
  <c r="I3591" i="11"/>
  <c r="I3594" i="11"/>
  <c r="I3694" i="11"/>
  <c r="I3710" i="11"/>
  <c r="I3957" i="11"/>
  <c r="I5543" i="11"/>
  <c r="I5541" i="11"/>
  <c r="I5539" i="11"/>
  <c r="I5537" i="11"/>
  <c r="I5535" i="11"/>
  <c r="I5533" i="11"/>
  <c r="I5531" i="11"/>
  <c r="I5529" i="11"/>
  <c r="I5527" i="11"/>
  <c r="I5525" i="11"/>
  <c r="I5523" i="11"/>
  <c r="I5521" i="11"/>
  <c r="I5519" i="11"/>
  <c r="I5517" i="11"/>
  <c r="I5538" i="11"/>
  <c r="I5532" i="11"/>
  <c r="I5524" i="11"/>
  <c r="I5516" i="11"/>
  <c r="I5544" i="11"/>
  <c r="I5534" i="11"/>
  <c r="I5526" i="11"/>
  <c r="I5518" i="11"/>
  <c r="I5536" i="11"/>
  <c r="I5542" i="11"/>
  <c r="I5530" i="11"/>
  <c r="I5522" i="11"/>
  <c r="I5540" i="11"/>
  <c r="I5520" i="11"/>
  <c r="I5528" i="11"/>
  <c r="I5178" i="11"/>
  <c r="I5176" i="11"/>
  <c r="I5174" i="11"/>
  <c r="I5172" i="11"/>
  <c r="I5170" i="11"/>
  <c r="I5168" i="11"/>
  <c r="I5166" i="11"/>
  <c r="I5164" i="11"/>
  <c r="I5162" i="11"/>
  <c r="I5160" i="11"/>
  <c r="I5158" i="11"/>
  <c r="I5156" i="11"/>
  <c r="I5154" i="11"/>
  <c r="I5152" i="11"/>
  <c r="I5171" i="11"/>
  <c r="I5163" i="11"/>
  <c r="I5155" i="11"/>
  <c r="I5175" i="11"/>
  <c r="I5167" i="11"/>
  <c r="I5159" i="11"/>
  <c r="I5151" i="11"/>
  <c r="I5157" i="11"/>
  <c r="I5153" i="11"/>
  <c r="I5165" i="11"/>
  <c r="I5161" i="11"/>
  <c r="I4812" i="11"/>
  <c r="I4810" i="11"/>
  <c r="I4808" i="11"/>
  <c r="I4806" i="11"/>
  <c r="I4804" i="11"/>
  <c r="I4802" i="11"/>
  <c r="I4800" i="11"/>
  <c r="I4798" i="11"/>
  <c r="I4796" i="11"/>
  <c r="I4794" i="11"/>
  <c r="I4792" i="11"/>
  <c r="I4790" i="11"/>
  <c r="I4788" i="11"/>
  <c r="I4786" i="11"/>
  <c r="I5173" i="11"/>
  <c r="I5169" i="11"/>
  <c r="I5177" i="11"/>
  <c r="I4795" i="11"/>
  <c r="I4813" i="11"/>
  <c r="I4809" i="11"/>
  <c r="I4805" i="11"/>
  <c r="I4801" i="11"/>
  <c r="I4791" i="11"/>
  <c r="I4797" i="11"/>
  <c r="I4787" i="11"/>
  <c r="I4811" i="11"/>
  <c r="I4807" i="11"/>
  <c r="I4803" i="11"/>
  <c r="I4793" i="11"/>
  <c r="I4799" i="11"/>
  <c r="I4445" i="11"/>
  <c r="I4443" i="11"/>
  <c r="I4441" i="11"/>
  <c r="I4439" i="11"/>
  <c r="I4437" i="11"/>
  <c r="I4435" i="11"/>
  <c r="I4433" i="11"/>
  <c r="I4431" i="11"/>
  <c r="I4429" i="11"/>
  <c r="I4427" i="11"/>
  <c r="I4425" i="11"/>
  <c r="I4423" i="11"/>
  <c r="I4421" i="11"/>
  <c r="I4447" i="11"/>
  <c r="I4789" i="11"/>
  <c r="I4446" i="11"/>
  <c r="I4444" i="11"/>
  <c r="I4442" i="11"/>
  <c r="I4440" i="11"/>
  <c r="I4438" i="11"/>
  <c r="I4436" i="11"/>
  <c r="I4434" i="11"/>
  <c r="I4432" i="11"/>
  <c r="I4430" i="11"/>
  <c r="I4428" i="11"/>
  <c r="I4426" i="11"/>
  <c r="I4424" i="11"/>
  <c r="I4448" i="11"/>
  <c r="I4422" i="11"/>
  <c r="I4083" i="11"/>
  <c r="I4081" i="11"/>
  <c r="I4079" i="11"/>
  <c r="I4077" i="11"/>
  <c r="I4075" i="11"/>
  <c r="I4073" i="11"/>
  <c r="I4071" i="11"/>
  <c r="I4069" i="11"/>
  <c r="I4067" i="11"/>
  <c r="I4065" i="11"/>
  <c r="I4063" i="11"/>
  <c r="I4061" i="11"/>
  <c r="I4059" i="11"/>
  <c r="I4057" i="11"/>
  <c r="I4055" i="11"/>
  <c r="I4082" i="11"/>
  <c r="I4078" i="11"/>
  <c r="I4074" i="11"/>
  <c r="I4070" i="11"/>
  <c r="I4066" i="11"/>
  <c r="I4062" i="11"/>
  <c r="I4058" i="11"/>
  <c r="I3717" i="11"/>
  <c r="I3715" i="11"/>
  <c r="I3713" i="11"/>
  <c r="I3711" i="11"/>
  <c r="I3709" i="11"/>
  <c r="I3707" i="11"/>
  <c r="I3705" i="11"/>
  <c r="I3703" i="11"/>
  <c r="I3701" i="11"/>
  <c r="I3699" i="11"/>
  <c r="I3697" i="11"/>
  <c r="I3695" i="11"/>
  <c r="I3693" i="11"/>
  <c r="I3691" i="11"/>
  <c r="I5666" i="11"/>
  <c r="I5664" i="11"/>
  <c r="I5662" i="11"/>
  <c r="I5660" i="11"/>
  <c r="I5658" i="11"/>
  <c r="I5656" i="11"/>
  <c r="I5654" i="11"/>
  <c r="I5652" i="11"/>
  <c r="I5650" i="11"/>
  <c r="I5648" i="11"/>
  <c r="I5646" i="11"/>
  <c r="I5644" i="11"/>
  <c r="I5642" i="11"/>
  <c r="I5640" i="11"/>
  <c r="I5638" i="11"/>
  <c r="I5665" i="11"/>
  <c r="I5663" i="11"/>
  <c r="I5661" i="11"/>
  <c r="I5659" i="11"/>
  <c r="I5657" i="11"/>
  <c r="I5655" i="11"/>
  <c r="I5653" i="11"/>
  <c r="I5651" i="11"/>
  <c r="I5649" i="11"/>
  <c r="I5647" i="11"/>
  <c r="I5645" i="11"/>
  <c r="I5643" i="11"/>
  <c r="I5641" i="11"/>
  <c r="I5639" i="11"/>
  <c r="I5637" i="11"/>
  <c r="I5300" i="11"/>
  <c r="I5298" i="11"/>
  <c r="I5296" i="11"/>
  <c r="I5294" i="11"/>
  <c r="I5292" i="11"/>
  <c r="I5290" i="11"/>
  <c r="I5288" i="11"/>
  <c r="I5286" i="11"/>
  <c r="I5284" i="11"/>
  <c r="I5282" i="11"/>
  <c r="I5280" i="11"/>
  <c r="I5278" i="11"/>
  <c r="I5276" i="11"/>
  <c r="I5274" i="11"/>
  <c r="I5272" i="11"/>
  <c r="I5279" i="11"/>
  <c r="I5273" i="11"/>
  <c r="I5297" i="11"/>
  <c r="I5293" i="11"/>
  <c r="I5289" i="11"/>
  <c r="I5285" i="11"/>
  <c r="I5275" i="11"/>
  <c r="I5281" i="11"/>
  <c r="I5299" i="11"/>
  <c r="I5295" i="11"/>
  <c r="I5291" i="11"/>
  <c r="I5287" i="11"/>
  <c r="I5277" i="11"/>
  <c r="I5271" i="11"/>
  <c r="I5283" i="11"/>
  <c r="I4934" i="11"/>
  <c r="I4932" i="11"/>
  <c r="I4930" i="11"/>
  <c r="I4928" i="11"/>
  <c r="I4926" i="11"/>
  <c r="I4924" i="11"/>
  <c r="I4922" i="11"/>
  <c r="I4920" i="11"/>
  <c r="I4918" i="11"/>
  <c r="I4916" i="11"/>
  <c r="I4914" i="11"/>
  <c r="I4912" i="11"/>
  <c r="I4910" i="11"/>
  <c r="I4908" i="11"/>
  <c r="I4906" i="11"/>
  <c r="I4929" i="11"/>
  <c r="I4913" i="11"/>
  <c r="I4923" i="11"/>
  <c r="I4907" i="11"/>
  <c r="I4933" i="11"/>
  <c r="I4917" i="11"/>
  <c r="I4569" i="11"/>
  <c r="I4567" i="11"/>
  <c r="I4565" i="11"/>
  <c r="I4563" i="11"/>
  <c r="I4561" i="11"/>
  <c r="I4559" i="11"/>
  <c r="I4557" i="11"/>
  <c r="I4555" i="11"/>
  <c r="I4553" i="11"/>
  <c r="I4551" i="11"/>
  <c r="I4549" i="11"/>
  <c r="I4547" i="11"/>
  <c r="I4545" i="11"/>
  <c r="I4543" i="11"/>
  <c r="I4541" i="11"/>
  <c r="I4927" i="11"/>
  <c r="I4911" i="11"/>
  <c r="I4921" i="11"/>
  <c r="I4931" i="11"/>
  <c r="I4915" i="11"/>
  <c r="I4925" i="11"/>
  <c r="I4909" i="11"/>
  <c r="I4570" i="11"/>
  <c r="I4568" i="11"/>
  <c r="I4566" i="11"/>
  <c r="I4564" i="11"/>
  <c r="I4562" i="11"/>
  <c r="I4560" i="11"/>
  <c r="I4558" i="11"/>
  <c r="I4556" i="11"/>
  <c r="I4554" i="11"/>
  <c r="I4552" i="11"/>
  <c r="I4550" i="11"/>
  <c r="I4548" i="11"/>
  <c r="I4546" i="11"/>
  <c r="I4544" i="11"/>
  <c r="I4542" i="11"/>
  <c r="I4935" i="11"/>
  <c r="I4919" i="11"/>
  <c r="I4203" i="11"/>
  <c r="I4198" i="11"/>
  <c r="I4189" i="11"/>
  <c r="I4182" i="11"/>
  <c r="I4200" i="11"/>
  <c r="I4191" i="11"/>
  <c r="I4184" i="11"/>
  <c r="I4205" i="11"/>
  <c r="I4193" i="11"/>
  <c r="I4186" i="11"/>
  <c r="I4177" i="11"/>
  <c r="I4202" i="11"/>
  <c r="I4195" i="11"/>
  <c r="I4188" i="11"/>
  <c r="I4179" i="11"/>
  <c r="I4204" i="11"/>
  <c r="I4199" i="11"/>
  <c r="I4192" i="11"/>
  <c r="I4183" i="11"/>
  <c r="I4176" i="11"/>
  <c r="I4201" i="11"/>
  <c r="I4194" i="11"/>
  <c r="I4185" i="11"/>
  <c r="I4178" i="11"/>
  <c r="I3838" i="11"/>
  <c r="I3836" i="11"/>
  <c r="I3834" i="11"/>
  <c r="I3832" i="11"/>
  <c r="I3830" i="11"/>
  <c r="I3828" i="11"/>
  <c r="I3826" i="11"/>
  <c r="I3824" i="11"/>
  <c r="I3822" i="11"/>
  <c r="I3820" i="11"/>
  <c r="I3818" i="11"/>
  <c r="I3816" i="11"/>
  <c r="I3814" i="11"/>
  <c r="I3812" i="11"/>
  <c r="I3810" i="11"/>
  <c r="I4197" i="11"/>
  <c r="I4187" i="11"/>
  <c r="I3839" i="11"/>
  <c r="I3837" i="11"/>
  <c r="I3835" i="11"/>
  <c r="I3833" i="11"/>
  <c r="I3831" i="11"/>
  <c r="I3829" i="11"/>
  <c r="I3827" i="11"/>
  <c r="I3825" i="11"/>
  <c r="I3823" i="11"/>
  <c r="I3821" i="11"/>
  <c r="I3819" i="11"/>
  <c r="I3817" i="11"/>
  <c r="I3815" i="11"/>
  <c r="I3813" i="11"/>
  <c r="I3811" i="11"/>
  <c r="I4196" i="11"/>
  <c r="I4181" i="11"/>
  <c r="I4190" i="11"/>
  <c r="I5788" i="11"/>
  <c r="I5786" i="11"/>
  <c r="I5784" i="11"/>
  <c r="I5782" i="11"/>
  <c r="I5780" i="11"/>
  <c r="I5778" i="11"/>
  <c r="I5776" i="11"/>
  <c r="I5774" i="11"/>
  <c r="I5772" i="11"/>
  <c r="I5770" i="11"/>
  <c r="I5768" i="11"/>
  <c r="I5766" i="11"/>
  <c r="I5764" i="11"/>
  <c r="I5762" i="11"/>
  <c r="I5789" i="11"/>
  <c r="I5787" i="11"/>
  <c r="I5785" i="11"/>
  <c r="I5783" i="11"/>
  <c r="I5781" i="11"/>
  <c r="I5779" i="11"/>
  <c r="I5777" i="11"/>
  <c r="I5775" i="11"/>
  <c r="I5773" i="11"/>
  <c r="I5771" i="11"/>
  <c r="I5769" i="11"/>
  <c r="I5767" i="11"/>
  <c r="I5765" i="11"/>
  <c r="I5763" i="11"/>
  <c r="I5761" i="11"/>
  <c r="I5759" i="11"/>
  <c r="I5760" i="11"/>
  <c r="I5420" i="11"/>
  <c r="I5410" i="11"/>
  <c r="I5403" i="11"/>
  <c r="I5394" i="11"/>
  <c r="I5417" i="11"/>
  <c r="I5412" i="11"/>
  <c r="I5405" i="11"/>
  <c r="I5396" i="11"/>
  <c r="I5422" i="11"/>
  <c r="I5414" i="11"/>
  <c r="I5407" i="11"/>
  <c r="I5398" i="11"/>
  <c r="I5419" i="11"/>
  <c r="I5409" i="11"/>
  <c r="I5400" i="11"/>
  <c r="I5393" i="11"/>
  <c r="I5416" i="11"/>
  <c r="I5411" i="11"/>
  <c r="I5402" i="11"/>
  <c r="I5395" i="11"/>
  <c r="I5421" i="11"/>
  <c r="I5413" i="11"/>
  <c r="I5404" i="11"/>
  <c r="I5397" i="11"/>
  <c r="I5418" i="11"/>
  <c r="I5406" i="11"/>
  <c r="I5399" i="11"/>
  <c r="I5408" i="11"/>
  <c r="I5401" i="11"/>
  <c r="I5423" i="11"/>
  <c r="I5058" i="11"/>
  <c r="I5056" i="11"/>
  <c r="I5054" i="11"/>
  <c r="I5052" i="11"/>
  <c r="I5050" i="11"/>
  <c r="I5048" i="11"/>
  <c r="I5046" i="11"/>
  <c r="I5044" i="11"/>
  <c r="I5042" i="11"/>
  <c r="I5040" i="11"/>
  <c r="I5038" i="11"/>
  <c r="I5036" i="11"/>
  <c r="I5034" i="11"/>
  <c r="I5032" i="11"/>
  <c r="I5030" i="11"/>
  <c r="I5028" i="11"/>
  <c r="I5057" i="11"/>
  <c r="I5055" i="11"/>
  <c r="I5053" i="11"/>
  <c r="I5051" i="11"/>
  <c r="I5049" i="11"/>
  <c r="I5047" i="11"/>
  <c r="I5045" i="11"/>
  <c r="I5043" i="11"/>
  <c r="I5041" i="11"/>
  <c r="I5039" i="11"/>
  <c r="I5037" i="11"/>
  <c r="I5035" i="11"/>
  <c r="I5033" i="11"/>
  <c r="I5031" i="11"/>
  <c r="I5029" i="11"/>
  <c r="I5415" i="11"/>
  <c r="I4693" i="11"/>
  <c r="I4691" i="11"/>
  <c r="I4689" i="11"/>
  <c r="I4687" i="11"/>
  <c r="I4685" i="11"/>
  <c r="I4683" i="11"/>
  <c r="I4681" i="11"/>
  <c r="I4679" i="11"/>
  <c r="I4677" i="11"/>
  <c r="I4675" i="11"/>
  <c r="I4673" i="11"/>
  <c r="I4671" i="11"/>
  <c r="I4669" i="11"/>
  <c r="I4667" i="11"/>
  <c r="I4665" i="11"/>
  <c r="I4663" i="11"/>
  <c r="I4692" i="11"/>
  <c r="I4690" i="11"/>
  <c r="I4688" i="11"/>
  <c r="I4686" i="11"/>
  <c r="I4684" i="11"/>
  <c r="I4682" i="11"/>
  <c r="I4680" i="11"/>
  <c r="I4678" i="11"/>
  <c r="I4676" i="11"/>
  <c r="I4674" i="11"/>
  <c r="I4672" i="11"/>
  <c r="I4670" i="11"/>
  <c r="I4668" i="11"/>
  <c r="I4666" i="11"/>
  <c r="I4664" i="11"/>
  <c r="I4327" i="11"/>
  <c r="I4325" i="11"/>
  <c r="I4323" i="11"/>
  <c r="I4321" i="11"/>
  <c r="I4319" i="11"/>
  <c r="I4317" i="11"/>
  <c r="I4315" i="11"/>
  <c r="I4313" i="11"/>
  <c r="I4311" i="11"/>
  <c r="I4309" i="11"/>
  <c r="I4307" i="11"/>
  <c r="I4305" i="11"/>
  <c r="I4303" i="11"/>
  <c r="I4301" i="11"/>
  <c r="I4299" i="11"/>
  <c r="I4302" i="11"/>
  <c r="I4298" i="11"/>
  <c r="I4328" i="11"/>
  <c r="I4324" i="11"/>
  <c r="I4320" i="11"/>
  <c r="I4316" i="11"/>
  <c r="I4312" i="11"/>
  <c r="I4308" i="11"/>
  <c r="I4304" i="11"/>
  <c r="I4300" i="11"/>
  <c r="I4318" i="11"/>
  <c r="I3960" i="11"/>
  <c r="I3947" i="11"/>
  <c r="I3944" i="11"/>
  <c r="I3953" i="11"/>
  <c r="I3950" i="11"/>
  <c r="I3937" i="11"/>
  <c r="I3934" i="11"/>
  <c r="I4310" i="11"/>
  <c r="I3959" i="11"/>
  <c r="I3956" i="11"/>
  <c r="I3943" i="11"/>
  <c r="I3940" i="11"/>
  <c r="I4322" i="11"/>
  <c r="I3962" i="11"/>
  <c r="I3949" i="11"/>
  <c r="I3946" i="11"/>
  <c r="I3933" i="11"/>
  <c r="I3955" i="11"/>
  <c r="I3952" i="11"/>
  <c r="I3939" i="11"/>
  <c r="I3936" i="11"/>
  <c r="I4314" i="11"/>
  <c r="I3961" i="11"/>
  <c r="I3958" i="11"/>
  <c r="I3945" i="11"/>
  <c r="I3942" i="11"/>
  <c r="I4326" i="11"/>
  <c r="I3951" i="11"/>
  <c r="I3948" i="11"/>
  <c r="I3935" i="11"/>
  <c r="I3932" i="11"/>
  <c r="J41" i="8"/>
  <c r="I3330" i="11"/>
  <c r="I3339" i="11"/>
  <c r="I3346" i="11"/>
  <c r="I3451" i="11"/>
  <c r="I3458" i="11"/>
  <c r="I3467" i="11"/>
  <c r="I3474" i="11"/>
  <c r="I3704" i="11"/>
  <c r="I3938" i="11"/>
  <c r="I4076" i="11"/>
  <c r="I3328" i="11"/>
  <c r="I3337" i="11"/>
  <c r="I3344" i="11"/>
  <c r="I3449" i="11"/>
  <c r="I3456" i="11"/>
  <c r="I3465" i="11"/>
  <c r="I3472" i="11"/>
  <c r="I3568" i="11"/>
  <c r="I3573" i="11"/>
  <c r="I3576" i="11"/>
  <c r="I3581" i="11"/>
  <c r="I3584" i="11"/>
  <c r="I3589" i="11"/>
  <c r="I3592" i="11"/>
  <c r="I3597" i="11"/>
  <c r="I3698" i="11"/>
  <c r="I3714" i="11"/>
  <c r="I4064" i="11"/>
  <c r="I3326" i="11"/>
  <c r="I3335" i="11"/>
  <c r="I3342" i="11"/>
  <c r="I3351" i="11"/>
  <c r="I3447" i="11"/>
  <c r="I3454" i="11"/>
  <c r="I3463" i="11"/>
  <c r="I3470" i="11"/>
  <c r="I3692" i="11"/>
  <c r="I3708" i="11"/>
  <c r="I3333" i="11"/>
  <c r="I3340" i="11"/>
  <c r="I3349" i="11"/>
  <c r="I3445" i="11"/>
  <c r="I3452" i="11"/>
  <c r="I3461" i="11"/>
  <c r="I3468" i="11"/>
  <c r="I3571" i="11"/>
  <c r="I3574" i="11"/>
  <c r="I3579" i="11"/>
  <c r="I3582" i="11"/>
  <c r="I3587" i="11"/>
  <c r="I3590" i="11"/>
  <c r="I3595" i="11"/>
  <c r="I3702" i="11"/>
  <c r="I3954" i="11"/>
  <c r="I4072" i="11"/>
  <c r="H3872" i="11"/>
  <c r="H3879" i="11"/>
  <c r="H3888" i="11"/>
  <c r="H3895" i="11"/>
  <c r="H3993" i="11"/>
  <c r="H4009" i="11"/>
  <c r="H4123" i="11"/>
  <c r="H4139" i="11"/>
  <c r="H3877" i="11"/>
  <c r="H3886" i="11"/>
  <c r="H3893" i="11"/>
  <c r="H4003" i="11"/>
  <c r="H4019" i="11"/>
  <c r="H4129" i="11"/>
  <c r="H3875" i="11"/>
  <c r="H3884" i="11"/>
  <c r="H3891" i="11"/>
  <c r="H3900" i="11"/>
  <c r="H3997" i="11"/>
  <c r="H4013" i="11"/>
  <c r="H4119" i="11"/>
  <c r="H4135" i="11"/>
  <c r="H4241" i="11"/>
  <c r="H4261" i="11"/>
  <c r="H3873" i="11"/>
  <c r="H3882" i="11"/>
  <c r="H3889" i="11"/>
  <c r="H4007" i="11"/>
  <c r="H4125" i="11"/>
  <c r="H5596" i="11"/>
  <c r="H5601" i="11"/>
  <c r="H5598" i="11"/>
  <c r="H5589" i="11"/>
  <c r="H5587" i="11"/>
  <c r="H5585" i="11"/>
  <c r="H5583" i="11"/>
  <c r="H5581" i="11"/>
  <c r="H5579" i="11"/>
  <c r="H5577" i="11"/>
  <c r="H5591" i="11"/>
  <c r="H5605" i="11"/>
  <c r="H5602" i="11"/>
  <c r="H5597" i="11"/>
  <c r="H5590" i="11"/>
  <c r="H5588" i="11"/>
  <c r="H5586" i="11"/>
  <c r="H5584" i="11"/>
  <c r="H5582" i="11"/>
  <c r="H5580" i="11"/>
  <c r="H5578" i="11"/>
  <c r="H5576" i="11"/>
  <c r="H5592" i="11"/>
  <c r="H5594" i="11"/>
  <c r="H5593" i="11"/>
  <c r="H5599" i="11"/>
  <c r="H5603" i="11"/>
  <c r="H5595" i="11"/>
  <c r="H5600" i="11"/>
  <c r="H5604" i="11"/>
  <c r="H5239" i="11"/>
  <c r="H5232" i="11"/>
  <c r="H5223" i="11"/>
  <c r="H5221" i="11"/>
  <c r="H5234" i="11"/>
  <c r="H5225" i="11"/>
  <c r="H5238" i="11"/>
  <c r="H5229" i="11"/>
  <c r="H5233" i="11"/>
  <c r="H5226" i="11"/>
  <c r="H5235" i="11"/>
  <c r="H5228" i="11"/>
  <c r="H5231" i="11"/>
  <c r="H5217" i="11"/>
  <c r="H5214" i="11"/>
  <c r="H5230" i="11"/>
  <c r="H5222" i="11"/>
  <c r="H5219" i="11"/>
  <c r="H5211" i="11"/>
  <c r="H5216" i="11"/>
  <c r="H5224" i="11"/>
  <c r="H5218" i="11"/>
  <c r="H5210" i="11"/>
  <c r="H5236" i="11"/>
  <c r="H5215" i="11"/>
  <c r="H5227" i="11"/>
  <c r="H4873" i="11"/>
  <c r="H4871" i="11"/>
  <c r="H4869" i="11"/>
  <c r="H4867" i="11"/>
  <c r="H4865" i="11"/>
  <c r="H4863" i="11"/>
  <c r="H4861" i="11"/>
  <c r="H4859" i="11"/>
  <c r="H4857" i="11"/>
  <c r="H4855" i="11"/>
  <c r="H4853" i="11"/>
  <c r="H4851" i="11"/>
  <c r="H4849" i="11"/>
  <c r="H4847" i="11"/>
  <c r="H4845" i="11"/>
  <c r="H5220" i="11"/>
  <c r="H5237" i="11"/>
  <c r="H5213" i="11"/>
  <c r="H4874" i="11"/>
  <c r="H4872" i="11"/>
  <c r="H4870" i="11"/>
  <c r="H4868" i="11"/>
  <c r="H4866" i="11"/>
  <c r="H4864" i="11"/>
  <c r="H4862" i="11"/>
  <c r="H4860" i="11"/>
  <c r="H4858" i="11"/>
  <c r="H4856" i="11"/>
  <c r="H4854" i="11"/>
  <c r="H4852" i="11"/>
  <c r="H4850" i="11"/>
  <c r="H4848" i="11"/>
  <c r="H4846" i="11"/>
  <c r="H5212" i="11"/>
  <c r="H4509" i="11"/>
  <c r="H4507" i="11"/>
  <c r="H4505" i="11"/>
  <c r="H4503" i="11"/>
  <c r="H4501" i="11"/>
  <c r="H4499" i="11"/>
  <c r="H4497" i="11"/>
  <c r="H4495" i="11"/>
  <c r="H4493" i="11"/>
  <c r="H4491" i="11"/>
  <c r="H4489" i="11"/>
  <c r="H4487" i="11"/>
  <c r="H4485" i="11"/>
  <c r="H4500" i="11"/>
  <c r="H4484" i="11"/>
  <c r="H4506" i="11"/>
  <c r="H4490" i="11"/>
  <c r="H4481" i="11"/>
  <c r="H4496" i="11"/>
  <c r="H4502" i="11"/>
  <c r="H4486" i="11"/>
  <c r="H4483" i="11"/>
  <c r="H4508" i="11"/>
  <c r="H4492" i="11"/>
  <c r="H4480" i="11"/>
  <c r="H4498" i="11"/>
  <c r="H4504" i="11"/>
  <c r="H4488" i="11"/>
  <c r="H4482" i="11"/>
  <c r="H4494" i="11"/>
  <c r="H4144" i="11"/>
  <c r="H4142" i="11"/>
  <c r="H4140" i="11"/>
  <c r="H4138" i="11"/>
  <c r="H4136" i="11"/>
  <c r="H4134" i="11"/>
  <c r="H4132" i="11"/>
  <c r="H4130" i="11"/>
  <c r="H4128" i="11"/>
  <c r="H4126" i="11"/>
  <c r="H4124" i="11"/>
  <c r="H4122" i="11"/>
  <c r="H4120" i="11"/>
  <c r="H4118" i="11"/>
  <c r="H4116" i="11"/>
  <c r="H5728" i="11"/>
  <c r="H5726" i="11"/>
  <c r="H5724" i="11"/>
  <c r="H5722" i="11"/>
  <c r="H5720" i="11"/>
  <c r="H5718" i="11"/>
  <c r="H5716" i="11"/>
  <c r="H5714" i="11"/>
  <c r="H5712" i="11"/>
  <c r="H5710" i="11"/>
  <c r="H5708" i="11"/>
  <c r="H5706" i="11"/>
  <c r="H5704" i="11"/>
  <c r="H5702" i="11"/>
  <c r="H5700" i="11"/>
  <c r="H5698" i="11"/>
  <c r="H5727" i="11"/>
  <c r="H5719" i="11"/>
  <c r="H5711" i="11"/>
  <c r="H5703" i="11"/>
  <c r="H5721" i="11"/>
  <c r="H5713" i="11"/>
  <c r="H5705" i="11"/>
  <c r="H5723" i="11"/>
  <c r="H5717" i="11"/>
  <c r="H5699" i="11"/>
  <c r="H5715" i="11"/>
  <c r="H5709" i="11"/>
  <c r="H5725" i="11"/>
  <c r="H5707" i="11"/>
  <c r="H5701" i="11"/>
  <c r="H5362" i="11"/>
  <c r="H5360" i="11"/>
  <c r="H5358" i="11"/>
  <c r="H5356" i="11"/>
  <c r="H5354" i="11"/>
  <c r="H5352" i="11"/>
  <c r="H5350" i="11"/>
  <c r="H5348" i="11"/>
  <c r="H5346" i="11"/>
  <c r="H5344" i="11"/>
  <c r="H5342" i="11"/>
  <c r="H5340" i="11"/>
  <c r="H5338" i="11"/>
  <c r="H5336" i="11"/>
  <c r="H5334" i="11"/>
  <c r="H5332" i="11"/>
  <c r="H5361" i="11"/>
  <c r="H5359" i="11"/>
  <c r="H5357" i="11"/>
  <c r="H5355" i="11"/>
  <c r="H5353" i="11"/>
  <c r="H5351" i="11"/>
  <c r="H5349" i="11"/>
  <c r="H5347" i="11"/>
  <c r="H5345" i="11"/>
  <c r="H5343" i="11"/>
  <c r="H5341" i="11"/>
  <c r="H5339" i="11"/>
  <c r="H5337" i="11"/>
  <c r="H5335" i="11"/>
  <c r="H5333" i="11"/>
  <c r="H4995" i="11"/>
  <c r="H4993" i="11"/>
  <c r="H4991" i="11"/>
  <c r="H4989" i="11"/>
  <c r="H4987" i="11"/>
  <c r="H4985" i="11"/>
  <c r="H4983" i="11"/>
  <c r="H4981" i="11"/>
  <c r="H4979" i="11"/>
  <c r="H4977" i="11"/>
  <c r="H4975" i="11"/>
  <c r="H4973" i="11"/>
  <c r="H4971" i="11"/>
  <c r="H4969" i="11"/>
  <c r="H4967" i="11"/>
  <c r="H4997" i="11"/>
  <c r="H4996" i="11"/>
  <c r="H4994" i="11"/>
  <c r="H4992" i="11"/>
  <c r="H4990" i="11"/>
  <c r="H4988" i="11"/>
  <c r="H4986" i="11"/>
  <c r="H4984" i="11"/>
  <c r="H4982" i="11"/>
  <c r="H4980" i="11"/>
  <c r="H4978" i="11"/>
  <c r="H4976" i="11"/>
  <c r="H4974" i="11"/>
  <c r="H4972" i="11"/>
  <c r="H4970" i="11"/>
  <c r="H4968" i="11"/>
  <c r="H4631" i="11"/>
  <c r="H4629" i="11"/>
  <c r="H4627" i="11"/>
  <c r="H4625" i="11"/>
  <c r="H4623" i="11"/>
  <c r="H4621" i="11"/>
  <c r="H4619" i="11"/>
  <c r="H4617" i="11"/>
  <c r="H4615" i="11"/>
  <c r="H4613" i="11"/>
  <c r="H4611" i="11"/>
  <c r="H4609" i="11"/>
  <c r="H4607" i="11"/>
  <c r="H4605" i="11"/>
  <c r="H4603" i="11"/>
  <c r="H4622" i="11"/>
  <c r="H4606" i="11"/>
  <c r="H4632" i="11"/>
  <c r="H4616" i="11"/>
  <c r="H4626" i="11"/>
  <c r="H4610" i="11"/>
  <c r="H4620" i="11"/>
  <c r="H4604" i="11"/>
  <c r="H4630" i="11"/>
  <c r="H4614" i="11"/>
  <c r="H4624" i="11"/>
  <c r="H4608" i="11"/>
  <c r="H4618" i="11"/>
  <c r="H4602" i="11"/>
  <c r="H4267" i="11"/>
  <c r="H4264" i="11"/>
  <c r="H4246" i="11"/>
  <c r="H4238" i="11"/>
  <c r="H4257" i="11"/>
  <c r="H4254" i="11"/>
  <c r="H4251" i="11"/>
  <c r="H4243" i="11"/>
  <c r="H4628" i="11"/>
  <c r="H4263" i="11"/>
  <c r="H4260" i="11"/>
  <c r="H4248" i="11"/>
  <c r="H4240" i="11"/>
  <c r="H4612" i="11"/>
  <c r="H4266" i="11"/>
  <c r="H4253" i="11"/>
  <c r="H4245" i="11"/>
  <c r="H4237" i="11"/>
  <c r="H4259" i="11"/>
  <c r="H4256" i="11"/>
  <c r="H4250" i="11"/>
  <c r="H4242" i="11"/>
  <c r="H4265" i="11"/>
  <c r="H4262" i="11"/>
  <c r="H4247" i="11"/>
  <c r="H4239" i="11"/>
  <c r="H4255" i="11"/>
  <c r="H4252" i="11"/>
  <c r="H4244" i="11"/>
  <c r="H5850" i="11"/>
  <c r="H5848" i="11"/>
  <c r="H5846" i="11"/>
  <c r="H5844" i="11"/>
  <c r="H5842" i="11"/>
  <c r="H5840" i="11"/>
  <c r="H5838" i="11"/>
  <c r="H5836" i="11"/>
  <c r="H5834" i="11"/>
  <c r="H5832" i="11"/>
  <c r="H5830" i="11"/>
  <c r="H5828" i="11"/>
  <c r="H5826" i="11"/>
  <c r="H5824" i="11"/>
  <c r="H5822" i="11"/>
  <c r="H5820" i="11"/>
  <c r="H5849" i="11"/>
  <c r="H5845" i="11"/>
  <c r="H5841" i="11"/>
  <c r="H5837" i="11"/>
  <c r="H5833" i="11"/>
  <c r="H5829" i="11"/>
  <c r="H5825" i="11"/>
  <c r="H5821" i="11"/>
  <c r="H5843" i="11"/>
  <c r="H5823" i="11"/>
  <c r="H5835" i="11"/>
  <c r="H5839" i="11"/>
  <c r="H5827" i="11"/>
  <c r="H5847" i="11"/>
  <c r="H5482" i="11"/>
  <c r="H5478" i="11"/>
  <c r="H5474" i="11"/>
  <c r="H5470" i="11"/>
  <c r="H5466" i="11"/>
  <c r="H5462" i="11"/>
  <c r="H5458" i="11"/>
  <c r="H5454" i="11"/>
  <c r="H5831" i="11"/>
  <c r="H5481" i="11"/>
  <c r="H5477" i="11"/>
  <c r="H5473" i="11"/>
  <c r="H5469" i="11"/>
  <c r="H5465" i="11"/>
  <c r="H5461" i="11"/>
  <c r="H5457" i="11"/>
  <c r="H5484" i="11"/>
  <c r="H5480" i="11"/>
  <c r="H5476" i="11"/>
  <c r="H5472" i="11"/>
  <c r="H5468" i="11"/>
  <c r="H5464" i="11"/>
  <c r="H5460" i="11"/>
  <c r="H5456" i="11"/>
  <c r="H5459" i="11"/>
  <c r="H5471" i="11"/>
  <c r="H5483" i="11"/>
  <c r="H5463" i="11"/>
  <c r="H5475" i="11"/>
  <c r="H5455" i="11"/>
  <c r="H5467" i="11"/>
  <c r="H5118" i="11"/>
  <c r="H5109" i="11"/>
  <c r="H5111" i="11"/>
  <c r="H5113" i="11"/>
  <c r="H5106" i="11"/>
  <c r="H5104" i="11"/>
  <c r="H5102" i="11"/>
  <c r="H5100" i="11"/>
  <c r="H5098" i="11"/>
  <c r="H5096" i="11"/>
  <c r="H5094" i="11"/>
  <c r="H5092" i="11"/>
  <c r="H5090" i="11"/>
  <c r="H5119" i="11"/>
  <c r="H5112" i="11"/>
  <c r="H5114" i="11"/>
  <c r="H5105" i="11"/>
  <c r="H5103" i="11"/>
  <c r="H5101" i="11"/>
  <c r="H5099" i="11"/>
  <c r="H5097" i="11"/>
  <c r="H5095" i="11"/>
  <c r="H5093" i="11"/>
  <c r="H5091" i="11"/>
  <c r="H5089" i="11"/>
  <c r="H5107" i="11"/>
  <c r="H5115" i="11"/>
  <c r="H5110" i="11"/>
  <c r="H5479" i="11"/>
  <c r="H5117" i="11"/>
  <c r="H5108" i="11"/>
  <c r="H4747" i="11"/>
  <c r="H4739" i="11"/>
  <c r="H4731" i="11"/>
  <c r="H4752" i="11"/>
  <c r="H4744" i="11"/>
  <c r="H4736" i="11"/>
  <c r="H4728" i="11"/>
  <c r="H4749" i="11"/>
  <c r="H4741" i="11"/>
  <c r="H4733" i="11"/>
  <c r="H4725" i="11"/>
  <c r="H4754" i="11"/>
  <c r="H4746" i="11"/>
  <c r="H4738" i="11"/>
  <c r="H4730" i="11"/>
  <c r="H4751" i="11"/>
  <c r="H4743" i="11"/>
  <c r="H4735" i="11"/>
  <c r="H4727" i="11"/>
  <c r="H4748" i="11"/>
  <c r="H4740" i="11"/>
  <c r="H4732" i="11"/>
  <c r="H4724" i="11"/>
  <c r="H5116" i="11"/>
  <c r="H4753" i="11"/>
  <c r="H4745" i="11"/>
  <c r="H4737" i="11"/>
  <c r="H4729" i="11"/>
  <c r="H4734" i="11"/>
  <c r="H4726" i="11"/>
  <c r="H4389" i="11"/>
  <c r="H4387" i="11"/>
  <c r="H4385" i="11"/>
  <c r="H4383" i="11"/>
  <c r="H4381" i="11"/>
  <c r="H4379" i="11"/>
  <c r="H4377" i="11"/>
  <c r="H4375" i="11"/>
  <c r="H4373" i="11"/>
  <c r="H4371" i="11"/>
  <c r="H4369" i="11"/>
  <c r="H4367" i="11"/>
  <c r="H4365" i="11"/>
  <c r="H4363" i="11"/>
  <c r="H4361" i="11"/>
  <c r="H4359" i="11"/>
  <c r="H4750" i="11"/>
  <c r="H4742" i="11"/>
  <c r="H4388" i="11"/>
  <c r="H4386" i="11"/>
  <c r="H4384" i="11"/>
  <c r="H4382" i="11"/>
  <c r="H4380" i="11"/>
  <c r="H4378" i="11"/>
  <c r="H4376" i="11"/>
  <c r="H4374" i="11"/>
  <c r="H4372" i="11"/>
  <c r="H4370" i="11"/>
  <c r="H4368" i="11"/>
  <c r="H4366" i="11"/>
  <c r="H4364" i="11"/>
  <c r="H4362" i="11"/>
  <c r="H4022" i="11"/>
  <c r="H4020" i="11"/>
  <c r="H4018" i="11"/>
  <c r="H4016" i="11"/>
  <c r="H4014" i="11"/>
  <c r="H4012" i="11"/>
  <c r="H4010" i="11"/>
  <c r="H4008" i="11"/>
  <c r="H4006" i="11"/>
  <c r="H4004" i="11"/>
  <c r="H4002" i="11"/>
  <c r="H4000" i="11"/>
  <c r="H3998" i="11"/>
  <c r="H3996" i="11"/>
  <c r="H3994" i="11"/>
  <c r="H4360" i="11"/>
  <c r="H3871" i="11"/>
  <c r="H3880" i="11"/>
  <c r="H3887" i="11"/>
  <c r="H3896" i="11"/>
  <c r="H4001" i="11"/>
  <c r="H4017" i="11"/>
  <c r="H4115" i="11"/>
  <c r="H4131" i="11"/>
  <c r="H4249" i="11"/>
  <c r="H3628" i="11"/>
  <c r="H3630" i="11"/>
  <c r="H3632" i="11"/>
  <c r="H3634" i="11"/>
  <c r="H3636" i="11"/>
  <c r="H3638" i="11"/>
  <c r="H3640" i="11"/>
  <c r="H3642" i="11"/>
  <c r="H3644" i="11"/>
  <c r="H3646" i="11"/>
  <c r="H3648" i="11"/>
  <c r="H3650" i="11"/>
  <c r="H3652" i="11"/>
  <c r="H3654" i="11"/>
  <c r="H3656" i="11"/>
  <c r="H3658" i="11"/>
  <c r="H3750" i="11"/>
  <c r="H3752" i="11"/>
  <c r="H3754" i="11"/>
  <c r="H3756" i="11"/>
  <c r="H3758" i="11"/>
  <c r="H3760" i="11"/>
  <c r="H3762" i="11"/>
  <c r="H3764" i="11"/>
  <c r="H3766" i="11"/>
  <c r="H3768" i="11"/>
  <c r="H3770" i="11"/>
  <c r="H3772" i="11"/>
  <c r="H3774" i="11"/>
  <c r="H3776" i="11"/>
  <c r="H3778" i="11"/>
  <c r="H3878" i="11"/>
  <c r="H3885" i="11"/>
  <c r="H3894" i="11"/>
  <c r="H3901" i="11"/>
  <c r="H3995" i="11"/>
  <c r="H4011" i="11"/>
  <c r="H4121" i="11"/>
  <c r="H4137" i="11"/>
  <c r="H3876" i="11"/>
  <c r="H3883" i="11"/>
  <c r="H3892" i="11"/>
  <c r="H3899" i="11"/>
  <c r="H4005" i="11"/>
  <c r="H4021" i="11"/>
  <c r="H4127" i="11"/>
  <c r="H4143" i="11"/>
  <c r="H4258" i="11"/>
  <c r="I4455" i="11"/>
  <c r="I4463" i="11"/>
  <c r="I4471" i="11"/>
  <c r="I4479" i="11"/>
  <c r="I4453" i="11"/>
  <c r="I4458" i="11"/>
  <c r="I4466" i="11"/>
  <c r="I4474" i="11"/>
  <c r="I4451" i="11"/>
  <c r="I4461" i="11"/>
  <c r="I4469" i="11"/>
  <c r="I5575" i="11"/>
  <c r="I5573" i="11"/>
  <c r="I5571" i="11"/>
  <c r="I5569" i="11"/>
  <c r="I5567" i="11"/>
  <c r="I5565" i="11"/>
  <c r="I5563" i="11"/>
  <c r="I5561" i="11"/>
  <c r="I5559" i="11"/>
  <c r="I5557" i="11"/>
  <c r="I5555" i="11"/>
  <c r="I5553" i="11"/>
  <c r="I5551" i="11"/>
  <c r="I5549" i="11"/>
  <c r="I5547" i="11"/>
  <c r="I5545" i="11"/>
  <c r="I5570" i="11"/>
  <c r="I5554" i="11"/>
  <c r="I5560" i="11"/>
  <c r="I5566" i="11"/>
  <c r="I5550" i="11"/>
  <c r="I5568" i="11"/>
  <c r="I5552" i="11"/>
  <c r="I5574" i="11"/>
  <c r="I5558" i="11"/>
  <c r="I5562" i="11"/>
  <c r="I5556" i="11"/>
  <c r="I5546" i="11"/>
  <c r="I5564" i="11"/>
  <c r="I5548" i="11"/>
  <c r="I5572" i="11"/>
  <c r="I5208" i="11"/>
  <c r="I5206" i="11"/>
  <c r="I5204" i="11"/>
  <c r="I5202" i="11"/>
  <c r="I5200" i="11"/>
  <c r="I5198" i="11"/>
  <c r="I5196" i="11"/>
  <c r="I5194" i="11"/>
  <c r="I5192" i="11"/>
  <c r="I5190" i="11"/>
  <c r="I5188" i="11"/>
  <c r="I5186" i="11"/>
  <c r="I5184" i="11"/>
  <c r="I5182" i="11"/>
  <c r="I5180" i="11"/>
  <c r="I5203" i="11"/>
  <c r="I5195" i="11"/>
  <c r="I5187" i="11"/>
  <c r="I5179" i="11"/>
  <c r="I5205" i="11"/>
  <c r="I5197" i="11"/>
  <c r="I5207" i="11"/>
  <c r="I5199" i="11"/>
  <c r="I5191" i="11"/>
  <c r="I5183" i="11"/>
  <c r="I5189" i="11"/>
  <c r="I5185" i="11"/>
  <c r="I5209" i="11"/>
  <c r="I5193" i="11"/>
  <c r="I4844" i="11"/>
  <c r="I4842" i="11"/>
  <c r="I4840" i="11"/>
  <c r="I4838" i="11"/>
  <c r="I4836" i="11"/>
  <c r="I4834" i="11"/>
  <c r="I4832" i="11"/>
  <c r="I4830" i="11"/>
  <c r="I4828" i="11"/>
  <c r="I4826" i="11"/>
  <c r="I4824" i="11"/>
  <c r="I4822" i="11"/>
  <c r="I4820" i="11"/>
  <c r="I4818" i="11"/>
  <c r="I4816" i="11"/>
  <c r="I4814" i="11"/>
  <c r="I5181" i="11"/>
  <c r="I4843" i="11"/>
  <c r="I4833" i="11"/>
  <c r="I4829" i="11"/>
  <c r="I4825" i="11"/>
  <c r="I4821" i="11"/>
  <c r="I4817" i="11"/>
  <c r="I5201" i="11"/>
  <c r="I4837" i="11"/>
  <c r="I4841" i="11"/>
  <c r="I4835" i="11"/>
  <c r="I4831" i="11"/>
  <c r="I4827" i="11"/>
  <c r="I4823" i="11"/>
  <c r="I4819" i="11"/>
  <c r="I4815" i="11"/>
  <c r="I4839" i="11"/>
  <c r="I5687" i="11"/>
  <c r="I5697" i="11"/>
  <c r="I5692" i="11"/>
  <c r="I5689" i="11"/>
  <c r="I5680" i="11"/>
  <c r="I5678" i="11"/>
  <c r="I5676" i="11"/>
  <c r="I5674" i="11"/>
  <c r="I5672" i="11"/>
  <c r="I5670" i="11"/>
  <c r="I5668" i="11"/>
  <c r="I5682" i="11"/>
  <c r="I5696" i="11"/>
  <c r="I5693" i="11"/>
  <c r="I5688" i="11"/>
  <c r="I5681" i="11"/>
  <c r="I5679" i="11"/>
  <c r="I5677" i="11"/>
  <c r="I5675" i="11"/>
  <c r="I5673" i="11"/>
  <c r="I5671" i="11"/>
  <c r="I5669" i="11"/>
  <c r="I5667" i="11"/>
  <c r="I5694" i="11"/>
  <c r="I5683" i="11"/>
  <c r="I5690" i="11"/>
  <c r="I5686" i="11"/>
  <c r="I5691" i="11"/>
  <c r="I5684" i="11"/>
  <c r="I5695" i="11"/>
  <c r="I5330" i="11"/>
  <c r="I5328" i="11"/>
  <c r="I5326" i="11"/>
  <c r="I5324" i="11"/>
  <c r="I5322" i="11"/>
  <c r="I5320" i="11"/>
  <c r="I5318" i="11"/>
  <c r="I5316" i="11"/>
  <c r="I5314" i="11"/>
  <c r="I5312" i="11"/>
  <c r="I5310" i="11"/>
  <c r="I5308" i="11"/>
  <c r="I5306" i="11"/>
  <c r="I5304" i="11"/>
  <c r="I5302" i="11"/>
  <c r="I5685" i="11"/>
  <c r="I5329" i="11"/>
  <c r="I5325" i="11"/>
  <c r="I5321" i="11"/>
  <c r="I5317" i="11"/>
  <c r="I5313" i="11"/>
  <c r="I5309" i="11"/>
  <c r="I5305" i="11"/>
  <c r="I5301" i="11"/>
  <c r="I5331" i="11"/>
  <c r="I5327" i="11"/>
  <c r="I5323" i="11"/>
  <c r="I5319" i="11"/>
  <c r="I5315" i="11"/>
  <c r="I5311" i="11"/>
  <c r="I5307" i="11"/>
  <c r="I5303" i="11"/>
  <c r="I4966" i="11"/>
  <c r="I4964" i="11"/>
  <c r="I4962" i="11"/>
  <c r="I4960" i="11"/>
  <c r="I4958" i="11"/>
  <c r="I4956" i="11"/>
  <c r="I4954" i="11"/>
  <c r="I4952" i="11"/>
  <c r="I4950" i="11"/>
  <c r="I4948" i="11"/>
  <c r="I4946" i="11"/>
  <c r="I4944" i="11"/>
  <c r="I4942" i="11"/>
  <c r="I4940" i="11"/>
  <c r="I4938" i="11"/>
  <c r="I4936" i="11"/>
  <c r="I4961" i="11"/>
  <c r="I4945" i="11"/>
  <c r="I4955" i="11"/>
  <c r="I4939" i="11"/>
  <c r="I4965" i="11"/>
  <c r="I4949" i="11"/>
  <c r="I4601" i="11"/>
  <c r="I4599" i="11"/>
  <c r="I4597" i="11"/>
  <c r="I4595" i="11"/>
  <c r="I4593" i="11"/>
  <c r="I4591" i="11"/>
  <c r="I4589" i="11"/>
  <c r="I4587" i="11"/>
  <c r="I4585" i="11"/>
  <c r="I4583" i="11"/>
  <c r="I4581" i="11"/>
  <c r="I4579" i="11"/>
  <c r="I4577" i="11"/>
  <c r="I4575" i="11"/>
  <c r="I4573" i="11"/>
  <c r="I4571" i="11"/>
  <c r="I4959" i="11"/>
  <c r="I4943" i="11"/>
  <c r="I4953" i="11"/>
  <c r="I4937" i="11"/>
  <c r="I4963" i="11"/>
  <c r="I4947" i="11"/>
  <c r="I4957" i="11"/>
  <c r="I4941" i="11"/>
  <c r="I4600" i="11"/>
  <c r="I4598" i="11"/>
  <c r="I4596" i="11"/>
  <c r="I4594" i="11"/>
  <c r="I4592" i="11"/>
  <c r="I4590" i="11"/>
  <c r="I4588" i="11"/>
  <c r="I4586" i="11"/>
  <c r="I4584" i="11"/>
  <c r="I4582" i="11"/>
  <c r="I4580" i="11"/>
  <c r="I4578" i="11"/>
  <c r="I4576" i="11"/>
  <c r="I4574" i="11"/>
  <c r="I4572" i="11"/>
  <c r="I4951" i="11"/>
  <c r="I5818" i="11"/>
  <c r="I5816" i="11"/>
  <c r="I5814" i="11"/>
  <c r="I5812" i="11"/>
  <c r="I5810" i="11"/>
  <c r="I5808" i="11"/>
  <c r="I5806" i="11"/>
  <c r="I5804" i="11"/>
  <c r="I5802" i="11"/>
  <c r="I5800" i="11"/>
  <c r="I5798" i="11"/>
  <c r="I5796" i="11"/>
  <c r="I5794" i="11"/>
  <c r="I5792" i="11"/>
  <c r="I5790" i="11"/>
  <c r="I5819" i="11"/>
  <c r="I5817" i="11"/>
  <c r="I5815" i="11"/>
  <c r="I5813" i="11"/>
  <c r="I5811" i="11"/>
  <c r="I5809" i="11"/>
  <c r="I5807" i="11"/>
  <c r="I5805" i="11"/>
  <c r="I5803" i="11"/>
  <c r="I5801" i="11"/>
  <c r="I5799" i="11"/>
  <c r="I5797" i="11"/>
  <c r="I5795" i="11"/>
  <c r="I5793" i="11"/>
  <c r="I5791" i="11"/>
  <c r="I5453" i="11"/>
  <c r="I5451" i="11"/>
  <c r="I5449" i="11"/>
  <c r="I5447" i="11"/>
  <c r="I5445" i="11"/>
  <c r="I5443" i="11"/>
  <c r="I5441" i="11"/>
  <c r="I5439" i="11"/>
  <c r="I5437" i="11"/>
  <c r="I5435" i="11"/>
  <c r="I5433" i="11"/>
  <c r="I5431" i="11"/>
  <c r="I5429" i="11"/>
  <c r="I5452" i="11"/>
  <c r="I5450" i="11"/>
  <c r="I5448" i="11"/>
  <c r="I5446" i="11"/>
  <c r="I5444" i="11"/>
  <c r="I5442" i="11"/>
  <c r="I5440" i="11"/>
  <c r="I5438" i="11"/>
  <c r="I5436" i="11"/>
  <c r="I5428" i="11"/>
  <c r="I5434" i="11"/>
  <c r="I5425" i="11"/>
  <c r="I5430" i="11"/>
  <c r="I5427" i="11"/>
  <c r="I5424" i="11"/>
  <c r="I5432" i="11"/>
  <c r="I5426" i="11"/>
  <c r="I5088" i="11"/>
  <c r="I5086" i="11"/>
  <c r="I5084" i="11"/>
  <c r="I5082" i="11"/>
  <c r="I5080" i="11"/>
  <c r="I5078" i="11"/>
  <c r="I5076" i="11"/>
  <c r="I5074" i="11"/>
  <c r="I5072" i="11"/>
  <c r="I5070" i="11"/>
  <c r="I5068" i="11"/>
  <c r="I5066" i="11"/>
  <c r="I5064" i="11"/>
  <c r="I5062" i="11"/>
  <c r="I5060" i="11"/>
  <c r="I5087" i="11"/>
  <c r="I5085" i="11"/>
  <c r="I5083" i="11"/>
  <c r="I5081" i="11"/>
  <c r="I5079" i="11"/>
  <c r="I5077" i="11"/>
  <c r="I5075" i="11"/>
  <c r="I5073" i="11"/>
  <c r="I5071" i="11"/>
  <c r="I5069" i="11"/>
  <c r="I5067" i="11"/>
  <c r="I5065" i="11"/>
  <c r="I5063" i="11"/>
  <c r="I5061" i="11"/>
  <c r="I5059" i="11"/>
  <c r="I4720" i="11"/>
  <c r="I4712" i="11"/>
  <c r="I4704" i="11"/>
  <c r="I4717" i="11"/>
  <c r="I4709" i="11"/>
  <c r="I4722" i="11"/>
  <c r="I4714" i="11"/>
  <c r="I4706" i="11"/>
  <c r="I4701" i="11"/>
  <c r="I4699" i="11"/>
  <c r="I4697" i="11"/>
  <c r="I4695" i="11"/>
  <c r="I4719" i="11"/>
  <c r="I4711" i="11"/>
  <c r="I4703" i="11"/>
  <c r="I4716" i="11"/>
  <c r="I4708" i="11"/>
  <c r="I4721" i="11"/>
  <c r="I4713" i="11"/>
  <c r="I4705" i="11"/>
  <c r="I4718" i="11"/>
  <c r="I4710" i="11"/>
  <c r="I4702" i="11"/>
  <c r="I4700" i="11"/>
  <c r="I4698" i="11"/>
  <c r="I4696" i="11"/>
  <c r="I4694" i="11"/>
  <c r="I4449" i="11"/>
  <c r="I4456" i="11"/>
  <c r="I4464" i="11"/>
  <c r="I4472" i="11"/>
  <c r="I4459" i="11"/>
  <c r="I4467" i="11"/>
  <c r="I4475" i="11"/>
  <c r="I4707" i="11"/>
  <c r="I4329" i="11"/>
  <c r="I4331" i="11"/>
  <c r="I4333" i="11"/>
  <c r="I4335" i="11"/>
  <c r="I4337" i="11"/>
  <c r="I4339" i="11"/>
  <c r="I4341" i="11"/>
  <c r="I4343" i="11"/>
  <c r="I4345" i="11"/>
  <c r="I4347" i="11"/>
  <c r="I4349" i="11"/>
  <c r="I4351" i="11"/>
  <c r="I4353" i="11"/>
  <c r="I4355" i="11"/>
  <c r="I4357" i="11"/>
  <c r="I4454" i="11"/>
  <c r="I4462" i="11"/>
  <c r="I4470" i="11"/>
  <c r="I4478" i="11"/>
  <c r="I4452" i="11"/>
  <c r="I4457" i="11"/>
  <c r="I4465" i="11"/>
  <c r="I4473" i="11"/>
  <c r="I4715" i="11"/>
  <c r="B24" i="9" l="1"/>
  <c r="AC33" i="2"/>
  <c r="AC18" i="2"/>
  <c r="AC10" i="2"/>
  <c r="AC17" i="2"/>
  <c r="AC34" i="2"/>
  <c r="AC29" i="2"/>
  <c r="AC16" i="2"/>
  <c r="AC32" i="2"/>
  <c r="AC15" i="2"/>
  <c r="AC7" i="2"/>
  <c r="AC35" i="2"/>
  <c r="AC26" i="2"/>
  <c r="AC24" i="2"/>
  <c r="AC30" i="2"/>
  <c r="AC25" i="2"/>
  <c r="AC21" i="2"/>
  <c r="AC13" i="2"/>
  <c r="AC27" i="2"/>
  <c r="AC20" i="2"/>
  <c r="AC36" i="2"/>
  <c r="AC31" i="2"/>
  <c r="AC23" i="2"/>
  <c r="AC8" i="2"/>
  <c r="AC14" i="2"/>
  <c r="AC22" i="2"/>
  <c r="AC28" i="2"/>
  <c r="AC11" i="2"/>
  <c r="AC9" i="2"/>
  <c r="AC12" i="2"/>
  <c r="H10" i="1"/>
  <c r="AC19" i="2"/>
  <c r="AA34" i="2"/>
  <c r="AB34" i="2" s="1"/>
  <c r="AA28" i="2"/>
  <c r="AB28" i="2" s="1"/>
  <c r="AA23" i="2"/>
  <c r="AB23" i="2" s="1"/>
  <c r="AA27" i="2"/>
  <c r="AB27" i="2" s="1"/>
  <c r="AA20" i="2"/>
  <c r="AB20" i="2" s="1"/>
  <c r="AA12" i="2"/>
  <c r="AB12" i="2" s="1"/>
  <c r="AA36" i="2"/>
  <c r="AB36" i="2" s="1"/>
  <c r="AA31" i="2"/>
  <c r="AB31" i="2" s="1"/>
  <c r="AA19" i="2"/>
  <c r="AB19" i="2" s="1"/>
  <c r="AA11" i="2"/>
  <c r="AB11" i="2" s="1"/>
  <c r="AA18" i="2"/>
  <c r="AB18" i="2" s="1"/>
  <c r="AA17" i="2"/>
  <c r="AB17" i="2" s="1"/>
  <c r="AA9" i="2"/>
  <c r="AB9" i="2" s="1"/>
  <c r="H7" i="1"/>
  <c r="H8" i="1" s="1"/>
  <c r="AA29" i="2"/>
  <c r="AB29" i="2" s="1"/>
  <c r="AA32" i="2"/>
  <c r="AB32" i="2" s="1"/>
  <c r="AA15" i="2"/>
  <c r="AB15" i="2" s="1"/>
  <c r="AA7" i="2"/>
  <c r="AB7" i="2" s="1"/>
  <c r="AA35" i="2"/>
  <c r="AB35" i="2" s="1"/>
  <c r="AA26" i="2"/>
  <c r="AB26" i="2" s="1"/>
  <c r="AA24" i="2"/>
  <c r="AB24" i="2" s="1"/>
  <c r="AA22" i="2"/>
  <c r="AB22" i="2" s="1"/>
  <c r="AA14" i="2"/>
  <c r="AB14" i="2" s="1"/>
  <c r="AA33" i="2"/>
  <c r="AB33" i="2" s="1"/>
  <c r="AA30" i="2"/>
  <c r="AB30" i="2" s="1"/>
  <c r="AA16" i="2"/>
  <c r="AB16" i="2" s="1"/>
  <c r="H9" i="1"/>
  <c r="AA21" i="2"/>
  <c r="AB21" i="2" s="1"/>
  <c r="AA10" i="2"/>
  <c r="AB10" i="2" s="1"/>
  <c r="AA8" i="2"/>
  <c r="AB8" i="2" s="1"/>
  <c r="AA13" i="2"/>
  <c r="AB13" i="2" s="1"/>
  <c r="AA25" i="2"/>
  <c r="AB25" i="2" s="1"/>
  <c r="AE15" i="2" l="1"/>
  <c r="AD15" i="2"/>
  <c r="AE19" i="2"/>
  <c r="AD19" i="2"/>
  <c r="AD34" i="2"/>
  <c r="AE34" i="2"/>
  <c r="AE30" i="2"/>
  <c r="AD30" i="2"/>
  <c r="AE25" i="2"/>
  <c r="AD25" i="2"/>
  <c r="AD33" i="2"/>
  <c r="AE33" i="2"/>
  <c r="AE32" i="2"/>
  <c r="AD32" i="2"/>
  <c r="AE31" i="2"/>
  <c r="AD31" i="2"/>
  <c r="AE13" i="2"/>
  <c r="AD13" i="2"/>
  <c r="AD14" i="2"/>
  <c r="AE14" i="2"/>
  <c r="AE29" i="2"/>
  <c r="AD29" i="2"/>
  <c r="AE36" i="2"/>
  <c r="AD36" i="2"/>
  <c r="AD12" i="2"/>
  <c r="AE12" i="2"/>
  <c r="H13" i="1"/>
  <c r="H28" i="1"/>
  <c r="H14" i="1"/>
  <c r="AE10" i="2"/>
  <c r="AD10" i="2"/>
  <c r="AE24" i="2"/>
  <c r="AD24" i="2"/>
  <c r="AD9" i="2"/>
  <c r="AE9" i="2"/>
  <c r="AD20" i="2"/>
  <c r="AE20" i="2"/>
  <c r="AD8" i="2"/>
  <c r="AE8" i="2"/>
  <c r="AE21" i="2"/>
  <c r="AD21" i="2"/>
  <c r="AE26" i="2"/>
  <c r="AD26" i="2"/>
  <c r="AD17" i="2"/>
  <c r="AE17" i="2"/>
  <c r="AE27" i="2"/>
  <c r="AD27" i="2"/>
  <c r="AE22" i="2"/>
  <c r="AD22" i="2"/>
  <c r="AD35" i="2"/>
  <c r="AE35" i="2"/>
  <c r="AE18" i="2"/>
  <c r="AD18" i="2"/>
  <c r="AE23" i="2"/>
  <c r="AD23" i="2"/>
  <c r="AE16" i="2"/>
  <c r="AD16" i="2"/>
  <c r="AE7" i="2"/>
  <c r="AD7" i="2"/>
  <c r="AE11" i="2"/>
  <c r="AD11" i="2"/>
  <c r="AE28" i="2"/>
  <c r="AD28" i="2"/>
  <c r="H16" i="1" l="1"/>
  <c r="H20" i="1" l="1"/>
  <c r="H17" i="1"/>
  <c r="H18" i="1" l="1"/>
  <c r="H22" i="1" l="1"/>
  <c r="H23" i="1" s="1"/>
  <c r="H21" i="1"/>
  <c r="H25" i="1" s="1"/>
  <c r="H26" i="1" l="1"/>
  <c r="A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tc={B0019669-C265-F961-29F0-898EF7C713C2}</author>
    <author>tc={1B840C88-F518-2A69-ECDD-F5447F396314}</author>
    <author>tc={BA6AD55B-1D87-8692-992D-F12B3D6BDECF}</author>
  </authors>
  <commentList>
    <comment ref="B7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Standard work pattern only. Public holidays, shutdowns and unusual rosters must be handled through the working-days override or the contract programme.</t>
        </r>
      </text>
    </comment>
    <comment ref="B15" authorId="1" shapeId="0" xr:uid="{00000000-0006-0000-00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Use a sourced probability that matches the task wind threshold. The Auckland default is only a legacy &gt;63 km/h gust-day proxy.</t>
        </r>
      </text>
    </comment>
    <comment ref="B16" authorId="2" shapeId="0" xr:uid="{00000000-0006-0000-0000-000003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Keep at 1.00 unless local exposure differs materially from the selected station. Record the evidence or professional basis in the next cell.</t>
        </r>
      </text>
    </comment>
  </commentList>
</comments>
</file>

<file path=xl/sharedStrings.xml><?xml version="1.0" encoding="utf-8"?>
<sst xmlns="http://schemas.openxmlformats.org/spreadsheetml/2006/main" count="8521" uniqueCount="509">
  <si>
    <t>Weather Risk Estimator - Evidence-Based Allowance</t>
  </si>
  <si>
    <t>Project and Cost Inputs</t>
  </si>
  <si>
    <t>Task Factors</t>
  </si>
  <si>
    <t>Weather and Cost Outputs</t>
  </si>
  <si>
    <t>Nearest NIWA location</t>
  </si>
  <si>
    <t>Auckland</t>
  </si>
  <si>
    <t>Default rain exposure</t>
  </si>
  <si>
    <t>Date-engine coverage</t>
  </si>
  <si>
    <t>01/01/2025 to 31/12/2040</t>
  </si>
  <si>
    <t>Start date</t>
  </si>
  <si>
    <t>Override rain exposure</t>
  </si>
  <si>
    <t>Standard workdays</t>
  </si>
  <si>
    <t>End date</t>
  </si>
  <si>
    <t>Effective rain exposure</t>
  </si>
  <si>
    <t>Effective workdays</t>
  </si>
  <si>
    <t>Working days per week</t>
  </si>
  <si>
    <t>Average NIWA wet-day probability</t>
  </si>
  <si>
    <t>Working days override (optional)</t>
  </si>
  <si>
    <t>Default rain productivity loss</t>
  </si>
  <si>
    <t>Local-adjusted wet-day probability</t>
  </si>
  <si>
    <t>Representative task</t>
  </si>
  <si>
    <t>Override rain productivity loss</t>
  </si>
  <si>
    <t>Mean rain per wet day (context only)</t>
  </si>
  <si>
    <t>Weather-exposed labour cost $</t>
  </si>
  <si>
    <t>Effective rain productivity loss</t>
  </si>
  <si>
    <t>Effective wind-event probability</t>
  </si>
  <si>
    <t>Weather-exposed plant cost $</t>
  </si>
  <si>
    <t>Wind evidence status</t>
  </si>
  <si>
    <t>Daily time-related preliminaries $</t>
  </si>
  <si>
    <t>Default wet-ground carryover eq. days</t>
  </si>
  <si>
    <t>Weekly hire / facilities $</t>
  </si>
  <si>
    <t>Override carryover eq. days</t>
  </si>
  <si>
    <t>On-day rain impact %</t>
  </si>
  <si>
    <t>Project-specific recovery allowance $</t>
  </si>
  <si>
    <t>Effective carryover eq. days</t>
  </si>
  <si>
    <t>Wet-ground carryover impact %</t>
  </si>
  <si>
    <t>Wind probability override (optional)</t>
  </si>
  <si>
    <t>Wind impact %</t>
  </si>
  <si>
    <t>Local wet-day factor</t>
  </si>
  <si>
    <t>Default wind sensitivity</t>
  </si>
  <si>
    <t>Combined direct impact %</t>
  </si>
  <si>
    <t>Local factor basis / reference</t>
  </si>
  <si>
    <t>Override wind sensitivity</t>
  </si>
  <si>
    <t>Expected equivalent lost working days</t>
  </si>
  <si>
    <t>Task is on critical path?</t>
  </si>
  <si>
    <t>Yes</t>
  </si>
  <si>
    <t>Effective wind sensitivity</t>
  </si>
  <si>
    <t>Suggested critical-path delay working days</t>
  </si>
  <si>
    <t>Default wind productivity loss</t>
  </si>
  <si>
    <t>Direct productivity allowance $</t>
  </si>
  <si>
    <t>Month</t>
  </si>
  <si>
    <t>Wet-Day Probability</t>
  </si>
  <si>
    <t>Rain per Wet Day (mm)</t>
  </si>
  <si>
    <t>Override wind productivity loss</t>
  </si>
  <si>
    <t>Time-related preliminaries allowance $</t>
  </si>
  <si>
    <t>Jan</t>
  </si>
  <si>
    <t>Effective wind productivity loss</t>
  </si>
  <si>
    <t>Additional billed hire weeks</t>
  </si>
  <si>
    <t>Feb</t>
  </si>
  <si>
    <t>Hire / facilities allowance $</t>
  </si>
  <si>
    <t>Mar</t>
  </si>
  <si>
    <t>Default nonrecoverable share</t>
  </si>
  <si>
    <t>Apr</t>
  </si>
  <si>
    <t>Override nonrecoverable share</t>
  </si>
  <si>
    <t>Total weather allowance $</t>
  </si>
  <si>
    <t>May</t>
  </si>
  <si>
    <t>Effective nonrecoverable share</t>
  </si>
  <si>
    <t>Total as % of exposed direct cost</t>
  </si>
  <si>
    <t>Jun</t>
  </si>
  <si>
    <t>Jul</t>
  </si>
  <si>
    <t>Chance of at least one wet workday</t>
  </si>
  <si>
    <t>Aug</t>
  </si>
  <si>
    <t>Output confidence</t>
  </si>
  <si>
    <t>Sep</t>
  </si>
  <si>
    <t>Release action</t>
  </si>
  <si>
    <t>Oct</t>
  </si>
  <si>
    <t>Nov</t>
  </si>
  <si>
    <t>Dec</t>
  </si>
  <si>
    <t>Estimator Statement and Controls</t>
  </si>
  <si>
    <t>Controls:
- A 1 mm wet day is not automatically a lost day. Task factors convert climate exposure into estimated productivity loss.
- Rain, wet-ground carryover and wind are calculated separately. Rainfall intensity is shown as context only.
- Wind uses an AMBER Auckland proxy only; other locations require a sourced override when wind matters.
- Suggested delay days apply only when the representative task is genuinely on the critical path.
- Public holidays and shutdowns are not included in the date engine.
- Do not add task lost days across concurrent activities; use the Activity Allowances critical-path flags and the live programme.</t>
  </si>
  <si>
    <t>Activity Weather Allowances - Programme and Cost Link</t>
  </si>
  <si>
    <t>Wind probability override</t>
  </si>
  <si>
    <t>Project recovery / remediation allowance $</t>
  </si>
  <si>
    <t>Use Critical Path = Yes only for sequential activities on the actual critical path. Concurrent task losses must not be added as programme delay. Direct productivity costs may still be assessed by activity.</t>
  </si>
  <si>
    <t>Task</t>
  </si>
  <si>
    <t>Category</t>
  </si>
  <si>
    <t>Start</t>
  </si>
  <si>
    <t>Finish</t>
  </si>
  <si>
    <t>Critical Path?</t>
  </si>
  <si>
    <t>Exposed Labour $</t>
  </si>
  <si>
    <t>Exposed Plant $</t>
  </si>
  <si>
    <t>Rain Exposure Default</t>
  </si>
  <si>
    <t>Rain Exposure Override</t>
  </si>
  <si>
    <t>Effective Rain Exposure</t>
  </si>
  <si>
    <t>Rain Loss Default</t>
  </si>
  <si>
    <t>Rain Loss Override</t>
  </si>
  <si>
    <t>Effective Rain Loss</t>
  </si>
  <si>
    <t>Carryover Default</t>
  </si>
  <si>
    <t>Carryover Override</t>
  </si>
  <si>
    <t>Effective Carryover</t>
  </si>
  <si>
    <t>Wind Sensitivity Default</t>
  </si>
  <si>
    <t>Wind Sensitivity Override</t>
  </si>
  <si>
    <t>Effective Wind Sensitivity</t>
  </si>
  <si>
    <t>Wind Loss Default</t>
  </si>
  <si>
    <t>Wind Loss Override</t>
  </si>
  <si>
    <t>Effective Wind Loss</t>
  </si>
  <si>
    <t>Nonrecoverable Default</t>
  </si>
  <si>
    <t>Nonrecoverable Override</t>
  </si>
  <si>
    <t>Effective Nonrecoverable</t>
  </si>
  <si>
    <t>Workdays</t>
  </si>
  <si>
    <t>Avg Wet Probability</t>
  </si>
  <si>
    <t>Adjusted Wet Probability</t>
  </si>
  <si>
    <t>Wind Probability</t>
  </si>
  <si>
    <t>Rain Impact %</t>
  </si>
  <si>
    <t>Carryover Impact %</t>
  </si>
  <si>
    <t>Wind Impact %</t>
  </si>
  <si>
    <t>Combined Impact %</t>
  </si>
  <si>
    <t>Direct Allowance $</t>
  </si>
  <si>
    <t>Equivalent Lost WD</t>
  </si>
  <si>
    <t>CP Delay WD</t>
  </si>
  <si>
    <t>Status</t>
  </si>
  <si>
    <t>Basis / Note</t>
  </si>
  <si>
    <t>No</t>
  </si>
  <si>
    <t>Project Weather Summary</t>
  </si>
  <si>
    <t>Exposed labour + plant $</t>
  </si>
  <si>
    <t>Use this summary in the estimate only after:
1. Activities and dates align with the live programme.
2. Critical Path = Yes reflects the real critical path, not every weather-sensitive task.
3. Labour and plant values include only weather-exposed cost pools.
4. RED inputs are resolved or expressly excluded.
5. AMBER task factors are disclosed and assigned a firm-up action.</t>
  </si>
  <si>
    <t>Task Weather Sensitivity Library - Company Defaults</t>
  </si>
  <si>
    <t>These defaults are transparent company judgement, not NIWA facts. They remain AMBER until calibrated against actual project records and independently reviewed. Override only with a recorded job-specific basis. Wet-ground carryover is an equivalent lost-day fraction following each wet day, not a guaranteed shutdown.</t>
  </si>
  <si>
    <t>Rain Exposure</t>
  </si>
  <si>
    <t>Rain Productivity Loss</t>
  </si>
  <si>
    <t>Wet-Ground Carryover Eq. Days / Wet Day</t>
  </si>
  <si>
    <t>Wind Sensitivity</t>
  </si>
  <si>
    <t>Wind Productivity Loss</t>
  </si>
  <si>
    <t>Nonrecoverable Share</t>
  </si>
  <si>
    <t>Default Status</t>
  </si>
  <si>
    <t>Actual Records</t>
  </si>
  <si>
    <t>Calibration Status</t>
  </si>
  <si>
    <t>Original Basis Note</t>
  </si>
  <si>
    <t>Required Review Action</t>
  </si>
  <si>
    <t>Approved By</t>
  </si>
  <si>
    <t>Approved Date</t>
  </si>
  <si>
    <t>Site establishment / temp fencing</t>
  </si>
  <si>
    <t>Civil</t>
  </si>
  <si>
    <t>0.35</t>
  </si>
  <si>
    <t>0.20</t>
  </si>
  <si>
    <t>0.10</t>
  </si>
  <si>
    <t>0.40</t>
  </si>
  <si>
    <t>AMBER - company judgement</t>
  </si>
  <si>
    <t>General outdoor set-up, usually partly workable.</t>
  </si>
  <si>
    <t>Calibrate from Weather Log and obtain estimator/PM approval before GREEN.</t>
  </si>
  <si>
    <t>Erosion &amp; sediment controls</t>
  </si>
  <si>
    <t>0.85</t>
  </si>
  <si>
    <t>0.50</t>
  </si>
  <si>
    <t>0.70</t>
  </si>
  <si>
    <t>Often still required in wet weather, but slower and messier.</t>
  </si>
  <si>
    <t>Bulk earthworks</t>
  </si>
  <si>
    <t>1.00</t>
  </si>
  <si>
    <t>0.15</t>
  </si>
  <si>
    <t>Highly exposed to wet ground and access deterioration.</t>
  </si>
  <si>
    <t>Detailed earthworks / trim subgrade</t>
  </si>
  <si>
    <t>0.80</t>
  </si>
  <si>
    <t>0.90</t>
  </si>
  <si>
    <t>Fine tolerances make wet conditions painful.</t>
  </si>
  <si>
    <t>Cut to fill / cartage</t>
  </si>
  <si>
    <t>0.95</t>
  </si>
  <si>
    <t>0.65</t>
  </si>
  <si>
    <t>Wet haul roads and loaded traffic slow the whole chain.</t>
  </si>
  <si>
    <t>Building platform / pad prep</t>
  </si>
  <si>
    <t>0.75</t>
  </si>
  <si>
    <t>Moisture condition and compaction control matter.</t>
  </si>
  <si>
    <t>Drainage trenching</t>
  </si>
  <si>
    <t>Water ingress, slumping, and access issues.</t>
  </si>
  <si>
    <t>Manholes / chambers</t>
  </si>
  <si>
    <t>0.60</t>
  </si>
  <si>
    <t>0.05</t>
  </si>
  <si>
    <t>Less affected than open trench runs, but still exposed.</t>
  </si>
  <si>
    <t>Service trenches / ducting</t>
  </si>
  <si>
    <t>Small but still sensitive to rain and reinstatement.</t>
  </si>
  <si>
    <t>Bored piles / drilled holes</t>
  </si>
  <si>
    <t>Wet ground and hole stability are key risks.</t>
  </si>
  <si>
    <t>Driven poles / posts</t>
  </si>
  <si>
    <t>Weather affects access and standing time.</t>
  </si>
  <si>
    <t>Retaining wall excavation</t>
  </si>
  <si>
    <t>Slope and spoil handling usually worsen in the wet.</t>
  </si>
  <si>
    <t>Retaining wall installation</t>
  </si>
  <si>
    <t>Less exposed than excavation, but still affected.</t>
  </si>
  <si>
    <t>External concrete placing</t>
  </si>
  <si>
    <t>Rain cover, surface quality, and finishing risk.</t>
  </si>
  <si>
    <t>External concrete finishing</t>
  </si>
  <si>
    <t>Finishing window can vanish fast in poor weather.</t>
  </si>
  <si>
    <t>Kerb &amp; channel</t>
  </si>
  <si>
    <t>Open-air concrete work and wet prep surfaces.</t>
  </si>
  <si>
    <t>Subbase / pavement prep</t>
  </si>
  <si>
    <t>Compaction and moisture sensitivity.</t>
  </si>
  <si>
    <t>Asphalt / sealing</t>
  </si>
  <si>
    <t>Very weather-sensitive process.</t>
  </si>
  <si>
    <t>Landscaping / topsoil / grassing</t>
  </si>
  <si>
    <t>Often still possible, but efficiency drops.</t>
  </si>
  <si>
    <t>Roof framing</t>
  </si>
  <si>
    <t>Building</t>
  </si>
  <si>
    <t>0.25</t>
  </si>
  <si>
    <t>Rain and wind both matter before dry-in.</t>
  </si>
  <si>
    <t>Roofing</t>
  </si>
  <si>
    <t>Wind-sensitive and usually fully exposed.</t>
  </si>
  <si>
    <t>Wall framing (open structure)</t>
  </si>
  <si>
    <t>0.45</t>
  </si>
  <si>
    <t>Some work can continue, but pace drops.</t>
  </si>
  <si>
    <t>Cladding</t>
  </si>
  <si>
    <t>Exposure remains but some sequencing is possible.</t>
  </si>
  <si>
    <t>Exterior windows / joinery</t>
  </si>
  <si>
    <t>0.55</t>
  </si>
  <si>
    <t>Protection set-up often needed.</t>
  </si>
  <si>
    <t>Deck framing</t>
  </si>
  <si>
    <t>Exposed external carpentry.</t>
  </si>
  <si>
    <t>Decking</t>
  </si>
  <si>
    <t>Still weather-sensitive, but slightly less than framing.</t>
  </si>
  <si>
    <t>Scaffolding</t>
  </si>
  <si>
    <t>Wind can be the bigger issue here.</t>
  </si>
  <si>
    <t>Steel erection / crane lifts</t>
  </si>
  <si>
    <t>High wind sensitivity plus exposure.</t>
  </si>
  <si>
    <t>External block / brick laying</t>
  </si>
  <si>
    <t>Rain protection and mortar issues.</t>
  </si>
  <si>
    <t>External painting / coatings</t>
  </si>
  <si>
    <t>Often weather-window driven.</t>
  </si>
  <si>
    <t>Internal framing</t>
  </si>
  <si>
    <t>0.30</t>
  </si>
  <si>
    <t>Still gets minor drag from access, shelter, and material handling.</t>
  </si>
  <si>
    <t>Internal linings / plasterboard</t>
  </si>
  <si>
    <t>0.08</t>
  </si>
  <si>
    <t>0.02</t>
  </si>
  <si>
    <t>Low weather effect, not zero.</t>
  </si>
  <si>
    <t>Internal plastering / stopping</t>
  </si>
  <si>
    <t>Mostly protected, but drying and access can still bite.</t>
  </si>
  <si>
    <t>Internal painting</t>
  </si>
  <si>
    <t>0.12</t>
  </si>
  <si>
    <t>Humidity and site conditions can slow productivity.</t>
  </si>
  <si>
    <t>Fitout / cabinetry / joinery</t>
  </si>
  <si>
    <t>Low but real weather drag.</t>
  </si>
  <si>
    <t>Internal tiling / wet areas</t>
  </si>
  <si>
    <t>Protected, but humidity and site wetness can still influence output.</t>
  </si>
  <si>
    <t>Internal flooring</t>
  </si>
  <si>
    <t>Low but non-zero effect.</t>
  </si>
  <si>
    <t>Internal MEP rough-in / fit-off</t>
  </si>
  <si>
    <t>0.03</t>
  </si>
  <si>
    <t>Protected, but deliveries and wet access still matter.</t>
  </si>
  <si>
    <t>Workshop fabrication / sheltered prep</t>
  </si>
  <si>
    <t>Low but not zero.</t>
  </si>
  <si>
    <t>NIWA Climate Data - 1991-2020 Normals</t>
  </si>
  <si>
    <t>Official NIWA mean monthly wet days and rainfall. Daily wet-day probability is calculated as mean wet days divided by normal calendar days. A wet day is 1 mm or more of rain; it is not automatically a lost construction day.</t>
  </si>
  <si>
    <t>Location</t>
  </si>
  <si>
    <t>Month #</t>
  </si>
  <si>
    <t>Mean Wet Days &gt;=1 mm</t>
  </si>
  <si>
    <t>Mean Rainfall (mm)</t>
  </si>
  <si>
    <t>Normal Calendar Days</t>
  </si>
  <si>
    <t>Daily Wet-Day Probability</t>
  </si>
  <si>
    <t>Mean Rain per Wet Day (mm)</t>
  </si>
  <si>
    <t>Source Period</t>
  </si>
  <si>
    <t>Evidence Status</t>
  </si>
  <si>
    <t>Kaitaia</t>
  </si>
  <si>
    <t>1991-2020</t>
  </si>
  <si>
    <t>GREEN - official NIWA normal</t>
  </si>
  <si>
    <t>Whangarei</t>
  </si>
  <si>
    <t>Tauranga</t>
  </si>
  <si>
    <t>Hamilton</t>
  </si>
  <si>
    <t>Rotorua</t>
  </si>
  <si>
    <t>Gisborne</t>
  </si>
  <si>
    <t>Taupo</t>
  </si>
  <si>
    <t>New Plymouth</t>
  </si>
  <si>
    <t>Napier</t>
  </si>
  <si>
    <t>Whanganui</t>
  </si>
  <si>
    <t>Palmerston North</t>
  </si>
  <si>
    <t>Masterton</t>
  </si>
  <si>
    <t>Wellington</t>
  </si>
  <si>
    <t>Nelson</t>
  </si>
  <si>
    <t>Blenheim</t>
  </si>
  <si>
    <t>Westport</t>
  </si>
  <si>
    <t>Kaikoura</t>
  </si>
  <si>
    <t>Hokitika</t>
  </si>
  <si>
    <t>Christchurch</t>
  </si>
  <si>
    <t>Mt Cook</t>
  </si>
  <si>
    <t>Lake Tekapo</t>
  </si>
  <si>
    <t>Timaru</t>
  </si>
  <si>
    <t>Milford Sound</t>
  </si>
  <si>
    <t>Queenstown</t>
  </si>
  <si>
    <t>Alexandra</t>
  </si>
  <si>
    <t>Manapouri</t>
  </si>
  <si>
    <t>Dunedin</t>
  </si>
  <si>
    <t>Invercargill</t>
  </si>
  <si>
    <t>Chatham Islands</t>
  </si>
  <si>
    <t>NIWA Station Register - 1991-2020 Climate Normals</t>
  </si>
  <si>
    <t>Use the nearest representative station, then record any local site factor and its basis. Rainfall and wet-day station records are shown separately where NIWA used different stations.</t>
  </si>
  <si>
    <t>Location Selector</t>
  </si>
  <si>
    <t>Rain Station</t>
  </si>
  <si>
    <t>Rain Network</t>
  </si>
  <si>
    <t>Wet-Day Station</t>
  </si>
  <si>
    <t>Wet-Day Network</t>
  </si>
  <si>
    <t>Latitude</t>
  </si>
  <si>
    <t>Longitude</t>
  </si>
  <si>
    <t>Height (m)</t>
  </si>
  <si>
    <t>Kaitaia Ews</t>
  </si>
  <si>
    <t>A53127</t>
  </si>
  <si>
    <t>Whangarei Aero Aws</t>
  </si>
  <si>
    <t>A54737</t>
  </si>
  <si>
    <t>Auckland Aero</t>
  </si>
  <si>
    <t>C74082</t>
  </si>
  <si>
    <t>Tauranga Aero Aws</t>
  </si>
  <si>
    <t>B76624</t>
  </si>
  <si>
    <t>Hamilton, Ruakura 2 Ews</t>
  </si>
  <si>
    <t>C75734</t>
  </si>
  <si>
    <t>Rotorua Aero Aws</t>
  </si>
  <si>
    <t>B86133</t>
  </si>
  <si>
    <t>Gisborne Ews</t>
  </si>
  <si>
    <t>D87697</t>
  </si>
  <si>
    <t>Gisborne Aero Aws</t>
  </si>
  <si>
    <t>D87695</t>
  </si>
  <si>
    <t>Taupo Aero Aws</t>
  </si>
  <si>
    <t>B86704</t>
  </si>
  <si>
    <t>New Plymouth Aero Aws</t>
  </si>
  <si>
    <t>C94012</t>
  </si>
  <si>
    <t>Napier Aero Aws</t>
  </si>
  <si>
    <t>D96484</t>
  </si>
  <si>
    <t>Whanganui, Spriggens Park Ews</t>
  </si>
  <si>
    <t>E95902</t>
  </si>
  <si>
    <t>Palmerston North Ews</t>
  </si>
  <si>
    <t>E0536D</t>
  </si>
  <si>
    <t>Masterton, Te Ore Ore Cws</t>
  </si>
  <si>
    <t>D05974</t>
  </si>
  <si>
    <t>Wellington, Kelburn Aws</t>
  </si>
  <si>
    <t>E1427P</t>
  </si>
  <si>
    <t>Nelson Aero</t>
  </si>
  <si>
    <t>G13222</t>
  </si>
  <si>
    <t>Blenheim Research Ews</t>
  </si>
  <si>
    <t>G13495</t>
  </si>
  <si>
    <t>Westport Aero Aws</t>
  </si>
  <si>
    <t>F11754</t>
  </si>
  <si>
    <t>Kaikoura Aws</t>
  </si>
  <si>
    <t>G23464</t>
  </si>
  <si>
    <t>Hokitika Aero</t>
  </si>
  <si>
    <t>F20793</t>
  </si>
  <si>
    <t>Christchurch Aero</t>
  </si>
  <si>
    <t>H32451</t>
  </si>
  <si>
    <t>Mt Cook Ews</t>
  </si>
  <si>
    <t>H30706</t>
  </si>
  <si>
    <t>Lake Tekapo Ews</t>
  </si>
  <si>
    <t>H40042</t>
  </si>
  <si>
    <t>Timaru Ews</t>
  </si>
  <si>
    <t>H41425</t>
  </si>
  <si>
    <t>Milford Sound Aws</t>
  </si>
  <si>
    <t>F47693</t>
  </si>
  <si>
    <t>Queenstown Aero Aws</t>
  </si>
  <si>
    <t>I58075</t>
  </si>
  <si>
    <t>I59236</t>
  </si>
  <si>
    <t>Manapouri Aero Aws</t>
  </si>
  <si>
    <t>I57563</t>
  </si>
  <si>
    <t>Dunedin, Musselburgh Ews</t>
  </si>
  <si>
    <t>I50954</t>
  </si>
  <si>
    <t>Invercargill Aero Aws</t>
  </si>
  <si>
    <t>I68435</t>
  </si>
  <si>
    <t>Chatham Island Aero Aws</t>
  </si>
  <si>
    <t>K98617</t>
  </si>
  <si>
    <t>Auckland Wind-Day Proxy - Optional and AMBER</t>
  </si>
  <si>
    <t>This is not a current 1991-2020 monthly wind-day normal. It is an explicit proxy for Auckland only: NIWA reports 55 days/year with gusts above 63 km/h at Auckland Airport. Those days are distributed by NIWA's seasonal share of strong winds and normalised to 100%. Use only where the task threshold is comparable, or enter a project-specific wind probability override.</t>
  </si>
  <si>
    <t>Season</t>
  </si>
  <si>
    <t>Season Share</t>
  </si>
  <si>
    <t>Annual Gust Days &gt;63 km/h</t>
  </si>
  <si>
    <t>Proxy Days in Month</t>
  </si>
  <si>
    <t>Daily Wind Event Probability</t>
  </si>
  <si>
    <t>Basis</t>
  </si>
  <si>
    <t>Summer</t>
  </si>
  <si>
    <t>AMBER - legacy proxy</t>
  </si>
  <si>
    <t>Inference: 55 annual gust days allocated using seasonal strong-wind shares; not direct monthly observations.</t>
  </si>
  <si>
    <t>Autumn</t>
  </si>
  <si>
    <t>Winter</t>
  </si>
  <si>
    <t>Spring</t>
  </si>
  <si>
    <t>Actual Project Weather Log - Calibration Evidence</t>
  </si>
  <si>
    <t>Record actual planned and lost crew hours by cause. Do not rewrite Task Library defaults automatically; review the evidence, normalise the job context, then approve any update under change control.</t>
  </si>
  <si>
    <t>Project ID</t>
  </si>
  <si>
    <t>Date</t>
  </si>
  <si>
    <t>Planned Crew Hours</t>
  </si>
  <si>
    <t>Lost Hours - Rain</t>
  </si>
  <si>
    <t>Lost Hours - Wet Ground</t>
  </si>
  <si>
    <t>Lost Hours - Wind</t>
  </si>
  <si>
    <t>Recovered / Resequenced Hours</t>
  </si>
  <si>
    <t>Net Lost Hours</t>
  </si>
  <si>
    <t>Programme Delay Hours</t>
  </si>
  <si>
    <t>Direct Cost Impact $</t>
  </si>
  <si>
    <t>Evidence / Daily Record</t>
  </si>
  <si>
    <t>Notes</t>
  </si>
  <si>
    <t>Reviewed By</t>
  </si>
  <si>
    <t>Weather Calibration Summary by Task</t>
  </si>
  <si>
    <t>Observed records improve the company defaults, but record count alone does not make a factor GREEN. Review project comparability, causes, recovery, crew composition and independent evidence before approving a library change.</t>
  </si>
  <si>
    <t>Records</t>
  </si>
  <si>
    <t>Planned Hours</t>
  </si>
  <si>
    <t>Rain Lost Hours</t>
  </si>
  <si>
    <t>Wet-Ground Lost Hours</t>
  </si>
  <si>
    <t>Wind Lost Hours</t>
  </si>
  <si>
    <t>Recovered Hours</t>
  </si>
  <si>
    <t>Observed Net Loss %</t>
  </si>
  <si>
    <t>Action</t>
  </si>
  <si>
    <t>Weather Model Calculation Audit and Release Gate</t>
  </si>
  <si>
    <t>Check</t>
  </si>
  <si>
    <t>Expected</t>
  </si>
  <si>
    <t>Actual</t>
  </si>
  <si>
    <t>Why It Matters</t>
  </si>
  <si>
    <t>Action if Not OK</t>
  </si>
  <si>
    <t>NIWA location count</t>
  </si>
  <si>
    <t>Location selector completeness</t>
  </si>
  <si>
    <t>Reload official source data</t>
  </si>
  <si>
    <t>Climate data rows</t>
  </si>
  <si>
    <t>12 months per location</t>
  </si>
  <si>
    <t>Repair missing station/month rows</t>
  </si>
  <si>
    <t>Missing wet-day values</t>
  </si>
  <si>
    <t>Prevents unsupported probabilities</t>
  </si>
  <si>
    <t>Stop use and reload source</t>
  </si>
  <si>
    <t>Missing rainfall values</t>
  </si>
  <si>
    <t>Source completeness</t>
  </si>
  <si>
    <t>Wet-day probability outside 0-100%</t>
  </si>
  <si>
    <t>Probability validity</t>
  </si>
  <si>
    <t>Repair source/formula</t>
  </si>
  <si>
    <t>Task library rows</t>
  </si>
  <si>
    <t>Original task coverage retained</t>
  </si>
  <si>
    <t>Review task import</t>
  </si>
  <si>
    <t>Date engine start</t>
  </si>
  <si>
    <t>Input coverage</t>
  </si>
  <si>
    <t>Extend engine</t>
  </si>
  <si>
    <t>Date engine finish</t>
  </si>
  <si>
    <t>Active Estimator RED controls</t>
  </si>
  <si>
    <t>Blocks unsupported issue</t>
  </si>
  <si>
    <t>Resolve inputs or qualify/exclude</t>
  </si>
  <si>
    <t>Activity Allowances RED rows</t>
  </si>
  <si>
    <t>Resolve task dates/wind data</t>
  </si>
  <si>
    <t>Source and Assumption Release Status</t>
  </si>
  <si>
    <t>Component</t>
  </si>
  <si>
    <t>Reason</t>
  </si>
  <si>
    <t>NIWA 1991-2020 wet-day and rainfall data</t>
  </si>
  <si>
    <t>GREEN</t>
  </si>
  <si>
    <t>Current official published climate normals</t>
  </si>
  <si>
    <t>Task sensitivity defaults</t>
  </si>
  <si>
    <t>AMBER</t>
  </si>
  <si>
    <t>Company judgement pending actual-project calibration</t>
  </si>
  <si>
    <t>Auckland wind proxy</t>
  </si>
  <si>
    <t>Legacy proxy and inferred monthly allocation</t>
  </si>
  <si>
    <t>Non-Auckland wind inputs</t>
  </si>
  <si>
    <t>RED if material</t>
  </si>
  <si>
    <t>No public threshold-aligned frequency loaded</t>
  </si>
  <si>
    <t>Tool release gate</t>
  </si>
  <si>
    <t>Source Register and Model Limitations</t>
  </si>
  <si>
    <t>Source ID</t>
  </si>
  <si>
    <t>Variable / Use</t>
  </si>
  <si>
    <t>Source</t>
  </si>
  <si>
    <t>Period / Version</t>
  </si>
  <si>
    <t>Accessed</t>
  </si>
  <si>
    <t>Source URL</t>
  </si>
  <si>
    <t>Limitations / Required Action</t>
  </si>
  <si>
    <t>SRC-WX-001</t>
  </si>
  <si>
    <t>Mean monthly wet days &gt;=1 mm</t>
  </si>
  <si>
    <t>NIWA / Earth Sciences New Zealand</t>
  </si>
  <si>
    <t>1991-2020 normals</t>
  </si>
  <si>
    <t>https://niwa.co.nz/sites/default/files/inline-images/wet_days_1991-2020_1.xlsx</t>
  </si>
  <si>
    <t>Official climate normal. A wet day is not automatically a construction lost day.</t>
  </si>
  <si>
    <t>SRC-WX-002</t>
  </si>
  <si>
    <t>Mean monthly rainfall and rain per wet day context</t>
  </si>
  <si>
    <t>https://niwa.co.nz/sites/default/files/inline-images/mean_monthly_rainfall_1991-2020_1.xlsx</t>
  </si>
  <si>
    <t>Rainfall intensity is shown as context and does not directly set lost days.</t>
  </si>
  <si>
    <t>SRC-WX-003</t>
  </si>
  <si>
    <t>Climate data landing page and reuse licence</t>
  </si>
  <si>
    <t>Current page</t>
  </si>
  <si>
    <t>https://niwa.co.nz/climate-and-weather/climate-data-and-activities</t>
  </si>
  <si>
    <t>Downloads are published under Creative Commons Attribution 4.0.</t>
  </si>
  <si>
    <t>SRC-WX-004</t>
  </si>
  <si>
    <t>Auckland gust-day proxy</t>
  </si>
  <si>
    <t>NIWA Auckland climate report</t>
  </si>
  <si>
    <t>Legacy regional climatology</t>
  </si>
  <si>
    <t>https://webstatic.niwa.co.nz/static/web/Auckland_Climate_NIWA.pdf</t>
  </si>
  <si>
    <t>55 days/year with gusts &gt;63 km/h. Monthly allocation is inferred from seasonal strong-wind shares; replace with threshold-aligned data where wind is material.</t>
  </si>
  <si>
    <t>SRC-WX-005</t>
  </si>
  <si>
    <t>Task exposure, productivity, carryover and recovery factors</t>
  </si>
  <si>
    <t>Company estimating judgement</t>
  </si>
  <si>
    <t>Rev2 initial defaults</t>
  </si>
  <si>
    <t>Internal Task Library</t>
  </si>
  <si>
    <t>Uncalibrated starting points. Improve from Weather Log and independent review.</t>
  </si>
  <si>
    <t>SRC-WX-006</t>
  </si>
  <si>
    <t>Project-specific evidence</t>
  </si>
  <si>
    <t>User input</t>
  </si>
  <si>
    <t>RED until sourced when not 1.00</t>
  </si>
  <si>
    <t>Estimator input</t>
  </si>
  <si>
    <t>Record topography, station comparison, site history or other defensible basis.</t>
  </si>
  <si>
    <t>Model Interpretation Rules</t>
  </si>
  <si>
    <t>1</t>
  </si>
  <si>
    <t>The output is a planning allowance based on long-run climate normals, not a weather forecast or guaranteed loss.</t>
  </si>
  <si>
    <t>2</t>
  </si>
  <si>
    <t>Dates determine the monthly climate weighting and workday count. They do not predict weather on a particular day.</t>
  </si>
  <si>
    <t>3</t>
  </si>
  <si>
    <t>Rain, wet-ground carryover, wind, direct productivity, critical-path delay, time-related preliminaries, hire and recovery are separate cost drivers.</t>
  </si>
  <si>
    <t>4</t>
  </si>
  <si>
    <t>Do not sum programme delay across concurrent tasks. Use only the verified critical path from the programme.</t>
  </si>
  <si>
    <t>5</t>
  </si>
  <si>
    <t>Task factors are AMBER until actual company data and an independent review support change control.</t>
  </si>
  <si>
    <t>6</t>
  </si>
  <si>
    <t>If the site is outside 2025-2040 date-engine coverage, update the engine before use.</t>
  </si>
  <si>
    <t>7</t>
  </si>
  <si>
    <t>If the selected location is not Auckland and wind is material, supply threshold-aligned wind data or exclude / qualify the wind risk.</t>
  </si>
  <si>
    <t>Date Engine - 2025 to 2040</t>
  </si>
  <si>
    <t>Calculation support sheet. Workday flags follow the Estimator working-days-per-week input. Public holidays and shutdowns are not included; use the working-days override once the contract calendar is known.</t>
  </si>
  <si>
    <t>Year</t>
  </si>
  <si>
    <t>Day</t>
  </si>
  <si>
    <t>Weekday #</t>
  </si>
  <si>
    <t>Standard Workday</t>
  </si>
  <si>
    <t>Daily Wind Proxy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</si>
</sst>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%"/>
    <numFmt numFmtId="166" formatCode="0.0"/>
    <numFmt numFmtId="167" formatCode="dd/mm/yyyy"/>
    <numFmt numFmtId="168" formatCode="\$#,##0.00"/>
    <numFmt numFmtId="169" formatCode="0.00\x"/>
  </numFmts>
  <fonts count="4">
    <font>
      <sz val="11"/>
      <name val="Carlito"/>
    </font>
    <font>
      <b/>
      <sz val="10"/>
      <color rgb="FF1F1F1F"/>
      <name val="Aptos"/>
    </font>
    <font>
      <sz val="10"/>
      <color rgb="FF1F1F1F"/>
      <name val="Aptos"/>
    </font>
    <font>
      <b/>
      <sz val="14"/>
      <color rgb="FFFFFFFF"/>
      <name val="Aptos Display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9FB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0">
    <border>
      <left/>
      <right/>
      <top/>
      <bottom/>
      <diagonal/>
    </border>
    <border>
      <left style="thin">
        <color rgb="FFB4C7DC"/>
      </left>
      <right style="thin">
        <color rgb="FFB4C7DC"/>
      </right>
      <top style="thin">
        <color rgb="FFB4C7DC"/>
      </top>
      <bottom style="thin">
        <color rgb="FFB4C7DC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B4C7DC"/>
      </left>
      <right style="thin">
        <color rgb="FFE6E6E6"/>
      </right>
      <top style="thin">
        <color rgb="FFB4C7DC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B4C7DC"/>
      </top>
      <bottom style="thin">
        <color rgb="FFE6E6E6"/>
      </bottom>
      <diagonal/>
    </border>
    <border>
      <left style="thin">
        <color rgb="FFE6E6E6"/>
      </left>
      <right style="thin">
        <color rgb="FFB4C7DC"/>
      </right>
      <top style="thin">
        <color rgb="FFB4C7DC"/>
      </top>
      <bottom style="thin">
        <color rgb="FFE6E6E6"/>
      </bottom>
      <diagonal/>
    </border>
    <border>
      <left style="thin">
        <color rgb="FFB4C7DC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B4C7DC"/>
      </right>
      <top style="thin">
        <color rgb="FFE6E6E6"/>
      </top>
      <bottom style="thin">
        <color rgb="FFE6E6E6"/>
      </bottom>
      <diagonal/>
    </border>
    <border>
      <left style="thin">
        <color rgb="FFB4C7DC"/>
      </left>
      <right style="thin">
        <color rgb="FFE6E6E6"/>
      </right>
      <top style="thin">
        <color rgb="FFE6E6E6"/>
      </top>
      <bottom style="thin">
        <color rgb="FFB4C7DC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B4C7DC"/>
      </bottom>
      <diagonal/>
    </border>
    <border>
      <left style="thin">
        <color rgb="FFE6E6E6"/>
      </left>
      <right style="thin">
        <color rgb="FFB4C7DC"/>
      </right>
      <top style="thin">
        <color rgb="FFE6E6E6"/>
      </top>
      <bottom style="thin">
        <color rgb="FFB4C7DC"/>
      </bottom>
      <diagonal/>
    </border>
    <border>
      <left style="thin">
        <color rgb="FFB4C7DC"/>
      </left>
      <right style="thin">
        <color rgb="FFB4C7DC"/>
      </right>
      <top style="thin">
        <color rgb="FFB4C7DC"/>
      </top>
      <bottom style="thin">
        <color rgb="FFE6E6E6"/>
      </bottom>
      <diagonal/>
    </border>
    <border>
      <left style="thin">
        <color rgb="FFB4C7DC"/>
      </left>
      <right style="thin">
        <color rgb="FFB4C7DC"/>
      </right>
      <top style="thin">
        <color rgb="FFE6E6E6"/>
      </top>
      <bottom style="thin">
        <color rgb="FFE6E6E6"/>
      </bottom>
      <diagonal/>
    </border>
    <border>
      <left style="thin">
        <color rgb="FFB4C7DC"/>
      </left>
      <right style="thin">
        <color rgb="FFB4C7DC"/>
      </right>
      <top style="thin">
        <color rgb="FFE6E6E6"/>
      </top>
      <bottom style="thin">
        <color rgb="FFB4C7DC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rgb="FFB4C7DC"/>
      </left>
      <right/>
      <top style="thin">
        <color rgb="FFB4C7DC"/>
      </top>
      <bottom style="thin">
        <color rgb="FFB4C7DC"/>
      </bottom>
      <diagonal/>
    </border>
    <border>
      <left/>
      <right style="thin">
        <color rgb="FFB4C7DC"/>
      </right>
      <top style="thin">
        <color rgb="FFB4C7DC"/>
      </top>
      <bottom style="thin">
        <color rgb="FFB4C7DC"/>
      </bottom>
      <diagonal/>
    </border>
    <border>
      <left style="thin">
        <color rgb="FFB4C7DC"/>
      </left>
      <right style="thin">
        <color rgb="FFB4C7DC"/>
      </right>
      <top style="thin">
        <color rgb="FFB4C7DC"/>
      </top>
      <bottom/>
      <diagonal/>
    </border>
    <border>
      <left style="thin">
        <color rgb="FFB4C7DC"/>
      </left>
      <right style="thin">
        <color rgb="FFB4C7DC"/>
      </right>
      <top/>
      <bottom/>
      <diagonal/>
    </border>
    <border>
      <left style="thin">
        <color rgb="FFB4C7DC"/>
      </left>
      <right style="thin">
        <color rgb="FFB4C7DC"/>
      </right>
      <top/>
      <bottom style="thin">
        <color rgb="FFB4C7DC"/>
      </bottom>
      <diagonal/>
    </border>
    <border>
      <left/>
      <right/>
      <top style="thin">
        <color rgb="FFB4C7DC"/>
      </top>
      <bottom style="thin">
        <color rgb="FFB4C7DC"/>
      </bottom>
      <diagonal/>
    </border>
    <border>
      <left style="thin">
        <color rgb="FFB4C7DC"/>
      </left>
      <right/>
      <top style="thin">
        <color rgb="FFB4C7DC"/>
      </top>
      <bottom/>
      <diagonal/>
    </border>
    <border>
      <left/>
      <right/>
      <top style="thin">
        <color rgb="FFB4C7DC"/>
      </top>
      <bottom/>
      <diagonal/>
    </border>
    <border>
      <left/>
      <right style="thin">
        <color rgb="FFB4C7DC"/>
      </right>
      <top style="thin">
        <color rgb="FFB4C7DC"/>
      </top>
      <bottom/>
      <diagonal/>
    </border>
    <border>
      <left style="thin">
        <color rgb="FFB4C7DC"/>
      </left>
      <right/>
      <top/>
      <bottom/>
      <diagonal/>
    </border>
    <border>
      <left/>
      <right style="thin">
        <color rgb="FFB4C7DC"/>
      </right>
      <top/>
      <bottom/>
      <diagonal/>
    </border>
    <border>
      <left style="thin">
        <color rgb="FFB4C7DC"/>
      </left>
      <right/>
      <top/>
      <bottom style="thin">
        <color rgb="FFB4C7DC"/>
      </bottom>
      <diagonal/>
    </border>
    <border>
      <left/>
      <right/>
      <top/>
      <bottom style="thin">
        <color rgb="FFB4C7DC"/>
      </bottom>
      <diagonal/>
    </border>
    <border>
      <left/>
      <right style="thin">
        <color rgb="FFB4C7DC"/>
      </right>
      <top/>
      <bottom style="thin">
        <color rgb="FFB4C7DC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2" fillId="6" borderId="18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0" fontId="2" fillId="7" borderId="18" xfId="0" applyNumberFormat="1" applyFont="1" applyFill="1" applyBorder="1" applyAlignment="1">
      <alignment wrapText="1"/>
    </xf>
    <xf numFmtId="167" fontId="2" fillId="6" borderId="19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2" fontId="2" fillId="7" borderId="19" xfId="0" applyNumberFormat="1" applyFont="1" applyFill="1" applyBorder="1" applyAlignment="1">
      <alignment wrapText="1"/>
    </xf>
    <xf numFmtId="0" fontId="2" fillId="6" borderId="19" xfId="0" applyNumberFormat="1" applyFont="1" applyFill="1" applyBorder="1" applyAlignment="1">
      <alignment wrapText="1"/>
    </xf>
    <xf numFmtId="165" fontId="2" fillId="7" borderId="19" xfId="0" applyNumberFormat="1" applyFont="1" applyFill="1" applyBorder="1" applyAlignment="1">
      <alignment wrapText="1"/>
    </xf>
    <xf numFmtId="166" fontId="2" fillId="7" borderId="19" xfId="0" applyNumberFormat="1" applyFont="1" applyFill="1" applyBorder="1" applyAlignment="1">
      <alignment wrapText="1"/>
    </xf>
    <xf numFmtId="168" fontId="2" fillId="6" borderId="19" xfId="0" applyNumberFormat="1" applyFont="1" applyFill="1" applyBorder="1" applyAlignment="1">
      <alignment wrapText="1"/>
    </xf>
    <xf numFmtId="0" fontId="2" fillId="7" borderId="1" xfId="0" applyNumberFormat="1" applyFont="1" applyFill="1" applyBorder="1" applyAlignment="1">
      <alignment wrapText="1"/>
    </xf>
    <xf numFmtId="2" fontId="2" fillId="7" borderId="1" xfId="0" applyNumberFormat="1" applyFont="1" applyFill="1" applyBorder="1" applyAlignment="1">
      <alignment wrapText="1"/>
    </xf>
    <xf numFmtId="0" fontId="2" fillId="7" borderId="19" xfId="0" applyNumberFormat="1" applyFont="1" applyFill="1" applyBorder="1" applyAlignment="1">
      <alignment wrapText="1"/>
    </xf>
    <xf numFmtId="2" fontId="2" fillId="6" borderId="1" xfId="0" applyNumberFormat="1" applyFont="1" applyFill="1" applyBorder="1" applyAlignment="1">
      <alignment wrapText="1"/>
    </xf>
    <xf numFmtId="165" fontId="2" fillId="6" borderId="19" xfId="0" applyNumberFormat="1" applyFont="1" applyFill="1" applyBorder="1" applyAlignment="1">
      <alignment wrapText="1"/>
    </xf>
    <xf numFmtId="169" fontId="2" fillId="6" borderId="19" xfId="0" applyNumberFormat="1" applyFont="1" applyFill="1" applyBorder="1" applyAlignment="1">
      <alignment wrapText="1"/>
    </xf>
    <xf numFmtId="0" fontId="2" fillId="6" borderId="20" xfId="0" applyNumberFormat="1" applyFont="1" applyFill="1" applyBorder="1" applyAlignment="1">
      <alignment wrapText="1"/>
    </xf>
    <xf numFmtId="168" fontId="2" fillId="7" borderId="19" xfId="0" applyNumberFormat="1" applyFont="1" applyFill="1" applyBorder="1" applyAlignment="1">
      <alignment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/>
    <xf numFmtId="165" fontId="2" fillId="0" borderId="1" xfId="0" applyNumberFormat="1" applyFont="1" applyFill="1" applyBorder="1"/>
    <xf numFmtId="166" fontId="2" fillId="0" borderId="1" xfId="0" applyNumberFormat="1" applyFont="1" applyFill="1" applyBorder="1"/>
    <xf numFmtId="1" fontId="2" fillId="7" borderId="19" xfId="0" applyNumberFormat="1" applyFont="1" applyFill="1" applyBorder="1" applyAlignment="1">
      <alignment wrapText="1"/>
    </xf>
    <xf numFmtId="0" fontId="2" fillId="7" borderId="20" xfId="0" applyNumberFormat="1" applyFont="1" applyFill="1" applyBorder="1" applyAlignment="1">
      <alignment wrapText="1"/>
    </xf>
    <xf numFmtId="169" fontId="2" fillId="6" borderId="1" xfId="0" applyNumberFormat="1" applyFont="1" applyFill="1" applyBorder="1" applyAlignment="1">
      <alignment wrapText="1"/>
    </xf>
    <xf numFmtId="168" fontId="2" fillId="6" borderId="1" xfId="0" applyNumberFormat="1" applyFont="1" applyFill="1" applyBorder="1" applyAlignment="1">
      <alignment wrapText="1"/>
    </xf>
    <xf numFmtId="0" fontId="1" fillId="4" borderId="2" xfId="0" applyNumberFormat="1" applyFont="1" applyFill="1" applyBorder="1" applyAlignment="1">
      <alignment horizontal="center" vertical="center" wrapText="1"/>
    </xf>
    <xf numFmtId="0" fontId="2" fillId="6" borderId="2" xfId="0" applyNumberFormat="1" applyFont="1" applyFill="1" applyBorder="1" applyAlignment="1">
      <alignment wrapText="1"/>
    </xf>
    <xf numFmtId="0" fontId="2" fillId="7" borderId="2" xfId="0" applyNumberFormat="1" applyFont="1" applyFill="1" applyBorder="1" applyAlignment="1">
      <alignment wrapText="1"/>
    </xf>
    <xf numFmtId="167" fontId="2" fillId="6" borderId="2" xfId="0" applyNumberFormat="1" applyFont="1" applyFill="1" applyBorder="1" applyAlignment="1">
      <alignment wrapText="1"/>
    </xf>
    <xf numFmtId="168" fontId="2" fillId="6" borderId="2" xfId="0" applyNumberFormat="1" applyFont="1" applyFill="1" applyBorder="1" applyAlignment="1">
      <alignment wrapText="1"/>
    </xf>
    <xf numFmtId="165" fontId="2" fillId="7" borderId="2" xfId="0" applyNumberFormat="1" applyFont="1" applyFill="1" applyBorder="1" applyAlignment="1">
      <alignment wrapText="1"/>
    </xf>
    <xf numFmtId="165" fontId="2" fillId="6" borderId="2" xfId="0" applyNumberFormat="1" applyFont="1" applyFill="1" applyBorder="1" applyAlignment="1">
      <alignment wrapText="1"/>
    </xf>
    <xf numFmtId="2" fontId="2" fillId="7" borderId="2" xfId="0" applyNumberFormat="1" applyFont="1" applyFill="1" applyBorder="1" applyAlignment="1">
      <alignment wrapText="1"/>
    </xf>
    <xf numFmtId="2" fontId="2" fillId="6" borderId="2" xfId="0" applyNumberFormat="1" applyFont="1" applyFill="1" applyBorder="1" applyAlignment="1">
      <alignment wrapText="1"/>
    </xf>
    <xf numFmtId="168" fontId="2" fillId="7" borderId="2" xfId="0" applyNumberFormat="1" applyFont="1" applyFill="1" applyBorder="1" applyAlignment="1">
      <alignment wrapText="1"/>
    </xf>
    <xf numFmtId="168" fontId="2" fillId="7" borderId="18" xfId="0" applyNumberFormat="1" applyFont="1" applyFill="1" applyBorder="1"/>
    <xf numFmtId="168" fontId="2" fillId="7" borderId="19" xfId="0" applyNumberFormat="1" applyFont="1" applyFill="1" applyBorder="1"/>
    <xf numFmtId="2" fontId="2" fillId="7" borderId="19" xfId="0" applyNumberFormat="1" applyFont="1" applyFill="1" applyBorder="1"/>
    <xf numFmtId="1" fontId="2" fillId="7" borderId="19" xfId="0" applyNumberFormat="1" applyFont="1" applyFill="1" applyBorder="1"/>
    <xf numFmtId="168" fontId="2" fillId="7" borderId="20" xfId="0" applyNumberFormat="1" applyFont="1" applyFill="1" applyBorder="1"/>
    <xf numFmtId="0" fontId="2" fillId="0" borderId="2" xfId="0" applyNumberFormat="1" applyFont="1" applyFill="1" applyBorder="1" applyAlignment="1">
      <alignment wrapText="1"/>
    </xf>
    <xf numFmtId="165" fontId="2" fillId="0" borderId="2" xfId="0" applyNumberFormat="1" applyFont="1" applyFill="1" applyBorder="1" applyAlignment="1">
      <alignment wrapText="1"/>
    </xf>
    <xf numFmtId="2" fontId="2" fillId="0" borderId="2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2" fillId="0" borderId="2" xfId="0" applyNumberFormat="1" applyFont="1" applyFill="1" applyBorder="1"/>
    <xf numFmtId="2" fontId="2" fillId="0" borderId="2" xfId="0" applyNumberFormat="1" applyFont="1" applyFill="1" applyBorder="1"/>
    <xf numFmtId="165" fontId="2" fillId="0" borderId="2" xfId="0" applyNumberFormat="1" applyFont="1" applyFill="1" applyBorder="1"/>
    <xf numFmtId="166" fontId="2" fillId="0" borderId="2" xfId="0" applyNumberFormat="1" applyFont="1" applyFill="1" applyBorder="1"/>
    <xf numFmtId="164" fontId="2" fillId="0" borderId="2" xfId="0" applyNumberFormat="1" applyFont="1" applyFill="1" applyBorder="1"/>
    <xf numFmtId="1" fontId="2" fillId="0" borderId="2" xfId="0" applyNumberFormat="1" applyFont="1" applyFill="1" applyBorder="1"/>
    <xf numFmtId="0" fontId="2" fillId="6" borderId="4" xfId="0" applyNumberFormat="1" applyFont="1" applyFill="1" applyBorder="1"/>
    <xf numFmtId="167" fontId="2" fillId="6" borderId="5" xfId="0" applyNumberFormat="1" applyFont="1" applyFill="1" applyBorder="1"/>
    <xf numFmtId="0" fontId="2" fillId="6" borderId="5" xfId="0" applyNumberFormat="1" applyFont="1" applyFill="1" applyBorder="1"/>
    <xf numFmtId="2" fontId="2" fillId="6" borderId="5" xfId="0" applyNumberFormat="1" applyFont="1" applyFill="1" applyBorder="1"/>
    <xf numFmtId="2" fontId="2" fillId="6" borderId="6" xfId="0" applyNumberFormat="1" applyFont="1" applyFill="1" applyBorder="1"/>
    <xf numFmtId="2" fontId="2" fillId="7" borderId="12" xfId="0" applyNumberFormat="1" applyFont="1" applyFill="1" applyBorder="1"/>
    <xf numFmtId="2" fontId="2" fillId="6" borderId="4" xfId="0" applyNumberFormat="1" applyFont="1" applyFill="1" applyBorder="1"/>
    <xf numFmtId="168" fontId="2" fillId="6" borderId="5" xfId="0" applyNumberFormat="1" applyFont="1" applyFill="1" applyBorder="1"/>
    <xf numFmtId="0" fontId="2" fillId="6" borderId="6" xfId="0" applyNumberFormat="1" applyFont="1" applyFill="1" applyBorder="1"/>
    <xf numFmtId="0" fontId="2" fillId="6" borderId="7" xfId="0" applyNumberFormat="1" applyFont="1" applyFill="1" applyBorder="1"/>
    <xf numFmtId="167" fontId="2" fillId="6" borderId="3" xfId="0" applyNumberFormat="1" applyFont="1" applyFill="1" applyBorder="1"/>
    <xf numFmtId="0" fontId="2" fillId="6" borderId="3" xfId="0" applyNumberFormat="1" applyFont="1" applyFill="1" applyBorder="1"/>
    <xf numFmtId="2" fontId="2" fillId="6" borderId="3" xfId="0" applyNumberFormat="1" applyFont="1" applyFill="1" applyBorder="1"/>
    <xf numFmtId="2" fontId="2" fillId="6" borderId="8" xfId="0" applyNumberFormat="1" applyFont="1" applyFill="1" applyBorder="1"/>
    <xf numFmtId="2" fontId="2" fillId="7" borderId="13" xfId="0" applyNumberFormat="1" applyFont="1" applyFill="1" applyBorder="1"/>
    <xf numFmtId="2" fontId="2" fillId="6" borderId="7" xfId="0" applyNumberFormat="1" applyFont="1" applyFill="1" applyBorder="1"/>
    <xf numFmtId="168" fontId="2" fillId="6" borderId="3" xfId="0" applyNumberFormat="1" applyFont="1" applyFill="1" applyBorder="1"/>
    <xf numFmtId="0" fontId="2" fillId="6" borderId="8" xfId="0" applyNumberFormat="1" applyFont="1" applyFill="1" applyBorder="1"/>
    <xf numFmtId="0" fontId="2" fillId="6" borderId="9" xfId="0" applyNumberFormat="1" applyFont="1" applyFill="1" applyBorder="1"/>
    <xf numFmtId="167" fontId="2" fillId="6" borderId="10" xfId="0" applyNumberFormat="1" applyFont="1" applyFill="1" applyBorder="1"/>
    <xf numFmtId="0" fontId="2" fillId="6" borderId="10" xfId="0" applyNumberFormat="1" applyFont="1" applyFill="1" applyBorder="1"/>
    <xf numFmtId="2" fontId="2" fillId="6" borderId="10" xfId="0" applyNumberFormat="1" applyFont="1" applyFill="1" applyBorder="1"/>
    <xf numFmtId="2" fontId="2" fillId="6" borderId="11" xfId="0" applyNumberFormat="1" applyFont="1" applyFill="1" applyBorder="1"/>
    <xf numFmtId="2" fontId="2" fillId="7" borderId="14" xfId="0" applyNumberFormat="1" applyFont="1" applyFill="1" applyBorder="1"/>
    <xf numFmtId="2" fontId="2" fillId="6" borderId="9" xfId="0" applyNumberFormat="1" applyFont="1" applyFill="1" applyBorder="1"/>
    <xf numFmtId="168" fontId="2" fillId="6" borderId="10" xfId="0" applyNumberFormat="1" applyFont="1" applyFill="1" applyBorder="1"/>
    <xf numFmtId="0" fontId="2" fillId="6" borderId="11" xfId="0" applyNumberFormat="1" applyFont="1" applyFill="1" applyBorder="1"/>
    <xf numFmtId="167" fontId="2" fillId="0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wrapText="1"/>
    </xf>
    <xf numFmtId="0" fontId="1" fillId="4" borderId="15" xfId="0" applyNumberFormat="1" applyFont="1" applyFill="1" applyBorder="1" applyAlignment="1">
      <alignment horizontal="center" vertical="center" wrapText="1"/>
    </xf>
    <xf numFmtId="167" fontId="2" fillId="0" borderId="15" xfId="0" applyNumberFormat="1" applyFont="1" applyFill="1" applyBorder="1"/>
    <xf numFmtId="0" fontId="2" fillId="0" borderId="15" xfId="0" applyNumberFormat="1" applyFont="1" applyFill="1" applyBorder="1"/>
    <xf numFmtId="165" fontId="2" fillId="0" borderId="15" xfId="0" applyNumberFormat="1" applyFont="1" applyFill="1" applyBorder="1"/>
    <xf numFmtId="166" fontId="2" fillId="0" borderId="15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4" borderId="16" xfId="0" applyNumberFormat="1" applyFont="1" applyFill="1" applyBorder="1" applyAlignment="1">
      <alignment horizontal="left" vertical="center"/>
    </xf>
    <xf numFmtId="0" fontId="1" fillId="4" borderId="17" xfId="0" applyNumberFormat="1" applyFont="1" applyFill="1" applyBorder="1" applyAlignment="1">
      <alignment horizontal="left" vertical="center"/>
    </xf>
    <xf numFmtId="0" fontId="1" fillId="4" borderId="21" xfId="0" applyNumberFormat="1" applyFont="1" applyFill="1" applyBorder="1" applyAlignment="1">
      <alignment horizontal="left" vertical="center"/>
    </xf>
    <xf numFmtId="0" fontId="2" fillId="3" borderId="22" xfId="0" applyNumberFormat="1" applyFont="1" applyFill="1" applyBorder="1" applyAlignment="1">
      <alignment vertical="top" wrapText="1"/>
    </xf>
    <xf numFmtId="0" fontId="2" fillId="3" borderId="23" xfId="0" applyNumberFormat="1" applyFont="1" applyFill="1" applyBorder="1" applyAlignment="1">
      <alignment vertical="top" wrapText="1"/>
    </xf>
    <xf numFmtId="0" fontId="2" fillId="3" borderId="24" xfId="0" applyNumberFormat="1" applyFont="1" applyFill="1" applyBorder="1" applyAlignment="1">
      <alignment vertical="top" wrapText="1"/>
    </xf>
    <xf numFmtId="0" fontId="2" fillId="3" borderId="25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vertical="top" wrapText="1"/>
    </xf>
    <xf numFmtId="0" fontId="2" fillId="3" borderId="26" xfId="0" applyNumberFormat="1" applyFont="1" applyFill="1" applyBorder="1" applyAlignment="1">
      <alignment vertical="top" wrapText="1"/>
    </xf>
    <xf numFmtId="0" fontId="2" fillId="3" borderId="27" xfId="0" applyNumberFormat="1" applyFont="1" applyFill="1" applyBorder="1" applyAlignment="1">
      <alignment vertical="top" wrapText="1"/>
    </xf>
    <xf numFmtId="0" fontId="2" fillId="3" borderId="28" xfId="0" applyNumberFormat="1" applyFont="1" applyFill="1" applyBorder="1" applyAlignment="1">
      <alignment vertical="top" wrapText="1"/>
    </xf>
    <xf numFmtId="0" fontId="2" fillId="3" borderId="29" xfId="0" applyNumberFormat="1" applyFont="1" applyFill="1" applyBorder="1" applyAlignment="1">
      <alignment vertical="top" wrapText="1"/>
    </xf>
    <xf numFmtId="0" fontId="2" fillId="4" borderId="22" xfId="0" applyNumberFormat="1" applyFont="1" applyFill="1" applyBorder="1" applyAlignment="1">
      <alignment vertical="top" wrapText="1"/>
    </xf>
    <xf numFmtId="0" fontId="2" fillId="4" borderId="23" xfId="0" applyNumberFormat="1" applyFont="1" applyFill="1" applyBorder="1" applyAlignment="1">
      <alignment vertical="top" wrapText="1"/>
    </xf>
    <xf numFmtId="0" fontId="2" fillId="4" borderId="24" xfId="0" applyNumberFormat="1" applyFont="1" applyFill="1" applyBorder="1" applyAlignment="1">
      <alignment vertical="top" wrapText="1"/>
    </xf>
    <xf numFmtId="0" fontId="2" fillId="4" borderId="25" xfId="0" applyNumberFormat="1" applyFont="1" applyFill="1" applyBorder="1" applyAlignment="1">
      <alignment vertical="top" wrapText="1"/>
    </xf>
    <xf numFmtId="0" fontId="2" fillId="4" borderId="0" xfId="0" applyNumberFormat="1" applyFont="1" applyFill="1" applyBorder="1" applyAlignment="1">
      <alignment vertical="top" wrapText="1"/>
    </xf>
    <xf numFmtId="0" fontId="2" fillId="4" borderId="26" xfId="0" applyNumberFormat="1" applyFont="1" applyFill="1" applyBorder="1" applyAlignment="1">
      <alignment vertical="top" wrapText="1"/>
    </xf>
    <xf numFmtId="0" fontId="2" fillId="4" borderId="27" xfId="0" applyNumberFormat="1" applyFont="1" applyFill="1" applyBorder="1" applyAlignment="1">
      <alignment vertical="top" wrapText="1"/>
    </xf>
    <xf numFmtId="0" fontId="2" fillId="4" borderId="28" xfId="0" applyNumberFormat="1" applyFont="1" applyFill="1" applyBorder="1" applyAlignment="1">
      <alignment vertical="top" wrapText="1"/>
    </xf>
    <xf numFmtId="0" fontId="2" fillId="4" borderId="29" xfId="0" applyNumberFormat="1" applyFont="1" applyFill="1" applyBorder="1" applyAlignment="1">
      <alignment vertical="top" wrapText="1"/>
    </xf>
    <xf numFmtId="0" fontId="2" fillId="5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vertical="center" wrapText="1"/>
    </xf>
    <xf numFmtId="0" fontId="1" fillId="4" borderId="16" xfId="0" applyNumberFormat="1" applyFont="1" applyFill="1" applyBorder="1" applyAlignment="1">
      <alignment horizontal="left" vertical="center" wrapText="1"/>
    </xf>
    <xf numFmtId="0" fontId="1" fillId="4" borderId="21" xfId="0" applyNumberFormat="1" applyFont="1" applyFill="1" applyBorder="1" applyAlignment="1">
      <alignment horizontal="left" vertical="center" wrapText="1"/>
    </xf>
    <xf numFmtId="0" fontId="1" fillId="4" borderId="17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44">
    <dxf>
      <font>
        <color rgb="FF9C6500"/>
      </font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E699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color rgb="FF9C6500"/>
      </font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E699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color rgb="FF9C6500"/>
      </font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E699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color rgb="FF9C6500"/>
      </font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E699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color rgb="FF9C6500"/>
      </font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E699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color rgb="FF9C6500"/>
      </font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E699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color rgb="FF9C6500"/>
      </font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E699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color rgb="FF9C6500"/>
      </font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E699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color rgb="FF9C6500"/>
      </font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E699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color rgb="FF9C6500"/>
      </font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E699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color rgb="FF9C6500"/>
      </font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E699"/>
        </patternFill>
      </fill>
    </dxf>
    <dxf>
      <font>
        <b/>
        <color rgb="FF006100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f67f975f17dc4a0e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NZ"/>
              <a:t>Monthly chance of a 1 mm wet day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Wet-Day Probability</c:v>
          </c:tx>
          <c:marker>
            <c:symbol val="none"/>
          </c:marker>
          <c:cat>
            <c:strRef>
              <c:f>Estimator!$J$21:$J$32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Estimator!$K$21:$K$32</c:f>
              <c:numCache>
                <c:formatCode>0.0%</c:formatCode>
                <c:ptCount val="12"/>
                <c:pt idx="0">
                  <c:v>0.19462365591397848</c:v>
                </c:pt>
                <c:pt idx="1">
                  <c:v>0.18867924528301885</c:v>
                </c:pt>
                <c:pt idx="2">
                  <c:v>0.18494623655913978</c:v>
                </c:pt>
                <c:pt idx="3">
                  <c:v>0.25555555555555559</c:v>
                </c:pt>
                <c:pt idx="4">
                  <c:v>0.23010752688172045</c:v>
                </c:pt>
                <c:pt idx="5">
                  <c:v>0.28666666666666668</c:v>
                </c:pt>
                <c:pt idx="6">
                  <c:v>0.24731182795698925</c:v>
                </c:pt>
                <c:pt idx="7">
                  <c:v>0.23548387096774193</c:v>
                </c:pt>
                <c:pt idx="8">
                  <c:v>0.20666666666666667</c:v>
                </c:pt>
                <c:pt idx="9">
                  <c:v>0.23225806451612904</c:v>
                </c:pt>
                <c:pt idx="10">
                  <c:v>0.23333333333333334</c:v>
                </c:pt>
                <c:pt idx="11">
                  <c:v>0.22688172043010751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D-40F5-BB9A-4C9026AD8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0.7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</xdr:colOff>
      <xdr:row>40</xdr:row>
      <xdr:rowOff>38100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75583E08-5EAE-BDB3-27EA-EDE426109BE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Rick Jones" id="{254B8C89-3FF9-4077-9E1E-423ACCCB2D1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B7" dT="2026-08-14T10:01:37.973" personId="{254B8C89-3FF9-4077-9E1E-423ACCCB2D18}" id="{B0019669-C265-F961-29F0-898EF7C713C2}">
    <xltc:text>Standard work pattern only. Public holidays, shutdowns and unusual rosters must be handled through the working-days override or the contract programme.</xltc:text>
  </xltc:threadedComment>
  <xltc:threadedComment ref="B15" dT="2026-08-14T10:01:37.974" personId="{254B8C89-3FF9-4077-9E1E-423ACCCB2D18}" id="{1B840C88-F518-2A69-ECDD-F5447F396314}">
    <xltc:text>Use a sourced probability that matches the task wind threshold. The Auckland default is only a legacy &gt;63 km/h gust-day proxy.</xltc:text>
  </xltc:threadedComment>
  <xltc:threadedComment ref="B16" dT="2026-08-14T10:01:37.974" personId="{254B8C89-3FF9-4077-9E1E-423ACCCB2D18}" id="{BA6AD55B-1D87-8692-992D-F12B3D6BDECF}">
    <xltc:text>Keep at 1.00 unless local exposure differs materially from the selected station. Record the evidence or professional basis in the next cell.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ecb60d65eff94d77" Type="http://schemas.microsoft.com/office/2017/10/relationships/threadedComment" Target="../threadedcomments/threadedcomment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showGridLines="0" tabSelected="1" workbookViewId="0">
      <selection activeCell="B10" sqref="B10"/>
    </sheetView>
  </sheetViews>
  <sheetFormatPr defaultRowHeight="13.8"/>
  <cols>
    <col min="1" max="1" width="36" customWidth="1"/>
    <col min="2" max="2" width="22" customWidth="1"/>
    <col min="3" max="3" width="3" customWidth="1"/>
    <col min="4" max="4" width="38" customWidth="1"/>
    <col min="5" max="5" width="19" customWidth="1"/>
    <col min="6" max="6" width="3" customWidth="1"/>
    <col min="7" max="7" width="39" customWidth="1"/>
    <col min="8" max="8" width="30" customWidth="1"/>
    <col min="9" max="9" width="3" customWidth="1"/>
    <col min="10" max="12" width="18" customWidth="1"/>
    <col min="13" max="17" width="13" customWidth="1"/>
  </cols>
  <sheetData>
    <row r="1" spans="1:17" ht="25.95" customHeight="1">
      <c r="A1" s="88" t="s">
        <v>0</v>
      </c>
      <c r="B1" s="89" t="s">
        <v>0</v>
      </c>
      <c r="C1" s="89" t="s">
        <v>0</v>
      </c>
      <c r="D1" s="89" t="s">
        <v>0</v>
      </c>
      <c r="E1" s="89" t="s">
        <v>0</v>
      </c>
      <c r="F1" s="89" t="s">
        <v>0</v>
      </c>
      <c r="G1" s="89" t="s">
        <v>0</v>
      </c>
      <c r="H1" s="89" t="s">
        <v>0</v>
      </c>
      <c r="I1" s="89" t="s">
        <v>0</v>
      </c>
      <c r="J1" s="89" t="s">
        <v>0</v>
      </c>
      <c r="K1" s="89" t="s">
        <v>0</v>
      </c>
      <c r="L1" s="89" t="s">
        <v>0</v>
      </c>
      <c r="M1" s="89" t="s">
        <v>0</v>
      </c>
      <c r="N1" s="89" t="s">
        <v>0</v>
      </c>
      <c r="O1" s="89" t="s">
        <v>0</v>
      </c>
      <c r="P1" s="89" t="s">
        <v>0</v>
      </c>
      <c r="Q1" s="89" t="s">
        <v>0</v>
      </c>
    </row>
    <row r="2" spans="1:17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4.4">
      <c r="A3" s="90" t="s">
        <v>1</v>
      </c>
      <c r="B3" s="91" t="s">
        <v>1</v>
      </c>
      <c r="C3" s="1"/>
      <c r="D3" s="90" t="s">
        <v>2</v>
      </c>
      <c r="E3" s="91" t="s">
        <v>2</v>
      </c>
      <c r="F3" s="1"/>
      <c r="G3" s="90" t="s">
        <v>3</v>
      </c>
      <c r="H3" s="91" t="s">
        <v>3</v>
      </c>
      <c r="I3" s="1"/>
      <c r="J3" s="1"/>
      <c r="K3" s="1"/>
      <c r="L3" s="1"/>
      <c r="M3" s="1"/>
      <c r="N3" s="1"/>
      <c r="O3" s="1"/>
      <c r="P3" s="1"/>
      <c r="Q3" s="1"/>
    </row>
    <row r="4" spans="1:17" ht="14.4">
      <c r="A4" s="2" t="s">
        <v>4</v>
      </c>
      <c r="B4" s="3" t="s">
        <v>278</v>
      </c>
      <c r="C4" s="2"/>
      <c r="D4" s="2" t="s">
        <v>6</v>
      </c>
      <c r="E4" s="4" t="str">
        <f>IF($B$9="","",INDEX('Task Library'!$C$7:$C$45,MATCH($B$9,'Task Library'!$A$7:$A$45,0)))</f>
        <v>1.00</v>
      </c>
      <c r="F4" s="2"/>
      <c r="G4" s="2" t="s">
        <v>7</v>
      </c>
      <c r="H4" s="5" t="s">
        <v>8</v>
      </c>
      <c r="I4" s="1"/>
      <c r="J4" s="1"/>
      <c r="K4" s="1"/>
      <c r="L4" s="1"/>
      <c r="M4" s="1"/>
      <c r="N4" s="1"/>
      <c r="O4" s="1"/>
      <c r="P4" s="1"/>
      <c r="Q4" s="1"/>
    </row>
    <row r="5" spans="1:17" ht="14.4">
      <c r="A5" s="2" t="s">
        <v>9</v>
      </c>
      <c r="B5" s="6">
        <v>46266</v>
      </c>
      <c r="C5" s="2"/>
      <c r="D5" s="2" t="s">
        <v>10</v>
      </c>
      <c r="E5" s="7"/>
      <c r="F5" s="2"/>
      <c r="G5" s="2" t="s">
        <v>11</v>
      </c>
      <c r="H5" s="8">
        <f>IF(OR(B5="",B6="",B6&lt;B5),"",SUMPRODUCT((('Date Engine'!$A$7:$A$5850&gt;=$B$5)*('Date Engine'!$A$7:$A$5850&lt;=$B$6)*'Date Engine'!$G$7:$G$5850)))</f>
        <v>153</v>
      </c>
      <c r="I5" s="1"/>
      <c r="J5" s="1"/>
      <c r="K5" s="1"/>
      <c r="L5" s="1"/>
      <c r="M5" s="1"/>
      <c r="N5" s="1"/>
      <c r="O5" s="1"/>
      <c r="P5" s="1"/>
      <c r="Q5" s="1"/>
    </row>
    <row r="6" spans="1:17" ht="14.4">
      <c r="A6" s="2" t="s">
        <v>12</v>
      </c>
      <c r="B6" s="6">
        <v>46478</v>
      </c>
      <c r="C6" s="2"/>
      <c r="D6" s="2" t="s">
        <v>13</v>
      </c>
      <c r="E6" s="4" t="str">
        <f>IF(E4="","",IF(E5="",E4,E5))</f>
        <v>1.00</v>
      </c>
      <c r="F6" s="2"/>
      <c r="G6" s="2" t="s">
        <v>14</v>
      </c>
      <c r="H6" s="8">
        <f>IF(H5="","",IF(B8="",H5,B8))</f>
        <v>153</v>
      </c>
      <c r="I6" s="1"/>
      <c r="J6" s="1"/>
      <c r="K6" s="1"/>
      <c r="L6" s="1"/>
      <c r="M6" s="1"/>
      <c r="N6" s="1"/>
      <c r="O6" s="1"/>
      <c r="P6" s="1"/>
      <c r="Q6" s="1"/>
    </row>
    <row r="7" spans="1:17" ht="14.4">
      <c r="A7" s="2" t="s">
        <v>15</v>
      </c>
      <c r="B7" s="9">
        <v>5</v>
      </c>
      <c r="C7" s="2"/>
      <c r="D7" s="2"/>
      <c r="E7" s="2"/>
      <c r="F7" s="2"/>
      <c r="G7" s="2" t="s">
        <v>16</v>
      </c>
      <c r="H7" s="10">
        <f>IFERROR(SUMPRODUCT((('Date Engine'!$A$7:$A$5850&gt;=$B$5)*('Date Engine'!$A$7:$A$5850&lt;=$B$6)*'Date Engine'!$G$7:$G$5850)*'Date Engine'!$H$7:$H$5850)/SUMPRODUCT((('Date Engine'!$A$7:$A$5850&gt;=$B$5)*('Date Engine'!$A$7:$A$5850&lt;=$B$6)*'Date Engine'!$G$7:$G$5850)),"")</f>
        <v>0.21009558387048136</v>
      </c>
      <c r="I7" s="1"/>
      <c r="J7" s="1"/>
      <c r="K7" s="1"/>
      <c r="L7" s="1"/>
      <c r="M7" s="1"/>
      <c r="N7" s="1"/>
      <c r="O7" s="1"/>
      <c r="P7" s="1"/>
      <c r="Q7" s="1"/>
    </row>
    <row r="8" spans="1:17" ht="14.4">
      <c r="A8" s="2" t="s">
        <v>17</v>
      </c>
      <c r="B8" s="9"/>
      <c r="C8" s="2"/>
      <c r="D8" s="2" t="s">
        <v>18</v>
      </c>
      <c r="E8" s="4" t="str">
        <f>IF($B$9="","",INDEX('Task Library'!$D$7:$D$45,MATCH($B$9,'Task Library'!$A$7:$A$45,0)))</f>
        <v>0.70</v>
      </c>
      <c r="F8" s="2"/>
      <c r="G8" s="2" t="s">
        <v>19</v>
      </c>
      <c r="H8" s="10">
        <f>IF(H7="","",MIN(1,H7*B16))</f>
        <v>0.21009558387048136</v>
      </c>
      <c r="I8" s="1"/>
      <c r="J8" s="1"/>
      <c r="K8" s="1"/>
      <c r="L8" s="1"/>
      <c r="M8" s="1"/>
      <c r="N8" s="1"/>
      <c r="O8" s="1"/>
      <c r="P8" s="1"/>
      <c r="Q8" s="1"/>
    </row>
    <row r="9" spans="1:17" ht="14.4">
      <c r="A9" s="2" t="s">
        <v>20</v>
      </c>
      <c r="B9" s="9" t="s">
        <v>155</v>
      </c>
      <c r="C9" s="2"/>
      <c r="D9" s="2" t="s">
        <v>21</v>
      </c>
      <c r="E9" s="7"/>
      <c r="F9" s="2"/>
      <c r="G9" s="2" t="s">
        <v>22</v>
      </c>
      <c r="H9" s="11">
        <f>IFERROR(SUMPRODUCT((('Date Engine'!$A$7:$A$5850&gt;=$B$5)*('Date Engine'!$A$7:$A$5850&lt;=$B$6)*'Date Engine'!$G$7:$G$5850)*'Date Engine'!$H$7:$H$5850*'Date Engine'!$I$7:$I$5850)/SUMPRODUCT((('Date Engine'!$A$7:$A$5850&gt;=$B$5)*('Date Engine'!$A$7:$A$5850&lt;=$B$6)*'Date Engine'!$G$7:$G$5850)*'Date Engine'!$H$7:$H$5850),"")</f>
        <v>7.002329744247807</v>
      </c>
      <c r="I9" s="1"/>
      <c r="J9" s="1"/>
      <c r="K9" s="1"/>
      <c r="L9" s="1"/>
      <c r="M9" s="1"/>
      <c r="N9" s="1"/>
      <c r="O9" s="1"/>
      <c r="P9" s="1"/>
      <c r="Q9" s="1"/>
    </row>
    <row r="10" spans="1:17" ht="14.4">
      <c r="A10" s="2" t="s">
        <v>23</v>
      </c>
      <c r="B10" s="12"/>
      <c r="C10" s="2"/>
      <c r="D10" s="2" t="s">
        <v>24</v>
      </c>
      <c r="E10" s="4" t="str">
        <f>IF(E8="","",IF(E9="",E8,E9))</f>
        <v>0.70</v>
      </c>
      <c r="F10" s="2"/>
      <c r="G10" s="2" t="s">
        <v>25</v>
      </c>
      <c r="H10" s="10">
        <f>IF(B15&lt;&gt;"",B15,IFERROR(SUMPRODUCT((('Date Engine'!$A$7:$A$5850&gt;=$B$5)*('Date Engine'!$A$7:$A$5850&lt;=$B$6)*'Date Engine'!$G$7:$G$5850)*'Date Engine'!$J$7:$J$5850)/SUMPRODUCT((('Date Engine'!$A$7:$A$5850&gt;=$B$5)*('Date Engine'!$A$7:$A$5850&lt;=$B$6)*'Date Engine'!$G$7:$G$5850)),0))</f>
        <v>0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ht="14.4">
      <c r="A11" s="2" t="s">
        <v>26</v>
      </c>
      <c r="B11" s="12"/>
      <c r="C11" s="2"/>
      <c r="D11" s="2"/>
      <c r="E11" s="2"/>
      <c r="F11" s="2"/>
      <c r="G11" s="2" t="s">
        <v>27</v>
      </c>
      <c r="H11" s="13" t="str">
        <f>IF(B4="Auckland","AMBER - legacy Auckland wind proxy",IF(B15&lt;&gt;"","AMBER - project override requires source","RED - no wind frequency loaded"))</f>
        <v>RED - no wind frequency loaded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4.4">
      <c r="A12" s="2" t="s">
        <v>28</v>
      </c>
      <c r="B12" s="12"/>
      <c r="C12" s="2"/>
      <c r="D12" s="2" t="s">
        <v>29</v>
      </c>
      <c r="E12" s="14">
        <f>IF($B$9="","",INDEX('Task Library'!$E$7:$E$45,MATCH($B$9,'Task Library'!$A$7:$A$45,0)))</f>
        <v>0.2</v>
      </c>
      <c r="F12" s="2"/>
      <c r="G12" s="2"/>
      <c r="H12" s="15"/>
      <c r="I12" s="1"/>
      <c r="J12" s="1"/>
      <c r="K12" s="1"/>
      <c r="L12" s="1"/>
      <c r="M12" s="1"/>
      <c r="N12" s="1"/>
      <c r="O12" s="1"/>
      <c r="P12" s="1"/>
      <c r="Q12" s="1"/>
    </row>
    <row r="13" spans="1:17" ht="14.4">
      <c r="A13" s="2" t="s">
        <v>30</v>
      </c>
      <c r="B13" s="12"/>
      <c r="C13" s="2"/>
      <c r="D13" s="2" t="s">
        <v>31</v>
      </c>
      <c r="E13" s="16"/>
      <c r="F13" s="2"/>
      <c r="G13" s="2" t="s">
        <v>32</v>
      </c>
      <c r="H13" s="10">
        <f>IF(OR(H8="",E6="",E10="",E26=""),"",H8*E6*E10*E26)</f>
        <v>0.1250068724029364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ht="14.4">
      <c r="A14" s="2" t="s">
        <v>33</v>
      </c>
      <c r="B14" s="12">
        <v>0</v>
      </c>
      <c r="C14" s="2"/>
      <c r="D14" s="2" t="s">
        <v>34</v>
      </c>
      <c r="E14" s="14">
        <f>IF(E12="","",IF(E13="",E12,E13))</f>
        <v>0.2</v>
      </c>
      <c r="F14" s="2"/>
      <c r="G14" s="2" t="s">
        <v>35</v>
      </c>
      <c r="H14" s="10">
        <f>IF(OR(H8="",E14="",E26=""),"",H8*E14*E26)</f>
        <v>3.5716249257981836E-2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14.4">
      <c r="A15" s="2" t="s">
        <v>36</v>
      </c>
      <c r="B15" s="17"/>
      <c r="C15" s="2"/>
      <c r="D15" s="2"/>
      <c r="E15" s="2"/>
      <c r="F15" s="2"/>
      <c r="G15" s="2" t="s">
        <v>37</v>
      </c>
      <c r="H15" s="10">
        <f>IF(OR(E18="",E22="",E26=""),"",H10*E18*E22*E26)</f>
        <v>0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14.4">
      <c r="A16" s="2" t="s">
        <v>38</v>
      </c>
      <c r="B16" s="18">
        <v>1</v>
      </c>
      <c r="C16" s="2"/>
      <c r="D16" s="2" t="s">
        <v>39</v>
      </c>
      <c r="E16" s="4" t="str">
        <f>IF($B$9="","",INDEX('Task Library'!$F$7:$F$45,MATCH($B$9,'Task Library'!$A$7:$A$45,0)))</f>
        <v>0.15</v>
      </c>
      <c r="F16" s="2"/>
      <c r="G16" s="2" t="s">
        <v>40</v>
      </c>
      <c r="H16" s="10">
        <f>IF(B9="","",MIN(1,H13+H14+H15))</f>
        <v>0.16072312166091823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ht="14.4">
      <c r="A17" s="2" t="s">
        <v>41</v>
      </c>
      <c r="B17" s="9"/>
      <c r="C17" s="2"/>
      <c r="D17" s="2" t="s">
        <v>42</v>
      </c>
      <c r="E17" s="7"/>
      <c r="F17" s="2"/>
      <c r="G17" s="2" t="s">
        <v>43</v>
      </c>
      <c r="H17" s="8">
        <f>IF(OR(H6="",B9=""),"",H6*H16)</f>
        <v>24.590637614120489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14.4">
      <c r="A18" s="2" t="s">
        <v>44</v>
      </c>
      <c r="B18" s="19" t="s">
        <v>45</v>
      </c>
      <c r="C18" s="2"/>
      <c r="D18" s="2" t="s">
        <v>46</v>
      </c>
      <c r="E18" s="4" t="str">
        <f>IF(E16="","",IF(E17="",E16,E17))</f>
        <v>0.15</v>
      </c>
      <c r="F18" s="2"/>
      <c r="G18" s="2" t="s">
        <v>47</v>
      </c>
      <c r="H18" s="8">
        <f>IF(B9="","",IF(B18="Yes",H17,0))</f>
        <v>24.590637614120489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14.4">
      <c r="A19" s="2"/>
      <c r="B19" s="2"/>
      <c r="C19" s="2"/>
      <c r="D19" s="2"/>
      <c r="E19" s="2"/>
      <c r="F19" s="2"/>
      <c r="G19" s="2"/>
      <c r="H19" s="15"/>
      <c r="I19" s="1"/>
      <c r="J19" s="1"/>
      <c r="K19" s="1"/>
      <c r="L19" s="1"/>
      <c r="M19" s="1"/>
      <c r="N19" s="1"/>
      <c r="O19" s="1"/>
      <c r="P19" s="1"/>
      <c r="Q19" s="1"/>
    </row>
    <row r="20" spans="1:17" ht="27.6">
      <c r="A20" s="2"/>
      <c r="B20" s="2"/>
      <c r="C20" s="2"/>
      <c r="D20" s="2" t="s">
        <v>48</v>
      </c>
      <c r="E20" s="4" t="str">
        <f>IF($B$9="","",INDEX('Task Library'!$G$7:$G$45,MATCH($B$9,'Task Library'!$A$7:$A$45,0)))</f>
        <v>0.70</v>
      </c>
      <c r="F20" s="2"/>
      <c r="G20" s="2" t="s">
        <v>49</v>
      </c>
      <c r="H20" s="20">
        <f>IF(B9="","",(B10+B11)*H16)</f>
        <v>0</v>
      </c>
      <c r="I20" s="1"/>
      <c r="J20" s="21" t="s">
        <v>50</v>
      </c>
      <c r="K20" s="21" t="s">
        <v>51</v>
      </c>
      <c r="L20" s="21" t="s">
        <v>52</v>
      </c>
      <c r="M20" s="1"/>
      <c r="N20" s="1"/>
      <c r="O20" s="1"/>
      <c r="P20" s="1"/>
      <c r="Q20" s="1"/>
    </row>
    <row r="21" spans="1:17" ht="14.4">
      <c r="A21" s="2"/>
      <c r="B21" s="2"/>
      <c r="C21" s="2"/>
      <c r="D21" s="2" t="s">
        <v>53</v>
      </c>
      <c r="E21" s="7"/>
      <c r="F21" s="2"/>
      <c r="G21" s="2" t="s">
        <v>54</v>
      </c>
      <c r="H21" s="20">
        <f>IF(B9="","",H18*B12)</f>
        <v>0</v>
      </c>
      <c r="I21" s="1"/>
      <c r="J21" s="22" t="s">
        <v>55</v>
      </c>
      <c r="K21" s="23">
        <f>SUMIFS('Climate Data'!$G$7:$G$366,'Climate Data'!$A$7:$A$366,$B$4,'Climate Data'!$B$7:$B$366,1)</f>
        <v>0.19462365591397848</v>
      </c>
      <c r="L21" s="24">
        <f>SUMIFS('Climate Data'!$H$7:$H$366,'Climate Data'!$A$7:$A$366,$B$4,'Climate Data'!$B$7:$B$366,1)</f>
        <v>7.027624309392265</v>
      </c>
      <c r="M21" s="1"/>
      <c r="N21" s="1"/>
      <c r="O21" s="1"/>
      <c r="P21" s="1"/>
      <c r="Q21" s="1"/>
    </row>
    <row r="22" spans="1:17" ht="14.4">
      <c r="A22" s="2"/>
      <c r="B22" s="2"/>
      <c r="C22" s="2"/>
      <c r="D22" s="2" t="s">
        <v>56</v>
      </c>
      <c r="E22" s="4" t="str">
        <f>IF(E20="","",IF(E21="",E20,E21))</f>
        <v>0.70</v>
      </c>
      <c r="F22" s="2"/>
      <c r="G22" s="2" t="s">
        <v>57</v>
      </c>
      <c r="H22" s="25">
        <f>IF(OR(H18="",H18=0),0,ROUNDUP(H18/B7,0))</f>
        <v>5</v>
      </c>
      <c r="I22" s="1"/>
      <c r="J22" s="22" t="s">
        <v>58</v>
      </c>
      <c r="K22" s="23">
        <f>SUMIFS('Climate Data'!$G$7:$G$366,'Climate Data'!$A$7:$A$366,$B$4,'Climate Data'!$B$7:$B$366,2)</f>
        <v>0.18867924528301885</v>
      </c>
      <c r="L22" s="24">
        <f>SUMIFS('Climate Data'!$H$7:$H$366,'Climate Data'!$A$7:$A$366,$B$4,'Climate Data'!$B$7:$B$366,2)</f>
        <v>7.4624999999999995</v>
      </c>
      <c r="M22" s="1"/>
      <c r="N22" s="1"/>
      <c r="O22" s="1"/>
      <c r="P22" s="1"/>
      <c r="Q22" s="1"/>
    </row>
    <row r="23" spans="1:17" ht="14.4">
      <c r="A23" s="2"/>
      <c r="B23" s="2"/>
      <c r="C23" s="2"/>
      <c r="D23" s="2"/>
      <c r="E23" s="2"/>
      <c r="F23" s="2"/>
      <c r="G23" s="2" t="s">
        <v>59</v>
      </c>
      <c r="H23" s="20">
        <f>IF(B9="","",H22*B13)</f>
        <v>0</v>
      </c>
      <c r="I23" s="1"/>
      <c r="J23" s="22" t="s">
        <v>60</v>
      </c>
      <c r="K23" s="23">
        <f>SUMIFS('Climate Data'!$G$7:$G$366,'Climate Data'!$A$7:$A$366,$B$4,'Climate Data'!$B$7:$B$366,3)</f>
        <v>0.18494623655913978</v>
      </c>
      <c r="L23" s="24">
        <f>SUMIFS('Climate Data'!$H$7:$H$366,'Climate Data'!$A$7:$A$366,$B$4,'Climate Data'!$B$7:$B$366,3)</f>
        <v>7.8662790697674421</v>
      </c>
      <c r="M23" s="1"/>
      <c r="N23" s="1"/>
      <c r="O23" s="1"/>
      <c r="P23" s="1"/>
      <c r="Q23" s="1"/>
    </row>
    <row r="24" spans="1:17" ht="14.4">
      <c r="A24" s="2"/>
      <c r="B24" s="2"/>
      <c r="C24" s="2"/>
      <c r="D24" s="2" t="s">
        <v>61</v>
      </c>
      <c r="E24" s="4" t="str">
        <f>IF($B$9="","",INDEX('Task Library'!$H$7:$H$45,MATCH($B$9,'Task Library'!$A$7:$A$45,0)))</f>
        <v>0.85</v>
      </c>
      <c r="F24" s="2"/>
      <c r="G24" s="2" t="s">
        <v>33</v>
      </c>
      <c r="H24" s="20">
        <f>B14</f>
        <v>0</v>
      </c>
      <c r="I24" s="1"/>
      <c r="J24" s="22" t="s">
        <v>62</v>
      </c>
      <c r="K24" s="23">
        <f>SUMIFS('Climate Data'!$G$7:$G$366,'Climate Data'!$A$7:$A$366,$B$4,'Climate Data'!$B$7:$B$366,4)</f>
        <v>0.25555555555555559</v>
      </c>
      <c r="L24" s="24">
        <f>SUMIFS('Climate Data'!$H$7:$H$366,'Climate Data'!$A$7:$A$366,$B$4,'Climate Data'!$B$7:$B$366,4)</f>
        <v>7.5</v>
      </c>
      <c r="M24" s="1"/>
      <c r="N24" s="1"/>
      <c r="O24" s="1"/>
      <c r="P24" s="1"/>
      <c r="Q24" s="1"/>
    </row>
    <row r="25" spans="1:17" ht="14.4">
      <c r="A25" s="2"/>
      <c r="B25" s="2"/>
      <c r="C25" s="2"/>
      <c r="D25" s="2" t="s">
        <v>63</v>
      </c>
      <c r="E25" s="7"/>
      <c r="F25" s="2"/>
      <c r="G25" s="2" t="s">
        <v>64</v>
      </c>
      <c r="H25" s="20">
        <f>IF(B9="","",SUM(H20:H21,H23:H24))</f>
        <v>0</v>
      </c>
      <c r="I25" s="1"/>
      <c r="J25" s="22" t="s">
        <v>65</v>
      </c>
      <c r="K25" s="23">
        <f>SUMIFS('Climate Data'!$G$7:$G$366,'Climate Data'!$A$7:$A$366,$B$4,'Climate Data'!$B$7:$B$366,5)</f>
        <v>0.23010752688172045</v>
      </c>
      <c r="L25" s="24">
        <f>SUMIFS('Climate Data'!$H$7:$H$366,'Climate Data'!$A$7:$A$366,$B$4,'Climate Data'!$B$7:$B$366,5)</f>
        <v>8.1448598130841123</v>
      </c>
      <c r="M25" s="1"/>
      <c r="N25" s="1"/>
      <c r="O25" s="1"/>
      <c r="P25" s="1"/>
      <c r="Q25" s="1"/>
    </row>
    <row r="26" spans="1:17" ht="14.4">
      <c r="A26" s="2"/>
      <c r="B26" s="2"/>
      <c r="C26" s="2"/>
      <c r="D26" s="2" t="s">
        <v>66</v>
      </c>
      <c r="E26" s="4" t="str">
        <f>IF(E24="","",IF(E25="",E24,E25))</f>
        <v>0.85</v>
      </c>
      <c r="F26" s="2"/>
      <c r="G26" s="2" t="s">
        <v>67</v>
      </c>
      <c r="H26" s="10">
        <f>IFERROR(H25/(B10+B11),0)</f>
        <v>0</v>
      </c>
      <c r="I26" s="1"/>
      <c r="J26" s="22" t="s">
        <v>68</v>
      </c>
      <c r="K26" s="23">
        <f>SUMIFS('Climate Data'!$G$7:$G$366,'Climate Data'!$A$7:$A$366,$B$4,'Climate Data'!$B$7:$B$366,6)</f>
        <v>0.28666666666666668</v>
      </c>
      <c r="L26" s="24">
        <f>SUMIFS('Climate Data'!$H$7:$H$366,'Climate Data'!$A$7:$A$366,$B$4,'Climate Data'!$B$7:$B$366,6)</f>
        <v>7.941860465116279</v>
      </c>
      <c r="M26" s="1"/>
      <c r="N26" s="1"/>
      <c r="O26" s="1"/>
      <c r="P26" s="1"/>
      <c r="Q26" s="1"/>
    </row>
    <row r="27" spans="1:17" ht="14.4">
      <c r="A27" s="2"/>
      <c r="B27" s="2"/>
      <c r="C27" s="2"/>
      <c r="D27" s="2"/>
      <c r="E27" s="2"/>
      <c r="F27" s="2"/>
      <c r="G27" s="2"/>
      <c r="H27" s="10"/>
      <c r="I27" s="1"/>
      <c r="J27" s="22" t="s">
        <v>69</v>
      </c>
      <c r="K27" s="23">
        <f>SUMIFS('Climate Data'!$G$7:$G$366,'Climate Data'!$A$7:$A$366,$B$4,'Climate Data'!$B$7:$B$366,7)</f>
        <v>0.24731182795698925</v>
      </c>
      <c r="L27" s="24">
        <f>SUMIFS('Climate Data'!$H$7:$H$366,'Climate Data'!$A$7:$A$366,$B$4,'Climate Data'!$B$7:$B$366,7)</f>
        <v>8.3739130434782609</v>
      </c>
      <c r="M27" s="1"/>
      <c r="N27" s="1"/>
      <c r="O27" s="1"/>
      <c r="P27" s="1"/>
      <c r="Q27" s="1"/>
    </row>
    <row r="28" spans="1:17" ht="14.4">
      <c r="A28" s="2"/>
      <c r="B28" s="2"/>
      <c r="C28" s="2"/>
      <c r="D28" s="2"/>
      <c r="E28" s="2"/>
      <c r="F28" s="2"/>
      <c r="G28" s="2" t="s">
        <v>70</v>
      </c>
      <c r="H28" s="10">
        <f>IF(OR(H8="",H6=""),"",1-(1-H8)^H6)</f>
        <v>0.99999999999999978</v>
      </c>
      <c r="I28" s="1"/>
      <c r="J28" s="22" t="s">
        <v>71</v>
      </c>
      <c r="K28" s="23">
        <f>SUMIFS('Climate Data'!$G$7:$G$366,'Climate Data'!$A$7:$A$366,$B$4,'Climate Data'!$B$7:$B$366,8)</f>
        <v>0.23548387096774193</v>
      </c>
      <c r="L28" s="24">
        <f>SUMIFS('Climate Data'!$H$7:$H$366,'Climate Data'!$A$7:$A$366,$B$4,'Climate Data'!$B$7:$B$366,8)</f>
        <v>7.9589041095890414</v>
      </c>
      <c r="M28" s="1"/>
      <c r="N28" s="1"/>
      <c r="O28" s="1"/>
      <c r="P28" s="1"/>
      <c r="Q28" s="1"/>
    </row>
    <row r="29" spans="1:17" ht="14.4">
      <c r="A29" s="2"/>
      <c r="B29" s="2"/>
      <c r="C29" s="2"/>
      <c r="D29" s="2"/>
      <c r="E29" s="2"/>
      <c r="F29" s="2"/>
      <c r="G29" s="2" t="s">
        <v>72</v>
      </c>
      <c r="H29" s="13" t="str">
        <f>IF(OR(B5="",B6="",B9=""),"INCOMPLETE - enter dates and task",IF(OR(B5&lt;DATE(2025,1,1),B6&gt;DATE(2040,12,31)),"RED - dates outside engine",IF(AND(E18&gt;=20%,H10=0),"RED - wind input missing for wind-sensitive task",IF(AND(B16&lt;&gt;1,B17=""),"RED - local factor has no basis","AMBER - NIWA data GREEN; task factors uncalibrated"))))</f>
        <v>RED - wind input missing for wind-sensitive task</v>
      </c>
      <c r="I29" s="1"/>
      <c r="J29" s="22" t="s">
        <v>73</v>
      </c>
      <c r="K29" s="23">
        <f>SUMIFS('Climate Data'!$G$7:$G$366,'Climate Data'!$A$7:$A$366,$B$4,'Climate Data'!$B$7:$B$366,9)</f>
        <v>0.20666666666666667</v>
      </c>
      <c r="L29" s="24">
        <f>SUMIFS('Climate Data'!$H$7:$H$366,'Climate Data'!$A$7:$A$366,$B$4,'Climate Data'!$B$7:$B$366,9)</f>
        <v>6.806451612903226</v>
      </c>
      <c r="M29" s="1"/>
      <c r="N29" s="1"/>
      <c r="O29" s="1"/>
      <c r="P29" s="1"/>
      <c r="Q29" s="1"/>
    </row>
    <row r="30" spans="1:17" ht="14.4">
      <c r="A30" s="2"/>
      <c r="B30" s="2"/>
      <c r="C30" s="2"/>
      <c r="D30" s="2"/>
      <c r="E30" s="2"/>
      <c r="F30" s="2"/>
      <c r="G30" s="2" t="s">
        <v>74</v>
      </c>
      <c r="H30" s="26" t="str">
        <f>IF(LEFT(H29,10)="INCOMPLETE","Complete inputs before use",IF(LEFT(H29,3)="RED","Resolve RED input before issue","Disclose AMBER task factors and firm up with actual records / project evidence"))</f>
        <v>Resolve RED input before issue</v>
      </c>
      <c r="I30" s="1"/>
      <c r="J30" s="22" t="s">
        <v>75</v>
      </c>
      <c r="K30" s="23">
        <f>SUMIFS('Climate Data'!$G$7:$G$366,'Climate Data'!$A$7:$A$366,$B$4,'Climate Data'!$B$7:$B$366,10)</f>
        <v>0.23225806451612904</v>
      </c>
      <c r="L30" s="24">
        <f>SUMIFS('Climate Data'!$H$7:$H$366,'Climate Data'!$A$7:$A$366,$B$4,'Climate Data'!$B$7:$B$366,10)</f>
        <v>6.8194444444444446</v>
      </c>
      <c r="M30" s="1"/>
      <c r="N30" s="1"/>
      <c r="O30" s="1"/>
      <c r="P30" s="1"/>
      <c r="Q30" s="1"/>
    </row>
    <row r="31" spans="1:17" ht="14.4">
      <c r="A31" s="1"/>
      <c r="B31" s="1"/>
      <c r="C31" s="1"/>
      <c r="D31" s="1"/>
      <c r="E31" s="1"/>
      <c r="F31" s="1"/>
      <c r="G31" s="1"/>
      <c r="H31" s="1"/>
      <c r="I31" s="1"/>
      <c r="J31" s="22" t="s">
        <v>76</v>
      </c>
      <c r="K31" s="23">
        <f>SUMIFS('Climate Data'!$G$7:$G$366,'Climate Data'!$A$7:$A$366,$B$4,'Climate Data'!$B$7:$B$366,11)</f>
        <v>0.23333333333333334</v>
      </c>
      <c r="L31" s="24">
        <f>SUMIFS('Climate Data'!$H$7:$H$366,'Climate Data'!$A$7:$A$366,$B$4,'Climate Data'!$B$7:$B$366,11)</f>
        <v>6.4428571428571431</v>
      </c>
      <c r="M31" s="1"/>
      <c r="N31" s="1"/>
      <c r="O31" s="1"/>
      <c r="P31" s="1"/>
      <c r="Q31" s="1"/>
    </row>
    <row r="32" spans="1:17" ht="14.4">
      <c r="A32" s="1"/>
      <c r="B32" s="1"/>
      <c r="C32" s="1"/>
      <c r="D32" s="1"/>
      <c r="E32" s="1"/>
      <c r="F32" s="1"/>
      <c r="G32" s="1"/>
      <c r="H32" s="1"/>
      <c r="I32" s="1"/>
      <c r="J32" s="22" t="s">
        <v>77</v>
      </c>
      <c r="K32" s="23">
        <f>SUMIFS('Climate Data'!$G$7:$G$366,'Climate Data'!$A$7:$A$366,$B$4,'Climate Data'!$B$7:$B$366,12)</f>
        <v>0.22688172043010751</v>
      </c>
      <c r="L32" s="24">
        <f>SUMIFS('Climate Data'!$H$7:$H$366,'Climate Data'!$A$7:$A$366,$B$4,'Climate Data'!$B$7:$B$366,12)</f>
        <v>6.7962085308056865</v>
      </c>
      <c r="M32" s="1"/>
      <c r="N32" s="1"/>
      <c r="O32" s="1"/>
      <c r="P32" s="1"/>
      <c r="Q32" s="1"/>
    </row>
    <row r="33" spans="1:1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90" t="s">
        <v>78</v>
      </c>
      <c r="B34" s="92" t="s">
        <v>78</v>
      </c>
      <c r="C34" s="92" t="s">
        <v>78</v>
      </c>
      <c r="D34" s="92" t="s">
        <v>78</v>
      </c>
      <c r="E34" s="92" t="s">
        <v>78</v>
      </c>
      <c r="F34" s="92" t="s">
        <v>78</v>
      </c>
      <c r="G34" s="92" t="s">
        <v>78</v>
      </c>
      <c r="H34" s="92" t="s">
        <v>78</v>
      </c>
      <c r="I34" s="92" t="s">
        <v>78</v>
      </c>
      <c r="J34" s="92" t="s">
        <v>78</v>
      </c>
      <c r="K34" s="92" t="s">
        <v>78</v>
      </c>
      <c r="L34" s="92" t="s">
        <v>78</v>
      </c>
      <c r="M34" s="92" t="s">
        <v>78</v>
      </c>
      <c r="N34" s="92" t="s">
        <v>78</v>
      </c>
      <c r="O34" s="92" t="s">
        <v>78</v>
      </c>
      <c r="P34" s="92" t="s">
        <v>78</v>
      </c>
      <c r="Q34" s="91" t="s">
        <v>78</v>
      </c>
    </row>
    <row r="35" spans="1:17">
      <c r="A35" s="93" t="str">
        <f>IF(OR(B5="",B6="",B9=""),"Enter a location, dates and task to calculate an evidence-based allowance.","Using NIWA 1991-2020 climate normals for "&amp;B4&amp;", the selected working period has an average "&amp;TEXT(H8,"0.0%")&amp;" chance of a 1 mm wet day. For "&amp;B9&amp;", the model estimates "&amp;TEXT(H17,"0.00")&amp;" equivalent lost working days and a total weather allowance of "&amp;TEXT(H25,"$#,##0")&amp;". NIWA data is sourced evidence; task sensitivity and carryover remain AMBER company assumptions until calibrated.")</f>
        <v>Using NIWA 1991-2020 climate normals for Christchurch, the selected working period has an average 21.0% chance of a 1 mm wet day. For Bulk earthworks, the model estimates 24.59 equivalent lost working days and a total weather allowance of $0. NIWA data is sourced evidence; task sensitivity and carryover remain AMBER company assumptions until calibrated.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</row>
    <row r="36" spans="1:17">
      <c r="A36" s="96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8"/>
    </row>
    <row r="37" spans="1:17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1"/>
    </row>
    <row r="38" spans="1:1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02" t="s">
        <v>79</v>
      </c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4"/>
    </row>
    <row r="40" spans="1:17">
      <c r="A40" s="105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7"/>
    </row>
    <row r="41" spans="1:17">
      <c r="A41" s="105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7"/>
    </row>
    <row r="42" spans="1:17">
      <c r="A42" s="105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7"/>
    </row>
    <row r="43" spans="1:17">
      <c r="A43" s="105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7"/>
    </row>
    <row r="44" spans="1:17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10"/>
    </row>
  </sheetData>
  <mergeCells count="7">
    <mergeCell ref="A35:Q37"/>
    <mergeCell ref="A39:Q44"/>
    <mergeCell ref="A1:Q1"/>
    <mergeCell ref="A3:B3"/>
    <mergeCell ref="D3:E3"/>
    <mergeCell ref="G3:H3"/>
    <mergeCell ref="A34:Q34"/>
  </mergeCells>
  <conditionalFormatting sqref="H11">
    <cfRule type="containsText" dxfId="43" priority="1" operator="containsText" text="GREEN"/>
    <cfRule type="containsText" dxfId="42" priority="2" operator="containsText" text="AMBER"/>
    <cfRule type="containsText" dxfId="41" priority="3" operator="containsText" text="RED"/>
    <cfRule type="containsText" dxfId="40" priority="4" operator="containsText" text="UNCALIBRATED"/>
  </conditionalFormatting>
  <conditionalFormatting sqref="H29">
    <cfRule type="containsText" dxfId="39" priority="5" operator="containsText" text="GREEN"/>
    <cfRule type="containsText" dxfId="38" priority="6" operator="containsText" text="AMBER"/>
    <cfRule type="containsText" dxfId="37" priority="7" operator="containsText" text="RED"/>
    <cfRule type="containsText" dxfId="36" priority="8" operator="containsText" text="UNCALIBRATED"/>
  </conditionalFormatting>
  <dataValidations count="2">
    <dataValidation type="list" sqref="B7" xr:uid="{00000000-0002-0000-0000-000001000000}">
      <formula1>"5,6,7"</formula1>
    </dataValidation>
    <dataValidation type="list" sqref="B18" xr:uid="{00000000-0002-0000-0000-000003000000}">
      <formula1>"Yes,No"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'Station Register'!$A$7:$A$36</xm:f>
          </x14:formula1>
          <xm:sqref>B4</xm:sqref>
        </x14:dataValidation>
        <x14:dataValidation type="list" xr:uid="{00000000-0002-0000-0000-000002000000}">
          <x14:formula1>
            <xm:f>'Task Library'!$A$7:$A$45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6"/>
  <sheetViews>
    <sheetView showGridLines="0" workbookViewId="0">
      <selection sqref="A1:AL1"/>
    </sheetView>
  </sheetViews>
  <sheetFormatPr defaultRowHeight="13.8"/>
  <cols>
    <col min="1" max="1" width="34" customWidth="1"/>
    <col min="2" max="2" width="12" customWidth="1"/>
    <col min="3" max="5" width="13" customWidth="1"/>
    <col min="6" max="7" width="16" customWidth="1"/>
    <col min="8" max="25" width="15" customWidth="1"/>
    <col min="26" max="26" width="12" customWidth="1"/>
    <col min="27" max="29" width="15" customWidth="1"/>
    <col min="30" max="33" width="14" customWidth="1"/>
    <col min="34" max="34" width="17" customWidth="1"/>
    <col min="35" max="35" width="15" customWidth="1"/>
    <col min="36" max="36" width="14" customWidth="1"/>
    <col min="37" max="37" width="24" customWidth="1"/>
    <col min="38" max="38" width="45" customWidth="1"/>
  </cols>
  <sheetData>
    <row r="1" spans="1:38" ht="25.95" customHeight="1">
      <c r="A1" s="88" t="s">
        <v>80</v>
      </c>
      <c r="B1" s="89" t="s">
        <v>80</v>
      </c>
      <c r="C1" s="89" t="s">
        <v>80</v>
      </c>
      <c r="D1" s="89" t="s">
        <v>80</v>
      </c>
      <c r="E1" s="89" t="s">
        <v>80</v>
      </c>
      <c r="F1" s="89" t="s">
        <v>80</v>
      </c>
      <c r="G1" s="89" t="s">
        <v>80</v>
      </c>
      <c r="H1" s="89" t="s">
        <v>80</v>
      </c>
      <c r="I1" s="89" t="s">
        <v>80</v>
      </c>
      <c r="J1" s="89" t="s">
        <v>80</v>
      </c>
      <c r="K1" s="89" t="s">
        <v>80</v>
      </c>
      <c r="L1" s="89" t="s">
        <v>80</v>
      </c>
      <c r="M1" s="89" t="s">
        <v>80</v>
      </c>
      <c r="N1" s="89" t="s">
        <v>80</v>
      </c>
      <c r="O1" s="89" t="s">
        <v>80</v>
      </c>
      <c r="P1" s="89" t="s">
        <v>80</v>
      </c>
      <c r="Q1" s="89" t="s">
        <v>80</v>
      </c>
      <c r="R1" s="89" t="s">
        <v>80</v>
      </c>
      <c r="S1" s="89" t="s">
        <v>80</v>
      </c>
      <c r="T1" s="89" t="s">
        <v>80</v>
      </c>
      <c r="U1" s="89" t="s">
        <v>80</v>
      </c>
      <c r="V1" s="89" t="s">
        <v>80</v>
      </c>
      <c r="W1" s="89" t="s">
        <v>80</v>
      </c>
      <c r="X1" s="89" t="s">
        <v>80</v>
      </c>
      <c r="Y1" s="89" t="s">
        <v>80</v>
      </c>
      <c r="Z1" s="89" t="s">
        <v>80</v>
      </c>
      <c r="AA1" s="89" t="s">
        <v>80</v>
      </c>
      <c r="AB1" s="89" t="s">
        <v>80</v>
      </c>
      <c r="AC1" s="89" t="s">
        <v>80</v>
      </c>
      <c r="AD1" s="89" t="s">
        <v>80</v>
      </c>
      <c r="AE1" s="89" t="s">
        <v>80</v>
      </c>
      <c r="AF1" s="89" t="s">
        <v>80</v>
      </c>
      <c r="AG1" s="89" t="s">
        <v>80</v>
      </c>
      <c r="AH1" s="89" t="s">
        <v>80</v>
      </c>
      <c r="AI1" s="89" t="s">
        <v>80</v>
      </c>
      <c r="AJ1" s="89" t="s">
        <v>80</v>
      </c>
      <c r="AK1" s="89" t="s">
        <v>80</v>
      </c>
      <c r="AL1" s="89" t="s">
        <v>80</v>
      </c>
    </row>
    <row r="2" spans="1:38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41.4">
      <c r="A3" s="2" t="s">
        <v>38</v>
      </c>
      <c r="B3" s="27">
        <v>1</v>
      </c>
      <c r="C3" s="2" t="s">
        <v>81</v>
      </c>
      <c r="D3" s="7"/>
      <c r="E3" s="2" t="s">
        <v>28</v>
      </c>
      <c r="F3" s="28"/>
      <c r="G3" s="2" t="s">
        <v>30</v>
      </c>
      <c r="H3" s="28"/>
      <c r="I3" s="2" t="s">
        <v>82</v>
      </c>
      <c r="J3" s="28">
        <v>0</v>
      </c>
      <c r="K3" s="1"/>
      <c r="L3" s="111" t="s">
        <v>83</v>
      </c>
      <c r="M3" s="111"/>
      <c r="N3" s="111"/>
      <c r="O3" s="111"/>
      <c r="P3" s="111"/>
      <c r="Q3" s="11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11"/>
      <c r="M4" s="111"/>
      <c r="N4" s="111"/>
      <c r="O4" s="111"/>
      <c r="P4" s="111"/>
      <c r="Q4" s="11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7.6">
      <c r="A6" s="29" t="s">
        <v>84</v>
      </c>
      <c r="B6" s="29" t="s">
        <v>85</v>
      </c>
      <c r="C6" s="29" t="s">
        <v>86</v>
      </c>
      <c r="D6" s="29" t="s">
        <v>87</v>
      </c>
      <c r="E6" s="29" t="s">
        <v>88</v>
      </c>
      <c r="F6" s="29" t="s">
        <v>89</v>
      </c>
      <c r="G6" s="29" t="s">
        <v>90</v>
      </c>
      <c r="H6" s="29" t="s">
        <v>91</v>
      </c>
      <c r="I6" s="29" t="s">
        <v>92</v>
      </c>
      <c r="J6" s="29" t="s">
        <v>93</v>
      </c>
      <c r="K6" s="29" t="s">
        <v>94</v>
      </c>
      <c r="L6" s="29" t="s">
        <v>95</v>
      </c>
      <c r="M6" s="29" t="s">
        <v>96</v>
      </c>
      <c r="N6" s="29" t="s">
        <v>97</v>
      </c>
      <c r="O6" s="29" t="s">
        <v>98</v>
      </c>
      <c r="P6" s="29" t="s">
        <v>99</v>
      </c>
      <c r="Q6" s="29" t="s">
        <v>100</v>
      </c>
      <c r="R6" s="29" t="s">
        <v>101</v>
      </c>
      <c r="S6" s="29" t="s">
        <v>102</v>
      </c>
      <c r="T6" s="29" t="s">
        <v>103</v>
      </c>
      <c r="U6" s="29" t="s">
        <v>104</v>
      </c>
      <c r="V6" s="29" t="s">
        <v>105</v>
      </c>
      <c r="W6" s="29" t="s">
        <v>106</v>
      </c>
      <c r="X6" s="29" t="s">
        <v>107</v>
      </c>
      <c r="Y6" s="29" t="s">
        <v>108</v>
      </c>
      <c r="Z6" s="29" t="s">
        <v>109</v>
      </c>
      <c r="AA6" s="29" t="s">
        <v>110</v>
      </c>
      <c r="AB6" s="29" t="s">
        <v>111</v>
      </c>
      <c r="AC6" s="29" t="s">
        <v>112</v>
      </c>
      <c r="AD6" s="29" t="s">
        <v>113</v>
      </c>
      <c r="AE6" s="29" t="s">
        <v>114</v>
      </c>
      <c r="AF6" s="29" t="s">
        <v>115</v>
      </c>
      <c r="AG6" s="29" t="s">
        <v>116</v>
      </c>
      <c r="AH6" s="29" t="s">
        <v>117</v>
      </c>
      <c r="AI6" s="29" t="s">
        <v>118</v>
      </c>
      <c r="AJ6" s="29" t="s">
        <v>119</v>
      </c>
      <c r="AK6" s="29" t="s">
        <v>120</v>
      </c>
      <c r="AL6" s="29" t="s">
        <v>121</v>
      </c>
    </row>
    <row r="7" spans="1:38" ht="14.4">
      <c r="A7" s="30"/>
      <c r="B7" s="31" t="str">
        <f>IF(A7="","",INDEX('Task Library'!$B$7:$B$45,MATCH(A7,'Task Library'!$A$7:$A$45,0)))</f>
        <v/>
      </c>
      <c r="C7" s="32"/>
      <c r="D7" s="32"/>
      <c r="E7" s="30" t="s">
        <v>122</v>
      </c>
      <c r="F7" s="33"/>
      <c r="G7" s="33"/>
      <c r="H7" s="34" t="str">
        <f>IF(A7="","",INDEX('Task Library'!$C$7:$C$45,MATCH(A7,'Task Library'!$A$7:$A$45,0)))</f>
        <v/>
      </c>
      <c r="I7" s="35"/>
      <c r="J7" s="34" t="str">
        <f t="shared" ref="J7:J36" si="0">IF(H7="","",IF(I7="",H7,I7))</f>
        <v/>
      </c>
      <c r="K7" s="34" t="str">
        <f>IF(A7="","",INDEX('Task Library'!$D$7:$D$45,MATCH(A7,'Task Library'!$A$7:$A$45,0)))</f>
        <v/>
      </c>
      <c r="L7" s="35"/>
      <c r="M7" s="34" t="str">
        <f t="shared" ref="M7:M36" si="1">IF(K7="","",IF(L7="",K7,L7))</f>
        <v/>
      </c>
      <c r="N7" s="36" t="str">
        <f>IF(A7="","",INDEX('Task Library'!$E$7:$E$45,MATCH(A7,'Task Library'!$A$7:$A$45,0)))</f>
        <v/>
      </c>
      <c r="O7" s="37"/>
      <c r="P7" s="36" t="str">
        <f t="shared" ref="P7:P36" si="2">IF(N7="","",IF(O7="",N7,O7))</f>
        <v/>
      </c>
      <c r="Q7" s="34" t="str">
        <f>IF(A7="","",INDEX('Task Library'!$F$7:$F$45,MATCH(A7,'Task Library'!$A$7:$A$45,0)))</f>
        <v/>
      </c>
      <c r="R7" s="35"/>
      <c r="S7" s="34" t="str">
        <f t="shared" ref="S7:S36" si="3">IF(Q7="","",IF(R7="",Q7,R7))</f>
        <v/>
      </c>
      <c r="T7" s="34" t="str">
        <f>IF(A7="","",INDEX('Task Library'!$G$7:$G$45,MATCH(A7,'Task Library'!$A$7:$A$45,0)))</f>
        <v/>
      </c>
      <c r="U7" s="35"/>
      <c r="V7" s="34" t="str">
        <f t="shared" ref="V7:V36" si="4">IF(T7="","",IF(U7="",T7,U7))</f>
        <v/>
      </c>
      <c r="W7" s="34" t="str">
        <f>IF(A7="","",INDEX('Task Library'!$H$7:$H$45,MATCH(A7,'Task Library'!$A$7:$A$45,0)))</f>
        <v/>
      </c>
      <c r="X7" s="35"/>
      <c r="Y7" s="34" t="str">
        <f t="shared" ref="Y7:Y36" si="5">IF(W7="","",IF(X7="",W7,X7))</f>
        <v/>
      </c>
      <c r="Z7" s="36" t="str">
        <f>IF(OR(C7="",D7="",D7&lt;C7),"",SUMPRODUCT((('Date Engine'!$A$7:$A$5850&gt;=C7)*('Date Engine'!$A$7:$A$5850&lt;=D7)*'Date Engine'!$G$7:$G$5850)))</f>
        <v/>
      </c>
      <c r="AA7" s="34" t="str">
        <f>IFERROR(SUMPRODUCT((('Date Engine'!$A$7:$A$5850&gt;=C7)*('Date Engine'!$A$7:$A$5850&lt;=D7)*'Date Engine'!$G$7:$G$5850)*'Date Engine'!$H$7:$H$5850)/SUMPRODUCT((('Date Engine'!$A$7:$A$5850&gt;=C7)*('Date Engine'!$A$7:$A$5850&lt;=D7)*'Date Engine'!$G$7:$G$5850)),"")</f>
        <v/>
      </c>
      <c r="AB7" s="34" t="str">
        <f t="shared" ref="AB7:AB36" si="6">IF(AA7="","",MIN(1,AA7*$B$3))</f>
        <v/>
      </c>
      <c r="AC7" s="34">
        <f>IF($D$3&lt;&gt;"",$D$3,IFERROR(SUMPRODUCT((('Date Engine'!$A$7:$A$5850&gt;=C7)*('Date Engine'!$A$7:$A$5850&lt;=D7)*'Date Engine'!$G$7:$G$5850)*'Date Engine'!$J$7:$J$5850)/SUMPRODUCT((('Date Engine'!$A$7:$A$5850&gt;=C7)*('Date Engine'!$A$7:$A$5850&lt;=D7)*'Date Engine'!$G$7:$G$5850)),0))</f>
        <v>0</v>
      </c>
      <c r="AD7" s="34" t="str">
        <f t="shared" ref="AD7:AD36" si="7">IF(OR(AB7="",J7="",M7="",Y7=""),"",AB7*J7*M7*Y7)</f>
        <v/>
      </c>
      <c r="AE7" s="34" t="str">
        <f t="shared" ref="AE7:AE36" si="8">IF(OR(AB7="",P7="",Y7=""),"",AB7*P7*Y7)</f>
        <v/>
      </c>
      <c r="AF7" s="34" t="str">
        <f t="shared" ref="AF7:AF36" si="9">IF(OR(S7="",V7="",Y7=""),"",AC7*S7*V7*Y7)</f>
        <v/>
      </c>
      <c r="AG7" s="34" t="str">
        <f t="shared" ref="AG7:AG36" si="10">IF(A7="","",MIN(1,AD7+AE7+AF7))</f>
        <v/>
      </c>
      <c r="AH7" s="38" t="str">
        <f t="shared" ref="AH7:AH36" si="11">IF(A7="","",(F7+G7)*AG7)</f>
        <v/>
      </c>
      <c r="AI7" s="36" t="str">
        <f t="shared" ref="AI7:AI36" si="12">IF(OR(A7="",Z7=""),"",Z7*AG7)</f>
        <v/>
      </c>
      <c r="AJ7" s="36" t="str">
        <f t="shared" ref="AJ7:AJ36" si="13">IF(A7="","",IF(E7="Yes",AI7,0))</f>
        <v/>
      </c>
      <c r="AK7" s="31" t="str">
        <f t="shared" ref="AK7:AK36" si="14">IF(A7="","",IF(OR(C7&lt;DATE(2025,1,1),D7&gt;DATE(2040,12,31),D7&lt;C7),"RED - date input",IF(AND(S7&gt;=20%,AC7=0),"RED - wind input",IF($B$3&lt;&gt;1,"AMBER - local factor requires basis","AMBER - task factors uncalibrated"))))</f>
        <v/>
      </c>
      <c r="AL7" s="30"/>
    </row>
    <row r="8" spans="1:38" ht="14.4">
      <c r="A8" s="30"/>
      <c r="B8" s="31" t="str">
        <f>IF(A8="","",INDEX('Task Library'!$B$7:$B$45,MATCH(A8,'Task Library'!$A$7:$A$45,0)))</f>
        <v/>
      </c>
      <c r="C8" s="32"/>
      <c r="D8" s="32"/>
      <c r="E8" s="30" t="s">
        <v>122</v>
      </c>
      <c r="F8" s="33"/>
      <c r="G8" s="33"/>
      <c r="H8" s="34" t="str">
        <f>IF(A8="","",INDEX('Task Library'!$C$7:$C$45,MATCH(A8,'Task Library'!$A$7:$A$45,0)))</f>
        <v/>
      </c>
      <c r="I8" s="35"/>
      <c r="J8" s="34" t="str">
        <f t="shared" si="0"/>
        <v/>
      </c>
      <c r="K8" s="34" t="str">
        <f>IF(A8="","",INDEX('Task Library'!$D$7:$D$45,MATCH(A8,'Task Library'!$A$7:$A$45,0)))</f>
        <v/>
      </c>
      <c r="L8" s="35"/>
      <c r="M8" s="34" t="str">
        <f t="shared" si="1"/>
        <v/>
      </c>
      <c r="N8" s="36" t="str">
        <f>IF(A8="","",INDEX('Task Library'!$E$7:$E$45,MATCH(A8,'Task Library'!$A$7:$A$45,0)))</f>
        <v/>
      </c>
      <c r="O8" s="37"/>
      <c r="P8" s="36" t="str">
        <f t="shared" si="2"/>
        <v/>
      </c>
      <c r="Q8" s="34" t="str">
        <f>IF(A8="","",INDEX('Task Library'!$F$7:$F$45,MATCH(A8,'Task Library'!$A$7:$A$45,0)))</f>
        <v/>
      </c>
      <c r="R8" s="35"/>
      <c r="S8" s="34" t="str">
        <f t="shared" si="3"/>
        <v/>
      </c>
      <c r="T8" s="34" t="str">
        <f>IF(A8="","",INDEX('Task Library'!$G$7:$G$45,MATCH(A8,'Task Library'!$A$7:$A$45,0)))</f>
        <v/>
      </c>
      <c r="U8" s="35"/>
      <c r="V8" s="34" t="str">
        <f t="shared" si="4"/>
        <v/>
      </c>
      <c r="W8" s="34" t="str">
        <f>IF(A8="","",INDEX('Task Library'!$H$7:$H$45,MATCH(A8,'Task Library'!$A$7:$A$45,0)))</f>
        <v/>
      </c>
      <c r="X8" s="35"/>
      <c r="Y8" s="34" t="str">
        <f t="shared" si="5"/>
        <v/>
      </c>
      <c r="Z8" s="36" t="str">
        <f>IF(OR(C8="",D8="",D8&lt;C8),"",SUMPRODUCT((('Date Engine'!$A$7:$A$5850&gt;=C8)*('Date Engine'!$A$7:$A$5850&lt;=D8)*'Date Engine'!$G$7:$G$5850)))</f>
        <v/>
      </c>
      <c r="AA8" s="34" t="str">
        <f>IFERROR(SUMPRODUCT((('Date Engine'!$A$7:$A$5850&gt;=C8)*('Date Engine'!$A$7:$A$5850&lt;=D8)*'Date Engine'!$G$7:$G$5850)*'Date Engine'!$H$7:$H$5850)/SUMPRODUCT((('Date Engine'!$A$7:$A$5850&gt;=C8)*('Date Engine'!$A$7:$A$5850&lt;=D8)*'Date Engine'!$G$7:$G$5850)),"")</f>
        <v/>
      </c>
      <c r="AB8" s="34" t="str">
        <f t="shared" si="6"/>
        <v/>
      </c>
      <c r="AC8" s="34">
        <f>IF($D$3&lt;&gt;"",$D$3,IFERROR(SUMPRODUCT((('Date Engine'!$A$7:$A$5850&gt;=C8)*('Date Engine'!$A$7:$A$5850&lt;=D8)*'Date Engine'!$G$7:$G$5850)*'Date Engine'!$J$7:$J$5850)/SUMPRODUCT((('Date Engine'!$A$7:$A$5850&gt;=C8)*('Date Engine'!$A$7:$A$5850&lt;=D8)*'Date Engine'!$G$7:$G$5850)),0))</f>
        <v>0</v>
      </c>
      <c r="AD8" s="34" t="str">
        <f t="shared" si="7"/>
        <v/>
      </c>
      <c r="AE8" s="34" t="str">
        <f t="shared" si="8"/>
        <v/>
      </c>
      <c r="AF8" s="34" t="str">
        <f t="shared" si="9"/>
        <v/>
      </c>
      <c r="AG8" s="34" t="str">
        <f t="shared" si="10"/>
        <v/>
      </c>
      <c r="AH8" s="38" t="str">
        <f t="shared" si="11"/>
        <v/>
      </c>
      <c r="AI8" s="36" t="str">
        <f t="shared" si="12"/>
        <v/>
      </c>
      <c r="AJ8" s="36" t="str">
        <f t="shared" si="13"/>
        <v/>
      </c>
      <c r="AK8" s="31" t="str">
        <f t="shared" si="14"/>
        <v/>
      </c>
      <c r="AL8" s="30"/>
    </row>
    <row r="9" spans="1:38" ht="14.4">
      <c r="A9" s="30"/>
      <c r="B9" s="31" t="str">
        <f>IF(A9="","",INDEX('Task Library'!$B$7:$B$45,MATCH(A9,'Task Library'!$A$7:$A$45,0)))</f>
        <v/>
      </c>
      <c r="C9" s="32"/>
      <c r="D9" s="32"/>
      <c r="E9" s="30" t="s">
        <v>122</v>
      </c>
      <c r="F9" s="33"/>
      <c r="G9" s="33"/>
      <c r="H9" s="34" t="str">
        <f>IF(A9="","",INDEX('Task Library'!$C$7:$C$45,MATCH(A9,'Task Library'!$A$7:$A$45,0)))</f>
        <v/>
      </c>
      <c r="I9" s="35"/>
      <c r="J9" s="34" t="str">
        <f t="shared" si="0"/>
        <v/>
      </c>
      <c r="K9" s="34" t="str">
        <f>IF(A9="","",INDEX('Task Library'!$D$7:$D$45,MATCH(A9,'Task Library'!$A$7:$A$45,0)))</f>
        <v/>
      </c>
      <c r="L9" s="35"/>
      <c r="M9" s="34" t="str">
        <f t="shared" si="1"/>
        <v/>
      </c>
      <c r="N9" s="36" t="str">
        <f>IF(A9="","",INDEX('Task Library'!$E$7:$E$45,MATCH(A9,'Task Library'!$A$7:$A$45,0)))</f>
        <v/>
      </c>
      <c r="O9" s="37"/>
      <c r="P9" s="36" t="str">
        <f t="shared" si="2"/>
        <v/>
      </c>
      <c r="Q9" s="34" t="str">
        <f>IF(A9="","",INDEX('Task Library'!$F$7:$F$45,MATCH(A9,'Task Library'!$A$7:$A$45,0)))</f>
        <v/>
      </c>
      <c r="R9" s="35"/>
      <c r="S9" s="34" t="str">
        <f t="shared" si="3"/>
        <v/>
      </c>
      <c r="T9" s="34" t="str">
        <f>IF(A9="","",INDEX('Task Library'!$G$7:$G$45,MATCH(A9,'Task Library'!$A$7:$A$45,0)))</f>
        <v/>
      </c>
      <c r="U9" s="35"/>
      <c r="V9" s="34" t="str">
        <f t="shared" si="4"/>
        <v/>
      </c>
      <c r="W9" s="34" t="str">
        <f>IF(A9="","",INDEX('Task Library'!$H$7:$H$45,MATCH(A9,'Task Library'!$A$7:$A$45,0)))</f>
        <v/>
      </c>
      <c r="X9" s="35"/>
      <c r="Y9" s="34" t="str">
        <f t="shared" si="5"/>
        <v/>
      </c>
      <c r="Z9" s="36" t="str">
        <f>IF(OR(C9="",D9="",D9&lt;C9),"",SUMPRODUCT((('Date Engine'!$A$7:$A$5850&gt;=C9)*('Date Engine'!$A$7:$A$5850&lt;=D9)*'Date Engine'!$G$7:$G$5850)))</f>
        <v/>
      </c>
      <c r="AA9" s="34" t="str">
        <f>IFERROR(SUMPRODUCT((('Date Engine'!$A$7:$A$5850&gt;=C9)*('Date Engine'!$A$7:$A$5850&lt;=D9)*'Date Engine'!$G$7:$G$5850)*'Date Engine'!$H$7:$H$5850)/SUMPRODUCT((('Date Engine'!$A$7:$A$5850&gt;=C9)*('Date Engine'!$A$7:$A$5850&lt;=D9)*'Date Engine'!$G$7:$G$5850)),"")</f>
        <v/>
      </c>
      <c r="AB9" s="34" t="str">
        <f t="shared" si="6"/>
        <v/>
      </c>
      <c r="AC9" s="34">
        <f>IF($D$3&lt;&gt;"",$D$3,IFERROR(SUMPRODUCT((('Date Engine'!$A$7:$A$5850&gt;=C9)*('Date Engine'!$A$7:$A$5850&lt;=D9)*'Date Engine'!$G$7:$G$5850)*'Date Engine'!$J$7:$J$5850)/SUMPRODUCT((('Date Engine'!$A$7:$A$5850&gt;=C9)*('Date Engine'!$A$7:$A$5850&lt;=D9)*'Date Engine'!$G$7:$G$5850)),0))</f>
        <v>0</v>
      </c>
      <c r="AD9" s="34" t="str">
        <f t="shared" si="7"/>
        <v/>
      </c>
      <c r="AE9" s="34" t="str">
        <f t="shared" si="8"/>
        <v/>
      </c>
      <c r="AF9" s="34" t="str">
        <f t="shared" si="9"/>
        <v/>
      </c>
      <c r="AG9" s="34" t="str">
        <f t="shared" si="10"/>
        <v/>
      </c>
      <c r="AH9" s="38" t="str">
        <f t="shared" si="11"/>
        <v/>
      </c>
      <c r="AI9" s="36" t="str">
        <f t="shared" si="12"/>
        <v/>
      </c>
      <c r="AJ9" s="36" t="str">
        <f t="shared" si="13"/>
        <v/>
      </c>
      <c r="AK9" s="31" t="str">
        <f t="shared" si="14"/>
        <v/>
      </c>
      <c r="AL9" s="30"/>
    </row>
    <row r="10" spans="1:38" ht="14.4">
      <c r="A10" s="30"/>
      <c r="B10" s="31" t="str">
        <f>IF(A10="","",INDEX('Task Library'!$B$7:$B$45,MATCH(A10,'Task Library'!$A$7:$A$45,0)))</f>
        <v/>
      </c>
      <c r="C10" s="32"/>
      <c r="D10" s="32"/>
      <c r="E10" s="30" t="s">
        <v>122</v>
      </c>
      <c r="F10" s="33"/>
      <c r="G10" s="33"/>
      <c r="H10" s="34" t="str">
        <f>IF(A10="","",INDEX('Task Library'!$C$7:$C$45,MATCH(A10,'Task Library'!$A$7:$A$45,0)))</f>
        <v/>
      </c>
      <c r="I10" s="35"/>
      <c r="J10" s="34" t="str">
        <f t="shared" si="0"/>
        <v/>
      </c>
      <c r="K10" s="34" t="str">
        <f>IF(A10="","",INDEX('Task Library'!$D$7:$D$45,MATCH(A10,'Task Library'!$A$7:$A$45,0)))</f>
        <v/>
      </c>
      <c r="L10" s="35"/>
      <c r="M10" s="34" t="str">
        <f t="shared" si="1"/>
        <v/>
      </c>
      <c r="N10" s="36" t="str">
        <f>IF(A10="","",INDEX('Task Library'!$E$7:$E$45,MATCH(A10,'Task Library'!$A$7:$A$45,0)))</f>
        <v/>
      </c>
      <c r="O10" s="37"/>
      <c r="P10" s="36" t="str">
        <f t="shared" si="2"/>
        <v/>
      </c>
      <c r="Q10" s="34" t="str">
        <f>IF(A10="","",INDEX('Task Library'!$F$7:$F$45,MATCH(A10,'Task Library'!$A$7:$A$45,0)))</f>
        <v/>
      </c>
      <c r="R10" s="35"/>
      <c r="S10" s="34" t="str">
        <f t="shared" si="3"/>
        <v/>
      </c>
      <c r="T10" s="34" t="str">
        <f>IF(A10="","",INDEX('Task Library'!$G$7:$G$45,MATCH(A10,'Task Library'!$A$7:$A$45,0)))</f>
        <v/>
      </c>
      <c r="U10" s="35"/>
      <c r="V10" s="34" t="str">
        <f t="shared" si="4"/>
        <v/>
      </c>
      <c r="W10" s="34" t="str">
        <f>IF(A10="","",INDEX('Task Library'!$H$7:$H$45,MATCH(A10,'Task Library'!$A$7:$A$45,0)))</f>
        <v/>
      </c>
      <c r="X10" s="35"/>
      <c r="Y10" s="34" t="str">
        <f t="shared" si="5"/>
        <v/>
      </c>
      <c r="Z10" s="36" t="str">
        <f>IF(OR(C10="",D10="",D10&lt;C10),"",SUMPRODUCT((('Date Engine'!$A$7:$A$5850&gt;=C10)*('Date Engine'!$A$7:$A$5850&lt;=D10)*'Date Engine'!$G$7:$G$5850)))</f>
        <v/>
      </c>
      <c r="AA10" s="34" t="str">
        <f>IFERROR(SUMPRODUCT((('Date Engine'!$A$7:$A$5850&gt;=C10)*('Date Engine'!$A$7:$A$5850&lt;=D10)*'Date Engine'!$G$7:$G$5850)*'Date Engine'!$H$7:$H$5850)/SUMPRODUCT((('Date Engine'!$A$7:$A$5850&gt;=C10)*('Date Engine'!$A$7:$A$5850&lt;=D10)*'Date Engine'!$G$7:$G$5850)),"")</f>
        <v/>
      </c>
      <c r="AB10" s="34" t="str">
        <f t="shared" si="6"/>
        <v/>
      </c>
      <c r="AC10" s="34">
        <f>IF($D$3&lt;&gt;"",$D$3,IFERROR(SUMPRODUCT((('Date Engine'!$A$7:$A$5850&gt;=C10)*('Date Engine'!$A$7:$A$5850&lt;=D10)*'Date Engine'!$G$7:$G$5850)*'Date Engine'!$J$7:$J$5850)/SUMPRODUCT((('Date Engine'!$A$7:$A$5850&gt;=C10)*('Date Engine'!$A$7:$A$5850&lt;=D10)*'Date Engine'!$G$7:$G$5850)),0))</f>
        <v>0</v>
      </c>
      <c r="AD10" s="34" t="str">
        <f t="shared" si="7"/>
        <v/>
      </c>
      <c r="AE10" s="34" t="str">
        <f t="shared" si="8"/>
        <v/>
      </c>
      <c r="AF10" s="34" t="str">
        <f t="shared" si="9"/>
        <v/>
      </c>
      <c r="AG10" s="34" t="str">
        <f t="shared" si="10"/>
        <v/>
      </c>
      <c r="AH10" s="38" t="str">
        <f t="shared" si="11"/>
        <v/>
      </c>
      <c r="AI10" s="36" t="str">
        <f t="shared" si="12"/>
        <v/>
      </c>
      <c r="AJ10" s="36" t="str">
        <f t="shared" si="13"/>
        <v/>
      </c>
      <c r="AK10" s="31" t="str">
        <f t="shared" si="14"/>
        <v/>
      </c>
      <c r="AL10" s="30"/>
    </row>
    <row r="11" spans="1:38" ht="14.4">
      <c r="A11" s="30"/>
      <c r="B11" s="31" t="str">
        <f>IF(A11="","",INDEX('Task Library'!$B$7:$B$45,MATCH(A11,'Task Library'!$A$7:$A$45,0)))</f>
        <v/>
      </c>
      <c r="C11" s="32"/>
      <c r="D11" s="32"/>
      <c r="E11" s="30" t="s">
        <v>122</v>
      </c>
      <c r="F11" s="33"/>
      <c r="G11" s="33"/>
      <c r="H11" s="34" t="str">
        <f>IF(A11="","",INDEX('Task Library'!$C$7:$C$45,MATCH(A11,'Task Library'!$A$7:$A$45,0)))</f>
        <v/>
      </c>
      <c r="I11" s="35"/>
      <c r="J11" s="34" t="str">
        <f t="shared" si="0"/>
        <v/>
      </c>
      <c r="K11" s="34" t="str">
        <f>IF(A11="","",INDEX('Task Library'!$D$7:$D$45,MATCH(A11,'Task Library'!$A$7:$A$45,0)))</f>
        <v/>
      </c>
      <c r="L11" s="35"/>
      <c r="M11" s="34" t="str">
        <f t="shared" si="1"/>
        <v/>
      </c>
      <c r="N11" s="36" t="str">
        <f>IF(A11="","",INDEX('Task Library'!$E$7:$E$45,MATCH(A11,'Task Library'!$A$7:$A$45,0)))</f>
        <v/>
      </c>
      <c r="O11" s="37"/>
      <c r="P11" s="36" t="str">
        <f t="shared" si="2"/>
        <v/>
      </c>
      <c r="Q11" s="34" t="str">
        <f>IF(A11="","",INDEX('Task Library'!$F$7:$F$45,MATCH(A11,'Task Library'!$A$7:$A$45,0)))</f>
        <v/>
      </c>
      <c r="R11" s="35"/>
      <c r="S11" s="34" t="str">
        <f t="shared" si="3"/>
        <v/>
      </c>
      <c r="T11" s="34" t="str">
        <f>IF(A11="","",INDEX('Task Library'!$G$7:$G$45,MATCH(A11,'Task Library'!$A$7:$A$45,0)))</f>
        <v/>
      </c>
      <c r="U11" s="35"/>
      <c r="V11" s="34" t="str">
        <f t="shared" si="4"/>
        <v/>
      </c>
      <c r="W11" s="34" t="str">
        <f>IF(A11="","",INDEX('Task Library'!$H$7:$H$45,MATCH(A11,'Task Library'!$A$7:$A$45,0)))</f>
        <v/>
      </c>
      <c r="X11" s="35"/>
      <c r="Y11" s="34" t="str">
        <f t="shared" si="5"/>
        <v/>
      </c>
      <c r="Z11" s="36" t="str">
        <f>IF(OR(C11="",D11="",D11&lt;C11),"",SUMPRODUCT((('Date Engine'!$A$7:$A$5850&gt;=C11)*('Date Engine'!$A$7:$A$5850&lt;=D11)*'Date Engine'!$G$7:$G$5850)))</f>
        <v/>
      </c>
      <c r="AA11" s="34" t="str">
        <f>IFERROR(SUMPRODUCT((('Date Engine'!$A$7:$A$5850&gt;=C11)*('Date Engine'!$A$7:$A$5850&lt;=D11)*'Date Engine'!$G$7:$G$5850)*'Date Engine'!$H$7:$H$5850)/SUMPRODUCT((('Date Engine'!$A$7:$A$5850&gt;=C11)*('Date Engine'!$A$7:$A$5850&lt;=D11)*'Date Engine'!$G$7:$G$5850)),"")</f>
        <v/>
      </c>
      <c r="AB11" s="34" t="str">
        <f t="shared" si="6"/>
        <v/>
      </c>
      <c r="AC11" s="34">
        <f>IF($D$3&lt;&gt;"",$D$3,IFERROR(SUMPRODUCT((('Date Engine'!$A$7:$A$5850&gt;=C11)*('Date Engine'!$A$7:$A$5850&lt;=D11)*'Date Engine'!$G$7:$G$5850)*'Date Engine'!$J$7:$J$5850)/SUMPRODUCT((('Date Engine'!$A$7:$A$5850&gt;=C11)*('Date Engine'!$A$7:$A$5850&lt;=D11)*'Date Engine'!$G$7:$G$5850)),0))</f>
        <v>0</v>
      </c>
      <c r="AD11" s="34" t="str">
        <f t="shared" si="7"/>
        <v/>
      </c>
      <c r="AE11" s="34" t="str">
        <f t="shared" si="8"/>
        <v/>
      </c>
      <c r="AF11" s="34" t="str">
        <f t="shared" si="9"/>
        <v/>
      </c>
      <c r="AG11" s="34" t="str">
        <f t="shared" si="10"/>
        <v/>
      </c>
      <c r="AH11" s="38" t="str">
        <f t="shared" si="11"/>
        <v/>
      </c>
      <c r="AI11" s="36" t="str">
        <f t="shared" si="12"/>
        <v/>
      </c>
      <c r="AJ11" s="36" t="str">
        <f t="shared" si="13"/>
        <v/>
      </c>
      <c r="AK11" s="31" t="str">
        <f t="shared" si="14"/>
        <v/>
      </c>
      <c r="AL11" s="30"/>
    </row>
    <row r="12" spans="1:38" ht="14.4">
      <c r="A12" s="30"/>
      <c r="B12" s="31" t="str">
        <f>IF(A12="","",INDEX('Task Library'!$B$7:$B$45,MATCH(A12,'Task Library'!$A$7:$A$45,0)))</f>
        <v/>
      </c>
      <c r="C12" s="32"/>
      <c r="D12" s="32"/>
      <c r="E12" s="30" t="s">
        <v>122</v>
      </c>
      <c r="F12" s="33"/>
      <c r="G12" s="33"/>
      <c r="H12" s="34" t="str">
        <f>IF(A12="","",INDEX('Task Library'!$C$7:$C$45,MATCH(A12,'Task Library'!$A$7:$A$45,0)))</f>
        <v/>
      </c>
      <c r="I12" s="35"/>
      <c r="J12" s="34" t="str">
        <f t="shared" si="0"/>
        <v/>
      </c>
      <c r="K12" s="34" t="str">
        <f>IF(A12="","",INDEX('Task Library'!$D$7:$D$45,MATCH(A12,'Task Library'!$A$7:$A$45,0)))</f>
        <v/>
      </c>
      <c r="L12" s="35"/>
      <c r="M12" s="34" t="str">
        <f t="shared" si="1"/>
        <v/>
      </c>
      <c r="N12" s="36" t="str">
        <f>IF(A12="","",INDEX('Task Library'!$E$7:$E$45,MATCH(A12,'Task Library'!$A$7:$A$45,0)))</f>
        <v/>
      </c>
      <c r="O12" s="37"/>
      <c r="P12" s="36" t="str">
        <f t="shared" si="2"/>
        <v/>
      </c>
      <c r="Q12" s="34" t="str">
        <f>IF(A12="","",INDEX('Task Library'!$F$7:$F$45,MATCH(A12,'Task Library'!$A$7:$A$45,0)))</f>
        <v/>
      </c>
      <c r="R12" s="35"/>
      <c r="S12" s="34" t="str">
        <f t="shared" si="3"/>
        <v/>
      </c>
      <c r="T12" s="34" t="str">
        <f>IF(A12="","",INDEX('Task Library'!$G$7:$G$45,MATCH(A12,'Task Library'!$A$7:$A$45,0)))</f>
        <v/>
      </c>
      <c r="U12" s="35"/>
      <c r="V12" s="34" t="str">
        <f t="shared" si="4"/>
        <v/>
      </c>
      <c r="W12" s="34" t="str">
        <f>IF(A12="","",INDEX('Task Library'!$H$7:$H$45,MATCH(A12,'Task Library'!$A$7:$A$45,0)))</f>
        <v/>
      </c>
      <c r="X12" s="35"/>
      <c r="Y12" s="34" t="str">
        <f t="shared" si="5"/>
        <v/>
      </c>
      <c r="Z12" s="36" t="str">
        <f>IF(OR(C12="",D12="",D12&lt;C12),"",SUMPRODUCT((('Date Engine'!$A$7:$A$5850&gt;=C12)*('Date Engine'!$A$7:$A$5850&lt;=D12)*'Date Engine'!$G$7:$G$5850)))</f>
        <v/>
      </c>
      <c r="AA12" s="34" t="str">
        <f>IFERROR(SUMPRODUCT((('Date Engine'!$A$7:$A$5850&gt;=C12)*('Date Engine'!$A$7:$A$5850&lt;=D12)*'Date Engine'!$G$7:$G$5850)*'Date Engine'!$H$7:$H$5850)/SUMPRODUCT((('Date Engine'!$A$7:$A$5850&gt;=C12)*('Date Engine'!$A$7:$A$5850&lt;=D12)*'Date Engine'!$G$7:$G$5850)),"")</f>
        <v/>
      </c>
      <c r="AB12" s="34" t="str">
        <f t="shared" si="6"/>
        <v/>
      </c>
      <c r="AC12" s="34">
        <f>IF($D$3&lt;&gt;"",$D$3,IFERROR(SUMPRODUCT((('Date Engine'!$A$7:$A$5850&gt;=C12)*('Date Engine'!$A$7:$A$5850&lt;=D12)*'Date Engine'!$G$7:$G$5850)*'Date Engine'!$J$7:$J$5850)/SUMPRODUCT((('Date Engine'!$A$7:$A$5850&gt;=C12)*('Date Engine'!$A$7:$A$5850&lt;=D12)*'Date Engine'!$G$7:$G$5850)),0))</f>
        <v>0</v>
      </c>
      <c r="AD12" s="34" t="str">
        <f t="shared" si="7"/>
        <v/>
      </c>
      <c r="AE12" s="34" t="str">
        <f t="shared" si="8"/>
        <v/>
      </c>
      <c r="AF12" s="34" t="str">
        <f t="shared" si="9"/>
        <v/>
      </c>
      <c r="AG12" s="34" t="str">
        <f t="shared" si="10"/>
        <v/>
      </c>
      <c r="AH12" s="38" t="str">
        <f t="shared" si="11"/>
        <v/>
      </c>
      <c r="AI12" s="36" t="str">
        <f t="shared" si="12"/>
        <v/>
      </c>
      <c r="AJ12" s="36" t="str">
        <f t="shared" si="13"/>
        <v/>
      </c>
      <c r="AK12" s="31" t="str">
        <f t="shared" si="14"/>
        <v/>
      </c>
      <c r="AL12" s="30"/>
    </row>
    <row r="13" spans="1:38" ht="14.4">
      <c r="A13" s="30"/>
      <c r="B13" s="31" t="str">
        <f>IF(A13="","",INDEX('Task Library'!$B$7:$B$45,MATCH(A13,'Task Library'!$A$7:$A$45,0)))</f>
        <v/>
      </c>
      <c r="C13" s="32"/>
      <c r="D13" s="32"/>
      <c r="E13" s="30" t="s">
        <v>122</v>
      </c>
      <c r="F13" s="33"/>
      <c r="G13" s="33"/>
      <c r="H13" s="34" t="str">
        <f>IF(A13="","",INDEX('Task Library'!$C$7:$C$45,MATCH(A13,'Task Library'!$A$7:$A$45,0)))</f>
        <v/>
      </c>
      <c r="I13" s="35"/>
      <c r="J13" s="34" t="str">
        <f t="shared" si="0"/>
        <v/>
      </c>
      <c r="K13" s="34" t="str">
        <f>IF(A13="","",INDEX('Task Library'!$D$7:$D$45,MATCH(A13,'Task Library'!$A$7:$A$45,0)))</f>
        <v/>
      </c>
      <c r="L13" s="35"/>
      <c r="M13" s="34" t="str">
        <f t="shared" si="1"/>
        <v/>
      </c>
      <c r="N13" s="36" t="str">
        <f>IF(A13="","",INDEX('Task Library'!$E$7:$E$45,MATCH(A13,'Task Library'!$A$7:$A$45,0)))</f>
        <v/>
      </c>
      <c r="O13" s="37"/>
      <c r="P13" s="36" t="str">
        <f t="shared" si="2"/>
        <v/>
      </c>
      <c r="Q13" s="34" t="str">
        <f>IF(A13="","",INDEX('Task Library'!$F$7:$F$45,MATCH(A13,'Task Library'!$A$7:$A$45,0)))</f>
        <v/>
      </c>
      <c r="R13" s="35"/>
      <c r="S13" s="34" t="str">
        <f t="shared" si="3"/>
        <v/>
      </c>
      <c r="T13" s="34" t="str">
        <f>IF(A13="","",INDEX('Task Library'!$G$7:$G$45,MATCH(A13,'Task Library'!$A$7:$A$45,0)))</f>
        <v/>
      </c>
      <c r="U13" s="35"/>
      <c r="V13" s="34" t="str">
        <f t="shared" si="4"/>
        <v/>
      </c>
      <c r="W13" s="34" t="str">
        <f>IF(A13="","",INDEX('Task Library'!$H$7:$H$45,MATCH(A13,'Task Library'!$A$7:$A$45,0)))</f>
        <v/>
      </c>
      <c r="X13" s="35"/>
      <c r="Y13" s="34" t="str">
        <f t="shared" si="5"/>
        <v/>
      </c>
      <c r="Z13" s="36" t="str">
        <f>IF(OR(C13="",D13="",D13&lt;C13),"",SUMPRODUCT((('Date Engine'!$A$7:$A$5850&gt;=C13)*('Date Engine'!$A$7:$A$5850&lt;=D13)*'Date Engine'!$G$7:$G$5850)))</f>
        <v/>
      </c>
      <c r="AA13" s="34" t="str">
        <f>IFERROR(SUMPRODUCT((('Date Engine'!$A$7:$A$5850&gt;=C13)*('Date Engine'!$A$7:$A$5850&lt;=D13)*'Date Engine'!$G$7:$G$5850)*'Date Engine'!$H$7:$H$5850)/SUMPRODUCT((('Date Engine'!$A$7:$A$5850&gt;=C13)*('Date Engine'!$A$7:$A$5850&lt;=D13)*'Date Engine'!$G$7:$G$5850)),"")</f>
        <v/>
      </c>
      <c r="AB13" s="34" t="str">
        <f t="shared" si="6"/>
        <v/>
      </c>
      <c r="AC13" s="34">
        <f>IF($D$3&lt;&gt;"",$D$3,IFERROR(SUMPRODUCT((('Date Engine'!$A$7:$A$5850&gt;=C13)*('Date Engine'!$A$7:$A$5850&lt;=D13)*'Date Engine'!$G$7:$G$5850)*'Date Engine'!$J$7:$J$5850)/SUMPRODUCT((('Date Engine'!$A$7:$A$5850&gt;=C13)*('Date Engine'!$A$7:$A$5850&lt;=D13)*'Date Engine'!$G$7:$G$5850)),0))</f>
        <v>0</v>
      </c>
      <c r="AD13" s="34" t="str">
        <f t="shared" si="7"/>
        <v/>
      </c>
      <c r="AE13" s="34" t="str">
        <f t="shared" si="8"/>
        <v/>
      </c>
      <c r="AF13" s="34" t="str">
        <f t="shared" si="9"/>
        <v/>
      </c>
      <c r="AG13" s="34" t="str">
        <f t="shared" si="10"/>
        <v/>
      </c>
      <c r="AH13" s="38" t="str">
        <f t="shared" si="11"/>
        <v/>
      </c>
      <c r="AI13" s="36" t="str">
        <f t="shared" si="12"/>
        <v/>
      </c>
      <c r="AJ13" s="36" t="str">
        <f t="shared" si="13"/>
        <v/>
      </c>
      <c r="AK13" s="31" t="str">
        <f t="shared" si="14"/>
        <v/>
      </c>
      <c r="AL13" s="30"/>
    </row>
    <row r="14" spans="1:38" ht="14.4">
      <c r="A14" s="30"/>
      <c r="B14" s="31" t="str">
        <f>IF(A14="","",INDEX('Task Library'!$B$7:$B$45,MATCH(A14,'Task Library'!$A$7:$A$45,0)))</f>
        <v/>
      </c>
      <c r="C14" s="32"/>
      <c r="D14" s="32"/>
      <c r="E14" s="30" t="s">
        <v>122</v>
      </c>
      <c r="F14" s="33"/>
      <c r="G14" s="33"/>
      <c r="H14" s="34" t="str">
        <f>IF(A14="","",INDEX('Task Library'!$C$7:$C$45,MATCH(A14,'Task Library'!$A$7:$A$45,0)))</f>
        <v/>
      </c>
      <c r="I14" s="35"/>
      <c r="J14" s="34" t="str">
        <f t="shared" si="0"/>
        <v/>
      </c>
      <c r="K14" s="34" t="str">
        <f>IF(A14="","",INDEX('Task Library'!$D$7:$D$45,MATCH(A14,'Task Library'!$A$7:$A$45,0)))</f>
        <v/>
      </c>
      <c r="L14" s="35"/>
      <c r="M14" s="34" t="str">
        <f t="shared" si="1"/>
        <v/>
      </c>
      <c r="N14" s="36" t="str">
        <f>IF(A14="","",INDEX('Task Library'!$E$7:$E$45,MATCH(A14,'Task Library'!$A$7:$A$45,0)))</f>
        <v/>
      </c>
      <c r="O14" s="37"/>
      <c r="P14" s="36" t="str">
        <f t="shared" si="2"/>
        <v/>
      </c>
      <c r="Q14" s="34" t="str">
        <f>IF(A14="","",INDEX('Task Library'!$F$7:$F$45,MATCH(A14,'Task Library'!$A$7:$A$45,0)))</f>
        <v/>
      </c>
      <c r="R14" s="35"/>
      <c r="S14" s="34" t="str">
        <f t="shared" si="3"/>
        <v/>
      </c>
      <c r="T14" s="34" t="str">
        <f>IF(A14="","",INDEX('Task Library'!$G$7:$G$45,MATCH(A14,'Task Library'!$A$7:$A$45,0)))</f>
        <v/>
      </c>
      <c r="U14" s="35"/>
      <c r="V14" s="34" t="str">
        <f t="shared" si="4"/>
        <v/>
      </c>
      <c r="W14" s="34" t="str">
        <f>IF(A14="","",INDEX('Task Library'!$H$7:$H$45,MATCH(A14,'Task Library'!$A$7:$A$45,0)))</f>
        <v/>
      </c>
      <c r="X14" s="35"/>
      <c r="Y14" s="34" t="str">
        <f t="shared" si="5"/>
        <v/>
      </c>
      <c r="Z14" s="36" t="str">
        <f>IF(OR(C14="",D14="",D14&lt;C14),"",SUMPRODUCT((('Date Engine'!$A$7:$A$5850&gt;=C14)*('Date Engine'!$A$7:$A$5850&lt;=D14)*'Date Engine'!$G$7:$G$5850)))</f>
        <v/>
      </c>
      <c r="AA14" s="34" t="str">
        <f>IFERROR(SUMPRODUCT((('Date Engine'!$A$7:$A$5850&gt;=C14)*('Date Engine'!$A$7:$A$5850&lt;=D14)*'Date Engine'!$G$7:$G$5850)*'Date Engine'!$H$7:$H$5850)/SUMPRODUCT((('Date Engine'!$A$7:$A$5850&gt;=C14)*('Date Engine'!$A$7:$A$5850&lt;=D14)*'Date Engine'!$G$7:$G$5850)),"")</f>
        <v/>
      </c>
      <c r="AB14" s="34" t="str">
        <f t="shared" si="6"/>
        <v/>
      </c>
      <c r="AC14" s="34">
        <f>IF($D$3&lt;&gt;"",$D$3,IFERROR(SUMPRODUCT((('Date Engine'!$A$7:$A$5850&gt;=C14)*('Date Engine'!$A$7:$A$5850&lt;=D14)*'Date Engine'!$G$7:$G$5850)*'Date Engine'!$J$7:$J$5850)/SUMPRODUCT((('Date Engine'!$A$7:$A$5850&gt;=C14)*('Date Engine'!$A$7:$A$5850&lt;=D14)*'Date Engine'!$G$7:$G$5850)),0))</f>
        <v>0</v>
      </c>
      <c r="AD14" s="34" t="str">
        <f t="shared" si="7"/>
        <v/>
      </c>
      <c r="AE14" s="34" t="str">
        <f t="shared" si="8"/>
        <v/>
      </c>
      <c r="AF14" s="34" t="str">
        <f t="shared" si="9"/>
        <v/>
      </c>
      <c r="AG14" s="34" t="str">
        <f t="shared" si="10"/>
        <v/>
      </c>
      <c r="AH14" s="38" t="str">
        <f t="shared" si="11"/>
        <v/>
      </c>
      <c r="AI14" s="36" t="str">
        <f t="shared" si="12"/>
        <v/>
      </c>
      <c r="AJ14" s="36" t="str">
        <f t="shared" si="13"/>
        <v/>
      </c>
      <c r="AK14" s="31" t="str">
        <f t="shared" si="14"/>
        <v/>
      </c>
      <c r="AL14" s="30"/>
    </row>
    <row r="15" spans="1:38" ht="14.4">
      <c r="A15" s="30"/>
      <c r="B15" s="31" t="str">
        <f>IF(A15="","",INDEX('Task Library'!$B$7:$B$45,MATCH(A15,'Task Library'!$A$7:$A$45,0)))</f>
        <v/>
      </c>
      <c r="C15" s="32"/>
      <c r="D15" s="32"/>
      <c r="E15" s="30" t="s">
        <v>122</v>
      </c>
      <c r="F15" s="33"/>
      <c r="G15" s="33"/>
      <c r="H15" s="34" t="str">
        <f>IF(A15="","",INDEX('Task Library'!$C$7:$C$45,MATCH(A15,'Task Library'!$A$7:$A$45,0)))</f>
        <v/>
      </c>
      <c r="I15" s="35"/>
      <c r="J15" s="34" t="str">
        <f t="shared" si="0"/>
        <v/>
      </c>
      <c r="K15" s="34" t="str">
        <f>IF(A15="","",INDEX('Task Library'!$D$7:$D$45,MATCH(A15,'Task Library'!$A$7:$A$45,0)))</f>
        <v/>
      </c>
      <c r="L15" s="35"/>
      <c r="M15" s="34" t="str">
        <f t="shared" si="1"/>
        <v/>
      </c>
      <c r="N15" s="36" t="str">
        <f>IF(A15="","",INDEX('Task Library'!$E$7:$E$45,MATCH(A15,'Task Library'!$A$7:$A$45,0)))</f>
        <v/>
      </c>
      <c r="O15" s="37"/>
      <c r="P15" s="36" t="str">
        <f t="shared" si="2"/>
        <v/>
      </c>
      <c r="Q15" s="34" t="str">
        <f>IF(A15="","",INDEX('Task Library'!$F$7:$F$45,MATCH(A15,'Task Library'!$A$7:$A$45,0)))</f>
        <v/>
      </c>
      <c r="R15" s="35"/>
      <c r="S15" s="34" t="str">
        <f t="shared" si="3"/>
        <v/>
      </c>
      <c r="T15" s="34" t="str">
        <f>IF(A15="","",INDEX('Task Library'!$G$7:$G$45,MATCH(A15,'Task Library'!$A$7:$A$45,0)))</f>
        <v/>
      </c>
      <c r="U15" s="35"/>
      <c r="V15" s="34" t="str">
        <f t="shared" si="4"/>
        <v/>
      </c>
      <c r="W15" s="34" t="str">
        <f>IF(A15="","",INDEX('Task Library'!$H$7:$H$45,MATCH(A15,'Task Library'!$A$7:$A$45,0)))</f>
        <v/>
      </c>
      <c r="X15" s="35"/>
      <c r="Y15" s="34" t="str">
        <f t="shared" si="5"/>
        <v/>
      </c>
      <c r="Z15" s="36" t="str">
        <f>IF(OR(C15="",D15="",D15&lt;C15),"",SUMPRODUCT((('Date Engine'!$A$7:$A$5850&gt;=C15)*('Date Engine'!$A$7:$A$5850&lt;=D15)*'Date Engine'!$G$7:$G$5850)))</f>
        <v/>
      </c>
      <c r="AA15" s="34" t="str">
        <f>IFERROR(SUMPRODUCT((('Date Engine'!$A$7:$A$5850&gt;=C15)*('Date Engine'!$A$7:$A$5850&lt;=D15)*'Date Engine'!$G$7:$G$5850)*'Date Engine'!$H$7:$H$5850)/SUMPRODUCT((('Date Engine'!$A$7:$A$5850&gt;=C15)*('Date Engine'!$A$7:$A$5850&lt;=D15)*'Date Engine'!$G$7:$G$5850)),"")</f>
        <v/>
      </c>
      <c r="AB15" s="34" t="str">
        <f t="shared" si="6"/>
        <v/>
      </c>
      <c r="AC15" s="34">
        <f>IF($D$3&lt;&gt;"",$D$3,IFERROR(SUMPRODUCT((('Date Engine'!$A$7:$A$5850&gt;=C15)*('Date Engine'!$A$7:$A$5850&lt;=D15)*'Date Engine'!$G$7:$G$5850)*'Date Engine'!$J$7:$J$5850)/SUMPRODUCT((('Date Engine'!$A$7:$A$5850&gt;=C15)*('Date Engine'!$A$7:$A$5850&lt;=D15)*'Date Engine'!$G$7:$G$5850)),0))</f>
        <v>0</v>
      </c>
      <c r="AD15" s="34" t="str">
        <f t="shared" si="7"/>
        <v/>
      </c>
      <c r="AE15" s="34" t="str">
        <f t="shared" si="8"/>
        <v/>
      </c>
      <c r="AF15" s="34" t="str">
        <f t="shared" si="9"/>
        <v/>
      </c>
      <c r="AG15" s="34" t="str">
        <f t="shared" si="10"/>
        <v/>
      </c>
      <c r="AH15" s="38" t="str">
        <f t="shared" si="11"/>
        <v/>
      </c>
      <c r="AI15" s="36" t="str">
        <f t="shared" si="12"/>
        <v/>
      </c>
      <c r="AJ15" s="36" t="str">
        <f t="shared" si="13"/>
        <v/>
      </c>
      <c r="AK15" s="31" t="str">
        <f t="shared" si="14"/>
        <v/>
      </c>
      <c r="AL15" s="30"/>
    </row>
    <row r="16" spans="1:38" ht="14.4">
      <c r="A16" s="30"/>
      <c r="B16" s="31" t="str">
        <f>IF(A16="","",INDEX('Task Library'!$B$7:$B$45,MATCH(A16,'Task Library'!$A$7:$A$45,0)))</f>
        <v/>
      </c>
      <c r="C16" s="32"/>
      <c r="D16" s="32"/>
      <c r="E16" s="30" t="s">
        <v>122</v>
      </c>
      <c r="F16" s="33"/>
      <c r="G16" s="33"/>
      <c r="H16" s="34" t="str">
        <f>IF(A16="","",INDEX('Task Library'!$C$7:$C$45,MATCH(A16,'Task Library'!$A$7:$A$45,0)))</f>
        <v/>
      </c>
      <c r="I16" s="35"/>
      <c r="J16" s="34" t="str">
        <f t="shared" si="0"/>
        <v/>
      </c>
      <c r="K16" s="34" t="str">
        <f>IF(A16="","",INDEX('Task Library'!$D$7:$D$45,MATCH(A16,'Task Library'!$A$7:$A$45,0)))</f>
        <v/>
      </c>
      <c r="L16" s="35"/>
      <c r="M16" s="34" t="str">
        <f t="shared" si="1"/>
        <v/>
      </c>
      <c r="N16" s="36" t="str">
        <f>IF(A16="","",INDEX('Task Library'!$E$7:$E$45,MATCH(A16,'Task Library'!$A$7:$A$45,0)))</f>
        <v/>
      </c>
      <c r="O16" s="37"/>
      <c r="P16" s="36" t="str">
        <f t="shared" si="2"/>
        <v/>
      </c>
      <c r="Q16" s="34" t="str">
        <f>IF(A16="","",INDEX('Task Library'!$F$7:$F$45,MATCH(A16,'Task Library'!$A$7:$A$45,0)))</f>
        <v/>
      </c>
      <c r="R16" s="35"/>
      <c r="S16" s="34" t="str">
        <f t="shared" si="3"/>
        <v/>
      </c>
      <c r="T16" s="34" t="str">
        <f>IF(A16="","",INDEX('Task Library'!$G$7:$G$45,MATCH(A16,'Task Library'!$A$7:$A$45,0)))</f>
        <v/>
      </c>
      <c r="U16" s="35"/>
      <c r="V16" s="34" t="str">
        <f t="shared" si="4"/>
        <v/>
      </c>
      <c r="W16" s="34" t="str">
        <f>IF(A16="","",INDEX('Task Library'!$H$7:$H$45,MATCH(A16,'Task Library'!$A$7:$A$45,0)))</f>
        <v/>
      </c>
      <c r="X16" s="35"/>
      <c r="Y16" s="34" t="str">
        <f t="shared" si="5"/>
        <v/>
      </c>
      <c r="Z16" s="36" t="str">
        <f>IF(OR(C16="",D16="",D16&lt;C16),"",SUMPRODUCT((('Date Engine'!$A$7:$A$5850&gt;=C16)*('Date Engine'!$A$7:$A$5850&lt;=D16)*'Date Engine'!$G$7:$G$5850)))</f>
        <v/>
      </c>
      <c r="AA16" s="34" t="str">
        <f>IFERROR(SUMPRODUCT((('Date Engine'!$A$7:$A$5850&gt;=C16)*('Date Engine'!$A$7:$A$5850&lt;=D16)*'Date Engine'!$G$7:$G$5850)*'Date Engine'!$H$7:$H$5850)/SUMPRODUCT((('Date Engine'!$A$7:$A$5850&gt;=C16)*('Date Engine'!$A$7:$A$5850&lt;=D16)*'Date Engine'!$G$7:$G$5850)),"")</f>
        <v/>
      </c>
      <c r="AB16" s="34" t="str">
        <f t="shared" si="6"/>
        <v/>
      </c>
      <c r="AC16" s="34">
        <f>IF($D$3&lt;&gt;"",$D$3,IFERROR(SUMPRODUCT((('Date Engine'!$A$7:$A$5850&gt;=C16)*('Date Engine'!$A$7:$A$5850&lt;=D16)*'Date Engine'!$G$7:$G$5850)*'Date Engine'!$J$7:$J$5850)/SUMPRODUCT((('Date Engine'!$A$7:$A$5850&gt;=C16)*('Date Engine'!$A$7:$A$5850&lt;=D16)*'Date Engine'!$G$7:$G$5850)),0))</f>
        <v>0</v>
      </c>
      <c r="AD16" s="34" t="str">
        <f t="shared" si="7"/>
        <v/>
      </c>
      <c r="AE16" s="34" t="str">
        <f t="shared" si="8"/>
        <v/>
      </c>
      <c r="AF16" s="34" t="str">
        <f t="shared" si="9"/>
        <v/>
      </c>
      <c r="AG16" s="34" t="str">
        <f t="shared" si="10"/>
        <v/>
      </c>
      <c r="AH16" s="38" t="str">
        <f t="shared" si="11"/>
        <v/>
      </c>
      <c r="AI16" s="36" t="str">
        <f t="shared" si="12"/>
        <v/>
      </c>
      <c r="AJ16" s="36" t="str">
        <f t="shared" si="13"/>
        <v/>
      </c>
      <c r="AK16" s="31" t="str">
        <f t="shared" si="14"/>
        <v/>
      </c>
      <c r="AL16" s="30"/>
    </row>
    <row r="17" spans="1:38" ht="14.4">
      <c r="A17" s="30"/>
      <c r="B17" s="31" t="str">
        <f>IF(A17="","",INDEX('Task Library'!$B$7:$B$45,MATCH(A17,'Task Library'!$A$7:$A$45,0)))</f>
        <v/>
      </c>
      <c r="C17" s="32"/>
      <c r="D17" s="32"/>
      <c r="E17" s="30" t="s">
        <v>122</v>
      </c>
      <c r="F17" s="33"/>
      <c r="G17" s="33"/>
      <c r="H17" s="34" t="str">
        <f>IF(A17="","",INDEX('Task Library'!$C$7:$C$45,MATCH(A17,'Task Library'!$A$7:$A$45,0)))</f>
        <v/>
      </c>
      <c r="I17" s="35"/>
      <c r="J17" s="34" t="str">
        <f t="shared" si="0"/>
        <v/>
      </c>
      <c r="K17" s="34" t="str">
        <f>IF(A17="","",INDEX('Task Library'!$D$7:$D$45,MATCH(A17,'Task Library'!$A$7:$A$45,0)))</f>
        <v/>
      </c>
      <c r="L17" s="35"/>
      <c r="M17" s="34" t="str">
        <f t="shared" si="1"/>
        <v/>
      </c>
      <c r="N17" s="36" t="str">
        <f>IF(A17="","",INDEX('Task Library'!$E$7:$E$45,MATCH(A17,'Task Library'!$A$7:$A$45,0)))</f>
        <v/>
      </c>
      <c r="O17" s="37"/>
      <c r="P17" s="36" t="str">
        <f t="shared" si="2"/>
        <v/>
      </c>
      <c r="Q17" s="34" t="str">
        <f>IF(A17="","",INDEX('Task Library'!$F$7:$F$45,MATCH(A17,'Task Library'!$A$7:$A$45,0)))</f>
        <v/>
      </c>
      <c r="R17" s="35"/>
      <c r="S17" s="34" t="str">
        <f t="shared" si="3"/>
        <v/>
      </c>
      <c r="T17" s="34" t="str">
        <f>IF(A17="","",INDEX('Task Library'!$G$7:$G$45,MATCH(A17,'Task Library'!$A$7:$A$45,0)))</f>
        <v/>
      </c>
      <c r="U17" s="35"/>
      <c r="V17" s="34" t="str">
        <f t="shared" si="4"/>
        <v/>
      </c>
      <c r="W17" s="34" t="str">
        <f>IF(A17="","",INDEX('Task Library'!$H$7:$H$45,MATCH(A17,'Task Library'!$A$7:$A$45,0)))</f>
        <v/>
      </c>
      <c r="X17" s="35"/>
      <c r="Y17" s="34" t="str">
        <f t="shared" si="5"/>
        <v/>
      </c>
      <c r="Z17" s="36" t="str">
        <f>IF(OR(C17="",D17="",D17&lt;C17),"",SUMPRODUCT((('Date Engine'!$A$7:$A$5850&gt;=C17)*('Date Engine'!$A$7:$A$5850&lt;=D17)*'Date Engine'!$G$7:$G$5850)))</f>
        <v/>
      </c>
      <c r="AA17" s="34" t="str">
        <f>IFERROR(SUMPRODUCT((('Date Engine'!$A$7:$A$5850&gt;=C17)*('Date Engine'!$A$7:$A$5850&lt;=D17)*'Date Engine'!$G$7:$G$5850)*'Date Engine'!$H$7:$H$5850)/SUMPRODUCT((('Date Engine'!$A$7:$A$5850&gt;=C17)*('Date Engine'!$A$7:$A$5850&lt;=D17)*'Date Engine'!$G$7:$G$5850)),"")</f>
        <v/>
      </c>
      <c r="AB17" s="34" t="str">
        <f t="shared" si="6"/>
        <v/>
      </c>
      <c r="AC17" s="34">
        <f>IF($D$3&lt;&gt;"",$D$3,IFERROR(SUMPRODUCT((('Date Engine'!$A$7:$A$5850&gt;=C17)*('Date Engine'!$A$7:$A$5850&lt;=D17)*'Date Engine'!$G$7:$G$5850)*'Date Engine'!$J$7:$J$5850)/SUMPRODUCT((('Date Engine'!$A$7:$A$5850&gt;=C17)*('Date Engine'!$A$7:$A$5850&lt;=D17)*'Date Engine'!$G$7:$G$5850)),0))</f>
        <v>0</v>
      </c>
      <c r="AD17" s="34" t="str">
        <f t="shared" si="7"/>
        <v/>
      </c>
      <c r="AE17" s="34" t="str">
        <f t="shared" si="8"/>
        <v/>
      </c>
      <c r="AF17" s="34" t="str">
        <f t="shared" si="9"/>
        <v/>
      </c>
      <c r="AG17" s="34" t="str">
        <f t="shared" si="10"/>
        <v/>
      </c>
      <c r="AH17" s="38" t="str">
        <f t="shared" si="11"/>
        <v/>
      </c>
      <c r="AI17" s="36" t="str">
        <f t="shared" si="12"/>
        <v/>
      </c>
      <c r="AJ17" s="36" t="str">
        <f t="shared" si="13"/>
        <v/>
      </c>
      <c r="AK17" s="31" t="str">
        <f t="shared" si="14"/>
        <v/>
      </c>
      <c r="AL17" s="30"/>
    </row>
    <row r="18" spans="1:38" ht="14.4">
      <c r="A18" s="30"/>
      <c r="B18" s="31" t="str">
        <f>IF(A18="","",INDEX('Task Library'!$B$7:$B$45,MATCH(A18,'Task Library'!$A$7:$A$45,0)))</f>
        <v/>
      </c>
      <c r="C18" s="32"/>
      <c r="D18" s="32"/>
      <c r="E18" s="30" t="s">
        <v>122</v>
      </c>
      <c r="F18" s="33"/>
      <c r="G18" s="33"/>
      <c r="H18" s="34" t="str">
        <f>IF(A18="","",INDEX('Task Library'!$C$7:$C$45,MATCH(A18,'Task Library'!$A$7:$A$45,0)))</f>
        <v/>
      </c>
      <c r="I18" s="35"/>
      <c r="J18" s="34" t="str">
        <f t="shared" si="0"/>
        <v/>
      </c>
      <c r="K18" s="34" t="str">
        <f>IF(A18="","",INDEX('Task Library'!$D$7:$D$45,MATCH(A18,'Task Library'!$A$7:$A$45,0)))</f>
        <v/>
      </c>
      <c r="L18" s="35"/>
      <c r="M18" s="34" t="str">
        <f t="shared" si="1"/>
        <v/>
      </c>
      <c r="N18" s="36" t="str">
        <f>IF(A18="","",INDEX('Task Library'!$E$7:$E$45,MATCH(A18,'Task Library'!$A$7:$A$45,0)))</f>
        <v/>
      </c>
      <c r="O18" s="37"/>
      <c r="P18" s="36" t="str">
        <f t="shared" si="2"/>
        <v/>
      </c>
      <c r="Q18" s="34" t="str">
        <f>IF(A18="","",INDEX('Task Library'!$F$7:$F$45,MATCH(A18,'Task Library'!$A$7:$A$45,0)))</f>
        <v/>
      </c>
      <c r="R18" s="35"/>
      <c r="S18" s="34" t="str">
        <f t="shared" si="3"/>
        <v/>
      </c>
      <c r="T18" s="34" t="str">
        <f>IF(A18="","",INDEX('Task Library'!$G$7:$G$45,MATCH(A18,'Task Library'!$A$7:$A$45,0)))</f>
        <v/>
      </c>
      <c r="U18" s="35"/>
      <c r="V18" s="34" t="str">
        <f t="shared" si="4"/>
        <v/>
      </c>
      <c r="W18" s="34" t="str">
        <f>IF(A18="","",INDEX('Task Library'!$H$7:$H$45,MATCH(A18,'Task Library'!$A$7:$A$45,0)))</f>
        <v/>
      </c>
      <c r="X18" s="35"/>
      <c r="Y18" s="34" t="str">
        <f t="shared" si="5"/>
        <v/>
      </c>
      <c r="Z18" s="36" t="str">
        <f>IF(OR(C18="",D18="",D18&lt;C18),"",SUMPRODUCT((('Date Engine'!$A$7:$A$5850&gt;=C18)*('Date Engine'!$A$7:$A$5850&lt;=D18)*'Date Engine'!$G$7:$G$5850)))</f>
        <v/>
      </c>
      <c r="AA18" s="34" t="str">
        <f>IFERROR(SUMPRODUCT((('Date Engine'!$A$7:$A$5850&gt;=C18)*('Date Engine'!$A$7:$A$5850&lt;=D18)*'Date Engine'!$G$7:$G$5850)*'Date Engine'!$H$7:$H$5850)/SUMPRODUCT((('Date Engine'!$A$7:$A$5850&gt;=C18)*('Date Engine'!$A$7:$A$5850&lt;=D18)*'Date Engine'!$G$7:$G$5850)),"")</f>
        <v/>
      </c>
      <c r="AB18" s="34" t="str">
        <f t="shared" si="6"/>
        <v/>
      </c>
      <c r="AC18" s="34">
        <f>IF($D$3&lt;&gt;"",$D$3,IFERROR(SUMPRODUCT((('Date Engine'!$A$7:$A$5850&gt;=C18)*('Date Engine'!$A$7:$A$5850&lt;=D18)*'Date Engine'!$G$7:$G$5850)*'Date Engine'!$J$7:$J$5850)/SUMPRODUCT((('Date Engine'!$A$7:$A$5850&gt;=C18)*('Date Engine'!$A$7:$A$5850&lt;=D18)*'Date Engine'!$G$7:$G$5850)),0))</f>
        <v>0</v>
      </c>
      <c r="AD18" s="34" t="str">
        <f t="shared" si="7"/>
        <v/>
      </c>
      <c r="AE18" s="34" t="str">
        <f t="shared" si="8"/>
        <v/>
      </c>
      <c r="AF18" s="34" t="str">
        <f t="shared" si="9"/>
        <v/>
      </c>
      <c r="AG18" s="34" t="str">
        <f t="shared" si="10"/>
        <v/>
      </c>
      <c r="AH18" s="38" t="str">
        <f t="shared" si="11"/>
        <v/>
      </c>
      <c r="AI18" s="36" t="str">
        <f t="shared" si="12"/>
        <v/>
      </c>
      <c r="AJ18" s="36" t="str">
        <f t="shared" si="13"/>
        <v/>
      </c>
      <c r="AK18" s="31" t="str">
        <f t="shared" si="14"/>
        <v/>
      </c>
      <c r="AL18" s="30"/>
    </row>
    <row r="19" spans="1:38" ht="14.4">
      <c r="A19" s="30"/>
      <c r="B19" s="31" t="str">
        <f>IF(A19="","",INDEX('Task Library'!$B$7:$B$45,MATCH(A19,'Task Library'!$A$7:$A$45,0)))</f>
        <v/>
      </c>
      <c r="C19" s="32"/>
      <c r="D19" s="32"/>
      <c r="E19" s="30" t="s">
        <v>122</v>
      </c>
      <c r="F19" s="33"/>
      <c r="G19" s="33"/>
      <c r="H19" s="34" t="str">
        <f>IF(A19="","",INDEX('Task Library'!$C$7:$C$45,MATCH(A19,'Task Library'!$A$7:$A$45,0)))</f>
        <v/>
      </c>
      <c r="I19" s="35"/>
      <c r="J19" s="34" t="str">
        <f t="shared" si="0"/>
        <v/>
      </c>
      <c r="K19" s="34" t="str">
        <f>IF(A19="","",INDEX('Task Library'!$D$7:$D$45,MATCH(A19,'Task Library'!$A$7:$A$45,0)))</f>
        <v/>
      </c>
      <c r="L19" s="35"/>
      <c r="M19" s="34" t="str">
        <f t="shared" si="1"/>
        <v/>
      </c>
      <c r="N19" s="36" t="str">
        <f>IF(A19="","",INDEX('Task Library'!$E$7:$E$45,MATCH(A19,'Task Library'!$A$7:$A$45,0)))</f>
        <v/>
      </c>
      <c r="O19" s="37"/>
      <c r="P19" s="36" t="str">
        <f t="shared" si="2"/>
        <v/>
      </c>
      <c r="Q19" s="34" t="str">
        <f>IF(A19="","",INDEX('Task Library'!$F$7:$F$45,MATCH(A19,'Task Library'!$A$7:$A$45,0)))</f>
        <v/>
      </c>
      <c r="R19" s="35"/>
      <c r="S19" s="34" t="str">
        <f t="shared" si="3"/>
        <v/>
      </c>
      <c r="T19" s="34" t="str">
        <f>IF(A19="","",INDEX('Task Library'!$G$7:$G$45,MATCH(A19,'Task Library'!$A$7:$A$45,0)))</f>
        <v/>
      </c>
      <c r="U19" s="35"/>
      <c r="V19" s="34" t="str">
        <f t="shared" si="4"/>
        <v/>
      </c>
      <c r="W19" s="34" t="str">
        <f>IF(A19="","",INDEX('Task Library'!$H$7:$H$45,MATCH(A19,'Task Library'!$A$7:$A$45,0)))</f>
        <v/>
      </c>
      <c r="X19" s="35"/>
      <c r="Y19" s="34" t="str">
        <f t="shared" si="5"/>
        <v/>
      </c>
      <c r="Z19" s="36" t="str">
        <f>IF(OR(C19="",D19="",D19&lt;C19),"",SUMPRODUCT((('Date Engine'!$A$7:$A$5850&gt;=C19)*('Date Engine'!$A$7:$A$5850&lt;=D19)*'Date Engine'!$G$7:$G$5850)))</f>
        <v/>
      </c>
      <c r="AA19" s="34" t="str">
        <f>IFERROR(SUMPRODUCT((('Date Engine'!$A$7:$A$5850&gt;=C19)*('Date Engine'!$A$7:$A$5850&lt;=D19)*'Date Engine'!$G$7:$G$5850)*'Date Engine'!$H$7:$H$5850)/SUMPRODUCT((('Date Engine'!$A$7:$A$5850&gt;=C19)*('Date Engine'!$A$7:$A$5850&lt;=D19)*'Date Engine'!$G$7:$G$5850)),"")</f>
        <v/>
      </c>
      <c r="AB19" s="34" t="str">
        <f t="shared" si="6"/>
        <v/>
      </c>
      <c r="AC19" s="34">
        <f>IF($D$3&lt;&gt;"",$D$3,IFERROR(SUMPRODUCT((('Date Engine'!$A$7:$A$5850&gt;=C19)*('Date Engine'!$A$7:$A$5850&lt;=D19)*'Date Engine'!$G$7:$G$5850)*'Date Engine'!$J$7:$J$5850)/SUMPRODUCT((('Date Engine'!$A$7:$A$5850&gt;=C19)*('Date Engine'!$A$7:$A$5850&lt;=D19)*'Date Engine'!$G$7:$G$5850)),0))</f>
        <v>0</v>
      </c>
      <c r="AD19" s="34" t="str">
        <f t="shared" si="7"/>
        <v/>
      </c>
      <c r="AE19" s="34" t="str">
        <f t="shared" si="8"/>
        <v/>
      </c>
      <c r="AF19" s="34" t="str">
        <f t="shared" si="9"/>
        <v/>
      </c>
      <c r="AG19" s="34" t="str">
        <f t="shared" si="10"/>
        <v/>
      </c>
      <c r="AH19" s="38" t="str">
        <f t="shared" si="11"/>
        <v/>
      </c>
      <c r="AI19" s="36" t="str">
        <f t="shared" si="12"/>
        <v/>
      </c>
      <c r="AJ19" s="36" t="str">
        <f t="shared" si="13"/>
        <v/>
      </c>
      <c r="AK19" s="31" t="str">
        <f t="shared" si="14"/>
        <v/>
      </c>
      <c r="AL19" s="30"/>
    </row>
    <row r="20" spans="1:38" ht="14.4">
      <c r="A20" s="30"/>
      <c r="B20" s="31" t="str">
        <f>IF(A20="","",INDEX('Task Library'!$B$7:$B$45,MATCH(A20,'Task Library'!$A$7:$A$45,0)))</f>
        <v/>
      </c>
      <c r="C20" s="32"/>
      <c r="D20" s="32"/>
      <c r="E20" s="30" t="s">
        <v>122</v>
      </c>
      <c r="F20" s="33"/>
      <c r="G20" s="33"/>
      <c r="H20" s="34" t="str">
        <f>IF(A20="","",INDEX('Task Library'!$C$7:$C$45,MATCH(A20,'Task Library'!$A$7:$A$45,0)))</f>
        <v/>
      </c>
      <c r="I20" s="35"/>
      <c r="J20" s="34" t="str">
        <f t="shared" si="0"/>
        <v/>
      </c>
      <c r="K20" s="34" t="str">
        <f>IF(A20="","",INDEX('Task Library'!$D$7:$D$45,MATCH(A20,'Task Library'!$A$7:$A$45,0)))</f>
        <v/>
      </c>
      <c r="L20" s="35"/>
      <c r="M20" s="34" t="str">
        <f t="shared" si="1"/>
        <v/>
      </c>
      <c r="N20" s="36" t="str">
        <f>IF(A20="","",INDEX('Task Library'!$E$7:$E$45,MATCH(A20,'Task Library'!$A$7:$A$45,0)))</f>
        <v/>
      </c>
      <c r="O20" s="37"/>
      <c r="P20" s="36" t="str">
        <f t="shared" si="2"/>
        <v/>
      </c>
      <c r="Q20" s="34" t="str">
        <f>IF(A20="","",INDEX('Task Library'!$F$7:$F$45,MATCH(A20,'Task Library'!$A$7:$A$45,0)))</f>
        <v/>
      </c>
      <c r="R20" s="35"/>
      <c r="S20" s="34" t="str">
        <f t="shared" si="3"/>
        <v/>
      </c>
      <c r="T20" s="34" t="str">
        <f>IF(A20="","",INDEX('Task Library'!$G$7:$G$45,MATCH(A20,'Task Library'!$A$7:$A$45,0)))</f>
        <v/>
      </c>
      <c r="U20" s="35"/>
      <c r="V20" s="34" t="str">
        <f t="shared" si="4"/>
        <v/>
      </c>
      <c r="W20" s="34" t="str">
        <f>IF(A20="","",INDEX('Task Library'!$H$7:$H$45,MATCH(A20,'Task Library'!$A$7:$A$45,0)))</f>
        <v/>
      </c>
      <c r="X20" s="35"/>
      <c r="Y20" s="34" t="str">
        <f t="shared" si="5"/>
        <v/>
      </c>
      <c r="Z20" s="36" t="str">
        <f>IF(OR(C20="",D20="",D20&lt;C20),"",SUMPRODUCT((('Date Engine'!$A$7:$A$5850&gt;=C20)*('Date Engine'!$A$7:$A$5850&lt;=D20)*'Date Engine'!$G$7:$G$5850)))</f>
        <v/>
      </c>
      <c r="AA20" s="34" t="str">
        <f>IFERROR(SUMPRODUCT((('Date Engine'!$A$7:$A$5850&gt;=C20)*('Date Engine'!$A$7:$A$5850&lt;=D20)*'Date Engine'!$G$7:$G$5850)*'Date Engine'!$H$7:$H$5850)/SUMPRODUCT((('Date Engine'!$A$7:$A$5850&gt;=C20)*('Date Engine'!$A$7:$A$5850&lt;=D20)*'Date Engine'!$G$7:$G$5850)),"")</f>
        <v/>
      </c>
      <c r="AB20" s="34" t="str">
        <f t="shared" si="6"/>
        <v/>
      </c>
      <c r="AC20" s="34">
        <f>IF($D$3&lt;&gt;"",$D$3,IFERROR(SUMPRODUCT((('Date Engine'!$A$7:$A$5850&gt;=C20)*('Date Engine'!$A$7:$A$5850&lt;=D20)*'Date Engine'!$G$7:$G$5850)*'Date Engine'!$J$7:$J$5850)/SUMPRODUCT((('Date Engine'!$A$7:$A$5850&gt;=C20)*('Date Engine'!$A$7:$A$5850&lt;=D20)*'Date Engine'!$G$7:$G$5850)),0))</f>
        <v>0</v>
      </c>
      <c r="AD20" s="34" t="str">
        <f t="shared" si="7"/>
        <v/>
      </c>
      <c r="AE20" s="34" t="str">
        <f t="shared" si="8"/>
        <v/>
      </c>
      <c r="AF20" s="34" t="str">
        <f t="shared" si="9"/>
        <v/>
      </c>
      <c r="AG20" s="34" t="str">
        <f t="shared" si="10"/>
        <v/>
      </c>
      <c r="AH20" s="38" t="str">
        <f t="shared" si="11"/>
        <v/>
      </c>
      <c r="AI20" s="36" t="str">
        <f t="shared" si="12"/>
        <v/>
      </c>
      <c r="AJ20" s="36" t="str">
        <f t="shared" si="13"/>
        <v/>
      </c>
      <c r="AK20" s="31" t="str">
        <f t="shared" si="14"/>
        <v/>
      </c>
      <c r="AL20" s="30"/>
    </row>
    <row r="21" spans="1:38" ht="14.4">
      <c r="A21" s="30"/>
      <c r="B21" s="31" t="str">
        <f>IF(A21="","",INDEX('Task Library'!$B$7:$B$45,MATCH(A21,'Task Library'!$A$7:$A$45,0)))</f>
        <v/>
      </c>
      <c r="C21" s="32"/>
      <c r="D21" s="32"/>
      <c r="E21" s="30" t="s">
        <v>122</v>
      </c>
      <c r="F21" s="33"/>
      <c r="G21" s="33"/>
      <c r="H21" s="34" t="str">
        <f>IF(A21="","",INDEX('Task Library'!$C$7:$C$45,MATCH(A21,'Task Library'!$A$7:$A$45,0)))</f>
        <v/>
      </c>
      <c r="I21" s="35"/>
      <c r="J21" s="34" t="str">
        <f t="shared" si="0"/>
        <v/>
      </c>
      <c r="K21" s="34" t="str">
        <f>IF(A21="","",INDEX('Task Library'!$D$7:$D$45,MATCH(A21,'Task Library'!$A$7:$A$45,0)))</f>
        <v/>
      </c>
      <c r="L21" s="35"/>
      <c r="M21" s="34" t="str">
        <f t="shared" si="1"/>
        <v/>
      </c>
      <c r="N21" s="36" t="str">
        <f>IF(A21="","",INDEX('Task Library'!$E$7:$E$45,MATCH(A21,'Task Library'!$A$7:$A$45,0)))</f>
        <v/>
      </c>
      <c r="O21" s="37"/>
      <c r="P21" s="36" t="str">
        <f t="shared" si="2"/>
        <v/>
      </c>
      <c r="Q21" s="34" t="str">
        <f>IF(A21="","",INDEX('Task Library'!$F$7:$F$45,MATCH(A21,'Task Library'!$A$7:$A$45,0)))</f>
        <v/>
      </c>
      <c r="R21" s="35"/>
      <c r="S21" s="34" t="str">
        <f t="shared" si="3"/>
        <v/>
      </c>
      <c r="T21" s="34" t="str">
        <f>IF(A21="","",INDEX('Task Library'!$G$7:$G$45,MATCH(A21,'Task Library'!$A$7:$A$45,0)))</f>
        <v/>
      </c>
      <c r="U21" s="35"/>
      <c r="V21" s="34" t="str">
        <f t="shared" si="4"/>
        <v/>
      </c>
      <c r="W21" s="34" t="str">
        <f>IF(A21="","",INDEX('Task Library'!$H$7:$H$45,MATCH(A21,'Task Library'!$A$7:$A$45,0)))</f>
        <v/>
      </c>
      <c r="X21" s="35"/>
      <c r="Y21" s="34" t="str">
        <f t="shared" si="5"/>
        <v/>
      </c>
      <c r="Z21" s="36" t="str">
        <f>IF(OR(C21="",D21="",D21&lt;C21),"",SUMPRODUCT((('Date Engine'!$A$7:$A$5850&gt;=C21)*('Date Engine'!$A$7:$A$5850&lt;=D21)*'Date Engine'!$G$7:$G$5850)))</f>
        <v/>
      </c>
      <c r="AA21" s="34" t="str">
        <f>IFERROR(SUMPRODUCT((('Date Engine'!$A$7:$A$5850&gt;=C21)*('Date Engine'!$A$7:$A$5850&lt;=D21)*'Date Engine'!$G$7:$G$5850)*'Date Engine'!$H$7:$H$5850)/SUMPRODUCT((('Date Engine'!$A$7:$A$5850&gt;=C21)*('Date Engine'!$A$7:$A$5850&lt;=D21)*'Date Engine'!$G$7:$G$5850)),"")</f>
        <v/>
      </c>
      <c r="AB21" s="34" t="str">
        <f t="shared" si="6"/>
        <v/>
      </c>
      <c r="AC21" s="34">
        <f>IF($D$3&lt;&gt;"",$D$3,IFERROR(SUMPRODUCT((('Date Engine'!$A$7:$A$5850&gt;=C21)*('Date Engine'!$A$7:$A$5850&lt;=D21)*'Date Engine'!$G$7:$G$5850)*'Date Engine'!$J$7:$J$5850)/SUMPRODUCT((('Date Engine'!$A$7:$A$5850&gt;=C21)*('Date Engine'!$A$7:$A$5850&lt;=D21)*'Date Engine'!$G$7:$G$5850)),0))</f>
        <v>0</v>
      </c>
      <c r="AD21" s="34" t="str">
        <f t="shared" si="7"/>
        <v/>
      </c>
      <c r="AE21" s="34" t="str">
        <f t="shared" si="8"/>
        <v/>
      </c>
      <c r="AF21" s="34" t="str">
        <f t="shared" si="9"/>
        <v/>
      </c>
      <c r="AG21" s="34" t="str">
        <f t="shared" si="10"/>
        <v/>
      </c>
      <c r="AH21" s="38" t="str">
        <f t="shared" si="11"/>
        <v/>
      </c>
      <c r="AI21" s="36" t="str">
        <f t="shared" si="12"/>
        <v/>
      </c>
      <c r="AJ21" s="36" t="str">
        <f t="shared" si="13"/>
        <v/>
      </c>
      <c r="AK21" s="31" t="str">
        <f t="shared" si="14"/>
        <v/>
      </c>
      <c r="AL21" s="30"/>
    </row>
    <row r="22" spans="1:38" ht="14.4">
      <c r="A22" s="30"/>
      <c r="B22" s="31" t="str">
        <f>IF(A22="","",INDEX('Task Library'!$B$7:$B$45,MATCH(A22,'Task Library'!$A$7:$A$45,0)))</f>
        <v/>
      </c>
      <c r="C22" s="32"/>
      <c r="D22" s="32"/>
      <c r="E22" s="30" t="s">
        <v>122</v>
      </c>
      <c r="F22" s="33"/>
      <c r="G22" s="33"/>
      <c r="H22" s="34" t="str">
        <f>IF(A22="","",INDEX('Task Library'!$C$7:$C$45,MATCH(A22,'Task Library'!$A$7:$A$45,0)))</f>
        <v/>
      </c>
      <c r="I22" s="35"/>
      <c r="J22" s="34" t="str">
        <f t="shared" si="0"/>
        <v/>
      </c>
      <c r="K22" s="34" t="str">
        <f>IF(A22="","",INDEX('Task Library'!$D$7:$D$45,MATCH(A22,'Task Library'!$A$7:$A$45,0)))</f>
        <v/>
      </c>
      <c r="L22" s="35"/>
      <c r="M22" s="34" t="str">
        <f t="shared" si="1"/>
        <v/>
      </c>
      <c r="N22" s="36" t="str">
        <f>IF(A22="","",INDEX('Task Library'!$E$7:$E$45,MATCH(A22,'Task Library'!$A$7:$A$45,0)))</f>
        <v/>
      </c>
      <c r="O22" s="37"/>
      <c r="P22" s="36" t="str">
        <f t="shared" si="2"/>
        <v/>
      </c>
      <c r="Q22" s="34" t="str">
        <f>IF(A22="","",INDEX('Task Library'!$F$7:$F$45,MATCH(A22,'Task Library'!$A$7:$A$45,0)))</f>
        <v/>
      </c>
      <c r="R22" s="35"/>
      <c r="S22" s="34" t="str">
        <f t="shared" si="3"/>
        <v/>
      </c>
      <c r="T22" s="34" t="str">
        <f>IF(A22="","",INDEX('Task Library'!$G$7:$G$45,MATCH(A22,'Task Library'!$A$7:$A$45,0)))</f>
        <v/>
      </c>
      <c r="U22" s="35"/>
      <c r="V22" s="34" t="str">
        <f t="shared" si="4"/>
        <v/>
      </c>
      <c r="W22" s="34" t="str">
        <f>IF(A22="","",INDEX('Task Library'!$H$7:$H$45,MATCH(A22,'Task Library'!$A$7:$A$45,0)))</f>
        <v/>
      </c>
      <c r="X22" s="35"/>
      <c r="Y22" s="34" t="str">
        <f t="shared" si="5"/>
        <v/>
      </c>
      <c r="Z22" s="36" t="str">
        <f>IF(OR(C22="",D22="",D22&lt;C22),"",SUMPRODUCT((('Date Engine'!$A$7:$A$5850&gt;=C22)*('Date Engine'!$A$7:$A$5850&lt;=D22)*'Date Engine'!$G$7:$G$5850)))</f>
        <v/>
      </c>
      <c r="AA22" s="34" t="str">
        <f>IFERROR(SUMPRODUCT((('Date Engine'!$A$7:$A$5850&gt;=C22)*('Date Engine'!$A$7:$A$5850&lt;=D22)*'Date Engine'!$G$7:$G$5850)*'Date Engine'!$H$7:$H$5850)/SUMPRODUCT((('Date Engine'!$A$7:$A$5850&gt;=C22)*('Date Engine'!$A$7:$A$5850&lt;=D22)*'Date Engine'!$G$7:$G$5850)),"")</f>
        <v/>
      </c>
      <c r="AB22" s="34" t="str">
        <f t="shared" si="6"/>
        <v/>
      </c>
      <c r="AC22" s="34">
        <f>IF($D$3&lt;&gt;"",$D$3,IFERROR(SUMPRODUCT((('Date Engine'!$A$7:$A$5850&gt;=C22)*('Date Engine'!$A$7:$A$5850&lt;=D22)*'Date Engine'!$G$7:$G$5850)*'Date Engine'!$J$7:$J$5850)/SUMPRODUCT((('Date Engine'!$A$7:$A$5850&gt;=C22)*('Date Engine'!$A$7:$A$5850&lt;=D22)*'Date Engine'!$G$7:$G$5850)),0))</f>
        <v>0</v>
      </c>
      <c r="AD22" s="34" t="str">
        <f t="shared" si="7"/>
        <v/>
      </c>
      <c r="AE22" s="34" t="str">
        <f t="shared" si="8"/>
        <v/>
      </c>
      <c r="AF22" s="34" t="str">
        <f t="shared" si="9"/>
        <v/>
      </c>
      <c r="AG22" s="34" t="str">
        <f t="shared" si="10"/>
        <v/>
      </c>
      <c r="AH22" s="38" t="str">
        <f t="shared" si="11"/>
        <v/>
      </c>
      <c r="AI22" s="36" t="str">
        <f t="shared" si="12"/>
        <v/>
      </c>
      <c r="AJ22" s="36" t="str">
        <f t="shared" si="13"/>
        <v/>
      </c>
      <c r="AK22" s="31" t="str">
        <f t="shared" si="14"/>
        <v/>
      </c>
      <c r="AL22" s="30"/>
    </row>
    <row r="23" spans="1:38" ht="14.4">
      <c r="A23" s="30"/>
      <c r="B23" s="31" t="str">
        <f>IF(A23="","",INDEX('Task Library'!$B$7:$B$45,MATCH(A23,'Task Library'!$A$7:$A$45,0)))</f>
        <v/>
      </c>
      <c r="C23" s="32"/>
      <c r="D23" s="32"/>
      <c r="E23" s="30" t="s">
        <v>122</v>
      </c>
      <c r="F23" s="33"/>
      <c r="G23" s="33"/>
      <c r="H23" s="34" t="str">
        <f>IF(A23="","",INDEX('Task Library'!$C$7:$C$45,MATCH(A23,'Task Library'!$A$7:$A$45,0)))</f>
        <v/>
      </c>
      <c r="I23" s="35"/>
      <c r="J23" s="34" t="str">
        <f t="shared" si="0"/>
        <v/>
      </c>
      <c r="K23" s="34" t="str">
        <f>IF(A23="","",INDEX('Task Library'!$D$7:$D$45,MATCH(A23,'Task Library'!$A$7:$A$45,0)))</f>
        <v/>
      </c>
      <c r="L23" s="35"/>
      <c r="M23" s="34" t="str">
        <f t="shared" si="1"/>
        <v/>
      </c>
      <c r="N23" s="36" t="str">
        <f>IF(A23="","",INDEX('Task Library'!$E$7:$E$45,MATCH(A23,'Task Library'!$A$7:$A$45,0)))</f>
        <v/>
      </c>
      <c r="O23" s="37"/>
      <c r="P23" s="36" t="str">
        <f t="shared" si="2"/>
        <v/>
      </c>
      <c r="Q23" s="34" t="str">
        <f>IF(A23="","",INDEX('Task Library'!$F$7:$F$45,MATCH(A23,'Task Library'!$A$7:$A$45,0)))</f>
        <v/>
      </c>
      <c r="R23" s="35"/>
      <c r="S23" s="34" t="str">
        <f t="shared" si="3"/>
        <v/>
      </c>
      <c r="T23" s="34" t="str">
        <f>IF(A23="","",INDEX('Task Library'!$G$7:$G$45,MATCH(A23,'Task Library'!$A$7:$A$45,0)))</f>
        <v/>
      </c>
      <c r="U23" s="35"/>
      <c r="V23" s="34" t="str">
        <f t="shared" si="4"/>
        <v/>
      </c>
      <c r="W23" s="34" t="str">
        <f>IF(A23="","",INDEX('Task Library'!$H$7:$H$45,MATCH(A23,'Task Library'!$A$7:$A$45,0)))</f>
        <v/>
      </c>
      <c r="X23" s="35"/>
      <c r="Y23" s="34" t="str">
        <f t="shared" si="5"/>
        <v/>
      </c>
      <c r="Z23" s="36" t="str">
        <f>IF(OR(C23="",D23="",D23&lt;C23),"",SUMPRODUCT((('Date Engine'!$A$7:$A$5850&gt;=C23)*('Date Engine'!$A$7:$A$5850&lt;=D23)*'Date Engine'!$G$7:$G$5850)))</f>
        <v/>
      </c>
      <c r="AA23" s="34" t="str">
        <f>IFERROR(SUMPRODUCT((('Date Engine'!$A$7:$A$5850&gt;=C23)*('Date Engine'!$A$7:$A$5850&lt;=D23)*'Date Engine'!$G$7:$G$5850)*'Date Engine'!$H$7:$H$5850)/SUMPRODUCT((('Date Engine'!$A$7:$A$5850&gt;=C23)*('Date Engine'!$A$7:$A$5850&lt;=D23)*'Date Engine'!$G$7:$G$5850)),"")</f>
        <v/>
      </c>
      <c r="AB23" s="34" t="str">
        <f t="shared" si="6"/>
        <v/>
      </c>
      <c r="AC23" s="34">
        <f>IF($D$3&lt;&gt;"",$D$3,IFERROR(SUMPRODUCT((('Date Engine'!$A$7:$A$5850&gt;=C23)*('Date Engine'!$A$7:$A$5850&lt;=D23)*'Date Engine'!$G$7:$G$5850)*'Date Engine'!$J$7:$J$5850)/SUMPRODUCT((('Date Engine'!$A$7:$A$5850&gt;=C23)*('Date Engine'!$A$7:$A$5850&lt;=D23)*'Date Engine'!$G$7:$G$5850)),0))</f>
        <v>0</v>
      </c>
      <c r="AD23" s="34" t="str">
        <f t="shared" si="7"/>
        <v/>
      </c>
      <c r="AE23" s="34" t="str">
        <f t="shared" si="8"/>
        <v/>
      </c>
      <c r="AF23" s="34" t="str">
        <f t="shared" si="9"/>
        <v/>
      </c>
      <c r="AG23" s="34" t="str">
        <f t="shared" si="10"/>
        <v/>
      </c>
      <c r="AH23" s="38" t="str">
        <f t="shared" si="11"/>
        <v/>
      </c>
      <c r="AI23" s="36" t="str">
        <f t="shared" si="12"/>
        <v/>
      </c>
      <c r="AJ23" s="36" t="str">
        <f t="shared" si="13"/>
        <v/>
      </c>
      <c r="AK23" s="31" t="str">
        <f t="shared" si="14"/>
        <v/>
      </c>
      <c r="AL23" s="30"/>
    </row>
    <row r="24" spans="1:38" ht="14.4">
      <c r="A24" s="30"/>
      <c r="B24" s="31" t="str">
        <f>IF(A24="","",INDEX('Task Library'!$B$7:$B$45,MATCH(A24,'Task Library'!$A$7:$A$45,0)))</f>
        <v/>
      </c>
      <c r="C24" s="32"/>
      <c r="D24" s="32"/>
      <c r="E24" s="30" t="s">
        <v>122</v>
      </c>
      <c r="F24" s="33"/>
      <c r="G24" s="33"/>
      <c r="H24" s="34" t="str">
        <f>IF(A24="","",INDEX('Task Library'!$C$7:$C$45,MATCH(A24,'Task Library'!$A$7:$A$45,0)))</f>
        <v/>
      </c>
      <c r="I24" s="35"/>
      <c r="J24" s="34" t="str">
        <f t="shared" si="0"/>
        <v/>
      </c>
      <c r="K24" s="34" t="str">
        <f>IF(A24="","",INDEX('Task Library'!$D$7:$D$45,MATCH(A24,'Task Library'!$A$7:$A$45,0)))</f>
        <v/>
      </c>
      <c r="L24" s="35"/>
      <c r="M24" s="34" t="str">
        <f t="shared" si="1"/>
        <v/>
      </c>
      <c r="N24" s="36" t="str">
        <f>IF(A24="","",INDEX('Task Library'!$E$7:$E$45,MATCH(A24,'Task Library'!$A$7:$A$45,0)))</f>
        <v/>
      </c>
      <c r="O24" s="37"/>
      <c r="P24" s="36" t="str">
        <f t="shared" si="2"/>
        <v/>
      </c>
      <c r="Q24" s="34" t="str">
        <f>IF(A24="","",INDEX('Task Library'!$F$7:$F$45,MATCH(A24,'Task Library'!$A$7:$A$45,0)))</f>
        <v/>
      </c>
      <c r="R24" s="35"/>
      <c r="S24" s="34" t="str">
        <f t="shared" si="3"/>
        <v/>
      </c>
      <c r="T24" s="34" t="str">
        <f>IF(A24="","",INDEX('Task Library'!$G$7:$G$45,MATCH(A24,'Task Library'!$A$7:$A$45,0)))</f>
        <v/>
      </c>
      <c r="U24" s="35"/>
      <c r="V24" s="34" t="str">
        <f t="shared" si="4"/>
        <v/>
      </c>
      <c r="W24" s="34" t="str">
        <f>IF(A24="","",INDEX('Task Library'!$H$7:$H$45,MATCH(A24,'Task Library'!$A$7:$A$45,0)))</f>
        <v/>
      </c>
      <c r="X24" s="35"/>
      <c r="Y24" s="34" t="str">
        <f t="shared" si="5"/>
        <v/>
      </c>
      <c r="Z24" s="36" t="str">
        <f>IF(OR(C24="",D24="",D24&lt;C24),"",SUMPRODUCT((('Date Engine'!$A$7:$A$5850&gt;=C24)*('Date Engine'!$A$7:$A$5850&lt;=D24)*'Date Engine'!$G$7:$G$5850)))</f>
        <v/>
      </c>
      <c r="AA24" s="34" t="str">
        <f>IFERROR(SUMPRODUCT((('Date Engine'!$A$7:$A$5850&gt;=C24)*('Date Engine'!$A$7:$A$5850&lt;=D24)*'Date Engine'!$G$7:$G$5850)*'Date Engine'!$H$7:$H$5850)/SUMPRODUCT((('Date Engine'!$A$7:$A$5850&gt;=C24)*('Date Engine'!$A$7:$A$5850&lt;=D24)*'Date Engine'!$G$7:$G$5850)),"")</f>
        <v/>
      </c>
      <c r="AB24" s="34" t="str">
        <f t="shared" si="6"/>
        <v/>
      </c>
      <c r="AC24" s="34">
        <f>IF($D$3&lt;&gt;"",$D$3,IFERROR(SUMPRODUCT((('Date Engine'!$A$7:$A$5850&gt;=C24)*('Date Engine'!$A$7:$A$5850&lt;=D24)*'Date Engine'!$G$7:$G$5850)*'Date Engine'!$J$7:$J$5850)/SUMPRODUCT((('Date Engine'!$A$7:$A$5850&gt;=C24)*('Date Engine'!$A$7:$A$5850&lt;=D24)*'Date Engine'!$G$7:$G$5850)),0))</f>
        <v>0</v>
      </c>
      <c r="AD24" s="34" t="str">
        <f t="shared" si="7"/>
        <v/>
      </c>
      <c r="AE24" s="34" t="str">
        <f t="shared" si="8"/>
        <v/>
      </c>
      <c r="AF24" s="34" t="str">
        <f t="shared" si="9"/>
        <v/>
      </c>
      <c r="AG24" s="34" t="str">
        <f t="shared" si="10"/>
        <v/>
      </c>
      <c r="AH24" s="38" t="str">
        <f t="shared" si="11"/>
        <v/>
      </c>
      <c r="AI24" s="36" t="str">
        <f t="shared" si="12"/>
        <v/>
      </c>
      <c r="AJ24" s="36" t="str">
        <f t="shared" si="13"/>
        <v/>
      </c>
      <c r="AK24" s="31" t="str">
        <f t="shared" si="14"/>
        <v/>
      </c>
      <c r="AL24" s="30"/>
    </row>
    <row r="25" spans="1:38" ht="14.4">
      <c r="A25" s="30"/>
      <c r="B25" s="31" t="str">
        <f>IF(A25="","",INDEX('Task Library'!$B$7:$B$45,MATCH(A25,'Task Library'!$A$7:$A$45,0)))</f>
        <v/>
      </c>
      <c r="C25" s="32"/>
      <c r="D25" s="32"/>
      <c r="E25" s="30" t="s">
        <v>122</v>
      </c>
      <c r="F25" s="33"/>
      <c r="G25" s="33"/>
      <c r="H25" s="34" t="str">
        <f>IF(A25="","",INDEX('Task Library'!$C$7:$C$45,MATCH(A25,'Task Library'!$A$7:$A$45,0)))</f>
        <v/>
      </c>
      <c r="I25" s="35"/>
      <c r="J25" s="34" t="str">
        <f t="shared" si="0"/>
        <v/>
      </c>
      <c r="K25" s="34" t="str">
        <f>IF(A25="","",INDEX('Task Library'!$D$7:$D$45,MATCH(A25,'Task Library'!$A$7:$A$45,0)))</f>
        <v/>
      </c>
      <c r="L25" s="35"/>
      <c r="M25" s="34" t="str">
        <f t="shared" si="1"/>
        <v/>
      </c>
      <c r="N25" s="36" t="str">
        <f>IF(A25="","",INDEX('Task Library'!$E$7:$E$45,MATCH(A25,'Task Library'!$A$7:$A$45,0)))</f>
        <v/>
      </c>
      <c r="O25" s="37"/>
      <c r="P25" s="36" t="str">
        <f t="shared" si="2"/>
        <v/>
      </c>
      <c r="Q25" s="34" t="str">
        <f>IF(A25="","",INDEX('Task Library'!$F$7:$F$45,MATCH(A25,'Task Library'!$A$7:$A$45,0)))</f>
        <v/>
      </c>
      <c r="R25" s="35"/>
      <c r="S25" s="34" t="str">
        <f t="shared" si="3"/>
        <v/>
      </c>
      <c r="T25" s="34" t="str">
        <f>IF(A25="","",INDEX('Task Library'!$G$7:$G$45,MATCH(A25,'Task Library'!$A$7:$A$45,0)))</f>
        <v/>
      </c>
      <c r="U25" s="35"/>
      <c r="V25" s="34" t="str">
        <f t="shared" si="4"/>
        <v/>
      </c>
      <c r="W25" s="34" t="str">
        <f>IF(A25="","",INDEX('Task Library'!$H$7:$H$45,MATCH(A25,'Task Library'!$A$7:$A$45,0)))</f>
        <v/>
      </c>
      <c r="X25" s="35"/>
      <c r="Y25" s="34" t="str">
        <f t="shared" si="5"/>
        <v/>
      </c>
      <c r="Z25" s="36" t="str">
        <f>IF(OR(C25="",D25="",D25&lt;C25),"",SUMPRODUCT((('Date Engine'!$A$7:$A$5850&gt;=C25)*('Date Engine'!$A$7:$A$5850&lt;=D25)*'Date Engine'!$G$7:$G$5850)))</f>
        <v/>
      </c>
      <c r="AA25" s="34" t="str">
        <f>IFERROR(SUMPRODUCT((('Date Engine'!$A$7:$A$5850&gt;=C25)*('Date Engine'!$A$7:$A$5850&lt;=D25)*'Date Engine'!$G$7:$G$5850)*'Date Engine'!$H$7:$H$5850)/SUMPRODUCT((('Date Engine'!$A$7:$A$5850&gt;=C25)*('Date Engine'!$A$7:$A$5850&lt;=D25)*'Date Engine'!$G$7:$G$5850)),"")</f>
        <v/>
      </c>
      <c r="AB25" s="34" t="str">
        <f t="shared" si="6"/>
        <v/>
      </c>
      <c r="AC25" s="34">
        <f>IF($D$3&lt;&gt;"",$D$3,IFERROR(SUMPRODUCT((('Date Engine'!$A$7:$A$5850&gt;=C25)*('Date Engine'!$A$7:$A$5850&lt;=D25)*'Date Engine'!$G$7:$G$5850)*'Date Engine'!$J$7:$J$5850)/SUMPRODUCT((('Date Engine'!$A$7:$A$5850&gt;=C25)*('Date Engine'!$A$7:$A$5850&lt;=D25)*'Date Engine'!$G$7:$G$5850)),0))</f>
        <v>0</v>
      </c>
      <c r="AD25" s="34" t="str">
        <f t="shared" si="7"/>
        <v/>
      </c>
      <c r="AE25" s="34" t="str">
        <f t="shared" si="8"/>
        <v/>
      </c>
      <c r="AF25" s="34" t="str">
        <f t="shared" si="9"/>
        <v/>
      </c>
      <c r="AG25" s="34" t="str">
        <f t="shared" si="10"/>
        <v/>
      </c>
      <c r="AH25" s="38" t="str">
        <f t="shared" si="11"/>
        <v/>
      </c>
      <c r="AI25" s="36" t="str">
        <f t="shared" si="12"/>
        <v/>
      </c>
      <c r="AJ25" s="36" t="str">
        <f t="shared" si="13"/>
        <v/>
      </c>
      <c r="AK25" s="31" t="str">
        <f t="shared" si="14"/>
        <v/>
      </c>
      <c r="AL25" s="30"/>
    </row>
    <row r="26" spans="1:38" ht="14.4">
      <c r="A26" s="30"/>
      <c r="B26" s="31" t="str">
        <f>IF(A26="","",INDEX('Task Library'!$B$7:$B$45,MATCH(A26,'Task Library'!$A$7:$A$45,0)))</f>
        <v/>
      </c>
      <c r="C26" s="32"/>
      <c r="D26" s="32"/>
      <c r="E26" s="30" t="s">
        <v>122</v>
      </c>
      <c r="F26" s="33"/>
      <c r="G26" s="33"/>
      <c r="H26" s="34" t="str">
        <f>IF(A26="","",INDEX('Task Library'!$C$7:$C$45,MATCH(A26,'Task Library'!$A$7:$A$45,0)))</f>
        <v/>
      </c>
      <c r="I26" s="35"/>
      <c r="J26" s="34" t="str">
        <f t="shared" si="0"/>
        <v/>
      </c>
      <c r="K26" s="34" t="str">
        <f>IF(A26="","",INDEX('Task Library'!$D$7:$D$45,MATCH(A26,'Task Library'!$A$7:$A$45,0)))</f>
        <v/>
      </c>
      <c r="L26" s="35"/>
      <c r="M26" s="34" t="str">
        <f t="shared" si="1"/>
        <v/>
      </c>
      <c r="N26" s="36" t="str">
        <f>IF(A26="","",INDEX('Task Library'!$E$7:$E$45,MATCH(A26,'Task Library'!$A$7:$A$45,0)))</f>
        <v/>
      </c>
      <c r="O26" s="37"/>
      <c r="P26" s="36" t="str">
        <f t="shared" si="2"/>
        <v/>
      </c>
      <c r="Q26" s="34" t="str">
        <f>IF(A26="","",INDEX('Task Library'!$F$7:$F$45,MATCH(A26,'Task Library'!$A$7:$A$45,0)))</f>
        <v/>
      </c>
      <c r="R26" s="35"/>
      <c r="S26" s="34" t="str">
        <f t="shared" si="3"/>
        <v/>
      </c>
      <c r="T26" s="34" t="str">
        <f>IF(A26="","",INDEX('Task Library'!$G$7:$G$45,MATCH(A26,'Task Library'!$A$7:$A$45,0)))</f>
        <v/>
      </c>
      <c r="U26" s="35"/>
      <c r="V26" s="34" t="str">
        <f t="shared" si="4"/>
        <v/>
      </c>
      <c r="W26" s="34" t="str">
        <f>IF(A26="","",INDEX('Task Library'!$H$7:$H$45,MATCH(A26,'Task Library'!$A$7:$A$45,0)))</f>
        <v/>
      </c>
      <c r="X26" s="35"/>
      <c r="Y26" s="34" t="str">
        <f t="shared" si="5"/>
        <v/>
      </c>
      <c r="Z26" s="36" t="str">
        <f>IF(OR(C26="",D26="",D26&lt;C26),"",SUMPRODUCT((('Date Engine'!$A$7:$A$5850&gt;=C26)*('Date Engine'!$A$7:$A$5850&lt;=D26)*'Date Engine'!$G$7:$G$5850)))</f>
        <v/>
      </c>
      <c r="AA26" s="34" t="str">
        <f>IFERROR(SUMPRODUCT((('Date Engine'!$A$7:$A$5850&gt;=C26)*('Date Engine'!$A$7:$A$5850&lt;=D26)*'Date Engine'!$G$7:$G$5850)*'Date Engine'!$H$7:$H$5850)/SUMPRODUCT((('Date Engine'!$A$7:$A$5850&gt;=C26)*('Date Engine'!$A$7:$A$5850&lt;=D26)*'Date Engine'!$G$7:$G$5850)),"")</f>
        <v/>
      </c>
      <c r="AB26" s="34" t="str">
        <f t="shared" si="6"/>
        <v/>
      </c>
      <c r="AC26" s="34">
        <f>IF($D$3&lt;&gt;"",$D$3,IFERROR(SUMPRODUCT((('Date Engine'!$A$7:$A$5850&gt;=C26)*('Date Engine'!$A$7:$A$5850&lt;=D26)*'Date Engine'!$G$7:$G$5850)*'Date Engine'!$J$7:$J$5850)/SUMPRODUCT((('Date Engine'!$A$7:$A$5850&gt;=C26)*('Date Engine'!$A$7:$A$5850&lt;=D26)*'Date Engine'!$G$7:$G$5850)),0))</f>
        <v>0</v>
      </c>
      <c r="AD26" s="34" t="str">
        <f t="shared" si="7"/>
        <v/>
      </c>
      <c r="AE26" s="34" t="str">
        <f t="shared" si="8"/>
        <v/>
      </c>
      <c r="AF26" s="34" t="str">
        <f t="shared" si="9"/>
        <v/>
      </c>
      <c r="AG26" s="34" t="str">
        <f t="shared" si="10"/>
        <v/>
      </c>
      <c r="AH26" s="38" t="str">
        <f t="shared" si="11"/>
        <v/>
      </c>
      <c r="AI26" s="36" t="str">
        <f t="shared" si="12"/>
        <v/>
      </c>
      <c r="AJ26" s="36" t="str">
        <f t="shared" si="13"/>
        <v/>
      </c>
      <c r="AK26" s="31" t="str">
        <f t="shared" si="14"/>
        <v/>
      </c>
      <c r="AL26" s="30"/>
    </row>
    <row r="27" spans="1:38" ht="14.4">
      <c r="A27" s="30"/>
      <c r="B27" s="31" t="str">
        <f>IF(A27="","",INDEX('Task Library'!$B$7:$B$45,MATCH(A27,'Task Library'!$A$7:$A$45,0)))</f>
        <v/>
      </c>
      <c r="C27" s="32"/>
      <c r="D27" s="32"/>
      <c r="E27" s="30" t="s">
        <v>122</v>
      </c>
      <c r="F27" s="33"/>
      <c r="G27" s="33"/>
      <c r="H27" s="34" t="str">
        <f>IF(A27="","",INDEX('Task Library'!$C$7:$C$45,MATCH(A27,'Task Library'!$A$7:$A$45,0)))</f>
        <v/>
      </c>
      <c r="I27" s="35"/>
      <c r="J27" s="34" t="str">
        <f t="shared" si="0"/>
        <v/>
      </c>
      <c r="K27" s="34" t="str">
        <f>IF(A27="","",INDEX('Task Library'!$D$7:$D$45,MATCH(A27,'Task Library'!$A$7:$A$45,0)))</f>
        <v/>
      </c>
      <c r="L27" s="35"/>
      <c r="M27" s="34" t="str">
        <f t="shared" si="1"/>
        <v/>
      </c>
      <c r="N27" s="36" t="str">
        <f>IF(A27="","",INDEX('Task Library'!$E$7:$E$45,MATCH(A27,'Task Library'!$A$7:$A$45,0)))</f>
        <v/>
      </c>
      <c r="O27" s="37"/>
      <c r="P27" s="36" t="str">
        <f t="shared" si="2"/>
        <v/>
      </c>
      <c r="Q27" s="34" t="str">
        <f>IF(A27="","",INDEX('Task Library'!$F$7:$F$45,MATCH(A27,'Task Library'!$A$7:$A$45,0)))</f>
        <v/>
      </c>
      <c r="R27" s="35"/>
      <c r="S27" s="34" t="str">
        <f t="shared" si="3"/>
        <v/>
      </c>
      <c r="T27" s="34" t="str">
        <f>IF(A27="","",INDEX('Task Library'!$G$7:$G$45,MATCH(A27,'Task Library'!$A$7:$A$45,0)))</f>
        <v/>
      </c>
      <c r="U27" s="35"/>
      <c r="V27" s="34" t="str">
        <f t="shared" si="4"/>
        <v/>
      </c>
      <c r="W27" s="34" t="str">
        <f>IF(A27="","",INDEX('Task Library'!$H$7:$H$45,MATCH(A27,'Task Library'!$A$7:$A$45,0)))</f>
        <v/>
      </c>
      <c r="X27" s="35"/>
      <c r="Y27" s="34" t="str">
        <f t="shared" si="5"/>
        <v/>
      </c>
      <c r="Z27" s="36" t="str">
        <f>IF(OR(C27="",D27="",D27&lt;C27),"",SUMPRODUCT((('Date Engine'!$A$7:$A$5850&gt;=C27)*('Date Engine'!$A$7:$A$5850&lt;=D27)*'Date Engine'!$G$7:$G$5850)))</f>
        <v/>
      </c>
      <c r="AA27" s="34" t="str">
        <f>IFERROR(SUMPRODUCT((('Date Engine'!$A$7:$A$5850&gt;=C27)*('Date Engine'!$A$7:$A$5850&lt;=D27)*'Date Engine'!$G$7:$G$5850)*'Date Engine'!$H$7:$H$5850)/SUMPRODUCT((('Date Engine'!$A$7:$A$5850&gt;=C27)*('Date Engine'!$A$7:$A$5850&lt;=D27)*'Date Engine'!$G$7:$G$5850)),"")</f>
        <v/>
      </c>
      <c r="AB27" s="34" t="str">
        <f t="shared" si="6"/>
        <v/>
      </c>
      <c r="AC27" s="34">
        <f>IF($D$3&lt;&gt;"",$D$3,IFERROR(SUMPRODUCT((('Date Engine'!$A$7:$A$5850&gt;=C27)*('Date Engine'!$A$7:$A$5850&lt;=D27)*'Date Engine'!$G$7:$G$5850)*'Date Engine'!$J$7:$J$5850)/SUMPRODUCT((('Date Engine'!$A$7:$A$5850&gt;=C27)*('Date Engine'!$A$7:$A$5850&lt;=D27)*'Date Engine'!$G$7:$G$5850)),0))</f>
        <v>0</v>
      </c>
      <c r="AD27" s="34" t="str">
        <f t="shared" si="7"/>
        <v/>
      </c>
      <c r="AE27" s="34" t="str">
        <f t="shared" si="8"/>
        <v/>
      </c>
      <c r="AF27" s="34" t="str">
        <f t="shared" si="9"/>
        <v/>
      </c>
      <c r="AG27" s="34" t="str">
        <f t="shared" si="10"/>
        <v/>
      </c>
      <c r="AH27" s="38" t="str">
        <f t="shared" si="11"/>
        <v/>
      </c>
      <c r="AI27" s="36" t="str">
        <f t="shared" si="12"/>
        <v/>
      </c>
      <c r="AJ27" s="36" t="str">
        <f t="shared" si="13"/>
        <v/>
      </c>
      <c r="AK27" s="31" t="str">
        <f t="shared" si="14"/>
        <v/>
      </c>
      <c r="AL27" s="30"/>
    </row>
    <row r="28" spans="1:38" ht="14.4">
      <c r="A28" s="30"/>
      <c r="B28" s="31" t="str">
        <f>IF(A28="","",INDEX('Task Library'!$B$7:$B$45,MATCH(A28,'Task Library'!$A$7:$A$45,0)))</f>
        <v/>
      </c>
      <c r="C28" s="32"/>
      <c r="D28" s="32"/>
      <c r="E28" s="30" t="s">
        <v>122</v>
      </c>
      <c r="F28" s="33"/>
      <c r="G28" s="33"/>
      <c r="H28" s="34" t="str">
        <f>IF(A28="","",INDEX('Task Library'!$C$7:$C$45,MATCH(A28,'Task Library'!$A$7:$A$45,0)))</f>
        <v/>
      </c>
      <c r="I28" s="35"/>
      <c r="J28" s="34" t="str">
        <f t="shared" si="0"/>
        <v/>
      </c>
      <c r="K28" s="34" t="str">
        <f>IF(A28="","",INDEX('Task Library'!$D$7:$D$45,MATCH(A28,'Task Library'!$A$7:$A$45,0)))</f>
        <v/>
      </c>
      <c r="L28" s="35"/>
      <c r="M28" s="34" t="str">
        <f t="shared" si="1"/>
        <v/>
      </c>
      <c r="N28" s="36" t="str">
        <f>IF(A28="","",INDEX('Task Library'!$E$7:$E$45,MATCH(A28,'Task Library'!$A$7:$A$45,0)))</f>
        <v/>
      </c>
      <c r="O28" s="37"/>
      <c r="P28" s="36" t="str">
        <f t="shared" si="2"/>
        <v/>
      </c>
      <c r="Q28" s="34" t="str">
        <f>IF(A28="","",INDEX('Task Library'!$F$7:$F$45,MATCH(A28,'Task Library'!$A$7:$A$45,0)))</f>
        <v/>
      </c>
      <c r="R28" s="35"/>
      <c r="S28" s="34" t="str">
        <f t="shared" si="3"/>
        <v/>
      </c>
      <c r="T28" s="34" t="str">
        <f>IF(A28="","",INDEX('Task Library'!$G$7:$G$45,MATCH(A28,'Task Library'!$A$7:$A$45,0)))</f>
        <v/>
      </c>
      <c r="U28" s="35"/>
      <c r="V28" s="34" t="str">
        <f t="shared" si="4"/>
        <v/>
      </c>
      <c r="W28" s="34" t="str">
        <f>IF(A28="","",INDEX('Task Library'!$H$7:$H$45,MATCH(A28,'Task Library'!$A$7:$A$45,0)))</f>
        <v/>
      </c>
      <c r="X28" s="35"/>
      <c r="Y28" s="34" t="str">
        <f t="shared" si="5"/>
        <v/>
      </c>
      <c r="Z28" s="36" t="str">
        <f>IF(OR(C28="",D28="",D28&lt;C28),"",SUMPRODUCT((('Date Engine'!$A$7:$A$5850&gt;=C28)*('Date Engine'!$A$7:$A$5850&lt;=D28)*'Date Engine'!$G$7:$G$5850)))</f>
        <v/>
      </c>
      <c r="AA28" s="34" t="str">
        <f>IFERROR(SUMPRODUCT((('Date Engine'!$A$7:$A$5850&gt;=C28)*('Date Engine'!$A$7:$A$5850&lt;=D28)*'Date Engine'!$G$7:$G$5850)*'Date Engine'!$H$7:$H$5850)/SUMPRODUCT((('Date Engine'!$A$7:$A$5850&gt;=C28)*('Date Engine'!$A$7:$A$5850&lt;=D28)*'Date Engine'!$G$7:$G$5850)),"")</f>
        <v/>
      </c>
      <c r="AB28" s="34" t="str">
        <f t="shared" si="6"/>
        <v/>
      </c>
      <c r="AC28" s="34">
        <f>IF($D$3&lt;&gt;"",$D$3,IFERROR(SUMPRODUCT((('Date Engine'!$A$7:$A$5850&gt;=C28)*('Date Engine'!$A$7:$A$5850&lt;=D28)*'Date Engine'!$G$7:$G$5850)*'Date Engine'!$J$7:$J$5850)/SUMPRODUCT((('Date Engine'!$A$7:$A$5850&gt;=C28)*('Date Engine'!$A$7:$A$5850&lt;=D28)*'Date Engine'!$G$7:$G$5850)),0))</f>
        <v>0</v>
      </c>
      <c r="AD28" s="34" t="str">
        <f t="shared" si="7"/>
        <v/>
      </c>
      <c r="AE28" s="34" t="str">
        <f t="shared" si="8"/>
        <v/>
      </c>
      <c r="AF28" s="34" t="str">
        <f t="shared" si="9"/>
        <v/>
      </c>
      <c r="AG28" s="34" t="str">
        <f t="shared" si="10"/>
        <v/>
      </c>
      <c r="AH28" s="38" t="str">
        <f t="shared" si="11"/>
        <v/>
      </c>
      <c r="AI28" s="36" t="str">
        <f t="shared" si="12"/>
        <v/>
      </c>
      <c r="AJ28" s="36" t="str">
        <f t="shared" si="13"/>
        <v/>
      </c>
      <c r="AK28" s="31" t="str">
        <f t="shared" si="14"/>
        <v/>
      </c>
      <c r="AL28" s="30"/>
    </row>
    <row r="29" spans="1:38" ht="14.4">
      <c r="A29" s="30"/>
      <c r="B29" s="31" t="str">
        <f>IF(A29="","",INDEX('Task Library'!$B$7:$B$45,MATCH(A29,'Task Library'!$A$7:$A$45,0)))</f>
        <v/>
      </c>
      <c r="C29" s="32"/>
      <c r="D29" s="32"/>
      <c r="E29" s="30" t="s">
        <v>122</v>
      </c>
      <c r="F29" s="33"/>
      <c r="G29" s="33"/>
      <c r="H29" s="34" t="str">
        <f>IF(A29="","",INDEX('Task Library'!$C$7:$C$45,MATCH(A29,'Task Library'!$A$7:$A$45,0)))</f>
        <v/>
      </c>
      <c r="I29" s="35"/>
      <c r="J29" s="34" t="str">
        <f t="shared" si="0"/>
        <v/>
      </c>
      <c r="K29" s="34" t="str">
        <f>IF(A29="","",INDEX('Task Library'!$D$7:$D$45,MATCH(A29,'Task Library'!$A$7:$A$45,0)))</f>
        <v/>
      </c>
      <c r="L29" s="35"/>
      <c r="M29" s="34" t="str">
        <f t="shared" si="1"/>
        <v/>
      </c>
      <c r="N29" s="36" t="str">
        <f>IF(A29="","",INDEX('Task Library'!$E$7:$E$45,MATCH(A29,'Task Library'!$A$7:$A$45,0)))</f>
        <v/>
      </c>
      <c r="O29" s="37"/>
      <c r="P29" s="36" t="str">
        <f t="shared" si="2"/>
        <v/>
      </c>
      <c r="Q29" s="34" t="str">
        <f>IF(A29="","",INDEX('Task Library'!$F$7:$F$45,MATCH(A29,'Task Library'!$A$7:$A$45,0)))</f>
        <v/>
      </c>
      <c r="R29" s="35"/>
      <c r="S29" s="34" t="str">
        <f t="shared" si="3"/>
        <v/>
      </c>
      <c r="T29" s="34" t="str">
        <f>IF(A29="","",INDEX('Task Library'!$G$7:$G$45,MATCH(A29,'Task Library'!$A$7:$A$45,0)))</f>
        <v/>
      </c>
      <c r="U29" s="35"/>
      <c r="V29" s="34" t="str">
        <f t="shared" si="4"/>
        <v/>
      </c>
      <c r="W29" s="34" t="str">
        <f>IF(A29="","",INDEX('Task Library'!$H$7:$H$45,MATCH(A29,'Task Library'!$A$7:$A$45,0)))</f>
        <v/>
      </c>
      <c r="X29" s="35"/>
      <c r="Y29" s="34" t="str">
        <f t="shared" si="5"/>
        <v/>
      </c>
      <c r="Z29" s="36" t="str">
        <f>IF(OR(C29="",D29="",D29&lt;C29),"",SUMPRODUCT((('Date Engine'!$A$7:$A$5850&gt;=C29)*('Date Engine'!$A$7:$A$5850&lt;=D29)*'Date Engine'!$G$7:$G$5850)))</f>
        <v/>
      </c>
      <c r="AA29" s="34" t="str">
        <f>IFERROR(SUMPRODUCT((('Date Engine'!$A$7:$A$5850&gt;=C29)*('Date Engine'!$A$7:$A$5850&lt;=D29)*'Date Engine'!$G$7:$G$5850)*'Date Engine'!$H$7:$H$5850)/SUMPRODUCT((('Date Engine'!$A$7:$A$5850&gt;=C29)*('Date Engine'!$A$7:$A$5850&lt;=D29)*'Date Engine'!$G$7:$G$5850)),"")</f>
        <v/>
      </c>
      <c r="AB29" s="34" t="str">
        <f t="shared" si="6"/>
        <v/>
      </c>
      <c r="AC29" s="34">
        <f>IF($D$3&lt;&gt;"",$D$3,IFERROR(SUMPRODUCT((('Date Engine'!$A$7:$A$5850&gt;=C29)*('Date Engine'!$A$7:$A$5850&lt;=D29)*'Date Engine'!$G$7:$G$5850)*'Date Engine'!$J$7:$J$5850)/SUMPRODUCT((('Date Engine'!$A$7:$A$5850&gt;=C29)*('Date Engine'!$A$7:$A$5850&lt;=D29)*'Date Engine'!$G$7:$G$5850)),0))</f>
        <v>0</v>
      </c>
      <c r="AD29" s="34" t="str">
        <f t="shared" si="7"/>
        <v/>
      </c>
      <c r="AE29" s="34" t="str">
        <f t="shared" si="8"/>
        <v/>
      </c>
      <c r="AF29" s="34" t="str">
        <f t="shared" si="9"/>
        <v/>
      </c>
      <c r="AG29" s="34" t="str">
        <f t="shared" si="10"/>
        <v/>
      </c>
      <c r="AH29" s="38" t="str">
        <f t="shared" si="11"/>
        <v/>
      </c>
      <c r="AI29" s="36" t="str">
        <f t="shared" si="12"/>
        <v/>
      </c>
      <c r="AJ29" s="36" t="str">
        <f t="shared" si="13"/>
        <v/>
      </c>
      <c r="AK29" s="31" t="str">
        <f t="shared" si="14"/>
        <v/>
      </c>
      <c r="AL29" s="30"/>
    </row>
    <row r="30" spans="1:38" ht="14.4">
      <c r="A30" s="30"/>
      <c r="B30" s="31" t="str">
        <f>IF(A30="","",INDEX('Task Library'!$B$7:$B$45,MATCH(A30,'Task Library'!$A$7:$A$45,0)))</f>
        <v/>
      </c>
      <c r="C30" s="32"/>
      <c r="D30" s="32"/>
      <c r="E30" s="30" t="s">
        <v>122</v>
      </c>
      <c r="F30" s="33"/>
      <c r="G30" s="33"/>
      <c r="H30" s="34" t="str">
        <f>IF(A30="","",INDEX('Task Library'!$C$7:$C$45,MATCH(A30,'Task Library'!$A$7:$A$45,0)))</f>
        <v/>
      </c>
      <c r="I30" s="35"/>
      <c r="J30" s="34" t="str">
        <f t="shared" si="0"/>
        <v/>
      </c>
      <c r="K30" s="34" t="str">
        <f>IF(A30="","",INDEX('Task Library'!$D$7:$D$45,MATCH(A30,'Task Library'!$A$7:$A$45,0)))</f>
        <v/>
      </c>
      <c r="L30" s="35"/>
      <c r="M30" s="34" t="str">
        <f t="shared" si="1"/>
        <v/>
      </c>
      <c r="N30" s="36" t="str">
        <f>IF(A30="","",INDEX('Task Library'!$E$7:$E$45,MATCH(A30,'Task Library'!$A$7:$A$45,0)))</f>
        <v/>
      </c>
      <c r="O30" s="37"/>
      <c r="P30" s="36" t="str">
        <f t="shared" si="2"/>
        <v/>
      </c>
      <c r="Q30" s="34" t="str">
        <f>IF(A30="","",INDEX('Task Library'!$F$7:$F$45,MATCH(A30,'Task Library'!$A$7:$A$45,0)))</f>
        <v/>
      </c>
      <c r="R30" s="35"/>
      <c r="S30" s="34" t="str">
        <f t="shared" si="3"/>
        <v/>
      </c>
      <c r="T30" s="34" t="str">
        <f>IF(A30="","",INDEX('Task Library'!$G$7:$G$45,MATCH(A30,'Task Library'!$A$7:$A$45,0)))</f>
        <v/>
      </c>
      <c r="U30" s="35"/>
      <c r="V30" s="34" t="str">
        <f t="shared" si="4"/>
        <v/>
      </c>
      <c r="W30" s="34" t="str">
        <f>IF(A30="","",INDEX('Task Library'!$H$7:$H$45,MATCH(A30,'Task Library'!$A$7:$A$45,0)))</f>
        <v/>
      </c>
      <c r="X30" s="35"/>
      <c r="Y30" s="34" t="str">
        <f t="shared" si="5"/>
        <v/>
      </c>
      <c r="Z30" s="36" t="str">
        <f>IF(OR(C30="",D30="",D30&lt;C30),"",SUMPRODUCT((('Date Engine'!$A$7:$A$5850&gt;=C30)*('Date Engine'!$A$7:$A$5850&lt;=D30)*'Date Engine'!$G$7:$G$5850)))</f>
        <v/>
      </c>
      <c r="AA30" s="34" t="str">
        <f>IFERROR(SUMPRODUCT((('Date Engine'!$A$7:$A$5850&gt;=C30)*('Date Engine'!$A$7:$A$5850&lt;=D30)*'Date Engine'!$G$7:$G$5850)*'Date Engine'!$H$7:$H$5850)/SUMPRODUCT((('Date Engine'!$A$7:$A$5850&gt;=C30)*('Date Engine'!$A$7:$A$5850&lt;=D30)*'Date Engine'!$G$7:$G$5850)),"")</f>
        <v/>
      </c>
      <c r="AB30" s="34" t="str">
        <f t="shared" si="6"/>
        <v/>
      </c>
      <c r="AC30" s="34">
        <f>IF($D$3&lt;&gt;"",$D$3,IFERROR(SUMPRODUCT((('Date Engine'!$A$7:$A$5850&gt;=C30)*('Date Engine'!$A$7:$A$5850&lt;=D30)*'Date Engine'!$G$7:$G$5850)*'Date Engine'!$J$7:$J$5850)/SUMPRODUCT((('Date Engine'!$A$7:$A$5850&gt;=C30)*('Date Engine'!$A$7:$A$5850&lt;=D30)*'Date Engine'!$G$7:$G$5850)),0))</f>
        <v>0</v>
      </c>
      <c r="AD30" s="34" t="str">
        <f t="shared" si="7"/>
        <v/>
      </c>
      <c r="AE30" s="34" t="str">
        <f t="shared" si="8"/>
        <v/>
      </c>
      <c r="AF30" s="34" t="str">
        <f t="shared" si="9"/>
        <v/>
      </c>
      <c r="AG30" s="34" t="str">
        <f t="shared" si="10"/>
        <v/>
      </c>
      <c r="AH30" s="38" t="str">
        <f t="shared" si="11"/>
        <v/>
      </c>
      <c r="AI30" s="36" t="str">
        <f t="shared" si="12"/>
        <v/>
      </c>
      <c r="AJ30" s="36" t="str">
        <f t="shared" si="13"/>
        <v/>
      </c>
      <c r="AK30" s="31" t="str">
        <f t="shared" si="14"/>
        <v/>
      </c>
      <c r="AL30" s="30"/>
    </row>
    <row r="31" spans="1:38" ht="14.4">
      <c r="A31" s="30"/>
      <c r="B31" s="31" t="str">
        <f>IF(A31="","",INDEX('Task Library'!$B$7:$B$45,MATCH(A31,'Task Library'!$A$7:$A$45,0)))</f>
        <v/>
      </c>
      <c r="C31" s="32"/>
      <c r="D31" s="32"/>
      <c r="E31" s="30" t="s">
        <v>122</v>
      </c>
      <c r="F31" s="33"/>
      <c r="G31" s="33"/>
      <c r="H31" s="34" t="str">
        <f>IF(A31="","",INDEX('Task Library'!$C$7:$C$45,MATCH(A31,'Task Library'!$A$7:$A$45,0)))</f>
        <v/>
      </c>
      <c r="I31" s="35"/>
      <c r="J31" s="34" t="str">
        <f t="shared" si="0"/>
        <v/>
      </c>
      <c r="K31" s="34" t="str">
        <f>IF(A31="","",INDEX('Task Library'!$D$7:$D$45,MATCH(A31,'Task Library'!$A$7:$A$45,0)))</f>
        <v/>
      </c>
      <c r="L31" s="35"/>
      <c r="M31" s="34" t="str">
        <f t="shared" si="1"/>
        <v/>
      </c>
      <c r="N31" s="36" t="str">
        <f>IF(A31="","",INDEX('Task Library'!$E$7:$E$45,MATCH(A31,'Task Library'!$A$7:$A$45,0)))</f>
        <v/>
      </c>
      <c r="O31" s="37"/>
      <c r="P31" s="36" t="str">
        <f t="shared" si="2"/>
        <v/>
      </c>
      <c r="Q31" s="34" t="str">
        <f>IF(A31="","",INDEX('Task Library'!$F$7:$F$45,MATCH(A31,'Task Library'!$A$7:$A$45,0)))</f>
        <v/>
      </c>
      <c r="R31" s="35"/>
      <c r="S31" s="34" t="str">
        <f t="shared" si="3"/>
        <v/>
      </c>
      <c r="T31" s="34" t="str">
        <f>IF(A31="","",INDEX('Task Library'!$G$7:$G$45,MATCH(A31,'Task Library'!$A$7:$A$45,0)))</f>
        <v/>
      </c>
      <c r="U31" s="35"/>
      <c r="V31" s="34" t="str">
        <f t="shared" si="4"/>
        <v/>
      </c>
      <c r="W31" s="34" t="str">
        <f>IF(A31="","",INDEX('Task Library'!$H$7:$H$45,MATCH(A31,'Task Library'!$A$7:$A$45,0)))</f>
        <v/>
      </c>
      <c r="X31" s="35"/>
      <c r="Y31" s="34" t="str">
        <f t="shared" si="5"/>
        <v/>
      </c>
      <c r="Z31" s="36" t="str">
        <f>IF(OR(C31="",D31="",D31&lt;C31),"",SUMPRODUCT((('Date Engine'!$A$7:$A$5850&gt;=C31)*('Date Engine'!$A$7:$A$5850&lt;=D31)*'Date Engine'!$G$7:$G$5850)))</f>
        <v/>
      </c>
      <c r="AA31" s="34" t="str">
        <f>IFERROR(SUMPRODUCT((('Date Engine'!$A$7:$A$5850&gt;=C31)*('Date Engine'!$A$7:$A$5850&lt;=D31)*'Date Engine'!$G$7:$G$5850)*'Date Engine'!$H$7:$H$5850)/SUMPRODUCT((('Date Engine'!$A$7:$A$5850&gt;=C31)*('Date Engine'!$A$7:$A$5850&lt;=D31)*'Date Engine'!$G$7:$G$5850)),"")</f>
        <v/>
      </c>
      <c r="AB31" s="34" t="str">
        <f t="shared" si="6"/>
        <v/>
      </c>
      <c r="AC31" s="34">
        <f>IF($D$3&lt;&gt;"",$D$3,IFERROR(SUMPRODUCT((('Date Engine'!$A$7:$A$5850&gt;=C31)*('Date Engine'!$A$7:$A$5850&lt;=D31)*'Date Engine'!$G$7:$G$5850)*'Date Engine'!$J$7:$J$5850)/SUMPRODUCT((('Date Engine'!$A$7:$A$5850&gt;=C31)*('Date Engine'!$A$7:$A$5850&lt;=D31)*'Date Engine'!$G$7:$G$5850)),0))</f>
        <v>0</v>
      </c>
      <c r="AD31" s="34" t="str">
        <f t="shared" si="7"/>
        <v/>
      </c>
      <c r="AE31" s="34" t="str">
        <f t="shared" si="8"/>
        <v/>
      </c>
      <c r="AF31" s="34" t="str">
        <f t="shared" si="9"/>
        <v/>
      </c>
      <c r="AG31" s="34" t="str">
        <f t="shared" si="10"/>
        <v/>
      </c>
      <c r="AH31" s="38" t="str">
        <f t="shared" si="11"/>
        <v/>
      </c>
      <c r="AI31" s="36" t="str">
        <f t="shared" si="12"/>
        <v/>
      </c>
      <c r="AJ31" s="36" t="str">
        <f t="shared" si="13"/>
        <v/>
      </c>
      <c r="AK31" s="31" t="str">
        <f t="shared" si="14"/>
        <v/>
      </c>
      <c r="AL31" s="30"/>
    </row>
    <row r="32" spans="1:38" ht="14.4">
      <c r="A32" s="30"/>
      <c r="B32" s="31" t="str">
        <f>IF(A32="","",INDEX('Task Library'!$B$7:$B$45,MATCH(A32,'Task Library'!$A$7:$A$45,0)))</f>
        <v/>
      </c>
      <c r="C32" s="32"/>
      <c r="D32" s="32"/>
      <c r="E32" s="30" t="s">
        <v>122</v>
      </c>
      <c r="F32" s="33"/>
      <c r="G32" s="33"/>
      <c r="H32" s="34" t="str">
        <f>IF(A32="","",INDEX('Task Library'!$C$7:$C$45,MATCH(A32,'Task Library'!$A$7:$A$45,0)))</f>
        <v/>
      </c>
      <c r="I32" s="35"/>
      <c r="J32" s="34" t="str">
        <f t="shared" si="0"/>
        <v/>
      </c>
      <c r="K32" s="34" t="str">
        <f>IF(A32="","",INDEX('Task Library'!$D$7:$D$45,MATCH(A32,'Task Library'!$A$7:$A$45,0)))</f>
        <v/>
      </c>
      <c r="L32" s="35"/>
      <c r="M32" s="34" t="str">
        <f t="shared" si="1"/>
        <v/>
      </c>
      <c r="N32" s="36" t="str">
        <f>IF(A32="","",INDEX('Task Library'!$E$7:$E$45,MATCH(A32,'Task Library'!$A$7:$A$45,0)))</f>
        <v/>
      </c>
      <c r="O32" s="37"/>
      <c r="P32" s="36" t="str">
        <f t="shared" si="2"/>
        <v/>
      </c>
      <c r="Q32" s="34" t="str">
        <f>IF(A32="","",INDEX('Task Library'!$F$7:$F$45,MATCH(A32,'Task Library'!$A$7:$A$45,0)))</f>
        <v/>
      </c>
      <c r="R32" s="35"/>
      <c r="S32" s="34" t="str">
        <f t="shared" si="3"/>
        <v/>
      </c>
      <c r="T32" s="34" t="str">
        <f>IF(A32="","",INDEX('Task Library'!$G$7:$G$45,MATCH(A32,'Task Library'!$A$7:$A$45,0)))</f>
        <v/>
      </c>
      <c r="U32" s="35"/>
      <c r="V32" s="34" t="str">
        <f t="shared" si="4"/>
        <v/>
      </c>
      <c r="W32" s="34" t="str">
        <f>IF(A32="","",INDEX('Task Library'!$H$7:$H$45,MATCH(A32,'Task Library'!$A$7:$A$45,0)))</f>
        <v/>
      </c>
      <c r="X32" s="35"/>
      <c r="Y32" s="34" t="str">
        <f t="shared" si="5"/>
        <v/>
      </c>
      <c r="Z32" s="36" t="str">
        <f>IF(OR(C32="",D32="",D32&lt;C32),"",SUMPRODUCT((('Date Engine'!$A$7:$A$5850&gt;=C32)*('Date Engine'!$A$7:$A$5850&lt;=D32)*'Date Engine'!$G$7:$G$5850)))</f>
        <v/>
      </c>
      <c r="AA32" s="34" t="str">
        <f>IFERROR(SUMPRODUCT((('Date Engine'!$A$7:$A$5850&gt;=C32)*('Date Engine'!$A$7:$A$5850&lt;=D32)*'Date Engine'!$G$7:$G$5850)*'Date Engine'!$H$7:$H$5850)/SUMPRODUCT((('Date Engine'!$A$7:$A$5850&gt;=C32)*('Date Engine'!$A$7:$A$5850&lt;=D32)*'Date Engine'!$G$7:$G$5850)),"")</f>
        <v/>
      </c>
      <c r="AB32" s="34" t="str">
        <f t="shared" si="6"/>
        <v/>
      </c>
      <c r="AC32" s="34">
        <f>IF($D$3&lt;&gt;"",$D$3,IFERROR(SUMPRODUCT((('Date Engine'!$A$7:$A$5850&gt;=C32)*('Date Engine'!$A$7:$A$5850&lt;=D32)*'Date Engine'!$G$7:$G$5850)*'Date Engine'!$J$7:$J$5850)/SUMPRODUCT((('Date Engine'!$A$7:$A$5850&gt;=C32)*('Date Engine'!$A$7:$A$5850&lt;=D32)*'Date Engine'!$G$7:$G$5850)),0))</f>
        <v>0</v>
      </c>
      <c r="AD32" s="34" t="str">
        <f t="shared" si="7"/>
        <v/>
      </c>
      <c r="AE32" s="34" t="str">
        <f t="shared" si="8"/>
        <v/>
      </c>
      <c r="AF32" s="34" t="str">
        <f t="shared" si="9"/>
        <v/>
      </c>
      <c r="AG32" s="34" t="str">
        <f t="shared" si="10"/>
        <v/>
      </c>
      <c r="AH32" s="38" t="str">
        <f t="shared" si="11"/>
        <v/>
      </c>
      <c r="AI32" s="36" t="str">
        <f t="shared" si="12"/>
        <v/>
      </c>
      <c r="AJ32" s="36" t="str">
        <f t="shared" si="13"/>
        <v/>
      </c>
      <c r="AK32" s="31" t="str">
        <f t="shared" si="14"/>
        <v/>
      </c>
      <c r="AL32" s="30"/>
    </row>
    <row r="33" spans="1:38" ht="14.4">
      <c r="A33" s="30"/>
      <c r="B33" s="31" t="str">
        <f>IF(A33="","",INDEX('Task Library'!$B$7:$B$45,MATCH(A33,'Task Library'!$A$7:$A$45,0)))</f>
        <v/>
      </c>
      <c r="C33" s="32"/>
      <c r="D33" s="32"/>
      <c r="E33" s="30" t="s">
        <v>122</v>
      </c>
      <c r="F33" s="33"/>
      <c r="G33" s="33"/>
      <c r="H33" s="34" t="str">
        <f>IF(A33="","",INDEX('Task Library'!$C$7:$C$45,MATCH(A33,'Task Library'!$A$7:$A$45,0)))</f>
        <v/>
      </c>
      <c r="I33" s="35"/>
      <c r="J33" s="34" t="str">
        <f t="shared" si="0"/>
        <v/>
      </c>
      <c r="K33" s="34" t="str">
        <f>IF(A33="","",INDEX('Task Library'!$D$7:$D$45,MATCH(A33,'Task Library'!$A$7:$A$45,0)))</f>
        <v/>
      </c>
      <c r="L33" s="35"/>
      <c r="M33" s="34" t="str">
        <f t="shared" si="1"/>
        <v/>
      </c>
      <c r="N33" s="36" t="str">
        <f>IF(A33="","",INDEX('Task Library'!$E$7:$E$45,MATCH(A33,'Task Library'!$A$7:$A$45,0)))</f>
        <v/>
      </c>
      <c r="O33" s="37"/>
      <c r="P33" s="36" t="str">
        <f t="shared" si="2"/>
        <v/>
      </c>
      <c r="Q33" s="34" t="str">
        <f>IF(A33="","",INDEX('Task Library'!$F$7:$F$45,MATCH(A33,'Task Library'!$A$7:$A$45,0)))</f>
        <v/>
      </c>
      <c r="R33" s="35"/>
      <c r="S33" s="34" t="str">
        <f t="shared" si="3"/>
        <v/>
      </c>
      <c r="T33" s="34" t="str">
        <f>IF(A33="","",INDEX('Task Library'!$G$7:$G$45,MATCH(A33,'Task Library'!$A$7:$A$45,0)))</f>
        <v/>
      </c>
      <c r="U33" s="35"/>
      <c r="V33" s="34" t="str">
        <f t="shared" si="4"/>
        <v/>
      </c>
      <c r="W33" s="34" t="str">
        <f>IF(A33="","",INDEX('Task Library'!$H$7:$H$45,MATCH(A33,'Task Library'!$A$7:$A$45,0)))</f>
        <v/>
      </c>
      <c r="X33" s="35"/>
      <c r="Y33" s="34" t="str">
        <f t="shared" si="5"/>
        <v/>
      </c>
      <c r="Z33" s="36" t="str">
        <f>IF(OR(C33="",D33="",D33&lt;C33),"",SUMPRODUCT((('Date Engine'!$A$7:$A$5850&gt;=C33)*('Date Engine'!$A$7:$A$5850&lt;=D33)*'Date Engine'!$G$7:$G$5850)))</f>
        <v/>
      </c>
      <c r="AA33" s="34" t="str">
        <f>IFERROR(SUMPRODUCT((('Date Engine'!$A$7:$A$5850&gt;=C33)*('Date Engine'!$A$7:$A$5850&lt;=D33)*'Date Engine'!$G$7:$G$5850)*'Date Engine'!$H$7:$H$5850)/SUMPRODUCT((('Date Engine'!$A$7:$A$5850&gt;=C33)*('Date Engine'!$A$7:$A$5850&lt;=D33)*'Date Engine'!$G$7:$G$5850)),"")</f>
        <v/>
      </c>
      <c r="AB33" s="34" t="str">
        <f t="shared" si="6"/>
        <v/>
      </c>
      <c r="AC33" s="34">
        <f>IF($D$3&lt;&gt;"",$D$3,IFERROR(SUMPRODUCT((('Date Engine'!$A$7:$A$5850&gt;=C33)*('Date Engine'!$A$7:$A$5850&lt;=D33)*'Date Engine'!$G$7:$G$5850)*'Date Engine'!$J$7:$J$5850)/SUMPRODUCT((('Date Engine'!$A$7:$A$5850&gt;=C33)*('Date Engine'!$A$7:$A$5850&lt;=D33)*'Date Engine'!$G$7:$G$5850)),0))</f>
        <v>0</v>
      </c>
      <c r="AD33" s="34" t="str">
        <f t="shared" si="7"/>
        <v/>
      </c>
      <c r="AE33" s="34" t="str">
        <f t="shared" si="8"/>
        <v/>
      </c>
      <c r="AF33" s="34" t="str">
        <f t="shared" si="9"/>
        <v/>
      </c>
      <c r="AG33" s="34" t="str">
        <f t="shared" si="10"/>
        <v/>
      </c>
      <c r="AH33" s="38" t="str">
        <f t="shared" si="11"/>
        <v/>
      </c>
      <c r="AI33" s="36" t="str">
        <f t="shared" si="12"/>
        <v/>
      </c>
      <c r="AJ33" s="36" t="str">
        <f t="shared" si="13"/>
        <v/>
      </c>
      <c r="AK33" s="31" t="str">
        <f t="shared" si="14"/>
        <v/>
      </c>
      <c r="AL33" s="30"/>
    </row>
    <row r="34" spans="1:38" ht="14.4">
      <c r="A34" s="30"/>
      <c r="B34" s="31" t="str">
        <f>IF(A34="","",INDEX('Task Library'!$B$7:$B$45,MATCH(A34,'Task Library'!$A$7:$A$45,0)))</f>
        <v/>
      </c>
      <c r="C34" s="32"/>
      <c r="D34" s="32"/>
      <c r="E34" s="30" t="s">
        <v>122</v>
      </c>
      <c r="F34" s="33"/>
      <c r="G34" s="33"/>
      <c r="H34" s="34" t="str">
        <f>IF(A34="","",INDEX('Task Library'!$C$7:$C$45,MATCH(A34,'Task Library'!$A$7:$A$45,0)))</f>
        <v/>
      </c>
      <c r="I34" s="35"/>
      <c r="J34" s="34" t="str">
        <f t="shared" si="0"/>
        <v/>
      </c>
      <c r="K34" s="34" t="str">
        <f>IF(A34="","",INDEX('Task Library'!$D$7:$D$45,MATCH(A34,'Task Library'!$A$7:$A$45,0)))</f>
        <v/>
      </c>
      <c r="L34" s="35"/>
      <c r="M34" s="34" t="str">
        <f t="shared" si="1"/>
        <v/>
      </c>
      <c r="N34" s="36" t="str">
        <f>IF(A34="","",INDEX('Task Library'!$E$7:$E$45,MATCH(A34,'Task Library'!$A$7:$A$45,0)))</f>
        <v/>
      </c>
      <c r="O34" s="37"/>
      <c r="P34" s="36" t="str">
        <f t="shared" si="2"/>
        <v/>
      </c>
      <c r="Q34" s="34" t="str">
        <f>IF(A34="","",INDEX('Task Library'!$F$7:$F$45,MATCH(A34,'Task Library'!$A$7:$A$45,0)))</f>
        <v/>
      </c>
      <c r="R34" s="35"/>
      <c r="S34" s="34" t="str">
        <f t="shared" si="3"/>
        <v/>
      </c>
      <c r="T34" s="34" t="str">
        <f>IF(A34="","",INDEX('Task Library'!$G$7:$G$45,MATCH(A34,'Task Library'!$A$7:$A$45,0)))</f>
        <v/>
      </c>
      <c r="U34" s="35"/>
      <c r="V34" s="34" t="str">
        <f t="shared" si="4"/>
        <v/>
      </c>
      <c r="W34" s="34" t="str">
        <f>IF(A34="","",INDEX('Task Library'!$H$7:$H$45,MATCH(A34,'Task Library'!$A$7:$A$45,0)))</f>
        <v/>
      </c>
      <c r="X34" s="35"/>
      <c r="Y34" s="34" t="str">
        <f t="shared" si="5"/>
        <v/>
      </c>
      <c r="Z34" s="36" t="str">
        <f>IF(OR(C34="",D34="",D34&lt;C34),"",SUMPRODUCT((('Date Engine'!$A$7:$A$5850&gt;=C34)*('Date Engine'!$A$7:$A$5850&lt;=D34)*'Date Engine'!$G$7:$G$5850)))</f>
        <v/>
      </c>
      <c r="AA34" s="34" t="str">
        <f>IFERROR(SUMPRODUCT((('Date Engine'!$A$7:$A$5850&gt;=C34)*('Date Engine'!$A$7:$A$5850&lt;=D34)*'Date Engine'!$G$7:$G$5850)*'Date Engine'!$H$7:$H$5850)/SUMPRODUCT((('Date Engine'!$A$7:$A$5850&gt;=C34)*('Date Engine'!$A$7:$A$5850&lt;=D34)*'Date Engine'!$G$7:$G$5850)),"")</f>
        <v/>
      </c>
      <c r="AB34" s="34" t="str">
        <f t="shared" si="6"/>
        <v/>
      </c>
      <c r="AC34" s="34">
        <f>IF($D$3&lt;&gt;"",$D$3,IFERROR(SUMPRODUCT((('Date Engine'!$A$7:$A$5850&gt;=C34)*('Date Engine'!$A$7:$A$5850&lt;=D34)*'Date Engine'!$G$7:$G$5850)*'Date Engine'!$J$7:$J$5850)/SUMPRODUCT((('Date Engine'!$A$7:$A$5850&gt;=C34)*('Date Engine'!$A$7:$A$5850&lt;=D34)*'Date Engine'!$G$7:$G$5850)),0))</f>
        <v>0</v>
      </c>
      <c r="AD34" s="34" t="str">
        <f t="shared" si="7"/>
        <v/>
      </c>
      <c r="AE34" s="34" t="str">
        <f t="shared" si="8"/>
        <v/>
      </c>
      <c r="AF34" s="34" t="str">
        <f t="shared" si="9"/>
        <v/>
      </c>
      <c r="AG34" s="34" t="str">
        <f t="shared" si="10"/>
        <v/>
      </c>
      <c r="AH34" s="38" t="str">
        <f t="shared" si="11"/>
        <v/>
      </c>
      <c r="AI34" s="36" t="str">
        <f t="shared" si="12"/>
        <v/>
      </c>
      <c r="AJ34" s="36" t="str">
        <f t="shared" si="13"/>
        <v/>
      </c>
      <c r="AK34" s="31" t="str">
        <f t="shared" si="14"/>
        <v/>
      </c>
      <c r="AL34" s="30"/>
    </row>
    <row r="35" spans="1:38" ht="14.4">
      <c r="A35" s="30"/>
      <c r="B35" s="31" t="str">
        <f>IF(A35="","",INDEX('Task Library'!$B$7:$B$45,MATCH(A35,'Task Library'!$A$7:$A$45,0)))</f>
        <v/>
      </c>
      <c r="C35" s="32"/>
      <c r="D35" s="32"/>
      <c r="E35" s="30" t="s">
        <v>122</v>
      </c>
      <c r="F35" s="33"/>
      <c r="G35" s="33"/>
      <c r="H35" s="34" t="str">
        <f>IF(A35="","",INDEX('Task Library'!$C$7:$C$45,MATCH(A35,'Task Library'!$A$7:$A$45,0)))</f>
        <v/>
      </c>
      <c r="I35" s="35"/>
      <c r="J35" s="34" t="str">
        <f t="shared" si="0"/>
        <v/>
      </c>
      <c r="K35" s="34" t="str">
        <f>IF(A35="","",INDEX('Task Library'!$D$7:$D$45,MATCH(A35,'Task Library'!$A$7:$A$45,0)))</f>
        <v/>
      </c>
      <c r="L35" s="35"/>
      <c r="M35" s="34" t="str">
        <f t="shared" si="1"/>
        <v/>
      </c>
      <c r="N35" s="36" t="str">
        <f>IF(A35="","",INDEX('Task Library'!$E$7:$E$45,MATCH(A35,'Task Library'!$A$7:$A$45,0)))</f>
        <v/>
      </c>
      <c r="O35" s="37"/>
      <c r="P35" s="36" t="str">
        <f t="shared" si="2"/>
        <v/>
      </c>
      <c r="Q35" s="34" t="str">
        <f>IF(A35="","",INDEX('Task Library'!$F$7:$F$45,MATCH(A35,'Task Library'!$A$7:$A$45,0)))</f>
        <v/>
      </c>
      <c r="R35" s="35"/>
      <c r="S35" s="34" t="str">
        <f t="shared" si="3"/>
        <v/>
      </c>
      <c r="T35" s="34" t="str">
        <f>IF(A35="","",INDEX('Task Library'!$G$7:$G$45,MATCH(A35,'Task Library'!$A$7:$A$45,0)))</f>
        <v/>
      </c>
      <c r="U35" s="35"/>
      <c r="V35" s="34" t="str">
        <f t="shared" si="4"/>
        <v/>
      </c>
      <c r="W35" s="34" t="str">
        <f>IF(A35="","",INDEX('Task Library'!$H$7:$H$45,MATCH(A35,'Task Library'!$A$7:$A$45,0)))</f>
        <v/>
      </c>
      <c r="X35" s="35"/>
      <c r="Y35" s="34" t="str">
        <f t="shared" si="5"/>
        <v/>
      </c>
      <c r="Z35" s="36" t="str">
        <f>IF(OR(C35="",D35="",D35&lt;C35),"",SUMPRODUCT((('Date Engine'!$A$7:$A$5850&gt;=C35)*('Date Engine'!$A$7:$A$5850&lt;=D35)*'Date Engine'!$G$7:$G$5850)))</f>
        <v/>
      </c>
      <c r="AA35" s="34" t="str">
        <f>IFERROR(SUMPRODUCT((('Date Engine'!$A$7:$A$5850&gt;=C35)*('Date Engine'!$A$7:$A$5850&lt;=D35)*'Date Engine'!$G$7:$G$5850)*'Date Engine'!$H$7:$H$5850)/SUMPRODUCT((('Date Engine'!$A$7:$A$5850&gt;=C35)*('Date Engine'!$A$7:$A$5850&lt;=D35)*'Date Engine'!$G$7:$G$5850)),"")</f>
        <v/>
      </c>
      <c r="AB35" s="34" t="str">
        <f t="shared" si="6"/>
        <v/>
      </c>
      <c r="AC35" s="34">
        <f>IF($D$3&lt;&gt;"",$D$3,IFERROR(SUMPRODUCT((('Date Engine'!$A$7:$A$5850&gt;=C35)*('Date Engine'!$A$7:$A$5850&lt;=D35)*'Date Engine'!$G$7:$G$5850)*'Date Engine'!$J$7:$J$5850)/SUMPRODUCT((('Date Engine'!$A$7:$A$5850&gt;=C35)*('Date Engine'!$A$7:$A$5850&lt;=D35)*'Date Engine'!$G$7:$G$5850)),0))</f>
        <v>0</v>
      </c>
      <c r="AD35" s="34" t="str">
        <f t="shared" si="7"/>
        <v/>
      </c>
      <c r="AE35" s="34" t="str">
        <f t="shared" si="8"/>
        <v/>
      </c>
      <c r="AF35" s="34" t="str">
        <f t="shared" si="9"/>
        <v/>
      </c>
      <c r="AG35" s="34" t="str">
        <f t="shared" si="10"/>
        <v/>
      </c>
      <c r="AH35" s="38" t="str">
        <f t="shared" si="11"/>
        <v/>
      </c>
      <c r="AI35" s="36" t="str">
        <f t="shared" si="12"/>
        <v/>
      </c>
      <c r="AJ35" s="36" t="str">
        <f t="shared" si="13"/>
        <v/>
      </c>
      <c r="AK35" s="31" t="str">
        <f t="shared" si="14"/>
        <v/>
      </c>
      <c r="AL35" s="30"/>
    </row>
    <row r="36" spans="1:38" ht="14.4">
      <c r="A36" s="30"/>
      <c r="B36" s="31" t="str">
        <f>IF(A36="","",INDEX('Task Library'!$B$7:$B$45,MATCH(A36,'Task Library'!$A$7:$A$45,0)))</f>
        <v/>
      </c>
      <c r="C36" s="32"/>
      <c r="D36" s="32"/>
      <c r="E36" s="30" t="s">
        <v>122</v>
      </c>
      <c r="F36" s="33"/>
      <c r="G36" s="33"/>
      <c r="H36" s="34" t="str">
        <f>IF(A36="","",INDEX('Task Library'!$C$7:$C$45,MATCH(A36,'Task Library'!$A$7:$A$45,0)))</f>
        <v/>
      </c>
      <c r="I36" s="35"/>
      <c r="J36" s="34" t="str">
        <f t="shared" si="0"/>
        <v/>
      </c>
      <c r="K36" s="34" t="str">
        <f>IF(A36="","",INDEX('Task Library'!$D$7:$D$45,MATCH(A36,'Task Library'!$A$7:$A$45,0)))</f>
        <v/>
      </c>
      <c r="L36" s="35"/>
      <c r="M36" s="34" t="str">
        <f t="shared" si="1"/>
        <v/>
      </c>
      <c r="N36" s="36" t="str">
        <f>IF(A36="","",INDEX('Task Library'!$E$7:$E$45,MATCH(A36,'Task Library'!$A$7:$A$45,0)))</f>
        <v/>
      </c>
      <c r="O36" s="37"/>
      <c r="P36" s="36" t="str">
        <f t="shared" si="2"/>
        <v/>
      </c>
      <c r="Q36" s="34" t="str">
        <f>IF(A36="","",INDEX('Task Library'!$F$7:$F$45,MATCH(A36,'Task Library'!$A$7:$A$45,0)))</f>
        <v/>
      </c>
      <c r="R36" s="35"/>
      <c r="S36" s="34" t="str">
        <f t="shared" si="3"/>
        <v/>
      </c>
      <c r="T36" s="34" t="str">
        <f>IF(A36="","",INDEX('Task Library'!$G$7:$G$45,MATCH(A36,'Task Library'!$A$7:$A$45,0)))</f>
        <v/>
      </c>
      <c r="U36" s="35"/>
      <c r="V36" s="34" t="str">
        <f t="shared" si="4"/>
        <v/>
      </c>
      <c r="W36" s="34" t="str">
        <f>IF(A36="","",INDEX('Task Library'!$H$7:$H$45,MATCH(A36,'Task Library'!$A$7:$A$45,0)))</f>
        <v/>
      </c>
      <c r="X36" s="35"/>
      <c r="Y36" s="34" t="str">
        <f t="shared" si="5"/>
        <v/>
      </c>
      <c r="Z36" s="36" t="str">
        <f>IF(OR(C36="",D36="",D36&lt;C36),"",SUMPRODUCT((('Date Engine'!$A$7:$A$5850&gt;=C36)*('Date Engine'!$A$7:$A$5850&lt;=D36)*'Date Engine'!$G$7:$G$5850)))</f>
        <v/>
      </c>
      <c r="AA36" s="34" t="str">
        <f>IFERROR(SUMPRODUCT((('Date Engine'!$A$7:$A$5850&gt;=C36)*('Date Engine'!$A$7:$A$5850&lt;=D36)*'Date Engine'!$G$7:$G$5850)*'Date Engine'!$H$7:$H$5850)/SUMPRODUCT((('Date Engine'!$A$7:$A$5850&gt;=C36)*('Date Engine'!$A$7:$A$5850&lt;=D36)*'Date Engine'!$G$7:$G$5850)),"")</f>
        <v/>
      </c>
      <c r="AB36" s="34" t="str">
        <f t="shared" si="6"/>
        <v/>
      </c>
      <c r="AC36" s="34">
        <f>IF($D$3&lt;&gt;"",$D$3,IFERROR(SUMPRODUCT((('Date Engine'!$A$7:$A$5850&gt;=C36)*('Date Engine'!$A$7:$A$5850&lt;=D36)*'Date Engine'!$G$7:$G$5850)*'Date Engine'!$J$7:$J$5850)/SUMPRODUCT((('Date Engine'!$A$7:$A$5850&gt;=C36)*('Date Engine'!$A$7:$A$5850&lt;=D36)*'Date Engine'!$G$7:$G$5850)),0))</f>
        <v>0</v>
      </c>
      <c r="AD36" s="34" t="str">
        <f t="shared" si="7"/>
        <v/>
      </c>
      <c r="AE36" s="34" t="str">
        <f t="shared" si="8"/>
        <v/>
      </c>
      <c r="AF36" s="34" t="str">
        <f t="shared" si="9"/>
        <v/>
      </c>
      <c r="AG36" s="34" t="str">
        <f t="shared" si="10"/>
        <v/>
      </c>
      <c r="AH36" s="38" t="str">
        <f t="shared" si="11"/>
        <v/>
      </c>
      <c r="AI36" s="36" t="str">
        <f t="shared" si="12"/>
        <v/>
      </c>
      <c r="AJ36" s="36" t="str">
        <f t="shared" si="13"/>
        <v/>
      </c>
      <c r="AK36" s="31" t="str">
        <f t="shared" si="14"/>
        <v/>
      </c>
      <c r="AL36" s="30"/>
    </row>
    <row r="37" spans="1:38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4.4">
      <c r="A38" s="90" t="s">
        <v>123</v>
      </c>
      <c r="B38" s="92" t="s">
        <v>123</v>
      </c>
      <c r="C38" s="92" t="s">
        <v>123</v>
      </c>
      <c r="D38" s="92" t="s">
        <v>123</v>
      </c>
      <c r="E38" s="92" t="s">
        <v>123</v>
      </c>
      <c r="F38" s="92" t="s">
        <v>123</v>
      </c>
      <c r="G38" s="92" t="s">
        <v>123</v>
      </c>
      <c r="H38" s="91" t="s">
        <v>123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4.4">
      <c r="A39" s="1" t="s">
        <v>124</v>
      </c>
      <c r="B39" s="39">
        <f>SUM(F7:G36)</f>
        <v>0</v>
      </c>
      <c r="C39" s="1"/>
      <c r="D39" s="93" t="s">
        <v>125</v>
      </c>
      <c r="E39" s="94"/>
      <c r="F39" s="94"/>
      <c r="G39" s="94"/>
      <c r="H39" s="9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4.4">
      <c r="A40" s="1" t="s">
        <v>49</v>
      </c>
      <c r="B40" s="40">
        <f>SUM(AH7:AH36)</f>
        <v>0</v>
      </c>
      <c r="C40" s="1"/>
      <c r="D40" s="96"/>
      <c r="E40" s="97"/>
      <c r="F40" s="97"/>
      <c r="G40" s="97"/>
      <c r="H40" s="9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4.4">
      <c r="A41" s="1" t="s">
        <v>47</v>
      </c>
      <c r="B41" s="41">
        <f>SUM(AJ7:AJ36)</f>
        <v>0</v>
      </c>
      <c r="C41" s="1"/>
      <c r="D41" s="96"/>
      <c r="E41" s="97"/>
      <c r="F41" s="97"/>
      <c r="G41" s="97"/>
      <c r="H41" s="9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4.4">
      <c r="A42" s="1" t="s">
        <v>54</v>
      </c>
      <c r="B42" s="40">
        <f>B41*$F$3</f>
        <v>0</v>
      </c>
      <c r="C42" s="1"/>
      <c r="D42" s="96"/>
      <c r="E42" s="97"/>
      <c r="F42" s="97"/>
      <c r="G42" s="97"/>
      <c r="H42" s="9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4.4">
      <c r="A43" s="1" t="s">
        <v>57</v>
      </c>
      <c r="B43" s="42">
        <f>IF(B41=0,0,ROUNDUP(B41/Estimator!$B$7,0))</f>
        <v>0</v>
      </c>
      <c r="C43" s="1"/>
      <c r="D43" s="96"/>
      <c r="E43" s="97"/>
      <c r="F43" s="97"/>
      <c r="G43" s="97"/>
      <c r="H43" s="9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4.4">
      <c r="A44" s="1" t="s">
        <v>59</v>
      </c>
      <c r="B44" s="40">
        <f>B43*$H$3</f>
        <v>0</v>
      </c>
      <c r="C44" s="1"/>
      <c r="D44" s="96"/>
      <c r="E44" s="97"/>
      <c r="F44" s="97"/>
      <c r="G44" s="97"/>
      <c r="H44" s="9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4.4">
      <c r="A45" s="1" t="s">
        <v>82</v>
      </c>
      <c r="B45" s="40">
        <f>$J$3</f>
        <v>0</v>
      </c>
      <c r="C45" s="1"/>
      <c r="D45" s="96"/>
      <c r="E45" s="97"/>
      <c r="F45" s="97"/>
      <c r="G45" s="97"/>
      <c r="H45" s="9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4.4">
      <c r="A46" s="1" t="s">
        <v>64</v>
      </c>
      <c r="B46" s="43">
        <f>SUM(B40,B42,B44:B45)</f>
        <v>0</v>
      </c>
      <c r="C46" s="1"/>
      <c r="D46" s="99"/>
      <c r="E46" s="100"/>
      <c r="F46" s="100"/>
      <c r="G46" s="100"/>
      <c r="H46" s="10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</sheetData>
  <mergeCells count="4">
    <mergeCell ref="A1:AL1"/>
    <mergeCell ref="L3:Q4"/>
    <mergeCell ref="A38:H38"/>
    <mergeCell ref="D39:H46"/>
  </mergeCells>
  <conditionalFormatting sqref="AK7:AK36">
    <cfRule type="containsText" dxfId="35" priority="1" operator="containsText" text="GREEN"/>
    <cfRule type="containsText" dxfId="34" priority="2" operator="containsText" text="AMBER"/>
    <cfRule type="containsText" dxfId="33" priority="3" operator="containsText" text="RED"/>
    <cfRule type="containsText" dxfId="32" priority="4" operator="containsText" text="UNCALIBRATED"/>
  </conditionalFormatting>
  <dataValidations count="1">
    <dataValidation type="list" sqref="E7:E36" xr:uid="{00000000-0002-0000-0100-000001000000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'Task Library'!$A$7:$A$45</xm:f>
          </x14:formula1>
          <xm:sqref>A7:A36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5"/>
  <sheetViews>
    <sheetView showGridLines="0" workbookViewId="0">
      <selection sqref="A1:O1"/>
    </sheetView>
  </sheetViews>
  <sheetFormatPr defaultRowHeight="13.8"/>
  <cols>
    <col min="1" max="1" width="34" customWidth="1"/>
    <col min="2" max="2" width="12" customWidth="1"/>
    <col min="3" max="8" width="17" customWidth="1"/>
    <col min="9" max="11" width="24" customWidth="1"/>
    <col min="12" max="12" width="55" customWidth="1"/>
    <col min="13" max="13" width="50" customWidth="1"/>
    <col min="14" max="15" width="16" customWidth="1"/>
  </cols>
  <sheetData>
    <row r="1" spans="1:15" ht="25.95" customHeight="1">
      <c r="A1" s="88" t="s">
        <v>126</v>
      </c>
      <c r="B1" s="89" t="s">
        <v>126</v>
      </c>
      <c r="C1" s="89" t="s">
        <v>126</v>
      </c>
      <c r="D1" s="89" t="s">
        <v>126</v>
      </c>
      <c r="E1" s="89" t="s">
        <v>126</v>
      </c>
      <c r="F1" s="89" t="s">
        <v>126</v>
      </c>
      <c r="G1" s="89" t="s">
        <v>126</v>
      </c>
      <c r="H1" s="89" t="s">
        <v>126</v>
      </c>
      <c r="I1" s="89" t="s">
        <v>126</v>
      </c>
      <c r="J1" s="89" t="s">
        <v>126</v>
      </c>
      <c r="K1" s="89" t="s">
        <v>126</v>
      </c>
      <c r="L1" s="89" t="s">
        <v>126</v>
      </c>
      <c r="M1" s="89" t="s">
        <v>126</v>
      </c>
      <c r="N1" s="89" t="s">
        <v>126</v>
      </c>
      <c r="O1" s="89" t="s">
        <v>126</v>
      </c>
    </row>
    <row r="2" spans="1:15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11" t="s">
        <v>127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</row>
    <row r="4" spans="1:15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</row>
    <row r="5" spans="1:15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</row>
    <row r="6" spans="1:15" ht="41.4">
      <c r="A6" s="29" t="s">
        <v>84</v>
      </c>
      <c r="B6" s="29" t="s">
        <v>85</v>
      </c>
      <c r="C6" s="29" t="s">
        <v>128</v>
      </c>
      <c r="D6" s="29" t="s">
        <v>129</v>
      </c>
      <c r="E6" s="29" t="s">
        <v>130</v>
      </c>
      <c r="F6" s="29" t="s">
        <v>131</v>
      </c>
      <c r="G6" s="29" t="s">
        <v>132</v>
      </c>
      <c r="H6" s="29" t="s">
        <v>133</v>
      </c>
      <c r="I6" s="29" t="s">
        <v>134</v>
      </c>
      <c r="J6" s="29" t="s">
        <v>135</v>
      </c>
      <c r="K6" s="29" t="s">
        <v>136</v>
      </c>
      <c r="L6" s="29" t="s">
        <v>137</v>
      </c>
      <c r="M6" s="29" t="s">
        <v>138</v>
      </c>
      <c r="N6" s="29" t="s">
        <v>139</v>
      </c>
      <c r="O6" s="29" t="s">
        <v>140</v>
      </c>
    </row>
    <row r="7" spans="1:15" ht="27.6">
      <c r="A7" s="44" t="s">
        <v>141</v>
      </c>
      <c r="B7" s="44" t="s">
        <v>142</v>
      </c>
      <c r="C7" s="45" t="s">
        <v>143</v>
      </c>
      <c r="D7" s="45" t="s">
        <v>144</v>
      </c>
      <c r="E7" s="46">
        <v>0.02</v>
      </c>
      <c r="F7" s="45" t="s">
        <v>145</v>
      </c>
      <c r="G7" s="45" t="s">
        <v>144</v>
      </c>
      <c r="H7" s="45" t="s">
        <v>146</v>
      </c>
      <c r="I7" s="47" t="s">
        <v>147</v>
      </c>
      <c r="J7" s="47">
        <f>COUNTIF('Weather Log'!$D$7:$D$206,A7)</f>
        <v>0</v>
      </c>
      <c r="K7" s="47" t="str">
        <f t="shared" ref="K7:K45" si="0">IF(J7=0,"UNCALIBRATED",IF(J7&lt;5,"PARTIAL - fewer than 5 records",IF(J7&lt;10,"AMBER - 5 to 9 records","REVIEW FOR GREEN - 10+ records")))</f>
        <v>UNCALIBRATED</v>
      </c>
      <c r="L7" s="44" t="s">
        <v>148</v>
      </c>
      <c r="M7" s="44" t="s">
        <v>149</v>
      </c>
      <c r="N7" s="44"/>
      <c r="O7" s="44"/>
    </row>
    <row r="8" spans="1:15" ht="27.6">
      <c r="A8" s="44" t="s">
        <v>150</v>
      </c>
      <c r="B8" s="44" t="s">
        <v>142</v>
      </c>
      <c r="C8" s="45" t="s">
        <v>151</v>
      </c>
      <c r="D8" s="45" t="s">
        <v>152</v>
      </c>
      <c r="E8" s="46">
        <v>0.08</v>
      </c>
      <c r="F8" s="45" t="s">
        <v>144</v>
      </c>
      <c r="G8" s="45" t="s">
        <v>152</v>
      </c>
      <c r="H8" s="45" t="s">
        <v>153</v>
      </c>
      <c r="I8" s="47" t="s">
        <v>147</v>
      </c>
      <c r="J8" s="47">
        <f>COUNTIF('Weather Log'!$D$7:$D$206,A8)</f>
        <v>0</v>
      </c>
      <c r="K8" s="47" t="str">
        <f t="shared" si="0"/>
        <v>UNCALIBRATED</v>
      </c>
      <c r="L8" s="44" t="s">
        <v>154</v>
      </c>
      <c r="M8" s="44" t="s">
        <v>149</v>
      </c>
      <c r="N8" s="44"/>
      <c r="O8" s="44"/>
    </row>
    <row r="9" spans="1:15" ht="27.6">
      <c r="A9" s="44" t="s">
        <v>155</v>
      </c>
      <c r="B9" s="44" t="s">
        <v>142</v>
      </c>
      <c r="C9" s="45" t="s">
        <v>156</v>
      </c>
      <c r="D9" s="45" t="s">
        <v>153</v>
      </c>
      <c r="E9" s="46">
        <v>0.2</v>
      </c>
      <c r="F9" s="45" t="s">
        <v>157</v>
      </c>
      <c r="G9" s="45" t="s">
        <v>153</v>
      </c>
      <c r="H9" s="45" t="s">
        <v>151</v>
      </c>
      <c r="I9" s="47" t="s">
        <v>147</v>
      </c>
      <c r="J9" s="47">
        <f>COUNTIF('Weather Log'!$D$7:$D$206,A9)</f>
        <v>0</v>
      </c>
      <c r="K9" s="47" t="str">
        <f t="shared" si="0"/>
        <v>UNCALIBRATED</v>
      </c>
      <c r="L9" s="44" t="s">
        <v>158</v>
      </c>
      <c r="M9" s="44" t="s">
        <v>149</v>
      </c>
      <c r="N9" s="44"/>
      <c r="O9" s="44"/>
    </row>
    <row r="10" spans="1:15" ht="27.6">
      <c r="A10" s="44" t="s">
        <v>159</v>
      </c>
      <c r="B10" s="44" t="s">
        <v>142</v>
      </c>
      <c r="C10" s="45" t="s">
        <v>156</v>
      </c>
      <c r="D10" s="45" t="s">
        <v>160</v>
      </c>
      <c r="E10" s="46">
        <v>0.25</v>
      </c>
      <c r="F10" s="45" t="s">
        <v>157</v>
      </c>
      <c r="G10" s="45" t="s">
        <v>160</v>
      </c>
      <c r="H10" s="45" t="s">
        <v>161</v>
      </c>
      <c r="I10" s="47" t="s">
        <v>147</v>
      </c>
      <c r="J10" s="47">
        <f>COUNTIF('Weather Log'!$D$7:$D$206,A10)</f>
        <v>0</v>
      </c>
      <c r="K10" s="47" t="str">
        <f t="shared" si="0"/>
        <v>UNCALIBRATED</v>
      </c>
      <c r="L10" s="44" t="s">
        <v>162</v>
      </c>
      <c r="M10" s="44" t="s">
        <v>149</v>
      </c>
      <c r="N10" s="44"/>
      <c r="O10" s="44"/>
    </row>
    <row r="11" spans="1:15" ht="27.6">
      <c r="A11" s="44" t="s">
        <v>163</v>
      </c>
      <c r="B11" s="44" t="s">
        <v>142</v>
      </c>
      <c r="C11" s="45" t="s">
        <v>164</v>
      </c>
      <c r="D11" s="45" t="s">
        <v>165</v>
      </c>
      <c r="E11" s="46">
        <v>0.15</v>
      </c>
      <c r="F11" s="45" t="s">
        <v>145</v>
      </c>
      <c r="G11" s="45" t="s">
        <v>165</v>
      </c>
      <c r="H11" s="45" t="s">
        <v>160</v>
      </c>
      <c r="I11" s="47" t="s">
        <v>147</v>
      </c>
      <c r="J11" s="47">
        <f>COUNTIF('Weather Log'!$D$7:$D$206,A11)</f>
        <v>0</v>
      </c>
      <c r="K11" s="47" t="str">
        <f t="shared" si="0"/>
        <v>UNCALIBRATED</v>
      </c>
      <c r="L11" s="44" t="s">
        <v>166</v>
      </c>
      <c r="M11" s="44" t="s">
        <v>149</v>
      </c>
      <c r="N11" s="44"/>
      <c r="O11" s="44"/>
    </row>
    <row r="12" spans="1:15" ht="27.6">
      <c r="A12" s="44" t="s">
        <v>167</v>
      </c>
      <c r="B12" s="44" t="s">
        <v>142</v>
      </c>
      <c r="C12" s="45" t="s">
        <v>164</v>
      </c>
      <c r="D12" s="45" t="s">
        <v>168</v>
      </c>
      <c r="E12" s="46">
        <v>0.2</v>
      </c>
      <c r="F12" s="45" t="s">
        <v>145</v>
      </c>
      <c r="G12" s="45" t="s">
        <v>168</v>
      </c>
      <c r="H12" s="45" t="s">
        <v>151</v>
      </c>
      <c r="I12" s="47" t="s">
        <v>147</v>
      </c>
      <c r="J12" s="47">
        <f>COUNTIF('Weather Log'!$D$7:$D$206,A12)</f>
        <v>0</v>
      </c>
      <c r="K12" s="47" t="str">
        <f t="shared" si="0"/>
        <v>UNCALIBRATED</v>
      </c>
      <c r="L12" s="44" t="s">
        <v>169</v>
      </c>
      <c r="M12" s="44" t="s">
        <v>149</v>
      </c>
      <c r="N12" s="44"/>
      <c r="O12" s="44"/>
    </row>
    <row r="13" spans="1:15" ht="27.6">
      <c r="A13" s="44" t="s">
        <v>170</v>
      </c>
      <c r="B13" s="44" t="s">
        <v>142</v>
      </c>
      <c r="C13" s="45" t="s">
        <v>164</v>
      </c>
      <c r="D13" s="45" t="s">
        <v>165</v>
      </c>
      <c r="E13" s="46">
        <v>0.15</v>
      </c>
      <c r="F13" s="45" t="s">
        <v>145</v>
      </c>
      <c r="G13" s="45" t="s">
        <v>165</v>
      </c>
      <c r="H13" s="45" t="s">
        <v>160</v>
      </c>
      <c r="I13" s="47" t="s">
        <v>147</v>
      </c>
      <c r="J13" s="47">
        <f>COUNTIF('Weather Log'!$D$7:$D$206,A13)</f>
        <v>0</v>
      </c>
      <c r="K13" s="47" t="str">
        <f t="shared" si="0"/>
        <v>UNCALIBRATED</v>
      </c>
      <c r="L13" s="44" t="s">
        <v>171</v>
      </c>
      <c r="M13" s="44" t="s">
        <v>149</v>
      </c>
      <c r="N13" s="44"/>
      <c r="O13" s="44"/>
    </row>
    <row r="14" spans="1:15" ht="27.6">
      <c r="A14" s="44" t="s">
        <v>172</v>
      </c>
      <c r="B14" s="44" t="s">
        <v>142</v>
      </c>
      <c r="C14" s="45" t="s">
        <v>161</v>
      </c>
      <c r="D14" s="45" t="s">
        <v>173</v>
      </c>
      <c r="E14" s="46">
        <v>0.08</v>
      </c>
      <c r="F14" s="45" t="s">
        <v>174</v>
      </c>
      <c r="G14" s="45" t="s">
        <v>173</v>
      </c>
      <c r="H14" s="45" t="s">
        <v>168</v>
      </c>
      <c r="I14" s="47" t="s">
        <v>147</v>
      </c>
      <c r="J14" s="47">
        <f>COUNTIF('Weather Log'!$D$7:$D$206,A14)</f>
        <v>0</v>
      </c>
      <c r="K14" s="47" t="str">
        <f t="shared" si="0"/>
        <v>UNCALIBRATED</v>
      </c>
      <c r="L14" s="44" t="s">
        <v>175</v>
      </c>
      <c r="M14" s="44" t="s">
        <v>149</v>
      </c>
      <c r="N14" s="44"/>
      <c r="O14" s="44"/>
    </row>
    <row r="15" spans="1:15" ht="27.6">
      <c r="A15" s="44" t="s">
        <v>176</v>
      </c>
      <c r="B15" s="44" t="s">
        <v>142</v>
      </c>
      <c r="C15" s="45" t="s">
        <v>161</v>
      </c>
      <c r="D15" s="45" t="s">
        <v>173</v>
      </c>
      <c r="E15" s="46">
        <v>0.1</v>
      </c>
      <c r="F15" s="45" t="s">
        <v>145</v>
      </c>
      <c r="G15" s="45" t="s">
        <v>173</v>
      </c>
      <c r="H15" s="45" t="s">
        <v>168</v>
      </c>
      <c r="I15" s="47" t="s">
        <v>147</v>
      </c>
      <c r="J15" s="47">
        <f>COUNTIF('Weather Log'!$D$7:$D$206,A15)</f>
        <v>0</v>
      </c>
      <c r="K15" s="47" t="str">
        <f t="shared" si="0"/>
        <v>UNCALIBRATED</v>
      </c>
      <c r="L15" s="44" t="s">
        <v>177</v>
      </c>
      <c r="M15" s="44" t="s">
        <v>149</v>
      </c>
      <c r="N15" s="44"/>
      <c r="O15" s="44"/>
    </row>
    <row r="16" spans="1:15" ht="27.6">
      <c r="A16" s="44" t="s">
        <v>178</v>
      </c>
      <c r="B16" s="44" t="s">
        <v>142</v>
      </c>
      <c r="C16" s="45" t="s">
        <v>156</v>
      </c>
      <c r="D16" s="45" t="s">
        <v>153</v>
      </c>
      <c r="E16" s="46">
        <v>0.15</v>
      </c>
      <c r="F16" s="45" t="s">
        <v>157</v>
      </c>
      <c r="G16" s="45" t="s">
        <v>153</v>
      </c>
      <c r="H16" s="45" t="s">
        <v>151</v>
      </c>
      <c r="I16" s="47" t="s">
        <v>147</v>
      </c>
      <c r="J16" s="47">
        <f>COUNTIF('Weather Log'!$D$7:$D$206,A16)</f>
        <v>0</v>
      </c>
      <c r="K16" s="47" t="str">
        <f t="shared" si="0"/>
        <v>UNCALIBRATED</v>
      </c>
      <c r="L16" s="44" t="s">
        <v>179</v>
      </c>
      <c r="M16" s="44" t="s">
        <v>149</v>
      </c>
      <c r="N16" s="44"/>
      <c r="O16" s="44"/>
    </row>
    <row r="17" spans="1:15" ht="27.6">
      <c r="A17" s="44" t="s">
        <v>180</v>
      </c>
      <c r="B17" s="44" t="s">
        <v>142</v>
      </c>
      <c r="C17" s="45" t="s">
        <v>164</v>
      </c>
      <c r="D17" s="45" t="s">
        <v>173</v>
      </c>
      <c r="E17" s="46">
        <v>0.05</v>
      </c>
      <c r="F17" s="45" t="s">
        <v>144</v>
      </c>
      <c r="G17" s="45" t="s">
        <v>173</v>
      </c>
      <c r="H17" s="45" t="s">
        <v>160</v>
      </c>
      <c r="I17" s="47" t="s">
        <v>147</v>
      </c>
      <c r="J17" s="47">
        <f>COUNTIF('Weather Log'!$D$7:$D$206,A17)</f>
        <v>0</v>
      </c>
      <c r="K17" s="47" t="str">
        <f t="shared" si="0"/>
        <v>UNCALIBRATED</v>
      </c>
      <c r="L17" s="44" t="s">
        <v>181</v>
      </c>
      <c r="M17" s="44" t="s">
        <v>149</v>
      </c>
      <c r="N17" s="44"/>
      <c r="O17" s="44"/>
    </row>
    <row r="18" spans="1:15" ht="27.6">
      <c r="A18" s="44" t="s">
        <v>182</v>
      </c>
      <c r="B18" s="44" t="s">
        <v>142</v>
      </c>
      <c r="C18" s="45" t="s">
        <v>164</v>
      </c>
      <c r="D18" s="45" t="s">
        <v>153</v>
      </c>
      <c r="E18" s="46">
        <v>0.15</v>
      </c>
      <c r="F18" s="45" t="s">
        <v>145</v>
      </c>
      <c r="G18" s="45" t="s">
        <v>153</v>
      </c>
      <c r="H18" s="45" t="s">
        <v>151</v>
      </c>
      <c r="I18" s="47" t="s">
        <v>147</v>
      </c>
      <c r="J18" s="47">
        <f>COUNTIF('Weather Log'!$D$7:$D$206,A18)</f>
        <v>0</v>
      </c>
      <c r="K18" s="47" t="str">
        <f t="shared" si="0"/>
        <v>UNCALIBRATED</v>
      </c>
      <c r="L18" s="44" t="s">
        <v>183</v>
      </c>
      <c r="M18" s="44" t="s">
        <v>149</v>
      </c>
      <c r="N18" s="44"/>
      <c r="O18" s="44"/>
    </row>
    <row r="19" spans="1:15" ht="27.6">
      <c r="A19" s="44" t="s">
        <v>184</v>
      </c>
      <c r="B19" s="44" t="s">
        <v>142</v>
      </c>
      <c r="C19" s="45" t="s">
        <v>151</v>
      </c>
      <c r="D19" s="45" t="s">
        <v>152</v>
      </c>
      <c r="E19" s="46">
        <v>0.05</v>
      </c>
      <c r="F19" s="45" t="s">
        <v>157</v>
      </c>
      <c r="G19" s="45" t="s">
        <v>152</v>
      </c>
      <c r="H19" s="45" t="s">
        <v>153</v>
      </c>
      <c r="I19" s="47" t="s">
        <v>147</v>
      </c>
      <c r="J19" s="47">
        <f>COUNTIF('Weather Log'!$D$7:$D$206,A19)</f>
        <v>0</v>
      </c>
      <c r="K19" s="47" t="str">
        <f t="shared" si="0"/>
        <v>UNCALIBRATED</v>
      </c>
      <c r="L19" s="44" t="s">
        <v>185</v>
      </c>
      <c r="M19" s="44" t="s">
        <v>149</v>
      </c>
      <c r="N19" s="44"/>
      <c r="O19" s="44"/>
    </row>
    <row r="20" spans="1:15" ht="27.6">
      <c r="A20" s="44" t="s">
        <v>186</v>
      </c>
      <c r="B20" s="44" t="s">
        <v>142</v>
      </c>
      <c r="C20" s="45" t="s">
        <v>164</v>
      </c>
      <c r="D20" s="45" t="s">
        <v>153</v>
      </c>
      <c r="E20" s="46">
        <v>0.05</v>
      </c>
      <c r="F20" s="45" t="s">
        <v>145</v>
      </c>
      <c r="G20" s="45" t="s">
        <v>153</v>
      </c>
      <c r="H20" s="45" t="s">
        <v>151</v>
      </c>
      <c r="I20" s="47" t="s">
        <v>147</v>
      </c>
      <c r="J20" s="47">
        <f>COUNTIF('Weather Log'!$D$7:$D$206,A20)</f>
        <v>0</v>
      </c>
      <c r="K20" s="47" t="str">
        <f t="shared" si="0"/>
        <v>UNCALIBRATED</v>
      </c>
      <c r="L20" s="44" t="s">
        <v>187</v>
      </c>
      <c r="M20" s="44" t="s">
        <v>149</v>
      </c>
      <c r="N20" s="44"/>
      <c r="O20" s="44"/>
    </row>
    <row r="21" spans="1:15" ht="27.6">
      <c r="A21" s="44" t="s">
        <v>188</v>
      </c>
      <c r="B21" s="44" t="s">
        <v>142</v>
      </c>
      <c r="C21" s="45" t="s">
        <v>156</v>
      </c>
      <c r="D21" s="45" t="s">
        <v>160</v>
      </c>
      <c r="E21" s="46">
        <v>0.02</v>
      </c>
      <c r="F21" s="45" t="s">
        <v>174</v>
      </c>
      <c r="G21" s="45" t="s">
        <v>160</v>
      </c>
      <c r="H21" s="45" t="s">
        <v>161</v>
      </c>
      <c r="I21" s="47" t="s">
        <v>147</v>
      </c>
      <c r="J21" s="47">
        <f>COUNTIF('Weather Log'!$D$7:$D$206,A21)</f>
        <v>0</v>
      </c>
      <c r="K21" s="47" t="str">
        <f t="shared" si="0"/>
        <v>UNCALIBRATED</v>
      </c>
      <c r="L21" s="44" t="s">
        <v>189</v>
      </c>
      <c r="M21" s="44" t="s">
        <v>149</v>
      </c>
      <c r="N21" s="44"/>
      <c r="O21" s="44"/>
    </row>
    <row r="22" spans="1:15" ht="27.6">
      <c r="A22" s="44" t="s">
        <v>190</v>
      </c>
      <c r="B22" s="44" t="s">
        <v>142</v>
      </c>
      <c r="C22" s="45" t="s">
        <v>164</v>
      </c>
      <c r="D22" s="45" t="s">
        <v>153</v>
      </c>
      <c r="E22" s="46">
        <v>0.05</v>
      </c>
      <c r="F22" s="45" t="s">
        <v>145</v>
      </c>
      <c r="G22" s="45" t="s">
        <v>153</v>
      </c>
      <c r="H22" s="45" t="s">
        <v>151</v>
      </c>
      <c r="I22" s="47" t="s">
        <v>147</v>
      </c>
      <c r="J22" s="47">
        <f>COUNTIF('Weather Log'!$D$7:$D$206,A22)</f>
        <v>0</v>
      </c>
      <c r="K22" s="47" t="str">
        <f t="shared" si="0"/>
        <v>UNCALIBRATED</v>
      </c>
      <c r="L22" s="44" t="s">
        <v>191</v>
      </c>
      <c r="M22" s="44" t="s">
        <v>149</v>
      </c>
      <c r="N22" s="44"/>
      <c r="O22" s="44"/>
    </row>
    <row r="23" spans="1:15" ht="27.6">
      <c r="A23" s="44" t="s">
        <v>192</v>
      </c>
      <c r="B23" s="44" t="s">
        <v>142</v>
      </c>
      <c r="C23" s="45" t="s">
        <v>164</v>
      </c>
      <c r="D23" s="45" t="s">
        <v>153</v>
      </c>
      <c r="E23" s="46">
        <v>0.2</v>
      </c>
      <c r="F23" s="45" t="s">
        <v>145</v>
      </c>
      <c r="G23" s="45" t="s">
        <v>153</v>
      </c>
      <c r="H23" s="45" t="s">
        <v>151</v>
      </c>
      <c r="I23" s="47" t="s">
        <v>147</v>
      </c>
      <c r="J23" s="47">
        <f>COUNTIF('Weather Log'!$D$7:$D$206,A23)</f>
        <v>0</v>
      </c>
      <c r="K23" s="47" t="str">
        <f t="shared" si="0"/>
        <v>UNCALIBRATED</v>
      </c>
      <c r="L23" s="44" t="s">
        <v>193</v>
      </c>
      <c r="M23" s="44" t="s">
        <v>149</v>
      </c>
      <c r="N23" s="44"/>
      <c r="O23" s="44"/>
    </row>
    <row r="24" spans="1:15" ht="27.6">
      <c r="A24" s="44" t="s">
        <v>194</v>
      </c>
      <c r="B24" s="44" t="s">
        <v>142</v>
      </c>
      <c r="C24" s="45" t="s">
        <v>156</v>
      </c>
      <c r="D24" s="45" t="s">
        <v>151</v>
      </c>
      <c r="E24" s="46">
        <v>0.05</v>
      </c>
      <c r="F24" s="45" t="s">
        <v>174</v>
      </c>
      <c r="G24" s="45" t="s">
        <v>151</v>
      </c>
      <c r="H24" s="45" t="s">
        <v>161</v>
      </c>
      <c r="I24" s="47" t="s">
        <v>147</v>
      </c>
      <c r="J24" s="47">
        <f>COUNTIF('Weather Log'!$D$7:$D$206,A24)</f>
        <v>0</v>
      </c>
      <c r="K24" s="47" t="str">
        <f t="shared" si="0"/>
        <v>UNCALIBRATED</v>
      </c>
      <c r="L24" s="44" t="s">
        <v>195</v>
      </c>
      <c r="M24" s="44" t="s">
        <v>149</v>
      </c>
      <c r="N24" s="44"/>
      <c r="O24" s="44"/>
    </row>
    <row r="25" spans="1:15" ht="27.6">
      <c r="A25" s="44" t="s">
        <v>196</v>
      </c>
      <c r="B25" s="44" t="s">
        <v>142</v>
      </c>
      <c r="C25" s="45" t="s">
        <v>161</v>
      </c>
      <c r="D25" s="45" t="s">
        <v>152</v>
      </c>
      <c r="E25" s="46">
        <v>0.12</v>
      </c>
      <c r="F25" s="45" t="s">
        <v>145</v>
      </c>
      <c r="G25" s="45" t="s">
        <v>152</v>
      </c>
      <c r="H25" s="45" t="s">
        <v>173</v>
      </c>
      <c r="I25" s="47" t="s">
        <v>147</v>
      </c>
      <c r="J25" s="47">
        <f>COUNTIF('Weather Log'!$D$7:$D$206,A25)</f>
        <v>0</v>
      </c>
      <c r="K25" s="47" t="str">
        <f t="shared" si="0"/>
        <v>UNCALIBRATED</v>
      </c>
      <c r="L25" s="44" t="s">
        <v>197</v>
      </c>
      <c r="M25" s="44" t="s">
        <v>149</v>
      </c>
      <c r="N25" s="44"/>
      <c r="O25" s="44"/>
    </row>
    <row r="26" spans="1:15" ht="27.6">
      <c r="A26" s="44" t="s">
        <v>198</v>
      </c>
      <c r="B26" s="44" t="s">
        <v>199</v>
      </c>
      <c r="C26" s="45" t="s">
        <v>164</v>
      </c>
      <c r="D26" s="45" t="s">
        <v>165</v>
      </c>
      <c r="E26" s="46">
        <v>0.02</v>
      </c>
      <c r="F26" s="45" t="s">
        <v>200</v>
      </c>
      <c r="G26" s="45" t="s">
        <v>165</v>
      </c>
      <c r="H26" s="45" t="s">
        <v>168</v>
      </c>
      <c r="I26" s="47" t="s">
        <v>147</v>
      </c>
      <c r="J26" s="47">
        <f>COUNTIF('Weather Log'!$D$7:$D$206,A26)</f>
        <v>0</v>
      </c>
      <c r="K26" s="47" t="str">
        <f t="shared" si="0"/>
        <v>UNCALIBRATED</v>
      </c>
      <c r="L26" s="44" t="s">
        <v>201</v>
      </c>
      <c r="M26" s="44" t="s">
        <v>149</v>
      </c>
      <c r="N26" s="44"/>
      <c r="O26" s="44"/>
    </row>
    <row r="27" spans="1:15" ht="27.6">
      <c r="A27" s="44" t="s">
        <v>202</v>
      </c>
      <c r="B27" s="44" t="s">
        <v>199</v>
      </c>
      <c r="C27" s="45" t="s">
        <v>156</v>
      </c>
      <c r="D27" s="45" t="s">
        <v>168</v>
      </c>
      <c r="E27" s="46">
        <v>0.02</v>
      </c>
      <c r="F27" s="45" t="s">
        <v>143</v>
      </c>
      <c r="G27" s="45" t="s">
        <v>168</v>
      </c>
      <c r="H27" s="45" t="s">
        <v>151</v>
      </c>
      <c r="I27" s="47" t="s">
        <v>147</v>
      </c>
      <c r="J27" s="47">
        <f>COUNTIF('Weather Log'!$D$7:$D$206,A27)</f>
        <v>0</v>
      </c>
      <c r="K27" s="47" t="str">
        <f t="shared" si="0"/>
        <v>UNCALIBRATED</v>
      </c>
      <c r="L27" s="44" t="s">
        <v>203</v>
      </c>
      <c r="M27" s="44" t="s">
        <v>149</v>
      </c>
      <c r="N27" s="44"/>
      <c r="O27" s="44"/>
    </row>
    <row r="28" spans="1:15" ht="27.6">
      <c r="A28" s="44" t="s">
        <v>204</v>
      </c>
      <c r="B28" s="44" t="s">
        <v>199</v>
      </c>
      <c r="C28" s="45" t="s">
        <v>151</v>
      </c>
      <c r="D28" s="45" t="s">
        <v>205</v>
      </c>
      <c r="E28" s="46">
        <v>0.02</v>
      </c>
      <c r="F28" s="45" t="s">
        <v>144</v>
      </c>
      <c r="G28" s="45" t="s">
        <v>205</v>
      </c>
      <c r="H28" s="45" t="s">
        <v>173</v>
      </c>
      <c r="I28" s="47" t="s">
        <v>147</v>
      </c>
      <c r="J28" s="47">
        <f>COUNTIF('Weather Log'!$D$7:$D$206,A28)</f>
        <v>0</v>
      </c>
      <c r="K28" s="47" t="str">
        <f t="shared" si="0"/>
        <v>UNCALIBRATED</v>
      </c>
      <c r="L28" s="44" t="s">
        <v>206</v>
      </c>
      <c r="M28" s="44" t="s">
        <v>149</v>
      </c>
      <c r="N28" s="44"/>
      <c r="O28" s="44"/>
    </row>
    <row r="29" spans="1:15" ht="27.6">
      <c r="A29" s="44" t="s">
        <v>207</v>
      </c>
      <c r="B29" s="44" t="s">
        <v>199</v>
      </c>
      <c r="C29" s="45" t="s">
        <v>160</v>
      </c>
      <c r="D29" s="45" t="s">
        <v>205</v>
      </c>
      <c r="E29" s="46">
        <v>0.02</v>
      </c>
      <c r="F29" s="45" t="s">
        <v>157</v>
      </c>
      <c r="G29" s="45" t="s">
        <v>205</v>
      </c>
      <c r="H29" s="45" t="s">
        <v>173</v>
      </c>
      <c r="I29" s="47" t="s">
        <v>147</v>
      </c>
      <c r="J29" s="47">
        <f>COUNTIF('Weather Log'!$D$7:$D$206,A29)</f>
        <v>0</v>
      </c>
      <c r="K29" s="47" t="str">
        <f t="shared" si="0"/>
        <v>UNCALIBRATED</v>
      </c>
      <c r="L29" s="44" t="s">
        <v>208</v>
      </c>
      <c r="M29" s="44" t="s">
        <v>149</v>
      </c>
      <c r="N29" s="44"/>
      <c r="O29" s="44"/>
    </row>
    <row r="30" spans="1:15" ht="27.6">
      <c r="A30" s="44" t="s">
        <v>209</v>
      </c>
      <c r="B30" s="44" t="s">
        <v>199</v>
      </c>
      <c r="C30" s="45" t="s">
        <v>153</v>
      </c>
      <c r="D30" s="45" t="s">
        <v>146</v>
      </c>
      <c r="E30" s="46">
        <v>0.01</v>
      </c>
      <c r="F30" s="45" t="s">
        <v>145</v>
      </c>
      <c r="G30" s="45" t="s">
        <v>146</v>
      </c>
      <c r="H30" s="45" t="s">
        <v>210</v>
      </c>
      <c r="I30" s="47" t="s">
        <v>147</v>
      </c>
      <c r="J30" s="47">
        <f>COUNTIF('Weather Log'!$D$7:$D$206,A30)</f>
        <v>0</v>
      </c>
      <c r="K30" s="47" t="str">
        <f t="shared" si="0"/>
        <v>UNCALIBRATED</v>
      </c>
      <c r="L30" s="44" t="s">
        <v>211</v>
      </c>
      <c r="M30" s="44" t="s">
        <v>149</v>
      </c>
      <c r="N30" s="44"/>
      <c r="O30" s="44"/>
    </row>
    <row r="31" spans="1:15" ht="27.6">
      <c r="A31" s="44" t="s">
        <v>212</v>
      </c>
      <c r="B31" s="44" t="s">
        <v>199</v>
      </c>
      <c r="C31" s="45" t="s">
        <v>161</v>
      </c>
      <c r="D31" s="45" t="s">
        <v>173</v>
      </c>
      <c r="E31" s="46">
        <v>0.05</v>
      </c>
      <c r="F31" s="45" t="s">
        <v>157</v>
      </c>
      <c r="G31" s="45" t="s">
        <v>173</v>
      </c>
      <c r="H31" s="45" t="s">
        <v>168</v>
      </c>
      <c r="I31" s="47" t="s">
        <v>147</v>
      </c>
      <c r="J31" s="47">
        <f>COUNTIF('Weather Log'!$D$7:$D$206,A31)</f>
        <v>0</v>
      </c>
      <c r="K31" s="47" t="str">
        <f t="shared" si="0"/>
        <v>UNCALIBRATED</v>
      </c>
      <c r="L31" s="44" t="s">
        <v>213</v>
      </c>
      <c r="M31" s="44" t="s">
        <v>149</v>
      </c>
      <c r="N31" s="44"/>
      <c r="O31" s="44"/>
    </row>
    <row r="32" spans="1:15" ht="27.6">
      <c r="A32" s="44" t="s">
        <v>214</v>
      </c>
      <c r="B32" s="44" t="s">
        <v>199</v>
      </c>
      <c r="C32" s="45" t="s">
        <v>151</v>
      </c>
      <c r="D32" s="45" t="s">
        <v>210</v>
      </c>
      <c r="E32" s="46">
        <v>0.04</v>
      </c>
      <c r="F32" s="45" t="s">
        <v>145</v>
      </c>
      <c r="G32" s="45" t="s">
        <v>210</v>
      </c>
      <c r="H32" s="45" t="s">
        <v>153</v>
      </c>
      <c r="I32" s="47" t="s">
        <v>147</v>
      </c>
      <c r="J32" s="47">
        <f>COUNTIF('Weather Log'!$D$7:$D$206,A32)</f>
        <v>0</v>
      </c>
      <c r="K32" s="47" t="str">
        <f t="shared" si="0"/>
        <v>UNCALIBRATED</v>
      </c>
      <c r="L32" s="44" t="s">
        <v>215</v>
      </c>
      <c r="M32" s="44" t="s">
        <v>149</v>
      </c>
      <c r="N32" s="44"/>
      <c r="O32" s="44"/>
    </row>
    <row r="33" spans="1:15" ht="27.6">
      <c r="A33" s="44" t="s">
        <v>216</v>
      </c>
      <c r="B33" s="44" t="s">
        <v>199</v>
      </c>
      <c r="C33" s="45" t="s">
        <v>168</v>
      </c>
      <c r="D33" s="45" t="s">
        <v>143</v>
      </c>
      <c r="E33" s="46">
        <v>0.02</v>
      </c>
      <c r="F33" s="45" t="s">
        <v>200</v>
      </c>
      <c r="G33" s="45" t="s">
        <v>143</v>
      </c>
      <c r="H33" s="45" t="s">
        <v>152</v>
      </c>
      <c r="I33" s="47" t="s">
        <v>147</v>
      </c>
      <c r="J33" s="47">
        <f>COUNTIF('Weather Log'!$D$7:$D$206,A33)</f>
        <v>0</v>
      </c>
      <c r="K33" s="47" t="str">
        <f t="shared" si="0"/>
        <v>UNCALIBRATED</v>
      </c>
      <c r="L33" s="44" t="s">
        <v>217</v>
      </c>
      <c r="M33" s="44" t="s">
        <v>149</v>
      </c>
      <c r="N33" s="44"/>
      <c r="O33" s="44"/>
    </row>
    <row r="34" spans="1:15" ht="27.6">
      <c r="A34" s="44" t="s">
        <v>218</v>
      </c>
      <c r="B34" s="44" t="s">
        <v>199</v>
      </c>
      <c r="C34" s="45" t="s">
        <v>164</v>
      </c>
      <c r="D34" s="45" t="s">
        <v>153</v>
      </c>
      <c r="E34" s="46">
        <v>0.02</v>
      </c>
      <c r="F34" s="45" t="s">
        <v>143</v>
      </c>
      <c r="G34" s="45" t="s">
        <v>153</v>
      </c>
      <c r="H34" s="45" t="s">
        <v>160</v>
      </c>
      <c r="I34" s="47" t="s">
        <v>147</v>
      </c>
      <c r="J34" s="47">
        <f>COUNTIF('Weather Log'!$D$7:$D$206,A34)</f>
        <v>0</v>
      </c>
      <c r="K34" s="47" t="str">
        <f t="shared" si="0"/>
        <v>UNCALIBRATED</v>
      </c>
      <c r="L34" s="44" t="s">
        <v>219</v>
      </c>
      <c r="M34" s="44" t="s">
        <v>149</v>
      </c>
      <c r="N34" s="44"/>
      <c r="O34" s="44"/>
    </row>
    <row r="35" spans="1:15" ht="27.6">
      <c r="A35" s="44" t="s">
        <v>220</v>
      </c>
      <c r="B35" s="44" t="s">
        <v>199</v>
      </c>
      <c r="C35" s="45" t="s">
        <v>151</v>
      </c>
      <c r="D35" s="45" t="s">
        <v>210</v>
      </c>
      <c r="E35" s="46">
        <v>0.05</v>
      </c>
      <c r="F35" s="45" t="s">
        <v>145</v>
      </c>
      <c r="G35" s="45" t="s">
        <v>210</v>
      </c>
      <c r="H35" s="45" t="s">
        <v>153</v>
      </c>
      <c r="I35" s="47" t="s">
        <v>147</v>
      </c>
      <c r="J35" s="47">
        <f>COUNTIF('Weather Log'!$D$7:$D$206,A35)</f>
        <v>0</v>
      </c>
      <c r="K35" s="47" t="str">
        <f t="shared" si="0"/>
        <v>UNCALIBRATED</v>
      </c>
      <c r="L35" s="44" t="s">
        <v>221</v>
      </c>
      <c r="M35" s="44" t="s">
        <v>149</v>
      </c>
      <c r="N35" s="44"/>
      <c r="O35" s="44"/>
    </row>
    <row r="36" spans="1:15" ht="27.6">
      <c r="A36" s="44" t="s">
        <v>222</v>
      </c>
      <c r="B36" s="44" t="s">
        <v>199</v>
      </c>
      <c r="C36" s="45" t="s">
        <v>164</v>
      </c>
      <c r="D36" s="45" t="s">
        <v>168</v>
      </c>
      <c r="E36" s="46">
        <v>0.05</v>
      </c>
      <c r="F36" s="45" t="s">
        <v>174</v>
      </c>
      <c r="G36" s="45" t="s">
        <v>168</v>
      </c>
      <c r="H36" s="45" t="s">
        <v>151</v>
      </c>
      <c r="I36" s="47" t="s">
        <v>147</v>
      </c>
      <c r="J36" s="47">
        <f>COUNTIF('Weather Log'!$D$7:$D$206,A36)</f>
        <v>0</v>
      </c>
      <c r="K36" s="47" t="str">
        <f t="shared" si="0"/>
        <v>UNCALIBRATED</v>
      </c>
      <c r="L36" s="44" t="s">
        <v>223</v>
      </c>
      <c r="M36" s="44" t="s">
        <v>149</v>
      </c>
      <c r="N36" s="44"/>
      <c r="O36" s="44"/>
    </row>
    <row r="37" spans="1:15" ht="27.6">
      <c r="A37" s="44" t="s">
        <v>224</v>
      </c>
      <c r="B37" s="44" t="s">
        <v>199</v>
      </c>
      <c r="C37" s="45" t="s">
        <v>157</v>
      </c>
      <c r="D37" s="45" t="s">
        <v>145</v>
      </c>
      <c r="E37" s="46">
        <v>0</v>
      </c>
      <c r="F37" s="45" t="s">
        <v>174</v>
      </c>
      <c r="G37" s="45" t="s">
        <v>145</v>
      </c>
      <c r="H37" s="45" t="s">
        <v>225</v>
      </c>
      <c r="I37" s="47" t="s">
        <v>147</v>
      </c>
      <c r="J37" s="47">
        <f>COUNTIF('Weather Log'!$D$7:$D$206,A37)</f>
        <v>0</v>
      </c>
      <c r="K37" s="47" t="str">
        <f t="shared" si="0"/>
        <v>UNCALIBRATED</v>
      </c>
      <c r="L37" s="44" t="s">
        <v>226</v>
      </c>
      <c r="M37" s="44" t="s">
        <v>149</v>
      </c>
      <c r="N37" s="44"/>
      <c r="O37" s="44"/>
    </row>
    <row r="38" spans="1:15" ht="27.6">
      <c r="A38" s="44" t="s">
        <v>227</v>
      </c>
      <c r="B38" s="44" t="s">
        <v>199</v>
      </c>
      <c r="C38" s="45" t="s">
        <v>145</v>
      </c>
      <c r="D38" s="45" t="s">
        <v>228</v>
      </c>
      <c r="E38" s="46">
        <v>0</v>
      </c>
      <c r="F38" s="45" t="s">
        <v>229</v>
      </c>
      <c r="G38" s="45" t="s">
        <v>228</v>
      </c>
      <c r="H38" s="45" t="s">
        <v>200</v>
      </c>
      <c r="I38" s="47" t="s">
        <v>147</v>
      </c>
      <c r="J38" s="47">
        <f>COUNTIF('Weather Log'!$D$7:$D$206,A38)</f>
        <v>0</v>
      </c>
      <c r="K38" s="47" t="str">
        <f t="shared" si="0"/>
        <v>UNCALIBRATED</v>
      </c>
      <c r="L38" s="44" t="s">
        <v>230</v>
      </c>
      <c r="M38" s="44" t="s">
        <v>149</v>
      </c>
      <c r="N38" s="44"/>
      <c r="O38" s="44"/>
    </row>
    <row r="39" spans="1:15" ht="27.6">
      <c r="A39" s="44" t="s">
        <v>231</v>
      </c>
      <c r="B39" s="44" t="s">
        <v>199</v>
      </c>
      <c r="C39" s="45" t="s">
        <v>145</v>
      </c>
      <c r="D39" s="45" t="s">
        <v>145</v>
      </c>
      <c r="E39" s="46">
        <v>0</v>
      </c>
      <c r="F39" s="45" t="s">
        <v>229</v>
      </c>
      <c r="G39" s="45" t="s">
        <v>145</v>
      </c>
      <c r="H39" s="45" t="s">
        <v>225</v>
      </c>
      <c r="I39" s="47" t="s">
        <v>147</v>
      </c>
      <c r="J39" s="47">
        <f>COUNTIF('Weather Log'!$D$7:$D$206,A39)</f>
        <v>0</v>
      </c>
      <c r="K39" s="47" t="str">
        <f t="shared" si="0"/>
        <v>UNCALIBRATED</v>
      </c>
      <c r="L39" s="44" t="s">
        <v>232</v>
      </c>
      <c r="M39" s="44" t="s">
        <v>149</v>
      </c>
      <c r="N39" s="44"/>
      <c r="O39" s="44"/>
    </row>
    <row r="40" spans="1:15" ht="27.6">
      <c r="A40" s="44" t="s">
        <v>233</v>
      </c>
      <c r="B40" s="44" t="s">
        <v>199</v>
      </c>
      <c r="C40" s="45" t="s">
        <v>145</v>
      </c>
      <c r="D40" s="45" t="s">
        <v>234</v>
      </c>
      <c r="E40" s="46">
        <v>0</v>
      </c>
      <c r="F40" s="45" t="s">
        <v>229</v>
      </c>
      <c r="G40" s="45" t="s">
        <v>234</v>
      </c>
      <c r="H40" s="45" t="s">
        <v>225</v>
      </c>
      <c r="I40" s="47" t="s">
        <v>147</v>
      </c>
      <c r="J40" s="47">
        <f>COUNTIF('Weather Log'!$D$7:$D$206,A40)</f>
        <v>0</v>
      </c>
      <c r="K40" s="47" t="str">
        <f t="shared" si="0"/>
        <v>UNCALIBRATED</v>
      </c>
      <c r="L40" s="44" t="s">
        <v>235</v>
      </c>
      <c r="M40" s="44" t="s">
        <v>149</v>
      </c>
      <c r="N40" s="44"/>
      <c r="O40" s="44"/>
    </row>
    <row r="41" spans="1:15" ht="27.6">
      <c r="A41" s="44" t="s">
        <v>236</v>
      </c>
      <c r="B41" s="44" t="s">
        <v>199</v>
      </c>
      <c r="C41" s="45" t="s">
        <v>145</v>
      </c>
      <c r="D41" s="45" t="s">
        <v>228</v>
      </c>
      <c r="E41" s="46">
        <v>0</v>
      </c>
      <c r="F41" s="45" t="s">
        <v>229</v>
      </c>
      <c r="G41" s="45" t="s">
        <v>228</v>
      </c>
      <c r="H41" s="45" t="s">
        <v>200</v>
      </c>
      <c r="I41" s="47" t="s">
        <v>147</v>
      </c>
      <c r="J41" s="47">
        <f>COUNTIF('Weather Log'!$D$7:$D$206,A41)</f>
        <v>0</v>
      </c>
      <c r="K41" s="47" t="str">
        <f t="shared" si="0"/>
        <v>UNCALIBRATED</v>
      </c>
      <c r="L41" s="44" t="s">
        <v>237</v>
      </c>
      <c r="M41" s="44" t="s">
        <v>149</v>
      </c>
      <c r="N41" s="44"/>
      <c r="O41" s="44"/>
    </row>
    <row r="42" spans="1:15" ht="27.6">
      <c r="A42" s="44" t="s">
        <v>238</v>
      </c>
      <c r="B42" s="44" t="s">
        <v>199</v>
      </c>
      <c r="C42" s="45" t="s">
        <v>157</v>
      </c>
      <c r="D42" s="45" t="s">
        <v>234</v>
      </c>
      <c r="E42" s="46">
        <v>0</v>
      </c>
      <c r="F42" s="45" t="s">
        <v>229</v>
      </c>
      <c r="G42" s="45" t="s">
        <v>234</v>
      </c>
      <c r="H42" s="45" t="s">
        <v>143</v>
      </c>
      <c r="I42" s="47" t="s">
        <v>147</v>
      </c>
      <c r="J42" s="47">
        <f>COUNTIF('Weather Log'!$D$7:$D$206,A42)</f>
        <v>0</v>
      </c>
      <c r="K42" s="47" t="str">
        <f t="shared" si="0"/>
        <v>UNCALIBRATED</v>
      </c>
      <c r="L42" s="44" t="s">
        <v>239</v>
      </c>
      <c r="M42" s="44" t="s">
        <v>149</v>
      </c>
      <c r="N42" s="44"/>
      <c r="O42" s="44"/>
    </row>
    <row r="43" spans="1:15" ht="27.6">
      <c r="A43" s="44" t="s">
        <v>240</v>
      </c>
      <c r="B43" s="44" t="s">
        <v>199</v>
      </c>
      <c r="C43" s="45" t="s">
        <v>145</v>
      </c>
      <c r="D43" s="45" t="s">
        <v>145</v>
      </c>
      <c r="E43" s="46">
        <v>0</v>
      </c>
      <c r="F43" s="45" t="s">
        <v>229</v>
      </c>
      <c r="G43" s="45" t="s">
        <v>145</v>
      </c>
      <c r="H43" s="45" t="s">
        <v>200</v>
      </c>
      <c r="I43" s="47" t="s">
        <v>147</v>
      </c>
      <c r="J43" s="47">
        <f>COUNTIF('Weather Log'!$D$7:$D$206,A43)</f>
        <v>0</v>
      </c>
      <c r="K43" s="47" t="str">
        <f t="shared" si="0"/>
        <v>UNCALIBRATED</v>
      </c>
      <c r="L43" s="44" t="s">
        <v>241</v>
      </c>
      <c r="M43" s="44" t="s">
        <v>149</v>
      </c>
      <c r="N43" s="44"/>
      <c r="O43" s="44"/>
    </row>
    <row r="44" spans="1:15" ht="27.6">
      <c r="A44" s="44" t="s">
        <v>242</v>
      </c>
      <c r="B44" s="44" t="s">
        <v>199</v>
      </c>
      <c r="C44" s="45" t="s">
        <v>157</v>
      </c>
      <c r="D44" s="45" t="s">
        <v>145</v>
      </c>
      <c r="E44" s="46">
        <v>0</v>
      </c>
      <c r="F44" s="45" t="s">
        <v>243</v>
      </c>
      <c r="G44" s="45" t="s">
        <v>145</v>
      </c>
      <c r="H44" s="45" t="s">
        <v>225</v>
      </c>
      <c r="I44" s="47" t="s">
        <v>147</v>
      </c>
      <c r="J44" s="47">
        <f>COUNTIF('Weather Log'!$D$7:$D$206,A44)</f>
        <v>0</v>
      </c>
      <c r="K44" s="47" t="str">
        <f t="shared" si="0"/>
        <v>UNCALIBRATED</v>
      </c>
      <c r="L44" s="44" t="s">
        <v>244</v>
      </c>
      <c r="M44" s="44" t="s">
        <v>149</v>
      </c>
      <c r="N44" s="44"/>
      <c r="O44" s="44"/>
    </row>
    <row r="45" spans="1:15" ht="27.6">
      <c r="A45" s="44" t="s">
        <v>245</v>
      </c>
      <c r="B45" s="44" t="s">
        <v>199</v>
      </c>
      <c r="C45" s="45" t="s">
        <v>145</v>
      </c>
      <c r="D45" s="45" t="s">
        <v>228</v>
      </c>
      <c r="E45" s="46">
        <v>0</v>
      </c>
      <c r="F45" s="45" t="s">
        <v>229</v>
      </c>
      <c r="G45" s="45" t="s">
        <v>228</v>
      </c>
      <c r="H45" s="45" t="s">
        <v>144</v>
      </c>
      <c r="I45" s="47" t="s">
        <v>147</v>
      </c>
      <c r="J45" s="47">
        <f>COUNTIF('Weather Log'!$D$7:$D$206,A45)</f>
        <v>0</v>
      </c>
      <c r="K45" s="47" t="str">
        <f t="shared" si="0"/>
        <v>UNCALIBRATED</v>
      </c>
      <c r="L45" s="44" t="s">
        <v>246</v>
      </c>
      <c r="M45" s="44" t="s">
        <v>149</v>
      </c>
      <c r="N45" s="44"/>
      <c r="O45" s="44"/>
    </row>
  </sheetData>
  <mergeCells count="2">
    <mergeCell ref="A1:O1"/>
    <mergeCell ref="A3:O5"/>
  </mergeCells>
  <conditionalFormatting sqref="I7:K45">
    <cfRule type="containsText" dxfId="31" priority="1" operator="containsText" text="GREEN"/>
    <cfRule type="containsText" dxfId="30" priority="2" operator="containsText" text="AMBER"/>
    <cfRule type="containsText" dxfId="29" priority="3" operator="containsText" text="RED"/>
    <cfRule type="containsText" dxfId="28" priority="4" operator="containsText" text="UNCALIBRATED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6"/>
  <sheetViews>
    <sheetView showGridLines="0" workbookViewId="0">
      <selection sqref="A1:J1"/>
    </sheetView>
  </sheetViews>
  <sheetFormatPr defaultRowHeight="13.8"/>
  <cols>
    <col min="1" max="1" width="20" customWidth="1"/>
    <col min="2" max="3" width="10" customWidth="1"/>
    <col min="4" max="8" width="17" customWidth="1"/>
    <col min="9" max="9" width="14" customWidth="1"/>
    <col min="10" max="10" width="26" customWidth="1"/>
  </cols>
  <sheetData>
    <row r="1" spans="1:10" ht="25.95" customHeight="1">
      <c r="A1" s="88" t="s">
        <v>247</v>
      </c>
      <c r="B1" s="89" t="s">
        <v>247</v>
      </c>
      <c r="C1" s="89" t="s">
        <v>247</v>
      </c>
      <c r="D1" s="89" t="s">
        <v>247</v>
      </c>
      <c r="E1" s="89" t="s">
        <v>247</v>
      </c>
      <c r="F1" s="89" t="s">
        <v>247</v>
      </c>
      <c r="G1" s="89" t="s">
        <v>247</v>
      </c>
      <c r="H1" s="89" t="s">
        <v>247</v>
      </c>
      <c r="I1" s="89" t="s">
        <v>247</v>
      </c>
      <c r="J1" s="89" t="s">
        <v>247</v>
      </c>
    </row>
    <row r="2" spans="1:10" ht="14.4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12" t="s">
        <v>248</v>
      </c>
      <c r="B3" s="112"/>
      <c r="C3" s="112"/>
      <c r="D3" s="112"/>
      <c r="E3" s="112"/>
      <c r="F3" s="112"/>
      <c r="G3" s="112"/>
      <c r="H3" s="112"/>
      <c r="I3" s="112"/>
      <c r="J3" s="112"/>
    </row>
    <row r="4" spans="1:10">
      <c r="A4" s="112"/>
      <c r="B4" s="112"/>
      <c r="C4" s="112"/>
      <c r="D4" s="112"/>
      <c r="E4" s="112"/>
      <c r="F4" s="112"/>
      <c r="G4" s="112"/>
      <c r="H4" s="112"/>
      <c r="I4" s="112"/>
      <c r="J4" s="112"/>
    </row>
    <row r="5" spans="1:10" ht="14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7.6">
      <c r="A6" s="29" t="s">
        <v>249</v>
      </c>
      <c r="B6" s="29" t="s">
        <v>250</v>
      </c>
      <c r="C6" s="29" t="s">
        <v>50</v>
      </c>
      <c r="D6" s="29" t="s">
        <v>251</v>
      </c>
      <c r="E6" s="29" t="s">
        <v>252</v>
      </c>
      <c r="F6" s="29" t="s">
        <v>253</v>
      </c>
      <c r="G6" s="29" t="s">
        <v>254</v>
      </c>
      <c r="H6" s="29" t="s">
        <v>255</v>
      </c>
      <c r="I6" s="29" t="s">
        <v>256</v>
      </c>
      <c r="J6" s="29" t="s">
        <v>257</v>
      </c>
    </row>
    <row r="7" spans="1:10" ht="14.4">
      <c r="A7" s="48" t="s">
        <v>258</v>
      </c>
      <c r="B7" s="48">
        <v>1</v>
      </c>
      <c r="C7" s="48" t="s">
        <v>55</v>
      </c>
      <c r="D7" s="49">
        <v>6.1363636363636367</v>
      </c>
      <c r="E7" s="49">
        <v>75</v>
      </c>
      <c r="F7" s="49">
        <v>31</v>
      </c>
      <c r="G7" s="50">
        <f t="shared" ref="G7:G70" si="0">IFERROR(D7/F7,0)</f>
        <v>0.19794721407624635</v>
      </c>
      <c r="H7" s="51">
        <f t="shared" ref="H7:H70" si="1">IFERROR(E7/D7,0)</f>
        <v>12.222222222222221</v>
      </c>
      <c r="I7" s="48" t="s">
        <v>259</v>
      </c>
      <c r="J7" s="47" t="s">
        <v>260</v>
      </c>
    </row>
    <row r="8" spans="1:10" ht="14.4">
      <c r="A8" s="48" t="s">
        <v>258</v>
      </c>
      <c r="B8" s="48">
        <v>2</v>
      </c>
      <c r="C8" s="48" t="s">
        <v>58</v>
      </c>
      <c r="D8" s="49">
        <v>6.5</v>
      </c>
      <c r="E8" s="49">
        <v>86</v>
      </c>
      <c r="F8" s="49">
        <v>28.266666666666666</v>
      </c>
      <c r="G8" s="50">
        <f t="shared" si="0"/>
        <v>0.22995283018867926</v>
      </c>
      <c r="H8" s="51">
        <f t="shared" si="1"/>
        <v>13.23076923076923</v>
      </c>
      <c r="I8" s="48" t="s">
        <v>259</v>
      </c>
      <c r="J8" s="47" t="s">
        <v>260</v>
      </c>
    </row>
    <row r="9" spans="1:10" ht="14.4">
      <c r="A9" s="48" t="s">
        <v>258</v>
      </c>
      <c r="B9" s="48">
        <v>3</v>
      </c>
      <c r="C9" s="48" t="s">
        <v>60</v>
      </c>
      <c r="D9" s="49">
        <v>7.5909090909090908</v>
      </c>
      <c r="E9" s="49">
        <v>84.7</v>
      </c>
      <c r="F9" s="49">
        <v>31</v>
      </c>
      <c r="G9" s="50">
        <f t="shared" si="0"/>
        <v>0.24486803519061584</v>
      </c>
      <c r="H9" s="51">
        <f t="shared" si="1"/>
        <v>11.158083832335329</v>
      </c>
      <c r="I9" s="48" t="s">
        <v>259</v>
      </c>
      <c r="J9" s="47" t="s">
        <v>260</v>
      </c>
    </row>
    <row r="10" spans="1:10" ht="14.4">
      <c r="A10" s="48" t="s">
        <v>258</v>
      </c>
      <c r="B10" s="48">
        <v>4</v>
      </c>
      <c r="C10" s="48" t="s">
        <v>62</v>
      </c>
      <c r="D10" s="49">
        <v>10.090909090909092</v>
      </c>
      <c r="E10" s="49">
        <v>98.8</v>
      </c>
      <c r="F10" s="49">
        <v>30</v>
      </c>
      <c r="G10" s="50">
        <f t="shared" si="0"/>
        <v>0.33636363636363636</v>
      </c>
      <c r="H10" s="51">
        <f t="shared" si="1"/>
        <v>9.7909909909909896</v>
      </c>
      <c r="I10" s="48" t="s">
        <v>259</v>
      </c>
      <c r="J10" s="47" t="s">
        <v>260</v>
      </c>
    </row>
    <row r="11" spans="1:10" ht="14.4">
      <c r="A11" s="48" t="s">
        <v>258</v>
      </c>
      <c r="B11" s="48">
        <v>5</v>
      </c>
      <c r="C11" s="48" t="s">
        <v>65</v>
      </c>
      <c r="D11" s="49">
        <v>13.227272727272727</v>
      </c>
      <c r="E11" s="49">
        <v>130.5</v>
      </c>
      <c r="F11" s="49">
        <v>31</v>
      </c>
      <c r="G11" s="50">
        <f t="shared" si="0"/>
        <v>0.42668621700879761</v>
      </c>
      <c r="H11" s="51">
        <f t="shared" si="1"/>
        <v>9.8659793814432994</v>
      </c>
      <c r="I11" s="48" t="s">
        <v>259</v>
      </c>
      <c r="J11" s="47" t="s">
        <v>260</v>
      </c>
    </row>
    <row r="12" spans="1:10" ht="14.4">
      <c r="A12" s="48" t="s">
        <v>258</v>
      </c>
      <c r="B12" s="48">
        <v>6</v>
      </c>
      <c r="C12" s="48" t="s">
        <v>68</v>
      </c>
      <c r="D12" s="49">
        <v>14.681818181818182</v>
      </c>
      <c r="E12" s="49">
        <v>149.9</v>
      </c>
      <c r="F12" s="49">
        <v>30</v>
      </c>
      <c r="G12" s="50">
        <f t="shared" si="0"/>
        <v>0.48939393939393938</v>
      </c>
      <c r="H12" s="51">
        <f t="shared" si="1"/>
        <v>10.209907120743035</v>
      </c>
      <c r="I12" s="48" t="s">
        <v>259</v>
      </c>
      <c r="J12" s="47" t="s">
        <v>260</v>
      </c>
    </row>
    <row r="13" spans="1:10" ht="14.4">
      <c r="A13" s="48" t="s">
        <v>258</v>
      </c>
      <c r="B13" s="48">
        <v>7</v>
      </c>
      <c r="C13" s="48" t="s">
        <v>69</v>
      </c>
      <c r="D13" s="49">
        <v>15.863636363636363</v>
      </c>
      <c r="E13" s="49">
        <v>168.1</v>
      </c>
      <c r="F13" s="49">
        <v>31</v>
      </c>
      <c r="G13" s="50">
        <f t="shared" si="0"/>
        <v>0.51173020527859236</v>
      </c>
      <c r="H13" s="51">
        <f t="shared" si="1"/>
        <v>10.596561604584528</v>
      </c>
      <c r="I13" s="48" t="s">
        <v>259</v>
      </c>
      <c r="J13" s="47" t="s">
        <v>260</v>
      </c>
    </row>
    <row r="14" spans="1:10" ht="14.4">
      <c r="A14" s="48" t="s">
        <v>258</v>
      </c>
      <c r="B14" s="48">
        <v>8</v>
      </c>
      <c r="C14" s="48" t="s">
        <v>71</v>
      </c>
      <c r="D14" s="49">
        <v>15.5</v>
      </c>
      <c r="E14" s="49">
        <v>137</v>
      </c>
      <c r="F14" s="49">
        <v>31</v>
      </c>
      <c r="G14" s="50">
        <f t="shared" si="0"/>
        <v>0.5</v>
      </c>
      <c r="H14" s="51">
        <f t="shared" si="1"/>
        <v>8.8387096774193541</v>
      </c>
      <c r="I14" s="48" t="s">
        <v>259</v>
      </c>
      <c r="J14" s="47" t="s">
        <v>260</v>
      </c>
    </row>
    <row r="15" spans="1:10" ht="14.4">
      <c r="A15" s="48" t="s">
        <v>258</v>
      </c>
      <c r="B15" s="48">
        <v>9</v>
      </c>
      <c r="C15" s="48" t="s">
        <v>73</v>
      </c>
      <c r="D15" s="49">
        <v>12.772727272727273</v>
      </c>
      <c r="E15" s="49">
        <v>121.7</v>
      </c>
      <c r="F15" s="49">
        <v>30</v>
      </c>
      <c r="G15" s="50">
        <f t="shared" si="0"/>
        <v>0.42575757575757578</v>
      </c>
      <c r="H15" s="51">
        <f t="shared" si="1"/>
        <v>9.5281138790035591</v>
      </c>
      <c r="I15" s="48" t="s">
        <v>259</v>
      </c>
      <c r="J15" s="47" t="s">
        <v>260</v>
      </c>
    </row>
    <row r="16" spans="1:10" ht="14.4">
      <c r="A16" s="48" t="s">
        <v>258</v>
      </c>
      <c r="B16" s="48">
        <v>10</v>
      </c>
      <c r="C16" s="48" t="s">
        <v>75</v>
      </c>
      <c r="D16" s="49">
        <v>10.363636363636363</v>
      </c>
      <c r="E16" s="49">
        <v>90.4</v>
      </c>
      <c r="F16" s="49">
        <v>31</v>
      </c>
      <c r="G16" s="50">
        <f t="shared" si="0"/>
        <v>0.33431085043988268</v>
      </c>
      <c r="H16" s="51">
        <f t="shared" si="1"/>
        <v>8.722807017543861</v>
      </c>
      <c r="I16" s="48" t="s">
        <v>259</v>
      </c>
      <c r="J16" s="47" t="s">
        <v>260</v>
      </c>
    </row>
    <row r="17" spans="1:10" ht="14.4">
      <c r="A17" s="48" t="s">
        <v>258</v>
      </c>
      <c r="B17" s="48">
        <v>11</v>
      </c>
      <c r="C17" s="48" t="s">
        <v>76</v>
      </c>
      <c r="D17" s="49">
        <v>9.2272727272727266</v>
      </c>
      <c r="E17" s="49">
        <v>76.3</v>
      </c>
      <c r="F17" s="49">
        <v>30</v>
      </c>
      <c r="G17" s="50">
        <f t="shared" si="0"/>
        <v>0.30757575757575756</v>
      </c>
      <c r="H17" s="51">
        <f t="shared" si="1"/>
        <v>8.2689655172413801</v>
      </c>
      <c r="I17" s="48" t="s">
        <v>259</v>
      </c>
      <c r="J17" s="47" t="s">
        <v>260</v>
      </c>
    </row>
    <row r="18" spans="1:10" ht="14.4">
      <c r="A18" s="48" t="s">
        <v>258</v>
      </c>
      <c r="B18" s="48">
        <v>12</v>
      </c>
      <c r="C18" s="48" t="s">
        <v>77</v>
      </c>
      <c r="D18" s="49">
        <v>9.8636363636363633</v>
      </c>
      <c r="E18" s="49">
        <v>101.6</v>
      </c>
      <c r="F18" s="49">
        <v>31</v>
      </c>
      <c r="G18" s="50">
        <f t="shared" si="0"/>
        <v>0.31818181818181818</v>
      </c>
      <c r="H18" s="51">
        <f t="shared" si="1"/>
        <v>10.300460829493087</v>
      </c>
      <c r="I18" s="48" t="s">
        <v>259</v>
      </c>
      <c r="J18" s="47" t="s">
        <v>260</v>
      </c>
    </row>
    <row r="19" spans="1:10" ht="14.4">
      <c r="A19" s="48" t="s">
        <v>261</v>
      </c>
      <c r="B19" s="48">
        <v>1</v>
      </c>
      <c r="C19" s="48" t="s">
        <v>55</v>
      </c>
      <c r="D19" s="49">
        <v>6.931034482758621</v>
      </c>
      <c r="E19" s="49">
        <v>78</v>
      </c>
      <c r="F19" s="49">
        <v>31</v>
      </c>
      <c r="G19" s="50">
        <f t="shared" si="0"/>
        <v>0.22358175750834261</v>
      </c>
      <c r="H19" s="51">
        <f t="shared" si="1"/>
        <v>11.253731343283581</v>
      </c>
      <c r="I19" s="48" t="s">
        <v>259</v>
      </c>
      <c r="J19" s="47" t="s">
        <v>260</v>
      </c>
    </row>
    <row r="20" spans="1:10" ht="14.4">
      <c r="A20" s="48" t="s">
        <v>261</v>
      </c>
      <c r="B20" s="48">
        <v>2</v>
      </c>
      <c r="C20" s="48" t="s">
        <v>58</v>
      </c>
      <c r="D20" s="49">
        <v>7.2758620689655169</v>
      </c>
      <c r="E20" s="49">
        <v>83.2</v>
      </c>
      <c r="F20" s="49">
        <v>28.266666666666666</v>
      </c>
      <c r="G20" s="50">
        <f t="shared" si="0"/>
        <v>0.25740078074170464</v>
      </c>
      <c r="H20" s="51">
        <f t="shared" si="1"/>
        <v>11.435071090047394</v>
      </c>
      <c r="I20" s="48" t="s">
        <v>259</v>
      </c>
      <c r="J20" s="47" t="s">
        <v>260</v>
      </c>
    </row>
    <row r="21" spans="1:10" ht="14.4">
      <c r="A21" s="48" t="s">
        <v>261</v>
      </c>
      <c r="B21" s="48">
        <v>3</v>
      </c>
      <c r="C21" s="48" t="s">
        <v>60</v>
      </c>
      <c r="D21" s="49">
        <v>9</v>
      </c>
      <c r="E21" s="49">
        <v>119.2</v>
      </c>
      <c r="F21" s="49">
        <v>31</v>
      </c>
      <c r="G21" s="50">
        <f t="shared" si="0"/>
        <v>0.29032258064516131</v>
      </c>
      <c r="H21" s="51">
        <f t="shared" si="1"/>
        <v>13.244444444444445</v>
      </c>
      <c r="I21" s="48" t="s">
        <v>259</v>
      </c>
      <c r="J21" s="47" t="s">
        <v>260</v>
      </c>
    </row>
    <row r="22" spans="1:10" ht="14.4">
      <c r="A22" s="48" t="s">
        <v>261</v>
      </c>
      <c r="B22" s="48">
        <v>4</v>
      </c>
      <c r="C22" s="48" t="s">
        <v>62</v>
      </c>
      <c r="D22" s="49">
        <v>9.7037037037037042</v>
      </c>
      <c r="E22" s="49">
        <v>94.1</v>
      </c>
      <c r="F22" s="49">
        <v>30</v>
      </c>
      <c r="G22" s="50">
        <f t="shared" si="0"/>
        <v>0.32345679012345679</v>
      </c>
      <c r="H22" s="51">
        <f t="shared" si="1"/>
        <v>9.697328244274809</v>
      </c>
      <c r="I22" s="48" t="s">
        <v>259</v>
      </c>
      <c r="J22" s="47" t="s">
        <v>260</v>
      </c>
    </row>
    <row r="23" spans="1:10" ht="14.4">
      <c r="A23" s="48" t="s">
        <v>261</v>
      </c>
      <c r="B23" s="48">
        <v>5</v>
      </c>
      <c r="C23" s="48" t="s">
        <v>65</v>
      </c>
      <c r="D23" s="49">
        <v>13.071428571428571</v>
      </c>
      <c r="E23" s="49">
        <v>112.9</v>
      </c>
      <c r="F23" s="49">
        <v>31</v>
      </c>
      <c r="G23" s="50">
        <f t="shared" si="0"/>
        <v>0.42165898617511521</v>
      </c>
      <c r="H23" s="51">
        <f t="shared" si="1"/>
        <v>8.637158469945355</v>
      </c>
      <c r="I23" s="48" t="s">
        <v>259</v>
      </c>
      <c r="J23" s="47" t="s">
        <v>260</v>
      </c>
    </row>
    <row r="24" spans="1:10" ht="14.4">
      <c r="A24" s="48" t="s">
        <v>261</v>
      </c>
      <c r="B24" s="48">
        <v>6</v>
      </c>
      <c r="C24" s="48" t="s">
        <v>68</v>
      </c>
      <c r="D24" s="49">
        <v>14.035714285714286</v>
      </c>
      <c r="E24" s="49">
        <v>142.19999999999999</v>
      </c>
      <c r="F24" s="49">
        <v>30</v>
      </c>
      <c r="G24" s="50">
        <f t="shared" si="0"/>
        <v>0.46785714285714286</v>
      </c>
      <c r="H24" s="51">
        <f t="shared" si="1"/>
        <v>10.131297709923663</v>
      </c>
      <c r="I24" s="48" t="s">
        <v>259</v>
      </c>
      <c r="J24" s="47" t="s">
        <v>260</v>
      </c>
    </row>
    <row r="25" spans="1:10" ht="14.4">
      <c r="A25" s="48" t="s">
        <v>261</v>
      </c>
      <c r="B25" s="48">
        <v>7</v>
      </c>
      <c r="C25" s="48" t="s">
        <v>69</v>
      </c>
      <c r="D25" s="49">
        <v>15.03448275862069</v>
      </c>
      <c r="E25" s="49">
        <v>173.5</v>
      </c>
      <c r="F25" s="49">
        <v>31</v>
      </c>
      <c r="G25" s="50">
        <f t="shared" si="0"/>
        <v>0.4849833147942158</v>
      </c>
      <c r="H25" s="51">
        <f t="shared" si="1"/>
        <v>11.540137614678898</v>
      </c>
      <c r="I25" s="48" t="s">
        <v>259</v>
      </c>
      <c r="J25" s="47" t="s">
        <v>260</v>
      </c>
    </row>
    <row r="26" spans="1:10" ht="14.4">
      <c r="A26" s="48" t="s">
        <v>261</v>
      </c>
      <c r="B26" s="48">
        <v>8</v>
      </c>
      <c r="C26" s="48" t="s">
        <v>71</v>
      </c>
      <c r="D26" s="49">
        <v>15.233333333333333</v>
      </c>
      <c r="E26" s="49">
        <v>130</v>
      </c>
      <c r="F26" s="49">
        <v>31</v>
      </c>
      <c r="G26" s="50">
        <f t="shared" si="0"/>
        <v>0.49139784946236559</v>
      </c>
      <c r="H26" s="51">
        <f t="shared" si="1"/>
        <v>8.5339168490153181</v>
      </c>
      <c r="I26" s="48" t="s">
        <v>259</v>
      </c>
      <c r="J26" s="47" t="s">
        <v>260</v>
      </c>
    </row>
    <row r="27" spans="1:10" ht="14.4">
      <c r="A27" s="48" t="s">
        <v>261</v>
      </c>
      <c r="B27" s="48">
        <v>9</v>
      </c>
      <c r="C27" s="48" t="s">
        <v>73</v>
      </c>
      <c r="D27" s="49">
        <v>12.866666666666667</v>
      </c>
      <c r="E27" s="49">
        <v>112.3</v>
      </c>
      <c r="F27" s="49">
        <v>30</v>
      </c>
      <c r="G27" s="50">
        <f t="shared" si="0"/>
        <v>0.42888888888888893</v>
      </c>
      <c r="H27" s="51">
        <f t="shared" si="1"/>
        <v>8.727979274611398</v>
      </c>
      <c r="I27" s="48" t="s">
        <v>259</v>
      </c>
      <c r="J27" s="47" t="s">
        <v>260</v>
      </c>
    </row>
    <row r="28" spans="1:10" ht="14.4">
      <c r="A28" s="48" t="s">
        <v>261</v>
      </c>
      <c r="B28" s="48">
        <v>10</v>
      </c>
      <c r="C28" s="48" t="s">
        <v>75</v>
      </c>
      <c r="D28" s="49">
        <v>10.310344827586206</v>
      </c>
      <c r="E28" s="49">
        <v>76.8</v>
      </c>
      <c r="F28" s="49">
        <v>31</v>
      </c>
      <c r="G28" s="50">
        <f t="shared" si="0"/>
        <v>0.33259176863181311</v>
      </c>
      <c r="H28" s="51">
        <f t="shared" si="1"/>
        <v>7.4488294314381269</v>
      </c>
      <c r="I28" s="48" t="s">
        <v>259</v>
      </c>
      <c r="J28" s="47" t="s">
        <v>260</v>
      </c>
    </row>
    <row r="29" spans="1:10" ht="14.4">
      <c r="A29" s="48" t="s">
        <v>261</v>
      </c>
      <c r="B29" s="48">
        <v>11</v>
      </c>
      <c r="C29" s="48" t="s">
        <v>76</v>
      </c>
      <c r="D29" s="49">
        <v>9.2333333333333325</v>
      </c>
      <c r="E29" s="49">
        <v>75.900000000000006</v>
      </c>
      <c r="F29" s="49">
        <v>30</v>
      </c>
      <c r="G29" s="50">
        <f t="shared" si="0"/>
        <v>0.30777777777777776</v>
      </c>
      <c r="H29" s="51">
        <f t="shared" si="1"/>
        <v>8.2202166064981963</v>
      </c>
      <c r="I29" s="48" t="s">
        <v>259</v>
      </c>
      <c r="J29" s="47" t="s">
        <v>260</v>
      </c>
    </row>
    <row r="30" spans="1:10" ht="14.4">
      <c r="A30" s="48" t="s">
        <v>261</v>
      </c>
      <c r="B30" s="48">
        <v>12</v>
      </c>
      <c r="C30" s="48" t="s">
        <v>77</v>
      </c>
      <c r="D30" s="49">
        <v>8.7931034482758612</v>
      </c>
      <c r="E30" s="49">
        <v>90.9</v>
      </c>
      <c r="F30" s="49">
        <v>31</v>
      </c>
      <c r="G30" s="50">
        <f t="shared" si="0"/>
        <v>0.28364849833147937</v>
      </c>
      <c r="H30" s="51">
        <f t="shared" si="1"/>
        <v>10.337647058823531</v>
      </c>
      <c r="I30" s="48" t="s">
        <v>259</v>
      </c>
      <c r="J30" s="47" t="s">
        <v>260</v>
      </c>
    </row>
    <row r="31" spans="1:10" ht="14.4">
      <c r="A31" s="48" t="s">
        <v>5</v>
      </c>
      <c r="B31" s="48">
        <v>1</v>
      </c>
      <c r="C31" s="48" t="s">
        <v>55</v>
      </c>
      <c r="D31" s="49">
        <v>6.7586206896551726</v>
      </c>
      <c r="E31" s="49">
        <v>58.1</v>
      </c>
      <c r="F31" s="49">
        <v>31</v>
      </c>
      <c r="G31" s="50">
        <f t="shared" si="0"/>
        <v>0.21802002224694106</v>
      </c>
      <c r="H31" s="51">
        <f t="shared" si="1"/>
        <v>8.5964285714285715</v>
      </c>
      <c r="I31" s="48" t="s">
        <v>259</v>
      </c>
      <c r="J31" s="47" t="s">
        <v>260</v>
      </c>
    </row>
    <row r="32" spans="1:10" ht="14.4">
      <c r="A32" s="48" t="s">
        <v>5</v>
      </c>
      <c r="B32" s="48">
        <v>2</v>
      </c>
      <c r="C32" s="48" t="s">
        <v>58</v>
      </c>
      <c r="D32" s="49">
        <v>6.5172413793103452</v>
      </c>
      <c r="E32" s="49">
        <v>63.1</v>
      </c>
      <c r="F32" s="49">
        <v>28.266666666666666</v>
      </c>
      <c r="G32" s="50">
        <f t="shared" si="0"/>
        <v>0.23056278464541316</v>
      </c>
      <c r="H32" s="51">
        <f t="shared" si="1"/>
        <v>9.682010582010582</v>
      </c>
      <c r="I32" s="48" t="s">
        <v>259</v>
      </c>
      <c r="J32" s="47" t="s">
        <v>260</v>
      </c>
    </row>
    <row r="33" spans="1:10" ht="14.4">
      <c r="A33" s="48" t="s">
        <v>5</v>
      </c>
      <c r="B33" s="48">
        <v>3</v>
      </c>
      <c r="C33" s="48" t="s">
        <v>60</v>
      </c>
      <c r="D33" s="49">
        <v>7.7241379310344831</v>
      </c>
      <c r="E33" s="49">
        <v>75</v>
      </c>
      <c r="F33" s="49">
        <v>31</v>
      </c>
      <c r="G33" s="50">
        <f t="shared" si="0"/>
        <v>0.24916573971078979</v>
      </c>
      <c r="H33" s="51">
        <f t="shared" si="1"/>
        <v>9.7098214285714288</v>
      </c>
      <c r="I33" s="48" t="s">
        <v>259</v>
      </c>
      <c r="J33" s="47" t="s">
        <v>260</v>
      </c>
    </row>
    <row r="34" spans="1:10" ht="14.4">
      <c r="A34" s="48" t="s">
        <v>5</v>
      </c>
      <c r="B34" s="48">
        <v>4</v>
      </c>
      <c r="C34" s="48" t="s">
        <v>62</v>
      </c>
      <c r="D34" s="49">
        <v>9.6071428571428577</v>
      </c>
      <c r="E34" s="49">
        <v>87.1</v>
      </c>
      <c r="F34" s="49">
        <v>30</v>
      </c>
      <c r="G34" s="50">
        <f t="shared" si="0"/>
        <v>0.32023809523809527</v>
      </c>
      <c r="H34" s="51">
        <f t="shared" si="1"/>
        <v>9.0661710037174714</v>
      </c>
      <c r="I34" s="48" t="s">
        <v>259</v>
      </c>
      <c r="J34" s="47" t="s">
        <v>260</v>
      </c>
    </row>
    <row r="35" spans="1:10" ht="14.4">
      <c r="A35" s="48" t="s">
        <v>5</v>
      </c>
      <c r="B35" s="48">
        <v>5</v>
      </c>
      <c r="C35" s="48" t="s">
        <v>65</v>
      </c>
      <c r="D35" s="49">
        <v>13</v>
      </c>
      <c r="E35" s="49">
        <v>119.8</v>
      </c>
      <c r="F35" s="49">
        <v>31</v>
      </c>
      <c r="G35" s="50">
        <f t="shared" si="0"/>
        <v>0.41935483870967744</v>
      </c>
      <c r="H35" s="51">
        <f t="shared" si="1"/>
        <v>9.2153846153846146</v>
      </c>
      <c r="I35" s="48" t="s">
        <v>259</v>
      </c>
      <c r="J35" s="47" t="s">
        <v>260</v>
      </c>
    </row>
    <row r="36" spans="1:10" ht="14.4">
      <c r="A36" s="48" t="s">
        <v>5</v>
      </c>
      <c r="B36" s="48">
        <v>6</v>
      </c>
      <c r="C36" s="48" t="s">
        <v>68</v>
      </c>
      <c r="D36" s="49">
        <v>14.25</v>
      </c>
      <c r="E36" s="49">
        <v>119.4</v>
      </c>
      <c r="F36" s="49">
        <v>30</v>
      </c>
      <c r="G36" s="50">
        <f t="shared" si="0"/>
        <v>0.47499999999999998</v>
      </c>
      <c r="H36" s="51">
        <f t="shared" si="1"/>
        <v>8.3789473684210538</v>
      </c>
      <c r="I36" s="48" t="s">
        <v>259</v>
      </c>
      <c r="J36" s="47" t="s">
        <v>260</v>
      </c>
    </row>
    <row r="37" spans="1:10" ht="14.4">
      <c r="A37" s="48" t="s">
        <v>5</v>
      </c>
      <c r="B37" s="48">
        <v>7</v>
      </c>
      <c r="C37" s="48" t="s">
        <v>69</v>
      </c>
      <c r="D37" s="49">
        <v>15.214285714285714</v>
      </c>
      <c r="E37" s="49">
        <v>136.9</v>
      </c>
      <c r="F37" s="49">
        <v>31</v>
      </c>
      <c r="G37" s="50">
        <f t="shared" si="0"/>
        <v>0.49078341013824883</v>
      </c>
      <c r="H37" s="51">
        <f t="shared" si="1"/>
        <v>8.998122065727701</v>
      </c>
      <c r="I37" s="48" t="s">
        <v>259</v>
      </c>
      <c r="J37" s="47" t="s">
        <v>260</v>
      </c>
    </row>
    <row r="38" spans="1:10" ht="14.4">
      <c r="A38" s="48" t="s">
        <v>5</v>
      </c>
      <c r="B38" s="48">
        <v>8</v>
      </c>
      <c r="C38" s="48" t="s">
        <v>71</v>
      </c>
      <c r="D38" s="49">
        <v>14.655172413793103</v>
      </c>
      <c r="E38" s="49">
        <v>117.2</v>
      </c>
      <c r="F38" s="49">
        <v>31</v>
      </c>
      <c r="G38" s="50">
        <f t="shared" si="0"/>
        <v>0.47274749721913234</v>
      </c>
      <c r="H38" s="51">
        <f t="shared" si="1"/>
        <v>7.9971764705882356</v>
      </c>
      <c r="I38" s="48" t="s">
        <v>259</v>
      </c>
      <c r="J38" s="47" t="s">
        <v>260</v>
      </c>
    </row>
    <row r="39" spans="1:10" ht="14.4">
      <c r="A39" s="48" t="s">
        <v>5</v>
      </c>
      <c r="B39" s="48">
        <v>9</v>
      </c>
      <c r="C39" s="48" t="s">
        <v>73</v>
      </c>
      <c r="D39" s="49">
        <v>12.482758620689655</v>
      </c>
      <c r="E39" s="49">
        <v>100.1</v>
      </c>
      <c r="F39" s="49">
        <v>30</v>
      </c>
      <c r="G39" s="50">
        <f t="shared" si="0"/>
        <v>0.41609195402298849</v>
      </c>
      <c r="H39" s="51">
        <f t="shared" si="1"/>
        <v>8.0190607734806623</v>
      </c>
      <c r="I39" s="48" t="s">
        <v>259</v>
      </c>
      <c r="J39" s="47" t="s">
        <v>260</v>
      </c>
    </row>
    <row r="40" spans="1:10" ht="14.4">
      <c r="A40" s="48" t="s">
        <v>5</v>
      </c>
      <c r="B40" s="48">
        <v>10</v>
      </c>
      <c r="C40" s="48" t="s">
        <v>75</v>
      </c>
      <c r="D40" s="49">
        <v>11.535714285714286</v>
      </c>
      <c r="E40" s="49">
        <v>91.6</v>
      </c>
      <c r="F40" s="49">
        <v>31</v>
      </c>
      <c r="G40" s="50">
        <f t="shared" si="0"/>
        <v>0.37211981566820279</v>
      </c>
      <c r="H40" s="51">
        <f t="shared" si="1"/>
        <v>7.9405572755417948</v>
      </c>
      <c r="I40" s="48" t="s">
        <v>259</v>
      </c>
      <c r="J40" s="47" t="s">
        <v>260</v>
      </c>
    </row>
    <row r="41" spans="1:10" ht="14.4">
      <c r="A41" s="48" t="s">
        <v>5</v>
      </c>
      <c r="B41" s="48">
        <v>11</v>
      </c>
      <c r="C41" s="48" t="s">
        <v>76</v>
      </c>
      <c r="D41" s="49">
        <v>9.3333333333333339</v>
      </c>
      <c r="E41" s="49">
        <v>68.900000000000006</v>
      </c>
      <c r="F41" s="49">
        <v>30</v>
      </c>
      <c r="G41" s="50">
        <f t="shared" si="0"/>
        <v>0.31111111111111112</v>
      </c>
      <c r="H41" s="51">
        <f t="shared" si="1"/>
        <v>7.3821428571428571</v>
      </c>
      <c r="I41" s="48" t="s">
        <v>259</v>
      </c>
      <c r="J41" s="47" t="s">
        <v>260</v>
      </c>
    </row>
    <row r="42" spans="1:10" ht="14.4">
      <c r="A42" s="48" t="s">
        <v>5</v>
      </c>
      <c r="B42" s="48">
        <v>12</v>
      </c>
      <c r="C42" s="48" t="s">
        <v>77</v>
      </c>
      <c r="D42" s="49">
        <v>9.0344827586206904</v>
      </c>
      <c r="E42" s="49">
        <v>81.7</v>
      </c>
      <c r="F42" s="49">
        <v>31</v>
      </c>
      <c r="G42" s="50">
        <f t="shared" si="0"/>
        <v>0.29143492769744161</v>
      </c>
      <c r="H42" s="51">
        <f t="shared" si="1"/>
        <v>9.0431297709923655</v>
      </c>
      <c r="I42" s="48" t="s">
        <v>259</v>
      </c>
      <c r="J42" s="47" t="s">
        <v>260</v>
      </c>
    </row>
    <row r="43" spans="1:10" ht="14.4">
      <c r="A43" s="48" t="s">
        <v>262</v>
      </c>
      <c r="B43" s="48">
        <v>1</v>
      </c>
      <c r="C43" s="48" t="s">
        <v>55</v>
      </c>
      <c r="D43" s="49">
        <v>6.2758620689655169</v>
      </c>
      <c r="E43" s="49">
        <v>76.2</v>
      </c>
      <c r="F43" s="49">
        <v>31</v>
      </c>
      <c r="G43" s="50">
        <f t="shared" si="0"/>
        <v>0.20244716351501668</v>
      </c>
      <c r="H43" s="51">
        <f t="shared" si="1"/>
        <v>12.141758241758243</v>
      </c>
      <c r="I43" s="48" t="s">
        <v>259</v>
      </c>
      <c r="J43" s="47" t="s">
        <v>260</v>
      </c>
    </row>
    <row r="44" spans="1:10" ht="14.4">
      <c r="A44" s="48" t="s">
        <v>262</v>
      </c>
      <c r="B44" s="48">
        <v>2</v>
      </c>
      <c r="C44" s="48" t="s">
        <v>58</v>
      </c>
      <c r="D44" s="49">
        <v>6.7</v>
      </c>
      <c r="E44" s="49">
        <v>83.2</v>
      </c>
      <c r="F44" s="49">
        <v>28.266666666666666</v>
      </c>
      <c r="G44" s="50">
        <f t="shared" si="0"/>
        <v>0.23702830188679247</v>
      </c>
      <c r="H44" s="51">
        <f t="shared" si="1"/>
        <v>12.417910447761194</v>
      </c>
      <c r="I44" s="48" t="s">
        <v>259</v>
      </c>
      <c r="J44" s="47" t="s">
        <v>260</v>
      </c>
    </row>
    <row r="45" spans="1:10" ht="14.4">
      <c r="A45" s="48" t="s">
        <v>262</v>
      </c>
      <c r="B45" s="48">
        <v>3</v>
      </c>
      <c r="C45" s="48" t="s">
        <v>60</v>
      </c>
      <c r="D45" s="49">
        <v>8.0666666666666664</v>
      </c>
      <c r="E45" s="49">
        <v>94.9</v>
      </c>
      <c r="F45" s="49">
        <v>31</v>
      </c>
      <c r="G45" s="50">
        <f t="shared" si="0"/>
        <v>0.26021505376344084</v>
      </c>
      <c r="H45" s="51">
        <f t="shared" si="1"/>
        <v>11.764462809917356</v>
      </c>
      <c r="I45" s="48" t="s">
        <v>259</v>
      </c>
      <c r="J45" s="47" t="s">
        <v>260</v>
      </c>
    </row>
    <row r="46" spans="1:10" ht="14.4">
      <c r="A46" s="48" t="s">
        <v>262</v>
      </c>
      <c r="B46" s="48">
        <v>4</v>
      </c>
      <c r="C46" s="48" t="s">
        <v>62</v>
      </c>
      <c r="D46" s="49">
        <v>8.7142857142857135</v>
      </c>
      <c r="E46" s="49">
        <v>132.1</v>
      </c>
      <c r="F46" s="49">
        <v>30</v>
      </c>
      <c r="G46" s="50">
        <f t="shared" si="0"/>
        <v>0.29047619047619044</v>
      </c>
      <c r="H46" s="51">
        <f t="shared" si="1"/>
        <v>15.159016393442624</v>
      </c>
      <c r="I46" s="48" t="s">
        <v>259</v>
      </c>
      <c r="J46" s="47" t="s">
        <v>260</v>
      </c>
    </row>
    <row r="47" spans="1:10" ht="14.4">
      <c r="A47" s="48" t="s">
        <v>262</v>
      </c>
      <c r="B47" s="48">
        <v>5</v>
      </c>
      <c r="C47" s="48" t="s">
        <v>65</v>
      </c>
      <c r="D47" s="49">
        <v>9.5862068965517242</v>
      </c>
      <c r="E47" s="49">
        <v>116.2</v>
      </c>
      <c r="F47" s="49">
        <v>31</v>
      </c>
      <c r="G47" s="50">
        <f t="shared" si="0"/>
        <v>0.3092324805339266</v>
      </c>
      <c r="H47" s="51">
        <f t="shared" si="1"/>
        <v>12.12158273381295</v>
      </c>
      <c r="I47" s="48" t="s">
        <v>259</v>
      </c>
      <c r="J47" s="47" t="s">
        <v>260</v>
      </c>
    </row>
    <row r="48" spans="1:10" ht="14.4">
      <c r="A48" s="48" t="s">
        <v>262</v>
      </c>
      <c r="B48" s="48">
        <v>6</v>
      </c>
      <c r="C48" s="48" t="s">
        <v>68</v>
      </c>
      <c r="D48" s="49">
        <v>10.678571428571429</v>
      </c>
      <c r="E48" s="49">
        <v>120.6</v>
      </c>
      <c r="F48" s="49">
        <v>30</v>
      </c>
      <c r="G48" s="50">
        <f t="shared" si="0"/>
        <v>0.35595238095238096</v>
      </c>
      <c r="H48" s="51">
        <f t="shared" si="1"/>
        <v>11.293645484949831</v>
      </c>
      <c r="I48" s="48" t="s">
        <v>259</v>
      </c>
      <c r="J48" s="47" t="s">
        <v>260</v>
      </c>
    </row>
    <row r="49" spans="1:10" ht="14.4">
      <c r="A49" s="48" t="s">
        <v>262</v>
      </c>
      <c r="B49" s="48">
        <v>7</v>
      </c>
      <c r="C49" s="48" t="s">
        <v>69</v>
      </c>
      <c r="D49" s="49">
        <v>11.655172413793103</v>
      </c>
      <c r="E49" s="49">
        <v>133.4</v>
      </c>
      <c r="F49" s="49">
        <v>31</v>
      </c>
      <c r="G49" s="50">
        <f t="shared" si="0"/>
        <v>0.37597330367074527</v>
      </c>
      <c r="H49" s="51">
        <f t="shared" si="1"/>
        <v>11.445562130177516</v>
      </c>
      <c r="I49" s="48" t="s">
        <v>259</v>
      </c>
      <c r="J49" s="47" t="s">
        <v>260</v>
      </c>
    </row>
    <row r="50" spans="1:10" ht="14.4">
      <c r="A50" s="48" t="s">
        <v>262</v>
      </c>
      <c r="B50" s="48">
        <v>8</v>
      </c>
      <c r="C50" s="48" t="s">
        <v>71</v>
      </c>
      <c r="D50" s="49">
        <v>11.74074074074074</v>
      </c>
      <c r="E50" s="49">
        <v>111.6</v>
      </c>
      <c r="F50" s="49">
        <v>31</v>
      </c>
      <c r="G50" s="50">
        <f t="shared" si="0"/>
        <v>0.37873357228195936</v>
      </c>
      <c r="H50" s="51">
        <f t="shared" si="1"/>
        <v>9.5053627760252368</v>
      </c>
      <c r="I50" s="48" t="s">
        <v>259</v>
      </c>
      <c r="J50" s="47" t="s">
        <v>260</v>
      </c>
    </row>
    <row r="51" spans="1:10" ht="14.4">
      <c r="A51" s="48" t="s">
        <v>262</v>
      </c>
      <c r="B51" s="48">
        <v>9</v>
      </c>
      <c r="C51" s="48" t="s">
        <v>73</v>
      </c>
      <c r="D51" s="49">
        <v>10.714285714285714</v>
      </c>
      <c r="E51" s="49">
        <v>86.5</v>
      </c>
      <c r="F51" s="49">
        <v>30</v>
      </c>
      <c r="G51" s="50">
        <f t="shared" si="0"/>
        <v>0.3571428571428571</v>
      </c>
      <c r="H51" s="51">
        <f t="shared" si="1"/>
        <v>8.0733333333333341</v>
      </c>
      <c r="I51" s="48" t="s">
        <v>259</v>
      </c>
      <c r="J51" s="47" t="s">
        <v>260</v>
      </c>
    </row>
    <row r="52" spans="1:10" ht="14.4">
      <c r="A52" s="48" t="s">
        <v>262</v>
      </c>
      <c r="B52" s="48">
        <v>10</v>
      </c>
      <c r="C52" s="48" t="s">
        <v>75</v>
      </c>
      <c r="D52" s="49">
        <v>9.5666666666666664</v>
      </c>
      <c r="E52" s="49">
        <v>80.400000000000006</v>
      </c>
      <c r="F52" s="49">
        <v>31</v>
      </c>
      <c r="G52" s="50">
        <f t="shared" si="0"/>
        <v>0.3086021505376344</v>
      </c>
      <c r="H52" s="51">
        <f t="shared" si="1"/>
        <v>8.4041811846689907</v>
      </c>
      <c r="I52" s="48" t="s">
        <v>259</v>
      </c>
      <c r="J52" s="47" t="s">
        <v>260</v>
      </c>
    </row>
    <row r="53" spans="1:10" ht="14.4">
      <c r="A53" s="48" t="s">
        <v>262</v>
      </c>
      <c r="B53" s="48">
        <v>11</v>
      </c>
      <c r="C53" s="48" t="s">
        <v>76</v>
      </c>
      <c r="D53" s="49">
        <v>8.5666666666666664</v>
      </c>
      <c r="E53" s="49">
        <v>63.4</v>
      </c>
      <c r="F53" s="49">
        <v>30</v>
      </c>
      <c r="G53" s="50">
        <f t="shared" si="0"/>
        <v>0.28555555555555556</v>
      </c>
      <c r="H53" s="51">
        <f t="shared" si="1"/>
        <v>7.4007782101167319</v>
      </c>
      <c r="I53" s="48" t="s">
        <v>259</v>
      </c>
      <c r="J53" s="47" t="s">
        <v>260</v>
      </c>
    </row>
    <row r="54" spans="1:10" ht="14.4">
      <c r="A54" s="48" t="s">
        <v>262</v>
      </c>
      <c r="B54" s="48">
        <v>12</v>
      </c>
      <c r="C54" s="48" t="s">
        <v>77</v>
      </c>
      <c r="D54" s="49">
        <v>8.4666666666666668</v>
      </c>
      <c r="E54" s="49">
        <v>103</v>
      </c>
      <c r="F54" s="49">
        <v>31</v>
      </c>
      <c r="G54" s="50">
        <f t="shared" si="0"/>
        <v>0.27311827956989249</v>
      </c>
      <c r="H54" s="51">
        <f t="shared" si="1"/>
        <v>12.165354330708661</v>
      </c>
      <c r="I54" s="48" t="s">
        <v>259</v>
      </c>
      <c r="J54" s="47" t="s">
        <v>260</v>
      </c>
    </row>
    <row r="55" spans="1:10" ht="14.4">
      <c r="A55" s="48" t="s">
        <v>263</v>
      </c>
      <c r="B55" s="48">
        <v>1</v>
      </c>
      <c r="C55" s="48" t="s">
        <v>55</v>
      </c>
      <c r="D55" s="49">
        <v>6.6</v>
      </c>
      <c r="E55" s="49">
        <v>75.400000000000006</v>
      </c>
      <c r="F55" s="49">
        <v>31</v>
      </c>
      <c r="G55" s="50">
        <f t="shared" si="0"/>
        <v>0.2129032258064516</v>
      </c>
      <c r="H55" s="51">
        <f t="shared" si="1"/>
        <v>11.424242424242426</v>
      </c>
      <c r="I55" s="48" t="s">
        <v>259</v>
      </c>
      <c r="J55" s="47" t="s">
        <v>260</v>
      </c>
    </row>
    <row r="56" spans="1:10" ht="14.4">
      <c r="A56" s="48" t="s">
        <v>263</v>
      </c>
      <c r="B56" s="48">
        <v>2</v>
      </c>
      <c r="C56" s="48" t="s">
        <v>58</v>
      </c>
      <c r="D56" s="49">
        <v>5.7857142857142856</v>
      </c>
      <c r="E56" s="49">
        <v>65</v>
      </c>
      <c r="F56" s="49">
        <v>28.266666666666666</v>
      </c>
      <c r="G56" s="50">
        <f t="shared" si="0"/>
        <v>0.20468328840970351</v>
      </c>
      <c r="H56" s="51">
        <f t="shared" si="1"/>
        <v>11.234567901234568</v>
      </c>
      <c r="I56" s="48" t="s">
        <v>259</v>
      </c>
      <c r="J56" s="47" t="s">
        <v>260</v>
      </c>
    </row>
    <row r="57" spans="1:10" ht="14.4">
      <c r="A57" s="48" t="s">
        <v>263</v>
      </c>
      <c r="B57" s="48">
        <v>3</v>
      </c>
      <c r="C57" s="48" t="s">
        <v>60</v>
      </c>
      <c r="D57" s="49">
        <v>6.1428571428571432</v>
      </c>
      <c r="E57" s="49">
        <v>75.400000000000006</v>
      </c>
      <c r="F57" s="49">
        <v>31</v>
      </c>
      <c r="G57" s="50">
        <f t="shared" si="0"/>
        <v>0.19815668202764977</v>
      </c>
      <c r="H57" s="51">
        <f t="shared" si="1"/>
        <v>12.274418604651164</v>
      </c>
      <c r="I57" s="48" t="s">
        <v>259</v>
      </c>
      <c r="J57" s="47" t="s">
        <v>260</v>
      </c>
    </row>
    <row r="58" spans="1:10" ht="14.4">
      <c r="A58" s="48" t="s">
        <v>263</v>
      </c>
      <c r="B58" s="48">
        <v>4</v>
      </c>
      <c r="C58" s="48" t="s">
        <v>62</v>
      </c>
      <c r="D58" s="49">
        <v>9.5333333333333332</v>
      </c>
      <c r="E58" s="49">
        <v>92.3</v>
      </c>
      <c r="F58" s="49">
        <v>30</v>
      </c>
      <c r="G58" s="50">
        <f t="shared" si="0"/>
        <v>0.31777777777777777</v>
      </c>
      <c r="H58" s="51">
        <f t="shared" si="1"/>
        <v>9.6818181818181817</v>
      </c>
      <c r="I58" s="48" t="s">
        <v>259</v>
      </c>
      <c r="J58" s="47" t="s">
        <v>260</v>
      </c>
    </row>
    <row r="59" spans="1:10" ht="14.4">
      <c r="A59" s="48" t="s">
        <v>263</v>
      </c>
      <c r="B59" s="48">
        <v>5</v>
      </c>
      <c r="C59" s="48" t="s">
        <v>65</v>
      </c>
      <c r="D59" s="49">
        <v>11.4</v>
      </c>
      <c r="E59" s="49">
        <v>103.3</v>
      </c>
      <c r="F59" s="49">
        <v>31</v>
      </c>
      <c r="G59" s="50">
        <f t="shared" si="0"/>
        <v>0.36774193548387096</v>
      </c>
      <c r="H59" s="51">
        <f t="shared" si="1"/>
        <v>9.0614035087719298</v>
      </c>
      <c r="I59" s="48" t="s">
        <v>259</v>
      </c>
      <c r="J59" s="47" t="s">
        <v>260</v>
      </c>
    </row>
    <row r="60" spans="1:10" ht="14.4">
      <c r="A60" s="48" t="s">
        <v>263</v>
      </c>
      <c r="B60" s="48">
        <v>6</v>
      </c>
      <c r="C60" s="48" t="s">
        <v>68</v>
      </c>
      <c r="D60" s="49">
        <v>12.133333333333333</v>
      </c>
      <c r="E60" s="49">
        <v>117.8</v>
      </c>
      <c r="F60" s="49">
        <v>30</v>
      </c>
      <c r="G60" s="50">
        <f t="shared" si="0"/>
        <v>0.40444444444444444</v>
      </c>
      <c r="H60" s="51">
        <f t="shared" si="1"/>
        <v>9.708791208791208</v>
      </c>
      <c r="I60" s="48" t="s">
        <v>259</v>
      </c>
      <c r="J60" s="47" t="s">
        <v>260</v>
      </c>
    </row>
    <row r="61" spans="1:10" ht="14.4">
      <c r="A61" s="48" t="s">
        <v>263</v>
      </c>
      <c r="B61" s="48">
        <v>7</v>
      </c>
      <c r="C61" s="48" t="s">
        <v>69</v>
      </c>
      <c r="D61" s="49">
        <v>12.733333333333333</v>
      </c>
      <c r="E61" s="49">
        <v>124.2</v>
      </c>
      <c r="F61" s="49">
        <v>31</v>
      </c>
      <c r="G61" s="50">
        <f t="shared" si="0"/>
        <v>0.41075268817204297</v>
      </c>
      <c r="H61" s="51">
        <f t="shared" si="1"/>
        <v>9.7539267015706823</v>
      </c>
      <c r="I61" s="48" t="s">
        <v>259</v>
      </c>
      <c r="J61" s="47" t="s">
        <v>260</v>
      </c>
    </row>
    <row r="62" spans="1:10" ht="14.4">
      <c r="A62" s="48" t="s">
        <v>263</v>
      </c>
      <c r="B62" s="48">
        <v>8</v>
      </c>
      <c r="C62" s="48" t="s">
        <v>71</v>
      </c>
      <c r="D62" s="49">
        <v>13.8</v>
      </c>
      <c r="E62" s="49">
        <v>106.5</v>
      </c>
      <c r="F62" s="49">
        <v>31</v>
      </c>
      <c r="G62" s="50">
        <f t="shared" si="0"/>
        <v>0.44516129032258067</v>
      </c>
      <c r="H62" s="51">
        <f t="shared" si="1"/>
        <v>7.7173913043478253</v>
      </c>
      <c r="I62" s="48" t="s">
        <v>259</v>
      </c>
      <c r="J62" s="47" t="s">
        <v>260</v>
      </c>
    </row>
    <row r="63" spans="1:10" ht="14.4">
      <c r="A63" s="48" t="s">
        <v>263</v>
      </c>
      <c r="B63" s="48">
        <v>9</v>
      </c>
      <c r="C63" s="48" t="s">
        <v>73</v>
      </c>
      <c r="D63" s="49">
        <v>12.8</v>
      </c>
      <c r="E63" s="49">
        <v>100.1</v>
      </c>
      <c r="F63" s="49">
        <v>30</v>
      </c>
      <c r="G63" s="50">
        <f t="shared" si="0"/>
        <v>0.42666666666666669</v>
      </c>
      <c r="H63" s="51">
        <f t="shared" si="1"/>
        <v>7.8203124999999991</v>
      </c>
      <c r="I63" s="48" t="s">
        <v>259</v>
      </c>
      <c r="J63" s="47" t="s">
        <v>260</v>
      </c>
    </row>
    <row r="64" spans="1:10" ht="14.4">
      <c r="A64" s="48" t="s">
        <v>263</v>
      </c>
      <c r="B64" s="48">
        <v>10</v>
      </c>
      <c r="C64" s="48" t="s">
        <v>75</v>
      </c>
      <c r="D64" s="49">
        <v>10.6</v>
      </c>
      <c r="E64" s="49">
        <v>86</v>
      </c>
      <c r="F64" s="49">
        <v>31</v>
      </c>
      <c r="G64" s="50">
        <f t="shared" si="0"/>
        <v>0.34193548387096773</v>
      </c>
      <c r="H64" s="51">
        <f t="shared" si="1"/>
        <v>8.1132075471698109</v>
      </c>
      <c r="I64" s="48" t="s">
        <v>259</v>
      </c>
      <c r="J64" s="47" t="s">
        <v>260</v>
      </c>
    </row>
    <row r="65" spans="1:10" ht="14.4">
      <c r="A65" s="48" t="s">
        <v>263</v>
      </c>
      <c r="B65" s="48">
        <v>11</v>
      </c>
      <c r="C65" s="48" t="s">
        <v>76</v>
      </c>
      <c r="D65" s="49">
        <v>9</v>
      </c>
      <c r="E65" s="49">
        <v>79</v>
      </c>
      <c r="F65" s="49">
        <v>30</v>
      </c>
      <c r="G65" s="50">
        <f t="shared" si="0"/>
        <v>0.3</v>
      </c>
      <c r="H65" s="51">
        <f t="shared" si="1"/>
        <v>8.7777777777777786</v>
      </c>
      <c r="I65" s="48" t="s">
        <v>259</v>
      </c>
      <c r="J65" s="47" t="s">
        <v>260</v>
      </c>
    </row>
    <row r="66" spans="1:10" ht="14.4">
      <c r="A66" s="48" t="s">
        <v>263</v>
      </c>
      <c r="B66" s="48">
        <v>12</v>
      </c>
      <c r="C66" s="48" t="s">
        <v>77</v>
      </c>
      <c r="D66" s="49">
        <v>9.0625</v>
      </c>
      <c r="E66" s="49">
        <v>99.2</v>
      </c>
      <c r="F66" s="49">
        <v>31</v>
      </c>
      <c r="G66" s="50">
        <f t="shared" si="0"/>
        <v>0.29233870967741937</v>
      </c>
      <c r="H66" s="51">
        <f t="shared" si="1"/>
        <v>10.946206896551724</v>
      </c>
      <c r="I66" s="48" t="s">
        <v>259</v>
      </c>
      <c r="J66" s="47" t="s">
        <v>260</v>
      </c>
    </row>
    <row r="67" spans="1:10" ht="14.4">
      <c r="A67" s="48" t="s">
        <v>264</v>
      </c>
      <c r="B67" s="48">
        <v>1</v>
      </c>
      <c r="C67" s="48" t="s">
        <v>55</v>
      </c>
      <c r="D67" s="49">
        <v>7.7142857142857144</v>
      </c>
      <c r="E67" s="49">
        <v>93.8</v>
      </c>
      <c r="F67" s="49">
        <v>31</v>
      </c>
      <c r="G67" s="50">
        <f t="shared" si="0"/>
        <v>0.24884792626728111</v>
      </c>
      <c r="H67" s="51">
        <f t="shared" si="1"/>
        <v>12.159259259259258</v>
      </c>
      <c r="I67" s="48" t="s">
        <v>259</v>
      </c>
      <c r="J67" s="47" t="s">
        <v>260</v>
      </c>
    </row>
    <row r="68" spans="1:10" ht="14.4">
      <c r="A68" s="48" t="s">
        <v>264</v>
      </c>
      <c r="B68" s="48">
        <v>2</v>
      </c>
      <c r="C68" s="48" t="s">
        <v>58</v>
      </c>
      <c r="D68" s="49">
        <v>7.5555555555555554</v>
      </c>
      <c r="E68" s="49">
        <v>100.4</v>
      </c>
      <c r="F68" s="49">
        <v>28.266666666666666</v>
      </c>
      <c r="G68" s="50">
        <f t="shared" si="0"/>
        <v>0.26729559748427673</v>
      </c>
      <c r="H68" s="51">
        <f t="shared" si="1"/>
        <v>13.288235294117648</v>
      </c>
      <c r="I68" s="48" t="s">
        <v>259</v>
      </c>
      <c r="J68" s="47" t="s">
        <v>260</v>
      </c>
    </row>
    <row r="69" spans="1:10" ht="14.4">
      <c r="A69" s="48" t="s">
        <v>264</v>
      </c>
      <c r="B69" s="48">
        <v>3</v>
      </c>
      <c r="C69" s="48" t="s">
        <v>60</v>
      </c>
      <c r="D69" s="49">
        <v>8.137931034482758</v>
      </c>
      <c r="E69" s="49">
        <v>100.3</v>
      </c>
      <c r="F69" s="49">
        <v>31</v>
      </c>
      <c r="G69" s="50">
        <f t="shared" si="0"/>
        <v>0.26251390433815347</v>
      </c>
      <c r="H69" s="51">
        <f t="shared" si="1"/>
        <v>12.325000000000001</v>
      </c>
      <c r="I69" s="48" t="s">
        <v>259</v>
      </c>
      <c r="J69" s="47" t="s">
        <v>260</v>
      </c>
    </row>
    <row r="70" spans="1:10" ht="14.4">
      <c r="A70" s="48" t="s">
        <v>264</v>
      </c>
      <c r="B70" s="48">
        <v>4</v>
      </c>
      <c r="C70" s="48" t="s">
        <v>62</v>
      </c>
      <c r="D70" s="49">
        <v>9.3000000000000007</v>
      </c>
      <c r="E70" s="49">
        <v>133</v>
      </c>
      <c r="F70" s="49">
        <v>30</v>
      </c>
      <c r="G70" s="50">
        <f t="shared" si="0"/>
        <v>0.31</v>
      </c>
      <c r="H70" s="51">
        <f t="shared" si="1"/>
        <v>14.301075268817204</v>
      </c>
      <c r="I70" s="48" t="s">
        <v>259</v>
      </c>
      <c r="J70" s="47" t="s">
        <v>260</v>
      </c>
    </row>
    <row r="71" spans="1:10" ht="14.4">
      <c r="A71" s="48" t="s">
        <v>264</v>
      </c>
      <c r="B71" s="48">
        <v>5</v>
      </c>
      <c r="C71" s="48" t="s">
        <v>65</v>
      </c>
      <c r="D71" s="49">
        <v>9.8571428571428577</v>
      </c>
      <c r="E71" s="49">
        <v>130.19999999999999</v>
      </c>
      <c r="F71" s="49">
        <v>31</v>
      </c>
      <c r="G71" s="50">
        <f t="shared" ref="G71:G134" si="2">IFERROR(D71/F71,0)</f>
        <v>0.31797235023041476</v>
      </c>
      <c r="H71" s="51">
        <f t="shared" ref="H71:H134" si="3">IFERROR(E71/D71,0)</f>
        <v>13.208695652173912</v>
      </c>
      <c r="I71" s="48" t="s">
        <v>259</v>
      </c>
      <c r="J71" s="47" t="s">
        <v>260</v>
      </c>
    </row>
    <row r="72" spans="1:10" ht="14.4">
      <c r="A72" s="48" t="s">
        <v>264</v>
      </c>
      <c r="B72" s="48">
        <v>6</v>
      </c>
      <c r="C72" s="48" t="s">
        <v>68</v>
      </c>
      <c r="D72" s="49">
        <v>10.862068965517242</v>
      </c>
      <c r="E72" s="49">
        <v>131.9</v>
      </c>
      <c r="F72" s="49">
        <v>30</v>
      </c>
      <c r="G72" s="50">
        <f t="shared" si="2"/>
        <v>0.36206896551724138</v>
      </c>
      <c r="H72" s="51">
        <f t="shared" si="3"/>
        <v>12.143174603174604</v>
      </c>
      <c r="I72" s="48" t="s">
        <v>259</v>
      </c>
      <c r="J72" s="47" t="s">
        <v>260</v>
      </c>
    </row>
    <row r="73" spans="1:10" ht="14.4">
      <c r="A73" s="48" t="s">
        <v>264</v>
      </c>
      <c r="B73" s="48">
        <v>7</v>
      </c>
      <c r="C73" s="48" t="s">
        <v>69</v>
      </c>
      <c r="D73" s="49">
        <v>11.413793103448276</v>
      </c>
      <c r="E73" s="49">
        <v>137.4</v>
      </c>
      <c r="F73" s="49">
        <v>31</v>
      </c>
      <c r="G73" s="50">
        <f t="shared" si="2"/>
        <v>0.36818687430478308</v>
      </c>
      <c r="H73" s="51">
        <f t="shared" si="3"/>
        <v>12.038066465256799</v>
      </c>
      <c r="I73" s="48" t="s">
        <v>259</v>
      </c>
      <c r="J73" s="47" t="s">
        <v>260</v>
      </c>
    </row>
    <row r="74" spans="1:10" ht="14.4">
      <c r="A74" s="48" t="s">
        <v>264</v>
      </c>
      <c r="B74" s="48">
        <v>8</v>
      </c>
      <c r="C74" s="48" t="s">
        <v>71</v>
      </c>
      <c r="D74" s="49">
        <v>12.107142857142858</v>
      </c>
      <c r="E74" s="49">
        <v>125.2</v>
      </c>
      <c r="F74" s="49">
        <v>31</v>
      </c>
      <c r="G74" s="50">
        <f t="shared" si="2"/>
        <v>0.39055299539170507</v>
      </c>
      <c r="H74" s="51">
        <f t="shared" si="3"/>
        <v>10.341002949852507</v>
      </c>
      <c r="I74" s="48" t="s">
        <v>259</v>
      </c>
      <c r="J74" s="47" t="s">
        <v>260</v>
      </c>
    </row>
    <row r="75" spans="1:10" ht="14.4">
      <c r="A75" s="48" t="s">
        <v>264</v>
      </c>
      <c r="B75" s="48">
        <v>9</v>
      </c>
      <c r="C75" s="48" t="s">
        <v>73</v>
      </c>
      <c r="D75" s="49">
        <v>11.037037037037036</v>
      </c>
      <c r="E75" s="49">
        <v>106.6</v>
      </c>
      <c r="F75" s="49">
        <v>30</v>
      </c>
      <c r="G75" s="50">
        <f t="shared" si="2"/>
        <v>0.36790123456790119</v>
      </c>
      <c r="H75" s="51">
        <f t="shared" si="3"/>
        <v>9.6583892617449667</v>
      </c>
      <c r="I75" s="48" t="s">
        <v>259</v>
      </c>
      <c r="J75" s="47" t="s">
        <v>260</v>
      </c>
    </row>
    <row r="76" spans="1:10" ht="14.4">
      <c r="A76" s="48" t="s">
        <v>264</v>
      </c>
      <c r="B76" s="48">
        <v>10</v>
      </c>
      <c r="C76" s="48" t="s">
        <v>75</v>
      </c>
      <c r="D76" s="49">
        <v>10.321428571428571</v>
      </c>
      <c r="E76" s="49">
        <v>92.9</v>
      </c>
      <c r="F76" s="49">
        <v>31</v>
      </c>
      <c r="G76" s="50">
        <f t="shared" si="2"/>
        <v>0.33294930875576034</v>
      </c>
      <c r="H76" s="51">
        <f t="shared" si="3"/>
        <v>9.0006920415224929</v>
      </c>
      <c r="I76" s="48" t="s">
        <v>259</v>
      </c>
      <c r="J76" s="47" t="s">
        <v>260</v>
      </c>
    </row>
    <row r="77" spans="1:10" ht="14.4">
      <c r="A77" s="48" t="s">
        <v>264</v>
      </c>
      <c r="B77" s="48">
        <v>11</v>
      </c>
      <c r="C77" s="48" t="s">
        <v>76</v>
      </c>
      <c r="D77" s="49">
        <v>9.481481481481481</v>
      </c>
      <c r="E77" s="49">
        <v>86.8</v>
      </c>
      <c r="F77" s="49">
        <v>30</v>
      </c>
      <c r="G77" s="50">
        <f t="shared" si="2"/>
        <v>0.31604938271604938</v>
      </c>
      <c r="H77" s="51">
        <f t="shared" si="3"/>
        <v>9.1546874999999996</v>
      </c>
      <c r="I77" s="48" t="s">
        <v>259</v>
      </c>
      <c r="J77" s="47" t="s">
        <v>260</v>
      </c>
    </row>
    <row r="78" spans="1:10" ht="14.4">
      <c r="A78" s="48" t="s">
        <v>264</v>
      </c>
      <c r="B78" s="48">
        <v>12</v>
      </c>
      <c r="C78" s="48" t="s">
        <v>77</v>
      </c>
      <c r="D78" s="49">
        <v>10.75</v>
      </c>
      <c r="E78" s="49">
        <v>117.1</v>
      </c>
      <c r="F78" s="49">
        <v>31</v>
      </c>
      <c r="G78" s="50">
        <f t="shared" si="2"/>
        <v>0.34677419354838712</v>
      </c>
      <c r="H78" s="51">
        <f t="shared" si="3"/>
        <v>10.893023255813953</v>
      </c>
      <c r="I78" s="48" t="s">
        <v>259</v>
      </c>
      <c r="J78" s="47" t="s">
        <v>260</v>
      </c>
    </row>
    <row r="79" spans="1:10" ht="14.4">
      <c r="A79" s="48" t="s">
        <v>265</v>
      </c>
      <c r="B79" s="48">
        <v>1</v>
      </c>
      <c r="C79" s="48" t="s">
        <v>55</v>
      </c>
      <c r="D79" s="49">
        <v>6.2333333333333334</v>
      </c>
      <c r="E79" s="49">
        <v>71.400000000000006</v>
      </c>
      <c r="F79" s="49">
        <v>31</v>
      </c>
      <c r="G79" s="50">
        <f t="shared" si="2"/>
        <v>0.20107526881720431</v>
      </c>
      <c r="H79" s="51">
        <f t="shared" si="3"/>
        <v>11.454545454545455</v>
      </c>
      <c r="I79" s="48" t="s">
        <v>259</v>
      </c>
      <c r="J79" s="47" t="s">
        <v>260</v>
      </c>
    </row>
    <row r="80" spans="1:10" ht="14.4">
      <c r="A80" s="48" t="s">
        <v>265</v>
      </c>
      <c r="B80" s="48">
        <v>2</v>
      </c>
      <c r="C80" s="48" t="s">
        <v>58</v>
      </c>
      <c r="D80" s="49">
        <v>7.5666666666666664</v>
      </c>
      <c r="E80" s="49">
        <v>65.900000000000006</v>
      </c>
      <c r="F80" s="49">
        <v>28.266666666666666</v>
      </c>
      <c r="G80" s="50">
        <f t="shared" si="2"/>
        <v>0.267688679245283</v>
      </c>
      <c r="H80" s="51">
        <f t="shared" si="3"/>
        <v>8.7092511013215876</v>
      </c>
      <c r="I80" s="48" t="s">
        <v>259</v>
      </c>
      <c r="J80" s="47" t="s">
        <v>260</v>
      </c>
    </row>
    <row r="81" spans="1:10" ht="14.4">
      <c r="A81" s="48" t="s">
        <v>265</v>
      </c>
      <c r="B81" s="48">
        <v>3</v>
      </c>
      <c r="C81" s="48" t="s">
        <v>60</v>
      </c>
      <c r="D81" s="49">
        <v>9</v>
      </c>
      <c r="E81" s="49">
        <v>94</v>
      </c>
      <c r="F81" s="49">
        <v>31</v>
      </c>
      <c r="G81" s="50">
        <f t="shared" si="2"/>
        <v>0.29032258064516131</v>
      </c>
      <c r="H81" s="51">
        <f t="shared" si="3"/>
        <v>10.444444444444445</v>
      </c>
      <c r="I81" s="48" t="s">
        <v>259</v>
      </c>
      <c r="J81" s="47" t="s">
        <v>260</v>
      </c>
    </row>
    <row r="82" spans="1:10" ht="14.4">
      <c r="A82" s="48" t="s">
        <v>265</v>
      </c>
      <c r="B82" s="48">
        <v>4</v>
      </c>
      <c r="C82" s="48" t="s">
        <v>62</v>
      </c>
      <c r="D82" s="49">
        <v>9.3793103448275854</v>
      </c>
      <c r="E82" s="49">
        <v>107.1</v>
      </c>
      <c r="F82" s="49">
        <v>30</v>
      </c>
      <c r="G82" s="50">
        <f t="shared" si="2"/>
        <v>0.31264367816091954</v>
      </c>
      <c r="H82" s="51">
        <f t="shared" si="3"/>
        <v>11.418750000000001</v>
      </c>
      <c r="I82" s="48" t="s">
        <v>259</v>
      </c>
      <c r="J82" s="47" t="s">
        <v>260</v>
      </c>
    </row>
    <row r="83" spans="1:10" ht="14.4">
      <c r="A83" s="48" t="s">
        <v>265</v>
      </c>
      <c r="B83" s="48">
        <v>5</v>
      </c>
      <c r="C83" s="48" t="s">
        <v>65</v>
      </c>
      <c r="D83" s="49">
        <v>9.931034482758621</v>
      </c>
      <c r="E83" s="49">
        <v>84</v>
      </c>
      <c r="F83" s="49">
        <v>31</v>
      </c>
      <c r="G83" s="50">
        <f t="shared" si="2"/>
        <v>0.3203559510567297</v>
      </c>
      <c r="H83" s="51">
        <f t="shared" si="3"/>
        <v>8.4583333333333339</v>
      </c>
      <c r="I83" s="48" t="s">
        <v>259</v>
      </c>
      <c r="J83" s="47" t="s">
        <v>260</v>
      </c>
    </row>
    <row r="84" spans="1:10" ht="14.4">
      <c r="A84" s="48" t="s">
        <v>265</v>
      </c>
      <c r="B84" s="48">
        <v>6</v>
      </c>
      <c r="C84" s="48" t="s">
        <v>68</v>
      </c>
      <c r="D84" s="49">
        <v>10.206896551724139</v>
      </c>
      <c r="E84" s="49">
        <v>107.4</v>
      </c>
      <c r="F84" s="49">
        <v>30</v>
      </c>
      <c r="G84" s="50">
        <f t="shared" si="2"/>
        <v>0.34022988505747132</v>
      </c>
      <c r="H84" s="51">
        <f t="shared" si="3"/>
        <v>10.522297297297296</v>
      </c>
      <c r="I84" s="48" t="s">
        <v>259</v>
      </c>
      <c r="J84" s="47" t="s">
        <v>260</v>
      </c>
    </row>
    <row r="85" spans="1:10" ht="14.4">
      <c r="A85" s="48" t="s">
        <v>265</v>
      </c>
      <c r="B85" s="48">
        <v>7</v>
      </c>
      <c r="C85" s="48" t="s">
        <v>69</v>
      </c>
      <c r="D85" s="49">
        <v>12.392857142857142</v>
      </c>
      <c r="E85" s="49">
        <v>118.7</v>
      </c>
      <c r="F85" s="49">
        <v>31</v>
      </c>
      <c r="G85" s="50">
        <f t="shared" si="2"/>
        <v>0.39976958525345618</v>
      </c>
      <c r="H85" s="51">
        <f t="shared" si="3"/>
        <v>9.5780979827089343</v>
      </c>
      <c r="I85" s="48" t="s">
        <v>259</v>
      </c>
      <c r="J85" s="47" t="s">
        <v>260</v>
      </c>
    </row>
    <row r="86" spans="1:10" ht="14.4">
      <c r="A86" s="48" t="s">
        <v>265</v>
      </c>
      <c r="B86" s="48">
        <v>8</v>
      </c>
      <c r="C86" s="48" t="s">
        <v>71</v>
      </c>
      <c r="D86" s="49">
        <v>11.137931034482758</v>
      </c>
      <c r="E86" s="49">
        <v>78.099999999999994</v>
      </c>
      <c r="F86" s="49">
        <v>31</v>
      </c>
      <c r="G86" s="50">
        <f t="shared" si="2"/>
        <v>0.35928809788654059</v>
      </c>
      <c r="H86" s="51">
        <f t="shared" si="3"/>
        <v>7.0120743034055728</v>
      </c>
      <c r="I86" s="48" t="s">
        <v>259</v>
      </c>
      <c r="J86" s="47" t="s">
        <v>260</v>
      </c>
    </row>
    <row r="87" spans="1:10" ht="14.4">
      <c r="A87" s="48" t="s">
        <v>265</v>
      </c>
      <c r="B87" s="48">
        <v>9</v>
      </c>
      <c r="C87" s="48" t="s">
        <v>73</v>
      </c>
      <c r="D87" s="49">
        <v>8.7142857142857135</v>
      </c>
      <c r="E87" s="49">
        <v>73.099999999999994</v>
      </c>
      <c r="F87" s="49">
        <v>30</v>
      </c>
      <c r="G87" s="50">
        <f t="shared" si="2"/>
        <v>0.29047619047619044</v>
      </c>
      <c r="H87" s="51">
        <f t="shared" si="3"/>
        <v>8.388524590163934</v>
      </c>
      <c r="I87" s="48" t="s">
        <v>259</v>
      </c>
      <c r="J87" s="47" t="s">
        <v>260</v>
      </c>
    </row>
    <row r="88" spans="1:10" ht="14.4">
      <c r="A88" s="48" t="s">
        <v>265</v>
      </c>
      <c r="B88" s="48">
        <v>10</v>
      </c>
      <c r="C88" s="48" t="s">
        <v>75</v>
      </c>
      <c r="D88" s="49">
        <v>7.333333333333333</v>
      </c>
      <c r="E88" s="49">
        <v>76.099999999999994</v>
      </c>
      <c r="F88" s="49">
        <v>31</v>
      </c>
      <c r="G88" s="50">
        <f t="shared" si="2"/>
        <v>0.23655913978494622</v>
      </c>
      <c r="H88" s="51">
        <f t="shared" si="3"/>
        <v>10.377272727272727</v>
      </c>
      <c r="I88" s="48" t="s">
        <v>259</v>
      </c>
      <c r="J88" s="47" t="s">
        <v>260</v>
      </c>
    </row>
    <row r="89" spans="1:10" ht="14.4">
      <c r="A89" s="48" t="s">
        <v>265</v>
      </c>
      <c r="B89" s="48">
        <v>11</v>
      </c>
      <c r="C89" s="48" t="s">
        <v>76</v>
      </c>
      <c r="D89" s="49">
        <v>7.8</v>
      </c>
      <c r="E89" s="49">
        <v>65.2</v>
      </c>
      <c r="F89" s="49">
        <v>30</v>
      </c>
      <c r="G89" s="50">
        <f t="shared" si="2"/>
        <v>0.26</v>
      </c>
      <c r="H89" s="51">
        <f t="shared" si="3"/>
        <v>8.3589743589743595</v>
      </c>
      <c r="I89" s="48" t="s">
        <v>259</v>
      </c>
      <c r="J89" s="47" t="s">
        <v>260</v>
      </c>
    </row>
    <row r="90" spans="1:10" ht="14.4">
      <c r="A90" s="48" t="s">
        <v>265</v>
      </c>
      <c r="B90" s="48">
        <v>12</v>
      </c>
      <c r="C90" s="48" t="s">
        <v>77</v>
      </c>
      <c r="D90" s="49">
        <v>7.2413793103448274</v>
      </c>
      <c r="E90" s="49">
        <v>59.9</v>
      </c>
      <c r="F90" s="49">
        <v>31</v>
      </c>
      <c r="G90" s="50">
        <f t="shared" si="2"/>
        <v>0.23359288097886541</v>
      </c>
      <c r="H90" s="51">
        <f t="shared" si="3"/>
        <v>8.2719047619047625</v>
      </c>
      <c r="I90" s="48" t="s">
        <v>259</v>
      </c>
      <c r="J90" s="47" t="s">
        <v>260</v>
      </c>
    </row>
    <row r="91" spans="1:10" ht="14.4">
      <c r="A91" s="48" t="s">
        <v>266</v>
      </c>
      <c r="B91" s="48">
        <v>1</v>
      </c>
      <c r="C91" s="48" t="s">
        <v>55</v>
      </c>
      <c r="D91" s="49">
        <v>6.9333333333333336</v>
      </c>
      <c r="E91" s="49">
        <v>73.400000000000006</v>
      </c>
      <c r="F91" s="49">
        <v>31</v>
      </c>
      <c r="G91" s="50">
        <f t="shared" si="2"/>
        <v>0.22365591397849463</v>
      </c>
      <c r="H91" s="51">
        <f t="shared" si="3"/>
        <v>10.586538461538462</v>
      </c>
      <c r="I91" s="48" t="s">
        <v>259</v>
      </c>
      <c r="J91" s="47" t="s">
        <v>260</v>
      </c>
    </row>
    <row r="92" spans="1:10" ht="14.4">
      <c r="A92" s="48" t="s">
        <v>266</v>
      </c>
      <c r="B92" s="48">
        <v>2</v>
      </c>
      <c r="C92" s="48" t="s">
        <v>58</v>
      </c>
      <c r="D92" s="49">
        <v>6.3</v>
      </c>
      <c r="E92" s="49">
        <v>64.8</v>
      </c>
      <c r="F92" s="49">
        <v>28.266666666666666</v>
      </c>
      <c r="G92" s="50">
        <f t="shared" si="2"/>
        <v>0.22287735849056603</v>
      </c>
      <c r="H92" s="51">
        <f t="shared" si="3"/>
        <v>10.285714285714285</v>
      </c>
      <c r="I92" s="48" t="s">
        <v>259</v>
      </c>
      <c r="J92" s="47" t="s">
        <v>260</v>
      </c>
    </row>
    <row r="93" spans="1:10" ht="14.4">
      <c r="A93" s="48" t="s">
        <v>266</v>
      </c>
      <c r="B93" s="48">
        <v>3</v>
      </c>
      <c r="C93" s="48" t="s">
        <v>60</v>
      </c>
      <c r="D93" s="49">
        <v>7.1</v>
      </c>
      <c r="E93" s="49">
        <v>65.900000000000006</v>
      </c>
      <c r="F93" s="49">
        <v>31</v>
      </c>
      <c r="G93" s="50">
        <f t="shared" si="2"/>
        <v>0.22903225806451613</v>
      </c>
      <c r="H93" s="51">
        <f t="shared" si="3"/>
        <v>9.2816901408450718</v>
      </c>
      <c r="I93" s="48" t="s">
        <v>259</v>
      </c>
      <c r="J93" s="47" t="s">
        <v>260</v>
      </c>
    </row>
    <row r="94" spans="1:10" ht="14.4">
      <c r="A94" s="48" t="s">
        <v>266</v>
      </c>
      <c r="B94" s="48">
        <v>4</v>
      </c>
      <c r="C94" s="48" t="s">
        <v>62</v>
      </c>
      <c r="D94" s="49">
        <v>8.2068965517241388</v>
      </c>
      <c r="E94" s="49">
        <v>77.3</v>
      </c>
      <c r="F94" s="49">
        <v>30</v>
      </c>
      <c r="G94" s="50">
        <f t="shared" si="2"/>
        <v>0.27356321839080461</v>
      </c>
      <c r="H94" s="51">
        <f t="shared" si="3"/>
        <v>9.4189075630252095</v>
      </c>
      <c r="I94" s="48" t="s">
        <v>259</v>
      </c>
      <c r="J94" s="47" t="s">
        <v>260</v>
      </c>
    </row>
    <row r="95" spans="1:10" ht="14.4">
      <c r="A95" s="48" t="s">
        <v>266</v>
      </c>
      <c r="B95" s="48">
        <v>5</v>
      </c>
      <c r="C95" s="48" t="s">
        <v>65</v>
      </c>
      <c r="D95" s="49">
        <v>8.8333333333333339</v>
      </c>
      <c r="E95" s="49">
        <v>79.400000000000006</v>
      </c>
      <c r="F95" s="49">
        <v>31</v>
      </c>
      <c r="G95" s="50">
        <f t="shared" si="2"/>
        <v>0.28494623655913981</v>
      </c>
      <c r="H95" s="51">
        <f t="shared" si="3"/>
        <v>8.9886792452830182</v>
      </c>
      <c r="I95" s="48" t="s">
        <v>259</v>
      </c>
      <c r="J95" s="47" t="s">
        <v>260</v>
      </c>
    </row>
    <row r="96" spans="1:10" ht="14.4">
      <c r="A96" s="48" t="s">
        <v>266</v>
      </c>
      <c r="B96" s="48">
        <v>6</v>
      </c>
      <c r="C96" s="48" t="s">
        <v>68</v>
      </c>
      <c r="D96" s="49">
        <v>10.533333333333333</v>
      </c>
      <c r="E96" s="49">
        <v>93</v>
      </c>
      <c r="F96" s="49">
        <v>30</v>
      </c>
      <c r="G96" s="50">
        <f t="shared" si="2"/>
        <v>0.3511111111111111</v>
      </c>
      <c r="H96" s="51">
        <f t="shared" si="3"/>
        <v>8.8291139240506329</v>
      </c>
      <c r="I96" s="48" t="s">
        <v>259</v>
      </c>
      <c r="J96" s="47" t="s">
        <v>260</v>
      </c>
    </row>
    <row r="97" spans="1:10" ht="14.4">
      <c r="A97" s="48" t="s">
        <v>266</v>
      </c>
      <c r="B97" s="48">
        <v>7</v>
      </c>
      <c r="C97" s="48" t="s">
        <v>69</v>
      </c>
      <c r="D97" s="49">
        <v>11.2</v>
      </c>
      <c r="E97" s="49">
        <v>99.8</v>
      </c>
      <c r="F97" s="49">
        <v>31</v>
      </c>
      <c r="G97" s="50">
        <f t="shared" si="2"/>
        <v>0.36129032258064514</v>
      </c>
      <c r="H97" s="51">
        <f t="shared" si="3"/>
        <v>8.9107142857142865</v>
      </c>
      <c r="I97" s="48" t="s">
        <v>259</v>
      </c>
      <c r="J97" s="47" t="s">
        <v>260</v>
      </c>
    </row>
    <row r="98" spans="1:10" ht="14.4">
      <c r="A98" s="48" t="s">
        <v>266</v>
      </c>
      <c r="B98" s="48">
        <v>8</v>
      </c>
      <c r="C98" s="48" t="s">
        <v>71</v>
      </c>
      <c r="D98" s="49">
        <v>11.666666666666666</v>
      </c>
      <c r="E98" s="49">
        <v>88.6</v>
      </c>
      <c r="F98" s="49">
        <v>31</v>
      </c>
      <c r="G98" s="50">
        <f t="shared" si="2"/>
        <v>0.37634408602150538</v>
      </c>
      <c r="H98" s="51">
        <f t="shared" si="3"/>
        <v>7.5942857142857143</v>
      </c>
      <c r="I98" s="48" t="s">
        <v>259</v>
      </c>
      <c r="J98" s="47" t="s">
        <v>260</v>
      </c>
    </row>
    <row r="99" spans="1:10" ht="14.4">
      <c r="A99" s="48" t="s">
        <v>266</v>
      </c>
      <c r="B99" s="48">
        <v>9</v>
      </c>
      <c r="C99" s="48" t="s">
        <v>73</v>
      </c>
      <c r="D99" s="49">
        <v>10.8</v>
      </c>
      <c r="E99" s="49">
        <v>79</v>
      </c>
      <c r="F99" s="49">
        <v>30</v>
      </c>
      <c r="G99" s="50">
        <f t="shared" si="2"/>
        <v>0.36000000000000004</v>
      </c>
      <c r="H99" s="51">
        <f t="shared" si="3"/>
        <v>7.314814814814814</v>
      </c>
      <c r="I99" s="48" t="s">
        <v>259</v>
      </c>
      <c r="J99" s="47" t="s">
        <v>260</v>
      </c>
    </row>
    <row r="100" spans="1:10" ht="14.4">
      <c r="A100" s="48" t="s">
        <v>266</v>
      </c>
      <c r="B100" s="48">
        <v>10</v>
      </c>
      <c r="C100" s="48" t="s">
        <v>75</v>
      </c>
      <c r="D100" s="49">
        <v>10.1</v>
      </c>
      <c r="E100" s="49">
        <v>74.2</v>
      </c>
      <c r="F100" s="49">
        <v>31</v>
      </c>
      <c r="G100" s="50">
        <f t="shared" si="2"/>
        <v>0.32580645161290323</v>
      </c>
      <c r="H100" s="51">
        <f t="shared" si="3"/>
        <v>7.3465346534653468</v>
      </c>
      <c r="I100" s="48" t="s">
        <v>259</v>
      </c>
      <c r="J100" s="47" t="s">
        <v>260</v>
      </c>
    </row>
    <row r="101" spans="1:10" ht="14.4">
      <c r="A101" s="48" t="s">
        <v>266</v>
      </c>
      <c r="B101" s="48">
        <v>11</v>
      </c>
      <c r="C101" s="48" t="s">
        <v>76</v>
      </c>
      <c r="D101" s="49">
        <v>8.6666666666666661</v>
      </c>
      <c r="E101" s="49">
        <v>64.7</v>
      </c>
      <c r="F101" s="49">
        <v>30</v>
      </c>
      <c r="G101" s="50">
        <f t="shared" si="2"/>
        <v>0.28888888888888886</v>
      </c>
      <c r="H101" s="51">
        <f t="shared" si="3"/>
        <v>7.4653846153846164</v>
      </c>
      <c r="I101" s="48" t="s">
        <v>259</v>
      </c>
      <c r="J101" s="47" t="s">
        <v>260</v>
      </c>
    </row>
    <row r="102" spans="1:10" ht="14.4">
      <c r="A102" s="48" t="s">
        <v>266</v>
      </c>
      <c r="B102" s="48">
        <v>12</v>
      </c>
      <c r="C102" s="48" t="s">
        <v>77</v>
      </c>
      <c r="D102" s="49">
        <v>9.5</v>
      </c>
      <c r="E102" s="49">
        <v>88</v>
      </c>
      <c r="F102" s="49">
        <v>31</v>
      </c>
      <c r="G102" s="50">
        <f t="shared" si="2"/>
        <v>0.30645161290322581</v>
      </c>
      <c r="H102" s="51">
        <f t="shared" si="3"/>
        <v>9.2631578947368425</v>
      </c>
      <c r="I102" s="48" t="s">
        <v>259</v>
      </c>
      <c r="J102" s="47" t="s">
        <v>260</v>
      </c>
    </row>
    <row r="103" spans="1:10" ht="14.4">
      <c r="A103" s="48" t="s">
        <v>267</v>
      </c>
      <c r="B103" s="48">
        <v>1</v>
      </c>
      <c r="C103" s="48" t="s">
        <v>55</v>
      </c>
      <c r="D103" s="49">
        <v>8.137931034482758</v>
      </c>
      <c r="E103" s="49">
        <v>76.3</v>
      </c>
      <c r="F103" s="49">
        <v>31</v>
      </c>
      <c r="G103" s="50">
        <f t="shared" si="2"/>
        <v>0.26251390433815347</v>
      </c>
      <c r="H103" s="51">
        <f t="shared" si="3"/>
        <v>9.3758474576271187</v>
      </c>
      <c r="I103" s="48" t="s">
        <v>259</v>
      </c>
      <c r="J103" s="47" t="s">
        <v>260</v>
      </c>
    </row>
    <row r="104" spans="1:10" ht="14.4">
      <c r="A104" s="48" t="s">
        <v>267</v>
      </c>
      <c r="B104" s="48">
        <v>2</v>
      </c>
      <c r="C104" s="48" t="s">
        <v>58</v>
      </c>
      <c r="D104" s="49">
        <v>7.8275862068965516</v>
      </c>
      <c r="E104" s="49">
        <v>89.8</v>
      </c>
      <c r="F104" s="49">
        <v>28.266666666666666</v>
      </c>
      <c r="G104" s="50">
        <f t="shared" si="2"/>
        <v>0.27691932335718933</v>
      </c>
      <c r="H104" s="51">
        <f t="shared" si="3"/>
        <v>11.472246696035242</v>
      </c>
      <c r="I104" s="48" t="s">
        <v>259</v>
      </c>
      <c r="J104" s="47" t="s">
        <v>260</v>
      </c>
    </row>
    <row r="105" spans="1:10" ht="14.4">
      <c r="A105" s="48" t="s">
        <v>267</v>
      </c>
      <c r="B105" s="48">
        <v>3</v>
      </c>
      <c r="C105" s="48" t="s">
        <v>60</v>
      </c>
      <c r="D105" s="49">
        <v>8.5517241379310338</v>
      </c>
      <c r="E105" s="49">
        <v>91.1</v>
      </c>
      <c r="F105" s="49">
        <v>31</v>
      </c>
      <c r="G105" s="50">
        <f t="shared" si="2"/>
        <v>0.27586206896551724</v>
      </c>
      <c r="H105" s="51">
        <f t="shared" si="3"/>
        <v>10.652822580645161</v>
      </c>
      <c r="I105" s="48" t="s">
        <v>259</v>
      </c>
      <c r="J105" s="47" t="s">
        <v>260</v>
      </c>
    </row>
    <row r="106" spans="1:10" ht="14.4">
      <c r="A106" s="48" t="s">
        <v>267</v>
      </c>
      <c r="B106" s="48">
        <v>4</v>
      </c>
      <c r="C106" s="48" t="s">
        <v>62</v>
      </c>
      <c r="D106" s="49">
        <v>10.344827586206897</v>
      </c>
      <c r="E106" s="49">
        <v>117.1</v>
      </c>
      <c r="F106" s="49">
        <v>30</v>
      </c>
      <c r="G106" s="50">
        <f t="shared" si="2"/>
        <v>0.34482758620689657</v>
      </c>
      <c r="H106" s="51">
        <f t="shared" si="3"/>
        <v>11.319666666666667</v>
      </c>
      <c r="I106" s="48" t="s">
        <v>259</v>
      </c>
      <c r="J106" s="47" t="s">
        <v>260</v>
      </c>
    </row>
    <row r="107" spans="1:10" ht="14.4">
      <c r="A107" s="48" t="s">
        <v>267</v>
      </c>
      <c r="B107" s="48">
        <v>5</v>
      </c>
      <c r="C107" s="48" t="s">
        <v>65</v>
      </c>
      <c r="D107" s="49">
        <v>13.592592592592593</v>
      </c>
      <c r="E107" s="49">
        <v>149.4</v>
      </c>
      <c r="F107" s="49">
        <v>31</v>
      </c>
      <c r="G107" s="50">
        <f t="shared" si="2"/>
        <v>0.43847072879330945</v>
      </c>
      <c r="H107" s="51">
        <f t="shared" si="3"/>
        <v>10.991280653950954</v>
      </c>
      <c r="I107" s="48" t="s">
        <v>259</v>
      </c>
      <c r="J107" s="47" t="s">
        <v>260</v>
      </c>
    </row>
    <row r="108" spans="1:10" ht="14.4">
      <c r="A108" s="48" t="s">
        <v>267</v>
      </c>
      <c r="B108" s="48">
        <v>6</v>
      </c>
      <c r="C108" s="48" t="s">
        <v>68</v>
      </c>
      <c r="D108" s="49">
        <v>14.62962962962963</v>
      </c>
      <c r="E108" s="49">
        <v>143.6</v>
      </c>
      <c r="F108" s="49">
        <v>30</v>
      </c>
      <c r="G108" s="50">
        <f t="shared" si="2"/>
        <v>0.48765432098765432</v>
      </c>
      <c r="H108" s="51">
        <f t="shared" si="3"/>
        <v>9.8156962025316457</v>
      </c>
      <c r="I108" s="48" t="s">
        <v>259</v>
      </c>
      <c r="J108" s="47" t="s">
        <v>260</v>
      </c>
    </row>
    <row r="109" spans="1:10" ht="14.4">
      <c r="A109" s="48" t="s">
        <v>267</v>
      </c>
      <c r="B109" s="48">
        <v>7</v>
      </c>
      <c r="C109" s="48" t="s">
        <v>69</v>
      </c>
      <c r="D109" s="49">
        <v>14.5</v>
      </c>
      <c r="E109" s="49">
        <v>141.30000000000001</v>
      </c>
      <c r="F109" s="49">
        <v>31</v>
      </c>
      <c r="G109" s="50">
        <f t="shared" si="2"/>
        <v>0.46774193548387094</v>
      </c>
      <c r="H109" s="51">
        <f t="shared" si="3"/>
        <v>9.7448275862068972</v>
      </c>
      <c r="I109" s="48" t="s">
        <v>259</v>
      </c>
      <c r="J109" s="47" t="s">
        <v>260</v>
      </c>
    </row>
    <row r="110" spans="1:10" ht="14.4">
      <c r="A110" s="48" t="s">
        <v>267</v>
      </c>
      <c r="B110" s="48">
        <v>8</v>
      </c>
      <c r="C110" s="48" t="s">
        <v>71</v>
      </c>
      <c r="D110" s="49">
        <v>14.785714285714286</v>
      </c>
      <c r="E110" s="49">
        <v>128.80000000000001</v>
      </c>
      <c r="F110" s="49">
        <v>31</v>
      </c>
      <c r="G110" s="50">
        <f t="shared" si="2"/>
        <v>0.47695852534562216</v>
      </c>
      <c r="H110" s="51">
        <f t="shared" si="3"/>
        <v>8.7111111111111121</v>
      </c>
      <c r="I110" s="48" t="s">
        <v>259</v>
      </c>
      <c r="J110" s="47" t="s">
        <v>260</v>
      </c>
    </row>
    <row r="111" spans="1:10" ht="14.4">
      <c r="A111" s="48" t="s">
        <v>267</v>
      </c>
      <c r="B111" s="48">
        <v>9</v>
      </c>
      <c r="C111" s="48" t="s">
        <v>73</v>
      </c>
      <c r="D111" s="49">
        <v>14.241379310344827</v>
      </c>
      <c r="E111" s="49">
        <v>122.9</v>
      </c>
      <c r="F111" s="49">
        <v>30</v>
      </c>
      <c r="G111" s="50">
        <f t="shared" si="2"/>
        <v>0.47471264367816091</v>
      </c>
      <c r="H111" s="51">
        <f t="shared" si="3"/>
        <v>8.6297820823244553</v>
      </c>
      <c r="I111" s="48" t="s">
        <v>259</v>
      </c>
      <c r="J111" s="47" t="s">
        <v>260</v>
      </c>
    </row>
    <row r="112" spans="1:10" ht="14.4">
      <c r="A112" s="48" t="s">
        <v>267</v>
      </c>
      <c r="B112" s="48">
        <v>10</v>
      </c>
      <c r="C112" s="48" t="s">
        <v>75</v>
      </c>
      <c r="D112" s="49">
        <v>12.896551724137931</v>
      </c>
      <c r="E112" s="49">
        <v>127</v>
      </c>
      <c r="F112" s="49">
        <v>31</v>
      </c>
      <c r="G112" s="50">
        <f t="shared" si="2"/>
        <v>0.41601779755283647</v>
      </c>
      <c r="H112" s="51">
        <f t="shared" si="3"/>
        <v>9.8475935828877006</v>
      </c>
      <c r="I112" s="48" t="s">
        <v>259</v>
      </c>
      <c r="J112" s="47" t="s">
        <v>260</v>
      </c>
    </row>
    <row r="113" spans="1:10" ht="14.4">
      <c r="A113" s="48" t="s">
        <v>267</v>
      </c>
      <c r="B113" s="48">
        <v>11</v>
      </c>
      <c r="C113" s="48" t="s">
        <v>76</v>
      </c>
      <c r="D113" s="49">
        <v>10.933333333333334</v>
      </c>
      <c r="E113" s="49">
        <v>103.7</v>
      </c>
      <c r="F113" s="49">
        <v>30</v>
      </c>
      <c r="G113" s="50">
        <f t="shared" si="2"/>
        <v>0.36444444444444446</v>
      </c>
      <c r="H113" s="51">
        <f t="shared" si="3"/>
        <v>9.4847560975609753</v>
      </c>
      <c r="I113" s="48" t="s">
        <v>259</v>
      </c>
      <c r="J113" s="47" t="s">
        <v>260</v>
      </c>
    </row>
    <row r="114" spans="1:10" ht="14.4">
      <c r="A114" s="48" t="s">
        <v>267</v>
      </c>
      <c r="B114" s="48">
        <v>12</v>
      </c>
      <c r="C114" s="48" t="s">
        <v>77</v>
      </c>
      <c r="D114" s="49">
        <v>11.482758620689655</v>
      </c>
      <c r="E114" s="49">
        <v>119.3</v>
      </c>
      <c r="F114" s="49">
        <v>31</v>
      </c>
      <c r="G114" s="50">
        <f t="shared" si="2"/>
        <v>0.37041156840934369</v>
      </c>
      <c r="H114" s="51">
        <f t="shared" si="3"/>
        <v>10.38948948948949</v>
      </c>
      <c r="I114" s="48" t="s">
        <v>259</v>
      </c>
      <c r="J114" s="47" t="s">
        <v>260</v>
      </c>
    </row>
    <row r="115" spans="1:10" ht="14.4">
      <c r="A115" s="48" t="s">
        <v>268</v>
      </c>
      <c r="B115" s="48">
        <v>1</v>
      </c>
      <c r="C115" s="48" t="s">
        <v>55</v>
      </c>
      <c r="D115" s="49">
        <v>6.2</v>
      </c>
      <c r="E115" s="49">
        <v>63.8</v>
      </c>
      <c r="F115" s="49">
        <v>31</v>
      </c>
      <c r="G115" s="50">
        <f t="shared" si="2"/>
        <v>0.2</v>
      </c>
      <c r="H115" s="51">
        <f t="shared" si="3"/>
        <v>10.29032258064516</v>
      </c>
      <c r="I115" s="48" t="s">
        <v>259</v>
      </c>
      <c r="J115" s="47" t="s">
        <v>260</v>
      </c>
    </row>
    <row r="116" spans="1:10" ht="14.4">
      <c r="A116" s="48" t="s">
        <v>268</v>
      </c>
      <c r="B116" s="48">
        <v>2</v>
      </c>
      <c r="C116" s="48" t="s">
        <v>58</v>
      </c>
      <c r="D116" s="49">
        <v>6.2</v>
      </c>
      <c r="E116" s="49">
        <v>54.1</v>
      </c>
      <c r="F116" s="49">
        <v>28.266666666666666</v>
      </c>
      <c r="G116" s="50">
        <f t="shared" si="2"/>
        <v>0.21933962264150944</v>
      </c>
      <c r="H116" s="51">
        <f t="shared" si="3"/>
        <v>8.7258064516129039</v>
      </c>
      <c r="I116" s="48" t="s">
        <v>259</v>
      </c>
      <c r="J116" s="47" t="s">
        <v>260</v>
      </c>
    </row>
    <row r="117" spans="1:10" ht="14.4">
      <c r="A117" s="48" t="s">
        <v>268</v>
      </c>
      <c r="B117" s="48">
        <v>3</v>
      </c>
      <c r="C117" s="48" t="s">
        <v>60</v>
      </c>
      <c r="D117" s="49">
        <v>7.3666666666666663</v>
      </c>
      <c r="E117" s="49">
        <v>61.8</v>
      </c>
      <c r="F117" s="49">
        <v>31</v>
      </c>
      <c r="G117" s="50">
        <f t="shared" si="2"/>
        <v>0.23763440860215052</v>
      </c>
      <c r="H117" s="51">
        <f t="shared" si="3"/>
        <v>8.3891402714932131</v>
      </c>
      <c r="I117" s="48" t="s">
        <v>259</v>
      </c>
      <c r="J117" s="47" t="s">
        <v>260</v>
      </c>
    </row>
    <row r="118" spans="1:10" ht="14.4">
      <c r="A118" s="48" t="s">
        <v>268</v>
      </c>
      <c r="B118" s="48">
        <v>4</v>
      </c>
      <c r="C118" s="48" t="s">
        <v>62</v>
      </c>
      <c r="D118" s="49">
        <v>7.7586206896551726</v>
      </c>
      <c r="E118" s="49">
        <v>81.2</v>
      </c>
      <c r="F118" s="49">
        <v>30</v>
      </c>
      <c r="G118" s="50">
        <f t="shared" si="2"/>
        <v>0.25862068965517243</v>
      </c>
      <c r="H118" s="51">
        <f t="shared" si="3"/>
        <v>10.465777777777777</v>
      </c>
      <c r="I118" s="48" t="s">
        <v>259</v>
      </c>
      <c r="J118" s="47" t="s">
        <v>260</v>
      </c>
    </row>
    <row r="119" spans="1:10" ht="14.4">
      <c r="A119" s="48" t="s">
        <v>268</v>
      </c>
      <c r="B119" s="48">
        <v>5</v>
      </c>
      <c r="C119" s="48" t="s">
        <v>65</v>
      </c>
      <c r="D119" s="49">
        <v>6.8620689655172411</v>
      </c>
      <c r="E119" s="49">
        <v>62.2</v>
      </c>
      <c r="F119" s="49">
        <v>31</v>
      </c>
      <c r="G119" s="50">
        <f t="shared" si="2"/>
        <v>0.22135706340378197</v>
      </c>
      <c r="H119" s="51">
        <f t="shared" si="3"/>
        <v>9.0643216080402009</v>
      </c>
      <c r="I119" s="48" t="s">
        <v>259</v>
      </c>
      <c r="J119" s="47" t="s">
        <v>260</v>
      </c>
    </row>
    <row r="120" spans="1:10" ht="14.4">
      <c r="A120" s="48" t="s">
        <v>268</v>
      </c>
      <c r="B120" s="48">
        <v>6</v>
      </c>
      <c r="C120" s="48" t="s">
        <v>68</v>
      </c>
      <c r="D120" s="49">
        <v>7.8666666666666663</v>
      </c>
      <c r="E120" s="49">
        <v>78.5</v>
      </c>
      <c r="F120" s="49">
        <v>30</v>
      </c>
      <c r="G120" s="50">
        <f t="shared" si="2"/>
        <v>0.26222222222222219</v>
      </c>
      <c r="H120" s="51">
        <f t="shared" si="3"/>
        <v>9.9788135593220346</v>
      </c>
      <c r="I120" s="48" t="s">
        <v>259</v>
      </c>
      <c r="J120" s="47" t="s">
        <v>260</v>
      </c>
    </row>
    <row r="121" spans="1:10" ht="14.4">
      <c r="A121" s="48" t="s">
        <v>268</v>
      </c>
      <c r="B121" s="48">
        <v>7</v>
      </c>
      <c r="C121" s="48" t="s">
        <v>69</v>
      </c>
      <c r="D121" s="49">
        <v>8.8333333333333339</v>
      </c>
      <c r="E121" s="49">
        <v>97</v>
      </c>
      <c r="F121" s="49">
        <v>31</v>
      </c>
      <c r="G121" s="50">
        <f t="shared" si="2"/>
        <v>0.28494623655913981</v>
      </c>
      <c r="H121" s="51">
        <f t="shared" si="3"/>
        <v>10.981132075471697</v>
      </c>
      <c r="I121" s="48" t="s">
        <v>259</v>
      </c>
      <c r="J121" s="47" t="s">
        <v>260</v>
      </c>
    </row>
    <row r="122" spans="1:10" ht="14.4">
      <c r="A122" s="48" t="s">
        <v>268</v>
      </c>
      <c r="B122" s="48">
        <v>8</v>
      </c>
      <c r="C122" s="48" t="s">
        <v>71</v>
      </c>
      <c r="D122" s="49">
        <v>7.9333333333333336</v>
      </c>
      <c r="E122" s="49">
        <v>57</v>
      </c>
      <c r="F122" s="49">
        <v>31</v>
      </c>
      <c r="G122" s="50">
        <f t="shared" si="2"/>
        <v>0.25591397849462366</v>
      </c>
      <c r="H122" s="51">
        <f t="shared" si="3"/>
        <v>7.1848739495798313</v>
      </c>
      <c r="I122" s="48" t="s">
        <v>259</v>
      </c>
      <c r="J122" s="47" t="s">
        <v>260</v>
      </c>
    </row>
    <row r="123" spans="1:10" ht="14.4">
      <c r="A123" s="48" t="s">
        <v>268</v>
      </c>
      <c r="B123" s="48">
        <v>9</v>
      </c>
      <c r="C123" s="48" t="s">
        <v>73</v>
      </c>
      <c r="D123" s="49">
        <v>7.4666666666666668</v>
      </c>
      <c r="E123" s="49">
        <v>58.1</v>
      </c>
      <c r="F123" s="49">
        <v>30</v>
      </c>
      <c r="G123" s="50">
        <f t="shared" si="2"/>
        <v>0.24888888888888888</v>
      </c>
      <c r="H123" s="51">
        <f t="shared" si="3"/>
        <v>7.78125</v>
      </c>
      <c r="I123" s="48" t="s">
        <v>259</v>
      </c>
      <c r="J123" s="47" t="s">
        <v>260</v>
      </c>
    </row>
    <row r="124" spans="1:10" ht="14.4">
      <c r="A124" s="48" t="s">
        <v>268</v>
      </c>
      <c r="B124" s="48">
        <v>10</v>
      </c>
      <c r="C124" s="48" t="s">
        <v>75</v>
      </c>
      <c r="D124" s="49">
        <v>7.4333333333333336</v>
      </c>
      <c r="E124" s="49">
        <v>60.9</v>
      </c>
      <c r="F124" s="49">
        <v>31</v>
      </c>
      <c r="G124" s="50">
        <f t="shared" si="2"/>
        <v>0.23978494623655916</v>
      </c>
      <c r="H124" s="51">
        <f t="shared" si="3"/>
        <v>8.1928251121076237</v>
      </c>
      <c r="I124" s="48" t="s">
        <v>259</v>
      </c>
      <c r="J124" s="47" t="s">
        <v>260</v>
      </c>
    </row>
    <row r="125" spans="1:10" ht="14.4">
      <c r="A125" s="48" t="s">
        <v>268</v>
      </c>
      <c r="B125" s="48">
        <v>11</v>
      </c>
      <c r="C125" s="48" t="s">
        <v>76</v>
      </c>
      <c r="D125" s="49">
        <v>6.5172413793103452</v>
      </c>
      <c r="E125" s="49">
        <v>57.3</v>
      </c>
      <c r="F125" s="49">
        <v>30</v>
      </c>
      <c r="G125" s="50">
        <f t="shared" si="2"/>
        <v>0.21724137931034485</v>
      </c>
      <c r="H125" s="51">
        <f t="shared" si="3"/>
        <v>8.792063492063491</v>
      </c>
      <c r="I125" s="48" t="s">
        <v>259</v>
      </c>
      <c r="J125" s="47" t="s">
        <v>260</v>
      </c>
    </row>
    <row r="126" spans="1:10" ht="14.4">
      <c r="A126" s="48" t="s">
        <v>268</v>
      </c>
      <c r="B126" s="48">
        <v>12</v>
      </c>
      <c r="C126" s="48" t="s">
        <v>77</v>
      </c>
      <c r="D126" s="49">
        <v>6.9333333333333336</v>
      </c>
      <c r="E126" s="49">
        <v>57.8</v>
      </c>
      <c r="F126" s="49">
        <v>31</v>
      </c>
      <c r="G126" s="50">
        <f t="shared" si="2"/>
        <v>0.22365591397849463</v>
      </c>
      <c r="H126" s="51">
        <f t="shared" si="3"/>
        <v>8.3365384615384617</v>
      </c>
      <c r="I126" s="48" t="s">
        <v>259</v>
      </c>
      <c r="J126" s="47" t="s">
        <v>260</v>
      </c>
    </row>
    <row r="127" spans="1:10" ht="14.4">
      <c r="A127" s="48" t="s">
        <v>269</v>
      </c>
      <c r="B127" s="48">
        <v>1</v>
      </c>
      <c r="C127" s="48" t="s">
        <v>55</v>
      </c>
      <c r="D127" s="49">
        <v>6.333333333333333</v>
      </c>
      <c r="E127" s="49">
        <v>58.1</v>
      </c>
      <c r="F127" s="49">
        <v>31</v>
      </c>
      <c r="G127" s="50">
        <f t="shared" si="2"/>
        <v>0.20430107526881719</v>
      </c>
      <c r="H127" s="51">
        <f t="shared" si="3"/>
        <v>9.1736842105263161</v>
      </c>
      <c r="I127" s="48" t="s">
        <v>259</v>
      </c>
      <c r="J127" s="47" t="s">
        <v>260</v>
      </c>
    </row>
    <row r="128" spans="1:10" ht="14.4">
      <c r="A128" s="48" t="s">
        <v>269</v>
      </c>
      <c r="B128" s="48">
        <v>2</v>
      </c>
      <c r="C128" s="48" t="s">
        <v>58</v>
      </c>
      <c r="D128" s="49">
        <v>6.3571428571428568</v>
      </c>
      <c r="E128" s="49">
        <v>69.599999999999994</v>
      </c>
      <c r="F128" s="49">
        <v>28.266666666666666</v>
      </c>
      <c r="G128" s="50">
        <f t="shared" si="2"/>
        <v>0.2248989218328841</v>
      </c>
      <c r="H128" s="51">
        <f t="shared" si="3"/>
        <v>10.948314606741572</v>
      </c>
      <c r="I128" s="48" t="s">
        <v>259</v>
      </c>
      <c r="J128" s="47" t="s">
        <v>260</v>
      </c>
    </row>
    <row r="129" spans="1:10" ht="14.4">
      <c r="A129" s="48" t="s">
        <v>269</v>
      </c>
      <c r="B129" s="48">
        <v>3</v>
      </c>
      <c r="C129" s="48" t="s">
        <v>60</v>
      </c>
      <c r="D129" s="49">
        <v>7.5517241379310347</v>
      </c>
      <c r="E129" s="49">
        <v>60.5</v>
      </c>
      <c r="F129" s="49">
        <v>31</v>
      </c>
      <c r="G129" s="50">
        <f t="shared" si="2"/>
        <v>0.24360400444938821</v>
      </c>
      <c r="H129" s="51">
        <f t="shared" si="3"/>
        <v>8.0114155251141543</v>
      </c>
      <c r="I129" s="48" t="s">
        <v>259</v>
      </c>
      <c r="J129" s="47" t="s">
        <v>260</v>
      </c>
    </row>
    <row r="130" spans="1:10" ht="14.4">
      <c r="A130" s="48" t="s">
        <v>269</v>
      </c>
      <c r="B130" s="48">
        <v>4</v>
      </c>
      <c r="C130" s="48" t="s">
        <v>62</v>
      </c>
      <c r="D130" s="49">
        <v>8.931034482758621</v>
      </c>
      <c r="E130" s="49">
        <v>84.5</v>
      </c>
      <c r="F130" s="49">
        <v>30</v>
      </c>
      <c r="G130" s="50">
        <f t="shared" si="2"/>
        <v>0.29770114942528736</v>
      </c>
      <c r="H130" s="51">
        <f t="shared" si="3"/>
        <v>9.4613899613899619</v>
      </c>
      <c r="I130" s="48" t="s">
        <v>259</v>
      </c>
      <c r="J130" s="47" t="s">
        <v>260</v>
      </c>
    </row>
    <row r="131" spans="1:10" ht="14.4">
      <c r="A131" s="48" t="s">
        <v>269</v>
      </c>
      <c r="B131" s="48">
        <v>5</v>
      </c>
      <c r="C131" s="48" t="s">
        <v>65</v>
      </c>
      <c r="D131" s="49">
        <v>10</v>
      </c>
      <c r="E131" s="49">
        <v>80.8</v>
      </c>
      <c r="F131" s="49">
        <v>31</v>
      </c>
      <c r="G131" s="50">
        <f t="shared" si="2"/>
        <v>0.32258064516129031</v>
      </c>
      <c r="H131" s="51">
        <f t="shared" si="3"/>
        <v>8.08</v>
      </c>
      <c r="I131" s="48" t="s">
        <v>259</v>
      </c>
      <c r="J131" s="47" t="s">
        <v>260</v>
      </c>
    </row>
    <row r="132" spans="1:10" ht="14.4">
      <c r="A132" s="48" t="s">
        <v>269</v>
      </c>
      <c r="B132" s="48">
        <v>6</v>
      </c>
      <c r="C132" s="48" t="s">
        <v>68</v>
      </c>
      <c r="D132" s="49">
        <v>11.6</v>
      </c>
      <c r="E132" s="49">
        <v>90.3</v>
      </c>
      <c r="F132" s="49">
        <v>30</v>
      </c>
      <c r="G132" s="50">
        <f t="shared" si="2"/>
        <v>0.38666666666666666</v>
      </c>
      <c r="H132" s="51">
        <f t="shared" si="3"/>
        <v>7.7844827586206895</v>
      </c>
      <c r="I132" s="48" t="s">
        <v>259</v>
      </c>
      <c r="J132" s="47" t="s">
        <v>260</v>
      </c>
    </row>
    <row r="133" spans="1:10" ht="14.4">
      <c r="A133" s="48" t="s">
        <v>269</v>
      </c>
      <c r="B133" s="48">
        <v>7</v>
      </c>
      <c r="C133" s="48" t="s">
        <v>69</v>
      </c>
      <c r="D133" s="49">
        <v>11.3</v>
      </c>
      <c r="E133" s="49">
        <v>87</v>
      </c>
      <c r="F133" s="49">
        <v>31</v>
      </c>
      <c r="G133" s="50">
        <f t="shared" si="2"/>
        <v>0.36451612903225811</v>
      </c>
      <c r="H133" s="51">
        <f t="shared" si="3"/>
        <v>7.6991150442477867</v>
      </c>
      <c r="I133" s="48" t="s">
        <v>259</v>
      </c>
      <c r="J133" s="47" t="s">
        <v>260</v>
      </c>
    </row>
    <row r="134" spans="1:10" ht="14.4">
      <c r="A134" s="48" t="s">
        <v>269</v>
      </c>
      <c r="B134" s="48">
        <v>8</v>
      </c>
      <c r="C134" s="48" t="s">
        <v>71</v>
      </c>
      <c r="D134" s="49">
        <v>12.1</v>
      </c>
      <c r="E134" s="49">
        <v>83.5</v>
      </c>
      <c r="F134" s="49">
        <v>31</v>
      </c>
      <c r="G134" s="50">
        <f t="shared" si="2"/>
        <v>0.39032258064516129</v>
      </c>
      <c r="H134" s="51">
        <f t="shared" si="3"/>
        <v>6.9008264462809921</v>
      </c>
      <c r="I134" s="48" t="s">
        <v>259</v>
      </c>
      <c r="J134" s="47" t="s">
        <v>260</v>
      </c>
    </row>
    <row r="135" spans="1:10" ht="14.4">
      <c r="A135" s="48" t="s">
        <v>269</v>
      </c>
      <c r="B135" s="48">
        <v>9</v>
      </c>
      <c r="C135" s="48" t="s">
        <v>73</v>
      </c>
      <c r="D135" s="49">
        <v>10.5</v>
      </c>
      <c r="E135" s="49">
        <v>75.900000000000006</v>
      </c>
      <c r="F135" s="49">
        <v>30</v>
      </c>
      <c r="G135" s="50">
        <f t="shared" ref="G135:G198" si="4">IFERROR(D135/F135,0)</f>
        <v>0.35</v>
      </c>
      <c r="H135" s="51">
        <f t="shared" ref="H135:H198" si="5">IFERROR(E135/D135,0)</f>
        <v>7.2285714285714295</v>
      </c>
      <c r="I135" s="48" t="s">
        <v>259</v>
      </c>
      <c r="J135" s="47" t="s">
        <v>260</v>
      </c>
    </row>
    <row r="136" spans="1:10" ht="14.4">
      <c r="A136" s="48" t="s">
        <v>269</v>
      </c>
      <c r="B136" s="48">
        <v>10</v>
      </c>
      <c r="C136" s="48" t="s">
        <v>75</v>
      </c>
      <c r="D136" s="49">
        <v>10.466666666666667</v>
      </c>
      <c r="E136" s="49">
        <v>89.1</v>
      </c>
      <c r="F136" s="49">
        <v>31</v>
      </c>
      <c r="G136" s="50">
        <f t="shared" si="4"/>
        <v>0.33763440860215055</v>
      </c>
      <c r="H136" s="51">
        <f t="shared" si="5"/>
        <v>8.5127388535031834</v>
      </c>
      <c r="I136" s="48" t="s">
        <v>259</v>
      </c>
      <c r="J136" s="47" t="s">
        <v>260</v>
      </c>
    </row>
    <row r="137" spans="1:10" ht="14.4">
      <c r="A137" s="48" t="s">
        <v>269</v>
      </c>
      <c r="B137" s="48">
        <v>11</v>
      </c>
      <c r="C137" s="48" t="s">
        <v>76</v>
      </c>
      <c r="D137" s="49">
        <v>9.1999999999999993</v>
      </c>
      <c r="E137" s="49">
        <v>75.3</v>
      </c>
      <c r="F137" s="49">
        <v>30</v>
      </c>
      <c r="G137" s="50">
        <f t="shared" si="4"/>
        <v>0.30666666666666664</v>
      </c>
      <c r="H137" s="51">
        <f t="shared" si="5"/>
        <v>8.1847826086956523</v>
      </c>
      <c r="I137" s="48" t="s">
        <v>259</v>
      </c>
      <c r="J137" s="47" t="s">
        <v>260</v>
      </c>
    </row>
    <row r="138" spans="1:10" ht="14.4">
      <c r="A138" s="48" t="s">
        <v>269</v>
      </c>
      <c r="B138" s="48">
        <v>12</v>
      </c>
      <c r="C138" s="48" t="s">
        <v>77</v>
      </c>
      <c r="D138" s="49">
        <v>9.5666666666666664</v>
      </c>
      <c r="E138" s="49">
        <v>89.5</v>
      </c>
      <c r="F138" s="49">
        <v>31</v>
      </c>
      <c r="G138" s="50">
        <f t="shared" si="4"/>
        <v>0.3086021505376344</v>
      </c>
      <c r="H138" s="51">
        <f t="shared" si="5"/>
        <v>9.3554006968641126</v>
      </c>
      <c r="I138" s="48" t="s">
        <v>259</v>
      </c>
      <c r="J138" s="47" t="s">
        <v>260</v>
      </c>
    </row>
    <row r="139" spans="1:10" ht="14.4">
      <c r="A139" s="48" t="s">
        <v>270</v>
      </c>
      <c r="B139" s="48">
        <v>1</v>
      </c>
      <c r="C139" s="48" t="s">
        <v>55</v>
      </c>
      <c r="D139" s="49">
        <v>8.2105263157894743</v>
      </c>
      <c r="E139" s="49">
        <v>58.7</v>
      </c>
      <c r="F139" s="49">
        <v>31</v>
      </c>
      <c r="G139" s="50">
        <f t="shared" si="4"/>
        <v>0.26485568760611206</v>
      </c>
      <c r="H139" s="51">
        <f t="shared" si="5"/>
        <v>7.1493589743589743</v>
      </c>
      <c r="I139" s="48" t="s">
        <v>259</v>
      </c>
      <c r="J139" s="47" t="s">
        <v>260</v>
      </c>
    </row>
    <row r="140" spans="1:10" ht="14.4">
      <c r="A140" s="48" t="s">
        <v>270</v>
      </c>
      <c r="B140" s="48">
        <v>2</v>
      </c>
      <c r="C140" s="48" t="s">
        <v>58</v>
      </c>
      <c r="D140" s="49">
        <v>6.8421052631578947</v>
      </c>
      <c r="E140" s="49">
        <v>68.599999999999994</v>
      </c>
      <c r="F140" s="49">
        <v>28.266666666666666</v>
      </c>
      <c r="G140" s="50">
        <f t="shared" si="4"/>
        <v>0.24205561072492554</v>
      </c>
      <c r="H140" s="51">
        <f t="shared" si="5"/>
        <v>10.026153846153845</v>
      </c>
      <c r="I140" s="48" t="s">
        <v>259</v>
      </c>
      <c r="J140" s="47" t="s">
        <v>260</v>
      </c>
    </row>
    <row r="141" spans="1:10" ht="14.4">
      <c r="A141" s="48" t="s">
        <v>270</v>
      </c>
      <c r="B141" s="48">
        <v>3</v>
      </c>
      <c r="C141" s="48" t="s">
        <v>60</v>
      </c>
      <c r="D141" s="49">
        <v>7.2631578947368425</v>
      </c>
      <c r="E141" s="49">
        <v>57.4</v>
      </c>
      <c r="F141" s="49">
        <v>31</v>
      </c>
      <c r="G141" s="50">
        <f t="shared" si="4"/>
        <v>0.23429541595925299</v>
      </c>
      <c r="H141" s="51">
        <f t="shared" si="5"/>
        <v>7.902898550724637</v>
      </c>
      <c r="I141" s="48" t="s">
        <v>259</v>
      </c>
      <c r="J141" s="47" t="s">
        <v>260</v>
      </c>
    </row>
    <row r="142" spans="1:10" ht="14.4">
      <c r="A142" s="48" t="s">
        <v>270</v>
      </c>
      <c r="B142" s="48">
        <v>4</v>
      </c>
      <c r="C142" s="48" t="s">
        <v>62</v>
      </c>
      <c r="D142" s="49">
        <v>9.1</v>
      </c>
      <c r="E142" s="49">
        <v>83.6</v>
      </c>
      <c r="F142" s="49">
        <v>30</v>
      </c>
      <c r="G142" s="50">
        <f t="shared" si="4"/>
        <v>0.30333333333333334</v>
      </c>
      <c r="H142" s="51">
        <f t="shared" si="5"/>
        <v>9.1868131868131861</v>
      </c>
      <c r="I142" s="48" t="s">
        <v>259</v>
      </c>
      <c r="J142" s="47" t="s">
        <v>260</v>
      </c>
    </row>
    <row r="143" spans="1:10" ht="14.4">
      <c r="A143" s="48" t="s">
        <v>270</v>
      </c>
      <c r="B143" s="48">
        <v>5</v>
      </c>
      <c r="C143" s="48" t="s">
        <v>65</v>
      </c>
      <c r="D143" s="49">
        <v>10.4</v>
      </c>
      <c r="E143" s="49">
        <v>87.2</v>
      </c>
      <c r="F143" s="49">
        <v>31</v>
      </c>
      <c r="G143" s="50">
        <f t="shared" si="4"/>
        <v>0.33548387096774196</v>
      </c>
      <c r="H143" s="51">
        <f t="shared" si="5"/>
        <v>8.384615384615385</v>
      </c>
      <c r="I143" s="48" t="s">
        <v>259</v>
      </c>
      <c r="J143" s="47" t="s">
        <v>260</v>
      </c>
    </row>
    <row r="144" spans="1:10" ht="14.4">
      <c r="A144" s="48" t="s">
        <v>270</v>
      </c>
      <c r="B144" s="48">
        <v>6</v>
      </c>
      <c r="C144" s="48" t="s">
        <v>68</v>
      </c>
      <c r="D144" s="49">
        <v>11.95</v>
      </c>
      <c r="E144" s="49">
        <v>95.5</v>
      </c>
      <c r="F144" s="49">
        <v>30</v>
      </c>
      <c r="G144" s="50">
        <f t="shared" si="4"/>
        <v>0.39833333333333332</v>
      </c>
      <c r="H144" s="51">
        <f t="shared" si="5"/>
        <v>7.99163179916318</v>
      </c>
      <c r="I144" s="48" t="s">
        <v>259</v>
      </c>
      <c r="J144" s="47" t="s">
        <v>260</v>
      </c>
    </row>
    <row r="145" spans="1:10" ht="14.4">
      <c r="A145" s="48" t="s">
        <v>270</v>
      </c>
      <c r="B145" s="48">
        <v>7</v>
      </c>
      <c r="C145" s="48" t="s">
        <v>69</v>
      </c>
      <c r="D145" s="49">
        <v>11.55</v>
      </c>
      <c r="E145" s="49">
        <v>87.5</v>
      </c>
      <c r="F145" s="49">
        <v>31</v>
      </c>
      <c r="G145" s="50">
        <f t="shared" si="4"/>
        <v>0.37258064516129036</v>
      </c>
      <c r="H145" s="51">
        <f t="shared" si="5"/>
        <v>7.5757575757575752</v>
      </c>
      <c r="I145" s="48" t="s">
        <v>259</v>
      </c>
      <c r="J145" s="47" t="s">
        <v>260</v>
      </c>
    </row>
    <row r="146" spans="1:10" ht="14.4">
      <c r="A146" s="48" t="s">
        <v>270</v>
      </c>
      <c r="B146" s="48">
        <v>8</v>
      </c>
      <c r="C146" s="48" t="s">
        <v>71</v>
      </c>
      <c r="D146" s="49">
        <v>12.65</v>
      </c>
      <c r="E146" s="49">
        <v>83.5</v>
      </c>
      <c r="F146" s="49">
        <v>31</v>
      </c>
      <c r="G146" s="50">
        <f t="shared" si="4"/>
        <v>0.40806451612903227</v>
      </c>
      <c r="H146" s="51">
        <f t="shared" si="5"/>
        <v>6.6007905138339922</v>
      </c>
      <c r="I146" s="48" t="s">
        <v>259</v>
      </c>
      <c r="J146" s="47" t="s">
        <v>260</v>
      </c>
    </row>
    <row r="147" spans="1:10" ht="14.4">
      <c r="A147" s="48" t="s">
        <v>270</v>
      </c>
      <c r="B147" s="48">
        <v>9</v>
      </c>
      <c r="C147" s="48" t="s">
        <v>73</v>
      </c>
      <c r="D147" s="49">
        <v>11.75</v>
      </c>
      <c r="E147" s="49">
        <v>89</v>
      </c>
      <c r="F147" s="49">
        <v>30</v>
      </c>
      <c r="G147" s="50">
        <f t="shared" si="4"/>
        <v>0.39166666666666666</v>
      </c>
      <c r="H147" s="51">
        <f t="shared" si="5"/>
        <v>7.5744680851063828</v>
      </c>
      <c r="I147" s="48" t="s">
        <v>259</v>
      </c>
      <c r="J147" s="47" t="s">
        <v>260</v>
      </c>
    </row>
    <row r="148" spans="1:10" ht="14.4">
      <c r="A148" s="48" t="s">
        <v>270</v>
      </c>
      <c r="B148" s="48">
        <v>10</v>
      </c>
      <c r="C148" s="48" t="s">
        <v>75</v>
      </c>
      <c r="D148" s="49">
        <v>12.4</v>
      </c>
      <c r="E148" s="49">
        <v>96.3</v>
      </c>
      <c r="F148" s="49">
        <v>31</v>
      </c>
      <c r="G148" s="50">
        <f t="shared" si="4"/>
        <v>0.4</v>
      </c>
      <c r="H148" s="51">
        <f t="shared" si="5"/>
        <v>7.7661290322580641</v>
      </c>
      <c r="I148" s="48" t="s">
        <v>259</v>
      </c>
      <c r="J148" s="47" t="s">
        <v>260</v>
      </c>
    </row>
    <row r="149" spans="1:10" ht="14.4">
      <c r="A149" s="48" t="s">
        <v>270</v>
      </c>
      <c r="B149" s="48">
        <v>11</v>
      </c>
      <c r="C149" s="48" t="s">
        <v>76</v>
      </c>
      <c r="D149" s="49">
        <v>9.85</v>
      </c>
      <c r="E149" s="49">
        <v>86.3</v>
      </c>
      <c r="F149" s="49">
        <v>30</v>
      </c>
      <c r="G149" s="50">
        <f t="shared" si="4"/>
        <v>0.32833333333333331</v>
      </c>
      <c r="H149" s="51">
        <f t="shared" si="5"/>
        <v>8.7614213197969537</v>
      </c>
      <c r="I149" s="48" t="s">
        <v>259</v>
      </c>
      <c r="J149" s="47" t="s">
        <v>260</v>
      </c>
    </row>
    <row r="150" spans="1:10" ht="14.4">
      <c r="A150" s="48" t="s">
        <v>270</v>
      </c>
      <c r="B150" s="48">
        <v>12</v>
      </c>
      <c r="C150" s="48" t="s">
        <v>77</v>
      </c>
      <c r="D150" s="49">
        <v>10.199999999999999</v>
      </c>
      <c r="E150" s="49">
        <v>89.9</v>
      </c>
      <c r="F150" s="49">
        <v>31</v>
      </c>
      <c r="G150" s="50">
        <f t="shared" si="4"/>
        <v>0.32903225806451608</v>
      </c>
      <c r="H150" s="51">
        <f t="shared" si="5"/>
        <v>8.8137254901960791</v>
      </c>
      <c r="I150" s="48" t="s">
        <v>259</v>
      </c>
      <c r="J150" s="47" t="s">
        <v>260</v>
      </c>
    </row>
    <row r="151" spans="1:10" ht="14.4">
      <c r="A151" s="48" t="s">
        <v>271</v>
      </c>
      <c r="B151" s="48">
        <v>1</v>
      </c>
      <c r="C151" s="48" t="s">
        <v>55</v>
      </c>
      <c r="D151" s="49">
        <v>5.2</v>
      </c>
      <c r="E151" s="49">
        <v>52.4</v>
      </c>
      <c r="F151" s="49">
        <v>31</v>
      </c>
      <c r="G151" s="50">
        <f t="shared" si="4"/>
        <v>0.16774193548387098</v>
      </c>
      <c r="H151" s="51">
        <f t="shared" si="5"/>
        <v>10.076923076923077</v>
      </c>
      <c r="I151" s="48" t="s">
        <v>259</v>
      </c>
      <c r="J151" s="47" t="s">
        <v>260</v>
      </c>
    </row>
    <row r="152" spans="1:10" ht="14.4">
      <c r="A152" s="48" t="s">
        <v>271</v>
      </c>
      <c r="B152" s="48">
        <v>2</v>
      </c>
      <c r="C152" s="48" t="s">
        <v>58</v>
      </c>
      <c r="D152" s="49">
        <v>4.7272727272727275</v>
      </c>
      <c r="E152" s="49">
        <v>48.5</v>
      </c>
      <c r="F152" s="49">
        <v>28.266666666666666</v>
      </c>
      <c r="G152" s="50">
        <f t="shared" si="4"/>
        <v>0.16723842195540309</v>
      </c>
      <c r="H152" s="51">
        <f t="shared" si="5"/>
        <v>10.259615384615383</v>
      </c>
      <c r="I152" s="48" t="s">
        <v>259</v>
      </c>
      <c r="J152" s="47" t="s">
        <v>260</v>
      </c>
    </row>
    <row r="153" spans="1:10" ht="14.4">
      <c r="A153" s="48" t="s">
        <v>271</v>
      </c>
      <c r="B153" s="48">
        <v>3</v>
      </c>
      <c r="C153" s="48" t="s">
        <v>60</v>
      </c>
      <c r="D153" s="49">
        <v>6.1818181818181817</v>
      </c>
      <c r="E153" s="49">
        <v>69.900000000000006</v>
      </c>
      <c r="F153" s="49">
        <v>31</v>
      </c>
      <c r="G153" s="50">
        <f t="shared" si="4"/>
        <v>0.19941348973607037</v>
      </c>
      <c r="H153" s="51">
        <f t="shared" si="5"/>
        <v>11.307352941176472</v>
      </c>
      <c r="I153" s="48" t="s">
        <v>259</v>
      </c>
      <c r="J153" s="47" t="s">
        <v>260</v>
      </c>
    </row>
    <row r="154" spans="1:10" ht="14.4">
      <c r="A154" s="48" t="s">
        <v>271</v>
      </c>
      <c r="B154" s="48">
        <v>4</v>
      </c>
      <c r="C154" s="48" t="s">
        <v>62</v>
      </c>
      <c r="D154" s="49">
        <v>8.545454545454545</v>
      </c>
      <c r="E154" s="49">
        <v>71.5</v>
      </c>
      <c r="F154" s="49">
        <v>30</v>
      </c>
      <c r="G154" s="50">
        <f t="shared" si="4"/>
        <v>0.28484848484848485</v>
      </c>
      <c r="H154" s="51">
        <f t="shared" si="5"/>
        <v>8.3670212765957448</v>
      </c>
      <c r="I154" s="48" t="s">
        <v>259</v>
      </c>
      <c r="J154" s="47" t="s">
        <v>260</v>
      </c>
    </row>
    <row r="155" spans="1:10" ht="14.4">
      <c r="A155" s="48" t="s">
        <v>271</v>
      </c>
      <c r="B155" s="48">
        <v>5</v>
      </c>
      <c r="C155" s="48" t="s">
        <v>65</v>
      </c>
      <c r="D155" s="49">
        <v>10.333333333333334</v>
      </c>
      <c r="E155" s="49">
        <v>72.900000000000006</v>
      </c>
      <c r="F155" s="49">
        <v>31</v>
      </c>
      <c r="G155" s="50">
        <f t="shared" si="4"/>
        <v>0.33333333333333337</v>
      </c>
      <c r="H155" s="51">
        <f t="shared" si="5"/>
        <v>7.0548387096774192</v>
      </c>
      <c r="I155" s="48" t="s">
        <v>259</v>
      </c>
      <c r="J155" s="47" t="s">
        <v>260</v>
      </c>
    </row>
    <row r="156" spans="1:10" ht="14.4">
      <c r="A156" s="48" t="s">
        <v>271</v>
      </c>
      <c r="B156" s="48">
        <v>6</v>
      </c>
      <c r="C156" s="48" t="s">
        <v>68</v>
      </c>
      <c r="D156" s="49">
        <v>9.875</v>
      </c>
      <c r="E156" s="49">
        <v>91</v>
      </c>
      <c r="F156" s="49">
        <v>30</v>
      </c>
      <c r="G156" s="50">
        <f t="shared" si="4"/>
        <v>0.32916666666666666</v>
      </c>
      <c r="H156" s="51">
        <f t="shared" si="5"/>
        <v>9.2151898734177209</v>
      </c>
      <c r="I156" s="48" t="s">
        <v>259</v>
      </c>
      <c r="J156" s="47" t="s">
        <v>260</v>
      </c>
    </row>
    <row r="157" spans="1:10" ht="14.4">
      <c r="A157" s="48" t="s">
        <v>271</v>
      </c>
      <c r="B157" s="48">
        <v>7</v>
      </c>
      <c r="C157" s="48" t="s">
        <v>69</v>
      </c>
      <c r="D157" s="49">
        <v>10.625</v>
      </c>
      <c r="E157" s="49">
        <v>113.6</v>
      </c>
      <c r="F157" s="49">
        <v>31</v>
      </c>
      <c r="G157" s="50">
        <f t="shared" si="4"/>
        <v>0.34274193548387094</v>
      </c>
      <c r="H157" s="51">
        <f t="shared" si="5"/>
        <v>10.691764705882353</v>
      </c>
      <c r="I157" s="48" t="s">
        <v>259</v>
      </c>
      <c r="J157" s="47" t="s">
        <v>260</v>
      </c>
    </row>
    <row r="158" spans="1:10" ht="14.4">
      <c r="A158" s="48" t="s">
        <v>271</v>
      </c>
      <c r="B158" s="48">
        <v>8</v>
      </c>
      <c r="C158" s="48" t="s">
        <v>71</v>
      </c>
      <c r="D158" s="49">
        <v>11.8</v>
      </c>
      <c r="E158" s="49">
        <v>81.7</v>
      </c>
      <c r="F158" s="49">
        <v>31</v>
      </c>
      <c r="G158" s="50">
        <f t="shared" si="4"/>
        <v>0.38064516129032261</v>
      </c>
      <c r="H158" s="51">
        <f t="shared" si="5"/>
        <v>6.9237288135593218</v>
      </c>
      <c r="I158" s="48" t="s">
        <v>259</v>
      </c>
      <c r="J158" s="47" t="s">
        <v>260</v>
      </c>
    </row>
    <row r="159" spans="1:10" ht="14.4">
      <c r="A159" s="48" t="s">
        <v>271</v>
      </c>
      <c r="B159" s="48">
        <v>9</v>
      </c>
      <c r="C159" s="48" t="s">
        <v>73</v>
      </c>
      <c r="D159" s="49">
        <v>10.727272727272727</v>
      </c>
      <c r="E159" s="49">
        <v>73.2</v>
      </c>
      <c r="F159" s="49">
        <v>30</v>
      </c>
      <c r="G159" s="50">
        <f t="shared" si="4"/>
        <v>0.35757575757575755</v>
      </c>
      <c r="H159" s="51">
        <f t="shared" si="5"/>
        <v>6.823728813559323</v>
      </c>
      <c r="I159" s="48" t="s">
        <v>259</v>
      </c>
      <c r="J159" s="47" t="s">
        <v>260</v>
      </c>
    </row>
    <row r="160" spans="1:10" ht="14.4">
      <c r="A160" s="48" t="s">
        <v>271</v>
      </c>
      <c r="B160" s="48">
        <v>10</v>
      </c>
      <c r="C160" s="48" t="s">
        <v>75</v>
      </c>
      <c r="D160" s="49">
        <v>9.1666666666666661</v>
      </c>
      <c r="E160" s="49">
        <v>82</v>
      </c>
      <c r="F160" s="49">
        <v>31</v>
      </c>
      <c r="G160" s="50">
        <f t="shared" si="4"/>
        <v>0.29569892473118276</v>
      </c>
      <c r="H160" s="51">
        <f t="shared" si="5"/>
        <v>8.9454545454545453</v>
      </c>
      <c r="I160" s="48" t="s">
        <v>259</v>
      </c>
      <c r="J160" s="47" t="s">
        <v>260</v>
      </c>
    </row>
    <row r="161" spans="1:10" ht="14.4">
      <c r="A161" s="48" t="s">
        <v>271</v>
      </c>
      <c r="B161" s="48">
        <v>11</v>
      </c>
      <c r="C161" s="48" t="s">
        <v>76</v>
      </c>
      <c r="D161" s="49">
        <v>8.454545454545455</v>
      </c>
      <c r="E161" s="49">
        <v>71.900000000000006</v>
      </c>
      <c r="F161" s="49">
        <v>30</v>
      </c>
      <c r="G161" s="50">
        <f t="shared" si="4"/>
        <v>0.28181818181818186</v>
      </c>
      <c r="H161" s="51">
        <f t="shared" si="5"/>
        <v>8.5043010752688168</v>
      </c>
      <c r="I161" s="48" t="s">
        <v>259</v>
      </c>
      <c r="J161" s="47" t="s">
        <v>260</v>
      </c>
    </row>
    <row r="162" spans="1:10" ht="14.4">
      <c r="A162" s="48" t="s">
        <v>271</v>
      </c>
      <c r="B162" s="48">
        <v>12</v>
      </c>
      <c r="C162" s="48" t="s">
        <v>77</v>
      </c>
      <c r="D162" s="49">
        <v>6.9090909090909092</v>
      </c>
      <c r="E162" s="49">
        <v>60.6</v>
      </c>
      <c r="F162" s="49">
        <v>31</v>
      </c>
      <c r="G162" s="50">
        <f t="shared" si="4"/>
        <v>0.22287390029325513</v>
      </c>
      <c r="H162" s="51">
        <f t="shared" si="5"/>
        <v>8.7710526315789483</v>
      </c>
      <c r="I162" s="48" t="s">
        <v>259</v>
      </c>
      <c r="J162" s="47" t="s">
        <v>260</v>
      </c>
    </row>
    <row r="163" spans="1:10" ht="14.4">
      <c r="A163" s="48" t="s">
        <v>272</v>
      </c>
      <c r="B163" s="48">
        <v>1</v>
      </c>
      <c r="C163" s="48" t="s">
        <v>55</v>
      </c>
      <c r="D163" s="49">
        <v>6.8666666666666663</v>
      </c>
      <c r="E163" s="49">
        <v>79.2</v>
      </c>
      <c r="F163" s="49">
        <v>31</v>
      </c>
      <c r="G163" s="50">
        <f t="shared" si="4"/>
        <v>0.22150537634408601</v>
      </c>
      <c r="H163" s="51">
        <f t="shared" si="5"/>
        <v>11.533980582524274</v>
      </c>
      <c r="I163" s="48" t="s">
        <v>259</v>
      </c>
      <c r="J163" s="47" t="s">
        <v>260</v>
      </c>
    </row>
    <row r="164" spans="1:10" ht="14.4">
      <c r="A164" s="48" t="s">
        <v>272</v>
      </c>
      <c r="B164" s="48">
        <v>2</v>
      </c>
      <c r="C164" s="48" t="s">
        <v>58</v>
      </c>
      <c r="D164" s="49">
        <v>6.9375</v>
      </c>
      <c r="E164" s="49">
        <v>55.5</v>
      </c>
      <c r="F164" s="49">
        <v>28.266666666666666</v>
      </c>
      <c r="G164" s="50">
        <f t="shared" si="4"/>
        <v>0.24543042452830188</v>
      </c>
      <c r="H164" s="51">
        <f t="shared" si="5"/>
        <v>8</v>
      </c>
      <c r="I164" s="48" t="s">
        <v>259</v>
      </c>
      <c r="J164" s="47" t="s">
        <v>260</v>
      </c>
    </row>
    <row r="165" spans="1:10" ht="14.4">
      <c r="A165" s="48" t="s">
        <v>272</v>
      </c>
      <c r="B165" s="48">
        <v>3</v>
      </c>
      <c r="C165" s="48" t="s">
        <v>60</v>
      </c>
      <c r="D165" s="49">
        <v>9.2857142857142865</v>
      </c>
      <c r="E165" s="49">
        <v>99.6</v>
      </c>
      <c r="F165" s="49">
        <v>31</v>
      </c>
      <c r="G165" s="50">
        <f t="shared" si="4"/>
        <v>0.29953917050691248</v>
      </c>
      <c r="H165" s="51">
        <f t="shared" si="5"/>
        <v>10.726153846153844</v>
      </c>
      <c r="I165" s="48" t="s">
        <v>259</v>
      </c>
      <c r="J165" s="47" t="s">
        <v>260</v>
      </c>
    </row>
    <row r="166" spans="1:10" ht="14.4">
      <c r="A166" s="48" t="s">
        <v>272</v>
      </c>
      <c r="B166" s="48">
        <v>4</v>
      </c>
      <c r="C166" s="48" t="s">
        <v>62</v>
      </c>
      <c r="D166" s="49">
        <v>10.266666666666667</v>
      </c>
      <c r="E166" s="49">
        <v>126.7</v>
      </c>
      <c r="F166" s="49">
        <v>30</v>
      </c>
      <c r="G166" s="50">
        <f t="shared" si="4"/>
        <v>0.34222222222222226</v>
      </c>
      <c r="H166" s="51">
        <f t="shared" si="5"/>
        <v>12.34090909090909</v>
      </c>
      <c r="I166" s="48" t="s">
        <v>259</v>
      </c>
      <c r="J166" s="47" t="s">
        <v>260</v>
      </c>
    </row>
    <row r="167" spans="1:10" ht="14.4">
      <c r="A167" s="48" t="s">
        <v>272</v>
      </c>
      <c r="B167" s="48">
        <v>5</v>
      </c>
      <c r="C167" s="48" t="s">
        <v>65</v>
      </c>
      <c r="D167" s="49">
        <v>13.294117647058824</v>
      </c>
      <c r="E167" s="49">
        <v>144.9</v>
      </c>
      <c r="F167" s="49">
        <v>31</v>
      </c>
      <c r="G167" s="50">
        <f t="shared" si="4"/>
        <v>0.42884250474383306</v>
      </c>
      <c r="H167" s="51">
        <f t="shared" si="5"/>
        <v>10.899557522123894</v>
      </c>
      <c r="I167" s="48" t="s">
        <v>259</v>
      </c>
      <c r="J167" s="47" t="s">
        <v>260</v>
      </c>
    </row>
    <row r="168" spans="1:10" ht="14.4">
      <c r="A168" s="48" t="s">
        <v>272</v>
      </c>
      <c r="B168" s="48">
        <v>6</v>
      </c>
      <c r="C168" s="48" t="s">
        <v>68</v>
      </c>
      <c r="D168" s="49">
        <v>13.4375</v>
      </c>
      <c r="E168" s="49">
        <v>123.8</v>
      </c>
      <c r="F168" s="49">
        <v>30</v>
      </c>
      <c r="G168" s="50">
        <f t="shared" si="4"/>
        <v>0.44791666666666669</v>
      </c>
      <c r="H168" s="51">
        <f t="shared" si="5"/>
        <v>9.2130232558139529</v>
      </c>
      <c r="I168" s="48" t="s">
        <v>259</v>
      </c>
      <c r="J168" s="47" t="s">
        <v>260</v>
      </c>
    </row>
    <row r="169" spans="1:10" ht="14.4">
      <c r="A169" s="48" t="s">
        <v>272</v>
      </c>
      <c r="B169" s="48">
        <v>7</v>
      </c>
      <c r="C169" s="48" t="s">
        <v>69</v>
      </c>
      <c r="D169" s="49">
        <v>12.8</v>
      </c>
      <c r="E169" s="49">
        <v>147.1</v>
      </c>
      <c r="F169" s="49">
        <v>31</v>
      </c>
      <c r="G169" s="50">
        <f t="shared" si="4"/>
        <v>0.41290322580645161</v>
      </c>
      <c r="H169" s="51">
        <f t="shared" si="5"/>
        <v>11.492187499999998</v>
      </c>
      <c r="I169" s="48" t="s">
        <v>259</v>
      </c>
      <c r="J169" s="47" t="s">
        <v>260</v>
      </c>
    </row>
    <row r="170" spans="1:10" ht="14.4">
      <c r="A170" s="48" t="s">
        <v>272</v>
      </c>
      <c r="B170" s="48">
        <v>8</v>
      </c>
      <c r="C170" s="48" t="s">
        <v>71</v>
      </c>
      <c r="D170" s="49">
        <v>12.461538461538462</v>
      </c>
      <c r="E170" s="49">
        <v>139.1</v>
      </c>
      <c r="F170" s="49">
        <v>31</v>
      </c>
      <c r="G170" s="50">
        <f t="shared" si="4"/>
        <v>0.40198511166253104</v>
      </c>
      <c r="H170" s="51">
        <f t="shared" si="5"/>
        <v>11.162345679012345</v>
      </c>
      <c r="I170" s="48" t="s">
        <v>259</v>
      </c>
      <c r="J170" s="47" t="s">
        <v>260</v>
      </c>
    </row>
    <row r="171" spans="1:10" ht="14.4">
      <c r="A171" s="48" t="s">
        <v>272</v>
      </c>
      <c r="B171" s="48">
        <v>9</v>
      </c>
      <c r="C171" s="48" t="s">
        <v>73</v>
      </c>
      <c r="D171" s="49">
        <v>10.882352941176471</v>
      </c>
      <c r="E171" s="49">
        <v>108</v>
      </c>
      <c r="F171" s="49">
        <v>30</v>
      </c>
      <c r="G171" s="50">
        <f t="shared" si="4"/>
        <v>0.36274509803921567</v>
      </c>
      <c r="H171" s="51">
        <f t="shared" si="5"/>
        <v>9.9243243243243242</v>
      </c>
      <c r="I171" s="48" t="s">
        <v>259</v>
      </c>
      <c r="J171" s="47" t="s">
        <v>260</v>
      </c>
    </row>
    <row r="172" spans="1:10" ht="14.4">
      <c r="A172" s="48" t="s">
        <v>272</v>
      </c>
      <c r="B172" s="48">
        <v>10</v>
      </c>
      <c r="C172" s="48" t="s">
        <v>75</v>
      </c>
      <c r="D172" s="49">
        <v>12.4375</v>
      </c>
      <c r="E172" s="49">
        <v>118.7</v>
      </c>
      <c r="F172" s="49">
        <v>31</v>
      </c>
      <c r="G172" s="50">
        <f t="shared" si="4"/>
        <v>0.40120967741935482</v>
      </c>
      <c r="H172" s="51">
        <f t="shared" si="5"/>
        <v>9.5437185929648241</v>
      </c>
      <c r="I172" s="48" t="s">
        <v>259</v>
      </c>
      <c r="J172" s="47" t="s">
        <v>260</v>
      </c>
    </row>
    <row r="173" spans="1:10" ht="14.4">
      <c r="A173" s="48" t="s">
        <v>272</v>
      </c>
      <c r="B173" s="48">
        <v>11</v>
      </c>
      <c r="C173" s="48" t="s">
        <v>76</v>
      </c>
      <c r="D173" s="49">
        <v>9.5294117647058822</v>
      </c>
      <c r="E173" s="49">
        <v>85.4</v>
      </c>
      <c r="F173" s="49">
        <v>30</v>
      </c>
      <c r="G173" s="50">
        <f t="shared" si="4"/>
        <v>0.31764705882352939</v>
      </c>
      <c r="H173" s="51">
        <f t="shared" si="5"/>
        <v>8.9617283950617299</v>
      </c>
      <c r="I173" s="48" t="s">
        <v>259</v>
      </c>
      <c r="J173" s="47" t="s">
        <v>260</v>
      </c>
    </row>
    <row r="174" spans="1:10" ht="14.4">
      <c r="A174" s="48" t="s">
        <v>272</v>
      </c>
      <c r="B174" s="48">
        <v>12</v>
      </c>
      <c r="C174" s="48" t="s">
        <v>77</v>
      </c>
      <c r="D174" s="49">
        <v>10</v>
      </c>
      <c r="E174" s="49">
        <v>91.1</v>
      </c>
      <c r="F174" s="49">
        <v>31</v>
      </c>
      <c r="G174" s="50">
        <f t="shared" si="4"/>
        <v>0.32258064516129031</v>
      </c>
      <c r="H174" s="51">
        <f t="shared" si="5"/>
        <v>9.11</v>
      </c>
      <c r="I174" s="48" t="s">
        <v>259</v>
      </c>
      <c r="J174" s="47" t="s">
        <v>260</v>
      </c>
    </row>
    <row r="175" spans="1:10" ht="14.4">
      <c r="A175" s="48" t="s">
        <v>273</v>
      </c>
      <c r="B175" s="48">
        <v>1</v>
      </c>
      <c r="C175" s="48" t="s">
        <v>55</v>
      </c>
      <c r="D175" s="49">
        <v>6.8275862068965516</v>
      </c>
      <c r="E175" s="49">
        <v>73.2</v>
      </c>
      <c r="F175" s="49">
        <v>31</v>
      </c>
      <c r="G175" s="50">
        <f t="shared" si="4"/>
        <v>0.22024471635150167</v>
      </c>
      <c r="H175" s="51">
        <f t="shared" si="5"/>
        <v>10.721212121212123</v>
      </c>
      <c r="I175" s="48" t="s">
        <v>259</v>
      </c>
      <c r="J175" s="47" t="s">
        <v>260</v>
      </c>
    </row>
    <row r="176" spans="1:10" ht="14.4">
      <c r="A176" s="48" t="s">
        <v>273</v>
      </c>
      <c r="B176" s="48">
        <v>2</v>
      </c>
      <c r="C176" s="48" t="s">
        <v>58</v>
      </c>
      <c r="D176" s="49">
        <v>5.333333333333333</v>
      </c>
      <c r="E176" s="49">
        <v>62.8</v>
      </c>
      <c r="F176" s="49">
        <v>28.266666666666666</v>
      </c>
      <c r="G176" s="50">
        <f t="shared" si="4"/>
        <v>0.18867924528301885</v>
      </c>
      <c r="H176" s="51">
        <f t="shared" si="5"/>
        <v>11.775</v>
      </c>
      <c r="I176" s="48" t="s">
        <v>259</v>
      </c>
      <c r="J176" s="47" t="s">
        <v>260</v>
      </c>
    </row>
    <row r="177" spans="1:10" ht="14.4">
      <c r="A177" s="48" t="s">
        <v>273</v>
      </c>
      <c r="B177" s="48">
        <v>3</v>
      </c>
      <c r="C177" s="48" t="s">
        <v>60</v>
      </c>
      <c r="D177" s="49">
        <v>6.0666666666666664</v>
      </c>
      <c r="E177" s="49">
        <v>71.099999999999994</v>
      </c>
      <c r="F177" s="49">
        <v>31</v>
      </c>
      <c r="G177" s="50">
        <f t="shared" si="4"/>
        <v>0.19569892473118278</v>
      </c>
      <c r="H177" s="51">
        <f t="shared" si="5"/>
        <v>11.719780219780219</v>
      </c>
      <c r="I177" s="48" t="s">
        <v>259</v>
      </c>
      <c r="J177" s="47" t="s">
        <v>260</v>
      </c>
    </row>
    <row r="178" spans="1:10" ht="14.4">
      <c r="A178" s="48" t="s">
        <v>273</v>
      </c>
      <c r="B178" s="48">
        <v>4</v>
      </c>
      <c r="C178" s="48" t="s">
        <v>62</v>
      </c>
      <c r="D178" s="49">
        <v>7.3</v>
      </c>
      <c r="E178" s="49">
        <v>84.9</v>
      </c>
      <c r="F178" s="49">
        <v>30</v>
      </c>
      <c r="G178" s="50">
        <f t="shared" si="4"/>
        <v>0.24333333333333332</v>
      </c>
      <c r="H178" s="51">
        <f t="shared" si="5"/>
        <v>11.630136986301371</v>
      </c>
      <c r="I178" s="48" t="s">
        <v>259</v>
      </c>
      <c r="J178" s="47" t="s">
        <v>260</v>
      </c>
    </row>
    <row r="179" spans="1:10" ht="14.4">
      <c r="A179" s="48" t="s">
        <v>273</v>
      </c>
      <c r="B179" s="48">
        <v>5</v>
      </c>
      <c r="C179" s="48" t="s">
        <v>65</v>
      </c>
      <c r="D179" s="49">
        <v>7.4333333333333336</v>
      </c>
      <c r="E179" s="49">
        <v>87.7</v>
      </c>
      <c r="F179" s="49">
        <v>31</v>
      </c>
      <c r="G179" s="50">
        <f t="shared" si="4"/>
        <v>0.23978494623655916</v>
      </c>
      <c r="H179" s="51">
        <f t="shared" si="5"/>
        <v>11.798206278026905</v>
      </c>
      <c r="I179" s="48" t="s">
        <v>259</v>
      </c>
      <c r="J179" s="47" t="s">
        <v>260</v>
      </c>
    </row>
    <row r="180" spans="1:10" ht="14.4">
      <c r="A180" s="48" t="s">
        <v>273</v>
      </c>
      <c r="B180" s="48">
        <v>6</v>
      </c>
      <c r="C180" s="48" t="s">
        <v>68</v>
      </c>
      <c r="D180" s="49">
        <v>8.6551724137931032</v>
      </c>
      <c r="E180" s="49">
        <v>99.5</v>
      </c>
      <c r="F180" s="49">
        <v>30</v>
      </c>
      <c r="G180" s="50">
        <f t="shared" si="4"/>
        <v>0.28850574712643678</v>
      </c>
      <c r="H180" s="51">
        <f t="shared" si="5"/>
        <v>11.496015936254981</v>
      </c>
      <c r="I180" s="48" t="s">
        <v>259</v>
      </c>
      <c r="J180" s="47" t="s">
        <v>260</v>
      </c>
    </row>
    <row r="181" spans="1:10" ht="14.4">
      <c r="A181" s="48" t="s">
        <v>273</v>
      </c>
      <c r="B181" s="48">
        <v>7</v>
      </c>
      <c r="C181" s="48" t="s">
        <v>69</v>
      </c>
      <c r="D181" s="49">
        <v>7.7333333333333334</v>
      </c>
      <c r="E181" s="49">
        <v>78.599999999999994</v>
      </c>
      <c r="F181" s="49">
        <v>31</v>
      </c>
      <c r="G181" s="50">
        <f t="shared" si="4"/>
        <v>0.24946236559139784</v>
      </c>
      <c r="H181" s="51">
        <f t="shared" si="5"/>
        <v>10.163793103448276</v>
      </c>
      <c r="I181" s="48" t="s">
        <v>259</v>
      </c>
      <c r="J181" s="47" t="s">
        <v>260</v>
      </c>
    </row>
    <row r="182" spans="1:10" ht="14.4">
      <c r="A182" s="48" t="s">
        <v>273</v>
      </c>
      <c r="B182" s="48">
        <v>8</v>
      </c>
      <c r="C182" s="48" t="s">
        <v>71</v>
      </c>
      <c r="D182" s="49">
        <v>9.1999999999999993</v>
      </c>
      <c r="E182" s="49">
        <v>83.8</v>
      </c>
      <c r="F182" s="49">
        <v>31</v>
      </c>
      <c r="G182" s="50">
        <f t="shared" si="4"/>
        <v>0.29677419354838708</v>
      </c>
      <c r="H182" s="51">
        <f t="shared" si="5"/>
        <v>9.108695652173914</v>
      </c>
      <c r="I182" s="48" t="s">
        <v>259</v>
      </c>
      <c r="J182" s="47" t="s">
        <v>260</v>
      </c>
    </row>
    <row r="183" spans="1:10" ht="14.4">
      <c r="A183" s="48" t="s">
        <v>273</v>
      </c>
      <c r="B183" s="48">
        <v>9</v>
      </c>
      <c r="C183" s="48" t="s">
        <v>73</v>
      </c>
      <c r="D183" s="49">
        <v>9.8333333333333339</v>
      </c>
      <c r="E183" s="49">
        <v>84.6</v>
      </c>
      <c r="F183" s="49">
        <v>30</v>
      </c>
      <c r="G183" s="50">
        <f t="shared" si="4"/>
        <v>0.32777777777777778</v>
      </c>
      <c r="H183" s="51">
        <f t="shared" si="5"/>
        <v>8.6033898305084726</v>
      </c>
      <c r="I183" s="48" t="s">
        <v>259</v>
      </c>
      <c r="J183" s="47" t="s">
        <v>260</v>
      </c>
    </row>
    <row r="184" spans="1:10" ht="14.4">
      <c r="A184" s="48" t="s">
        <v>273</v>
      </c>
      <c r="B184" s="48">
        <v>10</v>
      </c>
      <c r="C184" s="48" t="s">
        <v>75</v>
      </c>
      <c r="D184" s="49">
        <v>8.9</v>
      </c>
      <c r="E184" s="49">
        <v>89</v>
      </c>
      <c r="F184" s="49">
        <v>31</v>
      </c>
      <c r="G184" s="50">
        <f t="shared" si="4"/>
        <v>0.2870967741935484</v>
      </c>
      <c r="H184" s="51">
        <f t="shared" si="5"/>
        <v>10</v>
      </c>
      <c r="I184" s="48" t="s">
        <v>259</v>
      </c>
      <c r="J184" s="47" t="s">
        <v>260</v>
      </c>
    </row>
    <row r="185" spans="1:10" ht="14.4">
      <c r="A185" s="48" t="s">
        <v>273</v>
      </c>
      <c r="B185" s="48">
        <v>11</v>
      </c>
      <c r="C185" s="48" t="s">
        <v>76</v>
      </c>
      <c r="D185" s="49">
        <v>7.5</v>
      </c>
      <c r="E185" s="49">
        <v>67.900000000000006</v>
      </c>
      <c r="F185" s="49">
        <v>30</v>
      </c>
      <c r="G185" s="50">
        <f t="shared" si="4"/>
        <v>0.25</v>
      </c>
      <c r="H185" s="51">
        <f t="shared" si="5"/>
        <v>9.0533333333333346</v>
      </c>
      <c r="I185" s="48" t="s">
        <v>259</v>
      </c>
      <c r="J185" s="47" t="s">
        <v>260</v>
      </c>
    </row>
    <row r="186" spans="1:10" ht="14.4">
      <c r="A186" s="48" t="s">
        <v>273</v>
      </c>
      <c r="B186" s="48">
        <v>12</v>
      </c>
      <c r="C186" s="48" t="s">
        <v>77</v>
      </c>
      <c r="D186" s="49">
        <v>8.6333333333333329</v>
      </c>
      <c r="E186" s="49">
        <v>93</v>
      </c>
      <c r="F186" s="49">
        <v>31</v>
      </c>
      <c r="G186" s="50">
        <f t="shared" si="4"/>
        <v>0.27849462365591399</v>
      </c>
      <c r="H186" s="51">
        <f t="shared" si="5"/>
        <v>10.772200772200772</v>
      </c>
      <c r="I186" s="48" t="s">
        <v>259</v>
      </c>
      <c r="J186" s="47" t="s">
        <v>260</v>
      </c>
    </row>
    <row r="187" spans="1:10" ht="14.4">
      <c r="A187" s="48" t="s">
        <v>274</v>
      </c>
      <c r="B187" s="48">
        <v>1</v>
      </c>
      <c r="C187" s="48" t="s">
        <v>55</v>
      </c>
      <c r="D187" s="49">
        <v>4.791666666666667</v>
      </c>
      <c r="E187" s="49">
        <v>43</v>
      </c>
      <c r="F187" s="49">
        <v>31</v>
      </c>
      <c r="G187" s="50">
        <f t="shared" si="4"/>
        <v>0.15456989247311828</v>
      </c>
      <c r="H187" s="51">
        <f t="shared" si="5"/>
        <v>8.9739130434782606</v>
      </c>
      <c r="I187" s="48" t="s">
        <v>259</v>
      </c>
      <c r="J187" s="47" t="s">
        <v>260</v>
      </c>
    </row>
    <row r="188" spans="1:10" ht="14.4">
      <c r="A188" s="48" t="s">
        <v>274</v>
      </c>
      <c r="B188" s="48">
        <v>2</v>
      </c>
      <c r="C188" s="48" t="s">
        <v>58</v>
      </c>
      <c r="D188" s="49">
        <v>4.166666666666667</v>
      </c>
      <c r="E188" s="49">
        <v>44.6</v>
      </c>
      <c r="F188" s="49">
        <v>28.266666666666666</v>
      </c>
      <c r="G188" s="50">
        <f t="shared" si="4"/>
        <v>0.1474056603773585</v>
      </c>
      <c r="H188" s="51">
        <f t="shared" si="5"/>
        <v>10.703999999999999</v>
      </c>
      <c r="I188" s="48" t="s">
        <v>259</v>
      </c>
      <c r="J188" s="47" t="s">
        <v>260</v>
      </c>
    </row>
    <row r="189" spans="1:10" ht="14.4">
      <c r="A189" s="48" t="s">
        <v>274</v>
      </c>
      <c r="B189" s="48">
        <v>3</v>
      </c>
      <c r="C189" s="48" t="s">
        <v>60</v>
      </c>
      <c r="D189" s="49">
        <v>4.666666666666667</v>
      </c>
      <c r="E189" s="49">
        <v>39.4</v>
      </c>
      <c r="F189" s="49">
        <v>31</v>
      </c>
      <c r="G189" s="50">
        <f t="shared" si="4"/>
        <v>0.15053763440860216</v>
      </c>
      <c r="H189" s="51">
        <f t="shared" si="5"/>
        <v>8.4428571428571413</v>
      </c>
      <c r="I189" s="48" t="s">
        <v>259</v>
      </c>
      <c r="J189" s="47" t="s">
        <v>260</v>
      </c>
    </row>
    <row r="190" spans="1:10" ht="14.4">
      <c r="A190" s="48" t="s">
        <v>274</v>
      </c>
      <c r="B190" s="48">
        <v>4</v>
      </c>
      <c r="C190" s="48" t="s">
        <v>62</v>
      </c>
      <c r="D190" s="49">
        <v>5.75</v>
      </c>
      <c r="E190" s="49">
        <v>53.8</v>
      </c>
      <c r="F190" s="49">
        <v>30</v>
      </c>
      <c r="G190" s="50">
        <f t="shared" si="4"/>
        <v>0.19166666666666668</v>
      </c>
      <c r="H190" s="51">
        <f t="shared" si="5"/>
        <v>9.3565217391304341</v>
      </c>
      <c r="I190" s="48" t="s">
        <v>259</v>
      </c>
      <c r="J190" s="47" t="s">
        <v>260</v>
      </c>
    </row>
    <row r="191" spans="1:10" ht="14.4">
      <c r="A191" s="48" t="s">
        <v>274</v>
      </c>
      <c r="B191" s="48">
        <v>5</v>
      </c>
      <c r="C191" s="48" t="s">
        <v>65</v>
      </c>
      <c r="D191" s="49">
        <v>7</v>
      </c>
      <c r="E191" s="49">
        <v>56.9</v>
      </c>
      <c r="F191" s="49">
        <v>31</v>
      </c>
      <c r="G191" s="50">
        <f t="shared" si="4"/>
        <v>0.22580645161290322</v>
      </c>
      <c r="H191" s="51">
        <f t="shared" si="5"/>
        <v>8.1285714285714281</v>
      </c>
      <c r="I191" s="48" t="s">
        <v>259</v>
      </c>
      <c r="J191" s="47" t="s">
        <v>260</v>
      </c>
    </row>
    <row r="192" spans="1:10" ht="14.4">
      <c r="A192" s="48" t="s">
        <v>274</v>
      </c>
      <c r="B192" s="48">
        <v>6</v>
      </c>
      <c r="C192" s="48" t="s">
        <v>68</v>
      </c>
      <c r="D192" s="49">
        <v>7.6</v>
      </c>
      <c r="E192" s="49">
        <v>68.599999999999994</v>
      </c>
      <c r="F192" s="49">
        <v>30</v>
      </c>
      <c r="G192" s="50">
        <f t="shared" si="4"/>
        <v>0.2533333333333333</v>
      </c>
      <c r="H192" s="51">
        <f t="shared" si="5"/>
        <v>9.0263157894736832</v>
      </c>
      <c r="I192" s="48" t="s">
        <v>259</v>
      </c>
      <c r="J192" s="47" t="s">
        <v>260</v>
      </c>
    </row>
    <row r="193" spans="1:10" ht="14.4">
      <c r="A193" s="48" t="s">
        <v>274</v>
      </c>
      <c r="B193" s="48">
        <v>7</v>
      </c>
      <c r="C193" s="48" t="s">
        <v>69</v>
      </c>
      <c r="D193" s="49">
        <v>7.2</v>
      </c>
      <c r="E193" s="49">
        <v>64.2</v>
      </c>
      <c r="F193" s="49">
        <v>31</v>
      </c>
      <c r="G193" s="50">
        <f t="shared" si="4"/>
        <v>0.23225806451612904</v>
      </c>
      <c r="H193" s="51">
        <f t="shared" si="5"/>
        <v>8.9166666666666661</v>
      </c>
      <c r="I193" s="48" t="s">
        <v>259</v>
      </c>
      <c r="J193" s="47" t="s">
        <v>260</v>
      </c>
    </row>
    <row r="194" spans="1:10" ht="14.4">
      <c r="A194" s="48" t="s">
        <v>274</v>
      </c>
      <c r="B194" s="48">
        <v>8</v>
      </c>
      <c r="C194" s="48" t="s">
        <v>71</v>
      </c>
      <c r="D194" s="49">
        <v>7.6</v>
      </c>
      <c r="E194" s="49">
        <v>57.9</v>
      </c>
      <c r="F194" s="49">
        <v>31</v>
      </c>
      <c r="G194" s="50">
        <f t="shared" si="4"/>
        <v>0.24516129032258063</v>
      </c>
      <c r="H194" s="51">
        <f t="shared" si="5"/>
        <v>7.6184210526315788</v>
      </c>
      <c r="I194" s="48" t="s">
        <v>259</v>
      </c>
      <c r="J194" s="47" t="s">
        <v>260</v>
      </c>
    </row>
    <row r="195" spans="1:10" ht="14.4">
      <c r="A195" s="48" t="s">
        <v>274</v>
      </c>
      <c r="B195" s="48">
        <v>9</v>
      </c>
      <c r="C195" s="48" t="s">
        <v>73</v>
      </c>
      <c r="D195" s="49">
        <v>7.44</v>
      </c>
      <c r="E195" s="49">
        <v>54.4</v>
      </c>
      <c r="F195" s="49">
        <v>30</v>
      </c>
      <c r="G195" s="50">
        <f t="shared" si="4"/>
        <v>0.24800000000000003</v>
      </c>
      <c r="H195" s="51">
        <f t="shared" si="5"/>
        <v>7.311827956989247</v>
      </c>
      <c r="I195" s="48" t="s">
        <v>259</v>
      </c>
      <c r="J195" s="47" t="s">
        <v>260</v>
      </c>
    </row>
    <row r="196" spans="1:10" ht="14.4">
      <c r="A196" s="48" t="s">
        <v>274</v>
      </c>
      <c r="B196" s="48">
        <v>10</v>
      </c>
      <c r="C196" s="48" t="s">
        <v>75</v>
      </c>
      <c r="D196" s="49">
        <v>7.24</v>
      </c>
      <c r="E196" s="49">
        <v>57.2</v>
      </c>
      <c r="F196" s="49">
        <v>31</v>
      </c>
      <c r="G196" s="50">
        <f t="shared" si="4"/>
        <v>0.2335483870967742</v>
      </c>
      <c r="H196" s="51">
        <f t="shared" si="5"/>
        <v>7.9005524861878458</v>
      </c>
      <c r="I196" s="48" t="s">
        <v>259</v>
      </c>
      <c r="J196" s="47" t="s">
        <v>260</v>
      </c>
    </row>
    <row r="197" spans="1:10" ht="14.4">
      <c r="A197" s="48" t="s">
        <v>274</v>
      </c>
      <c r="B197" s="48">
        <v>11</v>
      </c>
      <c r="C197" s="48" t="s">
        <v>76</v>
      </c>
      <c r="D197" s="49">
        <v>6.28</v>
      </c>
      <c r="E197" s="49">
        <v>49.1</v>
      </c>
      <c r="F197" s="49">
        <v>30</v>
      </c>
      <c r="G197" s="50">
        <f t="shared" si="4"/>
        <v>0.20933333333333334</v>
      </c>
      <c r="H197" s="51">
        <f t="shared" si="5"/>
        <v>7.8184713375796173</v>
      </c>
      <c r="I197" s="48" t="s">
        <v>259</v>
      </c>
      <c r="J197" s="47" t="s">
        <v>260</v>
      </c>
    </row>
    <row r="198" spans="1:10" ht="14.4">
      <c r="A198" s="48" t="s">
        <v>274</v>
      </c>
      <c r="B198" s="48">
        <v>12</v>
      </c>
      <c r="C198" s="48" t="s">
        <v>77</v>
      </c>
      <c r="D198" s="49">
        <v>6.12</v>
      </c>
      <c r="E198" s="49">
        <v>49.7</v>
      </c>
      <c r="F198" s="49">
        <v>31</v>
      </c>
      <c r="G198" s="50">
        <f t="shared" si="4"/>
        <v>0.19741935483870968</v>
      </c>
      <c r="H198" s="51">
        <f t="shared" si="5"/>
        <v>8.1209150326797381</v>
      </c>
      <c r="I198" s="48" t="s">
        <v>259</v>
      </c>
      <c r="J198" s="47" t="s">
        <v>260</v>
      </c>
    </row>
    <row r="199" spans="1:10" ht="14.4">
      <c r="A199" s="48" t="s">
        <v>275</v>
      </c>
      <c r="B199" s="48">
        <v>1</v>
      </c>
      <c r="C199" s="48" t="s">
        <v>55</v>
      </c>
      <c r="D199" s="49">
        <v>11.962962962962964</v>
      </c>
      <c r="E199" s="49">
        <v>163.4</v>
      </c>
      <c r="F199" s="49">
        <v>31</v>
      </c>
      <c r="G199" s="50">
        <f t="shared" ref="G199:G262" si="6">IFERROR(D199/F199,0)</f>
        <v>0.38590203106332138</v>
      </c>
      <c r="H199" s="51">
        <f t="shared" ref="H199:H262" si="7">IFERROR(E199/D199,0)</f>
        <v>13.658823529411764</v>
      </c>
      <c r="I199" s="48" t="s">
        <v>259</v>
      </c>
      <c r="J199" s="47" t="s">
        <v>260</v>
      </c>
    </row>
    <row r="200" spans="1:10" ht="14.4">
      <c r="A200" s="48" t="s">
        <v>275</v>
      </c>
      <c r="B200" s="48">
        <v>2</v>
      </c>
      <c r="C200" s="48" t="s">
        <v>58</v>
      </c>
      <c r="D200" s="49">
        <v>10.413793103448276</v>
      </c>
      <c r="E200" s="49">
        <v>121.4</v>
      </c>
      <c r="F200" s="49">
        <v>28.266666666666666</v>
      </c>
      <c r="G200" s="50">
        <f t="shared" si="6"/>
        <v>0.36841249186727393</v>
      </c>
      <c r="H200" s="51">
        <f t="shared" si="7"/>
        <v>11.657615894039736</v>
      </c>
      <c r="I200" s="48" t="s">
        <v>259</v>
      </c>
      <c r="J200" s="47" t="s">
        <v>260</v>
      </c>
    </row>
    <row r="201" spans="1:10" ht="14.4">
      <c r="A201" s="48" t="s">
        <v>275</v>
      </c>
      <c r="B201" s="48">
        <v>3</v>
      </c>
      <c r="C201" s="48" t="s">
        <v>60</v>
      </c>
      <c r="D201" s="49">
        <v>11.642857142857142</v>
      </c>
      <c r="E201" s="49">
        <v>143.1</v>
      </c>
      <c r="F201" s="49">
        <v>31</v>
      </c>
      <c r="G201" s="50">
        <f t="shared" si="6"/>
        <v>0.37557603686635943</v>
      </c>
      <c r="H201" s="51">
        <f t="shared" si="7"/>
        <v>12.29079754601227</v>
      </c>
      <c r="I201" s="48" t="s">
        <v>259</v>
      </c>
      <c r="J201" s="47" t="s">
        <v>260</v>
      </c>
    </row>
    <row r="202" spans="1:10" ht="14.4">
      <c r="A202" s="48" t="s">
        <v>275</v>
      </c>
      <c r="B202" s="48">
        <v>4</v>
      </c>
      <c r="C202" s="48" t="s">
        <v>62</v>
      </c>
      <c r="D202" s="49">
        <v>12.333333333333334</v>
      </c>
      <c r="E202" s="49">
        <v>163.80000000000001</v>
      </c>
      <c r="F202" s="49">
        <v>30</v>
      </c>
      <c r="G202" s="50">
        <f t="shared" si="6"/>
        <v>0.41111111111111115</v>
      </c>
      <c r="H202" s="51">
        <f t="shared" si="7"/>
        <v>13.281081081081082</v>
      </c>
      <c r="I202" s="48" t="s">
        <v>259</v>
      </c>
      <c r="J202" s="47" t="s">
        <v>260</v>
      </c>
    </row>
    <row r="203" spans="1:10" ht="14.4">
      <c r="A203" s="48" t="s">
        <v>275</v>
      </c>
      <c r="B203" s="48">
        <v>5</v>
      </c>
      <c r="C203" s="48" t="s">
        <v>65</v>
      </c>
      <c r="D203" s="49">
        <v>15.321428571428571</v>
      </c>
      <c r="E203" s="49">
        <v>186.5</v>
      </c>
      <c r="F203" s="49">
        <v>31</v>
      </c>
      <c r="G203" s="50">
        <f t="shared" si="6"/>
        <v>0.49423963133640553</v>
      </c>
      <c r="H203" s="51">
        <f t="shared" si="7"/>
        <v>12.172494172494172</v>
      </c>
      <c r="I203" s="48" t="s">
        <v>259</v>
      </c>
      <c r="J203" s="47" t="s">
        <v>260</v>
      </c>
    </row>
    <row r="204" spans="1:10" ht="14.4">
      <c r="A204" s="48" t="s">
        <v>275</v>
      </c>
      <c r="B204" s="48">
        <v>6</v>
      </c>
      <c r="C204" s="48" t="s">
        <v>68</v>
      </c>
      <c r="D204" s="49">
        <v>16.392857142857142</v>
      </c>
      <c r="E204" s="49">
        <v>199.5</v>
      </c>
      <c r="F204" s="49">
        <v>30</v>
      </c>
      <c r="G204" s="50">
        <f t="shared" si="6"/>
        <v>0.54642857142857137</v>
      </c>
      <c r="H204" s="51">
        <f t="shared" si="7"/>
        <v>12.169934640522877</v>
      </c>
      <c r="I204" s="48" t="s">
        <v>259</v>
      </c>
      <c r="J204" s="47" t="s">
        <v>260</v>
      </c>
    </row>
    <row r="205" spans="1:10" ht="14.4">
      <c r="A205" s="48" t="s">
        <v>275</v>
      </c>
      <c r="B205" s="48">
        <v>7</v>
      </c>
      <c r="C205" s="48" t="s">
        <v>69</v>
      </c>
      <c r="D205" s="49">
        <v>14.115384615384615</v>
      </c>
      <c r="E205" s="49">
        <v>170.1</v>
      </c>
      <c r="F205" s="49">
        <v>31</v>
      </c>
      <c r="G205" s="50">
        <f t="shared" si="6"/>
        <v>0.45533498759305208</v>
      </c>
      <c r="H205" s="51">
        <f t="shared" si="7"/>
        <v>12.050681198910082</v>
      </c>
      <c r="I205" s="48" t="s">
        <v>259</v>
      </c>
      <c r="J205" s="47" t="s">
        <v>260</v>
      </c>
    </row>
    <row r="206" spans="1:10" ht="14.4">
      <c r="A206" s="48" t="s">
        <v>275</v>
      </c>
      <c r="B206" s="48">
        <v>8</v>
      </c>
      <c r="C206" s="48" t="s">
        <v>71</v>
      </c>
      <c r="D206" s="49">
        <v>15.703703703703704</v>
      </c>
      <c r="E206" s="49">
        <v>187</v>
      </c>
      <c r="F206" s="49">
        <v>31</v>
      </c>
      <c r="G206" s="50">
        <f t="shared" si="6"/>
        <v>0.50657108721624855</v>
      </c>
      <c r="H206" s="51">
        <f t="shared" si="7"/>
        <v>11.908018867924527</v>
      </c>
      <c r="I206" s="48" t="s">
        <v>259</v>
      </c>
      <c r="J206" s="47" t="s">
        <v>260</v>
      </c>
    </row>
    <row r="207" spans="1:10" ht="14.4">
      <c r="A207" s="48" t="s">
        <v>275</v>
      </c>
      <c r="B207" s="48">
        <v>9</v>
      </c>
      <c r="C207" s="48" t="s">
        <v>73</v>
      </c>
      <c r="D207" s="49">
        <v>16.96551724137931</v>
      </c>
      <c r="E207" s="49">
        <v>182.6</v>
      </c>
      <c r="F207" s="49">
        <v>30</v>
      </c>
      <c r="G207" s="50">
        <f t="shared" si="6"/>
        <v>0.56551724137931036</v>
      </c>
      <c r="H207" s="51">
        <f t="shared" si="7"/>
        <v>10.763008130081301</v>
      </c>
      <c r="I207" s="48" t="s">
        <v>259</v>
      </c>
      <c r="J207" s="47" t="s">
        <v>260</v>
      </c>
    </row>
    <row r="208" spans="1:10" ht="14.4">
      <c r="A208" s="48" t="s">
        <v>275</v>
      </c>
      <c r="B208" s="48">
        <v>10</v>
      </c>
      <c r="C208" s="48" t="s">
        <v>75</v>
      </c>
      <c r="D208" s="49">
        <v>17.892857142857142</v>
      </c>
      <c r="E208" s="49">
        <v>202.2</v>
      </c>
      <c r="F208" s="49">
        <v>31</v>
      </c>
      <c r="G208" s="50">
        <f t="shared" si="6"/>
        <v>0.57718894009216593</v>
      </c>
      <c r="H208" s="51">
        <f t="shared" si="7"/>
        <v>11.300598802395209</v>
      </c>
      <c r="I208" s="48" t="s">
        <v>259</v>
      </c>
      <c r="J208" s="47" t="s">
        <v>260</v>
      </c>
    </row>
    <row r="209" spans="1:10" ht="14.4">
      <c r="A209" s="48" t="s">
        <v>275</v>
      </c>
      <c r="B209" s="48">
        <v>11</v>
      </c>
      <c r="C209" s="48" t="s">
        <v>76</v>
      </c>
      <c r="D209" s="49">
        <v>14.586206896551724</v>
      </c>
      <c r="E209" s="49">
        <v>157.30000000000001</v>
      </c>
      <c r="F209" s="49">
        <v>30</v>
      </c>
      <c r="G209" s="50">
        <f t="shared" si="6"/>
        <v>0.48620689655172417</v>
      </c>
      <c r="H209" s="51">
        <f t="shared" si="7"/>
        <v>10.784160756501183</v>
      </c>
      <c r="I209" s="48" t="s">
        <v>259</v>
      </c>
      <c r="J209" s="47" t="s">
        <v>260</v>
      </c>
    </row>
    <row r="210" spans="1:10" ht="14.4">
      <c r="A210" s="48" t="s">
        <v>275</v>
      </c>
      <c r="B210" s="48">
        <v>12</v>
      </c>
      <c r="C210" s="48" t="s">
        <v>77</v>
      </c>
      <c r="D210" s="49">
        <v>14.896551724137931</v>
      </c>
      <c r="E210" s="49">
        <v>196.9</v>
      </c>
      <c r="F210" s="49">
        <v>31</v>
      </c>
      <c r="G210" s="50">
        <f t="shared" si="6"/>
        <v>0.48053392658509453</v>
      </c>
      <c r="H210" s="51">
        <f t="shared" si="7"/>
        <v>13.217824074074075</v>
      </c>
      <c r="I210" s="48" t="s">
        <v>259</v>
      </c>
      <c r="J210" s="47" t="s">
        <v>260</v>
      </c>
    </row>
    <row r="211" spans="1:10" ht="14.4">
      <c r="A211" s="48" t="s">
        <v>276</v>
      </c>
      <c r="B211" s="48">
        <v>1</v>
      </c>
      <c r="C211" s="48" t="s">
        <v>55</v>
      </c>
      <c r="D211" s="49">
        <v>6.5555555555555554</v>
      </c>
      <c r="E211" s="49">
        <v>47.4</v>
      </c>
      <c r="F211" s="49">
        <v>31</v>
      </c>
      <c r="G211" s="50">
        <f t="shared" si="6"/>
        <v>0.21146953405017921</v>
      </c>
      <c r="H211" s="51">
        <f t="shared" si="7"/>
        <v>7.2305084745762711</v>
      </c>
      <c r="I211" s="48" t="s">
        <v>259</v>
      </c>
      <c r="J211" s="47" t="s">
        <v>260</v>
      </c>
    </row>
    <row r="212" spans="1:10" ht="14.4">
      <c r="A212" s="48" t="s">
        <v>276</v>
      </c>
      <c r="B212" s="48">
        <v>2</v>
      </c>
      <c r="C212" s="48" t="s">
        <v>58</v>
      </c>
      <c r="D212" s="49">
        <v>5.7037037037037033</v>
      </c>
      <c r="E212" s="49">
        <v>39.299999999999997</v>
      </c>
      <c r="F212" s="49">
        <v>28.266666666666666</v>
      </c>
      <c r="G212" s="50">
        <f t="shared" si="6"/>
        <v>0.20178197064989517</v>
      </c>
      <c r="H212" s="51">
        <f t="shared" si="7"/>
        <v>6.8902597402597401</v>
      </c>
      <c r="I212" s="48" t="s">
        <v>259</v>
      </c>
      <c r="J212" s="47" t="s">
        <v>260</v>
      </c>
    </row>
    <row r="213" spans="1:10" ht="14.4">
      <c r="A213" s="48" t="s">
        <v>276</v>
      </c>
      <c r="B213" s="48">
        <v>3</v>
      </c>
      <c r="C213" s="48" t="s">
        <v>60</v>
      </c>
      <c r="D213" s="49">
        <v>6.5862068965517242</v>
      </c>
      <c r="E213" s="49">
        <v>66.099999999999994</v>
      </c>
      <c r="F213" s="49">
        <v>31</v>
      </c>
      <c r="G213" s="50">
        <f t="shared" si="6"/>
        <v>0.21245828698553948</v>
      </c>
      <c r="H213" s="51">
        <f t="shared" si="7"/>
        <v>10.036125654450261</v>
      </c>
      <c r="I213" s="48" t="s">
        <v>259</v>
      </c>
      <c r="J213" s="47" t="s">
        <v>260</v>
      </c>
    </row>
    <row r="214" spans="1:10" ht="14.4">
      <c r="A214" s="48" t="s">
        <v>276</v>
      </c>
      <c r="B214" s="48">
        <v>4</v>
      </c>
      <c r="C214" s="48" t="s">
        <v>62</v>
      </c>
      <c r="D214" s="49">
        <v>7.068965517241379</v>
      </c>
      <c r="E214" s="49">
        <v>66.599999999999994</v>
      </c>
      <c r="F214" s="49">
        <v>30</v>
      </c>
      <c r="G214" s="50">
        <f t="shared" si="6"/>
        <v>0.23563218390804597</v>
      </c>
      <c r="H214" s="51">
        <f t="shared" si="7"/>
        <v>9.4214634146341467</v>
      </c>
      <c r="I214" s="48" t="s">
        <v>259</v>
      </c>
      <c r="J214" s="47" t="s">
        <v>260</v>
      </c>
    </row>
    <row r="215" spans="1:10" ht="14.4">
      <c r="A215" s="48" t="s">
        <v>276</v>
      </c>
      <c r="B215" s="48">
        <v>5</v>
      </c>
      <c r="C215" s="48" t="s">
        <v>65</v>
      </c>
      <c r="D215" s="49">
        <v>6.3103448275862073</v>
      </c>
      <c r="E215" s="49">
        <v>51</v>
      </c>
      <c r="F215" s="49">
        <v>31</v>
      </c>
      <c r="G215" s="50">
        <f t="shared" si="6"/>
        <v>0.20355951056729701</v>
      </c>
      <c r="H215" s="51">
        <f t="shared" si="7"/>
        <v>8.0819672131147531</v>
      </c>
      <c r="I215" s="48" t="s">
        <v>259</v>
      </c>
      <c r="J215" s="47" t="s">
        <v>260</v>
      </c>
    </row>
    <row r="216" spans="1:10" ht="14.4">
      <c r="A216" s="48" t="s">
        <v>276</v>
      </c>
      <c r="B216" s="48">
        <v>6</v>
      </c>
      <c r="C216" s="48" t="s">
        <v>68</v>
      </c>
      <c r="D216" s="49">
        <v>8.1428571428571423</v>
      </c>
      <c r="E216" s="49">
        <v>73</v>
      </c>
      <c r="F216" s="49">
        <v>30</v>
      </c>
      <c r="G216" s="50">
        <f t="shared" si="6"/>
        <v>0.27142857142857141</v>
      </c>
      <c r="H216" s="51">
        <f t="shared" si="7"/>
        <v>8.9649122807017552</v>
      </c>
      <c r="I216" s="48" t="s">
        <v>259</v>
      </c>
      <c r="J216" s="47" t="s">
        <v>260</v>
      </c>
    </row>
    <row r="217" spans="1:10" ht="14.4">
      <c r="A217" s="48" t="s">
        <v>276</v>
      </c>
      <c r="B217" s="48">
        <v>7</v>
      </c>
      <c r="C217" s="48" t="s">
        <v>69</v>
      </c>
      <c r="D217" s="49">
        <v>7.9333333333333336</v>
      </c>
      <c r="E217" s="49">
        <v>86.5</v>
      </c>
      <c r="F217" s="49">
        <v>31</v>
      </c>
      <c r="G217" s="50">
        <f t="shared" si="6"/>
        <v>0.25591397849462366</v>
      </c>
      <c r="H217" s="51">
        <f t="shared" si="7"/>
        <v>10.903361344537815</v>
      </c>
      <c r="I217" s="48" t="s">
        <v>259</v>
      </c>
      <c r="J217" s="47" t="s">
        <v>260</v>
      </c>
    </row>
    <row r="218" spans="1:10" ht="14.4">
      <c r="A218" s="48" t="s">
        <v>276</v>
      </c>
      <c r="B218" s="48">
        <v>8</v>
      </c>
      <c r="C218" s="48" t="s">
        <v>71</v>
      </c>
      <c r="D218" s="49">
        <v>6.6896551724137927</v>
      </c>
      <c r="E218" s="49">
        <v>59.1</v>
      </c>
      <c r="F218" s="49">
        <v>31</v>
      </c>
      <c r="G218" s="50">
        <f t="shared" si="6"/>
        <v>0.21579532814238042</v>
      </c>
      <c r="H218" s="51">
        <f t="shared" si="7"/>
        <v>8.8345360824742283</v>
      </c>
      <c r="I218" s="48" t="s">
        <v>259</v>
      </c>
      <c r="J218" s="47" t="s">
        <v>260</v>
      </c>
    </row>
    <row r="219" spans="1:10" ht="14.4">
      <c r="A219" s="48" t="s">
        <v>276</v>
      </c>
      <c r="B219" s="48">
        <v>9</v>
      </c>
      <c r="C219" s="48" t="s">
        <v>73</v>
      </c>
      <c r="D219" s="49">
        <v>6.4137931034482758</v>
      </c>
      <c r="E219" s="49">
        <v>53.6</v>
      </c>
      <c r="F219" s="49">
        <v>30</v>
      </c>
      <c r="G219" s="50">
        <f t="shared" si="6"/>
        <v>0.21379310344827587</v>
      </c>
      <c r="H219" s="51">
        <f t="shared" si="7"/>
        <v>8.3569892473118284</v>
      </c>
      <c r="I219" s="48" t="s">
        <v>259</v>
      </c>
      <c r="J219" s="47" t="s">
        <v>260</v>
      </c>
    </row>
    <row r="220" spans="1:10" ht="14.4">
      <c r="A220" s="48" t="s">
        <v>276</v>
      </c>
      <c r="B220" s="48">
        <v>10</v>
      </c>
      <c r="C220" s="48" t="s">
        <v>75</v>
      </c>
      <c r="D220" s="49">
        <v>8.0740740740740744</v>
      </c>
      <c r="E220" s="49">
        <v>64.400000000000006</v>
      </c>
      <c r="F220" s="49">
        <v>31</v>
      </c>
      <c r="G220" s="50">
        <f t="shared" si="6"/>
        <v>0.26045400238948629</v>
      </c>
      <c r="H220" s="51">
        <f t="shared" si="7"/>
        <v>7.9761467889908264</v>
      </c>
      <c r="I220" s="48" t="s">
        <v>259</v>
      </c>
      <c r="J220" s="47" t="s">
        <v>260</v>
      </c>
    </row>
    <row r="221" spans="1:10" ht="14.4">
      <c r="A221" s="48" t="s">
        <v>276</v>
      </c>
      <c r="B221" s="48">
        <v>11</v>
      </c>
      <c r="C221" s="48" t="s">
        <v>76</v>
      </c>
      <c r="D221" s="49">
        <v>6.9629629629629628</v>
      </c>
      <c r="E221" s="49">
        <v>58.8</v>
      </c>
      <c r="F221" s="49">
        <v>30</v>
      </c>
      <c r="G221" s="50">
        <f t="shared" si="6"/>
        <v>0.23209876543209876</v>
      </c>
      <c r="H221" s="51">
        <f t="shared" si="7"/>
        <v>8.4446808510638292</v>
      </c>
      <c r="I221" s="48" t="s">
        <v>259</v>
      </c>
      <c r="J221" s="47" t="s">
        <v>260</v>
      </c>
    </row>
    <row r="222" spans="1:10" ht="14.4">
      <c r="A222" s="48" t="s">
        <v>276</v>
      </c>
      <c r="B222" s="48">
        <v>12</v>
      </c>
      <c r="C222" s="48" t="s">
        <v>77</v>
      </c>
      <c r="D222" s="49">
        <v>7.2592592592592595</v>
      </c>
      <c r="E222" s="49">
        <v>49.3</v>
      </c>
      <c r="F222" s="49">
        <v>31</v>
      </c>
      <c r="G222" s="50">
        <f t="shared" si="6"/>
        <v>0.23416965352449223</v>
      </c>
      <c r="H222" s="51">
        <f t="shared" si="7"/>
        <v>6.7913265306122446</v>
      </c>
      <c r="I222" s="48" t="s">
        <v>259</v>
      </c>
      <c r="J222" s="47" t="s">
        <v>260</v>
      </c>
    </row>
    <row r="223" spans="1:10" ht="14.4">
      <c r="A223" s="48" t="s">
        <v>277</v>
      </c>
      <c r="B223" s="48">
        <v>1</v>
      </c>
      <c r="C223" s="48" t="s">
        <v>55</v>
      </c>
      <c r="D223" s="49">
        <v>12.448275862068966</v>
      </c>
      <c r="E223" s="49">
        <v>257.39999999999998</v>
      </c>
      <c r="F223" s="49">
        <v>31</v>
      </c>
      <c r="G223" s="50">
        <f t="shared" si="6"/>
        <v>0.40155728587319245</v>
      </c>
      <c r="H223" s="51">
        <f t="shared" si="7"/>
        <v>20.677562326869804</v>
      </c>
      <c r="I223" s="48" t="s">
        <v>259</v>
      </c>
      <c r="J223" s="47" t="s">
        <v>260</v>
      </c>
    </row>
    <row r="224" spans="1:10" ht="14.4">
      <c r="A224" s="48" t="s">
        <v>277</v>
      </c>
      <c r="B224" s="48">
        <v>2</v>
      </c>
      <c r="C224" s="48" t="s">
        <v>58</v>
      </c>
      <c r="D224" s="49">
        <v>10.8</v>
      </c>
      <c r="E224" s="49">
        <v>191.7</v>
      </c>
      <c r="F224" s="49">
        <v>28.266666666666666</v>
      </c>
      <c r="G224" s="50">
        <f t="shared" si="6"/>
        <v>0.38207547169811323</v>
      </c>
      <c r="H224" s="51">
        <f t="shared" si="7"/>
        <v>17.749999999999996</v>
      </c>
      <c r="I224" s="48" t="s">
        <v>259</v>
      </c>
      <c r="J224" s="47" t="s">
        <v>260</v>
      </c>
    </row>
    <row r="225" spans="1:10" ht="14.4">
      <c r="A225" s="48" t="s">
        <v>277</v>
      </c>
      <c r="B225" s="48">
        <v>3</v>
      </c>
      <c r="C225" s="48" t="s">
        <v>60</v>
      </c>
      <c r="D225" s="49">
        <v>12.103448275862069</v>
      </c>
      <c r="E225" s="49">
        <v>213.4</v>
      </c>
      <c r="F225" s="49">
        <v>31</v>
      </c>
      <c r="G225" s="50">
        <f t="shared" si="6"/>
        <v>0.39043381535038935</v>
      </c>
      <c r="H225" s="51">
        <f t="shared" si="7"/>
        <v>17.631339031339031</v>
      </c>
      <c r="I225" s="48" t="s">
        <v>259</v>
      </c>
      <c r="J225" s="47" t="s">
        <v>260</v>
      </c>
    </row>
    <row r="226" spans="1:10" ht="14.4">
      <c r="A226" s="48" t="s">
        <v>277</v>
      </c>
      <c r="B226" s="48">
        <v>4</v>
      </c>
      <c r="C226" s="48" t="s">
        <v>62</v>
      </c>
      <c r="D226" s="49">
        <v>13.1</v>
      </c>
      <c r="E226" s="49">
        <v>244.9</v>
      </c>
      <c r="F226" s="49">
        <v>30</v>
      </c>
      <c r="G226" s="50">
        <f t="shared" si="6"/>
        <v>0.43666666666666665</v>
      </c>
      <c r="H226" s="51">
        <f t="shared" si="7"/>
        <v>18.694656488549619</v>
      </c>
      <c r="I226" s="48" t="s">
        <v>259</v>
      </c>
      <c r="J226" s="47" t="s">
        <v>260</v>
      </c>
    </row>
    <row r="227" spans="1:10" ht="14.4">
      <c r="A227" s="48" t="s">
        <v>277</v>
      </c>
      <c r="B227" s="48">
        <v>5</v>
      </c>
      <c r="C227" s="48" t="s">
        <v>65</v>
      </c>
      <c r="D227" s="49">
        <v>15</v>
      </c>
      <c r="E227" s="49">
        <v>252.8</v>
      </c>
      <c r="F227" s="49">
        <v>31</v>
      </c>
      <c r="G227" s="50">
        <f t="shared" si="6"/>
        <v>0.4838709677419355</v>
      </c>
      <c r="H227" s="51">
        <f t="shared" si="7"/>
        <v>16.853333333333335</v>
      </c>
      <c r="I227" s="48" t="s">
        <v>259</v>
      </c>
      <c r="J227" s="47" t="s">
        <v>260</v>
      </c>
    </row>
    <row r="228" spans="1:10" ht="14.4">
      <c r="A228" s="48" t="s">
        <v>277</v>
      </c>
      <c r="B228" s="48">
        <v>6</v>
      </c>
      <c r="C228" s="48" t="s">
        <v>68</v>
      </c>
      <c r="D228" s="49">
        <v>14.766666666666667</v>
      </c>
      <c r="E228" s="49">
        <v>261.2</v>
      </c>
      <c r="F228" s="49">
        <v>30</v>
      </c>
      <c r="G228" s="50">
        <f t="shared" si="6"/>
        <v>0.49222222222222223</v>
      </c>
      <c r="H228" s="51">
        <f t="shared" si="7"/>
        <v>17.688487584650112</v>
      </c>
      <c r="I228" s="48" t="s">
        <v>259</v>
      </c>
      <c r="J228" s="47" t="s">
        <v>260</v>
      </c>
    </row>
    <row r="229" spans="1:10" ht="14.4">
      <c r="A229" s="48" t="s">
        <v>277</v>
      </c>
      <c r="B229" s="48">
        <v>7</v>
      </c>
      <c r="C229" s="48" t="s">
        <v>69</v>
      </c>
      <c r="D229" s="49">
        <v>14.068965517241379</v>
      </c>
      <c r="E229" s="49">
        <v>228</v>
      </c>
      <c r="F229" s="49">
        <v>31</v>
      </c>
      <c r="G229" s="50">
        <f t="shared" si="6"/>
        <v>0.45383759733036705</v>
      </c>
      <c r="H229" s="51">
        <f t="shared" si="7"/>
        <v>16.205882352941178</v>
      </c>
      <c r="I229" s="48" t="s">
        <v>259</v>
      </c>
      <c r="J229" s="47" t="s">
        <v>260</v>
      </c>
    </row>
    <row r="230" spans="1:10" ht="14.4">
      <c r="A230" s="48" t="s">
        <v>277</v>
      </c>
      <c r="B230" s="48">
        <v>8</v>
      </c>
      <c r="C230" s="48" t="s">
        <v>71</v>
      </c>
      <c r="D230" s="49">
        <v>15.333333333333334</v>
      </c>
      <c r="E230" s="49">
        <v>246.9</v>
      </c>
      <c r="F230" s="49">
        <v>31</v>
      </c>
      <c r="G230" s="50">
        <f t="shared" si="6"/>
        <v>0.4946236559139785</v>
      </c>
      <c r="H230" s="51">
        <f t="shared" si="7"/>
        <v>16.10217391304348</v>
      </c>
      <c r="I230" s="48" t="s">
        <v>259</v>
      </c>
      <c r="J230" s="47" t="s">
        <v>260</v>
      </c>
    </row>
    <row r="231" spans="1:10" ht="14.4">
      <c r="A231" s="48" t="s">
        <v>277</v>
      </c>
      <c r="B231" s="48">
        <v>9</v>
      </c>
      <c r="C231" s="48" t="s">
        <v>73</v>
      </c>
      <c r="D231" s="49">
        <v>16.866666666666667</v>
      </c>
      <c r="E231" s="49">
        <v>244.7</v>
      </c>
      <c r="F231" s="49">
        <v>30</v>
      </c>
      <c r="G231" s="50">
        <f t="shared" si="6"/>
        <v>0.56222222222222229</v>
      </c>
      <c r="H231" s="51">
        <f t="shared" si="7"/>
        <v>14.50790513833992</v>
      </c>
      <c r="I231" s="48" t="s">
        <v>259</v>
      </c>
      <c r="J231" s="47" t="s">
        <v>260</v>
      </c>
    </row>
    <row r="232" spans="1:10" ht="14.4">
      <c r="A232" s="48" t="s">
        <v>277</v>
      </c>
      <c r="B232" s="48">
        <v>10</v>
      </c>
      <c r="C232" s="48" t="s">
        <v>75</v>
      </c>
      <c r="D232" s="49">
        <v>17.733333333333334</v>
      </c>
      <c r="E232" s="49">
        <v>284.8</v>
      </c>
      <c r="F232" s="49">
        <v>31</v>
      </c>
      <c r="G232" s="50">
        <f t="shared" si="6"/>
        <v>0.57204301075268815</v>
      </c>
      <c r="H232" s="51">
        <f t="shared" si="7"/>
        <v>16.060150375939848</v>
      </c>
      <c r="I232" s="48" t="s">
        <v>259</v>
      </c>
      <c r="J232" s="47" t="s">
        <v>260</v>
      </c>
    </row>
    <row r="233" spans="1:10" ht="14.4">
      <c r="A233" s="48" t="s">
        <v>277</v>
      </c>
      <c r="B233" s="48">
        <v>11</v>
      </c>
      <c r="C233" s="48" t="s">
        <v>76</v>
      </c>
      <c r="D233" s="49">
        <v>14.533333333333333</v>
      </c>
      <c r="E233" s="49">
        <v>222.9</v>
      </c>
      <c r="F233" s="49">
        <v>30</v>
      </c>
      <c r="G233" s="50">
        <f t="shared" si="6"/>
        <v>0.48444444444444446</v>
      </c>
      <c r="H233" s="51">
        <f t="shared" si="7"/>
        <v>15.337155963302752</v>
      </c>
      <c r="I233" s="48" t="s">
        <v>259</v>
      </c>
      <c r="J233" s="47" t="s">
        <v>260</v>
      </c>
    </row>
    <row r="234" spans="1:10" ht="14.4">
      <c r="A234" s="48" t="s">
        <v>277</v>
      </c>
      <c r="B234" s="48">
        <v>12</v>
      </c>
      <c r="C234" s="48" t="s">
        <v>77</v>
      </c>
      <c r="D234" s="49">
        <v>15.655172413793103</v>
      </c>
      <c r="E234" s="49">
        <v>272.10000000000002</v>
      </c>
      <c r="F234" s="49">
        <v>31</v>
      </c>
      <c r="G234" s="50">
        <f t="shared" si="6"/>
        <v>0.50500556173526134</v>
      </c>
      <c r="H234" s="51">
        <f t="shared" si="7"/>
        <v>17.380837004405286</v>
      </c>
      <c r="I234" s="48" t="s">
        <v>259</v>
      </c>
      <c r="J234" s="47" t="s">
        <v>260</v>
      </c>
    </row>
    <row r="235" spans="1:10" ht="14.4">
      <c r="A235" s="48" t="s">
        <v>278</v>
      </c>
      <c r="B235" s="48">
        <v>1</v>
      </c>
      <c r="C235" s="48" t="s">
        <v>55</v>
      </c>
      <c r="D235" s="49">
        <v>6.0333333333333332</v>
      </c>
      <c r="E235" s="49">
        <v>42.4</v>
      </c>
      <c r="F235" s="49">
        <v>31</v>
      </c>
      <c r="G235" s="50">
        <f t="shared" si="6"/>
        <v>0.19462365591397848</v>
      </c>
      <c r="H235" s="51">
        <f t="shared" si="7"/>
        <v>7.027624309392265</v>
      </c>
      <c r="I235" s="48" t="s">
        <v>259</v>
      </c>
      <c r="J235" s="47" t="s">
        <v>260</v>
      </c>
    </row>
    <row r="236" spans="1:10" ht="14.4">
      <c r="A236" s="48" t="s">
        <v>278</v>
      </c>
      <c r="B236" s="48">
        <v>2</v>
      </c>
      <c r="C236" s="48" t="s">
        <v>58</v>
      </c>
      <c r="D236" s="49">
        <v>5.333333333333333</v>
      </c>
      <c r="E236" s="49">
        <v>39.799999999999997</v>
      </c>
      <c r="F236" s="49">
        <v>28.266666666666666</v>
      </c>
      <c r="G236" s="50">
        <f t="shared" si="6"/>
        <v>0.18867924528301885</v>
      </c>
      <c r="H236" s="51">
        <f t="shared" si="7"/>
        <v>7.4624999999999995</v>
      </c>
      <c r="I236" s="48" t="s">
        <v>259</v>
      </c>
      <c r="J236" s="47" t="s">
        <v>260</v>
      </c>
    </row>
    <row r="237" spans="1:10" ht="14.4">
      <c r="A237" s="48" t="s">
        <v>278</v>
      </c>
      <c r="B237" s="48">
        <v>3</v>
      </c>
      <c r="C237" s="48" t="s">
        <v>60</v>
      </c>
      <c r="D237" s="49">
        <v>5.7333333333333334</v>
      </c>
      <c r="E237" s="49">
        <v>45.1</v>
      </c>
      <c r="F237" s="49">
        <v>31</v>
      </c>
      <c r="G237" s="50">
        <f t="shared" si="6"/>
        <v>0.18494623655913978</v>
      </c>
      <c r="H237" s="51">
        <f t="shared" si="7"/>
        <v>7.8662790697674421</v>
      </c>
      <c r="I237" s="48" t="s">
        <v>259</v>
      </c>
      <c r="J237" s="47" t="s">
        <v>260</v>
      </c>
    </row>
    <row r="238" spans="1:10" ht="14.4">
      <c r="A238" s="48" t="s">
        <v>278</v>
      </c>
      <c r="B238" s="48">
        <v>4</v>
      </c>
      <c r="C238" s="48" t="s">
        <v>62</v>
      </c>
      <c r="D238" s="49">
        <v>7.666666666666667</v>
      </c>
      <c r="E238" s="49">
        <v>57.5</v>
      </c>
      <c r="F238" s="49">
        <v>30</v>
      </c>
      <c r="G238" s="50">
        <f t="shared" si="6"/>
        <v>0.25555555555555559</v>
      </c>
      <c r="H238" s="51">
        <f t="shared" si="7"/>
        <v>7.5</v>
      </c>
      <c r="I238" s="48" t="s">
        <v>259</v>
      </c>
      <c r="J238" s="47" t="s">
        <v>260</v>
      </c>
    </row>
    <row r="239" spans="1:10" ht="14.4">
      <c r="A239" s="48" t="s">
        <v>278</v>
      </c>
      <c r="B239" s="48">
        <v>5</v>
      </c>
      <c r="C239" s="48" t="s">
        <v>65</v>
      </c>
      <c r="D239" s="49">
        <v>7.1333333333333337</v>
      </c>
      <c r="E239" s="49">
        <v>58.1</v>
      </c>
      <c r="F239" s="49">
        <v>31</v>
      </c>
      <c r="G239" s="50">
        <f t="shared" si="6"/>
        <v>0.23010752688172045</v>
      </c>
      <c r="H239" s="51">
        <f t="shared" si="7"/>
        <v>8.1448598130841123</v>
      </c>
      <c r="I239" s="48" t="s">
        <v>259</v>
      </c>
      <c r="J239" s="47" t="s">
        <v>260</v>
      </c>
    </row>
    <row r="240" spans="1:10" ht="14.4">
      <c r="A240" s="48" t="s">
        <v>278</v>
      </c>
      <c r="B240" s="48">
        <v>6</v>
      </c>
      <c r="C240" s="48" t="s">
        <v>68</v>
      </c>
      <c r="D240" s="49">
        <v>8.6</v>
      </c>
      <c r="E240" s="49">
        <v>68.3</v>
      </c>
      <c r="F240" s="49">
        <v>30</v>
      </c>
      <c r="G240" s="50">
        <f t="shared" si="6"/>
        <v>0.28666666666666668</v>
      </c>
      <c r="H240" s="51">
        <f t="shared" si="7"/>
        <v>7.941860465116279</v>
      </c>
      <c r="I240" s="48" t="s">
        <v>259</v>
      </c>
      <c r="J240" s="47" t="s">
        <v>260</v>
      </c>
    </row>
    <row r="241" spans="1:10" ht="14.4">
      <c r="A241" s="48" t="s">
        <v>278</v>
      </c>
      <c r="B241" s="48">
        <v>7</v>
      </c>
      <c r="C241" s="48" t="s">
        <v>69</v>
      </c>
      <c r="D241" s="49">
        <v>7.666666666666667</v>
      </c>
      <c r="E241" s="49">
        <v>64.2</v>
      </c>
      <c r="F241" s="49">
        <v>31</v>
      </c>
      <c r="G241" s="50">
        <f t="shared" si="6"/>
        <v>0.24731182795698925</v>
      </c>
      <c r="H241" s="51">
        <f t="shared" si="7"/>
        <v>8.3739130434782609</v>
      </c>
      <c r="I241" s="48" t="s">
        <v>259</v>
      </c>
      <c r="J241" s="47" t="s">
        <v>260</v>
      </c>
    </row>
    <row r="242" spans="1:10" ht="14.4">
      <c r="A242" s="48" t="s">
        <v>278</v>
      </c>
      <c r="B242" s="48">
        <v>8</v>
      </c>
      <c r="C242" s="48" t="s">
        <v>71</v>
      </c>
      <c r="D242" s="49">
        <v>7.3</v>
      </c>
      <c r="E242" s="49">
        <v>58.1</v>
      </c>
      <c r="F242" s="49">
        <v>31</v>
      </c>
      <c r="G242" s="50">
        <f t="shared" si="6"/>
        <v>0.23548387096774193</v>
      </c>
      <c r="H242" s="51">
        <f t="shared" si="7"/>
        <v>7.9589041095890414</v>
      </c>
      <c r="I242" s="48" t="s">
        <v>259</v>
      </c>
      <c r="J242" s="47" t="s">
        <v>260</v>
      </c>
    </row>
    <row r="243" spans="1:10" ht="14.4">
      <c r="A243" s="48" t="s">
        <v>278</v>
      </c>
      <c r="B243" s="48">
        <v>9</v>
      </c>
      <c r="C243" s="48" t="s">
        <v>73</v>
      </c>
      <c r="D243" s="49">
        <v>6.2</v>
      </c>
      <c r="E243" s="49">
        <v>42.2</v>
      </c>
      <c r="F243" s="49">
        <v>30</v>
      </c>
      <c r="G243" s="50">
        <f t="shared" si="6"/>
        <v>0.20666666666666667</v>
      </c>
      <c r="H243" s="51">
        <f t="shared" si="7"/>
        <v>6.806451612903226</v>
      </c>
      <c r="I243" s="48" t="s">
        <v>259</v>
      </c>
      <c r="J243" s="47" t="s">
        <v>260</v>
      </c>
    </row>
    <row r="244" spans="1:10" ht="14.4">
      <c r="A244" s="48" t="s">
        <v>278</v>
      </c>
      <c r="B244" s="48">
        <v>10</v>
      </c>
      <c r="C244" s="48" t="s">
        <v>75</v>
      </c>
      <c r="D244" s="49">
        <v>7.2</v>
      </c>
      <c r="E244" s="49">
        <v>49.1</v>
      </c>
      <c r="F244" s="49">
        <v>31</v>
      </c>
      <c r="G244" s="50">
        <f t="shared" si="6"/>
        <v>0.23225806451612904</v>
      </c>
      <c r="H244" s="51">
        <f t="shared" si="7"/>
        <v>6.8194444444444446</v>
      </c>
      <c r="I244" s="48" t="s">
        <v>259</v>
      </c>
      <c r="J244" s="47" t="s">
        <v>260</v>
      </c>
    </row>
    <row r="245" spans="1:10" ht="14.4">
      <c r="A245" s="48" t="s">
        <v>278</v>
      </c>
      <c r="B245" s="48">
        <v>11</v>
      </c>
      <c r="C245" s="48" t="s">
        <v>76</v>
      </c>
      <c r="D245" s="49">
        <v>7</v>
      </c>
      <c r="E245" s="49">
        <v>45.1</v>
      </c>
      <c r="F245" s="49">
        <v>30</v>
      </c>
      <c r="G245" s="50">
        <f t="shared" si="6"/>
        <v>0.23333333333333334</v>
      </c>
      <c r="H245" s="51">
        <f t="shared" si="7"/>
        <v>6.4428571428571431</v>
      </c>
      <c r="I245" s="48" t="s">
        <v>259</v>
      </c>
      <c r="J245" s="47" t="s">
        <v>260</v>
      </c>
    </row>
    <row r="246" spans="1:10" ht="14.4">
      <c r="A246" s="48" t="s">
        <v>278</v>
      </c>
      <c r="B246" s="48">
        <v>12</v>
      </c>
      <c r="C246" s="48" t="s">
        <v>77</v>
      </c>
      <c r="D246" s="49">
        <v>7.0333333333333332</v>
      </c>
      <c r="E246" s="49">
        <v>47.8</v>
      </c>
      <c r="F246" s="49">
        <v>31</v>
      </c>
      <c r="G246" s="50">
        <f t="shared" si="6"/>
        <v>0.22688172043010751</v>
      </c>
      <c r="H246" s="51">
        <f t="shared" si="7"/>
        <v>6.7962085308056865</v>
      </c>
      <c r="I246" s="48" t="s">
        <v>259</v>
      </c>
      <c r="J246" s="47" t="s">
        <v>260</v>
      </c>
    </row>
    <row r="247" spans="1:10" ht="14.4">
      <c r="A247" s="48" t="s">
        <v>279</v>
      </c>
      <c r="B247" s="48">
        <v>1</v>
      </c>
      <c r="C247" s="48" t="s">
        <v>55</v>
      </c>
      <c r="D247" s="49">
        <v>11.25</v>
      </c>
      <c r="E247" s="49">
        <v>418.7</v>
      </c>
      <c r="F247" s="49">
        <v>31</v>
      </c>
      <c r="G247" s="50">
        <f t="shared" si="6"/>
        <v>0.36290322580645162</v>
      </c>
      <c r="H247" s="51">
        <f t="shared" si="7"/>
        <v>37.217777777777776</v>
      </c>
      <c r="I247" s="48" t="s">
        <v>259</v>
      </c>
      <c r="J247" s="47" t="s">
        <v>260</v>
      </c>
    </row>
    <row r="248" spans="1:10" ht="14.4">
      <c r="A248" s="48" t="s">
        <v>279</v>
      </c>
      <c r="B248" s="48">
        <v>2</v>
      </c>
      <c r="C248" s="48" t="s">
        <v>58</v>
      </c>
      <c r="D248" s="49">
        <v>8.9499999999999993</v>
      </c>
      <c r="E248" s="49">
        <v>272</v>
      </c>
      <c r="F248" s="49">
        <v>28.266666666666666</v>
      </c>
      <c r="G248" s="50">
        <f t="shared" si="6"/>
        <v>0.316627358490566</v>
      </c>
      <c r="H248" s="51">
        <f t="shared" si="7"/>
        <v>30.39106145251397</v>
      </c>
      <c r="I248" s="48" t="s">
        <v>259</v>
      </c>
      <c r="J248" s="47" t="s">
        <v>260</v>
      </c>
    </row>
    <row r="249" spans="1:10" ht="14.4">
      <c r="A249" s="48" t="s">
        <v>279</v>
      </c>
      <c r="B249" s="48">
        <v>3</v>
      </c>
      <c r="C249" s="48" t="s">
        <v>60</v>
      </c>
      <c r="D249" s="49">
        <v>10</v>
      </c>
      <c r="E249" s="49">
        <v>315</v>
      </c>
      <c r="F249" s="49">
        <v>31</v>
      </c>
      <c r="G249" s="50">
        <f t="shared" si="6"/>
        <v>0.32258064516129031</v>
      </c>
      <c r="H249" s="51">
        <f t="shared" si="7"/>
        <v>31.5</v>
      </c>
      <c r="I249" s="48" t="s">
        <v>259</v>
      </c>
      <c r="J249" s="47" t="s">
        <v>260</v>
      </c>
    </row>
    <row r="250" spans="1:10" ht="14.4">
      <c r="A250" s="48" t="s">
        <v>279</v>
      </c>
      <c r="B250" s="48">
        <v>4</v>
      </c>
      <c r="C250" s="48" t="s">
        <v>62</v>
      </c>
      <c r="D250" s="49">
        <v>11.523809523809524</v>
      </c>
      <c r="E250" s="49">
        <v>336.5</v>
      </c>
      <c r="F250" s="49">
        <v>30</v>
      </c>
      <c r="G250" s="50">
        <f t="shared" si="6"/>
        <v>0.38412698412698415</v>
      </c>
      <c r="H250" s="51">
        <f t="shared" si="7"/>
        <v>29.200413223140497</v>
      </c>
      <c r="I250" s="48" t="s">
        <v>259</v>
      </c>
      <c r="J250" s="47" t="s">
        <v>260</v>
      </c>
    </row>
    <row r="251" spans="1:10" ht="14.4">
      <c r="A251" s="48" t="s">
        <v>279</v>
      </c>
      <c r="B251" s="48">
        <v>5</v>
      </c>
      <c r="C251" s="48" t="s">
        <v>65</v>
      </c>
      <c r="D251" s="49">
        <v>15.238095238095237</v>
      </c>
      <c r="E251" s="49">
        <v>377.8</v>
      </c>
      <c r="F251" s="49">
        <v>31</v>
      </c>
      <c r="G251" s="50">
        <f t="shared" si="6"/>
        <v>0.49155145929339478</v>
      </c>
      <c r="H251" s="51">
        <f t="shared" si="7"/>
        <v>24.793125000000003</v>
      </c>
      <c r="I251" s="48" t="s">
        <v>259</v>
      </c>
      <c r="J251" s="47" t="s">
        <v>260</v>
      </c>
    </row>
    <row r="252" spans="1:10" ht="14.4">
      <c r="A252" s="48" t="s">
        <v>279</v>
      </c>
      <c r="B252" s="48">
        <v>6</v>
      </c>
      <c r="C252" s="48" t="s">
        <v>68</v>
      </c>
      <c r="D252" s="49">
        <v>14.19047619047619</v>
      </c>
      <c r="E252" s="49">
        <v>291</v>
      </c>
      <c r="F252" s="49">
        <v>30</v>
      </c>
      <c r="G252" s="50">
        <f t="shared" si="6"/>
        <v>0.473015873015873</v>
      </c>
      <c r="H252" s="51">
        <f t="shared" si="7"/>
        <v>20.506711409395972</v>
      </c>
      <c r="I252" s="48" t="s">
        <v>259</v>
      </c>
      <c r="J252" s="47" t="s">
        <v>260</v>
      </c>
    </row>
    <row r="253" spans="1:10" ht="14.4">
      <c r="A253" s="48" t="s">
        <v>279</v>
      </c>
      <c r="B253" s="48">
        <v>7</v>
      </c>
      <c r="C253" s="48" t="s">
        <v>69</v>
      </c>
      <c r="D253" s="49">
        <v>13.15</v>
      </c>
      <c r="E253" s="49">
        <v>288.60000000000002</v>
      </c>
      <c r="F253" s="49">
        <v>31</v>
      </c>
      <c r="G253" s="50">
        <f t="shared" si="6"/>
        <v>0.42419354838709677</v>
      </c>
      <c r="H253" s="51">
        <f t="shared" si="7"/>
        <v>21.946768060836504</v>
      </c>
      <c r="I253" s="48" t="s">
        <v>259</v>
      </c>
      <c r="J253" s="47" t="s">
        <v>260</v>
      </c>
    </row>
    <row r="254" spans="1:10" ht="14.4">
      <c r="A254" s="48" t="s">
        <v>279</v>
      </c>
      <c r="B254" s="48">
        <v>8</v>
      </c>
      <c r="C254" s="48" t="s">
        <v>71</v>
      </c>
      <c r="D254" s="49">
        <v>13.55</v>
      </c>
      <c r="E254" s="49">
        <v>283.8</v>
      </c>
      <c r="F254" s="49">
        <v>31</v>
      </c>
      <c r="G254" s="50">
        <f t="shared" si="6"/>
        <v>0.43709677419354842</v>
      </c>
      <c r="H254" s="51">
        <f t="shared" si="7"/>
        <v>20.944649446494466</v>
      </c>
      <c r="I254" s="48" t="s">
        <v>259</v>
      </c>
      <c r="J254" s="47" t="s">
        <v>260</v>
      </c>
    </row>
    <row r="255" spans="1:10" ht="14.4">
      <c r="A255" s="48" t="s">
        <v>279</v>
      </c>
      <c r="B255" s="48">
        <v>9</v>
      </c>
      <c r="C255" s="48" t="s">
        <v>73</v>
      </c>
      <c r="D255" s="49">
        <v>15</v>
      </c>
      <c r="E255" s="49">
        <v>361</v>
      </c>
      <c r="F255" s="49">
        <v>30</v>
      </c>
      <c r="G255" s="50">
        <f t="shared" si="6"/>
        <v>0.5</v>
      </c>
      <c r="H255" s="51">
        <f t="shared" si="7"/>
        <v>24.066666666666666</v>
      </c>
      <c r="I255" s="48" t="s">
        <v>259</v>
      </c>
      <c r="J255" s="47" t="s">
        <v>260</v>
      </c>
    </row>
    <row r="256" spans="1:10" ht="14.4">
      <c r="A256" s="48" t="s">
        <v>279</v>
      </c>
      <c r="B256" s="48">
        <v>10</v>
      </c>
      <c r="C256" s="48" t="s">
        <v>75</v>
      </c>
      <c r="D256" s="49">
        <v>15.80952380952381</v>
      </c>
      <c r="E256" s="49">
        <v>394.4</v>
      </c>
      <c r="F256" s="49">
        <v>31</v>
      </c>
      <c r="G256" s="50">
        <f t="shared" si="6"/>
        <v>0.50998463901689706</v>
      </c>
      <c r="H256" s="51">
        <f t="shared" si="7"/>
        <v>24.946987951807227</v>
      </c>
      <c r="I256" s="48" t="s">
        <v>259</v>
      </c>
      <c r="J256" s="47" t="s">
        <v>260</v>
      </c>
    </row>
    <row r="257" spans="1:10" ht="14.4">
      <c r="A257" s="48" t="s">
        <v>279</v>
      </c>
      <c r="B257" s="48">
        <v>11</v>
      </c>
      <c r="C257" s="48" t="s">
        <v>76</v>
      </c>
      <c r="D257" s="49">
        <v>13.523809523809524</v>
      </c>
      <c r="E257" s="49">
        <v>367.6</v>
      </c>
      <c r="F257" s="49">
        <v>30</v>
      </c>
      <c r="G257" s="50">
        <f t="shared" si="6"/>
        <v>0.4507936507936508</v>
      </c>
      <c r="H257" s="51">
        <f t="shared" si="7"/>
        <v>27.181690140845074</v>
      </c>
      <c r="I257" s="48" t="s">
        <v>259</v>
      </c>
      <c r="J257" s="47" t="s">
        <v>260</v>
      </c>
    </row>
    <row r="258" spans="1:10" ht="14.4">
      <c r="A258" s="48" t="s">
        <v>279</v>
      </c>
      <c r="B258" s="48">
        <v>12</v>
      </c>
      <c r="C258" s="48" t="s">
        <v>77</v>
      </c>
      <c r="D258" s="49">
        <v>13.80952380952381</v>
      </c>
      <c r="E258" s="49">
        <v>425.9</v>
      </c>
      <c r="F258" s="49">
        <v>31</v>
      </c>
      <c r="G258" s="50">
        <f t="shared" si="6"/>
        <v>0.44546850998463905</v>
      </c>
      <c r="H258" s="51">
        <f t="shared" si="7"/>
        <v>30.841034482758616</v>
      </c>
      <c r="I258" s="48" t="s">
        <v>259</v>
      </c>
      <c r="J258" s="47" t="s">
        <v>260</v>
      </c>
    </row>
    <row r="259" spans="1:10" ht="14.4">
      <c r="A259" s="48" t="s">
        <v>280</v>
      </c>
      <c r="B259" s="48">
        <v>1</v>
      </c>
      <c r="C259" s="48" t="s">
        <v>55</v>
      </c>
      <c r="D259" s="49">
        <v>4.9411764705882355</v>
      </c>
      <c r="E259" s="49">
        <v>38.1</v>
      </c>
      <c r="F259" s="49">
        <v>31</v>
      </c>
      <c r="G259" s="50">
        <f t="shared" si="6"/>
        <v>0.15939278937381404</v>
      </c>
      <c r="H259" s="51">
        <f t="shared" si="7"/>
        <v>7.7107142857142854</v>
      </c>
      <c r="I259" s="48" t="s">
        <v>259</v>
      </c>
      <c r="J259" s="47" t="s">
        <v>260</v>
      </c>
    </row>
    <row r="260" spans="1:10" ht="14.4">
      <c r="A260" s="48" t="s">
        <v>280</v>
      </c>
      <c r="B260" s="48">
        <v>2</v>
      </c>
      <c r="C260" s="48" t="s">
        <v>58</v>
      </c>
      <c r="D260" s="49">
        <v>4.4117647058823533</v>
      </c>
      <c r="E260" s="49">
        <v>42.2</v>
      </c>
      <c r="F260" s="49">
        <v>28.266666666666666</v>
      </c>
      <c r="G260" s="50">
        <f t="shared" si="6"/>
        <v>0.15607658157602666</v>
      </c>
      <c r="H260" s="51">
        <f t="shared" si="7"/>
        <v>9.5653333333333332</v>
      </c>
      <c r="I260" s="48" t="s">
        <v>259</v>
      </c>
      <c r="J260" s="47" t="s">
        <v>260</v>
      </c>
    </row>
    <row r="261" spans="1:10" ht="14.4">
      <c r="A261" s="48" t="s">
        <v>280</v>
      </c>
      <c r="B261" s="48">
        <v>3</v>
      </c>
      <c r="C261" s="48" t="s">
        <v>60</v>
      </c>
      <c r="D261" s="49">
        <v>4.7647058823529411</v>
      </c>
      <c r="E261" s="49">
        <v>29.2</v>
      </c>
      <c r="F261" s="49">
        <v>31</v>
      </c>
      <c r="G261" s="50">
        <f t="shared" si="6"/>
        <v>0.15370018975332067</v>
      </c>
      <c r="H261" s="51">
        <f t="shared" si="7"/>
        <v>6.1283950617283951</v>
      </c>
      <c r="I261" s="48" t="s">
        <v>259</v>
      </c>
      <c r="J261" s="47" t="s">
        <v>260</v>
      </c>
    </row>
    <row r="262" spans="1:10" ht="14.4">
      <c r="A262" s="48" t="s">
        <v>280</v>
      </c>
      <c r="B262" s="48">
        <v>4</v>
      </c>
      <c r="C262" s="48" t="s">
        <v>62</v>
      </c>
      <c r="D262" s="49">
        <v>5.9411764705882355</v>
      </c>
      <c r="E262" s="49">
        <v>51</v>
      </c>
      <c r="F262" s="49">
        <v>30</v>
      </c>
      <c r="G262" s="50">
        <f t="shared" si="6"/>
        <v>0.19803921568627453</v>
      </c>
      <c r="H262" s="51">
        <f t="shared" si="7"/>
        <v>8.5841584158415838</v>
      </c>
      <c r="I262" s="48" t="s">
        <v>259</v>
      </c>
      <c r="J262" s="47" t="s">
        <v>260</v>
      </c>
    </row>
    <row r="263" spans="1:10" ht="14.4">
      <c r="A263" s="48" t="s">
        <v>280</v>
      </c>
      <c r="B263" s="48">
        <v>5</v>
      </c>
      <c r="C263" s="48" t="s">
        <v>65</v>
      </c>
      <c r="D263" s="49">
        <v>7.7647058823529411</v>
      </c>
      <c r="E263" s="49">
        <v>71.599999999999994</v>
      </c>
      <c r="F263" s="49">
        <v>31</v>
      </c>
      <c r="G263" s="50">
        <f t="shared" ref="G263:G326" si="8">IFERROR(D263/F263,0)</f>
        <v>0.25047438330170779</v>
      </c>
      <c r="H263" s="51">
        <f t="shared" ref="H263:H326" si="9">IFERROR(E263/D263,0)</f>
        <v>9.2212121212121207</v>
      </c>
      <c r="I263" s="48" t="s">
        <v>259</v>
      </c>
      <c r="J263" s="47" t="s">
        <v>260</v>
      </c>
    </row>
    <row r="264" spans="1:10" ht="14.4">
      <c r="A264" s="48" t="s">
        <v>280</v>
      </c>
      <c r="B264" s="48">
        <v>6</v>
      </c>
      <c r="C264" s="48" t="s">
        <v>68</v>
      </c>
      <c r="D264" s="49">
        <v>7.2352941176470589</v>
      </c>
      <c r="E264" s="49">
        <v>52.1</v>
      </c>
      <c r="F264" s="49">
        <v>30</v>
      </c>
      <c r="G264" s="50">
        <f t="shared" si="8"/>
        <v>0.2411764705882353</v>
      </c>
      <c r="H264" s="51">
        <f t="shared" si="9"/>
        <v>7.2008130081300816</v>
      </c>
      <c r="I264" s="48" t="s">
        <v>259</v>
      </c>
      <c r="J264" s="47" t="s">
        <v>260</v>
      </c>
    </row>
    <row r="265" spans="1:10" ht="14.4">
      <c r="A265" s="48" t="s">
        <v>280</v>
      </c>
      <c r="B265" s="48">
        <v>7</v>
      </c>
      <c r="C265" s="48" t="s">
        <v>69</v>
      </c>
      <c r="D265" s="49">
        <v>6.7777777777777777</v>
      </c>
      <c r="E265" s="49">
        <v>50.3</v>
      </c>
      <c r="F265" s="49">
        <v>31</v>
      </c>
      <c r="G265" s="50">
        <f t="shared" si="8"/>
        <v>0.21863799283154123</v>
      </c>
      <c r="H265" s="51">
        <f t="shared" si="9"/>
        <v>7.4213114754098362</v>
      </c>
      <c r="I265" s="48" t="s">
        <v>259</v>
      </c>
      <c r="J265" s="47" t="s">
        <v>260</v>
      </c>
    </row>
    <row r="266" spans="1:10" ht="14.4">
      <c r="A266" s="48" t="s">
        <v>280</v>
      </c>
      <c r="B266" s="48">
        <v>8</v>
      </c>
      <c r="C266" s="48" t="s">
        <v>71</v>
      </c>
      <c r="D266" s="49">
        <v>7.1764705882352944</v>
      </c>
      <c r="E266" s="49">
        <v>38.200000000000003</v>
      </c>
      <c r="F266" s="49">
        <v>31</v>
      </c>
      <c r="G266" s="50">
        <f t="shared" si="8"/>
        <v>0.23149905123339659</v>
      </c>
      <c r="H266" s="51">
        <f t="shared" si="9"/>
        <v>5.3229508196721316</v>
      </c>
      <c r="I266" s="48" t="s">
        <v>259</v>
      </c>
      <c r="J266" s="47" t="s">
        <v>260</v>
      </c>
    </row>
    <row r="267" spans="1:10" ht="14.4">
      <c r="A267" s="48" t="s">
        <v>280</v>
      </c>
      <c r="B267" s="48">
        <v>9</v>
      </c>
      <c r="C267" s="48" t="s">
        <v>73</v>
      </c>
      <c r="D267" s="49">
        <v>6.4117647058823533</v>
      </c>
      <c r="E267" s="49">
        <v>33.799999999999997</v>
      </c>
      <c r="F267" s="49">
        <v>30</v>
      </c>
      <c r="G267" s="50">
        <f t="shared" si="8"/>
        <v>0.21372549019607845</v>
      </c>
      <c r="H267" s="51">
        <f t="shared" si="9"/>
        <v>5.2715596330275218</v>
      </c>
      <c r="I267" s="48" t="s">
        <v>259</v>
      </c>
      <c r="J267" s="47" t="s">
        <v>260</v>
      </c>
    </row>
    <row r="268" spans="1:10" ht="14.4">
      <c r="A268" s="48" t="s">
        <v>280</v>
      </c>
      <c r="B268" s="48">
        <v>10</v>
      </c>
      <c r="C268" s="48" t="s">
        <v>75</v>
      </c>
      <c r="D268" s="49">
        <v>7.333333333333333</v>
      </c>
      <c r="E268" s="49">
        <v>44.9</v>
      </c>
      <c r="F268" s="49">
        <v>31</v>
      </c>
      <c r="G268" s="50">
        <f t="shared" si="8"/>
        <v>0.23655913978494622</v>
      </c>
      <c r="H268" s="51">
        <f t="shared" si="9"/>
        <v>6.122727272727273</v>
      </c>
      <c r="I268" s="48" t="s">
        <v>259</v>
      </c>
      <c r="J268" s="47" t="s">
        <v>260</v>
      </c>
    </row>
    <row r="269" spans="1:10" ht="14.4">
      <c r="A269" s="48" t="s">
        <v>280</v>
      </c>
      <c r="B269" s="48">
        <v>11</v>
      </c>
      <c r="C269" s="48" t="s">
        <v>76</v>
      </c>
      <c r="D269" s="49">
        <v>5.8888888888888893</v>
      </c>
      <c r="E269" s="49">
        <v>42.3</v>
      </c>
      <c r="F269" s="49">
        <v>30</v>
      </c>
      <c r="G269" s="50">
        <f t="shared" si="8"/>
        <v>0.1962962962962963</v>
      </c>
      <c r="H269" s="51">
        <f t="shared" si="9"/>
        <v>7.1830188679245275</v>
      </c>
      <c r="I269" s="48" t="s">
        <v>259</v>
      </c>
      <c r="J269" s="47" t="s">
        <v>260</v>
      </c>
    </row>
    <row r="270" spans="1:10" ht="14.4">
      <c r="A270" s="48" t="s">
        <v>280</v>
      </c>
      <c r="B270" s="48">
        <v>12</v>
      </c>
      <c r="C270" s="48" t="s">
        <v>77</v>
      </c>
      <c r="D270" s="49">
        <v>6.166666666666667</v>
      </c>
      <c r="E270" s="49">
        <v>41.1</v>
      </c>
      <c r="F270" s="49">
        <v>31</v>
      </c>
      <c r="G270" s="50">
        <f t="shared" si="8"/>
        <v>0.19892473118279572</v>
      </c>
      <c r="H270" s="51">
        <f t="shared" si="9"/>
        <v>6.6648648648648647</v>
      </c>
      <c r="I270" s="48" t="s">
        <v>259</v>
      </c>
      <c r="J270" s="47" t="s">
        <v>260</v>
      </c>
    </row>
    <row r="271" spans="1:10" ht="14.4">
      <c r="A271" s="48" t="s">
        <v>281</v>
      </c>
      <c r="B271" s="48">
        <v>1</v>
      </c>
      <c r="C271" s="48" t="s">
        <v>55</v>
      </c>
      <c r="D271" s="49">
        <v>7.6363636363636367</v>
      </c>
      <c r="E271" s="49">
        <v>50.3</v>
      </c>
      <c r="F271" s="49">
        <v>31</v>
      </c>
      <c r="G271" s="50">
        <f t="shared" si="8"/>
        <v>0.24633431085043989</v>
      </c>
      <c r="H271" s="51">
        <f t="shared" si="9"/>
        <v>6.5869047619047612</v>
      </c>
      <c r="I271" s="48" t="s">
        <v>259</v>
      </c>
      <c r="J271" s="47" t="s">
        <v>260</v>
      </c>
    </row>
    <row r="272" spans="1:10" ht="14.4">
      <c r="A272" s="48" t="s">
        <v>281</v>
      </c>
      <c r="B272" s="48">
        <v>2</v>
      </c>
      <c r="C272" s="48" t="s">
        <v>58</v>
      </c>
      <c r="D272" s="49">
        <v>6</v>
      </c>
      <c r="E272" s="49">
        <v>52.3</v>
      </c>
      <c r="F272" s="49">
        <v>28.266666666666666</v>
      </c>
      <c r="G272" s="50">
        <f t="shared" si="8"/>
        <v>0.21226415094339623</v>
      </c>
      <c r="H272" s="51">
        <f t="shared" si="9"/>
        <v>8.7166666666666668</v>
      </c>
      <c r="I272" s="48" t="s">
        <v>259</v>
      </c>
      <c r="J272" s="47" t="s">
        <v>260</v>
      </c>
    </row>
    <row r="273" spans="1:10" ht="14.4">
      <c r="A273" s="48" t="s">
        <v>281</v>
      </c>
      <c r="B273" s="48">
        <v>3</v>
      </c>
      <c r="C273" s="48" t="s">
        <v>60</v>
      </c>
      <c r="D273" s="49">
        <v>5.75</v>
      </c>
      <c r="E273" s="49">
        <v>38.6</v>
      </c>
      <c r="F273" s="49">
        <v>31</v>
      </c>
      <c r="G273" s="50">
        <f t="shared" si="8"/>
        <v>0.18548387096774194</v>
      </c>
      <c r="H273" s="51">
        <f t="shared" si="9"/>
        <v>6.7130434782608699</v>
      </c>
      <c r="I273" s="48" t="s">
        <v>259</v>
      </c>
      <c r="J273" s="47" t="s">
        <v>260</v>
      </c>
    </row>
    <row r="274" spans="1:10" ht="14.4">
      <c r="A274" s="48" t="s">
        <v>281</v>
      </c>
      <c r="B274" s="48">
        <v>4</v>
      </c>
      <c r="C274" s="48" t="s">
        <v>62</v>
      </c>
      <c r="D274" s="49">
        <v>7.333333333333333</v>
      </c>
      <c r="E274" s="49">
        <v>49.3</v>
      </c>
      <c r="F274" s="49">
        <v>30</v>
      </c>
      <c r="G274" s="50">
        <f t="shared" si="8"/>
        <v>0.24444444444444444</v>
      </c>
      <c r="H274" s="51">
        <f t="shared" si="9"/>
        <v>6.7227272727272727</v>
      </c>
      <c r="I274" s="48" t="s">
        <v>259</v>
      </c>
      <c r="J274" s="47" t="s">
        <v>260</v>
      </c>
    </row>
    <row r="275" spans="1:10" ht="14.4">
      <c r="A275" s="48" t="s">
        <v>281</v>
      </c>
      <c r="B275" s="48">
        <v>5</v>
      </c>
      <c r="C275" s="48" t="s">
        <v>65</v>
      </c>
      <c r="D275" s="49">
        <v>6.416666666666667</v>
      </c>
      <c r="E275" s="49">
        <v>39.700000000000003</v>
      </c>
      <c r="F275" s="49">
        <v>31</v>
      </c>
      <c r="G275" s="50">
        <f t="shared" si="8"/>
        <v>0.20698924731182797</v>
      </c>
      <c r="H275" s="51">
        <f t="shared" si="9"/>
        <v>6.1870129870129871</v>
      </c>
      <c r="I275" s="48" t="s">
        <v>259</v>
      </c>
      <c r="J275" s="47" t="s">
        <v>260</v>
      </c>
    </row>
    <row r="276" spans="1:10" ht="14.4">
      <c r="A276" s="48" t="s">
        <v>281</v>
      </c>
      <c r="B276" s="48">
        <v>6</v>
      </c>
      <c r="C276" s="48" t="s">
        <v>68</v>
      </c>
      <c r="D276" s="49">
        <v>5.25</v>
      </c>
      <c r="E276" s="49">
        <v>39.4</v>
      </c>
      <c r="F276" s="49">
        <v>30</v>
      </c>
      <c r="G276" s="50">
        <f t="shared" si="8"/>
        <v>0.17499999999999999</v>
      </c>
      <c r="H276" s="51">
        <f t="shared" si="9"/>
        <v>7.5047619047619047</v>
      </c>
      <c r="I276" s="48" t="s">
        <v>259</v>
      </c>
      <c r="J276" s="47" t="s">
        <v>260</v>
      </c>
    </row>
    <row r="277" spans="1:10" ht="14.4">
      <c r="A277" s="48" t="s">
        <v>281</v>
      </c>
      <c r="B277" s="48">
        <v>7</v>
      </c>
      <c r="C277" s="48" t="s">
        <v>69</v>
      </c>
      <c r="D277" s="49">
        <v>5</v>
      </c>
      <c r="E277" s="49">
        <v>42</v>
      </c>
      <c r="F277" s="49">
        <v>31</v>
      </c>
      <c r="G277" s="50">
        <f t="shared" si="8"/>
        <v>0.16129032258064516</v>
      </c>
      <c r="H277" s="51">
        <f t="shared" si="9"/>
        <v>8.4</v>
      </c>
      <c r="I277" s="48" t="s">
        <v>259</v>
      </c>
      <c r="J277" s="47" t="s">
        <v>260</v>
      </c>
    </row>
    <row r="278" spans="1:10" ht="14.4">
      <c r="A278" s="48" t="s">
        <v>281</v>
      </c>
      <c r="B278" s="48">
        <v>8</v>
      </c>
      <c r="C278" s="48" t="s">
        <v>71</v>
      </c>
      <c r="D278" s="49">
        <v>5.615384615384615</v>
      </c>
      <c r="E278" s="49">
        <v>44.6</v>
      </c>
      <c r="F278" s="49">
        <v>31</v>
      </c>
      <c r="G278" s="50">
        <f t="shared" si="8"/>
        <v>0.18114143920595532</v>
      </c>
      <c r="H278" s="51">
        <f t="shared" si="9"/>
        <v>7.9424657534246581</v>
      </c>
      <c r="I278" s="48" t="s">
        <v>259</v>
      </c>
      <c r="J278" s="47" t="s">
        <v>260</v>
      </c>
    </row>
    <row r="279" spans="1:10" ht="14.4">
      <c r="A279" s="48" t="s">
        <v>281</v>
      </c>
      <c r="B279" s="48">
        <v>9</v>
      </c>
      <c r="C279" s="48" t="s">
        <v>73</v>
      </c>
      <c r="D279" s="49">
        <v>5.384615384615385</v>
      </c>
      <c r="E279" s="49">
        <v>33.5</v>
      </c>
      <c r="F279" s="49">
        <v>30</v>
      </c>
      <c r="G279" s="50">
        <f t="shared" si="8"/>
        <v>0.17948717948717949</v>
      </c>
      <c r="H279" s="51">
        <f t="shared" si="9"/>
        <v>6.2214285714285706</v>
      </c>
      <c r="I279" s="48" t="s">
        <v>259</v>
      </c>
      <c r="J279" s="47" t="s">
        <v>260</v>
      </c>
    </row>
    <row r="280" spans="1:10" ht="14.4">
      <c r="A280" s="48" t="s">
        <v>281</v>
      </c>
      <c r="B280" s="48">
        <v>10</v>
      </c>
      <c r="C280" s="48" t="s">
        <v>75</v>
      </c>
      <c r="D280" s="49">
        <v>8.0769230769230766</v>
      </c>
      <c r="E280" s="49">
        <v>47.8</v>
      </c>
      <c r="F280" s="49">
        <v>31</v>
      </c>
      <c r="G280" s="50">
        <f t="shared" si="8"/>
        <v>0.26054590570719605</v>
      </c>
      <c r="H280" s="51">
        <f t="shared" si="9"/>
        <v>5.9180952380952379</v>
      </c>
      <c r="I280" s="48" t="s">
        <v>259</v>
      </c>
      <c r="J280" s="47" t="s">
        <v>260</v>
      </c>
    </row>
    <row r="281" spans="1:10" ht="14.4">
      <c r="A281" s="48" t="s">
        <v>281</v>
      </c>
      <c r="B281" s="48">
        <v>11</v>
      </c>
      <c r="C281" s="48" t="s">
        <v>76</v>
      </c>
      <c r="D281" s="49">
        <v>7.2307692307692308</v>
      </c>
      <c r="E281" s="49">
        <v>51.5</v>
      </c>
      <c r="F281" s="49">
        <v>30</v>
      </c>
      <c r="G281" s="50">
        <f t="shared" si="8"/>
        <v>0.24102564102564103</v>
      </c>
      <c r="H281" s="51">
        <f t="shared" si="9"/>
        <v>7.1223404255319149</v>
      </c>
      <c r="I281" s="48" t="s">
        <v>259</v>
      </c>
      <c r="J281" s="47" t="s">
        <v>260</v>
      </c>
    </row>
    <row r="282" spans="1:10" ht="14.4">
      <c r="A282" s="48" t="s">
        <v>281</v>
      </c>
      <c r="B282" s="48">
        <v>12</v>
      </c>
      <c r="C282" s="48" t="s">
        <v>77</v>
      </c>
      <c r="D282" s="49">
        <v>7</v>
      </c>
      <c r="E282" s="49">
        <v>54</v>
      </c>
      <c r="F282" s="49">
        <v>31</v>
      </c>
      <c r="G282" s="50">
        <f t="shared" si="8"/>
        <v>0.22580645161290322</v>
      </c>
      <c r="H282" s="51">
        <f t="shared" si="9"/>
        <v>7.7142857142857144</v>
      </c>
      <c r="I282" s="48" t="s">
        <v>259</v>
      </c>
      <c r="J282" s="47" t="s">
        <v>260</v>
      </c>
    </row>
    <row r="283" spans="1:10" ht="14.4">
      <c r="A283" s="48" t="s">
        <v>282</v>
      </c>
      <c r="B283" s="48">
        <v>1</v>
      </c>
      <c r="C283" s="48" t="s">
        <v>55</v>
      </c>
      <c r="D283" s="49">
        <v>16.294117647058822</v>
      </c>
      <c r="E283" s="49">
        <v>667.2</v>
      </c>
      <c r="F283" s="49">
        <v>31</v>
      </c>
      <c r="G283" s="50">
        <f t="shared" si="8"/>
        <v>0.52561669829222013</v>
      </c>
      <c r="H283" s="51">
        <f t="shared" si="9"/>
        <v>40.94729241877257</v>
      </c>
      <c r="I283" s="48" t="s">
        <v>259</v>
      </c>
      <c r="J283" s="47" t="s">
        <v>260</v>
      </c>
    </row>
    <row r="284" spans="1:10" ht="14.4">
      <c r="A284" s="48" t="s">
        <v>282</v>
      </c>
      <c r="B284" s="48">
        <v>2</v>
      </c>
      <c r="C284" s="48" t="s">
        <v>58</v>
      </c>
      <c r="D284" s="49">
        <v>12.842105263157896</v>
      </c>
      <c r="E284" s="49">
        <v>466.6</v>
      </c>
      <c r="F284" s="49">
        <v>28.266666666666666</v>
      </c>
      <c r="G284" s="50">
        <f t="shared" si="8"/>
        <v>0.45431976166832178</v>
      </c>
      <c r="H284" s="51">
        <f t="shared" si="9"/>
        <v>36.333606557377045</v>
      </c>
      <c r="I284" s="48" t="s">
        <v>259</v>
      </c>
      <c r="J284" s="47" t="s">
        <v>260</v>
      </c>
    </row>
    <row r="285" spans="1:10" ht="14.4">
      <c r="A285" s="48" t="s">
        <v>282</v>
      </c>
      <c r="B285" s="48">
        <v>3</v>
      </c>
      <c r="C285" s="48" t="s">
        <v>60</v>
      </c>
      <c r="D285" s="49">
        <v>14.388888888888889</v>
      </c>
      <c r="E285" s="49">
        <v>571.29999999999995</v>
      </c>
      <c r="F285" s="49">
        <v>31</v>
      </c>
      <c r="G285" s="50">
        <f t="shared" si="8"/>
        <v>0.46415770609318996</v>
      </c>
      <c r="H285" s="51">
        <f t="shared" si="9"/>
        <v>39.704247104247102</v>
      </c>
      <c r="I285" s="48" t="s">
        <v>259</v>
      </c>
      <c r="J285" s="47" t="s">
        <v>260</v>
      </c>
    </row>
    <row r="286" spans="1:10" ht="14.4">
      <c r="A286" s="48" t="s">
        <v>282</v>
      </c>
      <c r="B286" s="48">
        <v>4</v>
      </c>
      <c r="C286" s="48" t="s">
        <v>62</v>
      </c>
      <c r="D286" s="49">
        <v>13.333333333333334</v>
      </c>
      <c r="E286" s="49">
        <v>528.20000000000005</v>
      </c>
      <c r="F286" s="49">
        <v>30</v>
      </c>
      <c r="G286" s="50">
        <f t="shared" si="8"/>
        <v>0.44444444444444448</v>
      </c>
      <c r="H286" s="51">
        <f t="shared" si="9"/>
        <v>39.615000000000002</v>
      </c>
      <c r="I286" s="48" t="s">
        <v>259</v>
      </c>
      <c r="J286" s="47" t="s">
        <v>260</v>
      </c>
    </row>
    <row r="287" spans="1:10" ht="14.4">
      <c r="A287" s="48" t="s">
        <v>282</v>
      </c>
      <c r="B287" s="48">
        <v>5</v>
      </c>
      <c r="C287" s="48" t="s">
        <v>65</v>
      </c>
      <c r="D287" s="49">
        <v>15.642857142857142</v>
      </c>
      <c r="E287" s="49">
        <v>645.1</v>
      </c>
      <c r="F287" s="49">
        <v>31</v>
      </c>
      <c r="G287" s="50">
        <f t="shared" si="8"/>
        <v>0.50460829493087556</v>
      </c>
      <c r="H287" s="51">
        <f t="shared" si="9"/>
        <v>41.239269406392694</v>
      </c>
      <c r="I287" s="48" t="s">
        <v>259</v>
      </c>
      <c r="J287" s="47" t="s">
        <v>260</v>
      </c>
    </row>
    <row r="288" spans="1:10" ht="14.4">
      <c r="A288" s="48" t="s">
        <v>282</v>
      </c>
      <c r="B288" s="48">
        <v>6</v>
      </c>
      <c r="C288" s="48" t="s">
        <v>68</v>
      </c>
      <c r="D288" s="49">
        <v>14.555555555555555</v>
      </c>
      <c r="E288" s="49">
        <v>440.4</v>
      </c>
      <c r="F288" s="49">
        <v>30</v>
      </c>
      <c r="G288" s="50">
        <f t="shared" si="8"/>
        <v>0.48518518518518516</v>
      </c>
      <c r="H288" s="51">
        <f t="shared" si="9"/>
        <v>30.256488549618318</v>
      </c>
      <c r="I288" s="48" t="s">
        <v>259</v>
      </c>
      <c r="J288" s="47" t="s">
        <v>260</v>
      </c>
    </row>
    <row r="289" spans="1:10" ht="14.4">
      <c r="A289" s="48" t="s">
        <v>282</v>
      </c>
      <c r="B289" s="48">
        <v>7</v>
      </c>
      <c r="C289" s="48" t="s">
        <v>69</v>
      </c>
      <c r="D289" s="49">
        <v>14.352941176470589</v>
      </c>
      <c r="E289" s="49">
        <v>468</v>
      </c>
      <c r="F289" s="49">
        <v>31</v>
      </c>
      <c r="G289" s="50">
        <f t="shared" si="8"/>
        <v>0.46299810246679318</v>
      </c>
      <c r="H289" s="51">
        <f t="shared" si="9"/>
        <v>32.606557377049178</v>
      </c>
      <c r="I289" s="48" t="s">
        <v>259</v>
      </c>
      <c r="J289" s="47" t="s">
        <v>260</v>
      </c>
    </row>
    <row r="290" spans="1:10" ht="14.4">
      <c r="A290" s="48" t="s">
        <v>282</v>
      </c>
      <c r="B290" s="48">
        <v>8</v>
      </c>
      <c r="C290" s="48" t="s">
        <v>71</v>
      </c>
      <c r="D290" s="49">
        <v>16</v>
      </c>
      <c r="E290" s="49">
        <v>457</v>
      </c>
      <c r="F290" s="49">
        <v>31</v>
      </c>
      <c r="G290" s="50">
        <f t="shared" si="8"/>
        <v>0.5161290322580645</v>
      </c>
      <c r="H290" s="51">
        <f t="shared" si="9"/>
        <v>28.5625</v>
      </c>
      <c r="I290" s="48" t="s">
        <v>259</v>
      </c>
      <c r="J290" s="47" t="s">
        <v>260</v>
      </c>
    </row>
    <row r="291" spans="1:10" ht="14.4">
      <c r="A291" s="48" t="s">
        <v>282</v>
      </c>
      <c r="B291" s="48">
        <v>9</v>
      </c>
      <c r="C291" s="48" t="s">
        <v>73</v>
      </c>
      <c r="D291" s="49">
        <v>17.571428571428573</v>
      </c>
      <c r="E291" s="49">
        <v>541.29999999999995</v>
      </c>
      <c r="F291" s="49">
        <v>30</v>
      </c>
      <c r="G291" s="50">
        <f t="shared" si="8"/>
        <v>0.58571428571428574</v>
      </c>
      <c r="H291" s="51">
        <f t="shared" si="9"/>
        <v>30.805691056910565</v>
      </c>
      <c r="I291" s="48" t="s">
        <v>259</v>
      </c>
      <c r="J291" s="47" t="s">
        <v>260</v>
      </c>
    </row>
    <row r="292" spans="1:10" ht="14.4">
      <c r="A292" s="48" t="s">
        <v>282</v>
      </c>
      <c r="B292" s="48">
        <v>10</v>
      </c>
      <c r="C292" s="48" t="s">
        <v>75</v>
      </c>
      <c r="D292" s="49">
        <v>17.611111111111111</v>
      </c>
      <c r="E292" s="49">
        <v>617.20000000000005</v>
      </c>
      <c r="F292" s="49">
        <v>31</v>
      </c>
      <c r="G292" s="50">
        <f t="shared" si="8"/>
        <v>0.56810035842293904</v>
      </c>
      <c r="H292" s="51">
        <f t="shared" si="9"/>
        <v>35.046056782334389</v>
      </c>
      <c r="I292" s="48" t="s">
        <v>259</v>
      </c>
      <c r="J292" s="47" t="s">
        <v>260</v>
      </c>
    </row>
    <row r="293" spans="1:10" ht="14.4">
      <c r="A293" s="48" t="s">
        <v>282</v>
      </c>
      <c r="B293" s="48">
        <v>11</v>
      </c>
      <c r="C293" s="48" t="s">
        <v>76</v>
      </c>
      <c r="D293" s="49">
        <v>15.333333333333334</v>
      </c>
      <c r="E293" s="49">
        <v>557.70000000000005</v>
      </c>
      <c r="F293" s="49">
        <v>30</v>
      </c>
      <c r="G293" s="50">
        <f t="shared" si="8"/>
        <v>0.51111111111111118</v>
      </c>
      <c r="H293" s="51">
        <f t="shared" si="9"/>
        <v>36.371739130434783</v>
      </c>
      <c r="I293" s="48" t="s">
        <v>259</v>
      </c>
      <c r="J293" s="47" t="s">
        <v>260</v>
      </c>
    </row>
    <row r="294" spans="1:10" ht="14.4">
      <c r="A294" s="48" t="s">
        <v>282</v>
      </c>
      <c r="B294" s="48">
        <v>12</v>
      </c>
      <c r="C294" s="48" t="s">
        <v>77</v>
      </c>
      <c r="D294" s="49">
        <v>16.899999999999999</v>
      </c>
      <c r="E294" s="49">
        <v>585.1</v>
      </c>
      <c r="F294" s="49">
        <v>31</v>
      </c>
      <c r="G294" s="50">
        <f t="shared" si="8"/>
        <v>0.54516129032258065</v>
      </c>
      <c r="H294" s="51">
        <f t="shared" si="9"/>
        <v>34.621301775147934</v>
      </c>
      <c r="I294" s="48" t="s">
        <v>259</v>
      </c>
      <c r="J294" s="47" t="s">
        <v>260</v>
      </c>
    </row>
    <row r="295" spans="1:10" ht="14.4">
      <c r="A295" s="48" t="s">
        <v>283</v>
      </c>
      <c r="B295" s="48">
        <v>1</v>
      </c>
      <c r="C295" s="48" t="s">
        <v>55</v>
      </c>
      <c r="D295" s="49">
        <v>7.5714285714285712</v>
      </c>
      <c r="E295" s="49">
        <v>71.599999999999994</v>
      </c>
      <c r="F295" s="49">
        <v>31</v>
      </c>
      <c r="G295" s="50">
        <f t="shared" si="8"/>
        <v>0.24423963133640553</v>
      </c>
      <c r="H295" s="51">
        <f t="shared" si="9"/>
        <v>9.4566037735849058</v>
      </c>
      <c r="I295" s="48" t="s">
        <v>259</v>
      </c>
      <c r="J295" s="47" t="s">
        <v>260</v>
      </c>
    </row>
    <row r="296" spans="1:10" ht="14.4">
      <c r="A296" s="48" t="s">
        <v>283</v>
      </c>
      <c r="B296" s="48">
        <v>2</v>
      </c>
      <c r="C296" s="48" t="s">
        <v>58</v>
      </c>
      <c r="D296" s="49">
        <v>6.5357142857142856</v>
      </c>
      <c r="E296" s="49">
        <v>51</v>
      </c>
      <c r="F296" s="49">
        <v>28.266666666666666</v>
      </c>
      <c r="G296" s="50">
        <f t="shared" si="8"/>
        <v>0.23121630727762804</v>
      </c>
      <c r="H296" s="51">
        <f t="shared" si="9"/>
        <v>7.8032786885245899</v>
      </c>
      <c r="I296" s="48" t="s">
        <v>259</v>
      </c>
      <c r="J296" s="47" t="s">
        <v>260</v>
      </c>
    </row>
    <row r="297" spans="1:10" ht="14.4">
      <c r="A297" s="48" t="s">
        <v>283</v>
      </c>
      <c r="B297" s="48">
        <v>3</v>
      </c>
      <c r="C297" s="48" t="s">
        <v>60</v>
      </c>
      <c r="D297" s="49">
        <v>7.3</v>
      </c>
      <c r="E297" s="49">
        <v>49.3</v>
      </c>
      <c r="F297" s="49">
        <v>31</v>
      </c>
      <c r="G297" s="50">
        <f t="shared" si="8"/>
        <v>0.23548387096774193</v>
      </c>
      <c r="H297" s="51">
        <f t="shared" si="9"/>
        <v>6.7534246575342465</v>
      </c>
      <c r="I297" s="48" t="s">
        <v>259</v>
      </c>
      <c r="J297" s="47" t="s">
        <v>260</v>
      </c>
    </row>
    <row r="298" spans="1:10" ht="14.4">
      <c r="A298" s="48" t="s">
        <v>283</v>
      </c>
      <c r="B298" s="48">
        <v>4</v>
      </c>
      <c r="C298" s="48" t="s">
        <v>62</v>
      </c>
      <c r="D298" s="49">
        <v>7.2666666666666666</v>
      </c>
      <c r="E298" s="49">
        <v>57.5</v>
      </c>
      <c r="F298" s="49">
        <v>30</v>
      </c>
      <c r="G298" s="50">
        <f t="shared" si="8"/>
        <v>0.24222222222222223</v>
      </c>
      <c r="H298" s="51">
        <f t="shared" si="9"/>
        <v>7.9128440366972477</v>
      </c>
      <c r="I298" s="48" t="s">
        <v>259</v>
      </c>
      <c r="J298" s="47" t="s">
        <v>260</v>
      </c>
    </row>
    <row r="299" spans="1:10" ht="14.4">
      <c r="A299" s="48" t="s">
        <v>283</v>
      </c>
      <c r="B299" s="48">
        <v>5</v>
      </c>
      <c r="C299" s="48" t="s">
        <v>65</v>
      </c>
      <c r="D299" s="49">
        <v>9.6551724137931032</v>
      </c>
      <c r="E299" s="49">
        <v>75.099999999999994</v>
      </c>
      <c r="F299" s="49">
        <v>31</v>
      </c>
      <c r="G299" s="50">
        <f t="shared" si="8"/>
        <v>0.31145717463848721</v>
      </c>
      <c r="H299" s="51">
        <f t="shared" si="9"/>
        <v>7.7782142857142853</v>
      </c>
      <c r="I299" s="48" t="s">
        <v>259</v>
      </c>
      <c r="J299" s="47" t="s">
        <v>260</v>
      </c>
    </row>
    <row r="300" spans="1:10" ht="14.4">
      <c r="A300" s="48" t="s">
        <v>283</v>
      </c>
      <c r="B300" s="48">
        <v>6</v>
      </c>
      <c r="C300" s="48" t="s">
        <v>68</v>
      </c>
      <c r="D300" s="49">
        <v>8.5714285714285712</v>
      </c>
      <c r="E300" s="49">
        <v>62.2</v>
      </c>
      <c r="F300" s="49">
        <v>30</v>
      </c>
      <c r="G300" s="50">
        <f t="shared" si="8"/>
        <v>0.2857142857142857</v>
      </c>
      <c r="H300" s="51">
        <f t="shared" si="9"/>
        <v>7.2566666666666668</v>
      </c>
      <c r="I300" s="48" t="s">
        <v>259</v>
      </c>
      <c r="J300" s="47" t="s">
        <v>260</v>
      </c>
    </row>
    <row r="301" spans="1:10" ht="14.4">
      <c r="A301" s="48" t="s">
        <v>283</v>
      </c>
      <c r="B301" s="48">
        <v>7</v>
      </c>
      <c r="C301" s="48" t="s">
        <v>69</v>
      </c>
      <c r="D301" s="49">
        <v>7.7931034482758621</v>
      </c>
      <c r="E301" s="49">
        <v>55.8</v>
      </c>
      <c r="F301" s="49">
        <v>31</v>
      </c>
      <c r="G301" s="50">
        <f t="shared" si="8"/>
        <v>0.25139043381535037</v>
      </c>
      <c r="H301" s="51">
        <f t="shared" si="9"/>
        <v>7.1601769911504425</v>
      </c>
      <c r="I301" s="48" t="s">
        <v>259</v>
      </c>
      <c r="J301" s="47" t="s">
        <v>260</v>
      </c>
    </row>
    <row r="302" spans="1:10" ht="14.4">
      <c r="A302" s="48" t="s">
        <v>283</v>
      </c>
      <c r="B302" s="48">
        <v>8</v>
      </c>
      <c r="C302" s="48" t="s">
        <v>71</v>
      </c>
      <c r="D302" s="49">
        <v>8.068965517241379</v>
      </c>
      <c r="E302" s="49">
        <v>52.8</v>
      </c>
      <c r="F302" s="49">
        <v>31</v>
      </c>
      <c r="G302" s="50">
        <f t="shared" si="8"/>
        <v>0.26028921023359286</v>
      </c>
      <c r="H302" s="51">
        <f t="shared" si="9"/>
        <v>6.5435897435897434</v>
      </c>
      <c r="I302" s="48" t="s">
        <v>259</v>
      </c>
      <c r="J302" s="47" t="s">
        <v>260</v>
      </c>
    </row>
    <row r="303" spans="1:10" ht="14.4">
      <c r="A303" s="48" t="s">
        <v>283</v>
      </c>
      <c r="B303" s="48">
        <v>9</v>
      </c>
      <c r="C303" s="48" t="s">
        <v>73</v>
      </c>
      <c r="D303" s="49">
        <v>8.3448275862068968</v>
      </c>
      <c r="E303" s="49">
        <v>62.3</v>
      </c>
      <c r="F303" s="49">
        <v>30</v>
      </c>
      <c r="G303" s="50">
        <f t="shared" si="8"/>
        <v>0.27816091954022987</v>
      </c>
      <c r="H303" s="51">
        <f t="shared" si="9"/>
        <v>7.4657024793388427</v>
      </c>
      <c r="I303" s="48" t="s">
        <v>259</v>
      </c>
      <c r="J303" s="47" t="s">
        <v>260</v>
      </c>
    </row>
    <row r="304" spans="1:10" ht="14.4">
      <c r="A304" s="48" t="s">
        <v>283</v>
      </c>
      <c r="B304" s="48">
        <v>10</v>
      </c>
      <c r="C304" s="48" t="s">
        <v>75</v>
      </c>
      <c r="D304" s="49">
        <v>8.4285714285714288</v>
      </c>
      <c r="E304" s="49">
        <v>62.4</v>
      </c>
      <c r="F304" s="49">
        <v>31</v>
      </c>
      <c r="G304" s="50">
        <f t="shared" si="8"/>
        <v>0.27188940092165897</v>
      </c>
      <c r="H304" s="51">
        <f t="shared" si="9"/>
        <v>7.4033898305084742</v>
      </c>
      <c r="I304" s="48" t="s">
        <v>259</v>
      </c>
      <c r="J304" s="47" t="s">
        <v>260</v>
      </c>
    </row>
    <row r="305" spans="1:10" ht="14.4">
      <c r="A305" s="48" t="s">
        <v>283</v>
      </c>
      <c r="B305" s="48">
        <v>11</v>
      </c>
      <c r="C305" s="48" t="s">
        <v>76</v>
      </c>
      <c r="D305" s="49">
        <v>7.7</v>
      </c>
      <c r="E305" s="49">
        <v>60.7</v>
      </c>
      <c r="F305" s="49">
        <v>30</v>
      </c>
      <c r="G305" s="50">
        <f t="shared" si="8"/>
        <v>0.25666666666666665</v>
      </c>
      <c r="H305" s="51">
        <f t="shared" si="9"/>
        <v>7.883116883116883</v>
      </c>
      <c r="I305" s="48" t="s">
        <v>259</v>
      </c>
      <c r="J305" s="47" t="s">
        <v>260</v>
      </c>
    </row>
    <row r="306" spans="1:10" ht="14.4">
      <c r="A306" s="48" t="s">
        <v>283</v>
      </c>
      <c r="B306" s="48">
        <v>12</v>
      </c>
      <c r="C306" s="48" t="s">
        <v>77</v>
      </c>
      <c r="D306" s="49">
        <v>8.6896551724137936</v>
      </c>
      <c r="E306" s="49">
        <v>60.3</v>
      </c>
      <c r="F306" s="49">
        <v>31</v>
      </c>
      <c r="G306" s="50">
        <f t="shared" si="8"/>
        <v>0.28031145717463851</v>
      </c>
      <c r="H306" s="51">
        <f t="shared" si="9"/>
        <v>6.9392857142857132</v>
      </c>
      <c r="I306" s="48" t="s">
        <v>259</v>
      </c>
      <c r="J306" s="47" t="s">
        <v>260</v>
      </c>
    </row>
    <row r="307" spans="1:10" ht="14.4">
      <c r="A307" s="48" t="s">
        <v>284</v>
      </c>
      <c r="B307" s="48">
        <v>1</v>
      </c>
      <c r="C307" s="48" t="s">
        <v>55</v>
      </c>
      <c r="D307" s="49">
        <v>5.9047619047619051</v>
      </c>
      <c r="E307" s="49">
        <v>46.9</v>
      </c>
      <c r="F307" s="49">
        <v>31</v>
      </c>
      <c r="G307" s="50">
        <f t="shared" si="8"/>
        <v>0.19047619047619049</v>
      </c>
      <c r="H307" s="51">
        <f t="shared" si="9"/>
        <v>7.9427419354838706</v>
      </c>
      <c r="I307" s="48" t="s">
        <v>259</v>
      </c>
      <c r="J307" s="47" t="s">
        <v>260</v>
      </c>
    </row>
    <row r="308" spans="1:10" ht="14.4">
      <c r="A308" s="48" t="s">
        <v>284</v>
      </c>
      <c r="B308" s="48">
        <v>2</v>
      </c>
      <c r="C308" s="48" t="s">
        <v>58</v>
      </c>
      <c r="D308" s="49">
        <v>5.2272727272727275</v>
      </c>
      <c r="E308" s="49">
        <v>41.1</v>
      </c>
      <c r="F308" s="49">
        <v>28.266666666666666</v>
      </c>
      <c r="G308" s="50">
        <f t="shared" si="8"/>
        <v>0.18492710120068612</v>
      </c>
      <c r="H308" s="51">
        <f t="shared" si="9"/>
        <v>7.8626086956521739</v>
      </c>
      <c r="I308" s="48" t="s">
        <v>259</v>
      </c>
      <c r="J308" s="47" t="s">
        <v>260</v>
      </c>
    </row>
    <row r="309" spans="1:10" ht="14.4">
      <c r="A309" s="48" t="s">
        <v>284</v>
      </c>
      <c r="B309" s="48">
        <v>3</v>
      </c>
      <c r="C309" s="48" t="s">
        <v>60</v>
      </c>
      <c r="D309" s="49">
        <v>5.2</v>
      </c>
      <c r="E309" s="49">
        <v>31.2</v>
      </c>
      <c r="F309" s="49">
        <v>31</v>
      </c>
      <c r="G309" s="50">
        <f t="shared" si="8"/>
        <v>0.16774193548387098</v>
      </c>
      <c r="H309" s="51">
        <f t="shared" si="9"/>
        <v>6</v>
      </c>
      <c r="I309" s="48" t="s">
        <v>259</v>
      </c>
      <c r="J309" s="47" t="s">
        <v>260</v>
      </c>
    </row>
    <row r="310" spans="1:10" ht="14.4">
      <c r="A310" s="48" t="s">
        <v>284</v>
      </c>
      <c r="B310" s="48">
        <v>4</v>
      </c>
      <c r="C310" s="48" t="s">
        <v>62</v>
      </c>
      <c r="D310" s="49">
        <v>4.8499999999999996</v>
      </c>
      <c r="E310" s="49">
        <v>22</v>
      </c>
      <c r="F310" s="49">
        <v>30</v>
      </c>
      <c r="G310" s="50">
        <f t="shared" si="8"/>
        <v>0.16166666666666665</v>
      </c>
      <c r="H310" s="51">
        <f t="shared" si="9"/>
        <v>4.5360824742268049</v>
      </c>
      <c r="I310" s="48" t="s">
        <v>259</v>
      </c>
      <c r="J310" s="47" t="s">
        <v>260</v>
      </c>
    </row>
    <row r="311" spans="1:10" ht="14.4">
      <c r="A311" s="48" t="s">
        <v>284</v>
      </c>
      <c r="B311" s="48">
        <v>5</v>
      </c>
      <c r="C311" s="48" t="s">
        <v>65</v>
      </c>
      <c r="D311" s="49">
        <v>6.75</v>
      </c>
      <c r="E311" s="49">
        <v>34.299999999999997</v>
      </c>
      <c r="F311" s="49">
        <v>31</v>
      </c>
      <c r="G311" s="50">
        <f t="shared" si="8"/>
        <v>0.21774193548387097</v>
      </c>
      <c r="H311" s="51">
        <f t="shared" si="9"/>
        <v>5.0814814814814815</v>
      </c>
      <c r="I311" s="48" t="s">
        <v>259</v>
      </c>
      <c r="J311" s="47" t="s">
        <v>260</v>
      </c>
    </row>
    <row r="312" spans="1:10" ht="14.4">
      <c r="A312" s="48" t="s">
        <v>284</v>
      </c>
      <c r="B312" s="48">
        <v>6</v>
      </c>
      <c r="C312" s="48" t="s">
        <v>68</v>
      </c>
      <c r="D312" s="49">
        <v>5.4</v>
      </c>
      <c r="E312" s="49">
        <v>30.9</v>
      </c>
      <c r="F312" s="49">
        <v>30</v>
      </c>
      <c r="G312" s="50">
        <f t="shared" si="8"/>
        <v>0.18000000000000002</v>
      </c>
      <c r="H312" s="51">
        <f t="shared" si="9"/>
        <v>5.7222222222222214</v>
      </c>
      <c r="I312" s="48" t="s">
        <v>259</v>
      </c>
      <c r="J312" s="47" t="s">
        <v>260</v>
      </c>
    </row>
    <row r="313" spans="1:10" ht="14.4">
      <c r="A313" s="48" t="s">
        <v>284</v>
      </c>
      <c r="B313" s="48">
        <v>7</v>
      </c>
      <c r="C313" s="48" t="s">
        <v>69</v>
      </c>
      <c r="D313" s="49">
        <v>4.8636363636363633</v>
      </c>
      <c r="E313" s="49">
        <v>25.2</v>
      </c>
      <c r="F313" s="49">
        <v>31</v>
      </c>
      <c r="G313" s="50">
        <f t="shared" si="8"/>
        <v>0.15689149560117302</v>
      </c>
      <c r="H313" s="51">
        <f t="shared" si="9"/>
        <v>5.1813084112149532</v>
      </c>
      <c r="I313" s="48" t="s">
        <v>259</v>
      </c>
      <c r="J313" s="47" t="s">
        <v>260</v>
      </c>
    </row>
    <row r="314" spans="1:10" ht="14.4">
      <c r="A314" s="48" t="s">
        <v>284</v>
      </c>
      <c r="B314" s="48">
        <v>8</v>
      </c>
      <c r="C314" s="48" t="s">
        <v>71</v>
      </c>
      <c r="D314" s="49">
        <v>4.24</v>
      </c>
      <c r="E314" s="49">
        <v>15.4</v>
      </c>
      <c r="F314" s="49">
        <v>31</v>
      </c>
      <c r="G314" s="50">
        <f t="shared" si="8"/>
        <v>0.1367741935483871</v>
      </c>
      <c r="H314" s="51">
        <f t="shared" si="9"/>
        <v>3.632075471698113</v>
      </c>
      <c r="I314" s="48" t="s">
        <v>259</v>
      </c>
      <c r="J314" s="47" t="s">
        <v>260</v>
      </c>
    </row>
    <row r="315" spans="1:10" ht="14.4">
      <c r="A315" s="48" t="s">
        <v>284</v>
      </c>
      <c r="B315" s="48">
        <v>9</v>
      </c>
      <c r="C315" s="48" t="s">
        <v>73</v>
      </c>
      <c r="D315" s="49">
        <v>5.0476190476190474</v>
      </c>
      <c r="E315" s="49">
        <v>21.3</v>
      </c>
      <c r="F315" s="49">
        <v>30</v>
      </c>
      <c r="G315" s="50">
        <f t="shared" si="8"/>
        <v>0.16825396825396824</v>
      </c>
      <c r="H315" s="51">
        <f t="shared" si="9"/>
        <v>4.219811320754717</v>
      </c>
      <c r="I315" s="48" t="s">
        <v>259</v>
      </c>
      <c r="J315" s="47" t="s">
        <v>260</v>
      </c>
    </row>
    <row r="316" spans="1:10" ht="14.4">
      <c r="A316" s="48" t="s">
        <v>284</v>
      </c>
      <c r="B316" s="48">
        <v>10</v>
      </c>
      <c r="C316" s="48" t="s">
        <v>75</v>
      </c>
      <c r="D316" s="49">
        <v>6.2380952380952381</v>
      </c>
      <c r="E316" s="49">
        <v>29.6</v>
      </c>
      <c r="F316" s="49">
        <v>31</v>
      </c>
      <c r="G316" s="50">
        <f t="shared" si="8"/>
        <v>0.20122887864823349</v>
      </c>
      <c r="H316" s="51">
        <f t="shared" si="9"/>
        <v>4.7450381679389313</v>
      </c>
      <c r="I316" s="48" t="s">
        <v>259</v>
      </c>
      <c r="J316" s="47" t="s">
        <v>260</v>
      </c>
    </row>
    <row r="317" spans="1:10" ht="14.4">
      <c r="A317" s="48" t="s">
        <v>284</v>
      </c>
      <c r="B317" s="48">
        <v>11</v>
      </c>
      <c r="C317" s="48" t="s">
        <v>76</v>
      </c>
      <c r="D317" s="49">
        <v>5.5238095238095237</v>
      </c>
      <c r="E317" s="49">
        <v>32.700000000000003</v>
      </c>
      <c r="F317" s="49">
        <v>30</v>
      </c>
      <c r="G317" s="50">
        <f t="shared" si="8"/>
        <v>0.18412698412698411</v>
      </c>
      <c r="H317" s="51">
        <f t="shared" si="9"/>
        <v>5.919827586206897</v>
      </c>
      <c r="I317" s="48" t="s">
        <v>259</v>
      </c>
      <c r="J317" s="47" t="s">
        <v>260</v>
      </c>
    </row>
    <row r="318" spans="1:10" ht="14.4">
      <c r="A318" s="48" t="s">
        <v>284</v>
      </c>
      <c r="B318" s="48">
        <v>12</v>
      </c>
      <c r="C318" s="48" t="s">
        <v>77</v>
      </c>
      <c r="D318" s="49">
        <v>7</v>
      </c>
      <c r="E318" s="49">
        <v>34.5</v>
      </c>
      <c r="F318" s="49">
        <v>31</v>
      </c>
      <c r="G318" s="50">
        <f t="shared" si="8"/>
        <v>0.22580645161290322</v>
      </c>
      <c r="H318" s="51">
        <f t="shared" si="9"/>
        <v>4.9285714285714288</v>
      </c>
      <c r="I318" s="48" t="s">
        <v>259</v>
      </c>
      <c r="J318" s="47" t="s">
        <v>260</v>
      </c>
    </row>
    <row r="319" spans="1:10" ht="14.4">
      <c r="A319" s="48" t="s">
        <v>285</v>
      </c>
      <c r="B319" s="48">
        <v>1</v>
      </c>
      <c r="C319" s="48" t="s">
        <v>55</v>
      </c>
      <c r="D319" s="49">
        <v>9.5</v>
      </c>
      <c r="E319" s="49">
        <v>88.6</v>
      </c>
      <c r="F319" s="49">
        <v>31</v>
      </c>
      <c r="G319" s="50">
        <f t="shared" si="8"/>
        <v>0.30645161290322581</v>
      </c>
      <c r="H319" s="51">
        <f t="shared" si="9"/>
        <v>9.3263157894736839</v>
      </c>
      <c r="I319" s="48" t="s">
        <v>259</v>
      </c>
      <c r="J319" s="47" t="s">
        <v>260</v>
      </c>
    </row>
    <row r="320" spans="1:10" ht="14.4">
      <c r="A320" s="48" t="s">
        <v>285</v>
      </c>
      <c r="B320" s="48">
        <v>2</v>
      </c>
      <c r="C320" s="48" t="s">
        <v>58</v>
      </c>
      <c r="D320" s="49">
        <v>8.0357142857142865</v>
      </c>
      <c r="E320" s="49">
        <v>85.3</v>
      </c>
      <c r="F320" s="49">
        <v>28.266666666666666</v>
      </c>
      <c r="G320" s="50">
        <f t="shared" si="8"/>
        <v>0.2842823450134771</v>
      </c>
      <c r="H320" s="51">
        <f t="shared" si="9"/>
        <v>10.61511111111111</v>
      </c>
      <c r="I320" s="48" t="s">
        <v>259</v>
      </c>
      <c r="J320" s="47" t="s">
        <v>260</v>
      </c>
    </row>
    <row r="321" spans="1:10" ht="14.4">
      <c r="A321" s="48" t="s">
        <v>285</v>
      </c>
      <c r="B321" s="48">
        <v>3</v>
      </c>
      <c r="C321" s="48" t="s">
        <v>60</v>
      </c>
      <c r="D321" s="49">
        <v>9.6428571428571423</v>
      </c>
      <c r="E321" s="49">
        <v>82.7</v>
      </c>
      <c r="F321" s="49">
        <v>31</v>
      </c>
      <c r="G321" s="50">
        <f t="shared" si="8"/>
        <v>0.31105990783410137</v>
      </c>
      <c r="H321" s="51">
        <f t="shared" si="9"/>
        <v>8.576296296296297</v>
      </c>
      <c r="I321" s="48" t="s">
        <v>259</v>
      </c>
      <c r="J321" s="47" t="s">
        <v>260</v>
      </c>
    </row>
    <row r="322" spans="1:10" ht="14.4">
      <c r="A322" s="48" t="s">
        <v>285</v>
      </c>
      <c r="B322" s="48">
        <v>4</v>
      </c>
      <c r="C322" s="48" t="s">
        <v>62</v>
      </c>
      <c r="D322" s="49">
        <v>10.214285714285714</v>
      </c>
      <c r="E322" s="49">
        <v>85</v>
      </c>
      <c r="F322" s="49">
        <v>30</v>
      </c>
      <c r="G322" s="50">
        <f t="shared" si="8"/>
        <v>0.34047619047619043</v>
      </c>
      <c r="H322" s="51">
        <f t="shared" si="9"/>
        <v>8.3216783216783217</v>
      </c>
      <c r="I322" s="48" t="s">
        <v>259</v>
      </c>
      <c r="J322" s="47" t="s">
        <v>260</v>
      </c>
    </row>
    <row r="323" spans="1:10" ht="14.4">
      <c r="A323" s="48" t="s">
        <v>285</v>
      </c>
      <c r="B323" s="48">
        <v>5</v>
      </c>
      <c r="C323" s="48" t="s">
        <v>65</v>
      </c>
      <c r="D323" s="49">
        <v>12.25925925925926</v>
      </c>
      <c r="E323" s="49">
        <v>104.4</v>
      </c>
      <c r="F323" s="49">
        <v>31</v>
      </c>
      <c r="G323" s="50">
        <f t="shared" si="8"/>
        <v>0.39545997610513739</v>
      </c>
      <c r="H323" s="51">
        <f t="shared" si="9"/>
        <v>8.5160120845921448</v>
      </c>
      <c r="I323" s="48" t="s">
        <v>259</v>
      </c>
      <c r="J323" s="47" t="s">
        <v>260</v>
      </c>
    </row>
    <row r="324" spans="1:10" ht="14.4">
      <c r="A324" s="48" t="s">
        <v>285</v>
      </c>
      <c r="B324" s="48">
        <v>6</v>
      </c>
      <c r="C324" s="48" t="s">
        <v>68</v>
      </c>
      <c r="D324" s="49">
        <v>11.928571428571429</v>
      </c>
      <c r="E324" s="49">
        <v>91.4</v>
      </c>
      <c r="F324" s="49">
        <v>30</v>
      </c>
      <c r="G324" s="50">
        <f t="shared" si="8"/>
        <v>0.39761904761904765</v>
      </c>
      <c r="H324" s="51">
        <f t="shared" si="9"/>
        <v>7.6622754491017968</v>
      </c>
      <c r="I324" s="48" t="s">
        <v>259</v>
      </c>
      <c r="J324" s="47" t="s">
        <v>260</v>
      </c>
    </row>
    <row r="325" spans="1:10" ht="14.4">
      <c r="A325" s="48" t="s">
        <v>285</v>
      </c>
      <c r="B325" s="48">
        <v>7</v>
      </c>
      <c r="C325" s="48" t="s">
        <v>69</v>
      </c>
      <c r="D325" s="49">
        <v>11.714285714285714</v>
      </c>
      <c r="E325" s="49">
        <v>94.2</v>
      </c>
      <c r="F325" s="49">
        <v>31</v>
      </c>
      <c r="G325" s="50">
        <f t="shared" si="8"/>
        <v>0.37788018433179721</v>
      </c>
      <c r="H325" s="51">
        <f t="shared" si="9"/>
        <v>8.0414634146341477</v>
      </c>
      <c r="I325" s="48" t="s">
        <v>259</v>
      </c>
      <c r="J325" s="47" t="s">
        <v>260</v>
      </c>
    </row>
    <row r="326" spans="1:10" ht="14.4">
      <c r="A326" s="48" t="s">
        <v>285</v>
      </c>
      <c r="B326" s="48">
        <v>8</v>
      </c>
      <c r="C326" s="48" t="s">
        <v>71</v>
      </c>
      <c r="D326" s="49">
        <v>10.892857142857142</v>
      </c>
      <c r="E326" s="49">
        <v>82</v>
      </c>
      <c r="F326" s="49">
        <v>31</v>
      </c>
      <c r="G326" s="50">
        <f t="shared" si="8"/>
        <v>0.35138248847926268</v>
      </c>
      <c r="H326" s="51">
        <f t="shared" si="9"/>
        <v>7.5278688524590169</v>
      </c>
      <c r="I326" s="48" t="s">
        <v>259</v>
      </c>
      <c r="J326" s="47" t="s">
        <v>260</v>
      </c>
    </row>
    <row r="327" spans="1:10" ht="14.4">
      <c r="A327" s="48" t="s">
        <v>285</v>
      </c>
      <c r="B327" s="48">
        <v>9</v>
      </c>
      <c r="C327" s="48" t="s">
        <v>73</v>
      </c>
      <c r="D327" s="49">
        <v>12.035714285714286</v>
      </c>
      <c r="E327" s="49">
        <v>106.2</v>
      </c>
      <c r="F327" s="49">
        <v>30</v>
      </c>
      <c r="G327" s="50">
        <f t="shared" ref="G327:G390" si="10">IFERROR(D327/F327,0)</f>
        <v>0.40119047619047621</v>
      </c>
      <c r="H327" s="51">
        <f t="shared" ref="H327:H366" si="11">IFERROR(E327/D327,0)</f>
        <v>8.8237388724035597</v>
      </c>
      <c r="I327" s="48" t="s">
        <v>259</v>
      </c>
      <c r="J327" s="47" t="s">
        <v>260</v>
      </c>
    </row>
    <row r="328" spans="1:10" ht="14.4">
      <c r="A328" s="48" t="s">
        <v>285</v>
      </c>
      <c r="B328" s="48">
        <v>10</v>
      </c>
      <c r="C328" s="48" t="s">
        <v>75</v>
      </c>
      <c r="D328" s="49">
        <v>12.724137931034482</v>
      </c>
      <c r="E328" s="49">
        <v>113</v>
      </c>
      <c r="F328" s="49">
        <v>31</v>
      </c>
      <c r="G328" s="50">
        <f t="shared" si="10"/>
        <v>0.41045606229143489</v>
      </c>
      <c r="H328" s="51">
        <f t="shared" si="11"/>
        <v>8.8807588075880766</v>
      </c>
      <c r="I328" s="48" t="s">
        <v>259</v>
      </c>
      <c r="J328" s="47" t="s">
        <v>260</v>
      </c>
    </row>
    <row r="329" spans="1:10" ht="14.4">
      <c r="A329" s="48" t="s">
        <v>285</v>
      </c>
      <c r="B329" s="48">
        <v>11</v>
      </c>
      <c r="C329" s="48" t="s">
        <v>76</v>
      </c>
      <c r="D329" s="49">
        <v>10.535714285714286</v>
      </c>
      <c r="E329" s="49">
        <v>95.7</v>
      </c>
      <c r="F329" s="49">
        <v>30</v>
      </c>
      <c r="G329" s="50">
        <f t="shared" si="10"/>
        <v>0.35119047619047622</v>
      </c>
      <c r="H329" s="51">
        <f t="shared" si="11"/>
        <v>9.0833898305084748</v>
      </c>
      <c r="I329" s="48" t="s">
        <v>259</v>
      </c>
      <c r="J329" s="47" t="s">
        <v>260</v>
      </c>
    </row>
    <row r="330" spans="1:10" ht="14.4">
      <c r="A330" s="48" t="s">
        <v>285</v>
      </c>
      <c r="B330" s="48">
        <v>12</v>
      </c>
      <c r="C330" s="48" t="s">
        <v>77</v>
      </c>
      <c r="D330" s="49">
        <v>11.03448275862069</v>
      </c>
      <c r="E330" s="49">
        <v>97.4</v>
      </c>
      <c r="F330" s="49">
        <v>31</v>
      </c>
      <c r="G330" s="50">
        <f t="shared" si="10"/>
        <v>0.35595105672969968</v>
      </c>
      <c r="H330" s="51">
        <f t="shared" si="11"/>
        <v>8.8268749999999994</v>
      </c>
      <c r="I330" s="48" t="s">
        <v>259</v>
      </c>
      <c r="J330" s="47" t="s">
        <v>260</v>
      </c>
    </row>
    <row r="331" spans="1:10" ht="14.4">
      <c r="A331" s="48" t="s">
        <v>286</v>
      </c>
      <c r="B331" s="48">
        <v>1</v>
      </c>
      <c r="C331" s="48" t="s">
        <v>55</v>
      </c>
      <c r="D331" s="49">
        <v>9.1304347826086953</v>
      </c>
      <c r="E331" s="49">
        <v>70.5</v>
      </c>
      <c r="F331" s="49">
        <v>31</v>
      </c>
      <c r="G331" s="50">
        <f t="shared" si="10"/>
        <v>0.29453015427769985</v>
      </c>
      <c r="H331" s="51">
        <f t="shared" si="11"/>
        <v>7.7214285714285715</v>
      </c>
      <c r="I331" s="48" t="s">
        <v>259</v>
      </c>
      <c r="J331" s="47" t="s">
        <v>260</v>
      </c>
    </row>
    <row r="332" spans="1:10" ht="14.4">
      <c r="A332" s="48" t="s">
        <v>286</v>
      </c>
      <c r="B332" s="48">
        <v>2</v>
      </c>
      <c r="C332" s="48" t="s">
        <v>58</v>
      </c>
      <c r="D332" s="49">
        <v>7.4782608695652177</v>
      </c>
      <c r="E332" s="49">
        <v>69.900000000000006</v>
      </c>
      <c r="F332" s="49">
        <v>28.266666666666666</v>
      </c>
      <c r="G332" s="50">
        <f t="shared" si="10"/>
        <v>0.26456111566858082</v>
      </c>
      <c r="H332" s="51">
        <f t="shared" si="11"/>
        <v>9.3470930232558143</v>
      </c>
      <c r="I332" s="48" t="s">
        <v>259</v>
      </c>
      <c r="J332" s="47" t="s">
        <v>260</v>
      </c>
    </row>
    <row r="333" spans="1:10" ht="14.4">
      <c r="A333" s="48" t="s">
        <v>286</v>
      </c>
      <c r="B333" s="48">
        <v>3</v>
      </c>
      <c r="C333" s="48" t="s">
        <v>60</v>
      </c>
      <c r="D333" s="49">
        <v>7.6086956521739131</v>
      </c>
      <c r="E333" s="49">
        <v>53.9</v>
      </c>
      <c r="F333" s="49">
        <v>31</v>
      </c>
      <c r="G333" s="50">
        <f t="shared" si="10"/>
        <v>0.24544179523141654</v>
      </c>
      <c r="H333" s="51">
        <f t="shared" si="11"/>
        <v>7.0839999999999996</v>
      </c>
      <c r="I333" s="48" t="s">
        <v>259</v>
      </c>
      <c r="J333" s="47" t="s">
        <v>260</v>
      </c>
    </row>
    <row r="334" spans="1:10" ht="14.4">
      <c r="A334" s="48" t="s">
        <v>286</v>
      </c>
      <c r="B334" s="48">
        <v>4</v>
      </c>
      <c r="C334" s="48" t="s">
        <v>62</v>
      </c>
      <c r="D334" s="49">
        <v>8.0434782608695645</v>
      </c>
      <c r="E334" s="49">
        <v>60.8</v>
      </c>
      <c r="F334" s="49">
        <v>30</v>
      </c>
      <c r="G334" s="50">
        <f t="shared" si="10"/>
        <v>0.26811594202898548</v>
      </c>
      <c r="H334" s="51">
        <f t="shared" si="11"/>
        <v>7.558918918918919</v>
      </c>
      <c r="I334" s="48" t="s">
        <v>259</v>
      </c>
      <c r="J334" s="47" t="s">
        <v>260</v>
      </c>
    </row>
    <row r="335" spans="1:10" ht="14.4">
      <c r="A335" s="48" t="s">
        <v>286</v>
      </c>
      <c r="B335" s="48">
        <v>5</v>
      </c>
      <c r="C335" s="48" t="s">
        <v>65</v>
      </c>
      <c r="D335" s="49">
        <v>9.6818181818181817</v>
      </c>
      <c r="E335" s="49">
        <v>63.6</v>
      </c>
      <c r="F335" s="49">
        <v>31</v>
      </c>
      <c r="G335" s="50">
        <f t="shared" si="10"/>
        <v>0.31231671554252199</v>
      </c>
      <c r="H335" s="51">
        <f t="shared" si="11"/>
        <v>6.5690140845070424</v>
      </c>
      <c r="I335" s="48" t="s">
        <v>259</v>
      </c>
      <c r="J335" s="47" t="s">
        <v>260</v>
      </c>
    </row>
    <row r="336" spans="1:10" ht="14.4">
      <c r="A336" s="48" t="s">
        <v>286</v>
      </c>
      <c r="B336" s="48">
        <v>6</v>
      </c>
      <c r="C336" s="48" t="s">
        <v>68</v>
      </c>
      <c r="D336" s="49">
        <v>8.5217391304347831</v>
      </c>
      <c r="E336" s="49">
        <v>58.5</v>
      </c>
      <c r="F336" s="49">
        <v>30</v>
      </c>
      <c r="G336" s="50">
        <f t="shared" si="10"/>
        <v>0.28405797101449276</v>
      </c>
      <c r="H336" s="51">
        <f t="shared" si="11"/>
        <v>6.8647959183673466</v>
      </c>
      <c r="I336" s="48" t="s">
        <v>259</v>
      </c>
      <c r="J336" s="47" t="s">
        <v>260</v>
      </c>
    </row>
    <row r="337" spans="1:10" ht="14.4">
      <c r="A337" s="48" t="s">
        <v>286</v>
      </c>
      <c r="B337" s="48">
        <v>7</v>
      </c>
      <c r="C337" s="48" t="s">
        <v>69</v>
      </c>
      <c r="D337" s="49">
        <v>7.7826086956521738</v>
      </c>
      <c r="E337" s="49">
        <v>51.7</v>
      </c>
      <c r="F337" s="49">
        <v>31</v>
      </c>
      <c r="G337" s="50">
        <f t="shared" si="10"/>
        <v>0.25105189340813466</v>
      </c>
      <c r="H337" s="51">
        <f t="shared" si="11"/>
        <v>6.6430167597765371</v>
      </c>
      <c r="I337" s="48" t="s">
        <v>259</v>
      </c>
      <c r="J337" s="47" t="s">
        <v>260</v>
      </c>
    </row>
    <row r="338" spans="1:10" ht="14.4">
      <c r="A338" s="48" t="s">
        <v>286</v>
      </c>
      <c r="B338" s="48">
        <v>8</v>
      </c>
      <c r="C338" s="48" t="s">
        <v>71</v>
      </c>
      <c r="D338" s="49">
        <v>8.6521739130434785</v>
      </c>
      <c r="E338" s="49">
        <v>54.7</v>
      </c>
      <c r="F338" s="49">
        <v>31</v>
      </c>
      <c r="G338" s="50">
        <f t="shared" si="10"/>
        <v>0.27910238429172513</v>
      </c>
      <c r="H338" s="51">
        <f t="shared" si="11"/>
        <v>6.3221105527638191</v>
      </c>
      <c r="I338" s="48" t="s">
        <v>259</v>
      </c>
      <c r="J338" s="47" t="s">
        <v>260</v>
      </c>
    </row>
    <row r="339" spans="1:10" ht="14.4">
      <c r="A339" s="48" t="s">
        <v>286</v>
      </c>
      <c r="B339" s="48">
        <v>9</v>
      </c>
      <c r="C339" s="48" t="s">
        <v>73</v>
      </c>
      <c r="D339" s="49">
        <v>8.1666666666666661</v>
      </c>
      <c r="E339" s="49">
        <v>47.1</v>
      </c>
      <c r="F339" s="49">
        <v>30</v>
      </c>
      <c r="G339" s="50">
        <f t="shared" si="10"/>
        <v>0.2722222222222222</v>
      </c>
      <c r="H339" s="51">
        <f t="shared" si="11"/>
        <v>5.7673469387755105</v>
      </c>
      <c r="I339" s="48" t="s">
        <v>259</v>
      </c>
      <c r="J339" s="47" t="s">
        <v>260</v>
      </c>
    </row>
    <row r="340" spans="1:10" ht="14.4">
      <c r="A340" s="48" t="s">
        <v>286</v>
      </c>
      <c r="B340" s="48">
        <v>10</v>
      </c>
      <c r="C340" s="48" t="s">
        <v>75</v>
      </c>
      <c r="D340" s="49">
        <v>10.541666666666666</v>
      </c>
      <c r="E340" s="49">
        <v>60.1</v>
      </c>
      <c r="F340" s="49">
        <v>31</v>
      </c>
      <c r="G340" s="50">
        <f t="shared" si="10"/>
        <v>0.34005376344086019</v>
      </c>
      <c r="H340" s="51">
        <f t="shared" si="11"/>
        <v>5.701185770750989</v>
      </c>
      <c r="I340" s="48" t="s">
        <v>259</v>
      </c>
      <c r="J340" s="47" t="s">
        <v>260</v>
      </c>
    </row>
    <row r="341" spans="1:10" ht="14.4">
      <c r="A341" s="48" t="s">
        <v>286</v>
      </c>
      <c r="B341" s="48">
        <v>11</v>
      </c>
      <c r="C341" s="48" t="s">
        <v>76</v>
      </c>
      <c r="D341" s="49">
        <v>9.625</v>
      </c>
      <c r="E341" s="49">
        <v>62.5</v>
      </c>
      <c r="F341" s="49">
        <v>30</v>
      </c>
      <c r="G341" s="50">
        <f t="shared" si="10"/>
        <v>0.32083333333333336</v>
      </c>
      <c r="H341" s="51">
        <f t="shared" si="11"/>
        <v>6.4935064935064934</v>
      </c>
      <c r="I341" s="48" t="s">
        <v>259</v>
      </c>
      <c r="J341" s="47" t="s">
        <v>260</v>
      </c>
    </row>
    <row r="342" spans="1:10" ht="14.4">
      <c r="A342" s="48" t="s">
        <v>286</v>
      </c>
      <c r="B342" s="48">
        <v>12</v>
      </c>
      <c r="C342" s="48" t="s">
        <v>77</v>
      </c>
      <c r="D342" s="49">
        <v>10.375</v>
      </c>
      <c r="E342" s="49">
        <v>70.8</v>
      </c>
      <c r="F342" s="49">
        <v>31</v>
      </c>
      <c r="G342" s="50">
        <f t="shared" si="10"/>
        <v>0.33467741935483869</v>
      </c>
      <c r="H342" s="51">
        <f t="shared" si="11"/>
        <v>6.8240963855421688</v>
      </c>
      <c r="I342" s="48" t="s">
        <v>259</v>
      </c>
      <c r="J342" s="47" t="s">
        <v>260</v>
      </c>
    </row>
    <row r="343" spans="1:10" ht="14.4">
      <c r="A343" s="48" t="s">
        <v>287</v>
      </c>
      <c r="B343" s="48">
        <v>1</v>
      </c>
      <c r="C343" s="48" t="s">
        <v>55</v>
      </c>
      <c r="D343" s="49">
        <v>12.56</v>
      </c>
      <c r="E343" s="49">
        <v>88.7</v>
      </c>
      <c r="F343" s="49">
        <v>31</v>
      </c>
      <c r="G343" s="50">
        <f t="shared" si="10"/>
        <v>0.40516129032258064</v>
      </c>
      <c r="H343" s="51">
        <f t="shared" si="11"/>
        <v>7.0621019108280256</v>
      </c>
      <c r="I343" s="48" t="s">
        <v>259</v>
      </c>
      <c r="J343" s="47" t="s">
        <v>260</v>
      </c>
    </row>
    <row r="344" spans="1:10" ht="14.4">
      <c r="A344" s="48" t="s">
        <v>287</v>
      </c>
      <c r="B344" s="48">
        <v>2</v>
      </c>
      <c r="C344" s="48" t="s">
        <v>58</v>
      </c>
      <c r="D344" s="49">
        <v>10.56</v>
      </c>
      <c r="E344" s="49">
        <v>74.2</v>
      </c>
      <c r="F344" s="49">
        <v>28.266666666666666</v>
      </c>
      <c r="G344" s="50">
        <f t="shared" si="10"/>
        <v>0.37358490566037739</v>
      </c>
      <c r="H344" s="51">
        <f t="shared" si="11"/>
        <v>7.0265151515151514</v>
      </c>
      <c r="I344" s="48" t="s">
        <v>259</v>
      </c>
      <c r="J344" s="47" t="s">
        <v>260</v>
      </c>
    </row>
    <row r="345" spans="1:10" ht="14.4">
      <c r="A345" s="48" t="s">
        <v>287</v>
      </c>
      <c r="B345" s="48">
        <v>3</v>
      </c>
      <c r="C345" s="48" t="s">
        <v>60</v>
      </c>
      <c r="D345" s="49">
        <v>11.92</v>
      </c>
      <c r="E345" s="49">
        <v>91.8</v>
      </c>
      <c r="F345" s="49">
        <v>31</v>
      </c>
      <c r="G345" s="50">
        <f t="shared" si="10"/>
        <v>0.38451612903225807</v>
      </c>
      <c r="H345" s="51">
        <f t="shared" si="11"/>
        <v>7.7013422818791941</v>
      </c>
      <c r="I345" s="48" t="s">
        <v>259</v>
      </c>
      <c r="J345" s="47" t="s">
        <v>260</v>
      </c>
    </row>
    <row r="346" spans="1:10" ht="14.4">
      <c r="A346" s="48" t="s">
        <v>287</v>
      </c>
      <c r="B346" s="48">
        <v>4</v>
      </c>
      <c r="C346" s="48" t="s">
        <v>62</v>
      </c>
      <c r="D346" s="49">
        <v>12.115384615384615</v>
      </c>
      <c r="E346" s="49">
        <v>89.5</v>
      </c>
      <c r="F346" s="49">
        <v>30</v>
      </c>
      <c r="G346" s="50">
        <f t="shared" si="10"/>
        <v>0.40384615384615385</v>
      </c>
      <c r="H346" s="51">
        <f t="shared" si="11"/>
        <v>7.3873015873015877</v>
      </c>
      <c r="I346" s="48" t="s">
        <v>259</v>
      </c>
      <c r="J346" s="47" t="s">
        <v>260</v>
      </c>
    </row>
    <row r="347" spans="1:10" ht="14.4">
      <c r="A347" s="48" t="s">
        <v>287</v>
      </c>
      <c r="B347" s="48">
        <v>5</v>
      </c>
      <c r="C347" s="48" t="s">
        <v>65</v>
      </c>
      <c r="D347" s="49">
        <v>14.68</v>
      </c>
      <c r="E347" s="49">
        <v>108.4</v>
      </c>
      <c r="F347" s="49">
        <v>31</v>
      </c>
      <c r="G347" s="50">
        <f t="shared" si="10"/>
        <v>0.47354838709677416</v>
      </c>
      <c r="H347" s="51">
        <f t="shared" si="11"/>
        <v>7.384196185286104</v>
      </c>
      <c r="I347" s="48" t="s">
        <v>259</v>
      </c>
      <c r="J347" s="47" t="s">
        <v>260</v>
      </c>
    </row>
    <row r="348" spans="1:10" ht="14.4">
      <c r="A348" s="48" t="s">
        <v>287</v>
      </c>
      <c r="B348" s="48">
        <v>6</v>
      </c>
      <c r="C348" s="48" t="s">
        <v>68</v>
      </c>
      <c r="D348" s="49">
        <v>15.423076923076923</v>
      </c>
      <c r="E348" s="49">
        <v>95.1</v>
      </c>
      <c r="F348" s="49">
        <v>30</v>
      </c>
      <c r="G348" s="50">
        <f t="shared" si="10"/>
        <v>0.51410256410256416</v>
      </c>
      <c r="H348" s="51">
        <f t="shared" si="11"/>
        <v>6.1660847880299245</v>
      </c>
      <c r="I348" s="48" t="s">
        <v>259</v>
      </c>
      <c r="J348" s="47" t="s">
        <v>260</v>
      </c>
    </row>
    <row r="349" spans="1:10" ht="14.4">
      <c r="A349" s="48" t="s">
        <v>287</v>
      </c>
      <c r="B349" s="48">
        <v>7</v>
      </c>
      <c r="C349" s="48" t="s">
        <v>69</v>
      </c>
      <c r="D349" s="49">
        <v>14.423076923076923</v>
      </c>
      <c r="E349" s="49">
        <v>88</v>
      </c>
      <c r="F349" s="49">
        <v>31</v>
      </c>
      <c r="G349" s="50">
        <f t="shared" si="10"/>
        <v>0.4652605459057072</v>
      </c>
      <c r="H349" s="51">
        <f t="shared" si="11"/>
        <v>6.1013333333333328</v>
      </c>
      <c r="I349" s="48" t="s">
        <v>259</v>
      </c>
      <c r="J349" s="47" t="s">
        <v>260</v>
      </c>
    </row>
    <row r="350" spans="1:10" ht="14.4">
      <c r="A350" s="48" t="s">
        <v>287</v>
      </c>
      <c r="B350" s="48">
        <v>8</v>
      </c>
      <c r="C350" s="48" t="s">
        <v>71</v>
      </c>
      <c r="D350" s="49">
        <v>12.26923076923077</v>
      </c>
      <c r="E350" s="49">
        <v>70.400000000000006</v>
      </c>
      <c r="F350" s="49">
        <v>31</v>
      </c>
      <c r="G350" s="50">
        <f t="shared" si="10"/>
        <v>0.3957816377171216</v>
      </c>
      <c r="H350" s="51">
        <f t="shared" si="11"/>
        <v>5.7379310344827585</v>
      </c>
      <c r="I350" s="48" t="s">
        <v>259</v>
      </c>
      <c r="J350" s="47" t="s">
        <v>260</v>
      </c>
    </row>
    <row r="351" spans="1:10" ht="14.4">
      <c r="A351" s="48" t="s">
        <v>287</v>
      </c>
      <c r="B351" s="48">
        <v>9</v>
      </c>
      <c r="C351" s="48" t="s">
        <v>73</v>
      </c>
      <c r="D351" s="49">
        <v>13.48</v>
      </c>
      <c r="E351" s="49">
        <v>90.4</v>
      </c>
      <c r="F351" s="49">
        <v>30</v>
      </c>
      <c r="G351" s="50">
        <f t="shared" si="10"/>
        <v>0.44933333333333336</v>
      </c>
      <c r="H351" s="51">
        <f t="shared" si="11"/>
        <v>6.7062314540059349</v>
      </c>
      <c r="I351" s="48" t="s">
        <v>259</v>
      </c>
      <c r="J351" s="47" t="s">
        <v>260</v>
      </c>
    </row>
    <row r="352" spans="1:10" ht="14.4">
      <c r="A352" s="48" t="s">
        <v>287</v>
      </c>
      <c r="B352" s="48">
        <v>10</v>
      </c>
      <c r="C352" s="48" t="s">
        <v>75</v>
      </c>
      <c r="D352" s="49">
        <v>15.423076923076923</v>
      </c>
      <c r="E352" s="49">
        <v>106.2</v>
      </c>
      <c r="F352" s="49">
        <v>31</v>
      </c>
      <c r="G352" s="50">
        <f t="shared" si="10"/>
        <v>0.49751861042183626</v>
      </c>
      <c r="H352" s="51">
        <f t="shared" si="11"/>
        <v>6.8857855361596014</v>
      </c>
      <c r="I352" s="48" t="s">
        <v>259</v>
      </c>
      <c r="J352" s="47" t="s">
        <v>260</v>
      </c>
    </row>
    <row r="353" spans="1:10" ht="14.4">
      <c r="A353" s="48" t="s">
        <v>287</v>
      </c>
      <c r="B353" s="48">
        <v>11</v>
      </c>
      <c r="C353" s="48" t="s">
        <v>76</v>
      </c>
      <c r="D353" s="49">
        <v>14.423076923076923</v>
      </c>
      <c r="E353" s="49">
        <v>101.7</v>
      </c>
      <c r="F353" s="49">
        <v>30</v>
      </c>
      <c r="G353" s="50">
        <f t="shared" si="10"/>
        <v>0.48076923076923078</v>
      </c>
      <c r="H353" s="51">
        <f t="shared" si="11"/>
        <v>7.0511999999999997</v>
      </c>
      <c r="I353" s="48" t="s">
        <v>259</v>
      </c>
      <c r="J353" s="47" t="s">
        <v>260</v>
      </c>
    </row>
    <row r="354" spans="1:10" ht="14.4">
      <c r="A354" s="48" t="s">
        <v>287</v>
      </c>
      <c r="B354" s="48">
        <v>12</v>
      </c>
      <c r="C354" s="48" t="s">
        <v>77</v>
      </c>
      <c r="D354" s="49">
        <v>13.346153846153847</v>
      </c>
      <c r="E354" s="49">
        <v>92.9</v>
      </c>
      <c r="F354" s="49">
        <v>31</v>
      </c>
      <c r="G354" s="50">
        <f t="shared" si="10"/>
        <v>0.4305210918114144</v>
      </c>
      <c r="H354" s="51">
        <f t="shared" si="11"/>
        <v>6.9608069164265132</v>
      </c>
      <c r="I354" s="48" t="s">
        <v>259</v>
      </c>
      <c r="J354" s="47" t="s">
        <v>260</v>
      </c>
    </row>
    <row r="355" spans="1:10" ht="14.4">
      <c r="A355" s="48" t="s">
        <v>288</v>
      </c>
      <c r="B355" s="48">
        <v>1</v>
      </c>
      <c r="C355" s="48" t="s">
        <v>55</v>
      </c>
      <c r="D355" s="49">
        <v>6.833333333333333</v>
      </c>
      <c r="E355" s="49">
        <v>49.2</v>
      </c>
      <c r="F355" s="49">
        <v>31</v>
      </c>
      <c r="G355" s="50">
        <f t="shared" si="10"/>
        <v>0.22043010752688172</v>
      </c>
      <c r="H355" s="51">
        <f t="shared" si="11"/>
        <v>7.2000000000000011</v>
      </c>
      <c r="I355" s="48" t="s">
        <v>259</v>
      </c>
      <c r="J355" s="47" t="s">
        <v>260</v>
      </c>
    </row>
    <row r="356" spans="1:10" ht="14.4">
      <c r="A356" s="48" t="s">
        <v>288</v>
      </c>
      <c r="B356" s="48">
        <v>2</v>
      </c>
      <c r="C356" s="48" t="s">
        <v>58</v>
      </c>
      <c r="D356" s="49">
        <v>7</v>
      </c>
      <c r="E356" s="49">
        <v>64</v>
      </c>
      <c r="F356" s="49">
        <v>28.266666666666666</v>
      </c>
      <c r="G356" s="50">
        <f t="shared" si="10"/>
        <v>0.24764150943396226</v>
      </c>
      <c r="H356" s="51">
        <f t="shared" si="11"/>
        <v>9.1428571428571423</v>
      </c>
      <c r="I356" s="48" t="s">
        <v>259</v>
      </c>
      <c r="J356" s="47" t="s">
        <v>260</v>
      </c>
    </row>
    <row r="357" spans="1:10" ht="14.4">
      <c r="A357" s="48" t="s">
        <v>288</v>
      </c>
      <c r="B357" s="48">
        <v>3</v>
      </c>
      <c r="C357" s="48" t="s">
        <v>60</v>
      </c>
      <c r="D357" s="49">
        <v>8.5714285714285712</v>
      </c>
      <c r="E357" s="49">
        <v>75.7</v>
      </c>
      <c r="F357" s="49">
        <v>31</v>
      </c>
      <c r="G357" s="50">
        <f t="shared" si="10"/>
        <v>0.27649769585253453</v>
      </c>
      <c r="H357" s="51">
        <f t="shared" si="11"/>
        <v>8.831666666666667</v>
      </c>
      <c r="I357" s="48" t="s">
        <v>259</v>
      </c>
      <c r="J357" s="47" t="s">
        <v>260</v>
      </c>
    </row>
    <row r="358" spans="1:10" ht="14.4">
      <c r="A358" s="48" t="s">
        <v>288</v>
      </c>
      <c r="B358" s="48">
        <v>4</v>
      </c>
      <c r="C358" s="48" t="s">
        <v>62</v>
      </c>
      <c r="D358" s="49">
        <v>11.714285714285714</v>
      </c>
      <c r="E358" s="49">
        <v>79</v>
      </c>
      <c r="F358" s="49">
        <v>30</v>
      </c>
      <c r="G358" s="50">
        <f t="shared" si="10"/>
        <v>0.39047619047619048</v>
      </c>
      <c r="H358" s="51">
        <f t="shared" si="11"/>
        <v>6.7439024390243905</v>
      </c>
      <c r="I358" s="48" t="s">
        <v>259</v>
      </c>
      <c r="J358" s="47" t="s">
        <v>260</v>
      </c>
    </row>
    <row r="359" spans="1:10" ht="14.4">
      <c r="A359" s="48" t="s">
        <v>288</v>
      </c>
      <c r="B359" s="48">
        <v>5</v>
      </c>
      <c r="C359" s="48" t="s">
        <v>65</v>
      </c>
      <c r="D359" s="49">
        <v>14.4</v>
      </c>
      <c r="E359" s="49">
        <v>88.3</v>
      </c>
      <c r="F359" s="49">
        <v>31</v>
      </c>
      <c r="G359" s="50">
        <f t="shared" si="10"/>
        <v>0.46451612903225808</v>
      </c>
      <c r="H359" s="51">
        <f t="shared" si="11"/>
        <v>6.1319444444444438</v>
      </c>
      <c r="I359" s="48" t="s">
        <v>259</v>
      </c>
      <c r="J359" s="47" t="s">
        <v>260</v>
      </c>
    </row>
    <row r="360" spans="1:10" ht="14.4">
      <c r="A360" s="48" t="s">
        <v>288</v>
      </c>
      <c r="B360" s="48">
        <v>6</v>
      </c>
      <c r="C360" s="48" t="s">
        <v>68</v>
      </c>
      <c r="D360" s="49">
        <v>15.4</v>
      </c>
      <c r="E360" s="49">
        <v>93.7</v>
      </c>
      <c r="F360" s="49">
        <v>30</v>
      </c>
      <c r="G360" s="50">
        <f t="shared" si="10"/>
        <v>0.51333333333333331</v>
      </c>
      <c r="H360" s="51">
        <f t="shared" si="11"/>
        <v>6.0844155844155843</v>
      </c>
      <c r="I360" s="48" t="s">
        <v>259</v>
      </c>
      <c r="J360" s="47" t="s">
        <v>260</v>
      </c>
    </row>
    <row r="361" spans="1:10" ht="14.4">
      <c r="A361" s="48" t="s">
        <v>288</v>
      </c>
      <c r="B361" s="48">
        <v>7</v>
      </c>
      <c r="C361" s="48" t="s">
        <v>69</v>
      </c>
      <c r="D361" s="49">
        <v>15.333333333333334</v>
      </c>
      <c r="E361" s="49">
        <v>72.3</v>
      </c>
      <c r="F361" s="49">
        <v>31</v>
      </c>
      <c r="G361" s="50">
        <f t="shared" si="10"/>
        <v>0.4946236559139785</v>
      </c>
      <c r="H361" s="51">
        <f t="shared" si="11"/>
        <v>4.7152173913043471</v>
      </c>
      <c r="I361" s="48" t="s">
        <v>259</v>
      </c>
      <c r="J361" s="47" t="s">
        <v>260</v>
      </c>
    </row>
    <row r="362" spans="1:10" ht="14.4">
      <c r="A362" s="48" t="s">
        <v>288</v>
      </c>
      <c r="B362" s="48">
        <v>8</v>
      </c>
      <c r="C362" s="48" t="s">
        <v>71</v>
      </c>
      <c r="D362" s="49">
        <v>12.833333333333334</v>
      </c>
      <c r="E362" s="49">
        <v>71</v>
      </c>
      <c r="F362" s="49">
        <v>31</v>
      </c>
      <c r="G362" s="50">
        <f t="shared" si="10"/>
        <v>0.41397849462365593</v>
      </c>
      <c r="H362" s="51">
        <f t="shared" si="11"/>
        <v>5.5324675324675319</v>
      </c>
      <c r="I362" s="48" t="s">
        <v>259</v>
      </c>
      <c r="J362" s="47" t="s">
        <v>260</v>
      </c>
    </row>
    <row r="363" spans="1:10" ht="14.4">
      <c r="A363" s="48" t="s">
        <v>288</v>
      </c>
      <c r="B363" s="48">
        <v>9</v>
      </c>
      <c r="C363" s="48" t="s">
        <v>73</v>
      </c>
      <c r="D363" s="49">
        <v>12</v>
      </c>
      <c r="E363" s="49">
        <v>71.3</v>
      </c>
      <c r="F363" s="49">
        <v>30</v>
      </c>
      <c r="G363" s="50">
        <f t="shared" si="10"/>
        <v>0.4</v>
      </c>
      <c r="H363" s="51">
        <f t="shared" si="11"/>
        <v>5.9416666666666664</v>
      </c>
      <c r="I363" s="48" t="s">
        <v>259</v>
      </c>
      <c r="J363" s="47" t="s">
        <v>260</v>
      </c>
    </row>
    <row r="364" spans="1:10" ht="14.4">
      <c r="A364" s="48" t="s">
        <v>288</v>
      </c>
      <c r="B364" s="48">
        <v>10</v>
      </c>
      <c r="C364" s="48" t="s">
        <v>75</v>
      </c>
      <c r="D364" s="49">
        <v>10.666666666666666</v>
      </c>
      <c r="E364" s="49">
        <v>56.2</v>
      </c>
      <c r="F364" s="49">
        <v>31</v>
      </c>
      <c r="G364" s="50">
        <f t="shared" si="10"/>
        <v>0.34408602150537632</v>
      </c>
      <c r="H364" s="51">
        <f t="shared" si="11"/>
        <v>5.2687500000000007</v>
      </c>
      <c r="I364" s="48" t="s">
        <v>259</v>
      </c>
      <c r="J364" s="47" t="s">
        <v>260</v>
      </c>
    </row>
    <row r="365" spans="1:10" ht="14.4">
      <c r="A365" s="48" t="s">
        <v>288</v>
      </c>
      <c r="B365" s="48">
        <v>11</v>
      </c>
      <c r="C365" s="48" t="s">
        <v>76</v>
      </c>
      <c r="D365" s="49">
        <v>8.4</v>
      </c>
      <c r="E365" s="49">
        <v>53.5</v>
      </c>
      <c r="F365" s="49">
        <v>30</v>
      </c>
      <c r="G365" s="50">
        <f t="shared" si="10"/>
        <v>0.28000000000000003</v>
      </c>
      <c r="H365" s="51">
        <f t="shared" si="11"/>
        <v>6.3690476190476186</v>
      </c>
      <c r="I365" s="48" t="s">
        <v>259</v>
      </c>
      <c r="J365" s="47" t="s">
        <v>260</v>
      </c>
    </row>
    <row r="366" spans="1:10" ht="14.4">
      <c r="A366" s="48" t="s">
        <v>288</v>
      </c>
      <c r="B366" s="48">
        <v>12</v>
      </c>
      <c r="C366" s="48" t="s">
        <v>77</v>
      </c>
      <c r="D366" s="49">
        <v>10.125</v>
      </c>
      <c r="E366" s="49">
        <v>62.9</v>
      </c>
      <c r="F366" s="49">
        <v>31</v>
      </c>
      <c r="G366" s="50">
        <f t="shared" si="10"/>
        <v>0.32661290322580644</v>
      </c>
      <c r="H366" s="51">
        <f t="shared" si="11"/>
        <v>6.2123456790123459</v>
      </c>
      <c r="I366" s="48" t="s">
        <v>259</v>
      </c>
      <c r="J366" s="47" t="s">
        <v>260</v>
      </c>
    </row>
  </sheetData>
  <mergeCells count="2">
    <mergeCell ref="A1:J1"/>
    <mergeCell ref="A3:J4"/>
  </mergeCells>
  <conditionalFormatting sqref="J7:J366">
    <cfRule type="containsText" dxfId="27" priority="1" operator="containsText" text="GREEN"/>
    <cfRule type="containsText" dxfId="26" priority="2" operator="containsText" text="AMBER"/>
    <cfRule type="containsText" dxfId="25" priority="3" operator="containsText" text="RED"/>
    <cfRule type="containsText" dxfId="24" priority="4" operator="containsText" text="UNCALIBRATED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showGridLines="0" workbookViewId="0">
      <selection sqref="A1:H1"/>
    </sheetView>
  </sheetViews>
  <sheetFormatPr defaultRowHeight="13.8"/>
  <cols>
    <col min="1" max="1" width="20" customWidth="1"/>
    <col min="2" max="2" width="28" customWidth="1"/>
    <col min="3" max="3" width="14" customWidth="1"/>
    <col min="4" max="4" width="28" customWidth="1"/>
    <col min="5" max="5" width="14" customWidth="1"/>
    <col min="6" max="8" width="13" customWidth="1"/>
  </cols>
  <sheetData>
    <row r="1" spans="1:8" ht="25.95" customHeight="1">
      <c r="A1" s="88" t="s">
        <v>289</v>
      </c>
      <c r="B1" s="89" t="s">
        <v>289</v>
      </c>
      <c r="C1" s="89" t="s">
        <v>289</v>
      </c>
      <c r="D1" s="89" t="s">
        <v>289</v>
      </c>
      <c r="E1" s="89" t="s">
        <v>289</v>
      </c>
      <c r="F1" s="89" t="s">
        <v>289</v>
      </c>
      <c r="G1" s="89" t="s">
        <v>289</v>
      </c>
      <c r="H1" s="89" t="s">
        <v>289</v>
      </c>
    </row>
    <row r="2" spans="1:8" ht="14.4">
      <c r="A2" s="1"/>
      <c r="B2" s="1"/>
      <c r="C2" s="1"/>
      <c r="D2" s="1"/>
      <c r="E2" s="1"/>
      <c r="F2" s="1"/>
      <c r="G2" s="1"/>
      <c r="H2" s="1"/>
    </row>
    <row r="3" spans="1:8">
      <c r="A3" s="112" t="s">
        <v>290</v>
      </c>
      <c r="B3" s="112"/>
      <c r="C3" s="112"/>
      <c r="D3" s="112"/>
      <c r="E3" s="112"/>
      <c r="F3" s="112"/>
      <c r="G3" s="112"/>
      <c r="H3" s="112"/>
    </row>
    <row r="4" spans="1:8">
      <c r="A4" s="112"/>
      <c r="B4" s="112"/>
      <c r="C4" s="112"/>
      <c r="D4" s="112"/>
      <c r="E4" s="112"/>
      <c r="F4" s="112"/>
      <c r="G4" s="112"/>
      <c r="H4" s="112"/>
    </row>
    <row r="5" spans="1:8" ht="14.4">
      <c r="A5" s="1"/>
      <c r="B5" s="1"/>
      <c r="C5" s="1"/>
      <c r="D5" s="1"/>
      <c r="E5" s="1"/>
      <c r="F5" s="1"/>
      <c r="G5" s="1"/>
      <c r="H5" s="1"/>
    </row>
    <row r="6" spans="1:8" ht="27.6">
      <c r="A6" s="29" t="s">
        <v>291</v>
      </c>
      <c r="B6" s="29" t="s">
        <v>292</v>
      </c>
      <c r="C6" s="29" t="s">
        <v>293</v>
      </c>
      <c r="D6" s="29" t="s">
        <v>294</v>
      </c>
      <c r="E6" s="29" t="s">
        <v>295</v>
      </c>
      <c r="F6" s="29" t="s">
        <v>296</v>
      </c>
      <c r="G6" s="29" t="s">
        <v>297</v>
      </c>
      <c r="H6" s="29" t="s">
        <v>298</v>
      </c>
    </row>
    <row r="7" spans="1:8" ht="14.4">
      <c r="A7" s="48" t="s">
        <v>258</v>
      </c>
      <c r="B7" s="48" t="s">
        <v>299</v>
      </c>
      <c r="C7" s="48" t="s">
        <v>300</v>
      </c>
      <c r="D7" s="48" t="s">
        <v>299</v>
      </c>
      <c r="E7" s="48" t="s">
        <v>300</v>
      </c>
      <c r="F7" s="52">
        <v>-35.133519999999997</v>
      </c>
      <c r="G7" s="52">
        <v>173.26293999999999</v>
      </c>
      <c r="H7" s="53">
        <v>85</v>
      </c>
    </row>
    <row r="8" spans="1:8" ht="14.4">
      <c r="A8" s="48" t="s">
        <v>261</v>
      </c>
      <c r="B8" s="48" t="s">
        <v>301</v>
      </c>
      <c r="C8" s="48" t="s">
        <v>302</v>
      </c>
      <c r="D8" s="48" t="s">
        <v>301</v>
      </c>
      <c r="E8" s="48" t="s">
        <v>302</v>
      </c>
      <c r="F8" s="52">
        <v>-35.770620000000001</v>
      </c>
      <c r="G8" s="52">
        <v>174.36285000000001</v>
      </c>
      <c r="H8" s="53">
        <v>37</v>
      </c>
    </row>
    <row r="9" spans="1:8" ht="14.4">
      <c r="A9" s="48" t="s">
        <v>5</v>
      </c>
      <c r="B9" s="48" t="s">
        <v>303</v>
      </c>
      <c r="C9" s="48" t="s">
        <v>304</v>
      </c>
      <c r="D9" s="48" t="s">
        <v>303</v>
      </c>
      <c r="E9" s="48" t="s">
        <v>304</v>
      </c>
      <c r="F9" s="52">
        <v>-37.008130000000001</v>
      </c>
      <c r="G9" s="52">
        <v>174.78872999999999</v>
      </c>
      <c r="H9" s="53">
        <v>7</v>
      </c>
    </row>
    <row r="10" spans="1:8" ht="14.4">
      <c r="A10" s="48" t="s">
        <v>262</v>
      </c>
      <c r="B10" s="48" t="s">
        <v>305</v>
      </c>
      <c r="C10" s="48" t="s">
        <v>306</v>
      </c>
      <c r="D10" s="48" t="s">
        <v>305</v>
      </c>
      <c r="E10" s="48" t="s">
        <v>306</v>
      </c>
      <c r="F10" s="52">
        <v>-37.674999999999997</v>
      </c>
      <c r="G10" s="52">
        <v>176.19200000000001</v>
      </c>
      <c r="H10" s="53">
        <v>2</v>
      </c>
    </row>
    <row r="11" spans="1:8" ht="14.4">
      <c r="A11" s="48" t="s">
        <v>263</v>
      </c>
      <c r="B11" s="48" t="s">
        <v>307</v>
      </c>
      <c r="C11" s="48" t="s">
        <v>308</v>
      </c>
      <c r="D11" s="48" t="s">
        <v>307</v>
      </c>
      <c r="E11" s="48" t="s">
        <v>308</v>
      </c>
      <c r="F11" s="52">
        <v>-37.773890000000002</v>
      </c>
      <c r="G11" s="52">
        <v>175.30517</v>
      </c>
      <c r="H11" s="53">
        <v>45</v>
      </c>
    </row>
    <row r="12" spans="1:8" ht="14.4">
      <c r="A12" s="48" t="s">
        <v>264</v>
      </c>
      <c r="B12" s="48" t="s">
        <v>309</v>
      </c>
      <c r="C12" s="48" t="s">
        <v>310</v>
      </c>
      <c r="D12" s="48" t="s">
        <v>309</v>
      </c>
      <c r="E12" s="48" t="s">
        <v>310</v>
      </c>
      <c r="F12" s="52">
        <v>-38.105919999999998</v>
      </c>
      <c r="G12" s="52">
        <v>176.31480999999999</v>
      </c>
      <c r="H12" s="53">
        <v>286</v>
      </c>
    </row>
    <row r="13" spans="1:8" ht="14.4">
      <c r="A13" s="48" t="s">
        <v>265</v>
      </c>
      <c r="B13" s="48" t="s">
        <v>311</v>
      </c>
      <c r="C13" s="48" t="s">
        <v>312</v>
      </c>
      <c r="D13" s="48" t="s">
        <v>313</v>
      </c>
      <c r="E13" s="48" t="s">
        <v>314</v>
      </c>
      <c r="F13" s="52">
        <v>-38.6586</v>
      </c>
      <c r="G13" s="52">
        <v>177.98513</v>
      </c>
      <c r="H13" s="53">
        <v>5</v>
      </c>
    </row>
    <row r="14" spans="1:8" ht="14.4">
      <c r="A14" s="48" t="s">
        <v>266</v>
      </c>
      <c r="B14" s="48" t="s">
        <v>315</v>
      </c>
      <c r="C14" s="48" t="s">
        <v>316</v>
      </c>
      <c r="D14" s="48" t="s">
        <v>315</v>
      </c>
      <c r="E14" s="48" t="s">
        <v>316</v>
      </c>
      <c r="F14" s="52">
        <v>-38.742519999999999</v>
      </c>
      <c r="G14" s="52">
        <v>176.08105</v>
      </c>
      <c r="H14" s="53">
        <v>402</v>
      </c>
    </row>
    <row r="15" spans="1:8" ht="14.4">
      <c r="A15" s="48" t="s">
        <v>267</v>
      </c>
      <c r="B15" s="48" t="s">
        <v>317</v>
      </c>
      <c r="C15" s="48" t="s">
        <v>318</v>
      </c>
      <c r="D15" s="48" t="s">
        <v>317</v>
      </c>
      <c r="E15" s="48" t="s">
        <v>318</v>
      </c>
      <c r="F15" s="52">
        <v>-39.007860000000001</v>
      </c>
      <c r="G15" s="52">
        <v>174.18382</v>
      </c>
      <c r="H15" s="53">
        <v>28</v>
      </c>
    </row>
    <row r="16" spans="1:8" ht="14.4">
      <c r="A16" s="48" t="s">
        <v>268</v>
      </c>
      <c r="B16" s="48" t="s">
        <v>319</v>
      </c>
      <c r="C16" s="48" t="s">
        <v>320</v>
      </c>
      <c r="D16" s="48" t="s">
        <v>319</v>
      </c>
      <c r="E16" s="48" t="s">
        <v>320</v>
      </c>
      <c r="F16" s="52">
        <v>-39.470329999999997</v>
      </c>
      <c r="G16" s="52">
        <v>176.86463000000001</v>
      </c>
      <c r="H16" s="53">
        <v>3</v>
      </c>
    </row>
    <row r="17" spans="1:8" ht="14.4">
      <c r="A17" s="48" t="s">
        <v>269</v>
      </c>
      <c r="B17" s="48" t="s">
        <v>321</v>
      </c>
      <c r="C17" s="48" t="s">
        <v>322</v>
      </c>
      <c r="D17" s="48" t="s">
        <v>321</v>
      </c>
      <c r="E17" s="48" t="s">
        <v>322</v>
      </c>
      <c r="F17" s="52">
        <v>-39.937040000000003</v>
      </c>
      <c r="G17" s="52">
        <v>175.04508999999999</v>
      </c>
      <c r="H17" s="53">
        <v>15</v>
      </c>
    </row>
    <row r="18" spans="1:8" ht="14.4">
      <c r="A18" s="48" t="s">
        <v>270</v>
      </c>
      <c r="B18" s="48" t="s">
        <v>323</v>
      </c>
      <c r="C18" s="48" t="s">
        <v>324</v>
      </c>
      <c r="D18" s="48" t="s">
        <v>323</v>
      </c>
      <c r="E18" s="48" t="s">
        <v>324</v>
      </c>
      <c r="F18" s="52">
        <v>-40.381950000000003</v>
      </c>
      <c r="G18" s="52">
        <v>175.60915</v>
      </c>
      <c r="H18" s="53">
        <v>21</v>
      </c>
    </row>
    <row r="19" spans="1:8" ht="14.4">
      <c r="A19" s="48" t="s">
        <v>271</v>
      </c>
      <c r="B19" s="48" t="s">
        <v>325</v>
      </c>
      <c r="C19" s="48" t="s">
        <v>326</v>
      </c>
      <c r="D19" s="48" t="s">
        <v>325</v>
      </c>
      <c r="E19" s="48" t="s">
        <v>326</v>
      </c>
      <c r="F19" s="52">
        <v>-40.957000000000001</v>
      </c>
      <c r="G19" s="52">
        <v>175.70699999999999</v>
      </c>
      <c r="H19" s="53">
        <v>110</v>
      </c>
    </row>
    <row r="20" spans="1:8" ht="14.4">
      <c r="A20" s="48" t="s">
        <v>272</v>
      </c>
      <c r="B20" s="48" t="s">
        <v>327</v>
      </c>
      <c r="C20" s="48" t="s">
        <v>328</v>
      </c>
      <c r="D20" s="48" t="s">
        <v>327</v>
      </c>
      <c r="E20" s="48" t="s">
        <v>328</v>
      </c>
      <c r="F20" s="52">
        <v>-41.28445</v>
      </c>
      <c r="G20" s="52">
        <v>174.76794000000001</v>
      </c>
      <c r="H20" s="53">
        <v>125</v>
      </c>
    </row>
    <row r="21" spans="1:8" ht="14.4">
      <c r="A21" s="48" t="s">
        <v>273</v>
      </c>
      <c r="B21" s="48" t="s">
        <v>329</v>
      </c>
      <c r="C21" s="48" t="s">
        <v>330</v>
      </c>
      <c r="D21" s="48" t="s">
        <v>329</v>
      </c>
      <c r="E21" s="48" t="s">
        <v>330</v>
      </c>
      <c r="F21" s="52">
        <v>-41.298999999999999</v>
      </c>
      <c r="G21" s="52">
        <v>173.226</v>
      </c>
      <c r="H21" s="53">
        <v>2</v>
      </c>
    </row>
    <row r="22" spans="1:8" ht="14.4">
      <c r="A22" s="48" t="s">
        <v>274</v>
      </c>
      <c r="B22" s="48" t="s">
        <v>331</v>
      </c>
      <c r="C22" s="48" t="s">
        <v>332</v>
      </c>
      <c r="D22" s="48" t="s">
        <v>331</v>
      </c>
      <c r="E22" s="48" t="s">
        <v>332</v>
      </c>
      <c r="F22" s="52">
        <v>-41.498910000000002</v>
      </c>
      <c r="G22" s="52">
        <v>173.96285</v>
      </c>
      <c r="H22" s="53">
        <v>4</v>
      </c>
    </row>
    <row r="23" spans="1:8" ht="14.4">
      <c r="A23" s="48" t="s">
        <v>275</v>
      </c>
      <c r="B23" s="48" t="s">
        <v>333</v>
      </c>
      <c r="C23" s="48" t="s">
        <v>334</v>
      </c>
      <c r="D23" s="48" t="s">
        <v>333</v>
      </c>
      <c r="E23" s="48" t="s">
        <v>334</v>
      </c>
      <c r="F23" s="52">
        <v>-41.740749999999998</v>
      </c>
      <c r="G23" s="52">
        <v>171.57984999999999</v>
      </c>
      <c r="H23" s="53">
        <v>5</v>
      </c>
    </row>
    <row r="24" spans="1:8" ht="14.4">
      <c r="A24" s="48" t="s">
        <v>276</v>
      </c>
      <c r="B24" s="48" t="s">
        <v>335</v>
      </c>
      <c r="C24" s="48" t="s">
        <v>336</v>
      </c>
      <c r="D24" s="48" t="s">
        <v>335</v>
      </c>
      <c r="E24" s="48" t="s">
        <v>336</v>
      </c>
      <c r="F24" s="52">
        <v>-42.420380000000002</v>
      </c>
      <c r="G24" s="52">
        <v>173.69627</v>
      </c>
      <c r="H24" s="53">
        <v>108</v>
      </c>
    </row>
    <row r="25" spans="1:8" ht="14.4">
      <c r="A25" s="48" t="s">
        <v>277</v>
      </c>
      <c r="B25" s="48" t="s">
        <v>337</v>
      </c>
      <c r="C25" s="48" t="s">
        <v>338</v>
      </c>
      <c r="D25" s="48" t="s">
        <v>337</v>
      </c>
      <c r="E25" s="48" t="s">
        <v>338</v>
      </c>
      <c r="F25" s="52">
        <v>-42.712000000000003</v>
      </c>
      <c r="G25" s="52">
        <v>170.98400000000001</v>
      </c>
      <c r="H25" s="53">
        <v>39</v>
      </c>
    </row>
    <row r="26" spans="1:8" ht="14.4">
      <c r="A26" s="48" t="s">
        <v>278</v>
      </c>
      <c r="B26" s="48" t="s">
        <v>339</v>
      </c>
      <c r="C26" s="48" t="s">
        <v>340</v>
      </c>
      <c r="D26" s="48" t="s">
        <v>339</v>
      </c>
      <c r="E26" s="48" t="s">
        <v>340</v>
      </c>
      <c r="F26" s="52">
        <v>-43.493000000000002</v>
      </c>
      <c r="G26" s="52">
        <v>172.53700000000001</v>
      </c>
      <c r="H26" s="53">
        <v>37</v>
      </c>
    </row>
    <row r="27" spans="1:8" ht="14.4">
      <c r="A27" s="48" t="s">
        <v>279</v>
      </c>
      <c r="B27" s="48" t="s">
        <v>341</v>
      </c>
      <c r="C27" s="48" t="s">
        <v>342</v>
      </c>
      <c r="D27" s="48" t="s">
        <v>341</v>
      </c>
      <c r="E27" s="48" t="s">
        <v>342</v>
      </c>
      <c r="F27" s="52">
        <v>-43.736330000000002</v>
      </c>
      <c r="G27" s="52">
        <v>170.0977</v>
      </c>
      <c r="H27" s="53">
        <v>730</v>
      </c>
    </row>
    <row r="28" spans="1:8" ht="14.4">
      <c r="A28" s="48" t="s">
        <v>280</v>
      </c>
      <c r="B28" s="48" t="s">
        <v>343</v>
      </c>
      <c r="C28" s="48" t="s">
        <v>344</v>
      </c>
      <c r="D28" s="48" t="s">
        <v>343</v>
      </c>
      <c r="E28" s="48" t="s">
        <v>344</v>
      </c>
      <c r="F28" s="52">
        <v>-44.001730000000002</v>
      </c>
      <c r="G28" s="52">
        <v>170.44318999999999</v>
      </c>
      <c r="H28" s="53">
        <v>762</v>
      </c>
    </row>
    <row r="29" spans="1:8" ht="14.4">
      <c r="A29" s="48" t="s">
        <v>281</v>
      </c>
      <c r="B29" s="48" t="s">
        <v>345</v>
      </c>
      <c r="C29" s="48" t="s">
        <v>346</v>
      </c>
      <c r="D29" s="48" t="s">
        <v>345</v>
      </c>
      <c r="E29" s="48" t="s">
        <v>346</v>
      </c>
      <c r="F29" s="52">
        <v>-44.408819999999999</v>
      </c>
      <c r="G29" s="52">
        <v>171.25434000000001</v>
      </c>
      <c r="H29" s="53">
        <v>17</v>
      </c>
    </row>
    <row r="30" spans="1:8" ht="14.4">
      <c r="A30" s="48" t="s">
        <v>282</v>
      </c>
      <c r="B30" s="48" t="s">
        <v>347</v>
      </c>
      <c r="C30" s="48" t="s">
        <v>348</v>
      </c>
      <c r="D30" s="48" t="s">
        <v>347</v>
      </c>
      <c r="E30" s="48" t="s">
        <v>348</v>
      </c>
      <c r="F30" s="52">
        <v>-44.673299999999998</v>
      </c>
      <c r="G30" s="52">
        <v>167.92429999999999</v>
      </c>
      <c r="H30" s="53">
        <v>3</v>
      </c>
    </row>
    <row r="31" spans="1:8" ht="14.4">
      <c r="A31" s="48" t="s">
        <v>283</v>
      </c>
      <c r="B31" s="48" t="s">
        <v>349</v>
      </c>
      <c r="C31" s="48" t="s">
        <v>350</v>
      </c>
      <c r="D31" s="48" t="s">
        <v>349</v>
      </c>
      <c r="E31" s="48" t="s">
        <v>350</v>
      </c>
      <c r="F31" s="52">
        <v>-45.017620000000001</v>
      </c>
      <c r="G31" s="52">
        <v>168.74019999999999</v>
      </c>
      <c r="H31" s="53">
        <v>357</v>
      </c>
    </row>
    <row r="32" spans="1:8" ht="14.4">
      <c r="A32" s="48" t="s">
        <v>284</v>
      </c>
      <c r="B32" s="48" t="s">
        <v>284</v>
      </c>
      <c r="C32" s="48" t="s">
        <v>351</v>
      </c>
      <c r="D32" s="48" t="s">
        <v>284</v>
      </c>
      <c r="E32" s="48" t="s">
        <v>351</v>
      </c>
      <c r="F32" s="52">
        <v>-45.246000000000002</v>
      </c>
      <c r="G32" s="52">
        <v>169.38955999999999</v>
      </c>
      <c r="H32" s="53">
        <v>150</v>
      </c>
    </row>
    <row r="33" spans="1:8" ht="14.4">
      <c r="A33" s="48" t="s">
        <v>285</v>
      </c>
      <c r="B33" s="48" t="s">
        <v>352</v>
      </c>
      <c r="C33" s="48" t="s">
        <v>353</v>
      </c>
      <c r="D33" s="48" t="s">
        <v>352</v>
      </c>
      <c r="E33" s="48" t="s">
        <v>353</v>
      </c>
      <c r="F33" s="52">
        <v>-45.532850000000003</v>
      </c>
      <c r="G33" s="52">
        <v>167.64161999999999</v>
      </c>
      <c r="H33" s="53">
        <v>209</v>
      </c>
    </row>
    <row r="34" spans="1:8" ht="14.4">
      <c r="A34" s="48" t="s">
        <v>286</v>
      </c>
      <c r="B34" s="48" t="s">
        <v>354</v>
      </c>
      <c r="C34" s="48" t="s">
        <v>355</v>
      </c>
      <c r="D34" s="48" t="s">
        <v>354</v>
      </c>
      <c r="E34" s="48" t="s">
        <v>355</v>
      </c>
      <c r="F34" s="52">
        <v>-45.901290000000003</v>
      </c>
      <c r="G34" s="52">
        <v>170.5147</v>
      </c>
      <c r="H34" s="53">
        <v>4</v>
      </c>
    </row>
    <row r="35" spans="1:8" ht="14.4">
      <c r="A35" s="48" t="s">
        <v>287</v>
      </c>
      <c r="B35" s="48" t="s">
        <v>356</v>
      </c>
      <c r="C35" s="48" t="s">
        <v>357</v>
      </c>
      <c r="D35" s="48" t="s">
        <v>356</v>
      </c>
      <c r="E35" s="48" t="s">
        <v>357</v>
      </c>
      <c r="F35" s="52">
        <v>-46.41104</v>
      </c>
      <c r="G35" s="52">
        <v>168.31779</v>
      </c>
      <c r="H35" s="53">
        <v>3</v>
      </c>
    </row>
    <row r="36" spans="1:8" ht="14.4">
      <c r="A36" s="48" t="s">
        <v>288</v>
      </c>
      <c r="B36" s="48" t="s">
        <v>358</v>
      </c>
      <c r="C36" s="48" t="s">
        <v>359</v>
      </c>
      <c r="D36" s="48" t="s">
        <v>358</v>
      </c>
      <c r="E36" s="48" t="s">
        <v>359</v>
      </c>
      <c r="F36" s="52">
        <v>-43.816760000000002</v>
      </c>
      <c r="G36" s="52">
        <v>-176.47502</v>
      </c>
      <c r="H36" s="53">
        <v>12</v>
      </c>
    </row>
  </sheetData>
  <mergeCells count="2">
    <mergeCell ref="A1:H1"/>
    <mergeCell ref="A3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showGridLines="0" workbookViewId="0">
      <selection sqref="A1:J1"/>
    </sheetView>
  </sheetViews>
  <sheetFormatPr defaultRowHeight="13.8"/>
  <cols>
    <col min="1" max="1" width="16" customWidth="1"/>
    <col min="2" max="4" width="12" customWidth="1"/>
    <col min="5" max="8" width="18" customWidth="1"/>
    <col min="9" max="9" width="24" customWidth="1"/>
    <col min="10" max="10" width="65" customWidth="1"/>
  </cols>
  <sheetData>
    <row r="1" spans="1:10" ht="25.95" customHeight="1">
      <c r="A1" s="88" t="s">
        <v>360</v>
      </c>
      <c r="B1" s="89" t="s">
        <v>360</v>
      </c>
      <c r="C1" s="89" t="s">
        <v>360</v>
      </c>
      <c r="D1" s="89" t="s">
        <v>360</v>
      </c>
      <c r="E1" s="89" t="s">
        <v>360</v>
      </c>
      <c r="F1" s="89" t="s">
        <v>360</v>
      </c>
      <c r="G1" s="89" t="s">
        <v>360</v>
      </c>
      <c r="H1" s="89" t="s">
        <v>360</v>
      </c>
      <c r="I1" s="89" t="s">
        <v>360</v>
      </c>
      <c r="J1" s="89" t="s">
        <v>360</v>
      </c>
    </row>
    <row r="2" spans="1:10" ht="14.4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11" t="s">
        <v>361</v>
      </c>
      <c r="B3" s="111"/>
      <c r="C3" s="111"/>
      <c r="D3" s="111"/>
      <c r="E3" s="111"/>
      <c r="F3" s="111"/>
      <c r="G3" s="111"/>
      <c r="H3" s="111"/>
      <c r="I3" s="111"/>
      <c r="J3" s="111"/>
    </row>
    <row r="4" spans="1:10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>
      <c r="A5" s="111"/>
      <c r="B5" s="111"/>
      <c r="C5" s="111"/>
      <c r="D5" s="111"/>
      <c r="E5" s="111"/>
      <c r="F5" s="111"/>
      <c r="G5" s="111"/>
      <c r="H5" s="111"/>
      <c r="I5" s="111"/>
      <c r="J5" s="111"/>
    </row>
    <row r="6" spans="1:10" ht="14.4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27.6">
      <c r="A7" s="29" t="s">
        <v>249</v>
      </c>
      <c r="B7" s="29" t="s">
        <v>250</v>
      </c>
      <c r="C7" s="29" t="s">
        <v>50</v>
      </c>
      <c r="D7" s="29" t="s">
        <v>362</v>
      </c>
      <c r="E7" s="29" t="s">
        <v>363</v>
      </c>
      <c r="F7" s="29" t="s">
        <v>364</v>
      </c>
      <c r="G7" s="29" t="s">
        <v>365</v>
      </c>
      <c r="H7" s="29" t="s">
        <v>366</v>
      </c>
      <c r="I7" s="29" t="s">
        <v>120</v>
      </c>
      <c r="J7" s="29" t="s">
        <v>367</v>
      </c>
    </row>
    <row r="8" spans="1:10" ht="14.4">
      <c r="A8" s="48" t="s">
        <v>5</v>
      </c>
      <c r="B8" s="48">
        <v>1</v>
      </c>
      <c r="C8" s="48" t="s">
        <v>55</v>
      </c>
      <c r="D8" s="48" t="s">
        <v>368</v>
      </c>
      <c r="E8" s="50">
        <v>0.21</v>
      </c>
      <c r="F8" s="49">
        <v>55</v>
      </c>
      <c r="G8" s="49">
        <f t="shared" ref="G8:G19" si="0">F8*(E8/SUM($E$8,$E$11,$E$14,$E$17))/3</f>
        <v>3.8888888888888893</v>
      </c>
      <c r="H8" s="50">
        <f>G8/SUMIFS('Climate Data'!$F$7:$F$366,'Climate Data'!$A$7:$A$366,A8,'Climate Data'!$B$7:$B$366,B8)</f>
        <v>0.12544802867383514</v>
      </c>
      <c r="I8" s="47" t="s">
        <v>369</v>
      </c>
      <c r="J8" s="48" t="s">
        <v>370</v>
      </c>
    </row>
    <row r="9" spans="1:10" ht="14.4">
      <c r="A9" s="48" t="s">
        <v>5</v>
      </c>
      <c r="B9" s="48">
        <v>2</v>
      </c>
      <c r="C9" s="48" t="s">
        <v>58</v>
      </c>
      <c r="D9" s="48" t="s">
        <v>368</v>
      </c>
      <c r="E9" s="50">
        <v>0.21</v>
      </c>
      <c r="F9" s="49">
        <v>55</v>
      </c>
      <c r="G9" s="49">
        <f t="shared" si="0"/>
        <v>3.8888888888888893</v>
      </c>
      <c r="H9" s="50">
        <f>G9/SUMIFS('Climate Data'!$F$7:$F$366,'Climate Data'!$A$7:$A$366,A9,'Climate Data'!$B$7:$B$366,B9)</f>
        <v>0.13757861635220128</v>
      </c>
      <c r="I9" s="47" t="s">
        <v>369</v>
      </c>
      <c r="J9" s="48" t="s">
        <v>370</v>
      </c>
    </row>
    <row r="10" spans="1:10" ht="14.4">
      <c r="A10" s="48" t="s">
        <v>5</v>
      </c>
      <c r="B10" s="48">
        <v>3</v>
      </c>
      <c r="C10" s="48" t="s">
        <v>60</v>
      </c>
      <c r="D10" s="48" t="s">
        <v>371</v>
      </c>
      <c r="E10" s="50">
        <v>0.19</v>
      </c>
      <c r="F10" s="49">
        <v>55</v>
      </c>
      <c r="G10" s="49">
        <f t="shared" si="0"/>
        <v>3.518518518518519</v>
      </c>
      <c r="H10" s="50">
        <f>G10/SUMIFS('Climate Data'!$F$7:$F$366,'Climate Data'!$A$7:$A$366,A10,'Climate Data'!$B$7:$B$366,B10)</f>
        <v>0.11350059737156513</v>
      </c>
      <c r="I10" s="47" t="s">
        <v>369</v>
      </c>
      <c r="J10" s="48" t="s">
        <v>370</v>
      </c>
    </row>
    <row r="11" spans="1:10" ht="14.4">
      <c r="A11" s="48" t="s">
        <v>5</v>
      </c>
      <c r="B11" s="48">
        <v>4</v>
      </c>
      <c r="C11" s="48" t="s">
        <v>62</v>
      </c>
      <c r="D11" s="48" t="s">
        <v>371</v>
      </c>
      <c r="E11" s="50">
        <v>0.19</v>
      </c>
      <c r="F11" s="49">
        <v>55</v>
      </c>
      <c r="G11" s="49">
        <f t="shared" si="0"/>
        <v>3.518518518518519</v>
      </c>
      <c r="H11" s="50">
        <f>G11/SUMIFS('Climate Data'!$F$7:$F$366,'Climate Data'!$A$7:$A$366,A11,'Climate Data'!$B$7:$B$366,B11)</f>
        <v>0.11728395061728397</v>
      </c>
      <c r="I11" s="47" t="s">
        <v>369</v>
      </c>
      <c r="J11" s="48" t="s">
        <v>370</v>
      </c>
    </row>
    <row r="12" spans="1:10" ht="14.4">
      <c r="A12" s="48" t="s">
        <v>5</v>
      </c>
      <c r="B12" s="48">
        <v>5</v>
      </c>
      <c r="C12" s="48" t="s">
        <v>65</v>
      </c>
      <c r="D12" s="48" t="s">
        <v>371</v>
      </c>
      <c r="E12" s="50">
        <v>0.19</v>
      </c>
      <c r="F12" s="49">
        <v>55</v>
      </c>
      <c r="G12" s="49">
        <f t="shared" si="0"/>
        <v>3.518518518518519</v>
      </c>
      <c r="H12" s="50">
        <f>G12/SUMIFS('Climate Data'!$F$7:$F$366,'Climate Data'!$A$7:$A$366,A12,'Climate Data'!$B$7:$B$366,B12)</f>
        <v>0.11350059737156513</v>
      </c>
      <c r="I12" s="47" t="s">
        <v>369</v>
      </c>
      <c r="J12" s="48" t="s">
        <v>370</v>
      </c>
    </row>
    <row r="13" spans="1:10" ht="14.4">
      <c r="A13" s="48" t="s">
        <v>5</v>
      </c>
      <c r="B13" s="48">
        <v>6</v>
      </c>
      <c r="C13" s="48" t="s">
        <v>68</v>
      </c>
      <c r="D13" s="48" t="s">
        <v>372</v>
      </c>
      <c r="E13" s="50">
        <v>0.23</v>
      </c>
      <c r="F13" s="49">
        <v>55</v>
      </c>
      <c r="G13" s="49">
        <f t="shared" si="0"/>
        <v>4.2592592592592595</v>
      </c>
      <c r="H13" s="50">
        <f>G13/SUMIFS('Climate Data'!$F$7:$F$366,'Climate Data'!$A$7:$A$366,A13,'Climate Data'!$B$7:$B$366,B13)</f>
        <v>0.14197530864197533</v>
      </c>
      <c r="I13" s="47" t="s">
        <v>369</v>
      </c>
      <c r="J13" s="48" t="s">
        <v>370</v>
      </c>
    </row>
    <row r="14" spans="1:10" ht="14.4">
      <c r="A14" s="48" t="s">
        <v>5</v>
      </c>
      <c r="B14" s="48">
        <v>7</v>
      </c>
      <c r="C14" s="48" t="s">
        <v>69</v>
      </c>
      <c r="D14" s="48" t="s">
        <v>372</v>
      </c>
      <c r="E14" s="50">
        <v>0.23</v>
      </c>
      <c r="F14" s="49">
        <v>55</v>
      </c>
      <c r="G14" s="49">
        <f t="shared" si="0"/>
        <v>4.2592592592592595</v>
      </c>
      <c r="H14" s="50">
        <f>G14/SUMIFS('Climate Data'!$F$7:$F$366,'Climate Data'!$A$7:$A$366,A14,'Climate Data'!$B$7:$B$366,B14)</f>
        <v>0.13739545997610514</v>
      </c>
      <c r="I14" s="47" t="s">
        <v>369</v>
      </c>
      <c r="J14" s="48" t="s">
        <v>370</v>
      </c>
    </row>
    <row r="15" spans="1:10" ht="14.4">
      <c r="A15" s="48" t="s">
        <v>5</v>
      </c>
      <c r="B15" s="48">
        <v>8</v>
      </c>
      <c r="C15" s="48" t="s">
        <v>71</v>
      </c>
      <c r="D15" s="48" t="s">
        <v>372</v>
      </c>
      <c r="E15" s="50">
        <v>0.23</v>
      </c>
      <c r="F15" s="49">
        <v>55</v>
      </c>
      <c r="G15" s="49">
        <f t="shared" si="0"/>
        <v>4.2592592592592595</v>
      </c>
      <c r="H15" s="50">
        <f>G15/SUMIFS('Climate Data'!$F$7:$F$366,'Climate Data'!$A$7:$A$366,A15,'Climate Data'!$B$7:$B$366,B15)</f>
        <v>0.13739545997610514</v>
      </c>
      <c r="I15" s="47" t="s">
        <v>369</v>
      </c>
      <c r="J15" s="48" t="s">
        <v>370</v>
      </c>
    </row>
    <row r="16" spans="1:10" ht="14.4">
      <c r="A16" s="48" t="s">
        <v>5</v>
      </c>
      <c r="B16" s="48">
        <v>9</v>
      </c>
      <c r="C16" s="48" t="s">
        <v>73</v>
      </c>
      <c r="D16" s="48" t="s">
        <v>373</v>
      </c>
      <c r="E16" s="50">
        <v>0.36</v>
      </c>
      <c r="F16" s="49">
        <v>55</v>
      </c>
      <c r="G16" s="49">
        <f t="shared" si="0"/>
        <v>6.666666666666667</v>
      </c>
      <c r="H16" s="50">
        <f>G16/SUMIFS('Climate Data'!$F$7:$F$366,'Climate Data'!$A$7:$A$366,A16,'Climate Data'!$B$7:$B$366,B16)</f>
        <v>0.22222222222222224</v>
      </c>
      <c r="I16" s="47" t="s">
        <v>369</v>
      </c>
      <c r="J16" s="48" t="s">
        <v>370</v>
      </c>
    </row>
    <row r="17" spans="1:10" ht="14.4">
      <c r="A17" s="48" t="s">
        <v>5</v>
      </c>
      <c r="B17" s="48">
        <v>10</v>
      </c>
      <c r="C17" s="48" t="s">
        <v>75</v>
      </c>
      <c r="D17" s="48" t="s">
        <v>373</v>
      </c>
      <c r="E17" s="50">
        <v>0.36</v>
      </c>
      <c r="F17" s="49">
        <v>55</v>
      </c>
      <c r="G17" s="49">
        <f t="shared" si="0"/>
        <v>6.666666666666667</v>
      </c>
      <c r="H17" s="50">
        <f>G17/SUMIFS('Climate Data'!$F$7:$F$366,'Climate Data'!$A$7:$A$366,A17,'Climate Data'!$B$7:$B$366,B17)</f>
        <v>0.21505376344086022</v>
      </c>
      <c r="I17" s="47" t="s">
        <v>369</v>
      </c>
      <c r="J17" s="48" t="s">
        <v>370</v>
      </c>
    </row>
    <row r="18" spans="1:10" ht="14.4">
      <c r="A18" s="48" t="s">
        <v>5</v>
      </c>
      <c r="B18" s="48">
        <v>11</v>
      </c>
      <c r="C18" s="48" t="s">
        <v>76</v>
      </c>
      <c r="D18" s="48" t="s">
        <v>373</v>
      </c>
      <c r="E18" s="50">
        <v>0.36</v>
      </c>
      <c r="F18" s="49">
        <v>55</v>
      </c>
      <c r="G18" s="49">
        <f t="shared" si="0"/>
        <v>6.666666666666667</v>
      </c>
      <c r="H18" s="50">
        <f>G18/SUMIFS('Climate Data'!$F$7:$F$366,'Climate Data'!$A$7:$A$366,A18,'Climate Data'!$B$7:$B$366,B18)</f>
        <v>0.22222222222222224</v>
      </c>
      <c r="I18" s="47" t="s">
        <v>369</v>
      </c>
      <c r="J18" s="48" t="s">
        <v>370</v>
      </c>
    </row>
    <row r="19" spans="1:10" ht="14.4">
      <c r="A19" s="48" t="s">
        <v>5</v>
      </c>
      <c r="B19" s="48">
        <v>12</v>
      </c>
      <c r="C19" s="48" t="s">
        <v>77</v>
      </c>
      <c r="D19" s="48" t="s">
        <v>368</v>
      </c>
      <c r="E19" s="50">
        <v>0.21</v>
      </c>
      <c r="F19" s="49">
        <v>55</v>
      </c>
      <c r="G19" s="49">
        <f t="shared" si="0"/>
        <v>3.8888888888888893</v>
      </c>
      <c r="H19" s="50">
        <f>G19/SUMIFS('Climate Data'!$F$7:$F$366,'Climate Data'!$A$7:$A$366,A19,'Climate Data'!$B$7:$B$366,B19)</f>
        <v>0.12544802867383514</v>
      </c>
      <c r="I19" s="47" t="s">
        <v>369</v>
      </c>
      <c r="J19" s="48" t="s">
        <v>370</v>
      </c>
    </row>
  </sheetData>
  <mergeCells count="2">
    <mergeCell ref="A1:J1"/>
    <mergeCell ref="A3:J5"/>
  </mergeCells>
  <conditionalFormatting sqref="I8:I19">
    <cfRule type="containsText" dxfId="23" priority="1" operator="containsText" text="GREEN"/>
    <cfRule type="containsText" dxfId="22" priority="2" operator="containsText" text="AMBER"/>
    <cfRule type="containsText" dxfId="21" priority="3" operator="containsText" text="RED"/>
    <cfRule type="containsText" dxfId="20" priority="4" operator="containsText" text="UNCALIBRATED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6"/>
  <sheetViews>
    <sheetView showGridLines="0" workbookViewId="0">
      <selection sqref="A1:O1"/>
    </sheetView>
  </sheetViews>
  <sheetFormatPr defaultRowHeight="13.8"/>
  <cols>
    <col min="1" max="1" width="16" customWidth="1"/>
    <col min="2" max="2" width="13" customWidth="1"/>
    <col min="3" max="3" width="18" customWidth="1"/>
    <col min="4" max="4" width="34" customWidth="1"/>
    <col min="5" max="12" width="18" customWidth="1"/>
    <col min="13" max="14" width="40" customWidth="1"/>
    <col min="15" max="15" width="18" customWidth="1"/>
  </cols>
  <sheetData>
    <row r="1" spans="1:15" ht="25.95" customHeight="1">
      <c r="A1" s="88" t="s">
        <v>374</v>
      </c>
      <c r="B1" s="89" t="s">
        <v>374</v>
      </c>
      <c r="C1" s="89" t="s">
        <v>374</v>
      </c>
      <c r="D1" s="89" t="s">
        <v>374</v>
      </c>
      <c r="E1" s="89" t="s">
        <v>374</v>
      </c>
      <c r="F1" s="89" t="s">
        <v>374</v>
      </c>
      <c r="G1" s="89" t="s">
        <v>374</v>
      </c>
      <c r="H1" s="89" t="s">
        <v>374</v>
      </c>
      <c r="I1" s="89" t="s">
        <v>374</v>
      </c>
      <c r="J1" s="89" t="s">
        <v>374</v>
      </c>
      <c r="K1" s="89" t="s">
        <v>374</v>
      </c>
      <c r="L1" s="89" t="s">
        <v>374</v>
      </c>
      <c r="M1" s="89" t="s">
        <v>374</v>
      </c>
      <c r="N1" s="89" t="s">
        <v>374</v>
      </c>
      <c r="O1" s="89" t="s">
        <v>374</v>
      </c>
    </row>
    <row r="2" spans="1:15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12" t="s">
        <v>375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</row>
    <row r="4" spans="1:15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</row>
    <row r="5" spans="1:15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7.6">
      <c r="A6" s="21" t="s">
        <v>376</v>
      </c>
      <c r="B6" s="21" t="s">
        <v>377</v>
      </c>
      <c r="C6" s="21" t="s">
        <v>249</v>
      </c>
      <c r="D6" s="21" t="s">
        <v>84</v>
      </c>
      <c r="E6" s="21" t="s">
        <v>378</v>
      </c>
      <c r="F6" s="21" t="s">
        <v>379</v>
      </c>
      <c r="G6" s="21" t="s">
        <v>380</v>
      </c>
      <c r="H6" s="21" t="s">
        <v>381</v>
      </c>
      <c r="I6" s="21" t="s">
        <v>382</v>
      </c>
      <c r="J6" s="21" t="s">
        <v>383</v>
      </c>
      <c r="K6" s="21" t="s">
        <v>384</v>
      </c>
      <c r="L6" s="21" t="s">
        <v>385</v>
      </c>
      <c r="M6" s="21" t="s">
        <v>386</v>
      </c>
      <c r="N6" s="21" t="s">
        <v>387</v>
      </c>
      <c r="O6" s="21" t="s">
        <v>388</v>
      </c>
    </row>
    <row r="7" spans="1:15" ht="14.4">
      <c r="A7" s="54"/>
      <c r="B7" s="55"/>
      <c r="C7" s="56"/>
      <c r="D7" s="56"/>
      <c r="E7" s="57"/>
      <c r="F7" s="57"/>
      <c r="G7" s="57"/>
      <c r="H7" s="57"/>
      <c r="I7" s="58"/>
      <c r="J7" s="59" t="str">
        <f t="shared" ref="J7:J38" si="0">IF(E7="","",MAX(0,F7+G7+H7-I7))</f>
        <v/>
      </c>
      <c r="K7" s="60"/>
      <c r="L7" s="61"/>
      <c r="M7" s="56"/>
      <c r="N7" s="56"/>
      <c r="O7" s="62"/>
    </row>
    <row r="8" spans="1:15" ht="14.4">
      <c r="A8" s="63"/>
      <c r="B8" s="64"/>
      <c r="C8" s="65"/>
      <c r="D8" s="65"/>
      <c r="E8" s="66"/>
      <c r="F8" s="66"/>
      <c r="G8" s="66"/>
      <c r="H8" s="66"/>
      <c r="I8" s="67"/>
      <c r="J8" s="68" t="str">
        <f t="shared" si="0"/>
        <v/>
      </c>
      <c r="K8" s="69"/>
      <c r="L8" s="70"/>
      <c r="M8" s="65"/>
      <c r="N8" s="65"/>
      <c r="O8" s="71"/>
    </row>
    <row r="9" spans="1:15" ht="14.4">
      <c r="A9" s="63"/>
      <c r="B9" s="64"/>
      <c r="C9" s="65"/>
      <c r="D9" s="65"/>
      <c r="E9" s="66"/>
      <c r="F9" s="66"/>
      <c r="G9" s="66"/>
      <c r="H9" s="66"/>
      <c r="I9" s="67"/>
      <c r="J9" s="68" t="str">
        <f t="shared" si="0"/>
        <v/>
      </c>
      <c r="K9" s="69"/>
      <c r="L9" s="70"/>
      <c r="M9" s="65"/>
      <c r="N9" s="65"/>
      <c r="O9" s="71"/>
    </row>
    <row r="10" spans="1:15" ht="14.4">
      <c r="A10" s="63"/>
      <c r="B10" s="64"/>
      <c r="C10" s="65"/>
      <c r="D10" s="65"/>
      <c r="E10" s="66"/>
      <c r="F10" s="66"/>
      <c r="G10" s="66"/>
      <c r="H10" s="66"/>
      <c r="I10" s="67"/>
      <c r="J10" s="68" t="str">
        <f t="shared" si="0"/>
        <v/>
      </c>
      <c r="K10" s="69"/>
      <c r="L10" s="70"/>
      <c r="M10" s="65"/>
      <c r="N10" s="65"/>
      <c r="O10" s="71"/>
    </row>
    <row r="11" spans="1:15" ht="14.4">
      <c r="A11" s="63"/>
      <c r="B11" s="64"/>
      <c r="C11" s="65"/>
      <c r="D11" s="65"/>
      <c r="E11" s="66"/>
      <c r="F11" s="66"/>
      <c r="G11" s="66"/>
      <c r="H11" s="66"/>
      <c r="I11" s="67"/>
      <c r="J11" s="68" t="str">
        <f t="shared" si="0"/>
        <v/>
      </c>
      <c r="K11" s="69"/>
      <c r="L11" s="70"/>
      <c r="M11" s="65"/>
      <c r="N11" s="65"/>
      <c r="O11" s="71"/>
    </row>
    <row r="12" spans="1:15" ht="14.4">
      <c r="A12" s="63"/>
      <c r="B12" s="64"/>
      <c r="C12" s="65"/>
      <c r="D12" s="65"/>
      <c r="E12" s="66"/>
      <c r="F12" s="66"/>
      <c r="G12" s="66"/>
      <c r="H12" s="66"/>
      <c r="I12" s="67"/>
      <c r="J12" s="68" t="str">
        <f t="shared" si="0"/>
        <v/>
      </c>
      <c r="K12" s="69"/>
      <c r="L12" s="70"/>
      <c r="M12" s="65"/>
      <c r="N12" s="65"/>
      <c r="O12" s="71"/>
    </row>
    <row r="13" spans="1:15" ht="14.4">
      <c r="A13" s="63"/>
      <c r="B13" s="64"/>
      <c r="C13" s="65"/>
      <c r="D13" s="65"/>
      <c r="E13" s="66"/>
      <c r="F13" s="66"/>
      <c r="G13" s="66"/>
      <c r="H13" s="66"/>
      <c r="I13" s="67"/>
      <c r="J13" s="68" t="str">
        <f t="shared" si="0"/>
        <v/>
      </c>
      <c r="K13" s="69"/>
      <c r="L13" s="70"/>
      <c r="M13" s="65"/>
      <c r="N13" s="65"/>
      <c r="O13" s="71"/>
    </row>
    <row r="14" spans="1:15" ht="14.4">
      <c r="A14" s="63"/>
      <c r="B14" s="64"/>
      <c r="C14" s="65"/>
      <c r="D14" s="65"/>
      <c r="E14" s="66"/>
      <c r="F14" s="66"/>
      <c r="G14" s="66"/>
      <c r="H14" s="66"/>
      <c r="I14" s="67"/>
      <c r="J14" s="68" t="str">
        <f t="shared" si="0"/>
        <v/>
      </c>
      <c r="K14" s="69"/>
      <c r="L14" s="70"/>
      <c r="M14" s="65"/>
      <c r="N14" s="65"/>
      <c r="O14" s="71"/>
    </row>
    <row r="15" spans="1:15" ht="14.4">
      <c r="A15" s="63"/>
      <c r="B15" s="64"/>
      <c r="C15" s="65"/>
      <c r="D15" s="65"/>
      <c r="E15" s="66"/>
      <c r="F15" s="66"/>
      <c r="G15" s="66"/>
      <c r="H15" s="66"/>
      <c r="I15" s="67"/>
      <c r="J15" s="68" t="str">
        <f t="shared" si="0"/>
        <v/>
      </c>
      <c r="K15" s="69"/>
      <c r="L15" s="70"/>
      <c r="M15" s="65"/>
      <c r="N15" s="65"/>
      <c r="O15" s="71"/>
    </row>
    <row r="16" spans="1:15" ht="14.4">
      <c r="A16" s="63"/>
      <c r="B16" s="64"/>
      <c r="C16" s="65"/>
      <c r="D16" s="65"/>
      <c r="E16" s="66"/>
      <c r="F16" s="66"/>
      <c r="G16" s="66"/>
      <c r="H16" s="66"/>
      <c r="I16" s="67"/>
      <c r="J16" s="68" t="str">
        <f t="shared" si="0"/>
        <v/>
      </c>
      <c r="K16" s="69"/>
      <c r="L16" s="70"/>
      <c r="M16" s="65"/>
      <c r="N16" s="65"/>
      <c r="O16" s="71"/>
    </row>
    <row r="17" spans="1:15" ht="14.4">
      <c r="A17" s="63"/>
      <c r="B17" s="64"/>
      <c r="C17" s="65"/>
      <c r="D17" s="65"/>
      <c r="E17" s="66"/>
      <c r="F17" s="66"/>
      <c r="G17" s="66"/>
      <c r="H17" s="66"/>
      <c r="I17" s="67"/>
      <c r="J17" s="68" t="str">
        <f t="shared" si="0"/>
        <v/>
      </c>
      <c r="K17" s="69"/>
      <c r="L17" s="70"/>
      <c r="M17" s="65"/>
      <c r="N17" s="65"/>
      <c r="O17" s="71"/>
    </row>
    <row r="18" spans="1:15" ht="14.4">
      <c r="A18" s="63"/>
      <c r="B18" s="64"/>
      <c r="C18" s="65"/>
      <c r="D18" s="65"/>
      <c r="E18" s="66"/>
      <c r="F18" s="66"/>
      <c r="G18" s="66"/>
      <c r="H18" s="66"/>
      <c r="I18" s="67"/>
      <c r="J18" s="68" t="str">
        <f t="shared" si="0"/>
        <v/>
      </c>
      <c r="K18" s="69"/>
      <c r="L18" s="70"/>
      <c r="M18" s="65"/>
      <c r="N18" s="65"/>
      <c r="O18" s="71"/>
    </row>
    <row r="19" spans="1:15" ht="14.4">
      <c r="A19" s="63"/>
      <c r="B19" s="64"/>
      <c r="C19" s="65"/>
      <c r="D19" s="65"/>
      <c r="E19" s="66"/>
      <c r="F19" s="66"/>
      <c r="G19" s="66"/>
      <c r="H19" s="66"/>
      <c r="I19" s="67"/>
      <c r="J19" s="68" t="str">
        <f t="shared" si="0"/>
        <v/>
      </c>
      <c r="K19" s="69"/>
      <c r="L19" s="70"/>
      <c r="M19" s="65"/>
      <c r="N19" s="65"/>
      <c r="O19" s="71"/>
    </row>
    <row r="20" spans="1:15" ht="14.4">
      <c r="A20" s="63"/>
      <c r="B20" s="64"/>
      <c r="C20" s="65"/>
      <c r="D20" s="65"/>
      <c r="E20" s="66"/>
      <c r="F20" s="66"/>
      <c r="G20" s="66"/>
      <c r="H20" s="66"/>
      <c r="I20" s="67"/>
      <c r="J20" s="68" t="str">
        <f t="shared" si="0"/>
        <v/>
      </c>
      <c r="K20" s="69"/>
      <c r="L20" s="70"/>
      <c r="M20" s="65"/>
      <c r="N20" s="65"/>
      <c r="O20" s="71"/>
    </row>
    <row r="21" spans="1:15" ht="14.4">
      <c r="A21" s="63"/>
      <c r="B21" s="64"/>
      <c r="C21" s="65"/>
      <c r="D21" s="65"/>
      <c r="E21" s="66"/>
      <c r="F21" s="66"/>
      <c r="G21" s="66"/>
      <c r="H21" s="66"/>
      <c r="I21" s="67"/>
      <c r="J21" s="68" t="str">
        <f t="shared" si="0"/>
        <v/>
      </c>
      <c r="K21" s="69"/>
      <c r="L21" s="70"/>
      <c r="M21" s="65"/>
      <c r="N21" s="65"/>
      <c r="O21" s="71"/>
    </row>
    <row r="22" spans="1:15" ht="14.4">
      <c r="A22" s="63"/>
      <c r="B22" s="64"/>
      <c r="C22" s="65"/>
      <c r="D22" s="65"/>
      <c r="E22" s="66"/>
      <c r="F22" s="66"/>
      <c r="G22" s="66"/>
      <c r="H22" s="66"/>
      <c r="I22" s="67"/>
      <c r="J22" s="68" t="str">
        <f t="shared" si="0"/>
        <v/>
      </c>
      <c r="K22" s="69"/>
      <c r="L22" s="70"/>
      <c r="M22" s="65"/>
      <c r="N22" s="65"/>
      <c r="O22" s="71"/>
    </row>
    <row r="23" spans="1:15" ht="14.4">
      <c r="A23" s="63"/>
      <c r="B23" s="64"/>
      <c r="C23" s="65"/>
      <c r="D23" s="65"/>
      <c r="E23" s="66"/>
      <c r="F23" s="66"/>
      <c r="G23" s="66"/>
      <c r="H23" s="66"/>
      <c r="I23" s="67"/>
      <c r="J23" s="68" t="str">
        <f t="shared" si="0"/>
        <v/>
      </c>
      <c r="K23" s="69"/>
      <c r="L23" s="70"/>
      <c r="M23" s="65"/>
      <c r="N23" s="65"/>
      <c r="O23" s="71"/>
    </row>
    <row r="24" spans="1:15" ht="14.4">
      <c r="A24" s="63"/>
      <c r="B24" s="64"/>
      <c r="C24" s="65"/>
      <c r="D24" s="65"/>
      <c r="E24" s="66"/>
      <c r="F24" s="66"/>
      <c r="G24" s="66"/>
      <c r="H24" s="66"/>
      <c r="I24" s="67"/>
      <c r="J24" s="68" t="str">
        <f t="shared" si="0"/>
        <v/>
      </c>
      <c r="K24" s="69"/>
      <c r="L24" s="70"/>
      <c r="M24" s="65"/>
      <c r="N24" s="65"/>
      <c r="O24" s="71"/>
    </row>
    <row r="25" spans="1:15" ht="14.4">
      <c r="A25" s="63"/>
      <c r="B25" s="64"/>
      <c r="C25" s="65"/>
      <c r="D25" s="65"/>
      <c r="E25" s="66"/>
      <c r="F25" s="66"/>
      <c r="G25" s="66"/>
      <c r="H25" s="66"/>
      <c r="I25" s="67"/>
      <c r="J25" s="68" t="str">
        <f t="shared" si="0"/>
        <v/>
      </c>
      <c r="K25" s="69"/>
      <c r="L25" s="70"/>
      <c r="M25" s="65"/>
      <c r="N25" s="65"/>
      <c r="O25" s="71"/>
    </row>
    <row r="26" spans="1:15" ht="14.4">
      <c r="A26" s="63"/>
      <c r="B26" s="64"/>
      <c r="C26" s="65"/>
      <c r="D26" s="65"/>
      <c r="E26" s="66"/>
      <c r="F26" s="66"/>
      <c r="G26" s="66"/>
      <c r="H26" s="66"/>
      <c r="I26" s="67"/>
      <c r="J26" s="68" t="str">
        <f t="shared" si="0"/>
        <v/>
      </c>
      <c r="K26" s="69"/>
      <c r="L26" s="70"/>
      <c r="M26" s="65"/>
      <c r="N26" s="65"/>
      <c r="O26" s="71"/>
    </row>
    <row r="27" spans="1:15" ht="14.4">
      <c r="A27" s="63"/>
      <c r="B27" s="64"/>
      <c r="C27" s="65"/>
      <c r="D27" s="65"/>
      <c r="E27" s="66"/>
      <c r="F27" s="66"/>
      <c r="G27" s="66"/>
      <c r="H27" s="66"/>
      <c r="I27" s="67"/>
      <c r="J27" s="68" t="str">
        <f t="shared" si="0"/>
        <v/>
      </c>
      <c r="K27" s="69"/>
      <c r="L27" s="70"/>
      <c r="M27" s="65"/>
      <c r="N27" s="65"/>
      <c r="O27" s="71"/>
    </row>
    <row r="28" spans="1:15" ht="14.4">
      <c r="A28" s="63"/>
      <c r="B28" s="64"/>
      <c r="C28" s="65"/>
      <c r="D28" s="65"/>
      <c r="E28" s="66"/>
      <c r="F28" s="66"/>
      <c r="G28" s="66"/>
      <c r="H28" s="66"/>
      <c r="I28" s="67"/>
      <c r="J28" s="68" t="str">
        <f t="shared" si="0"/>
        <v/>
      </c>
      <c r="K28" s="69"/>
      <c r="L28" s="70"/>
      <c r="M28" s="65"/>
      <c r="N28" s="65"/>
      <c r="O28" s="71"/>
    </row>
    <row r="29" spans="1:15" ht="14.4">
      <c r="A29" s="63"/>
      <c r="B29" s="64"/>
      <c r="C29" s="65"/>
      <c r="D29" s="65"/>
      <c r="E29" s="66"/>
      <c r="F29" s="66"/>
      <c r="G29" s="66"/>
      <c r="H29" s="66"/>
      <c r="I29" s="67"/>
      <c r="J29" s="68" t="str">
        <f t="shared" si="0"/>
        <v/>
      </c>
      <c r="K29" s="69"/>
      <c r="L29" s="70"/>
      <c r="M29" s="65"/>
      <c r="N29" s="65"/>
      <c r="O29" s="71"/>
    </row>
    <row r="30" spans="1:15" ht="14.4">
      <c r="A30" s="63"/>
      <c r="B30" s="64"/>
      <c r="C30" s="65"/>
      <c r="D30" s="65"/>
      <c r="E30" s="66"/>
      <c r="F30" s="66"/>
      <c r="G30" s="66"/>
      <c r="H30" s="66"/>
      <c r="I30" s="67"/>
      <c r="J30" s="68" t="str">
        <f t="shared" si="0"/>
        <v/>
      </c>
      <c r="K30" s="69"/>
      <c r="L30" s="70"/>
      <c r="M30" s="65"/>
      <c r="N30" s="65"/>
      <c r="O30" s="71"/>
    </row>
    <row r="31" spans="1:15" ht="14.4">
      <c r="A31" s="63"/>
      <c r="B31" s="64"/>
      <c r="C31" s="65"/>
      <c r="D31" s="65"/>
      <c r="E31" s="66"/>
      <c r="F31" s="66"/>
      <c r="G31" s="66"/>
      <c r="H31" s="66"/>
      <c r="I31" s="67"/>
      <c r="J31" s="68" t="str">
        <f t="shared" si="0"/>
        <v/>
      </c>
      <c r="K31" s="69"/>
      <c r="L31" s="70"/>
      <c r="M31" s="65"/>
      <c r="N31" s="65"/>
      <c r="O31" s="71"/>
    </row>
    <row r="32" spans="1:15" ht="14.4">
      <c r="A32" s="63"/>
      <c r="B32" s="64"/>
      <c r="C32" s="65"/>
      <c r="D32" s="65"/>
      <c r="E32" s="66"/>
      <c r="F32" s="66"/>
      <c r="G32" s="66"/>
      <c r="H32" s="66"/>
      <c r="I32" s="67"/>
      <c r="J32" s="68" t="str">
        <f t="shared" si="0"/>
        <v/>
      </c>
      <c r="K32" s="69"/>
      <c r="L32" s="70"/>
      <c r="M32" s="65"/>
      <c r="N32" s="65"/>
      <c r="O32" s="71"/>
    </row>
    <row r="33" spans="1:15" ht="14.4">
      <c r="A33" s="63"/>
      <c r="B33" s="64"/>
      <c r="C33" s="65"/>
      <c r="D33" s="65"/>
      <c r="E33" s="66"/>
      <c r="F33" s="66"/>
      <c r="G33" s="66"/>
      <c r="H33" s="66"/>
      <c r="I33" s="67"/>
      <c r="J33" s="68" t="str">
        <f t="shared" si="0"/>
        <v/>
      </c>
      <c r="K33" s="69"/>
      <c r="L33" s="70"/>
      <c r="M33" s="65"/>
      <c r="N33" s="65"/>
      <c r="O33" s="71"/>
    </row>
    <row r="34" spans="1:15" ht="14.4">
      <c r="A34" s="63"/>
      <c r="B34" s="64"/>
      <c r="C34" s="65"/>
      <c r="D34" s="65"/>
      <c r="E34" s="66"/>
      <c r="F34" s="66"/>
      <c r="G34" s="66"/>
      <c r="H34" s="66"/>
      <c r="I34" s="67"/>
      <c r="J34" s="68" t="str">
        <f t="shared" si="0"/>
        <v/>
      </c>
      <c r="K34" s="69"/>
      <c r="L34" s="70"/>
      <c r="M34" s="65"/>
      <c r="N34" s="65"/>
      <c r="O34" s="71"/>
    </row>
    <row r="35" spans="1:15" ht="14.4">
      <c r="A35" s="63"/>
      <c r="B35" s="64"/>
      <c r="C35" s="65"/>
      <c r="D35" s="65"/>
      <c r="E35" s="66"/>
      <c r="F35" s="66"/>
      <c r="G35" s="66"/>
      <c r="H35" s="66"/>
      <c r="I35" s="67"/>
      <c r="J35" s="68" t="str">
        <f t="shared" si="0"/>
        <v/>
      </c>
      <c r="K35" s="69"/>
      <c r="L35" s="70"/>
      <c r="M35" s="65"/>
      <c r="N35" s="65"/>
      <c r="O35" s="71"/>
    </row>
    <row r="36" spans="1:15" ht="14.4">
      <c r="A36" s="63"/>
      <c r="B36" s="64"/>
      <c r="C36" s="65"/>
      <c r="D36" s="65"/>
      <c r="E36" s="66"/>
      <c r="F36" s="66"/>
      <c r="G36" s="66"/>
      <c r="H36" s="66"/>
      <c r="I36" s="67"/>
      <c r="J36" s="68" t="str">
        <f t="shared" si="0"/>
        <v/>
      </c>
      <c r="K36" s="69"/>
      <c r="L36" s="70"/>
      <c r="M36" s="65"/>
      <c r="N36" s="65"/>
      <c r="O36" s="71"/>
    </row>
    <row r="37" spans="1:15" ht="14.4">
      <c r="A37" s="63"/>
      <c r="B37" s="64"/>
      <c r="C37" s="65"/>
      <c r="D37" s="65"/>
      <c r="E37" s="66"/>
      <c r="F37" s="66"/>
      <c r="G37" s="66"/>
      <c r="H37" s="66"/>
      <c r="I37" s="67"/>
      <c r="J37" s="68" t="str">
        <f t="shared" si="0"/>
        <v/>
      </c>
      <c r="K37" s="69"/>
      <c r="L37" s="70"/>
      <c r="M37" s="65"/>
      <c r="N37" s="65"/>
      <c r="O37" s="71"/>
    </row>
    <row r="38" spans="1:15" ht="14.4">
      <c r="A38" s="63"/>
      <c r="B38" s="64"/>
      <c r="C38" s="65"/>
      <c r="D38" s="65"/>
      <c r="E38" s="66"/>
      <c r="F38" s="66"/>
      <c r="G38" s="66"/>
      <c r="H38" s="66"/>
      <c r="I38" s="67"/>
      <c r="J38" s="68" t="str">
        <f t="shared" si="0"/>
        <v/>
      </c>
      <c r="K38" s="69"/>
      <c r="L38" s="70"/>
      <c r="M38" s="65"/>
      <c r="N38" s="65"/>
      <c r="O38" s="71"/>
    </row>
    <row r="39" spans="1:15" ht="14.4">
      <c r="A39" s="63"/>
      <c r="B39" s="64"/>
      <c r="C39" s="65"/>
      <c r="D39" s="65"/>
      <c r="E39" s="66"/>
      <c r="F39" s="66"/>
      <c r="G39" s="66"/>
      <c r="H39" s="66"/>
      <c r="I39" s="67"/>
      <c r="J39" s="68" t="str">
        <f t="shared" ref="J39:J70" si="1">IF(E39="","",MAX(0,F39+G39+H39-I39))</f>
        <v/>
      </c>
      <c r="K39" s="69"/>
      <c r="L39" s="70"/>
      <c r="M39" s="65"/>
      <c r="N39" s="65"/>
      <c r="O39" s="71"/>
    </row>
    <row r="40" spans="1:15" ht="14.4">
      <c r="A40" s="63"/>
      <c r="B40" s="64"/>
      <c r="C40" s="65"/>
      <c r="D40" s="65"/>
      <c r="E40" s="66"/>
      <c r="F40" s="66"/>
      <c r="G40" s="66"/>
      <c r="H40" s="66"/>
      <c r="I40" s="67"/>
      <c r="J40" s="68" t="str">
        <f t="shared" si="1"/>
        <v/>
      </c>
      <c r="K40" s="69"/>
      <c r="L40" s="70"/>
      <c r="M40" s="65"/>
      <c r="N40" s="65"/>
      <c r="O40" s="71"/>
    </row>
    <row r="41" spans="1:15" ht="14.4">
      <c r="A41" s="63"/>
      <c r="B41" s="64"/>
      <c r="C41" s="65"/>
      <c r="D41" s="65"/>
      <c r="E41" s="66"/>
      <c r="F41" s="66"/>
      <c r="G41" s="66"/>
      <c r="H41" s="66"/>
      <c r="I41" s="67"/>
      <c r="J41" s="68" t="str">
        <f t="shared" si="1"/>
        <v/>
      </c>
      <c r="K41" s="69"/>
      <c r="L41" s="70"/>
      <c r="M41" s="65"/>
      <c r="N41" s="65"/>
      <c r="O41" s="71"/>
    </row>
    <row r="42" spans="1:15" ht="14.4">
      <c r="A42" s="63"/>
      <c r="B42" s="64"/>
      <c r="C42" s="65"/>
      <c r="D42" s="65"/>
      <c r="E42" s="66"/>
      <c r="F42" s="66"/>
      <c r="G42" s="66"/>
      <c r="H42" s="66"/>
      <c r="I42" s="67"/>
      <c r="J42" s="68" t="str">
        <f t="shared" si="1"/>
        <v/>
      </c>
      <c r="K42" s="69"/>
      <c r="L42" s="70"/>
      <c r="M42" s="65"/>
      <c r="N42" s="65"/>
      <c r="O42" s="71"/>
    </row>
    <row r="43" spans="1:15" ht="14.4">
      <c r="A43" s="63"/>
      <c r="B43" s="64"/>
      <c r="C43" s="65"/>
      <c r="D43" s="65"/>
      <c r="E43" s="66"/>
      <c r="F43" s="66"/>
      <c r="G43" s="66"/>
      <c r="H43" s="66"/>
      <c r="I43" s="67"/>
      <c r="J43" s="68" t="str">
        <f t="shared" si="1"/>
        <v/>
      </c>
      <c r="K43" s="69"/>
      <c r="L43" s="70"/>
      <c r="M43" s="65"/>
      <c r="N43" s="65"/>
      <c r="O43" s="71"/>
    </row>
    <row r="44" spans="1:15" ht="14.4">
      <c r="A44" s="63"/>
      <c r="B44" s="64"/>
      <c r="C44" s="65"/>
      <c r="D44" s="65"/>
      <c r="E44" s="66"/>
      <c r="F44" s="66"/>
      <c r="G44" s="66"/>
      <c r="H44" s="66"/>
      <c r="I44" s="67"/>
      <c r="J44" s="68" t="str">
        <f t="shared" si="1"/>
        <v/>
      </c>
      <c r="K44" s="69"/>
      <c r="L44" s="70"/>
      <c r="M44" s="65"/>
      <c r="N44" s="65"/>
      <c r="O44" s="71"/>
    </row>
    <row r="45" spans="1:15" ht="14.4">
      <c r="A45" s="63"/>
      <c r="B45" s="64"/>
      <c r="C45" s="65"/>
      <c r="D45" s="65"/>
      <c r="E45" s="66"/>
      <c r="F45" s="66"/>
      <c r="G45" s="66"/>
      <c r="H45" s="66"/>
      <c r="I45" s="67"/>
      <c r="J45" s="68" t="str">
        <f t="shared" si="1"/>
        <v/>
      </c>
      <c r="K45" s="69"/>
      <c r="L45" s="70"/>
      <c r="M45" s="65"/>
      <c r="N45" s="65"/>
      <c r="O45" s="71"/>
    </row>
    <row r="46" spans="1:15" ht="14.4">
      <c r="A46" s="63"/>
      <c r="B46" s="64"/>
      <c r="C46" s="65"/>
      <c r="D46" s="65"/>
      <c r="E46" s="66"/>
      <c r="F46" s="66"/>
      <c r="G46" s="66"/>
      <c r="H46" s="66"/>
      <c r="I46" s="67"/>
      <c r="J46" s="68" t="str">
        <f t="shared" si="1"/>
        <v/>
      </c>
      <c r="K46" s="69"/>
      <c r="L46" s="70"/>
      <c r="M46" s="65"/>
      <c r="N46" s="65"/>
      <c r="O46" s="71"/>
    </row>
    <row r="47" spans="1:15" ht="14.4">
      <c r="A47" s="63"/>
      <c r="B47" s="64"/>
      <c r="C47" s="65"/>
      <c r="D47" s="65"/>
      <c r="E47" s="66"/>
      <c r="F47" s="66"/>
      <c r="G47" s="66"/>
      <c r="H47" s="66"/>
      <c r="I47" s="67"/>
      <c r="J47" s="68" t="str">
        <f t="shared" si="1"/>
        <v/>
      </c>
      <c r="K47" s="69"/>
      <c r="L47" s="70"/>
      <c r="M47" s="65"/>
      <c r="N47" s="65"/>
      <c r="O47" s="71"/>
    </row>
    <row r="48" spans="1:15" ht="14.4">
      <c r="A48" s="63"/>
      <c r="B48" s="64"/>
      <c r="C48" s="65"/>
      <c r="D48" s="65"/>
      <c r="E48" s="66"/>
      <c r="F48" s="66"/>
      <c r="G48" s="66"/>
      <c r="H48" s="66"/>
      <c r="I48" s="67"/>
      <c r="J48" s="68" t="str">
        <f t="shared" si="1"/>
        <v/>
      </c>
      <c r="K48" s="69"/>
      <c r="L48" s="70"/>
      <c r="M48" s="65"/>
      <c r="N48" s="65"/>
      <c r="O48" s="71"/>
    </row>
    <row r="49" spans="1:15" ht="14.4">
      <c r="A49" s="63"/>
      <c r="B49" s="64"/>
      <c r="C49" s="65"/>
      <c r="D49" s="65"/>
      <c r="E49" s="66"/>
      <c r="F49" s="66"/>
      <c r="G49" s="66"/>
      <c r="H49" s="66"/>
      <c r="I49" s="67"/>
      <c r="J49" s="68" t="str">
        <f t="shared" si="1"/>
        <v/>
      </c>
      <c r="K49" s="69"/>
      <c r="L49" s="70"/>
      <c r="M49" s="65"/>
      <c r="N49" s="65"/>
      <c r="O49" s="71"/>
    </row>
    <row r="50" spans="1:15" ht="14.4">
      <c r="A50" s="63"/>
      <c r="B50" s="64"/>
      <c r="C50" s="65"/>
      <c r="D50" s="65"/>
      <c r="E50" s="66"/>
      <c r="F50" s="66"/>
      <c r="G50" s="66"/>
      <c r="H50" s="66"/>
      <c r="I50" s="67"/>
      <c r="J50" s="68" t="str">
        <f t="shared" si="1"/>
        <v/>
      </c>
      <c r="K50" s="69"/>
      <c r="L50" s="70"/>
      <c r="M50" s="65"/>
      <c r="N50" s="65"/>
      <c r="O50" s="71"/>
    </row>
    <row r="51" spans="1:15" ht="14.4">
      <c r="A51" s="63"/>
      <c r="B51" s="64"/>
      <c r="C51" s="65"/>
      <c r="D51" s="65"/>
      <c r="E51" s="66"/>
      <c r="F51" s="66"/>
      <c r="G51" s="66"/>
      <c r="H51" s="66"/>
      <c r="I51" s="67"/>
      <c r="J51" s="68" t="str">
        <f t="shared" si="1"/>
        <v/>
      </c>
      <c r="K51" s="69"/>
      <c r="L51" s="70"/>
      <c r="M51" s="65"/>
      <c r="N51" s="65"/>
      <c r="O51" s="71"/>
    </row>
    <row r="52" spans="1:15" ht="14.4">
      <c r="A52" s="63"/>
      <c r="B52" s="64"/>
      <c r="C52" s="65"/>
      <c r="D52" s="65"/>
      <c r="E52" s="66"/>
      <c r="F52" s="66"/>
      <c r="G52" s="66"/>
      <c r="H52" s="66"/>
      <c r="I52" s="67"/>
      <c r="J52" s="68" t="str">
        <f t="shared" si="1"/>
        <v/>
      </c>
      <c r="K52" s="69"/>
      <c r="L52" s="70"/>
      <c r="M52" s="65"/>
      <c r="N52" s="65"/>
      <c r="O52" s="71"/>
    </row>
    <row r="53" spans="1:15" ht="14.4">
      <c r="A53" s="63"/>
      <c r="B53" s="64"/>
      <c r="C53" s="65"/>
      <c r="D53" s="65"/>
      <c r="E53" s="66"/>
      <c r="F53" s="66"/>
      <c r="G53" s="66"/>
      <c r="H53" s="66"/>
      <c r="I53" s="67"/>
      <c r="J53" s="68" t="str">
        <f t="shared" si="1"/>
        <v/>
      </c>
      <c r="K53" s="69"/>
      <c r="L53" s="70"/>
      <c r="M53" s="65"/>
      <c r="N53" s="65"/>
      <c r="O53" s="71"/>
    </row>
    <row r="54" spans="1:15" ht="14.4">
      <c r="A54" s="63"/>
      <c r="B54" s="64"/>
      <c r="C54" s="65"/>
      <c r="D54" s="65"/>
      <c r="E54" s="66"/>
      <c r="F54" s="66"/>
      <c r="G54" s="66"/>
      <c r="H54" s="66"/>
      <c r="I54" s="67"/>
      <c r="J54" s="68" t="str">
        <f t="shared" si="1"/>
        <v/>
      </c>
      <c r="K54" s="69"/>
      <c r="L54" s="70"/>
      <c r="M54" s="65"/>
      <c r="N54" s="65"/>
      <c r="O54" s="71"/>
    </row>
    <row r="55" spans="1:15" ht="14.4">
      <c r="A55" s="63"/>
      <c r="B55" s="64"/>
      <c r="C55" s="65"/>
      <c r="D55" s="65"/>
      <c r="E55" s="66"/>
      <c r="F55" s="66"/>
      <c r="G55" s="66"/>
      <c r="H55" s="66"/>
      <c r="I55" s="67"/>
      <c r="J55" s="68" t="str">
        <f t="shared" si="1"/>
        <v/>
      </c>
      <c r="K55" s="69"/>
      <c r="L55" s="70"/>
      <c r="M55" s="65"/>
      <c r="N55" s="65"/>
      <c r="O55" s="71"/>
    </row>
    <row r="56" spans="1:15" ht="14.4">
      <c r="A56" s="63"/>
      <c r="B56" s="64"/>
      <c r="C56" s="65"/>
      <c r="D56" s="65"/>
      <c r="E56" s="66"/>
      <c r="F56" s="66"/>
      <c r="G56" s="66"/>
      <c r="H56" s="66"/>
      <c r="I56" s="67"/>
      <c r="J56" s="68" t="str">
        <f t="shared" si="1"/>
        <v/>
      </c>
      <c r="K56" s="69"/>
      <c r="L56" s="70"/>
      <c r="M56" s="65"/>
      <c r="N56" s="65"/>
      <c r="O56" s="71"/>
    </row>
    <row r="57" spans="1:15" ht="14.4">
      <c r="A57" s="63"/>
      <c r="B57" s="64"/>
      <c r="C57" s="65"/>
      <c r="D57" s="65"/>
      <c r="E57" s="66"/>
      <c r="F57" s="66"/>
      <c r="G57" s="66"/>
      <c r="H57" s="66"/>
      <c r="I57" s="67"/>
      <c r="J57" s="68" t="str">
        <f t="shared" si="1"/>
        <v/>
      </c>
      <c r="K57" s="69"/>
      <c r="L57" s="70"/>
      <c r="M57" s="65"/>
      <c r="N57" s="65"/>
      <c r="O57" s="71"/>
    </row>
    <row r="58" spans="1:15" ht="14.4">
      <c r="A58" s="63"/>
      <c r="B58" s="64"/>
      <c r="C58" s="65"/>
      <c r="D58" s="65"/>
      <c r="E58" s="66"/>
      <c r="F58" s="66"/>
      <c r="G58" s="66"/>
      <c r="H58" s="66"/>
      <c r="I58" s="67"/>
      <c r="J58" s="68" t="str">
        <f t="shared" si="1"/>
        <v/>
      </c>
      <c r="K58" s="69"/>
      <c r="L58" s="70"/>
      <c r="M58" s="65"/>
      <c r="N58" s="65"/>
      <c r="O58" s="71"/>
    </row>
    <row r="59" spans="1:15" ht="14.4">
      <c r="A59" s="63"/>
      <c r="B59" s="64"/>
      <c r="C59" s="65"/>
      <c r="D59" s="65"/>
      <c r="E59" s="66"/>
      <c r="F59" s="66"/>
      <c r="G59" s="66"/>
      <c r="H59" s="66"/>
      <c r="I59" s="67"/>
      <c r="J59" s="68" t="str">
        <f t="shared" si="1"/>
        <v/>
      </c>
      <c r="K59" s="69"/>
      <c r="L59" s="70"/>
      <c r="M59" s="65"/>
      <c r="N59" s="65"/>
      <c r="O59" s="71"/>
    </row>
    <row r="60" spans="1:15" ht="14.4">
      <c r="A60" s="63"/>
      <c r="B60" s="64"/>
      <c r="C60" s="65"/>
      <c r="D60" s="65"/>
      <c r="E60" s="66"/>
      <c r="F60" s="66"/>
      <c r="G60" s="66"/>
      <c r="H60" s="66"/>
      <c r="I60" s="67"/>
      <c r="J60" s="68" t="str">
        <f t="shared" si="1"/>
        <v/>
      </c>
      <c r="K60" s="69"/>
      <c r="L60" s="70"/>
      <c r="M60" s="65"/>
      <c r="N60" s="65"/>
      <c r="O60" s="71"/>
    </row>
    <row r="61" spans="1:15" ht="14.4">
      <c r="A61" s="63"/>
      <c r="B61" s="64"/>
      <c r="C61" s="65"/>
      <c r="D61" s="65"/>
      <c r="E61" s="66"/>
      <c r="F61" s="66"/>
      <c r="G61" s="66"/>
      <c r="H61" s="66"/>
      <c r="I61" s="67"/>
      <c r="J61" s="68" t="str">
        <f t="shared" si="1"/>
        <v/>
      </c>
      <c r="K61" s="69"/>
      <c r="L61" s="70"/>
      <c r="M61" s="65"/>
      <c r="N61" s="65"/>
      <c r="O61" s="71"/>
    </row>
    <row r="62" spans="1:15" ht="14.4">
      <c r="A62" s="63"/>
      <c r="B62" s="64"/>
      <c r="C62" s="65"/>
      <c r="D62" s="65"/>
      <c r="E62" s="66"/>
      <c r="F62" s="66"/>
      <c r="G62" s="66"/>
      <c r="H62" s="66"/>
      <c r="I62" s="67"/>
      <c r="J62" s="68" t="str">
        <f t="shared" si="1"/>
        <v/>
      </c>
      <c r="K62" s="69"/>
      <c r="L62" s="70"/>
      <c r="M62" s="65"/>
      <c r="N62" s="65"/>
      <c r="O62" s="71"/>
    </row>
    <row r="63" spans="1:15" ht="14.4">
      <c r="A63" s="63"/>
      <c r="B63" s="64"/>
      <c r="C63" s="65"/>
      <c r="D63" s="65"/>
      <c r="E63" s="66"/>
      <c r="F63" s="66"/>
      <c r="G63" s="66"/>
      <c r="H63" s="66"/>
      <c r="I63" s="67"/>
      <c r="J63" s="68" t="str">
        <f t="shared" si="1"/>
        <v/>
      </c>
      <c r="K63" s="69"/>
      <c r="L63" s="70"/>
      <c r="M63" s="65"/>
      <c r="N63" s="65"/>
      <c r="O63" s="71"/>
    </row>
    <row r="64" spans="1:15" ht="14.4">
      <c r="A64" s="63"/>
      <c r="B64" s="64"/>
      <c r="C64" s="65"/>
      <c r="D64" s="65"/>
      <c r="E64" s="66"/>
      <c r="F64" s="66"/>
      <c r="G64" s="66"/>
      <c r="H64" s="66"/>
      <c r="I64" s="67"/>
      <c r="J64" s="68" t="str">
        <f t="shared" si="1"/>
        <v/>
      </c>
      <c r="K64" s="69"/>
      <c r="L64" s="70"/>
      <c r="M64" s="65"/>
      <c r="N64" s="65"/>
      <c r="O64" s="71"/>
    </row>
    <row r="65" spans="1:15" ht="14.4">
      <c r="A65" s="63"/>
      <c r="B65" s="64"/>
      <c r="C65" s="65"/>
      <c r="D65" s="65"/>
      <c r="E65" s="66"/>
      <c r="F65" s="66"/>
      <c r="G65" s="66"/>
      <c r="H65" s="66"/>
      <c r="I65" s="67"/>
      <c r="J65" s="68" t="str">
        <f t="shared" si="1"/>
        <v/>
      </c>
      <c r="K65" s="69"/>
      <c r="L65" s="70"/>
      <c r="M65" s="65"/>
      <c r="N65" s="65"/>
      <c r="O65" s="71"/>
    </row>
    <row r="66" spans="1:15" ht="14.4">
      <c r="A66" s="63"/>
      <c r="B66" s="64"/>
      <c r="C66" s="65"/>
      <c r="D66" s="65"/>
      <c r="E66" s="66"/>
      <c r="F66" s="66"/>
      <c r="G66" s="66"/>
      <c r="H66" s="66"/>
      <c r="I66" s="67"/>
      <c r="J66" s="68" t="str">
        <f t="shared" si="1"/>
        <v/>
      </c>
      <c r="K66" s="69"/>
      <c r="L66" s="70"/>
      <c r="M66" s="65"/>
      <c r="N66" s="65"/>
      <c r="O66" s="71"/>
    </row>
    <row r="67" spans="1:15" ht="14.4">
      <c r="A67" s="63"/>
      <c r="B67" s="64"/>
      <c r="C67" s="65"/>
      <c r="D67" s="65"/>
      <c r="E67" s="66"/>
      <c r="F67" s="66"/>
      <c r="G67" s="66"/>
      <c r="H67" s="66"/>
      <c r="I67" s="67"/>
      <c r="J67" s="68" t="str">
        <f t="shared" si="1"/>
        <v/>
      </c>
      <c r="K67" s="69"/>
      <c r="L67" s="70"/>
      <c r="M67" s="65"/>
      <c r="N67" s="65"/>
      <c r="O67" s="71"/>
    </row>
    <row r="68" spans="1:15" ht="14.4">
      <c r="A68" s="63"/>
      <c r="B68" s="64"/>
      <c r="C68" s="65"/>
      <c r="D68" s="65"/>
      <c r="E68" s="66"/>
      <c r="F68" s="66"/>
      <c r="G68" s="66"/>
      <c r="H68" s="66"/>
      <c r="I68" s="67"/>
      <c r="J68" s="68" t="str">
        <f t="shared" si="1"/>
        <v/>
      </c>
      <c r="K68" s="69"/>
      <c r="L68" s="70"/>
      <c r="M68" s="65"/>
      <c r="N68" s="65"/>
      <c r="O68" s="71"/>
    </row>
    <row r="69" spans="1:15" ht="14.4">
      <c r="A69" s="63"/>
      <c r="B69" s="64"/>
      <c r="C69" s="65"/>
      <c r="D69" s="65"/>
      <c r="E69" s="66"/>
      <c r="F69" s="66"/>
      <c r="G69" s="66"/>
      <c r="H69" s="66"/>
      <c r="I69" s="67"/>
      <c r="J69" s="68" t="str">
        <f t="shared" si="1"/>
        <v/>
      </c>
      <c r="K69" s="69"/>
      <c r="L69" s="70"/>
      <c r="M69" s="65"/>
      <c r="N69" s="65"/>
      <c r="O69" s="71"/>
    </row>
    <row r="70" spans="1:15" ht="14.4">
      <c r="A70" s="63"/>
      <c r="B70" s="64"/>
      <c r="C70" s="65"/>
      <c r="D70" s="65"/>
      <c r="E70" s="66"/>
      <c r="F70" s="66"/>
      <c r="G70" s="66"/>
      <c r="H70" s="66"/>
      <c r="I70" s="67"/>
      <c r="J70" s="68" t="str">
        <f t="shared" si="1"/>
        <v/>
      </c>
      <c r="K70" s="69"/>
      <c r="L70" s="70"/>
      <c r="M70" s="65"/>
      <c r="N70" s="65"/>
      <c r="O70" s="71"/>
    </row>
    <row r="71" spans="1:15" ht="14.4">
      <c r="A71" s="63"/>
      <c r="B71" s="64"/>
      <c r="C71" s="65"/>
      <c r="D71" s="65"/>
      <c r="E71" s="66"/>
      <c r="F71" s="66"/>
      <c r="G71" s="66"/>
      <c r="H71" s="66"/>
      <c r="I71" s="67"/>
      <c r="J71" s="68" t="str">
        <f t="shared" ref="J71:J102" si="2">IF(E71="","",MAX(0,F71+G71+H71-I71))</f>
        <v/>
      </c>
      <c r="K71" s="69"/>
      <c r="L71" s="70"/>
      <c r="M71" s="65"/>
      <c r="N71" s="65"/>
      <c r="O71" s="71"/>
    </row>
    <row r="72" spans="1:15" ht="14.4">
      <c r="A72" s="63"/>
      <c r="B72" s="64"/>
      <c r="C72" s="65"/>
      <c r="D72" s="65"/>
      <c r="E72" s="66"/>
      <c r="F72" s="66"/>
      <c r="G72" s="66"/>
      <c r="H72" s="66"/>
      <c r="I72" s="67"/>
      <c r="J72" s="68" t="str">
        <f t="shared" si="2"/>
        <v/>
      </c>
      <c r="K72" s="69"/>
      <c r="L72" s="70"/>
      <c r="M72" s="65"/>
      <c r="N72" s="65"/>
      <c r="O72" s="71"/>
    </row>
    <row r="73" spans="1:15" ht="14.4">
      <c r="A73" s="63"/>
      <c r="B73" s="64"/>
      <c r="C73" s="65"/>
      <c r="D73" s="65"/>
      <c r="E73" s="66"/>
      <c r="F73" s="66"/>
      <c r="G73" s="66"/>
      <c r="H73" s="66"/>
      <c r="I73" s="67"/>
      <c r="J73" s="68" t="str">
        <f t="shared" si="2"/>
        <v/>
      </c>
      <c r="K73" s="69"/>
      <c r="L73" s="70"/>
      <c r="M73" s="65"/>
      <c r="N73" s="65"/>
      <c r="O73" s="71"/>
    </row>
    <row r="74" spans="1:15" ht="14.4">
      <c r="A74" s="63"/>
      <c r="B74" s="64"/>
      <c r="C74" s="65"/>
      <c r="D74" s="65"/>
      <c r="E74" s="66"/>
      <c r="F74" s="66"/>
      <c r="G74" s="66"/>
      <c r="H74" s="66"/>
      <c r="I74" s="67"/>
      <c r="J74" s="68" t="str">
        <f t="shared" si="2"/>
        <v/>
      </c>
      <c r="K74" s="69"/>
      <c r="L74" s="70"/>
      <c r="M74" s="65"/>
      <c r="N74" s="65"/>
      <c r="O74" s="71"/>
    </row>
    <row r="75" spans="1:15" ht="14.4">
      <c r="A75" s="63"/>
      <c r="B75" s="64"/>
      <c r="C75" s="65"/>
      <c r="D75" s="65"/>
      <c r="E75" s="66"/>
      <c r="F75" s="66"/>
      <c r="G75" s="66"/>
      <c r="H75" s="66"/>
      <c r="I75" s="67"/>
      <c r="J75" s="68" t="str">
        <f t="shared" si="2"/>
        <v/>
      </c>
      <c r="K75" s="69"/>
      <c r="L75" s="70"/>
      <c r="M75" s="65"/>
      <c r="N75" s="65"/>
      <c r="O75" s="71"/>
    </row>
    <row r="76" spans="1:15" ht="14.4">
      <c r="A76" s="63"/>
      <c r="B76" s="64"/>
      <c r="C76" s="65"/>
      <c r="D76" s="65"/>
      <c r="E76" s="66"/>
      <c r="F76" s="66"/>
      <c r="G76" s="66"/>
      <c r="H76" s="66"/>
      <c r="I76" s="67"/>
      <c r="J76" s="68" t="str">
        <f t="shared" si="2"/>
        <v/>
      </c>
      <c r="K76" s="69"/>
      <c r="L76" s="70"/>
      <c r="M76" s="65"/>
      <c r="N76" s="65"/>
      <c r="O76" s="71"/>
    </row>
    <row r="77" spans="1:15" ht="14.4">
      <c r="A77" s="63"/>
      <c r="B77" s="64"/>
      <c r="C77" s="65"/>
      <c r="D77" s="65"/>
      <c r="E77" s="66"/>
      <c r="F77" s="66"/>
      <c r="G77" s="66"/>
      <c r="H77" s="66"/>
      <c r="I77" s="67"/>
      <c r="J77" s="68" t="str">
        <f t="shared" si="2"/>
        <v/>
      </c>
      <c r="K77" s="69"/>
      <c r="L77" s="70"/>
      <c r="M77" s="65"/>
      <c r="N77" s="65"/>
      <c r="O77" s="71"/>
    </row>
    <row r="78" spans="1:15" ht="14.4">
      <c r="A78" s="63"/>
      <c r="B78" s="64"/>
      <c r="C78" s="65"/>
      <c r="D78" s="65"/>
      <c r="E78" s="66"/>
      <c r="F78" s="66"/>
      <c r="G78" s="66"/>
      <c r="H78" s="66"/>
      <c r="I78" s="67"/>
      <c r="J78" s="68" t="str">
        <f t="shared" si="2"/>
        <v/>
      </c>
      <c r="K78" s="69"/>
      <c r="L78" s="70"/>
      <c r="M78" s="65"/>
      <c r="N78" s="65"/>
      <c r="O78" s="71"/>
    </row>
    <row r="79" spans="1:15" ht="14.4">
      <c r="A79" s="63"/>
      <c r="B79" s="64"/>
      <c r="C79" s="65"/>
      <c r="D79" s="65"/>
      <c r="E79" s="66"/>
      <c r="F79" s="66"/>
      <c r="G79" s="66"/>
      <c r="H79" s="66"/>
      <c r="I79" s="67"/>
      <c r="J79" s="68" t="str">
        <f t="shared" si="2"/>
        <v/>
      </c>
      <c r="K79" s="69"/>
      <c r="L79" s="70"/>
      <c r="M79" s="65"/>
      <c r="N79" s="65"/>
      <c r="O79" s="71"/>
    </row>
    <row r="80" spans="1:15" ht="14.4">
      <c r="A80" s="63"/>
      <c r="B80" s="64"/>
      <c r="C80" s="65"/>
      <c r="D80" s="65"/>
      <c r="E80" s="66"/>
      <c r="F80" s="66"/>
      <c r="G80" s="66"/>
      <c r="H80" s="66"/>
      <c r="I80" s="67"/>
      <c r="J80" s="68" t="str">
        <f t="shared" si="2"/>
        <v/>
      </c>
      <c r="K80" s="69"/>
      <c r="L80" s="70"/>
      <c r="M80" s="65"/>
      <c r="N80" s="65"/>
      <c r="O80" s="71"/>
    </row>
    <row r="81" spans="1:15" ht="14.4">
      <c r="A81" s="63"/>
      <c r="B81" s="64"/>
      <c r="C81" s="65"/>
      <c r="D81" s="65"/>
      <c r="E81" s="66"/>
      <c r="F81" s="66"/>
      <c r="G81" s="66"/>
      <c r="H81" s="66"/>
      <c r="I81" s="67"/>
      <c r="J81" s="68" t="str">
        <f t="shared" si="2"/>
        <v/>
      </c>
      <c r="K81" s="69"/>
      <c r="L81" s="70"/>
      <c r="M81" s="65"/>
      <c r="N81" s="65"/>
      <c r="O81" s="71"/>
    </row>
    <row r="82" spans="1:15" ht="14.4">
      <c r="A82" s="63"/>
      <c r="B82" s="64"/>
      <c r="C82" s="65"/>
      <c r="D82" s="65"/>
      <c r="E82" s="66"/>
      <c r="F82" s="66"/>
      <c r="G82" s="66"/>
      <c r="H82" s="66"/>
      <c r="I82" s="67"/>
      <c r="J82" s="68" t="str">
        <f t="shared" si="2"/>
        <v/>
      </c>
      <c r="K82" s="69"/>
      <c r="L82" s="70"/>
      <c r="M82" s="65"/>
      <c r="N82" s="65"/>
      <c r="O82" s="71"/>
    </row>
    <row r="83" spans="1:15" ht="14.4">
      <c r="A83" s="63"/>
      <c r="B83" s="64"/>
      <c r="C83" s="65"/>
      <c r="D83" s="65"/>
      <c r="E83" s="66"/>
      <c r="F83" s="66"/>
      <c r="G83" s="66"/>
      <c r="H83" s="66"/>
      <c r="I83" s="67"/>
      <c r="J83" s="68" t="str">
        <f t="shared" si="2"/>
        <v/>
      </c>
      <c r="K83" s="69"/>
      <c r="L83" s="70"/>
      <c r="M83" s="65"/>
      <c r="N83" s="65"/>
      <c r="O83" s="71"/>
    </row>
    <row r="84" spans="1:15" ht="14.4">
      <c r="A84" s="63"/>
      <c r="B84" s="64"/>
      <c r="C84" s="65"/>
      <c r="D84" s="65"/>
      <c r="E84" s="66"/>
      <c r="F84" s="66"/>
      <c r="G84" s="66"/>
      <c r="H84" s="66"/>
      <c r="I84" s="67"/>
      <c r="J84" s="68" t="str">
        <f t="shared" si="2"/>
        <v/>
      </c>
      <c r="K84" s="69"/>
      <c r="L84" s="70"/>
      <c r="M84" s="65"/>
      <c r="N84" s="65"/>
      <c r="O84" s="71"/>
    </row>
    <row r="85" spans="1:15" ht="14.4">
      <c r="A85" s="63"/>
      <c r="B85" s="64"/>
      <c r="C85" s="65"/>
      <c r="D85" s="65"/>
      <c r="E85" s="66"/>
      <c r="F85" s="66"/>
      <c r="G85" s="66"/>
      <c r="H85" s="66"/>
      <c r="I85" s="67"/>
      <c r="J85" s="68" t="str">
        <f t="shared" si="2"/>
        <v/>
      </c>
      <c r="K85" s="69"/>
      <c r="L85" s="70"/>
      <c r="M85" s="65"/>
      <c r="N85" s="65"/>
      <c r="O85" s="71"/>
    </row>
    <row r="86" spans="1:15" ht="14.4">
      <c r="A86" s="63"/>
      <c r="B86" s="64"/>
      <c r="C86" s="65"/>
      <c r="D86" s="65"/>
      <c r="E86" s="66"/>
      <c r="F86" s="66"/>
      <c r="G86" s="66"/>
      <c r="H86" s="66"/>
      <c r="I86" s="67"/>
      <c r="J86" s="68" t="str">
        <f t="shared" si="2"/>
        <v/>
      </c>
      <c r="K86" s="69"/>
      <c r="L86" s="70"/>
      <c r="M86" s="65"/>
      <c r="N86" s="65"/>
      <c r="O86" s="71"/>
    </row>
    <row r="87" spans="1:15" ht="14.4">
      <c r="A87" s="63"/>
      <c r="B87" s="64"/>
      <c r="C87" s="65"/>
      <c r="D87" s="65"/>
      <c r="E87" s="66"/>
      <c r="F87" s="66"/>
      <c r="G87" s="66"/>
      <c r="H87" s="66"/>
      <c r="I87" s="67"/>
      <c r="J87" s="68" t="str">
        <f t="shared" si="2"/>
        <v/>
      </c>
      <c r="K87" s="69"/>
      <c r="L87" s="70"/>
      <c r="M87" s="65"/>
      <c r="N87" s="65"/>
      <c r="O87" s="71"/>
    </row>
    <row r="88" spans="1:15" ht="14.4">
      <c r="A88" s="63"/>
      <c r="B88" s="64"/>
      <c r="C88" s="65"/>
      <c r="D88" s="65"/>
      <c r="E88" s="66"/>
      <c r="F88" s="66"/>
      <c r="G88" s="66"/>
      <c r="H88" s="66"/>
      <c r="I88" s="67"/>
      <c r="J88" s="68" t="str">
        <f t="shared" si="2"/>
        <v/>
      </c>
      <c r="K88" s="69"/>
      <c r="L88" s="70"/>
      <c r="M88" s="65"/>
      <c r="N88" s="65"/>
      <c r="O88" s="71"/>
    </row>
    <row r="89" spans="1:15" ht="14.4">
      <c r="A89" s="63"/>
      <c r="B89" s="64"/>
      <c r="C89" s="65"/>
      <c r="D89" s="65"/>
      <c r="E89" s="66"/>
      <c r="F89" s="66"/>
      <c r="G89" s="66"/>
      <c r="H89" s="66"/>
      <c r="I89" s="67"/>
      <c r="J89" s="68" t="str">
        <f t="shared" si="2"/>
        <v/>
      </c>
      <c r="K89" s="69"/>
      <c r="L89" s="70"/>
      <c r="M89" s="65"/>
      <c r="N89" s="65"/>
      <c r="O89" s="71"/>
    </row>
    <row r="90" spans="1:15" ht="14.4">
      <c r="A90" s="63"/>
      <c r="B90" s="64"/>
      <c r="C90" s="65"/>
      <c r="D90" s="65"/>
      <c r="E90" s="66"/>
      <c r="F90" s="66"/>
      <c r="G90" s="66"/>
      <c r="H90" s="66"/>
      <c r="I90" s="67"/>
      <c r="J90" s="68" t="str">
        <f t="shared" si="2"/>
        <v/>
      </c>
      <c r="K90" s="69"/>
      <c r="L90" s="70"/>
      <c r="M90" s="65"/>
      <c r="N90" s="65"/>
      <c r="O90" s="71"/>
    </row>
    <row r="91" spans="1:15" ht="14.4">
      <c r="A91" s="63"/>
      <c r="B91" s="64"/>
      <c r="C91" s="65"/>
      <c r="D91" s="65"/>
      <c r="E91" s="66"/>
      <c r="F91" s="66"/>
      <c r="G91" s="66"/>
      <c r="H91" s="66"/>
      <c r="I91" s="67"/>
      <c r="J91" s="68" t="str">
        <f t="shared" si="2"/>
        <v/>
      </c>
      <c r="K91" s="69"/>
      <c r="L91" s="70"/>
      <c r="M91" s="65"/>
      <c r="N91" s="65"/>
      <c r="O91" s="71"/>
    </row>
    <row r="92" spans="1:15" ht="14.4">
      <c r="A92" s="63"/>
      <c r="B92" s="64"/>
      <c r="C92" s="65"/>
      <c r="D92" s="65"/>
      <c r="E92" s="66"/>
      <c r="F92" s="66"/>
      <c r="G92" s="66"/>
      <c r="H92" s="66"/>
      <c r="I92" s="67"/>
      <c r="J92" s="68" t="str">
        <f t="shared" si="2"/>
        <v/>
      </c>
      <c r="K92" s="69"/>
      <c r="L92" s="70"/>
      <c r="M92" s="65"/>
      <c r="N92" s="65"/>
      <c r="O92" s="71"/>
    </row>
    <row r="93" spans="1:15" ht="14.4">
      <c r="A93" s="63"/>
      <c r="B93" s="64"/>
      <c r="C93" s="65"/>
      <c r="D93" s="65"/>
      <c r="E93" s="66"/>
      <c r="F93" s="66"/>
      <c r="G93" s="66"/>
      <c r="H93" s="66"/>
      <c r="I93" s="67"/>
      <c r="J93" s="68" t="str">
        <f t="shared" si="2"/>
        <v/>
      </c>
      <c r="K93" s="69"/>
      <c r="L93" s="70"/>
      <c r="M93" s="65"/>
      <c r="N93" s="65"/>
      <c r="O93" s="71"/>
    </row>
    <row r="94" spans="1:15" ht="14.4">
      <c r="A94" s="63"/>
      <c r="B94" s="64"/>
      <c r="C94" s="65"/>
      <c r="D94" s="65"/>
      <c r="E94" s="66"/>
      <c r="F94" s="66"/>
      <c r="G94" s="66"/>
      <c r="H94" s="66"/>
      <c r="I94" s="67"/>
      <c r="J94" s="68" t="str">
        <f t="shared" si="2"/>
        <v/>
      </c>
      <c r="K94" s="69"/>
      <c r="L94" s="70"/>
      <c r="M94" s="65"/>
      <c r="N94" s="65"/>
      <c r="O94" s="71"/>
    </row>
    <row r="95" spans="1:15" ht="14.4">
      <c r="A95" s="63"/>
      <c r="B95" s="64"/>
      <c r="C95" s="65"/>
      <c r="D95" s="65"/>
      <c r="E95" s="66"/>
      <c r="F95" s="66"/>
      <c r="G95" s="66"/>
      <c r="H95" s="66"/>
      <c r="I95" s="67"/>
      <c r="J95" s="68" t="str">
        <f t="shared" si="2"/>
        <v/>
      </c>
      <c r="K95" s="69"/>
      <c r="L95" s="70"/>
      <c r="M95" s="65"/>
      <c r="N95" s="65"/>
      <c r="O95" s="71"/>
    </row>
    <row r="96" spans="1:15" ht="14.4">
      <c r="A96" s="63"/>
      <c r="B96" s="64"/>
      <c r="C96" s="65"/>
      <c r="D96" s="65"/>
      <c r="E96" s="66"/>
      <c r="F96" s="66"/>
      <c r="G96" s="66"/>
      <c r="H96" s="66"/>
      <c r="I96" s="67"/>
      <c r="J96" s="68" t="str">
        <f t="shared" si="2"/>
        <v/>
      </c>
      <c r="K96" s="69"/>
      <c r="L96" s="70"/>
      <c r="M96" s="65"/>
      <c r="N96" s="65"/>
      <c r="O96" s="71"/>
    </row>
    <row r="97" spans="1:15" ht="14.4">
      <c r="A97" s="63"/>
      <c r="B97" s="64"/>
      <c r="C97" s="65"/>
      <c r="D97" s="65"/>
      <c r="E97" s="66"/>
      <c r="F97" s="66"/>
      <c r="G97" s="66"/>
      <c r="H97" s="66"/>
      <c r="I97" s="67"/>
      <c r="J97" s="68" t="str">
        <f t="shared" si="2"/>
        <v/>
      </c>
      <c r="K97" s="69"/>
      <c r="L97" s="70"/>
      <c r="M97" s="65"/>
      <c r="N97" s="65"/>
      <c r="O97" s="71"/>
    </row>
    <row r="98" spans="1:15" ht="14.4">
      <c r="A98" s="63"/>
      <c r="B98" s="64"/>
      <c r="C98" s="65"/>
      <c r="D98" s="65"/>
      <c r="E98" s="66"/>
      <c r="F98" s="66"/>
      <c r="G98" s="66"/>
      <c r="H98" s="66"/>
      <c r="I98" s="67"/>
      <c r="J98" s="68" t="str">
        <f t="shared" si="2"/>
        <v/>
      </c>
      <c r="K98" s="69"/>
      <c r="L98" s="70"/>
      <c r="M98" s="65"/>
      <c r="N98" s="65"/>
      <c r="O98" s="71"/>
    </row>
    <row r="99" spans="1:15" ht="14.4">
      <c r="A99" s="63"/>
      <c r="B99" s="64"/>
      <c r="C99" s="65"/>
      <c r="D99" s="65"/>
      <c r="E99" s="66"/>
      <c r="F99" s="66"/>
      <c r="G99" s="66"/>
      <c r="H99" s="66"/>
      <c r="I99" s="67"/>
      <c r="J99" s="68" t="str">
        <f t="shared" si="2"/>
        <v/>
      </c>
      <c r="K99" s="69"/>
      <c r="L99" s="70"/>
      <c r="M99" s="65"/>
      <c r="N99" s="65"/>
      <c r="O99" s="71"/>
    </row>
    <row r="100" spans="1:15" ht="14.4">
      <c r="A100" s="63"/>
      <c r="B100" s="64"/>
      <c r="C100" s="65"/>
      <c r="D100" s="65"/>
      <c r="E100" s="66"/>
      <c r="F100" s="66"/>
      <c r="G100" s="66"/>
      <c r="H100" s="66"/>
      <c r="I100" s="67"/>
      <c r="J100" s="68" t="str">
        <f t="shared" si="2"/>
        <v/>
      </c>
      <c r="K100" s="69"/>
      <c r="L100" s="70"/>
      <c r="M100" s="65"/>
      <c r="N100" s="65"/>
      <c r="O100" s="71"/>
    </row>
    <row r="101" spans="1:15" ht="14.4">
      <c r="A101" s="63"/>
      <c r="B101" s="64"/>
      <c r="C101" s="65"/>
      <c r="D101" s="65"/>
      <c r="E101" s="66"/>
      <c r="F101" s="66"/>
      <c r="G101" s="66"/>
      <c r="H101" s="66"/>
      <c r="I101" s="67"/>
      <c r="J101" s="68" t="str">
        <f t="shared" si="2"/>
        <v/>
      </c>
      <c r="K101" s="69"/>
      <c r="L101" s="70"/>
      <c r="M101" s="65"/>
      <c r="N101" s="65"/>
      <c r="O101" s="71"/>
    </row>
    <row r="102" spans="1:15" ht="14.4">
      <c r="A102" s="63"/>
      <c r="B102" s="64"/>
      <c r="C102" s="65"/>
      <c r="D102" s="65"/>
      <c r="E102" s="66"/>
      <c r="F102" s="66"/>
      <c r="G102" s="66"/>
      <c r="H102" s="66"/>
      <c r="I102" s="67"/>
      <c r="J102" s="68" t="str">
        <f t="shared" si="2"/>
        <v/>
      </c>
      <c r="K102" s="69"/>
      <c r="L102" s="70"/>
      <c r="M102" s="65"/>
      <c r="N102" s="65"/>
      <c r="O102" s="71"/>
    </row>
    <row r="103" spans="1:15" ht="14.4">
      <c r="A103" s="63"/>
      <c r="B103" s="64"/>
      <c r="C103" s="65"/>
      <c r="D103" s="65"/>
      <c r="E103" s="66"/>
      <c r="F103" s="66"/>
      <c r="G103" s="66"/>
      <c r="H103" s="66"/>
      <c r="I103" s="67"/>
      <c r="J103" s="68" t="str">
        <f t="shared" ref="J103:J134" si="3">IF(E103="","",MAX(0,F103+G103+H103-I103))</f>
        <v/>
      </c>
      <c r="K103" s="69"/>
      <c r="L103" s="70"/>
      <c r="M103" s="65"/>
      <c r="N103" s="65"/>
      <c r="O103" s="71"/>
    </row>
    <row r="104" spans="1:15" ht="14.4">
      <c r="A104" s="63"/>
      <c r="B104" s="64"/>
      <c r="C104" s="65"/>
      <c r="D104" s="65"/>
      <c r="E104" s="66"/>
      <c r="F104" s="66"/>
      <c r="G104" s="66"/>
      <c r="H104" s="66"/>
      <c r="I104" s="67"/>
      <c r="J104" s="68" t="str">
        <f t="shared" si="3"/>
        <v/>
      </c>
      <c r="K104" s="69"/>
      <c r="L104" s="70"/>
      <c r="M104" s="65"/>
      <c r="N104" s="65"/>
      <c r="O104" s="71"/>
    </row>
    <row r="105" spans="1:15" ht="14.4">
      <c r="A105" s="63"/>
      <c r="B105" s="64"/>
      <c r="C105" s="65"/>
      <c r="D105" s="65"/>
      <c r="E105" s="66"/>
      <c r="F105" s="66"/>
      <c r="G105" s="66"/>
      <c r="H105" s="66"/>
      <c r="I105" s="67"/>
      <c r="J105" s="68" t="str">
        <f t="shared" si="3"/>
        <v/>
      </c>
      <c r="K105" s="69"/>
      <c r="L105" s="70"/>
      <c r="M105" s="65"/>
      <c r="N105" s="65"/>
      <c r="O105" s="71"/>
    </row>
    <row r="106" spans="1:15" ht="14.4">
      <c r="A106" s="63"/>
      <c r="B106" s="64"/>
      <c r="C106" s="65"/>
      <c r="D106" s="65"/>
      <c r="E106" s="66"/>
      <c r="F106" s="66"/>
      <c r="G106" s="66"/>
      <c r="H106" s="66"/>
      <c r="I106" s="67"/>
      <c r="J106" s="68" t="str">
        <f t="shared" si="3"/>
        <v/>
      </c>
      <c r="K106" s="69"/>
      <c r="L106" s="70"/>
      <c r="M106" s="65"/>
      <c r="N106" s="65"/>
      <c r="O106" s="71"/>
    </row>
    <row r="107" spans="1:15" ht="14.4">
      <c r="A107" s="63"/>
      <c r="B107" s="64"/>
      <c r="C107" s="65"/>
      <c r="D107" s="65"/>
      <c r="E107" s="66"/>
      <c r="F107" s="66"/>
      <c r="G107" s="66"/>
      <c r="H107" s="66"/>
      <c r="I107" s="67"/>
      <c r="J107" s="68" t="str">
        <f t="shared" si="3"/>
        <v/>
      </c>
      <c r="K107" s="69"/>
      <c r="L107" s="70"/>
      <c r="M107" s="65"/>
      <c r="N107" s="65"/>
      <c r="O107" s="71"/>
    </row>
    <row r="108" spans="1:15" ht="14.4">
      <c r="A108" s="63"/>
      <c r="B108" s="64"/>
      <c r="C108" s="65"/>
      <c r="D108" s="65"/>
      <c r="E108" s="66"/>
      <c r="F108" s="66"/>
      <c r="G108" s="66"/>
      <c r="H108" s="66"/>
      <c r="I108" s="67"/>
      <c r="J108" s="68" t="str">
        <f t="shared" si="3"/>
        <v/>
      </c>
      <c r="K108" s="69"/>
      <c r="L108" s="70"/>
      <c r="M108" s="65"/>
      <c r="N108" s="65"/>
      <c r="O108" s="71"/>
    </row>
    <row r="109" spans="1:15" ht="14.4">
      <c r="A109" s="63"/>
      <c r="B109" s="64"/>
      <c r="C109" s="65"/>
      <c r="D109" s="65"/>
      <c r="E109" s="66"/>
      <c r="F109" s="66"/>
      <c r="G109" s="66"/>
      <c r="H109" s="66"/>
      <c r="I109" s="67"/>
      <c r="J109" s="68" t="str">
        <f t="shared" si="3"/>
        <v/>
      </c>
      <c r="K109" s="69"/>
      <c r="L109" s="70"/>
      <c r="M109" s="65"/>
      <c r="N109" s="65"/>
      <c r="O109" s="71"/>
    </row>
    <row r="110" spans="1:15" ht="14.4">
      <c r="A110" s="63"/>
      <c r="B110" s="64"/>
      <c r="C110" s="65"/>
      <c r="D110" s="65"/>
      <c r="E110" s="66"/>
      <c r="F110" s="66"/>
      <c r="G110" s="66"/>
      <c r="H110" s="66"/>
      <c r="I110" s="67"/>
      <c r="J110" s="68" t="str">
        <f t="shared" si="3"/>
        <v/>
      </c>
      <c r="K110" s="69"/>
      <c r="L110" s="70"/>
      <c r="M110" s="65"/>
      <c r="N110" s="65"/>
      <c r="O110" s="71"/>
    </row>
    <row r="111" spans="1:15" ht="14.4">
      <c r="A111" s="63"/>
      <c r="B111" s="64"/>
      <c r="C111" s="65"/>
      <c r="D111" s="65"/>
      <c r="E111" s="66"/>
      <c r="F111" s="66"/>
      <c r="G111" s="66"/>
      <c r="H111" s="66"/>
      <c r="I111" s="67"/>
      <c r="J111" s="68" t="str">
        <f t="shared" si="3"/>
        <v/>
      </c>
      <c r="K111" s="69"/>
      <c r="L111" s="70"/>
      <c r="M111" s="65"/>
      <c r="N111" s="65"/>
      <c r="O111" s="71"/>
    </row>
    <row r="112" spans="1:15" ht="14.4">
      <c r="A112" s="63"/>
      <c r="B112" s="64"/>
      <c r="C112" s="65"/>
      <c r="D112" s="65"/>
      <c r="E112" s="66"/>
      <c r="F112" s="66"/>
      <c r="G112" s="66"/>
      <c r="H112" s="66"/>
      <c r="I112" s="67"/>
      <c r="J112" s="68" t="str">
        <f t="shared" si="3"/>
        <v/>
      </c>
      <c r="K112" s="69"/>
      <c r="L112" s="70"/>
      <c r="M112" s="65"/>
      <c r="N112" s="65"/>
      <c r="O112" s="71"/>
    </row>
    <row r="113" spans="1:15" ht="14.4">
      <c r="A113" s="63"/>
      <c r="B113" s="64"/>
      <c r="C113" s="65"/>
      <c r="D113" s="65"/>
      <c r="E113" s="66"/>
      <c r="F113" s="66"/>
      <c r="G113" s="66"/>
      <c r="H113" s="66"/>
      <c r="I113" s="67"/>
      <c r="J113" s="68" t="str">
        <f t="shared" si="3"/>
        <v/>
      </c>
      <c r="K113" s="69"/>
      <c r="L113" s="70"/>
      <c r="M113" s="65"/>
      <c r="N113" s="65"/>
      <c r="O113" s="71"/>
    </row>
    <row r="114" spans="1:15" ht="14.4">
      <c r="A114" s="63"/>
      <c r="B114" s="64"/>
      <c r="C114" s="65"/>
      <c r="D114" s="65"/>
      <c r="E114" s="66"/>
      <c r="F114" s="66"/>
      <c r="G114" s="66"/>
      <c r="H114" s="66"/>
      <c r="I114" s="67"/>
      <c r="J114" s="68" t="str">
        <f t="shared" si="3"/>
        <v/>
      </c>
      <c r="K114" s="69"/>
      <c r="L114" s="70"/>
      <c r="M114" s="65"/>
      <c r="N114" s="65"/>
      <c r="O114" s="71"/>
    </row>
    <row r="115" spans="1:15" ht="14.4">
      <c r="A115" s="63"/>
      <c r="B115" s="64"/>
      <c r="C115" s="65"/>
      <c r="D115" s="65"/>
      <c r="E115" s="66"/>
      <c r="F115" s="66"/>
      <c r="G115" s="66"/>
      <c r="H115" s="66"/>
      <c r="I115" s="67"/>
      <c r="J115" s="68" t="str">
        <f t="shared" si="3"/>
        <v/>
      </c>
      <c r="K115" s="69"/>
      <c r="L115" s="70"/>
      <c r="M115" s="65"/>
      <c r="N115" s="65"/>
      <c r="O115" s="71"/>
    </row>
    <row r="116" spans="1:15" ht="14.4">
      <c r="A116" s="63"/>
      <c r="B116" s="64"/>
      <c r="C116" s="65"/>
      <c r="D116" s="65"/>
      <c r="E116" s="66"/>
      <c r="F116" s="66"/>
      <c r="G116" s="66"/>
      <c r="H116" s="66"/>
      <c r="I116" s="67"/>
      <c r="J116" s="68" t="str">
        <f t="shared" si="3"/>
        <v/>
      </c>
      <c r="K116" s="69"/>
      <c r="L116" s="70"/>
      <c r="M116" s="65"/>
      <c r="N116" s="65"/>
      <c r="O116" s="71"/>
    </row>
    <row r="117" spans="1:15" ht="14.4">
      <c r="A117" s="63"/>
      <c r="B117" s="64"/>
      <c r="C117" s="65"/>
      <c r="D117" s="65"/>
      <c r="E117" s="66"/>
      <c r="F117" s="66"/>
      <c r="G117" s="66"/>
      <c r="H117" s="66"/>
      <c r="I117" s="67"/>
      <c r="J117" s="68" t="str">
        <f t="shared" si="3"/>
        <v/>
      </c>
      <c r="K117" s="69"/>
      <c r="L117" s="70"/>
      <c r="M117" s="65"/>
      <c r="N117" s="65"/>
      <c r="O117" s="71"/>
    </row>
    <row r="118" spans="1:15" ht="14.4">
      <c r="A118" s="63"/>
      <c r="B118" s="64"/>
      <c r="C118" s="65"/>
      <c r="D118" s="65"/>
      <c r="E118" s="66"/>
      <c r="F118" s="66"/>
      <c r="G118" s="66"/>
      <c r="H118" s="66"/>
      <c r="I118" s="67"/>
      <c r="J118" s="68" t="str">
        <f t="shared" si="3"/>
        <v/>
      </c>
      <c r="K118" s="69"/>
      <c r="L118" s="70"/>
      <c r="M118" s="65"/>
      <c r="N118" s="65"/>
      <c r="O118" s="71"/>
    </row>
    <row r="119" spans="1:15" ht="14.4">
      <c r="A119" s="63"/>
      <c r="B119" s="64"/>
      <c r="C119" s="65"/>
      <c r="D119" s="65"/>
      <c r="E119" s="66"/>
      <c r="F119" s="66"/>
      <c r="G119" s="66"/>
      <c r="H119" s="66"/>
      <c r="I119" s="67"/>
      <c r="J119" s="68" t="str">
        <f t="shared" si="3"/>
        <v/>
      </c>
      <c r="K119" s="69"/>
      <c r="L119" s="70"/>
      <c r="M119" s="65"/>
      <c r="N119" s="65"/>
      <c r="O119" s="71"/>
    </row>
    <row r="120" spans="1:15" ht="14.4">
      <c r="A120" s="63"/>
      <c r="B120" s="64"/>
      <c r="C120" s="65"/>
      <c r="D120" s="65"/>
      <c r="E120" s="66"/>
      <c r="F120" s="66"/>
      <c r="G120" s="66"/>
      <c r="H120" s="66"/>
      <c r="I120" s="67"/>
      <c r="J120" s="68" t="str">
        <f t="shared" si="3"/>
        <v/>
      </c>
      <c r="K120" s="69"/>
      <c r="L120" s="70"/>
      <c r="M120" s="65"/>
      <c r="N120" s="65"/>
      <c r="O120" s="71"/>
    </row>
    <row r="121" spans="1:15" ht="14.4">
      <c r="A121" s="63"/>
      <c r="B121" s="64"/>
      <c r="C121" s="65"/>
      <c r="D121" s="65"/>
      <c r="E121" s="66"/>
      <c r="F121" s="66"/>
      <c r="G121" s="66"/>
      <c r="H121" s="66"/>
      <c r="I121" s="67"/>
      <c r="J121" s="68" t="str">
        <f t="shared" si="3"/>
        <v/>
      </c>
      <c r="K121" s="69"/>
      <c r="L121" s="70"/>
      <c r="M121" s="65"/>
      <c r="N121" s="65"/>
      <c r="O121" s="71"/>
    </row>
    <row r="122" spans="1:15" ht="14.4">
      <c r="A122" s="63"/>
      <c r="B122" s="64"/>
      <c r="C122" s="65"/>
      <c r="D122" s="65"/>
      <c r="E122" s="66"/>
      <c r="F122" s="66"/>
      <c r="G122" s="66"/>
      <c r="H122" s="66"/>
      <c r="I122" s="67"/>
      <c r="J122" s="68" t="str">
        <f t="shared" si="3"/>
        <v/>
      </c>
      <c r="K122" s="69"/>
      <c r="L122" s="70"/>
      <c r="M122" s="65"/>
      <c r="N122" s="65"/>
      <c r="O122" s="71"/>
    </row>
    <row r="123" spans="1:15" ht="14.4">
      <c r="A123" s="63"/>
      <c r="B123" s="64"/>
      <c r="C123" s="65"/>
      <c r="D123" s="65"/>
      <c r="E123" s="66"/>
      <c r="F123" s="66"/>
      <c r="G123" s="66"/>
      <c r="H123" s="66"/>
      <c r="I123" s="67"/>
      <c r="J123" s="68" t="str">
        <f t="shared" si="3"/>
        <v/>
      </c>
      <c r="K123" s="69"/>
      <c r="L123" s="70"/>
      <c r="M123" s="65"/>
      <c r="N123" s="65"/>
      <c r="O123" s="71"/>
    </row>
    <row r="124" spans="1:15" ht="14.4">
      <c r="A124" s="63"/>
      <c r="B124" s="64"/>
      <c r="C124" s="65"/>
      <c r="D124" s="65"/>
      <c r="E124" s="66"/>
      <c r="F124" s="66"/>
      <c r="G124" s="66"/>
      <c r="H124" s="66"/>
      <c r="I124" s="67"/>
      <c r="J124" s="68" t="str">
        <f t="shared" si="3"/>
        <v/>
      </c>
      <c r="K124" s="69"/>
      <c r="L124" s="70"/>
      <c r="M124" s="65"/>
      <c r="N124" s="65"/>
      <c r="O124" s="71"/>
    </row>
    <row r="125" spans="1:15" ht="14.4">
      <c r="A125" s="63"/>
      <c r="B125" s="64"/>
      <c r="C125" s="65"/>
      <c r="D125" s="65"/>
      <c r="E125" s="66"/>
      <c r="F125" s="66"/>
      <c r="G125" s="66"/>
      <c r="H125" s="66"/>
      <c r="I125" s="67"/>
      <c r="J125" s="68" t="str">
        <f t="shared" si="3"/>
        <v/>
      </c>
      <c r="K125" s="69"/>
      <c r="L125" s="70"/>
      <c r="M125" s="65"/>
      <c r="N125" s="65"/>
      <c r="O125" s="71"/>
    </row>
    <row r="126" spans="1:15" ht="14.4">
      <c r="A126" s="63"/>
      <c r="B126" s="64"/>
      <c r="C126" s="65"/>
      <c r="D126" s="65"/>
      <c r="E126" s="66"/>
      <c r="F126" s="66"/>
      <c r="G126" s="66"/>
      <c r="H126" s="66"/>
      <c r="I126" s="67"/>
      <c r="J126" s="68" t="str">
        <f t="shared" si="3"/>
        <v/>
      </c>
      <c r="K126" s="69"/>
      <c r="L126" s="70"/>
      <c r="M126" s="65"/>
      <c r="N126" s="65"/>
      <c r="O126" s="71"/>
    </row>
    <row r="127" spans="1:15" ht="14.4">
      <c r="A127" s="63"/>
      <c r="B127" s="64"/>
      <c r="C127" s="65"/>
      <c r="D127" s="65"/>
      <c r="E127" s="66"/>
      <c r="F127" s="66"/>
      <c r="G127" s="66"/>
      <c r="H127" s="66"/>
      <c r="I127" s="67"/>
      <c r="J127" s="68" t="str">
        <f t="shared" si="3"/>
        <v/>
      </c>
      <c r="K127" s="69"/>
      <c r="L127" s="70"/>
      <c r="M127" s="65"/>
      <c r="N127" s="65"/>
      <c r="O127" s="71"/>
    </row>
    <row r="128" spans="1:15" ht="14.4">
      <c r="A128" s="63"/>
      <c r="B128" s="64"/>
      <c r="C128" s="65"/>
      <c r="D128" s="65"/>
      <c r="E128" s="66"/>
      <c r="F128" s="66"/>
      <c r="G128" s="66"/>
      <c r="H128" s="66"/>
      <c r="I128" s="67"/>
      <c r="J128" s="68" t="str">
        <f t="shared" si="3"/>
        <v/>
      </c>
      <c r="K128" s="69"/>
      <c r="L128" s="70"/>
      <c r="M128" s="65"/>
      <c r="N128" s="65"/>
      <c r="O128" s="71"/>
    </row>
    <row r="129" spans="1:15" ht="14.4">
      <c r="A129" s="63"/>
      <c r="B129" s="64"/>
      <c r="C129" s="65"/>
      <c r="D129" s="65"/>
      <c r="E129" s="66"/>
      <c r="F129" s="66"/>
      <c r="G129" s="66"/>
      <c r="H129" s="66"/>
      <c r="I129" s="67"/>
      <c r="J129" s="68" t="str">
        <f t="shared" si="3"/>
        <v/>
      </c>
      <c r="K129" s="69"/>
      <c r="L129" s="70"/>
      <c r="M129" s="65"/>
      <c r="N129" s="65"/>
      <c r="O129" s="71"/>
    </row>
    <row r="130" spans="1:15" ht="14.4">
      <c r="A130" s="63"/>
      <c r="B130" s="64"/>
      <c r="C130" s="65"/>
      <c r="D130" s="65"/>
      <c r="E130" s="66"/>
      <c r="F130" s="66"/>
      <c r="G130" s="66"/>
      <c r="H130" s="66"/>
      <c r="I130" s="67"/>
      <c r="J130" s="68" t="str">
        <f t="shared" si="3"/>
        <v/>
      </c>
      <c r="K130" s="69"/>
      <c r="L130" s="70"/>
      <c r="M130" s="65"/>
      <c r="N130" s="65"/>
      <c r="O130" s="71"/>
    </row>
    <row r="131" spans="1:15" ht="14.4">
      <c r="A131" s="63"/>
      <c r="B131" s="64"/>
      <c r="C131" s="65"/>
      <c r="D131" s="65"/>
      <c r="E131" s="66"/>
      <c r="F131" s="66"/>
      <c r="G131" s="66"/>
      <c r="H131" s="66"/>
      <c r="I131" s="67"/>
      <c r="J131" s="68" t="str">
        <f t="shared" si="3"/>
        <v/>
      </c>
      <c r="K131" s="69"/>
      <c r="L131" s="70"/>
      <c r="M131" s="65"/>
      <c r="N131" s="65"/>
      <c r="O131" s="71"/>
    </row>
    <row r="132" spans="1:15" ht="14.4">
      <c r="A132" s="63"/>
      <c r="B132" s="64"/>
      <c r="C132" s="65"/>
      <c r="D132" s="65"/>
      <c r="E132" s="66"/>
      <c r="F132" s="66"/>
      <c r="G132" s="66"/>
      <c r="H132" s="66"/>
      <c r="I132" s="67"/>
      <c r="J132" s="68" t="str">
        <f t="shared" si="3"/>
        <v/>
      </c>
      <c r="K132" s="69"/>
      <c r="L132" s="70"/>
      <c r="M132" s="65"/>
      <c r="N132" s="65"/>
      <c r="O132" s="71"/>
    </row>
    <row r="133" spans="1:15" ht="14.4">
      <c r="A133" s="63"/>
      <c r="B133" s="64"/>
      <c r="C133" s="65"/>
      <c r="D133" s="65"/>
      <c r="E133" s="66"/>
      <c r="F133" s="66"/>
      <c r="G133" s="66"/>
      <c r="H133" s="66"/>
      <c r="I133" s="67"/>
      <c r="J133" s="68" t="str">
        <f t="shared" si="3"/>
        <v/>
      </c>
      <c r="K133" s="69"/>
      <c r="L133" s="70"/>
      <c r="M133" s="65"/>
      <c r="N133" s="65"/>
      <c r="O133" s="71"/>
    </row>
    <row r="134" spans="1:15" ht="14.4">
      <c r="A134" s="63"/>
      <c r="B134" s="64"/>
      <c r="C134" s="65"/>
      <c r="D134" s="65"/>
      <c r="E134" s="66"/>
      <c r="F134" s="66"/>
      <c r="G134" s="66"/>
      <c r="H134" s="66"/>
      <c r="I134" s="67"/>
      <c r="J134" s="68" t="str">
        <f t="shared" si="3"/>
        <v/>
      </c>
      <c r="K134" s="69"/>
      <c r="L134" s="70"/>
      <c r="M134" s="65"/>
      <c r="N134" s="65"/>
      <c r="O134" s="71"/>
    </row>
    <row r="135" spans="1:15" ht="14.4">
      <c r="A135" s="63"/>
      <c r="B135" s="64"/>
      <c r="C135" s="65"/>
      <c r="D135" s="65"/>
      <c r="E135" s="66"/>
      <c r="F135" s="66"/>
      <c r="G135" s="66"/>
      <c r="H135" s="66"/>
      <c r="I135" s="67"/>
      <c r="J135" s="68" t="str">
        <f t="shared" ref="J135:J166" si="4">IF(E135="","",MAX(0,F135+G135+H135-I135))</f>
        <v/>
      </c>
      <c r="K135" s="69"/>
      <c r="L135" s="70"/>
      <c r="M135" s="65"/>
      <c r="N135" s="65"/>
      <c r="O135" s="71"/>
    </row>
    <row r="136" spans="1:15" ht="14.4">
      <c r="A136" s="63"/>
      <c r="B136" s="64"/>
      <c r="C136" s="65"/>
      <c r="D136" s="65"/>
      <c r="E136" s="66"/>
      <c r="F136" s="66"/>
      <c r="G136" s="66"/>
      <c r="H136" s="66"/>
      <c r="I136" s="67"/>
      <c r="J136" s="68" t="str">
        <f t="shared" si="4"/>
        <v/>
      </c>
      <c r="K136" s="69"/>
      <c r="L136" s="70"/>
      <c r="M136" s="65"/>
      <c r="N136" s="65"/>
      <c r="O136" s="71"/>
    </row>
    <row r="137" spans="1:15" ht="14.4">
      <c r="A137" s="63"/>
      <c r="B137" s="64"/>
      <c r="C137" s="65"/>
      <c r="D137" s="65"/>
      <c r="E137" s="66"/>
      <c r="F137" s="66"/>
      <c r="G137" s="66"/>
      <c r="H137" s="66"/>
      <c r="I137" s="67"/>
      <c r="J137" s="68" t="str">
        <f t="shared" si="4"/>
        <v/>
      </c>
      <c r="K137" s="69"/>
      <c r="L137" s="70"/>
      <c r="M137" s="65"/>
      <c r="N137" s="65"/>
      <c r="O137" s="71"/>
    </row>
    <row r="138" spans="1:15" ht="14.4">
      <c r="A138" s="63"/>
      <c r="B138" s="64"/>
      <c r="C138" s="65"/>
      <c r="D138" s="65"/>
      <c r="E138" s="66"/>
      <c r="F138" s="66"/>
      <c r="G138" s="66"/>
      <c r="H138" s="66"/>
      <c r="I138" s="67"/>
      <c r="J138" s="68" t="str">
        <f t="shared" si="4"/>
        <v/>
      </c>
      <c r="K138" s="69"/>
      <c r="L138" s="70"/>
      <c r="M138" s="65"/>
      <c r="N138" s="65"/>
      <c r="O138" s="71"/>
    </row>
    <row r="139" spans="1:15" ht="14.4">
      <c r="A139" s="63"/>
      <c r="B139" s="64"/>
      <c r="C139" s="65"/>
      <c r="D139" s="65"/>
      <c r="E139" s="66"/>
      <c r="F139" s="66"/>
      <c r="G139" s="66"/>
      <c r="H139" s="66"/>
      <c r="I139" s="67"/>
      <c r="J139" s="68" t="str">
        <f t="shared" si="4"/>
        <v/>
      </c>
      <c r="K139" s="69"/>
      <c r="L139" s="70"/>
      <c r="M139" s="65"/>
      <c r="N139" s="65"/>
      <c r="O139" s="71"/>
    </row>
    <row r="140" spans="1:15" ht="14.4">
      <c r="A140" s="63"/>
      <c r="B140" s="64"/>
      <c r="C140" s="65"/>
      <c r="D140" s="65"/>
      <c r="E140" s="66"/>
      <c r="F140" s="66"/>
      <c r="G140" s="66"/>
      <c r="H140" s="66"/>
      <c r="I140" s="67"/>
      <c r="J140" s="68" t="str">
        <f t="shared" si="4"/>
        <v/>
      </c>
      <c r="K140" s="69"/>
      <c r="L140" s="70"/>
      <c r="M140" s="65"/>
      <c r="N140" s="65"/>
      <c r="O140" s="71"/>
    </row>
    <row r="141" spans="1:15" ht="14.4">
      <c r="A141" s="63"/>
      <c r="B141" s="64"/>
      <c r="C141" s="65"/>
      <c r="D141" s="65"/>
      <c r="E141" s="66"/>
      <c r="F141" s="66"/>
      <c r="G141" s="66"/>
      <c r="H141" s="66"/>
      <c r="I141" s="67"/>
      <c r="J141" s="68" t="str">
        <f t="shared" si="4"/>
        <v/>
      </c>
      <c r="K141" s="69"/>
      <c r="L141" s="70"/>
      <c r="M141" s="65"/>
      <c r="N141" s="65"/>
      <c r="O141" s="71"/>
    </row>
    <row r="142" spans="1:15" ht="14.4">
      <c r="A142" s="63"/>
      <c r="B142" s="64"/>
      <c r="C142" s="65"/>
      <c r="D142" s="65"/>
      <c r="E142" s="66"/>
      <c r="F142" s="66"/>
      <c r="G142" s="66"/>
      <c r="H142" s="66"/>
      <c r="I142" s="67"/>
      <c r="J142" s="68" t="str">
        <f t="shared" si="4"/>
        <v/>
      </c>
      <c r="K142" s="69"/>
      <c r="L142" s="70"/>
      <c r="M142" s="65"/>
      <c r="N142" s="65"/>
      <c r="O142" s="71"/>
    </row>
    <row r="143" spans="1:15" ht="14.4">
      <c r="A143" s="63"/>
      <c r="B143" s="64"/>
      <c r="C143" s="65"/>
      <c r="D143" s="65"/>
      <c r="E143" s="66"/>
      <c r="F143" s="66"/>
      <c r="G143" s="66"/>
      <c r="H143" s="66"/>
      <c r="I143" s="67"/>
      <c r="J143" s="68" t="str">
        <f t="shared" si="4"/>
        <v/>
      </c>
      <c r="K143" s="69"/>
      <c r="L143" s="70"/>
      <c r="M143" s="65"/>
      <c r="N143" s="65"/>
      <c r="O143" s="71"/>
    </row>
    <row r="144" spans="1:15" ht="14.4">
      <c r="A144" s="63"/>
      <c r="B144" s="64"/>
      <c r="C144" s="65"/>
      <c r="D144" s="65"/>
      <c r="E144" s="66"/>
      <c r="F144" s="66"/>
      <c r="G144" s="66"/>
      <c r="H144" s="66"/>
      <c r="I144" s="67"/>
      <c r="J144" s="68" t="str">
        <f t="shared" si="4"/>
        <v/>
      </c>
      <c r="K144" s="69"/>
      <c r="L144" s="70"/>
      <c r="M144" s="65"/>
      <c r="N144" s="65"/>
      <c r="O144" s="71"/>
    </row>
    <row r="145" spans="1:15" ht="14.4">
      <c r="A145" s="63"/>
      <c r="B145" s="64"/>
      <c r="C145" s="65"/>
      <c r="D145" s="65"/>
      <c r="E145" s="66"/>
      <c r="F145" s="66"/>
      <c r="G145" s="66"/>
      <c r="H145" s="66"/>
      <c r="I145" s="67"/>
      <c r="J145" s="68" t="str">
        <f t="shared" si="4"/>
        <v/>
      </c>
      <c r="K145" s="69"/>
      <c r="L145" s="70"/>
      <c r="M145" s="65"/>
      <c r="N145" s="65"/>
      <c r="O145" s="71"/>
    </row>
    <row r="146" spans="1:15" ht="14.4">
      <c r="A146" s="63"/>
      <c r="B146" s="64"/>
      <c r="C146" s="65"/>
      <c r="D146" s="65"/>
      <c r="E146" s="66"/>
      <c r="F146" s="66"/>
      <c r="G146" s="66"/>
      <c r="H146" s="66"/>
      <c r="I146" s="67"/>
      <c r="J146" s="68" t="str">
        <f t="shared" si="4"/>
        <v/>
      </c>
      <c r="K146" s="69"/>
      <c r="L146" s="70"/>
      <c r="M146" s="65"/>
      <c r="N146" s="65"/>
      <c r="O146" s="71"/>
    </row>
    <row r="147" spans="1:15" ht="14.4">
      <c r="A147" s="63"/>
      <c r="B147" s="64"/>
      <c r="C147" s="65"/>
      <c r="D147" s="65"/>
      <c r="E147" s="66"/>
      <c r="F147" s="66"/>
      <c r="G147" s="66"/>
      <c r="H147" s="66"/>
      <c r="I147" s="67"/>
      <c r="J147" s="68" t="str">
        <f t="shared" si="4"/>
        <v/>
      </c>
      <c r="K147" s="69"/>
      <c r="L147" s="70"/>
      <c r="M147" s="65"/>
      <c r="N147" s="65"/>
      <c r="O147" s="71"/>
    </row>
    <row r="148" spans="1:15" ht="14.4">
      <c r="A148" s="63"/>
      <c r="B148" s="64"/>
      <c r="C148" s="65"/>
      <c r="D148" s="65"/>
      <c r="E148" s="66"/>
      <c r="F148" s="66"/>
      <c r="G148" s="66"/>
      <c r="H148" s="66"/>
      <c r="I148" s="67"/>
      <c r="J148" s="68" t="str">
        <f t="shared" si="4"/>
        <v/>
      </c>
      <c r="K148" s="69"/>
      <c r="L148" s="70"/>
      <c r="M148" s="65"/>
      <c r="N148" s="65"/>
      <c r="O148" s="71"/>
    </row>
    <row r="149" spans="1:15" ht="14.4">
      <c r="A149" s="63"/>
      <c r="B149" s="64"/>
      <c r="C149" s="65"/>
      <c r="D149" s="65"/>
      <c r="E149" s="66"/>
      <c r="F149" s="66"/>
      <c r="G149" s="66"/>
      <c r="H149" s="66"/>
      <c r="I149" s="67"/>
      <c r="J149" s="68" t="str">
        <f t="shared" si="4"/>
        <v/>
      </c>
      <c r="K149" s="69"/>
      <c r="L149" s="70"/>
      <c r="M149" s="65"/>
      <c r="N149" s="65"/>
      <c r="O149" s="71"/>
    </row>
    <row r="150" spans="1:15" ht="14.4">
      <c r="A150" s="63"/>
      <c r="B150" s="64"/>
      <c r="C150" s="65"/>
      <c r="D150" s="65"/>
      <c r="E150" s="66"/>
      <c r="F150" s="66"/>
      <c r="G150" s="66"/>
      <c r="H150" s="66"/>
      <c r="I150" s="67"/>
      <c r="J150" s="68" t="str">
        <f t="shared" si="4"/>
        <v/>
      </c>
      <c r="K150" s="69"/>
      <c r="L150" s="70"/>
      <c r="M150" s="65"/>
      <c r="N150" s="65"/>
      <c r="O150" s="71"/>
    </row>
    <row r="151" spans="1:15" ht="14.4">
      <c r="A151" s="63"/>
      <c r="B151" s="64"/>
      <c r="C151" s="65"/>
      <c r="D151" s="65"/>
      <c r="E151" s="66"/>
      <c r="F151" s="66"/>
      <c r="G151" s="66"/>
      <c r="H151" s="66"/>
      <c r="I151" s="67"/>
      <c r="J151" s="68" t="str">
        <f t="shared" si="4"/>
        <v/>
      </c>
      <c r="K151" s="69"/>
      <c r="L151" s="70"/>
      <c r="M151" s="65"/>
      <c r="N151" s="65"/>
      <c r="O151" s="71"/>
    </row>
    <row r="152" spans="1:15" ht="14.4">
      <c r="A152" s="63"/>
      <c r="B152" s="64"/>
      <c r="C152" s="65"/>
      <c r="D152" s="65"/>
      <c r="E152" s="66"/>
      <c r="F152" s="66"/>
      <c r="G152" s="66"/>
      <c r="H152" s="66"/>
      <c r="I152" s="67"/>
      <c r="J152" s="68" t="str">
        <f t="shared" si="4"/>
        <v/>
      </c>
      <c r="K152" s="69"/>
      <c r="L152" s="70"/>
      <c r="M152" s="65"/>
      <c r="N152" s="65"/>
      <c r="O152" s="71"/>
    </row>
    <row r="153" spans="1:15" ht="14.4">
      <c r="A153" s="63"/>
      <c r="B153" s="64"/>
      <c r="C153" s="65"/>
      <c r="D153" s="65"/>
      <c r="E153" s="66"/>
      <c r="F153" s="66"/>
      <c r="G153" s="66"/>
      <c r="H153" s="66"/>
      <c r="I153" s="67"/>
      <c r="J153" s="68" t="str">
        <f t="shared" si="4"/>
        <v/>
      </c>
      <c r="K153" s="69"/>
      <c r="L153" s="70"/>
      <c r="M153" s="65"/>
      <c r="N153" s="65"/>
      <c r="O153" s="71"/>
    </row>
    <row r="154" spans="1:15" ht="14.4">
      <c r="A154" s="63"/>
      <c r="B154" s="64"/>
      <c r="C154" s="65"/>
      <c r="D154" s="65"/>
      <c r="E154" s="66"/>
      <c r="F154" s="66"/>
      <c r="G154" s="66"/>
      <c r="H154" s="66"/>
      <c r="I154" s="67"/>
      <c r="J154" s="68" t="str">
        <f t="shared" si="4"/>
        <v/>
      </c>
      <c r="K154" s="69"/>
      <c r="L154" s="70"/>
      <c r="M154" s="65"/>
      <c r="N154" s="65"/>
      <c r="O154" s="71"/>
    </row>
    <row r="155" spans="1:15" ht="14.4">
      <c r="A155" s="63"/>
      <c r="B155" s="64"/>
      <c r="C155" s="65"/>
      <c r="D155" s="65"/>
      <c r="E155" s="66"/>
      <c r="F155" s="66"/>
      <c r="G155" s="66"/>
      <c r="H155" s="66"/>
      <c r="I155" s="67"/>
      <c r="J155" s="68" t="str">
        <f t="shared" si="4"/>
        <v/>
      </c>
      <c r="K155" s="69"/>
      <c r="L155" s="70"/>
      <c r="M155" s="65"/>
      <c r="N155" s="65"/>
      <c r="O155" s="71"/>
    </row>
    <row r="156" spans="1:15" ht="14.4">
      <c r="A156" s="63"/>
      <c r="B156" s="64"/>
      <c r="C156" s="65"/>
      <c r="D156" s="65"/>
      <c r="E156" s="66"/>
      <c r="F156" s="66"/>
      <c r="G156" s="66"/>
      <c r="H156" s="66"/>
      <c r="I156" s="67"/>
      <c r="J156" s="68" t="str">
        <f t="shared" si="4"/>
        <v/>
      </c>
      <c r="K156" s="69"/>
      <c r="L156" s="70"/>
      <c r="M156" s="65"/>
      <c r="N156" s="65"/>
      <c r="O156" s="71"/>
    </row>
    <row r="157" spans="1:15" ht="14.4">
      <c r="A157" s="63"/>
      <c r="B157" s="64"/>
      <c r="C157" s="65"/>
      <c r="D157" s="65"/>
      <c r="E157" s="66"/>
      <c r="F157" s="66"/>
      <c r="G157" s="66"/>
      <c r="H157" s="66"/>
      <c r="I157" s="67"/>
      <c r="J157" s="68" t="str">
        <f t="shared" si="4"/>
        <v/>
      </c>
      <c r="K157" s="69"/>
      <c r="L157" s="70"/>
      <c r="M157" s="65"/>
      <c r="N157" s="65"/>
      <c r="O157" s="71"/>
    </row>
    <row r="158" spans="1:15" ht="14.4">
      <c r="A158" s="63"/>
      <c r="B158" s="64"/>
      <c r="C158" s="65"/>
      <c r="D158" s="65"/>
      <c r="E158" s="66"/>
      <c r="F158" s="66"/>
      <c r="G158" s="66"/>
      <c r="H158" s="66"/>
      <c r="I158" s="67"/>
      <c r="J158" s="68" t="str">
        <f t="shared" si="4"/>
        <v/>
      </c>
      <c r="K158" s="69"/>
      <c r="L158" s="70"/>
      <c r="M158" s="65"/>
      <c r="N158" s="65"/>
      <c r="O158" s="71"/>
    </row>
    <row r="159" spans="1:15" ht="14.4">
      <c r="A159" s="63"/>
      <c r="B159" s="64"/>
      <c r="C159" s="65"/>
      <c r="D159" s="65"/>
      <c r="E159" s="66"/>
      <c r="F159" s="66"/>
      <c r="G159" s="66"/>
      <c r="H159" s="66"/>
      <c r="I159" s="67"/>
      <c r="J159" s="68" t="str">
        <f t="shared" si="4"/>
        <v/>
      </c>
      <c r="K159" s="69"/>
      <c r="L159" s="70"/>
      <c r="M159" s="65"/>
      <c r="N159" s="65"/>
      <c r="O159" s="71"/>
    </row>
    <row r="160" spans="1:15" ht="14.4">
      <c r="A160" s="63"/>
      <c r="B160" s="64"/>
      <c r="C160" s="65"/>
      <c r="D160" s="65"/>
      <c r="E160" s="66"/>
      <c r="F160" s="66"/>
      <c r="G160" s="66"/>
      <c r="H160" s="66"/>
      <c r="I160" s="67"/>
      <c r="J160" s="68" t="str">
        <f t="shared" si="4"/>
        <v/>
      </c>
      <c r="K160" s="69"/>
      <c r="L160" s="70"/>
      <c r="M160" s="65"/>
      <c r="N160" s="65"/>
      <c r="O160" s="71"/>
    </row>
    <row r="161" spans="1:15" ht="14.4">
      <c r="A161" s="63"/>
      <c r="B161" s="64"/>
      <c r="C161" s="65"/>
      <c r="D161" s="65"/>
      <c r="E161" s="66"/>
      <c r="F161" s="66"/>
      <c r="G161" s="66"/>
      <c r="H161" s="66"/>
      <c r="I161" s="67"/>
      <c r="J161" s="68" t="str">
        <f t="shared" si="4"/>
        <v/>
      </c>
      <c r="K161" s="69"/>
      <c r="L161" s="70"/>
      <c r="M161" s="65"/>
      <c r="N161" s="65"/>
      <c r="O161" s="71"/>
    </row>
    <row r="162" spans="1:15" ht="14.4">
      <c r="A162" s="63"/>
      <c r="B162" s="64"/>
      <c r="C162" s="65"/>
      <c r="D162" s="65"/>
      <c r="E162" s="66"/>
      <c r="F162" s="66"/>
      <c r="G162" s="66"/>
      <c r="H162" s="66"/>
      <c r="I162" s="67"/>
      <c r="J162" s="68" t="str">
        <f t="shared" si="4"/>
        <v/>
      </c>
      <c r="K162" s="69"/>
      <c r="L162" s="70"/>
      <c r="M162" s="65"/>
      <c r="N162" s="65"/>
      <c r="O162" s="71"/>
    </row>
    <row r="163" spans="1:15" ht="14.4">
      <c r="A163" s="63"/>
      <c r="B163" s="64"/>
      <c r="C163" s="65"/>
      <c r="D163" s="65"/>
      <c r="E163" s="66"/>
      <c r="F163" s="66"/>
      <c r="G163" s="66"/>
      <c r="H163" s="66"/>
      <c r="I163" s="67"/>
      <c r="J163" s="68" t="str">
        <f t="shared" si="4"/>
        <v/>
      </c>
      <c r="K163" s="69"/>
      <c r="L163" s="70"/>
      <c r="M163" s="65"/>
      <c r="N163" s="65"/>
      <c r="O163" s="71"/>
    </row>
    <row r="164" spans="1:15" ht="14.4">
      <c r="A164" s="63"/>
      <c r="B164" s="64"/>
      <c r="C164" s="65"/>
      <c r="D164" s="65"/>
      <c r="E164" s="66"/>
      <c r="F164" s="66"/>
      <c r="G164" s="66"/>
      <c r="H164" s="66"/>
      <c r="I164" s="67"/>
      <c r="J164" s="68" t="str">
        <f t="shared" si="4"/>
        <v/>
      </c>
      <c r="K164" s="69"/>
      <c r="L164" s="70"/>
      <c r="M164" s="65"/>
      <c r="N164" s="65"/>
      <c r="O164" s="71"/>
    </row>
    <row r="165" spans="1:15" ht="14.4">
      <c r="A165" s="63"/>
      <c r="B165" s="64"/>
      <c r="C165" s="65"/>
      <c r="D165" s="65"/>
      <c r="E165" s="66"/>
      <c r="F165" s="66"/>
      <c r="G165" s="66"/>
      <c r="H165" s="66"/>
      <c r="I165" s="67"/>
      <c r="J165" s="68" t="str">
        <f t="shared" si="4"/>
        <v/>
      </c>
      <c r="K165" s="69"/>
      <c r="L165" s="70"/>
      <c r="M165" s="65"/>
      <c r="N165" s="65"/>
      <c r="O165" s="71"/>
    </row>
    <row r="166" spans="1:15" ht="14.4">
      <c r="A166" s="63"/>
      <c r="B166" s="64"/>
      <c r="C166" s="65"/>
      <c r="D166" s="65"/>
      <c r="E166" s="66"/>
      <c r="F166" s="66"/>
      <c r="G166" s="66"/>
      <c r="H166" s="66"/>
      <c r="I166" s="67"/>
      <c r="J166" s="68" t="str">
        <f t="shared" si="4"/>
        <v/>
      </c>
      <c r="K166" s="69"/>
      <c r="L166" s="70"/>
      <c r="M166" s="65"/>
      <c r="N166" s="65"/>
      <c r="O166" s="71"/>
    </row>
    <row r="167" spans="1:15" ht="14.4">
      <c r="A167" s="63"/>
      <c r="B167" s="64"/>
      <c r="C167" s="65"/>
      <c r="D167" s="65"/>
      <c r="E167" s="66"/>
      <c r="F167" s="66"/>
      <c r="G167" s="66"/>
      <c r="H167" s="66"/>
      <c r="I167" s="67"/>
      <c r="J167" s="68" t="str">
        <f t="shared" ref="J167:J198" si="5">IF(E167="","",MAX(0,F167+G167+H167-I167))</f>
        <v/>
      </c>
      <c r="K167" s="69"/>
      <c r="L167" s="70"/>
      <c r="M167" s="65"/>
      <c r="N167" s="65"/>
      <c r="O167" s="71"/>
    </row>
    <row r="168" spans="1:15" ht="14.4">
      <c r="A168" s="63"/>
      <c r="B168" s="64"/>
      <c r="C168" s="65"/>
      <c r="D168" s="65"/>
      <c r="E168" s="66"/>
      <c r="F168" s="66"/>
      <c r="G168" s="66"/>
      <c r="H168" s="66"/>
      <c r="I168" s="67"/>
      <c r="J168" s="68" t="str">
        <f t="shared" si="5"/>
        <v/>
      </c>
      <c r="K168" s="69"/>
      <c r="L168" s="70"/>
      <c r="M168" s="65"/>
      <c r="N168" s="65"/>
      <c r="O168" s="71"/>
    </row>
    <row r="169" spans="1:15" ht="14.4">
      <c r="A169" s="63"/>
      <c r="B169" s="64"/>
      <c r="C169" s="65"/>
      <c r="D169" s="65"/>
      <c r="E169" s="66"/>
      <c r="F169" s="66"/>
      <c r="G169" s="66"/>
      <c r="H169" s="66"/>
      <c r="I169" s="67"/>
      <c r="J169" s="68" t="str">
        <f t="shared" si="5"/>
        <v/>
      </c>
      <c r="K169" s="69"/>
      <c r="L169" s="70"/>
      <c r="M169" s="65"/>
      <c r="N169" s="65"/>
      <c r="O169" s="71"/>
    </row>
    <row r="170" spans="1:15" ht="14.4">
      <c r="A170" s="63"/>
      <c r="B170" s="64"/>
      <c r="C170" s="65"/>
      <c r="D170" s="65"/>
      <c r="E170" s="66"/>
      <c r="F170" s="66"/>
      <c r="G170" s="66"/>
      <c r="H170" s="66"/>
      <c r="I170" s="67"/>
      <c r="J170" s="68" t="str">
        <f t="shared" si="5"/>
        <v/>
      </c>
      <c r="K170" s="69"/>
      <c r="L170" s="70"/>
      <c r="M170" s="65"/>
      <c r="N170" s="65"/>
      <c r="O170" s="71"/>
    </row>
    <row r="171" spans="1:15" ht="14.4">
      <c r="A171" s="63"/>
      <c r="B171" s="64"/>
      <c r="C171" s="65"/>
      <c r="D171" s="65"/>
      <c r="E171" s="66"/>
      <c r="F171" s="66"/>
      <c r="G171" s="66"/>
      <c r="H171" s="66"/>
      <c r="I171" s="67"/>
      <c r="J171" s="68" t="str">
        <f t="shared" si="5"/>
        <v/>
      </c>
      <c r="K171" s="69"/>
      <c r="L171" s="70"/>
      <c r="M171" s="65"/>
      <c r="N171" s="65"/>
      <c r="O171" s="71"/>
    </row>
    <row r="172" spans="1:15" ht="14.4">
      <c r="A172" s="63"/>
      <c r="B172" s="64"/>
      <c r="C172" s="65"/>
      <c r="D172" s="65"/>
      <c r="E172" s="66"/>
      <c r="F172" s="66"/>
      <c r="G172" s="66"/>
      <c r="H172" s="66"/>
      <c r="I172" s="67"/>
      <c r="J172" s="68" t="str">
        <f t="shared" si="5"/>
        <v/>
      </c>
      <c r="K172" s="69"/>
      <c r="L172" s="70"/>
      <c r="M172" s="65"/>
      <c r="N172" s="65"/>
      <c r="O172" s="71"/>
    </row>
    <row r="173" spans="1:15" ht="14.4">
      <c r="A173" s="63"/>
      <c r="B173" s="64"/>
      <c r="C173" s="65"/>
      <c r="D173" s="65"/>
      <c r="E173" s="66"/>
      <c r="F173" s="66"/>
      <c r="G173" s="66"/>
      <c r="H173" s="66"/>
      <c r="I173" s="67"/>
      <c r="J173" s="68" t="str">
        <f t="shared" si="5"/>
        <v/>
      </c>
      <c r="K173" s="69"/>
      <c r="L173" s="70"/>
      <c r="M173" s="65"/>
      <c r="N173" s="65"/>
      <c r="O173" s="71"/>
    </row>
    <row r="174" spans="1:15" ht="14.4">
      <c r="A174" s="63"/>
      <c r="B174" s="64"/>
      <c r="C174" s="65"/>
      <c r="D174" s="65"/>
      <c r="E174" s="66"/>
      <c r="F174" s="66"/>
      <c r="G174" s="66"/>
      <c r="H174" s="66"/>
      <c r="I174" s="67"/>
      <c r="J174" s="68" t="str">
        <f t="shared" si="5"/>
        <v/>
      </c>
      <c r="K174" s="69"/>
      <c r="L174" s="70"/>
      <c r="M174" s="65"/>
      <c r="N174" s="65"/>
      <c r="O174" s="71"/>
    </row>
    <row r="175" spans="1:15" ht="14.4">
      <c r="A175" s="63"/>
      <c r="B175" s="64"/>
      <c r="C175" s="65"/>
      <c r="D175" s="65"/>
      <c r="E175" s="66"/>
      <c r="F175" s="66"/>
      <c r="G175" s="66"/>
      <c r="H175" s="66"/>
      <c r="I175" s="67"/>
      <c r="J175" s="68" t="str">
        <f t="shared" si="5"/>
        <v/>
      </c>
      <c r="K175" s="69"/>
      <c r="L175" s="70"/>
      <c r="M175" s="65"/>
      <c r="N175" s="65"/>
      <c r="O175" s="71"/>
    </row>
    <row r="176" spans="1:15" ht="14.4">
      <c r="A176" s="63"/>
      <c r="B176" s="64"/>
      <c r="C176" s="65"/>
      <c r="D176" s="65"/>
      <c r="E176" s="66"/>
      <c r="F176" s="66"/>
      <c r="G176" s="66"/>
      <c r="H176" s="66"/>
      <c r="I176" s="67"/>
      <c r="J176" s="68" t="str">
        <f t="shared" si="5"/>
        <v/>
      </c>
      <c r="K176" s="69"/>
      <c r="L176" s="70"/>
      <c r="M176" s="65"/>
      <c r="N176" s="65"/>
      <c r="O176" s="71"/>
    </row>
    <row r="177" spans="1:15" ht="14.4">
      <c r="A177" s="63"/>
      <c r="B177" s="64"/>
      <c r="C177" s="65"/>
      <c r="D177" s="65"/>
      <c r="E177" s="66"/>
      <c r="F177" s="66"/>
      <c r="G177" s="66"/>
      <c r="H177" s="66"/>
      <c r="I177" s="67"/>
      <c r="J177" s="68" t="str">
        <f t="shared" si="5"/>
        <v/>
      </c>
      <c r="K177" s="69"/>
      <c r="L177" s="70"/>
      <c r="M177" s="65"/>
      <c r="N177" s="65"/>
      <c r="O177" s="71"/>
    </row>
    <row r="178" spans="1:15" ht="14.4">
      <c r="A178" s="63"/>
      <c r="B178" s="64"/>
      <c r="C178" s="65"/>
      <c r="D178" s="65"/>
      <c r="E178" s="66"/>
      <c r="F178" s="66"/>
      <c r="G178" s="66"/>
      <c r="H178" s="66"/>
      <c r="I178" s="67"/>
      <c r="J178" s="68" t="str">
        <f t="shared" si="5"/>
        <v/>
      </c>
      <c r="K178" s="69"/>
      <c r="L178" s="70"/>
      <c r="M178" s="65"/>
      <c r="N178" s="65"/>
      <c r="O178" s="71"/>
    </row>
    <row r="179" spans="1:15" ht="14.4">
      <c r="A179" s="63"/>
      <c r="B179" s="64"/>
      <c r="C179" s="65"/>
      <c r="D179" s="65"/>
      <c r="E179" s="66"/>
      <c r="F179" s="66"/>
      <c r="G179" s="66"/>
      <c r="H179" s="66"/>
      <c r="I179" s="67"/>
      <c r="J179" s="68" t="str">
        <f t="shared" si="5"/>
        <v/>
      </c>
      <c r="K179" s="69"/>
      <c r="L179" s="70"/>
      <c r="M179" s="65"/>
      <c r="N179" s="65"/>
      <c r="O179" s="71"/>
    </row>
    <row r="180" spans="1:15" ht="14.4">
      <c r="A180" s="63"/>
      <c r="B180" s="64"/>
      <c r="C180" s="65"/>
      <c r="D180" s="65"/>
      <c r="E180" s="66"/>
      <c r="F180" s="66"/>
      <c r="G180" s="66"/>
      <c r="H180" s="66"/>
      <c r="I180" s="67"/>
      <c r="J180" s="68" t="str">
        <f t="shared" si="5"/>
        <v/>
      </c>
      <c r="K180" s="69"/>
      <c r="L180" s="70"/>
      <c r="M180" s="65"/>
      <c r="N180" s="65"/>
      <c r="O180" s="71"/>
    </row>
    <row r="181" spans="1:15" ht="14.4">
      <c r="A181" s="63"/>
      <c r="B181" s="64"/>
      <c r="C181" s="65"/>
      <c r="D181" s="65"/>
      <c r="E181" s="66"/>
      <c r="F181" s="66"/>
      <c r="G181" s="66"/>
      <c r="H181" s="66"/>
      <c r="I181" s="67"/>
      <c r="J181" s="68" t="str">
        <f t="shared" si="5"/>
        <v/>
      </c>
      <c r="K181" s="69"/>
      <c r="L181" s="70"/>
      <c r="M181" s="65"/>
      <c r="N181" s="65"/>
      <c r="O181" s="71"/>
    </row>
    <row r="182" spans="1:15" ht="14.4">
      <c r="A182" s="63"/>
      <c r="B182" s="64"/>
      <c r="C182" s="65"/>
      <c r="D182" s="65"/>
      <c r="E182" s="66"/>
      <c r="F182" s="66"/>
      <c r="G182" s="66"/>
      <c r="H182" s="66"/>
      <c r="I182" s="67"/>
      <c r="J182" s="68" t="str">
        <f t="shared" si="5"/>
        <v/>
      </c>
      <c r="K182" s="69"/>
      <c r="L182" s="70"/>
      <c r="M182" s="65"/>
      <c r="N182" s="65"/>
      <c r="O182" s="71"/>
    </row>
    <row r="183" spans="1:15" ht="14.4">
      <c r="A183" s="63"/>
      <c r="B183" s="64"/>
      <c r="C183" s="65"/>
      <c r="D183" s="65"/>
      <c r="E183" s="66"/>
      <c r="F183" s="66"/>
      <c r="G183" s="66"/>
      <c r="H183" s="66"/>
      <c r="I183" s="67"/>
      <c r="J183" s="68" t="str">
        <f t="shared" si="5"/>
        <v/>
      </c>
      <c r="K183" s="69"/>
      <c r="L183" s="70"/>
      <c r="M183" s="65"/>
      <c r="N183" s="65"/>
      <c r="O183" s="71"/>
    </row>
    <row r="184" spans="1:15" ht="14.4">
      <c r="A184" s="63"/>
      <c r="B184" s="64"/>
      <c r="C184" s="65"/>
      <c r="D184" s="65"/>
      <c r="E184" s="66"/>
      <c r="F184" s="66"/>
      <c r="G184" s="66"/>
      <c r="H184" s="66"/>
      <c r="I184" s="67"/>
      <c r="J184" s="68" t="str">
        <f t="shared" si="5"/>
        <v/>
      </c>
      <c r="K184" s="69"/>
      <c r="L184" s="70"/>
      <c r="M184" s="65"/>
      <c r="N184" s="65"/>
      <c r="O184" s="71"/>
    </row>
    <row r="185" spans="1:15" ht="14.4">
      <c r="A185" s="63"/>
      <c r="B185" s="64"/>
      <c r="C185" s="65"/>
      <c r="D185" s="65"/>
      <c r="E185" s="66"/>
      <c r="F185" s="66"/>
      <c r="G185" s="66"/>
      <c r="H185" s="66"/>
      <c r="I185" s="67"/>
      <c r="J185" s="68" t="str">
        <f t="shared" si="5"/>
        <v/>
      </c>
      <c r="K185" s="69"/>
      <c r="L185" s="70"/>
      <c r="M185" s="65"/>
      <c r="N185" s="65"/>
      <c r="O185" s="71"/>
    </row>
    <row r="186" spans="1:15" ht="14.4">
      <c r="A186" s="63"/>
      <c r="B186" s="64"/>
      <c r="C186" s="65"/>
      <c r="D186" s="65"/>
      <c r="E186" s="66"/>
      <c r="F186" s="66"/>
      <c r="G186" s="66"/>
      <c r="H186" s="66"/>
      <c r="I186" s="67"/>
      <c r="J186" s="68" t="str">
        <f t="shared" si="5"/>
        <v/>
      </c>
      <c r="K186" s="69"/>
      <c r="L186" s="70"/>
      <c r="M186" s="65"/>
      <c r="N186" s="65"/>
      <c r="O186" s="71"/>
    </row>
    <row r="187" spans="1:15" ht="14.4">
      <c r="A187" s="63"/>
      <c r="B187" s="64"/>
      <c r="C187" s="65"/>
      <c r="D187" s="65"/>
      <c r="E187" s="66"/>
      <c r="F187" s="66"/>
      <c r="G187" s="66"/>
      <c r="H187" s="66"/>
      <c r="I187" s="67"/>
      <c r="J187" s="68" t="str">
        <f t="shared" si="5"/>
        <v/>
      </c>
      <c r="K187" s="69"/>
      <c r="L187" s="70"/>
      <c r="M187" s="65"/>
      <c r="N187" s="65"/>
      <c r="O187" s="71"/>
    </row>
    <row r="188" spans="1:15" ht="14.4">
      <c r="A188" s="63"/>
      <c r="B188" s="64"/>
      <c r="C188" s="65"/>
      <c r="D188" s="65"/>
      <c r="E188" s="66"/>
      <c r="F188" s="66"/>
      <c r="G188" s="66"/>
      <c r="H188" s="66"/>
      <c r="I188" s="67"/>
      <c r="J188" s="68" t="str">
        <f t="shared" si="5"/>
        <v/>
      </c>
      <c r="K188" s="69"/>
      <c r="L188" s="70"/>
      <c r="M188" s="65"/>
      <c r="N188" s="65"/>
      <c r="O188" s="71"/>
    </row>
    <row r="189" spans="1:15" ht="14.4">
      <c r="A189" s="63"/>
      <c r="B189" s="64"/>
      <c r="C189" s="65"/>
      <c r="D189" s="65"/>
      <c r="E189" s="66"/>
      <c r="F189" s="66"/>
      <c r="G189" s="66"/>
      <c r="H189" s="66"/>
      <c r="I189" s="67"/>
      <c r="J189" s="68" t="str">
        <f t="shared" si="5"/>
        <v/>
      </c>
      <c r="K189" s="69"/>
      <c r="L189" s="70"/>
      <c r="M189" s="65"/>
      <c r="N189" s="65"/>
      <c r="O189" s="71"/>
    </row>
    <row r="190" spans="1:15" ht="14.4">
      <c r="A190" s="63"/>
      <c r="B190" s="64"/>
      <c r="C190" s="65"/>
      <c r="D190" s="65"/>
      <c r="E190" s="66"/>
      <c r="F190" s="66"/>
      <c r="G190" s="66"/>
      <c r="H190" s="66"/>
      <c r="I190" s="67"/>
      <c r="J190" s="68" t="str">
        <f t="shared" si="5"/>
        <v/>
      </c>
      <c r="K190" s="69"/>
      <c r="L190" s="70"/>
      <c r="M190" s="65"/>
      <c r="N190" s="65"/>
      <c r="O190" s="71"/>
    </row>
    <row r="191" spans="1:15" ht="14.4">
      <c r="A191" s="63"/>
      <c r="B191" s="64"/>
      <c r="C191" s="65"/>
      <c r="D191" s="65"/>
      <c r="E191" s="66"/>
      <c r="F191" s="66"/>
      <c r="G191" s="66"/>
      <c r="H191" s="66"/>
      <c r="I191" s="67"/>
      <c r="J191" s="68" t="str">
        <f t="shared" si="5"/>
        <v/>
      </c>
      <c r="K191" s="69"/>
      <c r="L191" s="70"/>
      <c r="M191" s="65"/>
      <c r="N191" s="65"/>
      <c r="O191" s="71"/>
    </row>
    <row r="192" spans="1:15" ht="14.4">
      <c r="A192" s="63"/>
      <c r="B192" s="64"/>
      <c r="C192" s="65"/>
      <c r="D192" s="65"/>
      <c r="E192" s="66"/>
      <c r="F192" s="66"/>
      <c r="G192" s="66"/>
      <c r="H192" s="66"/>
      <c r="I192" s="67"/>
      <c r="J192" s="68" t="str">
        <f t="shared" si="5"/>
        <v/>
      </c>
      <c r="K192" s="69"/>
      <c r="L192" s="70"/>
      <c r="M192" s="65"/>
      <c r="N192" s="65"/>
      <c r="O192" s="71"/>
    </row>
    <row r="193" spans="1:15" ht="14.4">
      <c r="A193" s="63"/>
      <c r="B193" s="64"/>
      <c r="C193" s="65"/>
      <c r="D193" s="65"/>
      <c r="E193" s="66"/>
      <c r="F193" s="66"/>
      <c r="G193" s="66"/>
      <c r="H193" s="66"/>
      <c r="I193" s="67"/>
      <c r="J193" s="68" t="str">
        <f t="shared" si="5"/>
        <v/>
      </c>
      <c r="K193" s="69"/>
      <c r="L193" s="70"/>
      <c r="M193" s="65"/>
      <c r="N193" s="65"/>
      <c r="O193" s="71"/>
    </row>
    <row r="194" spans="1:15" ht="14.4">
      <c r="A194" s="63"/>
      <c r="B194" s="64"/>
      <c r="C194" s="65"/>
      <c r="D194" s="65"/>
      <c r="E194" s="66"/>
      <c r="F194" s="66"/>
      <c r="G194" s="66"/>
      <c r="H194" s="66"/>
      <c r="I194" s="67"/>
      <c r="J194" s="68" t="str">
        <f t="shared" si="5"/>
        <v/>
      </c>
      <c r="K194" s="69"/>
      <c r="L194" s="70"/>
      <c r="M194" s="65"/>
      <c r="N194" s="65"/>
      <c r="O194" s="71"/>
    </row>
    <row r="195" spans="1:15" ht="14.4">
      <c r="A195" s="63"/>
      <c r="B195" s="64"/>
      <c r="C195" s="65"/>
      <c r="D195" s="65"/>
      <c r="E195" s="66"/>
      <c r="F195" s="66"/>
      <c r="G195" s="66"/>
      <c r="H195" s="66"/>
      <c r="I195" s="67"/>
      <c r="J195" s="68" t="str">
        <f t="shared" si="5"/>
        <v/>
      </c>
      <c r="K195" s="69"/>
      <c r="L195" s="70"/>
      <c r="M195" s="65"/>
      <c r="N195" s="65"/>
      <c r="O195" s="71"/>
    </row>
    <row r="196" spans="1:15" ht="14.4">
      <c r="A196" s="63"/>
      <c r="B196" s="64"/>
      <c r="C196" s="65"/>
      <c r="D196" s="65"/>
      <c r="E196" s="66"/>
      <c r="F196" s="66"/>
      <c r="G196" s="66"/>
      <c r="H196" s="66"/>
      <c r="I196" s="67"/>
      <c r="J196" s="68" t="str">
        <f t="shared" si="5"/>
        <v/>
      </c>
      <c r="K196" s="69"/>
      <c r="L196" s="70"/>
      <c r="M196" s="65"/>
      <c r="N196" s="65"/>
      <c r="O196" s="71"/>
    </row>
    <row r="197" spans="1:15" ht="14.4">
      <c r="A197" s="63"/>
      <c r="B197" s="64"/>
      <c r="C197" s="65"/>
      <c r="D197" s="65"/>
      <c r="E197" s="66"/>
      <c r="F197" s="66"/>
      <c r="G197" s="66"/>
      <c r="H197" s="66"/>
      <c r="I197" s="67"/>
      <c r="J197" s="68" t="str">
        <f t="shared" si="5"/>
        <v/>
      </c>
      <c r="K197" s="69"/>
      <c r="L197" s="70"/>
      <c r="M197" s="65"/>
      <c r="N197" s="65"/>
      <c r="O197" s="71"/>
    </row>
    <row r="198" spans="1:15" ht="14.4">
      <c r="A198" s="63"/>
      <c r="B198" s="64"/>
      <c r="C198" s="65"/>
      <c r="D198" s="65"/>
      <c r="E198" s="66"/>
      <c r="F198" s="66"/>
      <c r="G198" s="66"/>
      <c r="H198" s="66"/>
      <c r="I198" s="67"/>
      <c r="J198" s="68" t="str">
        <f t="shared" si="5"/>
        <v/>
      </c>
      <c r="K198" s="69"/>
      <c r="L198" s="70"/>
      <c r="M198" s="65"/>
      <c r="N198" s="65"/>
      <c r="O198" s="71"/>
    </row>
    <row r="199" spans="1:15" ht="14.4">
      <c r="A199" s="63"/>
      <c r="B199" s="64"/>
      <c r="C199" s="65"/>
      <c r="D199" s="65"/>
      <c r="E199" s="66"/>
      <c r="F199" s="66"/>
      <c r="G199" s="66"/>
      <c r="H199" s="66"/>
      <c r="I199" s="67"/>
      <c r="J199" s="68" t="str">
        <f t="shared" ref="J199:J230" si="6">IF(E199="","",MAX(0,F199+G199+H199-I199))</f>
        <v/>
      </c>
      <c r="K199" s="69"/>
      <c r="L199" s="70"/>
      <c r="M199" s="65"/>
      <c r="N199" s="65"/>
      <c r="O199" s="71"/>
    </row>
    <row r="200" spans="1:15" ht="14.4">
      <c r="A200" s="63"/>
      <c r="B200" s="64"/>
      <c r="C200" s="65"/>
      <c r="D200" s="65"/>
      <c r="E200" s="66"/>
      <c r="F200" s="66"/>
      <c r="G200" s="66"/>
      <c r="H200" s="66"/>
      <c r="I200" s="67"/>
      <c r="J200" s="68" t="str">
        <f t="shared" si="6"/>
        <v/>
      </c>
      <c r="K200" s="69"/>
      <c r="L200" s="70"/>
      <c r="M200" s="65"/>
      <c r="N200" s="65"/>
      <c r="O200" s="71"/>
    </row>
    <row r="201" spans="1:15" ht="14.4">
      <c r="A201" s="63"/>
      <c r="B201" s="64"/>
      <c r="C201" s="65"/>
      <c r="D201" s="65"/>
      <c r="E201" s="66"/>
      <c r="F201" s="66"/>
      <c r="G201" s="66"/>
      <c r="H201" s="66"/>
      <c r="I201" s="67"/>
      <c r="J201" s="68" t="str">
        <f t="shared" si="6"/>
        <v/>
      </c>
      <c r="K201" s="69"/>
      <c r="L201" s="70"/>
      <c r="M201" s="65"/>
      <c r="N201" s="65"/>
      <c r="O201" s="71"/>
    </row>
    <row r="202" spans="1:15" ht="14.4">
      <c r="A202" s="63"/>
      <c r="B202" s="64"/>
      <c r="C202" s="65"/>
      <c r="D202" s="65"/>
      <c r="E202" s="66"/>
      <c r="F202" s="66"/>
      <c r="G202" s="66"/>
      <c r="H202" s="66"/>
      <c r="I202" s="67"/>
      <c r="J202" s="68" t="str">
        <f t="shared" si="6"/>
        <v/>
      </c>
      <c r="K202" s="69"/>
      <c r="L202" s="70"/>
      <c r="M202" s="65"/>
      <c r="N202" s="65"/>
      <c r="O202" s="71"/>
    </row>
    <row r="203" spans="1:15" ht="14.4">
      <c r="A203" s="63"/>
      <c r="B203" s="64"/>
      <c r="C203" s="65"/>
      <c r="D203" s="65"/>
      <c r="E203" s="66"/>
      <c r="F203" s="66"/>
      <c r="G203" s="66"/>
      <c r="H203" s="66"/>
      <c r="I203" s="67"/>
      <c r="J203" s="68" t="str">
        <f t="shared" si="6"/>
        <v/>
      </c>
      <c r="K203" s="69"/>
      <c r="L203" s="70"/>
      <c r="M203" s="65"/>
      <c r="N203" s="65"/>
      <c r="O203" s="71"/>
    </row>
    <row r="204" spans="1:15" ht="14.4">
      <c r="A204" s="63"/>
      <c r="B204" s="64"/>
      <c r="C204" s="65"/>
      <c r="D204" s="65"/>
      <c r="E204" s="66"/>
      <c r="F204" s="66"/>
      <c r="G204" s="66"/>
      <c r="H204" s="66"/>
      <c r="I204" s="67"/>
      <c r="J204" s="68" t="str">
        <f t="shared" si="6"/>
        <v/>
      </c>
      <c r="K204" s="69"/>
      <c r="L204" s="70"/>
      <c r="M204" s="65"/>
      <c r="N204" s="65"/>
      <c r="O204" s="71"/>
    </row>
    <row r="205" spans="1:15" ht="14.4">
      <c r="A205" s="63"/>
      <c r="B205" s="64"/>
      <c r="C205" s="65"/>
      <c r="D205" s="65"/>
      <c r="E205" s="66"/>
      <c r="F205" s="66"/>
      <c r="G205" s="66"/>
      <c r="H205" s="66"/>
      <c r="I205" s="67"/>
      <c r="J205" s="68" t="str">
        <f t="shared" si="6"/>
        <v/>
      </c>
      <c r="K205" s="69"/>
      <c r="L205" s="70"/>
      <c r="M205" s="65"/>
      <c r="N205" s="65"/>
      <c r="O205" s="71"/>
    </row>
    <row r="206" spans="1:15" ht="14.4">
      <c r="A206" s="72"/>
      <c r="B206" s="73"/>
      <c r="C206" s="74"/>
      <c r="D206" s="74"/>
      <c r="E206" s="75"/>
      <c r="F206" s="75"/>
      <c r="G206" s="75"/>
      <c r="H206" s="75"/>
      <c r="I206" s="76"/>
      <c r="J206" s="77" t="str">
        <f t="shared" si="6"/>
        <v/>
      </c>
      <c r="K206" s="78"/>
      <c r="L206" s="79"/>
      <c r="M206" s="74"/>
      <c r="N206" s="74"/>
      <c r="O206" s="80"/>
    </row>
  </sheetData>
  <mergeCells count="2">
    <mergeCell ref="A1:O1"/>
    <mergeCell ref="A3:O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'Station Register'!$A$7:$A$36</xm:f>
          </x14:formula1>
          <xm:sqref>C7:C206</xm:sqref>
        </x14:dataValidation>
        <x14:dataValidation type="list" xr:uid="{00000000-0002-0000-0600-000001000000}">
          <x14:formula1>
            <xm:f>'Task Library'!$A$7:$A$45</xm:f>
          </x14:formula1>
          <xm:sqref>D7:D206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5"/>
  <sheetViews>
    <sheetView showGridLines="0" workbookViewId="0">
      <selection sqref="A1:M1"/>
    </sheetView>
  </sheetViews>
  <sheetFormatPr defaultRowHeight="13.8"/>
  <cols>
    <col min="1" max="1" width="34" customWidth="1"/>
    <col min="2" max="2" width="12" customWidth="1"/>
    <col min="3" max="11" width="16" customWidth="1"/>
    <col min="12" max="12" width="26" customWidth="1"/>
    <col min="13" max="13" width="44" customWidth="1"/>
  </cols>
  <sheetData>
    <row r="1" spans="1:13" ht="25.95" customHeight="1">
      <c r="A1" s="88" t="s">
        <v>389</v>
      </c>
      <c r="B1" s="89" t="s">
        <v>389</v>
      </c>
      <c r="C1" s="89" t="s">
        <v>389</v>
      </c>
      <c r="D1" s="89" t="s">
        <v>389</v>
      </c>
      <c r="E1" s="89" t="s">
        <v>389</v>
      </c>
      <c r="F1" s="89" t="s">
        <v>389</v>
      </c>
      <c r="G1" s="89" t="s">
        <v>389</v>
      </c>
      <c r="H1" s="89" t="s">
        <v>389</v>
      </c>
      <c r="I1" s="89" t="s">
        <v>389</v>
      </c>
      <c r="J1" s="89" t="s">
        <v>389</v>
      </c>
      <c r="K1" s="89" t="s">
        <v>389</v>
      </c>
      <c r="L1" s="89" t="s">
        <v>389</v>
      </c>
      <c r="M1" s="89" t="s">
        <v>389</v>
      </c>
    </row>
    <row r="2" spans="1:13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12" t="s">
        <v>390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</row>
    <row r="5" spans="1:13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7.6">
      <c r="A6" s="29" t="s">
        <v>84</v>
      </c>
      <c r="B6" s="29" t="s">
        <v>85</v>
      </c>
      <c r="C6" s="29" t="s">
        <v>391</v>
      </c>
      <c r="D6" s="29" t="s">
        <v>392</v>
      </c>
      <c r="E6" s="29" t="s">
        <v>393</v>
      </c>
      <c r="F6" s="29" t="s">
        <v>394</v>
      </c>
      <c r="G6" s="29" t="s">
        <v>395</v>
      </c>
      <c r="H6" s="29" t="s">
        <v>396</v>
      </c>
      <c r="I6" s="29" t="s">
        <v>383</v>
      </c>
      <c r="J6" s="29" t="s">
        <v>397</v>
      </c>
      <c r="K6" s="29" t="s">
        <v>384</v>
      </c>
      <c r="L6" s="29" t="s">
        <v>136</v>
      </c>
      <c r="M6" s="29" t="s">
        <v>398</v>
      </c>
    </row>
    <row r="7" spans="1:13" ht="14.4">
      <c r="A7" s="48" t="s">
        <v>141</v>
      </c>
      <c r="B7" s="48" t="s">
        <v>142</v>
      </c>
      <c r="C7" s="49">
        <f>COUNTIF('Weather Log'!$D$7:$D$206,A7)</f>
        <v>0</v>
      </c>
      <c r="D7" s="49">
        <f>SUMIF('Weather Log'!$D$7:$D$206,A7,'Weather Log'!$E$7:$E$206)</f>
        <v>0</v>
      </c>
      <c r="E7" s="49">
        <f>SUMIF('Weather Log'!$D$7:$D$206,A7,'Weather Log'!$F$7:$F$206)</f>
        <v>0</v>
      </c>
      <c r="F7" s="49">
        <f>SUMIF('Weather Log'!$D$7:$D$206,A7,'Weather Log'!$G$7:$G$206)</f>
        <v>0</v>
      </c>
      <c r="G7" s="49">
        <f>SUMIF('Weather Log'!$D$7:$D$206,A7,'Weather Log'!$H$7:$H$206)</f>
        <v>0</v>
      </c>
      <c r="H7" s="49">
        <f>SUMIF('Weather Log'!$D$7:$D$206,A7,'Weather Log'!$I$7:$I$206)</f>
        <v>0</v>
      </c>
      <c r="I7" s="49">
        <f>SUMIF('Weather Log'!$D$7:$D$206,A7,'Weather Log'!$J$7:$J$206)</f>
        <v>0</v>
      </c>
      <c r="J7" s="50">
        <f t="shared" ref="J7:J45" si="0">IFERROR(I7/D7,0)</f>
        <v>0</v>
      </c>
      <c r="K7" s="49">
        <f>SUMIF('Weather Log'!$D$7:$D$206,A7,'Weather Log'!$K$7:$K$206)</f>
        <v>0</v>
      </c>
      <c r="L7" s="47" t="str">
        <f t="shared" ref="L7:L45" si="1">IF(C7=0,"UNCALIBRATED",IF(C7&lt;5,"PARTIAL - fewer than 5 records",IF(C7&lt;10,"AMBER - 5 to 9 records","REVIEW FOR GREEN - 10+ records")))</f>
        <v>UNCALIBRATED</v>
      </c>
      <c r="M7" s="48" t="str">
        <f t="shared" ref="M7:M45" si="2">IF(C7=0,"Collect actual project records",IF(C7&lt;10,"Continue collecting and review outliers","Estimator/PM review plus independent benchmark required"))</f>
        <v>Collect actual project records</v>
      </c>
    </row>
    <row r="8" spans="1:13" ht="14.4">
      <c r="A8" s="48" t="s">
        <v>150</v>
      </c>
      <c r="B8" s="48" t="s">
        <v>142</v>
      </c>
      <c r="C8" s="49">
        <f>COUNTIF('Weather Log'!$D$7:$D$206,A8)</f>
        <v>0</v>
      </c>
      <c r="D8" s="49">
        <f>SUMIF('Weather Log'!$D$7:$D$206,A8,'Weather Log'!$E$7:$E$206)</f>
        <v>0</v>
      </c>
      <c r="E8" s="49">
        <f>SUMIF('Weather Log'!$D$7:$D$206,A8,'Weather Log'!$F$7:$F$206)</f>
        <v>0</v>
      </c>
      <c r="F8" s="49">
        <f>SUMIF('Weather Log'!$D$7:$D$206,A8,'Weather Log'!$G$7:$G$206)</f>
        <v>0</v>
      </c>
      <c r="G8" s="49">
        <f>SUMIF('Weather Log'!$D$7:$D$206,A8,'Weather Log'!$H$7:$H$206)</f>
        <v>0</v>
      </c>
      <c r="H8" s="49">
        <f>SUMIF('Weather Log'!$D$7:$D$206,A8,'Weather Log'!$I$7:$I$206)</f>
        <v>0</v>
      </c>
      <c r="I8" s="49">
        <f>SUMIF('Weather Log'!$D$7:$D$206,A8,'Weather Log'!$J$7:$J$206)</f>
        <v>0</v>
      </c>
      <c r="J8" s="50">
        <f t="shared" si="0"/>
        <v>0</v>
      </c>
      <c r="K8" s="49">
        <f>SUMIF('Weather Log'!$D$7:$D$206,A8,'Weather Log'!$K$7:$K$206)</f>
        <v>0</v>
      </c>
      <c r="L8" s="47" t="str">
        <f t="shared" si="1"/>
        <v>UNCALIBRATED</v>
      </c>
      <c r="M8" s="48" t="str">
        <f t="shared" si="2"/>
        <v>Collect actual project records</v>
      </c>
    </row>
    <row r="9" spans="1:13" ht="14.4">
      <c r="A9" s="48" t="s">
        <v>155</v>
      </c>
      <c r="B9" s="48" t="s">
        <v>142</v>
      </c>
      <c r="C9" s="49">
        <f>COUNTIF('Weather Log'!$D$7:$D$206,A9)</f>
        <v>0</v>
      </c>
      <c r="D9" s="49">
        <f>SUMIF('Weather Log'!$D$7:$D$206,A9,'Weather Log'!$E$7:$E$206)</f>
        <v>0</v>
      </c>
      <c r="E9" s="49">
        <f>SUMIF('Weather Log'!$D$7:$D$206,A9,'Weather Log'!$F$7:$F$206)</f>
        <v>0</v>
      </c>
      <c r="F9" s="49">
        <f>SUMIF('Weather Log'!$D$7:$D$206,A9,'Weather Log'!$G$7:$G$206)</f>
        <v>0</v>
      </c>
      <c r="G9" s="49">
        <f>SUMIF('Weather Log'!$D$7:$D$206,A9,'Weather Log'!$H$7:$H$206)</f>
        <v>0</v>
      </c>
      <c r="H9" s="49">
        <f>SUMIF('Weather Log'!$D$7:$D$206,A9,'Weather Log'!$I$7:$I$206)</f>
        <v>0</v>
      </c>
      <c r="I9" s="49">
        <f>SUMIF('Weather Log'!$D$7:$D$206,A9,'Weather Log'!$J$7:$J$206)</f>
        <v>0</v>
      </c>
      <c r="J9" s="50">
        <f t="shared" si="0"/>
        <v>0</v>
      </c>
      <c r="K9" s="49">
        <f>SUMIF('Weather Log'!$D$7:$D$206,A9,'Weather Log'!$K$7:$K$206)</f>
        <v>0</v>
      </c>
      <c r="L9" s="47" t="str">
        <f t="shared" si="1"/>
        <v>UNCALIBRATED</v>
      </c>
      <c r="M9" s="48" t="str">
        <f t="shared" si="2"/>
        <v>Collect actual project records</v>
      </c>
    </row>
    <row r="10" spans="1:13" ht="14.4">
      <c r="A10" s="48" t="s">
        <v>159</v>
      </c>
      <c r="B10" s="48" t="s">
        <v>142</v>
      </c>
      <c r="C10" s="49">
        <f>COUNTIF('Weather Log'!$D$7:$D$206,A10)</f>
        <v>0</v>
      </c>
      <c r="D10" s="49">
        <f>SUMIF('Weather Log'!$D$7:$D$206,A10,'Weather Log'!$E$7:$E$206)</f>
        <v>0</v>
      </c>
      <c r="E10" s="49">
        <f>SUMIF('Weather Log'!$D$7:$D$206,A10,'Weather Log'!$F$7:$F$206)</f>
        <v>0</v>
      </c>
      <c r="F10" s="49">
        <f>SUMIF('Weather Log'!$D$7:$D$206,A10,'Weather Log'!$G$7:$G$206)</f>
        <v>0</v>
      </c>
      <c r="G10" s="49">
        <f>SUMIF('Weather Log'!$D$7:$D$206,A10,'Weather Log'!$H$7:$H$206)</f>
        <v>0</v>
      </c>
      <c r="H10" s="49">
        <f>SUMIF('Weather Log'!$D$7:$D$206,A10,'Weather Log'!$I$7:$I$206)</f>
        <v>0</v>
      </c>
      <c r="I10" s="49">
        <f>SUMIF('Weather Log'!$D$7:$D$206,A10,'Weather Log'!$J$7:$J$206)</f>
        <v>0</v>
      </c>
      <c r="J10" s="50">
        <f t="shared" si="0"/>
        <v>0</v>
      </c>
      <c r="K10" s="49">
        <f>SUMIF('Weather Log'!$D$7:$D$206,A10,'Weather Log'!$K$7:$K$206)</f>
        <v>0</v>
      </c>
      <c r="L10" s="47" t="str">
        <f t="shared" si="1"/>
        <v>UNCALIBRATED</v>
      </c>
      <c r="M10" s="48" t="str">
        <f t="shared" si="2"/>
        <v>Collect actual project records</v>
      </c>
    </row>
    <row r="11" spans="1:13" ht="14.4">
      <c r="A11" s="48" t="s">
        <v>163</v>
      </c>
      <c r="B11" s="48" t="s">
        <v>142</v>
      </c>
      <c r="C11" s="49">
        <f>COUNTIF('Weather Log'!$D$7:$D$206,A11)</f>
        <v>0</v>
      </c>
      <c r="D11" s="49">
        <f>SUMIF('Weather Log'!$D$7:$D$206,A11,'Weather Log'!$E$7:$E$206)</f>
        <v>0</v>
      </c>
      <c r="E11" s="49">
        <f>SUMIF('Weather Log'!$D$7:$D$206,A11,'Weather Log'!$F$7:$F$206)</f>
        <v>0</v>
      </c>
      <c r="F11" s="49">
        <f>SUMIF('Weather Log'!$D$7:$D$206,A11,'Weather Log'!$G$7:$G$206)</f>
        <v>0</v>
      </c>
      <c r="G11" s="49">
        <f>SUMIF('Weather Log'!$D$7:$D$206,A11,'Weather Log'!$H$7:$H$206)</f>
        <v>0</v>
      </c>
      <c r="H11" s="49">
        <f>SUMIF('Weather Log'!$D$7:$D$206,A11,'Weather Log'!$I$7:$I$206)</f>
        <v>0</v>
      </c>
      <c r="I11" s="49">
        <f>SUMIF('Weather Log'!$D$7:$D$206,A11,'Weather Log'!$J$7:$J$206)</f>
        <v>0</v>
      </c>
      <c r="J11" s="50">
        <f t="shared" si="0"/>
        <v>0</v>
      </c>
      <c r="K11" s="49">
        <f>SUMIF('Weather Log'!$D$7:$D$206,A11,'Weather Log'!$K$7:$K$206)</f>
        <v>0</v>
      </c>
      <c r="L11" s="47" t="str">
        <f t="shared" si="1"/>
        <v>UNCALIBRATED</v>
      </c>
      <c r="M11" s="48" t="str">
        <f t="shared" si="2"/>
        <v>Collect actual project records</v>
      </c>
    </row>
    <row r="12" spans="1:13" ht="14.4">
      <c r="A12" s="48" t="s">
        <v>167</v>
      </c>
      <c r="B12" s="48" t="s">
        <v>142</v>
      </c>
      <c r="C12" s="49">
        <f>COUNTIF('Weather Log'!$D$7:$D$206,A12)</f>
        <v>0</v>
      </c>
      <c r="D12" s="49">
        <f>SUMIF('Weather Log'!$D$7:$D$206,A12,'Weather Log'!$E$7:$E$206)</f>
        <v>0</v>
      </c>
      <c r="E12" s="49">
        <f>SUMIF('Weather Log'!$D$7:$D$206,A12,'Weather Log'!$F$7:$F$206)</f>
        <v>0</v>
      </c>
      <c r="F12" s="49">
        <f>SUMIF('Weather Log'!$D$7:$D$206,A12,'Weather Log'!$G$7:$G$206)</f>
        <v>0</v>
      </c>
      <c r="G12" s="49">
        <f>SUMIF('Weather Log'!$D$7:$D$206,A12,'Weather Log'!$H$7:$H$206)</f>
        <v>0</v>
      </c>
      <c r="H12" s="49">
        <f>SUMIF('Weather Log'!$D$7:$D$206,A12,'Weather Log'!$I$7:$I$206)</f>
        <v>0</v>
      </c>
      <c r="I12" s="49">
        <f>SUMIF('Weather Log'!$D$7:$D$206,A12,'Weather Log'!$J$7:$J$206)</f>
        <v>0</v>
      </c>
      <c r="J12" s="50">
        <f t="shared" si="0"/>
        <v>0</v>
      </c>
      <c r="K12" s="49">
        <f>SUMIF('Weather Log'!$D$7:$D$206,A12,'Weather Log'!$K$7:$K$206)</f>
        <v>0</v>
      </c>
      <c r="L12" s="47" t="str">
        <f t="shared" si="1"/>
        <v>UNCALIBRATED</v>
      </c>
      <c r="M12" s="48" t="str">
        <f t="shared" si="2"/>
        <v>Collect actual project records</v>
      </c>
    </row>
    <row r="13" spans="1:13" ht="14.4">
      <c r="A13" s="48" t="s">
        <v>170</v>
      </c>
      <c r="B13" s="48" t="s">
        <v>142</v>
      </c>
      <c r="C13" s="49">
        <f>COUNTIF('Weather Log'!$D$7:$D$206,A13)</f>
        <v>0</v>
      </c>
      <c r="D13" s="49">
        <f>SUMIF('Weather Log'!$D$7:$D$206,A13,'Weather Log'!$E$7:$E$206)</f>
        <v>0</v>
      </c>
      <c r="E13" s="49">
        <f>SUMIF('Weather Log'!$D$7:$D$206,A13,'Weather Log'!$F$7:$F$206)</f>
        <v>0</v>
      </c>
      <c r="F13" s="49">
        <f>SUMIF('Weather Log'!$D$7:$D$206,A13,'Weather Log'!$G$7:$G$206)</f>
        <v>0</v>
      </c>
      <c r="G13" s="49">
        <f>SUMIF('Weather Log'!$D$7:$D$206,A13,'Weather Log'!$H$7:$H$206)</f>
        <v>0</v>
      </c>
      <c r="H13" s="49">
        <f>SUMIF('Weather Log'!$D$7:$D$206,A13,'Weather Log'!$I$7:$I$206)</f>
        <v>0</v>
      </c>
      <c r="I13" s="49">
        <f>SUMIF('Weather Log'!$D$7:$D$206,A13,'Weather Log'!$J$7:$J$206)</f>
        <v>0</v>
      </c>
      <c r="J13" s="50">
        <f t="shared" si="0"/>
        <v>0</v>
      </c>
      <c r="K13" s="49">
        <f>SUMIF('Weather Log'!$D$7:$D$206,A13,'Weather Log'!$K$7:$K$206)</f>
        <v>0</v>
      </c>
      <c r="L13" s="47" t="str">
        <f t="shared" si="1"/>
        <v>UNCALIBRATED</v>
      </c>
      <c r="M13" s="48" t="str">
        <f t="shared" si="2"/>
        <v>Collect actual project records</v>
      </c>
    </row>
    <row r="14" spans="1:13" ht="14.4">
      <c r="A14" s="48" t="s">
        <v>172</v>
      </c>
      <c r="B14" s="48" t="s">
        <v>142</v>
      </c>
      <c r="C14" s="49">
        <f>COUNTIF('Weather Log'!$D$7:$D$206,A14)</f>
        <v>0</v>
      </c>
      <c r="D14" s="49">
        <f>SUMIF('Weather Log'!$D$7:$D$206,A14,'Weather Log'!$E$7:$E$206)</f>
        <v>0</v>
      </c>
      <c r="E14" s="49">
        <f>SUMIF('Weather Log'!$D$7:$D$206,A14,'Weather Log'!$F$7:$F$206)</f>
        <v>0</v>
      </c>
      <c r="F14" s="49">
        <f>SUMIF('Weather Log'!$D$7:$D$206,A14,'Weather Log'!$G$7:$G$206)</f>
        <v>0</v>
      </c>
      <c r="G14" s="49">
        <f>SUMIF('Weather Log'!$D$7:$D$206,A14,'Weather Log'!$H$7:$H$206)</f>
        <v>0</v>
      </c>
      <c r="H14" s="49">
        <f>SUMIF('Weather Log'!$D$7:$D$206,A14,'Weather Log'!$I$7:$I$206)</f>
        <v>0</v>
      </c>
      <c r="I14" s="49">
        <f>SUMIF('Weather Log'!$D$7:$D$206,A14,'Weather Log'!$J$7:$J$206)</f>
        <v>0</v>
      </c>
      <c r="J14" s="50">
        <f t="shared" si="0"/>
        <v>0</v>
      </c>
      <c r="K14" s="49">
        <f>SUMIF('Weather Log'!$D$7:$D$206,A14,'Weather Log'!$K$7:$K$206)</f>
        <v>0</v>
      </c>
      <c r="L14" s="47" t="str">
        <f t="shared" si="1"/>
        <v>UNCALIBRATED</v>
      </c>
      <c r="M14" s="48" t="str">
        <f t="shared" si="2"/>
        <v>Collect actual project records</v>
      </c>
    </row>
    <row r="15" spans="1:13" ht="14.4">
      <c r="A15" s="48" t="s">
        <v>176</v>
      </c>
      <c r="B15" s="48" t="s">
        <v>142</v>
      </c>
      <c r="C15" s="49">
        <f>COUNTIF('Weather Log'!$D$7:$D$206,A15)</f>
        <v>0</v>
      </c>
      <c r="D15" s="49">
        <f>SUMIF('Weather Log'!$D$7:$D$206,A15,'Weather Log'!$E$7:$E$206)</f>
        <v>0</v>
      </c>
      <c r="E15" s="49">
        <f>SUMIF('Weather Log'!$D$7:$D$206,A15,'Weather Log'!$F$7:$F$206)</f>
        <v>0</v>
      </c>
      <c r="F15" s="49">
        <f>SUMIF('Weather Log'!$D$7:$D$206,A15,'Weather Log'!$G$7:$G$206)</f>
        <v>0</v>
      </c>
      <c r="G15" s="49">
        <f>SUMIF('Weather Log'!$D$7:$D$206,A15,'Weather Log'!$H$7:$H$206)</f>
        <v>0</v>
      </c>
      <c r="H15" s="49">
        <f>SUMIF('Weather Log'!$D$7:$D$206,A15,'Weather Log'!$I$7:$I$206)</f>
        <v>0</v>
      </c>
      <c r="I15" s="49">
        <f>SUMIF('Weather Log'!$D$7:$D$206,A15,'Weather Log'!$J$7:$J$206)</f>
        <v>0</v>
      </c>
      <c r="J15" s="50">
        <f t="shared" si="0"/>
        <v>0</v>
      </c>
      <c r="K15" s="49">
        <f>SUMIF('Weather Log'!$D$7:$D$206,A15,'Weather Log'!$K$7:$K$206)</f>
        <v>0</v>
      </c>
      <c r="L15" s="47" t="str">
        <f t="shared" si="1"/>
        <v>UNCALIBRATED</v>
      </c>
      <c r="M15" s="48" t="str">
        <f t="shared" si="2"/>
        <v>Collect actual project records</v>
      </c>
    </row>
    <row r="16" spans="1:13" ht="14.4">
      <c r="A16" s="48" t="s">
        <v>178</v>
      </c>
      <c r="B16" s="48" t="s">
        <v>142</v>
      </c>
      <c r="C16" s="49">
        <f>COUNTIF('Weather Log'!$D$7:$D$206,A16)</f>
        <v>0</v>
      </c>
      <c r="D16" s="49">
        <f>SUMIF('Weather Log'!$D$7:$D$206,A16,'Weather Log'!$E$7:$E$206)</f>
        <v>0</v>
      </c>
      <c r="E16" s="49">
        <f>SUMIF('Weather Log'!$D$7:$D$206,A16,'Weather Log'!$F$7:$F$206)</f>
        <v>0</v>
      </c>
      <c r="F16" s="49">
        <f>SUMIF('Weather Log'!$D$7:$D$206,A16,'Weather Log'!$G$7:$G$206)</f>
        <v>0</v>
      </c>
      <c r="G16" s="49">
        <f>SUMIF('Weather Log'!$D$7:$D$206,A16,'Weather Log'!$H$7:$H$206)</f>
        <v>0</v>
      </c>
      <c r="H16" s="49">
        <f>SUMIF('Weather Log'!$D$7:$D$206,A16,'Weather Log'!$I$7:$I$206)</f>
        <v>0</v>
      </c>
      <c r="I16" s="49">
        <f>SUMIF('Weather Log'!$D$7:$D$206,A16,'Weather Log'!$J$7:$J$206)</f>
        <v>0</v>
      </c>
      <c r="J16" s="50">
        <f t="shared" si="0"/>
        <v>0</v>
      </c>
      <c r="K16" s="49">
        <f>SUMIF('Weather Log'!$D$7:$D$206,A16,'Weather Log'!$K$7:$K$206)</f>
        <v>0</v>
      </c>
      <c r="L16" s="47" t="str">
        <f t="shared" si="1"/>
        <v>UNCALIBRATED</v>
      </c>
      <c r="M16" s="48" t="str">
        <f t="shared" si="2"/>
        <v>Collect actual project records</v>
      </c>
    </row>
    <row r="17" spans="1:13" ht="14.4">
      <c r="A17" s="48" t="s">
        <v>180</v>
      </c>
      <c r="B17" s="48" t="s">
        <v>142</v>
      </c>
      <c r="C17" s="49">
        <f>COUNTIF('Weather Log'!$D$7:$D$206,A17)</f>
        <v>0</v>
      </c>
      <c r="D17" s="49">
        <f>SUMIF('Weather Log'!$D$7:$D$206,A17,'Weather Log'!$E$7:$E$206)</f>
        <v>0</v>
      </c>
      <c r="E17" s="49">
        <f>SUMIF('Weather Log'!$D$7:$D$206,A17,'Weather Log'!$F$7:$F$206)</f>
        <v>0</v>
      </c>
      <c r="F17" s="49">
        <f>SUMIF('Weather Log'!$D$7:$D$206,A17,'Weather Log'!$G$7:$G$206)</f>
        <v>0</v>
      </c>
      <c r="G17" s="49">
        <f>SUMIF('Weather Log'!$D$7:$D$206,A17,'Weather Log'!$H$7:$H$206)</f>
        <v>0</v>
      </c>
      <c r="H17" s="49">
        <f>SUMIF('Weather Log'!$D$7:$D$206,A17,'Weather Log'!$I$7:$I$206)</f>
        <v>0</v>
      </c>
      <c r="I17" s="49">
        <f>SUMIF('Weather Log'!$D$7:$D$206,A17,'Weather Log'!$J$7:$J$206)</f>
        <v>0</v>
      </c>
      <c r="J17" s="50">
        <f t="shared" si="0"/>
        <v>0</v>
      </c>
      <c r="K17" s="49">
        <f>SUMIF('Weather Log'!$D$7:$D$206,A17,'Weather Log'!$K$7:$K$206)</f>
        <v>0</v>
      </c>
      <c r="L17" s="47" t="str">
        <f t="shared" si="1"/>
        <v>UNCALIBRATED</v>
      </c>
      <c r="M17" s="48" t="str">
        <f t="shared" si="2"/>
        <v>Collect actual project records</v>
      </c>
    </row>
    <row r="18" spans="1:13" ht="14.4">
      <c r="A18" s="48" t="s">
        <v>182</v>
      </c>
      <c r="B18" s="48" t="s">
        <v>142</v>
      </c>
      <c r="C18" s="49">
        <f>COUNTIF('Weather Log'!$D$7:$D$206,A18)</f>
        <v>0</v>
      </c>
      <c r="D18" s="49">
        <f>SUMIF('Weather Log'!$D$7:$D$206,A18,'Weather Log'!$E$7:$E$206)</f>
        <v>0</v>
      </c>
      <c r="E18" s="49">
        <f>SUMIF('Weather Log'!$D$7:$D$206,A18,'Weather Log'!$F$7:$F$206)</f>
        <v>0</v>
      </c>
      <c r="F18" s="49">
        <f>SUMIF('Weather Log'!$D$7:$D$206,A18,'Weather Log'!$G$7:$G$206)</f>
        <v>0</v>
      </c>
      <c r="G18" s="49">
        <f>SUMIF('Weather Log'!$D$7:$D$206,A18,'Weather Log'!$H$7:$H$206)</f>
        <v>0</v>
      </c>
      <c r="H18" s="49">
        <f>SUMIF('Weather Log'!$D$7:$D$206,A18,'Weather Log'!$I$7:$I$206)</f>
        <v>0</v>
      </c>
      <c r="I18" s="49">
        <f>SUMIF('Weather Log'!$D$7:$D$206,A18,'Weather Log'!$J$7:$J$206)</f>
        <v>0</v>
      </c>
      <c r="J18" s="50">
        <f t="shared" si="0"/>
        <v>0</v>
      </c>
      <c r="K18" s="49">
        <f>SUMIF('Weather Log'!$D$7:$D$206,A18,'Weather Log'!$K$7:$K$206)</f>
        <v>0</v>
      </c>
      <c r="L18" s="47" t="str">
        <f t="shared" si="1"/>
        <v>UNCALIBRATED</v>
      </c>
      <c r="M18" s="48" t="str">
        <f t="shared" si="2"/>
        <v>Collect actual project records</v>
      </c>
    </row>
    <row r="19" spans="1:13" ht="14.4">
      <c r="A19" s="48" t="s">
        <v>184</v>
      </c>
      <c r="B19" s="48" t="s">
        <v>142</v>
      </c>
      <c r="C19" s="49">
        <f>COUNTIF('Weather Log'!$D$7:$D$206,A19)</f>
        <v>0</v>
      </c>
      <c r="D19" s="49">
        <f>SUMIF('Weather Log'!$D$7:$D$206,A19,'Weather Log'!$E$7:$E$206)</f>
        <v>0</v>
      </c>
      <c r="E19" s="49">
        <f>SUMIF('Weather Log'!$D$7:$D$206,A19,'Weather Log'!$F$7:$F$206)</f>
        <v>0</v>
      </c>
      <c r="F19" s="49">
        <f>SUMIF('Weather Log'!$D$7:$D$206,A19,'Weather Log'!$G$7:$G$206)</f>
        <v>0</v>
      </c>
      <c r="G19" s="49">
        <f>SUMIF('Weather Log'!$D$7:$D$206,A19,'Weather Log'!$H$7:$H$206)</f>
        <v>0</v>
      </c>
      <c r="H19" s="49">
        <f>SUMIF('Weather Log'!$D$7:$D$206,A19,'Weather Log'!$I$7:$I$206)</f>
        <v>0</v>
      </c>
      <c r="I19" s="49">
        <f>SUMIF('Weather Log'!$D$7:$D$206,A19,'Weather Log'!$J$7:$J$206)</f>
        <v>0</v>
      </c>
      <c r="J19" s="50">
        <f t="shared" si="0"/>
        <v>0</v>
      </c>
      <c r="K19" s="49">
        <f>SUMIF('Weather Log'!$D$7:$D$206,A19,'Weather Log'!$K$7:$K$206)</f>
        <v>0</v>
      </c>
      <c r="L19" s="47" t="str">
        <f t="shared" si="1"/>
        <v>UNCALIBRATED</v>
      </c>
      <c r="M19" s="48" t="str">
        <f t="shared" si="2"/>
        <v>Collect actual project records</v>
      </c>
    </row>
    <row r="20" spans="1:13" ht="14.4">
      <c r="A20" s="48" t="s">
        <v>186</v>
      </c>
      <c r="B20" s="48" t="s">
        <v>142</v>
      </c>
      <c r="C20" s="49">
        <f>COUNTIF('Weather Log'!$D$7:$D$206,A20)</f>
        <v>0</v>
      </c>
      <c r="D20" s="49">
        <f>SUMIF('Weather Log'!$D$7:$D$206,A20,'Weather Log'!$E$7:$E$206)</f>
        <v>0</v>
      </c>
      <c r="E20" s="49">
        <f>SUMIF('Weather Log'!$D$7:$D$206,A20,'Weather Log'!$F$7:$F$206)</f>
        <v>0</v>
      </c>
      <c r="F20" s="49">
        <f>SUMIF('Weather Log'!$D$7:$D$206,A20,'Weather Log'!$G$7:$G$206)</f>
        <v>0</v>
      </c>
      <c r="G20" s="49">
        <f>SUMIF('Weather Log'!$D$7:$D$206,A20,'Weather Log'!$H$7:$H$206)</f>
        <v>0</v>
      </c>
      <c r="H20" s="49">
        <f>SUMIF('Weather Log'!$D$7:$D$206,A20,'Weather Log'!$I$7:$I$206)</f>
        <v>0</v>
      </c>
      <c r="I20" s="49">
        <f>SUMIF('Weather Log'!$D$7:$D$206,A20,'Weather Log'!$J$7:$J$206)</f>
        <v>0</v>
      </c>
      <c r="J20" s="50">
        <f t="shared" si="0"/>
        <v>0</v>
      </c>
      <c r="K20" s="49">
        <f>SUMIF('Weather Log'!$D$7:$D$206,A20,'Weather Log'!$K$7:$K$206)</f>
        <v>0</v>
      </c>
      <c r="L20" s="47" t="str">
        <f t="shared" si="1"/>
        <v>UNCALIBRATED</v>
      </c>
      <c r="M20" s="48" t="str">
        <f t="shared" si="2"/>
        <v>Collect actual project records</v>
      </c>
    </row>
    <row r="21" spans="1:13" ht="14.4">
      <c r="A21" s="48" t="s">
        <v>188</v>
      </c>
      <c r="B21" s="48" t="s">
        <v>142</v>
      </c>
      <c r="C21" s="49">
        <f>COUNTIF('Weather Log'!$D$7:$D$206,A21)</f>
        <v>0</v>
      </c>
      <c r="D21" s="49">
        <f>SUMIF('Weather Log'!$D$7:$D$206,A21,'Weather Log'!$E$7:$E$206)</f>
        <v>0</v>
      </c>
      <c r="E21" s="49">
        <f>SUMIF('Weather Log'!$D$7:$D$206,A21,'Weather Log'!$F$7:$F$206)</f>
        <v>0</v>
      </c>
      <c r="F21" s="49">
        <f>SUMIF('Weather Log'!$D$7:$D$206,A21,'Weather Log'!$G$7:$G$206)</f>
        <v>0</v>
      </c>
      <c r="G21" s="49">
        <f>SUMIF('Weather Log'!$D$7:$D$206,A21,'Weather Log'!$H$7:$H$206)</f>
        <v>0</v>
      </c>
      <c r="H21" s="49">
        <f>SUMIF('Weather Log'!$D$7:$D$206,A21,'Weather Log'!$I$7:$I$206)</f>
        <v>0</v>
      </c>
      <c r="I21" s="49">
        <f>SUMIF('Weather Log'!$D$7:$D$206,A21,'Weather Log'!$J$7:$J$206)</f>
        <v>0</v>
      </c>
      <c r="J21" s="50">
        <f t="shared" si="0"/>
        <v>0</v>
      </c>
      <c r="K21" s="49">
        <f>SUMIF('Weather Log'!$D$7:$D$206,A21,'Weather Log'!$K$7:$K$206)</f>
        <v>0</v>
      </c>
      <c r="L21" s="47" t="str">
        <f t="shared" si="1"/>
        <v>UNCALIBRATED</v>
      </c>
      <c r="M21" s="48" t="str">
        <f t="shared" si="2"/>
        <v>Collect actual project records</v>
      </c>
    </row>
    <row r="22" spans="1:13" ht="14.4">
      <c r="A22" s="48" t="s">
        <v>190</v>
      </c>
      <c r="B22" s="48" t="s">
        <v>142</v>
      </c>
      <c r="C22" s="49">
        <f>COUNTIF('Weather Log'!$D$7:$D$206,A22)</f>
        <v>0</v>
      </c>
      <c r="D22" s="49">
        <f>SUMIF('Weather Log'!$D$7:$D$206,A22,'Weather Log'!$E$7:$E$206)</f>
        <v>0</v>
      </c>
      <c r="E22" s="49">
        <f>SUMIF('Weather Log'!$D$7:$D$206,A22,'Weather Log'!$F$7:$F$206)</f>
        <v>0</v>
      </c>
      <c r="F22" s="49">
        <f>SUMIF('Weather Log'!$D$7:$D$206,A22,'Weather Log'!$G$7:$G$206)</f>
        <v>0</v>
      </c>
      <c r="G22" s="49">
        <f>SUMIF('Weather Log'!$D$7:$D$206,A22,'Weather Log'!$H$7:$H$206)</f>
        <v>0</v>
      </c>
      <c r="H22" s="49">
        <f>SUMIF('Weather Log'!$D$7:$D$206,A22,'Weather Log'!$I$7:$I$206)</f>
        <v>0</v>
      </c>
      <c r="I22" s="49">
        <f>SUMIF('Weather Log'!$D$7:$D$206,A22,'Weather Log'!$J$7:$J$206)</f>
        <v>0</v>
      </c>
      <c r="J22" s="50">
        <f t="shared" si="0"/>
        <v>0</v>
      </c>
      <c r="K22" s="49">
        <f>SUMIF('Weather Log'!$D$7:$D$206,A22,'Weather Log'!$K$7:$K$206)</f>
        <v>0</v>
      </c>
      <c r="L22" s="47" t="str">
        <f t="shared" si="1"/>
        <v>UNCALIBRATED</v>
      </c>
      <c r="M22" s="48" t="str">
        <f t="shared" si="2"/>
        <v>Collect actual project records</v>
      </c>
    </row>
    <row r="23" spans="1:13" ht="14.4">
      <c r="A23" s="48" t="s">
        <v>192</v>
      </c>
      <c r="B23" s="48" t="s">
        <v>142</v>
      </c>
      <c r="C23" s="49">
        <f>COUNTIF('Weather Log'!$D$7:$D$206,A23)</f>
        <v>0</v>
      </c>
      <c r="D23" s="49">
        <f>SUMIF('Weather Log'!$D$7:$D$206,A23,'Weather Log'!$E$7:$E$206)</f>
        <v>0</v>
      </c>
      <c r="E23" s="49">
        <f>SUMIF('Weather Log'!$D$7:$D$206,A23,'Weather Log'!$F$7:$F$206)</f>
        <v>0</v>
      </c>
      <c r="F23" s="49">
        <f>SUMIF('Weather Log'!$D$7:$D$206,A23,'Weather Log'!$G$7:$G$206)</f>
        <v>0</v>
      </c>
      <c r="G23" s="49">
        <f>SUMIF('Weather Log'!$D$7:$D$206,A23,'Weather Log'!$H$7:$H$206)</f>
        <v>0</v>
      </c>
      <c r="H23" s="49">
        <f>SUMIF('Weather Log'!$D$7:$D$206,A23,'Weather Log'!$I$7:$I$206)</f>
        <v>0</v>
      </c>
      <c r="I23" s="49">
        <f>SUMIF('Weather Log'!$D$7:$D$206,A23,'Weather Log'!$J$7:$J$206)</f>
        <v>0</v>
      </c>
      <c r="J23" s="50">
        <f t="shared" si="0"/>
        <v>0</v>
      </c>
      <c r="K23" s="49">
        <f>SUMIF('Weather Log'!$D$7:$D$206,A23,'Weather Log'!$K$7:$K$206)</f>
        <v>0</v>
      </c>
      <c r="L23" s="47" t="str">
        <f t="shared" si="1"/>
        <v>UNCALIBRATED</v>
      </c>
      <c r="M23" s="48" t="str">
        <f t="shared" si="2"/>
        <v>Collect actual project records</v>
      </c>
    </row>
    <row r="24" spans="1:13" ht="14.4">
      <c r="A24" s="48" t="s">
        <v>194</v>
      </c>
      <c r="B24" s="48" t="s">
        <v>142</v>
      </c>
      <c r="C24" s="49">
        <f>COUNTIF('Weather Log'!$D$7:$D$206,A24)</f>
        <v>0</v>
      </c>
      <c r="D24" s="49">
        <f>SUMIF('Weather Log'!$D$7:$D$206,A24,'Weather Log'!$E$7:$E$206)</f>
        <v>0</v>
      </c>
      <c r="E24" s="49">
        <f>SUMIF('Weather Log'!$D$7:$D$206,A24,'Weather Log'!$F$7:$F$206)</f>
        <v>0</v>
      </c>
      <c r="F24" s="49">
        <f>SUMIF('Weather Log'!$D$7:$D$206,A24,'Weather Log'!$G$7:$G$206)</f>
        <v>0</v>
      </c>
      <c r="G24" s="49">
        <f>SUMIF('Weather Log'!$D$7:$D$206,A24,'Weather Log'!$H$7:$H$206)</f>
        <v>0</v>
      </c>
      <c r="H24" s="49">
        <f>SUMIF('Weather Log'!$D$7:$D$206,A24,'Weather Log'!$I$7:$I$206)</f>
        <v>0</v>
      </c>
      <c r="I24" s="49">
        <f>SUMIF('Weather Log'!$D$7:$D$206,A24,'Weather Log'!$J$7:$J$206)</f>
        <v>0</v>
      </c>
      <c r="J24" s="50">
        <f t="shared" si="0"/>
        <v>0</v>
      </c>
      <c r="K24" s="49">
        <f>SUMIF('Weather Log'!$D$7:$D$206,A24,'Weather Log'!$K$7:$K$206)</f>
        <v>0</v>
      </c>
      <c r="L24" s="47" t="str">
        <f t="shared" si="1"/>
        <v>UNCALIBRATED</v>
      </c>
      <c r="M24" s="48" t="str">
        <f t="shared" si="2"/>
        <v>Collect actual project records</v>
      </c>
    </row>
    <row r="25" spans="1:13" ht="14.4">
      <c r="A25" s="48" t="s">
        <v>196</v>
      </c>
      <c r="B25" s="48" t="s">
        <v>142</v>
      </c>
      <c r="C25" s="49">
        <f>COUNTIF('Weather Log'!$D$7:$D$206,A25)</f>
        <v>0</v>
      </c>
      <c r="D25" s="49">
        <f>SUMIF('Weather Log'!$D$7:$D$206,A25,'Weather Log'!$E$7:$E$206)</f>
        <v>0</v>
      </c>
      <c r="E25" s="49">
        <f>SUMIF('Weather Log'!$D$7:$D$206,A25,'Weather Log'!$F$7:$F$206)</f>
        <v>0</v>
      </c>
      <c r="F25" s="49">
        <f>SUMIF('Weather Log'!$D$7:$D$206,A25,'Weather Log'!$G$7:$G$206)</f>
        <v>0</v>
      </c>
      <c r="G25" s="49">
        <f>SUMIF('Weather Log'!$D$7:$D$206,A25,'Weather Log'!$H$7:$H$206)</f>
        <v>0</v>
      </c>
      <c r="H25" s="49">
        <f>SUMIF('Weather Log'!$D$7:$D$206,A25,'Weather Log'!$I$7:$I$206)</f>
        <v>0</v>
      </c>
      <c r="I25" s="49">
        <f>SUMIF('Weather Log'!$D$7:$D$206,A25,'Weather Log'!$J$7:$J$206)</f>
        <v>0</v>
      </c>
      <c r="J25" s="50">
        <f t="shared" si="0"/>
        <v>0</v>
      </c>
      <c r="K25" s="49">
        <f>SUMIF('Weather Log'!$D$7:$D$206,A25,'Weather Log'!$K$7:$K$206)</f>
        <v>0</v>
      </c>
      <c r="L25" s="47" t="str">
        <f t="shared" si="1"/>
        <v>UNCALIBRATED</v>
      </c>
      <c r="M25" s="48" t="str">
        <f t="shared" si="2"/>
        <v>Collect actual project records</v>
      </c>
    </row>
    <row r="26" spans="1:13" ht="14.4">
      <c r="A26" s="48" t="s">
        <v>198</v>
      </c>
      <c r="B26" s="48" t="s">
        <v>199</v>
      </c>
      <c r="C26" s="49">
        <f>COUNTIF('Weather Log'!$D$7:$D$206,A26)</f>
        <v>0</v>
      </c>
      <c r="D26" s="49">
        <f>SUMIF('Weather Log'!$D$7:$D$206,A26,'Weather Log'!$E$7:$E$206)</f>
        <v>0</v>
      </c>
      <c r="E26" s="49">
        <f>SUMIF('Weather Log'!$D$7:$D$206,A26,'Weather Log'!$F$7:$F$206)</f>
        <v>0</v>
      </c>
      <c r="F26" s="49">
        <f>SUMIF('Weather Log'!$D$7:$D$206,A26,'Weather Log'!$G$7:$G$206)</f>
        <v>0</v>
      </c>
      <c r="G26" s="49">
        <f>SUMIF('Weather Log'!$D$7:$D$206,A26,'Weather Log'!$H$7:$H$206)</f>
        <v>0</v>
      </c>
      <c r="H26" s="49">
        <f>SUMIF('Weather Log'!$D$7:$D$206,A26,'Weather Log'!$I$7:$I$206)</f>
        <v>0</v>
      </c>
      <c r="I26" s="49">
        <f>SUMIF('Weather Log'!$D$7:$D$206,A26,'Weather Log'!$J$7:$J$206)</f>
        <v>0</v>
      </c>
      <c r="J26" s="50">
        <f t="shared" si="0"/>
        <v>0</v>
      </c>
      <c r="K26" s="49">
        <f>SUMIF('Weather Log'!$D$7:$D$206,A26,'Weather Log'!$K$7:$K$206)</f>
        <v>0</v>
      </c>
      <c r="L26" s="47" t="str">
        <f t="shared" si="1"/>
        <v>UNCALIBRATED</v>
      </c>
      <c r="M26" s="48" t="str">
        <f t="shared" si="2"/>
        <v>Collect actual project records</v>
      </c>
    </row>
    <row r="27" spans="1:13" ht="14.4">
      <c r="A27" s="48" t="s">
        <v>202</v>
      </c>
      <c r="B27" s="48" t="s">
        <v>199</v>
      </c>
      <c r="C27" s="49">
        <f>COUNTIF('Weather Log'!$D$7:$D$206,A27)</f>
        <v>0</v>
      </c>
      <c r="D27" s="49">
        <f>SUMIF('Weather Log'!$D$7:$D$206,A27,'Weather Log'!$E$7:$E$206)</f>
        <v>0</v>
      </c>
      <c r="E27" s="49">
        <f>SUMIF('Weather Log'!$D$7:$D$206,A27,'Weather Log'!$F$7:$F$206)</f>
        <v>0</v>
      </c>
      <c r="F27" s="49">
        <f>SUMIF('Weather Log'!$D$7:$D$206,A27,'Weather Log'!$G$7:$G$206)</f>
        <v>0</v>
      </c>
      <c r="G27" s="49">
        <f>SUMIF('Weather Log'!$D$7:$D$206,A27,'Weather Log'!$H$7:$H$206)</f>
        <v>0</v>
      </c>
      <c r="H27" s="49">
        <f>SUMIF('Weather Log'!$D$7:$D$206,A27,'Weather Log'!$I$7:$I$206)</f>
        <v>0</v>
      </c>
      <c r="I27" s="49">
        <f>SUMIF('Weather Log'!$D$7:$D$206,A27,'Weather Log'!$J$7:$J$206)</f>
        <v>0</v>
      </c>
      <c r="J27" s="50">
        <f t="shared" si="0"/>
        <v>0</v>
      </c>
      <c r="K27" s="49">
        <f>SUMIF('Weather Log'!$D$7:$D$206,A27,'Weather Log'!$K$7:$K$206)</f>
        <v>0</v>
      </c>
      <c r="L27" s="47" t="str">
        <f t="shared" si="1"/>
        <v>UNCALIBRATED</v>
      </c>
      <c r="M27" s="48" t="str">
        <f t="shared" si="2"/>
        <v>Collect actual project records</v>
      </c>
    </row>
    <row r="28" spans="1:13" ht="14.4">
      <c r="A28" s="48" t="s">
        <v>204</v>
      </c>
      <c r="B28" s="48" t="s">
        <v>199</v>
      </c>
      <c r="C28" s="49">
        <f>COUNTIF('Weather Log'!$D$7:$D$206,A28)</f>
        <v>0</v>
      </c>
      <c r="D28" s="49">
        <f>SUMIF('Weather Log'!$D$7:$D$206,A28,'Weather Log'!$E$7:$E$206)</f>
        <v>0</v>
      </c>
      <c r="E28" s="49">
        <f>SUMIF('Weather Log'!$D$7:$D$206,A28,'Weather Log'!$F$7:$F$206)</f>
        <v>0</v>
      </c>
      <c r="F28" s="49">
        <f>SUMIF('Weather Log'!$D$7:$D$206,A28,'Weather Log'!$G$7:$G$206)</f>
        <v>0</v>
      </c>
      <c r="G28" s="49">
        <f>SUMIF('Weather Log'!$D$7:$D$206,A28,'Weather Log'!$H$7:$H$206)</f>
        <v>0</v>
      </c>
      <c r="H28" s="49">
        <f>SUMIF('Weather Log'!$D$7:$D$206,A28,'Weather Log'!$I$7:$I$206)</f>
        <v>0</v>
      </c>
      <c r="I28" s="49">
        <f>SUMIF('Weather Log'!$D$7:$D$206,A28,'Weather Log'!$J$7:$J$206)</f>
        <v>0</v>
      </c>
      <c r="J28" s="50">
        <f t="shared" si="0"/>
        <v>0</v>
      </c>
      <c r="K28" s="49">
        <f>SUMIF('Weather Log'!$D$7:$D$206,A28,'Weather Log'!$K$7:$K$206)</f>
        <v>0</v>
      </c>
      <c r="L28" s="47" t="str">
        <f t="shared" si="1"/>
        <v>UNCALIBRATED</v>
      </c>
      <c r="M28" s="48" t="str">
        <f t="shared" si="2"/>
        <v>Collect actual project records</v>
      </c>
    </row>
    <row r="29" spans="1:13" ht="14.4">
      <c r="A29" s="48" t="s">
        <v>207</v>
      </c>
      <c r="B29" s="48" t="s">
        <v>199</v>
      </c>
      <c r="C29" s="49">
        <f>COUNTIF('Weather Log'!$D$7:$D$206,A29)</f>
        <v>0</v>
      </c>
      <c r="D29" s="49">
        <f>SUMIF('Weather Log'!$D$7:$D$206,A29,'Weather Log'!$E$7:$E$206)</f>
        <v>0</v>
      </c>
      <c r="E29" s="49">
        <f>SUMIF('Weather Log'!$D$7:$D$206,A29,'Weather Log'!$F$7:$F$206)</f>
        <v>0</v>
      </c>
      <c r="F29" s="49">
        <f>SUMIF('Weather Log'!$D$7:$D$206,A29,'Weather Log'!$G$7:$G$206)</f>
        <v>0</v>
      </c>
      <c r="G29" s="49">
        <f>SUMIF('Weather Log'!$D$7:$D$206,A29,'Weather Log'!$H$7:$H$206)</f>
        <v>0</v>
      </c>
      <c r="H29" s="49">
        <f>SUMIF('Weather Log'!$D$7:$D$206,A29,'Weather Log'!$I$7:$I$206)</f>
        <v>0</v>
      </c>
      <c r="I29" s="49">
        <f>SUMIF('Weather Log'!$D$7:$D$206,A29,'Weather Log'!$J$7:$J$206)</f>
        <v>0</v>
      </c>
      <c r="J29" s="50">
        <f t="shared" si="0"/>
        <v>0</v>
      </c>
      <c r="K29" s="49">
        <f>SUMIF('Weather Log'!$D$7:$D$206,A29,'Weather Log'!$K$7:$K$206)</f>
        <v>0</v>
      </c>
      <c r="L29" s="47" t="str">
        <f t="shared" si="1"/>
        <v>UNCALIBRATED</v>
      </c>
      <c r="M29" s="48" t="str">
        <f t="shared" si="2"/>
        <v>Collect actual project records</v>
      </c>
    </row>
    <row r="30" spans="1:13" ht="14.4">
      <c r="A30" s="48" t="s">
        <v>209</v>
      </c>
      <c r="B30" s="48" t="s">
        <v>199</v>
      </c>
      <c r="C30" s="49">
        <f>COUNTIF('Weather Log'!$D$7:$D$206,A30)</f>
        <v>0</v>
      </c>
      <c r="D30" s="49">
        <f>SUMIF('Weather Log'!$D$7:$D$206,A30,'Weather Log'!$E$7:$E$206)</f>
        <v>0</v>
      </c>
      <c r="E30" s="49">
        <f>SUMIF('Weather Log'!$D$7:$D$206,A30,'Weather Log'!$F$7:$F$206)</f>
        <v>0</v>
      </c>
      <c r="F30" s="49">
        <f>SUMIF('Weather Log'!$D$7:$D$206,A30,'Weather Log'!$G$7:$G$206)</f>
        <v>0</v>
      </c>
      <c r="G30" s="49">
        <f>SUMIF('Weather Log'!$D$7:$D$206,A30,'Weather Log'!$H$7:$H$206)</f>
        <v>0</v>
      </c>
      <c r="H30" s="49">
        <f>SUMIF('Weather Log'!$D$7:$D$206,A30,'Weather Log'!$I$7:$I$206)</f>
        <v>0</v>
      </c>
      <c r="I30" s="49">
        <f>SUMIF('Weather Log'!$D$7:$D$206,A30,'Weather Log'!$J$7:$J$206)</f>
        <v>0</v>
      </c>
      <c r="J30" s="50">
        <f t="shared" si="0"/>
        <v>0</v>
      </c>
      <c r="K30" s="49">
        <f>SUMIF('Weather Log'!$D$7:$D$206,A30,'Weather Log'!$K$7:$K$206)</f>
        <v>0</v>
      </c>
      <c r="L30" s="47" t="str">
        <f t="shared" si="1"/>
        <v>UNCALIBRATED</v>
      </c>
      <c r="M30" s="48" t="str">
        <f t="shared" si="2"/>
        <v>Collect actual project records</v>
      </c>
    </row>
    <row r="31" spans="1:13" ht="14.4">
      <c r="A31" s="48" t="s">
        <v>212</v>
      </c>
      <c r="B31" s="48" t="s">
        <v>199</v>
      </c>
      <c r="C31" s="49">
        <f>COUNTIF('Weather Log'!$D$7:$D$206,A31)</f>
        <v>0</v>
      </c>
      <c r="D31" s="49">
        <f>SUMIF('Weather Log'!$D$7:$D$206,A31,'Weather Log'!$E$7:$E$206)</f>
        <v>0</v>
      </c>
      <c r="E31" s="49">
        <f>SUMIF('Weather Log'!$D$7:$D$206,A31,'Weather Log'!$F$7:$F$206)</f>
        <v>0</v>
      </c>
      <c r="F31" s="49">
        <f>SUMIF('Weather Log'!$D$7:$D$206,A31,'Weather Log'!$G$7:$G$206)</f>
        <v>0</v>
      </c>
      <c r="G31" s="49">
        <f>SUMIF('Weather Log'!$D$7:$D$206,A31,'Weather Log'!$H$7:$H$206)</f>
        <v>0</v>
      </c>
      <c r="H31" s="49">
        <f>SUMIF('Weather Log'!$D$7:$D$206,A31,'Weather Log'!$I$7:$I$206)</f>
        <v>0</v>
      </c>
      <c r="I31" s="49">
        <f>SUMIF('Weather Log'!$D$7:$D$206,A31,'Weather Log'!$J$7:$J$206)</f>
        <v>0</v>
      </c>
      <c r="J31" s="50">
        <f t="shared" si="0"/>
        <v>0</v>
      </c>
      <c r="K31" s="49">
        <f>SUMIF('Weather Log'!$D$7:$D$206,A31,'Weather Log'!$K$7:$K$206)</f>
        <v>0</v>
      </c>
      <c r="L31" s="47" t="str">
        <f t="shared" si="1"/>
        <v>UNCALIBRATED</v>
      </c>
      <c r="M31" s="48" t="str">
        <f t="shared" si="2"/>
        <v>Collect actual project records</v>
      </c>
    </row>
    <row r="32" spans="1:13" ht="14.4">
      <c r="A32" s="48" t="s">
        <v>214</v>
      </c>
      <c r="B32" s="48" t="s">
        <v>199</v>
      </c>
      <c r="C32" s="49">
        <f>COUNTIF('Weather Log'!$D$7:$D$206,A32)</f>
        <v>0</v>
      </c>
      <c r="D32" s="49">
        <f>SUMIF('Weather Log'!$D$7:$D$206,A32,'Weather Log'!$E$7:$E$206)</f>
        <v>0</v>
      </c>
      <c r="E32" s="49">
        <f>SUMIF('Weather Log'!$D$7:$D$206,A32,'Weather Log'!$F$7:$F$206)</f>
        <v>0</v>
      </c>
      <c r="F32" s="49">
        <f>SUMIF('Weather Log'!$D$7:$D$206,A32,'Weather Log'!$G$7:$G$206)</f>
        <v>0</v>
      </c>
      <c r="G32" s="49">
        <f>SUMIF('Weather Log'!$D$7:$D$206,A32,'Weather Log'!$H$7:$H$206)</f>
        <v>0</v>
      </c>
      <c r="H32" s="49">
        <f>SUMIF('Weather Log'!$D$7:$D$206,A32,'Weather Log'!$I$7:$I$206)</f>
        <v>0</v>
      </c>
      <c r="I32" s="49">
        <f>SUMIF('Weather Log'!$D$7:$D$206,A32,'Weather Log'!$J$7:$J$206)</f>
        <v>0</v>
      </c>
      <c r="J32" s="50">
        <f t="shared" si="0"/>
        <v>0</v>
      </c>
      <c r="K32" s="49">
        <f>SUMIF('Weather Log'!$D$7:$D$206,A32,'Weather Log'!$K$7:$K$206)</f>
        <v>0</v>
      </c>
      <c r="L32" s="47" t="str">
        <f t="shared" si="1"/>
        <v>UNCALIBRATED</v>
      </c>
      <c r="M32" s="48" t="str">
        <f t="shared" si="2"/>
        <v>Collect actual project records</v>
      </c>
    </row>
    <row r="33" spans="1:13" ht="14.4">
      <c r="A33" s="48" t="s">
        <v>216</v>
      </c>
      <c r="B33" s="48" t="s">
        <v>199</v>
      </c>
      <c r="C33" s="49">
        <f>COUNTIF('Weather Log'!$D$7:$D$206,A33)</f>
        <v>0</v>
      </c>
      <c r="D33" s="49">
        <f>SUMIF('Weather Log'!$D$7:$D$206,A33,'Weather Log'!$E$7:$E$206)</f>
        <v>0</v>
      </c>
      <c r="E33" s="49">
        <f>SUMIF('Weather Log'!$D$7:$D$206,A33,'Weather Log'!$F$7:$F$206)</f>
        <v>0</v>
      </c>
      <c r="F33" s="49">
        <f>SUMIF('Weather Log'!$D$7:$D$206,A33,'Weather Log'!$G$7:$G$206)</f>
        <v>0</v>
      </c>
      <c r="G33" s="49">
        <f>SUMIF('Weather Log'!$D$7:$D$206,A33,'Weather Log'!$H$7:$H$206)</f>
        <v>0</v>
      </c>
      <c r="H33" s="49">
        <f>SUMIF('Weather Log'!$D$7:$D$206,A33,'Weather Log'!$I$7:$I$206)</f>
        <v>0</v>
      </c>
      <c r="I33" s="49">
        <f>SUMIF('Weather Log'!$D$7:$D$206,A33,'Weather Log'!$J$7:$J$206)</f>
        <v>0</v>
      </c>
      <c r="J33" s="50">
        <f t="shared" si="0"/>
        <v>0</v>
      </c>
      <c r="K33" s="49">
        <f>SUMIF('Weather Log'!$D$7:$D$206,A33,'Weather Log'!$K$7:$K$206)</f>
        <v>0</v>
      </c>
      <c r="L33" s="47" t="str">
        <f t="shared" si="1"/>
        <v>UNCALIBRATED</v>
      </c>
      <c r="M33" s="48" t="str">
        <f t="shared" si="2"/>
        <v>Collect actual project records</v>
      </c>
    </row>
    <row r="34" spans="1:13" ht="14.4">
      <c r="A34" s="48" t="s">
        <v>218</v>
      </c>
      <c r="B34" s="48" t="s">
        <v>199</v>
      </c>
      <c r="C34" s="49">
        <f>COUNTIF('Weather Log'!$D$7:$D$206,A34)</f>
        <v>0</v>
      </c>
      <c r="D34" s="49">
        <f>SUMIF('Weather Log'!$D$7:$D$206,A34,'Weather Log'!$E$7:$E$206)</f>
        <v>0</v>
      </c>
      <c r="E34" s="49">
        <f>SUMIF('Weather Log'!$D$7:$D$206,A34,'Weather Log'!$F$7:$F$206)</f>
        <v>0</v>
      </c>
      <c r="F34" s="49">
        <f>SUMIF('Weather Log'!$D$7:$D$206,A34,'Weather Log'!$G$7:$G$206)</f>
        <v>0</v>
      </c>
      <c r="G34" s="49">
        <f>SUMIF('Weather Log'!$D$7:$D$206,A34,'Weather Log'!$H$7:$H$206)</f>
        <v>0</v>
      </c>
      <c r="H34" s="49">
        <f>SUMIF('Weather Log'!$D$7:$D$206,A34,'Weather Log'!$I$7:$I$206)</f>
        <v>0</v>
      </c>
      <c r="I34" s="49">
        <f>SUMIF('Weather Log'!$D$7:$D$206,A34,'Weather Log'!$J$7:$J$206)</f>
        <v>0</v>
      </c>
      <c r="J34" s="50">
        <f t="shared" si="0"/>
        <v>0</v>
      </c>
      <c r="K34" s="49">
        <f>SUMIF('Weather Log'!$D$7:$D$206,A34,'Weather Log'!$K$7:$K$206)</f>
        <v>0</v>
      </c>
      <c r="L34" s="47" t="str">
        <f t="shared" si="1"/>
        <v>UNCALIBRATED</v>
      </c>
      <c r="M34" s="48" t="str">
        <f t="shared" si="2"/>
        <v>Collect actual project records</v>
      </c>
    </row>
    <row r="35" spans="1:13" ht="14.4">
      <c r="A35" s="48" t="s">
        <v>220</v>
      </c>
      <c r="B35" s="48" t="s">
        <v>199</v>
      </c>
      <c r="C35" s="49">
        <f>COUNTIF('Weather Log'!$D$7:$D$206,A35)</f>
        <v>0</v>
      </c>
      <c r="D35" s="49">
        <f>SUMIF('Weather Log'!$D$7:$D$206,A35,'Weather Log'!$E$7:$E$206)</f>
        <v>0</v>
      </c>
      <c r="E35" s="49">
        <f>SUMIF('Weather Log'!$D$7:$D$206,A35,'Weather Log'!$F$7:$F$206)</f>
        <v>0</v>
      </c>
      <c r="F35" s="49">
        <f>SUMIF('Weather Log'!$D$7:$D$206,A35,'Weather Log'!$G$7:$G$206)</f>
        <v>0</v>
      </c>
      <c r="G35" s="49">
        <f>SUMIF('Weather Log'!$D$7:$D$206,A35,'Weather Log'!$H$7:$H$206)</f>
        <v>0</v>
      </c>
      <c r="H35" s="49">
        <f>SUMIF('Weather Log'!$D$7:$D$206,A35,'Weather Log'!$I$7:$I$206)</f>
        <v>0</v>
      </c>
      <c r="I35" s="49">
        <f>SUMIF('Weather Log'!$D$7:$D$206,A35,'Weather Log'!$J$7:$J$206)</f>
        <v>0</v>
      </c>
      <c r="J35" s="50">
        <f t="shared" si="0"/>
        <v>0</v>
      </c>
      <c r="K35" s="49">
        <f>SUMIF('Weather Log'!$D$7:$D$206,A35,'Weather Log'!$K$7:$K$206)</f>
        <v>0</v>
      </c>
      <c r="L35" s="47" t="str">
        <f t="shared" si="1"/>
        <v>UNCALIBRATED</v>
      </c>
      <c r="M35" s="48" t="str">
        <f t="shared" si="2"/>
        <v>Collect actual project records</v>
      </c>
    </row>
    <row r="36" spans="1:13" ht="14.4">
      <c r="A36" s="48" t="s">
        <v>222</v>
      </c>
      <c r="B36" s="48" t="s">
        <v>199</v>
      </c>
      <c r="C36" s="49">
        <f>COUNTIF('Weather Log'!$D$7:$D$206,A36)</f>
        <v>0</v>
      </c>
      <c r="D36" s="49">
        <f>SUMIF('Weather Log'!$D$7:$D$206,A36,'Weather Log'!$E$7:$E$206)</f>
        <v>0</v>
      </c>
      <c r="E36" s="49">
        <f>SUMIF('Weather Log'!$D$7:$D$206,A36,'Weather Log'!$F$7:$F$206)</f>
        <v>0</v>
      </c>
      <c r="F36" s="49">
        <f>SUMIF('Weather Log'!$D$7:$D$206,A36,'Weather Log'!$G$7:$G$206)</f>
        <v>0</v>
      </c>
      <c r="G36" s="49">
        <f>SUMIF('Weather Log'!$D$7:$D$206,A36,'Weather Log'!$H$7:$H$206)</f>
        <v>0</v>
      </c>
      <c r="H36" s="49">
        <f>SUMIF('Weather Log'!$D$7:$D$206,A36,'Weather Log'!$I$7:$I$206)</f>
        <v>0</v>
      </c>
      <c r="I36" s="49">
        <f>SUMIF('Weather Log'!$D$7:$D$206,A36,'Weather Log'!$J$7:$J$206)</f>
        <v>0</v>
      </c>
      <c r="J36" s="50">
        <f t="shared" si="0"/>
        <v>0</v>
      </c>
      <c r="K36" s="49">
        <f>SUMIF('Weather Log'!$D$7:$D$206,A36,'Weather Log'!$K$7:$K$206)</f>
        <v>0</v>
      </c>
      <c r="L36" s="47" t="str">
        <f t="shared" si="1"/>
        <v>UNCALIBRATED</v>
      </c>
      <c r="M36" s="48" t="str">
        <f t="shared" si="2"/>
        <v>Collect actual project records</v>
      </c>
    </row>
    <row r="37" spans="1:13" ht="14.4">
      <c r="A37" s="48" t="s">
        <v>224</v>
      </c>
      <c r="B37" s="48" t="s">
        <v>199</v>
      </c>
      <c r="C37" s="49">
        <f>COUNTIF('Weather Log'!$D$7:$D$206,A37)</f>
        <v>0</v>
      </c>
      <c r="D37" s="49">
        <f>SUMIF('Weather Log'!$D$7:$D$206,A37,'Weather Log'!$E$7:$E$206)</f>
        <v>0</v>
      </c>
      <c r="E37" s="49">
        <f>SUMIF('Weather Log'!$D$7:$D$206,A37,'Weather Log'!$F$7:$F$206)</f>
        <v>0</v>
      </c>
      <c r="F37" s="49">
        <f>SUMIF('Weather Log'!$D$7:$D$206,A37,'Weather Log'!$G$7:$G$206)</f>
        <v>0</v>
      </c>
      <c r="G37" s="49">
        <f>SUMIF('Weather Log'!$D$7:$D$206,A37,'Weather Log'!$H$7:$H$206)</f>
        <v>0</v>
      </c>
      <c r="H37" s="49">
        <f>SUMIF('Weather Log'!$D$7:$D$206,A37,'Weather Log'!$I$7:$I$206)</f>
        <v>0</v>
      </c>
      <c r="I37" s="49">
        <f>SUMIF('Weather Log'!$D$7:$D$206,A37,'Weather Log'!$J$7:$J$206)</f>
        <v>0</v>
      </c>
      <c r="J37" s="50">
        <f t="shared" si="0"/>
        <v>0</v>
      </c>
      <c r="K37" s="49">
        <f>SUMIF('Weather Log'!$D$7:$D$206,A37,'Weather Log'!$K$7:$K$206)</f>
        <v>0</v>
      </c>
      <c r="L37" s="47" t="str">
        <f t="shared" si="1"/>
        <v>UNCALIBRATED</v>
      </c>
      <c r="M37" s="48" t="str">
        <f t="shared" si="2"/>
        <v>Collect actual project records</v>
      </c>
    </row>
    <row r="38" spans="1:13" ht="14.4">
      <c r="A38" s="48" t="s">
        <v>227</v>
      </c>
      <c r="B38" s="48" t="s">
        <v>199</v>
      </c>
      <c r="C38" s="49">
        <f>COUNTIF('Weather Log'!$D$7:$D$206,A38)</f>
        <v>0</v>
      </c>
      <c r="D38" s="49">
        <f>SUMIF('Weather Log'!$D$7:$D$206,A38,'Weather Log'!$E$7:$E$206)</f>
        <v>0</v>
      </c>
      <c r="E38" s="49">
        <f>SUMIF('Weather Log'!$D$7:$D$206,A38,'Weather Log'!$F$7:$F$206)</f>
        <v>0</v>
      </c>
      <c r="F38" s="49">
        <f>SUMIF('Weather Log'!$D$7:$D$206,A38,'Weather Log'!$G$7:$G$206)</f>
        <v>0</v>
      </c>
      <c r="G38" s="49">
        <f>SUMIF('Weather Log'!$D$7:$D$206,A38,'Weather Log'!$H$7:$H$206)</f>
        <v>0</v>
      </c>
      <c r="H38" s="49">
        <f>SUMIF('Weather Log'!$D$7:$D$206,A38,'Weather Log'!$I$7:$I$206)</f>
        <v>0</v>
      </c>
      <c r="I38" s="49">
        <f>SUMIF('Weather Log'!$D$7:$D$206,A38,'Weather Log'!$J$7:$J$206)</f>
        <v>0</v>
      </c>
      <c r="J38" s="50">
        <f t="shared" si="0"/>
        <v>0</v>
      </c>
      <c r="K38" s="49">
        <f>SUMIF('Weather Log'!$D$7:$D$206,A38,'Weather Log'!$K$7:$K$206)</f>
        <v>0</v>
      </c>
      <c r="L38" s="47" t="str">
        <f t="shared" si="1"/>
        <v>UNCALIBRATED</v>
      </c>
      <c r="M38" s="48" t="str">
        <f t="shared" si="2"/>
        <v>Collect actual project records</v>
      </c>
    </row>
    <row r="39" spans="1:13" ht="14.4">
      <c r="A39" s="48" t="s">
        <v>231</v>
      </c>
      <c r="B39" s="48" t="s">
        <v>199</v>
      </c>
      <c r="C39" s="49">
        <f>COUNTIF('Weather Log'!$D$7:$D$206,A39)</f>
        <v>0</v>
      </c>
      <c r="D39" s="49">
        <f>SUMIF('Weather Log'!$D$7:$D$206,A39,'Weather Log'!$E$7:$E$206)</f>
        <v>0</v>
      </c>
      <c r="E39" s="49">
        <f>SUMIF('Weather Log'!$D$7:$D$206,A39,'Weather Log'!$F$7:$F$206)</f>
        <v>0</v>
      </c>
      <c r="F39" s="49">
        <f>SUMIF('Weather Log'!$D$7:$D$206,A39,'Weather Log'!$G$7:$G$206)</f>
        <v>0</v>
      </c>
      <c r="G39" s="49">
        <f>SUMIF('Weather Log'!$D$7:$D$206,A39,'Weather Log'!$H$7:$H$206)</f>
        <v>0</v>
      </c>
      <c r="H39" s="49">
        <f>SUMIF('Weather Log'!$D$7:$D$206,A39,'Weather Log'!$I$7:$I$206)</f>
        <v>0</v>
      </c>
      <c r="I39" s="49">
        <f>SUMIF('Weather Log'!$D$7:$D$206,A39,'Weather Log'!$J$7:$J$206)</f>
        <v>0</v>
      </c>
      <c r="J39" s="50">
        <f t="shared" si="0"/>
        <v>0</v>
      </c>
      <c r="K39" s="49">
        <f>SUMIF('Weather Log'!$D$7:$D$206,A39,'Weather Log'!$K$7:$K$206)</f>
        <v>0</v>
      </c>
      <c r="L39" s="47" t="str">
        <f t="shared" si="1"/>
        <v>UNCALIBRATED</v>
      </c>
      <c r="M39" s="48" t="str">
        <f t="shared" si="2"/>
        <v>Collect actual project records</v>
      </c>
    </row>
    <row r="40" spans="1:13" ht="14.4">
      <c r="A40" s="48" t="s">
        <v>233</v>
      </c>
      <c r="B40" s="48" t="s">
        <v>199</v>
      </c>
      <c r="C40" s="49">
        <f>COUNTIF('Weather Log'!$D$7:$D$206,A40)</f>
        <v>0</v>
      </c>
      <c r="D40" s="49">
        <f>SUMIF('Weather Log'!$D$7:$D$206,A40,'Weather Log'!$E$7:$E$206)</f>
        <v>0</v>
      </c>
      <c r="E40" s="49">
        <f>SUMIF('Weather Log'!$D$7:$D$206,A40,'Weather Log'!$F$7:$F$206)</f>
        <v>0</v>
      </c>
      <c r="F40" s="49">
        <f>SUMIF('Weather Log'!$D$7:$D$206,A40,'Weather Log'!$G$7:$G$206)</f>
        <v>0</v>
      </c>
      <c r="G40" s="49">
        <f>SUMIF('Weather Log'!$D$7:$D$206,A40,'Weather Log'!$H$7:$H$206)</f>
        <v>0</v>
      </c>
      <c r="H40" s="49">
        <f>SUMIF('Weather Log'!$D$7:$D$206,A40,'Weather Log'!$I$7:$I$206)</f>
        <v>0</v>
      </c>
      <c r="I40" s="49">
        <f>SUMIF('Weather Log'!$D$7:$D$206,A40,'Weather Log'!$J$7:$J$206)</f>
        <v>0</v>
      </c>
      <c r="J40" s="50">
        <f t="shared" si="0"/>
        <v>0</v>
      </c>
      <c r="K40" s="49">
        <f>SUMIF('Weather Log'!$D$7:$D$206,A40,'Weather Log'!$K$7:$K$206)</f>
        <v>0</v>
      </c>
      <c r="L40" s="47" t="str">
        <f t="shared" si="1"/>
        <v>UNCALIBRATED</v>
      </c>
      <c r="M40" s="48" t="str">
        <f t="shared" si="2"/>
        <v>Collect actual project records</v>
      </c>
    </row>
    <row r="41" spans="1:13" ht="14.4">
      <c r="A41" s="48" t="s">
        <v>236</v>
      </c>
      <c r="B41" s="48" t="s">
        <v>199</v>
      </c>
      <c r="C41" s="49">
        <f>COUNTIF('Weather Log'!$D$7:$D$206,A41)</f>
        <v>0</v>
      </c>
      <c r="D41" s="49">
        <f>SUMIF('Weather Log'!$D$7:$D$206,A41,'Weather Log'!$E$7:$E$206)</f>
        <v>0</v>
      </c>
      <c r="E41" s="49">
        <f>SUMIF('Weather Log'!$D$7:$D$206,A41,'Weather Log'!$F$7:$F$206)</f>
        <v>0</v>
      </c>
      <c r="F41" s="49">
        <f>SUMIF('Weather Log'!$D$7:$D$206,A41,'Weather Log'!$G$7:$G$206)</f>
        <v>0</v>
      </c>
      <c r="G41" s="49">
        <f>SUMIF('Weather Log'!$D$7:$D$206,A41,'Weather Log'!$H$7:$H$206)</f>
        <v>0</v>
      </c>
      <c r="H41" s="49">
        <f>SUMIF('Weather Log'!$D$7:$D$206,A41,'Weather Log'!$I$7:$I$206)</f>
        <v>0</v>
      </c>
      <c r="I41" s="49">
        <f>SUMIF('Weather Log'!$D$7:$D$206,A41,'Weather Log'!$J$7:$J$206)</f>
        <v>0</v>
      </c>
      <c r="J41" s="50">
        <f t="shared" si="0"/>
        <v>0</v>
      </c>
      <c r="K41" s="49">
        <f>SUMIF('Weather Log'!$D$7:$D$206,A41,'Weather Log'!$K$7:$K$206)</f>
        <v>0</v>
      </c>
      <c r="L41" s="47" t="str">
        <f t="shared" si="1"/>
        <v>UNCALIBRATED</v>
      </c>
      <c r="M41" s="48" t="str">
        <f t="shared" si="2"/>
        <v>Collect actual project records</v>
      </c>
    </row>
    <row r="42" spans="1:13" ht="14.4">
      <c r="A42" s="48" t="s">
        <v>238</v>
      </c>
      <c r="B42" s="48" t="s">
        <v>199</v>
      </c>
      <c r="C42" s="49">
        <f>COUNTIF('Weather Log'!$D$7:$D$206,A42)</f>
        <v>0</v>
      </c>
      <c r="D42" s="49">
        <f>SUMIF('Weather Log'!$D$7:$D$206,A42,'Weather Log'!$E$7:$E$206)</f>
        <v>0</v>
      </c>
      <c r="E42" s="49">
        <f>SUMIF('Weather Log'!$D$7:$D$206,A42,'Weather Log'!$F$7:$F$206)</f>
        <v>0</v>
      </c>
      <c r="F42" s="49">
        <f>SUMIF('Weather Log'!$D$7:$D$206,A42,'Weather Log'!$G$7:$G$206)</f>
        <v>0</v>
      </c>
      <c r="G42" s="49">
        <f>SUMIF('Weather Log'!$D$7:$D$206,A42,'Weather Log'!$H$7:$H$206)</f>
        <v>0</v>
      </c>
      <c r="H42" s="49">
        <f>SUMIF('Weather Log'!$D$7:$D$206,A42,'Weather Log'!$I$7:$I$206)</f>
        <v>0</v>
      </c>
      <c r="I42" s="49">
        <f>SUMIF('Weather Log'!$D$7:$D$206,A42,'Weather Log'!$J$7:$J$206)</f>
        <v>0</v>
      </c>
      <c r="J42" s="50">
        <f t="shared" si="0"/>
        <v>0</v>
      </c>
      <c r="K42" s="49">
        <f>SUMIF('Weather Log'!$D$7:$D$206,A42,'Weather Log'!$K$7:$K$206)</f>
        <v>0</v>
      </c>
      <c r="L42" s="47" t="str">
        <f t="shared" si="1"/>
        <v>UNCALIBRATED</v>
      </c>
      <c r="M42" s="48" t="str">
        <f t="shared" si="2"/>
        <v>Collect actual project records</v>
      </c>
    </row>
    <row r="43" spans="1:13" ht="14.4">
      <c r="A43" s="48" t="s">
        <v>240</v>
      </c>
      <c r="B43" s="48" t="s">
        <v>199</v>
      </c>
      <c r="C43" s="49">
        <f>COUNTIF('Weather Log'!$D$7:$D$206,A43)</f>
        <v>0</v>
      </c>
      <c r="D43" s="49">
        <f>SUMIF('Weather Log'!$D$7:$D$206,A43,'Weather Log'!$E$7:$E$206)</f>
        <v>0</v>
      </c>
      <c r="E43" s="49">
        <f>SUMIF('Weather Log'!$D$7:$D$206,A43,'Weather Log'!$F$7:$F$206)</f>
        <v>0</v>
      </c>
      <c r="F43" s="49">
        <f>SUMIF('Weather Log'!$D$7:$D$206,A43,'Weather Log'!$G$7:$G$206)</f>
        <v>0</v>
      </c>
      <c r="G43" s="49">
        <f>SUMIF('Weather Log'!$D$7:$D$206,A43,'Weather Log'!$H$7:$H$206)</f>
        <v>0</v>
      </c>
      <c r="H43" s="49">
        <f>SUMIF('Weather Log'!$D$7:$D$206,A43,'Weather Log'!$I$7:$I$206)</f>
        <v>0</v>
      </c>
      <c r="I43" s="49">
        <f>SUMIF('Weather Log'!$D$7:$D$206,A43,'Weather Log'!$J$7:$J$206)</f>
        <v>0</v>
      </c>
      <c r="J43" s="50">
        <f t="shared" si="0"/>
        <v>0</v>
      </c>
      <c r="K43" s="49">
        <f>SUMIF('Weather Log'!$D$7:$D$206,A43,'Weather Log'!$K$7:$K$206)</f>
        <v>0</v>
      </c>
      <c r="L43" s="47" t="str">
        <f t="shared" si="1"/>
        <v>UNCALIBRATED</v>
      </c>
      <c r="M43" s="48" t="str">
        <f t="shared" si="2"/>
        <v>Collect actual project records</v>
      </c>
    </row>
    <row r="44" spans="1:13" ht="14.4">
      <c r="A44" s="48" t="s">
        <v>242</v>
      </c>
      <c r="B44" s="48" t="s">
        <v>199</v>
      </c>
      <c r="C44" s="49">
        <f>COUNTIF('Weather Log'!$D$7:$D$206,A44)</f>
        <v>0</v>
      </c>
      <c r="D44" s="49">
        <f>SUMIF('Weather Log'!$D$7:$D$206,A44,'Weather Log'!$E$7:$E$206)</f>
        <v>0</v>
      </c>
      <c r="E44" s="49">
        <f>SUMIF('Weather Log'!$D$7:$D$206,A44,'Weather Log'!$F$7:$F$206)</f>
        <v>0</v>
      </c>
      <c r="F44" s="49">
        <f>SUMIF('Weather Log'!$D$7:$D$206,A44,'Weather Log'!$G$7:$G$206)</f>
        <v>0</v>
      </c>
      <c r="G44" s="49">
        <f>SUMIF('Weather Log'!$D$7:$D$206,A44,'Weather Log'!$H$7:$H$206)</f>
        <v>0</v>
      </c>
      <c r="H44" s="49">
        <f>SUMIF('Weather Log'!$D$7:$D$206,A44,'Weather Log'!$I$7:$I$206)</f>
        <v>0</v>
      </c>
      <c r="I44" s="49">
        <f>SUMIF('Weather Log'!$D$7:$D$206,A44,'Weather Log'!$J$7:$J$206)</f>
        <v>0</v>
      </c>
      <c r="J44" s="50">
        <f t="shared" si="0"/>
        <v>0</v>
      </c>
      <c r="K44" s="49">
        <f>SUMIF('Weather Log'!$D$7:$D$206,A44,'Weather Log'!$K$7:$K$206)</f>
        <v>0</v>
      </c>
      <c r="L44" s="47" t="str">
        <f t="shared" si="1"/>
        <v>UNCALIBRATED</v>
      </c>
      <c r="M44" s="48" t="str">
        <f t="shared" si="2"/>
        <v>Collect actual project records</v>
      </c>
    </row>
    <row r="45" spans="1:13" ht="14.4">
      <c r="A45" s="48" t="s">
        <v>245</v>
      </c>
      <c r="B45" s="48" t="s">
        <v>199</v>
      </c>
      <c r="C45" s="49">
        <f>COUNTIF('Weather Log'!$D$7:$D$206,A45)</f>
        <v>0</v>
      </c>
      <c r="D45" s="49">
        <f>SUMIF('Weather Log'!$D$7:$D$206,A45,'Weather Log'!$E$7:$E$206)</f>
        <v>0</v>
      </c>
      <c r="E45" s="49">
        <f>SUMIF('Weather Log'!$D$7:$D$206,A45,'Weather Log'!$F$7:$F$206)</f>
        <v>0</v>
      </c>
      <c r="F45" s="49">
        <f>SUMIF('Weather Log'!$D$7:$D$206,A45,'Weather Log'!$G$7:$G$206)</f>
        <v>0</v>
      </c>
      <c r="G45" s="49">
        <f>SUMIF('Weather Log'!$D$7:$D$206,A45,'Weather Log'!$H$7:$H$206)</f>
        <v>0</v>
      </c>
      <c r="H45" s="49">
        <f>SUMIF('Weather Log'!$D$7:$D$206,A45,'Weather Log'!$I$7:$I$206)</f>
        <v>0</v>
      </c>
      <c r="I45" s="49">
        <f>SUMIF('Weather Log'!$D$7:$D$206,A45,'Weather Log'!$J$7:$J$206)</f>
        <v>0</v>
      </c>
      <c r="J45" s="50">
        <f t="shared" si="0"/>
        <v>0</v>
      </c>
      <c r="K45" s="49">
        <f>SUMIF('Weather Log'!$D$7:$D$206,A45,'Weather Log'!$K$7:$K$206)</f>
        <v>0</v>
      </c>
      <c r="L45" s="47" t="str">
        <f t="shared" si="1"/>
        <v>UNCALIBRATED</v>
      </c>
      <c r="M45" s="48" t="str">
        <f t="shared" si="2"/>
        <v>Collect actual project records</v>
      </c>
    </row>
  </sheetData>
  <mergeCells count="2">
    <mergeCell ref="A1:M1"/>
    <mergeCell ref="A3:M4"/>
  </mergeCells>
  <conditionalFormatting sqref="L7:L45">
    <cfRule type="containsText" dxfId="19" priority="1" operator="containsText" text="GREEN"/>
    <cfRule type="containsText" dxfId="18" priority="2" operator="containsText" text="AMBER"/>
    <cfRule type="containsText" dxfId="17" priority="3" operator="containsText" text="RED"/>
    <cfRule type="containsText" dxfId="16" priority="4" operator="containsText" text="UNCALIBRATED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4"/>
  <sheetViews>
    <sheetView showGridLines="0" workbookViewId="0">
      <selection sqref="A1:F1"/>
    </sheetView>
  </sheetViews>
  <sheetFormatPr defaultRowHeight="13.8"/>
  <cols>
    <col min="1" max="1" width="38" customWidth="1"/>
    <col min="2" max="4" width="24" customWidth="1"/>
    <col min="5" max="6" width="48" customWidth="1"/>
  </cols>
  <sheetData>
    <row r="1" spans="1:6" ht="25.95" customHeight="1">
      <c r="A1" s="88" t="s">
        <v>399</v>
      </c>
      <c r="B1" s="89" t="s">
        <v>399</v>
      </c>
      <c r="C1" s="89" t="s">
        <v>399</v>
      </c>
      <c r="D1" s="89" t="s">
        <v>399</v>
      </c>
      <c r="E1" s="89" t="s">
        <v>399</v>
      </c>
      <c r="F1" s="89" t="s">
        <v>399</v>
      </c>
    </row>
    <row r="2" spans="1:6" ht="14.4">
      <c r="A2" s="1"/>
      <c r="B2" s="1"/>
      <c r="C2" s="1"/>
      <c r="D2" s="1"/>
      <c r="E2" s="1"/>
      <c r="F2" s="1"/>
    </row>
    <row r="3" spans="1:6">
      <c r="A3" s="21" t="s">
        <v>400</v>
      </c>
      <c r="B3" s="21" t="s">
        <v>401</v>
      </c>
      <c r="C3" s="21" t="s">
        <v>402</v>
      </c>
      <c r="D3" s="21" t="s">
        <v>120</v>
      </c>
      <c r="E3" s="21" t="s">
        <v>403</v>
      </c>
      <c r="F3" s="21" t="s">
        <v>404</v>
      </c>
    </row>
    <row r="4" spans="1:6" ht="14.4">
      <c r="A4" s="47" t="s">
        <v>405</v>
      </c>
      <c r="B4" s="47">
        <v>30</v>
      </c>
      <c r="C4" s="47">
        <f>COUNTA('Station Register'!$A$7:$A$36)</f>
        <v>30</v>
      </c>
      <c r="D4" s="47" t="str">
        <f t="shared" ref="D4:D13" si="0">IF(C4=B4,"GREEN - OK","RED - CHECK")</f>
        <v>GREEN - OK</v>
      </c>
      <c r="E4" s="47" t="s">
        <v>406</v>
      </c>
      <c r="F4" s="47" t="s">
        <v>407</v>
      </c>
    </row>
    <row r="5" spans="1:6" ht="14.4">
      <c r="A5" s="47" t="s">
        <v>408</v>
      </c>
      <c r="B5" s="47">
        <v>360</v>
      </c>
      <c r="C5" s="47">
        <f>COUNTA('Climate Data'!$A$7:$A$366)</f>
        <v>360</v>
      </c>
      <c r="D5" s="47" t="str">
        <f t="shared" si="0"/>
        <v>GREEN - OK</v>
      </c>
      <c r="E5" s="47" t="s">
        <v>409</v>
      </c>
      <c r="F5" s="47" t="s">
        <v>410</v>
      </c>
    </row>
    <row r="6" spans="1:6" ht="14.4">
      <c r="A6" s="47" t="s">
        <v>411</v>
      </c>
      <c r="B6" s="47">
        <v>0</v>
      </c>
      <c r="C6" s="47">
        <f>COUNTBLANK('Climate Data'!$D$7:$D$366)</f>
        <v>0</v>
      </c>
      <c r="D6" s="47" t="str">
        <f t="shared" si="0"/>
        <v>GREEN - OK</v>
      </c>
      <c r="E6" s="47" t="s">
        <v>412</v>
      </c>
      <c r="F6" s="47" t="s">
        <v>413</v>
      </c>
    </row>
    <row r="7" spans="1:6" ht="14.4">
      <c r="A7" s="47" t="s">
        <v>414</v>
      </c>
      <c r="B7" s="47">
        <v>0</v>
      </c>
      <c r="C7" s="47">
        <f>COUNTBLANK('Climate Data'!$E$7:$E$366)</f>
        <v>0</v>
      </c>
      <c r="D7" s="47" t="str">
        <f t="shared" si="0"/>
        <v>GREEN - OK</v>
      </c>
      <c r="E7" s="47" t="s">
        <v>415</v>
      </c>
      <c r="F7" s="47" t="s">
        <v>413</v>
      </c>
    </row>
    <row r="8" spans="1:6" ht="14.4">
      <c r="A8" s="47" t="s">
        <v>416</v>
      </c>
      <c r="B8" s="47">
        <v>0</v>
      </c>
      <c r="C8" s="47">
        <f>COUNTIF('Climate Data'!$G$7:$G$366,"&lt;0")+COUNTIF('Climate Data'!$G$7:$G$366,"&gt;1")</f>
        <v>0</v>
      </c>
      <c r="D8" s="47" t="str">
        <f t="shared" si="0"/>
        <v>GREEN - OK</v>
      </c>
      <c r="E8" s="47" t="s">
        <v>417</v>
      </c>
      <c r="F8" s="47" t="s">
        <v>418</v>
      </c>
    </row>
    <row r="9" spans="1:6" ht="14.4">
      <c r="A9" s="47" t="s">
        <v>419</v>
      </c>
      <c r="B9" s="47">
        <v>39</v>
      </c>
      <c r="C9" s="47">
        <f>COUNTA('Task Library'!$A$7:$A$45)</f>
        <v>39</v>
      </c>
      <c r="D9" s="47" t="str">
        <f t="shared" si="0"/>
        <v>GREEN - OK</v>
      </c>
      <c r="E9" s="47" t="s">
        <v>420</v>
      </c>
      <c r="F9" s="47" t="s">
        <v>421</v>
      </c>
    </row>
    <row r="10" spans="1:6" ht="14.4">
      <c r="A10" s="47" t="s">
        <v>422</v>
      </c>
      <c r="B10" s="81">
        <v>45658</v>
      </c>
      <c r="C10" s="81">
        <f>MIN('Date Engine'!$A$7:$A$5850)</f>
        <v>45658</v>
      </c>
      <c r="D10" s="47" t="str">
        <f t="shared" si="0"/>
        <v>GREEN - OK</v>
      </c>
      <c r="E10" s="47" t="s">
        <v>423</v>
      </c>
      <c r="F10" s="47" t="s">
        <v>424</v>
      </c>
    </row>
    <row r="11" spans="1:6" ht="14.4">
      <c r="A11" s="47" t="s">
        <v>425</v>
      </c>
      <c r="B11" s="81">
        <v>51501</v>
      </c>
      <c r="C11" s="81">
        <f>MAX('Date Engine'!$A$7:$A$5850)</f>
        <v>51501</v>
      </c>
      <c r="D11" s="47" t="str">
        <f t="shared" si="0"/>
        <v>GREEN - OK</v>
      </c>
      <c r="E11" s="47" t="s">
        <v>423</v>
      </c>
      <c r="F11" s="47" t="s">
        <v>424</v>
      </c>
    </row>
    <row r="12" spans="1:6" ht="14.4">
      <c r="A12" s="47" t="s">
        <v>426</v>
      </c>
      <c r="B12" s="47">
        <v>0</v>
      </c>
      <c r="C12" s="47">
        <f>IF(LEFT(Estimator!$H$29,3)="RED",1,0)</f>
        <v>1</v>
      </c>
      <c r="D12" s="47" t="str">
        <f t="shared" si="0"/>
        <v>RED - CHECK</v>
      </c>
      <c r="E12" s="47" t="s">
        <v>427</v>
      </c>
      <c r="F12" s="47" t="s">
        <v>428</v>
      </c>
    </row>
    <row r="13" spans="1:6" ht="14.4">
      <c r="A13" s="47" t="s">
        <v>429</v>
      </c>
      <c r="B13" s="47">
        <v>0</v>
      </c>
      <c r="C13" s="47">
        <f>COUNTIF('Activity Allowances'!$AK$7:$AK$36,"RED - date input")+COUNTIF('Activity Allowances'!$AK$7:$AK$36,"RED - wind input")</f>
        <v>0</v>
      </c>
      <c r="D13" s="47" t="str">
        <f t="shared" si="0"/>
        <v>GREEN - OK</v>
      </c>
      <c r="E13" s="47" t="s">
        <v>427</v>
      </c>
      <c r="F13" s="47" t="s">
        <v>430</v>
      </c>
    </row>
    <row r="14" spans="1:6" ht="14.4">
      <c r="A14" s="2"/>
      <c r="B14" s="2"/>
      <c r="C14" s="2"/>
      <c r="D14" s="2"/>
      <c r="E14" s="2"/>
      <c r="F14" s="2"/>
    </row>
    <row r="15" spans="1:6" ht="14.4">
      <c r="A15" s="2"/>
      <c r="B15" s="2"/>
      <c r="C15" s="2"/>
      <c r="D15" s="2"/>
      <c r="E15" s="2"/>
      <c r="F15" s="2"/>
    </row>
    <row r="16" spans="1:6">
      <c r="A16" s="113" t="s">
        <v>431</v>
      </c>
      <c r="B16" s="114" t="s">
        <v>431</v>
      </c>
      <c r="C16" s="114" t="s">
        <v>431</v>
      </c>
      <c r="D16" s="114" t="s">
        <v>431</v>
      </c>
      <c r="E16" s="114" t="s">
        <v>431</v>
      </c>
      <c r="F16" s="115" t="s">
        <v>431</v>
      </c>
    </row>
    <row r="17" spans="1:6" ht="14.4">
      <c r="A17" s="21" t="s">
        <v>432</v>
      </c>
      <c r="B17" s="21" t="s">
        <v>120</v>
      </c>
      <c r="C17" s="21" t="s">
        <v>433</v>
      </c>
      <c r="D17" s="2"/>
      <c r="E17" s="2"/>
      <c r="F17" s="2"/>
    </row>
    <row r="18" spans="1:6" ht="27.6">
      <c r="A18" s="47" t="s">
        <v>434</v>
      </c>
      <c r="B18" s="47" t="s">
        <v>435</v>
      </c>
      <c r="C18" s="47" t="s">
        <v>436</v>
      </c>
      <c r="D18" s="2"/>
      <c r="E18" s="2"/>
      <c r="F18" s="2"/>
    </row>
    <row r="19" spans="1:6" ht="27.6">
      <c r="A19" s="47" t="s">
        <v>437</v>
      </c>
      <c r="B19" s="47" t="s">
        <v>438</v>
      </c>
      <c r="C19" s="47" t="s">
        <v>439</v>
      </c>
      <c r="D19" s="2"/>
      <c r="E19" s="2"/>
      <c r="F19" s="2"/>
    </row>
    <row r="20" spans="1:6" ht="27.6">
      <c r="A20" s="47" t="s">
        <v>440</v>
      </c>
      <c r="B20" s="47" t="s">
        <v>438</v>
      </c>
      <c r="C20" s="47" t="s">
        <v>441</v>
      </c>
      <c r="D20" s="2"/>
      <c r="E20" s="2"/>
      <c r="F20" s="2"/>
    </row>
    <row r="21" spans="1:6" ht="27.6">
      <c r="A21" s="47" t="s">
        <v>442</v>
      </c>
      <c r="B21" s="47" t="s">
        <v>443</v>
      </c>
      <c r="C21" s="47" t="s">
        <v>444</v>
      </c>
      <c r="D21" s="2"/>
      <c r="E21" s="2"/>
      <c r="F21" s="2"/>
    </row>
    <row r="22" spans="1:6" ht="14.4">
      <c r="A22" s="2"/>
      <c r="B22" s="2"/>
      <c r="C22" s="2"/>
      <c r="D22" s="2"/>
      <c r="E22" s="2"/>
      <c r="F22" s="2"/>
    </row>
    <row r="23" spans="1:6" ht="14.4">
      <c r="A23" s="2"/>
      <c r="B23" s="2"/>
      <c r="C23" s="2"/>
      <c r="D23" s="2"/>
      <c r="E23" s="2"/>
      <c r="F23" s="2"/>
    </row>
    <row r="24" spans="1:6" ht="27.6">
      <c r="A24" s="2" t="s">
        <v>445</v>
      </c>
      <c r="B24" s="47" t="str">
        <f>IF(COUNTIF(D4:D13,"RED - CHECK")&gt;0,"RED - DO NOT ISSUE ACTIVE OUTPUT","AMBER - TOOL USABLE WITH DISCLOSURES")</f>
        <v>RED - DO NOT ISSUE ACTIVE OUTPUT</v>
      </c>
      <c r="C24" s="2"/>
      <c r="D24" s="2"/>
      <c r="E24" s="2"/>
      <c r="F24" s="2"/>
    </row>
  </sheetData>
  <mergeCells count="2">
    <mergeCell ref="A1:F1"/>
    <mergeCell ref="A16:F16"/>
  </mergeCells>
  <conditionalFormatting sqref="B18:B21">
    <cfRule type="containsText" dxfId="15" priority="5" operator="containsText" text="GREEN"/>
    <cfRule type="containsText" dxfId="14" priority="6" operator="containsText" text="AMBER"/>
    <cfRule type="containsText" dxfId="13" priority="7" operator="containsText" text="RED"/>
    <cfRule type="containsText" dxfId="12" priority="8" operator="containsText" text="UNCALIBRATED"/>
  </conditionalFormatting>
  <conditionalFormatting sqref="B24">
    <cfRule type="containsText" dxfId="11" priority="9" operator="containsText" text="GREEN"/>
    <cfRule type="containsText" dxfId="10" priority="10" operator="containsText" text="AMBER"/>
    <cfRule type="containsText" dxfId="9" priority="11" operator="containsText" text="RED"/>
    <cfRule type="containsText" dxfId="8" priority="12" operator="containsText" text="UNCALIBRATED"/>
  </conditionalFormatting>
  <conditionalFormatting sqref="D4:D13">
    <cfRule type="containsText" dxfId="7" priority="1" operator="containsText" text="GREEN"/>
    <cfRule type="containsText" dxfId="6" priority="2" operator="containsText" text="AMBER"/>
    <cfRule type="containsText" dxfId="5" priority="3" operator="containsText" text="RED"/>
    <cfRule type="containsText" dxfId="4" priority="4" operator="containsText" text="UNCALIBRATED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"/>
  <sheetViews>
    <sheetView showGridLines="0" workbookViewId="0">
      <selection sqref="A1:H1"/>
    </sheetView>
  </sheetViews>
  <sheetFormatPr defaultRowHeight="13.8"/>
  <cols>
    <col min="1" max="1" width="15" customWidth="1"/>
    <col min="2" max="2" width="36" customWidth="1"/>
    <col min="3" max="3" width="32" customWidth="1"/>
    <col min="4" max="4" width="22" customWidth="1"/>
    <col min="5" max="6" width="18" customWidth="1"/>
    <col min="7" max="8" width="72" customWidth="1"/>
  </cols>
  <sheetData>
    <row r="1" spans="1:8" ht="25.95" customHeight="1">
      <c r="A1" s="88" t="s">
        <v>446</v>
      </c>
      <c r="B1" s="89" t="s">
        <v>446</v>
      </c>
      <c r="C1" s="89" t="s">
        <v>446</v>
      </c>
      <c r="D1" s="89" t="s">
        <v>446</v>
      </c>
      <c r="E1" s="89" t="s">
        <v>446</v>
      </c>
      <c r="F1" s="89" t="s">
        <v>446</v>
      </c>
      <c r="G1" s="89" t="s">
        <v>446</v>
      </c>
      <c r="H1" s="89" t="s">
        <v>446</v>
      </c>
    </row>
    <row r="2" spans="1:8" ht="14.4">
      <c r="A2" s="1"/>
      <c r="B2" s="1"/>
      <c r="C2" s="1"/>
      <c r="D2" s="1"/>
      <c r="E2" s="1"/>
      <c r="F2" s="1"/>
      <c r="G2" s="1"/>
      <c r="H2" s="1"/>
    </row>
    <row r="3" spans="1:8">
      <c r="A3" s="21" t="s">
        <v>447</v>
      </c>
      <c r="B3" s="21" t="s">
        <v>448</v>
      </c>
      <c r="C3" s="21" t="s">
        <v>449</v>
      </c>
      <c r="D3" s="21" t="s">
        <v>450</v>
      </c>
      <c r="E3" s="21" t="s">
        <v>451</v>
      </c>
      <c r="F3" s="21" t="s">
        <v>120</v>
      </c>
      <c r="G3" s="21" t="s">
        <v>452</v>
      </c>
      <c r="H3" s="21" t="s">
        <v>453</v>
      </c>
    </row>
    <row r="4" spans="1:8" ht="14.4">
      <c r="A4" s="47" t="s">
        <v>454</v>
      </c>
      <c r="B4" s="47" t="s">
        <v>455</v>
      </c>
      <c r="C4" s="47" t="s">
        <v>456</v>
      </c>
      <c r="D4" s="47" t="s">
        <v>457</v>
      </c>
      <c r="E4" s="81">
        <v>46248</v>
      </c>
      <c r="F4" s="47" t="s">
        <v>435</v>
      </c>
      <c r="G4" s="47" t="s">
        <v>458</v>
      </c>
      <c r="H4" s="47" t="s">
        <v>459</v>
      </c>
    </row>
    <row r="5" spans="1:8" ht="27.6">
      <c r="A5" s="47" t="s">
        <v>460</v>
      </c>
      <c r="B5" s="47" t="s">
        <v>461</v>
      </c>
      <c r="C5" s="47" t="s">
        <v>456</v>
      </c>
      <c r="D5" s="47" t="s">
        <v>457</v>
      </c>
      <c r="E5" s="81">
        <v>46248</v>
      </c>
      <c r="F5" s="47" t="s">
        <v>435</v>
      </c>
      <c r="G5" s="47" t="s">
        <v>462</v>
      </c>
      <c r="H5" s="47" t="s">
        <v>463</v>
      </c>
    </row>
    <row r="6" spans="1:8" ht="14.4">
      <c r="A6" s="47" t="s">
        <v>464</v>
      </c>
      <c r="B6" s="47" t="s">
        <v>465</v>
      </c>
      <c r="C6" s="47" t="s">
        <v>456</v>
      </c>
      <c r="D6" s="47" t="s">
        <v>466</v>
      </c>
      <c r="E6" s="81">
        <v>46248</v>
      </c>
      <c r="F6" s="47" t="s">
        <v>435</v>
      </c>
      <c r="G6" s="47" t="s">
        <v>467</v>
      </c>
      <c r="H6" s="47" t="s">
        <v>468</v>
      </c>
    </row>
    <row r="7" spans="1:8" ht="27.6">
      <c r="A7" s="47" t="s">
        <v>469</v>
      </c>
      <c r="B7" s="47" t="s">
        <v>470</v>
      </c>
      <c r="C7" s="47" t="s">
        <v>471</v>
      </c>
      <c r="D7" s="47" t="s">
        <v>472</v>
      </c>
      <c r="E7" s="81">
        <v>46248</v>
      </c>
      <c r="F7" s="47" t="s">
        <v>438</v>
      </c>
      <c r="G7" s="47" t="s">
        <v>473</v>
      </c>
      <c r="H7" s="47" t="s">
        <v>474</v>
      </c>
    </row>
    <row r="8" spans="1:8" ht="27.6">
      <c r="A8" s="47" t="s">
        <v>475</v>
      </c>
      <c r="B8" s="47" t="s">
        <v>476</v>
      </c>
      <c r="C8" s="47" t="s">
        <v>477</v>
      </c>
      <c r="D8" s="47" t="s">
        <v>478</v>
      </c>
      <c r="E8" s="81">
        <v>46248</v>
      </c>
      <c r="F8" s="47" t="s">
        <v>438</v>
      </c>
      <c r="G8" s="47" t="s">
        <v>479</v>
      </c>
      <c r="H8" s="47" t="s">
        <v>480</v>
      </c>
    </row>
    <row r="9" spans="1:8" ht="27.6">
      <c r="A9" s="47" t="s">
        <v>481</v>
      </c>
      <c r="B9" s="47" t="s">
        <v>38</v>
      </c>
      <c r="C9" s="47" t="s">
        <v>482</v>
      </c>
      <c r="D9" s="47" t="s">
        <v>483</v>
      </c>
      <c r="E9" s="81"/>
      <c r="F9" s="47" t="s">
        <v>484</v>
      </c>
      <c r="G9" s="47" t="s">
        <v>485</v>
      </c>
      <c r="H9" s="47" t="s">
        <v>486</v>
      </c>
    </row>
    <row r="10" spans="1:8" ht="14.4">
      <c r="A10" s="1"/>
      <c r="B10" s="1"/>
      <c r="C10" s="1"/>
      <c r="D10" s="1"/>
      <c r="E10" s="1"/>
      <c r="F10" s="1"/>
      <c r="G10" s="1"/>
      <c r="H10" s="1"/>
    </row>
    <row r="11" spans="1:8" ht="14.4">
      <c r="A11" s="1"/>
      <c r="B11" s="1"/>
      <c r="C11" s="1"/>
      <c r="D11" s="1"/>
      <c r="E11" s="1"/>
      <c r="F11" s="1"/>
      <c r="G11" s="1"/>
      <c r="H11" s="1"/>
    </row>
    <row r="12" spans="1:8">
      <c r="A12" s="90" t="s">
        <v>487</v>
      </c>
      <c r="B12" s="92" t="s">
        <v>487</v>
      </c>
      <c r="C12" s="92" t="s">
        <v>487</v>
      </c>
      <c r="D12" s="92" t="s">
        <v>487</v>
      </c>
      <c r="E12" s="92" t="s">
        <v>487</v>
      </c>
      <c r="F12" s="92" t="s">
        <v>487</v>
      </c>
      <c r="G12" s="92" t="s">
        <v>487</v>
      </c>
      <c r="H12" s="91" t="s">
        <v>487</v>
      </c>
    </row>
    <row r="13" spans="1:8" ht="14.4">
      <c r="A13" s="82" t="s">
        <v>488</v>
      </c>
      <c r="B13" s="116" t="s">
        <v>489</v>
      </c>
      <c r="C13" s="116"/>
      <c r="D13" s="116"/>
      <c r="E13" s="116"/>
      <c r="F13" s="116"/>
      <c r="G13" s="116"/>
      <c r="H13" s="116"/>
    </row>
    <row r="14" spans="1:8" ht="14.4">
      <c r="A14" s="82" t="s">
        <v>490</v>
      </c>
      <c r="B14" s="116" t="s">
        <v>491</v>
      </c>
      <c r="C14" s="116"/>
      <c r="D14" s="116"/>
      <c r="E14" s="116"/>
      <c r="F14" s="116"/>
      <c r="G14" s="116"/>
      <c r="H14" s="116"/>
    </row>
    <row r="15" spans="1:8" ht="14.4">
      <c r="A15" s="82" t="s">
        <v>492</v>
      </c>
      <c r="B15" s="116" t="s">
        <v>493</v>
      </c>
      <c r="C15" s="116"/>
      <c r="D15" s="116"/>
      <c r="E15" s="116"/>
      <c r="F15" s="116"/>
      <c r="G15" s="116"/>
      <c r="H15" s="116"/>
    </row>
    <row r="16" spans="1:8" ht="14.4">
      <c r="A16" s="82" t="s">
        <v>494</v>
      </c>
      <c r="B16" s="116" t="s">
        <v>495</v>
      </c>
      <c r="C16" s="116"/>
      <c r="D16" s="116"/>
      <c r="E16" s="116"/>
      <c r="F16" s="116"/>
      <c r="G16" s="116"/>
      <c r="H16" s="116"/>
    </row>
    <row r="17" spans="1:8" ht="14.4">
      <c r="A17" s="82" t="s">
        <v>496</v>
      </c>
      <c r="B17" s="116" t="s">
        <v>497</v>
      </c>
      <c r="C17" s="116"/>
      <c r="D17" s="116"/>
      <c r="E17" s="116"/>
      <c r="F17" s="116"/>
      <c r="G17" s="116"/>
      <c r="H17" s="116"/>
    </row>
    <row r="18" spans="1:8" ht="14.4">
      <c r="A18" s="82" t="s">
        <v>498</v>
      </c>
      <c r="B18" s="116" t="s">
        <v>499</v>
      </c>
      <c r="C18" s="116"/>
      <c r="D18" s="116"/>
      <c r="E18" s="116"/>
      <c r="F18" s="116"/>
      <c r="G18" s="116"/>
      <c r="H18" s="116"/>
    </row>
    <row r="19" spans="1:8" ht="14.4">
      <c r="A19" s="82" t="s">
        <v>500</v>
      </c>
      <c r="B19" s="116" t="s">
        <v>501</v>
      </c>
      <c r="C19" s="116"/>
      <c r="D19" s="116"/>
      <c r="E19" s="116"/>
      <c r="F19" s="116"/>
      <c r="G19" s="116"/>
      <c r="H19" s="116"/>
    </row>
  </sheetData>
  <mergeCells count="9">
    <mergeCell ref="B16:H16"/>
    <mergeCell ref="B17:H17"/>
    <mergeCell ref="B18:H18"/>
    <mergeCell ref="B19:H19"/>
    <mergeCell ref="A1:H1"/>
    <mergeCell ref="A12:H12"/>
    <mergeCell ref="B13:H13"/>
    <mergeCell ref="B14:H14"/>
    <mergeCell ref="B15:H15"/>
  </mergeCells>
  <conditionalFormatting sqref="F4:F9">
    <cfRule type="containsText" dxfId="3" priority="1" operator="containsText" text="GREEN"/>
    <cfRule type="containsText" dxfId="2" priority="2" operator="containsText" text="AMBER"/>
    <cfRule type="containsText" dxfId="1" priority="3" operator="containsText" text="RED"/>
    <cfRule type="containsText" dxfId="0" priority="4" operator="containsText" text="UNCALIBRATED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850"/>
  <sheetViews>
    <sheetView showGridLines="0" topLeftCell="A34" workbookViewId="0">
      <selection sqref="A1:J1"/>
    </sheetView>
  </sheetViews>
  <sheetFormatPr defaultRowHeight="13.8"/>
  <cols>
    <col min="1" max="1" width="13" customWidth="1"/>
    <col min="2" max="7" width="11" customWidth="1"/>
    <col min="8" max="10" width="20" customWidth="1"/>
  </cols>
  <sheetData>
    <row r="1" spans="1:10" ht="25.95" customHeight="1">
      <c r="A1" s="88" t="s">
        <v>502</v>
      </c>
      <c r="B1" s="89" t="s">
        <v>502</v>
      </c>
      <c r="C1" s="89" t="s">
        <v>502</v>
      </c>
      <c r="D1" s="89" t="s">
        <v>502</v>
      </c>
      <c r="E1" s="89" t="s">
        <v>502</v>
      </c>
      <c r="F1" s="89" t="s">
        <v>502</v>
      </c>
      <c r="G1" s="89" t="s">
        <v>502</v>
      </c>
      <c r="H1" s="89" t="s">
        <v>502</v>
      </c>
      <c r="I1" s="89" t="s">
        <v>502</v>
      </c>
      <c r="J1" s="89" t="s">
        <v>502</v>
      </c>
    </row>
    <row r="2" spans="1:10" ht="14.4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12" t="s">
        <v>503</v>
      </c>
      <c r="B3" s="112"/>
      <c r="C3" s="112"/>
      <c r="D3" s="112"/>
      <c r="E3" s="112"/>
      <c r="F3" s="112"/>
      <c r="G3" s="112"/>
      <c r="H3" s="112"/>
      <c r="I3" s="112"/>
      <c r="J3" s="112"/>
    </row>
    <row r="4" spans="1:10">
      <c r="A4" s="112"/>
      <c r="B4" s="112"/>
      <c r="C4" s="112"/>
      <c r="D4" s="112"/>
      <c r="E4" s="112"/>
      <c r="F4" s="112"/>
      <c r="G4" s="112"/>
      <c r="H4" s="112"/>
      <c r="I4" s="112"/>
      <c r="J4" s="112"/>
    </row>
    <row r="5" spans="1:10" ht="14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7.6">
      <c r="A6" s="83" t="s">
        <v>377</v>
      </c>
      <c r="B6" s="83" t="s">
        <v>504</v>
      </c>
      <c r="C6" s="83" t="s">
        <v>250</v>
      </c>
      <c r="D6" s="83" t="s">
        <v>50</v>
      </c>
      <c r="E6" s="83" t="s">
        <v>505</v>
      </c>
      <c r="F6" s="83" t="s">
        <v>506</v>
      </c>
      <c r="G6" s="83" t="s">
        <v>507</v>
      </c>
      <c r="H6" s="83" t="s">
        <v>254</v>
      </c>
      <c r="I6" s="83" t="s">
        <v>255</v>
      </c>
      <c r="J6" s="83" t="s">
        <v>508</v>
      </c>
    </row>
    <row r="7" spans="1:10" ht="14.4">
      <c r="A7" s="84">
        <v>45658</v>
      </c>
      <c r="B7" s="85">
        <v>2025</v>
      </c>
      <c r="C7" s="85">
        <v>1</v>
      </c>
      <c r="D7" s="85" t="s">
        <v>55</v>
      </c>
      <c r="E7" s="85">
        <v>1</v>
      </c>
      <c r="F7" s="85">
        <v>3</v>
      </c>
      <c r="G7" s="85">
        <f>--(F7&lt;=Estimator!$B$7)</f>
        <v>1</v>
      </c>
      <c r="H7" s="86">
        <f>SUMIFS('Climate Data'!$G$7:$G$366,'Climate Data'!$A$7:$A$366,Estimator!$B$4,'Climate Data'!$B$7:$B$366,C7)</f>
        <v>0.19462365591397848</v>
      </c>
      <c r="I7" s="87">
        <f>SUMIFS('Climate Data'!$H$7:$H$366,'Climate Data'!$A$7:$A$366,Estimator!$B$4,'Climate Data'!$B$7:$B$366,C7)</f>
        <v>7.027624309392265</v>
      </c>
      <c r="J7" s="86">
        <f>SUMIFS('Wind Proxy'!$H$8:$H$19,'Wind Proxy'!$A$8:$A$19,Estimator!$B$4,'Wind Proxy'!$B$8:$B$19,C7)</f>
        <v>0</v>
      </c>
    </row>
    <row r="8" spans="1:10" ht="14.4">
      <c r="A8" s="84">
        <v>45659</v>
      </c>
      <c r="B8" s="85">
        <v>2025</v>
      </c>
      <c r="C8" s="85">
        <v>1</v>
      </c>
      <c r="D8" s="85" t="s">
        <v>55</v>
      </c>
      <c r="E8" s="85">
        <v>2</v>
      </c>
      <c r="F8" s="85">
        <v>4</v>
      </c>
      <c r="G8" s="85">
        <f>--(F8&lt;=Estimator!$B$7)</f>
        <v>1</v>
      </c>
      <c r="H8" s="86">
        <f>SUMIFS('Climate Data'!$G$7:$G$366,'Climate Data'!$A$7:$A$366,Estimator!$B$4,'Climate Data'!$B$7:$B$366,C8)</f>
        <v>0.19462365591397848</v>
      </c>
      <c r="I8" s="87">
        <f>SUMIFS('Climate Data'!$H$7:$H$366,'Climate Data'!$A$7:$A$366,Estimator!$B$4,'Climate Data'!$B$7:$B$366,C8)</f>
        <v>7.027624309392265</v>
      </c>
      <c r="J8" s="86">
        <f>SUMIFS('Wind Proxy'!$H$8:$H$19,'Wind Proxy'!$A$8:$A$19,Estimator!$B$4,'Wind Proxy'!$B$8:$B$19,C8)</f>
        <v>0</v>
      </c>
    </row>
    <row r="9" spans="1:10" ht="14.4">
      <c r="A9" s="84">
        <v>45660</v>
      </c>
      <c r="B9" s="85">
        <v>2025</v>
      </c>
      <c r="C9" s="85">
        <v>1</v>
      </c>
      <c r="D9" s="85" t="s">
        <v>55</v>
      </c>
      <c r="E9" s="85">
        <v>3</v>
      </c>
      <c r="F9" s="85">
        <v>5</v>
      </c>
      <c r="G9" s="85">
        <f>--(F9&lt;=Estimator!$B$7)</f>
        <v>1</v>
      </c>
      <c r="H9" s="86">
        <f>SUMIFS('Climate Data'!$G$7:$G$366,'Climate Data'!$A$7:$A$366,Estimator!$B$4,'Climate Data'!$B$7:$B$366,C9)</f>
        <v>0.19462365591397848</v>
      </c>
      <c r="I9" s="87">
        <f>SUMIFS('Climate Data'!$H$7:$H$366,'Climate Data'!$A$7:$A$366,Estimator!$B$4,'Climate Data'!$B$7:$B$366,C9)</f>
        <v>7.027624309392265</v>
      </c>
      <c r="J9" s="86">
        <f>SUMIFS('Wind Proxy'!$H$8:$H$19,'Wind Proxy'!$A$8:$A$19,Estimator!$B$4,'Wind Proxy'!$B$8:$B$19,C9)</f>
        <v>0</v>
      </c>
    </row>
    <row r="10" spans="1:10" ht="14.4">
      <c r="A10" s="84">
        <v>45661</v>
      </c>
      <c r="B10" s="85">
        <v>2025</v>
      </c>
      <c r="C10" s="85">
        <v>1</v>
      </c>
      <c r="D10" s="85" t="s">
        <v>55</v>
      </c>
      <c r="E10" s="85">
        <v>4</v>
      </c>
      <c r="F10" s="85">
        <v>6</v>
      </c>
      <c r="G10" s="85">
        <f>--(F10&lt;=Estimator!$B$7)</f>
        <v>0</v>
      </c>
      <c r="H10" s="86">
        <f>SUMIFS('Climate Data'!$G$7:$G$366,'Climate Data'!$A$7:$A$366,Estimator!$B$4,'Climate Data'!$B$7:$B$366,C10)</f>
        <v>0.19462365591397848</v>
      </c>
      <c r="I10" s="87">
        <f>SUMIFS('Climate Data'!$H$7:$H$366,'Climate Data'!$A$7:$A$366,Estimator!$B$4,'Climate Data'!$B$7:$B$366,C10)</f>
        <v>7.027624309392265</v>
      </c>
      <c r="J10" s="86">
        <f>SUMIFS('Wind Proxy'!$H$8:$H$19,'Wind Proxy'!$A$8:$A$19,Estimator!$B$4,'Wind Proxy'!$B$8:$B$19,C10)</f>
        <v>0</v>
      </c>
    </row>
    <row r="11" spans="1:10" ht="14.4">
      <c r="A11" s="84">
        <v>45662</v>
      </c>
      <c r="B11" s="85">
        <v>2025</v>
      </c>
      <c r="C11" s="85">
        <v>1</v>
      </c>
      <c r="D11" s="85" t="s">
        <v>55</v>
      </c>
      <c r="E11" s="85">
        <v>5</v>
      </c>
      <c r="F11" s="85">
        <v>7</v>
      </c>
      <c r="G11" s="85">
        <f>--(F11&lt;=Estimator!$B$7)</f>
        <v>0</v>
      </c>
      <c r="H11" s="86">
        <f>SUMIFS('Climate Data'!$G$7:$G$366,'Climate Data'!$A$7:$A$366,Estimator!$B$4,'Climate Data'!$B$7:$B$366,C11)</f>
        <v>0.19462365591397848</v>
      </c>
      <c r="I11" s="87">
        <f>SUMIFS('Climate Data'!$H$7:$H$366,'Climate Data'!$A$7:$A$366,Estimator!$B$4,'Climate Data'!$B$7:$B$366,C11)</f>
        <v>7.027624309392265</v>
      </c>
      <c r="J11" s="86">
        <f>SUMIFS('Wind Proxy'!$H$8:$H$19,'Wind Proxy'!$A$8:$A$19,Estimator!$B$4,'Wind Proxy'!$B$8:$B$19,C11)</f>
        <v>0</v>
      </c>
    </row>
    <row r="12" spans="1:10" ht="14.4">
      <c r="A12" s="84">
        <v>45663</v>
      </c>
      <c r="B12" s="85">
        <v>2025</v>
      </c>
      <c r="C12" s="85">
        <v>1</v>
      </c>
      <c r="D12" s="85" t="s">
        <v>55</v>
      </c>
      <c r="E12" s="85">
        <v>6</v>
      </c>
      <c r="F12" s="85">
        <v>1</v>
      </c>
      <c r="G12" s="85">
        <f>--(F12&lt;=Estimator!$B$7)</f>
        <v>1</v>
      </c>
      <c r="H12" s="86">
        <f>SUMIFS('Climate Data'!$G$7:$G$366,'Climate Data'!$A$7:$A$366,Estimator!$B$4,'Climate Data'!$B$7:$B$366,C12)</f>
        <v>0.19462365591397848</v>
      </c>
      <c r="I12" s="87">
        <f>SUMIFS('Climate Data'!$H$7:$H$366,'Climate Data'!$A$7:$A$366,Estimator!$B$4,'Climate Data'!$B$7:$B$366,C12)</f>
        <v>7.027624309392265</v>
      </c>
      <c r="J12" s="86">
        <f>SUMIFS('Wind Proxy'!$H$8:$H$19,'Wind Proxy'!$A$8:$A$19,Estimator!$B$4,'Wind Proxy'!$B$8:$B$19,C12)</f>
        <v>0</v>
      </c>
    </row>
    <row r="13" spans="1:10" ht="14.4">
      <c r="A13" s="84">
        <v>45664</v>
      </c>
      <c r="B13" s="85">
        <v>2025</v>
      </c>
      <c r="C13" s="85">
        <v>1</v>
      </c>
      <c r="D13" s="85" t="s">
        <v>55</v>
      </c>
      <c r="E13" s="85">
        <v>7</v>
      </c>
      <c r="F13" s="85">
        <v>2</v>
      </c>
      <c r="G13" s="85">
        <f>--(F13&lt;=Estimator!$B$7)</f>
        <v>1</v>
      </c>
      <c r="H13" s="86">
        <f>SUMIFS('Climate Data'!$G$7:$G$366,'Climate Data'!$A$7:$A$366,Estimator!$B$4,'Climate Data'!$B$7:$B$366,C13)</f>
        <v>0.19462365591397848</v>
      </c>
      <c r="I13" s="87">
        <f>SUMIFS('Climate Data'!$H$7:$H$366,'Climate Data'!$A$7:$A$366,Estimator!$B$4,'Climate Data'!$B$7:$B$366,C13)</f>
        <v>7.027624309392265</v>
      </c>
      <c r="J13" s="86">
        <f>SUMIFS('Wind Proxy'!$H$8:$H$19,'Wind Proxy'!$A$8:$A$19,Estimator!$B$4,'Wind Proxy'!$B$8:$B$19,C13)</f>
        <v>0</v>
      </c>
    </row>
    <row r="14" spans="1:10" ht="14.4">
      <c r="A14" s="84">
        <v>45665</v>
      </c>
      <c r="B14" s="85">
        <v>2025</v>
      </c>
      <c r="C14" s="85">
        <v>1</v>
      </c>
      <c r="D14" s="85" t="s">
        <v>55</v>
      </c>
      <c r="E14" s="85">
        <v>8</v>
      </c>
      <c r="F14" s="85">
        <v>3</v>
      </c>
      <c r="G14" s="85">
        <f>--(F14&lt;=Estimator!$B$7)</f>
        <v>1</v>
      </c>
      <c r="H14" s="86">
        <f>SUMIFS('Climate Data'!$G$7:$G$366,'Climate Data'!$A$7:$A$366,Estimator!$B$4,'Climate Data'!$B$7:$B$366,C14)</f>
        <v>0.19462365591397848</v>
      </c>
      <c r="I14" s="87">
        <f>SUMIFS('Climate Data'!$H$7:$H$366,'Climate Data'!$A$7:$A$366,Estimator!$B$4,'Climate Data'!$B$7:$B$366,C14)</f>
        <v>7.027624309392265</v>
      </c>
      <c r="J14" s="86">
        <f>SUMIFS('Wind Proxy'!$H$8:$H$19,'Wind Proxy'!$A$8:$A$19,Estimator!$B$4,'Wind Proxy'!$B$8:$B$19,C14)</f>
        <v>0</v>
      </c>
    </row>
    <row r="15" spans="1:10" ht="14.4">
      <c r="A15" s="84">
        <v>45666</v>
      </c>
      <c r="B15" s="85">
        <v>2025</v>
      </c>
      <c r="C15" s="85">
        <v>1</v>
      </c>
      <c r="D15" s="85" t="s">
        <v>55</v>
      </c>
      <c r="E15" s="85">
        <v>9</v>
      </c>
      <c r="F15" s="85">
        <v>4</v>
      </c>
      <c r="G15" s="85">
        <f>--(F15&lt;=Estimator!$B$7)</f>
        <v>1</v>
      </c>
      <c r="H15" s="86">
        <f>SUMIFS('Climate Data'!$G$7:$G$366,'Climate Data'!$A$7:$A$366,Estimator!$B$4,'Climate Data'!$B$7:$B$366,C15)</f>
        <v>0.19462365591397848</v>
      </c>
      <c r="I15" s="87">
        <f>SUMIFS('Climate Data'!$H$7:$H$366,'Climate Data'!$A$7:$A$366,Estimator!$B$4,'Climate Data'!$B$7:$B$366,C15)</f>
        <v>7.027624309392265</v>
      </c>
      <c r="J15" s="86">
        <f>SUMIFS('Wind Proxy'!$H$8:$H$19,'Wind Proxy'!$A$8:$A$19,Estimator!$B$4,'Wind Proxy'!$B$8:$B$19,C15)</f>
        <v>0</v>
      </c>
    </row>
    <row r="16" spans="1:10" ht="14.4">
      <c r="A16" s="84">
        <v>45667</v>
      </c>
      <c r="B16" s="85">
        <v>2025</v>
      </c>
      <c r="C16" s="85">
        <v>1</v>
      </c>
      <c r="D16" s="85" t="s">
        <v>55</v>
      </c>
      <c r="E16" s="85">
        <v>10</v>
      </c>
      <c r="F16" s="85">
        <v>5</v>
      </c>
      <c r="G16" s="85">
        <f>--(F16&lt;=Estimator!$B$7)</f>
        <v>1</v>
      </c>
      <c r="H16" s="86">
        <f>SUMIFS('Climate Data'!$G$7:$G$366,'Climate Data'!$A$7:$A$366,Estimator!$B$4,'Climate Data'!$B$7:$B$366,C16)</f>
        <v>0.19462365591397848</v>
      </c>
      <c r="I16" s="87">
        <f>SUMIFS('Climate Data'!$H$7:$H$366,'Climate Data'!$A$7:$A$366,Estimator!$B$4,'Climate Data'!$B$7:$B$366,C16)</f>
        <v>7.027624309392265</v>
      </c>
      <c r="J16" s="86">
        <f>SUMIFS('Wind Proxy'!$H$8:$H$19,'Wind Proxy'!$A$8:$A$19,Estimator!$B$4,'Wind Proxy'!$B$8:$B$19,C16)</f>
        <v>0</v>
      </c>
    </row>
    <row r="17" spans="1:10" ht="14.4">
      <c r="A17" s="84">
        <v>45668</v>
      </c>
      <c r="B17" s="85">
        <v>2025</v>
      </c>
      <c r="C17" s="85">
        <v>1</v>
      </c>
      <c r="D17" s="85" t="s">
        <v>55</v>
      </c>
      <c r="E17" s="85">
        <v>11</v>
      </c>
      <c r="F17" s="85">
        <v>6</v>
      </c>
      <c r="G17" s="85">
        <f>--(F17&lt;=Estimator!$B$7)</f>
        <v>0</v>
      </c>
      <c r="H17" s="86">
        <f>SUMIFS('Climate Data'!$G$7:$G$366,'Climate Data'!$A$7:$A$366,Estimator!$B$4,'Climate Data'!$B$7:$B$366,C17)</f>
        <v>0.19462365591397848</v>
      </c>
      <c r="I17" s="87">
        <f>SUMIFS('Climate Data'!$H$7:$H$366,'Climate Data'!$A$7:$A$366,Estimator!$B$4,'Climate Data'!$B$7:$B$366,C17)</f>
        <v>7.027624309392265</v>
      </c>
      <c r="J17" s="86">
        <f>SUMIFS('Wind Proxy'!$H$8:$H$19,'Wind Proxy'!$A$8:$A$19,Estimator!$B$4,'Wind Proxy'!$B$8:$B$19,C17)</f>
        <v>0</v>
      </c>
    </row>
    <row r="18" spans="1:10" ht="14.4">
      <c r="A18" s="84">
        <v>45669</v>
      </c>
      <c r="B18" s="85">
        <v>2025</v>
      </c>
      <c r="C18" s="85">
        <v>1</v>
      </c>
      <c r="D18" s="85" t="s">
        <v>55</v>
      </c>
      <c r="E18" s="85">
        <v>12</v>
      </c>
      <c r="F18" s="85">
        <v>7</v>
      </c>
      <c r="G18" s="85">
        <f>--(F18&lt;=Estimator!$B$7)</f>
        <v>0</v>
      </c>
      <c r="H18" s="86">
        <f>SUMIFS('Climate Data'!$G$7:$G$366,'Climate Data'!$A$7:$A$366,Estimator!$B$4,'Climate Data'!$B$7:$B$366,C18)</f>
        <v>0.19462365591397848</v>
      </c>
      <c r="I18" s="87">
        <f>SUMIFS('Climate Data'!$H$7:$H$366,'Climate Data'!$A$7:$A$366,Estimator!$B$4,'Climate Data'!$B$7:$B$366,C18)</f>
        <v>7.027624309392265</v>
      </c>
      <c r="J18" s="86">
        <f>SUMIFS('Wind Proxy'!$H$8:$H$19,'Wind Proxy'!$A$8:$A$19,Estimator!$B$4,'Wind Proxy'!$B$8:$B$19,C18)</f>
        <v>0</v>
      </c>
    </row>
    <row r="19" spans="1:10" ht="14.4">
      <c r="A19" s="84">
        <v>45670</v>
      </c>
      <c r="B19" s="85">
        <v>2025</v>
      </c>
      <c r="C19" s="85">
        <v>1</v>
      </c>
      <c r="D19" s="85" t="s">
        <v>55</v>
      </c>
      <c r="E19" s="85">
        <v>13</v>
      </c>
      <c r="F19" s="85">
        <v>1</v>
      </c>
      <c r="G19" s="85">
        <f>--(F19&lt;=Estimator!$B$7)</f>
        <v>1</v>
      </c>
      <c r="H19" s="86">
        <f>SUMIFS('Climate Data'!$G$7:$G$366,'Climate Data'!$A$7:$A$366,Estimator!$B$4,'Climate Data'!$B$7:$B$366,C19)</f>
        <v>0.19462365591397848</v>
      </c>
      <c r="I19" s="87">
        <f>SUMIFS('Climate Data'!$H$7:$H$366,'Climate Data'!$A$7:$A$366,Estimator!$B$4,'Climate Data'!$B$7:$B$366,C19)</f>
        <v>7.027624309392265</v>
      </c>
      <c r="J19" s="86">
        <f>SUMIFS('Wind Proxy'!$H$8:$H$19,'Wind Proxy'!$A$8:$A$19,Estimator!$B$4,'Wind Proxy'!$B$8:$B$19,C19)</f>
        <v>0</v>
      </c>
    </row>
    <row r="20" spans="1:10" ht="14.4">
      <c r="A20" s="84">
        <v>45671</v>
      </c>
      <c r="B20" s="85">
        <v>2025</v>
      </c>
      <c r="C20" s="85">
        <v>1</v>
      </c>
      <c r="D20" s="85" t="s">
        <v>55</v>
      </c>
      <c r="E20" s="85">
        <v>14</v>
      </c>
      <c r="F20" s="85">
        <v>2</v>
      </c>
      <c r="G20" s="85">
        <f>--(F20&lt;=Estimator!$B$7)</f>
        <v>1</v>
      </c>
      <c r="H20" s="86">
        <f>SUMIFS('Climate Data'!$G$7:$G$366,'Climate Data'!$A$7:$A$366,Estimator!$B$4,'Climate Data'!$B$7:$B$366,C20)</f>
        <v>0.19462365591397848</v>
      </c>
      <c r="I20" s="87">
        <f>SUMIFS('Climate Data'!$H$7:$H$366,'Climate Data'!$A$7:$A$366,Estimator!$B$4,'Climate Data'!$B$7:$B$366,C20)</f>
        <v>7.027624309392265</v>
      </c>
      <c r="J20" s="86">
        <f>SUMIFS('Wind Proxy'!$H$8:$H$19,'Wind Proxy'!$A$8:$A$19,Estimator!$B$4,'Wind Proxy'!$B$8:$B$19,C20)</f>
        <v>0</v>
      </c>
    </row>
    <row r="21" spans="1:10" ht="14.4">
      <c r="A21" s="84">
        <v>45672</v>
      </c>
      <c r="B21" s="85">
        <v>2025</v>
      </c>
      <c r="C21" s="85">
        <v>1</v>
      </c>
      <c r="D21" s="85" t="s">
        <v>55</v>
      </c>
      <c r="E21" s="85">
        <v>15</v>
      </c>
      <c r="F21" s="85">
        <v>3</v>
      </c>
      <c r="G21" s="85">
        <f>--(F21&lt;=Estimator!$B$7)</f>
        <v>1</v>
      </c>
      <c r="H21" s="86">
        <f>SUMIFS('Climate Data'!$G$7:$G$366,'Climate Data'!$A$7:$A$366,Estimator!$B$4,'Climate Data'!$B$7:$B$366,C21)</f>
        <v>0.19462365591397848</v>
      </c>
      <c r="I21" s="87">
        <f>SUMIFS('Climate Data'!$H$7:$H$366,'Climate Data'!$A$7:$A$366,Estimator!$B$4,'Climate Data'!$B$7:$B$366,C21)</f>
        <v>7.027624309392265</v>
      </c>
      <c r="J21" s="86">
        <f>SUMIFS('Wind Proxy'!$H$8:$H$19,'Wind Proxy'!$A$8:$A$19,Estimator!$B$4,'Wind Proxy'!$B$8:$B$19,C21)</f>
        <v>0</v>
      </c>
    </row>
    <row r="22" spans="1:10" ht="14.4">
      <c r="A22" s="84">
        <v>45673</v>
      </c>
      <c r="B22" s="85">
        <v>2025</v>
      </c>
      <c r="C22" s="85">
        <v>1</v>
      </c>
      <c r="D22" s="85" t="s">
        <v>55</v>
      </c>
      <c r="E22" s="85">
        <v>16</v>
      </c>
      <c r="F22" s="85">
        <v>4</v>
      </c>
      <c r="G22" s="85">
        <f>--(F22&lt;=Estimator!$B$7)</f>
        <v>1</v>
      </c>
      <c r="H22" s="86">
        <f>SUMIFS('Climate Data'!$G$7:$G$366,'Climate Data'!$A$7:$A$366,Estimator!$B$4,'Climate Data'!$B$7:$B$366,C22)</f>
        <v>0.19462365591397848</v>
      </c>
      <c r="I22" s="87">
        <f>SUMIFS('Climate Data'!$H$7:$H$366,'Climate Data'!$A$7:$A$366,Estimator!$B$4,'Climate Data'!$B$7:$B$366,C22)</f>
        <v>7.027624309392265</v>
      </c>
      <c r="J22" s="86">
        <f>SUMIFS('Wind Proxy'!$H$8:$H$19,'Wind Proxy'!$A$8:$A$19,Estimator!$B$4,'Wind Proxy'!$B$8:$B$19,C22)</f>
        <v>0</v>
      </c>
    </row>
    <row r="23" spans="1:10" ht="14.4">
      <c r="A23" s="84">
        <v>45674</v>
      </c>
      <c r="B23" s="85">
        <v>2025</v>
      </c>
      <c r="C23" s="85">
        <v>1</v>
      </c>
      <c r="D23" s="85" t="s">
        <v>55</v>
      </c>
      <c r="E23" s="85">
        <v>17</v>
      </c>
      <c r="F23" s="85">
        <v>5</v>
      </c>
      <c r="G23" s="85">
        <f>--(F23&lt;=Estimator!$B$7)</f>
        <v>1</v>
      </c>
      <c r="H23" s="86">
        <f>SUMIFS('Climate Data'!$G$7:$G$366,'Climate Data'!$A$7:$A$366,Estimator!$B$4,'Climate Data'!$B$7:$B$366,C23)</f>
        <v>0.19462365591397848</v>
      </c>
      <c r="I23" s="87">
        <f>SUMIFS('Climate Data'!$H$7:$H$366,'Climate Data'!$A$7:$A$366,Estimator!$B$4,'Climate Data'!$B$7:$B$366,C23)</f>
        <v>7.027624309392265</v>
      </c>
      <c r="J23" s="86">
        <f>SUMIFS('Wind Proxy'!$H$8:$H$19,'Wind Proxy'!$A$8:$A$19,Estimator!$B$4,'Wind Proxy'!$B$8:$B$19,C23)</f>
        <v>0</v>
      </c>
    </row>
    <row r="24" spans="1:10" ht="14.4">
      <c r="A24" s="84">
        <v>45675</v>
      </c>
      <c r="B24" s="85">
        <v>2025</v>
      </c>
      <c r="C24" s="85">
        <v>1</v>
      </c>
      <c r="D24" s="85" t="s">
        <v>55</v>
      </c>
      <c r="E24" s="85">
        <v>18</v>
      </c>
      <c r="F24" s="85">
        <v>6</v>
      </c>
      <c r="G24" s="85">
        <f>--(F24&lt;=Estimator!$B$7)</f>
        <v>0</v>
      </c>
      <c r="H24" s="86">
        <f>SUMIFS('Climate Data'!$G$7:$G$366,'Climate Data'!$A$7:$A$366,Estimator!$B$4,'Climate Data'!$B$7:$B$366,C24)</f>
        <v>0.19462365591397848</v>
      </c>
      <c r="I24" s="87">
        <f>SUMIFS('Climate Data'!$H$7:$H$366,'Climate Data'!$A$7:$A$366,Estimator!$B$4,'Climate Data'!$B$7:$B$366,C24)</f>
        <v>7.027624309392265</v>
      </c>
      <c r="J24" s="86">
        <f>SUMIFS('Wind Proxy'!$H$8:$H$19,'Wind Proxy'!$A$8:$A$19,Estimator!$B$4,'Wind Proxy'!$B$8:$B$19,C24)</f>
        <v>0</v>
      </c>
    </row>
    <row r="25" spans="1:10" ht="14.4">
      <c r="A25" s="84">
        <v>45676</v>
      </c>
      <c r="B25" s="85">
        <v>2025</v>
      </c>
      <c r="C25" s="85">
        <v>1</v>
      </c>
      <c r="D25" s="85" t="s">
        <v>55</v>
      </c>
      <c r="E25" s="85">
        <v>19</v>
      </c>
      <c r="F25" s="85">
        <v>7</v>
      </c>
      <c r="G25" s="85">
        <f>--(F25&lt;=Estimator!$B$7)</f>
        <v>0</v>
      </c>
      <c r="H25" s="86">
        <f>SUMIFS('Climate Data'!$G$7:$G$366,'Climate Data'!$A$7:$A$366,Estimator!$B$4,'Climate Data'!$B$7:$B$366,C25)</f>
        <v>0.19462365591397848</v>
      </c>
      <c r="I25" s="87">
        <f>SUMIFS('Climate Data'!$H$7:$H$366,'Climate Data'!$A$7:$A$366,Estimator!$B$4,'Climate Data'!$B$7:$B$366,C25)</f>
        <v>7.027624309392265</v>
      </c>
      <c r="J25" s="86">
        <f>SUMIFS('Wind Proxy'!$H$8:$H$19,'Wind Proxy'!$A$8:$A$19,Estimator!$B$4,'Wind Proxy'!$B$8:$B$19,C25)</f>
        <v>0</v>
      </c>
    </row>
    <row r="26" spans="1:10" ht="14.4">
      <c r="A26" s="84">
        <v>45677</v>
      </c>
      <c r="B26" s="85">
        <v>2025</v>
      </c>
      <c r="C26" s="85">
        <v>1</v>
      </c>
      <c r="D26" s="85" t="s">
        <v>55</v>
      </c>
      <c r="E26" s="85">
        <v>20</v>
      </c>
      <c r="F26" s="85">
        <v>1</v>
      </c>
      <c r="G26" s="85">
        <f>--(F26&lt;=Estimator!$B$7)</f>
        <v>1</v>
      </c>
      <c r="H26" s="86">
        <f>SUMIFS('Climate Data'!$G$7:$G$366,'Climate Data'!$A$7:$A$366,Estimator!$B$4,'Climate Data'!$B$7:$B$366,C26)</f>
        <v>0.19462365591397848</v>
      </c>
      <c r="I26" s="87">
        <f>SUMIFS('Climate Data'!$H$7:$H$366,'Climate Data'!$A$7:$A$366,Estimator!$B$4,'Climate Data'!$B$7:$B$366,C26)</f>
        <v>7.027624309392265</v>
      </c>
      <c r="J26" s="86">
        <f>SUMIFS('Wind Proxy'!$H$8:$H$19,'Wind Proxy'!$A$8:$A$19,Estimator!$B$4,'Wind Proxy'!$B$8:$B$19,C26)</f>
        <v>0</v>
      </c>
    </row>
    <row r="27" spans="1:10" ht="14.4">
      <c r="A27" s="84">
        <v>45678</v>
      </c>
      <c r="B27" s="85">
        <v>2025</v>
      </c>
      <c r="C27" s="85">
        <v>1</v>
      </c>
      <c r="D27" s="85" t="s">
        <v>55</v>
      </c>
      <c r="E27" s="85">
        <v>21</v>
      </c>
      <c r="F27" s="85">
        <v>2</v>
      </c>
      <c r="G27" s="85">
        <f>--(F27&lt;=Estimator!$B$7)</f>
        <v>1</v>
      </c>
      <c r="H27" s="86">
        <f>SUMIFS('Climate Data'!$G$7:$G$366,'Climate Data'!$A$7:$A$366,Estimator!$B$4,'Climate Data'!$B$7:$B$366,C27)</f>
        <v>0.19462365591397848</v>
      </c>
      <c r="I27" s="87">
        <f>SUMIFS('Climate Data'!$H$7:$H$366,'Climate Data'!$A$7:$A$366,Estimator!$B$4,'Climate Data'!$B$7:$B$366,C27)</f>
        <v>7.027624309392265</v>
      </c>
      <c r="J27" s="86">
        <f>SUMIFS('Wind Proxy'!$H$8:$H$19,'Wind Proxy'!$A$8:$A$19,Estimator!$B$4,'Wind Proxy'!$B$8:$B$19,C27)</f>
        <v>0</v>
      </c>
    </row>
    <row r="28" spans="1:10" ht="14.4">
      <c r="A28" s="84">
        <v>45679</v>
      </c>
      <c r="B28" s="85">
        <v>2025</v>
      </c>
      <c r="C28" s="85">
        <v>1</v>
      </c>
      <c r="D28" s="85" t="s">
        <v>55</v>
      </c>
      <c r="E28" s="85">
        <v>22</v>
      </c>
      <c r="F28" s="85">
        <v>3</v>
      </c>
      <c r="G28" s="85">
        <f>--(F28&lt;=Estimator!$B$7)</f>
        <v>1</v>
      </c>
      <c r="H28" s="86">
        <f>SUMIFS('Climate Data'!$G$7:$G$366,'Climate Data'!$A$7:$A$366,Estimator!$B$4,'Climate Data'!$B$7:$B$366,C28)</f>
        <v>0.19462365591397848</v>
      </c>
      <c r="I28" s="87">
        <f>SUMIFS('Climate Data'!$H$7:$H$366,'Climate Data'!$A$7:$A$366,Estimator!$B$4,'Climate Data'!$B$7:$B$366,C28)</f>
        <v>7.027624309392265</v>
      </c>
      <c r="J28" s="86">
        <f>SUMIFS('Wind Proxy'!$H$8:$H$19,'Wind Proxy'!$A$8:$A$19,Estimator!$B$4,'Wind Proxy'!$B$8:$B$19,C28)</f>
        <v>0</v>
      </c>
    </row>
    <row r="29" spans="1:10" ht="14.4">
      <c r="A29" s="84">
        <v>45680</v>
      </c>
      <c r="B29" s="85">
        <v>2025</v>
      </c>
      <c r="C29" s="85">
        <v>1</v>
      </c>
      <c r="D29" s="85" t="s">
        <v>55</v>
      </c>
      <c r="E29" s="85">
        <v>23</v>
      </c>
      <c r="F29" s="85">
        <v>4</v>
      </c>
      <c r="G29" s="85">
        <f>--(F29&lt;=Estimator!$B$7)</f>
        <v>1</v>
      </c>
      <c r="H29" s="86">
        <f>SUMIFS('Climate Data'!$G$7:$G$366,'Climate Data'!$A$7:$A$366,Estimator!$B$4,'Climate Data'!$B$7:$B$366,C29)</f>
        <v>0.19462365591397848</v>
      </c>
      <c r="I29" s="87">
        <f>SUMIFS('Climate Data'!$H$7:$H$366,'Climate Data'!$A$7:$A$366,Estimator!$B$4,'Climate Data'!$B$7:$B$366,C29)</f>
        <v>7.027624309392265</v>
      </c>
      <c r="J29" s="86">
        <f>SUMIFS('Wind Proxy'!$H$8:$H$19,'Wind Proxy'!$A$8:$A$19,Estimator!$B$4,'Wind Proxy'!$B$8:$B$19,C29)</f>
        <v>0</v>
      </c>
    </row>
    <row r="30" spans="1:10" ht="14.4">
      <c r="A30" s="84">
        <v>45681</v>
      </c>
      <c r="B30" s="85">
        <v>2025</v>
      </c>
      <c r="C30" s="85">
        <v>1</v>
      </c>
      <c r="D30" s="85" t="s">
        <v>55</v>
      </c>
      <c r="E30" s="85">
        <v>24</v>
      </c>
      <c r="F30" s="85">
        <v>5</v>
      </c>
      <c r="G30" s="85">
        <f>--(F30&lt;=Estimator!$B$7)</f>
        <v>1</v>
      </c>
      <c r="H30" s="86">
        <f>SUMIFS('Climate Data'!$G$7:$G$366,'Climate Data'!$A$7:$A$366,Estimator!$B$4,'Climate Data'!$B$7:$B$366,C30)</f>
        <v>0.19462365591397848</v>
      </c>
      <c r="I30" s="87">
        <f>SUMIFS('Climate Data'!$H$7:$H$366,'Climate Data'!$A$7:$A$366,Estimator!$B$4,'Climate Data'!$B$7:$B$366,C30)</f>
        <v>7.027624309392265</v>
      </c>
      <c r="J30" s="86">
        <f>SUMIFS('Wind Proxy'!$H$8:$H$19,'Wind Proxy'!$A$8:$A$19,Estimator!$B$4,'Wind Proxy'!$B$8:$B$19,C30)</f>
        <v>0</v>
      </c>
    </row>
    <row r="31" spans="1:10" ht="14.4">
      <c r="A31" s="84">
        <v>45682</v>
      </c>
      <c r="B31" s="85">
        <v>2025</v>
      </c>
      <c r="C31" s="85">
        <v>1</v>
      </c>
      <c r="D31" s="85" t="s">
        <v>55</v>
      </c>
      <c r="E31" s="85">
        <v>25</v>
      </c>
      <c r="F31" s="85">
        <v>6</v>
      </c>
      <c r="G31" s="85">
        <f>--(F31&lt;=Estimator!$B$7)</f>
        <v>0</v>
      </c>
      <c r="H31" s="86">
        <f>SUMIFS('Climate Data'!$G$7:$G$366,'Climate Data'!$A$7:$A$366,Estimator!$B$4,'Climate Data'!$B$7:$B$366,C31)</f>
        <v>0.19462365591397848</v>
      </c>
      <c r="I31" s="87">
        <f>SUMIFS('Climate Data'!$H$7:$H$366,'Climate Data'!$A$7:$A$366,Estimator!$B$4,'Climate Data'!$B$7:$B$366,C31)</f>
        <v>7.027624309392265</v>
      </c>
      <c r="J31" s="86">
        <f>SUMIFS('Wind Proxy'!$H$8:$H$19,'Wind Proxy'!$A$8:$A$19,Estimator!$B$4,'Wind Proxy'!$B$8:$B$19,C31)</f>
        <v>0</v>
      </c>
    </row>
    <row r="32" spans="1:10" ht="14.4">
      <c r="A32" s="84">
        <v>45683</v>
      </c>
      <c r="B32" s="85">
        <v>2025</v>
      </c>
      <c r="C32" s="85">
        <v>1</v>
      </c>
      <c r="D32" s="85" t="s">
        <v>55</v>
      </c>
      <c r="E32" s="85">
        <v>26</v>
      </c>
      <c r="F32" s="85">
        <v>7</v>
      </c>
      <c r="G32" s="85">
        <f>--(F32&lt;=Estimator!$B$7)</f>
        <v>0</v>
      </c>
      <c r="H32" s="86">
        <f>SUMIFS('Climate Data'!$G$7:$G$366,'Climate Data'!$A$7:$A$366,Estimator!$B$4,'Climate Data'!$B$7:$B$366,C32)</f>
        <v>0.19462365591397848</v>
      </c>
      <c r="I32" s="87">
        <f>SUMIFS('Climate Data'!$H$7:$H$366,'Climate Data'!$A$7:$A$366,Estimator!$B$4,'Climate Data'!$B$7:$B$366,C32)</f>
        <v>7.027624309392265</v>
      </c>
      <c r="J32" s="86">
        <f>SUMIFS('Wind Proxy'!$H$8:$H$19,'Wind Proxy'!$A$8:$A$19,Estimator!$B$4,'Wind Proxy'!$B$8:$B$19,C32)</f>
        <v>0</v>
      </c>
    </row>
    <row r="33" spans="1:10" ht="14.4">
      <c r="A33" s="84">
        <v>45684</v>
      </c>
      <c r="B33" s="85">
        <v>2025</v>
      </c>
      <c r="C33" s="85">
        <v>1</v>
      </c>
      <c r="D33" s="85" t="s">
        <v>55</v>
      </c>
      <c r="E33" s="85">
        <v>27</v>
      </c>
      <c r="F33" s="85">
        <v>1</v>
      </c>
      <c r="G33" s="85">
        <f>--(F33&lt;=Estimator!$B$7)</f>
        <v>1</v>
      </c>
      <c r="H33" s="86">
        <f>SUMIFS('Climate Data'!$G$7:$G$366,'Climate Data'!$A$7:$A$366,Estimator!$B$4,'Climate Data'!$B$7:$B$366,C33)</f>
        <v>0.19462365591397848</v>
      </c>
      <c r="I33" s="87">
        <f>SUMIFS('Climate Data'!$H$7:$H$366,'Climate Data'!$A$7:$A$366,Estimator!$B$4,'Climate Data'!$B$7:$B$366,C33)</f>
        <v>7.027624309392265</v>
      </c>
      <c r="J33" s="86">
        <f>SUMIFS('Wind Proxy'!$H$8:$H$19,'Wind Proxy'!$A$8:$A$19,Estimator!$B$4,'Wind Proxy'!$B$8:$B$19,C33)</f>
        <v>0</v>
      </c>
    </row>
    <row r="34" spans="1:10" ht="14.4">
      <c r="A34" s="84">
        <v>45685</v>
      </c>
      <c r="B34" s="85">
        <v>2025</v>
      </c>
      <c r="C34" s="85">
        <v>1</v>
      </c>
      <c r="D34" s="85" t="s">
        <v>55</v>
      </c>
      <c r="E34" s="85">
        <v>28</v>
      </c>
      <c r="F34" s="85">
        <v>2</v>
      </c>
      <c r="G34" s="85">
        <f>--(F34&lt;=Estimator!$B$7)</f>
        <v>1</v>
      </c>
      <c r="H34" s="86">
        <f>SUMIFS('Climate Data'!$G$7:$G$366,'Climate Data'!$A$7:$A$366,Estimator!$B$4,'Climate Data'!$B$7:$B$366,C34)</f>
        <v>0.19462365591397848</v>
      </c>
      <c r="I34" s="87">
        <f>SUMIFS('Climate Data'!$H$7:$H$366,'Climate Data'!$A$7:$A$366,Estimator!$B$4,'Climate Data'!$B$7:$B$366,C34)</f>
        <v>7.027624309392265</v>
      </c>
      <c r="J34" s="86">
        <f>SUMIFS('Wind Proxy'!$H$8:$H$19,'Wind Proxy'!$A$8:$A$19,Estimator!$B$4,'Wind Proxy'!$B$8:$B$19,C34)</f>
        <v>0</v>
      </c>
    </row>
    <row r="35" spans="1:10" ht="14.4">
      <c r="A35" s="84">
        <v>45686</v>
      </c>
      <c r="B35" s="85">
        <v>2025</v>
      </c>
      <c r="C35" s="85">
        <v>1</v>
      </c>
      <c r="D35" s="85" t="s">
        <v>55</v>
      </c>
      <c r="E35" s="85">
        <v>29</v>
      </c>
      <c r="F35" s="85">
        <v>3</v>
      </c>
      <c r="G35" s="85">
        <f>--(F35&lt;=Estimator!$B$7)</f>
        <v>1</v>
      </c>
      <c r="H35" s="86">
        <f>SUMIFS('Climate Data'!$G$7:$G$366,'Climate Data'!$A$7:$A$366,Estimator!$B$4,'Climate Data'!$B$7:$B$366,C35)</f>
        <v>0.19462365591397848</v>
      </c>
      <c r="I35" s="87">
        <f>SUMIFS('Climate Data'!$H$7:$H$366,'Climate Data'!$A$7:$A$366,Estimator!$B$4,'Climate Data'!$B$7:$B$366,C35)</f>
        <v>7.027624309392265</v>
      </c>
      <c r="J35" s="86">
        <f>SUMIFS('Wind Proxy'!$H$8:$H$19,'Wind Proxy'!$A$8:$A$19,Estimator!$B$4,'Wind Proxy'!$B$8:$B$19,C35)</f>
        <v>0</v>
      </c>
    </row>
    <row r="36" spans="1:10" ht="14.4">
      <c r="A36" s="84">
        <v>45687</v>
      </c>
      <c r="B36" s="85">
        <v>2025</v>
      </c>
      <c r="C36" s="85">
        <v>1</v>
      </c>
      <c r="D36" s="85" t="s">
        <v>55</v>
      </c>
      <c r="E36" s="85">
        <v>30</v>
      </c>
      <c r="F36" s="85">
        <v>4</v>
      </c>
      <c r="G36" s="85">
        <f>--(F36&lt;=Estimator!$B$7)</f>
        <v>1</v>
      </c>
      <c r="H36" s="86">
        <f>SUMIFS('Climate Data'!$G$7:$G$366,'Climate Data'!$A$7:$A$366,Estimator!$B$4,'Climate Data'!$B$7:$B$366,C36)</f>
        <v>0.19462365591397848</v>
      </c>
      <c r="I36" s="87">
        <f>SUMIFS('Climate Data'!$H$7:$H$366,'Climate Data'!$A$7:$A$366,Estimator!$B$4,'Climate Data'!$B$7:$B$366,C36)</f>
        <v>7.027624309392265</v>
      </c>
      <c r="J36" s="86">
        <f>SUMIFS('Wind Proxy'!$H$8:$H$19,'Wind Proxy'!$A$8:$A$19,Estimator!$B$4,'Wind Proxy'!$B$8:$B$19,C36)</f>
        <v>0</v>
      </c>
    </row>
    <row r="37" spans="1:10" ht="14.4">
      <c r="A37" s="84">
        <v>45688</v>
      </c>
      <c r="B37" s="85">
        <v>2025</v>
      </c>
      <c r="C37" s="85">
        <v>1</v>
      </c>
      <c r="D37" s="85" t="s">
        <v>55</v>
      </c>
      <c r="E37" s="85">
        <v>31</v>
      </c>
      <c r="F37" s="85">
        <v>5</v>
      </c>
      <c r="G37" s="85">
        <f>--(F37&lt;=Estimator!$B$7)</f>
        <v>1</v>
      </c>
      <c r="H37" s="86">
        <f>SUMIFS('Climate Data'!$G$7:$G$366,'Climate Data'!$A$7:$A$366,Estimator!$B$4,'Climate Data'!$B$7:$B$366,C37)</f>
        <v>0.19462365591397848</v>
      </c>
      <c r="I37" s="87">
        <f>SUMIFS('Climate Data'!$H$7:$H$366,'Climate Data'!$A$7:$A$366,Estimator!$B$4,'Climate Data'!$B$7:$B$366,C37)</f>
        <v>7.027624309392265</v>
      </c>
      <c r="J37" s="86">
        <f>SUMIFS('Wind Proxy'!$H$8:$H$19,'Wind Proxy'!$A$8:$A$19,Estimator!$B$4,'Wind Proxy'!$B$8:$B$19,C37)</f>
        <v>0</v>
      </c>
    </row>
    <row r="38" spans="1:10" ht="14.4">
      <c r="A38" s="84">
        <v>45689</v>
      </c>
      <c r="B38" s="85">
        <v>2025</v>
      </c>
      <c r="C38" s="85">
        <v>2</v>
      </c>
      <c r="D38" s="85" t="s">
        <v>58</v>
      </c>
      <c r="E38" s="85">
        <v>1</v>
      </c>
      <c r="F38" s="85">
        <v>6</v>
      </c>
      <c r="G38" s="85">
        <f>--(F38&lt;=Estimator!$B$7)</f>
        <v>0</v>
      </c>
      <c r="H38" s="86">
        <f>SUMIFS('Climate Data'!$G$7:$G$366,'Climate Data'!$A$7:$A$366,Estimator!$B$4,'Climate Data'!$B$7:$B$366,C38)</f>
        <v>0.18867924528301885</v>
      </c>
      <c r="I38" s="87">
        <f>SUMIFS('Climate Data'!$H$7:$H$366,'Climate Data'!$A$7:$A$366,Estimator!$B$4,'Climate Data'!$B$7:$B$366,C38)</f>
        <v>7.4624999999999995</v>
      </c>
      <c r="J38" s="86">
        <f>SUMIFS('Wind Proxy'!$H$8:$H$19,'Wind Proxy'!$A$8:$A$19,Estimator!$B$4,'Wind Proxy'!$B$8:$B$19,C38)</f>
        <v>0</v>
      </c>
    </row>
    <row r="39" spans="1:10" ht="14.4">
      <c r="A39" s="84">
        <v>45690</v>
      </c>
      <c r="B39" s="85">
        <v>2025</v>
      </c>
      <c r="C39" s="85">
        <v>2</v>
      </c>
      <c r="D39" s="85" t="s">
        <v>58</v>
      </c>
      <c r="E39" s="85">
        <v>2</v>
      </c>
      <c r="F39" s="85">
        <v>7</v>
      </c>
      <c r="G39" s="85">
        <f>--(F39&lt;=Estimator!$B$7)</f>
        <v>0</v>
      </c>
      <c r="H39" s="86">
        <f>SUMIFS('Climate Data'!$G$7:$G$366,'Climate Data'!$A$7:$A$366,Estimator!$B$4,'Climate Data'!$B$7:$B$366,C39)</f>
        <v>0.18867924528301885</v>
      </c>
      <c r="I39" s="87">
        <f>SUMIFS('Climate Data'!$H$7:$H$366,'Climate Data'!$A$7:$A$366,Estimator!$B$4,'Climate Data'!$B$7:$B$366,C39)</f>
        <v>7.4624999999999995</v>
      </c>
      <c r="J39" s="86">
        <f>SUMIFS('Wind Proxy'!$H$8:$H$19,'Wind Proxy'!$A$8:$A$19,Estimator!$B$4,'Wind Proxy'!$B$8:$B$19,C39)</f>
        <v>0</v>
      </c>
    </row>
    <row r="40" spans="1:10" ht="14.4">
      <c r="A40" s="84">
        <v>45691</v>
      </c>
      <c r="B40" s="85">
        <v>2025</v>
      </c>
      <c r="C40" s="85">
        <v>2</v>
      </c>
      <c r="D40" s="85" t="s">
        <v>58</v>
      </c>
      <c r="E40" s="85">
        <v>3</v>
      </c>
      <c r="F40" s="85">
        <v>1</v>
      </c>
      <c r="G40" s="85">
        <f>--(F40&lt;=Estimator!$B$7)</f>
        <v>1</v>
      </c>
      <c r="H40" s="86">
        <f>SUMIFS('Climate Data'!$G$7:$G$366,'Climate Data'!$A$7:$A$366,Estimator!$B$4,'Climate Data'!$B$7:$B$366,C40)</f>
        <v>0.18867924528301885</v>
      </c>
      <c r="I40" s="87">
        <f>SUMIFS('Climate Data'!$H$7:$H$366,'Climate Data'!$A$7:$A$366,Estimator!$B$4,'Climate Data'!$B$7:$B$366,C40)</f>
        <v>7.4624999999999995</v>
      </c>
      <c r="J40" s="86">
        <f>SUMIFS('Wind Proxy'!$H$8:$H$19,'Wind Proxy'!$A$8:$A$19,Estimator!$B$4,'Wind Proxy'!$B$8:$B$19,C40)</f>
        <v>0</v>
      </c>
    </row>
    <row r="41" spans="1:10" ht="14.4">
      <c r="A41" s="84">
        <v>45692</v>
      </c>
      <c r="B41" s="85">
        <v>2025</v>
      </c>
      <c r="C41" s="85">
        <v>2</v>
      </c>
      <c r="D41" s="85" t="s">
        <v>58</v>
      </c>
      <c r="E41" s="85">
        <v>4</v>
      </c>
      <c r="F41" s="85">
        <v>2</v>
      </c>
      <c r="G41" s="85">
        <f>--(F41&lt;=Estimator!$B$7)</f>
        <v>1</v>
      </c>
      <c r="H41" s="86">
        <f>SUMIFS('Climate Data'!$G$7:$G$366,'Climate Data'!$A$7:$A$366,Estimator!$B$4,'Climate Data'!$B$7:$B$366,C41)</f>
        <v>0.18867924528301885</v>
      </c>
      <c r="I41" s="87">
        <f>SUMIFS('Climate Data'!$H$7:$H$366,'Climate Data'!$A$7:$A$366,Estimator!$B$4,'Climate Data'!$B$7:$B$366,C41)</f>
        <v>7.4624999999999995</v>
      </c>
      <c r="J41" s="86">
        <f>SUMIFS('Wind Proxy'!$H$8:$H$19,'Wind Proxy'!$A$8:$A$19,Estimator!$B$4,'Wind Proxy'!$B$8:$B$19,C41)</f>
        <v>0</v>
      </c>
    </row>
    <row r="42" spans="1:10" ht="14.4">
      <c r="A42" s="84">
        <v>45693</v>
      </c>
      <c r="B42" s="85">
        <v>2025</v>
      </c>
      <c r="C42" s="85">
        <v>2</v>
      </c>
      <c r="D42" s="85" t="s">
        <v>58</v>
      </c>
      <c r="E42" s="85">
        <v>5</v>
      </c>
      <c r="F42" s="85">
        <v>3</v>
      </c>
      <c r="G42" s="85">
        <f>--(F42&lt;=Estimator!$B$7)</f>
        <v>1</v>
      </c>
      <c r="H42" s="86">
        <f>SUMIFS('Climate Data'!$G$7:$G$366,'Climate Data'!$A$7:$A$366,Estimator!$B$4,'Climate Data'!$B$7:$B$366,C42)</f>
        <v>0.18867924528301885</v>
      </c>
      <c r="I42" s="87">
        <f>SUMIFS('Climate Data'!$H$7:$H$366,'Climate Data'!$A$7:$A$366,Estimator!$B$4,'Climate Data'!$B$7:$B$366,C42)</f>
        <v>7.4624999999999995</v>
      </c>
      <c r="J42" s="86">
        <f>SUMIFS('Wind Proxy'!$H$8:$H$19,'Wind Proxy'!$A$8:$A$19,Estimator!$B$4,'Wind Proxy'!$B$8:$B$19,C42)</f>
        <v>0</v>
      </c>
    </row>
    <row r="43" spans="1:10" ht="14.4">
      <c r="A43" s="84">
        <v>45694</v>
      </c>
      <c r="B43" s="85">
        <v>2025</v>
      </c>
      <c r="C43" s="85">
        <v>2</v>
      </c>
      <c r="D43" s="85" t="s">
        <v>58</v>
      </c>
      <c r="E43" s="85">
        <v>6</v>
      </c>
      <c r="F43" s="85">
        <v>4</v>
      </c>
      <c r="G43" s="85">
        <f>--(F43&lt;=Estimator!$B$7)</f>
        <v>1</v>
      </c>
      <c r="H43" s="86">
        <f>SUMIFS('Climate Data'!$G$7:$G$366,'Climate Data'!$A$7:$A$366,Estimator!$B$4,'Climate Data'!$B$7:$B$366,C43)</f>
        <v>0.18867924528301885</v>
      </c>
      <c r="I43" s="87">
        <f>SUMIFS('Climate Data'!$H$7:$H$366,'Climate Data'!$A$7:$A$366,Estimator!$B$4,'Climate Data'!$B$7:$B$366,C43)</f>
        <v>7.4624999999999995</v>
      </c>
      <c r="J43" s="86">
        <f>SUMIFS('Wind Proxy'!$H$8:$H$19,'Wind Proxy'!$A$8:$A$19,Estimator!$B$4,'Wind Proxy'!$B$8:$B$19,C43)</f>
        <v>0</v>
      </c>
    </row>
    <row r="44" spans="1:10" ht="14.4">
      <c r="A44" s="84">
        <v>45695</v>
      </c>
      <c r="B44" s="85">
        <v>2025</v>
      </c>
      <c r="C44" s="85">
        <v>2</v>
      </c>
      <c r="D44" s="85" t="s">
        <v>58</v>
      </c>
      <c r="E44" s="85">
        <v>7</v>
      </c>
      <c r="F44" s="85">
        <v>5</v>
      </c>
      <c r="G44" s="85">
        <f>--(F44&lt;=Estimator!$B$7)</f>
        <v>1</v>
      </c>
      <c r="H44" s="86">
        <f>SUMIFS('Climate Data'!$G$7:$G$366,'Climate Data'!$A$7:$A$366,Estimator!$B$4,'Climate Data'!$B$7:$B$366,C44)</f>
        <v>0.18867924528301885</v>
      </c>
      <c r="I44" s="87">
        <f>SUMIFS('Climate Data'!$H$7:$H$366,'Climate Data'!$A$7:$A$366,Estimator!$B$4,'Climate Data'!$B$7:$B$366,C44)</f>
        <v>7.4624999999999995</v>
      </c>
      <c r="J44" s="86">
        <f>SUMIFS('Wind Proxy'!$H$8:$H$19,'Wind Proxy'!$A$8:$A$19,Estimator!$B$4,'Wind Proxy'!$B$8:$B$19,C44)</f>
        <v>0</v>
      </c>
    </row>
    <row r="45" spans="1:10" ht="14.4">
      <c r="A45" s="84">
        <v>45696</v>
      </c>
      <c r="B45" s="85">
        <v>2025</v>
      </c>
      <c r="C45" s="85">
        <v>2</v>
      </c>
      <c r="D45" s="85" t="s">
        <v>58</v>
      </c>
      <c r="E45" s="85">
        <v>8</v>
      </c>
      <c r="F45" s="85">
        <v>6</v>
      </c>
      <c r="G45" s="85">
        <f>--(F45&lt;=Estimator!$B$7)</f>
        <v>0</v>
      </c>
      <c r="H45" s="86">
        <f>SUMIFS('Climate Data'!$G$7:$G$366,'Climate Data'!$A$7:$A$366,Estimator!$B$4,'Climate Data'!$B$7:$B$366,C45)</f>
        <v>0.18867924528301885</v>
      </c>
      <c r="I45" s="87">
        <f>SUMIFS('Climate Data'!$H$7:$H$366,'Climate Data'!$A$7:$A$366,Estimator!$B$4,'Climate Data'!$B$7:$B$366,C45)</f>
        <v>7.4624999999999995</v>
      </c>
      <c r="J45" s="86">
        <f>SUMIFS('Wind Proxy'!$H$8:$H$19,'Wind Proxy'!$A$8:$A$19,Estimator!$B$4,'Wind Proxy'!$B$8:$B$19,C45)</f>
        <v>0</v>
      </c>
    </row>
    <row r="46" spans="1:10" ht="14.4">
      <c r="A46" s="84">
        <v>45697</v>
      </c>
      <c r="B46" s="85">
        <v>2025</v>
      </c>
      <c r="C46" s="85">
        <v>2</v>
      </c>
      <c r="D46" s="85" t="s">
        <v>58</v>
      </c>
      <c r="E46" s="85">
        <v>9</v>
      </c>
      <c r="F46" s="85">
        <v>7</v>
      </c>
      <c r="G46" s="85">
        <f>--(F46&lt;=Estimator!$B$7)</f>
        <v>0</v>
      </c>
      <c r="H46" s="86">
        <f>SUMIFS('Climate Data'!$G$7:$G$366,'Climate Data'!$A$7:$A$366,Estimator!$B$4,'Climate Data'!$B$7:$B$366,C46)</f>
        <v>0.18867924528301885</v>
      </c>
      <c r="I46" s="87">
        <f>SUMIFS('Climate Data'!$H$7:$H$366,'Climate Data'!$A$7:$A$366,Estimator!$B$4,'Climate Data'!$B$7:$B$366,C46)</f>
        <v>7.4624999999999995</v>
      </c>
      <c r="J46" s="86">
        <f>SUMIFS('Wind Proxy'!$H$8:$H$19,'Wind Proxy'!$A$8:$A$19,Estimator!$B$4,'Wind Proxy'!$B$8:$B$19,C46)</f>
        <v>0</v>
      </c>
    </row>
    <row r="47" spans="1:10" ht="14.4">
      <c r="A47" s="84">
        <v>45698</v>
      </c>
      <c r="B47" s="85">
        <v>2025</v>
      </c>
      <c r="C47" s="85">
        <v>2</v>
      </c>
      <c r="D47" s="85" t="s">
        <v>58</v>
      </c>
      <c r="E47" s="85">
        <v>10</v>
      </c>
      <c r="F47" s="85">
        <v>1</v>
      </c>
      <c r="G47" s="85">
        <f>--(F47&lt;=Estimator!$B$7)</f>
        <v>1</v>
      </c>
      <c r="H47" s="86">
        <f>SUMIFS('Climate Data'!$G$7:$G$366,'Climate Data'!$A$7:$A$366,Estimator!$B$4,'Climate Data'!$B$7:$B$366,C47)</f>
        <v>0.18867924528301885</v>
      </c>
      <c r="I47" s="87">
        <f>SUMIFS('Climate Data'!$H$7:$H$366,'Climate Data'!$A$7:$A$366,Estimator!$B$4,'Climate Data'!$B$7:$B$366,C47)</f>
        <v>7.4624999999999995</v>
      </c>
      <c r="J47" s="86">
        <f>SUMIFS('Wind Proxy'!$H$8:$H$19,'Wind Proxy'!$A$8:$A$19,Estimator!$B$4,'Wind Proxy'!$B$8:$B$19,C47)</f>
        <v>0</v>
      </c>
    </row>
    <row r="48" spans="1:10" ht="14.4">
      <c r="A48" s="84">
        <v>45699</v>
      </c>
      <c r="B48" s="85">
        <v>2025</v>
      </c>
      <c r="C48" s="85">
        <v>2</v>
      </c>
      <c r="D48" s="85" t="s">
        <v>58</v>
      </c>
      <c r="E48" s="85">
        <v>11</v>
      </c>
      <c r="F48" s="85">
        <v>2</v>
      </c>
      <c r="G48" s="85">
        <f>--(F48&lt;=Estimator!$B$7)</f>
        <v>1</v>
      </c>
      <c r="H48" s="86">
        <f>SUMIFS('Climate Data'!$G$7:$G$366,'Climate Data'!$A$7:$A$366,Estimator!$B$4,'Climate Data'!$B$7:$B$366,C48)</f>
        <v>0.18867924528301885</v>
      </c>
      <c r="I48" s="87">
        <f>SUMIFS('Climate Data'!$H$7:$H$366,'Climate Data'!$A$7:$A$366,Estimator!$B$4,'Climate Data'!$B$7:$B$366,C48)</f>
        <v>7.4624999999999995</v>
      </c>
      <c r="J48" s="86">
        <f>SUMIFS('Wind Proxy'!$H$8:$H$19,'Wind Proxy'!$A$8:$A$19,Estimator!$B$4,'Wind Proxy'!$B$8:$B$19,C48)</f>
        <v>0</v>
      </c>
    </row>
    <row r="49" spans="1:10" ht="14.4">
      <c r="A49" s="84">
        <v>45700</v>
      </c>
      <c r="B49" s="85">
        <v>2025</v>
      </c>
      <c r="C49" s="85">
        <v>2</v>
      </c>
      <c r="D49" s="85" t="s">
        <v>58</v>
      </c>
      <c r="E49" s="85">
        <v>12</v>
      </c>
      <c r="F49" s="85">
        <v>3</v>
      </c>
      <c r="G49" s="85">
        <f>--(F49&lt;=Estimator!$B$7)</f>
        <v>1</v>
      </c>
      <c r="H49" s="86">
        <f>SUMIFS('Climate Data'!$G$7:$G$366,'Climate Data'!$A$7:$A$366,Estimator!$B$4,'Climate Data'!$B$7:$B$366,C49)</f>
        <v>0.18867924528301885</v>
      </c>
      <c r="I49" s="87">
        <f>SUMIFS('Climate Data'!$H$7:$H$366,'Climate Data'!$A$7:$A$366,Estimator!$B$4,'Climate Data'!$B$7:$B$366,C49)</f>
        <v>7.4624999999999995</v>
      </c>
      <c r="J49" s="86">
        <f>SUMIFS('Wind Proxy'!$H$8:$H$19,'Wind Proxy'!$A$8:$A$19,Estimator!$B$4,'Wind Proxy'!$B$8:$B$19,C49)</f>
        <v>0</v>
      </c>
    </row>
    <row r="50" spans="1:10" ht="14.4">
      <c r="A50" s="84">
        <v>45701</v>
      </c>
      <c r="B50" s="85">
        <v>2025</v>
      </c>
      <c r="C50" s="85">
        <v>2</v>
      </c>
      <c r="D50" s="85" t="s">
        <v>58</v>
      </c>
      <c r="E50" s="85">
        <v>13</v>
      </c>
      <c r="F50" s="85">
        <v>4</v>
      </c>
      <c r="G50" s="85">
        <f>--(F50&lt;=Estimator!$B$7)</f>
        <v>1</v>
      </c>
      <c r="H50" s="86">
        <f>SUMIFS('Climate Data'!$G$7:$G$366,'Climate Data'!$A$7:$A$366,Estimator!$B$4,'Climate Data'!$B$7:$B$366,C50)</f>
        <v>0.18867924528301885</v>
      </c>
      <c r="I50" s="87">
        <f>SUMIFS('Climate Data'!$H$7:$H$366,'Climate Data'!$A$7:$A$366,Estimator!$B$4,'Climate Data'!$B$7:$B$366,C50)</f>
        <v>7.4624999999999995</v>
      </c>
      <c r="J50" s="86">
        <f>SUMIFS('Wind Proxy'!$H$8:$H$19,'Wind Proxy'!$A$8:$A$19,Estimator!$B$4,'Wind Proxy'!$B$8:$B$19,C50)</f>
        <v>0</v>
      </c>
    </row>
    <row r="51" spans="1:10" ht="14.4">
      <c r="A51" s="84">
        <v>45702</v>
      </c>
      <c r="B51" s="85">
        <v>2025</v>
      </c>
      <c r="C51" s="85">
        <v>2</v>
      </c>
      <c r="D51" s="85" t="s">
        <v>58</v>
      </c>
      <c r="E51" s="85">
        <v>14</v>
      </c>
      <c r="F51" s="85">
        <v>5</v>
      </c>
      <c r="G51" s="85">
        <f>--(F51&lt;=Estimator!$B$7)</f>
        <v>1</v>
      </c>
      <c r="H51" s="86">
        <f>SUMIFS('Climate Data'!$G$7:$G$366,'Climate Data'!$A$7:$A$366,Estimator!$B$4,'Climate Data'!$B$7:$B$366,C51)</f>
        <v>0.18867924528301885</v>
      </c>
      <c r="I51" s="87">
        <f>SUMIFS('Climate Data'!$H$7:$H$366,'Climate Data'!$A$7:$A$366,Estimator!$B$4,'Climate Data'!$B$7:$B$366,C51)</f>
        <v>7.4624999999999995</v>
      </c>
      <c r="J51" s="86">
        <f>SUMIFS('Wind Proxy'!$H$8:$H$19,'Wind Proxy'!$A$8:$A$19,Estimator!$B$4,'Wind Proxy'!$B$8:$B$19,C51)</f>
        <v>0</v>
      </c>
    </row>
    <row r="52" spans="1:10" ht="14.4">
      <c r="A52" s="84">
        <v>45703</v>
      </c>
      <c r="B52" s="85">
        <v>2025</v>
      </c>
      <c r="C52" s="85">
        <v>2</v>
      </c>
      <c r="D52" s="85" t="s">
        <v>58</v>
      </c>
      <c r="E52" s="85">
        <v>15</v>
      </c>
      <c r="F52" s="85">
        <v>6</v>
      </c>
      <c r="G52" s="85">
        <f>--(F52&lt;=Estimator!$B$7)</f>
        <v>0</v>
      </c>
      <c r="H52" s="86">
        <f>SUMIFS('Climate Data'!$G$7:$G$366,'Climate Data'!$A$7:$A$366,Estimator!$B$4,'Climate Data'!$B$7:$B$366,C52)</f>
        <v>0.18867924528301885</v>
      </c>
      <c r="I52" s="87">
        <f>SUMIFS('Climate Data'!$H$7:$H$366,'Climate Data'!$A$7:$A$366,Estimator!$B$4,'Climate Data'!$B$7:$B$366,C52)</f>
        <v>7.4624999999999995</v>
      </c>
      <c r="J52" s="86">
        <f>SUMIFS('Wind Proxy'!$H$8:$H$19,'Wind Proxy'!$A$8:$A$19,Estimator!$B$4,'Wind Proxy'!$B$8:$B$19,C52)</f>
        <v>0</v>
      </c>
    </row>
    <row r="53" spans="1:10" ht="14.4">
      <c r="A53" s="84">
        <v>45704</v>
      </c>
      <c r="B53" s="85">
        <v>2025</v>
      </c>
      <c r="C53" s="85">
        <v>2</v>
      </c>
      <c r="D53" s="85" t="s">
        <v>58</v>
      </c>
      <c r="E53" s="85">
        <v>16</v>
      </c>
      <c r="F53" s="85">
        <v>7</v>
      </c>
      <c r="G53" s="85">
        <f>--(F53&lt;=Estimator!$B$7)</f>
        <v>0</v>
      </c>
      <c r="H53" s="86">
        <f>SUMIFS('Climate Data'!$G$7:$G$366,'Climate Data'!$A$7:$A$366,Estimator!$B$4,'Climate Data'!$B$7:$B$366,C53)</f>
        <v>0.18867924528301885</v>
      </c>
      <c r="I53" s="87">
        <f>SUMIFS('Climate Data'!$H$7:$H$366,'Climate Data'!$A$7:$A$366,Estimator!$B$4,'Climate Data'!$B$7:$B$366,C53)</f>
        <v>7.4624999999999995</v>
      </c>
      <c r="J53" s="86">
        <f>SUMIFS('Wind Proxy'!$H$8:$H$19,'Wind Proxy'!$A$8:$A$19,Estimator!$B$4,'Wind Proxy'!$B$8:$B$19,C53)</f>
        <v>0</v>
      </c>
    </row>
    <row r="54" spans="1:10" ht="14.4">
      <c r="A54" s="84">
        <v>45705</v>
      </c>
      <c r="B54" s="85">
        <v>2025</v>
      </c>
      <c r="C54" s="85">
        <v>2</v>
      </c>
      <c r="D54" s="85" t="s">
        <v>58</v>
      </c>
      <c r="E54" s="85">
        <v>17</v>
      </c>
      <c r="F54" s="85">
        <v>1</v>
      </c>
      <c r="G54" s="85">
        <f>--(F54&lt;=Estimator!$B$7)</f>
        <v>1</v>
      </c>
      <c r="H54" s="86">
        <f>SUMIFS('Climate Data'!$G$7:$G$366,'Climate Data'!$A$7:$A$366,Estimator!$B$4,'Climate Data'!$B$7:$B$366,C54)</f>
        <v>0.18867924528301885</v>
      </c>
      <c r="I54" s="87">
        <f>SUMIFS('Climate Data'!$H$7:$H$366,'Climate Data'!$A$7:$A$366,Estimator!$B$4,'Climate Data'!$B$7:$B$366,C54)</f>
        <v>7.4624999999999995</v>
      </c>
      <c r="J54" s="86">
        <f>SUMIFS('Wind Proxy'!$H$8:$H$19,'Wind Proxy'!$A$8:$A$19,Estimator!$B$4,'Wind Proxy'!$B$8:$B$19,C54)</f>
        <v>0</v>
      </c>
    </row>
    <row r="55" spans="1:10" ht="14.4">
      <c r="A55" s="84">
        <v>45706</v>
      </c>
      <c r="B55" s="85">
        <v>2025</v>
      </c>
      <c r="C55" s="85">
        <v>2</v>
      </c>
      <c r="D55" s="85" t="s">
        <v>58</v>
      </c>
      <c r="E55" s="85">
        <v>18</v>
      </c>
      <c r="F55" s="85">
        <v>2</v>
      </c>
      <c r="G55" s="85">
        <f>--(F55&lt;=Estimator!$B$7)</f>
        <v>1</v>
      </c>
      <c r="H55" s="86">
        <f>SUMIFS('Climate Data'!$G$7:$G$366,'Climate Data'!$A$7:$A$366,Estimator!$B$4,'Climate Data'!$B$7:$B$366,C55)</f>
        <v>0.18867924528301885</v>
      </c>
      <c r="I55" s="87">
        <f>SUMIFS('Climate Data'!$H$7:$H$366,'Climate Data'!$A$7:$A$366,Estimator!$B$4,'Climate Data'!$B$7:$B$366,C55)</f>
        <v>7.4624999999999995</v>
      </c>
      <c r="J55" s="86">
        <f>SUMIFS('Wind Proxy'!$H$8:$H$19,'Wind Proxy'!$A$8:$A$19,Estimator!$B$4,'Wind Proxy'!$B$8:$B$19,C55)</f>
        <v>0</v>
      </c>
    </row>
    <row r="56" spans="1:10" ht="14.4">
      <c r="A56" s="84">
        <v>45707</v>
      </c>
      <c r="B56" s="85">
        <v>2025</v>
      </c>
      <c r="C56" s="85">
        <v>2</v>
      </c>
      <c r="D56" s="85" t="s">
        <v>58</v>
      </c>
      <c r="E56" s="85">
        <v>19</v>
      </c>
      <c r="F56" s="85">
        <v>3</v>
      </c>
      <c r="G56" s="85">
        <f>--(F56&lt;=Estimator!$B$7)</f>
        <v>1</v>
      </c>
      <c r="H56" s="86">
        <f>SUMIFS('Climate Data'!$G$7:$G$366,'Climate Data'!$A$7:$A$366,Estimator!$B$4,'Climate Data'!$B$7:$B$366,C56)</f>
        <v>0.18867924528301885</v>
      </c>
      <c r="I56" s="87">
        <f>SUMIFS('Climate Data'!$H$7:$H$366,'Climate Data'!$A$7:$A$366,Estimator!$B$4,'Climate Data'!$B$7:$B$366,C56)</f>
        <v>7.4624999999999995</v>
      </c>
      <c r="J56" s="86">
        <f>SUMIFS('Wind Proxy'!$H$8:$H$19,'Wind Proxy'!$A$8:$A$19,Estimator!$B$4,'Wind Proxy'!$B$8:$B$19,C56)</f>
        <v>0</v>
      </c>
    </row>
    <row r="57" spans="1:10" ht="14.4">
      <c r="A57" s="84">
        <v>45708</v>
      </c>
      <c r="B57" s="85">
        <v>2025</v>
      </c>
      <c r="C57" s="85">
        <v>2</v>
      </c>
      <c r="D57" s="85" t="s">
        <v>58</v>
      </c>
      <c r="E57" s="85">
        <v>20</v>
      </c>
      <c r="F57" s="85">
        <v>4</v>
      </c>
      <c r="G57" s="85">
        <f>--(F57&lt;=Estimator!$B$7)</f>
        <v>1</v>
      </c>
      <c r="H57" s="86">
        <f>SUMIFS('Climate Data'!$G$7:$G$366,'Climate Data'!$A$7:$A$366,Estimator!$B$4,'Climate Data'!$B$7:$B$366,C57)</f>
        <v>0.18867924528301885</v>
      </c>
      <c r="I57" s="87">
        <f>SUMIFS('Climate Data'!$H$7:$H$366,'Climate Data'!$A$7:$A$366,Estimator!$B$4,'Climate Data'!$B$7:$B$366,C57)</f>
        <v>7.4624999999999995</v>
      </c>
      <c r="J57" s="86">
        <f>SUMIFS('Wind Proxy'!$H$8:$H$19,'Wind Proxy'!$A$8:$A$19,Estimator!$B$4,'Wind Proxy'!$B$8:$B$19,C57)</f>
        <v>0</v>
      </c>
    </row>
    <row r="58" spans="1:10" ht="14.4">
      <c r="A58" s="84">
        <v>45709</v>
      </c>
      <c r="B58" s="85">
        <v>2025</v>
      </c>
      <c r="C58" s="85">
        <v>2</v>
      </c>
      <c r="D58" s="85" t="s">
        <v>58</v>
      </c>
      <c r="E58" s="85">
        <v>21</v>
      </c>
      <c r="F58" s="85">
        <v>5</v>
      </c>
      <c r="G58" s="85">
        <f>--(F58&lt;=Estimator!$B$7)</f>
        <v>1</v>
      </c>
      <c r="H58" s="86">
        <f>SUMIFS('Climate Data'!$G$7:$G$366,'Climate Data'!$A$7:$A$366,Estimator!$B$4,'Climate Data'!$B$7:$B$366,C58)</f>
        <v>0.18867924528301885</v>
      </c>
      <c r="I58" s="87">
        <f>SUMIFS('Climate Data'!$H$7:$H$366,'Climate Data'!$A$7:$A$366,Estimator!$B$4,'Climate Data'!$B$7:$B$366,C58)</f>
        <v>7.4624999999999995</v>
      </c>
      <c r="J58" s="86">
        <f>SUMIFS('Wind Proxy'!$H$8:$H$19,'Wind Proxy'!$A$8:$A$19,Estimator!$B$4,'Wind Proxy'!$B$8:$B$19,C58)</f>
        <v>0</v>
      </c>
    </row>
    <row r="59" spans="1:10" ht="14.4">
      <c r="A59" s="84">
        <v>45710</v>
      </c>
      <c r="B59" s="85">
        <v>2025</v>
      </c>
      <c r="C59" s="85">
        <v>2</v>
      </c>
      <c r="D59" s="85" t="s">
        <v>58</v>
      </c>
      <c r="E59" s="85">
        <v>22</v>
      </c>
      <c r="F59" s="85">
        <v>6</v>
      </c>
      <c r="G59" s="85">
        <f>--(F59&lt;=Estimator!$B$7)</f>
        <v>0</v>
      </c>
      <c r="H59" s="86">
        <f>SUMIFS('Climate Data'!$G$7:$G$366,'Climate Data'!$A$7:$A$366,Estimator!$B$4,'Climate Data'!$B$7:$B$366,C59)</f>
        <v>0.18867924528301885</v>
      </c>
      <c r="I59" s="87">
        <f>SUMIFS('Climate Data'!$H$7:$H$366,'Climate Data'!$A$7:$A$366,Estimator!$B$4,'Climate Data'!$B$7:$B$366,C59)</f>
        <v>7.4624999999999995</v>
      </c>
      <c r="J59" s="86">
        <f>SUMIFS('Wind Proxy'!$H$8:$H$19,'Wind Proxy'!$A$8:$A$19,Estimator!$B$4,'Wind Proxy'!$B$8:$B$19,C59)</f>
        <v>0</v>
      </c>
    </row>
    <row r="60" spans="1:10" ht="14.4">
      <c r="A60" s="84">
        <v>45711</v>
      </c>
      <c r="B60" s="85">
        <v>2025</v>
      </c>
      <c r="C60" s="85">
        <v>2</v>
      </c>
      <c r="D60" s="85" t="s">
        <v>58</v>
      </c>
      <c r="E60" s="85">
        <v>23</v>
      </c>
      <c r="F60" s="85">
        <v>7</v>
      </c>
      <c r="G60" s="85">
        <f>--(F60&lt;=Estimator!$B$7)</f>
        <v>0</v>
      </c>
      <c r="H60" s="86">
        <f>SUMIFS('Climate Data'!$G$7:$G$366,'Climate Data'!$A$7:$A$366,Estimator!$B$4,'Climate Data'!$B$7:$B$366,C60)</f>
        <v>0.18867924528301885</v>
      </c>
      <c r="I60" s="87">
        <f>SUMIFS('Climate Data'!$H$7:$H$366,'Climate Data'!$A$7:$A$366,Estimator!$B$4,'Climate Data'!$B$7:$B$366,C60)</f>
        <v>7.4624999999999995</v>
      </c>
      <c r="J60" s="86">
        <f>SUMIFS('Wind Proxy'!$H$8:$H$19,'Wind Proxy'!$A$8:$A$19,Estimator!$B$4,'Wind Proxy'!$B$8:$B$19,C60)</f>
        <v>0</v>
      </c>
    </row>
    <row r="61" spans="1:10" ht="14.4">
      <c r="A61" s="84">
        <v>45712</v>
      </c>
      <c r="B61" s="85">
        <v>2025</v>
      </c>
      <c r="C61" s="85">
        <v>2</v>
      </c>
      <c r="D61" s="85" t="s">
        <v>58</v>
      </c>
      <c r="E61" s="85">
        <v>24</v>
      </c>
      <c r="F61" s="85">
        <v>1</v>
      </c>
      <c r="G61" s="85">
        <f>--(F61&lt;=Estimator!$B$7)</f>
        <v>1</v>
      </c>
      <c r="H61" s="86">
        <f>SUMIFS('Climate Data'!$G$7:$G$366,'Climate Data'!$A$7:$A$366,Estimator!$B$4,'Climate Data'!$B$7:$B$366,C61)</f>
        <v>0.18867924528301885</v>
      </c>
      <c r="I61" s="87">
        <f>SUMIFS('Climate Data'!$H$7:$H$366,'Climate Data'!$A$7:$A$366,Estimator!$B$4,'Climate Data'!$B$7:$B$366,C61)</f>
        <v>7.4624999999999995</v>
      </c>
      <c r="J61" s="86">
        <f>SUMIFS('Wind Proxy'!$H$8:$H$19,'Wind Proxy'!$A$8:$A$19,Estimator!$B$4,'Wind Proxy'!$B$8:$B$19,C61)</f>
        <v>0</v>
      </c>
    </row>
    <row r="62" spans="1:10" ht="14.4">
      <c r="A62" s="84">
        <v>45713</v>
      </c>
      <c r="B62" s="85">
        <v>2025</v>
      </c>
      <c r="C62" s="85">
        <v>2</v>
      </c>
      <c r="D62" s="85" t="s">
        <v>58</v>
      </c>
      <c r="E62" s="85">
        <v>25</v>
      </c>
      <c r="F62" s="85">
        <v>2</v>
      </c>
      <c r="G62" s="85">
        <f>--(F62&lt;=Estimator!$B$7)</f>
        <v>1</v>
      </c>
      <c r="H62" s="86">
        <f>SUMIFS('Climate Data'!$G$7:$G$366,'Climate Data'!$A$7:$A$366,Estimator!$B$4,'Climate Data'!$B$7:$B$366,C62)</f>
        <v>0.18867924528301885</v>
      </c>
      <c r="I62" s="87">
        <f>SUMIFS('Climate Data'!$H$7:$H$366,'Climate Data'!$A$7:$A$366,Estimator!$B$4,'Climate Data'!$B$7:$B$366,C62)</f>
        <v>7.4624999999999995</v>
      </c>
      <c r="J62" s="86">
        <f>SUMIFS('Wind Proxy'!$H$8:$H$19,'Wind Proxy'!$A$8:$A$19,Estimator!$B$4,'Wind Proxy'!$B$8:$B$19,C62)</f>
        <v>0</v>
      </c>
    </row>
    <row r="63" spans="1:10" ht="14.4">
      <c r="A63" s="84">
        <v>45714</v>
      </c>
      <c r="B63" s="85">
        <v>2025</v>
      </c>
      <c r="C63" s="85">
        <v>2</v>
      </c>
      <c r="D63" s="85" t="s">
        <v>58</v>
      </c>
      <c r="E63" s="85">
        <v>26</v>
      </c>
      <c r="F63" s="85">
        <v>3</v>
      </c>
      <c r="G63" s="85">
        <f>--(F63&lt;=Estimator!$B$7)</f>
        <v>1</v>
      </c>
      <c r="H63" s="86">
        <f>SUMIFS('Climate Data'!$G$7:$G$366,'Climate Data'!$A$7:$A$366,Estimator!$B$4,'Climate Data'!$B$7:$B$366,C63)</f>
        <v>0.18867924528301885</v>
      </c>
      <c r="I63" s="87">
        <f>SUMIFS('Climate Data'!$H$7:$H$366,'Climate Data'!$A$7:$A$366,Estimator!$B$4,'Climate Data'!$B$7:$B$366,C63)</f>
        <v>7.4624999999999995</v>
      </c>
      <c r="J63" s="86">
        <f>SUMIFS('Wind Proxy'!$H$8:$H$19,'Wind Proxy'!$A$8:$A$19,Estimator!$B$4,'Wind Proxy'!$B$8:$B$19,C63)</f>
        <v>0</v>
      </c>
    </row>
    <row r="64" spans="1:10" ht="14.4">
      <c r="A64" s="84">
        <v>45715</v>
      </c>
      <c r="B64" s="85">
        <v>2025</v>
      </c>
      <c r="C64" s="85">
        <v>2</v>
      </c>
      <c r="D64" s="85" t="s">
        <v>58</v>
      </c>
      <c r="E64" s="85">
        <v>27</v>
      </c>
      <c r="F64" s="85">
        <v>4</v>
      </c>
      <c r="G64" s="85">
        <f>--(F64&lt;=Estimator!$B$7)</f>
        <v>1</v>
      </c>
      <c r="H64" s="86">
        <f>SUMIFS('Climate Data'!$G$7:$G$366,'Climate Data'!$A$7:$A$366,Estimator!$B$4,'Climate Data'!$B$7:$B$366,C64)</f>
        <v>0.18867924528301885</v>
      </c>
      <c r="I64" s="87">
        <f>SUMIFS('Climate Data'!$H$7:$H$366,'Climate Data'!$A$7:$A$366,Estimator!$B$4,'Climate Data'!$B$7:$B$366,C64)</f>
        <v>7.4624999999999995</v>
      </c>
      <c r="J64" s="86">
        <f>SUMIFS('Wind Proxy'!$H$8:$H$19,'Wind Proxy'!$A$8:$A$19,Estimator!$B$4,'Wind Proxy'!$B$8:$B$19,C64)</f>
        <v>0</v>
      </c>
    </row>
    <row r="65" spans="1:10" ht="14.4">
      <c r="A65" s="84">
        <v>45716</v>
      </c>
      <c r="B65" s="85">
        <v>2025</v>
      </c>
      <c r="C65" s="85">
        <v>2</v>
      </c>
      <c r="D65" s="85" t="s">
        <v>58</v>
      </c>
      <c r="E65" s="85">
        <v>28</v>
      </c>
      <c r="F65" s="85">
        <v>5</v>
      </c>
      <c r="G65" s="85">
        <f>--(F65&lt;=Estimator!$B$7)</f>
        <v>1</v>
      </c>
      <c r="H65" s="86">
        <f>SUMIFS('Climate Data'!$G$7:$G$366,'Climate Data'!$A$7:$A$366,Estimator!$B$4,'Climate Data'!$B$7:$B$366,C65)</f>
        <v>0.18867924528301885</v>
      </c>
      <c r="I65" s="87">
        <f>SUMIFS('Climate Data'!$H$7:$H$366,'Climate Data'!$A$7:$A$366,Estimator!$B$4,'Climate Data'!$B$7:$B$366,C65)</f>
        <v>7.4624999999999995</v>
      </c>
      <c r="J65" s="86">
        <f>SUMIFS('Wind Proxy'!$H$8:$H$19,'Wind Proxy'!$A$8:$A$19,Estimator!$B$4,'Wind Proxy'!$B$8:$B$19,C65)</f>
        <v>0</v>
      </c>
    </row>
    <row r="66" spans="1:10" ht="14.4">
      <c r="A66" s="84">
        <v>45717</v>
      </c>
      <c r="B66" s="85">
        <v>2025</v>
      </c>
      <c r="C66" s="85">
        <v>3</v>
      </c>
      <c r="D66" s="85" t="s">
        <v>60</v>
      </c>
      <c r="E66" s="85">
        <v>1</v>
      </c>
      <c r="F66" s="85">
        <v>6</v>
      </c>
      <c r="G66" s="85">
        <f>--(F66&lt;=Estimator!$B$7)</f>
        <v>0</v>
      </c>
      <c r="H66" s="86">
        <f>SUMIFS('Climate Data'!$G$7:$G$366,'Climate Data'!$A$7:$A$366,Estimator!$B$4,'Climate Data'!$B$7:$B$366,C66)</f>
        <v>0.18494623655913978</v>
      </c>
      <c r="I66" s="87">
        <f>SUMIFS('Climate Data'!$H$7:$H$366,'Climate Data'!$A$7:$A$366,Estimator!$B$4,'Climate Data'!$B$7:$B$366,C66)</f>
        <v>7.8662790697674421</v>
      </c>
      <c r="J66" s="86">
        <f>SUMIFS('Wind Proxy'!$H$8:$H$19,'Wind Proxy'!$A$8:$A$19,Estimator!$B$4,'Wind Proxy'!$B$8:$B$19,C66)</f>
        <v>0</v>
      </c>
    </row>
    <row r="67" spans="1:10" ht="14.4">
      <c r="A67" s="84">
        <v>45718</v>
      </c>
      <c r="B67" s="85">
        <v>2025</v>
      </c>
      <c r="C67" s="85">
        <v>3</v>
      </c>
      <c r="D67" s="85" t="s">
        <v>60</v>
      </c>
      <c r="E67" s="85">
        <v>2</v>
      </c>
      <c r="F67" s="85">
        <v>7</v>
      </c>
      <c r="G67" s="85">
        <f>--(F67&lt;=Estimator!$B$7)</f>
        <v>0</v>
      </c>
      <c r="H67" s="86">
        <f>SUMIFS('Climate Data'!$G$7:$G$366,'Climate Data'!$A$7:$A$366,Estimator!$B$4,'Climate Data'!$B$7:$B$366,C67)</f>
        <v>0.18494623655913978</v>
      </c>
      <c r="I67" s="87">
        <f>SUMIFS('Climate Data'!$H$7:$H$366,'Climate Data'!$A$7:$A$366,Estimator!$B$4,'Climate Data'!$B$7:$B$366,C67)</f>
        <v>7.8662790697674421</v>
      </c>
      <c r="J67" s="86">
        <f>SUMIFS('Wind Proxy'!$H$8:$H$19,'Wind Proxy'!$A$8:$A$19,Estimator!$B$4,'Wind Proxy'!$B$8:$B$19,C67)</f>
        <v>0</v>
      </c>
    </row>
    <row r="68" spans="1:10" ht="14.4">
      <c r="A68" s="84">
        <v>45719</v>
      </c>
      <c r="B68" s="85">
        <v>2025</v>
      </c>
      <c r="C68" s="85">
        <v>3</v>
      </c>
      <c r="D68" s="85" t="s">
        <v>60</v>
      </c>
      <c r="E68" s="85">
        <v>3</v>
      </c>
      <c r="F68" s="85">
        <v>1</v>
      </c>
      <c r="G68" s="85">
        <f>--(F68&lt;=Estimator!$B$7)</f>
        <v>1</v>
      </c>
      <c r="H68" s="86">
        <f>SUMIFS('Climate Data'!$G$7:$G$366,'Climate Data'!$A$7:$A$366,Estimator!$B$4,'Climate Data'!$B$7:$B$366,C68)</f>
        <v>0.18494623655913978</v>
      </c>
      <c r="I68" s="87">
        <f>SUMIFS('Climate Data'!$H$7:$H$366,'Climate Data'!$A$7:$A$366,Estimator!$B$4,'Climate Data'!$B$7:$B$366,C68)</f>
        <v>7.8662790697674421</v>
      </c>
      <c r="J68" s="86">
        <f>SUMIFS('Wind Proxy'!$H$8:$H$19,'Wind Proxy'!$A$8:$A$19,Estimator!$B$4,'Wind Proxy'!$B$8:$B$19,C68)</f>
        <v>0</v>
      </c>
    </row>
    <row r="69" spans="1:10" ht="14.4">
      <c r="A69" s="84">
        <v>45720</v>
      </c>
      <c r="B69" s="85">
        <v>2025</v>
      </c>
      <c r="C69" s="85">
        <v>3</v>
      </c>
      <c r="D69" s="85" t="s">
        <v>60</v>
      </c>
      <c r="E69" s="85">
        <v>4</v>
      </c>
      <c r="F69" s="85">
        <v>2</v>
      </c>
      <c r="G69" s="85">
        <f>--(F69&lt;=Estimator!$B$7)</f>
        <v>1</v>
      </c>
      <c r="H69" s="86">
        <f>SUMIFS('Climate Data'!$G$7:$G$366,'Climate Data'!$A$7:$A$366,Estimator!$B$4,'Climate Data'!$B$7:$B$366,C69)</f>
        <v>0.18494623655913978</v>
      </c>
      <c r="I69" s="87">
        <f>SUMIFS('Climate Data'!$H$7:$H$366,'Climate Data'!$A$7:$A$366,Estimator!$B$4,'Climate Data'!$B$7:$B$366,C69)</f>
        <v>7.8662790697674421</v>
      </c>
      <c r="J69" s="86">
        <f>SUMIFS('Wind Proxy'!$H$8:$H$19,'Wind Proxy'!$A$8:$A$19,Estimator!$B$4,'Wind Proxy'!$B$8:$B$19,C69)</f>
        <v>0</v>
      </c>
    </row>
    <row r="70" spans="1:10" ht="14.4">
      <c r="A70" s="84">
        <v>45721</v>
      </c>
      <c r="B70" s="85">
        <v>2025</v>
      </c>
      <c r="C70" s="85">
        <v>3</v>
      </c>
      <c r="D70" s="85" t="s">
        <v>60</v>
      </c>
      <c r="E70" s="85">
        <v>5</v>
      </c>
      <c r="F70" s="85">
        <v>3</v>
      </c>
      <c r="G70" s="85">
        <f>--(F70&lt;=Estimator!$B$7)</f>
        <v>1</v>
      </c>
      <c r="H70" s="86">
        <f>SUMIFS('Climate Data'!$G$7:$G$366,'Climate Data'!$A$7:$A$366,Estimator!$B$4,'Climate Data'!$B$7:$B$366,C70)</f>
        <v>0.18494623655913978</v>
      </c>
      <c r="I70" s="87">
        <f>SUMIFS('Climate Data'!$H$7:$H$366,'Climate Data'!$A$7:$A$366,Estimator!$B$4,'Climate Data'!$B$7:$B$366,C70)</f>
        <v>7.8662790697674421</v>
      </c>
      <c r="J70" s="86">
        <f>SUMIFS('Wind Proxy'!$H$8:$H$19,'Wind Proxy'!$A$8:$A$19,Estimator!$B$4,'Wind Proxy'!$B$8:$B$19,C70)</f>
        <v>0</v>
      </c>
    </row>
    <row r="71" spans="1:10" ht="14.4">
      <c r="A71" s="84">
        <v>45722</v>
      </c>
      <c r="B71" s="85">
        <v>2025</v>
      </c>
      <c r="C71" s="85">
        <v>3</v>
      </c>
      <c r="D71" s="85" t="s">
        <v>60</v>
      </c>
      <c r="E71" s="85">
        <v>6</v>
      </c>
      <c r="F71" s="85">
        <v>4</v>
      </c>
      <c r="G71" s="85">
        <f>--(F71&lt;=Estimator!$B$7)</f>
        <v>1</v>
      </c>
      <c r="H71" s="86">
        <f>SUMIFS('Climate Data'!$G$7:$G$366,'Climate Data'!$A$7:$A$366,Estimator!$B$4,'Climate Data'!$B$7:$B$366,C71)</f>
        <v>0.18494623655913978</v>
      </c>
      <c r="I71" s="87">
        <f>SUMIFS('Climate Data'!$H$7:$H$366,'Climate Data'!$A$7:$A$366,Estimator!$B$4,'Climate Data'!$B$7:$B$366,C71)</f>
        <v>7.8662790697674421</v>
      </c>
      <c r="J71" s="86">
        <f>SUMIFS('Wind Proxy'!$H$8:$H$19,'Wind Proxy'!$A$8:$A$19,Estimator!$B$4,'Wind Proxy'!$B$8:$B$19,C71)</f>
        <v>0</v>
      </c>
    </row>
    <row r="72" spans="1:10" ht="14.4">
      <c r="A72" s="84">
        <v>45723</v>
      </c>
      <c r="B72" s="85">
        <v>2025</v>
      </c>
      <c r="C72" s="85">
        <v>3</v>
      </c>
      <c r="D72" s="85" t="s">
        <v>60</v>
      </c>
      <c r="E72" s="85">
        <v>7</v>
      </c>
      <c r="F72" s="85">
        <v>5</v>
      </c>
      <c r="G72" s="85">
        <f>--(F72&lt;=Estimator!$B$7)</f>
        <v>1</v>
      </c>
      <c r="H72" s="86">
        <f>SUMIFS('Climate Data'!$G$7:$G$366,'Climate Data'!$A$7:$A$366,Estimator!$B$4,'Climate Data'!$B$7:$B$366,C72)</f>
        <v>0.18494623655913978</v>
      </c>
      <c r="I72" s="87">
        <f>SUMIFS('Climate Data'!$H$7:$H$366,'Climate Data'!$A$7:$A$366,Estimator!$B$4,'Climate Data'!$B$7:$B$366,C72)</f>
        <v>7.8662790697674421</v>
      </c>
      <c r="J72" s="86">
        <f>SUMIFS('Wind Proxy'!$H$8:$H$19,'Wind Proxy'!$A$8:$A$19,Estimator!$B$4,'Wind Proxy'!$B$8:$B$19,C72)</f>
        <v>0</v>
      </c>
    </row>
    <row r="73" spans="1:10" ht="14.4">
      <c r="A73" s="84">
        <v>45724</v>
      </c>
      <c r="B73" s="85">
        <v>2025</v>
      </c>
      <c r="C73" s="85">
        <v>3</v>
      </c>
      <c r="D73" s="85" t="s">
        <v>60</v>
      </c>
      <c r="E73" s="85">
        <v>8</v>
      </c>
      <c r="F73" s="85">
        <v>6</v>
      </c>
      <c r="G73" s="85">
        <f>--(F73&lt;=Estimator!$B$7)</f>
        <v>0</v>
      </c>
      <c r="H73" s="86">
        <f>SUMIFS('Climate Data'!$G$7:$G$366,'Climate Data'!$A$7:$A$366,Estimator!$B$4,'Climate Data'!$B$7:$B$366,C73)</f>
        <v>0.18494623655913978</v>
      </c>
      <c r="I73" s="87">
        <f>SUMIFS('Climate Data'!$H$7:$H$366,'Climate Data'!$A$7:$A$366,Estimator!$B$4,'Climate Data'!$B$7:$B$366,C73)</f>
        <v>7.8662790697674421</v>
      </c>
      <c r="J73" s="86">
        <f>SUMIFS('Wind Proxy'!$H$8:$H$19,'Wind Proxy'!$A$8:$A$19,Estimator!$B$4,'Wind Proxy'!$B$8:$B$19,C73)</f>
        <v>0</v>
      </c>
    </row>
    <row r="74" spans="1:10" ht="14.4">
      <c r="A74" s="84">
        <v>45725</v>
      </c>
      <c r="B74" s="85">
        <v>2025</v>
      </c>
      <c r="C74" s="85">
        <v>3</v>
      </c>
      <c r="D74" s="85" t="s">
        <v>60</v>
      </c>
      <c r="E74" s="85">
        <v>9</v>
      </c>
      <c r="F74" s="85">
        <v>7</v>
      </c>
      <c r="G74" s="85">
        <f>--(F74&lt;=Estimator!$B$7)</f>
        <v>0</v>
      </c>
      <c r="H74" s="86">
        <f>SUMIFS('Climate Data'!$G$7:$G$366,'Climate Data'!$A$7:$A$366,Estimator!$B$4,'Climate Data'!$B$7:$B$366,C74)</f>
        <v>0.18494623655913978</v>
      </c>
      <c r="I74" s="87">
        <f>SUMIFS('Climate Data'!$H$7:$H$366,'Climate Data'!$A$7:$A$366,Estimator!$B$4,'Climate Data'!$B$7:$B$366,C74)</f>
        <v>7.8662790697674421</v>
      </c>
      <c r="J74" s="86">
        <f>SUMIFS('Wind Proxy'!$H$8:$H$19,'Wind Proxy'!$A$8:$A$19,Estimator!$B$4,'Wind Proxy'!$B$8:$B$19,C74)</f>
        <v>0</v>
      </c>
    </row>
    <row r="75" spans="1:10" ht="14.4">
      <c r="A75" s="84">
        <v>45726</v>
      </c>
      <c r="B75" s="85">
        <v>2025</v>
      </c>
      <c r="C75" s="85">
        <v>3</v>
      </c>
      <c r="D75" s="85" t="s">
        <v>60</v>
      </c>
      <c r="E75" s="85">
        <v>10</v>
      </c>
      <c r="F75" s="85">
        <v>1</v>
      </c>
      <c r="G75" s="85">
        <f>--(F75&lt;=Estimator!$B$7)</f>
        <v>1</v>
      </c>
      <c r="H75" s="86">
        <f>SUMIFS('Climate Data'!$G$7:$G$366,'Climate Data'!$A$7:$A$366,Estimator!$B$4,'Climate Data'!$B$7:$B$366,C75)</f>
        <v>0.18494623655913978</v>
      </c>
      <c r="I75" s="87">
        <f>SUMIFS('Climate Data'!$H$7:$H$366,'Climate Data'!$A$7:$A$366,Estimator!$B$4,'Climate Data'!$B$7:$B$366,C75)</f>
        <v>7.8662790697674421</v>
      </c>
      <c r="J75" s="86">
        <f>SUMIFS('Wind Proxy'!$H$8:$H$19,'Wind Proxy'!$A$8:$A$19,Estimator!$B$4,'Wind Proxy'!$B$8:$B$19,C75)</f>
        <v>0</v>
      </c>
    </row>
    <row r="76" spans="1:10" ht="14.4">
      <c r="A76" s="84">
        <v>45727</v>
      </c>
      <c r="B76" s="85">
        <v>2025</v>
      </c>
      <c r="C76" s="85">
        <v>3</v>
      </c>
      <c r="D76" s="85" t="s">
        <v>60</v>
      </c>
      <c r="E76" s="85">
        <v>11</v>
      </c>
      <c r="F76" s="85">
        <v>2</v>
      </c>
      <c r="G76" s="85">
        <f>--(F76&lt;=Estimator!$B$7)</f>
        <v>1</v>
      </c>
      <c r="H76" s="86">
        <f>SUMIFS('Climate Data'!$G$7:$G$366,'Climate Data'!$A$7:$A$366,Estimator!$B$4,'Climate Data'!$B$7:$B$366,C76)</f>
        <v>0.18494623655913978</v>
      </c>
      <c r="I76" s="87">
        <f>SUMIFS('Climate Data'!$H$7:$H$366,'Climate Data'!$A$7:$A$366,Estimator!$B$4,'Climate Data'!$B$7:$B$366,C76)</f>
        <v>7.8662790697674421</v>
      </c>
      <c r="J76" s="86">
        <f>SUMIFS('Wind Proxy'!$H$8:$H$19,'Wind Proxy'!$A$8:$A$19,Estimator!$B$4,'Wind Proxy'!$B$8:$B$19,C76)</f>
        <v>0</v>
      </c>
    </row>
    <row r="77" spans="1:10" ht="14.4">
      <c r="A77" s="84">
        <v>45728</v>
      </c>
      <c r="B77" s="85">
        <v>2025</v>
      </c>
      <c r="C77" s="85">
        <v>3</v>
      </c>
      <c r="D77" s="85" t="s">
        <v>60</v>
      </c>
      <c r="E77" s="85">
        <v>12</v>
      </c>
      <c r="F77" s="85">
        <v>3</v>
      </c>
      <c r="G77" s="85">
        <f>--(F77&lt;=Estimator!$B$7)</f>
        <v>1</v>
      </c>
      <c r="H77" s="86">
        <f>SUMIFS('Climate Data'!$G$7:$G$366,'Climate Data'!$A$7:$A$366,Estimator!$B$4,'Climate Data'!$B$7:$B$366,C77)</f>
        <v>0.18494623655913978</v>
      </c>
      <c r="I77" s="87">
        <f>SUMIFS('Climate Data'!$H$7:$H$366,'Climate Data'!$A$7:$A$366,Estimator!$B$4,'Climate Data'!$B$7:$B$366,C77)</f>
        <v>7.8662790697674421</v>
      </c>
      <c r="J77" s="86">
        <f>SUMIFS('Wind Proxy'!$H$8:$H$19,'Wind Proxy'!$A$8:$A$19,Estimator!$B$4,'Wind Proxy'!$B$8:$B$19,C77)</f>
        <v>0</v>
      </c>
    </row>
    <row r="78" spans="1:10" ht="14.4">
      <c r="A78" s="84">
        <v>45729</v>
      </c>
      <c r="B78" s="85">
        <v>2025</v>
      </c>
      <c r="C78" s="85">
        <v>3</v>
      </c>
      <c r="D78" s="85" t="s">
        <v>60</v>
      </c>
      <c r="E78" s="85">
        <v>13</v>
      </c>
      <c r="F78" s="85">
        <v>4</v>
      </c>
      <c r="G78" s="85">
        <f>--(F78&lt;=Estimator!$B$7)</f>
        <v>1</v>
      </c>
      <c r="H78" s="86">
        <f>SUMIFS('Climate Data'!$G$7:$G$366,'Climate Data'!$A$7:$A$366,Estimator!$B$4,'Climate Data'!$B$7:$B$366,C78)</f>
        <v>0.18494623655913978</v>
      </c>
      <c r="I78" s="87">
        <f>SUMIFS('Climate Data'!$H$7:$H$366,'Climate Data'!$A$7:$A$366,Estimator!$B$4,'Climate Data'!$B$7:$B$366,C78)</f>
        <v>7.8662790697674421</v>
      </c>
      <c r="J78" s="86">
        <f>SUMIFS('Wind Proxy'!$H$8:$H$19,'Wind Proxy'!$A$8:$A$19,Estimator!$B$4,'Wind Proxy'!$B$8:$B$19,C78)</f>
        <v>0</v>
      </c>
    </row>
    <row r="79" spans="1:10" ht="14.4">
      <c r="A79" s="84">
        <v>45730</v>
      </c>
      <c r="B79" s="85">
        <v>2025</v>
      </c>
      <c r="C79" s="85">
        <v>3</v>
      </c>
      <c r="D79" s="85" t="s">
        <v>60</v>
      </c>
      <c r="E79" s="85">
        <v>14</v>
      </c>
      <c r="F79" s="85">
        <v>5</v>
      </c>
      <c r="G79" s="85">
        <f>--(F79&lt;=Estimator!$B$7)</f>
        <v>1</v>
      </c>
      <c r="H79" s="86">
        <f>SUMIFS('Climate Data'!$G$7:$G$366,'Climate Data'!$A$7:$A$366,Estimator!$B$4,'Climate Data'!$B$7:$B$366,C79)</f>
        <v>0.18494623655913978</v>
      </c>
      <c r="I79" s="87">
        <f>SUMIFS('Climate Data'!$H$7:$H$366,'Climate Data'!$A$7:$A$366,Estimator!$B$4,'Climate Data'!$B$7:$B$366,C79)</f>
        <v>7.8662790697674421</v>
      </c>
      <c r="J79" s="86">
        <f>SUMIFS('Wind Proxy'!$H$8:$H$19,'Wind Proxy'!$A$8:$A$19,Estimator!$B$4,'Wind Proxy'!$B$8:$B$19,C79)</f>
        <v>0</v>
      </c>
    </row>
    <row r="80" spans="1:10" ht="14.4">
      <c r="A80" s="84">
        <v>45731</v>
      </c>
      <c r="B80" s="85">
        <v>2025</v>
      </c>
      <c r="C80" s="85">
        <v>3</v>
      </c>
      <c r="D80" s="85" t="s">
        <v>60</v>
      </c>
      <c r="E80" s="85">
        <v>15</v>
      </c>
      <c r="F80" s="85">
        <v>6</v>
      </c>
      <c r="G80" s="85">
        <f>--(F80&lt;=Estimator!$B$7)</f>
        <v>0</v>
      </c>
      <c r="H80" s="86">
        <f>SUMIFS('Climate Data'!$G$7:$G$366,'Climate Data'!$A$7:$A$366,Estimator!$B$4,'Climate Data'!$B$7:$B$366,C80)</f>
        <v>0.18494623655913978</v>
      </c>
      <c r="I80" s="87">
        <f>SUMIFS('Climate Data'!$H$7:$H$366,'Climate Data'!$A$7:$A$366,Estimator!$B$4,'Climate Data'!$B$7:$B$366,C80)</f>
        <v>7.8662790697674421</v>
      </c>
      <c r="J80" s="86">
        <f>SUMIFS('Wind Proxy'!$H$8:$H$19,'Wind Proxy'!$A$8:$A$19,Estimator!$B$4,'Wind Proxy'!$B$8:$B$19,C80)</f>
        <v>0</v>
      </c>
    </row>
    <row r="81" spans="1:10" ht="14.4">
      <c r="A81" s="84">
        <v>45732</v>
      </c>
      <c r="B81" s="85">
        <v>2025</v>
      </c>
      <c r="C81" s="85">
        <v>3</v>
      </c>
      <c r="D81" s="85" t="s">
        <v>60</v>
      </c>
      <c r="E81" s="85">
        <v>16</v>
      </c>
      <c r="F81" s="85">
        <v>7</v>
      </c>
      <c r="G81" s="85">
        <f>--(F81&lt;=Estimator!$B$7)</f>
        <v>0</v>
      </c>
      <c r="H81" s="86">
        <f>SUMIFS('Climate Data'!$G$7:$G$366,'Climate Data'!$A$7:$A$366,Estimator!$B$4,'Climate Data'!$B$7:$B$366,C81)</f>
        <v>0.18494623655913978</v>
      </c>
      <c r="I81" s="87">
        <f>SUMIFS('Climate Data'!$H$7:$H$366,'Climate Data'!$A$7:$A$366,Estimator!$B$4,'Climate Data'!$B$7:$B$366,C81)</f>
        <v>7.8662790697674421</v>
      </c>
      <c r="J81" s="86">
        <f>SUMIFS('Wind Proxy'!$H$8:$H$19,'Wind Proxy'!$A$8:$A$19,Estimator!$B$4,'Wind Proxy'!$B$8:$B$19,C81)</f>
        <v>0</v>
      </c>
    </row>
    <row r="82" spans="1:10" ht="14.4">
      <c r="A82" s="84">
        <v>45733</v>
      </c>
      <c r="B82" s="85">
        <v>2025</v>
      </c>
      <c r="C82" s="85">
        <v>3</v>
      </c>
      <c r="D82" s="85" t="s">
        <v>60</v>
      </c>
      <c r="E82" s="85">
        <v>17</v>
      </c>
      <c r="F82" s="85">
        <v>1</v>
      </c>
      <c r="G82" s="85">
        <f>--(F82&lt;=Estimator!$B$7)</f>
        <v>1</v>
      </c>
      <c r="H82" s="86">
        <f>SUMIFS('Climate Data'!$G$7:$G$366,'Climate Data'!$A$7:$A$366,Estimator!$B$4,'Climate Data'!$B$7:$B$366,C82)</f>
        <v>0.18494623655913978</v>
      </c>
      <c r="I82" s="87">
        <f>SUMIFS('Climate Data'!$H$7:$H$366,'Climate Data'!$A$7:$A$366,Estimator!$B$4,'Climate Data'!$B$7:$B$366,C82)</f>
        <v>7.8662790697674421</v>
      </c>
      <c r="J82" s="86">
        <f>SUMIFS('Wind Proxy'!$H$8:$H$19,'Wind Proxy'!$A$8:$A$19,Estimator!$B$4,'Wind Proxy'!$B$8:$B$19,C82)</f>
        <v>0</v>
      </c>
    </row>
    <row r="83" spans="1:10" ht="14.4">
      <c r="A83" s="84">
        <v>45734</v>
      </c>
      <c r="B83" s="85">
        <v>2025</v>
      </c>
      <c r="C83" s="85">
        <v>3</v>
      </c>
      <c r="D83" s="85" t="s">
        <v>60</v>
      </c>
      <c r="E83" s="85">
        <v>18</v>
      </c>
      <c r="F83" s="85">
        <v>2</v>
      </c>
      <c r="G83" s="85">
        <f>--(F83&lt;=Estimator!$B$7)</f>
        <v>1</v>
      </c>
      <c r="H83" s="86">
        <f>SUMIFS('Climate Data'!$G$7:$G$366,'Climate Data'!$A$7:$A$366,Estimator!$B$4,'Climate Data'!$B$7:$B$366,C83)</f>
        <v>0.18494623655913978</v>
      </c>
      <c r="I83" s="87">
        <f>SUMIFS('Climate Data'!$H$7:$H$366,'Climate Data'!$A$7:$A$366,Estimator!$B$4,'Climate Data'!$B$7:$B$366,C83)</f>
        <v>7.8662790697674421</v>
      </c>
      <c r="J83" s="86">
        <f>SUMIFS('Wind Proxy'!$H$8:$H$19,'Wind Proxy'!$A$8:$A$19,Estimator!$B$4,'Wind Proxy'!$B$8:$B$19,C83)</f>
        <v>0</v>
      </c>
    </row>
    <row r="84" spans="1:10" ht="14.4">
      <c r="A84" s="84">
        <v>45735</v>
      </c>
      <c r="B84" s="85">
        <v>2025</v>
      </c>
      <c r="C84" s="85">
        <v>3</v>
      </c>
      <c r="D84" s="85" t="s">
        <v>60</v>
      </c>
      <c r="E84" s="85">
        <v>19</v>
      </c>
      <c r="F84" s="85">
        <v>3</v>
      </c>
      <c r="G84" s="85">
        <f>--(F84&lt;=Estimator!$B$7)</f>
        <v>1</v>
      </c>
      <c r="H84" s="86">
        <f>SUMIFS('Climate Data'!$G$7:$G$366,'Climate Data'!$A$7:$A$366,Estimator!$B$4,'Climate Data'!$B$7:$B$366,C84)</f>
        <v>0.18494623655913978</v>
      </c>
      <c r="I84" s="87">
        <f>SUMIFS('Climate Data'!$H$7:$H$366,'Climate Data'!$A$7:$A$366,Estimator!$B$4,'Climate Data'!$B$7:$B$366,C84)</f>
        <v>7.8662790697674421</v>
      </c>
      <c r="J84" s="86">
        <f>SUMIFS('Wind Proxy'!$H$8:$H$19,'Wind Proxy'!$A$8:$A$19,Estimator!$B$4,'Wind Proxy'!$B$8:$B$19,C84)</f>
        <v>0</v>
      </c>
    </row>
    <row r="85" spans="1:10" ht="14.4">
      <c r="A85" s="84">
        <v>45736</v>
      </c>
      <c r="B85" s="85">
        <v>2025</v>
      </c>
      <c r="C85" s="85">
        <v>3</v>
      </c>
      <c r="D85" s="85" t="s">
        <v>60</v>
      </c>
      <c r="E85" s="85">
        <v>20</v>
      </c>
      <c r="F85" s="85">
        <v>4</v>
      </c>
      <c r="G85" s="85">
        <f>--(F85&lt;=Estimator!$B$7)</f>
        <v>1</v>
      </c>
      <c r="H85" s="86">
        <f>SUMIFS('Climate Data'!$G$7:$G$366,'Climate Data'!$A$7:$A$366,Estimator!$B$4,'Climate Data'!$B$7:$B$366,C85)</f>
        <v>0.18494623655913978</v>
      </c>
      <c r="I85" s="87">
        <f>SUMIFS('Climate Data'!$H$7:$H$366,'Climate Data'!$A$7:$A$366,Estimator!$B$4,'Climate Data'!$B$7:$B$366,C85)</f>
        <v>7.8662790697674421</v>
      </c>
      <c r="J85" s="86">
        <f>SUMIFS('Wind Proxy'!$H$8:$H$19,'Wind Proxy'!$A$8:$A$19,Estimator!$B$4,'Wind Proxy'!$B$8:$B$19,C85)</f>
        <v>0</v>
      </c>
    </row>
    <row r="86" spans="1:10" ht="14.4">
      <c r="A86" s="84">
        <v>45737</v>
      </c>
      <c r="B86" s="85">
        <v>2025</v>
      </c>
      <c r="C86" s="85">
        <v>3</v>
      </c>
      <c r="D86" s="85" t="s">
        <v>60</v>
      </c>
      <c r="E86" s="85">
        <v>21</v>
      </c>
      <c r="F86" s="85">
        <v>5</v>
      </c>
      <c r="G86" s="85">
        <f>--(F86&lt;=Estimator!$B$7)</f>
        <v>1</v>
      </c>
      <c r="H86" s="86">
        <f>SUMIFS('Climate Data'!$G$7:$G$366,'Climate Data'!$A$7:$A$366,Estimator!$B$4,'Climate Data'!$B$7:$B$366,C86)</f>
        <v>0.18494623655913978</v>
      </c>
      <c r="I86" s="87">
        <f>SUMIFS('Climate Data'!$H$7:$H$366,'Climate Data'!$A$7:$A$366,Estimator!$B$4,'Climate Data'!$B$7:$B$366,C86)</f>
        <v>7.8662790697674421</v>
      </c>
      <c r="J86" s="86">
        <f>SUMIFS('Wind Proxy'!$H$8:$H$19,'Wind Proxy'!$A$8:$A$19,Estimator!$B$4,'Wind Proxy'!$B$8:$B$19,C86)</f>
        <v>0</v>
      </c>
    </row>
    <row r="87" spans="1:10" ht="14.4">
      <c r="A87" s="84">
        <v>45738</v>
      </c>
      <c r="B87" s="85">
        <v>2025</v>
      </c>
      <c r="C87" s="85">
        <v>3</v>
      </c>
      <c r="D87" s="85" t="s">
        <v>60</v>
      </c>
      <c r="E87" s="85">
        <v>22</v>
      </c>
      <c r="F87" s="85">
        <v>6</v>
      </c>
      <c r="G87" s="85">
        <f>--(F87&lt;=Estimator!$B$7)</f>
        <v>0</v>
      </c>
      <c r="H87" s="86">
        <f>SUMIFS('Climate Data'!$G$7:$G$366,'Climate Data'!$A$7:$A$366,Estimator!$B$4,'Climate Data'!$B$7:$B$366,C87)</f>
        <v>0.18494623655913978</v>
      </c>
      <c r="I87" s="87">
        <f>SUMIFS('Climate Data'!$H$7:$H$366,'Climate Data'!$A$7:$A$366,Estimator!$B$4,'Climate Data'!$B$7:$B$366,C87)</f>
        <v>7.8662790697674421</v>
      </c>
      <c r="J87" s="86">
        <f>SUMIFS('Wind Proxy'!$H$8:$H$19,'Wind Proxy'!$A$8:$A$19,Estimator!$B$4,'Wind Proxy'!$B$8:$B$19,C87)</f>
        <v>0</v>
      </c>
    </row>
    <row r="88" spans="1:10" ht="14.4">
      <c r="A88" s="84">
        <v>45739</v>
      </c>
      <c r="B88" s="85">
        <v>2025</v>
      </c>
      <c r="C88" s="85">
        <v>3</v>
      </c>
      <c r="D88" s="85" t="s">
        <v>60</v>
      </c>
      <c r="E88" s="85">
        <v>23</v>
      </c>
      <c r="F88" s="85">
        <v>7</v>
      </c>
      <c r="G88" s="85">
        <f>--(F88&lt;=Estimator!$B$7)</f>
        <v>0</v>
      </c>
      <c r="H88" s="86">
        <f>SUMIFS('Climate Data'!$G$7:$G$366,'Climate Data'!$A$7:$A$366,Estimator!$B$4,'Climate Data'!$B$7:$B$366,C88)</f>
        <v>0.18494623655913978</v>
      </c>
      <c r="I88" s="87">
        <f>SUMIFS('Climate Data'!$H$7:$H$366,'Climate Data'!$A$7:$A$366,Estimator!$B$4,'Climate Data'!$B$7:$B$366,C88)</f>
        <v>7.8662790697674421</v>
      </c>
      <c r="J88" s="86">
        <f>SUMIFS('Wind Proxy'!$H$8:$H$19,'Wind Proxy'!$A$8:$A$19,Estimator!$B$4,'Wind Proxy'!$B$8:$B$19,C88)</f>
        <v>0</v>
      </c>
    </row>
    <row r="89" spans="1:10" ht="14.4">
      <c r="A89" s="84">
        <v>45740</v>
      </c>
      <c r="B89" s="85">
        <v>2025</v>
      </c>
      <c r="C89" s="85">
        <v>3</v>
      </c>
      <c r="D89" s="85" t="s">
        <v>60</v>
      </c>
      <c r="E89" s="85">
        <v>24</v>
      </c>
      <c r="F89" s="85">
        <v>1</v>
      </c>
      <c r="G89" s="85">
        <f>--(F89&lt;=Estimator!$B$7)</f>
        <v>1</v>
      </c>
      <c r="H89" s="86">
        <f>SUMIFS('Climate Data'!$G$7:$G$366,'Climate Data'!$A$7:$A$366,Estimator!$B$4,'Climate Data'!$B$7:$B$366,C89)</f>
        <v>0.18494623655913978</v>
      </c>
      <c r="I89" s="87">
        <f>SUMIFS('Climate Data'!$H$7:$H$366,'Climate Data'!$A$7:$A$366,Estimator!$B$4,'Climate Data'!$B$7:$B$366,C89)</f>
        <v>7.8662790697674421</v>
      </c>
      <c r="J89" s="86">
        <f>SUMIFS('Wind Proxy'!$H$8:$H$19,'Wind Proxy'!$A$8:$A$19,Estimator!$B$4,'Wind Proxy'!$B$8:$B$19,C89)</f>
        <v>0</v>
      </c>
    </row>
    <row r="90" spans="1:10" ht="14.4">
      <c r="A90" s="84">
        <v>45741</v>
      </c>
      <c r="B90" s="85">
        <v>2025</v>
      </c>
      <c r="C90" s="85">
        <v>3</v>
      </c>
      <c r="D90" s="85" t="s">
        <v>60</v>
      </c>
      <c r="E90" s="85">
        <v>25</v>
      </c>
      <c r="F90" s="85">
        <v>2</v>
      </c>
      <c r="G90" s="85">
        <f>--(F90&lt;=Estimator!$B$7)</f>
        <v>1</v>
      </c>
      <c r="H90" s="86">
        <f>SUMIFS('Climate Data'!$G$7:$G$366,'Climate Data'!$A$7:$A$366,Estimator!$B$4,'Climate Data'!$B$7:$B$366,C90)</f>
        <v>0.18494623655913978</v>
      </c>
      <c r="I90" s="87">
        <f>SUMIFS('Climate Data'!$H$7:$H$366,'Climate Data'!$A$7:$A$366,Estimator!$B$4,'Climate Data'!$B$7:$B$366,C90)</f>
        <v>7.8662790697674421</v>
      </c>
      <c r="J90" s="86">
        <f>SUMIFS('Wind Proxy'!$H$8:$H$19,'Wind Proxy'!$A$8:$A$19,Estimator!$B$4,'Wind Proxy'!$B$8:$B$19,C90)</f>
        <v>0</v>
      </c>
    </row>
    <row r="91" spans="1:10" ht="14.4">
      <c r="A91" s="84">
        <v>45742</v>
      </c>
      <c r="B91" s="85">
        <v>2025</v>
      </c>
      <c r="C91" s="85">
        <v>3</v>
      </c>
      <c r="D91" s="85" t="s">
        <v>60</v>
      </c>
      <c r="E91" s="85">
        <v>26</v>
      </c>
      <c r="F91" s="85">
        <v>3</v>
      </c>
      <c r="G91" s="85">
        <f>--(F91&lt;=Estimator!$B$7)</f>
        <v>1</v>
      </c>
      <c r="H91" s="86">
        <f>SUMIFS('Climate Data'!$G$7:$G$366,'Climate Data'!$A$7:$A$366,Estimator!$B$4,'Climate Data'!$B$7:$B$366,C91)</f>
        <v>0.18494623655913978</v>
      </c>
      <c r="I91" s="87">
        <f>SUMIFS('Climate Data'!$H$7:$H$366,'Climate Data'!$A$7:$A$366,Estimator!$B$4,'Climate Data'!$B$7:$B$366,C91)</f>
        <v>7.8662790697674421</v>
      </c>
      <c r="J91" s="86">
        <f>SUMIFS('Wind Proxy'!$H$8:$H$19,'Wind Proxy'!$A$8:$A$19,Estimator!$B$4,'Wind Proxy'!$B$8:$B$19,C91)</f>
        <v>0</v>
      </c>
    </row>
    <row r="92" spans="1:10" ht="14.4">
      <c r="A92" s="84">
        <v>45743</v>
      </c>
      <c r="B92" s="85">
        <v>2025</v>
      </c>
      <c r="C92" s="85">
        <v>3</v>
      </c>
      <c r="D92" s="85" t="s">
        <v>60</v>
      </c>
      <c r="E92" s="85">
        <v>27</v>
      </c>
      <c r="F92" s="85">
        <v>4</v>
      </c>
      <c r="G92" s="85">
        <f>--(F92&lt;=Estimator!$B$7)</f>
        <v>1</v>
      </c>
      <c r="H92" s="86">
        <f>SUMIFS('Climate Data'!$G$7:$G$366,'Climate Data'!$A$7:$A$366,Estimator!$B$4,'Climate Data'!$B$7:$B$366,C92)</f>
        <v>0.18494623655913978</v>
      </c>
      <c r="I92" s="87">
        <f>SUMIFS('Climate Data'!$H$7:$H$366,'Climate Data'!$A$7:$A$366,Estimator!$B$4,'Climate Data'!$B$7:$B$366,C92)</f>
        <v>7.8662790697674421</v>
      </c>
      <c r="J92" s="86">
        <f>SUMIFS('Wind Proxy'!$H$8:$H$19,'Wind Proxy'!$A$8:$A$19,Estimator!$B$4,'Wind Proxy'!$B$8:$B$19,C92)</f>
        <v>0</v>
      </c>
    </row>
    <row r="93" spans="1:10" ht="14.4">
      <c r="A93" s="84">
        <v>45744</v>
      </c>
      <c r="B93" s="85">
        <v>2025</v>
      </c>
      <c r="C93" s="85">
        <v>3</v>
      </c>
      <c r="D93" s="85" t="s">
        <v>60</v>
      </c>
      <c r="E93" s="85">
        <v>28</v>
      </c>
      <c r="F93" s="85">
        <v>5</v>
      </c>
      <c r="G93" s="85">
        <f>--(F93&lt;=Estimator!$B$7)</f>
        <v>1</v>
      </c>
      <c r="H93" s="86">
        <f>SUMIFS('Climate Data'!$G$7:$G$366,'Climate Data'!$A$7:$A$366,Estimator!$B$4,'Climate Data'!$B$7:$B$366,C93)</f>
        <v>0.18494623655913978</v>
      </c>
      <c r="I93" s="87">
        <f>SUMIFS('Climate Data'!$H$7:$H$366,'Climate Data'!$A$7:$A$366,Estimator!$B$4,'Climate Data'!$B$7:$B$366,C93)</f>
        <v>7.8662790697674421</v>
      </c>
      <c r="J93" s="86">
        <f>SUMIFS('Wind Proxy'!$H$8:$H$19,'Wind Proxy'!$A$8:$A$19,Estimator!$B$4,'Wind Proxy'!$B$8:$B$19,C93)</f>
        <v>0</v>
      </c>
    </row>
    <row r="94" spans="1:10" ht="14.4">
      <c r="A94" s="84">
        <v>45745</v>
      </c>
      <c r="B94" s="85">
        <v>2025</v>
      </c>
      <c r="C94" s="85">
        <v>3</v>
      </c>
      <c r="D94" s="85" t="s">
        <v>60</v>
      </c>
      <c r="E94" s="85">
        <v>29</v>
      </c>
      <c r="F94" s="85">
        <v>6</v>
      </c>
      <c r="G94" s="85">
        <f>--(F94&lt;=Estimator!$B$7)</f>
        <v>0</v>
      </c>
      <c r="H94" s="86">
        <f>SUMIFS('Climate Data'!$G$7:$G$366,'Climate Data'!$A$7:$A$366,Estimator!$B$4,'Climate Data'!$B$7:$B$366,C94)</f>
        <v>0.18494623655913978</v>
      </c>
      <c r="I94" s="87">
        <f>SUMIFS('Climate Data'!$H$7:$H$366,'Climate Data'!$A$7:$A$366,Estimator!$B$4,'Climate Data'!$B$7:$B$366,C94)</f>
        <v>7.8662790697674421</v>
      </c>
      <c r="J94" s="86">
        <f>SUMIFS('Wind Proxy'!$H$8:$H$19,'Wind Proxy'!$A$8:$A$19,Estimator!$B$4,'Wind Proxy'!$B$8:$B$19,C94)</f>
        <v>0</v>
      </c>
    </row>
    <row r="95" spans="1:10" ht="14.4">
      <c r="A95" s="84">
        <v>45746</v>
      </c>
      <c r="B95" s="85">
        <v>2025</v>
      </c>
      <c r="C95" s="85">
        <v>3</v>
      </c>
      <c r="D95" s="85" t="s">
        <v>60</v>
      </c>
      <c r="E95" s="85">
        <v>30</v>
      </c>
      <c r="F95" s="85">
        <v>7</v>
      </c>
      <c r="G95" s="85">
        <f>--(F95&lt;=Estimator!$B$7)</f>
        <v>0</v>
      </c>
      <c r="H95" s="86">
        <f>SUMIFS('Climate Data'!$G$7:$G$366,'Climate Data'!$A$7:$A$366,Estimator!$B$4,'Climate Data'!$B$7:$B$366,C95)</f>
        <v>0.18494623655913978</v>
      </c>
      <c r="I95" s="87">
        <f>SUMIFS('Climate Data'!$H$7:$H$366,'Climate Data'!$A$7:$A$366,Estimator!$B$4,'Climate Data'!$B$7:$B$366,C95)</f>
        <v>7.8662790697674421</v>
      </c>
      <c r="J95" s="86">
        <f>SUMIFS('Wind Proxy'!$H$8:$H$19,'Wind Proxy'!$A$8:$A$19,Estimator!$B$4,'Wind Proxy'!$B$8:$B$19,C95)</f>
        <v>0</v>
      </c>
    </row>
    <row r="96" spans="1:10" ht="14.4">
      <c r="A96" s="84">
        <v>45747</v>
      </c>
      <c r="B96" s="85">
        <v>2025</v>
      </c>
      <c r="C96" s="85">
        <v>3</v>
      </c>
      <c r="D96" s="85" t="s">
        <v>60</v>
      </c>
      <c r="E96" s="85">
        <v>31</v>
      </c>
      <c r="F96" s="85">
        <v>1</v>
      </c>
      <c r="G96" s="85">
        <f>--(F96&lt;=Estimator!$B$7)</f>
        <v>1</v>
      </c>
      <c r="H96" s="86">
        <f>SUMIFS('Climate Data'!$G$7:$G$366,'Climate Data'!$A$7:$A$366,Estimator!$B$4,'Climate Data'!$B$7:$B$366,C96)</f>
        <v>0.18494623655913978</v>
      </c>
      <c r="I96" s="87">
        <f>SUMIFS('Climate Data'!$H$7:$H$366,'Climate Data'!$A$7:$A$366,Estimator!$B$4,'Climate Data'!$B$7:$B$366,C96)</f>
        <v>7.8662790697674421</v>
      </c>
      <c r="J96" s="86">
        <f>SUMIFS('Wind Proxy'!$H$8:$H$19,'Wind Proxy'!$A$8:$A$19,Estimator!$B$4,'Wind Proxy'!$B$8:$B$19,C96)</f>
        <v>0</v>
      </c>
    </row>
    <row r="97" spans="1:10" ht="14.4">
      <c r="A97" s="84">
        <v>45748</v>
      </c>
      <c r="B97" s="85">
        <v>2025</v>
      </c>
      <c r="C97" s="85">
        <v>4</v>
      </c>
      <c r="D97" s="85" t="s">
        <v>62</v>
      </c>
      <c r="E97" s="85">
        <v>1</v>
      </c>
      <c r="F97" s="85">
        <v>2</v>
      </c>
      <c r="G97" s="85">
        <f>--(F97&lt;=Estimator!$B$7)</f>
        <v>1</v>
      </c>
      <c r="H97" s="86">
        <f>SUMIFS('Climate Data'!$G$7:$G$366,'Climate Data'!$A$7:$A$366,Estimator!$B$4,'Climate Data'!$B$7:$B$366,C97)</f>
        <v>0.25555555555555559</v>
      </c>
      <c r="I97" s="87">
        <f>SUMIFS('Climate Data'!$H$7:$H$366,'Climate Data'!$A$7:$A$366,Estimator!$B$4,'Climate Data'!$B$7:$B$366,C97)</f>
        <v>7.5</v>
      </c>
      <c r="J97" s="86">
        <f>SUMIFS('Wind Proxy'!$H$8:$H$19,'Wind Proxy'!$A$8:$A$19,Estimator!$B$4,'Wind Proxy'!$B$8:$B$19,C97)</f>
        <v>0</v>
      </c>
    </row>
    <row r="98" spans="1:10" ht="14.4">
      <c r="A98" s="84">
        <v>45749</v>
      </c>
      <c r="B98" s="85">
        <v>2025</v>
      </c>
      <c r="C98" s="85">
        <v>4</v>
      </c>
      <c r="D98" s="85" t="s">
        <v>62</v>
      </c>
      <c r="E98" s="85">
        <v>2</v>
      </c>
      <c r="F98" s="85">
        <v>3</v>
      </c>
      <c r="G98" s="85">
        <f>--(F98&lt;=Estimator!$B$7)</f>
        <v>1</v>
      </c>
      <c r="H98" s="86">
        <f>SUMIFS('Climate Data'!$G$7:$G$366,'Climate Data'!$A$7:$A$366,Estimator!$B$4,'Climate Data'!$B$7:$B$366,C98)</f>
        <v>0.25555555555555559</v>
      </c>
      <c r="I98" s="87">
        <f>SUMIFS('Climate Data'!$H$7:$H$366,'Climate Data'!$A$7:$A$366,Estimator!$B$4,'Climate Data'!$B$7:$B$366,C98)</f>
        <v>7.5</v>
      </c>
      <c r="J98" s="86">
        <f>SUMIFS('Wind Proxy'!$H$8:$H$19,'Wind Proxy'!$A$8:$A$19,Estimator!$B$4,'Wind Proxy'!$B$8:$B$19,C98)</f>
        <v>0</v>
      </c>
    </row>
    <row r="99" spans="1:10" ht="14.4">
      <c r="A99" s="84">
        <v>45750</v>
      </c>
      <c r="B99" s="85">
        <v>2025</v>
      </c>
      <c r="C99" s="85">
        <v>4</v>
      </c>
      <c r="D99" s="85" t="s">
        <v>62</v>
      </c>
      <c r="E99" s="85">
        <v>3</v>
      </c>
      <c r="F99" s="85">
        <v>4</v>
      </c>
      <c r="G99" s="85">
        <f>--(F99&lt;=Estimator!$B$7)</f>
        <v>1</v>
      </c>
      <c r="H99" s="86">
        <f>SUMIFS('Climate Data'!$G$7:$G$366,'Climate Data'!$A$7:$A$366,Estimator!$B$4,'Climate Data'!$B$7:$B$366,C99)</f>
        <v>0.25555555555555559</v>
      </c>
      <c r="I99" s="87">
        <f>SUMIFS('Climate Data'!$H$7:$H$366,'Climate Data'!$A$7:$A$366,Estimator!$B$4,'Climate Data'!$B$7:$B$366,C99)</f>
        <v>7.5</v>
      </c>
      <c r="J99" s="86">
        <f>SUMIFS('Wind Proxy'!$H$8:$H$19,'Wind Proxy'!$A$8:$A$19,Estimator!$B$4,'Wind Proxy'!$B$8:$B$19,C99)</f>
        <v>0</v>
      </c>
    </row>
    <row r="100" spans="1:10" ht="14.4">
      <c r="A100" s="84">
        <v>45751</v>
      </c>
      <c r="B100" s="85">
        <v>2025</v>
      </c>
      <c r="C100" s="85">
        <v>4</v>
      </c>
      <c r="D100" s="85" t="s">
        <v>62</v>
      </c>
      <c r="E100" s="85">
        <v>4</v>
      </c>
      <c r="F100" s="85">
        <v>5</v>
      </c>
      <c r="G100" s="85">
        <f>--(F100&lt;=Estimator!$B$7)</f>
        <v>1</v>
      </c>
      <c r="H100" s="86">
        <f>SUMIFS('Climate Data'!$G$7:$G$366,'Climate Data'!$A$7:$A$366,Estimator!$B$4,'Climate Data'!$B$7:$B$366,C100)</f>
        <v>0.25555555555555559</v>
      </c>
      <c r="I100" s="87">
        <f>SUMIFS('Climate Data'!$H$7:$H$366,'Climate Data'!$A$7:$A$366,Estimator!$B$4,'Climate Data'!$B$7:$B$366,C100)</f>
        <v>7.5</v>
      </c>
      <c r="J100" s="86">
        <f>SUMIFS('Wind Proxy'!$H$8:$H$19,'Wind Proxy'!$A$8:$A$19,Estimator!$B$4,'Wind Proxy'!$B$8:$B$19,C100)</f>
        <v>0</v>
      </c>
    </row>
    <row r="101" spans="1:10" ht="14.4">
      <c r="A101" s="84">
        <v>45752</v>
      </c>
      <c r="B101" s="85">
        <v>2025</v>
      </c>
      <c r="C101" s="85">
        <v>4</v>
      </c>
      <c r="D101" s="85" t="s">
        <v>62</v>
      </c>
      <c r="E101" s="85">
        <v>5</v>
      </c>
      <c r="F101" s="85">
        <v>6</v>
      </c>
      <c r="G101" s="85">
        <f>--(F101&lt;=Estimator!$B$7)</f>
        <v>0</v>
      </c>
      <c r="H101" s="86">
        <f>SUMIFS('Climate Data'!$G$7:$G$366,'Climate Data'!$A$7:$A$366,Estimator!$B$4,'Climate Data'!$B$7:$B$366,C101)</f>
        <v>0.25555555555555559</v>
      </c>
      <c r="I101" s="87">
        <f>SUMIFS('Climate Data'!$H$7:$H$366,'Climate Data'!$A$7:$A$366,Estimator!$B$4,'Climate Data'!$B$7:$B$366,C101)</f>
        <v>7.5</v>
      </c>
      <c r="J101" s="86">
        <f>SUMIFS('Wind Proxy'!$H$8:$H$19,'Wind Proxy'!$A$8:$A$19,Estimator!$B$4,'Wind Proxy'!$B$8:$B$19,C101)</f>
        <v>0</v>
      </c>
    </row>
    <row r="102" spans="1:10" ht="14.4">
      <c r="A102" s="84">
        <v>45753</v>
      </c>
      <c r="B102" s="85">
        <v>2025</v>
      </c>
      <c r="C102" s="85">
        <v>4</v>
      </c>
      <c r="D102" s="85" t="s">
        <v>62</v>
      </c>
      <c r="E102" s="85">
        <v>6</v>
      </c>
      <c r="F102" s="85">
        <v>7</v>
      </c>
      <c r="G102" s="85">
        <f>--(F102&lt;=Estimator!$B$7)</f>
        <v>0</v>
      </c>
      <c r="H102" s="86">
        <f>SUMIFS('Climate Data'!$G$7:$G$366,'Climate Data'!$A$7:$A$366,Estimator!$B$4,'Climate Data'!$B$7:$B$366,C102)</f>
        <v>0.25555555555555559</v>
      </c>
      <c r="I102" s="87">
        <f>SUMIFS('Climate Data'!$H$7:$H$366,'Climate Data'!$A$7:$A$366,Estimator!$B$4,'Climate Data'!$B$7:$B$366,C102)</f>
        <v>7.5</v>
      </c>
      <c r="J102" s="86">
        <f>SUMIFS('Wind Proxy'!$H$8:$H$19,'Wind Proxy'!$A$8:$A$19,Estimator!$B$4,'Wind Proxy'!$B$8:$B$19,C102)</f>
        <v>0</v>
      </c>
    </row>
    <row r="103" spans="1:10" ht="14.4">
      <c r="A103" s="84">
        <v>45754</v>
      </c>
      <c r="B103" s="85">
        <v>2025</v>
      </c>
      <c r="C103" s="85">
        <v>4</v>
      </c>
      <c r="D103" s="85" t="s">
        <v>62</v>
      </c>
      <c r="E103" s="85">
        <v>7</v>
      </c>
      <c r="F103" s="85">
        <v>1</v>
      </c>
      <c r="G103" s="85">
        <f>--(F103&lt;=Estimator!$B$7)</f>
        <v>1</v>
      </c>
      <c r="H103" s="86">
        <f>SUMIFS('Climate Data'!$G$7:$G$366,'Climate Data'!$A$7:$A$366,Estimator!$B$4,'Climate Data'!$B$7:$B$366,C103)</f>
        <v>0.25555555555555559</v>
      </c>
      <c r="I103" s="87">
        <f>SUMIFS('Climate Data'!$H$7:$H$366,'Climate Data'!$A$7:$A$366,Estimator!$B$4,'Climate Data'!$B$7:$B$366,C103)</f>
        <v>7.5</v>
      </c>
      <c r="J103" s="86">
        <f>SUMIFS('Wind Proxy'!$H$8:$H$19,'Wind Proxy'!$A$8:$A$19,Estimator!$B$4,'Wind Proxy'!$B$8:$B$19,C103)</f>
        <v>0</v>
      </c>
    </row>
    <row r="104" spans="1:10" ht="14.4">
      <c r="A104" s="84">
        <v>45755</v>
      </c>
      <c r="B104" s="85">
        <v>2025</v>
      </c>
      <c r="C104" s="85">
        <v>4</v>
      </c>
      <c r="D104" s="85" t="s">
        <v>62</v>
      </c>
      <c r="E104" s="85">
        <v>8</v>
      </c>
      <c r="F104" s="85">
        <v>2</v>
      </c>
      <c r="G104" s="85">
        <f>--(F104&lt;=Estimator!$B$7)</f>
        <v>1</v>
      </c>
      <c r="H104" s="86">
        <f>SUMIFS('Climate Data'!$G$7:$G$366,'Climate Data'!$A$7:$A$366,Estimator!$B$4,'Climate Data'!$B$7:$B$366,C104)</f>
        <v>0.25555555555555559</v>
      </c>
      <c r="I104" s="87">
        <f>SUMIFS('Climate Data'!$H$7:$H$366,'Climate Data'!$A$7:$A$366,Estimator!$B$4,'Climate Data'!$B$7:$B$366,C104)</f>
        <v>7.5</v>
      </c>
      <c r="J104" s="86">
        <f>SUMIFS('Wind Proxy'!$H$8:$H$19,'Wind Proxy'!$A$8:$A$19,Estimator!$B$4,'Wind Proxy'!$B$8:$B$19,C104)</f>
        <v>0</v>
      </c>
    </row>
    <row r="105" spans="1:10" ht="14.4">
      <c r="A105" s="84">
        <v>45756</v>
      </c>
      <c r="B105" s="85">
        <v>2025</v>
      </c>
      <c r="C105" s="85">
        <v>4</v>
      </c>
      <c r="D105" s="85" t="s">
        <v>62</v>
      </c>
      <c r="E105" s="85">
        <v>9</v>
      </c>
      <c r="F105" s="85">
        <v>3</v>
      </c>
      <c r="G105" s="85">
        <f>--(F105&lt;=Estimator!$B$7)</f>
        <v>1</v>
      </c>
      <c r="H105" s="86">
        <f>SUMIFS('Climate Data'!$G$7:$G$366,'Climate Data'!$A$7:$A$366,Estimator!$B$4,'Climate Data'!$B$7:$B$366,C105)</f>
        <v>0.25555555555555559</v>
      </c>
      <c r="I105" s="87">
        <f>SUMIFS('Climate Data'!$H$7:$H$366,'Climate Data'!$A$7:$A$366,Estimator!$B$4,'Climate Data'!$B$7:$B$366,C105)</f>
        <v>7.5</v>
      </c>
      <c r="J105" s="86">
        <f>SUMIFS('Wind Proxy'!$H$8:$H$19,'Wind Proxy'!$A$8:$A$19,Estimator!$B$4,'Wind Proxy'!$B$8:$B$19,C105)</f>
        <v>0</v>
      </c>
    </row>
    <row r="106" spans="1:10" ht="14.4">
      <c r="A106" s="84">
        <v>45757</v>
      </c>
      <c r="B106" s="85">
        <v>2025</v>
      </c>
      <c r="C106" s="85">
        <v>4</v>
      </c>
      <c r="D106" s="85" t="s">
        <v>62</v>
      </c>
      <c r="E106" s="85">
        <v>10</v>
      </c>
      <c r="F106" s="85">
        <v>4</v>
      </c>
      <c r="G106" s="85">
        <f>--(F106&lt;=Estimator!$B$7)</f>
        <v>1</v>
      </c>
      <c r="H106" s="86">
        <f>SUMIFS('Climate Data'!$G$7:$G$366,'Climate Data'!$A$7:$A$366,Estimator!$B$4,'Climate Data'!$B$7:$B$366,C106)</f>
        <v>0.25555555555555559</v>
      </c>
      <c r="I106" s="87">
        <f>SUMIFS('Climate Data'!$H$7:$H$366,'Climate Data'!$A$7:$A$366,Estimator!$B$4,'Climate Data'!$B$7:$B$366,C106)</f>
        <v>7.5</v>
      </c>
      <c r="J106" s="86">
        <f>SUMIFS('Wind Proxy'!$H$8:$H$19,'Wind Proxy'!$A$8:$A$19,Estimator!$B$4,'Wind Proxy'!$B$8:$B$19,C106)</f>
        <v>0</v>
      </c>
    </row>
    <row r="107" spans="1:10" ht="14.4">
      <c r="A107" s="84">
        <v>45758</v>
      </c>
      <c r="B107" s="85">
        <v>2025</v>
      </c>
      <c r="C107" s="85">
        <v>4</v>
      </c>
      <c r="D107" s="85" t="s">
        <v>62</v>
      </c>
      <c r="E107" s="85">
        <v>11</v>
      </c>
      <c r="F107" s="85">
        <v>5</v>
      </c>
      <c r="G107" s="85">
        <f>--(F107&lt;=Estimator!$B$7)</f>
        <v>1</v>
      </c>
      <c r="H107" s="86">
        <f>SUMIFS('Climate Data'!$G$7:$G$366,'Climate Data'!$A$7:$A$366,Estimator!$B$4,'Climate Data'!$B$7:$B$366,C107)</f>
        <v>0.25555555555555559</v>
      </c>
      <c r="I107" s="87">
        <f>SUMIFS('Climate Data'!$H$7:$H$366,'Climate Data'!$A$7:$A$366,Estimator!$B$4,'Climate Data'!$B$7:$B$366,C107)</f>
        <v>7.5</v>
      </c>
      <c r="J107" s="86">
        <f>SUMIFS('Wind Proxy'!$H$8:$H$19,'Wind Proxy'!$A$8:$A$19,Estimator!$B$4,'Wind Proxy'!$B$8:$B$19,C107)</f>
        <v>0</v>
      </c>
    </row>
    <row r="108" spans="1:10" ht="14.4">
      <c r="A108" s="84">
        <v>45759</v>
      </c>
      <c r="B108" s="85">
        <v>2025</v>
      </c>
      <c r="C108" s="85">
        <v>4</v>
      </c>
      <c r="D108" s="85" t="s">
        <v>62</v>
      </c>
      <c r="E108" s="85">
        <v>12</v>
      </c>
      <c r="F108" s="85">
        <v>6</v>
      </c>
      <c r="G108" s="85">
        <f>--(F108&lt;=Estimator!$B$7)</f>
        <v>0</v>
      </c>
      <c r="H108" s="86">
        <f>SUMIFS('Climate Data'!$G$7:$G$366,'Climate Data'!$A$7:$A$366,Estimator!$B$4,'Climate Data'!$B$7:$B$366,C108)</f>
        <v>0.25555555555555559</v>
      </c>
      <c r="I108" s="87">
        <f>SUMIFS('Climate Data'!$H$7:$H$366,'Climate Data'!$A$7:$A$366,Estimator!$B$4,'Climate Data'!$B$7:$B$366,C108)</f>
        <v>7.5</v>
      </c>
      <c r="J108" s="86">
        <f>SUMIFS('Wind Proxy'!$H$8:$H$19,'Wind Proxy'!$A$8:$A$19,Estimator!$B$4,'Wind Proxy'!$B$8:$B$19,C108)</f>
        <v>0</v>
      </c>
    </row>
    <row r="109" spans="1:10" ht="14.4">
      <c r="A109" s="84">
        <v>45760</v>
      </c>
      <c r="B109" s="85">
        <v>2025</v>
      </c>
      <c r="C109" s="85">
        <v>4</v>
      </c>
      <c r="D109" s="85" t="s">
        <v>62</v>
      </c>
      <c r="E109" s="85">
        <v>13</v>
      </c>
      <c r="F109" s="85">
        <v>7</v>
      </c>
      <c r="G109" s="85">
        <f>--(F109&lt;=Estimator!$B$7)</f>
        <v>0</v>
      </c>
      <c r="H109" s="86">
        <f>SUMIFS('Climate Data'!$G$7:$G$366,'Climate Data'!$A$7:$A$366,Estimator!$B$4,'Climate Data'!$B$7:$B$366,C109)</f>
        <v>0.25555555555555559</v>
      </c>
      <c r="I109" s="87">
        <f>SUMIFS('Climate Data'!$H$7:$H$366,'Climate Data'!$A$7:$A$366,Estimator!$B$4,'Climate Data'!$B$7:$B$366,C109)</f>
        <v>7.5</v>
      </c>
      <c r="J109" s="86">
        <f>SUMIFS('Wind Proxy'!$H$8:$H$19,'Wind Proxy'!$A$8:$A$19,Estimator!$B$4,'Wind Proxy'!$B$8:$B$19,C109)</f>
        <v>0</v>
      </c>
    </row>
    <row r="110" spans="1:10" ht="14.4">
      <c r="A110" s="84">
        <v>45761</v>
      </c>
      <c r="B110" s="85">
        <v>2025</v>
      </c>
      <c r="C110" s="85">
        <v>4</v>
      </c>
      <c r="D110" s="85" t="s">
        <v>62</v>
      </c>
      <c r="E110" s="85">
        <v>14</v>
      </c>
      <c r="F110" s="85">
        <v>1</v>
      </c>
      <c r="G110" s="85">
        <f>--(F110&lt;=Estimator!$B$7)</f>
        <v>1</v>
      </c>
      <c r="H110" s="86">
        <f>SUMIFS('Climate Data'!$G$7:$G$366,'Climate Data'!$A$7:$A$366,Estimator!$B$4,'Climate Data'!$B$7:$B$366,C110)</f>
        <v>0.25555555555555559</v>
      </c>
      <c r="I110" s="87">
        <f>SUMIFS('Climate Data'!$H$7:$H$366,'Climate Data'!$A$7:$A$366,Estimator!$B$4,'Climate Data'!$B$7:$B$366,C110)</f>
        <v>7.5</v>
      </c>
      <c r="J110" s="86">
        <f>SUMIFS('Wind Proxy'!$H$8:$H$19,'Wind Proxy'!$A$8:$A$19,Estimator!$B$4,'Wind Proxy'!$B$8:$B$19,C110)</f>
        <v>0</v>
      </c>
    </row>
    <row r="111" spans="1:10" ht="14.4">
      <c r="A111" s="84">
        <v>45762</v>
      </c>
      <c r="B111" s="85">
        <v>2025</v>
      </c>
      <c r="C111" s="85">
        <v>4</v>
      </c>
      <c r="D111" s="85" t="s">
        <v>62</v>
      </c>
      <c r="E111" s="85">
        <v>15</v>
      </c>
      <c r="F111" s="85">
        <v>2</v>
      </c>
      <c r="G111" s="85">
        <f>--(F111&lt;=Estimator!$B$7)</f>
        <v>1</v>
      </c>
      <c r="H111" s="86">
        <f>SUMIFS('Climate Data'!$G$7:$G$366,'Climate Data'!$A$7:$A$366,Estimator!$B$4,'Climate Data'!$B$7:$B$366,C111)</f>
        <v>0.25555555555555559</v>
      </c>
      <c r="I111" s="87">
        <f>SUMIFS('Climate Data'!$H$7:$H$366,'Climate Data'!$A$7:$A$366,Estimator!$B$4,'Climate Data'!$B$7:$B$366,C111)</f>
        <v>7.5</v>
      </c>
      <c r="J111" s="86">
        <f>SUMIFS('Wind Proxy'!$H$8:$H$19,'Wind Proxy'!$A$8:$A$19,Estimator!$B$4,'Wind Proxy'!$B$8:$B$19,C111)</f>
        <v>0</v>
      </c>
    </row>
    <row r="112" spans="1:10" ht="14.4">
      <c r="A112" s="84">
        <v>45763</v>
      </c>
      <c r="B112" s="85">
        <v>2025</v>
      </c>
      <c r="C112" s="85">
        <v>4</v>
      </c>
      <c r="D112" s="85" t="s">
        <v>62</v>
      </c>
      <c r="E112" s="85">
        <v>16</v>
      </c>
      <c r="F112" s="85">
        <v>3</v>
      </c>
      <c r="G112" s="85">
        <f>--(F112&lt;=Estimator!$B$7)</f>
        <v>1</v>
      </c>
      <c r="H112" s="86">
        <f>SUMIFS('Climate Data'!$G$7:$G$366,'Climate Data'!$A$7:$A$366,Estimator!$B$4,'Climate Data'!$B$7:$B$366,C112)</f>
        <v>0.25555555555555559</v>
      </c>
      <c r="I112" s="87">
        <f>SUMIFS('Climate Data'!$H$7:$H$366,'Climate Data'!$A$7:$A$366,Estimator!$B$4,'Climate Data'!$B$7:$B$366,C112)</f>
        <v>7.5</v>
      </c>
      <c r="J112" s="86">
        <f>SUMIFS('Wind Proxy'!$H$8:$H$19,'Wind Proxy'!$A$8:$A$19,Estimator!$B$4,'Wind Proxy'!$B$8:$B$19,C112)</f>
        <v>0</v>
      </c>
    </row>
    <row r="113" spans="1:10" ht="14.4">
      <c r="A113" s="84">
        <v>45764</v>
      </c>
      <c r="B113" s="85">
        <v>2025</v>
      </c>
      <c r="C113" s="85">
        <v>4</v>
      </c>
      <c r="D113" s="85" t="s">
        <v>62</v>
      </c>
      <c r="E113" s="85">
        <v>17</v>
      </c>
      <c r="F113" s="85">
        <v>4</v>
      </c>
      <c r="G113" s="85">
        <f>--(F113&lt;=Estimator!$B$7)</f>
        <v>1</v>
      </c>
      <c r="H113" s="86">
        <f>SUMIFS('Climate Data'!$G$7:$G$366,'Climate Data'!$A$7:$A$366,Estimator!$B$4,'Climate Data'!$B$7:$B$366,C113)</f>
        <v>0.25555555555555559</v>
      </c>
      <c r="I113" s="87">
        <f>SUMIFS('Climate Data'!$H$7:$H$366,'Climate Data'!$A$7:$A$366,Estimator!$B$4,'Climate Data'!$B$7:$B$366,C113)</f>
        <v>7.5</v>
      </c>
      <c r="J113" s="86">
        <f>SUMIFS('Wind Proxy'!$H$8:$H$19,'Wind Proxy'!$A$8:$A$19,Estimator!$B$4,'Wind Proxy'!$B$8:$B$19,C113)</f>
        <v>0</v>
      </c>
    </row>
    <row r="114" spans="1:10" ht="14.4">
      <c r="A114" s="84">
        <v>45765</v>
      </c>
      <c r="B114" s="85">
        <v>2025</v>
      </c>
      <c r="C114" s="85">
        <v>4</v>
      </c>
      <c r="D114" s="85" t="s">
        <v>62</v>
      </c>
      <c r="E114" s="85">
        <v>18</v>
      </c>
      <c r="F114" s="85">
        <v>5</v>
      </c>
      <c r="G114" s="85">
        <f>--(F114&lt;=Estimator!$B$7)</f>
        <v>1</v>
      </c>
      <c r="H114" s="86">
        <f>SUMIFS('Climate Data'!$G$7:$G$366,'Climate Data'!$A$7:$A$366,Estimator!$B$4,'Climate Data'!$B$7:$B$366,C114)</f>
        <v>0.25555555555555559</v>
      </c>
      <c r="I114" s="87">
        <f>SUMIFS('Climate Data'!$H$7:$H$366,'Climate Data'!$A$7:$A$366,Estimator!$B$4,'Climate Data'!$B$7:$B$366,C114)</f>
        <v>7.5</v>
      </c>
      <c r="J114" s="86">
        <f>SUMIFS('Wind Proxy'!$H$8:$H$19,'Wind Proxy'!$A$8:$A$19,Estimator!$B$4,'Wind Proxy'!$B$8:$B$19,C114)</f>
        <v>0</v>
      </c>
    </row>
    <row r="115" spans="1:10" ht="14.4">
      <c r="A115" s="84">
        <v>45766</v>
      </c>
      <c r="B115" s="85">
        <v>2025</v>
      </c>
      <c r="C115" s="85">
        <v>4</v>
      </c>
      <c r="D115" s="85" t="s">
        <v>62</v>
      </c>
      <c r="E115" s="85">
        <v>19</v>
      </c>
      <c r="F115" s="85">
        <v>6</v>
      </c>
      <c r="G115" s="85">
        <f>--(F115&lt;=Estimator!$B$7)</f>
        <v>0</v>
      </c>
      <c r="H115" s="86">
        <f>SUMIFS('Climate Data'!$G$7:$G$366,'Climate Data'!$A$7:$A$366,Estimator!$B$4,'Climate Data'!$B$7:$B$366,C115)</f>
        <v>0.25555555555555559</v>
      </c>
      <c r="I115" s="87">
        <f>SUMIFS('Climate Data'!$H$7:$H$366,'Climate Data'!$A$7:$A$366,Estimator!$B$4,'Climate Data'!$B$7:$B$366,C115)</f>
        <v>7.5</v>
      </c>
      <c r="J115" s="86">
        <f>SUMIFS('Wind Proxy'!$H$8:$H$19,'Wind Proxy'!$A$8:$A$19,Estimator!$B$4,'Wind Proxy'!$B$8:$B$19,C115)</f>
        <v>0</v>
      </c>
    </row>
    <row r="116" spans="1:10" ht="14.4">
      <c r="A116" s="84">
        <v>45767</v>
      </c>
      <c r="B116" s="85">
        <v>2025</v>
      </c>
      <c r="C116" s="85">
        <v>4</v>
      </c>
      <c r="D116" s="85" t="s">
        <v>62</v>
      </c>
      <c r="E116" s="85">
        <v>20</v>
      </c>
      <c r="F116" s="85">
        <v>7</v>
      </c>
      <c r="G116" s="85">
        <f>--(F116&lt;=Estimator!$B$7)</f>
        <v>0</v>
      </c>
      <c r="H116" s="86">
        <f>SUMIFS('Climate Data'!$G$7:$G$366,'Climate Data'!$A$7:$A$366,Estimator!$B$4,'Climate Data'!$B$7:$B$366,C116)</f>
        <v>0.25555555555555559</v>
      </c>
      <c r="I116" s="87">
        <f>SUMIFS('Climate Data'!$H$7:$H$366,'Climate Data'!$A$7:$A$366,Estimator!$B$4,'Climate Data'!$B$7:$B$366,C116)</f>
        <v>7.5</v>
      </c>
      <c r="J116" s="86">
        <f>SUMIFS('Wind Proxy'!$H$8:$H$19,'Wind Proxy'!$A$8:$A$19,Estimator!$B$4,'Wind Proxy'!$B$8:$B$19,C116)</f>
        <v>0</v>
      </c>
    </row>
    <row r="117" spans="1:10" ht="14.4">
      <c r="A117" s="84">
        <v>45768</v>
      </c>
      <c r="B117" s="85">
        <v>2025</v>
      </c>
      <c r="C117" s="85">
        <v>4</v>
      </c>
      <c r="D117" s="85" t="s">
        <v>62</v>
      </c>
      <c r="E117" s="85">
        <v>21</v>
      </c>
      <c r="F117" s="85">
        <v>1</v>
      </c>
      <c r="G117" s="85">
        <f>--(F117&lt;=Estimator!$B$7)</f>
        <v>1</v>
      </c>
      <c r="H117" s="86">
        <f>SUMIFS('Climate Data'!$G$7:$G$366,'Climate Data'!$A$7:$A$366,Estimator!$B$4,'Climate Data'!$B$7:$B$366,C117)</f>
        <v>0.25555555555555559</v>
      </c>
      <c r="I117" s="87">
        <f>SUMIFS('Climate Data'!$H$7:$H$366,'Climate Data'!$A$7:$A$366,Estimator!$B$4,'Climate Data'!$B$7:$B$366,C117)</f>
        <v>7.5</v>
      </c>
      <c r="J117" s="86">
        <f>SUMIFS('Wind Proxy'!$H$8:$H$19,'Wind Proxy'!$A$8:$A$19,Estimator!$B$4,'Wind Proxy'!$B$8:$B$19,C117)</f>
        <v>0</v>
      </c>
    </row>
    <row r="118" spans="1:10" ht="14.4">
      <c r="A118" s="84">
        <v>45769</v>
      </c>
      <c r="B118" s="85">
        <v>2025</v>
      </c>
      <c r="C118" s="85">
        <v>4</v>
      </c>
      <c r="D118" s="85" t="s">
        <v>62</v>
      </c>
      <c r="E118" s="85">
        <v>22</v>
      </c>
      <c r="F118" s="85">
        <v>2</v>
      </c>
      <c r="G118" s="85">
        <f>--(F118&lt;=Estimator!$B$7)</f>
        <v>1</v>
      </c>
      <c r="H118" s="86">
        <f>SUMIFS('Climate Data'!$G$7:$G$366,'Climate Data'!$A$7:$A$366,Estimator!$B$4,'Climate Data'!$B$7:$B$366,C118)</f>
        <v>0.25555555555555559</v>
      </c>
      <c r="I118" s="87">
        <f>SUMIFS('Climate Data'!$H$7:$H$366,'Climate Data'!$A$7:$A$366,Estimator!$B$4,'Climate Data'!$B$7:$B$366,C118)</f>
        <v>7.5</v>
      </c>
      <c r="J118" s="86">
        <f>SUMIFS('Wind Proxy'!$H$8:$H$19,'Wind Proxy'!$A$8:$A$19,Estimator!$B$4,'Wind Proxy'!$B$8:$B$19,C118)</f>
        <v>0</v>
      </c>
    </row>
    <row r="119" spans="1:10" ht="14.4">
      <c r="A119" s="84">
        <v>45770</v>
      </c>
      <c r="B119" s="85">
        <v>2025</v>
      </c>
      <c r="C119" s="85">
        <v>4</v>
      </c>
      <c r="D119" s="85" t="s">
        <v>62</v>
      </c>
      <c r="E119" s="85">
        <v>23</v>
      </c>
      <c r="F119" s="85">
        <v>3</v>
      </c>
      <c r="G119" s="85">
        <f>--(F119&lt;=Estimator!$B$7)</f>
        <v>1</v>
      </c>
      <c r="H119" s="86">
        <f>SUMIFS('Climate Data'!$G$7:$G$366,'Climate Data'!$A$7:$A$366,Estimator!$B$4,'Climate Data'!$B$7:$B$366,C119)</f>
        <v>0.25555555555555559</v>
      </c>
      <c r="I119" s="87">
        <f>SUMIFS('Climate Data'!$H$7:$H$366,'Climate Data'!$A$7:$A$366,Estimator!$B$4,'Climate Data'!$B$7:$B$366,C119)</f>
        <v>7.5</v>
      </c>
      <c r="J119" s="86">
        <f>SUMIFS('Wind Proxy'!$H$8:$H$19,'Wind Proxy'!$A$8:$A$19,Estimator!$B$4,'Wind Proxy'!$B$8:$B$19,C119)</f>
        <v>0</v>
      </c>
    </row>
    <row r="120" spans="1:10" ht="14.4">
      <c r="A120" s="84">
        <v>45771</v>
      </c>
      <c r="B120" s="85">
        <v>2025</v>
      </c>
      <c r="C120" s="85">
        <v>4</v>
      </c>
      <c r="D120" s="85" t="s">
        <v>62</v>
      </c>
      <c r="E120" s="85">
        <v>24</v>
      </c>
      <c r="F120" s="85">
        <v>4</v>
      </c>
      <c r="G120" s="85">
        <f>--(F120&lt;=Estimator!$B$7)</f>
        <v>1</v>
      </c>
      <c r="H120" s="86">
        <f>SUMIFS('Climate Data'!$G$7:$G$366,'Climate Data'!$A$7:$A$366,Estimator!$B$4,'Climate Data'!$B$7:$B$366,C120)</f>
        <v>0.25555555555555559</v>
      </c>
      <c r="I120" s="87">
        <f>SUMIFS('Climate Data'!$H$7:$H$366,'Climate Data'!$A$7:$A$366,Estimator!$B$4,'Climate Data'!$B$7:$B$366,C120)</f>
        <v>7.5</v>
      </c>
      <c r="J120" s="86">
        <f>SUMIFS('Wind Proxy'!$H$8:$H$19,'Wind Proxy'!$A$8:$A$19,Estimator!$B$4,'Wind Proxy'!$B$8:$B$19,C120)</f>
        <v>0</v>
      </c>
    </row>
    <row r="121" spans="1:10" ht="14.4">
      <c r="A121" s="84">
        <v>45772</v>
      </c>
      <c r="B121" s="85">
        <v>2025</v>
      </c>
      <c r="C121" s="85">
        <v>4</v>
      </c>
      <c r="D121" s="85" t="s">
        <v>62</v>
      </c>
      <c r="E121" s="85">
        <v>25</v>
      </c>
      <c r="F121" s="85">
        <v>5</v>
      </c>
      <c r="G121" s="85">
        <f>--(F121&lt;=Estimator!$B$7)</f>
        <v>1</v>
      </c>
      <c r="H121" s="86">
        <f>SUMIFS('Climate Data'!$G$7:$G$366,'Climate Data'!$A$7:$A$366,Estimator!$B$4,'Climate Data'!$B$7:$B$366,C121)</f>
        <v>0.25555555555555559</v>
      </c>
      <c r="I121" s="87">
        <f>SUMIFS('Climate Data'!$H$7:$H$366,'Climate Data'!$A$7:$A$366,Estimator!$B$4,'Climate Data'!$B$7:$B$366,C121)</f>
        <v>7.5</v>
      </c>
      <c r="J121" s="86">
        <f>SUMIFS('Wind Proxy'!$H$8:$H$19,'Wind Proxy'!$A$8:$A$19,Estimator!$B$4,'Wind Proxy'!$B$8:$B$19,C121)</f>
        <v>0</v>
      </c>
    </row>
    <row r="122" spans="1:10" ht="14.4">
      <c r="A122" s="84">
        <v>45773</v>
      </c>
      <c r="B122" s="85">
        <v>2025</v>
      </c>
      <c r="C122" s="85">
        <v>4</v>
      </c>
      <c r="D122" s="85" t="s">
        <v>62</v>
      </c>
      <c r="E122" s="85">
        <v>26</v>
      </c>
      <c r="F122" s="85">
        <v>6</v>
      </c>
      <c r="G122" s="85">
        <f>--(F122&lt;=Estimator!$B$7)</f>
        <v>0</v>
      </c>
      <c r="H122" s="86">
        <f>SUMIFS('Climate Data'!$G$7:$G$366,'Climate Data'!$A$7:$A$366,Estimator!$B$4,'Climate Data'!$B$7:$B$366,C122)</f>
        <v>0.25555555555555559</v>
      </c>
      <c r="I122" s="87">
        <f>SUMIFS('Climate Data'!$H$7:$H$366,'Climate Data'!$A$7:$A$366,Estimator!$B$4,'Climate Data'!$B$7:$B$366,C122)</f>
        <v>7.5</v>
      </c>
      <c r="J122" s="86">
        <f>SUMIFS('Wind Proxy'!$H$8:$H$19,'Wind Proxy'!$A$8:$A$19,Estimator!$B$4,'Wind Proxy'!$B$8:$B$19,C122)</f>
        <v>0</v>
      </c>
    </row>
    <row r="123" spans="1:10" ht="14.4">
      <c r="A123" s="84">
        <v>45774</v>
      </c>
      <c r="B123" s="85">
        <v>2025</v>
      </c>
      <c r="C123" s="85">
        <v>4</v>
      </c>
      <c r="D123" s="85" t="s">
        <v>62</v>
      </c>
      <c r="E123" s="85">
        <v>27</v>
      </c>
      <c r="F123" s="85">
        <v>7</v>
      </c>
      <c r="G123" s="85">
        <f>--(F123&lt;=Estimator!$B$7)</f>
        <v>0</v>
      </c>
      <c r="H123" s="86">
        <f>SUMIFS('Climate Data'!$G$7:$G$366,'Climate Data'!$A$7:$A$366,Estimator!$B$4,'Climate Data'!$B$7:$B$366,C123)</f>
        <v>0.25555555555555559</v>
      </c>
      <c r="I123" s="87">
        <f>SUMIFS('Climate Data'!$H$7:$H$366,'Climate Data'!$A$7:$A$366,Estimator!$B$4,'Climate Data'!$B$7:$B$366,C123)</f>
        <v>7.5</v>
      </c>
      <c r="J123" s="86">
        <f>SUMIFS('Wind Proxy'!$H$8:$H$19,'Wind Proxy'!$A$8:$A$19,Estimator!$B$4,'Wind Proxy'!$B$8:$B$19,C123)</f>
        <v>0</v>
      </c>
    </row>
    <row r="124" spans="1:10" ht="14.4">
      <c r="A124" s="84">
        <v>45775</v>
      </c>
      <c r="B124" s="85">
        <v>2025</v>
      </c>
      <c r="C124" s="85">
        <v>4</v>
      </c>
      <c r="D124" s="85" t="s">
        <v>62</v>
      </c>
      <c r="E124" s="85">
        <v>28</v>
      </c>
      <c r="F124" s="85">
        <v>1</v>
      </c>
      <c r="G124" s="85">
        <f>--(F124&lt;=Estimator!$B$7)</f>
        <v>1</v>
      </c>
      <c r="H124" s="86">
        <f>SUMIFS('Climate Data'!$G$7:$G$366,'Climate Data'!$A$7:$A$366,Estimator!$B$4,'Climate Data'!$B$7:$B$366,C124)</f>
        <v>0.25555555555555559</v>
      </c>
      <c r="I124" s="87">
        <f>SUMIFS('Climate Data'!$H$7:$H$366,'Climate Data'!$A$7:$A$366,Estimator!$B$4,'Climate Data'!$B$7:$B$366,C124)</f>
        <v>7.5</v>
      </c>
      <c r="J124" s="86">
        <f>SUMIFS('Wind Proxy'!$H$8:$H$19,'Wind Proxy'!$A$8:$A$19,Estimator!$B$4,'Wind Proxy'!$B$8:$B$19,C124)</f>
        <v>0</v>
      </c>
    </row>
    <row r="125" spans="1:10" ht="14.4">
      <c r="A125" s="84">
        <v>45776</v>
      </c>
      <c r="B125" s="85">
        <v>2025</v>
      </c>
      <c r="C125" s="85">
        <v>4</v>
      </c>
      <c r="D125" s="85" t="s">
        <v>62</v>
      </c>
      <c r="E125" s="85">
        <v>29</v>
      </c>
      <c r="F125" s="85">
        <v>2</v>
      </c>
      <c r="G125" s="85">
        <f>--(F125&lt;=Estimator!$B$7)</f>
        <v>1</v>
      </c>
      <c r="H125" s="86">
        <f>SUMIFS('Climate Data'!$G$7:$G$366,'Climate Data'!$A$7:$A$366,Estimator!$B$4,'Climate Data'!$B$7:$B$366,C125)</f>
        <v>0.25555555555555559</v>
      </c>
      <c r="I125" s="87">
        <f>SUMIFS('Climate Data'!$H$7:$H$366,'Climate Data'!$A$7:$A$366,Estimator!$B$4,'Climate Data'!$B$7:$B$366,C125)</f>
        <v>7.5</v>
      </c>
      <c r="J125" s="86">
        <f>SUMIFS('Wind Proxy'!$H$8:$H$19,'Wind Proxy'!$A$8:$A$19,Estimator!$B$4,'Wind Proxy'!$B$8:$B$19,C125)</f>
        <v>0</v>
      </c>
    </row>
    <row r="126" spans="1:10" ht="14.4">
      <c r="A126" s="84">
        <v>45777</v>
      </c>
      <c r="B126" s="85">
        <v>2025</v>
      </c>
      <c r="C126" s="85">
        <v>4</v>
      </c>
      <c r="D126" s="85" t="s">
        <v>62</v>
      </c>
      <c r="E126" s="85">
        <v>30</v>
      </c>
      <c r="F126" s="85">
        <v>3</v>
      </c>
      <c r="G126" s="85">
        <f>--(F126&lt;=Estimator!$B$7)</f>
        <v>1</v>
      </c>
      <c r="H126" s="86">
        <f>SUMIFS('Climate Data'!$G$7:$G$366,'Climate Data'!$A$7:$A$366,Estimator!$B$4,'Climate Data'!$B$7:$B$366,C126)</f>
        <v>0.25555555555555559</v>
      </c>
      <c r="I126" s="87">
        <f>SUMIFS('Climate Data'!$H$7:$H$366,'Climate Data'!$A$7:$A$366,Estimator!$B$4,'Climate Data'!$B$7:$B$366,C126)</f>
        <v>7.5</v>
      </c>
      <c r="J126" s="86">
        <f>SUMIFS('Wind Proxy'!$H$8:$H$19,'Wind Proxy'!$A$8:$A$19,Estimator!$B$4,'Wind Proxy'!$B$8:$B$19,C126)</f>
        <v>0</v>
      </c>
    </row>
    <row r="127" spans="1:10" ht="14.4">
      <c r="A127" s="84">
        <v>45778</v>
      </c>
      <c r="B127" s="85">
        <v>2025</v>
      </c>
      <c r="C127" s="85">
        <v>5</v>
      </c>
      <c r="D127" s="85" t="s">
        <v>65</v>
      </c>
      <c r="E127" s="85">
        <v>1</v>
      </c>
      <c r="F127" s="85">
        <v>4</v>
      </c>
      <c r="G127" s="85">
        <f>--(F127&lt;=Estimator!$B$7)</f>
        <v>1</v>
      </c>
      <c r="H127" s="86">
        <f>SUMIFS('Climate Data'!$G$7:$G$366,'Climate Data'!$A$7:$A$366,Estimator!$B$4,'Climate Data'!$B$7:$B$366,C127)</f>
        <v>0.23010752688172045</v>
      </c>
      <c r="I127" s="87">
        <f>SUMIFS('Climate Data'!$H$7:$H$366,'Climate Data'!$A$7:$A$366,Estimator!$B$4,'Climate Data'!$B$7:$B$366,C127)</f>
        <v>8.1448598130841123</v>
      </c>
      <c r="J127" s="86">
        <f>SUMIFS('Wind Proxy'!$H$8:$H$19,'Wind Proxy'!$A$8:$A$19,Estimator!$B$4,'Wind Proxy'!$B$8:$B$19,C127)</f>
        <v>0</v>
      </c>
    </row>
    <row r="128" spans="1:10" ht="14.4">
      <c r="A128" s="84">
        <v>45779</v>
      </c>
      <c r="B128" s="85">
        <v>2025</v>
      </c>
      <c r="C128" s="85">
        <v>5</v>
      </c>
      <c r="D128" s="85" t="s">
        <v>65</v>
      </c>
      <c r="E128" s="85">
        <v>2</v>
      </c>
      <c r="F128" s="85">
        <v>5</v>
      </c>
      <c r="G128" s="85">
        <f>--(F128&lt;=Estimator!$B$7)</f>
        <v>1</v>
      </c>
      <c r="H128" s="86">
        <f>SUMIFS('Climate Data'!$G$7:$G$366,'Climate Data'!$A$7:$A$366,Estimator!$B$4,'Climate Data'!$B$7:$B$366,C128)</f>
        <v>0.23010752688172045</v>
      </c>
      <c r="I128" s="87">
        <f>SUMIFS('Climate Data'!$H$7:$H$366,'Climate Data'!$A$7:$A$366,Estimator!$B$4,'Climate Data'!$B$7:$B$366,C128)</f>
        <v>8.1448598130841123</v>
      </c>
      <c r="J128" s="86">
        <f>SUMIFS('Wind Proxy'!$H$8:$H$19,'Wind Proxy'!$A$8:$A$19,Estimator!$B$4,'Wind Proxy'!$B$8:$B$19,C128)</f>
        <v>0</v>
      </c>
    </row>
    <row r="129" spans="1:10" ht="14.4">
      <c r="A129" s="84">
        <v>45780</v>
      </c>
      <c r="B129" s="85">
        <v>2025</v>
      </c>
      <c r="C129" s="85">
        <v>5</v>
      </c>
      <c r="D129" s="85" t="s">
        <v>65</v>
      </c>
      <c r="E129" s="85">
        <v>3</v>
      </c>
      <c r="F129" s="85">
        <v>6</v>
      </c>
      <c r="G129" s="85">
        <f>--(F129&lt;=Estimator!$B$7)</f>
        <v>0</v>
      </c>
      <c r="H129" s="86">
        <f>SUMIFS('Climate Data'!$G$7:$G$366,'Climate Data'!$A$7:$A$366,Estimator!$B$4,'Climate Data'!$B$7:$B$366,C129)</f>
        <v>0.23010752688172045</v>
      </c>
      <c r="I129" s="87">
        <f>SUMIFS('Climate Data'!$H$7:$H$366,'Climate Data'!$A$7:$A$366,Estimator!$B$4,'Climate Data'!$B$7:$B$366,C129)</f>
        <v>8.1448598130841123</v>
      </c>
      <c r="J129" s="86">
        <f>SUMIFS('Wind Proxy'!$H$8:$H$19,'Wind Proxy'!$A$8:$A$19,Estimator!$B$4,'Wind Proxy'!$B$8:$B$19,C129)</f>
        <v>0</v>
      </c>
    </row>
    <row r="130" spans="1:10" ht="14.4">
      <c r="A130" s="84">
        <v>45781</v>
      </c>
      <c r="B130" s="85">
        <v>2025</v>
      </c>
      <c r="C130" s="85">
        <v>5</v>
      </c>
      <c r="D130" s="85" t="s">
        <v>65</v>
      </c>
      <c r="E130" s="85">
        <v>4</v>
      </c>
      <c r="F130" s="85">
        <v>7</v>
      </c>
      <c r="G130" s="85">
        <f>--(F130&lt;=Estimator!$B$7)</f>
        <v>0</v>
      </c>
      <c r="H130" s="86">
        <f>SUMIFS('Climate Data'!$G$7:$G$366,'Climate Data'!$A$7:$A$366,Estimator!$B$4,'Climate Data'!$B$7:$B$366,C130)</f>
        <v>0.23010752688172045</v>
      </c>
      <c r="I130" s="87">
        <f>SUMIFS('Climate Data'!$H$7:$H$366,'Climate Data'!$A$7:$A$366,Estimator!$B$4,'Climate Data'!$B$7:$B$366,C130)</f>
        <v>8.1448598130841123</v>
      </c>
      <c r="J130" s="86">
        <f>SUMIFS('Wind Proxy'!$H$8:$H$19,'Wind Proxy'!$A$8:$A$19,Estimator!$B$4,'Wind Proxy'!$B$8:$B$19,C130)</f>
        <v>0</v>
      </c>
    </row>
    <row r="131" spans="1:10" ht="14.4">
      <c r="A131" s="84">
        <v>45782</v>
      </c>
      <c r="B131" s="85">
        <v>2025</v>
      </c>
      <c r="C131" s="85">
        <v>5</v>
      </c>
      <c r="D131" s="85" t="s">
        <v>65</v>
      </c>
      <c r="E131" s="85">
        <v>5</v>
      </c>
      <c r="F131" s="85">
        <v>1</v>
      </c>
      <c r="G131" s="85">
        <f>--(F131&lt;=Estimator!$B$7)</f>
        <v>1</v>
      </c>
      <c r="H131" s="86">
        <f>SUMIFS('Climate Data'!$G$7:$G$366,'Climate Data'!$A$7:$A$366,Estimator!$B$4,'Climate Data'!$B$7:$B$366,C131)</f>
        <v>0.23010752688172045</v>
      </c>
      <c r="I131" s="87">
        <f>SUMIFS('Climate Data'!$H$7:$H$366,'Climate Data'!$A$7:$A$366,Estimator!$B$4,'Climate Data'!$B$7:$B$366,C131)</f>
        <v>8.1448598130841123</v>
      </c>
      <c r="J131" s="86">
        <f>SUMIFS('Wind Proxy'!$H$8:$H$19,'Wind Proxy'!$A$8:$A$19,Estimator!$B$4,'Wind Proxy'!$B$8:$B$19,C131)</f>
        <v>0</v>
      </c>
    </row>
    <row r="132" spans="1:10" ht="14.4">
      <c r="A132" s="84">
        <v>45783</v>
      </c>
      <c r="B132" s="85">
        <v>2025</v>
      </c>
      <c r="C132" s="85">
        <v>5</v>
      </c>
      <c r="D132" s="85" t="s">
        <v>65</v>
      </c>
      <c r="E132" s="85">
        <v>6</v>
      </c>
      <c r="F132" s="85">
        <v>2</v>
      </c>
      <c r="G132" s="85">
        <f>--(F132&lt;=Estimator!$B$7)</f>
        <v>1</v>
      </c>
      <c r="H132" s="86">
        <f>SUMIFS('Climate Data'!$G$7:$G$366,'Climate Data'!$A$7:$A$366,Estimator!$B$4,'Climate Data'!$B$7:$B$366,C132)</f>
        <v>0.23010752688172045</v>
      </c>
      <c r="I132" s="87">
        <f>SUMIFS('Climate Data'!$H$7:$H$366,'Climate Data'!$A$7:$A$366,Estimator!$B$4,'Climate Data'!$B$7:$B$366,C132)</f>
        <v>8.1448598130841123</v>
      </c>
      <c r="J132" s="86">
        <f>SUMIFS('Wind Proxy'!$H$8:$H$19,'Wind Proxy'!$A$8:$A$19,Estimator!$B$4,'Wind Proxy'!$B$8:$B$19,C132)</f>
        <v>0</v>
      </c>
    </row>
    <row r="133" spans="1:10" ht="14.4">
      <c r="A133" s="84">
        <v>45784</v>
      </c>
      <c r="B133" s="85">
        <v>2025</v>
      </c>
      <c r="C133" s="85">
        <v>5</v>
      </c>
      <c r="D133" s="85" t="s">
        <v>65</v>
      </c>
      <c r="E133" s="85">
        <v>7</v>
      </c>
      <c r="F133" s="85">
        <v>3</v>
      </c>
      <c r="G133" s="85">
        <f>--(F133&lt;=Estimator!$B$7)</f>
        <v>1</v>
      </c>
      <c r="H133" s="86">
        <f>SUMIFS('Climate Data'!$G$7:$G$366,'Climate Data'!$A$7:$A$366,Estimator!$B$4,'Climate Data'!$B$7:$B$366,C133)</f>
        <v>0.23010752688172045</v>
      </c>
      <c r="I133" s="87">
        <f>SUMIFS('Climate Data'!$H$7:$H$366,'Climate Data'!$A$7:$A$366,Estimator!$B$4,'Climate Data'!$B$7:$B$366,C133)</f>
        <v>8.1448598130841123</v>
      </c>
      <c r="J133" s="86">
        <f>SUMIFS('Wind Proxy'!$H$8:$H$19,'Wind Proxy'!$A$8:$A$19,Estimator!$B$4,'Wind Proxy'!$B$8:$B$19,C133)</f>
        <v>0</v>
      </c>
    </row>
    <row r="134" spans="1:10" ht="14.4">
      <c r="A134" s="84">
        <v>45785</v>
      </c>
      <c r="B134" s="85">
        <v>2025</v>
      </c>
      <c r="C134" s="85">
        <v>5</v>
      </c>
      <c r="D134" s="85" t="s">
        <v>65</v>
      </c>
      <c r="E134" s="85">
        <v>8</v>
      </c>
      <c r="F134" s="85">
        <v>4</v>
      </c>
      <c r="G134" s="85">
        <f>--(F134&lt;=Estimator!$B$7)</f>
        <v>1</v>
      </c>
      <c r="H134" s="86">
        <f>SUMIFS('Climate Data'!$G$7:$G$366,'Climate Data'!$A$7:$A$366,Estimator!$B$4,'Climate Data'!$B$7:$B$366,C134)</f>
        <v>0.23010752688172045</v>
      </c>
      <c r="I134" s="87">
        <f>SUMIFS('Climate Data'!$H$7:$H$366,'Climate Data'!$A$7:$A$366,Estimator!$B$4,'Climate Data'!$B$7:$B$366,C134)</f>
        <v>8.1448598130841123</v>
      </c>
      <c r="J134" s="86">
        <f>SUMIFS('Wind Proxy'!$H$8:$H$19,'Wind Proxy'!$A$8:$A$19,Estimator!$B$4,'Wind Proxy'!$B$8:$B$19,C134)</f>
        <v>0</v>
      </c>
    </row>
    <row r="135" spans="1:10" ht="14.4">
      <c r="A135" s="84">
        <v>45786</v>
      </c>
      <c r="B135" s="85">
        <v>2025</v>
      </c>
      <c r="C135" s="85">
        <v>5</v>
      </c>
      <c r="D135" s="85" t="s">
        <v>65</v>
      </c>
      <c r="E135" s="85">
        <v>9</v>
      </c>
      <c r="F135" s="85">
        <v>5</v>
      </c>
      <c r="G135" s="85">
        <f>--(F135&lt;=Estimator!$B$7)</f>
        <v>1</v>
      </c>
      <c r="H135" s="86">
        <f>SUMIFS('Climate Data'!$G$7:$G$366,'Climate Data'!$A$7:$A$366,Estimator!$B$4,'Climate Data'!$B$7:$B$366,C135)</f>
        <v>0.23010752688172045</v>
      </c>
      <c r="I135" s="87">
        <f>SUMIFS('Climate Data'!$H$7:$H$366,'Climate Data'!$A$7:$A$366,Estimator!$B$4,'Climate Data'!$B$7:$B$366,C135)</f>
        <v>8.1448598130841123</v>
      </c>
      <c r="J135" s="86">
        <f>SUMIFS('Wind Proxy'!$H$8:$H$19,'Wind Proxy'!$A$8:$A$19,Estimator!$B$4,'Wind Proxy'!$B$8:$B$19,C135)</f>
        <v>0</v>
      </c>
    </row>
    <row r="136" spans="1:10" ht="14.4">
      <c r="A136" s="84">
        <v>45787</v>
      </c>
      <c r="B136" s="85">
        <v>2025</v>
      </c>
      <c r="C136" s="85">
        <v>5</v>
      </c>
      <c r="D136" s="85" t="s">
        <v>65</v>
      </c>
      <c r="E136" s="85">
        <v>10</v>
      </c>
      <c r="F136" s="85">
        <v>6</v>
      </c>
      <c r="G136" s="85">
        <f>--(F136&lt;=Estimator!$B$7)</f>
        <v>0</v>
      </c>
      <c r="H136" s="86">
        <f>SUMIFS('Climate Data'!$G$7:$G$366,'Climate Data'!$A$7:$A$366,Estimator!$B$4,'Climate Data'!$B$7:$B$366,C136)</f>
        <v>0.23010752688172045</v>
      </c>
      <c r="I136" s="87">
        <f>SUMIFS('Climate Data'!$H$7:$H$366,'Climate Data'!$A$7:$A$366,Estimator!$B$4,'Climate Data'!$B$7:$B$366,C136)</f>
        <v>8.1448598130841123</v>
      </c>
      <c r="J136" s="86">
        <f>SUMIFS('Wind Proxy'!$H$8:$H$19,'Wind Proxy'!$A$8:$A$19,Estimator!$B$4,'Wind Proxy'!$B$8:$B$19,C136)</f>
        <v>0</v>
      </c>
    </row>
    <row r="137" spans="1:10" ht="14.4">
      <c r="A137" s="84">
        <v>45788</v>
      </c>
      <c r="B137" s="85">
        <v>2025</v>
      </c>
      <c r="C137" s="85">
        <v>5</v>
      </c>
      <c r="D137" s="85" t="s">
        <v>65</v>
      </c>
      <c r="E137" s="85">
        <v>11</v>
      </c>
      <c r="F137" s="85">
        <v>7</v>
      </c>
      <c r="G137" s="85">
        <f>--(F137&lt;=Estimator!$B$7)</f>
        <v>0</v>
      </c>
      <c r="H137" s="86">
        <f>SUMIFS('Climate Data'!$G$7:$G$366,'Climate Data'!$A$7:$A$366,Estimator!$B$4,'Climate Data'!$B$7:$B$366,C137)</f>
        <v>0.23010752688172045</v>
      </c>
      <c r="I137" s="87">
        <f>SUMIFS('Climate Data'!$H$7:$H$366,'Climate Data'!$A$7:$A$366,Estimator!$B$4,'Climate Data'!$B$7:$B$366,C137)</f>
        <v>8.1448598130841123</v>
      </c>
      <c r="J137" s="86">
        <f>SUMIFS('Wind Proxy'!$H$8:$H$19,'Wind Proxy'!$A$8:$A$19,Estimator!$B$4,'Wind Proxy'!$B$8:$B$19,C137)</f>
        <v>0</v>
      </c>
    </row>
    <row r="138" spans="1:10" ht="14.4">
      <c r="A138" s="84">
        <v>45789</v>
      </c>
      <c r="B138" s="85">
        <v>2025</v>
      </c>
      <c r="C138" s="85">
        <v>5</v>
      </c>
      <c r="D138" s="85" t="s">
        <v>65</v>
      </c>
      <c r="E138" s="85">
        <v>12</v>
      </c>
      <c r="F138" s="85">
        <v>1</v>
      </c>
      <c r="G138" s="85">
        <f>--(F138&lt;=Estimator!$B$7)</f>
        <v>1</v>
      </c>
      <c r="H138" s="86">
        <f>SUMIFS('Climate Data'!$G$7:$G$366,'Climate Data'!$A$7:$A$366,Estimator!$B$4,'Climate Data'!$B$7:$B$366,C138)</f>
        <v>0.23010752688172045</v>
      </c>
      <c r="I138" s="87">
        <f>SUMIFS('Climate Data'!$H$7:$H$366,'Climate Data'!$A$7:$A$366,Estimator!$B$4,'Climate Data'!$B$7:$B$366,C138)</f>
        <v>8.1448598130841123</v>
      </c>
      <c r="J138" s="86">
        <f>SUMIFS('Wind Proxy'!$H$8:$H$19,'Wind Proxy'!$A$8:$A$19,Estimator!$B$4,'Wind Proxy'!$B$8:$B$19,C138)</f>
        <v>0</v>
      </c>
    </row>
    <row r="139" spans="1:10" ht="14.4">
      <c r="A139" s="84">
        <v>45790</v>
      </c>
      <c r="B139" s="85">
        <v>2025</v>
      </c>
      <c r="C139" s="85">
        <v>5</v>
      </c>
      <c r="D139" s="85" t="s">
        <v>65</v>
      </c>
      <c r="E139" s="85">
        <v>13</v>
      </c>
      <c r="F139" s="85">
        <v>2</v>
      </c>
      <c r="G139" s="85">
        <f>--(F139&lt;=Estimator!$B$7)</f>
        <v>1</v>
      </c>
      <c r="H139" s="86">
        <f>SUMIFS('Climate Data'!$G$7:$G$366,'Climate Data'!$A$7:$A$366,Estimator!$B$4,'Climate Data'!$B$7:$B$366,C139)</f>
        <v>0.23010752688172045</v>
      </c>
      <c r="I139" s="87">
        <f>SUMIFS('Climate Data'!$H$7:$H$366,'Climate Data'!$A$7:$A$366,Estimator!$B$4,'Climate Data'!$B$7:$B$366,C139)</f>
        <v>8.1448598130841123</v>
      </c>
      <c r="J139" s="86">
        <f>SUMIFS('Wind Proxy'!$H$8:$H$19,'Wind Proxy'!$A$8:$A$19,Estimator!$B$4,'Wind Proxy'!$B$8:$B$19,C139)</f>
        <v>0</v>
      </c>
    </row>
    <row r="140" spans="1:10" ht="14.4">
      <c r="A140" s="84">
        <v>45791</v>
      </c>
      <c r="B140" s="85">
        <v>2025</v>
      </c>
      <c r="C140" s="85">
        <v>5</v>
      </c>
      <c r="D140" s="85" t="s">
        <v>65</v>
      </c>
      <c r="E140" s="85">
        <v>14</v>
      </c>
      <c r="F140" s="85">
        <v>3</v>
      </c>
      <c r="G140" s="85">
        <f>--(F140&lt;=Estimator!$B$7)</f>
        <v>1</v>
      </c>
      <c r="H140" s="86">
        <f>SUMIFS('Climate Data'!$G$7:$G$366,'Climate Data'!$A$7:$A$366,Estimator!$B$4,'Climate Data'!$B$7:$B$366,C140)</f>
        <v>0.23010752688172045</v>
      </c>
      <c r="I140" s="87">
        <f>SUMIFS('Climate Data'!$H$7:$H$366,'Climate Data'!$A$7:$A$366,Estimator!$B$4,'Climate Data'!$B$7:$B$366,C140)</f>
        <v>8.1448598130841123</v>
      </c>
      <c r="J140" s="86">
        <f>SUMIFS('Wind Proxy'!$H$8:$H$19,'Wind Proxy'!$A$8:$A$19,Estimator!$B$4,'Wind Proxy'!$B$8:$B$19,C140)</f>
        <v>0</v>
      </c>
    </row>
    <row r="141" spans="1:10" ht="14.4">
      <c r="A141" s="84">
        <v>45792</v>
      </c>
      <c r="B141" s="85">
        <v>2025</v>
      </c>
      <c r="C141" s="85">
        <v>5</v>
      </c>
      <c r="D141" s="85" t="s">
        <v>65</v>
      </c>
      <c r="E141" s="85">
        <v>15</v>
      </c>
      <c r="F141" s="85">
        <v>4</v>
      </c>
      <c r="G141" s="85">
        <f>--(F141&lt;=Estimator!$B$7)</f>
        <v>1</v>
      </c>
      <c r="H141" s="86">
        <f>SUMIFS('Climate Data'!$G$7:$G$366,'Climate Data'!$A$7:$A$366,Estimator!$B$4,'Climate Data'!$B$7:$B$366,C141)</f>
        <v>0.23010752688172045</v>
      </c>
      <c r="I141" s="87">
        <f>SUMIFS('Climate Data'!$H$7:$H$366,'Climate Data'!$A$7:$A$366,Estimator!$B$4,'Climate Data'!$B$7:$B$366,C141)</f>
        <v>8.1448598130841123</v>
      </c>
      <c r="J141" s="86">
        <f>SUMIFS('Wind Proxy'!$H$8:$H$19,'Wind Proxy'!$A$8:$A$19,Estimator!$B$4,'Wind Proxy'!$B$8:$B$19,C141)</f>
        <v>0</v>
      </c>
    </row>
    <row r="142" spans="1:10" ht="14.4">
      <c r="A142" s="84">
        <v>45793</v>
      </c>
      <c r="B142" s="85">
        <v>2025</v>
      </c>
      <c r="C142" s="85">
        <v>5</v>
      </c>
      <c r="D142" s="85" t="s">
        <v>65</v>
      </c>
      <c r="E142" s="85">
        <v>16</v>
      </c>
      <c r="F142" s="85">
        <v>5</v>
      </c>
      <c r="G142" s="85">
        <f>--(F142&lt;=Estimator!$B$7)</f>
        <v>1</v>
      </c>
      <c r="H142" s="86">
        <f>SUMIFS('Climate Data'!$G$7:$G$366,'Climate Data'!$A$7:$A$366,Estimator!$B$4,'Climate Data'!$B$7:$B$366,C142)</f>
        <v>0.23010752688172045</v>
      </c>
      <c r="I142" s="87">
        <f>SUMIFS('Climate Data'!$H$7:$H$366,'Climate Data'!$A$7:$A$366,Estimator!$B$4,'Climate Data'!$B$7:$B$366,C142)</f>
        <v>8.1448598130841123</v>
      </c>
      <c r="J142" s="86">
        <f>SUMIFS('Wind Proxy'!$H$8:$H$19,'Wind Proxy'!$A$8:$A$19,Estimator!$B$4,'Wind Proxy'!$B$8:$B$19,C142)</f>
        <v>0</v>
      </c>
    </row>
    <row r="143" spans="1:10" ht="14.4">
      <c r="A143" s="84">
        <v>45794</v>
      </c>
      <c r="B143" s="85">
        <v>2025</v>
      </c>
      <c r="C143" s="85">
        <v>5</v>
      </c>
      <c r="D143" s="85" t="s">
        <v>65</v>
      </c>
      <c r="E143" s="85">
        <v>17</v>
      </c>
      <c r="F143" s="85">
        <v>6</v>
      </c>
      <c r="G143" s="85">
        <f>--(F143&lt;=Estimator!$B$7)</f>
        <v>0</v>
      </c>
      <c r="H143" s="86">
        <f>SUMIFS('Climate Data'!$G$7:$G$366,'Climate Data'!$A$7:$A$366,Estimator!$B$4,'Climate Data'!$B$7:$B$366,C143)</f>
        <v>0.23010752688172045</v>
      </c>
      <c r="I143" s="87">
        <f>SUMIFS('Climate Data'!$H$7:$H$366,'Climate Data'!$A$7:$A$366,Estimator!$B$4,'Climate Data'!$B$7:$B$366,C143)</f>
        <v>8.1448598130841123</v>
      </c>
      <c r="J143" s="86">
        <f>SUMIFS('Wind Proxy'!$H$8:$H$19,'Wind Proxy'!$A$8:$A$19,Estimator!$B$4,'Wind Proxy'!$B$8:$B$19,C143)</f>
        <v>0</v>
      </c>
    </row>
    <row r="144" spans="1:10" ht="14.4">
      <c r="A144" s="84">
        <v>45795</v>
      </c>
      <c r="B144" s="85">
        <v>2025</v>
      </c>
      <c r="C144" s="85">
        <v>5</v>
      </c>
      <c r="D144" s="85" t="s">
        <v>65</v>
      </c>
      <c r="E144" s="85">
        <v>18</v>
      </c>
      <c r="F144" s="85">
        <v>7</v>
      </c>
      <c r="G144" s="85">
        <f>--(F144&lt;=Estimator!$B$7)</f>
        <v>0</v>
      </c>
      <c r="H144" s="86">
        <f>SUMIFS('Climate Data'!$G$7:$G$366,'Climate Data'!$A$7:$A$366,Estimator!$B$4,'Climate Data'!$B$7:$B$366,C144)</f>
        <v>0.23010752688172045</v>
      </c>
      <c r="I144" s="87">
        <f>SUMIFS('Climate Data'!$H$7:$H$366,'Climate Data'!$A$7:$A$366,Estimator!$B$4,'Climate Data'!$B$7:$B$366,C144)</f>
        <v>8.1448598130841123</v>
      </c>
      <c r="J144" s="86">
        <f>SUMIFS('Wind Proxy'!$H$8:$H$19,'Wind Proxy'!$A$8:$A$19,Estimator!$B$4,'Wind Proxy'!$B$8:$B$19,C144)</f>
        <v>0</v>
      </c>
    </row>
    <row r="145" spans="1:10" ht="14.4">
      <c r="A145" s="84">
        <v>45796</v>
      </c>
      <c r="B145" s="85">
        <v>2025</v>
      </c>
      <c r="C145" s="85">
        <v>5</v>
      </c>
      <c r="D145" s="85" t="s">
        <v>65</v>
      </c>
      <c r="E145" s="85">
        <v>19</v>
      </c>
      <c r="F145" s="85">
        <v>1</v>
      </c>
      <c r="G145" s="85">
        <f>--(F145&lt;=Estimator!$B$7)</f>
        <v>1</v>
      </c>
      <c r="H145" s="86">
        <f>SUMIFS('Climate Data'!$G$7:$G$366,'Climate Data'!$A$7:$A$366,Estimator!$B$4,'Climate Data'!$B$7:$B$366,C145)</f>
        <v>0.23010752688172045</v>
      </c>
      <c r="I145" s="87">
        <f>SUMIFS('Climate Data'!$H$7:$H$366,'Climate Data'!$A$7:$A$366,Estimator!$B$4,'Climate Data'!$B$7:$B$366,C145)</f>
        <v>8.1448598130841123</v>
      </c>
      <c r="J145" s="86">
        <f>SUMIFS('Wind Proxy'!$H$8:$H$19,'Wind Proxy'!$A$8:$A$19,Estimator!$B$4,'Wind Proxy'!$B$8:$B$19,C145)</f>
        <v>0</v>
      </c>
    </row>
    <row r="146" spans="1:10" ht="14.4">
      <c r="A146" s="84">
        <v>45797</v>
      </c>
      <c r="B146" s="85">
        <v>2025</v>
      </c>
      <c r="C146" s="85">
        <v>5</v>
      </c>
      <c r="D146" s="85" t="s">
        <v>65</v>
      </c>
      <c r="E146" s="85">
        <v>20</v>
      </c>
      <c r="F146" s="85">
        <v>2</v>
      </c>
      <c r="G146" s="85">
        <f>--(F146&lt;=Estimator!$B$7)</f>
        <v>1</v>
      </c>
      <c r="H146" s="86">
        <f>SUMIFS('Climate Data'!$G$7:$G$366,'Climate Data'!$A$7:$A$366,Estimator!$B$4,'Climate Data'!$B$7:$B$366,C146)</f>
        <v>0.23010752688172045</v>
      </c>
      <c r="I146" s="87">
        <f>SUMIFS('Climate Data'!$H$7:$H$366,'Climate Data'!$A$7:$A$366,Estimator!$B$4,'Climate Data'!$B$7:$B$366,C146)</f>
        <v>8.1448598130841123</v>
      </c>
      <c r="J146" s="86">
        <f>SUMIFS('Wind Proxy'!$H$8:$H$19,'Wind Proxy'!$A$8:$A$19,Estimator!$B$4,'Wind Proxy'!$B$8:$B$19,C146)</f>
        <v>0</v>
      </c>
    </row>
    <row r="147" spans="1:10" ht="14.4">
      <c r="A147" s="84">
        <v>45798</v>
      </c>
      <c r="B147" s="85">
        <v>2025</v>
      </c>
      <c r="C147" s="85">
        <v>5</v>
      </c>
      <c r="D147" s="85" t="s">
        <v>65</v>
      </c>
      <c r="E147" s="85">
        <v>21</v>
      </c>
      <c r="F147" s="85">
        <v>3</v>
      </c>
      <c r="G147" s="85">
        <f>--(F147&lt;=Estimator!$B$7)</f>
        <v>1</v>
      </c>
      <c r="H147" s="86">
        <f>SUMIFS('Climate Data'!$G$7:$G$366,'Climate Data'!$A$7:$A$366,Estimator!$B$4,'Climate Data'!$B$7:$B$366,C147)</f>
        <v>0.23010752688172045</v>
      </c>
      <c r="I147" s="87">
        <f>SUMIFS('Climate Data'!$H$7:$H$366,'Climate Data'!$A$7:$A$366,Estimator!$B$4,'Climate Data'!$B$7:$B$366,C147)</f>
        <v>8.1448598130841123</v>
      </c>
      <c r="J147" s="86">
        <f>SUMIFS('Wind Proxy'!$H$8:$H$19,'Wind Proxy'!$A$8:$A$19,Estimator!$B$4,'Wind Proxy'!$B$8:$B$19,C147)</f>
        <v>0</v>
      </c>
    </row>
    <row r="148" spans="1:10" ht="14.4">
      <c r="A148" s="84">
        <v>45799</v>
      </c>
      <c r="B148" s="85">
        <v>2025</v>
      </c>
      <c r="C148" s="85">
        <v>5</v>
      </c>
      <c r="D148" s="85" t="s">
        <v>65</v>
      </c>
      <c r="E148" s="85">
        <v>22</v>
      </c>
      <c r="F148" s="85">
        <v>4</v>
      </c>
      <c r="G148" s="85">
        <f>--(F148&lt;=Estimator!$B$7)</f>
        <v>1</v>
      </c>
      <c r="H148" s="86">
        <f>SUMIFS('Climate Data'!$G$7:$G$366,'Climate Data'!$A$7:$A$366,Estimator!$B$4,'Climate Data'!$B$7:$B$366,C148)</f>
        <v>0.23010752688172045</v>
      </c>
      <c r="I148" s="87">
        <f>SUMIFS('Climate Data'!$H$7:$H$366,'Climate Data'!$A$7:$A$366,Estimator!$B$4,'Climate Data'!$B$7:$B$366,C148)</f>
        <v>8.1448598130841123</v>
      </c>
      <c r="J148" s="86">
        <f>SUMIFS('Wind Proxy'!$H$8:$H$19,'Wind Proxy'!$A$8:$A$19,Estimator!$B$4,'Wind Proxy'!$B$8:$B$19,C148)</f>
        <v>0</v>
      </c>
    </row>
    <row r="149" spans="1:10" ht="14.4">
      <c r="A149" s="84">
        <v>45800</v>
      </c>
      <c r="B149" s="85">
        <v>2025</v>
      </c>
      <c r="C149" s="85">
        <v>5</v>
      </c>
      <c r="D149" s="85" t="s">
        <v>65</v>
      </c>
      <c r="E149" s="85">
        <v>23</v>
      </c>
      <c r="F149" s="85">
        <v>5</v>
      </c>
      <c r="G149" s="85">
        <f>--(F149&lt;=Estimator!$B$7)</f>
        <v>1</v>
      </c>
      <c r="H149" s="86">
        <f>SUMIFS('Climate Data'!$G$7:$G$366,'Climate Data'!$A$7:$A$366,Estimator!$B$4,'Climate Data'!$B$7:$B$366,C149)</f>
        <v>0.23010752688172045</v>
      </c>
      <c r="I149" s="87">
        <f>SUMIFS('Climate Data'!$H$7:$H$366,'Climate Data'!$A$7:$A$366,Estimator!$B$4,'Climate Data'!$B$7:$B$366,C149)</f>
        <v>8.1448598130841123</v>
      </c>
      <c r="J149" s="86">
        <f>SUMIFS('Wind Proxy'!$H$8:$H$19,'Wind Proxy'!$A$8:$A$19,Estimator!$B$4,'Wind Proxy'!$B$8:$B$19,C149)</f>
        <v>0</v>
      </c>
    </row>
    <row r="150" spans="1:10" ht="14.4">
      <c r="A150" s="84">
        <v>45801</v>
      </c>
      <c r="B150" s="85">
        <v>2025</v>
      </c>
      <c r="C150" s="85">
        <v>5</v>
      </c>
      <c r="D150" s="85" t="s">
        <v>65</v>
      </c>
      <c r="E150" s="85">
        <v>24</v>
      </c>
      <c r="F150" s="85">
        <v>6</v>
      </c>
      <c r="G150" s="85">
        <f>--(F150&lt;=Estimator!$B$7)</f>
        <v>0</v>
      </c>
      <c r="H150" s="86">
        <f>SUMIFS('Climate Data'!$G$7:$G$366,'Climate Data'!$A$7:$A$366,Estimator!$B$4,'Climate Data'!$B$7:$B$366,C150)</f>
        <v>0.23010752688172045</v>
      </c>
      <c r="I150" s="87">
        <f>SUMIFS('Climate Data'!$H$7:$H$366,'Climate Data'!$A$7:$A$366,Estimator!$B$4,'Climate Data'!$B$7:$B$366,C150)</f>
        <v>8.1448598130841123</v>
      </c>
      <c r="J150" s="86">
        <f>SUMIFS('Wind Proxy'!$H$8:$H$19,'Wind Proxy'!$A$8:$A$19,Estimator!$B$4,'Wind Proxy'!$B$8:$B$19,C150)</f>
        <v>0</v>
      </c>
    </row>
    <row r="151" spans="1:10" ht="14.4">
      <c r="A151" s="84">
        <v>45802</v>
      </c>
      <c r="B151" s="85">
        <v>2025</v>
      </c>
      <c r="C151" s="85">
        <v>5</v>
      </c>
      <c r="D151" s="85" t="s">
        <v>65</v>
      </c>
      <c r="E151" s="85">
        <v>25</v>
      </c>
      <c r="F151" s="85">
        <v>7</v>
      </c>
      <c r="G151" s="85">
        <f>--(F151&lt;=Estimator!$B$7)</f>
        <v>0</v>
      </c>
      <c r="H151" s="86">
        <f>SUMIFS('Climate Data'!$G$7:$G$366,'Climate Data'!$A$7:$A$366,Estimator!$B$4,'Climate Data'!$B$7:$B$366,C151)</f>
        <v>0.23010752688172045</v>
      </c>
      <c r="I151" s="87">
        <f>SUMIFS('Climate Data'!$H$7:$H$366,'Climate Data'!$A$7:$A$366,Estimator!$B$4,'Climate Data'!$B$7:$B$366,C151)</f>
        <v>8.1448598130841123</v>
      </c>
      <c r="J151" s="86">
        <f>SUMIFS('Wind Proxy'!$H$8:$H$19,'Wind Proxy'!$A$8:$A$19,Estimator!$B$4,'Wind Proxy'!$B$8:$B$19,C151)</f>
        <v>0</v>
      </c>
    </row>
    <row r="152" spans="1:10" ht="14.4">
      <c r="A152" s="84">
        <v>45803</v>
      </c>
      <c r="B152" s="85">
        <v>2025</v>
      </c>
      <c r="C152" s="85">
        <v>5</v>
      </c>
      <c r="D152" s="85" t="s">
        <v>65</v>
      </c>
      <c r="E152" s="85">
        <v>26</v>
      </c>
      <c r="F152" s="85">
        <v>1</v>
      </c>
      <c r="G152" s="85">
        <f>--(F152&lt;=Estimator!$B$7)</f>
        <v>1</v>
      </c>
      <c r="H152" s="86">
        <f>SUMIFS('Climate Data'!$G$7:$G$366,'Climate Data'!$A$7:$A$366,Estimator!$B$4,'Climate Data'!$B$7:$B$366,C152)</f>
        <v>0.23010752688172045</v>
      </c>
      <c r="I152" s="87">
        <f>SUMIFS('Climate Data'!$H$7:$H$366,'Climate Data'!$A$7:$A$366,Estimator!$B$4,'Climate Data'!$B$7:$B$366,C152)</f>
        <v>8.1448598130841123</v>
      </c>
      <c r="J152" s="86">
        <f>SUMIFS('Wind Proxy'!$H$8:$H$19,'Wind Proxy'!$A$8:$A$19,Estimator!$B$4,'Wind Proxy'!$B$8:$B$19,C152)</f>
        <v>0</v>
      </c>
    </row>
    <row r="153" spans="1:10" ht="14.4">
      <c r="A153" s="84">
        <v>45804</v>
      </c>
      <c r="B153" s="85">
        <v>2025</v>
      </c>
      <c r="C153" s="85">
        <v>5</v>
      </c>
      <c r="D153" s="85" t="s">
        <v>65</v>
      </c>
      <c r="E153" s="85">
        <v>27</v>
      </c>
      <c r="F153" s="85">
        <v>2</v>
      </c>
      <c r="G153" s="85">
        <f>--(F153&lt;=Estimator!$B$7)</f>
        <v>1</v>
      </c>
      <c r="H153" s="86">
        <f>SUMIFS('Climate Data'!$G$7:$G$366,'Climate Data'!$A$7:$A$366,Estimator!$B$4,'Climate Data'!$B$7:$B$366,C153)</f>
        <v>0.23010752688172045</v>
      </c>
      <c r="I153" s="87">
        <f>SUMIFS('Climate Data'!$H$7:$H$366,'Climate Data'!$A$7:$A$366,Estimator!$B$4,'Climate Data'!$B$7:$B$366,C153)</f>
        <v>8.1448598130841123</v>
      </c>
      <c r="J153" s="86">
        <f>SUMIFS('Wind Proxy'!$H$8:$H$19,'Wind Proxy'!$A$8:$A$19,Estimator!$B$4,'Wind Proxy'!$B$8:$B$19,C153)</f>
        <v>0</v>
      </c>
    </row>
    <row r="154" spans="1:10" ht="14.4">
      <c r="A154" s="84">
        <v>45805</v>
      </c>
      <c r="B154" s="85">
        <v>2025</v>
      </c>
      <c r="C154" s="85">
        <v>5</v>
      </c>
      <c r="D154" s="85" t="s">
        <v>65</v>
      </c>
      <c r="E154" s="85">
        <v>28</v>
      </c>
      <c r="F154" s="85">
        <v>3</v>
      </c>
      <c r="G154" s="85">
        <f>--(F154&lt;=Estimator!$B$7)</f>
        <v>1</v>
      </c>
      <c r="H154" s="86">
        <f>SUMIFS('Climate Data'!$G$7:$G$366,'Climate Data'!$A$7:$A$366,Estimator!$B$4,'Climate Data'!$B$7:$B$366,C154)</f>
        <v>0.23010752688172045</v>
      </c>
      <c r="I154" s="87">
        <f>SUMIFS('Climate Data'!$H$7:$H$366,'Climate Data'!$A$7:$A$366,Estimator!$B$4,'Climate Data'!$B$7:$B$366,C154)</f>
        <v>8.1448598130841123</v>
      </c>
      <c r="J154" s="86">
        <f>SUMIFS('Wind Proxy'!$H$8:$H$19,'Wind Proxy'!$A$8:$A$19,Estimator!$B$4,'Wind Proxy'!$B$8:$B$19,C154)</f>
        <v>0</v>
      </c>
    </row>
    <row r="155" spans="1:10" ht="14.4">
      <c r="A155" s="84">
        <v>45806</v>
      </c>
      <c r="B155" s="85">
        <v>2025</v>
      </c>
      <c r="C155" s="85">
        <v>5</v>
      </c>
      <c r="D155" s="85" t="s">
        <v>65</v>
      </c>
      <c r="E155" s="85">
        <v>29</v>
      </c>
      <c r="F155" s="85">
        <v>4</v>
      </c>
      <c r="G155" s="85">
        <f>--(F155&lt;=Estimator!$B$7)</f>
        <v>1</v>
      </c>
      <c r="H155" s="86">
        <f>SUMIFS('Climate Data'!$G$7:$G$366,'Climate Data'!$A$7:$A$366,Estimator!$B$4,'Climate Data'!$B$7:$B$366,C155)</f>
        <v>0.23010752688172045</v>
      </c>
      <c r="I155" s="87">
        <f>SUMIFS('Climate Data'!$H$7:$H$366,'Climate Data'!$A$7:$A$366,Estimator!$B$4,'Climate Data'!$B$7:$B$366,C155)</f>
        <v>8.1448598130841123</v>
      </c>
      <c r="J155" s="86">
        <f>SUMIFS('Wind Proxy'!$H$8:$H$19,'Wind Proxy'!$A$8:$A$19,Estimator!$B$4,'Wind Proxy'!$B$8:$B$19,C155)</f>
        <v>0</v>
      </c>
    </row>
    <row r="156" spans="1:10" ht="14.4">
      <c r="A156" s="84">
        <v>45807</v>
      </c>
      <c r="B156" s="85">
        <v>2025</v>
      </c>
      <c r="C156" s="85">
        <v>5</v>
      </c>
      <c r="D156" s="85" t="s">
        <v>65</v>
      </c>
      <c r="E156" s="85">
        <v>30</v>
      </c>
      <c r="F156" s="85">
        <v>5</v>
      </c>
      <c r="G156" s="85">
        <f>--(F156&lt;=Estimator!$B$7)</f>
        <v>1</v>
      </c>
      <c r="H156" s="86">
        <f>SUMIFS('Climate Data'!$G$7:$G$366,'Climate Data'!$A$7:$A$366,Estimator!$B$4,'Climate Data'!$B$7:$B$366,C156)</f>
        <v>0.23010752688172045</v>
      </c>
      <c r="I156" s="87">
        <f>SUMIFS('Climate Data'!$H$7:$H$366,'Climate Data'!$A$7:$A$366,Estimator!$B$4,'Climate Data'!$B$7:$B$366,C156)</f>
        <v>8.1448598130841123</v>
      </c>
      <c r="J156" s="86">
        <f>SUMIFS('Wind Proxy'!$H$8:$H$19,'Wind Proxy'!$A$8:$A$19,Estimator!$B$4,'Wind Proxy'!$B$8:$B$19,C156)</f>
        <v>0</v>
      </c>
    </row>
    <row r="157" spans="1:10" ht="14.4">
      <c r="A157" s="84">
        <v>45808</v>
      </c>
      <c r="B157" s="85">
        <v>2025</v>
      </c>
      <c r="C157" s="85">
        <v>5</v>
      </c>
      <c r="D157" s="85" t="s">
        <v>65</v>
      </c>
      <c r="E157" s="85">
        <v>31</v>
      </c>
      <c r="F157" s="85">
        <v>6</v>
      </c>
      <c r="G157" s="85">
        <f>--(F157&lt;=Estimator!$B$7)</f>
        <v>0</v>
      </c>
      <c r="H157" s="86">
        <f>SUMIFS('Climate Data'!$G$7:$G$366,'Climate Data'!$A$7:$A$366,Estimator!$B$4,'Climate Data'!$B$7:$B$366,C157)</f>
        <v>0.23010752688172045</v>
      </c>
      <c r="I157" s="87">
        <f>SUMIFS('Climate Data'!$H$7:$H$366,'Climate Data'!$A$7:$A$366,Estimator!$B$4,'Climate Data'!$B$7:$B$366,C157)</f>
        <v>8.1448598130841123</v>
      </c>
      <c r="J157" s="86">
        <f>SUMIFS('Wind Proxy'!$H$8:$H$19,'Wind Proxy'!$A$8:$A$19,Estimator!$B$4,'Wind Proxy'!$B$8:$B$19,C157)</f>
        <v>0</v>
      </c>
    </row>
    <row r="158" spans="1:10" ht="14.4">
      <c r="A158" s="84">
        <v>45809</v>
      </c>
      <c r="B158" s="85">
        <v>2025</v>
      </c>
      <c r="C158" s="85">
        <v>6</v>
      </c>
      <c r="D158" s="85" t="s">
        <v>68</v>
      </c>
      <c r="E158" s="85">
        <v>1</v>
      </c>
      <c r="F158" s="85">
        <v>7</v>
      </c>
      <c r="G158" s="85">
        <f>--(F158&lt;=Estimator!$B$7)</f>
        <v>0</v>
      </c>
      <c r="H158" s="86">
        <f>SUMIFS('Climate Data'!$G$7:$G$366,'Climate Data'!$A$7:$A$366,Estimator!$B$4,'Climate Data'!$B$7:$B$366,C158)</f>
        <v>0.28666666666666668</v>
      </c>
      <c r="I158" s="87">
        <f>SUMIFS('Climate Data'!$H$7:$H$366,'Climate Data'!$A$7:$A$366,Estimator!$B$4,'Climate Data'!$B$7:$B$366,C158)</f>
        <v>7.941860465116279</v>
      </c>
      <c r="J158" s="86">
        <f>SUMIFS('Wind Proxy'!$H$8:$H$19,'Wind Proxy'!$A$8:$A$19,Estimator!$B$4,'Wind Proxy'!$B$8:$B$19,C158)</f>
        <v>0</v>
      </c>
    </row>
    <row r="159" spans="1:10" ht="14.4">
      <c r="A159" s="84">
        <v>45810</v>
      </c>
      <c r="B159" s="85">
        <v>2025</v>
      </c>
      <c r="C159" s="85">
        <v>6</v>
      </c>
      <c r="D159" s="85" t="s">
        <v>68</v>
      </c>
      <c r="E159" s="85">
        <v>2</v>
      </c>
      <c r="F159" s="85">
        <v>1</v>
      </c>
      <c r="G159" s="85">
        <f>--(F159&lt;=Estimator!$B$7)</f>
        <v>1</v>
      </c>
      <c r="H159" s="86">
        <f>SUMIFS('Climate Data'!$G$7:$G$366,'Climate Data'!$A$7:$A$366,Estimator!$B$4,'Climate Data'!$B$7:$B$366,C159)</f>
        <v>0.28666666666666668</v>
      </c>
      <c r="I159" s="87">
        <f>SUMIFS('Climate Data'!$H$7:$H$366,'Climate Data'!$A$7:$A$366,Estimator!$B$4,'Climate Data'!$B$7:$B$366,C159)</f>
        <v>7.941860465116279</v>
      </c>
      <c r="J159" s="86">
        <f>SUMIFS('Wind Proxy'!$H$8:$H$19,'Wind Proxy'!$A$8:$A$19,Estimator!$B$4,'Wind Proxy'!$B$8:$B$19,C159)</f>
        <v>0</v>
      </c>
    </row>
    <row r="160" spans="1:10" ht="14.4">
      <c r="A160" s="84">
        <v>45811</v>
      </c>
      <c r="B160" s="85">
        <v>2025</v>
      </c>
      <c r="C160" s="85">
        <v>6</v>
      </c>
      <c r="D160" s="85" t="s">
        <v>68</v>
      </c>
      <c r="E160" s="85">
        <v>3</v>
      </c>
      <c r="F160" s="85">
        <v>2</v>
      </c>
      <c r="G160" s="85">
        <f>--(F160&lt;=Estimator!$B$7)</f>
        <v>1</v>
      </c>
      <c r="H160" s="86">
        <f>SUMIFS('Climate Data'!$G$7:$G$366,'Climate Data'!$A$7:$A$366,Estimator!$B$4,'Climate Data'!$B$7:$B$366,C160)</f>
        <v>0.28666666666666668</v>
      </c>
      <c r="I160" s="87">
        <f>SUMIFS('Climate Data'!$H$7:$H$366,'Climate Data'!$A$7:$A$366,Estimator!$B$4,'Climate Data'!$B$7:$B$366,C160)</f>
        <v>7.941860465116279</v>
      </c>
      <c r="J160" s="86">
        <f>SUMIFS('Wind Proxy'!$H$8:$H$19,'Wind Proxy'!$A$8:$A$19,Estimator!$B$4,'Wind Proxy'!$B$8:$B$19,C160)</f>
        <v>0</v>
      </c>
    </row>
    <row r="161" spans="1:10" ht="14.4">
      <c r="A161" s="84">
        <v>45812</v>
      </c>
      <c r="B161" s="85">
        <v>2025</v>
      </c>
      <c r="C161" s="85">
        <v>6</v>
      </c>
      <c r="D161" s="85" t="s">
        <v>68</v>
      </c>
      <c r="E161" s="85">
        <v>4</v>
      </c>
      <c r="F161" s="85">
        <v>3</v>
      </c>
      <c r="G161" s="85">
        <f>--(F161&lt;=Estimator!$B$7)</f>
        <v>1</v>
      </c>
      <c r="H161" s="86">
        <f>SUMIFS('Climate Data'!$G$7:$G$366,'Climate Data'!$A$7:$A$366,Estimator!$B$4,'Climate Data'!$B$7:$B$366,C161)</f>
        <v>0.28666666666666668</v>
      </c>
      <c r="I161" s="87">
        <f>SUMIFS('Climate Data'!$H$7:$H$366,'Climate Data'!$A$7:$A$366,Estimator!$B$4,'Climate Data'!$B$7:$B$366,C161)</f>
        <v>7.941860465116279</v>
      </c>
      <c r="J161" s="86">
        <f>SUMIFS('Wind Proxy'!$H$8:$H$19,'Wind Proxy'!$A$8:$A$19,Estimator!$B$4,'Wind Proxy'!$B$8:$B$19,C161)</f>
        <v>0</v>
      </c>
    </row>
    <row r="162" spans="1:10" ht="14.4">
      <c r="A162" s="84">
        <v>45813</v>
      </c>
      <c r="B162" s="85">
        <v>2025</v>
      </c>
      <c r="C162" s="85">
        <v>6</v>
      </c>
      <c r="D162" s="85" t="s">
        <v>68</v>
      </c>
      <c r="E162" s="85">
        <v>5</v>
      </c>
      <c r="F162" s="85">
        <v>4</v>
      </c>
      <c r="G162" s="85">
        <f>--(F162&lt;=Estimator!$B$7)</f>
        <v>1</v>
      </c>
      <c r="H162" s="86">
        <f>SUMIFS('Climate Data'!$G$7:$G$366,'Climate Data'!$A$7:$A$366,Estimator!$B$4,'Climate Data'!$B$7:$B$366,C162)</f>
        <v>0.28666666666666668</v>
      </c>
      <c r="I162" s="87">
        <f>SUMIFS('Climate Data'!$H$7:$H$366,'Climate Data'!$A$7:$A$366,Estimator!$B$4,'Climate Data'!$B$7:$B$366,C162)</f>
        <v>7.941860465116279</v>
      </c>
      <c r="J162" s="86">
        <f>SUMIFS('Wind Proxy'!$H$8:$H$19,'Wind Proxy'!$A$8:$A$19,Estimator!$B$4,'Wind Proxy'!$B$8:$B$19,C162)</f>
        <v>0</v>
      </c>
    </row>
    <row r="163" spans="1:10" ht="14.4">
      <c r="A163" s="84">
        <v>45814</v>
      </c>
      <c r="B163" s="85">
        <v>2025</v>
      </c>
      <c r="C163" s="85">
        <v>6</v>
      </c>
      <c r="D163" s="85" t="s">
        <v>68</v>
      </c>
      <c r="E163" s="85">
        <v>6</v>
      </c>
      <c r="F163" s="85">
        <v>5</v>
      </c>
      <c r="G163" s="85">
        <f>--(F163&lt;=Estimator!$B$7)</f>
        <v>1</v>
      </c>
      <c r="H163" s="86">
        <f>SUMIFS('Climate Data'!$G$7:$G$366,'Climate Data'!$A$7:$A$366,Estimator!$B$4,'Climate Data'!$B$7:$B$366,C163)</f>
        <v>0.28666666666666668</v>
      </c>
      <c r="I163" s="87">
        <f>SUMIFS('Climate Data'!$H$7:$H$366,'Climate Data'!$A$7:$A$366,Estimator!$B$4,'Climate Data'!$B$7:$B$366,C163)</f>
        <v>7.941860465116279</v>
      </c>
      <c r="J163" s="86">
        <f>SUMIFS('Wind Proxy'!$H$8:$H$19,'Wind Proxy'!$A$8:$A$19,Estimator!$B$4,'Wind Proxy'!$B$8:$B$19,C163)</f>
        <v>0</v>
      </c>
    </row>
    <row r="164" spans="1:10" ht="14.4">
      <c r="A164" s="84">
        <v>45815</v>
      </c>
      <c r="B164" s="85">
        <v>2025</v>
      </c>
      <c r="C164" s="85">
        <v>6</v>
      </c>
      <c r="D164" s="85" t="s">
        <v>68</v>
      </c>
      <c r="E164" s="85">
        <v>7</v>
      </c>
      <c r="F164" s="85">
        <v>6</v>
      </c>
      <c r="G164" s="85">
        <f>--(F164&lt;=Estimator!$B$7)</f>
        <v>0</v>
      </c>
      <c r="H164" s="86">
        <f>SUMIFS('Climate Data'!$G$7:$G$366,'Climate Data'!$A$7:$A$366,Estimator!$B$4,'Climate Data'!$B$7:$B$366,C164)</f>
        <v>0.28666666666666668</v>
      </c>
      <c r="I164" s="87">
        <f>SUMIFS('Climate Data'!$H$7:$H$366,'Climate Data'!$A$7:$A$366,Estimator!$B$4,'Climate Data'!$B$7:$B$366,C164)</f>
        <v>7.941860465116279</v>
      </c>
      <c r="J164" s="86">
        <f>SUMIFS('Wind Proxy'!$H$8:$H$19,'Wind Proxy'!$A$8:$A$19,Estimator!$B$4,'Wind Proxy'!$B$8:$B$19,C164)</f>
        <v>0</v>
      </c>
    </row>
    <row r="165" spans="1:10" ht="14.4">
      <c r="A165" s="84">
        <v>45816</v>
      </c>
      <c r="B165" s="85">
        <v>2025</v>
      </c>
      <c r="C165" s="85">
        <v>6</v>
      </c>
      <c r="D165" s="85" t="s">
        <v>68</v>
      </c>
      <c r="E165" s="85">
        <v>8</v>
      </c>
      <c r="F165" s="85">
        <v>7</v>
      </c>
      <c r="G165" s="85">
        <f>--(F165&lt;=Estimator!$B$7)</f>
        <v>0</v>
      </c>
      <c r="H165" s="86">
        <f>SUMIFS('Climate Data'!$G$7:$G$366,'Climate Data'!$A$7:$A$366,Estimator!$B$4,'Climate Data'!$B$7:$B$366,C165)</f>
        <v>0.28666666666666668</v>
      </c>
      <c r="I165" s="87">
        <f>SUMIFS('Climate Data'!$H$7:$H$366,'Climate Data'!$A$7:$A$366,Estimator!$B$4,'Climate Data'!$B$7:$B$366,C165)</f>
        <v>7.941860465116279</v>
      </c>
      <c r="J165" s="86">
        <f>SUMIFS('Wind Proxy'!$H$8:$H$19,'Wind Proxy'!$A$8:$A$19,Estimator!$B$4,'Wind Proxy'!$B$8:$B$19,C165)</f>
        <v>0</v>
      </c>
    </row>
    <row r="166" spans="1:10" ht="14.4">
      <c r="A166" s="84">
        <v>45817</v>
      </c>
      <c r="B166" s="85">
        <v>2025</v>
      </c>
      <c r="C166" s="85">
        <v>6</v>
      </c>
      <c r="D166" s="85" t="s">
        <v>68</v>
      </c>
      <c r="E166" s="85">
        <v>9</v>
      </c>
      <c r="F166" s="85">
        <v>1</v>
      </c>
      <c r="G166" s="85">
        <f>--(F166&lt;=Estimator!$B$7)</f>
        <v>1</v>
      </c>
      <c r="H166" s="86">
        <f>SUMIFS('Climate Data'!$G$7:$G$366,'Climate Data'!$A$7:$A$366,Estimator!$B$4,'Climate Data'!$B$7:$B$366,C166)</f>
        <v>0.28666666666666668</v>
      </c>
      <c r="I166" s="87">
        <f>SUMIFS('Climate Data'!$H$7:$H$366,'Climate Data'!$A$7:$A$366,Estimator!$B$4,'Climate Data'!$B$7:$B$366,C166)</f>
        <v>7.941860465116279</v>
      </c>
      <c r="J166" s="86">
        <f>SUMIFS('Wind Proxy'!$H$8:$H$19,'Wind Proxy'!$A$8:$A$19,Estimator!$B$4,'Wind Proxy'!$B$8:$B$19,C166)</f>
        <v>0</v>
      </c>
    </row>
    <row r="167" spans="1:10" ht="14.4">
      <c r="A167" s="84">
        <v>45818</v>
      </c>
      <c r="B167" s="85">
        <v>2025</v>
      </c>
      <c r="C167" s="85">
        <v>6</v>
      </c>
      <c r="D167" s="85" t="s">
        <v>68</v>
      </c>
      <c r="E167" s="85">
        <v>10</v>
      </c>
      <c r="F167" s="85">
        <v>2</v>
      </c>
      <c r="G167" s="85">
        <f>--(F167&lt;=Estimator!$B$7)</f>
        <v>1</v>
      </c>
      <c r="H167" s="86">
        <f>SUMIFS('Climate Data'!$G$7:$G$366,'Climate Data'!$A$7:$A$366,Estimator!$B$4,'Climate Data'!$B$7:$B$366,C167)</f>
        <v>0.28666666666666668</v>
      </c>
      <c r="I167" s="87">
        <f>SUMIFS('Climate Data'!$H$7:$H$366,'Climate Data'!$A$7:$A$366,Estimator!$B$4,'Climate Data'!$B$7:$B$366,C167)</f>
        <v>7.941860465116279</v>
      </c>
      <c r="J167" s="86">
        <f>SUMIFS('Wind Proxy'!$H$8:$H$19,'Wind Proxy'!$A$8:$A$19,Estimator!$B$4,'Wind Proxy'!$B$8:$B$19,C167)</f>
        <v>0</v>
      </c>
    </row>
    <row r="168" spans="1:10" ht="14.4">
      <c r="A168" s="84">
        <v>45819</v>
      </c>
      <c r="B168" s="85">
        <v>2025</v>
      </c>
      <c r="C168" s="85">
        <v>6</v>
      </c>
      <c r="D168" s="85" t="s">
        <v>68</v>
      </c>
      <c r="E168" s="85">
        <v>11</v>
      </c>
      <c r="F168" s="85">
        <v>3</v>
      </c>
      <c r="G168" s="85">
        <f>--(F168&lt;=Estimator!$B$7)</f>
        <v>1</v>
      </c>
      <c r="H168" s="86">
        <f>SUMIFS('Climate Data'!$G$7:$G$366,'Climate Data'!$A$7:$A$366,Estimator!$B$4,'Climate Data'!$B$7:$B$366,C168)</f>
        <v>0.28666666666666668</v>
      </c>
      <c r="I168" s="87">
        <f>SUMIFS('Climate Data'!$H$7:$H$366,'Climate Data'!$A$7:$A$366,Estimator!$B$4,'Climate Data'!$B$7:$B$366,C168)</f>
        <v>7.941860465116279</v>
      </c>
      <c r="J168" s="86">
        <f>SUMIFS('Wind Proxy'!$H$8:$H$19,'Wind Proxy'!$A$8:$A$19,Estimator!$B$4,'Wind Proxy'!$B$8:$B$19,C168)</f>
        <v>0</v>
      </c>
    </row>
    <row r="169" spans="1:10" ht="14.4">
      <c r="A169" s="84">
        <v>45820</v>
      </c>
      <c r="B169" s="85">
        <v>2025</v>
      </c>
      <c r="C169" s="85">
        <v>6</v>
      </c>
      <c r="D169" s="85" t="s">
        <v>68</v>
      </c>
      <c r="E169" s="85">
        <v>12</v>
      </c>
      <c r="F169" s="85">
        <v>4</v>
      </c>
      <c r="G169" s="85">
        <f>--(F169&lt;=Estimator!$B$7)</f>
        <v>1</v>
      </c>
      <c r="H169" s="86">
        <f>SUMIFS('Climate Data'!$G$7:$G$366,'Climate Data'!$A$7:$A$366,Estimator!$B$4,'Climate Data'!$B$7:$B$366,C169)</f>
        <v>0.28666666666666668</v>
      </c>
      <c r="I169" s="87">
        <f>SUMIFS('Climate Data'!$H$7:$H$366,'Climate Data'!$A$7:$A$366,Estimator!$B$4,'Climate Data'!$B$7:$B$366,C169)</f>
        <v>7.941860465116279</v>
      </c>
      <c r="J169" s="86">
        <f>SUMIFS('Wind Proxy'!$H$8:$H$19,'Wind Proxy'!$A$8:$A$19,Estimator!$B$4,'Wind Proxy'!$B$8:$B$19,C169)</f>
        <v>0</v>
      </c>
    </row>
    <row r="170" spans="1:10" ht="14.4">
      <c r="A170" s="84">
        <v>45821</v>
      </c>
      <c r="B170" s="85">
        <v>2025</v>
      </c>
      <c r="C170" s="85">
        <v>6</v>
      </c>
      <c r="D170" s="85" t="s">
        <v>68</v>
      </c>
      <c r="E170" s="85">
        <v>13</v>
      </c>
      <c r="F170" s="85">
        <v>5</v>
      </c>
      <c r="G170" s="85">
        <f>--(F170&lt;=Estimator!$B$7)</f>
        <v>1</v>
      </c>
      <c r="H170" s="86">
        <f>SUMIFS('Climate Data'!$G$7:$G$366,'Climate Data'!$A$7:$A$366,Estimator!$B$4,'Climate Data'!$B$7:$B$366,C170)</f>
        <v>0.28666666666666668</v>
      </c>
      <c r="I170" s="87">
        <f>SUMIFS('Climate Data'!$H$7:$H$366,'Climate Data'!$A$7:$A$366,Estimator!$B$4,'Climate Data'!$B$7:$B$366,C170)</f>
        <v>7.941860465116279</v>
      </c>
      <c r="J170" s="86">
        <f>SUMIFS('Wind Proxy'!$H$8:$H$19,'Wind Proxy'!$A$8:$A$19,Estimator!$B$4,'Wind Proxy'!$B$8:$B$19,C170)</f>
        <v>0</v>
      </c>
    </row>
    <row r="171" spans="1:10" ht="14.4">
      <c r="A171" s="84">
        <v>45822</v>
      </c>
      <c r="B171" s="85">
        <v>2025</v>
      </c>
      <c r="C171" s="85">
        <v>6</v>
      </c>
      <c r="D171" s="85" t="s">
        <v>68</v>
      </c>
      <c r="E171" s="85">
        <v>14</v>
      </c>
      <c r="F171" s="85">
        <v>6</v>
      </c>
      <c r="G171" s="85">
        <f>--(F171&lt;=Estimator!$B$7)</f>
        <v>0</v>
      </c>
      <c r="H171" s="86">
        <f>SUMIFS('Climate Data'!$G$7:$G$366,'Climate Data'!$A$7:$A$366,Estimator!$B$4,'Climate Data'!$B$7:$B$366,C171)</f>
        <v>0.28666666666666668</v>
      </c>
      <c r="I171" s="87">
        <f>SUMIFS('Climate Data'!$H$7:$H$366,'Climate Data'!$A$7:$A$366,Estimator!$B$4,'Climate Data'!$B$7:$B$366,C171)</f>
        <v>7.941860465116279</v>
      </c>
      <c r="J171" s="86">
        <f>SUMIFS('Wind Proxy'!$H$8:$H$19,'Wind Proxy'!$A$8:$A$19,Estimator!$B$4,'Wind Proxy'!$B$8:$B$19,C171)</f>
        <v>0</v>
      </c>
    </row>
    <row r="172" spans="1:10" ht="14.4">
      <c r="A172" s="84">
        <v>45823</v>
      </c>
      <c r="B172" s="85">
        <v>2025</v>
      </c>
      <c r="C172" s="85">
        <v>6</v>
      </c>
      <c r="D172" s="85" t="s">
        <v>68</v>
      </c>
      <c r="E172" s="85">
        <v>15</v>
      </c>
      <c r="F172" s="85">
        <v>7</v>
      </c>
      <c r="G172" s="85">
        <f>--(F172&lt;=Estimator!$B$7)</f>
        <v>0</v>
      </c>
      <c r="H172" s="86">
        <f>SUMIFS('Climate Data'!$G$7:$G$366,'Climate Data'!$A$7:$A$366,Estimator!$B$4,'Climate Data'!$B$7:$B$366,C172)</f>
        <v>0.28666666666666668</v>
      </c>
      <c r="I172" s="87">
        <f>SUMIFS('Climate Data'!$H$7:$H$366,'Climate Data'!$A$7:$A$366,Estimator!$B$4,'Climate Data'!$B$7:$B$366,C172)</f>
        <v>7.941860465116279</v>
      </c>
      <c r="J172" s="86">
        <f>SUMIFS('Wind Proxy'!$H$8:$H$19,'Wind Proxy'!$A$8:$A$19,Estimator!$B$4,'Wind Proxy'!$B$8:$B$19,C172)</f>
        <v>0</v>
      </c>
    </row>
    <row r="173" spans="1:10" ht="14.4">
      <c r="A173" s="84">
        <v>45824</v>
      </c>
      <c r="B173" s="85">
        <v>2025</v>
      </c>
      <c r="C173" s="85">
        <v>6</v>
      </c>
      <c r="D173" s="85" t="s">
        <v>68</v>
      </c>
      <c r="E173" s="85">
        <v>16</v>
      </c>
      <c r="F173" s="85">
        <v>1</v>
      </c>
      <c r="G173" s="85">
        <f>--(F173&lt;=Estimator!$B$7)</f>
        <v>1</v>
      </c>
      <c r="H173" s="86">
        <f>SUMIFS('Climate Data'!$G$7:$G$366,'Climate Data'!$A$7:$A$366,Estimator!$B$4,'Climate Data'!$B$7:$B$366,C173)</f>
        <v>0.28666666666666668</v>
      </c>
      <c r="I173" s="87">
        <f>SUMIFS('Climate Data'!$H$7:$H$366,'Climate Data'!$A$7:$A$366,Estimator!$B$4,'Climate Data'!$B$7:$B$366,C173)</f>
        <v>7.941860465116279</v>
      </c>
      <c r="J173" s="86">
        <f>SUMIFS('Wind Proxy'!$H$8:$H$19,'Wind Proxy'!$A$8:$A$19,Estimator!$B$4,'Wind Proxy'!$B$8:$B$19,C173)</f>
        <v>0</v>
      </c>
    </row>
    <row r="174" spans="1:10" ht="14.4">
      <c r="A174" s="84">
        <v>45825</v>
      </c>
      <c r="B174" s="85">
        <v>2025</v>
      </c>
      <c r="C174" s="85">
        <v>6</v>
      </c>
      <c r="D174" s="85" t="s">
        <v>68</v>
      </c>
      <c r="E174" s="85">
        <v>17</v>
      </c>
      <c r="F174" s="85">
        <v>2</v>
      </c>
      <c r="G174" s="85">
        <f>--(F174&lt;=Estimator!$B$7)</f>
        <v>1</v>
      </c>
      <c r="H174" s="86">
        <f>SUMIFS('Climate Data'!$G$7:$G$366,'Climate Data'!$A$7:$A$366,Estimator!$B$4,'Climate Data'!$B$7:$B$366,C174)</f>
        <v>0.28666666666666668</v>
      </c>
      <c r="I174" s="87">
        <f>SUMIFS('Climate Data'!$H$7:$H$366,'Climate Data'!$A$7:$A$366,Estimator!$B$4,'Climate Data'!$B$7:$B$366,C174)</f>
        <v>7.941860465116279</v>
      </c>
      <c r="J174" s="86">
        <f>SUMIFS('Wind Proxy'!$H$8:$H$19,'Wind Proxy'!$A$8:$A$19,Estimator!$B$4,'Wind Proxy'!$B$8:$B$19,C174)</f>
        <v>0</v>
      </c>
    </row>
    <row r="175" spans="1:10" ht="14.4">
      <c r="A175" s="84">
        <v>45826</v>
      </c>
      <c r="B175" s="85">
        <v>2025</v>
      </c>
      <c r="C175" s="85">
        <v>6</v>
      </c>
      <c r="D175" s="85" t="s">
        <v>68</v>
      </c>
      <c r="E175" s="85">
        <v>18</v>
      </c>
      <c r="F175" s="85">
        <v>3</v>
      </c>
      <c r="G175" s="85">
        <f>--(F175&lt;=Estimator!$B$7)</f>
        <v>1</v>
      </c>
      <c r="H175" s="86">
        <f>SUMIFS('Climate Data'!$G$7:$G$366,'Climate Data'!$A$7:$A$366,Estimator!$B$4,'Climate Data'!$B$7:$B$366,C175)</f>
        <v>0.28666666666666668</v>
      </c>
      <c r="I175" s="87">
        <f>SUMIFS('Climate Data'!$H$7:$H$366,'Climate Data'!$A$7:$A$366,Estimator!$B$4,'Climate Data'!$B$7:$B$366,C175)</f>
        <v>7.941860465116279</v>
      </c>
      <c r="J175" s="86">
        <f>SUMIFS('Wind Proxy'!$H$8:$H$19,'Wind Proxy'!$A$8:$A$19,Estimator!$B$4,'Wind Proxy'!$B$8:$B$19,C175)</f>
        <v>0</v>
      </c>
    </row>
    <row r="176" spans="1:10" ht="14.4">
      <c r="A176" s="84">
        <v>45827</v>
      </c>
      <c r="B176" s="85">
        <v>2025</v>
      </c>
      <c r="C176" s="85">
        <v>6</v>
      </c>
      <c r="D176" s="85" t="s">
        <v>68</v>
      </c>
      <c r="E176" s="85">
        <v>19</v>
      </c>
      <c r="F176" s="85">
        <v>4</v>
      </c>
      <c r="G176" s="85">
        <f>--(F176&lt;=Estimator!$B$7)</f>
        <v>1</v>
      </c>
      <c r="H176" s="86">
        <f>SUMIFS('Climate Data'!$G$7:$G$366,'Climate Data'!$A$7:$A$366,Estimator!$B$4,'Climate Data'!$B$7:$B$366,C176)</f>
        <v>0.28666666666666668</v>
      </c>
      <c r="I176" s="87">
        <f>SUMIFS('Climate Data'!$H$7:$H$366,'Climate Data'!$A$7:$A$366,Estimator!$B$4,'Climate Data'!$B$7:$B$366,C176)</f>
        <v>7.941860465116279</v>
      </c>
      <c r="J176" s="86">
        <f>SUMIFS('Wind Proxy'!$H$8:$H$19,'Wind Proxy'!$A$8:$A$19,Estimator!$B$4,'Wind Proxy'!$B$8:$B$19,C176)</f>
        <v>0</v>
      </c>
    </row>
    <row r="177" spans="1:10" ht="14.4">
      <c r="A177" s="84">
        <v>45828</v>
      </c>
      <c r="B177" s="85">
        <v>2025</v>
      </c>
      <c r="C177" s="85">
        <v>6</v>
      </c>
      <c r="D177" s="85" t="s">
        <v>68</v>
      </c>
      <c r="E177" s="85">
        <v>20</v>
      </c>
      <c r="F177" s="85">
        <v>5</v>
      </c>
      <c r="G177" s="85">
        <f>--(F177&lt;=Estimator!$B$7)</f>
        <v>1</v>
      </c>
      <c r="H177" s="86">
        <f>SUMIFS('Climate Data'!$G$7:$G$366,'Climate Data'!$A$7:$A$366,Estimator!$B$4,'Climate Data'!$B$7:$B$366,C177)</f>
        <v>0.28666666666666668</v>
      </c>
      <c r="I177" s="87">
        <f>SUMIFS('Climate Data'!$H$7:$H$366,'Climate Data'!$A$7:$A$366,Estimator!$B$4,'Climate Data'!$B$7:$B$366,C177)</f>
        <v>7.941860465116279</v>
      </c>
      <c r="J177" s="86">
        <f>SUMIFS('Wind Proxy'!$H$8:$H$19,'Wind Proxy'!$A$8:$A$19,Estimator!$B$4,'Wind Proxy'!$B$8:$B$19,C177)</f>
        <v>0</v>
      </c>
    </row>
    <row r="178" spans="1:10" ht="14.4">
      <c r="A178" s="84">
        <v>45829</v>
      </c>
      <c r="B178" s="85">
        <v>2025</v>
      </c>
      <c r="C178" s="85">
        <v>6</v>
      </c>
      <c r="D178" s="85" t="s">
        <v>68</v>
      </c>
      <c r="E178" s="85">
        <v>21</v>
      </c>
      <c r="F178" s="85">
        <v>6</v>
      </c>
      <c r="G178" s="85">
        <f>--(F178&lt;=Estimator!$B$7)</f>
        <v>0</v>
      </c>
      <c r="H178" s="86">
        <f>SUMIFS('Climate Data'!$G$7:$G$366,'Climate Data'!$A$7:$A$366,Estimator!$B$4,'Climate Data'!$B$7:$B$366,C178)</f>
        <v>0.28666666666666668</v>
      </c>
      <c r="I178" s="87">
        <f>SUMIFS('Climate Data'!$H$7:$H$366,'Climate Data'!$A$7:$A$366,Estimator!$B$4,'Climate Data'!$B$7:$B$366,C178)</f>
        <v>7.941860465116279</v>
      </c>
      <c r="J178" s="86">
        <f>SUMIFS('Wind Proxy'!$H$8:$H$19,'Wind Proxy'!$A$8:$A$19,Estimator!$B$4,'Wind Proxy'!$B$8:$B$19,C178)</f>
        <v>0</v>
      </c>
    </row>
    <row r="179" spans="1:10" ht="14.4">
      <c r="A179" s="84">
        <v>45830</v>
      </c>
      <c r="B179" s="85">
        <v>2025</v>
      </c>
      <c r="C179" s="85">
        <v>6</v>
      </c>
      <c r="D179" s="85" t="s">
        <v>68</v>
      </c>
      <c r="E179" s="85">
        <v>22</v>
      </c>
      <c r="F179" s="85">
        <v>7</v>
      </c>
      <c r="G179" s="85">
        <f>--(F179&lt;=Estimator!$B$7)</f>
        <v>0</v>
      </c>
      <c r="H179" s="86">
        <f>SUMIFS('Climate Data'!$G$7:$G$366,'Climate Data'!$A$7:$A$366,Estimator!$B$4,'Climate Data'!$B$7:$B$366,C179)</f>
        <v>0.28666666666666668</v>
      </c>
      <c r="I179" s="87">
        <f>SUMIFS('Climate Data'!$H$7:$H$366,'Climate Data'!$A$7:$A$366,Estimator!$B$4,'Climate Data'!$B$7:$B$366,C179)</f>
        <v>7.941860465116279</v>
      </c>
      <c r="J179" s="86">
        <f>SUMIFS('Wind Proxy'!$H$8:$H$19,'Wind Proxy'!$A$8:$A$19,Estimator!$B$4,'Wind Proxy'!$B$8:$B$19,C179)</f>
        <v>0</v>
      </c>
    </row>
    <row r="180" spans="1:10" ht="14.4">
      <c r="A180" s="84">
        <v>45831</v>
      </c>
      <c r="B180" s="85">
        <v>2025</v>
      </c>
      <c r="C180" s="85">
        <v>6</v>
      </c>
      <c r="D180" s="85" t="s">
        <v>68</v>
      </c>
      <c r="E180" s="85">
        <v>23</v>
      </c>
      <c r="F180" s="85">
        <v>1</v>
      </c>
      <c r="G180" s="85">
        <f>--(F180&lt;=Estimator!$B$7)</f>
        <v>1</v>
      </c>
      <c r="H180" s="86">
        <f>SUMIFS('Climate Data'!$G$7:$G$366,'Climate Data'!$A$7:$A$366,Estimator!$B$4,'Climate Data'!$B$7:$B$366,C180)</f>
        <v>0.28666666666666668</v>
      </c>
      <c r="I180" s="87">
        <f>SUMIFS('Climate Data'!$H$7:$H$366,'Climate Data'!$A$7:$A$366,Estimator!$B$4,'Climate Data'!$B$7:$B$366,C180)</f>
        <v>7.941860465116279</v>
      </c>
      <c r="J180" s="86">
        <f>SUMIFS('Wind Proxy'!$H$8:$H$19,'Wind Proxy'!$A$8:$A$19,Estimator!$B$4,'Wind Proxy'!$B$8:$B$19,C180)</f>
        <v>0</v>
      </c>
    </row>
    <row r="181" spans="1:10" ht="14.4">
      <c r="A181" s="84">
        <v>45832</v>
      </c>
      <c r="B181" s="85">
        <v>2025</v>
      </c>
      <c r="C181" s="85">
        <v>6</v>
      </c>
      <c r="D181" s="85" t="s">
        <v>68</v>
      </c>
      <c r="E181" s="85">
        <v>24</v>
      </c>
      <c r="F181" s="85">
        <v>2</v>
      </c>
      <c r="G181" s="85">
        <f>--(F181&lt;=Estimator!$B$7)</f>
        <v>1</v>
      </c>
      <c r="H181" s="86">
        <f>SUMIFS('Climate Data'!$G$7:$G$366,'Climate Data'!$A$7:$A$366,Estimator!$B$4,'Climate Data'!$B$7:$B$366,C181)</f>
        <v>0.28666666666666668</v>
      </c>
      <c r="I181" s="87">
        <f>SUMIFS('Climate Data'!$H$7:$H$366,'Climate Data'!$A$7:$A$366,Estimator!$B$4,'Climate Data'!$B$7:$B$366,C181)</f>
        <v>7.941860465116279</v>
      </c>
      <c r="J181" s="86">
        <f>SUMIFS('Wind Proxy'!$H$8:$H$19,'Wind Proxy'!$A$8:$A$19,Estimator!$B$4,'Wind Proxy'!$B$8:$B$19,C181)</f>
        <v>0</v>
      </c>
    </row>
    <row r="182" spans="1:10" ht="14.4">
      <c r="A182" s="84">
        <v>45833</v>
      </c>
      <c r="B182" s="85">
        <v>2025</v>
      </c>
      <c r="C182" s="85">
        <v>6</v>
      </c>
      <c r="D182" s="85" t="s">
        <v>68</v>
      </c>
      <c r="E182" s="85">
        <v>25</v>
      </c>
      <c r="F182" s="85">
        <v>3</v>
      </c>
      <c r="G182" s="85">
        <f>--(F182&lt;=Estimator!$B$7)</f>
        <v>1</v>
      </c>
      <c r="H182" s="86">
        <f>SUMIFS('Climate Data'!$G$7:$G$366,'Climate Data'!$A$7:$A$366,Estimator!$B$4,'Climate Data'!$B$7:$B$366,C182)</f>
        <v>0.28666666666666668</v>
      </c>
      <c r="I182" s="87">
        <f>SUMIFS('Climate Data'!$H$7:$H$366,'Climate Data'!$A$7:$A$366,Estimator!$B$4,'Climate Data'!$B$7:$B$366,C182)</f>
        <v>7.941860465116279</v>
      </c>
      <c r="J182" s="86">
        <f>SUMIFS('Wind Proxy'!$H$8:$H$19,'Wind Proxy'!$A$8:$A$19,Estimator!$B$4,'Wind Proxy'!$B$8:$B$19,C182)</f>
        <v>0</v>
      </c>
    </row>
    <row r="183" spans="1:10" ht="14.4">
      <c r="A183" s="84">
        <v>45834</v>
      </c>
      <c r="B183" s="85">
        <v>2025</v>
      </c>
      <c r="C183" s="85">
        <v>6</v>
      </c>
      <c r="D183" s="85" t="s">
        <v>68</v>
      </c>
      <c r="E183" s="85">
        <v>26</v>
      </c>
      <c r="F183" s="85">
        <v>4</v>
      </c>
      <c r="G183" s="85">
        <f>--(F183&lt;=Estimator!$B$7)</f>
        <v>1</v>
      </c>
      <c r="H183" s="86">
        <f>SUMIFS('Climate Data'!$G$7:$G$366,'Climate Data'!$A$7:$A$366,Estimator!$B$4,'Climate Data'!$B$7:$B$366,C183)</f>
        <v>0.28666666666666668</v>
      </c>
      <c r="I183" s="87">
        <f>SUMIFS('Climate Data'!$H$7:$H$366,'Climate Data'!$A$7:$A$366,Estimator!$B$4,'Climate Data'!$B$7:$B$366,C183)</f>
        <v>7.941860465116279</v>
      </c>
      <c r="J183" s="86">
        <f>SUMIFS('Wind Proxy'!$H$8:$H$19,'Wind Proxy'!$A$8:$A$19,Estimator!$B$4,'Wind Proxy'!$B$8:$B$19,C183)</f>
        <v>0</v>
      </c>
    </row>
    <row r="184" spans="1:10" ht="14.4">
      <c r="A184" s="84">
        <v>45835</v>
      </c>
      <c r="B184" s="85">
        <v>2025</v>
      </c>
      <c r="C184" s="85">
        <v>6</v>
      </c>
      <c r="D184" s="85" t="s">
        <v>68</v>
      </c>
      <c r="E184" s="85">
        <v>27</v>
      </c>
      <c r="F184" s="85">
        <v>5</v>
      </c>
      <c r="G184" s="85">
        <f>--(F184&lt;=Estimator!$B$7)</f>
        <v>1</v>
      </c>
      <c r="H184" s="86">
        <f>SUMIFS('Climate Data'!$G$7:$G$366,'Climate Data'!$A$7:$A$366,Estimator!$B$4,'Climate Data'!$B$7:$B$366,C184)</f>
        <v>0.28666666666666668</v>
      </c>
      <c r="I184" s="87">
        <f>SUMIFS('Climate Data'!$H$7:$H$366,'Climate Data'!$A$7:$A$366,Estimator!$B$4,'Climate Data'!$B$7:$B$366,C184)</f>
        <v>7.941860465116279</v>
      </c>
      <c r="J184" s="86">
        <f>SUMIFS('Wind Proxy'!$H$8:$H$19,'Wind Proxy'!$A$8:$A$19,Estimator!$B$4,'Wind Proxy'!$B$8:$B$19,C184)</f>
        <v>0</v>
      </c>
    </row>
    <row r="185" spans="1:10" ht="14.4">
      <c r="A185" s="84">
        <v>45836</v>
      </c>
      <c r="B185" s="85">
        <v>2025</v>
      </c>
      <c r="C185" s="85">
        <v>6</v>
      </c>
      <c r="D185" s="85" t="s">
        <v>68</v>
      </c>
      <c r="E185" s="85">
        <v>28</v>
      </c>
      <c r="F185" s="85">
        <v>6</v>
      </c>
      <c r="G185" s="85">
        <f>--(F185&lt;=Estimator!$B$7)</f>
        <v>0</v>
      </c>
      <c r="H185" s="86">
        <f>SUMIFS('Climate Data'!$G$7:$G$366,'Climate Data'!$A$7:$A$366,Estimator!$B$4,'Climate Data'!$B$7:$B$366,C185)</f>
        <v>0.28666666666666668</v>
      </c>
      <c r="I185" s="87">
        <f>SUMIFS('Climate Data'!$H$7:$H$366,'Climate Data'!$A$7:$A$366,Estimator!$B$4,'Climate Data'!$B$7:$B$366,C185)</f>
        <v>7.941860465116279</v>
      </c>
      <c r="J185" s="86">
        <f>SUMIFS('Wind Proxy'!$H$8:$H$19,'Wind Proxy'!$A$8:$A$19,Estimator!$B$4,'Wind Proxy'!$B$8:$B$19,C185)</f>
        <v>0</v>
      </c>
    </row>
    <row r="186" spans="1:10" ht="14.4">
      <c r="A186" s="84">
        <v>45837</v>
      </c>
      <c r="B186" s="85">
        <v>2025</v>
      </c>
      <c r="C186" s="85">
        <v>6</v>
      </c>
      <c r="D186" s="85" t="s">
        <v>68</v>
      </c>
      <c r="E186" s="85">
        <v>29</v>
      </c>
      <c r="F186" s="85">
        <v>7</v>
      </c>
      <c r="G186" s="85">
        <f>--(F186&lt;=Estimator!$B$7)</f>
        <v>0</v>
      </c>
      <c r="H186" s="86">
        <f>SUMIFS('Climate Data'!$G$7:$G$366,'Climate Data'!$A$7:$A$366,Estimator!$B$4,'Climate Data'!$B$7:$B$366,C186)</f>
        <v>0.28666666666666668</v>
      </c>
      <c r="I186" s="87">
        <f>SUMIFS('Climate Data'!$H$7:$H$366,'Climate Data'!$A$7:$A$366,Estimator!$B$4,'Climate Data'!$B$7:$B$366,C186)</f>
        <v>7.941860465116279</v>
      </c>
      <c r="J186" s="86">
        <f>SUMIFS('Wind Proxy'!$H$8:$H$19,'Wind Proxy'!$A$8:$A$19,Estimator!$B$4,'Wind Proxy'!$B$8:$B$19,C186)</f>
        <v>0</v>
      </c>
    </row>
    <row r="187" spans="1:10" ht="14.4">
      <c r="A187" s="84">
        <v>45838</v>
      </c>
      <c r="B187" s="85">
        <v>2025</v>
      </c>
      <c r="C187" s="85">
        <v>6</v>
      </c>
      <c r="D187" s="85" t="s">
        <v>68</v>
      </c>
      <c r="E187" s="85">
        <v>30</v>
      </c>
      <c r="F187" s="85">
        <v>1</v>
      </c>
      <c r="G187" s="85">
        <f>--(F187&lt;=Estimator!$B$7)</f>
        <v>1</v>
      </c>
      <c r="H187" s="86">
        <f>SUMIFS('Climate Data'!$G$7:$G$366,'Climate Data'!$A$7:$A$366,Estimator!$B$4,'Climate Data'!$B$7:$B$366,C187)</f>
        <v>0.28666666666666668</v>
      </c>
      <c r="I187" s="87">
        <f>SUMIFS('Climate Data'!$H$7:$H$366,'Climate Data'!$A$7:$A$366,Estimator!$B$4,'Climate Data'!$B$7:$B$366,C187)</f>
        <v>7.941860465116279</v>
      </c>
      <c r="J187" s="86">
        <f>SUMIFS('Wind Proxy'!$H$8:$H$19,'Wind Proxy'!$A$8:$A$19,Estimator!$B$4,'Wind Proxy'!$B$8:$B$19,C187)</f>
        <v>0</v>
      </c>
    </row>
    <row r="188" spans="1:10" ht="14.4">
      <c r="A188" s="84">
        <v>45839</v>
      </c>
      <c r="B188" s="85">
        <v>2025</v>
      </c>
      <c r="C188" s="85">
        <v>7</v>
      </c>
      <c r="D188" s="85" t="s">
        <v>69</v>
      </c>
      <c r="E188" s="85">
        <v>1</v>
      </c>
      <c r="F188" s="85">
        <v>2</v>
      </c>
      <c r="G188" s="85">
        <f>--(F188&lt;=Estimator!$B$7)</f>
        <v>1</v>
      </c>
      <c r="H188" s="86">
        <f>SUMIFS('Climate Data'!$G$7:$G$366,'Climate Data'!$A$7:$A$366,Estimator!$B$4,'Climate Data'!$B$7:$B$366,C188)</f>
        <v>0.24731182795698925</v>
      </c>
      <c r="I188" s="87">
        <f>SUMIFS('Climate Data'!$H$7:$H$366,'Climate Data'!$A$7:$A$366,Estimator!$B$4,'Climate Data'!$B$7:$B$366,C188)</f>
        <v>8.3739130434782609</v>
      </c>
      <c r="J188" s="86">
        <f>SUMIFS('Wind Proxy'!$H$8:$H$19,'Wind Proxy'!$A$8:$A$19,Estimator!$B$4,'Wind Proxy'!$B$8:$B$19,C188)</f>
        <v>0</v>
      </c>
    </row>
    <row r="189" spans="1:10" ht="14.4">
      <c r="A189" s="84">
        <v>45840</v>
      </c>
      <c r="B189" s="85">
        <v>2025</v>
      </c>
      <c r="C189" s="85">
        <v>7</v>
      </c>
      <c r="D189" s="85" t="s">
        <v>69</v>
      </c>
      <c r="E189" s="85">
        <v>2</v>
      </c>
      <c r="F189" s="85">
        <v>3</v>
      </c>
      <c r="G189" s="85">
        <f>--(F189&lt;=Estimator!$B$7)</f>
        <v>1</v>
      </c>
      <c r="H189" s="86">
        <f>SUMIFS('Climate Data'!$G$7:$G$366,'Climate Data'!$A$7:$A$366,Estimator!$B$4,'Climate Data'!$B$7:$B$366,C189)</f>
        <v>0.24731182795698925</v>
      </c>
      <c r="I189" s="87">
        <f>SUMIFS('Climate Data'!$H$7:$H$366,'Climate Data'!$A$7:$A$366,Estimator!$B$4,'Climate Data'!$B$7:$B$366,C189)</f>
        <v>8.3739130434782609</v>
      </c>
      <c r="J189" s="86">
        <f>SUMIFS('Wind Proxy'!$H$8:$H$19,'Wind Proxy'!$A$8:$A$19,Estimator!$B$4,'Wind Proxy'!$B$8:$B$19,C189)</f>
        <v>0</v>
      </c>
    </row>
    <row r="190" spans="1:10" ht="14.4">
      <c r="A190" s="84">
        <v>45841</v>
      </c>
      <c r="B190" s="85">
        <v>2025</v>
      </c>
      <c r="C190" s="85">
        <v>7</v>
      </c>
      <c r="D190" s="85" t="s">
        <v>69</v>
      </c>
      <c r="E190" s="85">
        <v>3</v>
      </c>
      <c r="F190" s="85">
        <v>4</v>
      </c>
      <c r="G190" s="85">
        <f>--(F190&lt;=Estimator!$B$7)</f>
        <v>1</v>
      </c>
      <c r="H190" s="86">
        <f>SUMIFS('Climate Data'!$G$7:$G$366,'Climate Data'!$A$7:$A$366,Estimator!$B$4,'Climate Data'!$B$7:$B$366,C190)</f>
        <v>0.24731182795698925</v>
      </c>
      <c r="I190" s="87">
        <f>SUMIFS('Climate Data'!$H$7:$H$366,'Climate Data'!$A$7:$A$366,Estimator!$B$4,'Climate Data'!$B$7:$B$366,C190)</f>
        <v>8.3739130434782609</v>
      </c>
      <c r="J190" s="86">
        <f>SUMIFS('Wind Proxy'!$H$8:$H$19,'Wind Proxy'!$A$8:$A$19,Estimator!$B$4,'Wind Proxy'!$B$8:$B$19,C190)</f>
        <v>0</v>
      </c>
    </row>
    <row r="191" spans="1:10" ht="14.4">
      <c r="A191" s="84">
        <v>45842</v>
      </c>
      <c r="B191" s="85">
        <v>2025</v>
      </c>
      <c r="C191" s="85">
        <v>7</v>
      </c>
      <c r="D191" s="85" t="s">
        <v>69</v>
      </c>
      <c r="E191" s="85">
        <v>4</v>
      </c>
      <c r="F191" s="85">
        <v>5</v>
      </c>
      <c r="G191" s="85">
        <f>--(F191&lt;=Estimator!$B$7)</f>
        <v>1</v>
      </c>
      <c r="H191" s="86">
        <f>SUMIFS('Climate Data'!$G$7:$G$366,'Climate Data'!$A$7:$A$366,Estimator!$B$4,'Climate Data'!$B$7:$B$366,C191)</f>
        <v>0.24731182795698925</v>
      </c>
      <c r="I191" s="87">
        <f>SUMIFS('Climate Data'!$H$7:$H$366,'Climate Data'!$A$7:$A$366,Estimator!$B$4,'Climate Data'!$B$7:$B$366,C191)</f>
        <v>8.3739130434782609</v>
      </c>
      <c r="J191" s="86">
        <f>SUMIFS('Wind Proxy'!$H$8:$H$19,'Wind Proxy'!$A$8:$A$19,Estimator!$B$4,'Wind Proxy'!$B$8:$B$19,C191)</f>
        <v>0</v>
      </c>
    </row>
    <row r="192" spans="1:10" ht="14.4">
      <c r="A192" s="84">
        <v>45843</v>
      </c>
      <c r="B192" s="85">
        <v>2025</v>
      </c>
      <c r="C192" s="85">
        <v>7</v>
      </c>
      <c r="D192" s="85" t="s">
        <v>69</v>
      </c>
      <c r="E192" s="85">
        <v>5</v>
      </c>
      <c r="F192" s="85">
        <v>6</v>
      </c>
      <c r="G192" s="85">
        <f>--(F192&lt;=Estimator!$B$7)</f>
        <v>0</v>
      </c>
      <c r="H192" s="86">
        <f>SUMIFS('Climate Data'!$G$7:$G$366,'Climate Data'!$A$7:$A$366,Estimator!$B$4,'Climate Data'!$B$7:$B$366,C192)</f>
        <v>0.24731182795698925</v>
      </c>
      <c r="I192" s="87">
        <f>SUMIFS('Climate Data'!$H$7:$H$366,'Climate Data'!$A$7:$A$366,Estimator!$B$4,'Climate Data'!$B$7:$B$366,C192)</f>
        <v>8.3739130434782609</v>
      </c>
      <c r="J192" s="86">
        <f>SUMIFS('Wind Proxy'!$H$8:$H$19,'Wind Proxy'!$A$8:$A$19,Estimator!$B$4,'Wind Proxy'!$B$8:$B$19,C192)</f>
        <v>0</v>
      </c>
    </row>
    <row r="193" spans="1:10" ht="14.4">
      <c r="A193" s="84">
        <v>45844</v>
      </c>
      <c r="B193" s="85">
        <v>2025</v>
      </c>
      <c r="C193" s="85">
        <v>7</v>
      </c>
      <c r="D193" s="85" t="s">
        <v>69</v>
      </c>
      <c r="E193" s="85">
        <v>6</v>
      </c>
      <c r="F193" s="85">
        <v>7</v>
      </c>
      <c r="G193" s="85">
        <f>--(F193&lt;=Estimator!$B$7)</f>
        <v>0</v>
      </c>
      <c r="H193" s="86">
        <f>SUMIFS('Climate Data'!$G$7:$G$366,'Climate Data'!$A$7:$A$366,Estimator!$B$4,'Climate Data'!$B$7:$B$366,C193)</f>
        <v>0.24731182795698925</v>
      </c>
      <c r="I193" s="87">
        <f>SUMIFS('Climate Data'!$H$7:$H$366,'Climate Data'!$A$7:$A$366,Estimator!$B$4,'Climate Data'!$B$7:$B$366,C193)</f>
        <v>8.3739130434782609</v>
      </c>
      <c r="J193" s="86">
        <f>SUMIFS('Wind Proxy'!$H$8:$H$19,'Wind Proxy'!$A$8:$A$19,Estimator!$B$4,'Wind Proxy'!$B$8:$B$19,C193)</f>
        <v>0</v>
      </c>
    </row>
    <row r="194" spans="1:10" ht="14.4">
      <c r="A194" s="84">
        <v>45845</v>
      </c>
      <c r="B194" s="85">
        <v>2025</v>
      </c>
      <c r="C194" s="85">
        <v>7</v>
      </c>
      <c r="D194" s="85" t="s">
        <v>69</v>
      </c>
      <c r="E194" s="85">
        <v>7</v>
      </c>
      <c r="F194" s="85">
        <v>1</v>
      </c>
      <c r="G194" s="85">
        <f>--(F194&lt;=Estimator!$B$7)</f>
        <v>1</v>
      </c>
      <c r="H194" s="86">
        <f>SUMIFS('Climate Data'!$G$7:$G$366,'Climate Data'!$A$7:$A$366,Estimator!$B$4,'Climate Data'!$B$7:$B$366,C194)</f>
        <v>0.24731182795698925</v>
      </c>
      <c r="I194" s="87">
        <f>SUMIFS('Climate Data'!$H$7:$H$366,'Climate Data'!$A$7:$A$366,Estimator!$B$4,'Climate Data'!$B$7:$B$366,C194)</f>
        <v>8.3739130434782609</v>
      </c>
      <c r="J194" s="86">
        <f>SUMIFS('Wind Proxy'!$H$8:$H$19,'Wind Proxy'!$A$8:$A$19,Estimator!$B$4,'Wind Proxy'!$B$8:$B$19,C194)</f>
        <v>0</v>
      </c>
    </row>
    <row r="195" spans="1:10" ht="14.4">
      <c r="A195" s="84">
        <v>45846</v>
      </c>
      <c r="B195" s="85">
        <v>2025</v>
      </c>
      <c r="C195" s="85">
        <v>7</v>
      </c>
      <c r="D195" s="85" t="s">
        <v>69</v>
      </c>
      <c r="E195" s="85">
        <v>8</v>
      </c>
      <c r="F195" s="85">
        <v>2</v>
      </c>
      <c r="G195" s="85">
        <f>--(F195&lt;=Estimator!$B$7)</f>
        <v>1</v>
      </c>
      <c r="H195" s="86">
        <f>SUMIFS('Climate Data'!$G$7:$G$366,'Climate Data'!$A$7:$A$366,Estimator!$B$4,'Climate Data'!$B$7:$B$366,C195)</f>
        <v>0.24731182795698925</v>
      </c>
      <c r="I195" s="87">
        <f>SUMIFS('Climate Data'!$H$7:$H$366,'Climate Data'!$A$7:$A$366,Estimator!$B$4,'Climate Data'!$B$7:$B$366,C195)</f>
        <v>8.3739130434782609</v>
      </c>
      <c r="J195" s="86">
        <f>SUMIFS('Wind Proxy'!$H$8:$H$19,'Wind Proxy'!$A$8:$A$19,Estimator!$B$4,'Wind Proxy'!$B$8:$B$19,C195)</f>
        <v>0</v>
      </c>
    </row>
    <row r="196" spans="1:10" ht="14.4">
      <c r="A196" s="84">
        <v>45847</v>
      </c>
      <c r="B196" s="85">
        <v>2025</v>
      </c>
      <c r="C196" s="85">
        <v>7</v>
      </c>
      <c r="D196" s="85" t="s">
        <v>69</v>
      </c>
      <c r="E196" s="85">
        <v>9</v>
      </c>
      <c r="F196" s="85">
        <v>3</v>
      </c>
      <c r="G196" s="85">
        <f>--(F196&lt;=Estimator!$B$7)</f>
        <v>1</v>
      </c>
      <c r="H196" s="86">
        <f>SUMIFS('Climate Data'!$G$7:$G$366,'Climate Data'!$A$7:$A$366,Estimator!$B$4,'Climate Data'!$B$7:$B$366,C196)</f>
        <v>0.24731182795698925</v>
      </c>
      <c r="I196" s="87">
        <f>SUMIFS('Climate Data'!$H$7:$H$366,'Climate Data'!$A$7:$A$366,Estimator!$B$4,'Climate Data'!$B$7:$B$366,C196)</f>
        <v>8.3739130434782609</v>
      </c>
      <c r="J196" s="86">
        <f>SUMIFS('Wind Proxy'!$H$8:$H$19,'Wind Proxy'!$A$8:$A$19,Estimator!$B$4,'Wind Proxy'!$B$8:$B$19,C196)</f>
        <v>0</v>
      </c>
    </row>
    <row r="197" spans="1:10" ht="14.4">
      <c r="A197" s="84">
        <v>45848</v>
      </c>
      <c r="B197" s="85">
        <v>2025</v>
      </c>
      <c r="C197" s="85">
        <v>7</v>
      </c>
      <c r="D197" s="85" t="s">
        <v>69</v>
      </c>
      <c r="E197" s="85">
        <v>10</v>
      </c>
      <c r="F197" s="85">
        <v>4</v>
      </c>
      <c r="G197" s="85">
        <f>--(F197&lt;=Estimator!$B$7)</f>
        <v>1</v>
      </c>
      <c r="H197" s="86">
        <f>SUMIFS('Climate Data'!$G$7:$G$366,'Climate Data'!$A$7:$A$366,Estimator!$B$4,'Climate Data'!$B$7:$B$366,C197)</f>
        <v>0.24731182795698925</v>
      </c>
      <c r="I197" s="87">
        <f>SUMIFS('Climate Data'!$H$7:$H$366,'Climate Data'!$A$7:$A$366,Estimator!$B$4,'Climate Data'!$B$7:$B$366,C197)</f>
        <v>8.3739130434782609</v>
      </c>
      <c r="J197" s="86">
        <f>SUMIFS('Wind Proxy'!$H$8:$H$19,'Wind Proxy'!$A$8:$A$19,Estimator!$B$4,'Wind Proxy'!$B$8:$B$19,C197)</f>
        <v>0</v>
      </c>
    </row>
    <row r="198" spans="1:10" ht="14.4">
      <c r="A198" s="84">
        <v>45849</v>
      </c>
      <c r="B198" s="85">
        <v>2025</v>
      </c>
      <c r="C198" s="85">
        <v>7</v>
      </c>
      <c r="D198" s="85" t="s">
        <v>69</v>
      </c>
      <c r="E198" s="85">
        <v>11</v>
      </c>
      <c r="F198" s="85">
        <v>5</v>
      </c>
      <c r="G198" s="85">
        <f>--(F198&lt;=Estimator!$B$7)</f>
        <v>1</v>
      </c>
      <c r="H198" s="86">
        <f>SUMIFS('Climate Data'!$G$7:$G$366,'Climate Data'!$A$7:$A$366,Estimator!$B$4,'Climate Data'!$B$7:$B$366,C198)</f>
        <v>0.24731182795698925</v>
      </c>
      <c r="I198" s="87">
        <f>SUMIFS('Climate Data'!$H$7:$H$366,'Climate Data'!$A$7:$A$366,Estimator!$B$4,'Climate Data'!$B$7:$B$366,C198)</f>
        <v>8.3739130434782609</v>
      </c>
      <c r="J198" s="86">
        <f>SUMIFS('Wind Proxy'!$H$8:$H$19,'Wind Proxy'!$A$8:$A$19,Estimator!$B$4,'Wind Proxy'!$B$8:$B$19,C198)</f>
        <v>0</v>
      </c>
    </row>
    <row r="199" spans="1:10" ht="14.4">
      <c r="A199" s="84">
        <v>45850</v>
      </c>
      <c r="B199" s="85">
        <v>2025</v>
      </c>
      <c r="C199" s="85">
        <v>7</v>
      </c>
      <c r="D199" s="85" t="s">
        <v>69</v>
      </c>
      <c r="E199" s="85">
        <v>12</v>
      </c>
      <c r="F199" s="85">
        <v>6</v>
      </c>
      <c r="G199" s="85">
        <f>--(F199&lt;=Estimator!$B$7)</f>
        <v>0</v>
      </c>
      <c r="H199" s="86">
        <f>SUMIFS('Climate Data'!$G$7:$G$366,'Climate Data'!$A$7:$A$366,Estimator!$B$4,'Climate Data'!$B$7:$B$366,C199)</f>
        <v>0.24731182795698925</v>
      </c>
      <c r="I199" s="87">
        <f>SUMIFS('Climate Data'!$H$7:$H$366,'Climate Data'!$A$7:$A$366,Estimator!$B$4,'Climate Data'!$B$7:$B$366,C199)</f>
        <v>8.3739130434782609</v>
      </c>
      <c r="J199" s="86">
        <f>SUMIFS('Wind Proxy'!$H$8:$H$19,'Wind Proxy'!$A$8:$A$19,Estimator!$B$4,'Wind Proxy'!$B$8:$B$19,C199)</f>
        <v>0</v>
      </c>
    </row>
    <row r="200" spans="1:10" ht="14.4">
      <c r="A200" s="84">
        <v>45851</v>
      </c>
      <c r="B200" s="85">
        <v>2025</v>
      </c>
      <c r="C200" s="85">
        <v>7</v>
      </c>
      <c r="D200" s="85" t="s">
        <v>69</v>
      </c>
      <c r="E200" s="85">
        <v>13</v>
      </c>
      <c r="F200" s="85">
        <v>7</v>
      </c>
      <c r="G200" s="85">
        <f>--(F200&lt;=Estimator!$B$7)</f>
        <v>0</v>
      </c>
      <c r="H200" s="86">
        <f>SUMIFS('Climate Data'!$G$7:$G$366,'Climate Data'!$A$7:$A$366,Estimator!$B$4,'Climate Data'!$B$7:$B$366,C200)</f>
        <v>0.24731182795698925</v>
      </c>
      <c r="I200" s="87">
        <f>SUMIFS('Climate Data'!$H$7:$H$366,'Climate Data'!$A$7:$A$366,Estimator!$B$4,'Climate Data'!$B$7:$B$366,C200)</f>
        <v>8.3739130434782609</v>
      </c>
      <c r="J200" s="86">
        <f>SUMIFS('Wind Proxy'!$H$8:$H$19,'Wind Proxy'!$A$8:$A$19,Estimator!$B$4,'Wind Proxy'!$B$8:$B$19,C200)</f>
        <v>0</v>
      </c>
    </row>
    <row r="201" spans="1:10" ht="14.4">
      <c r="A201" s="84">
        <v>45852</v>
      </c>
      <c r="B201" s="85">
        <v>2025</v>
      </c>
      <c r="C201" s="85">
        <v>7</v>
      </c>
      <c r="D201" s="85" t="s">
        <v>69</v>
      </c>
      <c r="E201" s="85">
        <v>14</v>
      </c>
      <c r="F201" s="85">
        <v>1</v>
      </c>
      <c r="G201" s="85">
        <f>--(F201&lt;=Estimator!$B$7)</f>
        <v>1</v>
      </c>
      <c r="H201" s="86">
        <f>SUMIFS('Climate Data'!$G$7:$G$366,'Climate Data'!$A$7:$A$366,Estimator!$B$4,'Climate Data'!$B$7:$B$366,C201)</f>
        <v>0.24731182795698925</v>
      </c>
      <c r="I201" s="87">
        <f>SUMIFS('Climate Data'!$H$7:$H$366,'Climate Data'!$A$7:$A$366,Estimator!$B$4,'Climate Data'!$B$7:$B$366,C201)</f>
        <v>8.3739130434782609</v>
      </c>
      <c r="J201" s="86">
        <f>SUMIFS('Wind Proxy'!$H$8:$H$19,'Wind Proxy'!$A$8:$A$19,Estimator!$B$4,'Wind Proxy'!$B$8:$B$19,C201)</f>
        <v>0</v>
      </c>
    </row>
    <row r="202" spans="1:10" ht="14.4">
      <c r="A202" s="84">
        <v>45853</v>
      </c>
      <c r="B202" s="85">
        <v>2025</v>
      </c>
      <c r="C202" s="85">
        <v>7</v>
      </c>
      <c r="D202" s="85" t="s">
        <v>69</v>
      </c>
      <c r="E202" s="85">
        <v>15</v>
      </c>
      <c r="F202" s="85">
        <v>2</v>
      </c>
      <c r="G202" s="85">
        <f>--(F202&lt;=Estimator!$B$7)</f>
        <v>1</v>
      </c>
      <c r="H202" s="86">
        <f>SUMIFS('Climate Data'!$G$7:$G$366,'Climate Data'!$A$7:$A$366,Estimator!$B$4,'Climate Data'!$B$7:$B$366,C202)</f>
        <v>0.24731182795698925</v>
      </c>
      <c r="I202" s="87">
        <f>SUMIFS('Climate Data'!$H$7:$H$366,'Climate Data'!$A$7:$A$366,Estimator!$B$4,'Climate Data'!$B$7:$B$366,C202)</f>
        <v>8.3739130434782609</v>
      </c>
      <c r="J202" s="86">
        <f>SUMIFS('Wind Proxy'!$H$8:$H$19,'Wind Proxy'!$A$8:$A$19,Estimator!$B$4,'Wind Proxy'!$B$8:$B$19,C202)</f>
        <v>0</v>
      </c>
    </row>
    <row r="203" spans="1:10" ht="14.4">
      <c r="A203" s="84">
        <v>45854</v>
      </c>
      <c r="B203" s="85">
        <v>2025</v>
      </c>
      <c r="C203" s="85">
        <v>7</v>
      </c>
      <c r="D203" s="85" t="s">
        <v>69</v>
      </c>
      <c r="E203" s="85">
        <v>16</v>
      </c>
      <c r="F203" s="85">
        <v>3</v>
      </c>
      <c r="G203" s="85">
        <f>--(F203&lt;=Estimator!$B$7)</f>
        <v>1</v>
      </c>
      <c r="H203" s="86">
        <f>SUMIFS('Climate Data'!$G$7:$G$366,'Climate Data'!$A$7:$A$366,Estimator!$B$4,'Climate Data'!$B$7:$B$366,C203)</f>
        <v>0.24731182795698925</v>
      </c>
      <c r="I203" s="87">
        <f>SUMIFS('Climate Data'!$H$7:$H$366,'Climate Data'!$A$7:$A$366,Estimator!$B$4,'Climate Data'!$B$7:$B$366,C203)</f>
        <v>8.3739130434782609</v>
      </c>
      <c r="J203" s="86">
        <f>SUMIFS('Wind Proxy'!$H$8:$H$19,'Wind Proxy'!$A$8:$A$19,Estimator!$B$4,'Wind Proxy'!$B$8:$B$19,C203)</f>
        <v>0</v>
      </c>
    </row>
    <row r="204" spans="1:10" ht="14.4">
      <c r="A204" s="84">
        <v>45855</v>
      </c>
      <c r="B204" s="85">
        <v>2025</v>
      </c>
      <c r="C204" s="85">
        <v>7</v>
      </c>
      <c r="D204" s="85" t="s">
        <v>69</v>
      </c>
      <c r="E204" s="85">
        <v>17</v>
      </c>
      <c r="F204" s="85">
        <v>4</v>
      </c>
      <c r="G204" s="85">
        <f>--(F204&lt;=Estimator!$B$7)</f>
        <v>1</v>
      </c>
      <c r="H204" s="86">
        <f>SUMIFS('Climate Data'!$G$7:$G$366,'Climate Data'!$A$7:$A$366,Estimator!$B$4,'Climate Data'!$B$7:$B$366,C204)</f>
        <v>0.24731182795698925</v>
      </c>
      <c r="I204" s="87">
        <f>SUMIFS('Climate Data'!$H$7:$H$366,'Climate Data'!$A$7:$A$366,Estimator!$B$4,'Climate Data'!$B$7:$B$366,C204)</f>
        <v>8.3739130434782609</v>
      </c>
      <c r="J204" s="86">
        <f>SUMIFS('Wind Proxy'!$H$8:$H$19,'Wind Proxy'!$A$8:$A$19,Estimator!$B$4,'Wind Proxy'!$B$8:$B$19,C204)</f>
        <v>0</v>
      </c>
    </row>
    <row r="205" spans="1:10" ht="14.4">
      <c r="A205" s="84">
        <v>45856</v>
      </c>
      <c r="B205" s="85">
        <v>2025</v>
      </c>
      <c r="C205" s="85">
        <v>7</v>
      </c>
      <c r="D205" s="85" t="s">
        <v>69</v>
      </c>
      <c r="E205" s="85">
        <v>18</v>
      </c>
      <c r="F205" s="85">
        <v>5</v>
      </c>
      <c r="G205" s="85">
        <f>--(F205&lt;=Estimator!$B$7)</f>
        <v>1</v>
      </c>
      <c r="H205" s="86">
        <f>SUMIFS('Climate Data'!$G$7:$G$366,'Climate Data'!$A$7:$A$366,Estimator!$B$4,'Climate Data'!$B$7:$B$366,C205)</f>
        <v>0.24731182795698925</v>
      </c>
      <c r="I205" s="87">
        <f>SUMIFS('Climate Data'!$H$7:$H$366,'Climate Data'!$A$7:$A$366,Estimator!$B$4,'Climate Data'!$B$7:$B$366,C205)</f>
        <v>8.3739130434782609</v>
      </c>
      <c r="J205" s="86">
        <f>SUMIFS('Wind Proxy'!$H$8:$H$19,'Wind Proxy'!$A$8:$A$19,Estimator!$B$4,'Wind Proxy'!$B$8:$B$19,C205)</f>
        <v>0</v>
      </c>
    </row>
    <row r="206" spans="1:10" ht="14.4">
      <c r="A206" s="84">
        <v>45857</v>
      </c>
      <c r="B206" s="85">
        <v>2025</v>
      </c>
      <c r="C206" s="85">
        <v>7</v>
      </c>
      <c r="D206" s="85" t="s">
        <v>69</v>
      </c>
      <c r="E206" s="85">
        <v>19</v>
      </c>
      <c r="F206" s="85">
        <v>6</v>
      </c>
      <c r="G206" s="85">
        <f>--(F206&lt;=Estimator!$B$7)</f>
        <v>0</v>
      </c>
      <c r="H206" s="86">
        <f>SUMIFS('Climate Data'!$G$7:$G$366,'Climate Data'!$A$7:$A$366,Estimator!$B$4,'Climate Data'!$B$7:$B$366,C206)</f>
        <v>0.24731182795698925</v>
      </c>
      <c r="I206" s="87">
        <f>SUMIFS('Climate Data'!$H$7:$H$366,'Climate Data'!$A$7:$A$366,Estimator!$B$4,'Climate Data'!$B$7:$B$366,C206)</f>
        <v>8.3739130434782609</v>
      </c>
      <c r="J206" s="86">
        <f>SUMIFS('Wind Proxy'!$H$8:$H$19,'Wind Proxy'!$A$8:$A$19,Estimator!$B$4,'Wind Proxy'!$B$8:$B$19,C206)</f>
        <v>0</v>
      </c>
    </row>
    <row r="207" spans="1:10" ht="14.4">
      <c r="A207" s="84">
        <v>45858</v>
      </c>
      <c r="B207" s="85">
        <v>2025</v>
      </c>
      <c r="C207" s="85">
        <v>7</v>
      </c>
      <c r="D207" s="85" t="s">
        <v>69</v>
      </c>
      <c r="E207" s="85">
        <v>20</v>
      </c>
      <c r="F207" s="85">
        <v>7</v>
      </c>
      <c r="G207" s="85">
        <f>--(F207&lt;=Estimator!$B$7)</f>
        <v>0</v>
      </c>
      <c r="H207" s="86">
        <f>SUMIFS('Climate Data'!$G$7:$G$366,'Climate Data'!$A$7:$A$366,Estimator!$B$4,'Climate Data'!$B$7:$B$366,C207)</f>
        <v>0.24731182795698925</v>
      </c>
      <c r="I207" s="87">
        <f>SUMIFS('Climate Data'!$H$7:$H$366,'Climate Data'!$A$7:$A$366,Estimator!$B$4,'Climate Data'!$B$7:$B$366,C207)</f>
        <v>8.3739130434782609</v>
      </c>
      <c r="J207" s="86">
        <f>SUMIFS('Wind Proxy'!$H$8:$H$19,'Wind Proxy'!$A$8:$A$19,Estimator!$B$4,'Wind Proxy'!$B$8:$B$19,C207)</f>
        <v>0</v>
      </c>
    </row>
    <row r="208" spans="1:10" ht="14.4">
      <c r="A208" s="84">
        <v>45859</v>
      </c>
      <c r="B208" s="85">
        <v>2025</v>
      </c>
      <c r="C208" s="85">
        <v>7</v>
      </c>
      <c r="D208" s="85" t="s">
        <v>69</v>
      </c>
      <c r="E208" s="85">
        <v>21</v>
      </c>
      <c r="F208" s="85">
        <v>1</v>
      </c>
      <c r="G208" s="85">
        <f>--(F208&lt;=Estimator!$B$7)</f>
        <v>1</v>
      </c>
      <c r="H208" s="86">
        <f>SUMIFS('Climate Data'!$G$7:$G$366,'Climate Data'!$A$7:$A$366,Estimator!$B$4,'Climate Data'!$B$7:$B$366,C208)</f>
        <v>0.24731182795698925</v>
      </c>
      <c r="I208" s="87">
        <f>SUMIFS('Climate Data'!$H$7:$H$366,'Climate Data'!$A$7:$A$366,Estimator!$B$4,'Climate Data'!$B$7:$B$366,C208)</f>
        <v>8.3739130434782609</v>
      </c>
      <c r="J208" s="86">
        <f>SUMIFS('Wind Proxy'!$H$8:$H$19,'Wind Proxy'!$A$8:$A$19,Estimator!$B$4,'Wind Proxy'!$B$8:$B$19,C208)</f>
        <v>0</v>
      </c>
    </row>
    <row r="209" spans="1:10" ht="14.4">
      <c r="A209" s="84">
        <v>45860</v>
      </c>
      <c r="B209" s="85">
        <v>2025</v>
      </c>
      <c r="C209" s="85">
        <v>7</v>
      </c>
      <c r="D209" s="85" t="s">
        <v>69</v>
      </c>
      <c r="E209" s="85">
        <v>22</v>
      </c>
      <c r="F209" s="85">
        <v>2</v>
      </c>
      <c r="G209" s="85">
        <f>--(F209&lt;=Estimator!$B$7)</f>
        <v>1</v>
      </c>
      <c r="H209" s="86">
        <f>SUMIFS('Climate Data'!$G$7:$G$366,'Climate Data'!$A$7:$A$366,Estimator!$B$4,'Climate Data'!$B$7:$B$366,C209)</f>
        <v>0.24731182795698925</v>
      </c>
      <c r="I209" s="87">
        <f>SUMIFS('Climate Data'!$H$7:$H$366,'Climate Data'!$A$7:$A$366,Estimator!$B$4,'Climate Data'!$B$7:$B$366,C209)</f>
        <v>8.3739130434782609</v>
      </c>
      <c r="J209" s="86">
        <f>SUMIFS('Wind Proxy'!$H$8:$H$19,'Wind Proxy'!$A$8:$A$19,Estimator!$B$4,'Wind Proxy'!$B$8:$B$19,C209)</f>
        <v>0</v>
      </c>
    </row>
    <row r="210" spans="1:10" ht="14.4">
      <c r="A210" s="84">
        <v>45861</v>
      </c>
      <c r="B210" s="85">
        <v>2025</v>
      </c>
      <c r="C210" s="85">
        <v>7</v>
      </c>
      <c r="D210" s="85" t="s">
        <v>69</v>
      </c>
      <c r="E210" s="85">
        <v>23</v>
      </c>
      <c r="F210" s="85">
        <v>3</v>
      </c>
      <c r="G210" s="85">
        <f>--(F210&lt;=Estimator!$B$7)</f>
        <v>1</v>
      </c>
      <c r="H210" s="86">
        <f>SUMIFS('Climate Data'!$G$7:$G$366,'Climate Data'!$A$7:$A$366,Estimator!$B$4,'Climate Data'!$B$7:$B$366,C210)</f>
        <v>0.24731182795698925</v>
      </c>
      <c r="I210" s="87">
        <f>SUMIFS('Climate Data'!$H$7:$H$366,'Climate Data'!$A$7:$A$366,Estimator!$B$4,'Climate Data'!$B$7:$B$366,C210)</f>
        <v>8.3739130434782609</v>
      </c>
      <c r="J210" s="86">
        <f>SUMIFS('Wind Proxy'!$H$8:$H$19,'Wind Proxy'!$A$8:$A$19,Estimator!$B$4,'Wind Proxy'!$B$8:$B$19,C210)</f>
        <v>0</v>
      </c>
    </row>
    <row r="211" spans="1:10" ht="14.4">
      <c r="A211" s="84">
        <v>45862</v>
      </c>
      <c r="B211" s="85">
        <v>2025</v>
      </c>
      <c r="C211" s="85">
        <v>7</v>
      </c>
      <c r="D211" s="85" t="s">
        <v>69</v>
      </c>
      <c r="E211" s="85">
        <v>24</v>
      </c>
      <c r="F211" s="85">
        <v>4</v>
      </c>
      <c r="G211" s="85">
        <f>--(F211&lt;=Estimator!$B$7)</f>
        <v>1</v>
      </c>
      <c r="H211" s="86">
        <f>SUMIFS('Climate Data'!$G$7:$G$366,'Climate Data'!$A$7:$A$366,Estimator!$B$4,'Climate Data'!$B$7:$B$366,C211)</f>
        <v>0.24731182795698925</v>
      </c>
      <c r="I211" s="87">
        <f>SUMIFS('Climate Data'!$H$7:$H$366,'Climate Data'!$A$7:$A$366,Estimator!$B$4,'Climate Data'!$B$7:$B$366,C211)</f>
        <v>8.3739130434782609</v>
      </c>
      <c r="J211" s="86">
        <f>SUMIFS('Wind Proxy'!$H$8:$H$19,'Wind Proxy'!$A$8:$A$19,Estimator!$B$4,'Wind Proxy'!$B$8:$B$19,C211)</f>
        <v>0</v>
      </c>
    </row>
    <row r="212" spans="1:10" ht="14.4">
      <c r="A212" s="84">
        <v>45863</v>
      </c>
      <c r="B212" s="85">
        <v>2025</v>
      </c>
      <c r="C212" s="85">
        <v>7</v>
      </c>
      <c r="D212" s="85" t="s">
        <v>69</v>
      </c>
      <c r="E212" s="85">
        <v>25</v>
      </c>
      <c r="F212" s="85">
        <v>5</v>
      </c>
      <c r="G212" s="85">
        <f>--(F212&lt;=Estimator!$B$7)</f>
        <v>1</v>
      </c>
      <c r="H212" s="86">
        <f>SUMIFS('Climate Data'!$G$7:$G$366,'Climate Data'!$A$7:$A$366,Estimator!$B$4,'Climate Data'!$B$7:$B$366,C212)</f>
        <v>0.24731182795698925</v>
      </c>
      <c r="I212" s="87">
        <f>SUMIFS('Climate Data'!$H$7:$H$366,'Climate Data'!$A$7:$A$366,Estimator!$B$4,'Climate Data'!$B$7:$B$366,C212)</f>
        <v>8.3739130434782609</v>
      </c>
      <c r="J212" s="86">
        <f>SUMIFS('Wind Proxy'!$H$8:$H$19,'Wind Proxy'!$A$8:$A$19,Estimator!$B$4,'Wind Proxy'!$B$8:$B$19,C212)</f>
        <v>0</v>
      </c>
    </row>
    <row r="213" spans="1:10" ht="14.4">
      <c r="A213" s="84">
        <v>45864</v>
      </c>
      <c r="B213" s="85">
        <v>2025</v>
      </c>
      <c r="C213" s="85">
        <v>7</v>
      </c>
      <c r="D213" s="85" t="s">
        <v>69</v>
      </c>
      <c r="E213" s="85">
        <v>26</v>
      </c>
      <c r="F213" s="85">
        <v>6</v>
      </c>
      <c r="G213" s="85">
        <f>--(F213&lt;=Estimator!$B$7)</f>
        <v>0</v>
      </c>
      <c r="H213" s="86">
        <f>SUMIFS('Climate Data'!$G$7:$G$366,'Climate Data'!$A$7:$A$366,Estimator!$B$4,'Climate Data'!$B$7:$B$366,C213)</f>
        <v>0.24731182795698925</v>
      </c>
      <c r="I213" s="87">
        <f>SUMIFS('Climate Data'!$H$7:$H$366,'Climate Data'!$A$7:$A$366,Estimator!$B$4,'Climate Data'!$B$7:$B$366,C213)</f>
        <v>8.3739130434782609</v>
      </c>
      <c r="J213" s="86">
        <f>SUMIFS('Wind Proxy'!$H$8:$H$19,'Wind Proxy'!$A$8:$A$19,Estimator!$B$4,'Wind Proxy'!$B$8:$B$19,C213)</f>
        <v>0</v>
      </c>
    </row>
    <row r="214" spans="1:10" ht="14.4">
      <c r="A214" s="84">
        <v>45865</v>
      </c>
      <c r="B214" s="85">
        <v>2025</v>
      </c>
      <c r="C214" s="85">
        <v>7</v>
      </c>
      <c r="D214" s="85" t="s">
        <v>69</v>
      </c>
      <c r="E214" s="85">
        <v>27</v>
      </c>
      <c r="F214" s="85">
        <v>7</v>
      </c>
      <c r="G214" s="85">
        <f>--(F214&lt;=Estimator!$B$7)</f>
        <v>0</v>
      </c>
      <c r="H214" s="86">
        <f>SUMIFS('Climate Data'!$G$7:$G$366,'Climate Data'!$A$7:$A$366,Estimator!$B$4,'Climate Data'!$B$7:$B$366,C214)</f>
        <v>0.24731182795698925</v>
      </c>
      <c r="I214" s="87">
        <f>SUMIFS('Climate Data'!$H$7:$H$366,'Climate Data'!$A$7:$A$366,Estimator!$B$4,'Climate Data'!$B$7:$B$366,C214)</f>
        <v>8.3739130434782609</v>
      </c>
      <c r="J214" s="86">
        <f>SUMIFS('Wind Proxy'!$H$8:$H$19,'Wind Proxy'!$A$8:$A$19,Estimator!$B$4,'Wind Proxy'!$B$8:$B$19,C214)</f>
        <v>0</v>
      </c>
    </row>
    <row r="215" spans="1:10" ht="14.4">
      <c r="A215" s="84">
        <v>45866</v>
      </c>
      <c r="B215" s="85">
        <v>2025</v>
      </c>
      <c r="C215" s="85">
        <v>7</v>
      </c>
      <c r="D215" s="85" t="s">
        <v>69</v>
      </c>
      <c r="E215" s="85">
        <v>28</v>
      </c>
      <c r="F215" s="85">
        <v>1</v>
      </c>
      <c r="G215" s="85">
        <f>--(F215&lt;=Estimator!$B$7)</f>
        <v>1</v>
      </c>
      <c r="H215" s="86">
        <f>SUMIFS('Climate Data'!$G$7:$G$366,'Climate Data'!$A$7:$A$366,Estimator!$B$4,'Climate Data'!$B$7:$B$366,C215)</f>
        <v>0.24731182795698925</v>
      </c>
      <c r="I215" s="87">
        <f>SUMIFS('Climate Data'!$H$7:$H$366,'Climate Data'!$A$7:$A$366,Estimator!$B$4,'Climate Data'!$B$7:$B$366,C215)</f>
        <v>8.3739130434782609</v>
      </c>
      <c r="J215" s="86">
        <f>SUMIFS('Wind Proxy'!$H$8:$H$19,'Wind Proxy'!$A$8:$A$19,Estimator!$B$4,'Wind Proxy'!$B$8:$B$19,C215)</f>
        <v>0</v>
      </c>
    </row>
    <row r="216" spans="1:10" ht="14.4">
      <c r="A216" s="84">
        <v>45867</v>
      </c>
      <c r="B216" s="85">
        <v>2025</v>
      </c>
      <c r="C216" s="85">
        <v>7</v>
      </c>
      <c r="D216" s="85" t="s">
        <v>69</v>
      </c>
      <c r="E216" s="85">
        <v>29</v>
      </c>
      <c r="F216" s="85">
        <v>2</v>
      </c>
      <c r="G216" s="85">
        <f>--(F216&lt;=Estimator!$B$7)</f>
        <v>1</v>
      </c>
      <c r="H216" s="86">
        <f>SUMIFS('Climate Data'!$G$7:$G$366,'Climate Data'!$A$7:$A$366,Estimator!$B$4,'Climate Data'!$B$7:$B$366,C216)</f>
        <v>0.24731182795698925</v>
      </c>
      <c r="I216" s="87">
        <f>SUMIFS('Climate Data'!$H$7:$H$366,'Climate Data'!$A$7:$A$366,Estimator!$B$4,'Climate Data'!$B$7:$B$366,C216)</f>
        <v>8.3739130434782609</v>
      </c>
      <c r="J216" s="86">
        <f>SUMIFS('Wind Proxy'!$H$8:$H$19,'Wind Proxy'!$A$8:$A$19,Estimator!$B$4,'Wind Proxy'!$B$8:$B$19,C216)</f>
        <v>0</v>
      </c>
    </row>
    <row r="217" spans="1:10" ht="14.4">
      <c r="A217" s="84">
        <v>45868</v>
      </c>
      <c r="B217" s="85">
        <v>2025</v>
      </c>
      <c r="C217" s="85">
        <v>7</v>
      </c>
      <c r="D217" s="85" t="s">
        <v>69</v>
      </c>
      <c r="E217" s="85">
        <v>30</v>
      </c>
      <c r="F217" s="85">
        <v>3</v>
      </c>
      <c r="G217" s="85">
        <f>--(F217&lt;=Estimator!$B$7)</f>
        <v>1</v>
      </c>
      <c r="H217" s="86">
        <f>SUMIFS('Climate Data'!$G$7:$G$366,'Climate Data'!$A$7:$A$366,Estimator!$B$4,'Climate Data'!$B$7:$B$366,C217)</f>
        <v>0.24731182795698925</v>
      </c>
      <c r="I217" s="87">
        <f>SUMIFS('Climate Data'!$H$7:$H$366,'Climate Data'!$A$7:$A$366,Estimator!$B$4,'Climate Data'!$B$7:$B$366,C217)</f>
        <v>8.3739130434782609</v>
      </c>
      <c r="J217" s="86">
        <f>SUMIFS('Wind Proxy'!$H$8:$H$19,'Wind Proxy'!$A$8:$A$19,Estimator!$B$4,'Wind Proxy'!$B$8:$B$19,C217)</f>
        <v>0</v>
      </c>
    </row>
    <row r="218" spans="1:10" ht="14.4">
      <c r="A218" s="84">
        <v>45869</v>
      </c>
      <c r="B218" s="85">
        <v>2025</v>
      </c>
      <c r="C218" s="85">
        <v>7</v>
      </c>
      <c r="D218" s="85" t="s">
        <v>69</v>
      </c>
      <c r="E218" s="85">
        <v>31</v>
      </c>
      <c r="F218" s="85">
        <v>4</v>
      </c>
      <c r="G218" s="85">
        <f>--(F218&lt;=Estimator!$B$7)</f>
        <v>1</v>
      </c>
      <c r="H218" s="86">
        <f>SUMIFS('Climate Data'!$G$7:$G$366,'Climate Data'!$A$7:$A$366,Estimator!$B$4,'Climate Data'!$B$7:$B$366,C218)</f>
        <v>0.24731182795698925</v>
      </c>
      <c r="I218" s="87">
        <f>SUMIFS('Climate Data'!$H$7:$H$366,'Climate Data'!$A$7:$A$366,Estimator!$B$4,'Climate Data'!$B$7:$B$366,C218)</f>
        <v>8.3739130434782609</v>
      </c>
      <c r="J218" s="86">
        <f>SUMIFS('Wind Proxy'!$H$8:$H$19,'Wind Proxy'!$A$8:$A$19,Estimator!$B$4,'Wind Proxy'!$B$8:$B$19,C218)</f>
        <v>0</v>
      </c>
    </row>
    <row r="219" spans="1:10" ht="14.4">
      <c r="A219" s="84">
        <v>45870</v>
      </c>
      <c r="B219" s="85">
        <v>2025</v>
      </c>
      <c r="C219" s="85">
        <v>8</v>
      </c>
      <c r="D219" s="85" t="s">
        <v>71</v>
      </c>
      <c r="E219" s="85">
        <v>1</v>
      </c>
      <c r="F219" s="85">
        <v>5</v>
      </c>
      <c r="G219" s="85">
        <f>--(F219&lt;=Estimator!$B$7)</f>
        <v>1</v>
      </c>
      <c r="H219" s="86">
        <f>SUMIFS('Climate Data'!$G$7:$G$366,'Climate Data'!$A$7:$A$366,Estimator!$B$4,'Climate Data'!$B$7:$B$366,C219)</f>
        <v>0.23548387096774193</v>
      </c>
      <c r="I219" s="87">
        <f>SUMIFS('Climate Data'!$H$7:$H$366,'Climate Data'!$A$7:$A$366,Estimator!$B$4,'Climate Data'!$B$7:$B$366,C219)</f>
        <v>7.9589041095890414</v>
      </c>
      <c r="J219" s="86">
        <f>SUMIFS('Wind Proxy'!$H$8:$H$19,'Wind Proxy'!$A$8:$A$19,Estimator!$B$4,'Wind Proxy'!$B$8:$B$19,C219)</f>
        <v>0</v>
      </c>
    </row>
    <row r="220" spans="1:10" ht="14.4">
      <c r="A220" s="84">
        <v>45871</v>
      </c>
      <c r="B220" s="85">
        <v>2025</v>
      </c>
      <c r="C220" s="85">
        <v>8</v>
      </c>
      <c r="D220" s="85" t="s">
        <v>71</v>
      </c>
      <c r="E220" s="85">
        <v>2</v>
      </c>
      <c r="F220" s="85">
        <v>6</v>
      </c>
      <c r="G220" s="85">
        <f>--(F220&lt;=Estimator!$B$7)</f>
        <v>0</v>
      </c>
      <c r="H220" s="86">
        <f>SUMIFS('Climate Data'!$G$7:$G$366,'Climate Data'!$A$7:$A$366,Estimator!$B$4,'Climate Data'!$B$7:$B$366,C220)</f>
        <v>0.23548387096774193</v>
      </c>
      <c r="I220" s="87">
        <f>SUMIFS('Climate Data'!$H$7:$H$366,'Climate Data'!$A$7:$A$366,Estimator!$B$4,'Climate Data'!$B$7:$B$366,C220)</f>
        <v>7.9589041095890414</v>
      </c>
      <c r="J220" s="86">
        <f>SUMIFS('Wind Proxy'!$H$8:$H$19,'Wind Proxy'!$A$8:$A$19,Estimator!$B$4,'Wind Proxy'!$B$8:$B$19,C220)</f>
        <v>0</v>
      </c>
    </row>
    <row r="221" spans="1:10" ht="14.4">
      <c r="A221" s="84">
        <v>45872</v>
      </c>
      <c r="B221" s="85">
        <v>2025</v>
      </c>
      <c r="C221" s="85">
        <v>8</v>
      </c>
      <c r="D221" s="85" t="s">
        <v>71</v>
      </c>
      <c r="E221" s="85">
        <v>3</v>
      </c>
      <c r="F221" s="85">
        <v>7</v>
      </c>
      <c r="G221" s="85">
        <f>--(F221&lt;=Estimator!$B$7)</f>
        <v>0</v>
      </c>
      <c r="H221" s="86">
        <f>SUMIFS('Climate Data'!$G$7:$G$366,'Climate Data'!$A$7:$A$366,Estimator!$B$4,'Climate Data'!$B$7:$B$366,C221)</f>
        <v>0.23548387096774193</v>
      </c>
      <c r="I221" s="87">
        <f>SUMIFS('Climate Data'!$H$7:$H$366,'Climate Data'!$A$7:$A$366,Estimator!$B$4,'Climate Data'!$B$7:$B$366,C221)</f>
        <v>7.9589041095890414</v>
      </c>
      <c r="J221" s="86">
        <f>SUMIFS('Wind Proxy'!$H$8:$H$19,'Wind Proxy'!$A$8:$A$19,Estimator!$B$4,'Wind Proxy'!$B$8:$B$19,C221)</f>
        <v>0</v>
      </c>
    </row>
    <row r="222" spans="1:10" ht="14.4">
      <c r="A222" s="84">
        <v>45873</v>
      </c>
      <c r="B222" s="85">
        <v>2025</v>
      </c>
      <c r="C222" s="85">
        <v>8</v>
      </c>
      <c r="D222" s="85" t="s">
        <v>71</v>
      </c>
      <c r="E222" s="85">
        <v>4</v>
      </c>
      <c r="F222" s="85">
        <v>1</v>
      </c>
      <c r="G222" s="85">
        <f>--(F222&lt;=Estimator!$B$7)</f>
        <v>1</v>
      </c>
      <c r="H222" s="86">
        <f>SUMIFS('Climate Data'!$G$7:$G$366,'Climate Data'!$A$7:$A$366,Estimator!$B$4,'Climate Data'!$B$7:$B$366,C222)</f>
        <v>0.23548387096774193</v>
      </c>
      <c r="I222" s="87">
        <f>SUMIFS('Climate Data'!$H$7:$H$366,'Climate Data'!$A$7:$A$366,Estimator!$B$4,'Climate Data'!$B$7:$B$366,C222)</f>
        <v>7.9589041095890414</v>
      </c>
      <c r="J222" s="86">
        <f>SUMIFS('Wind Proxy'!$H$8:$H$19,'Wind Proxy'!$A$8:$A$19,Estimator!$B$4,'Wind Proxy'!$B$8:$B$19,C222)</f>
        <v>0</v>
      </c>
    </row>
    <row r="223" spans="1:10" ht="14.4">
      <c r="A223" s="84">
        <v>45874</v>
      </c>
      <c r="B223" s="85">
        <v>2025</v>
      </c>
      <c r="C223" s="85">
        <v>8</v>
      </c>
      <c r="D223" s="85" t="s">
        <v>71</v>
      </c>
      <c r="E223" s="85">
        <v>5</v>
      </c>
      <c r="F223" s="85">
        <v>2</v>
      </c>
      <c r="G223" s="85">
        <f>--(F223&lt;=Estimator!$B$7)</f>
        <v>1</v>
      </c>
      <c r="H223" s="86">
        <f>SUMIFS('Climate Data'!$G$7:$G$366,'Climate Data'!$A$7:$A$366,Estimator!$B$4,'Climate Data'!$B$7:$B$366,C223)</f>
        <v>0.23548387096774193</v>
      </c>
      <c r="I223" s="87">
        <f>SUMIFS('Climate Data'!$H$7:$H$366,'Climate Data'!$A$7:$A$366,Estimator!$B$4,'Climate Data'!$B$7:$B$366,C223)</f>
        <v>7.9589041095890414</v>
      </c>
      <c r="J223" s="86">
        <f>SUMIFS('Wind Proxy'!$H$8:$H$19,'Wind Proxy'!$A$8:$A$19,Estimator!$B$4,'Wind Proxy'!$B$8:$B$19,C223)</f>
        <v>0</v>
      </c>
    </row>
    <row r="224" spans="1:10" ht="14.4">
      <c r="A224" s="84">
        <v>45875</v>
      </c>
      <c r="B224" s="85">
        <v>2025</v>
      </c>
      <c r="C224" s="85">
        <v>8</v>
      </c>
      <c r="D224" s="85" t="s">
        <v>71</v>
      </c>
      <c r="E224" s="85">
        <v>6</v>
      </c>
      <c r="F224" s="85">
        <v>3</v>
      </c>
      <c r="G224" s="85">
        <f>--(F224&lt;=Estimator!$B$7)</f>
        <v>1</v>
      </c>
      <c r="H224" s="86">
        <f>SUMIFS('Climate Data'!$G$7:$G$366,'Climate Data'!$A$7:$A$366,Estimator!$B$4,'Climate Data'!$B$7:$B$366,C224)</f>
        <v>0.23548387096774193</v>
      </c>
      <c r="I224" s="87">
        <f>SUMIFS('Climate Data'!$H$7:$H$366,'Climate Data'!$A$7:$A$366,Estimator!$B$4,'Climate Data'!$B$7:$B$366,C224)</f>
        <v>7.9589041095890414</v>
      </c>
      <c r="J224" s="86">
        <f>SUMIFS('Wind Proxy'!$H$8:$H$19,'Wind Proxy'!$A$8:$A$19,Estimator!$B$4,'Wind Proxy'!$B$8:$B$19,C224)</f>
        <v>0</v>
      </c>
    </row>
    <row r="225" spans="1:10" ht="14.4">
      <c r="A225" s="84">
        <v>45876</v>
      </c>
      <c r="B225" s="85">
        <v>2025</v>
      </c>
      <c r="C225" s="85">
        <v>8</v>
      </c>
      <c r="D225" s="85" t="s">
        <v>71</v>
      </c>
      <c r="E225" s="85">
        <v>7</v>
      </c>
      <c r="F225" s="85">
        <v>4</v>
      </c>
      <c r="G225" s="85">
        <f>--(F225&lt;=Estimator!$B$7)</f>
        <v>1</v>
      </c>
      <c r="H225" s="86">
        <f>SUMIFS('Climate Data'!$G$7:$G$366,'Climate Data'!$A$7:$A$366,Estimator!$B$4,'Climate Data'!$B$7:$B$366,C225)</f>
        <v>0.23548387096774193</v>
      </c>
      <c r="I225" s="87">
        <f>SUMIFS('Climate Data'!$H$7:$H$366,'Climate Data'!$A$7:$A$366,Estimator!$B$4,'Climate Data'!$B$7:$B$366,C225)</f>
        <v>7.9589041095890414</v>
      </c>
      <c r="J225" s="86">
        <f>SUMIFS('Wind Proxy'!$H$8:$H$19,'Wind Proxy'!$A$8:$A$19,Estimator!$B$4,'Wind Proxy'!$B$8:$B$19,C225)</f>
        <v>0</v>
      </c>
    </row>
    <row r="226" spans="1:10" ht="14.4">
      <c r="A226" s="84">
        <v>45877</v>
      </c>
      <c r="B226" s="85">
        <v>2025</v>
      </c>
      <c r="C226" s="85">
        <v>8</v>
      </c>
      <c r="D226" s="85" t="s">
        <v>71</v>
      </c>
      <c r="E226" s="85">
        <v>8</v>
      </c>
      <c r="F226" s="85">
        <v>5</v>
      </c>
      <c r="G226" s="85">
        <f>--(F226&lt;=Estimator!$B$7)</f>
        <v>1</v>
      </c>
      <c r="H226" s="86">
        <f>SUMIFS('Climate Data'!$G$7:$G$366,'Climate Data'!$A$7:$A$366,Estimator!$B$4,'Climate Data'!$B$7:$B$366,C226)</f>
        <v>0.23548387096774193</v>
      </c>
      <c r="I226" s="87">
        <f>SUMIFS('Climate Data'!$H$7:$H$366,'Climate Data'!$A$7:$A$366,Estimator!$B$4,'Climate Data'!$B$7:$B$366,C226)</f>
        <v>7.9589041095890414</v>
      </c>
      <c r="J226" s="86">
        <f>SUMIFS('Wind Proxy'!$H$8:$H$19,'Wind Proxy'!$A$8:$A$19,Estimator!$B$4,'Wind Proxy'!$B$8:$B$19,C226)</f>
        <v>0</v>
      </c>
    </row>
    <row r="227" spans="1:10" ht="14.4">
      <c r="A227" s="84">
        <v>45878</v>
      </c>
      <c r="B227" s="85">
        <v>2025</v>
      </c>
      <c r="C227" s="85">
        <v>8</v>
      </c>
      <c r="D227" s="85" t="s">
        <v>71</v>
      </c>
      <c r="E227" s="85">
        <v>9</v>
      </c>
      <c r="F227" s="85">
        <v>6</v>
      </c>
      <c r="G227" s="85">
        <f>--(F227&lt;=Estimator!$B$7)</f>
        <v>0</v>
      </c>
      <c r="H227" s="86">
        <f>SUMIFS('Climate Data'!$G$7:$G$366,'Climate Data'!$A$7:$A$366,Estimator!$B$4,'Climate Data'!$B$7:$B$366,C227)</f>
        <v>0.23548387096774193</v>
      </c>
      <c r="I227" s="87">
        <f>SUMIFS('Climate Data'!$H$7:$H$366,'Climate Data'!$A$7:$A$366,Estimator!$B$4,'Climate Data'!$B$7:$B$366,C227)</f>
        <v>7.9589041095890414</v>
      </c>
      <c r="J227" s="86">
        <f>SUMIFS('Wind Proxy'!$H$8:$H$19,'Wind Proxy'!$A$8:$A$19,Estimator!$B$4,'Wind Proxy'!$B$8:$B$19,C227)</f>
        <v>0</v>
      </c>
    </row>
    <row r="228" spans="1:10" ht="14.4">
      <c r="A228" s="84">
        <v>45879</v>
      </c>
      <c r="B228" s="85">
        <v>2025</v>
      </c>
      <c r="C228" s="85">
        <v>8</v>
      </c>
      <c r="D228" s="85" t="s">
        <v>71</v>
      </c>
      <c r="E228" s="85">
        <v>10</v>
      </c>
      <c r="F228" s="85">
        <v>7</v>
      </c>
      <c r="G228" s="85">
        <f>--(F228&lt;=Estimator!$B$7)</f>
        <v>0</v>
      </c>
      <c r="H228" s="86">
        <f>SUMIFS('Climate Data'!$G$7:$G$366,'Climate Data'!$A$7:$A$366,Estimator!$B$4,'Climate Data'!$B$7:$B$366,C228)</f>
        <v>0.23548387096774193</v>
      </c>
      <c r="I228" s="87">
        <f>SUMIFS('Climate Data'!$H$7:$H$366,'Climate Data'!$A$7:$A$366,Estimator!$B$4,'Climate Data'!$B$7:$B$366,C228)</f>
        <v>7.9589041095890414</v>
      </c>
      <c r="J228" s="86">
        <f>SUMIFS('Wind Proxy'!$H$8:$H$19,'Wind Proxy'!$A$8:$A$19,Estimator!$B$4,'Wind Proxy'!$B$8:$B$19,C228)</f>
        <v>0</v>
      </c>
    </row>
    <row r="229" spans="1:10" ht="14.4">
      <c r="A229" s="84">
        <v>45880</v>
      </c>
      <c r="B229" s="85">
        <v>2025</v>
      </c>
      <c r="C229" s="85">
        <v>8</v>
      </c>
      <c r="D229" s="85" t="s">
        <v>71</v>
      </c>
      <c r="E229" s="85">
        <v>11</v>
      </c>
      <c r="F229" s="85">
        <v>1</v>
      </c>
      <c r="G229" s="85">
        <f>--(F229&lt;=Estimator!$B$7)</f>
        <v>1</v>
      </c>
      <c r="H229" s="86">
        <f>SUMIFS('Climate Data'!$G$7:$G$366,'Climate Data'!$A$7:$A$366,Estimator!$B$4,'Climate Data'!$B$7:$B$366,C229)</f>
        <v>0.23548387096774193</v>
      </c>
      <c r="I229" s="87">
        <f>SUMIFS('Climate Data'!$H$7:$H$366,'Climate Data'!$A$7:$A$366,Estimator!$B$4,'Climate Data'!$B$7:$B$366,C229)</f>
        <v>7.9589041095890414</v>
      </c>
      <c r="J229" s="86">
        <f>SUMIFS('Wind Proxy'!$H$8:$H$19,'Wind Proxy'!$A$8:$A$19,Estimator!$B$4,'Wind Proxy'!$B$8:$B$19,C229)</f>
        <v>0</v>
      </c>
    </row>
    <row r="230" spans="1:10" ht="14.4">
      <c r="A230" s="84">
        <v>45881</v>
      </c>
      <c r="B230" s="85">
        <v>2025</v>
      </c>
      <c r="C230" s="85">
        <v>8</v>
      </c>
      <c r="D230" s="85" t="s">
        <v>71</v>
      </c>
      <c r="E230" s="85">
        <v>12</v>
      </c>
      <c r="F230" s="85">
        <v>2</v>
      </c>
      <c r="G230" s="85">
        <f>--(F230&lt;=Estimator!$B$7)</f>
        <v>1</v>
      </c>
      <c r="H230" s="86">
        <f>SUMIFS('Climate Data'!$G$7:$G$366,'Climate Data'!$A$7:$A$366,Estimator!$B$4,'Climate Data'!$B$7:$B$366,C230)</f>
        <v>0.23548387096774193</v>
      </c>
      <c r="I230" s="87">
        <f>SUMIFS('Climate Data'!$H$7:$H$366,'Climate Data'!$A$7:$A$366,Estimator!$B$4,'Climate Data'!$B$7:$B$366,C230)</f>
        <v>7.9589041095890414</v>
      </c>
      <c r="J230" s="86">
        <f>SUMIFS('Wind Proxy'!$H$8:$H$19,'Wind Proxy'!$A$8:$A$19,Estimator!$B$4,'Wind Proxy'!$B$8:$B$19,C230)</f>
        <v>0</v>
      </c>
    </row>
    <row r="231" spans="1:10" ht="14.4">
      <c r="A231" s="84">
        <v>45882</v>
      </c>
      <c r="B231" s="85">
        <v>2025</v>
      </c>
      <c r="C231" s="85">
        <v>8</v>
      </c>
      <c r="D231" s="85" t="s">
        <v>71</v>
      </c>
      <c r="E231" s="85">
        <v>13</v>
      </c>
      <c r="F231" s="85">
        <v>3</v>
      </c>
      <c r="G231" s="85">
        <f>--(F231&lt;=Estimator!$B$7)</f>
        <v>1</v>
      </c>
      <c r="H231" s="86">
        <f>SUMIFS('Climate Data'!$G$7:$G$366,'Climate Data'!$A$7:$A$366,Estimator!$B$4,'Climate Data'!$B$7:$B$366,C231)</f>
        <v>0.23548387096774193</v>
      </c>
      <c r="I231" s="87">
        <f>SUMIFS('Climate Data'!$H$7:$H$366,'Climate Data'!$A$7:$A$366,Estimator!$B$4,'Climate Data'!$B$7:$B$366,C231)</f>
        <v>7.9589041095890414</v>
      </c>
      <c r="J231" s="86">
        <f>SUMIFS('Wind Proxy'!$H$8:$H$19,'Wind Proxy'!$A$8:$A$19,Estimator!$B$4,'Wind Proxy'!$B$8:$B$19,C231)</f>
        <v>0</v>
      </c>
    </row>
    <row r="232" spans="1:10" ht="14.4">
      <c r="A232" s="84">
        <v>45883</v>
      </c>
      <c r="B232" s="85">
        <v>2025</v>
      </c>
      <c r="C232" s="85">
        <v>8</v>
      </c>
      <c r="D232" s="85" t="s">
        <v>71</v>
      </c>
      <c r="E232" s="85">
        <v>14</v>
      </c>
      <c r="F232" s="85">
        <v>4</v>
      </c>
      <c r="G232" s="85">
        <f>--(F232&lt;=Estimator!$B$7)</f>
        <v>1</v>
      </c>
      <c r="H232" s="86">
        <f>SUMIFS('Climate Data'!$G$7:$G$366,'Climate Data'!$A$7:$A$366,Estimator!$B$4,'Climate Data'!$B$7:$B$366,C232)</f>
        <v>0.23548387096774193</v>
      </c>
      <c r="I232" s="87">
        <f>SUMIFS('Climate Data'!$H$7:$H$366,'Climate Data'!$A$7:$A$366,Estimator!$B$4,'Climate Data'!$B$7:$B$366,C232)</f>
        <v>7.9589041095890414</v>
      </c>
      <c r="J232" s="86">
        <f>SUMIFS('Wind Proxy'!$H$8:$H$19,'Wind Proxy'!$A$8:$A$19,Estimator!$B$4,'Wind Proxy'!$B$8:$B$19,C232)</f>
        <v>0</v>
      </c>
    </row>
    <row r="233" spans="1:10" ht="14.4">
      <c r="A233" s="84">
        <v>45884</v>
      </c>
      <c r="B233" s="85">
        <v>2025</v>
      </c>
      <c r="C233" s="85">
        <v>8</v>
      </c>
      <c r="D233" s="85" t="s">
        <v>71</v>
      </c>
      <c r="E233" s="85">
        <v>15</v>
      </c>
      <c r="F233" s="85">
        <v>5</v>
      </c>
      <c r="G233" s="85">
        <f>--(F233&lt;=Estimator!$B$7)</f>
        <v>1</v>
      </c>
      <c r="H233" s="86">
        <f>SUMIFS('Climate Data'!$G$7:$G$366,'Climate Data'!$A$7:$A$366,Estimator!$B$4,'Climate Data'!$B$7:$B$366,C233)</f>
        <v>0.23548387096774193</v>
      </c>
      <c r="I233" s="87">
        <f>SUMIFS('Climate Data'!$H$7:$H$366,'Climate Data'!$A$7:$A$366,Estimator!$B$4,'Climate Data'!$B$7:$B$366,C233)</f>
        <v>7.9589041095890414</v>
      </c>
      <c r="J233" s="86">
        <f>SUMIFS('Wind Proxy'!$H$8:$H$19,'Wind Proxy'!$A$8:$A$19,Estimator!$B$4,'Wind Proxy'!$B$8:$B$19,C233)</f>
        <v>0</v>
      </c>
    </row>
    <row r="234" spans="1:10" ht="14.4">
      <c r="A234" s="84">
        <v>45885</v>
      </c>
      <c r="B234" s="85">
        <v>2025</v>
      </c>
      <c r="C234" s="85">
        <v>8</v>
      </c>
      <c r="D234" s="85" t="s">
        <v>71</v>
      </c>
      <c r="E234" s="85">
        <v>16</v>
      </c>
      <c r="F234" s="85">
        <v>6</v>
      </c>
      <c r="G234" s="85">
        <f>--(F234&lt;=Estimator!$B$7)</f>
        <v>0</v>
      </c>
      <c r="H234" s="86">
        <f>SUMIFS('Climate Data'!$G$7:$G$366,'Climate Data'!$A$7:$A$366,Estimator!$B$4,'Climate Data'!$B$7:$B$366,C234)</f>
        <v>0.23548387096774193</v>
      </c>
      <c r="I234" s="87">
        <f>SUMIFS('Climate Data'!$H$7:$H$366,'Climate Data'!$A$7:$A$366,Estimator!$B$4,'Climate Data'!$B$7:$B$366,C234)</f>
        <v>7.9589041095890414</v>
      </c>
      <c r="J234" s="86">
        <f>SUMIFS('Wind Proxy'!$H$8:$H$19,'Wind Proxy'!$A$8:$A$19,Estimator!$B$4,'Wind Proxy'!$B$8:$B$19,C234)</f>
        <v>0</v>
      </c>
    </row>
    <row r="235" spans="1:10" ht="14.4">
      <c r="A235" s="84">
        <v>45886</v>
      </c>
      <c r="B235" s="85">
        <v>2025</v>
      </c>
      <c r="C235" s="85">
        <v>8</v>
      </c>
      <c r="D235" s="85" t="s">
        <v>71</v>
      </c>
      <c r="E235" s="85">
        <v>17</v>
      </c>
      <c r="F235" s="85">
        <v>7</v>
      </c>
      <c r="G235" s="85">
        <f>--(F235&lt;=Estimator!$B$7)</f>
        <v>0</v>
      </c>
      <c r="H235" s="86">
        <f>SUMIFS('Climate Data'!$G$7:$G$366,'Climate Data'!$A$7:$A$366,Estimator!$B$4,'Climate Data'!$B$7:$B$366,C235)</f>
        <v>0.23548387096774193</v>
      </c>
      <c r="I235" s="87">
        <f>SUMIFS('Climate Data'!$H$7:$H$366,'Climate Data'!$A$7:$A$366,Estimator!$B$4,'Climate Data'!$B$7:$B$366,C235)</f>
        <v>7.9589041095890414</v>
      </c>
      <c r="J235" s="86">
        <f>SUMIFS('Wind Proxy'!$H$8:$H$19,'Wind Proxy'!$A$8:$A$19,Estimator!$B$4,'Wind Proxy'!$B$8:$B$19,C235)</f>
        <v>0</v>
      </c>
    </row>
    <row r="236" spans="1:10" ht="14.4">
      <c r="A236" s="84">
        <v>45887</v>
      </c>
      <c r="B236" s="85">
        <v>2025</v>
      </c>
      <c r="C236" s="85">
        <v>8</v>
      </c>
      <c r="D236" s="85" t="s">
        <v>71</v>
      </c>
      <c r="E236" s="85">
        <v>18</v>
      </c>
      <c r="F236" s="85">
        <v>1</v>
      </c>
      <c r="G236" s="85">
        <f>--(F236&lt;=Estimator!$B$7)</f>
        <v>1</v>
      </c>
      <c r="H236" s="86">
        <f>SUMIFS('Climate Data'!$G$7:$G$366,'Climate Data'!$A$7:$A$366,Estimator!$B$4,'Climate Data'!$B$7:$B$366,C236)</f>
        <v>0.23548387096774193</v>
      </c>
      <c r="I236" s="87">
        <f>SUMIFS('Climate Data'!$H$7:$H$366,'Climate Data'!$A$7:$A$366,Estimator!$B$4,'Climate Data'!$B$7:$B$366,C236)</f>
        <v>7.9589041095890414</v>
      </c>
      <c r="J236" s="86">
        <f>SUMIFS('Wind Proxy'!$H$8:$H$19,'Wind Proxy'!$A$8:$A$19,Estimator!$B$4,'Wind Proxy'!$B$8:$B$19,C236)</f>
        <v>0</v>
      </c>
    </row>
    <row r="237" spans="1:10" ht="14.4">
      <c r="A237" s="84">
        <v>45888</v>
      </c>
      <c r="B237" s="85">
        <v>2025</v>
      </c>
      <c r="C237" s="85">
        <v>8</v>
      </c>
      <c r="D237" s="85" t="s">
        <v>71</v>
      </c>
      <c r="E237" s="85">
        <v>19</v>
      </c>
      <c r="F237" s="85">
        <v>2</v>
      </c>
      <c r="G237" s="85">
        <f>--(F237&lt;=Estimator!$B$7)</f>
        <v>1</v>
      </c>
      <c r="H237" s="86">
        <f>SUMIFS('Climate Data'!$G$7:$G$366,'Climate Data'!$A$7:$A$366,Estimator!$B$4,'Climate Data'!$B$7:$B$366,C237)</f>
        <v>0.23548387096774193</v>
      </c>
      <c r="I237" s="87">
        <f>SUMIFS('Climate Data'!$H$7:$H$366,'Climate Data'!$A$7:$A$366,Estimator!$B$4,'Climate Data'!$B$7:$B$366,C237)</f>
        <v>7.9589041095890414</v>
      </c>
      <c r="J237" s="86">
        <f>SUMIFS('Wind Proxy'!$H$8:$H$19,'Wind Proxy'!$A$8:$A$19,Estimator!$B$4,'Wind Proxy'!$B$8:$B$19,C237)</f>
        <v>0</v>
      </c>
    </row>
    <row r="238" spans="1:10" ht="14.4">
      <c r="A238" s="84">
        <v>45889</v>
      </c>
      <c r="B238" s="85">
        <v>2025</v>
      </c>
      <c r="C238" s="85">
        <v>8</v>
      </c>
      <c r="D238" s="85" t="s">
        <v>71</v>
      </c>
      <c r="E238" s="85">
        <v>20</v>
      </c>
      <c r="F238" s="85">
        <v>3</v>
      </c>
      <c r="G238" s="85">
        <f>--(F238&lt;=Estimator!$B$7)</f>
        <v>1</v>
      </c>
      <c r="H238" s="86">
        <f>SUMIFS('Climate Data'!$G$7:$G$366,'Climate Data'!$A$7:$A$366,Estimator!$B$4,'Climate Data'!$B$7:$B$366,C238)</f>
        <v>0.23548387096774193</v>
      </c>
      <c r="I238" s="87">
        <f>SUMIFS('Climate Data'!$H$7:$H$366,'Climate Data'!$A$7:$A$366,Estimator!$B$4,'Climate Data'!$B$7:$B$366,C238)</f>
        <v>7.9589041095890414</v>
      </c>
      <c r="J238" s="86">
        <f>SUMIFS('Wind Proxy'!$H$8:$H$19,'Wind Proxy'!$A$8:$A$19,Estimator!$B$4,'Wind Proxy'!$B$8:$B$19,C238)</f>
        <v>0</v>
      </c>
    </row>
    <row r="239" spans="1:10" ht="14.4">
      <c r="A239" s="84">
        <v>45890</v>
      </c>
      <c r="B239" s="85">
        <v>2025</v>
      </c>
      <c r="C239" s="85">
        <v>8</v>
      </c>
      <c r="D239" s="85" t="s">
        <v>71</v>
      </c>
      <c r="E239" s="85">
        <v>21</v>
      </c>
      <c r="F239" s="85">
        <v>4</v>
      </c>
      <c r="G239" s="85">
        <f>--(F239&lt;=Estimator!$B$7)</f>
        <v>1</v>
      </c>
      <c r="H239" s="86">
        <f>SUMIFS('Climate Data'!$G$7:$G$366,'Climate Data'!$A$7:$A$366,Estimator!$B$4,'Climate Data'!$B$7:$B$366,C239)</f>
        <v>0.23548387096774193</v>
      </c>
      <c r="I239" s="87">
        <f>SUMIFS('Climate Data'!$H$7:$H$366,'Climate Data'!$A$7:$A$366,Estimator!$B$4,'Climate Data'!$B$7:$B$366,C239)</f>
        <v>7.9589041095890414</v>
      </c>
      <c r="J239" s="86">
        <f>SUMIFS('Wind Proxy'!$H$8:$H$19,'Wind Proxy'!$A$8:$A$19,Estimator!$B$4,'Wind Proxy'!$B$8:$B$19,C239)</f>
        <v>0</v>
      </c>
    </row>
    <row r="240" spans="1:10" ht="14.4">
      <c r="A240" s="84">
        <v>45891</v>
      </c>
      <c r="B240" s="85">
        <v>2025</v>
      </c>
      <c r="C240" s="85">
        <v>8</v>
      </c>
      <c r="D240" s="85" t="s">
        <v>71</v>
      </c>
      <c r="E240" s="85">
        <v>22</v>
      </c>
      <c r="F240" s="85">
        <v>5</v>
      </c>
      <c r="G240" s="85">
        <f>--(F240&lt;=Estimator!$B$7)</f>
        <v>1</v>
      </c>
      <c r="H240" s="86">
        <f>SUMIFS('Climate Data'!$G$7:$G$366,'Climate Data'!$A$7:$A$366,Estimator!$B$4,'Climate Data'!$B$7:$B$366,C240)</f>
        <v>0.23548387096774193</v>
      </c>
      <c r="I240" s="87">
        <f>SUMIFS('Climate Data'!$H$7:$H$366,'Climate Data'!$A$7:$A$366,Estimator!$B$4,'Climate Data'!$B$7:$B$366,C240)</f>
        <v>7.9589041095890414</v>
      </c>
      <c r="J240" s="86">
        <f>SUMIFS('Wind Proxy'!$H$8:$H$19,'Wind Proxy'!$A$8:$A$19,Estimator!$B$4,'Wind Proxy'!$B$8:$B$19,C240)</f>
        <v>0</v>
      </c>
    </row>
    <row r="241" spans="1:10" ht="14.4">
      <c r="A241" s="84">
        <v>45892</v>
      </c>
      <c r="B241" s="85">
        <v>2025</v>
      </c>
      <c r="C241" s="85">
        <v>8</v>
      </c>
      <c r="D241" s="85" t="s">
        <v>71</v>
      </c>
      <c r="E241" s="85">
        <v>23</v>
      </c>
      <c r="F241" s="85">
        <v>6</v>
      </c>
      <c r="G241" s="85">
        <f>--(F241&lt;=Estimator!$B$7)</f>
        <v>0</v>
      </c>
      <c r="H241" s="86">
        <f>SUMIFS('Climate Data'!$G$7:$G$366,'Climate Data'!$A$7:$A$366,Estimator!$B$4,'Climate Data'!$B$7:$B$366,C241)</f>
        <v>0.23548387096774193</v>
      </c>
      <c r="I241" s="87">
        <f>SUMIFS('Climate Data'!$H$7:$H$366,'Climate Data'!$A$7:$A$366,Estimator!$B$4,'Climate Data'!$B$7:$B$366,C241)</f>
        <v>7.9589041095890414</v>
      </c>
      <c r="J241" s="86">
        <f>SUMIFS('Wind Proxy'!$H$8:$H$19,'Wind Proxy'!$A$8:$A$19,Estimator!$B$4,'Wind Proxy'!$B$8:$B$19,C241)</f>
        <v>0</v>
      </c>
    </row>
    <row r="242" spans="1:10" ht="14.4">
      <c r="A242" s="84">
        <v>45893</v>
      </c>
      <c r="B242" s="85">
        <v>2025</v>
      </c>
      <c r="C242" s="85">
        <v>8</v>
      </c>
      <c r="D242" s="85" t="s">
        <v>71</v>
      </c>
      <c r="E242" s="85">
        <v>24</v>
      </c>
      <c r="F242" s="85">
        <v>7</v>
      </c>
      <c r="G242" s="85">
        <f>--(F242&lt;=Estimator!$B$7)</f>
        <v>0</v>
      </c>
      <c r="H242" s="86">
        <f>SUMIFS('Climate Data'!$G$7:$G$366,'Climate Data'!$A$7:$A$366,Estimator!$B$4,'Climate Data'!$B$7:$B$366,C242)</f>
        <v>0.23548387096774193</v>
      </c>
      <c r="I242" s="87">
        <f>SUMIFS('Climate Data'!$H$7:$H$366,'Climate Data'!$A$7:$A$366,Estimator!$B$4,'Climate Data'!$B$7:$B$366,C242)</f>
        <v>7.9589041095890414</v>
      </c>
      <c r="J242" s="86">
        <f>SUMIFS('Wind Proxy'!$H$8:$H$19,'Wind Proxy'!$A$8:$A$19,Estimator!$B$4,'Wind Proxy'!$B$8:$B$19,C242)</f>
        <v>0</v>
      </c>
    </row>
    <row r="243" spans="1:10" ht="14.4">
      <c r="A243" s="84">
        <v>45894</v>
      </c>
      <c r="B243" s="85">
        <v>2025</v>
      </c>
      <c r="C243" s="85">
        <v>8</v>
      </c>
      <c r="D243" s="85" t="s">
        <v>71</v>
      </c>
      <c r="E243" s="85">
        <v>25</v>
      </c>
      <c r="F243" s="85">
        <v>1</v>
      </c>
      <c r="G243" s="85">
        <f>--(F243&lt;=Estimator!$B$7)</f>
        <v>1</v>
      </c>
      <c r="H243" s="86">
        <f>SUMIFS('Climate Data'!$G$7:$G$366,'Climate Data'!$A$7:$A$366,Estimator!$B$4,'Climate Data'!$B$7:$B$366,C243)</f>
        <v>0.23548387096774193</v>
      </c>
      <c r="I243" s="87">
        <f>SUMIFS('Climate Data'!$H$7:$H$366,'Climate Data'!$A$7:$A$366,Estimator!$B$4,'Climate Data'!$B$7:$B$366,C243)</f>
        <v>7.9589041095890414</v>
      </c>
      <c r="J243" s="86">
        <f>SUMIFS('Wind Proxy'!$H$8:$H$19,'Wind Proxy'!$A$8:$A$19,Estimator!$B$4,'Wind Proxy'!$B$8:$B$19,C243)</f>
        <v>0</v>
      </c>
    </row>
    <row r="244" spans="1:10" ht="14.4">
      <c r="A244" s="84">
        <v>45895</v>
      </c>
      <c r="B244" s="85">
        <v>2025</v>
      </c>
      <c r="C244" s="85">
        <v>8</v>
      </c>
      <c r="D244" s="85" t="s">
        <v>71</v>
      </c>
      <c r="E244" s="85">
        <v>26</v>
      </c>
      <c r="F244" s="85">
        <v>2</v>
      </c>
      <c r="G244" s="85">
        <f>--(F244&lt;=Estimator!$B$7)</f>
        <v>1</v>
      </c>
      <c r="H244" s="86">
        <f>SUMIFS('Climate Data'!$G$7:$G$366,'Climate Data'!$A$7:$A$366,Estimator!$B$4,'Climate Data'!$B$7:$B$366,C244)</f>
        <v>0.23548387096774193</v>
      </c>
      <c r="I244" s="87">
        <f>SUMIFS('Climate Data'!$H$7:$H$366,'Climate Data'!$A$7:$A$366,Estimator!$B$4,'Climate Data'!$B$7:$B$366,C244)</f>
        <v>7.9589041095890414</v>
      </c>
      <c r="J244" s="86">
        <f>SUMIFS('Wind Proxy'!$H$8:$H$19,'Wind Proxy'!$A$8:$A$19,Estimator!$B$4,'Wind Proxy'!$B$8:$B$19,C244)</f>
        <v>0</v>
      </c>
    </row>
    <row r="245" spans="1:10" ht="14.4">
      <c r="A245" s="84">
        <v>45896</v>
      </c>
      <c r="B245" s="85">
        <v>2025</v>
      </c>
      <c r="C245" s="85">
        <v>8</v>
      </c>
      <c r="D245" s="85" t="s">
        <v>71</v>
      </c>
      <c r="E245" s="85">
        <v>27</v>
      </c>
      <c r="F245" s="85">
        <v>3</v>
      </c>
      <c r="G245" s="85">
        <f>--(F245&lt;=Estimator!$B$7)</f>
        <v>1</v>
      </c>
      <c r="H245" s="86">
        <f>SUMIFS('Climate Data'!$G$7:$G$366,'Climate Data'!$A$7:$A$366,Estimator!$B$4,'Climate Data'!$B$7:$B$366,C245)</f>
        <v>0.23548387096774193</v>
      </c>
      <c r="I245" s="87">
        <f>SUMIFS('Climate Data'!$H$7:$H$366,'Climate Data'!$A$7:$A$366,Estimator!$B$4,'Climate Data'!$B$7:$B$366,C245)</f>
        <v>7.9589041095890414</v>
      </c>
      <c r="J245" s="86">
        <f>SUMIFS('Wind Proxy'!$H$8:$H$19,'Wind Proxy'!$A$8:$A$19,Estimator!$B$4,'Wind Proxy'!$B$8:$B$19,C245)</f>
        <v>0</v>
      </c>
    </row>
    <row r="246" spans="1:10" ht="14.4">
      <c r="A246" s="84">
        <v>45897</v>
      </c>
      <c r="B246" s="85">
        <v>2025</v>
      </c>
      <c r="C246" s="85">
        <v>8</v>
      </c>
      <c r="D246" s="85" t="s">
        <v>71</v>
      </c>
      <c r="E246" s="85">
        <v>28</v>
      </c>
      <c r="F246" s="85">
        <v>4</v>
      </c>
      <c r="G246" s="85">
        <f>--(F246&lt;=Estimator!$B$7)</f>
        <v>1</v>
      </c>
      <c r="H246" s="86">
        <f>SUMIFS('Climate Data'!$G$7:$G$366,'Climate Data'!$A$7:$A$366,Estimator!$B$4,'Climate Data'!$B$7:$B$366,C246)</f>
        <v>0.23548387096774193</v>
      </c>
      <c r="I246" s="87">
        <f>SUMIFS('Climate Data'!$H$7:$H$366,'Climate Data'!$A$7:$A$366,Estimator!$B$4,'Climate Data'!$B$7:$B$366,C246)</f>
        <v>7.9589041095890414</v>
      </c>
      <c r="J246" s="86">
        <f>SUMIFS('Wind Proxy'!$H$8:$H$19,'Wind Proxy'!$A$8:$A$19,Estimator!$B$4,'Wind Proxy'!$B$8:$B$19,C246)</f>
        <v>0</v>
      </c>
    </row>
    <row r="247" spans="1:10" ht="14.4">
      <c r="A247" s="84">
        <v>45898</v>
      </c>
      <c r="B247" s="85">
        <v>2025</v>
      </c>
      <c r="C247" s="85">
        <v>8</v>
      </c>
      <c r="D247" s="85" t="s">
        <v>71</v>
      </c>
      <c r="E247" s="85">
        <v>29</v>
      </c>
      <c r="F247" s="85">
        <v>5</v>
      </c>
      <c r="G247" s="85">
        <f>--(F247&lt;=Estimator!$B$7)</f>
        <v>1</v>
      </c>
      <c r="H247" s="86">
        <f>SUMIFS('Climate Data'!$G$7:$G$366,'Climate Data'!$A$7:$A$366,Estimator!$B$4,'Climate Data'!$B$7:$B$366,C247)</f>
        <v>0.23548387096774193</v>
      </c>
      <c r="I247" s="87">
        <f>SUMIFS('Climate Data'!$H$7:$H$366,'Climate Data'!$A$7:$A$366,Estimator!$B$4,'Climate Data'!$B$7:$B$366,C247)</f>
        <v>7.9589041095890414</v>
      </c>
      <c r="J247" s="86">
        <f>SUMIFS('Wind Proxy'!$H$8:$H$19,'Wind Proxy'!$A$8:$A$19,Estimator!$B$4,'Wind Proxy'!$B$8:$B$19,C247)</f>
        <v>0</v>
      </c>
    </row>
    <row r="248" spans="1:10" ht="14.4">
      <c r="A248" s="84">
        <v>45899</v>
      </c>
      <c r="B248" s="85">
        <v>2025</v>
      </c>
      <c r="C248" s="85">
        <v>8</v>
      </c>
      <c r="D248" s="85" t="s">
        <v>71</v>
      </c>
      <c r="E248" s="85">
        <v>30</v>
      </c>
      <c r="F248" s="85">
        <v>6</v>
      </c>
      <c r="G248" s="85">
        <f>--(F248&lt;=Estimator!$B$7)</f>
        <v>0</v>
      </c>
      <c r="H248" s="86">
        <f>SUMIFS('Climate Data'!$G$7:$G$366,'Climate Data'!$A$7:$A$366,Estimator!$B$4,'Climate Data'!$B$7:$B$366,C248)</f>
        <v>0.23548387096774193</v>
      </c>
      <c r="I248" s="87">
        <f>SUMIFS('Climate Data'!$H$7:$H$366,'Climate Data'!$A$7:$A$366,Estimator!$B$4,'Climate Data'!$B$7:$B$366,C248)</f>
        <v>7.9589041095890414</v>
      </c>
      <c r="J248" s="86">
        <f>SUMIFS('Wind Proxy'!$H$8:$H$19,'Wind Proxy'!$A$8:$A$19,Estimator!$B$4,'Wind Proxy'!$B$8:$B$19,C248)</f>
        <v>0</v>
      </c>
    </row>
    <row r="249" spans="1:10" ht="14.4">
      <c r="A249" s="84">
        <v>45900</v>
      </c>
      <c r="B249" s="85">
        <v>2025</v>
      </c>
      <c r="C249" s="85">
        <v>8</v>
      </c>
      <c r="D249" s="85" t="s">
        <v>71</v>
      </c>
      <c r="E249" s="85">
        <v>31</v>
      </c>
      <c r="F249" s="85">
        <v>7</v>
      </c>
      <c r="G249" s="85">
        <f>--(F249&lt;=Estimator!$B$7)</f>
        <v>0</v>
      </c>
      <c r="H249" s="86">
        <f>SUMIFS('Climate Data'!$G$7:$G$366,'Climate Data'!$A$7:$A$366,Estimator!$B$4,'Climate Data'!$B$7:$B$366,C249)</f>
        <v>0.23548387096774193</v>
      </c>
      <c r="I249" s="87">
        <f>SUMIFS('Climate Data'!$H$7:$H$366,'Climate Data'!$A$7:$A$366,Estimator!$B$4,'Climate Data'!$B$7:$B$366,C249)</f>
        <v>7.9589041095890414</v>
      </c>
      <c r="J249" s="86">
        <f>SUMIFS('Wind Proxy'!$H$8:$H$19,'Wind Proxy'!$A$8:$A$19,Estimator!$B$4,'Wind Proxy'!$B$8:$B$19,C249)</f>
        <v>0</v>
      </c>
    </row>
    <row r="250" spans="1:10" ht="14.4">
      <c r="A250" s="84">
        <v>45901</v>
      </c>
      <c r="B250" s="85">
        <v>2025</v>
      </c>
      <c r="C250" s="85">
        <v>9</v>
      </c>
      <c r="D250" s="85" t="s">
        <v>73</v>
      </c>
      <c r="E250" s="85">
        <v>1</v>
      </c>
      <c r="F250" s="85">
        <v>1</v>
      </c>
      <c r="G250" s="85">
        <f>--(F250&lt;=Estimator!$B$7)</f>
        <v>1</v>
      </c>
      <c r="H250" s="86">
        <f>SUMIFS('Climate Data'!$G$7:$G$366,'Climate Data'!$A$7:$A$366,Estimator!$B$4,'Climate Data'!$B$7:$B$366,C250)</f>
        <v>0.20666666666666667</v>
      </c>
      <c r="I250" s="87">
        <f>SUMIFS('Climate Data'!$H$7:$H$366,'Climate Data'!$A$7:$A$366,Estimator!$B$4,'Climate Data'!$B$7:$B$366,C250)</f>
        <v>6.806451612903226</v>
      </c>
      <c r="J250" s="86">
        <f>SUMIFS('Wind Proxy'!$H$8:$H$19,'Wind Proxy'!$A$8:$A$19,Estimator!$B$4,'Wind Proxy'!$B$8:$B$19,C250)</f>
        <v>0</v>
      </c>
    </row>
    <row r="251" spans="1:10" ht="14.4">
      <c r="A251" s="84">
        <v>45902</v>
      </c>
      <c r="B251" s="85">
        <v>2025</v>
      </c>
      <c r="C251" s="85">
        <v>9</v>
      </c>
      <c r="D251" s="85" t="s">
        <v>73</v>
      </c>
      <c r="E251" s="85">
        <v>2</v>
      </c>
      <c r="F251" s="85">
        <v>2</v>
      </c>
      <c r="G251" s="85">
        <f>--(F251&lt;=Estimator!$B$7)</f>
        <v>1</v>
      </c>
      <c r="H251" s="86">
        <f>SUMIFS('Climate Data'!$G$7:$G$366,'Climate Data'!$A$7:$A$366,Estimator!$B$4,'Climate Data'!$B$7:$B$366,C251)</f>
        <v>0.20666666666666667</v>
      </c>
      <c r="I251" s="87">
        <f>SUMIFS('Climate Data'!$H$7:$H$366,'Climate Data'!$A$7:$A$366,Estimator!$B$4,'Climate Data'!$B$7:$B$366,C251)</f>
        <v>6.806451612903226</v>
      </c>
      <c r="J251" s="86">
        <f>SUMIFS('Wind Proxy'!$H$8:$H$19,'Wind Proxy'!$A$8:$A$19,Estimator!$B$4,'Wind Proxy'!$B$8:$B$19,C251)</f>
        <v>0</v>
      </c>
    </row>
    <row r="252" spans="1:10" ht="14.4">
      <c r="A252" s="84">
        <v>45903</v>
      </c>
      <c r="B252" s="85">
        <v>2025</v>
      </c>
      <c r="C252" s="85">
        <v>9</v>
      </c>
      <c r="D252" s="85" t="s">
        <v>73</v>
      </c>
      <c r="E252" s="85">
        <v>3</v>
      </c>
      <c r="F252" s="85">
        <v>3</v>
      </c>
      <c r="G252" s="85">
        <f>--(F252&lt;=Estimator!$B$7)</f>
        <v>1</v>
      </c>
      <c r="H252" s="86">
        <f>SUMIFS('Climate Data'!$G$7:$G$366,'Climate Data'!$A$7:$A$366,Estimator!$B$4,'Climate Data'!$B$7:$B$366,C252)</f>
        <v>0.20666666666666667</v>
      </c>
      <c r="I252" s="87">
        <f>SUMIFS('Climate Data'!$H$7:$H$366,'Climate Data'!$A$7:$A$366,Estimator!$B$4,'Climate Data'!$B$7:$B$366,C252)</f>
        <v>6.806451612903226</v>
      </c>
      <c r="J252" s="86">
        <f>SUMIFS('Wind Proxy'!$H$8:$H$19,'Wind Proxy'!$A$8:$A$19,Estimator!$B$4,'Wind Proxy'!$B$8:$B$19,C252)</f>
        <v>0</v>
      </c>
    </row>
    <row r="253" spans="1:10" ht="14.4">
      <c r="A253" s="84">
        <v>45904</v>
      </c>
      <c r="B253" s="85">
        <v>2025</v>
      </c>
      <c r="C253" s="85">
        <v>9</v>
      </c>
      <c r="D253" s="85" t="s">
        <v>73</v>
      </c>
      <c r="E253" s="85">
        <v>4</v>
      </c>
      <c r="F253" s="85">
        <v>4</v>
      </c>
      <c r="G253" s="85">
        <f>--(F253&lt;=Estimator!$B$7)</f>
        <v>1</v>
      </c>
      <c r="H253" s="86">
        <f>SUMIFS('Climate Data'!$G$7:$G$366,'Climate Data'!$A$7:$A$366,Estimator!$B$4,'Climate Data'!$B$7:$B$366,C253)</f>
        <v>0.20666666666666667</v>
      </c>
      <c r="I253" s="87">
        <f>SUMIFS('Climate Data'!$H$7:$H$366,'Climate Data'!$A$7:$A$366,Estimator!$B$4,'Climate Data'!$B$7:$B$366,C253)</f>
        <v>6.806451612903226</v>
      </c>
      <c r="J253" s="86">
        <f>SUMIFS('Wind Proxy'!$H$8:$H$19,'Wind Proxy'!$A$8:$A$19,Estimator!$B$4,'Wind Proxy'!$B$8:$B$19,C253)</f>
        <v>0</v>
      </c>
    </row>
    <row r="254" spans="1:10" ht="14.4">
      <c r="A254" s="84">
        <v>45905</v>
      </c>
      <c r="B254" s="85">
        <v>2025</v>
      </c>
      <c r="C254" s="85">
        <v>9</v>
      </c>
      <c r="D254" s="85" t="s">
        <v>73</v>
      </c>
      <c r="E254" s="85">
        <v>5</v>
      </c>
      <c r="F254" s="85">
        <v>5</v>
      </c>
      <c r="G254" s="85">
        <f>--(F254&lt;=Estimator!$B$7)</f>
        <v>1</v>
      </c>
      <c r="H254" s="86">
        <f>SUMIFS('Climate Data'!$G$7:$G$366,'Climate Data'!$A$7:$A$366,Estimator!$B$4,'Climate Data'!$B$7:$B$366,C254)</f>
        <v>0.20666666666666667</v>
      </c>
      <c r="I254" s="87">
        <f>SUMIFS('Climate Data'!$H$7:$H$366,'Climate Data'!$A$7:$A$366,Estimator!$B$4,'Climate Data'!$B$7:$B$366,C254)</f>
        <v>6.806451612903226</v>
      </c>
      <c r="J254" s="86">
        <f>SUMIFS('Wind Proxy'!$H$8:$H$19,'Wind Proxy'!$A$8:$A$19,Estimator!$B$4,'Wind Proxy'!$B$8:$B$19,C254)</f>
        <v>0</v>
      </c>
    </row>
    <row r="255" spans="1:10" ht="14.4">
      <c r="A255" s="84">
        <v>45906</v>
      </c>
      <c r="B255" s="85">
        <v>2025</v>
      </c>
      <c r="C255" s="85">
        <v>9</v>
      </c>
      <c r="D255" s="85" t="s">
        <v>73</v>
      </c>
      <c r="E255" s="85">
        <v>6</v>
      </c>
      <c r="F255" s="85">
        <v>6</v>
      </c>
      <c r="G255" s="85">
        <f>--(F255&lt;=Estimator!$B$7)</f>
        <v>0</v>
      </c>
      <c r="H255" s="86">
        <f>SUMIFS('Climate Data'!$G$7:$G$366,'Climate Data'!$A$7:$A$366,Estimator!$B$4,'Climate Data'!$B$7:$B$366,C255)</f>
        <v>0.20666666666666667</v>
      </c>
      <c r="I255" s="87">
        <f>SUMIFS('Climate Data'!$H$7:$H$366,'Climate Data'!$A$7:$A$366,Estimator!$B$4,'Climate Data'!$B$7:$B$366,C255)</f>
        <v>6.806451612903226</v>
      </c>
      <c r="J255" s="86">
        <f>SUMIFS('Wind Proxy'!$H$8:$H$19,'Wind Proxy'!$A$8:$A$19,Estimator!$B$4,'Wind Proxy'!$B$8:$B$19,C255)</f>
        <v>0</v>
      </c>
    </row>
    <row r="256" spans="1:10" ht="14.4">
      <c r="A256" s="84">
        <v>45907</v>
      </c>
      <c r="B256" s="85">
        <v>2025</v>
      </c>
      <c r="C256" s="85">
        <v>9</v>
      </c>
      <c r="D256" s="85" t="s">
        <v>73</v>
      </c>
      <c r="E256" s="85">
        <v>7</v>
      </c>
      <c r="F256" s="85">
        <v>7</v>
      </c>
      <c r="G256" s="85">
        <f>--(F256&lt;=Estimator!$B$7)</f>
        <v>0</v>
      </c>
      <c r="H256" s="86">
        <f>SUMIFS('Climate Data'!$G$7:$G$366,'Climate Data'!$A$7:$A$366,Estimator!$B$4,'Climate Data'!$B$7:$B$366,C256)</f>
        <v>0.20666666666666667</v>
      </c>
      <c r="I256" s="87">
        <f>SUMIFS('Climate Data'!$H$7:$H$366,'Climate Data'!$A$7:$A$366,Estimator!$B$4,'Climate Data'!$B$7:$B$366,C256)</f>
        <v>6.806451612903226</v>
      </c>
      <c r="J256" s="86">
        <f>SUMIFS('Wind Proxy'!$H$8:$H$19,'Wind Proxy'!$A$8:$A$19,Estimator!$B$4,'Wind Proxy'!$B$8:$B$19,C256)</f>
        <v>0</v>
      </c>
    </row>
    <row r="257" spans="1:10" ht="14.4">
      <c r="A257" s="84">
        <v>45908</v>
      </c>
      <c r="B257" s="85">
        <v>2025</v>
      </c>
      <c r="C257" s="85">
        <v>9</v>
      </c>
      <c r="D257" s="85" t="s">
        <v>73</v>
      </c>
      <c r="E257" s="85">
        <v>8</v>
      </c>
      <c r="F257" s="85">
        <v>1</v>
      </c>
      <c r="G257" s="85">
        <f>--(F257&lt;=Estimator!$B$7)</f>
        <v>1</v>
      </c>
      <c r="H257" s="86">
        <f>SUMIFS('Climate Data'!$G$7:$G$366,'Climate Data'!$A$7:$A$366,Estimator!$B$4,'Climate Data'!$B$7:$B$366,C257)</f>
        <v>0.20666666666666667</v>
      </c>
      <c r="I257" s="87">
        <f>SUMIFS('Climate Data'!$H$7:$H$366,'Climate Data'!$A$7:$A$366,Estimator!$B$4,'Climate Data'!$B$7:$B$366,C257)</f>
        <v>6.806451612903226</v>
      </c>
      <c r="J257" s="86">
        <f>SUMIFS('Wind Proxy'!$H$8:$H$19,'Wind Proxy'!$A$8:$A$19,Estimator!$B$4,'Wind Proxy'!$B$8:$B$19,C257)</f>
        <v>0</v>
      </c>
    </row>
    <row r="258" spans="1:10" ht="14.4">
      <c r="A258" s="84">
        <v>45909</v>
      </c>
      <c r="B258" s="85">
        <v>2025</v>
      </c>
      <c r="C258" s="85">
        <v>9</v>
      </c>
      <c r="D258" s="85" t="s">
        <v>73</v>
      </c>
      <c r="E258" s="85">
        <v>9</v>
      </c>
      <c r="F258" s="85">
        <v>2</v>
      </c>
      <c r="G258" s="85">
        <f>--(F258&lt;=Estimator!$B$7)</f>
        <v>1</v>
      </c>
      <c r="H258" s="86">
        <f>SUMIFS('Climate Data'!$G$7:$G$366,'Climate Data'!$A$7:$A$366,Estimator!$B$4,'Climate Data'!$B$7:$B$366,C258)</f>
        <v>0.20666666666666667</v>
      </c>
      <c r="I258" s="87">
        <f>SUMIFS('Climate Data'!$H$7:$H$366,'Climate Data'!$A$7:$A$366,Estimator!$B$4,'Climate Data'!$B$7:$B$366,C258)</f>
        <v>6.806451612903226</v>
      </c>
      <c r="J258" s="86">
        <f>SUMIFS('Wind Proxy'!$H$8:$H$19,'Wind Proxy'!$A$8:$A$19,Estimator!$B$4,'Wind Proxy'!$B$8:$B$19,C258)</f>
        <v>0</v>
      </c>
    </row>
    <row r="259" spans="1:10" ht="14.4">
      <c r="A259" s="84">
        <v>45910</v>
      </c>
      <c r="B259" s="85">
        <v>2025</v>
      </c>
      <c r="C259" s="85">
        <v>9</v>
      </c>
      <c r="D259" s="85" t="s">
        <v>73</v>
      </c>
      <c r="E259" s="85">
        <v>10</v>
      </c>
      <c r="F259" s="85">
        <v>3</v>
      </c>
      <c r="G259" s="85">
        <f>--(F259&lt;=Estimator!$B$7)</f>
        <v>1</v>
      </c>
      <c r="H259" s="86">
        <f>SUMIFS('Climate Data'!$G$7:$G$366,'Climate Data'!$A$7:$A$366,Estimator!$B$4,'Climate Data'!$B$7:$B$366,C259)</f>
        <v>0.20666666666666667</v>
      </c>
      <c r="I259" s="87">
        <f>SUMIFS('Climate Data'!$H$7:$H$366,'Climate Data'!$A$7:$A$366,Estimator!$B$4,'Climate Data'!$B$7:$B$366,C259)</f>
        <v>6.806451612903226</v>
      </c>
      <c r="J259" s="86">
        <f>SUMIFS('Wind Proxy'!$H$8:$H$19,'Wind Proxy'!$A$8:$A$19,Estimator!$B$4,'Wind Proxy'!$B$8:$B$19,C259)</f>
        <v>0</v>
      </c>
    </row>
    <row r="260" spans="1:10" ht="14.4">
      <c r="A260" s="84">
        <v>45911</v>
      </c>
      <c r="B260" s="85">
        <v>2025</v>
      </c>
      <c r="C260" s="85">
        <v>9</v>
      </c>
      <c r="D260" s="85" t="s">
        <v>73</v>
      </c>
      <c r="E260" s="85">
        <v>11</v>
      </c>
      <c r="F260" s="85">
        <v>4</v>
      </c>
      <c r="G260" s="85">
        <f>--(F260&lt;=Estimator!$B$7)</f>
        <v>1</v>
      </c>
      <c r="H260" s="86">
        <f>SUMIFS('Climate Data'!$G$7:$G$366,'Climate Data'!$A$7:$A$366,Estimator!$B$4,'Climate Data'!$B$7:$B$366,C260)</f>
        <v>0.20666666666666667</v>
      </c>
      <c r="I260" s="87">
        <f>SUMIFS('Climate Data'!$H$7:$H$366,'Climate Data'!$A$7:$A$366,Estimator!$B$4,'Climate Data'!$B$7:$B$366,C260)</f>
        <v>6.806451612903226</v>
      </c>
      <c r="J260" s="86">
        <f>SUMIFS('Wind Proxy'!$H$8:$H$19,'Wind Proxy'!$A$8:$A$19,Estimator!$B$4,'Wind Proxy'!$B$8:$B$19,C260)</f>
        <v>0</v>
      </c>
    </row>
    <row r="261" spans="1:10" ht="14.4">
      <c r="A261" s="84">
        <v>45912</v>
      </c>
      <c r="B261" s="85">
        <v>2025</v>
      </c>
      <c r="C261" s="85">
        <v>9</v>
      </c>
      <c r="D261" s="85" t="s">
        <v>73</v>
      </c>
      <c r="E261" s="85">
        <v>12</v>
      </c>
      <c r="F261" s="85">
        <v>5</v>
      </c>
      <c r="G261" s="85">
        <f>--(F261&lt;=Estimator!$B$7)</f>
        <v>1</v>
      </c>
      <c r="H261" s="86">
        <f>SUMIFS('Climate Data'!$G$7:$G$366,'Climate Data'!$A$7:$A$366,Estimator!$B$4,'Climate Data'!$B$7:$B$366,C261)</f>
        <v>0.20666666666666667</v>
      </c>
      <c r="I261" s="87">
        <f>SUMIFS('Climate Data'!$H$7:$H$366,'Climate Data'!$A$7:$A$366,Estimator!$B$4,'Climate Data'!$B$7:$B$366,C261)</f>
        <v>6.806451612903226</v>
      </c>
      <c r="J261" s="86">
        <f>SUMIFS('Wind Proxy'!$H$8:$H$19,'Wind Proxy'!$A$8:$A$19,Estimator!$B$4,'Wind Proxy'!$B$8:$B$19,C261)</f>
        <v>0</v>
      </c>
    </row>
    <row r="262" spans="1:10" ht="14.4">
      <c r="A262" s="84">
        <v>45913</v>
      </c>
      <c r="B262" s="85">
        <v>2025</v>
      </c>
      <c r="C262" s="85">
        <v>9</v>
      </c>
      <c r="D262" s="85" t="s">
        <v>73</v>
      </c>
      <c r="E262" s="85">
        <v>13</v>
      </c>
      <c r="F262" s="85">
        <v>6</v>
      </c>
      <c r="G262" s="85">
        <f>--(F262&lt;=Estimator!$B$7)</f>
        <v>0</v>
      </c>
      <c r="H262" s="86">
        <f>SUMIFS('Climate Data'!$G$7:$G$366,'Climate Data'!$A$7:$A$366,Estimator!$B$4,'Climate Data'!$B$7:$B$366,C262)</f>
        <v>0.20666666666666667</v>
      </c>
      <c r="I262" s="87">
        <f>SUMIFS('Climate Data'!$H$7:$H$366,'Climate Data'!$A$7:$A$366,Estimator!$B$4,'Climate Data'!$B$7:$B$366,C262)</f>
        <v>6.806451612903226</v>
      </c>
      <c r="J262" s="86">
        <f>SUMIFS('Wind Proxy'!$H$8:$H$19,'Wind Proxy'!$A$8:$A$19,Estimator!$B$4,'Wind Proxy'!$B$8:$B$19,C262)</f>
        <v>0</v>
      </c>
    </row>
    <row r="263" spans="1:10" ht="14.4">
      <c r="A263" s="84">
        <v>45914</v>
      </c>
      <c r="B263" s="85">
        <v>2025</v>
      </c>
      <c r="C263" s="85">
        <v>9</v>
      </c>
      <c r="D263" s="85" t="s">
        <v>73</v>
      </c>
      <c r="E263" s="85">
        <v>14</v>
      </c>
      <c r="F263" s="85">
        <v>7</v>
      </c>
      <c r="G263" s="85">
        <f>--(F263&lt;=Estimator!$B$7)</f>
        <v>0</v>
      </c>
      <c r="H263" s="86">
        <f>SUMIFS('Climate Data'!$G$7:$G$366,'Climate Data'!$A$7:$A$366,Estimator!$B$4,'Climate Data'!$B$7:$B$366,C263)</f>
        <v>0.20666666666666667</v>
      </c>
      <c r="I263" s="87">
        <f>SUMIFS('Climate Data'!$H$7:$H$366,'Climate Data'!$A$7:$A$366,Estimator!$B$4,'Climate Data'!$B$7:$B$366,C263)</f>
        <v>6.806451612903226</v>
      </c>
      <c r="J263" s="86">
        <f>SUMIFS('Wind Proxy'!$H$8:$H$19,'Wind Proxy'!$A$8:$A$19,Estimator!$B$4,'Wind Proxy'!$B$8:$B$19,C263)</f>
        <v>0</v>
      </c>
    </row>
    <row r="264" spans="1:10" ht="14.4">
      <c r="A264" s="84">
        <v>45915</v>
      </c>
      <c r="B264" s="85">
        <v>2025</v>
      </c>
      <c r="C264" s="85">
        <v>9</v>
      </c>
      <c r="D264" s="85" t="s">
        <v>73</v>
      </c>
      <c r="E264" s="85">
        <v>15</v>
      </c>
      <c r="F264" s="85">
        <v>1</v>
      </c>
      <c r="G264" s="85">
        <f>--(F264&lt;=Estimator!$B$7)</f>
        <v>1</v>
      </c>
      <c r="H264" s="86">
        <f>SUMIFS('Climate Data'!$G$7:$G$366,'Climate Data'!$A$7:$A$366,Estimator!$B$4,'Climate Data'!$B$7:$B$366,C264)</f>
        <v>0.20666666666666667</v>
      </c>
      <c r="I264" s="87">
        <f>SUMIFS('Climate Data'!$H$7:$H$366,'Climate Data'!$A$7:$A$366,Estimator!$B$4,'Climate Data'!$B$7:$B$366,C264)</f>
        <v>6.806451612903226</v>
      </c>
      <c r="J264" s="86">
        <f>SUMIFS('Wind Proxy'!$H$8:$H$19,'Wind Proxy'!$A$8:$A$19,Estimator!$B$4,'Wind Proxy'!$B$8:$B$19,C264)</f>
        <v>0</v>
      </c>
    </row>
    <row r="265" spans="1:10" ht="14.4">
      <c r="A265" s="84">
        <v>45916</v>
      </c>
      <c r="B265" s="85">
        <v>2025</v>
      </c>
      <c r="C265" s="85">
        <v>9</v>
      </c>
      <c r="D265" s="85" t="s">
        <v>73</v>
      </c>
      <c r="E265" s="85">
        <v>16</v>
      </c>
      <c r="F265" s="85">
        <v>2</v>
      </c>
      <c r="G265" s="85">
        <f>--(F265&lt;=Estimator!$B$7)</f>
        <v>1</v>
      </c>
      <c r="H265" s="86">
        <f>SUMIFS('Climate Data'!$G$7:$G$366,'Climate Data'!$A$7:$A$366,Estimator!$B$4,'Climate Data'!$B$7:$B$366,C265)</f>
        <v>0.20666666666666667</v>
      </c>
      <c r="I265" s="87">
        <f>SUMIFS('Climate Data'!$H$7:$H$366,'Climate Data'!$A$7:$A$366,Estimator!$B$4,'Climate Data'!$B$7:$B$366,C265)</f>
        <v>6.806451612903226</v>
      </c>
      <c r="J265" s="86">
        <f>SUMIFS('Wind Proxy'!$H$8:$H$19,'Wind Proxy'!$A$8:$A$19,Estimator!$B$4,'Wind Proxy'!$B$8:$B$19,C265)</f>
        <v>0</v>
      </c>
    </row>
    <row r="266" spans="1:10" ht="14.4">
      <c r="A266" s="84">
        <v>45917</v>
      </c>
      <c r="B266" s="85">
        <v>2025</v>
      </c>
      <c r="C266" s="85">
        <v>9</v>
      </c>
      <c r="D266" s="85" t="s">
        <v>73</v>
      </c>
      <c r="E266" s="85">
        <v>17</v>
      </c>
      <c r="F266" s="85">
        <v>3</v>
      </c>
      <c r="G266" s="85">
        <f>--(F266&lt;=Estimator!$B$7)</f>
        <v>1</v>
      </c>
      <c r="H266" s="86">
        <f>SUMIFS('Climate Data'!$G$7:$G$366,'Climate Data'!$A$7:$A$366,Estimator!$B$4,'Climate Data'!$B$7:$B$366,C266)</f>
        <v>0.20666666666666667</v>
      </c>
      <c r="I266" s="87">
        <f>SUMIFS('Climate Data'!$H$7:$H$366,'Climate Data'!$A$7:$A$366,Estimator!$B$4,'Climate Data'!$B$7:$B$366,C266)</f>
        <v>6.806451612903226</v>
      </c>
      <c r="J266" s="86">
        <f>SUMIFS('Wind Proxy'!$H$8:$H$19,'Wind Proxy'!$A$8:$A$19,Estimator!$B$4,'Wind Proxy'!$B$8:$B$19,C266)</f>
        <v>0</v>
      </c>
    </row>
    <row r="267" spans="1:10" ht="14.4">
      <c r="A267" s="84">
        <v>45918</v>
      </c>
      <c r="B267" s="85">
        <v>2025</v>
      </c>
      <c r="C267" s="85">
        <v>9</v>
      </c>
      <c r="D267" s="85" t="s">
        <v>73</v>
      </c>
      <c r="E267" s="85">
        <v>18</v>
      </c>
      <c r="F267" s="85">
        <v>4</v>
      </c>
      <c r="G267" s="85">
        <f>--(F267&lt;=Estimator!$B$7)</f>
        <v>1</v>
      </c>
      <c r="H267" s="86">
        <f>SUMIFS('Climate Data'!$G$7:$G$366,'Climate Data'!$A$7:$A$366,Estimator!$B$4,'Climate Data'!$B$7:$B$366,C267)</f>
        <v>0.20666666666666667</v>
      </c>
      <c r="I267" s="87">
        <f>SUMIFS('Climate Data'!$H$7:$H$366,'Climate Data'!$A$7:$A$366,Estimator!$B$4,'Climate Data'!$B$7:$B$366,C267)</f>
        <v>6.806451612903226</v>
      </c>
      <c r="J267" s="86">
        <f>SUMIFS('Wind Proxy'!$H$8:$H$19,'Wind Proxy'!$A$8:$A$19,Estimator!$B$4,'Wind Proxy'!$B$8:$B$19,C267)</f>
        <v>0</v>
      </c>
    </row>
    <row r="268" spans="1:10" ht="14.4">
      <c r="A268" s="84">
        <v>45919</v>
      </c>
      <c r="B268" s="85">
        <v>2025</v>
      </c>
      <c r="C268" s="85">
        <v>9</v>
      </c>
      <c r="D268" s="85" t="s">
        <v>73</v>
      </c>
      <c r="E268" s="85">
        <v>19</v>
      </c>
      <c r="F268" s="85">
        <v>5</v>
      </c>
      <c r="G268" s="85">
        <f>--(F268&lt;=Estimator!$B$7)</f>
        <v>1</v>
      </c>
      <c r="H268" s="86">
        <f>SUMIFS('Climate Data'!$G$7:$G$366,'Climate Data'!$A$7:$A$366,Estimator!$B$4,'Climate Data'!$B$7:$B$366,C268)</f>
        <v>0.20666666666666667</v>
      </c>
      <c r="I268" s="87">
        <f>SUMIFS('Climate Data'!$H$7:$H$366,'Climate Data'!$A$7:$A$366,Estimator!$B$4,'Climate Data'!$B$7:$B$366,C268)</f>
        <v>6.806451612903226</v>
      </c>
      <c r="J268" s="86">
        <f>SUMIFS('Wind Proxy'!$H$8:$H$19,'Wind Proxy'!$A$8:$A$19,Estimator!$B$4,'Wind Proxy'!$B$8:$B$19,C268)</f>
        <v>0</v>
      </c>
    </row>
    <row r="269" spans="1:10" ht="14.4">
      <c r="A269" s="84">
        <v>45920</v>
      </c>
      <c r="B269" s="85">
        <v>2025</v>
      </c>
      <c r="C269" s="85">
        <v>9</v>
      </c>
      <c r="D269" s="85" t="s">
        <v>73</v>
      </c>
      <c r="E269" s="85">
        <v>20</v>
      </c>
      <c r="F269" s="85">
        <v>6</v>
      </c>
      <c r="G269" s="85">
        <f>--(F269&lt;=Estimator!$B$7)</f>
        <v>0</v>
      </c>
      <c r="H269" s="86">
        <f>SUMIFS('Climate Data'!$G$7:$G$366,'Climate Data'!$A$7:$A$366,Estimator!$B$4,'Climate Data'!$B$7:$B$366,C269)</f>
        <v>0.20666666666666667</v>
      </c>
      <c r="I269" s="87">
        <f>SUMIFS('Climate Data'!$H$7:$H$366,'Climate Data'!$A$7:$A$366,Estimator!$B$4,'Climate Data'!$B$7:$B$366,C269)</f>
        <v>6.806451612903226</v>
      </c>
      <c r="J269" s="86">
        <f>SUMIFS('Wind Proxy'!$H$8:$H$19,'Wind Proxy'!$A$8:$A$19,Estimator!$B$4,'Wind Proxy'!$B$8:$B$19,C269)</f>
        <v>0</v>
      </c>
    </row>
    <row r="270" spans="1:10" ht="14.4">
      <c r="A270" s="84">
        <v>45921</v>
      </c>
      <c r="B270" s="85">
        <v>2025</v>
      </c>
      <c r="C270" s="85">
        <v>9</v>
      </c>
      <c r="D270" s="85" t="s">
        <v>73</v>
      </c>
      <c r="E270" s="85">
        <v>21</v>
      </c>
      <c r="F270" s="85">
        <v>7</v>
      </c>
      <c r="G270" s="85">
        <f>--(F270&lt;=Estimator!$B$7)</f>
        <v>0</v>
      </c>
      <c r="H270" s="86">
        <f>SUMIFS('Climate Data'!$G$7:$G$366,'Climate Data'!$A$7:$A$366,Estimator!$B$4,'Climate Data'!$B$7:$B$366,C270)</f>
        <v>0.20666666666666667</v>
      </c>
      <c r="I270" s="87">
        <f>SUMIFS('Climate Data'!$H$7:$H$366,'Climate Data'!$A$7:$A$366,Estimator!$B$4,'Climate Data'!$B$7:$B$366,C270)</f>
        <v>6.806451612903226</v>
      </c>
      <c r="J270" s="86">
        <f>SUMIFS('Wind Proxy'!$H$8:$H$19,'Wind Proxy'!$A$8:$A$19,Estimator!$B$4,'Wind Proxy'!$B$8:$B$19,C270)</f>
        <v>0</v>
      </c>
    </row>
    <row r="271" spans="1:10" ht="14.4">
      <c r="A271" s="84">
        <v>45922</v>
      </c>
      <c r="B271" s="85">
        <v>2025</v>
      </c>
      <c r="C271" s="85">
        <v>9</v>
      </c>
      <c r="D271" s="85" t="s">
        <v>73</v>
      </c>
      <c r="E271" s="85">
        <v>22</v>
      </c>
      <c r="F271" s="85">
        <v>1</v>
      </c>
      <c r="G271" s="85">
        <f>--(F271&lt;=Estimator!$B$7)</f>
        <v>1</v>
      </c>
      <c r="H271" s="86">
        <f>SUMIFS('Climate Data'!$G$7:$G$366,'Climate Data'!$A$7:$A$366,Estimator!$B$4,'Climate Data'!$B$7:$B$366,C271)</f>
        <v>0.20666666666666667</v>
      </c>
      <c r="I271" s="87">
        <f>SUMIFS('Climate Data'!$H$7:$H$366,'Climate Data'!$A$7:$A$366,Estimator!$B$4,'Climate Data'!$B$7:$B$366,C271)</f>
        <v>6.806451612903226</v>
      </c>
      <c r="J271" s="86">
        <f>SUMIFS('Wind Proxy'!$H$8:$H$19,'Wind Proxy'!$A$8:$A$19,Estimator!$B$4,'Wind Proxy'!$B$8:$B$19,C271)</f>
        <v>0</v>
      </c>
    </row>
    <row r="272" spans="1:10" ht="14.4">
      <c r="A272" s="84">
        <v>45923</v>
      </c>
      <c r="B272" s="85">
        <v>2025</v>
      </c>
      <c r="C272" s="85">
        <v>9</v>
      </c>
      <c r="D272" s="85" t="s">
        <v>73</v>
      </c>
      <c r="E272" s="85">
        <v>23</v>
      </c>
      <c r="F272" s="85">
        <v>2</v>
      </c>
      <c r="G272" s="85">
        <f>--(F272&lt;=Estimator!$B$7)</f>
        <v>1</v>
      </c>
      <c r="H272" s="86">
        <f>SUMIFS('Climate Data'!$G$7:$G$366,'Climate Data'!$A$7:$A$366,Estimator!$B$4,'Climate Data'!$B$7:$B$366,C272)</f>
        <v>0.20666666666666667</v>
      </c>
      <c r="I272" s="87">
        <f>SUMIFS('Climate Data'!$H$7:$H$366,'Climate Data'!$A$7:$A$366,Estimator!$B$4,'Climate Data'!$B$7:$B$366,C272)</f>
        <v>6.806451612903226</v>
      </c>
      <c r="J272" s="86">
        <f>SUMIFS('Wind Proxy'!$H$8:$H$19,'Wind Proxy'!$A$8:$A$19,Estimator!$B$4,'Wind Proxy'!$B$8:$B$19,C272)</f>
        <v>0</v>
      </c>
    </row>
    <row r="273" spans="1:10" ht="14.4">
      <c r="A273" s="84">
        <v>45924</v>
      </c>
      <c r="B273" s="85">
        <v>2025</v>
      </c>
      <c r="C273" s="85">
        <v>9</v>
      </c>
      <c r="D273" s="85" t="s">
        <v>73</v>
      </c>
      <c r="E273" s="85">
        <v>24</v>
      </c>
      <c r="F273" s="85">
        <v>3</v>
      </c>
      <c r="G273" s="85">
        <f>--(F273&lt;=Estimator!$B$7)</f>
        <v>1</v>
      </c>
      <c r="H273" s="86">
        <f>SUMIFS('Climate Data'!$G$7:$G$366,'Climate Data'!$A$7:$A$366,Estimator!$B$4,'Climate Data'!$B$7:$B$366,C273)</f>
        <v>0.20666666666666667</v>
      </c>
      <c r="I273" s="87">
        <f>SUMIFS('Climate Data'!$H$7:$H$366,'Climate Data'!$A$7:$A$366,Estimator!$B$4,'Climate Data'!$B$7:$B$366,C273)</f>
        <v>6.806451612903226</v>
      </c>
      <c r="J273" s="86">
        <f>SUMIFS('Wind Proxy'!$H$8:$H$19,'Wind Proxy'!$A$8:$A$19,Estimator!$B$4,'Wind Proxy'!$B$8:$B$19,C273)</f>
        <v>0</v>
      </c>
    </row>
    <row r="274" spans="1:10" ht="14.4">
      <c r="A274" s="84">
        <v>45925</v>
      </c>
      <c r="B274" s="85">
        <v>2025</v>
      </c>
      <c r="C274" s="85">
        <v>9</v>
      </c>
      <c r="D274" s="85" t="s">
        <v>73</v>
      </c>
      <c r="E274" s="85">
        <v>25</v>
      </c>
      <c r="F274" s="85">
        <v>4</v>
      </c>
      <c r="G274" s="85">
        <f>--(F274&lt;=Estimator!$B$7)</f>
        <v>1</v>
      </c>
      <c r="H274" s="86">
        <f>SUMIFS('Climate Data'!$G$7:$G$366,'Climate Data'!$A$7:$A$366,Estimator!$B$4,'Climate Data'!$B$7:$B$366,C274)</f>
        <v>0.20666666666666667</v>
      </c>
      <c r="I274" s="87">
        <f>SUMIFS('Climate Data'!$H$7:$H$366,'Climate Data'!$A$7:$A$366,Estimator!$B$4,'Climate Data'!$B$7:$B$366,C274)</f>
        <v>6.806451612903226</v>
      </c>
      <c r="J274" s="86">
        <f>SUMIFS('Wind Proxy'!$H$8:$H$19,'Wind Proxy'!$A$8:$A$19,Estimator!$B$4,'Wind Proxy'!$B$8:$B$19,C274)</f>
        <v>0</v>
      </c>
    </row>
    <row r="275" spans="1:10" ht="14.4">
      <c r="A275" s="84">
        <v>45926</v>
      </c>
      <c r="B275" s="85">
        <v>2025</v>
      </c>
      <c r="C275" s="85">
        <v>9</v>
      </c>
      <c r="D275" s="85" t="s">
        <v>73</v>
      </c>
      <c r="E275" s="85">
        <v>26</v>
      </c>
      <c r="F275" s="85">
        <v>5</v>
      </c>
      <c r="G275" s="85">
        <f>--(F275&lt;=Estimator!$B$7)</f>
        <v>1</v>
      </c>
      <c r="H275" s="86">
        <f>SUMIFS('Climate Data'!$G$7:$G$366,'Climate Data'!$A$7:$A$366,Estimator!$B$4,'Climate Data'!$B$7:$B$366,C275)</f>
        <v>0.20666666666666667</v>
      </c>
      <c r="I275" s="87">
        <f>SUMIFS('Climate Data'!$H$7:$H$366,'Climate Data'!$A$7:$A$366,Estimator!$B$4,'Climate Data'!$B$7:$B$366,C275)</f>
        <v>6.806451612903226</v>
      </c>
      <c r="J275" s="86">
        <f>SUMIFS('Wind Proxy'!$H$8:$H$19,'Wind Proxy'!$A$8:$A$19,Estimator!$B$4,'Wind Proxy'!$B$8:$B$19,C275)</f>
        <v>0</v>
      </c>
    </row>
    <row r="276" spans="1:10" ht="14.4">
      <c r="A276" s="84">
        <v>45927</v>
      </c>
      <c r="B276" s="85">
        <v>2025</v>
      </c>
      <c r="C276" s="85">
        <v>9</v>
      </c>
      <c r="D276" s="85" t="s">
        <v>73</v>
      </c>
      <c r="E276" s="85">
        <v>27</v>
      </c>
      <c r="F276" s="85">
        <v>6</v>
      </c>
      <c r="G276" s="85">
        <f>--(F276&lt;=Estimator!$B$7)</f>
        <v>0</v>
      </c>
      <c r="H276" s="86">
        <f>SUMIFS('Climate Data'!$G$7:$G$366,'Climate Data'!$A$7:$A$366,Estimator!$B$4,'Climate Data'!$B$7:$B$366,C276)</f>
        <v>0.20666666666666667</v>
      </c>
      <c r="I276" s="87">
        <f>SUMIFS('Climate Data'!$H$7:$H$366,'Climate Data'!$A$7:$A$366,Estimator!$B$4,'Climate Data'!$B$7:$B$366,C276)</f>
        <v>6.806451612903226</v>
      </c>
      <c r="J276" s="86">
        <f>SUMIFS('Wind Proxy'!$H$8:$H$19,'Wind Proxy'!$A$8:$A$19,Estimator!$B$4,'Wind Proxy'!$B$8:$B$19,C276)</f>
        <v>0</v>
      </c>
    </row>
    <row r="277" spans="1:10" ht="14.4">
      <c r="A277" s="84">
        <v>45928</v>
      </c>
      <c r="B277" s="85">
        <v>2025</v>
      </c>
      <c r="C277" s="85">
        <v>9</v>
      </c>
      <c r="D277" s="85" t="s">
        <v>73</v>
      </c>
      <c r="E277" s="85">
        <v>28</v>
      </c>
      <c r="F277" s="85">
        <v>7</v>
      </c>
      <c r="G277" s="85">
        <f>--(F277&lt;=Estimator!$B$7)</f>
        <v>0</v>
      </c>
      <c r="H277" s="86">
        <f>SUMIFS('Climate Data'!$G$7:$G$366,'Climate Data'!$A$7:$A$366,Estimator!$B$4,'Climate Data'!$B$7:$B$366,C277)</f>
        <v>0.20666666666666667</v>
      </c>
      <c r="I277" s="87">
        <f>SUMIFS('Climate Data'!$H$7:$H$366,'Climate Data'!$A$7:$A$366,Estimator!$B$4,'Climate Data'!$B$7:$B$366,C277)</f>
        <v>6.806451612903226</v>
      </c>
      <c r="J277" s="86">
        <f>SUMIFS('Wind Proxy'!$H$8:$H$19,'Wind Proxy'!$A$8:$A$19,Estimator!$B$4,'Wind Proxy'!$B$8:$B$19,C277)</f>
        <v>0</v>
      </c>
    </row>
    <row r="278" spans="1:10" ht="14.4">
      <c r="A278" s="84">
        <v>45929</v>
      </c>
      <c r="B278" s="85">
        <v>2025</v>
      </c>
      <c r="C278" s="85">
        <v>9</v>
      </c>
      <c r="D278" s="85" t="s">
        <v>73</v>
      </c>
      <c r="E278" s="85">
        <v>29</v>
      </c>
      <c r="F278" s="85">
        <v>1</v>
      </c>
      <c r="G278" s="85">
        <f>--(F278&lt;=Estimator!$B$7)</f>
        <v>1</v>
      </c>
      <c r="H278" s="86">
        <f>SUMIFS('Climate Data'!$G$7:$G$366,'Climate Data'!$A$7:$A$366,Estimator!$B$4,'Climate Data'!$B$7:$B$366,C278)</f>
        <v>0.20666666666666667</v>
      </c>
      <c r="I278" s="87">
        <f>SUMIFS('Climate Data'!$H$7:$H$366,'Climate Data'!$A$7:$A$366,Estimator!$B$4,'Climate Data'!$B$7:$B$366,C278)</f>
        <v>6.806451612903226</v>
      </c>
      <c r="J278" s="86">
        <f>SUMIFS('Wind Proxy'!$H$8:$H$19,'Wind Proxy'!$A$8:$A$19,Estimator!$B$4,'Wind Proxy'!$B$8:$B$19,C278)</f>
        <v>0</v>
      </c>
    </row>
    <row r="279" spans="1:10" ht="14.4">
      <c r="A279" s="84">
        <v>45930</v>
      </c>
      <c r="B279" s="85">
        <v>2025</v>
      </c>
      <c r="C279" s="85">
        <v>9</v>
      </c>
      <c r="D279" s="85" t="s">
        <v>73</v>
      </c>
      <c r="E279" s="85">
        <v>30</v>
      </c>
      <c r="F279" s="85">
        <v>2</v>
      </c>
      <c r="G279" s="85">
        <f>--(F279&lt;=Estimator!$B$7)</f>
        <v>1</v>
      </c>
      <c r="H279" s="86">
        <f>SUMIFS('Climate Data'!$G$7:$G$366,'Climate Data'!$A$7:$A$366,Estimator!$B$4,'Climate Data'!$B$7:$B$366,C279)</f>
        <v>0.20666666666666667</v>
      </c>
      <c r="I279" s="87">
        <f>SUMIFS('Climate Data'!$H$7:$H$366,'Climate Data'!$A$7:$A$366,Estimator!$B$4,'Climate Data'!$B$7:$B$366,C279)</f>
        <v>6.806451612903226</v>
      </c>
      <c r="J279" s="86">
        <f>SUMIFS('Wind Proxy'!$H$8:$H$19,'Wind Proxy'!$A$8:$A$19,Estimator!$B$4,'Wind Proxy'!$B$8:$B$19,C279)</f>
        <v>0</v>
      </c>
    </row>
    <row r="280" spans="1:10" ht="14.4">
      <c r="A280" s="84">
        <v>45931</v>
      </c>
      <c r="B280" s="85">
        <v>2025</v>
      </c>
      <c r="C280" s="85">
        <v>10</v>
      </c>
      <c r="D280" s="85" t="s">
        <v>75</v>
      </c>
      <c r="E280" s="85">
        <v>1</v>
      </c>
      <c r="F280" s="85">
        <v>3</v>
      </c>
      <c r="G280" s="85">
        <f>--(F280&lt;=Estimator!$B$7)</f>
        <v>1</v>
      </c>
      <c r="H280" s="86">
        <f>SUMIFS('Climate Data'!$G$7:$G$366,'Climate Data'!$A$7:$A$366,Estimator!$B$4,'Climate Data'!$B$7:$B$366,C280)</f>
        <v>0.23225806451612904</v>
      </c>
      <c r="I280" s="87">
        <f>SUMIFS('Climate Data'!$H$7:$H$366,'Climate Data'!$A$7:$A$366,Estimator!$B$4,'Climate Data'!$B$7:$B$366,C280)</f>
        <v>6.8194444444444446</v>
      </c>
      <c r="J280" s="86">
        <f>SUMIFS('Wind Proxy'!$H$8:$H$19,'Wind Proxy'!$A$8:$A$19,Estimator!$B$4,'Wind Proxy'!$B$8:$B$19,C280)</f>
        <v>0</v>
      </c>
    </row>
    <row r="281" spans="1:10" ht="14.4">
      <c r="A281" s="84">
        <v>45932</v>
      </c>
      <c r="B281" s="85">
        <v>2025</v>
      </c>
      <c r="C281" s="85">
        <v>10</v>
      </c>
      <c r="D281" s="85" t="s">
        <v>75</v>
      </c>
      <c r="E281" s="85">
        <v>2</v>
      </c>
      <c r="F281" s="85">
        <v>4</v>
      </c>
      <c r="G281" s="85">
        <f>--(F281&lt;=Estimator!$B$7)</f>
        <v>1</v>
      </c>
      <c r="H281" s="86">
        <f>SUMIFS('Climate Data'!$G$7:$G$366,'Climate Data'!$A$7:$A$366,Estimator!$B$4,'Climate Data'!$B$7:$B$366,C281)</f>
        <v>0.23225806451612904</v>
      </c>
      <c r="I281" s="87">
        <f>SUMIFS('Climate Data'!$H$7:$H$366,'Climate Data'!$A$7:$A$366,Estimator!$B$4,'Climate Data'!$B$7:$B$366,C281)</f>
        <v>6.8194444444444446</v>
      </c>
      <c r="J281" s="86">
        <f>SUMIFS('Wind Proxy'!$H$8:$H$19,'Wind Proxy'!$A$8:$A$19,Estimator!$B$4,'Wind Proxy'!$B$8:$B$19,C281)</f>
        <v>0</v>
      </c>
    </row>
    <row r="282" spans="1:10" ht="14.4">
      <c r="A282" s="84">
        <v>45933</v>
      </c>
      <c r="B282" s="85">
        <v>2025</v>
      </c>
      <c r="C282" s="85">
        <v>10</v>
      </c>
      <c r="D282" s="85" t="s">
        <v>75</v>
      </c>
      <c r="E282" s="85">
        <v>3</v>
      </c>
      <c r="F282" s="85">
        <v>5</v>
      </c>
      <c r="G282" s="85">
        <f>--(F282&lt;=Estimator!$B$7)</f>
        <v>1</v>
      </c>
      <c r="H282" s="86">
        <f>SUMIFS('Climate Data'!$G$7:$G$366,'Climate Data'!$A$7:$A$366,Estimator!$B$4,'Climate Data'!$B$7:$B$366,C282)</f>
        <v>0.23225806451612904</v>
      </c>
      <c r="I282" s="87">
        <f>SUMIFS('Climate Data'!$H$7:$H$366,'Climate Data'!$A$7:$A$366,Estimator!$B$4,'Climate Data'!$B$7:$B$366,C282)</f>
        <v>6.8194444444444446</v>
      </c>
      <c r="J282" s="86">
        <f>SUMIFS('Wind Proxy'!$H$8:$H$19,'Wind Proxy'!$A$8:$A$19,Estimator!$B$4,'Wind Proxy'!$B$8:$B$19,C282)</f>
        <v>0</v>
      </c>
    </row>
    <row r="283" spans="1:10" ht="14.4">
      <c r="A283" s="84">
        <v>45934</v>
      </c>
      <c r="B283" s="85">
        <v>2025</v>
      </c>
      <c r="C283" s="85">
        <v>10</v>
      </c>
      <c r="D283" s="85" t="s">
        <v>75</v>
      </c>
      <c r="E283" s="85">
        <v>4</v>
      </c>
      <c r="F283" s="85">
        <v>6</v>
      </c>
      <c r="G283" s="85">
        <f>--(F283&lt;=Estimator!$B$7)</f>
        <v>0</v>
      </c>
      <c r="H283" s="86">
        <f>SUMIFS('Climate Data'!$G$7:$G$366,'Climate Data'!$A$7:$A$366,Estimator!$B$4,'Climate Data'!$B$7:$B$366,C283)</f>
        <v>0.23225806451612904</v>
      </c>
      <c r="I283" s="87">
        <f>SUMIFS('Climate Data'!$H$7:$H$366,'Climate Data'!$A$7:$A$366,Estimator!$B$4,'Climate Data'!$B$7:$B$366,C283)</f>
        <v>6.8194444444444446</v>
      </c>
      <c r="J283" s="86">
        <f>SUMIFS('Wind Proxy'!$H$8:$H$19,'Wind Proxy'!$A$8:$A$19,Estimator!$B$4,'Wind Proxy'!$B$8:$B$19,C283)</f>
        <v>0</v>
      </c>
    </row>
    <row r="284" spans="1:10" ht="14.4">
      <c r="A284" s="84">
        <v>45935</v>
      </c>
      <c r="B284" s="85">
        <v>2025</v>
      </c>
      <c r="C284" s="85">
        <v>10</v>
      </c>
      <c r="D284" s="85" t="s">
        <v>75</v>
      </c>
      <c r="E284" s="85">
        <v>5</v>
      </c>
      <c r="F284" s="85">
        <v>7</v>
      </c>
      <c r="G284" s="85">
        <f>--(F284&lt;=Estimator!$B$7)</f>
        <v>0</v>
      </c>
      <c r="H284" s="86">
        <f>SUMIFS('Climate Data'!$G$7:$G$366,'Climate Data'!$A$7:$A$366,Estimator!$B$4,'Climate Data'!$B$7:$B$366,C284)</f>
        <v>0.23225806451612904</v>
      </c>
      <c r="I284" s="87">
        <f>SUMIFS('Climate Data'!$H$7:$H$366,'Climate Data'!$A$7:$A$366,Estimator!$B$4,'Climate Data'!$B$7:$B$366,C284)</f>
        <v>6.8194444444444446</v>
      </c>
      <c r="J284" s="86">
        <f>SUMIFS('Wind Proxy'!$H$8:$H$19,'Wind Proxy'!$A$8:$A$19,Estimator!$B$4,'Wind Proxy'!$B$8:$B$19,C284)</f>
        <v>0</v>
      </c>
    </row>
    <row r="285" spans="1:10" ht="14.4">
      <c r="A285" s="84">
        <v>45936</v>
      </c>
      <c r="B285" s="85">
        <v>2025</v>
      </c>
      <c r="C285" s="85">
        <v>10</v>
      </c>
      <c r="D285" s="85" t="s">
        <v>75</v>
      </c>
      <c r="E285" s="85">
        <v>6</v>
      </c>
      <c r="F285" s="85">
        <v>1</v>
      </c>
      <c r="G285" s="85">
        <f>--(F285&lt;=Estimator!$B$7)</f>
        <v>1</v>
      </c>
      <c r="H285" s="86">
        <f>SUMIFS('Climate Data'!$G$7:$G$366,'Climate Data'!$A$7:$A$366,Estimator!$B$4,'Climate Data'!$B$7:$B$366,C285)</f>
        <v>0.23225806451612904</v>
      </c>
      <c r="I285" s="87">
        <f>SUMIFS('Climate Data'!$H$7:$H$366,'Climate Data'!$A$7:$A$366,Estimator!$B$4,'Climate Data'!$B$7:$B$366,C285)</f>
        <v>6.8194444444444446</v>
      </c>
      <c r="J285" s="86">
        <f>SUMIFS('Wind Proxy'!$H$8:$H$19,'Wind Proxy'!$A$8:$A$19,Estimator!$B$4,'Wind Proxy'!$B$8:$B$19,C285)</f>
        <v>0</v>
      </c>
    </row>
    <row r="286" spans="1:10" ht="14.4">
      <c r="A286" s="84">
        <v>45937</v>
      </c>
      <c r="B286" s="85">
        <v>2025</v>
      </c>
      <c r="C286" s="85">
        <v>10</v>
      </c>
      <c r="D286" s="85" t="s">
        <v>75</v>
      </c>
      <c r="E286" s="85">
        <v>7</v>
      </c>
      <c r="F286" s="85">
        <v>2</v>
      </c>
      <c r="G286" s="85">
        <f>--(F286&lt;=Estimator!$B$7)</f>
        <v>1</v>
      </c>
      <c r="H286" s="86">
        <f>SUMIFS('Climate Data'!$G$7:$G$366,'Climate Data'!$A$7:$A$366,Estimator!$B$4,'Climate Data'!$B$7:$B$366,C286)</f>
        <v>0.23225806451612904</v>
      </c>
      <c r="I286" s="87">
        <f>SUMIFS('Climate Data'!$H$7:$H$366,'Climate Data'!$A$7:$A$366,Estimator!$B$4,'Climate Data'!$B$7:$B$366,C286)</f>
        <v>6.8194444444444446</v>
      </c>
      <c r="J286" s="86">
        <f>SUMIFS('Wind Proxy'!$H$8:$H$19,'Wind Proxy'!$A$8:$A$19,Estimator!$B$4,'Wind Proxy'!$B$8:$B$19,C286)</f>
        <v>0</v>
      </c>
    </row>
    <row r="287" spans="1:10" ht="14.4">
      <c r="A287" s="84">
        <v>45938</v>
      </c>
      <c r="B287" s="85">
        <v>2025</v>
      </c>
      <c r="C287" s="85">
        <v>10</v>
      </c>
      <c r="D287" s="85" t="s">
        <v>75</v>
      </c>
      <c r="E287" s="85">
        <v>8</v>
      </c>
      <c r="F287" s="85">
        <v>3</v>
      </c>
      <c r="G287" s="85">
        <f>--(F287&lt;=Estimator!$B$7)</f>
        <v>1</v>
      </c>
      <c r="H287" s="86">
        <f>SUMIFS('Climate Data'!$G$7:$G$366,'Climate Data'!$A$7:$A$366,Estimator!$B$4,'Climate Data'!$B$7:$B$366,C287)</f>
        <v>0.23225806451612904</v>
      </c>
      <c r="I287" s="87">
        <f>SUMIFS('Climate Data'!$H$7:$H$366,'Climate Data'!$A$7:$A$366,Estimator!$B$4,'Climate Data'!$B$7:$B$366,C287)</f>
        <v>6.8194444444444446</v>
      </c>
      <c r="J287" s="86">
        <f>SUMIFS('Wind Proxy'!$H$8:$H$19,'Wind Proxy'!$A$8:$A$19,Estimator!$B$4,'Wind Proxy'!$B$8:$B$19,C287)</f>
        <v>0</v>
      </c>
    </row>
    <row r="288" spans="1:10" ht="14.4">
      <c r="A288" s="84">
        <v>45939</v>
      </c>
      <c r="B288" s="85">
        <v>2025</v>
      </c>
      <c r="C288" s="85">
        <v>10</v>
      </c>
      <c r="D288" s="85" t="s">
        <v>75</v>
      </c>
      <c r="E288" s="85">
        <v>9</v>
      </c>
      <c r="F288" s="85">
        <v>4</v>
      </c>
      <c r="G288" s="85">
        <f>--(F288&lt;=Estimator!$B$7)</f>
        <v>1</v>
      </c>
      <c r="H288" s="86">
        <f>SUMIFS('Climate Data'!$G$7:$G$366,'Climate Data'!$A$7:$A$366,Estimator!$B$4,'Climate Data'!$B$7:$B$366,C288)</f>
        <v>0.23225806451612904</v>
      </c>
      <c r="I288" s="87">
        <f>SUMIFS('Climate Data'!$H$7:$H$366,'Climate Data'!$A$7:$A$366,Estimator!$B$4,'Climate Data'!$B$7:$B$366,C288)</f>
        <v>6.8194444444444446</v>
      </c>
      <c r="J288" s="86">
        <f>SUMIFS('Wind Proxy'!$H$8:$H$19,'Wind Proxy'!$A$8:$A$19,Estimator!$B$4,'Wind Proxy'!$B$8:$B$19,C288)</f>
        <v>0</v>
      </c>
    </row>
    <row r="289" spans="1:10" ht="14.4">
      <c r="A289" s="84">
        <v>45940</v>
      </c>
      <c r="B289" s="85">
        <v>2025</v>
      </c>
      <c r="C289" s="85">
        <v>10</v>
      </c>
      <c r="D289" s="85" t="s">
        <v>75</v>
      </c>
      <c r="E289" s="85">
        <v>10</v>
      </c>
      <c r="F289" s="85">
        <v>5</v>
      </c>
      <c r="G289" s="85">
        <f>--(F289&lt;=Estimator!$B$7)</f>
        <v>1</v>
      </c>
      <c r="H289" s="86">
        <f>SUMIFS('Climate Data'!$G$7:$G$366,'Climate Data'!$A$7:$A$366,Estimator!$B$4,'Climate Data'!$B$7:$B$366,C289)</f>
        <v>0.23225806451612904</v>
      </c>
      <c r="I289" s="87">
        <f>SUMIFS('Climate Data'!$H$7:$H$366,'Climate Data'!$A$7:$A$366,Estimator!$B$4,'Climate Data'!$B$7:$B$366,C289)</f>
        <v>6.8194444444444446</v>
      </c>
      <c r="J289" s="86">
        <f>SUMIFS('Wind Proxy'!$H$8:$H$19,'Wind Proxy'!$A$8:$A$19,Estimator!$B$4,'Wind Proxy'!$B$8:$B$19,C289)</f>
        <v>0</v>
      </c>
    </row>
    <row r="290" spans="1:10" ht="14.4">
      <c r="A290" s="84">
        <v>45941</v>
      </c>
      <c r="B290" s="85">
        <v>2025</v>
      </c>
      <c r="C290" s="85">
        <v>10</v>
      </c>
      <c r="D290" s="85" t="s">
        <v>75</v>
      </c>
      <c r="E290" s="85">
        <v>11</v>
      </c>
      <c r="F290" s="85">
        <v>6</v>
      </c>
      <c r="G290" s="85">
        <f>--(F290&lt;=Estimator!$B$7)</f>
        <v>0</v>
      </c>
      <c r="H290" s="86">
        <f>SUMIFS('Climate Data'!$G$7:$G$366,'Climate Data'!$A$7:$A$366,Estimator!$B$4,'Climate Data'!$B$7:$B$366,C290)</f>
        <v>0.23225806451612904</v>
      </c>
      <c r="I290" s="87">
        <f>SUMIFS('Climate Data'!$H$7:$H$366,'Climate Data'!$A$7:$A$366,Estimator!$B$4,'Climate Data'!$B$7:$B$366,C290)</f>
        <v>6.8194444444444446</v>
      </c>
      <c r="J290" s="86">
        <f>SUMIFS('Wind Proxy'!$H$8:$H$19,'Wind Proxy'!$A$8:$A$19,Estimator!$B$4,'Wind Proxy'!$B$8:$B$19,C290)</f>
        <v>0</v>
      </c>
    </row>
    <row r="291" spans="1:10" ht="14.4">
      <c r="A291" s="84">
        <v>45942</v>
      </c>
      <c r="B291" s="85">
        <v>2025</v>
      </c>
      <c r="C291" s="85">
        <v>10</v>
      </c>
      <c r="D291" s="85" t="s">
        <v>75</v>
      </c>
      <c r="E291" s="85">
        <v>12</v>
      </c>
      <c r="F291" s="85">
        <v>7</v>
      </c>
      <c r="G291" s="85">
        <f>--(F291&lt;=Estimator!$B$7)</f>
        <v>0</v>
      </c>
      <c r="H291" s="86">
        <f>SUMIFS('Climate Data'!$G$7:$G$366,'Climate Data'!$A$7:$A$366,Estimator!$B$4,'Climate Data'!$B$7:$B$366,C291)</f>
        <v>0.23225806451612904</v>
      </c>
      <c r="I291" s="87">
        <f>SUMIFS('Climate Data'!$H$7:$H$366,'Climate Data'!$A$7:$A$366,Estimator!$B$4,'Climate Data'!$B$7:$B$366,C291)</f>
        <v>6.8194444444444446</v>
      </c>
      <c r="J291" s="86">
        <f>SUMIFS('Wind Proxy'!$H$8:$H$19,'Wind Proxy'!$A$8:$A$19,Estimator!$B$4,'Wind Proxy'!$B$8:$B$19,C291)</f>
        <v>0</v>
      </c>
    </row>
    <row r="292" spans="1:10" ht="14.4">
      <c r="A292" s="84">
        <v>45943</v>
      </c>
      <c r="B292" s="85">
        <v>2025</v>
      </c>
      <c r="C292" s="85">
        <v>10</v>
      </c>
      <c r="D292" s="85" t="s">
        <v>75</v>
      </c>
      <c r="E292" s="85">
        <v>13</v>
      </c>
      <c r="F292" s="85">
        <v>1</v>
      </c>
      <c r="G292" s="85">
        <f>--(F292&lt;=Estimator!$B$7)</f>
        <v>1</v>
      </c>
      <c r="H292" s="86">
        <f>SUMIFS('Climate Data'!$G$7:$G$366,'Climate Data'!$A$7:$A$366,Estimator!$B$4,'Climate Data'!$B$7:$B$366,C292)</f>
        <v>0.23225806451612904</v>
      </c>
      <c r="I292" s="87">
        <f>SUMIFS('Climate Data'!$H$7:$H$366,'Climate Data'!$A$7:$A$366,Estimator!$B$4,'Climate Data'!$B$7:$B$366,C292)</f>
        <v>6.8194444444444446</v>
      </c>
      <c r="J292" s="86">
        <f>SUMIFS('Wind Proxy'!$H$8:$H$19,'Wind Proxy'!$A$8:$A$19,Estimator!$B$4,'Wind Proxy'!$B$8:$B$19,C292)</f>
        <v>0</v>
      </c>
    </row>
    <row r="293" spans="1:10" ht="14.4">
      <c r="A293" s="84">
        <v>45944</v>
      </c>
      <c r="B293" s="85">
        <v>2025</v>
      </c>
      <c r="C293" s="85">
        <v>10</v>
      </c>
      <c r="D293" s="85" t="s">
        <v>75</v>
      </c>
      <c r="E293" s="85">
        <v>14</v>
      </c>
      <c r="F293" s="85">
        <v>2</v>
      </c>
      <c r="G293" s="85">
        <f>--(F293&lt;=Estimator!$B$7)</f>
        <v>1</v>
      </c>
      <c r="H293" s="86">
        <f>SUMIFS('Climate Data'!$G$7:$G$366,'Climate Data'!$A$7:$A$366,Estimator!$B$4,'Climate Data'!$B$7:$B$366,C293)</f>
        <v>0.23225806451612904</v>
      </c>
      <c r="I293" s="87">
        <f>SUMIFS('Climate Data'!$H$7:$H$366,'Climate Data'!$A$7:$A$366,Estimator!$B$4,'Climate Data'!$B$7:$B$366,C293)</f>
        <v>6.8194444444444446</v>
      </c>
      <c r="J293" s="86">
        <f>SUMIFS('Wind Proxy'!$H$8:$H$19,'Wind Proxy'!$A$8:$A$19,Estimator!$B$4,'Wind Proxy'!$B$8:$B$19,C293)</f>
        <v>0</v>
      </c>
    </row>
    <row r="294" spans="1:10" ht="14.4">
      <c r="A294" s="84">
        <v>45945</v>
      </c>
      <c r="B294" s="85">
        <v>2025</v>
      </c>
      <c r="C294" s="85">
        <v>10</v>
      </c>
      <c r="D294" s="85" t="s">
        <v>75</v>
      </c>
      <c r="E294" s="85">
        <v>15</v>
      </c>
      <c r="F294" s="85">
        <v>3</v>
      </c>
      <c r="G294" s="85">
        <f>--(F294&lt;=Estimator!$B$7)</f>
        <v>1</v>
      </c>
      <c r="H294" s="86">
        <f>SUMIFS('Climate Data'!$G$7:$G$366,'Climate Data'!$A$7:$A$366,Estimator!$B$4,'Climate Data'!$B$7:$B$366,C294)</f>
        <v>0.23225806451612904</v>
      </c>
      <c r="I294" s="87">
        <f>SUMIFS('Climate Data'!$H$7:$H$366,'Climate Data'!$A$7:$A$366,Estimator!$B$4,'Climate Data'!$B$7:$B$366,C294)</f>
        <v>6.8194444444444446</v>
      </c>
      <c r="J294" s="86">
        <f>SUMIFS('Wind Proxy'!$H$8:$H$19,'Wind Proxy'!$A$8:$A$19,Estimator!$B$4,'Wind Proxy'!$B$8:$B$19,C294)</f>
        <v>0</v>
      </c>
    </row>
    <row r="295" spans="1:10" ht="14.4">
      <c r="A295" s="84">
        <v>45946</v>
      </c>
      <c r="B295" s="85">
        <v>2025</v>
      </c>
      <c r="C295" s="85">
        <v>10</v>
      </c>
      <c r="D295" s="85" t="s">
        <v>75</v>
      </c>
      <c r="E295" s="85">
        <v>16</v>
      </c>
      <c r="F295" s="85">
        <v>4</v>
      </c>
      <c r="G295" s="85">
        <f>--(F295&lt;=Estimator!$B$7)</f>
        <v>1</v>
      </c>
      <c r="H295" s="86">
        <f>SUMIFS('Climate Data'!$G$7:$G$366,'Climate Data'!$A$7:$A$366,Estimator!$B$4,'Climate Data'!$B$7:$B$366,C295)</f>
        <v>0.23225806451612904</v>
      </c>
      <c r="I295" s="87">
        <f>SUMIFS('Climate Data'!$H$7:$H$366,'Climate Data'!$A$7:$A$366,Estimator!$B$4,'Climate Data'!$B$7:$B$366,C295)</f>
        <v>6.8194444444444446</v>
      </c>
      <c r="J295" s="86">
        <f>SUMIFS('Wind Proxy'!$H$8:$H$19,'Wind Proxy'!$A$8:$A$19,Estimator!$B$4,'Wind Proxy'!$B$8:$B$19,C295)</f>
        <v>0</v>
      </c>
    </row>
    <row r="296" spans="1:10" ht="14.4">
      <c r="A296" s="84">
        <v>45947</v>
      </c>
      <c r="B296" s="85">
        <v>2025</v>
      </c>
      <c r="C296" s="85">
        <v>10</v>
      </c>
      <c r="D296" s="85" t="s">
        <v>75</v>
      </c>
      <c r="E296" s="85">
        <v>17</v>
      </c>
      <c r="F296" s="85">
        <v>5</v>
      </c>
      <c r="G296" s="85">
        <f>--(F296&lt;=Estimator!$B$7)</f>
        <v>1</v>
      </c>
      <c r="H296" s="86">
        <f>SUMIFS('Climate Data'!$G$7:$G$366,'Climate Data'!$A$7:$A$366,Estimator!$B$4,'Climate Data'!$B$7:$B$366,C296)</f>
        <v>0.23225806451612904</v>
      </c>
      <c r="I296" s="87">
        <f>SUMIFS('Climate Data'!$H$7:$H$366,'Climate Data'!$A$7:$A$366,Estimator!$B$4,'Climate Data'!$B$7:$B$366,C296)</f>
        <v>6.8194444444444446</v>
      </c>
      <c r="J296" s="86">
        <f>SUMIFS('Wind Proxy'!$H$8:$H$19,'Wind Proxy'!$A$8:$A$19,Estimator!$B$4,'Wind Proxy'!$B$8:$B$19,C296)</f>
        <v>0</v>
      </c>
    </row>
    <row r="297" spans="1:10" ht="14.4">
      <c r="A297" s="84">
        <v>45948</v>
      </c>
      <c r="B297" s="85">
        <v>2025</v>
      </c>
      <c r="C297" s="85">
        <v>10</v>
      </c>
      <c r="D297" s="85" t="s">
        <v>75</v>
      </c>
      <c r="E297" s="85">
        <v>18</v>
      </c>
      <c r="F297" s="85">
        <v>6</v>
      </c>
      <c r="G297" s="85">
        <f>--(F297&lt;=Estimator!$B$7)</f>
        <v>0</v>
      </c>
      <c r="H297" s="86">
        <f>SUMIFS('Climate Data'!$G$7:$G$366,'Climate Data'!$A$7:$A$366,Estimator!$B$4,'Climate Data'!$B$7:$B$366,C297)</f>
        <v>0.23225806451612904</v>
      </c>
      <c r="I297" s="87">
        <f>SUMIFS('Climate Data'!$H$7:$H$366,'Climate Data'!$A$7:$A$366,Estimator!$B$4,'Climate Data'!$B$7:$B$366,C297)</f>
        <v>6.8194444444444446</v>
      </c>
      <c r="J297" s="86">
        <f>SUMIFS('Wind Proxy'!$H$8:$H$19,'Wind Proxy'!$A$8:$A$19,Estimator!$B$4,'Wind Proxy'!$B$8:$B$19,C297)</f>
        <v>0</v>
      </c>
    </row>
    <row r="298" spans="1:10" ht="14.4">
      <c r="A298" s="84">
        <v>45949</v>
      </c>
      <c r="B298" s="85">
        <v>2025</v>
      </c>
      <c r="C298" s="85">
        <v>10</v>
      </c>
      <c r="D298" s="85" t="s">
        <v>75</v>
      </c>
      <c r="E298" s="85">
        <v>19</v>
      </c>
      <c r="F298" s="85">
        <v>7</v>
      </c>
      <c r="G298" s="85">
        <f>--(F298&lt;=Estimator!$B$7)</f>
        <v>0</v>
      </c>
      <c r="H298" s="86">
        <f>SUMIFS('Climate Data'!$G$7:$G$366,'Climate Data'!$A$7:$A$366,Estimator!$B$4,'Climate Data'!$B$7:$B$366,C298)</f>
        <v>0.23225806451612904</v>
      </c>
      <c r="I298" s="87">
        <f>SUMIFS('Climate Data'!$H$7:$H$366,'Climate Data'!$A$7:$A$366,Estimator!$B$4,'Climate Data'!$B$7:$B$366,C298)</f>
        <v>6.8194444444444446</v>
      </c>
      <c r="J298" s="86">
        <f>SUMIFS('Wind Proxy'!$H$8:$H$19,'Wind Proxy'!$A$8:$A$19,Estimator!$B$4,'Wind Proxy'!$B$8:$B$19,C298)</f>
        <v>0</v>
      </c>
    </row>
    <row r="299" spans="1:10" ht="14.4">
      <c r="A299" s="84">
        <v>45950</v>
      </c>
      <c r="B299" s="85">
        <v>2025</v>
      </c>
      <c r="C299" s="85">
        <v>10</v>
      </c>
      <c r="D299" s="85" t="s">
        <v>75</v>
      </c>
      <c r="E299" s="85">
        <v>20</v>
      </c>
      <c r="F299" s="85">
        <v>1</v>
      </c>
      <c r="G299" s="85">
        <f>--(F299&lt;=Estimator!$B$7)</f>
        <v>1</v>
      </c>
      <c r="H299" s="86">
        <f>SUMIFS('Climate Data'!$G$7:$G$366,'Climate Data'!$A$7:$A$366,Estimator!$B$4,'Climate Data'!$B$7:$B$366,C299)</f>
        <v>0.23225806451612904</v>
      </c>
      <c r="I299" s="87">
        <f>SUMIFS('Climate Data'!$H$7:$H$366,'Climate Data'!$A$7:$A$366,Estimator!$B$4,'Climate Data'!$B$7:$B$366,C299)</f>
        <v>6.8194444444444446</v>
      </c>
      <c r="J299" s="86">
        <f>SUMIFS('Wind Proxy'!$H$8:$H$19,'Wind Proxy'!$A$8:$A$19,Estimator!$B$4,'Wind Proxy'!$B$8:$B$19,C299)</f>
        <v>0</v>
      </c>
    </row>
    <row r="300" spans="1:10" ht="14.4">
      <c r="A300" s="84">
        <v>45951</v>
      </c>
      <c r="B300" s="85">
        <v>2025</v>
      </c>
      <c r="C300" s="85">
        <v>10</v>
      </c>
      <c r="D300" s="85" t="s">
        <v>75</v>
      </c>
      <c r="E300" s="85">
        <v>21</v>
      </c>
      <c r="F300" s="85">
        <v>2</v>
      </c>
      <c r="G300" s="85">
        <f>--(F300&lt;=Estimator!$B$7)</f>
        <v>1</v>
      </c>
      <c r="H300" s="86">
        <f>SUMIFS('Climate Data'!$G$7:$G$366,'Climate Data'!$A$7:$A$366,Estimator!$B$4,'Climate Data'!$B$7:$B$366,C300)</f>
        <v>0.23225806451612904</v>
      </c>
      <c r="I300" s="87">
        <f>SUMIFS('Climate Data'!$H$7:$H$366,'Climate Data'!$A$7:$A$366,Estimator!$B$4,'Climate Data'!$B$7:$B$366,C300)</f>
        <v>6.8194444444444446</v>
      </c>
      <c r="J300" s="86">
        <f>SUMIFS('Wind Proxy'!$H$8:$H$19,'Wind Proxy'!$A$8:$A$19,Estimator!$B$4,'Wind Proxy'!$B$8:$B$19,C300)</f>
        <v>0</v>
      </c>
    </row>
    <row r="301" spans="1:10" ht="14.4">
      <c r="A301" s="84">
        <v>45952</v>
      </c>
      <c r="B301" s="85">
        <v>2025</v>
      </c>
      <c r="C301" s="85">
        <v>10</v>
      </c>
      <c r="D301" s="85" t="s">
        <v>75</v>
      </c>
      <c r="E301" s="85">
        <v>22</v>
      </c>
      <c r="F301" s="85">
        <v>3</v>
      </c>
      <c r="G301" s="85">
        <f>--(F301&lt;=Estimator!$B$7)</f>
        <v>1</v>
      </c>
      <c r="H301" s="86">
        <f>SUMIFS('Climate Data'!$G$7:$G$366,'Climate Data'!$A$7:$A$366,Estimator!$B$4,'Climate Data'!$B$7:$B$366,C301)</f>
        <v>0.23225806451612904</v>
      </c>
      <c r="I301" s="87">
        <f>SUMIFS('Climate Data'!$H$7:$H$366,'Climate Data'!$A$7:$A$366,Estimator!$B$4,'Climate Data'!$B$7:$B$366,C301)</f>
        <v>6.8194444444444446</v>
      </c>
      <c r="J301" s="86">
        <f>SUMIFS('Wind Proxy'!$H$8:$H$19,'Wind Proxy'!$A$8:$A$19,Estimator!$B$4,'Wind Proxy'!$B$8:$B$19,C301)</f>
        <v>0</v>
      </c>
    </row>
    <row r="302" spans="1:10" ht="14.4">
      <c r="A302" s="84">
        <v>45953</v>
      </c>
      <c r="B302" s="85">
        <v>2025</v>
      </c>
      <c r="C302" s="85">
        <v>10</v>
      </c>
      <c r="D302" s="85" t="s">
        <v>75</v>
      </c>
      <c r="E302" s="85">
        <v>23</v>
      </c>
      <c r="F302" s="85">
        <v>4</v>
      </c>
      <c r="G302" s="85">
        <f>--(F302&lt;=Estimator!$B$7)</f>
        <v>1</v>
      </c>
      <c r="H302" s="86">
        <f>SUMIFS('Climate Data'!$G$7:$G$366,'Climate Data'!$A$7:$A$366,Estimator!$B$4,'Climate Data'!$B$7:$B$366,C302)</f>
        <v>0.23225806451612904</v>
      </c>
      <c r="I302" s="87">
        <f>SUMIFS('Climate Data'!$H$7:$H$366,'Climate Data'!$A$7:$A$366,Estimator!$B$4,'Climate Data'!$B$7:$B$366,C302)</f>
        <v>6.8194444444444446</v>
      </c>
      <c r="J302" s="86">
        <f>SUMIFS('Wind Proxy'!$H$8:$H$19,'Wind Proxy'!$A$8:$A$19,Estimator!$B$4,'Wind Proxy'!$B$8:$B$19,C302)</f>
        <v>0</v>
      </c>
    </row>
    <row r="303" spans="1:10" ht="14.4">
      <c r="A303" s="84">
        <v>45954</v>
      </c>
      <c r="B303" s="85">
        <v>2025</v>
      </c>
      <c r="C303" s="85">
        <v>10</v>
      </c>
      <c r="D303" s="85" t="s">
        <v>75</v>
      </c>
      <c r="E303" s="85">
        <v>24</v>
      </c>
      <c r="F303" s="85">
        <v>5</v>
      </c>
      <c r="G303" s="85">
        <f>--(F303&lt;=Estimator!$B$7)</f>
        <v>1</v>
      </c>
      <c r="H303" s="86">
        <f>SUMIFS('Climate Data'!$G$7:$G$366,'Climate Data'!$A$7:$A$366,Estimator!$B$4,'Climate Data'!$B$7:$B$366,C303)</f>
        <v>0.23225806451612904</v>
      </c>
      <c r="I303" s="87">
        <f>SUMIFS('Climate Data'!$H$7:$H$366,'Climate Data'!$A$7:$A$366,Estimator!$B$4,'Climate Data'!$B$7:$B$366,C303)</f>
        <v>6.8194444444444446</v>
      </c>
      <c r="J303" s="86">
        <f>SUMIFS('Wind Proxy'!$H$8:$H$19,'Wind Proxy'!$A$8:$A$19,Estimator!$B$4,'Wind Proxy'!$B$8:$B$19,C303)</f>
        <v>0</v>
      </c>
    </row>
    <row r="304" spans="1:10" ht="14.4">
      <c r="A304" s="84">
        <v>45955</v>
      </c>
      <c r="B304" s="85">
        <v>2025</v>
      </c>
      <c r="C304" s="85">
        <v>10</v>
      </c>
      <c r="D304" s="85" t="s">
        <v>75</v>
      </c>
      <c r="E304" s="85">
        <v>25</v>
      </c>
      <c r="F304" s="85">
        <v>6</v>
      </c>
      <c r="G304" s="85">
        <f>--(F304&lt;=Estimator!$B$7)</f>
        <v>0</v>
      </c>
      <c r="H304" s="86">
        <f>SUMIFS('Climate Data'!$G$7:$G$366,'Climate Data'!$A$7:$A$366,Estimator!$B$4,'Climate Data'!$B$7:$B$366,C304)</f>
        <v>0.23225806451612904</v>
      </c>
      <c r="I304" s="87">
        <f>SUMIFS('Climate Data'!$H$7:$H$366,'Climate Data'!$A$7:$A$366,Estimator!$B$4,'Climate Data'!$B$7:$B$366,C304)</f>
        <v>6.8194444444444446</v>
      </c>
      <c r="J304" s="86">
        <f>SUMIFS('Wind Proxy'!$H$8:$H$19,'Wind Proxy'!$A$8:$A$19,Estimator!$B$4,'Wind Proxy'!$B$8:$B$19,C304)</f>
        <v>0</v>
      </c>
    </row>
    <row r="305" spans="1:10" ht="14.4">
      <c r="A305" s="84">
        <v>45956</v>
      </c>
      <c r="B305" s="85">
        <v>2025</v>
      </c>
      <c r="C305" s="85">
        <v>10</v>
      </c>
      <c r="D305" s="85" t="s">
        <v>75</v>
      </c>
      <c r="E305" s="85">
        <v>26</v>
      </c>
      <c r="F305" s="85">
        <v>7</v>
      </c>
      <c r="G305" s="85">
        <f>--(F305&lt;=Estimator!$B$7)</f>
        <v>0</v>
      </c>
      <c r="H305" s="86">
        <f>SUMIFS('Climate Data'!$G$7:$G$366,'Climate Data'!$A$7:$A$366,Estimator!$B$4,'Climate Data'!$B$7:$B$366,C305)</f>
        <v>0.23225806451612904</v>
      </c>
      <c r="I305" s="87">
        <f>SUMIFS('Climate Data'!$H$7:$H$366,'Climate Data'!$A$7:$A$366,Estimator!$B$4,'Climate Data'!$B$7:$B$366,C305)</f>
        <v>6.8194444444444446</v>
      </c>
      <c r="J305" s="86">
        <f>SUMIFS('Wind Proxy'!$H$8:$H$19,'Wind Proxy'!$A$8:$A$19,Estimator!$B$4,'Wind Proxy'!$B$8:$B$19,C305)</f>
        <v>0</v>
      </c>
    </row>
    <row r="306" spans="1:10" ht="14.4">
      <c r="A306" s="84">
        <v>45957</v>
      </c>
      <c r="B306" s="85">
        <v>2025</v>
      </c>
      <c r="C306" s="85">
        <v>10</v>
      </c>
      <c r="D306" s="85" t="s">
        <v>75</v>
      </c>
      <c r="E306" s="85">
        <v>27</v>
      </c>
      <c r="F306" s="85">
        <v>1</v>
      </c>
      <c r="G306" s="85">
        <f>--(F306&lt;=Estimator!$B$7)</f>
        <v>1</v>
      </c>
      <c r="H306" s="86">
        <f>SUMIFS('Climate Data'!$G$7:$G$366,'Climate Data'!$A$7:$A$366,Estimator!$B$4,'Climate Data'!$B$7:$B$366,C306)</f>
        <v>0.23225806451612904</v>
      </c>
      <c r="I306" s="87">
        <f>SUMIFS('Climate Data'!$H$7:$H$366,'Climate Data'!$A$7:$A$366,Estimator!$B$4,'Climate Data'!$B$7:$B$366,C306)</f>
        <v>6.8194444444444446</v>
      </c>
      <c r="J306" s="86">
        <f>SUMIFS('Wind Proxy'!$H$8:$H$19,'Wind Proxy'!$A$8:$A$19,Estimator!$B$4,'Wind Proxy'!$B$8:$B$19,C306)</f>
        <v>0</v>
      </c>
    </row>
    <row r="307" spans="1:10" ht="14.4">
      <c r="A307" s="84">
        <v>45958</v>
      </c>
      <c r="B307" s="85">
        <v>2025</v>
      </c>
      <c r="C307" s="85">
        <v>10</v>
      </c>
      <c r="D307" s="85" t="s">
        <v>75</v>
      </c>
      <c r="E307" s="85">
        <v>28</v>
      </c>
      <c r="F307" s="85">
        <v>2</v>
      </c>
      <c r="G307" s="85">
        <f>--(F307&lt;=Estimator!$B$7)</f>
        <v>1</v>
      </c>
      <c r="H307" s="86">
        <f>SUMIFS('Climate Data'!$G$7:$G$366,'Climate Data'!$A$7:$A$366,Estimator!$B$4,'Climate Data'!$B$7:$B$366,C307)</f>
        <v>0.23225806451612904</v>
      </c>
      <c r="I307" s="87">
        <f>SUMIFS('Climate Data'!$H$7:$H$366,'Climate Data'!$A$7:$A$366,Estimator!$B$4,'Climate Data'!$B$7:$B$366,C307)</f>
        <v>6.8194444444444446</v>
      </c>
      <c r="J307" s="86">
        <f>SUMIFS('Wind Proxy'!$H$8:$H$19,'Wind Proxy'!$A$8:$A$19,Estimator!$B$4,'Wind Proxy'!$B$8:$B$19,C307)</f>
        <v>0</v>
      </c>
    </row>
    <row r="308" spans="1:10" ht="14.4">
      <c r="A308" s="84">
        <v>45959</v>
      </c>
      <c r="B308" s="85">
        <v>2025</v>
      </c>
      <c r="C308" s="85">
        <v>10</v>
      </c>
      <c r="D308" s="85" t="s">
        <v>75</v>
      </c>
      <c r="E308" s="85">
        <v>29</v>
      </c>
      <c r="F308" s="85">
        <v>3</v>
      </c>
      <c r="G308" s="85">
        <f>--(F308&lt;=Estimator!$B$7)</f>
        <v>1</v>
      </c>
      <c r="H308" s="86">
        <f>SUMIFS('Climate Data'!$G$7:$G$366,'Climate Data'!$A$7:$A$366,Estimator!$B$4,'Climate Data'!$B$7:$B$366,C308)</f>
        <v>0.23225806451612904</v>
      </c>
      <c r="I308" s="87">
        <f>SUMIFS('Climate Data'!$H$7:$H$366,'Climate Data'!$A$7:$A$366,Estimator!$B$4,'Climate Data'!$B$7:$B$366,C308)</f>
        <v>6.8194444444444446</v>
      </c>
      <c r="J308" s="86">
        <f>SUMIFS('Wind Proxy'!$H$8:$H$19,'Wind Proxy'!$A$8:$A$19,Estimator!$B$4,'Wind Proxy'!$B$8:$B$19,C308)</f>
        <v>0</v>
      </c>
    </row>
    <row r="309" spans="1:10" ht="14.4">
      <c r="A309" s="84">
        <v>45960</v>
      </c>
      <c r="B309" s="85">
        <v>2025</v>
      </c>
      <c r="C309" s="85">
        <v>10</v>
      </c>
      <c r="D309" s="85" t="s">
        <v>75</v>
      </c>
      <c r="E309" s="85">
        <v>30</v>
      </c>
      <c r="F309" s="85">
        <v>4</v>
      </c>
      <c r="G309" s="85">
        <f>--(F309&lt;=Estimator!$B$7)</f>
        <v>1</v>
      </c>
      <c r="H309" s="86">
        <f>SUMIFS('Climate Data'!$G$7:$G$366,'Climate Data'!$A$7:$A$366,Estimator!$B$4,'Climate Data'!$B$7:$B$366,C309)</f>
        <v>0.23225806451612904</v>
      </c>
      <c r="I309" s="87">
        <f>SUMIFS('Climate Data'!$H$7:$H$366,'Climate Data'!$A$7:$A$366,Estimator!$B$4,'Climate Data'!$B$7:$B$366,C309)</f>
        <v>6.8194444444444446</v>
      </c>
      <c r="J309" s="86">
        <f>SUMIFS('Wind Proxy'!$H$8:$H$19,'Wind Proxy'!$A$8:$A$19,Estimator!$B$4,'Wind Proxy'!$B$8:$B$19,C309)</f>
        <v>0</v>
      </c>
    </row>
    <row r="310" spans="1:10" ht="14.4">
      <c r="A310" s="84">
        <v>45961</v>
      </c>
      <c r="B310" s="85">
        <v>2025</v>
      </c>
      <c r="C310" s="85">
        <v>10</v>
      </c>
      <c r="D310" s="85" t="s">
        <v>75</v>
      </c>
      <c r="E310" s="85">
        <v>31</v>
      </c>
      <c r="F310" s="85">
        <v>5</v>
      </c>
      <c r="G310" s="85">
        <f>--(F310&lt;=Estimator!$B$7)</f>
        <v>1</v>
      </c>
      <c r="H310" s="86">
        <f>SUMIFS('Climate Data'!$G$7:$G$366,'Climate Data'!$A$7:$A$366,Estimator!$B$4,'Climate Data'!$B$7:$B$366,C310)</f>
        <v>0.23225806451612904</v>
      </c>
      <c r="I310" s="87">
        <f>SUMIFS('Climate Data'!$H$7:$H$366,'Climate Data'!$A$7:$A$366,Estimator!$B$4,'Climate Data'!$B$7:$B$366,C310)</f>
        <v>6.8194444444444446</v>
      </c>
      <c r="J310" s="86">
        <f>SUMIFS('Wind Proxy'!$H$8:$H$19,'Wind Proxy'!$A$8:$A$19,Estimator!$B$4,'Wind Proxy'!$B$8:$B$19,C310)</f>
        <v>0</v>
      </c>
    </row>
    <row r="311" spans="1:10" ht="14.4">
      <c r="A311" s="84">
        <v>45962</v>
      </c>
      <c r="B311" s="85">
        <v>2025</v>
      </c>
      <c r="C311" s="85">
        <v>11</v>
      </c>
      <c r="D311" s="85" t="s">
        <v>76</v>
      </c>
      <c r="E311" s="85">
        <v>1</v>
      </c>
      <c r="F311" s="85">
        <v>6</v>
      </c>
      <c r="G311" s="85">
        <f>--(F311&lt;=Estimator!$B$7)</f>
        <v>0</v>
      </c>
      <c r="H311" s="86">
        <f>SUMIFS('Climate Data'!$G$7:$G$366,'Climate Data'!$A$7:$A$366,Estimator!$B$4,'Climate Data'!$B$7:$B$366,C311)</f>
        <v>0.23333333333333334</v>
      </c>
      <c r="I311" s="87">
        <f>SUMIFS('Climate Data'!$H$7:$H$366,'Climate Data'!$A$7:$A$366,Estimator!$B$4,'Climate Data'!$B$7:$B$366,C311)</f>
        <v>6.4428571428571431</v>
      </c>
      <c r="J311" s="86">
        <f>SUMIFS('Wind Proxy'!$H$8:$H$19,'Wind Proxy'!$A$8:$A$19,Estimator!$B$4,'Wind Proxy'!$B$8:$B$19,C311)</f>
        <v>0</v>
      </c>
    </row>
    <row r="312" spans="1:10" ht="14.4">
      <c r="A312" s="84">
        <v>45963</v>
      </c>
      <c r="B312" s="85">
        <v>2025</v>
      </c>
      <c r="C312" s="85">
        <v>11</v>
      </c>
      <c r="D312" s="85" t="s">
        <v>76</v>
      </c>
      <c r="E312" s="85">
        <v>2</v>
      </c>
      <c r="F312" s="85">
        <v>7</v>
      </c>
      <c r="G312" s="85">
        <f>--(F312&lt;=Estimator!$B$7)</f>
        <v>0</v>
      </c>
      <c r="H312" s="86">
        <f>SUMIFS('Climate Data'!$G$7:$G$366,'Climate Data'!$A$7:$A$366,Estimator!$B$4,'Climate Data'!$B$7:$B$366,C312)</f>
        <v>0.23333333333333334</v>
      </c>
      <c r="I312" s="87">
        <f>SUMIFS('Climate Data'!$H$7:$H$366,'Climate Data'!$A$7:$A$366,Estimator!$B$4,'Climate Data'!$B$7:$B$366,C312)</f>
        <v>6.4428571428571431</v>
      </c>
      <c r="J312" s="86">
        <f>SUMIFS('Wind Proxy'!$H$8:$H$19,'Wind Proxy'!$A$8:$A$19,Estimator!$B$4,'Wind Proxy'!$B$8:$B$19,C312)</f>
        <v>0</v>
      </c>
    </row>
    <row r="313" spans="1:10" ht="14.4">
      <c r="A313" s="84">
        <v>45964</v>
      </c>
      <c r="B313" s="85">
        <v>2025</v>
      </c>
      <c r="C313" s="85">
        <v>11</v>
      </c>
      <c r="D313" s="85" t="s">
        <v>76</v>
      </c>
      <c r="E313" s="85">
        <v>3</v>
      </c>
      <c r="F313" s="85">
        <v>1</v>
      </c>
      <c r="G313" s="85">
        <f>--(F313&lt;=Estimator!$B$7)</f>
        <v>1</v>
      </c>
      <c r="H313" s="86">
        <f>SUMIFS('Climate Data'!$G$7:$G$366,'Climate Data'!$A$7:$A$366,Estimator!$B$4,'Climate Data'!$B$7:$B$366,C313)</f>
        <v>0.23333333333333334</v>
      </c>
      <c r="I313" s="87">
        <f>SUMIFS('Climate Data'!$H$7:$H$366,'Climate Data'!$A$7:$A$366,Estimator!$B$4,'Climate Data'!$B$7:$B$366,C313)</f>
        <v>6.4428571428571431</v>
      </c>
      <c r="J313" s="86">
        <f>SUMIFS('Wind Proxy'!$H$8:$H$19,'Wind Proxy'!$A$8:$A$19,Estimator!$B$4,'Wind Proxy'!$B$8:$B$19,C313)</f>
        <v>0</v>
      </c>
    </row>
    <row r="314" spans="1:10" ht="14.4">
      <c r="A314" s="84">
        <v>45965</v>
      </c>
      <c r="B314" s="85">
        <v>2025</v>
      </c>
      <c r="C314" s="85">
        <v>11</v>
      </c>
      <c r="D314" s="85" t="s">
        <v>76</v>
      </c>
      <c r="E314" s="85">
        <v>4</v>
      </c>
      <c r="F314" s="85">
        <v>2</v>
      </c>
      <c r="G314" s="85">
        <f>--(F314&lt;=Estimator!$B$7)</f>
        <v>1</v>
      </c>
      <c r="H314" s="86">
        <f>SUMIFS('Climate Data'!$G$7:$G$366,'Climate Data'!$A$7:$A$366,Estimator!$B$4,'Climate Data'!$B$7:$B$366,C314)</f>
        <v>0.23333333333333334</v>
      </c>
      <c r="I314" s="87">
        <f>SUMIFS('Climate Data'!$H$7:$H$366,'Climate Data'!$A$7:$A$366,Estimator!$B$4,'Climate Data'!$B$7:$B$366,C314)</f>
        <v>6.4428571428571431</v>
      </c>
      <c r="J314" s="86">
        <f>SUMIFS('Wind Proxy'!$H$8:$H$19,'Wind Proxy'!$A$8:$A$19,Estimator!$B$4,'Wind Proxy'!$B$8:$B$19,C314)</f>
        <v>0</v>
      </c>
    </row>
    <row r="315" spans="1:10" ht="14.4">
      <c r="A315" s="84">
        <v>45966</v>
      </c>
      <c r="B315" s="85">
        <v>2025</v>
      </c>
      <c r="C315" s="85">
        <v>11</v>
      </c>
      <c r="D315" s="85" t="s">
        <v>76</v>
      </c>
      <c r="E315" s="85">
        <v>5</v>
      </c>
      <c r="F315" s="85">
        <v>3</v>
      </c>
      <c r="G315" s="85">
        <f>--(F315&lt;=Estimator!$B$7)</f>
        <v>1</v>
      </c>
      <c r="H315" s="86">
        <f>SUMIFS('Climate Data'!$G$7:$G$366,'Climate Data'!$A$7:$A$366,Estimator!$B$4,'Climate Data'!$B$7:$B$366,C315)</f>
        <v>0.23333333333333334</v>
      </c>
      <c r="I315" s="87">
        <f>SUMIFS('Climate Data'!$H$7:$H$366,'Climate Data'!$A$7:$A$366,Estimator!$B$4,'Climate Data'!$B$7:$B$366,C315)</f>
        <v>6.4428571428571431</v>
      </c>
      <c r="J315" s="86">
        <f>SUMIFS('Wind Proxy'!$H$8:$H$19,'Wind Proxy'!$A$8:$A$19,Estimator!$B$4,'Wind Proxy'!$B$8:$B$19,C315)</f>
        <v>0</v>
      </c>
    </row>
    <row r="316" spans="1:10" ht="14.4">
      <c r="A316" s="84">
        <v>45967</v>
      </c>
      <c r="B316" s="85">
        <v>2025</v>
      </c>
      <c r="C316" s="85">
        <v>11</v>
      </c>
      <c r="D316" s="85" t="s">
        <v>76</v>
      </c>
      <c r="E316" s="85">
        <v>6</v>
      </c>
      <c r="F316" s="85">
        <v>4</v>
      </c>
      <c r="G316" s="85">
        <f>--(F316&lt;=Estimator!$B$7)</f>
        <v>1</v>
      </c>
      <c r="H316" s="86">
        <f>SUMIFS('Climate Data'!$G$7:$G$366,'Climate Data'!$A$7:$A$366,Estimator!$B$4,'Climate Data'!$B$7:$B$366,C316)</f>
        <v>0.23333333333333334</v>
      </c>
      <c r="I316" s="87">
        <f>SUMIFS('Climate Data'!$H$7:$H$366,'Climate Data'!$A$7:$A$366,Estimator!$B$4,'Climate Data'!$B$7:$B$366,C316)</f>
        <v>6.4428571428571431</v>
      </c>
      <c r="J316" s="86">
        <f>SUMIFS('Wind Proxy'!$H$8:$H$19,'Wind Proxy'!$A$8:$A$19,Estimator!$B$4,'Wind Proxy'!$B$8:$B$19,C316)</f>
        <v>0</v>
      </c>
    </row>
    <row r="317" spans="1:10" ht="14.4">
      <c r="A317" s="84">
        <v>45968</v>
      </c>
      <c r="B317" s="85">
        <v>2025</v>
      </c>
      <c r="C317" s="85">
        <v>11</v>
      </c>
      <c r="D317" s="85" t="s">
        <v>76</v>
      </c>
      <c r="E317" s="85">
        <v>7</v>
      </c>
      <c r="F317" s="85">
        <v>5</v>
      </c>
      <c r="G317" s="85">
        <f>--(F317&lt;=Estimator!$B$7)</f>
        <v>1</v>
      </c>
      <c r="H317" s="86">
        <f>SUMIFS('Climate Data'!$G$7:$G$366,'Climate Data'!$A$7:$A$366,Estimator!$B$4,'Climate Data'!$B$7:$B$366,C317)</f>
        <v>0.23333333333333334</v>
      </c>
      <c r="I317" s="87">
        <f>SUMIFS('Climate Data'!$H$7:$H$366,'Climate Data'!$A$7:$A$366,Estimator!$B$4,'Climate Data'!$B$7:$B$366,C317)</f>
        <v>6.4428571428571431</v>
      </c>
      <c r="J317" s="86">
        <f>SUMIFS('Wind Proxy'!$H$8:$H$19,'Wind Proxy'!$A$8:$A$19,Estimator!$B$4,'Wind Proxy'!$B$8:$B$19,C317)</f>
        <v>0</v>
      </c>
    </row>
    <row r="318" spans="1:10" ht="14.4">
      <c r="A318" s="84">
        <v>45969</v>
      </c>
      <c r="B318" s="85">
        <v>2025</v>
      </c>
      <c r="C318" s="85">
        <v>11</v>
      </c>
      <c r="D318" s="85" t="s">
        <v>76</v>
      </c>
      <c r="E318" s="85">
        <v>8</v>
      </c>
      <c r="F318" s="85">
        <v>6</v>
      </c>
      <c r="G318" s="85">
        <f>--(F318&lt;=Estimator!$B$7)</f>
        <v>0</v>
      </c>
      <c r="H318" s="86">
        <f>SUMIFS('Climate Data'!$G$7:$G$366,'Climate Data'!$A$7:$A$366,Estimator!$B$4,'Climate Data'!$B$7:$B$366,C318)</f>
        <v>0.23333333333333334</v>
      </c>
      <c r="I318" s="87">
        <f>SUMIFS('Climate Data'!$H$7:$H$366,'Climate Data'!$A$7:$A$366,Estimator!$B$4,'Climate Data'!$B$7:$B$366,C318)</f>
        <v>6.4428571428571431</v>
      </c>
      <c r="J318" s="86">
        <f>SUMIFS('Wind Proxy'!$H$8:$H$19,'Wind Proxy'!$A$8:$A$19,Estimator!$B$4,'Wind Proxy'!$B$8:$B$19,C318)</f>
        <v>0</v>
      </c>
    </row>
    <row r="319" spans="1:10" ht="14.4">
      <c r="A319" s="84">
        <v>45970</v>
      </c>
      <c r="B319" s="85">
        <v>2025</v>
      </c>
      <c r="C319" s="85">
        <v>11</v>
      </c>
      <c r="D319" s="85" t="s">
        <v>76</v>
      </c>
      <c r="E319" s="85">
        <v>9</v>
      </c>
      <c r="F319" s="85">
        <v>7</v>
      </c>
      <c r="G319" s="85">
        <f>--(F319&lt;=Estimator!$B$7)</f>
        <v>0</v>
      </c>
      <c r="H319" s="86">
        <f>SUMIFS('Climate Data'!$G$7:$G$366,'Climate Data'!$A$7:$A$366,Estimator!$B$4,'Climate Data'!$B$7:$B$366,C319)</f>
        <v>0.23333333333333334</v>
      </c>
      <c r="I319" s="87">
        <f>SUMIFS('Climate Data'!$H$7:$H$366,'Climate Data'!$A$7:$A$366,Estimator!$B$4,'Climate Data'!$B$7:$B$366,C319)</f>
        <v>6.4428571428571431</v>
      </c>
      <c r="J319" s="86">
        <f>SUMIFS('Wind Proxy'!$H$8:$H$19,'Wind Proxy'!$A$8:$A$19,Estimator!$B$4,'Wind Proxy'!$B$8:$B$19,C319)</f>
        <v>0</v>
      </c>
    </row>
    <row r="320" spans="1:10" ht="14.4">
      <c r="A320" s="84">
        <v>45971</v>
      </c>
      <c r="B320" s="85">
        <v>2025</v>
      </c>
      <c r="C320" s="85">
        <v>11</v>
      </c>
      <c r="D320" s="85" t="s">
        <v>76</v>
      </c>
      <c r="E320" s="85">
        <v>10</v>
      </c>
      <c r="F320" s="85">
        <v>1</v>
      </c>
      <c r="G320" s="85">
        <f>--(F320&lt;=Estimator!$B$7)</f>
        <v>1</v>
      </c>
      <c r="H320" s="86">
        <f>SUMIFS('Climate Data'!$G$7:$G$366,'Climate Data'!$A$7:$A$366,Estimator!$B$4,'Climate Data'!$B$7:$B$366,C320)</f>
        <v>0.23333333333333334</v>
      </c>
      <c r="I320" s="87">
        <f>SUMIFS('Climate Data'!$H$7:$H$366,'Climate Data'!$A$7:$A$366,Estimator!$B$4,'Climate Data'!$B$7:$B$366,C320)</f>
        <v>6.4428571428571431</v>
      </c>
      <c r="J320" s="86">
        <f>SUMIFS('Wind Proxy'!$H$8:$H$19,'Wind Proxy'!$A$8:$A$19,Estimator!$B$4,'Wind Proxy'!$B$8:$B$19,C320)</f>
        <v>0</v>
      </c>
    </row>
    <row r="321" spans="1:10" ht="14.4">
      <c r="A321" s="84">
        <v>45972</v>
      </c>
      <c r="B321" s="85">
        <v>2025</v>
      </c>
      <c r="C321" s="85">
        <v>11</v>
      </c>
      <c r="D321" s="85" t="s">
        <v>76</v>
      </c>
      <c r="E321" s="85">
        <v>11</v>
      </c>
      <c r="F321" s="85">
        <v>2</v>
      </c>
      <c r="G321" s="85">
        <f>--(F321&lt;=Estimator!$B$7)</f>
        <v>1</v>
      </c>
      <c r="H321" s="86">
        <f>SUMIFS('Climate Data'!$G$7:$G$366,'Climate Data'!$A$7:$A$366,Estimator!$B$4,'Climate Data'!$B$7:$B$366,C321)</f>
        <v>0.23333333333333334</v>
      </c>
      <c r="I321" s="87">
        <f>SUMIFS('Climate Data'!$H$7:$H$366,'Climate Data'!$A$7:$A$366,Estimator!$B$4,'Climate Data'!$B$7:$B$366,C321)</f>
        <v>6.4428571428571431</v>
      </c>
      <c r="J321" s="86">
        <f>SUMIFS('Wind Proxy'!$H$8:$H$19,'Wind Proxy'!$A$8:$A$19,Estimator!$B$4,'Wind Proxy'!$B$8:$B$19,C321)</f>
        <v>0</v>
      </c>
    </row>
    <row r="322" spans="1:10" ht="14.4">
      <c r="A322" s="84">
        <v>45973</v>
      </c>
      <c r="B322" s="85">
        <v>2025</v>
      </c>
      <c r="C322" s="85">
        <v>11</v>
      </c>
      <c r="D322" s="85" t="s">
        <v>76</v>
      </c>
      <c r="E322" s="85">
        <v>12</v>
      </c>
      <c r="F322" s="85">
        <v>3</v>
      </c>
      <c r="G322" s="85">
        <f>--(F322&lt;=Estimator!$B$7)</f>
        <v>1</v>
      </c>
      <c r="H322" s="86">
        <f>SUMIFS('Climate Data'!$G$7:$G$366,'Climate Data'!$A$7:$A$366,Estimator!$B$4,'Climate Data'!$B$7:$B$366,C322)</f>
        <v>0.23333333333333334</v>
      </c>
      <c r="I322" s="87">
        <f>SUMIFS('Climate Data'!$H$7:$H$366,'Climate Data'!$A$7:$A$366,Estimator!$B$4,'Climate Data'!$B$7:$B$366,C322)</f>
        <v>6.4428571428571431</v>
      </c>
      <c r="J322" s="86">
        <f>SUMIFS('Wind Proxy'!$H$8:$H$19,'Wind Proxy'!$A$8:$A$19,Estimator!$B$4,'Wind Proxy'!$B$8:$B$19,C322)</f>
        <v>0</v>
      </c>
    </row>
    <row r="323" spans="1:10" ht="14.4">
      <c r="A323" s="84">
        <v>45974</v>
      </c>
      <c r="B323" s="85">
        <v>2025</v>
      </c>
      <c r="C323" s="85">
        <v>11</v>
      </c>
      <c r="D323" s="85" t="s">
        <v>76</v>
      </c>
      <c r="E323" s="85">
        <v>13</v>
      </c>
      <c r="F323" s="85">
        <v>4</v>
      </c>
      <c r="G323" s="85">
        <f>--(F323&lt;=Estimator!$B$7)</f>
        <v>1</v>
      </c>
      <c r="H323" s="86">
        <f>SUMIFS('Climate Data'!$G$7:$G$366,'Climate Data'!$A$7:$A$366,Estimator!$B$4,'Climate Data'!$B$7:$B$366,C323)</f>
        <v>0.23333333333333334</v>
      </c>
      <c r="I323" s="87">
        <f>SUMIFS('Climate Data'!$H$7:$H$366,'Climate Data'!$A$7:$A$366,Estimator!$B$4,'Climate Data'!$B$7:$B$366,C323)</f>
        <v>6.4428571428571431</v>
      </c>
      <c r="J323" s="86">
        <f>SUMIFS('Wind Proxy'!$H$8:$H$19,'Wind Proxy'!$A$8:$A$19,Estimator!$B$4,'Wind Proxy'!$B$8:$B$19,C323)</f>
        <v>0</v>
      </c>
    </row>
    <row r="324" spans="1:10" ht="14.4">
      <c r="A324" s="84">
        <v>45975</v>
      </c>
      <c r="B324" s="85">
        <v>2025</v>
      </c>
      <c r="C324" s="85">
        <v>11</v>
      </c>
      <c r="D324" s="85" t="s">
        <v>76</v>
      </c>
      <c r="E324" s="85">
        <v>14</v>
      </c>
      <c r="F324" s="85">
        <v>5</v>
      </c>
      <c r="G324" s="85">
        <f>--(F324&lt;=Estimator!$B$7)</f>
        <v>1</v>
      </c>
      <c r="H324" s="86">
        <f>SUMIFS('Climate Data'!$G$7:$G$366,'Climate Data'!$A$7:$A$366,Estimator!$B$4,'Climate Data'!$B$7:$B$366,C324)</f>
        <v>0.23333333333333334</v>
      </c>
      <c r="I324" s="87">
        <f>SUMIFS('Climate Data'!$H$7:$H$366,'Climate Data'!$A$7:$A$366,Estimator!$B$4,'Climate Data'!$B$7:$B$366,C324)</f>
        <v>6.4428571428571431</v>
      </c>
      <c r="J324" s="86">
        <f>SUMIFS('Wind Proxy'!$H$8:$H$19,'Wind Proxy'!$A$8:$A$19,Estimator!$B$4,'Wind Proxy'!$B$8:$B$19,C324)</f>
        <v>0</v>
      </c>
    </row>
    <row r="325" spans="1:10" ht="14.4">
      <c r="A325" s="84">
        <v>45976</v>
      </c>
      <c r="B325" s="85">
        <v>2025</v>
      </c>
      <c r="C325" s="85">
        <v>11</v>
      </c>
      <c r="D325" s="85" t="s">
        <v>76</v>
      </c>
      <c r="E325" s="85">
        <v>15</v>
      </c>
      <c r="F325" s="85">
        <v>6</v>
      </c>
      <c r="G325" s="85">
        <f>--(F325&lt;=Estimator!$B$7)</f>
        <v>0</v>
      </c>
      <c r="H325" s="86">
        <f>SUMIFS('Climate Data'!$G$7:$G$366,'Climate Data'!$A$7:$A$366,Estimator!$B$4,'Climate Data'!$B$7:$B$366,C325)</f>
        <v>0.23333333333333334</v>
      </c>
      <c r="I325" s="87">
        <f>SUMIFS('Climate Data'!$H$7:$H$366,'Climate Data'!$A$7:$A$366,Estimator!$B$4,'Climate Data'!$B$7:$B$366,C325)</f>
        <v>6.4428571428571431</v>
      </c>
      <c r="J325" s="86">
        <f>SUMIFS('Wind Proxy'!$H$8:$H$19,'Wind Proxy'!$A$8:$A$19,Estimator!$B$4,'Wind Proxy'!$B$8:$B$19,C325)</f>
        <v>0</v>
      </c>
    </row>
    <row r="326" spans="1:10" ht="14.4">
      <c r="A326" s="84">
        <v>45977</v>
      </c>
      <c r="B326" s="85">
        <v>2025</v>
      </c>
      <c r="C326" s="85">
        <v>11</v>
      </c>
      <c r="D326" s="85" t="s">
        <v>76</v>
      </c>
      <c r="E326" s="85">
        <v>16</v>
      </c>
      <c r="F326" s="85">
        <v>7</v>
      </c>
      <c r="G326" s="85">
        <f>--(F326&lt;=Estimator!$B$7)</f>
        <v>0</v>
      </c>
      <c r="H326" s="86">
        <f>SUMIFS('Climate Data'!$G$7:$G$366,'Climate Data'!$A$7:$A$366,Estimator!$B$4,'Climate Data'!$B$7:$B$366,C326)</f>
        <v>0.23333333333333334</v>
      </c>
      <c r="I326" s="87">
        <f>SUMIFS('Climate Data'!$H$7:$H$366,'Climate Data'!$A$7:$A$366,Estimator!$B$4,'Climate Data'!$B$7:$B$366,C326)</f>
        <v>6.4428571428571431</v>
      </c>
      <c r="J326" s="86">
        <f>SUMIFS('Wind Proxy'!$H$8:$H$19,'Wind Proxy'!$A$8:$A$19,Estimator!$B$4,'Wind Proxy'!$B$8:$B$19,C326)</f>
        <v>0</v>
      </c>
    </row>
    <row r="327" spans="1:10" ht="14.4">
      <c r="A327" s="84">
        <v>45978</v>
      </c>
      <c r="B327" s="85">
        <v>2025</v>
      </c>
      <c r="C327" s="85">
        <v>11</v>
      </c>
      <c r="D327" s="85" t="s">
        <v>76</v>
      </c>
      <c r="E327" s="85">
        <v>17</v>
      </c>
      <c r="F327" s="85">
        <v>1</v>
      </c>
      <c r="G327" s="85">
        <f>--(F327&lt;=Estimator!$B$7)</f>
        <v>1</v>
      </c>
      <c r="H327" s="86">
        <f>SUMIFS('Climate Data'!$G$7:$G$366,'Climate Data'!$A$7:$A$366,Estimator!$B$4,'Climate Data'!$B$7:$B$366,C327)</f>
        <v>0.23333333333333334</v>
      </c>
      <c r="I327" s="87">
        <f>SUMIFS('Climate Data'!$H$7:$H$366,'Climate Data'!$A$7:$A$366,Estimator!$B$4,'Climate Data'!$B$7:$B$366,C327)</f>
        <v>6.4428571428571431</v>
      </c>
      <c r="J327" s="86">
        <f>SUMIFS('Wind Proxy'!$H$8:$H$19,'Wind Proxy'!$A$8:$A$19,Estimator!$B$4,'Wind Proxy'!$B$8:$B$19,C327)</f>
        <v>0</v>
      </c>
    </row>
    <row r="328" spans="1:10" ht="14.4">
      <c r="A328" s="84">
        <v>45979</v>
      </c>
      <c r="B328" s="85">
        <v>2025</v>
      </c>
      <c r="C328" s="85">
        <v>11</v>
      </c>
      <c r="D328" s="85" t="s">
        <v>76</v>
      </c>
      <c r="E328" s="85">
        <v>18</v>
      </c>
      <c r="F328" s="85">
        <v>2</v>
      </c>
      <c r="G328" s="85">
        <f>--(F328&lt;=Estimator!$B$7)</f>
        <v>1</v>
      </c>
      <c r="H328" s="86">
        <f>SUMIFS('Climate Data'!$G$7:$G$366,'Climate Data'!$A$7:$A$366,Estimator!$B$4,'Climate Data'!$B$7:$B$366,C328)</f>
        <v>0.23333333333333334</v>
      </c>
      <c r="I328" s="87">
        <f>SUMIFS('Climate Data'!$H$7:$H$366,'Climate Data'!$A$7:$A$366,Estimator!$B$4,'Climate Data'!$B$7:$B$366,C328)</f>
        <v>6.4428571428571431</v>
      </c>
      <c r="J328" s="86">
        <f>SUMIFS('Wind Proxy'!$H$8:$H$19,'Wind Proxy'!$A$8:$A$19,Estimator!$B$4,'Wind Proxy'!$B$8:$B$19,C328)</f>
        <v>0</v>
      </c>
    </row>
    <row r="329" spans="1:10" ht="14.4">
      <c r="A329" s="84">
        <v>45980</v>
      </c>
      <c r="B329" s="85">
        <v>2025</v>
      </c>
      <c r="C329" s="85">
        <v>11</v>
      </c>
      <c r="D329" s="85" t="s">
        <v>76</v>
      </c>
      <c r="E329" s="85">
        <v>19</v>
      </c>
      <c r="F329" s="85">
        <v>3</v>
      </c>
      <c r="G329" s="85">
        <f>--(F329&lt;=Estimator!$B$7)</f>
        <v>1</v>
      </c>
      <c r="H329" s="86">
        <f>SUMIFS('Climate Data'!$G$7:$G$366,'Climate Data'!$A$7:$A$366,Estimator!$B$4,'Climate Data'!$B$7:$B$366,C329)</f>
        <v>0.23333333333333334</v>
      </c>
      <c r="I329" s="87">
        <f>SUMIFS('Climate Data'!$H$7:$H$366,'Climate Data'!$A$7:$A$366,Estimator!$B$4,'Climate Data'!$B$7:$B$366,C329)</f>
        <v>6.4428571428571431</v>
      </c>
      <c r="J329" s="86">
        <f>SUMIFS('Wind Proxy'!$H$8:$H$19,'Wind Proxy'!$A$8:$A$19,Estimator!$B$4,'Wind Proxy'!$B$8:$B$19,C329)</f>
        <v>0</v>
      </c>
    </row>
    <row r="330" spans="1:10" ht="14.4">
      <c r="A330" s="84">
        <v>45981</v>
      </c>
      <c r="B330" s="85">
        <v>2025</v>
      </c>
      <c r="C330" s="85">
        <v>11</v>
      </c>
      <c r="D330" s="85" t="s">
        <v>76</v>
      </c>
      <c r="E330" s="85">
        <v>20</v>
      </c>
      <c r="F330" s="85">
        <v>4</v>
      </c>
      <c r="G330" s="85">
        <f>--(F330&lt;=Estimator!$B$7)</f>
        <v>1</v>
      </c>
      <c r="H330" s="86">
        <f>SUMIFS('Climate Data'!$G$7:$G$366,'Climate Data'!$A$7:$A$366,Estimator!$B$4,'Climate Data'!$B$7:$B$366,C330)</f>
        <v>0.23333333333333334</v>
      </c>
      <c r="I330" s="87">
        <f>SUMIFS('Climate Data'!$H$7:$H$366,'Climate Data'!$A$7:$A$366,Estimator!$B$4,'Climate Data'!$B$7:$B$366,C330)</f>
        <v>6.4428571428571431</v>
      </c>
      <c r="J330" s="86">
        <f>SUMIFS('Wind Proxy'!$H$8:$H$19,'Wind Proxy'!$A$8:$A$19,Estimator!$B$4,'Wind Proxy'!$B$8:$B$19,C330)</f>
        <v>0</v>
      </c>
    </row>
    <row r="331" spans="1:10" ht="14.4">
      <c r="A331" s="84">
        <v>45982</v>
      </c>
      <c r="B331" s="85">
        <v>2025</v>
      </c>
      <c r="C331" s="85">
        <v>11</v>
      </c>
      <c r="D331" s="85" t="s">
        <v>76</v>
      </c>
      <c r="E331" s="85">
        <v>21</v>
      </c>
      <c r="F331" s="85">
        <v>5</v>
      </c>
      <c r="G331" s="85">
        <f>--(F331&lt;=Estimator!$B$7)</f>
        <v>1</v>
      </c>
      <c r="H331" s="86">
        <f>SUMIFS('Climate Data'!$G$7:$G$366,'Climate Data'!$A$7:$A$366,Estimator!$B$4,'Climate Data'!$B$7:$B$366,C331)</f>
        <v>0.23333333333333334</v>
      </c>
      <c r="I331" s="87">
        <f>SUMIFS('Climate Data'!$H$7:$H$366,'Climate Data'!$A$7:$A$366,Estimator!$B$4,'Climate Data'!$B$7:$B$366,C331)</f>
        <v>6.4428571428571431</v>
      </c>
      <c r="J331" s="86">
        <f>SUMIFS('Wind Proxy'!$H$8:$H$19,'Wind Proxy'!$A$8:$A$19,Estimator!$B$4,'Wind Proxy'!$B$8:$B$19,C331)</f>
        <v>0</v>
      </c>
    </row>
    <row r="332" spans="1:10" ht="14.4">
      <c r="A332" s="84">
        <v>45983</v>
      </c>
      <c r="B332" s="85">
        <v>2025</v>
      </c>
      <c r="C332" s="85">
        <v>11</v>
      </c>
      <c r="D332" s="85" t="s">
        <v>76</v>
      </c>
      <c r="E332" s="85">
        <v>22</v>
      </c>
      <c r="F332" s="85">
        <v>6</v>
      </c>
      <c r="G332" s="85">
        <f>--(F332&lt;=Estimator!$B$7)</f>
        <v>0</v>
      </c>
      <c r="H332" s="86">
        <f>SUMIFS('Climate Data'!$G$7:$G$366,'Climate Data'!$A$7:$A$366,Estimator!$B$4,'Climate Data'!$B$7:$B$366,C332)</f>
        <v>0.23333333333333334</v>
      </c>
      <c r="I332" s="87">
        <f>SUMIFS('Climate Data'!$H$7:$H$366,'Climate Data'!$A$7:$A$366,Estimator!$B$4,'Climate Data'!$B$7:$B$366,C332)</f>
        <v>6.4428571428571431</v>
      </c>
      <c r="J332" s="86">
        <f>SUMIFS('Wind Proxy'!$H$8:$H$19,'Wind Proxy'!$A$8:$A$19,Estimator!$B$4,'Wind Proxy'!$B$8:$B$19,C332)</f>
        <v>0</v>
      </c>
    </row>
    <row r="333" spans="1:10" ht="14.4">
      <c r="A333" s="84">
        <v>45984</v>
      </c>
      <c r="B333" s="85">
        <v>2025</v>
      </c>
      <c r="C333" s="85">
        <v>11</v>
      </c>
      <c r="D333" s="85" t="s">
        <v>76</v>
      </c>
      <c r="E333" s="85">
        <v>23</v>
      </c>
      <c r="F333" s="85">
        <v>7</v>
      </c>
      <c r="G333" s="85">
        <f>--(F333&lt;=Estimator!$B$7)</f>
        <v>0</v>
      </c>
      <c r="H333" s="86">
        <f>SUMIFS('Climate Data'!$G$7:$G$366,'Climate Data'!$A$7:$A$366,Estimator!$B$4,'Climate Data'!$B$7:$B$366,C333)</f>
        <v>0.23333333333333334</v>
      </c>
      <c r="I333" s="87">
        <f>SUMIFS('Climate Data'!$H$7:$H$366,'Climate Data'!$A$7:$A$366,Estimator!$B$4,'Climate Data'!$B$7:$B$366,C333)</f>
        <v>6.4428571428571431</v>
      </c>
      <c r="J333" s="86">
        <f>SUMIFS('Wind Proxy'!$H$8:$H$19,'Wind Proxy'!$A$8:$A$19,Estimator!$B$4,'Wind Proxy'!$B$8:$B$19,C333)</f>
        <v>0</v>
      </c>
    </row>
    <row r="334" spans="1:10" ht="14.4">
      <c r="A334" s="84">
        <v>45985</v>
      </c>
      <c r="B334" s="85">
        <v>2025</v>
      </c>
      <c r="C334" s="85">
        <v>11</v>
      </c>
      <c r="D334" s="85" t="s">
        <v>76</v>
      </c>
      <c r="E334" s="85">
        <v>24</v>
      </c>
      <c r="F334" s="85">
        <v>1</v>
      </c>
      <c r="G334" s="85">
        <f>--(F334&lt;=Estimator!$B$7)</f>
        <v>1</v>
      </c>
      <c r="H334" s="86">
        <f>SUMIFS('Climate Data'!$G$7:$G$366,'Climate Data'!$A$7:$A$366,Estimator!$B$4,'Climate Data'!$B$7:$B$366,C334)</f>
        <v>0.23333333333333334</v>
      </c>
      <c r="I334" s="87">
        <f>SUMIFS('Climate Data'!$H$7:$H$366,'Climate Data'!$A$7:$A$366,Estimator!$B$4,'Climate Data'!$B$7:$B$366,C334)</f>
        <v>6.4428571428571431</v>
      </c>
      <c r="J334" s="86">
        <f>SUMIFS('Wind Proxy'!$H$8:$H$19,'Wind Proxy'!$A$8:$A$19,Estimator!$B$4,'Wind Proxy'!$B$8:$B$19,C334)</f>
        <v>0</v>
      </c>
    </row>
    <row r="335" spans="1:10" ht="14.4">
      <c r="A335" s="84">
        <v>45986</v>
      </c>
      <c r="B335" s="85">
        <v>2025</v>
      </c>
      <c r="C335" s="85">
        <v>11</v>
      </c>
      <c r="D335" s="85" t="s">
        <v>76</v>
      </c>
      <c r="E335" s="85">
        <v>25</v>
      </c>
      <c r="F335" s="85">
        <v>2</v>
      </c>
      <c r="G335" s="85">
        <f>--(F335&lt;=Estimator!$B$7)</f>
        <v>1</v>
      </c>
      <c r="H335" s="86">
        <f>SUMIFS('Climate Data'!$G$7:$G$366,'Climate Data'!$A$7:$A$366,Estimator!$B$4,'Climate Data'!$B$7:$B$366,C335)</f>
        <v>0.23333333333333334</v>
      </c>
      <c r="I335" s="87">
        <f>SUMIFS('Climate Data'!$H$7:$H$366,'Climate Data'!$A$7:$A$366,Estimator!$B$4,'Climate Data'!$B$7:$B$366,C335)</f>
        <v>6.4428571428571431</v>
      </c>
      <c r="J335" s="86">
        <f>SUMIFS('Wind Proxy'!$H$8:$H$19,'Wind Proxy'!$A$8:$A$19,Estimator!$B$4,'Wind Proxy'!$B$8:$B$19,C335)</f>
        <v>0</v>
      </c>
    </row>
    <row r="336" spans="1:10" ht="14.4">
      <c r="A336" s="84">
        <v>45987</v>
      </c>
      <c r="B336" s="85">
        <v>2025</v>
      </c>
      <c r="C336" s="85">
        <v>11</v>
      </c>
      <c r="D336" s="85" t="s">
        <v>76</v>
      </c>
      <c r="E336" s="85">
        <v>26</v>
      </c>
      <c r="F336" s="85">
        <v>3</v>
      </c>
      <c r="G336" s="85">
        <f>--(F336&lt;=Estimator!$B$7)</f>
        <v>1</v>
      </c>
      <c r="H336" s="86">
        <f>SUMIFS('Climate Data'!$G$7:$G$366,'Climate Data'!$A$7:$A$366,Estimator!$B$4,'Climate Data'!$B$7:$B$366,C336)</f>
        <v>0.23333333333333334</v>
      </c>
      <c r="I336" s="87">
        <f>SUMIFS('Climate Data'!$H$7:$H$366,'Climate Data'!$A$7:$A$366,Estimator!$B$4,'Climate Data'!$B$7:$B$366,C336)</f>
        <v>6.4428571428571431</v>
      </c>
      <c r="J336" s="86">
        <f>SUMIFS('Wind Proxy'!$H$8:$H$19,'Wind Proxy'!$A$8:$A$19,Estimator!$B$4,'Wind Proxy'!$B$8:$B$19,C336)</f>
        <v>0</v>
      </c>
    </row>
    <row r="337" spans="1:10" ht="14.4">
      <c r="A337" s="84">
        <v>45988</v>
      </c>
      <c r="B337" s="85">
        <v>2025</v>
      </c>
      <c r="C337" s="85">
        <v>11</v>
      </c>
      <c r="D337" s="85" t="s">
        <v>76</v>
      </c>
      <c r="E337" s="85">
        <v>27</v>
      </c>
      <c r="F337" s="85">
        <v>4</v>
      </c>
      <c r="G337" s="85">
        <f>--(F337&lt;=Estimator!$B$7)</f>
        <v>1</v>
      </c>
      <c r="H337" s="86">
        <f>SUMIFS('Climate Data'!$G$7:$G$366,'Climate Data'!$A$7:$A$366,Estimator!$B$4,'Climate Data'!$B$7:$B$366,C337)</f>
        <v>0.23333333333333334</v>
      </c>
      <c r="I337" s="87">
        <f>SUMIFS('Climate Data'!$H$7:$H$366,'Climate Data'!$A$7:$A$366,Estimator!$B$4,'Climate Data'!$B$7:$B$366,C337)</f>
        <v>6.4428571428571431</v>
      </c>
      <c r="J337" s="86">
        <f>SUMIFS('Wind Proxy'!$H$8:$H$19,'Wind Proxy'!$A$8:$A$19,Estimator!$B$4,'Wind Proxy'!$B$8:$B$19,C337)</f>
        <v>0</v>
      </c>
    </row>
    <row r="338" spans="1:10" ht="14.4">
      <c r="A338" s="84">
        <v>45989</v>
      </c>
      <c r="B338" s="85">
        <v>2025</v>
      </c>
      <c r="C338" s="85">
        <v>11</v>
      </c>
      <c r="D338" s="85" t="s">
        <v>76</v>
      </c>
      <c r="E338" s="85">
        <v>28</v>
      </c>
      <c r="F338" s="85">
        <v>5</v>
      </c>
      <c r="G338" s="85">
        <f>--(F338&lt;=Estimator!$B$7)</f>
        <v>1</v>
      </c>
      <c r="H338" s="86">
        <f>SUMIFS('Climate Data'!$G$7:$G$366,'Climate Data'!$A$7:$A$366,Estimator!$B$4,'Climate Data'!$B$7:$B$366,C338)</f>
        <v>0.23333333333333334</v>
      </c>
      <c r="I338" s="87">
        <f>SUMIFS('Climate Data'!$H$7:$H$366,'Climate Data'!$A$7:$A$366,Estimator!$B$4,'Climate Data'!$B$7:$B$366,C338)</f>
        <v>6.4428571428571431</v>
      </c>
      <c r="J338" s="86">
        <f>SUMIFS('Wind Proxy'!$H$8:$H$19,'Wind Proxy'!$A$8:$A$19,Estimator!$B$4,'Wind Proxy'!$B$8:$B$19,C338)</f>
        <v>0</v>
      </c>
    </row>
    <row r="339" spans="1:10" ht="14.4">
      <c r="A339" s="84">
        <v>45990</v>
      </c>
      <c r="B339" s="85">
        <v>2025</v>
      </c>
      <c r="C339" s="85">
        <v>11</v>
      </c>
      <c r="D339" s="85" t="s">
        <v>76</v>
      </c>
      <c r="E339" s="85">
        <v>29</v>
      </c>
      <c r="F339" s="85">
        <v>6</v>
      </c>
      <c r="G339" s="85">
        <f>--(F339&lt;=Estimator!$B$7)</f>
        <v>0</v>
      </c>
      <c r="H339" s="86">
        <f>SUMIFS('Climate Data'!$G$7:$G$366,'Climate Data'!$A$7:$A$366,Estimator!$B$4,'Climate Data'!$B$7:$B$366,C339)</f>
        <v>0.23333333333333334</v>
      </c>
      <c r="I339" s="87">
        <f>SUMIFS('Climate Data'!$H$7:$H$366,'Climate Data'!$A$7:$A$366,Estimator!$B$4,'Climate Data'!$B$7:$B$366,C339)</f>
        <v>6.4428571428571431</v>
      </c>
      <c r="J339" s="86">
        <f>SUMIFS('Wind Proxy'!$H$8:$H$19,'Wind Proxy'!$A$8:$A$19,Estimator!$B$4,'Wind Proxy'!$B$8:$B$19,C339)</f>
        <v>0</v>
      </c>
    </row>
    <row r="340" spans="1:10" ht="14.4">
      <c r="A340" s="84">
        <v>45991</v>
      </c>
      <c r="B340" s="85">
        <v>2025</v>
      </c>
      <c r="C340" s="85">
        <v>11</v>
      </c>
      <c r="D340" s="85" t="s">
        <v>76</v>
      </c>
      <c r="E340" s="85">
        <v>30</v>
      </c>
      <c r="F340" s="85">
        <v>7</v>
      </c>
      <c r="G340" s="85">
        <f>--(F340&lt;=Estimator!$B$7)</f>
        <v>0</v>
      </c>
      <c r="H340" s="86">
        <f>SUMIFS('Climate Data'!$G$7:$G$366,'Climate Data'!$A$7:$A$366,Estimator!$B$4,'Climate Data'!$B$7:$B$366,C340)</f>
        <v>0.23333333333333334</v>
      </c>
      <c r="I340" s="87">
        <f>SUMIFS('Climate Data'!$H$7:$H$366,'Climate Data'!$A$7:$A$366,Estimator!$B$4,'Climate Data'!$B$7:$B$366,C340)</f>
        <v>6.4428571428571431</v>
      </c>
      <c r="J340" s="86">
        <f>SUMIFS('Wind Proxy'!$H$8:$H$19,'Wind Proxy'!$A$8:$A$19,Estimator!$B$4,'Wind Proxy'!$B$8:$B$19,C340)</f>
        <v>0</v>
      </c>
    </row>
    <row r="341" spans="1:10" ht="14.4">
      <c r="A341" s="84">
        <v>45992</v>
      </c>
      <c r="B341" s="85">
        <v>2025</v>
      </c>
      <c r="C341" s="85">
        <v>12</v>
      </c>
      <c r="D341" s="85" t="s">
        <v>77</v>
      </c>
      <c r="E341" s="85">
        <v>1</v>
      </c>
      <c r="F341" s="85">
        <v>1</v>
      </c>
      <c r="G341" s="85">
        <f>--(F341&lt;=Estimator!$B$7)</f>
        <v>1</v>
      </c>
      <c r="H341" s="86">
        <f>SUMIFS('Climate Data'!$G$7:$G$366,'Climate Data'!$A$7:$A$366,Estimator!$B$4,'Climate Data'!$B$7:$B$366,C341)</f>
        <v>0.22688172043010751</v>
      </c>
      <c r="I341" s="87">
        <f>SUMIFS('Climate Data'!$H$7:$H$366,'Climate Data'!$A$7:$A$366,Estimator!$B$4,'Climate Data'!$B$7:$B$366,C341)</f>
        <v>6.7962085308056865</v>
      </c>
      <c r="J341" s="86">
        <f>SUMIFS('Wind Proxy'!$H$8:$H$19,'Wind Proxy'!$A$8:$A$19,Estimator!$B$4,'Wind Proxy'!$B$8:$B$19,C341)</f>
        <v>0</v>
      </c>
    </row>
    <row r="342" spans="1:10" ht="14.4">
      <c r="A342" s="84">
        <v>45993</v>
      </c>
      <c r="B342" s="85">
        <v>2025</v>
      </c>
      <c r="C342" s="85">
        <v>12</v>
      </c>
      <c r="D342" s="85" t="s">
        <v>77</v>
      </c>
      <c r="E342" s="85">
        <v>2</v>
      </c>
      <c r="F342" s="85">
        <v>2</v>
      </c>
      <c r="G342" s="85">
        <f>--(F342&lt;=Estimator!$B$7)</f>
        <v>1</v>
      </c>
      <c r="H342" s="86">
        <f>SUMIFS('Climate Data'!$G$7:$G$366,'Climate Data'!$A$7:$A$366,Estimator!$B$4,'Climate Data'!$B$7:$B$366,C342)</f>
        <v>0.22688172043010751</v>
      </c>
      <c r="I342" s="87">
        <f>SUMIFS('Climate Data'!$H$7:$H$366,'Climate Data'!$A$7:$A$366,Estimator!$B$4,'Climate Data'!$B$7:$B$366,C342)</f>
        <v>6.7962085308056865</v>
      </c>
      <c r="J342" s="86">
        <f>SUMIFS('Wind Proxy'!$H$8:$H$19,'Wind Proxy'!$A$8:$A$19,Estimator!$B$4,'Wind Proxy'!$B$8:$B$19,C342)</f>
        <v>0</v>
      </c>
    </row>
    <row r="343" spans="1:10" ht="14.4">
      <c r="A343" s="84">
        <v>45994</v>
      </c>
      <c r="B343" s="85">
        <v>2025</v>
      </c>
      <c r="C343" s="85">
        <v>12</v>
      </c>
      <c r="D343" s="85" t="s">
        <v>77</v>
      </c>
      <c r="E343" s="85">
        <v>3</v>
      </c>
      <c r="F343" s="85">
        <v>3</v>
      </c>
      <c r="G343" s="85">
        <f>--(F343&lt;=Estimator!$B$7)</f>
        <v>1</v>
      </c>
      <c r="H343" s="86">
        <f>SUMIFS('Climate Data'!$G$7:$G$366,'Climate Data'!$A$7:$A$366,Estimator!$B$4,'Climate Data'!$B$7:$B$366,C343)</f>
        <v>0.22688172043010751</v>
      </c>
      <c r="I343" s="87">
        <f>SUMIFS('Climate Data'!$H$7:$H$366,'Climate Data'!$A$7:$A$366,Estimator!$B$4,'Climate Data'!$B$7:$B$366,C343)</f>
        <v>6.7962085308056865</v>
      </c>
      <c r="J343" s="86">
        <f>SUMIFS('Wind Proxy'!$H$8:$H$19,'Wind Proxy'!$A$8:$A$19,Estimator!$B$4,'Wind Proxy'!$B$8:$B$19,C343)</f>
        <v>0</v>
      </c>
    </row>
    <row r="344" spans="1:10" ht="14.4">
      <c r="A344" s="84">
        <v>45995</v>
      </c>
      <c r="B344" s="85">
        <v>2025</v>
      </c>
      <c r="C344" s="85">
        <v>12</v>
      </c>
      <c r="D344" s="85" t="s">
        <v>77</v>
      </c>
      <c r="E344" s="85">
        <v>4</v>
      </c>
      <c r="F344" s="85">
        <v>4</v>
      </c>
      <c r="G344" s="85">
        <f>--(F344&lt;=Estimator!$B$7)</f>
        <v>1</v>
      </c>
      <c r="H344" s="86">
        <f>SUMIFS('Climate Data'!$G$7:$G$366,'Climate Data'!$A$7:$A$366,Estimator!$B$4,'Climate Data'!$B$7:$B$366,C344)</f>
        <v>0.22688172043010751</v>
      </c>
      <c r="I344" s="87">
        <f>SUMIFS('Climate Data'!$H$7:$H$366,'Climate Data'!$A$7:$A$366,Estimator!$B$4,'Climate Data'!$B$7:$B$366,C344)</f>
        <v>6.7962085308056865</v>
      </c>
      <c r="J344" s="86">
        <f>SUMIFS('Wind Proxy'!$H$8:$H$19,'Wind Proxy'!$A$8:$A$19,Estimator!$B$4,'Wind Proxy'!$B$8:$B$19,C344)</f>
        <v>0</v>
      </c>
    </row>
    <row r="345" spans="1:10" ht="14.4">
      <c r="A345" s="84">
        <v>45996</v>
      </c>
      <c r="B345" s="85">
        <v>2025</v>
      </c>
      <c r="C345" s="85">
        <v>12</v>
      </c>
      <c r="D345" s="85" t="s">
        <v>77</v>
      </c>
      <c r="E345" s="85">
        <v>5</v>
      </c>
      <c r="F345" s="85">
        <v>5</v>
      </c>
      <c r="G345" s="85">
        <f>--(F345&lt;=Estimator!$B$7)</f>
        <v>1</v>
      </c>
      <c r="H345" s="86">
        <f>SUMIFS('Climate Data'!$G$7:$G$366,'Climate Data'!$A$7:$A$366,Estimator!$B$4,'Climate Data'!$B$7:$B$366,C345)</f>
        <v>0.22688172043010751</v>
      </c>
      <c r="I345" s="87">
        <f>SUMIFS('Climate Data'!$H$7:$H$366,'Climate Data'!$A$7:$A$366,Estimator!$B$4,'Climate Data'!$B$7:$B$366,C345)</f>
        <v>6.7962085308056865</v>
      </c>
      <c r="J345" s="86">
        <f>SUMIFS('Wind Proxy'!$H$8:$H$19,'Wind Proxy'!$A$8:$A$19,Estimator!$B$4,'Wind Proxy'!$B$8:$B$19,C345)</f>
        <v>0</v>
      </c>
    </row>
    <row r="346" spans="1:10" ht="14.4">
      <c r="A346" s="84">
        <v>45997</v>
      </c>
      <c r="B346" s="85">
        <v>2025</v>
      </c>
      <c r="C346" s="85">
        <v>12</v>
      </c>
      <c r="D346" s="85" t="s">
        <v>77</v>
      </c>
      <c r="E346" s="85">
        <v>6</v>
      </c>
      <c r="F346" s="85">
        <v>6</v>
      </c>
      <c r="G346" s="85">
        <f>--(F346&lt;=Estimator!$B$7)</f>
        <v>0</v>
      </c>
      <c r="H346" s="86">
        <f>SUMIFS('Climate Data'!$G$7:$G$366,'Climate Data'!$A$7:$A$366,Estimator!$B$4,'Climate Data'!$B$7:$B$366,C346)</f>
        <v>0.22688172043010751</v>
      </c>
      <c r="I346" s="87">
        <f>SUMIFS('Climate Data'!$H$7:$H$366,'Climate Data'!$A$7:$A$366,Estimator!$B$4,'Climate Data'!$B$7:$B$366,C346)</f>
        <v>6.7962085308056865</v>
      </c>
      <c r="J346" s="86">
        <f>SUMIFS('Wind Proxy'!$H$8:$H$19,'Wind Proxy'!$A$8:$A$19,Estimator!$B$4,'Wind Proxy'!$B$8:$B$19,C346)</f>
        <v>0</v>
      </c>
    </row>
    <row r="347" spans="1:10" ht="14.4">
      <c r="A347" s="84">
        <v>45998</v>
      </c>
      <c r="B347" s="85">
        <v>2025</v>
      </c>
      <c r="C347" s="85">
        <v>12</v>
      </c>
      <c r="D347" s="85" t="s">
        <v>77</v>
      </c>
      <c r="E347" s="85">
        <v>7</v>
      </c>
      <c r="F347" s="85">
        <v>7</v>
      </c>
      <c r="G347" s="85">
        <f>--(F347&lt;=Estimator!$B$7)</f>
        <v>0</v>
      </c>
      <c r="H347" s="86">
        <f>SUMIFS('Climate Data'!$G$7:$G$366,'Climate Data'!$A$7:$A$366,Estimator!$B$4,'Climate Data'!$B$7:$B$366,C347)</f>
        <v>0.22688172043010751</v>
      </c>
      <c r="I347" s="87">
        <f>SUMIFS('Climate Data'!$H$7:$H$366,'Climate Data'!$A$7:$A$366,Estimator!$B$4,'Climate Data'!$B$7:$B$366,C347)</f>
        <v>6.7962085308056865</v>
      </c>
      <c r="J347" s="86">
        <f>SUMIFS('Wind Proxy'!$H$8:$H$19,'Wind Proxy'!$A$8:$A$19,Estimator!$B$4,'Wind Proxy'!$B$8:$B$19,C347)</f>
        <v>0</v>
      </c>
    </row>
    <row r="348" spans="1:10" ht="14.4">
      <c r="A348" s="84">
        <v>45999</v>
      </c>
      <c r="B348" s="85">
        <v>2025</v>
      </c>
      <c r="C348" s="85">
        <v>12</v>
      </c>
      <c r="D348" s="85" t="s">
        <v>77</v>
      </c>
      <c r="E348" s="85">
        <v>8</v>
      </c>
      <c r="F348" s="85">
        <v>1</v>
      </c>
      <c r="G348" s="85">
        <f>--(F348&lt;=Estimator!$B$7)</f>
        <v>1</v>
      </c>
      <c r="H348" s="86">
        <f>SUMIFS('Climate Data'!$G$7:$G$366,'Climate Data'!$A$7:$A$366,Estimator!$B$4,'Climate Data'!$B$7:$B$366,C348)</f>
        <v>0.22688172043010751</v>
      </c>
      <c r="I348" s="87">
        <f>SUMIFS('Climate Data'!$H$7:$H$366,'Climate Data'!$A$7:$A$366,Estimator!$B$4,'Climate Data'!$B$7:$B$366,C348)</f>
        <v>6.7962085308056865</v>
      </c>
      <c r="J348" s="86">
        <f>SUMIFS('Wind Proxy'!$H$8:$H$19,'Wind Proxy'!$A$8:$A$19,Estimator!$B$4,'Wind Proxy'!$B$8:$B$19,C348)</f>
        <v>0</v>
      </c>
    </row>
    <row r="349" spans="1:10" ht="14.4">
      <c r="A349" s="84">
        <v>46000</v>
      </c>
      <c r="B349" s="85">
        <v>2025</v>
      </c>
      <c r="C349" s="85">
        <v>12</v>
      </c>
      <c r="D349" s="85" t="s">
        <v>77</v>
      </c>
      <c r="E349" s="85">
        <v>9</v>
      </c>
      <c r="F349" s="85">
        <v>2</v>
      </c>
      <c r="G349" s="85">
        <f>--(F349&lt;=Estimator!$B$7)</f>
        <v>1</v>
      </c>
      <c r="H349" s="86">
        <f>SUMIFS('Climate Data'!$G$7:$G$366,'Climate Data'!$A$7:$A$366,Estimator!$B$4,'Climate Data'!$B$7:$B$366,C349)</f>
        <v>0.22688172043010751</v>
      </c>
      <c r="I349" s="87">
        <f>SUMIFS('Climate Data'!$H$7:$H$366,'Climate Data'!$A$7:$A$366,Estimator!$B$4,'Climate Data'!$B$7:$B$366,C349)</f>
        <v>6.7962085308056865</v>
      </c>
      <c r="J349" s="86">
        <f>SUMIFS('Wind Proxy'!$H$8:$H$19,'Wind Proxy'!$A$8:$A$19,Estimator!$B$4,'Wind Proxy'!$B$8:$B$19,C349)</f>
        <v>0</v>
      </c>
    </row>
    <row r="350" spans="1:10" ht="14.4">
      <c r="A350" s="84">
        <v>46001</v>
      </c>
      <c r="B350" s="85">
        <v>2025</v>
      </c>
      <c r="C350" s="85">
        <v>12</v>
      </c>
      <c r="D350" s="85" t="s">
        <v>77</v>
      </c>
      <c r="E350" s="85">
        <v>10</v>
      </c>
      <c r="F350" s="85">
        <v>3</v>
      </c>
      <c r="G350" s="85">
        <f>--(F350&lt;=Estimator!$B$7)</f>
        <v>1</v>
      </c>
      <c r="H350" s="86">
        <f>SUMIFS('Climate Data'!$G$7:$G$366,'Climate Data'!$A$7:$A$366,Estimator!$B$4,'Climate Data'!$B$7:$B$366,C350)</f>
        <v>0.22688172043010751</v>
      </c>
      <c r="I350" s="87">
        <f>SUMIFS('Climate Data'!$H$7:$H$366,'Climate Data'!$A$7:$A$366,Estimator!$B$4,'Climate Data'!$B$7:$B$366,C350)</f>
        <v>6.7962085308056865</v>
      </c>
      <c r="J350" s="86">
        <f>SUMIFS('Wind Proxy'!$H$8:$H$19,'Wind Proxy'!$A$8:$A$19,Estimator!$B$4,'Wind Proxy'!$B$8:$B$19,C350)</f>
        <v>0</v>
      </c>
    </row>
    <row r="351" spans="1:10" ht="14.4">
      <c r="A351" s="84">
        <v>46002</v>
      </c>
      <c r="B351" s="85">
        <v>2025</v>
      </c>
      <c r="C351" s="85">
        <v>12</v>
      </c>
      <c r="D351" s="85" t="s">
        <v>77</v>
      </c>
      <c r="E351" s="85">
        <v>11</v>
      </c>
      <c r="F351" s="85">
        <v>4</v>
      </c>
      <c r="G351" s="85">
        <f>--(F351&lt;=Estimator!$B$7)</f>
        <v>1</v>
      </c>
      <c r="H351" s="86">
        <f>SUMIFS('Climate Data'!$G$7:$G$366,'Climate Data'!$A$7:$A$366,Estimator!$B$4,'Climate Data'!$B$7:$B$366,C351)</f>
        <v>0.22688172043010751</v>
      </c>
      <c r="I351" s="87">
        <f>SUMIFS('Climate Data'!$H$7:$H$366,'Climate Data'!$A$7:$A$366,Estimator!$B$4,'Climate Data'!$B$7:$B$366,C351)</f>
        <v>6.7962085308056865</v>
      </c>
      <c r="J351" s="86">
        <f>SUMIFS('Wind Proxy'!$H$8:$H$19,'Wind Proxy'!$A$8:$A$19,Estimator!$B$4,'Wind Proxy'!$B$8:$B$19,C351)</f>
        <v>0</v>
      </c>
    </row>
    <row r="352" spans="1:10" ht="14.4">
      <c r="A352" s="84">
        <v>46003</v>
      </c>
      <c r="B352" s="85">
        <v>2025</v>
      </c>
      <c r="C352" s="85">
        <v>12</v>
      </c>
      <c r="D352" s="85" t="s">
        <v>77</v>
      </c>
      <c r="E352" s="85">
        <v>12</v>
      </c>
      <c r="F352" s="85">
        <v>5</v>
      </c>
      <c r="G352" s="85">
        <f>--(F352&lt;=Estimator!$B$7)</f>
        <v>1</v>
      </c>
      <c r="H352" s="86">
        <f>SUMIFS('Climate Data'!$G$7:$G$366,'Climate Data'!$A$7:$A$366,Estimator!$B$4,'Climate Data'!$B$7:$B$366,C352)</f>
        <v>0.22688172043010751</v>
      </c>
      <c r="I352" s="87">
        <f>SUMIFS('Climate Data'!$H$7:$H$366,'Climate Data'!$A$7:$A$366,Estimator!$B$4,'Climate Data'!$B$7:$B$366,C352)</f>
        <v>6.7962085308056865</v>
      </c>
      <c r="J352" s="86">
        <f>SUMIFS('Wind Proxy'!$H$8:$H$19,'Wind Proxy'!$A$8:$A$19,Estimator!$B$4,'Wind Proxy'!$B$8:$B$19,C352)</f>
        <v>0</v>
      </c>
    </row>
    <row r="353" spans="1:10" ht="14.4">
      <c r="A353" s="84">
        <v>46004</v>
      </c>
      <c r="B353" s="85">
        <v>2025</v>
      </c>
      <c r="C353" s="85">
        <v>12</v>
      </c>
      <c r="D353" s="85" t="s">
        <v>77</v>
      </c>
      <c r="E353" s="85">
        <v>13</v>
      </c>
      <c r="F353" s="85">
        <v>6</v>
      </c>
      <c r="G353" s="85">
        <f>--(F353&lt;=Estimator!$B$7)</f>
        <v>0</v>
      </c>
      <c r="H353" s="86">
        <f>SUMIFS('Climate Data'!$G$7:$G$366,'Climate Data'!$A$7:$A$366,Estimator!$B$4,'Climate Data'!$B$7:$B$366,C353)</f>
        <v>0.22688172043010751</v>
      </c>
      <c r="I353" s="87">
        <f>SUMIFS('Climate Data'!$H$7:$H$366,'Climate Data'!$A$7:$A$366,Estimator!$B$4,'Climate Data'!$B$7:$B$366,C353)</f>
        <v>6.7962085308056865</v>
      </c>
      <c r="J353" s="86">
        <f>SUMIFS('Wind Proxy'!$H$8:$H$19,'Wind Proxy'!$A$8:$A$19,Estimator!$B$4,'Wind Proxy'!$B$8:$B$19,C353)</f>
        <v>0</v>
      </c>
    </row>
    <row r="354" spans="1:10" ht="14.4">
      <c r="A354" s="84">
        <v>46005</v>
      </c>
      <c r="B354" s="85">
        <v>2025</v>
      </c>
      <c r="C354" s="85">
        <v>12</v>
      </c>
      <c r="D354" s="85" t="s">
        <v>77</v>
      </c>
      <c r="E354" s="85">
        <v>14</v>
      </c>
      <c r="F354" s="85">
        <v>7</v>
      </c>
      <c r="G354" s="85">
        <f>--(F354&lt;=Estimator!$B$7)</f>
        <v>0</v>
      </c>
      <c r="H354" s="86">
        <f>SUMIFS('Climate Data'!$G$7:$G$366,'Climate Data'!$A$7:$A$366,Estimator!$B$4,'Climate Data'!$B$7:$B$366,C354)</f>
        <v>0.22688172043010751</v>
      </c>
      <c r="I354" s="87">
        <f>SUMIFS('Climate Data'!$H$7:$H$366,'Climate Data'!$A$7:$A$366,Estimator!$B$4,'Climate Data'!$B$7:$B$366,C354)</f>
        <v>6.7962085308056865</v>
      </c>
      <c r="J354" s="86">
        <f>SUMIFS('Wind Proxy'!$H$8:$H$19,'Wind Proxy'!$A$8:$A$19,Estimator!$B$4,'Wind Proxy'!$B$8:$B$19,C354)</f>
        <v>0</v>
      </c>
    </row>
    <row r="355" spans="1:10" ht="14.4">
      <c r="A355" s="84">
        <v>46006</v>
      </c>
      <c r="B355" s="85">
        <v>2025</v>
      </c>
      <c r="C355" s="85">
        <v>12</v>
      </c>
      <c r="D355" s="85" t="s">
        <v>77</v>
      </c>
      <c r="E355" s="85">
        <v>15</v>
      </c>
      <c r="F355" s="85">
        <v>1</v>
      </c>
      <c r="G355" s="85">
        <f>--(F355&lt;=Estimator!$B$7)</f>
        <v>1</v>
      </c>
      <c r="H355" s="86">
        <f>SUMIFS('Climate Data'!$G$7:$G$366,'Climate Data'!$A$7:$A$366,Estimator!$B$4,'Climate Data'!$B$7:$B$366,C355)</f>
        <v>0.22688172043010751</v>
      </c>
      <c r="I355" s="87">
        <f>SUMIFS('Climate Data'!$H$7:$H$366,'Climate Data'!$A$7:$A$366,Estimator!$B$4,'Climate Data'!$B$7:$B$366,C355)</f>
        <v>6.7962085308056865</v>
      </c>
      <c r="J355" s="86">
        <f>SUMIFS('Wind Proxy'!$H$8:$H$19,'Wind Proxy'!$A$8:$A$19,Estimator!$B$4,'Wind Proxy'!$B$8:$B$19,C355)</f>
        <v>0</v>
      </c>
    </row>
    <row r="356" spans="1:10" ht="14.4">
      <c r="A356" s="84">
        <v>46007</v>
      </c>
      <c r="B356" s="85">
        <v>2025</v>
      </c>
      <c r="C356" s="85">
        <v>12</v>
      </c>
      <c r="D356" s="85" t="s">
        <v>77</v>
      </c>
      <c r="E356" s="85">
        <v>16</v>
      </c>
      <c r="F356" s="85">
        <v>2</v>
      </c>
      <c r="G356" s="85">
        <f>--(F356&lt;=Estimator!$B$7)</f>
        <v>1</v>
      </c>
      <c r="H356" s="86">
        <f>SUMIFS('Climate Data'!$G$7:$G$366,'Climate Data'!$A$7:$A$366,Estimator!$B$4,'Climate Data'!$B$7:$B$366,C356)</f>
        <v>0.22688172043010751</v>
      </c>
      <c r="I356" s="87">
        <f>SUMIFS('Climate Data'!$H$7:$H$366,'Climate Data'!$A$7:$A$366,Estimator!$B$4,'Climate Data'!$B$7:$B$366,C356)</f>
        <v>6.7962085308056865</v>
      </c>
      <c r="J356" s="86">
        <f>SUMIFS('Wind Proxy'!$H$8:$H$19,'Wind Proxy'!$A$8:$A$19,Estimator!$B$4,'Wind Proxy'!$B$8:$B$19,C356)</f>
        <v>0</v>
      </c>
    </row>
    <row r="357" spans="1:10" ht="14.4">
      <c r="A357" s="84">
        <v>46008</v>
      </c>
      <c r="B357" s="85">
        <v>2025</v>
      </c>
      <c r="C357" s="85">
        <v>12</v>
      </c>
      <c r="D357" s="85" t="s">
        <v>77</v>
      </c>
      <c r="E357" s="85">
        <v>17</v>
      </c>
      <c r="F357" s="85">
        <v>3</v>
      </c>
      <c r="G357" s="85">
        <f>--(F357&lt;=Estimator!$B$7)</f>
        <v>1</v>
      </c>
      <c r="H357" s="86">
        <f>SUMIFS('Climate Data'!$G$7:$G$366,'Climate Data'!$A$7:$A$366,Estimator!$B$4,'Climate Data'!$B$7:$B$366,C357)</f>
        <v>0.22688172043010751</v>
      </c>
      <c r="I357" s="87">
        <f>SUMIFS('Climate Data'!$H$7:$H$366,'Climate Data'!$A$7:$A$366,Estimator!$B$4,'Climate Data'!$B$7:$B$366,C357)</f>
        <v>6.7962085308056865</v>
      </c>
      <c r="J357" s="86">
        <f>SUMIFS('Wind Proxy'!$H$8:$H$19,'Wind Proxy'!$A$8:$A$19,Estimator!$B$4,'Wind Proxy'!$B$8:$B$19,C357)</f>
        <v>0</v>
      </c>
    </row>
    <row r="358" spans="1:10" ht="14.4">
      <c r="A358" s="84">
        <v>46009</v>
      </c>
      <c r="B358" s="85">
        <v>2025</v>
      </c>
      <c r="C358" s="85">
        <v>12</v>
      </c>
      <c r="D358" s="85" t="s">
        <v>77</v>
      </c>
      <c r="E358" s="85">
        <v>18</v>
      </c>
      <c r="F358" s="85">
        <v>4</v>
      </c>
      <c r="G358" s="85">
        <f>--(F358&lt;=Estimator!$B$7)</f>
        <v>1</v>
      </c>
      <c r="H358" s="86">
        <f>SUMIFS('Climate Data'!$G$7:$G$366,'Climate Data'!$A$7:$A$366,Estimator!$B$4,'Climate Data'!$B$7:$B$366,C358)</f>
        <v>0.22688172043010751</v>
      </c>
      <c r="I358" s="87">
        <f>SUMIFS('Climate Data'!$H$7:$H$366,'Climate Data'!$A$7:$A$366,Estimator!$B$4,'Climate Data'!$B$7:$B$366,C358)</f>
        <v>6.7962085308056865</v>
      </c>
      <c r="J358" s="86">
        <f>SUMIFS('Wind Proxy'!$H$8:$H$19,'Wind Proxy'!$A$8:$A$19,Estimator!$B$4,'Wind Proxy'!$B$8:$B$19,C358)</f>
        <v>0</v>
      </c>
    </row>
    <row r="359" spans="1:10" ht="14.4">
      <c r="A359" s="84">
        <v>46010</v>
      </c>
      <c r="B359" s="85">
        <v>2025</v>
      </c>
      <c r="C359" s="85">
        <v>12</v>
      </c>
      <c r="D359" s="85" t="s">
        <v>77</v>
      </c>
      <c r="E359" s="85">
        <v>19</v>
      </c>
      <c r="F359" s="85">
        <v>5</v>
      </c>
      <c r="G359" s="85">
        <f>--(F359&lt;=Estimator!$B$7)</f>
        <v>1</v>
      </c>
      <c r="H359" s="86">
        <f>SUMIFS('Climate Data'!$G$7:$G$366,'Climate Data'!$A$7:$A$366,Estimator!$B$4,'Climate Data'!$B$7:$B$366,C359)</f>
        <v>0.22688172043010751</v>
      </c>
      <c r="I359" s="87">
        <f>SUMIFS('Climate Data'!$H$7:$H$366,'Climate Data'!$A$7:$A$366,Estimator!$B$4,'Climate Data'!$B$7:$B$366,C359)</f>
        <v>6.7962085308056865</v>
      </c>
      <c r="J359" s="86">
        <f>SUMIFS('Wind Proxy'!$H$8:$H$19,'Wind Proxy'!$A$8:$A$19,Estimator!$B$4,'Wind Proxy'!$B$8:$B$19,C359)</f>
        <v>0</v>
      </c>
    </row>
    <row r="360" spans="1:10" ht="14.4">
      <c r="A360" s="84">
        <v>46011</v>
      </c>
      <c r="B360" s="85">
        <v>2025</v>
      </c>
      <c r="C360" s="85">
        <v>12</v>
      </c>
      <c r="D360" s="85" t="s">
        <v>77</v>
      </c>
      <c r="E360" s="85">
        <v>20</v>
      </c>
      <c r="F360" s="85">
        <v>6</v>
      </c>
      <c r="G360" s="85">
        <f>--(F360&lt;=Estimator!$B$7)</f>
        <v>0</v>
      </c>
      <c r="H360" s="86">
        <f>SUMIFS('Climate Data'!$G$7:$G$366,'Climate Data'!$A$7:$A$366,Estimator!$B$4,'Climate Data'!$B$7:$B$366,C360)</f>
        <v>0.22688172043010751</v>
      </c>
      <c r="I360" s="87">
        <f>SUMIFS('Climate Data'!$H$7:$H$366,'Climate Data'!$A$7:$A$366,Estimator!$B$4,'Climate Data'!$B$7:$B$366,C360)</f>
        <v>6.7962085308056865</v>
      </c>
      <c r="J360" s="86">
        <f>SUMIFS('Wind Proxy'!$H$8:$H$19,'Wind Proxy'!$A$8:$A$19,Estimator!$B$4,'Wind Proxy'!$B$8:$B$19,C360)</f>
        <v>0</v>
      </c>
    </row>
    <row r="361" spans="1:10" ht="14.4">
      <c r="A361" s="84">
        <v>46012</v>
      </c>
      <c r="B361" s="85">
        <v>2025</v>
      </c>
      <c r="C361" s="85">
        <v>12</v>
      </c>
      <c r="D361" s="85" t="s">
        <v>77</v>
      </c>
      <c r="E361" s="85">
        <v>21</v>
      </c>
      <c r="F361" s="85">
        <v>7</v>
      </c>
      <c r="G361" s="85">
        <f>--(F361&lt;=Estimator!$B$7)</f>
        <v>0</v>
      </c>
      <c r="H361" s="86">
        <f>SUMIFS('Climate Data'!$G$7:$G$366,'Climate Data'!$A$7:$A$366,Estimator!$B$4,'Climate Data'!$B$7:$B$366,C361)</f>
        <v>0.22688172043010751</v>
      </c>
      <c r="I361" s="87">
        <f>SUMIFS('Climate Data'!$H$7:$H$366,'Climate Data'!$A$7:$A$366,Estimator!$B$4,'Climate Data'!$B$7:$B$366,C361)</f>
        <v>6.7962085308056865</v>
      </c>
      <c r="J361" s="86">
        <f>SUMIFS('Wind Proxy'!$H$8:$H$19,'Wind Proxy'!$A$8:$A$19,Estimator!$B$4,'Wind Proxy'!$B$8:$B$19,C361)</f>
        <v>0</v>
      </c>
    </row>
    <row r="362" spans="1:10" ht="14.4">
      <c r="A362" s="84">
        <v>46013</v>
      </c>
      <c r="B362" s="85">
        <v>2025</v>
      </c>
      <c r="C362" s="85">
        <v>12</v>
      </c>
      <c r="D362" s="85" t="s">
        <v>77</v>
      </c>
      <c r="E362" s="85">
        <v>22</v>
      </c>
      <c r="F362" s="85">
        <v>1</v>
      </c>
      <c r="G362" s="85">
        <f>--(F362&lt;=Estimator!$B$7)</f>
        <v>1</v>
      </c>
      <c r="H362" s="86">
        <f>SUMIFS('Climate Data'!$G$7:$G$366,'Climate Data'!$A$7:$A$366,Estimator!$B$4,'Climate Data'!$B$7:$B$366,C362)</f>
        <v>0.22688172043010751</v>
      </c>
      <c r="I362" s="87">
        <f>SUMIFS('Climate Data'!$H$7:$H$366,'Climate Data'!$A$7:$A$366,Estimator!$B$4,'Climate Data'!$B$7:$B$366,C362)</f>
        <v>6.7962085308056865</v>
      </c>
      <c r="J362" s="86">
        <f>SUMIFS('Wind Proxy'!$H$8:$H$19,'Wind Proxy'!$A$8:$A$19,Estimator!$B$4,'Wind Proxy'!$B$8:$B$19,C362)</f>
        <v>0</v>
      </c>
    </row>
    <row r="363" spans="1:10" ht="14.4">
      <c r="A363" s="84">
        <v>46014</v>
      </c>
      <c r="B363" s="85">
        <v>2025</v>
      </c>
      <c r="C363" s="85">
        <v>12</v>
      </c>
      <c r="D363" s="85" t="s">
        <v>77</v>
      </c>
      <c r="E363" s="85">
        <v>23</v>
      </c>
      <c r="F363" s="85">
        <v>2</v>
      </c>
      <c r="G363" s="85">
        <f>--(F363&lt;=Estimator!$B$7)</f>
        <v>1</v>
      </c>
      <c r="H363" s="86">
        <f>SUMIFS('Climate Data'!$G$7:$G$366,'Climate Data'!$A$7:$A$366,Estimator!$B$4,'Climate Data'!$B$7:$B$366,C363)</f>
        <v>0.22688172043010751</v>
      </c>
      <c r="I363" s="87">
        <f>SUMIFS('Climate Data'!$H$7:$H$366,'Climate Data'!$A$7:$A$366,Estimator!$B$4,'Climate Data'!$B$7:$B$366,C363)</f>
        <v>6.7962085308056865</v>
      </c>
      <c r="J363" s="86">
        <f>SUMIFS('Wind Proxy'!$H$8:$H$19,'Wind Proxy'!$A$8:$A$19,Estimator!$B$4,'Wind Proxy'!$B$8:$B$19,C363)</f>
        <v>0</v>
      </c>
    </row>
    <row r="364" spans="1:10" ht="14.4">
      <c r="A364" s="84">
        <v>46015</v>
      </c>
      <c r="B364" s="85">
        <v>2025</v>
      </c>
      <c r="C364" s="85">
        <v>12</v>
      </c>
      <c r="D364" s="85" t="s">
        <v>77</v>
      </c>
      <c r="E364" s="85">
        <v>24</v>
      </c>
      <c r="F364" s="85">
        <v>3</v>
      </c>
      <c r="G364" s="85">
        <f>--(F364&lt;=Estimator!$B$7)</f>
        <v>1</v>
      </c>
      <c r="H364" s="86">
        <f>SUMIFS('Climate Data'!$G$7:$G$366,'Climate Data'!$A$7:$A$366,Estimator!$B$4,'Climate Data'!$B$7:$B$366,C364)</f>
        <v>0.22688172043010751</v>
      </c>
      <c r="I364" s="87">
        <f>SUMIFS('Climate Data'!$H$7:$H$366,'Climate Data'!$A$7:$A$366,Estimator!$B$4,'Climate Data'!$B$7:$B$366,C364)</f>
        <v>6.7962085308056865</v>
      </c>
      <c r="J364" s="86">
        <f>SUMIFS('Wind Proxy'!$H$8:$H$19,'Wind Proxy'!$A$8:$A$19,Estimator!$B$4,'Wind Proxy'!$B$8:$B$19,C364)</f>
        <v>0</v>
      </c>
    </row>
    <row r="365" spans="1:10" ht="14.4">
      <c r="A365" s="84">
        <v>46016</v>
      </c>
      <c r="B365" s="85">
        <v>2025</v>
      </c>
      <c r="C365" s="85">
        <v>12</v>
      </c>
      <c r="D365" s="85" t="s">
        <v>77</v>
      </c>
      <c r="E365" s="85">
        <v>25</v>
      </c>
      <c r="F365" s="85">
        <v>4</v>
      </c>
      <c r="G365" s="85">
        <f>--(F365&lt;=Estimator!$B$7)</f>
        <v>1</v>
      </c>
      <c r="H365" s="86">
        <f>SUMIFS('Climate Data'!$G$7:$G$366,'Climate Data'!$A$7:$A$366,Estimator!$B$4,'Climate Data'!$B$7:$B$366,C365)</f>
        <v>0.22688172043010751</v>
      </c>
      <c r="I365" s="87">
        <f>SUMIFS('Climate Data'!$H$7:$H$366,'Climate Data'!$A$7:$A$366,Estimator!$B$4,'Climate Data'!$B$7:$B$366,C365)</f>
        <v>6.7962085308056865</v>
      </c>
      <c r="J365" s="86">
        <f>SUMIFS('Wind Proxy'!$H$8:$H$19,'Wind Proxy'!$A$8:$A$19,Estimator!$B$4,'Wind Proxy'!$B$8:$B$19,C365)</f>
        <v>0</v>
      </c>
    </row>
    <row r="366" spans="1:10" ht="14.4">
      <c r="A366" s="84">
        <v>46017</v>
      </c>
      <c r="B366" s="85">
        <v>2025</v>
      </c>
      <c r="C366" s="85">
        <v>12</v>
      </c>
      <c r="D366" s="85" t="s">
        <v>77</v>
      </c>
      <c r="E366" s="85">
        <v>26</v>
      </c>
      <c r="F366" s="85">
        <v>5</v>
      </c>
      <c r="G366" s="85">
        <f>--(F366&lt;=Estimator!$B$7)</f>
        <v>1</v>
      </c>
      <c r="H366" s="86">
        <f>SUMIFS('Climate Data'!$G$7:$G$366,'Climate Data'!$A$7:$A$366,Estimator!$B$4,'Climate Data'!$B$7:$B$366,C366)</f>
        <v>0.22688172043010751</v>
      </c>
      <c r="I366" s="87">
        <f>SUMIFS('Climate Data'!$H$7:$H$366,'Climate Data'!$A$7:$A$366,Estimator!$B$4,'Climate Data'!$B$7:$B$366,C366)</f>
        <v>6.7962085308056865</v>
      </c>
      <c r="J366" s="86">
        <f>SUMIFS('Wind Proxy'!$H$8:$H$19,'Wind Proxy'!$A$8:$A$19,Estimator!$B$4,'Wind Proxy'!$B$8:$B$19,C366)</f>
        <v>0</v>
      </c>
    </row>
    <row r="367" spans="1:10" ht="14.4">
      <c r="A367" s="84">
        <v>46018</v>
      </c>
      <c r="B367" s="85">
        <v>2025</v>
      </c>
      <c r="C367" s="85">
        <v>12</v>
      </c>
      <c r="D367" s="85" t="s">
        <v>77</v>
      </c>
      <c r="E367" s="85">
        <v>27</v>
      </c>
      <c r="F367" s="85">
        <v>6</v>
      </c>
      <c r="G367" s="85">
        <f>--(F367&lt;=Estimator!$B$7)</f>
        <v>0</v>
      </c>
      <c r="H367" s="86">
        <f>SUMIFS('Climate Data'!$G$7:$G$366,'Climate Data'!$A$7:$A$366,Estimator!$B$4,'Climate Data'!$B$7:$B$366,C367)</f>
        <v>0.22688172043010751</v>
      </c>
      <c r="I367" s="87">
        <f>SUMIFS('Climate Data'!$H$7:$H$366,'Climate Data'!$A$7:$A$366,Estimator!$B$4,'Climate Data'!$B$7:$B$366,C367)</f>
        <v>6.7962085308056865</v>
      </c>
      <c r="J367" s="86">
        <f>SUMIFS('Wind Proxy'!$H$8:$H$19,'Wind Proxy'!$A$8:$A$19,Estimator!$B$4,'Wind Proxy'!$B$8:$B$19,C367)</f>
        <v>0</v>
      </c>
    </row>
    <row r="368" spans="1:10" ht="14.4">
      <c r="A368" s="84">
        <v>46019</v>
      </c>
      <c r="B368" s="85">
        <v>2025</v>
      </c>
      <c r="C368" s="85">
        <v>12</v>
      </c>
      <c r="D368" s="85" t="s">
        <v>77</v>
      </c>
      <c r="E368" s="85">
        <v>28</v>
      </c>
      <c r="F368" s="85">
        <v>7</v>
      </c>
      <c r="G368" s="85">
        <f>--(F368&lt;=Estimator!$B$7)</f>
        <v>0</v>
      </c>
      <c r="H368" s="86">
        <f>SUMIFS('Climate Data'!$G$7:$G$366,'Climate Data'!$A$7:$A$366,Estimator!$B$4,'Climate Data'!$B$7:$B$366,C368)</f>
        <v>0.22688172043010751</v>
      </c>
      <c r="I368" s="87">
        <f>SUMIFS('Climate Data'!$H$7:$H$366,'Climate Data'!$A$7:$A$366,Estimator!$B$4,'Climate Data'!$B$7:$B$366,C368)</f>
        <v>6.7962085308056865</v>
      </c>
      <c r="J368" s="86">
        <f>SUMIFS('Wind Proxy'!$H$8:$H$19,'Wind Proxy'!$A$8:$A$19,Estimator!$B$4,'Wind Proxy'!$B$8:$B$19,C368)</f>
        <v>0</v>
      </c>
    </row>
    <row r="369" spans="1:10" ht="14.4">
      <c r="A369" s="84">
        <v>46020</v>
      </c>
      <c r="B369" s="85">
        <v>2025</v>
      </c>
      <c r="C369" s="85">
        <v>12</v>
      </c>
      <c r="D369" s="85" t="s">
        <v>77</v>
      </c>
      <c r="E369" s="85">
        <v>29</v>
      </c>
      <c r="F369" s="85">
        <v>1</v>
      </c>
      <c r="G369" s="85">
        <f>--(F369&lt;=Estimator!$B$7)</f>
        <v>1</v>
      </c>
      <c r="H369" s="86">
        <f>SUMIFS('Climate Data'!$G$7:$G$366,'Climate Data'!$A$7:$A$366,Estimator!$B$4,'Climate Data'!$B$7:$B$366,C369)</f>
        <v>0.22688172043010751</v>
      </c>
      <c r="I369" s="87">
        <f>SUMIFS('Climate Data'!$H$7:$H$366,'Climate Data'!$A$7:$A$366,Estimator!$B$4,'Climate Data'!$B$7:$B$366,C369)</f>
        <v>6.7962085308056865</v>
      </c>
      <c r="J369" s="86">
        <f>SUMIFS('Wind Proxy'!$H$8:$H$19,'Wind Proxy'!$A$8:$A$19,Estimator!$B$4,'Wind Proxy'!$B$8:$B$19,C369)</f>
        <v>0</v>
      </c>
    </row>
    <row r="370" spans="1:10" ht="14.4">
      <c r="A370" s="84">
        <v>46021</v>
      </c>
      <c r="B370" s="85">
        <v>2025</v>
      </c>
      <c r="C370" s="85">
        <v>12</v>
      </c>
      <c r="D370" s="85" t="s">
        <v>77</v>
      </c>
      <c r="E370" s="85">
        <v>30</v>
      </c>
      <c r="F370" s="85">
        <v>2</v>
      </c>
      <c r="G370" s="85">
        <f>--(F370&lt;=Estimator!$B$7)</f>
        <v>1</v>
      </c>
      <c r="H370" s="86">
        <f>SUMIFS('Climate Data'!$G$7:$G$366,'Climate Data'!$A$7:$A$366,Estimator!$B$4,'Climate Data'!$B$7:$B$366,C370)</f>
        <v>0.22688172043010751</v>
      </c>
      <c r="I370" s="87">
        <f>SUMIFS('Climate Data'!$H$7:$H$366,'Climate Data'!$A$7:$A$366,Estimator!$B$4,'Climate Data'!$B$7:$B$366,C370)</f>
        <v>6.7962085308056865</v>
      </c>
      <c r="J370" s="86">
        <f>SUMIFS('Wind Proxy'!$H$8:$H$19,'Wind Proxy'!$A$8:$A$19,Estimator!$B$4,'Wind Proxy'!$B$8:$B$19,C370)</f>
        <v>0</v>
      </c>
    </row>
    <row r="371" spans="1:10" ht="14.4">
      <c r="A371" s="84">
        <v>46022</v>
      </c>
      <c r="B371" s="85">
        <v>2025</v>
      </c>
      <c r="C371" s="85">
        <v>12</v>
      </c>
      <c r="D371" s="85" t="s">
        <v>77</v>
      </c>
      <c r="E371" s="85">
        <v>31</v>
      </c>
      <c r="F371" s="85">
        <v>3</v>
      </c>
      <c r="G371" s="85">
        <f>--(F371&lt;=Estimator!$B$7)</f>
        <v>1</v>
      </c>
      <c r="H371" s="86">
        <f>SUMIFS('Climate Data'!$G$7:$G$366,'Climate Data'!$A$7:$A$366,Estimator!$B$4,'Climate Data'!$B$7:$B$366,C371)</f>
        <v>0.22688172043010751</v>
      </c>
      <c r="I371" s="87">
        <f>SUMIFS('Climate Data'!$H$7:$H$366,'Climate Data'!$A$7:$A$366,Estimator!$B$4,'Climate Data'!$B$7:$B$366,C371)</f>
        <v>6.7962085308056865</v>
      </c>
      <c r="J371" s="86">
        <f>SUMIFS('Wind Proxy'!$H$8:$H$19,'Wind Proxy'!$A$8:$A$19,Estimator!$B$4,'Wind Proxy'!$B$8:$B$19,C371)</f>
        <v>0</v>
      </c>
    </row>
    <row r="372" spans="1:10" ht="14.4">
      <c r="A372" s="84">
        <v>46023</v>
      </c>
      <c r="B372" s="85">
        <v>2026</v>
      </c>
      <c r="C372" s="85">
        <v>1</v>
      </c>
      <c r="D372" s="85" t="s">
        <v>55</v>
      </c>
      <c r="E372" s="85">
        <v>1</v>
      </c>
      <c r="F372" s="85">
        <v>4</v>
      </c>
      <c r="G372" s="85">
        <f>--(F372&lt;=Estimator!$B$7)</f>
        <v>1</v>
      </c>
      <c r="H372" s="86">
        <f>SUMIFS('Climate Data'!$G$7:$G$366,'Climate Data'!$A$7:$A$366,Estimator!$B$4,'Climate Data'!$B$7:$B$366,C372)</f>
        <v>0.19462365591397848</v>
      </c>
      <c r="I372" s="87">
        <f>SUMIFS('Climate Data'!$H$7:$H$366,'Climate Data'!$A$7:$A$366,Estimator!$B$4,'Climate Data'!$B$7:$B$366,C372)</f>
        <v>7.027624309392265</v>
      </c>
      <c r="J372" s="86">
        <f>SUMIFS('Wind Proxy'!$H$8:$H$19,'Wind Proxy'!$A$8:$A$19,Estimator!$B$4,'Wind Proxy'!$B$8:$B$19,C372)</f>
        <v>0</v>
      </c>
    </row>
    <row r="373" spans="1:10" ht="14.4">
      <c r="A373" s="84">
        <v>46024</v>
      </c>
      <c r="B373" s="85">
        <v>2026</v>
      </c>
      <c r="C373" s="85">
        <v>1</v>
      </c>
      <c r="D373" s="85" t="s">
        <v>55</v>
      </c>
      <c r="E373" s="85">
        <v>2</v>
      </c>
      <c r="F373" s="85">
        <v>5</v>
      </c>
      <c r="G373" s="85">
        <f>--(F373&lt;=Estimator!$B$7)</f>
        <v>1</v>
      </c>
      <c r="H373" s="86">
        <f>SUMIFS('Climate Data'!$G$7:$G$366,'Climate Data'!$A$7:$A$366,Estimator!$B$4,'Climate Data'!$B$7:$B$366,C373)</f>
        <v>0.19462365591397848</v>
      </c>
      <c r="I373" s="87">
        <f>SUMIFS('Climate Data'!$H$7:$H$366,'Climate Data'!$A$7:$A$366,Estimator!$B$4,'Climate Data'!$B$7:$B$366,C373)</f>
        <v>7.027624309392265</v>
      </c>
      <c r="J373" s="86">
        <f>SUMIFS('Wind Proxy'!$H$8:$H$19,'Wind Proxy'!$A$8:$A$19,Estimator!$B$4,'Wind Proxy'!$B$8:$B$19,C373)</f>
        <v>0</v>
      </c>
    </row>
    <row r="374" spans="1:10" ht="14.4">
      <c r="A374" s="84">
        <v>46025</v>
      </c>
      <c r="B374" s="85">
        <v>2026</v>
      </c>
      <c r="C374" s="85">
        <v>1</v>
      </c>
      <c r="D374" s="85" t="s">
        <v>55</v>
      </c>
      <c r="E374" s="85">
        <v>3</v>
      </c>
      <c r="F374" s="85">
        <v>6</v>
      </c>
      <c r="G374" s="85">
        <f>--(F374&lt;=Estimator!$B$7)</f>
        <v>0</v>
      </c>
      <c r="H374" s="86">
        <f>SUMIFS('Climate Data'!$G$7:$G$366,'Climate Data'!$A$7:$A$366,Estimator!$B$4,'Climate Data'!$B$7:$B$366,C374)</f>
        <v>0.19462365591397848</v>
      </c>
      <c r="I374" s="87">
        <f>SUMIFS('Climate Data'!$H$7:$H$366,'Climate Data'!$A$7:$A$366,Estimator!$B$4,'Climate Data'!$B$7:$B$366,C374)</f>
        <v>7.027624309392265</v>
      </c>
      <c r="J374" s="86">
        <f>SUMIFS('Wind Proxy'!$H$8:$H$19,'Wind Proxy'!$A$8:$A$19,Estimator!$B$4,'Wind Proxy'!$B$8:$B$19,C374)</f>
        <v>0</v>
      </c>
    </row>
    <row r="375" spans="1:10" ht="14.4">
      <c r="A375" s="84">
        <v>46026</v>
      </c>
      <c r="B375" s="85">
        <v>2026</v>
      </c>
      <c r="C375" s="85">
        <v>1</v>
      </c>
      <c r="D375" s="85" t="s">
        <v>55</v>
      </c>
      <c r="E375" s="85">
        <v>4</v>
      </c>
      <c r="F375" s="85">
        <v>7</v>
      </c>
      <c r="G375" s="85">
        <f>--(F375&lt;=Estimator!$B$7)</f>
        <v>0</v>
      </c>
      <c r="H375" s="86">
        <f>SUMIFS('Climate Data'!$G$7:$G$366,'Climate Data'!$A$7:$A$366,Estimator!$B$4,'Climate Data'!$B$7:$B$366,C375)</f>
        <v>0.19462365591397848</v>
      </c>
      <c r="I375" s="87">
        <f>SUMIFS('Climate Data'!$H$7:$H$366,'Climate Data'!$A$7:$A$366,Estimator!$B$4,'Climate Data'!$B$7:$B$366,C375)</f>
        <v>7.027624309392265</v>
      </c>
      <c r="J375" s="86">
        <f>SUMIFS('Wind Proxy'!$H$8:$H$19,'Wind Proxy'!$A$8:$A$19,Estimator!$B$4,'Wind Proxy'!$B$8:$B$19,C375)</f>
        <v>0</v>
      </c>
    </row>
    <row r="376" spans="1:10" ht="14.4">
      <c r="A376" s="84">
        <v>46027</v>
      </c>
      <c r="B376" s="85">
        <v>2026</v>
      </c>
      <c r="C376" s="85">
        <v>1</v>
      </c>
      <c r="D376" s="85" t="s">
        <v>55</v>
      </c>
      <c r="E376" s="85">
        <v>5</v>
      </c>
      <c r="F376" s="85">
        <v>1</v>
      </c>
      <c r="G376" s="85">
        <f>--(F376&lt;=Estimator!$B$7)</f>
        <v>1</v>
      </c>
      <c r="H376" s="86">
        <f>SUMIFS('Climate Data'!$G$7:$G$366,'Climate Data'!$A$7:$A$366,Estimator!$B$4,'Climate Data'!$B$7:$B$366,C376)</f>
        <v>0.19462365591397848</v>
      </c>
      <c r="I376" s="87">
        <f>SUMIFS('Climate Data'!$H$7:$H$366,'Climate Data'!$A$7:$A$366,Estimator!$B$4,'Climate Data'!$B$7:$B$366,C376)</f>
        <v>7.027624309392265</v>
      </c>
      <c r="J376" s="86">
        <f>SUMIFS('Wind Proxy'!$H$8:$H$19,'Wind Proxy'!$A$8:$A$19,Estimator!$B$4,'Wind Proxy'!$B$8:$B$19,C376)</f>
        <v>0</v>
      </c>
    </row>
    <row r="377" spans="1:10" ht="14.4">
      <c r="A377" s="84">
        <v>46028</v>
      </c>
      <c r="B377" s="85">
        <v>2026</v>
      </c>
      <c r="C377" s="85">
        <v>1</v>
      </c>
      <c r="D377" s="85" t="s">
        <v>55</v>
      </c>
      <c r="E377" s="85">
        <v>6</v>
      </c>
      <c r="F377" s="85">
        <v>2</v>
      </c>
      <c r="G377" s="85">
        <f>--(F377&lt;=Estimator!$B$7)</f>
        <v>1</v>
      </c>
      <c r="H377" s="86">
        <f>SUMIFS('Climate Data'!$G$7:$G$366,'Climate Data'!$A$7:$A$366,Estimator!$B$4,'Climate Data'!$B$7:$B$366,C377)</f>
        <v>0.19462365591397848</v>
      </c>
      <c r="I377" s="87">
        <f>SUMIFS('Climate Data'!$H$7:$H$366,'Climate Data'!$A$7:$A$366,Estimator!$B$4,'Climate Data'!$B$7:$B$366,C377)</f>
        <v>7.027624309392265</v>
      </c>
      <c r="J377" s="86">
        <f>SUMIFS('Wind Proxy'!$H$8:$H$19,'Wind Proxy'!$A$8:$A$19,Estimator!$B$4,'Wind Proxy'!$B$8:$B$19,C377)</f>
        <v>0</v>
      </c>
    </row>
    <row r="378" spans="1:10" ht="14.4">
      <c r="A378" s="84">
        <v>46029</v>
      </c>
      <c r="B378" s="85">
        <v>2026</v>
      </c>
      <c r="C378" s="85">
        <v>1</v>
      </c>
      <c r="D378" s="85" t="s">
        <v>55</v>
      </c>
      <c r="E378" s="85">
        <v>7</v>
      </c>
      <c r="F378" s="85">
        <v>3</v>
      </c>
      <c r="G378" s="85">
        <f>--(F378&lt;=Estimator!$B$7)</f>
        <v>1</v>
      </c>
      <c r="H378" s="86">
        <f>SUMIFS('Climate Data'!$G$7:$G$366,'Climate Data'!$A$7:$A$366,Estimator!$B$4,'Climate Data'!$B$7:$B$366,C378)</f>
        <v>0.19462365591397848</v>
      </c>
      <c r="I378" s="87">
        <f>SUMIFS('Climate Data'!$H$7:$H$366,'Climate Data'!$A$7:$A$366,Estimator!$B$4,'Climate Data'!$B$7:$B$366,C378)</f>
        <v>7.027624309392265</v>
      </c>
      <c r="J378" s="86">
        <f>SUMIFS('Wind Proxy'!$H$8:$H$19,'Wind Proxy'!$A$8:$A$19,Estimator!$B$4,'Wind Proxy'!$B$8:$B$19,C378)</f>
        <v>0</v>
      </c>
    </row>
    <row r="379" spans="1:10" ht="14.4">
      <c r="A379" s="84">
        <v>46030</v>
      </c>
      <c r="B379" s="85">
        <v>2026</v>
      </c>
      <c r="C379" s="85">
        <v>1</v>
      </c>
      <c r="D379" s="85" t="s">
        <v>55</v>
      </c>
      <c r="E379" s="85">
        <v>8</v>
      </c>
      <c r="F379" s="85">
        <v>4</v>
      </c>
      <c r="G379" s="85">
        <f>--(F379&lt;=Estimator!$B$7)</f>
        <v>1</v>
      </c>
      <c r="H379" s="86">
        <f>SUMIFS('Climate Data'!$G$7:$G$366,'Climate Data'!$A$7:$A$366,Estimator!$B$4,'Climate Data'!$B$7:$B$366,C379)</f>
        <v>0.19462365591397848</v>
      </c>
      <c r="I379" s="87">
        <f>SUMIFS('Climate Data'!$H$7:$H$366,'Climate Data'!$A$7:$A$366,Estimator!$B$4,'Climate Data'!$B$7:$B$366,C379)</f>
        <v>7.027624309392265</v>
      </c>
      <c r="J379" s="86">
        <f>SUMIFS('Wind Proxy'!$H$8:$H$19,'Wind Proxy'!$A$8:$A$19,Estimator!$B$4,'Wind Proxy'!$B$8:$B$19,C379)</f>
        <v>0</v>
      </c>
    </row>
    <row r="380" spans="1:10" ht="14.4">
      <c r="A380" s="84">
        <v>46031</v>
      </c>
      <c r="B380" s="85">
        <v>2026</v>
      </c>
      <c r="C380" s="85">
        <v>1</v>
      </c>
      <c r="D380" s="85" t="s">
        <v>55</v>
      </c>
      <c r="E380" s="85">
        <v>9</v>
      </c>
      <c r="F380" s="85">
        <v>5</v>
      </c>
      <c r="G380" s="85">
        <f>--(F380&lt;=Estimator!$B$7)</f>
        <v>1</v>
      </c>
      <c r="H380" s="86">
        <f>SUMIFS('Climate Data'!$G$7:$G$366,'Climate Data'!$A$7:$A$366,Estimator!$B$4,'Climate Data'!$B$7:$B$366,C380)</f>
        <v>0.19462365591397848</v>
      </c>
      <c r="I380" s="87">
        <f>SUMIFS('Climate Data'!$H$7:$H$366,'Climate Data'!$A$7:$A$366,Estimator!$B$4,'Climate Data'!$B$7:$B$366,C380)</f>
        <v>7.027624309392265</v>
      </c>
      <c r="J380" s="86">
        <f>SUMIFS('Wind Proxy'!$H$8:$H$19,'Wind Proxy'!$A$8:$A$19,Estimator!$B$4,'Wind Proxy'!$B$8:$B$19,C380)</f>
        <v>0</v>
      </c>
    </row>
    <row r="381" spans="1:10" ht="14.4">
      <c r="A381" s="84">
        <v>46032</v>
      </c>
      <c r="B381" s="85">
        <v>2026</v>
      </c>
      <c r="C381" s="85">
        <v>1</v>
      </c>
      <c r="D381" s="85" t="s">
        <v>55</v>
      </c>
      <c r="E381" s="85">
        <v>10</v>
      </c>
      <c r="F381" s="85">
        <v>6</v>
      </c>
      <c r="G381" s="85">
        <f>--(F381&lt;=Estimator!$B$7)</f>
        <v>0</v>
      </c>
      <c r="H381" s="86">
        <f>SUMIFS('Climate Data'!$G$7:$G$366,'Climate Data'!$A$7:$A$366,Estimator!$B$4,'Climate Data'!$B$7:$B$366,C381)</f>
        <v>0.19462365591397848</v>
      </c>
      <c r="I381" s="87">
        <f>SUMIFS('Climate Data'!$H$7:$H$366,'Climate Data'!$A$7:$A$366,Estimator!$B$4,'Climate Data'!$B$7:$B$366,C381)</f>
        <v>7.027624309392265</v>
      </c>
      <c r="J381" s="86">
        <f>SUMIFS('Wind Proxy'!$H$8:$H$19,'Wind Proxy'!$A$8:$A$19,Estimator!$B$4,'Wind Proxy'!$B$8:$B$19,C381)</f>
        <v>0</v>
      </c>
    </row>
    <row r="382" spans="1:10" ht="14.4">
      <c r="A382" s="84">
        <v>46033</v>
      </c>
      <c r="B382" s="85">
        <v>2026</v>
      </c>
      <c r="C382" s="85">
        <v>1</v>
      </c>
      <c r="D382" s="85" t="s">
        <v>55</v>
      </c>
      <c r="E382" s="85">
        <v>11</v>
      </c>
      <c r="F382" s="85">
        <v>7</v>
      </c>
      <c r="G382" s="85">
        <f>--(F382&lt;=Estimator!$B$7)</f>
        <v>0</v>
      </c>
      <c r="H382" s="86">
        <f>SUMIFS('Climate Data'!$G$7:$G$366,'Climate Data'!$A$7:$A$366,Estimator!$B$4,'Climate Data'!$B$7:$B$366,C382)</f>
        <v>0.19462365591397848</v>
      </c>
      <c r="I382" s="87">
        <f>SUMIFS('Climate Data'!$H$7:$H$366,'Climate Data'!$A$7:$A$366,Estimator!$B$4,'Climate Data'!$B$7:$B$366,C382)</f>
        <v>7.027624309392265</v>
      </c>
      <c r="J382" s="86">
        <f>SUMIFS('Wind Proxy'!$H$8:$H$19,'Wind Proxy'!$A$8:$A$19,Estimator!$B$4,'Wind Proxy'!$B$8:$B$19,C382)</f>
        <v>0</v>
      </c>
    </row>
    <row r="383" spans="1:10" ht="14.4">
      <c r="A383" s="84">
        <v>46034</v>
      </c>
      <c r="B383" s="85">
        <v>2026</v>
      </c>
      <c r="C383" s="85">
        <v>1</v>
      </c>
      <c r="D383" s="85" t="s">
        <v>55</v>
      </c>
      <c r="E383" s="85">
        <v>12</v>
      </c>
      <c r="F383" s="85">
        <v>1</v>
      </c>
      <c r="G383" s="85">
        <f>--(F383&lt;=Estimator!$B$7)</f>
        <v>1</v>
      </c>
      <c r="H383" s="86">
        <f>SUMIFS('Climate Data'!$G$7:$G$366,'Climate Data'!$A$7:$A$366,Estimator!$B$4,'Climate Data'!$B$7:$B$366,C383)</f>
        <v>0.19462365591397848</v>
      </c>
      <c r="I383" s="87">
        <f>SUMIFS('Climate Data'!$H$7:$H$366,'Climate Data'!$A$7:$A$366,Estimator!$B$4,'Climate Data'!$B$7:$B$366,C383)</f>
        <v>7.027624309392265</v>
      </c>
      <c r="J383" s="86">
        <f>SUMIFS('Wind Proxy'!$H$8:$H$19,'Wind Proxy'!$A$8:$A$19,Estimator!$B$4,'Wind Proxy'!$B$8:$B$19,C383)</f>
        <v>0</v>
      </c>
    </row>
    <row r="384" spans="1:10" ht="14.4">
      <c r="A384" s="84">
        <v>46035</v>
      </c>
      <c r="B384" s="85">
        <v>2026</v>
      </c>
      <c r="C384" s="85">
        <v>1</v>
      </c>
      <c r="D384" s="85" t="s">
        <v>55</v>
      </c>
      <c r="E384" s="85">
        <v>13</v>
      </c>
      <c r="F384" s="85">
        <v>2</v>
      </c>
      <c r="G384" s="85">
        <f>--(F384&lt;=Estimator!$B$7)</f>
        <v>1</v>
      </c>
      <c r="H384" s="86">
        <f>SUMIFS('Climate Data'!$G$7:$G$366,'Climate Data'!$A$7:$A$366,Estimator!$B$4,'Climate Data'!$B$7:$B$366,C384)</f>
        <v>0.19462365591397848</v>
      </c>
      <c r="I384" s="87">
        <f>SUMIFS('Climate Data'!$H$7:$H$366,'Climate Data'!$A$7:$A$366,Estimator!$B$4,'Climate Data'!$B$7:$B$366,C384)</f>
        <v>7.027624309392265</v>
      </c>
      <c r="J384" s="86">
        <f>SUMIFS('Wind Proxy'!$H$8:$H$19,'Wind Proxy'!$A$8:$A$19,Estimator!$B$4,'Wind Proxy'!$B$8:$B$19,C384)</f>
        <v>0</v>
      </c>
    </row>
    <row r="385" spans="1:10" ht="14.4">
      <c r="A385" s="84">
        <v>46036</v>
      </c>
      <c r="B385" s="85">
        <v>2026</v>
      </c>
      <c r="C385" s="85">
        <v>1</v>
      </c>
      <c r="D385" s="85" t="s">
        <v>55</v>
      </c>
      <c r="E385" s="85">
        <v>14</v>
      </c>
      <c r="F385" s="85">
        <v>3</v>
      </c>
      <c r="G385" s="85">
        <f>--(F385&lt;=Estimator!$B$7)</f>
        <v>1</v>
      </c>
      <c r="H385" s="86">
        <f>SUMIFS('Climate Data'!$G$7:$G$366,'Climate Data'!$A$7:$A$366,Estimator!$B$4,'Climate Data'!$B$7:$B$366,C385)</f>
        <v>0.19462365591397848</v>
      </c>
      <c r="I385" s="87">
        <f>SUMIFS('Climate Data'!$H$7:$H$366,'Climate Data'!$A$7:$A$366,Estimator!$B$4,'Climate Data'!$B$7:$B$366,C385)</f>
        <v>7.027624309392265</v>
      </c>
      <c r="J385" s="86">
        <f>SUMIFS('Wind Proxy'!$H$8:$H$19,'Wind Proxy'!$A$8:$A$19,Estimator!$B$4,'Wind Proxy'!$B$8:$B$19,C385)</f>
        <v>0</v>
      </c>
    </row>
    <row r="386" spans="1:10" ht="14.4">
      <c r="A386" s="84">
        <v>46037</v>
      </c>
      <c r="B386" s="85">
        <v>2026</v>
      </c>
      <c r="C386" s="85">
        <v>1</v>
      </c>
      <c r="D386" s="85" t="s">
        <v>55</v>
      </c>
      <c r="E386" s="85">
        <v>15</v>
      </c>
      <c r="F386" s="85">
        <v>4</v>
      </c>
      <c r="G386" s="85">
        <f>--(F386&lt;=Estimator!$B$7)</f>
        <v>1</v>
      </c>
      <c r="H386" s="86">
        <f>SUMIFS('Climate Data'!$G$7:$G$366,'Climate Data'!$A$7:$A$366,Estimator!$B$4,'Climate Data'!$B$7:$B$366,C386)</f>
        <v>0.19462365591397848</v>
      </c>
      <c r="I386" s="87">
        <f>SUMIFS('Climate Data'!$H$7:$H$366,'Climate Data'!$A$7:$A$366,Estimator!$B$4,'Climate Data'!$B$7:$B$366,C386)</f>
        <v>7.027624309392265</v>
      </c>
      <c r="J386" s="86">
        <f>SUMIFS('Wind Proxy'!$H$8:$H$19,'Wind Proxy'!$A$8:$A$19,Estimator!$B$4,'Wind Proxy'!$B$8:$B$19,C386)</f>
        <v>0</v>
      </c>
    </row>
    <row r="387" spans="1:10" ht="14.4">
      <c r="A387" s="84">
        <v>46038</v>
      </c>
      <c r="B387" s="85">
        <v>2026</v>
      </c>
      <c r="C387" s="85">
        <v>1</v>
      </c>
      <c r="D387" s="85" t="s">
        <v>55</v>
      </c>
      <c r="E387" s="85">
        <v>16</v>
      </c>
      <c r="F387" s="85">
        <v>5</v>
      </c>
      <c r="G387" s="85">
        <f>--(F387&lt;=Estimator!$B$7)</f>
        <v>1</v>
      </c>
      <c r="H387" s="86">
        <f>SUMIFS('Climate Data'!$G$7:$G$366,'Climate Data'!$A$7:$A$366,Estimator!$B$4,'Climate Data'!$B$7:$B$366,C387)</f>
        <v>0.19462365591397848</v>
      </c>
      <c r="I387" s="87">
        <f>SUMIFS('Climate Data'!$H$7:$H$366,'Climate Data'!$A$7:$A$366,Estimator!$B$4,'Climate Data'!$B$7:$B$366,C387)</f>
        <v>7.027624309392265</v>
      </c>
      <c r="J387" s="86">
        <f>SUMIFS('Wind Proxy'!$H$8:$H$19,'Wind Proxy'!$A$8:$A$19,Estimator!$B$4,'Wind Proxy'!$B$8:$B$19,C387)</f>
        <v>0</v>
      </c>
    </row>
    <row r="388" spans="1:10" ht="14.4">
      <c r="A388" s="84">
        <v>46039</v>
      </c>
      <c r="B388" s="85">
        <v>2026</v>
      </c>
      <c r="C388" s="85">
        <v>1</v>
      </c>
      <c r="D388" s="85" t="s">
        <v>55</v>
      </c>
      <c r="E388" s="85">
        <v>17</v>
      </c>
      <c r="F388" s="85">
        <v>6</v>
      </c>
      <c r="G388" s="85">
        <f>--(F388&lt;=Estimator!$B$7)</f>
        <v>0</v>
      </c>
      <c r="H388" s="86">
        <f>SUMIFS('Climate Data'!$G$7:$G$366,'Climate Data'!$A$7:$A$366,Estimator!$B$4,'Climate Data'!$B$7:$B$366,C388)</f>
        <v>0.19462365591397848</v>
      </c>
      <c r="I388" s="87">
        <f>SUMIFS('Climate Data'!$H$7:$H$366,'Climate Data'!$A$7:$A$366,Estimator!$B$4,'Climate Data'!$B$7:$B$366,C388)</f>
        <v>7.027624309392265</v>
      </c>
      <c r="J388" s="86">
        <f>SUMIFS('Wind Proxy'!$H$8:$H$19,'Wind Proxy'!$A$8:$A$19,Estimator!$B$4,'Wind Proxy'!$B$8:$B$19,C388)</f>
        <v>0</v>
      </c>
    </row>
    <row r="389" spans="1:10" ht="14.4">
      <c r="A389" s="84">
        <v>46040</v>
      </c>
      <c r="B389" s="85">
        <v>2026</v>
      </c>
      <c r="C389" s="85">
        <v>1</v>
      </c>
      <c r="D389" s="85" t="s">
        <v>55</v>
      </c>
      <c r="E389" s="85">
        <v>18</v>
      </c>
      <c r="F389" s="85">
        <v>7</v>
      </c>
      <c r="G389" s="85">
        <f>--(F389&lt;=Estimator!$B$7)</f>
        <v>0</v>
      </c>
      <c r="H389" s="86">
        <f>SUMIFS('Climate Data'!$G$7:$G$366,'Climate Data'!$A$7:$A$366,Estimator!$B$4,'Climate Data'!$B$7:$B$366,C389)</f>
        <v>0.19462365591397848</v>
      </c>
      <c r="I389" s="87">
        <f>SUMIFS('Climate Data'!$H$7:$H$366,'Climate Data'!$A$7:$A$366,Estimator!$B$4,'Climate Data'!$B$7:$B$366,C389)</f>
        <v>7.027624309392265</v>
      </c>
      <c r="J389" s="86">
        <f>SUMIFS('Wind Proxy'!$H$8:$H$19,'Wind Proxy'!$A$8:$A$19,Estimator!$B$4,'Wind Proxy'!$B$8:$B$19,C389)</f>
        <v>0</v>
      </c>
    </row>
    <row r="390" spans="1:10" ht="14.4">
      <c r="A390" s="84">
        <v>46041</v>
      </c>
      <c r="B390" s="85">
        <v>2026</v>
      </c>
      <c r="C390" s="85">
        <v>1</v>
      </c>
      <c r="D390" s="85" t="s">
        <v>55</v>
      </c>
      <c r="E390" s="85">
        <v>19</v>
      </c>
      <c r="F390" s="85">
        <v>1</v>
      </c>
      <c r="G390" s="85">
        <f>--(F390&lt;=Estimator!$B$7)</f>
        <v>1</v>
      </c>
      <c r="H390" s="86">
        <f>SUMIFS('Climate Data'!$G$7:$G$366,'Climate Data'!$A$7:$A$366,Estimator!$B$4,'Climate Data'!$B$7:$B$366,C390)</f>
        <v>0.19462365591397848</v>
      </c>
      <c r="I390" s="87">
        <f>SUMIFS('Climate Data'!$H$7:$H$366,'Climate Data'!$A$7:$A$366,Estimator!$B$4,'Climate Data'!$B$7:$B$366,C390)</f>
        <v>7.027624309392265</v>
      </c>
      <c r="J390" s="86">
        <f>SUMIFS('Wind Proxy'!$H$8:$H$19,'Wind Proxy'!$A$8:$A$19,Estimator!$B$4,'Wind Proxy'!$B$8:$B$19,C390)</f>
        <v>0</v>
      </c>
    </row>
    <row r="391" spans="1:10" ht="14.4">
      <c r="A391" s="84">
        <v>46042</v>
      </c>
      <c r="B391" s="85">
        <v>2026</v>
      </c>
      <c r="C391" s="85">
        <v>1</v>
      </c>
      <c r="D391" s="85" t="s">
        <v>55</v>
      </c>
      <c r="E391" s="85">
        <v>20</v>
      </c>
      <c r="F391" s="85">
        <v>2</v>
      </c>
      <c r="G391" s="85">
        <f>--(F391&lt;=Estimator!$B$7)</f>
        <v>1</v>
      </c>
      <c r="H391" s="86">
        <f>SUMIFS('Climate Data'!$G$7:$G$366,'Climate Data'!$A$7:$A$366,Estimator!$B$4,'Climate Data'!$B$7:$B$366,C391)</f>
        <v>0.19462365591397848</v>
      </c>
      <c r="I391" s="87">
        <f>SUMIFS('Climate Data'!$H$7:$H$366,'Climate Data'!$A$7:$A$366,Estimator!$B$4,'Climate Data'!$B$7:$B$366,C391)</f>
        <v>7.027624309392265</v>
      </c>
      <c r="J391" s="86">
        <f>SUMIFS('Wind Proxy'!$H$8:$H$19,'Wind Proxy'!$A$8:$A$19,Estimator!$B$4,'Wind Proxy'!$B$8:$B$19,C391)</f>
        <v>0</v>
      </c>
    </row>
    <row r="392" spans="1:10" ht="14.4">
      <c r="A392" s="84">
        <v>46043</v>
      </c>
      <c r="B392" s="85">
        <v>2026</v>
      </c>
      <c r="C392" s="85">
        <v>1</v>
      </c>
      <c r="D392" s="85" t="s">
        <v>55</v>
      </c>
      <c r="E392" s="85">
        <v>21</v>
      </c>
      <c r="F392" s="85">
        <v>3</v>
      </c>
      <c r="G392" s="85">
        <f>--(F392&lt;=Estimator!$B$7)</f>
        <v>1</v>
      </c>
      <c r="H392" s="86">
        <f>SUMIFS('Climate Data'!$G$7:$G$366,'Climate Data'!$A$7:$A$366,Estimator!$B$4,'Climate Data'!$B$7:$B$366,C392)</f>
        <v>0.19462365591397848</v>
      </c>
      <c r="I392" s="87">
        <f>SUMIFS('Climate Data'!$H$7:$H$366,'Climate Data'!$A$7:$A$366,Estimator!$B$4,'Climate Data'!$B$7:$B$366,C392)</f>
        <v>7.027624309392265</v>
      </c>
      <c r="J392" s="86">
        <f>SUMIFS('Wind Proxy'!$H$8:$H$19,'Wind Proxy'!$A$8:$A$19,Estimator!$B$4,'Wind Proxy'!$B$8:$B$19,C392)</f>
        <v>0</v>
      </c>
    </row>
    <row r="393" spans="1:10" ht="14.4">
      <c r="A393" s="84">
        <v>46044</v>
      </c>
      <c r="B393" s="85">
        <v>2026</v>
      </c>
      <c r="C393" s="85">
        <v>1</v>
      </c>
      <c r="D393" s="85" t="s">
        <v>55</v>
      </c>
      <c r="E393" s="85">
        <v>22</v>
      </c>
      <c r="F393" s="85">
        <v>4</v>
      </c>
      <c r="G393" s="85">
        <f>--(F393&lt;=Estimator!$B$7)</f>
        <v>1</v>
      </c>
      <c r="H393" s="86">
        <f>SUMIFS('Climate Data'!$G$7:$G$366,'Climate Data'!$A$7:$A$366,Estimator!$B$4,'Climate Data'!$B$7:$B$366,C393)</f>
        <v>0.19462365591397848</v>
      </c>
      <c r="I393" s="87">
        <f>SUMIFS('Climate Data'!$H$7:$H$366,'Climate Data'!$A$7:$A$366,Estimator!$B$4,'Climate Data'!$B$7:$B$366,C393)</f>
        <v>7.027624309392265</v>
      </c>
      <c r="J393" s="86">
        <f>SUMIFS('Wind Proxy'!$H$8:$H$19,'Wind Proxy'!$A$8:$A$19,Estimator!$B$4,'Wind Proxy'!$B$8:$B$19,C393)</f>
        <v>0</v>
      </c>
    </row>
    <row r="394" spans="1:10" ht="14.4">
      <c r="A394" s="84">
        <v>46045</v>
      </c>
      <c r="B394" s="85">
        <v>2026</v>
      </c>
      <c r="C394" s="85">
        <v>1</v>
      </c>
      <c r="D394" s="85" t="s">
        <v>55</v>
      </c>
      <c r="E394" s="85">
        <v>23</v>
      </c>
      <c r="F394" s="85">
        <v>5</v>
      </c>
      <c r="G394" s="85">
        <f>--(F394&lt;=Estimator!$B$7)</f>
        <v>1</v>
      </c>
      <c r="H394" s="86">
        <f>SUMIFS('Climate Data'!$G$7:$G$366,'Climate Data'!$A$7:$A$366,Estimator!$B$4,'Climate Data'!$B$7:$B$366,C394)</f>
        <v>0.19462365591397848</v>
      </c>
      <c r="I394" s="87">
        <f>SUMIFS('Climate Data'!$H$7:$H$366,'Climate Data'!$A$7:$A$366,Estimator!$B$4,'Climate Data'!$B$7:$B$366,C394)</f>
        <v>7.027624309392265</v>
      </c>
      <c r="J394" s="86">
        <f>SUMIFS('Wind Proxy'!$H$8:$H$19,'Wind Proxy'!$A$8:$A$19,Estimator!$B$4,'Wind Proxy'!$B$8:$B$19,C394)</f>
        <v>0</v>
      </c>
    </row>
    <row r="395" spans="1:10" ht="14.4">
      <c r="A395" s="84">
        <v>46046</v>
      </c>
      <c r="B395" s="85">
        <v>2026</v>
      </c>
      <c r="C395" s="85">
        <v>1</v>
      </c>
      <c r="D395" s="85" t="s">
        <v>55</v>
      </c>
      <c r="E395" s="85">
        <v>24</v>
      </c>
      <c r="F395" s="85">
        <v>6</v>
      </c>
      <c r="G395" s="85">
        <f>--(F395&lt;=Estimator!$B$7)</f>
        <v>0</v>
      </c>
      <c r="H395" s="86">
        <f>SUMIFS('Climate Data'!$G$7:$G$366,'Climate Data'!$A$7:$A$366,Estimator!$B$4,'Climate Data'!$B$7:$B$366,C395)</f>
        <v>0.19462365591397848</v>
      </c>
      <c r="I395" s="87">
        <f>SUMIFS('Climate Data'!$H$7:$H$366,'Climate Data'!$A$7:$A$366,Estimator!$B$4,'Climate Data'!$B$7:$B$366,C395)</f>
        <v>7.027624309392265</v>
      </c>
      <c r="J395" s="86">
        <f>SUMIFS('Wind Proxy'!$H$8:$H$19,'Wind Proxy'!$A$8:$A$19,Estimator!$B$4,'Wind Proxy'!$B$8:$B$19,C395)</f>
        <v>0</v>
      </c>
    </row>
    <row r="396" spans="1:10" ht="14.4">
      <c r="A396" s="84">
        <v>46047</v>
      </c>
      <c r="B396" s="85">
        <v>2026</v>
      </c>
      <c r="C396" s="85">
        <v>1</v>
      </c>
      <c r="D396" s="85" t="s">
        <v>55</v>
      </c>
      <c r="E396" s="85">
        <v>25</v>
      </c>
      <c r="F396" s="85">
        <v>7</v>
      </c>
      <c r="G396" s="85">
        <f>--(F396&lt;=Estimator!$B$7)</f>
        <v>0</v>
      </c>
      <c r="H396" s="86">
        <f>SUMIFS('Climate Data'!$G$7:$G$366,'Climate Data'!$A$7:$A$366,Estimator!$B$4,'Climate Data'!$B$7:$B$366,C396)</f>
        <v>0.19462365591397848</v>
      </c>
      <c r="I396" s="87">
        <f>SUMIFS('Climate Data'!$H$7:$H$366,'Climate Data'!$A$7:$A$366,Estimator!$B$4,'Climate Data'!$B$7:$B$366,C396)</f>
        <v>7.027624309392265</v>
      </c>
      <c r="J396" s="86">
        <f>SUMIFS('Wind Proxy'!$H$8:$H$19,'Wind Proxy'!$A$8:$A$19,Estimator!$B$4,'Wind Proxy'!$B$8:$B$19,C396)</f>
        <v>0</v>
      </c>
    </row>
    <row r="397" spans="1:10" ht="14.4">
      <c r="A397" s="84">
        <v>46048</v>
      </c>
      <c r="B397" s="85">
        <v>2026</v>
      </c>
      <c r="C397" s="85">
        <v>1</v>
      </c>
      <c r="D397" s="85" t="s">
        <v>55</v>
      </c>
      <c r="E397" s="85">
        <v>26</v>
      </c>
      <c r="F397" s="85">
        <v>1</v>
      </c>
      <c r="G397" s="85">
        <f>--(F397&lt;=Estimator!$B$7)</f>
        <v>1</v>
      </c>
      <c r="H397" s="86">
        <f>SUMIFS('Climate Data'!$G$7:$G$366,'Climate Data'!$A$7:$A$366,Estimator!$B$4,'Climate Data'!$B$7:$B$366,C397)</f>
        <v>0.19462365591397848</v>
      </c>
      <c r="I397" s="87">
        <f>SUMIFS('Climate Data'!$H$7:$H$366,'Climate Data'!$A$7:$A$366,Estimator!$B$4,'Climate Data'!$B$7:$B$366,C397)</f>
        <v>7.027624309392265</v>
      </c>
      <c r="J397" s="86">
        <f>SUMIFS('Wind Proxy'!$H$8:$H$19,'Wind Proxy'!$A$8:$A$19,Estimator!$B$4,'Wind Proxy'!$B$8:$B$19,C397)</f>
        <v>0</v>
      </c>
    </row>
    <row r="398" spans="1:10" ht="14.4">
      <c r="A398" s="84">
        <v>46049</v>
      </c>
      <c r="B398" s="85">
        <v>2026</v>
      </c>
      <c r="C398" s="85">
        <v>1</v>
      </c>
      <c r="D398" s="85" t="s">
        <v>55</v>
      </c>
      <c r="E398" s="85">
        <v>27</v>
      </c>
      <c r="F398" s="85">
        <v>2</v>
      </c>
      <c r="G398" s="85">
        <f>--(F398&lt;=Estimator!$B$7)</f>
        <v>1</v>
      </c>
      <c r="H398" s="86">
        <f>SUMIFS('Climate Data'!$G$7:$G$366,'Climate Data'!$A$7:$A$366,Estimator!$B$4,'Climate Data'!$B$7:$B$366,C398)</f>
        <v>0.19462365591397848</v>
      </c>
      <c r="I398" s="87">
        <f>SUMIFS('Climate Data'!$H$7:$H$366,'Climate Data'!$A$7:$A$366,Estimator!$B$4,'Climate Data'!$B$7:$B$366,C398)</f>
        <v>7.027624309392265</v>
      </c>
      <c r="J398" s="86">
        <f>SUMIFS('Wind Proxy'!$H$8:$H$19,'Wind Proxy'!$A$8:$A$19,Estimator!$B$4,'Wind Proxy'!$B$8:$B$19,C398)</f>
        <v>0</v>
      </c>
    </row>
    <row r="399" spans="1:10" ht="14.4">
      <c r="A399" s="84">
        <v>46050</v>
      </c>
      <c r="B399" s="85">
        <v>2026</v>
      </c>
      <c r="C399" s="85">
        <v>1</v>
      </c>
      <c r="D399" s="85" t="s">
        <v>55</v>
      </c>
      <c r="E399" s="85">
        <v>28</v>
      </c>
      <c r="F399" s="85">
        <v>3</v>
      </c>
      <c r="G399" s="85">
        <f>--(F399&lt;=Estimator!$B$7)</f>
        <v>1</v>
      </c>
      <c r="H399" s="86">
        <f>SUMIFS('Climate Data'!$G$7:$G$366,'Climate Data'!$A$7:$A$366,Estimator!$B$4,'Climate Data'!$B$7:$B$366,C399)</f>
        <v>0.19462365591397848</v>
      </c>
      <c r="I399" s="87">
        <f>SUMIFS('Climate Data'!$H$7:$H$366,'Climate Data'!$A$7:$A$366,Estimator!$B$4,'Climate Data'!$B$7:$B$366,C399)</f>
        <v>7.027624309392265</v>
      </c>
      <c r="J399" s="86">
        <f>SUMIFS('Wind Proxy'!$H$8:$H$19,'Wind Proxy'!$A$8:$A$19,Estimator!$B$4,'Wind Proxy'!$B$8:$B$19,C399)</f>
        <v>0</v>
      </c>
    </row>
    <row r="400" spans="1:10" ht="14.4">
      <c r="A400" s="84">
        <v>46051</v>
      </c>
      <c r="B400" s="85">
        <v>2026</v>
      </c>
      <c r="C400" s="85">
        <v>1</v>
      </c>
      <c r="D400" s="85" t="s">
        <v>55</v>
      </c>
      <c r="E400" s="85">
        <v>29</v>
      </c>
      <c r="F400" s="85">
        <v>4</v>
      </c>
      <c r="G400" s="85">
        <f>--(F400&lt;=Estimator!$B$7)</f>
        <v>1</v>
      </c>
      <c r="H400" s="86">
        <f>SUMIFS('Climate Data'!$G$7:$G$366,'Climate Data'!$A$7:$A$366,Estimator!$B$4,'Climate Data'!$B$7:$B$366,C400)</f>
        <v>0.19462365591397848</v>
      </c>
      <c r="I400" s="87">
        <f>SUMIFS('Climate Data'!$H$7:$H$366,'Climate Data'!$A$7:$A$366,Estimator!$B$4,'Climate Data'!$B$7:$B$366,C400)</f>
        <v>7.027624309392265</v>
      </c>
      <c r="J400" s="86">
        <f>SUMIFS('Wind Proxy'!$H$8:$H$19,'Wind Proxy'!$A$8:$A$19,Estimator!$B$4,'Wind Proxy'!$B$8:$B$19,C400)</f>
        <v>0</v>
      </c>
    </row>
    <row r="401" spans="1:10" ht="14.4">
      <c r="A401" s="84">
        <v>46052</v>
      </c>
      <c r="B401" s="85">
        <v>2026</v>
      </c>
      <c r="C401" s="85">
        <v>1</v>
      </c>
      <c r="D401" s="85" t="s">
        <v>55</v>
      </c>
      <c r="E401" s="85">
        <v>30</v>
      </c>
      <c r="F401" s="85">
        <v>5</v>
      </c>
      <c r="G401" s="85">
        <f>--(F401&lt;=Estimator!$B$7)</f>
        <v>1</v>
      </c>
      <c r="H401" s="86">
        <f>SUMIFS('Climate Data'!$G$7:$G$366,'Climate Data'!$A$7:$A$366,Estimator!$B$4,'Climate Data'!$B$7:$B$366,C401)</f>
        <v>0.19462365591397848</v>
      </c>
      <c r="I401" s="87">
        <f>SUMIFS('Climate Data'!$H$7:$H$366,'Climate Data'!$A$7:$A$366,Estimator!$B$4,'Climate Data'!$B$7:$B$366,C401)</f>
        <v>7.027624309392265</v>
      </c>
      <c r="J401" s="86">
        <f>SUMIFS('Wind Proxy'!$H$8:$H$19,'Wind Proxy'!$A$8:$A$19,Estimator!$B$4,'Wind Proxy'!$B$8:$B$19,C401)</f>
        <v>0</v>
      </c>
    </row>
    <row r="402" spans="1:10" ht="14.4">
      <c r="A402" s="84">
        <v>46053</v>
      </c>
      <c r="B402" s="85">
        <v>2026</v>
      </c>
      <c r="C402" s="85">
        <v>1</v>
      </c>
      <c r="D402" s="85" t="s">
        <v>55</v>
      </c>
      <c r="E402" s="85">
        <v>31</v>
      </c>
      <c r="F402" s="85">
        <v>6</v>
      </c>
      <c r="G402" s="85">
        <f>--(F402&lt;=Estimator!$B$7)</f>
        <v>0</v>
      </c>
      <c r="H402" s="86">
        <f>SUMIFS('Climate Data'!$G$7:$G$366,'Climate Data'!$A$7:$A$366,Estimator!$B$4,'Climate Data'!$B$7:$B$366,C402)</f>
        <v>0.19462365591397848</v>
      </c>
      <c r="I402" s="87">
        <f>SUMIFS('Climate Data'!$H$7:$H$366,'Climate Data'!$A$7:$A$366,Estimator!$B$4,'Climate Data'!$B$7:$B$366,C402)</f>
        <v>7.027624309392265</v>
      </c>
      <c r="J402" s="86">
        <f>SUMIFS('Wind Proxy'!$H$8:$H$19,'Wind Proxy'!$A$8:$A$19,Estimator!$B$4,'Wind Proxy'!$B$8:$B$19,C402)</f>
        <v>0</v>
      </c>
    </row>
    <row r="403" spans="1:10" ht="14.4">
      <c r="A403" s="84">
        <v>46054</v>
      </c>
      <c r="B403" s="85">
        <v>2026</v>
      </c>
      <c r="C403" s="85">
        <v>2</v>
      </c>
      <c r="D403" s="85" t="s">
        <v>58</v>
      </c>
      <c r="E403" s="85">
        <v>1</v>
      </c>
      <c r="F403" s="85">
        <v>7</v>
      </c>
      <c r="G403" s="85">
        <f>--(F403&lt;=Estimator!$B$7)</f>
        <v>0</v>
      </c>
      <c r="H403" s="86">
        <f>SUMIFS('Climate Data'!$G$7:$G$366,'Climate Data'!$A$7:$A$366,Estimator!$B$4,'Climate Data'!$B$7:$B$366,C403)</f>
        <v>0.18867924528301885</v>
      </c>
      <c r="I403" s="87">
        <f>SUMIFS('Climate Data'!$H$7:$H$366,'Climate Data'!$A$7:$A$366,Estimator!$B$4,'Climate Data'!$B$7:$B$366,C403)</f>
        <v>7.4624999999999995</v>
      </c>
      <c r="J403" s="86">
        <f>SUMIFS('Wind Proxy'!$H$8:$H$19,'Wind Proxy'!$A$8:$A$19,Estimator!$B$4,'Wind Proxy'!$B$8:$B$19,C403)</f>
        <v>0</v>
      </c>
    </row>
    <row r="404" spans="1:10" ht="14.4">
      <c r="A404" s="84">
        <v>46055</v>
      </c>
      <c r="B404" s="85">
        <v>2026</v>
      </c>
      <c r="C404" s="85">
        <v>2</v>
      </c>
      <c r="D404" s="85" t="s">
        <v>58</v>
      </c>
      <c r="E404" s="85">
        <v>2</v>
      </c>
      <c r="F404" s="85">
        <v>1</v>
      </c>
      <c r="G404" s="85">
        <f>--(F404&lt;=Estimator!$B$7)</f>
        <v>1</v>
      </c>
      <c r="H404" s="86">
        <f>SUMIFS('Climate Data'!$G$7:$G$366,'Climate Data'!$A$7:$A$366,Estimator!$B$4,'Climate Data'!$B$7:$B$366,C404)</f>
        <v>0.18867924528301885</v>
      </c>
      <c r="I404" s="87">
        <f>SUMIFS('Climate Data'!$H$7:$H$366,'Climate Data'!$A$7:$A$366,Estimator!$B$4,'Climate Data'!$B$7:$B$366,C404)</f>
        <v>7.4624999999999995</v>
      </c>
      <c r="J404" s="86">
        <f>SUMIFS('Wind Proxy'!$H$8:$H$19,'Wind Proxy'!$A$8:$A$19,Estimator!$B$4,'Wind Proxy'!$B$8:$B$19,C404)</f>
        <v>0</v>
      </c>
    </row>
    <row r="405" spans="1:10" ht="14.4">
      <c r="A405" s="84">
        <v>46056</v>
      </c>
      <c r="B405" s="85">
        <v>2026</v>
      </c>
      <c r="C405" s="85">
        <v>2</v>
      </c>
      <c r="D405" s="85" t="s">
        <v>58</v>
      </c>
      <c r="E405" s="85">
        <v>3</v>
      </c>
      <c r="F405" s="85">
        <v>2</v>
      </c>
      <c r="G405" s="85">
        <f>--(F405&lt;=Estimator!$B$7)</f>
        <v>1</v>
      </c>
      <c r="H405" s="86">
        <f>SUMIFS('Climate Data'!$G$7:$G$366,'Climate Data'!$A$7:$A$366,Estimator!$B$4,'Climate Data'!$B$7:$B$366,C405)</f>
        <v>0.18867924528301885</v>
      </c>
      <c r="I405" s="87">
        <f>SUMIFS('Climate Data'!$H$7:$H$366,'Climate Data'!$A$7:$A$366,Estimator!$B$4,'Climate Data'!$B$7:$B$366,C405)</f>
        <v>7.4624999999999995</v>
      </c>
      <c r="J405" s="86">
        <f>SUMIFS('Wind Proxy'!$H$8:$H$19,'Wind Proxy'!$A$8:$A$19,Estimator!$B$4,'Wind Proxy'!$B$8:$B$19,C405)</f>
        <v>0</v>
      </c>
    </row>
    <row r="406" spans="1:10" ht="14.4">
      <c r="A406" s="84">
        <v>46057</v>
      </c>
      <c r="B406" s="85">
        <v>2026</v>
      </c>
      <c r="C406" s="85">
        <v>2</v>
      </c>
      <c r="D406" s="85" t="s">
        <v>58</v>
      </c>
      <c r="E406" s="85">
        <v>4</v>
      </c>
      <c r="F406" s="85">
        <v>3</v>
      </c>
      <c r="G406" s="85">
        <f>--(F406&lt;=Estimator!$B$7)</f>
        <v>1</v>
      </c>
      <c r="H406" s="86">
        <f>SUMIFS('Climate Data'!$G$7:$G$366,'Climate Data'!$A$7:$A$366,Estimator!$B$4,'Climate Data'!$B$7:$B$366,C406)</f>
        <v>0.18867924528301885</v>
      </c>
      <c r="I406" s="87">
        <f>SUMIFS('Climate Data'!$H$7:$H$366,'Climate Data'!$A$7:$A$366,Estimator!$B$4,'Climate Data'!$B$7:$B$366,C406)</f>
        <v>7.4624999999999995</v>
      </c>
      <c r="J406" s="86">
        <f>SUMIFS('Wind Proxy'!$H$8:$H$19,'Wind Proxy'!$A$8:$A$19,Estimator!$B$4,'Wind Proxy'!$B$8:$B$19,C406)</f>
        <v>0</v>
      </c>
    </row>
    <row r="407" spans="1:10" ht="14.4">
      <c r="A407" s="84">
        <v>46058</v>
      </c>
      <c r="B407" s="85">
        <v>2026</v>
      </c>
      <c r="C407" s="85">
        <v>2</v>
      </c>
      <c r="D407" s="85" t="s">
        <v>58</v>
      </c>
      <c r="E407" s="85">
        <v>5</v>
      </c>
      <c r="F407" s="85">
        <v>4</v>
      </c>
      <c r="G407" s="85">
        <f>--(F407&lt;=Estimator!$B$7)</f>
        <v>1</v>
      </c>
      <c r="H407" s="86">
        <f>SUMIFS('Climate Data'!$G$7:$G$366,'Climate Data'!$A$7:$A$366,Estimator!$B$4,'Climate Data'!$B$7:$B$366,C407)</f>
        <v>0.18867924528301885</v>
      </c>
      <c r="I407" s="87">
        <f>SUMIFS('Climate Data'!$H$7:$H$366,'Climate Data'!$A$7:$A$366,Estimator!$B$4,'Climate Data'!$B$7:$B$366,C407)</f>
        <v>7.4624999999999995</v>
      </c>
      <c r="J407" s="86">
        <f>SUMIFS('Wind Proxy'!$H$8:$H$19,'Wind Proxy'!$A$8:$A$19,Estimator!$B$4,'Wind Proxy'!$B$8:$B$19,C407)</f>
        <v>0</v>
      </c>
    </row>
    <row r="408" spans="1:10" ht="14.4">
      <c r="A408" s="84">
        <v>46059</v>
      </c>
      <c r="B408" s="85">
        <v>2026</v>
      </c>
      <c r="C408" s="85">
        <v>2</v>
      </c>
      <c r="D408" s="85" t="s">
        <v>58</v>
      </c>
      <c r="E408" s="85">
        <v>6</v>
      </c>
      <c r="F408" s="85">
        <v>5</v>
      </c>
      <c r="G408" s="85">
        <f>--(F408&lt;=Estimator!$B$7)</f>
        <v>1</v>
      </c>
      <c r="H408" s="86">
        <f>SUMIFS('Climate Data'!$G$7:$G$366,'Climate Data'!$A$7:$A$366,Estimator!$B$4,'Climate Data'!$B$7:$B$366,C408)</f>
        <v>0.18867924528301885</v>
      </c>
      <c r="I408" s="87">
        <f>SUMIFS('Climate Data'!$H$7:$H$366,'Climate Data'!$A$7:$A$366,Estimator!$B$4,'Climate Data'!$B$7:$B$366,C408)</f>
        <v>7.4624999999999995</v>
      </c>
      <c r="J408" s="86">
        <f>SUMIFS('Wind Proxy'!$H$8:$H$19,'Wind Proxy'!$A$8:$A$19,Estimator!$B$4,'Wind Proxy'!$B$8:$B$19,C408)</f>
        <v>0</v>
      </c>
    </row>
    <row r="409" spans="1:10" ht="14.4">
      <c r="A409" s="84">
        <v>46060</v>
      </c>
      <c r="B409" s="85">
        <v>2026</v>
      </c>
      <c r="C409" s="85">
        <v>2</v>
      </c>
      <c r="D409" s="85" t="s">
        <v>58</v>
      </c>
      <c r="E409" s="85">
        <v>7</v>
      </c>
      <c r="F409" s="85">
        <v>6</v>
      </c>
      <c r="G409" s="85">
        <f>--(F409&lt;=Estimator!$B$7)</f>
        <v>0</v>
      </c>
      <c r="H409" s="86">
        <f>SUMIFS('Climate Data'!$G$7:$G$366,'Climate Data'!$A$7:$A$366,Estimator!$B$4,'Climate Data'!$B$7:$B$366,C409)</f>
        <v>0.18867924528301885</v>
      </c>
      <c r="I409" s="87">
        <f>SUMIFS('Climate Data'!$H$7:$H$366,'Climate Data'!$A$7:$A$366,Estimator!$B$4,'Climate Data'!$B$7:$B$366,C409)</f>
        <v>7.4624999999999995</v>
      </c>
      <c r="J409" s="86">
        <f>SUMIFS('Wind Proxy'!$H$8:$H$19,'Wind Proxy'!$A$8:$A$19,Estimator!$B$4,'Wind Proxy'!$B$8:$B$19,C409)</f>
        <v>0</v>
      </c>
    </row>
    <row r="410" spans="1:10" ht="14.4">
      <c r="A410" s="84">
        <v>46061</v>
      </c>
      <c r="B410" s="85">
        <v>2026</v>
      </c>
      <c r="C410" s="85">
        <v>2</v>
      </c>
      <c r="D410" s="85" t="s">
        <v>58</v>
      </c>
      <c r="E410" s="85">
        <v>8</v>
      </c>
      <c r="F410" s="85">
        <v>7</v>
      </c>
      <c r="G410" s="85">
        <f>--(F410&lt;=Estimator!$B$7)</f>
        <v>0</v>
      </c>
      <c r="H410" s="86">
        <f>SUMIFS('Climate Data'!$G$7:$G$366,'Climate Data'!$A$7:$A$366,Estimator!$B$4,'Climate Data'!$B$7:$B$366,C410)</f>
        <v>0.18867924528301885</v>
      </c>
      <c r="I410" s="87">
        <f>SUMIFS('Climate Data'!$H$7:$H$366,'Climate Data'!$A$7:$A$366,Estimator!$B$4,'Climate Data'!$B$7:$B$366,C410)</f>
        <v>7.4624999999999995</v>
      </c>
      <c r="J410" s="86">
        <f>SUMIFS('Wind Proxy'!$H$8:$H$19,'Wind Proxy'!$A$8:$A$19,Estimator!$B$4,'Wind Proxy'!$B$8:$B$19,C410)</f>
        <v>0</v>
      </c>
    </row>
    <row r="411" spans="1:10" ht="14.4">
      <c r="A411" s="84">
        <v>46062</v>
      </c>
      <c r="B411" s="85">
        <v>2026</v>
      </c>
      <c r="C411" s="85">
        <v>2</v>
      </c>
      <c r="D411" s="85" t="s">
        <v>58</v>
      </c>
      <c r="E411" s="85">
        <v>9</v>
      </c>
      <c r="F411" s="85">
        <v>1</v>
      </c>
      <c r="G411" s="85">
        <f>--(F411&lt;=Estimator!$B$7)</f>
        <v>1</v>
      </c>
      <c r="H411" s="86">
        <f>SUMIFS('Climate Data'!$G$7:$G$366,'Climate Data'!$A$7:$A$366,Estimator!$B$4,'Climate Data'!$B$7:$B$366,C411)</f>
        <v>0.18867924528301885</v>
      </c>
      <c r="I411" s="87">
        <f>SUMIFS('Climate Data'!$H$7:$H$366,'Climate Data'!$A$7:$A$366,Estimator!$B$4,'Climate Data'!$B$7:$B$366,C411)</f>
        <v>7.4624999999999995</v>
      </c>
      <c r="J411" s="86">
        <f>SUMIFS('Wind Proxy'!$H$8:$H$19,'Wind Proxy'!$A$8:$A$19,Estimator!$B$4,'Wind Proxy'!$B$8:$B$19,C411)</f>
        <v>0</v>
      </c>
    </row>
    <row r="412" spans="1:10" ht="14.4">
      <c r="A412" s="84">
        <v>46063</v>
      </c>
      <c r="B412" s="85">
        <v>2026</v>
      </c>
      <c r="C412" s="85">
        <v>2</v>
      </c>
      <c r="D412" s="85" t="s">
        <v>58</v>
      </c>
      <c r="E412" s="85">
        <v>10</v>
      </c>
      <c r="F412" s="85">
        <v>2</v>
      </c>
      <c r="G412" s="85">
        <f>--(F412&lt;=Estimator!$B$7)</f>
        <v>1</v>
      </c>
      <c r="H412" s="86">
        <f>SUMIFS('Climate Data'!$G$7:$G$366,'Climate Data'!$A$7:$A$366,Estimator!$B$4,'Climate Data'!$B$7:$B$366,C412)</f>
        <v>0.18867924528301885</v>
      </c>
      <c r="I412" s="87">
        <f>SUMIFS('Climate Data'!$H$7:$H$366,'Climate Data'!$A$7:$A$366,Estimator!$B$4,'Climate Data'!$B$7:$B$366,C412)</f>
        <v>7.4624999999999995</v>
      </c>
      <c r="J412" s="86">
        <f>SUMIFS('Wind Proxy'!$H$8:$H$19,'Wind Proxy'!$A$8:$A$19,Estimator!$B$4,'Wind Proxy'!$B$8:$B$19,C412)</f>
        <v>0</v>
      </c>
    </row>
    <row r="413" spans="1:10" ht="14.4">
      <c r="A413" s="84">
        <v>46064</v>
      </c>
      <c r="B413" s="85">
        <v>2026</v>
      </c>
      <c r="C413" s="85">
        <v>2</v>
      </c>
      <c r="D413" s="85" t="s">
        <v>58</v>
      </c>
      <c r="E413" s="85">
        <v>11</v>
      </c>
      <c r="F413" s="85">
        <v>3</v>
      </c>
      <c r="G413" s="85">
        <f>--(F413&lt;=Estimator!$B$7)</f>
        <v>1</v>
      </c>
      <c r="H413" s="86">
        <f>SUMIFS('Climate Data'!$G$7:$G$366,'Climate Data'!$A$7:$A$366,Estimator!$B$4,'Climate Data'!$B$7:$B$366,C413)</f>
        <v>0.18867924528301885</v>
      </c>
      <c r="I413" s="87">
        <f>SUMIFS('Climate Data'!$H$7:$H$366,'Climate Data'!$A$7:$A$366,Estimator!$B$4,'Climate Data'!$B$7:$B$366,C413)</f>
        <v>7.4624999999999995</v>
      </c>
      <c r="J413" s="86">
        <f>SUMIFS('Wind Proxy'!$H$8:$H$19,'Wind Proxy'!$A$8:$A$19,Estimator!$B$4,'Wind Proxy'!$B$8:$B$19,C413)</f>
        <v>0</v>
      </c>
    </row>
    <row r="414" spans="1:10" ht="14.4">
      <c r="A414" s="84">
        <v>46065</v>
      </c>
      <c r="B414" s="85">
        <v>2026</v>
      </c>
      <c r="C414" s="85">
        <v>2</v>
      </c>
      <c r="D414" s="85" t="s">
        <v>58</v>
      </c>
      <c r="E414" s="85">
        <v>12</v>
      </c>
      <c r="F414" s="85">
        <v>4</v>
      </c>
      <c r="G414" s="85">
        <f>--(F414&lt;=Estimator!$B$7)</f>
        <v>1</v>
      </c>
      <c r="H414" s="86">
        <f>SUMIFS('Climate Data'!$G$7:$G$366,'Climate Data'!$A$7:$A$366,Estimator!$B$4,'Climate Data'!$B$7:$B$366,C414)</f>
        <v>0.18867924528301885</v>
      </c>
      <c r="I414" s="87">
        <f>SUMIFS('Climate Data'!$H$7:$H$366,'Climate Data'!$A$7:$A$366,Estimator!$B$4,'Climate Data'!$B$7:$B$366,C414)</f>
        <v>7.4624999999999995</v>
      </c>
      <c r="J414" s="86">
        <f>SUMIFS('Wind Proxy'!$H$8:$H$19,'Wind Proxy'!$A$8:$A$19,Estimator!$B$4,'Wind Proxy'!$B$8:$B$19,C414)</f>
        <v>0</v>
      </c>
    </row>
    <row r="415" spans="1:10" ht="14.4">
      <c r="A415" s="84">
        <v>46066</v>
      </c>
      <c r="B415" s="85">
        <v>2026</v>
      </c>
      <c r="C415" s="85">
        <v>2</v>
      </c>
      <c r="D415" s="85" t="s">
        <v>58</v>
      </c>
      <c r="E415" s="85">
        <v>13</v>
      </c>
      <c r="F415" s="85">
        <v>5</v>
      </c>
      <c r="G415" s="85">
        <f>--(F415&lt;=Estimator!$B$7)</f>
        <v>1</v>
      </c>
      <c r="H415" s="86">
        <f>SUMIFS('Climate Data'!$G$7:$G$366,'Climate Data'!$A$7:$A$366,Estimator!$B$4,'Climate Data'!$B$7:$B$366,C415)</f>
        <v>0.18867924528301885</v>
      </c>
      <c r="I415" s="87">
        <f>SUMIFS('Climate Data'!$H$7:$H$366,'Climate Data'!$A$7:$A$366,Estimator!$B$4,'Climate Data'!$B$7:$B$366,C415)</f>
        <v>7.4624999999999995</v>
      </c>
      <c r="J415" s="86">
        <f>SUMIFS('Wind Proxy'!$H$8:$H$19,'Wind Proxy'!$A$8:$A$19,Estimator!$B$4,'Wind Proxy'!$B$8:$B$19,C415)</f>
        <v>0</v>
      </c>
    </row>
    <row r="416" spans="1:10" ht="14.4">
      <c r="A416" s="84">
        <v>46067</v>
      </c>
      <c r="B416" s="85">
        <v>2026</v>
      </c>
      <c r="C416" s="85">
        <v>2</v>
      </c>
      <c r="D416" s="85" t="s">
        <v>58</v>
      </c>
      <c r="E416" s="85">
        <v>14</v>
      </c>
      <c r="F416" s="85">
        <v>6</v>
      </c>
      <c r="G416" s="85">
        <f>--(F416&lt;=Estimator!$B$7)</f>
        <v>0</v>
      </c>
      <c r="H416" s="86">
        <f>SUMIFS('Climate Data'!$G$7:$G$366,'Climate Data'!$A$7:$A$366,Estimator!$B$4,'Climate Data'!$B$7:$B$366,C416)</f>
        <v>0.18867924528301885</v>
      </c>
      <c r="I416" s="87">
        <f>SUMIFS('Climate Data'!$H$7:$H$366,'Climate Data'!$A$7:$A$366,Estimator!$B$4,'Climate Data'!$B$7:$B$366,C416)</f>
        <v>7.4624999999999995</v>
      </c>
      <c r="J416" s="86">
        <f>SUMIFS('Wind Proxy'!$H$8:$H$19,'Wind Proxy'!$A$8:$A$19,Estimator!$B$4,'Wind Proxy'!$B$8:$B$19,C416)</f>
        <v>0</v>
      </c>
    </row>
    <row r="417" spans="1:10" ht="14.4">
      <c r="A417" s="84">
        <v>46068</v>
      </c>
      <c r="B417" s="85">
        <v>2026</v>
      </c>
      <c r="C417" s="85">
        <v>2</v>
      </c>
      <c r="D417" s="85" t="s">
        <v>58</v>
      </c>
      <c r="E417" s="85">
        <v>15</v>
      </c>
      <c r="F417" s="85">
        <v>7</v>
      </c>
      <c r="G417" s="85">
        <f>--(F417&lt;=Estimator!$B$7)</f>
        <v>0</v>
      </c>
      <c r="H417" s="86">
        <f>SUMIFS('Climate Data'!$G$7:$G$366,'Climate Data'!$A$7:$A$366,Estimator!$B$4,'Climate Data'!$B$7:$B$366,C417)</f>
        <v>0.18867924528301885</v>
      </c>
      <c r="I417" s="87">
        <f>SUMIFS('Climate Data'!$H$7:$H$366,'Climate Data'!$A$7:$A$366,Estimator!$B$4,'Climate Data'!$B$7:$B$366,C417)</f>
        <v>7.4624999999999995</v>
      </c>
      <c r="J417" s="86">
        <f>SUMIFS('Wind Proxy'!$H$8:$H$19,'Wind Proxy'!$A$8:$A$19,Estimator!$B$4,'Wind Proxy'!$B$8:$B$19,C417)</f>
        <v>0</v>
      </c>
    </row>
    <row r="418" spans="1:10" ht="14.4">
      <c r="A418" s="84">
        <v>46069</v>
      </c>
      <c r="B418" s="85">
        <v>2026</v>
      </c>
      <c r="C418" s="85">
        <v>2</v>
      </c>
      <c r="D418" s="85" t="s">
        <v>58</v>
      </c>
      <c r="E418" s="85">
        <v>16</v>
      </c>
      <c r="F418" s="85">
        <v>1</v>
      </c>
      <c r="G418" s="85">
        <f>--(F418&lt;=Estimator!$B$7)</f>
        <v>1</v>
      </c>
      <c r="H418" s="86">
        <f>SUMIFS('Climate Data'!$G$7:$G$366,'Climate Data'!$A$7:$A$366,Estimator!$B$4,'Climate Data'!$B$7:$B$366,C418)</f>
        <v>0.18867924528301885</v>
      </c>
      <c r="I418" s="87">
        <f>SUMIFS('Climate Data'!$H$7:$H$366,'Climate Data'!$A$7:$A$366,Estimator!$B$4,'Climate Data'!$B$7:$B$366,C418)</f>
        <v>7.4624999999999995</v>
      </c>
      <c r="J418" s="86">
        <f>SUMIFS('Wind Proxy'!$H$8:$H$19,'Wind Proxy'!$A$8:$A$19,Estimator!$B$4,'Wind Proxy'!$B$8:$B$19,C418)</f>
        <v>0</v>
      </c>
    </row>
    <row r="419" spans="1:10" ht="14.4">
      <c r="A419" s="84">
        <v>46070</v>
      </c>
      <c r="B419" s="85">
        <v>2026</v>
      </c>
      <c r="C419" s="85">
        <v>2</v>
      </c>
      <c r="D419" s="85" t="s">
        <v>58</v>
      </c>
      <c r="E419" s="85">
        <v>17</v>
      </c>
      <c r="F419" s="85">
        <v>2</v>
      </c>
      <c r="G419" s="85">
        <f>--(F419&lt;=Estimator!$B$7)</f>
        <v>1</v>
      </c>
      <c r="H419" s="86">
        <f>SUMIFS('Climate Data'!$G$7:$G$366,'Climate Data'!$A$7:$A$366,Estimator!$B$4,'Climate Data'!$B$7:$B$366,C419)</f>
        <v>0.18867924528301885</v>
      </c>
      <c r="I419" s="87">
        <f>SUMIFS('Climate Data'!$H$7:$H$366,'Climate Data'!$A$7:$A$366,Estimator!$B$4,'Climate Data'!$B$7:$B$366,C419)</f>
        <v>7.4624999999999995</v>
      </c>
      <c r="J419" s="86">
        <f>SUMIFS('Wind Proxy'!$H$8:$H$19,'Wind Proxy'!$A$8:$A$19,Estimator!$B$4,'Wind Proxy'!$B$8:$B$19,C419)</f>
        <v>0</v>
      </c>
    </row>
    <row r="420" spans="1:10" ht="14.4">
      <c r="A420" s="84">
        <v>46071</v>
      </c>
      <c r="B420" s="85">
        <v>2026</v>
      </c>
      <c r="C420" s="85">
        <v>2</v>
      </c>
      <c r="D420" s="85" t="s">
        <v>58</v>
      </c>
      <c r="E420" s="85">
        <v>18</v>
      </c>
      <c r="F420" s="85">
        <v>3</v>
      </c>
      <c r="G420" s="85">
        <f>--(F420&lt;=Estimator!$B$7)</f>
        <v>1</v>
      </c>
      <c r="H420" s="86">
        <f>SUMIFS('Climate Data'!$G$7:$G$366,'Climate Data'!$A$7:$A$366,Estimator!$B$4,'Climate Data'!$B$7:$B$366,C420)</f>
        <v>0.18867924528301885</v>
      </c>
      <c r="I420" s="87">
        <f>SUMIFS('Climate Data'!$H$7:$H$366,'Climate Data'!$A$7:$A$366,Estimator!$B$4,'Climate Data'!$B$7:$B$366,C420)</f>
        <v>7.4624999999999995</v>
      </c>
      <c r="J420" s="86">
        <f>SUMIFS('Wind Proxy'!$H$8:$H$19,'Wind Proxy'!$A$8:$A$19,Estimator!$B$4,'Wind Proxy'!$B$8:$B$19,C420)</f>
        <v>0</v>
      </c>
    </row>
    <row r="421" spans="1:10" ht="14.4">
      <c r="A421" s="84">
        <v>46072</v>
      </c>
      <c r="B421" s="85">
        <v>2026</v>
      </c>
      <c r="C421" s="85">
        <v>2</v>
      </c>
      <c r="D421" s="85" t="s">
        <v>58</v>
      </c>
      <c r="E421" s="85">
        <v>19</v>
      </c>
      <c r="F421" s="85">
        <v>4</v>
      </c>
      <c r="G421" s="85">
        <f>--(F421&lt;=Estimator!$B$7)</f>
        <v>1</v>
      </c>
      <c r="H421" s="86">
        <f>SUMIFS('Climate Data'!$G$7:$G$366,'Climate Data'!$A$7:$A$366,Estimator!$B$4,'Climate Data'!$B$7:$B$366,C421)</f>
        <v>0.18867924528301885</v>
      </c>
      <c r="I421" s="87">
        <f>SUMIFS('Climate Data'!$H$7:$H$366,'Climate Data'!$A$7:$A$366,Estimator!$B$4,'Climate Data'!$B$7:$B$366,C421)</f>
        <v>7.4624999999999995</v>
      </c>
      <c r="J421" s="86">
        <f>SUMIFS('Wind Proxy'!$H$8:$H$19,'Wind Proxy'!$A$8:$A$19,Estimator!$B$4,'Wind Proxy'!$B$8:$B$19,C421)</f>
        <v>0</v>
      </c>
    </row>
    <row r="422" spans="1:10" ht="14.4">
      <c r="A422" s="84">
        <v>46073</v>
      </c>
      <c r="B422" s="85">
        <v>2026</v>
      </c>
      <c r="C422" s="85">
        <v>2</v>
      </c>
      <c r="D422" s="85" t="s">
        <v>58</v>
      </c>
      <c r="E422" s="85">
        <v>20</v>
      </c>
      <c r="F422" s="85">
        <v>5</v>
      </c>
      <c r="G422" s="85">
        <f>--(F422&lt;=Estimator!$B$7)</f>
        <v>1</v>
      </c>
      <c r="H422" s="86">
        <f>SUMIFS('Climate Data'!$G$7:$G$366,'Climate Data'!$A$7:$A$366,Estimator!$B$4,'Climate Data'!$B$7:$B$366,C422)</f>
        <v>0.18867924528301885</v>
      </c>
      <c r="I422" s="87">
        <f>SUMIFS('Climate Data'!$H$7:$H$366,'Climate Data'!$A$7:$A$366,Estimator!$B$4,'Climate Data'!$B$7:$B$366,C422)</f>
        <v>7.4624999999999995</v>
      </c>
      <c r="J422" s="86">
        <f>SUMIFS('Wind Proxy'!$H$8:$H$19,'Wind Proxy'!$A$8:$A$19,Estimator!$B$4,'Wind Proxy'!$B$8:$B$19,C422)</f>
        <v>0</v>
      </c>
    </row>
    <row r="423" spans="1:10" ht="14.4">
      <c r="A423" s="84">
        <v>46074</v>
      </c>
      <c r="B423" s="85">
        <v>2026</v>
      </c>
      <c r="C423" s="85">
        <v>2</v>
      </c>
      <c r="D423" s="85" t="s">
        <v>58</v>
      </c>
      <c r="E423" s="85">
        <v>21</v>
      </c>
      <c r="F423" s="85">
        <v>6</v>
      </c>
      <c r="G423" s="85">
        <f>--(F423&lt;=Estimator!$B$7)</f>
        <v>0</v>
      </c>
      <c r="H423" s="86">
        <f>SUMIFS('Climate Data'!$G$7:$G$366,'Climate Data'!$A$7:$A$366,Estimator!$B$4,'Climate Data'!$B$7:$B$366,C423)</f>
        <v>0.18867924528301885</v>
      </c>
      <c r="I423" s="87">
        <f>SUMIFS('Climate Data'!$H$7:$H$366,'Climate Data'!$A$7:$A$366,Estimator!$B$4,'Climate Data'!$B$7:$B$366,C423)</f>
        <v>7.4624999999999995</v>
      </c>
      <c r="J423" s="86">
        <f>SUMIFS('Wind Proxy'!$H$8:$H$19,'Wind Proxy'!$A$8:$A$19,Estimator!$B$4,'Wind Proxy'!$B$8:$B$19,C423)</f>
        <v>0</v>
      </c>
    </row>
    <row r="424" spans="1:10" ht="14.4">
      <c r="A424" s="84">
        <v>46075</v>
      </c>
      <c r="B424" s="85">
        <v>2026</v>
      </c>
      <c r="C424" s="85">
        <v>2</v>
      </c>
      <c r="D424" s="85" t="s">
        <v>58</v>
      </c>
      <c r="E424" s="85">
        <v>22</v>
      </c>
      <c r="F424" s="85">
        <v>7</v>
      </c>
      <c r="G424" s="85">
        <f>--(F424&lt;=Estimator!$B$7)</f>
        <v>0</v>
      </c>
      <c r="H424" s="86">
        <f>SUMIFS('Climate Data'!$G$7:$G$366,'Climate Data'!$A$7:$A$366,Estimator!$B$4,'Climate Data'!$B$7:$B$366,C424)</f>
        <v>0.18867924528301885</v>
      </c>
      <c r="I424" s="87">
        <f>SUMIFS('Climate Data'!$H$7:$H$366,'Climate Data'!$A$7:$A$366,Estimator!$B$4,'Climate Data'!$B$7:$B$366,C424)</f>
        <v>7.4624999999999995</v>
      </c>
      <c r="J424" s="86">
        <f>SUMIFS('Wind Proxy'!$H$8:$H$19,'Wind Proxy'!$A$8:$A$19,Estimator!$B$4,'Wind Proxy'!$B$8:$B$19,C424)</f>
        <v>0</v>
      </c>
    </row>
    <row r="425" spans="1:10" ht="14.4">
      <c r="A425" s="84">
        <v>46076</v>
      </c>
      <c r="B425" s="85">
        <v>2026</v>
      </c>
      <c r="C425" s="85">
        <v>2</v>
      </c>
      <c r="D425" s="85" t="s">
        <v>58</v>
      </c>
      <c r="E425" s="85">
        <v>23</v>
      </c>
      <c r="F425" s="85">
        <v>1</v>
      </c>
      <c r="G425" s="85">
        <f>--(F425&lt;=Estimator!$B$7)</f>
        <v>1</v>
      </c>
      <c r="H425" s="86">
        <f>SUMIFS('Climate Data'!$G$7:$G$366,'Climate Data'!$A$7:$A$366,Estimator!$B$4,'Climate Data'!$B$7:$B$366,C425)</f>
        <v>0.18867924528301885</v>
      </c>
      <c r="I425" s="87">
        <f>SUMIFS('Climate Data'!$H$7:$H$366,'Climate Data'!$A$7:$A$366,Estimator!$B$4,'Climate Data'!$B$7:$B$366,C425)</f>
        <v>7.4624999999999995</v>
      </c>
      <c r="J425" s="86">
        <f>SUMIFS('Wind Proxy'!$H$8:$H$19,'Wind Proxy'!$A$8:$A$19,Estimator!$B$4,'Wind Proxy'!$B$8:$B$19,C425)</f>
        <v>0</v>
      </c>
    </row>
    <row r="426" spans="1:10" ht="14.4">
      <c r="A426" s="84">
        <v>46077</v>
      </c>
      <c r="B426" s="85">
        <v>2026</v>
      </c>
      <c r="C426" s="85">
        <v>2</v>
      </c>
      <c r="D426" s="85" t="s">
        <v>58</v>
      </c>
      <c r="E426" s="85">
        <v>24</v>
      </c>
      <c r="F426" s="85">
        <v>2</v>
      </c>
      <c r="G426" s="85">
        <f>--(F426&lt;=Estimator!$B$7)</f>
        <v>1</v>
      </c>
      <c r="H426" s="86">
        <f>SUMIFS('Climate Data'!$G$7:$G$366,'Climate Data'!$A$7:$A$366,Estimator!$B$4,'Climate Data'!$B$7:$B$366,C426)</f>
        <v>0.18867924528301885</v>
      </c>
      <c r="I426" s="87">
        <f>SUMIFS('Climate Data'!$H$7:$H$366,'Climate Data'!$A$7:$A$366,Estimator!$B$4,'Climate Data'!$B$7:$B$366,C426)</f>
        <v>7.4624999999999995</v>
      </c>
      <c r="J426" s="86">
        <f>SUMIFS('Wind Proxy'!$H$8:$H$19,'Wind Proxy'!$A$8:$A$19,Estimator!$B$4,'Wind Proxy'!$B$8:$B$19,C426)</f>
        <v>0</v>
      </c>
    </row>
    <row r="427" spans="1:10" ht="14.4">
      <c r="A427" s="84">
        <v>46078</v>
      </c>
      <c r="B427" s="85">
        <v>2026</v>
      </c>
      <c r="C427" s="85">
        <v>2</v>
      </c>
      <c r="D427" s="85" t="s">
        <v>58</v>
      </c>
      <c r="E427" s="85">
        <v>25</v>
      </c>
      <c r="F427" s="85">
        <v>3</v>
      </c>
      <c r="G427" s="85">
        <f>--(F427&lt;=Estimator!$B$7)</f>
        <v>1</v>
      </c>
      <c r="H427" s="86">
        <f>SUMIFS('Climate Data'!$G$7:$G$366,'Climate Data'!$A$7:$A$366,Estimator!$B$4,'Climate Data'!$B$7:$B$366,C427)</f>
        <v>0.18867924528301885</v>
      </c>
      <c r="I427" s="87">
        <f>SUMIFS('Climate Data'!$H$7:$H$366,'Climate Data'!$A$7:$A$366,Estimator!$B$4,'Climate Data'!$B$7:$B$366,C427)</f>
        <v>7.4624999999999995</v>
      </c>
      <c r="J427" s="86">
        <f>SUMIFS('Wind Proxy'!$H$8:$H$19,'Wind Proxy'!$A$8:$A$19,Estimator!$B$4,'Wind Proxy'!$B$8:$B$19,C427)</f>
        <v>0</v>
      </c>
    </row>
    <row r="428" spans="1:10" ht="14.4">
      <c r="A428" s="84">
        <v>46079</v>
      </c>
      <c r="B428" s="85">
        <v>2026</v>
      </c>
      <c r="C428" s="85">
        <v>2</v>
      </c>
      <c r="D428" s="85" t="s">
        <v>58</v>
      </c>
      <c r="E428" s="85">
        <v>26</v>
      </c>
      <c r="F428" s="85">
        <v>4</v>
      </c>
      <c r="G428" s="85">
        <f>--(F428&lt;=Estimator!$B$7)</f>
        <v>1</v>
      </c>
      <c r="H428" s="86">
        <f>SUMIFS('Climate Data'!$G$7:$G$366,'Climate Data'!$A$7:$A$366,Estimator!$B$4,'Climate Data'!$B$7:$B$366,C428)</f>
        <v>0.18867924528301885</v>
      </c>
      <c r="I428" s="87">
        <f>SUMIFS('Climate Data'!$H$7:$H$366,'Climate Data'!$A$7:$A$366,Estimator!$B$4,'Climate Data'!$B$7:$B$366,C428)</f>
        <v>7.4624999999999995</v>
      </c>
      <c r="J428" s="86">
        <f>SUMIFS('Wind Proxy'!$H$8:$H$19,'Wind Proxy'!$A$8:$A$19,Estimator!$B$4,'Wind Proxy'!$B$8:$B$19,C428)</f>
        <v>0</v>
      </c>
    </row>
    <row r="429" spans="1:10" ht="14.4">
      <c r="A429" s="84">
        <v>46080</v>
      </c>
      <c r="B429" s="85">
        <v>2026</v>
      </c>
      <c r="C429" s="85">
        <v>2</v>
      </c>
      <c r="D429" s="85" t="s">
        <v>58</v>
      </c>
      <c r="E429" s="85">
        <v>27</v>
      </c>
      <c r="F429" s="85">
        <v>5</v>
      </c>
      <c r="G429" s="85">
        <f>--(F429&lt;=Estimator!$B$7)</f>
        <v>1</v>
      </c>
      <c r="H429" s="86">
        <f>SUMIFS('Climate Data'!$G$7:$G$366,'Climate Data'!$A$7:$A$366,Estimator!$B$4,'Climate Data'!$B$7:$B$366,C429)</f>
        <v>0.18867924528301885</v>
      </c>
      <c r="I429" s="87">
        <f>SUMIFS('Climate Data'!$H$7:$H$366,'Climate Data'!$A$7:$A$366,Estimator!$B$4,'Climate Data'!$B$7:$B$366,C429)</f>
        <v>7.4624999999999995</v>
      </c>
      <c r="J429" s="86">
        <f>SUMIFS('Wind Proxy'!$H$8:$H$19,'Wind Proxy'!$A$8:$A$19,Estimator!$B$4,'Wind Proxy'!$B$8:$B$19,C429)</f>
        <v>0</v>
      </c>
    </row>
    <row r="430" spans="1:10" ht="14.4">
      <c r="A430" s="84">
        <v>46081</v>
      </c>
      <c r="B430" s="85">
        <v>2026</v>
      </c>
      <c r="C430" s="85">
        <v>2</v>
      </c>
      <c r="D430" s="85" t="s">
        <v>58</v>
      </c>
      <c r="E430" s="85">
        <v>28</v>
      </c>
      <c r="F430" s="85">
        <v>6</v>
      </c>
      <c r="G430" s="85">
        <f>--(F430&lt;=Estimator!$B$7)</f>
        <v>0</v>
      </c>
      <c r="H430" s="86">
        <f>SUMIFS('Climate Data'!$G$7:$G$366,'Climate Data'!$A$7:$A$366,Estimator!$B$4,'Climate Data'!$B$7:$B$366,C430)</f>
        <v>0.18867924528301885</v>
      </c>
      <c r="I430" s="87">
        <f>SUMIFS('Climate Data'!$H$7:$H$366,'Climate Data'!$A$7:$A$366,Estimator!$B$4,'Climate Data'!$B$7:$B$366,C430)</f>
        <v>7.4624999999999995</v>
      </c>
      <c r="J430" s="86">
        <f>SUMIFS('Wind Proxy'!$H$8:$H$19,'Wind Proxy'!$A$8:$A$19,Estimator!$B$4,'Wind Proxy'!$B$8:$B$19,C430)</f>
        <v>0</v>
      </c>
    </row>
    <row r="431" spans="1:10" ht="14.4">
      <c r="A431" s="84">
        <v>46082</v>
      </c>
      <c r="B431" s="85">
        <v>2026</v>
      </c>
      <c r="C431" s="85">
        <v>3</v>
      </c>
      <c r="D431" s="85" t="s">
        <v>60</v>
      </c>
      <c r="E431" s="85">
        <v>1</v>
      </c>
      <c r="F431" s="85">
        <v>7</v>
      </c>
      <c r="G431" s="85">
        <f>--(F431&lt;=Estimator!$B$7)</f>
        <v>0</v>
      </c>
      <c r="H431" s="86">
        <f>SUMIFS('Climate Data'!$G$7:$G$366,'Climate Data'!$A$7:$A$366,Estimator!$B$4,'Climate Data'!$B$7:$B$366,C431)</f>
        <v>0.18494623655913978</v>
      </c>
      <c r="I431" s="87">
        <f>SUMIFS('Climate Data'!$H$7:$H$366,'Climate Data'!$A$7:$A$366,Estimator!$B$4,'Climate Data'!$B$7:$B$366,C431)</f>
        <v>7.8662790697674421</v>
      </c>
      <c r="J431" s="86">
        <f>SUMIFS('Wind Proxy'!$H$8:$H$19,'Wind Proxy'!$A$8:$A$19,Estimator!$B$4,'Wind Proxy'!$B$8:$B$19,C431)</f>
        <v>0</v>
      </c>
    </row>
    <row r="432" spans="1:10" ht="14.4">
      <c r="A432" s="84">
        <v>46083</v>
      </c>
      <c r="B432" s="85">
        <v>2026</v>
      </c>
      <c r="C432" s="85">
        <v>3</v>
      </c>
      <c r="D432" s="85" t="s">
        <v>60</v>
      </c>
      <c r="E432" s="85">
        <v>2</v>
      </c>
      <c r="F432" s="85">
        <v>1</v>
      </c>
      <c r="G432" s="85">
        <f>--(F432&lt;=Estimator!$B$7)</f>
        <v>1</v>
      </c>
      <c r="H432" s="86">
        <f>SUMIFS('Climate Data'!$G$7:$G$366,'Climate Data'!$A$7:$A$366,Estimator!$B$4,'Climate Data'!$B$7:$B$366,C432)</f>
        <v>0.18494623655913978</v>
      </c>
      <c r="I432" s="87">
        <f>SUMIFS('Climate Data'!$H$7:$H$366,'Climate Data'!$A$7:$A$366,Estimator!$B$4,'Climate Data'!$B$7:$B$366,C432)</f>
        <v>7.8662790697674421</v>
      </c>
      <c r="J432" s="86">
        <f>SUMIFS('Wind Proxy'!$H$8:$H$19,'Wind Proxy'!$A$8:$A$19,Estimator!$B$4,'Wind Proxy'!$B$8:$B$19,C432)</f>
        <v>0</v>
      </c>
    </row>
    <row r="433" spans="1:10" ht="14.4">
      <c r="A433" s="84">
        <v>46084</v>
      </c>
      <c r="B433" s="85">
        <v>2026</v>
      </c>
      <c r="C433" s="85">
        <v>3</v>
      </c>
      <c r="D433" s="85" t="s">
        <v>60</v>
      </c>
      <c r="E433" s="85">
        <v>3</v>
      </c>
      <c r="F433" s="85">
        <v>2</v>
      </c>
      <c r="G433" s="85">
        <f>--(F433&lt;=Estimator!$B$7)</f>
        <v>1</v>
      </c>
      <c r="H433" s="86">
        <f>SUMIFS('Climate Data'!$G$7:$G$366,'Climate Data'!$A$7:$A$366,Estimator!$B$4,'Climate Data'!$B$7:$B$366,C433)</f>
        <v>0.18494623655913978</v>
      </c>
      <c r="I433" s="87">
        <f>SUMIFS('Climate Data'!$H$7:$H$366,'Climate Data'!$A$7:$A$366,Estimator!$B$4,'Climate Data'!$B$7:$B$366,C433)</f>
        <v>7.8662790697674421</v>
      </c>
      <c r="J433" s="86">
        <f>SUMIFS('Wind Proxy'!$H$8:$H$19,'Wind Proxy'!$A$8:$A$19,Estimator!$B$4,'Wind Proxy'!$B$8:$B$19,C433)</f>
        <v>0</v>
      </c>
    </row>
    <row r="434" spans="1:10" ht="14.4">
      <c r="A434" s="84">
        <v>46085</v>
      </c>
      <c r="B434" s="85">
        <v>2026</v>
      </c>
      <c r="C434" s="85">
        <v>3</v>
      </c>
      <c r="D434" s="85" t="s">
        <v>60</v>
      </c>
      <c r="E434" s="85">
        <v>4</v>
      </c>
      <c r="F434" s="85">
        <v>3</v>
      </c>
      <c r="G434" s="85">
        <f>--(F434&lt;=Estimator!$B$7)</f>
        <v>1</v>
      </c>
      <c r="H434" s="86">
        <f>SUMIFS('Climate Data'!$G$7:$G$366,'Climate Data'!$A$7:$A$366,Estimator!$B$4,'Climate Data'!$B$7:$B$366,C434)</f>
        <v>0.18494623655913978</v>
      </c>
      <c r="I434" s="87">
        <f>SUMIFS('Climate Data'!$H$7:$H$366,'Climate Data'!$A$7:$A$366,Estimator!$B$4,'Climate Data'!$B$7:$B$366,C434)</f>
        <v>7.8662790697674421</v>
      </c>
      <c r="J434" s="86">
        <f>SUMIFS('Wind Proxy'!$H$8:$H$19,'Wind Proxy'!$A$8:$A$19,Estimator!$B$4,'Wind Proxy'!$B$8:$B$19,C434)</f>
        <v>0</v>
      </c>
    </row>
    <row r="435" spans="1:10" ht="14.4">
      <c r="A435" s="84">
        <v>46086</v>
      </c>
      <c r="B435" s="85">
        <v>2026</v>
      </c>
      <c r="C435" s="85">
        <v>3</v>
      </c>
      <c r="D435" s="85" t="s">
        <v>60</v>
      </c>
      <c r="E435" s="85">
        <v>5</v>
      </c>
      <c r="F435" s="85">
        <v>4</v>
      </c>
      <c r="G435" s="85">
        <f>--(F435&lt;=Estimator!$B$7)</f>
        <v>1</v>
      </c>
      <c r="H435" s="86">
        <f>SUMIFS('Climate Data'!$G$7:$G$366,'Climate Data'!$A$7:$A$366,Estimator!$B$4,'Climate Data'!$B$7:$B$366,C435)</f>
        <v>0.18494623655913978</v>
      </c>
      <c r="I435" s="87">
        <f>SUMIFS('Climate Data'!$H$7:$H$366,'Climate Data'!$A$7:$A$366,Estimator!$B$4,'Climate Data'!$B$7:$B$366,C435)</f>
        <v>7.8662790697674421</v>
      </c>
      <c r="J435" s="86">
        <f>SUMIFS('Wind Proxy'!$H$8:$H$19,'Wind Proxy'!$A$8:$A$19,Estimator!$B$4,'Wind Proxy'!$B$8:$B$19,C435)</f>
        <v>0</v>
      </c>
    </row>
    <row r="436" spans="1:10" ht="14.4">
      <c r="A436" s="84">
        <v>46087</v>
      </c>
      <c r="B436" s="85">
        <v>2026</v>
      </c>
      <c r="C436" s="85">
        <v>3</v>
      </c>
      <c r="D436" s="85" t="s">
        <v>60</v>
      </c>
      <c r="E436" s="85">
        <v>6</v>
      </c>
      <c r="F436" s="85">
        <v>5</v>
      </c>
      <c r="G436" s="85">
        <f>--(F436&lt;=Estimator!$B$7)</f>
        <v>1</v>
      </c>
      <c r="H436" s="86">
        <f>SUMIFS('Climate Data'!$G$7:$G$366,'Climate Data'!$A$7:$A$366,Estimator!$B$4,'Climate Data'!$B$7:$B$366,C436)</f>
        <v>0.18494623655913978</v>
      </c>
      <c r="I436" s="87">
        <f>SUMIFS('Climate Data'!$H$7:$H$366,'Climate Data'!$A$7:$A$366,Estimator!$B$4,'Climate Data'!$B$7:$B$366,C436)</f>
        <v>7.8662790697674421</v>
      </c>
      <c r="J436" s="86">
        <f>SUMIFS('Wind Proxy'!$H$8:$H$19,'Wind Proxy'!$A$8:$A$19,Estimator!$B$4,'Wind Proxy'!$B$8:$B$19,C436)</f>
        <v>0</v>
      </c>
    </row>
    <row r="437" spans="1:10" ht="14.4">
      <c r="A437" s="84">
        <v>46088</v>
      </c>
      <c r="B437" s="85">
        <v>2026</v>
      </c>
      <c r="C437" s="85">
        <v>3</v>
      </c>
      <c r="D437" s="85" t="s">
        <v>60</v>
      </c>
      <c r="E437" s="85">
        <v>7</v>
      </c>
      <c r="F437" s="85">
        <v>6</v>
      </c>
      <c r="G437" s="85">
        <f>--(F437&lt;=Estimator!$B$7)</f>
        <v>0</v>
      </c>
      <c r="H437" s="86">
        <f>SUMIFS('Climate Data'!$G$7:$G$366,'Climate Data'!$A$7:$A$366,Estimator!$B$4,'Climate Data'!$B$7:$B$366,C437)</f>
        <v>0.18494623655913978</v>
      </c>
      <c r="I437" s="87">
        <f>SUMIFS('Climate Data'!$H$7:$H$366,'Climate Data'!$A$7:$A$366,Estimator!$B$4,'Climate Data'!$B$7:$B$366,C437)</f>
        <v>7.8662790697674421</v>
      </c>
      <c r="J437" s="86">
        <f>SUMIFS('Wind Proxy'!$H$8:$H$19,'Wind Proxy'!$A$8:$A$19,Estimator!$B$4,'Wind Proxy'!$B$8:$B$19,C437)</f>
        <v>0</v>
      </c>
    </row>
    <row r="438" spans="1:10" ht="14.4">
      <c r="A438" s="84">
        <v>46089</v>
      </c>
      <c r="B438" s="85">
        <v>2026</v>
      </c>
      <c r="C438" s="85">
        <v>3</v>
      </c>
      <c r="D438" s="85" t="s">
        <v>60</v>
      </c>
      <c r="E438" s="85">
        <v>8</v>
      </c>
      <c r="F438" s="85">
        <v>7</v>
      </c>
      <c r="G438" s="85">
        <f>--(F438&lt;=Estimator!$B$7)</f>
        <v>0</v>
      </c>
      <c r="H438" s="86">
        <f>SUMIFS('Climate Data'!$G$7:$G$366,'Climate Data'!$A$7:$A$366,Estimator!$B$4,'Climate Data'!$B$7:$B$366,C438)</f>
        <v>0.18494623655913978</v>
      </c>
      <c r="I438" s="87">
        <f>SUMIFS('Climate Data'!$H$7:$H$366,'Climate Data'!$A$7:$A$366,Estimator!$B$4,'Climate Data'!$B$7:$B$366,C438)</f>
        <v>7.8662790697674421</v>
      </c>
      <c r="J438" s="86">
        <f>SUMIFS('Wind Proxy'!$H$8:$H$19,'Wind Proxy'!$A$8:$A$19,Estimator!$B$4,'Wind Proxy'!$B$8:$B$19,C438)</f>
        <v>0</v>
      </c>
    </row>
    <row r="439" spans="1:10" ht="14.4">
      <c r="A439" s="84">
        <v>46090</v>
      </c>
      <c r="B439" s="85">
        <v>2026</v>
      </c>
      <c r="C439" s="85">
        <v>3</v>
      </c>
      <c r="D439" s="85" t="s">
        <v>60</v>
      </c>
      <c r="E439" s="85">
        <v>9</v>
      </c>
      <c r="F439" s="85">
        <v>1</v>
      </c>
      <c r="G439" s="85">
        <f>--(F439&lt;=Estimator!$B$7)</f>
        <v>1</v>
      </c>
      <c r="H439" s="86">
        <f>SUMIFS('Climate Data'!$G$7:$G$366,'Climate Data'!$A$7:$A$366,Estimator!$B$4,'Climate Data'!$B$7:$B$366,C439)</f>
        <v>0.18494623655913978</v>
      </c>
      <c r="I439" s="87">
        <f>SUMIFS('Climate Data'!$H$7:$H$366,'Climate Data'!$A$7:$A$366,Estimator!$B$4,'Climate Data'!$B$7:$B$366,C439)</f>
        <v>7.8662790697674421</v>
      </c>
      <c r="J439" s="86">
        <f>SUMIFS('Wind Proxy'!$H$8:$H$19,'Wind Proxy'!$A$8:$A$19,Estimator!$B$4,'Wind Proxy'!$B$8:$B$19,C439)</f>
        <v>0</v>
      </c>
    </row>
    <row r="440" spans="1:10" ht="14.4">
      <c r="A440" s="84">
        <v>46091</v>
      </c>
      <c r="B440" s="85">
        <v>2026</v>
      </c>
      <c r="C440" s="85">
        <v>3</v>
      </c>
      <c r="D440" s="85" t="s">
        <v>60</v>
      </c>
      <c r="E440" s="85">
        <v>10</v>
      </c>
      <c r="F440" s="85">
        <v>2</v>
      </c>
      <c r="G440" s="85">
        <f>--(F440&lt;=Estimator!$B$7)</f>
        <v>1</v>
      </c>
      <c r="H440" s="86">
        <f>SUMIFS('Climate Data'!$G$7:$G$366,'Climate Data'!$A$7:$A$366,Estimator!$B$4,'Climate Data'!$B$7:$B$366,C440)</f>
        <v>0.18494623655913978</v>
      </c>
      <c r="I440" s="87">
        <f>SUMIFS('Climate Data'!$H$7:$H$366,'Climate Data'!$A$7:$A$366,Estimator!$B$4,'Climate Data'!$B$7:$B$366,C440)</f>
        <v>7.8662790697674421</v>
      </c>
      <c r="J440" s="86">
        <f>SUMIFS('Wind Proxy'!$H$8:$H$19,'Wind Proxy'!$A$8:$A$19,Estimator!$B$4,'Wind Proxy'!$B$8:$B$19,C440)</f>
        <v>0</v>
      </c>
    </row>
    <row r="441" spans="1:10" ht="14.4">
      <c r="A441" s="84">
        <v>46092</v>
      </c>
      <c r="B441" s="85">
        <v>2026</v>
      </c>
      <c r="C441" s="85">
        <v>3</v>
      </c>
      <c r="D441" s="85" t="s">
        <v>60</v>
      </c>
      <c r="E441" s="85">
        <v>11</v>
      </c>
      <c r="F441" s="85">
        <v>3</v>
      </c>
      <c r="G441" s="85">
        <f>--(F441&lt;=Estimator!$B$7)</f>
        <v>1</v>
      </c>
      <c r="H441" s="86">
        <f>SUMIFS('Climate Data'!$G$7:$G$366,'Climate Data'!$A$7:$A$366,Estimator!$B$4,'Climate Data'!$B$7:$B$366,C441)</f>
        <v>0.18494623655913978</v>
      </c>
      <c r="I441" s="87">
        <f>SUMIFS('Climate Data'!$H$7:$H$366,'Climate Data'!$A$7:$A$366,Estimator!$B$4,'Climate Data'!$B$7:$B$366,C441)</f>
        <v>7.8662790697674421</v>
      </c>
      <c r="J441" s="86">
        <f>SUMIFS('Wind Proxy'!$H$8:$H$19,'Wind Proxy'!$A$8:$A$19,Estimator!$B$4,'Wind Proxy'!$B$8:$B$19,C441)</f>
        <v>0</v>
      </c>
    </row>
    <row r="442" spans="1:10" ht="14.4">
      <c r="A442" s="84">
        <v>46093</v>
      </c>
      <c r="B442" s="85">
        <v>2026</v>
      </c>
      <c r="C442" s="85">
        <v>3</v>
      </c>
      <c r="D442" s="85" t="s">
        <v>60</v>
      </c>
      <c r="E442" s="85">
        <v>12</v>
      </c>
      <c r="F442" s="85">
        <v>4</v>
      </c>
      <c r="G442" s="85">
        <f>--(F442&lt;=Estimator!$B$7)</f>
        <v>1</v>
      </c>
      <c r="H442" s="86">
        <f>SUMIFS('Climate Data'!$G$7:$G$366,'Climate Data'!$A$7:$A$366,Estimator!$B$4,'Climate Data'!$B$7:$B$366,C442)</f>
        <v>0.18494623655913978</v>
      </c>
      <c r="I442" s="87">
        <f>SUMIFS('Climate Data'!$H$7:$H$366,'Climate Data'!$A$7:$A$366,Estimator!$B$4,'Climate Data'!$B$7:$B$366,C442)</f>
        <v>7.8662790697674421</v>
      </c>
      <c r="J442" s="86">
        <f>SUMIFS('Wind Proxy'!$H$8:$H$19,'Wind Proxy'!$A$8:$A$19,Estimator!$B$4,'Wind Proxy'!$B$8:$B$19,C442)</f>
        <v>0</v>
      </c>
    </row>
    <row r="443" spans="1:10" ht="14.4">
      <c r="A443" s="84">
        <v>46094</v>
      </c>
      <c r="B443" s="85">
        <v>2026</v>
      </c>
      <c r="C443" s="85">
        <v>3</v>
      </c>
      <c r="D443" s="85" t="s">
        <v>60</v>
      </c>
      <c r="E443" s="85">
        <v>13</v>
      </c>
      <c r="F443" s="85">
        <v>5</v>
      </c>
      <c r="G443" s="85">
        <f>--(F443&lt;=Estimator!$B$7)</f>
        <v>1</v>
      </c>
      <c r="H443" s="86">
        <f>SUMIFS('Climate Data'!$G$7:$G$366,'Climate Data'!$A$7:$A$366,Estimator!$B$4,'Climate Data'!$B$7:$B$366,C443)</f>
        <v>0.18494623655913978</v>
      </c>
      <c r="I443" s="87">
        <f>SUMIFS('Climate Data'!$H$7:$H$366,'Climate Data'!$A$7:$A$366,Estimator!$B$4,'Climate Data'!$B$7:$B$366,C443)</f>
        <v>7.8662790697674421</v>
      </c>
      <c r="J443" s="86">
        <f>SUMIFS('Wind Proxy'!$H$8:$H$19,'Wind Proxy'!$A$8:$A$19,Estimator!$B$4,'Wind Proxy'!$B$8:$B$19,C443)</f>
        <v>0</v>
      </c>
    </row>
    <row r="444" spans="1:10" ht="14.4">
      <c r="A444" s="84">
        <v>46095</v>
      </c>
      <c r="B444" s="85">
        <v>2026</v>
      </c>
      <c r="C444" s="85">
        <v>3</v>
      </c>
      <c r="D444" s="85" t="s">
        <v>60</v>
      </c>
      <c r="E444" s="85">
        <v>14</v>
      </c>
      <c r="F444" s="85">
        <v>6</v>
      </c>
      <c r="G444" s="85">
        <f>--(F444&lt;=Estimator!$B$7)</f>
        <v>0</v>
      </c>
      <c r="H444" s="86">
        <f>SUMIFS('Climate Data'!$G$7:$G$366,'Climate Data'!$A$7:$A$366,Estimator!$B$4,'Climate Data'!$B$7:$B$366,C444)</f>
        <v>0.18494623655913978</v>
      </c>
      <c r="I444" s="87">
        <f>SUMIFS('Climate Data'!$H$7:$H$366,'Climate Data'!$A$7:$A$366,Estimator!$B$4,'Climate Data'!$B$7:$B$366,C444)</f>
        <v>7.8662790697674421</v>
      </c>
      <c r="J444" s="86">
        <f>SUMIFS('Wind Proxy'!$H$8:$H$19,'Wind Proxy'!$A$8:$A$19,Estimator!$B$4,'Wind Proxy'!$B$8:$B$19,C444)</f>
        <v>0</v>
      </c>
    </row>
    <row r="445" spans="1:10" ht="14.4">
      <c r="A445" s="84">
        <v>46096</v>
      </c>
      <c r="B445" s="85">
        <v>2026</v>
      </c>
      <c r="C445" s="85">
        <v>3</v>
      </c>
      <c r="D445" s="85" t="s">
        <v>60</v>
      </c>
      <c r="E445" s="85">
        <v>15</v>
      </c>
      <c r="F445" s="85">
        <v>7</v>
      </c>
      <c r="G445" s="85">
        <f>--(F445&lt;=Estimator!$B$7)</f>
        <v>0</v>
      </c>
      <c r="H445" s="86">
        <f>SUMIFS('Climate Data'!$G$7:$G$366,'Climate Data'!$A$7:$A$366,Estimator!$B$4,'Climate Data'!$B$7:$B$366,C445)</f>
        <v>0.18494623655913978</v>
      </c>
      <c r="I445" s="87">
        <f>SUMIFS('Climate Data'!$H$7:$H$366,'Climate Data'!$A$7:$A$366,Estimator!$B$4,'Climate Data'!$B$7:$B$366,C445)</f>
        <v>7.8662790697674421</v>
      </c>
      <c r="J445" s="86">
        <f>SUMIFS('Wind Proxy'!$H$8:$H$19,'Wind Proxy'!$A$8:$A$19,Estimator!$B$4,'Wind Proxy'!$B$8:$B$19,C445)</f>
        <v>0</v>
      </c>
    </row>
    <row r="446" spans="1:10" ht="14.4">
      <c r="A446" s="84">
        <v>46097</v>
      </c>
      <c r="B446" s="85">
        <v>2026</v>
      </c>
      <c r="C446" s="85">
        <v>3</v>
      </c>
      <c r="D446" s="85" t="s">
        <v>60</v>
      </c>
      <c r="E446" s="85">
        <v>16</v>
      </c>
      <c r="F446" s="85">
        <v>1</v>
      </c>
      <c r="G446" s="85">
        <f>--(F446&lt;=Estimator!$B$7)</f>
        <v>1</v>
      </c>
      <c r="H446" s="86">
        <f>SUMIFS('Climate Data'!$G$7:$G$366,'Climate Data'!$A$7:$A$366,Estimator!$B$4,'Climate Data'!$B$7:$B$366,C446)</f>
        <v>0.18494623655913978</v>
      </c>
      <c r="I446" s="87">
        <f>SUMIFS('Climate Data'!$H$7:$H$366,'Climate Data'!$A$7:$A$366,Estimator!$B$4,'Climate Data'!$B$7:$B$366,C446)</f>
        <v>7.8662790697674421</v>
      </c>
      <c r="J446" s="86">
        <f>SUMIFS('Wind Proxy'!$H$8:$H$19,'Wind Proxy'!$A$8:$A$19,Estimator!$B$4,'Wind Proxy'!$B$8:$B$19,C446)</f>
        <v>0</v>
      </c>
    </row>
    <row r="447" spans="1:10" ht="14.4">
      <c r="A447" s="84">
        <v>46098</v>
      </c>
      <c r="B447" s="85">
        <v>2026</v>
      </c>
      <c r="C447" s="85">
        <v>3</v>
      </c>
      <c r="D447" s="85" t="s">
        <v>60</v>
      </c>
      <c r="E447" s="85">
        <v>17</v>
      </c>
      <c r="F447" s="85">
        <v>2</v>
      </c>
      <c r="G447" s="85">
        <f>--(F447&lt;=Estimator!$B$7)</f>
        <v>1</v>
      </c>
      <c r="H447" s="86">
        <f>SUMIFS('Climate Data'!$G$7:$G$366,'Climate Data'!$A$7:$A$366,Estimator!$B$4,'Climate Data'!$B$7:$B$366,C447)</f>
        <v>0.18494623655913978</v>
      </c>
      <c r="I447" s="87">
        <f>SUMIFS('Climate Data'!$H$7:$H$366,'Climate Data'!$A$7:$A$366,Estimator!$B$4,'Climate Data'!$B$7:$B$366,C447)</f>
        <v>7.8662790697674421</v>
      </c>
      <c r="J447" s="86">
        <f>SUMIFS('Wind Proxy'!$H$8:$H$19,'Wind Proxy'!$A$8:$A$19,Estimator!$B$4,'Wind Proxy'!$B$8:$B$19,C447)</f>
        <v>0</v>
      </c>
    </row>
    <row r="448" spans="1:10" ht="14.4">
      <c r="A448" s="84">
        <v>46099</v>
      </c>
      <c r="B448" s="85">
        <v>2026</v>
      </c>
      <c r="C448" s="85">
        <v>3</v>
      </c>
      <c r="D448" s="85" t="s">
        <v>60</v>
      </c>
      <c r="E448" s="85">
        <v>18</v>
      </c>
      <c r="F448" s="85">
        <v>3</v>
      </c>
      <c r="G448" s="85">
        <f>--(F448&lt;=Estimator!$B$7)</f>
        <v>1</v>
      </c>
      <c r="H448" s="86">
        <f>SUMIFS('Climate Data'!$G$7:$G$366,'Climate Data'!$A$7:$A$366,Estimator!$B$4,'Climate Data'!$B$7:$B$366,C448)</f>
        <v>0.18494623655913978</v>
      </c>
      <c r="I448" s="87">
        <f>SUMIFS('Climate Data'!$H$7:$H$366,'Climate Data'!$A$7:$A$366,Estimator!$B$4,'Climate Data'!$B$7:$B$366,C448)</f>
        <v>7.8662790697674421</v>
      </c>
      <c r="J448" s="86">
        <f>SUMIFS('Wind Proxy'!$H$8:$H$19,'Wind Proxy'!$A$8:$A$19,Estimator!$B$4,'Wind Proxy'!$B$8:$B$19,C448)</f>
        <v>0</v>
      </c>
    </row>
    <row r="449" spans="1:10" ht="14.4">
      <c r="A449" s="84">
        <v>46100</v>
      </c>
      <c r="B449" s="85">
        <v>2026</v>
      </c>
      <c r="C449" s="85">
        <v>3</v>
      </c>
      <c r="D449" s="85" t="s">
        <v>60</v>
      </c>
      <c r="E449" s="85">
        <v>19</v>
      </c>
      <c r="F449" s="85">
        <v>4</v>
      </c>
      <c r="G449" s="85">
        <f>--(F449&lt;=Estimator!$B$7)</f>
        <v>1</v>
      </c>
      <c r="H449" s="86">
        <f>SUMIFS('Climate Data'!$G$7:$G$366,'Climate Data'!$A$7:$A$366,Estimator!$B$4,'Climate Data'!$B$7:$B$366,C449)</f>
        <v>0.18494623655913978</v>
      </c>
      <c r="I449" s="87">
        <f>SUMIFS('Climate Data'!$H$7:$H$366,'Climate Data'!$A$7:$A$366,Estimator!$B$4,'Climate Data'!$B$7:$B$366,C449)</f>
        <v>7.8662790697674421</v>
      </c>
      <c r="J449" s="86">
        <f>SUMIFS('Wind Proxy'!$H$8:$H$19,'Wind Proxy'!$A$8:$A$19,Estimator!$B$4,'Wind Proxy'!$B$8:$B$19,C449)</f>
        <v>0</v>
      </c>
    </row>
    <row r="450" spans="1:10" ht="14.4">
      <c r="A450" s="84">
        <v>46101</v>
      </c>
      <c r="B450" s="85">
        <v>2026</v>
      </c>
      <c r="C450" s="85">
        <v>3</v>
      </c>
      <c r="D450" s="85" t="s">
        <v>60</v>
      </c>
      <c r="E450" s="85">
        <v>20</v>
      </c>
      <c r="F450" s="85">
        <v>5</v>
      </c>
      <c r="G450" s="85">
        <f>--(F450&lt;=Estimator!$B$7)</f>
        <v>1</v>
      </c>
      <c r="H450" s="86">
        <f>SUMIFS('Climate Data'!$G$7:$G$366,'Climate Data'!$A$7:$A$366,Estimator!$B$4,'Climate Data'!$B$7:$B$366,C450)</f>
        <v>0.18494623655913978</v>
      </c>
      <c r="I450" s="87">
        <f>SUMIFS('Climate Data'!$H$7:$H$366,'Climate Data'!$A$7:$A$366,Estimator!$B$4,'Climate Data'!$B$7:$B$366,C450)</f>
        <v>7.8662790697674421</v>
      </c>
      <c r="J450" s="86">
        <f>SUMIFS('Wind Proxy'!$H$8:$H$19,'Wind Proxy'!$A$8:$A$19,Estimator!$B$4,'Wind Proxy'!$B$8:$B$19,C450)</f>
        <v>0</v>
      </c>
    </row>
    <row r="451" spans="1:10" ht="14.4">
      <c r="A451" s="84">
        <v>46102</v>
      </c>
      <c r="B451" s="85">
        <v>2026</v>
      </c>
      <c r="C451" s="85">
        <v>3</v>
      </c>
      <c r="D451" s="85" t="s">
        <v>60</v>
      </c>
      <c r="E451" s="85">
        <v>21</v>
      </c>
      <c r="F451" s="85">
        <v>6</v>
      </c>
      <c r="G451" s="85">
        <f>--(F451&lt;=Estimator!$B$7)</f>
        <v>0</v>
      </c>
      <c r="H451" s="86">
        <f>SUMIFS('Climate Data'!$G$7:$G$366,'Climate Data'!$A$7:$A$366,Estimator!$B$4,'Climate Data'!$B$7:$B$366,C451)</f>
        <v>0.18494623655913978</v>
      </c>
      <c r="I451" s="87">
        <f>SUMIFS('Climate Data'!$H$7:$H$366,'Climate Data'!$A$7:$A$366,Estimator!$B$4,'Climate Data'!$B$7:$B$366,C451)</f>
        <v>7.8662790697674421</v>
      </c>
      <c r="J451" s="86">
        <f>SUMIFS('Wind Proxy'!$H$8:$H$19,'Wind Proxy'!$A$8:$A$19,Estimator!$B$4,'Wind Proxy'!$B$8:$B$19,C451)</f>
        <v>0</v>
      </c>
    </row>
    <row r="452" spans="1:10" ht="14.4">
      <c r="A452" s="84">
        <v>46103</v>
      </c>
      <c r="B452" s="85">
        <v>2026</v>
      </c>
      <c r="C452" s="85">
        <v>3</v>
      </c>
      <c r="D452" s="85" t="s">
        <v>60</v>
      </c>
      <c r="E452" s="85">
        <v>22</v>
      </c>
      <c r="F452" s="85">
        <v>7</v>
      </c>
      <c r="G452" s="85">
        <f>--(F452&lt;=Estimator!$B$7)</f>
        <v>0</v>
      </c>
      <c r="H452" s="86">
        <f>SUMIFS('Climate Data'!$G$7:$G$366,'Climate Data'!$A$7:$A$366,Estimator!$B$4,'Climate Data'!$B$7:$B$366,C452)</f>
        <v>0.18494623655913978</v>
      </c>
      <c r="I452" s="87">
        <f>SUMIFS('Climate Data'!$H$7:$H$366,'Climate Data'!$A$7:$A$366,Estimator!$B$4,'Climate Data'!$B$7:$B$366,C452)</f>
        <v>7.8662790697674421</v>
      </c>
      <c r="J452" s="86">
        <f>SUMIFS('Wind Proxy'!$H$8:$H$19,'Wind Proxy'!$A$8:$A$19,Estimator!$B$4,'Wind Proxy'!$B$8:$B$19,C452)</f>
        <v>0</v>
      </c>
    </row>
    <row r="453" spans="1:10" ht="14.4">
      <c r="A453" s="84">
        <v>46104</v>
      </c>
      <c r="B453" s="85">
        <v>2026</v>
      </c>
      <c r="C453" s="85">
        <v>3</v>
      </c>
      <c r="D453" s="85" t="s">
        <v>60</v>
      </c>
      <c r="E453" s="85">
        <v>23</v>
      </c>
      <c r="F453" s="85">
        <v>1</v>
      </c>
      <c r="G453" s="85">
        <f>--(F453&lt;=Estimator!$B$7)</f>
        <v>1</v>
      </c>
      <c r="H453" s="86">
        <f>SUMIFS('Climate Data'!$G$7:$G$366,'Climate Data'!$A$7:$A$366,Estimator!$B$4,'Climate Data'!$B$7:$B$366,C453)</f>
        <v>0.18494623655913978</v>
      </c>
      <c r="I453" s="87">
        <f>SUMIFS('Climate Data'!$H$7:$H$366,'Climate Data'!$A$7:$A$366,Estimator!$B$4,'Climate Data'!$B$7:$B$366,C453)</f>
        <v>7.8662790697674421</v>
      </c>
      <c r="J453" s="86">
        <f>SUMIFS('Wind Proxy'!$H$8:$H$19,'Wind Proxy'!$A$8:$A$19,Estimator!$B$4,'Wind Proxy'!$B$8:$B$19,C453)</f>
        <v>0</v>
      </c>
    </row>
    <row r="454" spans="1:10" ht="14.4">
      <c r="A454" s="84">
        <v>46105</v>
      </c>
      <c r="B454" s="85">
        <v>2026</v>
      </c>
      <c r="C454" s="85">
        <v>3</v>
      </c>
      <c r="D454" s="85" t="s">
        <v>60</v>
      </c>
      <c r="E454" s="85">
        <v>24</v>
      </c>
      <c r="F454" s="85">
        <v>2</v>
      </c>
      <c r="G454" s="85">
        <f>--(F454&lt;=Estimator!$B$7)</f>
        <v>1</v>
      </c>
      <c r="H454" s="86">
        <f>SUMIFS('Climate Data'!$G$7:$G$366,'Climate Data'!$A$7:$A$366,Estimator!$B$4,'Climate Data'!$B$7:$B$366,C454)</f>
        <v>0.18494623655913978</v>
      </c>
      <c r="I454" s="87">
        <f>SUMIFS('Climate Data'!$H$7:$H$366,'Climate Data'!$A$7:$A$366,Estimator!$B$4,'Climate Data'!$B$7:$B$366,C454)</f>
        <v>7.8662790697674421</v>
      </c>
      <c r="J454" s="86">
        <f>SUMIFS('Wind Proxy'!$H$8:$H$19,'Wind Proxy'!$A$8:$A$19,Estimator!$B$4,'Wind Proxy'!$B$8:$B$19,C454)</f>
        <v>0</v>
      </c>
    </row>
    <row r="455" spans="1:10" ht="14.4">
      <c r="A455" s="84">
        <v>46106</v>
      </c>
      <c r="B455" s="85">
        <v>2026</v>
      </c>
      <c r="C455" s="85">
        <v>3</v>
      </c>
      <c r="D455" s="85" t="s">
        <v>60</v>
      </c>
      <c r="E455" s="85">
        <v>25</v>
      </c>
      <c r="F455" s="85">
        <v>3</v>
      </c>
      <c r="G455" s="85">
        <f>--(F455&lt;=Estimator!$B$7)</f>
        <v>1</v>
      </c>
      <c r="H455" s="86">
        <f>SUMIFS('Climate Data'!$G$7:$G$366,'Climate Data'!$A$7:$A$366,Estimator!$B$4,'Climate Data'!$B$7:$B$366,C455)</f>
        <v>0.18494623655913978</v>
      </c>
      <c r="I455" s="87">
        <f>SUMIFS('Climate Data'!$H$7:$H$366,'Climate Data'!$A$7:$A$366,Estimator!$B$4,'Climate Data'!$B$7:$B$366,C455)</f>
        <v>7.8662790697674421</v>
      </c>
      <c r="J455" s="86">
        <f>SUMIFS('Wind Proxy'!$H$8:$H$19,'Wind Proxy'!$A$8:$A$19,Estimator!$B$4,'Wind Proxy'!$B$8:$B$19,C455)</f>
        <v>0</v>
      </c>
    </row>
    <row r="456" spans="1:10" ht="14.4">
      <c r="A456" s="84">
        <v>46107</v>
      </c>
      <c r="B456" s="85">
        <v>2026</v>
      </c>
      <c r="C456" s="85">
        <v>3</v>
      </c>
      <c r="D456" s="85" t="s">
        <v>60</v>
      </c>
      <c r="E456" s="85">
        <v>26</v>
      </c>
      <c r="F456" s="85">
        <v>4</v>
      </c>
      <c r="G456" s="85">
        <f>--(F456&lt;=Estimator!$B$7)</f>
        <v>1</v>
      </c>
      <c r="H456" s="86">
        <f>SUMIFS('Climate Data'!$G$7:$G$366,'Climate Data'!$A$7:$A$366,Estimator!$B$4,'Climate Data'!$B$7:$B$366,C456)</f>
        <v>0.18494623655913978</v>
      </c>
      <c r="I456" s="87">
        <f>SUMIFS('Climate Data'!$H$7:$H$366,'Climate Data'!$A$7:$A$366,Estimator!$B$4,'Climate Data'!$B$7:$B$366,C456)</f>
        <v>7.8662790697674421</v>
      </c>
      <c r="J456" s="86">
        <f>SUMIFS('Wind Proxy'!$H$8:$H$19,'Wind Proxy'!$A$8:$A$19,Estimator!$B$4,'Wind Proxy'!$B$8:$B$19,C456)</f>
        <v>0</v>
      </c>
    </row>
    <row r="457" spans="1:10" ht="14.4">
      <c r="A457" s="84">
        <v>46108</v>
      </c>
      <c r="B457" s="85">
        <v>2026</v>
      </c>
      <c r="C457" s="85">
        <v>3</v>
      </c>
      <c r="D457" s="85" t="s">
        <v>60</v>
      </c>
      <c r="E457" s="85">
        <v>27</v>
      </c>
      <c r="F457" s="85">
        <v>5</v>
      </c>
      <c r="G457" s="85">
        <f>--(F457&lt;=Estimator!$B$7)</f>
        <v>1</v>
      </c>
      <c r="H457" s="86">
        <f>SUMIFS('Climate Data'!$G$7:$G$366,'Climate Data'!$A$7:$A$366,Estimator!$B$4,'Climate Data'!$B$7:$B$366,C457)</f>
        <v>0.18494623655913978</v>
      </c>
      <c r="I457" s="87">
        <f>SUMIFS('Climate Data'!$H$7:$H$366,'Climate Data'!$A$7:$A$366,Estimator!$B$4,'Climate Data'!$B$7:$B$366,C457)</f>
        <v>7.8662790697674421</v>
      </c>
      <c r="J457" s="86">
        <f>SUMIFS('Wind Proxy'!$H$8:$H$19,'Wind Proxy'!$A$8:$A$19,Estimator!$B$4,'Wind Proxy'!$B$8:$B$19,C457)</f>
        <v>0</v>
      </c>
    </row>
    <row r="458" spans="1:10" ht="14.4">
      <c r="A458" s="84">
        <v>46109</v>
      </c>
      <c r="B458" s="85">
        <v>2026</v>
      </c>
      <c r="C458" s="85">
        <v>3</v>
      </c>
      <c r="D458" s="85" t="s">
        <v>60</v>
      </c>
      <c r="E458" s="85">
        <v>28</v>
      </c>
      <c r="F458" s="85">
        <v>6</v>
      </c>
      <c r="G458" s="85">
        <f>--(F458&lt;=Estimator!$B$7)</f>
        <v>0</v>
      </c>
      <c r="H458" s="86">
        <f>SUMIFS('Climate Data'!$G$7:$G$366,'Climate Data'!$A$7:$A$366,Estimator!$B$4,'Climate Data'!$B$7:$B$366,C458)</f>
        <v>0.18494623655913978</v>
      </c>
      <c r="I458" s="87">
        <f>SUMIFS('Climate Data'!$H$7:$H$366,'Climate Data'!$A$7:$A$366,Estimator!$B$4,'Climate Data'!$B$7:$B$366,C458)</f>
        <v>7.8662790697674421</v>
      </c>
      <c r="J458" s="86">
        <f>SUMIFS('Wind Proxy'!$H$8:$H$19,'Wind Proxy'!$A$8:$A$19,Estimator!$B$4,'Wind Proxy'!$B$8:$B$19,C458)</f>
        <v>0</v>
      </c>
    </row>
    <row r="459" spans="1:10" ht="14.4">
      <c r="A459" s="84">
        <v>46110</v>
      </c>
      <c r="B459" s="85">
        <v>2026</v>
      </c>
      <c r="C459" s="85">
        <v>3</v>
      </c>
      <c r="D459" s="85" t="s">
        <v>60</v>
      </c>
      <c r="E459" s="85">
        <v>29</v>
      </c>
      <c r="F459" s="85">
        <v>7</v>
      </c>
      <c r="G459" s="85">
        <f>--(F459&lt;=Estimator!$B$7)</f>
        <v>0</v>
      </c>
      <c r="H459" s="86">
        <f>SUMIFS('Climate Data'!$G$7:$G$366,'Climate Data'!$A$7:$A$366,Estimator!$B$4,'Climate Data'!$B$7:$B$366,C459)</f>
        <v>0.18494623655913978</v>
      </c>
      <c r="I459" s="87">
        <f>SUMIFS('Climate Data'!$H$7:$H$366,'Climate Data'!$A$7:$A$366,Estimator!$B$4,'Climate Data'!$B$7:$B$366,C459)</f>
        <v>7.8662790697674421</v>
      </c>
      <c r="J459" s="86">
        <f>SUMIFS('Wind Proxy'!$H$8:$H$19,'Wind Proxy'!$A$8:$A$19,Estimator!$B$4,'Wind Proxy'!$B$8:$B$19,C459)</f>
        <v>0</v>
      </c>
    </row>
    <row r="460" spans="1:10" ht="14.4">
      <c r="A460" s="84">
        <v>46111</v>
      </c>
      <c r="B460" s="85">
        <v>2026</v>
      </c>
      <c r="C460" s="85">
        <v>3</v>
      </c>
      <c r="D460" s="85" t="s">
        <v>60</v>
      </c>
      <c r="E460" s="85">
        <v>30</v>
      </c>
      <c r="F460" s="85">
        <v>1</v>
      </c>
      <c r="G460" s="85">
        <f>--(F460&lt;=Estimator!$B$7)</f>
        <v>1</v>
      </c>
      <c r="H460" s="86">
        <f>SUMIFS('Climate Data'!$G$7:$G$366,'Climate Data'!$A$7:$A$366,Estimator!$B$4,'Climate Data'!$B$7:$B$366,C460)</f>
        <v>0.18494623655913978</v>
      </c>
      <c r="I460" s="87">
        <f>SUMIFS('Climate Data'!$H$7:$H$366,'Climate Data'!$A$7:$A$366,Estimator!$B$4,'Climate Data'!$B$7:$B$366,C460)</f>
        <v>7.8662790697674421</v>
      </c>
      <c r="J460" s="86">
        <f>SUMIFS('Wind Proxy'!$H$8:$H$19,'Wind Proxy'!$A$8:$A$19,Estimator!$B$4,'Wind Proxy'!$B$8:$B$19,C460)</f>
        <v>0</v>
      </c>
    </row>
    <row r="461" spans="1:10" ht="14.4">
      <c r="A461" s="84">
        <v>46112</v>
      </c>
      <c r="B461" s="85">
        <v>2026</v>
      </c>
      <c r="C461" s="85">
        <v>3</v>
      </c>
      <c r="D461" s="85" t="s">
        <v>60</v>
      </c>
      <c r="E461" s="85">
        <v>31</v>
      </c>
      <c r="F461" s="85">
        <v>2</v>
      </c>
      <c r="G461" s="85">
        <f>--(F461&lt;=Estimator!$B$7)</f>
        <v>1</v>
      </c>
      <c r="H461" s="86">
        <f>SUMIFS('Climate Data'!$G$7:$G$366,'Climate Data'!$A$7:$A$366,Estimator!$B$4,'Climate Data'!$B$7:$B$366,C461)</f>
        <v>0.18494623655913978</v>
      </c>
      <c r="I461" s="87">
        <f>SUMIFS('Climate Data'!$H$7:$H$366,'Climate Data'!$A$7:$A$366,Estimator!$B$4,'Climate Data'!$B$7:$B$366,C461)</f>
        <v>7.8662790697674421</v>
      </c>
      <c r="J461" s="86">
        <f>SUMIFS('Wind Proxy'!$H$8:$H$19,'Wind Proxy'!$A$8:$A$19,Estimator!$B$4,'Wind Proxy'!$B$8:$B$19,C461)</f>
        <v>0</v>
      </c>
    </row>
    <row r="462" spans="1:10" ht="14.4">
      <c r="A462" s="84">
        <v>46113</v>
      </c>
      <c r="B462" s="85">
        <v>2026</v>
      </c>
      <c r="C462" s="85">
        <v>4</v>
      </c>
      <c r="D462" s="85" t="s">
        <v>62</v>
      </c>
      <c r="E462" s="85">
        <v>1</v>
      </c>
      <c r="F462" s="85">
        <v>3</v>
      </c>
      <c r="G462" s="85">
        <f>--(F462&lt;=Estimator!$B$7)</f>
        <v>1</v>
      </c>
      <c r="H462" s="86">
        <f>SUMIFS('Climate Data'!$G$7:$G$366,'Climate Data'!$A$7:$A$366,Estimator!$B$4,'Climate Data'!$B$7:$B$366,C462)</f>
        <v>0.25555555555555559</v>
      </c>
      <c r="I462" s="87">
        <f>SUMIFS('Climate Data'!$H$7:$H$366,'Climate Data'!$A$7:$A$366,Estimator!$B$4,'Climate Data'!$B$7:$B$366,C462)</f>
        <v>7.5</v>
      </c>
      <c r="J462" s="86">
        <f>SUMIFS('Wind Proxy'!$H$8:$H$19,'Wind Proxy'!$A$8:$A$19,Estimator!$B$4,'Wind Proxy'!$B$8:$B$19,C462)</f>
        <v>0</v>
      </c>
    </row>
    <row r="463" spans="1:10" ht="14.4">
      <c r="A463" s="84">
        <v>46114</v>
      </c>
      <c r="B463" s="85">
        <v>2026</v>
      </c>
      <c r="C463" s="85">
        <v>4</v>
      </c>
      <c r="D463" s="85" t="s">
        <v>62</v>
      </c>
      <c r="E463" s="85">
        <v>2</v>
      </c>
      <c r="F463" s="85">
        <v>4</v>
      </c>
      <c r="G463" s="85">
        <f>--(F463&lt;=Estimator!$B$7)</f>
        <v>1</v>
      </c>
      <c r="H463" s="86">
        <f>SUMIFS('Climate Data'!$G$7:$G$366,'Climate Data'!$A$7:$A$366,Estimator!$B$4,'Climate Data'!$B$7:$B$366,C463)</f>
        <v>0.25555555555555559</v>
      </c>
      <c r="I463" s="87">
        <f>SUMIFS('Climate Data'!$H$7:$H$366,'Climate Data'!$A$7:$A$366,Estimator!$B$4,'Climate Data'!$B$7:$B$366,C463)</f>
        <v>7.5</v>
      </c>
      <c r="J463" s="86">
        <f>SUMIFS('Wind Proxy'!$H$8:$H$19,'Wind Proxy'!$A$8:$A$19,Estimator!$B$4,'Wind Proxy'!$B$8:$B$19,C463)</f>
        <v>0</v>
      </c>
    </row>
    <row r="464" spans="1:10" ht="14.4">
      <c r="A464" s="84">
        <v>46115</v>
      </c>
      <c r="B464" s="85">
        <v>2026</v>
      </c>
      <c r="C464" s="85">
        <v>4</v>
      </c>
      <c r="D464" s="85" t="s">
        <v>62</v>
      </c>
      <c r="E464" s="85">
        <v>3</v>
      </c>
      <c r="F464" s="85">
        <v>5</v>
      </c>
      <c r="G464" s="85">
        <f>--(F464&lt;=Estimator!$B$7)</f>
        <v>1</v>
      </c>
      <c r="H464" s="86">
        <f>SUMIFS('Climate Data'!$G$7:$G$366,'Climate Data'!$A$7:$A$366,Estimator!$B$4,'Climate Data'!$B$7:$B$366,C464)</f>
        <v>0.25555555555555559</v>
      </c>
      <c r="I464" s="87">
        <f>SUMIFS('Climate Data'!$H$7:$H$366,'Climate Data'!$A$7:$A$366,Estimator!$B$4,'Climate Data'!$B$7:$B$366,C464)</f>
        <v>7.5</v>
      </c>
      <c r="J464" s="86">
        <f>SUMIFS('Wind Proxy'!$H$8:$H$19,'Wind Proxy'!$A$8:$A$19,Estimator!$B$4,'Wind Proxy'!$B$8:$B$19,C464)</f>
        <v>0</v>
      </c>
    </row>
    <row r="465" spans="1:10" ht="14.4">
      <c r="A465" s="84">
        <v>46116</v>
      </c>
      <c r="B465" s="85">
        <v>2026</v>
      </c>
      <c r="C465" s="85">
        <v>4</v>
      </c>
      <c r="D465" s="85" t="s">
        <v>62</v>
      </c>
      <c r="E465" s="85">
        <v>4</v>
      </c>
      <c r="F465" s="85">
        <v>6</v>
      </c>
      <c r="G465" s="85">
        <f>--(F465&lt;=Estimator!$B$7)</f>
        <v>0</v>
      </c>
      <c r="H465" s="86">
        <f>SUMIFS('Climate Data'!$G$7:$G$366,'Climate Data'!$A$7:$A$366,Estimator!$B$4,'Climate Data'!$B$7:$B$366,C465)</f>
        <v>0.25555555555555559</v>
      </c>
      <c r="I465" s="87">
        <f>SUMIFS('Climate Data'!$H$7:$H$366,'Climate Data'!$A$7:$A$366,Estimator!$B$4,'Climate Data'!$B$7:$B$366,C465)</f>
        <v>7.5</v>
      </c>
      <c r="J465" s="86">
        <f>SUMIFS('Wind Proxy'!$H$8:$H$19,'Wind Proxy'!$A$8:$A$19,Estimator!$B$4,'Wind Proxy'!$B$8:$B$19,C465)</f>
        <v>0</v>
      </c>
    </row>
    <row r="466" spans="1:10" ht="14.4">
      <c r="A466" s="84">
        <v>46117</v>
      </c>
      <c r="B466" s="85">
        <v>2026</v>
      </c>
      <c r="C466" s="85">
        <v>4</v>
      </c>
      <c r="D466" s="85" t="s">
        <v>62</v>
      </c>
      <c r="E466" s="85">
        <v>5</v>
      </c>
      <c r="F466" s="85">
        <v>7</v>
      </c>
      <c r="G466" s="85">
        <f>--(F466&lt;=Estimator!$B$7)</f>
        <v>0</v>
      </c>
      <c r="H466" s="86">
        <f>SUMIFS('Climate Data'!$G$7:$G$366,'Climate Data'!$A$7:$A$366,Estimator!$B$4,'Climate Data'!$B$7:$B$366,C466)</f>
        <v>0.25555555555555559</v>
      </c>
      <c r="I466" s="87">
        <f>SUMIFS('Climate Data'!$H$7:$H$366,'Climate Data'!$A$7:$A$366,Estimator!$B$4,'Climate Data'!$B$7:$B$366,C466)</f>
        <v>7.5</v>
      </c>
      <c r="J466" s="86">
        <f>SUMIFS('Wind Proxy'!$H$8:$H$19,'Wind Proxy'!$A$8:$A$19,Estimator!$B$4,'Wind Proxy'!$B$8:$B$19,C466)</f>
        <v>0</v>
      </c>
    </row>
    <row r="467" spans="1:10" ht="14.4">
      <c r="A467" s="84">
        <v>46118</v>
      </c>
      <c r="B467" s="85">
        <v>2026</v>
      </c>
      <c r="C467" s="85">
        <v>4</v>
      </c>
      <c r="D467" s="85" t="s">
        <v>62</v>
      </c>
      <c r="E467" s="85">
        <v>6</v>
      </c>
      <c r="F467" s="85">
        <v>1</v>
      </c>
      <c r="G467" s="85">
        <f>--(F467&lt;=Estimator!$B$7)</f>
        <v>1</v>
      </c>
      <c r="H467" s="86">
        <f>SUMIFS('Climate Data'!$G$7:$G$366,'Climate Data'!$A$7:$A$366,Estimator!$B$4,'Climate Data'!$B$7:$B$366,C467)</f>
        <v>0.25555555555555559</v>
      </c>
      <c r="I467" s="87">
        <f>SUMIFS('Climate Data'!$H$7:$H$366,'Climate Data'!$A$7:$A$366,Estimator!$B$4,'Climate Data'!$B$7:$B$366,C467)</f>
        <v>7.5</v>
      </c>
      <c r="J467" s="86">
        <f>SUMIFS('Wind Proxy'!$H$8:$H$19,'Wind Proxy'!$A$8:$A$19,Estimator!$B$4,'Wind Proxy'!$B$8:$B$19,C467)</f>
        <v>0</v>
      </c>
    </row>
    <row r="468" spans="1:10" ht="14.4">
      <c r="A468" s="84">
        <v>46119</v>
      </c>
      <c r="B468" s="85">
        <v>2026</v>
      </c>
      <c r="C468" s="85">
        <v>4</v>
      </c>
      <c r="D468" s="85" t="s">
        <v>62</v>
      </c>
      <c r="E468" s="85">
        <v>7</v>
      </c>
      <c r="F468" s="85">
        <v>2</v>
      </c>
      <c r="G468" s="85">
        <f>--(F468&lt;=Estimator!$B$7)</f>
        <v>1</v>
      </c>
      <c r="H468" s="86">
        <f>SUMIFS('Climate Data'!$G$7:$G$366,'Climate Data'!$A$7:$A$366,Estimator!$B$4,'Climate Data'!$B$7:$B$366,C468)</f>
        <v>0.25555555555555559</v>
      </c>
      <c r="I468" s="87">
        <f>SUMIFS('Climate Data'!$H$7:$H$366,'Climate Data'!$A$7:$A$366,Estimator!$B$4,'Climate Data'!$B$7:$B$366,C468)</f>
        <v>7.5</v>
      </c>
      <c r="J468" s="86">
        <f>SUMIFS('Wind Proxy'!$H$8:$H$19,'Wind Proxy'!$A$8:$A$19,Estimator!$B$4,'Wind Proxy'!$B$8:$B$19,C468)</f>
        <v>0</v>
      </c>
    </row>
    <row r="469" spans="1:10" ht="14.4">
      <c r="A469" s="84">
        <v>46120</v>
      </c>
      <c r="B469" s="85">
        <v>2026</v>
      </c>
      <c r="C469" s="85">
        <v>4</v>
      </c>
      <c r="D469" s="85" t="s">
        <v>62</v>
      </c>
      <c r="E469" s="85">
        <v>8</v>
      </c>
      <c r="F469" s="85">
        <v>3</v>
      </c>
      <c r="G469" s="85">
        <f>--(F469&lt;=Estimator!$B$7)</f>
        <v>1</v>
      </c>
      <c r="H469" s="86">
        <f>SUMIFS('Climate Data'!$G$7:$G$366,'Climate Data'!$A$7:$A$366,Estimator!$B$4,'Climate Data'!$B$7:$B$366,C469)</f>
        <v>0.25555555555555559</v>
      </c>
      <c r="I469" s="87">
        <f>SUMIFS('Climate Data'!$H$7:$H$366,'Climate Data'!$A$7:$A$366,Estimator!$B$4,'Climate Data'!$B$7:$B$366,C469)</f>
        <v>7.5</v>
      </c>
      <c r="J469" s="86">
        <f>SUMIFS('Wind Proxy'!$H$8:$H$19,'Wind Proxy'!$A$8:$A$19,Estimator!$B$4,'Wind Proxy'!$B$8:$B$19,C469)</f>
        <v>0</v>
      </c>
    </row>
    <row r="470" spans="1:10" ht="14.4">
      <c r="A470" s="84">
        <v>46121</v>
      </c>
      <c r="B470" s="85">
        <v>2026</v>
      </c>
      <c r="C470" s="85">
        <v>4</v>
      </c>
      <c r="D470" s="85" t="s">
        <v>62</v>
      </c>
      <c r="E470" s="85">
        <v>9</v>
      </c>
      <c r="F470" s="85">
        <v>4</v>
      </c>
      <c r="G470" s="85">
        <f>--(F470&lt;=Estimator!$B$7)</f>
        <v>1</v>
      </c>
      <c r="H470" s="86">
        <f>SUMIFS('Climate Data'!$G$7:$G$366,'Climate Data'!$A$7:$A$366,Estimator!$B$4,'Climate Data'!$B$7:$B$366,C470)</f>
        <v>0.25555555555555559</v>
      </c>
      <c r="I470" s="87">
        <f>SUMIFS('Climate Data'!$H$7:$H$366,'Climate Data'!$A$7:$A$366,Estimator!$B$4,'Climate Data'!$B$7:$B$366,C470)</f>
        <v>7.5</v>
      </c>
      <c r="J470" s="86">
        <f>SUMIFS('Wind Proxy'!$H$8:$H$19,'Wind Proxy'!$A$8:$A$19,Estimator!$B$4,'Wind Proxy'!$B$8:$B$19,C470)</f>
        <v>0</v>
      </c>
    </row>
    <row r="471" spans="1:10" ht="14.4">
      <c r="A471" s="84">
        <v>46122</v>
      </c>
      <c r="B471" s="85">
        <v>2026</v>
      </c>
      <c r="C471" s="85">
        <v>4</v>
      </c>
      <c r="D471" s="85" t="s">
        <v>62</v>
      </c>
      <c r="E471" s="85">
        <v>10</v>
      </c>
      <c r="F471" s="85">
        <v>5</v>
      </c>
      <c r="G471" s="85">
        <f>--(F471&lt;=Estimator!$B$7)</f>
        <v>1</v>
      </c>
      <c r="H471" s="86">
        <f>SUMIFS('Climate Data'!$G$7:$G$366,'Climate Data'!$A$7:$A$366,Estimator!$B$4,'Climate Data'!$B$7:$B$366,C471)</f>
        <v>0.25555555555555559</v>
      </c>
      <c r="I471" s="87">
        <f>SUMIFS('Climate Data'!$H$7:$H$366,'Climate Data'!$A$7:$A$366,Estimator!$B$4,'Climate Data'!$B$7:$B$366,C471)</f>
        <v>7.5</v>
      </c>
      <c r="J471" s="86">
        <f>SUMIFS('Wind Proxy'!$H$8:$H$19,'Wind Proxy'!$A$8:$A$19,Estimator!$B$4,'Wind Proxy'!$B$8:$B$19,C471)</f>
        <v>0</v>
      </c>
    </row>
    <row r="472" spans="1:10" ht="14.4">
      <c r="A472" s="84">
        <v>46123</v>
      </c>
      <c r="B472" s="85">
        <v>2026</v>
      </c>
      <c r="C472" s="85">
        <v>4</v>
      </c>
      <c r="D472" s="85" t="s">
        <v>62</v>
      </c>
      <c r="E472" s="85">
        <v>11</v>
      </c>
      <c r="F472" s="85">
        <v>6</v>
      </c>
      <c r="G472" s="85">
        <f>--(F472&lt;=Estimator!$B$7)</f>
        <v>0</v>
      </c>
      <c r="H472" s="86">
        <f>SUMIFS('Climate Data'!$G$7:$G$366,'Climate Data'!$A$7:$A$366,Estimator!$B$4,'Climate Data'!$B$7:$B$366,C472)</f>
        <v>0.25555555555555559</v>
      </c>
      <c r="I472" s="87">
        <f>SUMIFS('Climate Data'!$H$7:$H$366,'Climate Data'!$A$7:$A$366,Estimator!$B$4,'Climate Data'!$B$7:$B$366,C472)</f>
        <v>7.5</v>
      </c>
      <c r="J472" s="86">
        <f>SUMIFS('Wind Proxy'!$H$8:$H$19,'Wind Proxy'!$A$8:$A$19,Estimator!$B$4,'Wind Proxy'!$B$8:$B$19,C472)</f>
        <v>0</v>
      </c>
    </row>
    <row r="473" spans="1:10" ht="14.4">
      <c r="A473" s="84">
        <v>46124</v>
      </c>
      <c r="B473" s="85">
        <v>2026</v>
      </c>
      <c r="C473" s="85">
        <v>4</v>
      </c>
      <c r="D473" s="85" t="s">
        <v>62</v>
      </c>
      <c r="E473" s="85">
        <v>12</v>
      </c>
      <c r="F473" s="85">
        <v>7</v>
      </c>
      <c r="G473" s="85">
        <f>--(F473&lt;=Estimator!$B$7)</f>
        <v>0</v>
      </c>
      <c r="H473" s="86">
        <f>SUMIFS('Climate Data'!$G$7:$G$366,'Climate Data'!$A$7:$A$366,Estimator!$B$4,'Climate Data'!$B$7:$B$366,C473)</f>
        <v>0.25555555555555559</v>
      </c>
      <c r="I473" s="87">
        <f>SUMIFS('Climate Data'!$H$7:$H$366,'Climate Data'!$A$7:$A$366,Estimator!$B$4,'Climate Data'!$B$7:$B$366,C473)</f>
        <v>7.5</v>
      </c>
      <c r="J473" s="86">
        <f>SUMIFS('Wind Proxy'!$H$8:$H$19,'Wind Proxy'!$A$8:$A$19,Estimator!$B$4,'Wind Proxy'!$B$8:$B$19,C473)</f>
        <v>0</v>
      </c>
    </row>
    <row r="474" spans="1:10" ht="14.4">
      <c r="A474" s="84">
        <v>46125</v>
      </c>
      <c r="B474" s="85">
        <v>2026</v>
      </c>
      <c r="C474" s="85">
        <v>4</v>
      </c>
      <c r="D474" s="85" t="s">
        <v>62</v>
      </c>
      <c r="E474" s="85">
        <v>13</v>
      </c>
      <c r="F474" s="85">
        <v>1</v>
      </c>
      <c r="G474" s="85">
        <f>--(F474&lt;=Estimator!$B$7)</f>
        <v>1</v>
      </c>
      <c r="H474" s="86">
        <f>SUMIFS('Climate Data'!$G$7:$G$366,'Climate Data'!$A$7:$A$366,Estimator!$B$4,'Climate Data'!$B$7:$B$366,C474)</f>
        <v>0.25555555555555559</v>
      </c>
      <c r="I474" s="87">
        <f>SUMIFS('Climate Data'!$H$7:$H$366,'Climate Data'!$A$7:$A$366,Estimator!$B$4,'Climate Data'!$B$7:$B$366,C474)</f>
        <v>7.5</v>
      </c>
      <c r="J474" s="86">
        <f>SUMIFS('Wind Proxy'!$H$8:$H$19,'Wind Proxy'!$A$8:$A$19,Estimator!$B$4,'Wind Proxy'!$B$8:$B$19,C474)</f>
        <v>0</v>
      </c>
    </row>
    <row r="475" spans="1:10" ht="14.4">
      <c r="A475" s="84">
        <v>46126</v>
      </c>
      <c r="B475" s="85">
        <v>2026</v>
      </c>
      <c r="C475" s="85">
        <v>4</v>
      </c>
      <c r="D475" s="85" t="s">
        <v>62</v>
      </c>
      <c r="E475" s="85">
        <v>14</v>
      </c>
      <c r="F475" s="85">
        <v>2</v>
      </c>
      <c r="G475" s="85">
        <f>--(F475&lt;=Estimator!$B$7)</f>
        <v>1</v>
      </c>
      <c r="H475" s="86">
        <f>SUMIFS('Climate Data'!$G$7:$G$366,'Climate Data'!$A$7:$A$366,Estimator!$B$4,'Climate Data'!$B$7:$B$366,C475)</f>
        <v>0.25555555555555559</v>
      </c>
      <c r="I475" s="87">
        <f>SUMIFS('Climate Data'!$H$7:$H$366,'Climate Data'!$A$7:$A$366,Estimator!$B$4,'Climate Data'!$B$7:$B$366,C475)</f>
        <v>7.5</v>
      </c>
      <c r="J475" s="86">
        <f>SUMIFS('Wind Proxy'!$H$8:$H$19,'Wind Proxy'!$A$8:$A$19,Estimator!$B$4,'Wind Proxy'!$B$8:$B$19,C475)</f>
        <v>0</v>
      </c>
    </row>
    <row r="476" spans="1:10" ht="14.4">
      <c r="A476" s="84">
        <v>46127</v>
      </c>
      <c r="B476" s="85">
        <v>2026</v>
      </c>
      <c r="C476" s="85">
        <v>4</v>
      </c>
      <c r="D476" s="85" t="s">
        <v>62</v>
      </c>
      <c r="E476" s="85">
        <v>15</v>
      </c>
      <c r="F476" s="85">
        <v>3</v>
      </c>
      <c r="G476" s="85">
        <f>--(F476&lt;=Estimator!$B$7)</f>
        <v>1</v>
      </c>
      <c r="H476" s="86">
        <f>SUMIFS('Climate Data'!$G$7:$G$366,'Climate Data'!$A$7:$A$366,Estimator!$B$4,'Climate Data'!$B$7:$B$366,C476)</f>
        <v>0.25555555555555559</v>
      </c>
      <c r="I476" s="87">
        <f>SUMIFS('Climate Data'!$H$7:$H$366,'Climate Data'!$A$7:$A$366,Estimator!$B$4,'Climate Data'!$B$7:$B$366,C476)</f>
        <v>7.5</v>
      </c>
      <c r="J476" s="86">
        <f>SUMIFS('Wind Proxy'!$H$8:$H$19,'Wind Proxy'!$A$8:$A$19,Estimator!$B$4,'Wind Proxy'!$B$8:$B$19,C476)</f>
        <v>0</v>
      </c>
    </row>
    <row r="477" spans="1:10" ht="14.4">
      <c r="A477" s="84">
        <v>46128</v>
      </c>
      <c r="B477" s="85">
        <v>2026</v>
      </c>
      <c r="C477" s="85">
        <v>4</v>
      </c>
      <c r="D477" s="85" t="s">
        <v>62</v>
      </c>
      <c r="E477" s="85">
        <v>16</v>
      </c>
      <c r="F477" s="85">
        <v>4</v>
      </c>
      <c r="G477" s="85">
        <f>--(F477&lt;=Estimator!$B$7)</f>
        <v>1</v>
      </c>
      <c r="H477" s="86">
        <f>SUMIFS('Climate Data'!$G$7:$G$366,'Climate Data'!$A$7:$A$366,Estimator!$B$4,'Climate Data'!$B$7:$B$366,C477)</f>
        <v>0.25555555555555559</v>
      </c>
      <c r="I477" s="87">
        <f>SUMIFS('Climate Data'!$H$7:$H$366,'Climate Data'!$A$7:$A$366,Estimator!$B$4,'Climate Data'!$B$7:$B$366,C477)</f>
        <v>7.5</v>
      </c>
      <c r="J477" s="86">
        <f>SUMIFS('Wind Proxy'!$H$8:$H$19,'Wind Proxy'!$A$8:$A$19,Estimator!$B$4,'Wind Proxy'!$B$8:$B$19,C477)</f>
        <v>0</v>
      </c>
    </row>
    <row r="478" spans="1:10" ht="14.4">
      <c r="A478" s="84">
        <v>46129</v>
      </c>
      <c r="B478" s="85">
        <v>2026</v>
      </c>
      <c r="C478" s="85">
        <v>4</v>
      </c>
      <c r="D478" s="85" t="s">
        <v>62</v>
      </c>
      <c r="E478" s="85">
        <v>17</v>
      </c>
      <c r="F478" s="85">
        <v>5</v>
      </c>
      <c r="G478" s="85">
        <f>--(F478&lt;=Estimator!$B$7)</f>
        <v>1</v>
      </c>
      <c r="H478" s="86">
        <f>SUMIFS('Climate Data'!$G$7:$G$366,'Climate Data'!$A$7:$A$366,Estimator!$B$4,'Climate Data'!$B$7:$B$366,C478)</f>
        <v>0.25555555555555559</v>
      </c>
      <c r="I478" s="87">
        <f>SUMIFS('Climate Data'!$H$7:$H$366,'Climate Data'!$A$7:$A$366,Estimator!$B$4,'Climate Data'!$B$7:$B$366,C478)</f>
        <v>7.5</v>
      </c>
      <c r="J478" s="86">
        <f>SUMIFS('Wind Proxy'!$H$8:$H$19,'Wind Proxy'!$A$8:$A$19,Estimator!$B$4,'Wind Proxy'!$B$8:$B$19,C478)</f>
        <v>0</v>
      </c>
    </row>
    <row r="479" spans="1:10" ht="14.4">
      <c r="A479" s="84">
        <v>46130</v>
      </c>
      <c r="B479" s="85">
        <v>2026</v>
      </c>
      <c r="C479" s="85">
        <v>4</v>
      </c>
      <c r="D479" s="85" t="s">
        <v>62</v>
      </c>
      <c r="E479" s="85">
        <v>18</v>
      </c>
      <c r="F479" s="85">
        <v>6</v>
      </c>
      <c r="G479" s="85">
        <f>--(F479&lt;=Estimator!$B$7)</f>
        <v>0</v>
      </c>
      <c r="H479" s="86">
        <f>SUMIFS('Climate Data'!$G$7:$G$366,'Climate Data'!$A$7:$A$366,Estimator!$B$4,'Climate Data'!$B$7:$B$366,C479)</f>
        <v>0.25555555555555559</v>
      </c>
      <c r="I479" s="87">
        <f>SUMIFS('Climate Data'!$H$7:$H$366,'Climate Data'!$A$7:$A$366,Estimator!$B$4,'Climate Data'!$B$7:$B$366,C479)</f>
        <v>7.5</v>
      </c>
      <c r="J479" s="86">
        <f>SUMIFS('Wind Proxy'!$H$8:$H$19,'Wind Proxy'!$A$8:$A$19,Estimator!$B$4,'Wind Proxy'!$B$8:$B$19,C479)</f>
        <v>0</v>
      </c>
    </row>
    <row r="480" spans="1:10" ht="14.4">
      <c r="A480" s="84">
        <v>46131</v>
      </c>
      <c r="B480" s="85">
        <v>2026</v>
      </c>
      <c r="C480" s="85">
        <v>4</v>
      </c>
      <c r="D480" s="85" t="s">
        <v>62</v>
      </c>
      <c r="E480" s="85">
        <v>19</v>
      </c>
      <c r="F480" s="85">
        <v>7</v>
      </c>
      <c r="G480" s="85">
        <f>--(F480&lt;=Estimator!$B$7)</f>
        <v>0</v>
      </c>
      <c r="H480" s="86">
        <f>SUMIFS('Climate Data'!$G$7:$G$366,'Climate Data'!$A$7:$A$366,Estimator!$B$4,'Climate Data'!$B$7:$B$366,C480)</f>
        <v>0.25555555555555559</v>
      </c>
      <c r="I480" s="87">
        <f>SUMIFS('Climate Data'!$H$7:$H$366,'Climate Data'!$A$7:$A$366,Estimator!$B$4,'Climate Data'!$B$7:$B$366,C480)</f>
        <v>7.5</v>
      </c>
      <c r="J480" s="86">
        <f>SUMIFS('Wind Proxy'!$H$8:$H$19,'Wind Proxy'!$A$8:$A$19,Estimator!$B$4,'Wind Proxy'!$B$8:$B$19,C480)</f>
        <v>0</v>
      </c>
    </row>
    <row r="481" spans="1:10" ht="14.4">
      <c r="A481" s="84">
        <v>46132</v>
      </c>
      <c r="B481" s="85">
        <v>2026</v>
      </c>
      <c r="C481" s="85">
        <v>4</v>
      </c>
      <c r="D481" s="85" t="s">
        <v>62</v>
      </c>
      <c r="E481" s="85">
        <v>20</v>
      </c>
      <c r="F481" s="85">
        <v>1</v>
      </c>
      <c r="G481" s="85">
        <f>--(F481&lt;=Estimator!$B$7)</f>
        <v>1</v>
      </c>
      <c r="H481" s="86">
        <f>SUMIFS('Climate Data'!$G$7:$G$366,'Climate Data'!$A$7:$A$366,Estimator!$B$4,'Climate Data'!$B$7:$B$366,C481)</f>
        <v>0.25555555555555559</v>
      </c>
      <c r="I481" s="87">
        <f>SUMIFS('Climate Data'!$H$7:$H$366,'Climate Data'!$A$7:$A$366,Estimator!$B$4,'Climate Data'!$B$7:$B$366,C481)</f>
        <v>7.5</v>
      </c>
      <c r="J481" s="86">
        <f>SUMIFS('Wind Proxy'!$H$8:$H$19,'Wind Proxy'!$A$8:$A$19,Estimator!$B$4,'Wind Proxy'!$B$8:$B$19,C481)</f>
        <v>0</v>
      </c>
    </row>
    <row r="482" spans="1:10" ht="14.4">
      <c r="A482" s="84">
        <v>46133</v>
      </c>
      <c r="B482" s="85">
        <v>2026</v>
      </c>
      <c r="C482" s="85">
        <v>4</v>
      </c>
      <c r="D482" s="85" t="s">
        <v>62</v>
      </c>
      <c r="E482" s="85">
        <v>21</v>
      </c>
      <c r="F482" s="85">
        <v>2</v>
      </c>
      <c r="G482" s="85">
        <f>--(F482&lt;=Estimator!$B$7)</f>
        <v>1</v>
      </c>
      <c r="H482" s="86">
        <f>SUMIFS('Climate Data'!$G$7:$G$366,'Climate Data'!$A$7:$A$366,Estimator!$B$4,'Climate Data'!$B$7:$B$366,C482)</f>
        <v>0.25555555555555559</v>
      </c>
      <c r="I482" s="87">
        <f>SUMIFS('Climate Data'!$H$7:$H$366,'Climate Data'!$A$7:$A$366,Estimator!$B$4,'Climate Data'!$B$7:$B$366,C482)</f>
        <v>7.5</v>
      </c>
      <c r="J482" s="86">
        <f>SUMIFS('Wind Proxy'!$H$8:$H$19,'Wind Proxy'!$A$8:$A$19,Estimator!$B$4,'Wind Proxy'!$B$8:$B$19,C482)</f>
        <v>0</v>
      </c>
    </row>
    <row r="483" spans="1:10" ht="14.4">
      <c r="A483" s="84">
        <v>46134</v>
      </c>
      <c r="B483" s="85">
        <v>2026</v>
      </c>
      <c r="C483" s="85">
        <v>4</v>
      </c>
      <c r="D483" s="85" t="s">
        <v>62</v>
      </c>
      <c r="E483" s="85">
        <v>22</v>
      </c>
      <c r="F483" s="85">
        <v>3</v>
      </c>
      <c r="G483" s="85">
        <f>--(F483&lt;=Estimator!$B$7)</f>
        <v>1</v>
      </c>
      <c r="H483" s="86">
        <f>SUMIFS('Climate Data'!$G$7:$G$366,'Climate Data'!$A$7:$A$366,Estimator!$B$4,'Climate Data'!$B$7:$B$366,C483)</f>
        <v>0.25555555555555559</v>
      </c>
      <c r="I483" s="87">
        <f>SUMIFS('Climate Data'!$H$7:$H$366,'Climate Data'!$A$7:$A$366,Estimator!$B$4,'Climate Data'!$B$7:$B$366,C483)</f>
        <v>7.5</v>
      </c>
      <c r="J483" s="86">
        <f>SUMIFS('Wind Proxy'!$H$8:$H$19,'Wind Proxy'!$A$8:$A$19,Estimator!$B$4,'Wind Proxy'!$B$8:$B$19,C483)</f>
        <v>0</v>
      </c>
    </row>
    <row r="484" spans="1:10" ht="14.4">
      <c r="A484" s="84">
        <v>46135</v>
      </c>
      <c r="B484" s="85">
        <v>2026</v>
      </c>
      <c r="C484" s="85">
        <v>4</v>
      </c>
      <c r="D484" s="85" t="s">
        <v>62</v>
      </c>
      <c r="E484" s="85">
        <v>23</v>
      </c>
      <c r="F484" s="85">
        <v>4</v>
      </c>
      <c r="G484" s="85">
        <f>--(F484&lt;=Estimator!$B$7)</f>
        <v>1</v>
      </c>
      <c r="H484" s="86">
        <f>SUMIFS('Climate Data'!$G$7:$G$366,'Climate Data'!$A$7:$A$366,Estimator!$B$4,'Climate Data'!$B$7:$B$366,C484)</f>
        <v>0.25555555555555559</v>
      </c>
      <c r="I484" s="87">
        <f>SUMIFS('Climate Data'!$H$7:$H$366,'Climate Data'!$A$7:$A$366,Estimator!$B$4,'Climate Data'!$B$7:$B$366,C484)</f>
        <v>7.5</v>
      </c>
      <c r="J484" s="86">
        <f>SUMIFS('Wind Proxy'!$H$8:$H$19,'Wind Proxy'!$A$8:$A$19,Estimator!$B$4,'Wind Proxy'!$B$8:$B$19,C484)</f>
        <v>0</v>
      </c>
    </row>
    <row r="485" spans="1:10" ht="14.4">
      <c r="A485" s="84">
        <v>46136</v>
      </c>
      <c r="B485" s="85">
        <v>2026</v>
      </c>
      <c r="C485" s="85">
        <v>4</v>
      </c>
      <c r="D485" s="85" t="s">
        <v>62</v>
      </c>
      <c r="E485" s="85">
        <v>24</v>
      </c>
      <c r="F485" s="85">
        <v>5</v>
      </c>
      <c r="G485" s="85">
        <f>--(F485&lt;=Estimator!$B$7)</f>
        <v>1</v>
      </c>
      <c r="H485" s="86">
        <f>SUMIFS('Climate Data'!$G$7:$G$366,'Climate Data'!$A$7:$A$366,Estimator!$B$4,'Climate Data'!$B$7:$B$366,C485)</f>
        <v>0.25555555555555559</v>
      </c>
      <c r="I485" s="87">
        <f>SUMIFS('Climate Data'!$H$7:$H$366,'Climate Data'!$A$7:$A$366,Estimator!$B$4,'Climate Data'!$B$7:$B$366,C485)</f>
        <v>7.5</v>
      </c>
      <c r="J485" s="86">
        <f>SUMIFS('Wind Proxy'!$H$8:$H$19,'Wind Proxy'!$A$8:$A$19,Estimator!$B$4,'Wind Proxy'!$B$8:$B$19,C485)</f>
        <v>0</v>
      </c>
    </row>
    <row r="486" spans="1:10" ht="14.4">
      <c r="A486" s="84">
        <v>46137</v>
      </c>
      <c r="B486" s="85">
        <v>2026</v>
      </c>
      <c r="C486" s="85">
        <v>4</v>
      </c>
      <c r="D486" s="85" t="s">
        <v>62</v>
      </c>
      <c r="E486" s="85">
        <v>25</v>
      </c>
      <c r="F486" s="85">
        <v>6</v>
      </c>
      <c r="G486" s="85">
        <f>--(F486&lt;=Estimator!$B$7)</f>
        <v>0</v>
      </c>
      <c r="H486" s="86">
        <f>SUMIFS('Climate Data'!$G$7:$G$366,'Climate Data'!$A$7:$A$366,Estimator!$B$4,'Climate Data'!$B$7:$B$366,C486)</f>
        <v>0.25555555555555559</v>
      </c>
      <c r="I486" s="87">
        <f>SUMIFS('Climate Data'!$H$7:$H$366,'Climate Data'!$A$7:$A$366,Estimator!$B$4,'Climate Data'!$B$7:$B$366,C486)</f>
        <v>7.5</v>
      </c>
      <c r="J486" s="86">
        <f>SUMIFS('Wind Proxy'!$H$8:$H$19,'Wind Proxy'!$A$8:$A$19,Estimator!$B$4,'Wind Proxy'!$B$8:$B$19,C486)</f>
        <v>0</v>
      </c>
    </row>
    <row r="487" spans="1:10" ht="14.4">
      <c r="A487" s="84">
        <v>46138</v>
      </c>
      <c r="B487" s="85">
        <v>2026</v>
      </c>
      <c r="C487" s="85">
        <v>4</v>
      </c>
      <c r="D487" s="85" t="s">
        <v>62</v>
      </c>
      <c r="E487" s="85">
        <v>26</v>
      </c>
      <c r="F487" s="85">
        <v>7</v>
      </c>
      <c r="G487" s="85">
        <f>--(F487&lt;=Estimator!$B$7)</f>
        <v>0</v>
      </c>
      <c r="H487" s="86">
        <f>SUMIFS('Climate Data'!$G$7:$G$366,'Climate Data'!$A$7:$A$366,Estimator!$B$4,'Climate Data'!$B$7:$B$366,C487)</f>
        <v>0.25555555555555559</v>
      </c>
      <c r="I487" s="87">
        <f>SUMIFS('Climate Data'!$H$7:$H$366,'Climate Data'!$A$7:$A$366,Estimator!$B$4,'Climate Data'!$B$7:$B$366,C487)</f>
        <v>7.5</v>
      </c>
      <c r="J487" s="86">
        <f>SUMIFS('Wind Proxy'!$H$8:$H$19,'Wind Proxy'!$A$8:$A$19,Estimator!$B$4,'Wind Proxy'!$B$8:$B$19,C487)</f>
        <v>0</v>
      </c>
    </row>
    <row r="488" spans="1:10" ht="14.4">
      <c r="A488" s="84">
        <v>46139</v>
      </c>
      <c r="B488" s="85">
        <v>2026</v>
      </c>
      <c r="C488" s="85">
        <v>4</v>
      </c>
      <c r="D488" s="85" t="s">
        <v>62</v>
      </c>
      <c r="E488" s="85">
        <v>27</v>
      </c>
      <c r="F488" s="85">
        <v>1</v>
      </c>
      <c r="G488" s="85">
        <f>--(F488&lt;=Estimator!$B$7)</f>
        <v>1</v>
      </c>
      <c r="H488" s="86">
        <f>SUMIFS('Climate Data'!$G$7:$G$366,'Climate Data'!$A$7:$A$366,Estimator!$B$4,'Climate Data'!$B$7:$B$366,C488)</f>
        <v>0.25555555555555559</v>
      </c>
      <c r="I488" s="87">
        <f>SUMIFS('Climate Data'!$H$7:$H$366,'Climate Data'!$A$7:$A$366,Estimator!$B$4,'Climate Data'!$B$7:$B$366,C488)</f>
        <v>7.5</v>
      </c>
      <c r="J488" s="86">
        <f>SUMIFS('Wind Proxy'!$H$8:$H$19,'Wind Proxy'!$A$8:$A$19,Estimator!$B$4,'Wind Proxy'!$B$8:$B$19,C488)</f>
        <v>0</v>
      </c>
    </row>
    <row r="489" spans="1:10" ht="14.4">
      <c r="A489" s="84">
        <v>46140</v>
      </c>
      <c r="B489" s="85">
        <v>2026</v>
      </c>
      <c r="C489" s="85">
        <v>4</v>
      </c>
      <c r="D489" s="85" t="s">
        <v>62</v>
      </c>
      <c r="E489" s="85">
        <v>28</v>
      </c>
      <c r="F489" s="85">
        <v>2</v>
      </c>
      <c r="G489" s="85">
        <f>--(F489&lt;=Estimator!$B$7)</f>
        <v>1</v>
      </c>
      <c r="H489" s="86">
        <f>SUMIFS('Climate Data'!$G$7:$G$366,'Climate Data'!$A$7:$A$366,Estimator!$B$4,'Climate Data'!$B$7:$B$366,C489)</f>
        <v>0.25555555555555559</v>
      </c>
      <c r="I489" s="87">
        <f>SUMIFS('Climate Data'!$H$7:$H$366,'Climate Data'!$A$7:$A$366,Estimator!$B$4,'Climate Data'!$B$7:$B$366,C489)</f>
        <v>7.5</v>
      </c>
      <c r="J489" s="86">
        <f>SUMIFS('Wind Proxy'!$H$8:$H$19,'Wind Proxy'!$A$8:$A$19,Estimator!$B$4,'Wind Proxy'!$B$8:$B$19,C489)</f>
        <v>0</v>
      </c>
    </row>
    <row r="490" spans="1:10" ht="14.4">
      <c r="A490" s="84">
        <v>46141</v>
      </c>
      <c r="B490" s="85">
        <v>2026</v>
      </c>
      <c r="C490" s="85">
        <v>4</v>
      </c>
      <c r="D490" s="85" t="s">
        <v>62</v>
      </c>
      <c r="E490" s="85">
        <v>29</v>
      </c>
      <c r="F490" s="85">
        <v>3</v>
      </c>
      <c r="G490" s="85">
        <f>--(F490&lt;=Estimator!$B$7)</f>
        <v>1</v>
      </c>
      <c r="H490" s="86">
        <f>SUMIFS('Climate Data'!$G$7:$G$366,'Climate Data'!$A$7:$A$366,Estimator!$B$4,'Climate Data'!$B$7:$B$366,C490)</f>
        <v>0.25555555555555559</v>
      </c>
      <c r="I490" s="87">
        <f>SUMIFS('Climate Data'!$H$7:$H$366,'Climate Data'!$A$7:$A$366,Estimator!$B$4,'Climate Data'!$B$7:$B$366,C490)</f>
        <v>7.5</v>
      </c>
      <c r="J490" s="86">
        <f>SUMIFS('Wind Proxy'!$H$8:$H$19,'Wind Proxy'!$A$8:$A$19,Estimator!$B$4,'Wind Proxy'!$B$8:$B$19,C490)</f>
        <v>0</v>
      </c>
    </row>
    <row r="491" spans="1:10" ht="14.4">
      <c r="A491" s="84">
        <v>46142</v>
      </c>
      <c r="B491" s="85">
        <v>2026</v>
      </c>
      <c r="C491" s="85">
        <v>4</v>
      </c>
      <c r="D491" s="85" t="s">
        <v>62</v>
      </c>
      <c r="E491" s="85">
        <v>30</v>
      </c>
      <c r="F491" s="85">
        <v>4</v>
      </c>
      <c r="G491" s="85">
        <f>--(F491&lt;=Estimator!$B$7)</f>
        <v>1</v>
      </c>
      <c r="H491" s="86">
        <f>SUMIFS('Climate Data'!$G$7:$G$366,'Climate Data'!$A$7:$A$366,Estimator!$B$4,'Climate Data'!$B$7:$B$366,C491)</f>
        <v>0.25555555555555559</v>
      </c>
      <c r="I491" s="87">
        <f>SUMIFS('Climate Data'!$H$7:$H$366,'Climate Data'!$A$7:$A$366,Estimator!$B$4,'Climate Data'!$B$7:$B$366,C491)</f>
        <v>7.5</v>
      </c>
      <c r="J491" s="86">
        <f>SUMIFS('Wind Proxy'!$H$8:$H$19,'Wind Proxy'!$A$8:$A$19,Estimator!$B$4,'Wind Proxy'!$B$8:$B$19,C491)</f>
        <v>0</v>
      </c>
    </row>
    <row r="492" spans="1:10" ht="14.4">
      <c r="A492" s="84">
        <v>46143</v>
      </c>
      <c r="B492" s="85">
        <v>2026</v>
      </c>
      <c r="C492" s="85">
        <v>5</v>
      </c>
      <c r="D492" s="85" t="s">
        <v>65</v>
      </c>
      <c r="E492" s="85">
        <v>1</v>
      </c>
      <c r="F492" s="85">
        <v>5</v>
      </c>
      <c r="G492" s="85">
        <f>--(F492&lt;=Estimator!$B$7)</f>
        <v>1</v>
      </c>
      <c r="H492" s="86">
        <f>SUMIFS('Climate Data'!$G$7:$G$366,'Climate Data'!$A$7:$A$366,Estimator!$B$4,'Climate Data'!$B$7:$B$366,C492)</f>
        <v>0.23010752688172045</v>
      </c>
      <c r="I492" s="87">
        <f>SUMIFS('Climate Data'!$H$7:$H$366,'Climate Data'!$A$7:$A$366,Estimator!$B$4,'Climate Data'!$B$7:$B$366,C492)</f>
        <v>8.1448598130841123</v>
      </c>
      <c r="J492" s="86">
        <f>SUMIFS('Wind Proxy'!$H$8:$H$19,'Wind Proxy'!$A$8:$A$19,Estimator!$B$4,'Wind Proxy'!$B$8:$B$19,C492)</f>
        <v>0</v>
      </c>
    </row>
    <row r="493" spans="1:10" ht="14.4">
      <c r="A493" s="84">
        <v>46144</v>
      </c>
      <c r="B493" s="85">
        <v>2026</v>
      </c>
      <c r="C493" s="85">
        <v>5</v>
      </c>
      <c r="D493" s="85" t="s">
        <v>65</v>
      </c>
      <c r="E493" s="85">
        <v>2</v>
      </c>
      <c r="F493" s="85">
        <v>6</v>
      </c>
      <c r="G493" s="85">
        <f>--(F493&lt;=Estimator!$B$7)</f>
        <v>0</v>
      </c>
      <c r="H493" s="86">
        <f>SUMIFS('Climate Data'!$G$7:$G$366,'Climate Data'!$A$7:$A$366,Estimator!$B$4,'Climate Data'!$B$7:$B$366,C493)</f>
        <v>0.23010752688172045</v>
      </c>
      <c r="I493" s="87">
        <f>SUMIFS('Climate Data'!$H$7:$H$366,'Climate Data'!$A$7:$A$366,Estimator!$B$4,'Climate Data'!$B$7:$B$366,C493)</f>
        <v>8.1448598130841123</v>
      </c>
      <c r="J493" s="86">
        <f>SUMIFS('Wind Proxy'!$H$8:$H$19,'Wind Proxy'!$A$8:$A$19,Estimator!$B$4,'Wind Proxy'!$B$8:$B$19,C493)</f>
        <v>0</v>
      </c>
    </row>
    <row r="494" spans="1:10" ht="14.4">
      <c r="A494" s="84">
        <v>46145</v>
      </c>
      <c r="B494" s="85">
        <v>2026</v>
      </c>
      <c r="C494" s="85">
        <v>5</v>
      </c>
      <c r="D494" s="85" t="s">
        <v>65</v>
      </c>
      <c r="E494" s="85">
        <v>3</v>
      </c>
      <c r="F494" s="85">
        <v>7</v>
      </c>
      <c r="G494" s="85">
        <f>--(F494&lt;=Estimator!$B$7)</f>
        <v>0</v>
      </c>
      <c r="H494" s="86">
        <f>SUMIFS('Climate Data'!$G$7:$G$366,'Climate Data'!$A$7:$A$366,Estimator!$B$4,'Climate Data'!$B$7:$B$366,C494)</f>
        <v>0.23010752688172045</v>
      </c>
      <c r="I494" s="87">
        <f>SUMIFS('Climate Data'!$H$7:$H$366,'Climate Data'!$A$7:$A$366,Estimator!$B$4,'Climate Data'!$B$7:$B$366,C494)</f>
        <v>8.1448598130841123</v>
      </c>
      <c r="J494" s="86">
        <f>SUMIFS('Wind Proxy'!$H$8:$H$19,'Wind Proxy'!$A$8:$A$19,Estimator!$B$4,'Wind Proxy'!$B$8:$B$19,C494)</f>
        <v>0</v>
      </c>
    </row>
    <row r="495" spans="1:10" ht="14.4">
      <c r="A495" s="84">
        <v>46146</v>
      </c>
      <c r="B495" s="85">
        <v>2026</v>
      </c>
      <c r="C495" s="85">
        <v>5</v>
      </c>
      <c r="D495" s="85" t="s">
        <v>65</v>
      </c>
      <c r="E495" s="85">
        <v>4</v>
      </c>
      <c r="F495" s="85">
        <v>1</v>
      </c>
      <c r="G495" s="85">
        <f>--(F495&lt;=Estimator!$B$7)</f>
        <v>1</v>
      </c>
      <c r="H495" s="86">
        <f>SUMIFS('Climate Data'!$G$7:$G$366,'Climate Data'!$A$7:$A$366,Estimator!$B$4,'Climate Data'!$B$7:$B$366,C495)</f>
        <v>0.23010752688172045</v>
      </c>
      <c r="I495" s="87">
        <f>SUMIFS('Climate Data'!$H$7:$H$366,'Climate Data'!$A$7:$A$366,Estimator!$B$4,'Climate Data'!$B$7:$B$366,C495)</f>
        <v>8.1448598130841123</v>
      </c>
      <c r="J495" s="86">
        <f>SUMIFS('Wind Proxy'!$H$8:$H$19,'Wind Proxy'!$A$8:$A$19,Estimator!$B$4,'Wind Proxy'!$B$8:$B$19,C495)</f>
        <v>0</v>
      </c>
    </row>
    <row r="496" spans="1:10" ht="14.4">
      <c r="A496" s="84">
        <v>46147</v>
      </c>
      <c r="B496" s="85">
        <v>2026</v>
      </c>
      <c r="C496" s="85">
        <v>5</v>
      </c>
      <c r="D496" s="85" t="s">
        <v>65</v>
      </c>
      <c r="E496" s="85">
        <v>5</v>
      </c>
      <c r="F496" s="85">
        <v>2</v>
      </c>
      <c r="G496" s="85">
        <f>--(F496&lt;=Estimator!$B$7)</f>
        <v>1</v>
      </c>
      <c r="H496" s="86">
        <f>SUMIFS('Climate Data'!$G$7:$G$366,'Climate Data'!$A$7:$A$366,Estimator!$B$4,'Climate Data'!$B$7:$B$366,C496)</f>
        <v>0.23010752688172045</v>
      </c>
      <c r="I496" s="87">
        <f>SUMIFS('Climate Data'!$H$7:$H$366,'Climate Data'!$A$7:$A$366,Estimator!$B$4,'Climate Data'!$B$7:$B$366,C496)</f>
        <v>8.1448598130841123</v>
      </c>
      <c r="J496" s="86">
        <f>SUMIFS('Wind Proxy'!$H$8:$H$19,'Wind Proxy'!$A$8:$A$19,Estimator!$B$4,'Wind Proxy'!$B$8:$B$19,C496)</f>
        <v>0</v>
      </c>
    </row>
    <row r="497" spans="1:10" ht="14.4">
      <c r="A497" s="84">
        <v>46148</v>
      </c>
      <c r="B497" s="85">
        <v>2026</v>
      </c>
      <c r="C497" s="85">
        <v>5</v>
      </c>
      <c r="D497" s="85" t="s">
        <v>65</v>
      </c>
      <c r="E497" s="85">
        <v>6</v>
      </c>
      <c r="F497" s="85">
        <v>3</v>
      </c>
      <c r="G497" s="85">
        <f>--(F497&lt;=Estimator!$B$7)</f>
        <v>1</v>
      </c>
      <c r="H497" s="86">
        <f>SUMIFS('Climate Data'!$G$7:$G$366,'Climate Data'!$A$7:$A$366,Estimator!$B$4,'Climate Data'!$B$7:$B$366,C497)</f>
        <v>0.23010752688172045</v>
      </c>
      <c r="I497" s="87">
        <f>SUMIFS('Climate Data'!$H$7:$H$366,'Climate Data'!$A$7:$A$366,Estimator!$B$4,'Climate Data'!$B$7:$B$366,C497)</f>
        <v>8.1448598130841123</v>
      </c>
      <c r="J497" s="86">
        <f>SUMIFS('Wind Proxy'!$H$8:$H$19,'Wind Proxy'!$A$8:$A$19,Estimator!$B$4,'Wind Proxy'!$B$8:$B$19,C497)</f>
        <v>0</v>
      </c>
    </row>
    <row r="498" spans="1:10" ht="14.4">
      <c r="A498" s="84">
        <v>46149</v>
      </c>
      <c r="B498" s="85">
        <v>2026</v>
      </c>
      <c r="C498" s="85">
        <v>5</v>
      </c>
      <c r="D498" s="85" t="s">
        <v>65</v>
      </c>
      <c r="E498" s="85">
        <v>7</v>
      </c>
      <c r="F498" s="85">
        <v>4</v>
      </c>
      <c r="G498" s="85">
        <f>--(F498&lt;=Estimator!$B$7)</f>
        <v>1</v>
      </c>
      <c r="H498" s="86">
        <f>SUMIFS('Climate Data'!$G$7:$G$366,'Climate Data'!$A$7:$A$366,Estimator!$B$4,'Climate Data'!$B$7:$B$366,C498)</f>
        <v>0.23010752688172045</v>
      </c>
      <c r="I498" s="87">
        <f>SUMIFS('Climate Data'!$H$7:$H$366,'Climate Data'!$A$7:$A$366,Estimator!$B$4,'Climate Data'!$B$7:$B$366,C498)</f>
        <v>8.1448598130841123</v>
      </c>
      <c r="J498" s="86">
        <f>SUMIFS('Wind Proxy'!$H$8:$H$19,'Wind Proxy'!$A$8:$A$19,Estimator!$B$4,'Wind Proxy'!$B$8:$B$19,C498)</f>
        <v>0</v>
      </c>
    </row>
    <row r="499" spans="1:10" ht="14.4">
      <c r="A499" s="84">
        <v>46150</v>
      </c>
      <c r="B499" s="85">
        <v>2026</v>
      </c>
      <c r="C499" s="85">
        <v>5</v>
      </c>
      <c r="D499" s="85" t="s">
        <v>65</v>
      </c>
      <c r="E499" s="85">
        <v>8</v>
      </c>
      <c r="F499" s="85">
        <v>5</v>
      </c>
      <c r="G499" s="85">
        <f>--(F499&lt;=Estimator!$B$7)</f>
        <v>1</v>
      </c>
      <c r="H499" s="86">
        <f>SUMIFS('Climate Data'!$G$7:$G$366,'Climate Data'!$A$7:$A$366,Estimator!$B$4,'Climate Data'!$B$7:$B$366,C499)</f>
        <v>0.23010752688172045</v>
      </c>
      <c r="I499" s="87">
        <f>SUMIFS('Climate Data'!$H$7:$H$366,'Climate Data'!$A$7:$A$366,Estimator!$B$4,'Climate Data'!$B$7:$B$366,C499)</f>
        <v>8.1448598130841123</v>
      </c>
      <c r="J499" s="86">
        <f>SUMIFS('Wind Proxy'!$H$8:$H$19,'Wind Proxy'!$A$8:$A$19,Estimator!$B$4,'Wind Proxy'!$B$8:$B$19,C499)</f>
        <v>0</v>
      </c>
    </row>
    <row r="500" spans="1:10" ht="14.4">
      <c r="A500" s="84">
        <v>46151</v>
      </c>
      <c r="B500" s="85">
        <v>2026</v>
      </c>
      <c r="C500" s="85">
        <v>5</v>
      </c>
      <c r="D500" s="85" t="s">
        <v>65</v>
      </c>
      <c r="E500" s="85">
        <v>9</v>
      </c>
      <c r="F500" s="85">
        <v>6</v>
      </c>
      <c r="G500" s="85">
        <f>--(F500&lt;=Estimator!$B$7)</f>
        <v>0</v>
      </c>
      <c r="H500" s="86">
        <f>SUMIFS('Climate Data'!$G$7:$G$366,'Climate Data'!$A$7:$A$366,Estimator!$B$4,'Climate Data'!$B$7:$B$366,C500)</f>
        <v>0.23010752688172045</v>
      </c>
      <c r="I500" s="87">
        <f>SUMIFS('Climate Data'!$H$7:$H$366,'Climate Data'!$A$7:$A$366,Estimator!$B$4,'Climate Data'!$B$7:$B$366,C500)</f>
        <v>8.1448598130841123</v>
      </c>
      <c r="J500" s="86">
        <f>SUMIFS('Wind Proxy'!$H$8:$H$19,'Wind Proxy'!$A$8:$A$19,Estimator!$B$4,'Wind Proxy'!$B$8:$B$19,C500)</f>
        <v>0</v>
      </c>
    </row>
    <row r="501" spans="1:10" ht="14.4">
      <c r="A501" s="84">
        <v>46152</v>
      </c>
      <c r="B501" s="85">
        <v>2026</v>
      </c>
      <c r="C501" s="85">
        <v>5</v>
      </c>
      <c r="D501" s="85" t="s">
        <v>65</v>
      </c>
      <c r="E501" s="85">
        <v>10</v>
      </c>
      <c r="F501" s="85">
        <v>7</v>
      </c>
      <c r="G501" s="85">
        <f>--(F501&lt;=Estimator!$B$7)</f>
        <v>0</v>
      </c>
      <c r="H501" s="86">
        <f>SUMIFS('Climate Data'!$G$7:$G$366,'Climate Data'!$A$7:$A$366,Estimator!$B$4,'Climate Data'!$B$7:$B$366,C501)</f>
        <v>0.23010752688172045</v>
      </c>
      <c r="I501" s="87">
        <f>SUMIFS('Climate Data'!$H$7:$H$366,'Climate Data'!$A$7:$A$366,Estimator!$B$4,'Climate Data'!$B$7:$B$366,C501)</f>
        <v>8.1448598130841123</v>
      </c>
      <c r="J501" s="86">
        <f>SUMIFS('Wind Proxy'!$H$8:$H$19,'Wind Proxy'!$A$8:$A$19,Estimator!$B$4,'Wind Proxy'!$B$8:$B$19,C501)</f>
        <v>0</v>
      </c>
    </row>
    <row r="502" spans="1:10" ht="14.4">
      <c r="A502" s="84">
        <v>46153</v>
      </c>
      <c r="B502" s="85">
        <v>2026</v>
      </c>
      <c r="C502" s="85">
        <v>5</v>
      </c>
      <c r="D502" s="85" t="s">
        <v>65</v>
      </c>
      <c r="E502" s="85">
        <v>11</v>
      </c>
      <c r="F502" s="85">
        <v>1</v>
      </c>
      <c r="G502" s="85">
        <f>--(F502&lt;=Estimator!$B$7)</f>
        <v>1</v>
      </c>
      <c r="H502" s="86">
        <f>SUMIFS('Climate Data'!$G$7:$G$366,'Climate Data'!$A$7:$A$366,Estimator!$B$4,'Climate Data'!$B$7:$B$366,C502)</f>
        <v>0.23010752688172045</v>
      </c>
      <c r="I502" s="87">
        <f>SUMIFS('Climate Data'!$H$7:$H$366,'Climate Data'!$A$7:$A$366,Estimator!$B$4,'Climate Data'!$B$7:$B$366,C502)</f>
        <v>8.1448598130841123</v>
      </c>
      <c r="J502" s="86">
        <f>SUMIFS('Wind Proxy'!$H$8:$H$19,'Wind Proxy'!$A$8:$A$19,Estimator!$B$4,'Wind Proxy'!$B$8:$B$19,C502)</f>
        <v>0</v>
      </c>
    </row>
    <row r="503" spans="1:10" ht="14.4">
      <c r="A503" s="84">
        <v>46154</v>
      </c>
      <c r="B503" s="85">
        <v>2026</v>
      </c>
      <c r="C503" s="85">
        <v>5</v>
      </c>
      <c r="D503" s="85" t="s">
        <v>65</v>
      </c>
      <c r="E503" s="85">
        <v>12</v>
      </c>
      <c r="F503" s="85">
        <v>2</v>
      </c>
      <c r="G503" s="85">
        <f>--(F503&lt;=Estimator!$B$7)</f>
        <v>1</v>
      </c>
      <c r="H503" s="86">
        <f>SUMIFS('Climate Data'!$G$7:$G$366,'Climate Data'!$A$7:$A$366,Estimator!$B$4,'Climate Data'!$B$7:$B$366,C503)</f>
        <v>0.23010752688172045</v>
      </c>
      <c r="I503" s="87">
        <f>SUMIFS('Climate Data'!$H$7:$H$366,'Climate Data'!$A$7:$A$366,Estimator!$B$4,'Climate Data'!$B$7:$B$366,C503)</f>
        <v>8.1448598130841123</v>
      </c>
      <c r="J503" s="86">
        <f>SUMIFS('Wind Proxy'!$H$8:$H$19,'Wind Proxy'!$A$8:$A$19,Estimator!$B$4,'Wind Proxy'!$B$8:$B$19,C503)</f>
        <v>0</v>
      </c>
    </row>
    <row r="504" spans="1:10" ht="14.4">
      <c r="A504" s="84">
        <v>46155</v>
      </c>
      <c r="B504" s="85">
        <v>2026</v>
      </c>
      <c r="C504" s="85">
        <v>5</v>
      </c>
      <c r="D504" s="85" t="s">
        <v>65</v>
      </c>
      <c r="E504" s="85">
        <v>13</v>
      </c>
      <c r="F504" s="85">
        <v>3</v>
      </c>
      <c r="G504" s="85">
        <f>--(F504&lt;=Estimator!$B$7)</f>
        <v>1</v>
      </c>
      <c r="H504" s="86">
        <f>SUMIFS('Climate Data'!$G$7:$G$366,'Climate Data'!$A$7:$A$366,Estimator!$B$4,'Climate Data'!$B$7:$B$366,C504)</f>
        <v>0.23010752688172045</v>
      </c>
      <c r="I504" s="87">
        <f>SUMIFS('Climate Data'!$H$7:$H$366,'Climate Data'!$A$7:$A$366,Estimator!$B$4,'Climate Data'!$B$7:$B$366,C504)</f>
        <v>8.1448598130841123</v>
      </c>
      <c r="J504" s="86">
        <f>SUMIFS('Wind Proxy'!$H$8:$H$19,'Wind Proxy'!$A$8:$A$19,Estimator!$B$4,'Wind Proxy'!$B$8:$B$19,C504)</f>
        <v>0</v>
      </c>
    </row>
    <row r="505" spans="1:10" ht="14.4">
      <c r="A505" s="84">
        <v>46156</v>
      </c>
      <c r="B505" s="85">
        <v>2026</v>
      </c>
      <c r="C505" s="85">
        <v>5</v>
      </c>
      <c r="D505" s="85" t="s">
        <v>65</v>
      </c>
      <c r="E505" s="85">
        <v>14</v>
      </c>
      <c r="F505" s="85">
        <v>4</v>
      </c>
      <c r="G505" s="85">
        <f>--(F505&lt;=Estimator!$B$7)</f>
        <v>1</v>
      </c>
      <c r="H505" s="86">
        <f>SUMIFS('Climate Data'!$G$7:$G$366,'Climate Data'!$A$7:$A$366,Estimator!$B$4,'Climate Data'!$B$7:$B$366,C505)</f>
        <v>0.23010752688172045</v>
      </c>
      <c r="I505" s="87">
        <f>SUMIFS('Climate Data'!$H$7:$H$366,'Climate Data'!$A$7:$A$366,Estimator!$B$4,'Climate Data'!$B$7:$B$366,C505)</f>
        <v>8.1448598130841123</v>
      </c>
      <c r="J505" s="86">
        <f>SUMIFS('Wind Proxy'!$H$8:$H$19,'Wind Proxy'!$A$8:$A$19,Estimator!$B$4,'Wind Proxy'!$B$8:$B$19,C505)</f>
        <v>0</v>
      </c>
    </row>
    <row r="506" spans="1:10" ht="14.4">
      <c r="A506" s="84">
        <v>46157</v>
      </c>
      <c r="B506" s="85">
        <v>2026</v>
      </c>
      <c r="C506" s="85">
        <v>5</v>
      </c>
      <c r="D506" s="85" t="s">
        <v>65</v>
      </c>
      <c r="E506" s="85">
        <v>15</v>
      </c>
      <c r="F506" s="85">
        <v>5</v>
      </c>
      <c r="G506" s="85">
        <f>--(F506&lt;=Estimator!$B$7)</f>
        <v>1</v>
      </c>
      <c r="H506" s="86">
        <f>SUMIFS('Climate Data'!$G$7:$G$366,'Climate Data'!$A$7:$A$366,Estimator!$B$4,'Climate Data'!$B$7:$B$366,C506)</f>
        <v>0.23010752688172045</v>
      </c>
      <c r="I506" s="87">
        <f>SUMIFS('Climate Data'!$H$7:$H$366,'Climate Data'!$A$7:$A$366,Estimator!$B$4,'Climate Data'!$B$7:$B$366,C506)</f>
        <v>8.1448598130841123</v>
      </c>
      <c r="J506" s="86">
        <f>SUMIFS('Wind Proxy'!$H$8:$H$19,'Wind Proxy'!$A$8:$A$19,Estimator!$B$4,'Wind Proxy'!$B$8:$B$19,C506)</f>
        <v>0</v>
      </c>
    </row>
    <row r="507" spans="1:10" ht="14.4">
      <c r="A507" s="84">
        <v>46158</v>
      </c>
      <c r="B507" s="85">
        <v>2026</v>
      </c>
      <c r="C507" s="85">
        <v>5</v>
      </c>
      <c r="D507" s="85" t="s">
        <v>65</v>
      </c>
      <c r="E507" s="85">
        <v>16</v>
      </c>
      <c r="F507" s="85">
        <v>6</v>
      </c>
      <c r="G507" s="85">
        <f>--(F507&lt;=Estimator!$B$7)</f>
        <v>0</v>
      </c>
      <c r="H507" s="86">
        <f>SUMIFS('Climate Data'!$G$7:$G$366,'Climate Data'!$A$7:$A$366,Estimator!$B$4,'Climate Data'!$B$7:$B$366,C507)</f>
        <v>0.23010752688172045</v>
      </c>
      <c r="I507" s="87">
        <f>SUMIFS('Climate Data'!$H$7:$H$366,'Climate Data'!$A$7:$A$366,Estimator!$B$4,'Climate Data'!$B$7:$B$366,C507)</f>
        <v>8.1448598130841123</v>
      </c>
      <c r="J507" s="86">
        <f>SUMIFS('Wind Proxy'!$H$8:$H$19,'Wind Proxy'!$A$8:$A$19,Estimator!$B$4,'Wind Proxy'!$B$8:$B$19,C507)</f>
        <v>0</v>
      </c>
    </row>
    <row r="508" spans="1:10" ht="14.4">
      <c r="A508" s="84">
        <v>46159</v>
      </c>
      <c r="B508" s="85">
        <v>2026</v>
      </c>
      <c r="C508" s="85">
        <v>5</v>
      </c>
      <c r="D508" s="85" t="s">
        <v>65</v>
      </c>
      <c r="E508" s="85">
        <v>17</v>
      </c>
      <c r="F508" s="85">
        <v>7</v>
      </c>
      <c r="G508" s="85">
        <f>--(F508&lt;=Estimator!$B$7)</f>
        <v>0</v>
      </c>
      <c r="H508" s="86">
        <f>SUMIFS('Climate Data'!$G$7:$G$366,'Climate Data'!$A$7:$A$366,Estimator!$B$4,'Climate Data'!$B$7:$B$366,C508)</f>
        <v>0.23010752688172045</v>
      </c>
      <c r="I508" s="87">
        <f>SUMIFS('Climate Data'!$H$7:$H$366,'Climate Data'!$A$7:$A$366,Estimator!$B$4,'Climate Data'!$B$7:$B$366,C508)</f>
        <v>8.1448598130841123</v>
      </c>
      <c r="J508" s="86">
        <f>SUMIFS('Wind Proxy'!$H$8:$H$19,'Wind Proxy'!$A$8:$A$19,Estimator!$B$4,'Wind Proxy'!$B$8:$B$19,C508)</f>
        <v>0</v>
      </c>
    </row>
    <row r="509" spans="1:10" ht="14.4">
      <c r="A509" s="84">
        <v>46160</v>
      </c>
      <c r="B509" s="85">
        <v>2026</v>
      </c>
      <c r="C509" s="85">
        <v>5</v>
      </c>
      <c r="D509" s="85" t="s">
        <v>65</v>
      </c>
      <c r="E509" s="85">
        <v>18</v>
      </c>
      <c r="F509" s="85">
        <v>1</v>
      </c>
      <c r="G509" s="85">
        <f>--(F509&lt;=Estimator!$B$7)</f>
        <v>1</v>
      </c>
      <c r="H509" s="86">
        <f>SUMIFS('Climate Data'!$G$7:$G$366,'Climate Data'!$A$7:$A$366,Estimator!$B$4,'Climate Data'!$B$7:$B$366,C509)</f>
        <v>0.23010752688172045</v>
      </c>
      <c r="I509" s="87">
        <f>SUMIFS('Climate Data'!$H$7:$H$366,'Climate Data'!$A$7:$A$366,Estimator!$B$4,'Climate Data'!$B$7:$B$366,C509)</f>
        <v>8.1448598130841123</v>
      </c>
      <c r="J509" s="86">
        <f>SUMIFS('Wind Proxy'!$H$8:$H$19,'Wind Proxy'!$A$8:$A$19,Estimator!$B$4,'Wind Proxy'!$B$8:$B$19,C509)</f>
        <v>0</v>
      </c>
    </row>
    <row r="510" spans="1:10" ht="14.4">
      <c r="A510" s="84">
        <v>46161</v>
      </c>
      <c r="B510" s="85">
        <v>2026</v>
      </c>
      <c r="C510" s="85">
        <v>5</v>
      </c>
      <c r="D510" s="85" t="s">
        <v>65</v>
      </c>
      <c r="E510" s="85">
        <v>19</v>
      </c>
      <c r="F510" s="85">
        <v>2</v>
      </c>
      <c r="G510" s="85">
        <f>--(F510&lt;=Estimator!$B$7)</f>
        <v>1</v>
      </c>
      <c r="H510" s="86">
        <f>SUMIFS('Climate Data'!$G$7:$G$366,'Climate Data'!$A$7:$A$366,Estimator!$B$4,'Climate Data'!$B$7:$B$366,C510)</f>
        <v>0.23010752688172045</v>
      </c>
      <c r="I510" s="87">
        <f>SUMIFS('Climate Data'!$H$7:$H$366,'Climate Data'!$A$7:$A$366,Estimator!$B$4,'Climate Data'!$B$7:$B$366,C510)</f>
        <v>8.1448598130841123</v>
      </c>
      <c r="J510" s="86">
        <f>SUMIFS('Wind Proxy'!$H$8:$H$19,'Wind Proxy'!$A$8:$A$19,Estimator!$B$4,'Wind Proxy'!$B$8:$B$19,C510)</f>
        <v>0</v>
      </c>
    </row>
    <row r="511" spans="1:10" ht="14.4">
      <c r="A511" s="84">
        <v>46162</v>
      </c>
      <c r="B511" s="85">
        <v>2026</v>
      </c>
      <c r="C511" s="85">
        <v>5</v>
      </c>
      <c r="D511" s="85" t="s">
        <v>65</v>
      </c>
      <c r="E511" s="85">
        <v>20</v>
      </c>
      <c r="F511" s="85">
        <v>3</v>
      </c>
      <c r="G511" s="85">
        <f>--(F511&lt;=Estimator!$B$7)</f>
        <v>1</v>
      </c>
      <c r="H511" s="86">
        <f>SUMIFS('Climate Data'!$G$7:$G$366,'Climate Data'!$A$7:$A$366,Estimator!$B$4,'Climate Data'!$B$7:$B$366,C511)</f>
        <v>0.23010752688172045</v>
      </c>
      <c r="I511" s="87">
        <f>SUMIFS('Climate Data'!$H$7:$H$366,'Climate Data'!$A$7:$A$366,Estimator!$B$4,'Climate Data'!$B$7:$B$366,C511)</f>
        <v>8.1448598130841123</v>
      </c>
      <c r="J511" s="86">
        <f>SUMIFS('Wind Proxy'!$H$8:$H$19,'Wind Proxy'!$A$8:$A$19,Estimator!$B$4,'Wind Proxy'!$B$8:$B$19,C511)</f>
        <v>0</v>
      </c>
    </row>
    <row r="512" spans="1:10" ht="14.4">
      <c r="A512" s="84">
        <v>46163</v>
      </c>
      <c r="B512" s="85">
        <v>2026</v>
      </c>
      <c r="C512" s="85">
        <v>5</v>
      </c>
      <c r="D512" s="85" t="s">
        <v>65</v>
      </c>
      <c r="E512" s="85">
        <v>21</v>
      </c>
      <c r="F512" s="85">
        <v>4</v>
      </c>
      <c r="G512" s="85">
        <f>--(F512&lt;=Estimator!$B$7)</f>
        <v>1</v>
      </c>
      <c r="H512" s="86">
        <f>SUMIFS('Climate Data'!$G$7:$G$366,'Climate Data'!$A$7:$A$366,Estimator!$B$4,'Climate Data'!$B$7:$B$366,C512)</f>
        <v>0.23010752688172045</v>
      </c>
      <c r="I512" s="87">
        <f>SUMIFS('Climate Data'!$H$7:$H$366,'Climate Data'!$A$7:$A$366,Estimator!$B$4,'Climate Data'!$B$7:$B$366,C512)</f>
        <v>8.1448598130841123</v>
      </c>
      <c r="J512" s="86">
        <f>SUMIFS('Wind Proxy'!$H$8:$H$19,'Wind Proxy'!$A$8:$A$19,Estimator!$B$4,'Wind Proxy'!$B$8:$B$19,C512)</f>
        <v>0</v>
      </c>
    </row>
    <row r="513" spans="1:10" ht="14.4">
      <c r="A513" s="84">
        <v>46164</v>
      </c>
      <c r="B513" s="85">
        <v>2026</v>
      </c>
      <c r="C513" s="85">
        <v>5</v>
      </c>
      <c r="D513" s="85" t="s">
        <v>65</v>
      </c>
      <c r="E513" s="85">
        <v>22</v>
      </c>
      <c r="F513" s="85">
        <v>5</v>
      </c>
      <c r="G513" s="85">
        <f>--(F513&lt;=Estimator!$B$7)</f>
        <v>1</v>
      </c>
      <c r="H513" s="86">
        <f>SUMIFS('Climate Data'!$G$7:$G$366,'Climate Data'!$A$7:$A$366,Estimator!$B$4,'Climate Data'!$B$7:$B$366,C513)</f>
        <v>0.23010752688172045</v>
      </c>
      <c r="I513" s="87">
        <f>SUMIFS('Climate Data'!$H$7:$H$366,'Climate Data'!$A$7:$A$366,Estimator!$B$4,'Climate Data'!$B$7:$B$366,C513)</f>
        <v>8.1448598130841123</v>
      </c>
      <c r="J513" s="86">
        <f>SUMIFS('Wind Proxy'!$H$8:$H$19,'Wind Proxy'!$A$8:$A$19,Estimator!$B$4,'Wind Proxy'!$B$8:$B$19,C513)</f>
        <v>0</v>
      </c>
    </row>
    <row r="514" spans="1:10" ht="14.4">
      <c r="A514" s="84">
        <v>46165</v>
      </c>
      <c r="B514" s="85">
        <v>2026</v>
      </c>
      <c r="C514" s="85">
        <v>5</v>
      </c>
      <c r="D514" s="85" t="s">
        <v>65</v>
      </c>
      <c r="E514" s="85">
        <v>23</v>
      </c>
      <c r="F514" s="85">
        <v>6</v>
      </c>
      <c r="G514" s="85">
        <f>--(F514&lt;=Estimator!$B$7)</f>
        <v>0</v>
      </c>
      <c r="H514" s="86">
        <f>SUMIFS('Climate Data'!$G$7:$G$366,'Climate Data'!$A$7:$A$366,Estimator!$B$4,'Climate Data'!$B$7:$B$366,C514)</f>
        <v>0.23010752688172045</v>
      </c>
      <c r="I514" s="87">
        <f>SUMIFS('Climate Data'!$H$7:$H$366,'Climate Data'!$A$7:$A$366,Estimator!$B$4,'Climate Data'!$B$7:$B$366,C514)</f>
        <v>8.1448598130841123</v>
      </c>
      <c r="J514" s="86">
        <f>SUMIFS('Wind Proxy'!$H$8:$H$19,'Wind Proxy'!$A$8:$A$19,Estimator!$B$4,'Wind Proxy'!$B$8:$B$19,C514)</f>
        <v>0</v>
      </c>
    </row>
    <row r="515" spans="1:10" ht="14.4">
      <c r="A515" s="84">
        <v>46166</v>
      </c>
      <c r="B515" s="85">
        <v>2026</v>
      </c>
      <c r="C515" s="85">
        <v>5</v>
      </c>
      <c r="D515" s="85" t="s">
        <v>65</v>
      </c>
      <c r="E515" s="85">
        <v>24</v>
      </c>
      <c r="F515" s="85">
        <v>7</v>
      </c>
      <c r="G515" s="85">
        <f>--(F515&lt;=Estimator!$B$7)</f>
        <v>0</v>
      </c>
      <c r="H515" s="86">
        <f>SUMIFS('Climate Data'!$G$7:$G$366,'Climate Data'!$A$7:$A$366,Estimator!$B$4,'Climate Data'!$B$7:$B$366,C515)</f>
        <v>0.23010752688172045</v>
      </c>
      <c r="I515" s="87">
        <f>SUMIFS('Climate Data'!$H$7:$H$366,'Climate Data'!$A$7:$A$366,Estimator!$B$4,'Climate Data'!$B$7:$B$366,C515)</f>
        <v>8.1448598130841123</v>
      </c>
      <c r="J515" s="86">
        <f>SUMIFS('Wind Proxy'!$H$8:$H$19,'Wind Proxy'!$A$8:$A$19,Estimator!$B$4,'Wind Proxy'!$B$8:$B$19,C515)</f>
        <v>0</v>
      </c>
    </row>
    <row r="516" spans="1:10" ht="14.4">
      <c r="A516" s="84">
        <v>46167</v>
      </c>
      <c r="B516" s="85">
        <v>2026</v>
      </c>
      <c r="C516" s="85">
        <v>5</v>
      </c>
      <c r="D516" s="85" t="s">
        <v>65</v>
      </c>
      <c r="E516" s="85">
        <v>25</v>
      </c>
      <c r="F516" s="85">
        <v>1</v>
      </c>
      <c r="G516" s="85">
        <f>--(F516&lt;=Estimator!$B$7)</f>
        <v>1</v>
      </c>
      <c r="H516" s="86">
        <f>SUMIFS('Climate Data'!$G$7:$G$366,'Climate Data'!$A$7:$A$366,Estimator!$B$4,'Climate Data'!$B$7:$B$366,C516)</f>
        <v>0.23010752688172045</v>
      </c>
      <c r="I516" s="87">
        <f>SUMIFS('Climate Data'!$H$7:$H$366,'Climate Data'!$A$7:$A$366,Estimator!$B$4,'Climate Data'!$B$7:$B$366,C516)</f>
        <v>8.1448598130841123</v>
      </c>
      <c r="J516" s="86">
        <f>SUMIFS('Wind Proxy'!$H$8:$H$19,'Wind Proxy'!$A$8:$A$19,Estimator!$B$4,'Wind Proxy'!$B$8:$B$19,C516)</f>
        <v>0</v>
      </c>
    </row>
    <row r="517" spans="1:10" ht="14.4">
      <c r="A517" s="84">
        <v>46168</v>
      </c>
      <c r="B517" s="85">
        <v>2026</v>
      </c>
      <c r="C517" s="85">
        <v>5</v>
      </c>
      <c r="D517" s="85" t="s">
        <v>65</v>
      </c>
      <c r="E517" s="85">
        <v>26</v>
      </c>
      <c r="F517" s="85">
        <v>2</v>
      </c>
      <c r="G517" s="85">
        <f>--(F517&lt;=Estimator!$B$7)</f>
        <v>1</v>
      </c>
      <c r="H517" s="86">
        <f>SUMIFS('Climate Data'!$G$7:$G$366,'Climate Data'!$A$7:$A$366,Estimator!$B$4,'Climate Data'!$B$7:$B$366,C517)</f>
        <v>0.23010752688172045</v>
      </c>
      <c r="I517" s="87">
        <f>SUMIFS('Climate Data'!$H$7:$H$366,'Climate Data'!$A$7:$A$366,Estimator!$B$4,'Climate Data'!$B$7:$B$366,C517)</f>
        <v>8.1448598130841123</v>
      </c>
      <c r="J517" s="86">
        <f>SUMIFS('Wind Proxy'!$H$8:$H$19,'Wind Proxy'!$A$8:$A$19,Estimator!$B$4,'Wind Proxy'!$B$8:$B$19,C517)</f>
        <v>0</v>
      </c>
    </row>
    <row r="518" spans="1:10" ht="14.4">
      <c r="A518" s="84">
        <v>46169</v>
      </c>
      <c r="B518" s="85">
        <v>2026</v>
      </c>
      <c r="C518" s="85">
        <v>5</v>
      </c>
      <c r="D518" s="85" t="s">
        <v>65</v>
      </c>
      <c r="E518" s="85">
        <v>27</v>
      </c>
      <c r="F518" s="85">
        <v>3</v>
      </c>
      <c r="G518" s="85">
        <f>--(F518&lt;=Estimator!$B$7)</f>
        <v>1</v>
      </c>
      <c r="H518" s="86">
        <f>SUMIFS('Climate Data'!$G$7:$G$366,'Climate Data'!$A$7:$A$366,Estimator!$B$4,'Climate Data'!$B$7:$B$366,C518)</f>
        <v>0.23010752688172045</v>
      </c>
      <c r="I518" s="87">
        <f>SUMIFS('Climate Data'!$H$7:$H$366,'Climate Data'!$A$7:$A$366,Estimator!$B$4,'Climate Data'!$B$7:$B$366,C518)</f>
        <v>8.1448598130841123</v>
      </c>
      <c r="J518" s="86">
        <f>SUMIFS('Wind Proxy'!$H$8:$H$19,'Wind Proxy'!$A$8:$A$19,Estimator!$B$4,'Wind Proxy'!$B$8:$B$19,C518)</f>
        <v>0</v>
      </c>
    </row>
    <row r="519" spans="1:10" ht="14.4">
      <c r="A519" s="84">
        <v>46170</v>
      </c>
      <c r="B519" s="85">
        <v>2026</v>
      </c>
      <c r="C519" s="85">
        <v>5</v>
      </c>
      <c r="D519" s="85" t="s">
        <v>65</v>
      </c>
      <c r="E519" s="85">
        <v>28</v>
      </c>
      <c r="F519" s="85">
        <v>4</v>
      </c>
      <c r="G519" s="85">
        <f>--(F519&lt;=Estimator!$B$7)</f>
        <v>1</v>
      </c>
      <c r="H519" s="86">
        <f>SUMIFS('Climate Data'!$G$7:$G$366,'Climate Data'!$A$7:$A$366,Estimator!$B$4,'Climate Data'!$B$7:$B$366,C519)</f>
        <v>0.23010752688172045</v>
      </c>
      <c r="I519" s="87">
        <f>SUMIFS('Climate Data'!$H$7:$H$366,'Climate Data'!$A$7:$A$366,Estimator!$B$4,'Climate Data'!$B$7:$B$366,C519)</f>
        <v>8.1448598130841123</v>
      </c>
      <c r="J519" s="86">
        <f>SUMIFS('Wind Proxy'!$H$8:$H$19,'Wind Proxy'!$A$8:$A$19,Estimator!$B$4,'Wind Proxy'!$B$8:$B$19,C519)</f>
        <v>0</v>
      </c>
    </row>
    <row r="520" spans="1:10" ht="14.4">
      <c r="A520" s="84">
        <v>46171</v>
      </c>
      <c r="B520" s="85">
        <v>2026</v>
      </c>
      <c r="C520" s="85">
        <v>5</v>
      </c>
      <c r="D520" s="85" t="s">
        <v>65</v>
      </c>
      <c r="E520" s="85">
        <v>29</v>
      </c>
      <c r="F520" s="85">
        <v>5</v>
      </c>
      <c r="G520" s="85">
        <f>--(F520&lt;=Estimator!$B$7)</f>
        <v>1</v>
      </c>
      <c r="H520" s="86">
        <f>SUMIFS('Climate Data'!$G$7:$G$366,'Climate Data'!$A$7:$A$366,Estimator!$B$4,'Climate Data'!$B$7:$B$366,C520)</f>
        <v>0.23010752688172045</v>
      </c>
      <c r="I520" s="87">
        <f>SUMIFS('Climate Data'!$H$7:$H$366,'Climate Data'!$A$7:$A$366,Estimator!$B$4,'Climate Data'!$B$7:$B$366,C520)</f>
        <v>8.1448598130841123</v>
      </c>
      <c r="J520" s="86">
        <f>SUMIFS('Wind Proxy'!$H$8:$H$19,'Wind Proxy'!$A$8:$A$19,Estimator!$B$4,'Wind Proxy'!$B$8:$B$19,C520)</f>
        <v>0</v>
      </c>
    </row>
    <row r="521" spans="1:10" ht="14.4">
      <c r="A521" s="84">
        <v>46172</v>
      </c>
      <c r="B521" s="85">
        <v>2026</v>
      </c>
      <c r="C521" s="85">
        <v>5</v>
      </c>
      <c r="D521" s="85" t="s">
        <v>65</v>
      </c>
      <c r="E521" s="85">
        <v>30</v>
      </c>
      <c r="F521" s="85">
        <v>6</v>
      </c>
      <c r="G521" s="85">
        <f>--(F521&lt;=Estimator!$B$7)</f>
        <v>0</v>
      </c>
      <c r="H521" s="86">
        <f>SUMIFS('Climate Data'!$G$7:$G$366,'Climate Data'!$A$7:$A$366,Estimator!$B$4,'Climate Data'!$B$7:$B$366,C521)</f>
        <v>0.23010752688172045</v>
      </c>
      <c r="I521" s="87">
        <f>SUMIFS('Climate Data'!$H$7:$H$366,'Climate Data'!$A$7:$A$366,Estimator!$B$4,'Climate Data'!$B$7:$B$366,C521)</f>
        <v>8.1448598130841123</v>
      </c>
      <c r="J521" s="86">
        <f>SUMIFS('Wind Proxy'!$H$8:$H$19,'Wind Proxy'!$A$8:$A$19,Estimator!$B$4,'Wind Proxy'!$B$8:$B$19,C521)</f>
        <v>0</v>
      </c>
    </row>
    <row r="522" spans="1:10" ht="14.4">
      <c r="A522" s="84">
        <v>46173</v>
      </c>
      <c r="B522" s="85">
        <v>2026</v>
      </c>
      <c r="C522" s="85">
        <v>5</v>
      </c>
      <c r="D522" s="85" t="s">
        <v>65</v>
      </c>
      <c r="E522" s="85">
        <v>31</v>
      </c>
      <c r="F522" s="85">
        <v>7</v>
      </c>
      <c r="G522" s="85">
        <f>--(F522&lt;=Estimator!$B$7)</f>
        <v>0</v>
      </c>
      <c r="H522" s="86">
        <f>SUMIFS('Climate Data'!$G$7:$G$366,'Climate Data'!$A$7:$A$366,Estimator!$B$4,'Climate Data'!$B$7:$B$366,C522)</f>
        <v>0.23010752688172045</v>
      </c>
      <c r="I522" s="87">
        <f>SUMIFS('Climate Data'!$H$7:$H$366,'Climate Data'!$A$7:$A$366,Estimator!$B$4,'Climate Data'!$B$7:$B$366,C522)</f>
        <v>8.1448598130841123</v>
      </c>
      <c r="J522" s="86">
        <f>SUMIFS('Wind Proxy'!$H$8:$H$19,'Wind Proxy'!$A$8:$A$19,Estimator!$B$4,'Wind Proxy'!$B$8:$B$19,C522)</f>
        <v>0</v>
      </c>
    </row>
    <row r="523" spans="1:10" ht="14.4">
      <c r="A523" s="84">
        <v>46174</v>
      </c>
      <c r="B523" s="85">
        <v>2026</v>
      </c>
      <c r="C523" s="85">
        <v>6</v>
      </c>
      <c r="D523" s="85" t="s">
        <v>68</v>
      </c>
      <c r="E523" s="85">
        <v>1</v>
      </c>
      <c r="F523" s="85">
        <v>1</v>
      </c>
      <c r="G523" s="85">
        <f>--(F523&lt;=Estimator!$B$7)</f>
        <v>1</v>
      </c>
      <c r="H523" s="86">
        <f>SUMIFS('Climate Data'!$G$7:$G$366,'Climate Data'!$A$7:$A$366,Estimator!$B$4,'Climate Data'!$B$7:$B$366,C523)</f>
        <v>0.28666666666666668</v>
      </c>
      <c r="I523" s="87">
        <f>SUMIFS('Climate Data'!$H$7:$H$366,'Climate Data'!$A$7:$A$366,Estimator!$B$4,'Climate Data'!$B$7:$B$366,C523)</f>
        <v>7.941860465116279</v>
      </c>
      <c r="J523" s="86">
        <f>SUMIFS('Wind Proxy'!$H$8:$H$19,'Wind Proxy'!$A$8:$A$19,Estimator!$B$4,'Wind Proxy'!$B$8:$B$19,C523)</f>
        <v>0</v>
      </c>
    </row>
    <row r="524" spans="1:10" ht="14.4">
      <c r="A524" s="84">
        <v>46175</v>
      </c>
      <c r="B524" s="85">
        <v>2026</v>
      </c>
      <c r="C524" s="85">
        <v>6</v>
      </c>
      <c r="D524" s="85" t="s">
        <v>68</v>
      </c>
      <c r="E524" s="85">
        <v>2</v>
      </c>
      <c r="F524" s="85">
        <v>2</v>
      </c>
      <c r="G524" s="85">
        <f>--(F524&lt;=Estimator!$B$7)</f>
        <v>1</v>
      </c>
      <c r="H524" s="86">
        <f>SUMIFS('Climate Data'!$G$7:$G$366,'Climate Data'!$A$7:$A$366,Estimator!$B$4,'Climate Data'!$B$7:$B$366,C524)</f>
        <v>0.28666666666666668</v>
      </c>
      <c r="I524" s="87">
        <f>SUMIFS('Climate Data'!$H$7:$H$366,'Climate Data'!$A$7:$A$366,Estimator!$B$4,'Climate Data'!$B$7:$B$366,C524)</f>
        <v>7.941860465116279</v>
      </c>
      <c r="J524" s="86">
        <f>SUMIFS('Wind Proxy'!$H$8:$H$19,'Wind Proxy'!$A$8:$A$19,Estimator!$B$4,'Wind Proxy'!$B$8:$B$19,C524)</f>
        <v>0</v>
      </c>
    </row>
    <row r="525" spans="1:10" ht="14.4">
      <c r="A525" s="84">
        <v>46176</v>
      </c>
      <c r="B525" s="85">
        <v>2026</v>
      </c>
      <c r="C525" s="85">
        <v>6</v>
      </c>
      <c r="D525" s="85" t="s">
        <v>68</v>
      </c>
      <c r="E525" s="85">
        <v>3</v>
      </c>
      <c r="F525" s="85">
        <v>3</v>
      </c>
      <c r="G525" s="85">
        <f>--(F525&lt;=Estimator!$B$7)</f>
        <v>1</v>
      </c>
      <c r="H525" s="86">
        <f>SUMIFS('Climate Data'!$G$7:$G$366,'Climate Data'!$A$7:$A$366,Estimator!$B$4,'Climate Data'!$B$7:$B$366,C525)</f>
        <v>0.28666666666666668</v>
      </c>
      <c r="I525" s="87">
        <f>SUMIFS('Climate Data'!$H$7:$H$366,'Climate Data'!$A$7:$A$366,Estimator!$B$4,'Climate Data'!$B$7:$B$366,C525)</f>
        <v>7.941860465116279</v>
      </c>
      <c r="J525" s="86">
        <f>SUMIFS('Wind Proxy'!$H$8:$H$19,'Wind Proxy'!$A$8:$A$19,Estimator!$B$4,'Wind Proxy'!$B$8:$B$19,C525)</f>
        <v>0</v>
      </c>
    </row>
    <row r="526" spans="1:10" ht="14.4">
      <c r="A526" s="84">
        <v>46177</v>
      </c>
      <c r="B526" s="85">
        <v>2026</v>
      </c>
      <c r="C526" s="85">
        <v>6</v>
      </c>
      <c r="D526" s="85" t="s">
        <v>68</v>
      </c>
      <c r="E526" s="85">
        <v>4</v>
      </c>
      <c r="F526" s="85">
        <v>4</v>
      </c>
      <c r="G526" s="85">
        <f>--(F526&lt;=Estimator!$B$7)</f>
        <v>1</v>
      </c>
      <c r="H526" s="86">
        <f>SUMIFS('Climate Data'!$G$7:$G$366,'Climate Data'!$A$7:$A$366,Estimator!$B$4,'Climate Data'!$B$7:$B$366,C526)</f>
        <v>0.28666666666666668</v>
      </c>
      <c r="I526" s="87">
        <f>SUMIFS('Climate Data'!$H$7:$H$366,'Climate Data'!$A$7:$A$366,Estimator!$B$4,'Climate Data'!$B$7:$B$366,C526)</f>
        <v>7.941860465116279</v>
      </c>
      <c r="J526" s="86">
        <f>SUMIFS('Wind Proxy'!$H$8:$H$19,'Wind Proxy'!$A$8:$A$19,Estimator!$B$4,'Wind Proxy'!$B$8:$B$19,C526)</f>
        <v>0</v>
      </c>
    </row>
    <row r="527" spans="1:10" ht="14.4">
      <c r="A527" s="84">
        <v>46178</v>
      </c>
      <c r="B527" s="85">
        <v>2026</v>
      </c>
      <c r="C527" s="85">
        <v>6</v>
      </c>
      <c r="D527" s="85" t="s">
        <v>68</v>
      </c>
      <c r="E527" s="85">
        <v>5</v>
      </c>
      <c r="F527" s="85">
        <v>5</v>
      </c>
      <c r="G527" s="85">
        <f>--(F527&lt;=Estimator!$B$7)</f>
        <v>1</v>
      </c>
      <c r="H527" s="86">
        <f>SUMIFS('Climate Data'!$G$7:$G$366,'Climate Data'!$A$7:$A$366,Estimator!$B$4,'Climate Data'!$B$7:$B$366,C527)</f>
        <v>0.28666666666666668</v>
      </c>
      <c r="I527" s="87">
        <f>SUMIFS('Climate Data'!$H$7:$H$366,'Climate Data'!$A$7:$A$366,Estimator!$B$4,'Climate Data'!$B$7:$B$366,C527)</f>
        <v>7.941860465116279</v>
      </c>
      <c r="J527" s="86">
        <f>SUMIFS('Wind Proxy'!$H$8:$H$19,'Wind Proxy'!$A$8:$A$19,Estimator!$B$4,'Wind Proxy'!$B$8:$B$19,C527)</f>
        <v>0</v>
      </c>
    </row>
    <row r="528" spans="1:10" ht="14.4">
      <c r="A528" s="84">
        <v>46179</v>
      </c>
      <c r="B528" s="85">
        <v>2026</v>
      </c>
      <c r="C528" s="85">
        <v>6</v>
      </c>
      <c r="D528" s="85" t="s">
        <v>68</v>
      </c>
      <c r="E528" s="85">
        <v>6</v>
      </c>
      <c r="F528" s="85">
        <v>6</v>
      </c>
      <c r="G528" s="85">
        <f>--(F528&lt;=Estimator!$B$7)</f>
        <v>0</v>
      </c>
      <c r="H528" s="86">
        <f>SUMIFS('Climate Data'!$G$7:$G$366,'Climate Data'!$A$7:$A$366,Estimator!$B$4,'Climate Data'!$B$7:$B$366,C528)</f>
        <v>0.28666666666666668</v>
      </c>
      <c r="I528" s="87">
        <f>SUMIFS('Climate Data'!$H$7:$H$366,'Climate Data'!$A$7:$A$366,Estimator!$B$4,'Climate Data'!$B$7:$B$366,C528)</f>
        <v>7.941860465116279</v>
      </c>
      <c r="J528" s="86">
        <f>SUMIFS('Wind Proxy'!$H$8:$H$19,'Wind Proxy'!$A$8:$A$19,Estimator!$B$4,'Wind Proxy'!$B$8:$B$19,C528)</f>
        <v>0</v>
      </c>
    </row>
    <row r="529" spans="1:10" ht="14.4">
      <c r="A529" s="84">
        <v>46180</v>
      </c>
      <c r="B529" s="85">
        <v>2026</v>
      </c>
      <c r="C529" s="85">
        <v>6</v>
      </c>
      <c r="D529" s="85" t="s">
        <v>68</v>
      </c>
      <c r="E529" s="85">
        <v>7</v>
      </c>
      <c r="F529" s="85">
        <v>7</v>
      </c>
      <c r="G529" s="85">
        <f>--(F529&lt;=Estimator!$B$7)</f>
        <v>0</v>
      </c>
      <c r="H529" s="86">
        <f>SUMIFS('Climate Data'!$G$7:$G$366,'Climate Data'!$A$7:$A$366,Estimator!$B$4,'Climate Data'!$B$7:$B$366,C529)</f>
        <v>0.28666666666666668</v>
      </c>
      <c r="I529" s="87">
        <f>SUMIFS('Climate Data'!$H$7:$H$366,'Climate Data'!$A$7:$A$366,Estimator!$B$4,'Climate Data'!$B$7:$B$366,C529)</f>
        <v>7.941860465116279</v>
      </c>
      <c r="J529" s="86">
        <f>SUMIFS('Wind Proxy'!$H$8:$H$19,'Wind Proxy'!$A$8:$A$19,Estimator!$B$4,'Wind Proxy'!$B$8:$B$19,C529)</f>
        <v>0</v>
      </c>
    </row>
    <row r="530" spans="1:10" ht="14.4">
      <c r="A530" s="84">
        <v>46181</v>
      </c>
      <c r="B530" s="85">
        <v>2026</v>
      </c>
      <c r="C530" s="85">
        <v>6</v>
      </c>
      <c r="D530" s="85" t="s">
        <v>68</v>
      </c>
      <c r="E530" s="85">
        <v>8</v>
      </c>
      <c r="F530" s="85">
        <v>1</v>
      </c>
      <c r="G530" s="85">
        <f>--(F530&lt;=Estimator!$B$7)</f>
        <v>1</v>
      </c>
      <c r="H530" s="86">
        <f>SUMIFS('Climate Data'!$G$7:$G$366,'Climate Data'!$A$7:$A$366,Estimator!$B$4,'Climate Data'!$B$7:$B$366,C530)</f>
        <v>0.28666666666666668</v>
      </c>
      <c r="I530" s="87">
        <f>SUMIFS('Climate Data'!$H$7:$H$366,'Climate Data'!$A$7:$A$366,Estimator!$B$4,'Climate Data'!$B$7:$B$366,C530)</f>
        <v>7.941860465116279</v>
      </c>
      <c r="J530" s="86">
        <f>SUMIFS('Wind Proxy'!$H$8:$H$19,'Wind Proxy'!$A$8:$A$19,Estimator!$B$4,'Wind Proxy'!$B$8:$B$19,C530)</f>
        <v>0</v>
      </c>
    </row>
    <row r="531" spans="1:10" ht="14.4">
      <c r="A531" s="84">
        <v>46182</v>
      </c>
      <c r="B531" s="85">
        <v>2026</v>
      </c>
      <c r="C531" s="85">
        <v>6</v>
      </c>
      <c r="D531" s="85" t="s">
        <v>68</v>
      </c>
      <c r="E531" s="85">
        <v>9</v>
      </c>
      <c r="F531" s="85">
        <v>2</v>
      </c>
      <c r="G531" s="85">
        <f>--(F531&lt;=Estimator!$B$7)</f>
        <v>1</v>
      </c>
      <c r="H531" s="86">
        <f>SUMIFS('Climate Data'!$G$7:$G$366,'Climate Data'!$A$7:$A$366,Estimator!$B$4,'Climate Data'!$B$7:$B$366,C531)</f>
        <v>0.28666666666666668</v>
      </c>
      <c r="I531" s="87">
        <f>SUMIFS('Climate Data'!$H$7:$H$366,'Climate Data'!$A$7:$A$366,Estimator!$B$4,'Climate Data'!$B$7:$B$366,C531)</f>
        <v>7.941860465116279</v>
      </c>
      <c r="J531" s="86">
        <f>SUMIFS('Wind Proxy'!$H$8:$H$19,'Wind Proxy'!$A$8:$A$19,Estimator!$B$4,'Wind Proxy'!$B$8:$B$19,C531)</f>
        <v>0</v>
      </c>
    </row>
    <row r="532" spans="1:10" ht="14.4">
      <c r="A532" s="84">
        <v>46183</v>
      </c>
      <c r="B532" s="85">
        <v>2026</v>
      </c>
      <c r="C532" s="85">
        <v>6</v>
      </c>
      <c r="D532" s="85" t="s">
        <v>68</v>
      </c>
      <c r="E532" s="85">
        <v>10</v>
      </c>
      <c r="F532" s="85">
        <v>3</v>
      </c>
      <c r="G532" s="85">
        <f>--(F532&lt;=Estimator!$B$7)</f>
        <v>1</v>
      </c>
      <c r="H532" s="86">
        <f>SUMIFS('Climate Data'!$G$7:$G$366,'Climate Data'!$A$7:$A$366,Estimator!$B$4,'Climate Data'!$B$7:$B$366,C532)</f>
        <v>0.28666666666666668</v>
      </c>
      <c r="I532" s="87">
        <f>SUMIFS('Climate Data'!$H$7:$H$366,'Climate Data'!$A$7:$A$366,Estimator!$B$4,'Climate Data'!$B$7:$B$366,C532)</f>
        <v>7.941860465116279</v>
      </c>
      <c r="J532" s="86">
        <f>SUMIFS('Wind Proxy'!$H$8:$H$19,'Wind Proxy'!$A$8:$A$19,Estimator!$B$4,'Wind Proxy'!$B$8:$B$19,C532)</f>
        <v>0</v>
      </c>
    </row>
    <row r="533" spans="1:10" ht="14.4">
      <c r="A533" s="84">
        <v>46184</v>
      </c>
      <c r="B533" s="85">
        <v>2026</v>
      </c>
      <c r="C533" s="85">
        <v>6</v>
      </c>
      <c r="D533" s="85" t="s">
        <v>68</v>
      </c>
      <c r="E533" s="85">
        <v>11</v>
      </c>
      <c r="F533" s="85">
        <v>4</v>
      </c>
      <c r="G533" s="85">
        <f>--(F533&lt;=Estimator!$B$7)</f>
        <v>1</v>
      </c>
      <c r="H533" s="86">
        <f>SUMIFS('Climate Data'!$G$7:$G$366,'Climate Data'!$A$7:$A$366,Estimator!$B$4,'Climate Data'!$B$7:$B$366,C533)</f>
        <v>0.28666666666666668</v>
      </c>
      <c r="I533" s="87">
        <f>SUMIFS('Climate Data'!$H$7:$H$366,'Climate Data'!$A$7:$A$366,Estimator!$B$4,'Climate Data'!$B$7:$B$366,C533)</f>
        <v>7.941860465116279</v>
      </c>
      <c r="J533" s="86">
        <f>SUMIFS('Wind Proxy'!$H$8:$H$19,'Wind Proxy'!$A$8:$A$19,Estimator!$B$4,'Wind Proxy'!$B$8:$B$19,C533)</f>
        <v>0</v>
      </c>
    </row>
    <row r="534" spans="1:10" ht="14.4">
      <c r="A534" s="84">
        <v>46185</v>
      </c>
      <c r="B534" s="85">
        <v>2026</v>
      </c>
      <c r="C534" s="85">
        <v>6</v>
      </c>
      <c r="D534" s="85" t="s">
        <v>68</v>
      </c>
      <c r="E534" s="85">
        <v>12</v>
      </c>
      <c r="F534" s="85">
        <v>5</v>
      </c>
      <c r="G534" s="85">
        <f>--(F534&lt;=Estimator!$B$7)</f>
        <v>1</v>
      </c>
      <c r="H534" s="86">
        <f>SUMIFS('Climate Data'!$G$7:$G$366,'Climate Data'!$A$7:$A$366,Estimator!$B$4,'Climate Data'!$B$7:$B$366,C534)</f>
        <v>0.28666666666666668</v>
      </c>
      <c r="I534" s="87">
        <f>SUMIFS('Climate Data'!$H$7:$H$366,'Climate Data'!$A$7:$A$366,Estimator!$B$4,'Climate Data'!$B$7:$B$366,C534)</f>
        <v>7.941860465116279</v>
      </c>
      <c r="J534" s="86">
        <f>SUMIFS('Wind Proxy'!$H$8:$H$19,'Wind Proxy'!$A$8:$A$19,Estimator!$B$4,'Wind Proxy'!$B$8:$B$19,C534)</f>
        <v>0</v>
      </c>
    </row>
    <row r="535" spans="1:10" ht="14.4">
      <c r="A535" s="84">
        <v>46186</v>
      </c>
      <c r="B535" s="85">
        <v>2026</v>
      </c>
      <c r="C535" s="85">
        <v>6</v>
      </c>
      <c r="D535" s="85" t="s">
        <v>68</v>
      </c>
      <c r="E535" s="85">
        <v>13</v>
      </c>
      <c r="F535" s="85">
        <v>6</v>
      </c>
      <c r="G535" s="85">
        <f>--(F535&lt;=Estimator!$B$7)</f>
        <v>0</v>
      </c>
      <c r="H535" s="86">
        <f>SUMIFS('Climate Data'!$G$7:$G$366,'Climate Data'!$A$7:$A$366,Estimator!$B$4,'Climate Data'!$B$7:$B$366,C535)</f>
        <v>0.28666666666666668</v>
      </c>
      <c r="I535" s="87">
        <f>SUMIFS('Climate Data'!$H$7:$H$366,'Climate Data'!$A$7:$A$366,Estimator!$B$4,'Climate Data'!$B$7:$B$366,C535)</f>
        <v>7.941860465116279</v>
      </c>
      <c r="J535" s="86">
        <f>SUMIFS('Wind Proxy'!$H$8:$H$19,'Wind Proxy'!$A$8:$A$19,Estimator!$B$4,'Wind Proxy'!$B$8:$B$19,C535)</f>
        <v>0</v>
      </c>
    </row>
    <row r="536" spans="1:10" ht="14.4">
      <c r="A536" s="84">
        <v>46187</v>
      </c>
      <c r="B536" s="85">
        <v>2026</v>
      </c>
      <c r="C536" s="85">
        <v>6</v>
      </c>
      <c r="D536" s="85" t="s">
        <v>68</v>
      </c>
      <c r="E536" s="85">
        <v>14</v>
      </c>
      <c r="F536" s="85">
        <v>7</v>
      </c>
      <c r="G536" s="85">
        <f>--(F536&lt;=Estimator!$B$7)</f>
        <v>0</v>
      </c>
      <c r="H536" s="86">
        <f>SUMIFS('Climate Data'!$G$7:$G$366,'Climate Data'!$A$7:$A$366,Estimator!$B$4,'Climate Data'!$B$7:$B$366,C536)</f>
        <v>0.28666666666666668</v>
      </c>
      <c r="I536" s="87">
        <f>SUMIFS('Climate Data'!$H$7:$H$366,'Climate Data'!$A$7:$A$366,Estimator!$B$4,'Climate Data'!$B$7:$B$366,C536)</f>
        <v>7.941860465116279</v>
      </c>
      <c r="J536" s="86">
        <f>SUMIFS('Wind Proxy'!$H$8:$H$19,'Wind Proxy'!$A$8:$A$19,Estimator!$B$4,'Wind Proxy'!$B$8:$B$19,C536)</f>
        <v>0</v>
      </c>
    </row>
    <row r="537" spans="1:10" ht="14.4">
      <c r="A537" s="84">
        <v>46188</v>
      </c>
      <c r="B537" s="85">
        <v>2026</v>
      </c>
      <c r="C537" s="85">
        <v>6</v>
      </c>
      <c r="D537" s="85" t="s">
        <v>68</v>
      </c>
      <c r="E537" s="85">
        <v>15</v>
      </c>
      <c r="F537" s="85">
        <v>1</v>
      </c>
      <c r="G537" s="85">
        <f>--(F537&lt;=Estimator!$B$7)</f>
        <v>1</v>
      </c>
      <c r="H537" s="86">
        <f>SUMIFS('Climate Data'!$G$7:$G$366,'Climate Data'!$A$7:$A$366,Estimator!$B$4,'Climate Data'!$B$7:$B$366,C537)</f>
        <v>0.28666666666666668</v>
      </c>
      <c r="I537" s="87">
        <f>SUMIFS('Climate Data'!$H$7:$H$366,'Climate Data'!$A$7:$A$366,Estimator!$B$4,'Climate Data'!$B$7:$B$366,C537)</f>
        <v>7.941860465116279</v>
      </c>
      <c r="J537" s="86">
        <f>SUMIFS('Wind Proxy'!$H$8:$H$19,'Wind Proxy'!$A$8:$A$19,Estimator!$B$4,'Wind Proxy'!$B$8:$B$19,C537)</f>
        <v>0</v>
      </c>
    </row>
    <row r="538" spans="1:10" ht="14.4">
      <c r="A538" s="84">
        <v>46189</v>
      </c>
      <c r="B538" s="85">
        <v>2026</v>
      </c>
      <c r="C538" s="85">
        <v>6</v>
      </c>
      <c r="D538" s="85" t="s">
        <v>68</v>
      </c>
      <c r="E538" s="85">
        <v>16</v>
      </c>
      <c r="F538" s="85">
        <v>2</v>
      </c>
      <c r="G538" s="85">
        <f>--(F538&lt;=Estimator!$B$7)</f>
        <v>1</v>
      </c>
      <c r="H538" s="86">
        <f>SUMIFS('Climate Data'!$G$7:$G$366,'Climate Data'!$A$7:$A$366,Estimator!$B$4,'Climate Data'!$B$7:$B$366,C538)</f>
        <v>0.28666666666666668</v>
      </c>
      <c r="I538" s="87">
        <f>SUMIFS('Climate Data'!$H$7:$H$366,'Climate Data'!$A$7:$A$366,Estimator!$B$4,'Climate Data'!$B$7:$B$366,C538)</f>
        <v>7.941860465116279</v>
      </c>
      <c r="J538" s="86">
        <f>SUMIFS('Wind Proxy'!$H$8:$H$19,'Wind Proxy'!$A$8:$A$19,Estimator!$B$4,'Wind Proxy'!$B$8:$B$19,C538)</f>
        <v>0</v>
      </c>
    </row>
    <row r="539" spans="1:10" ht="14.4">
      <c r="A539" s="84">
        <v>46190</v>
      </c>
      <c r="B539" s="85">
        <v>2026</v>
      </c>
      <c r="C539" s="85">
        <v>6</v>
      </c>
      <c r="D539" s="85" t="s">
        <v>68</v>
      </c>
      <c r="E539" s="85">
        <v>17</v>
      </c>
      <c r="F539" s="85">
        <v>3</v>
      </c>
      <c r="G539" s="85">
        <f>--(F539&lt;=Estimator!$B$7)</f>
        <v>1</v>
      </c>
      <c r="H539" s="86">
        <f>SUMIFS('Climate Data'!$G$7:$G$366,'Climate Data'!$A$7:$A$366,Estimator!$B$4,'Climate Data'!$B$7:$B$366,C539)</f>
        <v>0.28666666666666668</v>
      </c>
      <c r="I539" s="87">
        <f>SUMIFS('Climate Data'!$H$7:$H$366,'Climate Data'!$A$7:$A$366,Estimator!$B$4,'Climate Data'!$B$7:$B$366,C539)</f>
        <v>7.941860465116279</v>
      </c>
      <c r="J539" s="86">
        <f>SUMIFS('Wind Proxy'!$H$8:$H$19,'Wind Proxy'!$A$8:$A$19,Estimator!$B$4,'Wind Proxy'!$B$8:$B$19,C539)</f>
        <v>0</v>
      </c>
    </row>
    <row r="540" spans="1:10" ht="14.4">
      <c r="A540" s="84">
        <v>46191</v>
      </c>
      <c r="B540" s="85">
        <v>2026</v>
      </c>
      <c r="C540" s="85">
        <v>6</v>
      </c>
      <c r="D540" s="85" t="s">
        <v>68</v>
      </c>
      <c r="E540" s="85">
        <v>18</v>
      </c>
      <c r="F540" s="85">
        <v>4</v>
      </c>
      <c r="G540" s="85">
        <f>--(F540&lt;=Estimator!$B$7)</f>
        <v>1</v>
      </c>
      <c r="H540" s="86">
        <f>SUMIFS('Climate Data'!$G$7:$G$366,'Climate Data'!$A$7:$A$366,Estimator!$B$4,'Climate Data'!$B$7:$B$366,C540)</f>
        <v>0.28666666666666668</v>
      </c>
      <c r="I540" s="87">
        <f>SUMIFS('Climate Data'!$H$7:$H$366,'Climate Data'!$A$7:$A$366,Estimator!$B$4,'Climate Data'!$B$7:$B$366,C540)</f>
        <v>7.941860465116279</v>
      </c>
      <c r="J540" s="86">
        <f>SUMIFS('Wind Proxy'!$H$8:$H$19,'Wind Proxy'!$A$8:$A$19,Estimator!$B$4,'Wind Proxy'!$B$8:$B$19,C540)</f>
        <v>0</v>
      </c>
    </row>
    <row r="541" spans="1:10" ht="14.4">
      <c r="A541" s="84">
        <v>46192</v>
      </c>
      <c r="B541" s="85">
        <v>2026</v>
      </c>
      <c r="C541" s="85">
        <v>6</v>
      </c>
      <c r="D541" s="85" t="s">
        <v>68</v>
      </c>
      <c r="E541" s="85">
        <v>19</v>
      </c>
      <c r="F541" s="85">
        <v>5</v>
      </c>
      <c r="G541" s="85">
        <f>--(F541&lt;=Estimator!$B$7)</f>
        <v>1</v>
      </c>
      <c r="H541" s="86">
        <f>SUMIFS('Climate Data'!$G$7:$G$366,'Climate Data'!$A$7:$A$366,Estimator!$B$4,'Climate Data'!$B$7:$B$366,C541)</f>
        <v>0.28666666666666668</v>
      </c>
      <c r="I541" s="87">
        <f>SUMIFS('Climate Data'!$H$7:$H$366,'Climate Data'!$A$7:$A$366,Estimator!$B$4,'Climate Data'!$B$7:$B$366,C541)</f>
        <v>7.941860465116279</v>
      </c>
      <c r="J541" s="86">
        <f>SUMIFS('Wind Proxy'!$H$8:$H$19,'Wind Proxy'!$A$8:$A$19,Estimator!$B$4,'Wind Proxy'!$B$8:$B$19,C541)</f>
        <v>0</v>
      </c>
    </row>
    <row r="542" spans="1:10" ht="14.4">
      <c r="A542" s="84">
        <v>46193</v>
      </c>
      <c r="B542" s="85">
        <v>2026</v>
      </c>
      <c r="C542" s="85">
        <v>6</v>
      </c>
      <c r="D542" s="85" t="s">
        <v>68</v>
      </c>
      <c r="E542" s="85">
        <v>20</v>
      </c>
      <c r="F542" s="85">
        <v>6</v>
      </c>
      <c r="G542" s="85">
        <f>--(F542&lt;=Estimator!$B$7)</f>
        <v>0</v>
      </c>
      <c r="H542" s="86">
        <f>SUMIFS('Climate Data'!$G$7:$G$366,'Climate Data'!$A$7:$A$366,Estimator!$B$4,'Climate Data'!$B$7:$B$366,C542)</f>
        <v>0.28666666666666668</v>
      </c>
      <c r="I542" s="87">
        <f>SUMIFS('Climate Data'!$H$7:$H$366,'Climate Data'!$A$7:$A$366,Estimator!$B$4,'Climate Data'!$B$7:$B$366,C542)</f>
        <v>7.941860465116279</v>
      </c>
      <c r="J542" s="86">
        <f>SUMIFS('Wind Proxy'!$H$8:$H$19,'Wind Proxy'!$A$8:$A$19,Estimator!$B$4,'Wind Proxy'!$B$8:$B$19,C542)</f>
        <v>0</v>
      </c>
    </row>
    <row r="543" spans="1:10" ht="14.4">
      <c r="A543" s="84">
        <v>46194</v>
      </c>
      <c r="B543" s="85">
        <v>2026</v>
      </c>
      <c r="C543" s="85">
        <v>6</v>
      </c>
      <c r="D543" s="85" t="s">
        <v>68</v>
      </c>
      <c r="E543" s="85">
        <v>21</v>
      </c>
      <c r="F543" s="85">
        <v>7</v>
      </c>
      <c r="G543" s="85">
        <f>--(F543&lt;=Estimator!$B$7)</f>
        <v>0</v>
      </c>
      <c r="H543" s="86">
        <f>SUMIFS('Climate Data'!$G$7:$G$366,'Climate Data'!$A$7:$A$366,Estimator!$B$4,'Climate Data'!$B$7:$B$366,C543)</f>
        <v>0.28666666666666668</v>
      </c>
      <c r="I543" s="87">
        <f>SUMIFS('Climate Data'!$H$7:$H$366,'Climate Data'!$A$7:$A$366,Estimator!$B$4,'Climate Data'!$B$7:$B$366,C543)</f>
        <v>7.941860465116279</v>
      </c>
      <c r="J543" s="86">
        <f>SUMIFS('Wind Proxy'!$H$8:$H$19,'Wind Proxy'!$A$8:$A$19,Estimator!$B$4,'Wind Proxy'!$B$8:$B$19,C543)</f>
        <v>0</v>
      </c>
    </row>
    <row r="544" spans="1:10" ht="14.4">
      <c r="A544" s="84">
        <v>46195</v>
      </c>
      <c r="B544" s="85">
        <v>2026</v>
      </c>
      <c r="C544" s="85">
        <v>6</v>
      </c>
      <c r="D544" s="85" t="s">
        <v>68</v>
      </c>
      <c r="E544" s="85">
        <v>22</v>
      </c>
      <c r="F544" s="85">
        <v>1</v>
      </c>
      <c r="G544" s="85">
        <f>--(F544&lt;=Estimator!$B$7)</f>
        <v>1</v>
      </c>
      <c r="H544" s="86">
        <f>SUMIFS('Climate Data'!$G$7:$G$366,'Climate Data'!$A$7:$A$366,Estimator!$B$4,'Climate Data'!$B$7:$B$366,C544)</f>
        <v>0.28666666666666668</v>
      </c>
      <c r="I544" s="87">
        <f>SUMIFS('Climate Data'!$H$7:$H$366,'Climate Data'!$A$7:$A$366,Estimator!$B$4,'Climate Data'!$B$7:$B$366,C544)</f>
        <v>7.941860465116279</v>
      </c>
      <c r="J544" s="86">
        <f>SUMIFS('Wind Proxy'!$H$8:$H$19,'Wind Proxy'!$A$8:$A$19,Estimator!$B$4,'Wind Proxy'!$B$8:$B$19,C544)</f>
        <v>0</v>
      </c>
    </row>
    <row r="545" spans="1:10" ht="14.4">
      <c r="A545" s="84">
        <v>46196</v>
      </c>
      <c r="B545" s="85">
        <v>2026</v>
      </c>
      <c r="C545" s="85">
        <v>6</v>
      </c>
      <c r="D545" s="85" t="s">
        <v>68</v>
      </c>
      <c r="E545" s="85">
        <v>23</v>
      </c>
      <c r="F545" s="85">
        <v>2</v>
      </c>
      <c r="G545" s="85">
        <f>--(F545&lt;=Estimator!$B$7)</f>
        <v>1</v>
      </c>
      <c r="H545" s="86">
        <f>SUMIFS('Climate Data'!$G$7:$G$366,'Climate Data'!$A$7:$A$366,Estimator!$B$4,'Climate Data'!$B$7:$B$366,C545)</f>
        <v>0.28666666666666668</v>
      </c>
      <c r="I545" s="87">
        <f>SUMIFS('Climate Data'!$H$7:$H$366,'Climate Data'!$A$7:$A$366,Estimator!$B$4,'Climate Data'!$B$7:$B$366,C545)</f>
        <v>7.941860465116279</v>
      </c>
      <c r="J545" s="86">
        <f>SUMIFS('Wind Proxy'!$H$8:$H$19,'Wind Proxy'!$A$8:$A$19,Estimator!$B$4,'Wind Proxy'!$B$8:$B$19,C545)</f>
        <v>0</v>
      </c>
    </row>
    <row r="546" spans="1:10" ht="14.4">
      <c r="A546" s="84">
        <v>46197</v>
      </c>
      <c r="B546" s="85">
        <v>2026</v>
      </c>
      <c r="C546" s="85">
        <v>6</v>
      </c>
      <c r="D546" s="85" t="s">
        <v>68</v>
      </c>
      <c r="E546" s="85">
        <v>24</v>
      </c>
      <c r="F546" s="85">
        <v>3</v>
      </c>
      <c r="G546" s="85">
        <f>--(F546&lt;=Estimator!$B$7)</f>
        <v>1</v>
      </c>
      <c r="H546" s="86">
        <f>SUMIFS('Climate Data'!$G$7:$G$366,'Climate Data'!$A$7:$A$366,Estimator!$B$4,'Climate Data'!$B$7:$B$366,C546)</f>
        <v>0.28666666666666668</v>
      </c>
      <c r="I546" s="87">
        <f>SUMIFS('Climate Data'!$H$7:$H$366,'Climate Data'!$A$7:$A$366,Estimator!$B$4,'Climate Data'!$B$7:$B$366,C546)</f>
        <v>7.941860465116279</v>
      </c>
      <c r="J546" s="86">
        <f>SUMIFS('Wind Proxy'!$H$8:$H$19,'Wind Proxy'!$A$8:$A$19,Estimator!$B$4,'Wind Proxy'!$B$8:$B$19,C546)</f>
        <v>0</v>
      </c>
    </row>
    <row r="547" spans="1:10" ht="14.4">
      <c r="A547" s="84">
        <v>46198</v>
      </c>
      <c r="B547" s="85">
        <v>2026</v>
      </c>
      <c r="C547" s="85">
        <v>6</v>
      </c>
      <c r="D547" s="85" t="s">
        <v>68</v>
      </c>
      <c r="E547" s="85">
        <v>25</v>
      </c>
      <c r="F547" s="85">
        <v>4</v>
      </c>
      <c r="G547" s="85">
        <f>--(F547&lt;=Estimator!$B$7)</f>
        <v>1</v>
      </c>
      <c r="H547" s="86">
        <f>SUMIFS('Climate Data'!$G$7:$G$366,'Climate Data'!$A$7:$A$366,Estimator!$B$4,'Climate Data'!$B$7:$B$366,C547)</f>
        <v>0.28666666666666668</v>
      </c>
      <c r="I547" s="87">
        <f>SUMIFS('Climate Data'!$H$7:$H$366,'Climate Data'!$A$7:$A$366,Estimator!$B$4,'Climate Data'!$B$7:$B$366,C547)</f>
        <v>7.941860465116279</v>
      </c>
      <c r="J547" s="86">
        <f>SUMIFS('Wind Proxy'!$H$8:$H$19,'Wind Proxy'!$A$8:$A$19,Estimator!$B$4,'Wind Proxy'!$B$8:$B$19,C547)</f>
        <v>0</v>
      </c>
    </row>
    <row r="548" spans="1:10" ht="14.4">
      <c r="A548" s="84">
        <v>46199</v>
      </c>
      <c r="B548" s="85">
        <v>2026</v>
      </c>
      <c r="C548" s="85">
        <v>6</v>
      </c>
      <c r="D548" s="85" t="s">
        <v>68</v>
      </c>
      <c r="E548" s="85">
        <v>26</v>
      </c>
      <c r="F548" s="85">
        <v>5</v>
      </c>
      <c r="G548" s="85">
        <f>--(F548&lt;=Estimator!$B$7)</f>
        <v>1</v>
      </c>
      <c r="H548" s="86">
        <f>SUMIFS('Climate Data'!$G$7:$G$366,'Climate Data'!$A$7:$A$366,Estimator!$B$4,'Climate Data'!$B$7:$B$366,C548)</f>
        <v>0.28666666666666668</v>
      </c>
      <c r="I548" s="87">
        <f>SUMIFS('Climate Data'!$H$7:$H$366,'Climate Data'!$A$7:$A$366,Estimator!$B$4,'Climate Data'!$B$7:$B$366,C548)</f>
        <v>7.941860465116279</v>
      </c>
      <c r="J548" s="86">
        <f>SUMIFS('Wind Proxy'!$H$8:$H$19,'Wind Proxy'!$A$8:$A$19,Estimator!$B$4,'Wind Proxy'!$B$8:$B$19,C548)</f>
        <v>0</v>
      </c>
    </row>
    <row r="549" spans="1:10" ht="14.4">
      <c r="A549" s="84">
        <v>46200</v>
      </c>
      <c r="B549" s="85">
        <v>2026</v>
      </c>
      <c r="C549" s="85">
        <v>6</v>
      </c>
      <c r="D549" s="85" t="s">
        <v>68</v>
      </c>
      <c r="E549" s="85">
        <v>27</v>
      </c>
      <c r="F549" s="85">
        <v>6</v>
      </c>
      <c r="G549" s="85">
        <f>--(F549&lt;=Estimator!$B$7)</f>
        <v>0</v>
      </c>
      <c r="H549" s="86">
        <f>SUMIFS('Climate Data'!$G$7:$G$366,'Climate Data'!$A$7:$A$366,Estimator!$B$4,'Climate Data'!$B$7:$B$366,C549)</f>
        <v>0.28666666666666668</v>
      </c>
      <c r="I549" s="87">
        <f>SUMIFS('Climate Data'!$H$7:$H$366,'Climate Data'!$A$7:$A$366,Estimator!$B$4,'Climate Data'!$B$7:$B$366,C549)</f>
        <v>7.941860465116279</v>
      </c>
      <c r="J549" s="86">
        <f>SUMIFS('Wind Proxy'!$H$8:$H$19,'Wind Proxy'!$A$8:$A$19,Estimator!$B$4,'Wind Proxy'!$B$8:$B$19,C549)</f>
        <v>0</v>
      </c>
    </row>
    <row r="550" spans="1:10" ht="14.4">
      <c r="A550" s="84">
        <v>46201</v>
      </c>
      <c r="B550" s="85">
        <v>2026</v>
      </c>
      <c r="C550" s="85">
        <v>6</v>
      </c>
      <c r="D550" s="85" t="s">
        <v>68</v>
      </c>
      <c r="E550" s="85">
        <v>28</v>
      </c>
      <c r="F550" s="85">
        <v>7</v>
      </c>
      <c r="G550" s="85">
        <f>--(F550&lt;=Estimator!$B$7)</f>
        <v>0</v>
      </c>
      <c r="H550" s="86">
        <f>SUMIFS('Climate Data'!$G$7:$G$366,'Climate Data'!$A$7:$A$366,Estimator!$B$4,'Climate Data'!$B$7:$B$366,C550)</f>
        <v>0.28666666666666668</v>
      </c>
      <c r="I550" s="87">
        <f>SUMIFS('Climate Data'!$H$7:$H$366,'Climate Data'!$A$7:$A$366,Estimator!$B$4,'Climate Data'!$B$7:$B$366,C550)</f>
        <v>7.941860465116279</v>
      </c>
      <c r="J550" s="86">
        <f>SUMIFS('Wind Proxy'!$H$8:$H$19,'Wind Proxy'!$A$8:$A$19,Estimator!$B$4,'Wind Proxy'!$B$8:$B$19,C550)</f>
        <v>0</v>
      </c>
    </row>
    <row r="551" spans="1:10" ht="14.4">
      <c r="A551" s="84">
        <v>46202</v>
      </c>
      <c r="B551" s="85">
        <v>2026</v>
      </c>
      <c r="C551" s="85">
        <v>6</v>
      </c>
      <c r="D551" s="85" t="s">
        <v>68</v>
      </c>
      <c r="E551" s="85">
        <v>29</v>
      </c>
      <c r="F551" s="85">
        <v>1</v>
      </c>
      <c r="G551" s="85">
        <f>--(F551&lt;=Estimator!$B$7)</f>
        <v>1</v>
      </c>
      <c r="H551" s="86">
        <f>SUMIFS('Climate Data'!$G$7:$G$366,'Climate Data'!$A$7:$A$366,Estimator!$B$4,'Climate Data'!$B$7:$B$366,C551)</f>
        <v>0.28666666666666668</v>
      </c>
      <c r="I551" s="87">
        <f>SUMIFS('Climate Data'!$H$7:$H$366,'Climate Data'!$A$7:$A$366,Estimator!$B$4,'Climate Data'!$B$7:$B$366,C551)</f>
        <v>7.941860465116279</v>
      </c>
      <c r="J551" s="86">
        <f>SUMIFS('Wind Proxy'!$H$8:$H$19,'Wind Proxy'!$A$8:$A$19,Estimator!$B$4,'Wind Proxy'!$B$8:$B$19,C551)</f>
        <v>0</v>
      </c>
    </row>
    <row r="552" spans="1:10" ht="14.4">
      <c r="A552" s="84">
        <v>46203</v>
      </c>
      <c r="B552" s="85">
        <v>2026</v>
      </c>
      <c r="C552" s="85">
        <v>6</v>
      </c>
      <c r="D552" s="85" t="s">
        <v>68</v>
      </c>
      <c r="E552" s="85">
        <v>30</v>
      </c>
      <c r="F552" s="85">
        <v>2</v>
      </c>
      <c r="G552" s="85">
        <f>--(F552&lt;=Estimator!$B$7)</f>
        <v>1</v>
      </c>
      <c r="H552" s="86">
        <f>SUMIFS('Climate Data'!$G$7:$G$366,'Climate Data'!$A$7:$A$366,Estimator!$B$4,'Climate Data'!$B$7:$B$366,C552)</f>
        <v>0.28666666666666668</v>
      </c>
      <c r="I552" s="87">
        <f>SUMIFS('Climate Data'!$H$7:$H$366,'Climate Data'!$A$7:$A$366,Estimator!$B$4,'Climate Data'!$B$7:$B$366,C552)</f>
        <v>7.941860465116279</v>
      </c>
      <c r="J552" s="86">
        <f>SUMIFS('Wind Proxy'!$H$8:$H$19,'Wind Proxy'!$A$8:$A$19,Estimator!$B$4,'Wind Proxy'!$B$8:$B$19,C552)</f>
        <v>0</v>
      </c>
    </row>
    <row r="553" spans="1:10" ht="14.4">
      <c r="A553" s="84">
        <v>46204</v>
      </c>
      <c r="B553" s="85">
        <v>2026</v>
      </c>
      <c r="C553" s="85">
        <v>7</v>
      </c>
      <c r="D553" s="85" t="s">
        <v>69</v>
      </c>
      <c r="E553" s="85">
        <v>1</v>
      </c>
      <c r="F553" s="85">
        <v>3</v>
      </c>
      <c r="G553" s="85">
        <f>--(F553&lt;=Estimator!$B$7)</f>
        <v>1</v>
      </c>
      <c r="H553" s="86">
        <f>SUMIFS('Climate Data'!$G$7:$G$366,'Climate Data'!$A$7:$A$366,Estimator!$B$4,'Climate Data'!$B$7:$B$366,C553)</f>
        <v>0.24731182795698925</v>
      </c>
      <c r="I553" s="87">
        <f>SUMIFS('Climate Data'!$H$7:$H$366,'Climate Data'!$A$7:$A$366,Estimator!$B$4,'Climate Data'!$B$7:$B$366,C553)</f>
        <v>8.3739130434782609</v>
      </c>
      <c r="J553" s="86">
        <f>SUMIFS('Wind Proxy'!$H$8:$H$19,'Wind Proxy'!$A$8:$A$19,Estimator!$B$4,'Wind Proxy'!$B$8:$B$19,C553)</f>
        <v>0</v>
      </c>
    </row>
    <row r="554" spans="1:10" ht="14.4">
      <c r="A554" s="84">
        <v>46205</v>
      </c>
      <c r="B554" s="85">
        <v>2026</v>
      </c>
      <c r="C554" s="85">
        <v>7</v>
      </c>
      <c r="D554" s="85" t="s">
        <v>69</v>
      </c>
      <c r="E554" s="85">
        <v>2</v>
      </c>
      <c r="F554" s="85">
        <v>4</v>
      </c>
      <c r="G554" s="85">
        <f>--(F554&lt;=Estimator!$B$7)</f>
        <v>1</v>
      </c>
      <c r="H554" s="86">
        <f>SUMIFS('Climate Data'!$G$7:$G$366,'Climate Data'!$A$7:$A$366,Estimator!$B$4,'Climate Data'!$B$7:$B$366,C554)</f>
        <v>0.24731182795698925</v>
      </c>
      <c r="I554" s="87">
        <f>SUMIFS('Climate Data'!$H$7:$H$366,'Climate Data'!$A$7:$A$366,Estimator!$B$4,'Climate Data'!$B$7:$B$366,C554)</f>
        <v>8.3739130434782609</v>
      </c>
      <c r="J554" s="86">
        <f>SUMIFS('Wind Proxy'!$H$8:$H$19,'Wind Proxy'!$A$8:$A$19,Estimator!$B$4,'Wind Proxy'!$B$8:$B$19,C554)</f>
        <v>0</v>
      </c>
    </row>
    <row r="555" spans="1:10" ht="14.4">
      <c r="A555" s="84">
        <v>46206</v>
      </c>
      <c r="B555" s="85">
        <v>2026</v>
      </c>
      <c r="C555" s="85">
        <v>7</v>
      </c>
      <c r="D555" s="85" t="s">
        <v>69</v>
      </c>
      <c r="E555" s="85">
        <v>3</v>
      </c>
      <c r="F555" s="85">
        <v>5</v>
      </c>
      <c r="G555" s="85">
        <f>--(F555&lt;=Estimator!$B$7)</f>
        <v>1</v>
      </c>
      <c r="H555" s="86">
        <f>SUMIFS('Climate Data'!$G$7:$G$366,'Climate Data'!$A$7:$A$366,Estimator!$B$4,'Climate Data'!$B$7:$B$366,C555)</f>
        <v>0.24731182795698925</v>
      </c>
      <c r="I555" s="87">
        <f>SUMIFS('Climate Data'!$H$7:$H$366,'Climate Data'!$A$7:$A$366,Estimator!$B$4,'Climate Data'!$B$7:$B$366,C555)</f>
        <v>8.3739130434782609</v>
      </c>
      <c r="J555" s="86">
        <f>SUMIFS('Wind Proxy'!$H$8:$H$19,'Wind Proxy'!$A$8:$A$19,Estimator!$B$4,'Wind Proxy'!$B$8:$B$19,C555)</f>
        <v>0</v>
      </c>
    </row>
    <row r="556" spans="1:10" ht="14.4">
      <c r="A556" s="84">
        <v>46207</v>
      </c>
      <c r="B556" s="85">
        <v>2026</v>
      </c>
      <c r="C556" s="85">
        <v>7</v>
      </c>
      <c r="D556" s="85" t="s">
        <v>69</v>
      </c>
      <c r="E556" s="85">
        <v>4</v>
      </c>
      <c r="F556" s="85">
        <v>6</v>
      </c>
      <c r="G556" s="85">
        <f>--(F556&lt;=Estimator!$B$7)</f>
        <v>0</v>
      </c>
      <c r="H556" s="86">
        <f>SUMIFS('Climate Data'!$G$7:$G$366,'Climate Data'!$A$7:$A$366,Estimator!$B$4,'Climate Data'!$B$7:$B$366,C556)</f>
        <v>0.24731182795698925</v>
      </c>
      <c r="I556" s="87">
        <f>SUMIFS('Climate Data'!$H$7:$H$366,'Climate Data'!$A$7:$A$366,Estimator!$B$4,'Climate Data'!$B$7:$B$366,C556)</f>
        <v>8.3739130434782609</v>
      </c>
      <c r="J556" s="86">
        <f>SUMIFS('Wind Proxy'!$H$8:$H$19,'Wind Proxy'!$A$8:$A$19,Estimator!$B$4,'Wind Proxy'!$B$8:$B$19,C556)</f>
        <v>0</v>
      </c>
    </row>
    <row r="557" spans="1:10" ht="14.4">
      <c r="A557" s="84">
        <v>46208</v>
      </c>
      <c r="B557" s="85">
        <v>2026</v>
      </c>
      <c r="C557" s="85">
        <v>7</v>
      </c>
      <c r="D557" s="85" t="s">
        <v>69</v>
      </c>
      <c r="E557" s="85">
        <v>5</v>
      </c>
      <c r="F557" s="85">
        <v>7</v>
      </c>
      <c r="G557" s="85">
        <f>--(F557&lt;=Estimator!$B$7)</f>
        <v>0</v>
      </c>
      <c r="H557" s="86">
        <f>SUMIFS('Climate Data'!$G$7:$G$366,'Climate Data'!$A$7:$A$366,Estimator!$B$4,'Climate Data'!$B$7:$B$366,C557)</f>
        <v>0.24731182795698925</v>
      </c>
      <c r="I557" s="87">
        <f>SUMIFS('Climate Data'!$H$7:$H$366,'Climate Data'!$A$7:$A$366,Estimator!$B$4,'Climate Data'!$B$7:$B$366,C557)</f>
        <v>8.3739130434782609</v>
      </c>
      <c r="J557" s="86">
        <f>SUMIFS('Wind Proxy'!$H$8:$H$19,'Wind Proxy'!$A$8:$A$19,Estimator!$B$4,'Wind Proxy'!$B$8:$B$19,C557)</f>
        <v>0</v>
      </c>
    </row>
    <row r="558" spans="1:10" ht="14.4">
      <c r="A558" s="84">
        <v>46209</v>
      </c>
      <c r="B558" s="85">
        <v>2026</v>
      </c>
      <c r="C558" s="85">
        <v>7</v>
      </c>
      <c r="D558" s="85" t="s">
        <v>69</v>
      </c>
      <c r="E558" s="85">
        <v>6</v>
      </c>
      <c r="F558" s="85">
        <v>1</v>
      </c>
      <c r="G558" s="85">
        <f>--(F558&lt;=Estimator!$B$7)</f>
        <v>1</v>
      </c>
      <c r="H558" s="86">
        <f>SUMIFS('Climate Data'!$G$7:$G$366,'Climate Data'!$A$7:$A$366,Estimator!$B$4,'Climate Data'!$B$7:$B$366,C558)</f>
        <v>0.24731182795698925</v>
      </c>
      <c r="I558" s="87">
        <f>SUMIFS('Climate Data'!$H$7:$H$366,'Climate Data'!$A$7:$A$366,Estimator!$B$4,'Climate Data'!$B$7:$B$366,C558)</f>
        <v>8.3739130434782609</v>
      </c>
      <c r="J558" s="86">
        <f>SUMIFS('Wind Proxy'!$H$8:$H$19,'Wind Proxy'!$A$8:$A$19,Estimator!$B$4,'Wind Proxy'!$B$8:$B$19,C558)</f>
        <v>0</v>
      </c>
    </row>
    <row r="559" spans="1:10" ht="14.4">
      <c r="A559" s="84">
        <v>46210</v>
      </c>
      <c r="B559" s="85">
        <v>2026</v>
      </c>
      <c r="C559" s="85">
        <v>7</v>
      </c>
      <c r="D559" s="85" t="s">
        <v>69</v>
      </c>
      <c r="E559" s="85">
        <v>7</v>
      </c>
      <c r="F559" s="85">
        <v>2</v>
      </c>
      <c r="G559" s="85">
        <f>--(F559&lt;=Estimator!$B$7)</f>
        <v>1</v>
      </c>
      <c r="H559" s="86">
        <f>SUMIFS('Climate Data'!$G$7:$G$366,'Climate Data'!$A$7:$A$366,Estimator!$B$4,'Climate Data'!$B$7:$B$366,C559)</f>
        <v>0.24731182795698925</v>
      </c>
      <c r="I559" s="87">
        <f>SUMIFS('Climate Data'!$H$7:$H$366,'Climate Data'!$A$7:$A$366,Estimator!$B$4,'Climate Data'!$B$7:$B$366,C559)</f>
        <v>8.3739130434782609</v>
      </c>
      <c r="J559" s="86">
        <f>SUMIFS('Wind Proxy'!$H$8:$H$19,'Wind Proxy'!$A$8:$A$19,Estimator!$B$4,'Wind Proxy'!$B$8:$B$19,C559)</f>
        <v>0</v>
      </c>
    </row>
    <row r="560" spans="1:10" ht="14.4">
      <c r="A560" s="84">
        <v>46211</v>
      </c>
      <c r="B560" s="85">
        <v>2026</v>
      </c>
      <c r="C560" s="85">
        <v>7</v>
      </c>
      <c r="D560" s="85" t="s">
        <v>69</v>
      </c>
      <c r="E560" s="85">
        <v>8</v>
      </c>
      <c r="F560" s="85">
        <v>3</v>
      </c>
      <c r="G560" s="85">
        <f>--(F560&lt;=Estimator!$B$7)</f>
        <v>1</v>
      </c>
      <c r="H560" s="86">
        <f>SUMIFS('Climate Data'!$G$7:$G$366,'Climate Data'!$A$7:$A$366,Estimator!$B$4,'Climate Data'!$B$7:$B$366,C560)</f>
        <v>0.24731182795698925</v>
      </c>
      <c r="I560" s="87">
        <f>SUMIFS('Climate Data'!$H$7:$H$366,'Climate Data'!$A$7:$A$366,Estimator!$B$4,'Climate Data'!$B$7:$B$366,C560)</f>
        <v>8.3739130434782609</v>
      </c>
      <c r="J560" s="86">
        <f>SUMIFS('Wind Proxy'!$H$8:$H$19,'Wind Proxy'!$A$8:$A$19,Estimator!$B$4,'Wind Proxy'!$B$8:$B$19,C560)</f>
        <v>0</v>
      </c>
    </row>
    <row r="561" spans="1:10" ht="14.4">
      <c r="A561" s="84">
        <v>46212</v>
      </c>
      <c r="B561" s="85">
        <v>2026</v>
      </c>
      <c r="C561" s="85">
        <v>7</v>
      </c>
      <c r="D561" s="85" t="s">
        <v>69</v>
      </c>
      <c r="E561" s="85">
        <v>9</v>
      </c>
      <c r="F561" s="85">
        <v>4</v>
      </c>
      <c r="G561" s="85">
        <f>--(F561&lt;=Estimator!$B$7)</f>
        <v>1</v>
      </c>
      <c r="H561" s="86">
        <f>SUMIFS('Climate Data'!$G$7:$G$366,'Climate Data'!$A$7:$A$366,Estimator!$B$4,'Climate Data'!$B$7:$B$366,C561)</f>
        <v>0.24731182795698925</v>
      </c>
      <c r="I561" s="87">
        <f>SUMIFS('Climate Data'!$H$7:$H$366,'Climate Data'!$A$7:$A$366,Estimator!$B$4,'Climate Data'!$B$7:$B$366,C561)</f>
        <v>8.3739130434782609</v>
      </c>
      <c r="J561" s="86">
        <f>SUMIFS('Wind Proxy'!$H$8:$H$19,'Wind Proxy'!$A$8:$A$19,Estimator!$B$4,'Wind Proxy'!$B$8:$B$19,C561)</f>
        <v>0</v>
      </c>
    </row>
    <row r="562" spans="1:10" ht="14.4">
      <c r="A562" s="84">
        <v>46213</v>
      </c>
      <c r="B562" s="85">
        <v>2026</v>
      </c>
      <c r="C562" s="85">
        <v>7</v>
      </c>
      <c r="D562" s="85" t="s">
        <v>69</v>
      </c>
      <c r="E562" s="85">
        <v>10</v>
      </c>
      <c r="F562" s="85">
        <v>5</v>
      </c>
      <c r="G562" s="85">
        <f>--(F562&lt;=Estimator!$B$7)</f>
        <v>1</v>
      </c>
      <c r="H562" s="86">
        <f>SUMIFS('Climate Data'!$G$7:$G$366,'Climate Data'!$A$7:$A$366,Estimator!$B$4,'Climate Data'!$B$7:$B$366,C562)</f>
        <v>0.24731182795698925</v>
      </c>
      <c r="I562" s="87">
        <f>SUMIFS('Climate Data'!$H$7:$H$366,'Climate Data'!$A$7:$A$366,Estimator!$B$4,'Climate Data'!$B$7:$B$366,C562)</f>
        <v>8.3739130434782609</v>
      </c>
      <c r="J562" s="86">
        <f>SUMIFS('Wind Proxy'!$H$8:$H$19,'Wind Proxy'!$A$8:$A$19,Estimator!$B$4,'Wind Proxy'!$B$8:$B$19,C562)</f>
        <v>0</v>
      </c>
    </row>
    <row r="563" spans="1:10" ht="14.4">
      <c r="A563" s="84">
        <v>46214</v>
      </c>
      <c r="B563" s="85">
        <v>2026</v>
      </c>
      <c r="C563" s="85">
        <v>7</v>
      </c>
      <c r="D563" s="85" t="s">
        <v>69</v>
      </c>
      <c r="E563" s="85">
        <v>11</v>
      </c>
      <c r="F563" s="85">
        <v>6</v>
      </c>
      <c r="G563" s="85">
        <f>--(F563&lt;=Estimator!$B$7)</f>
        <v>0</v>
      </c>
      <c r="H563" s="86">
        <f>SUMIFS('Climate Data'!$G$7:$G$366,'Climate Data'!$A$7:$A$366,Estimator!$B$4,'Climate Data'!$B$7:$B$366,C563)</f>
        <v>0.24731182795698925</v>
      </c>
      <c r="I563" s="87">
        <f>SUMIFS('Climate Data'!$H$7:$H$366,'Climate Data'!$A$7:$A$366,Estimator!$B$4,'Climate Data'!$B$7:$B$366,C563)</f>
        <v>8.3739130434782609</v>
      </c>
      <c r="J563" s="86">
        <f>SUMIFS('Wind Proxy'!$H$8:$H$19,'Wind Proxy'!$A$8:$A$19,Estimator!$B$4,'Wind Proxy'!$B$8:$B$19,C563)</f>
        <v>0</v>
      </c>
    </row>
    <row r="564" spans="1:10" ht="14.4">
      <c r="A564" s="84">
        <v>46215</v>
      </c>
      <c r="B564" s="85">
        <v>2026</v>
      </c>
      <c r="C564" s="85">
        <v>7</v>
      </c>
      <c r="D564" s="85" t="s">
        <v>69</v>
      </c>
      <c r="E564" s="85">
        <v>12</v>
      </c>
      <c r="F564" s="85">
        <v>7</v>
      </c>
      <c r="G564" s="85">
        <f>--(F564&lt;=Estimator!$B$7)</f>
        <v>0</v>
      </c>
      <c r="H564" s="86">
        <f>SUMIFS('Climate Data'!$G$7:$G$366,'Climate Data'!$A$7:$A$366,Estimator!$B$4,'Climate Data'!$B$7:$B$366,C564)</f>
        <v>0.24731182795698925</v>
      </c>
      <c r="I564" s="87">
        <f>SUMIFS('Climate Data'!$H$7:$H$366,'Climate Data'!$A$7:$A$366,Estimator!$B$4,'Climate Data'!$B$7:$B$366,C564)</f>
        <v>8.3739130434782609</v>
      </c>
      <c r="J564" s="86">
        <f>SUMIFS('Wind Proxy'!$H$8:$H$19,'Wind Proxy'!$A$8:$A$19,Estimator!$B$4,'Wind Proxy'!$B$8:$B$19,C564)</f>
        <v>0</v>
      </c>
    </row>
    <row r="565" spans="1:10" ht="14.4">
      <c r="A565" s="84">
        <v>46216</v>
      </c>
      <c r="B565" s="85">
        <v>2026</v>
      </c>
      <c r="C565" s="85">
        <v>7</v>
      </c>
      <c r="D565" s="85" t="s">
        <v>69</v>
      </c>
      <c r="E565" s="85">
        <v>13</v>
      </c>
      <c r="F565" s="85">
        <v>1</v>
      </c>
      <c r="G565" s="85">
        <f>--(F565&lt;=Estimator!$B$7)</f>
        <v>1</v>
      </c>
      <c r="H565" s="86">
        <f>SUMIFS('Climate Data'!$G$7:$G$366,'Climate Data'!$A$7:$A$366,Estimator!$B$4,'Climate Data'!$B$7:$B$366,C565)</f>
        <v>0.24731182795698925</v>
      </c>
      <c r="I565" s="87">
        <f>SUMIFS('Climate Data'!$H$7:$H$366,'Climate Data'!$A$7:$A$366,Estimator!$B$4,'Climate Data'!$B$7:$B$366,C565)</f>
        <v>8.3739130434782609</v>
      </c>
      <c r="J565" s="86">
        <f>SUMIFS('Wind Proxy'!$H$8:$H$19,'Wind Proxy'!$A$8:$A$19,Estimator!$B$4,'Wind Proxy'!$B$8:$B$19,C565)</f>
        <v>0</v>
      </c>
    </row>
    <row r="566" spans="1:10" ht="14.4">
      <c r="A566" s="84">
        <v>46217</v>
      </c>
      <c r="B566" s="85">
        <v>2026</v>
      </c>
      <c r="C566" s="85">
        <v>7</v>
      </c>
      <c r="D566" s="85" t="s">
        <v>69</v>
      </c>
      <c r="E566" s="85">
        <v>14</v>
      </c>
      <c r="F566" s="85">
        <v>2</v>
      </c>
      <c r="G566" s="85">
        <f>--(F566&lt;=Estimator!$B$7)</f>
        <v>1</v>
      </c>
      <c r="H566" s="86">
        <f>SUMIFS('Climate Data'!$G$7:$G$366,'Climate Data'!$A$7:$A$366,Estimator!$B$4,'Climate Data'!$B$7:$B$366,C566)</f>
        <v>0.24731182795698925</v>
      </c>
      <c r="I566" s="87">
        <f>SUMIFS('Climate Data'!$H$7:$H$366,'Climate Data'!$A$7:$A$366,Estimator!$B$4,'Climate Data'!$B$7:$B$366,C566)</f>
        <v>8.3739130434782609</v>
      </c>
      <c r="J566" s="86">
        <f>SUMIFS('Wind Proxy'!$H$8:$H$19,'Wind Proxy'!$A$8:$A$19,Estimator!$B$4,'Wind Proxy'!$B$8:$B$19,C566)</f>
        <v>0</v>
      </c>
    </row>
    <row r="567" spans="1:10" ht="14.4">
      <c r="A567" s="84">
        <v>46218</v>
      </c>
      <c r="B567" s="85">
        <v>2026</v>
      </c>
      <c r="C567" s="85">
        <v>7</v>
      </c>
      <c r="D567" s="85" t="s">
        <v>69</v>
      </c>
      <c r="E567" s="85">
        <v>15</v>
      </c>
      <c r="F567" s="85">
        <v>3</v>
      </c>
      <c r="G567" s="85">
        <f>--(F567&lt;=Estimator!$B$7)</f>
        <v>1</v>
      </c>
      <c r="H567" s="86">
        <f>SUMIFS('Climate Data'!$G$7:$G$366,'Climate Data'!$A$7:$A$366,Estimator!$B$4,'Climate Data'!$B$7:$B$366,C567)</f>
        <v>0.24731182795698925</v>
      </c>
      <c r="I567" s="87">
        <f>SUMIFS('Climate Data'!$H$7:$H$366,'Climate Data'!$A$7:$A$366,Estimator!$B$4,'Climate Data'!$B$7:$B$366,C567)</f>
        <v>8.3739130434782609</v>
      </c>
      <c r="J567" s="86">
        <f>SUMIFS('Wind Proxy'!$H$8:$H$19,'Wind Proxy'!$A$8:$A$19,Estimator!$B$4,'Wind Proxy'!$B$8:$B$19,C567)</f>
        <v>0</v>
      </c>
    </row>
    <row r="568" spans="1:10" ht="14.4">
      <c r="A568" s="84">
        <v>46219</v>
      </c>
      <c r="B568" s="85">
        <v>2026</v>
      </c>
      <c r="C568" s="85">
        <v>7</v>
      </c>
      <c r="D568" s="85" t="s">
        <v>69</v>
      </c>
      <c r="E568" s="85">
        <v>16</v>
      </c>
      <c r="F568" s="85">
        <v>4</v>
      </c>
      <c r="G568" s="85">
        <f>--(F568&lt;=Estimator!$B$7)</f>
        <v>1</v>
      </c>
      <c r="H568" s="86">
        <f>SUMIFS('Climate Data'!$G$7:$G$366,'Climate Data'!$A$7:$A$366,Estimator!$B$4,'Climate Data'!$B$7:$B$366,C568)</f>
        <v>0.24731182795698925</v>
      </c>
      <c r="I568" s="87">
        <f>SUMIFS('Climate Data'!$H$7:$H$366,'Climate Data'!$A$7:$A$366,Estimator!$B$4,'Climate Data'!$B$7:$B$366,C568)</f>
        <v>8.3739130434782609</v>
      </c>
      <c r="J568" s="86">
        <f>SUMIFS('Wind Proxy'!$H$8:$H$19,'Wind Proxy'!$A$8:$A$19,Estimator!$B$4,'Wind Proxy'!$B$8:$B$19,C568)</f>
        <v>0</v>
      </c>
    </row>
    <row r="569" spans="1:10" ht="14.4">
      <c r="A569" s="84">
        <v>46220</v>
      </c>
      <c r="B569" s="85">
        <v>2026</v>
      </c>
      <c r="C569" s="85">
        <v>7</v>
      </c>
      <c r="D569" s="85" t="s">
        <v>69</v>
      </c>
      <c r="E569" s="85">
        <v>17</v>
      </c>
      <c r="F569" s="85">
        <v>5</v>
      </c>
      <c r="G569" s="85">
        <f>--(F569&lt;=Estimator!$B$7)</f>
        <v>1</v>
      </c>
      <c r="H569" s="86">
        <f>SUMIFS('Climate Data'!$G$7:$G$366,'Climate Data'!$A$7:$A$366,Estimator!$B$4,'Climate Data'!$B$7:$B$366,C569)</f>
        <v>0.24731182795698925</v>
      </c>
      <c r="I569" s="87">
        <f>SUMIFS('Climate Data'!$H$7:$H$366,'Climate Data'!$A$7:$A$366,Estimator!$B$4,'Climate Data'!$B$7:$B$366,C569)</f>
        <v>8.3739130434782609</v>
      </c>
      <c r="J569" s="86">
        <f>SUMIFS('Wind Proxy'!$H$8:$H$19,'Wind Proxy'!$A$8:$A$19,Estimator!$B$4,'Wind Proxy'!$B$8:$B$19,C569)</f>
        <v>0</v>
      </c>
    </row>
    <row r="570" spans="1:10" ht="14.4">
      <c r="A570" s="84">
        <v>46221</v>
      </c>
      <c r="B570" s="85">
        <v>2026</v>
      </c>
      <c r="C570" s="85">
        <v>7</v>
      </c>
      <c r="D570" s="85" t="s">
        <v>69</v>
      </c>
      <c r="E570" s="85">
        <v>18</v>
      </c>
      <c r="F570" s="85">
        <v>6</v>
      </c>
      <c r="G570" s="85">
        <f>--(F570&lt;=Estimator!$B$7)</f>
        <v>0</v>
      </c>
      <c r="H570" s="86">
        <f>SUMIFS('Climate Data'!$G$7:$G$366,'Climate Data'!$A$7:$A$366,Estimator!$B$4,'Climate Data'!$B$7:$B$366,C570)</f>
        <v>0.24731182795698925</v>
      </c>
      <c r="I570" s="87">
        <f>SUMIFS('Climate Data'!$H$7:$H$366,'Climate Data'!$A$7:$A$366,Estimator!$B$4,'Climate Data'!$B$7:$B$366,C570)</f>
        <v>8.3739130434782609</v>
      </c>
      <c r="J570" s="86">
        <f>SUMIFS('Wind Proxy'!$H$8:$H$19,'Wind Proxy'!$A$8:$A$19,Estimator!$B$4,'Wind Proxy'!$B$8:$B$19,C570)</f>
        <v>0</v>
      </c>
    </row>
    <row r="571" spans="1:10" ht="14.4">
      <c r="A571" s="84">
        <v>46222</v>
      </c>
      <c r="B571" s="85">
        <v>2026</v>
      </c>
      <c r="C571" s="85">
        <v>7</v>
      </c>
      <c r="D571" s="85" t="s">
        <v>69</v>
      </c>
      <c r="E571" s="85">
        <v>19</v>
      </c>
      <c r="F571" s="85">
        <v>7</v>
      </c>
      <c r="G571" s="85">
        <f>--(F571&lt;=Estimator!$B$7)</f>
        <v>0</v>
      </c>
      <c r="H571" s="86">
        <f>SUMIFS('Climate Data'!$G$7:$G$366,'Climate Data'!$A$7:$A$366,Estimator!$B$4,'Climate Data'!$B$7:$B$366,C571)</f>
        <v>0.24731182795698925</v>
      </c>
      <c r="I571" s="87">
        <f>SUMIFS('Climate Data'!$H$7:$H$366,'Climate Data'!$A$7:$A$366,Estimator!$B$4,'Climate Data'!$B$7:$B$366,C571)</f>
        <v>8.3739130434782609</v>
      </c>
      <c r="J571" s="86">
        <f>SUMIFS('Wind Proxy'!$H$8:$H$19,'Wind Proxy'!$A$8:$A$19,Estimator!$B$4,'Wind Proxy'!$B$8:$B$19,C571)</f>
        <v>0</v>
      </c>
    </row>
    <row r="572" spans="1:10" ht="14.4">
      <c r="A572" s="84">
        <v>46223</v>
      </c>
      <c r="B572" s="85">
        <v>2026</v>
      </c>
      <c r="C572" s="85">
        <v>7</v>
      </c>
      <c r="D572" s="85" t="s">
        <v>69</v>
      </c>
      <c r="E572" s="85">
        <v>20</v>
      </c>
      <c r="F572" s="85">
        <v>1</v>
      </c>
      <c r="G572" s="85">
        <f>--(F572&lt;=Estimator!$B$7)</f>
        <v>1</v>
      </c>
      <c r="H572" s="86">
        <f>SUMIFS('Climate Data'!$G$7:$G$366,'Climate Data'!$A$7:$A$366,Estimator!$B$4,'Climate Data'!$B$7:$B$366,C572)</f>
        <v>0.24731182795698925</v>
      </c>
      <c r="I572" s="87">
        <f>SUMIFS('Climate Data'!$H$7:$H$366,'Climate Data'!$A$7:$A$366,Estimator!$B$4,'Climate Data'!$B$7:$B$366,C572)</f>
        <v>8.3739130434782609</v>
      </c>
      <c r="J572" s="86">
        <f>SUMIFS('Wind Proxy'!$H$8:$H$19,'Wind Proxy'!$A$8:$A$19,Estimator!$B$4,'Wind Proxy'!$B$8:$B$19,C572)</f>
        <v>0</v>
      </c>
    </row>
    <row r="573" spans="1:10" ht="14.4">
      <c r="A573" s="84">
        <v>46224</v>
      </c>
      <c r="B573" s="85">
        <v>2026</v>
      </c>
      <c r="C573" s="85">
        <v>7</v>
      </c>
      <c r="D573" s="85" t="s">
        <v>69</v>
      </c>
      <c r="E573" s="85">
        <v>21</v>
      </c>
      <c r="F573" s="85">
        <v>2</v>
      </c>
      <c r="G573" s="85">
        <f>--(F573&lt;=Estimator!$B$7)</f>
        <v>1</v>
      </c>
      <c r="H573" s="86">
        <f>SUMIFS('Climate Data'!$G$7:$G$366,'Climate Data'!$A$7:$A$366,Estimator!$B$4,'Climate Data'!$B$7:$B$366,C573)</f>
        <v>0.24731182795698925</v>
      </c>
      <c r="I573" s="87">
        <f>SUMIFS('Climate Data'!$H$7:$H$366,'Climate Data'!$A$7:$A$366,Estimator!$B$4,'Climate Data'!$B$7:$B$366,C573)</f>
        <v>8.3739130434782609</v>
      </c>
      <c r="J573" s="86">
        <f>SUMIFS('Wind Proxy'!$H$8:$H$19,'Wind Proxy'!$A$8:$A$19,Estimator!$B$4,'Wind Proxy'!$B$8:$B$19,C573)</f>
        <v>0</v>
      </c>
    </row>
    <row r="574" spans="1:10" ht="14.4">
      <c r="A574" s="84">
        <v>46225</v>
      </c>
      <c r="B574" s="85">
        <v>2026</v>
      </c>
      <c r="C574" s="85">
        <v>7</v>
      </c>
      <c r="D574" s="85" t="s">
        <v>69</v>
      </c>
      <c r="E574" s="85">
        <v>22</v>
      </c>
      <c r="F574" s="85">
        <v>3</v>
      </c>
      <c r="G574" s="85">
        <f>--(F574&lt;=Estimator!$B$7)</f>
        <v>1</v>
      </c>
      <c r="H574" s="86">
        <f>SUMIFS('Climate Data'!$G$7:$G$366,'Climate Data'!$A$7:$A$366,Estimator!$B$4,'Climate Data'!$B$7:$B$366,C574)</f>
        <v>0.24731182795698925</v>
      </c>
      <c r="I574" s="87">
        <f>SUMIFS('Climate Data'!$H$7:$H$366,'Climate Data'!$A$7:$A$366,Estimator!$B$4,'Climate Data'!$B$7:$B$366,C574)</f>
        <v>8.3739130434782609</v>
      </c>
      <c r="J574" s="86">
        <f>SUMIFS('Wind Proxy'!$H$8:$H$19,'Wind Proxy'!$A$8:$A$19,Estimator!$B$4,'Wind Proxy'!$B$8:$B$19,C574)</f>
        <v>0</v>
      </c>
    </row>
    <row r="575" spans="1:10" ht="14.4">
      <c r="A575" s="84">
        <v>46226</v>
      </c>
      <c r="B575" s="85">
        <v>2026</v>
      </c>
      <c r="C575" s="85">
        <v>7</v>
      </c>
      <c r="D575" s="85" t="s">
        <v>69</v>
      </c>
      <c r="E575" s="85">
        <v>23</v>
      </c>
      <c r="F575" s="85">
        <v>4</v>
      </c>
      <c r="G575" s="85">
        <f>--(F575&lt;=Estimator!$B$7)</f>
        <v>1</v>
      </c>
      <c r="H575" s="86">
        <f>SUMIFS('Climate Data'!$G$7:$G$366,'Climate Data'!$A$7:$A$366,Estimator!$B$4,'Climate Data'!$B$7:$B$366,C575)</f>
        <v>0.24731182795698925</v>
      </c>
      <c r="I575" s="87">
        <f>SUMIFS('Climate Data'!$H$7:$H$366,'Climate Data'!$A$7:$A$366,Estimator!$B$4,'Climate Data'!$B$7:$B$366,C575)</f>
        <v>8.3739130434782609</v>
      </c>
      <c r="J575" s="86">
        <f>SUMIFS('Wind Proxy'!$H$8:$H$19,'Wind Proxy'!$A$8:$A$19,Estimator!$B$4,'Wind Proxy'!$B$8:$B$19,C575)</f>
        <v>0</v>
      </c>
    </row>
    <row r="576" spans="1:10" ht="14.4">
      <c r="A576" s="84">
        <v>46227</v>
      </c>
      <c r="B576" s="85">
        <v>2026</v>
      </c>
      <c r="C576" s="85">
        <v>7</v>
      </c>
      <c r="D576" s="85" t="s">
        <v>69</v>
      </c>
      <c r="E576" s="85">
        <v>24</v>
      </c>
      <c r="F576" s="85">
        <v>5</v>
      </c>
      <c r="G576" s="85">
        <f>--(F576&lt;=Estimator!$B$7)</f>
        <v>1</v>
      </c>
      <c r="H576" s="86">
        <f>SUMIFS('Climate Data'!$G$7:$G$366,'Climate Data'!$A$7:$A$366,Estimator!$B$4,'Climate Data'!$B$7:$B$366,C576)</f>
        <v>0.24731182795698925</v>
      </c>
      <c r="I576" s="87">
        <f>SUMIFS('Climate Data'!$H$7:$H$366,'Climate Data'!$A$7:$A$366,Estimator!$B$4,'Climate Data'!$B$7:$B$366,C576)</f>
        <v>8.3739130434782609</v>
      </c>
      <c r="J576" s="86">
        <f>SUMIFS('Wind Proxy'!$H$8:$H$19,'Wind Proxy'!$A$8:$A$19,Estimator!$B$4,'Wind Proxy'!$B$8:$B$19,C576)</f>
        <v>0</v>
      </c>
    </row>
    <row r="577" spans="1:10" ht="14.4">
      <c r="A577" s="84">
        <v>46228</v>
      </c>
      <c r="B577" s="85">
        <v>2026</v>
      </c>
      <c r="C577" s="85">
        <v>7</v>
      </c>
      <c r="D577" s="85" t="s">
        <v>69</v>
      </c>
      <c r="E577" s="85">
        <v>25</v>
      </c>
      <c r="F577" s="85">
        <v>6</v>
      </c>
      <c r="G577" s="85">
        <f>--(F577&lt;=Estimator!$B$7)</f>
        <v>0</v>
      </c>
      <c r="H577" s="86">
        <f>SUMIFS('Climate Data'!$G$7:$G$366,'Climate Data'!$A$7:$A$366,Estimator!$B$4,'Climate Data'!$B$7:$B$366,C577)</f>
        <v>0.24731182795698925</v>
      </c>
      <c r="I577" s="87">
        <f>SUMIFS('Climate Data'!$H$7:$H$366,'Climate Data'!$A$7:$A$366,Estimator!$B$4,'Climate Data'!$B$7:$B$366,C577)</f>
        <v>8.3739130434782609</v>
      </c>
      <c r="J577" s="86">
        <f>SUMIFS('Wind Proxy'!$H$8:$H$19,'Wind Proxy'!$A$8:$A$19,Estimator!$B$4,'Wind Proxy'!$B$8:$B$19,C577)</f>
        <v>0</v>
      </c>
    </row>
    <row r="578" spans="1:10" ht="14.4">
      <c r="A578" s="84">
        <v>46229</v>
      </c>
      <c r="B578" s="85">
        <v>2026</v>
      </c>
      <c r="C578" s="85">
        <v>7</v>
      </c>
      <c r="D578" s="85" t="s">
        <v>69</v>
      </c>
      <c r="E578" s="85">
        <v>26</v>
      </c>
      <c r="F578" s="85">
        <v>7</v>
      </c>
      <c r="G578" s="85">
        <f>--(F578&lt;=Estimator!$B$7)</f>
        <v>0</v>
      </c>
      <c r="H578" s="86">
        <f>SUMIFS('Climate Data'!$G$7:$G$366,'Climate Data'!$A$7:$A$366,Estimator!$B$4,'Climate Data'!$B$7:$B$366,C578)</f>
        <v>0.24731182795698925</v>
      </c>
      <c r="I578" s="87">
        <f>SUMIFS('Climate Data'!$H$7:$H$366,'Climate Data'!$A$7:$A$366,Estimator!$B$4,'Climate Data'!$B$7:$B$366,C578)</f>
        <v>8.3739130434782609</v>
      </c>
      <c r="J578" s="86">
        <f>SUMIFS('Wind Proxy'!$H$8:$H$19,'Wind Proxy'!$A$8:$A$19,Estimator!$B$4,'Wind Proxy'!$B$8:$B$19,C578)</f>
        <v>0</v>
      </c>
    </row>
    <row r="579" spans="1:10" ht="14.4">
      <c r="A579" s="84">
        <v>46230</v>
      </c>
      <c r="B579" s="85">
        <v>2026</v>
      </c>
      <c r="C579" s="85">
        <v>7</v>
      </c>
      <c r="D579" s="85" t="s">
        <v>69</v>
      </c>
      <c r="E579" s="85">
        <v>27</v>
      </c>
      <c r="F579" s="85">
        <v>1</v>
      </c>
      <c r="G579" s="85">
        <f>--(F579&lt;=Estimator!$B$7)</f>
        <v>1</v>
      </c>
      <c r="H579" s="86">
        <f>SUMIFS('Climate Data'!$G$7:$G$366,'Climate Data'!$A$7:$A$366,Estimator!$B$4,'Climate Data'!$B$7:$B$366,C579)</f>
        <v>0.24731182795698925</v>
      </c>
      <c r="I579" s="87">
        <f>SUMIFS('Climate Data'!$H$7:$H$366,'Climate Data'!$A$7:$A$366,Estimator!$B$4,'Climate Data'!$B$7:$B$366,C579)</f>
        <v>8.3739130434782609</v>
      </c>
      <c r="J579" s="86">
        <f>SUMIFS('Wind Proxy'!$H$8:$H$19,'Wind Proxy'!$A$8:$A$19,Estimator!$B$4,'Wind Proxy'!$B$8:$B$19,C579)</f>
        <v>0</v>
      </c>
    </row>
    <row r="580" spans="1:10" ht="14.4">
      <c r="A580" s="84">
        <v>46231</v>
      </c>
      <c r="B580" s="85">
        <v>2026</v>
      </c>
      <c r="C580" s="85">
        <v>7</v>
      </c>
      <c r="D580" s="85" t="s">
        <v>69</v>
      </c>
      <c r="E580" s="85">
        <v>28</v>
      </c>
      <c r="F580" s="85">
        <v>2</v>
      </c>
      <c r="G580" s="85">
        <f>--(F580&lt;=Estimator!$B$7)</f>
        <v>1</v>
      </c>
      <c r="H580" s="86">
        <f>SUMIFS('Climate Data'!$G$7:$G$366,'Climate Data'!$A$7:$A$366,Estimator!$B$4,'Climate Data'!$B$7:$B$366,C580)</f>
        <v>0.24731182795698925</v>
      </c>
      <c r="I580" s="87">
        <f>SUMIFS('Climate Data'!$H$7:$H$366,'Climate Data'!$A$7:$A$366,Estimator!$B$4,'Climate Data'!$B$7:$B$366,C580)</f>
        <v>8.3739130434782609</v>
      </c>
      <c r="J580" s="86">
        <f>SUMIFS('Wind Proxy'!$H$8:$H$19,'Wind Proxy'!$A$8:$A$19,Estimator!$B$4,'Wind Proxy'!$B$8:$B$19,C580)</f>
        <v>0</v>
      </c>
    </row>
    <row r="581" spans="1:10" ht="14.4">
      <c r="A581" s="84">
        <v>46232</v>
      </c>
      <c r="B581" s="85">
        <v>2026</v>
      </c>
      <c r="C581" s="85">
        <v>7</v>
      </c>
      <c r="D581" s="85" t="s">
        <v>69</v>
      </c>
      <c r="E581" s="85">
        <v>29</v>
      </c>
      <c r="F581" s="85">
        <v>3</v>
      </c>
      <c r="G581" s="85">
        <f>--(F581&lt;=Estimator!$B$7)</f>
        <v>1</v>
      </c>
      <c r="H581" s="86">
        <f>SUMIFS('Climate Data'!$G$7:$G$366,'Climate Data'!$A$7:$A$366,Estimator!$B$4,'Climate Data'!$B$7:$B$366,C581)</f>
        <v>0.24731182795698925</v>
      </c>
      <c r="I581" s="87">
        <f>SUMIFS('Climate Data'!$H$7:$H$366,'Climate Data'!$A$7:$A$366,Estimator!$B$4,'Climate Data'!$B$7:$B$366,C581)</f>
        <v>8.3739130434782609</v>
      </c>
      <c r="J581" s="86">
        <f>SUMIFS('Wind Proxy'!$H$8:$H$19,'Wind Proxy'!$A$8:$A$19,Estimator!$B$4,'Wind Proxy'!$B$8:$B$19,C581)</f>
        <v>0</v>
      </c>
    </row>
    <row r="582" spans="1:10" ht="14.4">
      <c r="A582" s="84">
        <v>46233</v>
      </c>
      <c r="B582" s="85">
        <v>2026</v>
      </c>
      <c r="C582" s="85">
        <v>7</v>
      </c>
      <c r="D582" s="85" t="s">
        <v>69</v>
      </c>
      <c r="E582" s="85">
        <v>30</v>
      </c>
      <c r="F582" s="85">
        <v>4</v>
      </c>
      <c r="G582" s="85">
        <f>--(F582&lt;=Estimator!$B$7)</f>
        <v>1</v>
      </c>
      <c r="H582" s="86">
        <f>SUMIFS('Climate Data'!$G$7:$G$366,'Climate Data'!$A$7:$A$366,Estimator!$B$4,'Climate Data'!$B$7:$B$366,C582)</f>
        <v>0.24731182795698925</v>
      </c>
      <c r="I582" s="87">
        <f>SUMIFS('Climate Data'!$H$7:$H$366,'Climate Data'!$A$7:$A$366,Estimator!$B$4,'Climate Data'!$B$7:$B$366,C582)</f>
        <v>8.3739130434782609</v>
      </c>
      <c r="J582" s="86">
        <f>SUMIFS('Wind Proxy'!$H$8:$H$19,'Wind Proxy'!$A$8:$A$19,Estimator!$B$4,'Wind Proxy'!$B$8:$B$19,C582)</f>
        <v>0</v>
      </c>
    </row>
    <row r="583" spans="1:10" ht="14.4">
      <c r="A583" s="84">
        <v>46234</v>
      </c>
      <c r="B583" s="85">
        <v>2026</v>
      </c>
      <c r="C583" s="85">
        <v>7</v>
      </c>
      <c r="D583" s="85" t="s">
        <v>69</v>
      </c>
      <c r="E583" s="85">
        <v>31</v>
      </c>
      <c r="F583" s="85">
        <v>5</v>
      </c>
      <c r="G583" s="85">
        <f>--(F583&lt;=Estimator!$B$7)</f>
        <v>1</v>
      </c>
      <c r="H583" s="86">
        <f>SUMIFS('Climate Data'!$G$7:$G$366,'Climate Data'!$A$7:$A$366,Estimator!$B$4,'Climate Data'!$B$7:$B$366,C583)</f>
        <v>0.24731182795698925</v>
      </c>
      <c r="I583" s="87">
        <f>SUMIFS('Climate Data'!$H$7:$H$366,'Climate Data'!$A$7:$A$366,Estimator!$B$4,'Climate Data'!$B$7:$B$366,C583)</f>
        <v>8.3739130434782609</v>
      </c>
      <c r="J583" s="86">
        <f>SUMIFS('Wind Proxy'!$H$8:$H$19,'Wind Proxy'!$A$8:$A$19,Estimator!$B$4,'Wind Proxy'!$B$8:$B$19,C583)</f>
        <v>0</v>
      </c>
    </row>
    <row r="584" spans="1:10" ht="14.4">
      <c r="A584" s="84">
        <v>46235</v>
      </c>
      <c r="B584" s="85">
        <v>2026</v>
      </c>
      <c r="C584" s="85">
        <v>8</v>
      </c>
      <c r="D584" s="85" t="s">
        <v>71</v>
      </c>
      <c r="E584" s="85">
        <v>1</v>
      </c>
      <c r="F584" s="85">
        <v>6</v>
      </c>
      <c r="G584" s="85">
        <f>--(F584&lt;=Estimator!$B$7)</f>
        <v>0</v>
      </c>
      <c r="H584" s="86">
        <f>SUMIFS('Climate Data'!$G$7:$G$366,'Climate Data'!$A$7:$A$366,Estimator!$B$4,'Climate Data'!$B$7:$B$366,C584)</f>
        <v>0.23548387096774193</v>
      </c>
      <c r="I584" s="87">
        <f>SUMIFS('Climate Data'!$H$7:$H$366,'Climate Data'!$A$7:$A$366,Estimator!$B$4,'Climate Data'!$B$7:$B$366,C584)</f>
        <v>7.9589041095890414</v>
      </c>
      <c r="J584" s="86">
        <f>SUMIFS('Wind Proxy'!$H$8:$H$19,'Wind Proxy'!$A$8:$A$19,Estimator!$B$4,'Wind Proxy'!$B$8:$B$19,C584)</f>
        <v>0</v>
      </c>
    </row>
    <row r="585" spans="1:10" ht="14.4">
      <c r="A585" s="84">
        <v>46236</v>
      </c>
      <c r="B585" s="85">
        <v>2026</v>
      </c>
      <c r="C585" s="85">
        <v>8</v>
      </c>
      <c r="D585" s="85" t="s">
        <v>71</v>
      </c>
      <c r="E585" s="85">
        <v>2</v>
      </c>
      <c r="F585" s="85">
        <v>7</v>
      </c>
      <c r="G585" s="85">
        <f>--(F585&lt;=Estimator!$B$7)</f>
        <v>0</v>
      </c>
      <c r="H585" s="86">
        <f>SUMIFS('Climate Data'!$G$7:$G$366,'Climate Data'!$A$7:$A$366,Estimator!$B$4,'Climate Data'!$B$7:$B$366,C585)</f>
        <v>0.23548387096774193</v>
      </c>
      <c r="I585" s="87">
        <f>SUMIFS('Climate Data'!$H$7:$H$366,'Climate Data'!$A$7:$A$366,Estimator!$B$4,'Climate Data'!$B$7:$B$366,C585)</f>
        <v>7.9589041095890414</v>
      </c>
      <c r="J585" s="86">
        <f>SUMIFS('Wind Proxy'!$H$8:$H$19,'Wind Proxy'!$A$8:$A$19,Estimator!$B$4,'Wind Proxy'!$B$8:$B$19,C585)</f>
        <v>0</v>
      </c>
    </row>
    <row r="586" spans="1:10" ht="14.4">
      <c r="A586" s="84">
        <v>46237</v>
      </c>
      <c r="B586" s="85">
        <v>2026</v>
      </c>
      <c r="C586" s="85">
        <v>8</v>
      </c>
      <c r="D586" s="85" t="s">
        <v>71</v>
      </c>
      <c r="E586" s="85">
        <v>3</v>
      </c>
      <c r="F586" s="85">
        <v>1</v>
      </c>
      <c r="G586" s="85">
        <f>--(F586&lt;=Estimator!$B$7)</f>
        <v>1</v>
      </c>
      <c r="H586" s="86">
        <f>SUMIFS('Climate Data'!$G$7:$G$366,'Climate Data'!$A$7:$A$366,Estimator!$B$4,'Climate Data'!$B$7:$B$366,C586)</f>
        <v>0.23548387096774193</v>
      </c>
      <c r="I586" s="87">
        <f>SUMIFS('Climate Data'!$H$7:$H$366,'Climate Data'!$A$7:$A$366,Estimator!$B$4,'Climate Data'!$B$7:$B$366,C586)</f>
        <v>7.9589041095890414</v>
      </c>
      <c r="J586" s="86">
        <f>SUMIFS('Wind Proxy'!$H$8:$H$19,'Wind Proxy'!$A$8:$A$19,Estimator!$B$4,'Wind Proxy'!$B$8:$B$19,C586)</f>
        <v>0</v>
      </c>
    </row>
    <row r="587" spans="1:10" ht="14.4">
      <c r="A587" s="84">
        <v>46238</v>
      </c>
      <c r="B587" s="85">
        <v>2026</v>
      </c>
      <c r="C587" s="85">
        <v>8</v>
      </c>
      <c r="D587" s="85" t="s">
        <v>71</v>
      </c>
      <c r="E587" s="85">
        <v>4</v>
      </c>
      <c r="F587" s="85">
        <v>2</v>
      </c>
      <c r="G587" s="85">
        <f>--(F587&lt;=Estimator!$B$7)</f>
        <v>1</v>
      </c>
      <c r="H587" s="86">
        <f>SUMIFS('Climate Data'!$G$7:$G$366,'Climate Data'!$A$7:$A$366,Estimator!$B$4,'Climate Data'!$B$7:$B$366,C587)</f>
        <v>0.23548387096774193</v>
      </c>
      <c r="I587" s="87">
        <f>SUMIFS('Climate Data'!$H$7:$H$366,'Climate Data'!$A$7:$A$366,Estimator!$B$4,'Climate Data'!$B$7:$B$366,C587)</f>
        <v>7.9589041095890414</v>
      </c>
      <c r="J587" s="86">
        <f>SUMIFS('Wind Proxy'!$H$8:$H$19,'Wind Proxy'!$A$8:$A$19,Estimator!$B$4,'Wind Proxy'!$B$8:$B$19,C587)</f>
        <v>0</v>
      </c>
    </row>
    <row r="588" spans="1:10" ht="14.4">
      <c r="A588" s="84">
        <v>46239</v>
      </c>
      <c r="B588" s="85">
        <v>2026</v>
      </c>
      <c r="C588" s="85">
        <v>8</v>
      </c>
      <c r="D588" s="85" t="s">
        <v>71</v>
      </c>
      <c r="E588" s="85">
        <v>5</v>
      </c>
      <c r="F588" s="85">
        <v>3</v>
      </c>
      <c r="G588" s="85">
        <f>--(F588&lt;=Estimator!$B$7)</f>
        <v>1</v>
      </c>
      <c r="H588" s="86">
        <f>SUMIFS('Climate Data'!$G$7:$G$366,'Climate Data'!$A$7:$A$366,Estimator!$B$4,'Climate Data'!$B$7:$B$366,C588)</f>
        <v>0.23548387096774193</v>
      </c>
      <c r="I588" s="87">
        <f>SUMIFS('Climate Data'!$H$7:$H$366,'Climate Data'!$A$7:$A$366,Estimator!$B$4,'Climate Data'!$B$7:$B$366,C588)</f>
        <v>7.9589041095890414</v>
      </c>
      <c r="J588" s="86">
        <f>SUMIFS('Wind Proxy'!$H$8:$H$19,'Wind Proxy'!$A$8:$A$19,Estimator!$B$4,'Wind Proxy'!$B$8:$B$19,C588)</f>
        <v>0</v>
      </c>
    </row>
    <row r="589" spans="1:10" ht="14.4">
      <c r="A589" s="84">
        <v>46240</v>
      </c>
      <c r="B589" s="85">
        <v>2026</v>
      </c>
      <c r="C589" s="85">
        <v>8</v>
      </c>
      <c r="D589" s="85" t="s">
        <v>71</v>
      </c>
      <c r="E589" s="85">
        <v>6</v>
      </c>
      <c r="F589" s="85">
        <v>4</v>
      </c>
      <c r="G589" s="85">
        <f>--(F589&lt;=Estimator!$B$7)</f>
        <v>1</v>
      </c>
      <c r="H589" s="86">
        <f>SUMIFS('Climate Data'!$G$7:$G$366,'Climate Data'!$A$7:$A$366,Estimator!$B$4,'Climate Data'!$B$7:$B$366,C589)</f>
        <v>0.23548387096774193</v>
      </c>
      <c r="I589" s="87">
        <f>SUMIFS('Climate Data'!$H$7:$H$366,'Climate Data'!$A$7:$A$366,Estimator!$B$4,'Climate Data'!$B$7:$B$366,C589)</f>
        <v>7.9589041095890414</v>
      </c>
      <c r="J589" s="86">
        <f>SUMIFS('Wind Proxy'!$H$8:$H$19,'Wind Proxy'!$A$8:$A$19,Estimator!$B$4,'Wind Proxy'!$B$8:$B$19,C589)</f>
        <v>0</v>
      </c>
    </row>
    <row r="590" spans="1:10" ht="14.4">
      <c r="A590" s="84">
        <v>46241</v>
      </c>
      <c r="B590" s="85">
        <v>2026</v>
      </c>
      <c r="C590" s="85">
        <v>8</v>
      </c>
      <c r="D590" s="85" t="s">
        <v>71</v>
      </c>
      <c r="E590" s="85">
        <v>7</v>
      </c>
      <c r="F590" s="85">
        <v>5</v>
      </c>
      <c r="G590" s="85">
        <f>--(F590&lt;=Estimator!$B$7)</f>
        <v>1</v>
      </c>
      <c r="H590" s="86">
        <f>SUMIFS('Climate Data'!$G$7:$G$366,'Climate Data'!$A$7:$A$366,Estimator!$B$4,'Climate Data'!$B$7:$B$366,C590)</f>
        <v>0.23548387096774193</v>
      </c>
      <c r="I590" s="87">
        <f>SUMIFS('Climate Data'!$H$7:$H$366,'Climate Data'!$A$7:$A$366,Estimator!$B$4,'Climate Data'!$B$7:$B$366,C590)</f>
        <v>7.9589041095890414</v>
      </c>
      <c r="J590" s="86">
        <f>SUMIFS('Wind Proxy'!$H$8:$H$19,'Wind Proxy'!$A$8:$A$19,Estimator!$B$4,'Wind Proxy'!$B$8:$B$19,C590)</f>
        <v>0</v>
      </c>
    </row>
    <row r="591" spans="1:10" ht="14.4">
      <c r="A591" s="84">
        <v>46242</v>
      </c>
      <c r="B591" s="85">
        <v>2026</v>
      </c>
      <c r="C591" s="85">
        <v>8</v>
      </c>
      <c r="D591" s="85" t="s">
        <v>71</v>
      </c>
      <c r="E591" s="85">
        <v>8</v>
      </c>
      <c r="F591" s="85">
        <v>6</v>
      </c>
      <c r="G591" s="85">
        <f>--(F591&lt;=Estimator!$B$7)</f>
        <v>0</v>
      </c>
      <c r="H591" s="86">
        <f>SUMIFS('Climate Data'!$G$7:$G$366,'Climate Data'!$A$7:$A$366,Estimator!$B$4,'Climate Data'!$B$7:$B$366,C591)</f>
        <v>0.23548387096774193</v>
      </c>
      <c r="I591" s="87">
        <f>SUMIFS('Climate Data'!$H$7:$H$366,'Climate Data'!$A$7:$A$366,Estimator!$B$4,'Climate Data'!$B$7:$B$366,C591)</f>
        <v>7.9589041095890414</v>
      </c>
      <c r="J591" s="86">
        <f>SUMIFS('Wind Proxy'!$H$8:$H$19,'Wind Proxy'!$A$8:$A$19,Estimator!$B$4,'Wind Proxy'!$B$8:$B$19,C591)</f>
        <v>0</v>
      </c>
    </row>
    <row r="592" spans="1:10" ht="14.4">
      <c r="A592" s="84">
        <v>46243</v>
      </c>
      <c r="B592" s="85">
        <v>2026</v>
      </c>
      <c r="C592" s="85">
        <v>8</v>
      </c>
      <c r="D592" s="85" t="s">
        <v>71</v>
      </c>
      <c r="E592" s="85">
        <v>9</v>
      </c>
      <c r="F592" s="85">
        <v>7</v>
      </c>
      <c r="G592" s="85">
        <f>--(F592&lt;=Estimator!$B$7)</f>
        <v>0</v>
      </c>
      <c r="H592" s="86">
        <f>SUMIFS('Climate Data'!$G$7:$G$366,'Climate Data'!$A$7:$A$366,Estimator!$B$4,'Climate Data'!$B$7:$B$366,C592)</f>
        <v>0.23548387096774193</v>
      </c>
      <c r="I592" s="87">
        <f>SUMIFS('Climate Data'!$H$7:$H$366,'Climate Data'!$A$7:$A$366,Estimator!$B$4,'Climate Data'!$B$7:$B$366,C592)</f>
        <v>7.9589041095890414</v>
      </c>
      <c r="J592" s="86">
        <f>SUMIFS('Wind Proxy'!$H$8:$H$19,'Wind Proxy'!$A$8:$A$19,Estimator!$B$4,'Wind Proxy'!$B$8:$B$19,C592)</f>
        <v>0</v>
      </c>
    </row>
    <row r="593" spans="1:10" ht="14.4">
      <c r="A593" s="84">
        <v>46244</v>
      </c>
      <c r="B593" s="85">
        <v>2026</v>
      </c>
      <c r="C593" s="85">
        <v>8</v>
      </c>
      <c r="D593" s="85" t="s">
        <v>71</v>
      </c>
      <c r="E593" s="85">
        <v>10</v>
      </c>
      <c r="F593" s="85">
        <v>1</v>
      </c>
      <c r="G593" s="85">
        <f>--(F593&lt;=Estimator!$B$7)</f>
        <v>1</v>
      </c>
      <c r="H593" s="86">
        <f>SUMIFS('Climate Data'!$G$7:$G$366,'Climate Data'!$A$7:$A$366,Estimator!$B$4,'Climate Data'!$B$7:$B$366,C593)</f>
        <v>0.23548387096774193</v>
      </c>
      <c r="I593" s="87">
        <f>SUMIFS('Climate Data'!$H$7:$H$366,'Climate Data'!$A$7:$A$366,Estimator!$B$4,'Climate Data'!$B$7:$B$366,C593)</f>
        <v>7.9589041095890414</v>
      </c>
      <c r="J593" s="86">
        <f>SUMIFS('Wind Proxy'!$H$8:$H$19,'Wind Proxy'!$A$8:$A$19,Estimator!$B$4,'Wind Proxy'!$B$8:$B$19,C593)</f>
        <v>0</v>
      </c>
    </row>
    <row r="594" spans="1:10" ht="14.4">
      <c r="A594" s="84">
        <v>46245</v>
      </c>
      <c r="B594" s="85">
        <v>2026</v>
      </c>
      <c r="C594" s="85">
        <v>8</v>
      </c>
      <c r="D594" s="85" t="s">
        <v>71</v>
      </c>
      <c r="E594" s="85">
        <v>11</v>
      </c>
      <c r="F594" s="85">
        <v>2</v>
      </c>
      <c r="G594" s="85">
        <f>--(F594&lt;=Estimator!$B$7)</f>
        <v>1</v>
      </c>
      <c r="H594" s="86">
        <f>SUMIFS('Climate Data'!$G$7:$G$366,'Climate Data'!$A$7:$A$366,Estimator!$B$4,'Climate Data'!$B$7:$B$366,C594)</f>
        <v>0.23548387096774193</v>
      </c>
      <c r="I594" s="87">
        <f>SUMIFS('Climate Data'!$H$7:$H$366,'Climate Data'!$A$7:$A$366,Estimator!$B$4,'Climate Data'!$B$7:$B$366,C594)</f>
        <v>7.9589041095890414</v>
      </c>
      <c r="J594" s="86">
        <f>SUMIFS('Wind Proxy'!$H$8:$H$19,'Wind Proxy'!$A$8:$A$19,Estimator!$B$4,'Wind Proxy'!$B$8:$B$19,C594)</f>
        <v>0</v>
      </c>
    </row>
    <row r="595" spans="1:10" ht="14.4">
      <c r="A595" s="84">
        <v>46246</v>
      </c>
      <c r="B595" s="85">
        <v>2026</v>
      </c>
      <c r="C595" s="85">
        <v>8</v>
      </c>
      <c r="D595" s="85" t="s">
        <v>71</v>
      </c>
      <c r="E595" s="85">
        <v>12</v>
      </c>
      <c r="F595" s="85">
        <v>3</v>
      </c>
      <c r="G595" s="85">
        <f>--(F595&lt;=Estimator!$B$7)</f>
        <v>1</v>
      </c>
      <c r="H595" s="86">
        <f>SUMIFS('Climate Data'!$G$7:$G$366,'Climate Data'!$A$7:$A$366,Estimator!$B$4,'Climate Data'!$B$7:$B$366,C595)</f>
        <v>0.23548387096774193</v>
      </c>
      <c r="I595" s="87">
        <f>SUMIFS('Climate Data'!$H$7:$H$366,'Climate Data'!$A$7:$A$366,Estimator!$B$4,'Climate Data'!$B$7:$B$366,C595)</f>
        <v>7.9589041095890414</v>
      </c>
      <c r="J595" s="86">
        <f>SUMIFS('Wind Proxy'!$H$8:$H$19,'Wind Proxy'!$A$8:$A$19,Estimator!$B$4,'Wind Proxy'!$B$8:$B$19,C595)</f>
        <v>0</v>
      </c>
    </row>
    <row r="596" spans="1:10" ht="14.4">
      <c r="A596" s="84">
        <v>46247</v>
      </c>
      <c r="B596" s="85">
        <v>2026</v>
      </c>
      <c r="C596" s="85">
        <v>8</v>
      </c>
      <c r="D596" s="85" t="s">
        <v>71</v>
      </c>
      <c r="E596" s="85">
        <v>13</v>
      </c>
      <c r="F596" s="85">
        <v>4</v>
      </c>
      <c r="G596" s="85">
        <f>--(F596&lt;=Estimator!$B$7)</f>
        <v>1</v>
      </c>
      <c r="H596" s="86">
        <f>SUMIFS('Climate Data'!$G$7:$G$366,'Climate Data'!$A$7:$A$366,Estimator!$B$4,'Climate Data'!$B$7:$B$366,C596)</f>
        <v>0.23548387096774193</v>
      </c>
      <c r="I596" s="87">
        <f>SUMIFS('Climate Data'!$H$7:$H$366,'Climate Data'!$A$7:$A$366,Estimator!$B$4,'Climate Data'!$B$7:$B$366,C596)</f>
        <v>7.9589041095890414</v>
      </c>
      <c r="J596" s="86">
        <f>SUMIFS('Wind Proxy'!$H$8:$H$19,'Wind Proxy'!$A$8:$A$19,Estimator!$B$4,'Wind Proxy'!$B$8:$B$19,C596)</f>
        <v>0</v>
      </c>
    </row>
    <row r="597" spans="1:10" ht="14.4">
      <c r="A597" s="84">
        <v>46248</v>
      </c>
      <c r="B597" s="85">
        <v>2026</v>
      </c>
      <c r="C597" s="85">
        <v>8</v>
      </c>
      <c r="D597" s="85" t="s">
        <v>71</v>
      </c>
      <c r="E597" s="85">
        <v>14</v>
      </c>
      <c r="F597" s="85">
        <v>5</v>
      </c>
      <c r="G597" s="85">
        <f>--(F597&lt;=Estimator!$B$7)</f>
        <v>1</v>
      </c>
      <c r="H597" s="86">
        <f>SUMIFS('Climate Data'!$G$7:$G$366,'Climate Data'!$A$7:$A$366,Estimator!$B$4,'Climate Data'!$B$7:$B$366,C597)</f>
        <v>0.23548387096774193</v>
      </c>
      <c r="I597" s="87">
        <f>SUMIFS('Climate Data'!$H$7:$H$366,'Climate Data'!$A$7:$A$366,Estimator!$B$4,'Climate Data'!$B$7:$B$366,C597)</f>
        <v>7.9589041095890414</v>
      </c>
      <c r="J597" s="86">
        <f>SUMIFS('Wind Proxy'!$H$8:$H$19,'Wind Proxy'!$A$8:$A$19,Estimator!$B$4,'Wind Proxy'!$B$8:$B$19,C597)</f>
        <v>0</v>
      </c>
    </row>
    <row r="598" spans="1:10" ht="14.4">
      <c r="A598" s="84">
        <v>46249</v>
      </c>
      <c r="B598" s="85">
        <v>2026</v>
      </c>
      <c r="C598" s="85">
        <v>8</v>
      </c>
      <c r="D598" s="85" t="s">
        <v>71</v>
      </c>
      <c r="E598" s="85">
        <v>15</v>
      </c>
      <c r="F598" s="85">
        <v>6</v>
      </c>
      <c r="G598" s="85">
        <f>--(F598&lt;=Estimator!$B$7)</f>
        <v>0</v>
      </c>
      <c r="H598" s="86">
        <f>SUMIFS('Climate Data'!$G$7:$G$366,'Climate Data'!$A$7:$A$366,Estimator!$B$4,'Climate Data'!$B$7:$B$366,C598)</f>
        <v>0.23548387096774193</v>
      </c>
      <c r="I598" s="87">
        <f>SUMIFS('Climate Data'!$H$7:$H$366,'Climate Data'!$A$7:$A$366,Estimator!$B$4,'Climate Data'!$B$7:$B$366,C598)</f>
        <v>7.9589041095890414</v>
      </c>
      <c r="J598" s="86">
        <f>SUMIFS('Wind Proxy'!$H$8:$H$19,'Wind Proxy'!$A$8:$A$19,Estimator!$B$4,'Wind Proxy'!$B$8:$B$19,C598)</f>
        <v>0</v>
      </c>
    </row>
    <row r="599" spans="1:10" ht="14.4">
      <c r="A599" s="84">
        <v>46250</v>
      </c>
      <c r="B599" s="85">
        <v>2026</v>
      </c>
      <c r="C599" s="85">
        <v>8</v>
      </c>
      <c r="D599" s="85" t="s">
        <v>71</v>
      </c>
      <c r="E599" s="85">
        <v>16</v>
      </c>
      <c r="F599" s="85">
        <v>7</v>
      </c>
      <c r="G599" s="85">
        <f>--(F599&lt;=Estimator!$B$7)</f>
        <v>0</v>
      </c>
      <c r="H599" s="86">
        <f>SUMIFS('Climate Data'!$G$7:$G$366,'Climate Data'!$A$7:$A$366,Estimator!$B$4,'Climate Data'!$B$7:$B$366,C599)</f>
        <v>0.23548387096774193</v>
      </c>
      <c r="I599" s="87">
        <f>SUMIFS('Climate Data'!$H$7:$H$366,'Climate Data'!$A$7:$A$366,Estimator!$B$4,'Climate Data'!$B$7:$B$366,C599)</f>
        <v>7.9589041095890414</v>
      </c>
      <c r="J599" s="86">
        <f>SUMIFS('Wind Proxy'!$H$8:$H$19,'Wind Proxy'!$A$8:$A$19,Estimator!$B$4,'Wind Proxy'!$B$8:$B$19,C599)</f>
        <v>0</v>
      </c>
    </row>
    <row r="600" spans="1:10" ht="14.4">
      <c r="A600" s="84">
        <v>46251</v>
      </c>
      <c r="B600" s="85">
        <v>2026</v>
      </c>
      <c r="C600" s="85">
        <v>8</v>
      </c>
      <c r="D600" s="85" t="s">
        <v>71</v>
      </c>
      <c r="E600" s="85">
        <v>17</v>
      </c>
      <c r="F600" s="85">
        <v>1</v>
      </c>
      <c r="G600" s="85">
        <f>--(F600&lt;=Estimator!$B$7)</f>
        <v>1</v>
      </c>
      <c r="H600" s="86">
        <f>SUMIFS('Climate Data'!$G$7:$G$366,'Climate Data'!$A$7:$A$366,Estimator!$B$4,'Climate Data'!$B$7:$B$366,C600)</f>
        <v>0.23548387096774193</v>
      </c>
      <c r="I600" s="87">
        <f>SUMIFS('Climate Data'!$H$7:$H$366,'Climate Data'!$A$7:$A$366,Estimator!$B$4,'Climate Data'!$B$7:$B$366,C600)</f>
        <v>7.9589041095890414</v>
      </c>
      <c r="J600" s="86">
        <f>SUMIFS('Wind Proxy'!$H$8:$H$19,'Wind Proxy'!$A$8:$A$19,Estimator!$B$4,'Wind Proxy'!$B$8:$B$19,C600)</f>
        <v>0</v>
      </c>
    </row>
    <row r="601" spans="1:10" ht="14.4">
      <c r="A601" s="84">
        <v>46252</v>
      </c>
      <c r="B601" s="85">
        <v>2026</v>
      </c>
      <c r="C601" s="85">
        <v>8</v>
      </c>
      <c r="D601" s="85" t="s">
        <v>71</v>
      </c>
      <c r="E601" s="85">
        <v>18</v>
      </c>
      <c r="F601" s="85">
        <v>2</v>
      </c>
      <c r="G601" s="85">
        <f>--(F601&lt;=Estimator!$B$7)</f>
        <v>1</v>
      </c>
      <c r="H601" s="86">
        <f>SUMIFS('Climate Data'!$G$7:$G$366,'Climate Data'!$A$7:$A$366,Estimator!$B$4,'Climate Data'!$B$7:$B$366,C601)</f>
        <v>0.23548387096774193</v>
      </c>
      <c r="I601" s="87">
        <f>SUMIFS('Climate Data'!$H$7:$H$366,'Climate Data'!$A$7:$A$366,Estimator!$B$4,'Climate Data'!$B$7:$B$366,C601)</f>
        <v>7.9589041095890414</v>
      </c>
      <c r="J601" s="86">
        <f>SUMIFS('Wind Proxy'!$H$8:$H$19,'Wind Proxy'!$A$8:$A$19,Estimator!$B$4,'Wind Proxy'!$B$8:$B$19,C601)</f>
        <v>0</v>
      </c>
    </row>
    <row r="602" spans="1:10" ht="14.4">
      <c r="A602" s="84">
        <v>46253</v>
      </c>
      <c r="B602" s="85">
        <v>2026</v>
      </c>
      <c r="C602" s="85">
        <v>8</v>
      </c>
      <c r="D602" s="85" t="s">
        <v>71</v>
      </c>
      <c r="E602" s="85">
        <v>19</v>
      </c>
      <c r="F602" s="85">
        <v>3</v>
      </c>
      <c r="G602" s="85">
        <f>--(F602&lt;=Estimator!$B$7)</f>
        <v>1</v>
      </c>
      <c r="H602" s="86">
        <f>SUMIFS('Climate Data'!$G$7:$G$366,'Climate Data'!$A$7:$A$366,Estimator!$B$4,'Climate Data'!$B$7:$B$366,C602)</f>
        <v>0.23548387096774193</v>
      </c>
      <c r="I602" s="87">
        <f>SUMIFS('Climate Data'!$H$7:$H$366,'Climate Data'!$A$7:$A$366,Estimator!$B$4,'Climate Data'!$B$7:$B$366,C602)</f>
        <v>7.9589041095890414</v>
      </c>
      <c r="J602" s="86">
        <f>SUMIFS('Wind Proxy'!$H$8:$H$19,'Wind Proxy'!$A$8:$A$19,Estimator!$B$4,'Wind Proxy'!$B$8:$B$19,C602)</f>
        <v>0</v>
      </c>
    </row>
    <row r="603" spans="1:10" ht="14.4">
      <c r="A603" s="84">
        <v>46254</v>
      </c>
      <c r="B603" s="85">
        <v>2026</v>
      </c>
      <c r="C603" s="85">
        <v>8</v>
      </c>
      <c r="D603" s="85" t="s">
        <v>71</v>
      </c>
      <c r="E603" s="85">
        <v>20</v>
      </c>
      <c r="F603" s="85">
        <v>4</v>
      </c>
      <c r="G603" s="85">
        <f>--(F603&lt;=Estimator!$B$7)</f>
        <v>1</v>
      </c>
      <c r="H603" s="86">
        <f>SUMIFS('Climate Data'!$G$7:$G$366,'Climate Data'!$A$7:$A$366,Estimator!$B$4,'Climate Data'!$B$7:$B$366,C603)</f>
        <v>0.23548387096774193</v>
      </c>
      <c r="I603" s="87">
        <f>SUMIFS('Climate Data'!$H$7:$H$366,'Climate Data'!$A$7:$A$366,Estimator!$B$4,'Climate Data'!$B$7:$B$366,C603)</f>
        <v>7.9589041095890414</v>
      </c>
      <c r="J603" s="86">
        <f>SUMIFS('Wind Proxy'!$H$8:$H$19,'Wind Proxy'!$A$8:$A$19,Estimator!$B$4,'Wind Proxy'!$B$8:$B$19,C603)</f>
        <v>0</v>
      </c>
    </row>
    <row r="604" spans="1:10" ht="14.4">
      <c r="A604" s="84">
        <v>46255</v>
      </c>
      <c r="B604" s="85">
        <v>2026</v>
      </c>
      <c r="C604" s="85">
        <v>8</v>
      </c>
      <c r="D604" s="85" t="s">
        <v>71</v>
      </c>
      <c r="E604" s="85">
        <v>21</v>
      </c>
      <c r="F604" s="85">
        <v>5</v>
      </c>
      <c r="G604" s="85">
        <f>--(F604&lt;=Estimator!$B$7)</f>
        <v>1</v>
      </c>
      <c r="H604" s="86">
        <f>SUMIFS('Climate Data'!$G$7:$G$366,'Climate Data'!$A$7:$A$366,Estimator!$B$4,'Climate Data'!$B$7:$B$366,C604)</f>
        <v>0.23548387096774193</v>
      </c>
      <c r="I604" s="87">
        <f>SUMIFS('Climate Data'!$H$7:$H$366,'Climate Data'!$A$7:$A$366,Estimator!$B$4,'Climate Data'!$B$7:$B$366,C604)</f>
        <v>7.9589041095890414</v>
      </c>
      <c r="J604" s="86">
        <f>SUMIFS('Wind Proxy'!$H$8:$H$19,'Wind Proxy'!$A$8:$A$19,Estimator!$B$4,'Wind Proxy'!$B$8:$B$19,C604)</f>
        <v>0</v>
      </c>
    </row>
    <row r="605" spans="1:10" ht="14.4">
      <c r="A605" s="84">
        <v>46256</v>
      </c>
      <c r="B605" s="85">
        <v>2026</v>
      </c>
      <c r="C605" s="85">
        <v>8</v>
      </c>
      <c r="D605" s="85" t="s">
        <v>71</v>
      </c>
      <c r="E605" s="85">
        <v>22</v>
      </c>
      <c r="F605" s="85">
        <v>6</v>
      </c>
      <c r="G605" s="85">
        <f>--(F605&lt;=Estimator!$B$7)</f>
        <v>0</v>
      </c>
      <c r="H605" s="86">
        <f>SUMIFS('Climate Data'!$G$7:$G$366,'Climate Data'!$A$7:$A$366,Estimator!$B$4,'Climate Data'!$B$7:$B$366,C605)</f>
        <v>0.23548387096774193</v>
      </c>
      <c r="I605" s="87">
        <f>SUMIFS('Climate Data'!$H$7:$H$366,'Climate Data'!$A$7:$A$366,Estimator!$B$4,'Climate Data'!$B$7:$B$366,C605)</f>
        <v>7.9589041095890414</v>
      </c>
      <c r="J605" s="86">
        <f>SUMIFS('Wind Proxy'!$H$8:$H$19,'Wind Proxy'!$A$8:$A$19,Estimator!$B$4,'Wind Proxy'!$B$8:$B$19,C605)</f>
        <v>0</v>
      </c>
    </row>
    <row r="606" spans="1:10" ht="14.4">
      <c r="A606" s="84">
        <v>46257</v>
      </c>
      <c r="B606" s="85">
        <v>2026</v>
      </c>
      <c r="C606" s="85">
        <v>8</v>
      </c>
      <c r="D606" s="85" t="s">
        <v>71</v>
      </c>
      <c r="E606" s="85">
        <v>23</v>
      </c>
      <c r="F606" s="85">
        <v>7</v>
      </c>
      <c r="G606" s="85">
        <f>--(F606&lt;=Estimator!$B$7)</f>
        <v>0</v>
      </c>
      <c r="H606" s="86">
        <f>SUMIFS('Climate Data'!$G$7:$G$366,'Climate Data'!$A$7:$A$366,Estimator!$B$4,'Climate Data'!$B$7:$B$366,C606)</f>
        <v>0.23548387096774193</v>
      </c>
      <c r="I606" s="87">
        <f>SUMIFS('Climate Data'!$H$7:$H$366,'Climate Data'!$A$7:$A$366,Estimator!$B$4,'Climate Data'!$B$7:$B$366,C606)</f>
        <v>7.9589041095890414</v>
      </c>
      <c r="J606" s="86">
        <f>SUMIFS('Wind Proxy'!$H$8:$H$19,'Wind Proxy'!$A$8:$A$19,Estimator!$B$4,'Wind Proxy'!$B$8:$B$19,C606)</f>
        <v>0</v>
      </c>
    </row>
    <row r="607" spans="1:10" ht="14.4">
      <c r="A607" s="84">
        <v>46258</v>
      </c>
      <c r="B607" s="85">
        <v>2026</v>
      </c>
      <c r="C607" s="85">
        <v>8</v>
      </c>
      <c r="D607" s="85" t="s">
        <v>71</v>
      </c>
      <c r="E607" s="85">
        <v>24</v>
      </c>
      <c r="F607" s="85">
        <v>1</v>
      </c>
      <c r="G607" s="85">
        <f>--(F607&lt;=Estimator!$B$7)</f>
        <v>1</v>
      </c>
      <c r="H607" s="86">
        <f>SUMIFS('Climate Data'!$G$7:$G$366,'Climate Data'!$A$7:$A$366,Estimator!$B$4,'Climate Data'!$B$7:$B$366,C607)</f>
        <v>0.23548387096774193</v>
      </c>
      <c r="I607" s="87">
        <f>SUMIFS('Climate Data'!$H$7:$H$366,'Climate Data'!$A$7:$A$366,Estimator!$B$4,'Climate Data'!$B$7:$B$366,C607)</f>
        <v>7.9589041095890414</v>
      </c>
      <c r="J607" s="86">
        <f>SUMIFS('Wind Proxy'!$H$8:$H$19,'Wind Proxy'!$A$8:$A$19,Estimator!$B$4,'Wind Proxy'!$B$8:$B$19,C607)</f>
        <v>0</v>
      </c>
    </row>
    <row r="608" spans="1:10" ht="14.4">
      <c r="A608" s="84">
        <v>46259</v>
      </c>
      <c r="B608" s="85">
        <v>2026</v>
      </c>
      <c r="C608" s="85">
        <v>8</v>
      </c>
      <c r="D608" s="85" t="s">
        <v>71</v>
      </c>
      <c r="E608" s="85">
        <v>25</v>
      </c>
      <c r="F608" s="85">
        <v>2</v>
      </c>
      <c r="G608" s="85">
        <f>--(F608&lt;=Estimator!$B$7)</f>
        <v>1</v>
      </c>
      <c r="H608" s="86">
        <f>SUMIFS('Climate Data'!$G$7:$G$366,'Climate Data'!$A$7:$A$366,Estimator!$B$4,'Climate Data'!$B$7:$B$366,C608)</f>
        <v>0.23548387096774193</v>
      </c>
      <c r="I608" s="87">
        <f>SUMIFS('Climate Data'!$H$7:$H$366,'Climate Data'!$A$7:$A$366,Estimator!$B$4,'Climate Data'!$B$7:$B$366,C608)</f>
        <v>7.9589041095890414</v>
      </c>
      <c r="J608" s="86">
        <f>SUMIFS('Wind Proxy'!$H$8:$H$19,'Wind Proxy'!$A$8:$A$19,Estimator!$B$4,'Wind Proxy'!$B$8:$B$19,C608)</f>
        <v>0</v>
      </c>
    </row>
    <row r="609" spans="1:10" ht="14.4">
      <c r="A609" s="84">
        <v>46260</v>
      </c>
      <c r="B609" s="85">
        <v>2026</v>
      </c>
      <c r="C609" s="85">
        <v>8</v>
      </c>
      <c r="D609" s="85" t="s">
        <v>71</v>
      </c>
      <c r="E609" s="85">
        <v>26</v>
      </c>
      <c r="F609" s="85">
        <v>3</v>
      </c>
      <c r="G609" s="85">
        <f>--(F609&lt;=Estimator!$B$7)</f>
        <v>1</v>
      </c>
      <c r="H609" s="86">
        <f>SUMIFS('Climate Data'!$G$7:$G$366,'Climate Data'!$A$7:$A$366,Estimator!$B$4,'Climate Data'!$B$7:$B$366,C609)</f>
        <v>0.23548387096774193</v>
      </c>
      <c r="I609" s="87">
        <f>SUMIFS('Climate Data'!$H$7:$H$366,'Climate Data'!$A$7:$A$366,Estimator!$B$4,'Climate Data'!$B$7:$B$366,C609)</f>
        <v>7.9589041095890414</v>
      </c>
      <c r="J609" s="86">
        <f>SUMIFS('Wind Proxy'!$H$8:$H$19,'Wind Proxy'!$A$8:$A$19,Estimator!$B$4,'Wind Proxy'!$B$8:$B$19,C609)</f>
        <v>0</v>
      </c>
    </row>
    <row r="610" spans="1:10" ht="14.4">
      <c r="A610" s="84">
        <v>46261</v>
      </c>
      <c r="B610" s="85">
        <v>2026</v>
      </c>
      <c r="C610" s="85">
        <v>8</v>
      </c>
      <c r="D610" s="85" t="s">
        <v>71</v>
      </c>
      <c r="E610" s="85">
        <v>27</v>
      </c>
      <c r="F610" s="85">
        <v>4</v>
      </c>
      <c r="G610" s="85">
        <f>--(F610&lt;=Estimator!$B$7)</f>
        <v>1</v>
      </c>
      <c r="H610" s="86">
        <f>SUMIFS('Climate Data'!$G$7:$G$366,'Climate Data'!$A$7:$A$366,Estimator!$B$4,'Climate Data'!$B$7:$B$366,C610)</f>
        <v>0.23548387096774193</v>
      </c>
      <c r="I610" s="87">
        <f>SUMIFS('Climate Data'!$H$7:$H$366,'Climate Data'!$A$7:$A$366,Estimator!$B$4,'Climate Data'!$B$7:$B$366,C610)</f>
        <v>7.9589041095890414</v>
      </c>
      <c r="J610" s="86">
        <f>SUMIFS('Wind Proxy'!$H$8:$H$19,'Wind Proxy'!$A$8:$A$19,Estimator!$B$4,'Wind Proxy'!$B$8:$B$19,C610)</f>
        <v>0</v>
      </c>
    </row>
    <row r="611" spans="1:10" ht="14.4">
      <c r="A611" s="84">
        <v>46262</v>
      </c>
      <c r="B611" s="85">
        <v>2026</v>
      </c>
      <c r="C611" s="85">
        <v>8</v>
      </c>
      <c r="D611" s="85" t="s">
        <v>71</v>
      </c>
      <c r="E611" s="85">
        <v>28</v>
      </c>
      <c r="F611" s="85">
        <v>5</v>
      </c>
      <c r="G611" s="85">
        <f>--(F611&lt;=Estimator!$B$7)</f>
        <v>1</v>
      </c>
      <c r="H611" s="86">
        <f>SUMIFS('Climate Data'!$G$7:$G$366,'Climate Data'!$A$7:$A$366,Estimator!$B$4,'Climate Data'!$B$7:$B$366,C611)</f>
        <v>0.23548387096774193</v>
      </c>
      <c r="I611" s="87">
        <f>SUMIFS('Climate Data'!$H$7:$H$366,'Climate Data'!$A$7:$A$366,Estimator!$B$4,'Climate Data'!$B$7:$B$366,C611)</f>
        <v>7.9589041095890414</v>
      </c>
      <c r="J611" s="86">
        <f>SUMIFS('Wind Proxy'!$H$8:$H$19,'Wind Proxy'!$A$8:$A$19,Estimator!$B$4,'Wind Proxy'!$B$8:$B$19,C611)</f>
        <v>0</v>
      </c>
    </row>
    <row r="612" spans="1:10" ht="14.4">
      <c r="A612" s="84">
        <v>46263</v>
      </c>
      <c r="B612" s="85">
        <v>2026</v>
      </c>
      <c r="C612" s="85">
        <v>8</v>
      </c>
      <c r="D612" s="85" t="s">
        <v>71</v>
      </c>
      <c r="E612" s="85">
        <v>29</v>
      </c>
      <c r="F612" s="85">
        <v>6</v>
      </c>
      <c r="G612" s="85">
        <f>--(F612&lt;=Estimator!$B$7)</f>
        <v>0</v>
      </c>
      <c r="H612" s="86">
        <f>SUMIFS('Climate Data'!$G$7:$G$366,'Climate Data'!$A$7:$A$366,Estimator!$B$4,'Climate Data'!$B$7:$B$366,C612)</f>
        <v>0.23548387096774193</v>
      </c>
      <c r="I612" s="87">
        <f>SUMIFS('Climate Data'!$H$7:$H$366,'Climate Data'!$A$7:$A$366,Estimator!$B$4,'Climate Data'!$B$7:$B$366,C612)</f>
        <v>7.9589041095890414</v>
      </c>
      <c r="J612" s="86">
        <f>SUMIFS('Wind Proxy'!$H$8:$H$19,'Wind Proxy'!$A$8:$A$19,Estimator!$B$4,'Wind Proxy'!$B$8:$B$19,C612)</f>
        <v>0</v>
      </c>
    </row>
    <row r="613" spans="1:10" ht="14.4">
      <c r="A613" s="84">
        <v>46264</v>
      </c>
      <c r="B613" s="85">
        <v>2026</v>
      </c>
      <c r="C613" s="85">
        <v>8</v>
      </c>
      <c r="D613" s="85" t="s">
        <v>71</v>
      </c>
      <c r="E613" s="85">
        <v>30</v>
      </c>
      <c r="F613" s="85">
        <v>7</v>
      </c>
      <c r="G613" s="85">
        <f>--(F613&lt;=Estimator!$B$7)</f>
        <v>0</v>
      </c>
      <c r="H613" s="86">
        <f>SUMIFS('Climate Data'!$G$7:$G$366,'Climate Data'!$A$7:$A$366,Estimator!$B$4,'Climate Data'!$B$7:$B$366,C613)</f>
        <v>0.23548387096774193</v>
      </c>
      <c r="I613" s="87">
        <f>SUMIFS('Climate Data'!$H$7:$H$366,'Climate Data'!$A$7:$A$366,Estimator!$B$4,'Climate Data'!$B$7:$B$366,C613)</f>
        <v>7.9589041095890414</v>
      </c>
      <c r="J613" s="86">
        <f>SUMIFS('Wind Proxy'!$H$8:$H$19,'Wind Proxy'!$A$8:$A$19,Estimator!$B$4,'Wind Proxy'!$B$8:$B$19,C613)</f>
        <v>0</v>
      </c>
    </row>
    <row r="614" spans="1:10" ht="14.4">
      <c r="A614" s="84">
        <v>46265</v>
      </c>
      <c r="B614" s="85">
        <v>2026</v>
      </c>
      <c r="C614" s="85">
        <v>8</v>
      </c>
      <c r="D614" s="85" t="s">
        <v>71</v>
      </c>
      <c r="E614" s="85">
        <v>31</v>
      </c>
      <c r="F614" s="85">
        <v>1</v>
      </c>
      <c r="G614" s="85">
        <f>--(F614&lt;=Estimator!$B$7)</f>
        <v>1</v>
      </c>
      <c r="H614" s="86">
        <f>SUMIFS('Climate Data'!$G$7:$G$366,'Climate Data'!$A$7:$A$366,Estimator!$B$4,'Climate Data'!$B$7:$B$366,C614)</f>
        <v>0.23548387096774193</v>
      </c>
      <c r="I614" s="87">
        <f>SUMIFS('Climate Data'!$H$7:$H$366,'Climate Data'!$A$7:$A$366,Estimator!$B$4,'Climate Data'!$B$7:$B$366,C614)</f>
        <v>7.9589041095890414</v>
      </c>
      <c r="J614" s="86">
        <f>SUMIFS('Wind Proxy'!$H$8:$H$19,'Wind Proxy'!$A$8:$A$19,Estimator!$B$4,'Wind Proxy'!$B$8:$B$19,C614)</f>
        <v>0</v>
      </c>
    </row>
    <row r="615" spans="1:10" ht="14.4">
      <c r="A615" s="84">
        <v>46266</v>
      </c>
      <c r="B615" s="85">
        <v>2026</v>
      </c>
      <c r="C615" s="85">
        <v>9</v>
      </c>
      <c r="D615" s="85" t="s">
        <v>73</v>
      </c>
      <c r="E615" s="85">
        <v>1</v>
      </c>
      <c r="F615" s="85">
        <v>2</v>
      </c>
      <c r="G615" s="85">
        <f>--(F615&lt;=Estimator!$B$7)</f>
        <v>1</v>
      </c>
      <c r="H615" s="86">
        <f>SUMIFS('Climate Data'!$G$7:$G$366,'Climate Data'!$A$7:$A$366,Estimator!$B$4,'Climate Data'!$B$7:$B$366,C615)</f>
        <v>0.20666666666666667</v>
      </c>
      <c r="I615" s="87">
        <f>SUMIFS('Climate Data'!$H$7:$H$366,'Climate Data'!$A$7:$A$366,Estimator!$B$4,'Climate Data'!$B$7:$B$366,C615)</f>
        <v>6.806451612903226</v>
      </c>
      <c r="J615" s="86">
        <f>SUMIFS('Wind Proxy'!$H$8:$H$19,'Wind Proxy'!$A$8:$A$19,Estimator!$B$4,'Wind Proxy'!$B$8:$B$19,C615)</f>
        <v>0</v>
      </c>
    </row>
    <row r="616" spans="1:10" ht="14.4">
      <c r="A616" s="84">
        <v>46267</v>
      </c>
      <c r="B616" s="85">
        <v>2026</v>
      </c>
      <c r="C616" s="85">
        <v>9</v>
      </c>
      <c r="D616" s="85" t="s">
        <v>73</v>
      </c>
      <c r="E616" s="85">
        <v>2</v>
      </c>
      <c r="F616" s="85">
        <v>3</v>
      </c>
      <c r="G616" s="85">
        <f>--(F616&lt;=Estimator!$B$7)</f>
        <v>1</v>
      </c>
      <c r="H616" s="86">
        <f>SUMIFS('Climate Data'!$G$7:$G$366,'Climate Data'!$A$7:$A$366,Estimator!$B$4,'Climate Data'!$B$7:$B$366,C616)</f>
        <v>0.20666666666666667</v>
      </c>
      <c r="I616" s="87">
        <f>SUMIFS('Climate Data'!$H$7:$H$366,'Climate Data'!$A$7:$A$366,Estimator!$B$4,'Climate Data'!$B$7:$B$366,C616)</f>
        <v>6.806451612903226</v>
      </c>
      <c r="J616" s="86">
        <f>SUMIFS('Wind Proxy'!$H$8:$H$19,'Wind Proxy'!$A$8:$A$19,Estimator!$B$4,'Wind Proxy'!$B$8:$B$19,C616)</f>
        <v>0</v>
      </c>
    </row>
    <row r="617" spans="1:10" ht="14.4">
      <c r="A617" s="84">
        <v>46268</v>
      </c>
      <c r="B617" s="85">
        <v>2026</v>
      </c>
      <c r="C617" s="85">
        <v>9</v>
      </c>
      <c r="D617" s="85" t="s">
        <v>73</v>
      </c>
      <c r="E617" s="85">
        <v>3</v>
      </c>
      <c r="F617" s="85">
        <v>4</v>
      </c>
      <c r="G617" s="85">
        <f>--(F617&lt;=Estimator!$B$7)</f>
        <v>1</v>
      </c>
      <c r="H617" s="86">
        <f>SUMIFS('Climate Data'!$G$7:$G$366,'Climate Data'!$A$7:$A$366,Estimator!$B$4,'Climate Data'!$B$7:$B$366,C617)</f>
        <v>0.20666666666666667</v>
      </c>
      <c r="I617" s="87">
        <f>SUMIFS('Climate Data'!$H$7:$H$366,'Climate Data'!$A$7:$A$366,Estimator!$B$4,'Climate Data'!$B$7:$B$366,C617)</f>
        <v>6.806451612903226</v>
      </c>
      <c r="J617" s="86">
        <f>SUMIFS('Wind Proxy'!$H$8:$H$19,'Wind Proxy'!$A$8:$A$19,Estimator!$B$4,'Wind Proxy'!$B$8:$B$19,C617)</f>
        <v>0</v>
      </c>
    </row>
    <row r="618" spans="1:10" ht="14.4">
      <c r="A618" s="84">
        <v>46269</v>
      </c>
      <c r="B618" s="85">
        <v>2026</v>
      </c>
      <c r="C618" s="85">
        <v>9</v>
      </c>
      <c r="D618" s="85" t="s">
        <v>73</v>
      </c>
      <c r="E618" s="85">
        <v>4</v>
      </c>
      <c r="F618" s="85">
        <v>5</v>
      </c>
      <c r="G618" s="85">
        <f>--(F618&lt;=Estimator!$B$7)</f>
        <v>1</v>
      </c>
      <c r="H618" s="86">
        <f>SUMIFS('Climate Data'!$G$7:$G$366,'Climate Data'!$A$7:$A$366,Estimator!$B$4,'Climate Data'!$B$7:$B$366,C618)</f>
        <v>0.20666666666666667</v>
      </c>
      <c r="I618" s="87">
        <f>SUMIFS('Climate Data'!$H$7:$H$366,'Climate Data'!$A$7:$A$366,Estimator!$B$4,'Climate Data'!$B$7:$B$366,C618)</f>
        <v>6.806451612903226</v>
      </c>
      <c r="J618" s="86">
        <f>SUMIFS('Wind Proxy'!$H$8:$H$19,'Wind Proxy'!$A$8:$A$19,Estimator!$B$4,'Wind Proxy'!$B$8:$B$19,C618)</f>
        <v>0</v>
      </c>
    </row>
    <row r="619" spans="1:10" ht="14.4">
      <c r="A619" s="84">
        <v>46270</v>
      </c>
      <c r="B619" s="85">
        <v>2026</v>
      </c>
      <c r="C619" s="85">
        <v>9</v>
      </c>
      <c r="D619" s="85" t="s">
        <v>73</v>
      </c>
      <c r="E619" s="85">
        <v>5</v>
      </c>
      <c r="F619" s="85">
        <v>6</v>
      </c>
      <c r="G619" s="85">
        <f>--(F619&lt;=Estimator!$B$7)</f>
        <v>0</v>
      </c>
      <c r="H619" s="86">
        <f>SUMIFS('Climate Data'!$G$7:$G$366,'Climate Data'!$A$7:$A$366,Estimator!$B$4,'Climate Data'!$B$7:$B$366,C619)</f>
        <v>0.20666666666666667</v>
      </c>
      <c r="I619" s="87">
        <f>SUMIFS('Climate Data'!$H$7:$H$366,'Climate Data'!$A$7:$A$366,Estimator!$B$4,'Climate Data'!$B$7:$B$366,C619)</f>
        <v>6.806451612903226</v>
      </c>
      <c r="J619" s="86">
        <f>SUMIFS('Wind Proxy'!$H$8:$H$19,'Wind Proxy'!$A$8:$A$19,Estimator!$B$4,'Wind Proxy'!$B$8:$B$19,C619)</f>
        <v>0</v>
      </c>
    </row>
    <row r="620" spans="1:10" ht="14.4">
      <c r="A620" s="84">
        <v>46271</v>
      </c>
      <c r="B620" s="85">
        <v>2026</v>
      </c>
      <c r="C620" s="85">
        <v>9</v>
      </c>
      <c r="D620" s="85" t="s">
        <v>73</v>
      </c>
      <c r="E620" s="85">
        <v>6</v>
      </c>
      <c r="F620" s="85">
        <v>7</v>
      </c>
      <c r="G620" s="85">
        <f>--(F620&lt;=Estimator!$B$7)</f>
        <v>0</v>
      </c>
      <c r="H620" s="86">
        <f>SUMIFS('Climate Data'!$G$7:$G$366,'Climate Data'!$A$7:$A$366,Estimator!$B$4,'Climate Data'!$B$7:$B$366,C620)</f>
        <v>0.20666666666666667</v>
      </c>
      <c r="I620" s="87">
        <f>SUMIFS('Climate Data'!$H$7:$H$366,'Climate Data'!$A$7:$A$366,Estimator!$B$4,'Climate Data'!$B$7:$B$366,C620)</f>
        <v>6.806451612903226</v>
      </c>
      <c r="J620" s="86">
        <f>SUMIFS('Wind Proxy'!$H$8:$H$19,'Wind Proxy'!$A$8:$A$19,Estimator!$B$4,'Wind Proxy'!$B$8:$B$19,C620)</f>
        <v>0</v>
      </c>
    </row>
    <row r="621" spans="1:10" ht="14.4">
      <c r="A621" s="84">
        <v>46272</v>
      </c>
      <c r="B621" s="85">
        <v>2026</v>
      </c>
      <c r="C621" s="85">
        <v>9</v>
      </c>
      <c r="D621" s="85" t="s">
        <v>73</v>
      </c>
      <c r="E621" s="85">
        <v>7</v>
      </c>
      <c r="F621" s="85">
        <v>1</v>
      </c>
      <c r="G621" s="85">
        <f>--(F621&lt;=Estimator!$B$7)</f>
        <v>1</v>
      </c>
      <c r="H621" s="86">
        <f>SUMIFS('Climate Data'!$G$7:$G$366,'Climate Data'!$A$7:$A$366,Estimator!$B$4,'Climate Data'!$B$7:$B$366,C621)</f>
        <v>0.20666666666666667</v>
      </c>
      <c r="I621" s="87">
        <f>SUMIFS('Climate Data'!$H$7:$H$366,'Climate Data'!$A$7:$A$366,Estimator!$B$4,'Climate Data'!$B$7:$B$366,C621)</f>
        <v>6.806451612903226</v>
      </c>
      <c r="J621" s="86">
        <f>SUMIFS('Wind Proxy'!$H$8:$H$19,'Wind Proxy'!$A$8:$A$19,Estimator!$B$4,'Wind Proxy'!$B$8:$B$19,C621)</f>
        <v>0</v>
      </c>
    </row>
    <row r="622" spans="1:10" ht="14.4">
      <c r="A622" s="84">
        <v>46273</v>
      </c>
      <c r="B622" s="85">
        <v>2026</v>
      </c>
      <c r="C622" s="85">
        <v>9</v>
      </c>
      <c r="D622" s="85" t="s">
        <v>73</v>
      </c>
      <c r="E622" s="85">
        <v>8</v>
      </c>
      <c r="F622" s="85">
        <v>2</v>
      </c>
      <c r="G622" s="85">
        <f>--(F622&lt;=Estimator!$B$7)</f>
        <v>1</v>
      </c>
      <c r="H622" s="86">
        <f>SUMIFS('Climate Data'!$G$7:$G$366,'Climate Data'!$A$7:$A$366,Estimator!$B$4,'Climate Data'!$B$7:$B$366,C622)</f>
        <v>0.20666666666666667</v>
      </c>
      <c r="I622" s="87">
        <f>SUMIFS('Climate Data'!$H$7:$H$366,'Climate Data'!$A$7:$A$366,Estimator!$B$4,'Climate Data'!$B$7:$B$366,C622)</f>
        <v>6.806451612903226</v>
      </c>
      <c r="J622" s="86">
        <f>SUMIFS('Wind Proxy'!$H$8:$H$19,'Wind Proxy'!$A$8:$A$19,Estimator!$B$4,'Wind Proxy'!$B$8:$B$19,C622)</f>
        <v>0</v>
      </c>
    </row>
    <row r="623" spans="1:10" ht="14.4">
      <c r="A623" s="84">
        <v>46274</v>
      </c>
      <c r="B623" s="85">
        <v>2026</v>
      </c>
      <c r="C623" s="85">
        <v>9</v>
      </c>
      <c r="D623" s="85" t="s">
        <v>73</v>
      </c>
      <c r="E623" s="85">
        <v>9</v>
      </c>
      <c r="F623" s="85">
        <v>3</v>
      </c>
      <c r="G623" s="85">
        <f>--(F623&lt;=Estimator!$B$7)</f>
        <v>1</v>
      </c>
      <c r="H623" s="86">
        <f>SUMIFS('Climate Data'!$G$7:$G$366,'Climate Data'!$A$7:$A$366,Estimator!$B$4,'Climate Data'!$B$7:$B$366,C623)</f>
        <v>0.20666666666666667</v>
      </c>
      <c r="I623" s="87">
        <f>SUMIFS('Climate Data'!$H$7:$H$366,'Climate Data'!$A$7:$A$366,Estimator!$B$4,'Climate Data'!$B$7:$B$366,C623)</f>
        <v>6.806451612903226</v>
      </c>
      <c r="J623" s="86">
        <f>SUMIFS('Wind Proxy'!$H$8:$H$19,'Wind Proxy'!$A$8:$A$19,Estimator!$B$4,'Wind Proxy'!$B$8:$B$19,C623)</f>
        <v>0</v>
      </c>
    </row>
    <row r="624" spans="1:10" ht="14.4">
      <c r="A624" s="84">
        <v>46275</v>
      </c>
      <c r="B624" s="85">
        <v>2026</v>
      </c>
      <c r="C624" s="85">
        <v>9</v>
      </c>
      <c r="D624" s="85" t="s">
        <v>73</v>
      </c>
      <c r="E624" s="85">
        <v>10</v>
      </c>
      <c r="F624" s="85">
        <v>4</v>
      </c>
      <c r="G624" s="85">
        <f>--(F624&lt;=Estimator!$B$7)</f>
        <v>1</v>
      </c>
      <c r="H624" s="86">
        <f>SUMIFS('Climate Data'!$G$7:$G$366,'Climate Data'!$A$7:$A$366,Estimator!$B$4,'Climate Data'!$B$7:$B$366,C624)</f>
        <v>0.20666666666666667</v>
      </c>
      <c r="I624" s="87">
        <f>SUMIFS('Climate Data'!$H$7:$H$366,'Climate Data'!$A$7:$A$366,Estimator!$B$4,'Climate Data'!$B$7:$B$366,C624)</f>
        <v>6.806451612903226</v>
      </c>
      <c r="J624" s="86">
        <f>SUMIFS('Wind Proxy'!$H$8:$H$19,'Wind Proxy'!$A$8:$A$19,Estimator!$B$4,'Wind Proxy'!$B$8:$B$19,C624)</f>
        <v>0</v>
      </c>
    </row>
    <row r="625" spans="1:10" ht="14.4">
      <c r="A625" s="84">
        <v>46276</v>
      </c>
      <c r="B625" s="85">
        <v>2026</v>
      </c>
      <c r="C625" s="85">
        <v>9</v>
      </c>
      <c r="D625" s="85" t="s">
        <v>73</v>
      </c>
      <c r="E625" s="85">
        <v>11</v>
      </c>
      <c r="F625" s="85">
        <v>5</v>
      </c>
      <c r="G625" s="85">
        <f>--(F625&lt;=Estimator!$B$7)</f>
        <v>1</v>
      </c>
      <c r="H625" s="86">
        <f>SUMIFS('Climate Data'!$G$7:$G$366,'Climate Data'!$A$7:$A$366,Estimator!$B$4,'Climate Data'!$B$7:$B$366,C625)</f>
        <v>0.20666666666666667</v>
      </c>
      <c r="I625" s="87">
        <f>SUMIFS('Climate Data'!$H$7:$H$366,'Climate Data'!$A$7:$A$366,Estimator!$B$4,'Climate Data'!$B$7:$B$366,C625)</f>
        <v>6.806451612903226</v>
      </c>
      <c r="J625" s="86">
        <f>SUMIFS('Wind Proxy'!$H$8:$H$19,'Wind Proxy'!$A$8:$A$19,Estimator!$B$4,'Wind Proxy'!$B$8:$B$19,C625)</f>
        <v>0</v>
      </c>
    </row>
    <row r="626" spans="1:10" ht="14.4">
      <c r="A626" s="84">
        <v>46277</v>
      </c>
      <c r="B626" s="85">
        <v>2026</v>
      </c>
      <c r="C626" s="85">
        <v>9</v>
      </c>
      <c r="D626" s="85" t="s">
        <v>73</v>
      </c>
      <c r="E626" s="85">
        <v>12</v>
      </c>
      <c r="F626" s="85">
        <v>6</v>
      </c>
      <c r="G626" s="85">
        <f>--(F626&lt;=Estimator!$B$7)</f>
        <v>0</v>
      </c>
      <c r="H626" s="86">
        <f>SUMIFS('Climate Data'!$G$7:$G$366,'Climate Data'!$A$7:$A$366,Estimator!$B$4,'Climate Data'!$B$7:$B$366,C626)</f>
        <v>0.20666666666666667</v>
      </c>
      <c r="I626" s="87">
        <f>SUMIFS('Climate Data'!$H$7:$H$366,'Climate Data'!$A$7:$A$366,Estimator!$B$4,'Climate Data'!$B$7:$B$366,C626)</f>
        <v>6.806451612903226</v>
      </c>
      <c r="J626" s="86">
        <f>SUMIFS('Wind Proxy'!$H$8:$H$19,'Wind Proxy'!$A$8:$A$19,Estimator!$B$4,'Wind Proxy'!$B$8:$B$19,C626)</f>
        <v>0</v>
      </c>
    </row>
    <row r="627" spans="1:10" ht="14.4">
      <c r="A627" s="84">
        <v>46278</v>
      </c>
      <c r="B627" s="85">
        <v>2026</v>
      </c>
      <c r="C627" s="85">
        <v>9</v>
      </c>
      <c r="D627" s="85" t="s">
        <v>73</v>
      </c>
      <c r="E627" s="85">
        <v>13</v>
      </c>
      <c r="F627" s="85">
        <v>7</v>
      </c>
      <c r="G627" s="85">
        <f>--(F627&lt;=Estimator!$B$7)</f>
        <v>0</v>
      </c>
      <c r="H627" s="86">
        <f>SUMIFS('Climate Data'!$G$7:$G$366,'Climate Data'!$A$7:$A$366,Estimator!$B$4,'Climate Data'!$B$7:$B$366,C627)</f>
        <v>0.20666666666666667</v>
      </c>
      <c r="I627" s="87">
        <f>SUMIFS('Climate Data'!$H$7:$H$366,'Climate Data'!$A$7:$A$366,Estimator!$B$4,'Climate Data'!$B$7:$B$366,C627)</f>
        <v>6.806451612903226</v>
      </c>
      <c r="J627" s="86">
        <f>SUMIFS('Wind Proxy'!$H$8:$H$19,'Wind Proxy'!$A$8:$A$19,Estimator!$B$4,'Wind Proxy'!$B$8:$B$19,C627)</f>
        <v>0</v>
      </c>
    </row>
    <row r="628" spans="1:10" ht="14.4">
      <c r="A628" s="84">
        <v>46279</v>
      </c>
      <c r="B628" s="85">
        <v>2026</v>
      </c>
      <c r="C628" s="85">
        <v>9</v>
      </c>
      <c r="D628" s="85" t="s">
        <v>73</v>
      </c>
      <c r="E628" s="85">
        <v>14</v>
      </c>
      <c r="F628" s="85">
        <v>1</v>
      </c>
      <c r="G628" s="85">
        <f>--(F628&lt;=Estimator!$B$7)</f>
        <v>1</v>
      </c>
      <c r="H628" s="86">
        <f>SUMIFS('Climate Data'!$G$7:$G$366,'Climate Data'!$A$7:$A$366,Estimator!$B$4,'Climate Data'!$B$7:$B$366,C628)</f>
        <v>0.20666666666666667</v>
      </c>
      <c r="I628" s="87">
        <f>SUMIFS('Climate Data'!$H$7:$H$366,'Climate Data'!$A$7:$A$366,Estimator!$B$4,'Climate Data'!$B$7:$B$366,C628)</f>
        <v>6.806451612903226</v>
      </c>
      <c r="J628" s="86">
        <f>SUMIFS('Wind Proxy'!$H$8:$H$19,'Wind Proxy'!$A$8:$A$19,Estimator!$B$4,'Wind Proxy'!$B$8:$B$19,C628)</f>
        <v>0</v>
      </c>
    </row>
    <row r="629" spans="1:10" ht="14.4">
      <c r="A629" s="84">
        <v>46280</v>
      </c>
      <c r="B629" s="85">
        <v>2026</v>
      </c>
      <c r="C629" s="85">
        <v>9</v>
      </c>
      <c r="D629" s="85" t="s">
        <v>73</v>
      </c>
      <c r="E629" s="85">
        <v>15</v>
      </c>
      <c r="F629" s="85">
        <v>2</v>
      </c>
      <c r="G629" s="85">
        <f>--(F629&lt;=Estimator!$B$7)</f>
        <v>1</v>
      </c>
      <c r="H629" s="86">
        <f>SUMIFS('Climate Data'!$G$7:$G$366,'Climate Data'!$A$7:$A$366,Estimator!$B$4,'Climate Data'!$B$7:$B$366,C629)</f>
        <v>0.20666666666666667</v>
      </c>
      <c r="I629" s="87">
        <f>SUMIFS('Climate Data'!$H$7:$H$366,'Climate Data'!$A$7:$A$366,Estimator!$B$4,'Climate Data'!$B$7:$B$366,C629)</f>
        <v>6.806451612903226</v>
      </c>
      <c r="J629" s="86">
        <f>SUMIFS('Wind Proxy'!$H$8:$H$19,'Wind Proxy'!$A$8:$A$19,Estimator!$B$4,'Wind Proxy'!$B$8:$B$19,C629)</f>
        <v>0</v>
      </c>
    </row>
    <row r="630" spans="1:10" ht="14.4">
      <c r="A630" s="84">
        <v>46281</v>
      </c>
      <c r="B630" s="85">
        <v>2026</v>
      </c>
      <c r="C630" s="85">
        <v>9</v>
      </c>
      <c r="D630" s="85" t="s">
        <v>73</v>
      </c>
      <c r="E630" s="85">
        <v>16</v>
      </c>
      <c r="F630" s="85">
        <v>3</v>
      </c>
      <c r="G630" s="85">
        <f>--(F630&lt;=Estimator!$B$7)</f>
        <v>1</v>
      </c>
      <c r="H630" s="86">
        <f>SUMIFS('Climate Data'!$G$7:$G$366,'Climate Data'!$A$7:$A$366,Estimator!$B$4,'Climate Data'!$B$7:$B$366,C630)</f>
        <v>0.20666666666666667</v>
      </c>
      <c r="I630" s="87">
        <f>SUMIFS('Climate Data'!$H$7:$H$366,'Climate Data'!$A$7:$A$366,Estimator!$B$4,'Climate Data'!$B$7:$B$366,C630)</f>
        <v>6.806451612903226</v>
      </c>
      <c r="J630" s="86">
        <f>SUMIFS('Wind Proxy'!$H$8:$H$19,'Wind Proxy'!$A$8:$A$19,Estimator!$B$4,'Wind Proxy'!$B$8:$B$19,C630)</f>
        <v>0</v>
      </c>
    </row>
    <row r="631" spans="1:10" ht="14.4">
      <c r="A631" s="84">
        <v>46282</v>
      </c>
      <c r="B631" s="85">
        <v>2026</v>
      </c>
      <c r="C631" s="85">
        <v>9</v>
      </c>
      <c r="D631" s="85" t="s">
        <v>73</v>
      </c>
      <c r="E631" s="85">
        <v>17</v>
      </c>
      <c r="F631" s="85">
        <v>4</v>
      </c>
      <c r="G631" s="85">
        <f>--(F631&lt;=Estimator!$B$7)</f>
        <v>1</v>
      </c>
      <c r="H631" s="86">
        <f>SUMIFS('Climate Data'!$G$7:$G$366,'Climate Data'!$A$7:$A$366,Estimator!$B$4,'Climate Data'!$B$7:$B$366,C631)</f>
        <v>0.20666666666666667</v>
      </c>
      <c r="I631" s="87">
        <f>SUMIFS('Climate Data'!$H$7:$H$366,'Climate Data'!$A$7:$A$366,Estimator!$B$4,'Climate Data'!$B$7:$B$366,C631)</f>
        <v>6.806451612903226</v>
      </c>
      <c r="J631" s="86">
        <f>SUMIFS('Wind Proxy'!$H$8:$H$19,'Wind Proxy'!$A$8:$A$19,Estimator!$B$4,'Wind Proxy'!$B$8:$B$19,C631)</f>
        <v>0</v>
      </c>
    </row>
    <row r="632" spans="1:10" ht="14.4">
      <c r="A632" s="84">
        <v>46283</v>
      </c>
      <c r="B632" s="85">
        <v>2026</v>
      </c>
      <c r="C632" s="85">
        <v>9</v>
      </c>
      <c r="D632" s="85" t="s">
        <v>73</v>
      </c>
      <c r="E632" s="85">
        <v>18</v>
      </c>
      <c r="F632" s="85">
        <v>5</v>
      </c>
      <c r="G632" s="85">
        <f>--(F632&lt;=Estimator!$B$7)</f>
        <v>1</v>
      </c>
      <c r="H632" s="86">
        <f>SUMIFS('Climate Data'!$G$7:$G$366,'Climate Data'!$A$7:$A$366,Estimator!$B$4,'Climate Data'!$B$7:$B$366,C632)</f>
        <v>0.20666666666666667</v>
      </c>
      <c r="I632" s="87">
        <f>SUMIFS('Climate Data'!$H$7:$H$366,'Climate Data'!$A$7:$A$366,Estimator!$B$4,'Climate Data'!$B$7:$B$366,C632)</f>
        <v>6.806451612903226</v>
      </c>
      <c r="J632" s="86">
        <f>SUMIFS('Wind Proxy'!$H$8:$H$19,'Wind Proxy'!$A$8:$A$19,Estimator!$B$4,'Wind Proxy'!$B$8:$B$19,C632)</f>
        <v>0</v>
      </c>
    </row>
    <row r="633" spans="1:10" ht="14.4">
      <c r="A633" s="84">
        <v>46284</v>
      </c>
      <c r="B633" s="85">
        <v>2026</v>
      </c>
      <c r="C633" s="85">
        <v>9</v>
      </c>
      <c r="D633" s="85" t="s">
        <v>73</v>
      </c>
      <c r="E633" s="85">
        <v>19</v>
      </c>
      <c r="F633" s="85">
        <v>6</v>
      </c>
      <c r="G633" s="85">
        <f>--(F633&lt;=Estimator!$B$7)</f>
        <v>0</v>
      </c>
      <c r="H633" s="86">
        <f>SUMIFS('Climate Data'!$G$7:$G$366,'Climate Data'!$A$7:$A$366,Estimator!$B$4,'Climate Data'!$B$7:$B$366,C633)</f>
        <v>0.20666666666666667</v>
      </c>
      <c r="I633" s="87">
        <f>SUMIFS('Climate Data'!$H$7:$H$366,'Climate Data'!$A$7:$A$366,Estimator!$B$4,'Climate Data'!$B$7:$B$366,C633)</f>
        <v>6.806451612903226</v>
      </c>
      <c r="J633" s="86">
        <f>SUMIFS('Wind Proxy'!$H$8:$H$19,'Wind Proxy'!$A$8:$A$19,Estimator!$B$4,'Wind Proxy'!$B$8:$B$19,C633)</f>
        <v>0</v>
      </c>
    </row>
    <row r="634" spans="1:10" ht="14.4">
      <c r="A634" s="84">
        <v>46285</v>
      </c>
      <c r="B634" s="85">
        <v>2026</v>
      </c>
      <c r="C634" s="85">
        <v>9</v>
      </c>
      <c r="D634" s="85" t="s">
        <v>73</v>
      </c>
      <c r="E634" s="85">
        <v>20</v>
      </c>
      <c r="F634" s="85">
        <v>7</v>
      </c>
      <c r="G634" s="85">
        <f>--(F634&lt;=Estimator!$B$7)</f>
        <v>0</v>
      </c>
      <c r="H634" s="86">
        <f>SUMIFS('Climate Data'!$G$7:$G$366,'Climate Data'!$A$7:$A$366,Estimator!$B$4,'Climate Data'!$B$7:$B$366,C634)</f>
        <v>0.20666666666666667</v>
      </c>
      <c r="I634" s="87">
        <f>SUMIFS('Climate Data'!$H$7:$H$366,'Climate Data'!$A$7:$A$366,Estimator!$B$4,'Climate Data'!$B$7:$B$366,C634)</f>
        <v>6.806451612903226</v>
      </c>
      <c r="J634" s="86">
        <f>SUMIFS('Wind Proxy'!$H$8:$H$19,'Wind Proxy'!$A$8:$A$19,Estimator!$B$4,'Wind Proxy'!$B$8:$B$19,C634)</f>
        <v>0</v>
      </c>
    </row>
    <row r="635" spans="1:10" ht="14.4">
      <c r="A635" s="84">
        <v>46286</v>
      </c>
      <c r="B635" s="85">
        <v>2026</v>
      </c>
      <c r="C635" s="85">
        <v>9</v>
      </c>
      <c r="D635" s="85" t="s">
        <v>73</v>
      </c>
      <c r="E635" s="85">
        <v>21</v>
      </c>
      <c r="F635" s="85">
        <v>1</v>
      </c>
      <c r="G635" s="85">
        <f>--(F635&lt;=Estimator!$B$7)</f>
        <v>1</v>
      </c>
      <c r="H635" s="86">
        <f>SUMIFS('Climate Data'!$G$7:$G$366,'Climate Data'!$A$7:$A$366,Estimator!$B$4,'Climate Data'!$B$7:$B$366,C635)</f>
        <v>0.20666666666666667</v>
      </c>
      <c r="I635" s="87">
        <f>SUMIFS('Climate Data'!$H$7:$H$366,'Climate Data'!$A$7:$A$366,Estimator!$B$4,'Climate Data'!$B$7:$B$366,C635)</f>
        <v>6.806451612903226</v>
      </c>
      <c r="J635" s="86">
        <f>SUMIFS('Wind Proxy'!$H$8:$H$19,'Wind Proxy'!$A$8:$A$19,Estimator!$B$4,'Wind Proxy'!$B$8:$B$19,C635)</f>
        <v>0</v>
      </c>
    </row>
    <row r="636" spans="1:10" ht="14.4">
      <c r="A636" s="84">
        <v>46287</v>
      </c>
      <c r="B636" s="85">
        <v>2026</v>
      </c>
      <c r="C636" s="85">
        <v>9</v>
      </c>
      <c r="D636" s="85" t="s">
        <v>73</v>
      </c>
      <c r="E636" s="85">
        <v>22</v>
      </c>
      <c r="F636" s="85">
        <v>2</v>
      </c>
      <c r="G636" s="85">
        <f>--(F636&lt;=Estimator!$B$7)</f>
        <v>1</v>
      </c>
      <c r="H636" s="86">
        <f>SUMIFS('Climate Data'!$G$7:$G$366,'Climate Data'!$A$7:$A$366,Estimator!$B$4,'Climate Data'!$B$7:$B$366,C636)</f>
        <v>0.20666666666666667</v>
      </c>
      <c r="I636" s="87">
        <f>SUMIFS('Climate Data'!$H$7:$H$366,'Climate Data'!$A$7:$A$366,Estimator!$B$4,'Climate Data'!$B$7:$B$366,C636)</f>
        <v>6.806451612903226</v>
      </c>
      <c r="J636" s="86">
        <f>SUMIFS('Wind Proxy'!$H$8:$H$19,'Wind Proxy'!$A$8:$A$19,Estimator!$B$4,'Wind Proxy'!$B$8:$B$19,C636)</f>
        <v>0</v>
      </c>
    </row>
    <row r="637" spans="1:10" ht="14.4">
      <c r="A637" s="84">
        <v>46288</v>
      </c>
      <c r="B637" s="85">
        <v>2026</v>
      </c>
      <c r="C637" s="85">
        <v>9</v>
      </c>
      <c r="D637" s="85" t="s">
        <v>73</v>
      </c>
      <c r="E637" s="85">
        <v>23</v>
      </c>
      <c r="F637" s="85">
        <v>3</v>
      </c>
      <c r="G637" s="85">
        <f>--(F637&lt;=Estimator!$B$7)</f>
        <v>1</v>
      </c>
      <c r="H637" s="86">
        <f>SUMIFS('Climate Data'!$G$7:$G$366,'Climate Data'!$A$7:$A$366,Estimator!$B$4,'Climate Data'!$B$7:$B$366,C637)</f>
        <v>0.20666666666666667</v>
      </c>
      <c r="I637" s="87">
        <f>SUMIFS('Climate Data'!$H$7:$H$366,'Climate Data'!$A$7:$A$366,Estimator!$B$4,'Climate Data'!$B$7:$B$366,C637)</f>
        <v>6.806451612903226</v>
      </c>
      <c r="J637" s="86">
        <f>SUMIFS('Wind Proxy'!$H$8:$H$19,'Wind Proxy'!$A$8:$A$19,Estimator!$B$4,'Wind Proxy'!$B$8:$B$19,C637)</f>
        <v>0</v>
      </c>
    </row>
    <row r="638" spans="1:10" ht="14.4">
      <c r="A638" s="84">
        <v>46289</v>
      </c>
      <c r="B638" s="85">
        <v>2026</v>
      </c>
      <c r="C638" s="85">
        <v>9</v>
      </c>
      <c r="D638" s="85" t="s">
        <v>73</v>
      </c>
      <c r="E638" s="85">
        <v>24</v>
      </c>
      <c r="F638" s="85">
        <v>4</v>
      </c>
      <c r="G638" s="85">
        <f>--(F638&lt;=Estimator!$B$7)</f>
        <v>1</v>
      </c>
      <c r="H638" s="86">
        <f>SUMIFS('Climate Data'!$G$7:$G$366,'Climate Data'!$A$7:$A$366,Estimator!$B$4,'Climate Data'!$B$7:$B$366,C638)</f>
        <v>0.20666666666666667</v>
      </c>
      <c r="I638" s="87">
        <f>SUMIFS('Climate Data'!$H$7:$H$366,'Climate Data'!$A$7:$A$366,Estimator!$B$4,'Climate Data'!$B$7:$B$366,C638)</f>
        <v>6.806451612903226</v>
      </c>
      <c r="J638" s="86">
        <f>SUMIFS('Wind Proxy'!$H$8:$H$19,'Wind Proxy'!$A$8:$A$19,Estimator!$B$4,'Wind Proxy'!$B$8:$B$19,C638)</f>
        <v>0</v>
      </c>
    </row>
    <row r="639" spans="1:10" ht="14.4">
      <c r="A639" s="84">
        <v>46290</v>
      </c>
      <c r="B639" s="85">
        <v>2026</v>
      </c>
      <c r="C639" s="85">
        <v>9</v>
      </c>
      <c r="D639" s="85" t="s">
        <v>73</v>
      </c>
      <c r="E639" s="85">
        <v>25</v>
      </c>
      <c r="F639" s="85">
        <v>5</v>
      </c>
      <c r="G639" s="85">
        <f>--(F639&lt;=Estimator!$B$7)</f>
        <v>1</v>
      </c>
      <c r="H639" s="86">
        <f>SUMIFS('Climate Data'!$G$7:$G$366,'Climate Data'!$A$7:$A$366,Estimator!$B$4,'Climate Data'!$B$7:$B$366,C639)</f>
        <v>0.20666666666666667</v>
      </c>
      <c r="I639" s="87">
        <f>SUMIFS('Climate Data'!$H$7:$H$366,'Climate Data'!$A$7:$A$366,Estimator!$B$4,'Climate Data'!$B$7:$B$366,C639)</f>
        <v>6.806451612903226</v>
      </c>
      <c r="J639" s="86">
        <f>SUMIFS('Wind Proxy'!$H$8:$H$19,'Wind Proxy'!$A$8:$A$19,Estimator!$B$4,'Wind Proxy'!$B$8:$B$19,C639)</f>
        <v>0</v>
      </c>
    </row>
    <row r="640" spans="1:10" ht="14.4">
      <c r="A640" s="84">
        <v>46291</v>
      </c>
      <c r="B640" s="85">
        <v>2026</v>
      </c>
      <c r="C640" s="85">
        <v>9</v>
      </c>
      <c r="D640" s="85" t="s">
        <v>73</v>
      </c>
      <c r="E640" s="85">
        <v>26</v>
      </c>
      <c r="F640" s="85">
        <v>6</v>
      </c>
      <c r="G640" s="85">
        <f>--(F640&lt;=Estimator!$B$7)</f>
        <v>0</v>
      </c>
      <c r="H640" s="86">
        <f>SUMIFS('Climate Data'!$G$7:$G$366,'Climate Data'!$A$7:$A$366,Estimator!$B$4,'Climate Data'!$B$7:$B$366,C640)</f>
        <v>0.20666666666666667</v>
      </c>
      <c r="I640" s="87">
        <f>SUMIFS('Climate Data'!$H$7:$H$366,'Climate Data'!$A$7:$A$366,Estimator!$B$4,'Climate Data'!$B$7:$B$366,C640)</f>
        <v>6.806451612903226</v>
      </c>
      <c r="J640" s="86">
        <f>SUMIFS('Wind Proxy'!$H$8:$H$19,'Wind Proxy'!$A$8:$A$19,Estimator!$B$4,'Wind Proxy'!$B$8:$B$19,C640)</f>
        <v>0</v>
      </c>
    </row>
    <row r="641" spans="1:10" ht="14.4">
      <c r="A641" s="84">
        <v>46292</v>
      </c>
      <c r="B641" s="85">
        <v>2026</v>
      </c>
      <c r="C641" s="85">
        <v>9</v>
      </c>
      <c r="D641" s="85" t="s">
        <v>73</v>
      </c>
      <c r="E641" s="85">
        <v>27</v>
      </c>
      <c r="F641" s="85">
        <v>7</v>
      </c>
      <c r="G641" s="85">
        <f>--(F641&lt;=Estimator!$B$7)</f>
        <v>0</v>
      </c>
      <c r="H641" s="86">
        <f>SUMIFS('Climate Data'!$G$7:$G$366,'Climate Data'!$A$7:$A$366,Estimator!$B$4,'Climate Data'!$B$7:$B$366,C641)</f>
        <v>0.20666666666666667</v>
      </c>
      <c r="I641" s="87">
        <f>SUMIFS('Climate Data'!$H$7:$H$366,'Climate Data'!$A$7:$A$366,Estimator!$B$4,'Climate Data'!$B$7:$B$366,C641)</f>
        <v>6.806451612903226</v>
      </c>
      <c r="J641" s="86">
        <f>SUMIFS('Wind Proxy'!$H$8:$H$19,'Wind Proxy'!$A$8:$A$19,Estimator!$B$4,'Wind Proxy'!$B$8:$B$19,C641)</f>
        <v>0</v>
      </c>
    </row>
    <row r="642" spans="1:10" ht="14.4">
      <c r="A642" s="84">
        <v>46293</v>
      </c>
      <c r="B642" s="85">
        <v>2026</v>
      </c>
      <c r="C642" s="85">
        <v>9</v>
      </c>
      <c r="D642" s="85" t="s">
        <v>73</v>
      </c>
      <c r="E642" s="85">
        <v>28</v>
      </c>
      <c r="F642" s="85">
        <v>1</v>
      </c>
      <c r="G642" s="85">
        <f>--(F642&lt;=Estimator!$B$7)</f>
        <v>1</v>
      </c>
      <c r="H642" s="86">
        <f>SUMIFS('Climate Data'!$G$7:$G$366,'Climate Data'!$A$7:$A$366,Estimator!$B$4,'Climate Data'!$B$7:$B$366,C642)</f>
        <v>0.20666666666666667</v>
      </c>
      <c r="I642" s="87">
        <f>SUMIFS('Climate Data'!$H$7:$H$366,'Climate Data'!$A$7:$A$366,Estimator!$B$4,'Climate Data'!$B$7:$B$366,C642)</f>
        <v>6.806451612903226</v>
      </c>
      <c r="J642" s="86">
        <f>SUMIFS('Wind Proxy'!$H$8:$H$19,'Wind Proxy'!$A$8:$A$19,Estimator!$B$4,'Wind Proxy'!$B$8:$B$19,C642)</f>
        <v>0</v>
      </c>
    </row>
    <row r="643" spans="1:10" ht="14.4">
      <c r="A643" s="84">
        <v>46294</v>
      </c>
      <c r="B643" s="85">
        <v>2026</v>
      </c>
      <c r="C643" s="85">
        <v>9</v>
      </c>
      <c r="D643" s="85" t="s">
        <v>73</v>
      </c>
      <c r="E643" s="85">
        <v>29</v>
      </c>
      <c r="F643" s="85">
        <v>2</v>
      </c>
      <c r="G643" s="85">
        <f>--(F643&lt;=Estimator!$B$7)</f>
        <v>1</v>
      </c>
      <c r="H643" s="86">
        <f>SUMIFS('Climate Data'!$G$7:$G$366,'Climate Data'!$A$7:$A$366,Estimator!$B$4,'Climate Data'!$B$7:$B$366,C643)</f>
        <v>0.20666666666666667</v>
      </c>
      <c r="I643" s="87">
        <f>SUMIFS('Climate Data'!$H$7:$H$366,'Climate Data'!$A$7:$A$366,Estimator!$B$4,'Climate Data'!$B$7:$B$366,C643)</f>
        <v>6.806451612903226</v>
      </c>
      <c r="J643" s="86">
        <f>SUMIFS('Wind Proxy'!$H$8:$H$19,'Wind Proxy'!$A$8:$A$19,Estimator!$B$4,'Wind Proxy'!$B$8:$B$19,C643)</f>
        <v>0</v>
      </c>
    </row>
    <row r="644" spans="1:10" ht="14.4">
      <c r="A644" s="84">
        <v>46295</v>
      </c>
      <c r="B644" s="85">
        <v>2026</v>
      </c>
      <c r="C644" s="85">
        <v>9</v>
      </c>
      <c r="D644" s="85" t="s">
        <v>73</v>
      </c>
      <c r="E644" s="85">
        <v>30</v>
      </c>
      <c r="F644" s="85">
        <v>3</v>
      </c>
      <c r="G644" s="85">
        <f>--(F644&lt;=Estimator!$B$7)</f>
        <v>1</v>
      </c>
      <c r="H644" s="86">
        <f>SUMIFS('Climate Data'!$G$7:$G$366,'Climate Data'!$A$7:$A$366,Estimator!$B$4,'Climate Data'!$B$7:$B$366,C644)</f>
        <v>0.20666666666666667</v>
      </c>
      <c r="I644" s="87">
        <f>SUMIFS('Climate Data'!$H$7:$H$366,'Climate Data'!$A$7:$A$366,Estimator!$B$4,'Climate Data'!$B$7:$B$366,C644)</f>
        <v>6.806451612903226</v>
      </c>
      <c r="J644" s="86">
        <f>SUMIFS('Wind Proxy'!$H$8:$H$19,'Wind Proxy'!$A$8:$A$19,Estimator!$B$4,'Wind Proxy'!$B$8:$B$19,C644)</f>
        <v>0</v>
      </c>
    </row>
    <row r="645" spans="1:10" ht="14.4">
      <c r="A645" s="84">
        <v>46296</v>
      </c>
      <c r="B645" s="85">
        <v>2026</v>
      </c>
      <c r="C645" s="85">
        <v>10</v>
      </c>
      <c r="D645" s="85" t="s">
        <v>75</v>
      </c>
      <c r="E645" s="85">
        <v>1</v>
      </c>
      <c r="F645" s="85">
        <v>4</v>
      </c>
      <c r="G645" s="85">
        <f>--(F645&lt;=Estimator!$B$7)</f>
        <v>1</v>
      </c>
      <c r="H645" s="86">
        <f>SUMIFS('Climate Data'!$G$7:$G$366,'Climate Data'!$A$7:$A$366,Estimator!$B$4,'Climate Data'!$B$7:$B$366,C645)</f>
        <v>0.23225806451612904</v>
      </c>
      <c r="I645" s="87">
        <f>SUMIFS('Climate Data'!$H$7:$H$366,'Climate Data'!$A$7:$A$366,Estimator!$B$4,'Climate Data'!$B$7:$B$366,C645)</f>
        <v>6.8194444444444446</v>
      </c>
      <c r="J645" s="86">
        <f>SUMIFS('Wind Proxy'!$H$8:$H$19,'Wind Proxy'!$A$8:$A$19,Estimator!$B$4,'Wind Proxy'!$B$8:$B$19,C645)</f>
        <v>0</v>
      </c>
    </row>
    <row r="646" spans="1:10" ht="14.4">
      <c r="A646" s="84">
        <v>46297</v>
      </c>
      <c r="B646" s="85">
        <v>2026</v>
      </c>
      <c r="C646" s="85">
        <v>10</v>
      </c>
      <c r="D646" s="85" t="s">
        <v>75</v>
      </c>
      <c r="E646" s="85">
        <v>2</v>
      </c>
      <c r="F646" s="85">
        <v>5</v>
      </c>
      <c r="G646" s="85">
        <f>--(F646&lt;=Estimator!$B$7)</f>
        <v>1</v>
      </c>
      <c r="H646" s="86">
        <f>SUMIFS('Climate Data'!$G$7:$G$366,'Climate Data'!$A$7:$A$366,Estimator!$B$4,'Climate Data'!$B$7:$B$366,C646)</f>
        <v>0.23225806451612904</v>
      </c>
      <c r="I646" s="87">
        <f>SUMIFS('Climate Data'!$H$7:$H$366,'Climate Data'!$A$7:$A$366,Estimator!$B$4,'Climate Data'!$B$7:$B$366,C646)</f>
        <v>6.8194444444444446</v>
      </c>
      <c r="J646" s="86">
        <f>SUMIFS('Wind Proxy'!$H$8:$H$19,'Wind Proxy'!$A$8:$A$19,Estimator!$B$4,'Wind Proxy'!$B$8:$B$19,C646)</f>
        <v>0</v>
      </c>
    </row>
    <row r="647" spans="1:10" ht="14.4">
      <c r="A647" s="84">
        <v>46298</v>
      </c>
      <c r="B647" s="85">
        <v>2026</v>
      </c>
      <c r="C647" s="85">
        <v>10</v>
      </c>
      <c r="D647" s="85" t="s">
        <v>75</v>
      </c>
      <c r="E647" s="85">
        <v>3</v>
      </c>
      <c r="F647" s="85">
        <v>6</v>
      </c>
      <c r="G647" s="85">
        <f>--(F647&lt;=Estimator!$B$7)</f>
        <v>0</v>
      </c>
      <c r="H647" s="86">
        <f>SUMIFS('Climate Data'!$G$7:$G$366,'Climate Data'!$A$7:$A$366,Estimator!$B$4,'Climate Data'!$B$7:$B$366,C647)</f>
        <v>0.23225806451612904</v>
      </c>
      <c r="I647" s="87">
        <f>SUMIFS('Climate Data'!$H$7:$H$366,'Climate Data'!$A$7:$A$366,Estimator!$B$4,'Climate Data'!$B$7:$B$366,C647)</f>
        <v>6.8194444444444446</v>
      </c>
      <c r="J647" s="86">
        <f>SUMIFS('Wind Proxy'!$H$8:$H$19,'Wind Proxy'!$A$8:$A$19,Estimator!$B$4,'Wind Proxy'!$B$8:$B$19,C647)</f>
        <v>0</v>
      </c>
    </row>
    <row r="648" spans="1:10" ht="14.4">
      <c r="A648" s="84">
        <v>46299</v>
      </c>
      <c r="B648" s="85">
        <v>2026</v>
      </c>
      <c r="C648" s="85">
        <v>10</v>
      </c>
      <c r="D648" s="85" t="s">
        <v>75</v>
      </c>
      <c r="E648" s="85">
        <v>4</v>
      </c>
      <c r="F648" s="85">
        <v>7</v>
      </c>
      <c r="G648" s="85">
        <f>--(F648&lt;=Estimator!$B$7)</f>
        <v>0</v>
      </c>
      <c r="H648" s="86">
        <f>SUMIFS('Climate Data'!$G$7:$G$366,'Climate Data'!$A$7:$A$366,Estimator!$B$4,'Climate Data'!$B$7:$B$366,C648)</f>
        <v>0.23225806451612904</v>
      </c>
      <c r="I648" s="87">
        <f>SUMIFS('Climate Data'!$H$7:$H$366,'Climate Data'!$A$7:$A$366,Estimator!$B$4,'Climate Data'!$B$7:$B$366,C648)</f>
        <v>6.8194444444444446</v>
      </c>
      <c r="J648" s="86">
        <f>SUMIFS('Wind Proxy'!$H$8:$H$19,'Wind Proxy'!$A$8:$A$19,Estimator!$B$4,'Wind Proxy'!$B$8:$B$19,C648)</f>
        <v>0</v>
      </c>
    </row>
    <row r="649" spans="1:10" ht="14.4">
      <c r="A649" s="84">
        <v>46300</v>
      </c>
      <c r="B649" s="85">
        <v>2026</v>
      </c>
      <c r="C649" s="85">
        <v>10</v>
      </c>
      <c r="D649" s="85" t="s">
        <v>75</v>
      </c>
      <c r="E649" s="85">
        <v>5</v>
      </c>
      <c r="F649" s="85">
        <v>1</v>
      </c>
      <c r="G649" s="85">
        <f>--(F649&lt;=Estimator!$B$7)</f>
        <v>1</v>
      </c>
      <c r="H649" s="86">
        <f>SUMIFS('Climate Data'!$G$7:$G$366,'Climate Data'!$A$7:$A$366,Estimator!$B$4,'Climate Data'!$B$7:$B$366,C649)</f>
        <v>0.23225806451612904</v>
      </c>
      <c r="I649" s="87">
        <f>SUMIFS('Climate Data'!$H$7:$H$366,'Climate Data'!$A$7:$A$366,Estimator!$B$4,'Climate Data'!$B$7:$B$366,C649)</f>
        <v>6.8194444444444446</v>
      </c>
      <c r="J649" s="86">
        <f>SUMIFS('Wind Proxy'!$H$8:$H$19,'Wind Proxy'!$A$8:$A$19,Estimator!$B$4,'Wind Proxy'!$B$8:$B$19,C649)</f>
        <v>0</v>
      </c>
    </row>
    <row r="650" spans="1:10" ht="14.4">
      <c r="A650" s="84">
        <v>46301</v>
      </c>
      <c r="B650" s="85">
        <v>2026</v>
      </c>
      <c r="C650" s="85">
        <v>10</v>
      </c>
      <c r="D650" s="85" t="s">
        <v>75</v>
      </c>
      <c r="E650" s="85">
        <v>6</v>
      </c>
      <c r="F650" s="85">
        <v>2</v>
      </c>
      <c r="G650" s="85">
        <f>--(F650&lt;=Estimator!$B$7)</f>
        <v>1</v>
      </c>
      <c r="H650" s="86">
        <f>SUMIFS('Climate Data'!$G$7:$G$366,'Climate Data'!$A$7:$A$366,Estimator!$B$4,'Climate Data'!$B$7:$B$366,C650)</f>
        <v>0.23225806451612904</v>
      </c>
      <c r="I650" s="87">
        <f>SUMIFS('Climate Data'!$H$7:$H$366,'Climate Data'!$A$7:$A$366,Estimator!$B$4,'Climate Data'!$B$7:$B$366,C650)</f>
        <v>6.8194444444444446</v>
      </c>
      <c r="J650" s="86">
        <f>SUMIFS('Wind Proxy'!$H$8:$H$19,'Wind Proxy'!$A$8:$A$19,Estimator!$B$4,'Wind Proxy'!$B$8:$B$19,C650)</f>
        <v>0</v>
      </c>
    </row>
    <row r="651" spans="1:10" ht="14.4">
      <c r="A651" s="84">
        <v>46302</v>
      </c>
      <c r="B651" s="85">
        <v>2026</v>
      </c>
      <c r="C651" s="85">
        <v>10</v>
      </c>
      <c r="D651" s="85" t="s">
        <v>75</v>
      </c>
      <c r="E651" s="85">
        <v>7</v>
      </c>
      <c r="F651" s="85">
        <v>3</v>
      </c>
      <c r="G651" s="85">
        <f>--(F651&lt;=Estimator!$B$7)</f>
        <v>1</v>
      </c>
      <c r="H651" s="86">
        <f>SUMIFS('Climate Data'!$G$7:$G$366,'Climate Data'!$A$7:$A$366,Estimator!$B$4,'Climate Data'!$B$7:$B$366,C651)</f>
        <v>0.23225806451612904</v>
      </c>
      <c r="I651" s="87">
        <f>SUMIFS('Climate Data'!$H$7:$H$366,'Climate Data'!$A$7:$A$366,Estimator!$B$4,'Climate Data'!$B$7:$B$366,C651)</f>
        <v>6.8194444444444446</v>
      </c>
      <c r="J651" s="86">
        <f>SUMIFS('Wind Proxy'!$H$8:$H$19,'Wind Proxy'!$A$8:$A$19,Estimator!$B$4,'Wind Proxy'!$B$8:$B$19,C651)</f>
        <v>0</v>
      </c>
    </row>
    <row r="652" spans="1:10" ht="14.4">
      <c r="A652" s="84">
        <v>46303</v>
      </c>
      <c r="B652" s="85">
        <v>2026</v>
      </c>
      <c r="C652" s="85">
        <v>10</v>
      </c>
      <c r="D652" s="85" t="s">
        <v>75</v>
      </c>
      <c r="E652" s="85">
        <v>8</v>
      </c>
      <c r="F652" s="85">
        <v>4</v>
      </c>
      <c r="G652" s="85">
        <f>--(F652&lt;=Estimator!$B$7)</f>
        <v>1</v>
      </c>
      <c r="H652" s="86">
        <f>SUMIFS('Climate Data'!$G$7:$G$366,'Climate Data'!$A$7:$A$366,Estimator!$B$4,'Climate Data'!$B$7:$B$366,C652)</f>
        <v>0.23225806451612904</v>
      </c>
      <c r="I652" s="87">
        <f>SUMIFS('Climate Data'!$H$7:$H$366,'Climate Data'!$A$7:$A$366,Estimator!$B$4,'Climate Data'!$B$7:$B$366,C652)</f>
        <v>6.8194444444444446</v>
      </c>
      <c r="J652" s="86">
        <f>SUMIFS('Wind Proxy'!$H$8:$H$19,'Wind Proxy'!$A$8:$A$19,Estimator!$B$4,'Wind Proxy'!$B$8:$B$19,C652)</f>
        <v>0</v>
      </c>
    </row>
    <row r="653" spans="1:10" ht="14.4">
      <c r="A653" s="84">
        <v>46304</v>
      </c>
      <c r="B653" s="85">
        <v>2026</v>
      </c>
      <c r="C653" s="85">
        <v>10</v>
      </c>
      <c r="D653" s="85" t="s">
        <v>75</v>
      </c>
      <c r="E653" s="85">
        <v>9</v>
      </c>
      <c r="F653" s="85">
        <v>5</v>
      </c>
      <c r="G653" s="85">
        <f>--(F653&lt;=Estimator!$B$7)</f>
        <v>1</v>
      </c>
      <c r="H653" s="86">
        <f>SUMIFS('Climate Data'!$G$7:$G$366,'Climate Data'!$A$7:$A$366,Estimator!$B$4,'Climate Data'!$B$7:$B$366,C653)</f>
        <v>0.23225806451612904</v>
      </c>
      <c r="I653" s="87">
        <f>SUMIFS('Climate Data'!$H$7:$H$366,'Climate Data'!$A$7:$A$366,Estimator!$B$4,'Climate Data'!$B$7:$B$366,C653)</f>
        <v>6.8194444444444446</v>
      </c>
      <c r="J653" s="86">
        <f>SUMIFS('Wind Proxy'!$H$8:$H$19,'Wind Proxy'!$A$8:$A$19,Estimator!$B$4,'Wind Proxy'!$B$8:$B$19,C653)</f>
        <v>0</v>
      </c>
    </row>
    <row r="654" spans="1:10" ht="14.4">
      <c r="A654" s="84">
        <v>46305</v>
      </c>
      <c r="B654" s="85">
        <v>2026</v>
      </c>
      <c r="C654" s="85">
        <v>10</v>
      </c>
      <c r="D654" s="85" t="s">
        <v>75</v>
      </c>
      <c r="E654" s="85">
        <v>10</v>
      </c>
      <c r="F654" s="85">
        <v>6</v>
      </c>
      <c r="G654" s="85">
        <f>--(F654&lt;=Estimator!$B$7)</f>
        <v>0</v>
      </c>
      <c r="H654" s="86">
        <f>SUMIFS('Climate Data'!$G$7:$G$366,'Climate Data'!$A$7:$A$366,Estimator!$B$4,'Climate Data'!$B$7:$B$366,C654)</f>
        <v>0.23225806451612904</v>
      </c>
      <c r="I654" s="87">
        <f>SUMIFS('Climate Data'!$H$7:$H$366,'Climate Data'!$A$7:$A$366,Estimator!$B$4,'Climate Data'!$B$7:$B$366,C654)</f>
        <v>6.8194444444444446</v>
      </c>
      <c r="J654" s="86">
        <f>SUMIFS('Wind Proxy'!$H$8:$H$19,'Wind Proxy'!$A$8:$A$19,Estimator!$B$4,'Wind Proxy'!$B$8:$B$19,C654)</f>
        <v>0</v>
      </c>
    </row>
    <row r="655" spans="1:10" ht="14.4">
      <c r="A655" s="84">
        <v>46306</v>
      </c>
      <c r="B655" s="85">
        <v>2026</v>
      </c>
      <c r="C655" s="85">
        <v>10</v>
      </c>
      <c r="D655" s="85" t="s">
        <v>75</v>
      </c>
      <c r="E655" s="85">
        <v>11</v>
      </c>
      <c r="F655" s="85">
        <v>7</v>
      </c>
      <c r="G655" s="85">
        <f>--(F655&lt;=Estimator!$B$7)</f>
        <v>0</v>
      </c>
      <c r="H655" s="86">
        <f>SUMIFS('Climate Data'!$G$7:$G$366,'Climate Data'!$A$7:$A$366,Estimator!$B$4,'Climate Data'!$B$7:$B$366,C655)</f>
        <v>0.23225806451612904</v>
      </c>
      <c r="I655" s="87">
        <f>SUMIFS('Climate Data'!$H$7:$H$366,'Climate Data'!$A$7:$A$366,Estimator!$B$4,'Climate Data'!$B$7:$B$366,C655)</f>
        <v>6.8194444444444446</v>
      </c>
      <c r="J655" s="86">
        <f>SUMIFS('Wind Proxy'!$H$8:$H$19,'Wind Proxy'!$A$8:$A$19,Estimator!$B$4,'Wind Proxy'!$B$8:$B$19,C655)</f>
        <v>0</v>
      </c>
    </row>
    <row r="656" spans="1:10" ht="14.4">
      <c r="A656" s="84">
        <v>46307</v>
      </c>
      <c r="B656" s="85">
        <v>2026</v>
      </c>
      <c r="C656" s="85">
        <v>10</v>
      </c>
      <c r="D656" s="85" t="s">
        <v>75</v>
      </c>
      <c r="E656" s="85">
        <v>12</v>
      </c>
      <c r="F656" s="85">
        <v>1</v>
      </c>
      <c r="G656" s="85">
        <f>--(F656&lt;=Estimator!$B$7)</f>
        <v>1</v>
      </c>
      <c r="H656" s="86">
        <f>SUMIFS('Climate Data'!$G$7:$G$366,'Climate Data'!$A$7:$A$366,Estimator!$B$4,'Climate Data'!$B$7:$B$366,C656)</f>
        <v>0.23225806451612904</v>
      </c>
      <c r="I656" s="87">
        <f>SUMIFS('Climate Data'!$H$7:$H$366,'Climate Data'!$A$7:$A$366,Estimator!$B$4,'Climate Data'!$B$7:$B$366,C656)</f>
        <v>6.8194444444444446</v>
      </c>
      <c r="J656" s="86">
        <f>SUMIFS('Wind Proxy'!$H$8:$H$19,'Wind Proxy'!$A$8:$A$19,Estimator!$B$4,'Wind Proxy'!$B$8:$B$19,C656)</f>
        <v>0</v>
      </c>
    </row>
    <row r="657" spans="1:10" ht="14.4">
      <c r="A657" s="84">
        <v>46308</v>
      </c>
      <c r="B657" s="85">
        <v>2026</v>
      </c>
      <c r="C657" s="85">
        <v>10</v>
      </c>
      <c r="D657" s="85" t="s">
        <v>75</v>
      </c>
      <c r="E657" s="85">
        <v>13</v>
      </c>
      <c r="F657" s="85">
        <v>2</v>
      </c>
      <c r="G657" s="85">
        <f>--(F657&lt;=Estimator!$B$7)</f>
        <v>1</v>
      </c>
      <c r="H657" s="86">
        <f>SUMIFS('Climate Data'!$G$7:$G$366,'Climate Data'!$A$7:$A$366,Estimator!$B$4,'Climate Data'!$B$7:$B$366,C657)</f>
        <v>0.23225806451612904</v>
      </c>
      <c r="I657" s="87">
        <f>SUMIFS('Climate Data'!$H$7:$H$366,'Climate Data'!$A$7:$A$366,Estimator!$B$4,'Climate Data'!$B$7:$B$366,C657)</f>
        <v>6.8194444444444446</v>
      </c>
      <c r="J657" s="86">
        <f>SUMIFS('Wind Proxy'!$H$8:$H$19,'Wind Proxy'!$A$8:$A$19,Estimator!$B$4,'Wind Proxy'!$B$8:$B$19,C657)</f>
        <v>0</v>
      </c>
    </row>
    <row r="658" spans="1:10" ht="14.4">
      <c r="A658" s="84">
        <v>46309</v>
      </c>
      <c r="B658" s="85">
        <v>2026</v>
      </c>
      <c r="C658" s="85">
        <v>10</v>
      </c>
      <c r="D658" s="85" t="s">
        <v>75</v>
      </c>
      <c r="E658" s="85">
        <v>14</v>
      </c>
      <c r="F658" s="85">
        <v>3</v>
      </c>
      <c r="G658" s="85">
        <f>--(F658&lt;=Estimator!$B$7)</f>
        <v>1</v>
      </c>
      <c r="H658" s="86">
        <f>SUMIFS('Climate Data'!$G$7:$G$366,'Climate Data'!$A$7:$A$366,Estimator!$B$4,'Climate Data'!$B$7:$B$366,C658)</f>
        <v>0.23225806451612904</v>
      </c>
      <c r="I658" s="87">
        <f>SUMIFS('Climate Data'!$H$7:$H$366,'Climate Data'!$A$7:$A$366,Estimator!$B$4,'Climate Data'!$B$7:$B$366,C658)</f>
        <v>6.8194444444444446</v>
      </c>
      <c r="J658" s="86">
        <f>SUMIFS('Wind Proxy'!$H$8:$H$19,'Wind Proxy'!$A$8:$A$19,Estimator!$B$4,'Wind Proxy'!$B$8:$B$19,C658)</f>
        <v>0</v>
      </c>
    </row>
    <row r="659" spans="1:10" ht="14.4">
      <c r="A659" s="84">
        <v>46310</v>
      </c>
      <c r="B659" s="85">
        <v>2026</v>
      </c>
      <c r="C659" s="85">
        <v>10</v>
      </c>
      <c r="D659" s="85" t="s">
        <v>75</v>
      </c>
      <c r="E659" s="85">
        <v>15</v>
      </c>
      <c r="F659" s="85">
        <v>4</v>
      </c>
      <c r="G659" s="85">
        <f>--(F659&lt;=Estimator!$B$7)</f>
        <v>1</v>
      </c>
      <c r="H659" s="86">
        <f>SUMIFS('Climate Data'!$G$7:$G$366,'Climate Data'!$A$7:$A$366,Estimator!$B$4,'Climate Data'!$B$7:$B$366,C659)</f>
        <v>0.23225806451612904</v>
      </c>
      <c r="I659" s="87">
        <f>SUMIFS('Climate Data'!$H$7:$H$366,'Climate Data'!$A$7:$A$366,Estimator!$B$4,'Climate Data'!$B$7:$B$366,C659)</f>
        <v>6.8194444444444446</v>
      </c>
      <c r="J659" s="86">
        <f>SUMIFS('Wind Proxy'!$H$8:$H$19,'Wind Proxy'!$A$8:$A$19,Estimator!$B$4,'Wind Proxy'!$B$8:$B$19,C659)</f>
        <v>0</v>
      </c>
    </row>
    <row r="660" spans="1:10" ht="14.4">
      <c r="A660" s="84">
        <v>46311</v>
      </c>
      <c r="B660" s="85">
        <v>2026</v>
      </c>
      <c r="C660" s="85">
        <v>10</v>
      </c>
      <c r="D660" s="85" t="s">
        <v>75</v>
      </c>
      <c r="E660" s="85">
        <v>16</v>
      </c>
      <c r="F660" s="85">
        <v>5</v>
      </c>
      <c r="G660" s="85">
        <f>--(F660&lt;=Estimator!$B$7)</f>
        <v>1</v>
      </c>
      <c r="H660" s="86">
        <f>SUMIFS('Climate Data'!$G$7:$G$366,'Climate Data'!$A$7:$A$366,Estimator!$B$4,'Climate Data'!$B$7:$B$366,C660)</f>
        <v>0.23225806451612904</v>
      </c>
      <c r="I660" s="87">
        <f>SUMIFS('Climate Data'!$H$7:$H$366,'Climate Data'!$A$7:$A$366,Estimator!$B$4,'Climate Data'!$B$7:$B$366,C660)</f>
        <v>6.8194444444444446</v>
      </c>
      <c r="J660" s="86">
        <f>SUMIFS('Wind Proxy'!$H$8:$H$19,'Wind Proxy'!$A$8:$A$19,Estimator!$B$4,'Wind Proxy'!$B$8:$B$19,C660)</f>
        <v>0</v>
      </c>
    </row>
    <row r="661" spans="1:10" ht="14.4">
      <c r="A661" s="84">
        <v>46312</v>
      </c>
      <c r="B661" s="85">
        <v>2026</v>
      </c>
      <c r="C661" s="85">
        <v>10</v>
      </c>
      <c r="D661" s="85" t="s">
        <v>75</v>
      </c>
      <c r="E661" s="85">
        <v>17</v>
      </c>
      <c r="F661" s="85">
        <v>6</v>
      </c>
      <c r="G661" s="85">
        <f>--(F661&lt;=Estimator!$B$7)</f>
        <v>0</v>
      </c>
      <c r="H661" s="86">
        <f>SUMIFS('Climate Data'!$G$7:$G$366,'Climate Data'!$A$7:$A$366,Estimator!$B$4,'Climate Data'!$B$7:$B$366,C661)</f>
        <v>0.23225806451612904</v>
      </c>
      <c r="I661" s="87">
        <f>SUMIFS('Climate Data'!$H$7:$H$366,'Climate Data'!$A$7:$A$366,Estimator!$B$4,'Climate Data'!$B$7:$B$366,C661)</f>
        <v>6.8194444444444446</v>
      </c>
      <c r="J661" s="86">
        <f>SUMIFS('Wind Proxy'!$H$8:$H$19,'Wind Proxy'!$A$8:$A$19,Estimator!$B$4,'Wind Proxy'!$B$8:$B$19,C661)</f>
        <v>0</v>
      </c>
    </row>
    <row r="662" spans="1:10" ht="14.4">
      <c r="A662" s="84">
        <v>46313</v>
      </c>
      <c r="B662" s="85">
        <v>2026</v>
      </c>
      <c r="C662" s="85">
        <v>10</v>
      </c>
      <c r="D662" s="85" t="s">
        <v>75</v>
      </c>
      <c r="E662" s="85">
        <v>18</v>
      </c>
      <c r="F662" s="85">
        <v>7</v>
      </c>
      <c r="G662" s="85">
        <f>--(F662&lt;=Estimator!$B$7)</f>
        <v>0</v>
      </c>
      <c r="H662" s="86">
        <f>SUMIFS('Climate Data'!$G$7:$G$366,'Climate Data'!$A$7:$A$366,Estimator!$B$4,'Climate Data'!$B$7:$B$366,C662)</f>
        <v>0.23225806451612904</v>
      </c>
      <c r="I662" s="87">
        <f>SUMIFS('Climate Data'!$H$7:$H$366,'Climate Data'!$A$7:$A$366,Estimator!$B$4,'Climate Data'!$B$7:$B$366,C662)</f>
        <v>6.8194444444444446</v>
      </c>
      <c r="J662" s="86">
        <f>SUMIFS('Wind Proxy'!$H$8:$H$19,'Wind Proxy'!$A$8:$A$19,Estimator!$B$4,'Wind Proxy'!$B$8:$B$19,C662)</f>
        <v>0</v>
      </c>
    </row>
    <row r="663" spans="1:10" ht="14.4">
      <c r="A663" s="84">
        <v>46314</v>
      </c>
      <c r="B663" s="85">
        <v>2026</v>
      </c>
      <c r="C663" s="85">
        <v>10</v>
      </c>
      <c r="D663" s="85" t="s">
        <v>75</v>
      </c>
      <c r="E663" s="85">
        <v>19</v>
      </c>
      <c r="F663" s="85">
        <v>1</v>
      </c>
      <c r="G663" s="85">
        <f>--(F663&lt;=Estimator!$B$7)</f>
        <v>1</v>
      </c>
      <c r="H663" s="86">
        <f>SUMIFS('Climate Data'!$G$7:$G$366,'Climate Data'!$A$7:$A$366,Estimator!$B$4,'Climate Data'!$B$7:$B$366,C663)</f>
        <v>0.23225806451612904</v>
      </c>
      <c r="I663" s="87">
        <f>SUMIFS('Climate Data'!$H$7:$H$366,'Climate Data'!$A$7:$A$366,Estimator!$B$4,'Climate Data'!$B$7:$B$366,C663)</f>
        <v>6.8194444444444446</v>
      </c>
      <c r="J663" s="86">
        <f>SUMIFS('Wind Proxy'!$H$8:$H$19,'Wind Proxy'!$A$8:$A$19,Estimator!$B$4,'Wind Proxy'!$B$8:$B$19,C663)</f>
        <v>0</v>
      </c>
    </row>
    <row r="664" spans="1:10" ht="14.4">
      <c r="A664" s="84">
        <v>46315</v>
      </c>
      <c r="B664" s="85">
        <v>2026</v>
      </c>
      <c r="C664" s="85">
        <v>10</v>
      </c>
      <c r="D664" s="85" t="s">
        <v>75</v>
      </c>
      <c r="E664" s="85">
        <v>20</v>
      </c>
      <c r="F664" s="85">
        <v>2</v>
      </c>
      <c r="G664" s="85">
        <f>--(F664&lt;=Estimator!$B$7)</f>
        <v>1</v>
      </c>
      <c r="H664" s="86">
        <f>SUMIFS('Climate Data'!$G$7:$G$366,'Climate Data'!$A$7:$A$366,Estimator!$B$4,'Climate Data'!$B$7:$B$366,C664)</f>
        <v>0.23225806451612904</v>
      </c>
      <c r="I664" s="87">
        <f>SUMIFS('Climate Data'!$H$7:$H$366,'Climate Data'!$A$7:$A$366,Estimator!$B$4,'Climate Data'!$B$7:$B$366,C664)</f>
        <v>6.8194444444444446</v>
      </c>
      <c r="J664" s="86">
        <f>SUMIFS('Wind Proxy'!$H$8:$H$19,'Wind Proxy'!$A$8:$A$19,Estimator!$B$4,'Wind Proxy'!$B$8:$B$19,C664)</f>
        <v>0</v>
      </c>
    </row>
    <row r="665" spans="1:10" ht="14.4">
      <c r="A665" s="84">
        <v>46316</v>
      </c>
      <c r="B665" s="85">
        <v>2026</v>
      </c>
      <c r="C665" s="85">
        <v>10</v>
      </c>
      <c r="D665" s="85" t="s">
        <v>75</v>
      </c>
      <c r="E665" s="85">
        <v>21</v>
      </c>
      <c r="F665" s="85">
        <v>3</v>
      </c>
      <c r="G665" s="85">
        <f>--(F665&lt;=Estimator!$B$7)</f>
        <v>1</v>
      </c>
      <c r="H665" s="86">
        <f>SUMIFS('Climate Data'!$G$7:$G$366,'Climate Data'!$A$7:$A$366,Estimator!$B$4,'Climate Data'!$B$7:$B$366,C665)</f>
        <v>0.23225806451612904</v>
      </c>
      <c r="I665" s="87">
        <f>SUMIFS('Climate Data'!$H$7:$H$366,'Climate Data'!$A$7:$A$366,Estimator!$B$4,'Climate Data'!$B$7:$B$366,C665)</f>
        <v>6.8194444444444446</v>
      </c>
      <c r="J665" s="86">
        <f>SUMIFS('Wind Proxy'!$H$8:$H$19,'Wind Proxy'!$A$8:$A$19,Estimator!$B$4,'Wind Proxy'!$B$8:$B$19,C665)</f>
        <v>0</v>
      </c>
    </row>
    <row r="666" spans="1:10" ht="14.4">
      <c r="A666" s="84">
        <v>46317</v>
      </c>
      <c r="B666" s="85">
        <v>2026</v>
      </c>
      <c r="C666" s="85">
        <v>10</v>
      </c>
      <c r="D666" s="85" t="s">
        <v>75</v>
      </c>
      <c r="E666" s="85">
        <v>22</v>
      </c>
      <c r="F666" s="85">
        <v>4</v>
      </c>
      <c r="G666" s="85">
        <f>--(F666&lt;=Estimator!$B$7)</f>
        <v>1</v>
      </c>
      <c r="H666" s="86">
        <f>SUMIFS('Climate Data'!$G$7:$G$366,'Climate Data'!$A$7:$A$366,Estimator!$B$4,'Climate Data'!$B$7:$B$366,C666)</f>
        <v>0.23225806451612904</v>
      </c>
      <c r="I666" s="87">
        <f>SUMIFS('Climate Data'!$H$7:$H$366,'Climate Data'!$A$7:$A$366,Estimator!$B$4,'Climate Data'!$B$7:$B$366,C666)</f>
        <v>6.8194444444444446</v>
      </c>
      <c r="J666" s="86">
        <f>SUMIFS('Wind Proxy'!$H$8:$H$19,'Wind Proxy'!$A$8:$A$19,Estimator!$B$4,'Wind Proxy'!$B$8:$B$19,C666)</f>
        <v>0</v>
      </c>
    </row>
    <row r="667" spans="1:10" ht="14.4">
      <c r="A667" s="84">
        <v>46318</v>
      </c>
      <c r="B667" s="85">
        <v>2026</v>
      </c>
      <c r="C667" s="85">
        <v>10</v>
      </c>
      <c r="D667" s="85" t="s">
        <v>75</v>
      </c>
      <c r="E667" s="85">
        <v>23</v>
      </c>
      <c r="F667" s="85">
        <v>5</v>
      </c>
      <c r="G667" s="85">
        <f>--(F667&lt;=Estimator!$B$7)</f>
        <v>1</v>
      </c>
      <c r="H667" s="86">
        <f>SUMIFS('Climate Data'!$G$7:$G$366,'Climate Data'!$A$7:$A$366,Estimator!$B$4,'Climate Data'!$B$7:$B$366,C667)</f>
        <v>0.23225806451612904</v>
      </c>
      <c r="I667" s="87">
        <f>SUMIFS('Climate Data'!$H$7:$H$366,'Climate Data'!$A$7:$A$366,Estimator!$B$4,'Climate Data'!$B$7:$B$366,C667)</f>
        <v>6.8194444444444446</v>
      </c>
      <c r="J667" s="86">
        <f>SUMIFS('Wind Proxy'!$H$8:$H$19,'Wind Proxy'!$A$8:$A$19,Estimator!$B$4,'Wind Proxy'!$B$8:$B$19,C667)</f>
        <v>0</v>
      </c>
    </row>
    <row r="668" spans="1:10" ht="14.4">
      <c r="A668" s="84">
        <v>46319</v>
      </c>
      <c r="B668" s="85">
        <v>2026</v>
      </c>
      <c r="C668" s="85">
        <v>10</v>
      </c>
      <c r="D668" s="85" t="s">
        <v>75</v>
      </c>
      <c r="E668" s="85">
        <v>24</v>
      </c>
      <c r="F668" s="85">
        <v>6</v>
      </c>
      <c r="G668" s="85">
        <f>--(F668&lt;=Estimator!$B$7)</f>
        <v>0</v>
      </c>
      <c r="H668" s="86">
        <f>SUMIFS('Climate Data'!$G$7:$G$366,'Climate Data'!$A$7:$A$366,Estimator!$B$4,'Climate Data'!$B$7:$B$366,C668)</f>
        <v>0.23225806451612904</v>
      </c>
      <c r="I668" s="87">
        <f>SUMIFS('Climate Data'!$H$7:$H$366,'Climate Data'!$A$7:$A$366,Estimator!$B$4,'Climate Data'!$B$7:$B$366,C668)</f>
        <v>6.8194444444444446</v>
      </c>
      <c r="J668" s="86">
        <f>SUMIFS('Wind Proxy'!$H$8:$H$19,'Wind Proxy'!$A$8:$A$19,Estimator!$B$4,'Wind Proxy'!$B$8:$B$19,C668)</f>
        <v>0</v>
      </c>
    </row>
    <row r="669" spans="1:10" ht="14.4">
      <c r="A669" s="84">
        <v>46320</v>
      </c>
      <c r="B669" s="85">
        <v>2026</v>
      </c>
      <c r="C669" s="85">
        <v>10</v>
      </c>
      <c r="D669" s="85" t="s">
        <v>75</v>
      </c>
      <c r="E669" s="85">
        <v>25</v>
      </c>
      <c r="F669" s="85">
        <v>7</v>
      </c>
      <c r="G669" s="85">
        <f>--(F669&lt;=Estimator!$B$7)</f>
        <v>0</v>
      </c>
      <c r="H669" s="86">
        <f>SUMIFS('Climate Data'!$G$7:$G$366,'Climate Data'!$A$7:$A$366,Estimator!$B$4,'Climate Data'!$B$7:$B$366,C669)</f>
        <v>0.23225806451612904</v>
      </c>
      <c r="I669" s="87">
        <f>SUMIFS('Climate Data'!$H$7:$H$366,'Climate Data'!$A$7:$A$366,Estimator!$B$4,'Climate Data'!$B$7:$B$366,C669)</f>
        <v>6.8194444444444446</v>
      </c>
      <c r="J669" s="86">
        <f>SUMIFS('Wind Proxy'!$H$8:$H$19,'Wind Proxy'!$A$8:$A$19,Estimator!$B$4,'Wind Proxy'!$B$8:$B$19,C669)</f>
        <v>0</v>
      </c>
    </row>
    <row r="670" spans="1:10" ht="14.4">
      <c r="A670" s="84">
        <v>46321</v>
      </c>
      <c r="B670" s="85">
        <v>2026</v>
      </c>
      <c r="C670" s="85">
        <v>10</v>
      </c>
      <c r="D670" s="85" t="s">
        <v>75</v>
      </c>
      <c r="E670" s="85">
        <v>26</v>
      </c>
      <c r="F670" s="85">
        <v>1</v>
      </c>
      <c r="G670" s="85">
        <f>--(F670&lt;=Estimator!$B$7)</f>
        <v>1</v>
      </c>
      <c r="H670" s="86">
        <f>SUMIFS('Climate Data'!$G$7:$G$366,'Climate Data'!$A$7:$A$366,Estimator!$B$4,'Climate Data'!$B$7:$B$366,C670)</f>
        <v>0.23225806451612904</v>
      </c>
      <c r="I670" s="87">
        <f>SUMIFS('Climate Data'!$H$7:$H$366,'Climate Data'!$A$7:$A$366,Estimator!$B$4,'Climate Data'!$B$7:$B$366,C670)</f>
        <v>6.8194444444444446</v>
      </c>
      <c r="J670" s="86">
        <f>SUMIFS('Wind Proxy'!$H$8:$H$19,'Wind Proxy'!$A$8:$A$19,Estimator!$B$4,'Wind Proxy'!$B$8:$B$19,C670)</f>
        <v>0</v>
      </c>
    </row>
    <row r="671" spans="1:10" ht="14.4">
      <c r="A671" s="84">
        <v>46322</v>
      </c>
      <c r="B671" s="85">
        <v>2026</v>
      </c>
      <c r="C671" s="85">
        <v>10</v>
      </c>
      <c r="D671" s="85" t="s">
        <v>75</v>
      </c>
      <c r="E671" s="85">
        <v>27</v>
      </c>
      <c r="F671" s="85">
        <v>2</v>
      </c>
      <c r="G671" s="85">
        <f>--(F671&lt;=Estimator!$B$7)</f>
        <v>1</v>
      </c>
      <c r="H671" s="86">
        <f>SUMIFS('Climate Data'!$G$7:$G$366,'Climate Data'!$A$7:$A$366,Estimator!$B$4,'Climate Data'!$B$7:$B$366,C671)</f>
        <v>0.23225806451612904</v>
      </c>
      <c r="I671" s="87">
        <f>SUMIFS('Climate Data'!$H$7:$H$366,'Climate Data'!$A$7:$A$366,Estimator!$B$4,'Climate Data'!$B$7:$B$366,C671)</f>
        <v>6.8194444444444446</v>
      </c>
      <c r="J671" s="86">
        <f>SUMIFS('Wind Proxy'!$H$8:$H$19,'Wind Proxy'!$A$8:$A$19,Estimator!$B$4,'Wind Proxy'!$B$8:$B$19,C671)</f>
        <v>0</v>
      </c>
    </row>
    <row r="672" spans="1:10" ht="14.4">
      <c r="A672" s="84">
        <v>46323</v>
      </c>
      <c r="B672" s="85">
        <v>2026</v>
      </c>
      <c r="C672" s="85">
        <v>10</v>
      </c>
      <c r="D672" s="85" t="s">
        <v>75</v>
      </c>
      <c r="E672" s="85">
        <v>28</v>
      </c>
      <c r="F672" s="85">
        <v>3</v>
      </c>
      <c r="G672" s="85">
        <f>--(F672&lt;=Estimator!$B$7)</f>
        <v>1</v>
      </c>
      <c r="H672" s="86">
        <f>SUMIFS('Climate Data'!$G$7:$G$366,'Climate Data'!$A$7:$A$366,Estimator!$B$4,'Climate Data'!$B$7:$B$366,C672)</f>
        <v>0.23225806451612904</v>
      </c>
      <c r="I672" s="87">
        <f>SUMIFS('Climate Data'!$H$7:$H$366,'Climate Data'!$A$7:$A$366,Estimator!$B$4,'Climate Data'!$B$7:$B$366,C672)</f>
        <v>6.8194444444444446</v>
      </c>
      <c r="J672" s="86">
        <f>SUMIFS('Wind Proxy'!$H$8:$H$19,'Wind Proxy'!$A$8:$A$19,Estimator!$B$4,'Wind Proxy'!$B$8:$B$19,C672)</f>
        <v>0</v>
      </c>
    </row>
    <row r="673" spans="1:10" ht="14.4">
      <c r="A673" s="84">
        <v>46324</v>
      </c>
      <c r="B673" s="85">
        <v>2026</v>
      </c>
      <c r="C673" s="85">
        <v>10</v>
      </c>
      <c r="D673" s="85" t="s">
        <v>75</v>
      </c>
      <c r="E673" s="85">
        <v>29</v>
      </c>
      <c r="F673" s="85">
        <v>4</v>
      </c>
      <c r="G673" s="85">
        <f>--(F673&lt;=Estimator!$B$7)</f>
        <v>1</v>
      </c>
      <c r="H673" s="86">
        <f>SUMIFS('Climate Data'!$G$7:$G$366,'Climate Data'!$A$7:$A$366,Estimator!$B$4,'Climate Data'!$B$7:$B$366,C673)</f>
        <v>0.23225806451612904</v>
      </c>
      <c r="I673" s="87">
        <f>SUMIFS('Climate Data'!$H$7:$H$366,'Climate Data'!$A$7:$A$366,Estimator!$B$4,'Climate Data'!$B$7:$B$366,C673)</f>
        <v>6.8194444444444446</v>
      </c>
      <c r="J673" s="86">
        <f>SUMIFS('Wind Proxy'!$H$8:$H$19,'Wind Proxy'!$A$8:$A$19,Estimator!$B$4,'Wind Proxy'!$B$8:$B$19,C673)</f>
        <v>0</v>
      </c>
    </row>
    <row r="674" spans="1:10" ht="14.4">
      <c r="A674" s="84">
        <v>46325</v>
      </c>
      <c r="B674" s="85">
        <v>2026</v>
      </c>
      <c r="C674" s="85">
        <v>10</v>
      </c>
      <c r="D674" s="85" t="s">
        <v>75</v>
      </c>
      <c r="E674" s="85">
        <v>30</v>
      </c>
      <c r="F674" s="85">
        <v>5</v>
      </c>
      <c r="G674" s="85">
        <f>--(F674&lt;=Estimator!$B$7)</f>
        <v>1</v>
      </c>
      <c r="H674" s="86">
        <f>SUMIFS('Climate Data'!$G$7:$G$366,'Climate Data'!$A$7:$A$366,Estimator!$B$4,'Climate Data'!$B$7:$B$366,C674)</f>
        <v>0.23225806451612904</v>
      </c>
      <c r="I674" s="87">
        <f>SUMIFS('Climate Data'!$H$7:$H$366,'Climate Data'!$A$7:$A$366,Estimator!$B$4,'Climate Data'!$B$7:$B$366,C674)</f>
        <v>6.8194444444444446</v>
      </c>
      <c r="J674" s="86">
        <f>SUMIFS('Wind Proxy'!$H$8:$H$19,'Wind Proxy'!$A$8:$A$19,Estimator!$B$4,'Wind Proxy'!$B$8:$B$19,C674)</f>
        <v>0</v>
      </c>
    </row>
    <row r="675" spans="1:10" ht="14.4">
      <c r="A675" s="84">
        <v>46326</v>
      </c>
      <c r="B675" s="85">
        <v>2026</v>
      </c>
      <c r="C675" s="85">
        <v>10</v>
      </c>
      <c r="D675" s="85" t="s">
        <v>75</v>
      </c>
      <c r="E675" s="85">
        <v>31</v>
      </c>
      <c r="F675" s="85">
        <v>6</v>
      </c>
      <c r="G675" s="85">
        <f>--(F675&lt;=Estimator!$B$7)</f>
        <v>0</v>
      </c>
      <c r="H675" s="86">
        <f>SUMIFS('Climate Data'!$G$7:$G$366,'Climate Data'!$A$7:$A$366,Estimator!$B$4,'Climate Data'!$B$7:$B$366,C675)</f>
        <v>0.23225806451612904</v>
      </c>
      <c r="I675" s="87">
        <f>SUMIFS('Climate Data'!$H$7:$H$366,'Climate Data'!$A$7:$A$366,Estimator!$B$4,'Climate Data'!$B$7:$B$366,C675)</f>
        <v>6.8194444444444446</v>
      </c>
      <c r="J675" s="86">
        <f>SUMIFS('Wind Proxy'!$H$8:$H$19,'Wind Proxy'!$A$8:$A$19,Estimator!$B$4,'Wind Proxy'!$B$8:$B$19,C675)</f>
        <v>0</v>
      </c>
    </row>
    <row r="676" spans="1:10" ht="14.4">
      <c r="A676" s="84">
        <v>46327</v>
      </c>
      <c r="B676" s="85">
        <v>2026</v>
      </c>
      <c r="C676" s="85">
        <v>11</v>
      </c>
      <c r="D676" s="85" t="s">
        <v>76</v>
      </c>
      <c r="E676" s="85">
        <v>1</v>
      </c>
      <c r="F676" s="85">
        <v>7</v>
      </c>
      <c r="G676" s="85">
        <f>--(F676&lt;=Estimator!$B$7)</f>
        <v>0</v>
      </c>
      <c r="H676" s="86">
        <f>SUMIFS('Climate Data'!$G$7:$G$366,'Climate Data'!$A$7:$A$366,Estimator!$B$4,'Climate Data'!$B$7:$B$366,C676)</f>
        <v>0.23333333333333334</v>
      </c>
      <c r="I676" s="87">
        <f>SUMIFS('Climate Data'!$H$7:$H$366,'Climate Data'!$A$7:$A$366,Estimator!$B$4,'Climate Data'!$B$7:$B$366,C676)</f>
        <v>6.4428571428571431</v>
      </c>
      <c r="J676" s="86">
        <f>SUMIFS('Wind Proxy'!$H$8:$H$19,'Wind Proxy'!$A$8:$A$19,Estimator!$B$4,'Wind Proxy'!$B$8:$B$19,C676)</f>
        <v>0</v>
      </c>
    </row>
    <row r="677" spans="1:10" ht="14.4">
      <c r="A677" s="84">
        <v>46328</v>
      </c>
      <c r="B677" s="85">
        <v>2026</v>
      </c>
      <c r="C677" s="85">
        <v>11</v>
      </c>
      <c r="D677" s="85" t="s">
        <v>76</v>
      </c>
      <c r="E677" s="85">
        <v>2</v>
      </c>
      <c r="F677" s="85">
        <v>1</v>
      </c>
      <c r="G677" s="85">
        <f>--(F677&lt;=Estimator!$B$7)</f>
        <v>1</v>
      </c>
      <c r="H677" s="86">
        <f>SUMIFS('Climate Data'!$G$7:$G$366,'Climate Data'!$A$7:$A$366,Estimator!$B$4,'Climate Data'!$B$7:$B$366,C677)</f>
        <v>0.23333333333333334</v>
      </c>
      <c r="I677" s="87">
        <f>SUMIFS('Climate Data'!$H$7:$H$366,'Climate Data'!$A$7:$A$366,Estimator!$B$4,'Climate Data'!$B$7:$B$366,C677)</f>
        <v>6.4428571428571431</v>
      </c>
      <c r="J677" s="86">
        <f>SUMIFS('Wind Proxy'!$H$8:$H$19,'Wind Proxy'!$A$8:$A$19,Estimator!$B$4,'Wind Proxy'!$B$8:$B$19,C677)</f>
        <v>0</v>
      </c>
    </row>
    <row r="678" spans="1:10" ht="14.4">
      <c r="A678" s="84">
        <v>46329</v>
      </c>
      <c r="B678" s="85">
        <v>2026</v>
      </c>
      <c r="C678" s="85">
        <v>11</v>
      </c>
      <c r="D678" s="85" t="s">
        <v>76</v>
      </c>
      <c r="E678" s="85">
        <v>3</v>
      </c>
      <c r="F678" s="85">
        <v>2</v>
      </c>
      <c r="G678" s="85">
        <f>--(F678&lt;=Estimator!$B$7)</f>
        <v>1</v>
      </c>
      <c r="H678" s="86">
        <f>SUMIFS('Climate Data'!$G$7:$G$366,'Climate Data'!$A$7:$A$366,Estimator!$B$4,'Climate Data'!$B$7:$B$366,C678)</f>
        <v>0.23333333333333334</v>
      </c>
      <c r="I678" s="87">
        <f>SUMIFS('Climate Data'!$H$7:$H$366,'Climate Data'!$A$7:$A$366,Estimator!$B$4,'Climate Data'!$B$7:$B$366,C678)</f>
        <v>6.4428571428571431</v>
      </c>
      <c r="J678" s="86">
        <f>SUMIFS('Wind Proxy'!$H$8:$H$19,'Wind Proxy'!$A$8:$A$19,Estimator!$B$4,'Wind Proxy'!$B$8:$B$19,C678)</f>
        <v>0</v>
      </c>
    </row>
    <row r="679" spans="1:10" ht="14.4">
      <c r="A679" s="84">
        <v>46330</v>
      </c>
      <c r="B679" s="85">
        <v>2026</v>
      </c>
      <c r="C679" s="85">
        <v>11</v>
      </c>
      <c r="D679" s="85" t="s">
        <v>76</v>
      </c>
      <c r="E679" s="85">
        <v>4</v>
      </c>
      <c r="F679" s="85">
        <v>3</v>
      </c>
      <c r="G679" s="85">
        <f>--(F679&lt;=Estimator!$B$7)</f>
        <v>1</v>
      </c>
      <c r="H679" s="86">
        <f>SUMIFS('Climate Data'!$G$7:$G$366,'Climate Data'!$A$7:$A$366,Estimator!$B$4,'Climate Data'!$B$7:$B$366,C679)</f>
        <v>0.23333333333333334</v>
      </c>
      <c r="I679" s="87">
        <f>SUMIFS('Climate Data'!$H$7:$H$366,'Climate Data'!$A$7:$A$366,Estimator!$B$4,'Climate Data'!$B$7:$B$366,C679)</f>
        <v>6.4428571428571431</v>
      </c>
      <c r="J679" s="86">
        <f>SUMIFS('Wind Proxy'!$H$8:$H$19,'Wind Proxy'!$A$8:$A$19,Estimator!$B$4,'Wind Proxy'!$B$8:$B$19,C679)</f>
        <v>0</v>
      </c>
    </row>
    <row r="680" spans="1:10" ht="14.4">
      <c r="A680" s="84">
        <v>46331</v>
      </c>
      <c r="B680" s="85">
        <v>2026</v>
      </c>
      <c r="C680" s="85">
        <v>11</v>
      </c>
      <c r="D680" s="85" t="s">
        <v>76</v>
      </c>
      <c r="E680" s="85">
        <v>5</v>
      </c>
      <c r="F680" s="85">
        <v>4</v>
      </c>
      <c r="G680" s="85">
        <f>--(F680&lt;=Estimator!$B$7)</f>
        <v>1</v>
      </c>
      <c r="H680" s="86">
        <f>SUMIFS('Climate Data'!$G$7:$G$366,'Climate Data'!$A$7:$A$366,Estimator!$B$4,'Climate Data'!$B$7:$B$366,C680)</f>
        <v>0.23333333333333334</v>
      </c>
      <c r="I680" s="87">
        <f>SUMIFS('Climate Data'!$H$7:$H$366,'Climate Data'!$A$7:$A$366,Estimator!$B$4,'Climate Data'!$B$7:$B$366,C680)</f>
        <v>6.4428571428571431</v>
      </c>
      <c r="J680" s="86">
        <f>SUMIFS('Wind Proxy'!$H$8:$H$19,'Wind Proxy'!$A$8:$A$19,Estimator!$B$4,'Wind Proxy'!$B$8:$B$19,C680)</f>
        <v>0</v>
      </c>
    </row>
    <row r="681" spans="1:10" ht="14.4">
      <c r="A681" s="84">
        <v>46332</v>
      </c>
      <c r="B681" s="85">
        <v>2026</v>
      </c>
      <c r="C681" s="85">
        <v>11</v>
      </c>
      <c r="D681" s="85" t="s">
        <v>76</v>
      </c>
      <c r="E681" s="85">
        <v>6</v>
      </c>
      <c r="F681" s="85">
        <v>5</v>
      </c>
      <c r="G681" s="85">
        <f>--(F681&lt;=Estimator!$B$7)</f>
        <v>1</v>
      </c>
      <c r="H681" s="86">
        <f>SUMIFS('Climate Data'!$G$7:$G$366,'Climate Data'!$A$7:$A$366,Estimator!$B$4,'Climate Data'!$B$7:$B$366,C681)</f>
        <v>0.23333333333333334</v>
      </c>
      <c r="I681" s="87">
        <f>SUMIFS('Climate Data'!$H$7:$H$366,'Climate Data'!$A$7:$A$366,Estimator!$B$4,'Climate Data'!$B$7:$B$366,C681)</f>
        <v>6.4428571428571431</v>
      </c>
      <c r="J681" s="86">
        <f>SUMIFS('Wind Proxy'!$H$8:$H$19,'Wind Proxy'!$A$8:$A$19,Estimator!$B$4,'Wind Proxy'!$B$8:$B$19,C681)</f>
        <v>0</v>
      </c>
    </row>
    <row r="682" spans="1:10" ht="14.4">
      <c r="A682" s="84">
        <v>46333</v>
      </c>
      <c r="B682" s="85">
        <v>2026</v>
      </c>
      <c r="C682" s="85">
        <v>11</v>
      </c>
      <c r="D682" s="85" t="s">
        <v>76</v>
      </c>
      <c r="E682" s="85">
        <v>7</v>
      </c>
      <c r="F682" s="85">
        <v>6</v>
      </c>
      <c r="G682" s="85">
        <f>--(F682&lt;=Estimator!$B$7)</f>
        <v>0</v>
      </c>
      <c r="H682" s="86">
        <f>SUMIFS('Climate Data'!$G$7:$G$366,'Climate Data'!$A$7:$A$366,Estimator!$B$4,'Climate Data'!$B$7:$B$366,C682)</f>
        <v>0.23333333333333334</v>
      </c>
      <c r="I682" s="87">
        <f>SUMIFS('Climate Data'!$H$7:$H$366,'Climate Data'!$A$7:$A$366,Estimator!$B$4,'Climate Data'!$B$7:$B$366,C682)</f>
        <v>6.4428571428571431</v>
      </c>
      <c r="J682" s="86">
        <f>SUMIFS('Wind Proxy'!$H$8:$H$19,'Wind Proxy'!$A$8:$A$19,Estimator!$B$4,'Wind Proxy'!$B$8:$B$19,C682)</f>
        <v>0</v>
      </c>
    </row>
    <row r="683" spans="1:10" ht="14.4">
      <c r="A683" s="84">
        <v>46334</v>
      </c>
      <c r="B683" s="85">
        <v>2026</v>
      </c>
      <c r="C683" s="85">
        <v>11</v>
      </c>
      <c r="D683" s="85" t="s">
        <v>76</v>
      </c>
      <c r="E683" s="85">
        <v>8</v>
      </c>
      <c r="F683" s="85">
        <v>7</v>
      </c>
      <c r="G683" s="85">
        <f>--(F683&lt;=Estimator!$B$7)</f>
        <v>0</v>
      </c>
      <c r="H683" s="86">
        <f>SUMIFS('Climate Data'!$G$7:$G$366,'Climate Data'!$A$7:$A$366,Estimator!$B$4,'Climate Data'!$B$7:$B$366,C683)</f>
        <v>0.23333333333333334</v>
      </c>
      <c r="I683" s="87">
        <f>SUMIFS('Climate Data'!$H$7:$H$366,'Climate Data'!$A$7:$A$366,Estimator!$B$4,'Climate Data'!$B$7:$B$366,C683)</f>
        <v>6.4428571428571431</v>
      </c>
      <c r="J683" s="86">
        <f>SUMIFS('Wind Proxy'!$H$8:$H$19,'Wind Proxy'!$A$8:$A$19,Estimator!$B$4,'Wind Proxy'!$B$8:$B$19,C683)</f>
        <v>0</v>
      </c>
    </row>
    <row r="684" spans="1:10" ht="14.4">
      <c r="A684" s="84">
        <v>46335</v>
      </c>
      <c r="B684" s="85">
        <v>2026</v>
      </c>
      <c r="C684" s="85">
        <v>11</v>
      </c>
      <c r="D684" s="85" t="s">
        <v>76</v>
      </c>
      <c r="E684" s="85">
        <v>9</v>
      </c>
      <c r="F684" s="85">
        <v>1</v>
      </c>
      <c r="G684" s="85">
        <f>--(F684&lt;=Estimator!$B$7)</f>
        <v>1</v>
      </c>
      <c r="H684" s="86">
        <f>SUMIFS('Climate Data'!$G$7:$G$366,'Climate Data'!$A$7:$A$366,Estimator!$B$4,'Climate Data'!$B$7:$B$366,C684)</f>
        <v>0.23333333333333334</v>
      </c>
      <c r="I684" s="87">
        <f>SUMIFS('Climate Data'!$H$7:$H$366,'Climate Data'!$A$7:$A$366,Estimator!$B$4,'Climate Data'!$B$7:$B$366,C684)</f>
        <v>6.4428571428571431</v>
      </c>
      <c r="J684" s="86">
        <f>SUMIFS('Wind Proxy'!$H$8:$H$19,'Wind Proxy'!$A$8:$A$19,Estimator!$B$4,'Wind Proxy'!$B$8:$B$19,C684)</f>
        <v>0</v>
      </c>
    </row>
    <row r="685" spans="1:10" ht="14.4">
      <c r="A685" s="84">
        <v>46336</v>
      </c>
      <c r="B685" s="85">
        <v>2026</v>
      </c>
      <c r="C685" s="85">
        <v>11</v>
      </c>
      <c r="D685" s="85" t="s">
        <v>76</v>
      </c>
      <c r="E685" s="85">
        <v>10</v>
      </c>
      <c r="F685" s="85">
        <v>2</v>
      </c>
      <c r="G685" s="85">
        <f>--(F685&lt;=Estimator!$B$7)</f>
        <v>1</v>
      </c>
      <c r="H685" s="86">
        <f>SUMIFS('Climate Data'!$G$7:$G$366,'Climate Data'!$A$7:$A$366,Estimator!$B$4,'Climate Data'!$B$7:$B$366,C685)</f>
        <v>0.23333333333333334</v>
      </c>
      <c r="I685" s="87">
        <f>SUMIFS('Climate Data'!$H$7:$H$366,'Climate Data'!$A$7:$A$366,Estimator!$B$4,'Climate Data'!$B$7:$B$366,C685)</f>
        <v>6.4428571428571431</v>
      </c>
      <c r="J685" s="86">
        <f>SUMIFS('Wind Proxy'!$H$8:$H$19,'Wind Proxy'!$A$8:$A$19,Estimator!$B$4,'Wind Proxy'!$B$8:$B$19,C685)</f>
        <v>0</v>
      </c>
    </row>
    <row r="686" spans="1:10" ht="14.4">
      <c r="A686" s="84">
        <v>46337</v>
      </c>
      <c r="B686" s="85">
        <v>2026</v>
      </c>
      <c r="C686" s="85">
        <v>11</v>
      </c>
      <c r="D686" s="85" t="s">
        <v>76</v>
      </c>
      <c r="E686" s="85">
        <v>11</v>
      </c>
      <c r="F686" s="85">
        <v>3</v>
      </c>
      <c r="G686" s="85">
        <f>--(F686&lt;=Estimator!$B$7)</f>
        <v>1</v>
      </c>
      <c r="H686" s="86">
        <f>SUMIFS('Climate Data'!$G$7:$G$366,'Climate Data'!$A$7:$A$366,Estimator!$B$4,'Climate Data'!$B$7:$B$366,C686)</f>
        <v>0.23333333333333334</v>
      </c>
      <c r="I686" s="87">
        <f>SUMIFS('Climate Data'!$H$7:$H$366,'Climate Data'!$A$7:$A$366,Estimator!$B$4,'Climate Data'!$B$7:$B$366,C686)</f>
        <v>6.4428571428571431</v>
      </c>
      <c r="J686" s="86">
        <f>SUMIFS('Wind Proxy'!$H$8:$H$19,'Wind Proxy'!$A$8:$A$19,Estimator!$B$4,'Wind Proxy'!$B$8:$B$19,C686)</f>
        <v>0</v>
      </c>
    </row>
    <row r="687" spans="1:10" ht="14.4">
      <c r="A687" s="84">
        <v>46338</v>
      </c>
      <c r="B687" s="85">
        <v>2026</v>
      </c>
      <c r="C687" s="85">
        <v>11</v>
      </c>
      <c r="D687" s="85" t="s">
        <v>76</v>
      </c>
      <c r="E687" s="85">
        <v>12</v>
      </c>
      <c r="F687" s="85">
        <v>4</v>
      </c>
      <c r="G687" s="85">
        <f>--(F687&lt;=Estimator!$B$7)</f>
        <v>1</v>
      </c>
      <c r="H687" s="86">
        <f>SUMIFS('Climate Data'!$G$7:$G$366,'Climate Data'!$A$7:$A$366,Estimator!$B$4,'Climate Data'!$B$7:$B$366,C687)</f>
        <v>0.23333333333333334</v>
      </c>
      <c r="I687" s="87">
        <f>SUMIFS('Climate Data'!$H$7:$H$366,'Climate Data'!$A$7:$A$366,Estimator!$B$4,'Climate Data'!$B$7:$B$366,C687)</f>
        <v>6.4428571428571431</v>
      </c>
      <c r="J687" s="86">
        <f>SUMIFS('Wind Proxy'!$H$8:$H$19,'Wind Proxy'!$A$8:$A$19,Estimator!$B$4,'Wind Proxy'!$B$8:$B$19,C687)</f>
        <v>0</v>
      </c>
    </row>
    <row r="688" spans="1:10" ht="14.4">
      <c r="A688" s="84">
        <v>46339</v>
      </c>
      <c r="B688" s="85">
        <v>2026</v>
      </c>
      <c r="C688" s="85">
        <v>11</v>
      </c>
      <c r="D688" s="85" t="s">
        <v>76</v>
      </c>
      <c r="E688" s="85">
        <v>13</v>
      </c>
      <c r="F688" s="85">
        <v>5</v>
      </c>
      <c r="G688" s="85">
        <f>--(F688&lt;=Estimator!$B$7)</f>
        <v>1</v>
      </c>
      <c r="H688" s="86">
        <f>SUMIFS('Climate Data'!$G$7:$G$366,'Climate Data'!$A$7:$A$366,Estimator!$B$4,'Climate Data'!$B$7:$B$366,C688)</f>
        <v>0.23333333333333334</v>
      </c>
      <c r="I688" s="87">
        <f>SUMIFS('Climate Data'!$H$7:$H$366,'Climate Data'!$A$7:$A$366,Estimator!$B$4,'Climate Data'!$B$7:$B$366,C688)</f>
        <v>6.4428571428571431</v>
      </c>
      <c r="J688" s="86">
        <f>SUMIFS('Wind Proxy'!$H$8:$H$19,'Wind Proxy'!$A$8:$A$19,Estimator!$B$4,'Wind Proxy'!$B$8:$B$19,C688)</f>
        <v>0</v>
      </c>
    </row>
    <row r="689" spans="1:10" ht="14.4">
      <c r="A689" s="84">
        <v>46340</v>
      </c>
      <c r="B689" s="85">
        <v>2026</v>
      </c>
      <c r="C689" s="85">
        <v>11</v>
      </c>
      <c r="D689" s="85" t="s">
        <v>76</v>
      </c>
      <c r="E689" s="85">
        <v>14</v>
      </c>
      <c r="F689" s="85">
        <v>6</v>
      </c>
      <c r="G689" s="85">
        <f>--(F689&lt;=Estimator!$B$7)</f>
        <v>0</v>
      </c>
      <c r="H689" s="86">
        <f>SUMIFS('Climate Data'!$G$7:$G$366,'Climate Data'!$A$7:$A$366,Estimator!$B$4,'Climate Data'!$B$7:$B$366,C689)</f>
        <v>0.23333333333333334</v>
      </c>
      <c r="I689" s="87">
        <f>SUMIFS('Climate Data'!$H$7:$H$366,'Climate Data'!$A$7:$A$366,Estimator!$B$4,'Climate Data'!$B$7:$B$366,C689)</f>
        <v>6.4428571428571431</v>
      </c>
      <c r="J689" s="86">
        <f>SUMIFS('Wind Proxy'!$H$8:$H$19,'Wind Proxy'!$A$8:$A$19,Estimator!$B$4,'Wind Proxy'!$B$8:$B$19,C689)</f>
        <v>0</v>
      </c>
    </row>
    <row r="690" spans="1:10" ht="14.4">
      <c r="A690" s="84">
        <v>46341</v>
      </c>
      <c r="B690" s="85">
        <v>2026</v>
      </c>
      <c r="C690" s="85">
        <v>11</v>
      </c>
      <c r="D690" s="85" t="s">
        <v>76</v>
      </c>
      <c r="E690" s="85">
        <v>15</v>
      </c>
      <c r="F690" s="85">
        <v>7</v>
      </c>
      <c r="G690" s="85">
        <f>--(F690&lt;=Estimator!$B$7)</f>
        <v>0</v>
      </c>
      <c r="H690" s="86">
        <f>SUMIFS('Climate Data'!$G$7:$G$366,'Climate Data'!$A$7:$A$366,Estimator!$B$4,'Climate Data'!$B$7:$B$366,C690)</f>
        <v>0.23333333333333334</v>
      </c>
      <c r="I690" s="87">
        <f>SUMIFS('Climate Data'!$H$7:$H$366,'Climate Data'!$A$7:$A$366,Estimator!$B$4,'Climate Data'!$B$7:$B$366,C690)</f>
        <v>6.4428571428571431</v>
      </c>
      <c r="J690" s="86">
        <f>SUMIFS('Wind Proxy'!$H$8:$H$19,'Wind Proxy'!$A$8:$A$19,Estimator!$B$4,'Wind Proxy'!$B$8:$B$19,C690)</f>
        <v>0</v>
      </c>
    </row>
    <row r="691" spans="1:10" ht="14.4">
      <c r="A691" s="84">
        <v>46342</v>
      </c>
      <c r="B691" s="85">
        <v>2026</v>
      </c>
      <c r="C691" s="85">
        <v>11</v>
      </c>
      <c r="D691" s="85" t="s">
        <v>76</v>
      </c>
      <c r="E691" s="85">
        <v>16</v>
      </c>
      <c r="F691" s="85">
        <v>1</v>
      </c>
      <c r="G691" s="85">
        <f>--(F691&lt;=Estimator!$B$7)</f>
        <v>1</v>
      </c>
      <c r="H691" s="86">
        <f>SUMIFS('Climate Data'!$G$7:$G$366,'Climate Data'!$A$7:$A$366,Estimator!$B$4,'Climate Data'!$B$7:$B$366,C691)</f>
        <v>0.23333333333333334</v>
      </c>
      <c r="I691" s="87">
        <f>SUMIFS('Climate Data'!$H$7:$H$366,'Climate Data'!$A$7:$A$366,Estimator!$B$4,'Climate Data'!$B$7:$B$366,C691)</f>
        <v>6.4428571428571431</v>
      </c>
      <c r="J691" s="86">
        <f>SUMIFS('Wind Proxy'!$H$8:$H$19,'Wind Proxy'!$A$8:$A$19,Estimator!$B$4,'Wind Proxy'!$B$8:$B$19,C691)</f>
        <v>0</v>
      </c>
    </row>
    <row r="692" spans="1:10" ht="14.4">
      <c r="A692" s="84">
        <v>46343</v>
      </c>
      <c r="B692" s="85">
        <v>2026</v>
      </c>
      <c r="C692" s="85">
        <v>11</v>
      </c>
      <c r="D692" s="85" t="s">
        <v>76</v>
      </c>
      <c r="E692" s="85">
        <v>17</v>
      </c>
      <c r="F692" s="85">
        <v>2</v>
      </c>
      <c r="G692" s="85">
        <f>--(F692&lt;=Estimator!$B$7)</f>
        <v>1</v>
      </c>
      <c r="H692" s="86">
        <f>SUMIFS('Climate Data'!$G$7:$G$366,'Climate Data'!$A$7:$A$366,Estimator!$B$4,'Climate Data'!$B$7:$B$366,C692)</f>
        <v>0.23333333333333334</v>
      </c>
      <c r="I692" s="87">
        <f>SUMIFS('Climate Data'!$H$7:$H$366,'Climate Data'!$A$7:$A$366,Estimator!$B$4,'Climate Data'!$B$7:$B$366,C692)</f>
        <v>6.4428571428571431</v>
      </c>
      <c r="J692" s="86">
        <f>SUMIFS('Wind Proxy'!$H$8:$H$19,'Wind Proxy'!$A$8:$A$19,Estimator!$B$4,'Wind Proxy'!$B$8:$B$19,C692)</f>
        <v>0</v>
      </c>
    </row>
    <row r="693" spans="1:10" ht="14.4">
      <c r="A693" s="84">
        <v>46344</v>
      </c>
      <c r="B693" s="85">
        <v>2026</v>
      </c>
      <c r="C693" s="85">
        <v>11</v>
      </c>
      <c r="D693" s="85" t="s">
        <v>76</v>
      </c>
      <c r="E693" s="85">
        <v>18</v>
      </c>
      <c r="F693" s="85">
        <v>3</v>
      </c>
      <c r="G693" s="85">
        <f>--(F693&lt;=Estimator!$B$7)</f>
        <v>1</v>
      </c>
      <c r="H693" s="86">
        <f>SUMIFS('Climate Data'!$G$7:$G$366,'Climate Data'!$A$7:$A$366,Estimator!$B$4,'Climate Data'!$B$7:$B$366,C693)</f>
        <v>0.23333333333333334</v>
      </c>
      <c r="I693" s="87">
        <f>SUMIFS('Climate Data'!$H$7:$H$366,'Climate Data'!$A$7:$A$366,Estimator!$B$4,'Climate Data'!$B$7:$B$366,C693)</f>
        <v>6.4428571428571431</v>
      </c>
      <c r="J693" s="86">
        <f>SUMIFS('Wind Proxy'!$H$8:$H$19,'Wind Proxy'!$A$8:$A$19,Estimator!$B$4,'Wind Proxy'!$B$8:$B$19,C693)</f>
        <v>0</v>
      </c>
    </row>
    <row r="694" spans="1:10" ht="14.4">
      <c r="A694" s="84">
        <v>46345</v>
      </c>
      <c r="B694" s="85">
        <v>2026</v>
      </c>
      <c r="C694" s="85">
        <v>11</v>
      </c>
      <c r="D694" s="85" t="s">
        <v>76</v>
      </c>
      <c r="E694" s="85">
        <v>19</v>
      </c>
      <c r="F694" s="85">
        <v>4</v>
      </c>
      <c r="G694" s="85">
        <f>--(F694&lt;=Estimator!$B$7)</f>
        <v>1</v>
      </c>
      <c r="H694" s="86">
        <f>SUMIFS('Climate Data'!$G$7:$G$366,'Climate Data'!$A$7:$A$366,Estimator!$B$4,'Climate Data'!$B$7:$B$366,C694)</f>
        <v>0.23333333333333334</v>
      </c>
      <c r="I694" s="87">
        <f>SUMIFS('Climate Data'!$H$7:$H$366,'Climate Data'!$A$7:$A$366,Estimator!$B$4,'Climate Data'!$B$7:$B$366,C694)</f>
        <v>6.4428571428571431</v>
      </c>
      <c r="J694" s="86">
        <f>SUMIFS('Wind Proxy'!$H$8:$H$19,'Wind Proxy'!$A$8:$A$19,Estimator!$B$4,'Wind Proxy'!$B$8:$B$19,C694)</f>
        <v>0</v>
      </c>
    </row>
    <row r="695" spans="1:10" ht="14.4">
      <c r="A695" s="84">
        <v>46346</v>
      </c>
      <c r="B695" s="85">
        <v>2026</v>
      </c>
      <c r="C695" s="85">
        <v>11</v>
      </c>
      <c r="D695" s="85" t="s">
        <v>76</v>
      </c>
      <c r="E695" s="85">
        <v>20</v>
      </c>
      <c r="F695" s="85">
        <v>5</v>
      </c>
      <c r="G695" s="85">
        <f>--(F695&lt;=Estimator!$B$7)</f>
        <v>1</v>
      </c>
      <c r="H695" s="86">
        <f>SUMIFS('Climate Data'!$G$7:$G$366,'Climate Data'!$A$7:$A$366,Estimator!$B$4,'Climate Data'!$B$7:$B$366,C695)</f>
        <v>0.23333333333333334</v>
      </c>
      <c r="I695" s="87">
        <f>SUMIFS('Climate Data'!$H$7:$H$366,'Climate Data'!$A$7:$A$366,Estimator!$B$4,'Climate Data'!$B$7:$B$366,C695)</f>
        <v>6.4428571428571431</v>
      </c>
      <c r="J695" s="86">
        <f>SUMIFS('Wind Proxy'!$H$8:$H$19,'Wind Proxy'!$A$8:$A$19,Estimator!$B$4,'Wind Proxy'!$B$8:$B$19,C695)</f>
        <v>0</v>
      </c>
    </row>
    <row r="696" spans="1:10" ht="14.4">
      <c r="A696" s="84">
        <v>46347</v>
      </c>
      <c r="B696" s="85">
        <v>2026</v>
      </c>
      <c r="C696" s="85">
        <v>11</v>
      </c>
      <c r="D696" s="85" t="s">
        <v>76</v>
      </c>
      <c r="E696" s="85">
        <v>21</v>
      </c>
      <c r="F696" s="85">
        <v>6</v>
      </c>
      <c r="G696" s="85">
        <f>--(F696&lt;=Estimator!$B$7)</f>
        <v>0</v>
      </c>
      <c r="H696" s="86">
        <f>SUMIFS('Climate Data'!$G$7:$G$366,'Climate Data'!$A$7:$A$366,Estimator!$B$4,'Climate Data'!$B$7:$B$366,C696)</f>
        <v>0.23333333333333334</v>
      </c>
      <c r="I696" s="87">
        <f>SUMIFS('Climate Data'!$H$7:$H$366,'Climate Data'!$A$7:$A$366,Estimator!$B$4,'Climate Data'!$B$7:$B$366,C696)</f>
        <v>6.4428571428571431</v>
      </c>
      <c r="J696" s="86">
        <f>SUMIFS('Wind Proxy'!$H$8:$H$19,'Wind Proxy'!$A$8:$A$19,Estimator!$B$4,'Wind Proxy'!$B$8:$B$19,C696)</f>
        <v>0</v>
      </c>
    </row>
    <row r="697" spans="1:10" ht="14.4">
      <c r="A697" s="84">
        <v>46348</v>
      </c>
      <c r="B697" s="85">
        <v>2026</v>
      </c>
      <c r="C697" s="85">
        <v>11</v>
      </c>
      <c r="D697" s="85" t="s">
        <v>76</v>
      </c>
      <c r="E697" s="85">
        <v>22</v>
      </c>
      <c r="F697" s="85">
        <v>7</v>
      </c>
      <c r="G697" s="85">
        <f>--(F697&lt;=Estimator!$B$7)</f>
        <v>0</v>
      </c>
      <c r="H697" s="86">
        <f>SUMIFS('Climate Data'!$G$7:$G$366,'Climate Data'!$A$7:$A$366,Estimator!$B$4,'Climate Data'!$B$7:$B$366,C697)</f>
        <v>0.23333333333333334</v>
      </c>
      <c r="I697" s="87">
        <f>SUMIFS('Climate Data'!$H$7:$H$366,'Climate Data'!$A$7:$A$366,Estimator!$B$4,'Climate Data'!$B$7:$B$366,C697)</f>
        <v>6.4428571428571431</v>
      </c>
      <c r="J697" s="86">
        <f>SUMIFS('Wind Proxy'!$H$8:$H$19,'Wind Proxy'!$A$8:$A$19,Estimator!$B$4,'Wind Proxy'!$B$8:$B$19,C697)</f>
        <v>0</v>
      </c>
    </row>
    <row r="698" spans="1:10" ht="14.4">
      <c r="A698" s="84">
        <v>46349</v>
      </c>
      <c r="B698" s="85">
        <v>2026</v>
      </c>
      <c r="C698" s="85">
        <v>11</v>
      </c>
      <c r="D698" s="85" t="s">
        <v>76</v>
      </c>
      <c r="E698" s="85">
        <v>23</v>
      </c>
      <c r="F698" s="85">
        <v>1</v>
      </c>
      <c r="G698" s="85">
        <f>--(F698&lt;=Estimator!$B$7)</f>
        <v>1</v>
      </c>
      <c r="H698" s="86">
        <f>SUMIFS('Climate Data'!$G$7:$G$366,'Climate Data'!$A$7:$A$366,Estimator!$B$4,'Climate Data'!$B$7:$B$366,C698)</f>
        <v>0.23333333333333334</v>
      </c>
      <c r="I698" s="87">
        <f>SUMIFS('Climate Data'!$H$7:$H$366,'Climate Data'!$A$7:$A$366,Estimator!$B$4,'Climate Data'!$B$7:$B$366,C698)</f>
        <v>6.4428571428571431</v>
      </c>
      <c r="J698" s="86">
        <f>SUMIFS('Wind Proxy'!$H$8:$H$19,'Wind Proxy'!$A$8:$A$19,Estimator!$B$4,'Wind Proxy'!$B$8:$B$19,C698)</f>
        <v>0</v>
      </c>
    </row>
    <row r="699" spans="1:10" ht="14.4">
      <c r="A699" s="84">
        <v>46350</v>
      </c>
      <c r="B699" s="85">
        <v>2026</v>
      </c>
      <c r="C699" s="85">
        <v>11</v>
      </c>
      <c r="D699" s="85" t="s">
        <v>76</v>
      </c>
      <c r="E699" s="85">
        <v>24</v>
      </c>
      <c r="F699" s="85">
        <v>2</v>
      </c>
      <c r="G699" s="85">
        <f>--(F699&lt;=Estimator!$B$7)</f>
        <v>1</v>
      </c>
      <c r="H699" s="86">
        <f>SUMIFS('Climate Data'!$G$7:$G$366,'Climate Data'!$A$7:$A$366,Estimator!$B$4,'Climate Data'!$B$7:$B$366,C699)</f>
        <v>0.23333333333333334</v>
      </c>
      <c r="I699" s="87">
        <f>SUMIFS('Climate Data'!$H$7:$H$366,'Climate Data'!$A$7:$A$366,Estimator!$B$4,'Climate Data'!$B$7:$B$366,C699)</f>
        <v>6.4428571428571431</v>
      </c>
      <c r="J699" s="86">
        <f>SUMIFS('Wind Proxy'!$H$8:$H$19,'Wind Proxy'!$A$8:$A$19,Estimator!$B$4,'Wind Proxy'!$B$8:$B$19,C699)</f>
        <v>0</v>
      </c>
    </row>
    <row r="700" spans="1:10" ht="14.4">
      <c r="A700" s="84">
        <v>46351</v>
      </c>
      <c r="B700" s="85">
        <v>2026</v>
      </c>
      <c r="C700" s="85">
        <v>11</v>
      </c>
      <c r="D700" s="85" t="s">
        <v>76</v>
      </c>
      <c r="E700" s="85">
        <v>25</v>
      </c>
      <c r="F700" s="85">
        <v>3</v>
      </c>
      <c r="G700" s="85">
        <f>--(F700&lt;=Estimator!$B$7)</f>
        <v>1</v>
      </c>
      <c r="H700" s="86">
        <f>SUMIFS('Climate Data'!$G$7:$G$366,'Climate Data'!$A$7:$A$366,Estimator!$B$4,'Climate Data'!$B$7:$B$366,C700)</f>
        <v>0.23333333333333334</v>
      </c>
      <c r="I700" s="87">
        <f>SUMIFS('Climate Data'!$H$7:$H$366,'Climate Data'!$A$7:$A$366,Estimator!$B$4,'Climate Data'!$B$7:$B$366,C700)</f>
        <v>6.4428571428571431</v>
      </c>
      <c r="J700" s="86">
        <f>SUMIFS('Wind Proxy'!$H$8:$H$19,'Wind Proxy'!$A$8:$A$19,Estimator!$B$4,'Wind Proxy'!$B$8:$B$19,C700)</f>
        <v>0</v>
      </c>
    </row>
    <row r="701" spans="1:10" ht="14.4">
      <c r="A701" s="84">
        <v>46352</v>
      </c>
      <c r="B701" s="85">
        <v>2026</v>
      </c>
      <c r="C701" s="85">
        <v>11</v>
      </c>
      <c r="D701" s="85" t="s">
        <v>76</v>
      </c>
      <c r="E701" s="85">
        <v>26</v>
      </c>
      <c r="F701" s="85">
        <v>4</v>
      </c>
      <c r="G701" s="85">
        <f>--(F701&lt;=Estimator!$B$7)</f>
        <v>1</v>
      </c>
      <c r="H701" s="86">
        <f>SUMIFS('Climate Data'!$G$7:$G$366,'Climate Data'!$A$7:$A$366,Estimator!$B$4,'Climate Data'!$B$7:$B$366,C701)</f>
        <v>0.23333333333333334</v>
      </c>
      <c r="I701" s="87">
        <f>SUMIFS('Climate Data'!$H$7:$H$366,'Climate Data'!$A$7:$A$366,Estimator!$B$4,'Climate Data'!$B$7:$B$366,C701)</f>
        <v>6.4428571428571431</v>
      </c>
      <c r="J701" s="86">
        <f>SUMIFS('Wind Proxy'!$H$8:$H$19,'Wind Proxy'!$A$8:$A$19,Estimator!$B$4,'Wind Proxy'!$B$8:$B$19,C701)</f>
        <v>0</v>
      </c>
    </row>
    <row r="702" spans="1:10" ht="14.4">
      <c r="A702" s="84">
        <v>46353</v>
      </c>
      <c r="B702" s="85">
        <v>2026</v>
      </c>
      <c r="C702" s="85">
        <v>11</v>
      </c>
      <c r="D702" s="85" t="s">
        <v>76</v>
      </c>
      <c r="E702" s="85">
        <v>27</v>
      </c>
      <c r="F702" s="85">
        <v>5</v>
      </c>
      <c r="G702" s="85">
        <f>--(F702&lt;=Estimator!$B$7)</f>
        <v>1</v>
      </c>
      <c r="H702" s="86">
        <f>SUMIFS('Climate Data'!$G$7:$G$366,'Climate Data'!$A$7:$A$366,Estimator!$B$4,'Climate Data'!$B$7:$B$366,C702)</f>
        <v>0.23333333333333334</v>
      </c>
      <c r="I702" s="87">
        <f>SUMIFS('Climate Data'!$H$7:$H$366,'Climate Data'!$A$7:$A$366,Estimator!$B$4,'Climate Data'!$B$7:$B$366,C702)</f>
        <v>6.4428571428571431</v>
      </c>
      <c r="J702" s="86">
        <f>SUMIFS('Wind Proxy'!$H$8:$H$19,'Wind Proxy'!$A$8:$A$19,Estimator!$B$4,'Wind Proxy'!$B$8:$B$19,C702)</f>
        <v>0</v>
      </c>
    </row>
    <row r="703" spans="1:10" ht="14.4">
      <c r="A703" s="84">
        <v>46354</v>
      </c>
      <c r="B703" s="85">
        <v>2026</v>
      </c>
      <c r="C703" s="85">
        <v>11</v>
      </c>
      <c r="D703" s="85" t="s">
        <v>76</v>
      </c>
      <c r="E703" s="85">
        <v>28</v>
      </c>
      <c r="F703" s="85">
        <v>6</v>
      </c>
      <c r="G703" s="85">
        <f>--(F703&lt;=Estimator!$B$7)</f>
        <v>0</v>
      </c>
      <c r="H703" s="86">
        <f>SUMIFS('Climate Data'!$G$7:$G$366,'Climate Data'!$A$7:$A$366,Estimator!$B$4,'Climate Data'!$B$7:$B$366,C703)</f>
        <v>0.23333333333333334</v>
      </c>
      <c r="I703" s="87">
        <f>SUMIFS('Climate Data'!$H$7:$H$366,'Climate Data'!$A$7:$A$366,Estimator!$B$4,'Climate Data'!$B$7:$B$366,C703)</f>
        <v>6.4428571428571431</v>
      </c>
      <c r="J703" s="86">
        <f>SUMIFS('Wind Proxy'!$H$8:$H$19,'Wind Proxy'!$A$8:$A$19,Estimator!$B$4,'Wind Proxy'!$B$8:$B$19,C703)</f>
        <v>0</v>
      </c>
    </row>
    <row r="704" spans="1:10" ht="14.4">
      <c r="A704" s="84">
        <v>46355</v>
      </c>
      <c r="B704" s="85">
        <v>2026</v>
      </c>
      <c r="C704" s="85">
        <v>11</v>
      </c>
      <c r="D704" s="85" t="s">
        <v>76</v>
      </c>
      <c r="E704" s="85">
        <v>29</v>
      </c>
      <c r="F704" s="85">
        <v>7</v>
      </c>
      <c r="G704" s="85">
        <f>--(F704&lt;=Estimator!$B$7)</f>
        <v>0</v>
      </c>
      <c r="H704" s="86">
        <f>SUMIFS('Climate Data'!$G$7:$G$366,'Climate Data'!$A$7:$A$366,Estimator!$B$4,'Climate Data'!$B$7:$B$366,C704)</f>
        <v>0.23333333333333334</v>
      </c>
      <c r="I704" s="87">
        <f>SUMIFS('Climate Data'!$H$7:$H$366,'Climate Data'!$A$7:$A$366,Estimator!$B$4,'Climate Data'!$B$7:$B$366,C704)</f>
        <v>6.4428571428571431</v>
      </c>
      <c r="J704" s="86">
        <f>SUMIFS('Wind Proxy'!$H$8:$H$19,'Wind Proxy'!$A$8:$A$19,Estimator!$B$4,'Wind Proxy'!$B$8:$B$19,C704)</f>
        <v>0</v>
      </c>
    </row>
    <row r="705" spans="1:10" ht="14.4">
      <c r="A705" s="84">
        <v>46356</v>
      </c>
      <c r="B705" s="85">
        <v>2026</v>
      </c>
      <c r="C705" s="85">
        <v>11</v>
      </c>
      <c r="D705" s="85" t="s">
        <v>76</v>
      </c>
      <c r="E705" s="85">
        <v>30</v>
      </c>
      <c r="F705" s="85">
        <v>1</v>
      </c>
      <c r="G705" s="85">
        <f>--(F705&lt;=Estimator!$B$7)</f>
        <v>1</v>
      </c>
      <c r="H705" s="86">
        <f>SUMIFS('Climate Data'!$G$7:$G$366,'Climate Data'!$A$7:$A$366,Estimator!$B$4,'Climate Data'!$B$7:$B$366,C705)</f>
        <v>0.23333333333333334</v>
      </c>
      <c r="I705" s="87">
        <f>SUMIFS('Climate Data'!$H$7:$H$366,'Climate Data'!$A$7:$A$366,Estimator!$B$4,'Climate Data'!$B$7:$B$366,C705)</f>
        <v>6.4428571428571431</v>
      </c>
      <c r="J705" s="86">
        <f>SUMIFS('Wind Proxy'!$H$8:$H$19,'Wind Proxy'!$A$8:$A$19,Estimator!$B$4,'Wind Proxy'!$B$8:$B$19,C705)</f>
        <v>0</v>
      </c>
    </row>
    <row r="706" spans="1:10" ht="14.4">
      <c r="A706" s="84">
        <v>46357</v>
      </c>
      <c r="B706" s="85">
        <v>2026</v>
      </c>
      <c r="C706" s="85">
        <v>12</v>
      </c>
      <c r="D706" s="85" t="s">
        <v>77</v>
      </c>
      <c r="E706" s="85">
        <v>1</v>
      </c>
      <c r="F706" s="85">
        <v>2</v>
      </c>
      <c r="G706" s="85">
        <f>--(F706&lt;=Estimator!$B$7)</f>
        <v>1</v>
      </c>
      <c r="H706" s="86">
        <f>SUMIFS('Climate Data'!$G$7:$G$366,'Climate Data'!$A$7:$A$366,Estimator!$B$4,'Climate Data'!$B$7:$B$366,C706)</f>
        <v>0.22688172043010751</v>
      </c>
      <c r="I706" s="87">
        <f>SUMIFS('Climate Data'!$H$7:$H$366,'Climate Data'!$A$7:$A$366,Estimator!$B$4,'Climate Data'!$B$7:$B$366,C706)</f>
        <v>6.7962085308056865</v>
      </c>
      <c r="J706" s="86">
        <f>SUMIFS('Wind Proxy'!$H$8:$H$19,'Wind Proxy'!$A$8:$A$19,Estimator!$B$4,'Wind Proxy'!$B$8:$B$19,C706)</f>
        <v>0</v>
      </c>
    </row>
    <row r="707" spans="1:10" ht="14.4">
      <c r="A707" s="84">
        <v>46358</v>
      </c>
      <c r="B707" s="85">
        <v>2026</v>
      </c>
      <c r="C707" s="85">
        <v>12</v>
      </c>
      <c r="D707" s="85" t="s">
        <v>77</v>
      </c>
      <c r="E707" s="85">
        <v>2</v>
      </c>
      <c r="F707" s="85">
        <v>3</v>
      </c>
      <c r="G707" s="85">
        <f>--(F707&lt;=Estimator!$B$7)</f>
        <v>1</v>
      </c>
      <c r="H707" s="86">
        <f>SUMIFS('Climate Data'!$G$7:$G$366,'Climate Data'!$A$7:$A$366,Estimator!$B$4,'Climate Data'!$B$7:$B$366,C707)</f>
        <v>0.22688172043010751</v>
      </c>
      <c r="I707" s="87">
        <f>SUMIFS('Climate Data'!$H$7:$H$366,'Climate Data'!$A$7:$A$366,Estimator!$B$4,'Climate Data'!$B$7:$B$366,C707)</f>
        <v>6.7962085308056865</v>
      </c>
      <c r="J707" s="86">
        <f>SUMIFS('Wind Proxy'!$H$8:$H$19,'Wind Proxy'!$A$8:$A$19,Estimator!$B$4,'Wind Proxy'!$B$8:$B$19,C707)</f>
        <v>0</v>
      </c>
    </row>
    <row r="708" spans="1:10" ht="14.4">
      <c r="A708" s="84">
        <v>46359</v>
      </c>
      <c r="B708" s="85">
        <v>2026</v>
      </c>
      <c r="C708" s="85">
        <v>12</v>
      </c>
      <c r="D708" s="85" t="s">
        <v>77</v>
      </c>
      <c r="E708" s="85">
        <v>3</v>
      </c>
      <c r="F708" s="85">
        <v>4</v>
      </c>
      <c r="G708" s="85">
        <f>--(F708&lt;=Estimator!$B$7)</f>
        <v>1</v>
      </c>
      <c r="H708" s="86">
        <f>SUMIFS('Climate Data'!$G$7:$G$366,'Climate Data'!$A$7:$A$366,Estimator!$B$4,'Climate Data'!$B$7:$B$366,C708)</f>
        <v>0.22688172043010751</v>
      </c>
      <c r="I708" s="87">
        <f>SUMIFS('Climate Data'!$H$7:$H$366,'Climate Data'!$A$7:$A$366,Estimator!$B$4,'Climate Data'!$B$7:$B$366,C708)</f>
        <v>6.7962085308056865</v>
      </c>
      <c r="J708" s="86">
        <f>SUMIFS('Wind Proxy'!$H$8:$H$19,'Wind Proxy'!$A$8:$A$19,Estimator!$B$4,'Wind Proxy'!$B$8:$B$19,C708)</f>
        <v>0</v>
      </c>
    </row>
    <row r="709" spans="1:10" ht="14.4">
      <c r="A709" s="84">
        <v>46360</v>
      </c>
      <c r="B709" s="85">
        <v>2026</v>
      </c>
      <c r="C709" s="85">
        <v>12</v>
      </c>
      <c r="D709" s="85" t="s">
        <v>77</v>
      </c>
      <c r="E709" s="85">
        <v>4</v>
      </c>
      <c r="F709" s="85">
        <v>5</v>
      </c>
      <c r="G709" s="85">
        <f>--(F709&lt;=Estimator!$B$7)</f>
        <v>1</v>
      </c>
      <c r="H709" s="86">
        <f>SUMIFS('Climate Data'!$G$7:$G$366,'Climate Data'!$A$7:$A$366,Estimator!$B$4,'Climate Data'!$B$7:$B$366,C709)</f>
        <v>0.22688172043010751</v>
      </c>
      <c r="I709" s="87">
        <f>SUMIFS('Climate Data'!$H$7:$H$366,'Climate Data'!$A$7:$A$366,Estimator!$B$4,'Climate Data'!$B$7:$B$366,C709)</f>
        <v>6.7962085308056865</v>
      </c>
      <c r="J709" s="86">
        <f>SUMIFS('Wind Proxy'!$H$8:$H$19,'Wind Proxy'!$A$8:$A$19,Estimator!$B$4,'Wind Proxy'!$B$8:$B$19,C709)</f>
        <v>0</v>
      </c>
    </row>
    <row r="710" spans="1:10" ht="14.4">
      <c r="A710" s="84">
        <v>46361</v>
      </c>
      <c r="B710" s="85">
        <v>2026</v>
      </c>
      <c r="C710" s="85">
        <v>12</v>
      </c>
      <c r="D710" s="85" t="s">
        <v>77</v>
      </c>
      <c r="E710" s="85">
        <v>5</v>
      </c>
      <c r="F710" s="85">
        <v>6</v>
      </c>
      <c r="G710" s="85">
        <f>--(F710&lt;=Estimator!$B$7)</f>
        <v>0</v>
      </c>
      <c r="H710" s="86">
        <f>SUMIFS('Climate Data'!$G$7:$G$366,'Climate Data'!$A$7:$A$366,Estimator!$B$4,'Climate Data'!$B$7:$B$366,C710)</f>
        <v>0.22688172043010751</v>
      </c>
      <c r="I710" s="87">
        <f>SUMIFS('Climate Data'!$H$7:$H$366,'Climate Data'!$A$7:$A$366,Estimator!$B$4,'Climate Data'!$B$7:$B$366,C710)</f>
        <v>6.7962085308056865</v>
      </c>
      <c r="J710" s="86">
        <f>SUMIFS('Wind Proxy'!$H$8:$H$19,'Wind Proxy'!$A$8:$A$19,Estimator!$B$4,'Wind Proxy'!$B$8:$B$19,C710)</f>
        <v>0</v>
      </c>
    </row>
    <row r="711" spans="1:10" ht="14.4">
      <c r="A711" s="84">
        <v>46362</v>
      </c>
      <c r="B711" s="85">
        <v>2026</v>
      </c>
      <c r="C711" s="85">
        <v>12</v>
      </c>
      <c r="D711" s="85" t="s">
        <v>77</v>
      </c>
      <c r="E711" s="85">
        <v>6</v>
      </c>
      <c r="F711" s="85">
        <v>7</v>
      </c>
      <c r="G711" s="85">
        <f>--(F711&lt;=Estimator!$B$7)</f>
        <v>0</v>
      </c>
      <c r="H711" s="86">
        <f>SUMIFS('Climate Data'!$G$7:$G$366,'Climate Data'!$A$7:$A$366,Estimator!$B$4,'Climate Data'!$B$7:$B$366,C711)</f>
        <v>0.22688172043010751</v>
      </c>
      <c r="I711" s="87">
        <f>SUMIFS('Climate Data'!$H$7:$H$366,'Climate Data'!$A$7:$A$366,Estimator!$B$4,'Climate Data'!$B$7:$B$366,C711)</f>
        <v>6.7962085308056865</v>
      </c>
      <c r="J711" s="86">
        <f>SUMIFS('Wind Proxy'!$H$8:$H$19,'Wind Proxy'!$A$8:$A$19,Estimator!$B$4,'Wind Proxy'!$B$8:$B$19,C711)</f>
        <v>0</v>
      </c>
    </row>
    <row r="712" spans="1:10" ht="14.4">
      <c r="A712" s="84">
        <v>46363</v>
      </c>
      <c r="B712" s="85">
        <v>2026</v>
      </c>
      <c r="C712" s="85">
        <v>12</v>
      </c>
      <c r="D712" s="85" t="s">
        <v>77</v>
      </c>
      <c r="E712" s="85">
        <v>7</v>
      </c>
      <c r="F712" s="85">
        <v>1</v>
      </c>
      <c r="G712" s="85">
        <f>--(F712&lt;=Estimator!$B$7)</f>
        <v>1</v>
      </c>
      <c r="H712" s="86">
        <f>SUMIFS('Climate Data'!$G$7:$G$366,'Climate Data'!$A$7:$A$366,Estimator!$B$4,'Climate Data'!$B$7:$B$366,C712)</f>
        <v>0.22688172043010751</v>
      </c>
      <c r="I712" s="87">
        <f>SUMIFS('Climate Data'!$H$7:$H$366,'Climate Data'!$A$7:$A$366,Estimator!$B$4,'Climate Data'!$B$7:$B$366,C712)</f>
        <v>6.7962085308056865</v>
      </c>
      <c r="J712" s="86">
        <f>SUMIFS('Wind Proxy'!$H$8:$H$19,'Wind Proxy'!$A$8:$A$19,Estimator!$B$4,'Wind Proxy'!$B$8:$B$19,C712)</f>
        <v>0</v>
      </c>
    </row>
    <row r="713" spans="1:10" ht="14.4">
      <c r="A713" s="84">
        <v>46364</v>
      </c>
      <c r="B713" s="85">
        <v>2026</v>
      </c>
      <c r="C713" s="85">
        <v>12</v>
      </c>
      <c r="D713" s="85" t="s">
        <v>77</v>
      </c>
      <c r="E713" s="85">
        <v>8</v>
      </c>
      <c r="F713" s="85">
        <v>2</v>
      </c>
      <c r="G713" s="85">
        <f>--(F713&lt;=Estimator!$B$7)</f>
        <v>1</v>
      </c>
      <c r="H713" s="86">
        <f>SUMIFS('Climate Data'!$G$7:$G$366,'Climate Data'!$A$7:$A$366,Estimator!$B$4,'Climate Data'!$B$7:$B$366,C713)</f>
        <v>0.22688172043010751</v>
      </c>
      <c r="I713" s="87">
        <f>SUMIFS('Climate Data'!$H$7:$H$366,'Climate Data'!$A$7:$A$366,Estimator!$B$4,'Climate Data'!$B$7:$B$366,C713)</f>
        <v>6.7962085308056865</v>
      </c>
      <c r="J713" s="86">
        <f>SUMIFS('Wind Proxy'!$H$8:$H$19,'Wind Proxy'!$A$8:$A$19,Estimator!$B$4,'Wind Proxy'!$B$8:$B$19,C713)</f>
        <v>0</v>
      </c>
    </row>
    <row r="714" spans="1:10" ht="14.4">
      <c r="A714" s="84">
        <v>46365</v>
      </c>
      <c r="B714" s="85">
        <v>2026</v>
      </c>
      <c r="C714" s="85">
        <v>12</v>
      </c>
      <c r="D714" s="85" t="s">
        <v>77</v>
      </c>
      <c r="E714" s="85">
        <v>9</v>
      </c>
      <c r="F714" s="85">
        <v>3</v>
      </c>
      <c r="G714" s="85">
        <f>--(F714&lt;=Estimator!$B$7)</f>
        <v>1</v>
      </c>
      <c r="H714" s="86">
        <f>SUMIFS('Climate Data'!$G$7:$G$366,'Climate Data'!$A$7:$A$366,Estimator!$B$4,'Climate Data'!$B$7:$B$366,C714)</f>
        <v>0.22688172043010751</v>
      </c>
      <c r="I714" s="87">
        <f>SUMIFS('Climate Data'!$H$7:$H$366,'Climate Data'!$A$7:$A$366,Estimator!$B$4,'Climate Data'!$B$7:$B$366,C714)</f>
        <v>6.7962085308056865</v>
      </c>
      <c r="J714" s="86">
        <f>SUMIFS('Wind Proxy'!$H$8:$H$19,'Wind Proxy'!$A$8:$A$19,Estimator!$B$4,'Wind Proxy'!$B$8:$B$19,C714)</f>
        <v>0</v>
      </c>
    </row>
    <row r="715" spans="1:10" ht="14.4">
      <c r="A715" s="84">
        <v>46366</v>
      </c>
      <c r="B715" s="85">
        <v>2026</v>
      </c>
      <c r="C715" s="85">
        <v>12</v>
      </c>
      <c r="D715" s="85" t="s">
        <v>77</v>
      </c>
      <c r="E715" s="85">
        <v>10</v>
      </c>
      <c r="F715" s="85">
        <v>4</v>
      </c>
      <c r="G715" s="85">
        <f>--(F715&lt;=Estimator!$B$7)</f>
        <v>1</v>
      </c>
      <c r="H715" s="86">
        <f>SUMIFS('Climate Data'!$G$7:$G$366,'Climate Data'!$A$7:$A$366,Estimator!$B$4,'Climate Data'!$B$7:$B$366,C715)</f>
        <v>0.22688172043010751</v>
      </c>
      <c r="I715" s="87">
        <f>SUMIFS('Climate Data'!$H$7:$H$366,'Climate Data'!$A$7:$A$366,Estimator!$B$4,'Climate Data'!$B$7:$B$366,C715)</f>
        <v>6.7962085308056865</v>
      </c>
      <c r="J715" s="86">
        <f>SUMIFS('Wind Proxy'!$H$8:$H$19,'Wind Proxy'!$A$8:$A$19,Estimator!$B$4,'Wind Proxy'!$B$8:$B$19,C715)</f>
        <v>0</v>
      </c>
    </row>
    <row r="716" spans="1:10" ht="14.4">
      <c r="A716" s="84">
        <v>46367</v>
      </c>
      <c r="B716" s="85">
        <v>2026</v>
      </c>
      <c r="C716" s="85">
        <v>12</v>
      </c>
      <c r="D716" s="85" t="s">
        <v>77</v>
      </c>
      <c r="E716" s="85">
        <v>11</v>
      </c>
      <c r="F716" s="85">
        <v>5</v>
      </c>
      <c r="G716" s="85">
        <f>--(F716&lt;=Estimator!$B$7)</f>
        <v>1</v>
      </c>
      <c r="H716" s="86">
        <f>SUMIFS('Climate Data'!$G$7:$G$366,'Climate Data'!$A$7:$A$366,Estimator!$B$4,'Climate Data'!$B$7:$B$366,C716)</f>
        <v>0.22688172043010751</v>
      </c>
      <c r="I716" s="87">
        <f>SUMIFS('Climate Data'!$H$7:$H$366,'Climate Data'!$A$7:$A$366,Estimator!$B$4,'Climate Data'!$B$7:$B$366,C716)</f>
        <v>6.7962085308056865</v>
      </c>
      <c r="J716" s="86">
        <f>SUMIFS('Wind Proxy'!$H$8:$H$19,'Wind Proxy'!$A$8:$A$19,Estimator!$B$4,'Wind Proxy'!$B$8:$B$19,C716)</f>
        <v>0</v>
      </c>
    </row>
    <row r="717" spans="1:10" ht="14.4">
      <c r="A717" s="84">
        <v>46368</v>
      </c>
      <c r="B717" s="85">
        <v>2026</v>
      </c>
      <c r="C717" s="85">
        <v>12</v>
      </c>
      <c r="D717" s="85" t="s">
        <v>77</v>
      </c>
      <c r="E717" s="85">
        <v>12</v>
      </c>
      <c r="F717" s="85">
        <v>6</v>
      </c>
      <c r="G717" s="85">
        <f>--(F717&lt;=Estimator!$B$7)</f>
        <v>0</v>
      </c>
      <c r="H717" s="86">
        <f>SUMIFS('Climate Data'!$G$7:$G$366,'Climate Data'!$A$7:$A$366,Estimator!$B$4,'Climate Data'!$B$7:$B$366,C717)</f>
        <v>0.22688172043010751</v>
      </c>
      <c r="I717" s="87">
        <f>SUMIFS('Climate Data'!$H$7:$H$366,'Climate Data'!$A$7:$A$366,Estimator!$B$4,'Climate Data'!$B$7:$B$366,C717)</f>
        <v>6.7962085308056865</v>
      </c>
      <c r="J717" s="86">
        <f>SUMIFS('Wind Proxy'!$H$8:$H$19,'Wind Proxy'!$A$8:$A$19,Estimator!$B$4,'Wind Proxy'!$B$8:$B$19,C717)</f>
        <v>0</v>
      </c>
    </row>
    <row r="718" spans="1:10" ht="14.4">
      <c r="A718" s="84">
        <v>46369</v>
      </c>
      <c r="B718" s="85">
        <v>2026</v>
      </c>
      <c r="C718" s="85">
        <v>12</v>
      </c>
      <c r="D718" s="85" t="s">
        <v>77</v>
      </c>
      <c r="E718" s="85">
        <v>13</v>
      </c>
      <c r="F718" s="85">
        <v>7</v>
      </c>
      <c r="G718" s="85">
        <f>--(F718&lt;=Estimator!$B$7)</f>
        <v>0</v>
      </c>
      <c r="H718" s="86">
        <f>SUMIFS('Climate Data'!$G$7:$G$366,'Climate Data'!$A$7:$A$366,Estimator!$B$4,'Climate Data'!$B$7:$B$366,C718)</f>
        <v>0.22688172043010751</v>
      </c>
      <c r="I718" s="87">
        <f>SUMIFS('Climate Data'!$H$7:$H$366,'Climate Data'!$A$7:$A$366,Estimator!$B$4,'Climate Data'!$B$7:$B$366,C718)</f>
        <v>6.7962085308056865</v>
      </c>
      <c r="J718" s="86">
        <f>SUMIFS('Wind Proxy'!$H$8:$H$19,'Wind Proxy'!$A$8:$A$19,Estimator!$B$4,'Wind Proxy'!$B$8:$B$19,C718)</f>
        <v>0</v>
      </c>
    </row>
    <row r="719" spans="1:10" ht="14.4">
      <c r="A719" s="84">
        <v>46370</v>
      </c>
      <c r="B719" s="85">
        <v>2026</v>
      </c>
      <c r="C719" s="85">
        <v>12</v>
      </c>
      <c r="D719" s="85" t="s">
        <v>77</v>
      </c>
      <c r="E719" s="85">
        <v>14</v>
      </c>
      <c r="F719" s="85">
        <v>1</v>
      </c>
      <c r="G719" s="85">
        <f>--(F719&lt;=Estimator!$B$7)</f>
        <v>1</v>
      </c>
      <c r="H719" s="86">
        <f>SUMIFS('Climate Data'!$G$7:$G$366,'Climate Data'!$A$7:$A$366,Estimator!$B$4,'Climate Data'!$B$7:$B$366,C719)</f>
        <v>0.22688172043010751</v>
      </c>
      <c r="I719" s="87">
        <f>SUMIFS('Climate Data'!$H$7:$H$366,'Climate Data'!$A$7:$A$366,Estimator!$B$4,'Climate Data'!$B$7:$B$366,C719)</f>
        <v>6.7962085308056865</v>
      </c>
      <c r="J719" s="86">
        <f>SUMIFS('Wind Proxy'!$H$8:$H$19,'Wind Proxy'!$A$8:$A$19,Estimator!$B$4,'Wind Proxy'!$B$8:$B$19,C719)</f>
        <v>0</v>
      </c>
    </row>
    <row r="720" spans="1:10" ht="14.4">
      <c r="A720" s="84">
        <v>46371</v>
      </c>
      <c r="B720" s="85">
        <v>2026</v>
      </c>
      <c r="C720" s="85">
        <v>12</v>
      </c>
      <c r="D720" s="85" t="s">
        <v>77</v>
      </c>
      <c r="E720" s="85">
        <v>15</v>
      </c>
      <c r="F720" s="85">
        <v>2</v>
      </c>
      <c r="G720" s="85">
        <f>--(F720&lt;=Estimator!$B$7)</f>
        <v>1</v>
      </c>
      <c r="H720" s="86">
        <f>SUMIFS('Climate Data'!$G$7:$G$366,'Climate Data'!$A$7:$A$366,Estimator!$B$4,'Climate Data'!$B$7:$B$366,C720)</f>
        <v>0.22688172043010751</v>
      </c>
      <c r="I720" s="87">
        <f>SUMIFS('Climate Data'!$H$7:$H$366,'Climate Data'!$A$7:$A$366,Estimator!$B$4,'Climate Data'!$B$7:$B$366,C720)</f>
        <v>6.7962085308056865</v>
      </c>
      <c r="J720" s="86">
        <f>SUMIFS('Wind Proxy'!$H$8:$H$19,'Wind Proxy'!$A$8:$A$19,Estimator!$B$4,'Wind Proxy'!$B$8:$B$19,C720)</f>
        <v>0</v>
      </c>
    </row>
    <row r="721" spans="1:10" ht="14.4">
      <c r="A721" s="84">
        <v>46372</v>
      </c>
      <c r="B721" s="85">
        <v>2026</v>
      </c>
      <c r="C721" s="85">
        <v>12</v>
      </c>
      <c r="D721" s="85" t="s">
        <v>77</v>
      </c>
      <c r="E721" s="85">
        <v>16</v>
      </c>
      <c r="F721" s="85">
        <v>3</v>
      </c>
      <c r="G721" s="85">
        <f>--(F721&lt;=Estimator!$B$7)</f>
        <v>1</v>
      </c>
      <c r="H721" s="86">
        <f>SUMIFS('Climate Data'!$G$7:$G$366,'Climate Data'!$A$7:$A$366,Estimator!$B$4,'Climate Data'!$B$7:$B$366,C721)</f>
        <v>0.22688172043010751</v>
      </c>
      <c r="I721" s="87">
        <f>SUMIFS('Climate Data'!$H$7:$H$366,'Climate Data'!$A$7:$A$366,Estimator!$B$4,'Climate Data'!$B$7:$B$366,C721)</f>
        <v>6.7962085308056865</v>
      </c>
      <c r="J721" s="86">
        <f>SUMIFS('Wind Proxy'!$H$8:$H$19,'Wind Proxy'!$A$8:$A$19,Estimator!$B$4,'Wind Proxy'!$B$8:$B$19,C721)</f>
        <v>0</v>
      </c>
    </row>
    <row r="722" spans="1:10" ht="14.4">
      <c r="A722" s="84">
        <v>46373</v>
      </c>
      <c r="B722" s="85">
        <v>2026</v>
      </c>
      <c r="C722" s="85">
        <v>12</v>
      </c>
      <c r="D722" s="85" t="s">
        <v>77</v>
      </c>
      <c r="E722" s="85">
        <v>17</v>
      </c>
      <c r="F722" s="85">
        <v>4</v>
      </c>
      <c r="G722" s="85">
        <f>--(F722&lt;=Estimator!$B$7)</f>
        <v>1</v>
      </c>
      <c r="H722" s="86">
        <f>SUMIFS('Climate Data'!$G$7:$G$366,'Climate Data'!$A$7:$A$366,Estimator!$B$4,'Climate Data'!$B$7:$B$366,C722)</f>
        <v>0.22688172043010751</v>
      </c>
      <c r="I722" s="87">
        <f>SUMIFS('Climate Data'!$H$7:$H$366,'Climate Data'!$A$7:$A$366,Estimator!$B$4,'Climate Data'!$B$7:$B$366,C722)</f>
        <v>6.7962085308056865</v>
      </c>
      <c r="J722" s="86">
        <f>SUMIFS('Wind Proxy'!$H$8:$H$19,'Wind Proxy'!$A$8:$A$19,Estimator!$B$4,'Wind Proxy'!$B$8:$B$19,C722)</f>
        <v>0</v>
      </c>
    </row>
    <row r="723" spans="1:10" ht="14.4">
      <c r="A723" s="84">
        <v>46374</v>
      </c>
      <c r="B723" s="85">
        <v>2026</v>
      </c>
      <c r="C723" s="85">
        <v>12</v>
      </c>
      <c r="D723" s="85" t="s">
        <v>77</v>
      </c>
      <c r="E723" s="85">
        <v>18</v>
      </c>
      <c r="F723" s="85">
        <v>5</v>
      </c>
      <c r="G723" s="85">
        <f>--(F723&lt;=Estimator!$B$7)</f>
        <v>1</v>
      </c>
      <c r="H723" s="86">
        <f>SUMIFS('Climate Data'!$G$7:$G$366,'Climate Data'!$A$7:$A$366,Estimator!$B$4,'Climate Data'!$B$7:$B$366,C723)</f>
        <v>0.22688172043010751</v>
      </c>
      <c r="I723" s="87">
        <f>SUMIFS('Climate Data'!$H$7:$H$366,'Climate Data'!$A$7:$A$366,Estimator!$B$4,'Climate Data'!$B$7:$B$366,C723)</f>
        <v>6.7962085308056865</v>
      </c>
      <c r="J723" s="86">
        <f>SUMIFS('Wind Proxy'!$H$8:$H$19,'Wind Proxy'!$A$8:$A$19,Estimator!$B$4,'Wind Proxy'!$B$8:$B$19,C723)</f>
        <v>0</v>
      </c>
    </row>
    <row r="724" spans="1:10" ht="14.4">
      <c r="A724" s="84">
        <v>46375</v>
      </c>
      <c r="B724" s="85">
        <v>2026</v>
      </c>
      <c r="C724" s="85">
        <v>12</v>
      </c>
      <c r="D724" s="85" t="s">
        <v>77</v>
      </c>
      <c r="E724" s="85">
        <v>19</v>
      </c>
      <c r="F724" s="85">
        <v>6</v>
      </c>
      <c r="G724" s="85">
        <f>--(F724&lt;=Estimator!$B$7)</f>
        <v>0</v>
      </c>
      <c r="H724" s="86">
        <f>SUMIFS('Climate Data'!$G$7:$G$366,'Climate Data'!$A$7:$A$366,Estimator!$B$4,'Climate Data'!$B$7:$B$366,C724)</f>
        <v>0.22688172043010751</v>
      </c>
      <c r="I724" s="87">
        <f>SUMIFS('Climate Data'!$H$7:$H$366,'Climate Data'!$A$7:$A$366,Estimator!$B$4,'Climate Data'!$B$7:$B$366,C724)</f>
        <v>6.7962085308056865</v>
      </c>
      <c r="J724" s="86">
        <f>SUMIFS('Wind Proxy'!$H$8:$H$19,'Wind Proxy'!$A$8:$A$19,Estimator!$B$4,'Wind Proxy'!$B$8:$B$19,C724)</f>
        <v>0</v>
      </c>
    </row>
    <row r="725" spans="1:10" ht="14.4">
      <c r="A725" s="84">
        <v>46376</v>
      </c>
      <c r="B725" s="85">
        <v>2026</v>
      </c>
      <c r="C725" s="85">
        <v>12</v>
      </c>
      <c r="D725" s="85" t="s">
        <v>77</v>
      </c>
      <c r="E725" s="85">
        <v>20</v>
      </c>
      <c r="F725" s="85">
        <v>7</v>
      </c>
      <c r="G725" s="85">
        <f>--(F725&lt;=Estimator!$B$7)</f>
        <v>0</v>
      </c>
      <c r="H725" s="86">
        <f>SUMIFS('Climate Data'!$G$7:$G$366,'Climate Data'!$A$7:$A$366,Estimator!$B$4,'Climate Data'!$B$7:$B$366,C725)</f>
        <v>0.22688172043010751</v>
      </c>
      <c r="I725" s="87">
        <f>SUMIFS('Climate Data'!$H$7:$H$366,'Climate Data'!$A$7:$A$366,Estimator!$B$4,'Climate Data'!$B$7:$B$366,C725)</f>
        <v>6.7962085308056865</v>
      </c>
      <c r="J725" s="86">
        <f>SUMIFS('Wind Proxy'!$H$8:$H$19,'Wind Proxy'!$A$8:$A$19,Estimator!$B$4,'Wind Proxy'!$B$8:$B$19,C725)</f>
        <v>0</v>
      </c>
    </row>
    <row r="726" spans="1:10" ht="14.4">
      <c r="A726" s="84">
        <v>46377</v>
      </c>
      <c r="B726" s="85">
        <v>2026</v>
      </c>
      <c r="C726" s="85">
        <v>12</v>
      </c>
      <c r="D726" s="85" t="s">
        <v>77</v>
      </c>
      <c r="E726" s="85">
        <v>21</v>
      </c>
      <c r="F726" s="85">
        <v>1</v>
      </c>
      <c r="G726" s="85">
        <f>--(F726&lt;=Estimator!$B$7)</f>
        <v>1</v>
      </c>
      <c r="H726" s="86">
        <f>SUMIFS('Climate Data'!$G$7:$G$366,'Climate Data'!$A$7:$A$366,Estimator!$B$4,'Climate Data'!$B$7:$B$366,C726)</f>
        <v>0.22688172043010751</v>
      </c>
      <c r="I726" s="87">
        <f>SUMIFS('Climate Data'!$H$7:$H$366,'Climate Data'!$A$7:$A$366,Estimator!$B$4,'Climate Data'!$B$7:$B$366,C726)</f>
        <v>6.7962085308056865</v>
      </c>
      <c r="J726" s="86">
        <f>SUMIFS('Wind Proxy'!$H$8:$H$19,'Wind Proxy'!$A$8:$A$19,Estimator!$B$4,'Wind Proxy'!$B$8:$B$19,C726)</f>
        <v>0</v>
      </c>
    </row>
    <row r="727" spans="1:10" ht="14.4">
      <c r="A727" s="84">
        <v>46378</v>
      </c>
      <c r="B727" s="85">
        <v>2026</v>
      </c>
      <c r="C727" s="85">
        <v>12</v>
      </c>
      <c r="D727" s="85" t="s">
        <v>77</v>
      </c>
      <c r="E727" s="85">
        <v>22</v>
      </c>
      <c r="F727" s="85">
        <v>2</v>
      </c>
      <c r="G727" s="85">
        <f>--(F727&lt;=Estimator!$B$7)</f>
        <v>1</v>
      </c>
      <c r="H727" s="86">
        <f>SUMIFS('Climate Data'!$G$7:$G$366,'Climate Data'!$A$7:$A$366,Estimator!$B$4,'Climate Data'!$B$7:$B$366,C727)</f>
        <v>0.22688172043010751</v>
      </c>
      <c r="I727" s="87">
        <f>SUMIFS('Climate Data'!$H$7:$H$366,'Climate Data'!$A$7:$A$366,Estimator!$B$4,'Climate Data'!$B$7:$B$366,C727)</f>
        <v>6.7962085308056865</v>
      </c>
      <c r="J727" s="86">
        <f>SUMIFS('Wind Proxy'!$H$8:$H$19,'Wind Proxy'!$A$8:$A$19,Estimator!$B$4,'Wind Proxy'!$B$8:$B$19,C727)</f>
        <v>0</v>
      </c>
    </row>
    <row r="728" spans="1:10" ht="14.4">
      <c r="A728" s="84">
        <v>46379</v>
      </c>
      <c r="B728" s="85">
        <v>2026</v>
      </c>
      <c r="C728" s="85">
        <v>12</v>
      </c>
      <c r="D728" s="85" t="s">
        <v>77</v>
      </c>
      <c r="E728" s="85">
        <v>23</v>
      </c>
      <c r="F728" s="85">
        <v>3</v>
      </c>
      <c r="G728" s="85">
        <f>--(F728&lt;=Estimator!$B$7)</f>
        <v>1</v>
      </c>
      <c r="H728" s="86">
        <f>SUMIFS('Climate Data'!$G$7:$G$366,'Climate Data'!$A$7:$A$366,Estimator!$B$4,'Climate Data'!$B$7:$B$366,C728)</f>
        <v>0.22688172043010751</v>
      </c>
      <c r="I728" s="87">
        <f>SUMIFS('Climate Data'!$H$7:$H$366,'Climate Data'!$A$7:$A$366,Estimator!$B$4,'Climate Data'!$B$7:$B$366,C728)</f>
        <v>6.7962085308056865</v>
      </c>
      <c r="J728" s="86">
        <f>SUMIFS('Wind Proxy'!$H$8:$H$19,'Wind Proxy'!$A$8:$A$19,Estimator!$B$4,'Wind Proxy'!$B$8:$B$19,C728)</f>
        <v>0</v>
      </c>
    </row>
    <row r="729" spans="1:10" ht="14.4">
      <c r="A729" s="84">
        <v>46380</v>
      </c>
      <c r="B729" s="85">
        <v>2026</v>
      </c>
      <c r="C729" s="85">
        <v>12</v>
      </c>
      <c r="D729" s="85" t="s">
        <v>77</v>
      </c>
      <c r="E729" s="85">
        <v>24</v>
      </c>
      <c r="F729" s="85">
        <v>4</v>
      </c>
      <c r="G729" s="85">
        <f>--(F729&lt;=Estimator!$B$7)</f>
        <v>1</v>
      </c>
      <c r="H729" s="86">
        <f>SUMIFS('Climate Data'!$G$7:$G$366,'Climate Data'!$A$7:$A$366,Estimator!$B$4,'Climate Data'!$B$7:$B$366,C729)</f>
        <v>0.22688172043010751</v>
      </c>
      <c r="I729" s="87">
        <f>SUMIFS('Climate Data'!$H$7:$H$366,'Climate Data'!$A$7:$A$366,Estimator!$B$4,'Climate Data'!$B$7:$B$366,C729)</f>
        <v>6.7962085308056865</v>
      </c>
      <c r="J729" s="86">
        <f>SUMIFS('Wind Proxy'!$H$8:$H$19,'Wind Proxy'!$A$8:$A$19,Estimator!$B$4,'Wind Proxy'!$B$8:$B$19,C729)</f>
        <v>0</v>
      </c>
    </row>
    <row r="730" spans="1:10" ht="14.4">
      <c r="A730" s="84">
        <v>46381</v>
      </c>
      <c r="B730" s="85">
        <v>2026</v>
      </c>
      <c r="C730" s="85">
        <v>12</v>
      </c>
      <c r="D730" s="85" t="s">
        <v>77</v>
      </c>
      <c r="E730" s="85">
        <v>25</v>
      </c>
      <c r="F730" s="85">
        <v>5</v>
      </c>
      <c r="G730" s="85">
        <f>--(F730&lt;=Estimator!$B$7)</f>
        <v>1</v>
      </c>
      <c r="H730" s="86">
        <f>SUMIFS('Climate Data'!$G$7:$G$366,'Climate Data'!$A$7:$A$366,Estimator!$B$4,'Climate Data'!$B$7:$B$366,C730)</f>
        <v>0.22688172043010751</v>
      </c>
      <c r="I730" s="87">
        <f>SUMIFS('Climate Data'!$H$7:$H$366,'Climate Data'!$A$7:$A$366,Estimator!$B$4,'Climate Data'!$B$7:$B$366,C730)</f>
        <v>6.7962085308056865</v>
      </c>
      <c r="J730" s="86">
        <f>SUMIFS('Wind Proxy'!$H$8:$H$19,'Wind Proxy'!$A$8:$A$19,Estimator!$B$4,'Wind Proxy'!$B$8:$B$19,C730)</f>
        <v>0</v>
      </c>
    </row>
    <row r="731" spans="1:10" ht="14.4">
      <c r="A731" s="84">
        <v>46382</v>
      </c>
      <c r="B731" s="85">
        <v>2026</v>
      </c>
      <c r="C731" s="85">
        <v>12</v>
      </c>
      <c r="D731" s="85" t="s">
        <v>77</v>
      </c>
      <c r="E731" s="85">
        <v>26</v>
      </c>
      <c r="F731" s="85">
        <v>6</v>
      </c>
      <c r="G731" s="85">
        <f>--(F731&lt;=Estimator!$B$7)</f>
        <v>0</v>
      </c>
      <c r="H731" s="86">
        <f>SUMIFS('Climate Data'!$G$7:$G$366,'Climate Data'!$A$7:$A$366,Estimator!$B$4,'Climate Data'!$B$7:$B$366,C731)</f>
        <v>0.22688172043010751</v>
      </c>
      <c r="I731" s="87">
        <f>SUMIFS('Climate Data'!$H$7:$H$366,'Climate Data'!$A$7:$A$366,Estimator!$B$4,'Climate Data'!$B$7:$B$366,C731)</f>
        <v>6.7962085308056865</v>
      </c>
      <c r="J731" s="86">
        <f>SUMIFS('Wind Proxy'!$H$8:$H$19,'Wind Proxy'!$A$8:$A$19,Estimator!$B$4,'Wind Proxy'!$B$8:$B$19,C731)</f>
        <v>0</v>
      </c>
    </row>
    <row r="732" spans="1:10" ht="14.4">
      <c r="A732" s="84">
        <v>46383</v>
      </c>
      <c r="B732" s="85">
        <v>2026</v>
      </c>
      <c r="C732" s="85">
        <v>12</v>
      </c>
      <c r="D732" s="85" t="s">
        <v>77</v>
      </c>
      <c r="E732" s="85">
        <v>27</v>
      </c>
      <c r="F732" s="85">
        <v>7</v>
      </c>
      <c r="G732" s="85">
        <f>--(F732&lt;=Estimator!$B$7)</f>
        <v>0</v>
      </c>
      <c r="H732" s="86">
        <f>SUMIFS('Climate Data'!$G$7:$G$366,'Climate Data'!$A$7:$A$366,Estimator!$B$4,'Climate Data'!$B$7:$B$366,C732)</f>
        <v>0.22688172043010751</v>
      </c>
      <c r="I732" s="87">
        <f>SUMIFS('Climate Data'!$H$7:$H$366,'Climate Data'!$A$7:$A$366,Estimator!$B$4,'Climate Data'!$B$7:$B$366,C732)</f>
        <v>6.7962085308056865</v>
      </c>
      <c r="J732" s="86">
        <f>SUMIFS('Wind Proxy'!$H$8:$H$19,'Wind Proxy'!$A$8:$A$19,Estimator!$B$4,'Wind Proxy'!$B$8:$B$19,C732)</f>
        <v>0</v>
      </c>
    </row>
    <row r="733" spans="1:10" ht="14.4">
      <c r="A733" s="84">
        <v>46384</v>
      </c>
      <c r="B733" s="85">
        <v>2026</v>
      </c>
      <c r="C733" s="85">
        <v>12</v>
      </c>
      <c r="D733" s="85" t="s">
        <v>77</v>
      </c>
      <c r="E733" s="85">
        <v>28</v>
      </c>
      <c r="F733" s="85">
        <v>1</v>
      </c>
      <c r="G733" s="85">
        <f>--(F733&lt;=Estimator!$B$7)</f>
        <v>1</v>
      </c>
      <c r="H733" s="86">
        <f>SUMIFS('Climate Data'!$G$7:$G$366,'Climate Data'!$A$7:$A$366,Estimator!$B$4,'Climate Data'!$B$7:$B$366,C733)</f>
        <v>0.22688172043010751</v>
      </c>
      <c r="I733" s="87">
        <f>SUMIFS('Climate Data'!$H$7:$H$366,'Climate Data'!$A$7:$A$366,Estimator!$B$4,'Climate Data'!$B$7:$B$366,C733)</f>
        <v>6.7962085308056865</v>
      </c>
      <c r="J733" s="86">
        <f>SUMIFS('Wind Proxy'!$H$8:$H$19,'Wind Proxy'!$A$8:$A$19,Estimator!$B$4,'Wind Proxy'!$B$8:$B$19,C733)</f>
        <v>0</v>
      </c>
    </row>
    <row r="734" spans="1:10" ht="14.4">
      <c r="A734" s="84">
        <v>46385</v>
      </c>
      <c r="B734" s="85">
        <v>2026</v>
      </c>
      <c r="C734" s="85">
        <v>12</v>
      </c>
      <c r="D734" s="85" t="s">
        <v>77</v>
      </c>
      <c r="E734" s="85">
        <v>29</v>
      </c>
      <c r="F734" s="85">
        <v>2</v>
      </c>
      <c r="G734" s="85">
        <f>--(F734&lt;=Estimator!$B$7)</f>
        <v>1</v>
      </c>
      <c r="H734" s="86">
        <f>SUMIFS('Climate Data'!$G$7:$G$366,'Climate Data'!$A$7:$A$366,Estimator!$B$4,'Climate Data'!$B$7:$B$366,C734)</f>
        <v>0.22688172043010751</v>
      </c>
      <c r="I734" s="87">
        <f>SUMIFS('Climate Data'!$H$7:$H$366,'Climate Data'!$A$7:$A$366,Estimator!$B$4,'Climate Data'!$B$7:$B$366,C734)</f>
        <v>6.7962085308056865</v>
      </c>
      <c r="J734" s="86">
        <f>SUMIFS('Wind Proxy'!$H$8:$H$19,'Wind Proxy'!$A$8:$A$19,Estimator!$B$4,'Wind Proxy'!$B$8:$B$19,C734)</f>
        <v>0</v>
      </c>
    </row>
    <row r="735" spans="1:10" ht="14.4">
      <c r="A735" s="84">
        <v>46386</v>
      </c>
      <c r="B735" s="85">
        <v>2026</v>
      </c>
      <c r="C735" s="85">
        <v>12</v>
      </c>
      <c r="D735" s="85" t="s">
        <v>77</v>
      </c>
      <c r="E735" s="85">
        <v>30</v>
      </c>
      <c r="F735" s="85">
        <v>3</v>
      </c>
      <c r="G735" s="85">
        <f>--(F735&lt;=Estimator!$B$7)</f>
        <v>1</v>
      </c>
      <c r="H735" s="86">
        <f>SUMIFS('Climate Data'!$G$7:$G$366,'Climate Data'!$A$7:$A$366,Estimator!$B$4,'Climate Data'!$B$7:$B$366,C735)</f>
        <v>0.22688172043010751</v>
      </c>
      <c r="I735" s="87">
        <f>SUMIFS('Climate Data'!$H$7:$H$366,'Climate Data'!$A$7:$A$366,Estimator!$B$4,'Climate Data'!$B$7:$B$366,C735)</f>
        <v>6.7962085308056865</v>
      </c>
      <c r="J735" s="86">
        <f>SUMIFS('Wind Proxy'!$H$8:$H$19,'Wind Proxy'!$A$8:$A$19,Estimator!$B$4,'Wind Proxy'!$B$8:$B$19,C735)</f>
        <v>0</v>
      </c>
    </row>
    <row r="736" spans="1:10" ht="14.4">
      <c r="A736" s="84">
        <v>46387</v>
      </c>
      <c r="B736" s="85">
        <v>2026</v>
      </c>
      <c r="C736" s="85">
        <v>12</v>
      </c>
      <c r="D736" s="85" t="s">
        <v>77</v>
      </c>
      <c r="E736" s="85">
        <v>31</v>
      </c>
      <c r="F736" s="85">
        <v>4</v>
      </c>
      <c r="G736" s="85">
        <f>--(F736&lt;=Estimator!$B$7)</f>
        <v>1</v>
      </c>
      <c r="H736" s="86">
        <f>SUMIFS('Climate Data'!$G$7:$G$366,'Climate Data'!$A$7:$A$366,Estimator!$B$4,'Climate Data'!$B$7:$B$366,C736)</f>
        <v>0.22688172043010751</v>
      </c>
      <c r="I736" s="87">
        <f>SUMIFS('Climate Data'!$H$7:$H$366,'Climate Data'!$A$7:$A$366,Estimator!$B$4,'Climate Data'!$B$7:$B$366,C736)</f>
        <v>6.7962085308056865</v>
      </c>
      <c r="J736" s="86">
        <f>SUMIFS('Wind Proxy'!$H$8:$H$19,'Wind Proxy'!$A$8:$A$19,Estimator!$B$4,'Wind Proxy'!$B$8:$B$19,C736)</f>
        <v>0</v>
      </c>
    </row>
    <row r="737" spans="1:10" ht="14.4">
      <c r="A737" s="84">
        <v>46388</v>
      </c>
      <c r="B737" s="85">
        <v>2027</v>
      </c>
      <c r="C737" s="85">
        <v>1</v>
      </c>
      <c r="D737" s="85" t="s">
        <v>55</v>
      </c>
      <c r="E737" s="85">
        <v>1</v>
      </c>
      <c r="F737" s="85">
        <v>5</v>
      </c>
      <c r="G737" s="85">
        <f>--(F737&lt;=Estimator!$B$7)</f>
        <v>1</v>
      </c>
      <c r="H737" s="86">
        <f>SUMIFS('Climate Data'!$G$7:$G$366,'Climate Data'!$A$7:$A$366,Estimator!$B$4,'Climate Data'!$B$7:$B$366,C737)</f>
        <v>0.19462365591397848</v>
      </c>
      <c r="I737" s="87">
        <f>SUMIFS('Climate Data'!$H$7:$H$366,'Climate Data'!$A$7:$A$366,Estimator!$B$4,'Climate Data'!$B$7:$B$366,C737)</f>
        <v>7.027624309392265</v>
      </c>
      <c r="J737" s="86">
        <f>SUMIFS('Wind Proxy'!$H$8:$H$19,'Wind Proxy'!$A$8:$A$19,Estimator!$B$4,'Wind Proxy'!$B$8:$B$19,C737)</f>
        <v>0</v>
      </c>
    </row>
    <row r="738" spans="1:10" ht="14.4">
      <c r="A738" s="84">
        <v>46389</v>
      </c>
      <c r="B738" s="85">
        <v>2027</v>
      </c>
      <c r="C738" s="85">
        <v>1</v>
      </c>
      <c r="D738" s="85" t="s">
        <v>55</v>
      </c>
      <c r="E738" s="85">
        <v>2</v>
      </c>
      <c r="F738" s="85">
        <v>6</v>
      </c>
      <c r="G738" s="85">
        <f>--(F738&lt;=Estimator!$B$7)</f>
        <v>0</v>
      </c>
      <c r="H738" s="86">
        <f>SUMIFS('Climate Data'!$G$7:$G$366,'Climate Data'!$A$7:$A$366,Estimator!$B$4,'Climate Data'!$B$7:$B$366,C738)</f>
        <v>0.19462365591397848</v>
      </c>
      <c r="I738" s="87">
        <f>SUMIFS('Climate Data'!$H$7:$H$366,'Climate Data'!$A$7:$A$366,Estimator!$B$4,'Climate Data'!$B$7:$B$366,C738)</f>
        <v>7.027624309392265</v>
      </c>
      <c r="J738" s="86">
        <f>SUMIFS('Wind Proxy'!$H$8:$H$19,'Wind Proxy'!$A$8:$A$19,Estimator!$B$4,'Wind Proxy'!$B$8:$B$19,C738)</f>
        <v>0</v>
      </c>
    </row>
    <row r="739" spans="1:10" ht="14.4">
      <c r="A739" s="84">
        <v>46390</v>
      </c>
      <c r="B739" s="85">
        <v>2027</v>
      </c>
      <c r="C739" s="85">
        <v>1</v>
      </c>
      <c r="D739" s="85" t="s">
        <v>55</v>
      </c>
      <c r="E739" s="85">
        <v>3</v>
      </c>
      <c r="F739" s="85">
        <v>7</v>
      </c>
      <c r="G739" s="85">
        <f>--(F739&lt;=Estimator!$B$7)</f>
        <v>0</v>
      </c>
      <c r="H739" s="86">
        <f>SUMIFS('Climate Data'!$G$7:$G$366,'Climate Data'!$A$7:$A$366,Estimator!$B$4,'Climate Data'!$B$7:$B$366,C739)</f>
        <v>0.19462365591397848</v>
      </c>
      <c r="I739" s="87">
        <f>SUMIFS('Climate Data'!$H$7:$H$366,'Climate Data'!$A$7:$A$366,Estimator!$B$4,'Climate Data'!$B$7:$B$366,C739)</f>
        <v>7.027624309392265</v>
      </c>
      <c r="J739" s="86">
        <f>SUMIFS('Wind Proxy'!$H$8:$H$19,'Wind Proxy'!$A$8:$A$19,Estimator!$B$4,'Wind Proxy'!$B$8:$B$19,C739)</f>
        <v>0</v>
      </c>
    </row>
    <row r="740" spans="1:10" ht="14.4">
      <c r="A740" s="84">
        <v>46391</v>
      </c>
      <c r="B740" s="85">
        <v>2027</v>
      </c>
      <c r="C740" s="85">
        <v>1</v>
      </c>
      <c r="D740" s="85" t="s">
        <v>55</v>
      </c>
      <c r="E740" s="85">
        <v>4</v>
      </c>
      <c r="F740" s="85">
        <v>1</v>
      </c>
      <c r="G740" s="85">
        <f>--(F740&lt;=Estimator!$B$7)</f>
        <v>1</v>
      </c>
      <c r="H740" s="86">
        <f>SUMIFS('Climate Data'!$G$7:$G$366,'Climate Data'!$A$7:$A$366,Estimator!$B$4,'Climate Data'!$B$7:$B$366,C740)</f>
        <v>0.19462365591397848</v>
      </c>
      <c r="I740" s="87">
        <f>SUMIFS('Climate Data'!$H$7:$H$366,'Climate Data'!$A$7:$A$366,Estimator!$B$4,'Climate Data'!$B$7:$B$366,C740)</f>
        <v>7.027624309392265</v>
      </c>
      <c r="J740" s="86">
        <f>SUMIFS('Wind Proxy'!$H$8:$H$19,'Wind Proxy'!$A$8:$A$19,Estimator!$B$4,'Wind Proxy'!$B$8:$B$19,C740)</f>
        <v>0</v>
      </c>
    </row>
    <row r="741" spans="1:10" ht="14.4">
      <c r="A741" s="84">
        <v>46392</v>
      </c>
      <c r="B741" s="85">
        <v>2027</v>
      </c>
      <c r="C741" s="85">
        <v>1</v>
      </c>
      <c r="D741" s="85" t="s">
        <v>55</v>
      </c>
      <c r="E741" s="85">
        <v>5</v>
      </c>
      <c r="F741" s="85">
        <v>2</v>
      </c>
      <c r="G741" s="85">
        <f>--(F741&lt;=Estimator!$B$7)</f>
        <v>1</v>
      </c>
      <c r="H741" s="86">
        <f>SUMIFS('Climate Data'!$G$7:$G$366,'Climate Data'!$A$7:$A$366,Estimator!$B$4,'Climate Data'!$B$7:$B$366,C741)</f>
        <v>0.19462365591397848</v>
      </c>
      <c r="I741" s="87">
        <f>SUMIFS('Climate Data'!$H$7:$H$366,'Climate Data'!$A$7:$A$366,Estimator!$B$4,'Climate Data'!$B$7:$B$366,C741)</f>
        <v>7.027624309392265</v>
      </c>
      <c r="J741" s="86">
        <f>SUMIFS('Wind Proxy'!$H$8:$H$19,'Wind Proxy'!$A$8:$A$19,Estimator!$B$4,'Wind Proxy'!$B$8:$B$19,C741)</f>
        <v>0</v>
      </c>
    </row>
    <row r="742" spans="1:10" ht="14.4">
      <c r="A742" s="84">
        <v>46393</v>
      </c>
      <c r="B742" s="85">
        <v>2027</v>
      </c>
      <c r="C742" s="85">
        <v>1</v>
      </c>
      <c r="D742" s="85" t="s">
        <v>55</v>
      </c>
      <c r="E742" s="85">
        <v>6</v>
      </c>
      <c r="F742" s="85">
        <v>3</v>
      </c>
      <c r="G742" s="85">
        <f>--(F742&lt;=Estimator!$B$7)</f>
        <v>1</v>
      </c>
      <c r="H742" s="86">
        <f>SUMIFS('Climate Data'!$G$7:$G$366,'Climate Data'!$A$7:$A$366,Estimator!$B$4,'Climate Data'!$B$7:$B$366,C742)</f>
        <v>0.19462365591397848</v>
      </c>
      <c r="I742" s="87">
        <f>SUMIFS('Climate Data'!$H$7:$H$366,'Climate Data'!$A$7:$A$366,Estimator!$B$4,'Climate Data'!$B$7:$B$366,C742)</f>
        <v>7.027624309392265</v>
      </c>
      <c r="J742" s="86">
        <f>SUMIFS('Wind Proxy'!$H$8:$H$19,'Wind Proxy'!$A$8:$A$19,Estimator!$B$4,'Wind Proxy'!$B$8:$B$19,C742)</f>
        <v>0</v>
      </c>
    </row>
    <row r="743" spans="1:10" ht="14.4">
      <c r="A743" s="84">
        <v>46394</v>
      </c>
      <c r="B743" s="85">
        <v>2027</v>
      </c>
      <c r="C743" s="85">
        <v>1</v>
      </c>
      <c r="D743" s="85" t="s">
        <v>55</v>
      </c>
      <c r="E743" s="85">
        <v>7</v>
      </c>
      <c r="F743" s="85">
        <v>4</v>
      </c>
      <c r="G743" s="85">
        <f>--(F743&lt;=Estimator!$B$7)</f>
        <v>1</v>
      </c>
      <c r="H743" s="86">
        <f>SUMIFS('Climate Data'!$G$7:$G$366,'Climate Data'!$A$7:$A$366,Estimator!$B$4,'Climate Data'!$B$7:$B$366,C743)</f>
        <v>0.19462365591397848</v>
      </c>
      <c r="I743" s="87">
        <f>SUMIFS('Climate Data'!$H$7:$H$366,'Climate Data'!$A$7:$A$366,Estimator!$B$4,'Climate Data'!$B$7:$B$366,C743)</f>
        <v>7.027624309392265</v>
      </c>
      <c r="J743" s="86">
        <f>SUMIFS('Wind Proxy'!$H$8:$H$19,'Wind Proxy'!$A$8:$A$19,Estimator!$B$4,'Wind Proxy'!$B$8:$B$19,C743)</f>
        <v>0</v>
      </c>
    </row>
    <row r="744" spans="1:10" ht="14.4">
      <c r="A744" s="84">
        <v>46395</v>
      </c>
      <c r="B744" s="85">
        <v>2027</v>
      </c>
      <c r="C744" s="85">
        <v>1</v>
      </c>
      <c r="D744" s="85" t="s">
        <v>55</v>
      </c>
      <c r="E744" s="85">
        <v>8</v>
      </c>
      <c r="F744" s="85">
        <v>5</v>
      </c>
      <c r="G744" s="85">
        <f>--(F744&lt;=Estimator!$B$7)</f>
        <v>1</v>
      </c>
      <c r="H744" s="86">
        <f>SUMIFS('Climate Data'!$G$7:$G$366,'Climate Data'!$A$7:$A$366,Estimator!$B$4,'Climate Data'!$B$7:$B$366,C744)</f>
        <v>0.19462365591397848</v>
      </c>
      <c r="I744" s="87">
        <f>SUMIFS('Climate Data'!$H$7:$H$366,'Climate Data'!$A$7:$A$366,Estimator!$B$4,'Climate Data'!$B$7:$B$366,C744)</f>
        <v>7.027624309392265</v>
      </c>
      <c r="J744" s="86">
        <f>SUMIFS('Wind Proxy'!$H$8:$H$19,'Wind Proxy'!$A$8:$A$19,Estimator!$B$4,'Wind Proxy'!$B$8:$B$19,C744)</f>
        <v>0</v>
      </c>
    </row>
    <row r="745" spans="1:10" ht="14.4">
      <c r="A745" s="84">
        <v>46396</v>
      </c>
      <c r="B745" s="85">
        <v>2027</v>
      </c>
      <c r="C745" s="85">
        <v>1</v>
      </c>
      <c r="D745" s="85" t="s">
        <v>55</v>
      </c>
      <c r="E745" s="85">
        <v>9</v>
      </c>
      <c r="F745" s="85">
        <v>6</v>
      </c>
      <c r="G745" s="85">
        <f>--(F745&lt;=Estimator!$B$7)</f>
        <v>0</v>
      </c>
      <c r="H745" s="86">
        <f>SUMIFS('Climate Data'!$G$7:$G$366,'Climate Data'!$A$7:$A$366,Estimator!$B$4,'Climate Data'!$B$7:$B$366,C745)</f>
        <v>0.19462365591397848</v>
      </c>
      <c r="I745" s="87">
        <f>SUMIFS('Climate Data'!$H$7:$H$366,'Climate Data'!$A$7:$A$366,Estimator!$B$4,'Climate Data'!$B$7:$B$366,C745)</f>
        <v>7.027624309392265</v>
      </c>
      <c r="J745" s="86">
        <f>SUMIFS('Wind Proxy'!$H$8:$H$19,'Wind Proxy'!$A$8:$A$19,Estimator!$B$4,'Wind Proxy'!$B$8:$B$19,C745)</f>
        <v>0</v>
      </c>
    </row>
    <row r="746" spans="1:10" ht="14.4">
      <c r="A746" s="84">
        <v>46397</v>
      </c>
      <c r="B746" s="85">
        <v>2027</v>
      </c>
      <c r="C746" s="85">
        <v>1</v>
      </c>
      <c r="D746" s="85" t="s">
        <v>55</v>
      </c>
      <c r="E746" s="85">
        <v>10</v>
      </c>
      <c r="F746" s="85">
        <v>7</v>
      </c>
      <c r="G746" s="85">
        <f>--(F746&lt;=Estimator!$B$7)</f>
        <v>0</v>
      </c>
      <c r="H746" s="86">
        <f>SUMIFS('Climate Data'!$G$7:$G$366,'Climate Data'!$A$7:$A$366,Estimator!$B$4,'Climate Data'!$B$7:$B$366,C746)</f>
        <v>0.19462365591397848</v>
      </c>
      <c r="I746" s="87">
        <f>SUMIFS('Climate Data'!$H$7:$H$366,'Climate Data'!$A$7:$A$366,Estimator!$B$4,'Climate Data'!$B$7:$B$366,C746)</f>
        <v>7.027624309392265</v>
      </c>
      <c r="J746" s="86">
        <f>SUMIFS('Wind Proxy'!$H$8:$H$19,'Wind Proxy'!$A$8:$A$19,Estimator!$B$4,'Wind Proxy'!$B$8:$B$19,C746)</f>
        <v>0</v>
      </c>
    </row>
    <row r="747" spans="1:10" ht="14.4">
      <c r="A747" s="84">
        <v>46398</v>
      </c>
      <c r="B747" s="85">
        <v>2027</v>
      </c>
      <c r="C747" s="85">
        <v>1</v>
      </c>
      <c r="D747" s="85" t="s">
        <v>55</v>
      </c>
      <c r="E747" s="85">
        <v>11</v>
      </c>
      <c r="F747" s="85">
        <v>1</v>
      </c>
      <c r="G747" s="85">
        <f>--(F747&lt;=Estimator!$B$7)</f>
        <v>1</v>
      </c>
      <c r="H747" s="86">
        <f>SUMIFS('Climate Data'!$G$7:$G$366,'Climate Data'!$A$7:$A$366,Estimator!$B$4,'Climate Data'!$B$7:$B$366,C747)</f>
        <v>0.19462365591397848</v>
      </c>
      <c r="I747" s="87">
        <f>SUMIFS('Climate Data'!$H$7:$H$366,'Climate Data'!$A$7:$A$366,Estimator!$B$4,'Climate Data'!$B$7:$B$366,C747)</f>
        <v>7.027624309392265</v>
      </c>
      <c r="J747" s="86">
        <f>SUMIFS('Wind Proxy'!$H$8:$H$19,'Wind Proxy'!$A$8:$A$19,Estimator!$B$4,'Wind Proxy'!$B$8:$B$19,C747)</f>
        <v>0</v>
      </c>
    </row>
    <row r="748" spans="1:10" ht="14.4">
      <c r="A748" s="84">
        <v>46399</v>
      </c>
      <c r="B748" s="85">
        <v>2027</v>
      </c>
      <c r="C748" s="85">
        <v>1</v>
      </c>
      <c r="D748" s="85" t="s">
        <v>55</v>
      </c>
      <c r="E748" s="85">
        <v>12</v>
      </c>
      <c r="F748" s="85">
        <v>2</v>
      </c>
      <c r="G748" s="85">
        <f>--(F748&lt;=Estimator!$B$7)</f>
        <v>1</v>
      </c>
      <c r="H748" s="86">
        <f>SUMIFS('Climate Data'!$G$7:$G$366,'Climate Data'!$A$7:$A$366,Estimator!$B$4,'Climate Data'!$B$7:$B$366,C748)</f>
        <v>0.19462365591397848</v>
      </c>
      <c r="I748" s="87">
        <f>SUMIFS('Climate Data'!$H$7:$H$366,'Climate Data'!$A$7:$A$366,Estimator!$B$4,'Climate Data'!$B$7:$B$366,C748)</f>
        <v>7.027624309392265</v>
      </c>
      <c r="J748" s="86">
        <f>SUMIFS('Wind Proxy'!$H$8:$H$19,'Wind Proxy'!$A$8:$A$19,Estimator!$B$4,'Wind Proxy'!$B$8:$B$19,C748)</f>
        <v>0</v>
      </c>
    </row>
    <row r="749" spans="1:10" ht="14.4">
      <c r="A749" s="84">
        <v>46400</v>
      </c>
      <c r="B749" s="85">
        <v>2027</v>
      </c>
      <c r="C749" s="85">
        <v>1</v>
      </c>
      <c r="D749" s="85" t="s">
        <v>55</v>
      </c>
      <c r="E749" s="85">
        <v>13</v>
      </c>
      <c r="F749" s="85">
        <v>3</v>
      </c>
      <c r="G749" s="85">
        <f>--(F749&lt;=Estimator!$B$7)</f>
        <v>1</v>
      </c>
      <c r="H749" s="86">
        <f>SUMIFS('Climate Data'!$G$7:$G$366,'Climate Data'!$A$7:$A$366,Estimator!$B$4,'Climate Data'!$B$7:$B$366,C749)</f>
        <v>0.19462365591397848</v>
      </c>
      <c r="I749" s="87">
        <f>SUMIFS('Climate Data'!$H$7:$H$366,'Climate Data'!$A$7:$A$366,Estimator!$B$4,'Climate Data'!$B$7:$B$366,C749)</f>
        <v>7.027624309392265</v>
      </c>
      <c r="J749" s="86">
        <f>SUMIFS('Wind Proxy'!$H$8:$H$19,'Wind Proxy'!$A$8:$A$19,Estimator!$B$4,'Wind Proxy'!$B$8:$B$19,C749)</f>
        <v>0</v>
      </c>
    </row>
    <row r="750" spans="1:10" ht="14.4">
      <c r="A750" s="84">
        <v>46401</v>
      </c>
      <c r="B750" s="85">
        <v>2027</v>
      </c>
      <c r="C750" s="85">
        <v>1</v>
      </c>
      <c r="D750" s="85" t="s">
        <v>55</v>
      </c>
      <c r="E750" s="85">
        <v>14</v>
      </c>
      <c r="F750" s="85">
        <v>4</v>
      </c>
      <c r="G750" s="85">
        <f>--(F750&lt;=Estimator!$B$7)</f>
        <v>1</v>
      </c>
      <c r="H750" s="86">
        <f>SUMIFS('Climate Data'!$G$7:$G$366,'Climate Data'!$A$7:$A$366,Estimator!$B$4,'Climate Data'!$B$7:$B$366,C750)</f>
        <v>0.19462365591397848</v>
      </c>
      <c r="I750" s="87">
        <f>SUMIFS('Climate Data'!$H$7:$H$366,'Climate Data'!$A$7:$A$366,Estimator!$B$4,'Climate Data'!$B$7:$B$366,C750)</f>
        <v>7.027624309392265</v>
      </c>
      <c r="J750" s="86">
        <f>SUMIFS('Wind Proxy'!$H$8:$H$19,'Wind Proxy'!$A$8:$A$19,Estimator!$B$4,'Wind Proxy'!$B$8:$B$19,C750)</f>
        <v>0</v>
      </c>
    </row>
    <row r="751" spans="1:10" ht="14.4">
      <c r="A751" s="84">
        <v>46402</v>
      </c>
      <c r="B751" s="85">
        <v>2027</v>
      </c>
      <c r="C751" s="85">
        <v>1</v>
      </c>
      <c r="D751" s="85" t="s">
        <v>55</v>
      </c>
      <c r="E751" s="85">
        <v>15</v>
      </c>
      <c r="F751" s="85">
        <v>5</v>
      </c>
      <c r="G751" s="85">
        <f>--(F751&lt;=Estimator!$B$7)</f>
        <v>1</v>
      </c>
      <c r="H751" s="86">
        <f>SUMIFS('Climate Data'!$G$7:$G$366,'Climate Data'!$A$7:$A$366,Estimator!$B$4,'Climate Data'!$B$7:$B$366,C751)</f>
        <v>0.19462365591397848</v>
      </c>
      <c r="I751" s="87">
        <f>SUMIFS('Climate Data'!$H$7:$H$366,'Climate Data'!$A$7:$A$366,Estimator!$B$4,'Climate Data'!$B$7:$B$366,C751)</f>
        <v>7.027624309392265</v>
      </c>
      <c r="J751" s="86">
        <f>SUMIFS('Wind Proxy'!$H$8:$H$19,'Wind Proxy'!$A$8:$A$19,Estimator!$B$4,'Wind Proxy'!$B$8:$B$19,C751)</f>
        <v>0</v>
      </c>
    </row>
    <row r="752" spans="1:10" ht="14.4">
      <c r="A752" s="84">
        <v>46403</v>
      </c>
      <c r="B752" s="85">
        <v>2027</v>
      </c>
      <c r="C752" s="85">
        <v>1</v>
      </c>
      <c r="D752" s="85" t="s">
        <v>55</v>
      </c>
      <c r="E752" s="85">
        <v>16</v>
      </c>
      <c r="F752" s="85">
        <v>6</v>
      </c>
      <c r="G752" s="85">
        <f>--(F752&lt;=Estimator!$B$7)</f>
        <v>0</v>
      </c>
      <c r="H752" s="86">
        <f>SUMIFS('Climate Data'!$G$7:$G$366,'Climate Data'!$A$7:$A$366,Estimator!$B$4,'Climate Data'!$B$7:$B$366,C752)</f>
        <v>0.19462365591397848</v>
      </c>
      <c r="I752" s="87">
        <f>SUMIFS('Climate Data'!$H$7:$H$366,'Climate Data'!$A$7:$A$366,Estimator!$B$4,'Climate Data'!$B$7:$B$366,C752)</f>
        <v>7.027624309392265</v>
      </c>
      <c r="J752" s="86">
        <f>SUMIFS('Wind Proxy'!$H$8:$H$19,'Wind Proxy'!$A$8:$A$19,Estimator!$B$4,'Wind Proxy'!$B$8:$B$19,C752)</f>
        <v>0</v>
      </c>
    </row>
    <row r="753" spans="1:10" ht="14.4">
      <c r="A753" s="84">
        <v>46404</v>
      </c>
      <c r="B753" s="85">
        <v>2027</v>
      </c>
      <c r="C753" s="85">
        <v>1</v>
      </c>
      <c r="D753" s="85" t="s">
        <v>55</v>
      </c>
      <c r="E753" s="85">
        <v>17</v>
      </c>
      <c r="F753" s="85">
        <v>7</v>
      </c>
      <c r="G753" s="85">
        <f>--(F753&lt;=Estimator!$B$7)</f>
        <v>0</v>
      </c>
      <c r="H753" s="86">
        <f>SUMIFS('Climate Data'!$G$7:$G$366,'Climate Data'!$A$7:$A$366,Estimator!$B$4,'Climate Data'!$B$7:$B$366,C753)</f>
        <v>0.19462365591397848</v>
      </c>
      <c r="I753" s="87">
        <f>SUMIFS('Climate Data'!$H$7:$H$366,'Climate Data'!$A$7:$A$366,Estimator!$B$4,'Climate Data'!$B$7:$B$366,C753)</f>
        <v>7.027624309392265</v>
      </c>
      <c r="J753" s="86">
        <f>SUMIFS('Wind Proxy'!$H$8:$H$19,'Wind Proxy'!$A$8:$A$19,Estimator!$B$4,'Wind Proxy'!$B$8:$B$19,C753)</f>
        <v>0</v>
      </c>
    </row>
    <row r="754" spans="1:10" ht="14.4">
      <c r="A754" s="84">
        <v>46405</v>
      </c>
      <c r="B754" s="85">
        <v>2027</v>
      </c>
      <c r="C754" s="85">
        <v>1</v>
      </c>
      <c r="D754" s="85" t="s">
        <v>55</v>
      </c>
      <c r="E754" s="85">
        <v>18</v>
      </c>
      <c r="F754" s="85">
        <v>1</v>
      </c>
      <c r="G754" s="85">
        <f>--(F754&lt;=Estimator!$B$7)</f>
        <v>1</v>
      </c>
      <c r="H754" s="86">
        <f>SUMIFS('Climate Data'!$G$7:$G$366,'Climate Data'!$A$7:$A$366,Estimator!$B$4,'Climate Data'!$B$7:$B$366,C754)</f>
        <v>0.19462365591397848</v>
      </c>
      <c r="I754" s="87">
        <f>SUMIFS('Climate Data'!$H$7:$H$366,'Climate Data'!$A$7:$A$366,Estimator!$B$4,'Climate Data'!$B$7:$B$366,C754)</f>
        <v>7.027624309392265</v>
      </c>
      <c r="J754" s="86">
        <f>SUMIFS('Wind Proxy'!$H$8:$H$19,'Wind Proxy'!$A$8:$A$19,Estimator!$B$4,'Wind Proxy'!$B$8:$B$19,C754)</f>
        <v>0</v>
      </c>
    </row>
    <row r="755" spans="1:10" ht="14.4">
      <c r="A755" s="84">
        <v>46406</v>
      </c>
      <c r="B755" s="85">
        <v>2027</v>
      </c>
      <c r="C755" s="85">
        <v>1</v>
      </c>
      <c r="D755" s="85" t="s">
        <v>55</v>
      </c>
      <c r="E755" s="85">
        <v>19</v>
      </c>
      <c r="F755" s="85">
        <v>2</v>
      </c>
      <c r="G755" s="85">
        <f>--(F755&lt;=Estimator!$B$7)</f>
        <v>1</v>
      </c>
      <c r="H755" s="86">
        <f>SUMIFS('Climate Data'!$G$7:$G$366,'Climate Data'!$A$7:$A$366,Estimator!$B$4,'Climate Data'!$B$7:$B$366,C755)</f>
        <v>0.19462365591397848</v>
      </c>
      <c r="I755" s="87">
        <f>SUMIFS('Climate Data'!$H$7:$H$366,'Climate Data'!$A$7:$A$366,Estimator!$B$4,'Climate Data'!$B$7:$B$366,C755)</f>
        <v>7.027624309392265</v>
      </c>
      <c r="J755" s="86">
        <f>SUMIFS('Wind Proxy'!$H$8:$H$19,'Wind Proxy'!$A$8:$A$19,Estimator!$B$4,'Wind Proxy'!$B$8:$B$19,C755)</f>
        <v>0</v>
      </c>
    </row>
    <row r="756" spans="1:10" ht="14.4">
      <c r="A756" s="84">
        <v>46407</v>
      </c>
      <c r="B756" s="85">
        <v>2027</v>
      </c>
      <c r="C756" s="85">
        <v>1</v>
      </c>
      <c r="D756" s="85" t="s">
        <v>55</v>
      </c>
      <c r="E756" s="85">
        <v>20</v>
      </c>
      <c r="F756" s="85">
        <v>3</v>
      </c>
      <c r="G756" s="85">
        <f>--(F756&lt;=Estimator!$B$7)</f>
        <v>1</v>
      </c>
      <c r="H756" s="86">
        <f>SUMIFS('Climate Data'!$G$7:$G$366,'Climate Data'!$A$7:$A$366,Estimator!$B$4,'Climate Data'!$B$7:$B$366,C756)</f>
        <v>0.19462365591397848</v>
      </c>
      <c r="I756" s="87">
        <f>SUMIFS('Climate Data'!$H$7:$H$366,'Climate Data'!$A$7:$A$366,Estimator!$B$4,'Climate Data'!$B$7:$B$366,C756)</f>
        <v>7.027624309392265</v>
      </c>
      <c r="J756" s="86">
        <f>SUMIFS('Wind Proxy'!$H$8:$H$19,'Wind Proxy'!$A$8:$A$19,Estimator!$B$4,'Wind Proxy'!$B$8:$B$19,C756)</f>
        <v>0</v>
      </c>
    </row>
    <row r="757" spans="1:10" ht="14.4">
      <c r="A757" s="84">
        <v>46408</v>
      </c>
      <c r="B757" s="85">
        <v>2027</v>
      </c>
      <c r="C757" s="85">
        <v>1</v>
      </c>
      <c r="D757" s="85" t="s">
        <v>55</v>
      </c>
      <c r="E757" s="85">
        <v>21</v>
      </c>
      <c r="F757" s="85">
        <v>4</v>
      </c>
      <c r="G757" s="85">
        <f>--(F757&lt;=Estimator!$B$7)</f>
        <v>1</v>
      </c>
      <c r="H757" s="86">
        <f>SUMIFS('Climate Data'!$G$7:$G$366,'Climate Data'!$A$7:$A$366,Estimator!$B$4,'Climate Data'!$B$7:$B$366,C757)</f>
        <v>0.19462365591397848</v>
      </c>
      <c r="I757" s="87">
        <f>SUMIFS('Climate Data'!$H$7:$H$366,'Climate Data'!$A$7:$A$366,Estimator!$B$4,'Climate Data'!$B$7:$B$366,C757)</f>
        <v>7.027624309392265</v>
      </c>
      <c r="J757" s="86">
        <f>SUMIFS('Wind Proxy'!$H$8:$H$19,'Wind Proxy'!$A$8:$A$19,Estimator!$B$4,'Wind Proxy'!$B$8:$B$19,C757)</f>
        <v>0</v>
      </c>
    </row>
    <row r="758" spans="1:10" ht="14.4">
      <c r="A758" s="84">
        <v>46409</v>
      </c>
      <c r="B758" s="85">
        <v>2027</v>
      </c>
      <c r="C758" s="85">
        <v>1</v>
      </c>
      <c r="D758" s="85" t="s">
        <v>55</v>
      </c>
      <c r="E758" s="85">
        <v>22</v>
      </c>
      <c r="F758" s="85">
        <v>5</v>
      </c>
      <c r="G758" s="85">
        <f>--(F758&lt;=Estimator!$B$7)</f>
        <v>1</v>
      </c>
      <c r="H758" s="86">
        <f>SUMIFS('Climate Data'!$G$7:$G$366,'Climate Data'!$A$7:$A$366,Estimator!$B$4,'Climate Data'!$B$7:$B$366,C758)</f>
        <v>0.19462365591397848</v>
      </c>
      <c r="I758" s="87">
        <f>SUMIFS('Climate Data'!$H$7:$H$366,'Climate Data'!$A$7:$A$366,Estimator!$B$4,'Climate Data'!$B$7:$B$366,C758)</f>
        <v>7.027624309392265</v>
      </c>
      <c r="J758" s="86">
        <f>SUMIFS('Wind Proxy'!$H$8:$H$19,'Wind Proxy'!$A$8:$A$19,Estimator!$B$4,'Wind Proxy'!$B$8:$B$19,C758)</f>
        <v>0</v>
      </c>
    </row>
    <row r="759" spans="1:10" ht="14.4">
      <c r="A759" s="84">
        <v>46410</v>
      </c>
      <c r="B759" s="85">
        <v>2027</v>
      </c>
      <c r="C759" s="85">
        <v>1</v>
      </c>
      <c r="D759" s="85" t="s">
        <v>55</v>
      </c>
      <c r="E759" s="85">
        <v>23</v>
      </c>
      <c r="F759" s="85">
        <v>6</v>
      </c>
      <c r="G759" s="85">
        <f>--(F759&lt;=Estimator!$B$7)</f>
        <v>0</v>
      </c>
      <c r="H759" s="86">
        <f>SUMIFS('Climate Data'!$G$7:$G$366,'Climate Data'!$A$7:$A$366,Estimator!$B$4,'Climate Data'!$B$7:$B$366,C759)</f>
        <v>0.19462365591397848</v>
      </c>
      <c r="I759" s="87">
        <f>SUMIFS('Climate Data'!$H$7:$H$366,'Climate Data'!$A$7:$A$366,Estimator!$B$4,'Climate Data'!$B$7:$B$366,C759)</f>
        <v>7.027624309392265</v>
      </c>
      <c r="J759" s="86">
        <f>SUMIFS('Wind Proxy'!$H$8:$H$19,'Wind Proxy'!$A$8:$A$19,Estimator!$B$4,'Wind Proxy'!$B$8:$B$19,C759)</f>
        <v>0</v>
      </c>
    </row>
    <row r="760" spans="1:10" ht="14.4">
      <c r="A760" s="84">
        <v>46411</v>
      </c>
      <c r="B760" s="85">
        <v>2027</v>
      </c>
      <c r="C760" s="85">
        <v>1</v>
      </c>
      <c r="D760" s="85" t="s">
        <v>55</v>
      </c>
      <c r="E760" s="85">
        <v>24</v>
      </c>
      <c r="F760" s="85">
        <v>7</v>
      </c>
      <c r="G760" s="85">
        <f>--(F760&lt;=Estimator!$B$7)</f>
        <v>0</v>
      </c>
      <c r="H760" s="86">
        <f>SUMIFS('Climate Data'!$G$7:$G$366,'Climate Data'!$A$7:$A$366,Estimator!$B$4,'Climate Data'!$B$7:$B$366,C760)</f>
        <v>0.19462365591397848</v>
      </c>
      <c r="I760" s="87">
        <f>SUMIFS('Climate Data'!$H$7:$H$366,'Climate Data'!$A$7:$A$366,Estimator!$B$4,'Climate Data'!$B$7:$B$366,C760)</f>
        <v>7.027624309392265</v>
      </c>
      <c r="J760" s="86">
        <f>SUMIFS('Wind Proxy'!$H$8:$H$19,'Wind Proxy'!$A$8:$A$19,Estimator!$B$4,'Wind Proxy'!$B$8:$B$19,C760)</f>
        <v>0</v>
      </c>
    </row>
    <row r="761" spans="1:10" ht="14.4">
      <c r="A761" s="84">
        <v>46412</v>
      </c>
      <c r="B761" s="85">
        <v>2027</v>
      </c>
      <c r="C761" s="85">
        <v>1</v>
      </c>
      <c r="D761" s="85" t="s">
        <v>55</v>
      </c>
      <c r="E761" s="85">
        <v>25</v>
      </c>
      <c r="F761" s="85">
        <v>1</v>
      </c>
      <c r="G761" s="85">
        <f>--(F761&lt;=Estimator!$B$7)</f>
        <v>1</v>
      </c>
      <c r="H761" s="86">
        <f>SUMIFS('Climate Data'!$G$7:$G$366,'Climate Data'!$A$7:$A$366,Estimator!$B$4,'Climate Data'!$B$7:$B$366,C761)</f>
        <v>0.19462365591397848</v>
      </c>
      <c r="I761" s="87">
        <f>SUMIFS('Climate Data'!$H$7:$H$366,'Climate Data'!$A$7:$A$366,Estimator!$B$4,'Climate Data'!$B$7:$B$366,C761)</f>
        <v>7.027624309392265</v>
      </c>
      <c r="J761" s="86">
        <f>SUMIFS('Wind Proxy'!$H$8:$H$19,'Wind Proxy'!$A$8:$A$19,Estimator!$B$4,'Wind Proxy'!$B$8:$B$19,C761)</f>
        <v>0</v>
      </c>
    </row>
    <row r="762" spans="1:10" ht="14.4">
      <c r="A762" s="84">
        <v>46413</v>
      </c>
      <c r="B762" s="85">
        <v>2027</v>
      </c>
      <c r="C762" s="85">
        <v>1</v>
      </c>
      <c r="D762" s="85" t="s">
        <v>55</v>
      </c>
      <c r="E762" s="85">
        <v>26</v>
      </c>
      <c r="F762" s="85">
        <v>2</v>
      </c>
      <c r="G762" s="85">
        <f>--(F762&lt;=Estimator!$B$7)</f>
        <v>1</v>
      </c>
      <c r="H762" s="86">
        <f>SUMIFS('Climate Data'!$G$7:$G$366,'Climate Data'!$A$7:$A$366,Estimator!$B$4,'Climate Data'!$B$7:$B$366,C762)</f>
        <v>0.19462365591397848</v>
      </c>
      <c r="I762" s="87">
        <f>SUMIFS('Climate Data'!$H$7:$H$366,'Climate Data'!$A$7:$A$366,Estimator!$B$4,'Climate Data'!$B$7:$B$366,C762)</f>
        <v>7.027624309392265</v>
      </c>
      <c r="J762" s="86">
        <f>SUMIFS('Wind Proxy'!$H$8:$H$19,'Wind Proxy'!$A$8:$A$19,Estimator!$B$4,'Wind Proxy'!$B$8:$B$19,C762)</f>
        <v>0</v>
      </c>
    </row>
    <row r="763" spans="1:10" ht="14.4">
      <c r="A763" s="84">
        <v>46414</v>
      </c>
      <c r="B763" s="85">
        <v>2027</v>
      </c>
      <c r="C763" s="85">
        <v>1</v>
      </c>
      <c r="D763" s="85" t="s">
        <v>55</v>
      </c>
      <c r="E763" s="85">
        <v>27</v>
      </c>
      <c r="F763" s="85">
        <v>3</v>
      </c>
      <c r="G763" s="85">
        <f>--(F763&lt;=Estimator!$B$7)</f>
        <v>1</v>
      </c>
      <c r="H763" s="86">
        <f>SUMIFS('Climate Data'!$G$7:$G$366,'Climate Data'!$A$7:$A$366,Estimator!$B$4,'Climate Data'!$B$7:$B$366,C763)</f>
        <v>0.19462365591397848</v>
      </c>
      <c r="I763" s="87">
        <f>SUMIFS('Climate Data'!$H$7:$H$366,'Climate Data'!$A$7:$A$366,Estimator!$B$4,'Climate Data'!$B$7:$B$366,C763)</f>
        <v>7.027624309392265</v>
      </c>
      <c r="J763" s="86">
        <f>SUMIFS('Wind Proxy'!$H$8:$H$19,'Wind Proxy'!$A$8:$A$19,Estimator!$B$4,'Wind Proxy'!$B$8:$B$19,C763)</f>
        <v>0</v>
      </c>
    </row>
    <row r="764" spans="1:10" ht="14.4">
      <c r="A764" s="84">
        <v>46415</v>
      </c>
      <c r="B764" s="85">
        <v>2027</v>
      </c>
      <c r="C764" s="85">
        <v>1</v>
      </c>
      <c r="D764" s="85" t="s">
        <v>55</v>
      </c>
      <c r="E764" s="85">
        <v>28</v>
      </c>
      <c r="F764" s="85">
        <v>4</v>
      </c>
      <c r="G764" s="85">
        <f>--(F764&lt;=Estimator!$B$7)</f>
        <v>1</v>
      </c>
      <c r="H764" s="86">
        <f>SUMIFS('Climate Data'!$G$7:$G$366,'Climate Data'!$A$7:$A$366,Estimator!$B$4,'Climate Data'!$B$7:$B$366,C764)</f>
        <v>0.19462365591397848</v>
      </c>
      <c r="I764" s="87">
        <f>SUMIFS('Climate Data'!$H$7:$H$366,'Climate Data'!$A$7:$A$366,Estimator!$B$4,'Climate Data'!$B$7:$B$366,C764)</f>
        <v>7.027624309392265</v>
      </c>
      <c r="J764" s="86">
        <f>SUMIFS('Wind Proxy'!$H$8:$H$19,'Wind Proxy'!$A$8:$A$19,Estimator!$B$4,'Wind Proxy'!$B$8:$B$19,C764)</f>
        <v>0</v>
      </c>
    </row>
    <row r="765" spans="1:10" ht="14.4">
      <c r="A765" s="84">
        <v>46416</v>
      </c>
      <c r="B765" s="85">
        <v>2027</v>
      </c>
      <c r="C765" s="85">
        <v>1</v>
      </c>
      <c r="D765" s="85" t="s">
        <v>55</v>
      </c>
      <c r="E765" s="85">
        <v>29</v>
      </c>
      <c r="F765" s="85">
        <v>5</v>
      </c>
      <c r="G765" s="85">
        <f>--(F765&lt;=Estimator!$B$7)</f>
        <v>1</v>
      </c>
      <c r="H765" s="86">
        <f>SUMIFS('Climate Data'!$G$7:$G$366,'Climate Data'!$A$7:$A$366,Estimator!$B$4,'Climate Data'!$B$7:$B$366,C765)</f>
        <v>0.19462365591397848</v>
      </c>
      <c r="I765" s="87">
        <f>SUMIFS('Climate Data'!$H$7:$H$366,'Climate Data'!$A$7:$A$366,Estimator!$B$4,'Climate Data'!$B$7:$B$366,C765)</f>
        <v>7.027624309392265</v>
      </c>
      <c r="J765" s="86">
        <f>SUMIFS('Wind Proxy'!$H$8:$H$19,'Wind Proxy'!$A$8:$A$19,Estimator!$B$4,'Wind Proxy'!$B$8:$B$19,C765)</f>
        <v>0</v>
      </c>
    </row>
    <row r="766" spans="1:10" ht="14.4">
      <c r="A766" s="84">
        <v>46417</v>
      </c>
      <c r="B766" s="85">
        <v>2027</v>
      </c>
      <c r="C766" s="85">
        <v>1</v>
      </c>
      <c r="D766" s="85" t="s">
        <v>55</v>
      </c>
      <c r="E766" s="85">
        <v>30</v>
      </c>
      <c r="F766" s="85">
        <v>6</v>
      </c>
      <c r="G766" s="85">
        <f>--(F766&lt;=Estimator!$B$7)</f>
        <v>0</v>
      </c>
      <c r="H766" s="86">
        <f>SUMIFS('Climate Data'!$G$7:$G$366,'Climate Data'!$A$7:$A$366,Estimator!$B$4,'Climate Data'!$B$7:$B$366,C766)</f>
        <v>0.19462365591397848</v>
      </c>
      <c r="I766" s="87">
        <f>SUMIFS('Climate Data'!$H$7:$H$366,'Climate Data'!$A$7:$A$366,Estimator!$B$4,'Climate Data'!$B$7:$B$366,C766)</f>
        <v>7.027624309392265</v>
      </c>
      <c r="J766" s="86">
        <f>SUMIFS('Wind Proxy'!$H$8:$H$19,'Wind Proxy'!$A$8:$A$19,Estimator!$B$4,'Wind Proxy'!$B$8:$B$19,C766)</f>
        <v>0</v>
      </c>
    </row>
    <row r="767" spans="1:10" ht="14.4">
      <c r="A767" s="84">
        <v>46418</v>
      </c>
      <c r="B767" s="85">
        <v>2027</v>
      </c>
      <c r="C767" s="85">
        <v>1</v>
      </c>
      <c r="D767" s="85" t="s">
        <v>55</v>
      </c>
      <c r="E767" s="85">
        <v>31</v>
      </c>
      <c r="F767" s="85">
        <v>7</v>
      </c>
      <c r="G767" s="85">
        <f>--(F767&lt;=Estimator!$B$7)</f>
        <v>0</v>
      </c>
      <c r="H767" s="86">
        <f>SUMIFS('Climate Data'!$G$7:$G$366,'Climate Data'!$A$7:$A$366,Estimator!$B$4,'Climate Data'!$B$7:$B$366,C767)</f>
        <v>0.19462365591397848</v>
      </c>
      <c r="I767" s="87">
        <f>SUMIFS('Climate Data'!$H$7:$H$366,'Climate Data'!$A$7:$A$366,Estimator!$B$4,'Climate Data'!$B$7:$B$366,C767)</f>
        <v>7.027624309392265</v>
      </c>
      <c r="J767" s="86">
        <f>SUMIFS('Wind Proxy'!$H$8:$H$19,'Wind Proxy'!$A$8:$A$19,Estimator!$B$4,'Wind Proxy'!$B$8:$B$19,C767)</f>
        <v>0</v>
      </c>
    </row>
    <row r="768" spans="1:10" ht="14.4">
      <c r="A768" s="84">
        <v>46419</v>
      </c>
      <c r="B768" s="85">
        <v>2027</v>
      </c>
      <c r="C768" s="85">
        <v>2</v>
      </c>
      <c r="D768" s="85" t="s">
        <v>58</v>
      </c>
      <c r="E768" s="85">
        <v>1</v>
      </c>
      <c r="F768" s="85">
        <v>1</v>
      </c>
      <c r="G768" s="85">
        <f>--(F768&lt;=Estimator!$B$7)</f>
        <v>1</v>
      </c>
      <c r="H768" s="86">
        <f>SUMIFS('Climate Data'!$G$7:$G$366,'Climate Data'!$A$7:$A$366,Estimator!$B$4,'Climate Data'!$B$7:$B$366,C768)</f>
        <v>0.18867924528301885</v>
      </c>
      <c r="I768" s="87">
        <f>SUMIFS('Climate Data'!$H$7:$H$366,'Climate Data'!$A$7:$A$366,Estimator!$B$4,'Climate Data'!$B$7:$B$366,C768)</f>
        <v>7.4624999999999995</v>
      </c>
      <c r="J768" s="86">
        <f>SUMIFS('Wind Proxy'!$H$8:$H$19,'Wind Proxy'!$A$8:$A$19,Estimator!$B$4,'Wind Proxy'!$B$8:$B$19,C768)</f>
        <v>0</v>
      </c>
    </row>
    <row r="769" spans="1:10" ht="14.4">
      <c r="A769" s="84">
        <v>46420</v>
      </c>
      <c r="B769" s="85">
        <v>2027</v>
      </c>
      <c r="C769" s="85">
        <v>2</v>
      </c>
      <c r="D769" s="85" t="s">
        <v>58</v>
      </c>
      <c r="E769" s="85">
        <v>2</v>
      </c>
      <c r="F769" s="85">
        <v>2</v>
      </c>
      <c r="G769" s="85">
        <f>--(F769&lt;=Estimator!$B$7)</f>
        <v>1</v>
      </c>
      <c r="H769" s="86">
        <f>SUMIFS('Climate Data'!$G$7:$G$366,'Climate Data'!$A$7:$A$366,Estimator!$B$4,'Climate Data'!$B$7:$B$366,C769)</f>
        <v>0.18867924528301885</v>
      </c>
      <c r="I769" s="87">
        <f>SUMIFS('Climate Data'!$H$7:$H$366,'Climate Data'!$A$7:$A$366,Estimator!$B$4,'Climate Data'!$B$7:$B$366,C769)</f>
        <v>7.4624999999999995</v>
      </c>
      <c r="J769" s="86">
        <f>SUMIFS('Wind Proxy'!$H$8:$H$19,'Wind Proxy'!$A$8:$A$19,Estimator!$B$4,'Wind Proxy'!$B$8:$B$19,C769)</f>
        <v>0</v>
      </c>
    </row>
    <row r="770" spans="1:10" ht="14.4">
      <c r="A770" s="84">
        <v>46421</v>
      </c>
      <c r="B770" s="85">
        <v>2027</v>
      </c>
      <c r="C770" s="85">
        <v>2</v>
      </c>
      <c r="D770" s="85" t="s">
        <v>58</v>
      </c>
      <c r="E770" s="85">
        <v>3</v>
      </c>
      <c r="F770" s="85">
        <v>3</v>
      </c>
      <c r="G770" s="85">
        <f>--(F770&lt;=Estimator!$B$7)</f>
        <v>1</v>
      </c>
      <c r="H770" s="86">
        <f>SUMIFS('Climate Data'!$G$7:$G$366,'Climate Data'!$A$7:$A$366,Estimator!$B$4,'Climate Data'!$B$7:$B$366,C770)</f>
        <v>0.18867924528301885</v>
      </c>
      <c r="I770" s="87">
        <f>SUMIFS('Climate Data'!$H$7:$H$366,'Climate Data'!$A$7:$A$366,Estimator!$B$4,'Climate Data'!$B$7:$B$366,C770)</f>
        <v>7.4624999999999995</v>
      </c>
      <c r="J770" s="86">
        <f>SUMIFS('Wind Proxy'!$H$8:$H$19,'Wind Proxy'!$A$8:$A$19,Estimator!$B$4,'Wind Proxy'!$B$8:$B$19,C770)</f>
        <v>0</v>
      </c>
    </row>
    <row r="771" spans="1:10" ht="14.4">
      <c r="A771" s="84">
        <v>46422</v>
      </c>
      <c r="B771" s="85">
        <v>2027</v>
      </c>
      <c r="C771" s="85">
        <v>2</v>
      </c>
      <c r="D771" s="85" t="s">
        <v>58</v>
      </c>
      <c r="E771" s="85">
        <v>4</v>
      </c>
      <c r="F771" s="85">
        <v>4</v>
      </c>
      <c r="G771" s="85">
        <f>--(F771&lt;=Estimator!$B$7)</f>
        <v>1</v>
      </c>
      <c r="H771" s="86">
        <f>SUMIFS('Climate Data'!$G$7:$G$366,'Climate Data'!$A$7:$A$366,Estimator!$B$4,'Climate Data'!$B$7:$B$366,C771)</f>
        <v>0.18867924528301885</v>
      </c>
      <c r="I771" s="87">
        <f>SUMIFS('Climate Data'!$H$7:$H$366,'Climate Data'!$A$7:$A$366,Estimator!$B$4,'Climate Data'!$B$7:$B$366,C771)</f>
        <v>7.4624999999999995</v>
      </c>
      <c r="J771" s="86">
        <f>SUMIFS('Wind Proxy'!$H$8:$H$19,'Wind Proxy'!$A$8:$A$19,Estimator!$B$4,'Wind Proxy'!$B$8:$B$19,C771)</f>
        <v>0</v>
      </c>
    </row>
    <row r="772" spans="1:10" ht="14.4">
      <c r="A772" s="84">
        <v>46423</v>
      </c>
      <c r="B772" s="85">
        <v>2027</v>
      </c>
      <c r="C772" s="85">
        <v>2</v>
      </c>
      <c r="D772" s="85" t="s">
        <v>58</v>
      </c>
      <c r="E772" s="85">
        <v>5</v>
      </c>
      <c r="F772" s="85">
        <v>5</v>
      </c>
      <c r="G772" s="85">
        <f>--(F772&lt;=Estimator!$B$7)</f>
        <v>1</v>
      </c>
      <c r="H772" s="86">
        <f>SUMIFS('Climate Data'!$G$7:$G$366,'Climate Data'!$A$7:$A$366,Estimator!$B$4,'Climate Data'!$B$7:$B$366,C772)</f>
        <v>0.18867924528301885</v>
      </c>
      <c r="I772" s="87">
        <f>SUMIFS('Climate Data'!$H$7:$H$366,'Climate Data'!$A$7:$A$366,Estimator!$B$4,'Climate Data'!$B$7:$B$366,C772)</f>
        <v>7.4624999999999995</v>
      </c>
      <c r="J772" s="86">
        <f>SUMIFS('Wind Proxy'!$H$8:$H$19,'Wind Proxy'!$A$8:$A$19,Estimator!$B$4,'Wind Proxy'!$B$8:$B$19,C772)</f>
        <v>0</v>
      </c>
    </row>
    <row r="773" spans="1:10" ht="14.4">
      <c r="A773" s="84">
        <v>46424</v>
      </c>
      <c r="B773" s="85">
        <v>2027</v>
      </c>
      <c r="C773" s="85">
        <v>2</v>
      </c>
      <c r="D773" s="85" t="s">
        <v>58</v>
      </c>
      <c r="E773" s="85">
        <v>6</v>
      </c>
      <c r="F773" s="85">
        <v>6</v>
      </c>
      <c r="G773" s="85">
        <f>--(F773&lt;=Estimator!$B$7)</f>
        <v>0</v>
      </c>
      <c r="H773" s="86">
        <f>SUMIFS('Climate Data'!$G$7:$G$366,'Climate Data'!$A$7:$A$366,Estimator!$B$4,'Climate Data'!$B$7:$B$366,C773)</f>
        <v>0.18867924528301885</v>
      </c>
      <c r="I773" s="87">
        <f>SUMIFS('Climate Data'!$H$7:$H$366,'Climate Data'!$A$7:$A$366,Estimator!$B$4,'Climate Data'!$B$7:$B$366,C773)</f>
        <v>7.4624999999999995</v>
      </c>
      <c r="J773" s="86">
        <f>SUMIFS('Wind Proxy'!$H$8:$H$19,'Wind Proxy'!$A$8:$A$19,Estimator!$B$4,'Wind Proxy'!$B$8:$B$19,C773)</f>
        <v>0</v>
      </c>
    </row>
    <row r="774" spans="1:10" ht="14.4">
      <c r="A774" s="84">
        <v>46425</v>
      </c>
      <c r="B774" s="85">
        <v>2027</v>
      </c>
      <c r="C774" s="85">
        <v>2</v>
      </c>
      <c r="D774" s="85" t="s">
        <v>58</v>
      </c>
      <c r="E774" s="85">
        <v>7</v>
      </c>
      <c r="F774" s="85">
        <v>7</v>
      </c>
      <c r="G774" s="85">
        <f>--(F774&lt;=Estimator!$B$7)</f>
        <v>0</v>
      </c>
      <c r="H774" s="86">
        <f>SUMIFS('Climate Data'!$G$7:$G$366,'Climate Data'!$A$7:$A$366,Estimator!$B$4,'Climate Data'!$B$7:$B$366,C774)</f>
        <v>0.18867924528301885</v>
      </c>
      <c r="I774" s="87">
        <f>SUMIFS('Climate Data'!$H$7:$H$366,'Climate Data'!$A$7:$A$366,Estimator!$B$4,'Climate Data'!$B$7:$B$366,C774)</f>
        <v>7.4624999999999995</v>
      </c>
      <c r="J774" s="86">
        <f>SUMIFS('Wind Proxy'!$H$8:$H$19,'Wind Proxy'!$A$8:$A$19,Estimator!$B$4,'Wind Proxy'!$B$8:$B$19,C774)</f>
        <v>0</v>
      </c>
    </row>
    <row r="775" spans="1:10" ht="14.4">
      <c r="A775" s="84">
        <v>46426</v>
      </c>
      <c r="B775" s="85">
        <v>2027</v>
      </c>
      <c r="C775" s="85">
        <v>2</v>
      </c>
      <c r="D775" s="85" t="s">
        <v>58</v>
      </c>
      <c r="E775" s="85">
        <v>8</v>
      </c>
      <c r="F775" s="85">
        <v>1</v>
      </c>
      <c r="G775" s="85">
        <f>--(F775&lt;=Estimator!$B$7)</f>
        <v>1</v>
      </c>
      <c r="H775" s="86">
        <f>SUMIFS('Climate Data'!$G$7:$G$366,'Climate Data'!$A$7:$A$366,Estimator!$B$4,'Climate Data'!$B$7:$B$366,C775)</f>
        <v>0.18867924528301885</v>
      </c>
      <c r="I775" s="87">
        <f>SUMIFS('Climate Data'!$H$7:$H$366,'Climate Data'!$A$7:$A$366,Estimator!$B$4,'Climate Data'!$B$7:$B$366,C775)</f>
        <v>7.4624999999999995</v>
      </c>
      <c r="J775" s="86">
        <f>SUMIFS('Wind Proxy'!$H$8:$H$19,'Wind Proxy'!$A$8:$A$19,Estimator!$B$4,'Wind Proxy'!$B$8:$B$19,C775)</f>
        <v>0</v>
      </c>
    </row>
    <row r="776" spans="1:10" ht="14.4">
      <c r="A776" s="84">
        <v>46427</v>
      </c>
      <c r="B776" s="85">
        <v>2027</v>
      </c>
      <c r="C776" s="85">
        <v>2</v>
      </c>
      <c r="D776" s="85" t="s">
        <v>58</v>
      </c>
      <c r="E776" s="85">
        <v>9</v>
      </c>
      <c r="F776" s="85">
        <v>2</v>
      </c>
      <c r="G776" s="85">
        <f>--(F776&lt;=Estimator!$B$7)</f>
        <v>1</v>
      </c>
      <c r="H776" s="86">
        <f>SUMIFS('Climate Data'!$G$7:$G$366,'Climate Data'!$A$7:$A$366,Estimator!$B$4,'Climate Data'!$B$7:$B$366,C776)</f>
        <v>0.18867924528301885</v>
      </c>
      <c r="I776" s="87">
        <f>SUMIFS('Climate Data'!$H$7:$H$366,'Climate Data'!$A$7:$A$366,Estimator!$B$4,'Climate Data'!$B$7:$B$366,C776)</f>
        <v>7.4624999999999995</v>
      </c>
      <c r="J776" s="86">
        <f>SUMIFS('Wind Proxy'!$H$8:$H$19,'Wind Proxy'!$A$8:$A$19,Estimator!$B$4,'Wind Proxy'!$B$8:$B$19,C776)</f>
        <v>0</v>
      </c>
    </row>
    <row r="777" spans="1:10" ht="14.4">
      <c r="A777" s="84">
        <v>46428</v>
      </c>
      <c r="B777" s="85">
        <v>2027</v>
      </c>
      <c r="C777" s="85">
        <v>2</v>
      </c>
      <c r="D777" s="85" t="s">
        <v>58</v>
      </c>
      <c r="E777" s="85">
        <v>10</v>
      </c>
      <c r="F777" s="85">
        <v>3</v>
      </c>
      <c r="G777" s="85">
        <f>--(F777&lt;=Estimator!$B$7)</f>
        <v>1</v>
      </c>
      <c r="H777" s="86">
        <f>SUMIFS('Climate Data'!$G$7:$G$366,'Climate Data'!$A$7:$A$366,Estimator!$B$4,'Climate Data'!$B$7:$B$366,C777)</f>
        <v>0.18867924528301885</v>
      </c>
      <c r="I777" s="87">
        <f>SUMIFS('Climate Data'!$H$7:$H$366,'Climate Data'!$A$7:$A$366,Estimator!$B$4,'Climate Data'!$B$7:$B$366,C777)</f>
        <v>7.4624999999999995</v>
      </c>
      <c r="J777" s="86">
        <f>SUMIFS('Wind Proxy'!$H$8:$H$19,'Wind Proxy'!$A$8:$A$19,Estimator!$B$4,'Wind Proxy'!$B$8:$B$19,C777)</f>
        <v>0</v>
      </c>
    </row>
    <row r="778" spans="1:10" ht="14.4">
      <c r="A778" s="84">
        <v>46429</v>
      </c>
      <c r="B778" s="85">
        <v>2027</v>
      </c>
      <c r="C778" s="85">
        <v>2</v>
      </c>
      <c r="D778" s="85" t="s">
        <v>58</v>
      </c>
      <c r="E778" s="85">
        <v>11</v>
      </c>
      <c r="F778" s="85">
        <v>4</v>
      </c>
      <c r="G778" s="85">
        <f>--(F778&lt;=Estimator!$B$7)</f>
        <v>1</v>
      </c>
      <c r="H778" s="86">
        <f>SUMIFS('Climate Data'!$G$7:$G$366,'Climate Data'!$A$7:$A$366,Estimator!$B$4,'Climate Data'!$B$7:$B$366,C778)</f>
        <v>0.18867924528301885</v>
      </c>
      <c r="I778" s="87">
        <f>SUMIFS('Climate Data'!$H$7:$H$366,'Climate Data'!$A$7:$A$366,Estimator!$B$4,'Climate Data'!$B$7:$B$366,C778)</f>
        <v>7.4624999999999995</v>
      </c>
      <c r="J778" s="86">
        <f>SUMIFS('Wind Proxy'!$H$8:$H$19,'Wind Proxy'!$A$8:$A$19,Estimator!$B$4,'Wind Proxy'!$B$8:$B$19,C778)</f>
        <v>0</v>
      </c>
    </row>
    <row r="779" spans="1:10" ht="14.4">
      <c r="A779" s="84">
        <v>46430</v>
      </c>
      <c r="B779" s="85">
        <v>2027</v>
      </c>
      <c r="C779" s="85">
        <v>2</v>
      </c>
      <c r="D779" s="85" t="s">
        <v>58</v>
      </c>
      <c r="E779" s="85">
        <v>12</v>
      </c>
      <c r="F779" s="85">
        <v>5</v>
      </c>
      <c r="G779" s="85">
        <f>--(F779&lt;=Estimator!$B$7)</f>
        <v>1</v>
      </c>
      <c r="H779" s="86">
        <f>SUMIFS('Climate Data'!$G$7:$G$366,'Climate Data'!$A$7:$A$366,Estimator!$B$4,'Climate Data'!$B$7:$B$366,C779)</f>
        <v>0.18867924528301885</v>
      </c>
      <c r="I779" s="87">
        <f>SUMIFS('Climate Data'!$H$7:$H$366,'Climate Data'!$A$7:$A$366,Estimator!$B$4,'Climate Data'!$B$7:$B$366,C779)</f>
        <v>7.4624999999999995</v>
      </c>
      <c r="J779" s="86">
        <f>SUMIFS('Wind Proxy'!$H$8:$H$19,'Wind Proxy'!$A$8:$A$19,Estimator!$B$4,'Wind Proxy'!$B$8:$B$19,C779)</f>
        <v>0</v>
      </c>
    </row>
    <row r="780" spans="1:10" ht="14.4">
      <c r="A780" s="84">
        <v>46431</v>
      </c>
      <c r="B780" s="85">
        <v>2027</v>
      </c>
      <c r="C780" s="85">
        <v>2</v>
      </c>
      <c r="D780" s="85" t="s">
        <v>58</v>
      </c>
      <c r="E780" s="85">
        <v>13</v>
      </c>
      <c r="F780" s="85">
        <v>6</v>
      </c>
      <c r="G780" s="85">
        <f>--(F780&lt;=Estimator!$B$7)</f>
        <v>0</v>
      </c>
      <c r="H780" s="86">
        <f>SUMIFS('Climate Data'!$G$7:$G$366,'Climate Data'!$A$7:$A$366,Estimator!$B$4,'Climate Data'!$B$7:$B$366,C780)</f>
        <v>0.18867924528301885</v>
      </c>
      <c r="I780" s="87">
        <f>SUMIFS('Climate Data'!$H$7:$H$366,'Climate Data'!$A$7:$A$366,Estimator!$B$4,'Climate Data'!$B$7:$B$366,C780)</f>
        <v>7.4624999999999995</v>
      </c>
      <c r="J780" s="86">
        <f>SUMIFS('Wind Proxy'!$H$8:$H$19,'Wind Proxy'!$A$8:$A$19,Estimator!$B$4,'Wind Proxy'!$B$8:$B$19,C780)</f>
        <v>0</v>
      </c>
    </row>
    <row r="781" spans="1:10" ht="14.4">
      <c r="A781" s="84">
        <v>46432</v>
      </c>
      <c r="B781" s="85">
        <v>2027</v>
      </c>
      <c r="C781" s="85">
        <v>2</v>
      </c>
      <c r="D781" s="85" t="s">
        <v>58</v>
      </c>
      <c r="E781" s="85">
        <v>14</v>
      </c>
      <c r="F781" s="85">
        <v>7</v>
      </c>
      <c r="G781" s="85">
        <f>--(F781&lt;=Estimator!$B$7)</f>
        <v>0</v>
      </c>
      <c r="H781" s="86">
        <f>SUMIFS('Climate Data'!$G$7:$G$366,'Climate Data'!$A$7:$A$366,Estimator!$B$4,'Climate Data'!$B$7:$B$366,C781)</f>
        <v>0.18867924528301885</v>
      </c>
      <c r="I781" s="87">
        <f>SUMIFS('Climate Data'!$H$7:$H$366,'Climate Data'!$A$7:$A$366,Estimator!$B$4,'Climate Data'!$B$7:$B$366,C781)</f>
        <v>7.4624999999999995</v>
      </c>
      <c r="J781" s="86">
        <f>SUMIFS('Wind Proxy'!$H$8:$H$19,'Wind Proxy'!$A$8:$A$19,Estimator!$B$4,'Wind Proxy'!$B$8:$B$19,C781)</f>
        <v>0</v>
      </c>
    </row>
    <row r="782" spans="1:10" ht="14.4">
      <c r="A782" s="84">
        <v>46433</v>
      </c>
      <c r="B782" s="85">
        <v>2027</v>
      </c>
      <c r="C782" s="85">
        <v>2</v>
      </c>
      <c r="D782" s="85" t="s">
        <v>58</v>
      </c>
      <c r="E782" s="85">
        <v>15</v>
      </c>
      <c r="F782" s="85">
        <v>1</v>
      </c>
      <c r="G782" s="85">
        <f>--(F782&lt;=Estimator!$B$7)</f>
        <v>1</v>
      </c>
      <c r="H782" s="86">
        <f>SUMIFS('Climate Data'!$G$7:$G$366,'Climate Data'!$A$7:$A$366,Estimator!$B$4,'Climate Data'!$B$7:$B$366,C782)</f>
        <v>0.18867924528301885</v>
      </c>
      <c r="I782" s="87">
        <f>SUMIFS('Climate Data'!$H$7:$H$366,'Climate Data'!$A$7:$A$366,Estimator!$B$4,'Climate Data'!$B$7:$B$366,C782)</f>
        <v>7.4624999999999995</v>
      </c>
      <c r="J782" s="86">
        <f>SUMIFS('Wind Proxy'!$H$8:$H$19,'Wind Proxy'!$A$8:$A$19,Estimator!$B$4,'Wind Proxy'!$B$8:$B$19,C782)</f>
        <v>0</v>
      </c>
    </row>
    <row r="783" spans="1:10" ht="14.4">
      <c r="A783" s="84">
        <v>46434</v>
      </c>
      <c r="B783" s="85">
        <v>2027</v>
      </c>
      <c r="C783" s="85">
        <v>2</v>
      </c>
      <c r="D783" s="85" t="s">
        <v>58</v>
      </c>
      <c r="E783" s="85">
        <v>16</v>
      </c>
      <c r="F783" s="85">
        <v>2</v>
      </c>
      <c r="G783" s="85">
        <f>--(F783&lt;=Estimator!$B$7)</f>
        <v>1</v>
      </c>
      <c r="H783" s="86">
        <f>SUMIFS('Climate Data'!$G$7:$G$366,'Climate Data'!$A$7:$A$366,Estimator!$B$4,'Climate Data'!$B$7:$B$366,C783)</f>
        <v>0.18867924528301885</v>
      </c>
      <c r="I783" s="87">
        <f>SUMIFS('Climate Data'!$H$7:$H$366,'Climate Data'!$A$7:$A$366,Estimator!$B$4,'Climate Data'!$B$7:$B$366,C783)</f>
        <v>7.4624999999999995</v>
      </c>
      <c r="J783" s="86">
        <f>SUMIFS('Wind Proxy'!$H$8:$H$19,'Wind Proxy'!$A$8:$A$19,Estimator!$B$4,'Wind Proxy'!$B$8:$B$19,C783)</f>
        <v>0</v>
      </c>
    </row>
    <row r="784" spans="1:10" ht="14.4">
      <c r="A784" s="84">
        <v>46435</v>
      </c>
      <c r="B784" s="85">
        <v>2027</v>
      </c>
      <c r="C784" s="85">
        <v>2</v>
      </c>
      <c r="D784" s="85" t="s">
        <v>58</v>
      </c>
      <c r="E784" s="85">
        <v>17</v>
      </c>
      <c r="F784" s="85">
        <v>3</v>
      </c>
      <c r="G784" s="85">
        <f>--(F784&lt;=Estimator!$B$7)</f>
        <v>1</v>
      </c>
      <c r="H784" s="86">
        <f>SUMIFS('Climate Data'!$G$7:$G$366,'Climate Data'!$A$7:$A$366,Estimator!$B$4,'Climate Data'!$B$7:$B$366,C784)</f>
        <v>0.18867924528301885</v>
      </c>
      <c r="I784" s="87">
        <f>SUMIFS('Climate Data'!$H$7:$H$366,'Climate Data'!$A$7:$A$366,Estimator!$B$4,'Climate Data'!$B$7:$B$366,C784)</f>
        <v>7.4624999999999995</v>
      </c>
      <c r="J784" s="86">
        <f>SUMIFS('Wind Proxy'!$H$8:$H$19,'Wind Proxy'!$A$8:$A$19,Estimator!$B$4,'Wind Proxy'!$B$8:$B$19,C784)</f>
        <v>0</v>
      </c>
    </row>
    <row r="785" spans="1:10" ht="14.4">
      <c r="A785" s="84">
        <v>46436</v>
      </c>
      <c r="B785" s="85">
        <v>2027</v>
      </c>
      <c r="C785" s="85">
        <v>2</v>
      </c>
      <c r="D785" s="85" t="s">
        <v>58</v>
      </c>
      <c r="E785" s="85">
        <v>18</v>
      </c>
      <c r="F785" s="85">
        <v>4</v>
      </c>
      <c r="G785" s="85">
        <f>--(F785&lt;=Estimator!$B$7)</f>
        <v>1</v>
      </c>
      <c r="H785" s="86">
        <f>SUMIFS('Climate Data'!$G$7:$G$366,'Climate Data'!$A$7:$A$366,Estimator!$B$4,'Climate Data'!$B$7:$B$366,C785)</f>
        <v>0.18867924528301885</v>
      </c>
      <c r="I785" s="87">
        <f>SUMIFS('Climate Data'!$H$7:$H$366,'Climate Data'!$A$7:$A$366,Estimator!$B$4,'Climate Data'!$B$7:$B$366,C785)</f>
        <v>7.4624999999999995</v>
      </c>
      <c r="J785" s="86">
        <f>SUMIFS('Wind Proxy'!$H$8:$H$19,'Wind Proxy'!$A$8:$A$19,Estimator!$B$4,'Wind Proxy'!$B$8:$B$19,C785)</f>
        <v>0</v>
      </c>
    </row>
    <row r="786" spans="1:10" ht="14.4">
      <c r="A786" s="84">
        <v>46437</v>
      </c>
      <c r="B786" s="85">
        <v>2027</v>
      </c>
      <c r="C786" s="85">
        <v>2</v>
      </c>
      <c r="D786" s="85" t="s">
        <v>58</v>
      </c>
      <c r="E786" s="85">
        <v>19</v>
      </c>
      <c r="F786" s="85">
        <v>5</v>
      </c>
      <c r="G786" s="85">
        <f>--(F786&lt;=Estimator!$B$7)</f>
        <v>1</v>
      </c>
      <c r="H786" s="86">
        <f>SUMIFS('Climate Data'!$G$7:$G$366,'Climate Data'!$A$7:$A$366,Estimator!$B$4,'Climate Data'!$B$7:$B$366,C786)</f>
        <v>0.18867924528301885</v>
      </c>
      <c r="I786" s="87">
        <f>SUMIFS('Climate Data'!$H$7:$H$366,'Climate Data'!$A$7:$A$366,Estimator!$B$4,'Climate Data'!$B$7:$B$366,C786)</f>
        <v>7.4624999999999995</v>
      </c>
      <c r="J786" s="86">
        <f>SUMIFS('Wind Proxy'!$H$8:$H$19,'Wind Proxy'!$A$8:$A$19,Estimator!$B$4,'Wind Proxy'!$B$8:$B$19,C786)</f>
        <v>0</v>
      </c>
    </row>
    <row r="787" spans="1:10" ht="14.4">
      <c r="A787" s="84">
        <v>46438</v>
      </c>
      <c r="B787" s="85">
        <v>2027</v>
      </c>
      <c r="C787" s="85">
        <v>2</v>
      </c>
      <c r="D787" s="85" t="s">
        <v>58</v>
      </c>
      <c r="E787" s="85">
        <v>20</v>
      </c>
      <c r="F787" s="85">
        <v>6</v>
      </c>
      <c r="G787" s="85">
        <f>--(F787&lt;=Estimator!$B$7)</f>
        <v>0</v>
      </c>
      <c r="H787" s="86">
        <f>SUMIFS('Climate Data'!$G$7:$G$366,'Climate Data'!$A$7:$A$366,Estimator!$B$4,'Climate Data'!$B$7:$B$366,C787)</f>
        <v>0.18867924528301885</v>
      </c>
      <c r="I787" s="87">
        <f>SUMIFS('Climate Data'!$H$7:$H$366,'Climate Data'!$A$7:$A$366,Estimator!$B$4,'Climate Data'!$B$7:$B$366,C787)</f>
        <v>7.4624999999999995</v>
      </c>
      <c r="J787" s="86">
        <f>SUMIFS('Wind Proxy'!$H$8:$H$19,'Wind Proxy'!$A$8:$A$19,Estimator!$B$4,'Wind Proxy'!$B$8:$B$19,C787)</f>
        <v>0</v>
      </c>
    </row>
    <row r="788" spans="1:10" ht="14.4">
      <c r="A788" s="84">
        <v>46439</v>
      </c>
      <c r="B788" s="85">
        <v>2027</v>
      </c>
      <c r="C788" s="85">
        <v>2</v>
      </c>
      <c r="D788" s="85" t="s">
        <v>58</v>
      </c>
      <c r="E788" s="85">
        <v>21</v>
      </c>
      <c r="F788" s="85">
        <v>7</v>
      </c>
      <c r="G788" s="85">
        <f>--(F788&lt;=Estimator!$B$7)</f>
        <v>0</v>
      </c>
      <c r="H788" s="86">
        <f>SUMIFS('Climate Data'!$G$7:$G$366,'Climate Data'!$A$7:$A$366,Estimator!$B$4,'Climate Data'!$B$7:$B$366,C788)</f>
        <v>0.18867924528301885</v>
      </c>
      <c r="I788" s="87">
        <f>SUMIFS('Climate Data'!$H$7:$H$366,'Climate Data'!$A$7:$A$366,Estimator!$B$4,'Climate Data'!$B$7:$B$366,C788)</f>
        <v>7.4624999999999995</v>
      </c>
      <c r="J788" s="86">
        <f>SUMIFS('Wind Proxy'!$H$8:$H$19,'Wind Proxy'!$A$8:$A$19,Estimator!$B$4,'Wind Proxy'!$B$8:$B$19,C788)</f>
        <v>0</v>
      </c>
    </row>
    <row r="789" spans="1:10" ht="14.4">
      <c r="A789" s="84">
        <v>46440</v>
      </c>
      <c r="B789" s="85">
        <v>2027</v>
      </c>
      <c r="C789" s="85">
        <v>2</v>
      </c>
      <c r="D789" s="85" t="s">
        <v>58</v>
      </c>
      <c r="E789" s="85">
        <v>22</v>
      </c>
      <c r="F789" s="85">
        <v>1</v>
      </c>
      <c r="G789" s="85">
        <f>--(F789&lt;=Estimator!$B$7)</f>
        <v>1</v>
      </c>
      <c r="H789" s="86">
        <f>SUMIFS('Climate Data'!$G$7:$G$366,'Climate Data'!$A$7:$A$366,Estimator!$B$4,'Climate Data'!$B$7:$B$366,C789)</f>
        <v>0.18867924528301885</v>
      </c>
      <c r="I789" s="87">
        <f>SUMIFS('Climate Data'!$H$7:$H$366,'Climate Data'!$A$7:$A$366,Estimator!$B$4,'Climate Data'!$B$7:$B$366,C789)</f>
        <v>7.4624999999999995</v>
      </c>
      <c r="J789" s="86">
        <f>SUMIFS('Wind Proxy'!$H$8:$H$19,'Wind Proxy'!$A$8:$A$19,Estimator!$B$4,'Wind Proxy'!$B$8:$B$19,C789)</f>
        <v>0</v>
      </c>
    </row>
    <row r="790" spans="1:10" ht="14.4">
      <c r="A790" s="84">
        <v>46441</v>
      </c>
      <c r="B790" s="85">
        <v>2027</v>
      </c>
      <c r="C790" s="85">
        <v>2</v>
      </c>
      <c r="D790" s="85" t="s">
        <v>58</v>
      </c>
      <c r="E790" s="85">
        <v>23</v>
      </c>
      <c r="F790" s="85">
        <v>2</v>
      </c>
      <c r="G790" s="85">
        <f>--(F790&lt;=Estimator!$B$7)</f>
        <v>1</v>
      </c>
      <c r="H790" s="86">
        <f>SUMIFS('Climate Data'!$G$7:$G$366,'Climate Data'!$A$7:$A$366,Estimator!$B$4,'Climate Data'!$B$7:$B$366,C790)</f>
        <v>0.18867924528301885</v>
      </c>
      <c r="I790" s="87">
        <f>SUMIFS('Climate Data'!$H$7:$H$366,'Climate Data'!$A$7:$A$366,Estimator!$B$4,'Climate Data'!$B$7:$B$366,C790)</f>
        <v>7.4624999999999995</v>
      </c>
      <c r="J790" s="86">
        <f>SUMIFS('Wind Proxy'!$H$8:$H$19,'Wind Proxy'!$A$8:$A$19,Estimator!$B$4,'Wind Proxy'!$B$8:$B$19,C790)</f>
        <v>0</v>
      </c>
    </row>
    <row r="791" spans="1:10" ht="14.4">
      <c r="A791" s="84">
        <v>46442</v>
      </c>
      <c r="B791" s="85">
        <v>2027</v>
      </c>
      <c r="C791" s="85">
        <v>2</v>
      </c>
      <c r="D791" s="85" t="s">
        <v>58</v>
      </c>
      <c r="E791" s="85">
        <v>24</v>
      </c>
      <c r="F791" s="85">
        <v>3</v>
      </c>
      <c r="G791" s="85">
        <f>--(F791&lt;=Estimator!$B$7)</f>
        <v>1</v>
      </c>
      <c r="H791" s="86">
        <f>SUMIFS('Climate Data'!$G$7:$G$366,'Climate Data'!$A$7:$A$366,Estimator!$B$4,'Climate Data'!$B$7:$B$366,C791)</f>
        <v>0.18867924528301885</v>
      </c>
      <c r="I791" s="87">
        <f>SUMIFS('Climate Data'!$H$7:$H$366,'Climate Data'!$A$7:$A$366,Estimator!$B$4,'Climate Data'!$B$7:$B$366,C791)</f>
        <v>7.4624999999999995</v>
      </c>
      <c r="J791" s="86">
        <f>SUMIFS('Wind Proxy'!$H$8:$H$19,'Wind Proxy'!$A$8:$A$19,Estimator!$B$4,'Wind Proxy'!$B$8:$B$19,C791)</f>
        <v>0</v>
      </c>
    </row>
    <row r="792" spans="1:10" ht="14.4">
      <c r="A792" s="84">
        <v>46443</v>
      </c>
      <c r="B792" s="85">
        <v>2027</v>
      </c>
      <c r="C792" s="85">
        <v>2</v>
      </c>
      <c r="D792" s="85" t="s">
        <v>58</v>
      </c>
      <c r="E792" s="85">
        <v>25</v>
      </c>
      <c r="F792" s="85">
        <v>4</v>
      </c>
      <c r="G792" s="85">
        <f>--(F792&lt;=Estimator!$B$7)</f>
        <v>1</v>
      </c>
      <c r="H792" s="86">
        <f>SUMIFS('Climate Data'!$G$7:$G$366,'Climate Data'!$A$7:$A$366,Estimator!$B$4,'Climate Data'!$B$7:$B$366,C792)</f>
        <v>0.18867924528301885</v>
      </c>
      <c r="I792" s="87">
        <f>SUMIFS('Climate Data'!$H$7:$H$366,'Climate Data'!$A$7:$A$366,Estimator!$B$4,'Climate Data'!$B$7:$B$366,C792)</f>
        <v>7.4624999999999995</v>
      </c>
      <c r="J792" s="86">
        <f>SUMIFS('Wind Proxy'!$H$8:$H$19,'Wind Proxy'!$A$8:$A$19,Estimator!$B$4,'Wind Proxy'!$B$8:$B$19,C792)</f>
        <v>0</v>
      </c>
    </row>
    <row r="793" spans="1:10" ht="14.4">
      <c r="A793" s="84">
        <v>46444</v>
      </c>
      <c r="B793" s="85">
        <v>2027</v>
      </c>
      <c r="C793" s="85">
        <v>2</v>
      </c>
      <c r="D793" s="85" t="s">
        <v>58</v>
      </c>
      <c r="E793" s="85">
        <v>26</v>
      </c>
      <c r="F793" s="85">
        <v>5</v>
      </c>
      <c r="G793" s="85">
        <f>--(F793&lt;=Estimator!$B$7)</f>
        <v>1</v>
      </c>
      <c r="H793" s="86">
        <f>SUMIFS('Climate Data'!$G$7:$G$366,'Climate Data'!$A$7:$A$366,Estimator!$B$4,'Climate Data'!$B$7:$B$366,C793)</f>
        <v>0.18867924528301885</v>
      </c>
      <c r="I793" s="87">
        <f>SUMIFS('Climate Data'!$H$7:$H$366,'Climate Data'!$A$7:$A$366,Estimator!$B$4,'Climate Data'!$B$7:$B$366,C793)</f>
        <v>7.4624999999999995</v>
      </c>
      <c r="J793" s="86">
        <f>SUMIFS('Wind Proxy'!$H$8:$H$19,'Wind Proxy'!$A$8:$A$19,Estimator!$B$4,'Wind Proxy'!$B$8:$B$19,C793)</f>
        <v>0</v>
      </c>
    </row>
    <row r="794" spans="1:10" ht="14.4">
      <c r="A794" s="84">
        <v>46445</v>
      </c>
      <c r="B794" s="85">
        <v>2027</v>
      </c>
      <c r="C794" s="85">
        <v>2</v>
      </c>
      <c r="D794" s="85" t="s">
        <v>58</v>
      </c>
      <c r="E794" s="85">
        <v>27</v>
      </c>
      <c r="F794" s="85">
        <v>6</v>
      </c>
      <c r="G794" s="85">
        <f>--(F794&lt;=Estimator!$B$7)</f>
        <v>0</v>
      </c>
      <c r="H794" s="86">
        <f>SUMIFS('Climate Data'!$G$7:$G$366,'Climate Data'!$A$7:$A$366,Estimator!$B$4,'Climate Data'!$B$7:$B$366,C794)</f>
        <v>0.18867924528301885</v>
      </c>
      <c r="I794" s="87">
        <f>SUMIFS('Climate Data'!$H$7:$H$366,'Climate Data'!$A$7:$A$366,Estimator!$B$4,'Climate Data'!$B$7:$B$366,C794)</f>
        <v>7.4624999999999995</v>
      </c>
      <c r="J794" s="86">
        <f>SUMIFS('Wind Proxy'!$H$8:$H$19,'Wind Proxy'!$A$8:$A$19,Estimator!$B$4,'Wind Proxy'!$B$8:$B$19,C794)</f>
        <v>0</v>
      </c>
    </row>
    <row r="795" spans="1:10" ht="14.4">
      <c r="A795" s="84">
        <v>46446</v>
      </c>
      <c r="B795" s="85">
        <v>2027</v>
      </c>
      <c r="C795" s="85">
        <v>2</v>
      </c>
      <c r="D795" s="85" t="s">
        <v>58</v>
      </c>
      <c r="E795" s="85">
        <v>28</v>
      </c>
      <c r="F795" s="85">
        <v>7</v>
      </c>
      <c r="G795" s="85">
        <f>--(F795&lt;=Estimator!$B$7)</f>
        <v>0</v>
      </c>
      <c r="H795" s="86">
        <f>SUMIFS('Climate Data'!$G$7:$G$366,'Climate Data'!$A$7:$A$366,Estimator!$B$4,'Climate Data'!$B$7:$B$366,C795)</f>
        <v>0.18867924528301885</v>
      </c>
      <c r="I795" s="87">
        <f>SUMIFS('Climate Data'!$H$7:$H$366,'Climate Data'!$A$7:$A$366,Estimator!$B$4,'Climate Data'!$B$7:$B$366,C795)</f>
        <v>7.4624999999999995</v>
      </c>
      <c r="J795" s="86">
        <f>SUMIFS('Wind Proxy'!$H$8:$H$19,'Wind Proxy'!$A$8:$A$19,Estimator!$B$4,'Wind Proxy'!$B$8:$B$19,C795)</f>
        <v>0</v>
      </c>
    </row>
    <row r="796" spans="1:10" ht="14.4">
      <c r="A796" s="84">
        <v>46447</v>
      </c>
      <c r="B796" s="85">
        <v>2027</v>
      </c>
      <c r="C796" s="85">
        <v>3</v>
      </c>
      <c r="D796" s="85" t="s">
        <v>60</v>
      </c>
      <c r="E796" s="85">
        <v>1</v>
      </c>
      <c r="F796" s="85">
        <v>1</v>
      </c>
      <c r="G796" s="85">
        <f>--(F796&lt;=Estimator!$B$7)</f>
        <v>1</v>
      </c>
      <c r="H796" s="86">
        <f>SUMIFS('Climate Data'!$G$7:$G$366,'Climate Data'!$A$7:$A$366,Estimator!$B$4,'Climate Data'!$B$7:$B$366,C796)</f>
        <v>0.18494623655913978</v>
      </c>
      <c r="I796" s="87">
        <f>SUMIFS('Climate Data'!$H$7:$H$366,'Climate Data'!$A$7:$A$366,Estimator!$B$4,'Climate Data'!$B$7:$B$366,C796)</f>
        <v>7.8662790697674421</v>
      </c>
      <c r="J796" s="86">
        <f>SUMIFS('Wind Proxy'!$H$8:$H$19,'Wind Proxy'!$A$8:$A$19,Estimator!$B$4,'Wind Proxy'!$B$8:$B$19,C796)</f>
        <v>0</v>
      </c>
    </row>
    <row r="797" spans="1:10" ht="14.4">
      <c r="A797" s="84">
        <v>46448</v>
      </c>
      <c r="B797" s="85">
        <v>2027</v>
      </c>
      <c r="C797" s="85">
        <v>3</v>
      </c>
      <c r="D797" s="85" t="s">
        <v>60</v>
      </c>
      <c r="E797" s="85">
        <v>2</v>
      </c>
      <c r="F797" s="85">
        <v>2</v>
      </c>
      <c r="G797" s="85">
        <f>--(F797&lt;=Estimator!$B$7)</f>
        <v>1</v>
      </c>
      <c r="H797" s="86">
        <f>SUMIFS('Climate Data'!$G$7:$G$366,'Climate Data'!$A$7:$A$366,Estimator!$B$4,'Climate Data'!$B$7:$B$366,C797)</f>
        <v>0.18494623655913978</v>
      </c>
      <c r="I797" s="87">
        <f>SUMIFS('Climate Data'!$H$7:$H$366,'Climate Data'!$A$7:$A$366,Estimator!$B$4,'Climate Data'!$B$7:$B$366,C797)</f>
        <v>7.8662790697674421</v>
      </c>
      <c r="J797" s="86">
        <f>SUMIFS('Wind Proxy'!$H$8:$H$19,'Wind Proxy'!$A$8:$A$19,Estimator!$B$4,'Wind Proxy'!$B$8:$B$19,C797)</f>
        <v>0</v>
      </c>
    </row>
    <row r="798" spans="1:10" ht="14.4">
      <c r="A798" s="84">
        <v>46449</v>
      </c>
      <c r="B798" s="85">
        <v>2027</v>
      </c>
      <c r="C798" s="85">
        <v>3</v>
      </c>
      <c r="D798" s="85" t="s">
        <v>60</v>
      </c>
      <c r="E798" s="85">
        <v>3</v>
      </c>
      <c r="F798" s="85">
        <v>3</v>
      </c>
      <c r="G798" s="85">
        <f>--(F798&lt;=Estimator!$B$7)</f>
        <v>1</v>
      </c>
      <c r="H798" s="86">
        <f>SUMIFS('Climate Data'!$G$7:$G$366,'Climate Data'!$A$7:$A$366,Estimator!$B$4,'Climate Data'!$B$7:$B$366,C798)</f>
        <v>0.18494623655913978</v>
      </c>
      <c r="I798" s="87">
        <f>SUMIFS('Climate Data'!$H$7:$H$366,'Climate Data'!$A$7:$A$366,Estimator!$B$4,'Climate Data'!$B$7:$B$366,C798)</f>
        <v>7.8662790697674421</v>
      </c>
      <c r="J798" s="86">
        <f>SUMIFS('Wind Proxy'!$H$8:$H$19,'Wind Proxy'!$A$8:$A$19,Estimator!$B$4,'Wind Proxy'!$B$8:$B$19,C798)</f>
        <v>0</v>
      </c>
    </row>
    <row r="799" spans="1:10" ht="14.4">
      <c r="A799" s="84">
        <v>46450</v>
      </c>
      <c r="B799" s="85">
        <v>2027</v>
      </c>
      <c r="C799" s="85">
        <v>3</v>
      </c>
      <c r="D799" s="85" t="s">
        <v>60</v>
      </c>
      <c r="E799" s="85">
        <v>4</v>
      </c>
      <c r="F799" s="85">
        <v>4</v>
      </c>
      <c r="G799" s="85">
        <f>--(F799&lt;=Estimator!$B$7)</f>
        <v>1</v>
      </c>
      <c r="H799" s="86">
        <f>SUMIFS('Climate Data'!$G$7:$G$366,'Climate Data'!$A$7:$A$366,Estimator!$B$4,'Climate Data'!$B$7:$B$366,C799)</f>
        <v>0.18494623655913978</v>
      </c>
      <c r="I799" s="87">
        <f>SUMIFS('Climate Data'!$H$7:$H$366,'Climate Data'!$A$7:$A$366,Estimator!$B$4,'Climate Data'!$B$7:$B$366,C799)</f>
        <v>7.8662790697674421</v>
      </c>
      <c r="J799" s="86">
        <f>SUMIFS('Wind Proxy'!$H$8:$H$19,'Wind Proxy'!$A$8:$A$19,Estimator!$B$4,'Wind Proxy'!$B$8:$B$19,C799)</f>
        <v>0</v>
      </c>
    </row>
    <row r="800" spans="1:10" ht="14.4">
      <c r="A800" s="84">
        <v>46451</v>
      </c>
      <c r="B800" s="85">
        <v>2027</v>
      </c>
      <c r="C800" s="85">
        <v>3</v>
      </c>
      <c r="D800" s="85" t="s">
        <v>60</v>
      </c>
      <c r="E800" s="85">
        <v>5</v>
      </c>
      <c r="F800" s="85">
        <v>5</v>
      </c>
      <c r="G800" s="85">
        <f>--(F800&lt;=Estimator!$B$7)</f>
        <v>1</v>
      </c>
      <c r="H800" s="86">
        <f>SUMIFS('Climate Data'!$G$7:$G$366,'Climate Data'!$A$7:$A$366,Estimator!$B$4,'Climate Data'!$B$7:$B$366,C800)</f>
        <v>0.18494623655913978</v>
      </c>
      <c r="I800" s="87">
        <f>SUMIFS('Climate Data'!$H$7:$H$366,'Climate Data'!$A$7:$A$366,Estimator!$B$4,'Climate Data'!$B$7:$B$366,C800)</f>
        <v>7.8662790697674421</v>
      </c>
      <c r="J800" s="86">
        <f>SUMIFS('Wind Proxy'!$H$8:$H$19,'Wind Proxy'!$A$8:$A$19,Estimator!$B$4,'Wind Proxy'!$B$8:$B$19,C800)</f>
        <v>0</v>
      </c>
    </row>
    <row r="801" spans="1:10" ht="14.4">
      <c r="A801" s="84">
        <v>46452</v>
      </c>
      <c r="B801" s="85">
        <v>2027</v>
      </c>
      <c r="C801" s="85">
        <v>3</v>
      </c>
      <c r="D801" s="85" t="s">
        <v>60</v>
      </c>
      <c r="E801" s="85">
        <v>6</v>
      </c>
      <c r="F801" s="85">
        <v>6</v>
      </c>
      <c r="G801" s="85">
        <f>--(F801&lt;=Estimator!$B$7)</f>
        <v>0</v>
      </c>
      <c r="H801" s="86">
        <f>SUMIFS('Climate Data'!$G$7:$G$366,'Climate Data'!$A$7:$A$366,Estimator!$B$4,'Climate Data'!$B$7:$B$366,C801)</f>
        <v>0.18494623655913978</v>
      </c>
      <c r="I801" s="87">
        <f>SUMIFS('Climate Data'!$H$7:$H$366,'Climate Data'!$A$7:$A$366,Estimator!$B$4,'Climate Data'!$B$7:$B$366,C801)</f>
        <v>7.8662790697674421</v>
      </c>
      <c r="J801" s="86">
        <f>SUMIFS('Wind Proxy'!$H$8:$H$19,'Wind Proxy'!$A$8:$A$19,Estimator!$B$4,'Wind Proxy'!$B$8:$B$19,C801)</f>
        <v>0</v>
      </c>
    </row>
    <row r="802" spans="1:10" ht="14.4">
      <c r="A802" s="84">
        <v>46453</v>
      </c>
      <c r="B802" s="85">
        <v>2027</v>
      </c>
      <c r="C802" s="85">
        <v>3</v>
      </c>
      <c r="D802" s="85" t="s">
        <v>60</v>
      </c>
      <c r="E802" s="85">
        <v>7</v>
      </c>
      <c r="F802" s="85">
        <v>7</v>
      </c>
      <c r="G802" s="85">
        <f>--(F802&lt;=Estimator!$B$7)</f>
        <v>0</v>
      </c>
      <c r="H802" s="86">
        <f>SUMIFS('Climate Data'!$G$7:$G$366,'Climate Data'!$A$7:$A$366,Estimator!$B$4,'Climate Data'!$B$7:$B$366,C802)</f>
        <v>0.18494623655913978</v>
      </c>
      <c r="I802" s="87">
        <f>SUMIFS('Climate Data'!$H$7:$H$366,'Climate Data'!$A$7:$A$366,Estimator!$B$4,'Climate Data'!$B$7:$B$366,C802)</f>
        <v>7.8662790697674421</v>
      </c>
      <c r="J802" s="86">
        <f>SUMIFS('Wind Proxy'!$H$8:$H$19,'Wind Proxy'!$A$8:$A$19,Estimator!$B$4,'Wind Proxy'!$B$8:$B$19,C802)</f>
        <v>0</v>
      </c>
    </row>
    <row r="803" spans="1:10" ht="14.4">
      <c r="A803" s="84">
        <v>46454</v>
      </c>
      <c r="B803" s="85">
        <v>2027</v>
      </c>
      <c r="C803" s="85">
        <v>3</v>
      </c>
      <c r="D803" s="85" t="s">
        <v>60</v>
      </c>
      <c r="E803" s="85">
        <v>8</v>
      </c>
      <c r="F803" s="85">
        <v>1</v>
      </c>
      <c r="G803" s="85">
        <f>--(F803&lt;=Estimator!$B$7)</f>
        <v>1</v>
      </c>
      <c r="H803" s="86">
        <f>SUMIFS('Climate Data'!$G$7:$G$366,'Climate Data'!$A$7:$A$366,Estimator!$B$4,'Climate Data'!$B$7:$B$366,C803)</f>
        <v>0.18494623655913978</v>
      </c>
      <c r="I803" s="87">
        <f>SUMIFS('Climate Data'!$H$7:$H$366,'Climate Data'!$A$7:$A$366,Estimator!$B$4,'Climate Data'!$B$7:$B$366,C803)</f>
        <v>7.8662790697674421</v>
      </c>
      <c r="J803" s="86">
        <f>SUMIFS('Wind Proxy'!$H$8:$H$19,'Wind Proxy'!$A$8:$A$19,Estimator!$B$4,'Wind Proxy'!$B$8:$B$19,C803)</f>
        <v>0</v>
      </c>
    </row>
    <row r="804" spans="1:10" ht="14.4">
      <c r="A804" s="84">
        <v>46455</v>
      </c>
      <c r="B804" s="85">
        <v>2027</v>
      </c>
      <c r="C804" s="85">
        <v>3</v>
      </c>
      <c r="D804" s="85" t="s">
        <v>60</v>
      </c>
      <c r="E804" s="85">
        <v>9</v>
      </c>
      <c r="F804" s="85">
        <v>2</v>
      </c>
      <c r="G804" s="85">
        <f>--(F804&lt;=Estimator!$B$7)</f>
        <v>1</v>
      </c>
      <c r="H804" s="86">
        <f>SUMIFS('Climate Data'!$G$7:$G$366,'Climate Data'!$A$7:$A$366,Estimator!$B$4,'Climate Data'!$B$7:$B$366,C804)</f>
        <v>0.18494623655913978</v>
      </c>
      <c r="I804" s="87">
        <f>SUMIFS('Climate Data'!$H$7:$H$366,'Climate Data'!$A$7:$A$366,Estimator!$B$4,'Climate Data'!$B$7:$B$366,C804)</f>
        <v>7.8662790697674421</v>
      </c>
      <c r="J804" s="86">
        <f>SUMIFS('Wind Proxy'!$H$8:$H$19,'Wind Proxy'!$A$8:$A$19,Estimator!$B$4,'Wind Proxy'!$B$8:$B$19,C804)</f>
        <v>0</v>
      </c>
    </row>
    <row r="805" spans="1:10" ht="14.4">
      <c r="A805" s="84">
        <v>46456</v>
      </c>
      <c r="B805" s="85">
        <v>2027</v>
      </c>
      <c r="C805" s="85">
        <v>3</v>
      </c>
      <c r="D805" s="85" t="s">
        <v>60</v>
      </c>
      <c r="E805" s="85">
        <v>10</v>
      </c>
      <c r="F805" s="85">
        <v>3</v>
      </c>
      <c r="G805" s="85">
        <f>--(F805&lt;=Estimator!$B$7)</f>
        <v>1</v>
      </c>
      <c r="H805" s="86">
        <f>SUMIFS('Climate Data'!$G$7:$G$366,'Climate Data'!$A$7:$A$366,Estimator!$B$4,'Climate Data'!$B$7:$B$366,C805)</f>
        <v>0.18494623655913978</v>
      </c>
      <c r="I805" s="87">
        <f>SUMIFS('Climate Data'!$H$7:$H$366,'Climate Data'!$A$7:$A$366,Estimator!$B$4,'Climate Data'!$B$7:$B$366,C805)</f>
        <v>7.8662790697674421</v>
      </c>
      <c r="J805" s="86">
        <f>SUMIFS('Wind Proxy'!$H$8:$H$19,'Wind Proxy'!$A$8:$A$19,Estimator!$B$4,'Wind Proxy'!$B$8:$B$19,C805)</f>
        <v>0</v>
      </c>
    </row>
    <row r="806" spans="1:10" ht="14.4">
      <c r="A806" s="84">
        <v>46457</v>
      </c>
      <c r="B806" s="85">
        <v>2027</v>
      </c>
      <c r="C806" s="85">
        <v>3</v>
      </c>
      <c r="D806" s="85" t="s">
        <v>60</v>
      </c>
      <c r="E806" s="85">
        <v>11</v>
      </c>
      <c r="F806" s="85">
        <v>4</v>
      </c>
      <c r="G806" s="85">
        <f>--(F806&lt;=Estimator!$B$7)</f>
        <v>1</v>
      </c>
      <c r="H806" s="86">
        <f>SUMIFS('Climate Data'!$G$7:$G$366,'Climate Data'!$A$7:$A$366,Estimator!$B$4,'Climate Data'!$B$7:$B$366,C806)</f>
        <v>0.18494623655913978</v>
      </c>
      <c r="I806" s="87">
        <f>SUMIFS('Climate Data'!$H$7:$H$366,'Climate Data'!$A$7:$A$366,Estimator!$B$4,'Climate Data'!$B$7:$B$366,C806)</f>
        <v>7.8662790697674421</v>
      </c>
      <c r="J806" s="86">
        <f>SUMIFS('Wind Proxy'!$H$8:$H$19,'Wind Proxy'!$A$8:$A$19,Estimator!$B$4,'Wind Proxy'!$B$8:$B$19,C806)</f>
        <v>0</v>
      </c>
    </row>
    <row r="807" spans="1:10" ht="14.4">
      <c r="A807" s="84">
        <v>46458</v>
      </c>
      <c r="B807" s="85">
        <v>2027</v>
      </c>
      <c r="C807" s="85">
        <v>3</v>
      </c>
      <c r="D807" s="85" t="s">
        <v>60</v>
      </c>
      <c r="E807" s="85">
        <v>12</v>
      </c>
      <c r="F807" s="85">
        <v>5</v>
      </c>
      <c r="G807" s="85">
        <f>--(F807&lt;=Estimator!$B$7)</f>
        <v>1</v>
      </c>
      <c r="H807" s="86">
        <f>SUMIFS('Climate Data'!$G$7:$G$366,'Climate Data'!$A$7:$A$366,Estimator!$B$4,'Climate Data'!$B$7:$B$366,C807)</f>
        <v>0.18494623655913978</v>
      </c>
      <c r="I807" s="87">
        <f>SUMIFS('Climate Data'!$H$7:$H$366,'Climate Data'!$A$7:$A$366,Estimator!$B$4,'Climate Data'!$B$7:$B$366,C807)</f>
        <v>7.8662790697674421</v>
      </c>
      <c r="J807" s="86">
        <f>SUMIFS('Wind Proxy'!$H$8:$H$19,'Wind Proxy'!$A$8:$A$19,Estimator!$B$4,'Wind Proxy'!$B$8:$B$19,C807)</f>
        <v>0</v>
      </c>
    </row>
    <row r="808" spans="1:10" ht="14.4">
      <c r="A808" s="84">
        <v>46459</v>
      </c>
      <c r="B808" s="85">
        <v>2027</v>
      </c>
      <c r="C808" s="85">
        <v>3</v>
      </c>
      <c r="D808" s="85" t="s">
        <v>60</v>
      </c>
      <c r="E808" s="85">
        <v>13</v>
      </c>
      <c r="F808" s="85">
        <v>6</v>
      </c>
      <c r="G808" s="85">
        <f>--(F808&lt;=Estimator!$B$7)</f>
        <v>0</v>
      </c>
      <c r="H808" s="86">
        <f>SUMIFS('Climate Data'!$G$7:$G$366,'Climate Data'!$A$7:$A$366,Estimator!$B$4,'Climate Data'!$B$7:$B$366,C808)</f>
        <v>0.18494623655913978</v>
      </c>
      <c r="I808" s="87">
        <f>SUMIFS('Climate Data'!$H$7:$H$366,'Climate Data'!$A$7:$A$366,Estimator!$B$4,'Climate Data'!$B$7:$B$366,C808)</f>
        <v>7.8662790697674421</v>
      </c>
      <c r="J808" s="86">
        <f>SUMIFS('Wind Proxy'!$H$8:$H$19,'Wind Proxy'!$A$8:$A$19,Estimator!$B$4,'Wind Proxy'!$B$8:$B$19,C808)</f>
        <v>0</v>
      </c>
    </row>
    <row r="809" spans="1:10" ht="14.4">
      <c r="A809" s="84">
        <v>46460</v>
      </c>
      <c r="B809" s="85">
        <v>2027</v>
      </c>
      <c r="C809" s="85">
        <v>3</v>
      </c>
      <c r="D809" s="85" t="s">
        <v>60</v>
      </c>
      <c r="E809" s="85">
        <v>14</v>
      </c>
      <c r="F809" s="85">
        <v>7</v>
      </c>
      <c r="G809" s="85">
        <f>--(F809&lt;=Estimator!$B$7)</f>
        <v>0</v>
      </c>
      <c r="H809" s="86">
        <f>SUMIFS('Climate Data'!$G$7:$G$366,'Climate Data'!$A$7:$A$366,Estimator!$B$4,'Climate Data'!$B$7:$B$366,C809)</f>
        <v>0.18494623655913978</v>
      </c>
      <c r="I809" s="87">
        <f>SUMIFS('Climate Data'!$H$7:$H$366,'Climate Data'!$A$7:$A$366,Estimator!$B$4,'Climate Data'!$B$7:$B$366,C809)</f>
        <v>7.8662790697674421</v>
      </c>
      <c r="J809" s="86">
        <f>SUMIFS('Wind Proxy'!$H$8:$H$19,'Wind Proxy'!$A$8:$A$19,Estimator!$B$4,'Wind Proxy'!$B$8:$B$19,C809)</f>
        <v>0</v>
      </c>
    </row>
    <row r="810" spans="1:10" ht="14.4">
      <c r="A810" s="84">
        <v>46461</v>
      </c>
      <c r="B810" s="85">
        <v>2027</v>
      </c>
      <c r="C810" s="85">
        <v>3</v>
      </c>
      <c r="D810" s="85" t="s">
        <v>60</v>
      </c>
      <c r="E810" s="85">
        <v>15</v>
      </c>
      <c r="F810" s="85">
        <v>1</v>
      </c>
      <c r="G810" s="85">
        <f>--(F810&lt;=Estimator!$B$7)</f>
        <v>1</v>
      </c>
      <c r="H810" s="86">
        <f>SUMIFS('Climate Data'!$G$7:$G$366,'Climate Data'!$A$7:$A$366,Estimator!$B$4,'Climate Data'!$B$7:$B$366,C810)</f>
        <v>0.18494623655913978</v>
      </c>
      <c r="I810" s="87">
        <f>SUMIFS('Climate Data'!$H$7:$H$366,'Climate Data'!$A$7:$A$366,Estimator!$B$4,'Climate Data'!$B$7:$B$366,C810)</f>
        <v>7.8662790697674421</v>
      </c>
      <c r="J810" s="86">
        <f>SUMIFS('Wind Proxy'!$H$8:$H$19,'Wind Proxy'!$A$8:$A$19,Estimator!$B$4,'Wind Proxy'!$B$8:$B$19,C810)</f>
        <v>0</v>
      </c>
    </row>
    <row r="811" spans="1:10" ht="14.4">
      <c r="A811" s="84">
        <v>46462</v>
      </c>
      <c r="B811" s="85">
        <v>2027</v>
      </c>
      <c r="C811" s="85">
        <v>3</v>
      </c>
      <c r="D811" s="85" t="s">
        <v>60</v>
      </c>
      <c r="E811" s="85">
        <v>16</v>
      </c>
      <c r="F811" s="85">
        <v>2</v>
      </c>
      <c r="G811" s="85">
        <f>--(F811&lt;=Estimator!$B$7)</f>
        <v>1</v>
      </c>
      <c r="H811" s="86">
        <f>SUMIFS('Climate Data'!$G$7:$G$366,'Climate Data'!$A$7:$A$366,Estimator!$B$4,'Climate Data'!$B$7:$B$366,C811)</f>
        <v>0.18494623655913978</v>
      </c>
      <c r="I811" s="87">
        <f>SUMIFS('Climate Data'!$H$7:$H$366,'Climate Data'!$A$7:$A$366,Estimator!$B$4,'Climate Data'!$B$7:$B$366,C811)</f>
        <v>7.8662790697674421</v>
      </c>
      <c r="J811" s="86">
        <f>SUMIFS('Wind Proxy'!$H$8:$H$19,'Wind Proxy'!$A$8:$A$19,Estimator!$B$4,'Wind Proxy'!$B$8:$B$19,C811)</f>
        <v>0</v>
      </c>
    </row>
    <row r="812" spans="1:10" ht="14.4">
      <c r="A812" s="84">
        <v>46463</v>
      </c>
      <c r="B812" s="85">
        <v>2027</v>
      </c>
      <c r="C812" s="85">
        <v>3</v>
      </c>
      <c r="D812" s="85" t="s">
        <v>60</v>
      </c>
      <c r="E812" s="85">
        <v>17</v>
      </c>
      <c r="F812" s="85">
        <v>3</v>
      </c>
      <c r="G812" s="85">
        <f>--(F812&lt;=Estimator!$B$7)</f>
        <v>1</v>
      </c>
      <c r="H812" s="86">
        <f>SUMIFS('Climate Data'!$G$7:$G$366,'Climate Data'!$A$7:$A$366,Estimator!$B$4,'Climate Data'!$B$7:$B$366,C812)</f>
        <v>0.18494623655913978</v>
      </c>
      <c r="I812" s="87">
        <f>SUMIFS('Climate Data'!$H$7:$H$366,'Climate Data'!$A$7:$A$366,Estimator!$B$4,'Climate Data'!$B$7:$B$366,C812)</f>
        <v>7.8662790697674421</v>
      </c>
      <c r="J812" s="86">
        <f>SUMIFS('Wind Proxy'!$H$8:$H$19,'Wind Proxy'!$A$8:$A$19,Estimator!$B$4,'Wind Proxy'!$B$8:$B$19,C812)</f>
        <v>0</v>
      </c>
    </row>
    <row r="813" spans="1:10" ht="14.4">
      <c r="A813" s="84">
        <v>46464</v>
      </c>
      <c r="B813" s="85">
        <v>2027</v>
      </c>
      <c r="C813" s="85">
        <v>3</v>
      </c>
      <c r="D813" s="85" t="s">
        <v>60</v>
      </c>
      <c r="E813" s="85">
        <v>18</v>
      </c>
      <c r="F813" s="85">
        <v>4</v>
      </c>
      <c r="G813" s="85">
        <f>--(F813&lt;=Estimator!$B$7)</f>
        <v>1</v>
      </c>
      <c r="H813" s="86">
        <f>SUMIFS('Climate Data'!$G$7:$G$366,'Climate Data'!$A$7:$A$366,Estimator!$B$4,'Climate Data'!$B$7:$B$366,C813)</f>
        <v>0.18494623655913978</v>
      </c>
      <c r="I813" s="87">
        <f>SUMIFS('Climate Data'!$H$7:$H$366,'Climate Data'!$A$7:$A$366,Estimator!$B$4,'Climate Data'!$B$7:$B$366,C813)</f>
        <v>7.8662790697674421</v>
      </c>
      <c r="J813" s="86">
        <f>SUMIFS('Wind Proxy'!$H$8:$H$19,'Wind Proxy'!$A$8:$A$19,Estimator!$B$4,'Wind Proxy'!$B$8:$B$19,C813)</f>
        <v>0</v>
      </c>
    </row>
    <row r="814" spans="1:10" ht="14.4">
      <c r="A814" s="84">
        <v>46465</v>
      </c>
      <c r="B814" s="85">
        <v>2027</v>
      </c>
      <c r="C814" s="85">
        <v>3</v>
      </c>
      <c r="D814" s="85" t="s">
        <v>60</v>
      </c>
      <c r="E814" s="85">
        <v>19</v>
      </c>
      <c r="F814" s="85">
        <v>5</v>
      </c>
      <c r="G814" s="85">
        <f>--(F814&lt;=Estimator!$B$7)</f>
        <v>1</v>
      </c>
      <c r="H814" s="86">
        <f>SUMIFS('Climate Data'!$G$7:$G$366,'Climate Data'!$A$7:$A$366,Estimator!$B$4,'Climate Data'!$B$7:$B$366,C814)</f>
        <v>0.18494623655913978</v>
      </c>
      <c r="I814" s="87">
        <f>SUMIFS('Climate Data'!$H$7:$H$366,'Climate Data'!$A$7:$A$366,Estimator!$B$4,'Climate Data'!$B$7:$B$366,C814)</f>
        <v>7.8662790697674421</v>
      </c>
      <c r="J814" s="86">
        <f>SUMIFS('Wind Proxy'!$H$8:$H$19,'Wind Proxy'!$A$8:$A$19,Estimator!$B$4,'Wind Proxy'!$B$8:$B$19,C814)</f>
        <v>0</v>
      </c>
    </row>
    <row r="815" spans="1:10" ht="14.4">
      <c r="A815" s="84">
        <v>46466</v>
      </c>
      <c r="B815" s="85">
        <v>2027</v>
      </c>
      <c r="C815" s="85">
        <v>3</v>
      </c>
      <c r="D815" s="85" t="s">
        <v>60</v>
      </c>
      <c r="E815" s="85">
        <v>20</v>
      </c>
      <c r="F815" s="85">
        <v>6</v>
      </c>
      <c r="G815" s="85">
        <f>--(F815&lt;=Estimator!$B$7)</f>
        <v>0</v>
      </c>
      <c r="H815" s="86">
        <f>SUMIFS('Climate Data'!$G$7:$G$366,'Climate Data'!$A$7:$A$366,Estimator!$B$4,'Climate Data'!$B$7:$B$366,C815)</f>
        <v>0.18494623655913978</v>
      </c>
      <c r="I815" s="87">
        <f>SUMIFS('Climate Data'!$H$7:$H$366,'Climate Data'!$A$7:$A$366,Estimator!$B$4,'Climate Data'!$B$7:$B$366,C815)</f>
        <v>7.8662790697674421</v>
      </c>
      <c r="J815" s="86">
        <f>SUMIFS('Wind Proxy'!$H$8:$H$19,'Wind Proxy'!$A$8:$A$19,Estimator!$B$4,'Wind Proxy'!$B$8:$B$19,C815)</f>
        <v>0</v>
      </c>
    </row>
    <row r="816" spans="1:10" ht="14.4">
      <c r="A816" s="84">
        <v>46467</v>
      </c>
      <c r="B816" s="85">
        <v>2027</v>
      </c>
      <c r="C816" s="85">
        <v>3</v>
      </c>
      <c r="D816" s="85" t="s">
        <v>60</v>
      </c>
      <c r="E816" s="85">
        <v>21</v>
      </c>
      <c r="F816" s="85">
        <v>7</v>
      </c>
      <c r="G816" s="85">
        <f>--(F816&lt;=Estimator!$B$7)</f>
        <v>0</v>
      </c>
      <c r="H816" s="86">
        <f>SUMIFS('Climate Data'!$G$7:$G$366,'Climate Data'!$A$7:$A$366,Estimator!$B$4,'Climate Data'!$B$7:$B$366,C816)</f>
        <v>0.18494623655913978</v>
      </c>
      <c r="I816" s="87">
        <f>SUMIFS('Climate Data'!$H$7:$H$366,'Climate Data'!$A$7:$A$366,Estimator!$B$4,'Climate Data'!$B$7:$B$366,C816)</f>
        <v>7.8662790697674421</v>
      </c>
      <c r="J816" s="86">
        <f>SUMIFS('Wind Proxy'!$H$8:$H$19,'Wind Proxy'!$A$8:$A$19,Estimator!$B$4,'Wind Proxy'!$B$8:$B$19,C816)</f>
        <v>0</v>
      </c>
    </row>
    <row r="817" spans="1:10" ht="14.4">
      <c r="A817" s="84">
        <v>46468</v>
      </c>
      <c r="B817" s="85">
        <v>2027</v>
      </c>
      <c r="C817" s="85">
        <v>3</v>
      </c>
      <c r="D817" s="85" t="s">
        <v>60</v>
      </c>
      <c r="E817" s="85">
        <v>22</v>
      </c>
      <c r="F817" s="85">
        <v>1</v>
      </c>
      <c r="G817" s="85">
        <f>--(F817&lt;=Estimator!$B$7)</f>
        <v>1</v>
      </c>
      <c r="H817" s="86">
        <f>SUMIFS('Climate Data'!$G$7:$G$366,'Climate Data'!$A$7:$A$366,Estimator!$B$4,'Climate Data'!$B$7:$B$366,C817)</f>
        <v>0.18494623655913978</v>
      </c>
      <c r="I817" s="87">
        <f>SUMIFS('Climate Data'!$H$7:$H$366,'Climate Data'!$A$7:$A$366,Estimator!$B$4,'Climate Data'!$B$7:$B$366,C817)</f>
        <v>7.8662790697674421</v>
      </c>
      <c r="J817" s="86">
        <f>SUMIFS('Wind Proxy'!$H$8:$H$19,'Wind Proxy'!$A$8:$A$19,Estimator!$B$4,'Wind Proxy'!$B$8:$B$19,C817)</f>
        <v>0</v>
      </c>
    </row>
    <row r="818" spans="1:10" ht="14.4">
      <c r="A818" s="84">
        <v>46469</v>
      </c>
      <c r="B818" s="85">
        <v>2027</v>
      </c>
      <c r="C818" s="85">
        <v>3</v>
      </c>
      <c r="D818" s="85" t="s">
        <v>60</v>
      </c>
      <c r="E818" s="85">
        <v>23</v>
      </c>
      <c r="F818" s="85">
        <v>2</v>
      </c>
      <c r="G818" s="85">
        <f>--(F818&lt;=Estimator!$B$7)</f>
        <v>1</v>
      </c>
      <c r="H818" s="86">
        <f>SUMIFS('Climate Data'!$G$7:$G$366,'Climate Data'!$A$7:$A$366,Estimator!$B$4,'Climate Data'!$B$7:$B$366,C818)</f>
        <v>0.18494623655913978</v>
      </c>
      <c r="I818" s="87">
        <f>SUMIFS('Climate Data'!$H$7:$H$366,'Climate Data'!$A$7:$A$366,Estimator!$B$4,'Climate Data'!$B$7:$B$366,C818)</f>
        <v>7.8662790697674421</v>
      </c>
      <c r="J818" s="86">
        <f>SUMIFS('Wind Proxy'!$H$8:$H$19,'Wind Proxy'!$A$8:$A$19,Estimator!$B$4,'Wind Proxy'!$B$8:$B$19,C818)</f>
        <v>0</v>
      </c>
    </row>
    <row r="819" spans="1:10" ht="14.4">
      <c r="A819" s="84">
        <v>46470</v>
      </c>
      <c r="B819" s="85">
        <v>2027</v>
      </c>
      <c r="C819" s="85">
        <v>3</v>
      </c>
      <c r="D819" s="85" t="s">
        <v>60</v>
      </c>
      <c r="E819" s="85">
        <v>24</v>
      </c>
      <c r="F819" s="85">
        <v>3</v>
      </c>
      <c r="G819" s="85">
        <f>--(F819&lt;=Estimator!$B$7)</f>
        <v>1</v>
      </c>
      <c r="H819" s="86">
        <f>SUMIFS('Climate Data'!$G$7:$G$366,'Climate Data'!$A$7:$A$366,Estimator!$B$4,'Climate Data'!$B$7:$B$366,C819)</f>
        <v>0.18494623655913978</v>
      </c>
      <c r="I819" s="87">
        <f>SUMIFS('Climate Data'!$H$7:$H$366,'Climate Data'!$A$7:$A$366,Estimator!$B$4,'Climate Data'!$B$7:$B$366,C819)</f>
        <v>7.8662790697674421</v>
      </c>
      <c r="J819" s="86">
        <f>SUMIFS('Wind Proxy'!$H$8:$H$19,'Wind Proxy'!$A$8:$A$19,Estimator!$B$4,'Wind Proxy'!$B$8:$B$19,C819)</f>
        <v>0</v>
      </c>
    </row>
    <row r="820" spans="1:10" ht="14.4">
      <c r="A820" s="84">
        <v>46471</v>
      </c>
      <c r="B820" s="85">
        <v>2027</v>
      </c>
      <c r="C820" s="85">
        <v>3</v>
      </c>
      <c r="D820" s="85" t="s">
        <v>60</v>
      </c>
      <c r="E820" s="85">
        <v>25</v>
      </c>
      <c r="F820" s="85">
        <v>4</v>
      </c>
      <c r="G820" s="85">
        <f>--(F820&lt;=Estimator!$B$7)</f>
        <v>1</v>
      </c>
      <c r="H820" s="86">
        <f>SUMIFS('Climate Data'!$G$7:$G$366,'Climate Data'!$A$7:$A$366,Estimator!$B$4,'Climate Data'!$B$7:$B$366,C820)</f>
        <v>0.18494623655913978</v>
      </c>
      <c r="I820" s="87">
        <f>SUMIFS('Climate Data'!$H$7:$H$366,'Climate Data'!$A$7:$A$366,Estimator!$B$4,'Climate Data'!$B$7:$B$366,C820)</f>
        <v>7.8662790697674421</v>
      </c>
      <c r="J820" s="86">
        <f>SUMIFS('Wind Proxy'!$H$8:$H$19,'Wind Proxy'!$A$8:$A$19,Estimator!$B$4,'Wind Proxy'!$B$8:$B$19,C820)</f>
        <v>0</v>
      </c>
    </row>
    <row r="821" spans="1:10" ht="14.4">
      <c r="A821" s="84">
        <v>46472</v>
      </c>
      <c r="B821" s="85">
        <v>2027</v>
      </c>
      <c r="C821" s="85">
        <v>3</v>
      </c>
      <c r="D821" s="85" t="s">
        <v>60</v>
      </c>
      <c r="E821" s="85">
        <v>26</v>
      </c>
      <c r="F821" s="85">
        <v>5</v>
      </c>
      <c r="G821" s="85">
        <f>--(F821&lt;=Estimator!$B$7)</f>
        <v>1</v>
      </c>
      <c r="H821" s="86">
        <f>SUMIFS('Climate Data'!$G$7:$G$366,'Climate Data'!$A$7:$A$366,Estimator!$B$4,'Climate Data'!$B$7:$B$366,C821)</f>
        <v>0.18494623655913978</v>
      </c>
      <c r="I821" s="87">
        <f>SUMIFS('Climate Data'!$H$7:$H$366,'Climate Data'!$A$7:$A$366,Estimator!$B$4,'Climate Data'!$B$7:$B$366,C821)</f>
        <v>7.8662790697674421</v>
      </c>
      <c r="J821" s="86">
        <f>SUMIFS('Wind Proxy'!$H$8:$H$19,'Wind Proxy'!$A$8:$A$19,Estimator!$B$4,'Wind Proxy'!$B$8:$B$19,C821)</f>
        <v>0</v>
      </c>
    </row>
    <row r="822" spans="1:10" ht="14.4">
      <c r="A822" s="84">
        <v>46473</v>
      </c>
      <c r="B822" s="85">
        <v>2027</v>
      </c>
      <c r="C822" s="85">
        <v>3</v>
      </c>
      <c r="D822" s="85" t="s">
        <v>60</v>
      </c>
      <c r="E822" s="85">
        <v>27</v>
      </c>
      <c r="F822" s="85">
        <v>6</v>
      </c>
      <c r="G822" s="85">
        <f>--(F822&lt;=Estimator!$B$7)</f>
        <v>0</v>
      </c>
      <c r="H822" s="86">
        <f>SUMIFS('Climate Data'!$G$7:$G$366,'Climate Data'!$A$7:$A$366,Estimator!$B$4,'Climate Data'!$B$7:$B$366,C822)</f>
        <v>0.18494623655913978</v>
      </c>
      <c r="I822" s="87">
        <f>SUMIFS('Climate Data'!$H$7:$H$366,'Climate Data'!$A$7:$A$366,Estimator!$B$4,'Climate Data'!$B$7:$B$366,C822)</f>
        <v>7.8662790697674421</v>
      </c>
      <c r="J822" s="86">
        <f>SUMIFS('Wind Proxy'!$H$8:$H$19,'Wind Proxy'!$A$8:$A$19,Estimator!$B$4,'Wind Proxy'!$B$8:$B$19,C822)</f>
        <v>0</v>
      </c>
    </row>
    <row r="823" spans="1:10" ht="14.4">
      <c r="A823" s="84">
        <v>46474</v>
      </c>
      <c r="B823" s="85">
        <v>2027</v>
      </c>
      <c r="C823" s="85">
        <v>3</v>
      </c>
      <c r="D823" s="85" t="s">
        <v>60</v>
      </c>
      <c r="E823" s="85">
        <v>28</v>
      </c>
      <c r="F823" s="85">
        <v>7</v>
      </c>
      <c r="G823" s="85">
        <f>--(F823&lt;=Estimator!$B$7)</f>
        <v>0</v>
      </c>
      <c r="H823" s="86">
        <f>SUMIFS('Climate Data'!$G$7:$G$366,'Climate Data'!$A$7:$A$366,Estimator!$B$4,'Climate Data'!$B$7:$B$366,C823)</f>
        <v>0.18494623655913978</v>
      </c>
      <c r="I823" s="87">
        <f>SUMIFS('Climate Data'!$H$7:$H$366,'Climate Data'!$A$7:$A$366,Estimator!$B$4,'Climate Data'!$B$7:$B$366,C823)</f>
        <v>7.8662790697674421</v>
      </c>
      <c r="J823" s="86">
        <f>SUMIFS('Wind Proxy'!$H$8:$H$19,'Wind Proxy'!$A$8:$A$19,Estimator!$B$4,'Wind Proxy'!$B$8:$B$19,C823)</f>
        <v>0</v>
      </c>
    </row>
    <row r="824" spans="1:10" ht="14.4">
      <c r="A824" s="84">
        <v>46475</v>
      </c>
      <c r="B824" s="85">
        <v>2027</v>
      </c>
      <c r="C824" s="85">
        <v>3</v>
      </c>
      <c r="D824" s="85" t="s">
        <v>60</v>
      </c>
      <c r="E824" s="85">
        <v>29</v>
      </c>
      <c r="F824" s="85">
        <v>1</v>
      </c>
      <c r="G824" s="85">
        <f>--(F824&lt;=Estimator!$B$7)</f>
        <v>1</v>
      </c>
      <c r="H824" s="86">
        <f>SUMIFS('Climate Data'!$G$7:$G$366,'Climate Data'!$A$7:$A$366,Estimator!$B$4,'Climate Data'!$B$7:$B$366,C824)</f>
        <v>0.18494623655913978</v>
      </c>
      <c r="I824" s="87">
        <f>SUMIFS('Climate Data'!$H$7:$H$366,'Climate Data'!$A$7:$A$366,Estimator!$B$4,'Climate Data'!$B$7:$B$366,C824)</f>
        <v>7.8662790697674421</v>
      </c>
      <c r="J824" s="86">
        <f>SUMIFS('Wind Proxy'!$H$8:$H$19,'Wind Proxy'!$A$8:$A$19,Estimator!$B$4,'Wind Proxy'!$B$8:$B$19,C824)</f>
        <v>0</v>
      </c>
    </row>
    <row r="825" spans="1:10" ht="14.4">
      <c r="A825" s="84">
        <v>46476</v>
      </c>
      <c r="B825" s="85">
        <v>2027</v>
      </c>
      <c r="C825" s="85">
        <v>3</v>
      </c>
      <c r="D825" s="85" t="s">
        <v>60</v>
      </c>
      <c r="E825" s="85">
        <v>30</v>
      </c>
      <c r="F825" s="85">
        <v>2</v>
      </c>
      <c r="G825" s="85">
        <f>--(F825&lt;=Estimator!$B$7)</f>
        <v>1</v>
      </c>
      <c r="H825" s="86">
        <f>SUMIFS('Climate Data'!$G$7:$G$366,'Climate Data'!$A$7:$A$366,Estimator!$B$4,'Climate Data'!$B$7:$B$366,C825)</f>
        <v>0.18494623655913978</v>
      </c>
      <c r="I825" s="87">
        <f>SUMIFS('Climate Data'!$H$7:$H$366,'Climate Data'!$A$7:$A$366,Estimator!$B$4,'Climate Data'!$B$7:$B$366,C825)</f>
        <v>7.8662790697674421</v>
      </c>
      <c r="J825" s="86">
        <f>SUMIFS('Wind Proxy'!$H$8:$H$19,'Wind Proxy'!$A$8:$A$19,Estimator!$B$4,'Wind Proxy'!$B$8:$B$19,C825)</f>
        <v>0</v>
      </c>
    </row>
    <row r="826" spans="1:10" ht="14.4">
      <c r="A826" s="84">
        <v>46477</v>
      </c>
      <c r="B826" s="85">
        <v>2027</v>
      </c>
      <c r="C826" s="85">
        <v>3</v>
      </c>
      <c r="D826" s="85" t="s">
        <v>60</v>
      </c>
      <c r="E826" s="85">
        <v>31</v>
      </c>
      <c r="F826" s="85">
        <v>3</v>
      </c>
      <c r="G826" s="85">
        <f>--(F826&lt;=Estimator!$B$7)</f>
        <v>1</v>
      </c>
      <c r="H826" s="86">
        <f>SUMIFS('Climate Data'!$G$7:$G$366,'Climate Data'!$A$7:$A$366,Estimator!$B$4,'Climate Data'!$B$7:$B$366,C826)</f>
        <v>0.18494623655913978</v>
      </c>
      <c r="I826" s="87">
        <f>SUMIFS('Climate Data'!$H$7:$H$366,'Climate Data'!$A$7:$A$366,Estimator!$B$4,'Climate Data'!$B$7:$B$366,C826)</f>
        <v>7.8662790697674421</v>
      </c>
      <c r="J826" s="86">
        <f>SUMIFS('Wind Proxy'!$H$8:$H$19,'Wind Proxy'!$A$8:$A$19,Estimator!$B$4,'Wind Proxy'!$B$8:$B$19,C826)</f>
        <v>0</v>
      </c>
    </row>
    <row r="827" spans="1:10" ht="14.4">
      <c r="A827" s="84">
        <v>46478</v>
      </c>
      <c r="B827" s="85">
        <v>2027</v>
      </c>
      <c r="C827" s="85">
        <v>4</v>
      </c>
      <c r="D827" s="85" t="s">
        <v>62</v>
      </c>
      <c r="E827" s="85">
        <v>1</v>
      </c>
      <c r="F827" s="85">
        <v>4</v>
      </c>
      <c r="G827" s="85">
        <f>--(F827&lt;=Estimator!$B$7)</f>
        <v>1</v>
      </c>
      <c r="H827" s="86">
        <f>SUMIFS('Climate Data'!$G$7:$G$366,'Climate Data'!$A$7:$A$366,Estimator!$B$4,'Climate Data'!$B$7:$B$366,C827)</f>
        <v>0.25555555555555559</v>
      </c>
      <c r="I827" s="87">
        <f>SUMIFS('Climate Data'!$H$7:$H$366,'Climate Data'!$A$7:$A$366,Estimator!$B$4,'Climate Data'!$B$7:$B$366,C827)</f>
        <v>7.5</v>
      </c>
      <c r="J827" s="86">
        <f>SUMIFS('Wind Proxy'!$H$8:$H$19,'Wind Proxy'!$A$8:$A$19,Estimator!$B$4,'Wind Proxy'!$B$8:$B$19,C827)</f>
        <v>0</v>
      </c>
    </row>
    <row r="828" spans="1:10" ht="14.4">
      <c r="A828" s="84">
        <v>46479</v>
      </c>
      <c r="B828" s="85">
        <v>2027</v>
      </c>
      <c r="C828" s="85">
        <v>4</v>
      </c>
      <c r="D828" s="85" t="s">
        <v>62</v>
      </c>
      <c r="E828" s="85">
        <v>2</v>
      </c>
      <c r="F828" s="85">
        <v>5</v>
      </c>
      <c r="G828" s="85">
        <f>--(F828&lt;=Estimator!$B$7)</f>
        <v>1</v>
      </c>
      <c r="H828" s="86">
        <f>SUMIFS('Climate Data'!$G$7:$G$366,'Climate Data'!$A$7:$A$366,Estimator!$B$4,'Climate Data'!$B$7:$B$366,C828)</f>
        <v>0.25555555555555559</v>
      </c>
      <c r="I828" s="87">
        <f>SUMIFS('Climate Data'!$H$7:$H$366,'Climate Data'!$A$7:$A$366,Estimator!$B$4,'Climate Data'!$B$7:$B$366,C828)</f>
        <v>7.5</v>
      </c>
      <c r="J828" s="86">
        <f>SUMIFS('Wind Proxy'!$H$8:$H$19,'Wind Proxy'!$A$8:$A$19,Estimator!$B$4,'Wind Proxy'!$B$8:$B$19,C828)</f>
        <v>0</v>
      </c>
    </row>
    <row r="829" spans="1:10" ht="14.4">
      <c r="A829" s="84">
        <v>46480</v>
      </c>
      <c r="B829" s="85">
        <v>2027</v>
      </c>
      <c r="C829" s="85">
        <v>4</v>
      </c>
      <c r="D829" s="85" t="s">
        <v>62</v>
      </c>
      <c r="E829" s="85">
        <v>3</v>
      </c>
      <c r="F829" s="85">
        <v>6</v>
      </c>
      <c r="G829" s="85">
        <f>--(F829&lt;=Estimator!$B$7)</f>
        <v>0</v>
      </c>
      <c r="H829" s="86">
        <f>SUMIFS('Climate Data'!$G$7:$G$366,'Climate Data'!$A$7:$A$366,Estimator!$B$4,'Climate Data'!$B$7:$B$366,C829)</f>
        <v>0.25555555555555559</v>
      </c>
      <c r="I829" s="87">
        <f>SUMIFS('Climate Data'!$H$7:$H$366,'Climate Data'!$A$7:$A$366,Estimator!$B$4,'Climate Data'!$B$7:$B$366,C829)</f>
        <v>7.5</v>
      </c>
      <c r="J829" s="86">
        <f>SUMIFS('Wind Proxy'!$H$8:$H$19,'Wind Proxy'!$A$8:$A$19,Estimator!$B$4,'Wind Proxy'!$B$8:$B$19,C829)</f>
        <v>0</v>
      </c>
    </row>
    <row r="830" spans="1:10" ht="14.4">
      <c r="A830" s="84">
        <v>46481</v>
      </c>
      <c r="B830" s="85">
        <v>2027</v>
      </c>
      <c r="C830" s="85">
        <v>4</v>
      </c>
      <c r="D830" s="85" t="s">
        <v>62</v>
      </c>
      <c r="E830" s="85">
        <v>4</v>
      </c>
      <c r="F830" s="85">
        <v>7</v>
      </c>
      <c r="G830" s="85">
        <f>--(F830&lt;=Estimator!$B$7)</f>
        <v>0</v>
      </c>
      <c r="H830" s="86">
        <f>SUMIFS('Climate Data'!$G$7:$G$366,'Climate Data'!$A$7:$A$366,Estimator!$B$4,'Climate Data'!$B$7:$B$366,C830)</f>
        <v>0.25555555555555559</v>
      </c>
      <c r="I830" s="87">
        <f>SUMIFS('Climate Data'!$H$7:$H$366,'Climate Data'!$A$7:$A$366,Estimator!$B$4,'Climate Data'!$B$7:$B$366,C830)</f>
        <v>7.5</v>
      </c>
      <c r="J830" s="86">
        <f>SUMIFS('Wind Proxy'!$H$8:$H$19,'Wind Proxy'!$A$8:$A$19,Estimator!$B$4,'Wind Proxy'!$B$8:$B$19,C830)</f>
        <v>0</v>
      </c>
    </row>
    <row r="831" spans="1:10" ht="14.4">
      <c r="A831" s="84">
        <v>46482</v>
      </c>
      <c r="B831" s="85">
        <v>2027</v>
      </c>
      <c r="C831" s="85">
        <v>4</v>
      </c>
      <c r="D831" s="85" t="s">
        <v>62</v>
      </c>
      <c r="E831" s="85">
        <v>5</v>
      </c>
      <c r="F831" s="85">
        <v>1</v>
      </c>
      <c r="G831" s="85">
        <f>--(F831&lt;=Estimator!$B$7)</f>
        <v>1</v>
      </c>
      <c r="H831" s="86">
        <f>SUMIFS('Climate Data'!$G$7:$G$366,'Climate Data'!$A$7:$A$366,Estimator!$B$4,'Climate Data'!$B$7:$B$366,C831)</f>
        <v>0.25555555555555559</v>
      </c>
      <c r="I831" s="87">
        <f>SUMIFS('Climate Data'!$H$7:$H$366,'Climate Data'!$A$7:$A$366,Estimator!$B$4,'Climate Data'!$B$7:$B$366,C831)</f>
        <v>7.5</v>
      </c>
      <c r="J831" s="86">
        <f>SUMIFS('Wind Proxy'!$H$8:$H$19,'Wind Proxy'!$A$8:$A$19,Estimator!$B$4,'Wind Proxy'!$B$8:$B$19,C831)</f>
        <v>0</v>
      </c>
    </row>
    <row r="832" spans="1:10" ht="14.4">
      <c r="A832" s="84">
        <v>46483</v>
      </c>
      <c r="B832" s="85">
        <v>2027</v>
      </c>
      <c r="C832" s="85">
        <v>4</v>
      </c>
      <c r="D832" s="85" t="s">
        <v>62</v>
      </c>
      <c r="E832" s="85">
        <v>6</v>
      </c>
      <c r="F832" s="85">
        <v>2</v>
      </c>
      <c r="G832" s="85">
        <f>--(F832&lt;=Estimator!$B$7)</f>
        <v>1</v>
      </c>
      <c r="H832" s="86">
        <f>SUMIFS('Climate Data'!$G$7:$G$366,'Climate Data'!$A$7:$A$366,Estimator!$B$4,'Climate Data'!$B$7:$B$366,C832)</f>
        <v>0.25555555555555559</v>
      </c>
      <c r="I832" s="87">
        <f>SUMIFS('Climate Data'!$H$7:$H$366,'Climate Data'!$A$7:$A$366,Estimator!$B$4,'Climate Data'!$B$7:$B$366,C832)</f>
        <v>7.5</v>
      </c>
      <c r="J832" s="86">
        <f>SUMIFS('Wind Proxy'!$H$8:$H$19,'Wind Proxy'!$A$8:$A$19,Estimator!$B$4,'Wind Proxy'!$B$8:$B$19,C832)</f>
        <v>0</v>
      </c>
    </row>
    <row r="833" spans="1:10" ht="14.4">
      <c r="A833" s="84">
        <v>46484</v>
      </c>
      <c r="B833" s="85">
        <v>2027</v>
      </c>
      <c r="C833" s="85">
        <v>4</v>
      </c>
      <c r="D833" s="85" t="s">
        <v>62</v>
      </c>
      <c r="E833" s="85">
        <v>7</v>
      </c>
      <c r="F833" s="85">
        <v>3</v>
      </c>
      <c r="G833" s="85">
        <f>--(F833&lt;=Estimator!$B$7)</f>
        <v>1</v>
      </c>
      <c r="H833" s="86">
        <f>SUMIFS('Climate Data'!$G$7:$G$366,'Climate Data'!$A$7:$A$366,Estimator!$B$4,'Climate Data'!$B$7:$B$366,C833)</f>
        <v>0.25555555555555559</v>
      </c>
      <c r="I833" s="87">
        <f>SUMIFS('Climate Data'!$H$7:$H$366,'Climate Data'!$A$7:$A$366,Estimator!$B$4,'Climate Data'!$B$7:$B$366,C833)</f>
        <v>7.5</v>
      </c>
      <c r="J833" s="86">
        <f>SUMIFS('Wind Proxy'!$H$8:$H$19,'Wind Proxy'!$A$8:$A$19,Estimator!$B$4,'Wind Proxy'!$B$8:$B$19,C833)</f>
        <v>0</v>
      </c>
    </row>
    <row r="834" spans="1:10" ht="14.4">
      <c r="A834" s="84">
        <v>46485</v>
      </c>
      <c r="B834" s="85">
        <v>2027</v>
      </c>
      <c r="C834" s="85">
        <v>4</v>
      </c>
      <c r="D834" s="85" t="s">
        <v>62</v>
      </c>
      <c r="E834" s="85">
        <v>8</v>
      </c>
      <c r="F834" s="85">
        <v>4</v>
      </c>
      <c r="G834" s="85">
        <f>--(F834&lt;=Estimator!$B$7)</f>
        <v>1</v>
      </c>
      <c r="H834" s="86">
        <f>SUMIFS('Climate Data'!$G$7:$G$366,'Climate Data'!$A$7:$A$366,Estimator!$B$4,'Climate Data'!$B$7:$B$366,C834)</f>
        <v>0.25555555555555559</v>
      </c>
      <c r="I834" s="87">
        <f>SUMIFS('Climate Data'!$H$7:$H$366,'Climate Data'!$A$7:$A$366,Estimator!$B$4,'Climate Data'!$B$7:$B$366,C834)</f>
        <v>7.5</v>
      </c>
      <c r="J834" s="86">
        <f>SUMIFS('Wind Proxy'!$H$8:$H$19,'Wind Proxy'!$A$8:$A$19,Estimator!$B$4,'Wind Proxy'!$B$8:$B$19,C834)</f>
        <v>0</v>
      </c>
    </row>
    <row r="835" spans="1:10" ht="14.4">
      <c r="A835" s="84">
        <v>46486</v>
      </c>
      <c r="B835" s="85">
        <v>2027</v>
      </c>
      <c r="C835" s="85">
        <v>4</v>
      </c>
      <c r="D835" s="85" t="s">
        <v>62</v>
      </c>
      <c r="E835" s="85">
        <v>9</v>
      </c>
      <c r="F835" s="85">
        <v>5</v>
      </c>
      <c r="G835" s="85">
        <f>--(F835&lt;=Estimator!$B$7)</f>
        <v>1</v>
      </c>
      <c r="H835" s="86">
        <f>SUMIFS('Climate Data'!$G$7:$G$366,'Climate Data'!$A$7:$A$366,Estimator!$B$4,'Climate Data'!$B$7:$B$366,C835)</f>
        <v>0.25555555555555559</v>
      </c>
      <c r="I835" s="87">
        <f>SUMIFS('Climate Data'!$H$7:$H$366,'Climate Data'!$A$7:$A$366,Estimator!$B$4,'Climate Data'!$B$7:$B$366,C835)</f>
        <v>7.5</v>
      </c>
      <c r="J835" s="86">
        <f>SUMIFS('Wind Proxy'!$H$8:$H$19,'Wind Proxy'!$A$8:$A$19,Estimator!$B$4,'Wind Proxy'!$B$8:$B$19,C835)</f>
        <v>0</v>
      </c>
    </row>
    <row r="836" spans="1:10" ht="14.4">
      <c r="A836" s="84">
        <v>46487</v>
      </c>
      <c r="B836" s="85">
        <v>2027</v>
      </c>
      <c r="C836" s="85">
        <v>4</v>
      </c>
      <c r="D836" s="85" t="s">
        <v>62</v>
      </c>
      <c r="E836" s="85">
        <v>10</v>
      </c>
      <c r="F836" s="85">
        <v>6</v>
      </c>
      <c r="G836" s="85">
        <f>--(F836&lt;=Estimator!$B$7)</f>
        <v>0</v>
      </c>
      <c r="H836" s="86">
        <f>SUMIFS('Climate Data'!$G$7:$G$366,'Climate Data'!$A$7:$A$366,Estimator!$B$4,'Climate Data'!$B$7:$B$366,C836)</f>
        <v>0.25555555555555559</v>
      </c>
      <c r="I836" s="87">
        <f>SUMIFS('Climate Data'!$H$7:$H$366,'Climate Data'!$A$7:$A$366,Estimator!$B$4,'Climate Data'!$B$7:$B$366,C836)</f>
        <v>7.5</v>
      </c>
      <c r="J836" s="86">
        <f>SUMIFS('Wind Proxy'!$H$8:$H$19,'Wind Proxy'!$A$8:$A$19,Estimator!$B$4,'Wind Proxy'!$B$8:$B$19,C836)</f>
        <v>0</v>
      </c>
    </row>
    <row r="837" spans="1:10" ht="14.4">
      <c r="A837" s="84">
        <v>46488</v>
      </c>
      <c r="B837" s="85">
        <v>2027</v>
      </c>
      <c r="C837" s="85">
        <v>4</v>
      </c>
      <c r="D837" s="85" t="s">
        <v>62</v>
      </c>
      <c r="E837" s="85">
        <v>11</v>
      </c>
      <c r="F837" s="85">
        <v>7</v>
      </c>
      <c r="G837" s="85">
        <f>--(F837&lt;=Estimator!$B$7)</f>
        <v>0</v>
      </c>
      <c r="H837" s="86">
        <f>SUMIFS('Climate Data'!$G$7:$G$366,'Climate Data'!$A$7:$A$366,Estimator!$B$4,'Climate Data'!$B$7:$B$366,C837)</f>
        <v>0.25555555555555559</v>
      </c>
      <c r="I837" s="87">
        <f>SUMIFS('Climate Data'!$H$7:$H$366,'Climate Data'!$A$7:$A$366,Estimator!$B$4,'Climate Data'!$B$7:$B$366,C837)</f>
        <v>7.5</v>
      </c>
      <c r="J837" s="86">
        <f>SUMIFS('Wind Proxy'!$H$8:$H$19,'Wind Proxy'!$A$8:$A$19,Estimator!$B$4,'Wind Proxy'!$B$8:$B$19,C837)</f>
        <v>0</v>
      </c>
    </row>
    <row r="838" spans="1:10" ht="14.4">
      <c r="A838" s="84">
        <v>46489</v>
      </c>
      <c r="B838" s="85">
        <v>2027</v>
      </c>
      <c r="C838" s="85">
        <v>4</v>
      </c>
      <c r="D838" s="85" t="s">
        <v>62</v>
      </c>
      <c r="E838" s="85">
        <v>12</v>
      </c>
      <c r="F838" s="85">
        <v>1</v>
      </c>
      <c r="G838" s="85">
        <f>--(F838&lt;=Estimator!$B$7)</f>
        <v>1</v>
      </c>
      <c r="H838" s="86">
        <f>SUMIFS('Climate Data'!$G$7:$G$366,'Climate Data'!$A$7:$A$366,Estimator!$B$4,'Climate Data'!$B$7:$B$366,C838)</f>
        <v>0.25555555555555559</v>
      </c>
      <c r="I838" s="87">
        <f>SUMIFS('Climate Data'!$H$7:$H$366,'Climate Data'!$A$7:$A$366,Estimator!$B$4,'Climate Data'!$B$7:$B$366,C838)</f>
        <v>7.5</v>
      </c>
      <c r="J838" s="86">
        <f>SUMIFS('Wind Proxy'!$H$8:$H$19,'Wind Proxy'!$A$8:$A$19,Estimator!$B$4,'Wind Proxy'!$B$8:$B$19,C838)</f>
        <v>0</v>
      </c>
    </row>
    <row r="839" spans="1:10" ht="14.4">
      <c r="A839" s="84">
        <v>46490</v>
      </c>
      <c r="B839" s="85">
        <v>2027</v>
      </c>
      <c r="C839" s="85">
        <v>4</v>
      </c>
      <c r="D839" s="85" t="s">
        <v>62</v>
      </c>
      <c r="E839" s="85">
        <v>13</v>
      </c>
      <c r="F839" s="85">
        <v>2</v>
      </c>
      <c r="G839" s="85">
        <f>--(F839&lt;=Estimator!$B$7)</f>
        <v>1</v>
      </c>
      <c r="H839" s="86">
        <f>SUMIFS('Climate Data'!$G$7:$G$366,'Climate Data'!$A$7:$A$366,Estimator!$B$4,'Climate Data'!$B$7:$B$366,C839)</f>
        <v>0.25555555555555559</v>
      </c>
      <c r="I839" s="87">
        <f>SUMIFS('Climate Data'!$H$7:$H$366,'Climate Data'!$A$7:$A$366,Estimator!$B$4,'Climate Data'!$B$7:$B$366,C839)</f>
        <v>7.5</v>
      </c>
      <c r="J839" s="86">
        <f>SUMIFS('Wind Proxy'!$H$8:$H$19,'Wind Proxy'!$A$8:$A$19,Estimator!$B$4,'Wind Proxy'!$B$8:$B$19,C839)</f>
        <v>0</v>
      </c>
    </row>
    <row r="840" spans="1:10" ht="14.4">
      <c r="A840" s="84">
        <v>46491</v>
      </c>
      <c r="B840" s="85">
        <v>2027</v>
      </c>
      <c r="C840" s="85">
        <v>4</v>
      </c>
      <c r="D840" s="85" t="s">
        <v>62</v>
      </c>
      <c r="E840" s="85">
        <v>14</v>
      </c>
      <c r="F840" s="85">
        <v>3</v>
      </c>
      <c r="G840" s="85">
        <f>--(F840&lt;=Estimator!$B$7)</f>
        <v>1</v>
      </c>
      <c r="H840" s="86">
        <f>SUMIFS('Climate Data'!$G$7:$G$366,'Climate Data'!$A$7:$A$366,Estimator!$B$4,'Climate Data'!$B$7:$B$366,C840)</f>
        <v>0.25555555555555559</v>
      </c>
      <c r="I840" s="87">
        <f>SUMIFS('Climate Data'!$H$7:$H$366,'Climate Data'!$A$7:$A$366,Estimator!$B$4,'Climate Data'!$B$7:$B$366,C840)</f>
        <v>7.5</v>
      </c>
      <c r="J840" s="86">
        <f>SUMIFS('Wind Proxy'!$H$8:$H$19,'Wind Proxy'!$A$8:$A$19,Estimator!$B$4,'Wind Proxy'!$B$8:$B$19,C840)</f>
        <v>0</v>
      </c>
    </row>
    <row r="841" spans="1:10" ht="14.4">
      <c r="A841" s="84">
        <v>46492</v>
      </c>
      <c r="B841" s="85">
        <v>2027</v>
      </c>
      <c r="C841" s="85">
        <v>4</v>
      </c>
      <c r="D841" s="85" t="s">
        <v>62</v>
      </c>
      <c r="E841" s="85">
        <v>15</v>
      </c>
      <c r="F841" s="85">
        <v>4</v>
      </c>
      <c r="G841" s="85">
        <f>--(F841&lt;=Estimator!$B$7)</f>
        <v>1</v>
      </c>
      <c r="H841" s="86">
        <f>SUMIFS('Climate Data'!$G$7:$G$366,'Climate Data'!$A$7:$A$366,Estimator!$B$4,'Climate Data'!$B$7:$B$366,C841)</f>
        <v>0.25555555555555559</v>
      </c>
      <c r="I841" s="87">
        <f>SUMIFS('Climate Data'!$H$7:$H$366,'Climate Data'!$A$7:$A$366,Estimator!$B$4,'Climate Data'!$B$7:$B$366,C841)</f>
        <v>7.5</v>
      </c>
      <c r="J841" s="86">
        <f>SUMIFS('Wind Proxy'!$H$8:$H$19,'Wind Proxy'!$A$8:$A$19,Estimator!$B$4,'Wind Proxy'!$B$8:$B$19,C841)</f>
        <v>0</v>
      </c>
    </row>
    <row r="842" spans="1:10" ht="14.4">
      <c r="A842" s="84">
        <v>46493</v>
      </c>
      <c r="B842" s="85">
        <v>2027</v>
      </c>
      <c r="C842" s="85">
        <v>4</v>
      </c>
      <c r="D842" s="85" t="s">
        <v>62</v>
      </c>
      <c r="E842" s="85">
        <v>16</v>
      </c>
      <c r="F842" s="85">
        <v>5</v>
      </c>
      <c r="G842" s="85">
        <f>--(F842&lt;=Estimator!$B$7)</f>
        <v>1</v>
      </c>
      <c r="H842" s="86">
        <f>SUMIFS('Climate Data'!$G$7:$G$366,'Climate Data'!$A$7:$A$366,Estimator!$B$4,'Climate Data'!$B$7:$B$366,C842)</f>
        <v>0.25555555555555559</v>
      </c>
      <c r="I842" s="87">
        <f>SUMIFS('Climate Data'!$H$7:$H$366,'Climate Data'!$A$7:$A$366,Estimator!$B$4,'Climate Data'!$B$7:$B$366,C842)</f>
        <v>7.5</v>
      </c>
      <c r="J842" s="86">
        <f>SUMIFS('Wind Proxy'!$H$8:$H$19,'Wind Proxy'!$A$8:$A$19,Estimator!$B$4,'Wind Proxy'!$B$8:$B$19,C842)</f>
        <v>0</v>
      </c>
    </row>
    <row r="843" spans="1:10" ht="14.4">
      <c r="A843" s="84">
        <v>46494</v>
      </c>
      <c r="B843" s="85">
        <v>2027</v>
      </c>
      <c r="C843" s="85">
        <v>4</v>
      </c>
      <c r="D843" s="85" t="s">
        <v>62</v>
      </c>
      <c r="E843" s="85">
        <v>17</v>
      </c>
      <c r="F843" s="85">
        <v>6</v>
      </c>
      <c r="G843" s="85">
        <f>--(F843&lt;=Estimator!$B$7)</f>
        <v>0</v>
      </c>
      <c r="H843" s="86">
        <f>SUMIFS('Climate Data'!$G$7:$G$366,'Climate Data'!$A$7:$A$366,Estimator!$B$4,'Climate Data'!$B$7:$B$366,C843)</f>
        <v>0.25555555555555559</v>
      </c>
      <c r="I843" s="87">
        <f>SUMIFS('Climate Data'!$H$7:$H$366,'Climate Data'!$A$7:$A$366,Estimator!$B$4,'Climate Data'!$B$7:$B$366,C843)</f>
        <v>7.5</v>
      </c>
      <c r="J843" s="86">
        <f>SUMIFS('Wind Proxy'!$H$8:$H$19,'Wind Proxy'!$A$8:$A$19,Estimator!$B$4,'Wind Proxy'!$B$8:$B$19,C843)</f>
        <v>0</v>
      </c>
    </row>
    <row r="844" spans="1:10" ht="14.4">
      <c r="A844" s="84">
        <v>46495</v>
      </c>
      <c r="B844" s="85">
        <v>2027</v>
      </c>
      <c r="C844" s="85">
        <v>4</v>
      </c>
      <c r="D844" s="85" t="s">
        <v>62</v>
      </c>
      <c r="E844" s="85">
        <v>18</v>
      </c>
      <c r="F844" s="85">
        <v>7</v>
      </c>
      <c r="G844" s="85">
        <f>--(F844&lt;=Estimator!$B$7)</f>
        <v>0</v>
      </c>
      <c r="H844" s="86">
        <f>SUMIFS('Climate Data'!$G$7:$G$366,'Climate Data'!$A$7:$A$366,Estimator!$B$4,'Climate Data'!$B$7:$B$366,C844)</f>
        <v>0.25555555555555559</v>
      </c>
      <c r="I844" s="87">
        <f>SUMIFS('Climate Data'!$H$7:$H$366,'Climate Data'!$A$7:$A$366,Estimator!$B$4,'Climate Data'!$B$7:$B$366,C844)</f>
        <v>7.5</v>
      </c>
      <c r="J844" s="86">
        <f>SUMIFS('Wind Proxy'!$H$8:$H$19,'Wind Proxy'!$A$8:$A$19,Estimator!$B$4,'Wind Proxy'!$B$8:$B$19,C844)</f>
        <v>0</v>
      </c>
    </row>
    <row r="845" spans="1:10" ht="14.4">
      <c r="A845" s="84">
        <v>46496</v>
      </c>
      <c r="B845" s="85">
        <v>2027</v>
      </c>
      <c r="C845" s="85">
        <v>4</v>
      </c>
      <c r="D845" s="85" t="s">
        <v>62</v>
      </c>
      <c r="E845" s="85">
        <v>19</v>
      </c>
      <c r="F845" s="85">
        <v>1</v>
      </c>
      <c r="G845" s="85">
        <f>--(F845&lt;=Estimator!$B$7)</f>
        <v>1</v>
      </c>
      <c r="H845" s="86">
        <f>SUMIFS('Climate Data'!$G$7:$G$366,'Climate Data'!$A$7:$A$366,Estimator!$B$4,'Climate Data'!$B$7:$B$366,C845)</f>
        <v>0.25555555555555559</v>
      </c>
      <c r="I845" s="87">
        <f>SUMIFS('Climate Data'!$H$7:$H$366,'Climate Data'!$A$7:$A$366,Estimator!$B$4,'Climate Data'!$B$7:$B$366,C845)</f>
        <v>7.5</v>
      </c>
      <c r="J845" s="86">
        <f>SUMIFS('Wind Proxy'!$H$8:$H$19,'Wind Proxy'!$A$8:$A$19,Estimator!$B$4,'Wind Proxy'!$B$8:$B$19,C845)</f>
        <v>0</v>
      </c>
    </row>
    <row r="846" spans="1:10" ht="14.4">
      <c r="A846" s="84">
        <v>46497</v>
      </c>
      <c r="B846" s="85">
        <v>2027</v>
      </c>
      <c r="C846" s="85">
        <v>4</v>
      </c>
      <c r="D846" s="85" t="s">
        <v>62</v>
      </c>
      <c r="E846" s="85">
        <v>20</v>
      </c>
      <c r="F846" s="85">
        <v>2</v>
      </c>
      <c r="G846" s="85">
        <f>--(F846&lt;=Estimator!$B$7)</f>
        <v>1</v>
      </c>
      <c r="H846" s="86">
        <f>SUMIFS('Climate Data'!$G$7:$G$366,'Climate Data'!$A$7:$A$366,Estimator!$B$4,'Climate Data'!$B$7:$B$366,C846)</f>
        <v>0.25555555555555559</v>
      </c>
      <c r="I846" s="87">
        <f>SUMIFS('Climate Data'!$H$7:$H$366,'Climate Data'!$A$7:$A$366,Estimator!$B$4,'Climate Data'!$B$7:$B$366,C846)</f>
        <v>7.5</v>
      </c>
      <c r="J846" s="86">
        <f>SUMIFS('Wind Proxy'!$H$8:$H$19,'Wind Proxy'!$A$8:$A$19,Estimator!$B$4,'Wind Proxy'!$B$8:$B$19,C846)</f>
        <v>0</v>
      </c>
    </row>
    <row r="847" spans="1:10" ht="14.4">
      <c r="A847" s="84">
        <v>46498</v>
      </c>
      <c r="B847" s="85">
        <v>2027</v>
      </c>
      <c r="C847" s="85">
        <v>4</v>
      </c>
      <c r="D847" s="85" t="s">
        <v>62</v>
      </c>
      <c r="E847" s="85">
        <v>21</v>
      </c>
      <c r="F847" s="85">
        <v>3</v>
      </c>
      <c r="G847" s="85">
        <f>--(F847&lt;=Estimator!$B$7)</f>
        <v>1</v>
      </c>
      <c r="H847" s="86">
        <f>SUMIFS('Climate Data'!$G$7:$G$366,'Climate Data'!$A$7:$A$366,Estimator!$B$4,'Climate Data'!$B$7:$B$366,C847)</f>
        <v>0.25555555555555559</v>
      </c>
      <c r="I847" s="87">
        <f>SUMIFS('Climate Data'!$H$7:$H$366,'Climate Data'!$A$7:$A$366,Estimator!$B$4,'Climate Data'!$B$7:$B$366,C847)</f>
        <v>7.5</v>
      </c>
      <c r="J847" s="86">
        <f>SUMIFS('Wind Proxy'!$H$8:$H$19,'Wind Proxy'!$A$8:$A$19,Estimator!$B$4,'Wind Proxy'!$B$8:$B$19,C847)</f>
        <v>0</v>
      </c>
    </row>
    <row r="848" spans="1:10" ht="14.4">
      <c r="A848" s="84">
        <v>46499</v>
      </c>
      <c r="B848" s="85">
        <v>2027</v>
      </c>
      <c r="C848" s="85">
        <v>4</v>
      </c>
      <c r="D848" s="85" t="s">
        <v>62</v>
      </c>
      <c r="E848" s="85">
        <v>22</v>
      </c>
      <c r="F848" s="85">
        <v>4</v>
      </c>
      <c r="G848" s="85">
        <f>--(F848&lt;=Estimator!$B$7)</f>
        <v>1</v>
      </c>
      <c r="H848" s="86">
        <f>SUMIFS('Climate Data'!$G$7:$G$366,'Climate Data'!$A$7:$A$366,Estimator!$B$4,'Climate Data'!$B$7:$B$366,C848)</f>
        <v>0.25555555555555559</v>
      </c>
      <c r="I848" s="87">
        <f>SUMIFS('Climate Data'!$H$7:$H$366,'Climate Data'!$A$7:$A$366,Estimator!$B$4,'Climate Data'!$B$7:$B$366,C848)</f>
        <v>7.5</v>
      </c>
      <c r="J848" s="86">
        <f>SUMIFS('Wind Proxy'!$H$8:$H$19,'Wind Proxy'!$A$8:$A$19,Estimator!$B$4,'Wind Proxy'!$B$8:$B$19,C848)</f>
        <v>0</v>
      </c>
    </row>
    <row r="849" spans="1:10" ht="14.4">
      <c r="A849" s="84">
        <v>46500</v>
      </c>
      <c r="B849" s="85">
        <v>2027</v>
      </c>
      <c r="C849" s="85">
        <v>4</v>
      </c>
      <c r="D849" s="85" t="s">
        <v>62</v>
      </c>
      <c r="E849" s="85">
        <v>23</v>
      </c>
      <c r="F849" s="85">
        <v>5</v>
      </c>
      <c r="G849" s="85">
        <f>--(F849&lt;=Estimator!$B$7)</f>
        <v>1</v>
      </c>
      <c r="H849" s="86">
        <f>SUMIFS('Climate Data'!$G$7:$G$366,'Climate Data'!$A$7:$A$366,Estimator!$B$4,'Climate Data'!$B$7:$B$366,C849)</f>
        <v>0.25555555555555559</v>
      </c>
      <c r="I849" s="87">
        <f>SUMIFS('Climate Data'!$H$7:$H$366,'Climate Data'!$A$7:$A$366,Estimator!$B$4,'Climate Data'!$B$7:$B$366,C849)</f>
        <v>7.5</v>
      </c>
      <c r="J849" s="86">
        <f>SUMIFS('Wind Proxy'!$H$8:$H$19,'Wind Proxy'!$A$8:$A$19,Estimator!$B$4,'Wind Proxy'!$B$8:$B$19,C849)</f>
        <v>0</v>
      </c>
    </row>
    <row r="850" spans="1:10" ht="14.4">
      <c r="A850" s="84">
        <v>46501</v>
      </c>
      <c r="B850" s="85">
        <v>2027</v>
      </c>
      <c r="C850" s="85">
        <v>4</v>
      </c>
      <c r="D850" s="85" t="s">
        <v>62</v>
      </c>
      <c r="E850" s="85">
        <v>24</v>
      </c>
      <c r="F850" s="85">
        <v>6</v>
      </c>
      <c r="G850" s="85">
        <f>--(F850&lt;=Estimator!$B$7)</f>
        <v>0</v>
      </c>
      <c r="H850" s="86">
        <f>SUMIFS('Climate Data'!$G$7:$G$366,'Climate Data'!$A$7:$A$366,Estimator!$B$4,'Climate Data'!$B$7:$B$366,C850)</f>
        <v>0.25555555555555559</v>
      </c>
      <c r="I850" s="87">
        <f>SUMIFS('Climate Data'!$H$7:$H$366,'Climate Data'!$A$7:$A$366,Estimator!$B$4,'Climate Data'!$B$7:$B$366,C850)</f>
        <v>7.5</v>
      </c>
      <c r="J850" s="86">
        <f>SUMIFS('Wind Proxy'!$H$8:$H$19,'Wind Proxy'!$A$8:$A$19,Estimator!$B$4,'Wind Proxy'!$B$8:$B$19,C850)</f>
        <v>0</v>
      </c>
    </row>
    <row r="851" spans="1:10" ht="14.4">
      <c r="A851" s="84">
        <v>46502</v>
      </c>
      <c r="B851" s="85">
        <v>2027</v>
      </c>
      <c r="C851" s="85">
        <v>4</v>
      </c>
      <c r="D851" s="85" t="s">
        <v>62</v>
      </c>
      <c r="E851" s="85">
        <v>25</v>
      </c>
      <c r="F851" s="85">
        <v>7</v>
      </c>
      <c r="G851" s="85">
        <f>--(F851&lt;=Estimator!$B$7)</f>
        <v>0</v>
      </c>
      <c r="H851" s="86">
        <f>SUMIFS('Climate Data'!$G$7:$G$366,'Climate Data'!$A$7:$A$366,Estimator!$B$4,'Climate Data'!$B$7:$B$366,C851)</f>
        <v>0.25555555555555559</v>
      </c>
      <c r="I851" s="87">
        <f>SUMIFS('Climate Data'!$H$7:$H$366,'Climate Data'!$A$7:$A$366,Estimator!$B$4,'Climate Data'!$B$7:$B$366,C851)</f>
        <v>7.5</v>
      </c>
      <c r="J851" s="86">
        <f>SUMIFS('Wind Proxy'!$H$8:$H$19,'Wind Proxy'!$A$8:$A$19,Estimator!$B$4,'Wind Proxy'!$B$8:$B$19,C851)</f>
        <v>0</v>
      </c>
    </row>
    <row r="852" spans="1:10" ht="14.4">
      <c r="A852" s="84">
        <v>46503</v>
      </c>
      <c r="B852" s="85">
        <v>2027</v>
      </c>
      <c r="C852" s="85">
        <v>4</v>
      </c>
      <c r="D852" s="85" t="s">
        <v>62</v>
      </c>
      <c r="E852" s="85">
        <v>26</v>
      </c>
      <c r="F852" s="85">
        <v>1</v>
      </c>
      <c r="G852" s="85">
        <f>--(F852&lt;=Estimator!$B$7)</f>
        <v>1</v>
      </c>
      <c r="H852" s="86">
        <f>SUMIFS('Climate Data'!$G$7:$G$366,'Climate Data'!$A$7:$A$366,Estimator!$B$4,'Climate Data'!$B$7:$B$366,C852)</f>
        <v>0.25555555555555559</v>
      </c>
      <c r="I852" s="87">
        <f>SUMIFS('Climate Data'!$H$7:$H$366,'Climate Data'!$A$7:$A$366,Estimator!$B$4,'Climate Data'!$B$7:$B$366,C852)</f>
        <v>7.5</v>
      </c>
      <c r="J852" s="86">
        <f>SUMIFS('Wind Proxy'!$H$8:$H$19,'Wind Proxy'!$A$8:$A$19,Estimator!$B$4,'Wind Proxy'!$B$8:$B$19,C852)</f>
        <v>0</v>
      </c>
    </row>
    <row r="853" spans="1:10" ht="14.4">
      <c r="A853" s="84">
        <v>46504</v>
      </c>
      <c r="B853" s="85">
        <v>2027</v>
      </c>
      <c r="C853" s="85">
        <v>4</v>
      </c>
      <c r="D853" s="85" t="s">
        <v>62</v>
      </c>
      <c r="E853" s="85">
        <v>27</v>
      </c>
      <c r="F853" s="85">
        <v>2</v>
      </c>
      <c r="G853" s="85">
        <f>--(F853&lt;=Estimator!$B$7)</f>
        <v>1</v>
      </c>
      <c r="H853" s="86">
        <f>SUMIFS('Climate Data'!$G$7:$G$366,'Climate Data'!$A$7:$A$366,Estimator!$B$4,'Climate Data'!$B$7:$B$366,C853)</f>
        <v>0.25555555555555559</v>
      </c>
      <c r="I853" s="87">
        <f>SUMIFS('Climate Data'!$H$7:$H$366,'Climate Data'!$A$7:$A$366,Estimator!$B$4,'Climate Data'!$B$7:$B$366,C853)</f>
        <v>7.5</v>
      </c>
      <c r="J853" s="86">
        <f>SUMIFS('Wind Proxy'!$H$8:$H$19,'Wind Proxy'!$A$8:$A$19,Estimator!$B$4,'Wind Proxy'!$B$8:$B$19,C853)</f>
        <v>0</v>
      </c>
    </row>
    <row r="854" spans="1:10" ht="14.4">
      <c r="A854" s="84">
        <v>46505</v>
      </c>
      <c r="B854" s="85">
        <v>2027</v>
      </c>
      <c r="C854" s="85">
        <v>4</v>
      </c>
      <c r="D854" s="85" t="s">
        <v>62</v>
      </c>
      <c r="E854" s="85">
        <v>28</v>
      </c>
      <c r="F854" s="85">
        <v>3</v>
      </c>
      <c r="G854" s="85">
        <f>--(F854&lt;=Estimator!$B$7)</f>
        <v>1</v>
      </c>
      <c r="H854" s="86">
        <f>SUMIFS('Climate Data'!$G$7:$G$366,'Climate Data'!$A$7:$A$366,Estimator!$B$4,'Climate Data'!$B$7:$B$366,C854)</f>
        <v>0.25555555555555559</v>
      </c>
      <c r="I854" s="87">
        <f>SUMIFS('Climate Data'!$H$7:$H$366,'Climate Data'!$A$7:$A$366,Estimator!$B$4,'Climate Data'!$B$7:$B$366,C854)</f>
        <v>7.5</v>
      </c>
      <c r="J854" s="86">
        <f>SUMIFS('Wind Proxy'!$H$8:$H$19,'Wind Proxy'!$A$8:$A$19,Estimator!$B$4,'Wind Proxy'!$B$8:$B$19,C854)</f>
        <v>0</v>
      </c>
    </row>
    <row r="855" spans="1:10" ht="14.4">
      <c r="A855" s="84">
        <v>46506</v>
      </c>
      <c r="B855" s="85">
        <v>2027</v>
      </c>
      <c r="C855" s="85">
        <v>4</v>
      </c>
      <c r="D855" s="85" t="s">
        <v>62</v>
      </c>
      <c r="E855" s="85">
        <v>29</v>
      </c>
      <c r="F855" s="85">
        <v>4</v>
      </c>
      <c r="G855" s="85">
        <f>--(F855&lt;=Estimator!$B$7)</f>
        <v>1</v>
      </c>
      <c r="H855" s="86">
        <f>SUMIFS('Climate Data'!$G$7:$G$366,'Climate Data'!$A$7:$A$366,Estimator!$B$4,'Climate Data'!$B$7:$B$366,C855)</f>
        <v>0.25555555555555559</v>
      </c>
      <c r="I855" s="87">
        <f>SUMIFS('Climate Data'!$H$7:$H$366,'Climate Data'!$A$7:$A$366,Estimator!$B$4,'Climate Data'!$B$7:$B$366,C855)</f>
        <v>7.5</v>
      </c>
      <c r="J855" s="86">
        <f>SUMIFS('Wind Proxy'!$H$8:$H$19,'Wind Proxy'!$A$8:$A$19,Estimator!$B$4,'Wind Proxy'!$B$8:$B$19,C855)</f>
        <v>0</v>
      </c>
    </row>
    <row r="856" spans="1:10" ht="14.4">
      <c r="A856" s="84">
        <v>46507</v>
      </c>
      <c r="B856" s="85">
        <v>2027</v>
      </c>
      <c r="C856" s="85">
        <v>4</v>
      </c>
      <c r="D856" s="85" t="s">
        <v>62</v>
      </c>
      <c r="E856" s="85">
        <v>30</v>
      </c>
      <c r="F856" s="85">
        <v>5</v>
      </c>
      <c r="G856" s="85">
        <f>--(F856&lt;=Estimator!$B$7)</f>
        <v>1</v>
      </c>
      <c r="H856" s="86">
        <f>SUMIFS('Climate Data'!$G$7:$G$366,'Climate Data'!$A$7:$A$366,Estimator!$B$4,'Climate Data'!$B$7:$B$366,C856)</f>
        <v>0.25555555555555559</v>
      </c>
      <c r="I856" s="87">
        <f>SUMIFS('Climate Data'!$H$7:$H$366,'Climate Data'!$A$7:$A$366,Estimator!$B$4,'Climate Data'!$B$7:$B$366,C856)</f>
        <v>7.5</v>
      </c>
      <c r="J856" s="86">
        <f>SUMIFS('Wind Proxy'!$H$8:$H$19,'Wind Proxy'!$A$8:$A$19,Estimator!$B$4,'Wind Proxy'!$B$8:$B$19,C856)</f>
        <v>0</v>
      </c>
    </row>
    <row r="857" spans="1:10" ht="14.4">
      <c r="A857" s="84">
        <v>46508</v>
      </c>
      <c r="B857" s="85">
        <v>2027</v>
      </c>
      <c r="C857" s="85">
        <v>5</v>
      </c>
      <c r="D857" s="85" t="s">
        <v>65</v>
      </c>
      <c r="E857" s="85">
        <v>1</v>
      </c>
      <c r="F857" s="85">
        <v>6</v>
      </c>
      <c r="G857" s="85">
        <f>--(F857&lt;=Estimator!$B$7)</f>
        <v>0</v>
      </c>
      <c r="H857" s="86">
        <f>SUMIFS('Climate Data'!$G$7:$G$366,'Climate Data'!$A$7:$A$366,Estimator!$B$4,'Climate Data'!$B$7:$B$366,C857)</f>
        <v>0.23010752688172045</v>
      </c>
      <c r="I857" s="87">
        <f>SUMIFS('Climate Data'!$H$7:$H$366,'Climate Data'!$A$7:$A$366,Estimator!$B$4,'Climate Data'!$B$7:$B$366,C857)</f>
        <v>8.1448598130841123</v>
      </c>
      <c r="J857" s="86">
        <f>SUMIFS('Wind Proxy'!$H$8:$H$19,'Wind Proxy'!$A$8:$A$19,Estimator!$B$4,'Wind Proxy'!$B$8:$B$19,C857)</f>
        <v>0</v>
      </c>
    </row>
    <row r="858" spans="1:10" ht="14.4">
      <c r="A858" s="84">
        <v>46509</v>
      </c>
      <c r="B858" s="85">
        <v>2027</v>
      </c>
      <c r="C858" s="85">
        <v>5</v>
      </c>
      <c r="D858" s="85" t="s">
        <v>65</v>
      </c>
      <c r="E858" s="85">
        <v>2</v>
      </c>
      <c r="F858" s="85">
        <v>7</v>
      </c>
      <c r="G858" s="85">
        <f>--(F858&lt;=Estimator!$B$7)</f>
        <v>0</v>
      </c>
      <c r="H858" s="86">
        <f>SUMIFS('Climate Data'!$G$7:$G$366,'Climate Data'!$A$7:$A$366,Estimator!$B$4,'Climate Data'!$B$7:$B$366,C858)</f>
        <v>0.23010752688172045</v>
      </c>
      <c r="I858" s="87">
        <f>SUMIFS('Climate Data'!$H$7:$H$366,'Climate Data'!$A$7:$A$366,Estimator!$B$4,'Climate Data'!$B$7:$B$366,C858)</f>
        <v>8.1448598130841123</v>
      </c>
      <c r="J858" s="86">
        <f>SUMIFS('Wind Proxy'!$H$8:$H$19,'Wind Proxy'!$A$8:$A$19,Estimator!$B$4,'Wind Proxy'!$B$8:$B$19,C858)</f>
        <v>0</v>
      </c>
    </row>
    <row r="859" spans="1:10" ht="14.4">
      <c r="A859" s="84">
        <v>46510</v>
      </c>
      <c r="B859" s="85">
        <v>2027</v>
      </c>
      <c r="C859" s="85">
        <v>5</v>
      </c>
      <c r="D859" s="85" t="s">
        <v>65</v>
      </c>
      <c r="E859" s="85">
        <v>3</v>
      </c>
      <c r="F859" s="85">
        <v>1</v>
      </c>
      <c r="G859" s="85">
        <f>--(F859&lt;=Estimator!$B$7)</f>
        <v>1</v>
      </c>
      <c r="H859" s="86">
        <f>SUMIFS('Climate Data'!$G$7:$G$366,'Climate Data'!$A$7:$A$366,Estimator!$B$4,'Climate Data'!$B$7:$B$366,C859)</f>
        <v>0.23010752688172045</v>
      </c>
      <c r="I859" s="87">
        <f>SUMIFS('Climate Data'!$H$7:$H$366,'Climate Data'!$A$7:$A$366,Estimator!$B$4,'Climate Data'!$B$7:$B$366,C859)</f>
        <v>8.1448598130841123</v>
      </c>
      <c r="J859" s="86">
        <f>SUMIFS('Wind Proxy'!$H$8:$H$19,'Wind Proxy'!$A$8:$A$19,Estimator!$B$4,'Wind Proxy'!$B$8:$B$19,C859)</f>
        <v>0</v>
      </c>
    </row>
    <row r="860" spans="1:10" ht="14.4">
      <c r="A860" s="84">
        <v>46511</v>
      </c>
      <c r="B860" s="85">
        <v>2027</v>
      </c>
      <c r="C860" s="85">
        <v>5</v>
      </c>
      <c r="D860" s="85" t="s">
        <v>65</v>
      </c>
      <c r="E860" s="85">
        <v>4</v>
      </c>
      <c r="F860" s="85">
        <v>2</v>
      </c>
      <c r="G860" s="85">
        <f>--(F860&lt;=Estimator!$B$7)</f>
        <v>1</v>
      </c>
      <c r="H860" s="86">
        <f>SUMIFS('Climate Data'!$G$7:$G$366,'Climate Data'!$A$7:$A$366,Estimator!$B$4,'Climate Data'!$B$7:$B$366,C860)</f>
        <v>0.23010752688172045</v>
      </c>
      <c r="I860" s="87">
        <f>SUMIFS('Climate Data'!$H$7:$H$366,'Climate Data'!$A$7:$A$366,Estimator!$B$4,'Climate Data'!$B$7:$B$366,C860)</f>
        <v>8.1448598130841123</v>
      </c>
      <c r="J860" s="86">
        <f>SUMIFS('Wind Proxy'!$H$8:$H$19,'Wind Proxy'!$A$8:$A$19,Estimator!$B$4,'Wind Proxy'!$B$8:$B$19,C860)</f>
        <v>0</v>
      </c>
    </row>
    <row r="861" spans="1:10" ht="14.4">
      <c r="A861" s="84">
        <v>46512</v>
      </c>
      <c r="B861" s="85">
        <v>2027</v>
      </c>
      <c r="C861" s="85">
        <v>5</v>
      </c>
      <c r="D861" s="85" t="s">
        <v>65</v>
      </c>
      <c r="E861" s="85">
        <v>5</v>
      </c>
      <c r="F861" s="85">
        <v>3</v>
      </c>
      <c r="G861" s="85">
        <f>--(F861&lt;=Estimator!$B$7)</f>
        <v>1</v>
      </c>
      <c r="H861" s="86">
        <f>SUMIFS('Climate Data'!$G$7:$G$366,'Climate Data'!$A$7:$A$366,Estimator!$B$4,'Climate Data'!$B$7:$B$366,C861)</f>
        <v>0.23010752688172045</v>
      </c>
      <c r="I861" s="87">
        <f>SUMIFS('Climate Data'!$H$7:$H$366,'Climate Data'!$A$7:$A$366,Estimator!$B$4,'Climate Data'!$B$7:$B$366,C861)</f>
        <v>8.1448598130841123</v>
      </c>
      <c r="J861" s="86">
        <f>SUMIFS('Wind Proxy'!$H$8:$H$19,'Wind Proxy'!$A$8:$A$19,Estimator!$B$4,'Wind Proxy'!$B$8:$B$19,C861)</f>
        <v>0</v>
      </c>
    </row>
    <row r="862" spans="1:10" ht="14.4">
      <c r="A862" s="84">
        <v>46513</v>
      </c>
      <c r="B862" s="85">
        <v>2027</v>
      </c>
      <c r="C862" s="85">
        <v>5</v>
      </c>
      <c r="D862" s="85" t="s">
        <v>65</v>
      </c>
      <c r="E862" s="85">
        <v>6</v>
      </c>
      <c r="F862" s="85">
        <v>4</v>
      </c>
      <c r="G862" s="85">
        <f>--(F862&lt;=Estimator!$B$7)</f>
        <v>1</v>
      </c>
      <c r="H862" s="86">
        <f>SUMIFS('Climate Data'!$G$7:$G$366,'Climate Data'!$A$7:$A$366,Estimator!$B$4,'Climate Data'!$B$7:$B$366,C862)</f>
        <v>0.23010752688172045</v>
      </c>
      <c r="I862" s="87">
        <f>SUMIFS('Climate Data'!$H$7:$H$366,'Climate Data'!$A$7:$A$366,Estimator!$B$4,'Climate Data'!$B$7:$B$366,C862)</f>
        <v>8.1448598130841123</v>
      </c>
      <c r="J862" s="86">
        <f>SUMIFS('Wind Proxy'!$H$8:$H$19,'Wind Proxy'!$A$8:$A$19,Estimator!$B$4,'Wind Proxy'!$B$8:$B$19,C862)</f>
        <v>0</v>
      </c>
    </row>
    <row r="863" spans="1:10" ht="14.4">
      <c r="A863" s="84">
        <v>46514</v>
      </c>
      <c r="B863" s="85">
        <v>2027</v>
      </c>
      <c r="C863" s="85">
        <v>5</v>
      </c>
      <c r="D863" s="85" t="s">
        <v>65</v>
      </c>
      <c r="E863" s="85">
        <v>7</v>
      </c>
      <c r="F863" s="85">
        <v>5</v>
      </c>
      <c r="G863" s="85">
        <f>--(F863&lt;=Estimator!$B$7)</f>
        <v>1</v>
      </c>
      <c r="H863" s="86">
        <f>SUMIFS('Climate Data'!$G$7:$G$366,'Climate Data'!$A$7:$A$366,Estimator!$B$4,'Climate Data'!$B$7:$B$366,C863)</f>
        <v>0.23010752688172045</v>
      </c>
      <c r="I863" s="87">
        <f>SUMIFS('Climate Data'!$H$7:$H$366,'Climate Data'!$A$7:$A$366,Estimator!$B$4,'Climate Data'!$B$7:$B$366,C863)</f>
        <v>8.1448598130841123</v>
      </c>
      <c r="J863" s="86">
        <f>SUMIFS('Wind Proxy'!$H$8:$H$19,'Wind Proxy'!$A$8:$A$19,Estimator!$B$4,'Wind Proxy'!$B$8:$B$19,C863)</f>
        <v>0</v>
      </c>
    </row>
    <row r="864" spans="1:10" ht="14.4">
      <c r="A864" s="84">
        <v>46515</v>
      </c>
      <c r="B864" s="85">
        <v>2027</v>
      </c>
      <c r="C864" s="85">
        <v>5</v>
      </c>
      <c r="D864" s="85" t="s">
        <v>65</v>
      </c>
      <c r="E864" s="85">
        <v>8</v>
      </c>
      <c r="F864" s="85">
        <v>6</v>
      </c>
      <c r="G864" s="85">
        <f>--(F864&lt;=Estimator!$B$7)</f>
        <v>0</v>
      </c>
      <c r="H864" s="86">
        <f>SUMIFS('Climate Data'!$G$7:$G$366,'Climate Data'!$A$7:$A$366,Estimator!$B$4,'Climate Data'!$B$7:$B$366,C864)</f>
        <v>0.23010752688172045</v>
      </c>
      <c r="I864" s="87">
        <f>SUMIFS('Climate Data'!$H$7:$H$366,'Climate Data'!$A$7:$A$366,Estimator!$B$4,'Climate Data'!$B$7:$B$366,C864)</f>
        <v>8.1448598130841123</v>
      </c>
      <c r="J864" s="86">
        <f>SUMIFS('Wind Proxy'!$H$8:$H$19,'Wind Proxy'!$A$8:$A$19,Estimator!$B$4,'Wind Proxy'!$B$8:$B$19,C864)</f>
        <v>0</v>
      </c>
    </row>
    <row r="865" spans="1:10" ht="14.4">
      <c r="A865" s="84">
        <v>46516</v>
      </c>
      <c r="B865" s="85">
        <v>2027</v>
      </c>
      <c r="C865" s="85">
        <v>5</v>
      </c>
      <c r="D865" s="85" t="s">
        <v>65</v>
      </c>
      <c r="E865" s="85">
        <v>9</v>
      </c>
      <c r="F865" s="85">
        <v>7</v>
      </c>
      <c r="G865" s="85">
        <f>--(F865&lt;=Estimator!$B$7)</f>
        <v>0</v>
      </c>
      <c r="H865" s="86">
        <f>SUMIFS('Climate Data'!$G$7:$G$366,'Climate Data'!$A$7:$A$366,Estimator!$B$4,'Climate Data'!$B$7:$B$366,C865)</f>
        <v>0.23010752688172045</v>
      </c>
      <c r="I865" s="87">
        <f>SUMIFS('Climate Data'!$H$7:$H$366,'Climate Data'!$A$7:$A$366,Estimator!$B$4,'Climate Data'!$B$7:$B$366,C865)</f>
        <v>8.1448598130841123</v>
      </c>
      <c r="J865" s="86">
        <f>SUMIFS('Wind Proxy'!$H$8:$H$19,'Wind Proxy'!$A$8:$A$19,Estimator!$B$4,'Wind Proxy'!$B$8:$B$19,C865)</f>
        <v>0</v>
      </c>
    </row>
    <row r="866" spans="1:10" ht="14.4">
      <c r="A866" s="84">
        <v>46517</v>
      </c>
      <c r="B866" s="85">
        <v>2027</v>
      </c>
      <c r="C866" s="85">
        <v>5</v>
      </c>
      <c r="D866" s="85" t="s">
        <v>65</v>
      </c>
      <c r="E866" s="85">
        <v>10</v>
      </c>
      <c r="F866" s="85">
        <v>1</v>
      </c>
      <c r="G866" s="85">
        <f>--(F866&lt;=Estimator!$B$7)</f>
        <v>1</v>
      </c>
      <c r="H866" s="86">
        <f>SUMIFS('Climate Data'!$G$7:$G$366,'Climate Data'!$A$7:$A$366,Estimator!$B$4,'Climate Data'!$B$7:$B$366,C866)</f>
        <v>0.23010752688172045</v>
      </c>
      <c r="I866" s="87">
        <f>SUMIFS('Climate Data'!$H$7:$H$366,'Climate Data'!$A$7:$A$366,Estimator!$B$4,'Climate Data'!$B$7:$B$366,C866)</f>
        <v>8.1448598130841123</v>
      </c>
      <c r="J866" s="86">
        <f>SUMIFS('Wind Proxy'!$H$8:$H$19,'Wind Proxy'!$A$8:$A$19,Estimator!$B$4,'Wind Proxy'!$B$8:$B$19,C866)</f>
        <v>0</v>
      </c>
    </row>
    <row r="867" spans="1:10" ht="14.4">
      <c r="A867" s="84">
        <v>46518</v>
      </c>
      <c r="B867" s="85">
        <v>2027</v>
      </c>
      <c r="C867" s="85">
        <v>5</v>
      </c>
      <c r="D867" s="85" t="s">
        <v>65</v>
      </c>
      <c r="E867" s="85">
        <v>11</v>
      </c>
      <c r="F867" s="85">
        <v>2</v>
      </c>
      <c r="G867" s="85">
        <f>--(F867&lt;=Estimator!$B$7)</f>
        <v>1</v>
      </c>
      <c r="H867" s="86">
        <f>SUMIFS('Climate Data'!$G$7:$G$366,'Climate Data'!$A$7:$A$366,Estimator!$B$4,'Climate Data'!$B$7:$B$366,C867)</f>
        <v>0.23010752688172045</v>
      </c>
      <c r="I867" s="87">
        <f>SUMIFS('Climate Data'!$H$7:$H$366,'Climate Data'!$A$7:$A$366,Estimator!$B$4,'Climate Data'!$B$7:$B$366,C867)</f>
        <v>8.1448598130841123</v>
      </c>
      <c r="J867" s="86">
        <f>SUMIFS('Wind Proxy'!$H$8:$H$19,'Wind Proxy'!$A$8:$A$19,Estimator!$B$4,'Wind Proxy'!$B$8:$B$19,C867)</f>
        <v>0</v>
      </c>
    </row>
    <row r="868" spans="1:10" ht="14.4">
      <c r="A868" s="84">
        <v>46519</v>
      </c>
      <c r="B868" s="85">
        <v>2027</v>
      </c>
      <c r="C868" s="85">
        <v>5</v>
      </c>
      <c r="D868" s="85" t="s">
        <v>65</v>
      </c>
      <c r="E868" s="85">
        <v>12</v>
      </c>
      <c r="F868" s="85">
        <v>3</v>
      </c>
      <c r="G868" s="85">
        <f>--(F868&lt;=Estimator!$B$7)</f>
        <v>1</v>
      </c>
      <c r="H868" s="86">
        <f>SUMIFS('Climate Data'!$G$7:$G$366,'Climate Data'!$A$7:$A$366,Estimator!$B$4,'Climate Data'!$B$7:$B$366,C868)</f>
        <v>0.23010752688172045</v>
      </c>
      <c r="I868" s="87">
        <f>SUMIFS('Climate Data'!$H$7:$H$366,'Climate Data'!$A$7:$A$366,Estimator!$B$4,'Climate Data'!$B$7:$B$366,C868)</f>
        <v>8.1448598130841123</v>
      </c>
      <c r="J868" s="86">
        <f>SUMIFS('Wind Proxy'!$H$8:$H$19,'Wind Proxy'!$A$8:$A$19,Estimator!$B$4,'Wind Proxy'!$B$8:$B$19,C868)</f>
        <v>0</v>
      </c>
    </row>
    <row r="869" spans="1:10" ht="14.4">
      <c r="A869" s="84">
        <v>46520</v>
      </c>
      <c r="B869" s="85">
        <v>2027</v>
      </c>
      <c r="C869" s="85">
        <v>5</v>
      </c>
      <c r="D869" s="85" t="s">
        <v>65</v>
      </c>
      <c r="E869" s="85">
        <v>13</v>
      </c>
      <c r="F869" s="85">
        <v>4</v>
      </c>
      <c r="G869" s="85">
        <f>--(F869&lt;=Estimator!$B$7)</f>
        <v>1</v>
      </c>
      <c r="H869" s="86">
        <f>SUMIFS('Climate Data'!$G$7:$G$366,'Climate Data'!$A$7:$A$366,Estimator!$B$4,'Climate Data'!$B$7:$B$366,C869)</f>
        <v>0.23010752688172045</v>
      </c>
      <c r="I869" s="87">
        <f>SUMIFS('Climate Data'!$H$7:$H$366,'Climate Data'!$A$7:$A$366,Estimator!$B$4,'Climate Data'!$B$7:$B$366,C869)</f>
        <v>8.1448598130841123</v>
      </c>
      <c r="J869" s="86">
        <f>SUMIFS('Wind Proxy'!$H$8:$H$19,'Wind Proxy'!$A$8:$A$19,Estimator!$B$4,'Wind Proxy'!$B$8:$B$19,C869)</f>
        <v>0</v>
      </c>
    </row>
    <row r="870" spans="1:10" ht="14.4">
      <c r="A870" s="84">
        <v>46521</v>
      </c>
      <c r="B870" s="85">
        <v>2027</v>
      </c>
      <c r="C870" s="85">
        <v>5</v>
      </c>
      <c r="D870" s="85" t="s">
        <v>65</v>
      </c>
      <c r="E870" s="85">
        <v>14</v>
      </c>
      <c r="F870" s="85">
        <v>5</v>
      </c>
      <c r="G870" s="85">
        <f>--(F870&lt;=Estimator!$B$7)</f>
        <v>1</v>
      </c>
      <c r="H870" s="86">
        <f>SUMIFS('Climate Data'!$G$7:$G$366,'Climate Data'!$A$7:$A$366,Estimator!$B$4,'Climate Data'!$B$7:$B$366,C870)</f>
        <v>0.23010752688172045</v>
      </c>
      <c r="I870" s="87">
        <f>SUMIFS('Climate Data'!$H$7:$H$366,'Climate Data'!$A$7:$A$366,Estimator!$B$4,'Climate Data'!$B$7:$B$366,C870)</f>
        <v>8.1448598130841123</v>
      </c>
      <c r="J870" s="86">
        <f>SUMIFS('Wind Proxy'!$H$8:$H$19,'Wind Proxy'!$A$8:$A$19,Estimator!$B$4,'Wind Proxy'!$B$8:$B$19,C870)</f>
        <v>0</v>
      </c>
    </row>
    <row r="871" spans="1:10" ht="14.4">
      <c r="A871" s="84">
        <v>46522</v>
      </c>
      <c r="B871" s="85">
        <v>2027</v>
      </c>
      <c r="C871" s="85">
        <v>5</v>
      </c>
      <c r="D871" s="85" t="s">
        <v>65</v>
      </c>
      <c r="E871" s="85">
        <v>15</v>
      </c>
      <c r="F871" s="85">
        <v>6</v>
      </c>
      <c r="G871" s="85">
        <f>--(F871&lt;=Estimator!$B$7)</f>
        <v>0</v>
      </c>
      <c r="H871" s="86">
        <f>SUMIFS('Climate Data'!$G$7:$G$366,'Climate Data'!$A$7:$A$366,Estimator!$B$4,'Climate Data'!$B$7:$B$366,C871)</f>
        <v>0.23010752688172045</v>
      </c>
      <c r="I871" s="87">
        <f>SUMIFS('Climate Data'!$H$7:$H$366,'Climate Data'!$A$7:$A$366,Estimator!$B$4,'Climate Data'!$B$7:$B$366,C871)</f>
        <v>8.1448598130841123</v>
      </c>
      <c r="J871" s="86">
        <f>SUMIFS('Wind Proxy'!$H$8:$H$19,'Wind Proxy'!$A$8:$A$19,Estimator!$B$4,'Wind Proxy'!$B$8:$B$19,C871)</f>
        <v>0</v>
      </c>
    </row>
    <row r="872" spans="1:10" ht="14.4">
      <c r="A872" s="84">
        <v>46523</v>
      </c>
      <c r="B872" s="85">
        <v>2027</v>
      </c>
      <c r="C872" s="85">
        <v>5</v>
      </c>
      <c r="D872" s="85" t="s">
        <v>65</v>
      </c>
      <c r="E872" s="85">
        <v>16</v>
      </c>
      <c r="F872" s="85">
        <v>7</v>
      </c>
      <c r="G872" s="85">
        <f>--(F872&lt;=Estimator!$B$7)</f>
        <v>0</v>
      </c>
      <c r="H872" s="86">
        <f>SUMIFS('Climate Data'!$G$7:$G$366,'Climate Data'!$A$7:$A$366,Estimator!$B$4,'Climate Data'!$B$7:$B$366,C872)</f>
        <v>0.23010752688172045</v>
      </c>
      <c r="I872" s="87">
        <f>SUMIFS('Climate Data'!$H$7:$H$366,'Climate Data'!$A$7:$A$366,Estimator!$B$4,'Climate Data'!$B$7:$B$366,C872)</f>
        <v>8.1448598130841123</v>
      </c>
      <c r="J872" s="86">
        <f>SUMIFS('Wind Proxy'!$H$8:$H$19,'Wind Proxy'!$A$8:$A$19,Estimator!$B$4,'Wind Proxy'!$B$8:$B$19,C872)</f>
        <v>0</v>
      </c>
    </row>
    <row r="873" spans="1:10" ht="14.4">
      <c r="A873" s="84">
        <v>46524</v>
      </c>
      <c r="B873" s="85">
        <v>2027</v>
      </c>
      <c r="C873" s="85">
        <v>5</v>
      </c>
      <c r="D873" s="85" t="s">
        <v>65</v>
      </c>
      <c r="E873" s="85">
        <v>17</v>
      </c>
      <c r="F873" s="85">
        <v>1</v>
      </c>
      <c r="G873" s="85">
        <f>--(F873&lt;=Estimator!$B$7)</f>
        <v>1</v>
      </c>
      <c r="H873" s="86">
        <f>SUMIFS('Climate Data'!$G$7:$G$366,'Climate Data'!$A$7:$A$366,Estimator!$B$4,'Climate Data'!$B$7:$B$366,C873)</f>
        <v>0.23010752688172045</v>
      </c>
      <c r="I873" s="87">
        <f>SUMIFS('Climate Data'!$H$7:$H$366,'Climate Data'!$A$7:$A$366,Estimator!$B$4,'Climate Data'!$B$7:$B$366,C873)</f>
        <v>8.1448598130841123</v>
      </c>
      <c r="J873" s="86">
        <f>SUMIFS('Wind Proxy'!$H$8:$H$19,'Wind Proxy'!$A$8:$A$19,Estimator!$B$4,'Wind Proxy'!$B$8:$B$19,C873)</f>
        <v>0</v>
      </c>
    </row>
    <row r="874" spans="1:10" ht="14.4">
      <c r="A874" s="84">
        <v>46525</v>
      </c>
      <c r="B874" s="85">
        <v>2027</v>
      </c>
      <c r="C874" s="85">
        <v>5</v>
      </c>
      <c r="D874" s="85" t="s">
        <v>65</v>
      </c>
      <c r="E874" s="85">
        <v>18</v>
      </c>
      <c r="F874" s="85">
        <v>2</v>
      </c>
      <c r="G874" s="85">
        <f>--(F874&lt;=Estimator!$B$7)</f>
        <v>1</v>
      </c>
      <c r="H874" s="86">
        <f>SUMIFS('Climate Data'!$G$7:$G$366,'Climate Data'!$A$7:$A$366,Estimator!$B$4,'Climate Data'!$B$7:$B$366,C874)</f>
        <v>0.23010752688172045</v>
      </c>
      <c r="I874" s="87">
        <f>SUMIFS('Climate Data'!$H$7:$H$366,'Climate Data'!$A$7:$A$366,Estimator!$B$4,'Climate Data'!$B$7:$B$366,C874)</f>
        <v>8.1448598130841123</v>
      </c>
      <c r="J874" s="86">
        <f>SUMIFS('Wind Proxy'!$H$8:$H$19,'Wind Proxy'!$A$8:$A$19,Estimator!$B$4,'Wind Proxy'!$B$8:$B$19,C874)</f>
        <v>0</v>
      </c>
    </row>
    <row r="875" spans="1:10" ht="14.4">
      <c r="A875" s="84">
        <v>46526</v>
      </c>
      <c r="B875" s="85">
        <v>2027</v>
      </c>
      <c r="C875" s="85">
        <v>5</v>
      </c>
      <c r="D875" s="85" t="s">
        <v>65</v>
      </c>
      <c r="E875" s="85">
        <v>19</v>
      </c>
      <c r="F875" s="85">
        <v>3</v>
      </c>
      <c r="G875" s="85">
        <f>--(F875&lt;=Estimator!$B$7)</f>
        <v>1</v>
      </c>
      <c r="H875" s="86">
        <f>SUMIFS('Climate Data'!$G$7:$G$366,'Climate Data'!$A$7:$A$366,Estimator!$B$4,'Climate Data'!$B$7:$B$366,C875)</f>
        <v>0.23010752688172045</v>
      </c>
      <c r="I875" s="87">
        <f>SUMIFS('Climate Data'!$H$7:$H$366,'Climate Data'!$A$7:$A$366,Estimator!$B$4,'Climate Data'!$B$7:$B$366,C875)</f>
        <v>8.1448598130841123</v>
      </c>
      <c r="J875" s="86">
        <f>SUMIFS('Wind Proxy'!$H$8:$H$19,'Wind Proxy'!$A$8:$A$19,Estimator!$B$4,'Wind Proxy'!$B$8:$B$19,C875)</f>
        <v>0</v>
      </c>
    </row>
    <row r="876" spans="1:10" ht="14.4">
      <c r="A876" s="84">
        <v>46527</v>
      </c>
      <c r="B876" s="85">
        <v>2027</v>
      </c>
      <c r="C876" s="85">
        <v>5</v>
      </c>
      <c r="D876" s="85" t="s">
        <v>65</v>
      </c>
      <c r="E876" s="85">
        <v>20</v>
      </c>
      <c r="F876" s="85">
        <v>4</v>
      </c>
      <c r="G876" s="85">
        <f>--(F876&lt;=Estimator!$B$7)</f>
        <v>1</v>
      </c>
      <c r="H876" s="86">
        <f>SUMIFS('Climate Data'!$G$7:$G$366,'Climate Data'!$A$7:$A$366,Estimator!$B$4,'Climate Data'!$B$7:$B$366,C876)</f>
        <v>0.23010752688172045</v>
      </c>
      <c r="I876" s="87">
        <f>SUMIFS('Climate Data'!$H$7:$H$366,'Climate Data'!$A$7:$A$366,Estimator!$B$4,'Climate Data'!$B$7:$B$366,C876)</f>
        <v>8.1448598130841123</v>
      </c>
      <c r="J876" s="86">
        <f>SUMIFS('Wind Proxy'!$H$8:$H$19,'Wind Proxy'!$A$8:$A$19,Estimator!$B$4,'Wind Proxy'!$B$8:$B$19,C876)</f>
        <v>0</v>
      </c>
    </row>
    <row r="877" spans="1:10" ht="14.4">
      <c r="A877" s="84">
        <v>46528</v>
      </c>
      <c r="B877" s="85">
        <v>2027</v>
      </c>
      <c r="C877" s="85">
        <v>5</v>
      </c>
      <c r="D877" s="85" t="s">
        <v>65</v>
      </c>
      <c r="E877" s="85">
        <v>21</v>
      </c>
      <c r="F877" s="85">
        <v>5</v>
      </c>
      <c r="G877" s="85">
        <f>--(F877&lt;=Estimator!$B$7)</f>
        <v>1</v>
      </c>
      <c r="H877" s="86">
        <f>SUMIFS('Climate Data'!$G$7:$G$366,'Climate Data'!$A$7:$A$366,Estimator!$B$4,'Climate Data'!$B$7:$B$366,C877)</f>
        <v>0.23010752688172045</v>
      </c>
      <c r="I877" s="87">
        <f>SUMIFS('Climate Data'!$H$7:$H$366,'Climate Data'!$A$7:$A$366,Estimator!$B$4,'Climate Data'!$B$7:$B$366,C877)</f>
        <v>8.1448598130841123</v>
      </c>
      <c r="J877" s="86">
        <f>SUMIFS('Wind Proxy'!$H$8:$H$19,'Wind Proxy'!$A$8:$A$19,Estimator!$B$4,'Wind Proxy'!$B$8:$B$19,C877)</f>
        <v>0</v>
      </c>
    </row>
    <row r="878" spans="1:10" ht="14.4">
      <c r="A878" s="84">
        <v>46529</v>
      </c>
      <c r="B878" s="85">
        <v>2027</v>
      </c>
      <c r="C878" s="85">
        <v>5</v>
      </c>
      <c r="D878" s="85" t="s">
        <v>65</v>
      </c>
      <c r="E878" s="85">
        <v>22</v>
      </c>
      <c r="F878" s="85">
        <v>6</v>
      </c>
      <c r="G878" s="85">
        <f>--(F878&lt;=Estimator!$B$7)</f>
        <v>0</v>
      </c>
      <c r="H878" s="86">
        <f>SUMIFS('Climate Data'!$G$7:$G$366,'Climate Data'!$A$7:$A$366,Estimator!$B$4,'Climate Data'!$B$7:$B$366,C878)</f>
        <v>0.23010752688172045</v>
      </c>
      <c r="I878" s="87">
        <f>SUMIFS('Climate Data'!$H$7:$H$366,'Climate Data'!$A$7:$A$366,Estimator!$B$4,'Climate Data'!$B$7:$B$366,C878)</f>
        <v>8.1448598130841123</v>
      </c>
      <c r="J878" s="86">
        <f>SUMIFS('Wind Proxy'!$H$8:$H$19,'Wind Proxy'!$A$8:$A$19,Estimator!$B$4,'Wind Proxy'!$B$8:$B$19,C878)</f>
        <v>0</v>
      </c>
    </row>
    <row r="879" spans="1:10" ht="14.4">
      <c r="A879" s="84">
        <v>46530</v>
      </c>
      <c r="B879" s="85">
        <v>2027</v>
      </c>
      <c r="C879" s="85">
        <v>5</v>
      </c>
      <c r="D879" s="85" t="s">
        <v>65</v>
      </c>
      <c r="E879" s="85">
        <v>23</v>
      </c>
      <c r="F879" s="85">
        <v>7</v>
      </c>
      <c r="G879" s="85">
        <f>--(F879&lt;=Estimator!$B$7)</f>
        <v>0</v>
      </c>
      <c r="H879" s="86">
        <f>SUMIFS('Climate Data'!$G$7:$G$366,'Climate Data'!$A$7:$A$366,Estimator!$B$4,'Climate Data'!$B$7:$B$366,C879)</f>
        <v>0.23010752688172045</v>
      </c>
      <c r="I879" s="87">
        <f>SUMIFS('Climate Data'!$H$7:$H$366,'Climate Data'!$A$7:$A$366,Estimator!$B$4,'Climate Data'!$B$7:$B$366,C879)</f>
        <v>8.1448598130841123</v>
      </c>
      <c r="J879" s="86">
        <f>SUMIFS('Wind Proxy'!$H$8:$H$19,'Wind Proxy'!$A$8:$A$19,Estimator!$B$4,'Wind Proxy'!$B$8:$B$19,C879)</f>
        <v>0</v>
      </c>
    </row>
    <row r="880" spans="1:10" ht="14.4">
      <c r="A880" s="84">
        <v>46531</v>
      </c>
      <c r="B880" s="85">
        <v>2027</v>
      </c>
      <c r="C880" s="85">
        <v>5</v>
      </c>
      <c r="D880" s="85" t="s">
        <v>65</v>
      </c>
      <c r="E880" s="85">
        <v>24</v>
      </c>
      <c r="F880" s="85">
        <v>1</v>
      </c>
      <c r="G880" s="85">
        <f>--(F880&lt;=Estimator!$B$7)</f>
        <v>1</v>
      </c>
      <c r="H880" s="86">
        <f>SUMIFS('Climate Data'!$G$7:$G$366,'Climate Data'!$A$7:$A$366,Estimator!$B$4,'Climate Data'!$B$7:$B$366,C880)</f>
        <v>0.23010752688172045</v>
      </c>
      <c r="I880" s="87">
        <f>SUMIFS('Climate Data'!$H$7:$H$366,'Climate Data'!$A$7:$A$366,Estimator!$B$4,'Climate Data'!$B$7:$B$366,C880)</f>
        <v>8.1448598130841123</v>
      </c>
      <c r="J880" s="86">
        <f>SUMIFS('Wind Proxy'!$H$8:$H$19,'Wind Proxy'!$A$8:$A$19,Estimator!$B$4,'Wind Proxy'!$B$8:$B$19,C880)</f>
        <v>0</v>
      </c>
    </row>
    <row r="881" spans="1:10" ht="14.4">
      <c r="A881" s="84">
        <v>46532</v>
      </c>
      <c r="B881" s="85">
        <v>2027</v>
      </c>
      <c r="C881" s="85">
        <v>5</v>
      </c>
      <c r="D881" s="85" t="s">
        <v>65</v>
      </c>
      <c r="E881" s="85">
        <v>25</v>
      </c>
      <c r="F881" s="85">
        <v>2</v>
      </c>
      <c r="G881" s="85">
        <f>--(F881&lt;=Estimator!$B$7)</f>
        <v>1</v>
      </c>
      <c r="H881" s="86">
        <f>SUMIFS('Climate Data'!$G$7:$G$366,'Climate Data'!$A$7:$A$366,Estimator!$B$4,'Climate Data'!$B$7:$B$366,C881)</f>
        <v>0.23010752688172045</v>
      </c>
      <c r="I881" s="87">
        <f>SUMIFS('Climate Data'!$H$7:$H$366,'Climate Data'!$A$7:$A$366,Estimator!$B$4,'Climate Data'!$B$7:$B$366,C881)</f>
        <v>8.1448598130841123</v>
      </c>
      <c r="J881" s="86">
        <f>SUMIFS('Wind Proxy'!$H$8:$H$19,'Wind Proxy'!$A$8:$A$19,Estimator!$B$4,'Wind Proxy'!$B$8:$B$19,C881)</f>
        <v>0</v>
      </c>
    </row>
    <row r="882" spans="1:10" ht="14.4">
      <c r="A882" s="84">
        <v>46533</v>
      </c>
      <c r="B882" s="85">
        <v>2027</v>
      </c>
      <c r="C882" s="85">
        <v>5</v>
      </c>
      <c r="D882" s="85" t="s">
        <v>65</v>
      </c>
      <c r="E882" s="85">
        <v>26</v>
      </c>
      <c r="F882" s="85">
        <v>3</v>
      </c>
      <c r="G882" s="85">
        <f>--(F882&lt;=Estimator!$B$7)</f>
        <v>1</v>
      </c>
      <c r="H882" s="86">
        <f>SUMIFS('Climate Data'!$G$7:$G$366,'Climate Data'!$A$7:$A$366,Estimator!$B$4,'Climate Data'!$B$7:$B$366,C882)</f>
        <v>0.23010752688172045</v>
      </c>
      <c r="I882" s="87">
        <f>SUMIFS('Climate Data'!$H$7:$H$366,'Climate Data'!$A$7:$A$366,Estimator!$B$4,'Climate Data'!$B$7:$B$366,C882)</f>
        <v>8.1448598130841123</v>
      </c>
      <c r="J882" s="86">
        <f>SUMIFS('Wind Proxy'!$H$8:$H$19,'Wind Proxy'!$A$8:$A$19,Estimator!$B$4,'Wind Proxy'!$B$8:$B$19,C882)</f>
        <v>0</v>
      </c>
    </row>
    <row r="883" spans="1:10" ht="14.4">
      <c r="A883" s="84">
        <v>46534</v>
      </c>
      <c r="B883" s="85">
        <v>2027</v>
      </c>
      <c r="C883" s="85">
        <v>5</v>
      </c>
      <c r="D883" s="85" t="s">
        <v>65</v>
      </c>
      <c r="E883" s="85">
        <v>27</v>
      </c>
      <c r="F883" s="85">
        <v>4</v>
      </c>
      <c r="G883" s="85">
        <f>--(F883&lt;=Estimator!$B$7)</f>
        <v>1</v>
      </c>
      <c r="H883" s="86">
        <f>SUMIFS('Climate Data'!$G$7:$G$366,'Climate Data'!$A$7:$A$366,Estimator!$B$4,'Climate Data'!$B$7:$B$366,C883)</f>
        <v>0.23010752688172045</v>
      </c>
      <c r="I883" s="87">
        <f>SUMIFS('Climate Data'!$H$7:$H$366,'Climate Data'!$A$7:$A$366,Estimator!$B$4,'Climate Data'!$B$7:$B$366,C883)</f>
        <v>8.1448598130841123</v>
      </c>
      <c r="J883" s="86">
        <f>SUMIFS('Wind Proxy'!$H$8:$H$19,'Wind Proxy'!$A$8:$A$19,Estimator!$B$4,'Wind Proxy'!$B$8:$B$19,C883)</f>
        <v>0</v>
      </c>
    </row>
    <row r="884" spans="1:10" ht="14.4">
      <c r="A884" s="84">
        <v>46535</v>
      </c>
      <c r="B884" s="85">
        <v>2027</v>
      </c>
      <c r="C884" s="85">
        <v>5</v>
      </c>
      <c r="D884" s="85" t="s">
        <v>65</v>
      </c>
      <c r="E884" s="85">
        <v>28</v>
      </c>
      <c r="F884" s="85">
        <v>5</v>
      </c>
      <c r="G884" s="85">
        <f>--(F884&lt;=Estimator!$B$7)</f>
        <v>1</v>
      </c>
      <c r="H884" s="86">
        <f>SUMIFS('Climate Data'!$G$7:$G$366,'Climate Data'!$A$7:$A$366,Estimator!$B$4,'Climate Data'!$B$7:$B$366,C884)</f>
        <v>0.23010752688172045</v>
      </c>
      <c r="I884" s="87">
        <f>SUMIFS('Climate Data'!$H$7:$H$366,'Climate Data'!$A$7:$A$366,Estimator!$B$4,'Climate Data'!$B$7:$B$366,C884)</f>
        <v>8.1448598130841123</v>
      </c>
      <c r="J884" s="86">
        <f>SUMIFS('Wind Proxy'!$H$8:$H$19,'Wind Proxy'!$A$8:$A$19,Estimator!$B$4,'Wind Proxy'!$B$8:$B$19,C884)</f>
        <v>0</v>
      </c>
    </row>
    <row r="885" spans="1:10" ht="14.4">
      <c r="A885" s="84">
        <v>46536</v>
      </c>
      <c r="B885" s="85">
        <v>2027</v>
      </c>
      <c r="C885" s="85">
        <v>5</v>
      </c>
      <c r="D885" s="85" t="s">
        <v>65</v>
      </c>
      <c r="E885" s="85">
        <v>29</v>
      </c>
      <c r="F885" s="85">
        <v>6</v>
      </c>
      <c r="G885" s="85">
        <f>--(F885&lt;=Estimator!$B$7)</f>
        <v>0</v>
      </c>
      <c r="H885" s="86">
        <f>SUMIFS('Climate Data'!$G$7:$G$366,'Climate Data'!$A$7:$A$366,Estimator!$B$4,'Climate Data'!$B$7:$B$366,C885)</f>
        <v>0.23010752688172045</v>
      </c>
      <c r="I885" s="87">
        <f>SUMIFS('Climate Data'!$H$7:$H$366,'Climate Data'!$A$7:$A$366,Estimator!$B$4,'Climate Data'!$B$7:$B$366,C885)</f>
        <v>8.1448598130841123</v>
      </c>
      <c r="J885" s="86">
        <f>SUMIFS('Wind Proxy'!$H$8:$H$19,'Wind Proxy'!$A$8:$A$19,Estimator!$B$4,'Wind Proxy'!$B$8:$B$19,C885)</f>
        <v>0</v>
      </c>
    </row>
    <row r="886" spans="1:10" ht="14.4">
      <c r="A886" s="84">
        <v>46537</v>
      </c>
      <c r="B886" s="85">
        <v>2027</v>
      </c>
      <c r="C886" s="85">
        <v>5</v>
      </c>
      <c r="D886" s="85" t="s">
        <v>65</v>
      </c>
      <c r="E886" s="85">
        <v>30</v>
      </c>
      <c r="F886" s="85">
        <v>7</v>
      </c>
      <c r="G886" s="85">
        <f>--(F886&lt;=Estimator!$B$7)</f>
        <v>0</v>
      </c>
      <c r="H886" s="86">
        <f>SUMIFS('Climate Data'!$G$7:$G$366,'Climate Data'!$A$7:$A$366,Estimator!$B$4,'Climate Data'!$B$7:$B$366,C886)</f>
        <v>0.23010752688172045</v>
      </c>
      <c r="I886" s="87">
        <f>SUMIFS('Climate Data'!$H$7:$H$366,'Climate Data'!$A$7:$A$366,Estimator!$B$4,'Climate Data'!$B$7:$B$366,C886)</f>
        <v>8.1448598130841123</v>
      </c>
      <c r="J886" s="86">
        <f>SUMIFS('Wind Proxy'!$H$8:$H$19,'Wind Proxy'!$A$8:$A$19,Estimator!$B$4,'Wind Proxy'!$B$8:$B$19,C886)</f>
        <v>0</v>
      </c>
    </row>
    <row r="887" spans="1:10" ht="14.4">
      <c r="A887" s="84">
        <v>46538</v>
      </c>
      <c r="B887" s="85">
        <v>2027</v>
      </c>
      <c r="C887" s="85">
        <v>5</v>
      </c>
      <c r="D887" s="85" t="s">
        <v>65</v>
      </c>
      <c r="E887" s="85">
        <v>31</v>
      </c>
      <c r="F887" s="85">
        <v>1</v>
      </c>
      <c r="G887" s="85">
        <f>--(F887&lt;=Estimator!$B$7)</f>
        <v>1</v>
      </c>
      <c r="H887" s="86">
        <f>SUMIFS('Climate Data'!$G$7:$G$366,'Climate Data'!$A$7:$A$366,Estimator!$B$4,'Climate Data'!$B$7:$B$366,C887)</f>
        <v>0.23010752688172045</v>
      </c>
      <c r="I887" s="87">
        <f>SUMIFS('Climate Data'!$H$7:$H$366,'Climate Data'!$A$7:$A$366,Estimator!$B$4,'Climate Data'!$B$7:$B$366,C887)</f>
        <v>8.1448598130841123</v>
      </c>
      <c r="J887" s="86">
        <f>SUMIFS('Wind Proxy'!$H$8:$H$19,'Wind Proxy'!$A$8:$A$19,Estimator!$B$4,'Wind Proxy'!$B$8:$B$19,C887)</f>
        <v>0</v>
      </c>
    </row>
    <row r="888" spans="1:10" ht="14.4">
      <c r="A888" s="84">
        <v>46539</v>
      </c>
      <c r="B888" s="85">
        <v>2027</v>
      </c>
      <c r="C888" s="85">
        <v>6</v>
      </c>
      <c r="D888" s="85" t="s">
        <v>68</v>
      </c>
      <c r="E888" s="85">
        <v>1</v>
      </c>
      <c r="F888" s="85">
        <v>2</v>
      </c>
      <c r="G888" s="85">
        <f>--(F888&lt;=Estimator!$B$7)</f>
        <v>1</v>
      </c>
      <c r="H888" s="86">
        <f>SUMIFS('Climate Data'!$G$7:$G$366,'Climate Data'!$A$7:$A$366,Estimator!$B$4,'Climate Data'!$B$7:$B$366,C888)</f>
        <v>0.28666666666666668</v>
      </c>
      <c r="I888" s="87">
        <f>SUMIFS('Climate Data'!$H$7:$H$366,'Climate Data'!$A$7:$A$366,Estimator!$B$4,'Climate Data'!$B$7:$B$366,C888)</f>
        <v>7.941860465116279</v>
      </c>
      <c r="J888" s="86">
        <f>SUMIFS('Wind Proxy'!$H$8:$H$19,'Wind Proxy'!$A$8:$A$19,Estimator!$B$4,'Wind Proxy'!$B$8:$B$19,C888)</f>
        <v>0</v>
      </c>
    </row>
    <row r="889" spans="1:10" ht="14.4">
      <c r="A889" s="84">
        <v>46540</v>
      </c>
      <c r="B889" s="85">
        <v>2027</v>
      </c>
      <c r="C889" s="85">
        <v>6</v>
      </c>
      <c r="D889" s="85" t="s">
        <v>68</v>
      </c>
      <c r="E889" s="85">
        <v>2</v>
      </c>
      <c r="F889" s="85">
        <v>3</v>
      </c>
      <c r="G889" s="85">
        <f>--(F889&lt;=Estimator!$B$7)</f>
        <v>1</v>
      </c>
      <c r="H889" s="86">
        <f>SUMIFS('Climate Data'!$G$7:$G$366,'Climate Data'!$A$7:$A$366,Estimator!$B$4,'Climate Data'!$B$7:$B$366,C889)</f>
        <v>0.28666666666666668</v>
      </c>
      <c r="I889" s="87">
        <f>SUMIFS('Climate Data'!$H$7:$H$366,'Climate Data'!$A$7:$A$366,Estimator!$B$4,'Climate Data'!$B$7:$B$366,C889)</f>
        <v>7.941860465116279</v>
      </c>
      <c r="J889" s="86">
        <f>SUMIFS('Wind Proxy'!$H$8:$H$19,'Wind Proxy'!$A$8:$A$19,Estimator!$B$4,'Wind Proxy'!$B$8:$B$19,C889)</f>
        <v>0</v>
      </c>
    </row>
    <row r="890" spans="1:10" ht="14.4">
      <c r="A890" s="84">
        <v>46541</v>
      </c>
      <c r="B890" s="85">
        <v>2027</v>
      </c>
      <c r="C890" s="85">
        <v>6</v>
      </c>
      <c r="D890" s="85" t="s">
        <v>68</v>
      </c>
      <c r="E890" s="85">
        <v>3</v>
      </c>
      <c r="F890" s="85">
        <v>4</v>
      </c>
      <c r="G890" s="85">
        <f>--(F890&lt;=Estimator!$B$7)</f>
        <v>1</v>
      </c>
      <c r="H890" s="86">
        <f>SUMIFS('Climate Data'!$G$7:$G$366,'Climate Data'!$A$7:$A$366,Estimator!$B$4,'Climate Data'!$B$7:$B$366,C890)</f>
        <v>0.28666666666666668</v>
      </c>
      <c r="I890" s="87">
        <f>SUMIFS('Climate Data'!$H$7:$H$366,'Climate Data'!$A$7:$A$366,Estimator!$B$4,'Climate Data'!$B$7:$B$366,C890)</f>
        <v>7.941860465116279</v>
      </c>
      <c r="J890" s="86">
        <f>SUMIFS('Wind Proxy'!$H$8:$H$19,'Wind Proxy'!$A$8:$A$19,Estimator!$B$4,'Wind Proxy'!$B$8:$B$19,C890)</f>
        <v>0</v>
      </c>
    </row>
    <row r="891" spans="1:10" ht="14.4">
      <c r="A891" s="84">
        <v>46542</v>
      </c>
      <c r="B891" s="85">
        <v>2027</v>
      </c>
      <c r="C891" s="85">
        <v>6</v>
      </c>
      <c r="D891" s="85" t="s">
        <v>68</v>
      </c>
      <c r="E891" s="85">
        <v>4</v>
      </c>
      <c r="F891" s="85">
        <v>5</v>
      </c>
      <c r="G891" s="85">
        <f>--(F891&lt;=Estimator!$B$7)</f>
        <v>1</v>
      </c>
      <c r="H891" s="86">
        <f>SUMIFS('Climate Data'!$G$7:$G$366,'Climate Data'!$A$7:$A$366,Estimator!$B$4,'Climate Data'!$B$7:$B$366,C891)</f>
        <v>0.28666666666666668</v>
      </c>
      <c r="I891" s="87">
        <f>SUMIFS('Climate Data'!$H$7:$H$366,'Climate Data'!$A$7:$A$366,Estimator!$B$4,'Climate Data'!$B$7:$B$366,C891)</f>
        <v>7.941860465116279</v>
      </c>
      <c r="J891" s="86">
        <f>SUMIFS('Wind Proxy'!$H$8:$H$19,'Wind Proxy'!$A$8:$A$19,Estimator!$B$4,'Wind Proxy'!$B$8:$B$19,C891)</f>
        <v>0</v>
      </c>
    </row>
    <row r="892" spans="1:10" ht="14.4">
      <c r="A892" s="84">
        <v>46543</v>
      </c>
      <c r="B892" s="85">
        <v>2027</v>
      </c>
      <c r="C892" s="85">
        <v>6</v>
      </c>
      <c r="D892" s="85" t="s">
        <v>68</v>
      </c>
      <c r="E892" s="85">
        <v>5</v>
      </c>
      <c r="F892" s="85">
        <v>6</v>
      </c>
      <c r="G892" s="85">
        <f>--(F892&lt;=Estimator!$B$7)</f>
        <v>0</v>
      </c>
      <c r="H892" s="86">
        <f>SUMIFS('Climate Data'!$G$7:$G$366,'Climate Data'!$A$7:$A$366,Estimator!$B$4,'Climate Data'!$B$7:$B$366,C892)</f>
        <v>0.28666666666666668</v>
      </c>
      <c r="I892" s="87">
        <f>SUMIFS('Climate Data'!$H$7:$H$366,'Climate Data'!$A$7:$A$366,Estimator!$B$4,'Climate Data'!$B$7:$B$366,C892)</f>
        <v>7.941860465116279</v>
      </c>
      <c r="J892" s="86">
        <f>SUMIFS('Wind Proxy'!$H$8:$H$19,'Wind Proxy'!$A$8:$A$19,Estimator!$B$4,'Wind Proxy'!$B$8:$B$19,C892)</f>
        <v>0</v>
      </c>
    </row>
    <row r="893" spans="1:10" ht="14.4">
      <c r="A893" s="84">
        <v>46544</v>
      </c>
      <c r="B893" s="85">
        <v>2027</v>
      </c>
      <c r="C893" s="85">
        <v>6</v>
      </c>
      <c r="D893" s="85" t="s">
        <v>68</v>
      </c>
      <c r="E893" s="85">
        <v>6</v>
      </c>
      <c r="F893" s="85">
        <v>7</v>
      </c>
      <c r="G893" s="85">
        <f>--(F893&lt;=Estimator!$B$7)</f>
        <v>0</v>
      </c>
      <c r="H893" s="86">
        <f>SUMIFS('Climate Data'!$G$7:$G$366,'Climate Data'!$A$7:$A$366,Estimator!$B$4,'Climate Data'!$B$7:$B$366,C893)</f>
        <v>0.28666666666666668</v>
      </c>
      <c r="I893" s="87">
        <f>SUMIFS('Climate Data'!$H$7:$H$366,'Climate Data'!$A$7:$A$366,Estimator!$B$4,'Climate Data'!$B$7:$B$366,C893)</f>
        <v>7.941860465116279</v>
      </c>
      <c r="J893" s="86">
        <f>SUMIFS('Wind Proxy'!$H$8:$H$19,'Wind Proxy'!$A$8:$A$19,Estimator!$B$4,'Wind Proxy'!$B$8:$B$19,C893)</f>
        <v>0</v>
      </c>
    </row>
    <row r="894" spans="1:10" ht="14.4">
      <c r="A894" s="84">
        <v>46545</v>
      </c>
      <c r="B894" s="85">
        <v>2027</v>
      </c>
      <c r="C894" s="85">
        <v>6</v>
      </c>
      <c r="D894" s="85" t="s">
        <v>68</v>
      </c>
      <c r="E894" s="85">
        <v>7</v>
      </c>
      <c r="F894" s="85">
        <v>1</v>
      </c>
      <c r="G894" s="85">
        <f>--(F894&lt;=Estimator!$B$7)</f>
        <v>1</v>
      </c>
      <c r="H894" s="86">
        <f>SUMIFS('Climate Data'!$G$7:$G$366,'Climate Data'!$A$7:$A$366,Estimator!$B$4,'Climate Data'!$B$7:$B$366,C894)</f>
        <v>0.28666666666666668</v>
      </c>
      <c r="I894" s="87">
        <f>SUMIFS('Climate Data'!$H$7:$H$366,'Climate Data'!$A$7:$A$366,Estimator!$B$4,'Climate Data'!$B$7:$B$366,C894)</f>
        <v>7.941860465116279</v>
      </c>
      <c r="J894" s="86">
        <f>SUMIFS('Wind Proxy'!$H$8:$H$19,'Wind Proxy'!$A$8:$A$19,Estimator!$B$4,'Wind Proxy'!$B$8:$B$19,C894)</f>
        <v>0</v>
      </c>
    </row>
    <row r="895" spans="1:10" ht="14.4">
      <c r="A895" s="84">
        <v>46546</v>
      </c>
      <c r="B895" s="85">
        <v>2027</v>
      </c>
      <c r="C895" s="85">
        <v>6</v>
      </c>
      <c r="D895" s="85" t="s">
        <v>68</v>
      </c>
      <c r="E895" s="85">
        <v>8</v>
      </c>
      <c r="F895" s="85">
        <v>2</v>
      </c>
      <c r="G895" s="85">
        <f>--(F895&lt;=Estimator!$B$7)</f>
        <v>1</v>
      </c>
      <c r="H895" s="86">
        <f>SUMIFS('Climate Data'!$G$7:$G$366,'Climate Data'!$A$7:$A$366,Estimator!$B$4,'Climate Data'!$B$7:$B$366,C895)</f>
        <v>0.28666666666666668</v>
      </c>
      <c r="I895" s="87">
        <f>SUMIFS('Climate Data'!$H$7:$H$366,'Climate Data'!$A$7:$A$366,Estimator!$B$4,'Climate Data'!$B$7:$B$366,C895)</f>
        <v>7.941860465116279</v>
      </c>
      <c r="J895" s="86">
        <f>SUMIFS('Wind Proxy'!$H$8:$H$19,'Wind Proxy'!$A$8:$A$19,Estimator!$B$4,'Wind Proxy'!$B$8:$B$19,C895)</f>
        <v>0</v>
      </c>
    </row>
    <row r="896" spans="1:10" ht="14.4">
      <c r="A896" s="84">
        <v>46547</v>
      </c>
      <c r="B896" s="85">
        <v>2027</v>
      </c>
      <c r="C896" s="85">
        <v>6</v>
      </c>
      <c r="D896" s="85" t="s">
        <v>68</v>
      </c>
      <c r="E896" s="85">
        <v>9</v>
      </c>
      <c r="F896" s="85">
        <v>3</v>
      </c>
      <c r="G896" s="85">
        <f>--(F896&lt;=Estimator!$B$7)</f>
        <v>1</v>
      </c>
      <c r="H896" s="86">
        <f>SUMIFS('Climate Data'!$G$7:$G$366,'Climate Data'!$A$7:$A$366,Estimator!$B$4,'Climate Data'!$B$7:$B$366,C896)</f>
        <v>0.28666666666666668</v>
      </c>
      <c r="I896" s="87">
        <f>SUMIFS('Climate Data'!$H$7:$H$366,'Climate Data'!$A$7:$A$366,Estimator!$B$4,'Climate Data'!$B$7:$B$366,C896)</f>
        <v>7.941860465116279</v>
      </c>
      <c r="J896" s="86">
        <f>SUMIFS('Wind Proxy'!$H$8:$H$19,'Wind Proxy'!$A$8:$A$19,Estimator!$B$4,'Wind Proxy'!$B$8:$B$19,C896)</f>
        <v>0</v>
      </c>
    </row>
    <row r="897" spans="1:10" ht="14.4">
      <c r="A897" s="84">
        <v>46548</v>
      </c>
      <c r="B897" s="85">
        <v>2027</v>
      </c>
      <c r="C897" s="85">
        <v>6</v>
      </c>
      <c r="D897" s="85" t="s">
        <v>68</v>
      </c>
      <c r="E897" s="85">
        <v>10</v>
      </c>
      <c r="F897" s="85">
        <v>4</v>
      </c>
      <c r="G897" s="85">
        <f>--(F897&lt;=Estimator!$B$7)</f>
        <v>1</v>
      </c>
      <c r="H897" s="86">
        <f>SUMIFS('Climate Data'!$G$7:$G$366,'Climate Data'!$A$7:$A$366,Estimator!$B$4,'Climate Data'!$B$7:$B$366,C897)</f>
        <v>0.28666666666666668</v>
      </c>
      <c r="I897" s="87">
        <f>SUMIFS('Climate Data'!$H$7:$H$366,'Climate Data'!$A$7:$A$366,Estimator!$B$4,'Climate Data'!$B$7:$B$366,C897)</f>
        <v>7.941860465116279</v>
      </c>
      <c r="J897" s="86">
        <f>SUMIFS('Wind Proxy'!$H$8:$H$19,'Wind Proxy'!$A$8:$A$19,Estimator!$B$4,'Wind Proxy'!$B$8:$B$19,C897)</f>
        <v>0</v>
      </c>
    </row>
    <row r="898" spans="1:10" ht="14.4">
      <c r="A898" s="84">
        <v>46549</v>
      </c>
      <c r="B898" s="85">
        <v>2027</v>
      </c>
      <c r="C898" s="85">
        <v>6</v>
      </c>
      <c r="D898" s="85" t="s">
        <v>68</v>
      </c>
      <c r="E898" s="85">
        <v>11</v>
      </c>
      <c r="F898" s="85">
        <v>5</v>
      </c>
      <c r="G898" s="85">
        <f>--(F898&lt;=Estimator!$B$7)</f>
        <v>1</v>
      </c>
      <c r="H898" s="86">
        <f>SUMIFS('Climate Data'!$G$7:$G$366,'Climate Data'!$A$7:$A$366,Estimator!$B$4,'Climate Data'!$B$7:$B$366,C898)</f>
        <v>0.28666666666666668</v>
      </c>
      <c r="I898" s="87">
        <f>SUMIFS('Climate Data'!$H$7:$H$366,'Climate Data'!$A$7:$A$366,Estimator!$B$4,'Climate Data'!$B$7:$B$366,C898)</f>
        <v>7.941860465116279</v>
      </c>
      <c r="J898" s="86">
        <f>SUMIFS('Wind Proxy'!$H$8:$H$19,'Wind Proxy'!$A$8:$A$19,Estimator!$B$4,'Wind Proxy'!$B$8:$B$19,C898)</f>
        <v>0</v>
      </c>
    </row>
    <row r="899" spans="1:10" ht="14.4">
      <c r="A899" s="84">
        <v>46550</v>
      </c>
      <c r="B899" s="85">
        <v>2027</v>
      </c>
      <c r="C899" s="85">
        <v>6</v>
      </c>
      <c r="D899" s="85" t="s">
        <v>68</v>
      </c>
      <c r="E899" s="85">
        <v>12</v>
      </c>
      <c r="F899" s="85">
        <v>6</v>
      </c>
      <c r="G899" s="85">
        <f>--(F899&lt;=Estimator!$B$7)</f>
        <v>0</v>
      </c>
      <c r="H899" s="86">
        <f>SUMIFS('Climate Data'!$G$7:$G$366,'Climate Data'!$A$7:$A$366,Estimator!$B$4,'Climate Data'!$B$7:$B$366,C899)</f>
        <v>0.28666666666666668</v>
      </c>
      <c r="I899" s="87">
        <f>SUMIFS('Climate Data'!$H$7:$H$366,'Climate Data'!$A$7:$A$366,Estimator!$B$4,'Climate Data'!$B$7:$B$366,C899)</f>
        <v>7.941860465116279</v>
      </c>
      <c r="J899" s="86">
        <f>SUMIFS('Wind Proxy'!$H$8:$H$19,'Wind Proxy'!$A$8:$A$19,Estimator!$B$4,'Wind Proxy'!$B$8:$B$19,C899)</f>
        <v>0</v>
      </c>
    </row>
    <row r="900" spans="1:10" ht="14.4">
      <c r="A900" s="84">
        <v>46551</v>
      </c>
      <c r="B900" s="85">
        <v>2027</v>
      </c>
      <c r="C900" s="85">
        <v>6</v>
      </c>
      <c r="D900" s="85" t="s">
        <v>68</v>
      </c>
      <c r="E900" s="85">
        <v>13</v>
      </c>
      <c r="F900" s="85">
        <v>7</v>
      </c>
      <c r="G900" s="85">
        <f>--(F900&lt;=Estimator!$B$7)</f>
        <v>0</v>
      </c>
      <c r="H900" s="86">
        <f>SUMIFS('Climate Data'!$G$7:$G$366,'Climate Data'!$A$7:$A$366,Estimator!$B$4,'Climate Data'!$B$7:$B$366,C900)</f>
        <v>0.28666666666666668</v>
      </c>
      <c r="I900" s="87">
        <f>SUMIFS('Climate Data'!$H$7:$H$366,'Climate Data'!$A$7:$A$366,Estimator!$B$4,'Climate Data'!$B$7:$B$366,C900)</f>
        <v>7.941860465116279</v>
      </c>
      <c r="J900" s="86">
        <f>SUMIFS('Wind Proxy'!$H$8:$H$19,'Wind Proxy'!$A$8:$A$19,Estimator!$B$4,'Wind Proxy'!$B$8:$B$19,C900)</f>
        <v>0</v>
      </c>
    </row>
    <row r="901" spans="1:10" ht="14.4">
      <c r="A901" s="84">
        <v>46552</v>
      </c>
      <c r="B901" s="85">
        <v>2027</v>
      </c>
      <c r="C901" s="85">
        <v>6</v>
      </c>
      <c r="D901" s="85" t="s">
        <v>68</v>
      </c>
      <c r="E901" s="85">
        <v>14</v>
      </c>
      <c r="F901" s="85">
        <v>1</v>
      </c>
      <c r="G901" s="85">
        <f>--(F901&lt;=Estimator!$B$7)</f>
        <v>1</v>
      </c>
      <c r="H901" s="86">
        <f>SUMIFS('Climate Data'!$G$7:$G$366,'Climate Data'!$A$7:$A$366,Estimator!$B$4,'Climate Data'!$B$7:$B$366,C901)</f>
        <v>0.28666666666666668</v>
      </c>
      <c r="I901" s="87">
        <f>SUMIFS('Climate Data'!$H$7:$H$366,'Climate Data'!$A$7:$A$366,Estimator!$B$4,'Climate Data'!$B$7:$B$366,C901)</f>
        <v>7.941860465116279</v>
      </c>
      <c r="J901" s="86">
        <f>SUMIFS('Wind Proxy'!$H$8:$H$19,'Wind Proxy'!$A$8:$A$19,Estimator!$B$4,'Wind Proxy'!$B$8:$B$19,C901)</f>
        <v>0</v>
      </c>
    </row>
    <row r="902" spans="1:10" ht="14.4">
      <c r="A902" s="84">
        <v>46553</v>
      </c>
      <c r="B902" s="85">
        <v>2027</v>
      </c>
      <c r="C902" s="85">
        <v>6</v>
      </c>
      <c r="D902" s="85" t="s">
        <v>68</v>
      </c>
      <c r="E902" s="85">
        <v>15</v>
      </c>
      <c r="F902" s="85">
        <v>2</v>
      </c>
      <c r="G902" s="85">
        <f>--(F902&lt;=Estimator!$B$7)</f>
        <v>1</v>
      </c>
      <c r="H902" s="86">
        <f>SUMIFS('Climate Data'!$G$7:$G$366,'Climate Data'!$A$7:$A$366,Estimator!$B$4,'Climate Data'!$B$7:$B$366,C902)</f>
        <v>0.28666666666666668</v>
      </c>
      <c r="I902" s="87">
        <f>SUMIFS('Climate Data'!$H$7:$H$366,'Climate Data'!$A$7:$A$366,Estimator!$B$4,'Climate Data'!$B$7:$B$366,C902)</f>
        <v>7.941860465116279</v>
      </c>
      <c r="J902" s="86">
        <f>SUMIFS('Wind Proxy'!$H$8:$H$19,'Wind Proxy'!$A$8:$A$19,Estimator!$B$4,'Wind Proxy'!$B$8:$B$19,C902)</f>
        <v>0</v>
      </c>
    </row>
    <row r="903" spans="1:10" ht="14.4">
      <c r="A903" s="84">
        <v>46554</v>
      </c>
      <c r="B903" s="85">
        <v>2027</v>
      </c>
      <c r="C903" s="85">
        <v>6</v>
      </c>
      <c r="D903" s="85" t="s">
        <v>68</v>
      </c>
      <c r="E903" s="85">
        <v>16</v>
      </c>
      <c r="F903" s="85">
        <v>3</v>
      </c>
      <c r="G903" s="85">
        <f>--(F903&lt;=Estimator!$B$7)</f>
        <v>1</v>
      </c>
      <c r="H903" s="86">
        <f>SUMIFS('Climate Data'!$G$7:$G$366,'Climate Data'!$A$7:$A$366,Estimator!$B$4,'Climate Data'!$B$7:$B$366,C903)</f>
        <v>0.28666666666666668</v>
      </c>
      <c r="I903" s="87">
        <f>SUMIFS('Climate Data'!$H$7:$H$366,'Climate Data'!$A$7:$A$366,Estimator!$B$4,'Climate Data'!$B$7:$B$366,C903)</f>
        <v>7.941860465116279</v>
      </c>
      <c r="J903" s="86">
        <f>SUMIFS('Wind Proxy'!$H$8:$H$19,'Wind Proxy'!$A$8:$A$19,Estimator!$B$4,'Wind Proxy'!$B$8:$B$19,C903)</f>
        <v>0</v>
      </c>
    </row>
    <row r="904" spans="1:10" ht="14.4">
      <c r="A904" s="84">
        <v>46555</v>
      </c>
      <c r="B904" s="85">
        <v>2027</v>
      </c>
      <c r="C904" s="85">
        <v>6</v>
      </c>
      <c r="D904" s="85" t="s">
        <v>68</v>
      </c>
      <c r="E904" s="85">
        <v>17</v>
      </c>
      <c r="F904" s="85">
        <v>4</v>
      </c>
      <c r="G904" s="85">
        <f>--(F904&lt;=Estimator!$B$7)</f>
        <v>1</v>
      </c>
      <c r="H904" s="86">
        <f>SUMIFS('Climate Data'!$G$7:$G$366,'Climate Data'!$A$7:$A$366,Estimator!$B$4,'Climate Data'!$B$7:$B$366,C904)</f>
        <v>0.28666666666666668</v>
      </c>
      <c r="I904" s="87">
        <f>SUMIFS('Climate Data'!$H$7:$H$366,'Climate Data'!$A$7:$A$366,Estimator!$B$4,'Climate Data'!$B$7:$B$366,C904)</f>
        <v>7.941860465116279</v>
      </c>
      <c r="J904" s="86">
        <f>SUMIFS('Wind Proxy'!$H$8:$H$19,'Wind Proxy'!$A$8:$A$19,Estimator!$B$4,'Wind Proxy'!$B$8:$B$19,C904)</f>
        <v>0</v>
      </c>
    </row>
    <row r="905" spans="1:10" ht="14.4">
      <c r="A905" s="84">
        <v>46556</v>
      </c>
      <c r="B905" s="85">
        <v>2027</v>
      </c>
      <c r="C905" s="85">
        <v>6</v>
      </c>
      <c r="D905" s="85" t="s">
        <v>68</v>
      </c>
      <c r="E905" s="85">
        <v>18</v>
      </c>
      <c r="F905" s="85">
        <v>5</v>
      </c>
      <c r="G905" s="85">
        <f>--(F905&lt;=Estimator!$B$7)</f>
        <v>1</v>
      </c>
      <c r="H905" s="86">
        <f>SUMIFS('Climate Data'!$G$7:$G$366,'Climate Data'!$A$7:$A$366,Estimator!$B$4,'Climate Data'!$B$7:$B$366,C905)</f>
        <v>0.28666666666666668</v>
      </c>
      <c r="I905" s="87">
        <f>SUMIFS('Climate Data'!$H$7:$H$366,'Climate Data'!$A$7:$A$366,Estimator!$B$4,'Climate Data'!$B$7:$B$366,C905)</f>
        <v>7.941860465116279</v>
      </c>
      <c r="J905" s="86">
        <f>SUMIFS('Wind Proxy'!$H$8:$H$19,'Wind Proxy'!$A$8:$A$19,Estimator!$B$4,'Wind Proxy'!$B$8:$B$19,C905)</f>
        <v>0</v>
      </c>
    </row>
    <row r="906" spans="1:10" ht="14.4">
      <c r="A906" s="84">
        <v>46557</v>
      </c>
      <c r="B906" s="85">
        <v>2027</v>
      </c>
      <c r="C906" s="85">
        <v>6</v>
      </c>
      <c r="D906" s="85" t="s">
        <v>68</v>
      </c>
      <c r="E906" s="85">
        <v>19</v>
      </c>
      <c r="F906" s="85">
        <v>6</v>
      </c>
      <c r="G906" s="85">
        <f>--(F906&lt;=Estimator!$B$7)</f>
        <v>0</v>
      </c>
      <c r="H906" s="86">
        <f>SUMIFS('Climate Data'!$G$7:$G$366,'Climate Data'!$A$7:$A$366,Estimator!$B$4,'Climate Data'!$B$7:$B$366,C906)</f>
        <v>0.28666666666666668</v>
      </c>
      <c r="I906" s="87">
        <f>SUMIFS('Climate Data'!$H$7:$H$366,'Climate Data'!$A$7:$A$366,Estimator!$B$4,'Climate Data'!$B$7:$B$366,C906)</f>
        <v>7.941860465116279</v>
      </c>
      <c r="J906" s="86">
        <f>SUMIFS('Wind Proxy'!$H$8:$H$19,'Wind Proxy'!$A$8:$A$19,Estimator!$B$4,'Wind Proxy'!$B$8:$B$19,C906)</f>
        <v>0</v>
      </c>
    </row>
    <row r="907" spans="1:10" ht="14.4">
      <c r="A907" s="84">
        <v>46558</v>
      </c>
      <c r="B907" s="85">
        <v>2027</v>
      </c>
      <c r="C907" s="85">
        <v>6</v>
      </c>
      <c r="D907" s="85" t="s">
        <v>68</v>
      </c>
      <c r="E907" s="85">
        <v>20</v>
      </c>
      <c r="F907" s="85">
        <v>7</v>
      </c>
      <c r="G907" s="85">
        <f>--(F907&lt;=Estimator!$B$7)</f>
        <v>0</v>
      </c>
      <c r="H907" s="86">
        <f>SUMIFS('Climate Data'!$G$7:$G$366,'Climate Data'!$A$7:$A$366,Estimator!$B$4,'Climate Data'!$B$7:$B$366,C907)</f>
        <v>0.28666666666666668</v>
      </c>
      <c r="I907" s="87">
        <f>SUMIFS('Climate Data'!$H$7:$H$366,'Climate Data'!$A$7:$A$366,Estimator!$B$4,'Climate Data'!$B$7:$B$366,C907)</f>
        <v>7.941860465116279</v>
      </c>
      <c r="J907" s="86">
        <f>SUMIFS('Wind Proxy'!$H$8:$H$19,'Wind Proxy'!$A$8:$A$19,Estimator!$B$4,'Wind Proxy'!$B$8:$B$19,C907)</f>
        <v>0</v>
      </c>
    </row>
    <row r="908" spans="1:10" ht="14.4">
      <c r="A908" s="84">
        <v>46559</v>
      </c>
      <c r="B908" s="85">
        <v>2027</v>
      </c>
      <c r="C908" s="85">
        <v>6</v>
      </c>
      <c r="D908" s="85" t="s">
        <v>68</v>
      </c>
      <c r="E908" s="85">
        <v>21</v>
      </c>
      <c r="F908" s="85">
        <v>1</v>
      </c>
      <c r="G908" s="85">
        <f>--(F908&lt;=Estimator!$B$7)</f>
        <v>1</v>
      </c>
      <c r="H908" s="86">
        <f>SUMIFS('Climate Data'!$G$7:$G$366,'Climate Data'!$A$7:$A$366,Estimator!$B$4,'Climate Data'!$B$7:$B$366,C908)</f>
        <v>0.28666666666666668</v>
      </c>
      <c r="I908" s="87">
        <f>SUMIFS('Climate Data'!$H$7:$H$366,'Climate Data'!$A$7:$A$366,Estimator!$B$4,'Climate Data'!$B$7:$B$366,C908)</f>
        <v>7.941860465116279</v>
      </c>
      <c r="J908" s="86">
        <f>SUMIFS('Wind Proxy'!$H$8:$H$19,'Wind Proxy'!$A$8:$A$19,Estimator!$B$4,'Wind Proxy'!$B$8:$B$19,C908)</f>
        <v>0</v>
      </c>
    </row>
    <row r="909" spans="1:10" ht="14.4">
      <c r="A909" s="84">
        <v>46560</v>
      </c>
      <c r="B909" s="85">
        <v>2027</v>
      </c>
      <c r="C909" s="85">
        <v>6</v>
      </c>
      <c r="D909" s="85" t="s">
        <v>68</v>
      </c>
      <c r="E909" s="85">
        <v>22</v>
      </c>
      <c r="F909" s="85">
        <v>2</v>
      </c>
      <c r="G909" s="85">
        <f>--(F909&lt;=Estimator!$B$7)</f>
        <v>1</v>
      </c>
      <c r="H909" s="86">
        <f>SUMIFS('Climate Data'!$G$7:$G$366,'Climate Data'!$A$7:$A$366,Estimator!$B$4,'Climate Data'!$B$7:$B$366,C909)</f>
        <v>0.28666666666666668</v>
      </c>
      <c r="I909" s="87">
        <f>SUMIFS('Climate Data'!$H$7:$H$366,'Climate Data'!$A$7:$A$366,Estimator!$B$4,'Climate Data'!$B$7:$B$366,C909)</f>
        <v>7.941860465116279</v>
      </c>
      <c r="J909" s="86">
        <f>SUMIFS('Wind Proxy'!$H$8:$H$19,'Wind Proxy'!$A$8:$A$19,Estimator!$B$4,'Wind Proxy'!$B$8:$B$19,C909)</f>
        <v>0</v>
      </c>
    </row>
    <row r="910" spans="1:10" ht="14.4">
      <c r="A910" s="84">
        <v>46561</v>
      </c>
      <c r="B910" s="85">
        <v>2027</v>
      </c>
      <c r="C910" s="85">
        <v>6</v>
      </c>
      <c r="D910" s="85" t="s">
        <v>68</v>
      </c>
      <c r="E910" s="85">
        <v>23</v>
      </c>
      <c r="F910" s="85">
        <v>3</v>
      </c>
      <c r="G910" s="85">
        <f>--(F910&lt;=Estimator!$B$7)</f>
        <v>1</v>
      </c>
      <c r="H910" s="86">
        <f>SUMIFS('Climate Data'!$G$7:$G$366,'Climate Data'!$A$7:$A$366,Estimator!$B$4,'Climate Data'!$B$7:$B$366,C910)</f>
        <v>0.28666666666666668</v>
      </c>
      <c r="I910" s="87">
        <f>SUMIFS('Climate Data'!$H$7:$H$366,'Climate Data'!$A$7:$A$366,Estimator!$B$4,'Climate Data'!$B$7:$B$366,C910)</f>
        <v>7.941860465116279</v>
      </c>
      <c r="J910" s="86">
        <f>SUMIFS('Wind Proxy'!$H$8:$H$19,'Wind Proxy'!$A$8:$A$19,Estimator!$B$4,'Wind Proxy'!$B$8:$B$19,C910)</f>
        <v>0</v>
      </c>
    </row>
    <row r="911" spans="1:10" ht="14.4">
      <c r="A911" s="84">
        <v>46562</v>
      </c>
      <c r="B911" s="85">
        <v>2027</v>
      </c>
      <c r="C911" s="85">
        <v>6</v>
      </c>
      <c r="D911" s="85" t="s">
        <v>68</v>
      </c>
      <c r="E911" s="85">
        <v>24</v>
      </c>
      <c r="F911" s="85">
        <v>4</v>
      </c>
      <c r="G911" s="85">
        <f>--(F911&lt;=Estimator!$B$7)</f>
        <v>1</v>
      </c>
      <c r="H911" s="86">
        <f>SUMIFS('Climate Data'!$G$7:$G$366,'Climate Data'!$A$7:$A$366,Estimator!$B$4,'Climate Data'!$B$7:$B$366,C911)</f>
        <v>0.28666666666666668</v>
      </c>
      <c r="I911" s="87">
        <f>SUMIFS('Climate Data'!$H$7:$H$366,'Climate Data'!$A$7:$A$366,Estimator!$B$4,'Climate Data'!$B$7:$B$366,C911)</f>
        <v>7.941860465116279</v>
      </c>
      <c r="J911" s="86">
        <f>SUMIFS('Wind Proxy'!$H$8:$H$19,'Wind Proxy'!$A$8:$A$19,Estimator!$B$4,'Wind Proxy'!$B$8:$B$19,C911)</f>
        <v>0</v>
      </c>
    </row>
    <row r="912" spans="1:10" ht="14.4">
      <c r="A912" s="84">
        <v>46563</v>
      </c>
      <c r="B912" s="85">
        <v>2027</v>
      </c>
      <c r="C912" s="85">
        <v>6</v>
      </c>
      <c r="D912" s="85" t="s">
        <v>68</v>
      </c>
      <c r="E912" s="85">
        <v>25</v>
      </c>
      <c r="F912" s="85">
        <v>5</v>
      </c>
      <c r="G912" s="85">
        <f>--(F912&lt;=Estimator!$B$7)</f>
        <v>1</v>
      </c>
      <c r="H912" s="86">
        <f>SUMIFS('Climate Data'!$G$7:$G$366,'Climate Data'!$A$7:$A$366,Estimator!$B$4,'Climate Data'!$B$7:$B$366,C912)</f>
        <v>0.28666666666666668</v>
      </c>
      <c r="I912" s="87">
        <f>SUMIFS('Climate Data'!$H$7:$H$366,'Climate Data'!$A$7:$A$366,Estimator!$B$4,'Climate Data'!$B$7:$B$366,C912)</f>
        <v>7.941860465116279</v>
      </c>
      <c r="J912" s="86">
        <f>SUMIFS('Wind Proxy'!$H$8:$H$19,'Wind Proxy'!$A$8:$A$19,Estimator!$B$4,'Wind Proxy'!$B$8:$B$19,C912)</f>
        <v>0</v>
      </c>
    </row>
    <row r="913" spans="1:10" ht="14.4">
      <c r="A913" s="84">
        <v>46564</v>
      </c>
      <c r="B913" s="85">
        <v>2027</v>
      </c>
      <c r="C913" s="85">
        <v>6</v>
      </c>
      <c r="D913" s="85" t="s">
        <v>68</v>
      </c>
      <c r="E913" s="85">
        <v>26</v>
      </c>
      <c r="F913" s="85">
        <v>6</v>
      </c>
      <c r="G913" s="85">
        <f>--(F913&lt;=Estimator!$B$7)</f>
        <v>0</v>
      </c>
      <c r="H913" s="86">
        <f>SUMIFS('Climate Data'!$G$7:$G$366,'Climate Data'!$A$7:$A$366,Estimator!$B$4,'Climate Data'!$B$7:$B$366,C913)</f>
        <v>0.28666666666666668</v>
      </c>
      <c r="I913" s="87">
        <f>SUMIFS('Climate Data'!$H$7:$H$366,'Climate Data'!$A$7:$A$366,Estimator!$B$4,'Climate Data'!$B$7:$B$366,C913)</f>
        <v>7.941860465116279</v>
      </c>
      <c r="J913" s="86">
        <f>SUMIFS('Wind Proxy'!$H$8:$H$19,'Wind Proxy'!$A$8:$A$19,Estimator!$B$4,'Wind Proxy'!$B$8:$B$19,C913)</f>
        <v>0</v>
      </c>
    </row>
    <row r="914" spans="1:10" ht="14.4">
      <c r="A914" s="84">
        <v>46565</v>
      </c>
      <c r="B914" s="85">
        <v>2027</v>
      </c>
      <c r="C914" s="85">
        <v>6</v>
      </c>
      <c r="D914" s="85" t="s">
        <v>68</v>
      </c>
      <c r="E914" s="85">
        <v>27</v>
      </c>
      <c r="F914" s="85">
        <v>7</v>
      </c>
      <c r="G914" s="85">
        <f>--(F914&lt;=Estimator!$B$7)</f>
        <v>0</v>
      </c>
      <c r="H914" s="86">
        <f>SUMIFS('Climate Data'!$G$7:$G$366,'Climate Data'!$A$7:$A$366,Estimator!$B$4,'Climate Data'!$B$7:$B$366,C914)</f>
        <v>0.28666666666666668</v>
      </c>
      <c r="I914" s="87">
        <f>SUMIFS('Climate Data'!$H$7:$H$366,'Climate Data'!$A$7:$A$366,Estimator!$B$4,'Climate Data'!$B$7:$B$366,C914)</f>
        <v>7.941860465116279</v>
      </c>
      <c r="J914" s="86">
        <f>SUMIFS('Wind Proxy'!$H$8:$H$19,'Wind Proxy'!$A$8:$A$19,Estimator!$B$4,'Wind Proxy'!$B$8:$B$19,C914)</f>
        <v>0</v>
      </c>
    </row>
    <row r="915" spans="1:10" ht="14.4">
      <c r="A915" s="84">
        <v>46566</v>
      </c>
      <c r="B915" s="85">
        <v>2027</v>
      </c>
      <c r="C915" s="85">
        <v>6</v>
      </c>
      <c r="D915" s="85" t="s">
        <v>68</v>
      </c>
      <c r="E915" s="85">
        <v>28</v>
      </c>
      <c r="F915" s="85">
        <v>1</v>
      </c>
      <c r="G915" s="85">
        <f>--(F915&lt;=Estimator!$B$7)</f>
        <v>1</v>
      </c>
      <c r="H915" s="86">
        <f>SUMIFS('Climate Data'!$G$7:$G$366,'Climate Data'!$A$7:$A$366,Estimator!$B$4,'Climate Data'!$B$7:$B$366,C915)</f>
        <v>0.28666666666666668</v>
      </c>
      <c r="I915" s="87">
        <f>SUMIFS('Climate Data'!$H$7:$H$366,'Climate Data'!$A$7:$A$366,Estimator!$B$4,'Climate Data'!$B$7:$B$366,C915)</f>
        <v>7.941860465116279</v>
      </c>
      <c r="J915" s="86">
        <f>SUMIFS('Wind Proxy'!$H$8:$H$19,'Wind Proxy'!$A$8:$A$19,Estimator!$B$4,'Wind Proxy'!$B$8:$B$19,C915)</f>
        <v>0</v>
      </c>
    </row>
    <row r="916" spans="1:10" ht="14.4">
      <c r="A916" s="84">
        <v>46567</v>
      </c>
      <c r="B916" s="85">
        <v>2027</v>
      </c>
      <c r="C916" s="85">
        <v>6</v>
      </c>
      <c r="D916" s="85" t="s">
        <v>68</v>
      </c>
      <c r="E916" s="85">
        <v>29</v>
      </c>
      <c r="F916" s="85">
        <v>2</v>
      </c>
      <c r="G916" s="85">
        <f>--(F916&lt;=Estimator!$B$7)</f>
        <v>1</v>
      </c>
      <c r="H916" s="86">
        <f>SUMIFS('Climate Data'!$G$7:$G$366,'Climate Data'!$A$7:$A$366,Estimator!$B$4,'Climate Data'!$B$7:$B$366,C916)</f>
        <v>0.28666666666666668</v>
      </c>
      <c r="I916" s="87">
        <f>SUMIFS('Climate Data'!$H$7:$H$366,'Climate Data'!$A$7:$A$366,Estimator!$B$4,'Climate Data'!$B$7:$B$366,C916)</f>
        <v>7.941860465116279</v>
      </c>
      <c r="J916" s="86">
        <f>SUMIFS('Wind Proxy'!$H$8:$H$19,'Wind Proxy'!$A$8:$A$19,Estimator!$B$4,'Wind Proxy'!$B$8:$B$19,C916)</f>
        <v>0</v>
      </c>
    </row>
    <row r="917" spans="1:10" ht="14.4">
      <c r="A917" s="84">
        <v>46568</v>
      </c>
      <c r="B917" s="85">
        <v>2027</v>
      </c>
      <c r="C917" s="85">
        <v>6</v>
      </c>
      <c r="D917" s="85" t="s">
        <v>68</v>
      </c>
      <c r="E917" s="85">
        <v>30</v>
      </c>
      <c r="F917" s="85">
        <v>3</v>
      </c>
      <c r="G917" s="85">
        <f>--(F917&lt;=Estimator!$B$7)</f>
        <v>1</v>
      </c>
      <c r="H917" s="86">
        <f>SUMIFS('Climate Data'!$G$7:$G$366,'Climate Data'!$A$7:$A$366,Estimator!$B$4,'Climate Data'!$B$7:$B$366,C917)</f>
        <v>0.28666666666666668</v>
      </c>
      <c r="I917" s="87">
        <f>SUMIFS('Climate Data'!$H$7:$H$366,'Climate Data'!$A$7:$A$366,Estimator!$B$4,'Climate Data'!$B$7:$B$366,C917)</f>
        <v>7.941860465116279</v>
      </c>
      <c r="J917" s="86">
        <f>SUMIFS('Wind Proxy'!$H$8:$H$19,'Wind Proxy'!$A$8:$A$19,Estimator!$B$4,'Wind Proxy'!$B$8:$B$19,C917)</f>
        <v>0</v>
      </c>
    </row>
    <row r="918" spans="1:10" ht="14.4">
      <c r="A918" s="84">
        <v>46569</v>
      </c>
      <c r="B918" s="85">
        <v>2027</v>
      </c>
      <c r="C918" s="85">
        <v>7</v>
      </c>
      <c r="D918" s="85" t="s">
        <v>69</v>
      </c>
      <c r="E918" s="85">
        <v>1</v>
      </c>
      <c r="F918" s="85">
        <v>4</v>
      </c>
      <c r="G918" s="85">
        <f>--(F918&lt;=Estimator!$B$7)</f>
        <v>1</v>
      </c>
      <c r="H918" s="86">
        <f>SUMIFS('Climate Data'!$G$7:$G$366,'Climate Data'!$A$7:$A$366,Estimator!$B$4,'Climate Data'!$B$7:$B$366,C918)</f>
        <v>0.24731182795698925</v>
      </c>
      <c r="I918" s="87">
        <f>SUMIFS('Climate Data'!$H$7:$H$366,'Climate Data'!$A$7:$A$366,Estimator!$B$4,'Climate Data'!$B$7:$B$366,C918)</f>
        <v>8.3739130434782609</v>
      </c>
      <c r="J918" s="86">
        <f>SUMIFS('Wind Proxy'!$H$8:$H$19,'Wind Proxy'!$A$8:$A$19,Estimator!$B$4,'Wind Proxy'!$B$8:$B$19,C918)</f>
        <v>0</v>
      </c>
    </row>
    <row r="919" spans="1:10" ht="14.4">
      <c r="A919" s="84">
        <v>46570</v>
      </c>
      <c r="B919" s="85">
        <v>2027</v>
      </c>
      <c r="C919" s="85">
        <v>7</v>
      </c>
      <c r="D919" s="85" t="s">
        <v>69</v>
      </c>
      <c r="E919" s="85">
        <v>2</v>
      </c>
      <c r="F919" s="85">
        <v>5</v>
      </c>
      <c r="G919" s="85">
        <f>--(F919&lt;=Estimator!$B$7)</f>
        <v>1</v>
      </c>
      <c r="H919" s="86">
        <f>SUMIFS('Climate Data'!$G$7:$G$366,'Climate Data'!$A$7:$A$366,Estimator!$B$4,'Climate Data'!$B$7:$B$366,C919)</f>
        <v>0.24731182795698925</v>
      </c>
      <c r="I919" s="87">
        <f>SUMIFS('Climate Data'!$H$7:$H$366,'Climate Data'!$A$7:$A$366,Estimator!$B$4,'Climate Data'!$B$7:$B$366,C919)</f>
        <v>8.3739130434782609</v>
      </c>
      <c r="J919" s="86">
        <f>SUMIFS('Wind Proxy'!$H$8:$H$19,'Wind Proxy'!$A$8:$A$19,Estimator!$B$4,'Wind Proxy'!$B$8:$B$19,C919)</f>
        <v>0</v>
      </c>
    </row>
    <row r="920" spans="1:10" ht="14.4">
      <c r="A920" s="84">
        <v>46571</v>
      </c>
      <c r="B920" s="85">
        <v>2027</v>
      </c>
      <c r="C920" s="85">
        <v>7</v>
      </c>
      <c r="D920" s="85" t="s">
        <v>69</v>
      </c>
      <c r="E920" s="85">
        <v>3</v>
      </c>
      <c r="F920" s="85">
        <v>6</v>
      </c>
      <c r="G920" s="85">
        <f>--(F920&lt;=Estimator!$B$7)</f>
        <v>0</v>
      </c>
      <c r="H920" s="86">
        <f>SUMIFS('Climate Data'!$G$7:$G$366,'Climate Data'!$A$7:$A$366,Estimator!$B$4,'Climate Data'!$B$7:$B$366,C920)</f>
        <v>0.24731182795698925</v>
      </c>
      <c r="I920" s="87">
        <f>SUMIFS('Climate Data'!$H$7:$H$366,'Climate Data'!$A$7:$A$366,Estimator!$B$4,'Climate Data'!$B$7:$B$366,C920)</f>
        <v>8.3739130434782609</v>
      </c>
      <c r="J920" s="86">
        <f>SUMIFS('Wind Proxy'!$H$8:$H$19,'Wind Proxy'!$A$8:$A$19,Estimator!$B$4,'Wind Proxy'!$B$8:$B$19,C920)</f>
        <v>0</v>
      </c>
    </row>
    <row r="921" spans="1:10" ht="14.4">
      <c r="A921" s="84">
        <v>46572</v>
      </c>
      <c r="B921" s="85">
        <v>2027</v>
      </c>
      <c r="C921" s="85">
        <v>7</v>
      </c>
      <c r="D921" s="85" t="s">
        <v>69</v>
      </c>
      <c r="E921" s="85">
        <v>4</v>
      </c>
      <c r="F921" s="85">
        <v>7</v>
      </c>
      <c r="G921" s="85">
        <f>--(F921&lt;=Estimator!$B$7)</f>
        <v>0</v>
      </c>
      <c r="H921" s="86">
        <f>SUMIFS('Climate Data'!$G$7:$G$366,'Climate Data'!$A$7:$A$366,Estimator!$B$4,'Climate Data'!$B$7:$B$366,C921)</f>
        <v>0.24731182795698925</v>
      </c>
      <c r="I921" s="87">
        <f>SUMIFS('Climate Data'!$H$7:$H$366,'Climate Data'!$A$7:$A$366,Estimator!$B$4,'Climate Data'!$B$7:$B$366,C921)</f>
        <v>8.3739130434782609</v>
      </c>
      <c r="J921" s="86">
        <f>SUMIFS('Wind Proxy'!$H$8:$H$19,'Wind Proxy'!$A$8:$A$19,Estimator!$B$4,'Wind Proxy'!$B$8:$B$19,C921)</f>
        <v>0</v>
      </c>
    </row>
    <row r="922" spans="1:10" ht="14.4">
      <c r="A922" s="84">
        <v>46573</v>
      </c>
      <c r="B922" s="85">
        <v>2027</v>
      </c>
      <c r="C922" s="85">
        <v>7</v>
      </c>
      <c r="D922" s="85" t="s">
        <v>69</v>
      </c>
      <c r="E922" s="85">
        <v>5</v>
      </c>
      <c r="F922" s="85">
        <v>1</v>
      </c>
      <c r="G922" s="85">
        <f>--(F922&lt;=Estimator!$B$7)</f>
        <v>1</v>
      </c>
      <c r="H922" s="86">
        <f>SUMIFS('Climate Data'!$G$7:$G$366,'Climate Data'!$A$7:$A$366,Estimator!$B$4,'Climate Data'!$B$7:$B$366,C922)</f>
        <v>0.24731182795698925</v>
      </c>
      <c r="I922" s="87">
        <f>SUMIFS('Climate Data'!$H$7:$H$366,'Climate Data'!$A$7:$A$366,Estimator!$B$4,'Climate Data'!$B$7:$B$366,C922)</f>
        <v>8.3739130434782609</v>
      </c>
      <c r="J922" s="86">
        <f>SUMIFS('Wind Proxy'!$H$8:$H$19,'Wind Proxy'!$A$8:$A$19,Estimator!$B$4,'Wind Proxy'!$B$8:$B$19,C922)</f>
        <v>0</v>
      </c>
    </row>
    <row r="923" spans="1:10" ht="14.4">
      <c r="A923" s="84">
        <v>46574</v>
      </c>
      <c r="B923" s="85">
        <v>2027</v>
      </c>
      <c r="C923" s="85">
        <v>7</v>
      </c>
      <c r="D923" s="85" t="s">
        <v>69</v>
      </c>
      <c r="E923" s="85">
        <v>6</v>
      </c>
      <c r="F923" s="85">
        <v>2</v>
      </c>
      <c r="G923" s="85">
        <f>--(F923&lt;=Estimator!$B$7)</f>
        <v>1</v>
      </c>
      <c r="H923" s="86">
        <f>SUMIFS('Climate Data'!$G$7:$G$366,'Climate Data'!$A$7:$A$366,Estimator!$B$4,'Climate Data'!$B$7:$B$366,C923)</f>
        <v>0.24731182795698925</v>
      </c>
      <c r="I923" s="87">
        <f>SUMIFS('Climate Data'!$H$7:$H$366,'Climate Data'!$A$7:$A$366,Estimator!$B$4,'Climate Data'!$B$7:$B$366,C923)</f>
        <v>8.3739130434782609</v>
      </c>
      <c r="J923" s="86">
        <f>SUMIFS('Wind Proxy'!$H$8:$H$19,'Wind Proxy'!$A$8:$A$19,Estimator!$B$4,'Wind Proxy'!$B$8:$B$19,C923)</f>
        <v>0</v>
      </c>
    </row>
    <row r="924" spans="1:10" ht="14.4">
      <c r="A924" s="84">
        <v>46575</v>
      </c>
      <c r="B924" s="85">
        <v>2027</v>
      </c>
      <c r="C924" s="85">
        <v>7</v>
      </c>
      <c r="D924" s="85" t="s">
        <v>69</v>
      </c>
      <c r="E924" s="85">
        <v>7</v>
      </c>
      <c r="F924" s="85">
        <v>3</v>
      </c>
      <c r="G924" s="85">
        <f>--(F924&lt;=Estimator!$B$7)</f>
        <v>1</v>
      </c>
      <c r="H924" s="86">
        <f>SUMIFS('Climate Data'!$G$7:$G$366,'Climate Data'!$A$7:$A$366,Estimator!$B$4,'Climate Data'!$B$7:$B$366,C924)</f>
        <v>0.24731182795698925</v>
      </c>
      <c r="I924" s="87">
        <f>SUMIFS('Climate Data'!$H$7:$H$366,'Climate Data'!$A$7:$A$366,Estimator!$B$4,'Climate Data'!$B$7:$B$366,C924)</f>
        <v>8.3739130434782609</v>
      </c>
      <c r="J924" s="86">
        <f>SUMIFS('Wind Proxy'!$H$8:$H$19,'Wind Proxy'!$A$8:$A$19,Estimator!$B$4,'Wind Proxy'!$B$8:$B$19,C924)</f>
        <v>0</v>
      </c>
    </row>
    <row r="925" spans="1:10" ht="14.4">
      <c r="A925" s="84">
        <v>46576</v>
      </c>
      <c r="B925" s="85">
        <v>2027</v>
      </c>
      <c r="C925" s="85">
        <v>7</v>
      </c>
      <c r="D925" s="85" t="s">
        <v>69</v>
      </c>
      <c r="E925" s="85">
        <v>8</v>
      </c>
      <c r="F925" s="85">
        <v>4</v>
      </c>
      <c r="G925" s="85">
        <f>--(F925&lt;=Estimator!$B$7)</f>
        <v>1</v>
      </c>
      <c r="H925" s="86">
        <f>SUMIFS('Climate Data'!$G$7:$G$366,'Climate Data'!$A$7:$A$366,Estimator!$B$4,'Climate Data'!$B$7:$B$366,C925)</f>
        <v>0.24731182795698925</v>
      </c>
      <c r="I925" s="87">
        <f>SUMIFS('Climate Data'!$H$7:$H$366,'Climate Data'!$A$7:$A$366,Estimator!$B$4,'Climate Data'!$B$7:$B$366,C925)</f>
        <v>8.3739130434782609</v>
      </c>
      <c r="J925" s="86">
        <f>SUMIFS('Wind Proxy'!$H$8:$H$19,'Wind Proxy'!$A$8:$A$19,Estimator!$B$4,'Wind Proxy'!$B$8:$B$19,C925)</f>
        <v>0</v>
      </c>
    </row>
    <row r="926" spans="1:10" ht="14.4">
      <c r="A926" s="84">
        <v>46577</v>
      </c>
      <c r="B926" s="85">
        <v>2027</v>
      </c>
      <c r="C926" s="85">
        <v>7</v>
      </c>
      <c r="D926" s="85" t="s">
        <v>69</v>
      </c>
      <c r="E926" s="85">
        <v>9</v>
      </c>
      <c r="F926" s="85">
        <v>5</v>
      </c>
      <c r="G926" s="85">
        <f>--(F926&lt;=Estimator!$B$7)</f>
        <v>1</v>
      </c>
      <c r="H926" s="86">
        <f>SUMIFS('Climate Data'!$G$7:$G$366,'Climate Data'!$A$7:$A$366,Estimator!$B$4,'Climate Data'!$B$7:$B$366,C926)</f>
        <v>0.24731182795698925</v>
      </c>
      <c r="I926" s="87">
        <f>SUMIFS('Climate Data'!$H$7:$H$366,'Climate Data'!$A$7:$A$366,Estimator!$B$4,'Climate Data'!$B$7:$B$366,C926)</f>
        <v>8.3739130434782609</v>
      </c>
      <c r="J926" s="86">
        <f>SUMIFS('Wind Proxy'!$H$8:$H$19,'Wind Proxy'!$A$8:$A$19,Estimator!$B$4,'Wind Proxy'!$B$8:$B$19,C926)</f>
        <v>0</v>
      </c>
    </row>
    <row r="927" spans="1:10" ht="14.4">
      <c r="A927" s="84">
        <v>46578</v>
      </c>
      <c r="B927" s="85">
        <v>2027</v>
      </c>
      <c r="C927" s="85">
        <v>7</v>
      </c>
      <c r="D927" s="85" t="s">
        <v>69</v>
      </c>
      <c r="E927" s="85">
        <v>10</v>
      </c>
      <c r="F927" s="85">
        <v>6</v>
      </c>
      <c r="G927" s="85">
        <f>--(F927&lt;=Estimator!$B$7)</f>
        <v>0</v>
      </c>
      <c r="H927" s="86">
        <f>SUMIFS('Climate Data'!$G$7:$G$366,'Climate Data'!$A$7:$A$366,Estimator!$B$4,'Climate Data'!$B$7:$B$366,C927)</f>
        <v>0.24731182795698925</v>
      </c>
      <c r="I927" s="87">
        <f>SUMIFS('Climate Data'!$H$7:$H$366,'Climate Data'!$A$7:$A$366,Estimator!$B$4,'Climate Data'!$B$7:$B$366,C927)</f>
        <v>8.3739130434782609</v>
      </c>
      <c r="J927" s="86">
        <f>SUMIFS('Wind Proxy'!$H$8:$H$19,'Wind Proxy'!$A$8:$A$19,Estimator!$B$4,'Wind Proxy'!$B$8:$B$19,C927)</f>
        <v>0</v>
      </c>
    </row>
    <row r="928" spans="1:10" ht="14.4">
      <c r="A928" s="84">
        <v>46579</v>
      </c>
      <c r="B928" s="85">
        <v>2027</v>
      </c>
      <c r="C928" s="85">
        <v>7</v>
      </c>
      <c r="D928" s="85" t="s">
        <v>69</v>
      </c>
      <c r="E928" s="85">
        <v>11</v>
      </c>
      <c r="F928" s="85">
        <v>7</v>
      </c>
      <c r="G928" s="85">
        <f>--(F928&lt;=Estimator!$B$7)</f>
        <v>0</v>
      </c>
      <c r="H928" s="86">
        <f>SUMIFS('Climate Data'!$G$7:$G$366,'Climate Data'!$A$7:$A$366,Estimator!$B$4,'Climate Data'!$B$7:$B$366,C928)</f>
        <v>0.24731182795698925</v>
      </c>
      <c r="I928" s="87">
        <f>SUMIFS('Climate Data'!$H$7:$H$366,'Climate Data'!$A$7:$A$366,Estimator!$B$4,'Climate Data'!$B$7:$B$366,C928)</f>
        <v>8.3739130434782609</v>
      </c>
      <c r="J928" s="86">
        <f>SUMIFS('Wind Proxy'!$H$8:$H$19,'Wind Proxy'!$A$8:$A$19,Estimator!$B$4,'Wind Proxy'!$B$8:$B$19,C928)</f>
        <v>0</v>
      </c>
    </row>
    <row r="929" spans="1:10" ht="14.4">
      <c r="A929" s="84">
        <v>46580</v>
      </c>
      <c r="B929" s="85">
        <v>2027</v>
      </c>
      <c r="C929" s="85">
        <v>7</v>
      </c>
      <c r="D929" s="85" t="s">
        <v>69</v>
      </c>
      <c r="E929" s="85">
        <v>12</v>
      </c>
      <c r="F929" s="85">
        <v>1</v>
      </c>
      <c r="G929" s="85">
        <f>--(F929&lt;=Estimator!$B$7)</f>
        <v>1</v>
      </c>
      <c r="H929" s="86">
        <f>SUMIFS('Climate Data'!$G$7:$G$366,'Climate Data'!$A$7:$A$366,Estimator!$B$4,'Climate Data'!$B$7:$B$366,C929)</f>
        <v>0.24731182795698925</v>
      </c>
      <c r="I929" s="87">
        <f>SUMIFS('Climate Data'!$H$7:$H$366,'Climate Data'!$A$7:$A$366,Estimator!$B$4,'Climate Data'!$B$7:$B$366,C929)</f>
        <v>8.3739130434782609</v>
      </c>
      <c r="J929" s="86">
        <f>SUMIFS('Wind Proxy'!$H$8:$H$19,'Wind Proxy'!$A$8:$A$19,Estimator!$B$4,'Wind Proxy'!$B$8:$B$19,C929)</f>
        <v>0</v>
      </c>
    </row>
    <row r="930" spans="1:10" ht="14.4">
      <c r="A930" s="84">
        <v>46581</v>
      </c>
      <c r="B930" s="85">
        <v>2027</v>
      </c>
      <c r="C930" s="85">
        <v>7</v>
      </c>
      <c r="D930" s="85" t="s">
        <v>69</v>
      </c>
      <c r="E930" s="85">
        <v>13</v>
      </c>
      <c r="F930" s="85">
        <v>2</v>
      </c>
      <c r="G930" s="85">
        <f>--(F930&lt;=Estimator!$B$7)</f>
        <v>1</v>
      </c>
      <c r="H930" s="86">
        <f>SUMIFS('Climate Data'!$G$7:$G$366,'Climate Data'!$A$7:$A$366,Estimator!$B$4,'Climate Data'!$B$7:$B$366,C930)</f>
        <v>0.24731182795698925</v>
      </c>
      <c r="I930" s="87">
        <f>SUMIFS('Climate Data'!$H$7:$H$366,'Climate Data'!$A$7:$A$366,Estimator!$B$4,'Climate Data'!$B$7:$B$366,C930)</f>
        <v>8.3739130434782609</v>
      </c>
      <c r="J930" s="86">
        <f>SUMIFS('Wind Proxy'!$H$8:$H$19,'Wind Proxy'!$A$8:$A$19,Estimator!$B$4,'Wind Proxy'!$B$8:$B$19,C930)</f>
        <v>0</v>
      </c>
    </row>
    <row r="931" spans="1:10" ht="14.4">
      <c r="A931" s="84">
        <v>46582</v>
      </c>
      <c r="B931" s="85">
        <v>2027</v>
      </c>
      <c r="C931" s="85">
        <v>7</v>
      </c>
      <c r="D931" s="85" t="s">
        <v>69</v>
      </c>
      <c r="E931" s="85">
        <v>14</v>
      </c>
      <c r="F931" s="85">
        <v>3</v>
      </c>
      <c r="G931" s="85">
        <f>--(F931&lt;=Estimator!$B$7)</f>
        <v>1</v>
      </c>
      <c r="H931" s="86">
        <f>SUMIFS('Climate Data'!$G$7:$G$366,'Climate Data'!$A$7:$A$366,Estimator!$B$4,'Climate Data'!$B$7:$B$366,C931)</f>
        <v>0.24731182795698925</v>
      </c>
      <c r="I931" s="87">
        <f>SUMIFS('Climate Data'!$H$7:$H$366,'Climate Data'!$A$7:$A$366,Estimator!$B$4,'Climate Data'!$B$7:$B$366,C931)</f>
        <v>8.3739130434782609</v>
      </c>
      <c r="J931" s="86">
        <f>SUMIFS('Wind Proxy'!$H$8:$H$19,'Wind Proxy'!$A$8:$A$19,Estimator!$B$4,'Wind Proxy'!$B$8:$B$19,C931)</f>
        <v>0</v>
      </c>
    </row>
    <row r="932" spans="1:10" ht="14.4">
      <c r="A932" s="84">
        <v>46583</v>
      </c>
      <c r="B932" s="85">
        <v>2027</v>
      </c>
      <c r="C932" s="85">
        <v>7</v>
      </c>
      <c r="D932" s="85" t="s">
        <v>69</v>
      </c>
      <c r="E932" s="85">
        <v>15</v>
      </c>
      <c r="F932" s="85">
        <v>4</v>
      </c>
      <c r="G932" s="85">
        <f>--(F932&lt;=Estimator!$B$7)</f>
        <v>1</v>
      </c>
      <c r="H932" s="86">
        <f>SUMIFS('Climate Data'!$G$7:$G$366,'Climate Data'!$A$7:$A$366,Estimator!$B$4,'Climate Data'!$B$7:$B$366,C932)</f>
        <v>0.24731182795698925</v>
      </c>
      <c r="I932" s="87">
        <f>SUMIFS('Climate Data'!$H$7:$H$366,'Climate Data'!$A$7:$A$366,Estimator!$B$4,'Climate Data'!$B$7:$B$366,C932)</f>
        <v>8.3739130434782609</v>
      </c>
      <c r="J932" s="86">
        <f>SUMIFS('Wind Proxy'!$H$8:$H$19,'Wind Proxy'!$A$8:$A$19,Estimator!$B$4,'Wind Proxy'!$B$8:$B$19,C932)</f>
        <v>0</v>
      </c>
    </row>
    <row r="933" spans="1:10" ht="14.4">
      <c r="A933" s="84">
        <v>46584</v>
      </c>
      <c r="B933" s="85">
        <v>2027</v>
      </c>
      <c r="C933" s="85">
        <v>7</v>
      </c>
      <c r="D933" s="85" t="s">
        <v>69</v>
      </c>
      <c r="E933" s="85">
        <v>16</v>
      </c>
      <c r="F933" s="85">
        <v>5</v>
      </c>
      <c r="G933" s="85">
        <f>--(F933&lt;=Estimator!$B$7)</f>
        <v>1</v>
      </c>
      <c r="H933" s="86">
        <f>SUMIFS('Climate Data'!$G$7:$G$366,'Climate Data'!$A$7:$A$366,Estimator!$B$4,'Climate Data'!$B$7:$B$366,C933)</f>
        <v>0.24731182795698925</v>
      </c>
      <c r="I933" s="87">
        <f>SUMIFS('Climate Data'!$H$7:$H$366,'Climate Data'!$A$7:$A$366,Estimator!$B$4,'Climate Data'!$B$7:$B$366,C933)</f>
        <v>8.3739130434782609</v>
      </c>
      <c r="J933" s="86">
        <f>SUMIFS('Wind Proxy'!$H$8:$H$19,'Wind Proxy'!$A$8:$A$19,Estimator!$B$4,'Wind Proxy'!$B$8:$B$19,C933)</f>
        <v>0</v>
      </c>
    </row>
    <row r="934" spans="1:10" ht="14.4">
      <c r="A934" s="84">
        <v>46585</v>
      </c>
      <c r="B934" s="85">
        <v>2027</v>
      </c>
      <c r="C934" s="85">
        <v>7</v>
      </c>
      <c r="D934" s="85" t="s">
        <v>69</v>
      </c>
      <c r="E934" s="85">
        <v>17</v>
      </c>
      <c r="F934" s="85">
        <v>6</v>
      </c>
      <c r="G934" s="85">
        <f>--(F934&lt;=Estimator!$B$7)</f>
        <v>0</v>
      </c>
      <c r="H934" s="86">
        <f>SUMIFS('Climate Data'!$G$7:$G$366,'Climate Data'!$A$7:$A$366,Estimator!$B$4,'Climate Data'!$B$7:$B$366,C934)</f>
        <v>0.24731182795698925</v>
      </c>
      <c r="I934" s="87">
        <f>SUMIFS('Climate Data'!$H$7:$H$366,'Climate Data'!$A$7:$A$366,Estimator!$B$4,'Climate Data'!$B$7:$B$366,C934)</f>
        <v>8.3739130434782609</v>
      </c>
      <c r="J934" s="86">
        <f>SUMIFS('Wind Proxy'!$H$8:$H$19,'Wind Proxy'!$A$8:$A$19,Estimator!$B$4,'Wind Proxy'!$B$8:$B$19,C934)</f>
        <v>0</v>
      </c>
    </row>
    <row r="935" spans="1:10" ht="14.4">
      <c r="A935" s="84">
        <v>46586</v>
      </c>
      <c r="B935" s="85">
        <v>2027</v>
      </c>
      <c r="C935" s="85">
        <v>7</v>
      </c>
      <c r="D935" s="85" t="s">
        <v>69</v>
      </c>
      <c r="E935" s="85">
        <v>18</v>
      </c>
      <c r="F935" s="85">
        <v>7</v>
      </c>
      <c r="G935" s="85">
        <f>--(F935&lt;=Estimator!$B$7)</f>
        <v>0</v>
      </c>
      <c r="H935" s="86">
        <f>SUMIFS('Climate Data'!$G$7:$G$366,'Climate Data'!$A$7:$A$366,Estimator!$B$4,'Climate Data'!$B$7:$B$366,C935)</f>
        <v>0.24731182795698925</v>
      </c>
      <c r="I935" s="87">
        <f>SUMIFS('Climate Data'!$H$7:$H$366,'Climate Data'!$A$7:$A$366,Estimator!$B$4,'Climate Data'!$B$7:$B$366,C935)</f>
        <v>8.3739130434782609</v>
      </c>
      <c r="J935" s="86">
        <f>SUMIFS('Wind Proxy'!$H$8:$H$19,'Wind Proxy'!$A$8:$A$19,Estimator!$B$4,'Wind Proxy'!$B$8:$B$19,C935)</f>
        <v>0</v>
      </c>
    </row>
    <row r="936" spans="1:10" ht="14.4">
      <c r="A936" s="84">
        <v>46587</v>
      </c>
      <c r="B936" s="85">
        <v>2027</v>
      </c>
      <c r="C936" s="85">
        <v>7</v>
      </c>
      <c r="D936" s="85" t="s">
        <v>69</v>
      </c>
      <c r="E936" s="85">
        <v>19</v>
      </c>
      <c r="F936" s="85">
        <v>1</v>
      </c>
      <c r="G936" s="85">
        <f>--(F936&lt;=Estimator!$B$7)</f>
        <v>1</v>
      </c>
      <c r="H936" s="86">
        <f>SUMIFS('Climate Data'!$G$7:$G$366,'Climate Data'!$A$7:$A$366,Estimator!$B$4,'Climate Data'!$B$7:$B$366,C936)</f>
        <v>0.24731182795698925</v>
      </c>
      <c r="I936" s="87">
        <f>SUMIFS('Climate Data'!$H$7:$H$366,'Climate Data'!$A$7:$A$366,Estimator!$B$4,'Climate Data'!$B$7:$B$366,C936)</f>
        <v>8.3739130434782609</v>
      </c>
      <c r="J936" s="86">
        <f>SUMIFS('Wind Proxy'!$H$8:$H$19,'Wind Proxy'!$A$8:$A$19,Estimator!$B$4,'Wind Proxy'!$B$8:$B$19,C936)</f>
        <v>0</v>
      </c>
    </row>
    <row r="937" spans="1:10" ht="14.4">
      <c r="A937" s="84">
        <v>46588</v>
      </c>
      <c r="B937" s="85">
        <v>2027</v>
      </c>
      <c r="C937" s="85">
        <v>7</v>
      </c>
      <c r="D937" s="85" t="s">
        <v>69</v>
      </c>
      <c r="E937" s="85">
        <v>20</v>
      </c>
      <c r="F937" s="85">
        <v>2</v>
      </c>
      <c r="G937" s="85">
        <f>--(F937&lt;=Estimator!$B$7)</f>
        <v>1</v>
      </c>
      <c r="H937" s="86">
        <f>SUMIFS('Climate Data'!$G$7:$G$366,'Climate Data'!$A$7:$A$366,Estimator!$B$4,'Climate Data'!$B$7:$B$366,C937)</f>
        <v>0.24731182795698925</v>
      </c>
      <c r="I937" s="87">
        <f>SUMIFS('Climate Data'!$H$7:$H$366,'Climate Data'!$A$7:$A$366,Estimator!$B$4,'Climate Data'!$B$7:$B$366,C937)</f>
        <v>8.3739130434782609</v>
      </c>
      <c r="J937" s="86">
        <f>SUMIFS('Wind Proxy'!$H$8:$H$19,'Wind Proxy'!$A$8:$A$19,Estimator!$B$4,'Wind Proxy'!$B$8:$B$19,C937)</f>
        <v>0</v>
      </c>
    </row>
    <row r="938" spans="1:10" ht="14.4">
      <c r="A938" s="84">
        <v>46589</v>
      </c>
      <c r="B938" s="85">
        <v>2027</v>
      </c>
      <c r="C938" s="85">
        <v>7</v>
      </c>
      <c r="D938" s="85" t="s">
        <v>69</v>
      </c>
      <c r="E938" s="85">
        <v>21</v>
      </c>
      <c r="F938" s="85">
        <v>3</v>
      </c>
      <c r="G938" s="85">
        <f>--(F938&lt;=Estimator!$B$7)</f>
        <v>1</v>
      </c>
      <c r="H938" s="86">
        <f>SUMIFS('Climate Data'!$G$7:$G$366,'Climate Data'!$A$7:$A$366,Estimator!$B$4,'Climate Data'!$B$7:$B$366,C938)</f>
        <v>0.24731182795698925</v>
      </c>
      <c r="I938" s="87">
        <f>SUMIFS('Climate Data'!$H$7:$H$366,'Climate Data'!$A$7:$A$366,Estimator!$B$4,'Climate Data'!$B$7:$B$366,C938)</f>
        <v>8.3739130434782609</v>
      </c>
      <c r="J938" s="86">
        <f>SUMIFS('Wind Proxy'!$H$8:$H$19,'Wind Proxy'!$A$8:$A$19,Estimator!$B$4,'Wind Proxy'!$B$8:$B$19,C938)</f>
        <v>0</v>
      </c>
    </row>
    <row r="939" spans="1:10" ht="14.4">
      <c r="A939" s="84">
        <v>46590</v>
      </c>
      <c r="B939" s="85">
        <v>2027</v>
      </c>
      <c r="C939" s="85">
        <v>7</v>
      </c>
      <c r="D939" s="85" t="s">
        <v>69</v>
      </c>
      <c r="E939" s="85">
        <v>22</v>
      </c>
      <c r="F939" s="85">
        <v>4</v>
      </c>
      <c r="G939" s="85">
        <f>--(F939&lt;=Estimator!$B$7)</f>
        <v>1</v>
      </c>
      <c r="H939" s="86">
        <f>SUMIFS('Climate Data'!$G$7:$G$366,'Climate Data'!$A$7:$A$366,Estimator!$B$4,'Climate Data'!$B$7:$B$366,C939)</f>
        <v>0.24731182795698925</v>
      </c>
      <c r="I939" s="87">
        <f>SUMIFS('Climate Data'!$H$7:$H$366,'Climate Data'!$A$7:$A$366,Estimator!$B$4,'Climate Data'!$B$7:$B$366,C939)</f>
        <v>8.3739130434782609</v>
      </c>
      <c r="J939" s="86">
        <f>SUMIFS('Wind Proxy'!$H$8:$H$19,'Wind Proxy'!$A$8:$A$19,Estimator!$B$4,'Wind Proxy'!$B$8:$B$19,C939)</f>
        <v>0</v>
      </c>
    </row>
    <row r="940" spans="1:10" ht="14.4">
      <c r="A940" s="84">
        <v>46591</v>
      </c>
      <c r="B940" s="85">
        <v>2027</v>
      </c>
      <c r="C940" s="85">
        <v>7</v>
      </c>
      <c r="D940" s="85" t="s">
        <v>69</v>
      </c>
      <c r="E940" s="85">
        <v>23</v>
      </c>
      <c r="F940" s="85">
        <v>5</v>
      </c>
      <c r="G940" s="85">
        <f>--(F940&lt;=Estimator!$B$7)</f>
        <v>1</v>
      </c>
      <c r="H940" s="86">
        <f>SUMIFS('Climate Data'!$G$7:$G$366,'Climate Data'!$A$7:$A$366,Estimator!$B$4,'Climate Data'!$B$7:$B$366,C940)</f>
        <v>0.24731182795698925</v>
      </c>
      <c r="I940" s="87">
        <f>SUMIFS('Climate Data'!$H$7:$H$366,'Climate Data'!$A$7:$A$366,Estimator!$B$4,'Climate Data'!$B$7:$B$366,C940)</f>
        <v>8.3739130434782609</v>
      </c>
      <c r="J940" s="86">
        <f>SUMIFS('Wind Proxy'!$H$8:$H$19,'Wind Proxy'!$A$8:$A$19,Estimator!$B$4,'Wind Proxy'!$B$8:$B$19,C940)</f>
        <v>0</v>
      </c>
    </row>
    <row r="941" spans="1:10" ht="14.4">
      <c r="A941" s="84">
        <v>46592</v>
      </c>
      <c r="B941" s="85">
        <v>2027</v>
      </c>
      <c r="C941" s="85">
        <v>7</v>
      </c>
      <c r="D941" s="85" t="s">
        <v>69</v>
      </c>
      <c r="E941" s="85">
        <v>24</v>
      </c>
      <c r="F941" s="85">
        <v>6</v>
      </c>
      <c r="G941" s="85">
        <f>--(F941&lt;=Estimator!$B$7)</f>
        <v>0</v>
      </c>
      <c r="H941" s="86">
        <f>SUMIFS('Climate Data'!$G$7:$G$366,'Climate Data'!$A$7:$A$366,Estimator!$B$4,'Climate Data'!$B$7:$B$366,C941)</f>
        <v>0.24731182795698925</v>
      </c>
      <c r="I941" s="87">
        <f>SUMIFS('Climate Data'!$H$7:$H$366,'Climate Data'!$A$7:$A$366,Estimator!$B$4,'Climate Data'!$B$7:$B$366,C941)</f>
        <v>8.3739130434782609</v>
      </c>
      <c r="J941" s="86">
        <f>SUMIFS('Wind Proxy'!$H$8:$H$19,'Wind Proxy'!$A$8:$A$19,Estimator!$B$4,'Wind Proxy'!$B$8:$B$19,C941)</f>
        <v>0</v>
      </c>
    </row>
    <row r="942" spans="1:10" ht="14.4">
      <c r="A942" s="84">
        <v>46593</v>
      </c>
      <c r="B942" s="85">
        <v>2027</v>
      </c>
      <c r="C942" s="85">
        <v>7</v>
      </c>
      <c r="D942" s="85" t="s">
        <v>69</v>
      </c>
      <c r="E942" s="85">
        <v>25</v>
      </c>
      <c r="F942" s="85">
        <v>7</v>
      </c>
      <c r="G942" s="85">
        <f>--(F942&lt;=Estimator!$B$7)</f>
        <v>0</v>
      </c>
      <c r="H942" s="86">
        <f>SUMIFS('Climate Data'!$G$7:$G$366,'Climate Data'!$A$7:$A$366,Estimator!$B$4,'Climate Data'!$B$7:$B$366,C942)</f>
        <v>0.24731182795698925</v>
      </c>
      <c r="I942" s="87">
        <f>SUMIFS('Climate Data'!$H$7:$H$366,'Climate Data'!$A$7:$A$366,Estimator!$B$4,'Climate Data'!$B$7:$B$366,C942)</f>
        <v>8.3739130434782609</v>
      </c>
      <c r="J942" s="86">
        <f>SUMIFS('Wind Proxy'!$H$8:$H$19,'Wind Proxy'!$A$8:$A$19,Estimator!$B$4,'Wind Proxy'!$B$8:$B$19,C942)</f>
        <v>0</v>
      </c>
    </row>
    <row r="943" spans="1:10" ht="14.4">
      <c r="A943" s="84">
        <v>46594</v>
      </c>
      <c r="B943" s="85">
        <v>2027</v>
      </c>
      <c r="C943" s="85">
        <v>7</v>
      </c>
      <c r="D943" s="85" t="s">
        <v>69</v>
      </c>
      <c r="E943" s="85">
        <v>26</v>
      </c>
      <c r="F943" s="85">
        <v>1</v>
      </c>
      <c r="G943" s="85">
        <f>--(F943&lt;=Estimator!$B$7)</f>
        <v>1</v>
      </c>
      <c r="H943" s="86">
        <f>SUMIFS('Climate Data'!$G$7:$G$366,'Climate Data'!$A$7:$A$366,Estimator!$B$4,'Climate Data'!$B$7:$B$366,C943)</f>
        <v>0.24731182795698925</v>
      </c>
      <c r="I943" s="87">
        <f>SUMIFS('Climate Data'!$H$7:$H$366,'Climate Data'!$A$7:$A$366,Estimator!$B$4,'Climate Data'!$B$7:$B$366,C943)</f>
        <v>8.3739130434782609</v>
      </c>
      <c r="J943" s="86">
        <f>SUMIFS('Wind Proxy'!$H$8:$H$19,'Wind Proxy'!$A$8:$A$19,Estimator!$B$4,'Wind Proxy'!$B$8:$B$19,C943)</f>
        <v>0</v>
      </c>
    </row>
    <row r="944" spans="1:10" ht="14.4">
      <c r="A944" s="84">
        <v>46595</v>
      </c>
      <c r="B944" s="85">
        <v>2027</v>
      </c>
      <c r="C944" s="85">
        <v>7</v>
      </c>
      <c r="D944" s="85" t="s">
        <v>69</v>
      </c>
      <c r="E944" s="85">
        <v>27</v>
      </c>
      <c r="F944" s="85">
        <v>2</v>
      </c>
      <c r="G944" s="85">
        <f>--(F944&lt;=Estimator!$B$7)</f>
        <v>1</v>
      </c>
      <c r="H944" s="86">
        <f>SUMIFS('Climate Data'!$G$7:$G$366,'Climate Data'!$A$7:$A$366,Estimator!$B$4,'Climate Data'!$B$7:$B$366,C944)</f>
        <v>0.24731182795698925</v>
      </c>
      <c r="I944" s="87">
        <f>SUMIFS('Climate Data'!$H$7:$H$366,'Climate Data'!$A$7:$A$366,Estimator!$B$4,'Climate Data'!$B$7:$B$366,C944)</f>
        <v>8.3739130434782609</v>
      </c>
      <c r="J944" s="86">
        <f>SUMIFS('Wind Proxy'!$H$8:$H$19,'Wind Proxy'!$A$8:$A$19,Estimator!$B$4,'Wind Proxy'!$B$8:$B$19,C944)</f>
        <v>0</v>
      </c>
    </row>
    <row r="945" spans="1:10" ht="14.4">
      <c r="A945" s="84">
        <v>46596</v>
      </c>
      <c r="B945" s="85">
        <v>2027</v>
      </c>
      <c r="C945" s="85">
        <v>7</v>
      </c>
      <c r="D945" s="85" t="s">
        <v>69</v>
      </c>
      <c r="E945" s="85">
        <v>28</v>
      </c>
      <c r="F945" s="85">
        <v>3</v>
      </c>
      <c r="G945" s="85">
        <f>--(F945&lt;=Estimator!$B$7)</f>
        <v>1</v>
      </c>
      <c r="H945" s="86">
        <f>SUMIFS('Climate Data'!$G$7:$G$366,'Climate Data'!$A$7:$A$366,Estimator!$B$4,'Climate Data'!$B$7:$B$366,C945)</f>
        <v>0.24731182795698925</v>
      </c>
      <c r="I945" s="87">
        <f>SUMIFS('Climate Data'!$H$7:$H$366,'Climate Data'!$A$7:$A$366,Estimator!$B$4,'Climate Data'!$B$7:$B$366,C945)</f>
        <v>8.3739130434782609</v>
      </c>
      <c r="J945" s="86">
        <f>SUMIFS('Wind Proxy'!$H$8:$H$19,'Wind Proxy'!$A$8:$A$19,Estimator!$B$4,'Wind Proxy'!$B$8:$B$19,C945)</f>
        <v>0</v>
      </c>
    </row>
    <row r="946" spans="1:10" ht="14.4">
      <c r="A946" s="84">
        <v>46597</v>
      </c>
      <c r="B946" s="85">
        <v>2027</v>
      </c>
      <c r="C946" s="85">
        <v>7</v>
      </c>
      <c r="D946" s="85" t="s">
        <v>69</v>
      </c>
      <c r="E946" s="85">
        <v>29</v>
      </c>
      <c r="F946" s="85">
        <v>4</v>
      </c>
      <c r="G946" s="85">
        <f>--(F946&lt;=Estimator!$B$7)</f>
        <v>1</v>
      </c>
      <c r="H946" s="86">
        <f>SUMIFS('Climate Data'!$G$7:$G$366,'Climate Data'!$A$7:$A$366,Estimator!$B$4,'Climate Data'!$B$7:$B$366,C946)</f>
        <v>0.24731182795698925</v>
      </c>
      <c r="I946" s="87">
        <f>SUMIFS('Climate Data'!$H$7:$H$366,'Climate Data'!$A$7:$A$366,Estimator!$B$4,'Climate Data'!$B$7:$B$366,C946)</f>
        <v>8.3739130434782609</v>
      </c>
      <c r="J946" s="86">
        <f>SUMIFS('Wind Proxy'!$H$8:$H$19,'Wind Proxy'!$A$8:$A$19,Estimator!$B$4,'Wind Proxy'!$B$8:$B$19,C946)</f>
        <v>0</v>
      </c>
    </row>
    <row r="947" spans="1:10" ht="14.4">
      <c r="A947" s="84">
        <v>46598</v>
      </c>
      <c r="B947" s="85">
        <v>2027</v>
      </c>
      <c r="C947" s="85">
        <v>7</v>
      </c>
      <c r="D947" s="85" t="s">
        <v>69</v>
      </c>
      <c r="E947" s="85">
        <v>30</v>
      </c>
      <c r="F947" s="85">
        <v>5</v>
      </c>
      <c r="G947" s="85">
        <f>--(F947&lt;=Estimator!$B$7)</f>
        <v>1</v>
      </c>
      <c r="H947" s="86">
        <f>SUMIFS('Climate Data'!$G$7:$G$366,'Climate Data'!$A$7:$A$366,Estimator!$B$4,'Climate Data'!$B$7:$B$366,C947)</f>
        <v>0.24731182795698925</v>
      </c>
      <c r="I947" s="87">
        <f>SUMIFS('Climate Data'!$H$7:$H$366,'Climate Data'!$A$7:$A$366,Estimator!$B$4,'Climate Data'!$B$7:$B$366,C947)</f>
        <v>8.3739130434782609</v>
      </c>
      <c r="J947" s="86">
        <f>SUMIFS('Wind Proxy'!$H$8:$H$19,'Wind Proxy'!$A$8:$A$19,Estimator!$B$4,'Wind Proxy'!$B$8:$B$19,C947)</f>
        <v>0</v>
      </c>
    </row>
    <row r="948" spans="1:10" ht="14.4">
      <c r="A948" s="84">
        <v>46599</v>
      </c>
      <c r="B948" s="85">
        <v>2027</v>
      </c>
      <c r="C948" s="85">
        <v>7</v>
      </c>
      <c r="D948" s="85" t="s">
        <v>69</v>
      </c>
      <c r="E948" s="85">
        <v>31</v>
      </c>
      <c r="F948" s="85">
        <v>6</v>
      </c>
      <c r="G948" s="85">
        <f>--(F948&lt;=Estimator!$B$7)</f>
        <v>0</v>
      </c>
      <c r="H948" s="86">
        <f>SUMIFS('Climate Data'!$G$7:$G$366,'Climate Data'!$A$7:$A$366,Estimator!$B$4,'Climate Data'!$B$7:$B$366,C948)</f>
        <v>0.24731182795698925</v>
      </c>
      <c r="I948" s="87">
        <f>SUMIFS('Climate Data'!$H$7:$H$366,'Climate Data'!$A$7:$A$366,Estimator!$B$4,'Climate Data'!$B$7:$B$366,C948)</f>
        <v>8.3739130434782609</v>
      </c>
      <c r="J948" s="86">
        <f>SUMIFS('Wind Proxy'!$H$8:$H$19,'Wind Proxy'!$A$8:$A$19,Estimator!$B$4,'Wind Proxy'!$B$8:$B$19,C948)</f>
        <v>0</v>
      </c>
    </row>
    <row r="949" spans="1:10" ht="14.4">
      <c r="A949" s="84">
        <v>46600</v>
      </c>
      <c r="B949" s="85">
        <v>2027</v>
      </c>
      <c r="C949" s="85">
        <v>8</v>
      </c>
      <c r="D949" s="85" t="s">
        <v>71</v>
      </c>
      <c r="E949" s="85">
        <v>1</v>
      </c>
      <c r="F949" s="85">
        <v>7</v>
      </c>
      <c r="G949" s="85">
        <f>--(F949&lt;=Estimator!$B$7)</f>
        <v>0</v>
      </c>
      <c r="H949" s="86">
        <f>SUMIFS('Climate Data'!$G$7:$G$366,'Climate Data'!$A$7:$A$366,Estimator!$B$4,'Climate Data'!$B$7:$B$366,C949)</f>
        <v>0.23548387096774193</v>
      </c>
      <c r="I949" s="87">
        <f>SUMIFS('Climate Data'!$H$7:$H$366,'Climate Data'!$A$7:$A$366,Estimator!$B$4,'Climate Data'!$B$7:$B$366,C949)</f>
        <v>7.9589041095890414</v>
      </c>
      <c r="J949" s="86">
        <f>SUMIFS('Wind Proxy'!$H$8:$H$19,'Wind Proxy'!$A$8:$A$19,Estimator!$B$4,'Wind Proxy'!$B$8:$B$19,C949)</f>
        <v>0</v>
      </c>
    </row>
    <row r="950" spans="1:10" ht="14.4">
      <c r="A950" s="84">
        <v>46601</v>
      </c>
      <c r="B950" s="85">
        <v>2027</v>
      </c>
      <c r="C950" s="85">
        <v>8</v>
      </c>
      <c r="D950" s="85" t="s">
        <v>71</v>
      </c>
      <c r="E950" s="85">
        <v>2</v>
      </c>
      <c r="F950" s="85">
        <v>1</v>
      </c>
      <c r="G950" s="85">
        <f>--(F950&lt;=Estimator!$B$7)</f>
        <v>1</v>
      </c>
      <c r="H950" s="86">
        <f>SUMIFS('Climate Data'!$G$7:$G$366,'Climate Data'!$A$7:$A$366,Estimator!$B$4,'Climate Data'!$B$7:$B$366,C950)</f>
        <v>0.23548387096774193</v>
      </c>
      <c r="I950" s="87">
        <f>SUMIFS('Climate Data'!$H$7:$H$366,'Climate Data'!$A$7:$A$366,Estimator!$B$4,'Climate Data'!$B$7:$B$366,C950)</f>
        <v>7.9589041095890414</v>
      </c>
      <c r="J950" s="86">
        <f>SUMIFS('Wind Proxy'!$H$8:$H$19,'Wind Proxy'!$A$8:$A$19,Estimator!$B$4,'Wind Proxy'!$B$8:$B$19,C950)</f>
        <v>0</v>
      </c>
    </row>
    <row r="951" spans="1:10" ht="14.4">
      <c r="A951" s="84">
        <v>46602</v>
      </c>
      <c r="B951" s="85">
        <v>2027</v>
      </c>
      <c r="C951" s="85">
        <v>8</v>
      </c>
      <c r="D951" s="85" t="s">
        <v>71</v>
      </c>
      <c r="E951" s="85">
        <v>3</v>
      </c>
      <c r="F951" s="85">
        <v>2</v>
      </c>
      <c r="G951" s="85">
        <f>--(F951&lt;=Estimator!$B$7)</f>
        <v>1</v>
      </c>
      <c r="H951" s="86">
        <f>SUMIFS('Climate Data'!$G$7:$G$366,'Climate Data'!$A$7:$A$366,Estimator!$B$4,'Climate Data'!$B$7:$B$366,C951)</f>
        <v>0.23548387096774193</v>
      </c>
      <c r="I951" s="87">
        <f>SUMIFS('Climate Data'!$H$7:$H$366,'Climate Data'!$A$7:$A$366,Estimator!$B$4,'Climate Data'!$B$7:$B$366,C951)</f>
        <v>7.9589041095890414</v>
      </c>
      <c r="J951" s="86">
        <f>SUMIFS('Wind Proxy'!$H$8:$H$19,'Wind Proxy'!$A$8:$A$19,Estimator!$B$4,'Wind Proxy'!$B$8:$B$19,C951)</f>
        <v>0</v>
      </c>
    </row>
    <row r="952" spans="1:10" ht="14.4">
      <c r="A952" s="84">
        <v>46603</v>
      </c>
      <c r="B952" s="85">
        <v>2027</v>
      </c>
      <c r="C952" s="85">
        <v>8</v>
      </c>
      <c r="D952" s="85" t="s">
        <v>71</v>
      </c>
      <c r="E952" s="85">
        <v>4</v>
      </c>
      <c r="F952" s="85">
        <v>3</v>
      </c>
      <c r="G952" s="85">
        <f>--(F952&lt;=Estimator!$B$7)</f>
        <v>1</v>
      </c>
      <c r="H952" s="86">
        <f>SUMIFS('Climate Data'!$G$7:$G$366,'Climate Data'!$A$7:$A$366,Estimator!$B$4,'Climate Data'!$B$7:$B$366,C952)</f>
        <v>0.23548387096774193</v>
      </c>
      <c r="I952" s="87">
        <f>SUMIFS('Climate Data'!$H$7:$H$366,'Climate Data'!$A$7:$A$366,Estimator!$B$4,'Climate Data'!$B$7:$B$366,C952)</f>
        <v>7.9589041095890414</v>
      </c>
      <c r="J952" s="86">
        <f>SUMIFS('Wind Proxy'!$H$8:$H$19,'Wind Proxy'!$A$8:$A$19,Estimator!$B$4,'Wind Proxy'!$B$8:$B$19,C952)</f>
        <v>0</v>
      </c>
    </row>
    <row r="953" spans="1:10" ht="14.4">
      <c r="A953" s="84">
        <v>46604</v>
      </c>
      <c r="B953" s="85">
        <v>2027</v>
      </c>
      <c r="C953" s="85">
        <v>8</v>
      </c>
      <c r="D953" s="85" t="s">
        <v>71</v>
      </c>
      <c r="E953" s="85">
        <v>5</v>
      </c>
      <c r="F953" s="85">
        <v>4</v>
      </c>
      <c r="G953" s="85">
        <f>--(F953&lt;=Estimator!$B$7)</f>
        <v>1</v>
      </c>
      <c r="H953" s="86">
        <f>SUMIFS('Climate Data'!$G$7:$G$366,'Climate Data'!$A$7:$A$366,Estimator!$B$4,'Climate Data'!$B$7:$B$366,C953)</f>
        <v>0.23548387096774193</v>
      </c>
      <c r="I953" s="87">
        <f>SUMIFS('Climate Data'!$H$7:$H$366,'Climate Data'!$A$7:$A$366,Estimator!$B$4,'Climate Data'!$B$7:$B$366,C953)</f>
        <v>7.9589041095890414</v>
      </c>
      <c r="J953" s="86">
        <f>SUMIFS('Wind Proxy'!$H$8:$H$19,'Wind Proxy'!$A$8:$A$19,Estimator!$B$4,'Wind Proxy'!$B$8:$B$19,C953)</f>
        <v>0</v>
      </c>
    </row>
    <row r="954" spans="1:10" ht="14.4">
      <c r="A954" s="84">
        <v>46605</v>
      </c>
      <c r="B954" s="85">
        <v>2027</v>
      </c>
      <c r="C954" s="85">
        <v>8</v>
      </c>
      <c r="D954" s="85" t="s">
        <v>71</v>
      </c>
      <c r="E954" s="85">
        <v>6</v>
      </c>
      <c r="F954" s="85">
        <v>5</v>
      </c>
      <c r="G954" s="85">
        <f>--(F954&lt;=Estimator!$B$7)</f>
        <v>1</v>
      </c>
      <c r="H954" s="86">
        <f>SUMIFS('Climate Data'!$G$7:$G$366,'Climate Data'!$A$7:$A$366,Estimator!$B$4,'Climate Data'!$B$7:$B$366,C954)</f>
        <v>0.23548387096774193</v>
      </c>
      <c r="I954" s="87">
        <f>SUMIFS('Climate Data'!$H$7:$H$366,'Climate Data'!$A$7:$A$366,Estimator!$B$4,'Climate Data'!$B$7:$B$366,C954)</f>
        <v>7.9589041095890414</v>
      </c>
      <c r="J954" s="86">
        <f>SUMIFS('Wind Proxy'!$H$8:$H$19,'Wind Proxy'!$A$8:$A$19,Estimator!$B$4,'Wind Proxy'!$B$8:$B$19,C954)</f>
        <v>0</v>
      </c>
    </row>
    <row r="955" spans="1:10" ht="14.4">
      <c r="A955" s="84">
        <v>46606</v>
      </c>
      <c r="B955" s="85">
        <v>2027</v>
      </c>
      <c r="C955" s="85">
        <v>8</v>
      </c>
      <c r="D955" s="85" t="s">
        <v>71</v>
      </c>
      <c r="E955" s="85">
        <v>7</v>
      </c>
      <c r="F955" s="85">
        <v>6</v>
      </c>
      <c r="G955" s="85">
        <f>--(F955&lt;=Estimator!$B$7)</f>
        <v>0</v>
      </c>
      <c r="H955" s="86">
        <f>SUMIFS('Climate Data'!$G$7:$G$366,'Climate Data'!$A$7:$A$366,Estimator!$B$4,'Climate Data'!$B$7:$B$366,C955)</f>
        <v>0.23548387096774193</v>
      </c>
      <c r="I955" s="87">
        <f>SUMIFS('Climate Data'!$H$7:$H$366,'Climate Data'!$A$7:$A$366,Estimator!$B$4,'Climate Data'!$B$7:$B$366,C955)</f>
        <v>7.9589041095890414</v>
      </c>
      <c r="J955" s="86">
        <f>SUMIFS('Wind Proxy'!$H$8:$H$19,'Wind Proxy'!$A$8:$A$19,Estimator!$B$4,'Wind Proxy'!$B$8:$B$19,C955)</f>
        <v>0</v>
      </c>
    </row>
    <row r="956" spans="1:10" ht="14.4">
      <c r="A956" s="84">
        <v>46607</v>
      </c>
      <c r="B956" s="85">
        <v>2027</v>
      </c>
      <c r="C956" s="85">
        <v>8</v>
      </c>
      <c r="D956" s="85" t="s">
        <v>71</v>
      </c>
      <c r="E956" s="85">
        <v>8</v>
      </c>
      <c r="F956" s="85">
        <v>7</v>
      </c>
      <c r="G956" s="85">
        <f>--(F956&lt;=Estimator!$B$7)</f>
        <v>0</v>
      </c>
      <c r="H956" s="86">
        <f>SUMIFS('Climate Data'!$G$7:$G$366,'Climate Data'!$A$7:$A$366,Estimator!$B$4,'Climate Data'!$B$7:$B$366,C956)</f>
        <v>0.23548387096774193</v>
      </c>
      <c r="I956" s="87">
        <f>SUMIFS('Climate Data'!$H$7:$H$366,'Climate Data'!$A$7:$A$366,Estimator!$B$4,'Climate Data'!$B$7:$B$366,C956)</f>
        <v>7.9589041095890414</v>
      </c>
      <c r="J956" s="86">
        <f>SUMIFS('Wind Proxy'!$H$8:$H$19,'Wind Proxy'!$A$8:$A$19,Estimator!$B$4,'Wind Proxy'!$B$8:$B$19,C956)</f>
        <v>0</v>
      </c>
    </row>
    <row r="957" spans="1:10" ht="14.4">
      <c r="A957" s="84">
        <v>46608</v>
      </c>
      <c r="B957" s="85">
        <v>2027</v>
      </c>
      <c r="C957" s="85">
        <v>8</v>
      </c>
      <c r="D957" s="85" t="s">
        <v>71</v>
      </c>
      <c r="E957" s="85">
        <v>9</v>
      </c>
      <c r="F957" s="85">
        <v>1</v>
      </c>
      <c r="G957" s="85">
        <f>--(F957&lt;=Estimator!$B$7)</f>
        <v>1</v>
      </c>
      <c r="H957" s="86">
        <f>SUMIFS('Climate Data'!$G$7:$G$366,'Climate Data'!$A$7:$A$366,Estimator!$B$4,'Climate Data'!$B$7:$B$366,C957)</f>
        <v>0.23548387096774193</v>
      </c>
      <c r="I957" s="87">
        <f>SUMIFS('Climate Data'!$H$7:$H$366,'Climate Data'!$A$7:$A$366,Estimator!$B$4,'Climate Data'!$B$7:$B$366,C957)</f>
        <v>7.9589041095890414</v>
      </c>
      <c r="J957" s="86">
        <f>SUMIFS('Wind Proxy'!$H$8:$H$19,'Wind Proxy'!$A$8:$A$19,Estimator!$B$4,'Wind Proxy'!$B$8:$B$19,C957)</f>
        <v>0</v>
      </c>
    </row>
    <row r="958" spans="1:10" ht="14.4">
      <c r="A958" s="84">
        <v>46609</v>
      </c>
      <c r="B958" s="85">
        <v>2027</v>
      </c>
      <c r="C958" s="85">
        <v>8</v>
      </c>
      <c r="D958" s="85" t="s">
        <v>71</v>
      </c>
      <c r="E958" s="85">
        <v>10</v>
      </c>
      <c r="F958" s="85">
        <v>2</v>
      </c>
      <c r="G958" s="85">
        <f>--(F958&lt;=Estimator!$B$7)</f>
        <v>1</v>
      </c>
      <c r="H958" s="86">
        <f>SUMIFS('Climate Data'!$G$7:$G$366,'Climate Data'!$A$7:$A$366,Estimator!$B$4,'Climate Data'!$B$7:$B$366,C958)</f>
        <v>0.23548387096774193</v>
      </c>
      <c r="I958" s="87">
        <f>SUMIFS('Climate Data'!$H$7:$H$366,'Climate Data'!$A$7:$A$366,Estimator!$B$4,'Climate Data'!$B$7:$B$366,C958)</f>
        <v>7.9589041095890414</v>
      </c>
      <c r="J958" s="86">
        <f>SUMIFS('Wind Proxy'!$H$8:$H$19,'Wind Proxy'!$A$8:$A$19,Estimator!$B$4,'Wind Proxy'!$B$8:$B$19,C958)</f>
        <v>0</v>
      </c>
    </row>
    <row r="959" spans="1:10" ht="14.4">
      <c r="A959" s="84">
        <v>46610</v>
      </c>
      <c r="B959" s="85">
        <v>2027</v>
      </c>
      <c r="C959" s="85">
        <v>8</v>
      </c>
      <c r="D959" s="85" t="s">
        <v>71</v>
      </c>
      <c r="E959" s="85">
        <v>11</v>
      </c>
      <c r="F959" s="85">
        <v>3</v>
      </c>
      <c r="G959" s="85">
        <f>--(F959&lt;=Estimator!$B$7)</f>
        <v>1</v>
      </c>
      <c r="H959" s="86">
        <f>SUMIFS('Climate Data'!$G$7:$G$366,'Climate Data'!$A$7:$A$366,Estimator!$B$4,'Climate Data'!$B$7:$B$366,C959)</f>
        <v>0.23548387096774193</v>
      </c>
      <c r="I959" s="87">
        <f>SUMIFS('Climate Data'!$H$7:$H$366,'Climate Data'!$A$7:$A$366,Estimator!$B$4,'Climate Data'!$B$7:$B$366,C959)</f>
        <v>7.9589041095890414</v>
      </c>
      <c r="J959" s="86">
        <f>SUMIFS('Wind Proxy'!$H$8:$H$19,'Wind Proxy'!$A$8:$A$19,Estimator!$B$4,'Wind Proxy'!$B$8:$B$19,C959)</f>
        <v>0</v>
      </c>
    </row>
    <row r="960" spans="1:10" ht="14.4">
      <c r="A960" s="84">
        <v>46611</v>
      </c>
      <c r="B960" s="85">
        <v>2027</v>
      </c>
      <c r="C960" s="85">
        <v>8</v>
      </c>
      <c r="D960" s="85" t="s">
        <v>71</v>
      </c>
      <c r="E960" s="85">
        <v>12</v>
      </c>
      <c r="F960" s="85">
        <v>4</v>
      </c>
      <c r="G960" s="85">
        <f>--(F960&lt;=Estimator!$B$7)</f>
        <v>1</v>
      </c>
      <c r="H960" s="86">
        <f>SUMIFS('Climate Data'!$G$7:$G$366,'Climate Data'!$A$7:$A$366,Estimator!$B$4,'Climate Data'!$B$7:$B$366,C960)</f>
        <v>0.23548387096774193</v>
      </c>
      <c r="I960" s="87">
        <f>SUMIFS('Climate Data'!$H$7:$H$366,'Climate Data'!$A$7:$A$366,Estimator!$B$4,'Climate Data'!$B$7:$B$366,C960)</f>
        <v>7.9589041095890414</v>
      </c>
      <c r="J960" s="86">
        <f>SUMIFS('Wind Proxy'!$H$8:$H$19,'Wind Proxy'!$A$8:$A$19,Estimator!$B$4,'Wind Proxy'!$B$8:$B$19,C960)</f>
        <v>0</v>
      </c>
    </row>
    <row r="961" spans="1:10" ht="14.4">
      <c r="A961" s="84">
        <v>46612</v>
      </c>
      <c r="B961" s="85">
        <v>2027</v>
      </c>
      <c r="C961" s="85">
        <v>8</v>
      </c>
      <c r="D961" s="85" t="s">
        <v>71</v>
      </c>
      <c r="E961" s="85">
        <v>13</v>
      </c>
      <c r="F961" s="85">
        <v>5</v>
      </c>
      <c r="G961" s="85">
        <f>--(F961&lt;=Estimator!$B$7)</f>
        <v>1</v>
      </c>
      <c r="H961" s="86">
        <f>SUMIFS('Climate Data'!$G$7:$G$366,'Climate Data'!$A$7:$A$366,Estimator!$B$4,'Climate Data'!$B$7:$B$366,C961)</f>
        <v>0.23548387096774193</v>
      </c>
      <c r="I961" s="87">
        <f>SUMIFS('Climate Data'!$H$7:$H$366,'Climate Data'!$A$7:$A$366,Estimator!$B$4,'Climate Data'!$B$7:$B$366,C961)</f>
        <v>7.9589041095890414</v>
      </c>
      <c r="J961" s="86">
        <f>SUMIFS('Wind Proxy'!$H$8:$H$19,'Wind Proxy'!$A$8:$A$19,Estimator!$B$4,'Wind Proxy'!$B$8:$B$19,C961)</f>
        <v>0</v>
      </c>
    </row>
    <row r="962" spans="1:10" ht="14.4">
      <c r="A962" s="84">
        <v>46613</v>
      </c>
      <c r="B962" s="85">
        <v>2027</v>
      </c>
      <c r="C962" s="85">
        <v>8</v>
      </c>
      <c r="D962" s="85" t="s">
        <v>71</v>
      </c>
      <c r="E962" s="85">
        <v>14</v>
      </c>
      <c r="F962" s="85">
        <v>6</v>
      </c>
      <c r="G962" s="85">
        <f>--(F962&lt;=Estimator!$B$7)</f>
        <v>0</v>
      </c>
      <c r="H962" s="86">
        <f>SUMIFS('Climate Data'!$G$7:$G$366,'Climate Data'!$A$7:$A$366,Estimator!$B$4,'Climate Data'!$B$7:$B$366,C962)</f>
        <v>0.23548387096774193</v>
      </c>
      <c r="I962" s="87">
        <f>SUMIFS('Climate Data'!$H$7:$H$366,'Climate Data'!$A$7:$A$366,Estimator!$B$4,'Climate Data'!$B$7:$B$366,C962)</f>
        <v>7.9589041095890414</v>
      </c>
      <c r="J962" s="86">
        <f>SUMIFS('Wind Proxy'!$H$8:$H$19,'Wind Proxy'!$A$8:$A$19,Estimator!$B$4,'Wind Proxy'!$B$8:$B$19,C962)</f>
        <v>0</v>
      </c>
    </row>
    <row r="963" spans="1:10" ht="14.4">
      <c r="A963" s="84">
        <v>46614</v>
      </c>
      <c r="B963" s="85">
        <v>2027</v>
      </c>
      <c r="C963" s="85">
        <v>8</v>
      </c>
      <c r="D963" s="85" t="s">
        <v>71</v>
      </c>
      <c r="E963" s="85">
        <v>15</v>
      </c>
      <c r="F963" s="85">
        <v>7</v>
      </c>
      <c r="G963" s="85">
        <f>--(F963&lt;=Estimator!$B$7)</f>
        <v>0</v>
      </c>
      <c r="H963" s="86">
        <f>SUMIFS('Climate Data'!$G$7:$G$366,'Climate Data'!$A$7:$A$366,Estimator!$B$4,'Climate Data'!$B$7:$B$366,C963)</f>
        <v>0.23548387096774193</v>
      </c>
      <c r="I963" s="87">
        <f>SUMIFS('Climate Data'!$H$7:$H$366,'Climate Data'!$A$7:$A$366,Estimator!$B$4,'Climate Data'!$B$7:$B$366,C963)</f>
        <v>7.9589041095890414</v>
      </c>
      <c r="J963" s="86">
        <f>SUMIFS('Wind Proxy'!$H$8:$H$19,'Wind Proxy'!$A$8:$A$19,Estimator!$B$4,'Wind Proxy'!$B$8:$B$19,C963)</f>
        <v>0</v>
      </c>
    </row>
    <row r="964" spans="1:10" ht="14.4">
      <c r="A964" s="84">
        <v>46615</v>
      </c>
      <c r="B964" s="85">
        <v>2027</v>
      </c>
      <c r="C964" s="85">
        <v>8</v>
      </c>
      <c r="D964" s="85" t="s">
        <v>71</v>
      </c>
      <c r="E964" s="85">
        <v>16</v>
      </c>
      <c r="F964" s="85">
        <v>1</v>
      </c>
      <c r="G964" s="85">
        <f>--(F964&lt;=Estimator!$B$7)</f>
        <v>1</v>
      </c>
      <c r="H964" s="86">
        <f>SUMIFS('Climate Data'!$G$7:$G$366,'Climate Data'!$A$7:$A$366,Estimator!$B$4,'Climate Data'!$B$7:$B$366,C964)</f>
        <v>0.23548387096774193</v>
      </c>
      <c r="I964" s="87">
        <f>SUMIFS('Climate Data'!$H$7:$H$366,'Climate Data'!$A$7:$A$366,Estimator!$B$4,'Climate Data'!$B$7:$B$366,C964)</f>
        <v>7.9589041095890414</v>
      </c>
      <c r="J964" s="86">
        <f>SUMIFS('Wind Proxy'!$H$8:$H$19,'Wind Proxy'!$A$8:$A$19,Estimator!$B$4,'Wind Proxy'!$B$8:$B$19,C964)</f>
        <v>0</v>
      </c>
    </row>
    <row r="965" spans="1:10" ht="14.4">
      <c r="A965" s="84">
        <v>46616</v>
      </c>
      <c r="B965" s="85">
        <v>2027</v>
      </c>
      <c r="C965" s="85">
        <v>8</v>
      </c>
      <c r="D965" s="85" t="s">
        <v>71</v>
      </c>
      <c r="E965" s="85">
        <v>17</v>
      </c>
      <c r="F965" s="85">
        <v>2</v>
      </c>
      <c r="G965" s="85">
        <f>--(F965&lt;=Estimator!$B$7)</f>
        <v>1</v>
      </c>
      <c r="H965" s="86">
        <f>SUMIFS('Climate Data'!$G$7:$G$366,'Climate Data'!$A$7:$A$366,Estimator!$B$4,'Climate Data'!$B$7:$B$366,C965)</f>
        <v>0.23548387096774193</v>
      </c>
      <c r="I965" s="87">
        <f>SUMIFS('Climate Data'!$H$7:$H$366,'Climate Data'!$A$7:$A$366,Estimator!$B$4,'Climate Data'!$B$7:$B$366,C965)</f>
        <v>7.9589041095890414</v>
      </c>
      <c r="J965" s="86">
        <f>SUMIFS('Wind Proxy'!$H$8:$H$19,'Wind Proxy'!$A$8:$A$19,Estimator!$B$4,'Wind Proxy'!$B$8:$B$19,C965)</f>
        <v>0</v>
      </c>
    </row>
    <row r="966" spans="1:10" ht="14.4">
      <c r="A966" s="84">
        <v>46617</v>
      </c>
      <c r="B966" s="85">
        <v>2027</v>
      </c>
      <c r="C966" s="85">
        <v>8</v>
      </c>
      <c r="D966" s="85" t="s">
        <v>71</v>
      </c>
      <c r="E966" s="85">
        <v>18</v>
      </c>
      <c r="F966" s="85">
        <v>3</v>
      </c>
      <c r="G966" s="85">
        <f>--(F966&lt;=Estimator!$B$7)</f>
        <v>1</v>
      </c>
      <c r="H966" s="86">
        <f>SUMIFS('Climate Data'!$G$7:$G$366,'Climate Data'!$A$7:$A$366,Estimator!$B$4,'Climate Data'!$B$7:$B$366,C966)</f>
        <v>0.23548387096774193</v>
      </c>
      <c r="I966" s="87">
        <f>SUMIFS('Climate Data'!$H$7:$H$366,'Climate Data'!$A$7:$A$366,Estimator!$B$4,'Climate Data'!$B$7:$B$366,C966)</f>
        <v>7.9589041095890414</v>
      </c>
      <c r="J966" s="86">
        <f>SUMIFS('Wind Proxy'!$H$8:$H$19,'Wind Proxy'!$A$8:$A$19,Estimator!$B$4,'Wind Proxy'!$B$8:$B$19,C966)</f>
        <v>0</v>
      </c>
    </row>
    <row r="967" spans="1:10" ht="14.4">
      <c r="A967" s="84">
        <v>46618</v>
      </c>
      <c r="B967" s="85">
        <v>2027</v>
      </c>
      <c r="C967" s="85">
        <v>8</v>
      </c>
      <c r="D967" s="85" t="s">
        <v>71</v>
      </c>
      <c r="E967" s="85">
        <v>19</v>
      </c>
      <c r="F967" s="85">
        <v>4</v>
      </c>
      <c r="G967" s="85">
        <f>--(F967&lt;=Estimator!$B$7)</f>
        <v>1</v>
      </c>
      <c r="H967" s="86">
        <f>SUMIFS('Climate Data'!$G$7:$G$366,'Climate Data'!$A$7:$A$366,Estimator!$B$4,'Climate Data'!$B$7:$B$366,C967)</f>
        <v>0.23548387096774193</v>
      </c>
      <c r="I967" s="87">
        <f>SUMIFS('Climate Data'!$H$7:$H$366,'Climate Data'!$A$7:$A$366,Estimator!$B$4,'Climate Data'!$B$7:$B$366,C967)</f>
        <v>7.9589041095890414</v>
      </c>
      <c r="J967" s="86">
        <f>SUMIFS('Wind Proxy'!$H$8:$H$19,'Wind Proxy'!$A$8:$A$19,Estimator!$B$4,'Wind Proxy'!$B$8:$B$19,C967)</f>
        <v>0</v>
      </c>
    </row>
    <row r="968" spans="1:10" ht="14.4">
      <c r="A968" s="84">
        <v>46619</v>
      </c>
      <c r="B968" s="85">
        <v>2027</v>
      </c>
      <c r="C968" s="85">
        <v>8</v>
      </c>
      <c r="D968" s="85" t="s">
        <v>71</v>
      </c>
      <c r="E968" s="85">
        <v>20</v>
      </c>
      <c r="F968" s="85">
        <v>5</v>
      </c>
      <c r="G968" s="85">
        <f>--(F968&lt;=Estimator!$B$7)</f>
        <v>1</v>
      </c>
      <c r="H968" s="86">
        <f>SUMIFS('Climate Data'!$G$7:$G$366,'Climate Data'!$A$7:$A$366,Estimator!$B$4,'Climate Data'!$B$7:$B$366,C968)</f>
        <v>0.23548387096774193</v>
      </c>
      <c r="I968" s="87">
        <f>SUMIFS('Climate Data'!$H$7:$H$366,'Climate Data'!$A$7:$A$366,Estimator!$B$4,'Climate Data'!$B$7:$B$366,C968)</f>
        <v>7.9589041095890414</v>
      </c>
      <c r="J968" s="86">
        <f>SUMIFS('Wind Proxy'!$H$8:$H$19,'Wind Proxy'!$A$8:$A$19,Estimator!$B$4,'Wind Proxy'!$B$8:$B$19,C968)</f>
        <v>0</v>
      </c>
    </row>
    <row r="969" spans="1:10" ht="14.4">
      <c r="A969" s="84">
        <v>46620</v>
      </c>
      <c r="B969" s="85">
        <v>2027</v>
      </c>
      <c r="C969" s="85">
        <v>8</v>
      </c>
      <c r="D969" s="85" t="s">
        <v>71</v>
      </c>
      <c r="E969" s="85">
        <v>21</v>
      </c>
      <c r="F969" s="85">
        <v>6</v>
      </c>
      <c r="G969" s="85">
        <f>--(F969&lt;=Estimator!$B$7)</f>
        <v>0</v>
      </c>
      <c r="H969" s="86">
        <f>SUMIFS('Climate Data'!$G$7:$G$366,'Climate Data'!$A$7:$A$366,Estimator!$B$4,'Climate Data'!$B$7:$B$366,C969)</f>
        <v>0.23548387096774193</v>
      </c>
      <c r="I969" s="87">
        <f>SUMIFS('Climate Data'!$H$7:$H$366,'Climate Data'!$A$7:$A$366,Estimator!$B$4,'Climate Data'!$B$7:$B$366,C969)</f>
        <v>7.9589041095890414</v>
      </c>
      <c r="J969" s="86">
        <f>SUMIFS('Wind Proxy'!$H$8:$H$19,'Wind Proxy'!$A$8:$A$19,Estimator!$B$4,'Wind Proxy'!$B$8:$B$19,C969)</f>
        <v>0</v>
      </c>
    </row>
    <row r="970" spans="1:10" ht="14.4">
      <c r="A970" s="84">
        <v>46621</v>
      </c>
      <c r="B970" s="85">
        <v>2027</v>
      </c>
      <c r="C970" s="85">
        <v>8</v>
      </c>
      <c r="D970" s="85" t="s">
        <v>71</v>
      </c>
      <c r="E970" s="85">
        <v>22</v>
      </c>
      <c r="F970" s="85">
        <v>7</v>
      </c>
      <c r="G970" s="85">
        <f>--(F970&lt;=Estimator!$B$7)</f>
        <v>0</v>
      </c>
      <c r="H970" s="86">
        <f>SUMIFS('Climate Data'!$G$7:$G$366,'Climate Data'!$A$7:$A$366,Estimator!$B$4,'Climate Data'!$B$7:$B$366,C970)</f>
        <v>0.23548387096774193</v>
      </c>
      <c r="I970" s="87">
        <f>SUMIFS('Climate Data'!$H$7:$H$366,'Climate Data'!$A$7:$A$366,Estimator!$B$4,'Climate Data'!$B$7:$B$366,C970)</f>
        <v>7.9589041095890414</v>
      </c>
      <c r="J970" s="86">
        <f>SUMIFS('Wind Proxy'!$H$8:$H$19,'Wind Proxy'!$A$8:$A$19,Estimator!$B$4,'Wind Proxy'!$B$8:$B$19,C970)</f>
        <v>0</v>
      </c>
    </row>
    <row r="971" spans="1:10" ht="14.4">
      <c r="A971" s="84">
        <v>46622</v>
      </c>
      <c r="B971" s="85">
        <v>2027</v>
      </c>
      <c r="C971" s="85">
        <v>8</v>
      </c>
      <c r="D971" s="85" t="s">
        <v>71</v>
      </c>
      <c r="E971" s="85">
        <v>23</v>
      </c>
      <c r="F971" s="85">
        <v>1</v>
      </c>
      <c r="G971" s="85">
        <f>--(F971&lt;=Estimator!$B$7)</f>
        <v>1</v>
      </c>
      <c r="H971" s="86">
        <f>SUMIFS('Climate Data'!$G$7:$G$366,'Climate Data'!$A$7:$A$366,Estimator!$B$4,'Climate Data'!$B$7:$B$366,C971)</f>
        <v>0.23548387096774193</v>
      </c>
      <c r="I971" s="87">
        <f>SUMIFS('Climate Data'!$H$7:$H$366,'Climate Data'!$A$7:$A$366,Estimator!$B$4,'Climate Data'!$B$7:$B$366,C971)</f>
        <v>7.9589041095890414</v>
      </c>
      <c r="J971" s="86">
        <f>SUMIFS('Wind Proxy'!$H$8:$H$19,'Wind Proxy'!$A$8:$A$19,Estimator!$B$4,'Wind Proxy'!$B$8:$B$19,C971)</f>
        <v>0</v>
      </c>
    </row>
    <row r="972" spans="1:10" ht="14.4">
      <c r="A972" s="84">
        <v>46623</v>
      </c>
      <c r="B972" s="85">
        <v>2027</v>
      </c>
      <c r="C972" s="85">
        <v>8</v>
      </c>
      <c r="D972" s="85" t="s">
        <v>71</v>
      </c>
      <c r="E972" s="85">
        <v>24</v>
      </c>
      <c r="F972" s="85">
        <v>2</v>
      </c>
      <c r="G972" s="85">
        <f>--(F972&lt;=Estimator!$B$7)</f>
        <v>1</v>
      </c>
      <c r="H972" s="86">
        <f>SUMIFS('Climate Data'!$G$7:$G$366,'Climate Data'!$A$7:$A$366,Estimator!$B$4,'Climate Data'!$B$7:$B$366,C972)</f>
        <v>0.23548387096774193</v>
      </c>
      <c r="I972" s="87">
        <f>SUMIFS('Climate Data'!$H$7:$H$366,'Climate Data'!$A$7:$A$366,Estimator!$B$4,'Climate Data'!$B$7:$B$366,C972)</f>
        <v>7.9589041095890414</v>
      </c>
      <c r="J972" s="86">
        <f>SUMIFS('Wind Proxy'!$H$8:$H$19,'Wind Proxy'!$A$8:$A$19,Estimator!$B$4,'Wind Proxy'!$B$8:$B$19,C972)</f>
        <v>0</v>
      </c>
    </row>
    <row r="973" spans="1:10" ht="14.4">
      <c r="A973" s="84">
        <v>46624</v>
      </c>
      <c r="B973" s="85">
        <v>2027</v>
      </c>
      <c r="C973" s="85">
        <v>8</v>
      </c>
      <c r="D973" s="85" t="s">
        <v>71</v>
      </c>
      <c r="E973" s="85">
        <v>25</v>
      </c>
      <c r="F973" s="85">
        <v>3</v>
      </c>
      <c r="G973" s="85">
        <f>--(F973&lt;=Estimator!$B$7)</f>
        <v>1</v>
      </c>
      <c r="H973" s="86">
        <f>SUMIFS('Climate Data'!$G$7:$G$366,'Climate Data'!$A$7:$A$366,Estimator!$B$4,'Climate Data'!$B$7:$B$366,C973)</f>
        <v>0.23548387096774193</v>
      </c>
      <c r="I973" s="87">
        <f>SUMIFS('Climate Data'!$H$7:$H$366,'Climate Data'!$A$7:$A$366,Estimator!$B$4,'Climate Data'!$B$7:$B$366,C973)</f>
        <v>7.9589041095890414</v>
      </c>
      <c r="J973" s="86">
        <f>SUMIFS('Wind Proxy'!$H$8:$H$19,'Wind Proxy'!$A$8:$A$19,Estimator!$B$4,'Wind Proxy'!$B$8:$B$19,C973)</f>
        <v>0</v>
      </c>
    </row>
    <row r="974" spans="1:10" ht="14.4">
      <c r="A974" s="84">
        <v>46625</v>
      </c>
      <c r="B974" s="85">
        <v>2027</v>
      </c>
      <c r="C974" s="85">
        <v>8</v>
      </c>
      <c r="D974" s="85" t="s">
        <v>71</v>
      </c>
      <c r="E974" s="85">
        <v>26</v>
      </c>
      <c r="F974" s="85">
        <v>4</v>
      </c>
      <c r="G974" s="85">
        <f>--(F974&lt;=Estimator!$B$7)</f>
        <v>1</v>
      </c>
      <c r="H974" s="86">
        <f>SUMIFS('Climate Data'!$G$7:$G$366,'Climate Data'!$A$7:$A$366,Estimator!$B$4,'Climate Data'!$B$7:$B$366,C974)</f>
        <v>0.23548387096774193</v>
      </c>
      <c r="I974" s="87">
        <f>SUMIFS('Climate Data'!$H$7:$H$366,'Climate Data'!$A$7:$A$366,Estimator!$B$4,'Climate Data'!$B$7:$B$366,C974)</f>
        <v>7.9589041095890414</v>
      </c>
      <c r="J974" s="86">
        <f>SUMIFS('Wind Proxy'!$H$8:$H$19,'Wind Proxy'!$A$8:$A$19,Estimator!$B$4,'Wind Proxy'!$B$8:$B$19,C974)</f>
        <v>0</v>
      </c>
    </row>
    <row r="975" spans="1:10" ht="14.4">
      <c r="A975" s="84">
        <v>46626</v>
      </c>
      <c r="B975" s="85">
        <v>2027</v>
      </c>
      <c r="C975" s="85">
        <v>8</v>
      </c>
      <c r="D975" s="85" t="s">
        <v>71</v>
      </c>
      <c r="E975" s="85">
        <v>27</v>
      </c>
      <c r="F975" s="85">
        <v>5</v>
      </c>
      <c r="G975" s="85">
        <f>--(F975&lt;=Estimator!$B$7)</f>
        <v>1</v>
      </c>
      <c r="H975" s="86">
        <f>SUMIFS('Climate Data'!$G$7:$G$366,'Climate Data'!$A$7:$A$366,Estimator!$B$4,'Climate Data'!$B$7:$B$366,C975)</f>
        <v>0.23548387096774193</v>
      </c>
      <c r="I975" s="87">
        <f>SUMIFS('Climate Data'!$H$7:$H$366,'Climate Data'!$A$7:$A$366,Estimator!$B$4,'Climate Data'!$B$7:$B$366,C975)</f>
        <v>7.9589041095890414</v>
      </c>
      <c r="J975" s="86">
        <f>SUMIFS('Wind Proxy'!$H$8:$H$19,'Wind Proxy'!$A$8:$A$19,Estimator!$B$4,'Wind Proxy'!$B$8:$B$19,C975)</f>
        <v>0</v>
      </c>
    </row>
    <row r="976" spans="1:10" ht="14.4">
      <c r="A976" s="84">
        <v>46627</v>
      </c>
      <c r="B976" s="85">
        <v>2027</v>
      </c>
      <c r="C976" s="85">
        <v>8</v>
      </c>
      <c r="D976" s="85" t="s">
        <v>71</v>
      </c>
      <c r="E976" s="85">
        <v>28</v>
      </c>
      <c r="F976" s="85">
        <v>6</v>
      </c>
      <c r="G976" s="85">
        <f>--(F976&lt;=Estimator!$B$7)</f>
        <v>0</v>
      </c>
      <c r="H976" s="86">
        <f>SUMIFS('Climate Data'!$G$7:$G$366,'Climate Data'!$A$7:$A$366,Estimator!$B$4,'Climate Data'!$B$7:$B$366,C976)</f>
        <v>0.23548387096774193</v>
      </c>
      <c r="I976" s="87">
        <f>SUMIFS('Climate Data'!$H$7:$H$366,'Climate Data'!$A$7:$A$366,Estimator!$B$4,'Climate Data'!$B$7:$B$366,C976)</f>
        <v>7.9589041095890414</v>
      </c>
      <c r="J976" s="86">
        <f>SUMIFS('Wind Proxy'!$H$8:$H$19,'Wind Proxy'!$A$8:$A$19,Estimator!$B$4,'Wind Proxy'!$B$8:$B$19,C976)</f>
        <v>0</v>
      </c>
    </row>
    <row r="977" spans="1:10" ht="14.4">
      <c r="A977" s="84">
        <v>46628</v>
      </c>
      <c r="B977" s="85">
        <v>2027</v>
      </c>
      <c r="C977" s="85">
        <v>8</v>
      </c>
      <c r="D977" s="85" t="s">
        <v>71</v>
      </c>
      <c r="E977" s="85">
        <v>29</v>
      </c>
      <c r="F977" s="85">
        <v>7</v>
      </c>
      <c r="G977" s="85">
        <f>--(F977&lt;=Estimator!$B$7)</f>
        <v>0</v>
      </c>
      <c r="H977" s="86">
        <f>SUMIFS('Climate Data'!$G$7:$G$366,'Climate Data'!$A$7:$A$366,Estimator!$B$4,'Climate Data'!$B$7:$B$366,C977)</f>
        <v>0.23548387096774193</v>
      </c>
      <c r="I977" s="87">
        <f>SUMIFS('Climate Data'!$H$7:$H$366,'Climate Data'!$A$7:$A$366,Estimator!$B$4,'Climate Data'!$B$7:$B$366,C977)</f>
        <v>7.9589041095890414</v>
      </c>
      <c r="J977" s="86">
        <f>SUMIFS('Wind Proxy'!$H$8:$H$19,'Wind Proxy'!$A$8:$A$19,Estimator!$B$4,'Wind Proxy'!$B$8:$B$19,C977)</f>
        <v>0</v>
      </c>
    </row>
    <row r="978" spans="1:10" ht="14.4">
      <c r="A978" s="84">
        <v>46629</v>
      </c>
      <c r="B978" s="85">
        <v>2027</v>
      </c>
      <c r="C978" s="85">
        <v>8</v>
      </c>
      <c r="D978" s="85" t="s">
        <v>71</v>
      </c>
      <c r="E978" s="85">
        <v>30</v>
      </c>
      <c r="F978" s="85">
        <v>1</v>
      </c>
      <c r="G978" s="85">
        <f>--(F978&lt;=Estimator!$B$7)</f>
        <v>1</v>
      </c>
      <c r="H978" s="86">
        <f>SUMIFS('Climate Data'!$G$7:$G$366,'Climate Data'!$A$7:$A$366,Estimator!$B$4,'Climate Data'!$B$7:$B$366,C978)</f>
        <v>0.23548387096774193</v>
      </c>
      <c r="I978" s="87">
        <f>SUMIFS('Climate Data'!$H$7:$H$366,'Climate Data'!$A$7:$A$366,Estimator!$B$4,'Climate Data'!$B$7:$B$366,C978)</f>
        <v>7.9589041095890414</v>
      </c>
      <c r="J978" s="86">
        <f>SUMIFS('Wind Proxy'!$H$8:$H$19,'Wind Proxy'!$A$8:$A$19,Estimator!$B$4,'Wind Proxy'!$B$8:$B$19,C978)</f>
        <v>0</v>
      </c>
    </row>
    <row r="979" spans="1:10" ht="14.4">
      <c r="A979" s="84">
        <v>46630</v>
      </c>
      <c r="B979" s="85">
        <v>2027</v>
      </c>
      <c r="C979" s="85">
        <v>8</v>
      </c>
      <c r="D979" s="85" t="s">
        <v>71</v>
      </c>
      <c r="E979" s="85">
        <v>31</v>
      </c>
      <c r="F979" s="85">
        <v>2</v>
      </c>
      <c r="G979" s="85">
        <f>--(F979&lt;=Estimator!$B$7)</f>
        <v>1</v>
      </c>
      <c r="H979" s="86">
        <f>SUMIFS('Climate Data'!$G$7:$G$366,'Climate Data'!$A$7:$A$366,Estimator!$B$4,'Climate Data'!$B$7:$B$366,C979)</f>
        <v>0.23548387096774193</v>
      </c>
      <c r="I979" s="87">
        <f>SUMIFS('Climate Data'!$H$7:$H$366,'Climate Data'!$A$7:$A$366,Estimator!$B$4,'Climate Data'!$B$7:$B$366,C979)</f>
        <v>7.9589041095890414</v>
      </c>
      <c r="J979" s="86">
        <f>SUMIFS('Wind Proxy'!$H$8:$H$19,'Wind Proxy'!$A$8:$A$19,Estimator!$B$4,'Wind Proxy'!$B$8:$B$19,C979)</f>
        <v>0</v>
      </c>
    </row>
    <row r="980" spans="1:10" ht="14.4">
      <c r="A980" s="84">
        <v>46631</v>
      </c>
      <c r="B980" s="85">
        <v>2027</v>
      </c>
      <c r="C980" s="85">
        <v>9</v>
      </c>
      <c r="D980" s="85" t="s">
        <v>73</v>
      </c>
      <c r="E980" s="85">
        <v>1</v>
      </c>
      <c r="F980" s="85">
        <v>3</v>
      </c>
      <c r="G980" s="85">
        <f>--(F980&lt;=Estimator!$B$7)</f>
        <v>1</v>
      </c>
      <c r="H980" s="86">
        <f>SUMIFS('Climate Data'!$G$7:$G$366,'Climate Data'!$A$7:$A$366,Estimator!$B$4,'Climate Data'!$B$7:$B$366,C980)</f>
        <v>0.20666666666666667</v>
      </c>
      <c r="I980" s="87">
        <f>SUMIFS('Climate Data'!$H$7:$H$366,'Climate Data'!$A$7:$A$366,Estimator!$B$4,'Climate Data'!$B$7:$B$366,C980)</f>
        <v>6.806451612903226</v>
      </c>
      <c r="J980" s="86">
        <f>SUMIFS('Wind Proxy'!$H$8:$H$19,'Wind Proxy'!$A$8:$A$19,Estimator!$B$4,'Wind Proxy'!$B$8:$B$19,C980)</f>
        <v>0</v>
      </c>
    </row>
    <row r="981" spans="1:10" ht="14.4">
      <c r="A981" s="84">
        <v>46632</v>
      </c>
      <c r="B981" s="85">
        <v>2027</v>
      </c>
      <c r="C981" s="85">
        <v>9</v>
      </c>
      <c r="D981" s="85" t="s">
        <v>73</v>
      </c>
      <c r="E981" s="85">
        <v>2</v>
      </c>
      <c r="F981" s="85">
        <v>4</v>
      </c>
      <c r="G981" s="85">
        <f>--(F981&lt;=Estimator!$B$7)</f>
        <v>1</v>
      </c>
      <c r="H981" s="86">
        <f>SUMIFS('Climate Data'!$G$7:$G$366,'Climate Data'!$A$7:$A$366,Estimator!$B$4,'Climate Data'!$B$7:$B$366,C981)</f>
        <v>0.20666666666666667</v>
      </c>
      <c r="I981" s="87">
        <f>SUMIFS('Climate Data'!$H$7:$H$366,'Climate Data'!$A$7:$A$366,Estimator!$B$4,'Climate Data'!$B$7:$B$366,C981)</f>
        <v>6.806451612903226</v>
      </c>
      <c r="J981" s="86">
        <f>SUMIFS('Wind Proxy'!$H$8:$H$19,'Wind Proxy'!$A$8:$A$19,Estimator!$B$4,'Wind Proxy'!$B$8:$B$19,C981)</f>
        <v>0</v>
      </c>
    </row>
    <row r="982" spans="1:10" ht="14.4">
      <c r="A982" s="84">
        <v>46633</v>
      </c>
      <c r="B982" s="85">
        <v>2027</v>
      </c>
      <c r="C982" s="85">
        <v>9</v>
      </c>
      <c r="D982" s="85" t="s">
        <v>73</v>
      </c>
      <c r="E982" s="85">
        <v>3</v>
      </c>
      <c r="F982" s="85">
        <v>5</v>
      </c>
      <c r="G982" s="85">
        <f>--(F982&lt;=Estimator!$B$7)</f>
        <v>1</v>
      </c>
      <c r="H982" s="86">
        <f>SUMIFS('Climate Data'!$G$7:$G$366,'Climate Data'!$A$7:$A$366,Estimator!$B$4,'Climate Data'!$B$7:$B$366,C982)</f>
        <v>0.20666666666666667</v>
      </c>
      <c r="I982" s="87">
        <f>SUMIFS('Climate Data'!$H$7:$H$366,'Climate Data'!$A$7:$A$366,Estimator!$B$4,'Climate Data'!$B$7:$B$366,C982)</f>
        <v>6.806451612903226</v>
      </c>
      <c r="J982" s="86">
        <f>SUMIFS('Wind Proxy'!$H$8:$H$19,'Wind Proxy'!$A$8:$A$19,Estimator!$B$4,'Wind Proxy'!$B$8:$B$19,C982)</f>
        <v>0</v>
      </c>
    </row>
    <row r="983" spans="1:10" ht="14.4">
      <c r="A983" s="84">
        <v>46634</v>
      </c>
      <c r="B983" s="85">
        <v>2027</v>
      </c>
      <c r="C983" s="85">
        <v>9</v>
      </c>
      <c r="D983" s="85" t="s">
        <v>73</v>
      </c>
      <c r="E983" s="85">
        <v>4</v>
      </c>
      <c r="F983" s="85">
        <v>6</v>
      </c>
      <c r="G983" s="85">
        <f>--(F983&lt;=Estimator!$B$7)</f>
        <v>0</v>
      </c>
      <c r="H983" s="86">
        <f>SUMIFS('Climate Data'!$G$7:$G$366,'Climate Data'!$A$7:$A$366,Estimator!$B$4,'Climate Data'!$B$7:$B$366,C983)</f>
        <v>0.20666666666666667</v>
      </c>
      <c r="I983" s="87">
        <f>SUMIFS('Climate Data'!$H$7:$H$366,'Climate Data'!$A$7:$A$366,Estimator!$B$4,'Climate Data'!$B$7:$B$366,C983)</f>
        <v>6.806451612903226</v>
      </c>
      <c r="J983" s="86">
        <f>SUMIFS('Wind Proxy'!$H$8:$H$19,'Wind Proxy'!$A$8:$A$19,Estimator!$B$4,'Wind Proxy'!$B$8:$B$19,C983)</f>
        <v>0</v>
      </c>
    </row>
    <row r="984" spans="1:10" ht="14.4">
      <c r="A984" s="84">
        <v>46635</v>
      </c>
      <c r="B984" s="85">
        <v>2027</v>
      </c>
      <c r="C984" s="85">
        <v>9</v>
      </c>
      <c r="D984" s="85" t="s">
        <v>73</v>
      </c>
      <c r="E984" s="85">
        <v>5</v>
      </c>
      <c r="F984" s="85">
        <v>7</v>
      </c>
      <c r="G984" s="85">
        <f>--(F984&lt;=Estimator!$B$7)</f>
        <v>0</v>
      </c>
      <c r="H984" s="86">
        <f>SUMIFS('Climate Data'!$G$7:$G$366,'Climate Data'!$A$7:$A$366,Estimator!$B$4,'Climate Data'!$B$7:$B$366,C984)</f>
        <v>0.20666666666666667</v>
      </c>
      <c r="I984" s="87">
        <f>SUMIFS('Climate Data'!$H$7:$H$366,'Climate Data'!$A$7:$A$366,Estimator!$B$4,'Climate Data'!$B$7:$B$366,C984)</f>
        <v>6.806451612903226</v>
      </c>
      <c r="J984" s="86">
        <f>SUMIFS('Wind Proxy'!$H$8:$H$19,'Wind Proxy'!$A$8:$A$19,Estimator!$B$4,'Wind Proxy'!$B$8:$B$19,C984)</f>
        <v>0</v>
      </c>
    </row>
    <row r="985" spans="1:10" ht="14.4">
      <c r="A985" s="84">
        <v>46636</v>
      </c>
      <c r="B985" s="85">
        <v>2027</v>
      </c>
      <c r="C985" s="85">
        <v>9</v>
      </c>
      <c r="D985" s="85" t="s">
        <v>73</v>
      </c>
      <c r="E985" s="85">
        <v>6</v>
      </c>
      <c r="F985" s="85">
        <v>1</v>
      </c>
      <c r="G985" s="85">
        <f>--(F985&lt;=Estimator!$B$7)</f>
        <v>1</v>
      </c>
      <c r="H985" s="86">
        <f>SUMIFS('Climate Data'!$G$7:$G$366,'Climate Data'!$A$7:$A$366,Estimator!$B$4,'Climate Data'!$B$7:$B$366,C985)</f>
        <v>0.20666666666666667</v>
      </c>
      <c r="I985" s="87">
        <f>SUMIFS('Climate Data'!$H$7:$H$366,'Climate Data'!$A$7:$A$366,Estimator!$B$4,'Climate Data'!$B$7:$B$366,C985)</f>
        <v>6.806451612903226</v>
      </c>
      <c r="J985" s="86">
        <f>SUMIFS('Wind Proxy'!$H$8:$H$19,'Wind Proxy'!$A$8:$A$19,Estimator!$B$4,'Wind Proxy'!$B$8:$B$19,C985)</f>
        <v>0</v>
      </c>
    </row>
    <row r="986" spans="1:10" ht="14.4">
      <c r="A986" s="84">
        <v>46637</v>
      </c>
      <c r="B986" s="85">
        <v>2027</v>
      </c>
      <c r="C986" s="85">
        <v>9</v>
      </c>
      <c r="D986" s="85" t="s">
        <v>73</v>
      </c>
      <c r="E986" s="85">
        <v>7</v>
      </c>
      <c r="F986" s="85">
        <v>2</v>
      </c>
      <c r="G986" s="85">
        <f>--(F986&lt;=Estimator!$B$7)</f>
        <v>1</v>
      </c>
      <c r="H986" s="86">
        <f>SUMIFS('Climate Data'!$G$7:$G$366,'Climate Data'!$A$7:$A$366,Estimator!$B$4,'Climate Data'!$B$7:$B$366,C986)</f>
        <v>0.20666666666666667</v>
      </c>
      <c r="I986" s="87">
        <f>SUMIFS('Climate Data'!$H$7:$H$366,'Climate Data'!$A$7:$A$366,Estimator!$B$4,'Climate Data'!$B$7:$B$366,C986)</f>
        <v>6.806451612903226</v>
      </c>
      <c r="J986" s="86">
        <f>SUMIFS('Wind Proxy'!$H$8:$H$19,'Wind Proxy'!$A$8:$A$19,Estimator!$B$4,'Wind Proxy'!$B$8:$B$19,C986)</f>
        <v>0</v>
      </c>
    </row>
    <row r="987" spans="1:10" ht="14.4">
      <c r="A987" s="84">
        <v>46638</v>
      </c>
      <c r="B987" s="85">
        <v>2027</v>
      </c>
      <c r="C987" s="85">
        <v>9</v>
      </c>
      <c r="D987" s="85" t="s">
        <v>73</v>
      </c>
      <c r="E987" s="85">
        <v>8</v>
      </c>
      <c r="F987" s="85">
        <v>3</v>
      </c>
      <c r="G987" s="85">
        <f>--(F987&lt;=Estimator!$B$7)</f>
        <v>1</v>
      </c>
      <c r="H987" s="86">
        <f>SUMIFS('Climate Data'!$G$7:$G$366,'Climate Data'!$A$7:$A$366,Estimator!$B$4,'Climate Data'!$B$7:$B$366,C987)</f>
        <v>0.20666666666666667</v>
      </c>
      <c r="I987" s="87">
        <f>SUMIFS('Climate Data'!$H$7:$H$366,'Climate Data'!$A$7:$A$366,Estimator!$B$4,'Climate Data'!$B$7:$B$366,C987)</f>
        <v>6.806451612903226</v>
      </c>
      <c r="J987" s="86">
        <f>SUMIFS('Wind Proxy'!$H$8:$H$19,'Wind Proxy'!$A$8:$A$19,Estimator!$B$4,'Wind Proxy'!$B$8:$B$19,C987)</f>
        <v>0</v>
      </c>
    </row>
    <row r="988" spans="1:10" ht="14.4">
      <c r="A988" s="84">
        <v>46639</v>
      </c>
      <c r="B988" s="85">
        <v>2027</v>
      </c>
      <c r="C988" s="85">
        <v>9</v>
      </c>
      <c r="D988" s="85" t="s">
        <v>73</v>
      </c>
      <c r="E988" s="85">
        <v>9</v>
      </c>
      <c r="F988" s="85">
        <v>4</v>
      </c>
      <c r="G988" s="85">
        <f>--(F988&lt;=Estimator!$B$7)</f>
        <v>1</v>
      </c>
      <c r="H988" s="86">
        <f>SUMIFS('Climate Data'!$G$7:$G$366,'Climate Data'!$A$7:$A$366,Estimator!$B$4,'Climate Data'!$B$7:$B$366,C988)</f>
        <v>0.20666666666666667</v>
      </c>
      <c r="I988" s="87">
        <f>SUMIFS('Climate Data'!$H$7:$H$366,'Climate Data'!$A$7:$A$366,Estimator!$B$4,'Climate Data'!$B$7:$B$366,C988)</f>
        <v>6.806451612903226</v>
      </c>
      <c r="J988" s="86">
        <f>SUMIFS('Wind Proxy'!$H$8:$H$19,'Wind Proxy'!$A$8:$A$19,Estimator!$B$4,'Wind Proxy'!$B$8:$B$19,C988)</f>
        <v>0</v>
      </c>
    </row>
    <row r="989" spans="1:10" ht="14.4">
      <c r="A989" s="84">
        <v>46640</v>
      </c>
      <c r="B989" s="85">
        <v>2027</v>
      </c>
      <c r="C989" s="85">
        <v>9</v>
      </c>
      <c r="D989" s="85" t="s">
        <v>73</v>
      </c>
      <c r="E989" s="85">
        <v>10</v>
      </c>
      <c r="F989" s="85">
        <v>5</v>
      </c>
      <c r="G989" s="85">
        <f>--(F989&lt;=Estimator!$B$7)</f>
        <v>1</v>
      </c>
      <c r="H989" s="86">
        <f>SUMIFS('Climate Data'!$G$7:$G$366,'Climate Data'!$A$7:$A$366,Estimator!$B$4,'Climate Data'!$B$7:$B$366,C989)</f>
        <v>0.20666666666666667</v>
      </c>
      <c r="I989" s="87">
        <f>SUMIFS('Climate Data'!$H$7:$H$366,'Climate Data'!$A$7:$A$366,Estimator!$B$4,'Climate Data'!$B$7:$B$366,C989)</f>
        <v>6.806451612903226</v>
      </c>
      <c r="J989" s="86">
        <f>SUMIFS('Wind Proxy'!$H$8:$H$19,'Wind Proxy'!$A$8:$A$19,Estimator!$B$4,'Wind Proxy'!$B$8:$B$19,C989)</f>
        <v>0</v>
      </c>
    </row>
    <row r="990" spans="1:10" ht="14.4">
      <c r="A990" s="84">
        <v>46641</v>
      </c>
      <c r="B990" s="85">
        <v>2027</v>
      </c>
      <c r="C990" s="85">
        <v>9</v>
      </c>
      <c r="D990" s="85" t="s">
        <v>73</v>
      </c>
      <c r="E990" s="85">
        <v>11</v>
      </c>
      <c r="F990" s="85">
        <v>6</v>
      </c>
      <c r="G990" s="85">
        <f>--(F990&lt;=Estimator!$B$7)</f>
        <v>0</v>
      </c>
      <c r="H990" s="86">
        <f>SUMIFS('Climate Data'!$G$7:$G$366,'Climate Data'!$A$7:$A$366,Estimator!$B$4,'Climate Data'!$B$7:$B$366,C990)</f>
        <v>0.20666666666666667</v>
      </c>
      <c r="I990" s="87">
        <f>SUMIFS('Climate Data'!$H$7:$H$366,'Climate Data'!$A$7:$A$366,Estimator!$B$4,'Climate Data'!$B$7:$B$366,C990)</f>
        <v>6.806451612903226</v>
      </c>
      <c r="J990" s="86">
        <f>SUMIFS('Wind Proxy'!$H$8:$H$19,'Wind Proxy'!$A$8:$A$19,Estimator!$B$4,'Wind Proxy'!$B$8:$B$19,C990)</f>
        <v>0</v>
      </c>
    </row>
    <row r="991" spans="1:10" ht="14.4">
      <c r="A991" s="84">
        <v>46642</v>
      </c>
      <c r="B991" s="85">
        <v>2027</v>
      </c>
      <c r="C991" s="85">
        <v>9</v>
      </c>
      <c r="D991" s="85" t="s">
        <v>73</v>
      </c>
      <c r="E991" s="85">
        <v>12</v>
      </c>
      <c r="F991" s="85">
        <v>7</v>
      </c>
      <c r="G991" s="85">
        <f>--(F991&lt;=Estimator!$B$7)</f>
        <v>0</v>
      </c>
      <c r="H991" s="86">
        <f>SUMIFS('Climate Data'!$G$7:$G$366,'Climate Data'!$A$7:$A$366,Estimator!$B$4,'Climate Data'!$B$7:$B$366,C991)</f>
        <v>0.20666666666666667</v>
      </c>
      <c r="I991" s="87">
        <f>SUMIFS('Climate Data'!$H$7:$H$366,'Climate Data'!$A$7:$A$366,Estimator!$B$4,'Climate Data'!$B$7:$B$366,C991)</f>
        <v>6.806451612903226</v>
      </c>
      <c r="J991" s="86">
        <f>SUMIFS('Wind Proxy'!$H$8:$H$19,'Wind Proxy'!$A$8:$A$19,Estimator!$B$4,'Wind Proxy'!$B$8:$B$19,C991)</f>
        <v>0</v>
      </c>
    </row>
    <row r="992" spans="1:10" ht="14.4">
      <c r="A992" s="84">
        <v>46643</v>
      </c>
      <c r="B992" s="85">
        <v>2027</v>
      </c>
      <c r="C992" s="85">
        <v>9</v>
      </c>
      <c r="D992" s="85" t="s">
        <v>73</v>
      </c>
      <c r="E992" s="85">
        <v>13</v>
      </c>
      <c r="F992" s="85">
        <v>1</v>
      </c>
      <c r="G992" s="85">
        <f>--(F992&lt;=Estimator!$B$7)</f>
        <v>1</v>
      </c>
      <c r="H992" s="86">
        <f>SUMIFS('Climate Data'!$G$7:$G$366,'Climate Data'!$A$7:$A$366,Estimator!$B$4,'Climate Data'!$B$7:$B$366,C992)</f>
        <v>0.20666666666666667</v>
      </c>
      <c r="I992" s="87">
        <f>SUMIFS('Climate Data'!$H$7:$H$366,'Climate Data'!$A$7:$A$366,Estimator!$B$4,'Climate Data'!$B$7:$B$366,C992)</f>
        <v>6.806451612903226</v>
      </c>
      <c r="J992" s="86">
        <f>SUMIFS('Wind Proxy'!$H$8:$H$19,'Wind Proxy'!$A$8:$A$19,Estimator!$B$4,'Wind Proxy'!$B$8:$B$19,C992)</f>
        <v>0</v>
      </c>
    </row>
    <row r="993" spans="1:10" ht="14.4">
      <c r="A993" s="84">
        <v>46644</v>
      </c>
      <c r="B993" s="85">
        <v>2027</v>
      </c>
      <c r="C993" s="85">
        <v>9</v>
      </c>
      <c r="D993" s="85" t="s">
        <v>73</v>
      </c>
      <c r="E993" s="85">
        <v>14</v>
      </c>
      <c r="F993" s="85">
        <v>2</v>
      </c>
      <c r="G993" s="85">
        <f>--(F993&lt;=Estimator!$B$7)</f>
        <v>1</v>
      </c>
      <c r="H993" s="86">
        <f>SUMIFS('Climate Data'!$G$7:$G$366,'Climate Data'!$A$7:$A$366,Estimator!$B$4,'Climate Data'!$B$7:$B$366,C993)</f>
        <v>0.20666666666666667</v>
      </c>
      <c r="I993" s="87">
        <f>SUMIFS('Climate Data'!$H$7:$H$366,'Climate Data'!$A$7:$A$366,Estimator!$B$4,'Climate Data'!$B$7:$B$366,C993)</f>
        <v>6.806451612903226</v>
      </c>
      <c r="J993" s="86">
        <f>SUMIFS('Wind Proxy'!$H$8:$H$19,'Wind Proxy'!$A$8:$A$19,Estimator!$B$4,'Wind Proxy'!$B$8:$B$19,C993)</f>
        <v>0</v>
      </c>
    </row>
    <row r="994" spans="1:10" ht="14.4">
      <c r="A994" s="84">
        <v>46645</v>
      </c>
      <c r="B994" s="85">
        <v>2027</v>
      </c>
      <c r="C994" s="85">
        <v>9</v>
      </c>
      <c r="D994" s="85" t="s">
        <v>73</v>
      </c>
      <c r="E994" s="85">
        <v>15</v>
      </c>
      <c r="F994" s="85">
        <v>3</v>
      </c>
      <c r="G994" s="85">
        <f>--(F994&lt;=Estimator!$B$7)</f>
        <v>1</v>
      </c>
      <c r="H994" s="86">
        <f>SUMIFS('Climate Data'!$G$7:$G$366,'Climate Data'!$A$7:$A$366,Estimator!$B$4,'Climate Data'!$B$7:$B$366,C994)</f>
        <v>0.20666666666666667</v>
      </c>
      <c r="I994" s="87">
        <f>SUMIFS('Climate Data'!$H$7:$H$366,'Climate Data'!$A$7:$A$366,Estimator!$B$4,'Climate Data'!$B$7:$B$366,C994)</f>
        <v>6.806451612903226</v>
      </c>
      <c r="J994" s="86">
        <f>SUMIFS('Wind Proxy'!$H$8:$H$19,'Wind Proxy'!$A$8:$A$19,Estimator!$B$4,'Wind Proxy'!$B$8:$B$19,C994)</f>
        <v>0</v>
      </c>
    </row>
    <row r="995" spans="1:10" ht="14.4">
      <c r="A995" s="84">
        <v>46646</v>
      </c>
      <c r="B995" s="85">
        <v>2027</v>
      </c>
      <c r="C995" s="85">
        <v>9</v>
      </c>
      <c r="D995" s="85" t="s">
        <v>73</v>
      </c>
      <c r="E995" s="85">
        <v>16</v>
      </c>
      <c r="F995" s="85">
        <v>4</v>
      </c>
      <c r="G995" s="85">
        <f>--(F995&lt;=Estimator!$B$7)</f>
        <v>1</v>
      </c>
      <c r="H995" s="86">
        <f>SUMIFS('Climate Data'!$G$7:$G$366,'Climate Data'!$A$7:$A$366,Estimator!$B$4,'Climate Data'!$B$7:$B$366,C995)</f>
        <v>0.20666666666666667</v>
      </c>
      <c r="I995" s="87">
        <f>SUMIFS('Climate Data'!$H$7:$H$366,'Climate Data'!$A$7:$A$366,Estimator!$B$4,'Climate Data'!$B$7:$B$366,C995)</f>
        <v>6.806451612903226</v>
      </c>
      <c r="J995" s="86">
        <f>SUMIFS('Wind Proxy'!$H$8:$H$19,'Wind Proxy'!$A$8:$A$19,Estimator!$B$4,'Wind Proxy'!$B$8:$B$19,C995)</f>
        <v>0</v>
      </c>
    </row>
    <row r="996" spans="1:10" ht="14.4">
      <c r="A996" s="84">
        <v>46647</v>
      </c>
      <c r="B996" s="85">
        <v>2027</v>
      </c>
      <c r="C996" s="85">
        <v>9</v>
      </c>
      <c r="D996" s="85" t="s">
        <v>73</v>
      </c>
      <c r="E996" s="85">
        <v>17</v>
      </c>
      <c r="F996" s="85">
        <v>5</v>
      </c>
      <c r="G996" s="85">
        <f>--(F996&lt;=Estimator!$B$7)</f>
        <v>1</v>
      </c>
      <c r="H996" s="86">
        <f>SUMIFS('Climate Data'!$G$7:$G$366,'Climate Data'!$A$7:$A$366,Estimator!$B$4,'Climate Data'!$B$7:$B$366,C996)</f>
        <v>0.20666666666666667</v>
      </c>
      <c r="I996" s="87">
        <f>SUMIFS('Climate Data'!$H$7:$H$366,'Climate Data'!$A$7:$A$366,Estimator!$B$4,'Climate Data'!$B$7:$B$366,C996)</f>
        <v>6.806451612903226</v>
      </c>
      <c r="J996" s="86">
        <f>SUMIFS('Wind Proxy'!$H$8:$H$19,'Wind Proxy'!$A$8:$A$19,Estimator!$B$4,'Wind Proxy'!$B$8:$B$19,C996)</f>
        <v>0</v>
      </c>
    </row>
    <row r="997" spans="1:10" ht="14.4">
      <c r="A997" s="84">
        <v>46648</v>
      </c>
      <c r="B997" s="85">
        <v>2027</v>
      </c>
      <c r="C997" s="85">
        <v>9</v>
      </c>
      <c r="D997" s="85" t="s">
        <v>73</v>
      </c>
      <c r="E997" s="85">
        <v>18</v>
      </c>
      <c r="F997" s="85">
        <v>6</v>
      </c>
      <c r="G997" s="85">
        <f>--(F997&lt;=Estimator!$B$7)</f>
        <v>0</v>
      </c>
      <c r="H997" s="86">
        <f>SUMIFS('Climate Data'!$G$7:$G$366,'Climate Data'!$A$7:$A$366,Estimator!$B$4,'Climate Data'!$B$7:$B$366,C997)</f>
        <v>0.20666666666666667</v>
      </c>
      <c r="I997" s="87">
        <f>SUMIFS('Climate Data'!$H$7:$H$366,'Climate Data'!$A$7:$A$366,Estimator!$B$4,'Climate Data'!$B$7:$B$366,C997)</f>
        <v>6.806451612903226</v>
      </c>
      <c r="J997" s="86">
        <f>SUMIFS('Wind Proxy'!$H$8:$H$19,'Wind Proxy'!$A$8:$A$19,Estimator!$B$4,'Wind Proxy'!$B$8:$B$19,C997)</f>
        <v>0</v>
      </c>
    </row>
    <row r="998" spans="1:10" ht="14.4">
      <c r="A998" s="84">
        <v>46649</v>
      </c>
      <c r="B998" s="85">
        <v>2027</v>
      </c>
      <c r="C998" s="85">
        <v>9</v>
      </c>
      <c r="D998" s="85" t="s">
        <v>73</v>
      </c>
      <c r="E998" s="85">
        <v>19</v>
      </c>
      <c r="F998" s="85">
        <v>7</v>
      </c>
      <c r="G998" s="85">
        <f>--(F998&lt;=Estimator!$B$7)</f>
        <v>0</v>
      </c>
      <c r="H998" s="86">
        <f>SUMIFS('Climate Data'!$G$7:$G$366,'Climate Data'!$A$7:$A$366,Estimator!$B$4,'Climate Data'!$B$7:$B$366,C998)</f>
        <v>0.20666666666666667</v>
      </c>
      <c r="I998" s="87">
        <f>SUMIFS('Climate Data'!$H$7:$H$366,'Climate Data'!$A$7:$A$366,Estimator!$B$4,'Climate Data'!$B$7:$B$366,C998)</f>
        <v>6.806451612903226</v>
      </c>
      <c r="J998" s="86">
        <f>SUMIFS('Wind Proxy'!$H$8:$H$19,'Wind Proxy'!$A$8:$A$19,Estimator!$B$4,'Wind Proxy'!$B$8:$B$19,C998)</f>
        <v>0</v>
      </c>
    </row>
    <row r="999" spans="1:10" ht="14.4">
      <c r="A999" s="84">
        <v>46650</v>
      </c>
      <c r="B999" s="85">
        <v>2027</v>
      </c>
      <c r="C999" s="85">
        <v>9</v>
      </c>
      <c r="D999" s="85" t="s">
        <v>73</v>
      </c>
      <c r="E999" s="85">
        <v>20</v>
      </c>
      <c r="F999" s="85">
        <v>1</v>
      </c>
      <c r="G999" s="85">
        <f>--(F999&lt;=Estimator!$B$7)</f>
        <v>1</v>
      </c>
      <c r="H999" s="86">
        <f>SUMIFS('Climate Data'!$G$7:$G$366,'Climate Data'!$A$7:$A$366,Estimator!$B$4,'Climate Data'!$B$7:$B$366,C999)</f>
        <v>0.20666666666666667</v>
      </c>
      <c r="I999" s="87">
        <f>SUMIFS('Climate Data'!$H$7:$H$366,'Climate Data'!$A$7:$A$366,Estimator!$B$4,'Climate Data'!$B$7:$B$366,C999)</f>
        <v>6.806451612903226</v>
      </c>
      <c r="J999" s="86">
        <f>SUMIFS('Wind Proxy'!$H$8:$H$19,'Wind Proxy'!$A$8:$A$19,Estimator!$B$4,'Wind Proxy'!$B$8:$B$19,C999)</f>
        <v>0</v>
      </c>
    </row>
    <row r="1000" spans="1:10" ht="14.4">
      <c r="A1000" s="84">
        <v>46651</v>
      </c>
      <c r="B1000" s="85">
        <v>2027</v>
      </c>
      <c r="C1000" s="85">
        <v>9</v>
      </c>
      <c r="D1000" s="85" t="s">
        <v>73</v>
      </c>
      <c r="E1000" s="85">
        <v>21</v>
      </c>
      <c r="F1000" s="85">
        <v>2</v>
      </c>
      <c r="G1000" s="85">
        <f>--(F1000&lt;=Estimator!$B$7)</f>
        <v>1</v>
      </c>
      <c r="H1000" s="86">
        <f>SUMIFS('Climate Data'!$G$7:$G$366,'Climate Data'!$A$7:$A$366,Estimator!$B$4,'Climate Data'!$B$7:$B$366,C1000)</f>
        <v>0.20666666666666667</v>
      </c>
      <c r="I1000" s="87">
        <f>SUMIFS('Climate Data'!$H$7:$H$366,'Climate Data'!$A$7:$A$366,Estimator!$B$4,'Climate Data'!$B$7:$B$366,C1000)</f>
        <v>6.806451612903226</v>
      </c>
      <c r="J1000" s="86">
        <f>SUMIFS('Wind Proxy'!$H$8:$H$19,'Wind Proxy'!$A$8:$A$19,Estimator!$B$4,'Wind Proxy'!$B$8:$B$19,C1000)</f>
        <v>0</v>
      </c>
    </row>
    <row r="1001" spans="1:10" ht="14.4">
      <c r="A1001" s="84">
        <v>46652</v>
      </c>
      <c r="B1001" s="85">
        <v>2027</v>
      </c>
      <c r="C1001" s="85">
        <v>9</v>
      </c>
      <c r="D1001" s="85" t="s">
        <v>73</v>
      </c>
      <c r="E1001" s="85">
        <v>22</v>
      </c>
      <c r="F1001" s="85">
        <v>3</v>
      </c>
      <c r="G1001" s="85">
        <f>--(F1001&lt;=Estimator!$B$7)</f>
        <v>1</v>
      </c>
      <c r="H1001" s="86">
        <f>SUMIFS('Climate Data'!$G$7:$G$366,'Climate Data'!$A$7:$A$366,Estimator!$B$4,'Climate Data'!$B$7:$B$366,C1001)</f>
        <v>0.20666666666666667</v>
      </c>
      <c r="I1001" s="87">
        <f>SUMIFS('Climate Data'!$H$7:$H$366,'Climate Data'!$A$7:$A$366,Estimator!$B$4,'Climate Data'!$B$7:$B$366,C1001)</f>
        <v>6.806451612903226</v>
      </c>
      <c r="J1001" s="86">
        <f>SUMIFS('Wind Proxy'!$H$8:$H$19,'Wind Proxy'!$A$8:$A$19,Estimator!$B$4,'Wind Proxy'!$B$8:$B$19,C1001)</f>
        <v>0</v>
      </c>
    </row>
    <row r="1002" spans="1:10" ht="14.4">
      <c r="A1002" s="84">
        <v>46653</v>
      </c>
      <c r="B1002" s="85">
        <v>2027</v>
      </c>
      <c r="C1002" s="85">
        <v>9</v>
      </c>
      <c r="D1002" s="85" t="s">
        <v>73</v>
      </c>
      <c r="E1002" s="85">
        <v>23</v>
      </c>
      <c r="F1002" s="85">
        <v>4</v>
      </c>
      <c r="G1002" s="85">
        <f>--(F1002&lt;=Estimator!$B$7)</f>
        <v>1</v>
      </c>
      <c r="H1002" s="86">
        <f>SUMIFS('Climate Data'!$G$7:$G$366,'Climate Data'!$A$7:$A$366,Estimator!$B$4,'Climate Data'!$B$7:$B$366,C1002)</f>
        <v>0.20666666666666667</v>
      </c>
      <c r="I1002" s="87">
        <f>SUMIFS('Climate Data'!$H$7:$H$366,'Climate Data'!$A$7:$A$366,Estimator!$B$4,'Climate Data'!$B$7:$B$366,C1002)</f>
        <v>6.806451612903226</v>
      </c>
      <c r="J1002" s="86">
        <f>SUMIFS('Wind Proxy'!$H$8:$H$19,'Wind Proxy'!$A$8:$A$19,Estimator!$B$4,'Wind Proxy'!$B$8:$B$19,C1002)</f>
        <v>0</v>
      </c>
    </row>
    <row r="1003" spans="1:10" ht="14.4">
      <c r="A1003" s="84">
        <v>46654</v>
      </c>
      <c r="B1003" s="85">
        <v>2027</v>
      </c>
      <c r="C1003" s="85">
        <v>9</v>
      </c>
      <c r="D1003" s="85" t="s">
        <v>73</v>
      </c>
      <c r="E1003" s="85">
        <v>24</v>
      </c>
      <c r="F1003" s="85">
        <v>5</v>
      </c>
      <c r="G1003" s="85">
        <f>--(F1003&lt;=Estimator!$B$7)</f>
        <v>1</v>
      </c>
      <c r="H1003" s="86">
        <f>SUMIFS('Climate Data'!$G$7:$G$366,'Climate Data'!$A$7:$A$366,Estimator!$B$4,'Climate Data'!$B$7:$B$366,C1003)</f>
        <v>0.20666666666666667</v>
      </c>
      <c r="I1003" s="87">
        <f>SUMIFS('Climate Data'!$H$7:$H$366,'Climate Data'!$A$7:$A$366,Estimator!$B$4,'Climate Data'!$B$7:$B$366,C1003)</f>
        <v>6.806451612903226</v>
      </c>
      <c r="J1003" s="86">
        <f>SUMIFS('Wind Proxy'!$H$8:$H$19,'Wind Proxy'!$A$8:$A$19,Estimator!$B$4,'Wind Proxy'!$B$8:$B$19,C1003)</f>
        <v>0</v>
      </c>
    </row>
    <row r="1004" spans="1:10" ht="14.4">
      <c r="A1004" s="84">
        <v>46655</v>
      </c>
      <c r="B1004" s="85">
        <v>2027</v>
      </c>
      <c r="C1004" s="85">
        <v>9</v>
      </c>
      <c r="D1004" s="85" t="s">
        <v>73</v>
      </c>
      <c r="E1004" s="85">
        <v>25</v>
      </c>
      <c r="F1004" s="85">
        <v>6</v>
      </c>
      <c r="G1004" s="85">
        <f>--(F1004&lt;=Estimator!$B$7)</f>
        <v>0</v>
      </c>
      <c r="H1004" s="86">
        <f>SUMIFS('Climate Data'!$G$7:$G$366,'Climate Data'!$A$7:$A$366,Estimator!$B$4,'Climate Data'!$B$7:$B$366,C1004)</f>
        <v>0.20666666666666667</v>
      </c>
      <c r="I1004" s="87">
        <f>SUMIFS('Climate Data'!$H$7:$H$366,'Climate Data'!$A$7:$A$366,Estimator!$B$4,'Climate Data'!$B$7:$B$366,C1004)</f>
        <v>6.806451612903226</v>
      </c>
      <c r="J1004" s="86">
        <f>SUMIFS('Wind Proxy'!$H$8:$H$19,'Wind Proxy'!$A$8:$A$19,Estimator!$B$4,'Wind Proxy'!$B$8:$B$19,C1004)</f>
        <v>0</v>
      </c>
    </row>
    <row r="1005" spans="1:10" ht="14.4">
      <c r="A1005" s="84">
        <v>46656</v>
      </c>
      <c r="B1005" s="85">
        <v>2027</v>
      </c>
      <c r="C1005" s="85">
        <v>9</v>
      </c>
      <c r="D1005" s="85" t="s">
        <v>73</v>
      </c>
      <c r="E1005" s="85">
        <v>26</v>
      </c>
      <c r="F1005" s="85">
        <v>7</v>
      </c>
      <c r="G1005" s="85">
        <f>--(F1005&lt;=Estimator!$B$7)</f>
        <v>0</v>
      </c>
      <c r="H1005" s="86">
        <f>SUMIFS('Climate Data'!$G$7:$G$366,'Climate Data'!$A$7:$A$366,Estimator!$B$4,'Climate Data'!$B$7:$B$366,C1005)</f>
        <v>0.20666666666666667</v>
      </c>
      <c r="I1005" s="87">
        <f>SUMIFS('Climate Data'!$H$7:$H$366,'Climate Data'!$A$7:$A$366,Estimator!$B$4,'Climate Data'!$B$7:$B$366,C1005)</f>
        <v>6.806451612903226</v>
      </c>
      <c r="J1005" s="86">
        <f>SUMIFS('Wind Proxy'!$H$8:$H$19,'Wind Proxy'!$A$8:$A$19,Estimator!$B$4,'Wind Proxy'!$B$8:$B$19,C1005)</f>
        <v>0</v>
      </c>
    </row>
    <row r="1006" spans="1:10" ht="14.4">
      <c r="A1006" s="84">
        <v>46657</v>
      </c>
      <c r="B1006" s="85">
        <v>2027</v>
      </c>
      <c r="C1006" s="85">
        <v>9</v>
      </c>
      <c r="D1006" s="85" t="s">
        <v>73</v>
      </c>
      <c r="E1006" s="85">
        <v>27</v>
      </c>
      <c r="F1006" s="85">
        <v>1</v>
      </c>
      <c r="G1006" s="85">
        <f>--(F1006&lt;=Estimator!$B$7)</f>
        <v>1</v>
      </c>
      <c r="H1006" s="86">
        <f>SUMIFS('Climate Data'!$G$7:$G$366,'Climate Data'!$A$7:$A$366,Estimator!$B$4,'Climate Data'!$B$7:$B$366,C1006)</f>
        <v>0.20666666666666667</v>
      </c>
      <c r="I1006" s="87">
        <f>SUMIFS('Climate Data'!$H$7:$H$366,'Climate Data'!$A$7:$A$366,Estimator!$B$4,'Climate Data'!$B$7:$B$366,C1006)</f>
        <v>6.806451612903226</v>
      </c>
      <c r="J1006" s="86">
        <f>SUMIFS('Wind Proxy'!$H$8:$H$19,'Wind Proxy'!$A$8:$A$19,Estimator!$B$4,'Wind Proxy'!$B$8:$B$19,C1006)</f>
        <v>0</v>
      </c>
    </row>
    <row r="1007" spans="1:10" ht="14.4">
      <c r="A1007" s="84">
        <v>46658</v>
      </c>
      <c r="B1007" s="85">
        <v>2027</v>
      </c>
      <c r="C1007" s="85">
        <v>9</v>
      </c>
      <c r="D1007" s="85" t="s">
        <v>73</v>
      </c>
      <c r="E1007" s="85">
        <v>28</v>
      </c>
      <c r="F1007" s="85">
        <v>2</v>
      </c>
      <c r="G1007" s="85">
        <f>--(F1007&lt;=Estimator!$B$7)</f>
        <v>1</v>
      </c>
      <c r="H1007" s="86">
        <f>SUMIFS('Climate Data'!$G$7:$G$366,'Climate Data'!$A$7:$A$366,Estimator!$B$4,'Climate Data'!$B$7:$B$366,C1007)</f>
        <v>0.20666666666666667</v>
      </c>
      <c r="I1007" s="87">
        <f>SUMIFS('Climate Data'!$H$7:$H$366,'Climate Data'!$A$7:$A$366,Estimator!$B$4,'Climate Data'!$B$7:$B$366,C1007)</f>
        <v>6.806451612903226</v>
      </c>
      <c r="J1007" s="86">
        <f>SUMIFS('Wind Proxy'!$H$8:$H$19,'Wind Proxy'!$A$8:$A$19,Estimator!$B$4,'Wind Proxy'!$B$8:$B$19,C1007)</f>
        <v>0</v>
      </c>
    </row>
    <row r="1008" spans="1:10" ht="14.4">
      <c r="A1008" s="84">
        <v>46659</v>
      </c>
      <c r="B1008" s="85">
        <v>2027</v>
      </c>
      <c r="C1008" s="85">
        <v>9</v>
      </c>
      <c r="D1008" s="85" t="s">
        <v>73</v>
      </c>
      <c r="E1008" s="85">
        <v>29</v>
      </c>
      <c r="F1008" s="85">
        <v>3</v>
      </c>
      <c r="G1008" s="85">
        <f>--(F1008&lt;=Estimator!$B$7)</f>
        <v>1</v>
      </c>
      <c r="H1008" s="86">
        <f>SUMIFS('Climate Data'!$G$7:$G$366,'Climate Data'!$A$7:$A$366,Estimator!$B$4,'Climate Data'!$B$7:$B$366,C1008)</f>
        <v>0.20666666666666667</v>
      </c>
      <c r="I1008" s="87">
        <f>SUMIFS('Climate Data'!$H$7:$H$366,'Climate Data'!$A$7:$A$366,Estimator!$B$4,'Climate Data'!$B$7:$B$366,C1008)</f>
        <v>6.806451612903226</v>
      </c>
      <c r="J1008" s="86">
        <f>SUMIFS('Wind Proxy'!$H$8:$H$19,'Wind Proxy'!$A$8:$A$19,Estimator!$B$4,'Wind Proxy'!$B$8:$B$19,C1008)</f>
        <v>0</v>
      </c>
    </row>
    <row r="1009" spans="1:10" ht="14.4">
      <c r="A1009" s="84">
        <v>46660</v>
      </c>
      <c r="B1009" s="85">
        <v>2027</v>
      </c>
      <c r="C1009" s="85">
        <v>9</v>
      </c>
      <c r="D1009" s="85" t="s">
        <v>73</v>
      </c>
      <c r="E1009" s="85">
        <v>30</v>
      </c>
      <c r="F1009" s="85">
        <v>4</v>
      </c>
      <c r="G1009" s="85">
        <f>--(F1009&lt;=Estimator!$B$7)</f>
        <v>1</v>
      </c>
      <c r="H1009" s="86">
        <f>SUMIFS('Climate Data'!$G$7:$G$366,'Climate Data'!$A$7:$A$366,Estimator!$B$4,'Climate Data'!$B$7:$B$366,C1009)</f>
        <v>0.20666666666666667</v>
      </c>
      <c r="I1009" s="87">
        <f>SUMIFS('Climate Data'!$H$7:$H$366,'Climate Data'!$A$7:$A$366,Estimator!$B$4,'Climate Data'!$B$7:$B$366,C1009)</f>
        <v>6.806451612903226</v>
      </c>
      <c r="J1009" s="86">
        <f>SUMIFS('Wind Proxy'!$H$8:$H$19,'Wind Proxy'!$A$8:$A$19,Estimator!$B$4,'Wind Proxy'!$B$8:$B$19,C1009)</f>
        <v>0</v>
      </c>
    </row>
    <row r="1010" spans="1:10" ht="14.4">
      <c r="A1010" s="84">
        <v>46661</v>
      </c>
      <c r="B1010" s="85">
        <v>2027</v>
      </c>
      <c r="C1010" s="85">
        <v>10</v>
      </c>
      <c r="D1010" s="85" t="s">
        <v>75</v>
      </c>
      <c r="E1010" s="85">
        <v>1</v>
      </c>
      <c r="F1010" s="85">
        <v>5</v>
      </c>
      <c r="G1010" s="85">
        <f>--(F1010&lt;=Estimator!$B$7)</f>
        <v>1</v>
      </c>
      <c r="H1010" s="86">
        <f>SUMIFS('Climate Data'!$G$7:$G$366,'Climate Data'!$A$7:$A$366,Estimator!$B$4,'Climate Data'!$B$7:$B$366,C1010)</f>
        <v>0.23225806451612904</v>
      </c>
      <c r="I1010" s="87">
        <f>SUMIFS('Climate Data'!$H$7:$H$366,'Climate Data'!$A$7:$A$366,Estimator!$B$4,'Climate Data'!$B$7:$B$366,C1010)</f>
        <v>6.8194444444444446</v>
      </c>
      <c r="J1010" s="86">
        <f>SUMIFS('Wind Proxy'!$H$8:$H$19,'Wind Proxy'!$A$8:$A$19,Estimator!$B$4,'Wind Proxy'!$B$8:$B$19,C1010)</f>
        <v>0</v>
      </c>
    </row>
    <row r="1011" spans="1:10" ht="14.4">
      <c r="A1011" s="84">
        <v>46662</v>
      </c>
      <c r="B1011" s="85">
        <v>2027</v>
      </c>
      <c r="C1011" s="85">
        <v>10</v>
      </c>
      <c r="D1011" s="85" t="s">
        <v>75</v>
      </c>
      <c r="E1011" s="85">
        <v>2</v>
      </c>
      <c r="F1011" s="85">
        <v>6</v>
      </c>
      <c r="G1011" s="85">
        <f>--(F1011&lt;=Estimator!$B$7)</f>
        <v>0</v>
      </c>
      <c r="H1011" s="86">
        <f>SUMIFS('Climate Data'!$G$7:$G$366,'Climate Data'!$A$7:$A$366,Estimator!$B$4,'Climate Data'!$B$7:$B$366,C1011)</f>
        <v>0.23225806451612904</v>
      </c>
      <c r="I1011" s="87">
        <f>SUMIFS('Climate Data'!$H$7:$H$366,'Climate Data'!$A$7:$A$366,Estimator!$B$4,'Climate Data'!$B$7:$B$366,C1011)</f>
        <v>6.8194444444444446</v>
      </c>
      <c r="J1011" s="86">
        <f>SUMIFS('Wind Proxy'!$H$8:$H$19,'Wind Proxy'!$A$8:$A$19,Estimator!$B$4,'Wind Proxy'!$B$8:$B$19,C1011)</f>
        <v>0</v>
      </c>
    </row>
    <row r="1012" spans="1:10" ht="14.4">
      <c r="A1012" s="84">
        <v>46663</v>
      </c>
      <c r="B1012" s="85">
        <v>2027</v>
      </c>
      <c r="C1012" s="85">
        <v>10</v>
      </c>
      <c r="D1012" s="85" t="s">
        <v>75</v>
      </c>
      <c r="E1012" s="85">
        <v>3</v>
      </c>
      <c r="F1012" s="85">
        <v>7</v>
      </c>
      <c r="G1012" s="85">
        <f>--(F1012&lt;=Estimator!$B$7)</f>
        <v>0</v>
      </c>
      <c r="H1012" s="86">
        <f>SUMIFS('Climate Data'!$G$7:$G$366,'Climate Data'!$A$7:$A$366,Estimator!$B$4,'Climate Data'!$B$7:$B$366,C1012)</f>
        <v>0.23225806451612904</v>
      </c>
      <c r="I1012" s="87">
        <f>SUMIFS('Climate Data'!$H$7:$H$366,'Climate Data'!$A$7:$A$366,Estimator!$B$4,'Climate Data'!$B$7:$B$366,C1012)</f>
        <v>6.8194444444444446</v>
      </c>
      <c r="J1012" s="86">
        <f>SUMIFS('Wind Proxy'!$H$8:$H$19,'Wind Proxy'!$A$8:$A$19,Estimator!$B$4,'Wind Proxy'!$B$8:$B$19,C1012)</f>
        <v>0</v>
      </c>
    </row>
    <row r="1013" spans="1:10" ht="14.4">
      <c r="A1013" s="84">
        <v>46664</v>
      </c>
      <c r="B1013" s="85">
        <v>2027</v>
      </c>
      <c r="C1013" s="85">
        <v>10</v>
      </c>
      <c r="D1013" s="85" t="s">
        <v>75</v>
      </c>
      <c r="E1013" s="85">
        <v>4</v>
      </c>
      <c r="F1013" s="85">
        <v>1</v>
      </c>
      <c r="G1013" s="85">
        <f>--(F1013&lt;=Estimator!$B$7)</f>
        <v>1</v>
      </c>
      <c r="H1013" s="86">
        <f>SUMIFS('Climate Data'!$G$7:$G$366,'Climate Data'!$A$7:$A$366,Estimator!$B$4,'Climate Data'!$B$7:$B$366,C1013)</f>
        <v>0.23225806451612904</v>
      </c>
      <c r="I1013" s="87">
        <f>SUMIFS('Climate Data'!$H$7:$H$366,'Climate Data'!$A$7:$A$366,Estimator!$B$4,'Climate Data'!$B$7:$B$366,C1013)</f>
        <v>6.8194444444444446</v>
      </c>
      <c r="J1013" s="86">
        <f>SUMIFS('Wind Proxy'!$H$8:$H$19,'Wind Proxy'!$A$8:$A$19,Estimator!$B$4,'Wind Proxy'!$B$8:$B$19,C1013)</f>
        <v>0</v>
      </c>
    </row>
    <row r="1014" spans="1:10" ht="14.4">
      <c r="A1014" s="84">
        <v>46665</v>
      </c>
      <c r="B1014" s="85">
        <v>2027</v>
      </c>
      <c r="C1014" s="85">
        <v>10</v>
      </c>
      <c r="D1014" s="85" t="s">
        <v>75</v>
      </c>
      <c r="E1014" s="85">
        <v>5</v>
      </c>
      <c r="F1014" s="85">
        <v>2</v>
      </c>
      <c r="G1014" s="85">
        <f>--(F1014&lt;=Estimator!$B$7)</f>
        <v>1</v>
      </c>
      <c r="H1014" s="86">
        <f>SUMIFS('Climate Data'!$G$7:$G$366,'Climate Data'!$A$7:$A$366,Estimator!$B$4,'Climate Data'!$B$7:$B$366,C1014)</f>
        <v>0.23225806451612904</v>
      </c>
      <c r="I1014" s="87">
        <f>SUMIFS('Climate Data'!$H$7:$H$366,'Climate Data'!$A$7:$A$366,Estimator!$B$4,'Climate Data'!$B$7:$B$366,C1014)</f>
        <v>6.8194444444444446</v>
      </c>
      <c r="J1014" s="86">
        <f>SUMIFS('Wind Proxy'!$H$8:$H$19,'Wind Proxy'!$A$8:$A$19,Estimator!$B$4,'Wind Proxy'!$B$8:$B$19,C1014)</f>
        <v>0</v>
      </c>
    </row>
    <row r="1015" spans="1:10" ht="14.4">
      <c r="A1015" s="84">
        <v>46666</v>
      </c>
      <c r="B1015" s="85">
        <v>2027</v>
      </c>
      <c r="C1015" s="85">
        <v>10</v>
      </c>
      <c r="D1015" s="85" t="s">
        <v>75</v>
      </c>
      <c r="E1015" s="85">
        <v>6</v>
      </c>
      <c r="F1015" s="85">
        <v>3</v>
      </c>
      <c r="G1015" s="85">
        <f>--(F1015&lt;=Estimator!$B$7)</f>
        <v>1</v>
      </c>
      <c r="H1015" s="86">
        <f>SUMIFS('Climate Data'!$G$7:$G$366,'Climate Data'!$A$7:$A$366,Estimator!$B$4,'Climate Data'!$B$7:$B$366,C1015)</f>
        <v>0.23225806451612904</v>
      </c>
      <c r="I1015" s="87">
        <f>SUMIFS('Climate Data'!$H$7:$H$366,'Climate Data'!$A$7:$A$366,Estimator!$B$4,'Climate Data'!$B$7:$B$366,C1015)</f>
        <v>6.8194444444444446</v>
      </c>
      <c r="J1015" s="86">
        <f>SUMIFS('Wind Proxy'!$H$8:$H$19,'Wind Proxy'!$A$8:$A$19,Estimator!$B$4,'Wind Proxy'!$B$8:$B$19,C1015)</f>
        <v>0</v>
      </c>
    </row>
    <row r="1016" spans="1:10" ht="14.4">
      <c r="A1016" s="84">
        <v>46667</v>
      </c>
      <c r="B1016" s="85">
        <v>2027</v>
      </c>
      <c r="C1016" s="85">
        <v>10</v>
      </c>
      <c r="D1016" s="85" t="s">
        <v>75</v>
      </c>
      <c r="E1016" s="85">
        <v>7</v>
      </c>
      <c r="F1016" s="85">
        <v>4</v>
      </c>
      <c r="G1016" s="85">
        <f>--(F1016&lt;=Estimator!$B$7)</f>
        <v>1</v>
      </c>
      <c r="H1016" s="86">
        <f>SUMIFS('Climate Data'!$G$7:$G$366,'Climate Data'!$A$7:$A$366,Estimator!$B$4,'Climate Data'!$B$7:$B$366,C1016)</f>
        <v>0.23225806451612904</v>
      </c>
      <c r="I1016" s="87">
        <f>SUMIFS('Climate Data'!$H$7:$H$366,'Climate Data'!$A$7:$A$366,Estimator!$B$4,'Climate Data'!$B$7:$B$366,C1016)</f>
        <v>6.8194444444444446</v>
      </c>
      <c r="J1016" s="86">
        <f>SUMIFS('Wind Proxy'!$H$8:$H$19,'Wind Proxy'!$A$8:$A$19,Estimator!$B$4,'Wind Proxy'!$B$8:$B$19,C1016)</f>
        <v>0</v>
      </c>
    </row>
    <row r="1017" spans="1:10" ht="14.4">
      <c r="A1017" s="84">
        <v>46668</v>
      </c>
      <c r="B1017" s="85">
        <v>2027</v>
      </c>
      <c r="C1017" s="85">
        <v>10</v>
      </c>
      <c r="D1017" s="85" t="s">
        <v>75</v>
      </c>
      <c r="E1017" s="85">
        <v>8</v>
      </c>
      <c r="F1017" s="85">
        <v>5</v>
      </c>
      <c r="G1017" s="85">
        <f>--(F1017&lt;=Estimator!$B$7)</f>
        <v>1</v>
      </c>
      <c r="H1017" s="86">
        <f>SUMIFS('Climate Data'!$G$7:$G$366,'Climate Data'!$A$7:$A$366,Estimator!$B$4,'Climate Data'!$B$7:$B$366,C1017)</f>
        <v>0.23225806451612904</v>
      </c>
      <c r="I1017" s="87">
        <f>SUMIFS('Climate Data'!$H$7:$H$366,'Climate Data'!$A$7:$A$366,Estimator!$B$4,'Climate Data'!$B$7:$B$366,C1017)</f>
        <v>6.8194444444444446</v>
      </c>
      <c r="J1017" s="86">
        <f>SUMIFS('Wind Proxy'!$H$8:$H$19,'Wind Proxy'!$A$8:$A$19,Estimator!$B$4,'Wind Proxy'!$B$8:$B$19,C1017)</f>
        <v>0</v>
      </c>
    </row>
    <row r="1018" spans="1:10" ht="14.4">
      <c r="A1018" s="84">
        <v>46669</v>
      </c>
      <c r="B1018" s="85">
        <v>2027</v>
      </c>
      <c r="C1018" s="85">
        <v>10</v>
      </c>
      <c r="D1018" s="85" t="s">
        <v>75</v>
      </c>
      <c r="E1018" s="85">
        <v>9</v>
      </c>
      <c r="F1018" s="85">
        <v>6</v>
      </c>
      <c r="G1018" s="85">
        <f>--(F1018&lt;=Estimator!$B$7)</f>
        <v>0</v>
      </c>
      <c r="H1018" s="86">
        <f>SUMIFS('Climate Data'!$G$7:$G$366,'Climate Data'!$A$7:$A$366,Estimator!$B$4,'Climate Data'!$B$7:$B$366,C1018)</f>
        <v>0.23225806451612904</v>
      </c>
      <c r="I1018" s="87">
        <f>SUMIFS('Climate Data'!$H$7:$H$366,'Climate Data'!$A$7:$A$366,Estimator!$B$4,'Climate Data'!$B$7:$B$366,C1018)</f>
        <v>6.8194444444444446</v>
      </c>
      <c r="J1018" s="86">
        <f>SUMIFS('Wind Proxy'!$H$8:$H$19,'Wind Proxy'!$A$8:$A$19,Estimator!$B$4,'Wind Proxy'!$B$8:$B$19,C1018)</f>
        <v>0</v>
      </c>
    </row>
    <row r="1019" spans="1:10" ht="14.4">
      <c r="A1019" s="84">
        <v>46670</v>
      </c>
      <c r="B1019" s="85">
        <v>2027</v>
      </c>
      <c r="C1019" s="85">
        <v>10</v>
      </c>
      <c r="D1019" s="85" t="s">
        <v>75</v>
      </c>
      <c r="E1019" s="85">
        <v>10</v>
      </c>
      <c r="F1019" s="85">
        <v>7</v>
      </c>
      <c r="G1019" s="85">
        <f>--(F1019&lt;=Estimator!$B$7)</f>
        <v>0</v>
      </c>
      <c r="H1019" s="86">
        <f>SUMIFS('Climate Data'!$G$7:$G$366,'Climate Data'!$A$7:$A$366,Estimator!$B$4,'Climate Data'!$B$7:$B$366,C1019)</f>
        <v>0.23225806451612904</v>
      </c>
      <c r="I1019" s="87">
        <f>SUMIFS('Climate Data'!$H$7:$H$366,'Climate Data'!$A$7:$A$366,Estimator!$B$4,'Climate Data'!$B$7:$B$366,C1019)</f>
        <v>6.8194444444444446</v>
      </c>
      <c r="J1019" s="86">
        <f>SUMIFS('Wind Proxy'!$H$8:$H$19,'Wind Proxy'!$A$8:$A$19,Estimator!$B$4,'Wind Proxy'!$B$8:$B$19,C1019)</f>
        <v>0</v>
      </c>
    </row>
    <row r="1020" spans="1:10" ht="14.4">
      <c r="A1020" s="84">
        <v>46671</v>
      </c>
      <c r="B1020" s="85">
        <v>2027</v>
      </c>
      <c r="C1020" s="85">
        <v>10</v>
      </c>
      <c r="D1020" s="85" t="s">
        <v>75</v>
      </c>
      <c r="E1020" s="85">
        <v>11</v>
      </c>
      <c r="F1020" s="85">
        <v>1</v>
      </c>
      <c r="G1020" s="85">
        <f>--(F1020&lt;=Estimator!$B$7)</f>
        <v>1</v>
      </c>
      <c r="H1020" s="86">
        <f>SUMIFS('Climate Data'!$G$7:$G$366,'Climate Data'!$A$7:$A$366,Estimator!$B$4,'Climate Data'!$B$7:$B$366,C1020)</f>
        <v>0.23225806451612904</v>
      </c>
      <c r="I1020" s="87">
        <f>SUMIFS('Climate Data'!$H$7:$H$366,'Climate Data'!$A$7:$A$366,Estimator!$B$4,'Climate Data'!$B$7:$B$366,C1020)</f>
        <v>6.8194444444444446</v>
      </c>
      <c r="J1020" s="86">
        <f>SUMIFS('Wind Proxy'!$H$8:$H$19,'Wind Proxy'!$A$8:$A$19,Estimator!$B$4,'Wind Proxy'!$B$8:$B$19,C1020)</f>
        <v>0</v>
      </c>
    </row>
    <row r="1021" spans="1:10" ht="14.4">
      <c r="A1021" s="84">
        <v>46672</v>
      </c>
      <c r="B1021" s="85">
        <v>2027</v>
      </c>
      <c r="C1021" s="85">
        <v>10</v>
      </c>
      <c r="D1021" s="85" t="s">
        <v>75</v>
      </c>
      <c r="E1021" s="85">
        <v>12</v>
      </c>
      <c r="F1021" s="85">
        <v>2</v>
      </c>
      <c r="G1021" s="85">
        <f>--(F1021&lt;=Estimator!$B$7)</f>
        <v>1</v>
      </c>
      <c r="H1021" s="86">
        <f>SUMIFS('Climate Data'!$G$7:$G$366,'Climate Data'!$A$7:$A$366,Estimator!$B$4,'Climate Data'!$B$7:$B$366,C1021)</f>
        <v>0.23225806451612904</v>
      </c>
      <c r="I1021" s="87">
        <f>SUMIFS('Climate Data'!$H$7:$H$366,'Climate Data'!$A$7:$A$366,Estimator!$B$4,'Climate Data'!$B$7:$B$366,C1021)</f>
        <v>6.8194444444444446</v>
      </c>
      <c r="J1021" s="86">
        <f>SUMIFS('Wind Proxy'!$H$8:$H$19,'Wind Proxy'!$A$8:$A$19,Estimator!$B$4,'Wind Proxy'!$B$8:$B$19,C1021)</f>
        <v>0</v>
      </c>
    </row>
    <row r="1022" spans="1:10" ht="14.4">
      <c r="A1022" s="84">
        <v>46673</v>
      </c>
      <c r="B1022" s="85">
        <v>2027</v>
      </c>
      <c r="C1022" s="85">
        <v>10</v>
      </c>
      <c r="D1022" s="85" t="s">
        <v>75</v>
      </c>
      <c r="E1022" s="85">
        <v>13</v>
      </c>
      <c r="F1022" s="85">
        <v>3</v>
      </c>
      <c r="G1022" s="85">
        <f>--(F1022&lt;=Estimator!$B$7)</f>
        <v>1</v>
      </c>
      <c r="H1022" s="86">
        <f>SUMIFS('Climate Data'!$G$7:$G$366,'Climate Data'!$A$7:$A$366,Estimator!$B$4,'Climate Data'!$B$7:$B$366,C1022)</f>
        <v>0.23225806451612904</v>
      </c>
      <c r="I1022" s="87">
        <f>SUMIFS('Climate Data'!$H$7:$H$366,'Climate Data'!$A$7:$A$366,Estimator!$B$4,'Climate Data'!$B$7:$B$366,C1022)</f>
        <v>6.8194444444444446</v>
      </c>
      <c r="J1022" s="86">
        <f>SUMIFS('Wind Proxy'!$H$8:$H$19,'Wind Proxy'!$A$8:$A$19,Estimator!$B$4,'Wind Proxy'!$B$8:$B$19,C1022)</f>
        <v>0</v>
      </c>
    </row>
    <row r="1023" spans="1:10" ht="14.4">
      <c r="A1023" s="84">
        <v>46674</v>
      </c>
      <c r="B1023" s="85">
        <v>2027</v>
      </c>
      <c r="C1023" s="85">
        <v>10</v>
      </c>
      <c r="D1023" s="85" t="s">
        <v>75</v>
      </c>
      <c r="E1023" s="85">
        <v>14</v>
      </c>
      <c r="F1023" s="85">
        <v>4</v>
      </c>
      <c r="G1023" s="85">
        <f>--(F1023&lt;=Estimator!$B$7)</f>
        <v>1</v>
      </c>
      <c r="H1023" s="86">
        <f>SUMIFS('Climate Data'!$G$7:$G$366,'Climate Data'!$A$7:$A$366,Estimator!$B$4,'Climate Data'!$B$7:$B$366,C1023)</f>
        <v>0.23225806451612904</v>
      </c>
      <c r="I1023" s="87">
        <f>SUMIFS('Climate Data'!$H$7:$H$366,'Climate Data'!$A$7:$A$366,Estimator!$B$4,'Climate Data'!$B$7:$B$366,C1023)</f>
        <v>6.8194444444444446</v>
      </c>
      <c r="J1023" s="86">
        <f>SUMIFS('Wind Proxy'!$H$8:$H$19,'Wind Proxy'!$A$8:$A$19,Estimator!$B$4,'Wind Proxy'!$B$8:$B$19,C1023)</f>
        <v>0</v>
      </c>
    </row>
    <row r="1024" spans="1:10" ht="14.4">
      <c r="A1024" s="84">
        <v>46675</v>
      </c>
      <c r="B1024" s="85">
        <v>2027</v>
      </c>
      <c r="C1024" s="85">
        <v>10</v>
      </c>
      <c r="D1024" s="85" t="s">
        <v>75</v>
      </c>
      <c r="E1024" s="85">
        <v>15</v>
      </c>
      <c r="F1024" s="85">
        <v>5</v>
      </c>
      <c r="G1024" s="85">
        <f>--(F1024&lt;=Estimator!$B$7)</f>
        <v>1</v>
      </c>
      <c r="H1024" s="86">
        <f>SUMIFS('Climate Data'!$G$7:$G$366,'Climate Data'!$A$7:$A$366,Estimator!$B$4,'Climate Data'!$B$7:$B$366,C1024)</f>
        <v>0.23225806451612904</v>
      </c>
      <c r="I1024" s="87">
        <f>SUMIFS('Climate Data'!$H$7:$H$366,'Climate Data'!$A$7:$A$366,Estimator!$B$4,'Climate Data'!$B$7:$B$366,C1024)</f>
        <v>6.8194444444444446</v>
      </c>
      <c r="J1024" s="86">
        <f>SUMIFS('Wind Proxy'!$H$8:$H$19,'Wind Proxy'!$A$8:$A$19,Estimator!$B$4,'Wind Proxy'!$B$8:$B$19,C1024)</f>
        <v>0</v>
      </c>
    </row>
    <row r="1025" spans="1:10" ht="14.4">
      <c r="A1025" s="84">
        <v>46676</v>
      </c>
      <c r="B1025" s="85">
        <v>2027</v>
      </c>
      <c r="C1025" s="85">
        <v>10</v>
      </c>
      <c r="D1025" s="85" t="s">
        <v>75</v>
      </c>
      <c r="E1025" s="85">
        <v>16</v>
      </c>
      <c r="F1025" s="85">
        <v>6</v>
      </c>
      <c r="G1025" s="85">
        <f>--(F1025&lt;=Estimator!$B$7)</f>
        <v>0</v>
      </c>
      <c r="H1025" s="86">
        <f>SUMIFS('Climate Data'!$G$7:$G$366,'Climate Data'!$A$7:$A$366,Estimator!$B$4,'Climate Data'!$B$7:$B$366,C1025)</f>
        <v>0.23225806451612904</v>
      </c>
      <c r="I1025" s="87">
        <f>SUMIFS('Climate Data'!$H$7:$H$366,'Climate Data'!$A$7:$A$366,Estimator!$B$4,'Climate Data'!$B$7:$B$366,C1025)</f>
        <v>6.8194444444444446</v>
      </c>
      <c r="J1025" s="86">
        <f>SUMIFS('Wind Proxy'!$H$8:$H$19,'Wind Proxy'!$A$8:$A$19,Estimator!$B$4,'Wind Proxy'!$B$8:$B$19,C1025)</f>
        <v>0</v>
      </c>
    </row>
    <row r="1026" spans="1:10" ht="14.4">
      <c r="A1026" s="84">
        <v>46677</v>
      </c>
      <c r="B1026" s="85">
        <v>2027</v>
      </c>
      <c r="C1026" s="85">
        <v>10</v>
      </c>
      <c r="D1026" s="85" t="s">
        <v>75</v>
      </c>
      <c r="E1026" s="85">
        <v>17</v>
      </c>
      <c r="F1026" s="85">
        <v>7</v>
      </c>
      <c r="G1026" s="85">
        <f>--(F1026&lt;=Estimator!$B$7)</f>
        <v>0</v>
      </c>
      <c r="H1026" s="86">
        <f>SUMIFS('Climate Data'!$G$7:$G$366,'Climate Data'!$A$7:$A$366,Estimator!$B$4,'Climate Data'!$B$7:$B$366,C1026)</f>
        <v>0.23225806451612904</v>
      </c>
      <c r="I1026" s="87">
        <f>SUMIFS('Climate Data'!$H$7:$H$366,'Climate Data'!$A$7:$A$366,Estimator!$B$4,'Climate Data'!$B$7:$B$366,C1026)</f>
        <v>6.8194444444444446</v>
      </c>
      <c r="J1026" s="86">
        <f>SUMIFS('Wind Proxy'!$H$8:$H$19,'Wind Proxy'!$A$8:$A$19,Estimator!$B$4,'Wind Proxy'!$B$8:$B$19,C1026)</f>
        <v>0</v>
      </c>
    </row>
    <row r="1027" spans="1:10" ht="14.4">
      <c r="A1027" s="84">
        <v>46678</v>
      </c>
      <c r="B1027" s="85">
        <v>2027</v>
      </c>
      <c r="C1027" s="85">
        <v>10</v>
      </c>
      <c r="D1027" s="85" t="s">
        <v>75</v>
      </c>
      <c r="E1027" s="85">
        <v>18</v>
      </c>
      <c r="F1027" s="85">
        <v>1</v>
      </c>
      <c r="G1027" s="85">
        <f>--(F1027&lt;=Estimator!$B$7)</f>
        <v>1</v>
      </c>
      <c r="H1027" s="86">
        <f>SUMIFS('Climate Data'!$G$7:$G$366,'Climate Data'!$A$7:$A$366,Estimator!$B$4,'Climate Data'!$B$7:$B$366,C1027)</f>
        <v>0.23225806451612904</v>
      </c>
      <c r="I1027" s="87">
        <f>SUMIFS('Climate Data'!$H$7:$H$366,'Climate Data'!$A$7:$A$366,Estimator!$B$4,'Climate Data'!$B$7:$B$366,C1027)</f>
        <v>6.8194444444444446</v>
      </c>
      <c r="J1027" s="86">
        <f>SUMIFS('Wind Proxy'!$H$8:$H$19,'Wind Proxy'!$A$8:$A$19,Estimator!$B$4,'Wind Proxy'!$B$8:$B$19,C1027)</f>
        <v>0</v>
      </c>
    </row>
    <row r="1028" spans="1:10" ht="14.4">
      <c r="A1028" s="84">
        <v>46679</v>
      </c>
      <c r="B1028" s="85">
        <v>2027</v>
      </c>
      <c r="C1028" s="85">
        <v>10</v>
      </c>
      <c r="D1028" s="85" t="s">
        <v>75</v>
      </c>
      <c r="E1028" s="85">
        <v>19</v>
      </c>
      <c r="F1028" s="85">
        <v>2</v>
      </c>
      <c r="G1028" s="85">
        <f>--(F1028&lt;=Estimator!$B$7)</f>
        <v>1</v>
      </c>
      <c r="H1028" s="86">
        <f>SUMIFS('Climate Data'!$G$7:$G$366,'Climate Data'!$A$7:$A$366,Estimator!$B$4,'Climate Data'!$B$7:$B$366,C1028)</f>
        <v>0.23225806451612904</v>
      </c>
      <c r="I1028" s="87">
        <f>SUMIFS('Climate Data'!$H$7:$H$366,'Climate Data'!$A$7:$A$366,Estimator!$B$4,'Climate Data'!$B$7:$B$366,C1028)</f>
        <v>6.8194444444444446</v>
      </c>
      <c r="J1028" s="86">
        <f>SUMIFS('Wind Proxy'!$H$8:$H$19,'Wind Proxy'!$A$8:$A$19,Estimator!$B$4,'Wind Proxy'!$B$8:$B$19,C1028)</f>
        <v>0</v>
      </c>
    </row>
    <row r="1029" spans="1:10" ht="14.4">
      <c r="A1029" s="84">
        <v>46680</v>
      </c>
      <c r="B1029" s="85">
        <v>2027</v>
      </c>
      <c r="C1029" s="85">
        <v>10</v>
      </c>
      <c r="D1029" s="85" t="s">
        <v>75</v>
      </c>
      <c r="E1029" s="85">
        <v>20</v>
      </c>
      <c r="F1029" s="85">
        <v>3</v>
      </c>
      <c r="G1029" s="85">
        <f>--(F1029&lt;=Estimator!$B$7)</f>
        <v>1</v>
      </c>
      <c r="H1029" s="86">
        <f>SUMIFS('Climate Data'!$G$7:$G$366,'Climate Data'!$A$7:$A$366,Estimator!$B$4,'Climate Data'!$B$7:$B$366,C1029)</f>
        <v>0.23225806451612904</v>
      </c>
      <c r="I1029" s="87">
        <f>SUMIFS('Climate Data'!$H$7:$H$366,'Climate Data'!$A$7:$A$366,Estimator!$B$4,'Climate Data'!$B$7:$B$366,C1029)</f>
        <v>6.8194444444444446</v>
      </c>
      <c r="J1029" s="86">
        <f>SUMIFS('Wind Proxy'!$H$8:$H$19,'Wind Proxy'!$A$8:$A$19,Estimator!$B$4,'Wind Proxy'!$B$8:$B$19,C1029)</f>
        <v>0</v>
      </c>
    </row>
    <row r="1030" spans="1:10" ht="14.4">
      <c r="A1030" s="84">
        <v>46681</v>
      </c>
      <c r="B1030" s="85">
        <v>2027</v>
      </c>
      <c r="C1030" s="85">
        <v>10</v>
      </c>
      <c r="D1030" s="85" t="s">
        <v>75</v>
      </c>
      <c r="E1030" s="85">
        <v>21</v>
      </c>
      <c r="F1030" s="85">
        <v>4</v>
      </c>
      <c r="G1030" s="85">
        <f>--(F1030&lt;=Estimator!$B$7)</f>
        <v>1</v>
      </c>
      <c r="H1030" s="86">
        <f>SUMIFS('Climate Data'!$G$7:$G$366,'Climate Data'!$A$7:$A$366,Estimator!$B$4,'Climate Data'!$B$7:$B$366,C1030)</f>
        <v>0.23225806451612904</v>
      </c>
      <c r="I1030" s="87">
        <f>SUMIFS('Climate Data'!$H$7:$H$366,'Climate Data'!$A$7:$A$366,Estimator!$B$4,'Climate Data'!$B$7:$B$366,C1030)</f>
        <v>6.8194444444444446</v>
      </c>
      <c r="J1030" s="86">
        <f>SUMIFS('Wind Proxy'!$H$8:$H$19,'Wind Proxy'!$A$8:$A$19,Estimator!$B$4,'Wind Proxy'!$B$8:$B$19,C1030)</f>
        <v>0</v>
      </c>
    </row>
    <row r="1031" spans="1:10" ht="14.4">
      <c r="A1031" s="84">
        <v>46682</v>
      </c>
      <c r="B1031" s="85">
        <v>2027</v>
      </c>
      <c r="C1031" s="85">
        <v>10</v>
      </c>
      <c r="D1031" s="85" t="s">
        <v>75</v>
      </c>
      <c r="E1031" s="85">
        <v>22</v>
      </c>
      <c r="F1031" s="85">
        <v>5</v>
      </c>
      <c r="G1031" s="85">
        <f>--(F1031&lt;=Estimator!$B$7)</f>
        <v>1</v>
      </c>
      <c r="H1031" s="86">
        <f>SUMIFS('Climate Data'!$G$7:$G$366,'Climate Data'!$A$7:$A$366,Estimator!$B$4,'Climate Data'!$B$7:$B$366,C1031)</f>
        <v>0.23225806451612904</v>
      </c>
      <c r="I1031" s="87">
        <f>SUMIFS('Climate Data'!$H$7:$H$366,'Climate Data'!$A$7:$A$366,Estimator!$B$4,'Climate Data'!$B$7:$B$366,C1031)</f>
        <v>6.8194444444444446</v>
      </c>
      <c r="J1031" s="86">
        <f>SUMIFS('Wind Proxy'!$H$8:$H$19,'Wind Proxy'!$A$8:$A$19,Estimator!$B$4,'Wind Proxy'!$B$8:$B$19,C1031)</f>
        <v>0</v>
      </c>
    </row>
    <row r="1032" spans="1:10" ht="14.4">
      <c r="A1032" s="84">
        <v>46683</v>
      </c>
      <c r="B1032" s="85">
        <v>2027</v>
      </c>
      <c r="C1032" s="85">
        <v>10</v>
      </c>
      <c r="D1032" s="85" t="s">
        <v>75</v>
      </c>
      <c r="E1032" s="85">
        <v>23</v>
      </c>
      <c r="F1032" s="85">
        <v>6</v>
      </c>
      <c r="G1032" s="85">
        <f>--(F1032&lt;=Estimator!$B$7)</f>
        <v>0</v>
      </c>
      <c r="H1032" s="86">
        <f>SUMIFS('Climate Data'!$G$7:$G$366,'Climate Data'!$A$7:$A$366,Estimator!$B$4,'Climate Data'!$B$7:$B$366,C1032)</f>
        <v>0.23225806451612904</v>
      </c>
      <c r="I1032" s="87">
        <f>SUMIFS('Climate Data'!$H$7:$H$366,'Climate Data'!$A$7:$A$366,Estimator!$B$4,'Climate Data'!$B$7:$B$366,C1032)</f>
        <v>6.8194444444444446</v>
      </c>
      <c r="J1032" s="86">
        <f>SUMIFS('Wind Proxy'!$H$8:$H$19,'Wind Proxy'!$A$8:$A$19,Estimator!$B$4,'Wind Proxy'!$B$8:$B$19,C1032)</f>
        <v>0</v>
      </c>
    </row>
    <row r="1033" spans="1:10" ht="14.4">
      <c r="A1033" s="84">
        <v>46684</v>
      </c>
      <c r="B1033" s="85">
        <v>2027</v>
      </c>
      <c r="C1033" s="85">
        <v>10</v>
      </c>
      <c r="D1033" s="85" t="s">
        <v>75</v>
      </c>
      <c r="E1033" s="85">
        <v>24</v>
      </c>
      <c r="F1033" s="85">
        <v>7</v>
      </c>
      <c r="G1033" s="85">
        <f>--(F1033&lt;=Estimator!$B$7)</f>
        <v>0</v>
      </c>
      <c r="H1033" s="86">
        <f>SUMIFS('Climate Data'!$G$7:$G$366,'Climate Data'!$A$7:$A$366,Estimator!$B$4,'Climate Data'!$B$7:$B$366,C1033)</f>
        <v>0.23225806451612904</v>
      </c>
      <c r="I1033" s="87">
        <f>SUMIFS('Climate Data'!$H$7:$H$366,'Climate Data'!$A$7:$A$366,Estimator!$B$4,'Climate Data'!$B$7:$B$366,C1033)</f>
        <v>6.8194444444444446</v>
      </c>
      <c r="J1033" s="86">
        <f>SUMIFS('Wind Proxy'!$H$8:$H$19,'Wind Proxy'!$A$8:$A$19,Estimator!$B$4,'Wind Proxy'!$B$8:$B$19,C1033)</f>
        <v>0</v>
      </c>
    </row>
    <row r="1034" spans="1:10" ht="14.4">
      <c r="A1034" s="84">
        <v>46685</v>
      </c>
      <c r="B1034" s="85">
        <v>2027</v>
      </c>
      <c r="C1034" s="85">
        <v>10</v>
      </c>
      <c r="D1034" s="85" t="s">
        <v>75</v>
      </c>
      <c r="E1034" s="85">
        <v>25</v>
      </c>
      <c r="F1034" s="85">
        <v>1</v>
      </c>
      <c r="G1034" s="85">
        <f>--(F1034&lt;=Estimator!$B$7)</f>
        <v>1</v>
      </c>
      <c r="H1034" s="86">
        <f>SUMIFS('Climate Data'!$G$7:$G$366,'Climate Data'!$A$7:$A$366,Estimator!$B$4,'Climate Data'!$B$7:$B$366,C1034)</f>
        <v>0.23225806451612904</v>
      </c>
      <c r="I1034" s="87">
        <f>SUMIFS('Climate Data'!$H$7:$H$366,'Climate Data'!$A$7:$A$366,Estimator!$B$4,'Climate Data'!$B$7:$B$366,C1034)</f>
        <v>6.8194444444444446</v>
      </c>
      <c r="J1034" s="86">
        <f>SUMIFS('Wind Proxy'!$H$8:$H$19,'Wind Proxy'!$A$8:$A$19,Estimator!$B$4,'Wind Proxy'!$B$8:$B$19,C1034)</f>
        <v>0</v>
      </c>
    </row>
    <row r="1035" spans="1:10" ht="14.4">
      <c r="A1035" s="84">
        <v>46686</v>
      </c>
      <c r="B1035" s="85">
        <v>2027</v>
      </c>
      <c r="C1035" s="85">
        <v>10</v>
      </c>
      <c r="D1035" s="85" t="s">
        <v>75</v>
      </c>
      <c r="E1035" s="85">
        <v>26</v>
      </c>
      <c r="F1035" s="85">
        <v>2</v>
      </c>
      <c r="G1035" s="85">
        <f>--(F1035&lt;=Estimator!$B$7)</f>
        <v>1</v>
      </c>
      <c r="H1035" s="86">
        <f>SUMIFS('Climate Data'!$G$7:$G$366,'Climate Data'!$A$7:$A$366,Estimator!$B$4,'Climate Data'!$B$7:$B$366,C1035)</f>
        <v>0.23225806451612904</v>
      </c>
      <c r="I1035" s="87">
        <f>SUMIFS('Climate Data'!$H$7:$H$366,'Climate Data'!$A$7:$A$366,Estimator!$B$4,'Climate Data'!$B$7:$B$366,C1035)</f>
        <v>6.8194444444444446</v>
      </c>
      <c r="J1035" s="86">
        <f>SUMIFS('Wind Proxy'!$H$8:$H$19,'Wind Proxy'!$A$8:$A$19,Estimator!$B$4,'Wind Proxy'!$B$8:$B$19,C1035)</f>
        <v>0</v>
      </c>
    </row>
    <row r="1036" spans="1:10" ht="14.4">
      <c r="A1036" s="84">
        <v>46687</v>
      </c>
      <c r="B1036" s="85">
        <v>2027</v>
      </c>
      <c r="C1036" s="85">
        <v>10</v>
      </c>
      <c r="D1036" s="85" t="s">
        <v>75</v>
      </c>
      <c r="E1036" s="85">
        <v>27</v>
      </c>
      <c r="F1036" s="85">
        <v>3</v>
      </c>
      <c r="G1036" s="85">
        <f>--(F1036&lt;=Estimator!$B$7)</f>
        <v>1</v>
      </c>
      <c r="H1036" s="86">
        <f>SUMIFS('Climate Data'!$G$7:$G$366,'Climate Data'!$A$7:$A$366,Estimator!$B$4,'Climate Data'!$B$7:$B$366,C1036)</f>
        <v>0.23225806451612904</v>
      </c>
      <c r="I1036" s="87">
        <f>SUMIFS('Climate Data'!$H$7:$H$366,'Climate Data'!$A$7:$A$366,Estimator!$B$4,'Climate Data'!$B$7:$B$366,C1036)</f>
        <v>6.8194444444444446</v>
      </c>
      <c r="J1036" s="86">
        <f>SUMIFS('Wind Proxy'!$H$8:$H$19,'Wind Proxy'!$A$8:$A$19,Estimator!$B$4,'Wind Proxy'!$B$8:$B$19,C1036)</f>
        <v>0</v>
      </c>
    </row>
    <row r="1037" spans="1:10" ht="14.4">
      <c r="A1037" s="84">
        <v>46688</v>
      </c>
      <c r="B1037" s="85">
        <v>2027</v>
      </c>
      <c r="C1037" s="85">
        <v>10</v>
      </c>
      <c r="D1037" s="85" t="s">
        <v>75</v>
      </c>
      <c r="E1037" s="85">
        <v>28</v>
      </c>
      <c r="F1037" s="85">
        <v>4</v>
      </c>
      <c r="G1037" s="85">
        <f>--(F1037&lt;=Estimator!$B$7)</f>
        <v>1</v>
      </c>
      <c r="H1037" s="86">
        <f>SUMIFS('Climate Data'!$G$7:$G$366,'Climate Data'!$A$7:$A$366,Estimator!$B$4,'Climate Data'!$B$7:$B$366,C1037)</f>
        <v>0.23225806451612904</v>
      </c>
      <c r="I1037" s="87">
        <f>SUMIFS('Climate Data'!$H$7:$H$366,'Climate Data'!$A$7:$A$366,Estimator!$B$4,'Climate Data'!$B$7:$B$366,C1037)</f>
        <v>6.8194444444444446</v>
      </c>
      <c r="J1037" s="86">
        <f>SUMIFS('Wind Proxy'!$H$8:$H$19,'Wind Proxy'!$A$8:$A$19,Estimator!$B$4,'Wind Proxy'!$B$8:$B$19,C1037)</f>
        <v>0</v>
      </c>
    </row>
    <row r="1038" spans="1:10" ht="14.4">
      <c r="A1038" s="84">
        <v>46689</v>
      </c>
      <c r="B1038" s="85">
        <v>2027</v>
      </c>
      <c r="C1038" s="85">
        <v>10</v>
      </c>
      <c r="D1038" s="85" t="s">
        <v>75</v>
      </c>
      <c r="E1038" s="85">
        <v>29</v>
      </c>
      <c r="F1038" s="85">
        <v>5</v>
      </c>
      <c r="G1038" s="85">
        <f>--(F1038&lt;=Estimator!$B$7)</f>
        <v>1</v>
      </c>
      <c r="H1038" s="86">
        <f>SUMIFS('Climate Data'!$G$7:$G$366,'Climate Data'!$A$7:$A$366,Estimator!$B$4,'Climate Data'!$B$7:$B$366,C1038)</f>
        <v>0.23225806451612904</v>
      </c>
      <c r="I1038" s="87">
        <f>SUMIFS('Climate Data'!$H$7:$H$366,'Climate Data'!$A$7:$A$366,Estimator!$B$4,'Climate Data'!$B$7:$B$366,C1038)</f>
        <v>6.8194444444444446</v>
      </c>
      <c r="J1038" s="86">
        <f>SUMIFS('Wind Proxy'!$H$8:$H$19,'Wind Proxy'!$A$8:$A$19,Estimator!$B$4,'Wind Proxy'!$B$8:$B$19,C1038)</f>
        <v>0</v>
      </c>
    </row>
    <row r="1039" spans="1:10" ht="14.4">
      <c r="A1039" s="84">
        <v>46690</v>
      </c>
      <c r="B1039" s="85">
        <v>2027</v>
      </c>
      <c r="C1039" s="85">
        <v>10</v>
      </c>
      <c r="D1039" s="85" t="s">
        <v>75</v>
      </c>
      <c r="E1039" s="85">
        <v>30</v>
      </c>
      <c r="F1039" s="85">
        <v>6</v>
      </c>
      <c r="G1039" s="85">
        <f>--(F1039&lt;=Estimator!$B$7)</f>
        <v>0</v>
      </c>
      <c r="H1039" s="86">
        <f>SUMIFS('Climate Data'!$G$7:$G$366,'Climate Data'!$A$7:$A$366,Estimator!$B$4,'Climate Data'!$B$7:$B$366,C1039)</f>
        <v>0.23225806451612904</v>
      </c>
      <c r="I1039" s="87">
        <f>SUMIFS('Climate Data'!$H$7:$H$366,'Climate Data'!$A$7:$A$366,Estimator!$B$4,'Climate Data'!$B$7:$B$366,C1039)</f>
        <v>6.8194444444444446</v>
      </c>
      <c r="J1039" s="86">
        <f>SUMIFS('Wind Proxy'!$H$8:$H$19,'Wind Proxy'!$A$8:$A$19,Estimator!$B$4,'Wind Proxy'!$B$8:$B$19,C1039)</f>
        <v>0</v>
      </c>
    </row>
    <row r="1040" spans="1:10" ht="14.4">
      <c r="A1040" s="84">
        <v>46691</v>
      </c>
      <c r="B1040" s="85">
        <v>2027</v>
      </c>
      <c r="C1040" s="85">
        <v>10</v>
      </c>
      <c r="D1040" s="85" t="s">
        <v>75</v>
      </c>
      <c r="E1040" s="85">
        <v>31</v>
      </c>
      <c r="F1040" s="85">
        <v>7</v>
      </c>
      <c r="G1040" s="85">
        <f>--(F1040&lt;=Estimator!$B$7)</f>
        <v>0</v>
      </c>
      <c r="H1040" s="86">
        <f>SUMIFS('Climate Data'!$G$7:$G$366,'Climate Data'!$A$7:$A$366,Estimator!$B$4,'Climate Data'!$B$7:$B$366,C1040)</f>
        <v>0.23225806451612904</v>
      </c>
      <c r="I1040" s="87">
        <f>SUMIFS('Climate Data'!$H$7:$H$366,'Climate Data'!$A$7:$A$366,Estimator!$B$4,'Climate Data'!$B$7:$B$366,C1040)</f>
        <v>6.8194444444444446</v>
      </c>
      <c r="J1040" s="86">
        <f>SUMIFS('Wind Proxy'!$H$8:$H$19,'Wind Proxy'!$A$8:$A$19,Estimator!$B$4,'Wind Proxy'!$B$8:$B$19,C1040)</f>
        <v>0</v>
      </c>
    </row>
    <row r="1041" spans="1:10" ht="14.4">
      <c r="A1041" s="84">
        <v>46692</v>
      </c>
      <c r="B1041" s="85">
        <v>2027</v>
      </c>
      <c r="C1041" s="85">
        <v>11</v>
      </c>
      <c r="D1041" s="85" t="s">
        <v>76</v>
      </c>
      <c r="E1041" s="85">
        <v>1</v>
      </c>
      <c r="F1041" s="85">
        <v>1</v>
      </c>
      <c r="G1041" s="85">
        <f>--(F1041&lt;=Estimator!$B$7)</f>
        <v>1</v>
      </c>
      <c r="H1041" s="86">
        <f>SUMIFS('Climate Data'!$G$7:$G$366,'Climate Data'!$A$7:$A$366,Estimator!$B$4,'Climate Data'!$B$7:$B$366,C1041)</f>
        <v>0.23333333333333334</v>
      </c>
      <c r="I1041" s="87">
        <f>SUMIFS('Climate Data'!$H$7:$H$366,'Climate Data'!$A$7:$A$366,Estimator!$B$4,'Climate Data'!$B$7:$B$366,C1041)</f>
        <v>6.4428571428571431</v>
      </c>
      <c r="J1041" s="86">
        <f>SUMIFS('Wind Proxy'!$H$8:$H$19,'Wind Proxy'!$A$8:$A$19,Estimator!$B$4,'Wind Proxy'!$B$8:$B$19,C1041)</f>
        <v>0</v>
      </c>
    </row>
    <row r="1042" spans="1:10" ht="14.4">
      <c r="A1042" s="84">
        <v>46693</v>
      </c>
      <c r="B1042" s="85">
        <v>2027</v>
      </c>
      <c r="C1042" s="85">
        <v>11</v>
      </c>
      <c r="D1042" s="85" t="s">
        <v>76</v>
      </c>
      <c r="E1042" s="85">
        <v>2</v>
      </c>
      <c r="F1042" s="85">
        <v>2</v>
      </c>
      <c r="G1042" s="85">
        <f>--(F1042&lt;=Estimator!$B$7)</f>
        <v>1</v>
      </c>
      <c r="H1042" s="86">
        <f>SUMIFS('Climate Data'!$G$7:$G$366,'Climate Data'!$A$7:$A$366,Estimator!$B$4,'Climate Data'!$B$7:$B$366,C1042)</f>
        <v>0.23333333333333334</v>
      </c>
      <c r="I1042" s="87">
        <f>SUMIFS('Climate Data'!$H$7:$H$366,'Climate Data'!$A$7:$A$366,Estimator!$B$4,'Climate Data'!$B$7:$B$366,C1042)</f>
        <v>6.4428571428571431</v>
      </c>
      <c r="J1042" s="86">
        <f>SUMIFS('Wind Proxy'!$H$8:$H$19,'Wind Proxy'!$A$8:$A$19,Estimator!$B$4,'Wind Proxy'!$B$8:$B$19,C1042)</f>
        <v>0</v>
      </c>
    </row>
    <row r="1043" spans="1:10" ht="14.4">
      <c r="A1043" s="84">
        <v>46694</v>
      </c>
      <c r="B1043" s="85">
        <v>2027</v>
      </c>
      <c r="C1043" s="85">
        <v>11</v>
      </c>
      <c r="D1043" s="85" t="s">
        <v>76</v>
      </c>
      <c r="E1043" s="85">
        <v>3</v>
      </c>
      <c r="F1043" s="85">
        <v>3</v>
      </c>
      <c r="G1043" s="85">
        <f>--(F1043&lt;=Estimator!$B$7)</f>
        <v>1</v>
      </c>
      <c r="H1043" s="86">
        <f>SUMIFS('Climate Data'!$G$7:$G$366,'Climate Data'!$A$7:$A$366,Estimator!$B$4,'Climate Data'!$B$7:$B$366,C1043)</f>
        <v>0.23333333333333334</v>
      </c>
      <c r="I1043" s="87">
        <f>SUMIFS('Climate Data'!$H$7:$H$366,'Climate Data'!$A$7:$A$366,Estimator!$B$4,'Climate Data'!$B$7:$B$366,C1043)</f>
        <v>6.4428571428571431</v>
      </c>
      <c r="J1043" s="86">
        <f>SUMIFS('Wind Proxy'!$H$8:$H$19,'Wind Proxy'!$A$8:$A$19,Estimator!$B$4,'Wind Proxy'!$B$8:$B$19,C1043)</f>
        <v>0</v>
      </c>
    </row>
    <row r="1044" spans="1:10" ht="14.4">
      <c r="A1044" s="84">
        <v>46695</v>
      </c>
      <c r="B1044" s="85">
        <v>2027</v>
      </c>
      <c r="C1044" s="85">
        <v>11</v>
      </c>
      <c r="D1044" s="85" t="s">
        <v>76</v>
      </c>
      <c r="E1044" s="85">
        <v>4</v>
      </c>
      <c r="F1044" s="85">
        <v>4</v>
      </c>
      <c r="G1044" s="85">
        <f>--(F1044&lt;=Estimator!$B$7)</f>
        <v>1</v>
      </c>
      <c r="H1044" s="86">
        <f>SUMIFS('Climate Data'!$G$7:$G$366,'Climate Data'!$A$7:$A$366,Estimator!$B$4,'Climate Data'!$B$7:$B$366,C1044)</f>
        <v>0.23333333333333334</v>
      </c>
      <c r="I1044" s="87">
        <f>SUMIFS('Climate Data'!$H$7:$H$366,'Climate Data'!$A$7:$A$366,Estimator!$B$4,'Climate Data'!$B$7:$B$366,C1044)</f>
        <v>6.4428571428571431</v>
      </c>
      <c r="J1044" s="86">
        <f>SUMIFS('Wind Proxy'!$H$8:$H$19,'Wind Proxy'!$A$8:$A$19,Estimator!$B$4,'Wind Proxy'!$B$8:$B$19,C1044)</f>
        <v>0</v>
      </c>
    </row>
    <row r="1045" spans="1:10" ht="14.4">
      <c r="A1045" s="84">
        <v>46696</v>
      </c>
      <c r="B1045" s="85">
        <v>2027</v>
      </c>
      <c r="C1045" s="85">
        <v>11</v>
      </c>
      <c r="D1045" s="85" t="s">
        <v>76</v>
      </c>
      <c r="E1045" s="85">
        <v>5</v>
      </c>
      <c r="F1045" s="85">
        <v>5</v>
      </c>
      <c r="G1045" s="85">
        <f>--(F1045&lt;=Estimator!$B$7)</f>
        <v>1</v>
      </c>
      <c r="H1045" s="86">
        <f>SUMIFS('Climate Data'!$G$7:$G$366,'Climate Data'!$A$7:$A$366,Estimator!$B$4,'Climate Data'!$B$7:$B$366,C1045)</f>
        <v>0.23333333333333334</v>
      </c>
      <c r="I1045" s="87">
        <f>SUMIFS('Climate Data'!$H$7:$H$366,'Climate Data'!$A$7:$A$366,Estimator!$B$4,'Climate Data'!$B$7:$B$366,C1045)</f>
        <v>6.4428571428571431</v>
      </c>
      <c r="J1045" s="86">
        <f>SUMIFS('Wind Proxy'!$H$8:$H$19,'Wind Proxy'!$A$8:$A$19,Estimator!$B$4,'Wind Proxy'!$B$8:$B$19,C1045)</f>
        <v>0</v>
      </c>
    </row>
    <row r="1046" spans="1:10" ht="14.4">
      <c r="A1046" s="84">
        <v>46697</v>
      </c>
      <c r="B1046" s="85">
        <v>2027</v>
      </c>
      <c r="C1046" s="85">
        <v>11</v>
      </c>
      <c r="D1046" s="85" t="s">
        <v>76</v>
      </c>
      <c r="E1046" s="85">
        <v>6</v>
      </c>
      <c r="F1046" s="85">
        <v>6</v>
      </c>
      <c r="G1046" s="85">
        <f>--(F1046&lt;=Estimator!$B$7)</f>
        <v>0</v>
      </c>
      <c r="H1046" s="86">
        <f>SUMIFS('Climate Data'!$G$7:$G$366,'Climate Data'!$A$7:$A$366,Estimator!$B$4,'Climate Data'!$B$7:$B$366,C1046)</f>
        <v>0.23333333333333334</v>
      </c>
      <c r="I1046" s="87">
        <f>SUMIFS('Climate Data'!$H$7:$H$366,'Climate Data'!$A$7:$A$366,Estimator!$B$4,'Climate Data'!$B$7:$B$366,C1046)</f>
        <v>6.4428571428571431</v>
      </c>
      <c r="J1046" s="86">
        <f>SUMIFS('Wind Proxy'!$H$8:$H$19,'Wind Proxy'!$A$8:$A$19,Estimator!$B$4,'Wind Proxy'!$B$8:$B$19,C1046)</f>
        <v>0</v>
      </c>
    </row>
    <row r="1047" spans="1:10" ht="14.4">
      <c r="A1047" s="84">
        <v>46698</v>
      </c>
      <c r="B1047" s="85">
        <v>2027</v>
      </c>
      <c r="C1047" s="85">
        <v>11</v>
      </c>
      <c r="D1047" s="85" t="s">
        <v>76</v>
      </c>
      <c r="E1047" s="85">
        <v>7</v>
      </c>
      <c r="F1047" s="85">
        <v>7</v>
      </c>
      <c r="G1047" s="85">
        <f>--(F1047&lt;=Estimator!$B$7)</f>
        <v>0</v>
      </c>
      <c r="H1047" s="86">
        <f>SUMIFS('Climate Data'!$G$7:$G$366,'Climate Data'!$A$7:$A$366,Estimator!$B$4,'Climate Data'!$B$7:$B$366,C1047)</f>
        <v>0.23333333333333334</v>
      </c>
      <c r="I1047" s="87">
        <f>SUMIFS('Climate Data'!$H$7:$H$366,'Climate Data'!$A$7:$A$366,Estimator!$B$4,'Climate Data'!$B$7:$B$366,C1047)</f>
        <v>6.4428571428571431</v>
      </c>
      <c r="J1047" s="86">
        <f>SUMIFS('Wind Proxy'!$H$8:$H$19,'Wind Proxy'!$A$8:$A$19,Estimator!$B$4,'Wind Proxy'!$B$8:$B$19,C1047)</f>
        <v>0</v>
      </c>
    </row>
    <row r="1048" spans="1:10" ht="14.4">
      <c r="A1048" s="84">
        <v>46699</v>
      </c>
      <c r="B1048" s="85">
        <v>2027</v>
      </c>
      <c r="C1048" s="85">
        <v>11</v>
      </c>
      <c r="D1048" s="85" t="s">
        <v>76</v>
      </c>
      <c r="E1048" s="85">
        <v>8</v>
      </c>
      <c r="F1048" s="85">
        <v>1</v>
      </c>
      <c r="G1048" s="85">
        <f>--(F1048&lt;=Estimator!$B$7)</f>
        <v>1</v>
      </c>
      <c r="H1048" s="86">
        <f>SUMIFS('Climate Data'!$G$7:$G$366,'Climate Data'!$A$7:$A$366,Estimator!$B$4,'Climate Data'!$B$7:$B$366,C1048)</f>
        <v>0.23333333333333334</v>
      </c>
      <c r="I1048" s="87">
        <f>SUMIFS('Climate Data'!$H$7:$H$366,'Climate Data'!$A$7:$A$366,Estimator!$B$4,'Climate Data'!$B$7:$B$366,C1048)</f>
        <v>6.4428571428571431</v>
      </c>
      <c r="J1048" s="86">
        <f>SUMIFS('Wind Proxy'!$H$8:$H$19,'Wind Proxy'!$A$8:$A$19,Estimator!$B$4,'Wind Proxy'!$B$8:$B$19,C1048)</f>
        <v>0</v>
      </c>
    </row>
    <row r="1049" spans="1:10" ht="14.4">
      <c r="A1049" s="84">
        <v>46700</v>
      </c>
      <c r="B1049" s="85">
        <v>2027</v>
      </c>
      <c r="C1049" s="85">
        <v>11</v>
      </c>
      <c r="D1049" s="85" t="s">
        <v>76</v>
      </c>
      <c r="E1049" s="85">
        <v>9</v>
      </c>
      <c r="F1049" s="85">
        <v>2</v>
      </c>
      <c r="G1049" s="85">
        <f>--(F1049&lt;=Estimator!$B$7)</f>
        <v>1</v>
      </c>
      <c r="H1049" s="86">
        <f>SUMIFS('Climate Data'!$G$7:$G$366,'Climate Data'!$A$7:$A$366,Estimator!$B$4,'Climate Data'!$B$7:$B$366,C1049)</f>
        <v>0.23333333333333334</v>
      </c>
      <c r="I1049" s="87">
        <f>SUMIFS('Climate Data'!$H$7:$H$366,'Climate Data'!$A$7:$A$366,Estimator!$B$4,'Climate Data'!$B$7:$B$366,C1049)</f>
        <v>6.4428571428571431</v>
      </c>
      <c r="J1049" s="86">
        <f>SUMIFS('Wind Proxy'!$H$8:$H$19,'Wind Proxy'!$A$8:$A$19,Estimator!$B$4,'Wind Proxy'!$B$8:$B$19,C1049)</f>
        <v>0</v>
      </c>
    </row>
    <row r="1050" spans="1:10" ht="14.4">
      <c r="A1050" s="84">
        <v>46701</v>
      </c>
      <c r="B1050" s="85">
        <v>2027</v>
      </c>
      <c r="C1050" s="85">
        <v>11</v>
      </c>
      <c r="D1050" s="85" t="s">
        <v>76</v>
      </c>
      <c r="E1050" s="85">
        <v>10</v>
      </c>
      <c r="F1050" s="85">
        <v>3</v>
      </c>
      <c r="G1050" s="85">
        <f>--(F1050&lt;=Estimator!$B$7)</f>
        <v>1</v>
      </c>
      <c r="H1050" s="86">
        <f>SUMIFS('Climate Data'!$G$7:$G$366,'Climate Data'!$A$7:$A$366,Estimator!$B$4,'Climate Data'!$B$7:$B$366,C1050)</f>
        <v>0.23333333333333334</v>
      </c>
      <c r="I1050" s="87">
        <f>SUMIFS('Climate Data'!$H$7:$H$366,'Climate Data'!$A$7:$A$366,Estimator!$B$4,'Climate Data'!$B$7:$B$366,C1050)</f>
        <v>6.4428571428571431</v>
      </c>
      <c r="J1050" s="86">
        <f>SUMIFS('Wind Proxy'!$H$8:$H$19,'Wind Proxy'!$A$8:$A$19,Estimator!$B$4,'Wind Proxy'!$B$8:$B$19,C1050)</f>
        <v>0</v>
      </c>
    </row>
    <row r="1051" spans="1:10" ht="14.4">
      <c r="A1051" s="84">
        <v>46702</v>
      </c>
      <c r="B1051" s="85">
        <v>2027</v>
      </c>
      <c r="C1051" s="85">
        <v>11</v>
      </c>
      <c r="D1051" s="85" t="s">
        <v>76</v>
      </c>
      <c r="E1051" s="85">
        <v>11</v>
      </c>
      <c r="F1051" s="85">
        <v>4</v>
      </c>
      <c r="G1051" s="85">
        <f>--(F1051&lt;=Estimator!$B$7)</f>
        <v>1</v>
      </c>
      <c r="H1051" s="86">
        <f>SUMIFS('Climate Data'!$G$7:$G$366,'Climate Data'!$A$7:$A$366,Estimator!$B$4,'Climate Data'!$B$7:$B$366,C1051)</f>
        <v>0.23333333333333334</v>
      </c>
      <c r="I1051" s="87">
        <f>SUMIFS('Climate Data'!$H$7:$H$366,'Climate Data'!$A$7:$A$366,Estimator!$B$4,'Climate Data'!$B$7:$B$366,C1051)</f>
        <v>6.4428571428571431</v>
      </c>
      <c r="J1051" s="86">
        <f>SUMIFS('Wind Proxy'!$H$8:$H$19,'Wind Proxy'!$A$8:$A$19,Estimator!$B$4,'Wind Proxy'!$B$8:$B$19,C1051)</f>
        <v>0</v>
      </c>
    </row>
    <row r="1052" spans="1:10" ht="14.4">
      <c r="A1052" s="84">
        <v>46703</v>
      </c>
      <c r="B1052" s="85">
        <v>2027</v>
      </c>
      <c r="C1052" s="85">
        <v>11</v>
      </c>
      <c r="D1052" s="85" t="s">
        <v>76</v>
      </c>
      <c r="E1052" s="85">
        <v>12</v>
      </c>
      <c r="F1052" s="85">
        <v>5</v>
      </c>
      <c r="G1052" s="85">
        <f>--(F1052&lt;=Estimator!$B$7)</f>
        <v>1</v>
      </c>
      <c r="H1052" s="86">
        <f>SUMIFS('Climate Data'!$G$7:$G$366,'Climate Data'!$A$7:$A$366,Estimator!$B$4,'Climate Data'!$B$7:$B$366,C1052)</f>
        <v>0.23333333333333334</v>
      </c>
      <c r="I1052" s="87">
        <f>SUMIFS('Climate Data'!$H$7:$H$366,'Climate Data'!$A$7:$A$366,Estimator!$B$4,'Climate Data'!$B$7:$B$366,C1052)</f>
        <v>6.4428571428571431</v>
      </c>
      <c r="J1052" s="86">
        <f>SUMIFS('Wind Proxy'!$H$8:$H$19,'Wind Proxy'!$A$8:$A$19,Estimator!$B$4,'Wind Proxy'!$B$8:$B$19,C1052)</f>
        <v>0</v>
      </c>
    </row>
    <row r="1053" spans="1:10" ht="14.4">
      <c r="A1053" s="84">
        <v>46704</v>
      </c>
      <c r="B1053" s="85">
        <v>2027</v>
      </c>
      <c r="C1053" s="85">
        <v>11</v>
      </c>
      <c r="D1053" s="85" t="s">
        <v>76</v>
      </c>
      <c r="E1053" s="85">
        <v>13</v>
      </c>
      <c r="F1053" s="85">
        <v>6</v>
      </c>
      <c r="G1053" s="85">
        <f>--(F1053&lt;=Estimator!$B$7)</f>
        <v>0</v>
      </c>
      <c r="H1053" s="86">
        <f>SUMIFS('Climate Data'!$G$7:$G$366,'Climate Data'!$A$7:$A$366,Estimator!$B$4,'Climate Data'!$B$7:$B$366,C1053)</f>
        <v>0.23333333333333334</v>
      </c>
      <c r="I1053" s="87">
        <f>SUMIFS('Climate Data'!$H$7:$H$366,'Climate Data'!$A$7:$A$366,Estimator!$B$4,'Climate Data'!$B$7:$B$366,C1053)</f>
        <v>6.4428571428571431</v>
      </c>
      <c r="J1053" s="86">
        <f>SUMIFS('Wind Proxy'!$H$8:$H$19,'Wind Proxy'!$A$8:$A$19,Estimator!$B$4,'Wind Proxy'!$B$8:$B$19,C1053)</f>
        <v>0</v>
      </c>
    </row>
    <row r="1054" spans="1:10" ht="14.4">
      <c r="A1054" s="84">
        <v>46705</v>
      </c>
      <c r="B1054" s="85">
        <v>2027</v>
      </c>
      <c r="C1054" s="85">
        <v>11</v>
      </c>
      <c r="D1054" s="85" t="s">
        <v>76</v>
      </c>
      <c r="E1054" s="85">
        <v>14</v>
      </c>
      <c r="F1054" s="85">
        <v>7</v>
      </c>
      <c r="G1054" s="85">
        <f>--(F1054&lt;=Estimator!$B$7)</f>
        <v>0</v>
      </c>
      <c r="H1054" s="86">
        <f>SUMIFS('Climate Data'!$G$7:$G$366,'Climate Data'!$A$7:$A$366,Estimator!$B$4,'Climate Data'!$B$7:$B$366,C1054)</f>
        <v>0.23333333333333334</v>
      </c>
      <c r="I1054" s="87">
        <f>SUMIFS('Climate Data'!$H$7:$H$366,'Climate Data'!$A$7:$A$366,Estimator!$B$4,'Climate Data'!$B$7:$B$366,C1054)</f>
        <v>6.4428571428571431</v>
      </c>
      <c r="J1054" s="86">
        <f>SUMIFS('Wind Proxy'!$H$8:$H$19,'Wind Proxy'!$A$8:$A$19,Estimator!$B$4,'Wind Proxy'!$B$8:$B$19,C1054)</f>
        <v>0</v>
      </c>
    </row>
    <row r="1055" spans="1:10" ht="14.4">
      <c r="A1055" s="84">
        <v>46706</v>
      </c>
      <c r="B1055" s="85">
        <v>2027</v>
      </c>
      <c r="C1055" s="85">
        <v>11</v>
      </c>
      <c r="D1055" s="85" t="s">
        <v>76</v>
      </c>
      <c r="E1055" s="85">
        <v>15</v>
      </c>
      <c r="F1055" s="85">
        <v>1</v>
      </c>
      <c r="G1055" s="85">
        <f>--(F1055&lt;=Estimator!$B$7)</f>
        <v>1</v>
      </c>
      <c r="H1055" s="86">
        <f>SUMIFS('Climate Data'!$G$7:$G$366,'Climate Data'!$A$7:$A$366,Estimator!$B$4,'Climate Data'!$B$7:$B$366,C1055)</f>
        <v>0.23333333333333334</v>
      </c>
      <c r="I1055" s="87">
        <f>SUMIFS('Climate Data'!$H$7:$H$366,'Climate Data'!$A$7:$A$366,Estimator!$B$4,'Climate Data'!$B$7:$B$366,C1055)</f>
        <v>6.4428571428571431</v>
      </c>
      <c r="J1055" s="86">
        <f>SUMIFS('Wind Proxy'!$H$8:$H$19,'Wind Proxy'!$A$8:$A$19,Estimator!$B$4,'Wind Proxy'!$B$8:$B$19,C1055)</f>
        <v>0</v>
      </c>
    </row>
    <row r="1056" spans="1:10" ht="14.4">
      <c r="A1056" s="84">
        <v>46707</v>
      </c>
      <c r="B1056" s="85">
        <v>2027</v>
      </c>
      <c r="C1056" s="85">
        <v>11</v>
      </c>
      <c r="D1056" s="85" t="s">
        <v>76</v>
      </c>
      <c r="E1056" s="85">
        <v>16</v>
      </c>
      <c r="F1056" s="85">
        <v>2</v>
      </c>
      <c r="G1056" s="85">
        <f>--(F1056&lt;=Estimator!$B$7)</f>
        <v>1</v>
      </c>
      <c r="H1056" s="86">
        <f>SUMIFS('Climate Data'!$G$7:$G$366,'Climate Data'!$A$7:$A$366,Estimator!$B$4,'Climate Data'!$B$7:$B$366,C1056)</f>
        <v>0.23333333333333334</v>
      </c>
      <c r="I1056" s="87">
        <f>SUMIFS('Climate Data'!$H$7:$H$366,'Climate Data'!$A$7:$A$366,Estimator!$B$4,'Climate Data'!$B$7:$B$366,C1056)</f>
        <v>6.4428571428571431</v>
      </c>
      <c r="J1056" s="86">
        <f>SUMIFS('Wind Proxy'!$H$8:$H$19,'Wind Proxy'!$A$8:$A$19,Estimator!$B$4,'Wind Proxy'!$B$8:$B$19,C1056)</f>
        <v>0</v>
      </c>
    </row>
    <row r="1057" spans="1:10" ht="14.4">
      <c r="A1057" s="84">
        <v>46708</v>
      </c>
      <c r="B1057" s="85">
        <v>2027</v>
      </c>
      <c r="C1057" s="85">
        <v>11</v>
      </c>
      <c r="D1057" s="85" t="s">
        <v>76</v>
      </c>
      <c r="E1057" s="85">
        <v>17</v>
      </c>
      <c r="F1057" s="85">
        <v>3</v>
      </c>
      <c r="G1057" s="85">
        <f>--(F1057&lt;=Estimator!$B$7)</f>
        <v>1</v>
      </c>
      <c r="H1057" s="86">
        <f>SUMIFS('Climate Data'!$G$7:$G$366,'Climate Data'!$A$7:$A$366,Estimator!$B$4,'Climate Data'!$B$7:$B$366,C1057)</f>
        <v>0.23333333333333334</v>
      </c>
      <c r="I1057" s="87">
        <f>SUMIFS('Climate Data'!$H$7:$H$366,'Climate Data'!$A$7:$A$366,Estimator!$B$4,'Climate Data'!$B$7:$B$366,C1057)</f>
        <v>6.4428571428571431</v>
      </c>
      <c r="J1057" s="86">
        <f>SUMIFS('Wind Proxy'!$H$8:$H$19,'Wind Proxy'!$A$8:$A$19,Estimator!$B$4,'Wind Proxy'!$B$8:$B$19,C1057)</f>
        <v>0</v>
      </c>
    </row>
    <row r="1058" spans="1:10" ht="14.4">
      <c r="A1058" s="84">
        <v>46709</v>
      </c>
      <c r="B1058" s="85">
        <v>2027</v>
      </c>
      <c r="C1058" s="85">
        <v>11</v>
      </c>
      <c r="D1058" s="85" t="s">
        <v>76</v>
      </c>
      <c r="E1058" s="85">
        <v>18</v>
      </c>
      <c r="F1058" s="85">
        <v>4</v>
      </c>
      <c r="G1058" s="85">
        <f>--(F1058&lt;=Estimator!$B$7)</f>
        <v>1</v>
      </c>
      <c r="H1058" s="86">
        <f>SUMIFS('Climate Data'!$G$7:$G$366,'Climate Data'!$A$7:$A$366,Estimator!$B$4,'Climate Data'!$B$7:$B$366,C1058)</f>
        <v>0.23333333333333334</v>
      </c>
      <c r="I1058" s="87">
        <f>SUMIFS('Climate Data'!$H$7:$H$366,'Climate Data'!$A$7:$A$366,Estimator!$B$4,'Climate Data'!$B$7:$B$366,C1058)</f>
        <v>6.4428571428571431</v>
      </c>
      <c r="J1058" s="86">
        <f>SUMIFS('Wind Proxy'!$H$8:$H$19,'Wind Proxy'!$A$8:$A$19,Estimator!$B$4,'Wind Proxy'!$B$8:$B$19,C1058)</f>
        <v>0</v>
      </c>
    </row>
    <row r="1059" spans="1:10" ht="14.4">
      <c r="A1059" s="84">
        <v>46710</v>
      </c>
      <c r="B1059" s="85">
        <v>2027</v>
      </c>
      <c r="C1059" s="85">
        <v>11</v>
      </c>
      <c r="D1059" s="85" t="s">
        <v>76</v>
      </c>
      <c r="E1059" s="85">
        <v>19</v>
      </c>
      <c r="F1059" s="85">
        <v>5</v>
      </c>
      <c r="G1059" s="85">
        <f>--(F1059&lt;=Estimator!$B$7)</f>
        <v>1</v>
      </c>
      <c r="H1059" s="86">
        <f>SUMIFS('Climate Data'!$G$7:$G$366,'Climate Data'!$A$7:$A$366,Estimator!$B$4,'Climate Data'!$B$7:$B$366,C1059)</f>
        <v>0.23333333333333334</v>
      </c>
      <c r="I1059" s="87">
        <f>SUMIFS('Climate Data'!$H$7:$H$366,'Climate Data'!$A$7:$A$366,Estimator!$B$4,'Climate Data'!$B$7:$B$366,C1059)</f>
        <v>6.4428571428571431</v>
      </c>
      <c r="J1059" s="86">
        <f>SUMIFS('Wind Proxy'!$H$8:$H$19,'Wind Proxy'!$A$8:$A$19,Estimator!$B$4,'Wind Proxy'!$B$8:$B$19,C1059)</f>
        <v>0</v>
      </c>
    </row>
    <row r="1060" spans="1:10" ht="14.4">
      <c r="A1060" s="84">
        <v>46711</v>
      </c>
      <c r="B1060" s="85">
        <v>2027</v>
      </c>
      <c r="C1060" s="85">
        <v>11</v>
      </c>
      <c r="D1060" s="85" t="s">
        <v>76</v>
      </c>
      <c r="E1060" s="85">
        <v>20</v>
      </c>
      <c r="F1060" s="85">
        <v>6</v>
      </c>
      <c r="G1060" s="85">
        <f>--(F1060&lt;=Estimator!$B$7)</f>
        <v>0</v>
      </c>
      <c r="H1060" s="86">
        <f>SUMIFS('Climate Data'!$G$7:$G$366,'Climate Data'!$A$7:$A$366,Estimator!$B$4,'Climate Data'!$B$7:$B$366,C1060)</f>
        <v>0.23333333333333334</v>
      </c>
      <c r="I1060" s="87">
        <f>SUMIFS('Climate Data'!$H$7:$H$366,'Climate Data'!$A$7:$A$366,Estimator!$B$4,'Climate Data'!$B$7:$B$366,C1060)</f>
        <v>6.4428571428571431</v>
      </c>
      <c r="J1060" s="86">
        <f>SUMIFS('Wind Proxy'!$H$8:$H$19,'Wind Proxy'!$A$8:$A$19,Estimator!$B$4,'Wind Proxy'!$B$8:$B$19,C1060)</f>
        <v>0</v>
      </c>
    </row>
    <row r="1061" spans="1:10" ht="14.4">
      <c r="A1061" s="84">
        <v>46712</v>
      </c>
      <c r="B1061" s="85">
        <v>2027</v>
      </c>
      <c r="C1061" s="85">
        <v>11</v>
      </c>
      <c r="D1061" s="85" t="s">
        <v>76</v>
      </c>
      <c r="E1061" s="85">
        <v>21</v>
      </c>
      <c r="F1061" s="85">
        <v>7</v>
      </c>
      <c r="G1061" s="85">
        <f>--(F1061&lt;=Estimator!$B$7)</f>
        <v>0</v>
      </c>
      <c r="H1061" s="86">
        <f>SUMIFS('Climate Data'!$G$7:$G$366,'Climate Data'!$A$7:$A$366,Estimator!$B$4,'Climate Data'!$B$7:$B$366,C1061)</f>
        <v>0.23333333333333334</v>
      </c>
      <c r="I1061" s="87">
        <f>SUMIFS('Climate Data'!$H$7:$H$366,'Climate Data'!$A$7:$A$366,Estimator!$B$4,'Climate Data'!$B$7:$B$366,C1061)</f>
        <v>6.4428571428571431</v>
      </c>
      <c r="J1061" s="86">
        <f>SUMIFS('Wind Proxy'!$H$8:$H$19,'Wind Proxy'!$A$8:$A$19,Estimator!$B$4,'Wind Proxy'!$B$8:$B$19,C1061)</f>
        <v>0</v>
      </c>
    </row>
    <row r="1062" spans="1:10" ht="14.4">
      <c r="A1062" s="84">
        <v>46713</v>
      </c>
      <c r="B1062" s="85">
        <v>2027</v>
      </c>
      <c r="C1062" s="85">
        <v>11</v>
      </c>
      <c r="D1062" s="85" t="s">
        <v>76</v>
      </c>
      <c r="E1062" s="85">
        <v>22</v>
      </c>
      <c r="F1062" s="85">
        <v>1</v>
      </c>
      <c r="G1062" s="85">
        <f>--(F1062&lt;=Estimator!$B$7)</f>
        <v>1</v>
      </c>
      <c r="H1062" s="86">
        <f>SUMIFS('Climate Data'!$G$7:$G$366,'Climate Data'!$A$7:$A$366,Estimator!$B$4,'Climate Data'!$B$7:$B$366,C1062)</f>
        <v>0.23333333333333334</v>
      </c>
      <c r="I1062" s="87">
        <f>SUMIFS('Climate Data'!$H$7:$H$366,'Climate Data'!$A$7:$A$366,Estimator!$B$4,'Climate Data'!$B$7:$B$366,C1062)</f>
        <v>6.4428571428571431</v>
      </c>
      <c r="J1062" s="86">
        <f>SUMIFS('Wind Proxy'!$H$8:$H$19,'Wind Proxy'!$A$8:$A$19,Estimator!$B$4,'Wind Proxy'!$B$8:$B$19,C1062)</f>
        <v>0</v>
      </c>
    </row>
    <row r="1063" spans="1:10" ht="14.4">
      <c r="A1063" s="84">
        <v>46714</v>
      </c>
      <c r="B1063" s="85">
        <v>2027</v>
      </c>
      <c r="C1063" s="85">
        <v>11</v>
      </c>
      <c r="D1063" s="85" t="s">
        <v>76</v>
      </c>
      <c r="E1063" s="85">
        <v>23</v>
      </c>
      <c r="F1063" s="85">
        <v>2</v>
      </c>
      <c r="G1063" s="85">
        <f>--(F1063&lt;=Estimator!$B$7)</f>
        <v>1</v>
      </c>
      <c r="H1063" s="86">
        <f>SUMIFS('Climate Data'!$G$7:$G$366,'Climate Data'!$A$7:$A$366,Estimator!$B$4,'Climate Data'!$B$7:$B$366,C1063)</f>
        <v>0.23333333333333334</v>
      </c>
      <c r="I1063" s="87">
        <f>SUMIFS('Climate Data'!$H$7:$H$366,'Climate Data'!$A$7:$A$366,Estimator!$B$4,'Climate Data'!$B$7:$B$366,C1063)</f>
        <v>6.4428571428571431</v>
      </c>
      <c r="J1063" s="86">
        <f>SUMIFS('Wind Proxy'!$H$8:$H$19,'Wind Proxy'!$A$8:$A$19,Estimator!$B$4,'Wind Proxy'!$B$8:$B$19,C1063)</f>
        <v>0</v>
      </c>
    </row>
    <row r="1064" spans="1:10" ht="14.4">
      <c r="A1064" s="84">
        <v>46715</v>
      </c>
      <c r="B1064" s="85">
        <v>2027</v>
      </c>
      <c r="C1064" s="85">
        <v>11</v>
      </c>
      <c r="D1064" s="85" t="s">
        <v>76</v>
      </c>
      <c r="E1064" s="85">
        <v>24</v>
      </c>
      <c r="F1064" s="85">
        <v>3</v>
      </c>
      <c r="G1064" s="85">
        <f>--(F1064&lt;=Estimator!$B$7)</f>
        <v>1</v>
      </c>
      <c r="H1064" s="86">
        <f>SUMIFS('Climate Data'!$G$7:$G$366,'Climate Data'!$A$7:$A$366,Estimator!$B$4,'Climate Data'!$B$7:$B$366,C1064)</f>
        <v>0.23333333333333334</v>
      </c>
      <c r="I1064" s="87">
        <f>SUMIFS('Climate Data'!$H$7:$H$366,'Climate Data'!$A$7:$A$366,Estimator!$B$4,'Climate Data'!$B$7:$B$366,C1064)</f>
        <v>6.4428571428571431</v>
      </c>
      <c r="J1064" s="86">
        <f>SUMIFS('Wind Proxy'!$H$8:$H$19,'Wind Proxy'!$A$8:$A$19,Estimator!$B$4,'Wind Proxy'!$B$8:$B$19,C1064)</f>
        <v>0</v>
      </c>
    </row>
    <row r="1065" spans="1:10" ht="14.4">
      <c r="A1065" s="84">
        <v>46716</v>
      </c>
      <c r="B1065" s="85">
        <v>2027</v>
      </c>
      <c r="C1065" s="85">
        <v>11</v>
      </c>
      <c r="D1065" s="85" t="s">
        <v>76</v>
      </c>
      <c r="E1065" s="85">
        <v>25</v>
      </c>
      <c r="F1065" s="85">
        <v>4</v>
      </c>
      <c r="G1065" s="85">
        <f>--(F1065&lt;=Estimator!$B$7)</f>
        <v>1</v>
      </c>
      <c r="H1065" s="86">
        <f>SUMIFS('Climate Data'!$G$7:$G$366,'Climate Data'!$A$7:$A$366,Estimator!$B$4,'Climate Data'!$B$7:$B$366,C1065)</f>
        <v>0.23333333333333334</v>
      </c>
      <c r="I1065" s="87">
        <f>SUMIFS('Climate Data'!$H$7:$H$366,'Climate Data'!$A$7:$A$366,Estimator!$B$4,'Climate Data'!$B$7:$B$366,C1065)</f>
        <v>6.4428571428571431</v>
      </c>
      <c r="J1065" s="86">
        <f>SUMIFS('Wind Proxy'!$H$8:$H$19,'Wind Proxy'!$A$8:$A$19,Estimator!$B$4,'Wind Proxy'!$B$8:$B$19,C1065)</f>
        <v>0</v>
      </c>
    </row>
    <row r="1066" spans="1:10" ht="14.4">
      <c r="A1066" s="84">
        <v>46717</v>
      </c>
      <c r="B1066" s="85">
        <v>2027</v>
      </c>
      <c r="C1066" s="85">
        <v>11</v>
      </c>
      <c r="D1066" s="85" t="s">
        <v>76</v>
      </c>
      <c r="E1066" s="85">
        <v>26</v>
      </c>
      <c r="F1066" s="85">
        <v>5</v>
      </c>
      <c r="G1066" s="85">
        <f>--(F1066&lt;=Estimator!$B$7)</f>
        <v>1</v>
      </c>
      <c r="H1066" s="86">
        <f>SUMIFS('Climate Data'!$G$7:$G$366,'Climate Data'!$A$7:$A$366,Estimator!$B$4,'Climate Data'!$B$7:$B$366,C1066)</f>
        <v>0.23333333333333334</v>
      </c>
      <c r="I1066" s="87">
        <f>SUMIFS('Climate Data'!$H$7:$H$366,'Climate Data'!$A$7:$A$366,Estimator!$B$4,'Climate Data'!$B$7:$B$366,C1066)</f>
        <v>6.4428571428571431</v>
      </c>
      <c r="J1066" s="86">
        <f>SUMIFS('Wind Proxy'!$H$8:$H$19,'Wind Proxy'!$A$8:$A$19,Estimator!$B$4,'Wind Proxy'!$B$8:$B$19,C1066)</f>
        <v>0</v>
      </c>
    </row>
    <row r="1067" spans="1:10" ht="14.4">
      <c r="A1067" s="84">
        <v>46718</v>
      </c>
      <c r="B1067" s="85">
        <v>2027</v>
      </c>
      <c r="C1067" s="85">
        <v>11</v>
      </c>
      <c r="D1067" s="85" t="s">
        <v>76</v>
      </c>
      <c r="E1067" s="85">
        <v>27</v>
      </c>
      <c r="F1067" s="85">
        <v>6</v>
      </c>
      <c r="G1067" s="85">
        <f>--(F1067&lt;=Estimator!$B$7)</f>
        <v>0</v>
      </c>
      <c r="H1067" s="86">
        <f>SUMIFS('Climate Data'!$G$7:$G$366,'Climate Data'!$A$7:$A$366,Estimator!$B$4,'Climate Data'!$B$7:$B$366,C1067)</f>
        <v>0.23333333333333334</v>
      </c>
      <c r="I1067" s="87">
        <f>SUMIFS('Climate Data'!$H$7:$H$366,'Climate Data'!$A$7:$A$366,Estimator!$B$4,'Climate Data'!$B$7:$B$366,C1067)</f>
        <v>6.4428571428571431</v>
      </c>
      <c r="J1067" s="86">
        <f>SUMIFS('Wind Proxy'!$H$8:$H$19,'Wind Proxy'!$A$8:$A$19,Estimator!$B$4,'Wind Proxy'!$B$8:$B$19,C1067)</f>
        <v>0</v>
      </c>
    </row>
    <row r="1068" spans="1:10" ht="14.4">
      <c r="A1068" s="84">
        <v>46719</v>
      </c>
      <c r="B1068" s="85">
        <v>2027</v>
      </c>
      <c r="C1068" s="85">
        <v>11</v>
      </c>
      <c r="D1068" s="85" t="s">
        <v>76</v>
      </c>
      <c r="E1068" s="85">
        <v>28</v>
      </c>
      <c r="F1068" s="85">
        <v>7</v>
      </c>
      <c r="G1068" s="85">
        <f>--(F1068&lt;=Estimator!$B$7)</f>
        <v>0</v>
      </c>
      <c r="H1068" s="86">
        <f>SUMIFS('Climate Data'!$G$7:$G$366,'Climate Data'!$A$7:$A$366,Estimator!$B$4,'Climate Data'!$B$7:$B$366,C1068)</f>
        <v>0.23333333333333334</v>
      </c>
      <c r="I1068" s="87">
        <f>SUMIFS('Climate Data'!$H$7:$H$366,'Climate Data'!$A$7:$A$366,Estimator!$B$4,'Climate Data'!$B$7:$B$366,C1068)</f>
        <v>6.4428571428571431</v>
      </c>
      <c r="J1068" s="86">
        <f>SUMIFS('Wind Proxy'!$H$8:$H$19,'Wind Proxy'!$A$8:$A$19,Estimator!$B$4,'Wind Proxy'!$B$8:$B$19,C1068)</f>
        <v>0</v>
      </c>
    </row>
    <row r="1069" spans="1:10" ht="14.4">
      <c r="A1069" s="84">
        <v>46720</v>
      </c>
      <c r="B1069" s="85">
        <v>2027</v>
      </c>
      <c r="C1069" s="85">
        <v>11</v>
      </c>
      <c r="D1069" s="85" t="s">
        <v>76</v>
      </c>
      <c r="E1069" s="85">
        <v>29</v>
      </c>
      <c r="F1069" s="85">
        <v>1</v>
      </c>
      <c r="G1069" s="85">
        <f>--(F1069&lt;=Estimator!$B$7)</f>
        <v>1</v>
      </c>
      <c r="H1069" s="86">
        <f>SUMIFS('Climate Data'!$G$7:$G$366,'Climate Data'!$A$7:$A$366,Estimator!$B$4,'Climate Data'!$B$7:$B$366,C1069)</f>
        <v>0.23333333333333334</v>
      </c>
      <c r="I1069" s="87">
        <f>SUMIFS('Climate Data'!$H$7:$H$366,'Climate Data'!$A$7:$A$366,Estimator!$B$4,'Climate Data'!$B$7:$B$366,C1069)</f>
        <v>6.4428571428571431</v>
      </c>
      <c r="J1069" s="86">
        <f>SUMIFS('Wind Proxy'!$H$8:$H$19,'Wind Proxy'!$A$8:$A$19,Estimator!$B$4,'Wind Proxy'!$B$8:$B$19,C1069)</f>
        <v>0</v>
      </c>
    </row>
    <row r="1070" spans="1:10" ht="14.4">
      <c r="A1070" s="84">
        <v>46721</v>
      </c>
      <c r="B1070" s="85">
        <v>2027</v>
      </c>
      <c r="C1070" s="85">
        <v>11</v>
      </c>
      <c r="D1070" s="85" t="s">
        <v>76</v>
      </c>
      <c r="E1070" s="85">
        <v>30</v>
      </c>
      <c r="F1070" s="85">
        <v>2</v>
      </c>
      <c r="G1070" s="85">
        <f>--(F1070&lt;=Estimator!$B$7)</f>
        <v>1</v>
      </c>
      <c r="H1070" s="86">
        <f>SUMIFS('Climate Data'!$G$7:$G$366,'Climate Data'!$A$7:$A$366,Estimator!$B$4,'Climate Data'!$B$7:$B$366,C1070)</f>
        <v>0.23333333333333334</v>
      </c>
      <c r="I1070" s="87">
        <f>SUMIFS('Climate Data'!$H$7:$H$366,'Climate Data'!$A$7:$A$366,Estimator!$B$4,'Climate Data'!$B$7:$B$366,C1070)</f>
        <v>6.4428571428571431</v>
      </c>
      <c r="J1070" s="86">
        <f>SUMIFS('Wind Proxy'!$H$8:$H$19,'Wind Proxy'!$A$8:$A$19,Estimator!$B$4,'Wind Proxy'!$B$8:$B$19,C1070)</f>
        <v>0</v>
      </c>
    </row>
    <row r="1071" spans="1:10" ht="14.4">
      <c r="A1071" s="84">
        <v>46722</v>
      </c>
      <c r="B1071" s="85">
        <v>2027</v>
      </c>
      <c r="C1071" s="85">
        <v>12</v>
      </c>
      <c r="D1071" s="85" t="s">
        <v>77</v>
      </c>
      <c r="E1071" s="85">
        <v>1</v>
      </c>
      <c r="F1071" s="85">
        <v>3</v>
      </c>
      <c r="G1071" s="85">
        <f>--(F1071&lt;=Estimator!$B$7)</f>
        <v>1</v>
      </c>
      <c r="H1071" s="86">
        <f>SUMIFS('Climate Data'!$G$7:$G$366,'Climate Data'!$A$7:$A$366,Estimator!$B$4,'Climate Data'!$B$7:$B$366,C1071)</f>
        <v>0.22688172043010751</v>
      </c>
      <c r="I1071" s="87">
        <f>SUMIFS('Climate Data'!$H$7:$H$366,'Climate Data'!$A$7:$A$366,Estimator!$B$4,'Climate Data'!$B$7:$B$366,C1071)</f>
        <v>6.7962085308056865</v>
      </c>
      <c r="J1071" s="86">
        <f>SUMIFS('Wind Proxy'!$H$8:$H$19,'Wind Proxy'!$A$8:$A$19,Estimator!$B$4,'Wind Proxy'!$B$8:$B$19,C1071)</f>
        <v>0</v>
      </c>
    </row>
    <row r="1072" spans="1:10" ht="14.4">
      <c r="A1072" s="84">
        <v>46723</v>
      </c>
      <c r="B1072" s="85">
        <v>2027</v>
      </c>
      <c r="C1072" s="85">
        <v>12</v>
      </c>
      <c r="D1072" s="85" t="s">
        <v>77</v>
      </c>
      <c r="E1072" s="85">
        <v>2</v>
      </c>
      <c r="F1072" s="85">
        <v>4</v>
      </c>
      <c r="G1072" s="85">
        <f>--(F1072&lt;=Estimator!$B$7)</f>
        <v>1</v>
      </c>
      <c r="H1072" s="86">
        <f>SUMIFS('Climate Data'!$G$7:$G$366,'Climate Data'!$A$7:$A$366,Estimator!$B$4,'Climate Data'!$B$7:$B$366,C1072)</f>
        <v>0.22688172043010751</v>
      </c>
      <c r="I1072" s="87">
        <f>SUMIFS('Climate Data'!$H$7:$H$366,'Climate Data'!$A$7:$A$366,Estimator!$B$4,'Climate Data'!$B$7:$B$366,C1072)</f>
        <v>6.7962085308056865</v>
      </c>
      <c r="J1072" s="86">
        <f>SUMIFS('Wind Proxy'!$H$8:$H$19,'Wind Proxy'!$A$8:$A$19,Estimator!$B$4,'Wind Proxy'!$B$8:$B$19,C1072)</f>
        <v>0</v>
      </c>
    </row>
    <row r="1073" spans="1:10" ht="14.4">
      <c r="A1073" s="84">
        <v>46724</v>
      </c>
      <c r="B1073" s="85">
        <v>2027</v>
      </c>
      <c r="C1073" s="85">
        <v>12</v>
      </c>
      <c r="D1073" s="85" t="s">
        <v>77</v>
      </c>
      <c r="E1073" s="85">
        <v>3</v>
      </c>
      <c r="F1073" s="85">
        <v>5</v>
      </c>
      <c r="G1073" s="85">
        <f>--(F1073&lt;=Estimator!$B$7)</f>
        <v>1</v>
      </c>
      <c r="H1073" s="86">
        <f>SUMIFS('Climate Data'!$G$7:$G$366,'Climate Data'!$A$7:$A$366,Estimator!$B$4,'Climate Data'!$B$7:$B$366,C1073)</f>
        <v>0.22688172043010751</v>
      </c>
      <c r="I1073" s="87">
        <f>SUMIFS('Climate Data'!$H$7:$H$366,'Climate Data'!$A$7:$A$366,Estimator!$B$4,'Climate Data'!$B$7:$B$366,C1073)</f>
        <v>6.7962085308056865</v>
      </c>
      <c r="J1073" s="86">
        <f>SUMIFS('Wind Proxy'!$H$8:$H$19,'Wind Proxy'!$A$8:$A$19,Estimator!$B$4,'Wind Proxy'!$B$8:$B$19,C1073)</f>
        <v>0</v>
      </c>
    </row>
    <row r="1074" spans="1:10" ht="14.4">
      <c r="A1074" s="84">
        <v>46725</v>
      </c>
      <c r="B1074" s="85">
        <v>2027</v>
      </c>
      <c r="C1074" s="85">
        <v>12</v>
      </c>
      <c r="D1074" s="85" t="s">
        <v>77</v>
      </c>
      <c r="E1074" s="85">
        <v>4</v>
      </c>
      <c r="F1074" s="85">
        <v>6</v>
      </c>
      <c r="G1074" s="85">
        <f>--(F1074&lt;=Estimator!$B$7)</f>
        <v>0</v>
      </c>
      <c r="H1074" s="86">
        <f>SUMIFS('Climate Data'!$G$7:$G$366,'Climate Data'!$A$7:$A$366,Estimator!$B$4,'Climate Data'!$B$7:$B$366,C1074)</f>
        <v>0.22688172043010751</v>
      </c>
      <c r="I1074" s="87">
        <f>SUMIFS('Climate Data'!$H$7:$H$366,'Climate Data'!$A$7:$A$366,Estimator!$B$4,'Climate Data'!$B$7:$B$366,C1074)</f>
        <v>6.7962085308056865</v>
      </c>
      <c r="J1074" s="86">
        <f>SUMIFS('Wind Proxy'!$H$8:$H$19,'Wind Proxy'!$A$8:$A$19,Estimator!$B$4,'Wind Proxy'!$B$8:$B$19,C1074)</f>
        <v>0</v>
      </c>
    </row>
    <row r="1075" spans="1:10" ht="14.4">
      <c r="A1075" s="84">
        <v>46726</v>
      </c>
      <c r="B1075" s="85">
        <v>2027</v>
      </c>
      <c r="C1075" s="85">
        <v>12</v>
      </c>
      <c r="D1075" s="85" t="s">
        <v>77</v>
      </c>
      <c r="E1075" s="85">
        <v>5</v>
      </c>
      <c r="F1075" s="85">
        <v>7</v>
      </c>
      <c r="G1075" s="85">
        <f>--(F1075&lt;=Estimator!$B$7)</f>
        <v>0</v>
      </c>
      <c r="H1075" s="86">
        <f>SUMIFS('Climate Data'!$G$7:$G$366,'Climate Data'!$A$7:$A$366,Estimator!$B$4,'Climate Data'!$B$7:$B$366,C1075)</f>
        <v>0.22688172043010751</v>
      </c>
      <c r="I1075" s="87">
        <f>SUMIFS('Climate Data'!$H$7:$H$366,'Climate Data'!$A$7:$A$366,Estimator!$B$4,'Climate Data'!$B$7:$B$366,C1075)</f>
        <v>6.7962085308056865</v>
      </c>
      <c r="J1075" s="86">
        <f>SUMIFS('Wind Proxy'!$H$8:$H$19,'Wind Proxy'!$A$8:$A$19,Estimator!$B$4,'Wind Proxy'!$B$8:$B$19,C1075)</f>
        <v>0</v>
      </c>
    </row>
    <row r="1076" spans="1:10" ht="14.4">
      <c r="A1076" s="84">
        <v>46727</v>
      </c>
      <c r="B1076" s="85">
        <v>2027</v>
      </c>
      <c r="C1076" s="85">
        <v>12</v>
      </c>
      <c r="D1076" s="85" t="s">
        <v>77</v>
      </c>
      <c r="E1076" s="85">
        <v>6</v>
      </c>
      <c r="F1076" s="85">
        <v>1</v>
      </c>
      <c r="G1076" s="85">
        <f>--(F1076&lt;=Estimator!$B$7)</f>
        <v>1</v>
      </c>
      <c r="H1076" s="86">
        <f>SUMIFS('Climate Data'!$G$7:$G$366,'Climate Data'!$A$7:$A$366,Estimator!$B$4,'Climate Data'!$B$7:$B$366,C1076)</f>
        <v>0.22688172043010751</v>
      </c>
      <c r="I1076" s="87">
        <f>SUMIFS('Climate Data'!$H$7:$H$366,'Climate Data'!$A$7:$A$366,Estimator!$B$4,'Climate Data'!$B$7:$B$366,C1076)</f>
        <v>6.7962085308056865</v>
      </c>
      <c r="J1076" s="86">
        <f>SUMIFS('Wind Proxy'!$H$8:$H$19,'Wind Proxy'!$A$8:$A$19,Estimator!$B$4,'Wind Proxy'!$B$8:$B$19,C1076)</f>
        <v>0</v>
      </c>
    </row>
    <row r="1077" spans="1:10" ht="14.4">
      <c r="A1077" s="84">
        <v>46728</v>
      </c>
      <c r="B1077" s="85">
        <v>2027</v>
      </c>
      <c r="C1077" s="85">
        <v>12</v>
      </c>
      <c r="D1077" s="85" t="s">
        <v>77</v>
      </c>
      <c r="E1077" s="85">
        <v>7</v>
      </c>
      <c r="F1077" s="85">
        <v>2</v>
      </c>
      <c r="G1077" s="85">
        <f>--(F1077&lt;=Estimator!$B$7)</f>
        <v>1</v>
      </c>
      <c r="H1077" s="86">
        <f>SUMIFS('Climate Data'!$G$7:$G$366,'Climate Data'!$A$7:$A$366,Estimator!$B$4,'Climate Data'!$B$7:$B$366,C1077)</f>
        <v>0.22688172043010751</v>
      </c>
      <c r="I1077" s="87">
        <f>SUMIFS('Climate Data'!$H$7:$H$366,'Climate Data'!$A$7:$A$366,Estimator!$B$4,'Climate Data'!$B$7:$B$366,C1077)</f>
        <v>6.7962085308056865</v>
      </c>
      <c r="J1077" s="86">
        <f>SUMIFS('Wind Proxy'!$H$8:$H$19,'Wind Proxy'!$A$8:$A$19,Estimator!$B$4,'Wind Proxy'!$B$8:$B$19,C1077)</f>
        <v>0</v>
      </c>
    </row>
    <row r="1078" spans="1:10" ht="14.4">
      <c r="A1078" s="84">
        <v>46729</v>
      </c>
      <c r="B1078" s="85">
        <v>2027</v>
      </c>
      <c r="C1078" s="85">
        <v>12</v>
      </c>
      <c r="D1078" s="85" t="s">
        <v>77</v>
      </c>
      <c r="E1078" s="85">
        <v>8</v>
      </c>
      <c r="F1078" s="85">
        <v>3</v>
      </c>
      <c r="G1078" s="85">
        <f>--(F1078&lt;=Estimator!$B$7)</f>
        <v>1</v>
      </c>
      <c r="H1078" s="86">
        <f>SUMIFS('Climate Data'!$G$7:$G$366,'Climate Data'!$A$7:$A$366,Estimator!$B$4,'Climate Data'!$B$7:$B$366,C1078)</f>
        <v>0.22688172043010751</v>
      </c>
      <c r="I1078" s="87">
        <f>SUMIFS('Climate Data'!$H$7:$H$366,'Climate Data'!$A$7:$A$366,Estimator!$B$4,'Climate Data'!$B$7:$B$366,C1078)</f>
        <v>6.7962085308056865</v>
      </c>
      <c r="J1078" s="86">
        <f>SUMIFS('Wind Proxy'!$H$8:$H$19,'Wind Proxy'!$A$8:$A$19,Estimator!$B$4,'Wind Proxy'!$B$8:$B$19,C1078)</f>
        <v>0</v>
      </c>
    </row>
    <row r="1079" spans="1:10" ht="14.4">
      <c r="A1079" s="84">
        <v>46730</v>
      </c>
      <c r="B1079" s="85">
        <v>2027</v>
      </c>
      <c r="C1079" s="85">
        <v>12</v>
      </c>
      <c r="D1079" s="85" t="s">
        <v>77</v>
      </c>
      <c r="E1079" s="85">
        <v>9</v>
      </c>
      <c r="F1079" s="85">
        <v>4</v>
      </c>
      <c r="G1079" s="85">
        <f>--(F1079&lt;=Estimator!$B$7)</f>
        <v>1</v>
      </c>
      <c r="H1079" s="86">
        <f>SUMIFS('Climate Data'!$G$7:$G$366,'Climate Data'!$A$7:$A$366,Estimator!$B$4,'Climate Data'!$B$7:$B$366,C1079)</f>
        <v>0.22688172043010751</v>
      </c>
      <c r="I1079" s="87">
        <f>SUMIFS('Climate Data'!$H$7:$H$366,'Climate Data'!$A$7:$A$366,Estimator!$B$4,'Climate Data'!$B$7:$B$366,C1079)</f>
        <v>6.7962085308056865</v>
      </c>
      <c r="J1079" s="86">
        <f>SUMIFS('Wind Proxy'!$H$8:$H$19,'Wind Proxy'!$A$8:$A$19,Estimator!$B$4,'Wind Proxy'!$B$8:$B$19,C1079)</f>
        <v>0</v>
      </c>
    </row>
    <row r="1080" spans="1:10" ht="14.4">
      <c r="A1080" s="84">
        <v>46731</v>
      </c>
      <c r="B1080" s="85">
        <v>2027</v>
      </c>
      <c r="C1080" s="85">
        <v>12</v>
      </c>
      <c r="D1080" s="85" t="s">
        <v>77</v>
      </c>
      <c r="E1080" s="85">
        <v>10</v>
      </c>
      <c r="F1080" s="85">
        <v>5</v>
      </c>
      <c r="G1080" s="85">
        <f>--(F1080&lt;=Estimator!$B$7)</f>
        <v>1</v>
      </c>
      <c r="H1080" s="86">
        <f>SUMIFS('Climate Data'!$G$7:$G$366,'Climate Data'!$A$7:$A$366,Estimator!$B$4,'Climate Data'!$B$7:$B$366,C1080)</f>
        <v>0.22688172043010751</v>
      </c>
      <c r="I1080" s="87">
        <f>SUMIFS('Climate Data'!$H$7:$H$366,'Climate Data'!$A$7:$A$366,Estimator!$B$4,'Climate Data'!$B$7:$B$366,C1080)</f>
        <v>6.7962085308056865</v>
      </c>
      <c r="J1080" s="86">
        <f>SUMIFS('Wind Proxy'!$H$8:$H$19,'Wind Proxy'!$A$8:$A$19,Estimator!$B$4,'Wind Proxy'!$B$8:$B$19,C1080)</f>
        <v>0</v>
      </c>
    </row>
    <row r="1081" spans="1:10" ht="14.4">
      <c r="A1081" s="84">
        <v>46732</v>
      </c>
      <c r="B1081" s="85">
        <v>2027</v>
      </c>
      <c r="C1081" s="85">
        <v>12</v>
      </c>
      <c r="D1081" s="85" t="s">
        <v>77</v>
      </c>
      <c r="E1081" s="85">
        <v>11</v>
      </c>
      <c r="F1081" s="85">
        <v>6</v>
      </c>
      <c r="G1081" s="85">
        <f>--(F1081&lt;=Estimator!$B$7)</f>
        <v>0</v>
      </c>
      <c r="H1081" s="86">
        <f>SUMIFS('Climate Data'!$G$7:$G$366,'Climate Data'!$A$7:$A$366,Estimator!$B$4,'Climate Data'!$B$7:$B$366,C1081)</f>
        <v>0.22688172043010751</v>
      </c>
      <c r="I1081" s="87">
        <f>SUMIFS('Climate Data'!$H$7:$H$366,'Climate Data'!$A$7:$A$366,Estimator!$B$4,'Climate Data'!$B$7:$B$366,C1081)</f>
        <v>6.7962085308056865</v>
      </c>
      <c r="J1081" s="86">
        <f>SUMIFS('Wind Proxy'!$H$8:$H$19,'Wind Proxy'!$A$8:$A$19,Estimator!$B$4,'Wind Proxy'!$B$8:$B$19,C1081)</f>
        <v>0</v>
      </c>
    </row>
    <row r="1082" spans="1:10" ht="14.4">
      <c r="A1082" s="84">
        <v>46733</v>
      </c>
      <c r="B1082" s="85">
        <v>2027</v>
      </c>
      <c r="C1082" s="85">
        <v>12</v>
      </c>
      <c r="D1082" s="85" t="s">
        <v>77</v>
      </c>
      <c r="E1082" s="85">
        <v>12</v>
      </c>
      <c r="F1082" s="85">
        <v>7</v>
      </c>
      <c r="G1082" s="85">
        <f>--(F1082&lt;=Estimator!$B$7)</f>
        <v>0</v>
      </c>
      <c r="H1082" s="86">
        <f>SUMIFS('Climate Data'!$G$7:$G$366,'Climate Data'!$A$7:$A$366,Estimator!$B$4,'Climate Data'!$B$7:$B$366,C1082)</f>
        <v>0.22688172043010751</v>
      </c>
      <c r="I1082" s="87">
        <f>SUMIFS('Climate Data'!$H$7:$H$366,'Climate Data'!$A$7:$A$366,Estimator!$B$4,'Climate Data'!$B$7:$B$366,C1082)</f>
        <v>6.7962085308056865</v>
      </c>
      <c r="J1082" s="86">
        <f>SUMIFS('Wind Proxy'!$H$8:$H$19,'Wind Proxy'!$A$8:$A$19,Estimator!$B$4,'Wind Proxy'!$B$8:$B$19,C1082)</f>
        <v>0</v>
      </c>
    </row>
    <row r="1083" spans="1:10" ht="14.4">
      <c r="A1083" s="84">
        <v>46734</v>
      </c>
      <c r="B1083" s="85">
        <v>2027</v>
      </c>
      <c r="C1083" s="85">
        <v>12</v>
      </c>
      <c r="D1083" s="85" t="s">
        <v>77</v>
      </c>
      <c r="E1083" s="85">
        <v>13</v>
      </c>
      <c r="F1083" s="85">
        <v>1</v>
      </c>
      <c r="G1083" s="85">
        <f>--(F1083&lt;=Estimator!$B$7)</f>
        <v>1</v>
      </c>
      <c r="H1083" s="86">
        <f>SUMIFS('Climate Data'!$G$7:$G$366,'Climate Data'!$A$7:$A$366,Estimator!$B$4,'Climate Data'!$B$7:$B$366,C1083)</f>
        <v>0.22688172043010751</v>
      </c>
      <c r="I1083" s="87">
        <f>SUMIFS('Climate Data'!$H$7:$H$366,'Climate Data'!$A$7:$A$366,Estimator!$B$4,'Climate Data'!$B$7:$B$366,C1083)</f>
        <v>6.7962085308056865</v>
      </c>
      <c r="J1083" s="86">
        <f>SUMIFS('Wind Proxy'!$H$8:$H$19,'Wind Proxy'!$A$8:$A$19,Estimator!$B$4,'Wind Proxy'!$B$8:$B$19,C1083)</f>
        <v>0</v>
      </c>
    </row>
    <row r="1084" spans="1:10" ht="14.4">
      <c r="A1084" s="84">
        <v>46735</v>
      </c>
      <c r="B1084" s="85">
        <v>2027</v>
      </c>
      <c r="C1084" s="85">
        <v>12</v>
      </c>
      <c r="D1084" s="85" t="s">
        <v>77</v>
      </c>
      <c r="E1084" s="85">
        <v>14</v>
      </c>
      <c r="F1084" s="85">
        <v>2</v>
      </c>
      <c r="G1084" s="85">
        <f>--(F1084&lt;=Estimator!$B$7)</f>
        <v>1</v>
      </c>
      <c r="H1084" s="86">
        <f>SUMIFS('Climate Data'!$G$7:$G$366,'Climate Data'!$A$7:$A$366,Estimator!$B$4,'Climate Data'!$B$7:$B$366,C1084)</f>
        <v>0.22688172043010751</v>
      </c>
      <c r="I1084" s="87">
        <f>SUMIFS('Climate Data'!$H$7:$H$366,'Climate Data'!$A$7:$A$366,Estimator!$B$4,'Climate Data'!$B$7:$B$366,C1084)</f>
        <v>6.7962085308056865</v>
      </c>
      <c r="J1084" s="86">
        <f>SUMIFS('Wind Proxy'!$H$8:$H$19,'Wind Proxy'!$A$8:$A$19,Estimator!$B$4,'Wind Proxy'!$B$8:$B$19,C1084)</f>
        <v>0</v>
      </c>
    </row>
    <row r="1085" spans="1:10" ht="14.4">
      <c r="A1085" s="84">
        <v>46736</v>
      </c>
      <c r="B1085" s="85">
        <v>2027</v>
      </c>
      <c r="C1085" s="85">
        <v>12</v>
      </c>
      <c r="D1085" s="85" t="s">
        <v>77</v>
      </c>
      <c r="E1085" s="85">
        <v>15</v>
      </c>
      <c r="F1085" s="85">
        <v>3</v>
      </c>
      <c r="G1085" s="85">
        <f>--(F1085&lt;=Estimator!$B$7)</f>
        <v>1</v>
      </c>
      <c r="H1085" s="86">
        <f>SUMIFS('Climate Data'!$G$7:$G$366,'Climate Data'!$A$7:$A$366,Estimator!$B$4,'Climate Data'!$B$7:$B$366,C1085)</f>
        <v>0.22688172043010751</v>
      </c>
      <c r="I1085" s="87">
        <f>SUMIFS('Climate Data'!$H$7:$H$366,'Climate Data'!$A$7:$A$366,Estimator!$B$4,'Climate Data'!$B$7:$B$366,C1085)</f>
        <v>6.7962085308056865</v>
      </c>
      <c r="J1085" s="86">
        <f>SUMIFS('Wind Proxy'!$H$8:$H$19,'Wind Proxy'!$A$8:$A$19,Estimator!$B$4,'Wind Proxy'!$B$8:$B$19,C1085)</f>
        <v>0</v>
      </c>
    </row>
    <row r="1086" spans="1:10" ht="14.4">
      <c r="A1086" s="84">
        <v>46737</v>
      </c>
      <c r="B1086" s="85">
        <v>2027</v>
      </c>
      <c r="C1086" s="85">
        <v>12</v>
      </c>
      <c r="D1086" s="85" t="s">
        <v>77</v>
      </c>
      <c r="E1086" s="85">
        <v>16</v>
      </c>
      <c r="F1086" s="85">
        <v>4</v>
      </c>
      <c r="G1086" s="85">
        <f>--(F1086&lt;=Estimator!$B$7)</f>
        <v>1</v>
      </c>
      <c r="H1086" s="86">
        <f>SUMIFS('Climate Data'!$G$7:$G$366,'Climate Data'!$A$7:$A$366,Estimator!$B$4,'Climate Data'!$B$7:$B$366,C1086)</f>
        <v>0.22688172043010751</v>
      </c>
      <c r="I1086" s="87">
        <f>SUMIFS('Climate Data'!$H$7:$H$366,'Climate Data'!$A$7:$A$366,Estimator!$B$4,'Climate Data'!$B$7:$B$366,C1086)</f>
        <v>6.7962085308056865</v>
      </c>
      <c r="J1086" s="86">
        <f>SUMIFS('Wind Proxy'!$H$8:$H$19,'Wind Proxy'!$A$8:$A$19,Estimator!$B$4,'Wind Proxy'!$B$8:$B$19,C1086)</f>
        <v>0</v>
      </c>
    </row>
    <row r="1087" spans="1:10" ht="14.4">
      <c r="A1087" s="84">
        <v>46738</v>
      </c>
      <c r="B1087" s="85">
        <v>2027</v>
      </c>
      <c r="C1087" s="85">
        <v>12</v>
      </c>
      <c r="D1087" s="85" t="s">
        <v>77</v>
      </c>
      <c r="E1087" s="85">
        <v>17</v>
      </c>
      <c r="F1087" s="85">
        <v>5</v>
      </c>
      <c r="G1087" s="85">
        <f>--(F1087&lt;=Estimator!$B$7)</f>
        <v>1</v>
      </c>
      <c r="H1087" s="86">
        <f>SUMIFS('Climate Data'!$G$7:$G$366,'Climate Data'!$A$7:$A$366,Estimator!$B$4,'Climate Data'!$B$7:$B$366,C1087)</f>
        <v>0.22688172043010751</v>
      </c>
      <c r="I1087" s="87">
        <f>SUMIFS('Climate Data'!$H$7:$H$366,'Climate Data'!$A$7:$A$366,Estimator!$B$4,'Climate Data'!$B$7:$B$366,C1087)</f>
        <v>6.7962085308056865</v>
      </c>
      <c r="J1087" s="86">
        <f>SUMIFS('Wind Proxy'!$H$8:$H$19,'Wind Proxy'!$A$8:$A$19,Estimator!$B$4,'Wind Proxy'!$B$8:$B$19,C1087)</f>
        <v>0</v>
      </c>
    </row>
    <row r="1088" spans="1:10" ht="14.4">
      <c r="A1088" s="84">
        <v>46739</v>
      </c>
      <c r="B1088" s="85">
        <v>2027</v>
      </c>
      <c r="C1088" s="85">
        <v>12</v>
      </c>
      <c r="D1088" s="85" t="s">
        <v>77</v>
      </c>
      <c r="E1088" s="85">
        <v>18</v>
      </c>
      <c r="F1088" s="85">
        <v>6</v>
      </c>
      <c r="G1088" s="85">
        <f>--(F1088&lt;=Estimator!$B$7)</f>
        <v>0</v>
      </c>
      <c r="H1088" s="86">
        <f>SUMIFS('Climate Data'!$G$7:$G$366,'Climate Data'!$A$7:$A$366,Estimator!$B$4,'Climate Data'!$B$7:$B$366,C1088)</f>
        <v>0.22688172043010751</v>
      </c>
      <c r="I1088" s="87">
        <f>SUMIFS('Climate Data'!$H$7:$H$366,'Climate Data'!$A$7:$A$366,Estimator!$B$4,'Climate Data'!$B$7:$B$366,C1088)</f>
        <v>6.7962085308056865</v>
      </c>
      <c r="J1088" s="86">
        <f>SUMIFS('Wind Proxy'!$H$8:$H$19,'Wind Proxy'!$A$8:$A$19,Estimator!$B$4,'Wind Proxy'!$B$8:$B$19,C1088)</f>
        <v>0</v>
      </c>
    </row>
    <row r="1089" spans="1:10" ht="14.4">
      <c r="A1089" s="84">
        <v>46740</v>
      </c>
      <c r="B1089" s="85">
        <v>2027</v>
      </c>
      <c r="C1089" s="85">
        <v>12</v>
      </c>
      <c r="D1089" s="85" t="s">
        <v>77</v>
      </c>
      <c r="E1089" s="85">
        <v>19</v>
      </c>
      <c r="F1089" s="85">
        <v>7</v>
      </c>
      <c r="G1089" s="85">
        <f>--(F1089&lt;=Estimator!$B$7)</f>
        <v>0</v>
      </c>
      <c r="H1089" s="86">
        <f>SUMIFS('Climate Data'!$G$7:$G$366,'Climate Data'!$A$7:$A$366,Estimator!$B$4,'Climate Data'!$B$7:$B$366,C1089)</f>
        <v>0.22688172043010751</v>
      </c>
      <c r="I1089" s="87">
        <f>SUMIFS('Climate Data'!$H$7:$H$366,'Climate Data'!$A$7:$A$366,Estimator!$B$4,'Climate Data'!$B$7:$B$366,C1089)</f>
        <v>6.7962085308056865</v>
      </c>
      <c r="J1089" s="86">
        <f>SUMIFS('Wind Proxy'!$H$8:$H$19,'Wind Proxy'!$A$8:$A$19,Estimator!$B$4,'Wind Proxy'!$B$8:$B$19,C1089)</f>
        <v>0</v>
      </c>
    </row>
    <row r="1090" spans="1:10" ht="14.4">
      <c r="A1090" s="84">
        <v>46741</v>
      </c>
      <c r="B1090" s="85">
        <v>2027</v>
      </c>
      <c r="C1090" s="85">
        <v>12</v>
      </c>
      <c r="D1090" s="85" t="s">
        <v>77</v>
      </c>
      <c r="E1090" s="85">
        <v>20</v>
      </c>
      <c r="F1090" s="85">
        <v>1</v>
      </c>
      <c r="G1090" s="85">
        <f>--(F1090&lt;=Estimator!$B$7)</f>
        <v>1</v>
      </c>
      <c r="H1090" s="86">
        <f>SUMIFS('Climate Data'!$G$7:$G$366,'Climate Data'!$A$7:$A$366,Estimator!$B$4,'Climate Data'!$B$7:$B$366,C1090)</f>
        <v>0.22688172043010751</v>
      </c>
      <c r="I1090" s="87">
        <f>SUMIFS('Climate Data'!$H$7:$H$366,'Climate Data'!$A$7:$A$366,Estimator!$B$4,'Climate Data'!$B$7:$B$366,C1090)</f>
        <v>6.7962085308056865</v>
      </c>
      <c r="J1090" s="86">
        <f>SUMIFS('Wind Proxy'!$H$8:$H$19,'Wind Proxy'!$A$8:$A$19,Estimator!$B$4,'Wind Proxy'!$B$8:$B$19,C1090)</f>
        <v>0</v>
      </c>
    </row>
    <row r="1091" spans="1:10" ht="14.4">
      <c r="A1091" s="84">
        <v>46742</v>
      </c>
      <c r="B1091" s="85">
        <v>2027</v>
      </c>
      <c r="C1091" s="85">
        <v>12</v>
      </c>
      <c r="D1091" s="85" t="s">
        <v>77</v>
      </c>
      <c r="E1091" s="85">
        <v>21</v>
      </c>
      <c r="F1091" s="85">
        <v>2</v>
      </c>
      <c r="G1091" s="85">
        <f>--(F1091&lt;=Estimator!$B$7)</f>
        <v>1</v>
      </c>
      <c r="H1091" s="86">
        <f>SUMIFS('Climate Data'!$G$7:$G$366,'Climate Data'!$A$7:$A$366,Estimator!$B$4,'Climate Data'!$B$7:$B$366,C1091)</f>
        <v>0.22688172043010751</v>
      </c>
      <c r="I1091" s="87">
        <f>SUMIFS('Climate Data'!$H$7:$H$366,'Climate Data'!$A$7:$A$366,Estimator!$B$4,'Climate Data'!$B$7:$B$366,C1091)</f>
        <v>6.7962085308056865</v>
      </c>
      <c r="J1091" s="86">
        <f>SUMIFS('Wind Proxy'!$H$8:$H$19,'Wind Proxy'!$A$8:$A$19,Estimator!$B$4,'Wind Proxy'!$B$8:$B$19,C1091)</f>
        <v>0</v>
      </c>
    </row>
    <row r="1092" spans="1:10" ht="14.4">
      <c r="A1092" s="84">
        <v>46743</v>
      </c>
      <c r="B1092" s="85">
        <v>2027</v>
      </c>
      <c r="C1092" s="85">
        <v>12</v>
      </c>
      <c r="D1092" s="85" t="s">
        <v>77</v>
      </c>
      <c r="E1092" s="85">
        <v>22</v>
      </c>
      <c r="F1092" s="85">
        <v>3</v>
      </c>
      <c r="G1092" s="85">
        <f>--(F1092&lt;=Estimator!$B$7)</f>
        <v>1</v>
      </c>
      <c r="H1092" s="86">
        <f>SUMIFS('Climate Data'!$G$7:$G$366,'Climate Data'!$A$7:$A$366,Estimator!$B$4,'Climate Data'!$B$7:$B$366,C1092)</f>
        <v>0.22688172043010751</v>
      </c>
      <c r="I1092" s="87">
        <f>SUMIFS('Climate Data'!$H$7:$H$366,'Climate Data'!$A$7:$A$366,Estimator!$B$4,'Climate Data'!$B$7:$B$366,C1092)</f>
        <v>6.7962085308056865</v>
      </c>
      <c r="J1092" s="86">
        <f>SUMIFS('Wind Proxy'!$H$8:$H$19,'Wind Proxy'!$A$8:$A$19,Estimator!$B$4,'Wind Proxy'!$B$8:$B$19,C1092)</f>
        <v>0</v>
      </c>
    </row>
    <row r="1093" spans="1:10" ht="14.4">
      <c r="A1093" s="84">
        <v>46744</v>
      </c>
      <c r="B1093" s="85">
        <v>2027</v>
      </c>
      <c r="C1093" s="85">
        <v>12</v>
      </c>
      <c r="D1093" s="85" t="s">
        <v>77</v>
      </c>
      <c r="E1093" s="85">
        <v>23</v>
      </c>
      <c r="F1093" s="85">
        <v>4</v>
      </c>
      <c r="G1093" s="85">
        <f>--(F1093&lt;=Estimator!$B$7)</f>
        <v>1</v>
      </c>
      <c r="H1093" s="86">
        <f>SUMIFS('Climate Data'!$G$7:$G$366,'Climate Data'!$A$7:$A$366,Estimator!$B$4,'Climate Data'!$B$7:$B$366,C1093)</f>
        <v>0.22688172043010751</v>
      </c>
      <c r="I1093" s="87">
        <f>SUMIFS('Climate Data'!$H$7:$H$366,'Climate Data'!$A$7:$A$366,Estimator!$B$4,'Climate Data'!$B$7:$B$366,C1093)</f>
        <v>6.7962085308056865</v>
      </c>
      <c r="J1093" s="86">
        <f>SUMIFS('Wind Proxy'!$H$8:$H$19,'Wind Proxy'!$A$8:$A$19,Estimator!$B$4,'Wind Proxy'!$B$8:$B$19,C1093)</f>
        <v>0</v>
      </c>
    </row>
    <row r="1094" spans="1:10" ht="14.4">
      <c r="A1094" s="84">
        <v>46745</v>
      </c>
      <c r="B1094" s="85">
        <v>2027</v>
      </c>
      <c r="C1094" s="85">
        <v>12</v>
      </c>
      <c r="D1094" s="85" t="s">
        <v>77</v>
      </c>
      <c r="E1094" s="85">
        <v>24</v>
      </c>
      <c r="F1094" s="85">
        <v>5</v>
      </c>
      <c r="G1094" s="85">
        <f>--(F1094&lt;=Estimator!$B$7)</f>
        <v>1</v>
      </c>
      <c r="H1094" s="86">
        <f>SUMIFS('Climate Data'!$G$7:$G$366,'Climate Data'!$A$7:$A$366,Estimator!$B$4,'Climate Data'!$B$7:$B$366,C1094)</f>
        <v>0.22688172043010751</v>
      </c>
      <c r="I1094" s="87">
        <f>SUMIFS('Climate Data'!$H$7:$H$366,'Climate Data'!$A$7:$A$366,Estimator!$B$4,'Climate Data'!$B$7:$B$366,C1094)</f>
        <v>6.7962085308056865</v>
      </c>
      <c r="J1094" s="86">
        <f>SUMIFS('Wind Proxy'!$H$8:$H$19,'Wind Proxy'!$A$8:$A$19,Estimator!$B$4,'Wind Proxy'!$B$8:$B$19,C1094)</f>
        <v>0</v>
      </c>
    </row>
    <row r="1095" spans="1:10" ht="14.4">
      <c r="A1095" s="84">
        <v>46746</v>
      </c>
      <c r="B1095" s="85">
        <v>2027</v>
      </c>
      <c r="C1095" s="85">
        <v>12</v>
      </c>
      <c r="D1095" s="85" t="s">
        <v>77</v>
      </c>
      <c r="E1095" s="85">
        <v>25</v>
      </c>
      <c r="F1095" s="85">
        <v>6</v>
      </c>
      <c r="G1095" s="85">
        <f>--(F1095&lt;=Estimator!$B$7)</f>
        <v>0</v>
      </c>
      <c r="H1095" s="86">
        <f>SUMIFS('Climate Data'!$G$7:$G$366,'Climate Data'!$A$7:$A$366,Estimator!$B$4,'Climate Data'!$B$7:$B$366,C1095)</f>
        <v>0.22688172043010751</v>
      </c>
      <c r="I1095" s="87">
        <f>SUMIFS('Climate Data'!$H$7:$H$366,'Climate Data'!$A$7:$A$366,Estimator!$B$4,'Climate Data'!$B$7:$B$366,C1095)</f>
        <v>6.7962085308056865</v>
      </c>
      <c r="J1095" s="86">
        <f>SUMIFS('Wind Proxy'!$H$8:$H$19,'Wind Proxy'!$A$8:$A$19,Estimator!$B$4,'Wind Proxy'!$B$8:$B$19,C1095)</f>
        <v>0</v>
      </c>
    </row>
    <row r="1096" spans="1:10" ht="14.4">
      <c r="A1096" s="84">
        <v>46747</v>
      </c>
      <c r="B1096" s="85">
        <v>2027</v>
      </c>
      <c r="C1096" s="85">
        <v>12</v>
      </c>
      <c r="D1096" s="85" t="s">
        <v>77</v>
      </c>
      <c r="E1096" s="85">
        <v>26</v>
      </c>
      <c r="F1096" s="85">
        <v>7</v>
      </c>
      <c r="G1096" s="85">
        <f>--(F1096&lt;=Estimator!$B$7)</f>
        <v>0</v>
      </c>
      <c r="H1096" s="86">
        <f>SUMIFS('Climate Data'!$G$7:$G$366,'Climate Data'!$A$7:$A$366,Estimator!$B$4,'Climate Data'!$B$7:$B$366,C1096)</f>
        <v>0.22688172043010751</v>
      </c>
      <c r="I1096" s="87">
        <f>SUMIFS('Climate Data'!$H$7:$H$366,'Climate Data'!$A$7:$A$366,Estimator!$B$4,'Climate Data'!$B$7:$B$366,C1096)</f>
        <v>6.7962085308056865</v>
      </c>
      <c r="J1096" s="86">
        <f>SUMIFS('Wind Proxy'!$H$8:$H$19,'Wind Proxy'!$A$8:$A$19,Estimator!$B$4,'Wind Proxy'!$B$8:$B$19,C1096)</f>
        <v>0</v>
      </c>
    </row>
    <row r="1097" spans="1:10" ht="14.4">
      <c r="A1097" s="84">
        <v>46748</v>
      </c>
      <c r="B1097" s="85">
        <v>2027</v>
      </c>
      <c r="C1097" s="85">
        <v>12</v>
      </c>
      <c r="D1097" s="85" t="s">
        <v>77</v>
      </c>
      <c r="E1097" s="85">
        <v>27</v>
      </c>
      <c r="F1097" s="85">
        <v>1</v>
      </c>
      <c r="G1097" s="85">
        <f>--(F1097&lt;=Estimator!$B$7)</f>
        <v>1</v>
      </c>
      <c r="H1097" s="86">
        <f>SUMIFS('Climate Data'!$G$7:$G$366,'Climate Data'!$A$7:$A$366,Estimator!$B$4,'Climate Data'!$B$7:$B$366,C1097)</f>
        <v>0.22688172043010751</v>
      </c>
      <c r="I1097" s="87">
        <f>SUMIFS('Climate Data'!$H$7:$H$366,'Climate Data'!$A$7:$A$366,Estimator!$B$4,'Climate Data'!$B$7:$B$366,C1097)</f>
        <v>6.7962085308056865</v>
      </c>
      <c r="J1097" s="86">
        <f>SUMIFS('Wind Proxy'!$H$8:$H$19,'Wind Proxy'!$A$8:$A$19,Estimator!$B$4,'Wind Proxy'!$B$8:$B$19,C1097)</f>
        <v>0</v>
      </c>
    </row>
    <row r="1098" spans="1:10" ht="14.4">
      <c r="A1098" s="84">
        <v>46749</v>
      </c>
      <c r="B1098" s="85">
        <v>2027</v>
      </c>
      <c r="C1098" s="85">
        <v>12</v>
      </c>
      <c r="D1098" s="85" t="s">
        <v>77</v>
      </c>
      <c r="E1098" s="85">
        <v>28</v>
      </c>
      <c r="F1098" s="85">
        <v>2</v>
      </c>
      <c r="G1098" s="85">
        <f>--(F1098&lt;=Estimator!$B$7)</f>
        <v>1</v>
      </c>
      <c r="H1098" s="86">
        <f>SUMIFS('Climate Data'!$G$7:$G$366,'Climate Data'!$A$7:$A$366,Estimator!$B$4,'Climate Data'!$B$7:$B$366,C1098)</f>
        <v>0.22688172043010751</v>
      </c>
      <c r="I1098" s="87">
        <f>SUMIFS('Climate Data'!$H$7:$H$366,'Climate Data'!$A$7:$A$366,Estimator!$B$4,'Climate Data'!$B$7:$B$366,C1098)</f>
        <v>6.7962085308056865</v>
      </c>
      <c r="J1098" s="86">
        <f>SUMIFS('Wind Proxy'!$H$8:$H$19,'Wind Proxy'!$A$8:$A$19,Estimator!$B$4,'Wind Proxy'!$B$8:$B$19,C1098)</f>
        <v>0</v>
      </c>
    </row>
    <row r="1099" spans="1:10" ht="14.4">
      <c r="A1099" s="84">
        <v>46750</v>
      </c>
      <c r="B1099" s="85">
        <v>2027</v>
      </c>
      <c r="C1099" s="85">
        <v>12</v>
      </c>
      <c r="D1099" s="85" t="s">
        <v>77</v>
      </c>
      <c r="E1099" s="85">
        <v>29</v>
      </c>
      <c r="F1099" s="85">
        <v>3</v>
      </c>
      <c r="G1099" s="85">
        <f>--(F1099&lt;=Estimator!$B$7)</f>
        <v>1</v>
      </c>
      <c r="H1099" s="86">
        <f>SUMIFS('Climate Data'!$G$7:$G$366,'Climate Data'!$A$7:$A$366,Estimator!$B$4,'Climate Data'!$B$7:$B$366,C1099)</f>
        <v>0.22688172043010751</v>
      </c>
      <c r="I1099" s="87">
        <f>SUMIFS('Climate Data'!$H$7:$H$366,'Climate Data'!$A$7:$A$366,Estimator!$B$4,'Climate Data'!$B$7:$B$366,C1099)</f>
        <v>6.7962085308056865</v>
      </c>
      <c r="J1099" s="86">
        <f>SUMIFS('Wind Proxy'!$H$8:$H$19,'Wind Proxy'!$A$8:$A$19,Estimator!$B$4,'Wind Proxy'!$B$8:$B$19,C1099)</f>
        <v>0</v>
      </c>
    </row>
    <row r="1100" spans="1:10" ht="14.4">
      <c r="A1100" s="84">
        <v>46751</v>
      </c>
      <c r="B1100" s="85">
        <v>2027</v>
      </c>
      <c r="C1100" s="85">
        <v>12</v>
      </c>
      <c r="D1100" s="85" t="s">
        <v>77</v>
      </c>
      <c r="E1100" s="85">
        <v>30</v>
      </c>
      <c r="F1100" s="85">
        <v>4</v>
      </c>
      <c r="G1100" s="85">
        <f>--(F1100&lt;=Estimator!$B$7)</f>
        <v>1</v>
      </c>
      <c r="H1100" s="86">
        <f>SUMIFS('Climate Data'!$G$7:$G$366,'Climate Data'!$A$7:$A$366,Estimator!$B$4,'Climate Data'!$B$7:$B$366,C1100)</f>
        <v>0.22688172043010751</v>
      </c>
      <c r="I1100" s="87">
        <f>SUMIFS('Climate Data'!$H$7:$H$366,'Climate Data'!$A$7:$A$366,Estimator!$B$4,'Climate Data'!$B$7:$B$366,C1100)</f>
        <v>6.7962085308056865</v>
      </c>
      <c r="J1100" s="86">
        <f>SUMIFS('Wind Proxy'!$H$8:$H$19,'Wind Proxy'!$A$8:$A$19,Estimator!$B$4,'Wind Proxy'!$B$8:$B$19,C1100)</f>
        <v>0</v>
      </c>
    </row>
    <row r="1101" spans="1:10" ht="14.4">
      <c r="A1101" s="84">
        <v>46752</v>
      </c>
      <c r="B1101" s="85">
        <v>2027</v>
      </c>
      <c r="C1101" s="85">
        <v>12</v>
      </c>
      <c r="D1101" s="85" t="s">
        <v>77</v>
      </c>
      <c r="E1101" s="85">
        <v>31</v>
      </c>
      <c r="F1101" s="85">
        <v>5</v>
      </c>
      <c r="G1101" s="85">
        <f>--(F1101&lt;=Estimator!$B$7)</f>
        <v>1</v>
      </c>
      <c r="H1101" s="86">
        <f>SUMIFS('Climate Data'!$G$7:$G$366,'Climate Data'!$A$7:$A$366,Estimator!$B$4,'Climate Data'!$B$7:$B$366,C1101)</f>
        <v>0.22688172043010751</v>
      </c>
      <c r="I1101" s="87">
        <f>SUMIFS('Climate Data'!$H$7:$H$366,'Climate Data'!$A$7:$A$366,Estimator!$B$4,'Climate Data'!$B$7:$B$366,C1101)</f>
        <v>6.7962085308056865</v>
      </c>
      <c r="J1101" s="86">
        <f>SUMIFS('Wind Proxy'!$H$8:$H$19,'Wind Proxy'!$A$8:$A$19,Estimator!$B$4,'Wind Proxy'!$B$8:$B$19,C1101)</f>
        <v>0</v>
      </c>
    </row>
    <row r="1102" spans="1:10" ht="14.4">
      <c r="A1102" s="84">
        <v>46753</v>
      </c>
      <c r="B1102" s="85">
        <v>2028</v>
      </c>
      <c r="C1102" s="85">
        <v>1</v>
      </c>
      <c r="D1102" s="85" t="s">
        <v>55</v>
      </c>
      <c r="E1102" s="85">
        <v>1</v>
      </c>
      <c r="F1102" s="85">
        <v>6</v>
      </c>
      <c r="G1102" s="85">
        <f>--(F1102&lt;=Estimator!$B$7)</f>
        <v>0</v>
      </c>
      <c r="H1102" s="86">
        <f>SUMIFS('Climate Data'!$G$7:$G$366,'Climate Data'!$A$7:$A$366,Estimator!$B$4,'Climate Data'!$B$7:$B$366,C1102)</f>
        <v>0.19462365591397848</v>
      </c>
      <c r="I1102" s="87">
        <f>SUMIFS('Climate Data'!$H$7:$H$366,'Climate Data'!$A$7:$A$366,Estimator!$B$4,'Climate Data'!$B$7:$B$366,C1102)</f>
        <v>7.027624309392265</v>
      </c>
      <c r="J1102" s="86">
        <f>SUMIFS('Wind Proxy'!$H$8:$H$19,'Wind Proxy'!$A$8:$A$19,Estimator!$B$4,'Wind Proxy'!$B$8:$B$19,C1102)</f>
        <v>0</v>
      </c>
    </row>
    <row r="1103" spans="1:10" ht="14.4">
      <c r="A1103" s="84">
        <v>46754</v>
      </c>
      <c r="B1103" s="85">
        <v>2028</v>
      </c>
      <c r="C1103" s="85">
        <v>1</v>
      </c>
      <c r="D1103" s="85" t="s">
        <v>55</v>
      </c>
      <c r="E1103" s="85">
        <v>2</v>
      </c>
      <c r="F1103" s="85">
        <v>7</v>
      </c>
      <c r="G1103" s="85">
        <f>--(F1103&lt;=Estimator!$B$7)</f>
        <v>0</v>
      </c>
      <c r="H1103" s="86">
        <f>SUMIFS('Climate Data'!$G$7:$G$366,'Climate Data'!$A$7:$A$366,Estimator!$B$4,'Climate Data'!$B$7:$B$366,C1103)</f>
        <v>0.19462365591397848</v>
      </c>
      <c r="I1103" s="87">
        <f>SUMIFS('Climate Data'!$H$7:$H$366,'Climate Data'!$A$7:$A$366,Estimator!$B$4,'Climate Data'!$B$7:$B$366,C1103)</f>
        <v>7.027624309392265</v>
      </c>
      <c r="J1103" s="86">
        <f>SUMIFS('Wind Proxy'!$H$8:$H$19,'Wind Proxy'!$A$8:$A$19,Estimator!$B$4,'Wind Proxy'!$B$8:$B$19,C1103)</f>
        <v>0</v>
      </c>
    </row>
    <row r="1104" spans="1:10" ht="14.4">
      <c r="A1104" s="84">
        <v>46755</v>
      </c>
      <c r="B1104" s="85">
        <v>2028</v>
      </c>
      <c r="C1104" s="85">
        <v>1</v>
      </c>
      <c r="D1104" s="85" t="s">
        <v>55</v>
      </c>
      <c r="E1104" s="85">
        <v>3</v>
      </c>
      <c r="F1104" s="85">
        <v>1</v>
      </c>
      <c r="G1104" s="85">
        <f>--(F1104&lt;=Estimator!$B$7)</f>
        <v>1</v>
      </c>
      <c r="H1104" s="86">
        <f>SUMIFS('Climate Data'!$G$7:$G$366,'Climate Data'!$A$7:$A$366,Estimator!$B$4,'Climate Data'!$B$7:$B$366,C1104)</f>
        <v>0.19462365591397848</v>
      </c>
      <c r="I1104" s="87">
        <f>SUMIFS('Climate Data'!$H$7:$H$366,'Climate Data'!$A$7:$A$366,Estimator!$B$4,'Climate Data'!$B$7:$B$366,C1104)</f>
        <v>7.027624309392265</v>
      </c>
      <c r="J1104" s="86">
        <f>SUMIFS('Wind Proxy'!$H$8:$H$19,'Wind Proxy'!$A$8:$A$19,Estimator!$B$4,'Wind Proxy'!$B$8:$B$19,C1104)</f>
        <v>0</v>
      </c>
    </row>
    <row r="1105" spans="1:10" ht="14.4">
      <c r="A1105" s="84">
        <v>46756</v>
      </c>
      <c r="B1105" s="85">
        <v>2028</v>
      </c>
      <c r="C1105" s="85">
        <v>1</v>
      </c>
      <c r="D1105" s="85" t="s">
        <v>55</v>
      </c>
      <c r="E1105" s="85">
        <v>4</v>
      </c>
      <c r="F1105" s="85">
        <v>2</v>
      </c>
      <c r="G1105" s="85">
        <f>--(F1105&lt;=Estimator!$B$7)</f>
        <v>1</v>
      </c>
      <c r="H1105" s="86">
        <f>SUMIFS('Climate Data'!$G$7:$G$366,'Climate Data'!$A$7:$A$366,Estimator!$B$4,'Climate Data'!$B$7:$B$366,C1105)</f>
        <v>0.19462365591397848</v>
      </c>
      <c r="I1105" s="87">
        <f>SUMIFS('Climate Data'!$H$7:$H$366,'Climate Data'!$A$7:$A$366,Estimator!$B$4,'Climate Data'!$B$7:$B$366,C1105)</f>
        <v>7.027624309392265</v>
      </c>
      <c r="J1105" s="86">
        <f>SUMIFS('Wind Proxy'!$H$8:$H$19,'Wind Proxy'!$A$8:$A$19,Estimator!$B$4,'Wind Proxy'!$B$8:$B$19,C1105)</f>
        <v>0</v>
      </c>
    </row>
    <row r="1106" spans="1:10" ht="14.4">
      <c r="A1106" s="84">
        <v>46757</v>
      </c>
      <c r="B1106" s="85">
        <v>2028</v>
      </c>
      <c r="C1106" s="85">
        <v>1</v>
      </c>
      <c r="D1106" s="85" t="s">
        <v>55</v>
      </c>
      <c r="E1106" s="85">
        <v>5</v>
      </c>
      <c r="F1106" s="85">
        <v>3</v>
      </c>
      <c r="G1106" s="85">
        <f>--(F1106&lt;=Estimator!$B$7)</f>
        <v>1</v>
      </c>
      <c r="H1106" s="86">
        <f>SUMIFS('Climate Data'!$G$7:$G$366,'Climate Data'!$A$7:$A$366,Estimator!$B$4,'Climate Data'!$B$7:$B$366,C1106)</f>
        <v>0.19462365591397848</v>
      </c>
      <c r="I1106" s="87">
        <f>SUMIFS('Climate Data'!$H$7:$H$366,'Climate Data'!$A$7:$A$366,Estimator!$B$4,'Climate Data'!$B$7:$B$366,C1106)</f>
        <v>7.027624309392265</v>
      </c>
      <c r="J1106" s="86">
        <f>SUMIFS('Wind Proxy'!$H$8:$H$19,'Wind Proxy'!$A$8:$A$19,Estimator!$B$4,'Wind Proxy'!$B$8:$B$19,C1106)</f>
        <v>0</v>
      </c>
    </row>
    <row r="1107" spans="1:10" ht="14.4">
      <c r="A1107" s="84">
        <v>46758</v>
      </c>
      <c r="B1107" s="85">
        <v>2028</v>
      </c>
      <c r="C1107" s="85">
        <v>1</v>
      </c>
      <c r="D1107" s="85" t="s">
        <v>55</v>
      </c>
      <c r="E1107" s="85">
        <v>6</v>
      </c>
      <c r="F1107" s="85">
        <v>4</v>
      </c>
      <c r="G1107" s="85">
        <f>--(F1107&lt;=Estimator!$B$7)</f>
        <v>1</v>
      </c>
      <c r="H1107" s="86">
        <f>SUMIFS('Climate Data'!$G$7:$G$366,'Climate Data'!$A$7:$A$366,Estimator!$B$4,'Climate Data'!$B$7:$B$366,C1107)</f>
        <v>0.19462365591397848</v>
      </c>
      <c r="I1107" s="87">
        <f>SUMIFS('Climate Data'!$H$7:$H$366,'Climate Data'!$A$7:$A$366,Estimator!$B$4,'Climate Data'!$B$7:$B$366,C1107)</f>
        <v>7.027624309392265</v>
      </c>
      <c r="J1107" s="86">
        <f>SUMIFS('Wind Proxy'!$H$8:$H$19,'Wind Proxy'!$A$8:$A$19,Estimator!$B$4,'Wind Proxy'!$B$8:$B$19,C1107)</f>
        <v>0</v>
      </c>
    </row>
    <row r="1108" spans="1:10" ht="14.4">
      <c r="A1108" s="84">
        <v>46759</v>
      </c>
      <c r="B1108" s="85">
        <v>2028</v>
      </c>
      <c r="C1108" s="85">
        <v>1</v>
      </c>
      <c r="D1108" s="85" t="s">
        <v>55</v>
      </c>
      <c r="E1108" s="85">
        <v>7</v>
      </c>
      <c r="F1108" s="85">
        <v>5</v>
      </c>
      <c r="G1108" s="85">
        <f>--(F1108&lt;=Estimator!$B$7)</f>
        <v>1</v>
      </c>
      <c r="H1108" s="86">
        <f>SUMIFS('Climate Data'!$G$7:$G$366,'Climate Data'!$A$7:$A$366,Estimator!$B$4,'Climate Data'!$B$7:$B$366,C1108)</f>
        <v>0.19462365591397848</v>
      </c>
      <c r="I1108" s="87">
        <f>SUMIFS('Climate Data'!$H$7:$H$366,'Climate Data'!$A$7:$A$366,Estimator!$B$4,'Climate Data'!$B$7:$B$366,C1108)</f>
        <v>7.027624309392265</v>
      </c>
      <c r="J1108" s="86">
        <f>SUMIFS('Wind Proxy'!$H$8:$H$19,'Wind Proxy'!$A$8:$A$19,Estimator!$B$4,'Wind Proxy'!$B$8:$B$19,C1108)</f>
        <v>0</v>
      </c>
    </row>
    <row r="1109" spans="1:10" ht="14.4">
      <c r="A1109" s="84">
        <v>46760</v>
      </c>
      <c r="B1109" s="85">
        <v>2028</v>
      </c>
      <c r="C1109" s="85">
        <v>1</v>
      </c>
      <c r="D1109" s="85" t="s">
        <v>55</v>
      </c>
      <c r="E1109" s="85">
        <v>8</v>
      </c>
      <c r="F1109" s="85">
        <v>6</v>
      </c>
      <c r="G1109" s="85">
        <f>--(F1109&lt;=Estimator!$B$7)</f>
        <v>0</v>
      </c>
      <c r="H1109" s="86">
        <f>SUMIFS('Climate Data'!$G$7:$G$366,'Climate Data'!$A$7:$A$366,Estimator!$B$4,'Climate Data'!$B$7:$B$366,C1109)</f>
        <v>0.19462365591397848</v>
      </c>
      <c r="I1109" s="87">
        <f>SUMIFS('Climate Data'!$H$7:$H$366,'Climate Data'!$A$7:$A$366,Estimator!$B$4,'Climate Data'!$B$7:$B$366,C1109)</f>
        <v>7.027624309392265</v>
      </c>
      <c r="J1109" s="86">
        <f>SUMIFS('Wind Proxy'!$H$8:$H$19,'Wind Proxy'!$A$8:$A$19,Estimator!$B$4,'Wind Proxy'!$B$8:$B$19,C1109)</f>
        <v>0</v>
      </c>
    </row>
    <row r="1110" spans="1:10" ht="14.4">
      <c r="A1110" s="84">
        <v>46761</v>
      </c>
      <c r="B1110" s="85">
        <v>2028</v>
      </c>
      <c r="C1110" s="85">
        <v>1</v>
      </c>
      <c r="D1110" s="85" t="s">
        <v>55</v>
      </c>
      <c r="E1110" s="85">
        <v>9</v>
      </c>
      <c r="F1110" s="85">
        <v>7</v>
      </c>
      <c r="G1110" s="85">
        <f>--(F1110&lt;=Estimator!$B$7)</f>
        <v>0</v>
      </c>
      <c r="H1110" s="86">
        <f>SUMIFS('Climate Data'!$G$7:$G$366,'Climate Data'!$A$7:$A$366,Estimator!$B$4,'Climate Data'!$B$7:$B$366,C1110)</f>
        <v>0.19462365591397848</v>
      </c>
      <c r="I1110" s="87">
        <f>SUMIFS('Climate Data'!$H$7:$H$366,'Climate Data'!$A$7:$A$366,Estimator!$B$4,'Climate Data'!$B$7:$B$366,C1110)</f>
        <v>7.027624309392265</v>
      </c>
      <c r="J1110" s="86">
        <f>SUMIFS('Wind Proxy'!$H$8:$H$19,'Wind Proxy'!$A$8:$A$19,Estimator!$B$4,'Wind Proxy'!$B$8:$B$19,C1110)</f>
        <v>0</v>
      </c>
    </row>
    <row r="1111" spans="1:10" ht="14.4">
      <c r="A1111" s="84">
        <v>46762</v>
      </c>
      <c r="B1111" s="85">
        <v>2028</v>
      </c>
      <c r="C1111" s="85">
        <v>1</v>
      </c>
      <c r="D1111" s="85" t="s">
        <v>55</v>
      </c>
      <c r="E1111" s="85">
        <v>10</v>
      </c>
      <c r="F1111" s="85">
        <v>1</v>
      </c>
      <c r="G1111" s="85">
        <f>--(F1111&lt;=Estimator!$B$7)</f>
        <v>1</v>
      </c>
      <c r="H1111" s="86">
        <f>SUMIFS('Climate Data'!$G$7:$G$366,'Climate Data'!$A$7:$A$366,Estimator!$B$4,'Climate Data'!$B$7:$B$366,C1111)</f>
        <v>0.19462365591397848</v>
      </c>
      <c r="I1111" s="87">
        <f>SUMIFS('Climate Data'!$H$7:$H$366,'Climate Data'!$A$7:$A$366,Estimator!$B$4,'Climate Data'!$B$7:$B$366,C1111)</f>
        <v>7.027624309392265</v>
      </c>
      <c r="J1111" s="86">
        <f>SUMIFS('Wind Proxy'!$H$8:$H$19,'Wind Proxy'!$A$8:$A$19,Estimator!$B$4,'Wind Proxy'!$B$8:$B$19,C1111)</f>
        <v>0</v>
      </c>
    </row>
    <row r="1112" spans="1:10" ht="14.4">
      <c r="A1112" s="84">
        <v>46763</v>
      </c>
      <c r="B1112" s="85">
        <v>2028</v>
      </c>
      <c r="C1112" s="85">
        <v>1</v>
      </c>
      <c r="D1112" s="85" t="s">
        <v>55</v>
      </c>
      <c r="E1112" s="85">
        <v>11</v>
      </c>
      <c r="F1112" s="85">
        <v>2</v>
      </c>
      <c r="G1112" s="85">
        <f>--(F1112&lt;=Estimator!$B$7)</f>
        <v>1</v>
      </c>
      <c r="H1112" s="86">
        <f>SUMIFS('Climate Data'!$G$7:$G$366,'Climate Data'!$A$7:$A$366,Estimator!$B$4,'Climate Data'!$B$7:$B$366,C1112)</f>
        <v>0.19462365591397848</v>
      </c>
      <c r="I1112" s="87">
        <f>SUMIFS('Climate Data'!$H$7:$H$366,'Climate Data'!$A$7:$A$366,Estimator!$B$4,'Climate Data'!$B$7:$B$366,C1112)</f>
        <v>7.027624309392265</v>
      </c>
      <c r="J1112" s="86">
        <f>SUMIFS('Wind Proxy'!$H$8:$H$19,'Wind Proxy'!$A$8:$A$19,Estimator!$B$4,'Wind Proxy'!$B$8:$B$19,C1112)</f>
        <v>0</v>
      </c>
    </row>
    <row r="1113" spans="1:10" ht="14.4">
      <c r="A1113" s="84">
        <v>46764</v>
      </c>
      <c r="B1113" s="85">
        <v>2028</v>
      </c>
      <c r="C1113" s="85">
        <v>1</v>
      </c>
      <c r="D1113" s="85" t="s">
        <v>55</v>
      </c>
      <c r="E1113" s="85">
        <v>12</v>
      </c>
      <c r="F1113" s="85">
        <v>3</v>
      </c>
      <c r="G1113" s="85">
        <f>--(F1113&lt;=Estimator!$B$7)</f>
        <v>1</v>
      </c>
      <c r="H1113" s="86">
        <f>SUMIFS('Climate Data'!$G$7:$G$366,'Climate Data'!$A$7:$A$366,Estimator!$B$4,'Climate Data'!$B$7:$B$366,C1113)</f>
        <v>0.19462365591397848</v>
      </c>
      <c r="I1113" s="87">
        <f>SUMIFS('Climate Data'!$H$7:$H$366,'Climate Data'!$A$7:$A$366,Estimator!$B$4,'Climate Data'!$B$7:$B$366,C1113)</f>
        <v>7.027624309392265</v>
      </c>
      <c r="J1113" s="86">
        <f>SUMIFS('Wind Proxy'!$H$8:$H$19,'Wind Proxy'!$A$8:$A$19,Estimator!$B$4,'Wind Proxy'!$B$8:$B$19,C1113)</f>
        <v>0</v>
      </c>
    </row>
    <row r="1114" spans="1:10" ht="14.4">
      <c r="A1114" s="84">
        <v>46765</v>
      </c>
      <c r="B1114" s="85">
        <v>2028</v>
      </c>
      <c r="C1114" s="85">
        <v>1</v>
      </c>
      <c r="D1114" s="85" t="s">
        <v>55</v>
      </c>
      <c r="E1114" s="85">
        <v>13</v>
      </c>
      <c r="F1114" s="85">
        <v>4</v>
      </c>
      <c r="G1114" s="85">
        <f>--(F1114&lt;=Estimator!$B$7)</f>
        <v>1</v>
      </c>
      <c r="H1114" s="86">
        <f>SUMIFS('Climate Data'!$G$7:$G$366,'Climate Data'!$A$7:$A$366,Estimator!$B$4,'Climate Data'!$B$7:$B$366,C1114)</f>
        <v>0.19462365591397848</v>
      </c>
      <c r="I1114" s="87">
        <f>SUMIFS('Climate Data'!$H$7:$H$366,'Climate Data'!$A$7:$A$366,Estimator!$B$4,'Climate Data'!$B$7:$B$366,C1114)</f>
        <v>7.027624309392265</v>
      </c>
      <c r="J1114" s="86">
        <f>SUMIFS('Wind Proxy'!$H$8:$H$19,'Wind Proxy'!$A$8:$A$19,Estimator!$B$4,'Wind Proxy'!$B$8:$B$19,C1114)</f>
        <v>0</v>
      </c>
    </row>
    <row r="1115" spans="1:10" ht="14.4">
      <c r="A1115" s="84">
        <v>46766</v>
      </c>
      <c r="B1115" s="85">
        <v>2028</v>
      </c>
      <c r="C1115" s="85">
        <v>1</v>
      </c>
      <c r="D1115" s="85" t="s">
        <v>55</v>
      </c>
      <c r="E1115" s="85">
        <v>14</v>
      </c>
      <c r="F1115" s="85">
        <v>5</v>
      </c>
      <c r="G1115" s="85">
        <f>--(F1115&lt;=Estimator!$B$7)</f>
        <v>1</v>
      </c>
      <c r="H1115" s="86">
        <f>SUMIFS('Climate Data'!$G$7:$G$366,'Climate Data'!$A$7:$A$366,Estimator!$B$4,'Climate Data'!$B$7:$B$366,C1115)</f>
        <v>0.19462365591397848</v>
      </c>
      <c r="I1115" s="87">
        <f>SUMIFS('Climate Data'!$H$7:$H$366,'Climate Data'!$A$7:$A$366,Estimator!$B$4,'Climate Data'!$B$7:$B$366,C1115)</f>
        <v>7.027624309392265</v>
      </c>
      <c r="J1115" s="86">
        <f>SUMIFS('Wind Proxy'!$H$8:$H$19,'Wind Proxy'!$A$8:$A$19,Estimator!$B$4,'Wind Proxy'!$B$8:$B$19,C1115)</f>
        <v>0</v>
      </c>
    </row>
    <row r="1116" spans="1:10" ht="14.4">
      <c r="A1116" s="84">
        <v>46767</v>
      </c>
      <c r="B1116" s="85">
        <v>2028</v>
      </c>
      <c r="C1116" s="85">
        <v>1</v>
      </c>
      <c r="D1116" s="85" t="s">
        <v>55</v>
      </c>
      <c r="E1116" s="85">
        <v>15</v>
      </c>
      <c r="F1116" s="85">
        <v>6</v>
      </c>
      <c r="G1116" s="85">
        <f>--(F1116&lt;=Estimator!$B$7)</f>
        <v>0</v>
      </c>
      <c r="H1116" s="86">
        <f>SUMIFS('Climate Data'!$G$7:$G$366,'Climate Data'!$A$7:$A$366,Estimator!$B$4,'Climate Data'!$B$7:$B$366,C1116)</f>
        <v>0.19462365591397848</v>
      </c>
      <c r="I1116" s="87">
        <f>SUMIFS('Climate Data'!$H$7:$H$366,'Climate Data'!$A$7:$A$366,Estimator!$B$4,'Climate Data'!$B$7:$B$366,C1116)</f>
        <v>7.027624309392265</v>
      </c>
      <c r="J1116" s="86">
        <f>SUMIFS('Wind Proxy'!$H$8:$H$19,'Wind Proxy'!$A$8:$A$19,Estimator!$B$4,'Wind Proxy'!$B$8:$B$19,C1116)</f>
        <v>0</v>
      </c>
    </row>
    <row r="1117" spans="1:10" ht="14.4">
      <c r="A1117" s="84">
        <v>46768</v>
      </c>
      <c r="B1117" s="85">
        <v>2028</v>
      </c>
      <c r="C1117" s="85">
        <v>1</v>
      </c>
      <c r="D1117" s="85" t="s">
        <v>55</v>
      </c>
      <c r="E1117" s="85">
        <v>16</v>
      </c>
      <c r="F1117" s="85">
        <v>7</v>
      </c>
      <c r="G1117" s="85">
        <f>--(F1117&lt;=Estimator!$B$7)</f>
        <v>0</v>
      </c>
      <c r="H1117" s="86">
        <f>SUMIFS('Climate Data'!$G$7:$G$366,'Climate Data'!$A$7:$A$366,Estimator!$B$4,'Climate Data'!$B$7:$B$366,C1117)</f>
        <v>0.19462365591397848</v>
      </c>
      <c r="I1117" s="87">
        <f>SUMIFS('Climate Data'!$H$7:$H$366,'Climate Data'!$A$7:$A$366,Estimator!$B$4,'Climate Data'!$B$7:$B$366,C1117)</f>
        <v>7.027624309392265</v>
      </c>
      <c r="J1117" s="86">
        <f>SUMIFS('Wind Proxy'!$H$8:$H$19,'Wind Proxy'!$A$8:$A$19,Estimator!$B$4,'Wind Proxy'!$B$8:$B$19,C1117)</f>
        <v>0</v>
      </c>
    </row>
    <row r="1118" spans="1:10" ht="14.4">
      <c r="A1118" s="84">
        <v>46769</v>
      </c>
      <c r="B1118" s="85">
        <v>2028</v>
      </c>
      <c r="C1118" s="85">
        <v>1</v>
      </c>
      <c r="D1118" s="85" t="s">
        <v>55</v>
      </c>
      <c r="E1118" s="85">
        <v>17</v>
      </c>
      <c r="F1118" s="85">
        <v>1</v>
      </c>
      <c r="G1118" s="85">
        <f>--(F1118&lt;=Estimator!$B$7)</f>
        <v>1</v>
      </c>
      <c r="H1118" s="86">
        <f>SUMIFS('Climate Data'!$G$7:$G$366,'Climate Data'!$A$7:$A$366,Estimator!$B$4,'Climate Data'!$B$7:$B$366,C1118)</f>
        <v>0.19462365591397848</v>
      </c>
      <c r="I1118" s="87">
        <f>SUMIFS('Climate Data'!$H$7:$H$366,'Climate Data'!$A$7:$A$366,Estimator!$B$4,'Climate Data'!$B$7:$B$366,C1118)</f>
        <v>7.027624309392265</v>
      </c>
      <c r="J1118" s="86">
        <f>SUMIFS('Wind Proxy'!$H$8:$H$19,'Wind Proxy'!$A$8:$A$19,Estimator!$B$4,'Wind Proxy'!$B$8:$B$19,C1118)</f>
        <v>0</v>
      </c>
    </row>
    <row r="1119" spans="1:10" ht="14.4">
      <c r="A1119" s="84">
        <v>46770</v>
      </c>
      <c r="B1119" s="85">
        <v>2028</v>
      </c>
      <c r="C1119" s="85">
        <v>1</v>
      </c>
      <c r="D1119" s="85" t="s">
        <v>55</v>
      </c>
      <c r="E1119" s="85">
        <v>18</v>
      </c>
      <c r="F1119" s="85">
        <v>2</v>
      </c>
      <c r="G1119" s="85">
        <f>--(F1119&lt;=Estimator!$B$7)</f>
        <v>1</v>
      </c>
      <c r="H1119" s="86">
        <f>SUMIFS('Climate Data'!$G$7:$G$366,'Climate Data'!$A$7:$A$366,Estimator!$B$4,'Climate Data'!$B$7:$B$366,C1119)</f>
        <v>0.19462365591397848</v>
      </c>
      <c r="I1119" s="87">
        <f>SUMIFS('Climate Data'!$H$7:$H$366,'Climate Data'!$A$7:$A$366,Estimator!$B$4,'Climate Data'!$B$7:$B$366,C1119)</f>
        <v>7.027624309392265</v>
      </c>
      <c r="J1119" s="86">
        <f>SUMIFS('Wind Proxy'!$H$8:$H$19,'Wind Proxy'!$A$8:$A$19,Estimator!$B$4,'Wind Proxy'!$B$8:$B$19,C1119)</f>
        <v>0</v>
      </c>
    </row>
    <row r="1120" spans="1:10" ht="14.4">
      <c r="A1120" s="84">
        <v>46771</v>
      </c>
      <c r="B1120" s="85">
        <v>2028</v>
      </c>
      <c r="C1120" s="85">
        <v>1</v>
      </c>
      <c r="D1120" s="85" t="s">
        <v>55</v>
      </c>
      <c r="E1120" s="85">
        <v>19</v>
      </c>
      <c r="F1120" s="85">
        <v>3</v>
      </c>
      <c r="G1120" s="85">
        <f>--(F1120&lt;=Estimator!$B$7)</f>
        <v>1</v>
      </c>
      <c r="H1120" s="86">
        <f>SUMIFS('Climate Data'!$G$7:$G$366,'Climate Data'!$A$7:$A$366,Estimator!$B$4,'Climate Data'!$B$7:$B$366,C1120)</f>
        <v>0.19462365591397848</v>
      </c>
      <c r="I1120" s="87">
        <f>SUMIFS('Climate Data'!$H$7:$H$366,'Climate Data'!$A$7:$A$366,Estimator!$B$4,'Climate Data'!$B$7:$B$366,C1120)</f>
        <v>7.027624309392265</v>
      </c>
      <c r="J1120" s="86">
        <f>SUMIFS('Wind Proxy'!$H$8:$H$19,'Wind Proxy'!$A$8:$A$19,Estimator!$B$4,'Wind Proxy'!$B$8:$B$19,C1120)</f>
        <v>0</v>
      </c>
    </row>
    <row r="1121" spans="1:10" ht="14.4">
      <c r="A1121" s="84">
        <v>46772</v>
      </c>
      <c r="B1121" s="85">
        <v>2028</v>
      </c>
      <c r="C1121" s="85">
        <v>1</v>
      </c>
      <c r="D1121" s="85" t="s">
        <v>55</v>
      </c>
      <c r="E1121" s="85">
        <v>20</v>
      </c>
      <c r="F1121" s="85">
        <v>4</v>
      </c>
      <c r="G1121" s="85">
        <f>--(F1121&lt;=Estimator!$B$7)</f>
        <v>1</v>
      </c>
      <c r="H1121" s="86">
        <f>SUMIFS('Climate Data'!$G$7:$G$366,'Climate Data'!$A$7:$A$366,Estimator!$B$4,'Climate Data'!$B$7:$B$366,C1121)</f>
        <v>0.19462365591397848</v>
      </c>
      <c r="I1121" s="87">
        <f>SUMIFS('Climate Data'!$H$7:$H$366,'Climate Data'!$A$7:$A$366,Estimator!$B$4,'Climate Data'!$B$7:$B$366,C1121)</f>
        <v>7.027624309392265</v>
      </c>
      <c r="J1121" s="86">
        <f>SUMIFS('Wind Proxy'!$H$8:$H$19,'Wind Proxy'!$A$8:$A$19,Estimator!$B$4,'Wind Proxy'!$B$8:$B$19,C1121)</f>
        <v>0</v>
      </c>
    </row>
    <row r="1122" spans="1:10" ht="14.4">
      <c r="A1122" s="84">
        <v>46773</v>
      </c>
      <c r="B1122" s="85">
        <v>2028</v>
      </c>
      <c r="C1122" s="85">
        <v>1</v>
      </c>
      <c r="D1122" s="85" t="s">
        <v>55</v>
      </c>
      <c r="E1122" s="85">
        <v>21</v>
      </c>
      <c r="F1122" s="85">
        <v>5</v>
      </c>
      <c r="G1122" s="85">
        <f>--(F1122&lt;=Estimator!$B$7)</f>
        <v>1</v>
      </c>
      <c r="H1122" s="86">
        <f>SUMIFS('Climate Data'!$G$7:$G$366,'Climate Data'!$A$7:$A$366,Estimator!$B$4,'Climate Data'!$B$7:$B$366,C1122)</f>
        <v>0.19462365591397848</v>
      </c>
      <c r="I1122" s="87">
        <f>SUMIFS('Climate Data'!$H$7:$H$366,'Climate Data'!$A$7:$A$366,Estimator!$B$4,'Climate Data'!$B$7:$B$366,C1122)</f>
        <v>7.027624309392265</v>
      </c>
      <c r="J1122" s="86">
        <f>SUMIFS('Wind Proxy'!$H$8:$H$19,'Wind Proxy'!$A$8:$A$19,Estimator!$B$4,'Wind Proxy'!$B$8:$B$19,C1122)</f>
        <v>0</v>
      </c>
    </row>
    <row r="1123" spans="1:10" ht="14.4">
      <c r="A1123" s="84">
        <v>46774</v>
      </c>
      <c r="B1123" s="85">
        <v>2028</v>
      </c>
      <c r="C1123" s="85">
        <v>1</v>
      </c>
      <c r="D1123" s="85" t="s">
        <v>55</v>
      </c>
      <c r="E1123" s="85">
        <v>22</v>
      </c>
      <c r="F1123" s="85">
        <v>6</v>
      </c>
      <c r="G1123" s="85">
        <f>--(F1123&lt;=Estimator!$B$7)</f>
        <v>0</v>
      </c>
      <c r="H1123" s="86">
        <f>SUMIFS('Climate Data'!$G$7:$G$366,'Climate Data'!$A$7:$A$366,Estimator!$B$4,'Climate Data'!$B$7:$B$366,C1123)</f>
        <v>0.19462365591397848</v>
      </c>
      <c r="I1123" s="87">
        <f>SUMIFS('Climate Data'!$H$7:$H$366,'Climate Data'!$A$7:$A$366,Estimator!$B$4,'Climate Data'!$B$7:$B$366,C1123)</f>
        <v>7.027624309392265</v>
      </c>
      <c r="J1123" s="86">
        <f>SUMIFS('Wind Proxy'!$H$8:$H$19,'Wind Proxy'!$A$8:$A$19,Estimator!$B$4,'Wind Proxy'!$B$8:$B$19,C1123)</f>
        <v>0</v>
      </c>
    </row>
    <row r="1124" spans="1:10" ht="14.4">
      <c r="A1124" s="84">
        <v>46775</v>
      </c>
      <c r="B1124" s="85">
        <v>2028</v>
      </c>
      <c r="C1124" s="85">
        <v>1</v>
      </c>
      <c r="D1124" s="85" t="s">
        <v>55</v>
      </c>
      <c r="E1124" s="85">
        <v>23</v>
      </c>
      <c r="F1124" s="85">
        <v>7</v>
      </c>
      <c r="G1124" s="85">
        <f>--(F1124&lt;=Estimator!$B$7)</f>
        <v>0</v>
      </c>
      <c r="H1124" s="86">
        <f>SUMIFS('Climate Data'!$G$7:$G$366,'Climate Data'!$A$7:$A$366,Estimator!$B$4,'Climate Data'!$B$7:$B$366,C1124)</f>
        <v>0.19462365591397848</v>
      </c>
      <c r="I1124" s="87">
        <f>SUMIFS('Climate Data'!$H$7:$H$366,'Climate Data'!$A$7:$A$366,Estimator!$B$4,'Climate Data'!$B$7:$B$366,C1124)</f>
        <v>7.027624309392265</v>
      </c>
      <c r="J1124" s="86">
        <f>SUMIFS('Wind Proxy'!$H$8:$H$19,'Wind Proxy'!$A$8:$A$19,Estimator!$B$4,'Wind Proxy'!$B$8:$B$19,C1124)</f>
        <v>0</v>
      </c>
    </row>
    <row r="1125" spans="1:10" ht="14.4">
      <c r="A1125" s="84">
        <v>46776</v>
      </c>
      <c r="B1125" s="85">
        <v>2028</v>
      </c>
      <c r="C1125" s="85">
        <v>1</v>
      </c>
      <c r="D1125" s="85" t="s">
        <v>55</v>
      </c>
      <c r="E1125" s="85">
        <v>24</v>
      </c>
      <c r="F1125" s="85">
        <v>1</v>
      </c>
      <c r="G1125" s="85">
        <f>--(F1125&lt;=Estimator!$B$7)</f>
        <v>1</v>
      </c>
      <c r="H1125" s="86">
        <f>SUMIFS('Climate Data'!$G$7:$G$366,'Climate Data'!$A$7:$A$366,Estimator!$B$4,'Climate Data'!$B$7:$B$366,C1125)</f>
        <v>0.19462365591397848</v>
      </c>
      <c r="I1125" s="87">
        <f>SUMIFS('Climate Data'!$H$7:$H$366,'Climate Data'!$A$7:$A$366,Estimator!$B$4,'Climate Data'!$B$7:$B$366,C1125)</f>
        <v>7.027624309392265</v>
      </c>
      <c r="J1125" s="86">
        <f>SUMIFS('Wind Proxy'!$H$8:$H$19,'Wind Proxy'!$A$8:$A$19,Estimator!$B$4,'Wind Proxy'!$B$8:$B$19,C1125)</f>
        <v>0</v>
      </c>
    </row>
    <row r="1126" spans="1:10" ht="14.4">
      <c r="A1126" s="84">
        <v>46777</v>
      </c>
      <c r="B1126" s="85">
        <v>2028</v>
      </c>
      <c r="C1126" s="85">
        <v>1</v>
      </c>
      <c r="D1126" s="85" t="s">
        <v>55</v>
      </c>
      <c r="E1126" s="85">
        <v>25</v>
      </c>
      <c r="F1126" s="85">
        <v>2</v>
      </c>
      <c r="G1126" s="85">
        <f>--(F1126&lt;=Estimator!$B$7)</f>
        <v>1</v>
      </c>
      <c r="H1126" s="86">
        <f>SUMIFS('Climate Data'!$G$7:$G$366,'Climate Data'!$A$7:$A$366,Estimator!$B$4,'Climate Data'!$B$7:$B$366,C1126)</f>
        <v>0.19462365591397848</v>
      </c>
      <c r="I1126" s="87">
        <f>SUMIFS('Climate Data'!$H$7:$H$366,'Climate Data'!$A$7:$A$366,Estimator!$B$4,'Climate Data'!$B$7:$B$366,C1126)</f>
        <v>7.027624309392265</v>
      </c>
      <c r="J1126" s="86">
        <f>SUMIFS('Wind Proxy'!$H$8:$H$19,'Wind Proxy'!$A$8:$A$19,Estimator!$B$4,'Wind Proxy'!$B$8:$B$19,C1126)</f>
        <v>0</v>
      </c>
    </row>
    <row r="1127" spans="1:10" ht="14.4">
      <c r="A1127" s="84">
        <v>46778</v>
      </c>
      <c r="B1127" s="85">
        <v>2028</v>
      </c>
      <c r="C1127" s="85">
        <v>1</v>
      </c>
      <c r="D1127" s="85" t="s">
        <v>55</v>
      </c>
      <c r="E1127" s="85">
        <v>26</v>
      </c>
      <c r="F1127" s="85">
        <v>3</v>
      </c>
      <c r="G1127" s="85">
        <f>--(F1127&lt;=Estimator!$B$7)</f>
        <v>1</v>
      </c>
      <c r="H1127" s="86">
        <f>SUMIFS('Climate Data'!$G$7:$G$366,'Climate Data'!$A$7:$A$366,Estimator!$B$4,'Climate Data'!$B$7:$B$366,C1127)</f>
        <v>0.19462365591397848</v>
      </c>
      <c r="I1127" s="87">
        <f>SUMIFS('Climate Data'!$H$7:$H$366,'Climate Data'!$A$7:$A$366,Estimator!$B$4,'Climate Data'!$B$7:$B$366,C1127)</f>
        <v>7.027624309392265</v>
      </c>
      <c r="J1127" s="86">
        <f>SUMIFS('Wind Proxy'!$H$8:$H$19,'Wind Proxy'!$A$8:$A$19,Estimator!$B$4,'Wind Proxy'!$B$8:$B$19,C1127)</f>
        <v>0</v>
      </c>
    </row>
    <row r="1128" spans="1:10" ht="14.4">
      <c r="A1128" s="84">
        <v>46779</v>
      </c>
      <c r="B1128" s="85">
        <v>2028</v>
      </c>
      <c r="C1128" s="85">
        <v>1</v>
      </c>
      <c r="D1128" s="85" t="s">
        <v>55</v>
      </c>
      <c r="E1128" s="85">
        <v>27</v>
      </c>
      <c r="F1128" s="85">
        <v>4</v>
      </c>
      <c r="G1128" s="85">
        <f>--(F1128&lt;=Estimator!$B$7)</f>
        <v>1</v>
      </c>
      <c r="H1128" s="86">
        <f>SUMIFS('Climate Data'!$G$7:$G$366,'Climate Data'!$A$7:$A$366,Estimator!$B$4,'Climate Data'!$B$7:$B$366,C1128)</f>
        <v>0.19462365591397848</v>
      </c>
      <c r="I1128" s="87">
        <f>SUMIFS('Climate Data'!$H$7:$H$366,'Climate Data'!$A$7:$A$366,Estimator!$B$4,'Climate Data'!$B$7:$B$366,C1128)</f>
        <v>7.027624309392265</v>
      </c>
      <c r="J1128" s="86">
        <f>SUMIFS('Wind Proxy'!$H$8:$H$19,'Wind Proxy'!$A$8:$A$19,Estimator!$B$4,'Wind Proxy'!$B$8:$B$19,C1128)</f>
        <v>0</v>
      </c>
    </row>
    <row r="1129" spans="1:10" ht="14.4">
      <c r="A1129" s="84">
        <v>46780</v>
      </c>
      <c r="B1129" s="85">
        <v>2028</v>
      </c>
      <c r="C1129" s="85">
        <v>1</v>
      </c>
      <c r="D1129" s="85" t="s">
        <v>55</v>
      </c>
      <c r="E1129" s="85">
        <v>28</v>
      </c>
      <c r="F1129" s="85">
        <v>5</v>
      </c>
      <c r="G1129" s="85">
        <f>--(F1129&lt;=Estimator!$B$7)</f>
        <v>1</v>
      </c>
      <c r="H1129" s="86">
        <f>SUMIFS('Climate Data'!$G$7:$G$366,'Climate Data'!$A$7:$A$366,Estimator!$B$4,'Climate Data'!$B$7:$B$366,C1129)</f>
        <v>0.19462365591397848</v>
      </c>
      <c r="I1129" s="87">
        <f>SUMIFS('Climate Data'!$H$7:$H$366,'Climate Data'!$A$7:$A$366,Estimator!$B$4,'Climate Data'!$B$7:$B$366,C1129)</f>
        <v>7.027624309392265</v>
      </c>
      <c r="J1129" s="86">
        <f>SUMIFS('Wind Proxy'!$H$8:$H$19,'Wind Proxy'!$A$8:$A$19,Estimator!$B$4,'Wind Proxy'!$B$8:$B$19,C1129)</f>
        <v>0</v>
      </c>
    </row>
    <row r="1130" spans="1:10" ht="14.4">
      <c r="A1130" s="84">
        <v>46781</v>
      </c>
      <c r="B1130" s="85">
        <v>2028</v>
      </c>
      <c r="C1130" s="85">
        <v>1</v>
      </c>
      <c r="D1130" s="85" t="s">
        <v>55</v>
      </c>
      <c r="E1130" s="85">
        <v>29</v>
      </c>
      <c r="F1130" s="85">
        <v>6</v>
      </c>
      <c r="G1130" s="85">
        <f>--(F1130&lt;=Estimator!$B$7)</f>
        <v>0</v>
      </c>
      <c r="H1130" s="86">
        <f>SUMIFS('Climate Data'!$G$7:$G$366,'Climate Data'!$A$7:$A$366,Estimator!$B$4,'Climate Data'!$B$7:$B$366,C1130)</f>
        <v>0.19462365591397848</v>
      </c>
      <c r="I1130" s="87">
        <f>SUMIFS('Climate Data'!$H$7:$H$366,'Climate Data'!$A$7:$A$366,Estimator!$B$4,'Climate Data'!$B$7:$B$366,C1130)</f>
        <v>7.027624309392265</v>
      </c>
      <c r="J1130" s="86">
        <f>SUMIFS('Wind Proxy'!$H$8:$H$19,'Wind Proxy'!$A$8:$A$19,Estimator!$B$4,'Wind Proxy'!$B$8:$B$19,C1130)</f>
        <v>0</v>
      </c>
    </row>
    <row r="1131" spans="1:10" ht="14.4">
      <c r="A1131" s="84">
        <v>46782</v>
      </c>
      <c r="B1131" s="85">
        <v>2028</v>
      </c>
      <c r="C1131" s="85">
        <v>1</v>
      </c>
      <c r="D1131" s="85" t="s">
        <v>55</v>
      </c>
      <c r="E1131" s="85">
        <v>30</v>
      </c>
      <c r="F1131" s="85">
        <v>7</v>
      </c>
      <c r="G1131" s="85">
        <f>--(F1131&lt;=Estimator!$B$7)</f>
        <v>0</v>
      </c>
      <c r="H1131" s="86">
        <f>SUMIFS('Climate Data'!$G$7:$G$366,'Climate Data'!$A$7:$A$366,Estimator!$B$4,'Climate Data'!$B$7:$B$366,C1131)</f>
        <v>0.19462365591397848</v>
      </c>
      <c r="I1131" s="87">
        <f>SUMIFS('Climate Data'!$H$7:$H$366,'Climate Data'!$A$7:$A$366,Estimator!$B$4,'Climate Data'!$B$7:$B$366,C1131)</f>
        <v>7.027624309392265</v>
      </c>
      <c r="J1131" s="86">
        <f>SUMIFS('Wind Proxy'!$H$8:$H$19,'Wind Proxy'!$A$8:$A$19,Estimator!$B$4,'Wind Proxy'!$B$8:$B$19,C1131)</f>
        <v>0</v>
      </c>
    </row>
    <row r="1132" spans="1:10" ht="14.4">
      <c r="A1132" s="84">
        <v>46783</v>
      </c>
      <c r="B1132" s="85">
        <v>2028</v>
      </c>
      <c r="C1132" s="85">
        <v>1</v>
      </c>
      <c r="D1132" s="85" t="s">
        <v>55</v>
      </c>
      <c r="E1132" s="85">
        <v>31</v>
      </c>
      <c r="F1132" s="85">
        <v>1</v>
      </c>
      <c r="G1132" s="85">
        <f>--(F1132&lt;=Estimator!$B$7)</f>
        <v>1</v>
      </c>
      <c r="H1132" s="86">
        <f>SUMIFS('Climate Data'!$G$7:$G$366,'Climate Data'!$A$7:$A$366,Estimator!$B$4,'Climate Data'!$B$7:$B$366,C1132)</f>
        <v>0.19462365591397848</v>
      </c>
      <c r="I1132" s="87">
        <f>SUMIFS('Climate Data'!$H$7:$H$366,'Climate Data'!$A$7:$A$366,Estimator!$B$4,'Climate Data'!$B$7:$B$366,C1132)</f>
        <v>7.027624309392265</v>
      </c>
      <c r="J1132" s="86">
        <f>SUMIFS('Wind Proxy'!$H$8:$H$19,'Wind Proxy'!$A$8:$A$19,Estimator!$B$4,'Wind Proxy'!$B$8:$B$19,C1132)</f>
        <v>0</v>
      </c>
    </row>
    <row r="1133" spans="1:10" ht="14.4">
      <c r="A1133" s="84">
        <v>46784</v>
      </c>
      <c r="B1133" s="85">
        <v>2028</v>
      </c>
      <c r="C1133" s="85">
        <v>2</v>
      </c>
      <c r="D1133" s="85" t="s">
        <v>58</v>
      </c>
      <c r="E1133" s="85">
        <v>1</v>
      </c>
      <c r="F1133" s="85">
        <v>2</v>
      </c>
      <c r="G1133" s="85">
        <f>--(F1133&lt;=Estimator!$B$7)</f>
        <v>1</v>
      </c>
      <c r="H1133" s="86">
        <f>SUMIFS('Climate Data'!$G$7:$G$366,'Climate Data'!$A$7:$A$366,Estimator!$B$4,'Climate Data'!$B$7:$B$366,C1133)</f>
        <v>0.18867924528301885</v>
      </c>
      <c r="I1133" s="87">
        <f>SUMIFS('Climate Data'!$H$7:$H$366,'Climate Data'!$A$7:$A$366,Estimator!$B$4,'Climate Data'!$B$7:$B$366,C1133)</f>
        <v>7.4624999999999995</v>
      </c>
      <c r="J1133" s="86">
        <f>SUMIFS('Wind Proxy'!$H$8:$H$19,'Wind Proxy'!$A$8:$A$19,Estimator!$B$4,'Wind Proxy'!$B$8:$B$19,C1133)</f>
        <v>0</v>
      </c>
    </row>
    <row r="1134" spans="1:10" ht="14.4">
      <c r="A1134" s="84">
        <v>46785</v>
      </c>
      <c r="B1134" s="85">
        <v>2028</v>
      </c>
      <c r="C1134" s="85">
        <v>2</v>
      </c>
      <c r="D1134" s="85" t="s">
        <v>58</v>
      </c>
      <c r="E1134" s="85">
        <v>2</v>
      </c>
      <c r="F1134" s="85">
        <v>3</v>
      </c>
      <c r="G1134" s="85">
        <f>--(F1134&lt;=Estimator!$B$7)</f>
        <v>1</v>
      </c>
      <c r="H1134" s="86">
        <f>SUMIFS('Climate Data'!$G$7:$G$366,'Climate Data'!$A$7:$A$366,Estimator!$B$4,'Climate Data'!$B$7:$B$366,C1134)</f>
        <v>0.18867924528301885</v>
      </c>
      <c r="I1134" s="87">
        <f>SUMIFS('Climate Data'!$H$7:$H$366,'Climate Data'!$A$7:$A$366,Estimator!$B$4,'Climate Data'!$B$7:$B$366,C1134)</f>
        <v>7.4624999999999995</v>
      </c>
      <c r="J1134" s="86">
        <f>SUMIFS('Wind Proxy'!$H$8:$H$19,'Wind Proxy'!$A$8:$A$19,Estimator!$B$4,'Wind Proxy'!$B$8:$B$19,C1134)</f>
        <v>0</v>
      </c>
    </row>
    <row r="1135" spans="1:10" ht="14.4">
      <c r="A1135" s="84">
        <v>46786</v>
      </c>
      <c r="B1135" s="85">
        <v>2028</v>
      </c>
      <c r="C1135" s="85">
        <v>2</v>
      </c>
      <c r="D1135" s="85" t="s">
        <v>58</v>
      </c>
      <c r="E1135" s="85">
        <v>3</v>
      </c>
      <c r="F1135" s="85">
        <v>4</v>
      </c>
      <c r="G1135" s="85">
        <f>--(F1135&lt;=Estimator!$B$7)</f>
        <v>1</v>
      </c>
      <c r="H1135" s="86">
        <f>SUMIFS('Climate Data'!$G$7:$G$366,'Climate Data'!$A$7:$A$366,Estimator!$B$4,'Climate Data'!$B$7:$B$366,C1135)</f>
        <v>0.18867924528301885</v>
      </c>
      <c r="I1135" s="87">
        <f>SUMIFS('Climate Data'!$H$7:$H$366,'Climate Data'!$A$7:$A$366,Estimator!$B$4,'Climate Data'!$B$7:$B$366,C1135)</f>
        <v>7.4624999999999995</v>
      </c>
      <c r="J1135" s="86">
        <f>SUMIFS('Wind Proxy'!$H$8:$H$19,'Wind Proxy'!$A$8:$A$19,Estimator!$B$4,'Wind Proxy'!$B$8:$B$19,C1135)</f>
        <v>0</v>
      </c>
    </row>
    <row r="1136" spans="1:10" ht="14.4">
      <c r="A1136" s="84">
        <v>46787</v>
      </c>
      <c r="B1136" s="85">
        <v>2028</v>
      </c>
      <c r="C1136" s="85">
        <v>2</v>
      </c>
      <c r="D1136" s="85" t="s">
        <v>58</v>
      </c>
      <c r="E1136" s="85">
        <v>4</v>
      </c>
      <c r="F1136" s="85">
        <v>5</v>
      </c>
      <c r="G1136" s="85">
        <f>--(F1136&lt;=Estimator!$B$7)</f>
        <v>1</v>
      </c>
      <c r="H1136" s="86">
        <f>SUMIFS('Climate Data'!$G$7:$G$366,'Climate Data'!$A$7:$A$366,Estimator!$B$4,'Climate Data'!$B$7:$B$366,C1136)</f>
        <v>0.18867924528301885</v>
      </c>
      <c r="I1136" s="87">
        <f>SUMIFS('Climate Data'!$H$7:$H$366,'Climate Data'!$A$7:$A$366,Estimator!$B$4,'Climate Data'!$B$7:$B$366,C1136)</f>
        <v>7.4624999999999995</v>
      </c>
      <c r="J1136" s="86">
        <f>SUMIFS('Wind Proxy'!$H$8:$H$19,'Wind Proxy'!$A$8:$A$19,Estimator!$B$4,'Wind Proxy'!$B$8:$B$19,C1136)</f>
        <v>0</v>
      </c>
    </row>
    <row r="1137" spans="1:10" ht="14.4">
      <c r="A1137" s="84">
        <v>46788</v>
      </c>
      <c r="B1137" s="85">
        <v>2028</v>
      </c>
      <c r="C1137" s="85">
        <v>2</v>
      </c>
      <c r="D1137" s="85" t="s">
        <v>58</v>
      </c>
      <c r="E1137" s="85">
        <v>5</v>
      </c>
      <c r="F1137" s="85">
        <v>6</v>
      </c>
      <c r="G1137" s="85">
        <f>--(F1137&lt;=Estimator!$B$7)</f>
        <v>0</v>
      </c>
      <c r="H1137" s="86">
        <f>SUMIFS('Climate Data'!$G$7:$G$366,'Climate Data'!$A$7:$A$366,Estimator!$B$4,'Climate Data'!$B$7:$B$366,C1137)</f>
        <v>0.18867924528301885</v>
      </c>
      <c r="I1137" s="87">
        <f>SUMIFS('Climate Data'!$H$7:$H$366,'Climate Data'!$A$7:$A$366,Estimator!$B$4,'Climate Data'!$B$7:$B$366,C1137)</f>
        <v>7.4624999999999995</v>
      </c>
      <c r="J1137" s="86">
        <f>SUMIFS('Wind Proxy'!$H$8:$H$19,'Wind Proxy'!$A$8:$A$19,Estimator!$B$4,'Wind Proxy'!$B$8:$B$19,C1137)</f>
        <v>0</v>
      </c>
    </row>
    <row r="1138" spans="1:10" ht="14.4">
      <c r="A1138" s="84">
        <v>46789</v>
      </c>
      <c r="B1138" s="85">
        <v>2028</v>
      </c>
      <c r="C1138" s="85">
        <v>2</v>
      </c>
      <c r="D1138" s="85" t="s">
        <v>58</v>
      </c>
      <c r="E1138" s="85">
        <v>6</v>
      </c>
      <c r="F1138" s="85">
        <v>7</v>
      </c>
      <c r="G1138" s="85">
        <f>--(F1138&lt;=Estimator!$B$7)</f>
        <v>0</v>
      </c>
      <c r="H1138" s="86">
        <f>SUMIFS('Climate Data'!$G$7:$G$366,'Climate Data'!$A$7:$A$366,Estimator!$B$4,'Climate Data'!$B$7:$B$366,C1138)</f>
        <v>0.18867924528301885</v>
      </c>
      <c r="I1138" s="87">
        <f>SUMIFS('Climate Data'!$H$7:$H$366,'Climate Data'!$A$7:$A$366,Estimator!$B$4,'Climate Data'!$B$7:$B$366,C1138)</f>
        <v>7.4624999999999995</v>
      </c>
      <c r="J1138" s="86">
        <f>SUMIFS('Wind Proxy'!$H$8:$H$19,'Wind Proxy'!$A$8:$A$19,Estimator!$B$4,'Wind Proxy'!$B$8:$B$19,C1138)</f>
        <v>0</v>
      </c>
    </row>
    <row r="1139" spans="1:10" ht="14.4">
      <c r="A1139" s="84">
        <v>46790</v>
      </c>
      <c r="B1139" s="85">
        <v>2028</v>
      </c>
      <c r="C1139" s="85">
        <v>2</v>
      </c>
      <c r="D1139" s="85" t="s">
        <v>58</v>
      </c>
      <c r="E1139" s="85">
        <v>7</v>
      </c>
      <c r="F1139" s="85">
        <v>1</v>
      </c>
      <c r="G1139" s="85">
        <f>--(F1139&lt;=Estimator!$B$7)</f>
        <v>1</v>
      </c>
      <c r="H1139" s="86">
        <f>SUMIFS('Climate Data'!$G$7:$G$366,'Climate Data'!$A$7:$A$366,Estimator!$B$4,'Climate Data'!$B$7:$B$366,C1139)</f>
        <v>0.18867924528301885</v>
      </c>
      <c r="I1139" s="87">
        <f>SUMIFS('Climate Data'!$H$7:$H$366,'Climate Data'!$A$7:$A$366,Estimator!$B$4,'Climate Data'!$B$7:$B$366,C1139)</f>
        <v>7.4624999999999995</v>
      </c>
      <c r="J1139" s="86">
        <f>SUMIFS('Wind Proxy'!$H$8:$H$19,'Wind Proxy'!$A$8:$A$19,Estimator!$B$4,'Wind Proxy'!$B$8:$B$19,C1139)</f>
        <v>0</v>
      </c>
    </row>
    <row r="1140" spans="1:10" ht="14.4">
      <c r="A1140" s="84">
        <v>46791</v>
      </c>
      <c r="B1140" s="85">
        <v>2028</v>
      </c>
      <c r="C1140" s="85">
        <v>2</v>
      </c>
      <c r="D1140" s="85" t="s">
        <v>58</v>
      </c>
      <c r="E1140" s="85">
        <v>8</v>
      </c>
      <c r="F1140" s="85">
        <v>2</v>
      </c>
      <c r="G1140" s="85">
        <f>--(F1140&lt;=Estimator!$B$7)</f>
        <v>1</v>
      </c>
      <c r="H1140" s="86">
        <f>SUMIFS('Climate Data'!$G$7:$G$366,'Climate Data'!$A$7:$A$366,Estimator!$B$4,'Climate Data'!$B$7:$B$366,C1140)</f>
        <v>0.18867924528301885</v>
      </c>
      <c r="I1140" s="87">
        <f>SUMIFS('Climate Data'!$H$7:$H$366,'Climate Data'!$A$7:$A$366,Estimator!$B$4,'Climate Data'!$B$7:$B$366,C1140)</f>
        <v>7.4624999999999995</v>
      </c>
      <c r="J1140" s="86">
        <f>SUMIFS('Wind Proxy'!$H$8:$H$19,'Wind Proxy'!$A$8:$A$19,Estimator!$B$4,'Wind Proxy'!$B$8:$B$19,C1140)</f>
        <v>0</v>
      </c>
    </row>
    <row r="1141" spans="1:10" ht="14.4">
      <c r="A1141" s="84">
        <v>46792</v>
      </c>
      <c r="B1141" s="85">
        <v>2028</v>
      </c>
      <c r="C1141" s="85">
        <v>2</v>
      </c>
      <c r="D1141" s="85" t="s">
        <v>58</v>
      </c>
      <c r="E1141" s="85">
        <v>9</v>
      </c>
      <c r="F1141" s="85">
        <v>3</v>
      </c>
      <c r="G1141" s="85">
        <f>--(F1141&lt;=Estimator!$B$7)</f>
        <v>1</v>
      </c>
      <c r="H1141" s="86">
        <f>SUMIFS('Climate Data'!$G$7:$G$366,'Climate Data'!$A$7:$A$366,Estimator!$B$4,'Climate Data'!$B$7:$B$366,C1141)</f>
        <v>0.18867924528301885</v>
      </c>
      <c r="I1141" s="87">
        <f>SUMIFS('Climate Data'!$H$7:$H$366,'Climate Data'!$A$7:$A$366,Estimator!$B$4,'Climate Data'!$B$7:$B$366,C1141)</f>
        <v>7.4624999999999995</v>
      </c>
      <c r="J1141" s="86">
        <f>SUMIFS('Wind Proxy'!$H$8:$H$19,'Wind Proxy'!$A$8:$A$19,Estimator!$B$4,'Wind Proxy'!$B$8:$B$19,C1141)</f>
        <v>0</v>
      </c>
    </row>
    <row r="1142" spans="1:10" ht="14.4">
      <c r="A1142" s="84">
        <v>46793</v>
      </c>
      <c r="B1142" s="85">
        <v>2028</v>
      </c>
      <c r="C1142" s="85">
        <v>2</v>
      </c>
      <c r="D1142" s="85" t="s">
        <v>58</v>
      </c>
      <c r="E1142" s="85">
        <v>10</v>
      </c>
      <c r="F1142" s="85">
        <v>4</v>
      </c>
      <c r="G1142" s="85">
        <f>--(F1142&lt;=Estimator!$B$7)</f>
        <v>1</v>
      </c>
      <c r="H1142" s="86">
        <f>SUMIFS('Climate Data'!$G$7:$G$366,'Climate Data'!$A$7:$A$366,Estimator!$B$4,'Climate Data'!$B$7:$B$366,C1142)</f>
        <v>0.18867924528301885</v>
      </c>
      <c r="I1142" s="87">
        <f>SUMIFS('Climate Data'!$H$7:$H$366,'Climate Data'!$A$7:$A$366,Estimator!$B$4,'Climate Data'!$B$7:$B$366,C1142)</f>
        <v>7.4624999999999995</v>
      </c>
      <c r="J1142" s="86">
        <f>SUMIFS('Wind Proxy'!$H$8:$H$19,'Wind Proxy'!$A$8:$A$19,Estimator!$B$4,'Wind Proxy'!$B$8:$B$19,C1142)</f>
        <v>0</v>
      </c>
    </row>
    <row r="1143" spans="1:10" ht="14.4">
      <c r="A1143" s="84">
        <v>46794</v>
      </c>
      <c r="B1143" s="85">
        <v>2028</v>
      </c>
      <c r="C1143" s="85">
        <v>2</v>
      </c>
      <c r="D1143" s="85" t="s">
        <v>58</v>
      </c>
      <c r="E1143" s="85">
        <v>11</v>
      </c>
      <c r="F1143" s="85">
        <v>5</v>
      </c>
      <c r="G1143" s="85">
        <f>--(F1143&lt;=Estimator!$B$7)</f>
        <v>1</v>
      </c>
      <c r="H1143" s="86">
        <f>SUMIFS('Climate Data'!$G$7:$G$366,'Climate Data'!$A$7:$A$366,Estimator!$B$4,'Climate Data'!$B$7:$B$366,C1143)</f>
        <v>0.18867924528301885</v>
      </c>
      <c r="I1143" s="87">
        <f>SUMIFS('Climate Data'!$H$7:$H$366,'Climate Data'!$A$7:$A$366,Estimator!$B$4,'Climate Data'!$B$7:$B$366,C1143)</f>
        <v>7.4624999999999995</v>
      </c>
      <c r="J1143" s="86">
        <f>SUMIFS('Wind Proxy'!$H$8:$H$19,'Wind Proxy'!$A$8:$A$19,Estimator!$B$4,'Wind Proxy'!$B$8:$B$19,C1143)</f>
        <v>0</v>
      </c>
    </row>
    <row r="1144" spans="1:10" ht="14.4">
      <c r="A1144" s="84">
        <v>46795</v>
      </c>
      <c r="B1144" s="85">
        <v>2028</v>
      </c>
      <c r="C1144" s="85">
        <v>2</v>
      </c>
      <c r="D1144" s="85" t="s">
        <v>58</v>
      </c>
      <c r="E1144" s="85">
        <v>12</v>
      </c>
      <c r="F1144" s="85">
        <v>6</v>
      </c>
      <c r="G1144" s="85">
        <f>--(F1144&lt;=Estimator!$B$7)</f>
        <v>0</v>
      </c>
      <c r="H1144" s="86">
        <f>SUMIFS('Climate Data'!$G$7:$G$366,'Climate Data'!$A$7:$A$366,Estimator!$B$4,'Climate Data'!$B$7:$B$366,C1144)</f>
        <v>0.18867924528301885</v>
      </c>
      <c r="I1144" s="87">
        <f>SUMIFS('Climate Data'!$H$7:$H$366,'Climate Data'!$A$7:$A$366,Estimator!$B$4,'Climate Data'!$B$7:$B$366,C1144)</f>
        <v>7.4624999999999995</v>
      </c>
      <c r="J1144" s="86">
        <f>SUMIFS('Wind Proxy'!$H$8:$H$19,'Wind Proxy'!$A$8:$A$19,Estimator!$B$4,'Wind Proxy'!$B$8:$B$19,C1144)</f>
        <v>0</v>
      </c>
    </row>
    <row r="1145" spans="1:10" ht="14.4">
      <c r="A1145" s="84">
        <v>46796</v>
      </c>
      <c r="B1145" s="85">
        <v>2028</v>
      </c>
      <c r="C1145" s="85">
        <v>2</v>
      </c>
      <c r="D1145" s="85" t="s">
        <v>58</v>
      </c>
      <c r="E1145" s="85">
        <v>13</v>
      </c>
      <c r="F1145" s="85">
        <v>7</v>
      </c>
      <c r="G1145" s="85">
        <f>--(F1145&lt;=Estimator!$B$7)</f>
        <v>0</v>
      </c>
      <c r="H1145" s="86">
        <f>SUMIFS('Climate Data'!$G$7:$G$366,'Climate Data'!$A$7:$A$366,Estimator!$B$4,'Climate Data'!$B$7:$B$366,C1145)</f>
        <v>0.18867924528301885</v>
      </c>
      <c r="I1145" s="87">
        <f>SUMIFS('Climate Data'!$H$7:$H$366,'Climate Data'!$A$7:$A$366,Estimator!$B$4,'Climate Data'!$B$7:$B$366,C1145)</f>
        <v>7.4624999999999995</v>
      </c>
      <c r="J1145" s="86">
        <f>SUMIFS('Wind Proxy'!$H$8:$H$19,'Wind Proxy'!$A$8:$A$19,Estimator!$B$4,'Wind Proxy'!$B$8:$B$19,C1145)</f>
        <v>0</v>
      </c>
    </row>
    <row r="1146" spans="1:10" ht="14.4">
      <c r="A1146" s="84">
        <v>46797</v>
      </c>
      <c r="B1146" s="85">
        <v>2028</v>
      </c>
      <c r="C1146" s="85">
        <v>2</v>
      </c>
      <c r="D1146" s="85" t="s">
        <v>58</v>
      </c>
      <c r="E1146" s="85">
        <v>14</v>
      </c>
      <c r="F1146" s="85">
        <v>1</v>
      </c>
      <c r="G1146" s="85">
        <f>--(F1146&lt;=Estimator!$B$7)</f>
        <v>1</v>
      </c>
      <c r="H1146" s="86">
        <f>SUMIFS('Climate Data'!$G$7:$G$366,'Climate Data'!$A$7:$A$366,Estimator!$B$4,'Climate Data'!$B$7:$B$366,C1146)</f>
        <v>0.18867924528301885</v>
      </c>
      <c r="I1146" s="87">
        <f>SUMIFS('Climate Data'!$H$7:$H$366,'Climate Data'!$A$7:$A$366,Estimator!$B$4,'Climate Data'!$B$7:$B$366,C1146)</f>
        <v>7.4624999999999995</v>
      </c>
      <c r="J1146" s="86">
        <f>SUMIFS('Wind Proxy'!$H$8:$H$19,'Wind Proxy'!$A$8:$A$19,Estimator!$B$4,'Wind Proxy'!$B$8:$B$19,C1146)</f>
        <v>0</v>
      </c>
    </row>
    <row r="1147" spans="1:10" ht="14.4">
      <c r="A1147" s="84">
        <v>46798</v>
      </c>
      <c r="B1147" s="85">
        <v>2028</v>
      </c>
      <c r="C1147" s="85">
        <v>2</v>
      </c>
      <c r="D1147" s="85" t="s">
        <v>58</v>
      </c>
      <c r="E1147" s="85">
        <v>15</v>
      </c>
      <c r="F1147" s="85">
        <v>2</v>
      </c>
      <c r="G1147" s="85">
        <f>--(F1147&lt;=Estimator!$B$7)</f>
        <v>1</v>
      </c>
      <c r="H1147" s="86">
        <f>SUMIFS('Climate Data'!$G$7:$G$366,'Climate Data'!$A$7:$A$366,Estimator!$B$4,'Climate Data'!$B$7:$B$366,C1147)</f>
        <v>0.18867924528301885</v>
      </c>
      <c r="I1147" s="87">
        <f>SUMIFS('Climate Data'!$H$7:$H$366,'Climate Data'!$A$7:$A$366,Estimator!$B$4,'Climate Data'!$B$7:$B$366,C1147)</f>
        <v>7.4624999999999995</v>
      </c>
      <c r="J1147" s="86">
        <f>SUMIFS('Wind Proxy'!$H$8:$H$19,'Wind Proxy'!$A$8:$A$19,Estimator!$B$4,'Wind Proxy'!$B$8:$B$19,C1147)</f>
        <v>0</v>
      </c>
    </row>
    <row r="1148" spans="1:10" ht="14.4">
      <c r="A1148" s="84">
        <v>46799</v>
      </c>
      <c r="B1148" s="85">
        <v>2028</v>
      </c>
      <c r="C1148" s="85">
        <v>2</v>
      </c>
      <c r="D1148" s="85" t="s">
        <v>58</v>
      </c>
      <c r="E1148" s="85">
        <v>16</v>
      </c>
      <c r="F1148" s="85">
        <v>3</v>
      </c>
      <c r="G1148" s="85">
        <f>--(F1148&lt;=Estimator!$B$7)</f>
        <v>1</v>
      </c>
      <c r="H1148" s="86">
        <f>SUMIFS('Climate Data'!$G$7:$G$366,'Climate Data'!$A$7:$A$366,Estimator!$B$4,'Climate Data'!$B$7:$B$366,C1148)</f>
        <v>0.18867924528301885</v>
      </c>
      <c r="I1148" s="87">
        <f>SUMIFS('Climate Data'!$H$7:$H$366,'Climate Data'!$A$7:$A$366,Estimator!$B$4,'Climate Data'!$B$7:$B$366,C1148)</f>
        <v>7.4624999999999995</v>
      </c>
      <c r="J1148" s="86">
        <f>SUMIFS('Wind Proxy'!$H$8:$H$19,'Wind Proxy'!$A$8:$A$19,Estimator!$B$4,'Wind Proxy'!$B$8:$B$19,C1148)</f>
        <v>0</v>
      </c>
    </row>
    <row r="1149" spans="1:10" ht="14.4">
      <c r="A1149" s="84">
        <v>46800</v>
      </c>
      <c r="B1149" s="85">
        <v>2028</v>
      </c>
      <c r="C1149" s="85">
        <v>2</v>
      </c>
      <c r="D1149" s="85" t="s">
        <v>58</v>
      </c>
      <c r="E1149" s="85">
        <v>17</v>
      </c>
      <c r="F1149" s="85">
        <v>4</v>
      </c>
      <c r="G1149" s="85">
        <f>--(F1149&lt;=Estimator!$B$7)</f>
        <v>1</v>
      </c>
      <c r="H1149" s="86">
        <f>SUMIFS('Climate Data'!$G$7:$G$366,'Climate Data'!$A$7:$A$366,Estimator!$B$4,'Climate Data'!$B$7:$B$366,C1149)</f>
        <v>0.18867924528301885</v>
      </c>
      <c r="I1149" s="87">
        <f>SUMIFS('Climate Data'!$H$7:$H$366,'Climate Data'!$A$7:$A$366,Estimator!$B$4,'Climate Data'!$B$7:$B$366,C1149)</f>
        <v>7.4624999999999995</v>
      </c>
      <c r="J1149" s="86">
        <f>SUMIFS('Wind Proxy'!$H$8:$H$19,'Wind Proxy'!$A$8:$A$19,Estimator!$B$4,'Wind Proxy'!$B$8:$B$19,C1149)</f>
        <v>0</v>
      </c>
    </row>
    <row r="1150" spans="1:10" ht="14.4">
      <c r="A1150" s="84">
        <v>46801</v>
      </c>
      <c r="B1150" s="85">
        <v>2028</v>
      </c>
      <c r="C1150" s="85">
        <v>2</v>
      </c>
      <c r="D1150" s="85" t="s">
        <v>58</v>
      </c>
      <c r="E1150" s="85">
        <v>18</v>
      </c>
      <c r="F1150" s="85">
        <v>5</v>
      </c>
      <c r="G1150" s="85">
        <f>--(F1150&lt;=Estimator!$B$7)</f>
        <v>1</v>
      </c>
      <c r="H1150" s="86">
        <f>SUMIFS('Climate Data'!$G$7:$G$366,'Climate Data'!$A$7:$A$366,Estimator!$B$4,'Climate Data'!$B$7:$B$366,C1150)</f>
        <v>0.18867924528301885</v>
      </c>
      <c r="I1150" s="87">
        <f>SUMIFS('Climate Data'!$H$7:$H$366,'Climate Data'!$A$7:$A$366,Estimator!$B$4,'Climate Data'!$B$7:$B$366,C1150)</f>
        <v>7.4624999999999995</v>
      </c>
      <c r="J1150" s="86">
        <f>SUMIFS('Wind Proxy'!$H$8:$H$19,'Wind Proxy'!$A$8:$A$19,Estimator!$B$4,'Wind Proxy'!$B$8:$B$19,C1150)</f>
        <v>0</v>
      </c>
    </row>
    <row r="1151" spans="1:10" ht="14.4">
      <c r="A1151" s="84">
        <v>46802</v>
      </c>
      <c r="B1151" s="85">
        <v>2028</v>
      </c>
      <c r="C1151" s="85">
        <v>2</v>
      </c>
      <c r="D1151" s="85" t="s">
        <v>58</v>
      </c>
      <c r="E1151" s="85">
        <v>19</v>
      </c>
      <c r="F1151" s="85">
        <v>6</v>
      </c>
      <c r="G1151" s="85">
        <f>--(F1151&lt;=Estimator!$B$7)</f>
        <v>0</v>
      </c>
      <c r="H1151" s="86">
        <f>SUMIFS('Climate Data'!$G$7:$G$366,'Climate Data'!$A$7:$A$366,Estimator!$B$4,'Climate Data'!$B$7:$B$366,C1151)</f>
        <v>0.18867924528301885</v>
      </c>
      <c r="I1151" s="87">
        <f>SUMIFS('Climate Data'!$H$7:$H$366,'Climate Data'!$A$7:$A$366,Estimator!$B$4,'Climate Data'!$B$7:$B$366,C1151)</f>
        <v>7.4624999999999995</v>
      </c>
      <c r="J1151" s="86">
        <f>SUMIFS('Wind Proxy'!$H$8:$H$19,'Wind Proxy'!$A$8:$A$19,Estimator!$B$4,'Wind Proxy'!$B$8:$B$19,C1151)</f>
        <v>0</v>
      </c>
    </row>
    <row r="1152" spans="1:10" ht="14.4">
      <c r="A1152" s="84">
        <v>46803</v>
      </c>
      <c r="B1152" s="85">
        <v>2028</v>
      </c>
      <c r="C1152" s="85">
        <v>2</v>
      </c>
      <c r="D1152" s="85" t="s">
        <v>58</v>
      </c>
      <c r="E1152" s="85">
        <v>20</v>
      </c>
      <c r="F1152" s="85">
        <v>7</v>
      </c>
      <c r="G1152" s="85">
        <f>--(F1152&lt;=Estimator!$B$7)</f>
        <v>0</v>
      </c>
      <c r="H1152" s="86">
        <f>SUMIFS('Climate Data'!$G$7:$G$366,'Climate Data'!$A$7:$A$366,Estimator!$B$4,'Climate Data'!$B$7:$B$366,C1152)</f>
        <v>0.18867924528301885</v>
      </c>
      <c r="I1152" s="87">
        <f>SUMIFS('Climate Data'!$H$7:$H$366,'Climate Data'!$A$7:$A$366,Estimator!$B$4,'Climate Data'!$B$7:$B$366,C1152)</f>
        <v>7.4624999999999995</v>
      </c>
      <c r="J1152" s="86">
        <f>SUMIFS('Wind Proxy'!$H$8:$H$19,'Wind Proxy'!$A$8:$A$19,Estimator!$B$4,'Wind Proxy'!$B$8:$B$19,C1152)</f>
        <v>0</v>
      </c>
    </row>
    <row r="1153" spans="1:10" ht="14.4">
      <c r="A1153" s="84">
        <v>46804</v>
      </c>
      <c r="B1153" s="85">
        <v>2028</v>
      </c>
      <c r="C1153" s="85">
        <v>2</v>
      </c>
      <c r="D1153" s="85" t="s">
        <v>58</v>
      </c>
      <c r="E1153" s="85">
        <v>21</v>
      </c>
      <c r="F1153" s="85">
        <v>1</v>
      </c>
      <c r="G1153" s="85">
        <f>--(F1153&lt;=Estimator!$B$7)</f>
        <v>1</v>
      </c>
      <c r="H1153" s="86">
        <f>SUMIFS('Climate Data'!$G$7:$G$366,'Climate Data'!$A$7:$A$366,Estimator!$B$4,'Climate Data'!$B$7:$B$366,C1153)</f>
        <v>0.18867924528301885</v>
      </c>
      <c r="I1153" s="87">
        <f>SUMIFS('Climate Data'!$H$7:$H$366,'Climate Data'!$A$7:$A$366,Estimator!$B$4,'Climate Data'!$B$7:$B$366,C1153)</f>
        <v>7.4624999999999995</v>
      </c>
      <c r="J1153" s="86">
        <f>SUMIFS('Wind Proxy'!$H$8:$H$19,'Wind Proxy'!$A$8:$A$19,Estimator!$B$4,'Wind Proxy'!$B$8:$B$19,C1153)</f>
        <v>0</v>
      </c>
    </row>
    <row r="1154" spans="1:10" ht="14.4">
      <c r="A1154" s="84">
        <v>46805</v>
      </c>
      <c r="B1154" s="85">
        <v>2028</v>
      </c>
      <c r="C1154" s="85">
        <v>2</v>
      </c>
      <c r="D1154" s="85" t="s">
        <v>58</v>
      </c>
      <c r="E1154" s="85">
        <v>22</v>
      </c>
      <c r="F1154" s="85">
        <v>2</v>
      </c>
      <c r="G1154" s="85">
        <f>--(F1154&lt;=Estimator!$B$7)</f>
        <v>1</v>
      </c>
      <c r="H1154" s="86">
        <f>SUMIFS('Climate Data'!$G$7:$G$366,'Climate Data'!$A$7:$A$366,Estimator!$B$4,'Climate Data'!$B$7:$B$366,C1154)</f>
        <v>0.18867924528301885</v>
      </c>
      <c r="I1154" s="87">
        <f>SUMIFS('Climate Data'!$H$7:$H$366,'Climate Data'!$A$7:$A$366,Estimator!$B$4,'Climate Data'!$B$7:$B$366,C1154)</f>
        <v>7.4624999999999995</v>
      </c>
      <c r="J1154" s="86">
        <f>SUMIFS('Wind Proxy'!$H$8:$H$19,'Wind Proxy'!$A$8:$A$19,Estimator!$B$4,'Wind Proxy'!$B$8:$B$19,C1154)</f>
        <v>0</v>
      </c>
    </row>
    <row r="1155" spans="1:10" ht="14.4">
      <c r="A1155" s="84">
        <v>46806</v>
      </c>
      <c r="B1155" s="85">
        <v>2028</v>
      </c>
      <c r="C1155" s="85">
        <v>2</v>
      </c>
      <c r="D1155" s="85" t="s">
        <v>58</v>
      </c>
      <c r="E1155" s="85">
        <v>23</v>
      </c>
      <c r="F1155" s="85">
        <v>3</v>
      </c>
      <c r="G1155" s="85">
        <f>--(F1155&lt;=Estimator!$B$7)</f>
        <v>1</v>
      </c>
      <c r="H1155" s="86">
        <f>SUMIFS('Climate Data'!$G$7:$G$366,'Climate Data'!$A$7:$A$366,Estimator!$B$4,'Climate Data'!$B$7:$B$366,C1155)</f>
        <v>0.18867924528301885</v>
      </c>
      <c r="I1155" s="87">
        <f>SUMIFS('Climate Data'!$H$7:$H$366,'Climate Data'!$A$7:$A$366,Estimator!$B$4,'Climate Data'!$B$7:$B$366,C1155)</f>
        <v>7.4624999999999995</v>
      </c>
      <c r="J1155" s="86">
        <f>SUMIFS('Wind Proxy'!$H$8:$H$19,'Wind Proxy'!$A$8:$A$19,Estimator!$B$4,'Wind Proxy'!$B$8:$B$19,C1155)</f>
        <v>0</v>
      </c>
    </row>
    <row r="1156" spans="1:10" ht="14.4">
      <c r="A1156" s="84">
        <v>46807</v>
      </c>
      <c r="B1156" s="85">
        <v>2028</v>
      </c>
      <c r="C1156" s="85">
        <v>2</v>
      </c>
      <c r="D1156" s="85" t="s">
        <v>58</v>
      </c>
      <c r="E1156" s="85">
        <v>24</v>
      </c>
      <c r="F1156" s="85">
        <v>4</v>
      </c>
      <c r="G1156" s="85">
        <f>--(F1156&lt;=Estimator!$B$7)</f>
        <v>1</v>
      </c>
      <c r="H1156" s="86">
        <f>SUMIFS('Climate Data'!$G$7:$G$366,'Climate Data'!$A$7:$A$366,Estimator!$B$4,'Climate Data'!$B$7:$B$366,C1156)</f>
        <v>0.18867924528301885</v>
      </c>
      <c r="I1156" s="87">
        <f>SUMIFS('Climate Data'!$H$7:$H$366,'Climate Data'!$A$7:$A$366,Estimator!$B$4,'Climate Data'!$B$7:$B$366,C1156)</f>
        <v>7.4624999999999995</v>
      </c>
      <c r="J1156" s="86">
        <f>SUMIFS('Wind Proxy'!$H$8:$H$19,'Wind Proxy'!$A$8:$A$19,Estimator!$B$4,'Wind Proxy'!$B$8:$B$19,C1156)</f>
        <v>0</v>
      </c>
    </row>
    <row r="1157" spans="1:10" ht="14.4">
      <c r="A1157" s="84">
        <v>46808</v>
      </c>
      <c r="B1157" s="85">
        <v>2028</v>
      </c>
      <c r="C1157" s="85">
        <v>2</v>
      </c>
      <c r="D1157" s="85" t="s">
        <v>58</v>
      </c>
      <c r="E1157" s="85">
        <v>25</v>
      </c>
      <c r="F1157" s="85">
        <v>5</v>
      </c>
      <c r="G1157" s="85">
        <f>--(F1157&lt;=Estimator!$B$7)</f>
        <v>1</v>
      </c>
      <c r="H1157" s="86">
        <f>SUMIFS('Climate Data'!$G$7:$G$366,'Climate Data'!$A$7:$A$366,Estimator!$B$4,'Climate Data'!$B$7:$B$366,C1157)</f>
        <v>0.18867924528301885</v>
      </c>
      <c r="I1157" s="87">
        <f>SUMIFS('Climate Data'!$H$7:$H$366,'Climate Data'!$A$7:$A$366,Estimator!$B$4,'Climate Data'!$B$7:$B$366,C1157)</f>
        <v>7.4624999999999995</v>
      </c>
      <c r="J1157" s="86">
        <f>SUMIFS('Wind Proxy'!$H$8:$H$19,'Wind Proxy'!$A$8:$A$19,Estimator!$B$4,'Wind Proxy'!$B$8:$B$19,C1157)</f>
        <v>0</v>
      </c>
    </row>
    <row r="1158" spans="1:10" ht="14.4">
      <c r="A1158" s="84">
        <v>46809</v>
      </c>
      <c r="B1158" s="85">
        <v>2028</v>
      </c>
      <c r="C1158" s="85">
        <v>2</v>
      </c>
      <c r="D1158" s="85" t="s">
        <v>58</v>
      </c>
      <c r="E1158" s="85">
        <v>26</v>
      </c>
      <c r="F1158" s="85">
        <v>6</v>
      </c>
      <c r="G1158" s="85">
        <f>--(F1158&lt;=Estimator!$B$7)</f>
        <v>0</v>
      </c>
      <c r="H1158" s="86">
        <f>SUMIFS('Climate Data'!$G$7:$G$366,'Climate Data'!$A$7:$A$366,Estimator!$B$4,'Climate Data'!$B$7:$B$366,C1158)</f>
        <v>0.18867924528301885</v>
      </c>
      <c r="I1158" s="87">
        <f>SUMIFS('Climate Data'!$H$7:$H$366,'Climate Data'!$A$7:$A$366,Estimator!$B$4,'Climate Data'!$B$7:$B$366,C1158)</f>
        <v>7.4624999999999995</v>
      </c>
      <c r="J1158" s="86">
        <f>SUMIFS('Wind Proxy'!$H$8:$H$19,'Wind Proxy'!$A$8:$A$19,Estimator!$B$4,'Wind Proxy'!$B$8:$B$19,C1158)</f>
        <v>0</v>
      </c>
    </row>
    <row r="1159" spans="1:10" ht="14.4">
      <c r="A1159" s="84">
        <v>46810</v>
      </c>
      <c r="B1159" s="85">
        <v>2028</v>
      </c>
      <c r="C1159" s="85">
        <v>2</v>
      </c>
      <c r="D1159" s="85" t="s">
        <v>58</v>
      </c>
      <c r="E1159" s="85">
        <v>27</v>
      </c>
      <c r="F1159" s="85">
        <v>7</v>
      </c>
      <c r="G1159" s="85">
        <f>--(F1159&lt;=Estimator!$B$7)</f>
        <v>0</v>
      </c>
      <c r="H1159" s="86">
        <f>SUMIFS('Climate Data'!$G$7:$G$366,'Climate Data'!$A$7:$A$366,Estimator!$B$4,'Climate Data'!$B$7:$B$366,C1159)</f>
        <v>0.18867924528301885</v>
      </c>
      <c r="I1159" s="87">
        <f>SUMIFS('Climate Data'!$H$7:$H$366,'Climate Data'!$A$7:$A$366,Estimator!$B$4,'Climate Data'!$B$7:$B$366,C1159)</f>
        <v>7.4624999999999995</v>
      </c>
      <c r="J1159" s="86">
        <f>SUMIFS('Wind Proxy'!$H$8:$H$19,'Wind Proxy'!$A$8:$A$19,Estimator!$B$4,'Wind Proxy'!$B$8:$B$19,C1159)</f>
        <v>0</v>
      </c>
    </row>
    <row r="1160" spans="1:10" ht="14.4">
      <c r="A1160" s="84">
        <v>46811</v>
      </c>
      <c r="B1160" s="85">
        <v>2028</v>
      </c>
      <c r="C1160" s="85">
        <v>2</v>
      </c>
      <c r="D1160" s="85" t="s">
        <v>58</v>
      </c>
      <c r="E1160" s="85">
        <v>28</v>
      </c>
      <c r="F1160" s="85">
        <v>1</v>
      </c>
      <c r="G1160" s="85">
        <f>--(F1160&lt;=Estimator!$B$7)</f>
        <v>1</v>
      </c>
      <c r="H1160" s="86">
        <f>SUMIFS('Climate Data'!$G$7:$G$366,'Climate Data'!$A$7:$A$366,Estimator!$B$4,'Climate Data'!$B$7:$B$366,C1160)</f>
        <v>0.18867924528301885</v>
      </c>
      <c r="I1160" s="87">
        <f>SUMIFS('Climate Data'!$H$7:$H$366,'Climate Data'!$A$7:$A$366,Estimator!$B$4,'Climate Data'!$B$7:$B$366,C1160)</f>
        <v>7.4624999999999995</v>
      </c>
      <c r="J1160" s="86">
        <f>SUMIFS('Wind Proxy'!$H$8:$H$19,'Wind Proxy'!$A$8:$A$19,Estimator!$B$4,'Wind Proxy'!$B$8:$B$19,C1160)</f>
        <v>0</v>
      </c>
    </row>
    <row r="1161" spans="1:10" ht="14.4">
      <c r="A1161" s="84">
        <v>46812</v>
      </c>
      <c r="B1161" s="85">
        <v>2028</v>
      </c>
      <c r="C1161" s="85">
        <v>2</v>
      </c>
      <c r="D1161" s="85" t="s">
        <v>58</v>
      </c>
      <c r="E1161" s="85">
        <v>29</v>
      </c>
      <c r="F1161" s="85">
        <v>2</v>
      </c>
      <c r="G1161" s="85">
        <f>--(F1161&lt;=Estimator!$B$7)</f>
        <v>1</v>
      </c>
      <c r="H1161" s="86">
        <f>SUMIFS('Climate Data'!$G$7:$G$366,'Climate Data'!$A$7:$A$366,Estimator!$B$4,'Climate Data'!$B$7:$B$366,C1161)</f>
        <v>0.18867924528301885</v>
      </c>
      <c r="I1161" s="87">
        <f>SUMIFS('Climate Data'!$H$7:$H$366,'Climate Data'!$A$7:$A$366,Estimator!$B$4,'Climate Data'!$B$7:$B$366,C1161)</f>
        <v>7.4624999999999995</v>
      </c>
      <c r="J1161" s="86">
        <f>SUMIFS('Wind Proxy'!$H$8:$H$19,'Wind Proxy'!$A$8:$A$19,Estimator!$B$4,'Wind Proxy'!$B$8:$B$19,C1161)</f>
        <v>0</v>
      </c>
    </row>
    <row r="1162" spans="1:10" ht="14.4">
      <c r="A1162" s="84">
        <v>46813</v>
      </c>
      <c r="B1162" s="85">
        <v>2028</v>
      </c>
      <c r="C1162" s="85">
        <v>3</v>
      </c>
      <c r="D1162" s="85" t="s">
        <v>60</v>
      </c>
      <c r="E1162" s="85">
        <v>1</v>
      </c>
      <c r="F1162" s="85">
        <v>3</v>
      </c>
      <c r="G1162" s="85">
        <f>--(F1162&lt;=Estimator!$B$7)</f>
        <v>1</v>
      </c>
      <c r="H1162" s="86">
        <f>SUMIFS('Climate Data'!$G$7:$G$366,'Climate Data'!$A$7:$A$366,Estimator!$B$4,'Climate Data'!$B$7:$B$366,C1162)</f>
        <v>0.18494623655913978</v>
      </c>
      <c r="I1162" s="87">
        <f>SUMIFS('Climate Data'!$H$7:$H$366,'Climate Data'!$A$7:$A$366,Estimator!$B$4,'Climate Data'!$B$7:$B$366,C1162)</f>
        <v>7.8662790697674421</v>
      </c>
      <c r="J1162" s="86">
        <f>SUMIFS('Wind Proxy'!$H$8:$H$19,'Wind Proxy'!$A$8:$A$19,Estimator!$B$4,'Wind Proxy'!$B$8:$B$19,C1162)</f>
        <v>0</v>
      </c>
    </row>
    <row r="1163" spans="1:10" ht="14.4">
      <c r="A1163" s="84">
        <v>46814</v>
      </c>
      <c r="B1163" s="85">
        <v>2028</v>
      </c>
      <c r="C1163" s="85">
        <v>3</v>
      </c>
      <c r="D1163" s="85" t="s">
        <v>60</v>
      </c>
      <c r="E1163" s="85">
        <v>2</v>
      </c>
      <c r="F1163" s="85">
        <v>4</v>
      </c>
      <c r="G1163" s="85">
        <f>--(F1163&lt;=Estimator!$B$7)</f>
        <v>1</v>
      </c>
      <c r="H1163" s="86">
        <f>SUMIFS('Climate Data'!$G$7:$G$366,'Climate Data'!$A$7:$A$366,Estimator!$B$4,'Climate Data'!$B$7:$B$366,C1163)</f>
        <v>0.18494623655913978</v>
      </c>
      <c r="I1163" s="87">
        <f>SUMIFS('Climate Data'!$H$7:$H$366,'Climate Data'!$A$7:$A$366,Estimator!$B$4,'Climate Data'!$B$7:$B$366,C1163)</f>
        <v>7.8662790697674421</v>
      </c>
      <c r="J1163" s="86">
        <f>SUMIFS('Wind Proxy'!$H$8:$H$19,'Wind Proxy'!$A$8:$A$19,Estimator!$B$4,'Wind Proxy'!$B$8:$B$19,C1163)</f>
        <v>0</v>
      </c>
    </row>
    <row r="1164" spans="1:10" ht="14.4">
      <c r="A1164" s="84">
        <v>46815</v>
      </c>
      <c r="B1164" s="85">
        <v>2028</v>
      </c>
      <c r="C1164" s="85">
        <v>3</v>
      </c>
      <c r="D1164" s="85" t="s">
        <v>60</v>
      </c>
      <c r="E1164" s="85">
        <v>3</v>
      </c>
      <c r="F1164" s="85">
        <v>5</v>
      </c>
      <c r="G1164" s="85">
        <f>--(F1164&lt;=Estimator!$B$7)</f>
        <v>1</v>
      </c>
      <c r="H1164" s="86">
        <f>SUMIFS('Climate Data'!$G$7:$G$366,'Climate Data'!$A$7:$A$366,Estimator!$B$4,'Climate Data'!$B$7:$B$366,C1164)</f>
        <v>0.18494623655913978</v>
      </c>
      <c r="I1164" s="87">
        <f>SUMIFS('Climate Data'!$H$7:$H$366,'Climate Data'!$A$7:$A$366,Estimator!$B$4,'Climate Data'!$B$7:$B$366,C1164)</f>
        <v>7.8662790697674421</v>
      </c>
      <c r="J1164" s="86">
        <f>SUMIFS('Wind Proxy'!$H$8:$H$19,'Wind Proxy'!$A$8:$A$19,Estimator!$B$4,'Wind Proxy'!$B$8:$B$19,C1164)</f>
        <v>0</v>
      </c>
    </row>
    <row r="1165" spans="1:10" ht="14.4">
      <c r="A1165" s="84">
        <v>46816</v>
      </c>
      <c r="B1165" s="85">
        <v>2028</v>
      </c>
      <c r="C1165" s="85">
        <v>3</v>
      </c>
      <c r="D1165" s="85" t="s">
        <v>60</v>
      </c>
      <c r="E1165" s="85">
        <v>4</v>
      </c>
      <c r="F1165" s="85">
        <v>6</v>
      </c>
      <c r="G1165" s="85">
        <f>--(F1165&lt;=Estimator!$B$7)</f>
        <v>0</v>
      </c>
      <c r="H1165" s="86">
        <f>SUMIFS('Climate Data'!$G$7:$G$366,'Climate Data'!$A$7:$A$366,Estimator!$B$4,'Climate Data'!$B$7:$B$366,C1165)</f>
        <v>0.18494623655913978</v>
      </c>
      <c r="I1165" s="87">
        <f>SUMIFS('Climate Data'!$H$7:$H$366,'Climate Data'!$A$7:$A$366,Estimator!$B$4,'Climate Data'!$B$7:$B$366,C1165)</f>
        <v>7.8662790697674421</v>
      </c>
      <c r="J1165" s="86">
        <f>SUMIFS('Wind Proxy'!$H$8:$H$19,'Wind Proxy'!$A$8:$A$19,Estimator!$B$4,'Wind Proxy'!$B$8:$B$19,C1165)</f>
        <v>0</v>
      </c>
    </row>
    <row r="1166" spans="1:10" ht="14.4">
      <c r="A1166" s="84">
        <v>46817</v>
      </c>
      <c r="B1166" s="85">
        <v>2028</v>
      </c>
      <c r="C1166" s="85">
        <v>3</v>
      </c>
      <c r="D1166" s="85" t="s">
        <v>60</v>
      </c>
      <c r="E1166" s="85">
        <v>5</v>
      </c>
      <c r="F1166" s="85">
        <v>7</v>
      </c>
      <c r="G1166" s="85">
        <f>--(F1166&lt;=Estimator!$B$7)</f>
        <v>0</v>
      </c>
      <c r="H1166" s="86">
        <f>SUMIFS('Climate Data'!$G$7:$G$366,'Climate Data'!$A$7:$A$366,Estimator!$B$4,'Climate Data'!$B$7:$B$366,C1166)</f>
        <v>0.18494623655913978</v>
      </c>
      <c r="I1166" s="87">
        <f>SUMIFS('Climate Data'!$H$7:$H$366,'Climate Data'!$A$7:$A$366,Estimator!$B$4,'Climate Data'!$B$7:$B$366,C1166)</f>
        <v>7.8662790697674421</v>
      </c>
      <c r="J1166" s="86">
        <f>SUMIFS('Wind Proxy'!$H$8:$H$19,'Wind Proxy'!$A$8:$A$19,Estimator!$B$4,'Wind Proxy'!$B$8:$B$19,C1166)</f>
        <v>0</v>
      </c>
    </row>
    <row r="1167" spans="1:10" ht="14.4">
      <c r="A1167" s="84">
        <v>46818</v>
      </c>
      <c r="B1167" s="85">
        <v>2028</v>
      </c>
      <c r="C1167" s="85">
        <v>3</v>
      </c>
      <c r="D1167" s="85" t="s">
        <v>60</v>
      </c>
      <c r="E1167" s="85">
        <v>6</v>
      </c>
      <c r="F1167" s="85">
        <v>1</v>
      </c>
      <c r="G1167" s="85">
        <f>--(F1167&lt;=Estimator!$B$7)</f>
        <v>1</v>
      </c>
      <c r="H1167" s="86">
        <f>SUMIFS('Climate Data'!$G$7:$G$366,'Climate Data'!$A$7:$A$366,Estimator!$B$4,'Climate Data'!$B$7:$B$366,C1167)</f>
        <v>0.18494623655913978</v>
      </c>
      <c r="I1167" s="87">
        <f>SUMIFS('Climate Data'!$H$7:$H$366,'Climate Data'!$A$7:$A$366,Estimator!$B$4,'Climate Data'!$B$7:$B$366,C1167)</f>
        <v>7.8662790697674421</v>
      </c>
      <c r="J1167" s="86">
        <f>SUMIFS('Wind Proxy'!$H$8:$H$19,'Wind Proxy'!$A$8:$A$19,Estimator!$B$4,'Wind Proxy'!$B$8:$B$19,C1167)</f>
        <v>0</v>
      </c>
    </row>
    <row r="1168" spans="1:10" ht="14.4">
      <c r="A1168" s="84">
        <v>46819</v>
      </c>
      <c r="B1168" s="85">
        <v>2028</v>
      </c>
      <c r="C1168" s="85">
        <v>3</v>
      </c>
      <c r="D1168" s="85" t="s">
        <v>60</v>
      </c>
      <c r="E1168" s="85">
        <v>7</v>
      </c>
      <c r="F1168" s="85">
        <v>2</v>
      </c>
      <c r="G1168" s="85">
        <f>--(F1168&lt;=Estimator!$B$7)</f>
        <v>1</v>
      </c>
      <c r="H1168" s="86">
        <f>SUMIFS('Climate Data'!$G$7:$G$366,'Climate Data'!$A$7:$A$366,Estimator!$B$4,'Climate Data'!$B$7:$B$366,C1168)</f>
        <v>0.18494623655913978</v>
      </c>
      <c r="I1168" s="87">
        <f>SUMIFS('Climate Data'!$H$7:$H$366,'Climate Data'!$A$7:$A$366,Estimator!$B$4,'Climate Data'!$B$7:$B$366,C1168)</f>
        <v>7.8662790697674421</v>
      </c>
      <c r="J1168" s="86">
        <f>SUMIFS('Wind Proxy'!$H$8:$H$19,'Wind Proxy'!$A$8:$A$19,Estimator!$B$4,'Wind Proxy'!$B$8:$B$19,C1168)</f>
        <v>0</v>
      </c>
    </row>
    <row r="1169" spans="1:10" ht="14.4">
      <c r="A1169" s="84">
        <v>46820</v>
      </c>
      <c r="B1169" s="85">
        <v>2028</v>
      </c>
      <c r="C1169" s="85">
        <v>3</v>
      </c>
      <c r="D1169" s="85" t="s">
        <v>60</v>
      </c>
      <c r="E1169" s="85">
        <v>8</v>
      </c>
      <c r="F1169" s="85">
        <v>3</v>
      </c>
      <c r="G1169" s="85">
        <f>--(F1169&lt;=Estimator!$B$7)</f>
        <v>1</v>
      </c>
      <c r="H1169" s="86">
        <f>SUMIFS('Climate Data'!$G$7:$G$366,'Climate Data'!$A$7:$A$366,Estimator!$B$4,'Climate Data'!$B$7:$B$366,C1169)</f>
        <v>0.18494623655913978</v>
      </c>
      <c r="I1169" s="87">
        <f>SUMIFS('Climate Data'!$H$7:$H$366,'Climate Data'!$A$7:$A$366,Estimator!$B$4,'Climate Data'!$B$7:$B$366,C1169)</f>
        <v>7.8662790697674421</v>
      </c>
      <c r="J1169" s="86">
        <f>SUMIFS('Wind Proxy'!$H$8:$H$19,'Wind Proxy'!$A$8:$A$19,Estimator!$B$4,'Wind Proxy'!$B$8:$B$19,C1169)</f>
        <v>0</v>
      </c>
    </row>
    <row r="1170" spans="1:10" ht="14.4">
      <c r="A1170" s="84">
        <v>46821</v>
      </c>
      <c r="B1170" s="85">
        <v>2028</v>
      </c>
      <c r="C1170" s="85">
        <v>3</v>
      </c>
      <c r="D1170" s="85" t="s">
        <v>60</v>
      </c>
      <c r="E1170" s="85">
        <v>9</v>
      </c>
      <c r="F1170" s="85">
        <v>4</v>
      </c>
      <c r="G1170" s="85">
        <f>--(F1170&lt;=Estimator!$B$7)</f>
        <v>1</v>
      </c>
      <c r="H1170" s="86">
        <f>SUMIFS('Climate Data'!$G$7:$G$366,'Climate Data'!$A$7:$A$366,Estimator!$B$4,'Climate Data'!$B$7:$B$366,C1170)</f>
        <v>0.18494623655913978</v>
      </c>
      <c r="I1170" s="87">
        <f>SUMIFS('Climate Data'!$H$7:$H$366,'Climate Data'!$A$7:$A$366,Estimator!$B$4,'Climate Data'!$B$7:$B$366,C1170)</f>
        <v>7.8662790697674421</v>
      </c>
      <c r="J1170" s="86">
        <f>SUMIFS('Wind Proxy'!$H$8:$H$19,'Wind Proxy'!$A$8:$A$19,Estimator!$B$4,'Wind Proxy'!$B$8:$B$19,C1170)</f>
        <v>0</v>
      </c>
    </row>
    <row r="1171" spans="1:10" ht="14.4">
      <c r="A1171" s="84">
        <v>46822</v>
      </c>
      <c r="B1171" s="85">
        <v>2028</v>
      </c>
      <c r="C1171" s="85">
        <v>3</v>
      </c>
      <c r="D1171" s="85" t="s">
        <v>60</v>
      </c>
      <c r="E1171" s="85">
        <v>10</v>
      </c>
      <c r="F1171" s="85">
        <v>5</v>
      </c>
      <c r="G1171" s="85">
        <f>--(F1171&lt;=Estimator!$B$7)</f>
        <v>1</v>
      </c>
      <c r="H1171" s="86">
        <f>SUMIFS('Climate Data'!$G$7:$G$366,'Climate Data'!$A$7:$A$366,Estimator!$B$4,'Climate Data'!$B$7:$B$366,C1171)</f>
        <v>0.18494623655913978</v>
      </c>
      <c r="I1171" s="87">
        <f>SUMIFS('Climate Data'!$H$7:$H$366,'Climate Data'!$A$7:$A$366,Estimator!$B$4,'Climate Data'!$B$7:$B$366,C1171)</f>
        <v>7.8662790697674421</v>
      </c>
      <c r="J1171" s="86">
        <f>SUMIFS('Wind Proxy'!$H$8:$H$19,'Wind Proxy'!$A$8:$A$19,Estimator!$B$4,'Wind Proxy'!$B$8:$B$19,C1171)</f>
        <v>0</v>
      </c>
    </row>
    <row r="1172" spans="1:10" ht="14.4">
      <c r="A1172" s="84">
        <v>46823</v>
      </c>
      <c r="B1172" s="85">
        <v>2028</v>
      </c>
      <c r="C1172" s="85">
        <v>3</v>
      </c>
      <c r="D1172" s="85" t="s">
        <v>60</v>
      </c>
      <c r="E1172" s="85">
        <v>11</v>
      </c>
      <c r="F1172" s="85">
        <v>6</v>
      </c>
      <c r="G1172" s="85">
        <f>--(F1172&lt;=Estimator!$B$7)</f>
        <v>0</v>
      </c>
      <c r="H1172" s="86">
        <f>SUMIFS('Climate Data'!$G$7:$G$366,'Climate Data'!$A$7:$A$366,Estimator!$B$4,'Climate Data'!$B$7:$B$366,C1172)</f>
        <v>0.18494623655913978</v>
      </c>
      <c r="I1172" s="87">
        <f>SUMIFS('Climate Data'!$H$7:$H$366,'Climate Data'!$A$7:$A$366,Estimator!$B$4,'Climate Data'!$B$7:$B$366,C1172)</f>
        <v>7.8662790697674421</v>
      </c>
      <c r="J1172" s="86">
        <f>SUMIFS('Wind Proxy'!$H$8:$H$19,'Wind Proxy'!$A$8:$A$19,Estimator!$B$4,'Wind Proxy'!$B$8:$B$19,C1172)</f>
        <v>0</v>
      </c>
    </row>
    <row r="1173" spans="1:10" ht="14.4">
      <c r="A1173" s="84">
        <v>46824</v>
      </c>
      <c r="B1173" s="85">
        <v>2028</v>
      </c>
      <c r="C1173" s="85">
        <v>3</v>
      </c>
      <c r="D1173" s="85" t="s">
        <v>60</v>
      </c>
      <c r="E1173" s="85">
        <v>12</v>
      </c>
      <c r="F1173" s="85">
        <v>7</v>
      </c>
      <c r="G1173" s="85">
        <f>--(F1173&lt;=Estimator!$B$7)</f>
        <v>0</v>
      </c>
      <c r="H1173" s="86">
        <f>SUMIFS('Climate Data'!$G$7:$G$366,'Climate Data'!$A$7:$A$366,Estimator!$B$4,'Climate Data'!$B$7:$B$366,C1173)</f>
        <v>0.18494623655913978</v>
      </c>
      <c r="I1173" s="87">
        <f>SUMIFS('Climate Data'!$H$7:$H$366,'Climate Data'!$A$7:$A$366,Estimator!$B$4,'Climate Data'!$B$7:$B$366,C1173)</f>
        <v>7.8662790697674421</v>
      </c>
      <c r="J1173" s="86">
        <f>SUMIFS('Wind Proxy'!$H$8:$H$19,'Wind Proxy'!$A$8:$A$19,Estimator!$B$4,'Wind Proxy'!$B$8:$B$19,C1173)</f>
        <v>0</v>
      </c>
    </row>
    <row r="1174" spans="1:10" ht="14.4">
      <c r="A1174" s="84">
        <v>46825</v>
      </c>
      <c r="B1174" s="85">
        <v>2028</v>
      </c>
      <c r="C1174" s="85">
        <v>3</v>
      </c>
      <c r="D1174" s="85" t="s">
        <v>60</v>
      </c>
      <c r="E1174" s="85">
        <v>13</v>
      </c>
      <c r="F1174" s="85">
        <v>1</v>
      </c>
      <c r="G1174" s="85">
        <f>--(F1174&lt;=Estimator!$B$7)</f>
        <v>1</v>
      </c>
      <c r="H1174" s="86">
        <f>SUMIFS('Climate Data'!$G$7:$G$366,'Climate Data'!$A$7:$A$366,Estimator!$B$4,'Climate Data'!$B$7:$B$366,C1174)</f>
        <v>0.18494623655913978</v>
      </c>
      <c r="I1174" s="87">
        <f>SUMIFS('Climate Data'!$H$7:$H$366,'Climate Data'!$A$7:$A$366,Estimator!$B$4,'Climate Data'!$B$7:$B$366,C1174)</f>
        <v>7.8662790697674421</v>
      </c>
      <c r="J1174" s="86">
        <f>SUMIFS('Wind Proxy'!$H$8:$H$19,'Wind Proxy'!$A$8:$A$19,Estimator!$B$4,'Wind Proxy'!$B$8:$B$19,C1174)</f>
        <v>0</v>
      </c>
    </row>
    <row r="1175" spans="1:10" ht="14.4">
      <c r="A1175" s="84">
        <v>46826</v>
      </c>
      <c r="B1175" s="85">
        <v>2028</v>
      </c>
      <c r="C1175" s="85">
        <v>3</v>
      </c>
      <c r="D1175" s="85" t="s">
        <v>60</v>
      </c>
      <c r="E1175" s="85">
        <v>14</v>
      </c>
      <c r="F1175" s="85">
        <v>2</v>
      </c>
      <c r="G1175" s="85">
        <f>--(F1175&lt;=Estimator!$B$7)</f>
        <v>1</v>
      </c>
      <c r="H1175" s="86">
        <f>SUMIFS('Climate Data'!$G$7:$G$366,'Climate Data'!$A$7:$A$366,Estimator!$B$4,'Climate Data'!$B$7:$B$366,C1175)</f>
        <v>0.18494623655913978</v>
      </c>
      <c r="I1175" s="87">
        <f>SUMIFS('Climate Data'!$H$7:$H$366,'Climate Data'!$A$7:$A$366,Estimator!$B$4,'Climate Data'!$B$7:$B$366,C1175)</f>
        <v>7.8662790697674421</v>
      </c>
      <c r="J1175" s="86">
        <f>SUMIFS('Wind Proxy'!$H$8:$H$19,'Wind Proxy'!$A$8:$A$19,Estimator!$B$4,'Wind Proxy'!$B$8:$B$19,C1175)</f>
        <v>0</v>
      </c>
    </row>
    <row r="1176" spans="1:10" ht="14.4">
      <c r="A1176" s="84">
        <v>46827</v>
      </c>
      <c r="B1176" s="85">
        <v>2028</v>
      </c>
      <c r="C1176" s="85">
        <v>3</v>
      </c>
      <c r="D1176" s="85" t="s">
        <v>60</v>
      </c>
      <c r="E1176" s="85">
        <v>15</v>
      </c>
      <c r="F1176" s="85">
        <v>3</v>
      </c>
      <c r="G1176" s="85">
        <f>--(F1176&lt;=Estimator!$B$7)</f>
        <v>1</v>
      </c>
      <c r="H1176" s="86">
        <f>SUMIFS('Climate Data'!$G$7:$G$366,'Climate Data'!$A$7:$A$366,Estimator!$B$4,'Climate Data'!$B$7:$B$366,C1176)</f>
        <v>0.18494623655913978</v>
      </c>
      <c r="I1176" s="87">
        <f>SUMIFS('Climate Data'!$H$7:$H$366,'Climate Data'!$A$7:$A$366,Estimator!$B$4,'Climate Data'!$B$7:$B$366,C1176)</f>
        <v>7.8662790697674421</v>
      </c>
      <c r="J1176" s="86">
        <f>SUMIFS('Wind Proxy'!$H$8:$H$19,'Wind Proxy'!$A$8:$A$19,Estimator!$B$4,'Wind Proxy'!$B$8:$B$19,C1176)</f>
        <v>0</v>
      </c>
    </row>
    <row r="1177" spans="1:10" ht="14.4">
      <c r="A1177" s="84">
        <v>46828</v>
      </c>
      <c r="B1177" s="85">
        <v>2028</v>
      </c>
      <c r="C1177" s="85">
        <v>3</v>
      </c>
      <c r="D1177" s="85" t="s">
        <v>60</v>
      </c>
      <c r="E1177" s="85">
        <v>16</v>
      </c>
      <c r="F1177" s="85">
        <v>4</v>
      </c>
      <c r="G1177" s="85">
        <f>--(F1177&lt;=Estimator!$B$7)</f>
        <v>1</v>
      </c>
      <c r="H1177" s="86">
        <f>SUMIFS('Climate Data'!$G$7:$G$366,'Climate Data'!$A$7:$A$366,Estimator!$B$4,'Climate Data'!$B$7:$B$366,C1177)</f>
        <v>0.18494623655913978</v>
      </c>
      <c r="I1177" s="87">
        <f>SUMIFS('Climate Data'!$H$7:$H$366,'Climate Data'!$A$7:$A$366,Estimator!$B$4,'Climate Data'!$B$7:$B$366,C1177)</f>
        <v>7.8662790697674421</v>
      </c>
      <c r="J1177" s="86">
        <f>SUMIFS('Wind Proxy'!$H$8:$H$19,'Wind Proxy'!$A$8:$A$19,Estimator!$B$4,'Wind Proxy'!$B$8:$B$19,C1177)</f>
        <v>0</v>
      </c>
    </row>
    <row r="1178" spans="1:10" ht="14.4">
      <c r="A1178" s="84">
        <v>46829</v>
      </c>
      <c r="B1178" s="85">
        <v>2028</v>
      </c>
      <c r="C1178" s="85">
        <v>3</v>
      </c>
      <c r="D1178" s="85" t="s">
        <v>60</v>
      </c>
      <c r="E1178" s="85">
        <v>17</v>
      </c>
      <c r="F1178" s="85">
        <v>5</v>
      </c>
      <c r="G1178" s="85">
        <f>--(F1178&lt;=Estimator!$B$7)</f>
        <v>1</v>
      </c>
      <c r="H1178" s="86">
        <f>SUMIFS('Climate Data'!$G$7:$G$366,'Climate Data'!$A$7:$A$366,Estimator!$B$4,'Climate Data'!$B$7:$B$366,C1178)</f>
        <v>0.18494623655913978</v>
      </c>
      <c r="I1178" s="87">
        <f>SUMIFS('Climate Data'!$H$7:$H$366,'Climate Data'!$A$7:$A$366,Estimator!$B$4,'Climate Data'!$B$7:$B$366,C1178)</f>
        <v>7.8662790697674421</v>
      </c>
      <c r="J1178" s="86">
        <f>SUMIFS('Wind Proxy'!$H$8:$H$19,'Wind Proxy'!$A$8:$A$19,Estimator!$B$4,'Wind Proxy'!$B$8:$B$19,C1178)</f>
        <v>0</v>
      </c>
    </row>
    <row r="1179" spans="1:10" ht="14.4">
      <c r="A1179" s="84">
        <v>46830</v>
      </c>
      <c r="B1179" s="85">
        <v>2028</v>
      </c>
      <c r="C1179" s="85">
        <v>3</v>
      </c>
      <c r="D1179" s="85" t="s">
        <v>60</v>
      </c>
      <c r="E1179" s="85">
        <v>18</v>
      </c>
      <c r="F1179" s="85">
        <v>6</v>
      </c>
      <c r="G1179" s="85">
        <f>--(F1179&lt;=Estimator!$B$7)</f>
        <v>0</v>
      </c>
      <c r="H1179" s="86">
        <f>SUMIFS('Climate Data'!$G$7:$G$366,'Climate Data'!$A$7:$A$366,Estimator!$B$4,'Climate Data'!$B$7:$B$366,C1179)</f>
        <v>0.18494623655913978</v>
      </c>
      <c r="I1179" s="87">
        <f>SUMIFS('Climate Data'!$H$7:$H$366,'Climate Data'!$A$7:$A$366,Estimator!$B$4,'Climate Data'!$B$7:$B$366,C1179)</f>
        <v>7.8662790697674421</v>
      </c>
      <c r="J1179" s="86">
        <f>SUMIFS('Wind Proxy'!$H$8:$H$19,'Wind Proxy'!$A$8:$A$19,Estimator!$B$4,'Wind Proxy'!$B$8:$B$19,C1179)</f>
        <v>0</v>
      </c>
    </row>
    <row r="1180" spans="1:10" ht="14.4">
      <c r="A1180" s="84">
        <v>46831</v>
      </c>
      <c r="B1180" s="85">
        <v>2028</v>
      </c>
      <c r="C1180" s="85">
        <v>3</v>
      </c>
      <c r="D1180" s="85" t="s">
        <v>60</v>
      </c>
      <c r="E1180" s="85">
        <v>19</v>
      </c>
      <c r="F1180" s="85">
        <v>7</v>
      </c>
      <c r="G1180" s="85">
        <f>--(F1180&lt;=Estimator!$B$7)</f>
        <v>0</v>
      </c>
      <c r="H1180" s="86">
        <f>SUMIFS('Climate Data'!$G$7:$G$366,'Climate Data'!$A$7:$A$366,Estimator!$B$4,'Climate Data'!$B$7:$B$366,C1180)</f>
        <v>0.18494623655913978</v>
      </c>
      <c r="I1180" s="87">
        <f>SUMIFS('Climate Data'!$H$7:$H$366,'Climate Data'!$A$7:$A$366,Estimator!$B$4,'Climate Data'!$B$7:$B$366,C1180)</f>
        <v>7.8662790697674421</v>
      </c>
      <c r="J1180" s="86">
        <f>SUMIFS('Wind Proxy'!$H$8:$H$19,'Wind Proxy'!$A$8:$A$19,Estimator!$B$4,'Wind Proxy'!$B$8:$B$19,C1180)</f>
        <v>0</v>
      </c>
    </row>
    <row r="1181" spans="1:10" ht="14.4">
      <c r="A1181" s="84">
        <v>46832</v>
      </c>
      <c r="B1181" s="85">
        <v>2028</v>
      </c>
      <c r="C1181" s="85">
        <v>3</v>
      </c>
      <c r="D1181" s="85" t="s">
        <v>60</v>
      </c>
      <c r="E1181" s="85">
        <v>20</v>
      </c>
      <c r="F1181" s="85">
        <v>1</v>
      </c>
      <c r="G1181" s="85">
        <f>--(F1181&lt;=Estimator!$B$7)</f>
        <v>1</v>
      </c>
      <c r="H1181" s="86">
        <f>SUMIFS('Climate Data'!$G$7:$G$366,'Climate Data'!$A$7:$A$366,Estimator!$B$4,'Climate Data'!$B$7:$B$366,C1181)</f>
        <v>0.18494623655913978</v>
      </c>
      <c r="I1181" s="87">
        <f>SUMIFS('Climate Data'!$H$7:$H$366,'Climate Data'!$A$7:$A$366,Estimator!$B$4,'Climate Data'!$B$7:$B$366,C1181)</f>
        <v>7.8662790697674421</v>
      </c>
      <c r="J1181" s="86">
        <f>SUMIFS('Wind Proxy'!$H$8:$H$19,'Wind Proxy'!$A$8:$A$19,Estimator!$B$4,'Wind Proxy'!$B$8:$B$19,C1181)</f>
        <v>0</v>
      </c>
    </row>
    <row r="1182" spans="1:10" ht="14.4">
      <c r="A1182" s="84">
        <v>46833</v>
      </c>
      <c r="B1182" s="85">
        <v>2028</v>
      </c>
      <c r="C1182" s="85">
        <v>3</v>
      </c>
      <c r="D1182" s="85" t="s">
        <v>60</v>
      </c>
      <c r="E1182" s="85">
        <v>21</v>
      </c>
      <c r="F1182" s="85">
        <v>2</v>
      </c>
      <c r="G1182" s="85">
        <f>--(F1182&lt;=Estimator!$B$7)</f>
        <v>1</v>
      </c>
      <c r="H1182" s="86">
        <f>SUMIFS('Climate Data'!$G$7:$G$366,'Climate Data'!$A$7:$A$366,Estimator!$B$4,'Climate Data'!$B$7:$B$366,C1182)</f>
        <v>0.18494623655913978</v>
      </c>
      <c r="I1182" s="87">
        <f>SUMIFS('Climate Data'!$H$7:$H$366,'Climate Data'!$A$7:$A$366,Estimator!$B$4,'Climate Data'!$B$7:$B$366,C1182)</f>
        <v>7.8662790697674421</v>
      </c>
      <c r="J1182" s="86">
        <f>SUMIFS('Wind Proxy'!$H$8:$H$19,'Wind Proxy'!$A$8:$A$19,Estimator!$B$4,'Wind Proxy'!$B$8:$B$19,C1182)</f>
        <v>0</v>
      </c>
    </row>
    <row r="1183" spans="1:10" ht="14.4">
      <c r="A1183" s="84">
        <v>46834</v>
      </c>
      <c r="B1183" s="85">
        <v>2028</v>
      </c>
      <c r="C1183" s="85">
        <v>3</v>
      </c>
      <c r="D1183" s="85" t="s">
        <v>60</v>
      </c>
      <c r="E1183" s="85">
        <v>22</v>
      </c>
      <c r="F1183" s="85">
        <v>3</v>
      </c>
      <c r="G1183" s="85">
        <f>--(F1183&lt;=Estimator!$B$7)</f>
        <v>1</v>
      </c>
      <c r="H1183" s="86">
        <f>SUMIFS('Climate Data'!$G$7:$G$366,'Climate Data'!$A$7:$A$366,Estimator!$B$4,'Climate Data'!$B$7:$B$366,C1183)</f>
        <v>0.18494623655913978</v>
      </c>
      <c r="I1183" s="87">
        <f>SUMIFS('Climate Data'!$H$7:$H$366,'Climate Data'!$A$7:$A$366,Estimator!$B$4,'Climate Data'!$B$7:$B$366,C1183)</f>
        <v>7.8662790697674421</v>
      </c>
      <c r="J1183" s="86">
        <f>SUMIFS('Wind Proxy'!$H$8:$H$19,'Wind Proxy'!$A$8:$A$19,Estimator!$B$4,'Wind Proxy'!$B$8:$B$19,C1183)</f>
        <v>0</v>
      </c>
    </row>
    <row r="1184" spans="1:10" ht="14.4">
      <c r="A1184" s="84">
        <v>46835</v>
      </c>
      <c r="B1184" s="85">
        <v>2028</v>
      </c>
      <c r="C1184" s="85">
        <v>3</v>
      </c>
      <c r="D1184" s="85" t="s">
        <v>60</v>
      </c>
      <c r="E1184" s="85">
        <v>23</v>
      </c>
      <c r="F1184" s="85">
        <v>4</v>
      </c>
      <c r="G1184" s="85">
        <f>--(F1184&lt;=Estimator!$B$7)</f>
        <v>1</v>
      </c>
      <c r="H1184" s="86">
        <f>SUMIFS('Climate Data'!$G$7:$G$366,'Climate Data'!$A$7:$A$366,Estimator!$B$4,'Climate Data'!$B$7:$B$366,C1184)</f>
        <v>0.18494623655913978</v>
      </c>
      <c r="I1184" s="87">
        <f>SUMIFS('Climate Data'!$H$7:$H$366,'Climate Data'!$A$7:$A$366,Estimator!$B$4,'Climate Data'!$B$7:$B$366,C1184)</f>
        <v>7.8662790697674421</v>
      </c>
      <c r="J1184" s="86">
        <f>SUMIFS('Wind Proxy'!$H$8:$H$19,'Wind Proxy'!$A$8:$A$19,Estimator!$B$4,'Wind Proxy'!$B$8:$B$19,C1184)</f>
        <v>0</v>
      </c>
    </row>
    <row r="1185" spans="1:10" ht="14.4">
      <c r="A1185" s="84">
        <v>46836</v>
      </c>
      <c r="B1185" s="85">
        <v>2028</v>
      </c>
      <c r="C1185" s="85">
        <v>3</v>
      </c>
      <c r="D1185" s="85" t="s">
        <v>60</v>
      </c>
      <c r="E1185" s="85">
        <v>24</v>
      </c>
      <c r="F1185" s="85">
        <v>5</v>
      </c>
      <c r="G1185" s="85">
        <f>--(F1185&lt;=Estimator!$B$7)</f>
        <v>1</v>
      </c>
      <c r="H1185" s="86">
        <f>SUMIFS('Climate Data'!$G$7:$G$366,'Climate Data'!$A$7:$A$366,Estimator!$B$4,'Climate Data'!$B$7:$B$366,C1185)</f>
        <v>0.18494623655913978</v>
      </c>
      <c r="I1185" s="87">
        <f>SUMIFS('Climate Data'!$H$7:$H$366,'Climate Data'!$A$7:$A$366,Estimator!$B$4,'Climate Data'!$B$7:$B$366,C1185)</f>
        <v>7.8662790697674421</v>
      </c>
      <c r="J1185" s="86">
        <f>SUMIFS('Wind Proxy'!$H$8:$H$19,'Wind Proxy'!$A$8:$A$19,Estimator!$B$4,'Wind Proxy'!$B$8:$B$19,C1185)</f>
        <v>0</v>
      </c>
    </row>
    <row r="1186" spans="1:10" ht="14.4">
      <c r="A1186" s="84">
        <v>46837</v>
      </c>
      <c r="B1186" s="85">
        <v>2028</v>
      </c>
      <c r="C1186" s="85">
        <v>3</v>
      </c>
      <c r="D1186" s="85" t="s">
        <v>60</v>
      </c>
      <c r="E1186" s="85">
        <v>25</v>
      </c>
      <c r="F1186" s="85">
        <v>6</v>
      </c>
      <c r="G1186" s="85">
        <f>--(F1186&lt;=Estimator!$B$7)</f>
        <v>0</v>
      </c>
      <c r="H1186" s="86">
        <f>SUMIFS('Climate Data'!$G$7:$G$366,'Climate Data'!$A$7:$A$366,Estimator!$B$4,'Climate Data'!$B$7:$B$366,C1186)</f>
        <v>0.18494623655913978</v>
      </c>
      <c r="I1186" s="87">
        <f>SUMIFS('Climate Data'!$H$7:$H$366,'Climate Data'!$A$7:$A$366,Estimator!$B$4,'Climate Data'!$B$7:$B$366,C1186)</f>
        <v>7.8662790697674421</v>
      </c>
      <c r="J1186" s="86">
        <f>SUMIFS('Wind Proxy'!$H$8:$H$19,'Wind Proxy'!$A$8:$A$19,Estimator!$B$4,'Wind Proxy'!$B$8:$B$19,C1186)</f>
        <v>0</v>
      </c>
    </row>
    <row r="1187" spans="1:10" ht="14.4">
      <c r="A1187" s="84">
        <v>46838</v>
      </c>
      <c r="B1187" s="85">
        <v>2028</v>
      </c>
      <c r="C1187" s="85">
        <v>3</v>
      </c>
      <c r="D1187" s="85" t="s">
        <v>60</v>
      </c>
      <c r="E1187" s="85">
        <v>26</v>
      </c>
      <c r="F1187" s="85">
        <v>7</v>
      </c>
      <c r="G1187" s="85">
        <f>--(F1187&lt;=Estimator!$B$7)</f>
        <v>0</v>
      </c>
      <c r="H1187" s="86">
        <f>SUMIFS('Climate Data'!$G$7:$G$366,'Climate Data'!$A$7:$A$366,Estimator!$B$4,'Climate Data'!$B$7:$B$366,C1187)</f>
        <v>0.18494623655913978</v>
      </c>
      <c r="I1187" s="87">
        <f>SUMIFS('Climate Data'!$H$7:$H$366,'Climate Data'!$A$7:$A$366,Estimator!$B$4,'Climate Data'!$B$7:$B$366,C1187)</f>
        <v>7.8662790697674421</v>
      </c>
      <c r="J1187" s="86">
        <f>SUMIFS('Wind Proxy'!$H$8:$H$19,'Wind Proxy'!$A$8:$A$19,Estimator!$B$4,'Wind Proxy'!$B$8:$B$19,C1187)</f>
        <v>0</v>
      </c>
    </row>
    <row r="1188" spans="1:10" ht="14.4">
      <c r="A1188" s="84">
        <v>46839</v>
      </c>
      <c r="B1188" s="85">
        <v>2028</v>
      </c>
      <c r="C1188" s="85">
        <v>3</v>
      </c>
      <c r="D1188" s="85" t="s">
        <v>60</v>
      </c>
      <c r="E1188" s="85">
        <v>27</v>
      </c>
      <c r="F1188" s="85">
        <v>1</v>
      </c>
      <c r="G1188" s="85">
        <f>--(F1188&lt;=Estimator!$B$7)</f>
        <v>1</v>
      </c>
      <c r="H1188" s="86">
        <f>SUMIFS('Climate Data'!$G$7:$G$366,'Climate Data'!$A$7:$A$366,Estimator!$B$4,'Climate Data'!$B$7:$B$366,C1188)</f>
        <v>0.18494623655913978</v>
      </c>
      <c r="I1188" s="87">
        <f>SUMIFS('Climate Data'!$H$7:$H$366,'Climate Data'!$A$7:$A$366,Estimator!$B$4,'Climate Data'!$B$7:$B$366,C1188)</f>
        <v>7.8662790697674421</v>
      </c>
      <c r="J1188" s="86">
        <f>SUMIFS('Wind Proxy'!$H$8:$H$19,'Wind Proxy'!$A$8:$A$19,Estimator!$B$4,'Wind Proxy'!$B$8:$B$19,C1188)</f>
        <v>0</v>
      </c>
    </row>
    <row r="1189" spans="1:10" ht="14.4">
      <c r="A1189" s="84">
        <v>46840</v>
      </c>
      <c r="B1189" s="85">
        <v>2028</v>
      </c>
      <c r="C1189" s="85">
        <v>3</v>
      </c>
      <c r="D1189" s="85" t="s">
        <v>60</v>
      </c>
      <c r="E1189" s="85">
        <v>28</v>
      </c>
      <c r="F1189" s="85">
        <v>2</v>
      </c>
      <c r="G1189" s="85">
        <f>--(F1189&lt;=Estimator!$B$7)</f>
        <v>1</v>
      </c>
      <c r="H1189" s="86">
        <f>SUMIFS('Climate Data'!$G$7:$G$366,'Climate Data'!$A$7:$A$366,Estimator!$B$4,'Climate Data'!$B$7:$B$366,C1189)</f>
        <v>0.18494623655913978</v>
      </c>
      <c r="I1189" s="87">
        <f>SUMIFS('Climate Data'!$H$7:$H$366,'Climate Data'!$A$7:$A$366,Estimator!$B$4,'Climate Data'!$B$7:$B$366,C1189)</f>
        <v>7.8662790697674421</v>
      </c>
      <c r="J1189" s="86">
        <f>SUMIFS('Wind Proxy'!$H$8:$H$19,'Wind Proxy'!$A$8:$A$19,Estimator!$B$4,'Wind Proxy'!$B$8:$B$19,C1189)</f>
        <v>0</v>
      </c>
    </row>
    <row r="1190" spans="1:10" ht="14.4">
      <c r="A1190" s="84">
        <v>46841</v>
      </c>
      <c r="B1190" s="85">
        <v>2028</v>
      </c>
      <c r="C1190" s="85">
        <v>3</v>
      </c>
      <c r="D1190" s="85" t="s">
        <v>60</v>
      </c>
      <c r="E1190" s="85">
        <v>29</v>
      </c>
      <c r="F1190" s="85">
        <v>3</v>
      </c>
      <c r="G1190" s="85">
        <f>--(F1190&lt;=Estimator!$B$7)</f>
        <v>1</v>
      </c>
      <c r="H1190" s="86">
        <f>SUMIFS('Climate Data'!$G$7:$G$366,'Climate Data'!$A$7:$A$366,Estimator!$B$4,'Climate Data'!$B$7:$B$366,C1190)</f>
        <v>0.18494623655913978</v>
      </c>
      <c r="I1190" s="87">
        <f>SUMIFS('Climate Data'!$H$7:$H$366,'Climate Data'!$A$7:$A$366,Estimator!$B$4,'Climate Data'!$B$7:$B$366,C1190)</f>
        <v>7.8662790697674421</v>
      </c>
      <c r="J1190" s="86">
        <f>SUMIFS('Wind Proxy'!$H$8:$H$19,'Wind Proxy'!$A$8:$A$19,Estimator!$B$4,'Wind Proxy'!$B$8:$B$19,C1190)</f>
        <v>0</v>
      </c>
    </row>
    <row r="1191" spans="1:10" ht="14.4">
      <c r="A1191" s="84">
        <v>46842</v>
      </c>
      <c r="B1191" s="85">
        <v>2028</v>
      </c>
      <c r="C1191" s="85">
        <v>3</v>
      </c>
      <c r="D1191" s="85" t="s">
        <v>60</v>
      </c>
      <c r="E1191" s="85">
        <v>30</v>
      </c>
      <c r="F1191" s="85">
        <v>4</v>
      </c>
      <c r="G1191" s="85">
        <f>--(F1191&lt;=Estimator!$B$7)</f>
        <v>1</v>
      </c>
      <c r="H1191" s="86">
        <f>SUMIFS('Climate Data'!$G$7:$G$366,'Climate Data'!$A$7:$A$366,Estimator!$B$4,'Climate Data'!$B$7:$B$366,C1191)</f>
        <v>0.18494623655913978</v>
      </c>
      <c r="I1191" s="87">
        <f>SUMIFS('Climate Data'!$H$7:$H$366,'Climate Data'!$A$7:$A$366,Estimator!$B$4,'Climate Data'!$B$7:$B$366,C1191)</f>
        <v>7.8662790697674421</v>
      </c>
      <c r="J1191" s="86">
        <f>SUMIFS('Wind Proxy'!$H$8:$H$19,'Wind Proxy'!$A$8:$A$19,Estimator!$B$4,'Wind Proxy'!$B$8:$B$19,C1191)</f>
        <v>0</v>
      </c>
    </row>
    <row r="1192" spans="1:10" ht="14.4">
      <c r="A1192" s="84">
        <v>46843</v>
      </c>
      <c r="B1192" s="85">
        <v>2028</v>
      </c>
      <c r="C1192" s="85">
        <v>3</v>
      </c>
      <c r="D1192" s="85" t="s">
        <v>60</v>
      </c>
      <c r="E1192" s="85">
        <v>31</v>
      </c>
      <c r="F1192" s="85">
        <v>5</v>
      </c>
      <c r="G1192" s="85">
        <f>--(F1192&lt;=Estimator!$B$7)</f>
        <v>1</v>
      </c>
      <c r="H1192" s="86">
        <f>SUMIFS('Climate Data'!$G$7:$G$366,'Climate Data'!$A$7:$A$366,Estimator!$B$4,'Climate Data'!$B$7:$B$366,C1192)</f>
        <v>0.18494623655913978</v>
      </c>
      <c r="I1192" s="87">
        <f>SUMIFS('Climate Data'!$H$7:$H$366,'Climate Data'!$A$7:$A$366,Estimator!$B$4,'Climate Data'!$B$7:$B$366,C1192)</f>
        <v>7.8662790697674421</v>
      </c>
      <c r="J1192" s="86">
        <f>SUMIFS('Wind Proxy'!$H$8:$H$19,'Wind Proxy'!$A$8:$A$19,Estimator!$B$4,'Wind Proxy'!$B$8:$B$19,C1192)</f>
        <v>0</v>
      </c>
    </row>
    <row r="1193" spans="1:10" ht="14.4">
      <c r="A1193" s="84">
        <v>46844</v>
      </c>
      <c r="B1193" s="85">
        <v>2028</v>
      </c>
      <c r="C1193" s="85">
        <v>4</v>
      </c>
      <c r="D1193" s="85" t="s">
        <v>62</v>
      </c>
      <c r="E1193" s="85">
        <v>1</v>
      </c>
      <c r="F1193" s="85">
        <v>6</v>
      </c>
      <c r="G1193" s="85">
        <f>--(F1193&lt;=Estimator!$B$7)</f>
        <v>0</v>
      </c>
      <c r="H1193" s="86">
        <f>SUMIFS('Climate Data'!$G$7:$G$366,'Climate Data'!$A$7:$A$366,Estimator!$B$4,'Climate Data'!$B$7:$B$366,C1193)</f>
        <v>0.25555555555555559</v>
      </c>
      <c r="I1193" s="87">
        <f>SUMIFS('Climate Data'!$H$7:$H$366,'Climate Data'!$A$7:$A$366,Estimator!$B$4,'Climate Data'!$B$7:$B$366,C1193)</f>
        <v>7.5</v>
      </c>
      <c r="J1193" s="86">
        <f>SUMIFS('Wind Proxy'!$H$8:$H$19,'Wind Proxy'!$A$8:$A$19,Estimator!$B$4,'Wind Proxy'!$B$8:$B$19,C1193)</f>
        <v>0</v>
      </c>
    </row>
    <row r="1194" spans="1:10" ht="14.4">
      <c r="A1194" s="84">
        <v>46845</v>
      </c>
      <c r="B1194" s="85">
        <v>2028</v>
      </c>
      <c r="C1194" s="85">
        <v>4</v>
      </c>
      <c r="D1194" s="85" t="s">
        <v>62</v>
      </c>
      <c r="E1194" s="85">
        <v>2</v>
      </c>
      <c r="F1194" s="85">
        <v>7</v>
      </c>
      <c r="G1194" s="85">
        <f>--(F1194&lt;=Estimator!$B$7)</f>
        <v>0</v>
      </c>
      <c r="H1194" s="86">
        <f>SUMIFS('Climate Data'!$G$7:$G$366,'Climate Data'!$A$7:$A$366,Estimator!$B$4,'Climate Data'!$B$7:$B$366,C1194)</f>
        <v>0.25555555555555559</v>
      </c>
      <c r="I1194" s="87">
        <f>SUMIFS('Climate Data'!$H$7:$H$366,'Climate Data'!$A$7:$A$366,Estimator!$B$4,'Climate Data'!$B$7:$B$366,C1194)</f>
        <v>7.5</v>
      </c>
      <c r="J1194" s="86">
        <f>SUMIFS('Wind Proxy'!$H$8:$H$19,'Wind Proxy'!$A$8:$A$19,Estimator!$B$4,'Wind Proxy'!$B$8:$B$19,C1194)</f>
        <v>0</v>
      </c>
    </row>
    <row r="1195" spans="1:10" ht="14.4">
      <c r="A1195" s="84">
        <v>46846</v>
      </c>
      <c r="B1195" s="85">
        <v>2028</v>
      </c>
      <c r="C1195" s="85">
        <v>4</v>
      </c>
      <c r="D1195" s="85" t="s">
        <v>62</v>
      </c>
      <c r="E1195" s="85">
        <v>3</v>
      </c>
      <c r="F1195" s="85">
        <v>1</v>
      </c>
      <c r="G1195" s="85">
        <f>--(F1195&lt;=Estimator!$B$7)</f>
        <v>1</v>
      </c>
      <c r="H1195" s="86">
        <f>SUMIFS('Climate Data'!$G$7:$G$366,'Climate Data'!$A$7:$A$366,Estimator!$B$4,'Climate Data'!$B$7:$B$366,C1195)</f>
        <v>0.25555555555555559</v>
      </c>
      <c r="I1195" s="87">
        <f>SUMIFS('Climate Data'!$H$7:$H$366,'Climate Data'!$A$7:$A$366,Estimator!$B$4,'Climate Data'!$B$7:$B$366,C1195)</f>
        <v>7.5</v>
      </c>
      <c r="J1195" s="86">
        <f>SUMIFS('Wind Proxy'!$H$8:$H$19,'Wind Proxy'!$A$8:$A$19,Estimator!$B$4,'Wind Proxy'!$B$8:$B$19,C1195)</f>
        <v>0</v>
      </c>
    </row>
    <row r="1196" spans="1:10" ht="14.4">
      <c r="A1196" s="84">
        <v>46847</v>
      </c>
      <c r="B1196" s="85">
        <v>2028</v>
      </c>
      <c r="C1196" s="85">
        <v>4</v>
      </c>
      <c r="D1196" s="85" t="s">
        <v>62</v>
      </c>
      <c r="E1196" s="85">
        <v>4</v>
      </c>
      <c r="F1196" s="85">
        <v>2</v>
      </c>
      <c r="G1196" s="85">
        <f>--(F1196&lt;=Estimator!$B$7)</f>
        <v>1</v>
      </c>
      <c r="H1196" s="86">
        <f>SUMIFS('Climate Data'!$G$7:$G$366,'Climate Data'!$A$7:$A$366,Estimator!$B$4,'Climate Data'!$B$7:$B$366,C1196)</f>
        <v>0.25555555555555559</v>
      </c>
      <c r="I1196" s="87">
        <f>SUMIFS('Climate Data'!$H$7:$H$366,'Climate Data'!$A$7:$A$366,Estimator!$B$4,'Climate Data'!$B$7:$B$366,C1196)</f>
        <v>7.5</v>
      </c>
      <c r="J1196" s="86">
        <f>SUMIFS('Wind Proxy'!$H$8:$H$19,'Wind Proxy'!$A$8:$A$19,Estimator!$B$4,'Wind Proxy'!$B$8:$B$19,C1196)</f>
        <v>0</v>
      </c>
    </row>
    <row r="1197" spans="1:10" ht="14.4">
      <c r="A1197" s="84">
        <v>46848</v>
      </c>
      <c r="B1197" s="85">
        <v>2028</v>
      </c>
      <c r="C1197" s="85">
        <v>4</v>
      </c>
      <c r="D1197" s="85" t="s">
        <v>62</v>
      </c>
      <c r="E1197" s="85">
        <v>5</v>
      </c>
      <c r="F1197" s="85">
        <v>3</v>
      </c>
      <c r="G1197" s="85">
        <f>--(F1197&lt;=Estimator!$B$7)</f>
        <v>1</v>
      </c>
      <c r="H1197" s="86">
        <f>SUMIFS('Climate Data'!$G$7:$G$366,'Climate Data'!$A$7:$A$366,Estimator!$B$4,'Climate Data'!$B$7:$B$366,C1197)</f>
        <v>0.25555555555555559</v>
      </c>
      <c r="I1197" s="87">
        <f>SUMIFS('Climate Data'!$H$7:$H$366,'Climate Data'!$A$7:$A$366,Estimator!$B$4,'Climate Data'!$B$7:$B$366,C1197)</f>
        <v>7.5</v>
      </c>
      <c r="J1197" s="86">
        <f>SUMIFS('Wind Proxy'!$H$8:$H$19,'Wind Proxy'!$A$8:$A$19,Estimator!$B$4,'Wind Proxy'!$B$8:$B$19,C1197)</f>
        <v>0</v>
      </c>
    </row>
    <row r="1198" spans="1:10" ht="14.4">
      <c r="A1198" s="84">
        <v>46849</v>
      </c>
      <c r="B1198" s="85">
        <v>2028</v>
      </c>
      <c r="C1198" s="85">
        <v>4</v>
      </c>
      <c r="D1198" s="85" t="s">
        <v>62</v>
      </c>
      <c r="E1198" s="85">
        <v>6</v>
      </c>
      <c r="F1198" s="85">
        <v>4</v>
      </c>
      <c r="G1198" s="85">
        <f>--(F1198&lt;=Estimator!$B$7)</f>
        <v>1</v>
      </c>
      <c r="H1198" s="86">
        <f>SUMIFS('Climate Data'!$G$7:$G$366,'Climate Data'!$A$7:$A$366,Estimator!$B$4,'Climate Data'!$B$7:$B$366,C1198)</f>
        <v>0.25555555555555559</v>
      </c>
      <c r="I1198" s="87">
        <f>SUMIFS('Climate Data'!$H$7:$H$366,'Climate Data'!$A$7:$A$366,Estimator!$B$4,'Climate Data'!$B$7:$B$366,C1198)</f>
        <v>7.5</v>
      </c>
      <c r="J1198" s="86">
        <f>SUMIFS('Wind Proxy'!$H$8:$H$19,'Wind Proxy'!$A$8:$A$19,Estimator!$B$4,'Wind Proxy'!$B$8:$B$19,C1198)</f>
        <v>0</v>
      </c>
    </row>
    <row r="1199" spans="1:10" ht="14.4">
      <c r="A1199" s="84">
        <v>46850</v>
      </c>
      <c r="B1199" s="85">
        <v>2028</v>
      </c>
      <c r="C1199" s="85">
        <v>4</v>
      </c>
      <c r="D1199" s="85" t="s">
        <v>62</v>
      </c>
      <c r="E1199" s="85">
        <v>7</v>
      </c>
      <c r="F1199" s="85">
        <v>5</v>
      </c>
      <c r="G1199" s="85">
        <f>--(F1199&lt;=Estimator!$B$7)</f>
        <v>1</v>
      </c>
      <c r="H1199" s="86">
        <f>SUMIFS('Climate Data'!$G$7:$G$366,'Climate Data'!$A$7:$A$366,Estimator!$B$4,'Climate Data'!$B$7:$B$366,C1199)</f>
        <v>0.25555555555555559</v>
      </c>
      <c r="I1199" s="87">
        <f>SUMIFS('Climate Data'!$H$7:$H$366,'Climate Data'!$A$7:$A$366,Estimator!$B$4,'Climate Data'!$B$7:$B$366,C1199)</f>
        <v>7.5</v>
      </c>
      <c r="J1199" s="86">
        <f>SUMIFS('Wind Proxy'!$H$8:$H$19,'Wind Proxy'!$A$8:$A$19,Estimator!$B$4,'Wind Proxy'!$B$8:$B$19,C1199)</f>
        <v>0</v>
      </c>
    </row>
    <row r="1200" spans="1:10" ht="14.4">
      <c r="A1200" s="84">
        <v>46851</v>
      </c>
      <c r="B1200" s="85">
        <v>2028</v>
      </c>
      <c r="C1200" s="85">
        <v>4</v>
      </c>
      <c r="D1200" s="85" t="s">
        <v>62</v>
      </c>
      <c r="E1200" s="85">
        <v>8</v>
      </c>
      <c r="F1200" s="85">
        <v>6</v>
      </c>
      <c r="G1200" s="85">
        <f>--(F1200&lt;=Estimator!$B$7)</f>
        <v>0</v>
      </c>
      <c r="H1200" s="86">
        <f>SUMIFS('Climate Data'!$G$7:$G$366,'Climate Data'!$A$7:$A$366,Estimator!$B$4,'Climate Data'!$B$7:$B$366,C1200)</f>
        <v>0.25555555555555559</v>
      </c>
      <c r="I1200" s="87">
        <f>SUMIFS('Climate Data'!$H$7:$H$366,'Climate Data'!$A$7:$A$366,Estimator!$B$4,'Climate Data'!$B$7:$B$366,C1200)</f>
        <v>7.5</v>
      </c>
      <c r="J1200" s="86">
        <f>SUMIFS('Wind Proxy'!$H$8:$H$19,'Wind Proxy'!$A$8:$A$19,Estimator!$B$4,'Wind Proxy'!$B$8:$B$19,C1200)</f>
        <v>0</v>
      </c>
    </row>
    <row r="1201" spans="1:10" ht="14.4">
      <c r="A1201" s="84">
        <v>46852</v>
      </c>
      <c r="B1201" s="85">
        <v>2028</v>
      </c>
      <c r="C1201" s="85">
        <v>4</v>
      </c>
      <c r="D1201" s="85" t="s">
        <v>62</v>
      </c>
      <c r="E1201" s="85">
        <v>9</v>
      </c>
      <c r="F1201" s="85">
        <v>7</v>
      </c>
      <c r="G1201" s="85">
        <f>--(F1201&lt;=Estimator!$B$7)</f>
        <v>0</v>
      </c>
      <c r="H1201" s="86">
        <f>SUMIFS('Climate Data'!$G$7:$G$366,'Climate Data'!$A$7:$A$366,Estimator!$B$4,'Climate Data'!$B$7:$B$366,C1201)</f>
        <v>0.25555555555555559</v>
      </c>
      <c r="I1201" s="87">
        <f>SUMIFS('Climate Data'!$H$7:$H$366,'Climate Data'!$A$7:$A$366,Estimator!$B$4,'Climate Data'!$B$7:$B$366,C1201)</f>
        <v>7.5</v>
      </c>
      <c r="J1201" s="86">
        <f>SUMIFS('Wind Proxy'!$H$8:$H$19,'Wind Proxy'!$A$8:$A$19,Estimator!$B$4,'Wind Proxy'!$B$8:$B$19,C1201)</f>
        <v>0</v>
      </c>
    </row>
    <row r="1202" spans="1:10" ht="14.4">
      <c r="A1202" s="84">
        <v>46853</v>
      </c>
      <c r="B1202" s="85">
        <v>2028</v>
      </c>
      <c r="C1202" s="85">
        <v>4</v>
      </c>
      <c r="D1202" s="85" t="s">
        <v>62</v>
      </c>
      <c r="E1202" s="85">
        <v>10</v>
      </c>
      <c r="F1202" s="85">
        <v>1</v>
      </c>
      <c r="G1202" s="85">
        <f>--(F1202&lt;=Estimator!$B$7)</f>
        <v>1</v>
      </c>
      <c r="H1202" s="86">
        <f>SUMIFS('Climate Data'!$G$7:$G$366,'Climate Data'!$A$7:$A$366,Estimator!$B$4,'Climate Data'!$B$7:$B$366,C1202)</f>
        <v>0.25555555555555559</v>
      </c>
      <c r="I1202" s="87">
        <f>SUMIFS('Climate Data'!$H$7:$H$366,'Climate Data'!$A$7:$A$366,Estimator!$B$4,'Climate Data'!$B$7:$B$366,C1202)</f>
        <v>7.5</v>
      </c>
      <c r="J1202" s="86">
        <f>SUMIFS('Wind Proxy'!$H$8:$H$19,'Wind Proxy'!$A$8:$A$19,Estimator!$B$4,'Wind Proxy'!$B$8:$B$19,C1202)</f>
        <v>0</v>
      </c>
    </row>
    <row r="1203" spans="1:10" ht="14.4">
      <c r="A1203" s="84">
        <v>46854</v>
      </c>
      <c r="B1203" s="85">
        <v>2028</v>
      </c>
      <c r="C1203" s="85">
        <v>4</v>
      </c>
      <c r="D1203" s="85" t="s">
        <v>62</v>
      </c>
      <c r="E1203" s="85">
        <v>11</v>
      </c>
      <c r="F1203" s="85">
        <v>2</v>
      </c>
      <c r="G1203" s="85">
        <f>--(F1203&lt;=Estimator!$B$7)</f>
        <v>1</v>
      </c>
      <c r="H1203" s="86">
        <f>SUMIFS('Climate Data'!$G$7:$G$366,'Climate Data'!$A$7:$A$366,Estimator!$B$4,'Climate Data'!$B$7:$B$366,C1203)</f>
        <v>0.25555555555555559</v>
      </c>
      <c r="I1203" s="87">
        <f>SUMIFS('Climate Data'!$H$7:$H$366,'Climate Data'!$A$7:$A$366,Estimator!$B$4,'Climate Data'!$B$7:$B$366,C1203)</f>
        <v>7.5</v>
      </c>
      <c r="J1203" s="86">
        <f>SUMIFS('Wind Proxy'!$H$8:$H$19,'Wind Proxy'!$A$8:$A$19,Estimator!$B$4,'Wind Proxy'!$B$8:$B$19,C1203)</f>
        <v>0</v>
      </c>
    </row>
    <row r="1204" spans="1:10" ht="14.4">
      <c r="A1204" s="84">
        <v>46855</v>
      </c>
      <c r="B1204" s="85">
        <v>2028</v>
      </c>
      <c r="C1204" s="85">
        <v>4</v>
      </c>
      <c r="D1204" s="85" t="s">
        <v>62</v>
      </c>
      <c r="E1204" s="85">
        <v>12</v>
      </c>
      <c r="F1204" s="85">
        <v>3</v>
      </c>
      <c r="G1204" s="85">
        <f>--(F1204&lt;=Estimator!$B$7)</f>
        <v>1</v>
      </c>
      <c r="H1204" s="86">
        <f>SUMIFS('Climate Data'!$G$7:$G$366,'Climate Data'!$A$7:$A$366,Estimator!$B$4,'Climate Data'!$B$7:$B$366,C1204)</f>
        <v>0.25555555555555559</v>
      </c>
      <c r="I1204" s="87">
        <f>SUMIFS('Climate Data'!$H$7:$H$366,'Climate Data'!$A$7:$A$366,Estimator!$B$4,'Climate Data'!$B$7:$B$366,C1204)</f>
        <v>7.5</v>
      </c>
      <c r="J1204" s="86">
        <f>SUMIFS('Wind Proxy'!$H$8:$H$19,'Wind Proxy'!$A$8:$A$19,Estimator!$B$4,'Wind Proxy'!$B$8:$B$19,C1204)</f>
        <v>0</v>
      </c>
    </row>
    <row r="1205" spans="1:10" ht="14.4">
      <c r="A1205" s="84">
        <v>46856</v>
      </c>
      <c r="B1205" s="85">
        <v>2028</v>
      </c>
      <c r="C1205" s="85">
        <v>4</v>
      </c>
      <c r="D1205" s="85" t="s">
        <v>62</v>
      </c>
      <c r="E1205" s="85">
        <v>13</v>
      </c>
      <c r="F1205" s="85">
        <v>4</v>
      </c>
      <c r="G1205" s="85">
        <f>--(F1205&lt;=Estimator!$B$7)</f>
        <v>1</v>
      </c>
      <c r="H1205" s="86">
        <f>SUMIFS('Climate Data'!$G$7:$G$366,'Climate Data'!$A$7:$A$366,Estimator!$B$4,'Climate Data'!$B$7:$B$366,C1205)</f>
        <v>0.25555555555555559</v>
      </c>
      <c r="I1205" s="87">
        <f>SUMIFS('Climate Data'!$H$7:$H$366,'Climate Data'!$A$7:$A$366,Estimator!$B$4,'Climate Data'!$B$7:$B$366,C1205)</f>
        <v>7.5</v>
      </c>
      <c r="J1205" s="86">
        <f>SUMIFS('Wind Proxy'!$H$8:$H$19,'Wind Proxy'!$A$8:$A$19,Estimator!$B$4,'Wind Proxy'!$B$8:$B$19,C1205)</f>
        <v>0</v>
      </c>
    </row>
    <row r="1206" spans="1:10" ht="14.4">
      <c r="A1206" s="84">
        <v>46857</v>
      </c>
      <c r="B1206" s="85">
        <v>2028</v>
      </c>
      <c r="C1206" s="85">
        <v>4</v>
      </c>
      <c r="D1206" s="85" t="s">
        <v>62</v>
      </c>
      <c r="E1206" s="85">
        <v>14</v>
      </c>
      <c r="F1206" s="85">
        <v>5</v>
      </c>
      <c r="G1206" s="85">
        <f>--(F1206&lt;=Estimator!$B$7)</f>
        <v>1</v>
      </c>
      <c r="H1206" s="86">
        <f>SUMIFS('Climate Data'!$G$7:$G$366,'Climate Data'!$A$7:$A$366,Estimator!$B$4,'Climate Data'!$B$7:$B$366,C1206)</f>
        <v>0.25555555555555559</v>
      </c>
      <c r="I1206" s="87">
        <f>SUMIFS('Climate Data'!$H$7:$H$366,'Climate Data'!$A$7:$A$366,Estimator!$B$4,'Climate Data'!$B$7:$B$366,C1206)</f>
        <v>7.5</v>
      </c>
      <c r="J1206" s="86">
        <f>SUMIFS('Wind Proxy'!$H$8:$H$19,'Wind Proxy'!$A$8:$A$19,Estimator!$B$4,'Wind Proxy'!$B$8:$B$19,C1206)</f>
        <v>0</v>
      </c>
    </row>
    <row r="1207" spans="1:10" ht="14.4">
      <c r="A1207" s="84">
        <v>46858</v>
      </c>
      <c r="B1207" s="85">
        <v>2028</v>
      </c>
      <c r="C1207" s="85">
        <v>4</v>
      </c>
      <c r="D1207" s="85" t="s">
        <v>62</v>
      </c>
      <c r="E1207" s="85">
        <v>15</v>
      </c>
      <c r="F1207" s="85">
        <v>6</v>
      </c>
      <c r="G1207" s="85">
        <f>--(F1207&lt;=Estimator!$B$7)</f>
        <v>0</v>
      </c>
      <c r="H1207" s="86">
        <f>SUMIFS('Climate Data'!$G$7:$G$366,'Climate Data'!$A$7:$A$366,Estimator!$B$4,'Climate Data'!$B$7:$B$366,C1207)</f>
        <v>0.25555555555555559</v>
      </c>
      <c r="I1207" s="87">
        <f>SUMIFS('Climate Data'!$H$7:$H$366,'Climate Data'!$A$7:$A$366,Estimator!$B$4,'Climate Data'!$B$7:$B$366,C1207)</f>
        <v>7.5</v>
      </c>
      <c r="J1207" s="86">
        <f>SUMIFS('Wind Proxy'!$H$8:$H$19,'Wind Proxy'!$A$8:$A$19,Estimator!$B$4,'Wind Proxy'!$B$8:$B$19,C1207)</f>
        <v>0</v>
      </c>
    </row>
    <row r="1208" spans="1:10" ht="14.4">
      <c r="A1208" s="84">
        <v>46859</v>
      </c>
      <c r="B1208" s="85">
        <v>2028</v>
      </c>
      <c r="C1208" s="85">
        <v>4</v>
      </c>
      <c r="D1208" s="85" t="s">
        <v>62</v>
      </c>
      <c r="E1208" s="85">
        <v>16</v>
      </c>
      <c r="F1208" s="85">
        <v>7</v>
      </c>
      <c r="G1208" s="85">
        <f>--(F1208&lt;=Estimator!$B$7)</f>
        <v>0</v>
      </c>
      <c r="H1208" s="86">
        <f>SUMIFS('Climate Data'!$G$7:$G$366,'Climate Data'!$A$7:$A$366,Estimator!$B$4,'Climate Data'!$B$7:$B$366,C1208)</f>
        <v>0.25555555555555559</v>
      </c>
      <c r="I1208" s="87">
        <f>SUMIFS('Climate Data'!$H$7:$H$366,'Climate Data'!$A$7:$A$366,Estimator!$B$4,'Climate Data'!$B$7:$B$366,C1208)</f>
        <v>7.5</v>
      </c>
      <c r="J1208" s="86">
        <f>SUMIFS('Wind Proxy'!$H$8:$H$19,'Wind Proxy'!$A$8:$A$19,Estimator!$B$4,'Wind Proxy'!$B$8:$B$19,C1208)</f>
        <v>0</v>
      </c>
    </row>
    <row r="1209" spans="1:10" ht="14.4">
      <c r="A1209" s="84">
        <v>46860</v>
      </c>
      <c r="B1209" s="85">
        <v>2028</v>
      </c>
      <c r="C1209" s="85">
        <v>4</v>
      </c>
      <c r="D1209" s="85" t="s">
        <v>62</v>
      </c>
      <c r="E1209" s="85">
        <v>17</v>
      </c>
      <c r="F1209" s="85">
        <v>1</v>
      </c>
      <c r="G1209" s="85">
        <f>--(F1209&lt;=Estimator!$B$7)</f>
        <v>1</v>
      </c>
      <c r="H1209" s="86">
        <f>SUMIFS('Climate Data'!$G$7:$G$366,'Climate Data'!$A$7:$A$366,Estimator!$B$4,'Climate Data'!$B$7:$B$366,C1209)</f>
        <v>0.25555555555555559</v>
      </c>
      <c r="I1209" s="87">
        <f>SUMIFS('Climate Data'!$H$7:$H$366,'Climate Data'!$A$7:$A$366,Estimator!$B$4,'Climate Data'!$B$7:$B$366,C1209)</f>
        <v>7.5</v>
      </c>
      <c r="J1209" s="86">
        <f>SUMIFS('Wind Proxy'!$H$8:$H$19,'Wind Proxy'!$A$8:$A$19,Estimator!$B$4,'Wind Proxy'!$B$8:$B$19,C1209)</f>
        <v>0</v>
      </c>
    </row>
    <row r="1210" spans="1:10" ht="14.4">
      <c r="A1210" s="84">
        <v>46861</v>
      </c>
      <c r="B1210" s="85">
        <v>2028</v>
      </c>
      <c r="C1210" s="85">
        <v>4</v>
      </c>
      <c r="D1210" s="85" t="s">
        <v>62</v>
      </c>
      <c r="E1210" s="85">
        <v>18</v>
      </c>
      <c r="F1210" s="85">
        <v>2</v>
      </c>
      <c r="G1210" s="85">
        <f>--(F1210&lt;=Estimator!$B$7)</f>
        <v>1</v>
      </c>
      <c r="H1210" s="86">
        <f>SUMIFS('Climate Data'!$G$7:$G$366,'Climate Data'!$A$7:$A$366,Estimator!$B$4,'Climate Data'!$B$7:$B$366,C1210)</f>
        <v>0.25555555555555559</v>
      </c>
      <c r="I1210" s="87">
        <f>SUMIFS('Climate Data'!$H$7:$H$366,'Climate Data'!$A$7:$A$366,Estimator!$B$4,'Climate Data'!$B$7:$B$366,C1210)</f>
        <v>7.5</v>
      </c>
      <c r="J1210" s="86">
        <f>SUMIFS('Wind Proxy'!$H$8:$H$19,'Wind Proxy'!$A$8:$A$19,Estimator!$B$4,'Wind Proxy'!$B$8:$B$19,C1210)</f>
        <v>0</v>
      </c>
    </row>
    <row r="1211" spans="1:10" ht="14.4">
      <c r="A1211" s="84">
        <v>46862</v>
      </c>
      <c r="B1211" s="85">
        <v>2028</v>
      </c>
      <c r="C1211" s="85">
        <v>4</v>
      </c>
      <c r="D1211" s="85" t="s">
        <v>62</v>
      </c>
      <c r="E1211" s="85">
        <v>19</v>
      </c>
      <c r="F1211" s="85">
        <v>3</v>
      </c>
      <c r="G1211" s="85">
        <f>--(F1211&lt;=Estimator!$B$7)</f>
        <v>1</v>
      </c>
      <c r="H1211" s="86">
        <f>SUMIFS('Climate Data'!$G$7:$G$366,'Climate Data'!$A$7:$A$366,Estimator!$B$4,'Climate Data'!$B$7:$B$366,C1211)</f>
        <v>0.25555555555555559</v>
      </c>
      <c r="I1211" s="87">
        <f>SUMIFS('Climate Data'!$H$7:$H$366,'Climate Data'!$A$7:$A$366,Estimator!$B$4,'Climate Data'!$B$7:$B$366,C1211)</f>
        <v>7.5</v>
      </c>
      <c r="J1211" s="86">
        <f>SUMIFS('Wind Proxy'!$H$8:$H$19,'Wind Proxy'!$A$8:$A$19,Estimator!$B$4,'Wind Proxy'!$B$8:$B$19,C1211)</f>
        <v>0</v>
      </c>
    </row>
    <row r="1212" spans="1:10" ht="14.4">
      <c r="A1212" s="84">
        <v>46863</v>
      </c>
      <c r="B1212" s="85">
        <v>2028</v>
      </c>
      <c r="C1212" s="85">
        <v>4</v>
      </c>
      <c r="D1212" s="85" t="s">
        <v>62</v>
      </c>
      <c r="E1212" s="85">
        <v>20</v>
      </c>
      <c r="F1212" s="85">
        <v>4</v>
      </c>
      <c r="G1212" s="85">
        <f>--(F1212&lt;=Estimator!$B$7)</f>
        <v>1</v>
      </c>
      <c r="H1212" s="86">
        <f>SUMIFS('Climate Data'!$G$7:$G$366,'Climate Data'!$A$7:$A$366,Estimator!$B$4,'Climate Data'!$B$7:$B$366,C1212)</f>
        <v>0.25555555555555559</v>
      </c>
      <c r="I1212" s="87">
        <f>SUMIFS('Climate Data'!$H$7:$H$366,'Climate Data'!$A$7:$A$366,Estimator!$B$4,'Climate Data'!$B$7:$B$366,C1212)</f>
        <v>7.5</v>
      </c>
      <c r="J1212" s="86">
        <f>SUMIFS('Wind Proxy'!$H$8:$H$19,'Wind Proxy'!$A$8:$A$19,Estimator!$B$4,'Wind Proxy'!$B$8:$B$19,C1212)</f>
        <v>0</v>
      </c>
    </row>
    <row r="1213" spans="1:10" ht="14.4">
      <c r="A1213" s="84">
        <v>46864</v>
      </c>
      <c r="B1213" s="85">
        <v>2028</v>
      </c>
      <c r="C1213" s="85">
        <v>4</v>
      </c>
      <c r="D1213" s="85" t="s">
        <v>62</v>
      </c>
      <c r="E1213" s="85">
        <v>21</v>
      </c>
      <c r="F1213" s="85">
        <v>5</v>
      </c>
      <c r="G1213" s="85">
        <f>--(F1213&lt;=Estimator!$B$7)</f>
        <v>1</v>
      </c>
      <c r="H1213" s="86">
        <f>SUMIFS('Climate Data'!$G$7:$G$366,'Climate Data'!$A$7:$A$366,Estimator!$B$4,'Climate Data'!$B$7:$B$366,C1213)</f>
        <v>0.25555555555555559</v>
      </c>
      <c r="I1213" s="87">
        <f>SUMIFS('Climate Data'!$H$7:$H$366,'Climate Data'!$A$7:$A$366,Estimator!$B$4,'Climate Data'!$B$7:$B$366,C1213)</f>
        <v>7.5</v>
      </c>
      <c r="J1213" s="86">
        <f>SUMIFS('Wind Proxy'!$H$8:$H$19,'Wind Proxy'!$A$8:$A$19,Estimator!$B$4,'Wind Proxy'!$B$8:$B$19,C1213)</f>
        <v>0</v>
      </c>
    </row>
    <row r="1214" spans="1:10" ht="14.4">
      <c r="A1214" s="84">
        <v>46865</v>
      </c>
      <c r="B1214" s="85">
        <v>2028</v>
      </c>
      <c r="C1214" s="85">
        <v>4</v>
      </c>
      <c r="D1214" s="85" t="s">
        <v>62</v>
      </c>
      <c r="E1214" s="85">
        <v>22</v>
      </c>
      <c r="F1214" s="85">
        <v>6</v>
      </c>
      <c r="G1214" s="85">
        <f>--(F1214&lt;=Estimator!$B$7)</f>
        <v>0</v>
      </c>
      <c r="H1214" s="86">
        <f>SUMIFS('Climate Data'!$G$7:$G$366,'Climate Data'!$A$7:$A$366,Estimator!$B$4,'Climate Data'!$B$7:$B$366,C1214)</f>
        <v>0.25555555555555559</v>
      </c>
      <c r="I1214" s="87">
        <f>SUMIFS('Climate Data'!$H$7:$H$366,'Climate Data'!$A$7:$A$366,Estimator!$B$4,'Climate Data'!$B$7:$B$366,C1214)</f>
        <v>7.5</v>
      </c>
      <c r="J1214" s="86">
        <f>SUMIFS('Wind Proxy'!$H$8:$H$19,'Wind Proxy'!$A$8:$A$19,Estimator!$B$4,'Wind Proxy'!$B$8:$B$19,C1214)</f>
        <v>0</v>
      </c>
    </row>
    <row r="1215" spans="1:10" ht="14.4">
      <c r="A1215" s="84">
        <v>46866</v>
      </c>
      <c r="B1215" s="85">
        <v>2028</v>
      </c>
      <c r="C1215" s="85">
        <v>4</v>
      </c>
      <c r="D1215" s="85" t="s">
        <v>62</v>
      </c>
      <c r="E1215" s="85">
        <v>23</v>
      </c>
      <c r="F1215" s="85">
        <v>7</v>
      </c>
      <c r="G1215" s="85">
        <f>--(F1215&lt;=Estimator!$B$7)</f>
        <v>0</v>
      </c>
      <c r="H1215" s="86">
        <f>SUMIFS('Climate Data'!$G$7:$G$366,'Climate Data'!$A$7:$A$366,Estimator!$B$4,'Climate Data'!$B$7:$B$366,C1215)</f>
        <v>0.25555555555555559</v>
      </c>
      <c r="I1215" s="87">
        <f>SUMIFS('Climate Data'!$H$7:$H$366,'Climate Data'!$A$7:$A$366,Estimator!$B$4,'Climate Data'!$B$7:$B$366,C1215)</f>
        <v>7.5</v>
      </c>
      <c r="J1215" s="86">
        <f>SUMIFS('Wind Proxy'!$H$8:$H$19,'Wind Proxy'!$A$8:$A$19,Estimator!$B$4,'Wind Proxy'!$B$8:$B$19,C1215)</f>
        <v>0</v>
      </c>
    </row>
    <row r="1216" spans="1:10" ht="14.4">
      <c r="A1216" s="84">
        <v>46867</v>
      </c>
      <c r="B1216" s="85">
        <v>2028</v>
      </c>
      <c r="C1216" s="85">
        <v>4</v>
      </c>
      <c r="D1216" s="85" t="s">
        <v>62</v>
      </c>
      <c r="E1216" s="85">
        <v>24</v>
      </c>
      <c r="F1216" s="85">
        <v>1</v>
      </c>
      <c r="G1216" s="85">
        <f>--(F1216&lt;=Estimator!$B$7)</f>
        <v>1</v>
      </c>
      <c r="H1216" s="86">
        <f>SUMIFS('Climate Data'!$G$7:$G$366,'Climate Data'!$A$7:$A$366,Estimator!$B$4,'Climate Data'!$B$7:$B$366,C1216)</f>
        <v>0.25555555555555559</v>
      </c>
      <c r="I1216" s="87">
        <f>SUMIFS('Climate Data'!$H$7:$H$366,'Climate Data'!$A$7:$A$366,Estimator!$B$4,'Climate Data'!$B$7:$B$366,C1216)</f>
        <v>7.5</v>
      </c>
      <c r="J1216" s="86">
        <f>SUMIFS('Wind Proxy'!$H$8:$H$19,'Wind Proxy'!$A$8:$A$19,Estimator!$B$4,'Wind Proxy'!$B$8:$B$19,C1216)</f>
        <v>0</v>
      </c>
    </row>
    <row r="1217" spans="1:10" ht="14.4">
      <c r="A1217" s="84">
        <v>46868</v>
      </c>
      <c r="B1217" s="85">
        <v>2028</v>
      </c>
      <c r="C1217" s="85">
        <v>4</v>
      </c>
      <c r="D1217" s="85" t="s">
        <v>62</v>
      </c>
      <c r="E1217" s="85">
        <v>25</v>
      </c>
      <c r="F1217" s="85">
        <v>2</v>
      </c>
      <c r="G1217" s="85">
        <f>--(F1217&lt;=Estimator!$B$7)</f>
        <v>1</v>
      </c>
      <c r="H1217" s="86">
        <f>SUMIFS('Climate Data'!$G$7:$G$366,'Climate Data'!$A$7:$A$366,Estimator!$B$4,'Climate Data'!$B$7:$B$366,C1217)</f>
        <v>0.25555555555555559</v>
      </c>
      <c r="I1217" s="87">
        <f>SUMIFS('Climate Data'!$H$7:$H$366,'Climate Data'!$A$7:$A$366,Estimator!$B$4,'Climate Data'!$B$7:$B$366,C1217)</f>
        <v>7.5</v>
      </c>
      <c r="J1217" s="86">
        <f>SUMIFS('Wind Proxy'!$H$8:$H$19,'Wind Proxy'!$A$8:$A$19,Estimator!$B$4,'Wind Proxy'!$B$8:$B$19,C1217)</f>
        <v>0</v>
      </c>
    </row>
    <row r="1218" spans="1:10" ht="14.4">
      <c r="A1218" s="84">
        <v>46869</v>
      </c>
      <c r="B1218" s="85">
        <v>2028</v>
      </c>
      <c r="C1218" s="85">
        <v>4</v>
      </c>
      <c r="D1218" s="85" t="s">
        <v>62</v>
      </c>
      <c r="E1218" s="85">
        <v>26</v>
      </c>
      <c r="F1218" s="85">
        <v>3</v>
      </c>
      <c r="G1218" s="85">
        <f>--(F1218&lt;=Estimator!$B$7)</f>
        <v>1</v>
      </c>
      <c r="H1218" s="86">
        <f>SUMIFS('Climate Data'!$G$7:$G$366,'Climate Data'!$A$7:$A$366,Estimator!$B$4,'Climate Data'!$B$7:$B$366,C1218)</f>
        <v>0.25555555555555559</v>
      </c>
      <c r="I1218" s="87">
        <f>SUMIFS('Climate Data'!$H$7:$H$366,'Climate Data'!$A$7:$A$366,Estimator!$B$4,'Climate Data'!$B$7:$B$366,C1218)</f>
        <v>7.5</v>
      </c>
      <c r="J1218" s="86">
        <f>SUMIFS('Wind Proxy'!$H$8:$H$19,'Wind Proxy'!$A$8:$A$19,Estimator!$B$4,'Wind Proxy'!$B$8:$B$19,C1218)</f>
        <v>0</v>
      </c>
    </row>
    <row r="1219" spans="1:10" ht="14.4">
      <c r="A1219" s="84">
        <v>46870</v>
      </c>
      <c r="B1219" s="85">
        <v>2028</v>
      </c>
      <c r="C1219" s="85">
        <v>4</v>
      </c>
      <c r="D1219" s="85" t="s">
        <v>62</v>
      </c>
      <c r="E1219" s="85">
        <v>27</v>
      </c>
      <c r="F1219" s="85">
        <v>4</v>
      </c>
      <c r="G1219" s="85">
        <f>--(F1219&lt;=Estimator!$B$7)</f>
        <v>1</v>
      </c>
      <c r="H1219" s="86">
        <f>SUMIFS('Climate Data'!$G$7:$G$366,'Climate Data'!$A$7:$A$366,Estimator!$B$4,'Climate Data'!$B$7:$B$366,C1219)</f>
        <v>0.25555555555555559</v>
      </c>
      <c r="I1219" s="87">
        <f>SUMIFS('Climate Data'!$H$7:$H$366,'Climate Data'!$A$7:$A$366,Estimator!$B$4,'Climate Data'!$B$7:$B$366,C1219)</f>
        <v>7.5</v>
      </c>
      <c r="J1219" s="86">
        <f>SUMIFS('Wind Proxy'!$H$8:$H$19,'Wind Proxy'!$A$8:$A$19,Estimator!$B$4,'Wind Proxy'!$B$8:$B$19,C1219)</f>
        <v>0</v>
      </c>
    </row>
    <row r="1220" spans="1:10" ht="14.4">
      <c r="A1220" s="84">
        <v>46871</v>
      </c>
      <c r="B1220" s="85">
        <v>2028</v>
      </c>
      <c r="C1220" s="85">
        <v>4</v>
      </c>
      <c r="D1220" s="85" t="s">
        <v>62</v>
      </c>
      <c r="E1220" s="85">
        <v>28</v>
      </c>
      <c r="F1220" s="85">
        <v>5</v>
      </c>
      <c r="G1220" s="85">
        <f>--(F1220&lt;=Estimator!$B$7)</f>
        <v>1</v>
      </c>
      <c r="H1220" s="86">
        <f>SUMIFS('Climate Data'!$G$7:$G$366,'Climate Data'!$A$7:$A$366,Estimator!$B$4,'Climate Data'!$B$7:$B$366,C1220)</f>
        <v>0.25555555555555559</v>
      </c>
      <c r="I1220" s="87">
        <f>SUMIFS('Climate Data'!$H$7:$H$366,'Climate Data'!$A$7:$A$366,Estimator!$B$4,'Climate Data'!$B$7:$B$366,C1220)</f>
        <v>7.5</v>
      </c>
      <c r="J1220" s="86">
        <f>SUMIFS('Wind Proxy'!$H$8:$H$19,'Wind Proxy'!$A$8:$A$19,Estimator!$B$4,'Wind Proxy'!$B$8:$B$19,C1220)</f>
        <v>0</v>
      </c>
    </row>
    <row r="1221" spans="1:10" ht="14.4">
      <c r="A1221" s="84">
        <v>46872</v>
      </c>
      <c r="B1221" s="85">
        <v>2028</v>
      </c>
      <c r="C1221" s="85">
        <v>4</v>
      </c>
      <c r="D1221" s="85" t="s">
        <v>62</v>
      </c>
      <c r="E1221" s="85">
        <v>29</v>
      </c>
      <c r="F1221" s="85">
        <v>6</v>
      </c>
      <c r="G1221" s="85">
        <f>--(F1221&lt;=Estimator!$B$7)</f>
        <v>0</v>
      </c>
      <c r="H1221" s="86">
        <f>SUMIFS('Climate Data'!$G$7:$G$366,'Climate Data'!$A$7:$A$366,Estimator!$B$4,'Climate Data'!$B$7:$B$366,C1221)</f>
        <v>0.25555555555555559</v>
      </c>
      <c r="I1221" s="87">
        <f>SUMIFS('Climate Data'!$H$7:$H$366,'Climate Data'!$A$7:$A$366,Estimator!$B$4,'Climate Data'!$B$7:$B$366,C1221)</f>
        <v>7.5</v>
      </c>
      <c r="J1221" s="86">
        <f>SUMIFS('Wind Proxy'!$H$8:$H$19,'Wind Proxy'!$A$8:$A$19,Estimator!$B$4,'Wind Proxy'!$B$8:$B$19,C1221)</f>
        <v>0</v>
      </c>
    </row>
    <row r="1222" spans="1:10" ht="14.4">
      <c r="A1222" s="84">
        <v>46873</v>
      </c>
      <c r="B1222" s="85">
        <v>2028</v>
      </c>
      <c r="C1222" s="85">
        <v>4</v>
      </c>
      <c r="D1222" s="85" t="s">
        <v>62</v>
      </c>
      <c r="E1222" s="85">
        <v>30</v>
      </c>
      <c r="F1222" s="85">
        <v>7</v>
      </c>
      <c r="G1222" s="85">
        <f>--(F1222&lt;=Estimator!$B$7)</f>
        <v>0</v>
      </c>
      <c r="H1222" s="86">
        <f>SUMIFS('Climate Data'!$G$7:$G$366,'Climate Data'!$A$7:$A$366,Estimator!$B$4,'Climate Data'!$B$7:$B$366,C1222)</f>
        <v>0.25555555555555559</v>
      </c>
      <c r="I1222" s="87">
        <f>SUMIFS('Climate Data'!$H$7:$H$366,'Climate Data'!$A$7:$A$366,Estimator!$B$4,'Climate Data'!$B$7:$B$366,C1222)</f>
        <v>7.5</v>
      </c>
      <c r="J1222" s="86">
        <f>SUMIFS('Wind Proxy'!$H$8:$H$19,'Wind Proxy'!$A$8:$A$19,Estimator!$B$4,'Wind Proxy'!$B$8:$B$19,C1222)</f>
        <v>0</v>
      </c>
    </row>
    <row r="1223" spans="1:10" ht="14.4">
      <c r="A1223" s="84">
        <v>46874</v>
      </c>
      <c r="B1223" s="85">
        <v>2028</v>
      </c>
      <c r="C1223" s="85">
        <v>5</v>
      </c>
      <c r="D1223" s="85" t="s">
        <v>65</v>
      </c>
      <c r="E1223" s="85">
        <v>1</v>
      </c>
      <c r="F1223" s="85">
        <v>1</v>
      </c>
      <c r="G1223" s="85">
        <f>--(F1223&lt;=Estimator!$B$7)</f>
        <v>1</v>
      </c>
      <c r="H1223" s="86">
        <f>SUMIFS('Climate Data'!$G$7:$G$366,'Climate Data'!$A$7:$A$366,Estimator!$B$4,'Climate Data'!$B$7:$B$366,C1223)</f>
        <v>0.23010752688172045</v>
      </c>
      <c r="I1223" s="87">
        <f>SUMIFS('Climate Data'!$H$7:$H$366,'Climate Data'!$A$7:$A$366,Estimator!$B$4,'Climate Data'!$B$7:$B$366,C1223)</f>
        <v>8.1448598130841123</v>
      </c>
      <c r="J1223" s="86">
        <f>SUMIFS('Wind Proxy'!$H$8:$H$19,'Wind Proxy'!$A$8:$A$19,Estimator!$B$4,'Wind Proxy'!$B$8:$B$19,C1223)</f>
        <v>0</v>
      </c>
    </row>
    <row r="1224" spans="1:10" ht="14.4">
      <c r="A1224" s="84">
        <v>46875</v>
      </c>
      <c r="B1224" s="85">
        <v>2028</v>
      </c>
      <c r="C1224" s="85">
        <v>5</v>
      </c>
      <c r="D1224" s="85" t="s">
        <v>65</v>
      </c>
      <c r="E1224" s="85">
        <v>2</v>
      </c>
      <c r="F1224" s="85">
        <v>2</v>
      </c>
      <c r="G1224" s="85">
        <f>--(F1224&lt;=Estimator!$B$7)</f>
        <v>1</v>
      </c>
      <c r="H1224" s="86">
        <f>SUMIFS('Climate Data'!$G$7:$G$366,'Climate Data'!$A$7:$A$366,Estimator!$B$4,'Climate Data'!$B$7:$B$366,C1224)</f>
        <v>0.23010752688172045</v>
      </c>
      <c r="I1224" s="87">
        <f>SUMIFS('Climate Data'!$H$7:$H$366,'Climate Data'!$A$7:$A$366,Estimator!$B$4,'Climate Data'!$B$7:$B$366,C1224)</f>
        <v>8.1448598130841123</v>
      </c>
      <c r="J1224" s="86">
        <f>SUMIFS('Wind Proxy'!$H$8:$H$19,'Wind Proxy'!$A$8:$A$19,Estimator!$B$4,'Wind Proxy'!$B$8:$B$19,C1224)</f>
        <v>0</v>
      </c>
    </row>
    <row r="1225" spans="1:10" ht="14.4">
      <c r="A1225" s="84">
        <v>46876</v>
      </c>
      <c r="B1225" s="85">
        <v>2028</v>
      </c>
      <c r="C1225" s="85">
        <v>5</v>
      </c>
      <c r="D1225" s="85" t="s">
        <v>65</v>
      </c>
      <c r="E1225" s="85">
        <v>3</v>
      </c>
      <c r="F1225" s="85">
        <v>3</v>
      </c>
      <c r="G1225" s="85">
        <f>--(F1225&lt;=Estimator!$B$7)</f>
        <v>1</v>
      </c>
      <c r="H1225" s="86">
        <f>SUMIFS('Climate Data'!$G$7:$G$366,'Climate Data'!$A$7:$A$366,Estimator!$B$4,'Climate Data'!$B$7:$B$366,C1225)</f>
        <v>0.23010752688172045</v>
      </c>
      <c r="I1225" s="87">
        <f>SUMIFS('Climate Data'!$H$7:$H$366,'Climate Data'!$A$7:$A$366,Estimator!$B$4,'Climate Data'!$B$7:$B$366,C1225)</f>
        <v>8.1448598130841123</v>
      </c>
      <c r="J1225" s="86">
        <f>SUMIFS('Wind Proxy'!$H$8:$H$19,'Wind Proxy'!$A$8:$A$19,Estimator!$B$4,'Wind Proxy'!$B$8:$B$19,C1225)</f>
        <v>0</v>
      </c>
    </row>
    <row r="1226" spans="1:10" ht="14.4">
      <c r="A1226" s="84">
        <v>46877</v>
      </c>
      <c r="B1226" s="85">
        <v>2028</v>
      </c>
      <c r="C1226" s="85">
        <v>5</v>
      </c>
      <c r="D1226" s="85" t="s">
        <v>65</v>
      </c>
      <c r="E1226" s="85">
        <v>4</v>
      </c>
      <c r="F1226" s="85">
        <v>4</v>
      </c>
      <c r="G1226" s="85">
        <f>--(F1226&lt;=Estimator!$B$7)</f>
        <v>1</v>
      </c>
      <c r="H1226" s="86">
        <f>SUMIFS('Climate Data'!$G$7:$G$366,'Climate Data'!$A$7:$A$366,Estimator!$B$4,'Climate Data'!$B$7:$B$366,C1226)</f>
        <v>0.23010752688172045</v>
      </c>
      <c r="I1226" s="87">
        <f>SUMIFS('Climate Data'!$H$7:$H$366,'Climate Data'!$A$7:$A$366,Estimator!$B$4,'Climate Data'!$B$7:$B$366,C1226)</f>
        <v>8.1448598130841123</v>
      </c>
      <c r="J1226" s="86">
        <f>SUMIFS('Wind Proxy'!$H$8:$H$19,'Wind Proxy'!$A$8:$A$19,Estimator!$B$4,'Wind Proxy'!$B$8:$B$19,C1226)</f>
        <v>0</v>
      </c>
    </row>
    <row r="1227" spans="1:10" ht="14.4">
      <c r="A1227" s="84">
        <v>46878</v>
      </c>
      <c r="B1227" s="85">
        <v>2028</v>
      </c>
      <c r="C1227" s="85">
        <v>5</v>
      </c>
      <c r="D1227" s="85" t="s">
        <v>65</v>
      </c>
      <c r="E1227" s="85">
        <v>5</v>
      </c>
      <c r="F1227" s="85">
        <v>5</v>
      </c>
      <c r="G1227" s="85">
        <f>--(F1227&lt;=Estimator!$B$7)</f>
        <v>1</v>
      </c>
      <c r="H1227" s="86">
        <f>SUMIFS('Climate Data'!$G$7:$G$366,'Climate Data'!$A$7:$A$366,Estimator!$B$4,'Climate Data'!$B$7:$B$366,C1227)</f>
        <v>0.23010752688172045</v>
      </c>
      <c r="I1227" s="87">
        <f>SUMIFS('Climate Data'!$H$7:$H$366,'Climate Data'!$A$7:$A$366,Estimator!$B$4,'Climate Data'!$B$7:$B$366,C1227)</f>
        <v>8.1448598130841123</v>
      </c>
      <c r="J1227" s="86">
        <f>SUMIFS('Wind Proxy'!$H$8:$H$19,'Wind Proxy'!$A$8:$A$19,Estimator!$B$4,'Wind Proxy'!$B$8:$B$19,C1227)</f>
        <v>0</v>
      </c>
    </row>
    <row r="1228" spans="1:10" ht="14.4">
      <c r="A1228" s="84">
        <v>46879</v>
      </c>
      <c r="B1228" s="85">
        <v>2028</v>
      </c>
      <c r="C1228" s="85">
        <v>5</v>
      </c>
      <c r="D1228" s="85" t="s">
        <v>65</v>
      </c>
      <c r="E1228" s="85">
        <v>6</v>
      </c>
      <c r="F1228" s="85">
        <v>6</v>
      </c>
      <c r="G1228" s="85">
        <f>--(F1228&lt;=Estimator!$B$7)</f>
        <v>0</v>
      </c>
      <c r="H1228" s="86">
        <f>SUMIFS('Climate Data'!$G$7:$G$366,'Climate Data'!$A$7:$A$366,Estimator!$B$4,'Climate Data'!$B$7:$B$366,C1228)</f>
        <v>0.23010752688172045</v>
      </c>
      <c r="I1228" s="87">
        <f>SUMIFS('Climate Data'!$H$7:$H$366,'Climate Data'!$A$7:$A$366,Estimator!$B$4,'Climate Data'!$B$7:$B$366,C1228)</f>
        <v>8.1448598130841123</v>
      </c>
      <c r="J1228" s="86">
        <f>SUMIFS('Wind Proxy'!$H$8:$H$19,'Wind Proxy'!$A$8:$A$19,Estimator!$B$4,'Wind Proxy'!$B$8:$B$19,C1228)</f>
        <v>0</v>
      </c>
    </row>
    <row r="1229" spans="1:10" ht="14.4">
      <c r="A1229" s="84">
        <v>46880</v>
      </c>
      <c r="B1229" s="85">
        <v>2028</v>
      </c>
      <c r="C1229" s="85">
        <v>5</v>
      </c>
      <c r="D1229" s="85" t="s">
        <v>65</v>
      </c>
      <c r="E1229" s="85">
        <v>7</v>
      </c>
      <c r="F1229" s="85">
        <v>7</v>
      </c>
      <c r="G1229" s="85">
        <f>--(F1229&lt;=Estimator!$B$7)</f>
        <v>0</v>
      </c>
      <c r="H1229" s="86">
        <f>SUMIFS('Climate Data'!$G$7:$G$366,'Climate Data'!$A$7:$A$366,Estimator!$B$4,'Climate Data'!$B$7:$B$366,C1229)</f>
        <v>0.23010752688172045</v>
      </c>
      <c r="I1229" s="87">
        <f>SUMIFS('Climate Data'!$H$7:$H$366,'Climate Data'!$A$7:$A$366,Estimator!$B$4,'Climate Data'!$B$7:$B$366,C1229)</f>
        <v>8.1448598130841123</v>
      </c>
      <c r="J1229" s="86">
        <f>SUMIFS('Wind Proxy'!$H$8:$H$19,'Wind Proxy'!$A$8:$A$19,Estimator!$B$4,'Wind Proxy'!$B$8:$B$19,C1229)</f>
        <v>0</v>
      </c>
    </row>
    <row r="1230" spans="1:10" ht="14.4">
      <c r="A1230" s="84">
        <v>46881</v>
      </c>
      <c r="B1230" s="85">
        <v>2028</v>
      </c>
      <c r="C1230" s="85">
        <v>5</v>
      </c>
      <c r="D1230" s="85" t="s">
        <v>65</v>
      </c>
      <c r="E1230" s="85">
        <v>8</v>
      </c>
      <c r="F1230" s="85">
        <v>1</v>
      </c>
      <c r="G1230" s="85">
        <f>--(F1230&lt;=Estimator!$B$7)</f>
        <v>1</v>
      </c>
      <c r="H1230" s="86">
        <f>SUMIFS('Climate Data'!$G$7:$G$366,'Climate Data'!$A$7:$A$366,Estimator!$B$4,'Climate Data'!$B$7:$B$366,C1230)</f>
        <v>0.23010752688172045</v>
      </c>
      <c r="I1230" s="87">
        <f>SUMIFS('Climate Data'!$H$7:$H$366,'Climate Data'!$A$7:$A$366,Estimator!$B$4,'Climate Data'!$B$7:$B$366,C1230)</f>
        <v>8.1448598130841123</v>
      </c>
      <c r="J1230" s="86">
        <f>SUMIFS('Wind Proxy'!$H$8:$H$19,'Wind Proxy'!$A$8:$A$19,Estimator!$B$4,'Wind Proxy'!$B$8:$B$19,C1230)</f>
        <v>0</v>
      </c>
    </row>
    <row r="1231" spans="1:10" ht="14.4">
      <c r="A1231" s="84">
        <v>46882</v>
      </c>
      <c r="B1231" s="85">
        <v>2028</v>
      </c>
      <c r="C1231" s="85">
        <v>5</v>
      </c>
      <c r="D1231" s="85" t="s">
        <v>65</v>
      </c>
      <c r="E1231" s="85">
        <v>9</v>
      </c>
      <c r="F1231" s="85">
        <v>2</v>
      </c>
      <c r="G1231" s="85">
        <f>--(F1231&lt;=Estimator!$B$7)</f>
        <v>1</v>
      </c>
      <c r="H1231" s="86">
        <f>SUMIFS('Climate Data'!$G$7:$G$366,'Climate Data'!$A$7:$A$366,Estimator!$B$4,'Climate Data'!$B$7:$B$366,C1231)</f>
        <v>0.23010752688172045</v>
      </c>
      <c r="I1231" s="87">
        <f>SUMIFS('Climate Data'!$H$7:$H$366,'Climate Data'!$A$7:$A$366,Estimator!$B$4,'Climate Data'!$B$7:$B$366,C1231)</f>
        <v>8.1448598130841123</v>
      </c>
      <c r="J1231" s="86">
        <f>SUMIFS('Wind Proxy'!$H$8:$H$19,'Wind Proxy'!$A$8:$A$19,Estimator!$B$4,'Wind Proxy'!$B$8:$B$19,C1231)</f>
        <v>0</v>
      </c>
    </row>
    <row r="1232" spans="1:10" ht="14.4">
      <c r="A1232" s="84">
        <v>46883</v>
      </c>
      <c r="B1232" s="85">
        <v>2028</v>
      </c>
      <c r="C1232" s="85">
        <v>5</v>
      </c>
      <c r="D1232" s="85" t="s">
        <v>65</v>
      </c>
      <c r="E1232" s="85">
        <v>10</v>
      </c>
      <c r="F1232" s="85">
        <v>3</v>
      </c>
      <c r="G1232" s="85">
        <f>--(F1232&lt;=Estimator!$B$7)</f>
        <v>1</v>
      </c>
      <c r="H1232" s="86">
        <f>SUMIFS('Climate Data'!$G$7:$G$366,'Climate Data'!$A$7:$A$366,Estimator!$B$4,'Climate Data'!$B$7:$B$366,C1232)</f>
        <v>0.23010752688172045</v>
      </c>
      <c r="I1232" s="87">
        <f>SUMIFS('Climate Data'!$H$7:$H$366,'Climate Data'!$A$7:$A$366,Estimator!$B$4,'Climate Data'!$B$7:$B$366,C1232)</f>
        <v>8.1448598130841123</v>
      </c>
      <c r="J1232" s="86">
        <f>SUMIFS('Wind Proxy'!$H$8:$H$19,'Wind Proxy'!$A$8:$A$19,Estimator!$B$4,'Wind Proxy'!$B$8:$B$19,C1232)</f>
        <v>0</v>
      </c>
    </row>
    <row r="1233" spans="1:10" ht="14.4">
      <c r="A1233" s="84">
        <v>46884</v>
      </c>
      <c r="B1233" s="85">
        <v>2028</v>
      </c>
      <c r="C1233" s="85">
        <v>5</v>
      </c>
      <c r="D1233" s="85" t="s">
        <v>65</v>
      </c>
      <c r="E1233" s="85">
        <v>11</v>
      </c>
      <c r="F1233" s="85">
        <v>4</v>
      </c>
      <c r="G1233" s="85">
        <f>--(F1233&lt;=Estimator!$B$7)</f>
        <v>1</v>
      </c>
      <c r="H1233" s="86">
        <f>SUMIFS('Climate Data'!$G$7:$G$366,'Climate Data'!$A$7:$A$366,Estimator!$B$4,'Climate Data'!$B$7:$B$366,C1233)</f>
        <v>0.23010752688172045</v>
      </c>
      <c r="I1233" s="87">
        <f>SUMIFS('Climate Data'!$H$7:$H$366,'Climate Data'!$A$7:$A$366,Estimator!$B$4,'Climate Data'!$B$7:$B$366,C1233)</f>
        <v>8.1448598130841123</v>
      </c>
      <c r="J1233" s="86">
        <f>SUMIFS('Wind Proxy'!$H$8:$H$19,'Wind Proxy'!$A$8:$A$19,Estimator!$B$4,'Wind Proxy'!$B$8:$B$19,C1233)</f>
        <v>0</v>
      </c>
    </row>
    <row r="1234" spans="1:10" ht="14.4">
      <c r="A1234" s="84">
        <v>46885</v>
      </c>
      <c r="B1234" s="85">
        <v>2028</v>
      </c>
      <c r="C1234" s="85">
        <v>5</v>
      </c>
      <c r="D1234" s="85" t="s">
        <v>65</v>
      </c>
      <c r="E1234" s="85">
        <v>12</v>
      </c>
      <c r="F1234" s="85">
        <v>5</v>
      </c>
      <c r="G1234" s="85">
        <f>--(F1234&lt;=Estimator!$B$7)</f>
        <v>1</v>
      </c>
      <c r="H1234" s="86">
        <f>SUMIFS('Climate Data'!$G$7:$G$366,'Climate Data'!$A$7:$A$366,Estimator!$B$4,'Climate Data'!$B$7:$B$366,C1234)</f>
        <v>0.23010752688172045</v>
      </c>
      <c r="I1234" s="87">
        <f>SUMIFS('Climate Data'!$H$7:$H$366,'Climate Data'!$A$7:$A$366,Estimator!$B$4,'Climate Data'!$B$7:$B$366,C1234)</f>
        <v>8.1448598130841123</v>
      </c>
      <c r="J1234" s="86">
        <f>SUMIFS('Wind Proxy'!$H$8:$H$19,'Wind Proxy'!$A$8:$A$19,Estimator!$B$4,'Wind Proxy'!$B$8:$B$19,C1234)</f>
        <v>0</v>
      </c>
    </row>
    <row r="1235" spans="1:10" ht="14.4">
      <c r="A1235" s="84">
        <v>46886</v>
      </c>
      <c r="B1235" s="85">
        <v>2028</v>
      </c>
      <c r="C1235" s="85">
        <v>5</v>
      </c>
      <c r="D1235" s="85" t="s">
        <v>65</v>
      </c>
      <c r="E1235" s="85">
        <v>13</v>
      </c>
      <c r="F1235" s="85">
        <v>6</v>
      </c>
      <c r="G1235" s="85">
        <f>--(F1235&lt;=Estimator!$B$7)</f>
        <v>0</v>
      </c>
      <c r="H1235" s="86">
        <f>SUMIFS('Climate Data'!$G$7:$G$366,'Climate Data'!$A$7:$A$366,Estimator!$B$4,'Climate Data'!$B$7:$B$366,C1235)</f>
        <v>0.23010752688172045</v>
      </c>
      <c r="I1235" s="87">
        <f>SUMIFS('Climate Data'!$H$7:$H$366,'Climate Data'!$A$7:$A$366,Estimator!$B$4,'Climate Data'!$B$7:$B$366,C1235)</f>
        <v>8.1448598130841123</v>
      </c>
      <c r="J1235" s="86">
        <f>SUMIFS('Wind Proxy'!$H$8:$H$19,'Wind Proxy'!$A$8:$A$19,Estimator!$B$4,'Wind Proxy'!$B$8:$B$19,C1235)</f>
        <v>0</v>
      </c>
    </row>
    <row r="1236" spans="1:10" ht="14.4">
      <c r="A1236" s="84">
        <v>46887</v>
      </c>
      <c r="B1236" s="85">
        <v>2028</v>
      </c>
      <c r="C1236" s="85">
        <v>5</v>
      </c>
      <c r="D1236" s="85" t="s">
        <v>65</v>
      </c>
      <c r="E1236" s="85">
        <v>14</v>
      </c>
      <c r="F1236" s="85">
        <v>7</v>
      </c>
      <c r="G1236" s="85">
        <f>--(F1236&lt;=Estimator!$B$7)</f>
        <v>0</v>
      </c>
      <c r="H1236" s="86">
        <f>SUMIFS('Climate Data'!$G$7:$G$366,'Climate Data'!$A$7:$A$366,Estimator!$B$4,'Climate Data'!$B$7:$B$366,C1236)</f>
        <v>0.23010752688172045</v>
      </c>
      <c r="I1236" s="87">
        <f>SUMIFS('Climate Data'!$H$7:$H$366,'Climate Data'!$A$7:$A$366,Estimator!$B$4,'Climate Data'!$B$7:$B$366,C1236)</f>
        <v>8.1448598130841123</v>
      </c>
      <c r="J1236" s="86">
        <f>SUMIFS('Wind Proxy'!$H$8:$H$19,'Wind Proxy'!$A$8:$A$19,Estimator!$B$4,'Wind Proxy'!$B$8:$B$19,C1236)</f>
        <v>0</v>
      </c>
    </row>
    <row r="1237" spans="1:10" ht="14.4">
      <c r="A1237" s="84">
        <v>46888</v>
      </c>
      <c r="B1237" s="85">
        <v>2028</v>
      </c>
      <c r="C1237" s="85">
        <v>5</v>
      </c>
      <c r="D1237" s="85" t="s">
        <v>65</v>
      </c>
      <c r="E1237" s="85">
        <v>15</v>
      </c>
      <c r="F1237" s="85">
        <v>1</v>
      </c>
      <c r="G1237" s="85">
        <f>--(F1237&lt;=Estimator!$B$7)</f>
        <v>1</v>
      </c>
      <c r="H1237" s="86">
        <f>SUMIFS('Climate Data'!$G$7:$G$366,'Climate Data'!$A$7:$A$366,Estimator!$B$4,'Climate Data'!$B$7:$B$366,C1237)</f>
        <v>0.23010752688172045</v>
      </c>
      <c r="I1237" s="87">
        <f>SUMIFS('Climate Data'!$H$7:$H$366,'Climate Data'!$A$7:$A$366,Estimator!$B$4,'Climate Data'!$B$7:$B$366,C1237)</f>
        <v>8.1448598130841123</v>
      </c>
      <c r="J1237" s="86">
        <f>SUMIFS('Wind Proxy'!$H$8:$H$19,'Wind Proxy'!$A$8:$A$19,Estimator!$B$4,'Wind Proxy'!$B$8:$B$19,C1237)</f>
        <v>0</v>
      </c>
    </row>
    <row r="1238" spans="1:10" ht="14.4">
      <c r="A1238" s="84">
        <v>46889</v>
      </c>
      <c r="B1238" s="85">
        <v>2028</v>
      </c>
      <c r="C1238" s="85">
        <v>5</v>
      </c>
      <c r="D1238" s="85" t="s">
        <v>65</v>
      </c>
      <c r="E1238" s="85">
        <v>16</v>
      </c>
      <c r="F1238" s="85">
        <v>2</v>
      </c>
      <c r="G1238" s="85">
        <f>--(F1238&lt;=Estimator!$B$7)</f>
        <v>1</v>
      </c>
      <c r="H1238" s="86">
        <f>SUMIFS('Climate Data'!$G$7:$G$366,'Climate Data'!$A$7:$A$366,Estimator!$B$4,'Climate Data'!$B$7:$B$366,C1238)</f>
        <v>0.23010752688172045</v>
      </c>
      <c r="I1238" s="87">
        <f>SUMIFS('Climate Data'!$H$7:$H$366,'Climate Data'!$A$7:$A$366,Estimator!$B$4,'Climate Data'!$B$7:$B$366,C1238)</f>
        <v>8.1448598130841123</v>
      </c>
      <c r="J1238" s="86">
        <f>SUMIFS('Wind Proxy'!$H$8:$H$19,'Wind Proxy'!$A$8:$A$19,Estimator!$B$4,'Wind Proxy'!$B$8:$B$19,C1238)</f>
        <v>0</v>
      </c>
    </row>
    <row r="1239" spans="1:10" ht="14.4">
      <c r="A1239" s="84">
        <v>46890</v>
      </c>
      <c r="B1239" s="85">
        <v>2028</v>
      </c>
      <c r="C1239" s="85">
        <v>5</v>
      </c>
      <c r="D1239" s="85" t="s">
        <v>65</v>
      </c>
      <c r="E1239" s="85">
        <v>17</v>
      </c>
      <c r="F1239" s="85">
        <v>3</v>
      </c>
      <c r="G1239" s="85">
        <f>--(F1239&lt;=Estimator!$B$7)</f>
        <v>1</v>
      </c>
      <c r="H1239" s="86">
        <f>SUMIFS('Climate Data'!$G$7:$G$366,'Climate Data'!$A$7:$A$366,Estimator!$B$4,'Climate Data'!$B$7:$B$366,C1239)</f>
        <v>0.23010752688172045</v>
      </c>
      <c r="I1239" s="87">
        <f>SUMIFS('Climate Data'!$H$7:$H$366,'Climate Data'!$A$7:$A$366,Estimator!$B$4,'Climate Data'!$B$7:$B$366,C1239)</f>
        <v>8.1448598130841123</v>
      </c>
      <c r="J1239" s="86">
        <f>SUMIFS('Wind Proxy'!$H$8:$H$19,'Wind Proxy'!$A$8:$A$19,Estimator!$B$4,'Wind Proxy'!$B$8:$B$19,C1239)</f>
        <v>0</v>
      </c>
    </row>
    <row r="1240" spans="1:10" ht="14.4">
      <c r="A1240" s="84">
        <v>46891</v>
      </c>
      <c r="B1240" s="85">
        <v>2028</v>
      </c>
      <c r="C1240" s="85">
        <v>5</v>
      </c>
      <c r="D1240" s="85" t="s">
        <v>65</v>
      </c>
      <c r="E1240" s="85">
        <v>18</v>
      </c>
      <c r="F1240" s="85">
        <v>4</v>
      </c>
      <c r="G1240" s="85">
        <f>--(F1240&lt;=Estimator!$B$7)</f>
        <v>1</v>
      </c>
      <c r="H1240" s="86">
        <f>SUMIFS('Climate Data'!$G$7:$G$366,'Climate Data'!$A$7:$A$366,Estimator!$B$4,'Climate Data'!$B$7:$B$366,C1240)</f>
        <v>0.23010752688172045</v>
      </c>
      <c r="I1240" s="87">
        <f>SUMIFS('Climate Data'!$H$7:$H$366,'Climate Data'!$A$7:$A$366,Estimator!$B$4,'Climate Data'!$B$7:$B$366,C1240)</f>
        <v>8.1448598130841123</v>
      </c>
      <c r="J1240" s="86">
        <f>SUMIFS('Wind Proxy'!$H$8:$H$19,'Wind Proxy'!$A$8:$A$19,Estimator!$B$4,'Wind Proxy'!$B$8:$B$19,C1240)</f>
        <v>0</v>
      </c>
    </row>
    <row r="1241" spans="1:10" ht="14.4">
      <c r="A1241" s="84">
        <v>46892</v>
      </c>
      <c r="B1241" s="85">
        <v>2028</v>
      </c>
      <c r="C1241" s="85">
        <v>5</v>
      </c>
      <c r="D1241" s="85" t="s">
        <v>65</v>
      </c>
      <c r="E1241" s="85">
        <v>19</v>
      </c>
      <c r="F1241" s="85">
        <v>5</v>
      </c>
      <c r="G1241" s="85">
        <f>--(F1241&lt;=Estimator!$B$7)</f>
        <v>1</v>
      </c>
      <c r="H1241" s="86">
        <f>SUMIFS('Climate Data'!$G$7:$G$366,'Climate Data'!$A$7:$A$366,Estimator!$B$4,'Climate Data'!$B$7:$B$366,C1241)</f>
        <v>0.23010752688172045</v>
      </c>
      <c r="I1241" s="87">
        <f>SUMIFS('Climate Data'!$H$7:$H$366,'Climate Data'!$A$7:$A$366,Estimator!$B$4,'Climate Data'!$B$7:$B$366,C1241)</f>
        <v>8.1448598130841123</v>
      </c>
      <c r="J1241" s="86">
        <f>SUMIFS('Wind Proxy'!$H$8:$H$19,'Wind Proxy'!$A$8:$A$19,Estimator!$B$4,'Wind Proxy'!$B$8:$B$19,C1241)</f>
        <v>0</v>
      </c>
    </row>
    <row r="1242" spans="1:10" ht="14.4">
      <c r="A1242" s="84">
        <v>46893</v>
      </c>
      <c r="B1242" s="85">
        <v>2028</v>
      </c>
      <c r="C1242" s="85">
        <v>5</v>
      </c>
      <c r="D1242" s="85" t="s">
        <v>65</v>
      </c>
      <c r="E1242" s="85">
        <v>20</v>
      </c>
      <c r="F1242" s="85">
        <v>6</v>
      </c>
      <c r="G1242" s="85">
        <f>--(F1242&lt;=Estimator!$B$7)</f>
        <v>0</v>
      </c>
      <c r="H1242" s="86">
        <f>SUMIFS('Climate Data'!$G$7:$G$366,'Climate Data'!$A$7:$A$366,Estimator!$B$4,'Climate Data'!$B$7:$B$366,C1242)</f>
        <v>0.23010752688172045</v>
      </c>
      <c r="I1242" s="87">
        <f>SUMIFS('Climate Data'!$H$7:$H$366,'Climate Data'!$A$7:$A$366,Estimator!$B$4,'Climate Data'!$B$7:$B$366,C1242)</f>
        <v>8.1448598130841123</v>
      </c>
      <c r="J1242" s="86">
        <f>SUMIFS('Wind Proxy'!$H$8:$H$19,'Wind Proxy'!$A$8:$A$19,Estimator!$B$4,'Wind Proxy'!$B$8:$B$19,C1242)</f>
        <v>0</v>
      </c>
    </row>
    <row r="1243" spans="1:10" ht="14.4">
      <c r="A1243" s="84">
        <v>46894</v>
      </c>
      <c r="B1243" s="85">
        <v>2028</v>
      </c>
      <c r="C1243" s="85">
        <v>5</v>
      </c>
      <c r="D1243" s="85" t="s">
        <v>65</v>
      </c>
      <c r="E1243" s="85">
        <v>21</v>
      </c>
      <c r="F1243" s="85">
        <v>7</v>
      </c>
      <c r="G1243" s="85">
        <f>--(F1243&lt;=Estimator!$B$7)</f>
        <v>0</v>
      </c>
      <c r="H1243" s="86">
        <f>SUMIFS('Climate Data'!$G$7:$G$366,'Climate Data'!$A$7:$A$366,Estimator!$B$4,'Climate Data'!$B$7:$B$366,C1243)</f>
        <v>0.23010752688172045</v>
      </c>
      <c r="I1243" s="87">
        <f>SUMIFS('Climate Data'!$H$7:$H$366,'Climate Data'!$A$7:$A$366,Estimator!$B$4,'Climate Data'!$B$7:$B$366,C1243)</f>
        <v>8.1448598130841123</v>
      </c>
      <c r="J1243" s="86">
        <f>SUMIFS('Wind Proxy'!$H$8:$H$19,'Wind Proxy'!$A$8:$A$19,Estimator!$B$4,'Wind Proxy'!$B$8:$B$19,C1243)</f>
        <v>0</v>
      </c>
    </row>
    <row r="1244" spans="1:10" ht="14.4">
      <c r="A1244" s="84">
        <v>46895</v>
      </c>
      <c r="B1244" s="85">
        <v>2028</v>
      </c>
      <c r="C1244" s="85">
        <v>5</v>
      </c>
      <c r="D1244" s="85" t="s">
        <v>65</v>
      </c>
      <c r="E1244" s="85">
        <v>22</v>
      </c>
      <c r="F1244" s="85">
        <v>1</v>
      </c>
      <c r="G1244" s="85">
        <f>--(F1244&lt;=Estimator!$B$7)</f>
        <v>1</v>
      </c>
      <c r="H1244" s="86">
        <f>SUMIFS('Climate Data'!$G$7:$G$366,'Climate Data'!$A$7:$A$366,Estimator!$B$4,'Climate Data'!$B$7:$B$366,C1244)</f>
        <v>0.23010752688172045</v>
      </c>
      <c r="I1244" s="87">
        <f>SUMIFS('Climate Data'!$H$7:$H$366,'Climate Data'!$A$7:$A$366,Estimator!$B$4,'Climate Data'!$B$7:$B$366,C1244)</f>
        <v>8.1448598130841123</v>
      </c>
      <c r="J1244" s="86">
        <f>SUMIFS('Wind Proxy'!$H$8:$H$19,'Wind Proxy'!$A$8:$A$19,Estimator!$B$4,'Wind Proxy'!$B$8:$B$19,C1244)</f>
        <v>0</v>
      </c>
    </row>
    <row r="1245" spans="1:10" ht="14.4">
      <c r="A1245" s="84">
        <v>46896</v>
      </c>
      <c r="B1245" s="85">
        <v>2028</v>
      </c>
      <c r="C1245" s="85">
        <v>5</v>
      </c>
      <c r="D1245" s="85" t="s">
        <v>65</v>
      </c>
      <c r="E1245" s="85">
        <v>23</v>
      </c>
      <c r="F1245" s="85">
        <v>2</v>
      </c>
      <c r="G1245" s="85">
        <f>--(F1245&lt;=Estimator!$B$7)</f>
        <v>1</v>
      </c>
      <c r="H1245" s="86">
        <f>SUMIFS('Climate Data'!$G$7:$G$366,'Climate Data'!$A$7:$A$366,Estimator!$B$4,'Climate Data'!$B$7:$B$366,C1245)</f>
        <v>0.23010752688172045</v>
      </c>
      <c r="I1245" s="87">
        <f>SUMIFS('Climate Data'!$H$7:$H$366,'Climate Data'!$A$7:$A$366,Estimator!$B$4,'Climate Data'!$B$7:$B$366,C1245)</f>
        <v>8.1448598130841123</v>
      </c>
      <c r="J1245" s="86">
        <f>SUMIFS('Wind Proxy'!$H$8:$H$19,'Wind Proxy'!$A$8:$A$19,Estimator!$B$4,'Wind Proxy'!$B$8:$B$19,C1245)</f>
        <v>0</v>
      </c>
    </row>
    <row r="1246" spans="1:10" ht="14.4">
      <c r="A1246" s="84">
        <v>46897</v>
      </c>
      <c r="B1246" s="85">
        <v>2028</v>
      </c>
      <c r="C1246" s="85">
        <v>5</v>
      </c>
      <c r="D1246" s="85" t="s">
        <v>65</v>
      </c>
      <c r="E1246" s="85">
        <v>24</v>
      </c>
      <c r="F1246" s="85">
        <v>3</v>
      </c>
      <c r="G1246" s="85">
        <f>--(F1246&lt;=Estimator!$B$7)</f>
        <v>1</v>
      </c>
      <c r="H1246" s="86">
        <f>SUMIFS('Climate Data'!$G$7:$G$366,'Climate Data'!$A$7:$A$366,Estimator!$B$4,'Climate Data'!$B$7:$B$366,C1246)</f>
        <v>0.23010752688172045</v>
      </c>
      <c r="I1246" s="87">
        <f>SUMIFS('Climate Data'!$H$7:$H$366,'Climate Data'!$A$7:$A$366,Estimator!$B$4,'Climate Data'!$B$7:$B$366,C1246)</f>
        <v>8.1448598130841123</v>
      </c>
      <c r="J1246" s="86">
        <f>SUMIFS('Wind Proxy'!$H$8:$H$19,'Wind Proxy'!$A$8:$A$19,Estimator!$B$4,'Wind Proxy'!$B$8:$B$19,C1246)</f>
        <v>0</v>
      </c>
    </row>
    <row r="1247" spans="1:10" ht="14.4">
      <c r="A1247" s="84">
        <v>46898</v>
      </c>
      <c r="B1247" s="85">
        <v>2028</v>
      </c>
      <c r="C1247" s="85">
        <v>5</v>
      </c>
      <c r="D1247" s="85" t="s">
        <v>65</v>
      </c>
      <c r="E1247" s="85">
        <v>25</v>
      </c>
      <c r="F1247" s="85">
        <v>4</v>
      </c>
      <c r="G1247" s="85">
        <f>--(F1247&lt;=Estimator!$B$7)</f>
        <v>1</v>
      </c>
      <c r="H1247" s="86">
        <f>SUMIFS('Climate Data'!$G$7:$G$366,'Climate Data'!$A$7:$A$366,Estimator!$B$4,'Climate Data'!$B$7:$B$366,C1247)</f>
        <v>0.23010752688172045</v>
      </c>
      <c r="I1247" s="87">
        <f>SUMIFS('Climate Data'!$H$7:$H$366,'Climate Data'!$A$7:$A$366,Estimator!$B$4,'Climate Data'!$B$7:$B$366,C1247)</f>
        <v>8.1448598130841123</v>
      </c>
      <c r="J1247" s="86">
        <f>SUMIFS('Wind Proxy'!$H$8:$H$19,'Wind Proxy'!$A$8:$A$19,Estimator!$B$4,'Wind Proxy'!$B$8:$B$19,C1247)</f>
        <v>0</v>
      </c>
    </row>
    <row r="1248" spans="1:10" ht="14.4">
      <c r="A1248" s="84">
        <v>46899</v>
      </c>
      <c r="B1248" s="85">
        <v>2028</v>
      </c>
      <c r="C1248" s="85">
        <v>5</v>
      </c>
      <c r="D1248" s="85" t="s">
        <v>65</v>
      </c>
      <c r="E1248" s="85">
        <v>26</v>
      </c>
      <c r="F1248" s="85">
        <v>5</v>
      </c>
      <c r="G1248" s="85">
        <f>--(F1248&lt;=Estimator!$B$7)</f>
        <v>1</v>
      </c>
      <c r="H1248" s="86">
        <f>SUMIFS('Climate Data'!$G$7:$G$366,'Climate Data'!$A$7:$A$366,Estimator!$B$4,'Climate Data'!$B$7:$B$366,C1248)</f>
        <v>0.23010752688172045</v>
      </c>
      <c r="I1248" s="87">
        <f>SUMIFS('Climate Data'!$H$7:$H$366,'Climate Data'!$A$7:$A$366,Estimator!$B$4,'Climate Data'!$B$7:$B$366,C1248)</f>
        <v>8.1448598130841123</v>
      </c>
      <c r="J1248" s="86">
        <f>SUMIFS('Wind Proxy'!$H$8:$H$19,'Wind Proxy'!$A$8:$A$19,Estimator!$B$4,'Wind Proxy'!$B$8:$B$19,C1248)</f>
        <v>0</v>
      </c>
    </row>
    <row r="1249" spans="1:10" ht="14.4">
      <c r="A1249" s="84">
        <v>46900</v>
      </c>
      <c r="B1249" s="85">
        <v>2028</v>
      </c>
      <c r="C1249" s="85">
        <v>5</v>
      </c>
      <c r="D1249" s="85" t="s">
        <v>65</v>
      </c>
      <c r="E1249" s="85">
        <v>27</v>
      </c>
      <c r="F1249" s="85">
        <v>6</v>
      </c>
      <c r="G1249" s="85">
        <f>--(F1249&lt;=Estimator!$B$7)</f>
        <v>0</v>
      </c>
      <c r="H1249" s="86">
        <f>SUMIFS('Climate Data'!$G$7:$G$366,'Climate Data'!$A$7:$A$366,Estimator!$B$4,'Climate Data'!$B$7:$B$366,C1249)</f>
        <v>0.23010752688172045</v>
      </c>
      <c r="I1249" s="87">
        <f>SUMIFS('Climate Data'!$H$7:$H$366,'Climate Data'!$A$7:$A$366,Estimator!$B$4,'Climate Data'!$B$7:$B$366,C1249)</f>
        <v>8.1448598130841123</v>
      </c>
      <c r="J1249" s="86">
        <f>SUMIFS('Wind Proxy'!$H$8:$H$19,'Wind Proxy'!$A$8:$A$19,Estimator!$B$4,'Wind Proxy'!$B$8:$B$19,C1249)</f>
        <v>0</v>
      </c>
    </row>
    <row r="1250" spans="1:10" ht="14.4">
      <c r="A1250" s="84">
        <v>46901</v>
      </c>
      <c r="B1250" s="85">
        <v>2028</v>
      </c>
      <c r="C1250" s="85">
        <v>5</v>
      </c>
      <c r="D1250" s="85" t="s">
        <v>65</v>
      </c>
      <c r="E1250" s="85">
        <v>28</v>
      </c>
      <c r="F1250" s="85">
        <v>7</v>
      </c>
      <c r="G1250" s="85">
        <f>--(F1250&lt;=Estimator!$B$7)</f>
        <v>0</v>
      </c>
      <c r="H1250" s="86">
        <f>SUMIFS('Climate Data'!$G$7:$G$366,'Climate Data'!$A$7:$A$366,Estimator!$B$4,'Climate Data'!$B$7:$B$366,C1250)</f>
        <v>0.23010752688172045</v>
      </c>
      <c r="I1250" s="87">
        <f>SUMIFS('Climate Data'!$H$7:$H$366,'Climate Data'!$A$7:$A$366,Estimator!$B$4,'Climate Data'!$B$7:$B$366,C1250)</f>
        <v>8.1448598130841123</v>
      </c>
      <c r="J1250" s="86">
        <f>SUMIFS('Wind Proxy'!$H$8:$H$19,'Wind Proxy'!$A$8:$A$19,Estimator!$B$4,'Wind Proxy'!$B$8:$B$19,C1250)</f>
        <v>0</v>
      </c>
    </row>
    <row r="1251" spans="1:10" ht="14.4">
      <c r="A1251" s="84">
        <v>46902</v>
      </c>
      <c r="B1251" s="85">
        <v>2028</v>
      </c>
      <c r="C1251" s="85">
        <v>5</v>
      </c>
      <c r="D1251" s="85" t="s">
        <v>65</v>
      </c>
      <c r="E1251" s="85">
        <v>29</v>
      </c>
      <c r="F1251" s="85">
        <v>1</v>
      </c>
      <c r="G1251" s="85">
        <f>--(F1251&lt;=Estimator!$B$7)</f>
        <v>1</v>
      </c>
      <c r="H1251" s="86">
        <f>SUMIFS('Climate Data'!$G$7:$G$366,'Climate Data'!$A$7:$A$366,Estimator!$B$4,'Climate Data'!$B$7:$B$366,C1251)</f>
        <v>0.23010752688172045</v>
      </c>
      <c r="I1251" s="87">
        <f>SUMIFS('Climate Data'!$H$7:$H$366,'Climate Data'!$A$7:$A$366,Estimator!$B$4,'Climate Data'!$B$7:$B$366,C1251)</f>
        <v>8.1448598130841123</v>
      </c>
      <c r="J1251" s="86">
        <f>SUMIFS('Wind Proxy'!$H$8:$H$19,'Wind Proxy'!$A$8:$A$19,Estimator!$B$4,'Wind Proxy'!$B$8:$B$19,C1251)</f>
        <v>0</v>
      </c>
    </row>
    <row r="1252" spans="1:10" ht="14.4">
      <c r="A1252" s="84">
        <v>46903</v>
      </c>
      <c r="B1252" s="85">
        <v>2028</v>
      </c>
      <c r="C1252" s="85">
        <v>5</v>
      </c>
      <c r="D1252" s="85" t="s">
        <v>65</v>
      </c>
      <c r="E1252" s="85">
        <v>30</v>
      </c>
      <c r="F1252" s="85">
        <v>2</v>
      </c>
      <c r="G1252" s="85">
        <f>--(F1252&lt;=Estimator!$B$7)</f>
        <v>1</v>
      </c>
      <c r="H1252" s="86">
        <f>SUMIFS('Climate Data'!$G$7:$G$366,'Climate Data'!$A$7:$A$366,Estimator!$B$4,'Climate Data'!$B$7:$B$366,C1252)</f>
        <v>0.23010752688172045</v>
      </c>
      <c r="I1252" s="87">
        <f>SUMIFS('Climate Data'!$H$7:$H$366,'Climate Data'!$A$7:$A$366,Estimator!$B$4,'Climate Data'!$B$7:$B$366,C1252)</f>
        <v>8.1448598130841123</v>
      </c>
      <c r="J1252" s="86">
        <f>SUMIFS('Wind Proxy'!$H$8:$H$19,'Wind Proxy'!$A$8:$A$19,Estimator!$B$4,'Wind Proxy'!$B$8:$B$19,C1252)</f>
        <v>0</v>
      </c>
    </row>
    <row r="1253" spans="1:10" ht="14.4">
      <c r="A1253" s="84">
        <v>46904</v>
      </c>
      <c r="B1253" s="85">
        <v>2028</v>
      </c>
      <c r="C1253" s="85">
        <v>5</v>
      </c>
      <c r="D1253" s="85" t="s">
        <v>65</v>
      </c>
      <c r="E1253" s="85">
        <v>31</v>
      </c>
      <c r="F1253" s="85">
        <v>3</v>
      </c>
      <c r="G1253" s="85">
        <f>--(F1253&lt;=Estimator!$B$7)</f>
        <v>1</v>
      </c>
      <c r="H1253" s="86">
        <f>SUMIFS('Climate Data'!$G$7:$G$366,'Climate Data'!$A$7:$A$366,Estimator!$B$4,'Climate Data'!$B$7:$B$366,C1253)</f>
        <v>0.23010752688172045</v>
      </c>
      <c r="I1253" s="87">
        <f>SUMIFS('Climate Data'!$H$7:$H$366,'Climate Data'!$A$7:$A$366,Estimator!$B$4,'Climate Data'!$B$7:$B$366,C1253)</f>
        <v>8.1448598130841123</v>
      </c>
      <c r="J1253" s="86">
        <f>SUMIFS('Wind Proxy'!$H$8:$H$19,'Wind Proxy'!$A$8:$A$19,Estimator!$B$4,'Wind Proxy'!$B$8:$B$19,C1253)</f>
        <v>0</v>
      </c>
    </row>
    <row r="1254" spans="1:10" ht="14.4">
      <c r="A1254" s="84">
        <v>46905</v>
      </c>
      <c r="B1254" s="85">
        <v>2028</v>
      </c>
      <c r="C1254" s="85">
        <v>6</v>
      </c>
      <c r="D1254" s="85" t="s">
        <v>68</v>
      </c>
      <c r="E1254" s="85">
        <v>1</v>
      </c>
      <c r="F1254" s="85">
        <v>4</v>
      </c>
      <c r="G1254" s="85">
        <f>--(F1254&lt;=Estimator!$B$7)</f>
        <v>1</v>
      </c>
      <c r="H1254" s="86">
        <f>SUMIFS('Climate Data'!$G$7:$G$366,'Climate Data'!$A$7:$A$366,Estimator!$B$4,'Climate Data'!$B$7:$B$366,C1254)</f>
        <v>0.28666666666666668</v>
      </c>
      <c r="I1254" s="87">
        <f>SUMIFS('Climate Data'!$H$7:$H$366,'Climate Data'!$A$7:$A$366,Estimator!$B$4,'Climate Data'!$B$7:$B$366,C1254)</f>
        <v>7.941860465116279</v>
      </c>
      <c r="J1254" s="86">
        <f>SUMIFS('Wind Proxy'!$H$8:$H$19,'Wind Proxy'!$A$8:$A$19,Estimator!$B$4,'Wind Proxy'!$B$8:$B$19,C1254)</f>
        <v>0</v>
      </c>
    </row>
    <row r="1255" spans="1:10" ht="14.4">
      <c r="A1255" s="84">
        <v>46906</v>
      </c>
      <c r="B1255" s="85">
        <v>2028</v>
      </c>
      <c r="C1255" s="85">
        <v>6</v>
      </c>
      <c r="D1255" s="85" t="s">
        <v>68</v>
      </c>
      <c r="E1255" s="85">
        <v>2</v>
      </c>
      <c r="F1255" s="85">
        <v>5</v>
      </c>
      <c r="G1255" s="85">
        <f>--(F1255&lt;=Estimator!$B$7)</f>
        <v>1</v>
      </c>
      <c r="H1255" s="86">
        <f>SUMIFS('Climate Data'!$G$7:$G$366,'Climate Data'!$A$7:$A$366,Estimator!$B$4,'Climate Data'!$B$7:$B$366,C1255)</f>
        <v>0.28666666666666668</v>
      </c>
      <c r="I1255" s="87">
        <f>SUMIFS('Climate Data'!$H$7:$H$366,'Climate Data'!$A$7:$A$366,Estimator!$B$4,'Climate Data'!$B$7:$B$366,C1255)</f>
        <v>7.941860465116279</v>
      </c>
      <c r="J1255" s="86">
        <f>SUMIFS('Wind Proxy'!$H$8:$H$19,'Wind Proxy'!$A$8:$A$19,Estimator!$B$4,'Wind Proxy'!$B$8:$B$19,C1255)</f>
        <v>0</v>
      </c>
    </row>
    <row r="1256" spans="1:10" ht="14.4">
      <c r="A1256" s="84">
        <v>46907</v>
      </c>
      <c r="B1256" s="85">
        <v>2028</v>
      </c>
      <c r="C1256" s="85">
        <v>6</v>
      </c>
      <c r="D1256" s="85" t="s">
        <v>68</v>
      </c>
      <c r="E1256" s="85">
        <v>3</v>
      </c>
      <c r="F1256" s="85">
        <v>6</v>
      </c>
      <c r="G1256" s="85">
        <f>--(F1256&lt;=Estimator!$B$7)</f>
        <v>0</v>
      </c>
      <c r="H1256" s="86">
        <f>SUMIFS('Climate Data'!$G$7:$G$366,'Climate Data'!$A$7:$A$366,Estimator!$B$4,'Climate Data'!$B$7:$B$366,C1256)</f>
        <v>0.28666666666666668</v>
      </c>
      <c r="I1256" s="87">
        <f>SUMIFS('Climate Data'!$H$7:$H$366,'Climate Data'!$A$7:$A$366,Estimator!$B$4,'Climate Data'!$B$7:$B$366,C1256)</f>
        <v>7.941860465116279</v>
      </c>
      <c r="J1256" s="86">
        <f>SUMIFS('Wind Proxy'!$H$8:$H$19,'Wind Proxy'!$A$8:$A$19,Estimator!$B$4,'Wind Proxy'!$B$8:$B$19,C1256)</f>
        <v>0</v>
      </c>
    </row>
    <row r="1257" spans="1:10" ht="14.4">
      <c r="A1257" s="84">
        <v>46908</v>
      </c>
      <c r="B1257" s="85">
        <v>2028</v>
      </c>
      <c r="C1257" s="85">
        <v>6</v>
      </c>
      <c r="D1257" s="85" t="s">
        <v>68</v>
      </c>
      <c r="E1257" s="85">
        <v>4</v>
      </c>
      <c r="F1257" s="85">
        <v>7</v>
      </c>
      <c r="G1257" s="85">
        <f>--(F1257&lt;=Estimator!$B$7)</f>
        <v>0</v>
      </c>
      <c r="H1257" s="86">
        <f>SUMIFS('Climate Data'!$G$7:$G$366,'Climate Data'!$A$7:$A$366,Estimator!$B$4,'Climate Data'!$B$7:$B$366,C1257)</f>
        <v>0.28666666666666668</v>
      </c>
      <c r="I1257" s="87">
        <f>SUMIFS('Climate Data'!$H$7:$H$366,'Climate Data'!$A$7:$A$366,Estimator!$B$4,'Climate Data'!$B$7:$B$366,C1257)</f>
        <v>7.941860465116279</v>
      </c>
      <c r="J1257" s="86">
        <f>SUMIFS('Wind Proxy'!$H$8:$H$19,'Wind Proxy'!$A$8:$A$19,Estimator!$B$4,'Wind Proxy'!$B$8:$B$19,C1257)</f>
        <v>0</v>
      </c>
    </row>
    <row r="1258" spans="1:10" ht="14.4">
      <c r="A1258" s="84">
        <v>46909</v>
      </c>
      <c r="B1258" s="85">
        <v>2028</v>
      </c>
      <c r="C1258" s="85">
        <v>6</v>
      </c>
      <c r="D1258" s="85" t="s">
        <v>68</v>
      </c>
      <c r="E1258" s="85">
        <v>5</v>
      </c>
      <c r="F1258" s="85">
        <v>1</v>
      </c>
      <c r="G1258" s="85">
        <f>--(F1258&lt;=Estimator!$B$7)</f>
        <v>1</v>
      </c>
      <c r="H1258" s="86">
        <f>SUMIFS('Climate Data'!$G$7:$G$366,'Climate Data'!$A$7:$A$366,Estimator!$B$4,'Climate Data'!$B$7:$B$366,C1258)</f>
        <v>0.28666666666666668</v>
      </c>
      <c r="I1258" s="87">
        <f>SUMIFS('Climate Data'!$H$7:$H$366,'Climate Data'!$A$7:$A$366,Estimator!$B$4,'Climate Data'!$B$7:$B$366,C1258)</f>
        <v>7.941860465116279</v>
      </c>
      <c r="J1258" s="86">
        <f>SUMIFS('Wind Proxy'!$H$8:$H$19,'Wind Proxy'!$A$8:$A$19,Estimator!$B$4,'Wind Proxy'!$B$8:$B$19,C1258)</f>
        <v>0</v>
      </c>
    </row>
    <row r="1259" spans="1:10" ht="14.4">
      <c r="A1259" s="84">
        <v>46910</v>
      </c>
      <c r="B1259" s="85">
        <v>2028</v>
      </c>
      <c r="C1259" s="85">
        <v>6</v>
      </c>
      <c r="D1259" s="85" t="s">
        <v>68</v>
      </c>
      <c r="E1259" s="85">
        <v>6</v>
      </c>
      <c r="F1259" s="85">
        <v>2</v>
      </c>
      <c r="G1259" s="85">
        <f>--(F1259&lt;=Estimator!$B$7)</f>
        <v>1</v>
      </c>
      <c r="H1259" s="86">
        <f>SUMIFS('Climate Data'!$G$7:$G$366,'Climate Data'!$A$7:$A$366,Estimator!$B$4,'Climate Data'!$B$7:$B$366,C1259)</f>
        <v>0.28666666666666668</v>
      </c>
      <c r="I1259" s="87">
        <f>SUMIFS('Climate Data'!$H$7:$H$366,'Climate Data'!$A$7:$A$366,Estimator!$B$4,'Climate Data'!$B$7:$B$366,C1259)</f>
        <v>7.941860465116279</v>
      </c>
      <c r="J1259" s="86">
        <f>SUMIFS('Wind Proxy'!$H$8:$H$19,'Wind Proxy'!$A$8:$A$19,Estimator!$B$4,'Wind Proxy'!$B$8:$B$19,C1259)</f>
        <v>0</v>
      </c>
    </row>
    <row r="1260" spans="1:10" ht="14.4">
      <c r="A1260" s="84">
        <v>46911</v>
      </c>
      <c r="B1260" s="85">
        <v>2028</v>
      </c>
      <c r="C1260" s="85">
        <v>6</v>
      </c>
      <c r="D1260" s="85" t="s">
        <v>68</v>
      </c>
      <c r="E1260" s="85">
        <v>7</v>
      </c>
      <c r="F1260" s="85">
        <v>3</v>
      </c>
      <c r="G1260" s="85">
        <f>--(F1260&lt;=Estimator!$B$7)</f>
        <v>1</v>
      </c>
      <c r="H1260" s="86">
        <f>SUMIFS('Climate Data'!$G$7:$G$366,'Climate Data'!$A$7:$A$366,Estimator!$B$4,'Climate Data'!$B$7:$B$366,C1260)</f>
        <v>0.28666666666666668</v>
      </c>
      <c r="I1260" s="87">
        <f>SUMIFS('Climate Data'!$H$7:$H$366,'Climate Data'!$A$7:$A$366,Estimator!$B$4,'Climate Data'!$B$7:$B$366,C1260)</f>
        <v>7.941860465116279</v>
      </c>
      <c r="J1260" s="86">
        <f>SUMIFS('Wind Proxy'!$H$8:$H$19,'Wind Proxy'!$A$8:$A$19,Estimator!$B$4,'Wind Proxy'!$B$8:$B$19,C1260)</f>
        <v>0</v>
      </c>
    </row>
    <row r="1261" spans="1:10" ht="14.4">
      <c r="A1261" s="84">
        <v>46912</v>
      </c>
      <c r="B1261" s="85">
        <v>2028</v>
      </c>
      <c r="C1261" s="85">
        <v>6</v>
      </c>
      <c r="D1261" s="85" t="s">
        <v>68</v>
      </c>
      <c r="E1261" s="85">
        <v>8</v>
      </c>
      <c r="F1261" s="85">
        <v>4</v>
      </c>
      <c r="G1261" s="85">
        <f>--(F1261&lt;=Estimator!$B$7)</f>
        <v>1</v>
      </c>
      <c r="H1261" s="86">
        <f>SUMIFS('Climate Data'!$G$7:$G$366,'Climate Data'!$A$7:$A$366,Estimator!$B$4,'Climate Data'!$B$7:$B$366,C1261)</f>
        <v>0.28666666666666668</v>
      </c>
      <c r="I1261" s="87">
        <f>SUMIFS('Climate Data'!$H$7:$H$366,'Climate Data'!$A$7:$A$366,Estimator!$B$4,'Climate Data'!$B$7:$B$366,C1261)</f>
        <v>7.941860465116279</v>
      </c>
      <c r="J1261" s="86">
        <f>SUMIFS('Wind Proxy'!$H$8:$H$19,'Wind Proxy'!$A$8:$A$19,Estimator!$B$4,'Wind Proxy'!$B$8:$B$19,C1261)</f>
        <v>0</v>
      </c>
    </row>
    <row r="1262" spans="1:10" ht="14.4">
      <c r="A1262" s="84">
        <v>46913</v>
      </c>
      <c r="B1262" s="85">
        <v>2028</v>
      </c>
      <c r="C1262" s="85">
        <v>6</v>
      </c>
      <c r="D1262" s="85" t="s">
        <v>68</v>
      </c>
      <c r="E1262" s="85">
        <v>9</v>
      </c>
      <c r="F1262" s="85">
        <v>5</v>
      </c>
      <c r="G1262" s="85">
        <f>--(F1262&lt;=Estimator!$B$7)</f>
        <v>1</v>
      </c>
      <c r="H1262" s="86">
        <f>SUMIFS('Climate Data'!$G$7:$G$366,'Climate Data'!$A$7:$A$366,Estimator!$B$4,'Climate Data'!$B$7:$B$366,C1262)</f>
        <v>0.28666666666666668</v>
      </c>
      <c r="I1262" s="87">
        <f>SUMIFS('Climate Data'!$H$7:$H$366,'Climate Data'!$A$7:$A$366,Estimator!$B$4,'Climate Data'!$B$7:$B$366,C1262)</f>
        <v>7.941860465116279</v>
      </c>
      <c r="J1262" s="86">
        <f>SUMIFS('Wind Proxy'!$H$8:$H$19,'Wind Proxy'!$A$8:$A$19,Estimator!$B$4,'Wind Proxy'!$B$8:$B$19,C1262)</f>
        <v>0</v>
      </c>
    </row>
    <row r="1263" spans="1:10" ht="14.4">
      <c r="A1263" s="84">
        <v>46914</v>
      </c>
      <c r="B1263" s="85">
        <v>2028</v>
      </c>
      <c r="C1263" s="85">
        <v>6</v>
      </c>
      <c r="D1263" s="85" t="s">
        <v>68</v>
      </c>
      <c r="E1263" s="85">
        <v>10</v>
      </c>
      <c r="F1263" s="85">
        <v>6</v>
      </c>
      <c r="G1263" s="85">
        <f>--(F1263&lt;=Estimator!$B$7)</f>
        <v>0</v>
      </c>
      <c r="H1263" s="86">
        <f>SUMIFS('Climate Data'!$G$7:$G$366,'Climate Data'!$A$7:$A$366,Estimator!$B$4,'Climate Data'!$B$7:$B$366,C1263)</f>
        <v>0.28666666666666668</v>
      </c>
      <c r="I1263" s="87">
        <f>SUMIFS('Climate Data'!$H$7:$H$366,'Climate Data'!$A$7:$A$366,Estimator!$B$4,'Climate Data'!$B$7:$B$366,C1263)</f>
        <v>7.941860465116279</v>
      </c>
      <c r="J1263" s="86">
        <f>SUMIFS('Wind Proxy'!$H$8:$H$19,'Wind Proxy'!$A$8:$A$19,Estimator!$B$4,'Wind Proxy'!$B$8:$B$19,C1263)</f>
        <v>0</v>
      </c>
    </row>
    <row r="1264" spans="1:10" ht="14.4">
      <c r="A1264" s="84">
        <v>46915</v>
      </c>
      <c r="B1264" s="85">
        <v>2028</v>
      </c>
      <c r="C1264" s="85">
        <v>6</v>
      </c>
      <c r="D1264" s="85" t="s">
        <v>68</v>
      </c>
      <c r="E1264" s="85">
        <v>11</v>
      </c>
      <c r="F1264" s="85">
        <v>7</v>
      </c>
      <c r="G1264" s="85">
        <f>--(F1264&lt;=Estimator!$B$7)</f>
        <v>0</v>
      </c>
      <c r="H1264" s="86">
        <f>SUMIFS('Climate Data'!$G$7:$G$366,'Climate Data'!$A$7:$A$366,Estimator!$B$4,'Climate Data'!$B$7:$B$366,C1264)</f>
        <v>0.28666666666666668</v>
      </c>
      <c r="I1264" s="87">
        <f>SUMIFS('Climate Data'!$H$7:$H$366,'Climate Data'!$A$7:$A$366,Estimator!$B$4,'Climate Data'!$B$7:$B$366,C1264)</f>
        <v>7.941860465116279</v>
      </c>
      <c r="J1264" s="86">
        <f>SUMIFS('Wind Proxy'!$H$8:$H$19,'Wind Proxy'!$A$8:$A$19,Estimator!$B$4,'Wind Proxy'!$B$8:$B$19,C1264)</f>
        <v>0</v>
      </c>
    </row>
    <row r="1265" spans="1:10" ht="14.4">
      <c r="A1265" s="84">
        <v>46916</v>
      </c>
      <c r="B1265" s="85">
        <v>2028</v>
      </c>
      <c r="C1265" s="85">
        <v>6</v>
      </c>
      <c r="D1265" s="85" t="s">
        <v>68</v>
      </c>
      <c r="E1265" s="85">
        <v>12</v>
      </c>
      <c r="F1265" s="85">
        <v>1</v>
      </c>
      <c r="G1265" s="85">
        <f>--(F1265&lt;=Estimator!$B$7)</f>
        <v>1</v>
      </c>
      <c r="H1265" s="86">
        <f>SUMIFS('Climate Data'!$G$7:$G$366,'Climate Data'!$A$7:$A$366,Estimator!$B$4,'Climate Data'!$B$7:$B$366,C1265)</f>
        <v>0.28666666666666668</v>
      </c>
      <c r="I1265" s="87">
        <f>SUMIFS('Climate Data'!$H$7:$H$366,'Climate Data'!$A$7:$A$366,Estimator!$B$4,'Climate Data'!$B$7:$B$366,C1265)</f>
        <v>7.941860465116279</v>
      </c>
      <c r="J1265" s="86">
        <f>SUMIFS('Wind Proxy'!$H$8:$H$19,'Wind Proxy'!$A$8:$A$19,Estimator!$B$4,'Wind Proxy'!$B$8:$B$19,C1265)</f>
        <v>0</v>
      </c>
    </row>
    <row r="1266" spans="1:10" ht="14.4">
      <c r="A1266" s="84">
        <v>46917</v>
      </c>
      <c r="B1266" s="85">
        <v>2028</v>
      </c>
      <c r="C1266" s="85">
        <v>6</v>
      </c>
      <c r="D1266" s="85" t="s">
        <v>68</v>
      </c>
      <c r="E1266" s="85">
        <v>13</v>
      </c>
      <c r="F1266" s="85">
        <v>2</v>
      </c>
      <c r="G1266" s="85">
        <f>--(F1266&lt;=Estimator!$B$7)</f>
        <v>1</v>
      </c>
      <c r="H1266" s="86">
        <f>SUMIFS('Climate Data'!$G$7:$G$366,'Climate Data'!$A$7:$A$366,Estimator!$B$4,'Climate Data'!$B$7:$B$366,C1266)</f>
        <v>0.28666666666666668</v>
      </c>
      <c r="I1266" s="87">
        <f>SUMIFS('Climate Data'!$H$7:$H$366,'Climate Data'!$A$7:$A$366,Estimator!$B$4,'Climate Data'!$B$7:$B$366,C1266)</f>
        <v>7.941860465116279</v>
      </c>
      <c r="J1266" s="86">
        <f>SUMIFS('Wind Proxy'!$H$8:$H$19,'Wind Proxy'!$A$8:$A$19,Estimator!$B$4,'Wind Proxy'!$B$8:$B$19,C1266)</f>
        <v>0</v>
      </c>
    </row>
    <row r="1267" spans="1:10" ht="14.4">
      <c r="A1267" s="84">
        <v>46918</v>
      </c>
      <c r="B1267" s="85">
        <v>2028</v>
      </c>
      <c r="C1267" s="85">
        <v>6</v>
      </c>
      <c r="D1267" s="85" t="s">
        <v>68</v>
      </c>
      <c r="E1267" s="85">
        <v>14</v>
      </c>
      <c r="F1267" s="85">
        <v>3</v>
      </c>
      <c r="G1267" s="85">
        <f>--(F1267&lt;=Estimator!$B$7)</f>
        <v>1</v>
      </c>
      <c r="H1267" s="86">
        <f>SUMIFS('Climate Data'!$G$7:$G$366,'Climate Data'!$A$7:$A$366,Estimator!$B$4,'Climate Data'!$B$7:$B$366,C1267)</f>
        <v>0.28666666666666668</v>
      </c>
      <c r="I1267" s="87">
        <f>SUMIFS('Climate Data'!$H$7:$H$366,'Climate Data'!$A$7:$A$366,Estimator!$B$4,'Climate Data'!$B$7:$B$366,C1267)</f>
        <v>7.941860465116279</v>
      </c>
      <c r="J1267" s="86">
        <f>SUMIFS('Wind Proxy'!$H$8:$H$19,'Wind Proxy'!$A$8:$A$19,Estimator!$B$4,'Wind Proxy'!$B$8:$B$19,C1267)</f>
        <v>0</v>
      </c>
    </row>
    <row r="1268" spans="1:10" ht="14.4">
      <c r="A1268" s="84">
        <v>46919</v>
      </c>
      <c r="B1268" s="85">
        <v>2028</v>
      </c>
      <c r="C1268" s="85">
        <v>6</v>
      </c>
      <c r="D1268" s="85" t="s">
        <v>68</v>
      </c>
      <c r="E1268" s="85">
        <v>15</v>
      </c>
      <c r="F1268" s="85">
        <v>4</v>
      </c>
      <c r="G1268" s="85">
        <f>--(F1268&lt;=Estimator!$B$7)</f>
        <v>1</v>
      </c>
      <c r="H1268" s="86">
        <f>SUMIFS('Climate Data'!$G$7:$G$366,'Climate Data'!$A$7:$A$366,Estimator!$B$4,'Climate Data'!$B$7:$B$366,C1268)</f>
        <v>0.28666666666666668</v>
      </c>
      <c r="I1268" s="87">
        <f>SUMIFS('Climate Data'!$H$7:$H$366,'Climate Data'!$A$7:$A$366,Estimator!$B$4,'Climate Data'!$B$7:$B$366,C1268)</f>
        <v>7.941860465116279</v>
      </c>
      <c r="J1268" s="86">
        <f>SUMIFS('Wind Proxy'!$H$8:$H$19,'Wind Proxy'!$A$8:$A$19,Estimator!$B$4,'Wind Proxy'!$B$8:$B$19,C1268)</f>
        <v>0</v>
      </c>
    </row>
    <row r="1269" spans="1:10" ht="14.4">
      <c r="A1269" s="84">
        <v>46920</v>
      </c>
      <c r="B1269" s="85">
        <v>2028</v>
      </c>
      <c r="C1269" s="85">
        <v>6</v>
      </c>
      <c r="D1269" s="85" t="s">
        <v>68</v>
      </c>
      <c r="E1269" s="85">
        <v>16</v>
      </c>
      <c r="F1269" s="85">
        <v>5</v>
      </c>
      <c r="G1269" s="85">
        <f>--(F1269&lt;=Estimator!$B$7)</f>
        <v>1</v>
      </c>
      <c r="H1269" s="86">
        <f>SUMIFS('Climate Data'!$G$7:$G$366,'Climate Data'!$A$7:$A$366,Estimator!$B$4,'Climate Data'!$B$7:$B$366,C1269)</f>
        <v>0.28666666666666668</v>
      </c>
      <c r="I1269" s="87">
        <f>SUMIFS('Climate Data'!$H$7:$H$366,'Climate Data'!$A$7:$A$366,Estimator!$B$4,'Climate Data'!$B$7:$B$366,C1269)</f>
        <v>7.941860465116279</v>
      </c>
      <c r="J1269" s="86">
        <f>SUMIFS('Wind Proxy'!$H$8:$H$19,'Wind Proxy'!$A$8:$A$19,Estimator!$B$4,'Wind Proxy'!$B$8:$B$19,C1269)</f>
        <v>0</v>
      </c>
    </row>
    <row r="1270" spans="1:10" ht="14.4">
      <c r="A1270" s="84">
        <v>46921</v>
      </c>
      <c r="B1270" s="85">
        <v>2028</v>
      </c>
      <c r="C1270" s="85">
        <v>6</v>
      </c>
      <c r="D1270" s="85" t="s">
        <v>68</v>
      </c>
      <c r="E1270" s="85">
        <v>17</v>
      </c>
      <c r="F1270" s="85">
        <v>6</v>
      </c>
      <c r="G1270" s="85">
        <f>--(F1270&lt;=Estimator!$B$7)</f>
        <v>0</v>
      </c>
      <c r="H1270" s="86">
        <f>SUMIFS('Climate Data'!$G$7:$G$366,'Climate Data'!$A$7:$A$366,Estimator!$B$4,'Climate Data'!$B$7:$B$366,C1270)</f>
        <v>0.28666666666666668</v>
      </c>
      <c r="I1270" s="87">
        <f>SUMIFS('Climate Data'!$H$7:$H$366,'Climate Data'!$A$7:$A$366,Estimator!$B$4,'Climate Data'!$B$7:$B$366,C1270)</f>
        <v>7.941860465116279</v>
      </c>
      <c r="J1270" s="86">
        <f>SUMIFS('Wind Proxy'!$H$8:$H$19,'Wind Proxy'!$A$8:$A$19,Estimator!$B$4,'Wind Proxy'!$B$8:$B$19,C1270)</f>
        <v>0</v>
      </c>
    </row>
    <row r="1271" spans="1:10" ht="14.4">
      <c r="A1271" s="84">
        <v>46922</v>
      </c>
      <c r="B1271" s="85">
        <v>2028</v>
      </c>
      <c r="C1271" s="85">
        <v>6</v>
      </c>
      <c r="D1271" s="85" t="s">
        <v>68</v>
      </c>
      <c r="E1271" s="85">
        <v>18</v>
      </c>
      <c r="F1271" s="85">
        <v>7</v>
      </c>
      <c r="G1271" s="85">
        <f>--(F1271&lt;=Estimator!$B$7)</f>
        <v>0</v>
      </c>
      <c r="H1271" s="86">
        <f>SUMIFS('Climate Data'!$G$7:$G$366,'Climate Data'!$A$7:$A$366,Estimator!$B$4,'Climate Data'!$B$7:$B$366,C1271)</f>
        <v>0.28666666666666668</v>
      </c>
      <c r="I1271" s="87">
        <f>SUMIFS('Climate Data'!$H$7:$H$366,'Climate Data'!$A$7:$A$366,Estimator!$B$4,'Climate Data'!$B$7:$B$366,C1271)</f>
        <v>7.941860465116279</v>
      </c>
      <c r="J1271" s="86">
        <f>SUMIFS('Wind Proxy'!$H$8:$H$19,'Wind Proxy'!$A$8:$A$19,Estimator!$B$4,'Wind Proxy'!$B$8:$B$19,C1271)</f>
        <v>0</v>
      </c>
    </row>
    <row r="1272" spans="1:10" ht="14.4">
      <c r="A1272" s="84">
        <v>46923</v>
      </c>
      <c r="B1272" s="85">
        <v>2028</v>
      </c>
      <c r="C1272" s="85">
        <v>6</v>
      </c>
      <c r="D1272" s="85" t="s">
        <v>68</v>
      </c>
      <c r="E1272" s="85">
        <v>19</v>
      </c>
      <c r="F1272" s="85">
        <v>1</v>
      </c>
      <c r="G1272" s="85">
        <f>--(F1272&lt;=Estimator!$B$7)</f>
        <v>1</v>
      </c>
      <c r="H1272" s="86">
        <f>SUMIFS('Climate Data'!$G$7:$G$366,'Climate Data'!$A$7:$A$366,Estimator!$B$4,'Climate Data'!$B$7:$B$366,C1272)</f>
        <v>0.28666666666666668</v>
      </c>
      <c r="I1272" s="87">
        <f>SUMIFS('Climate Data'!$H$7:$H$366,'Climate Data'!$A$7:$A$366,Estimator!$B$4,'Climate Data'!$B$7:$B$366,C1272)</f>
        <v>7.941860465116279</v>
      </c>
      <c r="J1272" s="86">
        <f>SUMIFS('Wind Proxy'!$H$8:$H$19,'Wind Proxy'!$A$8:$A$19,Estimator!$B$4,'Wind Proxy'!$B$8:$B$19,C1272)</f>
        <v>0</v>
      </c>
    </row>
    <row r="1273" spans="1:10" ht="14.4">
      <c r="A1273" s="84">
        <v>46924</v>
      </c>
      <c r="B1273" s="85">
        <v>2028</v>
      </c>
      <c r="C1273" s="85">
        <v>6</v>
      </c>
      <c r="D1273" s="85" t="s">
        <v>68</v>
      </c>
      <c r="E1273" s="85">
        <v>20</v>
      </c>
      <c r="F1273" s="85">
        <v>2</v>
      </c>
      <c r="G1273" s="85">
        <f>--(F1273&lt;=Estimator!$B$7)</f>
        <v>1</v>
      </c>
      <c r="H1273" s="86">
        <f>SUMIFS('Climate Data'!$G$7:$G$366,'Climate Data'!$A$7:$A$366,Estimator!$B$4,'Climate Data'!$B$7:$B$366,C1273)</f>
        <v>0.28666666666666668</v>
      </c>
      <c r="I1273" s="87">
        <f>SUMIFS('Climate Data'!$H$7:$H$366,'Climate Data'!$A$7:$A$366,Estimator!$B$4,'Climate Data'!$B$7:$B$366,C1273)</f>
        <v>7.941860465116279</v>
      </c>
      <c r="J1273" s="86">
        <f>SUMIFS('Wind Proxy'!$H$8:$H$19,'Wind Proxy'!$A$8:$A$19,Estimator!$B$4,'Wind Proxy'!$B$8:$B$19,C1273)</f>
        <v>0</v>
      </c>
    </row>
    <row r="1274" spans="1:10" ht="14.4">
      <c r="A1274" s="84">
        <v>46925</v>
      </c>
      <c r="B1274" s="85">
        <v>2028</v>
      </c>
      <c r="C1274" s="85">
        <v>6</v>
      </c>
      <c r="D1274" s="85" t="s">
        <v>68</v>
      </c>
      <c r="E1274" s="85">
        <v>21</v>
      </c>
      <c r="F1274" s="85">
        <v>3</v>
      </c>
      <c r="G1274" s="85">
        <f>--(F1274&lt;=Estimator!$B$7)</f>
        <v>1</v>
      </c>
      <c r="H1274" s="86">
        <f>SUMIFS('Climate Data'!$G$7:$G$366,'Climate Data'!$A$7:$A$366,Estimator!$B$4,'Climate Data'!$B$7:$B$366,C1274)</f>
        <v>0.28666666666666668</v>
      </c>
      <c r="I1274" s="87">
        <f>SUMIFS('Climate Data'!$H$7:$H$366,'Climate Data'!$A$7:$A$366,Estimator!$B$4,'Climate Data'!$B$7:$B$366,C1274)</f>
        <v>7.941860465116279</v>
      </c>
      <c r="J1274" s="86">
        <f>SUMIFS('Wind Proxy'!$H$8:$H$19,'Wind Proxy'!$A$8:$A$19,Estimator!$B$4,'Wind Proxy'!$B$8:$B$19,C1274)</f>
        <v>0</v>
      </c>
    </row>
    <row r="1275" spans="1:10" ht="14.4">
      <c r="A1275" s="84">
        <v>46926</v>
      </c>
      <c r="B1275" s="85">
        <v>2028</v>
      </c>
      <c r="C1275" s="85">
        <v>6</v>
      </c>
      <c r="D1275" s="85" t="s">
        <v>68</v>
      </c>
      <c r="E1275" s="85">
        <v>22</v>
      </c>
      <c r="F1275" s="85">
        <v>4</v>
      </c>
      <c r="G1275" s="85">
        <f>--(F1275&lt;=Estimator!$B$7)</f>
        <v>1</v>
      </c>
      <c r="H1275" s="86">
        <f>SUMIFS('Climate Data'!$G$7:$G$366,'Climate Data'!$A$7:$A$366,Estimator!$B$4,'Climate Data'!$B$7:$B$366,C1275)</f>
        <v>0.28666666666666668</v>
      </c>
      <c r="I1275" s="87">
        <f>SUMIFS('Climate Data'!$H$7:$H$366,'Climate Data'!$A$7:$A$366,Estimator!$B$4,'Climate Data'!$B$7:$B$366,C1275)</f>
        <v>7.941860465116279</v>
      </c>
      <c r="J1275" s="86">
        <f>SUMIFS('Wind Proxy'!$H$8:$H$19,'Wind Proxy'!$A$8:$A$19,Estimator!$B$4,'Wind Proxy'!$B$8:$B$19,C1275)</f>
        <v>0</v>
      </c>
    </row>
    <row r="1276" spans="1:10" ht="14.4">
      <c r="A1276" s="84">
        <v>46927</v>
      </c>
      <c r="B1276" s="85">
        <v>2028</v>
      </c>
      <c r="C1276" s="85">
        <v>6</v>
      </c>
      <c r="D1276" s="85" t="s">
        <v>68</v>
      </c>
      <c r="E1276" s="85">
        <v>23</v>
      </c>
      <c r="F1276" s="85">
        <v>5</v>
      </c>
      <c r="G1276" s="85">
        <f>--(F1276&lt;=Estimator!$B$7)</f>
        <v>1</v>
      </c>
      <c r="H1276" s="86">
        <f>SUMIFS('Climate Data'!$G$7:$G$366,'Climate Data'!$A$7:$A$366,Estimator!$B$4,'Climate Data'!$B$7:$B$366,C1276)</f>
        <v>0.28666666666666668</v>
      </c>
      <c r="I1276" s="87">
        <f>SUMIFS('Climate Data'!$H$7:$H$366,'Climate Data'!$A$7:$A$366,Estimator!$B$4,'Climate Data'!$B$7:$B$366,C1276)</f>
        <v>7.941860465116279</v>
      </c>
      <c r="J1276" s="86">
        <f>SUMIFS('Wind Proxy'!$H$8:$H$19,'Wind Proxy'!$A$8:$A$19,Estimator!$B$4,'Wind Proxy'!$B$8:$B$19,C1276)</f>
        <v>0</v>
      </c>
    </row>
    <row r="1277" spans="1:10" ht="14.4">
      <c r="A1277" s="84">
        <v>46928</v>
      </c>
      <c r="B1277" s="85">
        <v>2028</v>
      </c>
      <c r="C1277" s="85">
        <v>6</v>
      </c>
      <c r="D1277" s="85" t="s">
        <v>68</v>
      </c>
      <c r="E1277" s="85">
        <v>24</v>
      </c>
      <c r="F1277" s="85">
        <v>6</v>
      </c>
      <c r="G1277" s="85">
        <f>--(F1277&lt;=Estimator!$B$7)</f>
        <v>0</v>
      </c>
      <c r="H1277" s="86">
        <f>SUMIFS('Climate Data'!$G$7:$G$366,'Climate Data'!$A$7:$A$366,Estimator!$B$4,'Climate Data'!$B$7:$B$366,C1277)</f>
        <v>0.28666666666666668</v>
      </c>
      <c r="I1277" s="87">
        <f>SUMIFS('Climate Data'!$H$7:$H$366,'Climate Data'!$A$7:$A$366,Estimator!$B$4,'Climate Data'!$B$7:$B$366,C1277)</f>
        <v>7.941860465116279</v>
      </c>
      <c r="J1277" s="86">
        <f>SUMIFS('Wind Proxy'!$H$8:$H$19,'Wind Proxy'!$A$8:$A$19,Estimator!$B$4,'Wind Proxy'!$B$8:$B$19,C1277)</f>
        <v>0</v>
      </c>
    </row>
    <row r="1278" spans="1:10" ht="14.4">
      <c r="A1278" s="84">
        <v>46929</v>
      </c>
      <c r="B1278" s="85">
        <v>2028</v>
      </c>
      <c r="C1278" s="85">
        <v>6</v>
      </c>
      <c r="D1278" s="85" t="s">
        <v>68</v>
      </c>
      <c r="E1278" s="85">
        <v>25</v>
      </c>
      <c r="F1278" s="85">
        <v>7</v>
      </c>
      <c r="G1278" s="85">
        <f>--(F1278&lt;=Estimator!$B$7)</f>
        <v>0</v>
      </c>
      <c r="H1278" s="86">
        <f>SUMIFS('Climate Data'!$G$7:$G$366,'Climate Data'!$A$7:$A$366,Estimator!$B$4,'Climate Data'!$B$7:$B$366,C1278)</f>
        <v>0.28666666666666668</v>
      </c>
      <c r="I1278" s="87">
        <f>SUMIFS('Climate Data'!$H$7:$H$366,'Climate Data'!$A$7:$A$366,Estimator!$B$4,'Climate Data'!$B$7:$B$366,C1278)</f>
        <v>7.941860465116279</v>
      </c>
      <c r="J1278" s="86">
        <f>SUMIFS('Wind Proxy'!$H$8:$H$19,'Wind Proxy'!$A$8:$A$19,Estimator!$B$4,'Wind Proxy'!$B$8:$B$19,C1278)</f>
        <v>0</v>
      </c>
    </row>
    <row r="1279" spans="1:10" ht="14.4">
      <c r="A1279" s="84">
        <v>46930</v>
      </c>
      <c r="B1279" s="85">
        <v>2028</v>
      </c>
      <c r="C1279" s="85">
        <v>6</v>
      </c>
      <c r="D1279" s="85" t="s">
        <v>68</v>
      </c>
      <c r="E1279" s="85">
        <v>26</v>
      </c>
      <c r="F1279" s="85">
        <v>1</v>
      </c>
      <c r="G1279" s="85">
        <f>--(F1279&lt;=Estimator!$B$7)</f>
        <v>1</v>
      </c>
      <c r="H1279" s="86">
        <f>SUMIFS('Climate Data'!$G$7:$G$366,'Climate Data'!$A$7:$A$366,Estimator!$B$4,'Climate Data'!$B$7:$B$366,C1279)</f>
        <v>0.28666666666666668</v>
      </c>
      <c r="I1279" s="87">
        <f>SUMIFS('Climate Data'!$H$7:$H$366,'Climate Data'!$A$7:$A$366,Estimator!$B$4,'Climate Data'!$B$7:$B$366,C1279)</f>
        <v>7.941860465116279</v>
      </c>
      <c r="J1279" s="86">
        <f>SUMIFS('Wind Proxy'!$H$8:$H$19,'Wind Proxy'!$A$8:$A$19,Estimator!$B$4,'Wind Proxy'!$B$8:$B$19,C1279)</f>
        <v>0</v>
      </c>
    </row>
    <row r="1280" spans="1:10" ht="14.4">
      <c r="A1280" s="84">
        <v>46931</v>
      </c>
      <c r="B1280" s="85">
        <v>2028</v>
      </c>
      <c r="C1280" s="85">
        <v>6</v>
      </c>
      <c r="D1280" s="85" t="s">
        <v>68</v>
      </c>
      <c r="E1280" s="85">
        <v>27</v>
      </c>
      <c r="F1280" s="85">
        <v>2</v>
      </c>
      <c r="G1280" s="85">
        <f>--(F1280&lt;=Estimator!$B$7)</f>
        <v>1</v>
      </c>
      <c r="H1280" s="86">
        <f>SUMIFS('Climate Data'!$G$7:$G$366,'Climate Data'!$A$7:$A$366,Estimator!$B$4,'Climate Data'!$B$7:$B$366,C1280)</f>
        <v>0.28666666666666668</v>
      </c>
      <c r="I1280" s="87">
        <f>SUMIFS('Climate Data'!$H$7:$H$366,'Climate Data'!$A$7:$A$366,Estimator!$B$4,'Climate Data'!$B$7:$B$366,C1280)</f>
        <v>7.941860465116279</v>
      </c>
      <c r="J1280" s="86">
        <f>SUMIFS('Wind Proxy'!$H$8:$H$19,'Wind Proxy'!$A$8:$A$19,Estimator!$B$4,'Wind Proxy'!$B$8:$B$19,C1280)</f>
        <v>0</v>
      </c>
    </row>
    <row r="1281" spans="1:10" ht="14.4">
      <c r="A1281" s="84">
        <v>46932</v>
      </c>
      <c r="B1281" s="85">
        <v>2028</v>
      </c>
      <c r="C1281" s="85">
        <v>6</v>
      </c>
      <c r="D1281" s="85" t="s">
        <v>68</v>
      </c>
      <c r="E1281" s="85">
        <v>28</v>
      </c>
      <c r="F1281" s="85">
        <v>3</v>
      </c>
      <c r="G1281" s="85">
        <f>--(F1281&lt;=Estimator!$B$7)</f>
        <v>1</v>
      </c>
      <c r="H1281" s="86">
        <f>SUMIFS('Climate Data'!$G$7:$G$366,'Climate Data'!$A$7:$A$366,Estimator!$B$4,'Climate Data'!$B$7:$B$366,C1281)</f>
        <v>0.28666666666666668</v>
      </c>
      <c r="I1281" s="87">
        <f>SUMIFS('Climate Data'!$H$7:$H$366,'Climate Data'!$A$7:$A$366,Estimator!$B$4,'Climate Data'!$B$7:$B$366,C1281)</f>
        <v>7.941860465116279</v>
      </c>
      <c r="J1281" s="86">
        <f>SUMIFS('Wind Proxy'!$H$8:$H$19,'Wind Proxy'!$A$8:$A$19,Estimator!$B$4,'Wind Proxy'!$B$8:$B$19,C1281)</f>
        <v>0</v>
      </c>
    </row>
    <row r="1282" spans="1:10" ht="14.4">
      <c r="A1282" s="84">
        <v>46933</v>
      </c>
      <c r="B1282" s="85">
        <v>2028</v>
      </c>
      <c r="C1282" s="85">
        <v>6</v>
      </c>
      <c r="D1282" s="85" t="s">
        <v>68</v>
      </c>
      <c r="E1282" s="85">
        <v>29</v>
      </c>
      <c r="F1282" s="85">
        <v>4</v>
      </c>
      <c r="G1282" s="85">
        <f>--(F1282&lt;=Estimator!$B$7)</f>
        <v>1</v>
      </c>
      <c r="H1282" s="86">
        <f>SUMIFS('Climate Data'!$G$7:$G$366,'Climate Data'!$A$7:$A$366,Estimator!$B$4,'Climate Data'!$B$7:$B$366,C1282)</f>
        <v>0.28666666666666668</v>
      </c>
      <c r="I1282" s="87">
        <f>SUMIFS('Climate Data'!$H$7:$H$366,'Climate Data'!$A$7:$A$366,Estimator!$B$4,'Climate Data'!$B$7:$B$366,C1282)</f>
        <v>7.941860465116279</v>
      </c>
      <c r="J1282" s="86">
        <f>SUMIFS('Wind Proxy'!$H$8:$H$19,'Wind Proxy'!$A$8:$A$19,Estimator!$B$4,'Wind Proxy'!$B$8:$B$19,C1282)</f>
        <v>0</v>
      </c>
    </row>
    <row r="1283" spans="1:10" ht="14.4">
      <c r="A1283" s="84">
        <v>46934</v>
      </c>
      <c r="B1283" s="85">
        <v>2028</v>
      </c>
      <c r="C1283" s="85">
        <v>6</v>
      </c>
      <c r="D1283" s="85" t="s">
        <v>68</v>
      </c>
      <c r="E1283" s="85">
        <v>30</v>
      </c>
      <c r="F1283" s="85">
        <v>5</v>
      </c>
      <c r="G1283" s="85">
        <f>--(F1283&lt;=Estimator!$B$7)</f>
        <v>1</v>
      </c>
      <c r="H1283" s="86">
        <f>SUMIFS('Climate Data'!$G$7:$G$366,'Climate Data'!$A$7:$A$366,Estimator!$B$4,'Climate Data'!$B$7:$B$366,C1283)</f>
        <v>0.28666666666666668</v>
      </c>
      <c r="I1283" s="87">
        <f>SUMIFS('Climate Data'!$H$7:$H$366,'Climate Data'!$A$7:$A$366,Estimator!$B$4,'Climate Data'!$B$7:$B$366,C1283)</f>
        <v>7.941860465116279</v>
      </c>
      <c r="J1283" s="86">
        <f>SUMIFS('Wind Proxy'!$H$8:$H$19,'Wind Proxy'!$A$8:$A$19,Estimator!$B$4,'Wind Proxy'!$B$8:$B$19,C1283)</f>
        <v>0</v>
      </c>
    </row>
    <row r="1284" spans="1:10" ht="14.4">
      <c r="A1284" s="84">
        <v>46935</v>
      </c>
      <c r="B1284" s="85">
        <v>2028</v>
      </c>
      <c r="C1284" s="85">
        <v>7</v>
      </c>
      <c r="D1284" s="85" t="s">
        <v>69</v>
      </c>
      <c r="E1284" s="85">
        <v>1</v>
      </c>
      <c r="F1284" s="85">
        <v>6</v>
      </c>
      <c r="G1284" s="85">
        <f>--(F1284&lt;=Estimator!$B$7)</f>
        <v>0</v>
      </c>
      <c r="H1284" s="86">
        <f>SUMIFS('Climate Data'!$G$7:$G$366,'Climate Data'!$A$7:$A$366,Estimator!$B$4,'Climate Data'!$B$7:$B$366,C1284)</f>
        <v>0.24731182795698925</v>
      </c>
      <c r="I1284" s="87">
        <f>SUMIFS('Climate Data'!$H$7:$H$366,'Climate Data'!$A$7:$A$366,Estimator!$B$4,'Climate Data'!$B$7:$B$366,C1284)</f>
        <v>8.3739130434782609</v>
      </c>
      <c r="J1284" s="86">
        <f>SUMIFS('Wind Proxy'!$H$8:$H$19,'Wind Proxy'!$A$8:$A$19,Estimator!$B$4,'Wind Proxy'!$B$8:$B$19,C1284)</f>
        <v>0</v>
      </c>
    </row>
    <row r="1285" spans="1:10" ht="14.4">
      <c r="A1285" s="84">
        <v>46936</v>
      </c>
      <c r="B1285" s="85">
        <v>2028</v>
      </c>
      <c r="C1285" s="85">
        <v>7</v>
      </c>
      <c r="D1285" s="85" t="s">
        <v>69</v>
      </c>
      <c r="E1285" s="85">
        <v>2</v>
      </c>
      <c r="F1285" s="85">
        <v>7</v>
      </c>
      <c r="G1285" s="85">
        <f>--(F1285&lt;=Estimator!$B$7)</f>
        <v>0</v>
      </c>
      <c r="H1285" s="86">
        <f>SUMIFS('Climate Data'!$G$7:$G$366,'Climate Data'!$A$7:$A$366,Estimator!$B$4,'Climate Data'!$B$7:$B$366,C1285)</f>
        <v>0.24731182795698925</v>
      </c>
      <c r="I1285" s="87">
        <f>SUMIFS('Climate Data'!$H$7:$H$366,'Climate Data'!$A$7:$A$366,Estimator!$B$4,'Climate Data'!$B$7:$B$366,C1285)</f>
        <v>8.3739130434782609</v>
      </c>
      <c r="J1285" s="86">
        <f>SUMIFS('Wind Proxy'!$H$8:$H$19,'Wind Proxy'!$A$8:$A$19,Estimator!$B$4,'Wind Proxy'!$B$8:$B$19,C1285)</f>
        <v>0</v>
      </c>
    </row>
    <row r="1286" spans="1:10" ht="14.4">
      <c r="A1286" s="84">
        <v>46937</v>
      </c>
      <c r="B1286" s="85">
        <v>2028</v>
      </c>
      <c r="C1286" s="85">
        <v>7</v>
      </c>
      <c r="D1286" s="85" t="s">
        <v>69</v>
      </c>
      <c r="E1286" s="85">
        <v>3</v>
      </c>
      <c r="F1286" s="85">
        <v>1</v>
      </c>
      <c r="G1286" s="85">
        <f>--(F1286&lt;=Estimator!$B$7)</f>
        <v>1</v>
      </c>
      <c r="H1286" s="86">
        <f>SUMIFS('Climate Data'!$G$7:$G$366,'Climate Data'!$A$7:$A$366,Estimator!$B$4,'Climate Data'!$B$7:$B$366,C1286)</f>
        <v>0.24731182795698925</v>
      </c>
      <c r="I1286" s="87">
        <f>SUMIFS('Climate Data'!$H$7:$H$366,'Climate Data'!$A$7:$A$366,Estimator!$B$4,'Climate Data'!$B$7:$B$366,C1286)</f>
        <v>8.3739130434782609</v>
      </c>
      <c r="J1286" s="86">
        <f>SUMIFS('Wind Proxy'!$H$8:$H$19,'Wind Proxy'!$A$8:$A$19,Estimator!$B$4,'Wind Proxy'!$B$8:$B$19,C1286)</f>
        <v>0</v>
      </c>
    </row>
    <row r="1287" spans="1:10" ht="14.4">
      <c r="A1287" s="84">
        <v>46938</v>
      </c>
      <c r="B1287" s="85">
        <v>2028</v>
      </c>
      <c r="C1287" s="85">
        <v>7</v>
      </c>
      <c r="D1287" s="85" t="s">
        <v>69</v>
      </c>
      <c r="E1287" s="85">
        <v>4</v>
      </c>
      <c r="F1287" s="85">
        <v>2</v>
      </c>
      <c r="G1287" s="85">
        <f>--(F1287&lt;=Estimator!$B$7)</f>
        <v>1</v>
      </c>
      <c r="H1287" s="86">
        <f>SUMIFS('Climate Data'!$G$7:$G$366,'Climate Data'!$A$7:$A$366,Estimator!$B$4,'Climate Data'!$B$7:$B$366,C1287)</f>
        <v>0.24731182795698925</v>
      </c>
      <c r="I1287" s="87">
        <f>SUMIFS('Climate Data'!$H$7:$H$366,'Climate Data'!$A$7:$A$366,Estimator!$B$4,'Climate Data'!$B$7:$B$366,C1287)</f>
        <v>8.3739130434782609</v>
      </c>
      <c r="J1287" s="86">
        <f>SUMIFS('Wind Proxy'!$H$8:$H$19,'Wind Proxy'!$A$8:$A$19,Estimator!$B$4,'Wind Proxy'!$B$8:$B$19,C1287)</f>
        <v>0</v>
      </c>
    </row>
    <row r="1288" spans="1:10" ht="14.4">
      <c r="A1288" s="84">
        <v>46939</v>
      </c>
      <c r="B1288" s="85">
        <v>2028</v>
      </c>
      <c r="C1288" s="85">
        <v>7</v>
      </c>
      <c r="D1288" s="85" t="s">
        <v>69</v>
      </c>
      <c r="E1288" s="85">
        <v>5</v>
      </c>
      <c r="F1288" s="85">
        <v>3</v>
      </c>
      <c r="G1288" s="85">
        <f>--(F1288&lt;=Estimator!$B$7)</f>
        <v>1</v>
      </c>
      <c r="H1288" s="86">
        <f>SUMIFS('Climate Data'!$G$7:$G$366,'Climate Data'!$A$7:$A$366,Estimator!$B$4,'Climate Data'!$B$7:$B$366,C1288)</f>
        <v>0.24731182795698925</v>
      </c>
      <c r="I1288" s="87">
        <f>SUMIFS('Climate Data'!$H$7:$H$366,'Climate Data'!$A$7:$A$366,Estimator!$B$4,'Climate Data'!$B$7:$B$366,C1288)</f>
        <v>8.3739130434782609</v>
      </c>
      <c r="J1288" s="86">
        <f>SUMIFS('Wind Proxy'!$H$8:$H$19,'Wind Proxy'!$A$8:$A$19,Estimator!$B$4,'Wind Proxy'!$B$8:$B$19,C1288)</f>
        <v>0</v>
      </c>
    </row>
    <row r="1289" spans="1:10" ht="14.4">
      <c r="A1289" s="84">
        <v>46940</v>
      </c>
      <c r="B1289" s="85">
        <v>2028</v>
      </c>
      <c r="C1289" s="85">
        <v>7</v>
      </c>
      <c r="D1289" s="85" t="s">
        <v>69</v>
      </c>
      <c r="E1289" s="85">
        <v>6</v>
      </c>
      <c r="F1289" s="85">
        <v>4</v>
      </c>
      <c r="G1289" s="85">
        <f>--(F1289&lt;=Estimator!$B$7)</f>
        <v>1</v>
      </c>
      <c r="H1289" s="86">
        <f>SUMIFS('Climate Data'!$G$7:$G$366,'Climate Data'!$A$7:$A$366,Estimator!$B$4,'Climate Data'!$B$7:$B$366,C1289)</f>
        <v>0.24731182795698925</v>
      </c>
      <c r="I1289" s="87">
        <f>SUMIFS('Climate Data'!$H$7:$H$366,'Climate Data'!$A$7:$A$366,Estimator!$B$4,'Climate Data'!$B$7:$B$366,C1289)</f>
        <v>8.3739130434782609</v>
      </c>
      <c r="J1289" s="86">
        <f>SUMIFS('Wind Proxy'!$H$8:$H$19,'Wind Proxy'!$A$8:$A$19,Estimator!$B$4,'Wind Proxy'!$B$8:$B$19,C1289)</f>
        <v>0</v>
      </c>
    </row>
    <row r="1290" spans="1:10" ht="14.4">
      <c r="A1290" s="84">
        <v>46941</v>
      </c>
      <c r="B1290" s="85">
        <v>2028</v>
      </c>
      <c r="C1290" s="85">
        <v>7</v>
      </c>
      <c r="D1290" s="85" t="s">
        <v>69</v>
      </c>
      <c r="E1290" s="85">
        <v>7</v>
      </c>
      <c r="F1290" s="85">
        <v>5</v>
      </c>
      <c r="G1290" s="85">
        <f>--(F1290&lt;=Estimator!$B$7)</f>
        <v>1</v>
      </c>
      <c r="H1290" s="86">
        <f>SUMIFS('Climate Data'!$G$7:$G$366,'Climate Data'!$A$7:$A$366,Estimator!$B$4,'Climate Data'!$B$7:$B$366,C1290)</f>
        <v>0.24731182795698925</v>
      </c>
      <c r="I1290" s="87">
        <f>SUMIFS('Climate Data'!$H$7:$H$366,'Climate Data'!$A$7:$A$366,Estimator!$B$4,'Climate Data'!$B$7:$B$366,C1290)</f>
        <v>8.3739130434782609</v>
      </c>
      <c r="J1290" s="86">
        <f>SUMIFS('Wind Proxy'!$H$8:$H$19,'Wind Proxy'!$A$8:$A$19,Estimator!$B$4,'Wind Proxy'!$B$8:$B$19,C1290)</f>
        <v>0</v>
      </c>
    </row>
    <row r="1291" spans="1:10" ht="14.4">
      <c r="A1291" s="84">
        <v>46942</v>
      </c>
      <c r="B1291" s="85">
        <v>2028</v>
      </c>
      <c r="C1291" s="85">
        <v>7</v>
      </c>
      <c r="D1291" s="85" t="s">
        <v>69</v>
      </c>
      <c r="E1291" s="85">
        <v>8</v>
      </c>
      <c r="F1291" s="85">
        <v>6</v>
      </c>
      <c r="G1291" s="85">
        <f>--(F1291&lt;=Estimator!$B$7)</f>
        <v>0</v>
      </c>
      <c r="H1291" s="86">
        <f>SUMIFS('Climate Data'!$G$7:$G$366,'Climate Data'!$A$7:$A$366,Estimator!$B$4,'Climate Data'!$B$7:$B$366,C1291)</f>
        <v>0.24731182795698925</v>
      </c>
      <c r="I1291" s="87">
        <f>SUMIFS('Climate Data'!$H$7:$H$366,'Climate Data'!$A$7:$A$366,Estimator!$B$4,'Climate Data'!$B$7:$B$366,C1291)</f>
        <v>8.3739130434782609</v>
      </c>
      <c r="J1291" s="86">
        <f>SUMIFS('Wind Proxy'!$H$8:$H$19,'Wind Proxy'!$A$8:$A$19,Estimator!$B$4,'Wind Proxy'!$B$8:$B$19,C1291)</f>
        <v>0</v>
      </c>
    </row>
    <row r="1292" spans="1:10" ht="14.4">
      <c r="A1292" s="84">
        <v>46943</v>
      </c>
      <c r="B1292" s="85">
        <v>2028</v>
      </c>
      <c r="C1292" s="85">
        <v>7</v>
      </c>
      <c r="D1292" s="85" t="s">
        <v>69</v>
      </c>
      <c r="E1292" s="85">
        <v>9</v>
      </c>
      <c r="F1292" s="85">
        <v>7</v>
      </c>
      <c r="G1292" s="85">
        <f>--(F1292&lt;=Estimator!$B$7)</f>
        <v>0</v>
      </c>
      <c r="H1292" s="86">
        <f>SUMIFS('Climate Data'!$G$7:$G$366,'Climate Data'!$A$7:$A$366,Estimator!$B$4,'Climate Data'!$B$7:$B$366,C1292)</f>
        <v>0.24731182795698925</v>
      </c>
      <c r="I1292" s="87">
        <f>SUMIFS('Climate Data'!$H$7:$H$366,'Climate Data'!$A$7:$A$366,Estimator!$B$4,'Climate Data'!$B$7:$B$366,C1292)</f>
        <v>8.3739130434782609</v>
      </c>
      <c r="J1292" s="86">
        <f>SUMIFS('Wind Proxy'!$H$8:$H$19,'Wind Proxy'!$A$8:$A$19,Estimator!$B$4,'Wind Proxy'!$B$8:$B$19,C1292)</f>
        <v>0</v>
      </c>
    </row>
    <row r="1293" spans="1:10" ht="14.4">
      <c r="A1293" s="84">
        <v>46944</v>
      </c>
      <c r="B1293" s="85">
        <v>2028</v>
      </c>
      <c r="C1293" s="85">
        <v>7</v>
      </c>
      <c r="D1293" s="85" t="s">
        <v>69</v>
      </c>
      <c r="E1293" s="85">
        <v>10</v>
      </c>
      <c r="F1293" s="85">
        <v>1</v>
      </c>
      <c r="G1293" s="85">
        <f>--(F1293&lt;=Estimator!$B$7)</f>
        <v>1</v>
      </c>
      <c r="H1293" s="86">
        <f>SUMIFS('Climate Data'!$G$7:$G$366,'Climate Data'!$A$7:$A$366,Estimator!$B$4,'Climate Data'!$B$7:$B$366,C1293)</f>
        <v>0.24731182795698925</v>
      </c>
      <c r="I1293" s="87">
        <f>SUMIFS('Climate Data'!$H$7:$H$366,'Climate Data'!$A$7:$A$366,Estimator!$B$4,'Climate Data'!$B$7:$B$366,C1293)</f>
        <v>8.3739130434782609</v>
      </c>
      <c r="J1293" s="86">
        <f>SUMIFS('Wind Proxy'!$H$8:$H$19,'Wind Proxy'!$A$8:$A$19,Estimator!$B$4,'Wind Proxy'!$B$8:$B$19,C1293)</f>
        <v>0</v>
      </c>
    </row>
    <row r="1294" spans="1:10" ht="14.4">
      <c r="A1294" s="84">
        <v>46945</v>
      </c>
      <c r="B1294" s="85">
        <v>2028</v>
      </c>
      <c r="C1294" s="85">
        <v>7</v>
      </c>
      <c r="D1294" s="85" t="s">
        <v>69</v>
      </c>
      <c r="E1294" s="85">
        <v>11</v>
      </c>
      <c r="F1294" s="85">
        <v>2</v>
      </c>
      <c r="G1294" s="85">
        <f>--(F1294&lt;=Estimator!$B$7)</f>
        <v>1</v>
      </c>
      <c r="H1294" s="86">
        <f>SUMIFS('Climate Data'!$G$7:$G$366,'Climate Data'!$A$7:$A$366,Estimator!$B$4,'Climate Data'!$B$7:$B$366,C1294)</f>
        <v>0.24731182795698925</v>
      </c>
      <c r="I1294" s="87">
        <f>SUMIFS('Climate Data'!$H$7:$H$366,'Climate Data'!$A$7:$A$366,Estimator!$B$4,'Climate Data'!$B$7:$B$366,C1294)</f>
        <v>8.3739130434782609</v>
      </c>
      <c r="J1294" s="86">
        <f>SUMIFS('Wind Proxy'!$H$8:$H$19,'Wind Proxy'!$A$8:$A$19,Estimator!$B$4,'Wind Proxy'!$B$8:$B$19,C1294)</f>
        <v>0</v>
      </c>
    </row>
    <row r="1295" spans="1:10" ht="14.4">
      <c r="A1295" s="84">
        <v>46946</v>
      </c>
      <c r="B1295" s="85">
        <v>2028</v>
      </c>
      <c r="C1295" s="85">
        <v>7</v>
      </c>
      <c r="D1295" s="85" t="s">
        <v>69</v>
      </c>
      <c r="E1295" s="85">
        <v>12</v>
      </c>
      <c r="F1295" s="85">
        <v>3</v>
      </c>
      <c r="G1295" s="85">
        <f>--(F1295&lt;=Estimator!$B$7)</f>
        <v>1</v>
      </c>
      <c r="H1295" s="86">
        <f>SUMIFS('Climate Data'!$G$7:$G$366,'Climate Data'!$A$7:$A$366,Estimator!$B$4,'Climate Data'!$B$7:$B$366,C1295)</f>
        <v>0.24731182795698925</v>
      </c>
      <c r="I1295" s="87">
        <f>SUMIFS('Climate Data'!$H$7:$H$366,'Climate Data'!$A$7:$A$366,Estimator!$B$4,'Climate Data'!$B$7:$B$366,C1295)</f>
        <v>8.3739130434782609</v>
      </c>
      <c r="J1295" s="86">
        <f>SUMIFS('Wind Proxy'!$H$8:$H$19,'Wind Proxy'!$A$8:$A$19,Estimator!$B$4,'Wind Proxy'!$B$8:$B$19,C1295)</f>
        <v>0</v>
      </c>
    </row>
    <row r="1296" spans="1:10" ht="14.4">
      <c r="A1296" s="84">
        <v>46947</v>
      </c>
      <c r="B1296" s="85">
        <v>2028</v>
      </c>
      <c r="C1296" s="85">
        <v>7</v>
      </c>
      <c r="D1296" s="85" t="s">
        <v>69</v>
      </c>
      <c r="E1296" s="85">
        <v>13</v>
      </c>
      <c r="F1296" s="85">
        <v>4</v>
      </c>
      <c r="G1296" s="85">
        <f>--(F1296&lt;=Estimator!$B$7)</f>
        <v>1</v>
      </c>
      <c r="H1296" s="86">
        <f>SUMIFS('Climate Data'!$G$7:$G$366,'Climate Data'!$A$7:$A$366,Estimator!$B$4,'Climate Data'!$B$7:$B$366,C1296)</f>
        <v>0.24731182795698925</v>
      </c>
      <c r="I1296" s="87">
        <f>SUMIFS('Climate Data'!$H$7:$H$366,'Climate Data'!$A$7:$A$366,Estimator!$B$4,'Climate Data'!$B$7:$B$366,C1296)</f>
        <v>8.3739130434782609</v>
      </c>
      <c r="J1296" s="86">
        <f>SUMIFS('Wind Proxy'!$H$8:$H$19,'Wind Proxy'!$A$8:$A$19,Estimator!$B$4,'Wind Proxy'!$B$8:$B$19,C1296)</f>
        <v>0</v>
      </c>
    </row>
    <row r="1297" spans="1:10" ht="14.4">
      <c r="A1297" s="84">
        <v>46948</v>
      </c>
      <c r="B1297" s="85">
        <v>2028</v>
      </c>
      <c r="C1297" s="85">
        <v>7</v>
      </c>
      <c r="D1297" s="85" t="s">
        <v>69</v>
      </c>
      <c r="E1297" s="85">
        <v>14</v>
      </c>
      <c r="F1297" s="85">
        <v>5</v>
      </c>
      <c r="G1297" s="85">
        <f>--(F1297&lt;=Estimator!$B$7)</f>
        <v>1</v>
      </c>
      <c r="H1297" s="86">
        <f>SUMIFS('Climate Data'!$G$7:$G$366,'Climate Data'!$A$7:$A$366,Estimator!$B$4,'Climate Data'!$B$7:$B$366,C1297)</f>
        <v>0.24731182795698925</v>
      </c>
      <c r="I1297" s="87">
        <f>SUMIFS('Climate Data'!$H$7:$H$366,'Climate Data'!$A$7:$A$366,Estimator!$B$4,'Climate Data'!$B$7:$B$366,C1297)</f>
        <v>8.3739130434782609</v>
      </c>
      <c r="J1297" s="86">
        <f>SUMIFS('Wind Proxy'!$H$8:$H$19,'Wind Proxy'!$A$8:$A$19,Estimator!$B$4,'Wind Proxy'!$B$8:$B$19,C1297)</f>
        <v>0</v>
      </c>
    </row>
    <row r="1298" spans="1:10" ht="14.4">
      <c r="A1298" s="84">
        <v>46949</v>
      </c>
      <c r="B1298" s="85">
        <v>2028</v>
      </c>
      <c r="C1298" s="85">
        <v>7</v>
      </c>
      <c r="D1298" s="85" t="s">
        <v>69</v>
      </c>
      <c r="E1298" s="85">
        <v>15</v>
      </c>
      <c r="F1298" s="85">
        <v>6</v>
      </c>
      <c r="G1298" s="85">
        <f>--(F1298&lt;=Estimator!$B$7)</f>
        <v>0</v>
      </c>
      <c r="H1298" s="86">
        <f>SUMIFS('Climate Data'!$G$7:$G$366,'Climate Data'!$A$7:$A$366,Estimator!$B$4,'Climate Data'!$B$7:$B$366,C1298)</f>
        <v>0.24731182795698925</v>
      </c>
      <c r="I1298" s="87">
        <f>SUMIFS('Climate Data'!$H$7:$H$366,'Climate Data'!$A$7:$A$366,Estimator!$B$4,'Climate Data'!$B$7:$B$366,C1298)</f>
        <v>8.3739130434782609</v>
      </c>
      <c r="J1298" s="86">
        <f>SUMIFS('Wind Proxy'!$H$8:$H$19,'Wind Proxy'!$A$8:$A$19,Estimator!$B$4,'Wind Proxy'!$B$8:$B$19,C1298)</f>
        <v>0</v>
      </c>
    </row>
    <row r="1299" spans="1:10" ht="14.4">
      <c r="A1299" s="84">
        <v>46950</v>
      </c>
      <c r="B1299" s="85">
        <v>2028</v>
      </c>
      <c r="C1299" s="85">
        <v>7</v>
      </c>
      <c r="D1299" s="85" t="s">
        <v>69</v>
      </c>
      <c r="E1299" s="85">
        <v>16</v>
      </c>
      <c r="F1299" s="85">
        <v>7</v>
      </c>
      <c r="G1299" s="85">
        <f>--(F1299&lt;=Estimator!$B$7)</f>
        <v>0</v>
      </c>
      <c r="H1299" s="86">
        <f>SUMIFS('Climate Data'!$G$7:$G$366,'Climate Data'!$A$7:$A$366,Estimator!$B$4,'Climate Data'!$B$7:$B$366,C1299)</f>
        <v>0.24731182795698925</v>
      </c>
      <c r="I1299" s="87">
        <f>SUMIFS('Climate Data'!$H$7:$H$366,'Climate Data'!$A$7:$A$366,Estimator!$B$4,'Climate Data'!$B$7:$B$366,C1299)</f>
        <v>8.3739130434782609</v>
      </c>
      <c r="J1299" s="86">
        <f>SUMIFS('Wind Proxy'!$H$8:$H$19,'Wind Proxy'!$A$8:$A$19,Estimator!$B$4,'Wind Proxy'!$B$8:$B$19,C1299)</f>
        <v>0</v>
      </c>
    </row>
    <row r="1300" spans="1:10" ht="14.4">
      <c r="A1300" s="84">
        <v>46951</v>
      </c>
      <c r="B1300" s="85">
        <v>2028</v>
      </c>
      <c r="C1300" s="85">
        <v>7</v>
      </c>
      <c r="D1300" s="85" t="s">
        <v>69</v>
      </c>
      <c r="E1300" s="85">
        <v>17</v>
      </c>
      <c r="F1300" s="85">
        <v>1</v>
      </c>
      <c r="G1300" s="85">
        <f>--(F1300&lt;=Estimator!$B$7)</f>
        <v>1</v>
      </c>
      <c r="H1300" s="86">
        <f>SUMIFS('Climate Data'!$G$7:$G$366,'Climate Data'!$A$7:$A$366,Estimator!$B$4,'Climate Data'!$B$7:$B$366,C1300)</f>
        <v>0.24731182795698925</v>
      </c>
      <c r="I1300" s="87">
        <f>SUMIFS('Climate Data'!$H$7:$H$366,'Climate Data'!$A$7:$A$366,Estimator!$B$4,'Climate Data'!$B$7:$B$366,C1300)</f>
        <v>8.3739130434782609</v>
      </c>
      <c r="J1300" s="86">
        <f>SUMIFS('Wind Proxy'!$H$8:$H$19,'Wind Proxy'!$A$8:$A$19,Estimator!$B$4,'Wind Proxy'!$B$8:$B$19,C1300)</f>
        <v>0</v>
      </c>
    </row>
    <row r="1301" spans="1:10" ht="14.4">
      <c r="A1301" s="84">
        <v>46952</v>
      </c>
      <c r="B1301" s="85">
        <v>2028</v>
      </c>
      <c r="C1301" s="85">
        <v>7</v>
      </c>
      <c r="D1301" s="85" t="s">
        <v>69</v>
      </c>
      <c r="E1301" s="85">
        <v>18</v>
      </c>
      <c r="F1301" s="85">
        <v>2</v>
      </c>
      <c r="G1301" s="85">
        <f>--(F1301&lt;=Estimator!$B$7)</f>
        <v>1</v>
      </c>
      <c r="H1301" s="86">
        <f>SUMIFS('Climate Data'!$G$7:$G$366,'Climate Data'!$A$7:$A$366,Estimator!$B$4,'Climate Data'!$B$7:$B$366,C1301)</f>
        <v>0.24731182795698925</v>
      </c>
      <c r="I1301" s="87">
        <f>SUMIFS('Climate Data'!$H$7:$H$366,'Climate Data'!$A$7:$A$366,Estimator!$B$4,'Climate Data'!$B$7:$B$366,C1301)</f>
        <v>8.3739130434782609</v>
      </c>
      <c r="J1301" s="86">
        <f>SUMIFS('Wind Proxy'!$H$8:$H$19,'Wind Proxy'!$A$8:$A$19,Estimator!$B$4,'Wind Proxy'!$B$8:$B$19,C1301)</f>
        <v>0</v>
      </c>
    </row>
    <row r="1302" spans="1:10" ht="14.4">
      <c r="A1302" s="84">
        <v>46953</v>
      </c>
      <c r="B1302" s="85">
        <v>2028</v>
      </c>
      <c r="C1302" s="85">
        <v>7</v>
      </c>
      <c r="D1302" s="85" t="s">
        <v>69</v>
      </c>
      <c r="E1302" s="85">
        <v>19</v>
      </c>
      <c r="F1302" s="85">
        <v>3</v>
      </c>
      <c r="G1302" s="85">
        <f>--(F1302&lt;=Estimator!$B$7)</f>
        <v>1</v>
      </c>
      <c r="H1302" s="86">
        <f>SUMIFS('Climate Data'!$G$7:$G$366,'Climate Data'!$A$7:$A$366,Estimator!$B$4,'Climate Data'!$B$7:$B$366,C1302)</f>
        <v>0.24731182795698925</v>
      </c>
      <c r="I1302" s="87">
        <f>SUMIFS('Climate Data'!$H$7:$H$366,'Climate Data'!$A$7:$A$366,Estimator!$B$4,'Climate Data'!$B$7:$B$366,C1302)</f>
        <v>8.3739130434782609</v>
      </c>
      <c r="J1302" s="86">
        <f>SUMIFS('Wind Proxy'!$H$8:$H$19,'Wind Proxy'!$A$8:$A$19,Estimator!$B$4,'Wind Proxy'!$B$8:$B$19,C1302)</f>
        <v>0</v>
      </c>
    </row>
    <row r="1303" spans="1:10" ht="14.4">
      <c r="A1303" s="84">
        <v>46954</v>
      </c>
      <c r="B1303" s="85">
        <v>2028</v>
      </c>
      <c r="C1303" s="85">
        <v>7</v>
      </c>
      <c r="D1303" s="85" t="s">
        <v>69</v>
      </c>
      <c r="E1303" s="85">
        <v>20</v>
      </c>
      <c r="F1303" s="85">
        <v>4</v>
      </c>
      <c r="G1303" s="85">
        <f>--(F1303&lt;=Estimator!$B$7)</f>
        <v>1</v>
      </c>
      <c r="H1303" s="86">
        <f>SUMIFS('Climate Data'!$G$7:$G$366,'Climate Data'!$A$7:$A$366,Estimator!$B$4,'Climate Data'!$B$7:$B$366,C1303)</f>
        <v>0.24731182795698925</v>
      </c>
      <c r="I1303" s="87">
        <f>SUMIFS('Climate Data'!$H$7:$H$366,'Climate Data'!$A$7:$A$366,Estimator!$B$4,'Climate Data'!$B$7:$B$366,C1303)</f>
        <v>8.3739130434782609</v>
      </c>
      <c r="J1303" s="86">
        <f>SUMIFS('Wind Proxy'!$H$8:$H$19,'Wind Proxy'!$A$8:$A$19,Estimator!$B$4,'Wind Proxy'!$B$8:$B$19,C1303)</f>
        <v>0</v>
      </c>
    </row>
    <row r="1304" spans="1:10" ht="14.4">
      <c r="A1304" s="84">
        <v>46955</v>
      </c>
      <c r="B1304" s="85">
        <v>2028</v>
      </c>
      <c r="C1304" s="85">
        <v>7</v>
      </c>
      <c r="D1304" s="85" t="s">
        <v>69</v>
      </c>
      <c r="E1304" s="85">
        <v>21</v>
      </c>
      <c r="F1304" s="85">
        <v>5</v>
      </c>
      <c r="G1304" s="85">
        <f>--(F1304&lt;=Estimator!$B$7)</f>
        <v>1</v>
      </c>
      <c r="H1304" s="86">
        <f>SUMIFS('Climate Data'!$G$7:$G$366,'Climate Data'!$A$7:$A$366,Estimator!$B$4,'Climate Data'!$B$7:$B$366,C1304)</f>
        <v>0.24731182795698925</v>
      </c>
      <c r="I1304" s="87">
        <f>SUMIFS('Climate Data'!$H$7:$H$366,'Climate Data'!$A$7:$A$366,Estimator!$B$4,'Climate Data'!$B$7:$B$366,C1304)</f>
        <v>8.3739130434782609</v>
      </c>
      <c r="J1304" s="86">
        <f>SUMIFS('Wind Proxy'!$H$8:$H$19,'Wind Proxy'!$A$8:$A$19,Estimator!$B$4,'Wind Proxy'!$B$8:$B$19,C1304)</f>
        <v>0</v>
      </c>
    </row>
    <row r="1305" spans="1:10" ht="14.4">
      <c r="A1305" s="84">
        <v>46956</v>
      </c>
      <c r="B1305" s="85">
        <v>2028</v>
      </c>
      <c r="C1305" s="85">
        <v>7</v>
      </c>
      <c r="D1305" s="85" t="s">
        <v>69</v>
      </c>
      <c r="E1305" s="85">
        <v>22</v>
      </c>
      <c r="F1305" s="85">
        <v>6</v>
      </c>
      <c r="G1305" s="85">
        <f>--(F1305&lt;=Estimator!$B$7)</f>
        <v>0</v>
      </c>
      <c r="H1305" s="86">
        <f>SUMIFS('Climate Data'!$G$7:$G$366,'Climate Data'!$A$7:$A$366,Estimator!$B$4,'Climate Data'!$B$7:$B$366,C1305)</f>
        <v>0.24731182795698925</v>
      </c>
      <c r="I1305" s="87">
        <f>SUMIFS('Climate Data'!$H$7:$H$366,'Climate Data'!$A$7:$A$366,Estimator!$B$4,'Climate Data'!$B$7:$B$366,C1305)</f>
        <v>8.3739130434782609</v>
      </c>
      <c r="J1305" s="86">
        <f>SUMIFS('Wind Proxy'!$H$8:$H$19,'Wind Proxy'!$A$8:$A$19,Estimator!$B$4,'Wind Proxy'!$B$8:$B$19,C1305)</f>
        <v>0</v>
      </c>
    </row>
    <row r="1306" spans="1:10" ht="14.4">
      <c r="A1306" s="84">
        <v>46957</v>
      </c>
      <c r="B1306" s="85">
        <v>2028</v>
      </c>
      <c r="C1306" s="85">
        <v>7</v>
      </c>
      <c r="D1306" s="85" t="s">
        <v>69</v>
      </c>
      <c r="E1306" s="85">
        <v>23</v>
      </c>
      <c r="F1306" s="85">
        <v>7</v>
      </c>
      <c r="G1306" s="85">
        <f>--(F1306&lt;=Estimator!$B$7)</f>
        <v>0</v>
      </c>
      <c r="H1306" s="86">
        <f>SUMIFS('Climate Data'!$G$7:$G$366,'Climate Data'!$A$7:$A$366,Estimator!$B$4,'Climate Data'!$B$7:$B$366,C1306)</f>
        <v>0.24731182795698925</v>
      </c>
      <c r="I1306" s="87">
        <f>SUMIFS('Climate Data'!$H$7:$H$366,'Climate Data'!$A$7:$A$366,Estimator!$B$4,'Climate Data'!$B$7:$B$366,C1306)</f>
        <v>8.3739130434782609</v>
      </c>
      <c r="J1306" s="86">
        <f>SUMIFS('Wind Proxy'!$H$8:$H$19,'Wind Proxy'!$A$8:$A$19,Estimator!$B$4,'Wind Proxy'!$B$8:$B$19,C1306)</f>
        <v>0</v>
      </c>
    </row>
    <row r="1307" spans="1:10" ht="14.4">
      <c r="A1307" s="84">
        <v>46958</v>
      </c>
      <c r="B1307" s="85">
        <v>2028</v>
      </c>
      <c r="C1307" s="85">
        <v>7</v>
      </c>
      <c r="D1307" s="85" t="s">
        <v>69</v>
      </c>
      <c r="E1307" s="85">
        <v>24</v>
      </c>
      <c r="F1307" s="85">
        <v>1</v>
      </c>
      <c r="G1307" s="85">
        <f>--(F1307&lt;=Estimator!$B$7)</f>
        <v>1</v>
      </c>
      <c r="H1307" s="86">
        <f>SUMIFS('Climate Data'!$G$7:$G$366,'Climate Data'!$A$7:$A$366,Estimator!$B$4,'Climate Data'!$B$7:$B$366,C1307)</f>
        <v>0.24731182795698925</v>
      </c>
      <c r="I1307" s="87">
        <f>SUMIFS('Climate Data'!$H$7:$H$366,'Climate Data'!$A$7:$A$366,Estimator!$B$4,'Climate Data'!$B$7:$B$366,C1307)</f>
        <v>8.3739130434782609</v>
      </c>
      <c r="J1307" s="86">
        <f>SUMIFS('Wind Proxy'!$H$8:$H$19,'Wind Proxy'!$A$8:$A$19,Estimator!$B$4,'Wind Proxy'!$B$8:$B$19,C1307)</f>
        <v>0</v>
      </c>
    </row>
    <row r="1308" spans="1:10" ht="14.4">
      <c r="A1308" s="84">
        <v>46959</v>
      </c>
      <c r="B1308" s="85">
        <v>2028</v>
      </c>
      <c r="C1308" s="85">
        <v>7</v>
      </c>
      <c r="D1308" s="85" t="s">
        <v>69</v>
      </c>
      <c r="E1308" s="85">
        <v>25</v>
      </c>
      <c r="F1308" s="85">
        <v>2</v>
      </c>
      <c r="G1308" s="85">
        <f>--(F1308&lt;=Estimator!$B$7)</f>
        <v>1</v>
      </c>
      <c r="H1308" s="86">
        <f>SUMIFS('Climate Data'!$G$7:$G$366,'Climate Data'!$A$7:$A$366,Estimator!$B$4,'Climate Data'!$B$7:$B$366,C1308)</f>
        <v>0.24731182795698925</v>
      </c>
      <c r="I1308" s="87">
        <f>SUMIFS('Climate Data'!$H$7:$H$366,'Climate Data'!$A$7:$A$366,Estimator!$B$4,'Climate Data'!$B$7:$B$366,C1308)</f>
        <v>8.3739130434782609</v>
      </c>
      <c r="J1308" s="86">
        <f>SUMIFS('Wind Proxy'!$H$8:$H$19,'Wind Proxy'!$A$8:$A$19,Estimator!$B$4,'Wind Proxy'!$B$8:$B$19,C1308)</f>
        <v>0</v>
      </c>
    </row>
    <row r="1309" spans="1:10" ht="14.4">
      <c r="A1309" s="84">
        <v>46960</v>
      </c>
      <c r="B1309" s="85">
        <v>2028</v>
      </c>
      <c r="C1309" s="85">
        <v>7</v>
      </c>
      <c r="D1309" s="85" t="s">
        <v>69</v>
      </c>
      <c r="E1309" s="85">
        <v>26</v>
      </c>
      <c r="F1309" s="85">
        <v>3</v>
      </c>
      <c r="G1309" s="85">
        <f>--(F1309&lt;=Estimator!$B$7)</f>
        <v>1</v>
      </c>
      <c r="H1309" s="86">
        <f>SUMIFS('Climate Data'!$G$7:$G$366,'Climate Data'!$A$7:$A$366,Estimator!$B$4,'Climate Data'!$B$7:$B$366,C1309)</f>
        <v>0.24731182795698925</v>
      </c>
      <c r="I1309" s="87">
        <f>SUMIFS('Climate Data'!$H$7:$H$366,'Climate Data'!$A$7:$A$366,Estimator!$B$4,'Climate Data'!$B$7:$B$366,C1309)</f>
        <v>8.3739130434782609</v>
      </c>
      <c r="J1309" s="86">
        <f>SUMIFS('Wind Proxy'!$H$8:$H$19,'Wind Proxy'!$A$8:$A$19,Estimator!$B$4,'Wind Proxy'!$B$8:$B$19,C1309)</f>
        <v>0</v>
      </c>
    </row>
    <row r="1310" spans="1:10" ht="14.4">
      <c r="A1310" s="84">
        <v>46961</v>
      </c>
      <c r="B1310" s="85">
        <v>2028</v>
      </c>
      <c r="C1310" s="85">
        <v>7</v>
      </c>
      <c r="D1310" s="85" t="s">
        <v>69</v>
      </c>
      <c r="E1310" s="85">
        <v>27</v>
      </c>
      <c r="F1310" s="85">
        <v>4</v>
      </c>
      <c r="G1310" s="85">
        <f>--(F1310&lt;=Estimator!$B$7)</f>
        <v>1</v>
      </c>
      <c r="H1310" s="86">
        <f>SUMIFS('Climate Data'!$G$7:$G$366,'Climate Data'!$A$7:$A$366,Estimator!$B$4,'Climate Data'!$B$7:$B$366,C1310)</f>
        <v>0.24731182795698925</v>
      </c>
      <c r="I1310" s="87">
        <f>SUMIFS('Climate Data'!$H$7:$H$366,'Climate Data'!$A$7:$A$366,Estimator!$B$4,'Climate Data'!$B$7:$B$366,C1310)</f>
        <v>8.3739130434782609</v>
      </c>
      <c r="J1310" s="86">
        <f>SUMIFS('Wind Proxy'!$H$8:$H$19,'Wind Proxy'!$A$8:$A$19,Estimator!$B$4,'Wind Proxy'!$B$8:$B$19,C1310)</f>
        <v>0</v>
      </c>
    </row>
    <row r="1311" spans="1:10" ht="14.4">
      <c r="A1311" s="84">
        <v>46962</v>
      </c>
      <c r="B1311" s="85">
        <v>2028</v>
      </c>
      <c r="C1311" s="85">
        <v>7</v>
      </c>
      <c r="D1311" s="85" t="s">
        <v>69</v>
      </c>
      <c r="E1311" s="85">
        <v>28</v>
      </c>
      <c r="F1311" s="85">
        <v>5</v>
      </c>
      <c r="G1311" s="85">
        <f>--(F1311&lt;=Estimator!$B$7)</f>
        <v>1</v>
      </c>
      <c r="H1311" s="86">
        <f>SUMIFS('Climate Data'!$G$7:$G$366,'Climate Data'!$A$7:$A$366,Estimator!$B$4,'Climate Data'!$B$7:$B$366,C1311)</f>
        <v>0.24731182795698925</v>
      </c>
      <c r="I1311" s="87">
        <f>SUMIFS('Climate Data'!$H$7:$H$366,'Climate Data'!$A$7:$A$366,Estimator!$B$4,'Climate Data'!$B$7:$B$366,C1311)</f>
        <v>8.3739130434782609</v>
      </c>
      <c r="J1311" s="86">
        <f>SUMIFS('Wind Proxy'!$H$8:$H$19,'Wind Proxy'!$A$8:$A$19,Estimator!$B$4,'Wind Proxy'!$B$8:$B$19,C1311)</f>
        <v>0</v>
      </c>
    </row>
    <row r="1312" spans="1:10" ht="14.4">
      <c r="A1312" s="84">
        <v>46963</v>
      </c>
      <c r="B1312" s="85">
        <v>2028</v>
      </c>
      <c r="C1312" s="85">
        <v>7</v>
      </c>
      <c r="D1312" s="85" t="s">
        <v>69</v>
      </c>
      <c r="E1312" s="85">
        <v>29</v>
      </c>
      <c r="F1312" s="85">
        <v>6</v>
      </c>
      <c r="G1312" s="85">
        <f>--(F1312&lt;=Estimator!$B$7)</f>
        <v>0</v>
      </c>
      <c r="H1312" s="86">
        <f>SUMIFS('Climate Data'!$G$7:$G$366,'Climate Data'!$A$7:$A$366,Estimator!$B$4,'Climate Data'!$B$7:$B$366,C1312)</f>
        <v>0.24731182795698925</v>
      </c>
      <c r="I1312" s="87">
        <f>SUMIFS('Climate Data'!$H$7:$H$366,'Climate Data'!$A$7:$A$366,Estimator!$B$4,'Climate Data'!$B$7:$B$366,C1312)</f>
        <v>8.3739130434782609</v>
      </c>
      <c r="J1312" s="86">
        <f>SUMIFS('Wind Proxy'!$H$8:$H$19,'Wind Proxy'!$A$8:$A$19,Estimator!$B$4,'Wind Proxy'!$B$8:$B$19,C1312)</f>
        <v>0</v>
      </c>
    </row>
    <row r="1313" spans="1:10" ht="14.4">
      <c r="A1313" s="84">
        <v>46964</v>
      </c>
      <c r="B1313" s="85">
        <v>2028</v>
      </c>
      <c r="C1313" s="85">
        <v>7</v>
      </c>
      <c r="D1313" s="85" t="s">
        <v>69</v>
      </c>
      <c r="E1313" s="85">
        <v>30</v>
      </c>
      <c r="F1313" s="85">
        <v>7</v>
      </c>
      <c r="G1313" s="85">
        <f>--(F1313&lt;=Estimator!$B$7)</f>
        <v>0</v>
      </c>
      <c r="H1313" s="86">
        <f>SUMIFS('Climate Data'!$G$7:$G$366,'Climate Data'!$A$7:$A$366,Estimator!$B$4,'Climate Data'!$B$7:$B$366,C1313)</f>
        <v>0.24731182795698925</v>
      </c>
      <c r="I1313" s="87">
        <f>SUMIFS('Climate Data'!$H$7:$H$366,'Climate Data'!$A$7:$A$366,Estimator!$B$4,'Climate Data'!$B$7:$B$366,C1313)</f>
        <v>8.3739130434782609</v>
      </c>
      <c r="J1313" s="86">
        <f>SUMIFS('Wind Proxy'!$H$8:$H$19,'Wind Proxy'!$A$8:$A$19,Estimator!$B$4,'Wind Proxy'!$B$8:$B$19,C1313)</f>
        <v>0</v>
      </c>
    </row>
    <row r="1314" spans="1:10" ht="14.4">
      <c r="A1314" s="84">
        <v>46965</v>
      </c>
      <c r="B1314" s="85">
        <v>2028</v>
      </c>
      <c r="C1314" s="85">
        <v>7</v>
      </c>
      <c r="D1314" s="85" t="s">
        <v>69</v>
      </c>
      <c r="E1314" s="85">
        <v>31</v>
      </c>
      <c r="F1314" s="85">
        <v>1</v>
      </c>
      <c r="G1314" s="85">
        <f>--(F1314&lt;=Estimator!$B$7)</f>
        <v>1</v>
      </c>
      <c r="H1314" s="86">
        <f>SUMIFS('Climate Data'!$G$7:$G$366,'Climate Data'!$A$7:$A$366,Estimator!$B$4,'Climate Data'!$B$7:$B$366,C1314)</f>
        <v>0.24731182795698925</v>
      </c>
      <c r="I1314" s="87">
        <f>SUMIFS('Climate Data'!$H$7:$H$366,'Climate Data'!$A$7:$A$366,Estimator!$B$4,'Climate Data'!$B$7:$B$366,C1314)</f>
        <v>8.3739130434782609</v>
      </c>
      <c r="J1314" s="86">
        <f>SUMIFS('Wind Proxy'!$H$8:$H$19,'Wind Proxy'!$A$8:$A$19,Estimator!$B$4,'Wind Proxy'!$B$8:$B$19,C1314)</f>
        <v>0</v>
      </c>
    </row>
    <row r="1315" spans="1:10" ht="14.4">
      <c r="A1315" s="84">
        <v>46966</v>
      </c>
      <c r="B1315" s="85">
        <v>2028</v>
      </c>
      <c r="C1315" s="85">
        <v>8</v>
      </c>
      <c r="D1315" s="85" t="s">
        <v>71</v>
      </c>
      <c r="E1315" s="85">
        <v>1</v>
      </c>
      <c r="F1315" s="85">
        <v>2</v>
      </c>
      <c r="G1315" s="85">
        <f>--(F1315&lt;=Estimator!$B$7)</f>
        <v>1</v>
      </c>
      <c r="H1315" s="86">
        <f>SUMIFS('Climate Data'!$G$7:$G$366,'Climate Data'!$A$7:$A$366,Estimator!$B$4,'Climate Data'!$B$7:$B$366,C1315)</f>
        <v>0.23548387096774193</v>
      </c>
      <c r="I1315" s="87">
        <f>SUMIFS('Climate Data'!$H$7:$H$366,'Climate Data'!$A$7:$A$366,Estimator!$B$4,'Climate Data'!$B$7:$B$366,C1315)</f>
        <v>7.9589041095890414</v>
      </c>
      <c r="J1315" s="86">
        <f>SUMIFS('Wind Proxy'!$H$8:$H$19,'Wind Proxy'!$A$8:$A$19,Estimator!$B$4,'Wind Proxy'!$B$8:$B$19,C1315)</f>
        <v>0</v>
      </c>
    </row>
    <row r="1316" spans="1:10" ht="14.4">
      <c r="A1316" s="84">
        <v>46967</v>
      </c>
      <c r="B1316" s="85">
        <v>2028</v>
      </c>
      <c r="C1316" s="85">
        <v>8</v>
      </c>
      <c r="D1316" s="85" t="s">
        <v>71</v>
      </c>
      <c r="E1316" s="85">
        <v>2</v>
      </c>
      <c r="F1316" s="85">
        <v>3</v>
      </c>
      <c r="G1316" s="85">
        <f>--(F1316&lt;=Estimator!$B$7)</f>
        <v>1</v>
      </c>
      <c r="H1316" s="86">
        <f>SUMIFS('Climate Data'!$G$7:$G$366,'Climate Data'!$A$7:$A$366,Estimator!$B$4,'Climate Data'!$B$7:$B$366,C1316)</f>
        <v>0.23548387096774193</v>
      </c>
      <c r="I1316" s="87">
        <f>SUMIFS('Climate Data'!$H$7:$H$366,'Climate Data'!$A$7:$A$366,Estimator!$B$4,'Climate Data'!$B$7:$B$366,C1316)</f>
        <v>7.9589041095890414</v>
      </c>
      <c r="J1316" s="86">
        <f>SUMIFS('Wind Proxy'!$H$8:$H$19,'Wind Proxy'!$A$8:$A$19,Estimator!$B$4,'Wind Proxy'!$B$8:$B$19,C1316)</f>
        <v>0</v>
      </c>
    </row>
    <row r="1317" spans="1:10" ht="14.4">
      <c r="A1317" s="84">
        <v>46968</v>
      </c>
      <c r="B1317" s="85">
        <v>2028</v>
      </c>
      <c r="C1317" s="85">
        <v>8</v>
      </c>
      <c r="D1317" s="85" t="s">
        <v>71</v>
      </c>
      <c r="E1317" s="85">
        <v>3</v>
      </c>
      <c r="F1317" s="85">
        <v>4</v>
      </c>
      <c r="G1317" s="85">
        <f>--(F1317&lt;=Estimator!$B$7)</f>
        <v>1</v>
      </c>
      <c r="H1317" s="86">
        <f>SUMIFS('Climate Data'!$G$7:$G$366,'Climate Data'!$A$7:$A$366,Estimator!$B$4,'Climate Data'!$B$7:$B$366,C1317)</f>
        <v>0.23548387096774193</v>
      </c>
      <c r="I1317" s="87">
        <f>SUMIFS('Climate Data'!$H$7:$H$366,'Climate Data'!$A$7:$A$366,Estimator!$B$4,'Climate Data'!$B$7:$B$366,C1317)</f>
        <v>7.9589041095890414</v>
      </c>
      <c r="J1317" s="86">
        <f>SUMIFS('Wind Proxy'!$H$8:$H$19,'Wind Proxy'!$A$8:$A$19,Estimator!$B$4,'Wind Proxy'!$B$8:$B$19,C1317)</f>
        <v>0</v>
      </c>
    </row>
    <row r="1318" spans="1:10" ht="14.4">
      <c r="A1318" s="84">
        <v>46969</v>
      </c>
      <c r="B1318" s="85">
        <v>2028</v>
      </c>
      <c r="C1318" s="85">
        <v>8</v>
      </c>
      <c r="D1318" s="85" t="s">
        <v>71</v>
      </c>
      <c r="E1318" s="85">
        <v>4</v>
      </c>
      <c r="F1318" s="85">
        <v>5</v>
      </c>
      <c r="G1318" s="85">
        <f>--(F1318&lt;=Estimator!$B$7)</f>
        <v>1</v>
      </c>
      <c r="H1318" s="86">
        <f>SUMIFS('Climate Data'!$G$7:$G$366,'Climate Data'!$A$7:$A$366,Estimator!$B$4,'Climate Data'!$B$7:$B$366,C1318)</f>
        <v>0.23548387096774193</v>
      </c>
      <c r="I1318" s="87">
        <f>SUMIFS('Climate Data'!$H$7:$H$366,'Climate Data'!$A$7:$A$366,Estimator!$B$4,'Climate Data'!$B$7:$B$366,C1318)</f>
        <v>7.9589041095890414</v>
      </c>
      <c r="J1318" s="86">
        <f>SUMIFS('Wind Proxy'!$H$8:$H$19,'Wind Proxy'!$A$8:$A$19,Estimator!$B$4,'Wind Proxy'!$B$8:$B$19,C1318)</f>
        <v>0</v>
      </c>
    </row>
    <row r="1319" spans="1:10" ht="14.4">
      <c r="A1319" s="84">
        <v>46970</v>
      </c>
      <c r="B1319" s="85">
        <v>2028</v>
      </c>
      <c r="C1319" s="85">
        <v>8</v>
      </c>
      <c r="D1319" s="85" t="s">
        <v>71</v>
      </c>
      <c r="E1319" s="85">
        <v>5</v>
      </c>
      <c r="F1319" s="85">
        <v>6</v>
      </c>
      <c r="G1319" s="85">
        <f>--(F1319&lt;=Estimator!$B$7)</f>
        <v>0</v>
      </c>
      <c r="H1319" s="86">
        <f>SUMIFS('Climate Data'!$G$7:$G$366,'Climate Data'!$A$7:$A$366,Estimator!$B$4,'Climate Data'!$B$7:$B$366,C1319)</f>
        <v>0.23548387096774193</v>
      </c>
      <c r="I1319" s="87">
        <f>SUMIFS('Climate Data'!$H$7:$H$366,'Climate Data'!$A$7:$A$366,Estimator!$B$4,'Climate Data'!$B$7:$B$366,C1319)</f>
        <v>7.9589041095890414</v>
      </c>
      <c r="J1319" s="86">
        <f>SUMIFS('Wind Proxy'!$H$8:$H$19,'Wind Proxy'!$A$8:$A$19,Estimator!$B$4,'Wind Proxy'!$B$8:$B$19,C1319)</f>
        <v>0</v>
      </c>
    </row>
    <row r="1320" spans="1:10" ht="14.4">
      <c r="A1320" s="84">
        <v>46971</v>
      </c>
      <c r="B1320" s="85">
        <v>2028</v>
      </c>
      <c r="C1320" s="85">
        <v>8</v>
      </c>
      <c r="D1320" s="85" t="s">
        <v>71</v>
      </c>
      <c r="E1320" s="85">
        <v>6</v>
      </c>
      <c r="F1320" s="85">
        <v>7</v>
      </c>
      <c r="G1320" s="85">
        <f>--(F1320&lt;=Estimator!$B$7)</f>
        <v>0</v>
      </c>
      <c r="H1320" s="86">
        <f>SUMIFS('Climate Data'!$G$7:$G$366,'Climate Data'!$A$7:$A$366,Estimator!$B$4,'Climate Data'!$B$7:$B$366,C1320)</f>
        <v>0.23548387096774193</v>
      </c>
      <c r="I1320" s="87">
        <f>SUMIFS('Climate Data'!$H$7:$H$366,'Climate Data'!$A$7:$A$366,Estimator!$B$4,'Climate Data'!$B$7:$B$366,C1320)</f>
        <v>7.9589041095890414</v>
      </c>
      <c r="J1320" s="86">
        <f>SUMIFS('Wind Proxy'!$H$8:$H$19,'Wind Proxy'!$A$8:$A$19,Estimator!$B$4,'Wind Proxy'!$B$8:$B$19,C1320)</f>
        <v>0</v>
      </c>
    </row>
    <row r="1321" spans="1:10" ht="14.4">
      <c r="A1321" s="84">
        <v>46972</v>
      </c>
      <c r="B1321" s="85">
        <v>2028</v>
      </c>
      <c r="C1321" s="85">
        <v>8</v>
      </c>
      <c r="D1321" s="85" t="s">
        <v>71</v>
      </c>
      <c r="E1321" s="85">
        <v>7</v>
      </c>
      <c r="F1321" s="85">
        <v>1</v>
      </c>
      <c r="G1321" s="85">
        <f>--(F1321&lt;=Estimator!$B$7)</f>
        <v>1</v>
      </c>
      <c r="H1321" s="86">
        <f>SUMIFS('Climate Data'!$G$7:$G$366,'Climate Data'!$A$7:$A$366,Estimator!$B$4,'Climate Data'!$B$7:$B$366,C1321)</f>
        <v>0.23548387096774193</v>
      </c>
      <c r="I1321" s="87">
        <f>SUMIFS('Climate Data'!$H$7:$H$366,'Climate Data'!$A$7:$A$366,Estimator!$B$4,'Climate Data'!$B$7:$B$366,C1321)</f>
        <v>7.9589041095890414</v>
      </c>
      <c r="J1321" s="86">
        <f>SUMIFS('Wind Proxy'!$H$8:$H$19,'Wind Proxy'!$A$8:$A$19,Estimator!$B$4,'Wind Proxy'!$B$8:$B$19,C1321)</f>
        <v>0</v>
      </c>
    </row>
    <row r="1322" spans="1:10" ht="14.4">
      <c r="A1322" s="84">
        <v>46973</v>
      </c>
      <c r="B1322" s="85">
        <v>2028</v>
      </c>
      <c r="C1322" s="85">
        <v>8</v>
      </c>
      <c r="D1322" s="85" t="s">
        <v>71</v>
      </c>
      <c r="E1322" s="85">
        <v>8</v>
      </c>
      <c r="F1322" s="85">
        <v>2</v>
      </c>
      <c r="G1322" s="85">
        <f>--(F1322&lt;=Estimator!$B$7)</f>
        <v>1</v>
      </c>
      <c r="H1322" s="86">
        <f>SUMIFS('Climate Data'!$G$7:$G$366,'Climate Data'!$A$7:$A$366,Estimator!$B$4,'Climate Data'!$B$7:$B$366,C1322)</f>
        <v>0.23548387096774193</v>
      </c>
      <c r="I1322" s="87">
        <f>SUMIFS('Climate Data'!$H$7:$H$366,'Climate Data'!$A$7:$A$366,Estimator!$B$4,'Climate Data'!$B$7:$B$366,C1322)</f>
        <v>7.9589041095890414</v>
      </c>
      <c r="J1322" s="86">
        <f>SUMIFS('Wind Proxy'!$H$8:$H$19,'Wind Proxy'!$A$8:$A$19,Estimator!$B$4,'Wind Proxy'!$B$8:$B$19,C1322)</f>
        <v>0</v>
      </c>
    </row>
    <row r="1323" spans="1:10" ht="14.4">
      <c r="A1323" s="84">
        <v>46974</v>
      </c>
      <c r="B1323" s="85">
        <v>2028</v>
      </c>
      <c r="C1323" s="85">
        <v>8</v>
      </c>
      <c r="D1323" s="85" t="s">
        <v>71</v>
      </c>
      <c r="E1323" s="85">
        <v>9</v>
      </c>
      <c r="F1323" s="85">
        <v>3</v>
      </c>
      <c r="G1323" s="85">
        <f>--(F1323&lt;=Estimator!$B$7)</f>
        <v>1</v>
      </c>
      <c r="H1323" s="86">
        <f>SUMIFS('Climate Data'!$G$7:$G$366,'Climate Data'!$A$7:$A$366,Estimator!$B$4,'Climate Data'!$B$7:$B$366,C1323)</f>
        <v>0.23548387096774193</v>
      </c>
      <c r="I1323" s="87">
        <f>SUMIFS('Climate Data'!$H$7:$H$366,'Climate Data'!$A$7:$A$366,Estimator!$B$4,'Climate Data'!$B$7:$B$366,C1323)</f>
        <v>7.9589041095890414</v>
      </c>
      <c r="J1323" s="86">
        <f>SUMIFS('Wind Proxy'!$H$8:$H$19,'Wind Proxy'!$A$8:$A$19,Estimator!$B$4,'Wind Proxy'!$B$8:$B$19,C1323)</f>
        <v>0</v>
      </c>
    </row>
    <row r="1324" spans="1:10" ht="14.4">
      <c r="A1324" s="84">
        <v>46975</v>
      </c>
      <c r="B1324" s="85">
        <v>2028</v>
      </c>
      <c r="C1324" s="85">
        <v>8</v>
      </c>
      <c r="D1324" s="85" t="s">
        <v>71</v>
      </c>
      <c r="E1324" s="85">
        <v>10</v>
      </c>
      <c r="F1324" s="85">
        <v>4</v>
      </c>
      <c r="G1324" s="85">
        <f>--(F1324&lt;=Estimator!$B$7)</f>
        <v>1</v>
      </c>
      <c r="H1324" s="86">
        <f>SUMIFS('Climate Data'!$G$7:$G$366,'Climate Data'!$A$7:$A$366,Estimator!$B$4,'Climate Data'!$B$7:$B$366,C1324)</f>
        <v>0.23548387096774193</v>
      </c>
      <c r="I1324" s="87">
        <f>SUMIFS('Climate Data'!$H$7:$H$366,'Climate Data'!$A$7:$A$366,Estimator!$B$4,'Climate Data'!$B$7:$B$366,C1324)</f>
        <v>7.9589041095890414</v>
      </c>
      <c r="J1324" s="86">
        <f>SUMIFS('Wind Proxy'!$H$8:$H$19,'Wind Proxy'!$A$8:$A$19,Estimator!$B$4,'Wind Proxy'!$B$8:$B$19,C1324)</f>
        <v>0</v>
      </c>
    </row>
    <row r="1325" spans="1:10" ht="14.4">
      <c r="A1325" s="84">
        <v>46976</v>
      </c>
      <c r="B1325" s="85">
        <v>2028</v>
      </c>
      <c r="C1325" s="85">
        <v>8</v>
      </c>
      <c r="D1325" s="85" t="s">
        <v>71</v>
      </c>
      <c r="E1325" s="85">
        <v>11</v>
      </c>
      <c r="F1325" s="85">
        <v>5</v>
      </c>
      <c r="G1325" s="85">
        <f>--(F1325&lt;=Estimator!$B$7)</f>
        <v>1</v>
      </c>
      <c r="H1325" s="86">
        <f>SUMIFS('Climate Data'!$G$7:$G$366,'Climate Data'!$A$7:$A$366,Estimator!$B$4,'Climate Data'!$B$7:$B$366,C1325)</f>
        <v>0.23548387096774193</v>
      </c>
      <c r="I1325" s="87">
        <f>SUMIFS('Climate Data'!$H$7:$H$366,'Climate Data'!$A$7:$A$366,Estimator!$B$4,'Climate Data'!$B$7:$B$366,C1325)</f>
        <v>7.9589041095890414</v>
      </c>
      <c r="J1325" s="86">
        <f>SUMIFS('Wind Proxy'!$H$8:$H$19,'Wind Proxy'!$A$8:$A$19,Estimator!$B$4,'Wind Proxy'!$B$8:$B$19,C1325)</f>
        <v>0</v>
      </c>
    </row>
    <row r="1326" spans="1:10" ht="14.4">
      <c r="A1326" s="84">
        <v>46977</v>
      </c>
      <c r="B1326" s="85">
        <v>2028</v>
      </c>
      <c r="C1326" s="85">
        <v>8</v>
      </c>
      <c r="D1326" s="85" t="s">
        <v>71</v>
      </c>
      <c r="E1326" s="85">
        <v>12</v>
      </c>
      <c r="F1326" s="85">
        <v>6</v>
      </c>
      <c r="G1326" s="85">
        <f>--(F1326&lt;=Estimator!$B$7)</f>
        <v>0</v>
      </c>
      <c r="H1326" s="86">
        <f>SUMIFS('Climate Data'!$G$7:$G$366,'Climate Data'!$A$7:$A$366,Estimator!$B$4,'Climate Data'!$B$7:$B$366,C1326)</f>
        <v>0.23548387096774193</v>
      </c>
      <c r="I1326" s="87">
        <f>SUMIFS('Climate Data'!$H$7:$H$366,'Climate Data'!$A$7:$A$366,Estimator!$B$4,'Climate Data'!$B$7:$B$366,C1326)</f>
        <v>7.9589041095890414</v>
      </c>
      <c r="J1326" s="86">
        <f>SUMIFS('Wind Proxy'!$H$8:$H$19,'Wind Proxy'!$A$8:$A$19,Estimator!$B$4,'Wind Proxy'!$B$8:$B$19,C1326)</f>
        <v>0</v>
      </c>
    </row>
    <row r="1327" spans="1:10" ht="14.4">
      <c r="A1327" s="84">
        <v>46978</v>
      </c>
      <c r="B1327" s="85">
        <v>2028</v>
      </c>
      <c r="C1327" s="85">
        <v>8</v>
      </c>
      <c r="D1327" s="85" t="s">
        <v>71</v>
      </c>
      <c r="E1327" s="85">
        <v>13</v>
      </c>
      <c r="F1327" s="85">
        <v>7</v>
      </c>
      <c r="G1327" s="85">
        <f>--(F1327&lt;=Estimator!$B$7)</f>
        <v>0</v>
      </c>
      <c r="H1327" s="86">
        <f>SUMIFS('Climate Data'!$G$7:$G$366,'Climate Data'!$A$7:$A$366,Estimator!$B$4,'Climate Data'!$B$7:$B$366,C1327)</f>
        <v>0.23548387096774193</v>
      </c>
      <c r="I1327" s="87">
        <f>SUMIFS('Climate Data'!$H$7:$H$366,'Climate Data'!$A$7:$A$366,Estimator!$B$4,'Climate Data'!$B$7:$B$366,C1327)</f>
        <v>7.9589041095890414</v>
      </c>
      <c r="J1327" s="86">
        <f>SUMIFS('Wind Proxy'!$H$8:$H$19,'Wind Proxy'!$A$8:$A$19,Estimator!$B$4,'Wind Proxy'!$B$8:$B$19,C1327)</f>
        <v>0</v>
      </c>
    </row>
    <row r="1328" spans="1:10" ht="14.4">
      <c r="A1328" s="84">
        <v>46979</v>
      </c>
      <c r="B1328" s="85">
        <v>2028</v>
      </c>
      <c r="C1328" s="85">
        <v>8</v>
      </c>
      <c r="D1328" s="85" t="s">
        <v>71</v>
      </c>
      <c r="E1328" s="85">
        <v>14</v>
      </c>
      <c r="F1328" s="85">
        <v>1</v>
      </c>
      <c r="G1328" s="85">
        <f>--(F1328&lt;=Estimator!$B$7)</f>
        <v>1</v>
      </c>
      <c r="H1328" s="86">
        <f>SUMIFS('Climate Data'!$G$7:$G$366,'Climate Data'!$A$7:$A$366,Estimator!$B$4,'Climate Data'!$B$7:$B$366,C1328)</f>
        <v>0.23548387096774193</v>
      </c>
      <c r="I1328" s="87">
        <f>SUMIFS('Climate Data'!$H$7:$H$366,'Climate Data'!$A$7:$A$366,Estimator!$B$4,'Climate Data'!$B$7:$B$366,C1328)</f>
        <v>7.9589041095890414</v>
      </c>
      <c r="J1328" s="86">
        <f>SUMIFS('Wind Proxy'!$H$8:$H$19,'Wind Proxy'!$A$8:$A$19,Estimator!$B$4,'Wind Proxy'!$B$8:$B$19,C1328)</f>
        <v>0</v>
      </c>
    </row>
    <row r="1329" spans="1:10" ht="14.4">
      <c r="A1329" s="84">
        <v>46980</v>
      </c>
      <c r="B1329" s="85">
        <v>2028</v>
      </c>
      <c r="C1329" s="85">
        <v>8</v>
      </c>
      <c r="D1329" s="85" t="s">
        <v>71</v>
      </c>
      <c r="E1329" s="85">
        <v>15</v>
      </c>
      <c r="F1329" s="85">
        <v>2</v>
      </c>
      <c r="G1329" s="85">
        <f>--(F1329&lt;=Estimator!$B$7)</f>
        <v>1</v>
      </c>
      <c r="H1329" s="86">
        <f>SUMIFS('Climate Data'!$G$7:$G$366,'Climate Data'!$A$7:$A$366,Estimator!$B$4,'Climate Data'!$B$7:$B$366,C1329)</f>
        <v>0.23548387096774193</v>
      </c>
      <c r="I1329" s="87">
        <f>SUMIFS('Climate Data'!$H$7:$H$366,'Climate Data'!$A$7:$A$366,Estimator!$B$4,'Climate Data'!$B$7:$B$366,C1329)</f>
        <v>7.9589041095890414</v>
      </c>
      <c r="J1329" s="86">
        <f>SUMIFS('Wind Proxy'!$H$8:$H$19,'Wind Proxy'!$A$8:$A$19,Estimator!$B$4,'Wind Proxy'!$B$8:$B$19,C1329)</f>
        <v>0</v>
      </c>
    </row>
    <row r="1330" spans="1:10" ht="14.4">
      <c r="A1330" s="84">
        <v>46981</v>
      </c>
      <c r="B1330" s="85">
        <v>2028</v>
      </c>
      <c r="C1330" s="85">
        <v>8</v>
      </c>
      <c r="D1330" s="85" t="s">
        <v>71</v>
      </c>
      <c r="E1330" s="85">
        <v>16</v>
      </c>
      <c r="F1330" s="85">
        <v>3</v>
      </c>
      <c r="G1330" s="85">
        <f>--(F1330&lt;=Estimator!$B$7)</f>
        <v>1</v>
      </c>
      <c r="H1330" s="86">
        <f>SUMIFS('Climate Data'!$G$7:$G$366,'Climate Data'!$A$7:$A$366,Estimator!$B$4,'Climate Data'!$B$7:$B$366,C1330)</f>
        <v>0.23548387096774193</v>
      </c>
      <c r="I1330" s="87">
        <f>SUMIFS('Climate Data'!$H$7:$H$366,'Climate Data'!$A$7:$A$366,Estimator!$B$4,'Climate Data'!$B$7:$B$366,C1330)</f>
        <v>7.9589041095890414</v>
      </c>
      <c r="J1330" s="86">
        <f>SUMIFS('Wind Proxy'!$H$8:$H$19,'Wind Proxy'!$A$8:$A$19,Estimator!$B$4,'Wind Proxy'!$B$8:$B$19,C1330)</f>
        <v>0</v>
      </c>
    </row>
    <row r="1331" spans="1:10" ht="14.4">
      <c r="A1331" s="84">
        <v>46982</v>
      </c>
      <c r="B1331" s="85">
        <v>2028</v>
      </c>
      <c r="C1331" s="85">
        <v>8</v>
      </c>
      <c r="D1331" s="85" t="s">
        <v>71</v>
      </c>
      <c r="E1331" s="85">
        <v>17</v>
      </c>
      <c r="F1331" s="85">
        <v>4</v>
      </c>
      <c r="G1331" s="85">
        <f>--(F1331&lt;=Estimator!$B$7)</f>
        <v>1</v>
      </c>
      <c r="H1331" s="86">
        <f>SUMIFS('Climate Data'!$G$7:$G$366,'Climate Data'!$A$7:$A$366,Estimator!$B$4,'Climate Data'!$B$7:$B$366,C1331)</f>
        <v>0.23548387096774193</v>
      </c>
      <c r="I1331" s="87">
        <f>SUMIFS('Climate Data'!$H$7:$H$366,'Climate Data'!$A$7:$A$366,Estimator!$B$4,'Climate Data'!$B$7:$B$366,C1331)</f>
        <v>7.9589041095890414</v>
      </c>
      <c r="J1331" s="86">
        <f>SUMIFS('Wind Proxy'!$H$8:$H$19,'Wind Proxy'!$A$8:$A$19,Estimator!$B$4,'Wind Proxy'!$B$8:$B$19,C1331)</f>
        <v>0</v>
      </c>
    </row>
    <row r="1332" spans="1:10" ht="14.4">
      <c r="A1332" s="84">
        <v>46983</v>
      </c>
      <c r="B1332" s="85">
        <v>2028</v>
      </c>
      <c r="C1332" s="85">
        <v>8</v>
      </c>
      <c r="D1332" s="85" t="s">
        <v>71</v>
      </c>
      <c r="E1332" s="85">
        <v>18</v>
      </c>
      <c r="F1332" s="85">
        <v>5</v>
      </c>
      <c r="G1332" s="85">
        <f>--(F1332&lt;=Estimator!$B$7)</f>
        <v>1</v>
      </c>
      <c r="H1332" s="86">
        <f>SUMIFS('Climate Data'!$G$7:$G$366,'Climate Data'!$A$7:$A$366,Estimator!$B$4,'Climate Data'!$B$7:$B$366,C1332)</f>
        <v>0.23548387096774193</v>
      </c>
      <c r="I1332" s="87">
        <f>SUMIFS('Climate Data'!$H$7:$H$366,'Climate Data'!$A$7:$A$366,Estimator!$B$4,'Climate Data'!$B$7:$B$366,C1332)</f>
        <v>7.9589041095890414</v>
      </c>
      <c r="J1332" s="86">
        <f>SUMIFS('Wind Proxy'!$H$8:$H$19,'Wind Proxy'!$A$8:$A$19,Estimator!$B$4,'Wind Proxy'!$B$8:$B$19,C1332)</f>
        <v>0</v>
      </c>
    </row>
    <row r="1333" spans="1:10" ht="14.4">
      <c r="A1333" s="84">
        <v>46984</v>
      </c>
      <c r="B1333" s="85">
        <v>2028</v>
      </c>
      <c r="C1333" s="85">
        <v>8</v>
      </c>
      <c r="D1333" s="85" t="s">
        <v>71</v>
      </c>
      <c r="E1333" s="85">
        <v>19</v>
      </c>
      <c r="F1333" s="85">
        <v>6</v>
      </c>
      <c r="G1333" s="85">
        <f>--(F1333&lt;=Estimator!$B$7)</f>
        <v>0</v>
      </c>
      <c r="H1333" s="86">
        <f>SUMIFS('Climate Data'!$G$7:$G$366,'Climate Data'!$A$7:$A$366,Estimator!$B$4,'Climate Data'!$B$7:$B$366,C1333)</f>
        <v>0.23548387096774193</v>
      </c>
      <c r="I1333" s="87">
        <f>SUMIFS('Climate Data'!$H$7:$H$366,'Climate Data'!$A$7:$A$366,Estimator!$B$4,'Climate Data'!$B$7:$B$366,C1333)</f>
        <v>7.9589041095890414</v>
      </c>
      <c r="J1333" s="86">
        <f>SUMIFS('Wind Proxy'!$H$8:$H$19,'Wind Proxy'!$A$8:$A$19,Estimator!$B$4,'Wind Proxy'!$B$8:$B$19,C1333)</f>
        <v>0</v>
      </c>
    </row>
    <row r="1334" spans="1:10" ht="14.4">
      <c r="A1334" s="84">
        <v>46985</v>
      </c>
      <c r="B1334" s="85">
        <v>2028</v>
      </c>
      <c r="C1334" s="85">
        <v>8</v>
      </c>
      <c r="D1334" s="85" t="s">
        <v>71</v>
      </c>
      <c r="E1334" s="85">
        <v>20</v>
      </c>
      <c r="F1334" s="85">
        <v>7</v>
      </c>
      <c r="G1334" s="85">
        <f>--(F1334&lt;=Estimator!$B$7)</f>
        <v>0</v>
      </c>
      <c r="H1334" s="86">
        <f>SUMIFS('Climate Data'!$G$7:$G$366,'Climate Data'!$A$7:$A$366,Estimator!$B$4,'Climate Data'!$B$7:$B$366,C1334)</f>
        <v>0.23548387096774193</v>
      </c>
      <c r="I1334" s="87">
        <f>SUMIFS('Climate Data'!$H$7:$H$366,'Climate Data'!$A$7:$A$366,Estimator!$B$4,'Climate Data'!$B$7:$B$366,C1334)</f>
        <v>7.9589041095890414</v>
      </c>
      <c r="J1334" s="86">
        <f>SUMIFS('Wind Proxy'!$H$8:$H$19,'Wind Proxy'!$A$8:$A$19,Estimator!$B$4,'Wind Proxy'!$B$8:$B$19,C1334)</f>
        <v>0</v>
      </c>
    </row>
    <row r="1335" spans="1:10" ht="14.4">
      <c r="A1335" s="84">
        <v>46986</v>
      </c>
      <c r="B1335" s="85">
        <v>2028</v>
      </c>
      <c r="C1335" s="85">
        <v>8</v>
      </c>
      <c r="D1335" s="85" t="s">
        <v>71</v>
      </c>
      <c r="E1335" s="85">
        <v>21</v>
      </c>
      <c r="F1335" s="85">
        <v>1</v>
      </c>
      <c r="G1335" s="85">
        <f>--(F1335&lt;=Estimator!$B$7)</f>
        <v>1</v>
      </c>
      <c r="H1335" s="86">
        <f>SUMIFS('Climate Data'!$G$7:$G$366,'Climate Data'!$A$7:$A$366,Estimator!$B$4,'Climate Data'!$B$7:$B$366,C1335)</f>
        <v>0.23548387096774193</v>
      </c>
      <c r="I1335" s="87">
        <f>SUMIFS('Climate Data'!$H$7:$H$366,'Climate Data'!$A$7:$A$366,Estimator!$B$4,'Climate Data'!$B$7:$B$366,C1335)</f>
        <v>7.9589041095890414</v>
      </c>
      <c r="J1335" s="86">
        <f>SUMIFS('Wind Proxy'!$H$8:$H$19,'Wind Proxy'!$A$8:$A$19,Estimator!$B$4,'Wind Proxy'!$B$8:$B$19,C1335)</f>
        <v>0</v>
      </c>
    </row>
    <row r="1336" spans="1:10" ht="14.4">
      <c r="A1336" s="84">
        <v>46987</v>
      </c>
      <c r="B1336" s="85">
        <v>2028</v>
      </c>
      <c r="C1336" s="85">
        <v>8</v>
      </c>
      <c r="D1336" s="85" t="s">
        <v>71</v>
      </c>
      <c r="E1336" s="85">
        <v>22</v>
      </c>
      <c r="F1336" s="85">
        <v>2</v>
      </c>
      <c r="G1336" s="85">
        <f>--(F1336&lt;=Estimator!$B$7)</f>
        <v>1</v>
      </c>
      <c r="H1336" s="86">
        <f>SUMIFS('Climate Data'!$G$7:$G$366,'Climate Data'!$A$7:$A$366,Estimator!$B$4,'Climate Data'!$B$7:$B$366,C1336)</f>
        <v>0.23548387096774193</v>
      </c>
      <c r="I1336" s="87">
        <f>SUMIFS('Climate Data'!$H$7:$H$366,'Climate Data'!$A$7:$A$366,Estimator!$B$4,'Climate Data'!$B$7:$B$366,C1336)</f>
        <v>7.9589041095890414</v>
      </c>
      <c r="J1336" s="86">
        <f>SUMIFS('Wind Proxy'!$H$8:$H$19,'Wind Proxy'!$A$8:$A$19,Estimator!$B$4,'Wind Proxy'!$B$8:$B$19,C1336)</f>
        <v>0</v>
      </c>
    </row>
    <row r="1337" spans="1:10" ht="14.4">
      <c r="A1337" s="84">
        <v>46988</v>
      </c>
      <c r="B1337" s="85">
        <v>2028</v>
      </c>
      <c r="C1337" s="85">
        <v>8</v>
      </c>
      <c r="D1337" s="85" t="s">
        <v>71</v>
      </c>
      <c r="E1337" s="85">
        <v>23</v>
      </c>
      <c r="F1337" s="85">
        <v>3</v>
      </c>
      <c r="G1337" s="85">
        <f>--(F1337&lt;=Estimator!$B$7)</f>
        <v>1</v>
      </c>
      <c r="H1337" s="86">
        <f>SUMIFS('Climate Data'!$G$7:$G$366,'Climate Data'!$A$7:$A$366,Estimator!$B$4,'Climate Data'!$B$7:$B$366,C1337)</f>
        <v>0.23548387096774193</v>
      </c>
      <c r="I1337" s="87">
        <f>SUMIFS('Climate Data'!$H$7:$H$366,'Climate Data'!$A$7:$A$366,Estimator!$B$4,'Climate Data'!$B$7:$B$366,C1337)</f>
        <v>7.9589041095890414</v>
      </c>
      <c r="J1337" s="86">
        <f>SUMIFS('Wind Proxy'!$H$8:$H$19,'Wind Proxy'!$A$8:$A$19,Estimator!$B$4,'Wind Proxy'!$B$8:$B$19,C1337)</f>
        <v>0</v>
      </c>
    </row>
    <row r="1338" spans="1:10" ht="14.4">
      <c r="A1338" s="84">
        <v>46989</v>
      </c>
      <c r="B1338" s="85">
        <v>2028</v>
      </c>
      <c r="C1338" s="85">
        <v>8</v>
      </c>
      <c r="D1338" s="85" t="s">
        <v>71</v>
      </c>
      <c r="E1338" s="85">
        <v>24</v>
      </c>
      <c r="F1338" s="85">
        <v>4</v>
      </c>
      <c r="G1338" s="85">
        <f>--(F1338&lt;=Estimator!$B$7)</f>
        <v>1</v>
      </c>
      <c r="H1338" s="86">
        <f>SUMIFS('Climate Data'!$G$7:$G$366,'Climate Data'!$A$7:$A$366,Estimator!$B$4,'Climate Data'!$B$7:$B$366,C1338)</f>
        <v>0.23548387096774193</v>
      </c>
      <c r="I1338" s="87">
        <f>SUMIFS('Climate Data'!$H$7:$H$366,'Climate Data'!$A$7:$A$366,Estimator!$B$4,'Climate Data'!$B$7:$B$366,C1338)</f>
        <v>7.9589041095890414</v>
      </c>
      <c r="J1338" s="86">
        <f>SUMIFS('Wind Proxy'!$H$8:$H$19,'Wind Proxy'!$A$8:$A$19,Estimator!$B$4,'Wind Proxy'!$B$8:$B$19,C1338)</f>
        <v>0</v>
      </c>
    </row>
    <row r="1339" spans="1:10" ht="14.4">
      <c r="A1339" s="84">
        <v>46990</v>
      </c>
      <c r="B1339" s="85">
        <v>2028</v>
      </c>
      <c r="C1339" s="85">
        <v>8</v>
      </c>
      <c r="D1339" s="85" t="s">
        <v>71</v>
      </c>
      <c r="E1339" s="85">
        <v>25</v>
      </c>
      <c r="F1339" s="85">
        <v>5</v>
      </c>
      <c r="G1339" s="85">
        <f>--(F1339&lt;=Estimator!$B$7)</f>
        <v>1</v>
      </c>
      <c r="H1339" s="86">
        <f>SUMIFS('Climate Data'!$G$7:$G$366,'Climate Data'!$A$7:$A$366,Estimator!$B$4,'Climate Data'!$B$7:$B$366,C1339)</f>
        <v>0.23548387096774193</v>
      </c>
      <c r="I1339" s="87">
        <f>SUMIFS('Climate Data'!$H$7:$H$366,'Climate Data'!$A$7:$A$366,Estimator!$B$4,'Climate Data'!$B$7:$B$366,C1339)</f>
        <v>7.9589041095890414</v>
      </c>
      <c r="J1339" s="86">
        <f>SUMIFS('Wind Proxy'!$H$8:$H$19,'Wind Proxy'!$A$8:$A$19,Estimator!$B$4,'Wind Proxy'!$B$8:$B$19,C1339)</f>
        <v>0</v>
      </c>
    </row>
    <row r="1340" spans="1:10" ht="14.4">
      <c r="A1340" s="84">
        <v>46991</v>
      </c>
      <c r="B1340" s="85">
        <v>2028</v>
      </c>
      <c r="C1340" s="85">
        <v>8</v>
      </c>
      <c r="D1340" s="85" t="s">
        <v>71</v>
      </c>
      <c r="E1340" s="85">
        <v>26</v>
      </c>
      <c r="F1340" s="85">
        <v>6</v>
      </c>
      <c r="G1340" s="85">
        <f>--(F1340&lt;=Estimator!$B$7)</f>
        <v>0</v>
      </c>
      <c r="H1340" s="86">
        <f>SUMIFS('Climate Data'!$G$7:$G$366,'Climate Data'!$A$7:$A$366,Estimator!$B$4,'Climate Data'!$B$7:$B$366,C1340)</f>
        <v>0.23548387096774193</v>
      </c>
      <c r="I1340" s="87">
        <f>SUMIFS('Climate Data'!$H$7:$H$366,'Climate Data'!$A$7:$A$366,Estimator!$B$4,'Climate Data'!$B$7:$B$366,C1340)</f>
        <v>7.9589041095890414</v>
      </c>
      <c r="J1340" s="86">
        <f>SUMIFS('Wind Proxy'!$H$8:$H$19,'Wind Proxy'!$A$8:$A$19,Estimator!$B$4,'Wind Proxy'!$B$8:$B$19,C1340)</f>
        <v>0</v>
      </c>
    </row>
    <row r="1341" spans="1:10" ht="14.4">
      <c r="A1341" s="84">
        <v>46992</v>
      </c>
      <c r="B1341" s="85">
        <v>2028</v>
      </c>
      <c r="C1341" s="85">
        <v>8</v>
      </c>
      <c r="D1341" s="85" t="s">
        <v>71</v>
      </c>
      <c r="E1341" s="85">
        <v>27</v>
      </c>
      <c r="F1341" s="85">
        <v>7</v>
      </c>
      <c r="G1341" s="85">
        <f>--(F1341&lt;=Estimator!$B$7)</f>
        <v>0</v>
      </c>
      <c r="H1341" s="86">
        <f>SUMIFS('Climate Data'!$G$7:$G$366,'Climate Data'!$A$7:$A$366,Estimator!$B$4,'Climate Data'!$B$7:$B$366,C1341)</f>
        <v>0.23548387096774193</v>
      </c>
      <c r="I1341" s="87">
        <f>SUMIFS('Climate Data'!$H$7:$H$366,'Climate Data'!$A$7:$A$366,Estimator!$B$4,'Climate Data'!$B$7:$B$366,C1341)</f>
        <v>7.9589041095890414</v>
      </c>
      <c r="J1341" s="86">
        <f>SUMIFS('Wind Proxy'!$H$8:$H$19,'Wind Proxy'!$A$8:$A$19,Estimator!$B$4,'Wind Proxy'!$B$8:$B$19,C1341)</f>
        <v>0</v>
      </c>
    </row>
    <row r="1342" spans="1:10" ht="14.4">
      <c r="A1342" s="84">
        <v>46993</v>
      </c>
      <c r="B1342" s="85">
        <v>2028</v>
      </c>
      <c r="C1342" s="85">
        <v>8</v>
      </c>
      <c r="D1342" s="85" t="s">
        <v>71</v>
      </c>
      <c r="E1342" s="85">
        <v>28</v>
      </c>
      <c r="F1342" s="85">
        <v>1</v>
      </c>
      <c r="G1342" s="85">
        <f>--(F1342&lt;=Estimator!$B$7)</f>
        <v>1</v>
      </c>
      <c r="H1342" s="86">
        <f>SUMIFS('Climate Data'!$G$7:$G$366,'Climate Data'!$A$7:$A$366,Estimator!$B$4,'Climate Data'!$B$7:$B$366,C1342)</f>
        <v>0.23548387096774193</v>
      </c>
      <c r="I1342" s="87">
        <f>SUMIFS('Climate Data'!$H$7:$H$366,'Climate Data'!$A$7:$A$366,Estimator!$B$4,'Climate Data'!$B$7:$B$366,C1342)</f>
        <v>7.9589041095890414</v>
      </c>
      <c r="J1342" s="86">
        <f>SUMIFS('Wind Proxy'!$H$8:$H$19,'Wind Proxy'!$A$8:$A$19,Estimator!$B$4,'Wind Proxy'!$B$8:$B$19,C1342)</f>
        <v>0</v>
      </c>
    </row>
    <row r="1343" spans="1:10" ht="14.4">
      <c r="A1343" s="84">
        <v>46994</v>
      </c>
      <c r="B1343" s="85">
        <v>2028</v>
      </c>
      <c r="C1343" s="85">
        <v>8</v>
      </c>
      <c r="D1343" s="85" t="s">
        <v>71</v>
      </c>
      <c r="E1343" s="85">
        <v>29</v>
      </c>
      <c r="F1343" s="85">
        <v>2</v>
      </c>
      <c r="G1343" s="85">
        <f>--(F1343&lt;=Estimator!$B$7)</f>
        <v>1</v>
      </c>
      <c r="H1343" s="86">
        <f>SUMIFS('Climate Data'!$G$7:$G$366,'Climate Data'!$A$7:$A$366,Estimator!$B$4,'Climate Data'!$B$7:$B$366,C1343)</f>
        <v>0.23548387096774193</v>
      </c>
      <c r="I1343" s="87">
        <f>SUMIFS('Climate Data'!$H$7:$H$366,'Climate Data'!$A$7:$A$366,Estimator!$B$4,'Climate Data'!$B$7:$B$366,C1343)</f>
        <v>7.9589041095890414</v>
      </c>
      <c r="J1343" s="86">
        <f>SUMIFS('Wind Proxy'!$H$8:$H$19,'Wind Proxy'!$A$8:$A$19,Estimator!$B$4,'Wind Proxy'!$B$8:$B$19,C1343)</f>
        <v>0</v>
      </c>
    </row>
    <row r="1344" spans="1:10" ht="14.4">
      <c r="A1344" s="84">
        <v>46995</v>
      </c>
      <c r="B1344" s="85">
        <v>2028</v>
      </c>
      <c r="C1344" s="85">
        <v>8</v>
      </c>
      <c r="D1344" s="85" t="s">
        <v>71</v>
      </c>
      <c r="E1344" s="85">
        <v>30</v>
      </c>
      <c r="F1344" s="85">
        <v>3</v>
      </c>
      <c r="G1344" s="85">
        <f>--(F1344&lt;=Estimator!$B$7)</f>
        <v>1</v>
      </c>
      <c r="H1344" s="86">
        <f>SUMIFS('Climate Data'!$G$7:$G$366,'Climate Data'!$A$7:$A$366,Estimator!$B$4,'Climate Data'!$B$7:$B$366,C1344)</f>
        <v>0.23548387096774193</v>
      </c>
      <c r="I1344" s="87">
        <f>SUMIFS('Climate Data'!$H$7:$H$366,'Climate Data'!$A$7:$A$366,Estimator!$B$4,'Climate Data'!$B$7:$B$366,C1344)</f>
        <v>7.9589041095890414</v>
      </c>
      <c r="J1344" s="86">
        <f>SUMIFS('Wind Proxy'!$H$8:$H$19,'Wind Proxy'!$A$8:$A$19,Estimator!$B$4,'Wind Proxy'!$B$8:$B$19,C1344)</f>
        <v>0</v>
      </c>
    </row>
    <row r="1345" spans="1:10" ht="14.4">
      <c r="A1345" s="84">
        <v>46996</v>
      </c>
      <c r="B1345" s="85">
        <v>2028</v>
      </c>
      <c r="C1345" s="85">
        <v>8</v>
      </c>
      <c r="D1345" s="85" t="s">
        <v>71</v>
      </c>
      <c r="E1345" s="85">
        <v>31</v>
      </c>
      <c r="F1345" s="85">
        <v>4</v>
      </c>
      <c r="G1345" s="85">
        <f>--(F1345&lt;=Estimator!$B$7)</f>
        <v>1</v>
      </c>
      <c r="H1345" s="86">
        <f>SUMIFS('Climate Data'!$G$7:$G$366,'Climate Data'!$A$7:$A$366,Estimator!$B$4,'Climate Data'!$B$7:$B$366,C1345)</f>
        <v>0.23548387096774193</v>
      </c>
      <c r="I1345" s="87">
        <f>SUMIFS('Climate Data'!$H$7:$H$366,'Climate Data'!$A$7:$A$366,Estimator!$B$4,'Climate Data'!$B$7:$B$366,C1345)</f>
        <v>7.9589041095890414</v>
      </c>
      <c r="J1345" s="86">
        <f>SUMIFS('Wind Proxy'!$H$8:$H$19,'Wind Proxy'!$A$8:$A$19,Estimator!$B$4,'Wind Proxy'!$B$8:$B$19,C1345)</f>
        <v>0</v>
      </c>
    </row>
    <row r="1346" spans="1:10" ht="14.4">
      <c r="A1346" s="84">
        <v>46997</v>
      </c>
      <c r="B1346" s="85">
        <v>2028</v>
      </c>
      <c r="C1346" s="85">
        <v>9</v>
      </c>
      <c r="D1346" s="85" t="s">
        <v>73</v>
      </c>
      <c r="E1346" s="85">
        <v>1</v>
      </c>
      <c r="F1346" s="85">
        <v>5</v>
      </c>
      <c r="G1346" s="85">
        <f>--(F1346&lt;=Estimator!$B$7)</f>
        <v>1</v>
      </c>
      <c r="H1346" s="86">
        <f>SUMIFS('Climate Data'!$G$7:$G$366,'Climate Data'!$A$7:$A$366,Estimator!$B$4,'Climate Data'!$B$7:$B$366,C1346)</f>
        <v>0.20666666666666667</v>
      </c>
      <c r="I1346" s="87">
        <f>SUMIFS('Climate Data'!$H$7:$H$366,'Climate Data'!$A$7:$A$366,Estimator!$B$4,'Climate Data'!$B$7:$B$366,C1346)</f>
        <v>6.806451612903226</v>
      </c>
      <c r="J1346" s="86">
        <f>SUMIFS('Wind Proxy'!$H$8:$H$19,'Wind Proxy'!$A$8:$A$19,Estimator!$B$4,'Wind Proxy'!$B$8:$B$19,C1346)</f>
        <v>0</v>
      </c>
    </row>
    <row r="1347" spans="1:10" ht="14.4">
      <c r="A1347" s="84">
        <v>46998</v>
      </c>
      <c r="B1347" s="85">
        <v>2028</v>
      </c>
      <c r="C1347" s="85">
        <v>9</v>
      </c>
      <c r="D1347" s="85" t="s">
        <v>73</v>
      </c>
      <c r="E1347" s="85">
        <v>2</v>
      </c>
      <c r="F1347" s="85">
        <v>6</v>
      </c>
      <c r="G1347" s="85">
        <f>--(F1347&lt;=Estimator!$B$7)</f>
        <v>0</v>
      </c>
      <c r="H1347" s="86">
        <f>SUMIFS('Climate Data'!$G$7:$G$366,'Climate Data'!$A$7:$A$366,Estimator!$B$4,'Climate Data'!$B$7:$B$366,C1347)</f>
        <v>0.20666666666666667</v>
      </c>
      <c r="I1347" s="87">
        <f>SUMIFS('Climate Data'!$H$7:$H$366,'Climate Data'!$A$7:$A$366,Estimator!$B$4,'Climate Data'!$B$7:$B$366,C1347)</f>
        <v>6.806451612903226</v>
      </c>
      <c r="J1347" s="86">
        <f>SUMIFS('Wind Proxy'!$H$8:$H$19,'Wind Proxy'!$A$8:$A$19,Estimator!$B$4,'Wind Proxy'!$B$8:$B$19,C1347)</f>
        <v>0</v>
      </c>
    </row>
    <row r="1348" spans="1:10" ht="14.4">
      <c r="A1348" s="84">
        <v>46999</v>
      </c>
      <c r="B1348" s="85">
        <v>2028</v>
      </c>
      <c r="C1348" s="85">
        <v>9</v>
      </c>
      <c r="D1348" s="85" t="s">
        <v>73</v>
      </c>
      <c r="E1348" s="85">
        <v>3</v>
      </c>
      <c r="F1348" s="85">
        <v>7</v>
      </c>
      <c r="G1348" s="85">
        <f>--(F1348&lt;=Estimator!$B$7)</f>
        <v>0</v>
      </c>
      <c r="H1348" s="86">
        <f>SUMIFS('Climate Data'!$G$7:$G$366,'Climate Data'!$A$7:$A$366,Estimator!$B$4,'Climate Data'!$B$7:$B$366,C1348)</f>
        <v>0.20666666666666667</v>
      </c>
      <c r="I1348" s="87">
        <f>SUMIFS('Climate Data'!$H$7:$H$366,'Climate Data'!$A$7:$A$366,Estimator!$B$4,'Climate Data'!$B$7:$B$366,C1348)</f>
        <v>6.806451612903226</v>
      </c>
      <c r="J1348" s="86">
        <f>SUMIFS('Wind Proxy'!$H$8:$H$19,'Wind Proxy'!$A$8:$A$19,Estimator!$B$4,'Wind Proxy'!$B$8:$B$19,C1348)</f>
        <v>0</v>
      </c>
    </row>
    <row r="1349" spans="1:10" ht="14.4">
      <c r="A1349" s="84">
        <v>47000</v>
      </c>
      <c r="B1349" s="85">
        <v>2028</v>
      </c>
      <c r="C1349" s="85">
        <v>9</v>
      </c>
      <c r="D1349" s="85" t="s">
        <v>73</v>
      </c>
      <c r="E1349" s="85">
        <v>4</v>
      </c>
      <c r="F1349" s="85">
        <v>1</v>
      </c>
      <c r="G1349" s="85">
        <f>--(F1349&lt;=Estimator!$B$7)</f>
        <v>1</v>
      </c>
      <c r="H1349" s="86">
        <f>SUMIFS('Climate Data'!$G$7:$G$366,'Climate Data'!$A$7:$A$366,Estimator!$B$4,'Climate Data'!$B$7:$B$366,C1349)</f>
        <v>0.20666666666666667</v>
      </c>
      <c r="I1349" s="87">
        <f>SUMIFS('Climate Data'!$H$7:$H$366,'Climate Data'!$A$7:$A$366,Estimator!$B$4,'Climate Data'!$B$7:$B$366,C1349)</f>
        <v>6.806451612903226</v>
      </c>
      <c r="J1349" s="86">
        <f>SUMIFS('Wind Proxy'!$H$8:$H$19,'Wind Proxy'!$A$8:$A$19,Estimator!$B$4,'Wind Proxy'!$B$8:$B$19,C1349)</f>
        <v>0</v>
      </c>
    </row>
    <row r="1350" spans="1:10" ht="14.4">
      <c r="A1350" s="84">
        <v>47001</v>
      </c>
      <c r="B1350" s="85">
        <v>2028</v>
      </c>
      <c r="C1350" s="85">
        <v>9</v>
      </c>
      <c r="D1350" s="85" t="s">
        <v>73</v>
      </c>
      <c r="E1350" s="85">
        <v>5</v>
      </c>
      <c r="F1350" s="85">
        <v>2</v>
      </c>
      <c r="G1350" s="85">
        <f>--(F1350&lt;=Estimator!$B$7)</f>
        <v>1</v>
      </c>
      <c r="H1350" s="86">
        <f>SUMIFS('Climate Data'!$G$7:$G$366,'Climate Data'!$A$7:$A$366,Estimator!$B$4,'Climate Data'!$B$7:$B$366,C1350)</f>
        <v>0.20666666666666667</v>
      </c>
      <c r="I1350" s="87">
        <f>SUMIFS('Climate Data'!$H$7:$H$366,'Climate Data'!$A$7:$A$366,Estimator!$B$4,'Climate Data'!$B$7:$B$366,C1350)</f>
        <v>6.806451612903226</v>
      </c>
      <c r="J1350" s="86">
        <f>SUMIFS('Wind Proxy'!$H$8:$H$19,'Wind Proxy'!$A$8:$A$19,Estimator!$B$4,'Wind Proxy'!$B$8:$B$19,C1350)</f>
        <v>0</v>
      </c>
    </row>
    <row r="1351" spans="1:10" ht="14.4">
      <c r="A1351" s="84">
        <v>47002</v>
      </c>
      <c r="B1351" s="85">
        <v>2028</v>
      </c>
      <c r="C1351" s="85">
        <v>9</v>
      </c>
      <c r="D1351" s="85" t="s">
        <v>73</v>
      </c>
      <c r="E1351" s="85">
        <v>6</v>
      </c>
      <c r="F1351" s="85">
        <v>3</v>
      </c>
      <c r="G1351" s="85">
        <f>--(F1351&lt;=Estimator!$B$7)</f>
        <v>1</v>
      </c>
      <c r="H1351" s="86">
        <f>SUMIFS('Climate Data'!$G$7:$G$366,'Climate Data'!$A$7:$A$366,Estimator!$B$4,'Climate Data'!$B$7:$B$366,C1351)</f>
        <v>0.20666666666666667</v>
      </c>
      <c r="I1351" s="87">
        <f>SUMIFS('Climate Data'!$H$7:$H$366,'Climate Data'!$A$7:$A$366,Estimator!$B$4,'Climate Data'!$B$7:$B$366,C1351)</f>
        <v>6.806451612903226</v>
      </c>
      <c r="J1351" s="86">
        <f>SUMIFS('Wind Proxy'!$H$8:$H$19,'Wind Proxy'!$A$8:$A$19,Estimator!$B$4,'Wind Proxy'!$B$8:$B$19,C1351)</f>
        <v>0</v>
      </c>
    </row>
    <row r="1352" spans="1:10" ht="14.4">
      <c r="A1352" s="84">
        <v>47003</v>
      </c>
      <c r="B1352" s="85">
        <v>2028</v>
      </c>
      <c r="C1352" s="85">
        <v>9</v>
      </c>
      <c r="D1352" s="85" t="s">
        <v>73</v>
      </c>
      <c r="E1352" s="85">
        <v>7</v>
      </c>
      <c r="F1352" s="85">
        <v>4</v>
      </c>
      <c r="G1352" s="85">
        <f>--(F1352&lt;=Estimator!$B$7)</f>
        <v>1</v>
      </c>
      <c r="H1352" s="86">
        <f>SUMIFS('Climate Data'!$G$7:$G$366,'Climate Data'!$A$7:$A$366,Estimator!$B$4,'Climate Data'!$B$7:$B$366,C1352)</f>
        <v>0.20666666666666667</v>
      </c>
      <c r="I1352" s="87">
        <f>SUMIFS('Climate Data'!$H$7:$H$366,'Climate Data'!$A$7:$A$366,Estimator!$B$4,'Climate Data'!$B$7:$B$366,C1352)</f>
        <v>6.806451612903226</v>
      </c>
      <c r="J1352" s="86">
        <f>SUMIFS('Wind Proxy'!$H$8:$H$19,'Wind Proxy'!$A$8:$A$19,Estimator!$B$4,'Wind Proxy'!$B$8:$B$19,C1352)</f>
        <v>0</v>
      </c>
    </row>
    <row r="1353" spans="1:10" ht="14.4">
      <c r="A1353" s="84">
        <v>47004</v>
      </c>
      <c r="B1353" s="85">
        <v>2028</v>
      </c>
      <c r="C1353" s="85">
        <v>9</v>
      </c>
      <c r="D1353" s="85" t="s">
        <v>73</v>
      </c>
      <c r="E1353" s="85">
        <v>8</v>
      </c>
      <c r="F1353" s="85">
        <v>5</v>
      </c>
      <c r="G1353" s="85">
        <f>--(F1353&lt;=Estimator!$B$7)</f>
        <v>1</v>
      </c>
      <c r="H1353" s="86">
        <f>SUMIFS('Climate Data'!$G$7:$G$366,'Climate Data'!$A$7:$A$366,Estimator!$B$4,'Climate Data'!$B$7:$B$366,C1353)</f>
        <v>0.20666666666666667</v>
      </c>
      <c r="I1353" s="87">
        <f>SUMIFS('Climate Data'!$H$7:$H$366,'Climate Data'!$A$7:$A$366,Estimator!$B$4,'Climate Data'!$B$7:$B$366,C1353)</f>
        <v>6.806451612903226</v>
      </c>
      <c r="J1353" s="86">
        <f>SUMIFS('Wind Proxy'!$H$8:$H$19,'Wind Proxy'!$A$8:$A$19,Estimator!$B$4,'Wind Proxy'!$B$8:$B$19,C1353)</f>
        <v>0</v>
      </c>
    </row>
    <row r="1354" spans="1:10" ht="14.4">
      <c r="A1354" s="84">
        <v>47005</v>
      </c>
      <c r="B1354" s="85">
        <v>2028</v>
      </c>
      <c r="C1354" s="85">
        <v>9</v>
      </c>
      <c r="D1354" s="85" t="s">
        <v>73</v>
      </c>
      <c r="E1354" s="85">
        <v>9</v>
      </c>
      <c r="F1354" s="85">
        <v>6</v>
      </c>
      <c r="G1354" s="85">
        <f>--(F1354&lt;=Estimator!$B$7)</f>
        <v>0</v>
      </c>
      <c r="H1354" s="86">
        <f>SUMIFS('Climate Data'!$G$7:$G$366,'Climate Data'!$A$7:$A$366,Estimator!$B$4,'Climate Data'!$B$7:$B$366,C1354)</f>
        <v>0.20666666666666667</v>
      </c>
      <c r="I1354" s="87">
        <f>SUMIFS('Climate Data'!$H$7:$H$366,'Climate Data'!$A$7:$A$366,Estimator!$B$4,'Climate Data'!$B$7:$B$366,C1354)</f>
        <v>6.806451612903226</v>
      </c>
      <c r="J1354" s="86">
        <f>SUMIFS('Wind Proxy'!$H$8:$H$19,'Wind Proxy'!$A$8:$A$19,Estimator!$B$4,'Wind Proxy'!$B$8:$B$19,C1354)</f>
        <v>0</v>
      </c>
    </row>
    <row r="1355" spans="1:10" ht="14.4">
      <c r="A1355" s="84">
        <v>47006</v>
      </c>
      <c r="B1355" s="85">
        <v>2028</v>
      </c>
      <c r="C1355" s="85">
        <v>9</v>
      </c>
      <c r="D1355" s="85" t="s">
        <v>73</v>
      </c>
      <c r="E1355" s="85">
        <v>10</v>
      </c>
      <c r="F1355" s="85">
        <v>7</v>
      </c>
      <c r="G1355" s="85">
        <f>--(F1355&lt;=Estimator!$B$7)</f>
        <v>0</v>
      </c>
      <c r="H1355" s="86">
        <f>SUMIFS('Climate Data'!$G$7:$G$366,'Climate Data'!$A$7:$A$366,Estimator!$B$4,'Climate Data'!$B$7:$B$366,C1355)</f>
        <v>0.20666666666666667</v>
      </c>
      <c r="I1355" s="87">
        <f>SUMIFS('Climate Data'!$H$7:$H$366,'Climate Data'!$A$7:$A$366,Estimator!$B$4,'Climate Data'!$B$7:$B$366,C1355)</f>
        <v>6.806451612903226</v>
      </c>
      <c r="J1355" s="86">
        <f>SUMIFS('Wind Proxy'!$H$8:$H$19,'Wind Proxy'!$A$8:$A$19,Estimator!$B$4,'Wind Proxy'!$B$8:$B$19,C1355)</f>
        <v>0</v>
      </c>
    </row>
    <row r="1356" spans="1:10" ht="14.4">
      <c r="A1356" s="84">
        <v>47007</v>
      </c>
      <c r="B1356" s="85">
        <v>2028</v>
      </c>
      <c r="C1356" s="85">
        <v>9</v>
      </c>
      <c r="D1356" s="85" t="s">
        <v>73</v>
      </c>
      <c r="E1356" s="85">
        <v>11</v>
      </c>
      <c r="F1356" s="85">
        <v>1</v>
      </c>
      <c r="G1356" s="85">
        <f>--(F1356&lt;=Estimator!$B$7)</f>
        <v>1</v>
      </c>
      <c r="H1356" s="86">
        <f>SUMIFS('Climate Data'!$G$7:$G$366,'Climate Data'!$A$7:$A$366,Estimator!$B$4,'Climate Data'!$B$7:$B$366,C1356)</f>
        <v>0.20666666666666667</v>
      </c>
      <c r="I1356" s="87">
        <f>SUMIFS('Climate Data'!$H$7:$H$366,'Climate Data'!$A$7:$A$366,Estimator!$B$4,'Climate Data'!$B$7:$B$366,C1356)</f>
        <v>6.806451612903226</v>
      </c>
      <c r="J1356" s="86">
        <f>SUMIFS('Wind Proxy'!$H$8:$H$19,'Wind Proxy'!$A$8:$A$19,Estimator!$B$4,'Wind Proxy'!$B$8:$B$19,C1356)</f>
        <v>0</v>
      </c>
    </row>
    <row r="1357" spans="1:10" ht="14.4">
      <c r="A1357" s="84">
        <v>47008</v>
      </c>
      <c r="B1357" s="85">
        <v>2028</v>
      </c>
      <c r="C1357" s="85">
        <v>9</v>
      </c>
      <c r="D1357" s="85" t="s">
        <v>73</v>
      </c>
      <c r="E1357" s="85">
        <v>12</v>
      </c>
      <c r="F1357" s="85">
        <v>2</v>
      </c>
      <c r="G1357" s="85">
        <f>--(F1357&lt;=Estimator!$B$7)</f>
        <v>1</v>
      </c>
      <c r="H1357" s="86">
        <f>SUMIFS('Climate Data'!$G$7:$G$366,'Climate Data'!$A$7:$A$366,Estimator!$B$4,'Climate Data'!$B$7:$B$366,C1357)</f>
        <v>0.20666666666666667</v>
      </c>
      <c r="I1357" s="87">
        <f>SUMIFS('Climate Data'!$H$7:$H$366,'Climate Data'!$A$7:$A$366,Estimator!$B$4,'Climate Data'!$B$7:$B$366,C1357)</f>
        <v>6.806451612903226</v>
      </c>
      <c r="J1357" s="86">
        <f>SUMIFS('Wind Proxy'!$H$8:$H$19,'Wind Proxy'!$A$8:$A$19,Estimator!$B$4,'Wind Proxy'!$B$8:$B$19,C1357)</f>
        <v>0</v>
      </c>
    </row>
    <row r="1358" spans="1:10" ht="14.4">
      <c r="A1358" s="84">
        <v>47009</v>
      </c>
      <c r="B1358" s="85">
        <v>2028</v>
      </c>
      <c r="C1358" s="85">
        <v>9</v>
      </c>
      <c r="D1358" s="85" t="s">
        <v>73</v>
      </c>
      <c r="E1358" s="85">
        <v>13</v>
      </c>
      <c r="F1358" s="85">
        <v>3</v>
      </c>
      <c r="G1358" s="85">
        <f>--(F1358&lt;=Estimator!$B$7)</f>
        <v>1</v>
      </c>
      <c r="H1358" s="86">
        <f>SUMIFS('Climate Data'!$G$7:$G$366,'Climate Data'!$A$7:$A$366,Estimator!$B$4,'Climate Data'!$B$7:$B$366,C1358)</f>
        <v>0.20666666666666667</v>
      </c>
      <c r="I1358" s="87">
        <f>SUMIFS('Climate Data'!$H$7:$H$366,'Climate Data'!$A$7:$A$366,Estimator!$B$4,'Climate Data'!$B$7:$B$366,C1358)</f>
        <v>6.806451612903226</v>
      </c>
      <c r="J1358" s="86">
        <f>SUMIFS('Wind Proxy'!$H$8:$H$19,'Wind Proxy'!$A$8:$A$19,Estimator!$B$4,'Wind Proxy'!$B$8:$B$19,C1358)</f>
        <v>0</v>
      </c>
    </row>
    <row r="1359" spans="1:10" ht="14.4">
      <c r="A1359" s="84">
        <v>47010</v>
      </c>
      <c r="B1359" s="85">
        <v>2028</v>
      </c>
      <c r="C1359" s="85">
        <v>9</v>
      </c>
      <c r="D1359" s="85" t="s">
        <v>73</v>
      </c>
      <c r="E1359" s="85">
        <v>14</v>
      </c>
      <c r="F1359" s="85">
        <v>4</v>
      </c>
      <c r="G1359" s="85">
        <f>--(F1359&lt;=Estimator!$B$7)</f>
        <v>1</v>
      </c>
      <c r="H1359" s="86">
        <f>SUMIFS('Climate Data'!$G$7:$G$366,'Climate Data'!$A$7:$A$366,Estimator!$B$4,'Climate Data'!$B$7:$B$366,C1359)</f>
        <v>0.20666666666666667</v>
      </c>
      <c r="I1359" s="87">
        <f>SUMIFS('Climate Data'!$H$7:$H$366,'Climate Data'!$A$7:$A$366,Estimator!$B$4,'Climate Data'!$B$7:$B$366,C1359)</f>
        <v>6.806451612903226</v>
      </c>
      <c r="J1359" s="86">
        <f>SUMIFS('Wind Proxy'!$H$8:$H$19,'Wind Proxy'!$A$8:$A$19,Estimator!$B$4,'Wind Proxy'!$B$8:$B$19,C1359)</f>
        <v>0</v>
      </c>
    </row>
    <row r="1360" spans="1:10" ht="14.4">
      <c r="A1360" s="84">
        <v>47011</v>
      </c>
      <c r="B1360" s="85">
        <v>2028</v>
      </c>
      <c r="C1360" s="85">
        <v>9</v>
      </c>
      <c r="D1360" s="85" t="s">
        <v>73</v>
      </c>
      <c r="E1360" s="85">
        <v>15</v>
      </c>
      <c r="F1360" s="85">
        <v>5</v>
      </c>
      <c r="G1360" s="85">
        <f>--(F1360&lt;=Estimator!$B$7)</f>
        <v>1</v>
      </c>
      <c r="H1360" s="86">
        <f>SUMIFS('Climate Data'!$G$7:$G$366,'Climate Data'!$A$7:$A$366,Estimator!$B$4,'Climate Data'!$B$7:$B$366,C1360)</f>
        <v>0.20666666666666667</v>
      </c>
      <c r="I1360" s="87">
        <f>SUMIFS('Climate Data'!$H$7:$H$366,'Climate Data'!$A$7:$A$366,Estimator!$B$4,'Climate Data'!$B$7:$B$366,C1360)</f>
        <v>6.806451612903226</v>
      </c>
      <c r="J1360" s="86">
        <f>SUMIFS('Wind Proxy'!$H$8:$H$19,'Wind Proxy'!$A$8:$A$19,Estimator!$B$4,'Wind Proxy'!$B$8:$B$19,C1360)</f>
        <v>0</v>
      </c>
    </row>
    <row r="1361" spans="1:10" ht="14.4">
      <c r="A1361" s="84">
        <v>47012</v>
      </c>
      <c r="B1361" s="85">
        <v>2028</v>
      </c>
      <c r="C1361" s="85">
        <v>9</v>
      </c>
      <c r="D1361" s="85" t="s">
        <v>73</v>
      </c>
      <c r="E1361" s="85">
        <v>16</v>
      </c>
      <c r="F1361" s="85">
        <v>6</v>
      </c>
      <c r="G1361" s="85">
        <f>--(F1361&lt;=Estimator!$B$7)</f>
        <v>0</v>
      </c>
      <c r="H1361" s="86">
        <f>SUMIFS('Climate Data'!$G$7:$G$366,'Climate Data'!$A$7:$A$366,Estimator!$B$4,'Climate Data'!$B$7:$B$366,C1361)</f>
        <v>0.20666666666666667</v>
      </c>
      <c r="I1361" s="87">
        <f>SUMIFS('Climate Data'!$H$7:$H$366,'Climate Data'!$A$7:$A$366,Estimator!$B$4,'Climate Data'!$B$7:$B$366,C1361)</f>
        <v>6.806451612903226</v>
      </c>
      <c r="J1361" s="86">
        <f>SUMIFS('Wind Proxy'!$H$8:$H$19,'Wind Proxy'!$A$8:$A$19,Estimator!$B$4,'Wind Proxy'!$B$8:$B$19,C1361)</f>
        <v>0</v>
      </c>
    </row>
    <row r="1362" spans="1:10" ht="14.4">
      <c r="A1362" s="84">
        <v>47013</v>
      </c>
      <c r="B1362" s="85">
        <v>2028</v>
      </c>
      <c r="C1362" s="85">
        <v>9</v>
      </c>
      <c r="D1362" s="85" t="s">
        <v>73</v>
      </c>
      <c r="E1362" s="85">
        <v>17</v>
      </c>
      <c r="F1362" s="85">
        <v>7</v>
      </c>
      <c r="G1362" s="85">
        <f>--(F1362&lt;=Estimator!$B$7)</f>
        <v>0</v>
      </c>
      <c r="H1362" s="86">
        <f>SUMIFS('Climate Data'!$G$7:$G$366,'Climate Data'!$A$7:$A$366,Estimator!$B$4,'Climate Data'!$B$7:$B$366,C1362)</f>
        <v>0.20666666666666667</v>
      </c>
      <c r="I1362" s="87">
        <f>SUMIFS('Climate Data'!$H$7:$H$366,'Climate Data'!$A$7:$A$366,Estimator!$B$4,'Climate Data'!$B$7:$B$366,C1362)</f>
        <v>6.806451612903226</v>
      </c>
      <c r="J1362" s="86">
        <f>SUMIFS('Wind Proxy'!$H$8:$H$19,'Wind Proxy'!$A$8:$A$19,Estimator!$B$4,'Wind Proxy'!$B$8:$B$19,C1362)</f>
        <v>0</v>
      </c>
    </row>
    <row r="1363" spans="1:10" ht="14.4">
      <c r="A1363" s="84">
        <v>47014</v>
      </c>
      <c r="B1363" s="85">
        <v>2028</v>
      </c>
      <c r="C1363" s="85">
        <v>9</v>
      </c>
      <c r="D1363" s="85" t="s">
        <v>73</v>
      </c>
      <c r="E1363" s="85">
        <v>18</v>
      </c>
      <c r="F1363" s="85">
        <v>1</v>
      </c>
      <c r="G1363" s="85">
        <f>--(F1363&lt;=Estimator!$B$7)</f>
        <v>1</v>
      </c>
      <c r="H1363" s="86">
        <f>SUMIFS('Climate Data'!$G$7:$G$366,'Climate Data'!$A$7:$A$366,Estimator!$B$4,'Climate Data'!$B$7:$B$366,C1363)</f>
        <v>0.20666666666666667</v>
      </c>
      <c r="I1363" s="87">
        <f>SUMIFS('Climate Data'!$H$7:$H$366,'Climate Data'!$A$7:$A$366,Estimator!$B$4,'Climate Data'!$B$7:$B$366,C1363)</f>
        <v>6.806451612903226</v>
      </c>
      <c r="J1363" s="86">
        <f>SUMIFS('Wind Proxy'!$H$8:$H$19,'Wind Proxy'!$A$8:$A$19,Estimator!$B$4,'Wind Proxy'!$B$8:$B$19,C1363)</f>
        <v>0</v>
      </c>
    </row>
    <row r="1364" spans="1:10" ht="14.4">
      <c r="A1364" s="84">
        <v>47015</v>
      </c>
      <c r="B1364" s="85">
        <v>2028</v>
      </c>
      <c r="C1364" s="85">
        <v>9</v>
      </c>
      <c r="D1364" s="85" t="s">
        <v>73</v>
      </c>
      <c r="E1364" s="85">
        <v>19</v>
      </c>
      <c r="F1364" s="85">
        <v>2</v>
      </c>
      <c r="G1364" s="85">
        <f>--(F1364&lt;=Estimator!$B$7)</f>
        <v>1</v>
      </c>
      <c r="H1364" s="86">
        <f>SUMIFS('Climate Data'!$G$7:$G$366,'Climate Data'!$A$7:$A$366,Estimator!$B$4,'Climate Data'!$B$7:$B$366,C1364)</f>
        <v>0.20666666666666667</v>
      </c>
      <c r="I1364" s="87">
        <f>SUMIFS('Climate Data'!$H$7:$H$366,'Climate Data'!$A$7:$A$366,Estimator!$B$4,'Climate Data'!$B$7:$B$366,C1364)</f>
        <v>6.806451612903226</v>
      </c>
      <c r="J1364" s="86">
        <f>SUMIFS('Wind Proxy'!$H$8:$H$19,'Wind Proxy'!$A$8:$A$19,Estimator!$B$4,'Wind Proxy'!$B$8:$B$19,C1364)</f>
        <v>0</v>
      </c>
    </row>
    <row r="1365" spans="1:10" ht="14.4">
      <c r="A1365" s="84">
        <v>47016</v>
      </c>
      <c r="B1365" s="85">
        <v>2028</v>
      </c>
      <c r="C1365" s="85">
        <v>9</v>
      </c>
      <c r="D1365" s="85" t="s">
        <v>73</v>
      </c>
      <c r="E1365" s="85">
        <v>20</v>
      </c>
      <c r="F1365" s="85">
        <v>3</v>
      </c>
      <c r="G1365" s="85">
        <f>--(F1365&lt;=Estimator!$B$7)</f>
        <v>1</v>
      </c>
      <c r="H1365" s="86">
        <f>SUMIFS('Climate Data'!$G$7:$G$366,'Climate Data'!$A$7:$A$366,Estimator!$B$4,'Climate Data'!$B$7:$B$366,C1365)</f>
        <v>0.20666666666666667</v>
      </c>
      <c r="I1365" s="87">
        <f>SUMIFS('Climate Data'!$H$7:$H$366,'Climate Data'!$A$7:$A$366,Estimator!$B$4,'Climate Data'!$B$7:$B$366,C1365)</f>
        <v>6.806451612903226</v>
      </c>
      <c r="J1365" s="86">
        <f>SUMIFS('Wind Proxy'!$H$8:$H$19,'Wind Proxy'!$A$8:$A$19,Estimator!$B$4,'Wind Proxy'!$B$8:$B$19,C1365)</f>
        <v>0</v>
      </c>
    </row>
    <row r="1366" spans="1:10" ht="14.4">
      <c r="A1366" s="84">
        <v>47017</v>
      </c>
      <c r="B1366" s="85">
        <v>2028</v>
      </c>
      <c r="C1366" s="85">
        <v>9</v>
      </c>
      <c r="D1366" s="85" t="s">
        <v>73</v>
      </c>
      <c r="E1366" s="85">
        <v>21</v>
      </c>
      <c r="F1366" s="85">
        <v>4</v>
      </c>
      <c r="G1366" s="85">
        <f>--(F1366&lt;=Estimator!$B$7)</f>
        <v>1</v>
      </c>
      <c r="H1366" s="86">
        <f>SUMIFS('Climate Data'!$G$7:$G$366,'Climate Data'!$A$7:$A$366,Estimator!$B$4,'Climate Data'!$B$7:$B$366,C1366)</f>
        <v>0.20666666666666667</v>
      </c>
      <c r="I1366" s="87">
        <f>SUMIFS('Climate Data'!$H$7:$H$366,'Climate Data'!$A$7:$A$366,Estimator!$B$4,'Climate Data'!$B$7:$B$366,C1366)</f>
        <v>6.806451612903226</v>
      </c>
      <c r="J1366" s="86">
        <f>SUMIFS('Wind Proxy'!$H$8:$H$19,'Wind Proxy'!$A$8:$A$19,Estimator!$B$4,'Wind Proxy'!$B$8:$B$19,C1366)</f>
        <v>0</v>
      </c>
    </row>
    <row r="1367" spans="1:10" ht="14.4">
      <c r="A1367" s="84">
        <v>47018</v>
      </c>
      <c r="B1367" s="85">
        <v>2028</v>
      </c>
      <c r="C1367" s="85">
        <v>9</v>
      </c>
      <c r="D1367" s="85" t="s">
        <v>73</v>
      </c>
      <c r="E1367" s="85">
        <v>22</v>
      </c>
      <c r="F1367" s="85">
        <v>5</v>
      </c>
      <c r="G1367" s="85">
        <f>--(F1367&lt;=Estimator!$B$7)</f>
        <v>1</v>
      </c>
      <c r="H1367" s="86">
        <f>SUMIFS('Climate Data'!$G$7:$G$366,'Climate Data'!$A$7:$A$366,Estimator!$B$4,'Climate Data'!$B$7:$B$366,C1367)</f>
        <v>0.20666666666666667</v>
      </c>
      <c r="I1367" s="87">
        <f>SUMIFS('Climate Data'!$H$7:$H$366,'Climate Data'!$A$7:$A$366,Estimator!$B$4,'Climate Data'!$B$7:$B$366,C1367)</f>
        <v>6.806451612903226</v>
      </c>
      <c r="J1367" s="86">
        <f>SUMIFS('Wind Proxy'!$H$8:$H$19,'Wind Proxy'!$A$8:$A$19,Estimator!$B$4,'Wind Proxy'!$B$8:$B$19,C1367)</f>
        <v>0</v>
      </c>
    </row>
    <row r="1368" spans="1:10" ht="14.4">
      <c r="A1368" s="84">
        <v>47019</v>
      </c>
      <c r="B1368" s="85">
        <v>2028</v>
      </c>
      <c r="C1368" s="85">
        <v>9</v>
      </c>
      <c r="D1368" s="85" t="s">
        <v>73</v>
      </c>
      <c r="E1368" s="85">
        <v>23</v>
      </c>
      <c r="F1368" s="85">
        <v>6</v>
      </c>
      <c r="G1368" s="85">
        <f>--(F1368&lt;=Estimator!$B$7)</f>
        <v>0</v>
      </c>
      <c r="H1368" s="86">
        <f>SUMIFS('Climate Data'!$G$7:$G$366,'Climate Data'!$A$7:$A$366,Estimator!$B$4,'Climate Data'!$B$7:$B$366,C1368)</f>
        <v>0.20666666666666667</v>
      </c>
      <c r="I1368" s="87">
        <f>SUMIFS('Climate Data'!$H$7:$H$366,'Climate Data'!$A$7:$A$366,Estimator!$B$4,'Climate Data'!$B$7:$B$366,C1368)</f>
        <v>6.806451612903226</v>
      </c>
      <c r="J1368" s="86">
        <f>SUMIFS('Wind Proxy'!$H$8:$H$19,'Wind Proxy'!$A$8:$A$19,Estimator!$B$4,'Wind Proxy'!$B$8:$B$19,C1368)</f>
        <v>0</v>
      </c>
    </row>
    <row r="1369" spans="1:10" ht="14.4">
      <c r="A1369" s="84">
        <v>47020</v>
      </c>
      <c r="B1369" s="85">
        <v>2028</v>
      </c>
      <c r="C1369" s="85">
        <v>9</v>
      </c>
      <c r="D1369" s="85" t="s">
        <v>73</v>
      </c>
      <c r="E1369" s="85">
        <v>24</v>
      </c>
      <c r="F1369" s="85">
        <v>7</v>
      </c>
      <c r="G1369" s="85">
        <f>--(F1369&lt;=Estimator!$B$7)</f>
        <v>0</v>
      </c>
      <c r="H1369" s="86">
        <f>SUMIFS('Climate Data'!$G$7:$G$366,'Climate Data'!$A$7:$A$366,Estimator!$B$4,'Climate Data'!$B$7:$B$366,C1369)</f>
        <v>0.20666666666666667</v>
      </c>
      <c r="I1369" s="87">
        <f>SUMIFS('Climate Data'!$H$7:$H$366,'Climate Data'!$A$7:$A$366,Estimator!$B$4,'Climate Data'!$B$7:$B$366,C1369)</f>
        <v>6.806451612903226</v>
      </c>
      <c r="J1369" s="86">
        <f>SUMIFS('Wind Proxy'!$H$8:$H$19,'Wind Proxy'!$A$8:$A$19,Estimator!$B$4,'Wind Proxy'!$B$8:$B$19,C1369)</f>
        <v>0</v>
      </c>
    </row>
    <row r="1370" spans="1:10" ht="14.4">
      <c r="A1370" s="84">
        <v>47021</v>
      </c>
      <c r="B1370" s="85">
        <v>2028</v>
      </c>
      <c r="C1370" s="85">
        <v>9</v>
      </c>
      <c r="D1370" s="85" t="s">
        <v>73</v>
      </c>
      <c r="E1370" s="85">
        <v>25</v>
      </c>
      <c r="F1370" s="85">
        <v>1</v>
      </c>
      <c r="G1370" s="85">
        <f>--(F1370&lt;=Estimator!$B$7)</f>
        <v>1</v>
      </c>
      <c r="H1370" s="86">
        <f>SUMIFS('Climate Data'!$G$7:$G$366,'Climate Data'!$A$7:$A$366,Estimator!$B$4,'Climate Data'!$B$7:$B$366,C1370)</f>
        <v>0.20666666666666667</v>
      </c>
      <c r="I1370" s="87">
        <f>SUMIFS('Climate Data'!$H$7:$H$366,'Climate Data'!$A$7:$A$366,Estimator!$B$4,'Climate Data'!$B$7:$B$366,C1370)</f>
        <v>6.806451612903226</v>
      </c>
      <c r="J1370" s="86">
        <f>SUMIFS('Wind Proxy'!$H$8:$H$19,'Wind Proxy'!$A$8:$A$19,Estimator!$B$4,'Wind Proxy'!$B$8:$B$19,C1370)</f>
        <v>0</v>
      </c>
    </row>
    <row r="1371" spans="1:10" ht="14.4">
      <c r="A1371" s="84">
        <v>47022</v>
      </c>
      <c r="B1371" s="85">
        <v>2028</v>
      </c>
      <c r="C1371" s="85">
        <v>9</v>
      </c>
      <c r="D1371" s="85" t="s">
        <v>73</v>
      </c>
      <c r="E1371" s="85">
        <v>26</v>
      </c>
      <c r="F1371" s="85">
        <v>2</v>
      </c>
      <c r="G1371" s="85">
        <f>--(F1371&lt;=Estimator!$B$7)</f>
        <v>1</v>
      </c>
      <c r="H1371" s="86">
        <f>SUMIFS('Climate Data'!$G$7:$G$366,'Climate Data'!$A$7:$A$366,Estimator!$B$4,'Climate Data'!$B$7:$B$366,C1371)</f>
        <v>0.20666666666666667</v>
      </c>
      <c r="I1371" s="87">
        <f>SUMIFS('Climate Data'!$H$7:$H$366,'Climate Data'!$A$7:$A$366,Estimator!$B$4,'Climate Data'!$B$7:$B$366,C1371)</f>
        <v>6.806451612903226</v>
      </c>
      <c r="J1371" s="86">
        <f>SUMIFS('Wind Proxy'!$H$8:$H$19,'Wind Proxy'!$A$8:$A$19,Estimator!$B$4,'Wind Proxy'!$B$8:$B$19,C1371)</f>
        <v>0</v>
      </c>
    </row>
    <row r="1372" spans="1:10" ht="14.4">
      <c r="A1372" s="84">
        <v>47023</v>
      </c>
      <c r="B1372" s="85">
        <v>2028</v>
      </c>
      <c r="C1372" s="85">
        <v>9</v>
      </c>
      <c r="D1372" s="85" t="s">
        <v>73</v>
      </c>
      <c r="E1372" s="85">
        <v>27</v>
      </c>
      <c r="F1372" s="85">
        <v>3</v>
      </c>
      <c r="G1372" s="85">
        <f>--(F1372&lt;=Estimator!$B$7)</f>
        <v>1</v>
      </c>
      <c r="H1372" s="86">
        <f>SUMIFS('Climate Data'!$G$7:$G$366,'Climate Data'!$A$7:$A$366,Estimator!$B$4,'Climate Data'!$B$7:$B$366,C1372)</f>
        <v>0.20666666666666667</v>
      </c>
      <c r="I1372" s="87">
        <f>SUMIFS('Climate Data'!$H$7:$H$366,'Climate Data'!$A$7:$A$366,Estimator!$B$4,'Climate Data'!$B$7:$B$366,C1372)</f>
        <v>6.806451612903226</v>
      </c>
      <c r="J1372" s="86">
        <f>SUMIFS('Wind Proxy'!$H$8:$H$19,'Wind Proxy'!$A$8:$A$19,Estimator!$B$4,'Wind Proxy'!$B$8:$B$19,C1372)</f>
        <v>0</v>
      </c>
    </row>
    <row r="1373" spans="1:10" ht="14.4">
      <c r="A1373" s="84">
        <v>47024</v>
      </c>
      <c r="B1373" s="85">
        <v>2028</v>
      </c>
      <c r="C1373" s="85">
        <v>9</v>
      </c>
      <c r="D1373" s="85" t="s">
        <v>73</v>
      </c>
      <c r="E1373" s="85">
        <v>28</v>
      </c>
      <c r="F1373" s="85">
        <v>4</v>
      </c>
      <c r="G1373" s="85">
        <f>--(F1373&lt;=Estimator!$B$7)</f>
        <v>1</v>
      </c>
      <c r="H1373" s="86">
        <f>SUMIFS('Climate Data'!$G$7:$G$366,'Climate Data'!$A$7:$A$366,Estimator!$B$4,'Climate Data'!$B$7:$B$366,C1373)</f>
        <v>0.20666666666666667</v>
      </c>
      <c r="I1373" s="87">
        <f>SUMIFS('Climate Data'!$H$7:$H$366,'Climate Data'!$A$7:$A$366,Estimator!$B$4,'Climate Data'!$B$7:$B$366,C1373)</f>
        <v>6.806451612903226</v>
      </c>
      <c r="J1373" s="86">
        <f>SUMIFS('Wind Proxy'!$H$8:$H$19,'Wind Proxy'!$A$8:$A$19,Estimator!$B$4,'Wind Proxy'!$B$8:$B$19,C1373)</f>
        <v>0</v>
      </c>
    </row>
    <row r="1374" spans="1:10" ht="14.4">
      <c r="A1374" s="84">
        <v>47025</v>
      </c>
      <c r="B1374" s="85">
        <v>2028</v>
      </c>
      <c r="C1374" s="85">
        <v>9</v>
      </c>
      <c r="D1374" s="85" t="s">
        <v>73</v>
      </c>
      <c r="E1374" s="85">
        <v>29</v>
      </c>
      <c r="F1374" s="85">
        <v>5</v>
      </c>
      <c r="G1374" s="85">
        <f>--(F1374&lt;=Estimator!$B$7)</f>
        <v>1</v>
      </c>
      <c r="H1374" s="86">
        <f>SUMIFS('Climate Data'!$G$7:$G$366,'Climate Data'!$A$7:$A$366,Estimator!$B$4,'Climate Data'!$B$7:$B$366,C1374)</f>
        <v>0.20666666666666667</v>
      </c>
      <c r="I1374" s="87">
        <f>SUMIFS('Climate Data'!$H$7:$H$366,'Climate Data'!$A$7:$A$366,Estimator!$B$4,'Climate Data'!$B$7:$B$366,C1374)</f>
        <v>6.806451612903226</v>
      </c>
      <c r="J1374" s="86">
        <f>SUMIFS('Wind Proxy'!$H$8:$H$19,'Wind Proxy'!$A$8:$A$19,Estimator!$B$4,'Wind Proxy'!$B$8:$B$19,C1374)</f>
        <v>0</v>
      </c>
    </row>
    <row r="1375" spans="1:10" ht="14.4">
      <c r="A1375" s="84">
        <v>47026</v>
      </c>
      <c r="B1375" s="85">
        <v>2028</v>
      </c>
      <c r="C1375" s="85">
        <v>9</v>
      </c>
      <c r="D1375" s="85" t="s">
        <v>73</v>
      </c>
      <c r="E1375" s="85">
        <v>30</v>
      </c>
      <c r="F1375" s="85">
        <v>6</v>
      </c>
      <c r="G1375" s="85">
        <f>--(F1375&lt;=Estimator!$B$7)</f>
        <v>0</v>
      </c>
      <c r="H1375" s="86">
        <f>SUMIFS('Climate Data'!$G$7:$G$366,'Climate Data'!$A$7:$A$366,Estimator!$B$4,'Climate Data'!$B$7:$B$366,C1375)</f>
        <v>0.20666666666666667</v>
      </c>
      <c r="I1375" s="87">
        <f>SUMIFS('Climate Data'!$H$7:$H$366,'Climate Data'!$A$7:$A$366,Estimator!$B$4,'Climate Data'!$B$7:$B$366,C1375)</f>
        <v>6.806451612903226</v>
      </c>
      <c r="J1375" s="86">
        <f>SUMIFS('Wind Proxy'!$H$8:$H$19,'Wind Proxy'!$A$8:$A$19,Estimator!$B$4,'Wind Proxy'!$B$8:$B$19,C1375)</f>
        <v>0</v>
      </c>
    </row>
    <row r="1376" spans="1:10" ht="14.4">
      <c r="A1376" s="84">
        <v>47027</v>
      </c>
      <c r="B1376" s="85">
        <v>2028</v>
      </c>
      <c r="C1376" s="85">
        <v>10</v>
      </c>
      <c r="D1376" s="85" t="s">
        <v>75</v>
      </c>
      <c r="E1376" s="85">
        <v>1</v>
      </c>
      <c r="F1376" s="85">
        <v>7</v>
      </c>
      <c r="G1376" s="85">
        <f>--(F1376&lt;=Estimator!$B$7)</f>
        <v>0</v>
      </c>
      <c r="H1376" s="86">
        <f>SUMIFS('Climate Data'!$G$7:$G$366,'Climate Data'!$A$7:$A$366,Estimator!$B$4,'Climate Data'!$B$7:$B$366,C1376)</f>
        <v>0.23225806451612904</v>
      </c>
      <c r="I1376" s="87">
        <f>SUMIFS('Climate Data'!$H$7:$H$366,'Climate Data'!$A$7:$A$366,Estimator!$B$4,'Climate Data'!$B$7:$B$366,C1376)</f>
        <v>6.8194444444444446</v>
      </c>
      <c r="J1376" s="86">
        <f>SUMIFS('Wind Proxy'!$H$8:$H$19,'Wind Proxy'!$A$8:$A$19,Estimator!$B$4,'Wind Proxy'!$B$8:$B$19,C1376)</f>
        <v>0</v>
      </c>
    </row>
    <row r="1377" spans="1:10" ht="14.4">
      <c r="A1377" s="84">
        <v>47028</v>
      </c>
      <c r="B1377" s="85">
        <v>2028</v>
      </c>
      <c r="C1377" s="85">
        <v>10</v>
      </c>
      <c r="D1377" s="85" t="s">
        <v>75</v>
      </c>
      <c r="E1377" s="85">
        <v>2</v>
      </c>
      <c r="F1377" s="85">
        <v>1</v>
      </c>
      <c r="G1377" s="85">
        <f>--(F1377&lt;=Estimator!$B$7)</f>
        <v>1</v>
      </c>
      <c r="H1377" s="86">
        <f>SUMIFS('Climate Data'!$G$7:$G$366,'Climate Data'!$A$7:$A$366,Estimator!$B$4,'Climate Data'!$B$7:$B$366,C1377)</f>
        <v>0.23225806451612904</v>
      </c>
      <c r="I1377" s="87">
        <f>SUMIFS('Climate Data'!$H$7:$H$366,'Climate Data'!$A$7:$A$366,Estimator!$B$4,'Climate Data'!$B$7:$B$366,C1377)</f>
        <v>6.8194444444444446</v>
      </c>
      <c r="J1377" s="86">
        <f>SUMIFS('Wind Proxy'!$H$8:$H$19,'Wind Proxy'!$A$8:$A$19,Estimator!$B$4,'Wind Proxy'!$B$8:$B$19,C1377)</f>
        <v>0</v>
      </c>
    </row>
    <row r="1378" spans="1:10" ht="14.4">
      <c r="A1378" s="84">
        <v>47029</v>
      </c>
      <c r="B1378" s="85">
        <v>2028</v>
      </c>
      <c r="C1378" s="85">
        <v>10</v>
      </c>
      <c r="D1378" s="85" t="s">
        <v>75</v>
      </c>
      <c r="E1378" s="85">
        <v>3</v>
      </c>
      <c r="F1378" s="85">
        <v>2</v>
      </c>
      <c r="G1378" s="85">
        <f>--(F1378&lt;=Estimator!$B$7)</f>
        <v>1</v>
      </c>
      <c r="H1378" s="86">
        <f>SUMIFS('Climate Data'!$G$7:$G$366,'Climate Data'!$A$7:$A$366,Estimator!$B$4,'Climate Data'!$B$7:$B$366,C1378)</f>
        <v>0.23225806451612904</v>
      </c>
      <c r="I1378" s="87">
        <f>SUMIFS('Climate Data'!$H$7:$H$366,'Climate Data'!$A$7:$A$366,Estimator!$B$4,'Climate Data'!$B$7:$B$366,C1378)</f>
        <v>6.8194444444444446</v>
      </c>
      <c r="J1378" s="86">
        <f>SUMIFS('Wind Proxy'!$H$8:$H$19,'Wind Proxy'!$A$8:$A$19,Estimator!$B$4,'Wind Proxy'!$B$8:$B$19,C1378)</f>
        <v>0</v>
      </c>
    </row>
    <row r="1379" spans="1:10" ht="14.4">
      <c r="A1379" s="84">
        <v>47030</v>
      </c>
      <c r="B1379" s="85">
        <v>2028</v>
      </c>
      <c r="C1379" s="85">
        <v>10</v>
      </c>
      <c r="D1379" s="85" t="s">
        <v>75</v>
      </c>
      <c r="E1379" s="85">
        <v>4</v>
      </c>
      <c r="F1379" s="85">
        <v>3</v>
      </c>
      <c r="G1379" s="85">
        <f>--(F1379&lt;=Estimator!$B$7)</f>
        <v>1</v>
      </c>
      <c r="H1379" s="86">
        <f>SUMIFS('Climate Data'!$G$7:$G$366,'Climate Data'!$A$7:$A$366,Estimator!$B$4,'Climate Data'!$B$7:$B$366,C1379)</f>
        <v>0.23225806451612904</v>
      </c>
      <c r="I1379" s="87">
        <f>SUMIFS('Climate Data'!$H$7:$H$366,'Climate Data'!$A$7:$A$366,Estimator!$B$4,'Climate Data'!$B$7:$B$366,C1379)</f>
        <v>6.8194444444444446</v>
      </c>
      <c r="J1379" s="86">
        <f>SUMIFS('Wind Proxy'!$H$8:$H$19,'Wind Proxy'!$A$8:$A$19,Estimator!$B$4,'Wind Proxy'!$B$8:$B$19,C1379)</f>
        <v>0</v>
      </c>
    </row>
    <row r="1380" spans="1:10" ht="14.4">
      <c r="A1380" s="84">
        <v>47031</v>
      </c>
      <c r="B1380" s="85">
        <v>2028</v>
      </c>
      <c r="C1380" s="85">
        <v>10</v>
      </c>
      <c r="D1380" s="85" t="s">
        <v>75</v>
      </c>
      <c r="E1380" s="85">
        <v>5</v>
      </c>
      <c r="F1380" s="85">
        <v>4</v>
      </c>
      <c r="G1380" s="85">
        <f>--(F1380&lt;=Estimator!$B$7)</f>
        <v>1</v>
      </c>
      <c r="H1380" s="86">
        <f>SUMIFS('Climate Data'!$G$7:$G$366,'Climate Data'!$A$7:$A$366,Estimator!$B$4,'Climate Data'!$B$7:$B$366,C1380)</f>
        <v>0.23225806451612904</v>
      </c>
      <c r="I1380" s="87">
        <f>SUMIFS('Climate Data'!$H$7:$H$366,'Climate Data'!$A$7:$A$366,Estimator!$B$4,'Climate Data'!$B$7:$B$366,C1380)</f>
        <v>6.8194444444444446</v>
      </c>
      <c r="J1380" s="86">
        <f>SUMIFS('Wind Proxy'!$H$8:$H$19,'Wind Proxy'!$A$8:$A$19,Estimator!$B$4,'Wind Proxy'!$B$8:$B$19,C1380)</f>
        <v>0</v>
      </c>
    </row>
    <row r="1381" spans="1:10" ht="14.4">
      <c r="A1381" s="84">
        <v>47032</v>
      </c>
      <c r="B1381" s="85">
        <v>2028</v>
      </c>
      <c r="C1381" s="85">
        <v>10</v>
      </c>
      <c r="D1381" s="85" t="s">
        <v>75</v>
      </c>
      <c r="E1381" s="85">
        <v>6</v>
      </c>
      <c r="F1381" s="85">
        <v>5</v>
      </c>
      <c r="G1381" s="85">
        <f>--(F1381&lt;=Estimator!$B$7)</f>
        <v>1</v>
      </c>
      <c r="H1381" s="86">
        <f>SUMIFS('Climate Data'!$G$7:$G$366,'Climate Data'!$A$7:$A$366,Estimator!$B$4,'Climate Data'!$B$7:$B$366,C1381)</f>
        <v>0.23225806451612904</v>
      </c>
      <c r="I1381" s="87">
        <f>SUMIFS('Climate Data'!$H$7:$H$366,'Climate Data'!$A$7:$A$366,Estimator!$B$4,'Climate Data'!$B$7:$B$366,C1381)</f>
        <v>6.8194444444444446</v>
      </c>
      <c r="J1381" s="86">
        <f>SUMIFS('Wind Proxy'!$H$8:$H$19,'Wind Proxy'!$A$8:$A$19,Estimator!$B$4,'Wind Proxy'!$B$8:$B$19,C1381)</f>
        <v>0</v>
      </c>
    </row>
    <row r="1382" spans="1:10" ht="14.4">
      <c r="A1382" s="84">
        <v>47033</v>
      </c>
      <c r="B1382" s="85">
        <v>2028</v>
      </c>
      <c r="C1382" s="85">
        <v>10</v>
      </c>
      <c r="D1382" s="85" t="s">
        <v>75</v>
      </c>
      <c r="E1382" s="85">
        <v>7</v>
      </c>
      <c r="F1382" s="85">
        <v>6</v>
      </c>
      <c r="G1382" s="85">
        <f>--(F1382&lt;=Estimator!$B$7)</f>
        <v>0</v>
      </c>
      <c r="H1382" s="86">
        <f>SUMIFS('Climate Data'!$G$7:$G$366,'Climate Data'!$A$7:$A$366,Estimator!$B$4,'Climate Data'!$B$7:$B$366,C1382)</f>
        <v>0.23225806451612904</v>
      </c>
      <c r="I1382" s="87">
        <f>SUMIFS('Climate Data'!$H$7:$H$366,'Climate Data'!$A$7:$A$366,Estimator!$B$4,'Climate Data'!$B$7:$B$366,C1382)</f>
        <v>6.8194444444444446</v>
      </c>
      <c r="J1382" s="86">
        <f>SUMIFS('Wind Proxy'!$H$8:$H$19,'Wind Proxy'!$A$8:$A$19,Estimator!$B$4,'Wind Proxy'!$B$8:$B$19,C1382)</f>
        <v>0</v>
      </c>
    </row>
    <row r="1383" spans="1:10" ht="14.4">
      <c r="A1383" s="84">
        <v>47034</v>
      </c>
      <c r="B1383" s="85">
        <v>2028</v>
      </c>
      <c r="C1383" s="85">
        <v>10</v>
      </c>
      <c r="D1383" s="85" t="s">
        <v>75</v>
      </c>
      <c r="E1383" s="85">
        <v>8</v>
      </c>
      <c r="F1383" s="85">
        <v>7</v>
      </c>
      <c r="G1383" s="85">
        <f>--(F1383&lt;=Estimator!$B$7)</f>
        <v>0</v>
      </c>
      <c r="H1383" s="86">
        <f>SUMIFS('Climate Data'!$G$7:$G$366,'Climate Data'!$A$7:$A$366,Estimator!$B$4,'Climate Data'!$B$7:$B$366,C1383)</f>
        <v>0.23225806451612904</v>
      </c>
      <c r="I1383" s="87">
        <f>SUMIFS('Climate Data'!$H$7:$H$366,'Climate Data'!$A$7:$A$366,Estimator!$B$4,'Climate Data'!$B$7:$B$366,C1383)</f>
        <v>6.8194444444444446</v>
      </c>
      <c r="J1383" s="86">
        <f>SUMIFS('Wind Proxy'!$H$8:$H$19,'Wind Proxy'!$A$8:$A$19,Estimator!$B$4,'Wind Proxy'!$B$8:$B$19,C1383)</f>
        <v>0</v>
      </c>
    </row>
    <row r="1384" spans="1:10" ht="14.4">
      <c r="A1384" s="84">
        <v>47035</v>
      </c>
      <c r="B1384" s="85">
        <v>2028</v>
      </c>
      <c r="C1384" s="85">
        <v>10</v>
      </c>
      <c r="D1384" s="85" t="s">
        <v>75</v>
      </c>
      <c r="E1384" s="85">
        <v>9</v>
      </c>
      <c r="F1384" s="85">
        <v>1</v>
      </c>
      <c r="G1384" s="85">
        <f>--(F1384&lt;=Estimator!$B$7)</f>
        <v>1</v>
      </c>
      <c r="H1384" s="86">
        <f>SUMIFS('Climate Data'!$G$7:$G$366,'Climate Data'!$A$7:$A$366,Estimator!$B$4,'Climate Data'!$B$7:$B$366,C1384)</f>
        <v>0.23225806451612904</v>
      </c>
      <c r="I1384" s="87">
        <f>SUMIFS('Climate Data'!$H$7:$H$366,'Climate Data'!$A$7:$A$366,Estimator!$B$4,'Climate Data'!$B$7:$B$366,C1384)</f>
        <v>6.8194444444444446</v>
      </c>
      <c r="J1384" s="86">
        <f>SUMIFS('Wind Proxy'!$H$8:$H$19,'Wind Proxy'!$A$8:$A$19,Estimator!$B$4,'Wind Proxy'!$B$8:$B$19,C1384)</f>
        <v>0</v>
      </c>
    </row>
    <row r="1385" spans="1:10" ht="14.4">
      <c r="A1385" s="84">
        <v>47036</v>
      </c>
      <c r="B1385" s="85">
        <v>2028</v>
      </c>
      <c r="C1385" s="85">
        <v>10</v>
      </c>
      <c r="D1385" s="85" t="s">
        <v>75</v>
      </c>
      <c r="E1385" s="85">
        <v>10</v>
      </c>
      <c r="F1385" s="85">
        <v>2</v>
      </c>
      <c r="G1385" s="85">
        <f>--(F1385&lt;=Estimator!$B$7)</f>
        <v>1</v>
      </c>
      <c r="H1385" s="86">
        <f>SUMIFS('Climate Data'!$G$7:$G$366,'Climate Data'!$A$7:$A$366,Estimator!$B$4,'Climate Data'!$B$7:$B$366,C1385)</f>
        <v>0.23225806451612904</v>
      </c>
      <c r="I1385" s="87">
        <f>SUMIFS('Climate Data'!$H$7:$H$366,'Climate Data'!$A$7:$A$366,Estimator!$B$4,'Climate Data'!$B$7:$B$366,C1385)</f>
        <v>6.8194444444444446</v>
      </c>
      <c r="J1385" s="86">
        <f>SUMIFS('Wind Proxy'!$H$8:$H$19,'Wind Proxy'!$A$8:$A$19,Estimator!$B$4,'Wind Proxy'!$B$8:$B$19,C1385)</f>
        <v>0</v>
      </c>
    </row>
    <row r="1386" spans="1:10" ht="14.4">
      <c r="A1386" s="84">
        <v>47037</v>
      </c>
      <c r="B1386" s="85">
        <v>2028</v>
      </c>
      <c r="C1386" s="85">
        <v>10</v>
      </c>
      <c r="D1386" s="85" t="s">
        <v>75</v>
      </c>
      <c r="E1386" s="85">
        <v>11</v>
      </c>
      <c r="F1386" s="85">
        <v>3</v>
      </c>
      <c r="G1386" s="85">
        <f>--(F1386&lt;=Estimator!$B$7)</f>
        <v>1</v>
      </c>
      <c r="H1386" s="86">
        <f>SUMIFS('Climate Data'!$G$7:$G$366,'Climate Data'!$A$7:$A$366,Estimator!$B$4,'Climate Data'!$B$7:$B$366,C1386)</f>
        <v>0.23225806451612904</v>
      </c>
      <c r="I1386" s="87">
        <f>SUMIFS('Climate Data'!$H$7:$H$366,'Climate Data'!$A$7:$A$366,Estimator!$B$4,'Climate Data'!$B$7:$B$366,C1386)</f>
        <v>6.8194444444444446</v>
      </c>
      <c r="J1386" s="86">
        <f>SUMIFS('Wind Proxy'!$H$8:$H$19,'Wind Proxy'!$A$8:$A$19,Estimator!$B$4,'Wind Proxy'!$B$8:$B$19,C1386)</f>
        <v>0</v>
      </c>
    </row>
    <row r="1387" spans="1:10" ht="14.4">
      <c r="A1387" s="84">
        <v>47038</v>
      </c>
      <c r="B1387" s="85">
        <v>2028</v>
      </c>
      <c r="C1387" s="85">
        <v>10</v>
      </c>
      <c r="D1387" s="85" t="s">
        <v>75</v>
      </c>
      <c r="E1387" s="85">
        <v>12</v>
      </c>
      <c r="F1387" s="85">
        <v>4</v>
      </c>
      <c r="G1387" s="85">
        <f>--(F1387&lt;=Estimator!$B$7)</f>
        <v>1</v>
      </c>
      <c r="H1387" s="86">
        <f>SUMIFS('Climate Data'!$G$7:$G$366,'Climate Data'!$A$7:$A$366,Estimator!$B$4,'Climate Data'!$B$7:$B$366,C1387)</f>
        <v>0.23225806451612904</v>
      </c>
      <c r="I1387" s="87">
        <f>SUMIFS('Climate Data'!$H$7:$H$366,'Climate Data'!$A$7:$A$366,Estimator!$B$4,'Climate Data'!$B$7:$B$366,C1387)</f>
        <v>6.8194444444444446</v>
      </c>
      <c r="J1387" s="86">
        <f>SUMIFS('Wind Proxy'!$H$8:$H$19,'Wind Proxy'!$A$8:$A$19,Estimator!$B$4,'Wind Proxy'!$B$8:$B$19,C1387)</f>
        <v>0</v>
      </c>
    </row>
    <row r="1388" spans="1:10" ht="14.4">
      <c r="A1388" s="84">
        <v>47039</v>
      </c>
      <c r="B1388" s="85">
        <v>2028</v>
      </c>
      <c r="C1388" s="85">
        <v>10</v>
      </c>
      <c r="D1388" s="85" t="s">
        <v>75</v>
      </c>
      <c r="E1388" s="85">
        <v>13</v>
      </c>
      <c r="F1388" s="85">
        <v>5</v>
      </c>
      <c r="G1388" s="85">
        <f>--(F1388&lt;=Estimator!$B$7)</f>
        <v>1</v>
      </c>
      <c r="H1388" s="86">
        <f>SUMIFS('Climate Data'!$G$7:$G$366,'Climate Data'!$A$7:$A$366,Estimator!$B$4,'Climate Data'!$B$7:$B$366,C1388)</f>
        <v>0.23225806451612904</v>
      </c>
      <c r="I1388" s="87">
        <f>SUMIFS('Climate Data'!$H$7:$H$366,'Climate Data'!$A$7:$A$366,Estimator!$B$4,'Climate Data'!$B$7:$B$366,C1388)</f>
        <v>6.8194444444444446</v>
      </c>
      <c r="J1388" s="86">
        <f>SUMIFS('Wind Proxy'!$H$8:$H$19,'Wind Proxy'!$A$8:$A$19,Estimator!$B$4,'Wind Proxy'!$B$8:$B$19,C1388)</f>
        <v>0</v>
      </c>
    </row>
    <row r="1389" spans="1:10" ht="14.4">
      <c r="A1389" s="84">
        <v>47040</v>
      </c>
      <c r="B1389" s="85">
        <v>2028</v>
      </c>
      <c r="C1389" s="85">
        <v>10</v>
      </c>
      <c r="D1389" s="85" t="s">
        <v>75</v>
      </c>
      <c r="E1389" s="85">
        <v>14</v>
      </c>
      <c r="F1389" s="85">
        <v>6</v>
      </c>
      <c r="G1389" s="85">
        <f>--(F1389&lt;=Estimator!$B$7)</f>
        <v>0</v>
      </c>
      <c r="H1389" s="86">
        <f>SUMIFS('Climate Data'!$G$7:$G$366,'Climate Data'!$A$7:$A$366,Estimator!$B$4,'Climate Data'!$B$7:$B$366,C1389)</f>
        <v>0.23225806451612904</v>
      </c>
      <c r="I1389" s="87">
        <f>SUMIFS('Climate Data'!$H$7:$H$366,'Climate Data'!$A$7:$A$366,Estimator!$B$4,'Climate Data'!$B$7:$B$366,C1389)</f>
        <v>6.8194444444444446</v>
      </c>
      <c r="J1389" s="86">
        <f>SUMIFS('Wind Proxy'!$H$8:$H$19,'Wind Proxy'!$A$8:$A$19,Estimator!$B$4,'Wind Proxy'!$B$8:$B$19,C1389)</f>
        <v>0</v>
      </c>
    </row>
    <row r="1390" spans="1:10" ht="14.4">
      <c r="A1390" s="84">
        <v>47041</v>
      </c>
      <c r="B1390" s="85">
        <v>2028</v>
      </c>
      <c r="C1390" s="85">
        <v>10</v>
      </c>
      <c r="D1390" s="85" t="s">
        <v>75</v>
      </c>
      <c r="E1390" s="85">
        <v>15</v>
      </c>
      <c r="F1390" s="85">
        <v>7</v>
      </c>
      <c r="G1390" s="85">
        <f>--(F1390&lt;=Estimator!$B$7)</f>
        <v>0</v>
      </c>
      <c r="H1390" s="86">
        <f>SUMIFS('Climate Data'!$G$7:$G$366,'Climate Data'!$A$7:$A$366,Estimator!$B$4,'Climate Data'!$B$7:$B$366,C1390)</f>
        <v>0.23225806451612904</v>
      </c>
      <c r="I1390" s="87">
        <f>SUMIFS('Climate Data'!$H$7:$H$366,'Climate Data'!$A$7:$A$366,Estimator!$B$4,'Climate Data'!$B$7:$B$366,C1390)</f>
        <v>6.8194444444444446</v>
      </c>
      <c r="J1390" s="86">
        <f>SUMIFS('Wind Proxy'!$H$8:$H$19,'Wind Proxy'!$A$8:$A$19,Estimator!$B$4,'Wind Proxy'!$B$8:$B$19,C1390)</f>
        <v>0</v>
      </c>
    </row>
    <row r="1391" spans="1:10" ht="14.4">
      <c r="A1391" s="84">
        <v>47042</v>
      </c>
      <c r="B1391" s="85">
        <v>2028</v>
      </c>
      <c r="C1391" s="85">
        <v>10</v>
      </c>
      <c r="D1391" s="85" t="s">
        <v>75</v>
      </c>
      <c r="E1391" s="85">
        <v>16</v>
      </c>
      <c r="F1391" s="85">
        <v>1</v>
      </c>
      <c r="G1391" s="85">
        <f>--(F1391&lt;=Estimator!$B$7)</f>
        <v>1</v>
      </c>
      <c r="H1391" s="86">
        <f>SUMIFS('Climate Data'!$G$7:$G$366,'Climate Data'!$A$7:$A$366,Estimator!$B$4,'Climate Data'!$B$7:$B$366,C1391)</f>
        <v>0.23225806451612904</v>
      </c>
      <c r="I1391" s="87">
        <f>SUMIFS('Climate Data'!$H$7:$H$366,'Climate Data'!$A$7:$A$366,Estimator!$B$4,'Climate Data'!$B$7:$B$366,C1391)</f>
        <v>6.8194444444444446</v>
      </c>
      <c r="J1391" s="86">
        <f>SUMIFS('Wind Proxy'!$H$8:$H$19,'Wind Proxy'!$A$8:$A$19,Estimator!$B$4,'Wind Proxy'!$B$8:$B$19,C1391)</f>
        <v>0</v>
      </c>
    </row>
    <row r="1392" spans="1:10" ht="14.4">
      <c r="A1392" s="84">
        <v>47043</v>
      </c>
      <c r="B1392" s="85">
        <v>2028</v>
      </c>
      <c r="C1392" s="85">
        <v>10</v>
      </c>
      <c r="D1392" s="85" t="s">
        <v>75</v>
      </c>
      <c r="E1392" s="85">
        <v>17</v>
      </c>
      <c r="F1392" s="85">
        <v>2</v>
      </c>
      <c r="G1392" s="85">
        <f>--(F1392&lt;=Estimator!$B$7)</f>
        <v>1</v>
      </c>
      <c r="H1392" s="86">
        <f>SUMIFS('Climate Data'!$G$7:$G$366,'Climate Data'!$A$7:$A$366,Estimator!$B$4,'Climate Data'!$B$7:$B$366,C1392)</f>
        <v>0.23225806451612904</v>
      </c>
      <c r="I1392" s="87">
        <f>SUMIFS('Climate Data'!$H$7:$H$366,'Climate Data'!$A$7:$A$366,Estimator!$B$4,'Climate Data'!$B$7:$B$366,C1392)</f>
        <v>6.8194444444444446</v>
      </c>
      <c r="J1392" s="86">
        <f>SUMIFS('Wind Proxy'!$H$8:$H$19,'Wind Proxy'!$A$8:$A$19,Estimator!$B$4,'Wind Proxy'!$B$8:$B$19,C1392)</f>
        <v>0</v>
      </c>
    </row>
    <row r="1393" spans="1:10" ht="14.4">
      <c r="A1393" s="84">
        <v>47044</v>
      </c>
      <c r="B1393" s="85">
        <v>2028</v>
      </c>
      <c r="C1393" s="85">
        <v>10</v>
      </c>
      <c r="D1393" s="85" t="s">
        <v>75</v>
      </c>
      <c r="E1393" s="85">
        <v>18</v>
      </c>
      <c r="F1393" s="85">
        <v>3</v>
      </c>
      <c r="G1393" s="85">
        <f>--(F1393&lt;=Estimator!$B$7)</f>
        <v>1</v>
      </c>
      <c r="H1393" s="86">
        <f>SUMIFS('Climate Data'!$G$7:$G$366,'Climate Data'!$A$7:$A$366,Estimator!$B$4,'Climate Data'!$B$7:$B$366,C1393)</f>
        <v>0.23225806451612904</v>
      </c>
      <c r="I1393" s="87">
        <f>SUMIFS('Climate Data'!$H$7:$H$366,'Climate Data'!$A$7:$A$366,Estimator!$B$4,'Climate Data'!$B$7:$B$366,C1393)</f>
        <v>6.8194444444444446</v>
      </c>
      <c r="J1393" s="86">
        <f>SUMIFS('Wind Proxy'!$H$8:$H$19,'Wind Proxy'!$A$8:$A$19,Estimator!$B$4,'Wind Proxy'!$B$8:$B$19,C1393)</f>
        <v>0</v>
      </c>
    </row>
    <row r="1394" spans="1:10" ht="14.4">
      <c r="A1394" s="84">
        <v>47045</v>
      </c>
      <c r="B1394" s="85">
        <v>2028</v>
      </c>
      <c r="C1394" s="85">
        <v>10</v>
      </c>
      <c r="D1394" s="85" t="s">
        <v>75</v>
      </c>
      <c r="E1394" s="85">
        <v>19</v>
      </c>
      <c r="F1394" s="85">
        <v>4</v>
      </c>
      <c r="G1394" s="85">
        <f>--(F1394&lt;=Estimator!$B$7)</f>
        <v>1</v>
      </c>
      <c r="H1394" s="86">
        <f>SUMIFS('Climate Data'!$G$7:$G$366,'Climate Data'!$A$7:$A$366,Estimator!$B$4,'Climate Data'!$B$7:$B$366,C1394)</f>
        <v>0.23225806451612904</v>
      </c>
      <c r="I1394" s="87">
        <f>SUMIFS('Climate Data'!$H$7:$H$366,'Climate Data'!$A$7:$A$366,Estimator!$B$4,'Climate Data'!$B$7:$B$366,C1394)</f>
        <v>6.8194444444444446</v>
      </c>
      <c r="J1394" s="86">
        <f>SUMIFS('Wind Proxy'!$H$8:$H$19,'Wind Proxy'!$A$8:$A$19,Estimator!$B$4,'Wind Proxy'!$B$8:$B$19,C1394)</f>
        <v>0</v>
      </c>
    </row>
    <row r="1395" spans="1:10" ht="14.4">
      <c r="A1395" s="84">
        <v>47046</v>
      </c>
      <c r="B1395" s="85">
        <v>2028</v>
      </c>
      <c r="C1395" s="85">
        <v>10</v>
      </c>
      <c r="D1395" s="85" t="s">
        <v>75</v>
      </c>
      <c r="E1395" s="85">
        <v>20</v>
      </c>
      <c r="F1395" s="85">
        <v>5</v>
      </c>
      <c r="G1395" s="85">
        <f>--(F1395&lt;=Estimator!$B$7)</f>
        <v>1</v>
      </c>
      <c r="H1395" s="86">
        <f>SUMIFS('Climate Data'!$G$7:$G$366,'Climate Data'!$A$7:$A$366,Estimator!$B$4,'Climate Data'!$B$7:$B$366,C1395)</f>
        <v>0.23225806451612904</v>
      </c>
      <c r="I1395" s="87">
        <f>SUMIFS('Climate Data'!$H$7:$H$366,'Climate Data'!$A$7:$A$366,Estimator!$B$4,'Climate Data'!$B$7:$B$366,C1395)</f>
        <v>6.8194444444444446</v>
      </c>
      <c r="J1395" s="86">
        <f>SUMIFS('Wind Proxy'!$H$8:$H$19,'Wind Proxy'!$A$8:$A$19,Estimator!$B$4,'Wind Proxy'!$B$8:$B$19,C1395)</f>
        <v>0</v>
      </c>
    </row>
    <row r="1396" spans="1:10" ht="14.4">
      <c r="A1396" s="84">
        <v>47047</v>
      </c>
      <c r="B1396" s="85">
        <v>2028</v>
      </c>
      <c r="C1396" s="85">
        <v>10</v>
      </c>
      <c r="D1396" s="85" t="s">
        <v>75</v>
      </c>
      <c r="E1396" s="85">
        <v>21</v>
      </c>
      <c r="F1396" s="85">
        <v>6</v>
      </c>
      <c r="G1396" s="85">
        <f>--(F1396&lt;=Estimator!$B$7)</f>
        <v>0</v>
      </c>
      <c r="H1396" s="86">
        <f>SUMIFS('Climate Data'!$G$7:$G$366,'Climate Data'!$A$7:$A$366,Estimator!$B$4,'Climate Data'!$B$7:$B$366,C1396)</f>
        <v>0.23225806451612904</v>
      </c>
      <c r="I1396" s="87">
        <f>SUMIFS('Climate Data'!$H$7:$H$366,'Climate Data'!$A$7:$A$366,Estimator!$B$4,'Climate Data'!$B$7:$B$366,C1396)</f>
        <v>6.8194444444444446</v>
      </c>
      <c r="J1396" s="86">
        <f>SUMIFS('Wind Proxy'!$H$8:$H$19,'Wind Proxy'!$A$8:$A$19,Estimator!$B$4,'Wind Proxy'!$B$8:$B$19,C1396)</f>
        <v>0</v>
      </c>
    </row>
    <row r="1397" spans="1:10" ht="14.4">
      <c r="A1397" s="84">
        <v>47048</v>
      </c>
      <c r="B1397" s="85">
        <v>2028</v>
      </c>
      <c r="C1397" s="85">
        <v>10</v>
      </c>
      <c r="D1397" s="85" t="s">
        <v>75</v>
      </c>
      <c r="E1397" s="85">
        <v>22</v>
      </c>
      <c r="F1397" s="85">
        <v>7</v>
      </c>
      <c r="G1397" s="85">
        <f>--(F1397&lt;=Estimator!$B$7)</f>
        <v>0</v>
      </c>
      <c r="H1397" s="86">
        <f>SUMIFS('Climate Data'!$G$7:$G$366,'Climate Data'!$A$7:$A$366,Estimator!$B$4,'Climate Data'!$B$7:$B$366,C1397)</f>
        <v>0.23225806451612904</v>
      </c>
      <c r="I1397" s="87">
        <f>SUMIFS('Climate Data'!$H$7:$H$366,'Climate Data'!$A$7:$A$366,Estimator!$B$4,'Climate Data'!$B$7:$B$366,C1397)</f>
        <v>6.8194444444444446</v>
      </c>
      <c r="J1397" s="86">
        <f>SUMIFS('Wind Proxy'!$H$8:$H$19,'Wind Proxy'!$A$8:$A$19,Estimator!$B$4,'Wind Proxy'!$B$8:$B$19,C1397)</f>
        <v>0</v>
      </c>
    </row>
    <row r="1398" spans="1:10" ht="14.4">
      <c r="A1398" s="84">
        <v>47049</v>
      </c>
      <c r="B1398" s="85">
        <v>2028</v>
      </c>
      <c r="C1398" s="85">
        <v>10</v>
      </c>
      <c r="D1398" s="85" t="s">
        <v>75</v>
      </c>
      <c r="E1398" s="85">
        <v>23</v>
      </c>
      <c r="F1398" s="85">
        <v>1</v>
      </c>
      <c r="G1398" s="85">
        <f>--(F1398&lt;=Estimator!$B$7)</f>
        <v>1</v>
      </c>
      <c r="H1398" s="86">
        <f>SUMIFS('Climate Data'!$G$7:$G$366,'Climate Data'!$A$7:$A$366,Estimator!$B$4,'Climate Data'!$B$7:$B$366,C1398)</f>
        <v>0.23225806451612904</v>
      </c>
      <c r="I1398" s="87">
        <f>SUMIFS('Climate Data'!$H$7:$H$366,'Climate Data'!$A$7:$A$366,Estimator!$B$4,'Climate Data'!$B$7:$B$366,C1398)</f>
        <v>6.8194444444444446</v>
      </c>
      <c r="J1398" s="86">
        <f>SUMIFS('Wind Proxy'!$H$8:$H$19,'Wind Proxy'!$A$8:$A$19,Estimator!$B$4,'Wind Proxy'!$B$8:$B$19,C1398)</f>
        <v>0</v>
      </c>
    </row>
    <row r="1399" spans="1:10" ht="14.4">
      <c r="A1399" s="84">
        <v>47050</v>
      </c>
      <c r="B1399" s="85">
        <v>2028</v>
      </c>
      <c r="C1399" s="85">
        <v>10</v>
      </c>
      <c r="D1399" s="85" t="s">
        <v>75</v>
      </c>
      <c r="E1399" s="85">
        <v>24</v>
      </c>
      <c r="F1399" s="85">
        <v>2</v>
      </c>
      <c r="G1399" s="85">
        <f>--(F1399&lt;=Estimator!$B$7)</f>
        <v>1</v>
      </c>
      <c r="H1399" s="86">
        <f>SUMIFS('Climate Data'!$G$7:$G$366,'Climate Data'!$A$7:$A$366,Estimator!$B$4,'Climate Data'!$B$7:$B$366,C1399)</f>
        <v>0.23225806451612904</v>
      </c>
      <c r="I1399" s="87">
        <f>SUMIFS('Climate Data'!$H$7:$H$366,'Climate Data'!$A$7:$A$366,Estimator!$B$4,'Climate Data'!$B$7:$B$366,C1399)</f>
        <v>6.8194444444444446</v>
      </c>
      <c r="J1399" s="86">
        <f>SUMIFS('Wind Proxy'!$H$8:$H$19,'Wind Proxy'!$A$8:$A$19,Estimator!$B$4,'Wind Proxy'!$B$8:$B$19,C1399)</f>
        <v>0</v>
      </c>
    </row>
    <row r="1400" spans="1:10" ht="14.4">
      <c r="A1400" s="84">
        <v>47051</v>
      </c>
      <c r="B1400" s="85">
        <v>2028</v>
      </c>
      <c r="C1400" s="85">
        <v>10</v>
      </c>
      <c r="D1400" s="85" t="s">
        <v>75</v>
      </c>
      <c r="E1400" s="85">
        <v>25</v>
      </c>
      <c r="F1400" s="85">
        <v>3</v>
      </c>
      <c r="G1400" s="85">
        <f>--(F1400&lt;=Estimator!$B$7)</f>
        <v>1</v>
      </c>
      <c r="H1400" s="86">
        <f>SUMIFS('Climate Data'!$G$7:$G$366,'Climate Data'!$A$7:$A$366,Estimator!$B$4,'Climate Data'!$B$7:$B$366,C1400)</f>
        <v>0.23225806451612904</v>
      </c>
      <c r="I1400" s="87">
        <f>SUMIFS('Climate Data'!$H$7:$H$366,'Climate Data'!$A$7:$A$366,Estimator!$B$4,'Climate Data'!$B$7:$B$366,C1400)</f>
        <v>6.8194444444444446</v>
      </c>
      <c r="J1400" s="86">
        <f>SUMIFS('Wind Proxy'!$H$8:$H$19,'Wind Proxy'!$A$8:$A$19,Estimator!$B$4,'Wind Proxy'!$B$8:$B$19,C1400)</f>
        <v>0</v>
      </c>
    </row>
    <row r="1401" spans="1:10" ht="14.4">
      <c r="A1401" s="84">
        <v>47052</v>
      </c>
      <c r="B1401" s="85">
        <v>2028</v>
      </c>
      <c r="C1401" s="85">
        <v>10</v>
      </c>
      <c r="D1401" s="85" t="s">
        <v>75</v>
      </c>
      <c r="E1401" s="85">
        <v>26</v>
      </c>
      <c r="F1401" s="85">
        <v>4</v>
      </c>
      <c r="G1401" s="85">
        <f>--(F1401&lt;=Estimator!$B$7)</f>
        <v>1</v>
      </c>
      <c r="H1401" s="86">
        <f>SUMIFS('Climate Data'!$G$7:$G$366,'Climate Data'!$A$7:$A$366,Estimator!$B$4,'Climate Data'!$B$7:$B$366,C1401)</f>
        <v>0.23225806451612904</v>
      </c>
      <c r="I1401" s="87">
        <f>SUMIFS('Climate Data'!$H$7:$H$366,'Climate Data'!$A$7:$A$366,Estimator!$B$4,'Climate Data'!$B$7:$B$366,C1401)</f>
        <v>6.8194444444444446</v>
      </c>
      <c r="J1401" s="86">
        <f>SUMIFS('Wind Proxy'!$H$8:$H$19,'Wind Proxy'!$A$8:$A$19,Estimator!$B$4,'Wind Proxy'!$B$8:$B$19,C1401)</f>
        <v>0</v>
      </c>
    </row>
    <row r="1402" spans="1:10" ht="14.4">
      <c r="A1402" s="84">
        <v>47053</v>
      </c>
      <c r="B1402" s="85">
        <v>2028</v>
      </c>
      <c r="C1402" s="85">
        <v>10</v>
      </c>
      <c r="D1402" s="85" t="s">
        <v>75</v>
      </c>
      <c r="E1402" s="85">
        <v>27</v>
      </c>
      <c r="F1402" s="85">
        <v>5</v>
      </c>
      <c r="G1402" s="85">
        <f>--(F1402&lt;=Estimator!$B$7)</f>
        <v>1</v>
      </c>
      <c r="H1402" s="86">
        <f>SUMIFS('Climate Data'!$G$7:$G$366,'Climate Data'!$A$7:$A$366,Estimator!$B$4,'Climate Data'!$B$7:$B$366,C1402)</f>
        <v>0.23225806451612904</v>
      </c>
      <c r="I1402" s="87">
        <f>SUMIFS('Climate Data'!$H$7:$H$366,'Climate Data'!$A$7:$A$366,Estimator!$B$4,'Climate Data'!$B$7:$B$366,C1402)</f>
        <v>6.8194444444444446</v>
      </c>
      <c r="J1402" s="86">
        <f>SUMIFS('Wind Proxy'!$H$8:$H$19,'Wind Proxy'!$A$8:$A$19,Estimator!$B$4,'Wind Proxy'!$B$8:$B$19,C1402)</f>
        <v>0</v>
      </c>
    </row>
    <row r="1403" spans="1:10" ht="14.4">
      <c r="A1403" s="84">
        <v>47054</v>
      </c>
      <c r="B1403" s="85">
        <v>2028</v>
      </c>
      <c r="C1403" s="85">
        <v>10</v>
      </c>
      <c r="D1403" s="85" t="s">
        <v>75</v>
      </c>
      <c r="E1403" s="85">
        <v>28</v>
      </c>
      <c r="F1403" s="85">
        <v>6</v>
      </c>
      <c r="G1403" s="85">
        <f>--(F1403&lt;=Estimator!$B$7)</f>
        <v>0</v>
      </c>
      <c r="H1403" s="86">
        <f>SUMIFS('Climate Data'!$G$7:$G$366,'Climate Data'!$A$7:$A$366,Estimator!$B$4,'Climate Data'!$B$7:$B$366,C1403)</f>
        <v>0.23225806451612904</v>
      </c>
      <c r="I1403" s="87">
        <f>SUMIFS('Climate Data'!$H$7:$H$366,'Climate Data'!$A$7:$A$366,Estimator!$B$4,'Climate Data'!$B$7:$B$366,C1403)</f>
        <v>6.8194444444444446</v>
      </c>
      <c r="J1403" s="86">
        <f>SUMIFS('Wind Proxy'!$H$8:$H$19,'Wind Proxy'!$A$8:$A$19,Estimator!$B$4,'Wind Proxy'!$B$8:$B$19,C1403)</f>
        <v>0</v>
      </c>
    </row>
    <row r="1404" spans="1:10" ht="14.4">
      <c r="A1404" s="84">
        <v>47055</v>
      </c>
      <c r="B1404" s="85">
        <v>2028</v>
      </c>
      <c r="C1404" s="85">
        <v>10</v>
      </c>
      <c r="D1404" s="85" t="s">
        <v>75</v>
      </c>
      <c r="E1404" s="85">
        <v>29</v>
      </c>
      <c r="F1404" s="85">
        <v>7</v>
      </c>
      <c r="G1404" s="85">
        <f>--(F1404&lt;=Estimator!$B$7)</f>
        <v>0</v>
      </c>
      <c r="H1404" s="86">
        <f>SUMIFS('Climate Data'!$G$7:$G$366,'Climate Data'!$A$7:$A$366,Estimator!$B$4,'Climate Data'!$B$7:$B$366,C1404)</f>
        <v>0.23225806451612904</v>
      </c>
      <c r="I1404" s="87">
        <f>SUMIFS('Climate Data'!$H$7:$H$366,'Climate Data'!$A$7:$A$366,Estimator!$B$4,'Climate Data'!$B$7:$B$366,C1404)</f>
        <v>6.8194444444444446</v>
      </c>
      <c r="J1404" s="86">
        <f>SUMIFS('Wind Proxy'!$H$8:$H$19,'Wind Proxy'!$A$8:$A$19,Estimator!$B$4,'Wind Proxy'!$B$8:$B$19,C1404)</f>
        <v>0</v>
      </c>
    </row>
    <row r="1405" spans="1:10" ht="14.4">
      <c r="A1405" s="84">
        <v>47056</v>
      </c>
      <c r="B1405" s="85">
        <v>2028</v>
      </c>
      <c r="C1405" s="85">
        <v>10</v>
      </c>
      <c r="D1405" s="85" t="s">
        <v>75</v>
      </c>
      <c r="E1405" s="85">
        <v>30</v>
      </c>
      <c r="F1405" s="85">
        <v>1</v>
      </c>
      <c r="G1405" s="85">
        <f>--(F1405&lt;=Estimator!$B$7)</f>
        <v>1</v>
      </c>
      <c r="H1405" s="86">
        <f>SUMIFS('Climate Data'!$G$7:$G$366,'Climate Data'!$A$7:$A$366,Estimator!$B$4,'Climate Data'!$B$7:$B$366,C1405)</f>
        <v>0.23225806451612904</v>
      </c>
      <c r="I1405" s="87">
        <f>SUMIFS('Climate Data'!$H$7:$H$366,'Climate Data'!$A$7:$A$366,Estimator!$B$4,'Climate Data'!$B$7:$B$366,C1405)</f>
        <v>6.8194444444444446</v>
      </c>
      <c r="J1405" s="86">
        <f>SUMIFS('Wind Proxy'!$H$8:$H$19,'Wind Proxy'!$A$8:$A$19,Estimator!$B$4,'Wind Proxy'!$B$8:$B$19,C1405)</f>
        <v>0</v>
      </c>
    </row>
    <row r="1406" spans="1:10" ht="14.4">
      <c r="A1406" s="84">
        <v>47057</v>
      </c>
      <c r="B1406" s="85">
        <v>2028</v>
      </c>
      <c r="C1406" s="85">
        <v>10</v>
      </c>
      <c r="D1406" s="85" t="s">
        <v>75</v>
      </c>
      <c r="E1406" s="85">
        <v>31</v>
      </c>
      <c r="F1406" s="85">
        <v>2</v>
      </c>
      <c r="G1406" s="85">
        <f>--(F1406&lt;=Estimator!$B$7)</f>
        <v>1</v>
      </c>
      <c r="H1406" s="86">
        <f>SUMIFS('Climate Data'!$G$7:$G$366,'Climate Data'!$A$7:$A$366,Estimator!$B$4,'Climate Data'!$B$7:$B$366,C1406)</f>
        <v>0.23225806451612904</v>
      </c>
      <c r="I1406" s="87">
        <f>SUMIFS('Climate Data'!$H$7:$H$366,'Climate Data'!$A$7:$A$366,Estimator!$B$4,'Climate Data'!$B$7:$B$366,C1406)</f>
        <v>6.8194444444444446</v>
      </c>
      <c r="J1406" s="86">
        <f>SUMIFS('Wind Proxy'!$H$8:$H$19,'Wind Proxy'!$A$8:$A$19,Estimator!$B$4,'Wind Proxy'!$B$8:$B$19,C1406)</f>
        <v>0</v>
      </c>
    </row>
    <row r="1407" spans="1:10" ht="14.4">
      <c r="A1407" s="84">
        <v>47058</v>
      </c>
      <c r="B1407" s="85">
        <v>2028</v>
      </c>
      <c r="C1407" s="85">
        <v>11</v>
      </c>
      <c r="D1407" s="85" t="s">
        <v>76</v>
      </c>
      <c r="E1407" s="85">
        <v>1</v>
      </c>
      <c r="F1407" s="85">
        <v>3</v>
      </c>
      <c r="G1407" s="85">
        <f>--(F1407&lt;=Estimator!$B$7)</f>
        <v>1</v>
      </c>
      <c r="H1407" s="86">
        <f>SUMIFS('Climate Data'!$G$7:$G$366,'Climate Data'!$A$7:$A$366,Estimator!$B$4,'Climate Data'!$B$7:$B$366,C1407)</f>
        <v>0.23333333333333334</v>
      </c>
      <c r="I1407" s="87">
        <f>SUMIFS('Climate Data'!$H$7:$H$366,'Climate Data'!$A$7:$A$366,Estimator!$B$4,'Climate Data'!$B$7:$B$366,C1407)</f>
        <v>6.4428571428571431</v>
      </c>
      <c r="J1407" s="86">
        <f>SUMIFS('Wind Proxy'!$H$8:$H$19,'Wind Proxy'!$A$8:$A$19,Estimator!$B$4,'Wind Proxy'!$B$8:$B$19,C1407)</f>
        <v>0</v>
      </c>
    </row>
    <row r="1408" spans="1:10" ht="14.4">
      <c r="A1408" s="84">
        <v>47059</v>
      </c>
      <c r="B1408" s="85">
        <v>2028</v>
      </c>
      <c r="C1408" s="85">
        <v>11</v>
      </c>
      <c r="D1408" s="85" t="s">
        <v>76</v>
      </c>
      <c r="E1408" s="85">
        <v>2</v>
      </c>
      <c r="F1408" s="85">
        <v>4</v>
      </c>
      <c r="G1408" s="85">
        <f>--(F1408&lt;=Estimator!$B$7)</f>
        <v>1</v>
      </c>
      <c r="H1408" s="86">
        <f>SUMIFS('Climate Data'!$G$7:$G$366,'Climate Data'!$A$7:$A$366,Estimator!$B$4,'Climate Data'!$B$7:$B$366,C1408)</f>
        <v>0.23333333333333334</v>
      </c>
      <c r="I1408" s="87">
        <f>SUMIFS('Climate Data'!$H$7:$H$366,'Climate Data'!$A$7:$A$366,Estimator!$B$4,'Climate Data'!$B$7:$B$366,C1408)</f>
        <v>6.4428571428571431</v>
      </c>
      <c r="J1408" s="86">
        <f>SUMIFS('Wind Proxy'!$H$8:$H$19,'Wind Proxy'!$A$8:$A$19,Estimator!$B$4,'Wind Proxy'!$B$8:$B$19,C1408)</f>
        <v>0</v>
      </c>
    </row>
    <row r="1409" spans="1:10" ht="14.4">
      <c r="A1409" s="84">
        <v>47060</v>
      </c>
      <c r="B1409" s="85">
        <v>2028</v>
      </c>
      <c r="C1409" s="85">
        <v>11</v>
      </c>
      <c r="D1409" s="85" t="s">
        <v>76</v>
      </c>
      <c r="E1409" s="85">
        <v>3</v>
      </c>
      <c r="F1409" s="85">
        <v>5</v>
      </c>
      <c r="G1409" s="85">
        <f>--(F1409&lt;=Estimator!$B$7)</f>
        <v>1</v>
      </c>
      <c r="H1409" s="86">
        <f>SUMIFS('Climate Data'!$G$7:$G$366,'Climate Data'!$A$7:$A$366,Estimator!$B$4,'Climate Data'!$B$7:$B$366,C1409)</f>
        <v>0.23333333333333334</v>
      </c>
      <c r="I1409" s="87">
        <f>SUMIFS('Climate Data'!$H$7:$H$366,'Climate Data'!$A$7:$A$366,Estimator!$B$4,'Climate Data'!$B$7:$B$366,C1409)</f>
        <v>6.4428571428571431</v>
      </c>
      <c r="J1409" s="86">
        <f>SUMIFS('Wind Proxy'!$H$8:$H$19,'Wind Proxy'!$A$8:$A$19,Estimator!$B$4,'Wind Proxy'!$B$8:$B$19,C1409)</f>
        <v>0</v>
      </c>
    </row>
    <row r="1410" spans="1:10" ht="14.4">
      <c r="A1410" s="84">
        <v>47061</v>
      </c>
      <c r="B1410" s="85">
        <v>2028</v>
      </c>
      <c r="C1410" s="85">
        <v>11</v>
      </c>
      <c r="D1410" s="85" t="s">
        <v>76</v>
      </c>
      <c r="E1410" s="85">
        <v>4</v>
      </c>
      <c r="F1410" s="85">
        <v>6</v>
      </c>
      <c r="G1410" s="85">
        <f>--(F1410&lt;=Estimator!$B$7)</f>
        <v>0</v>
      </c>
      <c r="H1410" s="86">
        <f>SUMIFS('Climate Data'!$G$7:$G$366,'Climate Data'!$A$7:$A$366,Estimator!$B$4,'Climate Data'!$B$7:$B$366,C1410)</f>
        <v>0.23333333333333334</v>
      </c>
      <c r="I1410" s="87">
        <f>SUMIFS('Climate Data'!$H$7:$H$366,'Climate Data'!$A$7:$A$366,Estimator!$B$4,'Climate Data'!$B$7:$B$366,C1410)</f>
        <v>6.4428571428571431</v>
      </c>
      <c r="J1410" s="86">
        <f>SUMIFS('Wind Proxy'!$H$8:$H$19,'Wind Proxy'!$A$8:$A$19,Estimator!$B$4,'Wind Proxy'!$B$8:$B$19,C1410)</f>
        <v>0</v>
      </c>
    </row>
    <row r="1411" spans="1:10" ht="14.4">
      <c r="A1411" s="84">
        <v>47062</v>
      </c>
      <c r="B1411" s="85">
        <v>2028</v>
      </c>
      <c r="C1411" s="85">
        <v>11</v>
      </c>
      <c r="D1411" s="85" t="s">
        <v>76</v>
      </c>
      <c r="E1411" s="85">
        <v>5</v>
      </c>
      <c r="F1411" s="85">
        <v>7</v>
      </c>
      <c r="G1411" s="85">
        <f>--(F1411&lt;=Estimator!$B$7)</f>
        <v>0</v>
      </c>
      <c r="H1411" s="86">
        <f>SUMIFS('Climate Data'!$G$7:$G$366,'Climate Data'!$A$7:$A$366,Estimator!$B$4,'Climate Data'!$B$7:$B$366,C1411)</f>
        <v>0.23333333333333334</v>
      </c>
      <c r="I1411" s="87">
        <f>SUMIFS('Climate Data'!$H$7:$H$366,'Climate Data'!$A$7:$A$366,Estimator!$B$4,'Climate Data'!$B$7:$B$366,C1411)</f>
        <v>6.4428571428571431</v>
      </c>
      <c r="J1411" s="86">
        <f>SUMIFS('Wind Proxy'!$H$8:$H$19,'Wind Proxy'!$A$8:$A$19,Estimator!$B$4,'Wind Proxy'!$B$8:$B$19,C1411)</f>
        <v>0</v>
      </c>
    </row>
    <row r="1412" spans="1:10" ht="14.4">
      <c r="A1412" s="84">
        <v>47063</v>
      </c>
      <c r="B1412" s="85">
        <v>2028</v>
      </c>
      <c r="C1412" s="85">
        <v>11</v>
      </c>
      <c r="D1412" s="85" t="s">
        <v>76</v>
      </c>
      <c r="E1412" s="85">
        <v>6</v>
      </c>
      <c r="F1412" s="85">
        <v>1</v>
      </c>
      <c r="G1412" s="85">
        <f>--(F1412&lt;=Estimator!$B$7)</f>
        <v>1</v>
      </c>
      <c r="H1412" s="86">
        <f>SUMIFS('Climate Data'!$G$7:$G$366,'Climate Data'!$A$7:$A$366,Estimator!$B$4,'Climate Data'!$B$7:$B$366,C1412)</f>
        <v>0.23333333333333334</v>
      </c>
      <c r="I1412" s="87">
        <f>SUMIFS('Climate Data'!$H$7:$H$366,'Climate Data'!$A$7:$A$366,Estimator!$B$4,'Climate Data'!$B$7:$B$366,C1412)</f>
        <v>6.4428571428571431</v>
      </c>
      <c r="J1412" s="86">
        <f>SUMIFS('Wind Proxy'!$H$8:$H$19,'Wind Proxy'!$A$8:$A$19,Estimator!$B$4,'Wind Proxy'!$B$8:$B$19,C1412)</f>
        <v>0</v>
      </c>
    </row>
    <row r="1413" spans="1:10" ht="14.4">
      <c r="A1413" s="84">
        <v>47064</v>
      </c>
      <c r="B1413" s="85">
        <v>2028</v>
      </c>
      <c r="C1413" s="85">
        <v>11</v>
      </c>
      <c r="D1413" s="85" t="s">
        <v>76</v>
      </c>
      <c r="E1413" s="85">
        <v>7</v>
      </c>
      <c r="F1413" s="85">
        <v>2</v>
      </c>
      <c r="G1413" s="85">
        <f>--(F1413&lt;=Estimator!$B$7)</f>
        <v>1</v>
      </c>
      <c r="H1413" s="86">
        <f>SUMIFS('Climate Data'!$G$7:$G$366,'Climate Data'!$A$7:$A$366,Estimator!$B$4,'Climate Data'!$B$7:$B$366,C1413)</f>
        <v>0.23333333333333334</v>
      </c>
      <c r="I1413" s="87">
        <f>SUMIFS('Climate Data'!$H$7:$H$366,'Climate Data'!$A$7:$A$366,Estimator!$B$4,'Climate Data'!$B$7:$B$366,C1413)</f>
        <v>6.4428571428571431</v>
      </c>
      <c r="J1413" s="86">
        <f>SUMIFS('Wind Proxy'!$H$8:$H$19,'Wind Proxy'!$A$8:$A$19,Estimator!$B$4,'Wind Proxy'!$B$8:$B$19,C1413)</f>
        <v>0</v>
      </c>
    </row>
    <row r="1414" spans="1:10" ht="14.4">
      <c r="A1414" s="84">
        <v>47065</v>
      </c>
      <c r="B1414" s="85">
        <v>2028</v>
      </c>
      <c r="C1414" s="85">
        <v>11</v>
      </c>
      <c r="D1414" s="85" t="s">
        <v>76</v>
      </c>
      <c r="E1414" s="85">
        <v>8</v>
      </c>
      <c r="F1414" s="85">
        <v>3</v>
      </c>
      <c r="G1414" s="85">
        <f>--(F1414&lt;=Estimator!$B$7)</f>
        <v>1</v>
      </c>
      <c r="H1414" s="86">
        <f>SUMIFS('Climate Data'!$G$7:$G$366,'Climate Data'!$A$7:$A$366,Estimator!$B$4,'Climate Data'!$B$7:$B$366,C1414)</f>
        <v>0.23333333333333334</v>
      </c>
      <c r="I1414" s="87">
        <f>SUMIFS('Climate Data'!$H$7:$H$366,'Climate Data'!$A$7:$A$366,Estimator!$B$4,'Climate Data'!$B$7:$B$366,C1414)</f>
        <v>6.4428571428571431</v>
      </c>
      <c r="J1414" s="86">
        <f>SUMIFS('Wind Proxy'!$H$8:$H$19,'Wind Proxy'!$A$8:$A$19,Estimator!$B$4,'Wind Proxy'!$B$8:$B$19,C1414)</f>
        <v>0</v>
      </c>
    </row>
    <row r="1415" spans="1:10" ht="14.4">
      <c r="A1415" s="84">
        <v>47066</v>
      </c>
      <c r="B1415" s="85">
        <v>2028</v>
      </c>
      <c r="C1415" s="85">
        <v>11</v>
      </c>
      <c r="D1415" s="85" t="s">
        <v>76</v>
      </c>
      <c r="E1415" s="85">
        <v>9</v>
      </c>
      <c r="F1415" s="85">
        <v>4</v>
      </c>
      <c r="G1415" s="85">
        <f>--(F1415&lt;=Estimator!$B$7)</f>
        <v>1</v>
      </c>
      <c r="H1415" s="86">
        <f>SUMIFS('Climate Data'!$G$7:$G$366,'Climate Data'!$A$7:$A$366,Estimator!$B$4,'Climate Data'!$B$7:$B$366,C1415)</f>
        <v>0.23333333333333334</v>
      </c>
      <c r="I1415" s="87">
        <f>SUMIFS('Climate Data'!$H$7:$H$366,'Climate Data'!$A$7:$A$366,Estimator!$B$4,'Climate Data'!$B$7:$B$366,C1415)</f>
        <v>6.4428571428571431</v>
      </c>
      <c r="J1415" s="86">
        <f>SUMIFS('Wind Proxy'!$H$8:$H$19,'Wind Proxy'!$A$8:$A$19,Estimator!$B$4,'Wind Proxy'!$B$8:$B$19,C1415)</f>
        <v>0</v>
      </c>
    </row>
    <row r="1416" spans="1:10" ht="14.4">
      <c r="A1416" s="84">
        <v>47067</v>
      </c>
      <c r="B1416" s="85">
        <v>2028</v>
      </c>
      <c r="C1416" s="85">
        <v>11</v>
      </c>
      <c r="D1416" s="85" t="s">
        <v>76</v>
      </c>
      <c r="E1416" s="85">
        <v>10</v>
      </c>
      <c r="F1416" s="85">
        <v>5</v>
      </c>
      <c r="G1416" s="85">
        <f>--(F1416&lt;=Estimator!$B$7)</f>
        <v>1</v>
      </c>
      <c r="H1416" s="86">
        <f>SUMIFS('Climate Data'!$G$7:$G$366,'Climate Data'!$A$7:$A$366,Estimator!$B$4,'Climate Data'!$B$7:$B$366,C1416)</f>
        <v>0.23333333333333334</v>
      </c>
      <c r="I1416" s="87">
        <f>SUMIFS('Climate Data'!$H$7:$H$366,'Climate Data'!$A$7:$A$366,Estimator!$B$4,'Climate Data'!$B$7:$B$366,C1416)</f>
        <v>6.4428571428571431</v>
      </c>
      <c r="J1416" s="86">
        <f>SUMIFS('Wind Proxy'!$H$8:$H$19,'Wind Proxy'!$A$8:$A$19,Estimator!$B$4,'Wind Proxy'!$B$8:$B$19,C1416)</f>
        <v>0</v>
      </c>
    </row>
    <row r="1417" spans="1:10" ht="14.4">
      <c r="A1417" s="84">
        <v>47068</v>
      </c>
      <c r="B1417" s="85">
        <v>2028</v>
      </c>
      <c r="C1417" s="85">
        <v>11</v>
      </c>
      <c r="D1417" s="85" t="s">
        <v>76</v>
      </c>
      <c r="E1417" s="85">
        <v>11</v>
      </c>
      <c r="F1417" s="85">
        <v>6</v>
      </c>
      <c r="G1417" s="85">
        <f>--(F1417&lt;=Estimator!$B$7)</f>
        <v>0</v>
      </c>
      <c r="H1417" s="86">
        <f>SUMIFS('Climate Data'!$G$7:$G$366,'Climate Data'!$A$7:$A$366,Estimator!$B$4,'Climate Data'!$B$7:$B$366,C1417)</f>
        <v>0.23333333333333334</v>
      </c>
      <c r="I1417" s="87">
        <f>SUMIFS('Climate Data'!$H$7:$H$366,'Climate Data'!$A$7:$A$366,Estimator!$B$4,'Climate Data'!$B$7:$B$366,C1417)</f>
        <v>6.4428571428571431</v>
      </c>
      <c r="J1417" s="86">
        <f>SUMIFS('Wind Proxy'!$H$8:$H$19,'Wind Proxy'!$A$8:$A$19,Estimator!$B$4,'Wind Proxy'!$B$8:$B$19,C1417)</f>
        <v>0</v>
      </c>
    </row>
    <row r="1418" spans="1:10" ht="14.4">
      <c r="A1418" s="84">
        <v>47069</v>
      </c>
      <c r="B1418" s="85">
        <v>2028</v>
      </c>
      <c r="C1418" s="85">
        <v>11</v>
      </c>
      <c r="D1418" s="85" t="s">
        <v>76</v>
      </c>
      <c r="E1418" s="85">
        <v>12</v>
      </c>
      <c r="F1418" s="85">
        <v>7</v>
      </c>
      <c r="G1418" s="85">
        <f>--(F1418&lt;=Estimator!$B$7)</f>
        <v>0</v>
      </c>
      <c r="H1418" s="86">
        <f>SUMIFS('Climate Data'!$G$7:$G$366,'Climate Data'!$A$7:$A$366,Estimator!$B$4,'Climate Data'!$B$7:$B$366,C1418)</f>
        <v>0.23333333333333334</v>
      </c>
      <c r="I1418" s="87">
        <f>SUMIFS('Climate Data'!$H$7:$H$366,'Climate Data'!$A$7:$A$366,Estimator!$B$4,'Climate Data'!$B$7:$B$366,C1418)</f>
        <v>6.4428571428571431</v>
      </c>
      <c r="J1418" s="86">
        <f>SUMIFS('Wind Proxy'!$H$8:$H$19,'Wind Proxy'!$A$8:$A$19,Estimator!$B$4,'Wind Proxy'!$B$8:$B$19,C1418)</f>
        <v>0</v>
      </c>
    </row>
    <row r="1419" spans="1:10" ht="14.4">
      <c r="A1419" s="84">
        <v>47070</v>
      </c>
      <c r="B1419" s="85">
        <v>2028</v>
      </c>
      <c r="C1419" s="85">
        <v>11</v>
      </c>
      <c r="D1419" s="85" t="s">
        <v>76</v>
      </c>
      <c r="E1419" s="85">
        <v>13</v>
      </c>
      <c r="F1419" s="85">
        <v>1</v>
      </c>
      <c r="G1419" s="85">
        <f>--(F1419&lt;=Estimator!$B$7)</f>
        <v>1</v>
      </c>
      <c r="H1419" s="86">
        <f>SUMIFS('Climate Data'!$G$7:$G$366,'Climate Data'!$A$7:$A$366,Estimator!$B$4,'Climate Data'!$B$7:$B$366,C1419)</f>
        <v>0.23333333333333334</v>
      </c>
      <c r="I1419" s="87">
        <f>SUMIFS('Climate Data'!$H$7:$H$366,'Climate Data'!$A$7:$A$366,Estimator!$B$4,'Climate Data'!$B$7:$B$366,C1419)</f>
        <v>6.4428571428571431</v>
      </c>
      <c r="J1419" s="86">
        <f>SUMIFS('Wind Proxy'!$H$8:$H$19,'Wind Proxy'!$A$8:$A$19,Estimator!$B$4,'Wind Proxy'!$B$8:$B$19,C1419)</f>
        <v>0</v>
      </c>
    </row>
    <row r="1420" spans="1:10" ht="14.4">
      <c r="A1420" s="84">
        <v>47071</v>
      </c>
      <c r="B1420" s="85">
        <v>2028</v>
      </c>
      <c r="C1420" s="85">
        <v>11</v>
      </c>
      <c r="D1420" s="85" t="s">
        <v>76</v>
      </c>
      <c r="E1420" s="85">
        <v>14</v>
      </c>
      <c r="F1420" s="85">
        <v>2</v>
      </c>
      <c r="G1420" s="85">
        <f>--(F1420&lt;=Estimator!$B$7)</f>
        <v>1</v>
      </c>
      <c r="H1420" s="86">
        <f>SUMIFS('Climate Data'!$G$7:$G$366,'Climate Data'!$A$7:$A$366,Estimator!$B$4,'Climate Data'!$B$7:$B$366,C1420)</f>
        <v>0.23333333333333334</v>
      </c>
      <c r="I1420" s="87">
        <f>SUMIFS('Climate Data'!$H$7:$H$366,'Climate Data'!$A$7:$A$366,Estimator!$B$4,'Climate Data'!$B$7:$B$366,C1420)</f>
        <v>6.4428571428571431</v>
      </c>
      <c r="J1420" s="86">
        <f>SUMIFS('Wind Proxy'!$H$8:$H$19,'Wind Proxy'!$A$8:$A$19,Estimator!$B$4,'Wind Proxy'!$B$8:$B$19,C1420)</f>
        <v>0</v>
      </c>
    </row>
    <row r="1421" spans="1:10" ht="14.4">
      <c r="A1421" s="84">
        <v>47072</v>
      </c>
      <c r="B1421" s="85">
        <v>2028</v>
      </c>
      <c r="C1421" s="85">
        <v>11</v>
      </c>
      <c r="D1421" s="85" t="s">
        <v>76</v>
      </c>
      <c r="E1421" s="85">
        <v>15</v>
      </c>
      <c r="F1421" s="85">
        <v>3</v>
      </c>
      <c r="G1421" s="85">
        <f>--(F1421&lt;=Estimator!$B$7)</f>
        <v>1</v>
      </c>
      <c r="H1421" s="86">
        <f>SUMIFS('Climate Data'!$G$7:$G$366,'Climate Data'!$A$7:$A$366,Estimator!$B$4,'Climate Data'!$B$7:$B$366,C1421)</f>
        <v>0.23333333333333334</v>
      </c>
      <c r="I1421" s="87">
        <f>SUMIFS('Climate Data'!$H$7:$H$366,'Climate Data'!$A$7:$A$366,Estimator!$B$4,'Climate Data'!$B$7:$B$366,C1421)</f>
        <v>6.4428571428571431</v>
      </c>
      <c r="J1421" s="86">
        <f>SUMIFS('Wind Proxy'!$H$8:$H$19,'Wind Proxy'!$A$8:$A$19,Estimator!$B$4,'Wind Proxy'!$B$8:$B$19,C1421)</f>
        <v>0</v>
      </c>
    </row>
    <row r="1422" spans="1:10" ht="14.4">
      <c r="A1422" s="84">
        <v>47073</v>
      </c>
      <c r="B1422" s="85">
        <v>2028</v>
      </c>
      <c r="C1422" s="85">
        <v>11</v>
      </c>
      <c r="D1422" s="85" t="s">
        <v>76</v>
      </c>
      <c r="E1422" s="85">
        <v>16</v>
      </c>
      <c r="F1422" s="85">
        <v>4</v>
      </c>
      <c r="G1422" s="85">
        <f>--(F1422&lt;=Estimator!$B$7)</f>
        <v>1</v>
      </c>
      <c r="H1422" s="86">
        <f>SUMIFS('Climate Data'!$G$7:$G$366,'Climate Data'!$A$7:$A$366,Estimator!$B$4,'Climate Data'!$B$7:$B$366,C1422)</f>
        <v>0.23333333333333334</v>
      </c>
      <c r="I1422" s="87">
        <f>SUMIFS('Climate Data'!$H$7:$H$366,'Climate Data'!$A$7:$A$366,Estimator!$B$4,'Climate Data'!$B$7:$B$366,C1422)</f>
        <v>6.4428571428571431</v>
      </c>
      <c r="J1422" s="86">
        <f>SUMIFS('Wind Proxy'!$H$8:$H$19,'Wind Proxy'!$A$8:$A$19,Estimator!$B$4,'Wind Proxy'!$B$8:$B$19,C1422)</f>
        <v>0</v>
      </c>
    </row>
    <row r="1423" spans="1:10" ht="14.4">
      <c r="A1423" s="84">
        <v>47074</v>
      </c>
      <c r="B1423" s="85">
        <v>2028</v>
      </c>
      <c r="C1423" s="85">
        <v>11</v>
      </c>
      <c r="D1423" s="85" t="s">
        <v>76</v>
      </c>
      <c r="E1423" s="85">
        <v>17</v>
      </c>
      <c r="F1423" s="85">
        <v>5</v>
      </c>
      <c r="G1423" s="85">
        <f>--(F1423&lt;=Estimator!$B$7)</f>
        <v>1</v>
      </c>
      <c r="H1423" s="86">
        <f>SUMIFS('Climate Data'!$G$7:$G$366,'Climate Data'!$A$7:$A$366,Estimator!$B$4,'Climate Data'!$B$7:$B$366,C1423)</f>
        <v>0.23333333333333334</v>
      </c>
      <c r="I1423" s="87">
        <f>SUMIFS('Climate Data'!$H$7:$H$366,'Climate Data'!$A$7:$A$366,Estimator!$B$4,'Climate Data'!$B$7:$B$366,C1423)</f>
        <v>6.4428571428571431</v>
      </c>
      <c r="J1423" s="86">
        <f>SUMIFS('Wind Proxy'!$H$8:$H$19,'Wind Proxy'!$A$8:$A$19,Estimator!$B$4,'Wind Proxy'!$B$8:$B$19,C1423)</f>
        <v>0</v>
      </c>
    </row>
    <row r="1424" spans="1:10" ht="14.4">
      <c r="A1424" s="84">
        <v>47075</v>
      </c>
      <c r="B1424" s="85">
        <v>2028</v>
      </c>
      <c r="C1424" s="85">
        <v>11</v>
      </c>
      <c r="D1424" s="85" t="s">
        <v>76</v>
      </c>
      <c r="E1424" s="85">
        <v>18</v>
      </c>
      <c r="F1424" s="85">
        <v>6</v>
      </c>
      <c r="G1424" s="85">
        <f>--(F1424&lt;=Estimator!$B$7)</f>
        <v>0</v>
      </c>
      <c r="H1424" s="86">
        <f>SUMIFS('Climate Data'!$G$7:$G$366,'Climate Data'!$A$7:$A$366,Estimator!$B$4,'Climate Data'!$B$7:$B$366,C1424)</f>
        <v>0.23333333333333334</v>
      </c>
      <c r="I1424" s="87">
        <f>SUMIFS('Climate Data'!$H$7:$H$366,'Climate Data'!$A$7:$A$366,Estimator!$B$4,'Climate Data'!$B$7:$B$366,C1424)</f>
        <v>6.4428571428571431</v>
      </c>
      <c r="J1424" s="86">
        <f>SUMIFS('Wind Proxy'!$H$8:$H$19,'Wind Proxy'!$A$8:$A$19,Estimator!$B$4,'Wind Proxy'!$B$8:$B$19,C1424)</f>
        <v>0</v>
      </c>
    </row>
    <row r="1425" spans="1:10" ht="14.4">
      <c r="A1425" s="84">
        <v>47076</v>
      </c>
      <c r="B1425" s="85">
        <v>2028</v>
      </c>
      <c r="C1425" s="85">
        <v>11</v>
      </c>
      <c r="D1425" s="85" t="s">
        <v>76</v>
      </c>
      <c r="E1425" s="85">
        <v>19</v>
      </c>
      <c r="F1425" s="85">
        <v>7</v>
      </c>
      <c r="G1425" s="85">
        <f>--(F1425&lt;=Estimator!$B$7)</f>
        <v>0</v>
      </c>
      <c r="H1425" s="86">
        <f>SUMIFS('Climate Data'!$G$7:$G$366,'Climate Data'!$A$7:$A$366,Estimator!$B$4,'Climate Data'!$B$7:$B$366,C1425)</f>
        <v>0.23333333333333334</v>
      </c>
      <c r="I1425" s="87">
        <f>SUMIFS('Climate Data'!$H$7:$H$366,'Climate Data'!$A$7:$A$366,Estimator!$B$4,'Climate Data'!$B$7:$B$366,C1425)</f>
        <v>6.4428571428571431</v>
      </c>
      <c r="J1425" s="86">
        <f>SUMIFS('Wind Proxy'!$H$8:$H$19,'Wind Proxy'!$A$8:$A$19,Estimator!$B$4,'Wind Proxy'!$B$8:$B$19,C1425)</f>
        <v>0</v>
      </c>
    </row>
    <row r="1426" spans="1:10" ht="14.4">
      <c r="A1426" s="84">
        <v>47077</v>
      </c>
      <c r="B1426" s="85">
        <v>2028</v>
      </c>
      <c r="C1426" s="85">
        <v>11</v>
      </c>
      <c r="D1426" s="85" t="s">
        <v>76</v>
      </c>
      <c r="E1426" s="85">
        <v>20</v>
      </c>
      <c r="F1426" s="85">
        <v>1</v>
      </c>
      <c r="G1426" s="85">
        <f>--(F1426&lt;=Estimator!$B$7)</f>
        <v>1</v>
      </c>
      <c r="H1426" s="86">
        <f>SUMIFS('Climate Data'!$G$7:$G$366,'Climate Data'!$A$7:$A$366,Estimator!$B$4,'Climate Data'!$B$7:$B$366,C1426)</f>
        <v>0.23333333333333334</v>
      </c>
      <c r="I1426" s="87">
        <f>SUMIFS('Climate Data'!$H$7:$H$366,'Climate Data'!$A$7:$A$366,Estimator!$B$4,'Climate Data'!$B$7:$B$366,C1426)</f>
        <v>6.4428571428571431</v>
      </c>
      <c r="J1426" s="86">
        <f>SUMIFS('Wind Proxy'!$H$8:$H$19,'Wind Proxy'!$A$8:$A$19,Estimator!$B$4,'Wind Proxy'!$B$8:$B$19,C1426)</f>
        <v>0</v>
      </c>
    </row>
    <row r="1427" spans="1:10" ht="14.4">
      <c r="A1427" s="84">
        <v>47078</v>
      </c>
      <c r="B1427" s="85">
        <v>2028</v>
      </c>
      <c r="C1427" s="85">
        <v>11</v>
      </c>
      <c r="D1427" s="85" t="s">
        <v>76</v>
      </c>
      <c r="E1427" s="85">
        <v>21</v>
      </c>
      <c r="F1427" s="85">
        <v>2</v>
      </c>
      <c r="G1427" s="85">
        <f>--(F1427&lt;=Estimator!$B$7)</f>
        <v>1</v>
      </c>
      <c r="H1427" s="86">
        <f>SUMIFS('Climate Data'!$G$7:$G$366,'Climate Data'!$A$7:$A$366,Estimator!$B$4,'Climate Data'!$B$7:$B$366,C1427)</f>
        <v>0.23333333333333334</v>
      </c>
      <c r="I1427" s="87">
        <f>SUMIFS('Climate Data'!$H$7:$H$366,'Climate Data'!$A$7:$A$366,Estimator!$B$4,'Climate Data'!$B$7:$B$366,C1427)</f>
        <v>6.4428571428571431</v>
      </c>
      <c r="J1427" s="86">
        <f>SUMIFS('Wind Proxy'!$H$8:$H$19,'Wind Proxy'!$A$8:$A$19,Estimator!$B$4,'Wind Proxy'!$B$8:$B$19,C1427)</f>
        <v>0</v>
      </c>
    </row>
    <row r="1428" spans="1:10" ht="14.4">
      <c r="A1428" s="84">
        <v>47079</v>
      </c>
      <c r="B1428" s="85">
        <v>2028</v>
      </c>
      <c r="C1428" s="85">
        <v>11</v>
      </c>
      <c r="D1428" s="85" t="s">
        <v>76</v>
      </c>
      <c r="E1428" s="85">
        <v>22</v>
      </c>
      <c r="F1428" s="85">
        <v>3</v>
      </c>
      <c r="G1428" s="85">
        <f>--(F1428&lt;=Estimator!$B$7)</f>
        <v>1</v>
      </c>
      <c r="H1428" s="86">
        <f>SUMIFS('Climate Data'!$G$7:$G$366,'Climate Data'!$A$7:$A$366,Estimator!$B$4,'Climate Data'!$B$7:$B$366,C1428)</f>
        <v>0.23333333333333334</v>
      </c>
      <c r="I1428" s="87">
        <f>SUMIFS('Climate Data'!$H$7:$H$366,'Climate Data'!$A$7:$A$366,Estimator!$B$4,'Climate Data'!$B$7:$B$366,C1428)</f>
        <v>6.4428571428571431</v>
      </c>
      <c r="J1428" s="86">
        <f>SUMIFS('Wind Proxy'!$H$8:$H$19,'Wind Proxy'!$A$8:$A$19,Estimator!$B$4,'Wind Proxy'!$B$8:$B$19,C1428)</f>
        <v>0</v>
      </c>
    </row>
    <row r="1429" spans="1:10" ht="14.4">
      <c r="A1429" s="84">
        <v>47080</v>
      </c>
      <c r="B1429" s="85">
        <v>2028</v>
      </c>
      <c r="C1429" s="85">
        <v>11</v>
      </c>
      <c r="D1429" s="85" t="s">
        <v>76</v>
      </c>
      <c r="E1429" s="85">
        <v>23</v>
      </c>
      <c r="F1429" s="85">
        <v>4</v>
      </c>
      <c r="G1429" s="85">
        <f>--(F1429&lt;=Estimator!$B$7)</f>
        <v>1</v>
      </c>
      <c r="H1429" s="86">
        <f>SUMIFS('Climate Data'!$G$7:$G$366,'Climate Data'!$A$7:$A$366,Estimator!$B$4,'Climate Data'!$B$7:$B$366,C1429)</f>
        <v>0.23333333333333334</v>
      </c>
      <c r="I1429" s="87">
        <f>SUMIFS('Climate Data'!$H$7:$H$366,'Climate Data'!$A$7:$A$366,Estimator!$B$4,'Climate Data'!$B$7:$B$366,C1429)</f>
        <v>6.4428571428571431</v>
      </c>
      <c r="J1429" s="86">
        <f>SUMIFS('Wind Proxy'!$H$8:$H$19,'Wind Proxy'!$A$8:$A$19,Estimator!$B$4,'Wind Proxy'!$B$8:$B$19,C1429)</f>
        <v>0</v>
      </c>
    </row>
    <row r="1430" spans="1:10" ht="14.4">
      <c r="A1430" s="84">
        <v>47081</v>
      </c>
      <c r="B1430" s="85">
        <v>2028</v>
      </c>
      <c r="C1430" s="85">
        <v>11</v>
      </c>
      <c r="D1430" s="85" t="s">
        <v>76</v>
      </c>
      <c r="E1430" s="85">
        <v>24</v>
      </c>
      <c r="F1430" s="85">
        <v>5</v>
      </c>
      <c r="G1430" s="85">
        <f>--(F1430&lt;=Estimator!$B$7)</f>
        <v>1</v>
      </c>
      <c r="H1430" s="86">
        <f>SUMIFS('Climate Data'!$G$7:$G$366,'Climate Data'!$A$7:$A$366,Estimator!$B$4,'Climate Data'!$B$7:$B$366,C1430)</f>
        <v>0.23333333333333334</v>
      </c>
      <c r="I1430" s="87">
        <f>SUMIFS('Climate Data'!$H$7:$H$366,'Climate Data'!$A$7:$A$366,Estimator!$B$4,'Climate Data'!$B$7:$B$366,C1430)</f>
        <v>6.4428571428571431</v>
      </c>
      <c r="J1430" s="86">
        <f>SUMIFS('Wind Proxy'!$H$8:$H$19,'Wind Proxy'!$A$8:$A$19,Estimator!$B$4,'Wind Proxy'!$B$8:$B$19,C1430)</f>
        <v>0</v>
      </c>
    </row>
    <row r="1431" spans="1:10" ht="14.4">
      <c r="A1431" s="84">
        <v>47082</v>
      </c>
      <c r="B1431" s="85">
        <v>2028</v>
      </c>
      <c r="C1431" s="85">
        <v>11</v>
      </c>
      <c r="D1431" s="85" t="s">
        <v>76</v>
      </c>
      <c r="E1431" s="85">
        <v>25</v>
      </c>
      <c r="F1431" s="85">
        <v>6</v>
      </c>
      <c r="G1431" s="85">
        <f>--(F1431&lt;=Estimator!$B$7)</f>
        <v>0</v>
      </c>
      <c r="H1431" s="86">
        <f>SUMIFS('Climate Data'!$G$7:$G$366,'Climate Data'!$A$7:$A$366,Estimator!$B$4,'Climate Data'!$B$7:$B$366,C1431)</f>
        <v>0.23333333333333334</v>
      </c>
      <c r="I1431" s="87">
        <f>SUMIFS('Climate Data'!$H$7:$H$366,'Climate Data'!$A$7:$A$366,Estimator!$B$4,'Climate Data'!$B$7:$B$366,C1431)</f>
        <v>6.4428571428571431</v>
      </c>
      <c r="J1431" s="86">
        <f>SUMIFS('Wind Proxy'!$H$8:$H$19,'Wind Proxy'!$A$8:$A$19,Estimator!$B$4,'Wind Proxy'!$B$8:$B$19,C1431)</f>
        <v>0</v>
      </c>
    </row>
    <row r="1432" spans="1:10" ht="14.4">
      <c r="A1432" s="84">
        <v>47083</v>
      </c>
      <c r="B1432" s="85">
        <v>2028</v>
      </c>
      <c r="C1432" s="85">
        <v>11</v>
      </c>
      <c r="D1432" s="85" t="s">
        <v>76</v>
      </c>
      <c r="E1432" s="85">
        <v>26</v>
      </c>
      <c r="F1432" s="85">
        <v>7</v>
      </c>
      <c r="G1432" s="85">
        <f>--(F1432&lt;=Estimator!$B$7)</f>
        <v>0</v>
      </c>
      <c r="H1432" s="86">
        <f>SUMIFS('Climate Data'!$G$7:$G$366,'Climate Data'!$A$7:$A$366,Estimator!$B$4,'Climate Data'!$B$7:$B$366,C1432)</f>
        <v>0.23333333333333334</v>
      </c>
      <c r="I1432" s="87">
        <f>SUMIFS('Climate Data'!$H$7:$H$366,'Climate Data'!$A$7:$A$366,Estimator!$B$4,'Climate Data'!$B$7:$B$366,C1432)</f>
        <v>6.4428571428571431</v>
      </c>
      <c r="J1432" s="86">
        <f>SUMIFS('Wind Proxy'!$H$8:$H$19,'Wind Proxy'!$A$8:$A$19,Estimator!$B$4,'Wind Proxy'!$B$8:$B$19,C1432)</f>
        <v>0</v>
      </c>
    </row>
    <row r="1433" spans="1:10" ht="14.4">
      <c r="A1433" s="84">
        <v>47084</v>
      </c>
      <c r="B1433" s="85">
        <v>2028</v>
      </c>
      <c r="C1433" s="85">
        <v>11</v>
      </c>
      <c r="D1433" s="85" t="s">
        <v>76</v>
      </c>
      <c r="E1433" s="85">
        <v>27</v>
      </c>
      <c r="F1433" s="85">
        <v>1</v>
      </c>
      <c r="G1433" s="85">
        <f>--(F1433&lt;=Estimator!$B$7)</f>
        <v>1</v>
      </c>
      <c r="H1433" s="86">
        <f>SUMIFS('Climate Data'!$G$7:$G$366,'Climate Data'!$A$7:$A$366,Estimator!$B$4,'Climate Data'!$B$7:$B$366,C1433)</f>
        <v>0.23333333333333334</v>
      </c>
      <c r="I1433" s="87">
        <f>SUMIFS('Climate Data'!$H$7:$H$366,'Climate Data'!$A$7:$A$366,Estimator!$B$4,'Climate Data'!$B$7:$B$366,C1433)</f>
        <v>6.4428571428571431</v>
      </c>
      <c r="J1433" s="86">
        <f>SUMIFS('Wind Proxy'!$H$8:$H$19,'Wind Proxy'!$A$8:$A$19,Estimator!$B$4,'Wind Proxy'!$B$8:$B$19,C1433)</f>
        <v>0</v>
      </c>
    </row>
    <row r="1434" spans="1:10" ht="14.4">
      <c r="A1434" s="84">
        <v>47085</v>
      </c>
      <c r="B1434" s="85">
        <v>2028</v>
      </c>
      <c r="C1434" s="85">
        <v>11</v>
      </c>
      <c r="D1434" s="85" t="s">
        <v>76</v>
      </c>
      <c r="E1434" s="85">
        <v>28</v>
      </c>
      <c r="F1434" s="85">
        <v>2</v>
      </c>
      <c r="G1434" s="85">
        <f>--(F1434&lt;=Estimator!$B$7)</f>
        <v>1</v>
      </c>
      <c r="H1434" s="86">
        <f>SUMIFS('Climate Data'!$G$7:$G$366,'Climate Data'!$A$7:$A$366,Estimator!$B$4,'Climate Data'!$B$7:$B$366,C1434)</f>
        <v>0.23333333333333334</v>
      </c>
      <c r="I1434" s="87">
        <f>SUMIFS('Climate Data'!$H$7:$H$366,'Climate Data'!$A$7:$A$366,Estimator!$B$4,'Climate Data'!$B$7:$B$366,C1434)</f>
        <v>6.4428571428571431</v>
      </c>
      <c r="J1434" s="86">
        <f>SUMIFS('Wind Proxy'!$H$8:$H$19,'Wind Proxy'!$A$8:$A$19,Estimator!$B$4,'Wind Proxy'!$B$8:$B$19,C1434)</f>
        <v>0</v>
      </c>
    </row>
    <row r="1435" spans="1:10" ht="14.4">
      <c r="A1435" s="84">
        <v>47086</v>
      </c>
      <c r="B1435" s="85">
        <v>2028</v>
      </c>
      <c r="C1435" s="85">
        <v>11</v>
      </c>
      <c r="D1435" s="85" t="s">
        <v>76</v>
      </c>
      <c r="E1435" s="85">
        <v>29</v>
      </c>
      <c r="F1435" s="85">
        <v>3</v>
      </c>
      <c r="G1435" s="85">
        <f>--(F1435&lt;=Estimator!$B$7)</f>
        <v>1</v>
      </c>
      <c r="H1435" s="86">
        <f>SUMIFS('Climate Data'!$G$7:$G$366,'Climate Data'!$A$7:$A$366,Estimator!$B$4,'Climate Data'!$B$7:$B$366,C1435)</f>
        <v>0.23333333333333334</v>
      </c>
      <c r="I1435" s="87">
        <f>SUMIFS('Climate Data'!$H$7:$H$366,'Climate Data'!$A$7:$A$366,Estimator!$B$4,'Climate Data'!$B$7:$B$366,C1435)</f>
        <v>6.4428571428571431</v>
      </c>
      <c r="J1435" s="86">
        <f>SUMIFS('Wind Proxy'!$H$8:$H$19,'Wind Proxy'!$A$8:$A$19,Estimator!$B$4,'Wind Proxy'!$B$8:$B$19,C1435)</f>
        <v>0</v>
      </c>
    </row>
    <row r="1436" spans="1:10" ht="14.4">
      <c r="A1436" s="84">
        <v>47087</v>
      </c>
      <c r="B1436" s="85">
        <v>2028</v>
      </c>
      <c r="C1436" s="85">
        <v>11</v>
      </c>
      <c r="D1436" s="85" t="s">
        <v>76</v>
      </c>
      <c r="E1436" s="85">
        <v>30</v>
      </c>
      <c r="F1436" s="85">
        <v>4</v>
      </c>
      <c r="G1436" s="85">
        <f>--(F1436&lt;=Estimator!$B$7)</f>
        <v>1</v>
      </c>
      <c r="H1436" s="86">
        <f>SUMIFS('Climate Data'!$G$7:$G$366,'Climate Data'!$A$7:$A$366,Estimator!$B$4,'Climate Data'!$B$7:$B$366,C1436)</f>
        <v>0.23333333333333334</v>
      </c>
      <c r="I1436" s="87">
        <f>SUMIFS('Climate Data'!$H$7:$H$366,'Climate Data'!$A$7:$A$366,Estimator!$B$4,'Climate Data'!$B$7:$B$366,C1436)</f>
        <v>6.4428571428571431</v>
      </c>
      <c r="J1436" s="86">
        <f>SUMIFS('Wind Proxy'!$H$8:$H$19,'Wind Proxy'!$A$8:$A$19,Estimator!$B$4,'Wind Proxy'!$B$8:$B$19,C1436)</f>
        <v>0</v>
      </c>
    </row>
    <row r="1437" spans="1:10" ht="14.4">
      <c r="A1437" s="84">
        <v>47088</v>
      </c>
      <c r="B1437" s="85">
        <v>2028</v>
      </c>
      <c r="C1437" s="85">
        <v>12</v>
      </c>
      <c r="D1437" s="85" t="s">
        <v>77</v>
      </c>
      <c r="E1437" s="85">
        <v>1</v>
      </c>
      <c r="F1437" s="85">
        <v>5</v>
      </c>
      <c r="G1437" s="85">
        <f>--(F1437&lt;=Estimator!$B$7)</f>
        <v>1</v>
      </c>
      <c r="H1437" s="86">
        <f>SUMIFS('Climate Data'!$G$7:$G$366,'Climate Data'!$A$7:$A$366,Estimator!$B$4,'Climate Data'!$B$7:$B$366,C1437)</f>
        <v>0.22688172043010751</v>
      </c>
      <c r="I1437" s="87">
        <f>SUMIFS('Climate Data'!$H$7:$H$366,'Climate Data'!$A$7:$A$366,Estimator!$B$4,'Climate Data'!$B$7:$B$366,C1437)</f>
        <v>6.7962085308056865</v>
      </c>
      <c r="J1437" s="86">
        <f>SUMIFS('Wind Proxy'!$H$8:$H$19,'Wind Proxy'!$A$8:$A$19,Estimator!$B$4,'Wind Proxy'!$B$8:$B$19,C1437)</f>
        <v>0</v>
      </c>
    </row>
    <row r="1438" spans="1:10" ht="14.4">
      <c r="A1438" s="84">
        <v>47089</v>
      </c>
      <c r="B1438" s="85">
        <v>2028</v>
      </c>
      <c r="C1438" s="85">
        <v>12</v>
      </c>
      <c r="D1438" s="85" t="s">
        <v>77</v>
      </c>
      <c r="E1438" s="85">
        <v>2</v>
      </c>
      <c r="F1438" s="85">
        <v>6</v>
      </c>
      <c r="G1438" s="85">
        <f>--(F1438&lt;=Estimator!$B$7)</f>
        <v>0</v>
      </c>
      <c r="H1438" s="86">
        <f>SUMIFS('Climate Data'!$G$7:$G$366,'Climate Data'!$A$7:$A$366,Estimator!$B$4,'Climate Data'!$B$7:$B$366,C1438)</f>
        <v>0.22688172043010751</v>
      </c>
      <c r="I1438" s="87">
        <f>SUMIFS('Climate Data'!$H$7:$H$366,'Climate Data'!$A$7:$A$366,Estimator!$B$4,'Climate Data'!$B$7:$B$366,C1438)</f>
        <v>6.7962085308056865</v>
      </c>
      <c r="J1438" s="86">
        <f>SUMIFS('Wind Proxy'!$H$8:$H$19,'Wind Proxy'!$A$8:$A$19,Estimator!$B$4,'Wind Proxy'!$B$8:$B$19,C1438)</f>
        <v>0</v>
      </c>
    </row>
    <row r="1439" spans="1:10" ht="14.4">
      <c r="A1439" s="84">
        <v>47090</v>
      </c>
      <c r="B1439" s="85">
        <v>2028</v>
      </c>
      <c r="C1439" s="85">
        <v>12</v>
      </c>
      <c r="D1439" s="85" t="s">
        <v>77</v>
      </c>
      <c r="E1439" s="85">
        <v>3</v>
      </c>
      <c r="F1439" s="85">
        <v>7</v>
      </c>
      <c r="G1439" s="85">
        <f>--(F1439&lt;=Estimator!$B$7)</f>
        <v>0</v>
      </c>
      <c r="H1439" s="86">
        <f>SUMIFS('Climate Data'!$G$7:$G$366,'Climate Data'!$A$7:$A$366,Estimator!$B$4,'Climate Data'!$B$7:$B$366,C1439)</f>
        <v>0.22688172043010751</v>
      </c>
      <c r="I1439" s="87">
        <f>SUMIFS('Climate Data'!$H$7:$H$366,'Climate Data'!$A$7:$A$366,Estimator!$B$4,'Climate Data'!$B$7:$B$366,C1439)</f>
        <v>6.7962085308056865</v>
      </c>
      <c r="J1439" s="86">
        <f>SUMIFS('Wind Proxy'!$H$8:$H$19,'Wind Proxy'!$A$8:$A$19,Estimator!$B$4,'Wind Proxy'!$B$8:$B$19,C1439)</f>
        <v>0</v>
      </c>
    </row>
    <row r="1440" spans="1:10" ht="14.4">
      <c r="A1440" s="84">
        <v>47091</v>
      </c>
      <c r="B1440" s="85">
        <v>2028</v>
      </c>
      <c r="C1440" s="85">
        <v>12</v>
      </c>
      <c r="D1440" s="85" t="s">
        <v>77</v>
      </c>
      <c r="E1440" s="85">
        <v>4</v>
      </c>
      <c r="F1440" s="85">
        <v>1</v>
      </c>
      <c r="G1440" s="85">
        <f>--(F1440&lt;=Estimator!$B$7)</f>
        <v>1</v>
      </c>
      <c r="H1440" s="86">
        <f>SUMIFS('Climate Data'!$G$7:$G$366,'Climate Data'!$A$7:$A$366,Estimator!$B$4,'Climate Data'!$B$7:$B$366,C1440)</f>
        <v>0.22688172043010751</v>
      </c>
      <c r="I1440" s="87">
        <f>SUMIFS('Climate Data'!$H$7:$H$366,'Climate Data'!$A$7:$A$366,Estimator!$B$4,'Climate Data'!$B$7:$B$366,C1440)</f>
        <v>6.7962085308056865</v>
      </c>
      <c r="J1440" s="86">
        <f>SUMIFS('Wind Proxy'!$H$8:$H$19,'Wind Proxy'!$A$8:$A$19,Estimator!$B$4,'Wind Proxy'!$B$8:$B$19,C1440)</f>
        <v>0</v>
      </c>
    </row>
    <row r="1441" spans="1:10" ht="14.4">
      <c r="A1441" s="84">
        <v>47092</v>
      </c>
      <c r="B1441" s="85">
        <v>2028</v>
      </c>
      <c r="C1441" s="85">
        <v>12</v>
      </c>
      <c r="D1441" s="85" t="s">
        <v>77</v>
      </c>
      <c r="E1441" s="85">
        <v>5</v>
      </c>
      <c r="F1441" s="85">
        <v>2</v>
      </c>
      <c r="G1441" s="85">
        <f>--(F1441&lt;=Estimator!$B$7)</f>
        <v>1</v>
      </c>
      <c r="H1441" s="86">
        <f>SUMIFS('Climate Data'!$G$7:$G$366,'Climate Data'!$A$7:$A$366,Estimator!$B$4,'Climate Data'!$B$7:$B$366,C1441)</f>
        <v>0.22688172043010751</v>
      </c>
      <c r="I1441" s="87">
        <f>SUMIFS('Climate Data'!$H$7:$H$366,'Climate Data'!$A$7:$A$366,Estimator!$B$4,'Climate Data'!$B$7:$B$366,C1441)</f>
        <v>6.7962085308056865</v>
      </c>
      <c r="J1441" s="86">
        <f>SUMIFS('Wind Proxy'!$H$8:$H$19,'Wind Proxy'!$A$8:$A$19,Estimator!$B$4,'Wind Proxy'!$B$8:$B$19,C1441)</f>
        <v>0</v>
      </c>
    </row>
    <row r="1442" spans="1:10" ht="14.4">
      <c r="A1442" s="84">
        <v>47093</v>
      </c>
      <c r="B1442" s="85">
        <v>2028</v>
      </c>
      <c r="C1442" s="85">
        <v>12</v>
      </c>
      <c r="D1442" s="85" t="s">
        <v>77</v>
      </c>
      <c r="E1442" s="85">
        <v>6</v>
      </c>
      <c r="F1442" s="85">
        <v>3</v>
      </c>
      <c r="G1442" s="85">
        <f>--(F1442&lt;=Estimator!$B$7)</f>
        <v>1</v>
      </c>
      <c r="H1442" s="86">
        <f>SUMIFS('Climate Data'!$G$7:$G$366,'Climate Data'!$A$7:$A$366,Estimator!$B$4,'Climate Data'!$B$7:$B$366,C1442)</f>
        <v>0.22688172043010751</v>
      </c>
      <c r="I1442" s="87">
        <f>SUMIFS('Climate Data'!$H$7:$H$366,'Climate Data'!$A$7:$A$366,Estimator!$B$4,'Climate Data'!$B$7:$B$366,C1442)</f>
        <v>6.7962085308056865</v>
      </c>
      <c r="J1442" s="86">
        <f>SUMIFS('Wind Proxy'!$H$8:$H$19,'Wind Proxy'!$A$8:$A$19,Estimator!$B$4,'Wind Proxy'!$B$8:$B$19,C1442)</f>
        <v>0</v>
      </c>
    </row>
    <row r="1443" spans="1:10" ht="14.4">
      <c r="A1443" s="84">
        <v>47094</v>
      </c>
      <c r="B1443" s="85">
        <v>2028</v>
      </c>
      <c r="C1443" s="85">
        <v>12</v>
      </c>
      <c r="D1443" s="85" t="s">
        <v>77</v>
      </c>
      <c r="E1443" s="85">
        <v>7</v>
      </c>
      <c r="F1443" s="85">
        <v>4</v>
      </c>
      <c r="G1443" s="85">
        <f>--(F1443&lt;=Estimator!$B$7)</f>
        <v>1</v>
      </c>
      <c r="H1443" s="86">
        <f>SUMIFS('Climate Data'!$G$7:$G$366,'Climate Data'!$A$7:$A$366,Estimator!$B$4,'Climate Data'!$B$7:$B$366,C1443)</f>
        <v>0.22688172043010751</v>
      </c>
      <c r="I1443" s="87">
        <f>SUMIFS('Climate Data'!$H$7:$H$366,'Climate Data'!$A$7:$A$366,Estimator!$B$4,'Climate Data'!$B$7:$B$366,C1443)</f>
        <v>6.7962085308056865</v>
      </c>
      <c r="J1443" s="86">
        <f>SUMIFS('Wind Proxy'!$H$8:$H$19,'Wind Proxy'!$A$8:$A$19,Estimator!$B$4,'Wind Proxy'!$B$8:$B$19,C1443)</f>
        <v>0</v>
      </c>
    </row>
    <row r="1444" spans="1:10" ht="14.4">
      <c r="A1444" s="84">
        <v>47095</v>
      </c>
      <c r="B1444" s="85">
        <v>2028</v>
      </c>
      <c r="C1444" s="85">
        <v>12</v>
      </c>
      <c r="D1444" s="85" t="s">
        <v>77</v>
      </c>
      <c r="E1444" s="85">
        <v>8</v>
      </c>
      <c r="F1444" s="85">
        <v>5</v>
      </c>
      <c r="G1444" s="85">
        <f>--(F1444&lt;=Estimator!$B$7)</f>
        <v>1</v>
      </c>
      <c r="H1444" s="86">
        <f>SUMIFS('Climate Data'!$G$7:$G$366,'Climate Data'!$A$7:$A$366,Estimator!$B$4,'Climate Data'!$B$7:$B$366,C1444)</f>
        <v>0.22688172043010751</v>
      </c>
      <c r="I1444" s="87">
        <f>SUMIFS('Climate Data'!$H$7:$H$366,'Climate Data'!$A$7:$A$366,Estimator!$B$4,'Climate Data'!$B$7:$B$366,C1444)</f>
        <v>6.7962085308056865</v>
      </c>
      <c r="J1444" s="86">
        <f>SUMIFS('Wind Proxy'!$H$8:$H$19,'Wind Proxy'!$A$8:$A$19,Estimator!$B$4,'Wind Proxy'!$B$8:$B$19,C1444)</f>
        <v>0</v>
      </c>
    </row>
    <row r="1445" spans="1:10" ht="14.4">
      <c r="A1445" s="84">
        <v>47096</v>
      </c>
      <c r="B1445" s="85">
        <v>2028</v>
      </c>
      <c r="C1445" s="85">
        <v>12</v>
      </c>
      <c r="D1445" s="85" t="s">
        <v>77</v>
      </c>
      <c r="E1445" s="85">
        <v>9</v>
      </c>
      <c r="F1445" s="85">
        <v>6</v>
      </c>
      <c r="G1445" s="85">
        <f>--(F1445&lt;=Estimator!$B$7)</f>
        <v>0</v>
      </c>
      <c r="H1445" s="86">
        <f>SUMIFS('Climate Data'!$G$7:$G$366,'Climate Data'!$A$7:$A$366,Estimator!$B$4,'Climate Data'!$B$7:$B$366,C1445)</f>
        <v>0.22688172043010751</v>
      </c>
      <c r="I1445" s="87">
        <f>SUMIFS('Climate Data'!$H$7:$H$366,'Climate Data'!$A$7:$A$366,Estimator!$B$4,'Climate Data'!$B$7:$B$366,C1445)</f>
        <v>6.7962085308056865</v>
      </c>
      <c r="J1445" s="86">
        <f>SUMIFS('Wind Proxy'!$H$8:$H$19,'Wind Proxy'!$A$8:$A$19,Estimator!$B$4,'Wind Proxy'!$B$8:$B$19,C1445)</f>
        <v>0</v>
      </c>
    </row>
    <row r="1446" spans="1:10" ht="14.4">
      <c r="A1446" s="84">
        <v>47097</v>
      </c>
      <c r="B1446" s="85">
        <v>2028</v>
      </c>
      <c r="C1446" s="85">
        <v>12</v>
      </c>
      <c r="D1446" s="85" t="s">
        <v>77</v>
      </c>
      <c r="E1446" s="85">
        <v>10</v>
      </c>
      <c r="F1446" s="85">
        <v>7</v>
      </c>
      <c r="G1446" s="85">
        <f>--(F1446&lt;=Estimator!$B$7)</f>
        <v>0</v>
      </c>
      <c r="H1446" s="86">
        <f>SUMIFS('Climate Data'!$G$7:$G$366,'Climate Data'!$A$7:$A$366,Estimator!$B$4,'Climate Data'!$B$7:$B$366,C1446)</f>
        <v>0.22688172043010751</v>
      </c>
      <c r="I1446" s="87">
        <f>SUMIFS('Climate Data'!$H$7:$H$366,'Climate Data'!$A$7:$A$366,Estimator!$B$4,'Climate Data'!$B$7:$B$366,C1446)</f>
        <v>6.7962085308056865</v>
      </c>
      <c r="J1446" s="86">
        <f>SUMIFS('Wind Proxy'!$H$8:$H$19,'Wind Proxy'!$A$8:$A$19,Estimator!$B$4,'Wind Proxy'!$B$8:$B$19,C1446)</f>
        <v>0</v>
      </c>
    </row>
    <row r="1447" spans="1:10" ht="14.4">
      <c r="A1447" s="84">
        <v>47098</v>
      </c>
      <c r="B1447" s="85">
        <v>2028</v>
      </c>
      <c r="C1447" s="85">
        <v>12</v>
      </c>
      <c r="D1447" s="85" t="s">
        <v>77</v>
      </c>
      <c r="E1447" s="85">
        <v>11</v>
      </c>
      <c r="F1447" s="85">
        <v>1</v>
      </c>
      <c r="G1447" s="85">
        <f>--(F1447&lt;=Estimator!$B$7)</f>
        <v>1</v>
      </c>
      <c r="H1447" s="86">
        <f>SUMIFS('Climate Data'!$G$7:$G$366,'Climate Data'!$A$7:$A$366,Estimator!$B$4,'Climate Data'!$B$7:$B$366,C1447)</f>
        <v>0.22688172043010751</v>
      </c>
      <c r="I1447" s="87">
        <f>SUMIFS('Climate Data'!$H$7:$H$366,'Climate Data'!$A$7:$A$366,Estimator!$B$4,'Climate Data'!$B$7:$B$366,C1447)</f>
        <v>6.7962085308056865</v>
      </c>
      <c r="J1447" s="86">
        <f>SUMIFS('Wind Proxy'!$H$8:$H$19,'Wind Proxy'!$A$8:$A$19,Estimator!$B$4,'Wind Proxy'!$B$8:$B$19,C1447)</f>
        <v>0</v>
      </c>
    </row>
    <row r="1448" spans="1:10" ht="14.4">
      <c r="A1448" s="84">
        <v>47099</v>
      </c>
      <c r="B1448" s="85">
        <v>2028</v>
      </c>
      <c r="C1448" s="85">
        <v>12</v>
      </c>
      <c r="D1448" s="85" t="s">
        <v>77</v>
      </c>
      <c r="E1448" s="85">
        <v>12</v>
      </c>
      <c r="F1448" s="85">
        <v>2</v>
      </c>
      <c r="G1448" s="85">
        <f>--(F1448&lt;=Estimator!$B$7)</f>
        <v>1</v>
      </c>
      <c r="H1448" s="86">
        <f>SUMIFS('Climate Data'!$G$7:$G$366,'Climate Data'!$A$7:$A$366,Estimator!$B$4,'Climate Data'!$B$7:$B$366,C1448)</f>
        <v>0.22688172043010751</v>
      </c>
      <c r="I1448" s="87">
        <f>SUMIFS('Climate Data'!$H$7:$H$366,'Climate Data'!$A$7:$A$366,Estimator!$B$4,'Climate Data'!$B$7:$B$366,C1448)</f>
        <v>6.7962085308056865</v>
      </c>
      <c r="J1448" s="86">
        <f>SUMIFS('Wind Proxy'!$H$8:$H$19,'Wind Proxy'!$A$8:$A$19,Estimator!$B$4,'Wind Proxy'!$B$8:$B$19,C1448)</f>
        <v>0</v>
      </c>
    </row>
    <row r="1449" spans="1:10" ht="14.4">
      <c r="A1449" s="84">
        <v>47100</v>
      </c>
      <c r="B1449" s="85">
        <v>2028</v>
      </c>
      <c r="C1449" s="85">
        <v>12</v>
      </c>
      <c r="D1449" s="85" t="s">
        <v>77</v>
      </c>
      <c r="E1449" s="85">
        <v>13</v>
      </c>
      <c r="F1449" s="85">
        <v>3</v>
      </c>
      <c r="G1449" s="85">
        <f>--(F1449&lt;=Estimator!$B$7)</f>
        <v>1</v>
      </c>
      <c r="H1449" s="86">
        <f>SUMIFS('Climate Data'!$G$7:$G$366,'Climate Data'!$A$7:$A$366,Estimator!$B$4,'Climate Data'!$B$7:$B$366,C1449)</f>
        <v>0.22688172043010751</v>
      </c>
      <c r="I1449" s="87">
        <f>SUMIFS('Climate Data'!$H$7:$H$366,'Climate Data'!$A$7:$A$366,Estimator!$B$4,'Climate Data'!$B$7:$B$366,C1449)</f>
        <v>6.7962085308056865</v>
      </c>
      <c r="J1449" s="86">
        <f>SUMIFS('Wind Proxy'!$H$8:$H$19,'Wind Proxy'!$A$8:$A$19,Estimator!$B$4,'Wind Proxy'!$B$8:$B$19,C1449)</f>
        <v>0</v>
      </c>
    </row>
    <row r="1450" spans="1:10" ht="14.4">
      <c r="A1450" s="84">
        <v>47101</v>
      </c>
      <c r="B1450" s="85">
        <v>2028</v>
      </c>
      <c r="C1450" s="85">
        <v>12</v>
      </c>
      <c r="D1450" s="85" t="s">
        <v>77</v>
      </c>
      <c r="E1450" s="85">
        <v>14</v>
      </c>
      <c r="F1450" s="85">
        <v>4</v>
      </c>
      <c r="G1450" s="85">
        <f>--(F1450&lt;=Estimator!$B$7)</f>
        <v>1</v>
      </c>
      <c r="H1450" s="86">
        <f>SUMIFS('Climate Data'!$G$7:$G$366,'Climate Data'!$A$7:$A$366,Estimator!$B$4,'Climate Data'!$B$7:$B$366,C1450)</f>
        <v>0.22688172043010751</v>
      </c>
      <c r="I1450" s="87">
        <f>SUMIFS('Climate Data'!$H$7:$H$366,'Climate Data'!$A$7:$A$366,Estimator!$B$4,'Climate Data'!$B$7:$B$366,C1450)</f>
        <v>6.7962085308056865</v>
      </c>
      <c r="J1450" s="86">
        <f>SUMIFS('Wind Proxy'!$H$8:$H$19,'Wind Proxy'!$A$8:$A$19,Estimator!$B$4,'Wind Proxy'!$B$8:$B$19,C1450)</f>
        <v>0</v>
      </c>
    </row>
    <row r="1451" spans="1:10" ht="14.4">
      <c r="A1451" s="84">
        <v>47102</v>
      </c>
      <c r="B1451" s="85">
        <v>2028</v>
      </c>
      <c r="C1451" s="85">
        <v>12</v>
      </c>
      <c r="D1451" s="85" t="s">
        <v>77</v>
      </c>
      <c r="E1451" s="85">
        <v>15</v>
      </c>
      <c r="F1451" s="85">
        <v>5</v>
      </c>
      <c r="G1451" s="85">
        <f>--(F1451&lt;=Estimator!$B$7)</f>
        <v>1</v>
      </c>
      <c r="H1451" s="86">
        <f>SUMIFS('Climate Data'!$G$7:$G$366,'Climate Data'!$A$7:$A$366,Estimator!$B$4,'Climate Data'!$B$7:$B$366,C1451)</f>
        <v>0.22688172043010751</v>
      </c>
      <c r="I1451" s="87">
        <f>SUMIFS('Climate Data'!$H$7:$H$366,'Climate Data'!$A$7:$A$366,Estimator!$B$4,'Climate Data'!$B$7:$B$366,C1451)</f>
        <v>6.7962085308056865</v>
      </c>
      <c r="J1451" s="86">
        <f>SUMIFS('Wind Proxy'!$H$8:$H$19,'Wind Proxy'!$A$8:$A$19,Estimator!$B$4,'Wind Proxy'!$B$8:$B$19,C1451)</f>
        <v>0</v>
      </c>
    </row>
    <row r="1452" spans="1:10" ht="14.4">
      <c r="A1452" s="84">
        <v>47103</v>
      </c>
      <c r="B1452" s="85">
        <v>2028</v>
      </c>
      <c r="C1452" s="85">
        <v>12</v>
      </c>
      <c r="D1452" s="85" t="s">
        <v>77</v>
      </c>
      <c r="E1452" s="85">
        <v>16</v>
      </c>
      <c r="F1452" s="85">
        <v>6</v>
      </c>
      <c r="G1452" s="85">
        <f>--(F1452&lt;=Estimator!$B$7)</f>
        <v>0</v>
      </c>
      <c r="H1452" s="86">
        <f>SUMIFS('Climate Data'!$G$7:$G$366,'Climate Data'!$A$7:$A$366,Estimator!$B$4,'Climate Data'!$B$7:$B$366,C1452)</f>
        <v>0.22688172043010751</v>
      </c>
      <c r="I1452" s="87">
        <f>SUMIFS('Climate Data'!$H$7:$H$366,'Climate Data'!$A$7:$A$366,Estimator!$B$4,'Climate Data'!$B$7:$B$366,C1452)</f>
        <v>6.7962085308056865</v>
      </c>
      <c r="J1452" s="86">
        <f>SUMIFS('Wind Proxy'!$H$8:$H$19,'Wind Proxy'!$A$8:$A$19,Estimator!$B$4,'Wind Proxy'!$B$8:$B$19,C1452)</f>
        <v>0</v>
      </c>
    </row>
    <row r="1453" spans="1:10" ht="14.4">
      <c r="A1453" s="84">
        <v>47104</v>
      </c>
      <c r="B1453" s="85">
        <v>2028</v>
      </c>
      <c r="C1453" s="85">
        <v>12</v>
      </c>
      <c r="D1453" s="85" t="s">
        <v>77</v>
      </c>
      <c r="E1453" s="85">
        <v>17</v>
      </c>
      <c r="F1453" s="85">
        <v>7</v>
      </c>
      <c r="G1453" s="85">
        <f>--(F1453&lt;=Estimator!$B$7)</f>
        <v>0</v>
      </c>
      <c r="H1453" s="86">
        <f>SUMIFS('Climate Data'!$G$7:$G$366,'Climate Data'!$A$7:$A$366,Estimator!$B$4,'Climate Data'!$B$7:$B$366,C1453)</f>
        <v>0.22688172043010751</v>
      </c>
      <c r="I1453" s="87">
        <f>SUMIFS('Climate Data'!$H$7:$H$366,'Climate Data'!$A$7:$A$366,Estimator!$B$4,'Climate Data'!$B$7:$B$366,C1453)</f>
        <v>6.7962085308056865</v>
      </c>
      <c r="J1453" s="86">
        <f>SUMIFS('Wind Proxy'!$H$8:$H$19,'Wind Proxy'!$A$8:$A$19,Estimator!$B$4,'Wind Proxy'!$B$8:$B$19,C1453)</f>
        <v>0</v>
      </c>
    </row>
    <row r="1454" spans="1:10" ht="14.4">
      <c r="A1454" s="84">
        <v>47105</v>
      </c>
      <c r="B1454" s="85">
        <v>2028</v>
      </c>
      <c r="C1454" s="85">
        <v>12</v>
      </c>
      <c r="D1454" s="85" t="s">
        <v>77</v>
      </c>
      <c r="E1454" s="85">
        <v>18</v>
      </c>
      <c r="F1454" s="85">
        <v>1</v>
      </c>
      <c r="G1454" s="85">
        <f>--(F1454&lt;=Estimator!$B$7)</f>
        <v>1</v>
      </c>
      <c r="H1454" s="86">
        <f>SUMIFS('Climate Data'!$G$7:$G$366,'Climate Data'!$A$7:$A$366,Estimator!$B$4,'Climate Data'!$B$7:$B$366,C1454)</f>
        <v>0.22688172043010751</v>
      </c>
      <c r="I1454" s="87">
        <f>SUMIFS('Climate Data'!$H$7:$H$366,'Climate Data'!$A$7:$A$366,Estimator!$B$4,'Climate Data'!$B$7:$B$366,C1454)</f>
        <v>6.7962085308056865</v>
      </c>
      <c r="J1454" s="86">
        <f>SUMIFS('Wind Proxy'!$H$8:$H$19,'Wind Proxy'!$A$8:$A$19,Estimator!$B$4,'Wind Proxy'!$B$8:$B$19,C1454)</f>
        <v>0</v>
      </c>
    </row>
    <row r="1455" spans="1:10" ht="14.4">
      <c r="A1455" s="84">
        <v>47106</v>
      </c>
      <c r="B1455" s="85">
        <v>2028</v>
      </c>
      <c r="C1455" s="85">
        <v>12</v>
      </c>
      <c r="D1455" s="85" t="s">
        <v>77</v>
      </c>
      <c r="E1455" s="85">
        <v>19</v>
      </c>
      <c r="F1455" s="85">
        <v>2</v>
      </c>
      <c r="G1455" s="85">
        <f>--(F1455&lt;=Estimator!$B$7)</f>
        <v>1</v>
      </c>
      <c r="H1455" s="86">
        <f>SUMIFS('Climate Data'!$G$7:$G$366,'Climate Data'!$A$7:$A$366,Estimator!$B$4,'Climate Data'!$B$7:$B$366,C1455)</f>
        <v>0.22688172043010751</v>
      </c>
      <c r="I1455" s="87">
        <f>SUMIFS('Climate Data'!$H$7:$H$366,'Climate Data'!$A$7:$A$366,Estimator!$B$4,'Climate Data'!$B$7:$B$366,C1455)</f>
        <v>6.7962085308056865</v>
      </c>
      <c r="J1455" s="86">
        <f>SUMIFS('Wind Proxy'!$H$8:$H$19,'Wind Proxy'!$A$8:$A$19,Estimator!$B$4,'Wind Proxy'!$B$8:$B$19,C1455)</f>
        <v>0</v>
      </c>
    </row>
    <row r="1456" spans="1:10" ht="14.4">
      <c r="A1456" s="84">
        <v>47107</v>
      </c>
      <c r="B1456" s="85">
        <v>2028</v>
      </c>
      <c r="C1456" s="85">
        <v>12</v>
      </c>
      <c r="D1456" s="85" t="s">
        <v>77</v>
      </c>
      <c r="E1456" s="85">
        <v>20</v>
      </c>
      <c r="F1456" s="85">
        <v>3</v>
      </c>
      <c r="G1456" s="85">
        <f>--(F1456&lt;=Estimator!$B$7)</f>
        <v>1</v>
      </c>
      <c r="H1456" s="86">
        <f>SUMIFS('Climate Data'!$G$7:$G$366,'Climate Data'!$A$7:$A$366,Estimator!$B$4,'Climate Data'!$B$7:$B$366,C1456)</f>
        <v>0.22688172043010751</v>
      </c>
      <c r="I1456" s="87">
        <f>SUMIFS('Climate Data'!$H$7:$H$366,'Climate Data'!$A$7:$A$366,Estimator!$B$4,'Climate Data'!$B$7:$B$366,C1456)</f>
        <v>6.7962085308056865</v>
      </c>
      <c r="J1456" s="86">
        <f>SUMIFS('Wind Proxy'!$H$8:$H$19,'Wind Proxy'!$A$8:$A$19,Estimator!$B$4,'Wind Proxy'!$B$8:$B$19,C1456)</f>
        <v>0</v>
      </c>
    </row>
    <row r="1457" spans="1:10" ht="14.4">
      <c r="A1457" s="84">
        <v>47108</v>
      </c>
      <c r="B1457" s="85">
        <v>2028</v>
      </c>
      <c r="C1457" s="85">
        <v>12</v>
      </c>
      <c r="D1457" s="85" t="s">
        <v>77</v>
      </c>
      <c r="E1457" s="85">
        <v>21</v>
      </c>
      <c r="F1457" s="85">
        <v>4</v>
      </c>
      <c r="G1457" s="85">
        <f>--(F1457&lt;=Estimator!$B$7)</f>
        <v>1</v>
      </c>
      <c r="H1457" s="86">
        <f>SUMIFS('Climate Data'!$G$7:$G$366,'Climate Data'!$A$7:$A$366,Estimator!$B$4,'Climate Data'!$B$7:$B$366,C1457)</f>
        <v>0.22688172043010751</v>
      </c>
      <c r="I1457" s="87">
        <f>SUMIFS('Climate Data'!$H$7:$H$366,'Climate Data'!$A$7:$A$366,Estimator!$B$4,'Climate Data'!$B$7:$B$366,C1457)</f>
        <v>6.7962085308056865</v>
      </c>
      <c r="J1457" s="86">
        <f>SUMIFS('Wind Proxy'!$H$8:$H$19,'Wind Proxy'!$A$8:$A$19,Estimator!$B$4,'Wind Proxy'!$B$8:$B$19,C1457)</f>
        <v>0</v>
      </c>
    </row>
    <row r="1458" spans="1:10" ht="14.4">
      <c r="A1458" s="84">
        <v>47109</v>
      </c>
      <c r="B1458" s="85">
        <v>2028</v>
      </c>
      <c r="C1458" s="85">
        <v>12</v>
      </c>
      <c r="D1458" s="85" t="s">
        <v>77</v>
      </c>
      <c r="E1458" s="85">
        <v>22</v>
      </c>
      <c r="F1458" s="85">
        <v>5</v>
      </c>
      <c r="G1458" s="85">
        <f>--(F1458&lt;=Estimator!$B$7)</f>
        <v>1</v>
      </c>
      <c r="H1458" s="86">
        <f>SUMIFS('Climate Data'!$G$7:$G$366,'Climate Data'!$A$7:$A$366,Estimator!$B$4,'Climate Data'!$B$7:$B$366,C1458)</f>
        <v>0.22688172043010751</v>
      </c>
      <c r="I1458" s="87">
        <f>SUMIFS('Climate Data'!$H$7:$H$366,'Climate Data'!$A$7:$A$366,Estimator!$B$4,'Climate Data'!$B$7:$B$366,C1458)</f>
        <v>6.7962085308056865</v>
      </c>
      <c r="J1458" s="86">
        <f>SUMIFS('Wind Proxy'!$H$8:$H$19,'Wind Proxy'!$A$8:$A$19,Estimator!$B$4,'Wind Proxy'!$B$8:$B$19,C1458)</f>
        <v>0</v>
      </c>
    </row>
    <row r="1459" spans="1:10" ht="14.4">
      <c r="A1459" s="84">
        <v>47110</v>
      </c>
      <c r="B1459" s="85">
        <v>2028</v>
      </c>
      <c r="C1459" s="85">
        <v>12</v>
      </c>
      <c r="D1459" s="85" t="s">
        <v>77</v>
      </c>
      <c r="E1459" s="85">
        <v>23</v>
      </c>
      <c r="F1459" s="85">
        <v>6</v>
      </c>
      <c r="G1459" s="85">
        <f>--(F1459&lt;=Estimator!$B$7)</f>
        <v>0</v>
      </c>
      <c r="H1459" s="86">
        <f>SUMIFS('Climate Data'!$G$7:$G$366,'Climate Data'!$A$7:$A$366,Estimator!$B$4,'Climate Data'!$B$7:$B$366,C1459)</f>
        <v>0.22688172043010751</v>
      </c>
      <c r="I1459" s="87">
        <f>SUMIFS('Climate Data'!$H$7:$H$366,'Climate Data'!$A$7:$A$366,Estimator!$B$4,'Climate Data'!$B$7:$B$366,C1459)</f>
        <v>6.7962085308056865</v>
      </c>
      <c r="J1459" s="86">
        <f>SUMIFS('Wind Proxy'!$H$8:$H$19,'Wind Proxy'!$A$8:$A$19,Estimator!$B$4,'Wind Proxy'!$B$8:$B$19,C1459)</f>
        <v>0</v>
      </c>
    </row>
    <row r="1460" spans="1:10" ht="14.4">
      <c r="A1460" s="84">
        <v>47111</v>
      </c>
      <c r="B1460" s="85">
        <v>2028</v>
      </c>
      <c r="C1460" s="85">
        <v>12</v>
      </c>
      <c r="D1460" s="85" t="s">
        <v>77</v>
      </c>
      <c r="E1460" s="85">
        <v>24</v>
      </c>
      <c r="F1460" s="85">
        <v>7</v>
      </c>
      <c r="G1460" s="85">
        <f>--(F1460&lt;=Estimator!$B$7)</f>
        <v>0</v>
      </c>
      <c r="H1460" s="86">
        <f>SUMIFS('Climate Data'!$G$7:$G$366,'Climate Data'!$A$7:$A$366,Estimator!$B$4,'Climate Data'!$B$7:$B$366,C1460)</f>
        <v>0.22688172043010751</v>
      </c>
      <c r="I1460" s="87">
        <f>SUMIFS('Climate Data'!$H$7:$H$366,'Climate Data'!$A$7:$A$366,Estimator!$B$4,'Climate Data'!$B$7:$B$366,C1460)</f>
        <v>6.7962085308056865</v>
      </c>
      <c r="J1460" s="86">
        <f>SUMIFS('Wind Proxy'!$H$8:$H$19,'Wind Proxy'!$A$8:$A$19,Estimator!$B$4,'Wind Proxy'!$B$8:$B$19,C1460)</f>
        <v>0</v>
      </c>
    </row>
    <row r="1461" spans="1:10" ht="14.4">
      <c r="A1461" s="84">
        <v>47112</v>
      </c>
      <c r="B1461" s="85">
        <v>2028</v>
      </c>
      <c r="C1461" s="85">
        <v>12</v>
      </c>
      <c r="D1461" s="85" t="s">
        <v>77</v>
      </c>
      <c r="E1461" s="85">
        <v>25</v>
      </c>
      <c r="F1461" s="85">
        <v>1</v>
      </c>
      <c r="G1461" s="85">
        <f>--(F1461&lt;=Estimator!$B$7)</f>
        <v>1</v>
      </c>
      <c r="H1461" s="86">
        <f>SUMIFS('Climate Data'!$G$7:$G$366,'Climate Data'!$A$7:$A$366,Estimator!$B$4,'Climate Data'!$B$7:$B$366,C1461)</f>
        <v>0.22688172043010751</v>
      </c>
      <c r="I1461" s="87">
        <f>SUMIFS('Climate Data'!$H$7:$H$366,'Climate Data'!$A$7:$A$366,Estimator!$B$4,'Climate Data'!$B$7:$B$366,C1461)</f>
        <v>6.7962085308056865</v>
      </c>
      <c r="J1461" s="86">
        <f>SUMIFS('Wind Proxy'!$H$8:$H$19,'Wind Proxy'!$A$8:$A$19,Estimator!$B$4,'Wind Proxy'!$B$8:$B$19,C1461)</f>
        <v>0</v>
      </c>
    </row>
    <row r="1462" spans="1:10" ht="14.4">
      <c r="A1462" s="84">
        <v>47113</v>
      </c>
      <c r="B1462" s="85">
        <v>2028</v>
      </c>
      <c r="C1462" s="85">
        <v>12</v>
      </c>
      <c r="D1462" s="85" t="s">
        <v>77</v>
      </c>
      <c r="E1462" s="85">
        <v>26</v>
      </c>
      <c r="F1462" s="85">
        <v>2</v>
      </c>
      <c r="G1462" s="85">
        <f>--(F1462&lt;=Estimator!$B$7)</f>
        <v>1</v>
      </c>
      <c r="H1462" s="86">
        <f>SUMIFS('Climate Data'!$G$7:$G$366,'Climate Data'!$A$7:$A$366,Estimator!$B$4,'Climate Data'!$B$7:$B$366,C1462)</f>
        <v>0.22688172043010751</v>
      </c>
      <c r="I1462" s="87">
        <f>SUMIFS('Climate Data'!$H$7:$H$366,'Climate Data'!$A$7:$A$366,Estimator!$B$4,'Climate Data'!$B$7:$B$366,C1462)</f>
        <v>6.7962085308056865</v>
      </c>
      <c r="J1462" s="86">
        <f>SUMIFS('Wind Proxy'!$H$8:$H$19,'Wind Proxy'!$A$8:$A$19,Estimator!$B$4,'Wind Proxy'!$B$8:$B$19,C1462)</f>
        <v>0</v>
      </c>
    </row>
    <row r="1463" spans="1:10" ht="14.4">
      <c r="A1463" s="84">
        <v>47114</v>
      </c>
      <c r="B1463" s="85">
        <v>2028</v>
      </c>
      <c r="C1463" s="85">
        <v>12</v>
      </c>
      <c r="D1463" s="85" t="s">
        <v>77</v>
      </c>
      <c r="E1463" s="85">
        <v>27</v>
      </c>
      <c r="F1463" s="85">
        <v>3</v>
      </c>
      <c r="G1463" s="85">
        <f>--(F1463&lt;=Estimator!$B$7)</f>
        <v>1</v>
      </c>
      <c r="H1463" s="86">
        <f>SUMIFS('Climate Data'!$G$7:$G$366,'Climate Data'!$A$7:$A$366,Estimator!$B$4,'Climate Data'!$B$7:$B$366,C1463)</f>
        <v>0.22688172043010751</v>
      </c>
      <c r="I1463" s="87">
        <f>SUMIFS('Climate Data'!$H$7:$H$366,'Climate Data'!$A$7:$A$366,Estimator!$B$4,'Climate Data'!$B$7:$B$366,C1463)</f>
        <v>6.7962085308056865</v>
      </c>
      <c r="J1463" s="86">
        <f>SUMIFS('Wind Proxy'!$H$8:$H$19,'Wind Proxy'!$A$8:$A$19,Estimator!$B$4,'Wind Proxy'!$B$8:$B$19,C1463)</f>
        <v>0</v>
      </c>
    </row>
    <row r="1464" spans="1:10" ht="14.4">
      <c r="A1464" s="84">
        <v>47115</v>
      </c>
      <c r="B1464" s="85">
        <v>2028</v>
      </c>
      <c r="C1464" s="85">
        <v>12</v>
      </c>
      <c r="D1464" s="85" t="s">
        <v>77</v>
      </c>
      <c r="E1464" s="85">
        <v>28</v>
      </c>
      <c r="F1464" s="85">
        <v>4</v>
      </c>
      <c r="G1464" s="85">
        <f>--(F1464&lt;=Estimator!$B$7)</f>
        <v>1</v>
      </c>
      <c r="H1464" s="86">
        <f>SUMIFS('Climate Data'!$G$7:$G$366,'Climate Data'!$A$7:$A$366,Estimator!$B$4,'Climate Data'!$B$7:$B$366,C1464)</f>
        <v>0.22688172043010751</v>
      </c>
      <c r="I1464" s="87">
        <f>SUMIFS('Climate Data'!$H$7:$H$366,'Climate Data'!$A$7:$A$366,Estimator!$B$4,'Climate Data'!$B$7:$B$366,C1464)</f>
        <v>6.7962085308056865</v>
      </c>
      <c r="J1464" s="86">
        <f>SUMIFS('Wind Proxy'!$H$8:$H$19,'Wind Proxy'!$A$8:$A$19,Estimator!$B$4,'Wind Proxy'!$B$8:$B$19,C1464)</f>
        <v>0</v>
      </c>
    </row>
    <row r="1465" spans="1:10" ht="14.4">
      <c r="A1465" s="84">
        <v>47116</v>
      </c>
      <c r="B1465" s="85">
        <v>2028</v>
      </c>
      <c r="C1465" s="85">
        <v>12</v>
      </c>
      <c r="D1465" s="85" t="s">
        <v>77</v>
      </c>
      <c r="E1465" s="85">
        <v>29</v>
      </c>
      <c r="F1465" s="85">
        <v>5</v>
      </c>
      <c r="G1465" s="85">
        <f>--(F1465&lt;=Estimator!$B$7)</f>
        <v>1</v>
      </c>
      <c r="H1465" s="86">
        <f>SUMIFS('Climate Data'!$G$7:$G$366,'Climate Data'!$A$7:$A$366,Estimator!$B$4,'Climate Data'!$B$7:$B$366,C1465)</f>
        <v>0.22688172043010751</v>
      </c>
      <c r="I1465" s="87">
        <f>SUMIFS('Climate Data'!$H$7:$H$366,'Climate Data'!$A$7:$A$366,Estimator!$B$4,'Climate Data'!$B$7:$B$366,C1465)</f>
        <v>6.7962085308056865</v>
      </c>
      <c r="J1465" s="86">
        <f>SUMIFS('Wind Proxy'!$H$8:$H$19,'Wind Proxy'!$A$8:$A$19,Estimator!$B$4,'Wind Proxy'!$B$8:$B$19,C1465)</f>
        <v>0</v>
      </c>
    </row>
    <row r="1466" spans="1:10" ht="14.4">
      <c r="A1466" s="84">
        <v>47117</v>
      </c>
      <c r="B1466" s="85">
        <v>2028</v>
      </c>
      <c r="C1466" s="85">
        <v>12</v>
      </c>
      <c r="D1466" s="85" t="s">
        <v>77</v>
      </c>
      <c r="E1466" s="85">
        <v>30</v>
      </c>
      <c r="F1466" s="85">
        <v>6</v>
      </c>
      <c r="G1466" s="85">
        <f>--(F1466&lt;=Estimator!$B$7)</f>
        <v>0</v>
      </c>
      <c r="H1466" s="86">
        <f>SUMIFS('Climate Data'!$G$7:$G$366,'Climate Data'!$A$7:$A$366,Estimator!$B$4,'Climate Data'!$B$7:$B$366,C1466)</f>
        <v>0.22688172043010751</v>
      </c>
      <c r="I1466" s="87">
        <f>SUMIFS('Climate Data'!$H$7:$H$366,'Climate Data'!$A$7:$A$366,Estimator!$B$4,'Climate Data'!$B$7:$B$366,C1466)</f>
        <v>6.7962085308056865</v>
      </c>
      <c r="J1466" s="86">
        <f>SUMIFS('Wind Proxy'!$H$8:$H$19,'Wind Proxy'!$A$8:$A$19,Estimator!$B$4,'Wind Proxy'!$B$8:$B$19,C1466)</f>
        <v>0</v>
      </c>
    </row>
    <row r="1467" spans="1:10" ht="14.4">
      <c r="A1467" s="84">
        <v>47118</v>
      </c>
      <c r="B1467" s="85">
        <v>2028</v>
      </c>
      <c r="C1467" s="85">
        <v>12</v>
      </c>
      <c r="D1467" s="85" t="s">
        <v>77</v>
      </c>
      <c r="E1467" s="85">
        <v>31</v>
      </c>
      <c r="F1467" s="85">
        <v>7</v>
      </c>
      <c r="G1467" s="85">
        <f>--(F1467&lt;=Estimator!$B$7)</f>
        <v>0</v>
      </c>
      <c r="H1467" s="86">
        <f>SUMIFS('Climate Data'!$G$7:$G$366,'Climate Data'!$A$7:$A$366,Estimator!$B$4,'Climate Data'!$B$7:$B$366,C1467)</f>
        <v>0.22688172043010751</v>
      </c>
      <c r="I1467" s="87">
        <f>SUMIFS('Climate Data'!$H$7:$H$366,'Climate Data'!$A$7:$A$366,Estimator!$B$4,'Climate Data'!$B$7:$B$366,C1467)</f>
        <v>6.7962085308056865</v>
      </c>
      <c r="J1467" s="86">
        <f>SUMIFS('Wind Proxy'!$H$8:$H$19,'Wind Proxy'!$A$8:$A$19,Estimator!$B$4,'Wind Proxy'!$B$8:$B$19,C1467)</f>
        <v>0</v>
      </c>
    </row>
    <row r="1468" spans="1:10" ht="14.4">
      <c r="A1468" s="84">
        <v>47119</v>
      </c>
      <c r="B1468" s="85">
        <v>2029</v>
      </c>
      <c r="C1468" s="85">
        <v>1</v>
      </c>
      <c r="D1468" s="85" t="s">
        <v>55</v>
      </c>
      <c r="E1468" s="85">
        <v>1</v>
      </c>
      <c r="F1468" s="85">
        <v>1</v>
      </c>
      <c r="G1468" s="85">
        <f>--(F1468&lt;=Estimator!$B$7)</f>
        <v>1</v>
      </c>
      <c r="H1468" s="86">
        <f>SUMIFS('Climate Data'!$G$7:$G$366,'Climate Data'!$A$7:$A$366,Estimator!$B$4,'Climate Data'!$B$7:$B$366,C1468)</f>
        <v>0.19462365591397848</v>
      </c>
      <c r="I1468" s="87">
        <f>SUMIFS('Climate Data'!$H$7:$H$366,'Climate Data'!$A$7:$A$366,Estimator!$B$4,'Climate Data'!$B$7:$B$366,C1468)</f>
        <v>7.027624309392265</v>
      </c>
      <c r="J1468" s="86">
        <f>SUMIFS('Wind Proxy'!$H$8:$H$19,'Wind Proxy'!$A$8:$A$19,Estimator!$B$4,'Wind Proxy'!$B$8:$B$19,C1468)</f>
        <v>0</v>
      </c>
    </row>
    <row r="1469" spans="1:10" ht="14.4">
      <c r="A1469" s="84">
        <v>47120</v>
      </c>
      <c r="B1469" s="85">
        <v>2029</v>
      </c>
      <c r="C1469" s="85">
        <v>1</v>
      </c>
      <c r="D1469" s="85" t="s">
        <v>55</v>
      </c>
      <c r="E1469" s="85">
        <v>2</v>
      </c>
      <c r="F1469" s="85">
        <v>2</v>
      </c>
      <c r="G1469" s="85">
        <f>--(F1469&lt;=Estimator!$B$7)</f>
        <v>1</v>
      </c>
      <c r="H1469" s="86">
        <f>SUMIFS('Climate Data'!$G$7:$G$366,'Climate Data'!$A$7:$A$366,Estimator!$B$4,'Climate Data'!$B$7:$B$366,C1469)</f>
        <v>0.19462365591397848</v>
      </c>
      <c r="I1469" s="87">
        <f>SUMIFS('Climate Data'!$H$7:$H$366,'Climate Data'!$A$7:$A$366,Estimator!$B$4,'Climate Data'!$B$7:$B$366,C1469)</f>
        <v>7.027624309392265</v>
      </c>
      <c r="J1469" s="86">
        <f>SUMIFS('Wind Proxy'!$H$8:$H$19,'Wind Proxy'!$A$8:$A$19,Estimator!$B$4,'Wind Proxy'!$B$8:$B$19,C1469)</f>
        <v>0</v>
      </c>
    </row>
    <row r="1470" spans="1:10" ht="14.4">
      <c r="A1470" s="84">
        <v>47121</v>
      </c>
      <c r="B1470" s="85">
        <v>2029</v>
      </c>
      <c r="C1470" s="85">
        <v>1</v>
      </c>
      <c r="D1470" s="85" t="s">
        <v>55</v>
      </c>
      <c r="E1470" s="85">
        <v>3</v>
      </c>
      <c r="F1470" s="85">
        <v>3</v>
      </c>
      <c r="G1470" s="85">
        <f>--(F1470&lt;=Estimator!$B$7)</f>
        <v>1</v>
      </c>
      <c r="H1470" s="86">
        <f>SUMIFS('Climate Data'!$G$7:$G$366,'Climate Data'!$A$7:$A$366,Estimator!$B$4,'Climate Data'!$B$7:$B$366,C1470)</f>
        <v>0.19462365591397848</v>
      </c>
      <c r="I1470" s="87">
        <f>SUMIFS('Climate Data'!$H$7:$H$366,'Climate Data'!$A$7:$A$366,Estimator!$B$4,'Climate Data'!$B$7:$B$366,C1470)</f>
        <v>7.027624309392265</v>
      </c>
      <c r="J1470" s="86">
        <f>SUMIFS('Wind Proxy'!$H$8:$H$19,'Wind Proxy'!$A$8:$A$19,Estimator!$B$4,'Wind Proxy'!$B$8:$B$19,C1470)</f>
        <v>0</v>
      </c>
    </row>
    <row r="1471" spans="1:10" ht="14.4">
      <c r="A1471" s="84">
        <v>47122</v>
      </c>
      <c r="B1471" s="85">
        <v>2029</v>
      </c>
      <c r="C1471" s="85">
        <v>1</v>
      </c>
      <c r="D1471" s="85" t="s">
        <v>55</v>
      </c>
      <c r="E1471" s="85">
        <v>4</v>
      </c>
      <c r="F1471" s="85">
        <v>4</v>
      </c>
      <c r="G1471" s="85">
        <f>--(F1471&lt;=Estimator!$B$7)</f>
        <v>1</v>
      </c>
      <c r="H1471" s="86">
        <f>SUMIFS('Climate Data'!$G$7:$G$366,'Climate Data'!$A$7:$A$366,Estimator!$B$4,'Climate Data'!$B$7:$B$366,C1471)</f>
        <v>0.19462365591397848</v>
      </c>
      <c r="I1471" s="87">
        <f>SUMIFS('Climate Data'!$H$7:$H$366,'Climate Data'!$A$7:$A$366,Estimator!$B$4,'Climate Data'!$B$7:$B$366,C1471)</f>
        <v>7.027624309392265</v>
      </c>
      <c r="J1471" s="86">
        <f>SUMIFS('Wind Proxy'!$H$8:$H$19,'Wind Proxy'!$A$8:$A$19,Estimator!$B$4,'Wind Proxy'!$B$8:$B$19,C1471)</f>
        <v>0</v>
      </c>
    </row>
    <row r="1472" spans="1:10" ht="14.4">
      <c r="A1472" s="84">
        <v>47123</v>
      </c>
      <c r="B1472" s="85">
        <v>2029</v>
      </c>
      <c r="C1472" s="85">
        <v>1</v>
      </c>
      <c r="D1472" s="85" t="s">
        <v>55</v>
      </c>
      <c r="E1472" s="85">
        <v>5</v>
      </c>
      <c r="F1472" s="85">
        <v>5</v>
      </c>
      <c r="G1472" s="85">
        <f>--(F1472&lt;=Estimator!$B$7)</f>
        <v>1</v>
      </c>
      <c r="H1472" s="86">
        <f>SUMIFS('Climate Data'!$G$7:$G$366,'Climate Data'!$A$7:$A$366,Estimator!$B$4,'Climate Data'!$B$7:$B$366,C1472)</f>
        <v>0.19462365591397848</v>
      </c>
      <c r="I1472" s="87">
        <f>SUMIFS('Climate Data'!$H$7:$H$366,'Climate Data'!$A$7:$A$366,Estimator!$B$4,'Climate Data'!$B$7:$B$366,C1472)</f>
        <v>7.027624309392265</v>
      </c>
      <c r="J1472" s="86">
        <f>SUMIFS('Wind Proxy'!$H$8:$H$19,'Wind Proxy'!$A$8:$A$19,Estimator!$B$4,'Wind Proxy'!$B$8:$B$19,C1472)</f>
        <v>0</v>
      </c>
    </row>
    <row r="1473" spans="1:10" ht="14.4">
      <c r="A1473" s="84">
        <v>47124</v>
      </c>
      <c r="B1473" s="85">
        <v>2029</v>
      </c>
      <c r="C1473" s="85">
        <v>1</v>
      </c>
      <c r="D1473" s="85" t="s">
        <v>55</v>
      </c>
      <c r="E1473" s="85">
        <v>6</v>
      </c>
      <c r="F1473" s="85">
        <v>6</v>
      </c>
      <c r="G1473" s="85">
        <f>--(F1473&lt;=Estimator!$B$7)</f>
        <v>0</v>
      </c>
      <c r="H1473" s="86">
        <f>SUMIFS('Climate Data'!$G$7:$G$366,'Climate Data'!$A$7:$A$366,Estimator!$B$4,'Climate Data'!$B$7:$B$366,C1473)</f>
        <v>0.19462365591397848</v>
      </c>
      <c r="I1473" s="87">
        <f>SUMIFS('Climate Data'!$H$7:$H$366,'Climate Data'!$A$7:$A$366,Estimator!$B$4,'Climate Data'!$B$7:$B$366,C1473)</f>
        <v>7.027624309392265</v>
      </c>
      <c r="J1473" s="86">
        <f>SUMIFS('Wind Proxy'!$H$8:$H$19,'Wind Proxy'!$A$8:$A$19,Estimator!$B$4,'Wind Proxy'!$B$8:$B$19,C1473)</f>
        <v>0</v>
      </c>
    </row>
    <row r="1474" spans="1:10" ht="14.4">
      <c r="A1474" s="84">
        <v>47125</v>
      </c>
      <c r="B1474" s="85">
        <v>2029</v>
      </c>
      <c r="C1474" s="85">
        <v>1</v>
      </c>
      <c r="D1474" s="85" t="s">
        <v>55</v>
      </c>
      <c r="E1474" s="85">
        <v>7</v>
      </c>
      <c r="F1474" s="85">
        <v>7</v>
      </c>
      <c r="G1474" s="85">
        <f>--(F1474&lt;=Estimator!$B$7)</f>
        <v>0</v>
      </c>
      <c r="H1474" s="86">
        <f>SUMIFS('Climate Data'!$G$7:$G$366,'Climate Data'!$A$7:$A$366,Estimator!$B$4,'Climate Data'!$B$7:$B$366,C1474)</f>
        <v>0.19462365591397848</v>
      </c>
      <c r="I1474" s="87">
        <f>SUMIFS('Climate Data'!$H$7:$H$366,'Climate Data'!$A$7:$A$366,Estimator!$B$4,'Climate Data'!$B$7:$B$366,C1474)</f>
        <v>7.027624309392265</v>
      </c>
      <c r="J1474" s="86">
        <f>SUMIFS('Wind Proxy'!$H$8:$H$19,'Wind Proxy'!$A$8:$A$19,Estimator!$B$4,'Wind Proxy'!$B$8:$B$19,C1474)</f>
        <v>0</v>
      </c>
    </row>
    <row r="1475" spans="1:10" ht="14.4">
      <c r="A1475" s="84">
        <v>47126</v>
      </c>
      <c r="B1475" s="85">
        <v>2029</v>
      </c>
      <c r="C1475" s="85">
        <v>1</v>
      </c>
      <c r="D1475" s="85" t="s">
        <v>55</v>
      </c>
      <c r="E1475" s="85">
        <v>8</v>
      </c>
      <c r="F1475" s="85">
        <v>1</v>
      </c>
      <c r="G1475" s="85">
        <f>--(F1475&lt;=Estimator!$B$7)</f>
        <v>1</v>
      </c>
      <c r="H1475" s="86">
        <f>SUMIFS('Climate Data'!$G$7:$G$366,'Climate Data'!$A$7:$A$366,Estimator!$B$4,'Climate Data'!$B$7:$B$366,C1475)</f>
        <v>0.19462365591397848</v>
      </c>
      <c r="I1475" s="87">
        <f>SUMIFS('Climate Data'!$H$7:$H$366,'Climate Data'!$A$7:$A$366,Estimator!$B$4,'Climate Data'!$B$7:$B$366,C1475)</f>
        <v>7.027624309392265</v>
      </c>
      <c r="J1475" s="86">
        <f>SUMIFS('Wind Proxy'!$H$8:$H$19,'Wind Proxy'!$A$8:$A$19,Estimator!$B$4,'Wind Proxy'!$B$8:$B$19,C1475)</f>
        <v>0</v>
      </c>
    </row>
    <row r="1476" spans="1:10" ht="14.4">
      <c r="A1476" s="84">
        <v>47127</v>
      </c>
      <c r="B1476" s="85">
        <v>2029</v>
      </c>
      <c r="C1476" s="85">
        <v>1</v>
      </c>
      <c r="D1476" s="85" t="s">
        <v>55</v>
      </c>
      <c r="E1476" s="85">
        <v>9</v>
      </c>
      <c r="F1476" s="85">
        <v>2</v>
      </c>
      <c r="G1476" s="85">
        <f>--(F1476&lt;=Estimator!$B$7)</f>
        <v>1</v>
      </c>
      <c r="H1476" s="86">
        <f>SUMIFS('Climate Data'!$G$7:$G$366,'Climate Data'!$A$7:$A$366,Estimator!$B$4,'Climate Data'!$B$7:$B$366,C1476)</f>
        <v>0.19462365591397848</v>
      </c>
      <c r="I1476" s="87">
        <f>SUMIFS('Climate Data'!$H$7:$H$366,'Climate Data'!$A$7:$A$366,Estimator!$B$4,'Climate Data'!$B$7:$B$366,C1476)</f>
        <v>7.027624309392265</v>
      </c>
      <c r="J1476" s="86">
        <f>SUMIFS('Wind Proxy'!$H$8:$H$19,'Wind Proxy'!$A$8:$A$19,Estimator!$B$4,'Wind Proxy'!$B$8:$B$19,C1476)</f>
        <v>0</v>
      </c>
    </row>
    <row r="1477" spans="1:10" ht="14.4">
      <c r="A1477" s="84">
        <v>47128</v>
      </c>
      <c r="B1477" s="85">
        <v>2029</v>
      </c>
      <c r="C1477" s="85">
        <v>1</v>
      </c>
      <c r="D1477" s="85" t="s">
        <v>55</v>
      </c>
      <c r="E1477" s="85">
        <v>10</v>
      </c>
      <c r="F1477" s="85">
        <v>3</v>
      </c>
      <c r="G1477" s="85">
        <f>--(F1477&lt;=Estimator!$B$7)</f>
        <v>1</v>
      </c>
      <c r="H1477" s="86">
        <f>SUMIFS('Climate Data'!$G$7:$G$366,'Climate Data'!$A$7:$A$366,Estimator!$B$4,'Climate Data'!$B$7:$B$366,C1477)</f>
        <v>0.19462365591397848</v>
      </c>
      <c r="I1477" s="87">
        <f>SUMIFS('Climate Data'!$H$7:$H$366,'Climate Data'!$A$7:$A$366,Estimator!$B$4,'Climate Data'!$B$7:$B$366,C1477)</f>
        <v>7.027624309392265</v>
      </c>
      <c r="J1477" s="86">
        <f>SUMIFS('Wind Proxy'!$H$8:$H$19,'Wind Proxy'!$A$8:$A$19,Estimator!$B$4,'Wind Proxy'!$B$8:$B$19,C1477)</f>
        <v>0</v>
      </c>
    </row>
    <row r="1478" spans="1:10" ht="14.4">
      <c r="A1478" s="84">
        <v>47129</v>
      </c>
      <c r="B1478" s="85">
        <v>2029</v>
      </c>
      <c r="C1478" s="85">
        <v>1</v>
      </c>
      <c r="D1478" s="85" t="s">
        <v>55</v>
      </c>
      <c r="E1478" s="85">
        <v>11</v>
      </c>
      <c r="F1478" s="85">
        <v>4</v>
      </c>
      <c r="G1478" s="85">
        <f>--(F1478&lt;=Estimator!$B$7)</f>
        <v>1</v>
      </c>
      <c r="H1478" s="86">
        <f>SUMIFS('Climate Data'!$G$7:$G$366,'Climate Data'!$A$7:$A$366,Estimator!$B$4,'Climate Data'!$B$7:$B$366,C1478)</f>
        <v>0.19462365591397848</v>
      </c>
      <c r="I1478" s="87">
        <f>SUMIFS('Climate Data'!$H$7:$H$366,'Climate Data'!$A$7:$A$366,Estimator!$B$4,'Climate Data'!$B$7:$B$366,C1478)</f>
        <v>7.027624309392265</v>
      </c>
      <c r="J1478" s="86">
        <f>SUMIFS('Wind Proxy'!$H$8:$H$19,'Wind Proxy'!$A$8:$A$19,Estimator!$B$4,'Wind Proxy'!$B$8:$B$19,C1478)</f>
        <v>0</v>
      </c>
    </row>
    <row r="1479" spans="1:10" ht="14.4">
      <c r="A1479" s="84">
        <v>47130</v>
      </c>
      <c r="B1479" s="85">
        <v>2029</v>
      </c>
      <c r="C1479" s="85">
        <v>1</v>
      </c>
      <c r="D1479" s="85" t="s">
        <v>55</v>
      </c>
      <c r="E1479" s="85">
        <v>12</v>
      </c>
      <c r="F1479" s="85">
        <v>5</v>
      </c>
      <c r="G1479" s="85">
        <f>--(F1479&lt;=Estimator!$B$7)</f>
        <v>1</v>
      </c>
      <c r="H1479" s="86">
        <f>SUMIFS('Climate Data'!$G$7:$G$366,'Climate Data'!$A$7:$A$366,Estimator!$B$4,'Climate Data'!$B$7:$B$366,C1479)</f>
        <v>0.19462365591397848</v>
      </c>
      <c r="I1479" s="87">
        <f>SUMIFS('Climate Data'!$H$7:$H$366,'Climate Data'!$A$7:$A$366,Estimator!$B$4,'Climate Data'!$B$7:$B$366,C1479)</f>
        <v>7.027624309392265</v>
      </c>
      <c r="J1479" s="86">
        <f>SUMIFS('Wind Proxy'!$H$8:$H$19,'Wind Proxy'!$A$8:$A$19,Estimator!$B$4,'Wind Proxy'!$B$8:$B$19,C1479)</f>
        <v>0</v>
      </c>
    </row>
    <row r="1480" spans="1:10" ht="14.4">
      <c r="A1480" s="84">
        <v>47131</v>
      </c>
      <c r="B1480" s="85">
        <v>2029</v>
      </c>
      <c r="C1480" s="85">
        <v>1</v>
      </c>
      <c r="D1480" s="85" t="s">
        <v>55</v>
      </c>
      <c r="E1480" s="85">
        <v>13</v>
      </c>
      <c r="F1480" s="85">
        <v>6</v>
      </c>
      <c r="G1480" s="85">
        <f>--(F1480&lt;=Estimator!$B$7)</f>
        <v>0</v>
      </c>
      <c r="H1480" s="86">
        <f>SUMIFS('Climate Data'!$G$7:$G$366,'Climate Data'!$A$7:$A$366,Estimator!$B$4,'Climate Data'!$B$7:$B$366,C1480)</f>
        <v>0.19462365591397848</v>
      </c>
      <c r="I1480" s="87">
        <f>SUMIFS('Climate Data'!$H$7:$H$366,'Climate Data'!$A$7:$A$366,Estimator!$B$4,'Climate Data'!$B$7:$B$366,C1480)</f>
        <v>7.027624309392265</v>
      </c>
      <c r="J1480" s="86">
        <f>SUMIFS('Wind Proxy'!$H$8:$H$19,'Wind Proxy'!$A$8:$A$19,Estimator!$B$4,'Wind Proxy'!$B$8:$B$19,C1480)</f>
        <v>0</v>
      </c>
    </row>
    <row r="1481" spans="1:10" ht="14.4">
      <c r="A1481" s="84">
        <v>47132</v>
      </c>
      <c r="B1481" s="85">
        <v>2029</v>
      </c>
      <c r="C1481" s="85">
        <v>1</v>
      </c>
      <c r="D1481" s="85" t="s">
        <v>55</v>
      </c>
      <c r="E1481" s="85">
        <v>14</v>
      </c>
      <c r="F1481" s="85">
        <v>7</v>
      </c>
      <c r="G1481" s="85">
        <f>--(F1481&lt;=Estimator!$B$7)</f>
        <v>0</v>
      </c>
      <c r="H1481" s="86">
        <f>SUMIFS('Climate Data'!$G$7:$G$366,'Climate Data'!$A$7:$A$366,Estimator!$B$4,'Climate Data'!$B$7:$B$366,C1481)</f>
        <v>0.19462365591397848</v>
      </c>
      <c r="I1481" s="87">
        <f>SUMIFS('Climate Data'!$H$7:$H$366,'Climate Data'!$A$7:$A$366,Estimator!$B$4,'Climate Data'!$B$7:$B$366,C1481)</f>
        <v>7.027624309392265</v>
      </c>
      <c r="J1481" s="86">
        <f>SUMIFS('Wind Proxy'!$H$8:$H$19,'Wind Proxy'!$A$8:$A$19,Estimator!$B$4,'Wind Proxy'!$B$8:$B$19,C1481)</f>
        <v>0</v>
      </c>
    </row>
    <row r="1482" spans="1:10" ht="14.4">
      <c r="A1482" s="84">
        <v>47133</v>
      </c>
      <c r="B1482" s="85">
        <v>2029</v>
      </c>
      <c r="C1482" s="85">
        <v>1</v>
      </c>
      <c r="D1482" s="85" t="s">
        <v>55</v>
      </c>
      <c r="E1482" s="85">
        <v>15</v>
      </c>
      <c r="F1482" s="85">
        <v>1</v>
      </c>
      <c r="G1482" s="85">
        <f>--(F1482&lt;=Estimator!$B$7)</f>
        <v>1</v>
      </c>
      <c r="H1482" s="86">
        <f>SUMIFS('Climate Data'!$G$7:$G$366,'Climate Data'!$A$7:$A$366,Estimator!$B$4,'Climate Data'!$B$7:$B$366,C1482)</f>
        <v>0.19462365591397848</v>
      </c>
      <c r="I1482" s="87">
        <f>SUMIFS('Climate Data'!$H$7:$H$366,'Climate Data'!$A$7:$A$366,Estimator!$B$4,'Climate Data'!$B$7:$B$366,C1482)</f>
        <v>7.027624309392265</v>
      </c>
      <c r="J1482" s="86">
        <f>SUMIFS('Wind Proxy'!$H$8:$H$19,'Wind Proxy'!$A$8:$A$19,Estimator!$B$4,'Wind Proxy'!$B$8:$B$19,C1482)</f>
        <v>0</v>
      </c>
    </row>
    <row r="1483" spans="1:10" ht="14.4">
      <c r="A1483" s="84">
        <v>47134</v>
      </c>
      <c r="B1483" s="85">
        <v>2029</v>
      </c>
      <c r="C1483" s="85">
        <v>1</v>
      </c>
      <c r="D1483" s="85" t="s">
        <v>55</v>
      </c>
      <c r="E1483" s="85">
        <v>16</v>
      </c>
      <c r="F1483" s="85">
        <v>2</v>
      </c>
      <c r="G1483" s="85">
        <f>--(F1483&lt;=Estimator!$B$7)</f>
        <v>1</v>
      </c>
      <c r="H1483" s="86">
        <f>SUMIFS('Climate Data'!$G$7:$G$366,'Climate Data'!$A$7:$A$366,Estimator!$B$4,'Climate Data'!$B$7:$B$366,C1483)</f>
        <v>0.19462365591397848</v>
      </c>
      <c r="I1483" s="87">
        <f>SUMIFS('Climate Data'!$H$7:$H$366,'Climate Data'!$A$7:$A$366,Estimator!$B$4,'Climate Data'!$B$7:$B$366,C1483)</f>
        <v>7.027624309392265</v>
      </c>
      <c r="J1483" s="86">
        <f>SUMIFS('Wind Proxy'!$H$8:$H$19,'Wind Proxy'!$A$8:$A$19,Estimator!$B$4,'Wind Proxy'!$B$8:$B$19,C1483)</f>
        <v>0</v>
      </c>
    </row>
    <row r="1484" spans="1:10" ht="14.4">
      <c r="A1484" s="84">
        <v>47135</v>
      </c>
      <c r="B1484" s="85">
        <v>2029</v>
      </c>
      <c r="C1484" s="85">
        <v>1</v>
      </c>
      <c r="D1484" s="85" t="s">
        <v>55</v>
      </c>
      <c r="E1484" s="85">
        <v>17</v>
      </c>
      <c r="F1484" s="85">
        <v>3</v>
      </c>
      <c r="G1484" s="85">
        <f>--(F1484&lt;=Estimator!$B$7)</f>
        <v>1</v>
      </c>
      <c r="H1484" s="86">
        <f>SUMIFS('Climate Data'!$G$7:$G$366,'Climate Data'!$A$7:$A$366,Estimator!$B$4,'Climate Data'!$B$7:$B$366,C1484)</f>
        <v>0.19462365591397848</v>
      </c>
      <c r="I1484" s="87">
        <f>SUMIFS('Climate Data'!$H$7:$H$366,'Climate Data'!$A$7:$A$366,Estimator!$B$4,'Climate Data'!$B$7:$B$366,C1484)</f>
        <v>7.027624309392265</v>
      </c>
      <c r="J1484" s="86">
        <f>SUMIFS('Wind Proxy'!$H$8:$H$19,'Wind Proxy'!$A$8:$A$19,Estimator!$B$4,'Wind Proxy'!$B$8:$B$19,C1484)</f>
        <v>0</v>
      </c>
    </row>
    <row r="1485" spans="1:10" ht="14.4">
      <c r="A1485" s="84">
        <v>47136</v>
      </c>
      <c r="B1485" s="85">
        <v>2029</v>
      </c>
      <c r="C1485" s="85">
        <v>1</v>
      </c>
      <c r="D1485" s="85" t="s">
        <v>55</v>
      </c>
      <c r="E1485" s="85">
        <v>18</v>
      </c>
      <c r="F1485" s="85">
        <v>4</v>
      </c>
      <c r="G1485" s="85">
        <f>--(F1485&lt;=Estimator!$B$7)</f>
        <v>1</v>
      </c>
      <c r="H1485" s="86">
        <f>SUMIFS('Climate Data'!$G$7:$G$366,'Climate Data'!$A$7:$A$366,Estimator!$B$4,'Climate Data'!$B$7:$B$366,C1485)</f>
        <v>0.19462365591397848</v>
      </c>
      <c r="I1485" s="87">
        <f>SUMIFS('Climate Data'!$H$7:$H$366,'Climate Data'!$A$7:$A$366,Estimator!$B$4,'Climate Data'!$B$7:$B$366,C1485)</f>
        <v>7.027624309392265</v>
      </c>
      <c r="J1485" s="86">
        <f>SUMIFS('Wind Proxy'!$H$8:$H$19,'Wind Proxy'!$A$8:$A$19,Estimator!$B$4,'Wind Proxy'!$B$8:$B$19,C1485)</f>
        <v>0</v>
      </c>
    </row>
    <row r="1486" spans="1:10" ht="14.4">
      <c r="A1486" s="84">
        <v>47137</v>
      </c>
      <c r="B1486" s="85">
        <v>2029</v>
      </c>
      <c r="C1486" s="85">
        <v>1</v>
      </c>
      <c r="D1486" s="85" t="s">
        <v>55</v>
      </c>
      <c r="E1486" s="85">
        <v>19</v>
      </c>
      <c r="F1486" s="85">
        <v>5</v>
      </c>
      <c r="G1486" s="85">
        <f>--(F1486&lt;=Estimator!$B$7)</f>
        <v>1</v>
      </c>
      <c r="H1486" s="86">
        <f>SUMIFS('Climate Data'!$G$7:$G$366,'Climate Data'!$A$7:$A$366,Estimator!$B$4,'Climate Data'!$B$7:$B$366,C1486)</f>
        <v>0.19462365591397848</v>
      </c>
      <c r="I1486" s="87">
        <f>SUMIFS('Climate Data'!$H$7:$H$366,'Climate Data'!$A$7:$A$366,Estimator!$B$4,'Climate Data'!$B$7:$B$366,C1486)</f>
        <v>7.027624309392265</v>
      </c>
      <c r="J1486" s="86">
        <f>SUMIFS('Wind Proxy'!$H$8:$H$19,'Wind Proxy'!$A$8:$A$19,Estimator!$B$4,'Wind Proxy'!$B$8:$B$19,C1486)</f>
        <v>0</v>
      </c>
    </row>
    <row r="1487" spans="1:10" ht="14.4">
      <c r="A1487" s="84">
        <v>47138</v>
      </c>
      <c r="B1487" s="85">
        <v>2029</v>
      </c>
      <c r="C1487" s="85">
        <v>1</v>
      </c>
      <c r="D1487" s="85" t="s">
        <v>55</v>
      </c>
      <c r="E1487" s="85">
        <v>20</v>
      </c>
      <c r="F1487" s="85">
        <v>6</v>
      </c>
      <c r="G1487" s="85">
        <f>--(F1487&lt;=Estimator!$B$7)</f>
        <v>0</v>
      </c>
      <c r="H1487" s="86">
        <f>SUMIFS('Climate Data'!$G$7:$G$366,'Climate Data'!$A$7:$A$366,Estimator!$B$4,'Climate Data'!$B$7:$B$366,C1487)</f>
        <v>0.19462365591397848</v>
      </c>
      <c r="I1487" s="87">
        <f>SUMIFS('Climate Data'!$H$7:$H$366,'Climate Data'!$A$7:$A$366,Estimator!$B$4,'Climate Data'!$B$7:$B$366,C1487)</f>
        <v>7.027624309392265</v>
      </c>
      <c r="J1487" s="86">
        <f>SUMIFS('Wind Proxy'!$H$8:$H$19,'Wind Proxy'!$A$8:$A$19,Estimator!$B$4,'Wind Proxy'!$B$8:$B$19,C1487)</f>
        <v>0</v>
      </c>
    </row>
    <row r="1488" spans="1:10" ht="14.4">
      <c r="A1488" s="84">
        <v>47139</v>
      </c>
      <c r="B1488" s="85">
        <v>2029</v>
      </c>
      <c r="C1488" s="85">
        <v>1</v>
      </c>
      <c r="D1488" s="85" t="s">
        <v>55</v>
      </c>
      <c r="E1488" s="85">
        <v>21</v>
      </c>
      <c r="F1488" s="85">
        <v>7</v>
      </c>
      <c r="G1488" s="85">
        <f>--(F1488&lt;=Estimator!$B$7)</f>
        <v>0</v>
      </c>
      <c r="H1488" s="86">
        <f>SUMIFS('Climate Data'!$G$7:$G$366,'Climate Data'!$A$7:$A$366,Estimator!$B$4,'Climate Data'!$B$7:$B$366,C1488)</f>
        <v>0.19462365591397848</v>
      </c>
      <c r="I1488" s="87">
        <f>SUMIFS('Climate Data'!$H$7:$H$366,'Climate Data'!$A$7:$A$366,Estimator!$B$4,'Climate Data'!$B$7:$B$366,C1488)</f>
        <v>7.027624309392265</v>
      </c>
      <c r="J1488" s="86">
        <f>SUMIFS('Wind Proxy'!$H$8:$H$19,'Wind Proxy'!$A$8:$A$19,Estimator!$B$4,'Wind Proxy'!$B$8:$B$19,C1488)</f>
        <v>0</v>
      </c>
    </row>
    <row r="1489" spans="1:10" ht="14.4">
      <c r="A1489" s="84">
        <v>47140</v>
      </c>
      <c r="B1489" s="85">
        <v>2029</v>
      </c>
      <c r="C1489" s="85">
        <v>1</v>
      </c>
      <c r="D1489" s="85" t="s">
        <v>55</v>
      </c>
      <c r="E1489" s="85">
        <v>22</v>
      </c>
      <c r="F1489" s="85">
        <v>1</v>
      </c>
      <c r="G1489" s="85">
        <f>--(F1489&lt;=Estimator!$B$7)</f>
        <v>1</v>
      </c>
      <c r="H1489" s="86">
        <f>SUMIFS('Climate Data'!$G$7:$G$366,'Climate Data'!$A$7:$A$366,Estimator!$B$4,'Climate Data'!$B$7:$B$366,C1489)</f>
        <v>0.19462365591397848</v>
      </c>
      <c r="I1489" s="87">
        <f>SUMIFS('Climate Data'!$H$7:$H$366,'Climate Data'!$A$7:$A$366,Estimator!$B$4,'Climate Data'!$B$7:$B$366,C1489)</f>
        <v>7.027624309392265</v>
      </c>
      <c r="J1489" s="86">
        <f>SUMIFS('Wind Proxy'!$H$8:$H$19,'Wind Proxy'!$A$8:$A$19,Estimator!$B$4,'Wind Proxy'!$B$8:$B$19,C1489)</f>
        <v>0</v>
      </c>
    </row>
    <row r="1490" spans="1:10" ht="14.4">
      <c r="A1490" s="84">
        <v>47141</v>
      </c>
      <c r="B1490" s="85">
        <v>2029</v>
      </c>
      <c r="C1490" s="85">
        <v>1</v>
      </c>
      <c r="D1490" s="85" t="s">
        <v>55</v>
      </c>
      <c r="E1490" s="85">
        <v>23</v>
      </c>
      <c r="F1490" s="85">
        <v>2</v>
      </c>
      <c r="G1490" s="85">
        <f>--(F1490&lt;=Estimator!$B$7)</f>
        <v>1</v>
      </c>
      <c r="H1490" s="86">
        <f>SUMIFS('Climate Data'!$G$7:$G$366,'Climate Data'!$A$7:$A$366,Estimator!$B$4,'Climate Data'!$B$7:$B$366,C1490)</f>
        <v>0.19462365591397848</v>
      </c>
      <c r="I1490" s="87">
        <f>SUMIFS('Climate Data'!$H$7:$H$366,'Climate Data'!$A$7:$A$366,Estimator!$B$4,'Climate Data'!$B$7:$B$366,C1490)</f>
        <v>7.027624309392265</v>
      </c>
      <c r="J1490" s="86">
        <f>SUMIFS('Wind Proxy'!$H$8:$H$19,'Wind Proxy'!$A$8:$A$19,Estimator!$B$4,'Wind Proxy'!$B$8:$B$19,C1490)</f>
        <v>0</v>
      </c>
    </row>
    <row r="1491" spans="1:10" ht="14.4">
      <c r="A1491" s="84">
        <v>47142</v>
      </c>
      <c r="B1491" s="85">
        <v>2029</v>
      </c>
      <c r="C1491" s="85">
        <v>1</v>
      </c>
      <c r="D1491" s="85" t="s">
        <v>55</v>
      </c>
      <c r="E1491" s="85">
        <v>24</v>
      </c>
      <c r="F1491" s="85">
        <v>3</v>
      </c>
      <c r="G1491" s="85">
        <f>--(F1491&lt;=Estimator!$B$7)</f>
        <v>1</v>
      </c>
      <c r="H1491" s="86">
        <f>SUMIFS('Climate Data'!$G$7:$G$366,'Climate Data'!$A$7:$A$366,Estimator!$B$4,'Climate Data'!$B$7:$B$366,C1491)</f>
        <v>0.19462365591397848</v>
      </c>
      <c r="I1491" s="87">
        <f>SUMIFS('Climate Data'!$H$7:$H$366,'Climate Data'!$A$7:$A$366,Estimator!$B$4,'Climate Data'!$B$7:$B$366,C1491)</f>
        <v>7.027624309392265</v>
      </c>
      <c r="J1491" s="86">
        <f>SUMIFS('Wind Proxy'!$H$8:$H$19,'Wind Proxy'!$A$8:$A$19,Estimator!$B$4,'Wind Proxy'!$B$8:$B$19,C1491)</f>
        <v>0</v>
      </c>
    </row>
    <row r="1492" spans="1:10" ht="14.4">
      <c r="A1492" s="84">
        <v>47143</v>
      </c>
      <c r="B1492" s="85">
        <v>2029</v>
      </c>
      <c r="C1492" s="85">
        <v>1</v>
      </c>
      <c r="D1492" s="85" t="s">
        <v>55</v>
      </c>
      <c r="E1492" s="85">
        <v>25</v>
      </c>
      <c r="F1492" s="85">
        <v>4</v>
      </c>
      <c r="G1492" s="85">
        <f>--(F1492&lt;=Estimator!$B$7)</f>
        <v>1</v>
      </c>
      <c r="H1492" s="86">
        <f>SUMIFS('Climate Data'!$G$7:$G$366,'Climate Data'!$A$7:$A$366,Estimator!$B$4,'Climate Data'!$B$7:$B$366,C1492)</f>
        <v>0.19462365591397848</v>
      </c>
      <c r="I1492" s="87">
        <f>SUMIFS('Climate Data'!$H$7:$H$366,'Climate Data'!$A$7:$A$366,Estimator!$B$4,'Climate Data'!$B$7:$B$366,C1492)</f>
        <v>7.027624309392265</v>
      </c>
      <c r="J1492" s="86">
        <f>SUMIFS('Wind Proxy'!$H$8:$H$19,'Wind Proxy'!$A$8:$A$19,Estimator!$B$4,'Wind Proxy'!$B$8:$B$19,C1492)</f>
        <v>0</v>
      </c>
    </row>
    <row r="1493" spans="1:10" ht="14.4">
      <c r="A1493" s="84">
        <v>47144</v>
      </c>
      <c r="B1493" s="85">
        <v>2029</v>
      </c>
      <c r="C1493" s="85">
        <v>1</v>
      </c>
      <c r="D1493" s="85" t="s">
        <v>55</v>
      </c>
      <c r="E1493" s="85">
        <v>26</v>
      </c>
      <c r="F1493" s="85">
        <v>5</v>
      </c>
      <c r="G1493" s="85">
        <f>--(F1493&lt;=Estimator!$B$7)</f>
        <v>1</v>
      </c>
      <c r="H1493" s="86">
        <f>SUMIFS('Climate Data'!$G$7:$G$366,'Climate Data'!$A$7:$A$366,Estimator!$B$4,'Climate Data'!$B$7:$B$366,C1493)</f>
        <v>0.19462365591397848</v>
      </c>
      <c r="I1493" s="87">
        <f>SUMIFS('Climate Data'!$H$7:$H$366,'Climate Data'!$A$7:$A$366,Estimator!$B$4,'Climate Data'!$B$7:$B$366,C1493)</f>
        <v>7.027624309392265</v>
      </c>
      <c r="J1493" s="86">
        <f>SUMIFS('Wind Proxy'!$H$8:$H$19,'Wind Proxy'!$A$8:$A$19,Estimator!$B$4,'Wind Proxy'!$B$8:$B$19,C1493)</f>
        <v>0</v>
      </c>
    </row>
    <row r="1494" spans="1:10" ht="14.4">
      <c r="A1494" s="84">
        <v>47145</v>
      </c>
      <c r="B1494" s="85">
        <v>2029</v>
      </c>
      <c r="C1494" s="85">
        <v>1</v>
      </c>
      <c r="D1494" s="85" t="s">
        <v>55</v>
      </c>
      <c r="E1494" s="85">
        <v>27</v>
      </c>
      <c r="F1494" s="85">
        <v>6</v>
      </c>
      <c r="G1494" s="85">
        <f>--(F1494&lt;=Estimator!$B$7)</f>
        <v>0</v>
      </c>
      <c r="H1494" s="86">
        <f>SUMIFS('Climate Data'!$G$7:$G$366,'Climate Data'!$A$7:$A$366,Estimator!$B$4,'Climate Data'!$B$7:$B$366,C1494)</f>
        <v>0.19462365591397848</v>
      </c>
      <c r="I1494" s="87">
        <f>SUMIFS('Climate Data'!$H$7:$H$366,'Climate Data'!$A$7:$A$366,Estimator!$B$4,'Climate Data'!$B$7:$B$366,C1494)</f>
        <v>7.027624309392265</v>
      </c>
      <c r="J1494" s="86">
        <f>SUMIFS('Wind Proxy'!$H$8:$H$19,'Wind Proxy'!$A$8:$A$19,Estimator!$B$4,'Wind Proxy'!$B$8:$B$19,C1494)</f>
        <v>0</v>
      </c>
    </row>
    <row r="1495" spans="1:10" ht="14.4">
      <c r="A1495" s="84">
        <v>47146</v>
      </c>
      <c r="B1495" s="85">
        <v>2029</v>
      </c>
      <c r="C1495" s="85">
        <v>1</v>
      </c>
      <c r="D1495" s="85" t="s">
        <v>55</v>
      </c>
      <c r="E1495" s="85">
        <v>28</v>
      </c>
      <c r="F1495" s="85">
        <v>7</v>
      </c>
      <c r="G1495" s="85">
        <f>--(F1495&lt;=Estimator!$B$7)</f>
        <v>0</v>
      </c>
      <c r="H1495" s="86">
        <f>SUMIFS('Climate Data'!$G$7:$G$366,'Climate Data'!$A$7:$A$366,Estimator!$B$4,'Climate Data'!$B$7:$B$366,C1495)</f>
        <v>0.19462365591397848</v>
      </c>
      <c r="I1495" s="87">
        <f>SUMIFS('Climate Data'!$H$7:$H$366,'Climate Data'!$A$7:$A$366,Estimator!$B$4,'Climate Data'!$B$7:$B$366,C1495)</f>
        <v>7.027624309392265</v>
      </c>
      <c r="J1495" s="86">
        <f>SUMIFS('Wind Proxy'!$H$8:$H$19,'Wind Proxy'!$A$8:$A$19,Estimator!$B$4,'Wind Proxy'!$B$8:$B$19,C1495)</f>
        <v>0</v>
      </c>
    </row>
    <row r="1496" spans="1:10" ht="14.4">
      <c r="A1496" s="84">
        <v>47147</v>
      </c>
      <c r="B1496" s="85">
        <v>2029</v>
      </c>
      <c r="C1496" s="85">
        <v>1</v>
      </c>
      <c r="D1496" s="85" t="s">
        <v>55</v>
      </c>
      <c r="E1496" s="85">
        <v>29</v>
      </c>
      <c r="F1496" s="85">
        <v>1</v>
      </c>
      <c r="G1496" s="85">
        <f>--(F1496&lt;=Estimator!$B$7)</f>
        <v>1</v>
      </c>
      <c r="H1496" s="86">
        <f>SUMIFS('Climate Data'!$G$7:$G$366,'Climate Data'!$A$7:$A$366,Estimator!$B$4,'Climate Data'!$B$7:$B$366,C1496)</f>
        <v>0.19462365591397848</v>
      </c>
      <c r="I1496" s="87">
        <f>SUMIFS('Climate Data'!$H$7:$H$366,'Climate Data'!$A$7:$A$366,Estimator!$B$4,'Climate Data'!$B$7:$B$366,C1496)</f>
        <v>7.027624309392265</v>
      </c>
      <c r="J1496" s="86">
        <f>SUMIFS('Wind Proxy'!$H$8:$H$19,'Wind Proxy'!$A$8:$A$19,Estimator!$B$4,'Wind Proxy'!$B$8:$B$19,C1496)</f>
        <v>0</v>
      </c>
    </row>
    <row r="1497" spans="1:10" ht="14.4">
      <c r="A1497" s="84">
        <v>47148</v>
      </c>
      <c r="B1497" s="85">
        <v>2029</v>
      </c>
      <c r="C1497" s="85">
        <v>1</v>
      </c>
      <c r="D1497" s="85" t="s">
        <v>55</v>
      </c>
      <c r="E1497" s="85">
        <v>30</v>
      </c>
      <c r="F1497" s="85">
        <v>2</v>
      </c>
      <c r="G1497" s="85">
        <f>--(F1497&lt;=Estimator!$B$7)</f>
        <v>1</v>
      </c>
      <c r="H1497" s="86">
        <f>SUMIFS('Climate Data'!$G$7:$G$366,'Climate Data'!$A$7:$A$366,Estimator!$B$4,'Climate Data'!$B$7:$B$366,C1497)</f>
        <v>0.19462365591397848</v>
      </c>
      <c r="I1497" s="87">
        <f>SUMIFS('Climate Data'!$H$7:$H$366,'Climate Data'!$A$7:$A$366,Estimator!$B$4,'Climate Data'!$B$7:$B$366,C1497)</f>
        <v>7.027624309392265</v>
      </c>
      <c r="J1497" s="86">
        <f>SUMIFS('Wind Proxy'!$H$8:$H$19,'Wind Proxy'!$A$8:$A$19,Estimator!$B$4,'Wind Proxy'!$B$8:$B$19,C1497)</f>
        <v>0</v>
      </c>
    </row>
    <row r="1498" spans="1:10" ht="14.4">
      <c r="A1498" s="84">
        <v>47149</v>
      </c>
      <c r="B1498" s="85">
        <v>2029</v>
      </c>
      <c r="C1498" s="85">
        <v>1</v>
      </c>
      <c r="D1498" s="85" t="s">
        <v>55</v>
      </c>
      <c r="E1498" s="85">
        <v>31</v>
      </c>
      <c r="F1498" s="85">
        <v>3</v>
      </c>
      <c r="G1498" s="85">
        <f>--(F1498&lt;=Estimator!$B$7)</f>
        <v>1</v>
      </c>
      <c r="H1498" s="86">
        <f>SUMIFS('Climate Data'!$G$7:$G$366,'Climate Data'!$A$7:$A$366,Estimator!$B$4,'Climate Data'!$B$7:$B$366,C1498)</f>
        <v>0.19462365591397848</v>
      </c>
      <c r="I1498" s="87">
        <f>SUMIFS('Climate Data'!$H$7:$H$366,'Climate Data'!$A$7:$A$366,Estimator!$B$4,'Climate Data'!$B$7:$B$366,C1498)</f>
        <v>7.027624309392265</v>
      </c>
      <c r="J1498" s="86">
        <f>SUMIFS('Wind Proxy'!$H$8:$H$19,'Wind Proxy'!$A$8:$A$19,Estimator!$B$4,'Wind Proxy'!$B$8:$B$19,C1498)</f>
        <v>0</v>
      </c>
    </row>
    <row r="1499" spans="1:10" ht="14.4">
      <c r="A1499" s="84">
        <v>47150</v>
      </c>
      <c r="B1499" s="85">
        <v>2029</v>
      </c>
      <c r="C1499" s="85">
        <v>2</v>
      </c>
      <c r="D1499" s="85" t="s">
        <v>58</v>
      </c>
      <c r="E1499" s="85">
        <v>1</v>
      </c>
      <c r="F1499" s="85">
        <v>4</v>
      </c>
      <c r="G1499" s="85">
        <f>--(F1499&lt;=Estimator!$B$7)</f>
        <v>1</v>
      </c>
      <c r="H1499" s="86">
        <f>SUMIFS('Climate Data'!$G$7:$G$366,'Climate Data'!$A$7:$A$366,Estimator!$B$4,'Climate Data'!$B$7:$B$366,C1499)</f>
        <v>0.18867924528301885</v>
      </c>
      <c r="I1499" s="87">
        <f>SUMIFS('Climate Data'!$H$7:$H$366,'Climate Data'!$A$7:$A$366,Estimator!$B$4,'Climate Data'!$B$7:$B$366,C1499)</f>
        <v>7.4624999999999995</v>
      </c>
      <c r="J1499" s="86">
        <f>SUMIFS('Wind Proxy'!$H$8:$H$19,'Wind Proxy'!$A$8:$A$19,Estimator!$B$4,'Wind Proxy'!$B$8:$B$19,C1499)</f>
        <v>0</v>
      </c>
    </row>
    <row r="1500" spans="1:10" ht="14.4">
      <c r="A1500" s="84">
        <v>47151</v>
      </c>
      <c r="B1500" s="85">
        <v>2029</v>
      </c>
      <c r="C1500" s="85">
        <v>2</v>
      </c>
      <c r="D1500" s="85" t="s">
        <v>58</v>
      </c>
      <c r="E1500" s="85">
        <v>2</v>
      </c>
      <c r="F1500" s="85">
        <v>5</v>
      </c>
      <c r="G1500" s="85">
        <f>--(F1500&lt;=Estimator!$B$7)</f>
        <v>1</v>
      </c>
      <c r="H1500" s="86">
        <f>SUMIFS('Climate Data'!$G$7:$G$366,'Climate Data'!$A$7:$A$366,Estimator!$B$4,'Climate Data'!$B$7:$B$366,C1500)</f>
        <v>0.18867924528301885</v>
      </c>
      <c r="I1500" s="87">
        <f>SUMIFS('Climate Data'!$H$7:$H$366,'Climate Data'!$A$7:$A$366,Estimator!$B$4,'Climate Data'!$B$7:$B$366,C1500)</f>
        <v>7.4624999999999995</v>
      </c>
      <c r="J1500" s="86">
        <f>SUMIFS('Wind Proxy'!$H$8:$H$19,'Wind Proxy'!$A$8:$A$19,Estimator!$B$4,'Wind Proxy'!$B$8:$B$19,C1500)</f>
        <v>0</v>
      </c>
    </row>
    <row r="1501" spans="1:10" ht="14.4">
      <c r="A1501" s="84">
        <v>47152</v>
      </c>
      <c r="B1501" s="85">
        <v>2029</v>
      </c>
      <c r="C1501" s="85">
        <v>2</v>
      </c>
      <c r="D1501" s="85" t="s">
        <v>58</v>
      </c>
      <c r="E1501" s="85">
        <v>3</v>
      </c>
      <c r="F1501" s="85">
        <v>6</v>
      </c>
      <c r="G1501" s="85">
        <f>--(F1501&lt;=Estimator!$B$7)</f>
        <v>0</v>
      </c>
      <c r="H1501" s="86">
        <f>SUMIFS('Climate Data'!$G$7:$G$366,'Climate Data'!$A$7:$A$366,Estimator!$B$4,'Climate Data'!$B$7:$B$366,C1501)</f>
        <v>0.18867924528301885</v>
      </c>
      <c r="I1501" s="87">
        <f>SUMIFS('Climate Data'!$H$7:$H$366,'Climate Data'!$A$7:$A$366,Estimator!$B$4,'Climate Data'!$B$7:$B$366,C1501)</f>
        <v>7.4624999999999995</v>
      </c>
      <c r="J1501" s="86">
        <f>SUMIFS('Wind Proxy'!$H$8:$H$19,'Wind Proxy'!$A$8:$A$19,Estimator!$B$4,'Wind Proxy'!$B$8:$B$19,C1501)</f>
        <v>0</v>
      </c>
    </row>
    <row r="1502" spans="1:10" ht="14.4">
      <c r="A1502" s="84">
        <v>47153</v>
      </c>
      <c r="B1502" s="85">
        <v>2029</v>
      </c>
      <c r="C1502" s="85">
        <v>2</v>
      </c>
      <c r="D1502" s="85" t="s">
        <v>58</v>
      </c>
      <c r="E1502" s="85">
        <v>4</v>
      </c>
      <c r="F1502" s="85">
        <v>7</v>
      </c>
      <c r="G1502" s="85">
        <f>--(F1502&lt;=Estimator!$B$7)</f>
        <v>0</v>
      </c>
      <c r="H1502" s="86">
        <f>SUMIFS('Climate Data'!$G$7:$G$366,'Climate Data'!$A$7:$A$366,Estimator!$B$4,'Climate Data'!$B$7:$B$366,C1502)</f>
        <v>0.18867924528301885</v>
      </c>
      <c r="I1502" s="87">
        <f>SUMIFS('Climate Data'!$H$7:$H$366,'Climate Data'!$A$7:$A$366,Estimator!$B$4,'Climate Data'!$B$7:$B$366,C1502)</f>
        <v>7.4624999999999995</v>
      </c>
      <c r="J1502" s="86">
        <f>SUMIFS('Wind Proxy'!$H$8:$H$19,'Wind Proxy'!$A$8:$A$19,Estimator!$B$4,'Wind Proxy'!$B$8:$B$19,C1502)</f>
        <v>0</v>
      </c>
    </row>
    <row r="1503" spans="1:10" ht="14.4">
      <c r="A1503" s="84">
        <v>47154</v>
      </c>
      <c r="B1503" s="85">
        <v>2029</v>
      </c>
      <c r="C1503" s="85">
        <v>2</v>
      </c>
      <c r="D1503" s="85" t="s">
        <v>58</v>
      </c>
      <c r="E1503" s="85">
        <v>5</v>
      </c>
      <c r="F1503" s="85">
        <v>1</v>
      </c>
      <c r="G1503" s="85">
        <f>--(F1503&lt;=Estimator!$B$7)</f>
        <v>1</v>
      </c>
      <c r="H1503" s="86">
        <f>SUMIFS('Climate Data'!$G$7:$G$366,'Climate Data'!$A$7:$A$366,Estimator!$B$4,'Climate Data'!$B$7:$B$366,C1503)</f>
        <v>0.18867924528301885</v>
      </c>
      <c r="I1503" s="87">
        <f>SUMIFS('Climate Data'!$H$7:$H$366,'Climate Data'!$A$7:$A$366,Estimator!$B$4,'Climate Data'!$B$7:$B$366,C1503)</f>
        <v>7.4624999999999995</v>
      </c>
      <c r="J1503" s="86">
        <f>SUMIFS('Wind Proxy'!$H$8:$H$19,'Wind Proxy'!$A$8:$A$19,Estimator!$B$4,'Wind Proxy'!$B$8:$B$19,C1503)</f>
        <v>0</v>
      </c>
    </row>
    <row r="1504" spans="1:10" ht="14.4">
      <c r="A1504" s="84">
        <v>47155</v>
      </c>
      <c r="B1504" s="85">
        <v>2029</v>
      </c>
      <c r="C1504" s="85">
        <v>2</v>
      </c>
      <c r="D1504" s="85" t="s">
        <v>58</v>
      </c>
      <c r="E1504" s="85">
        <v>6</v>
      </c>
      <c r="F1504" s="85">
        <v>2</v>
      </c>
      <c r="G1504" s="85">
        <f>--(F1504&lt;=Estimator!$B$7)</f>
        <v>1</v>
      </c>
      <c r="H1504" s="86">
        <f>SUMIFS('Climate Data'!$G$7:$G$366,'Climate Data'!$A$7:$A$366,Estimator!$B$4,'Climate Data'!$B$7:$B$366,C1504)</f>
        <v>0.18867924528301885</v>
      </c>
      <c r="I1504" s="87">
        <f>SUMIFS('Climate Data'!$H$7:$H$366,'Climate Data'!$A$7:$A$366,Estimator!$B$4,'Climate Data'!$B$7:$B$366,C1504)</f>
        <v>7.4624999999999995</v>
      </c>
      <c r="J1504" s="86">
        <f>SUMIFS('Wind Proxy'!$H$8:$H$19,'Wind Proxy'!$A$8:$A$19,Estimator!$B$4,'Wind Proxy'!$B$8:$B$19,C1504)</f>
        <v>0</v>
      </c>
    </row>
    <row r="1505" spans="1:10" ht="14.4">
      <c r="A1505" s="84">
        <v>47156</v>
      </c>
      <c r="B1505" s="85">
        <v>2029</v>
      </c>
      <c r="C1505" s="85">
        <v>2</v>
      </c>
      <c r="D1505" s="85" t="s">
        <v>58</v>
      </c>
      <c r="E1505" s="85">
        <v>7</v>
      </c>
      <c r="F1505" s="85">
        <v>3</v>
      </c>
      <c r="G1505" s="85">
        <f>--(F1505&lt;=Estimator!$B$7)</f>
        <v>1</v>
      </c>
      <c r="H1505" s="86">
        <f>SUMIFS('Climate Data'!$G$7:$G$366,'Climate Data'!$A$7:$A$366,Estimator!$B$4,'Climate Data'!$B$7:$B$366,C1505)</f>
        <v>0.18867924528301885</v>
      </c>
      <c r="I1505" s="87">
        <f>SUMIFS('Climate Data'!$H$7:$H$366,'Climate Data'!$A$7:$A$366,Estimator!$B$4,'Climate Data'!$B$7:$B$366,C1505)</f>
        <v>7.4624999999999995</v>
      </c>
      <c r="J1505" s="86">
        <f>SUMIFS('Wind Proxy'!$H$8:$H$19,'Wind Proxy'!$A$8:$A$19,Estimator!$B$4,'Wind Proxy'!$B$8:$B$19,C1505)</f>
        <v>0</v>
      </c>
    </row>
    <row r="1506" spans="1:10" ht="14.4">
      <c r="A1506" s="84">
        <v>47157</v>
      </c>
      <c r="B1506" s="85">
        <v>2029</v>
      </c>
      <c r="C1506" s="85">
        <v>2</v>
      </c>
      <c r="D1506" s="85" t="s">
        <v>58</v>
      </c>
      <c r="E1506" s="85">
        <v>8</v>
      </c>
      <c r="F1506" s="85">
        <v>4</v>
      </c>
      <c r="G1506" s="85">
        <f>--(F1506&lt;=Estimator!$B$7)</f>
        <v>1</v>
      </c>
      <c r="H1506" s="86">
        <f>SUMIFS('Climate Data'!$G$7:$G$366,'Climate Data'!$A$7:$A$366,Estimator!$B$4,'Climate Data'!$B$7:$B$366,C1506)</f>
        <v>0.18867924528301885</v>
      </c>
      <c r="I1506" s="87">
        <f>SUMIFS('Climate Data'!$H$7:$H$366,'Climate Data'!$A$7:$A$366,Estimator!$B$4,'Climate Data'!$B$7:$B$366,C1506)</f>
        <v>7.4624999999999995</v>
      </c>
      <c r="J1506" s="86">
        <f>SUMIFS('Wind Proxy'!$H$8:$H$19,'Wind Proxy'!$A$8:$A$19,Estimator!$B$4,'Wind Proxy'!$B$8:$B$19,C1506)</f>
        <v>0</v>
      </c>
    </row>
    <row r="1507" spans="1:10" ht="14.4">
      <c r="A1507" s="84">
        <v>47158</v>
      </c>
      <c r="B1507" s="85">
        <v>2029</v>
      </c>
      <c r="C1507" s="85">
        <v>2</v>
      </c>
      <c r="D1507" s="85" t="s">
        <v>58</v>
      </c>
      <c r="E1507" s="85">
        <v>9</v>
      </c>
      <c r="F1507" s="85">
        <v>5</v>
      </c>
      <c r="G1507" s="85">
        <f>--(F1507&lt;=Estimator!$B$7)</f>
        <v>1</v>
      </c>
      <c r="H1507" s="86">
        <f>SUMIFS('Climate Data'!$G$7:$G$366,'Climate Data'!$A$7:$A$366,Estimator!$B$4,'Climate Data'!$B$7:$B$366,C1507)</f>
        <v>0.18867924528301885</v>
      </c>
      <c r="I1507" s="87">
        <f>SUMIFS('Climate Data'!$H$7:$H$366,'Climate Data'!$A$7:$A$366,Estimator!$B$4,'Climate Data'!$B$7:$B$366,C1507)</f>
        <v>7.4624999999999995</v>
      </c>
      <c r="J1507" s="86">
        <f>SUMIFS('Wind Proxy'!$H$8:$H$19,'Wind Proxy'!$A$8:$A$19,Estimator!$B$4,'Wind Proxy'!$B$8:$B$19,C1507)</f>
        <v>0</v>
      </c>
    </row>
    <row r="1508" spans="1:10" ht="14.4">
      <c r="A1508" s="84">
        <v>47159</v>
      </c>
      <c r="B1508" s="85">
        <v>2029</v>
      </c>
      <c r="C1508" s="85">
        <v>2</v>
      </c>
      <c r="D1508" s="85" t="s">
        <v>58</v>
      </c>
      <c r="E1508" s="85">
        <v>10</v>
      </c>
      <c r="F1508" s="85">
        <v>6</v>
      </c>
      <c r="G1508" s="85">
        <f>--(F1508&lt;=Estimator!$B$7)</f>
        <v>0</v>
      </c>
      <c r="H1508" s="86">
        <f>SUMIFS('Climate Data'!$G$7:$G$366,'Climate Data'!$A$7:$A$366,Estimator!$B$4,'Climate Data'!$B$7:$B$366,C1508)</f>
        <v>0.18867924528301885</v>
      </c>
      <c r="I1508" s="87">
        <f>SUMIFS('Climate Data'!$H$7:$H$366,'Climate Data'!$A$7:$A$366,Estimator!$B$4,'Climate Data'!$B$7:$B$366,C1508)</f>
        <v>7.4624999999999995</v>
      </c>
      <c r="J1508" s="86">
        <f>SUMIFS('Wind Proxy'!$H$8:$H$19,'Wind Proxy'!$A$8:$A$19,Estimator!$B$4,'Wind Proxy'!$B$8:$B$19,C1508)</f>
        <v>0</v>
      </c>
    </row>
    <row r="1509" spans="1:10" ht="14.4">
      <c r="A1509" s="84">
        <v>47160</v>
      </c>
      <c r="B1509" s="85">
        <v>2029</v>
      </c>
      <c r="C1509" s="85">
        <v>2</v>
      </c>
      <c r="D1509" s="85" t="s">
        <v>58</v>
      </c>
      <c r="E1509" s="85">
        <v>11</v>
      </c>
      <c r="F1509" s="85">
        <v>7</v>
      </c>
      <c r="G1509" s="85">
        <f>--(F1509&lt;=Estimator!$B$7)</f>
        <v>0</v>
      </c>
      <c r="H1509" s="86">
        <f>SUMIFS('Climate Data'!$G$7:$G$366,'Climate Data'!$A$7:$A$366,Estimator!$B$4,'Climate Data'!$B$7:$B$366,C1509)</f>
        <v>0.18867924528301885</v>
      </c>
      <c r="I1509" s="87">
        <f>SUMIFS('Climate Data'!$H$7:$H$366,'Climate Data'!$A$7:$A$366,Estimator!$B$4,'Climate Data'!$B$7:$B$366,C1509)</f>
        <v>7.4624999999999995</v>
      </c>
      <c r="J1509" s="86">
        <f>SUMIFS('Wind Proxy'!$H$8:$H$19,'Wind Proxy'!$A$8:$A$19,Estimator!$B$4,'Wind Proxy'!$B$8:$B$19,C1509)</f>
        <v>0</v>
      </c>
    </row>
    <row r="1510" spans="1:10" ht="14.4">
      <c r="A1510" s="84">
        <v>47161</v>
      </c>
      <c r="B1510" s="85">
        <v>2029</v>
      </c>
      <c r="C1510" s="85">
        <v>2</v>
      </c>
      <c r="D1510" s="85" t="s">
        <v>58</v>
      </c>
      <c r="E1510" s="85">
        <v>12</v>
      </c>
      <c r="F1510" s="85">
        <v>1</v>
      </c>
      <c r="G1510" s="85">
        <f>--(F1510&lt;=Estimator!$B$7)</f>
        <v>1</v>
      </c>
      <c r="H1510" s="86">
        <f>SUMIFS('Climate Data'!$G$7:$G$366,'Climate Data'!$A$7:$A$366,Estimator!$B$4,'Climate Data'!$B$7:$B$366,C1510)</f>
        <v>0.18867924528301885</v>
      </c>
      <c r="I1510" s="87">
        <f>SUMIFS('Climate Data'!$H$7:$H$366,'Climate Data'!$A$7:$A$366,Estimator!$B$4,'Climate Data'!$B$7:$B$366,C1510)</f>
        <v>7.4624999999999995</v>
      </c>
      <c r="J1510" s="86">
        <f>SUMIFS('Wind Proxy'!$H$8:$H$19,'Wind Proxy'!$A$8:$A$19,Estimator!$B$4,'Wind Proxy'!$B$8:$B$19,C1510)</f>
        <v>0</v>
      </c>
    </row>
    <row r="1511" spans="1:10" ht="14.4">
      <c r="A1511" s="84">
        <v>47162</v>
      </c>
      <c r="B1511" s="85">
        <v>2029</v>
      </c>
      <c r="C1511" s="85">
        <v>2</v>
      </c>
      <c r="D1511" s="85" t="s">
        <v>58</v>
      </c>
      <c r="E1511" s="85">
        <v>13</v>
      </c>
      <c r="F1511" s="85">
        <v>2</v>
      </c>
      <c r="G1511" s="85">
        <f>--(F1511&lt;=Estimator!$B$7)</f>
        <v>1</v>
      </c>
      <c r="H1511" s="86">
        <f>SUMIFS('Climate Data'!$G$7:$G$366,'Climate Data'!$A$7:$A$366,Estimator!$B$4,'Climate Data'!$B$7:$B$366,C1511)</f>
        <v>0.18867924528301885</v>
      </c>
      <c r="I1511" s="87">
        <f>SUMIFS('Climate Data'!$H$7:$H$366,'Climate Data'!$A$7:$A$366,Estimator!$B$4,'Climate Data'!$B$7:$B$366,C1511)</f>
        <v>7.4624999999999995</v>
      </c>
      <c r="J1511" s="86">
        <f>SUMIFS('Wind Proxy'!$H$8:$H$19,'Wind Proxy'!$A$8:$A$19,Estimator!$B$4,'Wind Proxy'!$B$8:$B$19,C1511)</f>
        <v>0</v>
      </c>
    </row>
    <row r="1512" spans="1:10" ht="14.4">
      <c r="A1512" s="84">
        <v>47163</v>
      </c>
      <c r="B1512" s="85">
        <v>2029</v>
      </c>
      <c r="C1512" s="85">
        <v>2</v>
      </c>
      <c r="D1512" s="85" t="s">
        <v>58</v>
      </c>
      <c r="E1512" s="85">
        <v>14</v>
      </c>
      <c r="F1512" s="85">
        <v>3</v>
      </c>
      <c r="G1512" s="85">
        <f>--(F1512&lt;=Estimator!$B$7)</f>
        <v>1</v>
      </c>
      <c r="H1512" s="86">
        <f>SUMIFS('Climate Data'!$G$7:$G$366,'Climate Data'!$A$7:$A$366,Estimator!$B$4,'Climate Data'!$B$7:$B$366,C1512)</f>
        <v>0.18867924528301885</v>
      </c>
      <c r="I1512" s="87">
        <f>SUMIFS('Climate Data'!$H$7:$H$366,'Climate Data'!$A$7:$A$366,Estimator!$B$4,'Climate Data'!$B$7:$B$366,C1512)</f>
        <v>7.4624999999999995</v>
      </c>
      <c r="J1512" s="86">
        <f>SUMIFS('Wind Proxy'!$H$8:$H$19,'Wind Proxy'!$A$8:$A$19,Estimator!$B$4,'Wind Proxy'!$B$8:$B$19,C1512)</f>
        <v>0</v>
      </c>
    </row>
    <row r="1513" spans="1:10" ht="14.4">
      <c r="A1513" s="84">
        <v>47164</v>
      </c>
      <c r="B1513" s="85">
        <v>2029</v>
      </c>
      <c r="C1513" s="85">
        <v>2</v>
      </c>
      <c r="D1513" s="85" t="s">
        <v>58</v>
      </c>
      <c r="E1513" s="85">
        <v>15</v>
      </c>
      <c r="F1513" s="85">
        <v>4</v>
      </c>
      <c r="G1513" s="85">
        <f>--(F1513&lt;=Estimator!$B$7)</f>
        <v>1</v>
      </c>
      <c r="H1513" s="86">
        <f>SUMIFS('Climate Data'!$G$7:$G$366,'Climate Data'!$A$7:$A$366,Estimator!$B$4,'Climate Data'!$B$7:$B$366,C1513)</f>
        <v>0.18867924528301885</v>
      </c>
      <c r="I1513" s="87">
        <f>SUMIFS('Climate Data'!$H$7:$H$366,'Climate Data'!$A$7:$A$366,Estimator!$B$4,'Climate Data'!$B$7:$B$366,C1513)</f>
        <v>7.4624999999999995</v>
      </c>
      <c r="J1513" s="86">
        <f>SUMIFS('Wind Proxy'!$H$8:$H$19,'Wind Proxy'!$A$8:$A$19,Estimator!$B$4,'Wind Proxy'!$B$8:$B$19,C1513)</f>
        <v>0</v>
      </c>
    </row>
    <row r="1514" spans="1:10" ht="14.4">
      <c r="A1514" s="84">
        <v>47165</v>
      </c>
      <c r="B1514" s="85">
        <v>2029</v>
      </c>
      <c r="C1514" s="85">
        <v>2</v>
      </c>
      <c r="D1514" s="85" t="s">
        <v>58</v>
      </c>
      <c r="E1514" s="85">
        <v>16</v>
      </c>
      <c r="F1514" s="85">
        <v>5</v>
      </c>
      <c r="G1514" s="85">
        <f>--(F1514&lt;=Estimator!$B$7)</f>
        <v>1</v>
      </c>
      <c r="H1514" s="86">
        <f>SUMIFS('Climate Data'!$G$7:$G$366,'Climate Data'!$A$7:$A$366,Estimator!$B$4,'Climate Data'!$B$7:$B$366,C1514)</f>
        <v>0.18867924528301885</v>
      </c>
      <c r="I1514" s="87">
        <f>SUMIFS('Climate Data'!$H$7:$H$366,'Climate Data'!$A$7:$A$366,Estimator!$B$4,'Climate Data'!$B$7:$B$366,C1514)</f>
        <v>7.4624999999999995</v>
      </c>
      <c r="J1514" s="86">
        <f>SUMIFS('Wind Proxy'!$H$8:$H$19,'Wind Proxy'!$A$8:$A$19,Estimator!$B$4,'Wind Proxy'!$B$8:$B$19,C1514)</f>
        <v>0</v>
      </c>
    </row>
    <row r="1515" spans="1:10" ht="14.4">
      <c r="A1515" s="84">
        <v>47166</v>
      </c>
      <c r="B1515" s="85">
        <v>2029</v>
      </c>
      <c r="C1515" s="85">
        <v>2</v>
      </c>
      <c r="D1515" s="85" t="s">
        <v>58</v>
      </c>
      <c r="E1515" s="85">
        <v>17</v>
      </c>
      <c r="F1515" s="85">
        <v>6</v>
      </c>
      <c r="G1515" s="85">
        <f>--(F1515&lt;=Estimator!$B$7)</f>
        <v>0</v>
      </c>
      <c r="H1515" s="86">
        <f>SUMIFS('Climate Data'!$G$7:$G$366,'Climate Data'!$A$7:$A$366,Estimator!$B$4,'Climate Data'!$B$7:$B$366,C1515)</f>
        <v>0.18867924528301885</v>
      </c>
      <c r="I1515" s="87">
        <f>SUMIFS('Climate Data'!$H$7:$H$366,'Climate Data'!$A$7:$A$366,Estimator!$B$4,'Climate Data'!$B$7:$B$366,C1515)</f>
        <v>7.4624999999999995</v>
      </c>
      <c r="J1515" s="86">
        <f>SUMIFS('Wind Proxy'!$H$8:$H$19,'Wind Proxy'!$A$8:$A$19,Estimator!$B$4,'Wind Proxy'!$B$8:$B$19,C1515)</f>
        <v>0</v>
      </c>
    </row>
    <row r="1516" spans="1:10" ht="14.4">
      <c r="A1516" s="84">
        <v>47167</v>
      </c>
      <c r="B1516" s="85">
        <v>2029</v>
      </c>
      <c r="C1516" s="85">
        <v>2</v>
      </c>
      <c r="D1516" s="85" t="s">
        <v>58</v>
      </c>
      <c r="E1516" s="85">
        <v>18</v>
      </c>
      <c r="F1516" s="85">
        <v>7</v>
      </c>
      <c r="G1516" s="85">
        <f>--(F1516&lt;=Estimator!$B$7)</f>
        <v>0</v>
      </c>
      <c r="H1516" s="86">
        <f>SUMIFS('Climate Data'!$G$7:$G$366,'Climate Data'!$A$7:$A$366,Estimator!$B$4,'Climate Data'!$B$7:$B$366,C1516)</f>
        <v>0.18867924528301885</v>
      </c>
      <c r="I1516" s="87">
        <f>SUMIFS('Climate Data'!$H$7:$H$366,'Climate Data'!$A$7:$A$366,Estimator!$B$4,'Climate Data'!$B$7:$B$366,C1516)</f>
        <v>7.4624999999999995</v>
      </c>
      <c r="J1516" s="86">
        <f>SUMIFS('Wind Proxy'!$H$8:$H$19,'Wind Proxy'!$A$8:$A$19,Estimator!$B$4,'Wind Proxy'!$B$8:$B$19,C1516)</f>
        <v>0</v>
      </c>
    </row>
    <row r="1517" spans="1:10" ht="14.4">
      <c r="A1517" s="84">
        <v>47168</v>
      </c>
      <c r="B1517" s="85">
        <v>2029</v>
      </c>
      <c r="C1517" s="85">
        <v>2</v>
      </c>
      <c r="D1517" s="85" t="s">
        <v>58</v>
      </c>
      <c r="E1517" s="85">
        <v>19</v>
      </c>
      <c r="F1517" s="85">
        <v>1</v>
      </c>
      <c r="G1517" s="85">
        <f>--(F1517&lt;=Estimator!$B$7)</f>
        <v>1</v>
      </c>
      <c r="H1517" s="86">
        <f>SUMIFS('Climate Data'!$G$7:$G$366,'Climate Data'!$A$7:$A$366,Estimator!$B$4,'Climate Data'!$B$7:$B$366,C1517)</f>
        <v>0.18867924528301885</v>
      </c>
      <c r="I1517" s="87">
        <f>SUMIFS('Climate Data'!$H$7:$H$366,'Climate Data'!$A$7:$A$366,Estimator!$B$4,'Climate Data'!$B$7:$B$366,C1517)</f>
        <v>7.4624999999999995</v>
      </c>
      <c r="J1517" s="86">
        <f>SUMIFS('Wind Proxy'!$H$8:$H$19,'Wind Proxy'!$A$8:$A$19,Estimator!$B$4,'Wind Proxy'!$B$8:$B$19,C1517)</f>
        <v>0</v>
      </c>
    </row>
    <row r="1518" spans="1:10" ht="14.4">
      <c r="A1518" s="84">
        <v>47169</v>
      </c>
      <c r="B1518" s="85">
        <v>2029</v>
      </c>
      <c r="C1518" s="85">
        <v>2</v>
      </c>
      <c r="D1518" s="85" t="s">
        <v>58</v>
      </c>
      <c r="E1518" s="85">
        <v>20</v>
      </c>
      <c r="F1518" s="85">
        <v>2</v>
      </c>
      <c r="G1518" s="85">
        <f>--(F1518&lt;=Estimator!$B$7)</f>
        <v>1</v>
      </c>
      <c r="H1518" s="86">
        <f>SUMIFS('Climate Data'!$G$7:$G$366,'Climate Data'!$A$7:$A$366,Estimator!$B$4,'Climate Data'!$B$7:$B$366,C1518)</f>
        <v>0.18867924528301885</v>
      </c>
      <c r="I1518" s="87">
        <f>SUMIFS('Climate Data'!$H$7:$H$366,'Climate Data'!$A$7:$A$366,Estimator!$B$4,'Climate Data'!$B$7:$B$366,C1518)</f>
        <v>7.4624999999999995</v>
      </c>
      <c r="J1518" s="86">
        <f>SUMIFS('Wind Proxy'!$H$8:$H$19,'Wind Proxy'!$A$8:$A$19,Estimator!$B$4,'Wind Proxy'!$B$8:$B$19,C1518)</f>
        <v>0</v>
      </c>
    </row>
    <row r="1519" spans="1:10" ht="14.4">
      <c r="A1519" s="84">
        <v>47170</v>
      </c>
      <c r="B1519" s="85">
        <v>2029</v>
      </c>
      <c r="C1519" s="85">
        <v>2</v>
      </c>
      <c r="D1519" s="85" t="s">
        <v>58</v>
      </c>
      <c r="E1519" s="85">
        <v>21</v>
      </c>
      <c r="F1519" s="85">
        <v>3</v>
      </c>
      <c r="G1519" s="85">
        <f>--(F1519&lt;=Estimator!$B$7)</f>
        <v>1</v>
      </c>
      <c r="H1519" s="86">
        <f>SUMIFS('Climate Data'!$G$7:$G$366,'Climate Data'!$A$7:$A$366,Estimator!$B$4,'Climate Data'!$B$7:$B$366,C1519)</f>
        <v>0.18867924528301885</v>
      </c>
      <c r="I1519" s="87">
        <f>SUMIFS('Climate Data'!$H$7:$H$366,'Climate Data'!$A$7:$A$366,Estimator!$B$4,'Climate Data'!$B$7:$B$366,C1519)</f>
        <v>7.4624999999999995</v>
      </c>
      <c r="J1519" s="86">
        <f>SUMIFS('Wind Proxy'!$H$8:$H$19,'Wind Proxy'!$A$8:$A$19,Estimator!$B$4,'Wind Proxy'!$B$8:$B$19,C1519)</f>
        <v>0</v>
      </c>
    </row>
    <row r="1520" spans="1:10" ht="14.4">
      <c r="A1520" s="84">
        <v>47171</v>
      </c>
      <c r="B1520" s="85">
        <v>2029</v>
      </c>
      <c r="C1520" s="85">
        <v>2</v>
      </c>
      <c r="D1520" s="85" t="s">
        <v>58</v>
      </c>
      <c r="E1520" s="85">
        <v>22</v>
      </c>
      <c r="F1520" s="85">
        <v>4</v>
      </c>
      <c r="G1520" s="85">
        <f>--(F1520&lt;=Estimator!$B$7)</f>
        <v>1</v>
      </c>
      <c r="H1520" s="86">
        <f>SUMIFS('Climate Data'!$G$7:$G$366,'Climate Data'!$A$7:$A$366,Estimator!$B$4,'Climate Data'!$B$7:$B$366,C1520)</f>
        <v>0.18867924528301885</v>
      </c>
      <c r="I1520" s="87">
        <f>SUMIFS('Climate Data'!$H$7:$H$366,'Climate Data'!$A$7:$A$366,Estimator!$B$4,'Climate Data'!$B$7:$B$366,C1520)</f>
        <v>7.4624999999999995</v>
      </c>
      <c r="J1520" s="86">
        <f>SUMIFS('Wind Proxy'!$H$8:$H$19,'Wind Proxy'!$A$8:$A$19,Estimator!$B$4,'Wind Proxy'!$B$8:$B$19,C1520)</f>
        <v>0</v>
      </c>
    </row>
    <row r="1521" spans="1:10" ht="14.4">
      <c r="A1521" s="84">
        <v>47172</v>
      </c>
      <c r="B1521" s="85">
        <v>2029</v>
      </c>
      <c r="C1521" s="85">
        <v>2</v>
      </c>
      <c r="D1521" s="85" t="s">
        <v>58</v>
      </c>
      <c r="E1521" s="85">
        <v>23</v>
      </c>
      <c r="F1521" s="85">
        <v>5</v>
      </c>
      <c r="G1521" s="85">
        <f>--(F1521&lt;=Estimator!$B$7)</f>
        <v>1</v>
      </c>
      <c r="H1521" s="86">
        <f>SUMIFS('Climate Data'!$G$7:$G$366,'Climate Data'!$A$7:$A$366,Estimator!$B$4,'Climate Data'!$B$7:$B$366,C1521)</f>
        <v>0.18867924528301885</v>
      </c>
      <c r="I1521" s="87">
        <f>SUMIFS('Climate Data'!$H$7:$H$366,'Climate Data'!$A$7:$A$366,Estimator!$B$4,'Climate Data'!$B$7:$B$366,C1521)</f>
        <v>7.4624999999999995</v>
      </c>
      <c r="J1521" s="86">
        <f>SUMIFS('Wind Proxy'!$H$8:$H$19,'Wind Proxy'!$A$8:$A$19,Estimator!$B$4,'Wind Proxy'!$B$8:$B$19,C1521)</f>
        <v>0</v>
      </c>
    </row>
    <row r="1522" spans="1:10" ht="14.4">
      <c r="A1522" s="84">
        <v>47173</v>
      </c>
      <c r="B1522" s="85">
        <v>2029</v>
      </c>
      <c r="C1522" s="85">
        <v>2</v>
      </c>
      <c r="D1522" s="85" t="s">
        <v>58</v>
      </c>
      <c r="E1522" s="85">
        <v>24</v>
      </c>
      <c r="F1522" s="85">
        <v>6</v>
      </c>
      <c r="G1522" s="85">
        <f>--(F1522&lt;=Estimator!$B$7)</f>
        <v>0</v>
      </c>
      <c r="H1522" s="86">
        <f>SUMIFS('Climate Data'!$G$7:$G$366,'Climate Data'!$A$7:$A$366,Estimator!$B$4,'Climate Data'!$B$7:$B$366,C1522)</f>
        <v>0.18867924528301885</v>
      </c>
      <c r="I1522" s="87">
        <f>SUMIFS('Climate Data'!$H$7:$H$366,'Climate Data'!$A$7:$A$366,Estimator!$B$4,'Climate Data'!$B$7:$B$366,C1522)</f>
        <v>7.4624999999999995</v>
      </c>
      <c r="J1522" s="86">
        <f>SUMIFS('Wind Proxy'!$H$8:$H$19,'Wind Proxy'!$A$8:$A$19,Estimator!$B$4,'Wind Proxy'!$B$8:$B$19,C1522)</f>
        <v>0</v>
      </c>
    </row>
    <row r="1523" spans="1:10" ht="14.4">
      <c r="A1523" s="84">
        <v>47174</v>
      </c>
      <c r="B1523" s="85">
        <v>2029</v>
      </c>
      <c r="C1523" s="85">
        <v>2</v>
      </c>
      <c r="D1523" s="85" t="s">
        <v>58</v>
      </c>
      <c r="E1523" s="85">
        <v>25</v>
      </c>
      <c r="F1523" s="85">
        <v>7</v>
      </c>
      <c r="G1523" s="85">
        <f>--(F1523&lt;=Estimator!$B$7)</f>
        <v>0</v>
      </c>
      <c r="H1523" s="86">
        <f>SUMIFS('Climate Data'!$G$7:$G$366,'Climate Data'!$A$7:$A$366,Estimator!$B$4,'Climate Data'!$B$7:$B$366,C1523)</f>
        <v>0.18867924528301885</v>
      </c>
      <c r="I1523" s="87">
        <f>SUMIFS('Climate Data'!$H$7:$H$366,'Climate Data'!$A$7:$A$366,Estimator!$B$4,'Climate Data'!$B$7:$B$366,C1523)</f>
        <v>7.4624999999999995</v>
      </c>
      <c r="J1523" s="86">
        <f>SUMIFS('Wind Proxy'!$H$8:$H$19,'Wind Proxy'!$A$8:$A$19,Estimator!$B$4,'Wind Proxy'!$B$8:$B$19,C1523)</f>
        <v>0</v>
      </c>
    </row>
    <row r="1524" spans="1:10" ht="14.4">
      <c r="A1524" s="84">
        <v>47175</v>
      </c>
      <c r="B1524" s="85">
        <v>2029</v>
      </c>
      <c r="C1524" s="85">
        <v>2</v>
      </c>
      <c r="D1524" s="85" t="s">
        <v>58</v>
      </c>
      <c r="E1524" s="85">
        <v>26</v>
      </c>
      <c r="F1524" s="85">
        <v>1</v>
      </c>
      <c r="G1524" s="85">
        <f>--(F1524&lt;=Estimator!$B$7)</f>
        <v>1</v>
      </c>
      <c r="H1524" s="86">
        <f>SUMIFS('Climate Data'!$G$7:$G$366,'Climate Data'!$A$7:$A$366,Estimator!$B$4,'Climate Data'!$B$7:$B$366,C1524)</f>
        <v>0.18867924528301885</v>
      </c>
      <c r="I1524" s="87">
        <f>SUMIFS('Climate Data'!$H$7:$H$366,'Climate Data'!$A$7:$A$366,Estimator!$B$4,'Climate Data'!$B$7:$B$366,C1524)</f>
        <v>7.4624999999999995</v>
      </c>
      <c r="J1524" s="86">
        <f>SUMIFS('Wind Proxy'!$H$8:$H$19,'Wind Proxy'!$A$8:$A$19,Estimator!$B$4,'Wind Proxy'!$B$8:$B$19,C1524)</f>
        <v>0</v>
      </c>
    </row>
    <row r="1525" spans="1:10" ht="14.4">
      <c r="A1525" s="84">
        <v>47176</v>
      </c>
      <c r="B1525" s="85">
        <v>2029</v>
      </c>
      <c r="C1525" s="85">
        <v>2</v>
      </c>
      <c r="D1525" s="85" t="s">
        <v>58</v>
      </c>
      <c r="E1525" s="85">
        <v>27</v>
      </c>
      <c r="F1525" s="85">
        <v>2</v>
      </c>
      <c r="G1525" s="85">
        <f>--(F1525&lt;=Estimator!$B$7)</f>
        <v>1</v>
      </c>
      <c r="H1525" s="86">
        <f>SUMIFS('Climate Data'!$G$7:$G$366,'Climate Data'!$A$7:$A$366,Estimator!$B$4,'Climate Data'!$B$7:$B$366,C1525)</f>
        <v>0.18867924528301885</v>
      </c>
      <c r="I1525" s="87">
        <f>SUMIFS('Climate Data'!$H$7:$H$366,'Climate Data'!$A$7:$A$366,Estimator!$B$4,'Climate Data'!$B$7:$B$366,C1525)</f>
        <v>7.4624999999999995</v>
      </c>
      <c r="J1525" s="86">
        <f>SUMIFS('Wind Proxy'!$H$8:$H$19,'Wind Proxy'!$A$8:$A$19,Estimator!$B$4,'Wind Proxy'!$B$8:$B$19,C1525)</f>
        <v>0</v>
      </c>
    </row>
    <row r="1526" spans="1:10" ht="14.4">
      <c r="A1526" s="84">
        <v>47177</v>
      </c>
      <c r="B1526" s="85">
        <v>2029</v>
      </c>
      <c r="C1526" s="85">
        <v>2</v>
      </c>
      <c r="D1526" s="85" t="s">
        <v>58</v>
      </c>
      <c r="E1526" s="85">
        <v>28</v>
      </c>
      <c r="F1526" s="85">
        <v>3</v>
      </c>
      <c r="G1526" s="85">
        <f>--(F1526&lt;=Estimator!$B$7)</f>
        <v>1</v>
      </c>
      <c r="H1526" s="86">
        <f>SUMIFS('Climate Data'!$G$7:$G$366,'Climate Data'!$A$7:$A$366,Estimator!$B$4,'Climate Data'!$B$7:$B$366,C1526)</f>
        <v>0.18867924528301885</v>
      </c>
      <c r="I1526" s="87">
        <f>SUMIFS('Climate Data'!$H$7:$H$366,'Climate Data'!$A$7:$A$366,Estimator!$B$4,'Climate Data'!$B$7:$B$366,C1526)</f>
        <v>7.4624999999999995</v>
      </c>
      <c r="J1526" s="86">
        <f>SUMIFS('Wind Proxy'!$H$8:$H$19,'Wind Proxy'!$A$8:$A$19,Estimator!$B$4,'Wind Proxy'!$B$8:$B$19,C1526)</f>
        <v>0</v>
      </c>
    </row>
    <row r="1527" spans="1:10" ht="14.4">
      <c r="A1527" s="84">
        <v>47178</v>
      </c>
      <c r="B1527" s="85">
        <v>2029</v>
      </c>
      <c r="C1527" s="85">
        <v>3</v>
      </c>
      <c r="D1527" s="85" t="s">
        <v>60</v>
      </c>
      <c r="E1527" s="85">
        <v>1</v>
      </c>
      <c r="F1527" s="85">
        <v>4</v>
      </c>
      <c r="G1527" s="85">
        <f>--(F1527&lt;=Estimator!$B$7)</f>
        <v>1</v>
      </c>
      <c r="H1527" s="86">
        <f>SUMIFS('Climate Data'!$G$7:$G$366,'Climate Data'!$A$7:$A$366,Estimator!$B$4,'Climate Data'!$B$7:$B$366,C1527)</f>
        <v>0.18494623655913978</v>
      </c>
      <c r="I1527" s="87">
        <f>SUMIFS('Climate Data'!$H$7:$H$366,'Climate Data'!$A$7:$A$366,Estimator!$B$4,'Climate Data'!$B$7:$B$366,C1527)</f>
        <v>7.8662790697674421</v>
      </c>
      <c r="J1527" s="86">
        <f>SUMIFS('Wind Proxy'!$H$8:$H$19,'Wind Proxy'!$A$8:$A$19,Estimator!$B$4,'Wind Proxy'!$B$8:$B$19,C1527)</f>
        <v>0</v>
      </c>
    </row>
    <row r="1528" spans="1:10" ht="14.4">
      <c r="A1528" s="84">
        <v>47179</v>
      </c>
      <c r="B1528" s="85">
        <v>2029</v>
      </c>
      <c r="C1528" s="85">
        <v>3</v>
      </c>
      <c r="D1528" s="85" t="s">
        <v>60</v>
      </c>
      <c r="E1528" s="85">
        <v>2</v>
      </c>
      <c r="F1528" s="85">
        <v>5</v>
      </c>
      <c r="G1528" s="85">
        <f>--(F1528&lt;=Estimator!$B$7)</f>
        <v>1</v>
      </c>
      <c r="H1528" s="86">
        <f>SUMIFS('Climate Data'!$G$7:$G$366,'Climate Data'!$A$7:$A$366,Estimator!$B$4,'Climate Data'!$B$7:$B$366,C1528)</f>
        <v>0.18494623655913978</v>
      </c>
      <c r="I1528" s="87">
        <f>SUMIFS('Climate Data'!$H$7:$H$366,'Climate Data'!$A$7:$A$366,Estimator!$B$4,'Climate Data'!$B$7:$B$366,C1528)</f>
        <v>7.8662790697674421</v>
      </c>
      <c r="J1528" s="86">
        <f>SUMIFS('Wind Proxy'!$H$8:$H$19,'Wind Proxy'!$A$8:$A$19,Estimator!$B$4,'Wind Proxy'!$B$8:$B$19,C1528)</f>
        <v>0</v>
      </c>
    </row>
    <row r="1529" spans="1:10" ht="14.4">
      <c r="A1529" s="84">
        <v>47180</v>
      </c>
      <c r="B1529" s="85">
        <v>2029</v>
      </c>
      <c r="C1529" s="85">
        <v>3</v>
      </c>
      <c r="D1529" s="85" t="s">
        <v>60</v>
      </c>
      <c r="E1529" s="85">
        <v>3</v>
      </c>
      <c r="F1529" s="85">
        <v>6</v>
      </c>
      <c r="G1529" s="85">
        <f>--(F1529&lt;=Estimator!$B$7)</f>
        <v>0</v>
      </c>
      <c r="H1529" s="86">
        <f>SUMIFS('Climate Data'!$G$7:$G$366,'Climate Data'!$A$7:$A$366,Estimator!$B$4,'Climate Data'!$B$7:$B$366,C1529)</f>
        <v>0.18494623655913978</v>
      </c>
      <c r="I1529" s="87">
        <f>SUMIFS('Climate Data'!$H$7:$H$366,'Climate Data'!$A$7:$A$366,Estimator!$B$4,'Climate Data'!$B$7:$B$366,C1529)</f>
        <v>7.8662790697674421</v>
      </c>
      <c r="J1529" s="86">
        <f>SUMIFS('Wind Proxy'!$H$8:$H$19,'Wind Proxy'!$A$8:$A$19,Estimator!$B$4,'Wind Proxy'!$B$8:$B$19,C1529)</f>
        <v>0</v>
      </c>
    </row>
    <row r="1530" spans="1:10" ht="14.4">
      <c r="A1530" s="84">
        <v>47181</v>
      </c>
      <c r="B1530" s="85">
        <v>2029</v>
      </c>
      <c r="C1530" s="85">
        <v>3</v>
      </c>
      <c r="D1530" s="85" t="s">
        <v>60</v>
      </c>
      <c r="E1530" s="85">
        <v>4</v>
      </c>
      <c r="F1530" s="85">
        <v>7</v>
      </c>
      <c r="G1530" s="85">
        <f>--(F1530&lt;=Estimator!$B$7)</f>
        <v>0</v>
      </c>
      <c r="H1530" s="86">
        <f>SUMIFS('Climate Data'!$G$7:$G$366,'Climate Data'!$A$7:$A$366,Estimator!$B$4,'Climate Data'!$B$7:$B$366,C1530)</f>
        <v>0.18494623655913978</v>
      </c>
      <c r="I1530" s="87">
        <f>SUMIFS('Climate Data'!$H$7:$H$366,'Climate Data'!$A$7:$A$366,Estimator!$B$4,'Climate Data'!$B$7:$B$366,C1530)</f>
        <v>7.8662790697674421</v>
      </c>
      <c r="J1530" s="86">
        <f>SUMIFS('Wind Proxy'!$H$8:$H$19,'Wind Proxy'!$A$8:$A$19,Estimator!$B$4,'Wind Proxy'!$B$8:$B$19,C1530)</f>
        <v>0</v>
      </c>
    </row>
    <row r="1531" spans="1:10" ht="14.4">
      <c r="A1531" s="84">
        <v>47182</v>
      </c>
      <c r="B1531" s="85">
        <v>2029</v>
      </c>
      <c r="C1531" s="85">
        <v>3</v>
      </c>
      <c r="D1531" s="85" t="s">
        <v>60</v>
      </c>
      <c r="E1531" s="85">
        <v>5</v>
      </c>
      <c r="F1531" s="85">
        <v>1</v>
      </c>
      <c r="G1531" s="85">
        <f>--(F1531&lt;=Estimator!$B$7)</f>
        <v>1</v>
      </c>
      <c r="H1531" s="86">
        <f>SUMIFS('Climate Data'!$G$7:$G$366,'Climate Data'!$A$7:$A$366,Estimator!$B$4,'Climate Data'!$B$7:$B$366,C1531)</f>
        <v>0.18494623655913978</v>
      </c>
      <c r="I1531" s="87">
        <f>SUMIFS('Climate Data'!$H$7:$H$366,'Climate Data'!$A$7:$A$366,Estimator!$B$4,'Climate Data'!$B$7:$B$366,C1531)</f>
        <v>7.8662790697674421</v>
      </c>
      <c r="J1531" s="86">
        <f>SUMIFS('Wind Proxy'!$H$8:$H$19,'Wind Proxy'!$A$8:$A$19,Estimator!$B$4,'Wind Proxy'!$B$8:$B$19,C1531)</f>
        <v>0</v>
      </c>
    </row>
    <row r="1532" spans="1:10" ht="14.4">
      <c r="A1532" s="84">
        <v>47183</v>
      </c>
      <c r="B1532" s="85">
        <v>2029</v>
      </c>
      <c r="C1532" s="85">
        <v>3</v>
      </c>
      <c r="D1532" s="85" t="s">
        <v>60</v>
      </c>
      <c r="E1532" s="85">
        <v>6</v>
      </c>
      <c r="F1532" s="85">
        <v>2</v>
      </c>
      <c r="G1532" s="85">
        <f>--(F1532&lt;=Estimator!$B$7)</f>
        <v>1</v>
      </c>
      <c r="H1532" s="86">
        <f>SUMIFS('Climate Data'!$G$7:$G$366,'Climate Data'!$A$7:$A$366,Estimator!$B$4,'Climate Data'!$B$7:$B$366,C1532)</f>
        <v>0.18494623655913978</v>
      </c>
      <c r="I1532" s="87">
        <f>SUMIFS('Climate Data'!$H$7:$H$366,'Climate Data'!$A$7:$A$366,Estimator!$B$4,'Climate Data'!$B$7:$B$366,C1532)</f>
        <v>7.8662790697674421</v>
      </c>
      <c r="J1532" s="86">
        <f>SUMIFS('Wind Proxy'!$H$8:$H$19,'Wind Proxy'!$A$8:$A$19,Estimator!$B$4,'Wind Proxy'!$B$8:$B$19,C1532)</f>
        <v>0</v>
      </c>
    </row>
    <row r="1533" spans="1:10" ht="14.4">
      <c r="A1533" s="84">
        <v>47184</v>
      </c>
      <c r="B1533" s="85">
        <v>2029</v>
      </c>
      <c r="C1533" s="85">
        <v>3</v>
      </c>
      <c r="D1533" s="85" t="s">
        <v>60</v>
      </c>
      <c r="E1533" s="85">
        <v>7</v>
      </c>
      <c r="F1533" s="85">
        <v>3</v>
      </c>
      <c r="G1533" s="85">
        <f>--(F1533&lt;=Estimator!$B$7)</f>
        <v>1</v>
      </c>
      <c r="H1533" s="86">
        <f>SUMIFS('Climate Data'!$G$7:$G$366,'Climate Data'!$A$7:$A$366,Estimator!$B$4,'Climate Data'!$B$7:$B$366,C1533)</f>
        <v>0.18494623655913978</v>
      </c>
      <c r="I1533" s="87">
        <f>SUMIFS('Climate Data'!$H$7:$H$366,'Climate Data'!$A$7:$A$366,Estimator!$B$4,'Climate Data'!$B$7:$B$366,C1533)</f>
        <v>7.8662790697674421</v>
      </c>
      <c r="J1533" s="86">
        <f>SUMIFS('Wind Proxy'!$H$8:$H$19,'Wind Proxy'!$A$8:$A$19,Estimator!$B$4,'Wind Proxy'!$B$8:$B$19,C1533)</f>
        <v>0</v>
      </c>
    </row>
    <row r="1534" spans="1:10" ht="14.4">
      <c r="A1534" s="84">
        <v>47185</v>
      </c>
      <c r="B1534" s="85">
        <v>2029</v>
      </c>
      <c r="C1534" s="85">
        <v>3</v>
      </c>
      <c r="D1534" s="85" t="s">
        <v>60</v>
      </c>
      <c r="E1534" s="85">
        <v>8</v>
      </c>
      <c r="F1534" s="85">
        <v>4</v>
      </c>
      <c r="G1534" s="85">
        <f>--(F1534&lt;=Estimator!$B$7)</f>
        <v>1</v>
      </c>
      <c r="H1534" s="86">
        <f>SUMIFS('Climate Data'!$G$7:$G$366,'Climate Data'!$A$7:$A$366,Estimator!$B$4,'Climate Data'!$B$7:$B$366,C1534)</f>
        <v>0.18494623655913978</v>
      </c>
      <c r="I1534" s="87">
        <f>SUMIFS('Climate Data'!$H$7:$H$366,'Climate Data'!$A$7:$A$366,Estimator!$B$4,'Climate Data'!$B$7:$B$366,C1534)</f>
        <v>7.8662790697674421</v>
      </c>
      <c r="J1534" s="86">
        <f>SUMIFS('Wind Proxy'!$H$8:$H$19,'Wind Proxy'!$A$8:$A$19,Estimator!$B$4,'Wind Proxy'!$B$8:$B$19,C1534)</f>
        <v>0</v>
      </c>
    </row>
    <row r="1535" spans="1:10" ht="14.4">
      <c r="A1535" s="84">
        <v>47186</v>
      </c>
      <c r="B1535" s="85">
        <v>2029</v>
      </c>
      <c r="C1535" s="85">
        <v>3</v>
      </c>
      <c r="D1535" s="85" t="s">
        <v>60</v>
      </c>
      <c r="E1535" s="85">
        <v>9</v>
      </c>
      <c r="F1535" s="85">
        <v>5</v>
      </c>
      <c r="G1535" s="85">
        <f>--(F1535&lt;=Estimator!$B$7)</f>
        <v>1</v>
      </c>
      <c r="H1535" s="86">
        <f>SUMIFS('Climate Data'!$G$7:$G$366,'Climate Data'!$A$7:$A$366,Estimator!$B$4,'Climate Data'!$B$7:$B$366,C1535)</f>
        <v>0.18494623655913978</v>
      </c>
      <c r="I1535" s="87">
        <f>SUMIFS('Climate Data'!$H$7:$H$366,'Climate Data'!$A$7:$A$366,Estimator!$B$4,'Climate Data'!$B$7:$B$366,C1535)</f>
        <v>7.8662790697674421</v>
      </c>
      <c r="J1535" s="86">
        <f>SUMIFS('Wind Proxy'!$H$8:$H$19,'Wind Proxy'!$A$8:$A$19,Estimator!$B$4,'Wind Proxy'!$B$8:$B$19,C1535)</f>
        <v>0</v>
      </c>
    </row>
    <row r="1536" spans="1:10" ht="14.4">
      <c r="A1536" s="84">
        <v>47187</v>
      </c>
      <c r="B1536" s="85">
        <v>2029</v>
      </c>
      <c r="C1536" s="85">
        <v>3</v>
      </c>
      <c r="D1536" s="85" t="s">
        <v>60</v>
      </c>
      <c r="E1536" s="85">
        <v>10</v>
      </c>
      <c r="F1536" s="85">
        <v>6</v>
      </c>
      <c r="G1536" s="85">
        <f>--(F1536&lt;=Estimator!$B$7)</f>
        <v>0</v>
      </c>
      <c r="H1536" s="86">
        <f>SUMIFS('Climate Data'!$G$7:$G$366,'Climate Data'!$A$7:$A$366,Estimator!$B$4,'Climate Data'!$B$7:$B$366,C1536)</f>
        <v>0.18494623655913978</v>
      </c>
      <c r="I1536" s="87">
        <f>SUMIFS('Climate Data'!$H$7:$H$366,'Climate Data'!$A$7:$A$366,Estimator!$B$4,'Climate Data'!$B$7:$B$366,C1536)</f>
        <v>7.8662790697674421</v>
      </c>
      <c r="J1536" s="86">
        <f>SUMIFS('Wind Proxy'!$H$8:$H$19,'Wind Proxy'!$A$8:$A$19,Estimator!$B$4,'Wind Proxy'!$B$8:$B$19,C1536)</f>
        <v>0</v>
      </c>
    </row>
    <row r="1537" spans="1:10" ht="14.4">
      <c r="A1537" s="84">
        <v>47188</v>
      </c>
      <c r="B1537" s="85">
        <v>2029</v>
      </c>
      <c r="C1537" s="85">
        <v>3</v>
      </c>
      <c r="D1537" s="85" t="s">
        <v>60</v>
      </c>
      <c r="E1537" s="85">
        <v>11</v>
      </c>
      <c r="F1537" s="85">
        <v>7</v>
      </c>
      <c r="G1537" s="85">
        <f>--(F1537&lt;=Estimator!$B$7)</f>
        <v>0</v>
      </c>
      <c r="H1537" s="86">
        <f>SUMIFS('Climate Data'!$G$7:$G$366,'Climate Data'!$A$7:$A$366,Estimator!$B$4,'Climate Data'!$B$7:$B$366,C1537)</f>
        <v>0.18494623655913978</v>
      </c>
      <c r="I1537" s="87">
        <f>SUMIFS('Climate Data'!$H$7:$H$366,'Climate Data'!$A$7:$A$366,Estimator!$B$4,'Climate Data'!$B$7:$B$366,C1537)</f>
        <v>7.8662790697674421</v>
      </c>
      <c r="J1537" s="86">
        <f>SUMIFS('Wind Proxy'!$H$8:$H$19,'Wind Proxy'!$A$8:$A$19,Estimator!$B$4,'Wind Proxy'!$B$8:$B$19,C1537)</f>
        <v>0</v>
      </c>
    </row>
    <row r="1538" spans="1:10" ht="14.4">
      <c r="A1538" s="84">
        <v>47189</v>
      </c>
      <c r="B1538" s="85">
        <v>2029</v>
      </c>
      <c r="C1538" s="85">
        <v>3</v>
      </c>
      <c r="D1538" s="85" t="s">
        <v>60</v>
      </c>
      <c r="E1538" s="85">
        <v>12</v>
      </c>
      <c r="F1538" s="85">
        <v>1</v>
      </c>
      <c r="G1538" s="85">
        <f>--(F1538&lt;=Estimator!$B$7)</f>
        <v>1</v>
      </c>
      <c r="H1538" s="86">
        <f>SUMIFS('Climate Data'!$G$7:$G$366,'Climate Data'!$A$7:$A$366,Estimator!$B$4,'Climate Data'!$B$7:$B$366,C1538)</f>
        <v>0.18494623655913978</v>
      </c>
      <c r="I1538" s="87">
        <f>SUMIFS('Climate Data'!$H$7:$H$366,'Climate Data'!$A$7:$A$366,Estimator!$B$4,'Climate Data'!$B$7:$B$366,C1538)</f>
        <v>7.8662790697674421</v>
      </c>
      <c r="J1538" s="86">
        <f>SUMIFS('Wind Proxy'!$H$8:$H$19,'Wind Proxy'!$A$8:$A$19,Estimator!$B$4,'Wind Proxy'!$B$8:$B$19,C1538)</f>
        <v>0</v>
      </c>
    </row>
    <row r="1539" spans="1:10" ht="14.4">
      <c r="A1539" s="84">
        <v>47190</v>
      </c>
      <c r="B1539" s="85">
        <v>2029</v>
      </c>
      <c r="C1539" s="85">
        <v>3</v>
      </c>
      <c r="D1539" s="85" t="s">
        <v>60</v>
      </c>
      <c r="E1539" s="85">
        <v>13</v>
      </c>
      <c r="F1539" s="85">
        <v>2</v>
      </c>
      <c r="G1539" s="85">
        <f>--(F1539&lt;=Estimator!$B$7)</f>
        <v>1</v>
      </c>
      <c r="H1539" s="86">
        <f>SUMIFS('Climate Data'!$G$7:$G$366,'Climate Data'!$A$7:$A$366,Estimator!$B$4,'Climate Data'!$B$7:$B$366,C1539)</f>
        <v>0.18494623655913978</v>
      </c>
      <c r="I1539" s="87">
        <f>SUMIFS('Climate Data'!$H$7:$H$366,'Climate Data'!$A$7:$A$366,Estimator!$B$4,'Climate Data'!$B$7:$B$366,C1539)</f>
        <v>7.8662790697674421</v>
      </c>
      <c r="J1539" s="86">
        <f>SUMIFS('Wind Proxy'!$H$8:$H$19,'Wind Proxy'!$A$8:$A$19,Estimator!$B$4,'Wind Proxy'!$B$8:$B$19,C1539)</f>
        <v>0</v>
      </c>
    </row>
    <row r="1540" spans="1:10" ht="14.4">
      <c r="A1540" s="84">
        <v>47191</v>
      </c>
      <c r="B1540" s="85">
        <v>2029</v>
      </c>
      <c r="C1540" s="85">
        <v>3</v>
      </c>
      <c r="D1540" s="85" t="s">
        <v>60</v>
      </c>
      <c r="E1540" s="85">
        <v>14</v>
      </c>
      <c r="F1540" s="85">
        <v>3</v>
      </c>
      <c r="G1540" s="85">
        <f>--(F1540&lt;=Estimator!$B$7)</f>
        <v>1</v>
      </c>
      <c r="H1540" s="86">
        <f>SUMIFS('Climate Data'!$G$7:$G$366,'Climate Data'!$A$7:$A$366,Estimator!$B$4,'Climate Data'!$B$7:$B$366,C1540)</f>
        <v>0.18494623655913978</v>
      </c>
      <c r="I1540" s="87">
        <f>SUMIFS('Climate Data'!$H$7:$H$366,'Climate Data'!$A$7:$A$366,Estimator!$B$4,'Climate Data'!$B$7:$B$366,C1540)</f>
        <v>7.8662790697674421</v>
      </c>
      <c r="J1540" s="86">
        <f>SUMIFS('Wind Proxy'!$H$8:$H$19,'Wind Proxy'!$A$8:$A$19,Estimator!$B$4,'Wind Proxy'!$B$8:$B$19,C1540)</f>
        <v>0</v>
      </c>
    </row>
    <row r="1541" spans="1:10" ht="14.4">
      <c r="A1541" s="84">
        <v>47192</v>
      </c>
      <c r="B1541" s="85">
        <v>2029</v>
      </c>
      <c r="C1541" s="85">
        <v>3</v>
      </c>
      <c r="D1541" s="85" t="s">
        <v>60</v>
      </c>
      <c r="E1541" s="85">
        <v>15</v>
      </c>
      <c r="F1541" s="85">
        <v>4</v>
      </c>
      <c r="G1541" s="85">
        <f>--(F1541&lt;=Estimator!$B$7)</f>
        <v>1</v>
      </c>
      <c r="H1541" s="86">
        <f>SUMIFS('Climate Data'!$G$7:$G$366,'Climate Data'!$A$7:$A$366,Estimator!$B$4,'Climate Data'!$B$7:$B$366,C1541)</f>
        <v>0.18494623655913978</v>
      </c>
      <c r="I1541" s="87">
        <f>SUMIFS('Climate Data'!$H$7:$H$366,'Climate Data'!$A$7:$A$366,Estimator!$B$4,'Climate Data'!$B$7:$B$366,C1541)</f>
        <v>7.8662790697674421</v>
      </c>
      <c r="J1541" s="86">
        <f>SUMIFS('Wind Proxy'!$H$8:$H$19,'Wind Proxy'!$A$8:$A$19,Estimator!$B$4,'Wind Proxy'!$B$8:$B$19,C1541)</f>
        <v>0</v>
      </c>
    </row>
    <row r="1542" spans="1:10" ht="14.4">
      <c r="A1542" s="84">
        <v>47193</v>
      </c>
      <c r="B1542" s="85">
        <v>2029</v>
      </c>
      <c r="C1542" s="85">
        <v>3</v>
      </c>
      <c r="D1542" s="85" t="s">
        <v>60</v>
      </c>
      <c r="E1542" s="85">
        <v>16</v>
      </c>
      <c r="F1542" s="85">
        <v>5</v>
      </c>
      <c r="G1542" s="85">
        <f>--(F1542&lt;=Estimator!$B$7)</f>
        <v>1</v>
      </c>
      <c r="H1542" s="86">
        <f>SUMIFS('Climate Data'!$G$7:$G$366,'Climate Data'!$A$7:$A$366,Estimator!$B$4,'Climate Data'!$B$7:$B$366,C1542)</f>
        <v>0.18494623655913978</v>
      </c>
      <c r="I1542" s="87">
        <f>SUMIFS('Climate Data'!$H$7:$H$366,'Climate Data'!$A$7:$A$366,Estimator!$B$4,'Climate Data'!$B$7:$B$366,C1542)</f>
        <v>7.8662790697674421</v>
      </c>
      <c r="J1542" s="86">
        <f>SUMIFS('Wind Proxy'!$H$8:$H$19,'Wind Proxy'!$A$8:$A$19,Estimator!$B$4,'Wind Proxy'!$B$8:$B$19,C1542)</f>
        <v>0</v>
      </c>
    </row>
    <row r="1543" spans="1:10" ht="14.4">
      <c r="A1543" s="84">
        <v>47194</v>
      </c>
      <c r="B1543" s="85">
        <v>2029</v>
      </c>
      <c r="C1543" s="85">
        <v>3</v>
      </c>
      <c r="D1543" s="85" t="s">
        <v>60</v>
      </c>
      <c r="E1543" s="85">
        <v>17</v>
      </c>
      <c r="F1543" s="85">
        <v>6</v>
      </c>
      <c r="G1543" s="85">
        <f>--(F1543&lt;=Estimator!$B$7)</f>
        <v>0</v>
      </c>
      <c r="H1543" s="86">
        <f>SUMIFS('Climate Data'!$G$7:$G$366,'Climate Data'!$A$7:$A$366,Estimator!$B$4,'Climate Data'!$B$7:$B$366,C1543)</f>
        <v>0.18494623655913978</v>
      </c>
      <c r="I1543" s="87">
        <f>SUMIFS('Climate Data'!$H$7:$H$366,'Climate Data'!$A$7:$A$366,Estimator!$B$4,'Climate Data'!$B$7:$B$366,C1543)</f>
        <v>7.8662790697674421</v>
      </c>
      <c r="J1543" s="86">
        <f>SUMIFS('Wind Proxy'!$H$8:$H$19,'Wind Proxy'!$A$8:$A$19,Estimator!$B$4,'Wind Proxy'!$B$8:$B$19,C1543)</f>
        <v>0</v>
      </c>
    </row>
    <row r="1544" spans="1:10" ht="14.4">
      <c r="A1544" s="84">
        <v>47195</v>
      </c>
      <c r="B1544" s="85">
        <v>2029</v>
      </c>
      <c r="C1544" s="85">
        <v>3</v>
      </c>
      <c r="D1544" s="85" t="s">
        <v>60</v>
      </c>
      <c r="E1544" s="85">
        <v>18</v>
      </c>
      <c r="F1544" s="85">
        <v>7</v>
      </c>
      <c r="G1544" s="85">
        <f>--(F1544&lt;=Estimator!$B$7)</f>
        <v>0</v>
      </c>
      <c r="H1544" s="86">
        <f>SUMIFS('Climate Data'!$G$7:$G$366,'Climate Data'!$A$7:$A$366,Estimator!$B$4,'Climate Data'!$B$7:$B$366,C1544)</f>
        <v>0.18494623655913978</v>
      </c>
      <c r="I1544" s="87">
        <f>SUMIFS('Climate Data'!$H$7:$H$366,'Climate Data'!$A$7:$A$366,Estimator!$B$4,'Climate Data'!$B$7:$B$366,C1544)</f>
        <v>7.8662790697674421</v>
      </c>
      <c r="J1544" s="86">
        <f>SUMIFS('Wind Proxy'!$H$8:$H$19,'Wind Proxy'!$A$8:$A$19,Estimator!$B$4,'Wind Proxy'!$B$8:$B$19,C1544)</f>
        <v>0</v>
      </c>
    </row>
    <row r="1545" spans="1:10" ht="14.4">
      <c r="A1545" s="84">
        <v>47196</v>
      </c>
      <c r="B1545" s="85">
        <v>2029</v>
      </c>
      <c r="C1545" s="85">
        <v>3</v>
      </c>
      <c r="D1545" s="85" t="s">
        <v>60</v>
      </c>
      <c r="E1545" s="85">
        <v>19</v>
      </c>
      <c r="F1545" s="85">
        <v>1</v>
      </c>
      <c r="G1545" s="85">
        <f>--(F1545&lt;=Estimator!$B$7)</f>
        <v>1</v>
      </c>
      <c r="H1545" s="86">
        <f>SUMIFS('Climate Data'!$G$7:$G$366,'Climate Data'!$A$7:$A$366,Estimator!$B$4,'Climate Data'!$B$7:$B$366,C1545)</f>
        <v>0.18494623655913978</v>
      </c>
      <c r="I1545" s="87">
        <f>SUMIFS('Climate Data'!$H$7:$H$366,'Climate Data'!$A$7:$A$366,Estimator!$B$4,'Climate Data'!$B$7:$B$366,C1545)</f>
        <v>7.8662790697674421</v>
      </c>
      <c r="J1545" s="86">
        <f>SUMIFS('Wind Proxy'!$H$8:$H$19,'Wind Proxy'!$A$8:$A$19,Estimator!$B$4,'Wind Proxy'!$B$8:$B$19,C1545)</f>
        <v>0</v>
      </c>
    </row>
    <row r="1546" spans="1:10" ht="14.4">
      <c r="A1546" s="84">
        <v>47197</v>
      </c>
      <c r="B1546" s="85">
        <v>2029</v>
      </c>
      <c r="C1546" s="85">
        <v>3</v>
      </c>
      <c r="D1546" s="85" t="s">
        <v>60</v>
      </c>
      <c r="E1546" s="85">
        <v>20</v>
      </c>
      <c r="F1546" s="85">
        <v>2</v>
      </c>
      <c r="G1546" s="85">
        <f>--(F1546&lt;=Estimator!$B$7)</f>
        <v>1</v>
      </c>
      <c r="H1546" s="86">
        <f>SUMIFS('Climate Data'!$G$7:$G$366,'Climate Data'!$A$7:$A$366,Estimator!$B$4,'Climate Data'!$B$7:$B$366,C1546)</f>
        <v>0.18494623655913978</v>
      </c>
      <c r="I1546" s="87">
        <f>SUMIFS('Climate Data'!$H$7:$H$366,'Climate Data'!$A$7:$A$366,Estimator!$B$4,'Climate Data'!$B$7:$B$366,C1546)</f>
        <v>7.8662790697674421</v>
      </c>
      <c r="J1546" s="86">
        <f>SUMIFS('Wind Proxy'!$H$8:$H$19,'Wind Proxy'!$A$8:$A$19,Estimator!$B$4,'Wind Proxy'!$B$8:$B$19,C1546)</f>
        <v>0</v>
      </c>
    </row>
    <row r="1547" spans="1:10" ht="14.4">
      <c r="A1547" s="84">
        <v>47198</v>
      </c>
      <c r="B1547" s="85">
        <v>2029</v>
      </c>
      <c r="C1547" s="85">
        <v>3</v>
      </c>
      <c r="D1547" s="85" t="s">
        <v>60</v>
      </c>
      <c r="E1547" s="85">
        <v>21</v>
      </c>
      <c r="F1547" s="85">
        <v>3</v>
      </c>
      <c r="G1547" s="85">
        <f>--(F1547&lt;=Estimator!$B$7)</f>
        <v>1</v>
      </c>
      <c r="H1547" s="86">
        <f>SUMIFS('Climate Data'!$G$7:$G$366,'Climate Data'!$A$7:$A$366,Estimator!$B$4,'Climate Data'!$B$7:$B$366,C1547)</f>
        <v>0.18494623655913978</v>
      </c>
      <c r="I1547" s="87">
        <f>SUMIFS('Climate Data'!$H$7:$H$366,'Climate Data'!$A$7:$A$366,Estimator!$B$4,'Climate Data'!$B$7:$B$366,C1547)</f>
        <v>7.8662790697674421</v>
      </c>
      <c r="J1547" s="86">
        <f>SUMIFS('Wind Proxy'!$H$8:$H$19,'Wind Proxy'!$A$8:$A$19,Estimator!$B$4,'Wind Proxy'!$B$8:$B$19,C1547)</f>
        <v>0</v>
      </c>
    </row>
    <row r="1548" spans="1:10" ht="14.4">
      <c r="A1548" s="84">
        <v>47199</v>
      </c>
      <c r="B1548" s="85">
        <v>2029</v>
      </c>
      <c r="C1548" s="85">
        <v>3</v>
      </c>
      <c r="D1548" s="85" t="s">
        <v>60</v>
      </c>
      <c r="E1548" s="85">
        <v>22</v>
      </c>
      <c r="F1548" s="85">
        <v>4</v>
      </c>
      <c r="G1548" s="85">
        <f>--(F1548&lt;=Estimator!$B$7)</f>
        <v>1</v>
      </c>
      <c r="H1548" s="86">
        <f>SUMIFS('Climate Data'!$G$7:$G$366,'Climate Data'!$A$7:$A$366,Estimator!$B$4,'Climate Data'!$B$7:$B$366,C1548)</f>
        <v>0.18494623655913978</v>
      </c>
      <c r="I1548" s="87">
        <f>SUMIFS('Climate Data'!$H$7:$H$366,'Climate Data'!$A$7:$A$366,Estimator!$B$4,'Climate Data'!$B$7:$B$366,C1548)</f>
        <v>7.8662790697674421</v>
      </c>
      <c r="J1548" s="86">
        <f>SUMIFS('Wind Proxy'!$H$8:$H$19,'Wind Proxy'!$A$8:$A$19,Estimator!$B$4,'Wind Proxy'!$B$8:$B$19,C1548)</f>
        <v>0</v>
      </c>
    </row>
    <row r="1549" spans="1:10" ht="14.4">
      <c r="A1549" s="84">
        <v>47200</v>
      </c>
      <c r="B1549" s="85">
        <v>2029</v>
      </c>
      <c r="C1549" s="85">
        <v>3</v>
      </c>
      <c r="D1549" s="85" t="s">
        <v>60</v>
      </c>
      <c r="E1549" s="85">
        <v>23</v>
      </c>
      <c r="F1549" s="85">
        <v>5</v>
      </c>
      <c r="G1549" s="85">
        <f>--(F1549&lt;=Estimator!$B$7)</f>
        <v>1</v>
      </c>
      <c r="H1549" s="86">
        <f>SUMIFS('Climate Data'!$G$7:$G$366,'Climate Data'!$A$7:$A$366,Estimator!$B$4,'Climate Data'!$B$7:$B$366,C1549)</f>
        <v>0.18494623655913978</v>
      </c>
      <c r="I1549" s="87">
        <f>SUMIFS('Climate Data'!$H$7:$H$366,'Climate Data'!$A$7:$A$366,Estimator!$B$4,'Climate Data'!$B$7:$B$366,C1549)</f>
        <v>7.8662790697674421</v>
      </c>
      <c r="J1549" s="86">
        <f>SUMIFS('Wind Proxy'!$H$8:$H$19,'Wind Proxy'!$A$8:$A$19,Estimator!$B$4,'Wind Proxy'!$B$8:$B$19,C1549)</f>
        <v>0</v>
      </c>
    </row>
    <row r="1550" spans="1:10" ht="14.4">
      <c r="A1550" s="84">
        <v>47201</v>
      </c>
      <c r="B1550" s="85">
        <v>2029</v>
      </c>
      <c r="C1550" s="85">
        <v>3</v>
      </c>
      <c r="D1550" s="85" t="s">
        <v>60</v>
      </c>
      <c r="E1550" s="85">
        <v>24</v>
      </c>
      <c r="F1550" s="85">
        <v>6</v>
      </c>
      <c r="G1550" s="85">
        <f>--(F1550&lt;=Estimator!$B$7)</f>
        <v>0</v>
      </c>
      <c r="H1550" s="86">
        <f>SUMIFS('Climate Data'!$G$7:$G$366,'Climate Data'!$A$7:$A$366,Estimator!$B$4,'Climate Data'!$B$7:$B$366,C1550)</f>
        <v>0.18494623655913978</v>
      </c>
      <c r="I1550" s="87">
        <f>SUMIFS('Climate Data'!$H$7:$H$366,'Climate Data'!$A$7:$A$366,Estimator!$B$4,'Climate Data'!$B$7:$B$366,C1550)</f>
        <v>7.8662790697674421</v>
      </c>
      <c r="J1550" s="86">
        <f>SUMIFS('Wind Proxy'!$H$8:$H$19,'Wind Proxy'!$A$8:$A$19,Estimator!$B$4,'Wind Proxy'!$B$8:$B$19,C1550)</f>
        <v>0</v>
      </c>
    </row>
    <row r="1551" spans="1:10" ht="14.4">
      <c r="A1551" s="84">
        <v>47202</v>
      </c>
      <c r="B1551" s="85">
        <v>2029</v>
      </c>
      <c r="C1551" s="85">
        <v>3</v>
      </c>
      <c r="D1551" s="85" t="s">
        <v>60</v>
      </c>
      <c r="E1551" s="85">
        <v>25</v>
      </c>
      <c r="F1551" s="85">
        <v>7</v>
      </c>
      <c r="G1551" s="85">
        <f>--(F1551&lt;=Estimator!$B$7)</f>
        <v>0</v>
      </c>
      <c r="H1551" s="86">
        <f>SUMIFS('Climate Data'!$G$7:$G$366,'Climate Data'!$A$7:$A$366,Estimator!$B$4,'Climate Data'!$B$7:$B$366,C1551)</f>
        <v>0.18494623655913978</v>
      </c>
      <c r="I1551" s="87">
        <f>SUMIFS('Climate Data'!$H$7:$H$366,'Climate Data'!$A$7:$A$366,Estimator!$B$4,'Climate Data'!$B$7:$B$366,C1551)</f>
        <v>7.8662790697674421</v>
      </c>
      <c r="J1551" s="86">
        <f>SUMIFS('Wind Proxy'!$H$8:$H$19,'Wind Proxy'!$A$8:$A$19,Estimator!$B$4,'Wind Proxy'!$B$8:$B$19,C1551)</f>
        <v>0</v>
      </c>
    </row>
    <row r="1552" spans="1:10" ht="14.4">
      <c r="A1552" s="84">
        <v>47203</v>
      </c>
      <c r="B1552" s="85">
        <v>2029</v>
      </c>
      <c r="C1552" s="85">
        <v>3</v>
      </c>
      <c r="D1552" s="85" t="s">
        <v>60</v>
      </c>
      <c r="E1552" s="85">
        <v>26</v>
      </c>
      <c r="F1552" s="85">
        <v>1</v>
      </c>
      <c r="G1552" s="85">
        <f>--(F1552&lt;=Estimator!$B$7)</f>
        <v>1</v>
      </c>
      <c r="H1552" s="86">
        <f>SUMIFS('Climate Data'!$G$7:$G$366,'Climate Data'!$A$7:$A$366,Estimator!$B$4,'Climate Data'!$B$7:$B$366,C1552)</f>
        <v>0.18494623655913978</v>
      </c>
      <c r="I1552" s="87">
        <f>SUMIFS('Climate Data'!$H$7:$H$366,'Climate Data'!$A$7:$A$366,Estimator!$B$4,'Climate Data'!$B$7:$B$366,C1552)</f>
        <v>7.8662790697674421</v>
      </c>
      <c r="J1552" s="86">
        <f>SUMIFS('Wind Proxy'!$H$8:$H$19,'Wind Proxy'!$A$8:$A$19,Estimator!$B$4,'Wind Proxy'!$B$8:$B$19,C1552)</f>
        <v>0</v>
      </c>
    </row>
    <row r="1553" spans="1:10" ht="14.4">
      <c r="A1553" s="84">
        <v>47204</v>
      </c>
      <c r="B1553" s="85">
        <v>2029</v>
      </c>
      <c r="C1553" s="85">
        <v>3</v>
      </c>
      <c r="D1553" s="85" t="s">
        <v>60</v>
      </c>
      <c r="E1553" s="85">
        <v>27</v>
      </c>
      <c r="F1553" s="85">
        <v>2</v>
      </c>
      <c r="G1553" s="85">
        <f>--(F1553&lt;=Estimator!$B$7)</f>
        <v>1</v>
      </c>
      <c r="H1553" s="86">
        <f>SUMIFS('Climate Data'!$G$7:$G$366,'Climate Data'!$A$7:$A$366,Estimator!$B$4,'Climate Data'!$B$7:$B$366,C1553)</f>
        <v>0.18494623655913978</v>
      </c>
      <c r="I1553" s="87">
        <f>SUMIFS('Climate Data'!$H$7:$H$366,'Climate Data'!$A$7:$A$366,Estimator!$B$4,'Climate Data'!$B$7:$B$366,C1553)</f>
        <v>7.8662790697674421</v>
      </c>
      <c r="J1553" s="86">
        <f>SUMIFS('Wind Proxy'!$H$8:$H$19,'Wind Proxy'!$A$8:$A$19,Estimator!$B$4,'Wind Proxy'!$B$8:$B$19,C1553)</f>
        <v>0</v>
      </c>
    </row>
    <row r="1554" spans="1:10" ht="14.4">
      <c r="A1554" s="84">
        <v>47205</v>
      </c>
      <c r="B1554" s="85">
        <v>2029</v>
      </c>
      <c r="C1554" s="85">
        <v>3</v>
      </c>
      <c r="D1554" s="85" t="s">
        <v>60</v>
      </c>
      <c r="E1554" s="85">
        <v>28</v>
      </c>
      <c r="F1554" s="85">
        <v>3</v>
      </c>
      <c r="G1554" s="85">
        <f>--(F1554&lt;=Estimator!$B$7)</f>
        <v>1</v>
      </c>
      <c r="H1554" s="86">
        <f>SUMIFS('Climate Data'!$G$7:$G$366,'Climate Data'!$A$7:$A$366,Estimator!$B$4,'Climate Data'!$B$7:$B$366,C1554)</f>
        <v>0.18494623655913978</v>
      </c>
      <c r="I1554" s="87">
        <f>SUMIFS('Climate Data'!$H$7:$H$366,'Climate Data'!$A$7:$A$366,Estimator!$B$4,'Climate Data'!$B$7:$B$366,C1554)</f>
        <v>7.8662790697674421</v>
      </c>
      <c r="J1554" s="86">
        <f>SUMIFS('Wind Proxy'!$H$8:$H$19,'Wind Proxy'!$A$8:$A$19,Estimator!$B$4,'Wind Proxy'!$B$8:$B$19,C1554)</f>
        <v>0</v>
      </c>
    </row>
    <row r="1555" spans="1:10" ht="14.4">
      <c r="A1555" s="84">
        <v>47206</v>
      </c>
      <c r="B1555" s="85">
        <v>2029</v>
      </c>
      <c r="C1555" s="85">
        <v>3</v>
      </c>
      <c r="D1555" s="85" t="s">
        <v>60</v>
      </c>
      <c r="E1555" s="85">
        <v>29</v>
      </c>
      <c r="F1555" s="85">
        <v>4</v>
      </c>
      <c r="G1555" s="85">
        <f>--(F1555&lt;=Estimator!$B$7)</f>
        <v>1</v>
      </c>
      <c r="H1555" s="86">
        <f>SUMIFS('Climate Data'!$G$7:$G$366,'Climate Data'!$A$7:$A$366,Estimator!$B$4,'Climate Data'!$B$7:$B$366,C1555)</f>
        <v>0.18494623655913978</v>
      </c>
      <c r="I1555" s="87">
        <f>SUMIFS('Climate Data'!$H$7:$H$366,'Climate Data'!$A$7:$A$366,Estimator!$B$4,'Climate Data'!$B$7:$B$366,C1555)</f>
        <v>7.8662790697674421</v>
      </c>
      <c r="J1555" s="86">
        <f>SUMIFS('Wind Proxy'!$H$8:$H$19,'Wind Proxy'!$A$8:$A$19,Estimator!$B$4,'Wind Proxy'!$B$8:$B$19,C1555)</f>
        <v>0</v>
      </c>
    </row>
    <row r="1556" spans="1:10" ht="14.4">
      <c r="A1556" s="84">
        <v>47207</v>
      </c>
      <c r="B1556" s="85">
        <v>2029</v>
      </c>
      <c r="C1556" s="85">
        <v>3</v>
      </c>
      <c r="D1556" s="85" t="s">
        <v>60</v>
      </c>
      <c r="E1556" s="85">
        <v>30</v>
      </c>
      <c r="F1556" s="85">
        <v>5</v>
      </c>
      <c r="G1556" s="85">
        <f>--(F1556&lt;=Estimator!$B$7)</f>
        <v>1</v>
      </c>
      <c r="H1556" s="86">
        <f>SUMIFS('Climate Data'!$G$7:$G$366,'Climate Data'!$A$7:$A$366,Estimator!$B$4,'Climate Data'!$B$7:$B$366,C1556)</f>
        <v>0.18494623655913978</v>
      </c>
      <c r="I1556" s="87">
        <f>SUMIFS('Climate Data'!$H$7:$H$366,'Climate Data'!$A$7:$A$366,Estimator!$B$4,'Climate Data'!$B$7:$B$366,C1556)</f>
        <v>7.8662790697674421</v>
      </c>
      <c r="J1556" s="86">
        <f>SUMIFS('Wind Proxy'!$H$8:$H$19,'Wind Proxy'!$A$8:$A$19,Estimator!$B$4,'Wind Proxy'!$B$8:$B$19,C1556)</f>
        <v>0</v>
      </c>
    </row>
    <row r="1557" spans="1:10" ht="14.4">
      <c r="A1557" s="84">
        <v>47208</v>
      </c>
      <c r="B1557" s="85">
        <v>2029</v>
      </c>
      <c r="C1557" s="85">
        <v>3</v>
      </c>
      <c r="D1557" s="85" t="s">
        <v>60</v>
      </c>
      <c r="E1557" s="85">
        <v>31</v>
      </c>
      <c r="F1557" s="85">
        <v>6</v>
      </c>
      <c r="G1557" s="85">
        <f>--(F1557&lt;=Estimator!$B$7)</f>
        <v>0</v>
      </c>
      <c r="H1557" s="86">
        <f>SUMIFS('Climate Data'!$G$7:$G$366,'Climate Data'!$A$7:$A$366,Estimator!$B$4,'Climate Data'!$B$7:$B$366,C1557)</f>
        <v>0.18494623655913978</v>
      </c>
      <c r="I1557" s="87">
        <f>SUMIFS('Climate Data'!$H$7:$H$366,'Climate Data'!$A$7:$A$366,Estimator!$B$4,'Climate Data'!$B$7:$B$366,C1557)</f>
        <v>7.8662790697674421</v>
      </c>
      <c r="J1557" s="86">
        <f>SUMIFS('Wind Proxy'!$H$8:$H$19,'Wind Proxy'!$A$8:$A$19,Estimator!$B$4,'Wind Proxy'!$B$8:$B$19,C1557)</f>
        <v>0</v>
      </c>
    </row>
    <row r="1558" spans="1:10" ht="14.4">
      <c r="A1558" s="84">
        <v>47209</v>
      </c>
      <c r="B1558" s="85">
        <v>2029</v>
      </c>
      <c r="C1558" s="85">
        <v>4</v>
      </c>
      <c r="D1558" s="85" t="s">
        <v>62</v>
      </c>
      <c r="E1558" s="85">
        <v>1</v>
      </c>
      <c r="F1558" s="85">
        <v>7</v>
      </c>
      <c r="G1558" s="85">
        <f>--(F1558&lt;=Estimator!$B$7)</f>
        <v>0</v>
      </c>
      <c r="H1558" s="86">
        <f>SUMIFS('Climate Data'!$G$7:$G$366,'Climate Data'!$A$7:$A$366,Estimator!$B$4,'Climate Data'!$B$7:$B$366,C1558)</f>
        <v>0.25555555555555559</v>
      </c>
      <c r="I1558" s="87">
        <f>SUMIFS('Climate Data'!$H$7:$H$366,'Climate Data'!$A$7:$A$366,Estimator!$B$4,'Climate Data'!$B$7:$B$366,C1558)</f>
        <v>7.5</v>
      </c>
      <c r="J1558" s="86">
        <f>SUMIFS('Wind Proxy'!$H$8:$H$19,'Wind Proxy'!$A$8:$A$19,Estimator!$B$4,'Wind Proxy'!$B$8:$B$19,C1558)</f>
        <v>0</v>
      </c>
    </row>
    <row r="1559" spans="1:10" ht="14.4">
      <c r="A1559" s="84">
        <v>47210</v>
      </c>
      <c r="B1559" s="85">
        <v>2029</v>
      </c>
      <c r="C1559" s="85">
        <v>4</v>
      </c>
      <c r="D1559" s="85" t="s">
        <v>62</v>
      </c>
      <c r="E1559" s="85">
        <v>2</v>
      </c>
      <c r="F1559" s="85">
        <v>1</v>
      </c>
      <c r="G1559" s="85">
        <f>--(F1559&lt;=Estimator!$B$7)</f>
        <v>1</v>
      </c>
      <c r="H1559" s="86">
        <f>SUMIFS('Climate Data'!$G$7:$G$366,'Climate Data'!$A$7:$A$366,Estimator!$B$4,'Climate Data'!$B$7:$B$366,C1559)</f>
        <v>0.25555555555555559</v>
      </c>
      <c r="I1559" s="87">
        <f>SUMIFS('Climate Data'!$H$7:$H$366,'Climate Data'!$A$7:$A$366,Estimator!$B$4,'Climate Data'!$B$7:$B$366,C1559)</f>
        <v>7.5</v>
      </c>
      <c r="J1559" s="86">
        <f>SUMIFS('Wind Proxy'!$H$8:$H$19,'Wind Proxy'!$A$8:$A$19,Estimator!$B$4,'Wind Proxy'!$B$8:$B$19,C1559)</f>
        <v>0</v>
      </c>
    </row>
    <row r="1560" spans="1:10" ht="14.4">
      <c r="A1560" s="84">
        <v>47211</v>
      </c>
      <c r="B1560" s="85">
        <v>2029</v>
      </c>
      <c r="C1560" s="85">
        <v>4</v>
      </c>
      <c r="D1560" s="85" t="s">
        <v>62</v>
      </c>
      <c r="E1560" s="85">
        <v>3</v>
      </c>
      <c r="F1560" s="85">
        <v>2</v>
      </c>
      <c r="G1560" s="85">
        <f>--(F1560&lt;=Estimator!$B$7)</f>
        <v>1</v>
      </c>
      <c r="H1560" s="86">
        <f>SUMIFS('Climate Data'!$G$7:$G$366,'Climate Data'!$A$7:$A$366,Estimator!$B$4,'Climate Data'!$B$7:$B$366,C1560)</f>
        <v>0.25555555555555559</v>
      </c>
      <c r="I1560" s="87">
        <f>SUMIFS('Climate Data'!$H$7:$H$366,'Climate Data'!$A$7:$A$366,Estimator!$B$4,'Climate Data'!$B$7:$B$366,C1560)</f>
        <v>7.5</v>
      </c>
      <c r="J1560" s="86">
        <f>SUMIFS('Wind Proxy'!$H$8:$H$19,'Wind Proxy'!$A$8:$A$19,Estimator!$B$4,'Wind Proxy'!$B$8:$B$19,C1560)</f>
        <v>0</v>
      </c>
    </row>
    <row r="1561" spans="1:10" ht="14.4">
      <c r="A1561" s="84">
        <v>47212</v>
      </c>
      <c r="B1561" s="85">
        <v>2029</v>
      </c>
      <c r="C1561" s="85">
        <v>4</v>
      </c>
      <c r="D1561" s="85" t="s">
        <v>62</v>
      </c>
      <c r="E1561" s="85">
        <v>4</v>
      </c>
      <c r="F1561" s="85">
        <v>3</v>
      </c>
      <c r="G1561" s="85">
        <f>--(F1561&lt;=Estimator!$B$7)</f>
        <v>1</v>
      </c>
      <c r="H1561" s="86">
        <f>SUMIFS('Climate Data'!$G$7:$G$366,'Climate Data'!$A$7:$A$366,Estimator!$B$4,'Climate Data'!$B$7:$B$366,C1561)</f>
        <v>0.25555555555555559</v>
      </c>
      <c r="I1561" s="87">
        <f>SUMIFS('Climate Data'!$H$7:$H$366,'Climate Data'!$A$7:$A$366,Estimator!$B$4,'Climate Data'!$B$7:$B$366,C1561)</f>
        <v>7.5</v>
      </c>
      <c r="J1561" s="86">
        <f>SUMIFS('Wind Proxy'!$H$8:$H$19,'Wind Proxy'!$A$8:$A$19,Estimator!$B$4,'Wind Proxy'!$B$8:$B$19,C1561)</f>
        <v>0</v>
      </c>
    </row>
    <row r="1562" spans="1:10" ht="14.4">
      <c r="A1562" s="84">
        <v>47213</v>
      </c>
      <c r="B1562" s="85">
        <v>2029</v>
      </c>
      <c r="C1562" s="85">
        <v>4</v>
      </c>
      <c r="D1562" s="85" t="s">
        <v>62</v>
      </c>
      <c r="E1562" s="85">
        <v>5</v>
      </c>
      <c r="F1562" s="85">
        <v>4</v>
      </c>
      <c r="G1562" s="85">
        <f>--(F1562&lt;=Estimator!$B$7)</f>
        <v>1</v>
      </c>
      <c r="H1562" s="86">
        <f>SUMIFS('Climate Data'!$G$7:$G$366,'Climate Data'!$A$7:$A$366,Estimator!$B$4,'Climate Data'!$B$7:$B$366,C1562)</f>
        <v>0.25555555555555559</v>
      </c>
      <c r="I1562" s="87">
        <f>SUMIFS('Climate Data'!$H$7:$H$366,'Climate Data'!$A$7:$A$366,Estimator!$B$4,'Climate Data'!$B$7:$B$366,C1562)</f>
        <v>7.5</v>
      </c>
      <c r="J1562" s="86">
        <f>SUMIFS('Wind Proxy'!$H$8:$H$19,'Wind Proxy'!$A$8:$A$19,Estimator!$B$4,'Wind Proxy'!$B$8:$B$19,C1562)</f>
        <v>0</v>
      </c>
    </row>
    <row r="1563" spans="1:10" ht="14.4">
      <c r="A1563" s="84">
        <v>47214</v>
      </c>
      <c r="B1563" s="85">
        <v>2029</v>
      </c>
      <c r="C1563" s="85">
        <v>4</v>
      </c>
      <c r="D1563" s="85" t="s">
        <v>62</v>
      </c>
      <c r="E1563" s="85">
        <v>6</v>
      </c>
      <c r="F1563" s="85">
        <v>5</v>
      </c>
      <c r="G1563" s="85">
        <f>--(F1563&lt;=Estimator!$B$7)</f>
        <v>1</v>
      </c>
      <c r="H1563" s="86">
        <f>SUMIFS('Climate Data'!$G$7:$G$366,'Climate Data'!$A$7:$A$366,Estimator!$B$4,'Climate Data'!$B$7:$B$366,C1563)</f>
        <v>0.25555555555555559</v>
      </c>
      <c r="I1563" s="87">
        <f>SUMIFS('Climate Data'!$H$7:$H$366,'Climate Data'!$A$7:$A$366,Estimator!$B$4,'Climate Data'!$B$7:$B$366,C1563)</f>
        <v>7.5</v>
      </c>
      <c r="J1563" s="86">
        <f>SUMIFS('Wind Proxy'!$H$8:$H$19,'Wind Proxy'!$A$8:$A$19,Estimator!$B$4,'Wind Proxy'!$B$8:$B$19,C1563)</f>
        <v>0</v>
      </c>
    </row>
    <row r="1564" spans="1:10" ht="14.4">
      <c r="A1564" s="84">
        <v>47215</v>
      </c>
      <c r="B1564" s="85">
        <v>2029</v>
      </c>
      <c r="C1564" s="85">
        <v>4</v>
      </c>
      <c r="D1564" s="85" t="s">
        <v>62</v>
      </c>
      <c r="E1564" s="85">
        <v>7</v>
      </c>
      <c r="F1564" s="85">
        <v>6</v>
      </c>
      <c r="G1564" s="85">
        <f>--(F1564&lt;=Estimator!$B$7)</f>
        <v>0</v>
      </c>
      <c r="H1564" s="86">
        <f>SUMIFS('Climate Data'!$G$7:$G$366,'Climate Data'!$A$7:$A$366,Estimator!$B$4,'Climate Data'!$B$7:$B$366,C1564)</f>
        <v>0.25555555555555559</v>
      </c>
      <c r="I1564" s="87">
        <f>SUMIFS('Climate Data'!$H$7:$H$366,'Climate Data'!$A$7:$A$366,Estimator!$B$4,'Climate Data'!$B$7:$B$366,C1564)</f>
        <v>7.5</v>
      </c>
      <c r="J1564" s="86">
        <f>SUMIFS('Wind Proxy'!$H$8:$H$19,'Wind Proxy'!$A$8:$A$19,Estimator!$B$4,'Wind Proxy'!$B$8:$B$19,C1564)</f>
        <v>0</v>
      </c>
    </row>
    <row r="1565" spans="1:10" ht="14.4">
      <c r="A1565" s="84">
        <v>47216</v>
      </c>
      <c r="B1565" s="85">
        <v>2029</v>
      </c>
      <c r="C1565" s="85">
        <v>4</v>
      </c>
      <c r="D1565" s="85" t="s">
        <v>62</v>
      </c>
      <c r="E1565" s="85">
        <v>8</v>
      </c>
      <c r="F1565" s="85">
        <v>7</v>
      </c>
      <c r="G1565" s="85">
        <f>--(F1565&lt;=Estimator!$B$7)</f>
        <v>0</v>
      </c>
      <c r="H1565" s="86">
        <f>SUMIFS('Climate Data'!$G$7:$G$366,'Climate Data'!$A$7:$A$366,Estimator!$B$4,'Climate Data'!$B$7:$B$366,C1565)</f>
        <v>0.25555555555555559</v>
      </c>
      <c r="I1565" s="87">
        <f>SUMIFS('Climate Data'!$H$7:$H$366,'Climate Data'!$A$7:$A$366,Estimator!$B$4,'Climate Data'!$B$7:$B$366,C1565)</f>
        <v>7.5</v>
      </c>
      <c r="J1565" s="86">
        <f>SUMIFS('Wind Proxy'!$H$8:$H$19,'Wind Proxy'!$A$8:$A$19,Estimator!$B$4,'Wind Proxy'!$B$8:$B$19,C1565)</f>
        <v>0</v>
      </c>
    </row>
    <row r="1566" spans="1:10" ht="14.4">
      <c r="A1566" s="84">
        <v>47217</v>
      </c>
      <c r="B1566" s="85">
        <v>2029</v>
      </c>
      <c r="C1566" s="85">
        <v>4</v>
      </c>
      <c r="D1566" s="85" t="s">
        <v>62</v>
      </c>
      <c r="E1566" s="85">
        <v>9</v>
      </c>
      <c r="F1566" s="85">
        <v>1</v>
      </c>
      <c r="G1566" s="85">
        <f>--(F1566&lt;=Estimator!$B$7)</f>
        <v>1</v>
      </c>
      <c r="H1566" s="86">
        <f>SUMIFS('Climate Data'!$G$7:$G$366,'Climate Data'!$A$7:$A$366,Estimator!$B$4,'Climate Data'!$B$7:$B$366,C1566)</f>
        <v>0.25555555555555559</v>
      </c>
      <c r="I1566" s="87">
        <f>SUMIFS('Climate Data'!$H$7:$H$366,'Climate Data'!$A$7:$A$366,Estimator!$B$4,'Climate Data'!$B$7:$B$366,C1566)</f>
        <v>7.5</v>
      </c>
      <c r="J1566" s="86">
        <f>SUMIFS('Wind Proxy'!$H$8:$H$19,'Wind Proxy'!$A$8:$A$19,Estimator!$B$4,'Wind Proxy'!$B$8:$B$19,C1566)</f>
        <v>0</v>
      </c>
    </row>
    <row r="1567" spans="1:10" ht="14.4">
      <c r="A1567" s="84">
        <v>47218</v>
      </c>
      <c r="B1567" s="85">
        <v>2029</v>
      </c>
      <c r="C1567" s="85">
        <v>4</v>
      </c>
      <c r="D1567" s="85" t="s">
        <v>62</v>
      </c>
      <c r="E1567" s="85">
        <v>10</v>
      </c>
      <c r="F1567" s="85">
        <v>2</v>
      </c>
      <c r="G1567" s="85">
        <f>--(F1567&lt;=Estimator!$B$7)</f>
        <v>1</v>
      </c>
      <c r="H1567" s="86">
        <f>SUMIFS('Climate Data'!$G$7:$G$366,'Climate Data'!$A$7:$A$366,Estimator!$B$4,'Climate Data'!$B$7:$B$366,C1567)</f>
        <v>0.25555555555555559</v>
      </c>
      <c r="I1567" s="87">
        <f>SUMIFS('Climate Data'!$H$7:$H$366,'Climate Data'!$A$7:$A$366,Estimator!$B$4,'Climate Data'!$B$7:$B$366,C1567)</f>
        <v>7.5</v>
      </c>
      <c r="J1567" s="86">
        <f>SUMIFS('Wind Proxy'!$H$8:$H$19,'Wind Proxy'!$A$8:$A$19,Estimator!$B$4,'Wind Proxy'!$B$8:$B$19,C1567)</f>
        <v>0</v>
      </c>
    </row>
    <row r="1568" spans="1:10" ht="14.4">
      <c r="A1568" s="84">
        <v>47219</v>
      </c>
      <c r="B1568" s="85">
        <v>2029</v>
      </c>
      <c r="C1568" s="85">
        <v>4</v>
      </c>
      <c r="D1568" s="85" t="s">
        <v>62</v>
      </c>
      <c r="E1568" s="85">
        <v>11</v>
      </c>
      <c r="F1568" s="85">
        <v>3</v>
      </c>
      <c r="G1568" s="85">
        <f>--(F1568&lt;=Estimator!$B$7)</f>
        <v>1</v>
      </c>
      <c r="H1568" s="86">
        <f>SUMIFS('Climate Data'!$G$7:$G$366,'Climate Data'!$A$7:$A$366,Estimator!$B$4,'Climate Data'!$B$7:$B$366,C1568)</f>
        <v>0.25555555555555559</v>
      </c>
      <c r="I1568" s="87">
        <f>SUMIFS('Climate Data'!$H$7:$H$366,'Climate Data'!$A$7:$A$366,Estimator!$B$4,'Climate Data'!$B$7:$B$366,C1568)</f>
        <v>7.5</v>
      </c>
      <c r="J1568" s="86">
        <f>SUMIFS('Wind Proxy'!$H$8:$H$19,'Wind Proxy'!$A$8:$A$19,Estimator!$B$4,'Wind Proxy'!$B$8:$B$19,C1568)</f>
        <v>0</v>
      </c>
    </row>
    <row r="1569" spans="1:10" ht="14.4">
      <c r="A1569" s="84">
        <v>47220</v>
      </c>
      <c r="B1569" s="85">
        <v>2029</v>
      </c>
      <c r="C1569" s="85">
        <v>4</v>
      </c>
      <c r="D1569" s="85" t="s">
        <v>62</v>
      </c>
      <c r="E1569" s="85">
        <v>12</v>
      </c>
      <c r="F1569" s="85">
        <v>4</v>
      </c>
      <c r="G1569" s="85">
        <f>--(F1569&lt;=Estimator!$B$7)</f>
        <v>1</v>
      </c>
      <c r="H1569" s="86">
        <f>SUMIFS('Climate Data'!$G$7:$G$366,'Climate Data'!$A$7:$A$366,Estimator!$B$4,'Climate Data'!$B$7:$B$366,C1569)</f>
        <v>0.25555555555555559</v>
      </c>
      <c r="I1569" s="87">
        <f>SUMIFS('Climate Data'!$H$7:$H$366,'Climate Data'!$A$7:$A$366,Estimator!$B$4,'Climate Data'!$B$7:$B$366,C1569)</f>
        <v>7.5</v>
      </c>
      <c r="J1569" s="86">
        <f>SUMIFS('Wind Proxy'!$H$8:$H$19,'Wind Proxy'!$A$8:$A$19,Estimator!$B$4,'Wind Proxy'!$B$8:$B$19,C1569)</f>
        <v>0</v>
      </c>
    </row>
    <row r="1570" spans="1:10" ht="14.4">
      <c r="A1570" s="84">
        <v>47221</v>
      </c>
      <c r="B1570" s="85">
        <v>2029</v>
      </c>
      <c r="C1570" s="85">
        <v>4</v>
      </c>
      <c r="D1570" s="85" t="s">
        <v>62</v>
      </c>
      <c r="E1570" s="85">
        <v>13</v>
      </c>
      <c r="F1570" s="85">
        <v>5</v>
      </c>
      <c r="G1570" s="85">
        <f>--(F1570&lt;=Estimator!$B$7)</f>
        <v>1</v>
      </c>
      <c r="H1570" s="86">
        <f>SUMIFS('Climate Data'!$G$7:$G$366,'Climate Data'!$A$7:$A$366,Estimator!$B$4,'Climate Data'!$B$7:$B$366,C1570)</f>
        <v>0.25555555555555559</v>
      </c>
      <c r="I1570" s="87">
        <f>SUMIFS('Climate Data'!$H$7:$H$366,'Climate Data'!$A$7:$A$366,Estimator!$B$4,'Climate Data'!$B$7:$B$366,C1570)</f>
        <v>7.5</v>
      </c>
      <c r="J1570" s="86">
        <f>SUMIFS('Wind Proxy'!$H$8:$H$19,'Wind Proxy'!$A$8:$A$19,Estimator!$B$4,'Wind Proxy'!$B$8:$B$19,C1570)</f>
        <v>0</v>
      </c>
    </row>
    <row r="1571" spans="1:10" ht="14.4">
      <c r="A1571" s="84">
        <v>47222</v>
      </c>
      <c r="B1571" s="85">
        <v>2029</v>
      </c>
      <c r="C1571" s="85">
        <v>4</v>
      </c>
      <c r="D1571" s="85" t="s">
        <v>62</v>
      </c>
      <c r="E1571" s="85">
        <v>14</v>
      </c>
      <c r="F1571" s="85">
        <v>6</v>
      </c>
      <c r="G1571" s="85">
        <f>--(F1571&lt;=Estimator!$B$7)</f>
        <v>0</v>
      </c>
      <c r="H1571" s="86">
        <f>SUMIFS('Climate Data'!$G$7:$G$366,'Climate Data'!$A$7:$A$366,Estimator!$B$4,'Climate Data'!$B$7:$B$366,C1571)</f>
        <v>0.25555555555555559</v>
      </c>
      <c r="I1571" s="87">
        <f>SUMIFS('Climate Data'!$H$7:$H$366,'Climate Data'!$A$7:$A$366,Estimator!$B$4,'Climate Data'!$B$7:$B$366,C1571)</f>
        <v>7.5</v>
      </c>
      <c r="J1571" s="86">
        <f>SUMIFS('Wind Proxy'!$H$8:$H$19,'Wind Proxy'!$A$8:$A$19,Estimator!$B$4,'Wind Proxy'!$B$8:$B$19,C1571)</f>
        <v>0</v>
      </c>
    </row>
    <row r="1572" spans="1:10" ht="14.4">
      <c r="A1572" s="84">
        <v>47223</v>
      </c>
      <c r="B1572" s="85">
        <v>2029</v>
      </c>
      <c r="C1572" s="85">
        <v>4</v>
      </c>
      <c r="D1572" s="85" t="s">
        <v>62</v>
      </c>
      <c r="E1572" s="85">
        <v>15</v>
      </c>
      <c r="F1572" s="85">
        <v>7</v>
      </c>
      <c r="G1572" s="85">
        <f>--(F1572&lt;=Estimator!$B$7)</f>
        <v>0</v>
      </c>
      <c r="H1572" s="86">
        <f>SUMIFS('Climate Data'!$G$7:$G$366,'Climate Data'!$A$7:$A$366,Estimator!$B$4,'Climate Data'!$B$7:$B$366,C1572)</f>
        <v>0.25555555555555559</v>
      </c>
      <c r="I1572" s="87">
        <f>SUMIFS('Climate Data'!$H$7:$H$366,'Climate Data'!$A$7:$A$366,Estimator!$B$4,'Climate Data'!$B$7:$B$366,C1572)</f>
        <v>7.5</v>
      </c>
      <c r="J1572" s="86">
        <f>SUMIFS('Wind Proxy'!$H$8:$H$19,'Wind Proxy'!$A$8:$A$19,Estimator!$B$4,'Wind Proxy'!$B$8:$B$19,C1572)</f>
        <v>0</v>
      </c>
    </row>
    <row r="1573" spans="1:10" ht="14.4">
      <c r="A1573" s="84">
        <v>47224</v>
      </c>
      <c r="B1573" s="85">
        <v>2029</v>
      </c>
      <c r="C1573" s="85">
        <v>4</v>
      </c>
      <c r="D1573" s="85" t="s">
        <v>62</v>
      </c>
      <c r="E1573" s="85">
        <v>16</v>
      </c>
      <c r="F1573" s="85">
        <v>1</v>
      </c>
      <c r="G1573" s="85">
        <f>--(F1573&lt;=Estimator!$B$7)</f>
        <v>1</v>
      </c>
      <c r="H1573" s="86">
        <f>SUMIFS('Climate Data'!$G$7:$G$366,'Climate Data'!$A$7:$A$366,Estimator!$B$4,'Climate Data'!$B$7:$B$366,C1573)</f>
        <v>0.25555555555555559</v>
      </c>
      <c r="I1573" s="87">
        <f>SUMIFS('Climate Data'!$H$7:$H$366,'Climate Data'!$A$7:$A$366,Estimator!$B$4,'Climate Data'!$B$7:$B$366,C1573)</f>
        <v>7.5</v>
      </c>
      <c r="J1573" s="86">
        <f>SUMIFS('Wind Proxy'!$H$8:$H$19,'Wind Proxy'!$A$8:$A$19,Estimator!$B$4,'Wind Proxy'!$B$8:$B$19,C1573)</f>
        <v>0</v>
      </c>
    </row>
    <row r="1574" spans="1:10" ht="14.4">
      <c r="A1574" s="84">
        <v>47225</v>
      </c>
      <c r="B1574" s="85">
        <v>2029</v>
      </c>
      <c r="C1574" s="85">
        <v>4</v>
      </c>
      <c r="D1574" s="85" t="s">
        <v>62</v>
      </c>
      <c r="E1574" s="85">
        <v>17</v>
      </c>
      <c r="F1574" s="85">
        <v>2</v>
      </c>
      <c r="G1574" s="85">
        <f>--(F1574&lt;=Estimator!$B$7)</f>
        <v>1</v>
      </c>
      <c r="H1574" s="86">
        <f>SUMIFS('Climate Data'!$G$7:$G$366,'Climate Data'!$A$7:$A$366,Estimator!$B$4,'Climate Data'!$B$7:$B$366,C1574)</f>
        <v>0.25555555555555559</v>
      </c>
      <c r="I1574" s="87">
        <f>SUMIFS('Climate Data'!$H$7:$H$366,'Climate Data'!$A$7:$A$366,Estimator!$B$4,'Climate Data'!$B$7:$B$366,C1574)</f>
        <v>7.5</v>
      </c>
      <c r="J1574" s="86">
        <f>SUMIFS('Wind Proxy'!$H$8:$H$19,'Wind Proxy'!$A$8:$A$19,Estimator!$B$4,'Wind Proxy'!$B$8:$B$19,C1574)</f>
        <v>0</v>
      </c>
    </row>
    <row r="1575" spans="1:10" ht="14.4">
      <c r="A1575" s="84">
        <v>47226</v>
      </c>
      <c r="B1575" s="85">
        <v>2029</v>
      </c>
      <c r="C1575" s="85">
        <v>4</v>
      </c>
      <c r="D1575" s="85" t="s">
        <v>62</v>
      </c>
      <c r="E1575" s="85">
        <v>18</v>
      </c>
      <c r="F1575" s="85">
        <v>3</v>
      </c>
      <c r="G1575" s="85">
        <f>--(F1575&lt;=Estimator!$B$7)</f>
        <v>1</v>
      </c>
      <c r="H1575" s="86">
        <f>SUMIFS('Climate Data'!$G$7:$G$366,'Climate Data'!$A$7:$A$366,Estimator!$B$4,'Climate Data'!$B$7:$B$366,C1575)</f>
        <v>0.25555555555555559</v>
      </c>
      <c r="I1575" s="87">
        <f>SUMIFS('Climate Data'!$H$7:$H$366,'Climate Data'!$A$7:$A$366,Estimator!$B$4,'Climate Data'!$B$7:$B$366,C1575)</f>
        <v>7.5</v>
      </c>
      <c r="J1575" s="86">
        <f>SUMIFS('Wind Proxy'!$H$8:$H$19,'Wind Proxy'!$A$8:$A$19,Estimator!$B$4,'Wind Proxy'!$B$8:$B$19,C1575)</f>
        <v>0</v>
      </c>
    </row>
    <row r="1576" spans="1:10" ht="14.4">
      <c r="A1576" s="84">
        <v>47227</v>
      </c>
      <c r="B1576" s="85">
        <v>2029</v>
      </c>
      <c r="C1576" s="85">
        <v>4</v>
      </c>
      <c r="D1576" s="85" t="s">
        <v>62</v>
      </c>
      <c r="E1576" s="85">
        <v>19</v>
      </c>
      <c r="F1576" s="85">
        <v>4</v>
      </c>
      <c r="G1576" s="85">
        <f>--(F1576&lt;=Estimator!$B$7)</f>
        <v>1</v>
      </c>
      <c r="H1576" s="86">
        <f>SUMIFS('Climate Data'!$G$7:$G$366,'Climate Data'!$A$7:$A$366,Estimator!$B$4,'Climate Data'!$B$7:$B$366,C1576)</f>
        <v>0.25555555555555559</v>
      </c>
      <c r="I1576" s="87">
        <f>SUMIFS('Climate Data'!$H$7:$H$366,'Climate Data'!$A$7:$A$366,Estimator!$B$4,'Climate Data'!$B$7:$B$366,C1576)</f>
        <v>7.5</v>
      </c>
      <c r="J1576" s="86">
        <f>SUMIFS('Wind Proxy'!$H$8:$H$19,'Wind Proxy'!$A$8:$A$19,Estimator!$B$4,'Wind Proxy'!$B$8:$B$19,C1576)</f>
        <v>0</v>
      </c>
    </row>
    <row r="1577" spans="1:10" ht="14.4">
      <c r="A1577" s="84">
        <v>47228</v>
      </c>
      <c r="B1577" s="85">
        <v>2029</v>
      </c>
      <c r="C1577" s="85">
        <v>4</v>
      </c>
      <c r="D1577" s="85" t="s">
        <v>62</v>
      </c>
      <c r="E1577" s="85">
        <v>20</v>
      </c>
      <c r="F1577" s="85">
        <v>5</v>
      </c>
      <c r="G1577" s="85">
        <f>--(F1577&lt;=Estimator!$B$7)</f>
        <v>1</v>
      </c>
      <c r="H1577" s="86">
        <f>SUMIFS('Climate Data'!$G$7:$G$366,'Climate Data'!$A$7:$A$366,Estimator!$B$4,'Climate Data'!$B$7:$B$366,C1577)</f>
        <v>0.25555555555555559</v>
      </c>
      <c r="I1577" s="87">
        <f>SUMIFS('Climate Data'!$H$7:$H$366,'Climate Data'!$A$7:$A$366,Estimator!$B$4,'Climate Data'!$B$7:$B$366,C1577)</f>
        <v>7.5</v>
      </c>
      <c r="J1577" s="86">
        <f>SUMIFS('Wind Proxy'!$H$8:$H$19,'Wind Proxy'!$A$8:$A$19,Estimator!$B$4,'Wind Proxy'!$B$8:$B$19,C1577)</f>
        <v>0</v>
      </c>
    </row>
    <row r="1578" spans="1:10" ht="14.4">
      <c r="A1578" s="84">
        <v>47229</v>
      </c>
      <c r="B1578" s="85">
        <v>2029</v>
      </c>
      <c r="C1578" s="85">
        <v>4</v>
      </c>
      <c r="D1578" s="85" t="s">
        <v>62</v>
      </c>
      <c r="E1578" s="85">
        <v>21</v>
      </c>
      <c r="F1578" s="85">
        <v>6</v>
      </c>
      <c r="G1578" s="85">
        <f>--(F1578&lt;=Estimator!$B$7)</f>
        <v>0</v>
      </c>
      <c r="H1578" s="86">
        <f>SUMIFS('Climate Data'!$G$7:$G$366,'Climate Data'!$A$7:$A$366,Estimator!$B$4,'Climate Data'!$B$7:$B$366,C1578)</f>
        <v>0.25555555555555559</v>
      </c>
      <c r="I1578" s="87">
        <f>SUMIFS('Climate Data'!$H$7:$H$366,'Climate Data'!$A$7:$A$366,Estimator!$B$4,'Climate Data'!$B$7:$B$366,C1578)</f>
        <v>7.5</v>
      </c>
      <c r="J1578" s="86">
        <f>SUMIFS('Wind Proxy'!$H$8:$H$19,'Wind Proxy'!$A$8:$A$19,Estimator!$B$4,'Wind Proxy'!$B$8:$B$19,C1578)</f>
        <v>0</v>
      </c>
    </row>
    <row r="1579" spans="1:10" ht="14.4">
      <c r="A1579" s="84">
        <v>47230</v>
      </c>
      <c r="B1579" s="85">
        <v>2029</v>
      </c>
      <c r="C1579" s="85">
        <v>4</v>
      </c>
      <c r="D1579" s="85" t="s">
        <v>62</v>
      </c>
      <c r="E1579" s="85">
        <v>22</v>
      </c>
      <c r="F1579" s="85">
        <v>7</v>
      </c>
      <c r="G1579" s="85">
        <f>--(F1579&lt;=Estimator!$B$7)</f>
        <v>0</v>
      </c>
      <c r="H1579" s="86">
        <f>SUMIFS('Climate Data'!$G$7:$G$366,'Climate Data'!$A$7:$A$366,Estimator!$B$4,'Climate Data'!$B$7:$B$366,C1579)</f>
        <v>0.25555555555555559</v>
      </c>
      <c r="I1579" s="87">
        <f>SUMIFS('Climate Data'!$H$7:$H$366,'Climate Data'!$A$7:$A$366,Estimator!$B$4,'Climate Data'!$B$7:$B$366,C1579)</f>
        <v>7.5</v>
      </c>
      <c r="J1579" s="86">
        <f>SUMIFS('Wind Proxy'!$H$8:$H$19,'Wind Proxy'!$A$8:$A$19,Estimator!$B$4,'Wind Proxy'!$B$8:$B$19,C1579)</f>
        <v>0</v>
      </c>
    </row>
    <row r="1580" spans="1:10" ht="14.4">
      <c r="A1580" s="84">
        <v>47231</v>
      </c>
      <c r="B1580" s="85">
        <v>2029</v>
      </c>
      <c r="C1580" s="85">
        <v>4</v>
      </c>
      <c r="D1580" s="85" t="s">
        <v>62</v>
      </c>
      <c r="E1580" s="85">
        <v>23</v>
      </c>
      <c r="F1580" s="85">
        <v>1</v>
      </c>
      <c r="G1580" s="85">
        <f>--(F1580&lt;=Estimator!$B$7)</f>
        <v>1</v>
      </c>
      <c r="H1580" s="86">
        <f>SUMIFS('Climate Data'!$G$7:$G$366,'Climate Data'!$A$7:$A$366,Estimator!$B$4,'Climate Data'!$B$7:$B$366,C1580)</f>
        <v>0.25555555555555559</v>
      </c>
      <c r="I1580" s="87">
        <f>SUMIFS('Climate Data'!$H$7:$H$366,'Climate Data'!$A$7:$A$366,Estimator!$B$4,'Climate Data'!$B$7:$B$366,C1580)</f>
        <v>7.5</v>
      </c>
      <c r="J1580" s="86">
        <f>SUMIFS('Wind Proxy'!$H$8:$H$19,'Wind Proxy'!$A$8:$A$19,Estimator!$B$4,'Wind Proxy'!$B$8:$B$19,C1580)</f>
        <v>0</v>
      </c>
    </row>
    <row r="1581" spans="1:10" ht="14.4">
      <c r="A1581" s="84">
        <v>47232</v>
      </c>
      <c r="B1581" s="85">
        <v>2029</v>
      </c>
      <c r="C1581" s="85">
        <v>4</v>
      </c>
      <c r="D1581" s="85" t="s">
        <v>62</v>
      </c>
      <c r="E1581" s="85">
        <v>24</v>
      </c>
      <c r="F1581" s="85">
        <v>2</v>
      </c>
      <c r="G1581" s="85">
        <f>--(F1581&lt;=Estimator!$B$7)</f>
        <v>1</v>
      </c>
      <c r="H1581" s="86">
        <f>SUMIFS('Climate Data'!$G$7:$G$366,'Climate Data'!$A$7:$A$366,Estimator!$B$4,'Climate Data'!$B$7:$B$366,C1581)</f>
        <v>0.25555555555555559</v>
      </c>
      <c r="I1581" s="87">
        <f>SUMIFS('Climate Data'!$H$7:$H$366,'Climate Data'!$A$7:$A$366,Estimator!$B$4,'Climate Data'!$B$7:$B$366,C1581)</f>
        <v>7.5</v>
      </c>
      <c r="J1581" s="86">
        <f>SUMIFS('Wind Proxy'!$H$8:$H$19,'Wind Proxy'!$A$8:$A$19,Estimator!$B$4,'Wind Proxy'!$B$8:$B$19,C1581)</f>
        <v>0</v>
      </c>
    </row>
    <row r="1582" spans="1:10" ht="14.4">
      <c r="A1582" s="84">
        <v>47233</v>
      </c>
      <c r="B1582" s="85">
        <v>2029</v>
      </c>
      <c r="C1582" s="85">
        <v>4</v>
      </c>
      <c r="D1582" s="85" t="s">
        <v>62</v>
      </c>
      <c r="E1582" s="85">
        <v>25</v>
      </c>
      <c r="F1582" s="85">
        <v>3</v>
      </c>
      <c r="G1582" s="85">
        <f>--(F1582&lt;=Estimator!$B$7)</f>
        <v>1</v>
      </c>
      <c r="H1582" s="86">
        <f>SUMIFS('Climate Data'!$G$7:$G$366,'Climate Data'!$A$7:$A$366,Estimator!$B$4,'Climate Data'!$B$7:$B$366,C1582)</f>
        <v>0.25555555555555559</v>
      </c>
      <c r="I1582" s="87">
        <f>SUMIFS('Climate Data'!$H$7:$H$366,'Climate Data'!$A$7:$A$366,Estimator!$B$4,'Climate Data'!$B$7:$B$366,C1582)</f>
        <v>7.5</v>
      </c>
      <c r="J1582" s="86">
        <f>SUMIFS('Wind Proxy'!$H$8:$H$19,'Wind Proxy'!$A$8:$A$19,Estimator!$B$4,'Wind Proxy'!$B$8:$B$19,C1582)</f>
        <v>0</v>
      </c>
    </row>
    <row r="1583" spans="1:10" ht="14.4">
      <c r="A1583" s="84">
        <v>47234</v>
      </c>
      <c r="B1583" s="85">
        <v>2029</v>
      </c>
      <c r="C1583" s="85">
        <v>4</v>
      </c>
      <c r="D1583" s="85" t="s">
        <v>62</v>
      </c>
      <c r="E1583" s="85">
        <v>26</v>
      </c>
      <c r="F1583" s="85">
        <v>4</v>
      </c>
      <c r="G1583" s="85">
        <f>--(F1583&lt;=Estimator!$B$7)</f>
        <v>1</v>
      </c>
      <c r="H1583" s="86">
        <f>SUMIFS('Climate Data'!$G$7:$G$366,'Climate Data'!$A$7:$A$366,Estimator!$B$4,'Climate Data'!$B$7:$B$366,C1583)</f>
        <v>0.25555555555555559</v>
      </c>
      <c r="I1583" s="87">
        <f>SUMIFS('Climate Data'!$H$7:$H$366,'Climate Data'!$A$7:$A$366,Estimator!$B$4,'Climate Data'!$B$7:$B$366,C1583)</f>
        <v>7.5</v>
      </c>
      <c r="J1583" s="86">
        <f>SUMIFS('Wind Proxy'!$H$8:$H$19,'Wind Proxy'!$A$8:$A$19,Estimator!$B$4,'Wind Proxy'!$B$8:$B$19,C1583)</f>
        <v>0</v>
      </c>
    </row>
    <row r="1584" spans="1:10" ht="14.4">
      <c r="A1584" s="84">
        <v>47235</v>
      </c>
      <c r="B1584" s="85">
        <v>2029</v>
      </c>
      <c r="C1584" s="85">
        <v>4</v>
      </c>
      <c r="D1584" s="85" t="s">
        <v>62</v>
      </c>
      <c r="E1584" s="85">
        <v>27</v>
      </c>
      <c r="F1584" s="85">
        <v>5</v>
      </c>
      <c r="G1584" s="85">
        <f>--(F1584&lt;=Estimator!$B$7)</f>
        <v>1</v>
      </c>
      <c r="H1584" s="86">
        <f>SUMIFS('Climate Data'!$G$7:$G$366,'Climate Data'!$A$7:$A$366,Estimator!$B$4,'Climate Data'!$B$7:$B$366,C1584)</f>
        <v>0.25555555555555559</v>
      </c>
      <c r="I1584" s="87">
        <f>SUMIFS('Climate Data'!$H$7:$H$366,'Climate Data'!$A$7:$A$366,Estimator!$B$4,'Climate Data'!$B$7:$B$366,C1584)</f>
        <v>7.5</v>
      </c>
      <c r="J1584" s="86">
        <f>SUMIFS('Wind Proxy'!$H$8:$H$19,'Wind Proxy'!$A$8:$A$19,Estimator!$B$4,'Wind Proxy'!$B$8:$B$19,C1584)</f>
        <v>0</v>
      </c>
    </row>
    <row r="1585" spans="1:10" ht="14.4">
      <c r="A1585" s="84">
        <v>47236</v>
      </c>
      <c r="B1585" s="85">
        <v>2029</v>
      </c>
      <c r="C1585" s="85">
        <v>4</v>
      </c>
      <c r="D1585" s="85" t="s">
        <v>62</v>
      </c>
      <c r="E1585" s="85">
        <v>28</v>
      </c>
      <c r="F1585" s="85">
        <v>6</v>
      </c>
      <c r="G1585" s="85">
        <f>--(F1585&lt;=Estimator!$B$7)</f>
        <v>0</v>
      </c>
      <c r="H1585" s="86">
        <f>SUMIFS('Climate Data'!$G$7:$G$366,'Climate Data'!$A$7:$A$366,Estimator!$B$4,'Climate Data'!$B$7:$B$366,C1585)</f>
        <v>0.25555555555555559</v>
      </c>
      <c r="I1585" s="87">
        <f>SUMIFS('Climate Data'!$H$7:$H$366,'Climate Data'!$A$7:$A$366,Estimator!$B$4,'Climate Data'!$B$7:$B$366,C1585)</f>
        <v>7.5</v>
      </c>
      <c r="J1585" s="86">
        <f>SUMIFS('Wind Proxy'!$H$8:$H$19,'Wind Proxy'!$A$8:$A$19,Estimator!$B$4,'Wind Proxy'!$B$8:$B$19,C1585)</f>
        <v>0</v>
      </c>
    </row>
    <row r="1586" spans="1:10" ht="14.4">
      <c r="A1586" s="84">
        <v>47237</v>
      </c>
      <c r="B1586" s="85">
        <v>2029</v>
      </c>
      <c r="C1586" s="85">
        <v>4</v>
      </c>
      <c r="D1586" s="85" t="s">
        <v>62</v>
      </c>
      <c r="E1586" s="85">
        <v>29</v>
      </c>
      <c r="F1586" s="85">
        <v>7</v>
      </c>
      <c r="G1586" s="85">
        <f>--(F1586&lt;=Estimator!$B$7)</f>
        <v>0</v>
      </c>
      <c r="H1586" s="86">
        <f>SUMIFS('Climate Data'!$G$7:$G$366,'Climate Data'!$A$7:$A$366,Estimator!$B$4,'Climate Data'!$B$7:$B$366,C1586)</f>
        <v>0.25555555555555559</v>
      </c>
      <c r="I1586" s="87">
        <f>SUMIFS('Climate Data'!$H$7:$H$366,'Climate Data'!$A$7:$A$366,Estimator!$B$4,'Climate Data'!$B$7:$B$366,C1586)</f>
        <v>7.5</v>
      </c>
      <c r="J1586" s="86">
        <f>SUMIFS('Wind Proxy'!$H$8:$H$19,'Wind Proxy'!$A$8:$A$19,Estimator!$B$4,'Wind Proxy'!$B$8:$B$19,C1586)</f>
        <v>0</v>
      </c>
    </row>
    <row r="1587" spans="1:10" ht="14.4">
      <c r="A1587" s="84">
        <v>47238</v>
      </c>
      <c r="B1587" s="85">
        <v>2029</v>
      </c>
      <c r="C1587" s="85">
        <v>4</v>
      </c>
      <c r="D1587" s="85" t="s">
        <v>62</v>
      </c>
      <c r="E1587" s="85">
        <v>30</v>
      </c>
      <c r="F1587" s="85">
        <v>1</v>
      </c>
      <c r="G1587" s="85">
        <f>--(F1587&lt;=Estimator!$B$7)</f>
        <v>1</v>
      </c>
      <c r="H1587" s="86">
        <f>SUMIFS('Climate Data'!$G$7:$G$366,'Climate Data'!$A$7:$A$366,Estimator!$B$4,'Climate Data'!$B$7:$B$366,C1587)</f>
        <v>0.25555555555555559</v>
      </c>
      <c r="I1587" s="87">
        <f>SUMIFS('Climate Data'!$H$7:$H$366,'Climate Data'!$A$7:$A$366,Estimator!$B$4,'Climate Data'!$B$7:$B$366,C1587)</f>
        <v>7.5</v>
      </c>
      <c r="J1587" s="86">
        <f>SUMIFS('Wind Proxy'!$H$8:$H$19,'Wind Proxy'!$A$8:$A$19,Estimator!$B$4,'Wind Proxy'!$B$8:$B$19,C1587)</f>
        <v>0</v>
      </c>
    </row>
    <row r="1588" spans="1:10" ht="14.4">
      <c r="A1588" s="84">
        <v>47239</v>
      </c>
      <c r="B1588" s="85">
        <v>2029</v>
      </c>
      <c r="C1588" s="85">
        <v>5</v>
      </c>
      <c r="D1588" s="85" t="s">
        <v>65</v>
      </c>
      <c r="E1588" s="85">
        <v>1</v>
      </c>
      <c r="F1588" s="85">
        <v>2</v>
      </c>
      <c r="G1588" s="85">
        <f>--(F1588&lt;=Estimator!$B$7)</f>
        <v>1</v>
      </c>
      <c r="H1588" s="86">
        <f>SUMIFS('Climate Data'!$G$7:$G$366,'Climate Data'!$A$7:$A$366,Estimator!$B$4,'Climate Data'!$B$7:$B$366,C1588)</f>
        <v>0.23010752688172045</v>
      </c>
      <c r="I1588" s="87">
        <f>SUMIFS('Climate Data'!$H$7:$H$366,'Climate Data'!$A$7:$A$366,Estimator!$B$4,'Climate Data'!$B$7:$B$366,C1588)</f>
        <v>8.1448598130841123</v>
      </c>
      <c r="J1588" s="86">
        <f>SUMIFS('Wind Proxy'!$H$8:$H$19,'Wind Proxy'!$A$8:$A$19,Estimator!$B$4,'Wind Proxy'!$B$8:$B$19,C1588)</f>
        <v>0</v>
      </c>
    </row>
    <row r="1589" spans="1:10" ht="14.4">
      <c r="A1589" s="84">
        <v>47240</v>
      </c>
      <c r="B1589" s="85">
        <v>2029</v>
      </c>
      <c r="C1589" s="85">
        <v>5</v>
      </c>
      <c r="D1589" s="85" t="s">
        <v>65</v>
      </c>
      <c r="E1589" s="85">
        <v>2</v>
      </c>
      <c r="F1589" s="85">
        <v>3</v>
      </c>
      <c r="G1589" s="85">
        <f>--(F1589&lt;=Estimator!$B$7)</f>
        <v>1</v>
      </c>
      <c r="H1589" s="86">
        <f>SUMIFS('Climate Data'!$G$7:$G$366,'Climate Data'!$A$7:$A$366,Estimator!$B$4,'Climate Data'!$B$7:$B$366,C1589)</f>
        <v>0.23010752688172045</v>
      </c>
      <c r="I1589" s="87">
        <f>SUMIFS('Climate Data'!$H$7:$H$366,'Climate Data'!$A$7:$A$366,Estimator!$B$4,'Climate Data'!$B$7:$B$366,C1589)</f>
        <v>8.1448598130841123</v>
      </c>
      <c r="J1589" s="86">
        <f>SUMIFS('Wind Proxy'!$H$8:$H$19,'Wind Proxy'!$A$8:$A$19,Estimator!$B$4,'Wind Proxy'!$B$8:$B$19,C1589)</f>
        <v>0</v>
      </c>
    </row>
    <row r="1590" spans="1:10" ht="14.4">
      <c r="A1590" s="84">
        <v>47241</v>
      </c>
      <c r="B1590" s="85">
        <v>2029</v>
      </c>
      <c r="C1590" s="85">
        <v>5</v>
      </c>
      <c r="D1590" s="85" t="s">
        <v>65</v>
      </c>
      <c r="E1590" s="85">
        <v>3</v>
      </c>
      <c r="F1590" s="85">
        <v>4</v>
      </c>
      <c r="G1590" s="85">
        <f>--(F1590&lt;=Estimator!$B$7)</f>
        <v>1</v>
      </c>
      <c r="H1590" s="86">
        <f>SUMIFS('Climate Data'!$G$7:$G$366,'Climate Data'!$A$7:$A$366,Estimator!$B$4,'Climate Data'!$B$7:$B$366,C1590)</f>
        <v>0.23010752688172045</v>
      </c>
      <c r="I1590" s="87">
        <f>SUMIFS('Climate Data'!$H$7:$H$366,'Climate Data'!$A$7:$A$366,Estimator!$B$4,'Climate Data'!$B$7:$B$366,C1590)</f>
        <v>8.1448598130841123</v>
      </c>
      <c r="J1590" s="86">
        <f>SUMIFS('Wind Proxy'!$H$8:$H$19,'Wind Proxy'!$A$8:$A$19,Estimator!$B$4,'Wind Proxy'!$B$8:$B$19,C1590)</f>
        <v>0</v>
      </c>
    </row>
    <row r="1591" spans="1:10" ht="14.4">
      <c r="A1591" s="84">
        <v>47242</v>
      </c>
      <c r="B1591" s="85">
        <v>2029</v>
      </c>
      <c r="C1591" s="85">
        <v>5</v>
      </c>
      <c r="D1591" s="85" t="s">
        <v>65</v>
      </c>
      <c r="E1591" s="85">
        <v>4</v>
      </c>
      <c r="F1591" s="85">
        <v>5</v>
      </c>
      <c r="G1591" s="85">
        <f>--(F1591&lt;=Estimator!$B$7)</f>
        <v>1</v>
      </c>
      <c r="H1591" s="86">
        <f>SUMIFS('Climate Data'!$G$7:$G$366,'Climate Data'!$A$7:$A$366,Estimator!$B$4,'Climate Data'!$B$7:$B$366,C1591)</f>
        <v>0.23010752688172045</v>
      </c>
      <c r="I1591" s="87">
        <f>SUMIFS('Climate Data'!$H$7:$H$366,'Climate Data'!$A$7:$A$366,Estimator!$B$4,'Climate Data'!$B$7:$B$366,C1591)</f>
        <v>8.1448598130841123</v>
      </c>
      <c r="J1591" s="86">
        <f>SUMIFS('Wind Proxy'!$H$8:$H$19,'Wind Proxy'!$A$8:$A$19,Estimator!$B$4,'Wind Proxy'!$B$8:$B$19,C1591)</f>
        <v>0</v>
      </c>
    </row>
    <row r="1592" spans="1:10" ht="14.4">
      <c r="A1592" s="84">
        <v>47243</v>
      </c>
      <c r="B1592" s="85">
        <v>2029</v>
      </c>
      <c r="C1592" s="85">
        <v>5</v>
      </c>
      <c r="D1592" s="85" t="s">
        <v>65</v>
      </c>
      <c r="E1592" s="85">
        <v>5</v>
      </c>
      <c r="F1592" s="85">
        <v>6</v>
      </c>
      <c r="G1592" s="85">
        <f>--(F1592&lt;=Estimator!$B$7)</f>
        <v>0</v>
      </c>
      <c r="H1592" s="86">
        <f>SUMIFS('Climate Data'!$G$7:$G$366,'Climate Data'!$A$7:$A$366,Estimator!$B$4,'Climate Data'!$B$7:$B$366,C1592)</f>
        <v>0.23010752688172045</v>
      </c>
      <c r="I1592" s="87">
        <f>SUMIFS('Climate Data'!$H$7:$H$366,'Climate Data'!$A$7:$A$366,Estimator!$B$4,'Climate Data'!$B$7:$B$366,C1592)</f>
        <v>8.1448598130841123</v>
      </c>
      <c r="J1592" s="86">
        <f>SUMIFS('Wind Proxy'!$H$8:$H$19,'Wind Proxy'!$A$8:$A$19,Estimator!$B$4,'Wind Proxy'!$B$8:$B$19,C1592)</f>
        <v>0</v>
      </c>
    </row>
    <row r="1593" spans="1:10" ht="14.4">
      <c r="A1593" s="84">
        <v>47244</v>
      </c>
      <c r="B1593" s="85">
        <v>2029</v>
      </c>
      <c r="C1593" s="85">
        <v>5</v>
      </c>
      <c r="D1593" s="85" t="s">
        <v>65</v>
      </c>
      <c r="E1593" s="85">
        <v>6</v>
      </c>
      <c r="F1593" s="85">
        <v>7</v>
      </c>
      <c r="G1593" s="85">
        <f>--(F1593&lt;=Estimator!$B$7)</f>
        <v>0</v>
      </c>
      <c r="H1593" s="86">
        <f>SUMIFS('Climate Data'!$G$7:$G$366,'Climate Data'!$A$7:$A$366,Estimator!$B$4,'Climate Data'!$B$7:$B$366,C1593)</f>
        <v>0.23010752688172045</v>
      </c>
      <c r="I1593" s="87">
        <f>SUMIFS('Climate Data'!$H$7:$H$366,'Climate Data'!$A$7:$A$366,Estimator!$B$4,'Climate Data'!$B$7:$B$366,C1593)</f>
        <v>8.1448598130841123</v>
      </c>
      <c r="J1593" s="86">
        <f>SUMIFS('Wind Proxy'!$H$8:$H$19,'Wind Proxy'!$A$8:$A$19,Estimator!$B$4,'Wind Proxy'!$B$8:$B$19,C1593)</f>
        <v>0</v>
      </c>
    </row>
    <row r="1594" spans="1:10" ht="14.4">
      <c r="A1594" s="84">
        <v>47245</v>
      </c>
      <c r="B1594" s="85">
        <v>2029</v>
      </c>
      <c r="C1594" s="85">
        <v>5</v>
      </c>
      <c r="D1594" s="85" t="s">
        <v>65</v>
      </c>
      <c r="E1594" s="85">
        <v>7</v>
      </c>
      <c r="F1594" s="85">
        <v>1</v>
      </c>
      <c r="G1594" s="85">
        <f>--(F1594&lt;=Estimator!$B$7)</f>
        <v>1</v>
      </c>
      <c r="H1594" s="86">
        <f>SUMIFS('Climate Data'!$G$7:$G$366,'Climate Data'!$A$7:$A$366,Estimator!$B$4,'Climate Data'!$B$7:$B$366,C1594)</f>
        <v>0.23010752688172045</v>
      </c>
      <c r="I1594" s="87">
        <f>SUMIFS('Climate Data'!$H$7:$H$366,'Climate Data'!$A$7:$A$366,Estimator!$B$4,'Climate Data'!$B$7:$B$366,C1594)</f>
        <v>8.1448598130841123</v>
      </c>
      <c r="J1594" s="86">
        <f>SUMIFS('Wind Proxy'!$H$8:$H$19,'Wind Proxy'!$A$8:$A$19,Estimator!$B$4,'Wind Proxy'!$B$8:$B$19,C1594)</f>
        <v>0</v>
      </c>
    </row>
    <row r="1595" spans="1:10" ht="14.4">
      <c r="A1595" s="84">
        <v>47246</v>
      </c>
      <c r="B1595" s="85">
        <v>2029</v>
      </c>
      <c r="C1595" s="85">
        <v>5</v>
      </c>
      <c r="D1595" s="85" t="s">
        <v>65</v>
      </c>
      <c r="E1595" s="85">
        <v>8</v>
      </c>
      <c r="F1595" s="85">
        <v>2</v>
      </c>
      <c r="G1595" s="85">
        <f>--(F1595&lt;=Estimator!$B$7)</f>
        <v>1</v>
      </c>
      <c r="H1595" s="86">
        <f>SUMIFS('Climate Data'!$G$7:$G$366,'Climate Data'!$A$7:$A$366,Estimator!$B$4,'Climate Data'!$B$7:$B$366,C1595)</f>
        <v>0.23010752688172045</v>
      </c>
      <c r="I1595" s="87">
        <f>SUMIFS('Climate Data'!$H$7:$H$366,'Climate Data'!$A$7:$A$366,Estimator!$B$4,'Climate Data'!$B$7:$B$366,C1595)</f>
        <v>8.1448598130841123</v>
      </c>
      <c r="J1595" s="86">
        <f>SUMIFS('Wind Proxy'!$H$8:$H$19,'Wind Proxy'!$A$8:$A$19,Estimator!$B$4,'Wind Proxy'!$B$8:$B$19,C1595)</f>
        <v>0</v>
      </c>
    </row>
    <row r="1596" spans="1:10" ht="14.4">
      <c r="A1596" s="84">
        <v>47247</v>
      </c>
      <c r="B1596" s="85">
        <v>2029</v>
      </c>
      <c r="C1596" s="85">
        <v>5</v>
      </c>
      <c r="D1596" s="85" t="s">
        <v>65</v>
      </c>
      <c r="E1596" s="85">
        <v>9</v>
      </c>
      <c r="F1596" s="85">
        <v>3</v>
      </c>
      <c r="G1596" s="85">
        <f>--(F1596&lt;=Estimator!$B$7)</f>
        <v>1</v>
      </c>
      <c r="H1596" s="86">
        <f>SUMIFS('Climate Data'!$G$7:$G$366,'Climate Data'!$A$7:$A$366,Estimator!$B$4,'Climate Data'!$B$7:$B$366,C1596)</f>
        <v>0.23010752688172045</v>
      </c>
      <c r="I1596" s="87">
        <f>SUMIFS('Climate Data'!$H$7:$H$366,'Climate Data'!$A$7:$A$366,Estimator!$B$4,'Climate Data'!$B$7:$B$366,C1596)</f>
        <v>8.1448598130841123</v>
      </c>
      <c r="J1596" s="86">
        <f>SUMIFS('Wind Proxy'!$H$8:$H$19,'Wind Proxy'!$A$8:$A$19,Estimator!$B$4,'Wind Proxy'!$B$8:$B$19,C1596)</f>
        <v>0</v>
      </c>
    </row>
    <row r="1597" spans="1:10" ht="14.4">
      <c r="A1597" s="84">
        <v>47248</v>
      </c>
      <c r="B1597" s="85">
        <v>2029</v>
      </c>
      <c r="C1597" s="85">
        <v>5</v>
      </c>
      <c r="D1597" s="85" t="s">
        <v>65</v>
      </c>
      <c r="E1597" s="85">
        <v>10</v>
      </c>
      <c r="F1597" s="85">
        <v>4</v>
      </c>
      <c r="G1597" s="85">
        <f>--(F1597&lt;=Estimator!$B$7)</f>
        <v>1</v>
      </c>
      <c r="H1597" s="86">
        <f>SUMIFS('Climate Data'!$G$7:$G$366,'Climate Data'!$A$7:$A$366,Estimator!$B$4,'Climate Data'!$B$7:$B$366,C1597)</f>
        <v>0.23010752688172045</v>
      </c>
      <c r="I1597" s="87">
        <f>SUMIFS('Climate Data'!$H$7:$H$366,'Climate Data'!$A$7:$A$366,Estimator!$B$4,'Climate Data'!$B$7:$B$366,C1597)</f>
        <v>8.1448598130841123</v>
      </c>
      <c r="J1597" s="86">
        <f>SUMIFS('Wind Proxy'!$H$8:$H$19,'Wind Proxy'!$A$8:$A$19,Estimator!$B$4,'Wind Proxy'!$B$8:$B$19,C1597)</f>
        <v>0</v>
      </c>
    </row>
    <row r="1598" spans="1:10" ht="14.4">
      <c r="A1598" s="84">
        <v>47249</v>
      </c>
      <c r="B1598" s="85">
        <v>2029</v>
      </c>
      <c r="C1598" s="85">
        <v>5</v>
      </c>
      <c r="D1598" s="85" t="s">
        <v>65</v>
      </c>
      <c r="E1598" s="85">
        <v>11</v>
      </c>
      <c r="F1598" s="85">
        <v>5</v>
      </c>
      <c r="G1598" s="85">
        <f>--(F1598&lt;=Estimator!$B$7)</f>
        <v>1</v>
      </c>
      <c r="H1598" s="86">
        <f>SUMIFS('Climate Data'!$G$7:$G$366,'Climate Data'!$A$7:$A$366,Estimator!$B$4,'Climate Data'!$B$7:$B$366,C1598)</f>
        <v>0.23010752688172045</v>
      </c>
      <c r="I1598" s="87">
        <f>SUMIFS('Climate Data'!$H$7:$H$366,'Climate Data'!$A$7:$A$366,Estimator!$B$4,'Climate Data'!$B$7:$B$366,C1598)</f>
        <v>8.1448598130841123</v>
      </c>
      <c r="J1598" s="86">
        <f>SUMIFS('Wind Proxy'!$H$8:$H$19,'Wind Proxy'!$A$8:$A$19,Estimator!$B$4,'Wind Proxy'!$B$8:$B$19,C1598)</f>
        <v>0</v>
      </c>
    </row>
    <row r="1599" spans="1:10" ht="14.4">
      <c r="A1599" s="84">
        <v>47250</v>
      </c>
      <c r="B1599" s="85">
        <v>2029</v>
      </c>
      <c r="C1599" s="85">
        <v>5</v>
      </c>
      <c r="D1599" s="85" t="s">
        <v>65</v>
      </c>
      <c r="E1599" s="85">
        <v>12</v>
      </c>
      <c r="F1599" s="85">
        <v>6</v>
      </c>
      <c r="G1599" s="85">
        <f>--(F1599&lt;=Estimator!$B$7)</f>
        <v>0</v>
      </c>
      <c r="H1599" s="86">
        <f>SUMIFS('Climate Data'!$G$7:$G$366,'Climate Data'!$A$7:$A$366,Estimator!$B$4,'Climate Data'!$B$7:$B$366,C1599)</f>
        <v>0.23010752688172045</v>
      </c>
      <c r="I1599" s="87">
        <f>SUMIFS('Climate Data'!$H$7:$H$366,'Climate Data'!$A$7:$A$366,Estimator!$B$4,'Climate Data'!$B$7:$B$366,C1599)</f>
        <v>8.1448598130841123</v>
      </c>
      <c r="J1599" s="86">
        <f>SUMIFS('Wind Proxy'!$H$8:$H$19,'Wind Proxy'!$A$8:$A$19,Estimator!$B$4,'Wind Proxy'!$B$8:$B$19,C1599)</f>
        <v>0</v>
      </c>
    </row>
    <row r="1600" spans="1:10" ht="14.4">
      <c r="A1600" s="84">
        <v>47251</v>
      </c>
      <c r="B1600" s="85">
        <v>2029</v>
      </c>
      <c r="C1600" s="85">
        <v>5</v>
      </c>
      <c r="D1600" s="85" t="s">
        <v>65</v>
      </c>
      <c r="E1600" s="85">
        <v>13</v>
      </c>
      <c r="F1600" s="85">
        <v>7</v>
      </c>
      <c r="G1600" s="85">
        <f>--(F1600&lt;=Estimator!$B$7)</f>
        <v>0</v>
      </c>
      <c r="H1600" s="86">
        <f>SUMIFS('Climate Data'!$G$7:$G$366,'Climate Data'!$A$7:$A$366,Estimator!$B$4,'Climate Data'!$B$7:$B$366,C1600)</f>
        <v>0.23010752688172045</v>
      </c>
      <c r="I1600" s="87">
        <f>SUMIFS('Climate Data'!$H$7:$H$366,'Climate Data'!$A$7:$A$366,Estimator!$B$4,'Climate Data'!$B$7:$B$366,C1600)</f>
        <v>8.1448598130841123</v>
      </c>
      <c r="J1600" s="86">
        <f>SUMIFS('Wind Proxy'!$H$8:$H$19,'Wind Proxy'!$A$8:$A$19,Estimator!$B$4,'Wind Proxy'!$B$8:$B$19,C1600)</f>
        <v>0</v>
      </c>
    </row>
    <row r="1601" spans="1:10" ht="14.4">
      <c r="A1601" s="84">
        <v>47252</v>
      </c>
      <c r="B1601" s="85">
        <v>2029</v>
      </c>
      <c r="C1601" s="85">
        <v>5</v>
      </c>
      <c r="D1601" s="85" t="s">
        <v>65</v>
      </c>
      <c r="E1601" s="85">
        <v>14</v>
      </c>
      <c r="F1601" s="85">
        <v>1</v>
      </c>
      <c r="G1601" s="85">
        <f>--(F1601&lt;=Estimator!$B$7)</f>
        <v>1</v>
      </c>
      <c r="H1601" s="86">
        <f>SUMIFS('Climate Data'!$G$7:$G$366,'Climate Data'!$A$7:$A$366,Estimator!$B$4,'Climate Data'!$B$7:$B$366,C1601)</f>
        <v>0.23010752688172045</v>
      </c>
      <c r="I1601" s="87">
        <f>SUMIFS('Climate Data'!$H$7:$H$366,'Climate Data'!$A$7:$A$366,Estimator!$B$4,'Climate Data'!$B$7:$B$366,C1601)</f>
        <v>8.1448598130841123</v>
      </c>
      <c r="J1601" s="86">
        <f>SUMIFS('Wind Proxy'!$H$8:$H$19,'Wind Proxy'!$A$8:$A$19,Estimator!$B$4,'Wind Proxy'!$B$8:$B$19,C1601)</f>
        <v>0</v>
      </c>
    </row>
    <row r="1602" spans="1:10" ht="14.4">
      <c r="A1602" s="84">
        <v>47253</v>
      </c>
      <c r="B1602" s="85">
        <v>2029</v>
      </c>
      <c r="C1602" s="85">
        <v>5</v>
      </c>
      <c r="D1602" s="85" t="s">
        <v>65</v>
      </c>
      <c r="E1602" s="85">
        <v>15</v>
      </c>
      <c r="F1602" s="85">
        <v>2</v>
      </c>
      <c r="G1602" s="85">
        <f>--(F1602&lt;=Estimator!$B$7)</f>
        <v>1</v>
      </c>
      <c r="H1602" s="86">
        <f>SUMIFS('Climate Data'!$G$7:$G$366,'Climate Data'!$A$7:$A$366,Estimator!$B$4,'Climate Data'!$B$7:$B$366,C1602)</f>
        <v>0.23010752688172045</v>
      </c>
      <c r="I1602" s="87">
        <f>SUMIFS('Climate Data'!$H$7:$H$366,'Climate Data'!$A$7:$A$366,Estimator!$B$4,'Climate Data'!$B$7:$B$366,C1602)</f>
        <v>8.1448598130841123</v>
      </c>
      <c r="J1602" s="86">
        <f>SUMIFS('Wind Proxy'!$H$8:$H$19,'Wind Proxy'!$A$8:$A$19,Estimator!$B$4,'Wind Proxy'!$B$8:$B$19,C1602)</f>
        <v>0</v>
      </c>
    </row>
    <row r="1603" spans="1:10" ht="14.4">
      <c r="A1603" s="84">
        <v>47254</v>
      </c>
      <c r="B1603" s="85">
        <v>2029</v>
      </c>
      <c r="C1603" s="85">
        <v>5</v>
      </c>
      <c r="D1603" s="85" t="s">
        <v>65</v>
      </c>
      <c r="E1603" s="85">
        <v>16</v>
      </c>
      <c r="F1603" s="85">
        <v>3</v>
      </c>
      <c r="G1603" s="85">
        <f>--(F1603&lt;=Estimator!$B$7)</f>
        <v>1</v>
      </c>
      <c r="H1603" s="86">
        <f>SUMIFS('Climate Data'!$G$7:$G$366,'Climate Data'!$A$7:$A$366,Estimator!$B$4,'Climate Data'!$B$7:$B$366,C1603)</f>
        <v>0.23010752688172045</v>
      </c>
      <c r="I1603" s="87">
        <f>SUMIFS('Climate Data'!$H$7:$H$366,'Climate Data'!$A$7:$A$366,Estimator!$B$4,'Climate Data'!$B$7:$B$366,C1603)</f>
        <v>8.1448598130841123</v>
      </c>
      <c r="J1603" s="86">
        <f>SUMIFS('Wind Proxy'!$H$8:$H$19,'Wind Proxy'!$A$8:$A$19,Estimator!$B$4,'Wind Proxy'!$B$8:$B$19,C1603)</f>
        <v>0</v>
      </c>
    </row>
    <row r="1604" spans="1:10" ht="14.4">
      <c r="A1604" s="84">
        <v>47255</v>
      </c>
      <c r="B1604" s="85">
        <v>2029</v>
      </c>
      <c r="C1604" s="85">
        <v>5</v>
      </c>
      <c r="D1604" s="85" t="s">
        <v>65</v>
      </c>
      <c r="E1604" s="85">
        <v>17</v>
      </c>
      <c r="F1604" s="85">
        <v>4</v>
      </c>
      <c r="G1604" s="85">
        <f>--(F1604&lt;=Estimator!$B$7)</f>
        <v>1</v>
      </c>
      <c r="H1604" s="86">
        <f>SUMIFS('Climate Data'!$G$7:$G$366,'Climate Data'!$A$7:$A$366,Estimator!$B$4,'Climate Data'!$B$7:$B$366,C1604)</f>
        <v>0.23010752688172045</v>
      </c>
      <c r="I1604" s="87">
        <f>SUMIFS('Climate Data'!$H$7:$H$366,'Climate Data'!$A$7:$A$366,Estimator!$B$4,'Climate Data'!$B$7:$B$366,C1604)</f>
        <v>8.1448598130841123</v>
      </c>
      <c r="J1604" s="86">
        <f>SUMIFS('Wind Proxy'!$H$8:$H$19,'Wind Proxy'!$A$8:$A$19,Estimator!$B$4,'Wind Proxy'!$B$8:$B$19,C1604)</f>
        <v>0</v>
      </c>
    </row>
    <row r="1605" spans="1:10" ht="14.4">
      <c r="A1605" s="84">
        <v>47256</v>
      </c>
      <c r="B1605" s="85">
        <v>2029</v>
      </c>
      <c r="C1605" s="85">
        <v>5</v>
      </c>
      <c r="D1605" s="85" t="s">
        <v>65</v>
      </c>
      <c r="E1605" s="85">
        <v>18</v>
      </c>
      <c r="F1605" s="85">
        <v>5</v>
      </c>
      <c r="G1605" s="85">
        <f>--(F1605&lt;=Estimator!$B$7)</f>
        <v>1</v>
      </c>
      <c r="H1605" s="86">
        <f>SUMIFS('Climate Data'!$G$7:$G$366,'Climate Data'!$A$7:$A$366,Estimator!$B$4,'Climate Data'!$B$7:$B$366,C1605)</f>
        <v>0.23010752688172045</v>
      </c>
      <c r="I1605" s="87">
        <f>SUMIFS('Climate Data'!$H$7:$H$366,'Climate Data'!$A$7:$A$366,Estimator!$B$4,'Climate Data'!$B$7:$B$366,C1605)</f>
        <v>8.1448598130841123</v>
      </c>
      <c r="J1605" s="86">
        <f>SUMIFS('Wind Proxy'!$H$8:$H$19,'Wind Proxy'!$A$8:$A$19,Estimator!$B$4,'Wind Proxy'!$B$8:$B$19,C1605)</f>
        <v>0</v>
      </c>
    </row>
    <row r="1606" spans="1:10" ht="14.4">
      <c r="A1606" s="84">
        <v>47257</v>
      </c>
      <c r="B1606" s="85">
        <v>2029</v>
      </c>
      <c r="C1606" s="85">
        <v>5</v>
      </c>
      <c r="D1606" s="85" t="s">
        <v>65</v>
      </c>
      <c r="E1606" s="85">
        <v>19</v>
      </c>
      <c r="F1606" s="85">
        <v>6</v>
      </c>
      <c r="G1606" s="85">
        <f>--(F1606&lt;=Estimator!$B$7)</f>
        <v>0</v>
      </c>
      <c r="H1606" s="86">
        <f>SUMIFS('Climate Data'!$G$7:$G$366,'Climate Data'!$A$7:$A$366,Estimator!$B$4,'Climate Data'!$B$7:$B$366,C1606)</f>
        <v>0.23010752688172045</v>
      </c>
      <c r="I1606" s="87">
        <f>SUMIFS('Climate Data'!$H$7:$H$366,'Climate Data'!$A$7:$A$366,Estimator!$B$4,'Climate Data'!$B$7:$B$366,C1606)</f>
        <v>8.1448598130841123</v>
      </c>
      <c r="J1606" s="86">
        <f>SUMIFS('Wind Proxy'!$H$8:$H$19,'Wind Proxy'!$A$8:$A$19,Estimator!$B$4,'Wind Proxy'!$B$8:$B$19,C1606)</f>
        <v>0</v>
      </c>
    </row>
    <row r="1607" spans="1:10" ht="14.4">
      <c r="A1607" s="84">
        <v>47258</v>
      </c>
      <c r="B1607" s="85">
        <v>2029</v>
      </c>
      <c r="C1607" s="85">
        <v>5</v>
      </c>
      <c r="D1607" s="85" t="s">
        <v>65</v>
      </c>
      <c r="E1607" s="85">
        <v>20</v>
      </c>
      <c r="F1607" s="85">
        <v>7</v>
      </c>
      <c r="G1607" s="85">
        <f>--(F1607&lt;=Estimator!$B$7)</f>
        <v>0</v>
      </c>
      <c r="H1607" s="86">
        <f>SUMIFS('Climate Data'!$G$7:$G$366,'Climate Data'!$A$7:$A$366,Estimator!$B$4,'Climate Data'!$B$7:$B$366,C1607)</f>
        <v>0.23010752688172045</v>
      </c>
      <c r="I1607" s="87">
        <f>SUMIFS('Climate Data'!$H$7:$H$366,'Climate Data'!$A$7:$A$366,Estimator!$B$4,'Climate Data'!$B$7:$B$366,C1607)</f>
        <v>8.1448598130841123</v>
      </c>
      <c r="J1607" s="86">
        <f>SUMIFS('Wind Proxy'!$H$8:$H$19,'Wind Proxy'!$A$8:$A$19,Estimator!$B$4,'Wind Proxy'!$B$8:$B$19,C1607)</f>
        <v>0</v>
      </c>
    </row>
    <row r="1608" spans="1:10" ht="14.4">
      <c r="A1608" s="84">
        <v>47259</v>
      </c>
      <c r="B1608" s="85">
        <v>2029</v>
      </c>
      <c r="C1608" s="85">
        <v>5</v>
      </c>
      <c r="D1608" s="85" t="s">
        <v>65</v>
      </c>
      <c r="E1608" s="85">
        <v>21</v>
      </c>
      <c r="F1608" s="85">
        <v>1</v>
      </c>
      <c r="G1608" s="85">
        <f>--(F1608&lt;=Estimator!$B$7)</f>
        <v>1</v>
      </c>
      <c r="H1608" s="86">
        <f>SUMIFS('Climate Data'!$G$7:$G$366,'Climate Data'!$A$7:$A$366,Estimator!$B$4,'Climate Data'!$B$7:$B$366,C1608)</f>
        <v>0.23010752688172045</v>
      </c>
      <c r="I1608" s="87">
        <f>SUMIFS('Climate Data'!$H$7:$H$366,'Climate Data'!$A$7:$A$366,Estimator!$B$4,'Climate Data'!$B$7:$B$366,C1608)</f>
        <v>8.1448598130841123</v>
      </c>
      <c r="J1608" s="86">
        <f>SUMIFS('Wind Proxy'!$H$8:$H$19,'Wind Proxy'!$A$8:$A$19,Estimator!$B$4,'Wind Proxy'!$B$8:$B$19,C1608)</f>
        <v>0</v>
      </c>
    </row>
    <row r="1609" spans="1:10" ht="14.4">
      <c r="A1609" s="84">
        <v>47260</v>
      </c>
      <c r="B1609" s="85">
        <v>2029</v>
      </c>
      <c r="C1609" s="85">
        <v>5</v>
      </c>
      <c r="D1609" s="85" t="s">
        <v>65</v>
      </c>
      <c r="E1609" s="85">
        <v>22</v>
      </c>
      <c r="F1609" s="85">
        <v>2</v>
      </c>
      <c r="G1609" s="85">
        <f>--(F1609&lt;=Estimator!$B$7)</f>
        <v>1</v>
      </c>
      <c r="H1609" s="86">
        <f>SUMIFS('Climate Data'!$G$7:$G$366,'Climate Data'!$A$7:$A$366,Estimator!$B$4,'Climate Data'!$B$7:$B$366,C1609)</f>
        <v>0.23010752688172045</v>
      </c>
      <c r="I1609" s="87">
        <f>SUMIFS('Climate Data'!$H$7:$H$366,'Climate Data'!$A$7:$A$366,Estimator!$B$4,'Climate Data'!$B$7:$B$366,C1609)</f>
        <v>8.1448598130841123</v>
      </c>
      <c r="J1609" s="86">
        <f>SUMIFS('Wind Proxy'!$H$8:$H$19,'Wind Proxy'!$A$8:$A$19,Estimator!$B$4,'Wind Proxy'!$B$8:$B$19,C1609)</f>
        <v>0</v>
      </c>
    </row>
    <row r="1610" spans="1:10" ht="14.4">
      <c r="A1610" s="84">
        <v>47261</v>
      </c>
      <c r="B1610" s="85">
        <v>2029</v>
      </c>
      <c r="C1610" s="85">
        <v>5</v>
      </c>
      <c r="D1610" s="85" t="s">
        <v>65</v>
      </c>
      <c r="E1610" s="85">
        <v>23</v>
      </c>
      <c r="F1610" s="85">
        <v>3</v>
      </c>
      <c r="G1610" s="85">
        <f>--(F1610&lt;=Estimator!$B$7)</f>
        <v>1</v>
      </c>
      <c r="H1610" s="86">
        <f>SUMIFS('Climate Data'!$G$7:$G$366,'Climate Data'!$A$7:$A$366,Estimator!$B$4,'Climate Data'!$B$7:$B$366,C1610)</f>
        <v>0.23010752688172045</v>
      </c>
      <c r="I1610" s="87">
        <f>SUMIFS('Climate Data'!$H$7:$H$366,'Climate Data'!$A$7:$A$366,Estimator!$B$4,'Climate Data'!$B$7:$B$366,C1610)</f>
        <v>8.1448598130841123</v>
      </c>
      <c r="J1610" s="86">
        <f>SUMIFS('Wind Proxy'!$H$8:$H$19,'Wind Proxy'!$A$8:$A$19,Estimator!$B$4,'Wind Proxy'!$B$8:$B$19,C1610)</f>
        <v>0</v>
      </c>
    </row>
    <row r="1611" spans="1:10" ht="14.4">
      <c r="A1611" s="84">
        <v>47262</v>
      </c>
      <c r="B1611" s="85">
        <v>2029</v>
      </c>
      <c r="C1611" s="85">
        <v>5</v>
      </c>
      <c r="D1611" s="85" t="s">
        <v>65</v>
      </c>
      <c r="E1611" s="85">
        <v>24</v>
      </c>
      <c r="F1611" s="85">
        <v>4</v>
      </c>
      <c r="G1611" s="85">
        <f>--(F1611&lt;=Estimator!$B$7)</f>
        <v>1</v>
      </c>
      <c r="H1611" s="86">
        <f>SUMIFS('Climate Data'!$G$7:$G$366,'Climate Data'!$A$7:$A$366,Estimator!$B$4,'Climate Data'!$B$7:$B$366,C1611)</f>
        <v>0.23010752688172045</v>
      </c>
      <c r="I1611" s="87">
        <f>SUMIFS('Climate Data'!$H$7:$H$366,'Climate Data'!$A$7:$A$366,Estimator!$B$4,'Climate Data'!$B$7:$B$366,C1611)</f>
        <v>8.1448598130841123</v>
      </c>
      <c r="J1611" s="86">
        <f>SUMIFS('Wind Proxy'!$H$8:$H$19,'Wind Proxy'!$A$8:$A$19,Estimator!$B$4,'Wind Proxy'!$B$8:$B$19,C1611)</f>
        <v>0</v>
      </c>
    </row>
    <row r="1612" spans="1:10" ht="14.4">
      <c r="A1612" s="84">
        <v>47263</v>
      </c>
      <c r="B1612" s="85">
        <v>2029</v>
      </c>
      <c r="C1612" s="85">
        <v>5</v>
      </c>
      <c r="D1612" s="85" t="s">
        <v>65</v>
      </c>
      <c r="E1612" s="85">
        <v>25</v>
      </c>
      <c r="F1612" s="85">
        <v>5</v>
      </c>
      <c r="G1612" s="85">
        <f>--(F1612&lt;=Estimator!$B$7)</f>
        <v>1</v>
      </c>
      <c r="H1612" s="86">
        <f>SUMIFS('Climate Data'!$G$7:$G$366,'Climate Data'!$A$7:$A$366,Estimator!$B$4,'Climate Data'!$B$7:$B$366,C1612)</f>
        <v>0.23010752688172045</v>
      </c>
      <c r="I1612" s="87">
        <f>SUMIFS('Climate Data'!$H$7:$H$366,'Climate Data'!$A$7:$A$366,Estimator!$B$4,'Climate Data'!$B$7:$B$366,C1612)</f>
        <v>8.1448598130841123</v>
      </c>
      <c r="J1612" s="86">
        <f>SUMIFS('Wind Proxy'!$H$8:$H$19,'Wind Proxy'!$A$8:$A$19,Estimator!$B$4,'Wind Proxy'!$B$8:$B$19,C1612)</f>
        <v>0</v>
      </c>
    </row>
    <row r="1613" spans="1:10" ht="14.4">
      <c r="A1613" s="84">
        <v>47264</v>
      </c>
      <c r="B1613" s="85">
        <v>2029</v>
      </c>
      <c r="C1613" s="85">
        <v>5</v>
      </c>
      <c r="D1613" s="85" t="s">
        <v>65</v>
      </c>
      <c r="E1613" s="85">
        <v>26</v>
      </c>
      <c r="F1613" s="85">
        <v>6</v>
      </c>
      <c r="G1613" s="85">
        <f>--(F1613&lt;=Estimator!$B$7)</f>
        <v>0</v>
      </c>
      <c r="H1613" s="86">
        <f>SUMIFS('Climate Data'!$G$7:$G$366,'Climate Data'!$A$7:$A$366,Estimator!$B$4,'Climate Data'!$B$7:$B$366,C1613)</f>
        <v>0.23010752688172045</v>
      </c>
      <c r="I1613" s="87">
        <f>SUMIFS('Climate Data'!$H$7:$H$366,'Climate Data'!$A$7:$A$366,Estimator!$B$4,'Climate Data'!$B$7:$B$366,C1613)</f>
        <v>8.1448598130841123</v>
      </c>
      <c r="J1613" s="86">
        <f>SUMIFS('Wind Proxy'!$H$8:$H$19,'Wind Proxy'!$A$8:$A$19,Estimator!$B$4,'Wind Proxy'!$B$8:$B$19,C1613)</f>
        <v>0</v>
      </c>
    </row>
    <row r="1614" spans="1:10" ht="14.4">
      <c r="A1614" s="84">
        <v>47265</v>
      </c>
      <c r="B1614" s="85">
        <v>2029</v>
      </c>
      <c r="C1614" s="85">
        <v>5</v>
      </c>
      <c r="D1614" s="85" t="s">
        <v>65</v>
      </c>
      <c r="E1614" s="85">
        <v>27</v>
      </c>
      <c r="F1614" s="85">
        <v>7</v>
      </c>
      <c r="G1614" s="85">
        <f>--(F1614&lt;=Estimator!$B$7)</f>
        <v>0</v>
      </c>
      <c r="H1614" s="86">
        <f>SUMIFS('Climate Data'!$G$7:$G$366,'Climate Data'!$A$7:$A$366,Estimator!$B$4,'Climate Data'!$B$7:$B$366,C1614)</f>
        <v>0.23010752688172045</v>
      </c>
      <c r="I1614" s="87">
        <f>SUMIFS('Climate Data'!$H$7:$H$366,'Climate Data'!$A$7:$A$366,Estimator!$B$4,'Climate Data'!$B$7:$B$366,C1614)</f>
        <v>8.1448598130841123</v>
      </c>
      <c r="J1614" s="86">
        <f>SUMIFS('Wind Proxy'!$H$8:$H$19,'Wind Proxy'!$A$8:$A$19,Estimator!$B$4,'Wind Proxy'!$B$8:$B$19,C1614)</f>
        <v>0</v>
      </c>
    </row>
    <row r="1615" spans="1:10" ht="14.4">
      <c r="A1615" s="84">
        <v>47266</v>
      </c>
      <c r="B1615" s="85">
        <v>2029</v>
      </c>
      <c r="C1615" s="85">
        <v>5</v>
      </c>
      <c r="D1615" s="85" t="s">
        <v>65</v>
      </c>
      <c r="E1615" s="85">
        <v>28</v>
      </c>
      <c r="F1615" s="85">
        <v>1</v>
      </c>
      <c r="G1615" s="85">
        <f>--(F1615&lt;=Estimator!$B$7)</f>
        <v>1</v>
      </c>
      <c r="H1615" s="86">
        <f>SUMIFS('Climate Data'!$G$7:$G$366,'Climate Data'!$A$7:$A$366,Estimator!$B$4,'Climate Data'!$B$7:$B$366,C1615)</f>
        <v>0.23010752688172045</v>
      </c>
      <c r="I1615" s="87">
        <f>SUMIFS('Climate Data'!$H$7:$H$366,'Climate Data'!$A$7:$A$366,Estimator!$B$4,'Climate Data'!$B$7:$B$366,C1615)</f>
        <v>8.1448598130841123</v>
      </c>
      <c r="J1615" s="86">
        <f>SUMIFS('Wind Proxy'!$H$8:$H$19,'Wind Proxy'!$A$8:$A$19,Estimator!$B$4,'Wind Proxy'!$B$8:$B$19,C1615)</f>
        <v>0</v>
      </c>
    </row>
    <row r="1616" spans="1:10" ht="14.4">
      <c r="A1616" s="84">
        <v>47267</v>
      </c>
      <c r="B1616" s="85">
        <v>2029</v>
      </c>
      <c r="C1616" s="85">
        <v>5</v>
      </c>
      <c r="D1616" s="85" t="s">
        <v>65</v>
      </c>
      <c r="E1616" s="85">
        <v>29</v>
      </c>
      <c r="F1616" s="85">
        <v>2</v>
      </c>
      <c r="G1616" s="85">
        <f>--(F1616&lt;=Estimator!$B$7)</f>
        <v>1</v>
      </c>
      <c r="H1616" s="86">
        <f>SUMIFS('Climate Data'!$G$7:$G$366,'Climate Data'!$A$7:$A$366,Estimator!$B$4,'Climate Data'!$B$7:$B$366,C1616)</f>
        <v>0.23010752688172045</v>
      </c>
      <c r="I1616" s="87">
        <f>SUMIFS('Climate Data'!$H$7:$H$366,'Climate Data'!$A$7:$A$366,Estimator!$B$4,'Climate Data'!$B$7:$B$366,C1616)</f>
        <v>8.1448598130841123</v>
      </c>
      <c r="J1616" s="86">
        <f>SUMIFS('Wind Proxy'!$H$8:$H$19,'Wind Proxy'!$A$8:$A$19,Estimator!$B$4,'Wind Proxy'!$B$8:$B$19,C1616)</f>
        <v>0</v>
      </c>
    </row>
    <row r="1617" spans="1:10" ht="14.4">
      <c r="A1617" s="84">
        <v>47268</v>
      </c>
      <c r="B1617" s="85">
        <v>2029</v>
      </c>
      <c r="C1617" s="85">
        <v>5</v>
      </c>
      <c r="D1617" s="85" t="s">
        <v>65</v>
      </c>
      <c r="E1617" s="85">
        <v>30</v>
      </c>
      <c r="F1617" s="85">
        <v>3</v>
      </c>
      <c r="G1617" s="85">
        <f>--(F1617&lt;=Estimator!$B$7)</f>
        <v>1</v>
      </c>
      <c r="H1617" s="86">
        <f>SUMIFS('Climate Data'!$G$7:$G$366,'Climate Data'!$A$7:$A$366,Estimator!$B$4,'Climate Data'!$B$7:$B$366,C1617)</f>
        <v>0.23010752688172045</v>
      </c>
      <c r="I1617" s="87">
        <f>SUMIFS('Climate Data'!$H$7:$H$366,'Climate Data'!$A$7:$A$366,Estimator!$B$4,'Climate Data'!$B$7:$B$366,C1617)</f>
        <v>8.1448598130841123</v>
      </c>
      <c r="J1617" s="86">
        <f>SUMIFS('Wind Proxy'!$H$8:$H$19,'Wind Proxy'!$A$8:$A$19,Estimator!$B$4,'Wind Proxy'!$B$8:$B$19,C1617)</f>
        <v>0</v>
      </c>
    </row>
    <row r="1618" spans="1:10" ht="14.4">
      <c r="A1618" s="84">
        <v>47269</v>
      </c>
      <c r="B1618" s="85">
        <v>2029</v>
      </c>
      <c r="C1618" s="85">
        <v>5</v>
      </c>
      <c r="D1618" s="85" t="s">
        <v>65</v>
      </c>
      <c r="E1618" s="85">
        <v>31</v>
      </c>
      <c r="F1618" s="85">
        <v>4</v>
      </c>
      <c r="G1618" s="85">
        <f>--(F1618&lt;=Estimator!$B$7)</f>
        <v>1</v>
      </c>
      <c r="H1618" s="86">
        <f>SUMIFS('Climate Data'!$G$7:$G$366,'Climate Data'!$A$7:$A$366,Estimator!$B$4,'Climate Data'!$B$7:$B$366,C1618)</f>
        <v>0.23010752688172045</v>
      </c>
      <c r="I1618" s="87">
        <f>SUMIFS('Climate Data'!$H$7:$H$366,'Climate Data'!$A$7:$A$366,Estimator!$B$4,'Climate Data'!$B$7:$B$366,C1618)</f>
        <v>8.1448598130841123</v>
      </c>
      <c r="J1618" s="86">
        <f>SUMIFS('Wind Proxy'!$H$8:$H$19,'Wind Proxy'!$A$8:$A$19,Estimator!$B$4,'Wind Proxy'!$B$8:$B$19,C1618)</f>
        <v>0</v>
      </c>
    </row>
    <row r="1619" spans="1:10" ht="14.4">
      <c r="A1619" s="84">
        <v>47270</v>
      </c>
      <c r="B1619" s="85">
        <v>2029</v>
      </c>
      <c r="C1619" s="85">
        <v>6</v>
      </c>
      <c r="D1619" s="85" t="s">
        <v>68</v>
      </c>
      <c r="E1619" s="85">
        <v>1</v>
      </c>
      <c r="F1619" s="85">
        <v>5</v>
      </c>
      <c r="G1619" s="85">
        <f>--(F1619&lt;=Estimator!$B$7)</f>
        <v>1</v>
      </c>
      <c r="H1619" s="86">
        <f>SUMIFS('Climate Data'!$G$7:$G$366,'Climate Data'!$A$7:$A$366,Estimator!$B$4,'Climate Data'!$B$7:$B$366,C1619)</f>
        <v>0.28666666666666668</v>
      </c>
      <c r="I1619" s="87">
        <f>SUMIFS('Climate Data'!$H$7:$H$366,'Climate Data'!$A$7:$A$366,Estimator!$B$4,'Climate Data'!$B$7:$B$366,C1619)</f>
        <v>7.941860465116279</v>
      </c>
      <c r="J1619" s="86">
        <f>SUMIFS('Wind Proxy'!$H$8:$H$19,'Wind Proxy'!$A$8:$A$19,Estimator!$B$4,'Wind Proxy'!$B$8:$B$19,C1619)</f>
        <v>0</v>
      </c>
    </row>
    <row r="1620" spans="1:10" ht="14.4">
      <c r="A1620" s="84">
        <v>47271</v>
      </c>
      <c r="B1620" s="85">
        <v>2029</v>
      </c>
      <c r="C1620" s="85">
        <v>6</v>
      </c>
      <c r="D1620" s="85" t="s">
        <v>68</v>
      </c>
      <c r="E1620" s="85">
        <v>2</v>
      </c>
      <c r="F1620" s="85">
        <v>6</v>
      </c>
      <c r="G1620" s="85">
        <f>--(F1620&lt;=Estimator!$B$7)</f>
        <v>0</v>
      </c>
      <c r="H1620" s="86">
        <f>SUMIFS('Climate Data'!$G$7:$G$366,'Climate Data'!$A$7:$A$366,Estimator!$B$4,'Climate Data'!$B$7:$B$366,C1620)</f>
        <v>0.28666666666666668</v>
      </c>
      <c r="I1620" s="87">
        <f>SUMIFS('Climate Data'!$H$7:$H$366,'Climate Data'!$A$7:$A$366,Estimator!$B$4,'Climate Data'!$B$7:$B$366,C1620)</f>
        <v>7.941860465116279</v>
      </c>
      <c r="J1620" s="86">
        <f>SUMIFS('Wind Proxy'!$H$8:$H$19,'Wind Proxy'!$A$8:$A$19,Estimator!$B$4,'Wind Proxy'!$B$8:$B$19,C1620)</f>
        <v>0</v>
      </c>
    </row>
    <row r="1621" spans="1:10" ht="14.4">
      <c r="A1621" s="84">
        <v>47272</v>
      </c>
      <c r="B1621" s="85">
        <v>2029</v>
      </c>
      <c r="C1621" s="85">
        <v>6</v>
      </c>
      <c r="D1621" s="85" t="s">
        <v>68</v>
      </c>
      <c r="E1621" s="85">
        <v>3</v>
      </c>
      <c r="F1621" s="85">
        <v>7</v>
      </c>
      <c r="G1621" s="85">
        <f>--(F1621&lt;=Estimator!$B$7)</f>
        <v>0</v>
      </c>
      <c r="H1621" s="86">
        <f>SUMIFS('Climate Data'!$G$7:$G$366,'Climate Data'!$A$7:$A$366,Estimator!$B$4,'Climate Data'!$B$7:$B$366,C1621)</f>
        <v>0.28666666666666668</v>
      </c>
      <c r="I1621" s="87">
        <f>SUMIFS('Climate Data'!$H$7:$H$366,'Climate Data'!$A$7:$A$366,Estimator!$B$4,'Climate Data'!$B$7:$B$366,C1621)</f>
        <v>7.941860465116279</v>
      </c>
      <c r="J1621" s="86">
        <f>SUMIFS('Wind Proxy'!$H$8:$H$19,'Wind Proxy'!$A$8:$A$19,Estimator!$B$4,'Wind Proxy'!$B$8:$B$19,C1621)</f>
        <v>0</v>
      </c>
    </row>
    <row r="1622" spans="1:10" ht="14.4">
      <c r="A1622" s="84">
        <v>47273</v>
      </c>
      <c r="B1622" s="85">
        <v>2029</v>
      </c>
      <c r="C1622" s="85">
        <v>6</v>
      </c>
      <c r="D1622" s="85" t="s">
        <v>68</v>
      </c>
      <c r="E1622" s="85">
        <v>4</v>
      </c>
      <c r="F1622" s="85">
        <v>1</v>
      </c>
      <c r="G1622" s="85">
        <f>--(F1622&lt;=Estimator!$B$7)</f>
        <v>1</v>
      </c>
      <c r="H1622" s="86">
        <f>SUMIFS('Climate Data'!$G$7:$G$366,'Climate Data'!$A$7:$A$366,Estimator!$B$4,'Climate Data'!$B$7:$B$366,C1622)</f>
        <v>0.28666666666666668</v>
      </c>
      <c r="I1622" s="87">
        <f>SUMIFS('Climate Data'!$H$7:$H$366,'Climate Data'!$A$7:$A$366,Estimator!$B$4,'Climate Data'!$B$7:$B$366,C1622)</f>
        <v>7.941860465116279</v>
      </c>
      <c r="J1622" s="86">
        <f>SUMIFS('Wind Proxy'!$H$8:$H$19,'Wind Proxy'!$A$8:$A$19,Estimator!$B$4,'Wind Proxy'!$B$8:$B$19,C1622)</f>
        <v>0</v>
      </c>
    </row>
    <row r="1623" spans="1:10" ht="14.4">
      <c r="A1623" s="84">
        <v>47274</v>
      </c>
      <c r="B1623" s="85">
        <v>2029</v>
      </c>
      <c r="C1623" s="85">
        <v>6</v>
      </c>
      <c r="D1623" s="85" t="s">
        <v>68</v>
      </c>
      <c r="E1623" s="85">
        <v>5</v>
      </c>
      <c r="F1623" s="85">
        <v>2</v>
      </c>
      <c r="G1623" s="85">
        <f>--(F1623&lt;=Estimator!$B$7)</f>
        <v>1</v>
      </c>
      <c r="H1623" s="86">
        <f>SUMIFS('Climate Data'!$G$7:$G$366,'Climate Data'!$A$7:$A$366,Estimator!$B$4,'Climate Data'!$B$7:$B$366,C1623)</f>
        <v>0.28666666666666668</v>
      </c>
      <c r="I1623" s="87">
        <f>SUMIFS('Climate Data'!$H$7:$H$366,'Climate Data'!$A$7:$A$366,Estimator!$B$4,'Climate Data'!$B$7:$B$366,C1623)</f>
        <v>7.941860465116279</v>
      </c>
      <c r="J1623" s="86">
        <f>SUMIFS('Wind Proxy'!$H$8:$H$19,'Wind Proxy'!$A$8:$A$19,Estimator!$B$4,'Wind Proxy'!$B$8:$B$19,C1623)</f>
        <v>0</v>
      </c>
    </row>
    <row r="1624" spans="1:10" ht="14.4">
      <c r="A1624" s="84">
        <v>47275</v>
      </c>
      <c r="B1624" s="85">
        <v>2029</v>
      </c>
      <c r="C1624" s="85">
        <v>6</v>
      </c>
      <c r="D1624" s="85" t="s">
        <v>68</v>
      </c>
      <c r="E1624" s="85">
        <v>6</v>
      </c>
      <c r="F1624" s="85">
        <v>3</v>
      </c>
      <c r="G1624" s="85">
        <f>--(F1624&lt;=Estimator!$B$7)</f>
        <v>1</v>
      </c>
      <c r="H1624" s="86">
        <f>SUMIFS('Climate Data'!$G$7:$G$366,'Climate Data'!$A$7:$A$366,Estimator!$B$4,'Climate Data'!$B$7:$B$366,C1624)</f>
        <v>0.28666666666666668</v>
      </c>
      <c r="I1624" s="87">
        <f>SUMIFS('Climate Data'!$H$7:$H$366,'Climate Data'!$A$7:$A$366,Estimator!$B$4,'Climate Data'!$B$7:$B$366,C1624)</f>
        <v>7.941860465116279</v>
      </c>
      <c r="J1624" s="86">
        <f>SUMIFS('Wind Proxy'!$H$8:$H$19,'Wind Proxy'!$A$8:$A$19,Estimator!$B$4,'Wind Proxy'!$B$8:$B$19,C1624)</f>
        <v>0</v>
      </c>
    </row>
    <row r="1625" spans="1:10" ht="14.4">
      <c r="A1625" s="84">
        <v>47276</v>
      </c>
      <c r="B1625" s="85">
        <v>2029</v>
      </c>
      <c r="C1625" s="85">
        <v>6</v>
      </c>
      <c r="D1625" s="85" t="s">
        <v>68</v>
      </c>
      <c r="E1625" s="85">
        <v>7</v>
      </c>
      <c r="F1625" s="85">
        <v>4</v>
      </c>
      <c r="G1625" s="85">
        <f>--(F1625&lt;=Estimator!$B$7)</f>
        <v>1</v>
      </c>
      <c r="H1625" s="86">
        <f>SUMIFS('Climate Data'!$G$7:$G$366,'Climate Data'!$A$7:$A$366,Estimator!$B$4,'Climate Data'!$B$7:$B$366,C1625)</f>
        <v>0.28666666666666668</v>
      </c>
      <c r="I1625" s="87">
        <f>SUMIFS('Climate Data'!$H$7:$H$366,'Climate Data'!$A$7:$A$366,Estimator!$B$4,'Climate Data'!$B$7:$B$366,C1625)</f>
        <v>7.941860465116279</v>
      </c>
      <c r="J1625" s="86">
        <f>SUMIFS('Wind Proxy'!$H$8:$H$19,'Wind Proxy'!$A$8:$A$19,Estimator!$B$4,'Wind Proxy'!$B$8:$B$19,C1625)</f>
        <v>0</v>
      </c>
    </row>
    <row r="1626" spans="1:10" ht="14.4">
      <c r="A1626" s="84">
        <v>47277</v>
      </c>
      <c r="B1626" s="85">
        <v>2029</v>
      </c>
      <c r="C1626" s="85">
        <v>6</v>
      </c>
      <c r="D1626" s="85" t="s">
        <v>68</v>
      </c>
      <c r="E1626" s="85">
        <v>8</v>
      </c>
      <c r="F1626" s="85">
        <v>5</v>
      </c>
      <c r="G1626" s="85">
        <f>--(F1626&lt;=Estimator!$B$7)</f>
        <v>1</v>
      </c>
      <c r="H1626" s="86">
        <f>SUMIFS('Climate Data'!$G$7:$G$366,'Climate Data'!$A$7:$A$366,Estimator!$B$4,'Climate Data'!$B$7:$B$366,C1626)</f>
        <v>0.28666666666666668</v>
      </c>
      <c r="I1626" s="87">
        <f>SUMIFS('Climate Data'!$H$7:$H$366,'Climate Data'!$A$7:$A$366,Estimator!$B$4,'Climate Data'!$B$7:$B$366,C1626)</f>
        <v>7.941860465116279</v>
      </c>
      <c r="J1626" s="86">
        <f>SUMIFS('Wind Proxy'!$H$8:$H$19,'Wind Proxy'!$A$8:$A$19,Estimator!$B$4,'Wind Proxy'!$B$8:$B$19,C1626)</f>
        <v>0</v>
      </c>
    </row>
    <row r="1627" spans="1:10" ht="14.4">
      <c r="A1627" s="84">
        <v>47278</v>
      </c>
      <c r="B1627" s="85">
        <v>2029</v>
      </c>
      <c r="C1627" s="85">
        <v>6</v>
      </c>
      <c r="D1627" s="85" t="s">
        <v>68</v>
      </c>
      <c r="E1627" s="85">
        <v>9</v>
      </c>
      <c r="F1627" s="85">
        <v>6</v>
      </c>
      <c r="G1627" s="85">
        <f>--(F1627&lt;=Estimator!$B$7)</f>
        <v>0</v>
      </c>
      <c r="H1627" s="86">
        <f>SUMIFS('Climate Data'!$G$7:$G$366,'Climate Data'!$A$7:$A$366,Estimator!$B$4,'Climate Data'!$B$7:$B$366,C1627)</f>
        <v>0.28666666666666668</v>
      </c>
      <c r="I1627" s="87">
        <f>SUMIFS('Climate Data'!$H$7:$H$366,'Climate Data'!$A$7:$A$366,Estimator!$B$4,'Climate Data'!$B$7:$B$366,C1627)</f>
        <v>7.941860465116279</v>
      </c>
      <c r="J1627" s="86">
        <f>SUMIFS('Wind Proxy'!$H$8:$H$19,'Wind Proxy'!$A$8:$A$19,Estimator!$B$4,'Wind Proxy'!$B$8:$B$19,C1627)</f>
        <v>0</v>
      </c>
    </row>
    <row r="1628" spans="1:10" ht="14.4">
      <c r="A1628" s="84">
        <v>47279</v>
      </c>
      <c r="B1628" s="85">
        <v>2029</v>
      </c>
      <c r="C1628" s="85">
        <v>6</v>
      </c>
      <c r="D1628" s="85" t="s">
        <v>68</v>
      </c>
      <c r="E1628" s="85">
        <v>10</v>
      </c>
      <c r="F1628" s="85">
        <v>7</v>
      </c>
      <c r="G1628" s="85">
        <f>--(F1628&lt;=Estimator!$B$7)</f>
        <v>0</v>
      </c>
      <c r="H1628" s="86">
        <f>SUMIFS('Climate Data'!$G$7:$G$366,'Climate Data'!$A$7:$A$366,Estimator!$B$4,'Climate Data'!$B$7:$B$366,C1628)</f>
        <v>0.28666666666666668</v>
      </c>
      <c r="I1628" s="87">
        <f>SUMIFS('Climate Data'!$H$7:$H$366,'Climate Data'!$A$7:$A$366,Estimator!$B$4,'Climate Data'!$B$7:$B$366,C1628)</f>
        <v>7.941860465116279</v>
      </c>
      <c r="J1628" s="86">
        <f>SUMIFS('Wind Proxy'!$H$8:$H$19,'Wind Proxy'!$A$8:$A$19,Estimator!$B$4,'Wind Proxy'!$B$8:$B$19,C1628)</f>
        <v>0</v>
      </c>
    </row>
    <row r="1629" spans="1:10" ht="14.4">
      <c r="A1629" s="84">
        <v>47280</v>
      </c>
      <c r="B1629" s="85">
        <v>2029</v>
      </c>
      <c r="C1629" s="85">
        <v>6</v>
      </c>
      <c r="D1629" s="85" t="s">
        <v>68</v>
      </c>
      <c r="E1629" s="85">
        <v>11</v>
      </c>
      <c r="F1629" s="85">
        <v>1</v>
      </c>
      <c r="G1629" s="85">
        <f>--(F1629&lt;=Estimator!$B$7)</f>
        <v>1</v>
      </c>
      <c r="H1629" s="86">
        <f>SUMIFS('Climate Data'!$G$7:$G$366,'Climate Data'!$A$7:$A$366,Estimator!$B$4,'Climate Data'!$B$7:$B$366,C1629)</f>
        <v>0.28666666666666668</v>
      </c>
      <c r="I1629" s="87">
        <f>SUMIFS('Climate Data'!$H$7:$H$366,'Climate Data'!$A$7:$A$366,Estimator!$B$4,'Climate Data'!$B$7:$B$366,C1629)</f>
        <v>7.941860465116279</v>
      </c>
      <c r="J1629" s="86">
        <f>SUMIFS('Wind Proxy'!$H$8:$H$19,'Wind Proxy'!$A$8:$A$19,Estimator!$B$4,'Wind Proxy'!$B$8:$B$19,C1629)</f>
        <v>0</v>
      </c>
    </row>
    <row r="1630" spans="1:10" ht="14.4">
      <c r="A1630" s="84">
        <v>47281</v>
      </c>
      <c r="B1630" s="85">
        <v>2029</v>
      </c>
      <c r="C1630" s="85">
        <v>6</v>
      </c>
      <c r="D1630" s="85" t="s">
        <v>68</v>
      </c>
      <c r="E1630" s="85">
        <v>12</v>
      </c>
      <c r="F1630" s="85">
        <v>2</v>
      </c>
      <c r="G1630" s="85">
        <f>--(F1630&lt;=Estimator!$B$7)</f>
        <v>1</v>
      </c>
      <c r="H1630" s="86">
        <f>SUMIFS('Climate Data'!$G$7:$G$366,'Climate Data'!$A$7:$A$366,Estimator!$B$4,'Climate Data'!$B$7:$B$366,C1630)</f>
        <v>0.28666666666666668</v>
      </c>
      <c r="I1630" s="87">
        <f>SUMIFS('Climate Data'!$H$7:$H$366,'Climate Data'!$A$7:$A$366,Estimator!$B$4,'Climate Data'!$B$7:$B$366,C1630)</f>
        <v>7.941860465116279</v>
      </c>
      <c r="J1630" s="86">
        <f>SUMIFS('Wind Proxy'!$H$8:$H$19,'Wind Proxy'!$A$8:$A$19,Estimator!$B$4,'Wind Proxy'!$B$8:$B$19,C1630)</f>
        <v>0</v>
      </c>
    </row>
    <row r="1631" spans="1:10" ht="14.4">
      <c r="A1631" s="84">
        <v>47282</v>
      </c>
      <c r="B1631" s="85">
        <v>2029</v>
      </c>
      <c r="C1631" s="85">
        <v>6</v>
      </c>
      <c r="D1631" s="85" t="s">
        <v>68</v>
      </c>
      <c r="E1631" s="85">
        <v>13</v>
      </c>
      <c r="F1631" s="85">
        <v>3</v>
      </c>
      <c r="G1631" s="85">
        <f>--(F1631&lt;=Estimator!$B$7)</f>
        <v>1</v>
      </c>
      <c r="H1631" s="86">
        <f>SUMIFS('Climate Data'!$G$7:$G$366,'Climate Data'!$A$7:$A$366,Estimator!$B$4,'Climate Data'!$B$7:$B$366,C1631)</f>
        <v>0.28666666666666668</v>
      </c>
      <c r="I1631" s="87">
        <f>SUMIFS('Climate Data'!$H$7:$H$366,'Climate Data'!$A$7:$A$366,Estimator!$B$4,'Climate Data'!$B$7:$B$366,C1631)</f>
        <v>7.941860465116279</v>
      </c>
      <c r="J1631" s="86">
        <f>SUMIFS('Wind Proxy'!$H$8:$H$19,'Wind Proxy'!$A$8:$A$19,Estimator!$B$4,'Wind Proxy'!$B$8:$B$19,C1631)</f>
        <v>0</v>
      </c>
    </row>
    <row r="1632" spans="1:10" ht="14.4">
      <c r="A1632" s="84">
        <v>47283</v>
      </c>
      <c r="B1632" s="85">
        <v>2029</v>
      </c>
      <c r="C1632" s="85">
        <v>6</v>
      </c>
      <c r="D1632" s="85" t="s">
        <v>68</v>
      </c>
      <c r="E1632" s="85">
        <v>14</v>
      </c>
      <c r="F1632" s="85">
        <v>4</v>
      </c>
      <c r="G1632" s="85">
        <f>--(F1632&lt;=Estimator!$B$7)</f>
        <v>1</v>
      </c>
      <c r="H1632" s="86">
        <f>SUMIFS('Climate Data'!$G$7:$G$366,'Climate Data'!$A$7:$A$366,Estimator!$B$4,'Climate Data'!$B$7:$B$366,C1632)</f>
        <v>0.28666666666666668</v>
      </c>
      <c r="I1632" s="87">
        <f>SUMIFS('Climate Data'!$H$7:$H$366,'Climate Data'!$A$7:$A$366,Estimator!$B$4,'Climate Data'!$B$7:$B$366,C1632)</f>
        <v>7.941860465116279</v>
      </c>
      <c r="J1632" s="86">
        <f>SUMIFS('Wind Proxy'!$H$8:$H$19,'Wind Proxy'!$A$8:$A$19,Estimator!$B$4,'Wind Proxy'!$B$8:$B$19,C1632)</f>
        <v>0</v>
      </c>
    </row>
    <row r="1633" spans="1:10" ht="14.4">
      <c r="A1633" s="84">
        <v>47284</v>
      </c>
      <c r="B1633" s="85">
        <v>2029</v>
      </c>
      <c r="C1633" s="85">
        <v>6</v>
      </c>
      <c r="D1633" s="85" t="s">
        <v>68</v>
      </c>
      <c r="E1633" s="85">
        <v>15</v>
      </c>
      <c r="F1633" s="85">
        <v>5</v>
      </c>
      <c r="G1633" s="85">
        <f>--(F1633&lt;=Estimator!$B$7)</f>
        <v>1</v>
      </c>
      <c r="H1633" s="86">
        <f>SUMIFS('Climate Data'!$G$7:$G$366,'Climate Data'!$A$7:$A$366,Estimator!$B$4,'Climate Data'!$B$7:$B$366,C1633)</f>
        <v>0.28666666666666668</v>
      </c>
      <c r="I1633" s="87">
        <f>SUMIFS('Climate Data'!$H$7:$H$366,'Climate Data'!$A$7:$A$366,Estimator!$B$4,'Climate Data'!$B$7:$B$366,C1633)</f>
        <v>7.941860465116279</v>
      </c>
      <c r="J1633" s="86">
        <f>SUMIFS('Wind Proxy'!$H$8:$H$19,'Wind Proxy'!$A$8:$A$19,Estimator!$B$4,'Wind Proxy'!$B$8:$B$19,C1633)</f>
        <v>0</v>
      </c>
    </row>
    <row r="1634" spans="1:10" ht="14.4">
      <c r="A1634" s="84">
        <v>47285</v>
      </c>
      <c r="B1634" s="85">
        <v>2029</v>
      </c>
      <c r="C1634" s="85">
        <v>6</v>
      </c>
      <c r="D1634" s="85" t="s">
        <v>68</v>
      </c>
      <c r="E1634" s="85">
        <v>16</v>
      </c>
      <c r="F1634" s="85">
        <v>6</v>
      </c>
      <c r="G1634" s="85">
        <f>--(F1634&lt;=Estimator!$B$7)</f>
        <v>0</v>
      </c>
      <c r="H1634" s="86">
        <f>SUMIFS('Climate Data'!$G$7:$G$366,'Climate Data'!$A$7:$A$366,Estimator!$B$4,'Climate Data'!$B$7:$B$366,C1634)</f>
        <v>0.28666666666666668</v>
      </c>
      <c r="I1634" s="87">
        <f>SUMIFS('Climate Data'!$H$7:$H$366,'Climate Data'!$A$7:$A$366,Estimator!$B$4,'Climate Data'!$B$7:$B$366,C1634)</f>
        <v>7.941860465116279</v>
      </c>
      <c r="J1634" s="86">
        <f>SUMIFS('Wind Proxy'!$H$8:$H$19,'Wind Proxy'!$A$8:$A$19,Estimator!$B$4,'Wind Proxy'!$B$8:$B$19,C1634)</f>
        <v>0</v>
      </c>
    </row>
    <row r="1635" spans="1:10" ht="14.4">
      <c r="A1635" s="84">
        <v>47286</v>
      </c>
      <c r="B1635" s="85">
        <v>2029</v>
      </c>
      <c r="C1635" s="85">
        <v>6</v>
      </c>
      <c r="D1635" s="85" t="s">
        <v>68</v>
      </c>
      <c r="E1635" s="85">
        <v>17</v>
      </c>
      <c r="F1635" s="85">
        <v>7</v>
      </c>
      <c r="G1635" s="85">
        <f>--(F1635&lt;=Estimator!$B$7)</f>
        <v>0</v>
      </c>
      <c r="H1635" s="86">
        <f>SUMIFS('Climate Data'!$G$7:$G$366,'Climate Data'!$A$7:$A$366,Estimator!$B$4,'Climate Data'!$B$7:$B$366,C1635)</f>
        <v>0.28666666666666668</v>
      </c>
      <c r="I1635" s="87">
        <f>SUMIFS('Climate Data'!$H$7:$H$366,'Climate Data'!$A$7:$A$366,Estimator!$B$4,'Climate Data'!$B$7:$B$366,C1635)</f>
        <v>7.941860465116279</v>
      </c>
      <c r="J1635" s="86">
        <f>SUMIFS('Wind Proxy'!$H$8:$H$19,'Wind Proxy'!$A$8:$A$19,Estimator!$B$4,'Wind Proxy'!$B$8:$B$19,C1635)</f>
        <v>0</v>
      </c>
    </row>
    <row r="1636" spans="1:10" ht="14.4">
      <c r="A1636" s="84">
        <v>47287</v>
      </c>
      <c r="B1636" s="85">
        <v>2029</v>
      </c>
      <c r="C1636" s="85">
        <v>6</v>
      </c>
      <c r="D1636" s="85" t="s">
        <v>68</v>
      </c>
      <c r="E1636" s="85">
        <v>18</v>
      </c>
      <c r="F1636" s="85">
        <v>1</v>
      </c>
      <c r="G1636" s="85">
        <f>--(F1636&lt;=Estimator!$B$7)</f>
        <v>1</v>
      </c>
      <c r="H1636" s="86">
        <f>SUMIFS('Climate Data'!$G$7:$G$366,'Climate Data'!$A$7:$A$366,Estimator!$B$4,'Climate Data'!$B$7:$B$366,C1636)</f>
        <v>0.28666666666666668</v>
      </c>
      <c r="I1636" s="87">
        <f>SUMIFS('Climate Data'!$H$7:$H$366,'Climate Data'!$A$7:$A$366,Estimator!$B$4,'Climate Data'!$B$7:$B$366,C1636)</f>
        <v>7.941860465116279</v>
      </c>
      <c r="J1636" s="86">
        <f>SUMIFS('Wind Proxy'!$H$8:$H$19,'Wind Proxy'!$A$8:$A$19,Estimator!$B$4,'Wind Proxy'!$B$8:$B$19,C1636)</f>
        <v>0</v>
      </c>
    </row>
    <row r="1637" spans="1:10" ht="14.4">
      <c r="A1637" s="84">
        <v>47288</v>
      </c>
      <c r="B1637" s="85">
        <v>2029</v>
      </c>
      <c r="C1637" s="85">
        <v>6</v>
      </c>
      <c r="D1637" s="85" t="s">
        <v>68</v>
      </c>
      <c r="E1637" s="85">
        <v>19</v>
      </c>
      <c r="F1637" s="85">
        <v>2</v>
      </c>
      <c r="G1637" s="85">
        <f>--(F1637&lt;=Estimator!$B$7)</f>
        <v>1</v>
      </c>
      <c r="H1637" s="86">
        <f>SUMIFS('Climate Data'!$G$7:$G$366,'Climate Data'!$A$7:$A$366,Estimator!$B$4,'Climate Data'!$B$7:$B$366,C1637)</f>
        <v>0.28666666666666668</v>
      </c>
      <c r="I1637" s="87">
        <f>SUMIFS('Climate Data'!$H$7:$H$366,'Climate Data'!$A$7:$A$366,Estimator!$B$4,'Climate Data'!$B$7:$B$366,C1637)</f>
        <v>7.941860465116279</v>
      </c>
      <c r="J1637" s="86">
        <f>SUMIFS('Wind Proxy'!$H$8:$H$19,'Wind Proxy'!$A$8:$A$19,Estimator!$B$4,'Wind Proxy'!$B$8:$B$19,C1637)</f>
        <v>0</v>
      </c>
    </row>
    <row r="1638" spans="1:10" ht="14.4">
      <c r="A1638" s="84">
        <v>47289</v>
      </c>
      <c r="B1638" s="85">
        <v>2029</v>
      </c>
      <c r="C1638" s="85">
        <v>6</v>
      </c>
      <c r="D1638" s="85" t="s">
        <v>68</v>
      </c>
      <c r="E1638" s="85">
        <v>20</v>
      </c>
      <c r="F1638" s="85">
        <v>3</v>
      </c>
      <c r="G1638" s="85">
        <f>--(F1638&lt;=Estimator!$B$7)</f>
        <v>1</v>
      </c>
      <c r="H1638" s="86">
        <f>SUMIFS('Climate Data'!$G$7:$G$366,'Climate Data'!$A$7:$A$366,Estimator!$B$4,'Climate Data'!$B$7:$B$366,C1638)</f>
        <v>0.28666666666666668</v>
      </c>
      <c r="I1638" s="87">
        <f>SUMIFS('Climate Data'!$H$7:$H$366,'Climate Data'!$A$7:$A$366,Estimator!$B$4,'Climate Data'!$B$7:$B$366,C1638)</f>
        <v>7.941860465116279</v>
      </c>
      <c r="J1638" s="86">
        <f>SUMIFS('Wind Proxy'!$H$8:$H$19,'Wind Proxy'!$A$8:$A$19,Estimator!$B$4,'Wind Proxy'!$B$8:$B$19,C1638)</f>
        <v>0</v>
      </c>
    </row>
    <row r="1639" spans="1:10" ht="14.4">
      <c r="A1639" s="84">
        <v>47290</v>
      </c>
      <c r="B1639" s="85">
        <v>2029</v>
      </c>
      <c r="C1639" s="85">
        <v>6</v>
      </c>
      <c r="D1639" s="85" t="s">
        <v>68</v>
      </c>
      <c r="E1639" s="85">
        <v>21</v>
      </c>
      <c r="F1639" s="85">
        <v>4</v>
      </c>
      <c r="G1639" s="85">
        <f>--(F1639&lt;=Estimator!$B$7)</f>
        <v>1</v>
      </c>
      <c r="H1639" s="86">
        <f>SUMIFS('Climate Data'!$G$7:$G$366,'Climate Data'!$A$7:$A$366,Estimator!$B$4,'Climate Data'!$B$7:$B$366,C1639)</f>
        <v>0.28666666666666668</v>
      </c>
      <c r="I1639" s="87">
        <f>SUMIFS('Climate Data'!$H$7:$H$366,'Climate Data'!$A$7:$A$366,Estimator!$B$4,'Climate Data'!$B$7:$B$366,C1639)</f>
        <v>7.941860465116279</v>
      </c>
      <c r="J1639" s="86">
        <f>SUMIFS('Wind Proxy'!$H$8:$H$19,'Wind Proxy'!$A$8:$A$19,Estimator!$B$4,'Wind Proxy'!$B$8:$B$19,C1639)</f>
        <v>0</v>
      </c>
    </row>
    <row r="1640" spans="1:10" ht="14.4">
      <c r="A1640" s="84">
        <v>47291</v>
      </c>
      <c r="B1640" s="85">
        <v>2029</v>
      </c>
      <c r="C1640" s="85">
        <v>6</v>
      </c>
      <c r="D1640" s="85" t="s">
        <v>68</v>
      </c>
      <c r="E1640" s="85">
        <v>22</v>
      </c>
      <c r="F1640" s="85">
        <v>5</v>
      </c>
      <c r="G1640" s="85">
        <f>--(F1640&lt;=Estimator!$B$7)</f>
        <v>1</v>
      </c>
      <c r="H1640" s="86">
        <f>SUMIFS('Climate Data'!$G$7:$G$366,'Climate Data'!$A$7:$A$366,Estimator!$B$4,'Climate Data'!$B$7:$B$366,C1640)</f>
        <v>0.28666666666666668</v>
      </c>
      <c r="I1640" s="87">
        <f>SUMIFS('Climate Data'!$H$7:$H$366,'Climate Data'!$A$7:$A$366,Estimator!$B$4,'Climate Data'!$B$7:$B$366,C1640)</f>
        <v>7.941860465116279</v>
      </c>
      <c r="J1640" s="86">
        <f>SUMIFS('Wind Proxy'!$H$8:$H$19,'Wind Proxy'!$A$8:$A$19,Estimator!$B$4,'Wind Proxy'!$B$8:$B$19,C1640)</f>
        <v>0</v>
      </c>
    </row>
    <row r="1641" spans="1:10" ht="14.4">
      <c r="A1641" s="84">
        <v>47292</v>
      </c>
      <c r="B1641" s="85">
        <v>2029</v>
      </c>
      <c r="C1641" s="85">
        <v>6</v>
      </c>
      <c r="D1641" s="85" t="s">
        <v>68</v>
      </c>
      <c r="E1641" s="85">
        <v>23</v>
      </c>
      <c r="F1641" s="85">
        <v>6</v>
      </c>
      <c r="G1641" s="85">
        <f>--(F1641&lt;=Estimator!$B$7)</f>
        <v>0</v>
      </c>
      <c r="H1641" s="86">
        <f>SUMIFS('Climate Data'!$G$7:$G$366,'Climate Data'!$A$7:$A$366,Estimator!$B$4,'Climate Data'!$B$7:$B$366,C1641)</f>
        <v>0.28666666666666668</v>
      </c>
      <c r="I1641" s="87">
        <f>SUMIFS('Climate Data'!$H$7:$H$366,'Climate Data'!$A$7:$A$366,Estimator!$B$4,'Climate Data'!$B$7:$B$366,C1641)</f>
        <v>7.941860465116279</v>
      </c>
      <c r="J1641" s="86">
        <f>SUMIFS('Wind Proxy'!$H$8:$H$19,'Wind Proxy'!$A$8:$A$19,Estimator!$B$4,'Wind Proxy'!$B$8:$B$19,C1641)</f>
        <v>0</v>
      </c>
    </row>
    <row r="1642" spans="1:10" ht="14.4">
      <c r="A1642" s="84">
        <v>47293</v>
      </c>
      <c r="B1642" s="85">
        <v>2029</v>
      </c>
      <c r="C1642" s="85">
        <v>6</v>
      </c>
      <c r="D1642" s="85" t="s">
        <v>68</v>
      </c>
      <c r="E1642" s="85">
        <v>24</v>
      </c>
      <c r="F1642" s="85">
        <v>7</v>
      </c>
      <c r="G1642" s="85">
        <f>--(F1642&lt;=Estimator!$B$7)</f>
        <v>0</v>
      </c>
      <c r="H1642" s="86">
        <f>SUMIFS('Climate Data'!$G$7:$G$366,'Climate Data'!$A$7:$A$366,Estimator!$B$4,'Climate Data'!$B$7:$B$366,C1642)</f>
        <v>0.28666666666666668</v>
      </c>
      <c r="I1642" s="87">
        <f>SUMIFS('Climate Data'!$H$7:$H$366,'Climate Data'!$A$7:$A$366,Estimator!$B$4,'Climate Data'!$B$7:$B$366,C1642)</f>
        <v>7.941860465116279</v>
      </c>
      <c r="J1642" s="86">
        <f>SUMIFS('Wind Proxy'!$H$8:$H$19,'Wind Proxy'!$A$8:$A$19,Estimator!$B$4,'Wind Proxy'!$B$8:$B$19,C1642)</f>
        <v>0</v>
      </c>
    </row>
    <row r="1643" spans="1:10" ht="14.4">
      <c r="A1643" s="84">
        <v>47294</v>
      </c>
      <c r="B1643" s="85">
        <v>2029</v>
      </c>
      <c r="C1643" s="85">
        <v>6</v>
      </c>
      <c r="D1643" s="85" t="s">
        <v>68</v>
      </c>
      <c r="E1643" s="85">
        <v>25</v>
      </c>
      <c r="F1643" s="85">
        <v>1</v>
      </c>
      <c r="G1643" s="85">
        <f>--(F1643&lt;=Estimator!$B$7)</f>
        <v>1</v>
      </c>
      <c r="H1643" s="86">
        <f>SUMIFS('Climate Data'!$G$7:$G$366,'Climate Data'!$A$7:$A$366,Estimator!$B$4,'Climate Data'!$B$7:$B$366,C1643)</f>
        <v>0.28666666666666668</v>
      </c>
      <c r="I1643" s="87">
        <f>SUMIFS('Climate Data'!$H$7:$H$366,'Climate Data'!$A$7:$A$366,Estimator!$B$4,'Climate Data'!$B$7:$B$366,C1643)</f>
        <v>7.941860465116279</v>
      </c>
      <c r="J1643" s="86">
        <f>SUMIFS('Wind Proxy'!$H$8:$H$19,'Wind Proxy'!$A$8:$A$19,Estimator!$B$4,'Wind Proxy'!$B$8:$B$19,C1643)</f>
        <v>0</v>
      </c>
    </row>
    <row r="1644" spans="1:10" ht="14.4">
      <c r="A1644" s="84">
        <v>47295</v>
      </c>
      <c r="B1644" s="85">
        <v>2029</v>
      </c>
      <c r="C1644" s="85">
        <v>6</v>
      </c>
      <c r="D1644" s="85" t="s">
        <v>68</v>
      </c>
      <c r="E1644" s="85">
        <v>26</v>
      </c>
      <c r="F1644" s="85">
        <v>2</v>
      </c>
      <c r="G1644" s="85">
        <f>--(F1644&lt;=Estimator!$B$7)</f>
        <v>1</v>
      </c>
      <c r="H1644" s="86">
        <f>SUMIFS('Climate Data'!$G$7:$G$366,'Climate Data'!$A$7:$A$366,Estimator!$B$4,'Climate Data'!$B$7:$B$366,C1644)</f>
        <v>0.28666666666666668</v>
      </c>
      <c r="I1644" s="87">
        <f>SUMIFS('Climate Data'!$H$7:$H$366,'Climate Data'!$A$7:$A$366,Estimator!$B$4,'Climate Data'!$B$7:$B$366,C1644)</f>
        <v>7.941860465116279</v>
      </c>
      <c r="J1644" s="86">
        <f>SUMIFS('Wind Proxy'!$H$8:$H$19,'Wind Proxy'!$A$8:$A$19,Estimator!$B$4,'Wind Proxy'!$B$8:$B$19,C1644)</f>
        <v>0</v>
      </c>
    </row>
    <row r="1645" spans="1:10" ht="14.4">
      <c r="A1645" s="84">
        <v>47296</v>
      </c>
      <c r="B1645" s="85">
        <v>2029</v>
      </c>
      <c r="C1645" s="85">
        <v>6</v>
      </c>
      <c r="D1645" s="85" t="s">
        <v>68</v>
      </c>
      <c r="E1645" s="85">
        <v>27</v>
      </c>
      <c r="F1645" s="85">
        <v>3</v>
      </c>
      <c r="G1645" s="85">
        <f>--(F1645&lt;=Estimator!$B$7)</f>
        <v>1</v>
      </c>
      <c r="H1645" s="86">
        <f>SUMIFS('Climate Data'!$G$7:$G$366,'Climate Data'!$A$7:$A$366,Estimator!$B$4,'Climate Data'!$B$7:$B$366,C1645)</f>
        <v>0.28666666666666668</v>
      </c>
      <c r="I1645" s="87">
        <f>SUMIFS('Climate Data'!$H$7:$H$366,'Climate Data'!$A$7:$A$366,Estimator!$B$4,'Climate Data'!$B$7:$B$366,C1645)</f>
        <v>7.941860465116279</v>
      </c>
      <c r="J1645" s="86">
        <f>SUMIFS('Wind Proxy'!$H$8:$H$19,'Wind Proxy'!$A$8:$A$19,Estimator!$B$4,'Wind Proxy'!$B$8:$B$19,C1645)</f>
        <v>0</v>
      </c>
    </row>
    <row r="1646" spans="1:10" ht="14.4">
      <c r="A1646" s="84">
        <v>47297</v>
      </c>
      <c r="B1646" s="85">
        <v>2029</v>
      </c>
      <c r="C1646" s="85">
        <v>6</v>
      </c>
      <c r="D1646" s="85" t="s">
        <v>68</v>
      </c>
      <c r="E1646" s="85">
        <v>28</v>
      </c>
      <c r="F1646" s="85">
        <v>4</v>
      </c>
      <c r="G1646" s="85">
        <f>--(F1646&lt;=Estimator!$B$7)</f>
        <v>1</v>
      </c>
      <c r="H1646" s="86">
        <f>SUMIFS('Climate Data'!$G$7:$G$366,'Climate Data'!$A$7:$A$366,Estimator!$B$4,'Climate Data'!$B$7:$B$366,C1646)</f>
        <v>0.28666666666666668</v>
      </c>
      <c r="I1646" s="87">
        <f>SUMIFS('Climate Data'!$H$7:$H$366,'Climate Data'!$A$7:$A$366,Estimator!$B$4,'Climate Data'!$B$7:$B$366,C1646)</f>
        <v>7.941860465116279</v>
      </c>
      <c r="J1646" s="86">
        <f>SUMIFS('Wind Proxy'!$H$8:$H$19,'Wind Proxy'!$A$8:$A$19,Estimator!$B$4,'Wind Proxy'!$B$8:$B$19,C1646)</f>
        <v>0</v>
      </c>
    </row>
    <row r="1647" spans="1:10" ht="14.4">
      <c r="A1647" s="84">
        <v>47298</v>
      </c>
      <c r="B1647" s="85">
        <v>2029</v>
      </c>
      <c r="C1647" s="85">
        <v>6</v>
      </c>
      <c r="D1647" s="85" t="s">
        <v>68</v>
      </c>
      <c r="E1647" s="85">
        <v>29</v>
      </c>
      <c r="F1647" s="85">
        <v>5</v>
      </c>
      <c r="G1647" s="85">
        <f>--(F1647&lt;=Estimator!$B$7)</f>
        <v>1</v>
      </c>
      <c r="H1647" s="86">
        <f>SUMIFS('Climate Data'!$G$7:$G$366,'Climate Data'!$A$7:$A$366,Estimator!$B$4,'Climate Data'!$B$7:$B$366,C1647)</f>
        <v>0.28666666666666668</v>
      </c>
      <c r="I1647" s="87">
        <f>SUMIFS('Climate Data'!$H$7:$H$366,'Climate Data'!$A$7:$A$366,Estimator!$B$4,'Climate Data'!$B$7:$B$366,C1647)</f>
        <v>7.941860465116279</v>
      </c>
      <c r="J1647" s="86">
        <f>SUMIFS('Wind Proxy'!$H$8:$H$19,'Wind Proxy'!$A$8:$A$19,Estimator!$B$4,'Wind Proxy'!$B$8:$B$19,C1647)</f>
        <v>0</v>
      </c>
    </row>
    <row r="1648" spans="1:10" ht="14.4">
      <c r="A1648" s="84">
        <v>47299</v>
      </c>
      <c r="B1648" s="85">
        <v>2029</v>
      </c>
      <c r="C1648" s="85">
        <v>6</v>
      </c>
      <c r="D1648" s="85" t="s">
        <v>68</v>
      </c>
      <c r="E1648" s="85">
        <v>30</v>
      </c>
      <c r="F1648" s="85">
        <v>6</v>
      </c>
      <c r="G1648" s="85">
        <f>--(F1648&lt;=Estimator!$B$7)</f>
        <v>0</v>
      </c>
      <c r="H1648" s="86">
        <f>SUMIFS('Climate Data'!$G$7:$G$366,'Climate Data'!$A$7:$A$366,Estimator!$B$4,'Climate Data'!$B$7:$B$366,C1648)</f>
        <v>0.28666666666666668</v>
      </c>
      <c r="I1648" s="87">
        <f>SUMIFS('Climate Data'!$H$7:$H$366,'Climate Data'!$A$7:$A$366,Estimator!$B$4,'Climate Data'!$B$7:$B$366,C1648)</f>
        <v>7.941860465116279</v>
      </c>
      <c r="J1648" s="86">
        <f>SUMIFS('Wind Proxy'!$H$8:$H$19,'Wind Proxy'!$A$8:$A$19,Estimator!$B$4,'Wind Proxy'!$B$8:$B$19,C1648)</f>
        <v>0</v>
      </c>
    </row>
    <row r="1649" spans="1:10" ht="14.4">
      <c r="A1649" s="84">
        <v>47300</v>
      </c>
      <c r="B1649" s="85">
        <v>2029</v>
      </c>
      <c r="C1649" s="85">
        <v>7</v>
      </c>
      <c r="D1649" s="85" t="s">
        <v>69</v>
      </c>
      <c r="E1649" s="85">
        <v>1</v>
      </c>
      <c r="F1649" s="85">
        <v>7</v>
      </c>
      <c r="G1649" s="85">
        <f>--(F1649&lt;=Estimator!$B$7)</f>
        <v>0</v>
      </c>
      <c r="H1649" s="86">
        <f>SUMIFS('Climate Data'!$G$7:$G$366,'Climate Data'!$A$7:$A$366,Estimator!$B$4,'Climate Data'!$B$7:$B$366,C1649)</f>
        <v>0.24731182795698925</v>
      </c>
      <c r="I1649" s="87">
        <f>SUMIFS('Climate Data'!$H$7:$H$366,'Climate Data'!$A$7:$A$366,Estimator!$B$4,'Climate Data'!$B$7:$B$366,C1649)</f>
        <v>8.3739130434782609</v>
      </c>
      <c r="J1649" s="86">
        <f>SUMIFS('Wind Proxy'!$H$8:$H$19,'Wind Proxy'!$A$8:$A$19,Estimator!$B$4,'Wind Proxy'!$B$8:$B$19,C1649)</f>
        <v>0</v>
      </c>
    </row>
    <row r="1650" spans="1:10" ht="14.4">
      <c r="A1650" s="84">
        <v>47301</v>
      </c>
      <c r="B1650" s="85">
        <v>2029</v>
      </c>
      <c r="C1650" s="85">
        <v>7</v>
      </c>
      <c r="D1650" s="85" t="s">
        <v>69</v>
      </c>
      <c r="E1650" s="85">
        <v>2</v>
      </c>
      <c r="F1650" s="85">
        <v>1</v>
      </c>
      <c r="G1650" s="85">
        <f>--(F1650&lt;=Estimator!$B$7)</f>
        <v>1</v>
      </c>
      <c r="H1650" s="86">
        <f>SUMIFS('Climate Data'!$G$7:$G$366,'Climate Data'!$A$7:$A$366,Estimator!$B$4,'Climate Data'!$B$7:$B$366,C1650)</f>
        <v>0.24731182795698925</v>
      </c>
      <c r="I1650" s="87">
        <f>SUMIFS('Climate Data'!$H$7:$H$366,'Climate Data'!$A$7:$A$366,Estimator!$B$4,'Climate Data'!$B$7:$B$366,C1650)</f>
        <v>8.3739130434782609</v>
      </c>
      <c r="J1650" s="86">
        <f>SUMIFS('Wind Proxy'!$H$8:$H$19,'Wind Proxy'!$A$8:$A$19,Estimator!$B$4,'Wind Proxy'!$B$8:$B$19,C1650)</f>
        <v>0</v>
      </c>
    </row>
    <row r="1651" spans="1:10" ht="14.4">
      <c r="A1651" s="84">
        <v>47302</v>
      </c>
      <c r="B1651" s="85">
        <v>2029</v>
      </c>
      <c r="C1651" s="85">
        <v>7</v>
      </c>
      <c r="D1651" s="85" t="s">
        <v>69</v>
      </c>
      <c r="E1651" s="85">
        <v>3</v>
      </c>
      <c r="F1651" s="85">
        <v>2</v>
      </c>
      <c r="G1651" s="85">
        <f>--(F1651&lt;=Estimator!$B$7)</f>
        <v>1</v>
      </c>
      <c r="H1651" s="86">
        <f>SUMIFS('Climate Data'!$G$7:$G$366,'Climate Data'!$A$7:$A$366,Estimator!$B$4,'Climate Data'!$B$7:$B$366,C1651)</f>
        <v>0.24731182795698925</v>
      </c>
      <c r="I1651" s="87">
        <f>SUMIFS('Climate Data'!$H$7:$H$366,'Climate Data'!$A$7:$A$366,Estimator!$B$4,'Climate Data'!$B$7:$B$366,C1651)</f>
        <v>8.3739130434782609</v>
      </c>
      <c r="J1651" s="86">
        <f>SUMIFS('Wind Proxy'!$H$8:$H$19,'Wind Proxy'!$A$8:$A$19,Estimator!$B$4,'Wind Proxy'!$B$8:$B$19,C1651)</f>
        <v>0</v>
      </c>
    </row>
    <row r="1652" spans="1:10" ht="14.4">
      <c r="A1652" s="84">
        <v>47303</v>
      </c>
      <c r="B1652" s="85">
        <v>2029</v>
      </c>
      <c r="C1652" s="85">
        <v>7</v>
      </c>
      <c r="D1652" s="85" t="s">
        <v>69</v>
      </c>
      <c r="E1652" s="85">
        <v>4</v>
      </c>
      <c r="F1652" s="85">
        <v>3</v>
      </c>
      <c r="G1652" s="85">
        <f>--(F1652&lt;=Estimator!$B$7)</f>
        <v>1</v>
      </c>
      <c r="H1652" s="86">
        <f>SUMIFS('Climate Data'!$G$7:$G$366,'Climate Data'!$A$7:$A$366,Estimator!$B$4,'Climate Data'!$B$7:$B$366,C1652)</f>
        <v>0.24731182795698925</v>
      </c>
      <c r="I1652" s="87">
        <f>SUMIFS('Climate Data'!$H$7:$H$366,'Climate Data'!$A$7:$A$366,Estimator!$B$4,'Climate Data'!$B$7:$B$366,C1652)</f>
        <v>8.3739130434782609</v>
      </c>
      <c r="J1652" s="86">
        <f>SUMIFS('Wind Proxy'!$H$8:$H$19,'Wind Proxy'!$A$8:$A$19,Estimator!$B$4,'Wind Proxy'!$B$8:$B$19,C1652)</f>
        <v>0</v>
      </c>
    </row>
    <row r="1653" spans="1:10" ht="14.4">
      <c r="A1653" s="84">
        <v>47304</v>
      </c>
      <c r="B1653" s="85">
        <v>2029</v>
      </c>
      <c r="C1653" s="85">
        <v>7</v>
      </c>
      <c r="D1653" s="85" t="s">
        <v>69</v>
      </c>
      <c r="E1653" s="85">
        <v>5</v>
      </c>
      <c r="F1653" s="85">
        <v>4</v>
      </c>
      <c r="G1653" s="85">
        <f>--(F1653&lt;=Estimator!$B$7)</f>
        <v>1</v>
      </c>
      <c r="H1653" s="86">
        <f>SUMIFS('Climate Data'!$G$7:$G$366,'Climate Data'!$A$7:$A$366,Estimator!$B$4,'Climate Data'!$B$7:$B$366,C1653)</f>
        <v>0.24731182795698925</v>
      </c>
      <c r="I1653" s="87">
        <f>SUMIFS('Climate Data'!$H$7:$H$366,'Climate Data'!$A$7:$A$366,Estimator!$B$4,'Climate Data'!$B$7:$B$366,C1653)</f>
        <v>8.3739130434782609</v>
      </c>
      <c r="J1653" s="86">
        <f>SUMIFS('Wind Proxy'!$H$8:$H$19,'Wind Proxy'!$A$8:$A$19,Estimator!$B$4,'Wind Proxy'!$B$8:$B$19,C1653)</f>
        <v>0</v>
      </c>
    </row>
    <row r="1654" spans="1:10" ht="14.4">
      <c r="A1654" s="84">
        <v>47305</v>
      </c>
      <c r="B1654" s="85">
        <v>2029</v>
      </c>
      <c r="C1654" s="85">
        <v>7</v>
      </c>
      <c r="D1654" s="85" t="s">
        <v>69</v>
      </c>
      <c r="E1654" s="85">
        <v>6</v>
      </c>
      <c r="F1654" s="85">
        <v>5</v>
      </c>
      <c r="G1654" s="85">
        <f>--(F1654&lt;=Estimator!$B$7)</f>
        <v>1</v>
      </c>
      <c r="H1654" s="86">
        <f>SUMIFS('Climate Data'!$G$7:$G$366,'Climate Data'!$A$7:$A$366,Estimator!$B$4,'Climate Data'!$B$7:$B$366,C1654)</f>
        <v>0.24731182795698925</v>
      </c>
      <c r="I1654" s="87">
        <f>SUMIFS('Climate Data'!$H$7:$H$366,'Climate Data'!$A$7:$A$366,Estimator!$B$4,'Climate Data'!$B$7:$B$366,C1654)</f>
        <v>8.3739130434782609</v>
      </c>
      <c r="J1654" s="86">
        <f>SUMIFS('Wind Proxy'!$H$8:$H$19,'Wind Proxy'!$A$8:$A$19,Estimator!$B$4,'Wind Proxy'!$B$8:$B$19,C1654)</f>
        <v>0</v>
      </c>
    </row>
    <row r="1655" spans="1:10" ht="14.4">
      <c r="A1655" s="84">
        <v>47306</v>
      </c>
      <c r="B1655" s="85">
        <v>2029</v>
      </c>
      <c r="C1655" s="85">
        <v>7</v>
      </c>
      <c r="D1655" s="85" t="s">
        <v>69</v>
      </c>
      <c r="E1655" s="85">
        <v>7</v>
      </c>
      <c r="F1655" s="85">
        <v>6</v>
      </c>
      <c r="G1655" s="85">
        <f>--(F1655&lt;=Estimator!$B$7)</f>
        <v>0</v>
      </c>
      <c r="H1655" s="86">
        <f>SUMIFS('Climate Data'!$G$7:$G$366,'Climate Data'!$A$7:$A$366,Estimator!$B$4,'Climate Data'!$B$7:$B$366,C1655)</f>
        <v>0.24731182795698925</v>
      </c>
      <c r="I1655" s="87">
        <f>SUMIFS('Climate Data'!$H$7:$H$366,'Climate Data'!$A$7:$A$366,Estimator!$B$4,'Climate Data'!$B$7:$B$366,C1655)</f>
        <v>8.3739130434782609</v>
      </c>
      <c r="J1655" s="86">
        <f>SUMIFS('Wind Proxy'!$H$8:$H$19,'Wind Proxy'!$A$8:$A$19,Estimator!$B$4,'Wind Proxy'!$B$8:$B$19,C1655)</f>
        <v>0</v>
      </c>
    </row>
    <row r="1656" spans="1:10" ht="14.4">
      <c r="A1656" s="84">
        <v>47307</v>
      </c>
      <c r="B1656" s="85">
        <v>2029</v>
      </c>
      <c r="C1656" s="85">
        <v>7</v>
      </c>
      <c r="D1656" s="85" t="s">
        <v>69</v>
      </c>
      <c r="E1656" s="85">
        <v>8</v>
      </c>
      <c r="F1656" s="85">
        <v>7</v>
      </c>
      <c r="G1656" s="85">
        <f>--(F1656&lt;=Estimator!$B$7)</f>
        <v>0</v>
      </c>
      <c r="H1656" s="86">
        <f>SUMIFS('Climate Data'!$G$7:$G$366,'Climate Data'!$A$7:$A$366,Estimator!$B$4,'Climate Data'!$B$7:$B$366,C1656)</f>
        <v>0.24731182795698925</v>
      </c>
      <c r="I1656" s="87">
        <f>SUMIFS('Climate Data'!$H$7:$H$366,'Climate Data'!$A$7:$A$366,Estimator!$B$4,'Climate Data'!$B$7:$B$366,C1656)</f>
        <v>8.3739130434782609</v>
      </c>
      <c r="J1656" s="86">
        <f>SUMIFS('Wind Proxy'!$H$8:$H$19,'Wind Proxy'!$A$8:$A$19,Estimator!$B$4,'Wind Proxy'!$B$8:$B$19,C1656)</f>
        <v>0</v>
      </c>
    </row>
    <row r="1657" spans="1:10" ht="14.4">
      <c r="A1657" s="84">
        <v>47308</v>
      </c>
      <c r="B1657" s="85">
        <v>2029</v>
      </c>
      <c r="C1657" s="85">
        <v>7</v>
      </c>
      <c r="D1657" s="85" t="s">
        <v>69</v>
      </c>
      <c r="E1657" s="85">
        <v>9</v>
      </c>
      <c r="F1657" s="85">
        <v>1</v>
      </c>
      <c r="G1657" s="85">
        <f>--(F1657&lt;=Estimator!$B$7)</f>
        <v>1</v>
      </c>
      <c r="H1657" s="86">
        <f>SUMIFS('Climate Data'!$G$7:$G$366,'Climate Data'!$A$7:$A$366,Estimator!$B$4,'Climate Data'!$B$7:$B$366,C1657)</f>
        <v>0.24731182795698925</v>
      </c>
      <c r="I1657" s="87">
        <f>SUMIFS('Climate Data'!$H$7:$H$366,'Climate Data'!$A$7:$A$366,Estimator!$B$4,'Climate Data'!$B$7:$B$366,C1657)</f>
        <v>8.3739130434782609</v>
      </c>
      <c r="J1657" s="86">
        <f>SUMIFS('Wind Proxy'!$H$8:$H$19,'Wind Proxy'!$A$8:$A$19,Estimator!$B$4,'Wind Proxy'!$B$8:$B$19,C1657)</f>
        <v>0</v>
      </c>
    </row>
    <row r="1658" spans="1:10" ht="14.4">
      <c r="A1658" s="84">
        <v>47309</v>
      </c>
      <c r="B1658" s="85">
        <v>2029</v>
      </c>
      <c r="C1658" s="85">
        <v>7</v>
      </c>
      <c r="D1658" s="85" t="s">
        <v>69</v>
      </c>
      <c r="E1658" s="85">
        <v>10</v>
      </c>
      <c r="F1658" s="85">
        <v>2</v>
      </c>
      <c r="G1658" s="85">
        <f>--(F1658&lt;=Estimator!$B$7)</f>
        <v>1</v>
      </c>
      <c r="H1658" s="86">
        <f>SUMIFS('Climate Data'!$G$7:$G$366,'Climate Data'!$A$7:$A$366,Estimator!$B$4,'Climate Data'!$B$7:$B$366,C1658)</f>
        <v>0.24731182795698925</v>
      </c>
      <c r="I1658" s="87">
        <f>SUMIFS('Climate Data'!$H$7:$H$366,'Climate Data'!$A$7:$A$366,Estimator!$B$4,'Climate Data'!$B$7:$B$366,C1658)</f>
        <v>8.3739130434782609</v>
      </c>
      <c r="J1658" s="86">
        <f>SUMIFS('Wind Proxy'!$H$8:$H$19,'Wind Proxy'!$A$8:$A$19,Estimator!$B$4,'Wind Proxy'!$B$8:$B$19,C1658)</f>
        <v>0</v>
      </c>
    </row>
    <row r="1659" spans="1:10" ht="14.4">
      <c r="A1659" s="84">
        <v>47310</v>
      </c>
      <c r="B1659" s="85">
        <v>2029</v>
      </c>
      <c r="C1659" s="85">
        <v>7</v>
      </c>
      <c r="D1659" s="85" t="s">
        <v>69</v>
      </c>
      <c r="E1659" s="85">
        <v>11</v>
      </c>
      <c r="F1659" s="85">
        <v>3</v>
      </c>
      <c r="G1659" s="85">
        <f>--(F1659&lt;=Estimator!$B$7)</f>
        <v>1</v>
      </c>
      <c r="H1659" s="86">
        <f>SUMIFS('Climate Data'!$G$7:$G$366,'Climate Data'!$A$7:$A$366,Estimator!$B$4,'Climate Data'!$B$7:$B$366,C1659)</f>
        <v>0.24731182795698925</v>
      </c>
      <c r="I1659" s="87">
        <f>SUMIFS('Climate Data'!$H$7:$H$366,'Climate Data'!$A$7:$A$366,Estimator!$B$4,'Climate Data'!$B$7:$B$366,C1659)</f>
        <v>8.3739130434782609</v>
      </c>
      <c r="J1659" s="86">
        <f>SUMIFS('Wind Proxy'!$H$8:$H$19,'Wind Proxy'!$A$8:$A$19,Estimator!$B$4,'Wind Proxy'!$B$8:$B$19,C1659)</f>
        <v>0</v>
      </c>
    </row>
    <row r="1660" spans="1:10" ht="14.4">
      <c r="A1660" s="84">
        <v>47311</v>
      </c>
      <c r="B1660" s="85">
        <v>2029</v>
      </c>
      <c r="C1660" s="85">
        <v>7</v>
      </c>
      <c r="D1660" s="85" t="s">
        <v>69</v>
      </c>
      <c r="E1660" s="85">
        <v>12</v>
      </c>
      <c r="F1660" s="85">
        <v>4</v>
      </c>
      <c r="G1660" s="85">
        <f>--(F1660&lt;=Estimator!$B$7)</f>
        <v>1</v>
      </c>
      <c r="H1660" s="86">
        <f>SUMIFS('Climate Data'!$G$7:$G$366,'Climate Data'!$A$7:$A$366,Estimator!$B$4,'Climate Data'!$B$7:$B$366,C1660)</f>
        <v>0.24731182795698925</v>
      </c>
      <c r="I1660" s="87">
        <f>SUMIFS('Climate Data'!$H$7:$H$366,'Climate Data'!$A$7:$A$366,Estimator!$B$4,'Climate Data'!$B$7:$B$366,C1660)</f>
        <v>8.3739130434782609</v>
      </c>
      <c r="J1660" s="86">
        <f>SUMIFS('Wind Proxy'!$H$8:$H$19,'Wind Proxy'!$A$8:$A$19,Estimator!$B$4,'Wind Proxy'!$B$8:$B$19,C1660)</f>
        <v>0</v>
      </c>
    </row>
    <row r="1661" spans="1:10" ht="14.4">
      <c r="A1661" s="84">
        <v>47312</v>
      </c>
      <c r="B1661" s="85">
        <v>2029</v>
      </c>
      <c r="C1661" s="85">
        <v>7</v>
      </c>
      <c r="D1661" s="85" t="s">
        <v>69</v>
      </c>
      <c r="E1661" s="85">
        <v>13</v>
      </c>
      <c r="F1661" s="85">
        <v>5</v>
      </c>
      <c r="G1661" s="85">
        <f>--(F1661&lt;=Estimator!$B$7)</f>
        <v>1</v>
      </c>
      <c r="H1661" s="86">
        <f>SUMIFS('Climate Data'!$G$7:$G$366,'Climate Data'!$A$7:$A$366,Estimator!$B$4,'Climate Data'!$B$7:$B$366,C1661)</f>
        <v>0.24731182795698925</v>
      </c>
      <c r="I1661" s="87">
        <f>SUMIFS('Climate Data'!$H$7:$H$366,'Climate Data'!$A$7:$A$366,Estimator!$B$4,'Climate Data'!$B$7:$B$366,C1661)</f>
        <v>8.3739130434782609</v>
      </c>
      <c r="J1661" s="86">
        <f>SUMIFS('Wind Proxy'!$H$8:$H$19,'Wind Proxy'!$A$8:$A$19,Estimator!$B$4,'Wind Proxy'!$B$8:$B$19,C1661)</f>
        <v>0</v>
      </c>
    </row>
    <row r="1662" spans="1:10" ht="14.4">
      <c r="A1662" s="84">
        <v>47313</v>
      </c>
      <c r="B1662" s="85">
        <v>2029</v>
      </c>
      <c r="C1662" s="85">
        <v>7</v>
      </c>
      <c r="D1662" s="85" t="s">
        <v>69</v>
      </c>
      <c r="E1662" s="85">
        <v>14</v>
      </c>
      <c r="F1662" s="85">
        <v>6</v>
      </c>
      <c r="G1662" s="85">
        <f>--(F1662&lt;=Estimator!$B$7)</f>
        <v>0</v>
      </c>
      <c r="H1662" s="86">
        <f>SUMIFS('Climate Data'!$G$7:$G$366,'Climate Data'!$A$7:$A$366,Estimator!$B$4,'Climate Data'!$B$7:$B$366,C1662)</f>
        <v>0.24731182795698925</v>
      </c>
      <c r="I1662" s="87">
        <f>SUMIFS('Climate Data'!$H$7:$H$366,'Climate Data'!$A$7:$A$366,Estimator!$B$4,'Climate Data'!$B$7:$B$366,C1662)</f>
        <v>8.3739130434782609</v>
      </c>
      <c r="J1662" s="86">
        <f>SUMIFS('Wind Proxy'!$H$8:$H$19,'Wind Proxy'!$A$8:$A$19,Estimator!$B$4,'Wind Proxy'!$B$8:$B$19,C1662)</f>
        <v>0</v>
      </c>
    </row>
    <row r="1663" spans="1:10" ht="14.4">
      <c r="A1663" s="84">
        <v>47314</v>
      </c>
      <c r="B1663" s="85">
        <v>2029</v>
      </c>
      <c r="C1663" s="85">
        <v>7</v>
      </c>
      <c r="D1663" s="85" t="s">
        <v>69</v>
      </c>
      <c r="E1663" s="85">
        <v>15</v>
      </c>
      <c r="F1663" s="85">
        <v>7</v>
      </c>
      <c r="G1663" s="85">
        <f>--(F1663&lt;=Estimator!$B$7)</f>
        <v>0</v>
      </c>
      <c r="H1663" s="86">
        <f>SUMIFS('Climate Data'!$G$7:$G$366,'Climate Data'!$A$7:$A$366,Estimator!$B$4,'Climate Data'!$B$7:$B$366,C1663)</f>
        <v>0.24731182795698925</v>
      </c>
      <c r="I1663" s="87">
        <f>SUMIFS('Climate Data'!$H$7:$H$366,'Climate Data'!$A$7:$A$366,Estimator!$B$4,'Climate Data'!$B$7:$B$366,C1663)</f>
        <v>8.3739130434782609</v>
      </c>
      <c r="J1663" s="86">
        <f>SUMIFS('Wind Proxy'!$H$8:$H$19,'Wind Proxy'!$A$8:$A$19,Estimator!$B$4,'Wind Proxy'!$B$8:$B$19,C1663)</f>
        <v>0</v>
      </c>
    </row>
    <row r="1664" spans="1:10" ht="14.4">
      <c r="A1664" s="84">
        <v>47315</v>
      </c>
      <c r="B1664" s="85">
        <v>2029</v>
      </c>
      <c r="C1664" s="85">
        <v>7</v>
      </c>
      <c r="D1664" s="85" t="s">
        <v>69</v>
      </c>
      <c r="E1664" s="85">
        <v>16</v>
      </c>
      <c r="F1664" s="85">
        <v>1</v>
      </c>
      <c r="G1664" s="85">
        <f>--(F1664&lt;=Estimator!$B$7)</f>
        <v>1</v>
      </c>
      <c r="H1664" s="86">
        <f>SUMIFS('Climate Data'!$G$7:$G$366,'Climate Data'!$A$7:$A$366,Estimator!$B$4,'Climate Data'!$B$7:$B$366,C1664)</f>
        <v>0.24731182795698925</v>
      </c>
      <c r="I1664" s="87">
        <f>SUMIFS('Climate Data'!$H$7:$H$366,'Climate Data'!$A$7:$A$366,Estimator!$B$4,'Climate Data'!$B$7:$B$366,C1664)</f>
        <v>8.3739130434782609</v>
      </c>
      <c r="J1664" s="86">
        <f>SUMIFS('Wind Proxy'!$H$8:$H$19,'Wind Proxy'!$A$8:$A$19,Estimator!$B$4,'Wind Proxy'!$B$8:$B$19,C1664)</f>
        <v>0</v>
      </c>
    </row>
    <row r="1665" spans="1:10" ht="14.4">
      <c r="A1665" s="84">
        <v>47316</v>
      </c>
      <c r="B1665" s="85">
        <v>2029</v>
      </c>
      <c r="C1665" s="85">
        <v>7</v>
      </c>
      <c r="D1665" s="85" t="s">
        <v>69</v>
      </c>
      <c r="E1665" s="85">
        <v>17</v>
      </c>
      <c r="F1665" s="85">
        <v>2</v>
      </c>
      <c r="G1665" s="85">
        <f>--(F1665&lt;=Estimator!$B$7)</f>
        <v>1</v>
      </c>
      <c r="H1665" s="86">
        <f>SUMIFS('Climate Data'!$G$7:$G$366,'Climate Data'!$A$7:$A$366,Estimator!$B$4,'Climate Data'!$B$7:$B$366,C1665)</f>
        <v>0.24731182795698925</v>
      </c>
      <c r="I1665" s="87">
        <f>SUMIFS('Climate Data'!$H$7:$H$366,'Climate Data'!$A$7:$A$366,Estimator!$B$4,'Climate Data'!$B$7:$B$366,C1665)</f>
        <v>8.3739130434782609</v>
      </c>
      <c r="J1665" s="86">
        <f>SUMIFS('Wind Proxy'!$H$8:$H$19,'Wind Proxy'!$A$8:$A$19,Estimator!$B$4,'Wind Proxy'!$B$8:$B$19,C1665)</f>
        <v>0</v>
      </c>
    </row>
    <row r="1666" spans="1:10" ht="14.4">
      <c r="A1666" s="84">
        <v>47317</v>
      </c>
      <c r="B1666" s="85">
        <v>2029</v>
      </c>
      <c r="C1666" s="85">
        <v>7</v>
      </c>
      <c r="D1666" s="85" t="s">
        <v>69</v>
      </c>
      <c r="E1666" s="85">
        <v>18</v>
      </c>
      <c r="F1666" s="85">
        <v>3</v>
      </c>
      <c r="G1666" s="85">
        <f>--(F1666&lt;=Estimator!$B$7)</f>
        <v>1</v>
      </c>
      <c r="H1666" s="86">
        <f>SUMIFS('Climate Data'!$G$7:$G$366,'Climate Data'!$A$7:$A$366,Estimator!$B$4,'Climate Data'!$B$7:$B$366,C1666)</f>
        <v>0.24731182795698925</v>
      </c>
      <c r="I1666" s="87">
        <f>SUMIFS('Climate Data'!$H$7:$H$366,'Climate Data'!$A$7:$A$366,Estimator!$B$4,'Climate Data'!$B$7:$B$366,C1666)</f>
        <v>8.3739130434782609</v>
      </c>
      <c r="J1666" s="86">
        <f>SUMIFS('Wind Proxy'!$H$8:$H$19,'Wind Proxy'!$A$8:$A$19,Estimator!$B$4,'Wind Proxy'!$B$8:$B$19,C1666)</f>
        <v>0</v>
      </c>
    </row>
    <row r="1667" spans="1:10" ht="14.4">
      <c r="A1667" s="84">
        <v>47318</v>
      </c>
      <c r="B1667" s="85">
        <v>2029</v>
      </c>
      <c r="C1667" s="85">
        <v>7</v>
      </c>
      <c r="D1667" s="85" t="s">
        <v>69</v>
      </c>
      <c r="E1667" s="85">
        <v>19</v>
      </c>
      <c r="F1667" s="85">
        <v>4</v>
      </c>
      <c r="G1667" s="85">
        <f>--(F1667&lt;=Estimator!$B$7)</f>
        <v>1</v>
      </c>
      <c r="H1667" s="86">
        <f>SUMIFS('Climate Data'!$G$7:$G$366,'Climate Data'!$A$7:$A$366,Estimator!$B$4,'Climate Data'!$B$7:$B$366,C1667)</f>
        <v>0.24731182795698925</v>
      </c>
      <c r="I1667" s="87">
        <f>SUMIFS('Climate Data'!$H$7:$H$366,'Climate Data'!$A$7:$A$366,Estimator!$B$4,'Climate Data'!$B$7:$B$366,C1667)</f>
        <v>8.3739130434782609</v>
      </c>
      <c r="J1667" s="86">
        <f>SUMIFS('Wind Proxy'!$H$8:$H$19,'Wind Proxy'!$A$8:$A$19,Estimator!$B$4,'Wind Proxy'!$B$8:$B$19,C1667)</f>
        <v>0</v>
      </c>
    </row>
    <row r="1668" spans="1:10" ht="14.4">
      <c r="A1668" s="84">
        <v>47319</v>
      </c>
      <c r="B1668" s="85">
        <v>2029</v>
      </c>
      <c r="C1668" s="85">
        <v>7</v>
      </c>
      <c r="D1668" s="85" t="s">
        <v>69</v>
      </c>
      <c r="E1668" s="85">
        <v>20</v>
      </c>
      <c r="F1668" s="85">
        <v>5</v>
      </c>
      <c r="G1668" s="85">
        <f>--(F1668&lt;=Estimator!$B$7)</f>
        <v>1</v>
      </c>
      <c r="H1668" s="86">
        <f>SUMIFS('Climate Data'!$G$7:$G$366,'Climate Data'!$A$7:$A$366,Estimator!$B$4,'Climate Data'!$B$7:$B$366,C1668)</f>
        <v>0.24731182795698925</v>
      </c>
      <c r="I1668" s="87">
        <f>SUMIFS('Climate Data'!$H$7:$H$366,'Climate Data'!$A$7:$A$366,Estimator!$B$4,'Climate Data'!$B$7:$B$366,C1668)</f>
        <v>8.3739130434782609</v>
      </c>
      <c r="J1668" s="86">
        <f>SUMIFS('Wind Proxy'!$H$8:$H$19,'Wind Proxy'!$A$8:$A$19,Estimator!$B$4,'Wind Proxy'!$B$8:$B$19,C1668)</f>
        <v>0</v>
      </c>
    </row>
    <row r="1669" spans="1:10" ht="14.4">
      <c r="A1669" s="84">
        <v>47320</v>
      </c>
      <c r="B1669" s="85">
        <v>2029</v>
      </c>
      <c r="C1669" s="85">
        <v>7</v>
      </c>
      <c r="D1669" s="85" t="s">
        <v>69</v>
      </c>
      <c r="E1669" s="85">
        <v>21</v>
      </c>
      <c r="F1669" s="85">
        <v>6</v>
      </c>
      <c r="G1669" s="85">
        <f>--(F1669&lt;=Estimator!$B$7)</f>
        <v>0</v>
      </c>
      <c r="H1669" s="86">
        <f>SUMIFS('Climate Data'!$G$7:$G$366,'Climate Data'!$A$7:$A$366,Estimator!$B$4,'Climate Data'!$B$7:$B$366,C1669)</f>
        <v>0.24731182795698925</v>
      </c>
      <c r="I1669" s="87">
        <f>SUMIFS('Climate Data'!$H$7:$H$366,'Climate Data'!$A$7:$A$366,Estimator!$B$4,'Climate Data'!$B$7:$B$366,C1669)</f>
        <v>8.3739130434782609</v>
      </c>
      <c r="J1669" s="86">
        <f>SUMIFS('Wind Proxy'!$H$8:$H$19,'Wind Proxy'!$A$8:$A$19,Estimator!$B$4,'Wind Proxy'!$B$8:$B$19,C1669)</f>
        <v>0</v>
      </c>
    </row>
    <row r="1670" spans="1:10" ht="14.4">
      <c r="A1670" s="84">
        <v>47321</v>
      </c>
      <c r="B1670" s="85">
        <v>2029</v>
      </c>
      <c r="C1670" s="85">
        <v>7</v>
      </c>
      <c r="D1670" s="85" t="s">
        <v>69</v>
      </c>
      <c r="E1670" s="85">
        <v>22</v>
      </c>
      <c r="F1670" s="85">
        <v>7</v>
      </c>
      <c r="G1670" s="85">
        <f>--(F1670&lt;=Estimator!$B$7)</f>
        <v>0</v>
      </c>
      <c r="H1670" s="86">
        <f>SUMIFS('Climate Data'!$G$7:$G$366,'Climate Data'!$A$7:$A$366,Estimator!$B$4,'Climate Data'!$B$7:$B$366,C1670)</f>
        <v>0.24731182795698925</v>
      </c>
      <c r="I1670" s="87">
        <f>SUMIFS('Climate Data'!$H$7:$H$366,'Climate Data'!$A$7:$A$366,Estimator!$B$4,'Climate Data'!$B$7:$B$366,C1670)</f>
        <v>8.3739130434782609</v>
      </c>
      <c r="J1670" s="86">
        <f>SUMIFS('Wind Proxy'!$H$8:$H$19,'Wind Proxy'!$A$8:$A$19,Estimator!$B$4,'Wind Proxy'!$B$8:$B$19,C1670)</f>
        <v>0</v>
      </c>
    </row>
    <row r="1671" spans="1:10" ht="14.4">
      <c r="A1671" s="84">
        <v>47322</v>
      </c>
      <c r="B1671" s="85">
        <v>2029</v>
      </c>
      <c r="C1671" s="85">
        <v>7</v>
      </c>
      <c r="D1671" s="85" t="s">
        <v>69</v>
      </c>
      <c r="E1671" s="85">
        <v>23</v>
      </c>
      <c r="F1671" s="85">
        <v>1</v>
      </c>
      <c r="G1671" s="85">
        <f>--(F1671&lt;=Estimator!$B$7)</f>
        <v>1</v>
      </c>
      <c r="H1671" s="86">
        <f>SUMIFS('Climate Data'!$G$7:$G$366,'Climate Data'!$A$7:$A$366,Estimator!$B$4,'Climate Data'!$B$7:$B$366,C1671)</f>
        <v>0.24731182795698925</v>
      </c>
      <c r="I1671" s="87">
        <f>SUMIFS('Climate Data'!$H$7:$H$366,'Climate Data'!$A$7:$A$366,Estimator!$B$4,'Climate Data'!$B$7:$B$366,C1671)</f>
        <v>8.3739130434782609</v>
      </c>
      <c r="J1671" s="86">
        <f>SUMIFS('Wind Proxy'!$H$8:$H$19,'Wind Proxy'!$A$8:$A$19,Estimator!$B$4,'Wind Proxy'!$B$8:$B$19,C1671)</f>
        <v>0</v>
      </c>
    </row>
    <row r="1672" spans="1:10" ht="14.4">
      <c r="A1672" s="84">
        <v>47323</v>
      </c>
      <c r="B1672" s="85">
        <v>2029</v>
      </c>
      <c r="C1672" s="85">
        <v>7</v>
      </c>
      <c r="D1672" s="85" t="s">
        <v>69</v>
      </c>
      <c r="E1672" s="85">
        <v>24</v>
      </c>
      <c r="F1672" s="85">
        <v>2</v>
      </c>
      <c r="G1672" s="85">
        <f>--(F1672&lt;=Estimator!$B$7)</f>
        <v>1</v>
      </c>
      <c r="H1672" s="86">
        <f>SUMIFS('Climate Data'!$G$7:$G$366,'Climate Data'!$A$7:$A$366,Estimator!$B$4,'Climate Data'!$B$7:$B$366,C1672)</f>
        <v>0.24731182795698925</v>
      </c>
      <c r="I1672" s="87">
        <f>SUMIFS('Climate Data'!$H$7:$H$366,'Climate Data'!$A$7:$A$366,Estimator!$B$4,'Climate Data'!$B$7:$B$366,C1672)</f>
        <v>8.3739130434782609</v>
      </c>
      <c r="J1672" s="86">
        <f>SUMIFS('Wind Proxy'!$H$8:$H$19,'Wind Proxy'!$A$8:$A$19,Estimator!$B$4,'Wind Proxy'!$B$8:$B$19,C1672)</f>
        <v>0</v>
      </c>
    </row>
    <row r="1673" spans="1:10" ht="14.4">
      <c r="A1673" s="84">
        <v>47324</v>
      </c>
      <c r="B1673" s="85">
        <v>2029</v>
      </c>
      <c r="C1673" s="85">
        <v>7</v>
      </c>
      <c r="D1673" s="85" t="s">
        <v>69</v>
      </c>
      <c r="E1673" s="85">
        <v>25</v>
      </c>
      <c r="F1673" s="85">
        <v>3</v>
      </c>
      <c r="G1673" s="85">
        <f>--(F1673&lt;=Estimator!$B$7)</f>
        <v>1</v>
      </c>
      <c r="H1673" s="86">
        <f>SUMIFS('Climate Data'!$G$7:$G$366,'Climate Data'!$A$7:$A$366,Estimator!$B$4,'Climate Data'!$B$7:$B$366,C1673)</f>
        <v>0.24731182795698925</v>
      </c>
      <c r="I1673" s="87">
        <f>SUMIFS('Climate Data'!$H$7:$H$366,'Climate Data'!$A$7:$A$366,Estimator!$B$4,'Climate Data'!$B$7:$B$366,C1673)</f>
        <v>8.3739130434782609</v>
      </c>
      <c r="J1673" s="86">
        <f>SUMIFS('Wind Proxy'!$H$8:$H$19,'Wind Proxy'!$A$8:$A$19,Estimator!$B$4,'Wind Proxy'!$B$8:$B$19,C1673)</f>
        <v>0</v>
      </c>
    </row>
    <row r="1674" spans="1:10" ht="14.4">
      <c r="A1674" s="84">
        <v>47325</v>
      </c>
      <c r="B1674" s="85">
        <v>2029</v>
      </c>
      <c r="C1674" s="85">
        <v>7</v>
      </c>
      <c r="D1674" s="85" t="s">
        <v>69</v>
      </c>
      <c r="E1674" s="85">
        <v>26</v>
      </c>
      <c r="F1674" s="85">
        <v>4</v>
      </c>
      <c r="G1674" s="85">
        <f>--(F1674&lt;=Estimator!$B$7)</f>
        <v>1</v>
      </c>
      <c r="H1674" s="86">
        <f>SUMIFS('Climate Data'!$G$7:$G$366,'Climate Data'!$A$7:$A$366,Estimator!$B$4,'Climate Data'!$B$7:$B$366,C1674)</f>
        <v>0.24731182795698925</v>
      </c>
      <c r="I1674" s="87">
        <f>SUMIFS('Climate Data'!$H$7:$H$366,'Climate Data'!$A$7:$A$366,Estimator!$B$4,'Climate Data'!$B$7:$B$366,C1674)</f>
        <v>8.3739130434782609</v>
      </c>
      <c r="J1674" s="86">
        <f>SUMIFS('Wind Proxy'!$H$8:$H$19,'Wind Proxy'!$A$8:$A$19,Estimator!$B$4,'Wind Proxy'!$B$8:$B$19,C1674)</f>
        <v>0</v>
      </c>
    </row>
    <row r="1675" spans="1:10" ht="14.4">
      <c r="A1675" s="84">
        <v>47326</v>
      </c>
      <c r="B1675" s="85">
        <v>2029</v>
      </c>
      <c r="C1675" s="85">
        <v>7</v>
      </c>
      <c r="D1675" s="85" t="s">
        <v>69</v>
      </c>
      <c r="E1675" s="85">
        <v>27</v>
      </c>
      <c r="F1675" s="85">
        <v>5</v>
      </c>
      <c r="G1675" s="85">
        <f>--(F1675&lt;=Estimator!$B$7)</f>
        <v>1</v>
      </c>
      <c r="H1675" s="86">
        <f>SUMIFS('Climate Data'!$G$7:$G$366,'Climate Data'!$A$7:$A$366,Estimator!$B$4,'Climate Data'!$B$7:$B$366,C1675)</f>
        <v>0.24731182795698925</v>
      </c>
      <c r="I1675" s="87">
        <f>SUMIFS('Climate Data'!$H$7:$H$366,'Climate Data'!$A$7:$A$366,Estimator!$B$4,'Climate Data'!$B$7:$B$366,C1675)</f>
        <v>8.3739130434782609</v>
      </c>
      <c r="J1675" s="86">
        <f>SUMIFS('Wind Proxy'!$H$8:$H$19,'Wind Proxy'!$A$8:$A$19,Estimator!$B$4,'Wind Proxy'!$B$8:$B$19,C1675)</f>
        <v>0</v>
      </c>
    </row>
    <row r="1676" spans="1:10" ht="14.4">
      <c r="A1676" s="84">
        <v>47327</v>
      </c>
      <c r="B1676" s="85">
        <v>2029</v>
      </c>
      <c r="C1676" s="85">
        <v>7</v>
      </c>
      <c r="D1676" s="85" t="s">
        <v>69</v>
      </c>
      <c r="E1676" s="85">
        <v>28</v>
      </c>
      <c r="F1676" s="85">
        <v>6</v>
      </c>
      <c r="G1676" s="85">
        <f>--(F1676&lt;=Estimator!$B$7)</f>
        <v>0</v>
      </c>
      <c r="H1676" s="86">
        <f>SUMIFS('Climate Data'!$G$7:$G$366,'Climate Data'!$A$7:$A$366,Estimator!$B$4,'Climate Data'!$B$7:$B$366,C1676)</f>
        <v>0.24731182795698925</v>
      </c>
      <c r="I1676" s="87">
        <f>SUMIFS('Climate Data'!$H$7:$H$366,'Climate Data'!$A$7:$A$366,Estimator!$B$4,'Climate Data'!$B$7:$B$366,C1676)</f>
        <v>8.3739130434782609</v>
      </c>
      <c r="J1676" s="86">
        <f>SUMIFS('Wind Proxy'!$H$8:$H$19,'Wind Proxy'!$A$8:$A$19,Estimator!$B$4,'Wind Proxy'!$B$8:$B$19,C1676)</f>
        <v>0</v>
      </c>
    </row>
    <row r="1677" spans="1:10" ht="14.4">
      <c r="A1677" s="84">
        <v>47328</v>
      </c>
      <c r="B1677" s="85">
        <v>2029</v>
      </c>
      <c r="C1677" s="85">
        <v>7</v>
      </c>
      <c r="D1677" s="85" t="s">
        <v>69</v>
      </c>
      <c r="E1677" s="85">
        <v>29</v>
      </c>
      <c r="F1677" s="85">
        <v>7</v>
      </c>
      <c r="G1677" s="85">
        <f>--(F1677&lt;=Estimator!$B$7)</f>
        <v>0</v>
      </c>
      <c r="H1677" s="86">
        <f>SUMIFS('Climate Data'!$G$7:$G$366,'Climate Data'!$A$7:$A$366,Estimator!$B$4,'Climate Data'!$B$7:$B$366,C1677)</f>
        <v>0.24731182795698925</v>
      </c>
      <c r="I1677" s="87">
        <f>SUMIFS('Climate Data'!$H$7:$H$366,'Climate Data'!$A$7:$A$366,Estimator!$B$4,'Climate Data'!$B$7:$B$366,C1677)</f>
        <v>8.3739130434782609</v>
      </c>
      <c r="J1677" s="86">
        <f>SUMIFS('Wind Proxy'!$H$8:$H$19,'Wind Proxy'!$A$8:$A$19,Estimator!$B$4,'Wind Proxy'!$B$8:$B$19,C1677)</f>
        <v>0</v>
      </c>
    </row>
    <row r="1678" spans="1:10" ht="14.4">
      <c r="A1678" s="84">
        <v>47329</v>
      </c>
      <c r="B1678" s="85">
        <v>2029</v>
      </c>
      <c r="C1678" s="85">
        <v>7</v>
      </c>
      <c r="D1678" s="85" t="s">
        <v>69</v>
      </c>
      <c r="E1678" s="85">
        <v>30</v>
      </c>
      <c r="F1678" s="85">
        <v>1</v>
      </c>
      <c r="G1678" s="85">
        <f>--(F1678&lt;=Estimator!$B$7)</f>
        <v>1</v>
      </c>
      <c r="H1678" s="86">
        <f>SUMIFS('Climate Data'!$G$7:$G$366,'Climate Data'!$A$7:$A$366,Estimator!$B$4,'Climate Data'!$B$7:$B$366,C1678)</f>
        <v>0.24731182795698925</v>
      </c>
      <c r="I1678" s="87">
        <f>SUMIFS('Climate Data'!$H$7:$H$366,'Climate Data'!$A$7:$A$366,Estimator!$B$4,'Climate Data'!$B$7:$B$366,C1678)</f>
        <v>8.3739130434782609</v>
      </c>
      <c r="J1678" s="86">
        <f>SUMIFS('Wind Proxy'!$H$8:$H$19,'Wind Proxy'!$A$8:$A$19,Estimator!$B$4,'Wind Proxy'!$B$8:$B$19,C1678)</f>
        <v>0</v>
      </c>
    </row>
    <row r="1679" spans="1:10" ht="14.4">
      <c r="A1679" s="84">
        <v>47330</v>
      </c>
      <c r="B1679" s="85">
        <v>2029</v>
      </c>
      <c r="C1679" s="85">
        <v>7</v>
      </c>
      <c r="D1679" s="85" t="s">
        <v>69</v>
      </c>
      <c r="E1679" s="85">
        <v>31</v>
      </c>
      <c r="F1679" s="85">
        <v>2</v>
      </c>
      <c r="G1679" s="85">
        <f>--(F1679&lt;=Estimator!$B$7)</f>
        <v>1</v>
      </c>
      <c r="H1679" s="86">
        <f>SUMIFS('Climate Data'!$G$7:$G$366,'Climate Data'!$A$7:$A$366,Estimator!$B$4,'Climate Data'!$B$7:$B$366,C1679)</f>
        <v>0.24731182795698925</v>
      </c>
      <c r="I1679" s="87">
        <f>SUMIFS('Climate Data'!$H$7:$H$366,'Climate Data'!$A$7:$A$366,Estimator!$B$4,'Climate Data'!$B$7:$B$366,C1679)</f>
        <v>8.3739130434782609</v>
      </c>
      <c r="J1679" s="86">
        <f>SUMIFS('Wind Proxy'!$H$8:$H$19,'Wind Proxy'!$A$8:$A$19,Estimator!$B$4,'Wind Proxy'!$B$8:$B$19,C1679)</f>
        <v>0</v>
      </c>
    </row>
    <row r="1680" spans="1:10" ht="14.4">
      <c r="A1680" s="84">
        <v>47331</v>
      </c>
      <c r="B1680" s="85">
        <v>2029</v>
      </c>
      <c r="C1680" s="85">
        <v>8</v>
      </c>
      <c r="D1680" s="85" t="s">
        <v>71</v>
      </c>
      <c r="E1680" s="85">
        <v>1</v>
      </c>
      <c r="F1680" s="85">
        <v>3</v>
      </c>
      <c r="G1680" s="85">
        <f>--(F1680&lt;=Estimator!$B$7)</f>
        <v>1</v>
      </c>
      <c r="H1680" s="86">
        <f>SUMIFS('Climate Data'!$G$7:$G$366,'Climate Data'!$A$7:$A$366,Estimator!$B$4,'Climate Data'!$B$7:$B$366,C1680)</f>
        <v>0.23548387096774193</v>
      </c>
      <c r="I1680" s="87">
        <f>SUMIFS('Climate Data'!$H$7:$H$366,'Climate Data'!$A$7:$A$366,Estimator!$B$4,'Climate Data'!$B$7:$B$366,C1680)</f>
        <v>7.9589041095890414</v>
      </c>
      <c r="J1680" s="86">
        <f>SUMIFS('Wind Proxy'!$H$8:$H$19,'Wind Proxy'!$A$8:$A$19,Estimator!$B$4,'Wind Proxy'!$B$8:$B$19,C1680)</f>
        <v>0</v>
      </c>
    </row>
    <row r="1681" spans="1:10" ht="14.4">
      <c r="A1681" s="84">
        <v>47332</v>
      </c>
      <c r="B1681" s="85">
        <v>2029</v>
      </c>
      <c r="C1681" s="85">
        <v>8</v>
      </c>
      <c r="D1681" s="85" t="s">
        <v>71</v>
      </c>
      <c r="E1681" s="85">
        <v>2</v>
      </c>
      <c r="F1681" s="85">
        <v>4</v>
      </c>
      <c r="G1681" s="85">
        <f>--(F1681&lt;=Estimator!$B$7)</f>
        <v>1</v>
      </c>
      <c r="H1681" s="86">
        <f>SUMIFS('Climate Data'!$G$7:$G$366,'Climate Data'!$A$7:$A$366,Estimator!$B$4,'Climate Data'!$B$7:$B$366,C1681)</f>
        <v>0.23548387096774193</v>
      </c>
      <c r="I1681" s="87">
        <f>SUMIFS('Climate Data'!$H$7:$H$366,'Climate Data'!$A$7:$A$366,Estimator!$B$4,'Climate Data'!$B$7:$B$366,C1681)</f>
        <v>7.9589041095890414</v>
      </c>
      <c r="J1681" s="86">
        <f>SUMIFS('Wind Proxy'!$H$8:$H$19,'Wind Proxy'!$A$8:$A$19,Estimator!$B$4,'Wind Proxy'!$B$8:$B$19,C1681)</f>
        <v>0</v>
      </c>
    </row>
    <row r="1682" spans="1:10" ht="14.4">
      <c r="A1682" s="84">
        <v>47333</v>
      </c>
      <c r="B1682" s="85">
        <v>2029</v>
      </c>
      <c r="C1682" s="85">
        <v>8</v>
      </c>
      <c r="D1682" s="85" t="s">
        <v>71</v>
      </c>
      <c r="E1682" s="85">
        <v>3</v>
      </c>
      <c r="F1682" s="85">
        <v>5</v>
      </c>
      <c r="G1682" s="85">
        <f>--(F1682&lt;=Estimator!$B$7)</f>
        <v>1</v>
      </c>
      <c r="H1682" s="86">
        <f>SUMIFS('Climate Data'!$G$7:$G$366,'Climate Data'!$A$7:$A$366,Estimator!$B$4,'Climate Data'!$B$7:$B$366,C1682)</f>
        <v>0.23548387096774193</v>
      </c>
      <c r="I1682" s="87">
        <f>SUMIFS('Climate Data'!$H$7:$H$366,'Climate Data'!$A$7:$A$366,Estimator!$B$4,'Climate Data'!$B$7:$B$366,C1682)</f>
        <v>7.9589041095890414</v>
      </c>
      <c r="J1682" s="86">
        <f>SUMIFS('Wind Proxy'!$H$8:$H$19,'Wind Proxy'!$A$8:$A$19,Estimator!$B$4,'Wind Proxy'!$B$8:$B$19,C1682)</f>
        <v>0</v>
      </c>
    </row>
    <row r="1683" spans="1:10" ht="14.4">
      <c r="A1683" s="84">
        <v>47334</v>
      </c>
      <c r="B1683" s="85">
        <v>2029</v>
      </c>
      <c r="C1683" s="85">
        <v>8</v>
      </c>
      <c r="D1683" s="85" t="s">
        <v>71</v>
      </c>
      <c r="E1683" s="85">
        <v>4</v>
      </c>
      <c r="F1683" s="85">
        <v>6</v>
      </c>
      <c r="G1683" s="85">
        <f>--(F1683&lt;=Estimator!$B$7)</f>
        <v>0</v>
      </c>
      <c r="H1683" s="86">
        <f>SUMIFS('Climate Data'!$G$7:$G$366,'Climate Data'!$A$7:$A$366,Estimator!$B$4,'Climate Data'!$B$7:$B$366,C1683)</f>
        <v>0.23548387096774193</v>
      </c>
      <c r="I1683" s="87">
        <f>SUMIFS('Climate Data'!$H$7:$H$366,'Climate Data'!$A$7:$A$366,Estimator!$B$4,'Climate Data'!$B$7:$B$366,C1683)</f>
        <v>7.9589041095890414</v>
      </c>
      <c r="J1683" s="86">
        <f>SUMIFS('Wind Proxy'!$H$8:$H$19,'Wind Proxy'!$A$8:$A$19,Estimator!$B$4,'Wind Proxy'!$B$8:$B$19,C1683)</f>
        <v>0</v>
      </c>
    </row>
    <row r="1684" spans="1:10" ht="14.4">
      <c r="A1684" s="84">
        <v>47335</v>
      </c>
      <c r="B1684" s="85">
        <v>2029</v>
      </c>
      <c r="C1684" s="85">
        <v>8</v>
      </c>
      <c r="D1684" s="85" t="s">
        <v>71</v>
      </c>
      <c r="E1684" s="85">
        <v>5</v>
      </c>
      <c r="F1684" s="85">
        <v>7</v>
      </c>
      <c r="G1684" s="85">
        <f>--(F1684&lt;=Estimator!$B$7)</f>
        <v>0</v>
      </c>
      <c r="H1684" s="86">
        <f>SUMIFS('Climate Data'!$G$7:$G$366,'Climate Data'!$A$7:$A$366,Estimator!$B$4,'Climate Data'!$B$7:$B$366,C1684)</f>
        <v>0.23548387096774193</v>
      </c>
      <c r="I1684" s="87">
        <f>SUMIFS('Climate Data'!$H$7:$H$366,'Climate Data'!$A$7:$A$366,Estimator!$B$4,'Climate Data'!$B$7:$B$366,C1684)</f>
        <v>7.9589041095890414</v>
      </c>
      <c r="J1684" s="86">
        <f>SUMIFS('Wind Proxy'!$H$8:$H$19,'Wind Proxy'!$A$8:$A$19,Estimator!$B$4,'Wind Proxy'!$B$8:$B$19,C1684)</f>
        <v>0</v>
      </c>
    </row>
    <row r="1685" spans="1:10" ht="14.4">
      <c r="A1685" s="84">
        <v>47336</v>
      </c>
      <c r="B1685" s="85">
        <v>2029</v>
      </c>
      <c r="C1685" s="85">
        <v>8</v>
      </c>
      <c r="D1685" s="85" t="s">
        <v>71</v>
      </c>
      <c r="E1685" s="85">
        <v>6</v>
      </c>
      <c r="F1685" s="85">
        <v>1</v>
      </c>
      <c r="G1685" s="85">
        <f>--(F1685&lt;=Estimator!$B$7)</f>
        <v>1</v>
      </c>
      <c r="H1685" s="86">
        <f>SUMIFS('Climate Data'!$G$7:$G$366,'Climate Data'!$A$7:$A$366,Estimator!$B$4,'Climate Data'!$B$7:$B$366,C1685)</f>
        <v>0.23548387096774193</v>
      </c>
      <c r="I1685" s="87">
        <f>SUMIFS('Climate Data'!$H$7:$H$366,'Climate Data'!$A$7:$A$366,Estimator!$B$4,'Climate Data'!$B$7:$B$366,C1685)</f>
        <v>7.9589041095890414</v>
      </c>
      <c r="J1685" s="86">
        <f>SUMIFS('Wind Proxy'!$H$8:$H$19,'Wind Proxy'!$A$8:$A$19,Estimator!$B$4,'Wind Proxy'!$B$8:$B$19,C1685)</f>
        <v>0</v>
      </c>
    </row>
    <row r="1686" spans="1:10" ht="14.4">
      <c r="A1686" s="84">
        <v>47337</v>
      </c>
      <c r="B1686" s="85">
        <v>2029</v>
      </c>
      <c r="C1686" s="85">
        <v>8</v>
      </c>
      <c r="D1686" s="85" t="s">
        <v>71</v>
      </c>
      <c r="E1686" s="85">
        <v>7</v>
      </c>
      <c r="F1686" s="85">
        <v>2</v>
      </c>
      <c r="G1686" s="85">
        <f>--(F1686&lt;=Estimator!$B$7)</f>
        <v>1</v>
      </c>
      <c r="H1686" s="86">
        <f>SUMIFS('Climate Data'!$G$7:$G$366,'Climate Data'!$A$7:$A$366,Estimator!$B$4,'Climate Data'!$B$7:$B$366,C1686)</f>
        <v>0.23548387096774193</v>
      </c>
      <c r="I1686" s="87">
        <f>SUMIFS('Climate Data'!$H$7:$H$366,'Climate Data'!$A$7:$A$366,Estimator!$B$4,'Climate Data'!$B$7:$B$366,C1686)</f>
        <v>7.9589041095890414</v>
      </c>
      <c r="J1686" s="86">
        <f>SUMIFS('Wind Proxy'!$H$8:$H$19,'Wind Proxy'!$A$8:$A$19,Estimator!$B$4,'Wind Proxy'!$B$8:$B$19,C1686)</f>
        <v>0</v>
      </c>
    </row>
    <row r="1687" spans="1:10" ht="14.4">
      <c r="A1687" s="84">
        <v>47338</v>
      </c>
      <c r="B1687" s="85">
        <v>2029</v>
      </c>
      <c r="C1687" s="85">
        <v>8</v>
      </c>
      <c r="D1687" s="85" t="s">
        <v>71</v>
      </c>
      <c r="E1687" s="85">
        <v>8</v>
      </c>
      <c r="F1687" s="85">
        <v>3</v>
      </c>
      <c r="G1687" s="85">
        <f>--(F1687&lt;=Estimator!$B$7)</f>
        <v>1</v>
      </c>
      <c r="H1687" s="86">
        <f>SUMIFS('Climate Data'!$G$7:$G$366,'Climate Data'!$A$7:$A$366,Estimator!$B$4,'Climate Data'!$B$7:$B$366,C1687)</f>
        <v>0.23548387096774193</v>
      </c>
      <c r="I1687" s="87">
        <f>SUMIFS('Climate Data'!$H$7:$H$366,'Climate Data'!$A$7:$A$366,Estimator!$B$4,'Climate Data'!$B$7:$B$366,C1687)</f>
        <v>7.9589041095890414</v>
      </c>
      <c r="J1687" s="86">
        <f>SUMIFS('Wind Proxy'!$H$8:$H$19,'Wind Proxy'!$A$8:$A$19,Estimator!$B$4,'Wind Proxy'!$B$8:$B$19,C1687)</f>
        <v>0</v>
      </c>
    </row>
    <row r="1688" spans="1:10" ht="14.4">
      <c r="A1688" s="84">
        <v>47339</v>
      </c>
      <c r="B1688" s="85">
        <v>2029</v>
      </c>
      <c r="C1688" s="85">
        <v>8</v>
      </c>
      <c r="D1688" s="85" t="s">
        <v>71</v>
      </c>
      <c r="E1688" s="85">
        <v>9</v>
      </c>
      <c r="F1688" s="85">
        <v>4</v>
      </c>
      <c r="G1688" s="85">
        <f>--(F1688&lt;=Estimator!$B$7)</f>
        <v>1</v>
      </c>
      <c r="H1688" s="86">
        <f>SUMIFS('Climate Data'!$G$7:$G$366,'Climate Data'!$A$7:$A$366,Estimator!$B$4,'Climate Data'!$B$7:$B$366,C1688)</f>
        <v>0.23548387096774193</v>
      </c>
      <c r="I1688" s="87">
        <f>SUMIFS('Climate Data'!$H$7:$H$366,'Climate Data'!$A$7:$A$366,Estimator!$B$4,'Climate Data'!$B$7:$B$366,C1688)</f>
        <v>7.9589041095890414</v>
      </c>
      <c r="J1688" s="86">
        <f>SUMIFS('Wind Proxy'!$H$8:$H$19,'Wind Proxy'!$A$8:$A$19,Estimator!$B$4,'Wind Proxy'!$B$8:$B$19,C1688)</f>
        <v>0</v>
      </c>
    </row>
    <row r="1689" spans="1:10" ht="14.4">
      <c r="A1689" s="84">
        <v>47340</v>
      </c>
      <c r="B1689" s="85">
        <v>2029</v>
      </c>
      <c r="C1689" s="85">
        <v>8</v>
      </c>
      <c r="D1689" s="85" t="s">
        <v>71</v>
      </c>
      <c r="E1689" s="85">
        <v>10</v>
      </c>
      <c r="F1689" s="85">
        <v>5</v>
      </c>
      <c r="G1689" s="85">
        <f>--(F1689&lt;=Estimator!$B$7)</f>
        <v>1</v>
      </c>
      <c r="H1689" s="86">
        <f>SUMIFS('Climate Data'!$G$7:$G$366,'Climate Data'!$A$7:$A$366,Estimator!$B$4,'Climate Data'!$B$7:$B$366,C1689)</f>
        <v>0.23548387096774193</v>
      </c>
      <c r="I1689" s="87">
        <f>SUMIFS('Climate Data'!$H$7:$H$366,'Climate Data'!$A$7:$A$366,Estimator!$B$4,'Climate Data'!$B$7:$B$366,C1689)</f>
        <v>7.9589041095890414</v>
      </c>
      <c r="J1689" s="86">
        <f>SUMIFS('Wind Proxy'!$H$8:$H$19,'Wind Proxy'!$A$8:$A$19,Estimator!$B$4,'Wind Proxy'!$B$8:$B$19,C1689)</f>
        <v>0</v>
      </c>
    </row>
    <row r="1690" spans="1:10" ht="14.4">
      <c r="A1690" s="84">
        <v>47341</v>
      </c>
      <c r="B1690" s="85">
        <v>2029</v>
      </c>
      <c r="C1690" s="85">
        <v>8</v>
      </c>
      <c r="D1690" s="85" t="s">
        <v>71</v>
      </c>
      <c r="E1690" s="85">
        <v>11</v>
      </c>
      <c r="F1690" s="85">
        <v>6</v>
      </c>
      <c r="G1690" s="85">
        <f>--(F1690&lt;=Estimator!$B$7)</f>
        <v>0</v>
      </c>
      <c r="H1690" s="86">
        <f>SUMIFS('Climate Data'!$G$7:$G$366,'Climate Data'!$A$7:$A$366,Estimator!$B$4,'Climate Data'!$B$7:$B$366,C1690)</f>
        <v>0.23548387096774193</v>
      </c>
      <c r="I1690" s="87">
        <f>SUMIFS('Climate Data'!$H$7:$H$366,'Climate Data'!$A$7:$A$366,Estimator!$B$4,'Climate Data'!$B$7:$B$366,C1690)</f>
        <v>7.9589041095890414</v>
      </c>
      <c r="J1690" s="86">
        <f>SUMIFS('Wind Proxy'!$H$8:$H$19,'Wind Proxy'!$A$8:$A$19,Estimator!$B$4,'Wind Proxy'!$B$8:$B$19,C1690)</f>
        <v>0</v>
      </c>
    </row>
    <row r="1691" spans="1:10" ht="14.4">
      <c r="A1691" s="84">
        <v>47342</v>
      </c>
      <c r="B1691" s="85">
        <v>2029</v>
      </c>
      <c r="C1691" s="85">
        <v>8</v>
      </c>
      <c r="D1691" s="85" t="s">
        <v>71</v>
      </c>
      <c r="E1691" s="85">
        <v>12</v>
      </c>
      <c r="F1691" s="85">
        <v>7</v>
      </c>
      <c r="G1691" s="85">
        <f>--(F1691&lt;=Estimator!$B$7)</f>
        <v>0</v>
      </c>
      <c r="H1691" s="86">
        <f>SUMIFS('Climate Data'!$G$7:$G$366,'Climate Data'!$A$7:$A$366,Estimator!$B$4,'Climate Data'!$B$7:$B$366,C1691)</f>
        <v>0.23548387096774193</v>
      </c>
      <c r="I1691" s="87">
        <f>SUMIFS('Climate Data'!$H$7:$H$366,'Climate Data'!$A$7:$A$366,Estimator!$B$4,'Climate Data'!$B$7:$B$366,C1691)</f>
        <v>7.9589041095890414</v>
      </c>
      <c r="J1691" s="86">
        <f>SUMIFS('Wind Proxy'!$H$8:$H$19,'Wind Proxy'!$A$8:$A$19,Estimator!$B$4,'Wind Proxy'!$B$8:$B$19,C1691)</f>
        <v>0</v>
      </c>
    </row>
    <row r="1692" spans="1:10" ht="14.4">
      <c r="A1692" s="84">
        <v>47343</v>
      </c>
      <c r="B1692" s="85">
        <v>2029</v>
      </c>
      <c r="C1692" s="85">
        <v>8</v>
      </c>
      <c r="D1692" s="85" t="s">
        <v>71</v>
      </c>
      <c r="E1692" s="85">
        <v>13</v>
      </c>
      <c r="F1692" s="85">
        <v>1</v>
      </c>
      <c r="G1692" s="85">
        <f>--(F1692&lt;=Estimator!$B$7)</f>
        <v>1</v>
      </c>
      <c r="H1692" s="86">
        <f>SUMIFS('Climate Data'!$G$7:$G$366,'Climate Data'!$A$7:$A$366,Estimator!$B$4,'Climate Data'!$B$7:$B$366,C1692)</f>
        <v>0.23548387096774193</v>
      </c>
      <c r="I1692" s="87">
        <f>SUMIFS('Climate Data'!$H$7:$H$366,'Climate Data'!$A$7:$A$366,Estimator!$B$4,'Climate Data'!$B$7:$B$366,C1692)</f>
        <v>7.9589041095890414</v>
      </c>
      <c r="J1692" s="86">
        <f>SUMIFS('Wind Proxy'!$H$8:$H$19,'Wind Proxy'!$A$8:$A$19,Estimator!$B$4,'Wind Proxy'!$B$8:$B$19,C1692)</f>
        <v>0</v>
      </c>
    </row>
    <row r="1693" spans="1:10" ht="14.4">
      <c r="A1693" s="84">
        <v>47344</v>
      </c>
      <c r="B1693" s="85">
        <v>2029</v>
      </c>
      <c r="C1693" s="85">
        <v>8</v>
      </c>
      <c r="D1693" s="85" t="s">
        <v>71</v>
      </c>
      <c r="E1693" s="85">
        <v>14</v>
      </c>
      <c r="F1693" s="85">
        <v>2</v>
      </c>
      <c r="G1693" s="85">
        <f>--(F1693&lt;=Estimator!$B$7)</f>
        <v>1</v>
      </c>
      <c r="H1693" s="86">
        <f>SUMIFS('Climate Data'!$G$7:$G$366,'Climate Data'!$A$7:$A$366,Estimator!$B$4,'Climate Data'!$B$7:$B$366,C1693)</f>
        <v>0.23548387096774193</v>
      </c>
      <c r="I1693" s="87">
        <f>SUMIFS('Climate Data'!$H$7:$H$366,'Climate Data'!$A$7:$A$366,Estimator!$B$4,'Climate Data'!$B$7:$B$366,C1693)</f>
        <v>7.9589041095890414</v>
      </c>
      <c r="J1693" s="86">
        <f>SUMIFS('Wind Proxy'!$H$8:$H$19,'Wind Proxy'!$A$8:$A$19,Estimator!$B$4,'Wind Proxy'!$B$8:$B$19,C1693)</f>
        <v>0</v>
      </c>
    </row>
    <row r="1694" spans="1:10" ht="14.4">
      <c r="A1694" s="84">
        <v>47345</v>
      </c>
      <c r="B1694" s="85">
        <v>2029</v>
      </c>
      <c r="C1694" s="85">
        <v>8</v>
      </c>
      <c r="D1694" s="85" t="s">
        <v>71</v>
      </c>
      <c r="E1694" s="85">
        <v>15</v>
      </c>
      <c r="F1694" s="85">
        <v>3</v>
      </c>
      <c r="G1694" s="85">
        <f>--(F1694&lt;=Estimator!$B$7)</f>
        <v>1</v>
      </c>
      <c r="H1694" s="86">
        <f>SUMIFS('Climate Data'!$G$7:$G$366,'Climate Data'!$A$7:$A$366,Estimator!$B$4,'Climate Data'!$B$7:$B$366,C1694)</f>
        <v>0.23548387096774193</v>
      </c>
      <c r="I1694" s="87">
        <f>SUMIFS('Climate Data'!$H$7:$H$366,'Climate Data'!$A$7:$A$366,Estimator!$B$4,'Climate Data'!$B$7:$B$366,C1694)</f>
        <v>7.9589041095890414</v>
      </c>
      <c r="J1694" s="86">
        <f>SUMIFS('Wind Proxy'!$H$8:$H$19,'Wind Proxy'!$A$8:$A$19,Estimator!$B$4,'Wind Proxy'!$B$8:$B$19,C1694)</f>
        <v>0</v>
      </c>
    </row>
    <row r="1695" spans="1:10" ht="14.4">
      <c r="A1695" s="84">
        <v>47346</v>
      </c>
      <c r="B1695" s="85">
        <v>2029</v>
      </c>
      <c r="C1695" s="85">
        <v>8</v>
      </c>
      <c r="D1695" s="85" t="s">
        <v>71</v>
      </c>
      <c r="E1695" s="85">
        <v>16</v>
      </c>
      <c r="F1695" s="85">
        <v>4</v>
      </c>
      <c r="G1695" s="85">
        <f>--(F1695&lt;=Estimator!$B$7)</f>
        <v>1</v>
      </c>
      <c r="H1695" s="86">
        <f>SUMIFS('Climate Data'!$G$7:$G$366,'Climate Data'!$A$7:$A$366,Estimator!$B$4,'Climate Data'!$B$7:$B$366,C1695)</f>
        <v>0.23548387096774193</v>
      </c>
      <c r="I1695" s="87">
        <f>SUMIFS('Climate Data'!$H$7:$H$366,'Climate Data'!$A$7:$A$366,Estimator!$B$4,'Climate Data'!$B$7:$B$366,C1695)</f>
        <v>7.9589041095890414</v>
      </c>
      <c r="J1695" s="86">
        <f>SUMIFS('Wind Proxy'!$H$8:$H$19,'Wind Proxy'!$A$8:$A$19,Estimator!$B$4,'Wind Proxy'!$B$8:$B$19,C1695)</f>
        <v>0</v>
      </c>
    </row>
    <row r="1696" spans="1:10" ht="14.4">
      <c r="A1696" s="84">
        <v>47347</v>
      </c>
      <c r="B1696" s="85">
        <v>2029</v>
      </c>
      <c r="C1696" s="85">
        <v>8</v>
      </c>
      <c r="D1696" s="85" t="s">
        <v>71</v>
      </c>
      <c r="E1696" s="85">
        <v>17</v>
      </c>
      <c r="F1696" s="85">
        <v>5</v>
      </c>
      <c r="G1696" s="85">
        <f>--(F1696&lt;=Estimator!$B$7)</f>
        <v>1</v>
      </c>
      <c r="H1696" s="86">
        <f>SUMIFS('Climate Data'!$G$7:$G$366,'Climate Data'!$A$7:$A$366,Estimator!$B$4,'Climate Data'!$B$7:$B$366,C1696)</f>
        <v>0.23548387096774193</v>
      </c>
      <c r="I1696" s="87">
        <f>SUMIFS('Climate Data'!$H$7:$H$366,'Climate Data'!$A$7:$A$366,Estimator!$B$4,'Climate Data'!$B$7:$B$366,C1696)</f>
        <v>7.9589041095890414</v>
      </c>
      <c r="J1696" s="86">
        <f>SUMIFS('Wind Proxy'!$H$8:$H$19,'Wind Proxy'!$A$8:$A$19,Estimator!$B$4,'Wind Proxy'!$B$8:$B$19,C1696)</f>
        <v>0</v>
      </c>
    </row>
    <row r="1697" spans="1:10" ht="14.4">
      <c r="A1697" s="84">
        <v>47348</v>
      </c>
      <c r="B1697" s="85">
        <v>2029</v>
      </c>
      <c r="C1697" s="85">
        <v>8</v>
      </c>
      <c r="D1697" s="85" t="s">
        <v>71</v>
      </c>
      <c r="E1697" s="85">
        <v>18</v>
      </c>
      <c r="F1697" s="85">
        <v>6</v>
      </c>
      <c r="G1697" s="85">
        <f>--(F1697&lt;=Estimator!$B$7)</f>
        <v>0</v>
      </c>
      <c r="H1697" s="86">
        <f>SUMIFS('Climate Data'!$G$7:$G$366,'Climate Data'!$A$7:$A$366,Estimator!$B$4,'Climate Data'!$B$7:$B$366,C1697)</f>
        <v>0.23548387096774193</v>
      </c>
      <c r="I1697" s="87">
        <f>SUMIFS('Climate Data'!$H$7:$H$366,'Climate Data'!$A$7:$A$366,Estimator!$B$4,'Climate Data'!$B$7:$B$366,C1697)</f>
        <v>7.9589041095890414</v>
      </c>
      <c r="J1697" s="86">
        <f>SUMIFS('Wind Proxy'!$H$8:$H$19,'Wind Proxy'!$A$8:$A$19,Estimator!$B$4,'Wind Proxy'!$B$8:$B$19,C1697)</f>
        <v>0</v>
      </c>
    </row>
    <row r="1698" spans="1:10" ht="14.4">
      <c r="A1698" s="84">
        <v>47349</v>
      </c>
      <c r="B1698" s="85">
        <v>2029</v>
      </c>
      <c r="C1698" s="85">
        <v>8</v>
      </c>
      <c r="D1698" s="85" t="s">
        <v>71</v>
      </c>
      <c r="E1698" s="85">
        <v>19</v>
      </c>
      <c r="F1698" s="85">
        <v>7</v>
      </c>
      <c r="G1698" s="85">
        <f>--(F1698&lt;=Estimator!$B$7)</f>
        <v>0</v>
      </c>
      <c r="H1698" s="86">
        <f>SUMIFS('Climate Data'!$G$7:$G$366,'Climate Data'!$A$7:$A$366,Estimator!$B$4,'Climate Data'!$B$7:$B$366,C1698)</f>
        <v>0.23548387096774193</v>
      </c>
      <c r="I1698" s="87">
        <f>SUMIFS('Climate Data'!$H$7:$H$366,'Climate Data'!$A$7:$A$366,Estimator!$B$4,'Climate Data'!$B$7:$B$366,C1698)</f>
        <v>7.9589041095890414</v>
      </c>
      <c r="J1698" s="86">
        <f>SUMIFS('Wind Proxy'!$H$8:$H$19,'Wind Proxy'!$A$8:$A$19,Estimator!$B$4,'Wind Proxy'!$B$8:$B$19,C1698)</f>
        <v>0</v>
      </c>
    </row>
    <row r="1699" spans="1:10" ht="14.4">
      <c r="A1699" s="84">
        <v>47350</v>
      </c>
      <c r="B1699" s="85">
        <v>2029</v>
      </c>
      <c r="C1699" s="85">
        <v>8</v>
      </c>
      <c r="D1699" s="85" t="s">
        <v>71</v>
      </c>
      <c r="E1699" s="85">
        <v>20</v>
      </c>
      <c r="F1699" s="85">
        <v>1</v>
      </c>
      <c r="G1699" s="85">
        <f>--(F1699&lt;=Estimator!$B$7)</f>
        <v>1</v>
      </c>
      <c r="H1699" s="86">
        <f>SUMIFS('Climate Data'!$G$7:$G$366,'Climate Data'!$A$7:$A$366,Estimator!$B$4,'Climate Data'!$B$7:$B$366,C1699)</f>
        <v>0.23548387096774193</v>
      </c>
      <c r="I1699" s="87">
        <f>SUMIFS('Climate Data'!$H$7:$H$366,'Climate Data'!$A$7:$A$366,Estimator!$B$4,'Climate Data'!$B$7:$B$366,C1699)</f>
        <v>7.9589041095890414</v>
      </c>
      <c r="J1699" s="86">
        <f>SUMIFS('Wind Proxy'!$H$8:$H$19,'Wind Proxy'!$A$8:$A$19,Estimator!$B$4,'Wind Proxy'!$B$8:$B$19,C1699)</f>
        <v>0</v>
      </c>
    </row>
    <row r="1700" spans="1:10" ht="14.4">
      <c r="A1700" s="84">
        <v>47351</v>
      </c>
      <c r="B1700" s="85">
        <v>2029</v>
      </c>
      <c r="C1700" s="85">
        <v>8</v>
      </c>
      <c r="D1700" s="85" t="s">
        <v>71</v>
      </c>
      <c r="E1700" s="85">
        <v>21</v>
      </c>
      <c r="F1700" s="85">
        <v>2</v>
      </c>
      <c r="G1700" s="85">
        <f>--(F1700&lt;=Estimator!$B$7)</f>
        <v>1</v>
      </c>
      <c r="H1700" s="86">
        <f>SUMIFS('Climate Data'!$G$7:$G$366,'Climate Data'!$A$7:$A$366,Estimator!$B$4,'Climate Data'!$B$7:$B$366,C1700)</f>
        <v>0.23548387096774193</v>
      </c>
      <c r="I1700" s="87">
        <f>SUMIFS('Climate Data'!$H$7:$H$366,'Climate Data'!$A$7:$A$366,Estimator!$B$4,'Climate Data'!$B$7:$B$366,C1700)</f>
        <v>7.9589041095890414</v>
      </c>
      <c r="J1700" s="86">
        <f>SUMIFS('Wind Proxy'!$H$8:$H$19,'Wind Proxy'!$A$8:$A$19,Estimator!$B$4,'Wind Proxy'!$B$8:$B$19,C1700)</f>
        <v>0</v>
      </c>
    </row>
    <row r="1701" spans="1:10" ht="14.4">
      <c r="A1701" s="84">
        <v>47352</v>
      </c>
      <c r="B1701" s="85">
        <v>2029</v>
      </c>
      <c r="C1701" s="85">
        <v>8</v>
      </c>
      <c r="D1701" s="85" t="s">
        <v>71</v>
      </c>
      <c r="E1701" s="85">
        <v>22</v>
      </c>
      <c r="F1701" s="85">
        <v>3</v>
      </c>
      <c r="G1701" s="85">
        <f>--(F1701&lt;=Estimator!$B$7)</f>
        <v>1</v>
      </c>
      <c r="H1701" s="86">
        <f>SUMIFS('Climate Data'!$G$7:$G$366,'Climate Data'!$A$7:$A$366,Estimator!$B$4,'Climate Data'!$B$7:$B$366,C1701)</f>
        <v>0.23548387096774193</v>
      </c>
      <c r="I1701" s="87">
        <f>SUMIFS('Climate Data'!$H$7:$H$366,'Climate Data'!$A$7:$A$366,Estimator!$B$4,'Climate Data'!$B$7:$B$366,C1701)</f>
        <v>7.9589041095890414</v>
      </c>
      <c r="J1701" s="86">
        <f>SUMIFS('Wind Proxy'!$H$8:$H$19,'Wind Proxy'!$A$8:$A$19,Estimator!$B$4,'Wind Proxy'!$B$8:$B$19,C1701)</f>
        <v>0</v>
      </c>
    </row>
    <row r="1702" spans="1:10" ht="14.4">
      <c r="A1702" s="84">
        <v>47353</v>
      </c>
      <c r="B1702" s="85">
        <v>2029</v>
      </c>
      <c r="C1702" s="85">
        <v>8</v>
      </c>
      <c r="D1702" s="85" t="s">
        <v>71</v>
      </c>
      <c r="E1702" s="85">
        <v>23</v>
      </c>
      <c r="F1702" s="85">
        <v>4</v>
      </c>
      <c r="G1702" s="85">
        <f>--(F1702&lt;=Estimator!$B$7)</f>
        <v>1</v>
      </c>
      <c r="H1702" s="86">
        <f>SUMIFS('Climate Data'!$G$7:$G$366,'Climate Data'!$A$7:$A$366,Estimator!$B$4,'Climate Data'!$B$7:$B$366,C1702)</f>
        <v>0.23548387096774193</v>
      </c>
      <c r="I1702" s="87">
        <f>SUMIFS('Climate Data'!$H$7:$H$366,'Climate Data'!$A$7:$A$366,Estimator!$B$4,'Climate Data'!$B$7:$B$366,C1702)</f>
        <v>7.9589041095890414</v>
      </c>
      <c r="J1702" s="86">
        <f>SUMIFS('Wind Proxy'!$H$8:$H$19,'Wind Proxy'!$A$8:$A$19,Estimator!$B$4,'Wind Proxy'!$B$8:$B$19,C1702)</f>
        <v>0</v>
      </c>
    </row>
    <row r="1703" spans="1:10" ht="14.4">
      <c r="A1703" s="84">
        <v>47354</v>
      </c>
      <c r="B1703" s="85">
        <v>2029</v>
      </c>
      <c r="C1703" s="85">
        <v>8</v>
      </c>
      <c r="D1703" s="85" t="s">
        <v>71</v>
      </c>
      <c r="E1703" s="85">
        <v>24</v>
      </c>
      <c r="F1703" s="85">
        <v>5</v>
      </c>
      <c r="G1703" s="85">
        <f>--(F1703&lt;=Estimator!$B$7)</f>
        <v>1</v>
      </c>
      <c r="H1703" s="86">
        <f>SUMIFS('Climate Data'!$G$7:$G$366,'Climate Data'!$A$7:$A$366,Estimator!$B$4,'Climate Data'!$B$7:$B$366,C1703)</f>
        <v>0.23548387096774193</v>
      </c>
      <c r="I1703" s="87">
        <f>SUMIFS('Climate Data'!$H$7:$H$366,'Climate Data'!$A$7:$A$366,Estimator!$B$4,'Climate Data'!$B$7:$B$366,C1703)</f>
        <v>7.9589041095890414</v>
      </c>
      <c r="J1703" s="86">
        <f>SUMIFS('Wind Proxy'!$H$8:$H$19,'Wind Proxy'!$A$8:$A$19,Estimator!$B$4,'Wind Proxy'!$B$8:$B$19,C1703)</f>
        <v>0</v>
      </c>
    </row>
    <row r="1704" spans="1:10" ht="14.4">
      <c r="A1704" s="84">
        <v>47355</v>
      </c>
      <c r="B1704" s="85">
        <v>2029</v>
      </c>
      <c r="C1704" s="85">
        <v>8</v>
      </c>
      <c r="D1704" s="85" t="s">
        <v>71</v>
      </c>
      <c r="E1704" s="85">
        <v>25</v>
      </c>
      <c r="F1704" s="85">
        <v>6</v>
      </c>
      <c r="G1704" s="85">
        <f>--(F1704&lt;=Estimator!$B$7)</f>
        <v>0</v>
      </c>
      <c r="H1704" s="86">
        <f>SUMIFS('Climate Data'!$G$7:$G$366,'Climate Data'!$A$7:$A$366,Estimator!$B$4,'Climate Data'!$B$7:$B$366,C1704)</f>
        <v>0.23548387096774193</v>
      </c>
      <c r="I1704" s="87">
        <f>SUMIFS('Climate Data'!$H$7:$H$366,'Climate Data'!$A$7:$A$366,Estimator!$B$4,'Climate Data'!$B$7:$B$366,C1704)</f>
        <v>7.9589041095890414</v>
      </c>
      <c r="J1704" s="86">
        <f>SUMIFS('Wind Proxy'!$H$8:$H$19,'Wind Proxy'!$A$8:$A$19,Estimator!$B$4,'Wind Proxy'!$B$8:$B$19,C1704)</f>
        <v>0</v>
      </c>
    </row>
    <row r="1705" spans="1:10" ht="14.4">
      <c r="A1705" s="84">
        <v>47356</v>
      </c>
      <c r="B1705" s="85">
        <v>2029</v>
      </c>
      <c r="C1705" s="85">
        <v>8</v>
      </c>
      <c r="D1705" s="85" t="s">
        <v>71</v>
      </c>
      <c r="E1705" s="85">
        <v>26</v>
      </c>
      <c r="F1705" s="85">
        <v>7</v>
      </c>
      <c r="G1705" s="85">
        <f>--(F1705&lt;=Estimator!$B$7)</f>
        <v>0</v>
      </c>
      <c r="H1705" s="86">
        <f>SUMIFS('Climate Data'!$G$7:$G$366,'Climate Data'!$A$7:$A$366,Estimator!$B$4,'Climate Data'!$B$7:$B$366,C1705)</f>
        <v>0.23548387096774193</v>
      </c>
      <c r="I1705" s="87">
        <f>SUMIFS('Climate Data'!$H$7:$H$366,'Climate Data'!$A$7:$A$366,Estimator!$B$4,'Climate Data'!$B$7:$B$366,C1705)</f>
        <v>7.9589041095890414</v>
      </c>
      <c r="J1705" s="86">
        <f>SUMIFS('Wind Proxy'!$H$8:$H$19,'Wind Proxy'!$A$8:$A$19,Estimator!$B$4,'Wind Proxy'!$B$8:$B$19,C1705)</f>
        <v>0</v>
      </c>
    </row>
    <row r="1706" spans="1:10" ht="14.4">
      <c r="A1706" s="84">
        <v>47357</v>
      </c>
      <c r="B1706" s="85">
        <v>2029</v>
      </c>
      <c r="C1706" s="85">
        <v>8</v>
      </c>
      <c r="D1706" s="85" t="s">
        <v>71</v>
      </c>
      <c r="E1706" s="85">
        <v>27</v>
      </c>
      <c r="F1706" s="85">
        <v>1</v>
      </c>
      <c r="G1706" s="85">
        <f>--(F1706&lt;=Estimator!$B$7)</f>
        <v>1</v>
      </c>
      <c r="H1706" s="86">
        <f>SUMIFS('Climate Data'!$G$7:$G$366,'Climate Data'!$A$7:$A$366,Estimator!$B$4,'Climate Data'!$B$7:$B$366,C1706)</f>
        <v>0.23548387096774193</v>
      </c>
      <c r="I1706" s="87">
        <f>SUMIFS('Climate Data'!$H$7:$H$366,'Climate Data'!$A$7:$A$366,Estimator!$B$4,'Climate Data'!$B$7:$B$366,C1706)</f>
        <v>7.9589041095890414</v>
      </c>
      <c r="J1706" s="86">
        <f>SUMIFS('Wind Proxy'!$H$8:$H$19,'Wind Proxy'!$A$8:$A$19,Estimator!$B$4,'Wind Proxy'!$B$8:$B$19,C1706)</f>
        <v>0</v>
      </c>
    </row>
    <row r="1707" spans="1:10" ht="14.4">
      <c r="A1707" s="84">
        <v>47358</v>
      </c>
      <c r="B1707" s="85">
        <v>2029</v>
      </c>
      <c r="C1707" s="85">
        <v>8</v>
      </c>
      <c r="D1707" s="85" t="s">
        <v>71</v>
      </c>
      <c r="E1707" s="85">
        <v>28</v>
      </c>
      <c r="F1707" s="85">
        <v>2</v>
      </c>
      <c r="G1707" s="85">
        <f>--(F1707&lt;=Estimator!$B$7)</f>
        <v>1</v>
      </c>
      <c r="H1707" s="86">
        <f>SUMIFS('Climate Data'!$G$7:$G$366,'Climate Data'!$A$7:$A$366,Estimator!$B$4,'Climate Data'!$B$7:$B$366,C1707)</f>
        <v>0.23548387096774193</v>
      </c>
      <c r="I1707" s="87">
        <f>SUMIFS('Climate Data'!$H$7:$H$366,'Climate Data'!$A$7:$A$366,Estimator!$B$4,'Climate Data'!$B$7:$B$366,C1707)</f>
        <v>7.9589041095890414</v>
      </c>
      <c r="J1707" s="86">
        <f>SUMIFS('Wind Proxy'!$H$8:$H$19,'Wind Proxy'!$A$8:$A$19,Estimator!$B$4,'Wind Proxy'!$B$8:$B$19,C1707)</f>
        <v>0</v>
      </c>
    </row>
    <row r="1708" spans="1:10" ht="14.4">
      <c r="A1708" s="84">
        <v>47359</v>
      </c>
      <c r="B1708" s="85">
        <v>2029</v>
      </c>
      <c r="C1708" s="85">
        <v>8</v>
      </c>
      <c r="D1708" s="85" t="s">
        <v>71</v>
      </c>
      <c r="E1708" s="85">
        <v>29</v>
      </c>
      <c r="F1708" s="85">
        <v>3</v>
      </c>
      <c r="G1708" s="85">
        <f>--(F1708&lt;=Estimator!$B$7)</f>
        <v>1</v>
      </c>
      <c r="H1708" s="86">
        <f>SUMIFS('Climate Data'!$G$7:$G$366,'Climate Data'!$A$7:$A$366,Estimator!$B$4,'Climate Data'!$B$7:$B$366,C1708)</f>
        <v>0.23548387096774193</v>
      </c>
      <c r="I1708" s="87">
        <f>SUMIFS('Climate Data'!$H$7:$H$366,'Climate Data'!$A$7:$A$366,Estimator!$B$4,'Climate Data'!$B$7:$B$366,C1708)</f>
        <v>7.9589041095890414</v>
      </c>
      <c r="J1708" s="86">
        <f>SUMIFS('Wind Proxy'!$H$8:$H$19,'Wind Proxy'!$A$8:$A$19,Estimator!$B$4,'Wind Proxy'!$B$8:$B$19,C1708)</f>
        <v>0</v>
      </c>
    </row>
    <row r="1709" spans="1:10" ht="14.4">
      <c r="A1709" s="84">
        <v>47360</v>
      </c>
      <c r="B1709" s="85">
        <v>2029</v>
      </c>
      <c r="C1709" s="85">
        <v>8</v>
      </c>
      <c r="D1709" s="85" t="s">
        <v>71</v>
      </c>
      <c r="E1709" s="85">
        <v>30</v>
      </c>
      <c r="F1709" s="85">
        <v>4</v>
      </c>
      <c r="G1709" s="85">
        <f>--(F1709&lt;=Estimator!$B$7)</f>
        <v>1</v>
      </c>
      <c r="H1709" s="86">
        <f>SUMIFS('Climate Data'!$G$7:$G$366,'Climate Data'!$A$7:$A$366,Estimator!$B$4,'Climate Data'!$B$7:$B$366,C1709)</f>
        <v>0.23548387096774193</v>
      </c>
      <c r="I1709" s="87">
        <f>SUMIFS('Climate Data'!$H$7:$H$366,'Climate Data'!$A$7:$A$366,Estimator!$B$4,'Climate Data'!$B$7:$B$366,C1709)</f>
        <v>7.9589041095890414</v>
      </c>
      <c r="J1709" s="86">
        <f>SUMIFS('Wind Proxy'!$H$8:$H$19,'Wind Proxy'!$A$8:$A$19,Estimator!$B$4,'Wind Proxy'!$B$8:$B$19,C1709)</f>
        <v>0</v>
      </c>
    </row>
    <row r="1710" spans="1:10" ht="14.4">
      <c r="A1710" s="84">
        <v>47361</v>
      </c>
      <c r="B1710" s="85">
        <v>2029</v>
      </c>
      <c r="C1710" s="85">
        <v>8</v>
      </c>
      <c r="D1710" s="85" t="s">
        <v>71</v>
      </c>
      <c r="E1710" s="85">
        <v>31</v>
      </c>
      <c r="F1710" s="85">
        <v>5</v>
      </c>
      <c r="G1710" s="85">
        <f>--(F1710&lt;=Estimator!$B$7)</f>
        <v>1</v>
      </c>
      <c r="H1710" s="86">
        <f>SUMIFS('Climate Data'!$G$7:$G$366,'Climate Data'!$A$7:$A$366,Estimator!$B$4,'Climate Data'!$B$7:$B$366,C1710)</f>
        <v>0.23548387096774193</v>
      </c>
      <c r="I1710" s="87">
        <f>SUMIFS('Climate Data'!$H$7:$H$366,'Climate Data'!$A$7:$A$366,Estimator!$B$4,'Climate Data'!$B$7:$B$366,C1710)</f>
        <v>7.9589041095890414</v>
      </c>
      <c r="J1710" s="86">
        <f>SUMIFS('Wind Proxy'!$H$8:$H$19,'Wind Proxy'!$A$8:$A$19,Estimator!$B$4,'Wind Proxy'!$B$8:$B$19,C1710)</f>
        <v>0</v>
      </c>
    </row>
    <row r="1711" spans="1:10" ht="14.4">
      <c r="A1711" s="84">
        <v>47362</v>
      </c>
      <c r="B1711" s="85">
        <v>2029</v>
      </c>
      <c r="C1711" s="85">
        <v>9</v>
      </c>
      <c r="D1711" s="85" t="s">
        <v>73</v>
      </c>
      <c r="E1711" s="85">
        <v>1</v>
      </c>
      <c r="F1711" s="85">
        <v>6</v>
      </c>
      <c r="G1711" s="85">
        <f>--(F1711&lt;=Estimator!$B$7)</f>
        <v>0</v>
      </c>
      <c r="H1711" s="86">
        <f>SUMIFS('Climate Data'!$G$7:$G$366,'Climate Data'!$A$7:$A$366,Estimator!$B$4,'Climate Data'!$B$7:$B$366,C1711)</f>
        <v>0.20666666666666667</v>
      </c>
      <c r="I1711" s="87">
        <f>SUMIFS('Climate Data'!$H$7:$H$366,'Climate Data'!$A$7:$A$366,Estimator!$B$4,'Climate Data'!$B$7:$B$366,C1711)</f>
        <v>6.806451612903226</v>
      </c>
      <c r="J1711" s="86">
        <f>SUMIFS('Wind Proxy'!$H$8:$H$19,'Wind Proxy'!$A$8:$A$19,Estimator!$B$4,'Wind Proxy'!$B$8:$B$19,C1711)</f>
        <v>0</v>
      </c>
    </row>
    <row r="1712" spans="1:10" ht="14.4">
      <c r="A1712" s="84">
        <v>47363</v>
      </c>
      <c r="B1712" s="85">
        <v>2029</v>
      </c>
      <c r="C1712" s="85">
        <v>9</v>
      </c>
      <c r="D1712" s="85" t="s">
        <v>73</v>
      </c>
      <c r="E1712" s="85">
        <v>2</v>
      </c>
      <c r="F1712" s="85">
        <v>7</v>
      </c>
      <c r="G1712" s="85">
        <f>--(F1712&lt;=Estimator!$B$7)</f>
        <v>0</v>
      </c>
      <c r="H1712" s="86">
        <f>SUMIFS('Climate Data'!$G$7:$G$366,'Climate Data'!$A$7:$A$366,Estimator!$B$4,'Climate Data'!$B$7:$B$366,C1712)</f>
        <v>0.20666666666666667</v>
      </c>
      <c r="I1712" s="87">
        <f>SUMIFS('Climate Data'!$H$7:$H$366,'Climate Data'!$A$7:$A$366,Estimator!$B$4,'Climate Data'!$B$7:$B$366,C1712)</f>
        <v>6.806451612903226</v>
      </c>
      <c r="J1712" s="86">
        <f>SUMIFS('Wind Proxy'!$H$8:$H$19,'Wind Proxy'!$A$8:$A$19,Estimator!$B$4,'Wind Proxy'!$B$8:$B$19,C1712)</f>
        <v>0</v>
      </c>
    </row>
    <row r="1713" spans="1:10" ht="14.4">
      <c r="A1713" s="84">
        <v>47364</v>
      </c>
      <c r="B1713" s="85">
        <v>2029</v>
      </c>
      <c r="C1713" s="85">
        <v>9</v>
      </c>
      <c r="D1713" s="85" t="s">
        <v>73</v>
      </c>
      <c r="E1713" s="85">
        <v>3</v>
      </c>
      <c r="F1713" s="85">
        <v>1</v>
      </c>
      <c r="G1713" s="85">
        <f>--(F1713&lt;=Estimator!$B$7)</f>
        <v>1</v>
      </c>
      <c r="H1713" s="86">
        <f>SUMIFS('Climate Data'!$G$7:$G$366,'Climate Data'!$A$7:$A$366,Estimator!$B$4,'Climate Data'!$B$7:$B$366,C1713)</f>
        <v>0.20666666666666667</v>
      </c>
      <c r="I1713" s="87">
        <f>SUMIFS('Climate Data'!$H$7:$H$366,'Climate Data'!$A$7:$A$366,Estimator!$B$4,'Climate Data'!$B$7:$B$366,C1713)</f>
        <v>6.806451612903226</v>
      </c>
      <c r="J1713" s="86">
        <f>SUMIFS('Wind Proxy'!$H$8:$H$19,'Wind Proxy'!$A$8:$A$19,Estimator!$B$4,'Wind Proxy'!$B$8:$B$19,C1713)</f>
        <v>0</v>
      </c>
    </row>
    <row r="1714" spans="1:10" ht="14.4">
      <c r="A1714" s="84">
        <v>47365</v>
      </c>
      <c r="B1714" s="85">
        <v>2029</v>
      </c>
      <c r="C1714" s="85">
        <v>9</v>
      </c>
      <c r="D1714" s="85" t="s">
        <v>73</v>
      </c>
      <c r="E1714" s="85">
        <v>4</v>
      </c>
      <c r="F1714" s="85">
        <v>2</v>
      </c>
      <c r="G1714" s="85">
        <f>--(F1714&lt;=Estimator!$B$7)</f>
        <v>1</v>
      </c>
      <c r="H1714" s="86">
        <f>SUMIFS('Climate Data'!$G$7:$G$366,'Climate Data'!$A$7:$A$366,Estimator!$B$4,'Climate Data'!$B$7:$B$366,C1714)</f>
        <v>0.20666666666666667</v>
      </c>
      <c r="I1714" s="87">
        <f>SUMIFS('Climate Data'!$H$7:$H$366,'Climate Data'!$A$7:$A$366,Estimator!$B$4,'Climate Data'!$B$7:$B$366,C1714)</f>
        <v>6.806451612903226</v>
      </c>
      <c r="J1714" s="86">
        <f>SUMIFS('Wind Proxy'!$H$8:$H$19,'Wind Proxy'!$A$8:$A$19,Estimator!$B$4,'Wind Proxy'!$B$8:$B$19,C1714)</f>
        <v>0</v>
      </c>
    </row>
    <row r="1715" spans="1:10" ht="14.4">
      <c r="A1715" s="84">
        <v>47366</v>
      </c>
      <c r="B1715" s="85">
        <v>2029</v>
      </c>
      <c r="C1715" s="85">
        <v>9</v>
      </c>
      <c r="D1715" s="85" t="s">
        <v>73</v>
      </c>
      <c r="E1715" s="85">
        <v>5</v>
      </c>
      <c r="F1715" s="85">
        <v>3</v>
      </c>
      <c r="G1715" s="85">
        <f>--(F1715&lt;=Estimator!$B$7)</f>
        <v>1</v>
      </c>
      <c r="H1715" s="86">
        <f>SUMIFS('Climate Data'!$G$7:$G$366,'Climate Data'!$A$7:$A$366,Estimator!$B$4,'Climate Data'!$B$7:$B$366,C1715)</f>
        <v>0.20666666666666667</v>
      </c>
      <c r="I1715" s="87">
        <f>SUMIFS('Climate Data'!$H$7:$H$366,'Climate Data'!$A$7:$A$366,Estimator!$B$4,'Climate Data'!$B$7:$B$366,C1715)</f>
        <v>6.806451612903226</v>
      </c>
      <c r="J1715" s="86">
        <f>SUMIFS('Wind Proxy'!$H$8:$H$19,'Wind Proxy'!$A$8:$A$19,Estimator!$B$4,'Wind Proxy'!$B$8:$B$19,C1715)</f>
        <v>0</v>
      </c>
    </row>
    <row r="1716" spans="1:10" ht="14.4">
      <c r="A1716" s="84">
        <v>47367</v>
      </c>
      <c r="B1716" s="85">
        <v>2029</v>
      </c>
      <c r="C1716" s="85">
        <v>9</v>
      </c>
      <c r="D1716" s="85" t="s">
        <v>73</v>
      </c>
      <c r="E1716" s="85">
        <v>6</v>
      </c>
      <c r="F1716" s="85">
        <v>4</v>
      </c>
      <c r="G1716" s="85">
        <f>--(F1716&lt;=Estimator!$B$7)</f>
        <v>1</v>
      </c>
      <c r="H1716" s="86">
        <f>SUMIFS('Climate Data'!$G$7:$G$366,'Climate Data'!$A$7:$A$366,Estimator!$B$4,'Climate Data'!$B$7:$B$366,C1716)</f>
        <v>0.20666666666666667</v>
      </c>
      <c r="I1716" s="87">
        <f>SUMIFS('Climate Data'!$H$7:$H$366,'Climate Data'!$A$7:$A$366,Estimator!$B$4,'Climate Data'!$B$7:$B$366,C1716)</f>
        <v>6.806451612903226</v>
      </c>
      <c r="J1716" s="86">
        <f>SUMIFS('Wind Proxy'!$H$8:$H$19,'Wind Proxy'!$A$8:$A$19,Estimator!$B$4,'Wind Proxy'!$B$8:$B$19,C1716)</f>
        <v>0</v>
      </c>
    </row>
    <row r="1717" spans="1:10" ht="14.4">
      <c r="A1717" s="84">
        <v>47368</v>
      </c>
      <c r="B1717" s="85">
        <v>2029</v>
      </c>
      <c r="C1717" s="85">
        <v>9</v>
      </c>
      <c r="D1717" s="85" t="s">
        <v>73</v>
      </c>
      <c r="E1717" s="85">
        <v>7</v>
      </c>
      <c r="F1717" s="85">
        <v>5</v>
      </c>
      <c r="G1717" s="85">
        <f>--(F1717&lt;=Estimator!$B$7)</f>
        <v>1</v>
      </c>
      <c r="H1717" s="86">
        <f>SUMIFS('Climate Data'!$G$7:$G$366,'Climate Data'!$A$7:$A$366,Estimator!$B$4,'Climate Data'!$B$7:$B$366,C1717)</f>
        <v>0.20666666666666667</v>
      </c>
      <c r="I1717" s="87">
        <f>SUMIFS('Climate Data'!$H$7:$H$366,'Climate Data'!$A$7:$A$366,Estimator!$B$4,'Climate Data'!$B$7:$B$366,C1717)</f>
        <v>6.806451612903226</v>
      </c>
      <c r="J1717" s="86">
        <f>SUMIFS('Wind Proxy'!$H$8:$H$19,'Wind Proxy'!$A$8:$A$19,Estimator!$B$4,'Wind Proxy'!$B$8:$B$19,C1717)</f>
        <v>0</v>
      </c>
    </row>
    <row r="1718" spans="1:10" ht="14.4">
      <c r="A1718" s="84">
        <v>47369</v>
      </c>
      <c r="B1718" s="85">
        <v>2029</v>
      </c>
      <c r="C1718" s="85">
        <v>9</v>
      </c>
      <c r="D1718" s="85" t="s">
        <v>73</v>
      </c>
      <c r="E1718" s="85">
        <v>8</v>
      </c>
      <c r="F1718" s="85">
        <v>6</v>
      </c>
      <c r="G1718" s="85">
        <f>--(F1718&lt;=Estimator!$B$7)</f>
        <v>0</v>
      </c>
      <c r="H1718" s="86">
        <f>SUMIFS('Climate Data'!$G$7:$G$366,'Climate Data'!$A$7:$A$366,Estimator!$B$4,'Climate Data'!$B$7:$B$366,C1718)</f>
        <v>0.20666666666666667</v>
      </c>
      <c r="I1718" s="87">
        <f>SUMIFS('Climate Data'!$H$7:$H$366,'Climate Data'!$A$7:$A$366,Estimator!$B$4,'Climate Data'!$B$7:$B$366,C1718)</f>
        <v>6.806451612903226</v>
      </c>
      <c r="J1718" s="86">
        <f>SUMIFS('Wind Proxy'!$H$8:$H$19,'Wind Proxy'!$A$8:$A$19,Estimator!$B$4,'Wind Proxy'!$B$8:$B$19,C1718)</f>
        <v>0</v>
      </c>
    </row>
    <row r="1719" spans="1:10" ht="14.4">
      <c r="A1719" s="84">
        <v>47370</v>
      </c>
      <c r="B1719" s="85">
        <v>2029</v>
      </c>
      <c r="C1719" s="85">
        <v>9</v>
      </c>
      <c r="D1719" s="85" t="s">
        <v>73</v>
      </c>
      <c r="E1719" s="85">
        <v>9</v>
      </c>
      <c r="F1719" s="85">
        <v>7</v>
      </c>
      <c r="G1719" s="85">
        <f>--(F1719&lt;=Estimator!$B$7)</f>
        <v>0</v>
      </c>
      <c r="H1719" s="86">
        <f>SUMIFS('Climate Data'!$G$7:$G$366,'Climate Data'!$A$7:$A$366,Estimator!$B$4,'Climate Data'!$B$7:$B$366,C1719)</f>
        <v>0.20666666666666667</v>
      </c>
      <c r="I1719" s="87">
        <f>SUMIFS('Climate Data'!$H$7:$H$366,'Climate Data'!$A$7:$A$366,Estimator!$B$4,'Climate Data'!$B$7:$B$366,C1719)</f>
        <v>6.806451612903226</v>
      </c>
      <c r="J1719" s="86">
        <f>SUMIFS('Wind Proxy'!$H$8:$H$19,'Wind Proxy'!$A$8:$A$19,Estimator!$B$4,'Wind Proxy'!$B$8:$B$19,C1719)</f>
        <v>0</v>
      </c>
    </row>
    <row r="1720" spans="1:10" ht="14.4">
      <c r="A1720" s="84">
        <v>47371</v>
      </c>
      <c r="B1720" s="85">
        <v>2029</v>
      </c>
      <c r="C1720" s="85">
        <v>9</v>
      </c>
      <c r="D1720" s="85" t="s">
        <v>73</v>
      </c>
      <c r="E1720" s="85">
        <v>10</v>
      </c>
      <c r="F1720" s="85">
        <v>1</v>
      </c>
      <c r="G1720" s="85">
        <f>--(F1720&lt;=Estimator!$B$7)</f>
        <v>1</v>
      </c>
      <c r="H1720" s="86">
        <f>SUMIFS('Climate Data'!$G$7:$G$366,'Climate Data'!$A$7:$A$366,Estimator!$B$4,'Climate Data'!$B$7:$B$366,C1720)</f>
        <v>0.20666666666666667</v>
      </c>
      <c r="I1720" s="87">
        <f>SUMIFS('Climate Data'!$H$7:$H$366,'Climate Data'!$A$7:$A$366,Estimator!$B$4,'Climate Data'!$B$7:$B$366,C1720)</f>
        <v>6.806451612903226</v>
      </c>
      <c r="J1720" s="86">
        <f>SUMIFS('Wind Proxy'!$H$8:$H$19,'Wind Proxy'!$A$8:$A$19,Estimator!$B$4,'Wind Proxy'!$B$8:$B$19,C1720)</f>
        <v>0</v>
      </c>
    </row>
    <row r="1721" spans="1:10" ht="14.4">
      <c r="A1721" s="84">
        <v>47372</v>
      </c>
      <c r="B1721" s="85">
        <v>2029</v>
      </c>
      <c r="C1721" s="85">
        <v>9</v>
      </c>
      <c r="D1721" s="85" t="s">
        <v>73</v>
      </c>
      <c r="E1721" s="85">
        <v>11</v>
      </c>
      <c r="F1721" s="85">
        <v>2</v>
      </c>
      <c r="G1721" s="85">
        <f>--(F1721&lt;=Estimator!$B$7)</f>
        <v>1</v>
      </c>
      <c r="H1721" s="86">
        <f>SUMIFS('Climate Data'!$G$7:$G$366,'Climate Data'!$A$7:$A$366,Estimator!$B$4,'Climate Data'!$B$7:$B$366,C1721)</f>
        <v>0.20666666666666667</v>
      </c>
      <c r="I1721" s="87">
        <f>SUMIFS('Climate Data'!$H$7:$H$366,'Climate Data'!$A$7:$A$366,Estimator!$B$4,'Climate Data'!$B$7:$B$366,C1721)</f>
        <v>6.806451612903226</v>
      </c>
      <c r="J1721" s="86">
        <f>SUMIFS('Wind Proxy'!$H$8:$H$19,'Wind Proxy'!$A$8:$A$19,Estimator!$B$4,'Wind Proxy'!$B$8:$B$19,C1721)</f>
        <v>0</v>
      </c>
    </row>
    <row r="1722" spans="1:10" ht="14.4">
      <c r="A1722" s="84">
        <v>47373</v>
      </c>
      <c r="B1722" s="85">
        <v>2029</v>
      </c>
      <c r="C1722" s="85">
        <v>9</v>
      </c>
      <c r="D1722" s="85" t="s">
        <v>73</v>
      </c>
      <c r="E1722" s="85">
        <v>12</v>
      </c>
      <c r="F1722" s="85">
        <v>3</v>
      </c>
      <c r="G1722" s="85">
        <f>--(F1722&lt;=Estimator!$B$7)</f>
        <v>1</v>
      </c>
      <c r="H1722" s="86">
        <f>SUMIFS('Climate Data'!$G$7:$G$366,'Climate Data'!$A$7:$A$366,Estimator!$B$4,'Climate Data'!$B$7:$B$366,C1722)</f>
        <v>0.20666666666666667</v>
      </c>
      <c r="I1722" s="87">
        <f>SUMIFS('Climate Data'!$H$7:$H$366,'Climate Data'!$A$7:$A$366,Estimator!$B$4,'Climate Data'!$B$7:$B$366,C1722)</f>
        <v>6.806451612903226</v>
      </c>
      <c r="J1722" s="86">
        <f>SUMIFS('Wind Proxy'!$H$8:$H$19,'Wind Proxy'!$A$8:$A$19,Estimator!$B$4,'Wind Proxy'!$B$8:$B$19,C1722)</f>
        <v>0</v>
      </c>
    </row>
    <row r="1723" spans="1:10" ht="14.4">
      <c r="A1723" s="84">
        <v>47374</v>
      </c>
      <c r="B1723" s="85">
        <v>2029</v>
      </c>
      <c r="C1723" s="85">
        <v>9</v>
      </c>
      <c r="D1723" s="85" t="s">
        <v>73</v>
      </c>
      <c r="E1723" s="85">
        <v>13</v>
      </c>
      <c r="F1723" s="85">
        <v>4</v>
      </c>
      <c r="G1723" s="85">
        <f>--(F1723&lt;=Estimator!$B$7)</f>
        <v>1</v>
      </c>
      <c r="H1723" s="86">
        <f>SUMIFS('Climate Data'!$G$7:$G$366,'Climate Data'!$A$7:$A$366,Estimator!$B$4,'Climate Data'!$B$7:$B$366,C1723)</f>
        <v>0.20666666666666667</v>
      </c>
      <c r="I1723" s="87">
        <f>SUMIFS('Climate Data'!$H$7:$H$366,'Climate Data'!$A$7:$A$366,Estimator!$B$4,'Climate Data'!$B$7:$B$366,C1723)</f>
        <v>6.806451612903226</v>
      </c>
      <c r="J1723" s="86">
        <f>SUMIFS('Wind Proxy'!$H$8:$H$19,'Wind Proxy'!$A$8:$A$19,Estimator!$B$4,'Wind Proxy'!$B$8:$B$19,C1723)</f>
        <v>0</v>
      </c>
    </row>
    <row r="1724" spans="1:10" ht="14.4">
      <c r="A1724" s="84">
        <v>47375</v>
      </c>
      <c r="B1724" s="85">
        <v>2029</v>
      </c>
      <c r="C1724" s="85">
        <v>9</v>
      </c>
      <c r="D1724" s="85" t="s">
        <v>73</v>
      </c>
      <c r="E1724" s="85">
        <v>14</v>
      </c>
      <c r="F1724" s="85">
        <v>5</v>
      </c>
      <c r="G1724" s="85">
        <f>--(F1724&lt;=Estimator!$B$7)</f>
        <v>1</v>
      </c>
      <c r="H1724" s="86">
        <f>SUMIFS('Climate Data'!$G$7:$G$366,'Climate Data'!$A$7:$A$366,Estimator!$B$4,'Climate Data'!$B$7:$B$366,C1724)</f>
        <v>0.20666666666666667</v>
      </c>
      <c r="I1724" s="87">
        <f>SUMIFS('Climate Data'!$H$7:$H$366,'Climate Data'!$A$7:$A$366,Estimator!$B$4,'Climate Data'!$B$7:$B$366,C1724)</f>
        <v>6.806451612903226</v>
      </c>
      <c r="J1724" s="86">
        <f>SUMIFS('Wind Proxy'!$H$8:$H$19,'Wind Proxy'!$A$8:$A$19,Estimator!$B$4,'Wind Proxy'!$B$8:$B$19,C1724)</f>
        <v>0</v>
      </c>
    </row>
    <row r="1725" spans="1:10" ht="14.4">
      <c r="A1725" s="84">
        <v>47376</v>
      </c>
      <c r="B1725" s="85">
        <v>2029</v>
      </c>
      <c r="C1725" s="85">
        <v>9</v>
      </c>
      <c r="D1725" s="85" t="s">
        <v>73</v>
      </c>
      <c r="E1725" s="85">
        <v>15</v>
      </c>
      <c r="F1725" s="85">
        <v>6</v>
      </c>
      <c r="G1725" s="85">
        <f>--(F1725&lt;=Estimator!$B$7)</f>
        <v>0</v>
      </c>
      <c r="H1725" s="86">
        <f>SUMIFS('Climate Data'!$G$7:$G$366,'Climate Data'!$A$7:$A$366,Estimator!$B$4,'Climate Data'!$B$7:$B$366,C1725)</f>
        <v>0.20666666666666667</v>
      </c>
      <c r="I1725" s="87">
        <f>SUMIFS('Climate Data'!$H$7:$H$366,'Climate Data'!$A$7:$A$366,Estimator!$B$4,'Climate Data'!$B$7:$B$366,C1725)</f>
        <v>6.806451612903226</v>
      </c>
      <c r="J1725" s="86">
        <f>SUMIFS('Wind Proxy'!$H$8:$H$19,'Wind Proxy'!$A$8:$A$19,Estimator!$B$4,'Wind Proxy'!$B$8:$B$19,C1725)</f>
        <v>0</v>
      </c>
    </row>
    <row r="1726" spans="1:10" ht="14.4">
      <c r="A1726" s="84">
        <v>47377</v>
      </c>
      <c r="B1726" s="85">
        <v>2029</v>
      </c>
      <c r="C1726" s="85">
        <v>9</v>
      </c>
      <c r="D1726" s="85" t="s">
        <v>73</v>
      </c>
      <c r="E1726" s="85">
        <v>16</v>
      </c>
      <c r="F1726" s="85">
        <v>7</v>
      </c>
      <c r="G1726" s="85">
        <f>--(F1726&lt;=Estimator!$B$7)</f>
        <v>0</v>
      </c>
      <c r="H1726" s="86">
        <f>SUMIFS('Climate Data'!$G$7:$G$366,'Climate Data'!$A$7:$A$366,Estimator!$B$4,'Climate Data'!$B$7:$B$366,C1726)</f>
        <v>0.20666666666666667</v>
      </c>
      <c r="I1726" s="87">
        <f>SUMIFS('Climate Data'!$H$7:$H$366,'Climate Data'!$A$7:$A$366,Estimator!$B$4,'Climate Data'!$B$7:$B$366,C1726)</f>
        <v>6.806451612903226</v>
      </c>
      <c r="J1726" s="86">
        <f>SUMIFS('Wind Proxy'!$H$8:$H$19,'Wind Proxy'!$A$8:$A$19,Estimator!$B$4,'Wind Proxy'!$B$8:$B$19,C1726)</f>
        <v>0</v>
      </c>
    </row>
    <row r="1727" spans="1:10" ht="14.4">
      <c r="A1727" s="84">
        <v>47378</v>
      </c>
      <c r="B1727" s="85">
        <v>2029</v>
      </c>
      <c r="C1727" s="85">
        <v>9</v>
      </c>
      <c r="D1727" s="85" t="s">
        <v>73</v>
      </c>
      <c r="E1727" s="85">
        <v>17</v>
      </c>
      <c r="F1727" s="85">
        <v>1</v>
      </c>
      <c r="G1727" s="85">
        <f>--(F1727&lt;=Estimator!$B$7)</f>
        <v>1</v>
      </c>
      <c r="H1727" s="86">
        <f>SUMIFS('Climate Data'!$G$7:$G$366,'Climate Data'!$A$7:$A$366,Estimator!$B$4,'Climate Data'!$B$7:$B$366,C1727)</f>
        <v>0.20666666666666667</v>
      </c>
      <c r="I1727" s="87">
        <f>SUMIFS('Climate Data'!$H$7:$H$366,'Climate Data'!$A$7:$A$366,Estimator!$B$4,'Climate Data'!$B$7:$B$366,C1727)</f>
        <v>6.806451612903226</v>
      </c>
      <c r="J1727" s="86">
        <f>SUMIFS('Wind Proxy'!$H$8:$H$19,'Wind Proxy'!$A$8:$A$19,Estimator!$B$4,'Wind Proxy'!$B$8:$B$19,C1727)</f>
        <v>0</v>
      </c>
    </row>
    <row r="1728" spans="1:10" ht="14.4">
      <c r="A1728" s="84">
        <v>47379</v>
      </c>
      <c r="B1728" s="85">
        <v>2029</v>
      </c>
      <c r="C1728" s="85">
        <v>9</v>
      </c>
      <c r="D1728" s="85" t="s">
        <v>73</v>
      </c>
      <c r="E1728" s="85">
        <v>18</v>
      </c>
      <c r="F1728" s="85">
        <v>2</v>
      </c>
      <c r="G1728" s="85">
        <f>--(F1728&lt;=Estimator!$B$7)</f>
        <v>1</v>
      </c>
      <c r="H1728" s="86">
        <f>SUMIFS('Climate Data'!$G$7:$G$366,'Climate Data'!$A$7:$A$366,Estimator!$B$4,'Climate Data'!$B$7:$B$366,C1728)</f>
        <v>0.20666666666666667</v>
      </c>
      <c r="I1728" s="87">
        <f>SUMIFS('Climate Data'!$H$7:$H$366,'Climate Data'!$A$7:$A$366,Estimator!$B$4,'Climate Data'!$B$7:$B$366,C1728)</f>
        <v>6.806451612903226</v>
      </c>
      <c r="J1728" s="86">
        <f>SUMIFS('Wind Proxy'!$H$8:$H$19,'Wind Proxy'!$A$8:$A$19,Estimator!$B$4,'Wind Proxy'!$B$8:$B$19,C1728)</f>
        <v>0</v>
      </c>
    </row>
    <row r="1729" spans="1:10" ht="14.4">
      <c r="A1729" s="84">
        <v>47380</v>
      </c>
      <c r="B1729" s="85">
        <v>2029</v>
      </c>
      <c r="C1729" s="85">
        <v>9</v>
      </c>
      <c r="D1729" s="85" t="s">
        <v>73</v>
      </c>
      <c r="E1729" s="85">
        <v>19</v>
      </c>
      <c r="F1729" s="85">
        <v>3</v>
      </c>
      <c r="G1729" s="85">
        <f>--(F1729&lt;=Estimator!$B$7)</f>
        <v>1</v>
      </c>
      <c r="H1729" s="86">
        <f>SUMIFS('Climate Data'!$G$7:$G$366,'Climate Data'!$A$7:$A$366,Estimator!$B$4,'Climate Data'!$B$7:$B$366,C1729)</f>
        <v>0.20666666666666667</v>
      </c>
      <c r="I1729" s="87">
        <f>SUMIFS('Climate Data'!$H$7:$H$366,'Climate Data'!$A$7:$A$366,Estimator!$B$4,'Climate Data'!$B$7:$B$366,C1729)</f>
        <v>6.806451612903226</v>
      </c>
      <c r="J1729" s="86">
        <f>SUMIFS('Wind Proxy'!$H$8:$H$19,'Wind Proxy'!$A$8:$A$19,Estimator!$B$4,'Wind Proxy'!$B$8:$B$19,C1729)</f>
        <v>0</v>
      </c>
    </row>
    <row r="1730" spans="1:10" ht="14.4">
      <c r="A1730" s="84">
        <v>47381</v>
      </c>
      <c r="B1730" s="85">
        <v>2029</v>
      </c>
      <c r="C1730" s="85">
        <v>9</v>
      </c>
      <c r="D1730" s="85" t="s">
        <v>73</v>
      </c>
      <c r="E1730" s="85">
        <v>20</v>
      </c>
      <c r="F1730" s="85">
        <v>4</v>
      </c>
      <c r="G1730" s="85">
        <f>--(F1730&lt;=Estimator!$B$7)</f>
        <v>1</v>
      </c>
      <c r="H1730" s="86">
        <f>SUMIFS('Climate Data'!$G$7:$G$366,'Climate Data'!$A$7:$A$366,Estimator!$B$4,'Climate Data'!$B$7:$B$366,C1730)</f>
        <v>0.20666666666666667</v>
      </c>
      <c r="I1730" s="87">
        <f>SUMIFS('Climate Data'!$H$7:$H$366,'Climate Data'!$A$7:$A$366,Estimator!$B$4,'Climate Data'!$B$7:$B$366,C1730)</f>
        <v>6.806451612903226</v>
      </c>
      <c r="J1730" s="86">
        <f>SUMIFS('Wind Proxy'!$H$8:$H$19,'Wind Proxy'!$A$8:$A$19,Estimator!$B$4,'Wind Proxy'!$B$8:$B$19,C1730)</f>
        <v>0</v>
      </c>
    </row>
    <row r="1731" spans="1:10" ht="14.4">
      <c r="A1731" s="84">
        <v>47382</v>
      </c>
      <c r="B1731" s="85">
        <v>2029</v>
      </c>
      <c r="C1731" s="85">
        <v>9</v>
      </c>
      <c r="D1731" s="85" t="s">
        <v>73</v>
      </c>
      <c r="E1731" s="85">
        <v>21</v>
      </c>
      <c r="F1731" s="85">
        <v>5</v>
      </c>
      <c r="G1731" s="85">
        <f>--(F1731&lt;=Estimator!$B$7)</f>
        <v>1</v>
      </c>
      <c r="H1731" s="86">
        <f>SUMIFS('Climate Data'!$G$7:$G$366,'Climate Data'!$A$7:$A$366,Estimator!$B$4,'Climate Data'!$B$7:$B$366,C1731)</f>
        <v>0.20666666666666667</v>
      </c>
      <c r="I1731" s="87">
        <f>SUMIFS('Climate Data'!$H$7:$H$366,'Climate Data'!$A$7:$A$366,Estimator!$B$4,'Climate Data'!$B$7:$B$366,C1731)</f>
        <v>6.806451612903226</v>
      </c>
      <c r="J1731" s="86">
        <f>SUMIFS('Wind Proxy'!$H$8:$H$19,'Wind Proxy'!$A$8:$A$19,Estimator!$B$4,'Wind Proxy'!$B$8:$B$19,C1731)</f>
        <v>0</v>
      </c>
    </row>
    <row r="1732" spans="1:10" ht="14.4">
      <c r="A1732" s="84">
        <v>47383</v>
      </c>
      <c r="B1732" s="85">
        <v>2029</v>
      </c>
      <c r="C1732" s="85">
        <v>9</v>
      </c>
      <c r="D1732" s="85" t="s">
        <v>73</v>
      </c>
      <c r="E1732" s="85">
        <v>22</v>
      </c>
      <c r="F1732" s="85">
        <v>6</v>
      </c>
      <c r="G1732" s="85">
        <f>--(F1732&lt;=Estimator!$B$7)</f>
        <v>0</v>
      </c>
      <c r="H1732" s="86">
        <f>SUMIFS('Climate Data'!$G$7:$G$366,'Climate Data'!$A$7:$A$366,Estimator!$B$4,'Climate Data'!$B$7:$B$366,C1732)</f>
        <v>0.20666666666666667</v>
      </c>
      <c r="I1732" s="87">
        <f>SUMIFS('Climate Data'!$H$7:$H$366,'Climate Data'!$A$7:$A$366,Estimator!$B$4,'Climate Data'!$B$7:$B$366,C1732)</f>
        <v>6.806451612903226</v>
      </c>
      <c r="J1732" s="86">
        <f>SUMIFS('Wind Proxy'!$H$8:$H$19,'Wind Proxy'!$A$8:$A$19,Estimator!$B$4,'Wind Proxy'!$B$8:$B$19,C1732)</f>
        <v>0</v>
      </c>
    </row>
    <row r="1733" spans="1:10" ht="14.4">
      <c r="A1733" s="84">
        <v>47384</v>
      </c>
      <c r="B1733" s="85">
        <v>2029</v>
      </c>
      <c r="C1733" s="85">
        <v>9</v>
      </c>
      <c r="D1733" s="85" t="s">
        <v>73</v>
      </c>
      <c r="E1733" s="85">
        <v>23</v>
      </c>
      <c r="F1733" s="85">
        <v>7</v>
      </c>
      <c r="G1733" s="85">
        <f>--(F1733&lt;=Estimator!$B$7)</f>
        <v>0</v>
      </c>
      <c r="H1733" s="86">
        <f>SUMIFS('Climate Data'!$G$7:$G$366,'Climate Data'!$A$7:$A$366,Estimator!$B$4,'Climate Data'!$B$7:$B$366,C1733)</f>
        <v>0.20666666666666667</v>
      </c>
      <c r="I1733" s="87">
        <f>SUMIFS('Climate Data'!$H$7:$H$366,'Climate Data'!$A$7:$A$366,Estimator!$B$4,'Climate Data'!$B$7:$B$366,C1733)</f>
        <v>6.806451612903226</v>
      </c>
      <c r="J1733" s="86">
        <f>SUMIFS('Wind Proxy'!$H$8:$H$19,'Wind Proxy'!$A$8:$A$19,Estimator!$B$4,'Wind Proxy'!$B$8:$B$19,C1733)</f>
        <v>0</v>
      </c>
    </row>
    <row r="1734" spans="1:10" ht="14.4">
      <c r="A1734" s="84">
        <v>47385</v>
      </c>
      <c r="B1734" s="85">
        <v>2029</v>
      </c>
      <c r="C1734" s="85">
        <v>9</v>
      </c>
      <c r="D1734" s="85" t="s">
        <v>73</v>
      </c>
      <c r="E1734" s="85">
        <v>24</v>
      </c>
      <c r="F1734" s="85">
        <v>1</v>
      </c>
      <c r="G1734" s="85">
        <f>--(F1734&lt;=Estimator!$B$7)</f>
        <v>1</v>
      </c>
      <c r="H1734" s="86">
        <f>SUMIFS('Climate Data'!$G$7:$G$366,'Climate Data'!$A$7:$A$366,Estimator!$B$4,'Climate Data'!$B$7:$B$366,C1734)</f>
        <v>0.20666666666666667</v>
      </c>
      <c r="I1734" s="87">
        <f>SUMIFS('Climate Data'!$H$7:$H$366,'Climate Data'!$A$7:$A$366,Estimator!$B$4,'Climate Data'!$B$7:$B$366,C1734)</f>
        <v>6.806451612903226</v>
      </c>
      <c r="J1734" s="86">
        <f>SUMIFS('Wind Proxy'!$H$8:$H$19,'Wind Proxy'!$A$8:$A$19,Estimator!$B$4,'Wind Proxy'!$B$8:$B$19,C1734)</f>
        <v>0</v>
      </c>
    </row>
    <row r="1735" spans="1:10" ht="14.4">
      <c r="A1735" s="84">
        <v>47386</v>
      </c>
      <c r="B1735" s="85">
        <v>2029</v>
      </c>
      <c r="C1735" s="85">
        <v>9</v>
      </c>
      <c r="D1735" s="85" t="s">
        <v>73</v>
      </c>
      <c r="E1735" s="85">
        <v>25</v>
      </c>
      <c r="F1735" s="85">
        <v>2</v>
      </c>
      <c r="G1735" s="85">
        <f>--(F1735&lt;=Estimator!$B$7)</f>
        <v>1</v>
      </c>
      <c r="H1735" s="86">
        <f>SUMIFS('Climate Data'!$G$7:$G$366,'Climate Data'!$A$7:$A$366,Estimator!$B$4,'Climate Data'!$B$7:$B$366,C1735)</f>
        <v>0.20666666666666667</v>
      </c>
      <c r="I1735" s="87">
        <f>SUMIFS('Climate Data'!$H$7:$H$366,'Climate Data'!$A$7:$A$366,Estimator!$B$4,'Climate Data'!$B$7:$B$366,C1735)</f>
        <v>6.806451612903226</v>
      </c>
      <c r="J1735" s="86">
        <f>SUMIFS('Wind Proxy'!$H$8:$H$19,'Wind Proxy'!$A$8:$A$19,Estimator!$B$4,'Wind Proxy'!$B$8:$B$19,C1735)</f>
        <v>0</v>
      </c>
    </row>
    <row r="1736" spans="1:10" ht="14.4">
      <c r="A1736" s="84">
        <v>47387</v>
      </c>
      <c r="B1736" s="85">
        <v>2029</v>
      </c>
      <c r="C1736" s="85">
        <v>9</v>
      </c>
      <c r="D1736" s="85" t="s">
        <v>73</v>
      </c>
      <c r="E1736" s="85">
        <v>26</v>
      </c>
      <c r="F1736" s="85">
        <v>3</v>
      </c>
      <c r="G1736" s="85">
        <f>--(F1736&lt;=Estimator!$B$7)</f>
        <v>1</v>
      </c>
      <c r="H1736" s="86">
        <f>SUMIFS('Climate Data'!$G$7:$G$366,'Climate Data'!$A$7:$A$366,Estimator!$B$4,'Climate Data'!$B$7:$B$366,C1736)</f>
        <v>0.20666666666666667</v>
      </c>
      <c r="I1736" s="87">
        <f>SUMIFS('Climate Data'!$H$7:$H$366,'Climate Data'!$A$7:$A$366,Estimator!$B$4,'Climate Data'!$B$7:$B$366,C1736)</f>
        <v>6.806451612903226</v>
      </c>
      <c r="J1736" s="86">
        <f>SUMIFS('Wind Proxy'!$H$8:$H$19,'Wind Proxy'!$A$8:$A$19,Estimator!$B$4,'Wind Proxy'!$B$8:$B$19,C1736)</f>
        <v>0</v>
      </c>
    </row>
    <row r="1737" spans="1:10" ht="14.4">
      <c r="A1737" s="84">
        <v>47388</v>
      </c>
      <c r="B1737" s="85">
        <v>2029</v>
      </c>
      <c r="C1737" s="85">
        <v>9</v>
      </c>
      <c r="D1737" s="85" t="s">
        <v>73</v>
      </c>
      <c r="E1737" s="85">
        <v>27</v>
      </c>
      <c r="F1737" s="85">
        <v>4</v>
      </c>
      <c r="G1737" s="85">
        <f>--(F1737&lt;=Estimator!$B$7)</f>
        <v>1</v>
      </c>
      <c r="H1737" s="86">
        <f>SUMIFS('Climate Data'!$G$7:$G$366,'Climate Data'!$A$7:$A$366,Estimator!$B$4,'Climate Data'!$B$7:$B$366,C1737)</f>
        <v>0.20666666666666667</v>
      </c>
      <c r="I1737" s="87">
        <f>SUMIFS('Climate Data'!$H$7:$H$366,'Climate Data'!$A$7:$A$366,Estimator!$B$4,'Climate Data'!$B$7:$B$366,C1737)</f>
        <v>6.806451612903226</v>
      </c>
      <c r="J1737" s="86">
        <f>SUMIFS('Wind Proxy'!$H$8:$H$19,'Wind Proxy'!$A$8:$A$19,Estimator!$B$4,'Wind Proxy'!$B$8:$B$19,C1737)</f>
        <v>0</v>
      </c>
    </row>
    <row r="1738" spans="1:10" ht="14.4">
      <c r="A1738" s="84">
        <v>47389</v>
      </c>
      <c r="B1738" s="85">
        <v>2029</v>
      </c>
      <c r="C1738" s="85">
        <v>9</v>
      </c>
      <c r="D1738" s="85" t="s">
        <v>73</v>
      </c>
      <c r="E1738" s="85">
        <v>28</v>
      </c>
      <c r="F1738" s="85">
        <v>5</v>
      </c>
      <c r="G1738" s="85">
        <f>--(F1738&lt;=Estimator!$B$7)</f>
        <v>1</v>
      </c>
      <c r="H1738" s="86">
        <f>SUMIFS('Climate Data'!$G$7:$G$366,'Climate Data'!$A$7:$A$366,Estimator!$B$4,'Climate Data'!$B$7:$B$366,C1738)</f>
        <v>0.20666666666666667</v>
      </c>
      <c r="I1738" s="87">
        <f>SUMIFS('Climate Data'!$H$7:$H$366,'Climate Data'!$A$7:$A$366,Estimator!$B$4,'Climate Data'!$B$7:$B$366,C1738)</f>
        <v>6.806451612903226</v>
      </c>
      <c r="J1738" s="86">
        <f>SUMIFS('Wind Proxy'!$H$8:$H$19,'Wind Proxy'!$A$8:$A$19,Estimator!$B$4,'Wind Proxy'!$B$8:$B$19,C1738)</f>
        <v>0</v>
      </c>
    </row>
    <row r="1739" spans="1:10" ht="14.4">
      <c r="A1739" s="84">
        <v>47390</v>
      </c>
      <c r="B1739" s="85">
        <v>2029</v>
      </c>
      <c r="C1739" s="85">
        <v>9</v>
      </c>
      <c r="D1739" s="85" t="s">
        <v>73</v>
      </c>
      <c r="E1739" s="85">
        <v>29</v>
      </c>
      <c r="F1739" s="85">
        <v>6</v>
      </c>
      <c r="G1739" s="85">
        <f>--(F1739&lt;=Estimator!$B$7)</f>
        <v>0</v>
      </c>
      <c r="H1739" s="86">
        <f>SUMIFS('Climate Data'!$G$7:$G$366,'Climate Data'!$A$7:$A$366,Estimator!$B$4,'Climate Data'!$B$7:$B$366,C1739)</f>
        <v>0.20666666666666667</v>
      </c>
      <c r="I1739" s="87">
        <f>SUMIFS('Climate Data'!$H$7:$H$366,'Climate Data'!$A$7:$A$366,Estimator!$B$4,'Climate Data'!$B$7:$B$366,C1739)</f>
        <v>6.806451612903226</v>
      </c>
      <c r="J1739" s="86">
        <f>SUMIFS('Wind Proxy'!$H$8:$H$19,'Wind Proxy'!$A$8:$A$19,Estimator!$B$4,'Wind Proxy'!$B$8:$B$19,C1739)</f>
        <v>0</v>
      </c>
    </row>
    <row r="1740" spans="1:10" ht="14.4">
      <c r="A1740" s="84">
        <v>47391</v>
      </c>
      <c r="B1740" s="85">
        <v>2029</v>
      </c>
      <c r="C1740" s="85">
        <v>9</v>
      </c>
      <c r="D1740" s="85" t="s">
        <v>73</v>
      </c>
      <c r="E1740" s="85">
        <v>30</v>
      </c>
      <c r="F1740" s="85">
        <v>7</v>
      </c>
      <c r="G1740" s="85">
        <f>--(F1740&lt;=Estimator!$B$7)</f>
        <v>0</v>
      </c>
      <c r="H1740" s="86">
        <f>SUMIFS('Climate Data'!$G$7:$G$366,'Climate Data'!$A$7:$A$366,Estimator!$B$4,'Climate Data'!$B$7:$B$366,C1740)</f>
        <v>0.20666666666666667</v>
      </c>
      <c r="I1740" s="87">
        <f>SUMIFS('Climate Data'!$H$7:$H$366,'Climate Data'!$A$7:$A$366,Estimator!$B$4,'Climate Data'!$B$7:$B$366,C1740)</f>
        <v>6.806451612903226</v>
      </c>
      <c r="J1740" s="86">
        <f>SUMIFS('Wind Proxy'!$H$8:$H$19,'Wind Proxy'!$A$8:$A$19,Estimator!$B$4,'Wind Proxy'!$B$8:$B$19,C1740)</f>
        <v>0</v>
      </c>
    </row>
    <row r="1741" spans="1:10" ht="14.4">
      <c r="A1741" s="84">
        <v>47392</v>
      </c>
      <c r="B1741" s="85">
        <v>2029</v>
      </c>
      <c r="C1741" s="85">
        <v>10</v>
      </c>
      <c r="D1741" s="85" t="s">
        <v>75</v>
      </c>
      <c r="E1741" s="85">
        <v>1</v>
      </c>
      <c r="F1741" s="85">
        <v>1</v>
      </c>
      <c r="G1741" s="85">
        <f>--(F1741&lt;=Estimator!$B$7)</f>
        <v>1</v>
      </c>
      <c r="H1741" s="86">
        <f>SUMIFS('Climate Data'!$G$7:$G$366,'Climate Data'!$A$7:$A$366,Estimator!$B$4,'Climate Data'!$B$7:$B$366,C1741)</f>
        <v>0.23225806451612904</v>
      </c>
      <c r="I1741" s="87">
        <f>SUMIFS('Climate Data'!$H$7:$H$366,'Climate Data'!$A$7:$A$366,Estimator!$B$4,'Climate Data'!$B$7:$B$366,C1741)</f>
        <v>6.8194444444444446</v>
      </c>
      <c r="J1741" s="86">
        <f>SUMIFS('Wind Proxy'!$H$8:$H$19,'Wind Proxy'!$A$8:$A$19,Estimator!$B$4,'Wind Proxy'!$B$8:$B$19,C1741)</f>
        <v>0</v>
      </c>
    </row>
    <row r="1742" spans="1:10" ht="14.4">
      <c r="A1742" s="84">
        <v>47393</v>
      </c>
      <c r="B1742" s="85">
        <v>2029</v>
      </c>
      <c r="C1742" s="85">
        <v>10</v>
      </c>
      <c r="D1742" s="85" t="s">
        <v>75</v>
      </c>
      <c r="E1742" s="85">
        <v>2</v>
      </c>
      <c r="F1742" s="85">
        <v>2</v>
      </c>
      <c r="G1742" s="85">
        <f>--(F1742&lt;=Estimator!$B$7)</f>
        <v>1</v>
      </c>
      <c r="H1742" s="86">
        <f>SUMIFS('Climate Data'!$G$7:$G$366,'Climate Data'!$A$7:$A$366,Estimator!$B$4,'Climate Data'!$B$7:$B$366,C1742)</f>
        <v>0.23225806451612904</v>
      </c>
      <c r="I1742" s="87">
        <f>SUMIFS('Climate Data'!$H$7:$H$366,'Climate Data'!$A$7:$A$366,Estimator!$B$4,'Climate Data'!$B$7:$B$366,C1742)</f>
        <v>6.8194444444444446</v>
      </c>
      <c r="J1742" s="86">
        <f>SUMIFS('Wind Proxy'!$H$8:$H$19,'Wind Proxy'!$A$8:$A$19,Estimator!$B$4,'Wind Proxy'!$B$8:$B$19,C1742)</f>
        <v>0</v>
      </c>
    </row>
    <row r="1743" spans="1:10" ht="14.4">
      <c r="A1743" s="84">
        <v>47394</v>
      </c>
      <c r="B1743" s="85">
        <v>2029</v>
      </c>
      <c r="C1743" s="85">
        <v>10</v>
      </c>
      <c r="D1743" s="85" t="s">
        <v>75</v>
      </c>
      <c r="E1743" s="85">
        <v>3</v>
      </c>
      <c r="F1743" s="85">
        <v>3</v>
      </c>
      <c r="G1743" s="85">
        <f>--(F1743&lt;=Estimator!$B$7)</f>
        <v>1</v>
      </c>
      <c r="H1743" s="86">
        <f>SUMIFS('Climate Data'!$G$7:$G$366,'Climate Data'!$A$7:$A$366,Estimator!$B$4,'Climate Data'!$B$7:$B$366,C1743)</f>
        <v>0.23225806451612904</v>
      </c>
      <c r="I1743" s="87">
        <f>SUMIFS('Climate Data'!$H$7:$H$366,'Climate Data'!$A$7:$A$366,Estimator!$B$4,'Climate Data'!$B$7:$B$366,C1743)</f>
        <v>6.8194444444444446</v>
      </c>
      <c r="J1743" s="86">
        <f>SUMIFS('Wind Proxy'!$H$8:$H$19,'Wind Proxy'!$A$8:$A$19,Estimator!$B$4,'Wind Proxy'!$B$8:$B$19,C1743)</f>
        <v>0</v>
      </c>
    </row>
    <row r="1744" spans="1:10" ht="14.4">
      <c r="A1744" s="84">
        <v>47395</v>
      </c>
      <c r="B1744" s="85">
        <v>2029</v>
      </c>
      <c r="C1744" s="85">
        <v>10</v>
      </c>
      <c r="D1744" s="85" t="s">
        <v>75</v>
      </c>
      <c r="E1744" s="85">
        <v>4</v>
      </c>
      <c r="F1744" s="85">
        <v>4</v>
      </c>
      <c r="G1744" s="85">
        <f>--(F1744&lt;=Estimator!$B$7)</f>
        <v>1</v>
      </c>
      <c r="H1744" s="86">
        <f>SUMIFS('Climate Data'!$G$7:$G$366,'Climate Data'!$A$7:$A$366,Estimator!$B$4,'Climate Data'!$B$7:$B$366,C1744)</f>
        <v>0.23225806451612904</v>
      </c>
      <c r="I1744" s="87">
        <f>SUMIFS('Climate Data'!$H$7:$H$366,'Climate Data'!$A$7:$A$366,Estimator!$B$4,'Climate Data'!$B$7:$B$366,C1744)</f>
        <v>6.8194444444444446</v>
      </c>
      <c r="J1744" s="86">
        <f>SUMIFS('Wind Proxy'!$H$8:$H$19,'Wind Proxy'!$A$8:$A$19,Estimator!$B$4,'Wind Proxy'!$B$8:$B$19,C1744)</f>
        <v>0</v>
      </c>
    </row>
    <row r="1745" spans="1:10" ht="14.4">
      <c r="A1745" s="84">
        <v>47396</v>
      </c>
      <c r="B1745" s="85">
        <v>2029</v>
      </c>
      <c r="C1745" s="85">
        <v>10</v>
      </c>
      <c r="D1745" s="85" t="s">
        <v>75</v>
      </c>
      <c r="E1745" s="85">
        <v>5</v>
      </c>
      <c r="F1745" s="85">
        <v>5</v>
      </c>
      <c r="G1745" s="85">
        <f>--(F1745&lt;=Estimator!$B$7)</f>
        <v>1</v>
      </c>
      <c r="H1745" s="86">
        <f>SUMIFS('Climate Data'!$G$7:$G$366,'Climate Data'!$A$7:$A$366,Estimator!$B$4,'Climate Data'!$B$7:$B$366,C1745)</f>
        <v>0.23225806451612904</v>
      </c>
      <c r="I1745" s="87">
        <f>SUMIFS('Climate Data'!$H$7:$H$366,'Climate Data'!$A$7:$A$366,Estimator!$B$4,'Climate Data'!$B$7:$B$366,C1745)</f>
        <v>6.8194444444444446</v>
      </c>
      <c r="J1745" s="86">
        <f>SUMIFS('Wind Proxy'!$H$8:$H$19,'Wind Proxy'!$A$8:$A$19,Estimator!$B$4,'Wind Proxy'!$B$8:$B$19,C1745)</f>
        <v>0</v>
      </c>
    </row>
    <row r="1746" spans="1:10" ht="14.4">
      <c r="A1746" s="84">
        <v>47397</v>
      </c>
      <c r="B1746" s="85">
        <v>2029</v>
      </c>
      <c r="C1746" s="85">
        <v>10</v>
      </c>
      <c r="D1746" s="85" t="s">
        <v>75</v>
      </c>
      <c r="E1746" s="85">
        <v>6</v>
      </c>
      <c r="F1746" s="85">
        <v>6</v>
      </c>
      <c r="G1746" s="85">
        <f>--(F1746&lt;=Estimator!$B$7)</f>
        <v>0</v>
      </c>
      <c r="H1746" s="86">
        <f>SUMIFS('Climate Data'!$G$7:$G$366,'Climate Data'!$A$7:$A$366,Estimator!$B$4,'Climate Data'!$B$7:$B$366,C1746)</f>
        <v>0.23225806451612904</v>
      </c>
      <c r="I1746" s="87">
        <f>SUMIFS('Climate Data'!$H$7:$H$366,'Climate Data'!$A$7:$A$366,Estimator!$B$4,'Climate Data'!$B$7:$B$366,C1746)</f>
        <v>6.8194444444444446</v>
      </c>
      <c r="J1746" s="86">
        <f>SUMIFS('Wind Proxy'!$H$8:$H$19,'Wind Proxy'!$A$8:$A$19,Estimator!$B$4,'Wind Proxy'!$B$8:$B$19,C1746)</f>
        <v>0</v>
      </c>
    </row>
    <row r="1747" spans="1:10" ht="14.4">
      <c r="A1747" s="84">
        <v>47398</v>
      </c>
      <c r="B1747" s="85">
        <v>2029</v>
      </c>
      <c r="C1747" s="85">
        <v>10</v>
      </c>
      <c r="D1747" s="85" t="s">
        <v>75</v>
      </c>
      <c r="E1747" s="85">
        <v>7</v>
      </c>
      <c r="F1747" s="85">
        <v>7</v>
      </c>
      <c r="G1747" s="85">
        <f>--(F1747&lt;=Estimator!$B$7)</f>
        <v>0</v>
      </c>
      <c r="H1747" s="86">
        <f>SUMIFS('Climate Data'!$G$7:$G$366,'Climate Data'!$A$7:$A$366,Estimator!$B$4,'Climate Data'!$B$7:$B$366,C1747)</f>
        <v>0.23225806451612904</v>
      </c>
      <c r="I1747" s="87">
        <f>SUMIFS('Climate Data'!$H$7:$H$366,'Climate Data'!$A$7:$A$366,Estimator!$B$4,'Climate Data'!$B$7:$B$366,C1747)</f>
        <v>6.8194444444444446</v>
      </c>
      <c r="J1747" s="86">
        <f>SUMIFS('Wind Proxy'!$H$8:$H$19,'Wind Proxy'!$A$8:$A$19,Estimator!$B$4,'Wind Proxy'!$B$8:$B$19,C1747)</f>
        <v>0</v>
      </c>
    </row>
    <row r="1748" spans="1:10" ht="14.4">
      <c r="A1748" s="84">
        <v>47399</v>
      </c>
      <c r="B1748" s="85">
        <v>2029</v>
      </c>
      <c r="C1748" s="85">
        <v>10</v>
      </c>
      <c r="D1748" s="85" t="s">
        <v>75</v>
      </c>
      <c r="E1748" s="85">
        <v>8</v>
      </c>
      <c r="F1748" s="85">
        <v>1</v>
      </c>
      <c r="G1748" s="85">
        <f>--(F1748&lt;=Estimator!$B$7)</f>
        <v>1</v>
      </c>
      <c r="H1748" s="86">
        <f>SUMIFS('Climate Data'!$G$7:$G$366,'Climate Data'!$A$7:$A$366,Estimator!$B$4,'Climate Data'!$B$7:$B$366,C1748)</f>
        <v>0.23225806451612904</v>
      </c>
      <c r="I1748" s="87">
        <f>SUMIFS('Climate Data'!$H$7:$H$366,'Climate Data'!$A$7:$A$366,Estimator!$B$4,'Climate Data'!$B$7:$B$366,C1748)</f>
        <v>6.8194444444444446</v>
      </c>
      <c r="J1748" s="86">
        <f>SUMIFS('Wind Proxy'!$H$8:$H$19,'Wind Proxy'!$A$8:$A$19,Estimator!$B$4,'Wind Proxy'!$B$8:$B$19,C1748)</f>
        <v>0</v>
      </c>
    </row>
    <row r="1749" spans="1:10" ht="14.4">
      <c r="A1749" s="84">
        <v>47400</v>
      </c>
      <c r="B1749" s="85">
        <v>2029</v>
      </c>
      <c r="C1749" s="85">
        <v>10</v>
      </c>
      <c r="D1749" s="85" t="s">
        <v>75</v>
      </c>
      <c r="E1749" s="85">
        <v>9</v>
      </c>
      <c r="F1749" s="85">
        <v>2</v>
      </c>
      <c r="G1749" s="85">
        <f>--(F1749&lt;=Estimator!$B$7)</f>
        <v>1</v>
      </c>
      <c r="H1749" s="86">
        <f>SUMIFS('Climate Data'!$G$7:$G$366,'Climate Data'!$A$7:$A$366,Estimator!$B$4,'Climate Data'!$B$7:$B$366,C1749)</f>
        <v>0.23225806451612904</v>
      </c>
      <c r="I1749" s="87">
        <f>SUMIFS('Climate Data'!$H$7:$H$366,'Climate Data'!$A$7:$A$366,Estimator!$B$4,'Climate Data'!$B$7:$B$366,C1749)</f>
        <v>6.8194444444444446</v>
      </c>
      <c r="J1749" s="86">
        <f>SUMIFS('Wind Proxy'!$H$8:$H$19,'Wind Proxy'!$A$8:$A$19,Estimator!$B$4,'Wind Proxy'!$B$8:$B$19,C1749)</f>
        <v>0</v>
      </c>
    </row>
    <row r="1750" spans="1:10" ht="14.4">
      <c r="A1750" s="84">
        <v>47401</v>
      </c>
      <c r="B1750" s="85">
        <v>2029</v>
      </c>
      <c r="C1750" s="85">
        <v>10</v>
      </c>
      <c r="D1750" s="85" t="s">
        <v>75</v>
      </c>
      <c r="E1750" s="85">
        <v>10</v>
      </c>
      <c r="F1750" s="85">
        <v>3</v>
      </c>
      <c r="G1750" s="85">
        <f>--(F1750&lt;=Estimator!$B$7)</f>
        <v>1</v>
      </c>
      <c r="H1750" s="86">
        <f>SUMIFS('Climate Data'!$G$7:$G$366,'Climate Data'!$A$7:$A$366,Estimator!$B$4,'Climate Data'!$B$7:$B$366,C1750)</f>
        <v>0.23225806451612904</v>
      </c>
      <c r="I1750" s="87">
        <f>SUMIFS('Climate Data'!$H$7:$H$366,'Climate Data'!$A$7:$A$366,Estimator!$B$4,'Climate Data'!$B$7:$B$366,C1750)</f>
        <v>6.8194444444444446</v>
      </c>
      <c r="J1750" s="86">
        <f>SUMIFS('Wind Proxy'!$H$8:$H$19,'Wind Proxy'!$A$8:$A$19,Estimator!$B$4,'Wind Proxy'!$B$8:$B$19,C1750)</f>
        <v>0</v>
      </c>
    </row>
    <row r="1751" spans="1:10" ht="14.4">
      <c r="A1751" s="84">
        <v>47402</v>
      </c>
      <c r="B1751" s="85">
        <v>2029</v>
      </c>
      <c r="C1751" s="85">
        <v>10</v>
      </c>
      <c r="D1751" s="85" t="s">
        <v>75</v>
      </c>
      <c r="E1751" s="85">
        <v>11</v>
      </c>
      <c r="F1751" s="85">
        <v>4</v>
      </c>
      <c r="G1751" s="85">
        <f>--(F1751&lt;=Estimator!$B$7)</f>
        <v>1</v>
      </c>
      <c r="H1751" s="86">
        <f>SUMIFS('Climate Data'!$G$7:$G$366,'Climate Data'!$A$7:$A$366,Estimator!$B$4,'Climate Data'!$B$7:$B$366,C1751)</f>
        <v>0.23225806451612904</v>
      </c>
      <c r="I1751" s="87">
        <f>SUMIFS('Climate Data'!$H$7:$H$366,'Climate Data'!$A$7:$A$366,Estimator!$B$4,'Climate Data'!$B$7:$B$366,C1751)</f>
        <v>6.8194444444444446</v>
      </c>
      <c r="J1751" s="86">
        <f>SUMIFS('Wind Proxy'!$H$8:$H$19,'Wind Proxy'!$A$8:$A$19,Estimator!$B$4,'Wind Proxy'!$B$8:$B$19,C1751)</f>
        <v>0</v>
      </c>
    </row>
    <row r="1752" spans="1:10" ht="14.4">
      <c r="A1752" s="84">
        <v>47403</v>
      </c>
      <c r="B1752" s="85">
        <v>2029</v>
      </c>
      <c r="C1752" s="85">
        <v>10</v>
      </c>
      <c r="D1752" s="85" t="s">
        <v>75</v>
      </c>
      <c r="E1752" s="85">
        <v>12</v>
      </c>
      <c r="F1752" s="85">
        <v>5</v>
      </c>
      <c r="G1752" s="85">
        <f>--(F1752&lt;=Estimator!$B$7)</f>
        <v>1</v>
      </c>
      <c r="H1752" s="86">
        <f>SUMIFS('Climate Data'!$G$7:$G$366,'Climate Data'!$A$7:$A$366,Estimator!$B$4,'Climate Data'!$B$7:$B$366,C1752)</f>
        <v>0.23225806451612904</v>
      </c>
      <c r="I1752" s="87">
        <f>SUMIFS('Climate Data'!$H$7:$H$366,'Climate Data'!$A$7:$A$366,Estimator!$B$4,'Climate Data'!$B$7:$B$366,C1752)</f>
        <v>6.8194444444444446</v>
      </c>
      <c r="J1752" s="86">
        <f>SUMIFS('Wind Proxy'!$H$8:$H$19,'Wind Proxy'!$A$8:$A$19,Estimator!$B$4,'Wind Proxy'!$B$8:$B$19,C1752)</f>
        <v>0</v>
      </c>
    </row>
    <row r="1753" spans="1:10" ht="14.4">
      <c r="A1753" s="84">
        <v>47404</v>
      </c>
      <c r="B1753" s="85">
        <v>2029</v>
      </c>
      <c r="C1753" s="85">
        <v>10</v>
      </c>
      <c r="D1753" s="85" t="s">
        <v>75</v>
      </c>
      <c r="E1753" s="85">
        <v>13</v>
      </c>
      <c r="F1753" s="85">
        <v>6</v>
      </c>
      <c r="G1753" s="85">
        <f>--(F1753&lt;=Estimator!$B$7)</f>
        <v>0</v>
      </c>
      <c r="H1753" s="86">
        <f>SUMIFS('Climate Data'!$G$7:$G$366,'Climate Data'!$A$7:$A$366,Estimator!$B$4,'Climate Data'!$B$7:$B$366,C1753)</f>
        <v>0.23225806451612904</v>
      </c>
      <c r="I1753" s="87">
        <f>SUMIFS('Climate Data'!$H$7:$H$366,'Climate Data'!$A$7:$A$366,Estimator!$B$4,'Climate Data'!$B$7:$B$366,C1753)</f>
        <v>6.8194444444444446</v>
      </c>
      <c r="J1753" s="86">
        <f>SUMIFS('Wind Proxy'!$H$8:$H$19,'Wind Proxy'!$A$8:$A$19,Estimator!$B$4,'Wind Proxy'!$B$8:$B$19,C1753)</f>
        <v>0</v>
      </c>
    </row>
    <row r="1754" spans="1:10" ht="14.4">
      <c r="A1754" s="84">
        <v>47405</v>
      </c>
      <c r="B1754" s="85">
        <v>2029</v>
      </c>
      <c r="C1754" s="85">
        <v>10</v>
      </c>
      <c r="D1754" s="85" t="s">
        <v>75</v>
      </c>
      <c r="E1754" s="85">
        <v>14</v>
      </c>
      <c r="F1754" s="85">
        <v>7</v>
      </c>
      <c r="G1754" s="85">
        <f>--(F1754&lt;=Estimator!$B$7)</f>
        <v>0</v>
      </c>
      <c r="H1754" s="86">
        <f>SUMIFS('Climate Data'!$G$7:$G$366,'Climate Data'!$A$7:$A$366,Estimator!$B$4,'Climate Data'!$B$7:$B$366,C1754)</f>
        <v>0.23225806451612904</v>
      </c>
      <c r="I1754" s="87">
        <f>SUMIFS('Climate Data'!$H$7:$H$366,'Climate Data'!$A$7:$A$366,Estimator!$B$4,'Climate Data'!$B$7:$B$366,C1754)</f>
        <v>6.8194444444444446</v>
      </c>
      <c r="J1754" s="86">
        <f>SUMIFS('Wind Proxy'!$H$8:$H$19,'Wind Proxy'!$A$8:$A$19,Estimator!$B$4,'Wind Proxy'!$B$8:$B$19,C1754)</f>
        <v>0</v>
      </c>
    </row>
    <row r="1755" spans="1:10" ht="14.4">
      <c r="A1755" s="84">
        <v>47406</v>
      </c>
      <c r="B1755" s="85">
        <v>2029</v>
      </c>
      <c r="C1755" s="85">
        <v>10</v>
      </c>
      <c r="D1755" s="85" t="s">
        <v>75</v>
      </c>
      <c r="E1755" s="85">
        <v>15</v>
      </c>
      <c r="F1755" s="85">
        <v>1</v>
      </c>
      <c r="G1755" s="85">
        <f>--(F1755&lt;=Estimator!$B$7)</f>
        <v>1</v>
      </c>
      <c r="H1755" s="86">
        <f>SUMIFS('Climate Data'!$G$7:$G$366,'Climate Data'!$A$7:$A$366,Estimator!$B$4,'Climate Data'!$B$7:$B$366,C1755)</f>
        <v>0.23225806451612904</v>
      </c>
      <c r="I1755" s="87">
        <f>SUMIFS('Climate Data'!$H$7:$H$366,'Climate Data'!$A$7:$A$366,Estimator!$B$4,'Climate Data'!$B$7:$B$366,C1755)</f>
        <v>6.8194444444444446</v>
      </c>
      <c r="J1755" s="86">
        <f>SUMIFS('Wind Proxy'!$H$8:$H$19,'Wind Proxy'!$A$8:$A$19,Estimator!$B$4,'Wind Proxy'!$B$8:$B$19,C1755)</f>
        <v>0</v>
      </c>
    </row>
    <row r="1756" spans="1:10" ht="14.4">
      <c r="A1756" s="84">
        <v>47407</v>
      </c>
      <c r="B1756" s="85">
        <v>2029</v>
      </c>
      <c r="C1756" s="85">
        <v>10</v>
      </c>
      <c r="D1756" s="85" t="s">
        <v>75</v>
      </c>
      <c r="E1756" s="85">
        <v>16</v>
      </c>
      <c r="F1756" s="85">
        <v>2</v>
      </c>
      <c r="G1756" s="85">
        <f>--(F1756&lt;=Estimator!$B$7)</f>
        <v>1</v>
      </c>
      <c r="H1756" s="86">
        <f>SUMIFS('Climate Data'!$G$7:$G$366,'Climate Data'!$A$7:$A$366,Estimator!$B$4,'Climate Data'!$B$7:$B$366,C1756)</f>
        <v>0.23225806451612904</v>
      </c>
      <c r="I1756" s="87">
        <f>SUMIFS('Climate Data'!$H$7:$H$366,'Climate Data'!$A$7:$A$366,Estimator!$B$4,'Climate Data'!$B$7:$B$366,C1756)</f>
        <v>6.8194444444444446</v>
      </c>
      <c r="J1756" s="86">
        <f>SUMIFS('Wind Proxy'!$H$8:$H$19,'Wind Proxy'!$A$8:$A$19,Estimator!$B$4,'Wind Proxy'!$B$8:$B$19,C1756)</f>
        <v>0</v>
      </c>
    </row>
    <row r="1757" spans="1:10" ht="14.4">
      <c r="A1757" s="84">
        <v>47408</v>
      </c>
      <c r="B1757" s="85">
        <v>2029</v>
      </c>
      <c r="C1757" s="85">
        <v>10</v>
      </c>
      <c r="D1757" s="85" t="s">
        <v>75</v>
      </c>
      <c r="E1757" s="85">
        <v>17</v>
      </c>
      <c r="F1757" s="85">
        <v>3</v>
      </c>
      <c r="G1757" s="85">
        <f>--(F1757&lt;=Estimator!$B$7)</f>
        <v>1</v>
      </c>
      <c r="H1757" s="86">
        <f>SUMIFS('Climate Data'!$G$7:$G$366,'Climate Data'!$A$7:$A$366,Estimator!$B$4,'Climate Data'!$B$7:$B$366,C1757)</f>
        <v>0.23225806451612904</v>
      </c>
      <c r="I1757" s="87">
        <f>SUMIFS('Climate Data'!$H$7:$H$366,'Climate Data'!$A$7:$A$366,Estimator!$B$4,'Climate Data'!$B$7:$B$366,C1757)</f>
        <v>6.8194444444444446</v>
      </c>
      <c r="J1757" s="86">
        <f>SUMIFS('Wind Proxy'!$H$8:$H$19,'Wind Proxy'!$A$8:$A$19,Estimator!$B$4,'Wind Proxy'!$B$8:$B$19,C1757)</f>
        <v>0</v>
      </c>
    </row>
    <row r="1758" spans="1:10" ht="14.4">
      <c r="A1758" s="84">
        <v>47409</v>
      </c>
      <c r="B1758" s="85">
        <v>2029</v>
      </c>
      <c r="C1758" s="85">
        <v>10</v>
      </c>
      <c r="D1758" s="85" t="s">
        <v>75</v>
      </c>
      <c r="E1758" s="85">
        <v>18</v>
      </c>
      <c r="F1758" s="85">
        <v>4</v>
      </c>
      <c r="G1758" s="85">
        <f>--(F1758&lt;=Estimator!$B$7)</f>
        <v>1</v>
      </c>
      <c r="H1758" s="86">
        <f>SUMIFS('Climate Data'!$G$7:$G$366,'Climate Data'!$A$7:$A$366,Estimator!$B$4,'Climate Data'!$B$7:$B$366,C1758)</f>
        <v>0.23225806451612904</v>
      </c>
      <c r="I1758" s="87">
        <f>SUMIFS('Climate Data'!$H$7:$H$366,'Climate Data'!$A$7:$A$366,Estimator!$B$4,'Climate Data'!$B$7:$B$366,C1758)</f>
        <v>6.8194444444444446</v>
      </c>
      <c r="J1758" s="86">
        <f>SUMIFS('Wind Proxy'!$H$8:$H$19,'Wind Proxy'!$A$8:$A$19,Estimator!$B$4,'Wind Proxy'!$B$8:$B$19,C1758)</f>
        <v>0</v>
      </c>
    </row>
    <row r="1759" spans="1:10" ht="14.4">
      <c r="A1759" s="84">
        <v>47410</v>
      </c>
      <c r="B1759" s="85">
        <v>2029</v>
      </c>
      <c r="C1759" s="85">
        <v>10</v>
      </c>
      <c r="D1759" s="85" t="s">
        <v>75</v>
      </c>
      <c r="E1759" s="85">
        <v>19</v>
      </c>
      <c r="F1759" s="85">
        <v>5</v>
      </c>
      <c r="G1759" s="85">
        <f>--(F1759&lt;=Estimator!$B$7)</f>
        <v>1</v>
      </c>
      <c r="H1759" s="86">
        <f>SUMIFS('Climate Data'!$G$7:$G$366,'Climate Data'!$A$7:$A$366,Estimator!$B$4,'Climate Data'!$B$7:$B$366,C1759)</f>
        <v>0.23225806451612904</v>
      </c>
      <c r="I1759" s="87">
        <f>SUMIFS('Climate Data'!$H$7:$H$366,'Climate Data'!$A$7:$A$366,Estimator!$B$4,'Climate Data'!$B$7:$B$366,C1759)</f>
        <v>6.8194444444444446</v>
      </c>
      <c r="J1759" s="86">
        <f>SUMIFS('Wind Proxy'!$H$8:$H$19,'Wind Proxy'!$A$8:$A$19,Estimator!$B$4,'Wind Proxy'!$B$8:$B$19,C1759)</f>
        <v>0</v>
      </c>
    </row>
    <row r="1760" spans="1:10" ht="14.4">
      <c r="A1760" s="84">
        <v>47411</v>
      </c>
      <c r="B1760" s="85">
        <v>2029</v>
      </c>
      <c r="C1760" s="85">
        <v>10</v>
      </c>
      <c r="D1760" s="85" t="s">
        <v>75</v>
      </c>
      <c r="E1760" s="85">
        <v>20</v>
      </c>
      <c r="F1760" s="85">
        <v>6</v>
      </c>
      <c r="G1760" s="85">
        <f>--(F1760&lt;=Estimator!$B$7)</f>
        <v>0</v>
      </c>
      <c r="H1760" s="86">
        <f>SUMIFS('Climate Data'!$G$7:$G$366,'Climate Data'!$A$7:$A$366,Estimator!$B$4,'Climate Data'!$B$7:$B$366,C1760)</f>
        <v>0.23225806451612904</v>
      </c>
      <c r="I1760" s="87">
        <f>SUMIFS('Climate Data'!$H$7:$H$366,'Climate Data'!$A$7:$A$366,Estimator!$B$4,'Climate Data'!$B$7:$B$366,C1760)</f>
        <v>6.8194444444444446</v>
      </c>
      <c r="J1760" s="86">
        <f>SUMIFS('Wind Proxy'!$H$8:$H$19,'Wind Proxy'!$A$8:$A$19,Estimator!$B$4,'Wind Proxy'!$B$8:$B$19,C1760)</f>
        <v>0</v>
      </c>
    </row>
    <row r="1761" spans="1:10" ht="14.4">
      <c r="A1761" s="84">
        <v>47412</v>
      </c>
      <c r="B1761" s="85">
        <v>2029</v>
      </c>
      <c r="C1761" s="85">
        <v>10</v>
      </c>
      <c r="D1761" s="85" t="s">
        <v>75</v>
      </c>
      <c r="E1761" s="85">
        <v>21</v>
      </c>
      <c r="F1761" s="85">
        <v>7</v>
      </c>
      <c r="G1761" s="85">
        <f>--(F1761&lt;=Estimator!$B$7)</f>
        <v>0</v>
      </c>
      <c r="H1761" s="86">
        <f>SUMIFS('Climate Data'!$G$7:$G$366,'Climate Data'!$A$7:$A$366,Estimator!$B$4,'Climate Data'!$B$7:$B$366,C1761)</f>
        <v>0.23225806451612904</v>
      </c>
      <c r="I1761" s="87">
        <f>SUMIFS('Climate Data'!$H$7:$H$366,'Climate Data'!$A$7:$A$366,Estimator!$B$4,'Climate Data'!$B$7:$B$366,C1761)</f>
        <v>6.8194444444444446</v>
      </c>
      <c r="J1761" s="86">
        <f>SUMIFS('Wind Proxy'!$H$8:$H$19,'Wind Proxy'!$A$8:$A$19,Estimator!$B$4,'Wind Proxy'!$B$8:$B$19,C1761)</f>
        <v>0</v>
      </c>
    </row>
    <row r="1762" spans="1:10" ht="14.4">
      <c r="A1762" s="84">
        <v>47413</v>
      </c>
      <c r="B1762" s="85">
        <v>2029</v>
      </c>
      <c r="C1762" s="85">
        <v>10</v>
      </c>
      <c r="D1762" s="85" t="s">
        <v>75</v>
      </c>
      <c r="E1762" s="85">
        <v>22</v>
      </c>
      <c r="F1762" s="85">
        <v>1</v>
      </c>
      <c r="G1762" s="85">
        <f>--(F1762&lt;=Estimator!$B$7)</f>
        <v>1</v>
      </c>
      <c r="H1762" s="86">
        <f>SUMIFS('Climate Data'!$G$7:$G$366,'Climate Data'!$A$7:$A$366,Estimator!$B$4,'Climate Data'!$B$7:$B$366,C1762)</f>
        <v>0.23225806451612904</v>
      </c>
      <c r="I1762" s="87">
        <f>SUMIFS('Climate Data'!$H$7:$H$366,'Climate Data'!$A$7:$A$366,Estimator!$B$4,'Climate Data'!$B$7:$B$366,C1762)</f>
        <v>6.8194444444444446</v>
      </c>
      <c r="J1762" s="86">
        <f>SUMIFS('Wind Proxy'!$H$8:$H$19,'Wind Proxy'!$A$8:$A$19,Estimator!$B$4,'Wind Proxy'!$B$8:$B$19,C1762)</f>
        <v>0</v>
      </c>
    </row>
    <row r="1763" spans="1:10" ht="14.4">
      <c r="A1763" s="84">
        <v>47414</v>
      </c>
      <c r="B1763" s="85">
        <v>2029</v>
      </c>
      <c r="C1763" s="85">
        <v>10</v>
      </c>
      <c r="D1763" s="85" t="s">
        <v>75</v>
      </c>
      <c r="E1763" s="85">
        <v>23</v>
      </c>
      <c r="F1763" s="85">
        <v>2</v>
      </c>
      <c r="G1763" s="85">
        <f>--(F1763&lt;=Estimator!$B$7)</f>
        <v>1</v>
      </c>
      <c r="H1763" s="86">
        <f>SUMIFS('Climate Data'!$G$7:$G$366,'Climate Data'!$A$7:$A$366,Estimator!$B$4,'Climate Data'!$B$7:$B$366,C1763)</f>
        <v>0.23225806451612904</v>
      </c>
      <c r="I1763" s="87">
        <f>SUMIFS('Climate Data'!$H$7:$H$366,'Climate Data'!$A$7:$A$366,Estimator!$B$4,'Climate Data'!$B$7:$B$366,C1763)</f>
        <v>6.8194444444444446</v>
      </c>
      <c r="J1763" s="86">
        <f>SUMIFS('Wind Proxy'!$H$8:$H$19,'Wind Proxy'!$A$8:$A$19,Estimator!$B$4,'Wind Proxy'!$B$8:$B$19,C1763)</f>
        <v>0</v>
      </c>
    </row>
    <row r="1764" spans="1:10" ht="14.4">
      <c r="A1764" s="84">
        <v>47415</v>
      </c>
      <c r="B1764" s="85">
        <v>2029</v>
      </c>
      <c r="C1764" s="85">
        <v>10</v>
      </c>
      <c r="D1764" s="85" t="s">
        <v>75</v>
      </c>
      <c r="E1764" s="85">
        <v>24</v>
      </c>
      <c r="F1764" s="85">
        <v>3</v>
      </c>
      <c r="G1764" s="85">
        <f>--(F1764&lt;=Estimator!$B$7)</f>
        <v>1</v>
      </c>
      <c r="H1764" s="86">
        <f>SUMIFS('Climate Data'!$G$7:$G$366,'Climate Data'!$A$7:$A$366,Estimator!$B$4,'Climate Data'!$B$7:$B$366,C1764)</f>
        <v>0.23225806451612904</v>
      </c>
      <c r="I1764" s="87">
        <f>SUMIFS('Climate Data'!$H$7:$H$366,'Climate Data'!$A$7:$A$366,Estimator!$B$4,'Climate Data'!$B$7:$B$366,C1764)</f>
        <v>6.8194444444444446</v>
      </c>
      <c r="J1764" s="86">
        <f>SUMIFS('Wind Proxy'!$H$8:$H$19,'Wind Proxy'!$A$8:$A$19,Estimator!$B$4,'Wind Proxy'!$B$8:$B$19,C1764)</f>
        <v>0</v>
      </c>
    </row>
    <row r="1765" spans="1:10" ht="14.4">
      <c r="A1765" s="84">
        <v>47416</v>
      </c>
      <c r="B1765" s="85">
        <v>2029</v>
      </c>
      <c r="C1765" s="85">
        <v>10</v>
      </c>
      <c r="D1765" s="85" t="s">
        <v>75</v>
      </c>
      <c r="E1765" s="85">
        <v>25</v>
      </c>
      <c r="F1765" s="85">
        <v>4</v>
      </c>
      <c r="G1765" s="85">
        <f>--(F1765&lt;=Estimator!$B$7)</f>
        <v>1</v>
      </c>
      <c r="H1765" s="86">
        <f>SUMIFS('Climate Data'!$G$7:$G$366,'Climate Data'!$A$7:$A$366,Estimator!$B$4,'Climate Data'!$B$7:$B$366,C1765)</f>
        <v>0.23225806451612904</v>
      </c>
      <c r="I1765" s="87">
        <f>SUMIFS('Climate Data'!$H$7:$H$366,'Climate Data'!$A$7:$A$366,Estimator!$B$4,'Climate Data'!$B$7:$B$366,C1765)</f>
        <v>6.8194444444444446</v>
      </c>
      <c r="J1765" s="86">
        <f>SUMIFS('Wind Proxy'!$H$8:$H$19,'Wind Proxy'!$A$8:$A$19,Estimator!$B$4,'Wind Proxy'!$B$8:$B$19,C1765)</f>
        <v>0</v>
      </c>
    </row>
    <row r="1766" spans="1:10" ht="14.4">
      <c r="A1766" s="84">
        <v>47417</v>
      </c>
      <c r="B1766" s="85">
        <v>2029</v>
      </c>
      <c r="C1766" s="85">
        <v>10</v>
      </c>
      <c r="D1766" s="85" t="s">
        <v>75</v>
      </c>
      <c r="E1766" s="85">
        <v>26</v>
      </c>
      <c r="F1766" s="85">
        <v>5</v>
      </c>
      <c r="G1766" s="85">
        <f>--(F1766&lt;=Estimator!$B$7)</f>
        <v>1</v>
      </c>
      <c r="H1766" s="86">
        <f>SUMIFS('Climate Data'!$G$7:$G$366,'Climate Data'!$A$7:$A$366,Estimator!$B$4,'Climate Data'!$B$7:$B$366,C1766)</f>
        <v>0.23225806451612904</v>
      </c>
      <c r="I1766" s="87">
        <f>SUMIFS('Climate Data'!$H$7:$H$366,'Climate Data'!$A$7:$A$366,Estimator!$B$4,'Climate Data'!$B$7:$B$366,C1766)</f>
        <v>6.8194444444444446</v>
      </c>
      <c r="J1766" s="86">
        <f>SUMIFS('Wind Proxy'!$H$8:$H$19,'Wind Proxy'!$A$8:$A$19,Estimator!$B$4,'Wind Proxy'!$B$8:$B$19,C1766)</f>
        <v>0</v>
      </c>
    </row>
    <row r="1767" spans="1:10" ht="14.4">
      <c r="A1767" s="84">
        <v>47418</v>
      </c>
      <c r="B1767" s="85">
        <v>2029</v>
      </c>
      <c r="C1767" s="85">
        <v>10</v>
      </c>
      <c r="D1767" s="85" t="s">
        <v>75</v>
      </c>
      <c r="E1767" s="85">
        <v>27</v>
      </c>
      <c r="F1767" s="85">
        <v>6</v>
      </c>
      <c r="G1767" s="85">
        <f>--(F1767&lt;=Estimator!$B$7)</f>
        <v>0</v>
      </c>
      <c r="H1767" s="86">
        <f>SUMIFS('Climate Data'!$G$7:$G$366,'Climate Data'!$A$7:$A$366,Estimator!$B$4,'Climate Data'!$B$7:$B$366,C1767)</f>
        <v>0.23225806451612904</v>
      </c>
      <c r="I1767" s="87">
        <f>SUMIFS('Climate Data'!$H$7:$H$366,'Climate Data'!$A$7:$A$366,Estimator!$B$4,'Climate Data'!$B$7:$B$366,C1767)</f>
        <v>6.8194444444444446</v>
      </c>
      <c r="J1767" s="86">
        <f>SUMIFS('Wind Proxy'!$H$8:$H$19,'Wind Proxy'!$A$8:$A$19,Estimator!$B$4,'Wind Proxy'!$B$8:$B$19,C1767)</f>
        <v>0</v>
      </c>
    </row>
    <row r="1768" spans="1:10" ht="14.4">
      <c r="A1768" s="84">
        <v>47419</v>
      </c>
      <c r="B1768" s="85">
        <v>2029</v>
      </c>
      <c r="C1768" s="85">
        <v>10</v>
      </c>
      <c r="D1768" s="85" t="s">
        <v>75</v>
      </c>
      <c r="E1768" s="85">
        <v>28</v>
      </c>
      <c r="F1768" s="85">
        <v>7</v>
      </c>
      <c r="G1768" s="85">
        <f>--(F1768&lt;=Estimator!$B$7)</f>
        <v>0</v>
      </c>
      <c r="H1768" s="86">
        <f>SUMIFS('Climate Data'!$G$7:$G$366,'Climate Data'!$A$7:$A$366,Estimator!$B$4,'Climate Data'!$B$7:$B$366,C1768)</f>
        <v>0.23225806451612904</v>
      </c>
      <c r="I1768" s="87">
        <f>SUMIFS('Climate Data'!$H$7:$H$366,'Climate Data'!$A$7:$A$366,Estimator!$B$4,'Climate Data'!$B$7:$B$366,C1768)</f>
        <v>6.8194444444444446</v>
      </c>
      <c r="J1768" s="86">
        <f>SUMIFS('Wind Proxy'!$H$8:$H$19,'Wind Proxy'!$A$8:$A$19,Estimator!$B$4,'Wind Proxy'!$B$8:$B$19,C1768)</f>
        <v>0</v>
      </c>
    </row>
    <row r="1769" spans="1:10" ht="14.4">
      <c r="A1769" s="84">
        <v>47420</v>
      </c>
      <c r="B1769" s="85">
        <v>2029</v>
      </c>
      <c r="C1769" s="85">
        <v>10</v>
      </c>
      <c r="D1769" s="85" t="s">
        <v>75</v>
      </c>
      <c r="E1769" s="85">
        <v>29</v>
      </c>
      <c r="F1769" s="85">
        <v>1</v>
      </c>
      <c r="G1769" s="85">
        <f>--(F1769&lt;=Estimator!$B$7)</f>
        <v>1</v>
      </c>
      <c r="H1769" s="86">
        <f>SUMIFS('Climate Data'!$G$7:$G$366,'Climate Data'!$A$7:$A$366,Estimator!$B$4,'Climate Data'!$B$7:$B$366,C1769)</f>
        <v>0.23225806451612904</v>
      </c>
      <c r="I1769" s="87">
        <f>SUMIFS('Climate Data'!$H$7:$H$366,'Climate Data'!$A$7:$A$366,Estimator!$B$4,'Climate Data'!$B$7:$B$366,C1769)</f>
        <v>6.8194444444444446</v>
      </c>
      <c r="J1769" s="86">
        <f>SUMIFS('Wind Proxy'!$H$8:$H$19,'Wind Proxy'!$A$8:$A$19,Estimator!$B$4,'Wind Proxy'!$B$8:$B$19,C1769)</f>
        <v>0</v>
      </c>
    </row>
    <row r="1770" spans="1:10" ht="14.4">
      <c r="A1770" s="84">
        <v>47421</v>
      </c>
      <c r="B1770" s="85">
        <v>2029</v>
      </c>
      <c r="C1770" s="85">
        <v>10</v>
      </c>
      <c r="D1770" s="85" t="s">
        <v>75</v>
      </c>
      <c r="E1770" s="85">
        <v>30</v>
      </c>
      <c r="F1770" s="85">
        <v>2</v>
      </c>
      <c r="G1770" s="85">
        <f>--(F1770&lt;=Estimator!$B$7)</f>
        <v>1</v>
      </c>
      <c r="H1770" s="86">
        <f>SUMIFS('Climate Data'!$G$7:$G$366,'Climate Data'!$A$7:$A$366,Estimator!$B$4,'Climate Data'!$B$7:$B$366,C1770)</f>
        <v>0.23225806451612904</v>
      </c>
      <c r="I1770" s="87">
        <f>SUMIFS('Climate Data'!$H$7:$H$366,'Climate Data'!$A$7:$A$366,Estimator!$B$4,'Climate Data'!$B$7:$B$366,C1770)</f>
        <v>6.8194444444444446</v>
      </c>
      <c r="J1770" s="86">
        <f>SUMIFS('Wind Proxy'!$H$8:$H$19,'Wind Proxy'!$A$8:$A$19,Estimator!$B$4,'Wind Proxy'!$B$8:$B$19,C1770)</f>
        <v>0</v>
      </c>
    </row>
    <row r="1771" spans="1:10" ht="14.4">
      <c r="A1771" s="84">
        <v>47422</v>
      </c>
      <c r="B1771" s="85">
        <v>2029</v>
      </c>
      <c r="C1771" s="85">
        <v>10</v>
      </c>
      <c r="D1771" s="85" t="s">
        <v>75</v>
      </c>
      <c r="E1771" s="85">
        <v>31</v>
      </c>
      <c r="F1771" s="85">
        <v>3</v>
      </c>
      <c r="G1771" s="85">
        <f>--(F1771&lt;=Estimator!$B$7)</f>
        <v>1</v>
      </c>
      <c r="H1771" s="86">
        <f>SUMIFS('Climate Data'!$G$7:$G$366,'Climate Data'!$A$7:$A$366,Estimator!$B$4,'Climate Data'!$B$7:$B$366,C1771)</f>
        <v>0.23225806451612904</v>
      </c>
      <c r="I1771" s="87">
        <f>SUMIFS('Climate Data'!$H$7:$H$366,'Climate Data'!$A$7:$A$366,Estimator!$B$4,'Climate Data'!$B$7:$B$366,C1771)</f>
        <v>6.8194444444444446</v>
      </c>
      <c r="J1771" s="86">
        <f>SUMIFS('Wind Proxy'!$H$8:$H$19,'Wind Proxy'!$A$8:$A$19,Estimator!$B$4,'Wind Proxy'!$B$8:$B$19,C1771)</f>
        <v>0</v>
      </c>
    </row>
    <row r="1772" spans="1:10" ht="14.4">
      <c r="A1772" s="84">
        <v>47423</v>
      </c>
      <c r="B1772" s="85">
        <v>2029</v>
      </c>
      <c r="C1772" s="85">
        <v>11</v>
      </c>
      <c r="D1772" s="85" t="s">
        <v>76</v>
      </c>
      <c r="E1772" s="85">
        <v>1</v>
      </c>
      <c r="F1772" s="85">
        <v>4</v>
      </c>
      <c r="G1772" s="85">
        <f>--(F1772&lt;=Estimator!$B$7)</f>
        <v>1</v>
      </c>
      <c r="H1772" s="86">
        <f>SUMIFS('Climate Data'!$G$7:$G$366,'Climate Data'!$A$7:$A$366,Estimator!$B$4,'Climate Data'!$B$7:$B$366,C1772)</f>
        <v>0.23333333333333334</v>
      </c>
      <c r="I1772" s="87">
        <f>SUMIFS('Climate Data'!$H$7:$H$366,'Climate Data'!$A$7:$A$366,Estimator!$B$4,'Climate Data'!$B$7:$B$366,C1772)</f>
        <v>6.4428571428571431</v>
      </c>
      <c r="J1772" s="86">
        <f>SUMIFS('Wind Proxy'!$H$8:$H$19,'Wind Proxy'!$A$8:$A$19,Estimator!$B$4,'Wind Proxy'!$B$8:$B$19,C1772)</f>
        <v>0</v>
      </c>
    </row>
    <row r="1773" spans="1:10" ht="14.4">
      <c r="A1773" s="84">
        <v>47424</v>
      </c>
      <c r="B1773" s="85">
        <v>2029</v>
      </c>
      <c r="C1773" s="85">
        <v>11</v>
      </c>
      <c r="D1773" s="85" t="s">
        <v>76</v>
      </c>
      <c r="E1773" s="85">
        <v>2</v>
      </c>
      <c r="F1773" s="85">
        <v>5</v>
      </c>
      <c r="G1773" s="85">
        <f>--(F1773&lt;=Estimator!$B$7)</f>
        <v>1</v>
      </c>
      <c r="H1773" s="86">
        <f>SUMIFS('Climate Data'!$G$7:$G$366,'Climate Data'!$A$7:$A$366,Estimator!$B$4,'Climate Data'!$B$7:$B$366,C1773)</f>
        <v>0.23333333333333334</v>
      </c>
      <c r="I1773" s="87">
        <f>SUMIFS('Climate Data'!$H$7:$H$366,'Climate Data'!$A$7:$A$366,Estimator!$B$4,'Climate Data'!$B$7:$B$366,C1773)</f>
        <v>6.4428571428571431</v>
      </c>
      <c r="J1773" s="86">
        <f>SUMIFS('Wind Proxy'!$H$8:$H$19,'Wind Proxy'!$A$8:$A$19,Estimator!$B$4,'Wind Proxy'!$B$8:$B$19,C1773)</f>
        <v>0</v>
      </c>
    </row>
    <row r="1774" spans="1:10" ht="14.4">
      <c r="A1774" s="84">
        <v>47425</v>
      </c>
      <c r="B1774" s="85">
        <v>2029</v>
      </c>
      <c r="C1774" s="85">
        <v>11</v>
      </c>
      <c r="D1774" s="85" t="s">
        <v>76</v>
      </c>
      <c r="E1774" s="85">
        <v>3</v>
      </c>
      <c r="F1774" s="85">
        <v>6</v>
      </c>
      <c r="G1774" s="85">
        <f>--(F1774&lt;=Estimator!$B$7)</f>
        <v>0</v>
      </c>
      <c r="H1774" s="86">
        <f>SUMIFS('Climate Data'!$G$7:$G$366,'Climate Data'!$A$7:$A$366,Estimator!$B$4,'Climate Data'!$B$7:$B$366,C1774)</f>
        <v>0.23333333333333334</v>
      </c>
      <c r="I1774" s="87">
        <f>SUMIFS('Climate Data'!$H$7:$H$366,'Climate Data'!$A$7:$A$366,Estimator!$B$4,'Climate Data'!$B$7:$B$366,C1774)</f>
        <v>6.4428571428571431</v>
      </c>
      <c r="J1774" s="86">
        <f>SUMIFS('Wind Proxy'!$H$8:$H$19,'Wind Proxy'!$A$8:$A$19,Estimator!$B$4,'Wind Proxy'!$B$8:$B$19,C1774)</f>
        <v>0</v>
      </c>
    </row>
    <row r="1775" spans="1:10" ht="14.4">
      <c r="A1775" s="84">
        <v>47426</v>
      </c>
      <c r="B1775" s="85">
        <v>2029</v>
      </c>
      <c r="C1775" s="85">
        <v>11</v>
      </c>
      <c r="D1775" s="85" t="s">
        <v>76</v>
      </c>
      <c r="E1775" s="85">
        <v>4</v>
      </c>
      <c r="F1775" s="85">
        <v>7</v>
      </c>
      <c r="G1775" s="85">
        <f>--(F1775&lt;=Estimator!$B$7)</f>
        <v>0</v>
      </c>
      <c r="H1775" s="86">
        <f>SUMIFS('Climate Data'!$G$7:$G$366,'Climate Data'!$A$7:$A$366,Estimator!$B$4,'Climate Data'!$B$7:$B$366,C1775)</f>
        <v>0.23333333333333334</v>
      </c>
      <c r="I1775" s="87">
        <f>SUMIFS('Climate Data'!$H$7:$H$366,'Climate Data'!$A$7:$A$366,Estimator!$B$4,'Climate Data'!$B$7:$B$366,C1775)</f>
        <v>6.4428571428571431</v>
      </c>
      <c r="J1775" s="86">
        <f>SUMIFS('Wind Proxy'!$H$8:$H$19,'Wind Proxy'!$A$8:$A$19,Estimator!$B$4,'Wind Proxy'!$B$8:$B$19,C1775)</f>
        <v>0</v>
      </c>
    </row>
    <row r="1776" spans="1:10" ht="14.4">
      <c r="A1776" s="84">
        <v>47427</v>
      </c>
      <c r="B1776" s="85">
        <v>2029</v>
      </c>
      <c r="C1776" s="85">
        <v>11</v>
      </c>
      <c r="D1776" s="85" t="s">
        <v>76</v>
      </c>
      <c r="E1776" s="85">
        <v>5</v>
      </c>
      <c r="F1776" s="85">
        <v>1</v>
      </c>
      <c r="G1776" s="85">
        <f>--(F1776&lt;=Estimator!$B$7)</f>
        <v>1</v>
      </c>
      <c r="H1776" s="86">
        <f>SUMIFS('Climate Data'!$G$7:$G$366,'Climate Data'!$A$7:$A$366,Estimator!$B$4,'Climate Data'!$B$7:$B$366,C1776)</f>
        <v>0.23333333333333334</v>
      </c>
      <c r="I1776" s="87">
        <f>SUMIFS('Climate Data'!$H$7:$H$366,'Climate Data'!$A$7:$A$366,Estimator!$B$4,'Climate Data'!$B$7:$B$366,C1776)</f>
        <v>6.4428571428571431</v>
      </c>
      <c r="J1776" s="86">
        <f>SUMIFS('Wind Proxy'!$H$8:$H$19,'Wind Proxy'!$A$8:$A$19,Estimator!$B$4,'Wind Proxy'!$B$8:$B$19,C1776)</f>
        <v>0</v>
      </c>
    </row>
    <row r="1777" spans="1:10" ht="14.4">
      <c r="A1777" s="84">
        <v>47428</v>
      </c>
      <c r="B1777" s="85">
        <v>2029</v>
      </c>
      <c r="C1777" s="85">
        <v>11</v>
      </c>
      <c r="D1777" s="85" t="s">
        <v>76</v>
      </c>
      <c r="E1777" s="85">
        <v>6</v>
      </c>
      <c r="F1777" s="85">
        <v>2</v>
      </c>
      <c r="G1777" s="85">
        <f>--(F1777&lt;=Estimator!$B$7)</f>
        <v>1</v>
      </c>
      <c r="H1777" s="86">
        <f>SUMIFS('Climate Data'!$G$7:$G$366,'Climate Data'!$A$7:$A$366,Estimator!$B$4,'Climate Data'!$B$7:$B$366,C1777)</f>
        <v>0.23333333333333334</v>
      </c>
      <c r="I1777" s="87">
        <f>SUMIFS('Climate Data'!$H$7:$H$366,'Climate Data'!$A$7:$A$366,Estimator!$B$4,'Climate Data'!$B$7:$B$366,C1777)</f>
        <v>6.4428571428571431</v>
      </c>
      <c r="J1777" s="86">
        <f>SUMIFS('Wind Proxy'!$H$8:$H$19,'Wind Proxy'!$A$8:$A$19,Estimator!$B$4,'Wind Proxy'!$B$8:$B$19,C1777)</f>
        <v>0</v>
      </c>
    </row>
    <row r="1778" spans="1:10" ht="14.4">
      <c r="A1778" s="84">
        <v>47429</v>
      </c>
      <c r="B1778" s="85">
        <v>2029</v>
      </c>
      <c r="C1778" s="85">
        <v>11</v>
      </c>
      <c r="D1778" s="85" t="s">
        <v>76</v>
      </c>
      <c r="E1778" s="85">
        <v>7</v>
      </c>
      <c r="F1778" s="85">
        <v>3</v>
      </c>
      <c r="G1778" s="85">
        <f>--(F1778&lt;=Estimator!$B$7)</f>
        <v>1</v>
      </c>
      <c r="H1778" s="86">
        <f>SUMIFS('Climate Data'!$G$7:$G$366,'Climate Data'!$A$7:$A$366,Estimator!$B$4,'Climate Data'!$B$7:$B$366,C1778)</f>
        <v>0.23333333333333334</v>
      </c>
      <c r="I1778" s="87">
        <f>SUMIFS('Climate Data'!$H$7:$H$366,'Climate Data'!$A$7:$A$366,Estimator!$B$4,'Climate Data'!$B$7:$B$366,C1778)</f>
        <v>6.4428571428571431</v>
      </c>
      <c r="J1778" s="86">
        <f>SUMIFS('Wind Proxy'!$H$8:$H$19,'Wind Proxy'!$A$8:$A$19,Estimator!$B$4,'Wind Proxy'!$B$8:$B$19,C1778)</f>
        <v>0</v>
      </c>
    </row>
    <row r="1779" spans="1:10" ht="14.4">
      <c r="A1779" s="84">
        <v>47430</v>
      </c>
      <c r="B1779" s="85">
        <v>2029</v>
      </c>
      <c r="C1779" s="85">
        <v>11</v>
      </c>
      <c r="D1779" s="85" t="s">
        <v>76</v>
      </c>
      <c r="E1779" s="85">
        <v>8</v>
      </c>
      <c r="F1779" s="85">
        <v>4</v>
      </c>
      <c r="G1779" s="85">
        <f>--(F1779&lt;=Estimator!$B$7)</f>
        <v>1</v>
      </c>
      <c r="H1779" s="86">
        <f>SUMIFS('Climate Data'!$G$7:$G$366,'Climate Data'!$A$7:$A$366,Estimator!$B$4,'Climate Data'!$B$7:$B$366,C1779)</f>
        <v>0.23333333333333334</v>
      </c>
      <c r="I1779" s="87">
        <f>SUMIFS('Climate Data'!$H$7:$H$366,'Climate Data'!$A$7:$A$366,Estimator!$B$4,'Climate Data'!$B$7:$B$366,C1779)</f>
        <v>6.4428571428571431</v>
      </c>
      <c r="J1779" s="86">
        <f>SUMIFS('Wind Proxy'!$H$8:$H$19,'Wind Proxy'!$A$8:$A$19,Estimator!$B$4,'Wind Proxy'!$B$8:$B$19,C1779)</f>
        <v>0</v>
      </c>
    </row>
    <row r="1780" spans="1:10" ht="14.4">
      <c r="A1780" s="84">
        <v>47431</v>
      </c>
      <c r="B1780" s="85">
        <v>2029</v>
      </c>
      <c r="C1780" s="85">
        <v>11</v>
      </c>
      <c r="D1780" s="85" t="s">
        <v>76</v>
      </c>
      <c r="E1780" s="85">
        <v>9</v>
      </c>
      <c r="F1780" s="85">
        <v>5</v>
      </c>
      <c r="G1780" s="85">
        <f>--(F1780&lt;=Estimator!$B$7)</f>
        <v>1</v>
      </c>
      <c r="H1780" s="86">
        <f>SUMIFS('Climate Data'!$G$7:$G$366,'Climate Data'!$A$7:$A$366,Estimator!$B$4,'Climate Data'!$B$7:$B$366,C1780)</f>
        <v>0.23333333333333334</v>
      </c>
      <c r="I1780" s="87">
        <f>SUMIFS('Climate Data'!$H$7:$H$366,'Climate Data'!$A$7:$A$366,Estimator!$B$4,'Climate Data'!$B$7:$B$366,C1780)</f>
        <v>6.4428571428571431</v>
      </c>
      <c r="J1780" s="86">
        <f>SUMIFS('Wind Proxy'!$H$8:$H$19,'Wind Proxy'!$A$8:$A$19,Estimator!$B$4,'Wind Proxy'!$B$8:$B$19,C1780)</f>
        <v>0</v>
      </c>
    </row>
    <row r="1781" spans="1:10" ht="14.4">
      <c r="A1781" s="84">
        <v>47432</v>
      </c>
      <c r="B1781" s="85">
        <v>2029</v>
      </c>
      <c r="C1781" s="85">
        <v>11</v>
      </c>
      <c r="D1781" s="85" t="s">
        <v>76</v>
      </c>
      <c r="E1781" s="85">
        <v>10</v>
      </c>
      <c r="F1781" s="85">
        <v>6</v>
      </c>
      <c r="G1781" s="85">
        <f>--(F1781&lt;=Estimator!$B$7)</f>
        <v>0</v>
      </c>
      <c r="H1781" s="86">
        <f>SUMIFS('Climate Data'!$G$7:$G$366,'Climate Data'!$A$7:$A$366,Estimator!$B$4,'Climate Data'!$B$7:$B$366,C1781)</f>
        <v>0.23333333333333334</v>
      </c>
      <c r="I1781" s="87">
        <f>SUMIFS('Climate Data'!$H$7:$H$366,'Climate Data'!$A$7:$A$366,Estimator!$B$4,'Climate Data'!$B$7:$B$366,C1781)</f>
        <v>6.4428571428571431</v>
      </c>
      <c r="J1781" s="86">
        <f>SUMIFS('Wind Proxy'!$H$8:$H$19,'Wind Proxy'!$A$8:$A$19,Estimator!$B$4,'Wind Proxy'!$B$8:$B$19,C1781)</f>
        <v>0</v>
      </c>
    </row>
    <row r="1782" spans="1:10" ht="14.4">
      <c r="A1782" s="84">
        <v>47433</v>
      </c>
      <c r="B1782" s="85">
        <v>2029</v>
      </c>
      <c r="C1782" s="85">
        <v>11</v>
      </c>
      <c r="D1782" s="85" t="s">
        <v>76</v>
      </c>
      <c r="E1782" s="85">
        <v>11</v>
      </c>
      <c r="F1782" s="85">
        <v>7</v>
      </c>
      <c r="G1782" s="85">
        <f>--(F1782&lt;=Estimator!$B$7)</f>
        <v>0</v>
      </c>
      <c r="H1782" s="86">
        <f>SUMIFS('Climate Data'!$G$7:$G$366,'Climate Data'!$A$7:$A$366,Estimator!$B$4,'Climate Data'!$B$7:$B$366,C1782)</f>
        <v>0.23333333333333334</v>
      </c>
      <c r="I1782" s="87">
        <f>SUMIFS('Climate Data'!$H$7:$H$366,'Climate Data'!$A$7:$A$366,Estimator!$B$4,'Climate Data'!$B$7:$B$366,C1782)</f>
        <v>6.4428571428571431</v>
      </c>
      <c r="J1782" s="86">
        <f>SUMIFS('Wind Proxy'!$H$8:$H$19,'Wind Proxy'!$A$8:$A$19,Estimator!$B$4,'Wind Proxy'!$B$8:$B$19,C1782)</f>
        <v>0</v>
      </c>
    </row>
    <row r="1783" spans="1:10" ht="14.4">
      <c r="A1783" s="84">
        <v>47434</v>
      </c>
      <c r="B1783" s="85">
        <v>2029</v>
      </c>
      <c r="C1783" s="85">
        <v>11</v>
      </c>
      <c r="D1783" s="85" t="s">
        <v>76</v>
      </c>
      <c r="E1783" s="85">
        <v>12</v>
      </c>
      <c r="F1783" s="85">
        <v>1</v>
      </c>
      <c r="G1783" s="85">
        <f>--(F1783&lt;=Estimator!$B$7)</f>
        <v>1</v>
      </c>
      <c r="H1783" s="86">
        <f>SUMIFS('Climate Data'!$G$7:$G$366,'Climate Data'!$A$7:$A$366,Estimator!$B$4,'Climate Data'!$B$7:$B$366,C1783)</f>
        <v>0.23333333333333334</v>
      </c>
      <c r="I1783" s="87">
        <f>SUMIFS('Climate Data'!$H$7:$H$366,'Climate Data'!$A$7:$A$366,Estimator!$B$4,'Climate Data'!$B$7:$B$366,C1783)</f>
        <v>6.4428571428571431</v>
      </c>
      <c r="J1783" s="86">
        <f>SUMIFS('Wind Proxy'!$H$8:$H$19,'Wind Proxy'!$A$8:$A$19,Estimator!$B$4,'Wind Proxy'!$B$8:$B$19,C1783)</f>
        <v>0</v>
      </c>
    </row>
    <row r="1784" spans="1:10" ht="14.4">
      <c r="A1784" s="84">
        <v>47435</v>
      </c>
      <c r="B1784" s="85">
        <v>2029</v>
      </c>
      <c r="C1784" s="85">
        <v>11</v>
      </c>
      <c r="D1784" s="85" t="s">
        <v>76</v>
      </c>
      <c r="E1784" s="85">
        <v>13</v>
      </c>
      <c r="F1784" s="85">
        <v>2</v>
      </c>
      <c r="G1784" s="85">
        <f>--(F1784&lt;=Estimator!$B$7)</f>
        <v>1</v>
      </c>
      <c r="H1784" s="86">
        <f>SUMIFS('Climate Data'!$G$7:$G$366,'Climate Data'!$A$7:$A$366,Estimator!$B$4,'Climate Data'!$B$7:$B$366,C1784)</f>
        <v>0.23333333333333334</v>
      </c>
      <c r="I1784" s="87">
        <f>SUMIFS('Climate Data'!$H$7:$H$366,'Climate Data'!$A$7:$A$366,Estimator!$B$4,'Climate Data'!$B$7:$B$366,C1784)</f>
        <v>6.4428571428571431</v>
      </c>
      <c r="J1784" s="86">
        <f>SUMIFS('Wind Proxy'!$H$8:$H$19,'Wind Proxy'!$A$8:$A$19,Estimator!$B$4,'Wind Proxy'!$B$8:$B$19,C1784)</f>
        <v>0</v>
      </c>
    </row>
    <row r="1785" spans="1:10" ht="14.4">
      <c r="A1785" s="84">
        <v>47436</v>
      </c>
      <c r="B1785" s="85">
        <v>2029</v>
      </c>
      <c r="C1785" s="85">
        <v>11</v>
      </c>
      <c r="D1785" s="85" t="s">
        <v>76</v>
      </c>
      <c r="E1785" s="85">
        <v>14</v>
      </c>
      <c r="F1785" s="85">
        <v>3</v>
      </c>
      <c r="G1785" s="85">
        <f>--(F1785&lt;=Estimator!$B$7)</f>
        <v>1</v>
      </c>
      <c r="H1785" s="86">
        <f>SUMIFS('Climate Data'!$G$7:$G$366,'Climate Data'!$A$7:$A$366,Estimator!$B$4,'Climate Data'!$B$7:$B$366,C1785)</f>
        <v>0.23333333333333334</v>
      </c>
      <c r="I1785" s="87">
        <f>SUMIFS('Climate Data'!$H$7:$H$366,'Climate Data'!$A$7:$A$366,Estimator!$B$4,'Climate Data'!$B$7:$B$366,C1785)</f>
        <v>6.4428571428571431</v>
      </c>
      <c r="J1785" s="86">
        <f>SUMIFS('Wind Proxy'!$H$8:$H$19,'Wind Proxy'!$A$8:$A$19,Estimator!$B$4,'Wind Proxy'!$B$8:$B$19,C1785)</f>
        <v>0</v>
      </c>
    </row>
    <row r="1786" spans="1:10" ht="14.4">
      <c r="A1786" s="84">
        <v>47437</v>
      </c>
      <c r="B1786" s="85">
        <v>2029</v>
      </c>
      <c r="C1786" s="85">
        <v>11</v>
      </c>
      <c r="D1786" s="85" t="s">
        <v>76</v>
      </c>
      <c r="E1786" s="85">
        <v>15</v>
      </c>
      <c r="F1786" s="85">
        <v>4</v>
      </c>
      <c r="G1786" s="85">
        <f>--(F1786&lt;=Estimator!$B$7)</f>
        <v>1</v>
      </c>
      <c r="H1786" s="86">
        <f>SUMIFS('Climate Data'!$G$7:$G$366,'Climate Data'!$A$7:$A$366,Estimator!$B$4,'Climate Data'!$B$7:$B$366,C1786)</f>
        <v>0.23333333333333334</v>
      </c>
      <c r="I1786" s="87">
        <f>SUMIFS('Climate Data'!$H$7:$H$366,'Climate Data'!$A$7:$A$366,Estimator!$B$4,'Climate Data'!$B$7:$B$366,C1786)</f>
        <v>6.4428571428571431</v>
      </c>
      <c r="J1786" s="86">
        <f>SUMIFS('Wind Proxy'!$H$8:$H$19,'Wind Proxy'!$A$8:$A$19,Estimator!$B$4,'Wind Proxy'!$B$8:$B$19,C1786)</f>
        <v>0</v>
      </c>
    </row>
    <row r="1787" spans="1:10" ht="14.4">
      <c r="A1787" s="84">
        <v>47438</v>
      </c>
      <c r="B1787" s="85">
        <v>2029</v>
      </c>
      <c r="C1787" s="85">
        <v>11</v>
      </c>
      <c r="D1787" s="85" t="s">
        <v>76</v>
      </c>
      <c r="E1787" s="85">
        <v>16</v>
      </c>
      <c r="F1787" s="85">
        <v>5</v>
      </c>
      <c r="G1787" s="85">
        <f>--(F1787&lt;=Estimator!$B$7)</f>
        <v>1</v>
      </c>
      <c r="H1787" s="86">
        <f>SUMIFS('Climate Data'!$G$7:$G$366,'Climate Data'!$A$7:$A$366,Estimator!$B$4,'Climate Data'!$B$7:$B$366,C1787)</f>
        <v>0.23333333333333334</v>
      </c>
      <c r="I1787" s="87">
        <f>SUMIFS('Climate Data'!$H$7:$H$366,'Climate Data'!$A$7:$A$366,Estimator!$B$4,'Climate Data'!$B$7:$B$366,C1787)</f>
        <v>6.4428571428571431</v>
      </c>
      <c r="J1787" s="86">
        <f>SUMIFS('Wind Proxy'!$H$8:$H$19,'Wind Proxy'!$A$8:$A$19,Estimator!$B$4,'Wind Proxy'!$B$8:$B$19,C1787)</f>
        <v>0</v>
      </c>
    </row>
    <row r="1788" spans="1:10" ht="14.4">
      <c r="A1788" s="84">
        <v>47439</v>
      </c>
      <c r="B1788" s="85">
        <v>2029</v>
      </c>
      <c r="C1788" s="85">
        <v>11</v>
      </c>
      <c r="D1788" s="85" t="s">
        <v>76</v>
      </c>
      <c r="E1788" s="85">
        <v>17</v>
      </c>
      <c r="F1788" s="85">
        <v>6</v>
      </c>
      <c r="G1788" s="85">
        <f>--(F1788&lt;=Estimator!$B$7)</f>
        <v>0</v>
      </c>
      <c r="H1788" s="86">
        <f>SUMIFS('Climate Data'!$G$7:$G$366,'Climate Data'!$A$7:$A$366,Estimator!$B$4,'Climate Data'!$B$7:$B$366,C1788)</f>
        <v>0.23333333333333334</v>
      </c>
      <c r="I1788" s="87">
        <f>SUMIFS('Climate Data'!$H$7:$H$366,'Climate Data'!$A$7:$A$366,Estimator!$B$4,'Climate Data'!$B$7:$B$366,C1788)</f>
        <v>6.4428571428571431</v>
      </c>
      <c r="J1788" s="86">
        <f>SUMIFS('Wind Proxy'!$H$8:$H$19,'Wind Proxy'!$A$8:$A$19,Estimator!$B$4,'Wind Proxy'!$B$8:$B$19,C1788)</f>
        <v>0</v>
      </c>
    </row>
    <row r="1789" spans="1:10" ht="14.4">
      <c r="A1789" s="84">
        <v>47440</v>
      </c>
      <c r="B1789" s="85">
        <v>2029</v>
      </c>
      <c r="C1789" s="85">
        <v>11</v>
      </c>
      <c r="D1789" s="85" t="s">
        <v>76</v>
      </c>
      <c r="E1789" s="85">
        <v>18</v>
      </c>
      <c r="F1789" s="85">
        <v>7</v>
      </c>
      <c r="G1789" s="85">
        <f>--(F1789&lt;=Estimator!$B$7)</f>
        <v>0</v>
      </c>
      <c r="H1789" s="86">
        <f>SUMIFS('Climate Data'!$G$7:$G$366,'Climate Data'!$A$7:$A$366,Estimator!$B$4,'Climate Data'!$B$7:$B$366,C1789)</f>
        <v>0.23333333333333334</v>
      </c>
      <c r="I1789" s="87">
        <f>SUMIFS('Climate Data'!$H$7:$H$366,'Climate Data'!$A$7:$A$366,Estimator!$B$4,'Climate Data'!$B$7:$B$366,C1789)</f>
        <v>6.4428571428571431</v>
      </c>
      <c r="J1789" s="86">
        <f>SUMIFS('Wind Proxy'!$H$8:$H$19,'Wind Proxy'!$A$8:$A$19,Estimator!$B$4,'Wind Proxy'!$B$8:$B$19,C1789)</f>
        <v>0</v>
      </c>
    </row>
    <row r="1790" spans="1:10" ht="14.4">
      <c r="A1790" s="84">
        <v>47441</v>
      </c>
      <c r="B1790" s="85">
        <v>2029</v>
      </c>
      <c r="C1790" s="85">
        <v>11</v>
      </c>
      <c r="D1790" s="85" t="s">
        <v>76</v>
      </c>
      <c r="E1790" s="85">
        <v>19</v>
      </c>
      <c r="F1790" s="85">
        <v>1</v>
      </c>
      <c r="G1790" s="85">
        <f>--(F1790&lt;=Estimator!$B$7)</f>
        <v>1</v>
      </c>
      <c r="H1790" s="86">
        <f>SUMIFS('Climate Data'!$G$7:$G$366,'Climate Data'!$A$7:$A$366,Estimator!$B$4,'Climate Data'!$B$7:$B$366,C1790)</f>
        <v>0.23333333333333334</v>
      </c>
      <c r="I1790" s="87">
        <f>SUMIFS('Climate Data'!$H$7:$H$366,'Climate Data'!$A$7:$A$366,Estimator!$B$4,'Climate Data'!$B$7:$B$366,C1790)</f>
        <v>6.4428571428571431</v>
      </c>
      <c r="J1790" s="86">
        <f>SUMIFS('Wind Proxy'!$H$8:$H$19,'Wind Proxy'!$A$8:$A$19,Estimator!$B$4,'Wind Proxy'!$B$8:$B$19,C1790)</f>
        <v>0</v>
      </c>
    </row>
    <row r="1791" spans="1:10" ht="14.4">
      <c r="A1791" s="84">
        <v>47442</v>
      </c>
      <c r="B1791" s="85">
        <v>2029</v>
      </c>
      <c r="C1791" s="85">
        <v>11</v>
      </c>
      <c r="D1791" s="85" t="s">
        <v>76</v>
      </c>
      <c r="E1791" s="85">
        <v>20</v>
      </c>
      <c r="F1791" s="85">
        <v>2</v>
      </c>
      <c r="G1791" s="85">
        <f>--(F1791&lt;=Estimator!$B$7)</f>
        <v>1</v>
      </c>
      <c r="H1791" s="86">
        <f>SUMIFS('Climate Data'!$G$7:$G$366,'Climate Data'!$A$7:$A$366,Estimator!$B$4,'Climate Data'!$B$7:$B$366,C1791)</f>
        <v>0.23333333333333334</v>
      </c>
      <c r="I1791" s="87">
        <f>SUMIFS('Climate Data'!$H$7:$H$366,'Climate Data'!$A$7:$A$366,Estimator!$B$4,'Climate Data'!$B$7:$B$366,C1791)</f>
        <v>6.4428571428571431</v>
      </c>
      <c r="J1791" s="86">
        <f>SUMIFS('Wind Proxy'!$H$8:$H$19,'Wind Proxy'!$A$8:$A$19,Estimator!$B$4,'Wind Proxy'!$B$8:$B$19,C1791)</f>
        <v>0</v>
      </c>
    </row>
    <row r="1792" spans="1:10" ht="14.4">
      <c r="A1792" s="84">
        <v>47443</v>
      </c>
      <c r="B1792" s="85">
        <v>2029</v>
      </c>
      <c r="C1792" s="85">
        <v>11</v>
      </c>
      <c r="D1792" s="85" t="s">
        <v>76</v>
      </c>
      <c r="E1792" s="85">
        <v>21</v>
      </c>
      <c r="F1792" s="85">
        <v>3</v>
      </c>
      <c r="G1792" s="85">
        <f>--(F1792&lt;=Estimator!$B$7)</f>
        <v>1</v>
      </c>
      <c r="H1792" s="86">
        <f>SUMIFS('Climate Data'!$G$7:$G$366,'Climate Data'!$A$7:$A$366,Estimator!$B$4,'Climate Data'!$B$7:$B$366,C1792)</f>
        <v>0.23333333333333334</v>
      </c>
      <c r="I1792" s="87">
        <f>SUMIFS('Climate Data'!$H$7:$H$366,'Climate Data'!$A$7:$A$366,Estimator!$B$4,'Climate Data'!$B$7:$B$366,C1792)</f>
        <v>6.4428571428571431</v>
      </c>
      <c r="J1792" s="86">
        <f>SUMIFS('Wind Proxy'!$H$8:$H$19,'Wind Proxy'!$A$8:$A$19,Estimator!$B$4,'Wind Proxy'!$B$8:$B$19,C1792)</f>
        <v>0</v>
      </c>
    </row>
    <row r="1793" spans="1:10" ht="14.4">
      <c r="A1793" s="84">
        <v>47444</v>
      </c>
      <c r="B1793" s="85">
        <v>2029</v>
      </c>
      <c r="C1793" s="85">
        <v>11</v>
      </c>
      <c r="D1793" s="85" t="s">
        <v>76</v>
      </c>
      <c r="E1793" s="85">
        <v>22</v>
      </c>
      <c r="F1793" s="85">
        <v>4</v>
      </c>
      <c r="G1793" s="85">
        <f>--(F1793&lt;=Estimator!$B$7)</f>
        <v>1</v>
      </c>
      <c r="H1793" s="86">
        <f>SUMIFS('Climate Data'!$G$7:$G$366,'Climate Data'!$A$7:$A$366,Estimator!$B$4,'Climate Data'!$B$7:$B$366,C1793)</f>
        <v>0.23333333333333334</v>
      </c>
      <c r="I1793" s="87">
        <f>SUMIFS('Climate Data'!$H$7:$H$366,'Climate Data'!$A$7:$A$366,Estimator!$B$4,'Climate Data'!$B$7:$B$366,C1793)</f>
        <v>6.4428571428571431</v>
      </c>
      <c r="J1793" s="86">
        <f>SUMIFS('Wind Proxy'!$H$8:$H$19,'Wind Proxy'!$A$8:$A$19,Estimator!$B$4,'Wind Proxy'!$B$8:$B$19,C1793)</f>
        <v>0</v>
      </c>
    </row>
    <row r="1794" spans="1:10" ht="14.4">
      <c r="A1794" s="84">
        <v>47445</v>
      </c>
      <c r="B1794" s="85">
        <v>2029</v>
      </c>
      <c r="C1794" s="85">
        <v>11</v>
      </c>
      <c r="D1794" s="85" t="s">
        <v>76</v>
      </c>
      <c r="E1794" s="85">
        <v>23</v>
      </c>
      <c r="F1794" s="85">
        <v>5</v>
      </c>
      <c r="G1794" s="85">
        <f>--(F1794&lt;=Estimator!$B$7)</f>
        <v>1</v>
      </c>
      <c r="H1794" s="86">
        <f>SUMIFS('Climate Data'!$G$7:$G$366,'Climate Data'!$A$7:$A$366,Estimator!$B$4,'Climate Data'!$B$7:$B$366,C1794)</f>
        <v>0.23333333333333334</v>
      </c>
      <c r="I1794" s="87">
        <f>SUMIFS('Climate Data'!$H$7:$H$366,'Climate Data'!$A$7:$A$366,Estimator!$B$4,'Climate Data'!$B$7:$B$366,C1794)</f>
        <v>6.4428571428571431</v>
      </c>
      <c r="J1794" s="86">
        <f>SUMIFS('Wind Proxy'!$H$8:$H$19,'Wind Proxy'!$A$8:$A$19,Estimator!$B$4,'Wind Proxy'!$B$8:$B$19,C1794)</f>
        <v>0</v>
      </c>
    </row>
    <row r="1795" spans="1:10" ht="14.4">
      <c r="A1795" s="84">
        <v>47446</v>
      </c>
      <c r="B1795" s="85">
        <v>2029</v>
      </c>
      <c r="C1795" s="85">
        <v>11</v>
      </c>
      <c r="D1795" s="85" t="s">
        <v>76</v>
      </c>
      <c r="E1795" s="85">
        <v>24</v>
      </c>
      <c r="F1795" s="85">
        <v>6</v>
      </c>
      <c r="G1795" s="85">
        <f>--(F1795&lt;=Estimator!$B$7)</f>
        <v>0</v>
      </c>
      <c r="H1795" s="86">
        <f>SUMIFS('Climate Data'!$G$7:$G$366,'Climate Data'!$A$7:$A$366,Estimator!$B$4,'Climate Data'!$B$7:$B$366,C1795)</f>
        <v>0.23333333333333334</v>
      </c>
      <c r="I1795" s="87">
        <f>SUMIFS('Climate Data'!$H$7:$H$366,'Climate Data'!$A$7:$A$366,Estimator!$B$4,'Climate Data'!$B$7:$B$366,C1795)</f>
        <v>6.4428571428571431</v>
      </c>
      <c r="J1795" s="86">
        <f>SUMIFS('Wind Proxy'!$H$8:$H$19,'Wind Proxy'!$A$8:$A$19,Estimator!$B$4,'Wind Proxy'!$B$8:$B$19,C1795)</f>
        <v>0</v>
      </c>
    </row>
    <row r="1796" spans="1:10" ht="14.4">
      <c r="A1796" s="84">
        <v>47447</v>
      </c>
      <c r="B1796" s="85">
        <v>2029</v>
      </c>
      <c r="C1796" s="85">
        <v>11</v>
      </c>
      <c r="D1796" s="85" t="s">
        <v>76</v>
      </c>
      <c r="E1796" s="85">
        <v>25</v>
      </c>
      <c r="F1796" s="85">
        <v>7</v>
      </c>
      <c r="G1796" s="85">
        <f>--(F1796&lt;=Estimator!$B$7)</f>
        <v>0</v>
      </c>
      <c r="H1796" s="86">
        <f>SUMIFS('Climate Data'!$G$7:$G$366,'Climate Data'!$A$7:$A$366,Estimator!$B$4,'Climate Data'!$B$7:$B$366,C1796)</f>
        <v>0.23333333333333334</v>
      </c>
      <c r="I1796" s="87">
        <f>SUMIFS('Climate Data'!$H$7:$H$366,'Climate Data'!$A$7:$A$366,Estimator!$B$4,'Climate Data'!$B$7:$B$366,C1796)</f>
        <v>6.4428571428571431</v>
      </c>
      <c r="J1796" s="86">
        <f>SUMIFS('Wind Proxy'!$H$8:$H$19,'Wind Proxy'!$A$8:$A$19,Estimator!$B$4,'Wind Proxy'!$B$8:$B$19,C1796)</f>
        <v>0</v>
      </c>
    </row>
    <row r="1797" spans="1:10" ht="14.4">
      <c r="A1797" s="84">
        <v>47448</v>
      </c>
      <c r="B1797" s="85">
        <v>2029</v>
      </c>
      <c r="C1797" s="85">
        <v>11</v>
      </c>
      <c r="D1797" s="85" t="s">
        <v>76</v>
      </c>
      <c r="E1797" s="85">
        <v>26</v>
      </c>
      <c r="F1797" s="85">
        <v>1</v>
      </c>
      <c r="G1797" s="85">
        <f>--(F1797&lt;=Estimator!$B$7)</f>
        <v>1</v>
      </c>
      <c r="H1797" s="86">
        <f>SUMIFS('Climate Data'!$G$7:$G$366,'Climate Data'!$A$7:$A$366,Estimator!$B$4,'Climate Data'!$B$7:$B$366,C1797)</f>
        <v>0.23333333333333334</v>
      </c>
      <c r="I1797" s="87">
        <f>SUMIFS('Climate Data'!$H$7:$H$366,'Climate Data'!$A$7:$A$366,Estimator!$B$4,'Climate Data'!$B$7:$B$366,C1797)</f>
        <v>6.4428571428571431</v>
      </c>
      <c r="J1797" s="86">
        <f>SUMIFS('Wind Proxy'!$H$8:$H$19,'Wind Proxy'!$A$8:$A$19,Estimator!$B$4,'Wind Proxy'!$B$8:$B$19,C1797)</f>
        <v>0</v>
      </c>
    </row>
    <row r="1798" spans="1:10" ht="14.4">
      <c r="A1798" s="84">
        <v>47449</v>
      </c>
      <c r="B1798" s="85">
        <v>2029</v>
      </c>
      <c r="C1798" s="85">
        <v>11</v>
      </c>
      <c r="D1798" s="85" t="s">
        <v>76</v>
      </c>
      <c r="E1798" s="85">
        <v>27</v>
      </c>
      <c r="F1798" s="85">
        <v>2</v>
      </c>
      <c r="G1798" s="85">
        <f>--(F1798&lt;=Estimator!$B$7)</f>
        <v>1</v>
      </c>
      <c r="H1798" s="86">
        <f>SUMIFS('Climate Data'!$G$7:$G$366,'Climate Data'!$A$7:$A$366,Estimator!$B$4,'Climate Data'!$B$7:$B$366,C1798)</f>
        <v>0.23333333333333334</v>
      </c>
      <c r="I1798" s="87">
        <f>SUMIFS('Climate Data'!$H$7:$H$366,'Climate Data'!$A$7:$A$366,Estimator!$B$4,'Climate Data'!$B$7:$B$366,C1798)</f>
        <v>6.4428571428571431</v>
      </c>
      <c r="J1798" s="86">
        <f>SUMIFS('Wind Proxy'!$H$8:$H$19,'Wind Proxy'!$A$8:$A$19,Estimator!$B$4,'Wind Proxy'!$B$8:$B$19,C1798)</f>
        <v>0</v>
      </c>
    </row>
    <row r="1799" spans="1:10" ht="14.4">
      <c r="A1799" s="84">
        <v>47450</v>
      </c>
      <c r="B1799" s="85">
        <v>2029</v>
      </c>
      <c r="C1799" s="85">
        <v>11</v>
      </c>
      <c r="D1799" s="85" t="s">
        <v>76</v>
      </c>
      <c r="E1799" s="85">
        <v>28</v>
      </c>
      <c r="F1799" s="85">
        <v>3</v>
      </c>
      <c r="G1799" s="85">
        <f>--(F1799&lt;=Estimator!$B$7)</f>
        <v>1</v>
      </c>
      <c r="H1799" s="86">
        <f>SUMIFS('Climate Data'!$G$7:$G$366,'Climate Data'!$A$7:$A$366,Estimator!$B$4,'Climate Data'!$B$7:$B$366,C1799)</f>
        <v>0.23333333333333334</v>
      </c>
      <c r="I1799" s="87">
        <f>SUMIFS('Climate Data'!$H$7:$H$366,'Climate Data'!$A$7:$A$366,Estimator!$B$4,'Climate Data'!$B$7:$B$366,C1799)</f>
        <v>6.4428571428571431</v>
      </c>
      <c r="J1799" s="86">
        <f>SUMIFS('Wind Proxy'!$H$8:$H$19,'Wind Proxy'!$A$8:$A$19,Estimator!$B$4,'Wind Proxy'!$B$8:$B$19,C1799)</f>
        <v>0</v>
      </c>
    </row>
    <row r="1800" spans="1:10" ht="14.4">
      <c r="A1800" s="84">
        <v>47451</v>
      </c>
      <c r="B1800" s="85">
        <v>2029</v>
      </c>
      <c r="C1800" s="85">
        <v>11</v>
      </c>
      <c r="D1800" s="85" t="s">
        <v>76</v>
      </c>
      <c r="E1800" s="85">
        <v>29</v>
      </c>
      <c r="F1800" s="85">
        <v>4</v>
      </c>
      <c r="G1800" s="85">
        <f>--(F1800&lt;=Estimator!$B$7)</f>
        <v>1</v>
      </c>
      <c r="H1800" s="86">
        <f>SUMIFS('Climate Data'!$G$7:$G$366,'Climate Data'!$A$7:$A$366,Estimator!$B$4,'Climate Data'!$B$7:$B$366,C1800)</f>
        <v>0.23333333333333334</v>
      </c>
      <c r="I1800" s="87">
        <f>SUMIFS('Climate Data'!$H$7:$H$366,'Climate Data'!$A$7:$A$366,Estimator!$B$4,'Climate Data'!$B$7:$B$366,C1800)</f>
        <v>6.4428571428571431</v>
      </c>
      <c r="J1800" s="86">
        <f>SUMIFS('Wind Proxy'!$H$8:$H$19,'Wind Proxy'!$A$8:$A$19,Estimator!$B$4,'Wind Proxy'!$B$8:$B$19,C1800)</f>
        <v>0</v>
      </c>
    </row>
    <row r="1801" spans="1:10" ht="14.4">
      <c r="A1801" s="84">
        <v>47452</v>
      </c>
      <c r="B1801" s="85">
        <v>2029</v>
      </c>
      <c r="C1801" s="85">
        <v>11</v>
      </c>
      <c r="D1801" s="85" t="s">
        <v>76</v>
      </c>
      <c r="E1801" s="85">
        <v>30</v>
      </c>
      <c r="F1801" s="85">
        <v>5</v>
      </c>
      <c r="G1801" s="85">
        <f>--(F1801&lt;=Estimator!$B$7)</f>
        <v>1</v>
      </c>
      <c r="H1801" s="86">
        <f>SUMIFS('Climate Data'!$G$7:$G$366,'Climate Data'!$A$7:$A$366,Estimator!$B$4,'Climate Data'!$B$7:$B$366,C1801)</f>
        <v>0.23333333333333334</v>
      </c>
      <c r="I1801" s="87">
        <f>SUMIFS('Climate Data'!$H$7:$H$366,'Climate Data'!$A$7:$A$366,Estimator!$B$4,'Climate Data'!$B$7:$B$366,C1801)</f>
        <v>6.4428571428571431</v>
      </c>
      <c r="J1801" s="86">
        <f>SUMIFS('Wind Proxy'!$H$8:$H$19,'Wind Proxy'!$A$8:$A$19,Estimator!$B$4,'Wind Proxy'!$B$8:$B$19,C1801)</f>
        <v>0</v>
      </c>
    </row>
    <row r="1802" spans="1:10" ht="14.4">
      <c r="A1802" s="84">
        <v>47453</v>
      </c>
      <c r="B1802" s="85">
        <v>2029</v>
      </c>
      <c r="C1802" s="85">
        <v>12</v>
      </c>
      <c r="D1802" s="85" t="s">
        <v>77</v>
      </c>
      <c r="E1802" s="85">
        <v>1</v>
      </c>
      <c r="F1802" s="85">
        <v>6</v>
      </c>
      <c r="G1802" s="85">
        <f>--(F1802&lt;=Estimator!$B$7)</f>
        <v>0</v>
      </c>
      <c r="H1802" s="86">
        <f>SUMIFS('Climate Data'!$G$7:$G$366,'Climate Data'!$A$7:$A$366,Estimator!$B$4,'Climate Data'!$B$7:$B$366,C1802)</f>
        <v>0.22688172043010751</v>
      </c>
      <c r="I1802" s="87">
        <f>SUMIFS('Climate Data'!$H$7:$H$366,'Climate Data'!$A$7:$A$366,Estimator!$B$4,'Climate Data'!$B$7:$B$366,C1802)</f>
        <v>6.7962085308056865</v>
      </c>
      <c r="J1802" s="86">
        <f>SUMIFS('Wind Proxy'!$H$8:$H$19,'Wind Proxy'!$A$8:$A$19,Estimator!$B$4,'Wind Proxy'!$B$8:$B$19,C1802)</f>
        <v>0</v>
      </c>
    </row>
    <row r="1803" spans="1:10" ht="14.4">
      <c r="A1803" s="84">
        <v>47454</v>
      </c>
      <c r="B1803" s="85">
        <v>2029</v>
      </c>
      <c r="C1803" s="85">
        <v>12</v>
      </c>
      <c r="D1803" s="85" t="s">
        <v>77</v>
      </c>
      <c r="E1803" s="85">
        <v>2</v>
      </c>
      <c r="F1803" s="85">
        <v>7</v>
      </c>
      <c r="G1803" s="85">
        <f>--(F1803&lt;=Estimator!$B$7)</f>
        <v>0</v>
      </c>
      <c r="H1803" s="86">
        <f>SUMIFS('Climate Data'!$G$7:$G$366,'Climate Data'!$A$7:$A$366,Estimator!$B$4,'Climate Data'!$B$7:$B$366,C1803)</f>
        <v>0.22688172043010751</v>
      </c>
      <c r="I1803" s="87">
        <f>SUMIFS('Climate Data'!$H$7:$H$366,'Climate Data'!$A$7:$A$366,Estimator!$B$4,'Climate Data'!$B$7:$B$366,C1803)</f>
        <v>6.7962085308056865</v>
      </c>
      <c r="J1803" s="86">
        <f>SUMIFS('Wind Proxy'!$H$8:$H$19,'Wind Proxy'!$A$8:$A$19,Estimator!$B$4,'Wind Proxy'!$B$8:$B$19,C1803)</f>
        <v>0</v>
      </c>
    </row>
    <row r="1804" spans="1:10" ht="14.4">
      <c r="A1804" s="84">
        <v>47455</v>
      </c>
      <c r="B1804" s="85">
        <v>2029</v>
      </c>
      <c r="C1804" s="85">
        <v>12</v>
      </c>
      <c r="D1804" s="85" t="s">
        <v>77</v>
      </c>
      <c r="E1804" s="85">
        <v>3</v>
      </c>
      <c r="F1804" s="85">
        <v>1</v>
      </c>
      <c r="G1804" s="85">
        <f>--(F1804&lt;=Estimator!$B$7)</f>
        <v>1</v>
      </c>
      <c r="H1804" s="86">
        <f>SUMIFS('Climate Data'!$G$7:$G$366,'Climate Data'!$A$7:$A$366,Estimator!$B$4,'Climate Data'!$B$7:$B$366,C1804)</f>
        <v>0.22688172043010751</v>
      </c>
      <c r="I1804" s="87">
        <f>SUMIFS('Climate Data'!$H$7:$H$366,'Climate Data'!$A$7:$A$366,Estimator!$B$4,'Climate Data'!$B$7:$B$366,C1804)</f>
        <v>6.7962085308056865</v>
      </c>
      <c r="J1804" s="86">
        <f>SUMIFS('Wind Proxy'!$H$8:$H$19,'Wind Proxy'!$A$8:$A$19,Estimator!$B$4,'Wind Proxy'!$B$8:$B$19,C1804)</f>
        <v>0</v>
      </c>
    </row>
    <row r="1805" spans="1:10" ht="14.4">
      <c r="A1805" s="84">
        <v>47456</v>
      </c>
      <c r="B1805" s="85">
        <v>2029</v>
      </c>
      <c r="C1805" s="85">
        <v>12</v>
      </c>
      <c r="D1805" s="85" t="s">
        <v>77</v>
      </c>
      <c r="E1805" s="85">
        <v>4</v>
      </c>
      <c r="F1805" s="85">
        <v>2</v>
      </c>
      <c r="G1805" s="85">
        <f>--(F1805&lt;=Estimator!$B$7)</f>
        <v>1</v>
      </c>
      <c r="H1805" s="86">
        <f>SUMIFS('Climate Data'!$G$7:$G$366,'Climate Data'!$A$7:$A$366,Estimator!$B$4,'Climate Data'!$B$7:$B$366,C1805)</f>
        <v>0.22688172043010751</v>
      </c>
      <c r="I1805" s="87">
        <f>SUMIFS('Climate Data'!$H$7:$H$366,'Climate Data'!$A$7:$A$366,Estimator!$B$4,'Climate Data'!$B$7:$B$366,C1805)</f>
        <v>6.7962085308056865</v>
      </c>
      <c r="J1805" s="86">
        <f>SUMIFS('Wind Proxy'!$H$8:$H$19,'Wind Proxy'!$A$8:$A$19,Estimator!$B$4,'Wind Proxy'!$B$8:$B$19,C1805)</f>
        <v>0</v>
      </c>
    </row>
    <row r="1806" spans="1:10" ht="14.4">
      <c r="A1806" s="84">
        <v>47457</v>
      </c>
      <c r="B1806" s="85">
        <v>2029</v>
      </c>
      <c r="C1806" s="85">
        <v>12</v>
      </c>
      <c r="D1806" s="85" t="s">
        <v>77</v>
      </c>
      <c r="E1806" s="85">
        <v>5</v>
      </c>
      <c r="F1806" s="85">
        <v>3</v>
      </c>
      <c r="G1806" s="85">
        <f>--(F1806&lt;=Estimator!$B$7)</f>
        <v>1</v>
      </c>
      <c r="H1806" s="86">
        <f>SUMIFS('Climate Data'!$G$7:$G$366,'Climate Data'!$A$7:$A$366,Estimator!$B$4,'Climate Data'!$B$7:$B$366,C1806)</f>
        <v>0.22688172043010751</v>
      </c>
      <c r="I1806" s="87">
        <f>SUMIFS('Climate Data'!$H$7:$H$366,'Climate Data'!$A$7:$A$366,Estimator!$B$4,'Climate Data'!$B$7:$B$366,C1806)</f>
        <v>6.7962085308056865</v>
      </c>
      <c r="J1806" s="86">
        <f>SUMIFS('Wind Proxy'!$H$8:$H$19,'Wind Proxy'!$A$8:$A$19,Estimator!$B$4,'Wind Proxy'!$B$8:$B$19,C1806)</f>
        <v>0</v>
      </c>
    </row>
    <row r="1807" spans="1:10" ht="14.4">
      <c r="A1807" s="84">
        <v>47458</v>
      </c>
      <c r="B1807" s="85">
        <v>2029</v>
      </c>
      <c r="C1807" s="85">
        <v>12</v>
      </c>
      <c r="D1807" s="85" t="s">
        <v>77</v>
      </c>
      <c r="E1807" s="85">
        <v>6</v>
      </c>
      <c r="F1807" s="85">
        <v>4</v>
      </c>
      <c r="G1807" s="85">
        <f>--(F1807&lt;=Estimator!$B$7)</f>
        <v>1</v>
      </c>
      <c r="H1807" s="86">
        <f>SUMIFS('Climate Data'!$G$7:$G$366,'Climate Data'!$A$7:$A$366,Estimator!$B$4,'Climate Data'!$B$7:$B$366,C1807)</f>
        <v>0.22688172043010751</v>
      </c>
      <c r="I1807" s="87">
        <f>SUMIFS('Climate Data'!$H$7:$H$366,'Climate Data'!$A$7:$A$366,Estimator!$B$4,'Climate Data'!$B$7:$B$366,C1807)</f>
        <v>6.7962085308056865</v>
      </c>
      <c r="J1807" s="86">
        <f>SUMIFS('Wind Proxy'!$H$8:$H$19,'Wind Proxy'!$A$8:$A$19,Estimator!$B$4,'Wind Proxy'!$B$8:$B$19,C1807)</f>
        <v>0</v>
      </c>
    </row>
    <row r="1808" spans="1:10" ht="14.4">
      <c r="A1808" s="84">
        <v>47459</v>
      </c>
      <c r="B1808" s="85">
        <v>2029</v>
      </c>
      <c r="C1808" s="85">
        <v>12</v>
      </c>
      <c r="D1808" s="85" t="s">
        <v>77</v>
      </c>
      <c r="E1808" s="85">
        <v>7</v>
      </c>
      <c r="F1808" s="85">
        <v>5</v>
      </c>
      <c r="G1808" s="85">
        <f>--(F1808&lt;=Estimator!$B$7)</f>
        <v>1</v>
      </c>
      <c r="H1808" s="86">
        <f>SUMIFS('Climate Data'!$G$7:$G$366,'Climate Data'!$A$7:$A$366,Estimator!$B$4,'Climate Data'!$B$7:$B$366,C1808)</f>
        <v>0.22688172043010751</v>
      </c>
      <c r="I1808" s="87">
        <f>SUMIFS('Climate Data'!$H$7:$H$366,'Climate Data'!$A$7:$A$366,Estimator!$B$4,'Climate Data'!$B$7:$B$366,C1808)</f>
        <v>6.7962085308056865</v>
      </c>
      <c r="J1808" s="86">
        <f>SUMIFS('Wind Proxy'!$H$8:$H$19,'Wind Proxy'!$A$8:$A$19,Estimator!$B$4,'Wind Proxy'!$B$8:$B$19,C1808)</f>
        <v>0</v>
      </c>
    </row>
    <row r="1809" spans="1:10" ht="14.4">
      <c r="A1809" s="84">
        <v>47460</v>
      </c>
      <c r="B1809" s="85">
        <v>2029</v>
      </c>
      <c r="C1809" s="85">
        <v>12</v>
      </c>
      <c r="D1809" s="85" t="s">
        <v>77</v>
      </c>
      <c r="E1809" s="85">
        <v>8</v>
      </c>
      <c r="F1809" s="85">
        <v>6</v>
      </c>
      <c r="G1809" s="85">
        <f>--(F1809&lt;=Estimator!$B$7)</f>
        <v>0</v>
      </c>
      <c r="H1809" s="86">
        <f>SUMIFS('Climate Data'!$G$7:$G$366,'Climate Data'!$A$7:$A$366,Estimator!$B$4,'Climate Data'!$B$7:$B$366,C1809)</f>
        <v>0.22688172043010751</v>
      </c>
      <c r="I1809" s="87">
        <f>SUMIFS('Climate Data'!$H$7:$H$366,'Climate Data'!$A$7:$A$366,Estimator!$B$4,'Climate Data'!$B$7:$B$366,C1809)</f>
        <v>6.7962085308056865</v>
      </c>
      <c r="J1809" s="86">
        <f>SUMIFS('Wind Proxy'!$H$8:$H$19,'Wind Proxy'!$A$8:$A$19,Estimator!$B$4,'Wind Proxy'!$B$8:$B$19,C1809)</f>
        <v>0</v>
      </c>
    </row>
    <row r="1810" spans="1:10" ht="14.4">
      <c r="A1810" s="84">
        <v>47461</v>
      </c>
      <c r="B1810" s="85">
        <v>2029</v>
      </c>
      <c r="C1810" s="85">
        <v>12</v>
      </c>
      <c r="D1810" s="85" t="s">
        <v>77</v>
      </c>
      <c r="E1810" s="85">
        <v>9</v>
      </c>
      <c r="F1810" s="85">
        <v>7</v>
      </c>
      <c r="G1810" s="85">
        <f>--(F1810&lt;=Estimator!$B$7)</f>
        <v>0</v>
      </c>
      <c r="H1810" s="86">
        <f>SUMIFS('Climate Data'!$G$7:$G$366,'Climate Data'!$A$7:$A$366,Estimator!$B$4,'Climate Data'!$B$7:$B$366,C1810)</f>
        <v>0.22688172043010751</v>
      </c>
      <c r="I1810" s="87">
        <f>SUMIFS('Climate Data'!$H$7:$H$366,'Climate Data'!$A$7:$A$366,Estimator!$B$4,'Climate Data'!$B$7:$B$366,C1810)</f>
        <v>6.7962085308056865</v>
      </c>
      <c r="J1810" s="86">
        <f>SUMIFS('Wind Proxy'!$H$8:$H$19,'Wind Proxy'!$A$8:$A$19,Estimator!$B$4,'Wind Proxy'!$B$8:$B$19,C1810)</f>
        <v>0</v>
      </c>
    </row>
    <row r="1811" spans="1:10" ht="14.4">
      <c r="A1811" s="84">
        <v>47462</v>
      </c>
      <c r="B1811" s="85">
        <v>2029</v>
      </c>
      <c r="C1811" s="85">
        <v>12</v>
      </c>
      <c r="D1811" s="85" t="s">
        <v>77</v>
      </c>
      <c r="E1811" s="85">
        <v>10</v>
      </c>
      <c r="F1811" s="85">
        <v>1</v>
      </c>
      <c r="G1811" s="85">
        <f>--(F1811&lt;=Estimator!$B$7)</f>
        <v>1</v>
      </c>
      <c r="H1811" s="86">
        <f>SUMIFS('Climate Data'!$G$7:$G$366,'Climate Data'!$A$7:$A$366,Estimator!$B$4,'Climate Data'!$B$7:$B$366,C1811)</f>
        <v>0.22688172043010751</v>
      </c>
      <c r="I1811" s="87">
        <f>SUMIFS('Climate Data'!$H$7:$H$366,'Climate Data'!$A$7:$A$366,Estimator!$B$4,'Climate Data'!$B$7:$B$366,C1811)</f>
        <v>6.7962085308056865</v>
      </c>
      <c r="J1811" s="86">
        <f>SUMIFS('Wind Proxy'!$H$8:$H$19,'Wind Proxy'!$A$8:$A$19,Estimator!$B$4,'Wind Proxy'!$B$8:$B$19,C1811)</f>
        <v>0</v>
      </c>
    </row>
    <row r="1812" spans="1:10" ht="14.4">
      <c r="A1812" s="84">
        <v>47463</v>
      </c>
      <c r="B1812" s="85">
        <v>2029</v>
      </c>
      <c r="C1812" s="85">
        <v>12</v>
      </c>
      <c r="D1812" s="85" t="s">
        <v>77</v>
      </c>
      <c r="E1812" s="85">
        <v>11</v>
      </c>
      <c r="F1812" s="85">
        <v>2</v>
      </c>
      <c r="G1812" s="85">
        <f>--(F1812&lt;=Estimator!$B$7)</f>
        <v>1</v>
      </c>
      <c r="H1812" s="86">
        <f>SUMIFS('Climate Data'!$G$7:$G$366,'Climate Data'!$A$7:$A$366,Estimator!$B$4,'Climate Data'!$B$7:$B$366,C1812)</f>
        <v>0.22688172043010751</v>
      </c>
      <c r="I1812" s="87">
        <f>SUMIFS('Climate Data'!$H$7:$H$366,'Climate Data'!$A$7:$A$366,Estimator!$B$4,'Climate Data'!$B$7:$B$366,C1812)</f>
        <v>6.7962085308056865</v>
      </c>
      <c r="J1812" s="86">
        <f>SUMIFS('Wind Proxy'!$H$8:$H$19,'Wind Proxy'!$A$8:$A$19,Estimator!$B$4,'Wind Proxy'!$B$8:$B$19,C1812)</f>
        <v>0</v>
      </c>
    </row>
    <row r="1813" spans="1:10" ht="14.4">
      <c r="A1813" s="84">
        <v>47464</v>
      </c>
      <c r="B1813" s="85">
        <v>2029</v>
      </c>
      <c r="C1813" s="85">
        <v>12</v>
      </c>
      <c r="D1813" s="85" t="s">
        <v>77</v>
      </c>
      <c r="E1813" s="85">
        <v>12</v>
      </c>
      <c r="F1813" s="85">
        <v>3</v>
      </c>
      <c r="G1813" s="85">
        <f>--(F1813&lt;=Estimator!$B$7)</f>
        <v>1</v>
      </c>
      <c r="H1813" s="86">
        <f>SUMIFS('Climate Data'!$G$7:$G$366,'Climate Data'!$A$7:$A$366,Estimator!$B$4,'Climate Data'!$B$7:$B$366,C1813)</f>
        <v>0.22688172043010751</v>
      </c>
      <c r="I1813" s="87">
        <f>SUMIFS('Climate Data'!$H$7:$H$366,'Climate Data'!$A$7:$A$366,Estimator!$B$4,'Climate Data'!$B$7:$B$366,C1813)</f>
        <v>6.7962085308056865</v>
      </c>
      <c r="J1813" s="86">
        <f>SUMIFS('Wind Proxy'!$H$8:$H$19,'Wind Proxy'!$A$8:$A$19,Estimator!$B$4,'Wind Proxy'!$B$8:$B$19,C1813)</f>
        <v>0</v>
      </c>
    </row>
    <row r="1814" spans="1:10" ht="14.4">
      <c r="A1814" s="84">
        <v>47465</v>
      </c>
      <c r="B1814" s="85">
        <v>2029</v>
      </c>
      <c r="C1814" s="85">
        <v>12</v>
      </c>
      <c r="D1814" s="85" t="s">
        <v>77</v>
      </c>
      <c r="E1814" s="85">
        <v>13</v>
      </c>
      <c r="F1814" s="85">
        <v>4</v>
      </c>
      <c r="G1814" s="85">
        <f>--(F1814&lt;=Estimator!$B$7)</f>
        <v>1</v>
      </c>
      <c r="H1814" s="86">
        <f>SUMIFS('Climate Data'!$G$7:$G$366,'Climate Data'!$A$7:$A$366,Estimator!$B$4,'Climate Data'!$B$7:$B$366,C1814)</f>
        <v>0.22688172043010751</v>
      </c>
      <c r="I1814" s="87">
        <f>SUMIFS('Climate Data'!$H$7:$H$366,'Climate Data'!$A$7:$A$366,Estimator!$B$4,'Climate Data'!$B$7:$B$366,C1814)</f>
        <v>6.7962085308056865</v>
      </c>
      <c r="J1814" s="86">
        <f>SUMIFS('Wind Proxy'!$H$8:$H$19,'Wind Proxy'!$A$8:$A$19,Estimator!$B$4,'Wind Proxy'!$B$8:$B$19,C1814)</f>
        <v>0</v>
      </c>
    </row>
    <row r="1815" spans="1:10" ht="14.4">
      <c r="A1815" s="84">
        <v>47466</v>
      </c>
      <c r="B1815" s="85">
        <v>2029</v>
      </c>
      <c r="C1815" s="85">
        <v>12</v>
      </c>
      <c r="D1815" s="85" t="s">
        <v>77</v>
      </c>
      <c r="E1815" s="85">
        <v>14</v>
      </c>
      <c r="F1815" s="85">
        <v>5</v>
      </c>
      <c r="G1815" s="85">
        <f>--(F1815&lt;=Estimator!$B$7)</f>
        <v>1</v>
      </c>
      <c r="H1815" s="86">
        <f>SUMIFS('Climate Data'!$G$7:$G$366,'Climate Data'!$A$7:$A$366,Estimator!$B$4,'Climate Data'!$B$7:$B$366,C1815)</f>
        <v>0.22688172043010751</v>
      </c>
      <c r="I1815" s="87">
        <f>SUMIFS('Climate Data'!$H$7:$H$366,'Climate Data'!$A$7:$A$366,Estimator!$B$4,'Climate Data'!$B$7:$B$366,C1815)</f>
        <v>6.7962085308056865</v>
      </c>
      <c r="J1815" s="86">
        <f>SUMIFS('Wind Proxy'!$H$8:$H$19,'Wind Proxy'!$A$8:$A$19,Estimator!$B$4,'Wind Proxy'!$B$8:$B$19,C1815)</f>
        <v>0</v>
      </c>
    </row>
    <row r="1816" spans="1:10" ht="14.4">
      <c r="A1816" s="84">
        <v>47467</v>
      </c>
      <c r="B1816" s="85">
        <v>2029</v>
      </c>
      <c r="C1816" s="85">
        <v>12</v>
      </c>
      <c r="D1816" s="85" t="s">
        <v>77</v>
      </c>
      <c r="E1816" s="85">
        <v>15</v>
      </c>
      <c r="F1816" s="85">
        <v>6</v>
      </c>
      <c r="G1816" s="85">
        <f>--(F1816&lt;=Estimator!$B$7)</f>
        <v>0</v>
      </c>
      <c r="H1816" s="86">
        <f>SUMIFS('Climate Data'!$G$7:$G$366,'Climate Data'!$A$7:$A$366,Estimator!$B$4,'Climate Data'!$B$7:$B$366,C1816)</f>
        <v>0.22688172043010751</v>
      </c>
      <c r="I1816" s="87">
        <f>SUMIFS('Climate Data'!$H$7:$H$366,'Climate Data'!$A$7:$A$366,Estimator!$B$4,'Climate Data'!$B$7:$B$366,C1816)</f>
        <v>6.7962085308056865</v>
      </c>
      <c r="J1816" s="86">
        <f>SUMIFS('Wind Proxy'!$H$8:$H$19,'Wind Proxy'!$A$8:$A$19,Estimator!$B$4,'Wind Proxy'!$B$8:$B$19,C1816)</f>
        <v>0</v>
      </c>
    </row>
    <row r="1817" spans="1:10" ht="14.4">
      <c r="A1817" s="84">
        <v>47468</v>
      </c>
      <c r="B1817" s="85">
        <v>2029</v>
      </c>
      <c r="C1817" s="85">
        <v>12</v>
      </c>
      <c r="D1817" s="85" t="s">
        <v>77</v>
      </c>
      <c r="E1817" s="85">
        <v>16</v>
      </c>
      <c r="F1817" s="85">
        <v>7</v>
      </c>
      <c r="G1817" s="85">
        <f>--(F1817&lt;=Estimator!$B$7)</f>
        <v>0</v>
      </c>
      <c r="H1817" s="86">
        <f>SUMIFS('Climate Data'!$G$7:$G$366,'Climate Data'!$A$7:$A$366,Estimator!$B$4,'Climate Data'!$B$7:$B$366,C1817)</f>
        <v>0.22688172043010751</v>
      </c>
      <c r="I1817" s="87">
        <f>SUMIFS('Climate Data'!$H$7:$H$366,'Climate Data'!$A$7:$A$366,Estimator!$B$4,'Climate Data'!$B$7:$B$366,C1817)</f>
        <v>6.7962085308056865</v>
      </c>
      <c r="J1817" s="86">
        <f>SUMIFS('Wind Proxy'!$H$8:$H$19,'Wind Proxy'!$A$8:$A$19,Estimator!$B$4,'Wind Proxy'!$B$8:$B$19,C1817)</f>
        <v>0</v>
      </c>
    </row>
    <row r="1818" spans="1:10" ht="14.4">
      <c r="A1818" s="84">
        <v>47469</v>
      </c>
      <c r="B1818" s="85">
        <v>2029</v>
      </c>
      <c r="C1818" s="85">
        <v>12</v>
      </c>
      <c r="D1818" s="85" t="s">
        <v>77</v>
      </c>
      <c r="E1818" s="85">
        <v>17</v>
      </c>
      <c r="F1818" s="85">
        <v>1</v>
      </c>
      <c r="G1818" s="85">
        <f>--(F1818&lt;=Estimator!$B$7)</f>
        <v>1</v>
      </c>
      <c r="H1818" s="86">
        <f>SUMIFS('Climate Data'!$G$7:$G$366,'Climate Data'!$A$7:$A$366,Estimator!$B$4,'Climate Data'!$B$7:$B$366,C1818)</f>
        <v>0.22688172043010751</v>
      </c>
      <c r="I1818" s="87">
        <f>SUMIFS('Climate Data'!$H$7:$H$366,'Climate Data'!$A$7:$A$366,Estimator!$B$4,'Climate Data'!$B$7:$B$366,C1818)</f>
        <v>6.7962085308056865</v>
      </c>
      <c r="J1818" s="86">
        <f>SUMIFS('Wind Proxy'!$H$8:$H$19,'Wind Proxy'!$A$8:$A$19,Estimator!$B$4,'Wind Proxy'!$B$8:$B$19,C1818)</f>
        <v>0</v>
      </c>
    </row>
    <row r="1819" spans="1:10" ht="14.4">
      <c r="A1819" s="84">
        <v>47470</v>
      </c>
      <c r="B1819" s="85">
        <v>2029</v>
      </c>
      <c r="C1819" s="85">
        <v>12</v>
      </c>
      <c r="D1819" s="85" t="s">
        <v>77</v>
      </c>
      <c r="E1819" s="85">
        <v>18</v>
      </c>
      <c r="F1819" s="85">
        <v>2</v>
      </c>
      <c r="G1819" s="85">
        <f>--(F1819&lt;=Estimator!$B$7)</f>
        <v>1</v>
      </c>
      <c r="H1819" s="86">
        <f>SUMIFS('Climate Data'!$G$7:$G$366,'Climate Data'!$A$7:$A$366,Estimator!$B$4,'Climate Data'!$B$7:$B$366,C1819)</f>
        <v>0.22688172043010751</v>
      </c>
      <c r="I1819" s="87">
        <f>SUMIFS('Climate Data'!$H$7:$H$366,'Climate Data'!$A$7:$A$366,Estimator!$B$4,'Climate Data'!$B$7:$B$366,C1819)</f>
        <v>6.7962085308056865</v>
      </c>
      <c r="J1819" s="86">
        <f>SUMIFS('Wind Proxy'!$H$8:$H$19,'Wind Proxy'!$A$8:$A$19,Estimator!$B$4,'Wind Proxy'!$B$8:$B$19,C1819)</f>
        <v>0</v>
      </c>
    </row>
    <row r="1820" spans="1:10" ht="14.4">
      <c r="A1820" s="84">
        <v>47471</v>
      </c>
      <c r="B1820" s="85">
        <v>2029</v>
      </c>
      <c r="C1820" s="85">
        <v>12</v>
      </c>
      <c r="D1820" s="85" t="s">
        <v>77</v>
      </c>
      <c r="E1820" s="85">
        <v>19</v>
      </c>
      <c r="F1820" s="85">
        <v>3</v>
      </c>
      <c r="G1820" s="85">
        <f>--(F1820&lt;=Estimator!$B$7)</f>
        <v>1</v>
      </c>
      <c r="H1820" s="86">
        <f>SUMIFS('Climate Data'!$G$7:$G$366,'Climate Data'!$A$7:$A$366,Estimator!$B$4,'Climate Data'!$B$7:$B$366,C1820)</f>
        <v>0.22688172043010751</v>
      </c>
      <c r="I1820" s="87">
        <f>SUMIFS('Climate Data'!$H$7:$H$366,'Climate Data'!$A$7:$A$366,Estimator!$B$4,'Climate Data'!$B$7:$B$366,C1820)</f>
        <v>6.7962085308056865</v>
      </c>
      <c r="J1820" s="86">
        <f>SUMIFS('Wind Proxy'!$H$8:$H$19,'Wind Proxy'!$A$8:$A$19,Estimator!$B$4,'Wind Proxy'!$B$8:$B$19,C1820)</f>
        <v>0</v>
      </c>
    </row>
    <row r="1821" spans="1:10" ht="14.4">
      <c r="A1821" s="84">
        <v>47472</v>
      </c>
      <c r="B1821" s="85">
        <v>2029</v>
      </c>
      <c r="C1821" s="85">
        <v>12</v>
      </c>
      <c r="D1821" s="85" t="s">
        <v>77</v>
      </c>
      <c r="E1821" s="85">
        <v>20</v>
      </c>
      <c r="F1821" s="85">
        <v>4</v>
      </c>
      <c r="G1821" s="85">
        <f>--(F1821&lt;=Estimator!$B$7)</f>
        <v>1</v>
      </c>
      <c r="H1821" s="86">
        <f>SUMIFS('Climate Data'!$G$7:$G$366,'Climate Data'!$A$7:$A$366,Estimator!$B$4,'Climate Data'!$B$7:$B$366,C1821)</f>
        <v>0.22688172043010751</v>
      </c>
      <c r="I1821" s="87">
        <f>SUMIFS('Climate Data'!$H$7:$H$366,'Climate Data'!$A$7:$A$366,Estimator!$B$4,'Climate Data'!$B$7:$B$366,C1821)</f>
        <v>6.7962085308056865</v>
      </c>
      <c r="J1821" s="86">
        <f>SUMIFS('Wind Proxy'!$H$8:$H$19,'Wind Proxy'!$A$8:$A$19,Estimator!$B$4,'Wind Proxy'!$B$8:$B$19,C1821)</f>
        <v>0</v>
      </c>
    </row>
    <row r="1822" spans="1:10" ht="14.4">
      <c r="A1822" s="84">
        <v>47473</v>
      </c>
      <c r="B1822" s="85">
        <v>2029</v>
      </c>
      <c r="C1822" s="85">
        <v>12</v>
      </c>
      <c r="D1822" s="85" t="s">
        <v>77</v>
      </c>
      <c r="E1822" s="85">
        <v>21</v>
      </c>
      <c r="F1822" s="85">
        <v>5</v>
      </c>
      <c r="G1822" s="85">
        <f>--(F1822&lt;=Estimator!$B$7)</f>
        <v>1</v>
      </c>
      <c r="H1822" s="86">
        <f>SUMIFS('Climate Data'!$G$7:$G$366,'Climate Data'!$A$7:$A$366,Estimator!$B$4,'Climate Data'!$B$7:$B$366,C1822)</f>
        <v>0.22688172043010751</v>
      </c>
      <c r="I1822" s="87">
        <f>SUMIFS('Climate Data'!$H$7:$H$366,'Climate Data'!$A$7:$A$366,Estimator!$B$4,'Climate Data'!$B$7:$B$366,C1822)</f>
        <v>6.7962085308056865</v>
      </c>
      <c r="J1822" s="86">
        <f>SUMIFS('Wind Proxy'!$H$8:$H$19,'Wind Proxy'!$A$8:$A$19,Estimator!$B$4,'Wind Proxy'!$B$8:$B$19,C1822)</f>
        <v>0</v>
      </c>
    </row>
    <row r="1823" spans="1:10" ht="14.4">
      <c r="A1823" s="84">
        <v>47474</v>
      </c>
      <c r="B1823" s="85">
        <v>2029</v>
      </c>
      <c r="C1823" s="85">
        <v>12</v>
      </c>
      <c r="D1823" s="85" t="s">
        <v>77</v>
      </c>
      <c r="E1823" s="85">
        <v>22</v>
      </c>
      <c r="F1823" s="85">
        <v>6</v>
      </c>
      <c r="G1823" s="85">
        <f>--(F1823&lt;=Estimator!$B$7)</f>
        <v>0</v>
      </c>
      <c r="H1823" s="86">
        <f>SUMIFS('Climate Data'!$G$7:$G$366,'Climate Data'!$A$7:$A$366,Estimator!$B$4,'Climate Data'!$B$7:$B$366,C1823)</f>
        <v>0.22688172043010751</v>
      </c>
      <c r="I1823" s="87">
        <f>SUMIFS('Climate Data'!$H$7:$H$366,'Climate Data'!$A$7:$A$366,Estimator!$B$4,'Climate Data'!$B$7:$B$366,C1823)</f>
        <v>6.7962085308056865</v>
      </c>
      <c r="J1823" s="86">
        <f>SUMIFS('Wind Proxy'!$H$8:$H$19,'Wind Proxy'!$A$8:$A$19,Estimator!$B$4,'Wind Proxy'!$B$8:$B$19,C1823)</f>
        <v>0</v>
      </c>
    </row>
    <row r="1824" spans="1:10" ht="14.4">
      <c r="A1824" s="84">
        <v>47475</v>
      </c>
      <c r="B1824" s="85">
        <v>2029</v>
      </c>
      <c r="C1824" s="85">
        <v>12</v>
      </c>
      <c r="D1824" s="85" t="s">
        <v>77</v>
      </c>
      <c r="E1824" s="85">
        <v>23</v>
      </c>
      <c r="F1824" s="85">
        <v>7</v>
      </c>
      <c r="G1824" s="85">
        <f>--(F1824&lt;=Estimator!$B$7)</f>
        <v>0</v>
      </c>
      <c r="H1824" s="86">
        <f>SUMIFS('Climate Data'!$G$7:$G$366,'Climate Data'!$A$7:$A$366,Estimator!$B$4,'Climate Data'!$B$7:$B$366,C1824)</f>
        <v>0.22688172043010751</v>
      </c>
      <c r="I1824" s="87">
        <f>SUMIFS('Climate Data'!$H$7:$H$366,'Climate Data'!$A$7:$A$366,Estimator!$B$4,'Climate Data'!$B$7:$B$366,C1824)</f>
        <v>6.7962085308056865</v>
      </c>
      <c r="J1824" s="86">
        <f>SUMIFS('Wind Proxy'!$H$8:$H$19,'Wind Proxy'!$A$8:$A$19,Estimator!$B$4,'Wind Proxy'!$B$8:$B$19,C1824)</f>
        <v>0</v>
      </c>
    </row>
    <row r="1825" spans="1:10" ht="14.4">
      <c r="A1825" s="84">
        <v>47476</v>
      </c>
      <c r="B1825" s="85">
        <v>2029</v>
      </c>
      <c r="C1825" s="85">
        <v>12</v>
      </c>
      <c r="D1825" s="85" t="s">
        <v>77</v>
      </c>
      <c r="E1825" s="85">
        <v>24</v>
      </c>
      <c r="F1825" s="85">
        <v>1</v>
      </c>
      <c r="G1825" s="85">
        <f>--(F1825&lt;=Estimator!$B$7)</f>
        <v>1</v>
      </c>
      <c r="H1825" s="86">
        <f>SUMIFS('Climate Data'!$G$7:$G$366,'Climate Data'!$A$7:$A$366,Estimator!$B$4,'Climate Data'!$B$7:$B$366,C1825)</f>
        <v>0.22688172043010751</v>
      </c>
      <c r="I1825" s="87">
        <f>SUMIFS('Climate Data'!$H$7:$H$366,'Climate Data'!$A$7:$A$366,Estimator!$B$4,'Climate Data'!$B$7:$B$366,C1825)</f>
        <v>6.7962085308056865</v>
      </c>
      <c r="J1825" s="86">
        <f>SUMIFS('Wind Proxy'!$H$8:$H$19,'Wind Proxy'!$A$8:$A$19,Estimator!$B$4,'Wind Proxy'!$B$8:$B$19,C1825)</f>
        <v>0</v>
      </c>
    </row>
    <row r="1826" spans="1:10" ht="14.4">
      <c r="A1826" s="84">
        <v>47477</v>
      </c>
      <c r="B1826" s="85">
        <v>2029</v>
      </c>
      <c r="C1826" s="85">
        <v>12</v>
      </c>
      <c r="D1826" s="85" t="s">
        <v>77</v>
      </c>
      <c r="E1826" s="85">
        <v>25</v>
      </c>
      <c r="F1826" s="85">
        <v>2</v>
      </c>
      <c r="G1826" s="85">
        <f>--(F1826&lt;=Estimator!$B$7)</f>
        <v>1</v>
      </c>
      <c r="H1826" s="86">
        <f>SUMIFS('Climate Data'!$G$7:$G$366,'Climate Data'!$A$7:$A$366,Estimator!$B$4,'Climate Data'!$B$7:$B$366,C1826)</f>
        <v>0.22688172043010751</v>
      </c>
      <c r="I1826" s="87">
        <f>SUMIFS('Climate Data'!$H$7:$H$366,'Climate Data'!$A$7:$A$366,Estimator!$B$4,'Climate Data'!$B$7:$B$366,C1826)</f>
        <v>6.7962085308056865</v>
      </c>
      <c r="J1826" s="86">
        <f>SUMIFS('Wind Proxy'!$H$8:$H$19,'Wind Proxy'!$A$8:$A$19,Estimator!$B$4,'Wind Proxy'!$B$8:$B$19,C1826)</f>
        <v>0</v>
      </c>
    </row>
    <row r="1827" spans="1:10" ht="14.4">
      <c r="A1827" s="84">
        <v>47478</v>
      </c>
      <c r="B1827" s="85">
        <v>2029</v>
      </c>
      <c r="C1827" s="85">
        <v>12</v>
      </c>
      <c r="D1827" s="85" t="s">
        <v>77</v>
      </c>
      <c r="E1827" s="85">
        <v>26</v>
      </c>
      <c r="F1827" s="85">
        <v>3</v>
      </c>
      <c r="G1827" s="85">
        <f>--(F1827&lt;=Estimator!$B$7)</f>
        <v>1</v>
      </c>
      <c r="H1827" s="86">
        <f>SUMIFS('Climate Data'!$G$7:$G$366,'Climate Data'!$A$7:$A$366,Estimator!$B$4,'Climate Data'!$B$7:$B$366,C1827)</f>
        <v>0.22688172043010751</v>
      </c>
      <c r="I1827" s="87">
        <f>SUMIFS('Climate Data'!$H$7:$H$366,'Climate Data'!$A$7:$A$366,Estimator!$B$4,'Climate Data'!$B$7:$B$366,C1827)</f>
        <v>6.7962085308056865</v>
      </c>
      <c r="J1827" s="86">
        <f>SUMIFS('Wind Proxy'!$H$8:$H$19,'Wind Proxy'!$A$8:$A$19,Estimator!$B$4,'Wind Proxy'!$B$8:$B$19,C1827)</f>
        <v>0</v>
      </c>
    </row>
    <row r="1828" spans="1:10" ht="14.4">
      <c r="A1828" s="84">
        <v>47479</v>
      </c>
      <c r="B1828" s="85">
        <v>2029</v>
      </c>
      <c r="C1828" s="85">
        <v>12</v>
      </c>
      <c r="D1828" s="85" t="s">
        <v>77</v>
      </c>
      <c r="E1828" s="85">
        <v>27</v>
      </c>
      <c r="F1828" s="85">
        <v>4</v>
      </c>
      <c r="G1828" s="85">
        <f>--(F1828&lt;=Estimator!$B$7)</f>
        <v>1</v>
      </c>
      <c r="H1828" s="86">
        <f>SUMIFS('Climate Data'!$G$7:$G$366,'Climate Data'!$A$7:$A$366,Estimator!$B$4,'Climate Data'!$B$7:$B$366,C1828)</f>
        <v>0.22688172043010751</v>
      </c>
      <c r="I1828" s="87">
        <f>SUMIFS('Climate Data'!$H$7:$H$366,'Climate Data'!$A$7:$A$366,Estimator!$B$4,'Climate Data'!$B$7:$B$366,C1828)</f>
        <v>6.7962085308056865</v>
      </c>
      <c r="J1828" s="86">
        <f>SUMIFS('Wind Proxy'!$H$8:$H$19,'Wind Proxy'!$A$8:$A$19,Estimator!$B$4,'Wind Proxy'!$B$8:$B$19,C1828)</f>
        <v>0</v>
      </c>
    </row>
    <row r="1829" spans="1:10" ht="14.4">
      <c r="A1829" s="84">
        <v>47480</v>
      </c>
      <c r="B1829" s="85">
        <v>2029</v>
      </c>
      <c r="C1829" s="85">
        <v>12</v>
      </c>
      <c r="D1829" s="85" t="s">
        <v>77</v>
      </c>
      <c r="E1829" s="85">
        <v>28</v>
      </c>
      <c r="F1829" s="85">
        <v>5</v>
      </c>
      <c r="G1829" s="85">
        <f>--(F1829&lt;=Estimator!$B$7)</f>
        <v>1</v>
      </c>
      <c r="H1829" s="86">
        <f>SUMIFS('Climate Data'!$G$7:$G$366,'Climate Data'!$A$7:$A$366,Estimator!$B$4,'Climate Data'!$B$7:$B$366,C1829)</f>
        <v>0.22688172043010751</v>
      </c>
      <c r="I1829" s="87">
        <f>SUMIFS('Climate Data'!$H$7:$H$366,'Climate Data'!$A$7:$A$366,Estimator!$B$4,'Climate Data'!$B$7:$B$366,C1829)</f>
        <v>6.7962085308056865</v>
      </c>
      <c r="J1829" s="86">
        <f>SUMIFS('Wind Proxy'!$H$8:$H$19,'Wind Proxy'!$A$8:$A$19,Estimator!$B$4,'Wind Proxy'!$B$8:$B$19,C1829)</f>
        <v>0</v>
      </c>
    </row>
    <row r="1830" spans="1:10" ht="14.4">
      <c r="A1830" s="84">
        <v>47481</v>
      </c>
      <c r="B1830" s="85">
        <v>2029</v>
      </c>
      <c r="C1830" s="85">
        <v>12</v>
      </c>
      <c r="D1830" s="85" t="s">
        <v>77</v>
      </c>
      <c r="E1830" s="85">
        <v>29</v>
      </c>
      <c r="F1830" s="85">
        <v>6</v>
      </c>
      <c r="G1830" s="85">
        <f>--(F1830&lt;=Estimator!$B$7)</f>
        <v>0</v>
      </c>
      <c r="H1830" s="86">
        <f>SUMIFS('Climate Data'!$G$7:$G$366,'Climate Data'!$A$7:$A$366,Estimator!$B$4,'Climate Data'!$B$7:$B$366,C1830)</f>
        <v>0.22688172043010751</v>
      </c>
      <c r="I1830" s="87">
        <f>SUMIFS('Climate Data'!$H$7:$H$366,'Climate Data'!$A$7:$A$366,Estimator!$B$4,'Climate Data'!$B$7:$B$366,C1830)</f>
        <v>6.7962085308056865</v>
      </c>
      <c r="J1830" s="86">
        <f>SUMIFS('Wind Proxy'!$H$8:$H$19,'Wind Proxy'!$A$8:$A$19,Estimator!$B$4,'Wind Proxy'!$B$8:$B$19,C1830)</f>
        <v>0</v>
      </c>
    </row>
    <row r="1831" spans="1:10" ht="14.4">
      <c r="A1831" s="84">
        <v>47482</v>
      </c>
      <c r="B1831" s="85">
        <v>2029</v>
      </c>
      <c r="C1831" s="85">
        <v>12</v>
      </c>
      <c r="D1831" s="85" t="s">
        <v>77</v>
      </c>
      <c r="E1831" s="85">
        <v>30</v>
      </c>
      <c r="F1831" s="85">
        <v>7</v>
      </c>
      <c r="G1831" s="85">
        <f>--(F1831&lt;=Estimator!$B$7)</f>
        <v>0</v>
      </c>
      <c r="H1831" s="86">
        <f>SUMIFS('Climate Data'!$G$7:$G$366,'Climate Data'!$A$7:$A$366,Estimator!$B$4,'Climate Data'!$B$7:$B$366,C1831)</f>
        <v>0.22688172043010751</v>
      </c>
      <c r="I1831" s="87">
        <f>SUMIFS('Climate Data'!$H$7:$H$366,'Climate Data'!$A$7:$A$366,Estimator!$B$4,'Climate Data'!$B$7:$B$366,C1831)</f>
        <v>6.7962085308056865</v>
      </c>
      <c r="J1831" s="86">
        <f>SUMIFS('Wind Proxy'!$H$8:$H$19,'Wind Proxy'!$A$8:$A$19,Estimator!$B$4,'Wind Proxy'!$B$8:$B$19,C1831)</f>
        <v>0</v>
      </c>
    </row>
    <row r="1832" spans="1:10" ht="14.4">
      <c r="A1832" s="84">
        <v>47483</v>
      </c>
      <c r="B1832" s="85">
        <v>2029</v>
      </c>
      <c r="C1832" s="85">
        <v>12</v>
      </c>
      <c r="D1832" s="85" t="s">
        <v>77</v>
      </c>
      <c r="E1832" s="85">
        <v>31</v>
      </c>
      <c r="F1832" s="85">
        <v>1</v>
      </c>
      <c r="G1832" s="85">
        <f>--(F1832&lt;=Estimator!$B$7)</f>
        <v>1</v>
      </c>
      <c r="H1832" s="86">
        <f>SUMIFS('Climate Data'!$G$7:$G$366,'Climate Data'!$A$7:$A$366,Estimator!$B$4,'Climate Data'!$B$7:$B$366,C1832)</f>
        <v>0.22688172043010751</v>
      </c>
      <c r="I1832" s="87">
        <f>SUMIFS('Climate Data'!$H$7:$H$366,'Climate Data'!$A$7:$A$366,Estimator!$B$4,'Climate Data'!$B$7:$B$366,C1832)</f>
        <v>6.7962085308056865</v>
      </c>
      <c r="J1832" s="86">
        <f>SUMIFS('Wind Proxy'!$H$8:$H$19,'Wind Proxy'!$A$8:$A$19,Estimator!$B$4,'Wind Proxy'!$B$8:$B$19,C1832)</f>
        <v>0</v>
      </c>
    </row>
    <row r="1833" spans="1:10" ht="14.4">
      <c r="A1833" s="84">
        <v>47484</v>
      </c>
      <c r="B1833" s="85">
        <v>2030</v>
      </c>
      <c r="C1833" s="85">
        <v>1</v>
      </c>
      <c r="D1833" s="85" t="s">
        <v>55</v>
      </c>
      <c r="E1833" s="85">
        <v>1</v>
      </c>
      <c r="F1833" s="85">
        <v>2</v>
      </c>
      <c r="G1833" s="85">
        <f>--(F1833&lt;=Estimator!$B$7)</f>
        <v>1</v>
      </c>
      <c r="H1833" s="86">
        <f>SUMIFS('Climate Data'!$G$7:$G$366,'Climate Data'!$A$7:$A$366,Estimator!$B$4,'Climate Data'!$B$7:$B$366,C1833)</f>
        <v>0.19462365591397848</v>
      </c>
      <c r="I1833" s="87">
        <f>SUMIFS('Climate Data'!$H$7:$H$366,'Climate Data'!$A$7:$A$366,Estimator!$B$4,'Climate Data'!$B$7:$B$366,C1833)</f>
        <v>7.027624309392265</v>
      </c>
      <c r="J1833" s="86">
        <f>SUMIFS('Wind Proxy'!$H$8:$H$19,'Wind Proxy'!$A$8:$A$19,Estimator!$B$4,'Wind Proxy'!$B$8:$B$19,C1833)</f>
        <v>0</v>
      </c>
    </row>
    <row r="1834" spans="1:10" ht="14.4">
      <c r="A1834" s="84">
        <v>47485</v>
      </c>
      <c r="B1834" s="85">
        <v>2030</v>
      </c>
      <c r="C1834" s="85">
        <v>1</v>
      </c>
      <c r="D1834" s="85" t="s">
        <v>55</v>
      </c>
      <c r="E1834" s="85">
        <v>2</v>
      </c>
      <c r="F1834" s="85">
        <v>3</v>
      </c>
      <c r="G1834" s="85">
        <f>--(F1834&lt;=Estimator!$B$7)</f>
        <v>1</v>
      </c>
      <c r="H1834" s="86">
        <f>SUMIFS('Climate Data'!$G$7:$G$366,'Climate Data'!$A$7:$A$366,Estimator!$B$4,'Climate Data'!$B$7:$B$366,C1834)</f>
        <v>0.19462365591397848</v>
      </c>
      <c r="I1834" s="87">
        <f>SUMIFS('Climate Data'!$H$7:$H$366,'Climate Data'!$A$7:$A$366,Estimator!$B$4,'Climate Data'!$B$7:$B$366,C1834)</f>
        <v>7.027624309392265</v>
      </c>
      <c r="J1834" s="86">
        <f>SUMIFS('Wind Proxy'!$H$8:$H$19,'Wind Proxy'!$A$8:$A$19,Estimator!$B$4,'Wind Proxy'!$B$8:$B$19,C1834)</f>
        <v>0</v>
      </c>
    </row>
    <row r="1835" spans="1:10" ht="14.4">
      <c r="A1835" s="84">
        <v>47486</v>
      </c>
      <c r="B1835" s="85">
        <v>2030</v>
      </c>
      <c r="C1835" s="85">
        <v>1</v>
      </c>
      <c r="D1835" s="85" t="s">
        <v>55</v>
      </c>
      <c r="E1835" s="85">
        <v>3</v>
      </c>
      <c r="F1835" s="85">
        <v>4</v>
      </c>
      <c r="G1835" s="85">
        <f>--(F1835&lt;=Estimator!$B$7)</f>
        <v>1</v>
      </c>
      <c r="H1835" s="86">
        <f>SUMIFS('Climate Data'!$G$7:$G$366,'Climate Data'!$A$7:$A$366,Estimator!$B$4,'Climate Data'!$B$7:$B$366,C1835)</f>
        <v>0.19462365591397848</v>
      </c>
      <c r="I1835" s="87">
        <f>SUMIFS('Climate Data'!$H$7:$H$366,'Climate Data'!$A$7:$A$366,Estimator!$B$4,'Climate Data'!$B$7:$B$366,C1835)</f>
        <v>7.027624309392265</v>
      </c>
      <c r="J1835" s="86">
        <f>SUMIFS('Wind Proxy'!$H$8:$H$19,'Wind Proxy'!$A$8:$A$19,Estimator!$B$4,'Wind Proxy'!$B$8:$B$19,C1835)</f>
        <v>0</v>
      </c>
    </row>
    <row r="1836" spans="1:10" ht="14.4">
      <c r="A1836" s="84">
        <v>47487</v>
      </c>
      <c r="B1836" s="85">
        <v>2030</v>
      </c>
      <c r="C1836" s="85">
        <v>1</v>
      </c>
      <c r="D1836" s="85" t="s">
        <v>55</v>
      </c>
      <c r="E1836" s="85">
        <v>4</v>
      </c>
      <c r="F1836" s="85">
        <v>5</v>
      </c>
      <c r="G1836" s="85">
        <f>--(F1836&lt;=Estimator!$B$7)</f>
        <v>1</v>
      </c>
      <c r="H1836" s="86">
        <f>SUMIFS('Climate Data'!$G$7:$G$366,'Climate Data'!$A$7:$A$366,Estimator!$B$4,'Climate Data'!$B$7:$B$366,C1836)</f>
        <v>0.19462365591397848</v>
      </c>
      <c r="I1836" s="87">
        <f>SUMIFS('Climate Data'!$H$7:$H$366,'Climate Data'!$A$7:$A$366,Estimator!$B$4,'Climate Data'!$B$7:$B$366,C1836)</f>
        <v>7.027624309392265</v>
      </c>
      <c r="J1836" s="86">
        <f>SUMIFS('Wind Proxy'!$H$8:$H$19,'Wind Proxy'!$A$8:$A$19,Estimator!$B$4,'Wind Proxy'!$B$8:$B$19,C1836)</f>
        <v>0</v>
      </c>
    </row>
    <row r="1837" spans="1:10" ht="14.4">
      <c r="A1837" s="84">
        <v>47488</v>
      </c>
      <c r="B1837" s="85">
        <v>2030</v>
      </c>
      <c r="C1837" s="85">
        <v>1</v>
      </c>
      <c r="D1837" s="85" t="s">
        <v>55</v>
      </c>
      <c r="E1837" s="85">
        <v>5</v>
      </c>
      <c r="F1837" s="85">
        <v>6</v>
      </c>
      <c r="G1837" s="85">
        <f>--(F1837&lt;=Estimator!$B$7)</f>
        <v>0</v>
      </c>
      <c r="H1837" s="86">
        <f>SUMIFS('Climate Data'!$G$7:$G$366,'Climate Data'!$A$7:$A$366,Estimator!$B$4,'Climate Data'!$B$7:$B$366,C1837)</f>
        <v>0.19462365591397848</v>
      </c>
      <c r="I1837" s="87">
        <f>SUMIFS('Climate Data'!$H$7:$H$366,'Climate Data'!$A$7:$A$366,Estimator!$B$4,'Climate Data'!$B$7:$B$366,C1837)</f>
        <v>7.027624309392265</v>
      </c>
      <c r="J1837" s="86">
        <f>SUMIFS('Wind Proxy'!$H$8:$H$19,'Wind Proxy'!$A$8:$A$19,Estimator!$B$4,'Wind Proxy'!$B$8:$B$19,C1837)</f>
        <v>0</v>
      </c>
    </row>
    <row r="1838" spans="1:10" ht="14.4">
      <c r="A1838" s="84">
        <v>47489</v>
      </c>
      <c r="B1838" s="85">
        <v>2030</v>
      </c>
      <c r="C1838" s="85">
        <v>1</v>
      </c>
      <c r="D1838" s="85" t="s">
        <v>55</v>
      </c>
      <c r="E1838" s="85">
        <v>6</v>
      </c>
      <c r="F1838" s="85">
        <v>7</v>
      </c>
      <c r="G1838" s="85">
        <f>--(F1838&lt;=Estimator!$B$7)</f>
        <v>0</v>
      </c>
      <c r="H1838" s="86">
        <f>SUMIFS('Climate Data'!$G$7:$G$366,'Climate Data'!$A$7:$A$366,Estimator!$B$4,'Climate Data'!$B$7:$B$366,C1838)</f>
        <v>0.19462365591397848</v>
      </c>
      <c r="I1838" s="87">
        <f>SUMIFS('Climate Data'!$H$7:$H$366,'Climate Data'!$A$7:$A$366,Estimator!$B$4,'Climate Data'!$B$7:$B$366,C1838)</f>
        <v>7.027624309392265</v>
      </c>
      <c r="J1838" s="86">
        <f>SUMIFS('Wind Proxy'!$H$8:$H$19,'Wind Proxy'!$A$8:$A$19,Estimator!$B$4,'Wind Proxy'!$B$8:$B$19,C1838)</f>
        <v>0</v>
      </c>
    </row>
    <row r="1839" spans="1:10" ht="14.4">
      <c r="A1839" s="84">
        <v>47490</v>
      </c>
      <c r="B1839" s="85">
        <v>2030</v>
      </c>
      <c r="C1839" s="85">
        <v>1</v>
      </c>
      <c r="D1839" s="85" t="s">
        <v>55</v>
      </c>
      <c r="E1839" s="85">
        <v>7</v>
      </c>
      <c r="F1839" s="85">
        <v>1</v>
      </c>
      <c r="G1839" s="85">
        <f>--(F1839&lt;=Estimator!$B$7)</f>
        <v>1</v>
      </c>
      <c r="H1839" s="86">
        <f>SUMIFS('Climate Data'!$G$7:$G$366,'Climate Data'!$A$7:$A$366,Estimator!$B$4,'Climate Data'!$B$7:$B$366,C1839)</f>
        <v>0.19462365591397848</v>
      </c>
      <c r="I1839" s="87">
        <f>SUMIFS('Climate Data'!$H$7:$H$366,'Climate Data'!$A$7:$A$366,Estimator!$B$4,'Climate Data'!$B$7:$B$366,C1839)</f>
        <v>7.027624309392265</v>
      </c>
      <c r="J1839" s="86">
        <f>SUMIFS('Wind Proxy'!$H$8:$H$19,'Wind Proxy'!$A$8:$A$19,Estimator!$B$4,'Wind Proxy'!$B$8:$B$19,C1839)</f>
        <v>0</v>
      </c>
    </row>
    <row r="1840" spans="1:10" ht="14.4">
      <c r="A1840" s="84">
        <v>47491</v>
      </c>
      <c r="B1840" s="85">
        <v>2030</v>
      </c>
      <c r="C1840" s="85">
        <v>1</v>
      </c>
      <c r="D1840" s="85" t="s">
        <v>55</v>
      </c>
      <c r="E1840" s="85">
        <v>8</v>
      </c>
      <c r="F1840" s="85">
        <v>2</v>
      </c>
      <c r="G1840" s="85">
        <f>--(F1840&lt;=Estimator!$B$7)</f>
        <v>1</v>
      </c>
      <c r="H1840" s="86">
        <f>SUMIFS('Climate Data'!$G$7:$G$366,'Climate Data'!$A$7:$A$366,Estimator!$B$4,'Climate Data'!$B$7:$B$366,C1840)</f>
        <v>0.19462365591397848</v>
      </c>
      <c r="I1840" s="87">
        <f>SUMIFS('Climate Data'!$H$7:$H$366,'Climate Data'!$A$7:$A$366,Estimator!$B$4,'Climate Data'!$B$7:$B$366,C1840)</f>
        <v>7.027624309392265</v>
      </c>
      <c r="J1840" s="86">
        <f>SUMIFS('Wind Proxy'!$H$8:$H$19,'Wind Proxy'!$A$8:$A$19,Estimator!$B$4,'Wind Proxy'!$B$8:$B$19,C1840)</f>
        <v>0</v>
      </c>
    </row>
    <row r="1841" spans="1:10" ht="14.4">
      <c r="A1841" s="84">
        <v>47492</v>
      </c>
      <c r="B1841" s="85">
        <v>2030</v>
      </c>
      <c r="C1841" s="85">
        <v>1</v>
      </c>
      <c r="D1841" s="85" t="s">
        <v>55</v>
      </c>
      <c r="E1841" s="85">
        <v>9</v>
      </c>
      <c r="F1841" s="85">
        <v>3</v>
      </c>
      <c r="G1841" s="85">
        <f>--(F1841&lt;=Estimator!$B$7)</f>
        <v>1</v>
      </c>
      <c r="H1841" s="86">
        <f>SUMIFS('Climate Data'!$G$7:$G$366,'Climate Data'!$A$7:$A$366,Estimator!$B$4,'Climate Data'!$B$7:$B$366,C1841)</f>
        <v>0.19462365591397848</v>
      </c>
      <c r="I1841" s="87">
        <f>SUMIFS('Climate Data'!$H$7:$H$366,'Climate Data'!$A$7:$A$366,Estimator!$B$4,'Climate Data'!$B$7:$B$366,C1841)</f>
        <v>7.027624309392265</v>
      </c>
      <c r="J1841" s="86">
        <f>SUMIFS('Wind Proxy'!$H$8:$H$19,'Wind Proxy'!$A$8:$A$19,Estimator!$B$4,'Wind Proxy'!$B$8:$B$19,C1841)</f>
        <v>0</v>
      </c>
    </row>
    <row r="1842" spans="1:10" ht="14.4">
      <c r="A1842" s="84">
        <v>47493</v>
      </c>
      <c r="B1842" s="85">
        <v>2030</v>
      </c>
      <c r="C1842" s="85">
        <v>1</v>
      </c>
      <c r="D1842" s="85" t="s">
        <v>55</v>
      </c>
      <c r="E1842" s="85">
        <v>10</v>
      </c>
      <c r="F1842" s="85">
        <v>4</v>
      </c>
      <c r="G1842" s="85">
        <f>--(F1842&lt;=Estimator!$B$7)</f>
        <v>1</v>
      </c>
      <c r="H1842" s="86">
        <f>SUMIFS('Climate Data'!$G$7:$G$366,'Climate Data'!$A$7:$A$366,Estimator!$B$4,'Climate Data'!$B$7:$B$366,C1842)</f>
        <v>0.19462365591397848</v>
      </c>
      <c r="I1842" s="87">
        <f>SUMIFS('Climate Data'!$H$7:$H$366,'Climate Data'!$A$7:$A$366,Estimator!$B$4,'Climate Data'!$B$7:$B$366,C1842)</f>
        <v>7.027624309392265</v>
      </c>
      <c r="J1842" s="86">
        <f>SUMIFS('Wind Proxy'!$H$8:$H$19,'Wind Proxy'!$A$8:$A$19,Estimator!$B$4,'Wind Proxy'!$B$8:$B$19,C1842)</f>
        <v>0</v>
      </c>
    </row>
    <row r="1843" spans="1:10" ht="14.4">
      <c r="A1843" s="84">
        <v>47494</v>
      </c>
      <c r="B1843" s="85">
        <v>2030</v>
      </c>
      <c r="C1843" s="85">
        <v>1</v>
      </c>
      <c r="D1843" s="85" t="s">
        <v>55</v>
      </c>
      <c r="E1843" s="85">
        <v>11</v>
      </c>
      <c r="F1843" s="85">
        <v>5</v>
      </c>
      <c r="G1843" s="85">
        <f>--(F1843&lt;=Estimator!$B$7)</f>
        <v>1</v>
      </c>
      <c r="H1843" s="86">
        <f>SUMIFS('Climate Data'!$G$7:$G$366,'Climate Data'!$A$7:$A$366,Estimator!$B$4,'Climate Data'!$B$7:$B$366,C1843)</f>
        <v>0.19462365591397848</v>
      </c>
      <c r="I1843" s="87">
        <f>SUMIFS('Climate Data'!$H$7:$H$366,'Climate Data'!$A$7:$A$366,Estimator!$B$4,'Climate Data'!$B$7:$B$366,C1843)</f>
        <v>7.027624309392265</v>
      </c>
      <c r="J1843" s="86">
        <f>SUMIFS('Wind Proxy'!$H$8:$H$19,'Wind Proxy'!$A$8:$A$19,Estimator!$B$4,'Wind Proxy'!$B$8:$B$19,C1843)</f>
        <v>0</v>
      </c>
    </row>
    <row r="1844" spans="1:10" ht="14.4">
      <c r="A1844" s="84">
        <v>47495</v>
      </c>
      <c r="B1844" s="85">
        <v>2030</v>
      </c>
      <c r="C1844" s="85">
        <v>1</v>
      </c>
      <c r="D1844" s="85" t="s">
        <v>55</v>
      </c>
      <c r="E1844" s="85">
        <v>12</v>
      </c>
      <c r="F1844" s="85">
        <v>6</v>
      </c>
      <c r="G1844" s="85">
        <f>--(F1844&lt;=Estimator!$B$7)</f>
        <v>0</v>
      </c>
      <c r="H1844" s="86">
        <f>SUMIFS('Climate Data'!$G$7:$G$366,'Climate Data'!$A$7:$A$366,Estimator!$B$4,'Climate Data'!$B$7:$B$366,C1844)</f>
        <v>0.19462365591397848</v>
      </c>
      <c r="I1844" s="87">
        <f>SUMIFS('Climate Data'!$H$7:$H$366,'Climate Data'!$A$7:$A$366,Estimator!$B$4,'Climate Data'!$B$7:$B$366,C1844)</f>
        <v>7.027624309392265</v>
      </c>
      <c r="J1844" s="86">
        <f>SUMIFS('Wind Proxy'!$H$8:$H$19,'Wind Proxy'!$A$8:$A$19,Estimator!$B$4,'Wind Proxy'!$B$8:$B$19,C1844)</f>
        <v>0</v>
      </c>
    </row>
    <row r="1845" spans="1:10" ht="14.4">
      <c r="A1845" s="84">
        <v>47496</v>
      </c>
      <c r="B1845" s="85">
        <v>2030</v>
      </c>
      <c r="C1845" s="85">
        <v>1</v>
      </c>
      <c r="D1845" s="85" t="s">
        <v>55</v>
      </c>
      <c r="E1845" s="85">
        <v>13</v>
      </c>
      <c r="F1845" s="85">
        <v>7</v>
      </c>
      <c r="G1845" s="85">
        <f>--(F1845&lt;=Estimator!$B$7)</f>
        <v>0</v>
      </c>
      <c r="H1845" s="86">
        <f>SUMIFS('Climate Data'!$G$7:$G$366,'Climate Data'!$A$7:$A$366,Estimator!$B$4,'Climate Data'!$B$7:$B$366,C1845)</f>
        <v>0.19462365591397848</v>
      </c>
      <c r="I1845" s="87">
        <f>SUMIFS('Climate Data'!$H$7:$H$366,'Climate Data'!$A$7:$A$366,Estimator!$B$4,'Climate Data'!$B$7:$B$366,C1845)</f>
        <v>7.027624309392265</v>
      </c>
      <c r="J1845" s="86">
        <f>SUMIFS('Wind Proxy'!$H$8:$H$19,'Wind Proxy'!$A$8:$A$19,Estimator!$B$4,'Wind Proxy'!$B$8:$B$19,C1845)</f>
        <v>0</v>
      </c>
    </row>
    <row r="1846" spans="1:10" ht="14.4">
      <c r="A1846" s="84">
        <v>47497</v>
      </c>
      <c r="B1846" s="85">
        <v>2030</v>
      </c>
      <c r="C1846" s="85">
        <v>1</v>
      </c>
      <c r="D1846" s="85" t="s">
        <v>55</v>
      </c>
      <c r="E1846" s="85">
        <v>14</v>
      </c>
      <c r="F1846" s="85">
        <v>1</v>
      </c>
      <c r="G1846" s="85">
        <f>--(F1846&lt;=Estimator!$B$7)</f>
        <v>1</v>
      </c>
      <c r="H1846" s="86">
        <f>SUMIFS('Climate Data'!$G$7:$G$366,'Climate Data'!$A$7:$A$366,Estimator!$B$4,'Climate Data'!$B$7:$B$366,C1846)</f>
        <v>0.19462365591397848</v>
      </c>
      <c r="I1846" s="87">
        <f>SUMIFS('Climate Data'!$H$7:$H$366,'Climate Data'!$A$7:$A$366,Estimator!$B$4,'Climate Data'!$B$7:$B$366,C1846)</f>
        <v>7.027624309392265</v>
      </c>
      <c r="J1846" s="86">
        <f>SUMIFS('Wind Proxy'!$H$8:$H$19,'Wind Proxy'!$A$8:$A$19,Estimator!$B$4,'Wind Proxy'!$B$8:$B$19,C1846)</f>
        <v>0</v>
      </c>
    </row>
    <row r="1847" spans="1:10" ht="14.4">
      <c r="A1847" s="84">
        <v>47498</v>
      </c>
      <c r="B1847" s="85">
        <v>2030</v>
      </c>
      <c r="C1847" s="85">
        <v>1</v>
      </c>
      <c r="D1847" s="85" t="s">
        <v>55</v>
      </c>
      <c r="E1847" s="85">
        <v>15</v>
      </c>
      <c r="F1847" s="85">
        <v>2</v>
      </c>
      <c r="G1847" s="85">
        <f>--(F1847&lt;=Estimator!$B$7)</f>
        <v>1</v>
      </c>
      <c r="H1847" s="86">
        <f>SUMIFS('Climate Data'!$G$7:$G$366,'Climate Data'!$A$7:$A$366,Estimator!$B$4,'Climate Data'!$B$7:$B$366,C1847)</f>
        <v>0.19462365591397848</v>
      </c>
      <c r="I1847" s="87">
        <f>SUMIFS('Climate Data'!$H$7:$H$366,'Climate Data'!$A$7:$A$366,Estimator!$B$4,'Climate Data'!$B$7:$B$366,C1847)</f>
        <v>7.027624309392265</v>
      </c>
      <c r="J1847" s="86">
        <f>SUMIFS('Wind Proxy'!$H$8:$H$19,'Wind Proxy'!$A$8:$A$19,Estimator!$B$4,'Wind Proxy'!$B$8:$B$19,C1847)</f>
        <v>0</v>
      </c>
    </row>
    <row r="1848" spans="1:10" ht="14.4">
      <c r="A1848" s="84">
        <v>47499</v>
      </c>
      <c r="B1848" s="85">
        <v>2030</v>
      </c>
      <c r="C1848" s="85">
        <v>1</v>
      </c>
      <c r="D1848" s="85" t="s">
        <v>55</v>
      </c>
      <c r="E1848" s="85">
        <v>16</v>
      </c>
      <c r="F1848" s="85">
        <v>3</v>
      </c>
      <c r="G1848" s="85">
        <f>--(F1848&lt;=Estimator!$B$7)</f>
        <v>1</v>
      </c>
      <c r="H1848" s="86">
        <f>SUMIFS('Climate Data'!$G$7:$G$366,'Climate Data'!$A$7:$A$366,Estimator!$B$4,'Climate Data'!$B$7:$B$366,C1848)</f>
        <v>0.19462365591397848</v>
      </c>
      <c r="I1848" s="87">
        <f>SUMIFS('Climate Data'!$H$7:$H$366,'Climate Data'!$A$7:$A$366,Estimator!$B$4,'Climate Data'!$B$7:$B$366,C1848)</f>
        <v>7.027624309392265</v>
      </c>
      <c r="J1848" s="86">
        <f>SUMIFS('Wind Proxy'!$H$8:$H$19,'Wind Proxy'!$A$8:$A$19,Estimator!$B$4,'Wind Proxy'!$B$8:$B$19,C1848)</f>
        <v>0</v>
      </c>
    </row>
    <row r="1849" spans="1:10" ht="14.4">
      <c r="A1849" s="84">
        <v>47500</v>
      </c>
      <c r="B1849" s="85">
        <v>2030</v>
      </c>
      <c r="C1849" s="85">
        <v>1</v>
      </c>
      <c r="D1849" s="85" t="s">
        <v>55</v>
      </c>
      <c r="E1849" s="85">
        <v>17</v>
      </c>
      <c r="F1849" s="85">
        <v>4</v>
      </c>
      <c r="G1849" s="85">
        <f>--(F1849&lt;=Estimator!$B$7)</f>
        <v>1</v>
      </c>
      <c r="H1849" s="86">
        <f>SUMIFS('Climate Data'!$G$7:$G$366,'Climate Data'!$A$7:$A$366,Estimator!$B$4,'Climate Data'!$B$7:$B$366,C1849)</f>
        <v>0.19462365591397848</v>
      </c>
      <c r="I1849" s="87">
        <f>SUMIFS('Climate Data'!$H$7:$H$366,'Climate Data'!$A$7:$A$366,Estimator!$B$4,'Climate Data'!$B$7:$B$366,C1849)</f>
        <v>7.027624309392265</v>
      </c>
      <c r="J1849" s="86">
        <f>SUMIFS('Wind Proxy'!$H$8:$H$19,'Wind Proxy'!$A$8:$A$19,Estimator!$B$4,'Wind Proxy'!$B$8:$B$19,C1849)</f>
        <v>0</v>
      </c>
    </row>
    <row r="1850" spans="1:10" ht="14.4">
      <c r="A1850" s="84">
        <v>47501</v>
      </c>
      <c r="B1850" s="85">
        <v>2030</v>
      </c>
      <c r="C1850" s="85">
        <v>1</v>
      </c>
      <c r="D1850" s="85" t="s">
        <v>55</v>
      </c>
      <c r="E1850" s="85">
        <v>18</v>
      </c>
      <c r="F1850" s="85">
        <v>5</v>
      </c>
      <c r="G1850" s="85">
        <f>--(F1850&lt;=Estimator!$B$7)</f>
        <v>1</v>
      </c>
      <c r="H1850" s="86">
        <f>SUMIFS('Climate Data'!$G$7:$G$366,'Climate Data'!$A$7:$A$366,Estimator!$B$4,'Climate Data'!$B$7:$B$366,C1850)</f>
        <v>0.19462365591397848</v>
      </c>
      <c r="I1850" s="87">
        <f>SUMIFS('Climate Data'!$H$7:$H$366,'Climate Data'!$A$7:$A$366,Estimator!$B$4,'Climate Data'!$B$7:$B$366,C1850)</f>
        <v>7.027624309392265</v>
      </c>
      <c r="J1850" s="86">
        <f>SUMIFS('Wind Proxy'!$H$8:$H$19,'Wind Proxy'!$A$8:$A$19,Estimator!$B$4,'Wind Proxy'!$B$8:$B$19,C1850)</f>
        <v>0</v>
      </c>
    </row>
    <row r="1851" spans="1:10" ht="14.4">
      <c r="A1851" s="84">
        <v>47502</v>
      </c>
      <c r="B1851" s="85">
        <v>2030</v>
      </c>
      <c r="C1851" s="85">
        <v>1</v>
      </c>
      <c r="D1851" s="85" t="s">
        <v>55</v>
      </c>
      <c r="E1851" s="85">
        <v>19</v>
      </c>
      <c r="F1851" s="85">
        <v>6</v>
      </c>
      <c r="G1851" s="85">
        <f>--(F1851&lt;=Estimator!$B$7)</f>
        <v>0</v>
      </c>
      <c r="H1851" s="86">
        <f>SUMIFS('Climate Data'!$G$7:$G$366,'Climate Data'!$A$7:$A$366,Estimator!$B$4,'Climate Data'!$B$7:$B$366,C1851)</f>
        <v>0.19462365591397848</v>
      </c>
      <c r="I1851" s="87">
        <f>SUMIFS('Climate Data'!$H$7:$H$366,'Climate Data'!$A$7:$A$366,Estimator!$B$4,'Climate Data'!$B$7:$B$366,C1851)</f>
        <v>7.027624309392265</v>
      </c>
      <c r="J1851" s="86">
        <f>SUMIFS('Wind Proxy'!$H$8:$H$19,'Wind Proxy'!$A$8:$A$19,Estimator!$B$4,'Wind Proxy'!$B$8:$B$19,C1851)</f>
        <v>0</v>
      </c>
    </row>
    <row r="1852" spans="1:10" ht="14.4">
      <c r="A1852" s="84">
        <v>47503</v>
      </c>
      <c r="B1852" s="85">
        <v>2030</v>
      </c>
      <c r="C1852" s="85">
        <v>1</v>
      </c>
      <c r="D1852" s="85" t="s">
        <v>55</v>
      </c>
      <c r="E1852" s="85">
        <v>20</v>
      </c>
      <c r="F1852" s="85">
        <v>7</v>
      </c>
      <c r="G1852" s="85">
        <f>--(F1852&lt;=Estimator!$B$7)</f>
        <v>0</v>
      </c>
      <c r="H1852" s="86">
        <f>SUMIFS('Climate Data'!$G$7:$G$366,'Climate Data'!$A$7:$A$366,Estimator!$B$4,'Climate Data'!$B$7:$B$366,C1852)</f>
        <v>0.19462365591397848</v>
      </c>
      <c r="I1852" s="87">
        <f>SUMIFS('Climate Data'!$H$7:$H$366,'Climate Data'!$A$7:$A$366,Estimator!$B$4,'Climate Data'!$B$7:$B$366,C1852)</f>
        <v>7.027624309392265</v>
      </c>
      <c r="J1852" s="86">
        <f>SUMIFS('Wind Proxy'!$H$8:$H$19,'Wind Proxy'!$A$8:$A$19,Estimator!$B$4,'Wind Proxy'!$B$8:$B$19,C1852)</f>
        <v>0</v>
      </c>
    </row>
    <row r="1853" spans="1:10" ht="14.4">
      <c r="A1853" s="84">
        <v>47504</v>
      </c>
      <c r="B1853" s="85">
        <v>2030</v>
      </c>
      <c r="C1853" s="85">
        <v>1</v>
      </c>
      <c r="D1853" s="85" t="s">
        <v>55</v>
      </c>
      <c r="E1853" s="85">
        <v>21</v>
      </c>
      <c r="F1853" s="85">
        <v>1</v>
      </c>
      <c r="G1853" s="85">
        <f>--(F1853&lt;=Estimator!$B$7)</f>
        <v>1</v>
      </c>
      <c r="H1853" s="86">
        <f>SUMIFS('Climate Data'!$G$7:$G$366,'Climate Data'!$A$7:$A$366,Estimator!$B$4,'Climate Data'!$B$7:$B$366,C1853)</f>
        <v>0.19462365591397848</v>
      </c>
      <c r="I1853" s="87">
        <f>SUMIFS('Climate Data'!$H$7:$H$366,'Climate Data'!$A$7:$A$366,Estimator!$B$4,'Climate Data'!$B$7:$B$366,C1853)</f>
        <v>7.027624309392265</v>
      </c>
      <c r="J1853" s="86">
        <f>SUMIFS('Wind Proxy'!$H$8:$H$19,'Wind Proxy'!$A$8:$A$19,Estimator!$B$4,'Wind Proxy'!$B$8:$B$19,C1853)</f>
        <v>0</v>
      </c>
    </row>
    <row r="1854" spans="1:10" ht="14.4">
      <c r="A1854" s="84">
        <v>47505</v>
      </c>
      <c r="B1854" s="85">
        <v>2030</v>
      </c>
      <c r="C1854" s="85">
        <v>1</v>
      </c>
      <c r="D1854" s="85" t="s">
        <v>55</v>
      </c>
      <c r="E1854" s="85">
        <v>22</v>
      </c>
      <c r="F1854" s="85">
        <v>2</v>
      </c>
      <c r="G1854" s="85">
        <f>--(F1854&lt;=Estimator!$B$7)</f>
        <v>1</v>
      </c>
      <c r="H1854" s="86">
        <f>SUMIFS('Climate Data'!$G$7:$G$366,'Climate Data'!$A$7:$A$366,Estimator!$B$4,'Climate Data'!$B$7:$B$366,C1854)</f>
        <v>0.19462365591397848</v>
      </c>
      <c r="I1854" s="87">
        <f>SUMIFS('Climate Data'!$H$7:$H$366,'Climate Data'!$A$7:$A$366,Estimator!$B$4,'Climate Data'!$B$7:$B$366,C1854)</f>
        <v>7.027624309392265</v>
      </c>
      <c r="J1854" s="86">
        <f>SUMIFS('Wind Proxy'!$H$8:$H$19,'Wind Proxy'!$A$8:$A$19,Estimator!$B$4,'Wind Proxy'!$B$8:$B$19,C1854)</f>
        <v>0</v>
      </c>
    </row>
    <row r="1855" spans="1:10" ht="14.4">
      <c r="A1855" s="84">
        <v>47506</v>
      </c>
      <c r="B1855" s="85">
        <v>2030</v>
      </c>
      <c r="C1855" s="85">
        <v>1</v>
      </c>
      <c r="D1855" s="85" t="s">
        <v>55</v>
      </c>
      <c r="E1855" s="85">
        <v>23</v>
      </c>
      <c r="F1855" s="85">
        <v>3</v>
      </c>
      <c r="G1855" s="85">
        <f>--(F1855&lt;=Estimator!$B$7)</f>
        <v>1</v>
      </c>
      <c r="H1855" s="86">
        <f>SUMIFS('Climate Data'!$G$7:$G$366,'Climate Data'!$A$7:$A$366,Estimator!$B$4,'Climate Data'!$B$7:$B$366,C1855)</f>
        <v>0.19462365591397848</v>
      </c>
      <c r="I1855" s="87">
        <f>SUMIFS('Climate Data'!$H$7:$H$366,'Climate Data'!$A$7:$A$366,Estimator!$B$4,'Climate Data'!$B$7:$B$366,C1855)</f>
        <v>7.027624309392265</v>
      </c>
      <c r="J1855" s="86">
        <f>SUMIFS('Wind Proxy'!$H$8:$H$19,'Wind Proxy'!$A$8:$A$19,Estimator!$B$4,'Wind Proxy'!$B$8:$B$19,C1855)</f>
        <v>0</v>
      </c>
    </row>
    <row r="1856" spans="1:10" ht="14.4">
      <c r="A1856" s="84">
        <v>47507</v>
      </c>
      <c r="B1856" s="85">
        <v>2030</v>
      </c>
      <c r="C1856" s="85">
        <v>1</v>
      </c>
      <c r="D1856" s="85" t="s">
        <v>55</v>
      </c>
      <c r="E1856" s="85">
        <v>24</v>
      </c>
      <c r="F1856" s="85">
        <v>4</v>
      </c>
      <c r="G1856" s="85">
        <f>--(F1856&lt;=Estimator!$B$7)</f>
        <v>1</v>
      </c>
      <c r="H1856" s="86">
        <f>SUMIFS('Climate Data'!$G$7:$G$366,'Climate Data'!$A$7:$A$366,Estimator!$B$4,'Climate Data'!$B$7:$B$366,C1856)</f>
        <v>0.19462365591397848</v>
      </c>
      <c r="I1856" s="87">
        <f>SUMIFS('Climate Data'!$H$7:$H$366,'Climate Data'!$A$7:$A$366,Estimator!$B$4,'Climate Data'!$B$7:$B$366,C1856)</f>
        <v>7.027624309392265</v>
      </c>
      <c r="J1856" s="86">
        <f>SUMIFS('Wind Proxy'!$H$8:$H$19,'Wind Proxy'!$A$8:$A$19,Estimator!$B$4,'Wind Proxy'!$B$8:$B$19,C1856)</f>
        <v>0</v>
      </c>
    </row>
    <row r="1857" spans="1:10" ht="14.4">
      <c r="A1857" s="84">
        <v>47508</v>
      </c>
      <c r="B1857" s="85">
        <v>2030</v>
      </c>
      <c r="C1857" s="85">
        <v>1</v>
      </c>
      <c r="D1857" s="85" t="s">
        <v>55</v>
      </c>
      <c r="E1857" s="85">
        <v>25</v>
      </c>
      <c r="F1857" s="85">
        <v>5</v>
      </c>
      <c r="G1857" s="85">
        <f>--(F1857&lt;=Estimator!$B$7)</f>
        <v>1</v>
      </c>
      <c r="H1857" s="86">
        <f>SUMIFS('Climate Data'!$G$7:$G$366,'Climate Data'!$A$7:$A$366,Estimator!$B$4,'Climate Data'!$B$7:$B$366,C1857)</f>
        <v>0.19462365591397848</v>
      </c>
      <c r="I1857" s="87">
        <f>SUMIFS('Climate Data'!$H$7:$H$366,'Climate Data'!$A$7:$A$366,Estimator!$B$4,'Climate Data'!$B$7:$B$366,C1857)</f>
        <v>7.027624309392265</v>
      </c>
      <c r="J1857" s="86">
        <f>SUMIFS('Wind Proxy'!$H$8:$H$19,'Wind Proxy'!$A$8:$A$19,Estimator!$B$4,'Wind Proxy'!$B$8:$B$19,C1857)</f>
        <v>0</v>
      </c>
    </row>
    <row r="1858" spans="1:10" ht="14.4">
      <c r="A1858" s="84">
        <v>47509</v>
      </c>
      <c r="B1858" s="85">
        <v>2030</v>
      </c>
      <c r="C1858" s="85">
        <v>1</v>
      </c>
      <c r="D1858" s="85" t="s">
        <v>55</v>
      </c>
      <c r="E1858" s="85">
        <v>26</v>
      </c>
      <c r="F1858" s="85">
        <v>6</v>
      </c>
      <c r="G1858" s="85">
        <f>--(F1858&lt;=Estimator!$B$7)</f>
        <v>0</v>
      </c>
      <c r="H1858" s="86">
        <f>SUMIFS('Climate Data'!$G$7:$G$366,'Climate Data'!$A$7:$A$366,Estimator!$B$4,'Climate Data'!$B$7:$B$366,C1858)</f>
        <v>0.19462365591397848</v>
      </c>
      <c r="I1858" s="87">
        <f>SUMIFS('Climate Data'!$H$7:$H$366,'Climate Data'!$A$7:$A$366,Estimator!$B$4,'Climate Data'!$B$7:$B$366,C1858)</f>
        <v>7.027624309392265</v>
      </c>
      <c r="J1858" s="86">
        <f>SUMIFS('Wind Proxy'!$H$8:$H$19,'Wind Proxy'!$A$8:$A$19,Estimator!$B$4,'Wind Proxy'!$B$8:$B$19,C1858)</f>
        <v>0</v>
      </c>
    </row>
    <row r="1859" spans="1:10" ht="14.4">
      <c r="A1859" s="84">
        <v>47510</v>
      </c>
      <c r="B1859" s="85">
        <v>2030</v>
      </c>
      <c r="C1859" s="85">
        <v>1</v>
      </c>
      <c r="D1859" s="85" t="s">
        <v>55</v>
      </c>
      <c r="E1859" s="85">
        <v>27</v>
      </c>
      <c r="F1859" s="85">
        <v>7</v>
      </c>
      <c r="G1859" s="85">
        <f>--(F1859&lt;=Estimator!$B$7)</f>
        <v>0</v>
      </c>
      <c r="H1859" s="86">
        <f>SUMIFS('Climate Data'!$G$7:$G$366,'Climate Data'!$A$7:$A$366,Estimator!$B$4,'Climate Data'!$B$7:$B$366,C1859)</f>
        <v>0.19462365591397848</v>
      </c>
      <c r="I1859" s="87">
        <f>SUMIFS('Climate Data'!$H$7:$H$366,'Climate Data'!$A$7:$A$366,Estimator!$B$4,'Climate Data'!$B$7:$B$366,C1859)</f>
        <v>7.027624309392265</v>
      </c>
      <c r="J1859" s="86">
        <f>SUMIFS('Wind Proxy'!$H$8:$H$19,'Wind Proxy'!$A$8:$A$19,Estimator!$B$4,'Wind Proxy'!$B$8:$B$19,C1859)</f>
        <v>0</v>
      </c>
    </row>
    <row r="1860" spans="1:10" ht="14.4">
      <c r="A1860" s="84">
        <v>47511</v>
      </c>
      <c r="B1860" s="85">
        <v>2030</v>
      </c>
      <c r="C1860" s="85">
        <v>1</v>
      </c>
      <c r="D1860" s="85" t="s">
        <v>55</v>
      </c>
      <c r="E1860" s="85">
        <v>28</v>
      </c>
      <c r="F1860" s="85">
        <v>1</v>
      </c>
      <c r="G1860" s="85">
        <f>--(F1860&lt;=Estimator!$B$7)</f>
        <v>1</v>
      </c>
      <c r="H1860" s="86">
        <f>SUMIFS('Climate Data'!$G$7:$G$366,'Climate Data'!$A$7:$A$366,Estimator!$B$4,'Climate Data'!$B$7:$B$366,C1860)</f>
        <v>0.19462365591397848</v>
      </c>
      <c r="I1860" s="87">
        <f>SUMIFS('Climate Data'!$H$7:$H$366,'Climate Data'!$A$7:$A$366,Estimator!$B$4,'Climate Data'!$B$7:$B$366,C1860)</f>
        <v>7.027624309392265</v>
      </c>
      <c r="J1860" s="86">
        <f>SUMIFS('Wind Proxy'!$H$8:$H$19,'Wind Proxy'!$A$8:$A$19,Estimator!$B$4,'Wind Proxy'!$B$8:$B$19,C1860)</f>
        <v>0</v>
      </c>
    </row>
    <row r="1861" spans="1:10" ht="14.4">
      <c r="A1861" s="84">
        <v>47512</v>
      </c>
      <c r="B1861" s="85">
        <v>2030</v>
      </c>
      <c r="C1861" s="85">
        <v>1</v>
      </c>
      <c r="D1861" s="85" t="s">
        <v>55</v>
      </c>
      <c r="E1861" s="85">
        <v>29</v>
      </c>
      <c r="F1861" s="85">
        <v>2</v>
      </c>
      <c r="G1861" s="85">
        <f>--(F1861&lt;=Estimator!$B$7)</f>
        <v>1</v>
      </c>
      <c r="H1861" s="86">
        <f>SUMIFS('Climate Data'!$G$7:$G$366,'Climate Data'!$A$7:$A$366,Estimator!$B$4,'Climate Data'!$B$7:$B$366,C1861)</f>
        <v>0.19462365591397848</v>
      </c>
      <c r="I1861" s="87">
        <f>SUMIFS('Climate Data'!$H$7:$H$366,'Climate Data'!$A$7:$A$366,Estimator!$B$4,'Climate Data'!$B$7:$B$366,C1861)</f>
        <v>7.027624309392265</v>
      </c>
      <c r="J1861" s="86">
        <f>SUMIFS('Wind Proxy'!$H$8:$H$19,'Wind Proxy'!$A$8:$A$19,Estimator!$B$4,'Wind Proxy'!$B$8:$B$19,C1861)</f>
        <v>0</v>
      </c>
    </row>
    <row r="1862" spans="1:10" ht="14.4">
      <c r="A1862" s="84">
        <v>47513</v>
      </c>
      <c r="B1862" s="85">
        <v>2030</v>
      </c>
      <c r="C1862" s="85">
        <v>1</v>
      </c>
      <c r="D1862" s="85" t="s">
        <v>55</v>
      </c>
      <c r="E1862" s="85">
        <v>30</v>
      </c>
      <c r="F1862" s="85">
        <v>3</v>
      </c>
      <c r="G1862" s="85">
        <f>--(F1862&lt;=Estimator!$B$7)</f>
        <v>1</v>
      </c>
      <c r="H1862" s="86">
        <f>SUMIFS('Climate Data'!$G$7:$G$366,'Climate Data'!$A$7:$A$366,Estimator!$B$4,'Climate Data'!$B$7:$B$366,C1862)</f>
        <v>0.19462365591397848</v>
      </c>
      <c r="I1862" s="87">
        <f>SUMIFS('Climate Data'!$H$7:$H$366,'Climate Data'!$A$7:$A$366,Estimator!$B$4,'Climate Data'!$B$7:$B$366,C1862)</f>
        <v>7.027624309392265</v>
      </c>
      <c r="J1862" s="86">
        <f>SUMIFS('Wind Proxy'!$H$8:$H$19,'Wind Proxy'!$A$8:$A$19,Estimator!$B$4,'Wind Proxy'!$B$8:$B$19,C1862)</f>
        <v>0</v>
      </c>
    </row>
    <row r="1863" spans="1:10" ht="14.4">
      <c r="A1863" s="84">
        <v>47514</v>
      </c>
      <c r="B1863" s="85">
        <v>2030</v>
      </c>
      <c r="C1863" s="85">
        <v>1</v>
      </c>
      <c r="D1863" s="85" t="s">
        <v>55</v>
      </c>
      <c r="E1863" s="85">
        <v>31</v>
      </c>
      <c r="F1863" s="85">
        <v>4</v>
      </c>
      <c r="G1863" s="85">
        <f>--(F1863&lt;=Estimator!$B$7)</f>
        <v>1</v>
      </c>
      <c r="H1863" s="86">
        <f>SUMIFS('Climate Data'!$G$7:$G$366,'Climate Data'!$A$7:$A$366,Estimator!$B$4,'Climate Data'!$B$7:$B$366,C1863)</f>
        <v>0.19462365591397848</v>
      </c>
      <c r="I1863" s="87">
        <f>SUMIFS('Climate Data'!$H$7:$H$366,'Climate Data'!$A$7:$A$366,Estimator!$B$4,'Climate Data'!$B$7:$B$366,C1863)</f>
        <v>7.027624309392265</v>
      </c>
      <c r="J1863" s="86">
        <f>SUMIFS('Wind Proxy'!$H$8:$H$19,'Wind Proxy'!$A$8:$A$19,Estimator!$B$4,'Wind Proxy'!$B$8:$B$19,C1863)</f>
        <v>0</v>
      </c>
    </row>
    <row r="1864" spans="1:10" ht="14.4">
      <c r="A1864" s="84">
        <v>47515</v>
      </c>
      <c r="B1864" s="85">
        <v>2030</v>
      </c>
      <c r="C1864" s="85">
        <v>2</v>
      </c>
      <c r="D1864" s="85" t="s">
        <v>58</v>
      </c>
      <c r="E1864" s="85">
        <v>1</v>
      </c>
      <c r="F1864" s="85">
        <v>5</v>
      </c>
      <c r="G1864" s="85">
        <f>--(F1864&lt;=Estimator!$B$7)</f>
        <v>1</v>
      </c>
      <c r="H1864" s="86">
        <f>SUMIFS('Climate Data'!$G$7:$G$366,'Climate Data'!$A$7:$A$366,Estimator!$B$4,'Climate Data'!$B$7:$B$366,C1864)</f>
        <v>0.18867924528301885</v>
      </c>
      <c r="I1864" s="87">
        <f>SUMIFS('Climate Data'!$H$7:$H$366,'Climate Data'!$A$7:$A$366,Estimator!$B$4,'Climate Data'!$B$7:$B$366,C1864)</f>
        <v>7.4624999999999995</v>
      </c>
      <c r="J1864" s="86">
        <f>SUMIFS('Wind Proxy'!$H$8:$H$19,'Wind Proxy'!$A$8:$A$19,Estimator!$B$4,'Wind Proxy'!$B$8:$B$19,C1864)</f>
        <v>0</v>
      </c>
    </row>
    <row r="1865" spans="1:10" ht="14.4">
      <c r="A1865" s="84">
        <v>47516</v>
      </c>
      <c r="B1865" s="85">
        <v>2030</v>
      </c>
      <c r="C1865" s="85">
        <v>2</v>
      </c>
      <c r="D1865" s="85" t="s">
        <v>58</v>
      </c>
      <c r="E1865" s="85">
        <v>2</v>
      </c>
      <c r="F1865" s="85">
        <v>6</v>
      </c>
      <c r="G1865" s="85">
        <f>--(F1865&lt;=Estimator!$B$7)</f>
        <v>0</v>
      </c>
      <c r="H1865" s="86">
        <f>SUMIFS('Climate Data'!$G$7:$G$366,'Climate Data'!$A$7:$A$366,Estimator!$B$4,'Climate Data'!$B$7:$B$366,C1865)</f>
        <v>0.18867924528301885</v>
      </c>
      <c r="I1865" s="87">
        <f>SUMIFS('Climate Data'!$H$7:$H$366,'Climate Data'!$A$7:$A$366,Estimator!$B$4,'Climate Data'!$B$7:$B$366,C1865)</f>
        <v>7.4624999999999995</v>
      </c>
      <c r="J1865" s="86">
        <f>SUMIFS('Wind Proxy'!$H$8:$H$19,'Wind Proxy'!$A$8:$A$19,Estimator!$B$4,'Wind Proxy'!$B$8:$B$19,C1865)</f>
        <v>0</v>
      </c>
    </row>
    <row r="1866" spans="1:10" ht="14.4">
      <c r="A1866" s="84">
        <v>47517</v>
      </c>
      <c r="B1866" s="85">
        <v>2030</v>
      </c>
      <c r="C1866" s="85">
        <v>2</v>
      </c>
      <c r="D1866" s="85" t="s">
        <v>58</v>
      </c>
      <c r="E1866" s="85">
        <v>3</v>
      </c>
      <c r="F1866" s="85">
        <v>7</v>
      </c>
      <c r="G1866" s="85">
        <f>--(F1866&lt;=Estimator!$B$7)</f>
        <v>0</v>
      </c>
      <c r="H1866" s="86">
        <f>SUMIFS('Climate Data'!$G$7:$G$366,'Climate Data'!$A$7:$A$366,Estimator!$B$4,'Climate Data'!$B$7:$B$366,C1866)</f>
        <v>0.18867924528301885</v>
      </c>
      <c r="I1866" s="87">
        <f>SUMIFS('Climate Data'!$H$7:$H$366,'Climate Data'!$A$7:$A$366,Estimator!$B$4,'Climate Data'!$B$7:$B$366,C1866)</f>
        <v>7.4624999999999995</v>
      </c>
      <c r="J1866" s="86">
        <f>SUMIFS('Wind Proxy'!$H$8:$H$19,'Wind Proxy'!$A$8:$A$19,Estimator!$B$4,'Wind Proxy'!$B$8:$B$19,C1866)</f>
        <v>0</v>
      </c>
    </row>
    <row r="1867" spans="1:10" ht="14.4">
      <c r="A1867" s="84">
        <v>47518</v>
      </c>
      <c r="B1867" s="85">
        <v>2030</v>
      </c>
      <c r="C1867" s="85">
        <v>2</v>
      </c>
      <c r="D1867" s="85" t="s">
        <v>58</v>
      </c>
      <c r="E1867" s="85">
        <v>4</v>
      </c>
      <c r="F1867" s="85">
        <v>1</v>
      </c>
      <c r="G1867" s="85">
        <f>--(F1867&lt;=Estimator!$B$7)</f>
        <v>1</v>
      </c>
      <c r="H1867" s="86">
        <f>SUMIFS('Climate Data'!$G$7:$G$366,'Climate Data'!$A$7:$A$366,Estimator!$B$4,'Climate Data'!$B$7:$B$366,C1867)</f>
        <v>0.18867924528301885</v>
      </c>
      <c r="I1867" s="87">
        <f>SUMIFS('Climate Data'!$H$7:$H$366,'Climate Data'!$A$7:$A$366,Estimator!$B$4,'Climate Data'!$B$7:$B$366,C1867)</f>
        <v>7.4624999999999995</v>
      </c>
      <c r="J1867" s="86">
        <f>SUMIFS('Wind Proxy'!$H$8:$H$19,'Wind Proxy'!$A$8:$A$19,Estimator!$B$4,'Wind Proxy'!$B$8:$B$19,C1867)</f>
        <v>0</v>
      </c>
    </row>
    <row r="1868" spans="1:10" ht="14.4">
      <c r="A1868" s="84">
        <v>47519</v>
      </c>
      <c r="B1868" s="85">
        <v>2030</v>
      </c>
      <c r="C1868" s="85">
        <v>2</v>
      </c>
      <c r="D1868" s="85" t="s">
        <v>58</v>
      </c>
      <c r="E1868" s="85">
        <v>5</v>
      </c>
      <c r="F1868" s="85">
        <v>2</v>
      </c>
      <c r="G1868" s="85">
        <f>--(F1868&lt;=Estimator!$B$7)</f>
        <v>1</v>
      </c>
      <c r="H1868" s="86">
        <f>SUMIFS('Climate Data'!$G$7:$G$366,'Climate Data'!$A$7:$A$366,Estimator!$B$4,'Climate Data'!$B$7:$B$366,C1868)</f>
        <v>0.18867924528301885</v>
      </c>
      <c r="I1868" s="87">
        <f>SUMIFS('Climate Data'!$H$7:$H$366,'Climate Data'!$A$7:$A$366,Estimator!$B$4,'Climate Data'!$B$7:$B$366,C1868)</f>
        <v>7.4624999999999995</v>
      </c>
      <c r="J1868" s="86">
        <f>SUMIFS('Wind Proxy'!$H$8:$H$19,'Wind Proxy'!$A$8:$A$19,Estimator!$B$4,'Wind Proxy'!$B$8:$B$19,C1868)</f>
        <v>0</v>
      </c>
    </row>
    <row r="1869" spans="1:10" ht="14.4">
      <c r="A1869" s="84">
        <v>47520</v>
      </c>
      <c r="B1869" s="85">
        <v>2030</v>
      </c>
      <c r="C1869" s="85">
        <v>2</v>
      </c>
      <c r="D1869" s="85" t="s">
        <v>58</v>
      </c>
      <c r="E1869" s="85">
        <v>6</v>
      </c>
      <c r="F1869" s="85">
        <v>3</v>
      </c>
      <c r="G1869" s="85">
        <f>--(F1869&lt;=Estimator!$B$7)</f>
        <v>1</v>
      </c>
      <c r="H1869" s="86">
        <f>SUMIFS('Climate Data'!$G$7:$G$366,'Climate Data'!$A$7:$A$366,Estimator!$B$4,'Climate Data'!$B$7:$B$366,C1869)</f>
        <v>0.18867924528301885</v>
      </c>
      <c r="I1869" s="87">
        <f>SUMIFS('Climate Data'!$H$7:$H$366,'Climate Data'!$A$7:$A$366,Estimator!$B$4,'Climate Data'!$B$7:$B$366,C1869)</f>
        <v>7.4624999999999995</v>
      </c>
      <c r="J1869" s="86">
        <f>SUMIFS('Wind Proxy'!$H$8:$H$19,'Wind Proxy'!$A$8:$A$19,Estimator!$B$4,'Wind Proxy'!$B$8:$B$19,C1869)</f>
        <v>0</v>
      </c>
    </row>
    <row r="1870" spans="1:10" ht="14.4">
      <c r="A1870" s="84">
        <v>47521</v>
      </c>
      <c r="B1870" s="85">
        <v>2030</v>
      </c>
      <c r="C1870" s="85">
        <v>2</v>
      </c>
      <c r="D1870" s="85" t="s">
        <v>58</v>
      </c>
      <c r="E1870" s="85">
        <v>7</v>
      </c>
      <c r="F1870" s="85">
        <v>4</v>
      </c>
      <c r="G1870" s="85">
        <f>--(F1870&lt;=Estimator!$B$7)</f>
        <v>1</v>
      </c>
      <c r="H1870" s="86">
        <f>SUMIFS('Climate Data'!$G$7:$G$366,'Climate Data'!$A$7:$A$366,Estimator!$B$4,'Climate Data'!$B$7:$B$366,C1870)</f>
        <v>0.18867924528301885</v>
      </c>
      <c r="I1870" s="87">
        <f>SUMIFS('Climate Data'!$H$7:$H$366,'Climate Data'!$A$7:$A$366,Estimator!$B$4,'Climate Data'!$B$7:$B$366,C1870)</f>
        <v>7.4624999999999995</v>
      </c>
      <c r="J1870" s="86">
        <f>SUMIFS('Wind Proxy'!$H$8:$H$19,'Wind Proxy'!$A$8:$A$19,Estimator!$B$4,'Wind Proxy'!$B$8:$B$19,C1870)</f>
        <v>0</v>
      </c>
    </row>
    <row r="1871" spans="1:10" ht="14.4">
      <c r="A1871" s="84">
        <v>47522</v>
      </c>
      <c r="B1871" s="85">
        <v>2030</v>
      </c>
      <c r="C1871" s="85">
        <v>2</v>
      </c>
      <c r="D1871" s="85" t="s">
        <v>58</v>
      </c>
      <c r="E1871" s="85">
        <v>8</v>
      </c>
      <c r="F1871" s="85">
        <v>5</v>
      </c>
      <c r="G1871" s="85">
        <f>--(F1871&lt;=Estimator!$B$7)</f>
        <v>1</v>
      </c>
      <c r="H1871" s="86">
        <f>SUMIFS('Climate Data'!$G$7:$G$366,'Climate Data'!$A$7:$A$366,Estimator!$B$4,'Climate Data'!$B$7:$B$366,C1871)</f>
        <v>0.18867924528301885</v>
      </c>
      <c r="I1871" s="87">
        <f>SUMIFS('Climate Data'!$H$7:$H$366,'Climate Data'!$A$7:$A$366,Estimator!$B$4,'Climate Data'!$B$7:$B$366,C1871)</f>
        <v>7.4624999999999995</v>
      </c>
      <c r="J1871" s="86">
        <f>SUMIFS('Wind Proxy'!$H$8:$H$19,'Wind Proxy'!$A$8:$A$19,Estimator!$B$4,'Wind Proxy'!$B$8:$B$19,C1871)</f>
        <v>0</v>
      </c>
    </row>
    <row r="1872" spans="1:10" ht="14.4">
      <c r="A1872" s="84">
        <v>47523</v>
      </c>
      <c r="B1872" s="85">
        <v>2030</v>
      </c>
      <c r="C1872" s="85">
        <v>2</v>
      </c>
      <c r="D1872" s="85" t="s">
        <v>58</v>
      </c>
      <c r="E1872" s="85">
        <v>9</v>
      </c>
      <c r="F1872" s="85">
        <v>6</v>
      </c>
      <c r="G1872" s="85">
        <f>--(F1872&lt;=Estimator!$B$7)</f>
        <v>0</v>
      </c>
      <c r="H1872" s="86">
        <f>SUMIFS('Climate Data'!$G$7:$G$366,'Climate Data'!$A$7:$A$366,Estimator!$B$4,'Climate Data'!$B$7:$B$366,C1872)</f>
        <v>0.18867924528301885</v>
      </c>
      <c r="I1872" s="87">
        <f>SUMIFS('Climate Data'!$H$7:$H$366,'Climate Data'!$A$7:$A$366,Estimator!$B$4,'Climate Data'!$B$7:$B$366,C1872)</f>
        <v>7.4624999999999995</v>
      </c>
      <c r="J1872" s="86">
        <f>SUMIFS('Wind Proxy'!$H$8:$H$19,'Wind Proxy'!$A$8:$A$19,Estimator!$B$4,'Wind Proxy'!$B$8:$B$19,C1872)</f>
        <v>0</v>
      </c>
    </row>
    <row r="1873" spans="1:10" ht="14.4">
      <c r="A1873" s="84">
        <v>47524</v>
      </c>
      <c r="B1873" s="85">
        <v>2030</v>
      </c>
      <c r="C1873" s="85">
        <v>2</v>
      </c>
      <c r="D1873" s="85" t="s">
        <v>58</v>
      </c>
      <c r="E1873" s="85">
        <v>10</v>
      </c>
      <c r="F1873" s="85">
        <v>7</v>
      </c>
      <c r="G1873" s="85">
        <f>--(F1873&lt;=Estimator!$B$7)</f>
        <v>0</v>
      </c>
      <c r="H1873" s="86">
        <f>SUMIFS('Climate Data'!$G$7:$G$366,'Climate Data'!$A$7:$A$366,Estimator!$B$4,'Climate Data'!$B$7:$B$366,C1873)</f>
        <v>0.18867924528301885</v>
      </c>
      <c r="I1873" s="87">
        <f>SUMIFS('Climate Data'!$H$7:$H$366,'Climate Data'!$A$7:$A$366,Estimator!$B$4,'Climate Data'!$B$7:$B$366,C1873)</f>
        <v>7.4624999999999995</v>
      </c>
      <c r="J1873" s="86">
        <f>SUMIFS('Wind Proxy'!$H$8:$H$19,'Wind Proxy'!$A$8:$A$19,Estimator!$B$4,'Wind Proxy'!$B$8:$B$19,C1873)</f>
        <v>0</v>
      </c>
    </row>
    <row r="1874" spans="1:10" ht="14.4">
      <c r="A1874" s="84">
        <v>47525</v>
      </c>
      <c r="B1874" s="85">
        <v>2030</v>
      </c>
      <c r="C1874" s="85">
        <v>2</v>
      </c>
      <c r="D1874" s="85" t="s">
        <v>58</v>
      </c>
      <c r="E1874" s="85">
        <v>11</v>
      </c>
      <c r="F1874" s="85">
        <v>1</v>
      </c>
      <c r="G1874" s="85">
        <f>--(F1874&lt;=Estimator!$B$7)</f>
        <v>1</v>
      </c>
      <c r="H1874" s="86">
        <f>SUMIFS('Climate Data'!$G$7:$G$366,'Climate Data'!$A$7:$A$366,Estimator!$B$4,'Climate Data'!$B$7:$B$366,C1874)</f>
        <v>0.18867924528301885</v>
      </c>
      <c r="I1874" s="87">
        <f>SUMIFS('Climate Data'!$H$7:$H$366,'Climate Data'!$A$7:$A$366,Estimator!$B$4,'Climate Data'!$B$7:$B$366,C1874)</f>
        <v>7.4624999999999995</v>
      </c>
      <c r="J1874" s="86">
        <f>SUMIFS('Wind Proxy'!$H$8:$H$19,'Wind Proxy'!$A$8:$A$19,Estimator!$B$4,'Wind Proxy'!$B$8:$B$19,C1874)</f>
        <v>0</v>
      </c>
    </row>
    <row r="1875" spans="1:10" ht="14.4">
      <c r="A1875" s="84">
        <v>47526</v>
      </c>
      <c r="B1875" s="85">
        <v>2030</v>
      </c>
      <c r="C1875" s="85">
        <v>2</v>
      </c>
      <c r="D1875" s="85" t="s">
        <v>58</v>
      </c>
      <c r="E1875" s="85">
        <v>12</v>
      </c>
      <c r="F1875" s="85">
        <v>2</v>
      </c>
      <c r="G1875" s="85">
        <f>--(F1875&lt;=Estimator!$B$7)</f>
        <v>1</v>
      </c>
      <c r="H1875" s="86">
        <f>SUMIFS('Climate Data'!$G$7:$G$366,'Climate Data'!$A$7:$A$366,Estimator!$B$4,'Climate Data'!$B$7:$B$366,C1875)</f>
        <v>0.18867924528301885</v>
      </c>
      <c r="I1875" s="87">
        <f>SUMIFS('Climate Data'!$H$7:$H$366,'Climate Data'!$A$7:$A$366,Estimator!$B$4,'Climate Data'!$B$7:$B$366,C1875)</f>
        <v>7.4624999999999995</v>
      </c>
      <c r="J1875" s="86">
        <f>SUMIFS('Wind Proxy'!$H$8:$H$19,'Wind Proxy'!$A$8:$A$19,Estimator!$B$4,'Wind Proxy'!$B$8:$B$19,C1875)</f>
        <v>0</v>
      </c>
    </row>
    <row r="1876" spans="1:10" ht="14.4">
      <c r="A1876" s="84">
        <v>47527</v>
      </c>
      <c r="B1876" s="85">
        <v>2030</v>
      </c>
      <c r="C1876" s="85">
        <v>2</v>
      </c>
      <c r="D1876" s="85" t="s">
        <v>58</v>
      </c>
      <c r="E1876" s="85">
        <v>13</v>
      </c>
      <c r="F1876" s="85">
        <v>3</v>
      </c>
      <c r="G1876" s="85">
        <f>--(F1876&lt;=Estimator!$B$7)</f>
        <v>1</v>
      </c>
      <c r="H1876" s="86">
        <f>SUMIFS('Climate Data'!$G$7:$G$366,'Climate Data'!$A$7:$A$366,Estimator!$B$4,'Climate Data'!$B$7:$B$366,C1876)</f>
        <v>0.18867924528301885</v>
      </c>
      <c r="I1876" s="87">
        <f>SUMIFS('Climate Data'!$H$7:$H$366,'Climate Data'!$A$7:$A$366,Estimator!$B$4,'Climate Data'!$B$7:$B$366,C1876)</f>
        <v>7.4624999999999995</v>
      </c>
      <c r="J1876" s="86">
        <f>SUMIFS('Wind Proxy'!$H$8:$H$19,'Wind Proxy'!$A$8:$A$19,Estimator!$B$4,'Wind Proxy'!$B$8:$B$19,C1876)</f>
        <v>0</v>
      </c>
    </row>
    <row r="1877" spans="1:10" ht="14.4">
      <c r="A1877" s="84">
        <v>47528</v>
      </c>
      <c r="B1877" s="85">
        <v>2030</v>
      </c>
      <c r="C1877" s="85">
        <v>2</v>
      </c>
      <c r="D1877" s="85" t="s">
        <v>58</v>
      </c>
      <c r="E1877" s="85">
        <v>14</v>
      </c>
      <c r="F1877" s="85">
        <v>4</v>
      </c>
      <c r="G1877" s="85">
        <f>--(F1877&lt;=Estimator!$B$7)</f>
        <v>1</v>
      </c>
      <c r="H1877" s="86">
        <f>SUMIFS('Climate Data'!$G$7:$G$366,'Climate Data'!$A$7:$A$366,Estimator!$B$4,'Climate Data'!$B$7:$B$366,C1877)</f>
        <v>0.18867924528301885</v>
      </c>
      <c r="I1877" s="87">
        <f>SUMIFS('Climate Data'!$H$7:$H$366,'Climate Data'!$A$7:$A$366,Estimator!$B$4,'Climate Data'!$B$7:$B$366,C1877)</f>
        <v>7.4624999999999995</v>
      </c>
      <c r="J1877" s="86">
        <f>SUMIFS('Wind Proxy'!$H$8:$H$19,'Wind Proxy'!$A$8:$A$19,Estimator!$B$4,'Wind Proxy'!$B$8:$B$19,C1877)</f>
        <v>0</v>
      </c>
    </row>
    <row r="1878" spans="1:10" ht="14.4">
      <c r="A1878" s="84">
        <v>47529</v>
      </c>
      <c r="B1878" s="85">
        <v>2030</v>
      </c>
      <c r="C1878" s="85">
        <v>2</v>
      </c>
      <c r="D1878" s="85" t="s">
        <v>58</v>
      </c>
      <c r="E1878" s="85">
        <v>15</v>
      </c>
      <c r="F1878" s="85">
        <v>5</v>
      </c>
      <c r="G1878" s="85">
        <f>--(F1878&lt;=Estimator!$B$7)</f>
        <v>1</v>
      </c>
      <c r="H1878" s="86">
        <f>SUMIFS('Climate Data'!$G$7:$G$366,'Climate Data'!$A$7:$A$366,Estimator!$B$4,'Climate Data'!$B$7:$B$366,C1878)</f>
        <v>0.18867924528301885</v>
      </c>
      <c r="I1878" s="87">
        <f>SUMIFS('Climate Data'!$H$7:$H$366,'Climate Data'!$A$7:$A$366,Estimator!$B$4,'Climate Data'!$B$7:$B$366,C1878)</f>
        <v>7.4624999999999995</v>
      </c>
      <c r="J1878" s="86">
        <f>SUMIFS('Wind Proxy'!$H$8:$H$19,'Wind Proxy'!$A$8:$A$19,Estimator!$B$4,'Wind Proxy'!$B$8:$B$19,C1878)</f>
        <v>0</v>
      </c>
    </row>
    <row r="1879" spans="1:10" ht="14.4">
      <c r="A1879" s="84">
        <v>47530</v>
      </c>
      <c r="B1879" s="85">
        <v>2030</v>
      </c>
      <c r="C1879" s="85">
        <v>2</v>
      </c>
      <c r="D1879" s="85" t="s">
        <v>58</v>
      </c>
      <c r="E1879" s="85">
        <v>16</v>
      </c>
      <c r="F1879" s="85">
        <v>6</v>
      </c>
      <c r="G1879" s="85">
        <f>--(F1879&lt;=Estimator!$B$7)</f>
        <v>0</v>
      </c>
      <c r="H1879" s="86">
        <f>SUMIFS('Climate Data'!$G$7:$G$366,'Climate Data'!$A$7:$A$366,Estimator!$B$4,'Climate Data'!$B$7:$B$366,C1879)</f>
        <v>0.18867924528301885</v>
      </c>
      <c r="I1879" s="87">
        <f>SUMIFS('Climate Data'!$H$7:$H$366,'Climate Data'!$A$7:$A$366,Estimator!$B$4,'Climate Data'!$B$7:$B$366,C1879)</f>
        <v>7.4624999999999995</v>
      </c>
      <c r="J1879" s="86">
        <f>SUMIFS('Wind Proxy'!$H$8:$H$19,'Wind Proxy'!$A$8:$A$19,Estimator!$B$4,'Wind Proxy'!$B$8:$B$19,C1879)</f>
        <v>0</v>
      </c>
    </row>
    <row r="1880" spans="1:10" ht="14.4">
      <c r="A1880" s="84">
        <v>47531</v>
      </c>
      <c r="B1880" s="85">
        <v>2030</v>
      </c>
      <c r="C1880" s="85">
        <v>2</v>
      </c>
      <c r="D1880" s="85" t="s">
        <v>58</v>
      </c>
      <c r="E1880" s="85">
        <v>17</v>
      </c>
      <c r="F1880" s="85">
        <v>7</v>
      </c>
      <c r="G1880" s="85">
        <f>--(F1880&lt;=Estimator!$B$7)</f>
        <v>0</v>
      </c>
      <c r="H1880" s="86">
        <f>SUMIFS('Climate Data'!$G$7:$G$366,'Climate Data'!$A$7:$A$366,Estimator!$B$4,'Climate Data'!$B$7:$B$366,C1880)</f>
        <v>0.18867924528301885</v>
      </c>
      <c r="I1880" s="87">
        <f>SUMIFS('Climate Data'!$H$7:$H$366,'Climate Data'!$A$7:$A$366,Estimator!$B$4,'Climate Data'!$B$7:$B$366,C1880)</f>
        <v>7.4624999999999995</v>
      </c>
      <c r="J1880" s="86">
        <f>SUMIFS('Wind Proxy'!$H$8:$H$19,'Wind Proxy'!$A$8:$A$19,Estimator!$B$4,'Wind Proxy'!$B$8:$B$19,C1880)</f>
        <v>0</v>
      </c>
    </row>
    <row r="1881" spans="1:10" ht="14.4">
      <c r="A1881" s="84">
        <v>47532</v>
      </c>
      <c r="B1881" s="85">
        <v>2030</v>
      </c>
      <c r="C1881" s="85">
        <v>2</v>
      </c>
      <c r="D1881" s="85" t="s">
        <v>58</v>
      </c>
      <c r="E1881" s="85">
        <v>18</v>
      </c>
      <c r="F1881" s="85">
        <v>1</v>
      </c>
      <c r="G1881" s="85">
        <f>--(F1881&lt;=Estimator!$B$7)</f>
        <v>1</v>
      </c>
      <c r="H1881" s="86">
        <f>SUMIFS('Climate Data'!$G$7:$G$366,'Climate Data'!$A$7:$A$366,Estimator!$B$4,'Climate Data'!$B$7:$B$366,C1881)</f>
        <v>0.18867924528301885</v>
      </c>
      <c r="I1881" s="87">
        <f>SUMIFS('Climate Data'!$H$7:$H$366,'Climate Data'!$A$7:$A$366,Estimator!$B$4,'Climate Data'!$B$7:$B$366,C1881)</f>
        <v>7.4624999999999995</v>
      </c>
      <c r="J1881" s="86">
        <f>SUMIFS('Wind Proxy'!$H$8:$H$19,'Wind Proxy'!$A$8:$A$19,Estimator!$B$4,'Wind Proxy'!$B$8:$B$19,C1881)</f>
        <v>0</v>
      </c>
    </row>
    <row r="1882" spans="1:10" ht="14.4">
      <c r="A1882" s="84">
        <v>47533</v>
      </c>
      <c r="B1882" s="85">
        <v>2030</v>
      </c>
      <c r="C1882" s="85">
        <v>2</v>
      </c>
      <c r="D1882" s="85" t="s">
        <v>58</v>
      </c>
      <c r="E1882" s="85">
        <v>19</v>
      </c>
      <c r="F1882" s="85">
        <v>2</v>
      </c>
      <c r="G1882" s="85">
        <f>--(F1882&lt;=Estimator!$B$7)</f>
        <v>1</v>
      </c>
      <c r="H1882" s="86">
        <f>SUMIFS('Climate Data'!$G$7:$G$366,'Climate Data'!$A$7:$A$366,Estimator!$B$4,'Climate Data'!$B$7:$B$366,C1882)</f>
        <v>0.18867924528301885</v>
      </c>
      <c r="I1882" s="87">
        <f>SUMIFS('Climate Data'!$H$7:$H$366,'Climate Data'!$A$7:$A$366,Estimator!$B$4,'Climate Data'!$B$7:$B$366,C1882)</f>
        <v>7.4624999999999995</v>
      </c>
      <c r="J1882" s="86">
        <f>SUMIFS('Wind Proxy'!$H$8:$H$19,'Wind Proxy'!$A$8:$A$19,Estimator!$B$4,'Wind Proxy'!$B$8:$B$19,C1882)</f>
        <v>0</v>
      </c>
    </row>
    <row r="1883" spans="1:10" ht="14.4">
      <c r="A1883" s="84">
        <v>47534</v>
      </c>
      <c r="B1883" s="85">
        <v>2030</v>
      </c>
      <c r="C1883" s="85">
        <v>2</v>
      </c>
      <c r="D1883" s="85" t="s">
        <v>58</v>
      </c>
      <c r="E1883" s="85">
        <v>20</v>
      </c>
      <c r="F1883" s="85">
        <v>3</v>
      </c>
      <c r="G1883" s="85">
        <f>--(F1883&lt;=Estimator!$B$7)</f>
        <v>1</v>
      </c>
      <c r="H1883" s="86">
        <f>SUMIFS('Climate Data'!$G$7:$G$366,'Climate Data'!$A$7:$A$366,Estimator!$B$4,'Climate Data'!$B$7:$B$366,C1883)</f>
        <v>0.18867924528301885</v>
      </c>
      <c r="I1883" s="87">
        <f>SUMIFS('Climate Data'!$H$7:$H$366,'Climate Data'!$A$7:$A$366,Estimator!$B$4,'Climate Data'!$B$7:$B$366,C1883)</f>
        <v>7.4624999999999995</v>
      </c>
      <c r="J1883" s="86">
        <f>SUMIFS('Wind Proxy'!$H$8:$H$19,'Wind Proxy'!$A$8:$A$19,Estimator!$B$4,'Wind Proxy'!$B$8:$B$19,C1883)</f>
        <v>0</v>
      </c>
    </row>
    <row r="1884" spans="1:10" ht="14.4">
      <c r="A1884" s="84">
        <v>47535</v>
      </c>
      <c r="B1884" s="85">
        <v>2030</v>
      </c>
      <c r="C1884" s="85">
        <v>2</v>
      </c>
      <c r="D1884" s="85" t="s">
        <v>58</v>
      </c>
      <c r="E1884" s="85">
        <v>21</v>
      </c>
      <c r="F1884" s="85">
        <v>4</v>
      </c>
      <c r="G1884" s="85">
        <f>--(F1884&lt;=Estimator!$B$7)</f>
        <v>1</v>
      </c>
      <c r="H1884" s="86">
        <f>SUMIFS('Climate Data'!$G$7:$G$366,'Climate Data'!$A$7:$A$366,Estimator!$B$4,'Climate Data'!$B$7:$B$366,C1884)</f>
        <v>0.18867924528301885</v>
      </c>
      <c r="I1884" s="87">
        <f>SUMIFS('Climate Data'!$H$7:$H$366,'Climate Data'!$A$7:$A$366,Estimator!$B$4,'Climate Data'!$B$7:$B$366,C1884)</f>
        <v>7.4624999999999995</v>
      </c>
      <c r="J1884" s="86">
        <f>SUMIFS('Wind Proxy'!$H$8:$H$19,'Wind Proxy'!$A$8:$A$19,Estimator!$B$4,'Wind Proxy'!$B$8:$B$19,C1884)</f>
        <v>0</v>
      </c>
    </row>
    <row r="1885" spans="1:10" ht="14.4">
      <c r="A1885" s="84">
        <v>47536</v>
      </c>
      <c r="B1885" s="85">
        <v>2030</v>
      </c>
      <c r="C1885" s="85">
        <v>2</v>
      </c>
      <c r="D1885" s="85" t="s">
        <v>58</v>
      </c>
      <c r="E1885" s="85">
        <v>22</v>
      </c>
      <c r="F1885" s="85">
        <v>5</v>
      </c>
      <c r="G1885" s="85">
        <f>--(F1885&lt;=Estimator!$B$7)</f>
        <v>1</v>
      </c>
      <c r="H1885" s="86">
        <f>SUMIFS('Climate Data'!$G$7:$G$366,'Climate Data'!$A$7:$A$366,Estimator!$B$4,'Climate Data'!$B$7:$B$366,C1885)</f>
        <v>0.18867924528301885</v>
      </c>
      <c r="I1885" s="87">
        <f>SUMIFS('Climate Data'!$H$7:$H$366,'Climate Data'!$A$7:$A$366,Estimator!$B$4,'Climate Data'!$B$7:$B$366,C1885)</f>
        <v>7.4624999999999995</v>
      </c>
      <c r="J1885" s="86">
        <f>SUMIFS('Wind Proxy'!$H$8:$H$19,'Wind Proxy'!$A$8:$A$19,Estimator!$B$4,'Wind Proxy'!$B$8:$B$19,C1885)</f>
        <v>0</v>
      </c>
    </row>
    <row r="1886" spans="1:10" ht="14.4">
      <c r="A1886" s="84">
        <v>47537</v>
      </c>
      <c r="B1886" s="85">
        <v>2030</v>
      </c>
      <c r="C1886" s="85">
        <v>2</v>
      </c>
      <c r="D1886" s="85" t="s">
        <v>58</v>
      </c>
      <c r="E1886" s="85">
        <v>23</v>
      </c>
      <c r="F1886" s="85">
        <v>6</v>
      </c>
      <c r="G1886" s="85">
        <f>--(F1886&lt;=Estimator!$B$7)</f>
        <v>0</v>
      </c>
      <c r="H1886" s="86">
        <f>SUMIFS('Climate Data'!$G$7:$G$366,'Climate Data'!$A$7:$A$366,Estimator!$B$4,'Climate Data'!$B$7:$B$366,C1886)</f>
        <v>0.18867924528301885</v>
      </c>
      <c r="I1886" s="87">
        <f>SUMIFS('Climate Data'!$H$7:$H$366,'Climate Data'!$A$7:$A$366,Estimator!$B$4,'Climate Data'!$B$7:$B$366,C1886)</f>
        <v>7.4624999999999995</v>
      </c>
      <c r="J1886" s="86">
        <f>SUMIFS('Wind Proxy'!$H$8:$H$19,'Wind Proxy'!$A$8:$A$19,Estimator!$B$4,'Wind Proxy'!$B$8:$B$19,C1886)</f>
        <v>0</v>
      </c>
    </row>
    <row r="1887" spans="1:10" ht="14.4">
      <c r="A1887" s="84">
        <v>47538</v>
      </c>
      <c r="B1887" s="85">
        <v>2030</v>
      </c>
      <c r="C1887" s="85">
        <v>2</v>
      </c>
      <c r="D1887" s="85" t="s">
        <v>58</v>
      </c>
      <c r="E1887" s="85">
        <v>24</v>
      </c>
      <c r="F1887" s="85">
        <v>7</v>
      </c>
      <c r="G1887" s="85">
        <f>--(F1887&lt;=Estimator!$B$7)</f>
        <v>0</v>
      </c>
      <c r="H1887" s="86">
        <f>SUMIFS('Climate Data'!$G$7:$G$366,'Climate Data'!$A$7:$A$366,Estimator!$B$4,'Climate Data'!$B$7:$B$366,C1887)</f>
        <v>0.18867924528301885</v>
      </c>
      <c r="I1887" s="87">
        <f>SUMIFS('Climate Data'!$H$7:$H$366,'Climate Data'!$A$7:$A$366,Estimator!$B$4,'Climate Data'!$B$7:$B$366,C1887)</f>
        <v>7.4624999999999995</v>
      </c>
      <c r="J1887" s="86">
        <f>SUMIFS('Wind Proxy'!$H$8:$H$19,'Wind Proxy'!$A$8:$A$19,Estimator!$B$4,'Wind Proxy'!$B$8:$B$19,C1887)</f>
        <v>0</v>
      </c>
    </row>
    <row r="1888" spans="1:10" ht="14.4">
      <c r="A1888" s="84">
        <v>47539</v>
      </c>
      <c r="B1888" s="85">
        <v>2030</v>
      </c>
      <c r="C1888" s="85">
        <v>2</v>
      </c>
      <c r="D1888" s="85" t="s">
        <v>58</v>
      </c>
      <c r="E1888" s="85">
        <v>25</v>
      </c>
      <c r="F1888" s="85">
        <v>1</v>
      </c>
      <c r="G1888" s="85">
        <f>--(F1888&lt;=Estimator!$B$7)</f>
        <v>1</v>
      </c>
      <c r="H1888" s="86">
        <f>SUMIFS('Climate Data'!$G$7:$G$366,'Climate Data'!$A$7:$A$366,Estimator!$B$4,'Climate Data'!$B$7:$B$366,C1888)</f>
        <v>0.18867924528301885</v>
      </c>
      <c r="I1888" s="87">
        <f>SUMIFS('Climate Data'!$H$7:$H$366,'Climate Data'!$A$7:$A$366,Estimator!$B$4,'Climate Data'!$B$7:$B$366,C1888)</f>
        <v>7.4624999999999995</v>
      </c>
      <c r="J1888" s="86">
        <f>SUMIFS('Wind Proxy'!$H$8:$H$19,'Wind Proxy'!$A$8:$A$19,Estimator!$B$4,'Wind Proxy'!$B$8:$B$19,C1888)</f>
        <v>0</v>
      </c>
    </row>
    <row r="1889" spans="1:10" ht="14.4">
      <c r="A1889" s="84">
        <v>47540</v>
      </c>
      <c r="B1889" s="85">
        <v>2030</v>
      </c>
      <c r="C1889" s="85">
        <v>2</v>
      </c>
      <c r="D1889" s="85" t="s">
        <v>58</v>
      </c>
      <c r="E1889" s="85">
        <v>26</v>
      </c>
      <c r="F1889" s="85">
        <v>2</v>
      </c>
      <c r="G1889" s="85">
        <f>--(F1889&lt;=Estimator!$B$7)</f>
        <v>1</v>
      </c>
      <c r="H1889" s="86">
        <f>SUMIFS('Climate Data'!$G$7:$G$366,'Climate Data'!$A$7:$A$366,Estimator!$B$4,'Climate Data'!$B$7:$B$366,C1889)</f>
        <v>0.18867924528301885</v>
      </c>
      <c r="I1889" s="87">
        <f>SUMIFS('Climate Data'!$H$7:$H$366,'Climate Data'!$A$7:$A$366,Estimator!$B$4,'Climate Data'!$B$7:$B$366,C1889)</f>
        <v>7.4624999999999995</v>
      </c>
      <c r="J1889" s="86">
        <f>SUMIFS('Wind Proxy'!$H$8:$H$19,'Wind Proxy'!$A$8:$A$19,Estimator!$B$4,'Wind Proxy'!$B$8:$B$19,C1889)</f>
        <v>0</v>
      </c>
    </row>
    <row r="1890" spans="1:10" ht="14.4">
      <c r="A1890" s="84">
        <v>47541</v>
      </c>
      <c r="B1890" s="85">
        <v>2030</v>
      </c>
      <c r="C1890" s="85">
        <v>2</v>
      </c>
      <c r="D1890" s="85" t="s">
        <v>58</v>
      </c>
      <c r="E1890" s="85">
        <v>27</v>
      </c>
      <c r="F1890" s="85">
        <v>3</v>
      </c>
      <c r="G1890" s="85">
        <f>--(F1890&lt;=Estimator!$B$7)</f>
        <v>1</v>
      </c>
      <c r="H1890" s="86">
        <f>SUMIFS('Climate Data'!$G$7:$G$366,'Climate Data'!$A$7:$A$366,Estimator!$B$4,'Climate Data'!$B$7:$B$366,C1890)</f>
        <v>0.18867924528301885</v>
      </c>
      <c r="I1890" s="87">
        <f>SUMIFS('Climate Data'!$H$7:$H$366,'Climate Data'!$A$7:$A$366,Estimator!$B$4,'Climate Data'!$B$7:$B$366,C1890)</f>
        <v>7.4624999999999995</v>
      </c>
      <c r="J1890" s="86">
        <f>SUMIFS('Wind Proxy'!$H$8:$H$19,'Wind Proxy'!$A$8:$A$19,Estimator!$B$4,'Wind Proxy'!$B$8:$B$19,C1890)</f>
        <v>0</v>
      </c>
    </row>
    <row r="1891" spans="1:10" ht="14.4">
      <c r="A1891" s="84">
        <v>47542</v>
      </c>
      <c r="B1891" s="85">
        <v>2030</v>
      </c>
      <c r="C1891" s="85">
        <v>2</v>
      </c>
      <c r="D1891" s="85" t="s">
        <v>58</v>
      </c>
      <c r="E1891" s="85">
        <v>28</v>
      </c>
      <c r="F1891" s="85">
        <v>4</v>
      </c>
      <c r="G1891" s="85">
        <f>--(F1891&lt;=Estimator!$B$7)</f>
        <v>1</v>
      </c>
      <c r="H1891" s="86">
        <f>SUMIFS('Climate Data'!$G$7:$G$366,'Climate Data'!$A$7:$A$366,Estimator!$B$4,'Climate Data'!$B$7:$B$366,C1891)</f>
        <v>0.18867924528301885</v>
      </c>
      <c r="I1891" s="87">
        <f>SUMIFS('Climate Data'!$H$7:$H$366,'Climate Data'!$A$7:$A$366,Estimator!$B$4,'Climate Data'!$B$7:$B$366,C1891)</f>
        <v>7.4624999999999995</v>
      </c>
      <c r="J1891" s="86">
        <f>SUMIFS('Wind Proxy'!$H$8:$H$19,'Wind Proxy'!$A$8:$A$19,Estimator!$B$4,'Wind Proxy'!$B$8:$B$19,C1891)</f>
        <v>0</v>
      </c>
    </row>
    <row r="1892" spans="1:10" ht="14.4">
      <c r="A1892" s="84">
        <v>47543</v>
      </c>
      <c r="B1892" s="85">
        <v>2030</v>
      </c>
      <c r="C1892" s="85">
        <v>3</v>
      </c>
      <c r="D1892" s="85" t="s">
        <v>60</v>
      </c>
      <c r="E1892" s="85">
        <v>1</v>
      </c>
      <c r="F1892" s="85">
        <v>5</v>
      </c>
      <c r="G1892" s="85">
        <f>--(F1892&lt;=Estimator!$B$7)</f>
        <v>1</v>
      </c>
      <c r="H1892" s="86">
        <f>SUMIFS('Climate Data'!$G$7:$G$366,'Climate Data'!$A$7:$A$366,Estimator!$B$4,'Climate Data'!$B$7:$B$366,C1892)</f>
        <v>0.18494623655913978</v>
      </c>
      <c r="I1892" s="87">
        <f>SUMIFS('Climate Data'!$H$7:$H$366,'Climate Data'!$A$7:$A$366,Estimator!$B$4,'Climate Data'!$B$7:$B$366,C1892)</f>
        <v>7.8662790697674421</v>
      </c>
      <c r="J1892" s="86">
        <f>SUMIFS('Wind Proxy'!$H$8:$H$19,'Wind Proxy'!$A$8:$A$19,Estimator!$B$4,'Wind Proxy'!$B$8:$B$19,C1892)</f>
        <v>0</v>
      </c>
    </row>
    <row r="1893" spans="1:10" ht="14.4">
      <c r="A1893" s="84">
        <v>47544</v>
      </c>
      <c r="B1893" s="85">
        <v>2030</v>
      </c>
      <c r="C1893" s="85">
        <v>3</v>
      </c>
      <c r="D1893" s="85" t="s">
        <v>60</v>
      </c>
      <c r="E1893" s="85">
        <v>2</v>
      </c>
      <c r="F1893" s="85">
        <v>6</v>
      </c>
      <c r="G1893" s="85">
        <f>--(F1893&lt;=Estimator!$B$7)</f>
        <v>0</v>
      </c>
      <c r="H1893" s="86">
        <f>SUMIFS('Climate Data'!$G$7:$G$366,'Climate Data'!$A$7:$A$366,Estimator!$B$4,'Climate Data'!$B$7:$B$366,C1893)</f>
        <v>0.18494623655913978</v>
      </c>
      <c r="I1893" s="87">
        <f>SUMIFS('Climate Data'!$H$7:$H$366,'Climate Data'!$A$7:$A$366,Estimator!$B$4,'Climate Data'!$B$7:$B$366,C1893)</f>
        <v>7.8662790697674421</v>
      </c>
      <c r="J1893" s="86">
        <f>SUMIFS('Wind Proxy'!$H$8:$H$19,'Wind Proxy'!$A$8:$A$19,Estimator!$B$4,'Wind Proxy'!$B$8:$B$19,C1893)</f>
        <v>0</v>
      </c>
    </row>
    <row r="1894" spans="1:10" ht="14.4">
      <c r="A1894" s="84">
        <v>47545</v>
      </c>
      <c r="B1894" s="85">
        <v>2030</v>
      </c>
      <c r="C1894" s="85">
        <v>3</v>
      </c>
      <c r="D1894" s="85" t="s">
        <v>60</v>
      </c>
      <c r="E1894" s="85">
        <v>3</v>
      </c>
      <c r="F1894" s="85">
        <v>7</v>
      </c>
      <c r="G1894" s="85">
        <f>--(F1894&lt;=Estimator!$B$7)</f>
        <v>0</v>
      </c>
      <c r="H1894" s="86">
        <f>SUMIFS('Climate Data'!$G$7:$G$366,'Climate Data'!$A$7:$A$366,Estimator!$B$4,'Climate Data'!$B$7:$B$366,C1894)</f>
        <v>0.18494623655913978</v>
      </c>
      <c r="I1894" s="87">
        <f>SUMIFS('Climate Data'!$H$7:$H$366,'Climate Data'!$A$7:$A$366,Estimator!$B$4,'Climate Data'!$B$7:$B$366,C1894)</f>
        <v>7.8662790697674421</v>
      </c>
      <c r="J1894" s="86">
        <f>SUMIFS('Wind Proxy'!$H$8:$H$19,'Wind Proxy'!$A$8:$A$19,Estimator!$B$4,'Wind Proxy'!$B$8:$B$19,C1894)</f>
        <v>0</v>
      </c>
    </row>
    <row r="1895" spans="1:10" ht="14.4">
      <c r="A1895" s="84">
        <v>47546</v>
      </c>
      <c r="B1895" s="85">
        <v>2030</v>
      </c>
      <c r="C1895" s="85">
        <v>3</v>
      </c>
      <c r="D1895" s="85" t="s">
        <v>60</v>
      </c>
      <c r="E1895" s="85">
        <v>4</v>
      </c>
      <c r="F1895" s="85">
        <v>1</v>
      </c>
      <c r="G1895" s="85">
        <f>--(F1895&lt;=Estimator!$B$7)</f>
        <v>1</v>
      </c>
      <c r="H1895" s="86">
        <f>SUMIFS('Climate Data'!$G$7:$G$366,'Climate Data'!$A$7:$A$366,Estimator!$B$4,'Climate Data'!$B$7:$B$366,C1895)</f>
        <v>0.18494623655913978</v>
      </c>
      <c r="I1895" s="87">
        <f>SUMIFS('Climate Data'!$H$7:$H$366,'Climate Data'!$A$7:$A$366,Estimator!$B$4,'Climate Data'!$B$7:$B$366,C1895)</f>
        <v>7.8662790697674421</v>
      </c>
      <c r="J1895" s="86">
        <f>SUMIFS('Wind Proxy'!$H$8:$H$19,'Wind Proxy'!$A$8:$A$19,Estimator!$B$4,'Wind Proxy'!$B$8:$B$19,C1895)</f>
        <v>0</v>
      </c>
    </row>
    <row r="1896" spans="1:10" ht="14.4">
      <c r="A1896" s="84">
        <v>47547</v>
      </c>
      <c r="B1896" s="85">
        <v>2030</v>
      </c>
      <c r="C1896" s="85">
        <v>3</v>
      </c>
      <c r="D1896" s="85" t="s">
        <v>60</v>
      </c>
      <c r="E1896" s="85">
        <v>5</v>
      </c>
      <c r="F1896" s="85">
        <v>2</v>
      </c>
      <c r="G1896" s="85">
        <f>--(F1896&lt;=Estimator!$B$7)</f>
        <v>1</v>
      </c>
      <c r="H1896" s="86">
        <f>SUMIFS('Climate Data'!$G$7:$G$366,'Climate Data'!$A$7:$A$366,Estimator!$B$4,'Climate Data'!$B$7:$B$366,C1896)</f>
        <v>0.18494623655913978</v>
      </c>
      <c r="I1896" s="87">
        <f>SUMIFS('Climate Data'!$H$7:$H$366,'Climate Data'!$A$7:$A$366,Estimator!$B$4,'Climate Data'!$B$7:$B$366,C1896)</f>
        <v>7.8662790697674421</v>
      </c>
      <c r="J1896" s="86">
        <f>SUMIFS('Wind Proxy'!$H$8:$H$19,'Wind Proxy'!$A$8:$A$19,Estimator!$B$4,'Wind Proxy'!$B$8:$B$19,C1896)</f>
        <v>0</v>
      </c>
    </row>
    <row r="1897" spans="1:10" ht="14.4">
      <c r="A1897" s="84">
        <v>47548</v>
      </c>
      <c r="B1897" s="85">
        <v>2030</v>
      </c>
      <c r="C1897" s="85">
        <v>3</v>
      </c>
      <c r="D1897" s="85" t="s">
        <v>60</v>
      </c>
      <c r="E1897" s="85">
        <v>6</v>
      </c>
      <c r="F1897" s="85">
        <v>3</v>
      </c>
      <c r="G1897" s="85">
        <f>--(F1897&lt;=Estimator!$B$7)</f>
        <v>1</v>
      </c>
      <c r="H1897" s="86">
        <f>SUMIFS('Climate Data'!$G$7:$G$366,'Climate Data'!$A$7:$A$366,Estimator!$B$4,'Climate Data'!$B$7:$B$366,C1897)</f>
        <v>0.18494623655913978</v>
      </c>
      <c r="I1897" s="87">
        <f>SUMIFS('Climate Data'!$H$7:$H$366,'Climate Data'!$A$7:$A$366,Estimator!$B$4,'Climate Data'!$B$7:$B$366,C1897)</f>
        <v>7.8662790697674421</v>
      </c>
      <c r="J1897" s="86">
        <f>SUMIFS('Wind Proxy'!$H$8:$H$19,'Wind Proxy'!$A$8:$A$19,Estimator!$B$4,'Wind Proxy'!$B$8:$B$19,C1897)</f>
        <v>0</v>
      </c>
    </row>
    <row r="1898" spans="1:10" ht="14.4">
      <c r="A1898" s="84">
        <v>47549</v>
      </c>
      <c r="B1898" s="85">
        <v>2030</v>
      </c>
      <c r="C1898" s="85">
        <v>3</v>
      </c>
      <c r="D1898" s="85" t="s">
        <v>60</v>
      </c>
      <c r="E1898" s="85">
        <v>7</v>
      </c>
      <c r="F1898" s="85">
        <v>4</v>
      </c>
      <c r="G1898" s="85">
        <f>--(F1898&lt;=Estimator!$B$7)</f>
        <v>1</v>
      </c>
      <c r="H1898" s="86">
        <f>SUMIFS('Climate Data'!$G$7:$G$366,'Climate Data'!$A$7:$A$366,Estimator!$B$4,'Climate Data'!$B$7:$B$366,C1898)</f>
        <v>0.18494623655913978</v>
      </c>
      <c r="I1898" s="87">
        <f>SUMIFS('Climate Data'!$H$7:$H$366,'Climate Data'!$A$7:$A$366,Estimator!$B$4,'Climate Data'!$B$7:$B$366,C1898)</f>
        <v>7.8662790697674421</v>
      </c>
      <c r="J1898" s="86">
        <f>SUMIFS('Wind Proxy'!$H$8:$H$19,'Wind Proxy'!$A$8:$A$19,Estimator!$B$4,'Wind Proxy'!$B$8:$B$19,C1898)</f>
        <v>0</v>
      </c>
    </row>
    <row r="1899" spans="1:10" ht="14.4">
      <c r="A1899" s="84">
        <v>47550</v>
      </c>
      <c r="B1899" s="85">
        <v>2030</v>
      </c>
      <c r="C1899" s="85">
        <v>3</v>
      </c>
      <c r="D1899" s="85" t="s">
        <v>60</v>
      </c>
      <c r="E1899" s="85">
        <v>8</v>
      </c>
      <c r="F1899" s="85">
        <v>5</v>
      </c>
      <c r="G1899" s="85">
        <f>--(F1899&lt;=Estimator!$B$7)</f>
        <v>1</v>
      </c>
      <c r="H1899" s="86">
        <f>SUMIFS('Climate Data'!$G$7:$G$366,'Climate Data'!$A$7:$A$366,Estimator!$B$4,'Climate Data'!$B$7:$B$366,C1899)</f>
        <v>0.18494623655913978</v>
      </c>
      <c r="I1899" s="87">
        <f>SUMIFS('Climate Data'!$H$7:$H$366,'Climate Data'!$A$7:$A$366,Estimator!$B$4,'Climate Data'!$B$7:$B$366,C1899)</f>
        <v>7.8662790697674421</v>
      </c>
      <c r="J1899" s="86">
        <f>SUMIFS('Wind Proxy'!$H$8:$H$19,'Wind Proxy'!$A$8:$A$19,Estimator!$B$4,'Wind Proxy'!$B$8:$B$19,C1899)</f>
        <v>0</v>
      </c>
    </row>
    <row r="1900" spans="1:10" ht="14.4">
      <c r="A1900" s="84">
        <v>47551</v>
      </c>
      <c r="B1900" s="85">
        <v>2030</v>
      </c>
      <c r="C1900" s="85">
        <v>3</v>
      </c>
      <c r="D1900" s="85" t="s">
        <v>60</v>
      </c>
      <c r="E1900" s="85">
        <v>9</v>
      </c>
      <c r="F1900" s="85">
        <v>6</v>
      </c>
      <c r="G1900" s="85">
        <f>--(F1900&lt;=Estimator!$B$7)</f>
        <v>0</v>
      </c>
      <c r="H1900" s="86">
        <f>SUMIFS('Climate Data'!$G$7:$G$366,'Climate Data'!$A$7:$A$366,Estimator!$B$4,'Climate Data'!$B$7:$B$366,C1900)</f>
        <v>0.18494623655913978</v>
      </c>
      <c r="I1900" s="87">
        <f>SUMIFS('Climate Data'!$H$7:$H$366,'Climate Data'!$A$7:$A$366,Estimator!$B$4,'Climate Data'!$B$7:$B$366,C1900)</f>
        <v>7.8662790697674421</v>
      </c>
      <c r="J1900" s="86">
        <f>SUMIFS('Wind Proxy'!$H$8:$H$19,'Wind Proxy'!$A$8:$A$19,Estimator!$B$4,'Wind Proxy'!$B$8:$B$19,C1900)</f>
        <v>0</v>
      </c>
    </row>
    <row r="1901" spans="1:10" ht="14.4">
      <c r="A1901" s="84">
        <v>47552</v>
      </c>
      <c r="B1901" s="85">
        <v>2030</v>
      </c>
      <c r="C1901" s="85">
        <v>3</v>
      </c>
      <c r="D1901" s="85" t="s">
        <v>60</v>
      </c>
      <c r="E1901" s="85">
        <v>10</v>
      </c>
      <c r="F1901" s="85">
        <v>7</v>
      </c>
      <c r="G1901" s="85">
        <f>--(F1901&lt;=Estimator!$B$7)</f>
        <v>0</v>
      </c>
      <c r="H1901" s="86">
        <f>SUMIFS('Climate Data'!$G$7:$G$366,'Climate Data'!$A$7:$A$366,Estimator!$B$4,'Climate Data'!$B$7:$B$366,C1901)</f>
        <v>0.18494623655913978</v>
      </c>
      <c r="I1901" s="87">
        <f>SUMIFS('Climate Data'!$H$7:$H$366,'Climate Data'!$A$7:$A$366,Estimator!$B$4,'Climate Data'!$B$7:$B$366,C1901)</f>
        <v>7.8662790697674421</v>
      </c>
      <c r="J1901" s="86">
        <f>SUMIFS('Wind Proxy'!$H$8:$H$19,'Wind Proxy'!$A$8:$A$19,Estimator!$B$4,'Wind Proxy'!$B$8:$B$19,C1901)</f>
        <v>0</v>
      </c>
    </row>
    <row r="1902" spans="1:10" ht="14.4">
      <c r="A1902" s="84">
        <v>47553</v>
      </c>
      <c r="B1902" s="85">
        <v>2030</v>
      </c>
      <c r="C1902" s="85">
        <v>3</v>
      </c>
      <c r="D1902" s="85" t="s">
        <v>60</v>
      </c>
      <c r="E1902" s="85">
        <v>11</v>
      </c>
      <c r="F1902" s="85">
        <v>1</v>
      </c>
      <c r="G1902" s="85">
        <f>--(F1902&lt;=Estimator!$B$7)</f>
        <v>1</v>
      </c>
      <c r="H1902" s="86">
        <f>SUMIFS('Climate Data'!$G$7:$G$366,'Climate Data'!$A$7:$A$366,Estimator!$B$4,'Climate Data'!$B$7:$B$366,C1902)</f>
        <v>0.18494623655913978</v>
      </c>
      <c r="I1902" s="87">
        <f>SUMIFS('Climate Data'!$H$7:$H$366,'Climate Data'!$A$7:$A$366,Estimator!$B$4,'Climate Data'!$B$7:$B$366,C1902)</f>
        <v>7.8662790697674421</v>
      </c>
      <c r="J1902" s="86">
        <f>SUMIFS('Wind Proxy'!$H$8:$H$19,'Wind Proxy'!$A$8:$A$19,Estimator!$B$4,'Wind Proxy'!$B$8:$B$19,C1902)</f>
        <v>0</v>
      </c>
    </row>
    <row r="1903" spans="1:10" ht="14.4">
      <c r="A1903" s="84">
        <v>47554</v>
      </c>
      <c r="B1903" s="85">
        <v>2030</v>
      </c>
      <c r="C1903" s="85">
        <v>3</v>
      </c>
      <c r="D1903" s="85" t="s">
        <v>60</v>
      </c>
      <c r="E1903" s="85">
        <v>12</v>
      </c>
      <c r="F1903" s="85">
        <v>2</v>
      </c>
      <c r="G1903" s="85">
        <f>--(F1903&lt;=Estimator!$B$7)</f>
        <v>1</v>
      </c>
      <c r="H1903" s="86">
        <f>SUMIFS('Climate Data'!$G$7:$G$366,'Climate Data'!$A$7:$A$366,Estimator!$B$4,'Climate Data'!$B$7:$B$366,C1903)</f>
        <v>0.18494623655913978</v>
      </c>
      <c r="I1903" s="87">
        <f>SUMIFS('Climate Data'!$H$7:$H$366,'Climate Data'!$A$7:$A$366,Estimator!$B$4,'Climate Data'!$B$7:$B$366,C1903)</f>
        <v>7.8662790697674421</v>
      </c>
      <c r="J1903" s="86">
        <f>SUMIFS('Wind Proxy'!$H$8:$H$19,'Wind Proxy'!$A$8:$A$19,Estimator!$B$4,'Wind Proxy'!$B$8:$B$19,C1903)</f>
        <v>0</v>
      </c>
    </row>
    <row r="1904" spans="1:10" ht="14.4">
      <c r="A1904" s="84">
        <v>47555</v>
      </c>
      <c r="B1904" s="85">
        <v>2030</v>
      </c>
      <c r="C1904" s="85">
        <v>3</v>
      </c>
      <c r="D1904" s="85" t="s">
        <v>60</v>
      </c>
      <c r="E1904" s="85">
        <v>13</v>
      </c>
      <c r="F1904" s="85">
        <v>3</v>
      </c>
      <c r="G1904" s="85">
        <f>--(F1904&lt;=Estimator!$B$7)</f>
        <v>1</v>
      </c>
      <c r="H1904" s="86">
        <f>SUMIFS('Climate Data'!$G$7:$G$366,'Climate Data'!$A$7:$A$366,Estimator!$B$4,'Climate Data'!$B$7:$B$366,C1904)</f>
        <v>0.18494623655913978</v>
      </c>
      <c r="I1904" s="87">
        <f>SUMIFS('Climate Data'!$H$7:$H$366,'Climate Data'!$A$7:$A$366,Estimator!$B$4,'Climate Data'!$B$7:$B$366,C1904)</f>
        <v>7.8662790697674421</v>
      </c>
      <c r="J1904" s="86">
        <f>SUMIFS('Wind Proxy'!$H$8:$H$19,'Wind Proxy'!$A$8:$A$19,Estimator!$B$4,'Wind Proxy'!$B$8:$B$19,C1904)</f>
        <v>0</v>
      </c>
    </row>
    <row r="1905" spans="1:10" ht="14.4">
      <c r="A1905" s="84">
        <v>47556</v>
      </c>
      <c r="B1905" s="85">
        <v>2030</v>
      </c>
      <c r="C1905" s="85">
        <v>3</v>
      </c>
      <c r="D1905" s="85" t="s">
        <v>60</v>
      </c>
      <c r="E1905" s="85">
        <v>14</v>
      </c>
      <c r="F1905" s="85">
        <v>4</v>
      </c>
      <c r="G1905" s="85">
        <f>--(F1905&lt;=Estimator!$B$7)</f>
        <v>1</v>
      </c>
      <c r="H1905" s="86">
        <f>SUMIFS('Climate Data'!$G$7:$G$366,'Climate Data'!$A$7:$A$366,Estimator!$B$4,'Climate Data'!$B$7:$B$366,C1905)</f>
        <v>0.18494623655913978</v>
      </c>
      <c r="I1905" s="87">
        <f>SUMIFS('Climate Data'!$H$7:$H$366,'Climate Data'!$A$7:$A$366,Estimator!$B$4,'Climate Data'!$B$7:$B$366,C1905)</f>
        <v>7.8662790697674421</v>
      </c>
      <c r="J1905" s="86">
        <f>SUMIFS('Wind Proxy'!$H$8:$H$19,'Wind Proxy'!$A$8:$A$19,Estimator!$B$4,'Wind Proxy'!$B$8:$B$19,C1905)</f>
        <v>0</v>
      </c>
    </row>
    <row r="1906" spans="1:10" ht="14.4">
      <c r="A1906" s="84">
        <v>47557</v>
      </c>
      <c r="B1906" s="85">
        <v>2030</v>
      </c>
      <c r="C1906" s="85">
        <v>3</v>
      </c>
      <c r="D1906" s="85" t="s">
        <v>60</v>
      </c>
      <c r="E1906" s="85">
        <v>15</v>
      </c>
      <c r="F1906" s="85">
        <v>5</v>
      </c>
      <c r="G1906" s="85">
        <f>--(F1906&lt;=Estimator!$B$7)</f>
        <v>1</v>
      </c>
      <c r="H1906" s="86">
        <f>SUMIFS('Climate Data'!$G$7:$G$366,'Climate Data'!$A$7:$A$366,Estimator!$B$4,'Climate Data'!$B$7:$B$366,C1906)</f>
        <v>0.18494623655913978</v>
      </c>
      <c r="I1906" s="87">
        <f>SUMIFS('Climate Data'!$H$7:$H$366,'Climate Data'!$A$7:$A$366,Estimator!$B$4,'Climate Data'!$B$7:$B$366,C1906)</f>
        <v>7.8662790697674421</v>
      </c>
      <c r="J1906" s="86">
        <f>SUMIFS('Wind Proxy'!$H$8:$H$19,'Wind Proxy'!$A$8:$A$19,Estimator!$B$4,'Wind Proxy'!$B$8:$B$19,C1906)</f>
        <v>0</v>
      </c>
    </row>
    <row r="1907" spans="1:10" ht="14.4">
      <c r="A1907" s="84">
        <v>47558</v>
      </c>
      <c r="B1907" s="85">
        <v>2030</v>
      </c>
      <c r="C1907" s="85">
        <v>3</v>
      </c>
      <c r="D1907" s="85" t="s">
        <v>60</v>
      </c>
      <c r="E1907" s="85">
        <v>16</v>
      </c>
      <c r="F1907" s="85">
        <v>6</v>
      </c>
      <c r="G1907" s="85">
        <f>--(F1907&lt;=Estimator!$B$7)</f>
        <v>0</v>
      </c>
      <c r="H1907" s="86">
        <f>SUMIFS('Climate Data'!$G$7:$G$366,'Climate Data'!$A$7:$A$366,Estimator!$B$4,'Climate Data'!$B$7:$B$366,C1907)</f>
        <v>0.18494623655913978</v>
      </c>
      <c r="I1907" s="87">
        <f>SUMIFS('Climate Data'!$H$7:$H$366,'Climate Data'!$A$7:$A$366,Estimator!$B$4,'Climate Data'!$B$7:$B$366,C1907)</f>
        <v>7.8662790697674421</v>
      </c>
      <c r="J1907" s="86">
        <f>SUMIFS('Wind Proxy'!$H$8:$H$19,'Wind Proxy'!$A$8:$A$19,Estimator!$B$4,'Wind Proxy'!$B$8:$B$19,C1907)</f>
        <v>0</v>
      </c>
    </row>
    <row r="1908" spans="1:10" ht="14.4">
      <c r="A1908" s="84">
        <v>47559</v>
      </c>
      <c r="B1908" s="85">
        <v>2030</v>
      </c>
      <c r="C1908" s="85">
        <v>3</v>
      </c>
      <c r="D1908" s="85" t="s">
        <v>60</v>
      </c>
      <c r="E1908" s="85">
        <v>17</v>
      </c>
      <c r="F1908" s="85">
        <v>7</v>
      </c>
      <c r="G1908" s="85">
        <f>--(F1908&lt;=Estimator!$B$7)</f>
        <v>0</v>
      </c>
      <c r="H1908" s="86">
        <f>SUMIFS('Climate Data'!$G$7:$G$366,'Climate Data'!$A$7:$A$366,Estimator!$B$4,'Climate Data'!$B$7:$B$366,C1908)</f>
        <v>0.18494623655913978</v>
      </c>
      <c r="I1908" s="87">
        <f>SUMIFS('Climate Data'!$H$7:$H$366,'Climate Data'!$A$7:$A$366,Estimator!$B$4,'Climate Data'!$B$7:$B$366,C1908)</f>
        <v>7.8662790697674421</v>
      </c>
      <c r="J1908" s="86">
        <f>SUMIFS('Wind Proxy'!$H$8:$H$19,'Wind Proxy'!$A$8:$A$19,Estimator!$B$4,'Wind Proxy'!$B$8:$B$19,C1908)</f>
        <v>0</v>
      </c>
    </row>
    <row r="1909" spans="1:10" ht="14.4">
      <c r="A1909" s="84">
        <v>47560</v>
      </c>
      <c r="B1909" s="85">
        <v>2030</v>
      </c>
      <c r="C1909" s="85">
        <v>3</v>
      </c>
      <c r="D1909" s="85" t="s">
        <v>60</v>
      </c>
      <c r="E1909" s="85">
        <v>18</v>
      </c>
      <c r="F1909" s="85">
        <v>1</v>
      </c>
      <c r="G1909" s="85">
        <f>--(F1909&lt;=Estimator!$B$7)</f>
        <v>1</v>
      </c>
      <c r="H1909" s="86">
        <f>SUMIFS('Climate Data'!$G$7:$G$366,'Climate Data'!$A$7:$A$366,Estimator!$B$4,'Climate Data'!$B$7:$B$366,C1909)</f>
        <v>0.18494623655913978</v>
      </c>
      <c r="I1909" s="87">
        <f>SUMIFS('Climate Data'!$H$7:$H$366,'Climate Data'!$A$7:$A$366,Estimator!$B$4,'Climate Data'!$B$7:$B$366,C1909)</f>
        <v>7.8662790697674421</v>
      </c>
      <c r="J1909" s="86">
        <f>SUMIFS('Wind Proxy'!$H$8:$H$19,'Wind Proxy'!$A$8:$A$19,Estimator!$B$4,'Wind Proxy'!$B$8:$B$19,C1909)</f>
        <v>0</v>
      </c>
    </row>
    <row r="1910" spans="1:10" ht="14.4">
      <c r="A1910" s="84">
        <v>47561</v>
      </c>
      <c r="B1910" s="85">
        <v>2030</v>
      </c>
      <c r="C1910" s="85">
        <v>3</v>
      </c>
      <c r="D1910" s="85" t="s">
        <v>60</v>
      </c>
      <c r="E1910" s="85">
        <v>19</v>
      </c>
      <c r="F1910" s="85">
        <v>2</v>
      </c>
      <c r="G1910" s="85">
        <f>--(F1910&lt;=Estimator!$B$7)</f>
        <v>1</v>
      </c>
      <c r="H1910" s="86">
        <f>SUMIFS('Climate Data'!$G$7:$G$366,'Climate Data'!$A$7:$A$366,Estimator!$B$4,'Climate Data'!$B$7:$B$366,C1910)</f>
        <v>0.18494623655913978</v>
      </c>
      <c r="I1910" s="87">
        <f>SUMIFS('Climate Data'!$H$7:$H$366,'Climate Data'!$A$7:$A$366,Estimator!$B$4,'Climate Data'!$B$7:$B$366,C1910)</f>
        <v>7.8662790697674421</v>
      </c>
      <c r="J1910" s="86">
        <f>SUMIFS('Wind Proxy'!$H$8:$H$19,'Wind Proxy'!$A$8:$A$19,Estimator!$B$4,'Wind Proxy'!$B$8:$B$19,C1910)</f>
        <v>0</v>
      </c>
    </row>
    <row r="1911" spans="1:10" ht="14.4">
      <c r="A1911" s="84">
        <v>47562</v>
      </c>
      <c r="B1911" s="85">
        <v>2030</v>
      </c>
      <c r="C1911" s="85">
        <v>3</v>
      </c>
      <c r="D1911" s="85" t="s">
        <v>60</v>
      </c>
      <c r="E1911" s="85">
        <v>20</v>
      </c>
      <c r="F1911" s="85">
        <v>3</v>
      </c>
      <c r="G1911" s="85">
        <f>--(F1911&lt;=Estimator!$B$7)</f>
        <v>1</v>
      </c>
      <c r="H1911" s="86">
        <f>SUMIFS('Climate Data'!$G$7:$G$366,'Climate Data'!$A$7:$A$366,Estimator!$B$4,'Climate Data'!$B$7:$B$366,C1911)</f>
        <v>0.18494623655913978</v>
      </c>
      <c r="I1911" s="87">
        <f>SUMIFS('Climate Data'!$H$7:$H$366,'Climate Data'!$A$7:$A$366,Estimator!$B$4,'Climate Data'!$B$7:$B$366,C1911)</f>
        <v>7.8662790697674421</v>
      </c>
      <c r="J1911" s="86">
        <f>SUMIFS('Wind Proxy'!$H$8:$H$19,'Wind Proxy'!$A$8:$A$19,Estimator!$B$4,'Wind Proxy'!$B$8:$B$19,C1911)</f>
        <v>0</v>
      </c>
    </row>
    <row r="1912" spans="1:10" ht="14.4">
      <c r="A1912" s="84">
        <v>47563</v>
      </c>
      <c r="B1912" s="85">
        <v>2030</v>
      </c>
      <c r="C1912" s="85">
        <v>3</v>
      </c>
      <c r="D1912" s="85" t="s">
        <v>60</v>
      </c>
      <c r="E1912" s="85">
        <v>21</v>
      </c>
      <c r="F1912" s="85">
        <v>4</v>
      </c>
      <c r="G1912" s="85">
        <f>--(F1912&lt;=Estimator!$B$7)</f>
        <v>1</v>
      </c>
      <c r="H1912" s="86">
        <f>SUMIFS('Climate Data'!$G$7:$G$366,'Climate Data'!$A$7:$A$366,Estimator!$B$4,'Climate Data'!$B$7:$B$366,C1912)</f>
        <v>0.18494623655913978</v>
      </c>
      <c r="I1912" s="87">
        <f>SUMIFS('Climate Data'!$H$7:$H$366,'Climate Data'!$A$7:$A$366,Estimator!$B$4,'Climate Data'!$B$7:$B$366,C1912)</f>
        <v>7.8662790697674421</v>
      </c>
      <c r="J1912" s="86">
        <f>SUMIFS('Wind Proxy'!$H$8:$H$19,'Wind Proxy'!$A$8:$A$19,Estimator!$B$4,'Wind Proxy'!$B$8:$B$19,C1912)</f>
        <v>0</v>
      </c>
    </row>
    <row r="1913" spans="1:10" ht="14.4">
      <c r="A1913" s="84">
        <v>47564</v>
      </c>
      <c r="B1913" s="85">
        <v>2030</v>
      </c>
      <c r="C1913" s="85">
        <v>3</v>
      </c>
      <c r="D1913" s="85" t="s">
        <v>60</v>
      </c>
      <c r="E1913" s="85">
        <v>22</v>
      </c>
      <c r="F1913" s="85">
        <v>5</v>
      </c>
      <c r="G1913" s="85">
        <f>--(F1913&lt;=Estimator!$B$7)</f>
        <v>1</v>
      </c>
      <c r="H1913" s="86">
        <f>SUMIFS('Climate Data'!$G$7:$G$366,'Climate Data'!$A$7:$A$366,Estimator!$B$4,'Climate Data'!$B$7:$B$366,C1913)</f>
        <v>0.18494623655913978</v>
      </c>
      <c r="I1913" s="87">
        <f>SUMIFS('Climate Data'!$H$7:$H$366,'Climate Data'!$A$7:$A$366,Estimator!$B$4,'Climate Data'!$B$7:$B$366,C1913)</f>
        <v>7.8662790697674421</v>
      </c>
      <c r="J1913" s="86">
        <f>SUMIFS('Wind Proxy'!$H$8:$H$19,'Wind Proxy'!$A$8:$A$19,Estimator!$B$4,'Wind Proxy'!$B$8:$B$19,C1913)</f>
        <v>0</v>
      </c>
    </row>
    <row r="1914" spans="1:10" ht="14.4">
      <c r="A1914" s="84">
        <v>47565</v>
      </c>
      <c r="B1914" s="85">
        <v>2030</v>
      </c>
      <c r="C1914" s="85">
        <v>3</v>
      </c>
      <c r="D1914" s="85" t="s">
        <v>60</v>
      </c>
      <c r="E1914" s="85">
        <v>23</v>
      </c>
      <c r="F1914" s="85">
        <v>6</v>
      </c>
      <c r="G1914" s="85">
        <f>--(F1914&lt;=Estimator!$B$7)</f>
        <v>0</v>
      </c>
      <c r="H1914" s="86">
        <f>SUMIFS('Climate Data'!$G$7:$G$366,'Climate Data'!$A$7:$A$366,Estimator!$B$4,'Climate Data'!$B$7:$B$366,C1914)</f>
        <v>0.18494623655913978</v>
      </c>
      <c r="I1914" s="87">
        <f>SUMIFS('Climate Data'!$H$7:$H$366,'Climate Data'!$A$7:$A$366,Estimator!$B$4,'Climate Data'!$B$7:$B$366,C1914)</f>
        <v>7.8662790697674421</v>
      </c>
      <c r="J1914" s="86">
        <f>SUMIFS('Wind Proxy'!$H$8:$H$19,'Wind Proxy'!$A$8:$A$19,Estimator!$B$4,'Wind Proxy'!$B$8:$B$19,C1914)</f>
        <v>0</v>
      </c>
    </row>
    <row r="1915" spans="1:10" ht="14.4">
      <c r="A1915" s="84">
        <v>47566</v>
      </c>
      <c r="B1915" s="85">
        <v>2030</v>
      </c>
      <c r="C1915" s="85">
        <v>3</v>
      </c>
      <c r="D1915" s="85" t="s">
        <v>60</v>
      </c>
      <c r="E1915" s="85">
        <v>24</v>
      </c>
      <c r="F1915" s="85">
        <v>7</v>
      </c>
      <c r="G1915" s="85">
        <f>--(F1915&lt;=Estimator!$B$7)</f>
        <v>0</v>
      </c>
      <c r="H1915" s="86">
        <f>SUMIFS('Climate Data'!$G$7:$G$366,'Climate Data'!$A$7:$A$366,Estimator!$B$4,'Climate Data'!$B$7:$B$366,C1915)</f>
        <v>0.18494623655913978</v>
      </c>
      <c r="I1915" s="87">
        <f>SUMIFS('Climate Data'!$H$7:$H$366,'Climate Data'!$A$7:$A$366,Estimator!$B$4,'Climate Data'!$B$7:$B$366,C1915)</f>
        <v>7.8662790697674421</v>
      </c>
      <c r="J1915" s="86">
        <f>SUMIFS('Wind Proxy'!$H$8:$H$19,'Wind Proxy'!$A$8:$A$19,Estimator!$B$4,'Wind Proxy'!$B$8:$B$19,C1915)</f>
        <v>0</v>
      </c>
    </row>
    <row r="1916" spans="1:10" ht="14.4">
      <c r="A1916" s="84">
        <v>47567</v>
      </c>
      <c r="B1916" s="85">
        <v>2030</v>
      </c>
      <c r="C1916" s="85">
        <v>3</v>
      </c>
      <c r="D1916" s="85" t="s">
        <v>60</v>
      </c>
      <c r="E1916" s="85">
        <v>25</v>
      </c>
      <c r="F1916" s="85">
        <v>1</v>
      </c>
      <c r="G1916" s="85">
        <f>--(F1916&lt;=Estimator!$B$7)</f>
        <v>1</v>
      </c>
      <c r="H1916" s="86">
        <f>SUMIFS('Climate Data'!$G$7:$G$366,'Climate Data'!$A$7:$A$366,Estimator!$B$4,'Climate Data'!$B$7:$B$366,C1916)</f>
        <v>0.18494623655913978</v>
      </c>
      <c r="I1916" s="87">
        <f>SUMIFS('Climate Data'!$H$7:$H$366,'Climate Data'!$A$7:$A$366,Estimator!$B$4,'Climate Data'!$B$7:$B$366,C1916)</f>
        <v>7.8662790697674421</v>
      </c>
      <c r="J1916" s="86">
        <f>SUMIFS('Wind Proxy'!$H$8:$H$19,'Wind Proxy'!$A$8:$A$19,Estimator!$B$4,'Wind Proxy'!$B$8:$B$19,C1916)</f>
        <v>0</v>
      </c>
    </row>
    <row r="1917" spans="1:10" ht="14.4">
      <c r="A1917" s="84">
        <v>47568</v>
      </c>
      <c r="B1917" s="85">
        <v>2030</v>
      </c>
      <c r="C1917" s="85">
        <v>3</v>
      </c>
      <c r="D1917" s="85" t="s">
        <v>60</v>
      </c>
      <c r="E1917" s="85">
        <v>26</v>
      </c>
      <c r="F1917" s="85">
        <v>2</v>
      </c>
      <c r="G1917" s="85">
        <f>--(F1917&lt;=Estimator!$B$7)</f>
        <v>1</v>
      </c>
      <c r="H1917" s="86">
        <f>SUMIFS('Climate Data'!$G$7:$G$366,'Climate Data'!$A$7:$A$366,Estimator!$B$4,'Climate Data'!$B$7:$B$366,C1917)</f>
        <v>0.18494623655913978</v>
      </c>
      <c r="I1917" s="87">
        <f>SUMIFS('Climate Data'!$H$7:$H$366,'Climate Data'!$A$7:$A$366,Estimator!$B$4,'Climate Data'!$B$7:$B$366,C1917)</f>
        <v>7.8662790697674421</v>
      </c>
      <c r="J1917" s="86">
        <f>SUMIFS('Wind Proxy'!$H$8:$H$19,'Wind Proxy'!$A$8:$A$19,Estimator!$B$4,'Wind Proxy'!$B$8:$B$19,C1917)</f>
        <v>0</v>
      </c>
    </row>
    <row r="1918" spans="1:10" ht="14.4">
      <c r="A1918" s="84">
        <v>47569</v>
      </c>
      <c r="B1918" s="85">
        <v>2030</v>
      </c>
      <c r="C1918" s="85">
        <v>3</v>
      </c>
      <c r="D1918" s="85" t="s">
        <v>60</v>
      </c>
      <c r="E1918" s="85">
        <v>27</v>
      </c>
      <c r="F1918" s="85">
        <v>3</v>
      </c>
      <c r="G1918" s="85">
        <f>--(F1918&lt;=Estimator!$B$7)</f>
        <v>1</v>
      </c>
      <c r="H1918" s="86">
        <f>SUMIFS('Climate Data'!$G$7:$G$366,'Climate Data'!$A$7:$A$366,Estimator!$B$4,'Climate Data'!$B$7:$B$366,C1918)</f>
        <v>0.18494623655913978</v>
      </c>
      <c r="I1918" s="87">
        <f>SUMIFS('Climate Data'!$H$7:$H$366,'Climate Data'!$A$7:$A$366,Estimator!$B$4,'Climate Data'!$B$7:$B$366,C1918)</f>
        <v>7.8662790697674421</v>
      </c>
      <c r="J1918" s="86">
        <f>SUMIFS('Wind Proxy'!$H$8:$H$19,'Wind Proxy'!$A$8:$A$19,Estimator!$B$4,'Wind Proxy'!$B$8:$B$19,C1918)</f>
        <v>0</v>
      </c>
    </row>
    <row r="1919" spans="1:10" ht="14.4">
      <c r="A1919" s="84">
        <v>47570</v>
      </c>
      <c r="B1919" s="85">
        <v>2030</v>
      </c>
      <c r="C1919" s="85">
        <v>3</v>
      </c>
      <c r="D1919" s="85" t="s">
        <v>60</v>
      </c>
      <c r="E1919" s="85">
        <v>28</v>
      </c>
      <c r="F1919" s="85">
        <v>4</v>
      </c>
      <c r="G1919" s="85">
        <f>--(F1919&lt;=Estimator!$B$7)</f>
        <v>1</v>
      </c>
      <c r="H1919" s="86">
        <f>SUMIFS('Climate Data'!$G$7:$G$366,'Climate Data'!$A$7:$A$366,Estimator!$B$4,'Climate Data'!$B$7:$B$366,C1919)</f>
        <v>0.18494623655913978</v>
      </c>
      <c r="I1919" s="87">
        <f>SUMIFS('Climate Data'!$H$7:$H$366,'Climate Data'!$A$7:$A$366,Estimator!$B$4,'Climate Data'!$B$7:$B$366,C1919)</f>
        <v>7.8662790697674421</v>
      </c>
      <c r="J1919" s="86">
        <f>SUMIFS('Wind Proxy'!$H$8:$H$19,'Wind Proxy'!$A$8:$A$19,Estimator!$B$4,'Wind Proxy'!$B$8:$B$19,C1919)</f>
        <v>0</v>
      </c>
    </row>
    <row r="1920" spans="1:10" ht="14.4">
      <c r="A1920" s="84">
        <v>47571</v>
      </c>
      <c r="B1920" s="85">
        <v>2030</v>
      </c>
      <c r="C1920" s="85">
        <v>3</v>
      </c>
      <c r="D1920" s="85" t="s">
        <v>60</v>
      </c>
      <c r="E1920" s="85">
        <v>29</v>
      </c>
      <c r="F1920" s="85">
        <v>5</v>
      </c>
      <c r="G1920" s="85">
        <f>--(F1920&lt;=Estimator!$B$7)</f>
        <v>1</v>
      </c>
      <c r="H1920" s="86">
        <f>SUMIFS('Climate Data'!$G$7:$G$366,'Climate Data'!$A$7:$A$366,Estimator!$B$4,'Climate Data'!$B$7:$B$366,C1920)</f>
        <v>0.18494623655913978</v>
      </c>
      <c r="I1920" s="87">
        <f>SUMIFS('Climate Data'!$H$7:$H$366,'Climate Data'!$A$7:$A$366,Estimator!$B$4,'Climate Data'!$B$7:$B$366,C1920)</f>
        <v>7.8662790697674421</v>
      </c>
      <c r="J1920" s="86">
        <f>SUMIFS('Wind Proxy'!$H$8:$H$19,'Wind Proxy'!$A$8:$A$19,Estimator!$B$4,'Wind Proxy'!$B$8:$B$19,C1920)</f>
        <v>0</v>
      </c>
    </row>
    <row r="1921" spans="1:10" ht="14.4">
      <c r="A1921" s="84">
        <v>47572</v>
      </c>
      <c r="B1921" s="85">
        <v>2030</v>
      </c>
      <c r="C1921" s="85">
        <v>3</v>
      </c>
      <c r="D1921" s="85" t="s">
        <v>60</v>
      </c>
      <c r="E1921" s="85">
        <v>30</v>
      </c>
      <c r="F1921" s="85">
        <v>6</v>
      </c>
      <c r="G1921" s="85">
        <f>--(F1921&lt;=Estimator!$B$7)</f>
        <v>0</v>
      </c>
      <c r="H1921" s="86">
        <f>SUMIFS('Climate Data'!$G$7:$G$366,'Climate Data'!$A$7:$A$366,Estimator!$B$4,'Climate Data'!$B$7:$B$366,C1921)</f>
        <v>0.18494623655913978</v>
      </c>
      <c r="I1921" s="87">
        <f>SUMIFS('Climate Data'!$H$7:$H$366,'Climate Data'!$A$7:$A$366,Estimator!$B$4,'Climate Data'!$B$7:$B$366,C1921)</f>
        <v>7.8662790697674421</v>
      </c>
      <c r="J1921" s="86">
        <f>SUMIFS('Wind Proxy'!$H$8:$H$19,'Wind Proxy'!$A$8:$A$19,Estimator!$B$4,'Wind Proxy'!$B$8:$B$19,C1921)</f>
        <v>0</v>
      </c>
    </row>
    <row r="1922" spans="1:10" ht="14.4">
      <c r="A1922" s="84">
        <v>47573</v>
      </c>
      <c r="B1922" s="85">
        <v>2030</v>
      </c>
      <c r="C1922" s="85">
        <v>3</v>
      </c>
      <c r="D1922" s="85" t="s">
        <v>60</v>
      </c>
      <c r="E1922" s="85">
        <v>31</v>
      </c>
      <c r="F1922" s="85">
        <v>7</v>
      </c>
      <c r="G1922" s="85">
        <f>--(F1922&lt;=Estimator!$B$7)</f>
        <v>0</v>
      </c>
      <c r="H1922" s="86">
        <f>SUMIFS('Climate Data'!$G$7:$G$366,'Climate Data'!$A$7:$A$366,Estimator!$B$4,'Climate Data'!$B$7:$B$366,C1922)</f>
        <v>0.18494623655913978</v>
      </c>
      <c r="I1922" s="87">
        <f>SUMIFS('Climate Data'!$H$7:$H$366,'Climate Data'!$A$7:$A$366,Estimator!$B$4,'Climate Data'!$B$7:$B$366,C1922)</f>
        <v>7.8662790697674421</v>
      </c>
      <c r="J1922" s="86">
        <f>SUMIFS('Wind Proxy'!$H$8:$H$19,'Wind Proxy'!$A$8:$A$19,Estimator!$B$4,'Wind Proxy'!$B$8:$B$19,C1922)</f>
        <v>0</v>
      </c>
    </row>
    <row r="1923" spans="1:10" ht="14.4">
      <c r="A1923" s="84">
        <v>47574</v>
      </c>
      <c r="B1923" s="85">
        <v>2030</v>
      </c>
      <c r="C1923" s="85">
        <v>4</v>
      </c>
      <c r="D1923" s="85" t="s">
        <v>62</v>
      </c>
      <c r="E1923" s="85">
        <v>1</v>
      </c>
      <c r="F1923" s="85">
        <v>1</v>
      </c>
      <c r="G1923" s="85">
        <f>--(F1923&lt;=Estimator!$B$7)</f>
        <v>1</v>
      </c>
      <c r="H1923" s="86">
        <f>SUMIFS('Climate Data'!$G$7:$G$366,'Climate Data'!$A$7:$A$366,Estimator!$B$4,'Climate Data'!$B$7:$B$366,C1923)</f>
        <v>0.25555555555555559</v>
      </c>
      <c r="I1923" s="87">
        <f>SUMIFS('Climate Data'!$H$7:$H$366,'Climate Data'!$A$7:$A$366,Estimator!$B$4,'Climate Data'!$B$7:$B$366,C1923)</f>
        <v>7.5</v>
      </c>
      <c r="J1923" s="86">
        <f>SUMIFS('Wind Proxy'!$H$8:$H$19,'Wind Proxy'!$A$8:$A$19,Estimator!$B$4,'Wind Proxy'!$B$8:$B$19,C1923)</f>
        <v>0</v>
      </c>
    </row>
    <row r="1924" spans="1:10" ht="14.4">
      <c r="A1924" s="84">
        <v>47575</v>
      </c>
      <c r="B1924" s="85">
        <v>2030</v>
      </c>
      <c r="C1924" s="85">
        <v>4</v>
      </c>
      <c r="D1924" s="85" t="s">
        <v>62</v>
      </c>
      <c r="E1924" s="85">
        <v>2</v>
      </c>
      <c r="F1924" s="85">
        <v>2</v>
      </c>
      <c r="G1924" s="85">
        <f>--(F1924&lt;=Estimator!$B$7)</f>
        <v>1</v>
      </c>
      <c r="H1924" s="86">
        <f>SUMIFS('Climate Data'!$G$7:$G$366,'Climate Data'!$A$7:$A$366,Estimator!$B$4,'Climate Data'!$B$7:$B$366,C1924)</f>
        <v>0.25555555555555559</v>
      </c>
      <c r="I1924" s="87">
        <f>SUMIFS('Climate Data'!$H$7:$H$366,'Climate Data'!$A$7:$A$366,Estimator!$B$4,'Climate Data'!$B$7:$B$366,C1924)</f>
        <v>7.5</v>
      </c>
      <c r="J1924" s="86">
        <f>SUMIFS('Wind Proxy'!$H$8:$H$19,'Wind Proxy'!$A$8:$A$19,Estimator!$B$4,'Wind Proxy'!$B$8:$B$19,C1924)</f>
        <v>0</v>
      </c>
    </row>
    <row r="1925" spans="1:10" ht="14.4">
      <c r="A1925" s="84">
        <v>47576</v>
      </c>
      <c r="B1925" s="85">
        <v>2030</v>
      </c>
      <c r="C1925" s="85">
        <v>4</v>
      </c>
      <c r="D1925" s="85" t="s">
        <v>62</v>
      </c>
      <c r="E1925" s="85">
        <v>3</v>
      </c>
      <c r="F1925" s="85">
        <v>3</v>
      </c>
      <c r="G1925" s="85">
        <f>--(F1925&lt;=Estimator!$B$7)</f>
        <v>1</v>
      </c>
      <c r="H1925" s="86">
        <f>SUMIFS('Climate Data'!$G$7:$G$366,'Climate Data'!$A$7:$A$366,Estimator!$B$4,'Climate Data'!$B$7:$B$366,C1925)</f>
        <v>0.25555555555555559</v>
      </c>
      <c r="I1925" s="87">
        <f>SUMIFS('Climate Data'!$H$7:$H$366,'Climate Data'!$A$7:$A$366,Estimator!$B$4,'Climate Data'!$B$7:$B$366,C1925)</f>
        <v>7.5</v>
      </c>
      <c r="J1925" s="86">
        <f>SUMIFS('Wind Proxy'!$H$8:$H$19,'Wind Proxy'!$A$8:$A$19,Estimator!$B$4,'Wind Proxy'!$B$8:$B$19,C1925)</f>
        <v>0</v>
      </c>
    </row>
    <row r="1926" spans="1:10" ht="14.4">
      <c r="A1926" s="84">
        <v>47577</v>
      </c>
      <c r="B1926" s="85">
        <v>2030</v>
      </c>
      <c r="C1926" s="85">
        <v>4</v>
      </c>
      <c r="D1926" s="85" t="s">
        <v>62</v>
      </c>
      <c r="E1926" s="85">
        <v>4</v>
      </c>
      <c r="F1926" s="85">
        <v>4</v>
      </c>
      <c r="G1926" s="85">
        <f>--(F1926&lt;=Estimator!$B$7)</f>
        <v>1</v>
      </c>
      <c r="H1926" s="86">
        <f>SUMIFS('Climate Data'!$G$7:$G$366,'Climate Data'!$A$7:$A$366,Estimator!$B$4,'Climate Data'!$B$7:$B$366,C1926)</f>
        <v>0.25555555555555559</v>
      </c>
      <c r="I1926" s="87">
        <f>SUMIFS('Climate Data'!$H$7:$H$366,'Climate Data'!$A$7:$A$366,Estimator!$B$4,'Climate Data'!$B$7:$B$366,C1926)</f>
        <v>7.5</v>
      </c>
      <c r="J1926" s="86">
        <f>SUMIFS('Wind Proxy'!$H$8:$H$19,'Wind Proxy'!$A$8:$A$19,Estimator!$B$4,'Wind Proxy'!$B$8:$B$19,C1926)</f>
        <v>0</v>
      </c>
    </row>
    <row r="1927" spans="1:10" ht="14.4">
      <c r="A1927" s="84">
        <v>47578</v>
      </c>
      <c r="B1927" s="85">
        <v>2030</v>
      </c>
      <c r="C1927" s="85">
        <v>4</v>
      </c>
      <c r="D1927" s="85" t="s">
        <v>62</v>
      </c>
      <c r="E1927" s="85">
        <v>5</v>
      </c>
      <c r="F1927" s="85">
        <v>5</v>
      </c>
      <c r="G1927" s="85">
        <f>--(F1927&lt;=Estimator!$B$7)</f>
        <v>1</v>
      </c>
      <c r="H1927" s="86">
        <f>SUMIFS('Climate Data'!$G$7:$G$366,'Climate Data'!$A$7:$A$366,Estimator!$B$4,'Climate Data'!$B$7:$B$366,C1927)</f>
        <v>0.25555555555555559</v>
      </c>
      <c r="I1927" s="87">
        <f>SUMIFS('Climate Data'!$H$7:$H$366,'Climate Data'!$A$7:$A$366,Estimator!$B$4,'Climate Data'!$B$7:$B$366,C1927)</f>
        <v>7.5</v>
      </c>
      <c r="J1927" s="86">
        <f>SUMIFS('Wind Proxy'!$H$8:$H$19,'Wind Proxy'!$A$8:$A$19,Estimator!$B$4,'Wind Proxy'!$B$8:$B$19,C1927)</f>
        <v>0</v>
      </c>
    </row>
    <row r="1928" spans="1:10" ht="14.4">
      <c r="A1928" s="84">
        <v>47579</v>
      </c>
      <c r="B1928" s="85">
        <v>2030</v>
      </c>
      <c r="C1928" s="85">
        <v>4</v>
      </c>
      <c r="D1928" s="85" t="s">
        <v>62</v>
      </c>
      <c r="E1928" s="85">
        <v>6</v>
      </c>
      <c r="F1928" s="85">
        <v>6</v>
      </c>
      <c r="G1928" s="85">
        <f>--(F1928&lt;=Estimator!$B$7)</f>
        <v>0</v>
      </c>
      <c r="H1928" s="86">
        <f>SUMIFS('Climate Data'!$G$7:$G$366,'Climate Data'!$A$7:$A$366,Estimator!$B$4,'Climate Data'!$B$7:$B$366,C1928)</f>
        <v>0.25555555555555559</v>
      </c>
      <c r="I1928" s="87">
        <f>SUMIFS('Climate Data'!$H$7:$H$366,'Climate Data'!$A$7:$A$366,Estimator!$B$4,'Climate Data'!$B$7:$B$366,C1928)</f>
        <v>7.5</v>
      </c>
      <c r="J1928" s="86">
        <f>SUMIFS('Wind Proxy'!$H$8:$H$19,'Wind Proxy'!$A$8:$A$19,Estimator!$B$4,'Wind Proxy'!$B$8:$B$19,C1928)</f>
        <v>0</v>
      </c>
    </row>
    <row r="1929" spans="1:10" ht="14.4">
      <c r="A1929" s="84">
        <v>47580</v>
      </c>
      <c r="B1929" s="85">
        <v>2030</v>
      </c>
      <c r="C1929" s="85">
        <v>4</v>
      </c>
      <c r="D1929" s="85" t="s">
        <v>62</v>
      </c>
      <c r="E1929" s="85">
        <v>7</v>
      </c>
      <c r="F1929" s="85">
        <v>7</v>
      </c>
      <c r="G1929" s="85">
        <f>--(F1929&lt;=Estimator!$B$7)</f>
        <v>0</v>
      </c>
      <c r="H1929" s="86">
        <f>SUMIFS('Climate Data'!$G$7:$G$366,'Climate Data'!$A$7:$A$366,Estimator!$B$4,'Climate Data'!$B$7:$B$366,C1929)</f>
        <v>0.25555555555555559</v>
      </c>
      <c r="I1929" s="87">
        <f>SUMIFS('Climate Data'!$H$7:$H$366,'Climate Data'!$A$7:$A$366,Estimator!$B$4,'Climate Data'!$B$7:$B$366,C1929)</f>
        <v>7.5</v>
      </c>
      <c r="J1929" s="86">
        <f>SUMIFS('Wind Proxy'!$H$8:$H$19,'Wind Proxy'!$A$8:$A$19,Estimator!$B$4,'Wind Proxy'!$B$8:$B$19,C1929)</f>
        <v>0</v>
      </c>
    </row>
    <row r="1930" spans="1:10" ht="14.4">
      <c r="A1930" s="84">
        <v>47581</v>
      </c>
      <c r="B1930" s="85">
        <v>2030</v>
      </c>
      <c r="C1930" s="85">
        <v>4</v>
      </c>
      <c r="D1930" s="85" t="s">
        <v>62</v>
      </c>
      <c r="E1930" s="85">
        <v>8</v>
      </c>
      <c r="F1930" s="85">
        <v>1</v>
      </c>
      <c r="G1930" s="85">
        <f>--(F1930&lt;=Estimator!$B$7)</f>
        <v>1</v>
      </c>
      <c r="H1930" s="86">
        <f>SUMIFS('Climate Data'!$G$7:$G$366,'Climate Data'!$A$7:$A$366,Estimator!$B$4,'Climate Data'!$B$7:$B$366,C1930)</f>
        <v>0.25555555555555559</v>
      </c>
      <c r="I1930" s="87">
        <f>SUMIFS('Climate Data'!$H$7:$H$366,'Climate Data'!$A$7:$A$366,Estimator!$B$4,'Climate Data'!$B$7:$B$366,C1930)</f>
        <v>7.5</v>
      </c>
      <c r="J1930" s="86">
        <f>SUMIFS('Wind Proxy'!$H$8:$H$19,'Wind Proxy'!$A$8:$A$19,Estimator!$B$4,'Wind Proxy'!$B$8:$B$19,C1930)</f>
        <v>0</v>
      </c>
    </row>
    <row r="1931" spans="1:10" ht="14.4">
      <c r="A1931" s="84">
        <v>47582</v>
      </c>
      <c r="B1931" s="85">
        <v>2030</v>
      </c>
      <c r="C1931" s="85">
        <v>4</v>
      </c>
      <c r="D1931" s="85" t="s">
        <v>62</v>
      </c>
      <c r="E1931" s="85">
        <v>9</v>
      </c>
      <c r="F1931" s="85">
        <v>2</v>
      </c>
      <c r="G1931" s="85">
        <f>--(F1931&lt;=Estimator!$B$7)</f>
        <v>1</v>
      </c>
      <c r="H1931" s="86">
        <f>SUMIFS('Climate Data'!$G$7:$G$366,'Climate Data'!$A$7:$A$366,Estimator!$B$4,'Climate Data'!$B$7:$B$366,C1931)</f>
        <v>0.25555555555555559</v>
      </c>
      <c r="I1931" s="87">
        <f>SUMIFS('Climate Data'!$H$7:$H$366,'Climate Data'!$A$7:$A$366,Estimator!$B$4,'Climate Data'!$B$7:$B$366,C1931)</f>
        <v>7.5</v>
      </c>
      <c r="J1931" s="86">
        <f>SUMIFS('Wind Proxy'!$H$8:$H$19,'Wind Proxy'!$A$8:$A$19,Estimator!$B$4,'Wind Proxy'!$B$8:$B$19,C1931)</f>
        <v>0</v>
      </c>
    </row>
    <row r="1932" spans="1:10" ht="14.4">
      <c r="A1932" s="84">
        <v>47583</v>
      </c>
      <c r="B1932" s="85">
        <v>2030</v>
      </c>
      <c r="C1932" s="85">
        <v>4</v>
      </c>
      <c r="D1932" s="85" t="s">
        <v>62</v>
      </c>
      <c r="E1932" s="85">
        <v>10</v>
      </c>
      <c r="F1932" s="85">
        <v>3</v>
      </c>
      <c r="G1932" s="85">
        <f>--(F1932&lt;=Estimator!$B$7)</f>
        <v>1</v>
      </c>
      <c r="H1932" s="86">
        <f>SUMIFS('Climate Data'!$G$7:$G$366,'Climate Data'!$A$7:$A$366,Estimator!$B$4,'Climate Data'!$B$7:$B$366,C1932)</f>
        <v>0.25555555555555559</v>
      </c>
      <c r="I1932" s="87">
        <f>SUMIFS('Climate Data'!$H$7:$H$366,'Climate Data'!$A$7:$A$366,Estimator!$B$4,'Climate Data'!$B$7:$B$366,C1932)</f>
        <v>7.5</v>
      </c>
      <c r="J1932" s="86">
        <f>SUMIFS('Wind Proxy'!$H$8:$H$19,'Wind Proxy'!$A$8:$A$19,Estimator!$B$4,'Wind Proxy'!$B$8:$B$19,C1932)</f>
        <v>0</v>
      </c>
    </row>
    <row r="1933" spans="1:10" ht="14.4">
      <c r="A1933" s="84">
        <v>47584</v>
      </c>
      <c r="B1933" s="85">
        <v>2030</v>
      </c>
      <c r="C1933" s="85">
        <v>4</v>
      </c>
      <c r="D1933" s="85" t="s">
        <v>62</v>
      </c>
      <c r="E1933" s="85">
        <v>11</v>
      </c>
      <c r="F1933" s="85">
        <v>4</v>
      </c>
      <c r="G1933" s="85">
        <f>--(F1933&lt;=Estimator!$B$7)</f>
        <v>1</v>
      </c>
      <c r="H1933" s="86">
        <f>SUMIFS('Climate Data'!$G$7:$G$366,'Climate Data'!$A$7:$A$366,Estimator!$B$4,'Climate Data'!$B$7:$B$366,C1933)</f>
        <v>0.25555555555555559</v>
      </c>
      <c r="I1933" s="87">
        <f>SUMIFS('Climate Data'!$H$7:$H$366,'Climate Data'!$A$7:$A$366,Estimator!$B$4,'Climate Data'!$B$7:$B$366,C1933)</f>
        <v>7.5</v>
      </c>
      <c r="J1933" s="86">
        <f>SUMIFS('Wind Proxy'!$H$8:$H$19,'Wind Proxy'!$A$8:$A$19,Estimator!$B$4,'Wind Proxy'!$B$8:$B$19,C1933)</f>
        <v>0</v>
      </c>
    </row>
    <row r="1934" spans="1:10" ht="14.4">
      <c r="A1934" s="84">
        <v>47585</v>
      </c>
      <c r="B1934" s="85">
        <v>2030</v>
      </c>
      <c r="C1934" s="85">
        <v>4</v>
      </c>
      <c r="D1934" s="85" t="s">
        <v>62</v>
      </c>
      <c r="E1934" s="85">
        <v>12</v>
      </c>
      <c r="F1934" s="85">
        <v>5</v>
      </c>
      <c r="G1934" s="85">
        <f>--(F1934&lt;=Estimator!$B$7)</f>
        <v>1</v>
      </c>
      <c r="H1934" s="86">
        <f>SUMIFS('Climate Data'!$G$7:$G$366,'Climate Data'!$A$7:$A$366,Estimator!$B$4,'Climate Data'!$B$7:$B$366,C1934)</f>
        <v>0.25555555555555559</v>
      </c>
      <c r="I1934" s="87">
        <f>SUMIFS('Climate Data'!$H$7:$H$366,'Climate Data'!$A$7:$A$366,Estimator!$B$4,'Climate Data'!$B$7:$B$366,C1934)</f>
        <v>7.5</v>
      </c>
      <c r="J1934" s="86">
        <f>SUMIFS('Wind Proxy'!$H$8:$H$19,'Wind Proxy'!$A$8:$A$19,Estimator!$B$4,'Wind Proxy'!$B$8:$B$19,C1934)</f>
        <v>0</v>
      </c>
    </row>
    <row r="1935" spans="1:10" ht="14.4">
      <c r="A1935" s="84">
        <v>47586</v>
      </c>
      <c r="B1935" s="85">
        <v>2030</v>
      </c>
      <c r="C1935" s="85">
        <v>4</v>
      </c>
      <c r="D1935" s="85" t="s">
        <v>62</v>
      </c>
      <c r="E1935" s="85">
        <v>13</v>
      </c>
      <c r="F1935" s="85">
        <v>6</v>
      </c>
      <c r="G1935" s="85">
        <f>--(F1935&lt;=Estimator!$B$7)</f>
        <v>0</v>
      </c>
      <c r="H1935" s="86">
        <f>SUMIFS('Climate Data'!$G$7:$G$366,'Climate Data'!$A$7:$A$366,Estimator!$B$4,'Climate Data'!$B$7:$B$366,C1935)</f>
        <v>0.25555555555555559</v>
      </c>
      <c r="I1935" s="87">
        <f>SUMIFS('Climate Data'!$H$7:$H$366,'Climate Data'!$A$7:$A$366,Estimator!$B$4,'Climate Data'!$B$7:$B$366,C1935)</f>
        <v>7.5</v>
      </c>
      <c r="J1935" s="86">
        <f>SUMIFS('Wind Proxy'!$H$8:$H$19,'Wind Proxy'!$A$8:$A$19,Estimator!$B$4,'Wind Proxy'!$B$8:$B$19,C1935)</f>
        <v>0</v>
      </c>
    </row>
    <row r="1936" spans="1:10" ht="14.4">
      <c r="A1936" s="84">
        <v>47587</v>
      </c>
      <c r="B1936" s="85">
        <v>2030</v>
      </c>
      <c r="C1936" s="85">
        <v>4</v>
      </c>
      <c r="D1936" s="85" t="s">
        <v>62</v>
      </c>
      <c r="E1936" s="85">
        <v>14</v>
      </c>
      <c r="F1936" s="85">
        <v>7</v>
      </c>
      <c r="G1936" s="85">
        <f>--(F1936&lt;=Estimator!$B$7)</f>
        <v>0</v>
      </c>
      <c r="H1936" s="86">
        <f>SUMIFS('Climate Data'!$G$7:$G$366,'Climate Data'!$A$7:$A$366,Estimator!$B$4,'Climate Data'!$B$7:$B$366,C1936)</f>
        <v>0.25555555555555559</v>
      </c>
      <c r="I1936" s="87">
        <f>SUMIFS('Climate Data'!$H$7:$H$366,'Climate Data'!$A$7:$A$366,Estimator!$B$4,'Climate Data'!$B$7:$B$366,C1936)</f>
        <v>7.5</v>
      </c>
      <c r="J1936" s="86">
        <f>SUMIFS('Wind Proxy'!$H$8:$H$19,'Wind Proxy'!$A$8:$A$19,Estimator!$B$4,'Wind Proxy'!$B$8:$B$19,C1936)</f>
        <v>0</v>
      </c>
    </row>
    <row r="1937" spans="1:10" ht="14.4">
      <c r="A1937" s="84">
        <v>47588</v>
      </c>
      <c r="B1937" s="85">
        <v>2030</v>
      </c>
      <c r="C1937" s="85">
        <v>4</v>
      </c>
      <c r="D1937" s="85" t="s">
        <v>62</v>
      </c>
      <c r="E1937" s="85">
        <v>15</v>
      </c>
      <c r="F1937" s="85">
        <v>1</v>
      </c>
      <c r="G1937" s="85">
        <f>--(F1937&lt;=Estimator!$B$7)</f>
        <v>1</v>
      </c>
      <c r="H1937" s="86">
        <f>SUMIFS('Climate Data'!$G$7:$G$366,'Climate Data'!$A$7:$A$366,Estimator!$B$4,'Climate Data'!$B$7:$B$366,C1937)</f>
        <v>0.25555555555555559</v>
      </c>
      <c r="I1937" s="87">
        <f>SUMIFS('Climate Data'!$H$7:$H$366,'Climate Data'!$A$7:$A$366,Estimator!$B$4,'Climate Data'!$B$7:$B$366,C1937)</f>
        <v>7.5</v>
      </c>
      <c r="J1937" s="86">
        <f>SUMIFS('Wind Proxy'!$H$8:$H$19,'Wind Proxy'!$A$8:$A$19,Estimator!$B$4,'Wind Proxy'!$B$8:$B$19,C1937)</f>
        <v>0</v>
      </c>
    </row>
    <row r="1938" spans="1:10" ht="14.4">
      <c r="A1938" s="84">
        <v>47589</v>
      </c>
      <c r="B1938" s="85">
        <v>2030</v>
      </c>
      <c r="C1938" s="85">
        <v>4</v>
      </c>
      <c r="D1938" s="85" t="s">
        <v>62</v>
      </c>
      <c r="E1938" s="85">
        <v>16</v>
      </c>
      <c r="F1938" s="85">
        <v>2</v>
      </c>
      <c r="G1938" s="85">
        <f>--(F1938&lt;=Estimator!$B$7)</f>
        <v>1</v>
      </c>
      <c r="H1938" s="86">
        <f>SUMIFS('Climate Data'!$G$7:$G$366,'Climate Data'!$A$7:$A$366,Estimator!$B$4,'Climate Data'!$B$7:$B$366,C1938)</f>
        <v>0.25555555555555559</v>
      </c>
      <c r="I1938" s="87">
        <f>SUMIFS('Climate Data'!$H$7:$H$366,'Climate Data'!$A$7:$A$366,Estimator!$B$4,'Climate Data'!$B$7:$B$366,C1938)</f>
        <v>7.5</v>
      </c>
      <c r="J1938" s="86">
        <f>SUMIFS('Wind Proxy'!$H$8:$H$19,'Wind Proxy'!$A$8:$A$19,Estimator!$B$4,'Wind Proxy'!$B$8:$B$19,C1938)</f>
        <v>0</v>
      </c>
    </row>
    <row r="1939" spans="1:10" ht="14.4">
      <c r="A1939" s="84">
        <v>47590</v>
      </c>
      <c r="B1939" s="85">
        <v>2030</v>
      </c>
      <c r="C1939" s="85">
        <v>4</v>
      </c>
      <c r="D1939" s="85" t="s">
        <v>62</v>
      </c>
      <c r="E1939" s="85">
        <v>17</v>
      </c>
      <c r="F1939" s="85">
        <v>3</v>
      </c>
      <c r="G1939" s="85">
        <f>--(F1939&lt;=Estimator!$B$7)</f>
        <v>1</v>
      </c>
      <c r="H1939" s="86">
        <f>SUMIFS('Climate Data'!$G$7:$G$366,'Climate Data'!$A$7:$A$366,Estimator!$B$4,'Climate Data'!$B$7:$B$366,C1939)</f>
        <v>0.25555555555555559</v>
      </c>
      <c r="I1939" s="87">
        <f>SUMIFS('Climate Data'!$H$7:$H$366,'Climate Data'!$A$7:$A$366,Estimator!$B$4,'Climate Data'!$B$7:$B$366,C1939)</f>
        <v>7.5</v>
      </c>
      <c r="J1939" s="86">
        <f>SUMIFS('Wind Proxy'!$H$8:$H$19,'Wind Proxy'!$A$8:$A$19,Estimator!$B$4,'Wind Proxy'!$B$8:$B$19,C1939)</f>
        <v>0</v>
      </c>
    </row>
    <row r="1940" spans="1:10" ht="14.4">
      <c r="A1940" s="84">
        <v>47591</v>
      </c>
      <c r="B1940" s="85">
        <v>2030</v>
      </c>
      <c r="C1940" s="85">
        <v>4</v>
      </c>
      <c r="D1940" s="85" t="s">
        <v>62</v>
      </c>
      <c r="E1940" s="85">
        <v>18</v>
      </c>
      <c r="F1940" s="85">
        <v>4</v>
      </c>
      <c r="G1940" s="85">
        <f>--(F1940&lt;=Estimator!$B$7)</f>
        <v>1</v>
      </c>
      <c r="H1940" s="86">
        <f>SUMIFS('Climate Data'!$G$7:$G$366,'Climate Data'!$A$7:$A$366,Estimator!$B$4,'Climate Data'!$B$7:$B$366,C1940)</f>
        <v>0.25555555555555559</v>
      </c>
      <c r="I1940" s="87">
        <f>SUMIFS('Climate Data'!$H$7:$H$366,'Climate Data'!$A$7:$A$366,Estimator!$B$4,'Climate Data'!$B$7:$B$366,C1940)</f>
        <v>7.5</v>
      </c>
      <c r="J1940" s="86">
        <f>SUMIFS('Wind Proxy'!$H$8:$H$19,'Wind Proxy'!$A$8:$A$19,Estimator!$B$4,'Wind Proxy'!$B$8:$B$19,C1940)</f>
        <v>0</v>
      </c>
    </row>
    <row r="1941" spans="1:10" ht="14.4">
      <c r="A1941" s="84">
        <v>47592</v>
      </c>
      <c r="B1941" s="85">
        <v>2030</v>
      </c>
      <c r="C1941" s="85">
        <v>4</v>
      </c>
      <c r="D1941" s="85" t="s">
        <v>62</v>
      </c>
      <c r="E1941" s="85">
        <v>19</v>
      </c>
      <c r="F1941" s="85">
        <v>5</v>
      </c>
      <c r="G1941" s="85">
        <f>--(F1941&lt;=Estimator!$B$7)</f>
        <v>1</v>
      </c>
      <c r="H1941" s="86">
        <f>SUMIFS('Climate Data'!$G$7:$G$366,'Climate Data'!$A$7:$A$366,Estimator!$B$4,'Climate Data'!$B$7:$B$366,C1941)</f>
        <v>0.25555555555555559</v>
      </c>
      <c r="I1941" s="87">
        <f>SUMIFS('Climate Data'!$H$7:$H$366,'Climate Data'!$A$7:$A$366,Estimator!$B$4,'Climate Data'!$B$7:$B$366,C1941)</f>
        <v>7.5</v>
      </c>
      <c r="J1941" s="86">
        <f>SUMIFS('Wind Proxy'!$H$8:$H$19,'Wind Proxy'!$A$8:$A$19,Estimator!$B$4,'Wind Proxy'!$B$8:$B$19,C1941)</f>
        <v>0</v>
      </c>
    </row>
    <row r="1942" spans="1:10" ht="14.4">
      <c r="A1942" s="84">
        <v>47593</v>
      </c>
      <c r="B1942" s="85">
        <v>2030</v>
      </c>
      <c r="C1942" s="85">
        <v>4</v>
      </c>
      <c r="D1942" s="85" t="s">
        <v>62</v>
      </c>
      <c r="E1942" s="85">
        <v>20</v>
      </c>
      <c r="F1942" s="85">
        <v>6</v>
      </c>
      <c r="G1942" s="85">
        <f>--(F1942&lt;=Estimator!$B$7)</f>
        <v>0</v>
      </c>
      <c r="H1942" s="86">
        <f>SUMIFS('Climate Data'!$G$7:$G$366,'Climate Data'!$A$7:$A$366,Estimator!$B$4,'Climate Data'!$B$7:$B$366,C1942)</f>
        <v>0.25555555555555559</v>
      </c>
      <c r="I1942" s="87">
        <f>SUMIFS('Climate Data'!$H$7:$H$366,'Climate Data'!$A$7:$A$366,Estimator!$B$4,'Climate Data'!$B$7:$B$366,C1942)</f>
        <v>7.5</v>
      </c>
      <c r="J1942" s="86">
        <f>SUMIFS('Wind Proxy'!$H$8:$H$19,'Wind Proxy'!$A$8:$A$19,Estimator!$B$4,'Wind Proxy'!$B$8:$B$19,C1942)</f>
        <v>0</v>
      </c>
    </row>
    <row r="1943" spans="1:10" ht="14.4">
      <c r="A1943" s="84">
        <v>47594</v>
      </c>
      <c r="B1943" s="85">
        <v>2030</v>
      </c>
      <c r="C1943" s="85">
        <v>4</v>
      </c>
      <c r="D1943" s="85" t="s">
        <v>62</v>
      </c>
      <c r="E1943" s="85">
        <v>21</v>
      </c>
      <c r="F1943" s="85">
        <v>7</v>
      </c>
      <c r="G1943" s="85">
        <f>--(F1943&lt;=Estimator!$B$7)</f>
        <v>0</v>
      </c>
      <c r="H1943" s="86">
        <f>SUMIFS('Climate Data'!$G$7:$G$366,'Climate Data'!$A$7:$A$366,Estimator!$B$4,'Climate Data'!$B$7:$B$366,C1943)</f>
        <v>0.25555555555555559</v>
      </c>
      <c r="I1943" s="87">
        <f>SUMIFS('Climate Data'!$H$7:$H$366,'Climate Data'!$A$7:$A$366,Estimator!$B$4,'Climate Data'!$B$7:$B$366,C1943)</f>
        <v>7.5</v>
      </c>
      <c r="J1943" s="86">
        <f>SUMIFS('Wind Proxy'!$H$8:$H$19,'Wind Proxy'!$A$8:$A$19,Estimator!$B$4,'Wind Proxy'!$B$8:$B$19,C1943)</f>
        <v>0</v>
      </c>
    </row>
    <row r="1944" spans="1:10" ht="14.4">
      <c r="A1944" s="84">
        <v>47595</v>
      </c>
      <c r="B1944" s="85">
        <v>2030</v>
      </c>
      <c r="C1944" s="85">
        <v>4</v>
      </c>
      <c r="D1944" s="85" t="s">
        <v>62</v>
      </c>
      <c r="E1944" s="85">
        <v>22</v>
      </c>
      <c r="F1944" s="85">
        <v>1</v>
      </c>
      <c r="G1944" s="85">
        <f>--(F1944&lt;=Estimator!$B$7)</f>
        <v>1</v>
      </c>
      <c r="H1944" s="86">
        <f>SUMIFS('Climate Data'!$G$7:$G$366,'Climate Data'!$A$7:$A$366,Estimator!$B$4,'Climate Data'!$B$7:$B$366,C1944)</f>
        <v>0.25555555555555559</v>
      </c>
      <c r="I1944" s="87">
        <f>SUMIFS('Climate Data'!$H$7:$H$366,'Climate Data'!$A$7:$A$366,Estimator!$B$4,'Climate Data'!$B$7:$B$366,C1944)</f>
        <v>7.5</v>
      </c>
      <c r="J1944" s="86">
        <f>SUMIFS('Wind Proxy'!$H$8:$H$19,'Wind Proxy'!$A$8:$A$19,Estimator!$B$4,'Wind Proxy'!$B$8:$B$19,C1944)</f>
        <v>0</v>
      </c>
    </row>
    <row r="1945" spans="1:10" ht="14.4">
      <c r="A1945" s="84">
        <v>47596</v>
      </c>
      <c r="B1945" s="85">
        <v>2030</v>
      </c>
      <c r="C1945" s="85">
        <v>4</v>
      </c>
      <c r="D1945" s="85" t="s">
        <v>62</v>
      </c>
      <c r="E1945" s="85">
        <v>23</v>
      </c>
      <c r="F1945" s="85">
        <v>2</v>
      </c>
      <c r="G1945" s="85">
        <f>--(F1945&lt;=Estimator!$B$7)</f>
        <v>1</v>
      </c>
      <c r="H1945" s="86">
        <f>SUMIFS('Climate Data'!$G$7:$G$366,'Climate Data'!$A$7:$A$366,Estimator!$B$4,'Climate Data'!$B$7:$B$366,C1945)</f>
        <v>0.25555555555555559</v>
      </c>
      <c r="I1945" s="87">
        <f>SUMIFS('Climate Data'!$H$7:$H$366,'Climate Data'!$A$7:$A$366,Estimator!$B$4,'Climate Data'!$B$7:$B$366,C1945)</f>
        <v>7.5</v>
      </c>
      <c r="J1945" s="86">
        <f>SUMIFS('Wind Proxy'!$H$8:$H$19,'Wind Proxy'!$A$8:$A$19,Estimator!$B$4,'Wind Proxy'!$B$8:$B$19,C1945)</f>
        <v>0</v>
      </c>
    </row>
    <row r="1946" spans="1:10" ht="14.4">
      <c r="A1946" s="84">
        <v>47597</v>
      </c>
      <c r="B1946" s="85">
        <v>2030</v>
      </c>
      <c r="C1946" s="85">
        <v>4</v>
      </c>
      <c r="D1946" s="85" t="s">
        <v>62</v>
      </c>
      <c r="E1946" s="85">
        <v>24</v>
      </c>
      <c r="F1946" s="85">
        <v>3</v>
      </c>
      <c r="G1946" s="85">
        <f>--(F1946&lt;=Estimator!$B$7)</f>
        <v>1</v>
      </c>
      <c r="H1946" s="86">
        <f>SUMIFS('Climate Data'!$G$7:$G$366,'Climate Data'!$A$7:$A$366,Estimator!$B$4,'Climate Data'!$B$7:$B$366,C1946)</f>
        <v>0.25555555555555559</v>
      </c>
      <c r="I1946" s="87">
        <f>SUMIFS('Climate Data'!$H$7:$H$366,'Climate Data'!$A$7:$A$366,Estimator!$B$4,'Climate Data'!$B$7:$B$366,C1946)</f>
        <v>7.5</v>
      </c>
      <c r="J1946" s="86">
        <f>SUMIFS('Wind Proxy'!$H$8:$H$19,'Wind Proxy'!$A$8:$A$19,Estimator!$B$4,'Wind Proxy'!$B$8:$B$19,C1946)</f>
        <v>0</v>
      </c>
    </row>
    <row r="1947" spans="1:10" ht="14.4">
      <c r="A1947" s="84">
        <v>47598</v>
      </c>
      <c r="B1947" s="85">
        <v>2030</v>
      </c>
      <c r="C1947" s="85">
        <v>4</v>
      </c>
      <c r="D1947" s="85" t="s">
        <v>62</v>
      </c>
      <c r="E1947" s="85">
        <v>25</v>
      </c>
      <c r="F1947" s="85">
        <v>4</v>
      </c>
      <c r="G1947" s="85">
        <f>--(F1947&lt;=Estimator!$B$7)</f>
        <v>1</v>
      </c>
      <c r="H1947" s="86">
        <f>SUMIFS('Climate Data'!$G$7:$G$366,'Climate Data'!$A$7:$A$366,Estimator!$B$4,'Climate Data'!$B$7:$B$366,C1947)</f>
        <v>0.25555555555555559</v>
      </c>
      <c r="I1947" s="87">
        <f>SUMIFS('Climate Data'!$H$7:$H$366,'Climate Data'!$A$7:$A$366,Estimator!$B$4,'Climate Data'!$B$7:$B$366,C1947)</f>
        <v>7.5</v>
      </c>
      <c r="J1947" s="86">
        <f>SUMIFS('Wind Proxy'!$H$8:$H$19,'Wind Proxy'!$A$8:$A$19,Estimator!$B$4,'Wind Proxy'!$B$8:$B$19,C1947)</f>
        <v>0</v>
      </c>
    </row>
    <row r="1948" spans="1:10" ht="14.4">
      <c r="A1948" s="84">
        <v>47599</v>
      </c>
      <c r="B1948" s="85">
        <v>2030</v>
      </c>
      <c r="C1948" s="85">
        <v>4</v>
      </c>
      <c r="D1948" s="85" t="s">
        <v>62</v>
      </c>
      <c r="E1948" s="85">
        <v>26</v>
      </c>
      <c r="F1948" s="85">
        <v>5</v>
      </c>
      <c r="G1948" s="85">
        <f>--(F1948&lt;=Estimator!$B$7)</f>
        <v>1</v>
      </c>
      <c r="H1948" s="86">
        <f>SUMIFS('Climate Data'!$G$7:$G$366,'Climate Data'!$A$7:$A$366,Estimator!$B$4,'Climate Data'!$B$7:$B$366,C1948)</f>
        <v>0.25555555555555559</v>
      </c>
      <c r="I1948" s="87">
        <f>SUMIFS('Climate Data'!$H$7:$H$366,'Climate Data'!$A$7:$A$366,Estimator!$B$4,'Climate Data'!$B$7:$B$366,C1948)</f>
        <v>7.5</v>
      </c>
      <c r="J1948" s="86">
        <f>SUMIFS('Wind Proxy'!$H$8:$H$19,'Wind Proxy'!$A$8:$A$19,Estimator!$B$4,'Wind Proxy'!$B$8:$B$19,C1948)</f>
        <v>0</v>
      </c>
    </row>
    <row r="1949" spans="1:10" ht="14.4">
      <c r="A1949" s="84">
        <v>47600</v>
      </c>
      <c r="B1949" s="85">
        <v>2030</v>
      </c>
      <c r="C1949" s="85">
        <v>4</v>
      </c>
      <c r="D1949" s="85" t="s">
        <v>62</v>
      </c>
      <c r="E1949" s="85">
        <v>27</v>
      </c>
      <c r="F1949" s="85">
        <v>6</v>
      </c>
      <c r="G1949" s="85">
        <f>--(F1949&lt;=Estimator!$B$7)</f>
        <v>0</v>
      </c>
      <c r="H1949" s="86">
        <f>SUMIFS('Climate Data'!$G$7:$G$366,'Climate Data'!$A$7:$A$366,Estimator!$B$4,'Climate Data'!$B$7:$B$366,C1949)</f>
        <v>0.25555555555555559</v>
      </c>
      <c r="I1949" s="87">
        <f>SUMIFS('Climate Data'!$H$7:$H$366,'Climate Data'!$A$7:$A$366,Estimator!$B$4,'Climate Data'!$B$7:$B$366,C1949)</f>
        <v>7.5</v>
      </c>
      <c r="J1949" s="86">
        <f>SUMIFS('Wind Proxy'!$H$8:$H$19,'Wind Proxy'!$A$8:$A$19,Estimator!$B$4,'Wind Proxy'!$B$8:$B$19,C1949)</f>
        <v>0</v>
      </c>
    </row>
    <row r="1950" spans="1:10" ht="14.4">
      <c r="A1950" s="84">
        <v>47601</v>
      </c>
      <c r="B1950" s="85">
        <v>2030</v>
      </c>
      <c r="C1950" s="85">
        <v>4</v>
      </c>
      <c r="D1950" s="85" t="s">
        <v>62</v>
      </c>
      <c r="E1950" s="85">
        <v>28</v>
      </c>
      <c r="F1950" s="85">
        <v>7</v>
      </c>
      <c r="G1950" s="85">
        <f>--(F1950&lt;=Estimator!$B$7)</f>
        <v>0</v>
      </c>
      <c r="H1950" s="86">
        <f>SUMIFS('Climate Data'!$G$7:$G$366,'Climate Data'!$A$7:$A$366,Estimator!$B$4,'Climate Data'!$B$7:$B$366,C1950)</f>
        <v>0.25555555555555559</v>
      </c>
      <c r="I1950" s="87">
        <f>SUMIFS('Climate Data'!$H$7:$H$366,'Climate Data'!$A$7:$A$366,Estimator!$B$4,'Climate Data'!$B$7:$B$366,C1950)</f>
        <v>7.5</v>
      </c>
      <c r="J1950" s="86">
        <f>SUMIFS('Wind Proxy'!$H$8:$H$19,'Wind Proxy'!$A$8:$A$19,Estimator!$B$4,'Wind Proxy'!$B$8:$B$19,C1950)</f>
        <v>0</v>
      </c>
    </row>
    <row r="1951" spans="1:10" ht="14.4">
      <c r="A1951" s="84">
        <v>47602</v>
      </c>
      <c r="B1951" s="85">
        <v>2030</v>
      </c>
      <c r="C1951" s="85">
        <v>4</v>
      </c>
      <c r="D1951" s="85" t="s">
        <v>62</v>
      </c>
      <c r="E1951" s="85">
        <v>29</v>
      </c>
      <c r="F1951" s="85">
        <v>1</v>
      </c>
      <c r="G1951" s="85">
        <f>--(F1951&lt;=Estimator!$B$7)</f>
        <v>1</v>
      </c>
      <c r="H1951" s="86">
        <f>SUMIFS('Climate Data'!$G$7:$G$366,'Climate Data'!$A$7:$A$366,Estimator!$B$4,'Climate Data'!$B$7:$B$366,C1951)</f>
        <v>0.25555555555555559</v>
      </c>
      <c r="I1951" s="87">
        <f>SUMIFS('Climate Data'!$H$7:$H$366,'Climate Data'!$A$7:$A$366,Estimator!$B$4,'Climate Data'!$B$7:$B$366,C1951)</f>
        <v>7.5</v>
      </c>
      <c r="J1951" s="86">
        <f>SUMIFS('Wind Proxy'!$H$8:$H$19,'Wind Proxy'!$A$8:$A$19,Estimator!$B$4,'Wind Proxy'!$B$8:$B$19,C1951)</f>
        <v>0</v>
      </c>
    </row>
    <row r="1952" spans="1:10" ht="14.4">
      <c r="A1952" s="84">
        <v>47603</v>
      </c>
      <c r="B1952" s="85">
        <v>2030</v>
      </c>
      <c r="C1952" s="85">
        <v>4</v>
      </c>
      <c r="D1952" s="85" t="s">
        <v>62</v>
      </c>
      <c r="E1952" s="85">
        <v>30</v>
      </c>
      <c r="F1952" s="85">
        <v>2</v>
      </c>
      <c r="G1952" s="85">
        <f>--(F1952&lt;=Estimator!$B$7)</f>
        <v>1</v>
      </c>
      <c r="H1952" s="86">
        <f>SUMIFS('Climate Data'!$G$7:$G$366,'Climate Data'!$A$7:$A$366,Estimator!$B$4,'Climate Data'!$B$7:$B$366,C1952)</f>
        <v>0.25555555555555559</v>
      </c>
      <c r="I1952" s="87">
        <f>SUMIFS('Climate Data'!$H$7:$H$366,'Climate Data'!$A$7:$A$366,Estimator!$B$4,'Climate Data'!$B$7:$B$366,C1952)</f>
        <v>7.5</v>
      </c>
      <c r="J1952" s="86">
        <f>SUMIFS('Wind Proxy'!$H$8:$H$19,'Wind Proxy'!$A$8:$A$19,Estimator!$B$4,'Wind Proxy'!$B$8:$B$19,C1952)</f>
        <v>0</v>
      </c>
    </row>
    <row r="1953" spans="1:10" ht="14.4">
      <c r="A1953" s="84">
        <v>47604</v>
      </c>
      <c r="B1953" s="85">
        <v>2030</v>
      </c>
      <c r="C1953" s="85">
        <v>5</v>
      </c>
      <c r="D1953" s="85" t="s">
        <v>65</v>
      </c>
      <c r="E1953" s="85">
        <v>1</v>
      </c>
      <c r="F1953" s="85">
        <v>3</v>
      </c>
      <c r="G1953" s="85">
        <f>--(F1953&lt;=Estimator!$B$7)</f>
        <v>1</v>
      </c>
      <c r="H1953" s="86">
        <f>SUMIFS('Climate Data'!$G$7:$G$366,'Climate Data'!$A$7:$A$366,Estimator!$B$4,'Climate Data'!$B$7:$B$366,C1953)</f>
        <v>0.23010752688172045</v>
      </c>
      <c r="I1953" s="87">
        <f>SUMIFS('Climate Data'!$H$7:$H$366,'Climate Data'!$A$7:$A$366,Estimator!$B$4,'Climate Data'!$B$7:$B$366,C1953)</f>
        <v>8.1448598130841123</v>
      </c>
      <c r="J1953" s="86">
        <f>SUMIFS('Wind Proxy'!$H$8:$H$19,'Wind Proxy'!$A$8:$A$19,Estimator!$B$4,'Wind Proxy'!$B$8:$B$19,C1953)</f>
        <v>0</v>
      </c>
    </row>
    <row r="1954" spans="1:10" ht="14.4">
      <c r="A1954" s="84">
        <v>47605</v>
      </c>
      <c r="B1954" s="85">
        <v>2030</v>
      </c>
      <c r="C1954" s="85">
        <v>5</v>
      </c>
      <c r="D1954" s="85" t="s">
        <v>65</v>
      </c>
      <c r="E1954" s="85">
        <v>2</v>
      </c>
      <c r="F1954" s="85">
        <v>4</v>
      </c>
      <c r="G1954" s="85">
        <f>--(F1954&lt;=Estimator!$B$7)</f>
        <v>1</v>
      </c>
      <c r="H1954" s="86">
        <f>SUMIFS('Climate Data'!$G$7:$G$366,'Climate Data'!$A$7:$A$366,Estimator!$B$4,'Climate Data'!$B$7:$B$366,C1954)</f>
        <v>0.23010752688172045</v>
      </c>
      <c r="I1954" s="87">
        <f>SUMIFS('Climate Data'!$H$7:$H$366,'Climate Data'!$A$7:$A$366,Estimator!$B$4,'Climate Data'!$B$7:$B$366,C1954)</f>
        <v>8.1448598130841123</v>
      </c>
      <c r="J1954" s="86">
        <f>SUMIFS('Wind Proxy'!$H$8:$H$19,'Wind Proxy'!$A$8:$A$19,Estimator!$B$4,'Wind Proxy'!$B$8:$B$19,C1954)</f>
        <v>0</v>
      </c>
    </row>
    <row r="1955" spans="1:10" ht="14.4">
      <c r="A1955" s="84">
        <v>47606</v>
      </c>
      <c r="B1955" s="85">
        <v>2030</v>
      </c>
      <c r="C1955" s="85">
        <v>5</v>
      </c>
      <c r="D1955" s="85" t="s">
        <v>65</v>
      </c>
      <c r="E1955" s="85">
        <v>3</v>
      </c>
      <c r="F1955" s="85">
        <v>5</v>
      </c>
      <c r="G1955" s="85">
        <f>--(F1955&lt;=Estimator!$B$7)</f>
        <v>1</v>
      </c>
      <c r="H1955" s="86">
        <f>SUMIFS('Climate Data'!$G$7:$G$366,'Climate Data'!$A$7:$A$366,Estimator!$B$4,'Climate Data'!$B$7:$B$366,C1955)</f>
        <v>0.23010752688172045</v>
      </c>
      <c r="I1955" s="87">
        <f>SUMIFS('Climate Data'!$H$7:$H$366,'Climate Data'!$A$7:$A$366,Estimator!$B$4,'Climate Data'!$B$7:$B$366,C1955)</f>
        <v>8.1448598130841123</v>
      </c>
      <c r="J1955" s="86">
        <f>SUMIFS('Wind Proxy'!$H$8:$H$19,'Wind Proxy'!$A$8:$A$19,Estimator!$B$4,'Wind Proxy'!$B$8:$B$19,C1955)</f>
        <v>0</v>
      </c>
    </row>
    <row r="1956" spans="1:10" ht="14.4">
      <c r="A1956" s="84">
        <v>47607</v>
      </c>
      <c r="B1956" s="85">
        <v>2030</v>
      </c>
      <c r="C1956" s="85">
        <v>5</v>
      </c>
      <c r="D1956" s="85" t="s">
        <v>65</v>
      </c>
      <c r="E1956" s="85">
        <v>4</v>
      </c>
      <c r="F1956" s="85">
        <v>6</v>
      </c>
      <c r="G1956" s="85">
        <f>--(F1956&lt;=Estimator!$B$7)</f>
        <v>0</v>
      </c>
      <c r="H1956" s="86">
        <f>SUMIFS('Climate Data'!$G$7:$G$366,'Climate Data'!$A$7:$A$366,Estimator!$B$4,'Climate Data'!$B$7:$B$366,C1956)</f>
        <v>0.23010752688172045</v>
      </c>
      <c r="I1956" s="87">
        <f>SUMIFS('Climate Data'!$H$7:$H$366,'Climate Data'!$A$7:$A$366,Estimator!$B$4,'Climate Data'!$B$7:$B$366,C1956)</f>
        <v>8.1448598130841123</v>
      </c>
      <c r="J1956" s="86">
        <f>SUMIFS('Wind Proxy'!$H$8:$H$19,'Wind Proxy'!$A$8:$A$19,Estimator!$B$4,'Wind Proxy'!$B$8:$B$19,C1956)</f>
        <v>0</v>
      </c>
    </row>
    <row r="1957" spans="1:10" ht="14.4">
      <c r="A1957" s="84">
        <v>47608</v>
      </c>
      <c r="B1957" s="85">
        <v>2030</v>
      </c>
      <c r="C1957" s="85">
        <v>5</v>
      </c>
      <c r="D1957" s="85" t="s">
        <v>65</v>
      </c>
      <c r="E1957" s="85">
        <v>5</v>
      </c>
      <c r="F1957" s="85">
        <v>7</v>
      </c>
      <c r="G1957" s="85">
        <f>--(F1957&lt;=Estimator!$B$7)</f>
        <v>0</v>
      </c>
      <c r="H1957" s="86">
        <f>SUMIFS('Climate Data'!$G$7:$G$366,'Climate Data'!$A$7:$A$366,Estimator!$B$4,'Climate Data'!$B$7:$B$366,C1957)</f>
        <v>0.23010752688172045</v>
      </c>
      <c r="I1957" s="87">
        <f>SUMIFS('Climate Data'!$H$7:$H$366,'Climate Data'!$A$7:$A$366,Estimator!$B$4,'Climate Data'!$B$7:$B$366,C1957)</f>
        <v>8.1448598130841123</v>
      </c>
      <c r="J1957" s="86">
        <f>SUMIFS('Wind Proxy'!$H$8:$H$19,'Wind Proxy'!$A$8:$A$19,Estimator!$B$4,'Wind Proxy'!$B$8:$B$19,C1957)</f>
        <v>0</v>
      </c>
    </row>
    <row r="1958" spans="1:10" ht="14.4">
      <c r="A1958" s="84">
        <v>47609</v>
      </c>
      <c r="B1958" s="85">
        <v>2030</v>
      </c>
      <c r="C1958" s="85">
        <v>5</v>
      </c>
      <c r="D1958" s="85" t="s">
        <v>65</v>
      </c>
      <c r="E1958" s="85">
        <v>6</v>
      </c>
      <c r="F1958" s="85">
        <v>1</v>
      </c>
      <c r="G1958" s="85">
        <f>--(F1958&lt;=Estimator!$B$7)</f>
        <v>1</v>
      </c>
      <c r="H1958" s="86">
        <f>SUMIFS('Climate Data'!$G$7:$G$366,'Climate Data'!$A$7:$A$366,Estimator!$B$4,'Climate Data'!$B$7:$B$366,C1958)</f>
        <v>0.23010752688172045</v>
      </c>
      <c r="I1958" s="87">
        <f>SUMIFS('Climate Data'!$H$7:$H$366,'Climate Data'!$A$7:$A$366,Estimator!$B$4,'Climate Data'!$B$7:$B$366,C1958)</f>
        <v>8.1448598130841123</v>
      </c>
      <c r="J1958" s="86">
        <f>SUMIFS('Wind Proxy'!$H$8:$H$19,'Wind Proxy'!$A$8:$A$19,Estimator!$B$4,'Wind Proxy'!$B$8:$B$19,C1958)</f>
        <v>0</v>
      </c>
    </row>
    <row r="1959" spans="1:10" ht="14.4">
      <c r="A1959" s="84">
        <v>47610</v>
      </c>
      <c r="B1959" s="85">
        <v>2030</v>
      </c>
      <c r="C1959" s="85">
        <v>5</v>
      </c>
      <c r="D1959" s="85" t="s">
        <v>65</v>
      </c>
      <c r="E1959" s="85">
        <v>7</v>
      </c>
      <c r="F1959" s="85">
        <v>2</v>
      </c>
      <c r="G1959" s="85">
        <f>--(F1959&lt;=Estimator!$B$7)</f>
        <v>1</v>
      </c>
      <c r="H1959" s="86">
        <f>SUMIFS('Climate Data'!$G$7:$G$366,'Climate Data'!$A$7:$A$366,Estimator!$B$4,'Climate Data'!$B$7:$B$366,C1959)</f>
        <v>0.23010752688172045</v>
      </c>
      <c r="I1959" s="87">
        <f>SUMIFS('Climate Data'!$H$7:$H$366,'Climate Data'!$A$7:$A$366,Estimator!$B$4,'Climate Data'!$B$7:$B$366,C1959)</f>
        <v>8.1448598130841123</v>
      </c>
      <c r="J1959" s="86">
        <f>SUMIFS('Wind Proxy'!$H$8:$H$19,'Wind Proxy'!$A$8:$A$19,Estimator!$B$4,'Wind Proxy'!$B$8:$B$19,C1959)</f>
        <v>0</v>
      </c>
    </row>
    <row r="1960" spans="1:10" ht="14.4">
      <c r="A1960" s="84">
        <v>47611</v>
      </c>
      <c r="B1960" s="85">
        <v>2030</v>
      </c>
      <c r="C1960" s="85">
        <v>5</v>
      </c>
      <c r="D1960" s="85" t="s">
        <v>65</v>
      </c>
      <c r="E1960" s="85">
        <v>8</v>
      </c>
      <c r="F1960" s="85">
        <v>3</v>
      </c>
      <c r="G1960" s="85">
        <f>--(F1960&lt;=Estimator!$B$7)</f>
        <v>1</v>
      </c>
      <c r="H1960" s="86">
        <f>SUMIFS('Climate Data'!$G$7:$G$366,'Climate Data'!$A$7:$A$366,Estimator!$B$4,'Climate Data'!$B$7:$B$366,C1960)</f>
        <v>0.23010752688172045</v>
      </c>
      <c r="I1960" s="87">
        <f>SUMIFS('Climate Data'!$H$7:$H$366,'Climate Data'!$A$7:$A$366,Estimator!$B$4,'Climate Data'!$B$7:$B$366,C1960)</f>
        <v>8.1448598130841123</v>
      </c>
      <c r="J1960" s="86">
        <f>SUMIFS('Wind Proxy'!$H$8:$H$19,'Wind Proxy'!$A$8:$A$19,Estimator!$B$4,'Wind Proxy'!$B$8:$B$19,C1960)</f>
        <v>0</v>
      </c>
    </row>
    <row r="1961" spans="1:10" ht="14.4">
      <c r="A1961" s="84">
        <v>47612</v>
      </c>
      <c r="B1961" s="85">
        <v>2030</v>
      </c>
      <c r="C1961" s="85">
        <v>5</v>
      </c>
      <c r="D1961" s="85" t="s">
        <v>65</v>
      </c>
      <c r="E1961" s="85">
        <v>9</v>
      </c>
      <c r="F1961" s="85">
        <v>4</v>
      </c>
      <c r="G1961" s="85">
        <f>--(F1961&lt;=Estimator!$B$7)</f>
        <v>1</v>
      </c>
      <c r="H1961" s="86">
        <f>SUMIFS('Climate Data'!$G$7:$G$366,'Climate Data'!$A$7:$A$366,Estimator!$B$4,'Climate Data'!$B$7:$B$366,C1961)</f>
        <v>0.23010752688172045</v>
      </c>
      <c r="I1961" s="87">
        <f>SUMIFS('Climate Data'!$H$7:$H$366,'Climate Data'!$A$7:$A$366,Estimator!$B$4,'Climate Data'!$B$7:$B$366,C1961)</f>
        <v>8.1448598130841123</v>
      </c>
      <c r="J1961" s="86">
        <f>SUMIFS('Wind Proxy'!$H$8:$H$19,'Wind Proxy'!$A$8:$A$19,Estimator!$B$4,'Wind Proxy'!$B$8:$B$19,C1961)</f>
        <v>0</v>
      </c>
    </row>
    <row r="1962" spans="1:10" ht="14.4">
      <c r="A1962" s="84">
        <v>47613</v>
      </c>
      <c r="B1962" s="85">
        <v>2030</v>
      </c>
      <c r="C1962" s="85">
        <v>5</v>
      </c>
      <c r="D1962" s="85" t="s">
        <v>65</v>
      </c>
      <c r="E1962" s="85">
        <v>10</v>
      </c>
      <c r="F1962" s="85">
        <v>5</v>
      </c>
      <c r="G1962" s="85">
        <f>--(F1962&lt;=Estimator!$B$7)</f>
        <v>1</v>
      </c>
      <c r="H1962" s="86">
        <f>SUMIFS('Climate Data'!$G$7:$G$366,'Climate Data'!$A$7:$A$366,Estimator!$B$4,'Climate Data'!$B$7:$B$366,C1962)</f>
        <v>0.23010752688172045</v>
      </c>
      <c r="I1962" s="87">
        <f>SUMIFS('Climate Data'!$H$7:$H$366,'Climate Data'!$A$7:$A$366,Estimator!$B$4,'Climate Data'!$B$7:$B$366,C1962)</f>
        <v>8.1448598130841123</v>
      </c>
      <c r="J1962" s="86">
        <f>SUMIFS('Wind Proxy'!$H$8:$H$19,'Wind Proxy'!$A$8:$A$19,Estimator!$B$4,'Wind Proxy'!$B$8:$B$19,C1962)</f>
        <v>0</v>
      </c>
    </row>
    <row r="1963" spans="1:10" ht="14.4">
      <c r="A1963" s="84">
        <v>47614</v>
      </c>
      <c r="B1963" s="85">
        <v>2030</v>
      </c>
      <c r="C1963" s="85">
        <v>5</v>
      </c>
      <c r="D1963" s="85" t="s">
        <v>65</v>
      </c>
      <c r="E1963" s="85">
        <v>11</v>
      </c>
      <c r="F1963" s="85">
        <v>6</v>
      </c>
      <c r="G1963" s="85">
        <f>--(F1963&lt;=Estimator!$B$7)</f>
        <v>0</v>
      </c>
      <c r="H1963" s="86">
        <f>SUMIFS('Climate Data'!$G$7:$G$366,'Climate Data'!$A$7:$A$366,Estimator!$B$4,'Climate Data'!$B$7:$B$366,C1963)</f>
        <v>0.23010752688172045</v>
      </c>
      <c r="I1963" s="87">
        <f>SUMIFS('Climate Data'!$H$7:$H$366,'Climate Data'!$A$7:$A$366,Estimator!$B$4,'Climate Data'!$B$7:$B$366,C1963)</f>
        <v>8.1448598130841123</v>
      </c>
      <c r="J1963" s="86">
        <f>SUMIFS('Wind Proxy'!$H$8:$H$19,'Wind Proxy'!$A$8:$A$19,Estimator!$B$4,'Wind Proxy'!$B$8:$B$19,C1963)</f>
        <v>0</v>
      </c>
    </row>
    <row r="1964" spans="1:10" ht="14.4">
      <c r="A1964" s="84">
        <v>47615</v>
      </c>
      <c r="B1964" s="85">
        <v>2030</v>
      </c>
      <c r="C1964" s="85">
        <v>5</v>
      </c>
      <c r="D1964" s="85" t="s">
        <v>65</v>
      </c>
      <c r="E1964" s="85">
        <v>12</v>
      </c>
      <c r="F1964" s="85">
        <v>7</v>
      </c>
      <c r="G1964" s="85">
        <f>--(F1964&lt;=Estimator!$B$7)</f>
        <v>0</v>
      </c>
      <c r="H1964" s="86">
        <f>SUMIFS('Climate Data'!$G$7:$G$366,'Climate Data'!$A$7:$A$366,Estimator!$B$4,'Climate Data'!$B$7:$B$366,C1964)</f>
        <v>0.23010752688172045</v>
      </c>
      <c r="I1964" s="87">
        <f>SUMIFS('Climate Data'!$H$7:$H$366,'Climate Data'!$A$7:$A$366,Estimator!$B$4,'Climate Data'!$B$7:$B$366,C1964)</f>
        <v>8.1448598130841123</v>
      </c>
      <c r="J1964" s="86">
        <f>SUMIFS('Wind Proxy'!$H$8:$H$19,'Wind Proxy'!$A$8:$A$19,Estimator!$B$4,'Wind Proxy'!$B$8:$B$19,C1964)</f>
        <v>0</v>
      </c>
    </row>
    <row r="1965" spans="1:10" ht="14.4">
      <c r="A1965" s="84">
        <v>47616</v>
      </c>
      <c r="B1965" s="85">
        <v>2030</v>
      </c>
      <c r="C1965" s="85">
        <v>5</v>
      </c>
      <c r="D1965" s="85" t="s">
        <v>65</v>
      </c>
      <c r="E1965" s="85">
        <v>13</v>
      </c>
      <c r="F1965" s="85">
        <v>1</v>
      </c>
      <c r="G1965" s="85">
        <f>--(F1965&lt;=Estimator!$B$7)</f>
        <v>1</v>
      </c>
      <c r="H1965" s="86">
        <f>SUMIFS('Climate Data'!$G$7:$G$366,'Climate Data'!$A$7:$A$366,Estimator!$B$4,'Climate Data'!$B$7:$B$366,C1965)</f>
        <v>0.23010752688172045</v>
      </c>
      <c r="I1965" s="87">
        <f>SUMIFS('Climate Data'!$H$7:$H$366,'Climate Data'!$A$7:$A$366,Estimator!$B$4,'Climate Data'!$B$7:$B$366,C1965)</f>
        <v>8.1448598130841123</v>
      </c>
      <c r="J1965" s="86">
        <f>SUMIFS('Wind Proxy'!$H$8:$H$19,'Wind Proxy'!$A$8:$A$19,Estimator!$B$4,'Wind Proxy'!$B$8:$B$19,C1965)</f>
        <v>0</v>
      </c>
    </row>
    <row r="1966" spans="1:10" ht="14.4">
      <c r="A1966" s="84">
        <v>47617</v>
      </c>
      <c r="B1966" s="85">
        <v>2030</v>
      </c>
      <c r="C1966" s="85">
        <v>5</v>
      </c>
      <c r="D1966" s="85" t="s">
        <v>65</v>
      </c>
      <c r="E1966" s="85">
        <v>14</v>
      </c>
      <c r="F1966" s="85">
        <v>2</v>
      </c>
      <c r="G1966" s="85">
        <f>--(F1966&lt;=Estimator!$B$7)</f>
        <v>1</v>
      </c>
      <c r="H1966" s="86">
        <f>SUMIFS('Climate Data'!$G$7:$G$366,'Climate Data'!$A$7:$A$366,Estimator!$B$4,'Climate Data'!$B$7:$B$366,C1966)</f>
        <v>0.23010752688172045</v>
      </c>
      <c r="I1966" s="87">
        <f>SUMIFS('Climate Data'!$H$7:$H$366,'Climate Data'!$A$7:$A$366,Estimator!$B$4,'Climate Data'!$B$7:$B$366,C1966)</f>
        <v>8.1448598130841123</v>
      </c>
      <c r="J1966" s="86">
        <f>SUMIFS('Wind Proxy'!$H$8:$H$19,'Wind Proxy'!$A$8:$A$19,Estimator!$B$4,'Wind Proxy'!$B$8:$B$19,C1966)</f>
        <v>0</v>
      </c>
    </row>
    <row r="1967" spans="1:10" ht="14.4">
      <c r="A1967" s="84">
        <v>47618</v>
      </c>
      <c r="B1967" s="85">
        <v>2030</v>
      </c>
      <c r="C1967" s="85">
        <v>5</v>
      </c>
      <c r="D1967" s="85" t="s">
        <v>65</v>
      </c>
      <c r="E1967" s="85">
        <v>15</v>
      </c>
      <c r="F1967" s="85">
        <v>3</v>
      </c>
      <c r="G1967" s="85">
        <f>--(F1967&lt;=Estimator!$B$7)</f>
        <v>1</v>
      </c>
      <c r="H1967" s="86">
        <f>SUMIFS('Climate Data'!$G$7:$G$366,'Climate Data'!$A$7:$A$366,Estimator!$B$4,'Climate Data'!$B$7:$B$366,C1967)</f>
        <v>0.23010752688172045</v>
      </c>
      <c r="I1967" s="87">
        <f>SUMIFS('Climate Data'!$H$7:$H$366,'Climate Data'!$A$7:$A$366,Estimator!$B$4,'Climate Data'!$B$7:$B$366,C1967)</f>
        <v>8.1448598130841123</v>
      </c>
      <c r="J1967" s="86">
        <f>SUMIFS('Wind Proxy'!$H$8:$H$19,'Wind Proxy'!$A$8:$A$19,Estimator!$B$4,'Wind Proxy'!$B$8:$B$19,C1967)</f>
        <v>0</v>
      </c>
    </row>
    <row r="1968" spans="1:10" ht="14.4">
      <c r="A1968" s="84">
        <v>47619</v>
      </c>
      <c r="B1968" s="85">
        <v>2030</v>
      </c>
      <c r="C1968" s="85">
        <v>5</v>
      </c>
      <c r="D1968" s="85" t="s">
        <v>65</v>
      </c>
      <c r="E1968" s="85">
        <v>16</v>
      </c>
      <c r="F1968" s="85">
        <v>4</v>
      </c>
      <c r="G1968" s="85">
        <f>--(F1968&lt;=Estimator!$B$7)</f>
        <v>1</v>
      </c>
      <c r="H1968" s="86">
        <f>SUMIFS('Climate Data'!$G$7:$G$366,'Climate Data'!$A$7:$A$366,Estimator!$B$4,'Climate Data'!$B$7:$B$366,C1968)</f>
        <v>0.23010752688172045</v>
      </c>
      <c r="I1968" s="87">
        <f>SUMIFS('Climate Data'!$H$7:$H$366,'Climate Data'!$A$7:$A$366,Estimator!$B$4,'Climate Data'!$B$7:$B$366,C1968)</f>
        <v>8.1448598130841123</v>
      </c>
      <c r="J1968" s="86">
        <f>SUMIFS('Wind Proxy'!$H$8:$H$19,'Wind Proxy'!$A$8:$A$19,Estimator!$B$4,'Wind Proxy'!$B$8:$B$19,C1968)</f>
        <v>0</v>
      </c>
    </row>
    <row r="1969" spans="1:10" ht="14.4">
      <c r="A1969" s="84">
        <v>47620</v>
      </c>
      <c r="B1969" s="85">
        <v>2030</v>
      </c>
      <c r="C1969" s="85">
        <v>5</v>
      </c>
      <c r="D1969" s="85" t="s">
        <v>65</v>
      </c>
      <c r="E1969" s="85">
        <v>17</v>
      </c>
      <c r="F1969" s="85">
        <v>5</v>
      </c>
      <c r="G1969" s="85">
        <f>--(F1969&lt;=Estimator!$B$7)</f>
        <v>1</v>
      </c>
      <c r="H1969" s="86">
        <f>SUMIFS('Climate Data'!$G$7:$G$366,'Climate Data'!$A$7:$A$366,Estimator!$B$4,'Climate Data'!$B$7:$B$366,C1969)</f>
        <v>0.23010752688172045</v>
      </c>
      <c r="I1969" s="87">
        <f>SUMIFS('Climate Data'!$H$7:$H$366,'Climate Data'!$A$7:$A$366,Estimator!$B$4,'Climate Data'!$B$7:$B$366,C1969)</f>
        <v>8.1448598130841123</v>
      </c>
      <c r="J1969" s="86">
        <f>SUMIFS('Wind Proxy'!$H$8:$H$19,'Wind Proxy'!$A$8:$A$19,Estimator!$B$4,'Wind Proxy'!$B$8:$B$19,C1969)</f>
        <v>0</v>
      </c>
    </row>
    <row r="1970" spans="1:10" ht="14.4">
      <c r="A1970" s="84">
        <v>47621</v>
      </c>
      <c r="B1970" s="85">
        <v>2030</v>
      </c>
      <c r="C1970" s="85">
        <v>5</v>
      </c>
      <c r="D1970" s="85" t="s">
        <v>65</v>
      </c>
      <c r="E1970" s="85">
        <v>18</v>
      </c>
      <c r="F1970" s="85">
        <v>6</v>
      </c>
      <c r="G1970" s="85">
        <f>--(F1970&lt;=Estimator!$B$7)</f>
        <v>0</v>
      </c>
      <c r="H1970" s="86">
        <f>SUMIFS('Climate Data'!$G$7:$G$366,'Climate Data'!$A$7:$A$366,Estimator!$B$4,'Climate Data'!$B$7:$B$366,C1970)</f>
        <v>0.23010752688172045</v>
      </c>
      <c r="I1970" s="87">
        <f>SUMIFS('Climate Data'!$H$7:$H$366,'Climate Data'!$A$7:$A$366,Estimator!$B$4,'Climate Data'!$B$7:$B$366,C1970)</f>
        <v>8.1448598130841123</v>
      </c>
      <c r="J1970" s="86">
        <f>SUMIFS('Wind Proxy'!$H$8:$H$19,'Wind Proxy'!$A$8:$A$19,Estimator!$B$4,'Wind Proxy'!$B$8:$B$19,C1970)</f>
        <v>0</v>
      </c>
    </row>
    <row r="1971" spans="1:10" ht="14.4">
      <c r="A1971" s="84">
        <v>47622</v>
      </c>
      <c r="B1971" s="85">
        <v>2030</v>
      </c>
      <c r="C1971" s="85">
        <v>5</v>
      </c>
      <c r="D1971" s="85" t="s">
        <v>65</v>
      </c>
      <c r="E1971" s="85">
        <v>19</v>
      </c>
      <c r="F1971" s="85">
        <v>7</v>
      </c>
      <c r="G1971" s="85">
        <f>--(F1971&lt;=Estimator!$B$7)</f>
        <v>0</v>
      </c>
      <c r="H1971" s="86">
        <f>SUMIFS('Climate Data'!$G$7:$G$366,'Climate Data'!$A$7:$A$366,Estimator!$B$4,'Climate Data'!$B$7:$B$366,C1971)</f>
        <v>0.23010752688172045</v>
      </c>
      <c r="I1971" s="87">
        <f>SUMIFS('Climate Data'!$H$7:$H$366,'Climate Data'!$A$7:$A$366,Estimator!$B$4,'Climate Data'!$B$7:$B$366,C1971)</f>
        <v>8.1448598130841123</v>
      </c>
      <c r="J1971" s="86">
        <f>SUMIFS('Wind Proxy'!$H$8:$H$19,'Wind Proxy'!$A$8:$A$19,Estimator!$B$4,'Wind Proxy'!$B$8:$B$19,C1971)</f>
        <v>0</v>
      </c>
    </row>
    <row r="1972" spans="1:10" ht="14.4">
      <c r="A1972" s="84">
        <v>47623</v>
      </c>
      <c r="B1972" s="85">
        <v>2030</v>
      </c>
      <c r="C1972" s="85">
        <v>5</v>
      </c>
      <c r="D1972" s="85" t="s">
        <v>65</v>
      </c>
      <c r="E1972" s="85">
        <v>20</v>
      </c>
      <c r="F1972" s="85">
        <v>1</v>
      </c>
      <c r="G1972" s="85">
        <f>--(F1972&lt;=Estimator!$B$7)</f>
        <v>1</v>
      </c>
      <c r="H1972" s="86">
        <f>SUMIFS('Climate Data'!$G$7:$G$366,'Climate Data'!$A$7:$A$366,Estimator!$B$4,'Climate Data'!$B$7:$B$366,C1972)</f>
        <v>0.23010752688172045</v>
      </c>
      <c r="I1972" s="87">
        <f>SUMIFS('Climate Data'!$H$7:$H$366,'Climate Data'!$A$7:$A$366,Estimator!$B$4,'Climate Data'!$B$7:$B$366,C1972)</f>
        <v>8.1448598130841123</v>
      </c>
      <c r="J1972" s="86">
        <f>SUMIFS('Wind Proxy'!$H$8:$H$19,'Wind Proxy'!$A$8:$A$19,Estimator!$B$4,'Wind Proxy'!$B$8:$B$19,C1972)</f>
        <v>0</v>
      </c>
    </row>
    <row r="1973" spans="1:10" ht="14.4">
      <c r="A1973" s="84">
        <v>47624</v>
      </c>
      <c r="B1973" s="85">
        <v>2030</v>
      </c>
      <c r="C1973" s="85">
        <v>5</v>
      </c>
      <c r="D1973" s="85" t="s">
        <v>65</v>
      </c>
      <c r="E1973" s="85">
        <v>21</v>
      </c>
      <c r="F1973" s="85">
        <v>2</v>
      </c>
      <c r="G1973" s="85">
        <f>--(F1973&lt;=Estimator!$B$7)</f>
        <v>1</v>
      </c>
      <c r="H1973" s="86">
        <f>SUMIFS('Climate Data'!$G$7:$G$366,'Climate Data'!$A$7:$A$366,Estimator!$B$4,'Climate Data'!$B$7:$B$366,C1973)</f>
        <v>0.23010752688172045</v>
      </c>
      <c r="I1973" s="87">
        <f>SUMIFS('Climate Data'!$H$7:$H$366,'Climate Data'!$A$7:$A$366,Estimator!$B$4,'Climate Data'!$B$7:$B$366,C1973)</f>
        <v>8.1448598130841123</v>
      </c>
      <c r="J1973" s="86">
        <f>SUMIFS('Wind Proxy'!$H$8:$H$19,'Wind Proxy'!$A$8:$A$19,Estimator!$B$4,'Wind Proxy'!$B$8:$B$19,C1973)</f>
        <v>0</v>
      </c>
    </row>
    <row r="1974" spans="1:10" ht="14.4">
      <c r="A1974" s="84">
        <v>47625</v>
      </c>
      <c r="B1974" s="85">
        <v>2030</v>
      </c>
      <c r="C1974" s="85">
        <v>5</v>
      </c>
      <c r="D1974" s="85" t="s">
        <v>65</v>
      </c>
      <c r="E1974" s="85">
        <v>22</v>
      </c>
      <c r="F1974" s="85">
        <v>3</v>
      </c>
      <c r="G1974" s="85">
        <f>--(F1974&lt;=Estimator!$B$7)</f>
        <v>1</v>
      </c>
      <c r="H1974" s="86">
        <f>SUMIFS('Climate Data'!$G$7:$G$366,'Climate Data'!$A$7:$A$366,Estimator!$B$4,'Climate Data'!$B$7:$B$366,C1974)</f>
        <v>0.23010752688172045</v>
      </c>
      <c r="I1974" s="87">
        <f>SUMIFS('Climate Data'!$H$7:$H$366,'Climate Data'!$A$7:$A$366,Estimator!$B$4,'Climate Data'!$B$7:$B$366,C1974)</f>
        <v>8.1448598130841123</v>
      </c>
      <c r="J1974" s="86">
        <f>SUMIFS('Wind Proxy'!$H$8:$H$19,'Wind Proxy'!$A$8:$A$19,Estimator!$B$4,'Wind Proxy'!$B$8:$B$19,C1974)</f>
        <v>0</v>
      </c>
    </row>
    <row r="1975" spans="1:10" ht="14.4">
      <c r="A1975" s="84">
        <v>47626</v>
      </c>
      <c r="B1975" s="85">
        <v>2030</v>
      </c>
      <c r="C1975" s="85">
        <v>5</v>
      </c>
      <c r="D1975" s="85" t="s">
        <v>65</v>
      </c>
      <c r="E1975" s="85">
        <v>23</v>
      </c>
      <c r="F1975" s="85">
        <v>4</v>
      </c>
      <c r="G1975" s="85">
        <f>--(F1975&lt;=Estimator!$B$7)</f>
        <v>1</v>
      </c>
      <c r="H1975" s="86">
        <f>SUMIFS('Climate Data'!$G$7:$G$366,'Climate Data'!$A$7:$A$366,Estimator!$B$4,'Climate Data'!$B$7:$B$366,C1975)</f>
        <v>0.23010752688172045</v>
      </c>
      <c r="I1975" s="87">
        <f>SUMIFS('Climate Data'!$H$7:$H$366,'Climate Data'!$A$7:$A$366,Estimator!$B$4,'Climate Data'!$B$7:$B$366,C1975)</f>
        <v>8.1448598130841123</v>
      </c>
      <c r="J1975" s="86">
        <f>SUMIFS('Wind Proxy'!$H$8:$H$19,'Wind Proxy'!$A$8:$A$19,Estimator!$B$4,'Wind Proxy'!$B$8:$B$19,C1975)</f>
        <v>0</v>
      </c>
    </row>
    <row r="1976" spans="1:10" ht="14.4">
      <c r="A1976" s="84">
        <v>47627</v>
      </c>
      <c r="B1976" s="85">
        <v>2030</v>
      </c>
      <c r="C1976" s="85">
        <v>5</v>
      </c>
      <c r="D1976" s="85" t="s">
        <v>65</v>
      </c>
      <c r="E1976" s="85">
        <v>24</v>
      </c>
      <c r="F1976" s="85">
        <v>5</v>
      </c>
      <c r="G1976" s="85">
        <f>--(F1976&lt;=Estimator!$B$7)</f>
        <v>1</v>
      </c>
      <c r="H1976" s="86">
        <f>SUMIFS('Climate Data'!$G$7:$G$366,'Climate Data'!$A$7:$A$366,Estimator!$B$4,'Climate Data'!$B$7:$B$366,C1976)</f>
        <v>0.23010752688172045</v>
      </c>
      <c r="I1976" s="87">
        <f>SUMIFS('Climate Data'!$H$7:$H$366,'Climate Data'!$A$7:$A$366,Estimator!$B$4,'Climate Data'!$B$7:$B$366,C1976)</f>
        <v>8.1448598130841123</v>
      </c>
      <c r="J1976" s="86">
        <f>SUMIFS('Wind Proxy'!$H$8:$H$19,'Wind Proxy'!$A$8:$A$19,Estimator!$B$4,'Wind Proxy'!$B$8:$B$19,C1976)</f>
        <v>0</v>
      </c>
    </row>
    <row r="1977" spans="1:10" ht="14.4">
      <c r="A1977" s="84">
        <v>47628</v>
      </c>
      <c r="B1977" s="85">
        <v>2030</v>
      </c>
      <c r="C1977" s="85">
        <v>5</v>
      </c>
      <c r="D1977" s="85" t="s">
        <v>65</v>
      </c>
      <c r="E1977" s="85">
        <v>25</v>
      </c>
      <c r="F1977" s="85">
        <v>6</v>
      </c>
      <c r="G1977" s="85">
        <f>--(F1977&lt;=Estimator!$B$7)</f>
        <v>0</v>
      </c>
      <c r="H1977" s="86">
        <f>SUMIFS('Climate Data'!$G$7:$G$366,'Climate Data'!$A$7:$A$366,Estimator!$B$4,'Climate Data'!$B$7:$B$366,C1977)</f>
        <v>0.23010752688172045</v>
      </c>
      <c r="I1977" s="87">
        <f>SUMIFS('Climate Data'!$H$7:$H$366,'Climate Data'!$A$7:$A$366,Estimator!$B$4,'Climate Data'!$B$7:$B$366,C1977)</f>
        <v>8.1448598130841123</v>
      </c>
      <c r="J1977" s="86">
        <f>SUMIFS('Wind Proxy'!$H$8:$H$19,'Wind Proxy'!$A$8:$A$19,Estimator!$B$4,'Wind Proxy'!$B$8:$B$19,C1977)</f>
        <v>0</v>
      </c>
    </row>
    <row r="1978" spans="1:10" ht="14.4">
      <c r="A1978" s="84">
        <v>47629</v>
      </c>
      <c r="B1978" s="85">
        <v>2030</v>
      </c>
      <c r="C1978" s="85">
        <v>5</v>
      </c>
      <c r="D1978" s="85" t="s">
        <v>65</v>
      </c>
      <c r="E1978" s="85">
        <v>26</v>
      </c>
      <c r="F1978" s="85">
        <v>7</v>
      </c>
      <c r="G1978" s="85">
        <f>--(F1978&lt;=Estimator!$B$7)</f>
        <v>0</v>
      </c>
      <c r="H1978" s="86">
        <f>SUMIFS('Climate Data'!$G$7:$G$366,'Climate Data'!$A$7:$A$366,Estimator!$B$4,'Climate Data'!$B$7:$B$366,C1978)</f>
        <v>0.23010752688172045</v>
      </c>
      <c r="I1978" s="87">
        <f>SUMIFS('Climate Data'!$H$7:$H$366,'Climate Data'!$A$7:$A$366,Estimator!$B$4,'Climate Data'!$B$7:$B$366,C1978)</f>
        <v>8.1448598130841123</v>
      </c>
      <c r="J1978" s="86">
        <f>SUMIFS('Wind Proxy'!$H$8:$H$19,'Wind Proxy'!$A$8:$A$19,Estimator!$B$4,'Wind Proxy'!$B$8:$B$19,C1978)</f>
        <v>0</v>
      </c>
    </row>
    <row r="1979" spans="1:10" ht="14.4">
      <c r="A1979" s="84">
        <v>47630</v>
      </c>
      <c r="B1979" s="85">
        <v>2030</v>
      </c>
      <c r="C1979" s="85">
        <v>5</v>
      </c>
      <c r="D1979" s="85" t="s">
        <v>65</v>
      </c>
      <c r="E1979" s="85">
        <v>27</v>
      </c>
      <c r="F1979" s="85">
        <v>1</v>
      </c>
      <c r="G1979" s="85">
        <f>--(F1979&lt;=Estimator!$B$7)</f>
        <v>1</v>
      </c>
      <c r="H1979" s="86">
        <f>SUMIFS('Climate Data'!$G$7:$G$366,'Climate Data'!$A$7:$A$366,Estimator!$B$4,'Climate Data'!$B$7:$B$366,C1979)</f>
        <v>0.23010752688172045</v>
      </c>
      <c r="I1979" s="87">
        <f>SUMIFS('Climate Data'!$H$7:$H$366,'Climate Data'!$A$7:$A$366,Estimator!$B$4,'Climate Data'!$B$7:$B$366,C1979)</f>
        <v>8.1448598130841123</v>
      </c>
      <c r="J1979" s="86">
        <f>SUMIFS('Wind Proxy'!$H$8:$H$19,'Wind Proxy'!$A$8:$A$19,Estimator!$B$4,'Wind Proxy'!$B$8:$B$19,C1979)</f>
        <v>0</v>
      </c>
    </row>
    <row r="1980" spans="1:10" ht="14.4">
      <c r="A1980" s="84">
        <v>47631</v>
      </c>
      <c r="B1980" s="85">
        <v>2030</v>
      </c>
      <c r="C1980" s="85">
        <v>5</v>
      </c>
      <c r="D1980" s="85" t="s">
        <v>65</v>
      </c>
      <c r="E1980" s="85">
        <v>28</v>
      </c>
      <c r="F1980" s="85">
        <v>2</v>
      </c>
      <c r="G1980" s="85">
        <f>--(F1980&lt;=Estimator!$B$7)</f>
        <v>1</v>
      </c>
      <c r="H1980" s="86">
        <f>SUMIFS('Climate Data'!$G$7:$G$366,'Climate Data'!$A$7:$A$366,Estimator!$B$4,'Climate Data'!$B$7:$B$366,C1980)</f>
        <v>0.23010752688172045</v>
      </c>
      <c r="I1980" s="87">
        <f>SUMIFS('Climate Data'!$H$7:$H$366,'Climate Data'!$A$7:$A$366,Estimator!$B$4,'Climate Data'!$B$7:$B$366,C1980)</f>
        <v>8.1448598130841123</v>
      </c>
      <c r="J1980" s="86">
        <f>SUMIFS('Wind Proxy'!$H$8:$H$19,'Wind Proxy'!$A$8:$A$19,Estimator!$B$4,'Wind Proxy'!$B$8:$B$19,C1980)</f>
        <v>0</v>
      </c>
    </row>
    <row r="1981" spans="1:10" ht="14.4">
      <c r="A1981" s="84">
        <v>47632</v>
      </c>
      <c r="B1981" s="85">
        <v>2030</v>
      </c>
      <c r="C1981" s="85">
        <v>5</v>
      </c>
      <c r="D1981" s="85" t="s">
        <v>65</v>
      </c>
      <c r="E1981" s="85">
        <v>29</v>
      </c>
      <c r="F1981" s="85">
        <v>3</v>
      </c>
      <c r="G1981" s="85">
        <f>--(F1981&lt;=Estimator!$B$7)</f>
        <v>1</v>
      </c>
      <c r="H1981" s="86">
        <f>SUMIFS('Climate Data'!$G$7:$G$366,'Climate Data'!$A$7:$A$366,Estimator!$B$4,'Climate Data'!$B$7:$B$366,C1981)</f>
        <v>0.23010752688172045</v>
      </c>
      <c r="I1981" s="87">
        <f>SUMIFS('Climate Data'!$H$7:$H$366,'Climate Data'!$A$7:$A$366,Estimator!$B$4,'Climate Data'!$B$7:$B$366,C1981)</f>
        <v>8.1448598130841123</v>
      </c>
      <c r="J1981" s="86">
        <f>SUMIFS('Wind Proxy'!$H$8:$H$19,'Wind Proxy'!$A$8:$A$19,Estimator!$B$4,'Wind Proxy'!$B$8:$B$19,C1981)</f>
        <v>0</v>
      </c>
    </row>
    <row r="1982" spans="1:10" ht="14.4">
      <c r="A1982" s="84">
        <v>47633</v>
      </c>
      <c r="B1982" s="85">
        <v>2030</v>
      </c>
      <c r="C1982" s="85">
        <v>5</v>
      </c>
      <c r="D1982" s="85" t="s">
        <v>65</v>
      </c>
      <c r="E1982" s="85">
        <v>30</v>
      </c>
      <c r="F1982" s="85">
        <v>4</v>
      </c>
      <c r="G1982" s="85">
        <f>--(F1982&lt;=Estimator!$B$7)</f>
        <v>1</v>
      </c>
      <c r="H1982" s="86">
        <f>SUMIFS('Climate Data'!$G$7:$G$366,'Climate Data'!$A$7:$A$366,Estimator!$B$4,'Climate Data'!$B$7:$B$366,C1982)</f>
        <v>0.23010752688172045</v>
      </c>
      <c r="I1982" s="87">
        <f>SUMIFS('Climate Data'!$H$7:$H$366,'Climate Data'!$A$7:$A$366,Estimator!$B$4,'Climate Data'!$B$7:$B$366,C1982)</f>
        <v>8.1448598130841123</v>
      </c>
      <c r="J1982" s="86">
        <f>SUMIFS('Wind Proxy'!$H$8:$H$19,'Wind Proxy'!$A$8:$A$19,Estimator!$B$4,'Wind Proxy'!$B$8:$B$19,C1982)</f>
        <v>0</v>
      </c>
    </row>
    <row r="1983" spans="1:10" ht="14.4">
      <c r="A1983" s="84">
        <v>47634</v>
      </c>
      <c r="B1983" s="85">
        <v>2030</v>
      </c>
      <c r="C1983" s="85">
        <v>5</v>
      </c>
      <c r="D1983" s="85" t="s">
        <v>65</v>
      </c>
      <c r="E1983" s="85">
        <v>31</v>
      </c>
      <c r="F1983" s="85">
        <v>5</v>
      </c>
      <c r="G1983" s="85">
        <f>--(F1983&lt;=Estimator!$B$7)</f>
        <v>1</v>
      </c>
      <c r="H1983" s="86">
        <f>SUMIFS('Climate Data'!$G$7:$G$366,'Climate Data'!$A$7:$A$366,Estimator!$B$4,'Climate Data'!$B$7:$B$366,C1983)</f>
        <v>0.23010752688172045</v>
      </c>
      <c r="I1983" s="87">
        <f>SUMIFS('Climate Data'!$H$7:$H$366,'Climate Data'!$A$7:$A$366,Estimator!$B$4,'Climate Data'!$B$7:$B$366,C1983)</f>
        <v>8.1448598130841123</v>
      </c>
      <c r="J1983" s="86">
        <f>SUMIFS('Wind Proxy'!$H$8:$H$19,'Wind Proxy'!$A$8:$A$19,Estimator!$B$4,'Wind Proxy'!$B$8:$B$19,C1983)</f>
        <v>0</v>
      </c>
    </row>
    <row r="1984" spans="1:10" ht="14.4">
      <c r="A1984" s="84">
        <v>47635</v>
      </c>
      <c r="B1984" s="85">
        <v>2030</v>
      </c>
      <c r="C1984" s="85">
        <v>6</v>
      </c>
      <c r="D1984" s="85" t="s">
        <v>68</v>
      </c>
      <c r="E1984" s="85">
        <v>1</v>
      </c>
      <c r="F1984" s="85">
        <v>6</v>
      </c>
      <c r="G1984" s="85">
        <f>--(F1984&lt;=Estimator!$B$7)</f>
        <v>0</v>
      </c>
      <c r="H1984" s="86">
        <f>SUMIFS('Climate Data'!$G$7:$G$366,'Climate Data'!$A$7:$A$366,Estimator!$B$4,'Climate Data'!$B$7:$B$366,C1984)</f>
        <v>0.28666666666666668</v>
      </c>
      <c r="I1984" s="87">
        <f>SUMIFS('Climate Data'!$H$7:$H$366,'Climate Data'!$A$7:$A$366,Estimator!$B$4,'Climate Data'!$B$7:$B$366,C1984)</f>
        <v>7.941860465116279</v>
      </c>
      <c r="J1984" s="86">
        <f>SUMIFS('Wind Proxy'!$H$8:$H$19,'Wind Proxy'!$A$8:$A$19,Estimator!$B$4,'Wind Proxy'!$B$8:$B$19,C1984)</f>
        <v>0</v>
      </c>
    </row>
    <row r="1985" spans="1:10" ht="14.4">
      <c r="A1985" s="84">
        <v>47636</v>
      </c>
      <c r="B1985" s="85">
        <v>2030</v>
      </c>
      <c r="C1985" s="85">
        <v>6</v>
      </c>
      <c r="D1985" s="85" t="s">
        <v>68</v>
      </c>
      <c r="E1985" s="85">
        <v>2</v>
      </c>
      <c r="F1985" s="85">
        <v>7</v>
      </c>
      <c r="G1985" s="85">
        <f>--(F1985&lt;=Estimator!$B$7)</f>
        <v>0</v>
      </c>
      <c r="H1985" s="86">
        <f>SUMIFS('Climate Data'!$G$7:$G$366,'Climate Data'!$A$7:$A$366,Estimator!$B$4,'Climate Data'!$B$7:$B$366,C1985)</f>
        <v>0.28666666666666668</v>
      </c>
      <c r="I1985" s="87">
        <f>SUMIFS('Climate Data'!$H$7:$H$366,'Climate Data'!$A$7:$A$366,Estimator!$B$4,'Climate Data'!$B$7:$B$366,C1985)</f>
        <v>7.941860465116279</v>
      </c>
      <c r="J1985" s="86">
        <f>SUMIFS('Wind Proxy'!$H$8:$H$19,'Wind Proxy'!$A$8:$A$19,Estimator!$B$4,'Wind Proxy'!$B$8:$B$19,C1985)</f>
        <v>0</v>
      </c>
    </row>
    <row r="1986" spans="1:10" ht="14.4">
      <c r="A1986" s="84">
        <v>47637</v>
      </c>
      <c r="B1986" s="85">
        <v>2030</v>
      </c>
      <c r="C1986" s="85">
        <v>6</v>
      </c>
      <c r="D1986" s="85" t="s">
        <v>68</v>
      </c>
      <c r="E1986" s="85">
        <v>3</v>
      </c>
      <c r="F1986" s="85">
        <v>1</v>
      </c>
      <c r="G1986" s="85">
        <f>--(F1986&lt;=Estimator!$B$7)</f>
        <v>1</v>
      </c>
      <c r="H1986" s="86">
        <f>SUMIFS('Climate Data'!$G$7:$G$366,'Climate Data'!$A$7:$A$366,Estimator!$B$4,'Climate Data'!$B$7:$B$366,C1986)</f>
        <v>0.28666666666666668</v>
      </c>
      <c r="I1986" s="87">
        <f>SUMIFS('Climate Data'!$H$7:$H$366,'Climate Data'!$A$7:$A$366,Estimator!$B$4,'Climate Data'!$B$7:$B$366,C1986)</f>
        <v>7.941860465116279</v>
      </c>
      <c r="J1986" s="86">
        <f>SUMIFS('Wind Proxy'!$H$8:$H$19,'Wind Proxy'!$A$8:$A$19,Estimator!$B$4,'Wind Proxy'!$B$8:$B$19,C1986)</f>
        <v>0</v>
      </c>
    </row>
    <row r="1987" spans="1:10" ht="14.4">
      <c r="A1987" s="84">
        <v>47638</v>
      </c>
      <c r="B1987" s="85">
        <v>2030</v>
      </c>
      <c r="C1987" s="85">
        <v>6</v>
      </c>
      <c r="D1987" s="85" t="s">
        <v>68</v>
      </c>
      <c r="E1987" s="85">
        <v>4</v>
      </c>
      <c r="F1987" s="85">
        <v>2</v>
      </c>
      <c r="G1987" s="85">
        <f>--(F1987&lt;=Estimator!$B$7)</f>
        <v>1</v>
      </c>
      <c r="H1987" s="86">
        <f>SUMIFS('Climate Data'!$G$7:$G$366,'Climate Data'!$A$7:$A$366,Estimator!$B$4,'Climate Data'!$B$7:$B$366,C1987)</f>
        <v>0.28666666666666668</v>
      </c>
      <c r="I1987" s="87">
        <f>SUMIFS('Climate Data'!$H$7:$H$366,'Climate Data'!$A$7:$A$366,Estimator!$B$4,'Climate Data'!$B$7:$B$366,C1987)</f>
        <v>7.941860465116279</v>
      </c>
      <c r="J1987" s="86">
        <f>SUMIFS('Wind Proxy'!$H$8:$H$19,'Wind Proxy'!$A$8:$A$19,Estimator!$B$4,'Wind Proxy'!$B$8:$B$19,C1987)</f>
        <v>0</v>
      </c>
    </row>
    <row r="1988" spans="1:10" ht="14.4">
      <c r="A1988" s="84">
        <v>47639</v>
      </c>
      <c r="B1988" s="85">
        <v>2030</v>
      </c>
      <c r="C1988" s="85">
        <v>6</v>
      </c>
      <c r="D1988" s="85" t="s">
        <v>68</v>
      </c>
      <c r="E1988" s="85">
        <v>5</v>
      </c>
      <c r="F1988" s="85">
        <v>3</v>
      </c>
      <c r="G1988" s="85">
        <f>--(F1988&lt;=Estimator!$B$7)</f>
        <v>1</v>
      </c>
      <c r="H1988" s="86">
        <f>SUMIFS('Climate Data'!$G$7:$G$366,'Climate Data'!$A$7:$A$366,Estimator!$B$4,'Climate Data'!$B$7:$B$366,C1988)</f>
        <v>0.28666666666666668</v>
      </c>
      <c r="I1988" s="87">
        <f>SUMIFS('Climate Data'!$H$7:$H$366,'Climate Data'!$A$7:$A$366,Estimator!$B$4,'Climate Data'!$B$7:$B$366,C1988)</f>
        <v>7.941860465116279</v>
      </c>
      <c r="J1988" s="86">
        <f>SUMIFS('Wind Proxy'!$H$8:$H$19,'Wind Proxy'!$A$8:$A$19,Estimator!$B$4,'Wind Proxy'!$B$8:$B$19,C1988)</f>
        <v>0</v>
      </c>
    </row>
    <row r="1989" spans="1:10" ht="14.4">
      <c r="A1989" s="84">
        <v>47640</v>
      </c>
      <c r="B1989" s="85">
        <v>2030</v>
      </c>
      <c r="C1989" s="85">
        <v>6</v>
      </c>
      <c r="D1989" s="85" t="s">
        <v>68</v>
      </c>
      <c r="E1989" s="85">
        <v>6</v>
      </c>
      <c r="F1989" s="85">
        <v>4</v>
      </c>
      <c r="G1989" s="85">
        <f>--(F1989&lt;=Estimator!$B$7)</f>
        <v>1</v>
      </c>
      <c r="H1989" s="86">
        <f>SUMIFS('Climate Data'!$G$7:$G$366,'Climate Data'!$A$7:$A$366,Estimator!$B$4,'Climate Data'!$B$7:$B$366,C1989)</f>
        <v>0.28666666666666668</v>
      </c>
      <c r="I1989" s="87">
        <f>SUMIFS('Climate Data'!$H$7:$H$366,'Climate Data'!$A$7:$A$366,Estimator!$B$4,'Climate Data'!$B$7:$B$366,C1989)</f>
        <v>7.941860465116279</v>
      </c>
      <c r="J1989" s="86">
        <f>SUMIFS('Wind Proxy'!$H$8:$H$19,'Wind Proxy'!$A$8:$A$19,Estimator!$B$4,'Wind Proxy'!$B$8:$B$19,C1989)</f>
        <v>0</v>
      </c>
    </row>
    <row r="1990" spans="1:10" ht="14.4">
      <c r="A1990" s="84">
        <v>47641</v>
      </c>
      <c r="B1990" s="85">
        <v>2030</v>
      </c>
      <c r="C1990" s="85">
        <v>6</v>
      </c>
      <c r="D1990" s="85" t="s">
        <v>68</v>
      </c>
      <c r="E1990" s="85">
        <v>7</v>
      </c>
      <c r="F1990" s="85">
        <v>5</v>
      </c>
      <c r="G1990" s="85">
        <f>--(F1990&lt;=Estimator!$B$7)</f>
        <v>1</v>
      </c>
      <c r="H1990" s="86">
        <f>SUMIFS('Climate Data'!$G$7:$G$366,'Climate Data'!$A$7:$A$366,Estimator!$B$4,'Climate Data'!$B$7:$B$366,C1990)</f>
        <v>0.28666666666666668</v>
      </c>
      <c r="I1990" s="87">
        <f>SUMIFS('Climate Data'!$H$7:$H$366,'Climate Data'!$A$7:$A$366,Estimator!$B$4,'Climate Data'!$B$7:$B$366,C1990)</f>
        <v>7.941860465116279</v>
      </c>
      <c r="J1990" s="86">
        <f>SUMIFS('Wind Proxy'!$H$8:$H$19,'Wind Proxy'!$A$8:$A$19,Estimator!$B$4,'Wind Proxy'!$B$8:$B$19,C1990)</f>
        <v>0</v>
      </c>
    </row>
    <row r="1991" spans="1:10" ht="14.4">
      <c r="A1991" s="84">
        <v>47642</v>
      </c>
      <c r="B1991" s="85">
        <v>2030</v>
      </c>
      <c r="C1991" s="85">
        <v>6</v>
      </c>
      <c r="D1991" s="85" t="s">
        <v>68</v>
      </c>
      <c r="E1991" s="85">
        <v>8</v>
      </c>
      <c r="F1991" s="85">
        <v>6</v>
      </c>
      <c r="G1991" s="85">
        <f>--(F1991&lt;=Estimator!$B$7)</f>
        <v>0</v>
      </c>
      <c r="H1991" s="86">
        <f>SUMIFS('Climate Data'!$G$7:$G$366,'Climate Data'!$A$7:$A$366,Estimator!$B$4,'Climate Data'!$B$7:$B$366,C1991)</f>
        <v>0.28666666666666668</v>
      </c>
      <c r="I1991" s="87">
        <f>SUMIFS('Climate Data'!$H$7:$H$366,'Climate Data'!$A$7:$A$366,Estimator!$B$4,'Climate Data'!$B$7:$B$366,C1991)</f>
        <v>7.941860465116279</v>
      </c>
      <c r="J1991" s="86">
        <f>SUMIFS('Wind Proxy'!$H$8:$H$19,'Wind Proxy'!$A$8:$A$19,Estimator!$B$4,'Wind Proxy'!$B$8:$B$19,C1991)</f>
        <v>0</v>
      </c>
    </row>
    <row r="1992" spans="1:10" ht="14.4">
      <c r="A1992" s="84">
        <v>47643</v>
      </c>
      <c r="B1992" s="85">
        <v>2030</v>
      </c>
      <c r="C1992" s="85">
        <v>6</v>
      </c>
      <c r="D1992" s="85" t="s">
        <v>68</v>
      </c>
      <c r="E1992" s="85">
        <v>9</v>
      </c>
      <c r="F1992" s="85">
        <v>7</v>
      </c>
      <c r="G1992" s="85">
        <f>--(F1992&lt;=Estimator!$B$7)</f>
        <v>0</v>
      </c>
      <c r="H1992" s="86">
        <f>SUMIFS('Climate Data'!$G$7:$G$366,'Climate Data'!$A$7:$A$366,Estimator!$B$4,'Climate Data'!$B$7:$B$366,C1992)</f>
        <v>0.28666666666666668</v>
      </c>
      <c r="I1992" s="87">
        <f>SUMIFS('Climate Data'!$H$7:$H$366,'Climate Data'!$A$7:$A$366,Estimator!$B$4,'Climate Data'!$B$7:$B$366,C1992)</f>
        <v>7.941860465116279</v>
      </c>
      <c r="J1992" s="86">
        <f>SUMIFS('Wind Proxy'!$H$8:$H$19,'Wind Proxy'!$A$8:$A$19,Estimator!$B$4,'Wind Proxy'!$B$8:$B$19,C1992)</f>
        <v>0</v>
      </c>
    </row>
    <row r="1993" spans="1:10" ht="14.4">
      <c r="A1993" s="84">
        <v>47644</v>
      </c>
      <c r="B1993" s="85">
        <v>2030</v>
      </c>
      <c r="C1993" s="85">
        <v>6</v>
      </c>
      <c r="D1993" s="85" t="s">
        <v>68</v>
      </c>
      <c r="E1993" s="85">
        <v>10</v>
      </c>
      <c r="F1993" s="85">
        <v>1</v>
      </c>
      <c r="G1993" s="85">
        <f>--(F1993&lt;=Estimator!$B$7)</f>
        <v>1</v>
      </c>
      <c r="H1993" s="86">
        <f>SUMIFS('Climate Data'!$G$7:$G$366,'Climate Data'!$A$7:$A$366,Estimator!$B$4,'Climate Data'!$B$7:$B$366,C1993)</f>
        <v>0.28666666666666668</v>
      </c>
      <c r="I1993" s="87">
        <f>SUMIFS('Climate Data'!$H$7:$H$366,'Climate Data'!$A$7:$A$366,Estimator!$B$4,'Climate Data'!$B$7:$B$366,C1993)</f>
        <v>7.941860465116279</v>
      </c>
      <c r="J1993" s="86">
        <f>SUMIFS('Wind Proxy'!$H$8:$H$19,'Wind Proxy'!$A$8:$A$19,Estimator!$B$4,'Wind Proxy'!$B$8:$B$19,C1993)</f>
        <v>0</v>
      </c>
    </row>
    <row r="1994" spans="1:10" ht="14.4">
      <c r="A1994" s="84">
        <v>47645</v>
      </c>
      <c r="B1994" s="85">
        <v>2030</v>
      </c>
      <c r="C1994" s="85">
        <v>6</v>
      </c>
      <c r="D1994" s="85" t="s">
        <v>68</v>
      </c>
      <c r="E1994" s="85">
        <v>11</v>
      </c>
      <c r="F1994" s="85">
        <v>2</v>
      </c>
      <c r="G1994" s="85">
        <f>--(F1994&lt;=Estimator!$B$7)</f>
        <v>1</v>
      </c>
      <c r="H1994" s="86">
        <f>SUMIFS('Climate Data'!$G$7:$G$366,'Climate Data'!$A$7:$A$366,Estimator!$B$4,'Climate Data'!$B$7:$B$366,C1994)</f>
        <v>0.28666666666666668</v>
      </c>
      <c r="I1994" s="87">
        <f>SUMIFS('Climate Data'!$H$7:$H$366,'Climate Data'!$A$7:$A$366,Estimator!$B$4,'Climate Data'!$B$7:$B$366,C1994)</f>
        <v>7.941860465116279</v>
      </c>
      <c r="J1994" s="86">
        <f>SUMIFS('Wind Proxy'!$H$8:$H$19,'Wind Proxy'!$A$8:$A$19,Estimator!$B$4,'Wind Proxy'!$B$8:$B$19,C1994)</f>
        <v>0</v>
      </c>
    </row>
    <row r="1995" spans="1:10" ht="14.4">
      <c r="A1995" s="84">
        <v>47646</v>
      </c>
      <c r="B1995" s="85">
        <v>2030</v>
      </c>
      <c r="C1995" s="85">
        <v>6</v>
      </c>
      <c r="D1995" s="85" t="s">
        <v>68</v>
      </c>
      <c r="E1995" s="85">
        <v>12</v>
      </c>
      <c r="F1995" s="85">
        <v>3</v>
      </c>
      <c r="G1995" s="85">
        <f>--(F1995&lt;=Estimator!$B$7)</f>
        <v>1</v>
      </c>
      <c r="H1995" s="86">
        <f>SUMIFS('Climate Data'!$G$7:$G$366,'Climate Data'!$A$7:$A$366,Estimator!$B$4,'Climate Data'!$B$7:$B$366,C1995)</f>
        <v>0.28666666666666668</v>
      </c>
      <c r="I1995" s="87">
        <f>SUMIFS('Climate Data'!$H$7:$H$366,'Climate Data'!$A$7:$A$366,Estimator!$B$4,'Climate Data'!$B$7:$B$366,C1995)</f>
        <v>7.941860465116279</v>
      </c>
      <c r="J1995" s="86">
        <f>SUMIFS('Wind Proxy'!$H$8:$H$19,'Wind Proxy'!$A$8:$A$19,Estimator!$B$4,'Wind Proxy'!$B$8:$B$19,C1995)</f>
        <v>0</v>
      </c>
    </row>
    <row r="1996" spans="1:10" ht="14.4">
      <c r="A1996" s="84">
        <v>47647</v>
      </c>
      <c r="B1996" s="85">
        <v>2030</v>
      </c>
      <c r="C1996" s="85">
        <v>6</v>
      </c>
      <c r="D1996" s="85" t="s">
        <v>68</v>
      </c>
      <c r="E1996" s="85">
        <v>13</v>
      </c>
      <c r="F1996" s="85">
        <v>4</v>
      </c>
      <c r="G1996" s="85">
        <f>--(F1996&lt;=Estimator!$B$7)</f>
        <v>1</v>
      </c>
      <c r="H1996" s="86">
        <f>SUMIFS('Climate Data'!$G$7:$G$366,'Climate Data'!$A$7:$A$366,Estimator!$B$4,'Climate Data'!$B$7:$B$366,C1996)</f>
        <v>0.28666666666666668</v>
      </c>
      <c r="I1996" s="87">
        <f>SUMIFS('Climate Data'!$H$7:$H$366,'Climate Data'!$A$7:$A$366,Estimator!$B$4,'Climate Data'!$B$7:$B$366,C1996)</f>
        <v>7.941860465116279</v>
      </c>
      <c r="J1996" s="86">
        <f>SUMIFS('Wind Proxy'!$H$8:$H$19,'Wind Proxy'!$A$8:$A$19,Estimator!$B$4,'Wind Proxy'!$B$8:$B$19,C1996)</f>
        <v>0</v>
      </c>
    </row>
    <row r="1997" spans="1:10" ht="14.4">
      <c r="A1997" s="84">
        <v>47648</v>
      </c>
      <c r="B1997" s="85">
        <v>2030</v>
      </c>
      <c r="C1997" s="85">
        <v>6</v>
      </c>
      <c r="D1997" s="85" t="s">
        <v>68</v>
      </c>
      <c r="E1997" s="85">
        <v>14</v>
      </c>
      <c r="F1997" s="85">
        <v>5</v>
      </c>
      <c r="G1997" s="85">
        <f>--(F1997&lt;=Estimator!$B$7)</f>
        <v>1</v>
      </c>
      <c r="H1997" s="86">
        <f>SUMIFS('Climate Data'!$G$7:$G$366,'Climate Data'!$A$7:$A$366,Estimator!$B$4,'Climate Data'!$B$7:$B$366,C1997)</f>
        <v>0.28666666666666668</v>
      </c>
      <c r="I1997" s="87">
        <f>SUMIFS('Climate Data'!$H$7:$H$366,'Climate Data'!$A$7:$A$366,Estimator!$B$4,'Climate Data'!$B$7:$B$366,C1997)</f>
        <v>7.941860465116279</v>
      </c>
      <c r="J1997" s="86">
        <f>SUMIFS('Wind Proxy'!$H$8:$H$19,'Wind Proxy'!$A$8:$A$19,Estimator!$B$4,'Wind Proxy'!$B$8:$B$19,C1997)</f>
        <v>0</v>
      </c>
    </row>
    <row r="1998" spans="1:10" ht="14.4">
      <c r="A1998" s="84">
        <v>47649</v>
      </c>
      <c r="B1998" s="85">
        <v>2030</v>
      </c>
      <c r="C1998" s="85">
        <v>6</v>
      </c>
      <c r="D1998" s="85" t="s">
        <v>68</v>
      </c>
      <c r="E1998" s="85">
        <v>15</v>
      </c>
      <c r="F1998" s="85">
        <v>6</v>
      </c>
      <c r="G1998" s="85">
        <f>--(F1998&lt;=Estimator!$B$7)</f>
        <v>0</v>
      </c>
      <c r="H1998" s="86">
        <f>SUMIFS('Climate Data'!$G$7:$G$366,'Climate Data'!$A$7:$A$366,Estimator!$B$4,'Climate Data'!$B$7:$B$366,C1998)</f>
        <v>0.28666666666666668</v>
      </c>
      <c r="I1998" s="87">
        <f>SUMIFS('Climate Data'!$H$7:$H$366,'Climate Data'!$A$7:$A$366,Estimator!$B$4,'Climate Data'!$B$7:$B$366,C1998)</f>
        <v>7.941860465116279</v>
      </c>
      <c r="J1998" s="86">
        <f>SUMIFS('Wind Proxy'!$H$8:$H$19,'Wind Proxy'!$A$8:$A$19,Estimator!$B$4,'Wind Proxy'!$B$8:$B$19,C1998)</f>
        <v>0</v>
      </c>
    </row>
    <row r="1999" spans="1:10" ht="14.4">
      <c r="A1999" s="84">
        <v>47650</v>
      </c>
      <c r="B1999" s="85">
        <v>2030</v>
      </c>
      <c r="C1999" s="85">
        <v>6</v>
      </c>
      <c r="D1999" s="85" t="s">
        <v>68</v>
      </c>
      <c r="E1999" s="85">
        <v>16</v>
      </c>
      <c r="F1999" s="85">
        <v>7</v>
      </c>
      <c r="G1999" s="85">
        <f>--(F1999&lt;=Estimator!$B$7)</f>
        <v>0</v>
      </c>
      <c r="H1999" s="86">
        <f>SUMIFS('Climate Data'!$G$7:$G$366,'Climate Data'!$A$7:$A$366,Estimator!$B$4,'Climate Data'!$B$7:$B$366,C1999)</f>
        <v>0.28666666666666668</v>
      </c>
      <c r="I1999" s="87">
        <f>SUMIFS('Climate Data'!$H$7:$H$366,'Climate Data'!$A$7:$A$366,Estimator!$B$4,'Climate Data'!$B$7:$B$366,C1999)</f>
        <v>7.941860465116279</v>
      </c>
      <c r="J1999" s="86">
        <f>SUMIFS('Wind Proxy'!$H$8:$H$19,'Wind Proxy'!$A$8:$A$19,Estimator!$B$4,'Wind Proxy'!$B$8:$B$19,C1999)</f>
        <v>0</v>
      </c>
    </row>
    <row r="2000" spans="1:10" ht="14.4">
      <c r="A2000" s="84">
        <v>47651</v>
      </c>
      <c r="B2000" s="85">
        <v>2030</v>
      </c>
      <c r="C2000" s="85">
        <v>6</v>
      </c>
      <c r="D2000" s="85" t="s">
        <v>68</v>
      </c>
      <c r="E2000" s="85">
        <v>17</v>
      </c>
      <c r="F2000" s="85">
        <v>1</v>
      </c>
      <c r="G2000" s="85">
        <f>--(F2000&lt;=Estimator!$B$7)</f>
        <v>1</v>
      </c>
      <c r="H2000" s="86">
        <f>SUMIFS('Climate Data'!$G$7:$G$366,'Climate Data'!$A$7:$A$366,Estimator!$B$4,'Climate Data'!$B$7:$B$366,C2000)</f>
        <v>0.28666666666666668</v>
      </c>
      <c r="I2000" s="87">
        <f>SUMIFS('Climate Data'!$H$7:$H$366,'Climate Data'!$A$7:$A$366,Estimator!$B$4,'Climate Data'!$B$7:$B$366,C2000)</f>
        <v>7.941860465116279</v>
      </c>
      <c r="J2000" s="86">
        <f>SUMIFS('Wind Proxy'!$H$8:$H$19,'Wind Proxy'!$A$8:$A$19,Estimator!$B$4,'Wind Proxy'!$B$8:$B$19,C2000)</f>
        <v>0</v>
      </c>
    </row>
    <row r="2001" spans="1:10" ht="14.4">
      <c r="A2001" s="84">
        <v>47652</v>
      </c>
      <c r="B2001" s="85">
        <v>2030</v>
      </c>
      <c r="C2001" s="85">
        <v>6</v>
      </c>
      <c r="D2001" s="85" t="s">
        <v>68</v>
      </c>
      <c r="E2001" s="85">
        <v>18</v>
      </c>
      <c r="F2001" s="85">
        <v>2</v>
      </c>
      <c r="G2001" s="85">
        <f>--(F2001&lt;=Estimator!$B$7)</f>
        <v>1</v>
      </c>
      <c r="H2001" s="86">
        <f>SUMIFS('Climate Data'!$G$7:$G$366,'Climate Data'!$A$7:$A$366,Estimator!$B$4,'Climate Data'!$B$7:$B$366,C2001)</f>
        <v>0.28666666666666668</v>
      </c>
      <c r="I2001" s="87">
        <f>SUMIFS('Climate Data'!$H$7:$H$366,'Climate Data'!$A$7:$A$366,Estimator!$B$4,'Climate Data'!$B$7:$B$366,C2001)</f>
        <v>7.941860465116279</v>
      </c>
      <c r="J2001" s="86">
        <f>SUMIFS('Wind Proxy'!$H$8:$H$19,'Wind Proxy'!$A$8:$A$19,Estimator!$B$4,'Wind Proxy'!$B$8:$B$19,C2001)</f>
        <v>0</v>
      </c>
    </row>
    <row r="2002" spans="1:10" ht="14.4">
      <c r="A2002" s="84">
        <v>47653</v>
      </c>
      <c r="B2002" s="85">
        <v>2030</v>
      </c>
      <c r="C2002" s="85">
        <v>6</v>
      </c>
      <c r="D2002" s="85" t="s">
        <v>68</v>
      </c>
      <c r="E2002" s="85">
        <v>19</v>
      </c>
      <c r="F2002" s="85">
        <v>3</v>
      </c>
      <c r="G2002" s="85">
        <f>--(F2002&lt;=Estimator!$B$7)</f>
        <v>1</v>
      </c>
      <c r="H2002" s="86">
        <f>SUMIFS('Climate Data'!$G$7:$G$366,'Climate Data'!$A$7:$A$366,Estimator!$B$4,'Climate Data'!$B$7:$B$366,C2002)</f>
        <v>0.28666666666666668</v>
      </c>
      <c r="I2002" s="87">
        <f>SUMIFS('Climate Data'!$H$7:$H$366,'Climate Data'!$A$7:$A$366,Estimator!$B$4,'Climate Data'!$B$7:$B$366,C2002)</f>
        <v>7.941860465116279</v>
      </c>
      <c r="J2002" s="86">
        <f>SUMIFS('Wind Proxy'!$H$8:$H$19,'Wind Proxy'!$A$8:$A$19,Estimator!$B$4,'Wind Proxy'!$B$8:$B$19,C2002)</f>
        <v>0</v>
      </c>
    </row>
    <row r="2003" spans="1:10" ht="14.4">
      <c r="A2003" s="84">
        <v>47654</v>
      </c>
      <c r="B2003" s="85">
        <v>2030</v>
      </c>
      <c r="C2003" s="85">
        <v>6</v>
      </c>
      <c r="D2003" s="85" t="s">
        <v>68</v>
      </c>
      <c r="E2003" s="85">
        <v>20</v>
      </c>
      <c r="F2003" s="85">
        <v>4</v>
      </c>
      <c r="G2003" s="85">
        <f>--(F2003&lt;=Estimator!$B$7)</f>
        <v>1</v>
      </c>
      <c r="H2003" s="86">
        <f>SUMIFS('Climate Data'!$G$7:$G$366,'Climate Data'!$A$7:$A$366,Estimator!$B$4,'Climate Data'!$B$7:$B$366,C2003)</f>
        <v>0.28666666666666668</v>
      </c>
      <c r="I2003" s="87">
        <f>SUMIFS('Climate Data'!$H$7:$H$366,'Climate Data'!$A$7:$A$366,Estimator!$B$4,'Climate Data'!$B$7:$B$366,C2003)</f>
        <v>7.941860465116279</v>
      </c>
      <c r="J2003" s="86">
        <f>SUMIFS('Wind Proxy'!$H$8:$H$19,'Wind Proxy'!$A$8:$A$19,Estimator!$B$4,'Wind Proxy'!$B$8:$B$19,C2003)</f>
        <v>0</v>
      </c>
    </row>
    <row r="2004" spans="1:10" ht="14.4">
      <c r="A2004" s="84">
        <v>47655</v>
      </c>
      <c r="B2004" s="85">
        <v>2030</v>
      </c>
      <c r="C2004" s="85">
        <v>6</v>
      </c>
      <c r="D2004" s="85" t="s">
        <v>68</v>
      </c>
      <c r="E2004" s="85">
        <v>21</v>
      </c>
      <c r="F2004" s="85">
        <v>5</v>
      </c>
      <c r="G2004" s="85">
        <f>--(F2004&lt;=Estimator!$B$7)</f>
        <v>1</v>
      </c>
      <c r="H2004" s="86">
        <f>SUMIFS('Climate Data'!$G$7:$G$366,'Climate Data'!$A$7:$A$366,Estimator!$B$4,'Climate Data'!$B$7:$B$366,C2004)</f>
        <v>0.28666666666666668</v>
      </c>
      <c r="I2004" s="87">
        <f>SUMIFS('Climate Data'!$H$7:$H$366,'Climate Data'!$A$7:$A$366,Estimator!$B$4,'Climate Data'!$B$7:$B$366,C2004)</f>
        <v>7.941860465116279</v>
      </c>
      <c r="J2004" s="86">
        <f>SUMIFS('Wind Proxy'!$H$8:$H$19,'Wind Proxy'!$A$8:$A$19,Estimator!$B$4,'Wind Proxy'!$B$8:$B$19,C2004)</f>
        <v>0</v>
      </c>
    </row>
    <row r="2005" spans="1:10" ht="14.4">
      <c r="A2005" s="84">
        <v>47656</v>
      </c>
      <c r="B2005" s="85">
        <v>2030</v>
      </c>
      <c r="C2005" s="85">
        <v>6</v>
      </c>
      <c r="D2005" s="85" t="s">
        <v>68</v>
      </c>
      <c r="E2005" s="85">
        <v>22</v>
      </c>
      <c r="F2005" s="85">
        <v>6</v>
      </c>
      <c r="G2005" s="85">
        <f>--(F2005&lt;=Estimator!$B$7)</f>
        <v>0</v>
      </c>
      <c r="H2005" s="86">
        <f>SUMIFS('Climate Data'!$G$7:$G$366,'Climate Data'!$A$7:$A$366,Estimator!$B$4,'Climate Data'!$B$7:$B$366,C2005)</f>
        <v>0.28666666666666668</v>
      </c>
      <c r="I2005" s="87">
        <f>SUMIFS('Climate Data'!$H$7:$H$366,'Climate Data'!$A$7:$A$366,Estimator!$B$4,'Climate Data'!$B$7:$B$366,C2005)</f>
        <v>7.941860465116279</v>
      </c>
      <c r="J2005" s="86">
        <f>SUMIFS('Wind Proxy'!$H$8:$H$19,'Wind Proxy'!$A$8:$A$19,Estimator!$B$4,'Wind Proxy'!$B$8:$B$19,C2005)</f>
        <v>0</v>
      </c>
    </row>
    <row r="2006" spans="1:10" ht="14.4">
      <c r="A2006" s="84">
        <v>47657</v>
      </c>
      <c r="B2006" s="85">
        <v>2030</v>
      </c>
      <c r="C2006" s="85">
        <v>6</v>
      </c>
      <c r="D2006" s="85" t="s">
        <v>68</v>
      </c>
      <c r="E2006" s="85">
        <v>23</v>
      </c>
      <c r="F2006" s="85">
        <v>7</v>
      </c>
      <c r="G2006" s="85">
        <f>--(F2006&lt;=Estimator!$B$7)</f>
        <v>0</v>
      </c>
      <c r="H2006" s="86">
        <f>SUMIFS('Climate Data'!$G$7:$G$366,'Climate Data'!$A$7:$A$366,Estimator!$B$4,'Climate Data'!$B$7:$B$366,C2006)</f>
        <v>0.28666666666666668</v>
      </c>
      <c r="I2006" s="87">
        <f>SUMIFS('Climate Data'!$H$7:$H$366,'Climate Data'!$A$7:$A$366,Estimator!$B$4,'Climate Data'!$B$7:$B$366,C2006)</f>
        <v>7.941860465116279</v>
      </c>
      <c r="J2006" s="86">
        <f>SUMIFS('Wind Proxy'!$H$8:$H$19,'Wind Proxy'!$A$8:$A$19,Estimator!$B$4,'Wind Proxy'!$B$8:$B$19,C2006)</f>
        <v>0</v>
      </c>
    </row>
    <row r="2007" spans="1:10" ht="14.4">
      <c r="A2007" s="84">
        <v>47658</v>
      </c>
      <c r="B2007" s="85">
        <v>2030</v>
      </c>
      <c r="C2007" s="85">
        <v>6</v>
      </c>
      <c r="D2007" s="85" t="s">
        <v>68</v>
      </c>
      <c r="E2007" s="85">
        <v>24</v>
      </c>
      <c r="F2007" s="85">
        <v>1</v>
      </c>
      <c r="G2007" s="85">
        <f>--(F2007&lt;=Estimator!$B$7)</f>
        <v>1</v>
      </c>
      <c r="H2007" s="86">
        <f>SUMIFS('Climate Data'!$G$7:$G$366,'Climate Data'!$A$7:$A$366,Estimator!$B$4,'Climate Data'!$B$7:$B$366,C2007)</f>
        <v>0.28666666666666668</v>
      </c>
      <c r="I2007" s="87">
        <f>SUMIFS('Climate Data'!$H$7:$H$366,'Climate Data'!$A$7:$A$366,Estimator!$B$4,'Climate Data'!$B$7:$B$366,C2007)</f>
        <v>7.941860465116279</v>
      </c>
      <c r="J2007" s="86">
        <f>SUMIFS('Wind Proxy'!$H$8:$H$19,'Wind Proxy'!$A$8:$A$19,Estimator!$B$4,'Wind Proxy'!$B$8:$B$19,C2007)</f>
        <v>0</v>
      </c>
    </row>
    <row r="2008" spans="1:10" ht="14.4">
      <c r="A2008" s="84">
        <v>47659</v>
      </c>
      <c r="B2008" s="85">
        <v>2030</v>
      </c>
      <c r="C2008" s="85">
        <v>6</v>
      </c>
      <c r="D2008" s="85" t="s">
        <v>68</v>
      </c>
      <c r="E2008" s="85">
        <v>25</v>
      </c>
      <c r="F2008" s="85">
        <v>2</v>
      </c>
      <c r="G2008" s="85">
        <f>--(F2008&lt;=Estimator!$B$7)</f>
        <v>1</v>
      </c>
      <c r="H2008" s="86">
        <f>SUMIFS('Climate Data'!$G$7:$G$366,'Climate Data'!$A$7:$A$366,Estimator!$B$4,'Climate Data'!$B$7:$B$366,C2008)</f>
        <v>0.28666666666666668</v>
      </c>
      <c r="I2008" s="87">
        <f>SUMIFS('Climate Data'!$H$7:$H$366,'Climate Data'!$A$7:$A$366,Estimator!$B$4,'Climate Data'!$B$7:$B$366,C2008)</f>
        <v>7.941860465116279</v>
      </c>
      <c r="J2008" s="86">
        <f>SUMIFS('Wind Proxy'!$H$8:$H$19,'Wind Proxy'!$A$8:$A$19,Estimator!$B$4,'Wind Proxy'!$B$8:$B$19,C2008)</f>
        <v>0</v>
      </c>
    </row>
    <row r="2009" spans="1:10" ht="14.4">
      <c r="A2009" s="84">
        <v>47660</v>
      </c>
      <c r="B2009" s="85">
        <v>2030</v>
      </c>
      <c r="C2009" s="85">
        <v>6</v>
      </c>
      <c r="D2009" s="85" t="s">
        <v>68</v>
      </c>
      <c r="E2009" s="85">
        <v>26</v>
      </c>
      <c r="F2009" s="85">
        <v>3</v>
      </c>
      <c r="G2009" s="85">
        <f>--(F2009&lt;=Estimator!$B$7)</f>
        <v>1</v>
      </c>
      <c r="H2009" s="86">
        <f>SUMIFS('Climate Data'!$G$7:$G$366,'Climate Data'!$A$7:$A$366,Estimator!$B$4,'Climate Data'!$B$7:$B$366,C2009)</f>
        <v>0.28666666666666668</v>
      </c>
      <c r="I2009" s="87">
        <f>SUMIFS('Climate Data'!$H$7:$H$366,'Climate Data'!$A$7:$A$366,Estimator!$B$4,'Climate Data'!$B$7:$B$366,C2009)</f>
        <v>7.941860465116279</v>
      </c>
      <c r="J2009" s="86">
        <f>SUMIFS('Wind Proxy'!$H$8:$H$19,'Wind Proxy'!$A$8:$A$19,Estimator!$B$4,'Wind Proxy'!$B$8:$B$19,C2009)</f>
        <v>0</v>
      </c>
    </row>
    <row r="2010" spans="1:10" ht="14.4">
      <c r="A2010" s="84">
        <v>47661</v>
      </c>
      <c r="B2010" s="85">
        <v>2030</v>
      </c>
      <c r="C2010" s="85">
        <v>6</v>
      </c>
      <c r="D2010" s="85" t="s">
        <v>68</v>
      </c>
      <c r="E2010" s="85">
        <v>27</v>
      </c>
      <c r="F2010" s="85">
        <v>4</v>
      </c>
      <c r="G2010" s="85">
        <f>--(F2010&lt;=Estimator!$B$7)</f>
        <v>1</v>
      </c>
      <c r="H2010" s="86">
        <f>SUMIFS('Climate Data'!$G$7:$G$366,'Climate Data'!$A$7:$A$366,Estimator!$B$4,'Climate Data'!$B$7:$B$366,C2010)</f>
        <v>0.28666666666666668</v>
      </c>
      <c r="I2010" s="87">
        <f>SUMIFS('Climate Data'!$H$7:$H$366,'Climate Data'!$A$7:$A$366,Estimator!$B$4,'Climate Data'!$B$7:$B$366,C2010)</f>
        <v>7.941860465116279</v>
      </c>
      <c r="J2010" s="86">
        <f>SUMIFS('Wind Proxy'!$H$8:$H$19,'Wind Proxy'!$A$8:$A$19,Estimator!$B$4,'Wind Proxy'!$B$8:$B$19,C2010)</f>
        <v>0</v>
      </c>
    </row>
    <row r="2011" spans="1:10" ht="14.4">
      <c r="A2011" s="84">
        <v>47662</v>
      </c>
      <c r="B2011" s="85">
        <v>2030</v>
      </c>
      <c r="C2011" s="85">
        <v>6</v>
      </c>
      <c r="D2011" s="85" t="s">
        <v>68</v>
      </c>
      <c r="E2011" s="85">
        <v>28</v>
      </c>
      <c r="F2011" s="85">
        <v>5</v>
      </c>
      <c r="G2011" s="85">
        <f>--(F2011&lt;=Estimator!$B$7)</f>
        <v>1</v>
      </c>
      <c r="H2011" s="86">
        <f>SUMIFS('Climate Data'!$G$7:$G$366,'Climate Data'!$A$7:$A$366,Estimator!$B$4,'Climate Data'!$B$7:$B$366,C2011)</f>
        <v>0.28666666666666668</v>
      </c>
      <c r="I2011" s="87">
        <f>SUMIFS('Climate Data'!$H$7:$H$366,'Climate Data'!$A$7:$A$366,Estimator!$B$4,'Climate Data'!$B$7:$B$366,C2011)</f>
        <v>7.941860465116279</v>
      </c>
      <c r="J2011" s="86">
        <f>SUMIFS('Wind Proxy'!$H$8:$H$19,'Wind Proxy'!$A$8:$A$19,Estimator!$B$4,'Wind Proxy'!$B$8:$B$19,C2011)</f>
        <v>0</v>
      </c>
    </row>
    <row r="2012" spans="1:10" ht="14.4">
      <c r="A2012" s="84">
        <v>47663</v>
      </c>
      <c r="B2012" s="85">
        <v>2030</v>
      </c>
      <c r="C2012" s="85">
        <v>6</v>
      </c>
      <c r="D2012" s="85" t="s">
        <v>68</v>
      </c>
      <c r="E2012" s="85">
        <v>29</v>
      </c>
      <c r="F2012" s="85">
        <v>6</v>
      </c>
      <c r="G2012" s="85">
        <f>--(F2012&lt;=Estimator!$B$7)</f>
        <v>0</v>
      </c>
      <c r="H2012" s="86">
        <f>SUMIFS('Climate Data'!$G$7:$G$366,'Climate Data'!$A$7:$A$366,Estimator!$B$4,'Climate Data'!$B$7:$B$366,C2012)</f>
        <v>0.28666666666666668</v>
      </c>
      <c r="I2012" s="87">
        <f>SUMIFS('Climate Data'!$H$7:$H$366,'Climate Data'!$A$7:$A$366,Estimator!$B$4,'Climate Data'!$B$7:$B$366,C2012)</f>
        <v>7.941860465116279</v>
      </c>
      <c r="J2012" s="86">
        <f>SUMIFS('Wind Proxy'!$H$8:$H$19,'Wind Proxy'!$A$8:$A$19,Estimator!$B$4,'Wind Proxy'!$B$8:$B$19,C2012)</f>
        <v>0</v>
      </c>
    </row>
    <row r="2013" spans="1:10" ht="14.4">
      <c r="A2013" s="84">
        <v>47664</v>
      </c>
      <c r="B2013" s="85">
        <v>2030</v>
      </c>
      <c r="C2013" s="85">
        <v>6</v>
      </c>
      <c r="D2013" s="85" t="s">
        <v>68</v>
      </c>
      <c r="E2013" s="85">
        <v>30</v>
      </c>
      <c r="F2013" s="85">
        <v>7</v>
      </c>
      <c r="G2013" s="85">
        <f>--(F2013&lt;=Estimator!$B$7)</f>
        <v>0</v>
      </c>
      <c r="H2013" s="86">
        <f>SUMIFS('Climate Data'!$G$7:$G$366,'Climate Data'!$A$7:$A$366,Estimator!$B$4,'Climate Data'!$B$7:$B$366,C2013)</f>
        <v>0.28666666666666668</v>
      </c>
      <c r="I2013" s="87">
        <f>SUMIFS('Climate Data'!$H$7:$H$366,'Climate Data'!$A$7:$A$366,Estimator!$B$4,'Climate Data'!$B$7:$B$366,C2013)</f>
        <v>7.941860465116279</v>
      </c>
      <c r="J2013" s="86">
        <f>SUMIFS('Wind Proxy'!$H$8:$H$19,'Wind Proxy'!$A$8:$A$19,Estimator!$B$4,'Wind Proxy'!$B$8:$B$19,C2013)</f>
        <v>0</v>
      </c>
    </row>
    <row r="2014" spans="1:10" ht="14.4">
      <c r="A2014" s="84">
        <v>47665</v>
      </c>
      <c r="B2014" s="85">
        <v>2030</v>
      </c>
      <c r="C2014" s="85">
        <v>7</v>
      </c>
      <c r="D2014" s="85" t="s">
        <v>69</v>
      </c>
      <c r="E2014" s="85">
        <v>1</v>
      </c>
      <c r="F2014" s="85">
        <v>1</v>
      </c>
      <c r="G2014" s="85">
        <f>--(F2014&lt;=Estimator!$B$7)</f>
        <v>1</v>
      </c>
      <c r="H2014" s="86">
        <f>SUMIFS('Climate Data'!$G$7:$G$366,'Climate Data'!$A$7:$A$366,Estimator!$B$4,'Climate Data'!$B$7:$B$366,C2014)</f>
        <v>0.24731182795698925</v>
      </c>
      <c r="I2014" s="87">
        <f>SUMIFS('Climate Data'!$H$7:$H$366,'Climate Data'!$A$7:$A$366,Estimator!$B$4,'Climate Data'!$B$7:$B$366,C2014)</f>
        <v>8.3739130434782609</v>
      </c>
      <c r="J2014" s="86">
        <f>SUMIFS('Wind Proxy'!$H$8:$H$19,'Wind Proxy'!$A$8:$A$19,Estimator!$B$4,'Wind Proxy'!$B$8:$B$19,C2014)</f>
        <v>0</v>
      </c>
    </row>
    <row r="2015" spans="1:10" ht="14.4">
      <c r="A2015" s="84">
        <v>47666</v>
      </c>
      <c r="B2015" s="85">
        <v>2030</v>
      </c>
      <c r="C2015" s="85">
        <v>7</v>
      </c>
      <c r="D2015" s="85" t="s">
        <v>69</v>
      </c>
      <c r="E2015" s="85">
        <v>2</v>
      </c>
      <c r="F2015" s="85">
        <v>2</v>
      </c>
      <c r="G2015" s="85">
        <f>--(F2015&lt;=Estimator!$B$7)</f>
        <v>1</v>
      </c>
      <c r="H2015" s="86">
        <f>SUMIFS('Climate Data'!$G$7:$G$366,'Climate Data'!$A$7:$A$366,Estimator!$B$4,'Climate Data'!$B$7:$B$366,C2015)</f>
        <v>0.24731182795698925</v>
      </c>
      <c r="I2015" s="87">
        <f>SUMIFS('Climate Data'!$H$7:$H$366,'Climate Data'!$A$7:$A$366,Estimator!$B$4,'Climate Data'!$B$7:$B$366,C2015)</f>
        <v>8.3739130434782609</v>
      </c>
      <c r="J2015" s="86">
        <f>SUMIFS('Wind Proxy'!$H$8:$H$19,'Wind Proxy'!$A$8:$A$19,Estimator!$B$4,'Wind Proxy'!$B$8:$B$19,C2015)</f>
        <v>0</v>
      </c>
    </row>
    <row r="2016" spans="1:10" ht="14.4">
      <c r="A2016" s="84">
        <v>47667</v>
      </c>
      <c r="B2016" s="85">
        <v>2030</v>
      </c>
      <c r="C2016" s="85">
        <v>7</v>
      </c>
      <c r="D2016" s="85" t="s">
        <v>69</v>
      </c>
      <c r="E2016" s="85">
        <v>3</v>
      </c>
      <c r="F2016" s="85">
        <v>3</v>
      </c>
      <c r="G2016" s="85">
        <f>--(F2016&lt;=Estimator!$B$7)</f>
        <v>1</v>
      </c>
      <c r="H2016" s="86">
        <f>SUMIFS('Climate Data'!$G$7:$G$366,'Climate Data'!$A$7:$A$366,Estimator!$B$4,'Climate Data'!$B$7:$B$366,C2016)</f>
        <v>0.24731182795698925</v>
      </c>
      <c r="I2016" s="87">
        <f>SUMIFS('Climate Data'!$H$7:$H$366,'Climate Data'!$A$7:$A$366,Estimator!$B$4,'Climate Data'!$B$7:$B$366,C2016)</f>
        <v>8.3739130434782609</v>
      </c>
      <c r="J2016" s="86">
        <f>SUMIFS('Wind Proxy'!$H$8:$H$19,'Wind Proxy'!$A$8:$A$19,Estimator!$B$4,'Wind Proxy'!$B$8:$B$19,C2016)</f>
        <v>0</v>
      </c>
    </row>
    <row r="2017" spans="1:10" ht="14.4">
      <c r="A2017" s="84">
        <v>47668</v>
      </c>
      <c r="B2017" s="85">
        <v>2030</v>
      </c>
      <c r="C2017" s="85">
        <v>7</v>
      </c>
      <c r="D2017" s="85" t="s">
        <v>69</v>
      </c>
      <c r="E2017" s="85">
        <v>4</v>
      </c>
      <c r="F2017" s="85">
        <v>4</v>
      </c>
      <c r="G2017" s="85">
        <f>--(F2017&lt;=Estimator!$B$7)</f>
        <v>1</v>
      </c>
      <c r="H2017" s="86">
        <f>SUMIFS('Climate Data'!$G$7:$G$366,'Climate Data'!$A$7:$A$366,Estimator!$B$4,'Climate Data'!$B$7:$B$366,C2017)</f>
        <v>0.24731182795698925</v>
      </c>
      <c r="I2017" s="87">
        <f>SUMIFS('Climate Data'!$H$7:$H$366,'Climate Data'!$A$7:$A$366,Estimator!$B$4,'Climate Data'!$B$7:$B$366,C2017)</f>
        <v>8.3739130434782609</v>
      </c>
      <c r="J2017" s="86">
        <f>SUMIFS('Wind Proxy'!$H$8:$H$19,'Wind Proxy'!$A$8:$A$19,Estimator!$B$4,'Wind Proxy'!$B$8:$B$19,C2017)</f>
        <v>0</v>
      </c>
    </row>
    <row r="2018" spans="1:10" ht="14.4">
      <c r="A2018" s="84">
        <v>47669</v>
      </c>
      <c r="B2018" s="85">
        <v>2030</v>
      </c>
      <c r="C2018" s="85">
        <v>7</v>
      </c>
      <c r="D2018" s="85" t="s">
        <v>69</v>
      </c>
      <c r="E2018" s="85">
        <v>5</v>
      </c>
      <c r="F2018" s="85">
        <v>5</v>
      </c>
      <c r="G2018" s="85">
        <f>--(F2018&lt;=Estimator!$B$7)</f>
        <v>1</v>
      </c>
      <c r="H2018" s="86">
        <f>SUMIFS('Climate Data'!$G$7:$G$366,'Climate Data'!$A$7:$A$366,Estimator!$B$4,'Climate Data'!$B$7:$B$366,C2018)</f>
        <v>0.24731182795698925</v>
      </c>
      <c r="I2018" s="87">
        <f>SUMIFS('Climate Data'!$H$7:$H$366,'Climate Data'!$A$7:$A$366,Estimator!$B$4,'Climate Data'!$B$7:$B$366,C2018)</f>
        <v>8.3739130434782609</v>
      </c>
      <c r="J2018" s="86">
        <f>SUMIFS('Wind Proxy'!$H$8:$H$19,'Wind Proxy'!$A$8:$A$19,Estimator!$B$4,'Wind Proxy'!$B$8:$B$19,C2018)</f>
        <v>0</v>
      </c>
    </row>
    <row r="2019" spans="1:10" ht="14.4">
      <c r="A2019" s="84">
        <v>47670</v>
      </c>
      <c r="B2019" s="85">
        <v>2030</v>
      </c>
      <c r="C2019" s="85">
        <v>7</v>
      </c>
      <c r="D2019" s="85" t="s">
        <v>69</v>
      </c>
      <c r="E2019" s="85">
        <v>6</v>
      </c>
      <c r="F2019" s="85">
        <v>6</v>
      </c>
      <c r="G2019" s="85">
        <f>--(F2019&lt;=Estimator!$B$7)</f>
        <v>0</v>
      </c>
      <c r="H2019" s="86">
        <f>SUMIFS('Climate Data'!$G$7:$G$366,'Climate Data'!$A$7:$A$366,Estimator!$B$4,'Climate Data'!$B$7:$B$366,C2019)</f>
        <v>0.24731182795698925</v>
      </c>
      <c r="I2019" s="87">
        <f>SUMIFS('Climate Data'!$H$7:$H$366,'Climate Data'!$A$7:$A$366,Estimator!$B$4,'Climate Data'!$B$7:$B$366,C2019)</f>
        <v>8.3739130434782609</v>
      </c>
      <c r="J2019" s="86">
        <f>SUMIFS('Wind Proxy'!$H$8:$H$19,'Wind Proxy'!$A$8:$A$19,Estimator!$B$4,'Wind Proxy'!$B$8:$B$19,C2019)</f>
        <v>0</v>
      </c>
    </row>
    <row r="2020" spans="1:10" ht="14.4">
      <c r="A2020" s="84">
        <v>47671</v>
      </c>
      <c r="B2020" s="85">
        <v>2030</v>
      </c>
      <c r="C2020" s="85">
        <v>7</v>
      </c>
      <c r="D2020" s="85" t="s">
        <v>69</v>
      </c>
      <c r="E2020" s="85">
        <v>7</v>
      </c>
      <c r="F2020" s="85">
        <v>7</v>
      </c>
      <c r="G2020" s="85">
        <f>--(F2020&lt;=Estimator!$B$7)</f>
        <v>0</v>
      </c>
      <c r="H2020" s="86">
        <f>SUMIFS('Climate Data'!$G$7:$G$366,'Climate Data'!$A$7:$A$366,Estimator!$B$4,'Climate Data'!$B$7:$B$366,C2020)</f>
        <v>0.24731182795698925</v>
      </c>
      <c r="I2020" s="87">
        <f>SUMIFS('Climate Data'!$H$7:$H$366,'Climate Data'!$A$7:$A$366,Estimator!$B$4,'Climate Data'!$B$7:$B$366,C2020)</f>
        <v>8.3739130434782609</v>
      </c>
      <c r="J2020" s="86">
        <f>SUMIFS('Wind Proxy'!$H$8:$H$19,'Wind Proxy'!$A$8:$A$19,Estimator!$B$4,'Wind Proxy'!$B$8:$B$19,C2020)</f>
        <v>0</v>
      </c>
    </row>
    <row r="2021" spans="1:10" ht="14.4">
      <c r="A2021" s="84">
        <v>47672</v>
      </c>
      <c r="B2021" s="85">
        <v>2030</v>
      </c>
      <c r="C2021" s="85">
        <v>7</v>
      </c>
      <c r="D2021" s="85" t="s">
        <v>69</v>
      </c>
      <c r="E2021" s="85">
        <v>8</v>
      </c>
      <c r="F2021" s="85">
        <v>1</v>
      </c>
      <c r="G2021" s="85">
        <f>--(F2021&lt;=Estimator!$B$7)</f>
        <v>1</v>
      </c>
      <c r="H2021" s="86">
        <f>SUMIFS('Climate Data'!$G$7:$G$366,'Climate Data'!$A$7:$A$366,Estimator!$B$4,'Climate Data'!$B$7:$B$366,C2021)</f>
        <v>0.24731182795698925</v>
      </c>
      <c r="I2021" s="87">
        <f>SUMIFS('Climate Data'!$H$7:$H$366,'Climate Data'!$A$7:$A$366,Estimator!$B$4,'Climate Data'!$B$7:$B$366,C2021)</f>
        <v>8.3739130434782609</v>
      </c>
      <c r="J2021" s="86">
        <f>SUMIFS('Wind Proxy'!$H$8:$H$19,'Wind Proxy'!$A$8:$A$19,Estimator!$B$4,'Wind Proxy'!$B$8:$B$19,C2021)</f>
        <v>0</v>
      </c>
    </row>
    <row r="2022" spans="1:10" ht="14.4">
      <c r="A2022" s="84">
        <v>47673</v>
      </c>
      <c r="B2022" s="85">
        <v>2030</v>
      </c>
      <c r="C2022" s="85">
        <v>7</v>
      </c>
      <c r="D2022" s="85" t="s">
        <v>69</v>
      </c>
      <c r="E2022" s="85">
        <v>9</v>
      </c>
      <c r="F2022" s="85">
        <v>2</v>
      </c>
      <c r="G2022" s="85">
        <f>--(F2022&lt;=Estimator!$B$7)</f>
        <v>1</v>
      </c>
      <c r="H2022" s="86">
        <f>SUMIFS('Climate Data'!$G$7:$G$366,'Climate Data'!$A$7:$A$366,Estimator!$B$4,'Climate Data'!$B$7:$B$366,C2022)</f>
        <v>0.24731182795698925</v>
      </c>
      <c r="I2022" s="87">
        <f>SUMIFS('Climate Data'!$H$7:$H$366,'Climate Data'!$A$7:$A$366,Estimator!$B$4,'Climate Data'!$B$7:$B$366,C2022)</f>
        <v>8.3739130434782609</v>
      </c>
      <c r="J2022" s="86">
        <f>SUMIFS('Wind Proxy'!$H$8:$H$19,'Wind Proxy'!$A$8:$A$19,Estimator!$B$4,'Wind Proxy'!$B$8:$B$19,C2022)</f>
        <v>0</v>
      </c>
    </row>
    <row r="2023" spans="1:10" ht="14.4">
      <c r="A2023" s="84">
        <v>47674</v>
      </c>
      <c r="B2023" s="85">
        <v>2030</v>
      </c>
      <c r="C2023" s="85">
        <v>7</v>
      </c>
      <c r="D2023" s="85" t="s">
        <v>69</v>
      </c>
      <c r="E2023" s="85">
        <v>10</v>
      </c>
      <c r="F2023" s="85">
        <v>3</v>
      </c>
      <c r="G2023" s="85">
        <f>--(F2023&lt;=Estimator!$B$7)</f>
        <v>1</v>
      </c>
      <c r="H2023" s="86">
        <f>SUMIFS('Climate Data'!$G$7:$G$366,'Climate Data'!$A$7:$A$366,Estimator!$B$4,'Climate Data'!$B$7:$B$366,C2023)</f>
        <v>0.24731182795698925</v>
      </c>
      <c r="I2023" s="87">
        <f>SUMIFS('Climate Data'!$H$7:$H$366,'Climate Data'!$A$7:$A$366,Estimator!$B$4,'Climate Data'!$B$7:$B$366,C2023)</f>
        <v>8.3739130434782609</v>
      </c>
      <c r="J2023" s="86">
        <f>SUMIFS('Wind Proxy'!$H$8:$H$19,'Wind Proxy'!$A$8:$A$19,Estimator!$B$4,'Wind Proxy'!$B$8:$B$19,C2023)</f>
        <v>0</v>
      </c>
    </row>
    <row r="2024" spans="1:10" ht="14.4">
      <c r="A2024" s="84">
        <v>47675</v>
      </c>
      <c r="B2024" s="85">
        <v>2030</v>
      </c>
      <c r="C2024" s="85">
        <v>7</v>
      </c>
      <c r="D2024" s="85" t="s">
        <v>69</v>
      </c>
      <c r="E2024" s="85">
        <v>11</v>
      </c>
      <c r="F2024" s="85">
        <v>4</v>
      </c>
      <c r="G2024" s="85">
        <f>--(F2024&lt;=Estimator!$B$7)</f>
        <v>1</v>
      </c>
      <c r="H2024" s="86">
        <f>SUMIFS('Climate Data'!$G$7:$G$366,'Climate Data'!$A$7:$A$366,Estimator!$B$4,'Climate Data'!$B$7:$B$366,C2024)</f>
        <v>0.24731182795698925</v>
      </c>
      <c r="I2024" s="87">
        <f>SUMIFS('Climate Data'!$H$7:$H$366,'Climate Data'!$A$7:$A$366,Estimator!$B$4,'Climate Data'!$B$7:$B$366,C2024)</f>
        <v>8.3739130434782609</v>
      </c>
      <c r="J2024" s="86">
        <f>SUMIFS('Wind Proxy'!$H$8:$H$19,'Wind Proxy'!$A$8:$A$19,Estimator!$B$4,'Wind Proxy'!$B$8:$B$19,C2024)</f>
        <v>0</v>
      </c>
    </row>
    <row r="2025" spans="1:10" ht="14.4">
      <c r="A2025" s="84">
        <v>47676</v>
      </c>
      <c r="B2025" s="85">
        <v>2030</v>
      </c>
      <c r="C2025" s="85">
        <v>7</v>
      </c>
      <c r="D2025" s="85" t="s">
        <v>69</v>
      </c>
      <c r="E2025" s="85">
        <v>12</v>
      </c>
      <c r="F2025" s="85">
        <v>5</v>
      </c>
      <c r="G2025" s="85">
        <f>--(F2025&lt;=Estimator!$B$7)</f>
        <v>1</v>
      </c>
      <c r="H2025" s="86">
        <f>SUMIFS('Climate Data'!$G$7:$G$366,'Climate Data'!$A$7:$A$366,Estimator!$B$4,'Climate Data'!$B$7:$B$366,C2025)</f>
        <v>0.24731182795698925</v>
      </c>
      <c r="I2025" s="87">
        <f>SUMIFS('Climate Data'!$H$7:$H$366,'Climate Data'!$A$7:$A$366,Estimator!$B$4,'Climate Data'!$B$7:$B$366,C2025)</f>
        <v>8.3739130434782609</v>
      </c>
      <c r="J2025" s="86">
        <f>SUMIFS('Wind Proxy'!$H$8:$H$19,'Wind Proxy'!$A$8:$A$19,Estimator!$B$4,'Wind Proxy'!$B$8:$B$19,C2025)</f>
        <v>0</v>
      </c>
    </row>
    <row r="2026" spans="1:10" ht="14.4">
      <c r="A2026" s="84">
        <v>47677</v>
      </c>
      <c r="B2026" s="85">
        <v>2030</v>
      </c>
      <c r="C2026" s="85">
        <v>7</v>
      </c>
      <c r="D2026" s="85" t="s">
        <v>69</v>
      </c>
      <c r="E2026" s="85">
        <v>13</v>
      </c>
      <c r="F2026" s="85">
        <v>6</v>
      </c>
      <c r="G2026" s="85">
        <f>--(F2026&lt;=Estimator!$B$7)</f>
        <v>0</v>
      </c>
      <c r="H2026" s="86">
        <f>SUMIFS('Climate Data'!$G$7:$G$366,'Climate Data'!$A$7:$A$366,Estimator!$B$4,'Climate Data'!$B$7:$B$366,C2026)</f>
        <v>0.24731182795698925</v>
      </c>
      <c r="I2026" s="87">
        <f>SUMIFS('Climate Data'!$H$7:$H$366,'Climate Data'!$A$7:$A$366,Estimator!$B$4,'Climate Data'!$B$7:$B$366,C2026)</f>
        <v>8.3739130434782609</v>
      </c>
      <c r="J2026" s="86">
        <f>SUMIFS('Wind Proxy'!$H$8:$H$19,'Wind Proxy'!$A$8:$A$19,Estimator!$B$4,'Wind Proxy'!$B$8:$B$19,C2026)</f>
        <v>0</v>
      </c>
    </row>
    <row r="2027" spans="1:10" ht="14.4">
      <c r="A2027" s="84">
        <v>47678</v>
      </c>
      <c r="B2027" s="85">
        <v>2030</v>
      </c>
      <c r="C2027" s="85">
        <v>7</v>
      </c>
      <c r="D2027" s="85" t="s">
        <v>69</v>
      </c>
      <c r="E2027" s="85">
        <v>14</v>
      </c>
      <c r="F2027" s="85">
        <v>7</v>
      </c>
      <c r="G2027" s="85">
        <f>--(F2027&lt;=Estimator!$B$7)</f>
        <v>0</v>
      </c>
      <c r="H2027" s="86">
        <f>SUMIFS('Climate Data'!$G$7:$G$366,'Climate Data'!$A$7:$A$366,Estimator!$B$4,'Climate Data'!$B$7:$B$366,C2027)</f>
        <v>0.24731182795698925</v>
      </c>
      <c r="I2027" s="87">
        <f>SUMIFS('Climate Data'!$H$7:$H$366,'Climate Data'!$A$7:$A$366,Estimator!$B$4,'Climate Data'!$B$7:$B$366,C2027)</f>
        <v>8.3739130434782609</v>
      </c>
      <c r="J2027" s="86">
        <f>SUMIFS('Wind Proxy'!$H$8:$H$19,'Wind Proxy'!$A$8:$A$19,Estimator!$B$4,'Wind Proxy'!$B$8:$B$19,C2027)</f>
        <v>0</v>
      </c>
    </row>
    <row r="2028" spans="1:10" ht="14.4">
      <c r="A2028" s="84">
        <v>47679</v>
      </c>
      <c r="B2028" s="85">
        <v>2030</v>
      </c>
      <c r="C2028" s="85">
        <v>7</v>
      </c>
      <c r="D2028" s="85" t="s">
        <v>69</v>
      </c>
      <c r="E2028" s="85">
        <v>15</v>
      </c>
      <c r="F2028" s="85">
        <v>1</v>
      </c>
      <c r="G2028" s="85">
        <f>--(F2028&lt;=Estimator!$B$7)</f>
        <v>1</v>
      </c>
      <c r="H2028" s="86">
        <f>SUMIFS('Climate Data'!$G$7:$G$366,'Climate Data'!$A$7:$A$366,Estimator!$B$4,'Climate Data'!$B$7:$B$366,C2028)</f>
        <v>0.24731182795698925</v>
      </c>
      <c r="I2028" s="87">
        <f>SUMIFS('Climate Data'!$H$7:$H$366,'Climate Data'!$A$7:$A$366,Estimator!$B$4,'Climate Data'!$B$7:$B$366,C2028)</f>
        <v>8.3739130434782609</v>
      </c>
      <c r="J2028" s="86">
        <f>SUMIFS('Wind Proxy'!$H$8:$H$19,'Wind Proxy'!$A$8:$A$19,Estimator!$B$4,'Wind Proxy'!$B$8:$B$19,C2028)</f>
        <v>0</v>
      </c>
    </row>
    <row r="2029" spans="1:10" ht="14.4">
      <c r="A2029" s="84">
        <v>47680</v>
      </c>
      <c r="B2029" s="85">
        <v>2030</v>
      </c>
      <c r="C2029" s="85">
        <v>7</v>
      </c>
      <c r="D2029" s="85" t="s">
        <v>69</v>
      </c>
      <c r="E2029" s="85">
        <v>16</v>
      </c>
      <c r="F2029" s="85">
        <v>2</v>
      </c>
      <c r="G2029" s="85">
        <f>--(F2029&lt;=Estimator!$B$7)</f>
        <v>1</v>
      </c>
      <c r="H2029" s="86">
        <f>SUMIFS('Climate Data'!$G$7:$G$366,'Climate Data'!$A$7:$A$366,Estimator!$B$4,'Climate Data'!$B$7:$B$366,C2029)</f>
        <v>0.24731182795698925</v>
      </c>
      <c r="I2029" s="87">
        <f>SUMIFS('Climate Data'!$H$7:$H$366,'Climate Data'!$A$7:$A$366,Estimator!$B$4,'Climate Data'!$B$7:$B$366,C2029)</f>
        <v>8.3739130434782609</v>
      </c>
      <c r="J2029" s="86">
        <f>SUMIFS('Wind Proxy'!$H$8:$H$19,'Wind Proxy'!$A$8:$A$19,Estimator!$B$4,'Wind Proxy'!$B$8:$B$19,C2029)</f>
        <v>0</v>
      </c>
    </row>
    <row r="2030" spans="1:10" ht="14.4">
      <c r="A2030" s="84">
        <v>47681</v>
      </c>
      <c r="B2030" s="85">
        <v>2030</v>
      </c>
      <c r="C2030" s="85">
        <v>7</v>
      </c>
      <c r="D2030" s="85" t="s">
        <v>69</v>
      </c>
      <c r="E2030" s="85">
        <v>17</v>
      </c>
      <c r="F2030" s="85">
        <v>3</v>
      </c>
      <c r="G2030" s="85">
        <f>--(F2030&lt;=Estimator!$B$7)</f>
        <v>1</v>
      </c>
      <c r="H2030" s="86">
        <f>SUMIFS('Climate Data'!$G$7:$G$366,'Climate Data'!$A$7:$A$366,Estimator!$B$4,'Climate Data'!$B$7:$B$366,C2030)</f>
        <v>0.24731182795698925</v>
      </c>
      <c r="I2030" s="87">
        <f>SUMIFS('Climate Data'!$H$7:$H$366,'Climate Data'!$A$7:$A$366,Estimator!$B$4,'Climate Data'!$B$7:$B$366,C2030)</f>
        <v>8.3739130434782609</v>
      </c>
      <c r="J2030" s="86">
        <f>SUMIFS('Wind Proxy'!$H$8:$H$19,'Wind Proxy'!$A$8:$A$19,Estimator!$B$4,'Wind Proxy'!$B$8:$B$19,C2030)</f>
        <v>0</v>
      </c>
    </row>
    <row r="2031" spans="1:10" ht="14.4">
      <c r="A2031" s="84">
        <v>47682</v>
      </c>
      <c r="B2031" s="85">
        <v>2030</v>
      </c>
      <c r="C2031" s="85">
        <v>7</v>
      </c>
      <c r="D2031" s="85" t="s">
        <v>69</v>
      </c>
      <c r="E2031" s="85">
        <v>18</v>
      </c>
      <c r="F2031" s="85">
        <v>4</v>
      </c>
      <c r="G2031" s="85">
        <f>--(F2031&lt;=Estimator!$B$7)</f>
        <v>1</v>
      </c>
      <c r="H2031" s="86">
        <f>SUMIFS('Climate Data'!$G$7:$G$366,'Climate Data'!$A$7:$A$366,Estimator!$B$4,'Climate Data'!$B$7:$B$366,C2031)</f>
        <v>0.24731182795698925</v>
      </c>
      <c r="I2031" s="87">
        <f>SUMIFS('Climate Data'!$H$7:$H$366,'Climate Data'!$A$7:$A$366,Estimator!$B$4,'Climate Data'!$B$7:$B$366,C2031)</f>
        <v>8.3739130434782609</v>
      </c>
      <c r="J2031" s="86">
        <f>SUMIFS('Wind Proxy'!$H$8:$H$19,'Wind Proxy'!$A$8:$A$19,Estimator!$B$4,'Wind Proxy'!$B$8:$B$19,C2031)</f>
        <v>0</v>
      </c>
    </row>
    <row r="2032" spans="1:10" ht="14.4">
      <c r="A2032" s="84">
        <v>47683</v>
      </c>
      <c r="B2032" s="85">
        <v>2030</v>
      </c>
      <c r="C2032" s="85">
        <v>7</v>
      </c>
      <c r="D2032" s="85" t="s">
        <v>69</v>
      </c>
      <c r="E2032" s="85">
        <v>19</v>
      </c>
      <c r="F2032" s="85">
        <v>5</v>
      </c>
      <c r="G2032" s="85">
        <f>--(F2032&lt;=Estimator!$B$7)</f>
        <v>1</v>
      </c>
      <c r="H2032" s="86">
        <f>SUMIFS('Climate Data'!$G$7:$G$366,'Climate Data'!$A$7:$A$366,Estimator!$B$4,'Climate Data'!$B$7:$B$366,C2032)</f>
        <v>0.24731182795698925</v>
      </c>
      <c r="I2032" s="87">
        <f>SUMIFS('Climate Data'!$H$7:$H$366,'Climate Data'!$A$7:$A$366,Estimator!$B$4,'Climate Data'!$B$7:$B$366,C2032)</f>
        <v>8.3739130434782609</v>
      </c>
      <c r="J2032" s="86">
        <f>SUMIFS('Wind Proxy'!$H$8:$H$19,'Wind Proxy'!$A$8:$A$19,Estimator!$B$4,'Wind Proxy'!$B$8:$B$19,C2032)</f>
        <v>0</v>
      </c>
    </row>
    <row r="2033" spans="1:10" ht="14.4">
      <c r="A2033" s="84">
        <v>47684</v>
      </c>
      <c r="B2033" s="85">
        <v>2030</v>
      </c>
      <c r="C2033" s="85">
        <v>7</v>
      </c>
      <c r="D2033" s="85" t="s">
        <v>69</v>
      </c>
      <c r="E2033" s="85">
        <v>20</v>
      </c>
      <c r="F2033" s="85">
        <v>6</v>
      </c>
      <c r="G2033" s="85">
        <f>--(F2033&lt;=Estimator!$B$7)</f>
        <v>0</v>
      </c>
      <c r="H2033" s="86">
        <f>SUMIFS('Climate Data'!$G$7:$G$366,'Climate Data'!$A$7:$A$366,Estimator!$B$4,'Climate Data'!$B$7:$B$366,C2033)</f>
        <v>0.24731182795698925</v>
      </c>
      <c r="I2033" s="87">
        <f>SUMIFS('Climate Data'!$H$7:$H$366,'Climate Data'!$A$7:$A$366,Estimator!$B$4,'Climate Data'!$B$7:$B$366,C2033)</f>
        <v>8.3739130434782609</v>
      </c>
      <c r="J2033" s="86">
        <f>SUMIFS('Wind Proxy'!$H$8:$H$19,'Wind Proxy'!$A$8:$A$19,Estimator!$B$4,'Wind Proxy'!$B$8:$B$19,C2033)</f>
        <v>0</v>
      </c>
    </row>
    <row r="2034" spans="1:10" ht="14.4">
      <c r="A2034" s="84">
        <v>47685</v>
      </c>
      <c r="B2034" s="85">
        <v>2030</v>
      </c>
      <c r="C2034" s="85">
        <v>7</v>
      </c>
      <c r="D2034" s="85" t="s">
        <v>69</v>
      </c>
      <c r="E2034" s="85">
        <v>21</v>
      </c>
      <c r="F2034" s="85">
        <v>7</v>
      </c>
      <c r="G2034" s="85">
        <f>--(F2034&lt;=Estimator!$B$7)</f>
        <v>0</v>
      </c>
      <c r="H2034" s="86">
        <f>SUMIFS('Climate Data'!$G$7:$G$366,'Climate Data'!$A$7:$A$366,Estimator!$B$4,'Climate Data'!$B$7:$B$366,C2034)</f>
        <v>0.24731182795698925</v>
      </c>
      <c r="I2034" s="87">
        <f>SUMIFS('Climate Data'!$H$7:$H$366,'Climate Data'!$A$7:$A$366,Estimator!$B$4,'Climate Data'!$B$7:$B$366,C2034)</f>
        <v>8.3739130434782609</v>
      </c>
      <c r="J2034" s="86">
        <f>SUMIFS('Wind Proxy'!$H$8:$H$19,'Wind Proxy'!$A$8:$A$19,Estimator!$B$4,'Wind Proxy'!$B$8:$B$19,C2034)</f>
        <v>0</v>
      </c>
    </row>
    <row r="2035" spans="1:10" ht="14.4">
      <c r="A2035" s="84">
        <v>47686</v>
      </c>
      <c r="B2035" s="85">
        <v>2030</v>
      </c>
      <c r="C2035" s="85">
        <v>7</v>
      </c>
      <c r="D2035" s="85" t="s">
        <v>69</v>
      </c>
      <c r="E2035" s="85">
        <v>22</v>
      </c>
      <c r="F2035" s="85">
        <v>1</v>
      </c>
      <c r="G2035" s="85">
        <f>--(F2035&lt;=Estimator!$B$7)</f>
        <v>1</v>
      </c>
      <c r="H2035" s="86">
        <f>SUMIFS('Climate Data'!$G$7:$G$366,'Climate Data'!$A$7:$A$366,Estimator!$B$4,'Climate Data'!$B$7:$B$366,C2035)</f>
        <v>0.24731182795698925</v>
      </c>
      <c r="I2035" s="87">
        <f>SUMIFS('Climate Data'!$H$7:$H$366,'Climate Data'!$A$7:$A$366,Estimator!$B$4,'Climate Data'!$B$7:$B$366,C2035)</f>
        <v>8.3739130434782609</v>
      </c>
      <c r="J2035" s="86">
        <f>SUMIFS('Wind Proxy'!$H$8:$H$19,'Wind Proxy'!$A$8:$A$19,Estimator!$B$4,'Wind Proxy'!$B$8:$B$19,C2035)</f>
        <v>0</v>
      </c>
    </row>
    <row r="2036" spans="1:10" ht="14.4">
      <c r="A2036" s="84">
        <v>47687</v>
      </c>
      <c r="B2036" s="85">
        <v>2030</v>
      </c>
      <c r="C2036" s="85">
        <v>7</v>
      </c>
      <c r="D2036" s="85" t="s">
        <v>69</v>
      </c>
      <c r="E2036" s="85">
        <v>23</v>
      </c>
      <c r="F2036" s="85">
        <v>2</v>
      </c>
      <c r="G2036" s="85">
        <f>--(F2036&lt;=Estimator!$B$7)</f>
        <v>1</v>
      </c>
      <c r="H2036" s="86">
        <f>SUMIFS('Climate Data'!$G$7:$G$366,'Climate Data'!$A$7:$A$366,Estimator!$B$4,'Climate Data'!$B$7:$B$366,C2036)</f>
        <v>0.24731182795698925</v>
      </c>
      <c r="I2036" s="87">
        <f>SUMIFS('Climate Data'!$H$7:$H$366,'Climate Data'!$A$7:$A$366,Estimator!$B$4,'Climate Data'!$B$7:$B$366,C2036)</f>
        <v>8.3739130434782609</v>
      </c>
      <c r="J2036" s="86">
        <f>SUMIFS('Wind Proxy'!$H$8:$H$19,'Wind Proxy'!$A$8:$A$19,Estimator!$B$4,'Wind Proxy'!$B$8:$B$19,C2036)</f>
        <v>0</v>
      </c>
    </row>
    <row r="2037" spans="1:10" ht="14.4">
      <c r="A2037" s="84">
        <v>47688</v>
      </c>
      <c r="B2037" s="85">
        <v>2030</v>
      </c>
      <c r="C2037" s="85">
        <v>7</v>
      </c>
      <c r="D2037" s="85" t="s">
        <v>69</v>
      </c>
      <c r="E2037" s="85">
        <v>24</v>
      </c>
      <c r="F2037" s="85">
        <v>3</v>
      </c>
      <c r="G2037" s="85">
        <f>--(F2037&lt;=Estimator!$B$7)</f>
        <v>1</v>
      </c>
      <c r="H2037" s="86">
        <f>SUMIFS('Climate Data'!$G$7:$G$366,'Climate Data'!$A$7:$A$366,Estimator!$B$4,'Climate Data'!$B$7:$B$366,C2037)</f>
        <v>0.24731182795698925</v>
      </c>
      <c r="I2037" s="87">
        <f>SUMIFS('Climate Data'!$H$7:$H$366,'Climate Data'!$A$7:$A$366,Estimator!$B$4,'Climate Data'!$B$7:$B$366,C2037)</f>
        <v>8.3739130434782609</v>
      </c>
      <c r="J2037" s="86">
        <f>SUMIFS('Wind Proxy'!$H$8:$H$19,'Wind Proxy'!$A$8:$A$19,Estimator!$B$4,'Wind Proxy'!$B$8:$B$19,C2037)</f>
        <v>0</v>
      </c>
    </row>
    <row r="2038" spans="1:10" ht="14.4">
      <c r="A2038" s="84">
        <v>47689</v>
      </c>
      <c r="B2038" s="85">
        <v>2030</v>
      </c>
      <c r="C2038" s="85">
        <v>7</v>
      </c>
      <c r="D2038" s="85" t="s">
        <v>69</v>
      </c>
      <c r="E2038" s="85">
        <v>25</v>
      </c>
      <c r="F2038" s="85">
        <v>4</v>
      </c>
      <c r="G2038" s="85">
        <f>--(F2038&lt;=Estimator!$B$7)</f>
        <v>1</v>
      </c>
      <c r="H2038" s="86">
        <f>SUMIFS('Climate Data'!$G$7:$G$366,'Climate Data'!$A$7:$A$366,Estimator!$B$4,'Climate Data'!$B$7:$B$366,C2038)</f>
        <v>0.24731182795698925</v>
      </c>
      <c r="I2038" s="87">
        <f>SUMIFS('Climate Data'!$H$7:$H$366,'Climate Data'!$A$7:$A$366,Estimator!$B$4,'Climate Data'!$B$7:$B$366,C2038)</f>
        <v>8.3739130434782609</v>
      </c>
      <c r="J2038" s="86">
        <f>SUMIFS('Wind Proxy'!$H$8:$H$19,'Wind Proxy'!$A$8:$A$19,Estimator!$B$4,'Wind Proxy'!$B$8:$B$19,C2038)</f>
        <v>0</v>
      </c>
    </row>
    <row r="2039" spans="1:10" ht="14.4">
      <c r="A2039" s="84">
        <v>47690</v>
      </c>
      <c r="B2039" s="85">
        <v>2030</v>
      </c>
      <c r="C2039" s="85">
        <v>7</v>
      </c>
      <c r="D2039" s="85" t="s">
        <v>69</v>
      </c>
      <c r="E2039" s="85">
        <v>26</v>
      </c>
      <c r="F2039" s="85">
        <v>5</v>
      </c>
      <c r="G2039" s="85">
        <f>--(F2039&lt;=Estimator!$B$7)</f>
        <v>1</v>
      </c>
      <c r="H2039" s="86">
        <f>SUMIFS('Climate Data'!$G$7:$G$366,'Climate Data'!$A$7:$A$366,Estimator!$B$4,'Climate Data'!$B$7:$B$366,C2039)</f>
        <v>0.24731182795698925</v>
      </c>
      <c r="I2039" s="87">
        <f>SUMIFS('Climate Data'!$H$7:$H$366,'Climate Data'!$A$7:$A$366,Estimator!$B$4,'Climate Data'!$B$7:$B$366,C2039)</f>
        <v>8.3739130434782609</v>
      </c>
      <c r="J2039" s="86">
        <f>SUMIFS('Wind Proxy'!$H$8:$H$19,'Wind Proxy'!$A$8:$A$19,Estimator!$B$4,'Wind Proxy'!$B$8:$B$19,C2039)</f>
        <v>0</v>
      </c>
    </row>
    <row r="2040" spans="1:10" ht="14.4">
      <c r="A2040" s="84">
        <v>47691</v>
      </c>
      <c r="B2040" s="85">
        <v>2030</v>
      </c>
      <c r="C2040" s="85">
        <v>7</v>
      </c>
      <c r="D2040" s="85" t="s">
        <v>69</v>
      </c>
      <c r="E2040" s="85">
        <v>27</v>
      </c>
      <c r="F2040" s="85">
        <v>6</v>
      </c>
      <c r="G2040" s="85">
        <f>--(F2040&lt;=Estimator!$B$7)</f>
        <v>0</v>
      </c>
      <c r="H2040" s="86">
        <f>SUMIFS('Climate Data'!$G$7:$G$366,'Climate Data'!$A$7:$A$366,Estimator!$B$4,'Climate Data'!$B$7:$B$366,C2040)</f>
        <v>0.24731182795698925</v>
      </c>
      <c r="I2040" s="87">
        <f>SUMIFS('Climate Data'!$H$7:$H$366,'Climate Data'!$A$7:$A$366,Estimator!$B$4,'Climate Data'!$B$7:$B$366,C2040)</f>
        <v>8.3739130434782609</v>
      </c>
      <c r="J2040" s="86">
        <f>SUMIFS('Wind Proxy'!$H$8:$H$19,'Wind Proxy'!$A$8:$A$19,Estimator!$B$4,'Wind Proxy'!$B$8:$B$19,C2040)</f>
        <v>0</v>
      </c>
    </row>
    <row r="2041" spans="1:10" ht="14.4">
      <c r="A2041" s="84">
        <v>47692</v>
      </c>
      <c r="B2041" s="85">
        <v>2030</v>
      </c>
      <c r="C2041" s="85">
        <v>7</v>
      </c>
      <c r="D2041" s="85" t="s">
        <v>69</v>
      </c>
      <c r="E2041" s="85">
        <v>28</v>
      </c>
      <c r="F2041" s="85">
        <v>7</v>
      </c>
      <c r="G2041" s="85">
        <f>--(F2041&lt;=Estimator!$B$7)</f>
        <v>0</v>
      </c>
      <c r="H2041" s="86">
        <f>SUMIFS('Climate Data'!$G$7:$G$366,'Climate Data'!$A$7:$A$366,Estimator!$B$4,'Climate Data'!$B$7:$B$366,C2041)</f>
        <v>0.24731182795698925</v>
      </c>
      <c r="I2041" s="87">
        <f>SUMIFS('Climate Data'!$H$7:$H$366,'Climate Data'!$A$7:$A$366,Estimator!$B$4,'Climate Data'!$B$7:$B$366,C2041)</f>
        <v>8.3739130434782609</v>
      </c>
      <c r="J2041" s="86">
        <f>SUMIFS('Wind Proxy'!$H$8:$H$19,'Wind Proxy'!$A$8:$A$19,Estimator!$B$4,'Wind Proxy'!$B$8:$B$19,C2041)</f>
        <v>0</v>
      </c>
    </row>
    <row r="2042" spans="1:10" ht="14.4">
      <c r="A2042" s="84">
        <v>47693</v>
      </c>
      <c r="B2042" s="85">
        <v>2030</v>
      </c>
      <c r="C2042" s="85">
        <v>7</v>
      </c>
      <c r="D2042" s="85" t="s">
        <v>69</v>
      </c>
      <c r="E2042" s="85">
        <v>29</v>
      </c>
      <c r="F2042" s="85">
        <v>1</v>
      </c>
      <c r="G2042" s="85">
        <f>--(F2042&lt;=Estimator!$B$7)</f>
        <v>1</v>
      </c>
      <c r="H2042" s="86">
        <f>SUMIFS('Climate Data'!$G$7:$G$366,'Climate Data'!$A$7:$A$366,Estimator!$B$4,'Climate Data'!$B$7:$B$366,C2042)</f>
        <v>0.24731182795698925</v>
      </c>
      <c r="I2042" s="87">
        <f>SUMIFS('Climate Data'!$H$7:$H$366,'Climate Data'!$A$7:$A$366,Estimator!$B$4,'Climate Data'!$B$7:$B$366,C2042)</f>
        <v>8.3739130434782609</v>
      </c>
      <c r="J2042" s="86">
        <f>SUMIFS('Wind Proxy'!$H$8:$H$19,'Wind Proxy'!$A$8:$A$19,Estimator!$B$4,'Wind Proxy'!$B$8:$B$19,C2042)</f>
        <v>0</v>
      </c>
    </row>
    <row r="2043" spans="1:10" ht="14.4">
      <c r="A2043" s="84">
        <v>47694</v>
      </c>
      <c r="B2043" s="85">
        <v>2030</v>
      </c>
      <c r="C2043" s="85">
        <v>7</v>
      </c>
      <c r="D2043" s="85" t="s">
        <v>69</v>
      </c>
      <c r="E2043" s="85">
        <v>30</v>
      </c>
      <c r="F2043" s="85">
        <v>2</v>
      </c>
      <c r="G2043" s="85">
        <f>--(F2043&lt;=Estimator!$B$7)</f>
        <v>1</v>
      </c>
      <c r="H2043" s="86">
        <f>SUMIFS('Climate Data'!$G$7:$G$366,'Climate Data'!$A$7:$A$366,Estimator!$B$4,'Climate Data'!$B$7:$B$366,C2043)</f>
        <v>0.24731182795698925</v>
      </c>
      <c r="I2043" s="87">
        <f>SUMIFS('Climate Data'!$H$7:$H$366,'Climate Data'!$A$7:$A$366,Estimator!$B$4,'Climate Data'!$B$7:$B$366,C2043)</f>
        <v>8.3739130434782609</v>
      </c>
      <c r="J2043" s="86">
        <f>SUMIFS('Wind Proxy'!$H$8:$H$19,'Wind Proxy'!$A$8:$A$19,Estimator!$B$4,'Wind Proxy'!$B$8:$B$19,C2043)</f>
        <v>0</v>
      </c>
    </row>
    <row r="2044" spans="1:10" ht="14.4">
      <c r="A2044" s="84">
        <v>47695</v>
      </c>
      <c r="B2044" s="85">
        <v>2030</v>
      </c>
      <c r="C2044" s="85">
        <v>7</v>
      </c>
      <c r="D2044" s="85" t="s">
        <v>69</v>
      </c>
      <c r="E2044" s="85">
        <v>31</v>
      </c>
      <c r="F2044" s="85">
        <v>3</v>
      </c>
      <c r="G2044" s="85">
        <f>--(F2044&lt;=Estimator!$B$7)</f>
        <v>1</v>
      </c>
      <c r="H2044" s="86">
        <f>SUMIFS('Climate Data'!$G$7:$G$366,'Climate Data'!$A$7:$A$366,Estimator!$B$4,'Climate Data'!$B$7:$B$366,C2044)</f>
        <v>0.24731182795698925</v>
      </c>
      <c r="I2044" s="87">
        <f>SUMIFS('Climate Data'!$H$7:$H$366,'Climate Data'!$A$7:$A$366,Estimator!$B$4,'Climate Data'!$B$7:$B$366,C2044)</f>
        <v>8.3739130434782609</v>
      </c>
      <c r="J2044" s="86">
        <f>SUMIFS('Wind Proxy'!$H$8:$H$19,'Wind Proxy'!$A$8:$A$19,Estimator!$B$4,'Wind Proxy'!$B$8:$B$19,C2044)</f>
        <v>0</v>
      </c>
    </row>
    <row r="2045" spans="1:10" ht="14.4">
      <c r="A2045" s="84">
        <v>47696</v>
      </c>
      <c r="B2045" s="85">
        <v>2030</v>
      </c>
      <c r="C2045" s="85">
        <v>8</v>
      </c>
      <c r="D2045" s="85" t="s">
        <v>71</v>
      </c>
      <c r="E2045" s="85">
        <v>1</v>
      </c>
      <c r="F2045" s="85">
        <v>4</v>
      </c>
      <c r="G2045" s="85">
        <f>--(F2045&lt;=Estimator!$B$7)</f>
        <v>1</v>
      </c>
      <c r="H2045" s="86">
        <f>SUMIFS('Climate Data'!$G$7:$G$366,'Climate Data'!$A$7:$A$366,Estimator!$B$4,'Climate Data'!$B$7:$B$366,C2045)</f>
        <v>0.23548387096774193</v>
      </c>
      <c r="I2045" s="87">
        <f>SUMIFS('Climate Data'!$H$7:$H$366,'Climate Data'!$A$7:$A$366,Estimator!$B$4,'Climate Data'!$B$7:$B$366,C2045)</f>
        <v>7.9589041095890414</v>
      </c>
      <c r="J2045" s="86">
        <f>SUMIFS('Wind Proxy'!$H$8:$H$19,'Wind Proxy'!$A$8:$A$19,Estimator!$B$4,'Wind Proxy'!$B$8:$B$19,C2045)</f>
        <v>0</v>
      </c>
    </row>
    <row r="2046" spans="1:10" ht="14.4">
      <c r="A2046" s="84">
        <v>47697</v>
      </c>
      <c r="B2046" s="85">
        <v>2030</v>
      </c>
      <c r="C2046" s="85">
        <v>8</v>
      </c>
      <c r="D2046" s="85" t="s">
        <v>71</v>
      </c>
      <c r="E2046" s="85">
        <v>2</v>
      </c>
      <c r="F2046" s="85">
        <v>5</v>
      </c>
      <c r="G2046" s="85">
        <f>--(F2046&lt;=Estimator!$B$7)</f>
        <v>1</v>
      </c>
      <c r="H2046" s="86">
        <f>SUMIFS('Climate Data'!$G$7:$G$366,'Climate Data'!$A$7:$A$366,Estimator!$B$4,'Climate Data'!$B$7:$B$366,C2046)</f>
        <v>0.23548387096774193</v>
      </c>
      <c r="I2046" s="87">
        <f>SUMIFS('Climate Data'!$H$7:$H$366,'Climate Data'!$A$7:$A$366,Estimator!$B$4,'Climate Data'!$B$7:$B$366,C2046)</f>
        <v>7.9589041095890414</v>
      </c>
      <c r="J2046" s="86">
        <f>SUMIFS('Wind Proxy'!$H$8:$H$19,'Wind Proxy'!$A$8:$A$19,Estimator!$B$4,'Wind Proxy'!$B$8:$B$19,C2046)</f>
        <v>0</v>
      </c>
    </row>
    <row r="2047" spans="1:10" ht="14.4">
      <c r="A2047" s="84">
        <v>47698</v>
      </c>
      <c r="B2047" s="85">
        <v>2030</v>
      </c>
      <c r="C2047" s="85">
        <v>8</v>
      </c>
      <c r="D2047" s="85" t="s">
        <v>71</v>
      </c>
      <c r="E2047" s="85">
        <v>3</v>
      </c>
      <c r="F2047" s="85">
        <v>6</v>
      </c>
      <c r="G2047" s="85">
        <f>--(F2047&lt;=Estimator!$B$7)</f>
        <v>0</v>
      </c>
      <c r="H2047" s="86">
        <f>SUMIFS('Climate Data'!$G$7:$G$366,'Climate Data'!$A$7:$A$366,Estimator!$B$4,'Climate Data'!$B$7:$B$366,C2047)</f>
        <v>0.23548387096774193</v>
      </c>
      <c r="I2047" s="87">
        <f>SUMIFS('Climate Data'!$H$7:$H$366,'Climate Data'!$A$7:$A$366,Estimator!$B$4,'Climate Data'!$B$7:$B$366,C2047)</f>
        <v>7.9589041095890414</v>
      </c>
      <c r="J2047" s="86">
        <f>SUMIFS('Wind Proxy'!$H$8:$H$19,'Wind Proxy'!$A$8:$A$19,Estimator!$B$4,'Wind Proxy'!$B$8:$B$19,C2047)</f>
        <v>0</v>
      </c>
    </row>
    <row r="2048" spans="1:10" ht="14.4">
      <c r="A2048" s="84">
        <v>47699</v>
      </c>
      <c r="B2048" s="85">
        <v>2030</v>
      </c>
      <c r="C2048" s="85">
        <v>8</v>
      </c>
      <c r="D2048" s="85" t="s">
        <v>71</v>
      </c>
      <c r="E2048" s="85">
        <v>4</v>
      </c>
      <c r="F2048" s="85">
        <v>7</v>
      </c>
      <c r="G2048" s="85">
        <f>--(F2048&lt;=Estimator!$B$7)</f>
        <v>0</v>
      </c>
      <c r="H2048" s="86">
        <f>SUMIFS('Climate Data'!$G$7:$G$366,'Climate Data'!$A$7:$A$366,Estimator!$B$4,'Climate Data'!$B$7:$B$366,C2048)</f>
        <v>0.23548387096774193</v>
      </c>
      <c r="I2048" s="87">
        <f>SUMIFS('Climate Data'!$H$7:$H$366,'Climate Data'!$A$7:$A$366,Estimator!$B$4,'Climate Data'!$B$7:$B$366,C2048)</f>
        <v>7.9589041095890414</v>
      </c>
      <c r="J2048" s="86">
        <f>SUMIFS('Wind Proxy'!$H$8:$H$19,'Wind Proxy'!$A$8:$A$19,Estimator!$B$4,'Wind Proxy'!$B$8:$B$19,C2048)</f>
        <v>0</v>
      </c>
    </row>
    <row r="2049" spans="1:10" ht="14.4">
      <c r="A2049" s="84">
        <v>47700</v>
      </c>
      <c r="B2049" s="85">
        <v>2030</v>
      </c>
      <c r="C2049" s="85">
        <v>8</v>
      </c>
      <c r="D2049" s="85" t="s">
        <v>71</v>
      </c>
      <c r="E2049" s="85">
        <v>5</v>
      </c>
      <c r="F2049" s="85">
        <v>1</v>
      </c>
      <c r="G2049" s="85">
        <f>--(F2049&lt;=Estimator!$B$7)</f>
        <v>1</v>
      </c>
      <c r="H2049" s="86">
        <f>SUMIFS('Climate Data'!$G$7:$G$366,'Climate Data'!$A$7:$A$366,Estimator!$B$4,'Climate Data'!$B$7:$B$366,C2049)</f>
        <v>0.23548387096774193</v>
      </c>
      <c r="I2049" s="87">
        <f>SUMIFS('Climate Data'!$H$7:$H$366,'Climate Data'!$A$7:$A$366,Estimator!$B$4,'Climate Data'!$B$7:$B$366,C2049)</f>
        <v>7.9589041095890414</v>
      </c>
      <c r="J2049" s="86">
        <f>SUMIFS('Wind Proxy'!$H$8:$H$19,'Wind Proxy'!$A$8:$A$19,Estimator!$B$4,'Wind Proxy'!$B$8:$B$19,C2049)</f>
        <v>0</v>
      </c>
    </row>
    <row r="2050" spans="1:10" ht="14.4">
      <c r="A2050" s="84">
        <v>47701</v>
      </c>
      <c r="B2050" s="85">
        <v>2030</v>
      </c>
      <c r="C2050" s="85">
        <v>8</v>
      </c>
      <c r="D2050" s="85" t="s">
        <v>71</v>
      </c>
      <c r="E2050" s="85">
        <v>6</v>
      </c>
      <c r="F2050" s="85">
        <v>2</v>
      </c>
      <c r="G2050" s="85">
        <f>--(F2050&lt;=Estimator!$B$7)</f>
        <v>1</v>
      </c>
      <c r="H2050" s="86">
        <f>SUMIFS('Climate Data'!$G$7:$G$366,'Climate Data'!$A$7:$A$366,Estimator!$B$4,'Climate Data'!$B$7:$B$366,C2050)</f>
        <v>0.23548387096774193</v>
      </c>
      <c r="I2050" s="87">
        <f>SUMIFS('Climate Data'!$H$7:$H$366,'Climate Data'!$A$7:$A$366,Estimator!$B$4,'Climate Data'!$B$7:$B$366,C2050)</f>
        <v>7.9589041095890414</v>
      </c>
      <c r="J2050" s="86">
        <f>SUMIFS('Wind Proxy'!$H$8:$H$19,'Wind Proxy'!$A$8:$A$19,Estimator!$B$4,'Wind Proxy'!$B$8:$B$19,C2050)</f>
        <v>0</v>
      </c>
    </row>
    <row r="2051" spans="1:10" ht="14.4">
      <c r="A2051" s="84">
        <v>47702</v>
      </c>
      <c r="B2051" s="85">
        <v>2030</v>
      </c>
      <c r="C2051" s="85">
        <v>8</v>
      </c>
      <c r="D2051" s="85" t="s">
        <v>71</v>
      </c>
      <c r="E2051" s="85">
        <v>7</v>
      </c>
      <c r="F2051" s="85">
        <v>3</v>
      </c>
      <c r="G2051" s="85">
        <f>--(F2051&lt;=Estimator!$B$7)</f>
        <v>1</v>
      </c>
      <c r="H2051" s="86">
        <f>SUMIFS('Climate Data'!$G$7:$G$366,'Climate Data'!$A$7:$A$366,Estimator!$B$4,'Climate Data'!$B$7:$B$366,C2051)</f>
        <v>0.23548387096774193</v>
      </c>
      <c r="I2051" s="87">
        <f>SUMIFS('Climate Data'!$H$7:$H$366,'Climate Data'!$A$7:$A$366,Estimator!$B$4,'Climate Data'!$B$7:$B$366,C2051)</f>
        <v>7.9589041095890414</v>
      </c>
      <c r="J2051" s="86">
        <f>SUMIFS('Wind Proxy'!$H$8:$H$19,'Wind Proxy'!$A$8:$A$19,Estimator!$B$4,'Wind Proxy'!$B$8:$B$19,C2051)</f>
        <v>0</v>
      </c>
    </row>
    <row r="2052" spans="1:10" ht="14.4">
      <c r="A2052" s="84">
        <v>47703</v>
      </c>
      <c r="B2052" s="85">
        <v>2030</v>
      </c>
      <c r="C2052" s="85">
        <v>8</v>
      </c>
      <c r="D2052" s="85" t="s">
        <v>71</v>
      </c>
      <c r="E2052" s="85">
        <v>8</v>
      </c>
      <c r="F2052" s="85">
        <v>4</v>
      </c>
      <c r="G2052" s="85">
        <f>--(F2052&lt;=Estimator!$B$7)</f>
        <v>1</v>
      </c>
      <c r="H2052" s="86">
        <f>SUMIFS('Climate Data'!$G$7:$G$366,'Climate Data'!$A$7:$A$366,Estimator!$B$4,'Climate Data'!$B$7:$B$366,C2052)</f>
        <v>0.23548387096774193</v>
      </c>
      <c r="I2052" s="87">
        <f>SUMIFS('Climate Data'!$H$7:$H$366,'Climate Data'!$A$7:$A$366,Estimator!$B$4,'Climate Data'!$B$7:$B$366,C2052)</f>
        <v>7.9589041095890414</v>
      </c>
      <c r="J2052" s="86">
        <f>SUMIFS('Wind Proxy'!$H$8:$H$19,'Wind Proxy'!$A$8:$A$19,Estimator!$B$4,'Wind Proxy'!$B$8:$B$19,C2052)</f>
        <v>0</v>
      </c>
    </row>
    <row r="2053" spans="1:10" ht="14.4">
      <c r="A2053" s="84">
        <v>47704</v>
      </c>
      <c r="B2053" s="85">
        <v>2030</v>
      </c>
      <c r="C2053" s="85">
        <v>8</v>
      </c>
      <c r="D2053" s="85" t="s">
        <v>71</v>
      </c>
      <c r="E2053" s="85">
        <v>9</v>
      </c>
      <c r="F2053" s="85">
        <v>5</v>
      </c>
      <c r="G2053" s="85">
        <f>--(F2053&lt;=Estimator!$B$7)</f>
        <v>1</v>
      </c>
      <c r="H2053" s="86">
        <f>SUMIFS('Climate Data'!$G$7:$G$366,'Climate Data'!$A$7:$A$366,Estimator!$B$4,'Climate Data'!$B$7:$B$366,C2053)</f>
        <v>0.23548387096774193</v>
      </c>
      <c r="I2053" s="87">
        <f>SUMIFS('Climate Data'!$H$7:$H$366,'Climate Data'!$A$7:$A$366,Estimator!$B$4,'Climate Data'!$B$7:$B$366,C2053)</f>
        <v>7.9589041095890414</v>
      </c>
      <c r="J2053" s="86">
        <f>SUMIFS('Wind Proxy'!$H$8:$H$19,'Wind Proxy'!$A$8:$A$19,Estimator!$B$4,'Wind Proxy'!$B$8:$B$19,C2053)</f>
        <v>0</v>
      </c>
    </row>
    <row r="2054" spans="1:10" ht="14.4">
      <c r="A2054" s="84">
        <v>47705</v>
      </c>
      <c r="B2054" s="85">
        <v>2030</v>
      </c>
      <c r="C2054" s="85">
        <v>8</v>
      </c>
      <c r="D2054" s="85" t="s">
        <v>71</v>
      </c>
      <c r="E2054" s="85">
        <v>10</v>
      </c>
      <c r="F2054" s="85">
        <v>6</v>
      </c>
      <c r="G2054" s="85">
        <f>--(F2054&lt;=Estimator!$B$7)</f>
        <v>0</v>
      </c>
      <c r="H2054" s="86">
        <f>SUMIFS('Climate Data'!$G$7:$G$366,'Climate Data'!$A$7:$A$366,Estimator!$B$4,'Climate Data'!$B$7:$B$366,C2054)</f>
        <v>0.23548387096774193</v>
      </c>
      <c r="I2054" s="87">
        <f>SUMIFS('Climate Data'!$H$7:$H$366,'Climate Data'!$A$7:$A$366,Estimator!$B$4,'Climate Data'!$B$7:$B$366,C2054)</f>
        <v>7.9589041095890414</v>
      </c>
      <c r="J2054" s="86">
        <f>SUMIFS('Wind Proxy'!$H$8:$H$19,'Wind Proxy'!$A$8:$A$19,Estimator!$B$4,'Wind Proxy'!$B$8:$B$19,C2054)</f>
        <v>0</v>
      </c>
    </row>
    <row r="2055" spans="1:10" ht="14.4">
      <c r="A2055" s="84">
        <v>47706</v>
      </c>
      <c r="B2055" s="85">
        <v>2030</v>
      </c>
      <c r="C2055" s="85">
        <v>8</v>
      </c>
      <c r="D2055" s="85" t="s">
        <v>71</v>
      </c>
      <c r="E2055" s="85">
        <v>11</v>
      </c>
      <c r="F2055" s="85">
        <v>7</v>
      </c>
      <c r="G2055" s="85">
        <f>--(F2055&lt;=Estimator!$B$7)</f>
        <v>0</v>
      </c>
      <c r="H2055" s="86">
        <f>SUMIFS('Climate Data'!$G$7:$G$366,'Climate Data'!$A$7:$A$366,Estimator!$B$4,'Climate Data'!$B$7:$B$366,C2055)</f>
        <v>0.23548387096774193</v>
      </c>
      <c r="I2055" s="87">
        <f>SUMIFS('Climate Data'!$H$7:$H$366,'Climate Data'!$A$7:$A$366,Estimator!$B$4,'Climate Data'!$B$7:$B$366,C2055)</f>
        <v>7.9589041095890414</v>
      </c>
      <c r="J2055" s="86">
        <f>SUMIFS('Wind Proxy'!$H$8:$H$19,'Wind Proxy'!$A$8:$A$19,Estimator!$B$4,'Wind Proxy'!$B$8:$B$19,C2055)</f>
        <v>0</v>
      </c>
    </row>
    <row r="2056" spans="1:10" ht="14.4">
      <c r="A2056" s="84">
        <v>47707</v>
      </c>
      <c r="B2056" s="85">
        <v>2030</v>
      </c>
      <c r="C2056" s="85">
        <v>8</v>
      </c>
      <c r="D2056" s="85" t="s">
        <v>71</v>
      </c>
      <c r="E2056" s="85">
        <v>12</v>
      </c>
      <c r="F2056" s="85">
        <v>1</v>
      </c>
      <c r="G2056" s="85">
        <f>--(F2056&lt;=Estimator!$B$7)</f>
        <v>1</v>
      </c>
      <c r="H2056" s="86">
        <f>SUMIFS('Climate Data'!$G$7:$G$366,'Climate Data'!$A$7:$A$366,Estimator!$B$4,'Climate Data'!$B$7:$B$366,C2056)</f>
        <v>0.23548387096774193</v>
      </c>
      <c r="I2056" s="87">
        <f>SUMIFS('Climate Data'!$H$7:$H$366,'Climate Data'!$A$7:$A$366,Estimator!$B$4,'Climate Data'!$B$7:$B$366,C2056)</f>
        <v>7.9589041095890414</v>
      </c>
      <c r="J2056" s="86">
        <f>SUMIFS('Wind Proxy'!$H$8:$H$19,'Wind Proxy'!$A$8:$A$19,Estimator!$B$4,'Wind Proxy'!$B$8:$B$19,C2056)</f>
        <v>0</v>
      </c>
    </row>
    <row r="2057" spans="1:10" ht="14.4">
      <c r="A2057" s="84">
        <v>47708</v>
      </c>
      <c r="B2057" s="85">
        <v>2030</v>
      </c>
      <c r="C2057" s="85">
        <v>8</v>
      </c>
      <c r="D2057" s="85" t="s">
        <v>71</v>
      </c>
      <c r="E2057" s="85">
        <v>13</v>
      </c>
      <c r="F2057" s="85">
        <v>2</v>
      </c>
      <c r="G2057" s="85">
        <f>--(F2057&lt;=Estimator!$B$7)</f>
        <v>1</v>
      </c>
      <c r="H2057" s="86">
        <f>SUMIFS('Climate Data'!$G$7:$G$366,'Climate Data'!$A$7:$A$366,Estimator!$B$4,'Climate Data'!$B$7:$B$366,C2057)</f>
        <v>0.23548387096774193</v>
      </c>
      <c r="I2057" s="87">
        <f>SUMIFS('Climate Data'!$H$7:$H$366,'Climate Data'!$A$7:$A$366,Estimator!$B$4,'Climate Data'!$B$7:$B$366,C2057)</f>
        <v>7.9589041095890414</v>
      </c>
      <c r="J2057" s="86">
        <f>SUMIFS('Wind Proxy'!$H$8:$H$19,'Wind Proxy'!$A$8:$A$19,Estimator!$B$4,'Wind Proxy'!$B$8:$B$19,C2057)</f>
        <v>0</v>
      </c>
    </row>
    <row r="2058" spans="1:10" ht="14.4">
      <c r="A2058" s="84">
        <v>47709</v>
      </c>
      <c r="B2058" s="85">
        <v>2030</v>
      </c>
      <c r="C2058" s="85">
        <v>8</v>
      </c>
      <c r="D2058" s="85" t="s">
        <v>71</v>
      </c>
      <c r="E2058" s="85">
        <v>14</v>
      </c>
      <c r="F2058" s="85">
        <v>3</v>
      </c>
      <c r="G2058" s="85">
        <f>--(F2058&lt;=Estimator!$B$7)</f>
        <v>1</v>
      </c>
      <c r="H2058" s="86">
        <f>SUMIFS('Climate Data'!$G$7:$G$366,'Climate Data'!$A$7:$A$366,Estimator!$B$4,'Climate Data'!$B$7:$B$366,C2058)</f>
        <v>0.23548387096774193</v>
      </c>
      <c r="I2058" s="87">
        <f>SUMIFS('Climate Data'!$H$7:$H$366,'Climate Data'!$A$7:$A$366,Estimator!$B$4,'Climate Data'!$B$7:$B$366,C2058)</f>
        <v>7.9589041095890414</v>
      </c>
      <c r="J2058" s="86">
        <f>SUMIFS('Wind Proxy'!$H$8:$H$19,'Wind Proxy'!$A$8:$A$19,Estimator!$B$4,'Wind Proxy'!$B$8:$B$19,C2058)</f>
        <v>0</v>
      </c>
    </row>
    <row r="2059" spans="1:10" ht="14.4">
      <c r="A2059" s="84">
        <v>47710</v>
      </c>
      <c r="B2059" s="85">
        <v>2030</v>
      </c>
      <c r="C2059" s="85">
        <v>8</v>
      </c>
      <c r="D2059" s="85" t="s">
        <v>71</v>
      </c>
      <c r="E2059" s="85">
        <v>15</v>
      </c>
      <c r="F2059" s="85">
        <v>4</v>
      </c>
      <c r="G2059" s="85">
        <f>--(F2059&lt;=Estimator!$B$7)</f>
        <v>1</v>
      </c>
      <c r="H2059" s="86">
        <f>SUMIFS('Climate Data'!$G$7:$G$366,'Climate Data'!$A$7:$A$366,Estimator!$B$4,'Climate Data'!$B$7:$B$366,C2059)</f>
        <v>0.23548387096774193</v>
      </c>
      <c r="I2059" s="87">
        <f>SUMIFS('Climate Data'!$H$7:$H$366,'Climate Data'!$A$7:$A$366,Estimator!$B$4,'Climate Data'!$B$7:$B$366,C2059)</f>
        <v>7.9589041095890414</v>
      </c>
      <c r="J2059" s="86">
        <f>SUMIFS('Wind Proxy'!$H$8:$H$19,'Wind Proxy'!$A$8:$A$19,Estimator!$B$4,'Wind Proxy'!$B$8:$B$19,C2059)</f>
        <v>0</v>
      </c>
    </row>
    <row r="2060" spans="1:10" ht="14.4">
      <c r="A2060" s="84">
        <v>47711</v>
      </c>
      <c r="B2060" s="85">
        <v>2030</v>
      </c>
      <c r="C2060" s="85">
        <v>8</v>
      </c>
      <c r="D2060" s="85" t="s">
        <v>71</v>
      </c>
      <c r="E2060" s="85">
        <v>16</v>
      </c>
      <c r="F2060" s="85">
        <v>5</v>
      </c>
      <c r="G2060" s="85">
        <f>--(F2060&lt;=Estimator!$B$7)</f>
        <v>1</v>
      </c>
      <c r="H2060" s="86">
        <f>SUMIFS('Climate Data'!$G$7:$G$366,'Climate Data'!$A$7:$A$366,Estimator!$B$4,'Climate Data'!$B$7:$B$366,C2060)</f>
        <v>0.23548387096774193</v>
      </c>
      <c r="I2060" s="87">
        <f>SUMIFS('Climate Data'!$H$7:$H$366,'Climate Data'!$A$7:$A$366,Estimator!$B$4,'Climate Data'!$B$7:$B$366,C2060)</f>
        <v>7.9589041095890414</v>
      </c>
      <c r="J2060" s="86">
        <f>SUMIFS('Wind Proxy'!$H$8:$H$19,'Wind Proxy'!$A$8:$A$19,Estimator!$B$4,'Wind Proxy'!$B$8:$B$19,C2060)</f>
        <v>0</v>
      </c>
    </row>
    <row r="2061" spans="1:10" ht="14.4">
      <c r="A2061" s="84">
        <v>47712</v>
      </c>
      <c r="B2061" s="85">
        <v>2030</v>
      </c>
      <c r="C2061" s="85">
        <v>8</v>
      </c>
      <c r="D2061" s="85" t="s">
        <v>71</v>
      </c>
      <c r="E2061" s="85">
        <v>17</v>
      </c>
      <c r="F2061" s="85">
        <v>6</v>
      </c>
      <c r="G2061" s="85">
        <f>--(F2061&lt;=Estimator!$B$7)</f>
        <v>0</v>
      </c>
      <c r="H2061" s="86">
        <f>SUMIFS('Climate Data'!$G$7:$G$366,'Climate Data'!$A$7:$A$366,Estimator!$B$4,'Climate Data'!$B$7:$B$366,C2061)</f>
        <v>0.23548387096774193</v>
      </c>
      <c r="I2061" s="87">
        <f>SUMIFS('Climate Data'!$H$7:$H$366,'Climate Data'!$A$7:$A$366,Estimator!$B$4,'Climate Data'!$B$7:$B$366,C2061)</f>
        <v>7.9589041095890414</v>
      </c>
      <c r="J2061" s="86">
        <f>SUMIFS('Wind Proxy'!$H$8:$H$19,'Wind Proxy'!$A$8:$A$19,Estimator!$B$4,'Wind Proxy'!$B$8:$B$19,C2061)</f>
        <v>0</v>
      </c>
    </row>
    <row r="2062" spans="1:10" ht="14.4">
      <c r="A2062" s="84">
        <v>47713</v>
      </c>
      <c r="B2062" s="85">
        <v>2030</v>
      </c>
      <c r="C2062" s="85">
        <v>8</v>
      </c>
      <c r="D2062" s="85" t="s">
        <v>71</v>
      </c>
      <c r="E2062" s="85">
        <v>18</v>
      </c>
      <c r="F2062" s="85">
        <v>7</v>
      </c>
      <c r="G2062" s="85">
        <f>--(F2062&lt;=Estimator!$B$7)</f>
        <v>0</v>
      </c>
      <c r="H2062" s="86">
        <f>SUMIFS('Climate Data'!$G$7:$G$366,'Climate Data'!$A$7:$A$366,Estimator!$B$4,'Climate Data'!$B$7:$B$366,C2062)</f>
        <v>0.23548387096774193</v>
      </c>
      <c r="I2062" s="87">
        <f>SUMIFS('Climate Data'!$H$7:$H$366,'Climate Data'!$A$7:$A$366,Estimator!$B$4,'Climate Data'!$B$7:$B$366,C2062)</f>
        <v>7.9589041095890414</v>
      </c>
      <c r="J2062" s="86">
        <f>SUMIFS('Wind Proxy'!$H$8:$H$19,'Wind Proxy'!$A$8:$A$19,Estimator!$B$4,'Wind Proxy'!$B$8:$B$19,C2062)</f>
        <v>0</v>
      </c>
    </row>
    <row r="2063" spans="1:10" ht="14.4">
      <c r="A2063" s="84">
        <v>47714</v>
      </c>
      <c r="B2063" s="85">
        <v>2030</v>
      </c>
      <c r="C2063" s="85">
        <v>8</v>
      </c>
      <c r="D2063" s="85" t="s">
        <v>71</v>
      </c>
      <c r="E2063" s="85">
        <v>19</v>
      </c>
      <c r="F2063" s="85">
        <v>1</v>
      </c>
      <c r="G2063" s="85">
        <f>--(F2063&lt;=Estimator!$B$7)</f>
        <v>1</v>
      </c>
      <c r="H2063" s="86">
        <f>SUMIFS('Climate Data'!$G$7:$G$366,'Climate Data'!$A$7:$A$366,Estimator!$B$4,'Climate Data'!$B$7:$B$366,C2063)</f>
        <v>0.23548387096774193</v>
      </c>
      <c r="I2063" s="87">
        <f>SUMIFS('Climate Data'!$H$7:$H$366,'Climate Data'!$A$7:$A$366,Estimator!$B$4,'Climate Data'!$B$7:$B$366,C2063)</f>
        <v>7.9589041095890414</v>
      </c>
      <c r="J2063" s="86">
        <f>SUMIFS('Wind Proxy'!$H$8:$H$19,'Wind Proxy'!$A$8:$A$19,Estimator!$B$4,'Wind Proxy'!$B$8:$B$19,C2063)</f>
        <v>0</v>
      </c>
    </row>
    <row r="2064" spans="1:10" ht="14.4">
      <c r="A2064" s="84">
        <v>47715</v>
      </c>
      <c r="B2064" s="85">
        <v>2030</v>
      </c>
      <c r="C2064" s="85">
        <v>8</v>
      </c>
      <c r="D2064" s="85" t="s">
        <v>71</v>
      </c>
      <c r="E2064" s="85">
        <v>20</v>
      </c>
      <c r="F2064" s="85">
        <v>2</v>
      </c>
      <c r="G2064" s="85">
        <f>--(F2064&lt;=Estimator!$B$7)</f>
        <v>1</v>
      </c>
      <c r="H2064" s="86">
        <f>SUMIFS('Climate Data'!$G$7:$G$366,'Climate Data'!$A$7:$A$366,Estimator!$B$4,'Climate Data'!$B$7:$B$366,C2064)</f>
        <v>0.23548387096774193</v>
      </c>
      <c r="I2064" s="87">
        <f>SUMIFS('Climate Data'!$H$7:$H$366,'Climate Data'!$A$7:$A$366,Estimator!$B$4,'Climate Data'!$B$7:$B$366,C2064)</f>
        <v>7.9589041095890414</v>
      </c>
      <c r="J2064" s="86">
        <f>SUMIFS('Wind Proxy'!$H$8:$H$19,'Wind Proxy'!$A$8:$A$19,Estimator!$B$4,'Wind Proxy'!$B$8:$B$19,C2064)</f>
        <v>0</v>
      </c>
    </row>
    <row r="2065" spans="1:10" ht="14.4">
      <c r="A2065" s="84">
        <v>47716</v>
      </c>
      <c r="B2065" s="85">
        <v>2030</v>
      </c>
      <c r="C2065" s="85">
        <v>8</v>
      </c>
      <c r="D2065" s="85" t="s">
        <v>71</v>
      </c>
      <c r="E2065" s="85">
        <v>21</v>
      </c>
      <c r="F2065" s="85">
        <v>3</v>
      </c>
      <c r="G2065" s="85">
        <f>--(F2065&lt;=Estimator!$B$7)</f>
        <v>1</v>
      </c>
      <c r="H2065" s="86">
        <f>SUMIFS('Climate Data'!$G$7:$G$366,'Climate Data'!$A$7:$A$366,Estimator!$B$4,'Climate Data'!$B$7:$B$366,C2065)</f>
        <v>0.23548387096774193</v>
      </c>
      <c r="I2065" s="87">
        <f>SUMIFS('Climate Data'!$H$7:$H$366,'Climate Data'!$A$7:$A$366,Estimator!$B$4,'Climate Data'!$B$7:$B$366,C2065)</f>
        <v>7.9589041095890414</v>
      </c>
      <c r="J2065" s="86">
        <f>SUMIFS('Wind Proxy'!$H$8:$H$19,'Wind Proxy'!$A$8:$A$19,Estimator!$B$4,'Wind Proxy'!$B$8:$B$19,C2065)</f>
        <v>0</v>
      </c>
    </row>
    <row r="2066" spans="1:10" ht="14.4">
      <c r="A2066" s="84">
        <v>47717</v>
      </c>
      <c r="B2066" s="85">
        <v>2030</v>
      </c>
      <c r="C2066" s="85">
        <v>8</v>
      </c>
      <c r="D2066" s="85" t="s">
        <v>71</v>
      </c>
      <c r="E2066" s="85">
        <v>22</v>
      </c>
      <c r="F2066" s="85">
        <v>4</v>
      </c>
      <c r="G2066" s="85">
        <f>--(F2066&lt;=Estimator!$B$7)</f>
        <v>1</v>
      </c>
      <c r="H2066" s="86">
        <f>SUMIFS('Climate Data'!$G$7:$G$366,'Climate Data'!$A$7:$A$366,Estimator!$B$4,'Climate Data'!$B$7:$B$366,C2066)</f>
        <v>0.23548387096774193</v>
      </c>
      <c r="I2066" s="87">
        <f>SUMIFS('Climate Data'!$H$7:$H$366,'Climate Data'!$A$7:$A$366,Estimator!$B$4,'Climate Data'!$B$7:$B$366,C2066)</f>
        <v>7.9589041095890414</v>
      </c>
      <c r="J2066" s="86">
        <f>SUMIFS('Wind Proxy'!$H$8:$H$19,'Wind Proxy'!$A$8:$A$19,Estimator!$B$4,'Wind Proxy'!$B$8:$B$19,C2066)</f>
        <v>0</v>
      </c>
    </row>
    <row r="2067" spans="1:10" ht="14.4">
      <c r="A2067" s="84">
        <v>47718</v>
      </c>
      <c r="B2067" s="85">
        <v>2030</v>
      </c>
      <c r="C2067" s="85">
        <v>8</v>
      </c>
      <c r="D2067" s="85" t="s">
        <v>71</v>
      </c>
      <c r="E2067" s="85">
        <v>23</v>
      </c>
      <c r="F2067" s="85">
        <v>5</v>
      </c>
      <c r="G2067" s="85">
        <f>--(F2067&lt;=Estimator!$B$7)</f>
        <v>1</v>
      </c>
      <c r="H2067" s="86">
        <f>SUMIFS('Climate Data'!$G$7:$G$366,'Climate Data'!$A$7:$A$366,Estimator!$B$4,'Climate Data'!$B$7:$B$366,C2067)</f>
        <v>0.23548387096774193</v>
      </c>
      <c r="I2067" s="87">
        <f>SUMIFS('Climate Data'!$H$7:$H$366,'Climate Data'!$A$7:$A$366,Estimator!$B$4,'Climate Data'!$B$7:$B$366,C2067)</f>
        <v>7.9589041095890414</v>
      </c>
      <c r="J2067" s="86">
        <f>SUMIFS('Wind Proxy'!$H$8:$H$19,'Wind Proxy'!$A$8:$A$19,Estimator!$B$4,'Wind Proxy'!$B$8:$B$19,C2067)</f>
        <v>0</v>
      </c>
    </row>
    <row r="2068" spans="1:10" ht="14.4">
      <c r="A2068" s="84">
        <v>47719</v>
      </c>
      <c r="B2068" s="85">
        <v>2030</v>
      </c>
      <c r="C2068" s="85">
        <v>8</v>
      </c>
      <c r="D2068" s="85" t="s">
        <v>71</v>
      </c>
      <c r="E2068" s="85">
        <v>24</v>
      </c>
      <c r="F2068" s="85">
        <v>6</v>
      </c>
      <c r="G2068" s="85">
        <f>--(F2068&lt;=Estimator!$B$7)</f>
        <v>0</v>
      </c>
      <c r="H2068" s="86">
        <f>SUMIFS('Climate Data'!$G$7:$G$366,'Climate Data'!$A$7:$A$366,Estimator!$B$4,'Climate Data'!$B$7:$B$366,C2068)</f>
        <v>0.23548387096774193</v>
      </c>
      <c r="I2068" s="87">
        <f>SUMIFS('Climate Data'!$H$7:$H$366,'Climate Data'!$A$7:$A$366,Estimator!$B$4,'Climate Data'!$B$7:$B$366,C2068)</f>
        <v>7.9589041095890414</v>
      </c>
      <c r="J2068" s="86">
        <f>SUMIFS('Wind Proxy'!$H$8:$H$19,'Wind Proxy'!$A$8:$A$19,Estimator!$B$4,'Wind Proxy'!$B$8:$B$19,C2068)</f>
        <v>0</v>
      </c>
    </row>
    <row r="2069" spans="1:10" ht="14.4">
      <c r="A2069" s="84">
        <v>47720</v>
      </c>
      <c r="B2069" s="85">
        <v>2030</v>
      </c>
      <c r="C2069" s="85">
        <v>8</v>
      </c>
      <c r="D2069" s="85" t="s">
        <v>71</v>
      </c>
      <c r="E2069" s="85">
        <v>25</v>
      </c>
      <c r="F2069" s="85">
        <v>7</v>
      </c>
      <c r="G2069" s="85">
        <f>--(F2069&lt;=Estimator!$B$7)</f>
        <v>0</v>
      </c>
      <c r="H2069" s="86">
        <f>SUMIFS('Climate Data'!$G$7:$G$366,'Climate Data'!$A$7:$A$366,Estimator!$B$4,'Climate Data'!$B$7:$B$366,C2069)</f>
        <v>0.23548387096774193</v>
      </c>
      <c r="I2069" s="87">
        <f>SUMIFS('Climate Data'!$H$7:$H$366,'Climate Data'!$A$7:$A$366,Estimator!$B$4,'Climate Data'!$B$7:$B$366,C2069)</f>
        <v>7.9589041095890414</v>
      </c>
      <c r="J2069" s="86">
        <f>SUMIFS('Wind Proxy'!$H$8:$H$19,'Wind Proxy'!$A$8:$A$19,Estimator!$B$4,'Wind Proxy'!$B$8:$B$19,C2069)</f>
        <v>0</v>
      </c>
    </row>
    <row r="2070" spans="1:10" ht="14.4">
      <c r="A2070" s="84">
        <v>47721</v>
      </c>
      <c r="B2070" s="85">
        <v>2030</v>
      </c>
      <c r="C2070" s="85">
        <v>8</v>
      </c>
      <c r="D2070" s="85" t="s">
        <v>71</v>
      </c>
      <c r="E2070" s="85">
        <v>26</v>
      </c>
      <c r="F2070" s="85">
        <v>1</v>
      </c>
      <c r="G2070" s="85">
        <f>--(F2070&lt;=Estimator!$B$7)</f>
        <v>1</v>
      </c>
      <c r="H2070" s="86">
        <f>SUMIFS('Climate Data'!$G$7:$G$366,'Climate Data'!$A$7:$A$366,Estimator!$B$4,'Climate Data'!$B$7:$B$366,C2070)</f>
        <v>0.23548387096774193</v>
      </c>
      <c r="I2070" s="87">
        <f>SUMIFS('Climate Data'!$H$7:$H$366,'Climate Data'!$A$7:$A$366,Estimator!$B$4,'Climate Data'!$B$7:$B$366,C2070)</f>
        <v>7.9589041095890414</v>
      </c>
      <c r="J2070" s="86">
        <f>SUMIFS('Wind Proxy'!$H$8:$H$19,'Wind Proxy'!$A$8:$A$19,Estimator!$B$4,'Wind Proxy'!$B$8:$B$19,C2070)</f>
        <v>0</v>
      </c>
    </row>
    <row r="2071" spans="1:10" ht="14.4">
      <c r="A2071" s="84">
        <v>47722</v>
      </c>
      <c r="B2071" s="85">
        <v>2030</v>
      </c>
      <c r="C2071" s="85">
        <v>8</v>
      </c>
      <c r="D2071" s="85" t="s">
        <v>71</v>
      </c>
      <c r="E2071" s="85">
        <v>27</v>
      </c>
      <c r="F2071" s="85">
        <v>2</v>
      </c>
      <c r="G2071" s="85">
        <f>--(F2071&lt;=Estimator!$B$7)</f>
        <v>1</v>
      </c>
      <c r="H2071" s="86">
        <f>SUMIFS('Climate Data'!$G$7:$G$366,'Climate Data'!$A$7:$A$366,Estimator!$B$4,'Climate Data'!$B$7:$B$366,C2071)</f>
        <v>0.23548387096774193</v>
      </c>
      <c r="I2071" s="87">
        <f>SUMIFS('Climate Data'!$H$7:$H$366,'Climate Data'!$A$7:$A$366,Estimator!$B$4,'Climate Data'!$B$7:$B$366,C2071)</f>
        <v>7.9589041095890414</v>
      </c>
      <c r="J2071" s="86">
        <f>SUMIFS('Wind Proxy'!$H$8:$H$19,'Wind Proxy'!$A$8:$A$19,Estimator!$B$4,'Wind Proxy'!$B$8:$B$19,C2071)</f>
        <v>0</v>
      </c>
    </row>
    <row r="2072" spans="1:10" ht="14.4">
      <c r="A2072" s="84">
        <v>47723</v>
      </c>
      <c r="B2072" s="85">
        <v>2030</v>
      </c>
      <c r="C2072" s="85">
        <v>8</v>
      </c>
      <c r="D2072" s="85" t="s">
        <v>71</v>
      </c>
      <c r="E2072" s="85">
        <v>28</v>
      </c>
      <c r="F2072" s="85">
        <v>3</v>
      </c>
      <c r="G2072" s="85">
        <f>--(F2072&lt;=Estimator!$B$7)</f>
        <v>1</v>
      </c>
      <c r="H2072" s="86">
        <f>SUMIFS('Climate Data'!$G$7:$G$366,'Climate Data'!$A$7:$A$366,Estimator!$B$4,'Climate Data'!$B$7:$B$366,C2072)</f>
        <v>0.23548387096774193</v>
      </c>
      <c r="I2072" s="87">
        <f>SUMIFS('Climate Data'!$H$7:$H$366,'Climate Data'!$A$7:$A$366,Estimator!$B$4,'Climate Data'!$B$7:$B$366,C2072)</f>
        <v>7.9589041095890414</v>
      </c>
      <c r="J2072" s="86">
        <f>SUMIFS('Wind Proxy'!$H$8:$H$19,'Wind Proxy'!$A$8:$A$19,Estimator!$B$4,'Wind Proxy'!$B$8:$B$19,C2072)</f>
        <v>0</v>
      </c>
    </row>
    <row r="2073" spans="1:10" ht="14.4">
      <c r="A2073" s="84">
        <v>47724</v>
      </c>
      <c r="B2073" s="85">
        <v>2030</v>
      </c>
      <c r="C2073" s="85">
        <v>8</v>
      </c>
      <c r="D2073" s="85" t="s">
        <v>71</v>
      </c>
      <c r="E2073" s="85">
        <v>29</v>
      </c>
      <c r="F2073" s="85">
        <v>4</v>
      </c>
      <c r="G2073" s="85">
        <f>--(F2073&lt;=Estimator!$B$7)</f>
        <v>1</v>
      </c>
      <c r="H2073" s="86">
        <f>SUMIFS('Climate Data'!$G$7:$G$366,'Climate Data'!$A$7:$A$366,Estimator!$B$4,'Climate Data'!$B$7:$B$366,C2073)</f>
        <v>0.23548387096774193</v>
      </c>
      <c r="I2073" s="87">
        <f>SUMIFS('Climate Data'!$H$7:$H$366,'Climate Data'!$A$7:$A$366,Estimator!$B$4,'Climate Data'!$B$7:$B$366,C2073)</f>
        <v>7.9589041095890414</v>
      </c>
      <c r="J2073" s="86">
        <f>SUMIFS('Wind Proxy'!$H$8:$H$19,'Wind Proxy'!$A$8:$A$19,Estimator!$B$4,'Wind Proxy'!$B$8:$B$19,C2073)</f>
        <v>0</v>
      </c>
    </row>
    <row r="2074" spans="1:10" ht="14.4">
      <c r="A2074" s="84">
        <v>47725</v>
      </c>
      <c r="B2074" s="85">
        <v>2030</v>
      </c>
      <c r="C2074" s="85">
        <v>8</v>
      </c>
      <c r="D2074" s="85" t="s">
        <v>71</v>
      </c>
      <c r="E2074" s="85">
        <v>30</v>
      </c>
      <c r="F2074" s="85">
        <v>5</v>
      </c>
      <c r="G2074" s="85">
        <f>--(F2074&lt;=Estimator!$B$7)</f>
        <v>1</v>
      </c>
      <c r="H2074" s="86">
        <f>SUMIFS('Climate Data'!$G$7:$G$366,'Climate Data'!$A$7:$A$366,Estimator!$B$4,'Climate Data'!$B$7:$B$366,C2074)</f>
        <v>0.23548387096774193</v>
      </c>
      <c r="I2074" s="87">
        <f>SUMIFS('Climate Data'!$H$7:$H$366,'Climate Data'!$A$7:$A$366,Estimator!$B$4,'Climate Data'!$B$7:$B$366,C2074)</f>
        <v>7.9589041095890414</v>
      </c>
      <c r="J2074" s="86">
        <f>SUMIFS('Wind Proxy'!$H$8:$H$19,'Wind Proxy'!$A$8:$A$19,Estimator!$B$4,'Wind Proxy'!$B$8:$B$19,C2074)</f>
        <v>0</v>
      </c>
    </row>
    <row r="2075" spans="1:10" ht="14.4">
      <c r="A2075" s="84">
        <v>47726</v>
      </c>
      <c r="B2075" s="85">
        <v>2030</v>
      </c>
      <c r="C2075" s="85">
        <v>8</v>
      </c>
      <c r="D2075" s="85" t="s">
        <v>71</v>
      </c>
      <c r="E2075" s="85">
        <v>31</v>
      </c>
      <c r="F2075" s="85">
        <v>6</v>
      </c>
      <c r="G2075" s="85">
        <f>--(F2075&lt;=Estimator!$B$7)</f>
        <v>0</v>
      </c>
      <c r="H2075" s="86">
        <f>SUMIFS('Climate Data'!$G$7:$G$366,'Climate Data'!$A$7:$A$366,Estimator!$B$4,'Climate Data'!$B$7:$B$366,C2075)</f>
        <v>0.23548387096774193</v>
      </c>
      <c r="I2075" s="87">
        <f>SUMIFS('Climate Data'!$H$7:$H$366,'Climate Data'!$A$7:$A$366,Estimator!$B$4,'Climate Data'!$B$7:$B$366,C2075)</f>
        <v>7.9589041095890414</v>
      </c>
      <c r="J2075" s="86">
        <f>SUMIFS('Wind Proxy'!$H$8:$H$19,'Wind Proxy'!$A$8:$A$19,Estimator!$B$4,'Wind Proxy'!$B$8:$B$19,C2075)</f>
        <v>0</v>
      </c>
    </row>
    <row r="2076" spans="1:10" ht="14.4">
      <c r="A2076" s="84">
        <v>47727</v>
      </c>
      <c r="B2076" s="85">
        <v>2030</v>
      </c>
      <c r="C2076" s="85">
        <v>9</v>
      </c>
      <c r="D2076" s="85" t="s">
        <v>73</v>
      </c>
      <c r="E2076" s="85">
        <v>1</v>
      </c>
      <c r="F2076" s="85">
        <v>7</v>
      </c>
      <c r="G2076" s="85">
        <f>--(F2076&lt;=Estimator!$B$7)</f>
        <v>0</v>
      </c>
      <c r="H2076" s="86">
        <f>SUMIFS('Climate Data'!$G$7:$G$366,'Climate Data'!$A$7:$A$366,Estimator!$B$4,'Climate Data'!$B$7:$B$366,C2076)</f>
        <v>0.20666666666666667</v>
      </c>
      <c r="I2076" s="87">
        <f>SUMIFS('Climate Data'!$H$7:$H$366,'Climate Data'!$A$7:$A$366,Estimator!$B$4,'Climate Data'!$B$7:$B$366,C2076)</f>
        <v>6.806451612903226</v>
      </c>
      <c r="J2076" s="86">
        <f>SUMIFS('Wind Proxy'!$H$8:$H$19,'Wind Proxy'!$A$8:$A$19,Estimator!$B$4,'Wind Proxy'!$B$8:$B$19,C2076)</f>
        <v>0</v>
      </c>
    </row>
    <row r="2077" spans="1:10" ht="14.4">
      <c r="A2077" s="84">
        <v>47728</v>
      </c>
      <c r="B2077" s="85">
        <v>2030</v>
      </c>
      <c r="C2077" s="85">
        <v>9</v>
      </c>
      <c r="D2077" s="85" t="s">
        <v>73</v>
      </c>
      <c r="E2077" s="85">
        <v>2</v>
      </c>
      <c r="F2077" s="85">
        <v>1</v>
      </c>
      <c r="G2077" s="85">
        <f>--(F2077&lt;=Estimator!$B$7)</f>
        <v>1</v>
      </c>
      <c r="H2077" s="86">
        <f>SUMIFS('Climate Data'!$G$7:$G$366,'Climate Data'!$A$7:$A$366,Estimator!$B$4,'Climate Data'!$B$7:$B$366,C2077)</f>
        <v>0.20666666666666667</v>
      </c>
      <c r="I2077" s="87">
        <f>SUMIFS('Climate Data'!$H$7:$H$366,'Climate Data'!$A$7:$A$366,Estimator!$B$4,'Climate Data'!$B$7:$B$366,C2077)</f>
        <v>6.806451612903226</v>
      </c>
      <c r="J2077" s="86">
        <f>SUMIFS('Wind Proxy'!$H$8:$H$19,'Wind Proxy'!$A$8:$A$19,Estimator!$B$4,'Wind Proxy'!$B$8:$B$19,C2077)</f>
        <v>0</v>
      </c>
    </row>
    <row r="2078" spans="1:10" ht="14.4">
      <c r="A2078" s="84">
        <v>47729</v>
      </c>
      <c r="B2078" s="85">
        <v>2030</v>
      </c>
      <c r="C2078" s="85">
        <v>9</v>
      </c>
      <c r="D2078" s="85" t="s">
        <v>73</v>
      </c>
      <c r="E2078" s="85">
        <v>3</v>
      </c>
      <c r="F2078" s="85">
        <v>2</v>
      </c>
      <c r="G2078" s="85">
        <f>--(F2078&lt;=Estimator!$B$7)</f>
        <v>1</v>
      </c>
      <c r="H2078" s="86">
        <f>SUMIFS('Climate Data'!$G$7:$G$366,'Climate Data'!$A$7:$A$366,Estimator!$B$4,'Climate Data'!$B$7:$B$366,C2078)</f>
        <v>0.20666666666666667</v>
      </c>
      <c r="I2078" s="87">
        <f>SUMIFS('Climate Data'!$H$7:$H$366,'Climate Data'!$A$7:$A$366,Estimator!$B$4,'Climate Data'!$B$7:$B$366,C2078)</f>
        <v>6.806451612903226</v>
      </c>
      <c r="J2078" s="86">
        <f>SUMIFS('Wind Proxy'!$H$8:$H$19,'Wind Proxy'!$A$8:$A$19,Estimator!$B$4,'Wind Proxy'!$B$8:$B$19,C2078)</f>
        <v>0</v>
      </c>
    </row>
    <row r="2079" spans="1:10" ht="14.4">
      <c r="A2079" s="84">
        <v>47730</v>
      </c>
      <c r="B2079" s="85">
        <v>2030</v>
      </c>
      <c r="C2079" s="85">
        <v>9</v>
      </c>
      <c r="D2079" s="85" t="s">
        <v>73</v>
      </c>
      <c r="E2079" s="85">
        <v>4</v>
      </c>
      <c r="F2079" s="85">
        <v>3</v>
      </c>
      <c r="G2079" s="85">
        <f>--(F2079&lt;=Estimator!$B$7)</f>
        <v>1</v>
      </c>
      <c r="H2079" s="86">
        <f>SUMIFS('Climate Data'!$G$7:$G$366,'Climate Data'!$A$7:$A$366,Estimator!$B$4,'Climate Data'!$B$7:$B$366,C2079)</f>
        <v>0.20666666666666667</v>
      </c>
      <c r="I2079" s="87">
        <f>SUMIFS('Climate Data'!$H$7:$H$366,'Climate Data'!$A$7:$A$366,Estimator!$B$4,'Climate Data'!$B$7:$B$366,C2079)</f>
        <v>6.806451612903226</v>
      </c>
      <c r="J2079" s="86">
        <f>SUMIFS('Wind Proxy'!$H$8:$H$19,'Wind Proxy'!$A$8:$A$19,Estimator!$B$4,'Wind Proxy'!$B$8:$B$19,C2079)</f>
        <v>0</v>
      </c>
    </row>
    <row r="2080" spans="1:10" ht="14.4">
      <c r="A2080" s="84">
        <v>47731</v>
      </c>
      <c r="B2080" s="85">
        <v>2030</v>
      </c>
      <c r="C2080" s="85">
        <v>9</v>
      </c>
      <c r="D2080" s="85" t="s">
        <v>73</v>
      </c>
      <c r="E2080" s="85">
        <v>5</v>
      </c>
      <c r="F2080" s="85">
        <v>4</v>
      </c>
      <c r="G2080" s="85">
        <f>--(F2080&lt;=Estimator!$B$7)</f>
        <v>1</v>
      </c>
      <c r="H2080" s="86">
        <f>SUMIFS('Climate Data'!$G$7:$G$366,'Climate Data'!$A$7:$A$366,Estimator!$B$4,'Climate Data'!$B$7:$B$366,C2080)</f>
        <v>0.20666666666666667</v>
      </c>
      <c r="I2080" s="87">
        <f>SUMIFS('Climate Data'!$H$7:$H$366,'Climate Data'!$A$7:$A$366,Estimator!$B$4,'Climate Data'!$B$7:$B$366,C2080)</f>
        <v>6.806451612903226</v>
      </c>
      <c r="J2080" s="86">
        <f>SUMIFS('Wind Proxy'!$H$8:$H$19,'Wind Proxy'!$A$8:$A$19,Estimator!$B$4,'Wind Proxy'!$B$8:$B$19,C2080)</f>
        <v>0</v>
      </c>
    </row>
    <row r="2081" spans="1:10" ht="14.4">
      <c r="A2081" s="84">
        <v>47732</v>
      </c>
      <c r="B2081" s="85">
        <v>2030</v>
      </c>
      <c r="C2081" s="85">
        <v>9</v>
      </c>
      <c r="D2081" s="85" t="s">
        <v>73</v>
      </c>
      <c r="E2081" s="85">
        <v>6</v>
      </c>
      <c r="F2081" s="85">
        <v>5</v>
      </c>
      <c r="G2081" s="85">
        <f>--(F2081&lt;=Estimator!$B$7)</f>
        <v>1</v>
      </c>
      <c r="H2081" s="86">
        <f>SUMIFS('Climate Data'!$G$7:$G$366,'Climate Data'!$A$7:$A$366,Estimator!$B$4,'Climate Data'!$B$7:$B$366,C2081)</f>
        <v>0.20666666666666667</v>
      </c>
      <c r="I2081" s="87">
        <f>SUMIFS('Climate Data'!$H$7:$H$366,'Climate Data'!$A$7:$A$366,Estimator!$B$4,'Climate Data'!$B$7:$B$366,C2081)</f>
        <v>6.806451612903226</v>
      </c>
      <c r="J2081" s="86">
        <f>SUMIFS('Wind Proxy'!$H$8:$H$19,'Wind Proxy'!$A$8:$A$19,Estimator!$B$4,'Wind Proxy'!$B$8:$B$19,C2081)</f>
        <v>0</v>
      </c>
    </row>
    <row r="2082" spans="1:10" ht="14.4">
      <c r="A2082" s="84">
        <v>47733</v>
      </c>
      <c r="B2082" s="85">
        <v>2030</v>
      </c>
      <c r="C2082" s="85">
        <v>9</v>
      </c>
      <c r="D2082" s="85" t="s">
        <v>73</v>
      </c>
      <c r="E2082" s="85">
        <v>7</v>
      </c>
      <c r="F2082" s="85">
        <v>6</v>
      </c>
      <c r="G2082" s="85">
        <f>--(F2082&lt;=Estimator!$B$7)</f>
        <v>0</v>
      </c>
      <c r="H2082" s="86">
        <f>SUMIFS('Climate Data'!$G$7:$G$366,'Climate Data'!$A$7:$A$366,Estimator!$B$4,'Climate Data'!$B$7:$B$366,C2082)</f>
        <v>0.20666666666666667</v>
      </c>
      <c r="I2082" s="87">
        <f>SUMIFS('Climate Data'!$H$7:$H$366,'Climate Data'!$A$7:$A$366,Estimator!$B$4,'Climate Data'!$B$7:$B$366,C2082)</f>
        <v>6.806451612903226</v>
      </c>
      <c r="J2082" s="86">
        <f>SUMIFS('Wind Proxy'!$H$8:$H$19,'Wind Proxy'!$A$8:$A$19,Estimator!$B$4,'Wind Proxy'!$B$8:$B$19,C2082)</f>
        <v>0</v>
      </c>
    </row>
    <row r="2083" spans="1:10" ht="14.4">
      <c r="A2083" s="84">
        <v>47734</v>
      </c>
      <c r="B2083" s="85">
        <v>2030</v>
      </c>
      <c r="C2083" s="85">
        <v>9</v>
      </c>
      <c r="D2083" s="85" t="s">
        <v>73</v>
      </c>
      <c r="E2083" s="85">
        <v>8</v>
      </c>
      <c r="F2083" s="85">
        <v>7</v>
      </c>
      <c r="G2083" s="85">
        <f>--(F2083&lt;=Estimator!$B$7)</f>
        <v>0</v>
      </c>
      <c r="H2083" s="86">
        <f>SUMIFS('Climate Data'!$G$7:$G$366,'Climate Data'!$A$7:$A$366,Estimator!$B$4,'Climate Data'!$B$7:$B$366,C2083)</f>
        <v>0.20666666666666667</v>
      </c>
      <c r="I2083" s="87">
        <f>SUMIFS('Climate Data'!$H$7:$H$366,'Climate Data'!$A$7:$A$366,Estimator!$B$4,'Climate Data'!$B$7:$B$366,C2083)</f>
        <v>6.806451612903226</v>
      </c>
      <c r="J2083" s="86">
        <f>SUMIFS('Wind Proxy'!$H$8:$H$19,'Wind Proxy'!$A$8:$A$19,Estimator!$B$4,'Wind Proxy'!$B$8:$B$19,C2083)</f>
        <v>0</v>
      </c>
    </row>
    <row r="2084" spans="1:10" ht="14.4">
      <c r="A2084" s="84">
        <v>47735</v>
      </c>
      <c r="B2084" s="85">
        <v>2030</v>
      </c>
      <c r="C2084" s="85">
        <v>9</v>
      </c>
      <c r="D2084" s="85" t="s">
        <v>73</v>
      </c>
      <c r="E2084" s="85">
        <v>9</v>
      </c>
      <c r="F2084" s="85">
        <v>1</v>
      </c>
      <c r="G2084" s="85">
        <f>--(F2084&lt;=Estimator!$B$7)</f>
        <v>1</v>
      </c>
      <c r="H2084" s="86">
        <f>SUMIFS('Climate Data'!$G$7:$G$366,'Climate Data'!$A$7:$A$366,Estimator!$B$4,'Climate Data'!$B$7:$B$366,C2084)</f>
        <v>0.20666666666666667</v>
      </c>
      <c r="I2084" s="87">
        <f>SUMIFS('Climate Data'!$H$7:$H$366,'Climate Data'!$A$7:$A$366,Estimator!$B$4,'Climate Data'!$B$7:$B$366,C2084)</f>
        <v>6.806451612903226</v>
      </c>
      <c r="J2084" s="86">
        <f>SUMIFS('Wind Proxy'!$H$8:$H$19,'Wind Proxy'!$A$8:$A$19,Estimator!$B$4,'Wind Proxy'!$B$8:$B$19,C2084)</f>
        <v>0</v>
      </c>
    </row>
    <row r="2085" spans="1:10" ht="14.4">
      <c r="A2085" s="84">
        <v>47736</v>
      </c>
      <c r="B2085" s="85">
        <v>2030</v>
      </c>
      <c r="C2085" s="85">
        <v>9</v>
      </c>
      <c r="D2085" s="85" t="s">
        <v>73</v>
      </c>
      <c r="E2085" s="85">
        <v>10</v>
      </c>
      <c r="F2085" s="85">
        <v>2</v>
      </c>
      <c r="G2085" s="85">
        <f>--(F2085&lt;=Estimator!$B$7)</f>
        <v>1</v>
      </c>
      <c r="H2085" s="86">
        <f>SUMIFS('Climate Data'!$G$7:$G$366,'Climate Data'!$A$7:$A$366,Estimator!$B$4,'Climate Data'!$B$7:$B$366,C2085)</f>
        <v>0.20666666666666667</v>
      </c>
      <c r="I2085" s="87">
        <f>SUMIFS('Climate Data'!$H$7:$H$366,'Climate Data'!$A$7:$A$366,Estimator!$B$4,'Climate Data'!$B$7:$B$366,C2085)</f>
        <v>6.806451612903226</v>
      </c>
      <c r="J2085" s="86">
        <f>SUMIFS('Wind Proxy'!$H$8:$H$19,'Wind Proxy'!$A$8:$A$19,Estimator!$B$4,'Wind Proxy'!$B$8:$B$19,C2085)</f>
        <v>0</v>
      </c>
    </row>
    <row r="2086" spans="1:10" ht="14.4">
      <c r="A2086" s="84">
        <v>47737</v>
      </c>
      <c r="B2086" s="85">
        <v>2030</v>
      </c>
      <c r="C2086" s="85">
        <v>9</v>
      </c>
      <c r="D2086" s="85" t="s">
        <v>73</v>
      </c>
      <c r="E2086" s="85">
        <v>11</v>
      </c>
      <c r="F2086" s="85">
        <v>3</v>
      </c>
      <c r="G2086" s="85">
        <f>--(F2086&lt;=Estimator!$B$7)</f>
        <v>1</v>
      </c>
      <c r="H2086" s="86">
        <f>SUMIFS('Climate Data'!$G$7:$G$366,'Climate Data'!$A$7:$A$366,Estimator!$B$4,'Climate Data'!$B$7:$B$366,C2086)</f>
        <v>0.20666666666666667</v>
      </c>
      <c r="I2086" s="87">
        <f>SUMIFS('Climate Data'!$H$7:$H$366,'Climate Data'!$A$7:$A$366,Estimator!$B$4,'Climate Data'!$B$7:$B$366,C2086)</f>
        <v>6.806451612903226</v>
      </c>
      <c r="J2086" s="86">
        <f>SUMIFS('Wind Proxy'!$H$8:$H$19,'Wind Proxy'!$A$8:$A$19,Estimator!$B$4,'Wind Proxy'!$B$8:$B$19,C2086)</f>
        <v>0</v>
      </c>
    </row>
    <row r="2087" spans="1:10" ht="14.4">
      <c r="A2087" s="84">
        <v>47738</v>
      </c>
      <c r="B2087" s="85">
        <v>2030</v>
      </c>
      <c r="C2087" s="85">
        <v>9</v>
      </c>
      <c r="D2087" s="85" t="s">
        <v>73</v>
      </c>
      <c r="E2087" s="85">
        <v>12</v>
      </c>
      <c r="F2087" s="85">
        <v>4</v>
      </c>
      <c r="G2087" s="85">
        <f>--(F2087&lt;=Estimator!$B$7)</f>
        <v>1</v>
      </c>
      <c r="H2087" s="86">
        <f>SUMIFS('Climate Data'!$G$7:$G$366,'Climate Data'!$A$7:$A$366,Estimator!$B$4,'Climate Data'!$B$7:$B$366,C2087)</f>
        <v>0.20666666666666667</v>
      </c>
      <c r="I2087" s="87">
        <f>SUMIFS('Climate Data'!$H$7:$H$366,'Climate Data'!$A$7:$A$366,Estimator!$B$4,'Climate Data'!$B$7:$B$366,C2087)</f>
        <v>6.806451612903226</v>
      </c>
      <c r="J2087" s="86">
        <f>SUMIFS('Wind Proxy'!$H$8:$H$19,'Wind Proxy'!$A$8:$A$19,Estimator!$B$4,'Wind Proxy'!$B$8:$B$19,C2087)</f>
        <v>0</v>
      </c>
    </row>
    <row r="2088" spans="1:10" ht="14.4">
      <c r="A2088" s="84">
        <v>47739</v>
      </c>
      <c r="B2088" s="85">
        <v>2030</v>
      </c>
      <c r="C2088" s="85">
        <v>9</v>
      </c>
      <c r="D2088" s="85" t="s">
        <v>73</v>
      </c>
      <c r="E2088" s="85">
        <v>13</v>
      </c>
      <c r="F2088" s="85">
        <v>5</v>
      </c>
      <c r="G2088" s="85">
        <f>--(F2088&lt;=Estimator!$B$7)</f>
        <v>1</v>
      </c>
      <c r="H2088" s="86">
        <f>SUMIFS('Climate Data'!$G$7:$G$366,'Climate Data'!$A$7:$A$366,Estimator!$B$4,'Climate Data'!$B$7:$B$366,C2088)</f>
        <v>0.20666666666666667</v>
      </c>
      <c r="I2088" s="87">
        <f>SUMIFS('Climate Data'!$H$7:$H$366,'Climate Data'!$A$7:$A$366,Estimator!$B$4,'Climate Data'!$B$7:$B$366,C2088)</f>
        <v>6.806451612903226</v>
      </c>
      <c r="J2088" s="86">
        <f>SUMIFS('Wind Proxy'!$H$8:$H$19,'Wind Proxy'!$A$8:$A$19,Estimator!$B$4,'Wind Proxy'!$B$8:$B$19,C2088)</f>
        <v>0</v>
      </c>
    </row>
    <row r="2089" spans="1:10" ht="14.4">
      <c r="A2089" s="84">
        <v>47740</v>
      </c>
      <c r="B2089" s="85">
        <v>2030</v>
      </c>
      <c r="C2089" s="85">
        <v>9</v>
      </c>
      <c r="D2089" s="85" t="s">
        <v>73</v>
      </c>
      <c r="E2089" s="85">
        <v>14</v>
      </c>
      <c r="F2089" s="85">
        <v>6</v>
      </c>
      <c r="G2089" s="85">
        <f>--(F2089&lt;=Estimator!$B$7)</f>
        <v>0</v>
      </c>
      <c r="H2089" s="86">
        <f>SUMIFS('Climate Data'!$G$7:$G$366,'Climate Data'!$A$7:$A$366,Estimator!$B$4,'Climate Data'!$B$7:$B$366,C2089)</f>
        <v>0.20666666666666667</v>
      </c>
      <c r="I2089" s="87">
        <f>SUMIFS('Climate Data'!$H$7:$H$366,'Climate Data'!$A$7:$A$366,Estimator!$B$4,'Climate Data'!$B$7:$B$366,C2089)</f>
        <v>6.806451612903226</v>
      </c>
      <c r="J2089" s="86">
        <f>SUMIFS('Wind Proxy'!$H$8:$H$19,'Wind Proxy'!$A$8:$A$19,Estimator!$B$4,'Wind Proxy'!$B$8:$B$19,C2089)</f>
        <v>0</v>
      </c>
    </row>
    <row r="2090" spans="1:10" ht="14.4">
      <c r="A2090" s="84">
        <v>47741</v>
      </c>
      <c r="B2090" s="85">
        <v>2030</v>
      </c>
      <c r="C2090" s="85">
        <v>9</v>
      </c>
      <c r="D2090" s="85" t="s">
        <v>73</v>
      </c>
      <c r="E2090" s="85">
        <v>15</v>
      </c>
      <c r="F2090" s="85">
        <v>7</v>
      </c>
      <c r="G2090" s="85">
        <f>--(F2090&lt;=Estimator!$B$7)</f>
        <v>0</v>
      </c>
      <c r="H2090" s="86">
        <f>SUMIFS('Climate Data'!$G$7:$G$366,'Climate Data'!$A$7:$A$366,Estimator!$B$4,'Climate Data'!$B$7:$B$366,C2090)</f>
        <v>0.20666666666666667</v>
      </c>
      <c r="I2090" s="87">
        <f>SUMIFS('Climate Data'!$H$7:$H$366,'Climate Data'!$A$7:$A$366,Estimator!$B$4,'Climate Data'!$B$7:$B$366,C2090)</f>
        <v>6.806451612903226</v>
      </c>
      <c r="J2090" s="86">
        <f>SUMIFS('Wind Proxy'!$H$8:$H$19,'Wind Proxy'!$A$8:$A$19,Estimator!$B$4,'Wind Proxy'!$B$8:$B$19,C2090)</f>
        <v>0</v>
      </c>
    </row>
    <row r="2091" spans="1:10" ht="14.4">
      <c r="A2091" s="84">
        <v>47742</v>
      </c>
      <c r="B2091" s="85">
        <v>2030</v>
      </c>
      <c r="C2091" s="85">
        <v>9</v>
      </c>
      <c r="D2091" s="85" t="s">
        <v>73</v>
      </c>
      <c r="E2091" s="85">
        <v>16</v>
      </c>
      <c r="F2091" s="85">
        <v>1</v>
      </c>
      <c r="G2091" s="85">
        <f>--(F2091&lt;=Estimator!$B$7)</f>
        <v>1</v>
      </c>
      <c r="H2091" s="86">
        <f>SUMIFS('Climate Data'!$G$7:$G$366,'Climate Data'!$A$7:$A$366,Estimator!$B$4,'Climate Data'!$B$7:$B$366,C2091)</f>
        <v>0.20666666666666667</v>
      </c>
      <c r="I2091" s="87">
        <f>SUMIFS('Climate Data'!$H$7:$H$366,'Climate Data'!$A$7:$A$366,Estimator!$B$4,'Climate Data'!$B$7:$B$366,C2091)</f>
        <v>6.806451612903226</v>
      </c>
      <c r="J2091" s="86">
        <f>SUMIFS('Wind Proxy'!$H$8:$H$19,'Wind Proxy'!$A$8:$A$19,Estimator!$B$4,'Wind Proxy'!$B$8:$B$19,C2091)</f>
        <v>0</v>
      </c>
    </row>
    <row r="2092" spans="1:10" ht="14.4">
      <c r="A2092" s="84">
        <v>47743</v>
      </c>
      <c r="B2092" s="85">
        <v>2030</v>
      </c>
      <c r="C2092" s="85">
        <v>9</v>
      </c>
      <c r="D2092" s="85" t="s">
        <v>73</v>
      </c>
      <c r="E2092" s="85">
        <v>17</v>
      </c>
      <c r="F2092" s="85">
        <v>2</v>
      </c>
      <c r="G2092" s="85">
        <f>--(F2092&lt;=Estimator!$B$7)</f>
        <v>1</v>
      </c>
      <c r="H2092" s="86">
        <f>SUMIFS('Climate Data'!$G$7:$G$366,'Climate Data'!$A$7:$A$366,Estimator!$B$4,'Climate Data'!$B$7:$B$366,C2092)</f>
        <v>0.20666666666666667</v>
      </c>
      <c r="I2092" s="87">
        <f>SUMIFS('Climate Data'!$H$7:$H$366,'Climate Data'!$A$7:$A$366,Estimator!$B$4,'Climate Data'!$B$7:$B$366,C2092)</f>
        <v>6.806451612903226</v>
      </c>
      <c r="J2092" s="86">
        <f>SUMIFS('Wind Proxy'!$H$8:$H$19,'Wind Proxy'!$A$8:$A$19,Estimator!$B$4,'Wind Proxy'!$B$8:$B$19,C2092)</f>
        <v>0</v>
      </c>
    </row>
    <row r="2093" spans="1:10" ht="14.4">
      <c r="A2093" s="84">
        <v>47744</v>
      </c>
      <c r="B2093" s="85">
        <v>2030</v>
      </c>
      <c r="C2093" s="85">
        <v>9</v>
      </c>
      <c r="D2093" s="85" t="s">
        <v>73</v>
      </c>
      <c r="E2093" s="85">
        <v>18</v>
      </c>
      <c r="F2093" s="85">
        <v>3</v>
      </c>
      <c r="G2093" s="85">
        <f>--(F2093&lt;=Estimator!$B$7)</f>
        <v>1</v>
      </c>
      <c r="H2093" s="86">
        <f>SUMIFS('Climate Data'!$G$7:$G$366,'Climate Data'!$A$7:$A$366,Estimator!$B$4,'Climate Data'!$B$7:$B$366,C2093)</f>
        <v>0.20666666666666667</v>
      </c>
      <c r="I2093" s="87">
        <f>SUMIFS('Climate Data'!$H$7:$H$366,'Climate Data'!$A$7:$A$366,Estimator!$B$4,'Climate Data'!$B$7:$B$366,C2093)</f>
        <v>6.806451612903226</v>
      </c>
      <c r="J2093" s="86">
        <f>SUMIFS('Wind Proxy'!$H$8:$H$19,'Wind Proxy'!$A$8:$A$19,Estimator!$B$4,'Wind Proxy'!$B$8:$B$19,C2093)</f>
        <v>0</v>
      </c>
    </row>
    <row r="2094" spans="1:10" ht="14.4">
      <c r="A2094" s="84">
        <v>47745</v>
      </c>
      <c r="B2094" s="85">
        <v>2030</v>
      </c>
      <c r="C2094" s="85">
        <v>9</v>
      </c>
      <c r="D2094" s="85" t="s">
        <v>73</v>
      </c>
      <c r="E2094" s="85">
        <v>19</v>
      </c>
      <c r="F2094" s="85">
        <v>4</v>
      </c>
      <c r="G2094" s="85">
        <f>--(F2094&lt;=Estimator!$B$7)</f>
        <v>1</v>
      </c>
      <c r="H2094" s="86">
        <f>SUMIFS('Climate Data'!$G$7:$G$366,'Climate Data'!$A$7:$A$366,Estimator!$B$4,'Climate Data'!$B$7:$B$366,C2094)</f>
        <v>0.20666666666666667</v>
      </c>
      <c r="I2094" s="87">
        <f>SUMIFS('Climate Data'!$H$7:$H$366,'Climate Data'!$A$7:$A$366,Estimator!$B$4,'Climate Data'!$B$7:$B$366,C2094)</f>
        <v>6.806451612903226</v>
      </c>
      <c r="J2094" s="86">
        <f>SUMIFS('Wind Proxy'!$H$8:$H$19,'Wind Proxy'!$A$8:$A$19,Estimator!$B$4,'Wind Proxy'!$B$8:$B$19,C2094)</f>
        <v>0</v>
      </c>
    </row>
    <row r="2095" spans="1:10" ht="14.4">
      <c r="A2095" s="84">
        <v>47746</v>
      </c>
      <c r="B2095" s="85">
        <v>2030</v>
      </c>
      <c r="C2095" s="85">
        <v>9</v>
      </c>
      <c r="D2095" s="85" t="s">
        <v>73</v>
      </c>
      <c r="E2095" s="85">
        <v>20</v>
      </c>
      <c r="F2095" s="85">
        <v>5</v>
      </c>
      <c r="G2095" s="85">
        <f>--(F2095&lt;=Estimator!$B$7)</f>
        <v>1</v>
      </c>
      <c r="H2095" s="86">
        <f>SUMIFS('Climate Data'!$G$7:$G$366,'Climate Data'!$A$7:$A$366,Estimator!$B$4,'Climate Data'!$B$7:$B$366,C2095)</f>
        <v>0.20666666666666667</v>
      </c>
      <c r="I2095" s="87">
        <f>SUMIFS('Climate Data'!$H$7:$H$366,'Climate Data'!$A$7:$A$366,Estimator!$B$4,'Climate Data'!$B$7:$B$366,C2095)</f>
        <v>6.806451612903226</v>
      </c>
      <c r="J2095" s="86">
        <f>SUMIFS('Wind Proxy'!$H$8:$H$19,'Wind Proxy'!$A$8:$A$19,Estimator!$B$4,'Wind Proxy'!$B$8:$B$19,C2095)</f>
        <v>0</v>
      </c>
    </row>
    <row r="2096" spans="1:10" ht="14.4">
      <c r="A2096" s="84">
        <v>47747</v>
      </c>
      <c r="B2096" s="85">
        <v>2030</v>
      </c>
      <c r="C2096" s="85">
        <v>9</v>
      </c>
      <c r="D2096" s="85" t="s">
        <v>73</v>
      </c>
      <c r="E2096" s="85">
        <v>21</v>
      </c>
      <c r="F2096" s="85">
        <v>6</v>
      </c>
      <c r="G2096" s="85">
        <f>--(F2096&lt;=Estimator!$B$7)</f>
        <v>0</v>
      </c>
      <c r="H2096" s="86">
        <f>SUMIFS('Climate Data'!$G$7:$G$366,'Climate Data'!$A$7:$A$366,Estimator!$B$4,'Climate Data'!$B$7:$B$366,C2096)</f>
        <v>0.20666666666666667</v>
      </c>
      <c r="I2096" s="87">
        <f>SUMIFS('Climate Data'!$H$7:$H$366,'Climate Data'!$A$7:$A$366,Estimator!$B$4,'Climate Data'!$B$7:$B$366,C2096)</f>
        <v>6.806451612903226</v>
      </c>
      <c r="J2096" s="86">
        <f>SUMIFS('Wind Proxy'!$H$8:$H$19,'Wind Proxy'!$A$8:$A$19,Estimator!$B$4,'Wind Proxy'!$B$8:$B$19,C2096)</f>
        <v>0</v>
      </c>
    </row>
    <row r="2097" spans="1:10" ht="14.4">
      <c r="A2097" s="84">
        <v>47748</v>
      </c>
      <c r="B2097" s="85">
        <v>2030</v>
      </c>
      <c r="C2097" s="85">
        <v>9</v>
      </c>
      <c r="D2097" s="85" t="s">
        <v>73</v>
      </c>
      <c r="E2097" s="85">
        <v>22</v>
      </c>
      <c r="F2097" s="85">
        <v>7</v>
      </c>
      <c r="G2097" s="85">
        <f>--(F2097&lt;=Estimator!$B$7)</f>
        <v>0</v>
      </c>
      <c r="H2097" s="86">
        <f>SUMIFS('Climate Data'!$G$7:$G$366,'Climate Data'!$A$7:$A$366,Estimator!$B$4,'Climate Data'!$B$7:$B$366,C2097)</f>
        <v>0.20666666666666667</v>
      </c>
      <c r="I2097" s="87">
        <f>SUMIFS('Climate Data'!$H$7:$H$366,'Climate Data'!$A$7:$A$366,Estimator!$B$4,'Climate Data'!$B$7:$B$366,C2097)</f>
        <v>6.806451612903226</v>
      </c>
      <c r="J2097" s="86">
        <f>SUMIFS('Wind Proxy'!$H$8:$H$19,'Wind Proxy'!$A$8:$A$19,Estimator!$B$4,'Wind Proxy'!$B$8:$B$19,C2097)</f>
        <v>0</v>
      </c>
    </row>
    <row r="2098" spans="1:10" ht="14.4">
      <c r="A2098" s="84">
        <v>47749</v>
      </c>
      <c r="B2098" s="85">
        <v>2030</v>
      </c>
      <c r="C2098" s="85">
        <v>9</v>
      </c>
      <c r="D2098" s="85" t="s">
        <v>73</v>
      </c>
      <c r="E2098" s="85">
        <v>23</v>
      </c>
      <c r="F2098" s="85">
        <v>1</v>
      </c>
      <c r="G2098" s="85">
        <f>--(F2098&lt;=Estimator!$B$7)</f>
        <v>1</v>
      </c>
      <c r="H2098" s="86">
        <f>SUMIFS('Climate Data'!$G$7:$G$366,'Climate Data'!$A$7:$A$366,Estimator!$B$4,'Climate Data'!$B$7:$B$366,C2098)</f>
        <v>0.20666666666666667</v>
      </c>
      <c r="I2098" s="87">
        <f>SUMIFS('Climate Data'!$H$7:$H$366,'Climate Data'!$A$7:$A$366,Estimator!$B$4,'Climate Data'!$B$7:$B$366,C2098)</f>
        <v>6.806451612903226</v>
      </c>
      <c r="J2098" s="86">
        <f>SUMIFS('Wind Proxy'!$H$8:$H$19,'Wind Proxy'!$A$8:$A$19,Estimator!$B$4,'Wind Proxy'!$B$8:$B$19,C2098)</f>
        <v>0</v>
      </c>
    </row>
    <row r="2099" spans="1:10" ht="14.4">
      <c r="A2099" s="84">
        <v>47750</v>
      </c>
      <c r="B2099" s="85">
        <v>2030</v>
      </c>
      <c r="C2099" s="85">
        <v>9</v>
      </c>
      <c r="D2099" s="85" t="s">
        <v>73</v>
      </c>
      <c r="E2099" s="85">
        <v>24</v>
      </c>
      <c r="F2099" s="85">
        <v>2</v>
      </c>
      <c r="G2099" s="85">
        <f>--(F2099&lt;=Estimator!$B$7)</f>
        <v>1</v>
      </c>
      <c r="H2099" s="86">
        <f>SUMIFS('Climate Data'!$G$7:$G$366,'Climate Data'!$A$7:$A$366,Estimator!$B$4,'Climate Data'!$B$7:$B$366,C2099)</f>
        <v>0.20666666666666667</v>
      </c>
      <c r="I2099" s="87">
        <f>SUMIFS('Climate Data'!$H$7:$H$366,'Climate Data'!$A$7:$A$366,Estimator!$B$4,'Climate Data'!$B$7:$B$366,C2099)</f>
        <v>6.806451612903226</v>
      </c>
      <c r="J2099" s="86">
        <f>SUMIFS('Wind Proxy'!$H$8:$H$19,'Wind Proxy'!$A$8:$A$19,Estimator!$B$4,'Wind Proxy'!$B$8:$B$19,C2099)</f>
        <v>0</v>
      </c>
    </row>
    <row r="2100" spans="1:10" ht="14.4">
      <c r="A2100" s="84">
        <v>47751</v>
      </c>
      <c r="B2100" s="85">
        <v>2030</v>
      </c>
      <c r="C2100" s="85">
        <v>9</v>
      </c>
      <c r="D2100" s="85" t="s">
        <v>73</v>
      </c>
      <c r="E2100" s="85">
        <v>25</v>
      </c>
      <c r="F2100" s="85">
        <v>3</v>
      </c>
      <c r="G2100" s="85">
        <f>--(F2100&lt;=Estimator!$B$7)</f>
        <v>1</v>
      </c>
      <c r="H2100" s="86">
        <f>SUMIFS('Climate Data'!$G$7:$G$366,'Climate Data'!$A$7:$A$366,Estimator!$B$4,'Climate Data'!$B$7:$B$366,C2100)</f>
        <v>0.20666666666666667</v>
      </c>
      <c r="I2100" s="87">
        <f>SUMIFS('Climate Data'!$H$7:$H$366,'Climate Data'!$A$7:$A$366,Estimator!$B$4,'Climate Data'!$B$7:$B$366,C2100)</f>
        <v>6.806451612903226</v>
      </c>
      <c r="J2100" s="86">
        <f>SUMIFS('Wind Proxy'!$H$8:$H$19,'Wind Proxy'!$A$8:$A$19,Estimator!$B$4,'Wind Proxy'!$B$8:$B$19,C2100)</f>
        <v>0</v>
      </c>
    </row>
    <row r="2101" spans="1:10" ht="14.4">
      <c r="A2101" s="84">
        <v>47752</v>
      </c>
      <c r="B2101" s="85">
        <v>2030</v>
      </c>
      <c r="C2101" s="85">
        <v>9</v>
      </c>
      <c r="D2101" s="85" t="s">
        <v>73</v>
      </c>
      <c r="E2101" s="85">
        <v>26</v>
      </c>
      <c r="F2101" s="85">
        <v>4</v>
      </c>
      <c r="G2101" s="85">
        <f>--(F2101&lt;=Estimator!$B$7)</f>
        <v>1</v>
      </c>
      <c r="H2101" s="86">
        <f>SUMIFS('Climate Data'!$G$7:$G$366,'Climate Data'!$A$7:$A$366,Estimator!$B$4,'Climate Data'!$B$7:$B$366,C2101)</f>
        <v>0.20666666666666667</v>
      </c>
      <c r="I2101" s="87">
        <f>SUMIFS('Climate Data'!$H$7:$H$366,'Climate Data'!$A$7:$A$366,Estimator!$B$4,'Climate Data'!$B$7:$B$366,C2101)</f>
        <v>6.806451612903226</v>
      </c>
      <c r="J2101" s="86">
        <f>SUMIFS('Wind Proxy'!$H$8:$H$19,'Wind Proxy'!$A$8:$A$19,Estimator!$B$4,'Wind Proxy'!$B$8:$B$19,C2101)</f>
        <v>0</v>
      </c>
    </row>
    <row r="2102" spans="1:10" ht="14.4">
      <c r="A2102" s="84">
        <v>47753</v>
      </c>
      <c r="B2102" s="85">
        <v>2030</v>
      </c>
      <c r="C2102" s="85">
        <v>9</v>
      </c>
      <c r="D2102" s="85" t="s">
        <v>73</v>
      </c>
      <c r="E2102" s="85">
        <v>27</v>
      </c>
      <c r="F2102" s="85">
        <v>5</v>
      </c>
      <c r="G2102" s="85">
        <f>--(F2102&lt;=Estimator!$B$7)</f>
        <v>1</v>
      </c>
      <c r="H2102" s="86">
        <f>SUMIFS('Climate Data'!$G$7:$G$366,'Climate Data'!$A$7:$A$366,Estimator!$B$4,'Climate Data'!$B$7:$B$366,C2102)</f>
        <v>0.20666666666666667</v>
      </c>
      <c r="I2102" s="87">
        <f>SUMIFS('Climate Data'!$H$7:$H$366,'Climate Data'!$A$7:$A$366,Estimator!$B$4,'Climate Data'!$B$7:$B$366,C2102)</f>
        <v>6.806451612903226</v>
      </c>
      <c r="J2102" s="86">
        <f>SUMIFS('Wind Proxy'!$H$8:$H$19,'Wind Proxy'!$A$8:$A$19,Estimator!$B$4,'Wind Proxy'!$B$8:$B$19,C2102)</f>
        <v>0</v>
      </c>
    </row>
    <row r="2103" spans="1:10" ht="14.4">
      <c r="A2103" s="84">
        <v>47754</v>
      </c>
      <c r="B2103" s="85">
        <v>2030</v>
      </c>
      <c r="C2103" s="85">
        <v>9</v>
      </c>
      <c r="D2103" s="85" t="s">
        <v>73</v>
      </c>
      <c r="E2103" s="85">
        <v>28</v>
      </c>
      <c r="F2103" s="85">
        <v>6</v>
      </c>
      <c r="G2103" s="85">
        <f>--(F2103&lt;=Estimator!$B$7)</f>
        <v>0</v>
      </c>
      <c r="H2103" s="86">
        <f>SUMIFS('Climate Data'!$G$7:$G$366,'Climate Data'!$A$7:$A$366,Estimator!$B$4,'Climate Data'!$B$7:$B$366,C2103)</f>
        <v>0.20666666666666667</v>
      </c>
      <c r="I2103" s="87">
        <f>SUMIFS('Climate Data'!$H$7:$H$366,'Climate Data'!$A$7:$A$366,Estimator!$B$4,'Climate Data'!$B$7:$B$366,C2103)</f>
        <v>6.806451612903226</v>
      </c>
      <c r="J2103" s="86">
        <f>SUMIFS('Wind Proxy'!$H$8:$H$19,'Wind Proxy'!$A$8:$A$19,Estimator!$B$4,'Wind Proxy'!$B$8:$B$19,C2103)</f>
        <v>0</v>
      </c>
    </row>
    <row r="2104" spans="1:10" ht="14.4">
      <c r="A2104" s="84">
        <v>47755</v>
      </c>
      <c r="B2104" s="85">
        <v>2030</v>
      </c>
      <c r="C2104" s="85">
        <v>9</v>
      </c>
      <c r="D2104" s="85" t="s">
        <v>73</v>
      </c>
      <c r="E2104" s="85">
        <v>29</v>
      </c>
      <c r="F2104" s="85">
        <v>7</v>
      </c>
      <c r="G2104" s="85">
        <f>--(F2104&lt;=Estimator!$B$7)</f>
        <v>0</v>
      </c>
      <c r="H2104" s="86">
        <f>SUMIFS('Climate Data'!$G$7:$G$366,'Climate Data'!$A$7:$A$366,Estimator!$B$4,'Climate Data'!$B$7:$B$366,C2104)</f>
        <v>0.20666666666666667</v>
      </c>
      <c r="I2104" s="87">
        <f>SUMIFS('Climate Data'!$H$7:$H$366,'Climate Data'!$A$7:$A$366,Estimator!$B$4,'Climate Data'!$B$7:$B$366,C2104)</f>
        <v>6.806451612903226</v>
      </c>
      <c r="J2104" s="86">
        <f>SUMIFS('Wind Proxy'!$H$8:$H$19,'Wind Proxy'!$A$8:$A$19,Estimator!$B$4,'Wind Proxy'!$B$8:$B$19,C2104)</f>
        <v>0</v>
      </c>
    </row>
    <row r="2105" spans="1:10" ht="14.4">
      <c r="A2105" s="84">
        <v>47756</v>
      </c>
      <c r="B2105" s="85">
        <v>2030</v>
      </c>
      <c r="C2105" s="85">
        <v>9</v>
      </c>
      <c r="D2105" s="85" t="s">
        <v>73</v>
      </c>
      <c r="E2105" s="85">
        <v>30</v>
      </c>
      <c r="F2105" s="85">
        <v>1</v>
      </c>
      <c r="G2105" s="85">
        <f>--(F2105&lt;=Estimator!$B$7)</f>
        <v>1</v>
      </c>
      <c r="H2105" s="86">
        <f>SUMIFS('Climate Data'!$G$7:$G$366,'Climate Data'!$A$7:$A$366,Estimator!$B$4,'Climate Data'!$B$7:$B$366,C2105)</f>
        <v>0.20666666666666667</v>
      </c>
      <c r="I2105" s="87">
        <f>SUMIFS('Climate Data'!$H$7:$H$366,'Climate Data'!$A$7:$A$366,Estimator!$B$4,'Climate Data'!$B$7:$B$366,C2105)</f>
        <v>6.806451612903226</v>
      </c>
      <c r="J2105" s="86">
        <f>SUMIFS('Wind Proxy'!$H$8:$H$19,'Wind Proxy'!$A$8:$A$19,Estimator!$B$4,'Wind Proxy'!$B$8:$B$19,C2105)</f>
        <v>0</v>
      </c>
    </row>
    <row r="2106" spans="1:10" ht="14.4">
      <c r="A2106" s="84">
        <v>47757</v>
      </c>
      <c r="B2106" s="85">
        <v>2030</v>
      </c>
      <c r="C2106" s="85">
        <v>10</v>
      </c>
      <c r="D2106" s="85" t="s">
        <v>75</v>
      </c>
      <c r="E2106" s="85">
        <v>1</v>
      </c>
      <c r="F2106" s="85">
        <v>2</v>
      </c>
      <c r="G2106" s="85">
        <f>--(F2106&lt;=Estimator!$B$7)</f>
        <v>1</v>
      </c>
      <c r="H2106" s="86">
        <f>SUMIFS('Climate Data'!$G$7:$G$366,'Climate Data'!$A$7:$A$366,Estimator!$B$4,'Climate Data'!$B$7:$B$366,C2106)</f>
        <v>0.23225806451612904</v>
      </c>
      <c r="I2106" s="87">
        <f>SUMIFS('Climate Data'!$H$7:$H$366,'Climate Data'!$A$7:$A$366,Estimator!$B$4,'Climate Data'!$B$7:$B$366,C2106)</f>
        <v>6.8194444444444446</v>
      </c>
      <c r="J2106" s="86">
        <f>SUMIFS('Wind Proxy'!$H$8:$H$19,'Wind Proxy'!$A$8:$A$19,Estimator!$B$4,'Wind Proxy'!$B$8:$B$19,C2106)</f>
        <v>0</v>
      </c>
    </row>
    <row r="2107" spans="1:10" ht="14.4">
      <c r="A2107" s="84">
        <v>47758</v>
      </c>
      <c r="B2107" s="85">
        <v>2030</v>
      </c>
      <c r="C2107" s="85">
        <v>10</v>
      </c>
      <c r="D2107" s="85" t="s">
        <v>75</v>
      </c>
      <c r="E2107" s="85">
        <v>2</v>
      </c>
      <c r="F2107" s="85">
        <v>3</v>
      </c>
      <c r="G2107" s="85">
        <f>--(F2107&lt;=Estimator!$B$7)</f>
        <v>1</v>
      </c>
      <c r="H2107" s="86">
        <f>SUMIFS('Climate Data'!$G$7:$G$366,'Climate Data'!$A$7:$A$366,Estimator!$B$4,'Climate Data'!$B$7:$B$366,C2107)</f>
        <v>0.23225806451612904</v>
      </c>
      <c r="I2107" s="87">
        <f>SUMIFS('Climate Data'!$H$7:$H$366,'Climate Data'!$A$7:$A$366,Estimator!$B$4,'Climate Data'!$B$7:$B$366,C2107)</f>
        <v>6.8194444444444446</v>
      </c>
      <c r="J2107" s="86">
        <f>SUMIFS('Wind Proxy'!$H$8:$H$19,'Wind Proxy'!$A$8:$A$19,Estimator!$B$4,'Wind Proxy'!$B$8:$B$19,C2107)</f>
        <v>0</v>
      </c>
    </row>
    <row r="2108" spans="1:10" ht="14.4">
      <c r="A2108" s="84">
        <v>47759</v>
      </c>
      <c r="B2108" s="85">
        <v>2030</v>
      </c>
      <c r="C2108" s="85">
        <v>10</v>
      </c>
      <c r="D2108" s="85" t="s">
        <v>75</v>
      </c>
      <c r="E2108" s="85">
        <v>3</v>
      </c>
      <c r="F2108" s="85">
        <v>4</v>
      </c>
      <c r="G2108" s="85">
        <f>--(F2108&lt;=Estimator!$B$7)</f>
        <v>1</v>
      </c>
      <c r="H2108" s="86">
        <f>SUMIFS('Climate Data'!$G$7:$G$366,'Climate Data'!$A$7:$A$366,Estimator!$B$4,'Climate Data'!$B$7:$B$366,C2108)</f>
        <v>0.23225806451612904</v>
      </c>
      <c r="I2108" s="87">
        <f>SUMIFS('Climate Data'!$H$7:$H$366,'Climate Data'!$A$7:$A$366,Estimator!$B$4,'Climate Data'!$B$7:$B$366,C2108)</f>
        <v>6.8194444444444446</v>
      </c>
      <c r="J2108" s="86">
        <f>SUMIFS('Wind Proxy'!$H$8:$H$19,'Wind Proxy'!$A$8:$A$19,Estimator!$B$4,'Wind Proxy'!$B$8:$B$19,C2108)</f>
        <v>0</v>
      </c>
    </row>
    <row r="2109" spans="1:10" ht="14.4">
      <c r="A2109" s="84">
        <v>47760</v>
      </c>
      <c r="B2109" s="85">
        <v>2030</v>
      </c>
      <c r="C2109" s="85">
        <v>10</v>
      </c>
      <c r="D2109" s="85" t="s">
        <v>75</v>
      </c>
      <c r="E2109" s="85">
        <v>4</v>
      </c>
      <c r="F2109" s="85">
        <v>5</v>
      </c>
      <c r="G2109" s="85">
        <f>--(F2109&lt;=Estimator!$B$7)</f>
        <v>1</v>
      </c>
      <c r="H2109" s="86">
        <f>SUMIFS('Climate Data'!$G$7:$G$366,'Climate Data'!$A$7:$A$366,Estimator!$B$4,'Climate Data'!$B$7:$B$366,C2109)</f>
        <v>0.23225806451612904</v>
      </c>
      <c r="I2109" s="87">
        <f>SUMIFS('Climate Data'!$H$7:$H$366,'Climate Data'!$A$7:$A$366,Estimator!$B$4,'Climate Data'!$B$7:$B$366,C2109)</f>
        <v>6.8194444444444446</v>
      </c>
      <c r="J2109" s="86">
        <f>SUMIFS('Wind Proxy'!$H$8:$H$19,'Wind Proxy'!$A$8:$A$19,Estimator!$B$4,'Wind Proxy'!$B$8:$B$19,C2109)</f>
        <v>0</v>
      </c>
    </row>
    <row r="2110" spans="1:10" ht="14.4">
      <c r="A2110" s="84">
        <v>47761</v>
      </c>
      <c r="B2110" s="85">
        <v>2030</v>
      </c>
      <c r="C2110" s="85">
        <v>10</v>
      </c>
      <c r="D2110" s="85" t="s">
        <v>75</v>
      </c>
      <c r="E2110" s="85">
        <v>5</v>
      </c>
      <c r="F2110" s="85">
        <v>6</v>
      </c>
      <c r="G2110" s="85">
        <f>--(F2110&lt;=Estimator!$B$7)</f>
        <v>0</v>
      </c>
      <c r="H2110" s="86">
        <f>SUMIFS('Climate Data'!$G$7:$G$366,'Climate Data'!$A$7:$A$366,Estimator!$B$4,'Climate Data'!$B$7:$B$366,C2110)</f>
        <v>0.23225806451612904</v>
      </c>
      <c r="I2110" s="87">
        <f>SUMIFS('Climate Data'!$H$7:$H$366,'Climate Data'!$A$7:$A$366,Estimator!$B$4,'Climate Data'!$B$7:$B$366,C2110)</f>
        <v>6.8194444444444446</v>
      </c>
      <c r="J2110" s="86">
        <f>SUMIFS('Wind Proxy'!$H$8:$H$19,'Wind Proxy'!$A$8:$A$19,Estimator!$B$4,'Wind Proxy'!$B$8:$B$19,C2110)</f>
        <v>0</v>
      </c>
    </row>
    <row r="2111" spans="1:10" ht="14.4">
      <c r="A2111" s="84">
        <v>47762</v>
      </c>
      <c r="B2111" s="85">
        <v>2030</v>
      </c>
      <c r="C2111" s="85">
        <v>10</v>
      </c>
      <c r="D2111" s="85" t="s">
        <v>75</v>
      </c>
      <c r="E2111" s="85">
        <v>6</v>
      </c>
      <c r="F2111" s="85">
        <v>7</v>
      </c>
      <c r="G2111" s="85">
        <f>--(F2111&lt;=Estimator!$B$7)</f>
        <v>0</v>
      </c>
      <c r="H2111" s="86">
        <f>SUMIFS('Climate Data'!$G$7:$G$366,'Climate Data'!$A$7:$A$366,Estimator!$B$4,'Climate Data'!$B$7:$B$366,C2111)</f>
        <v>0.23225806451612904</v>
      </c>
      <c r="I2111" s="87">
        <f>SUMIFS('Climate Data'!$H$7:$H$366,'Climate Data'!$A$7:$A$366,Estimator!$B$4,'Climate Data'!$B$7:$B$366,C2111)</f>
        <v>6.8194444444444446</v>
      </c>
      <c r="J2111" s="86">
        <f>SUMIFS('Wind Proxy'!$H$8:$H$19,'Wind Proxy'!$A$8:$A$19,Estimator!$B$4,'Wind Proxy'!$B$8:$B$19,C2111)</f>
        <v>0</v>
      </c>
    </row>
    <row r="2112" spans="1:10" ht="14.4">
      <c r="A2112" s="84">
        <v>47763</v>
      </c>
      <c r="B2112" s="85">
        <v>2030</v>
      </c>
      <c r="C2112" s="85">
        <v>10</v>
      </c>
      <c r="D2112" s="85" t="s">
        <v>75</v>
      </c>
      <c r="E2112" s="85">
        <v>7</v>
      </c>
      <c r="F2112" s="85">
        <v>1</v>
      </c>
      <c r="G2112" s="85">
        <f>--(F2112&lt;=Estimator!$B$7)</f>
        <v>1</v>
      </c>
      <c r="H2112" s="86">
        <f>SUMIFS('Climate Data'!$G$7:$G$366,'Climate Data'!$A$7:$A$366,Estimator!$B$4,'Climate Data'!$B$7:$B$366,C2112)</f>
        <v>0.23225806451612904</v>
      </c>
      <c r="I2112" s="87">
        <f>SUMIFS('Climate Data'!$H$7:$H$366,'Climate Data'!$A$7:$A$366,Estimator!$B$4,'Climate Data'!$B$7:$B$366,C2112)</f>
        <v>6.8194444444444446</v>
      </c>
      <c r="J2112" s="86">
        <f>SUMIFS('Wind Proxy'!$H$8:$H$19,'Wind Proxy'!$A$8:$A$19,Estimator!$B$4,'Wind Proxy'!$B$8:$B$19,C2112)</f>
        <v>0</v>
      </c>
    </row>
    <row r="2113" spans="1:10" ht="14.4">
      <c r="A2113" s="84">
        <v>47764</v>
      </c>
      <c r="B2113" s="85">
        <v>2030</v>
      </c>
      <c r="C2113" s="85">
        <v>10</v>
      </c>
      <c r="D2113" s="85" t="s">
        <v>75</v>
      </c>
      <c r="E2113" s="85">
        <v>8</v>
      </c>
      <c r="F2113" s="85">
        <v>2</v>
      </c>
      <c r="G2113" s="85">
        <f>--(F2113&lt;=Estimator!$B$7)</f>
        <v>1</v>
      </c>
      <c r="H2113" s="86">
        <f>SUMIFS('Climate Data'!$G$7:$G$366,'Climate Data'!$A$7:$A$366,Estimator!$B$4,'Climate Data'!$B$7:$B$366,C2113)</f>
        <v>0.23225806451612904</v>
      </c>
      <c r="I2113" s="87">
        <f>SUMIFS('Climate Data'!$H$7:$H$366,'Climate Data'!$A$7:$A$366,Estimator!$B$4,'Climate Data'!$B$7:$B$366,C2113)</f>
        <v>6.8194444444444446</v>
      </c>
      <c r="J2113" s="86">
        <f>SUMIFS('Wind Proxy'!$H$8:$H$19,'Wind Proxy'!$A$8:$A$19,Estimator!$B$4,'Wind Proxy'!$B$8:$B$19,C2113)</f>
        <v>0</v>
      </c>
    </row>
    <row r="2114" spans="1:10" ht="14.4">
      <c r="A2114" s="84">
        <v>47765</v>
      </c>
      <c r="B2114" s="85">
        <v>2030</v>
      </c>
      <c r="C2114" s="85">
        <v>10</v>
      </c>
      <c r="D2114" s="85" t="s">
        <v>75</v>
      </c>
      <c r="E2114" s="85">
        <v>9</v>
      </c>
      <c r="F2114" s="85">
        <v>3</v>
      </c>
      <c r="G2114" s="85">
        <f>--(F2114&lt;=Estimator!$B$7)</f>
        <v>1</v>
      </c>
      <c r="H2114" s="86">
        <f>SUMIFS('Climate Data'!$G$7:$G$366,'Climate Data'!$A$7:$A$366,Estimator!$B$4,'Climate Data'!$B$7:$B$366,C2114)</f>
        <v>0.23225806451612904</v>
      </c>
      <c r="I2114" s="87">
        <f>SUMIFS('Climate Data'!$H$7:$H$366,'Climate Data'!$A$7:$A$366,Estimator!$B$4,'Climate Data'!$B$7:$B$366,C2114)</f>
        <v>6.8194444444444446</v>
      </c>
      <c r="J2114" s="86">
        <f>SUMIFS('Wind Proxy'!$H$8:$H$19,'Wind Proxy'!$A$8:$A$19,Estimator!$B$4,'Wind Proxy'!$B$8:$B$19,C2114)</f>
        <v>0</v>
      </c>
    </row>
    <row r="2115" spans="1:10" ht="14.4">
      <c r="A2115" s="84">
        <v>47766</v>
      </c>
      <c r="B2115" s="85">
        <v>2030</v>
      </c>
      <c r="C2115" s="85">
        <v>10</v>
      </c>
      <c r="D2115" s="85" t="s">
        <v>75</v>
      </c>
      <c r="E2115" s="85">
        <v>10</v>
      </c>
      <c r="F2115" s="85">
        <v>4</v>
      </c>
      <c r="G2115" s="85">
        <f>--(F2115&lt;=Estimator!$B$7)</f>
        <v>1</v>
      </c>
      <c r="H2115" s="86">
        <f>SUMIFS('Climate Data'!$G$7:$G$366,'Climate Data'!$A$7:$A$366,Estimator!$B$4,'Climate Data'!$B$7:$B$366,C2115)</f>
        <v>0.23225806451612904</v>
      </c>
      <c r="I2115" s="87">
        <f>SUMIFS('Climate Data'!$H$7:$H$366,'Climate Data'!$A$7:$A$366,Estimator!$B$4,'Climate Data'!$B$7:$B$366,C2115)</f>
        <v>6.8194444444444446</v>
      </c>
      <c r="J2115" s="86">
        <f>SUMIFS('Wind Proxy'!$H$8:$H$19,'Wind Proxy'!$A$8:$A$19,Estimator!$B$4,'Wind Proxy'!$B$8:$B$19,C2115)</f>
        <v>0</v>
      </c>
    </row>
    <row r="2116" spans="1:10" ht="14.4">
      <c r="A2116" s="84">
        <v>47767</v>
      </c>
      <c r="B2116" s="85">
        <v>2030</v>
      </c>
      <c r="C2116" s="85">
        <v>10</v>
      </c>
      <c r="D2116" s="85" t="s">
        <v>75</v>
      </c>
      <c r="E2116" s="85">
        <v>11</v>
      </c>
      <c r="F2116" s="85">
        <v>5</v>
      </c>
      <c r="G2116" s="85">
        <f>--(F2116&lt;=Estimator!$B$7)</f>
        <v>1</v>
      </c>
      <c r="H2116" s="86">
        <f>SUMIFS('Climate Data'!$G$7:$G$366,'Climate Data'!$A$7:$A$366,Estimator!$B$4,'Climate Data'!$B$7:$B$366,C2116)</f>
        <v>0.23225806451612904</v>
      </c>
      <c r="I2116" s="87">
        <f>SUMIFS('Climate Data'!$H$7:$H$366,'Climate Data'!$A$7:$A$366,Estimator!$B$4,'Climate Data'!$B$7:$B$366,C2116)</f>
        <v>6.8194444444444446</v>
      </c>
      <c r="J2116" s="86">
        <f>SUMIFS('Wind Proxy'!$H$8:$H$19,'Wind Proxy'!$A$8:$A$19,Estimator!$B$4,'Wind Proxy'!$B$8:$B$19,C2116)</f>
        <v>0</v>
      </c>
    </row>
    <row r="2117" spans="1:10" ht="14.4">
      <c r="A2117" s="84">
        <v>47768</v>
      </c>
      <c r="B2117" s="85">
        <v>2030</v>
      </c>
      <c r="C2117" s="85">
        <v>10</v>
      </c>
      <c r="D2117" s="85" t="s">
        <v>75</v>
      </c>
      <c r="E2117" s="85">
        <v>12</v>
      </c>
      <c r="F2117" s="85">
        <v>6</v>
      </c>
      <c r="G2117" s="85">
        <f>--(F2117&lt;=Estimator!$B$7)</f>
        <v>0</v>
      </c>
      <c r="H2117" s="86">
        <f>SUMIFS('Climate Data'!$G$7:$G$366,'Climate Data'!$A$7:$A$366,Estimator!$B$4,'Climate Data'!$B$7:$B$366,C2117)</f>
        <v>0.23225806451612904</v>
      </c>
      <c r="I2117" s="87">
        <f>SUMIFS('Climate Data'!$H$7:$H$366,'Climate Data'!$A$7:$A$366,Estimator!$B$4,'Climate Data'!$B$7:$B$366,C2117)</f>
        <v>6.8194444444444446</v>
      </c>
      <c r="J2117" s="86">
        <f>SUMIFS('Wind Proxy'!$H$8:$H$19,'Wind Proxy'!$A$8:$A$19,Estimator!$B$4,'Wind Proxy'!$B$8:$B$19,C2117)</f>
        <v>0</v>
      </c>
    </row>
    <row r="2118" spans="1:10" ht="14.4">
      <c r="A2118" s="84">
        <v>47769</v>
      </c>
      <c r="B2118" s="85">
        <v>2030</v>
      </c>
      <c r="C2118" s="85">
        <v>10</v>
      </c>
      <c r="D2118" s="85" t="s">
        <v>75</v>
      </c>
      <c r="E2118" s="85">
        <v>13</v>
      </c>
      <c r="F2118" s="85">
        <v>7</v>
      </c>
      <c r="G2118" s="85">
        <f>--(F2118&lt;=Estimator!$B$7)</f>
        <v>0</v>
      </c>
      <c r="H2118" s="86">
        <f>SUMIFS('Climate Data'!$G$7:$G$366,'Climate Data'!$A$7:$A$366,Estimator!$B$4,'Climate Data'!$B$7:$B$366,C2118)</f>
        <v>0.23225806451612904</v>
      </c>
      <c r="I2118" s="87">
        <f>SUMIFS('Climate Data'!$H$7:$H$366,'Climate Data'!$A$7:$A$366,Estimator!$B$4,'Climate Data'!$B$7:$B$366,C2118)</f>
        <v>6.8194444444444446</v>
      </c>
      <c r="J2118" s="86">
        <f>SUMIFS('Wind Proxy'!$H$8:$H$19,'Wind Proxy'!$A$8:$A$19,Estimator!$B$4,'Wind Proxy'!$B$8:$B$19,C2118)</f>
        <v>0</v>
      </c>
    </row>
    <row r="2119" spans="1:10" ht="14.4">
      <c r="A2119" s="84">
        <v>47770</v>
      </c>
      <c r="B2119" s="85">
        <v>2030</v>
      </c>
      <c r="C2119" s="85">
        <v>10</v>
      </c>
      <c r="D2119" s="85" t="s">
        <v>75</v>
      </c>
      <c r="E2119" s="85">
        <v>14</v>
      </c>
      <c r="F2119" s="85">
        <v>1</v>
      </c>
      <c r="G2119" s="85">
        <f>--(F2119&lt;=Estimator!$B$7)</f>
        <v>1</v>
      </c>
      <c r="H2119" s="86">
        <f>SUMIFS('Climate Data'!$G$7:$G$366,'Climate Data'!$A$7:$A$366,Estimator!$B$4,'Climate Data'!$B$7:$B$366,C2119)</f>
        <v>0.23225806451612904</v>
      </c>
      <c r="I2119" s="87">
        <f>SUMIFS('Climate Data'!$H$7:$H$366,'Climate Data'!$A$7:$A$366,Estimator!$B$4,'Climate Data'!$B$7:$B$366,C2119)</f>
        <v>6.8194444444444446</v>
      </c>
      <c r="J2119" s="86">
        <f>SUMIFS('Wind Proxy'!$H$8:$H$19,'Wind Proxy'!$A$8:$A$19,Estimator!$B$4,'Wind Proxy'!$B$8:$B$19,C2119)</f>
        <v>0</v>
      </c>
    </row>
    <row r="2120" spans="1:10" ht="14.4">
      <c r="A2120" s="84">
        <v>47771</v>
      </c>
      <c r="B2120" s="85">
        <v>2030</v>
      </c>
      <c r="C2120" s="85">
        <v>10</v>
      </c>
      <c r="D2120" s="85" t="s">
        <v>75</v>
      </c>
      <c r="E2120" s="85">
        <v>15</v>
      </c>
      <c r="F2120" s="85">
        <v>2</v>
      </c>
      <c r="G2120" s="85">
        <f>--(F2120&lt;=Estimator!$B$7)</f>
        <v>1</v>
      </c>
      <c r="H2120" s="86">
        <f>SUMIFS('Climate Data'!$G$7:$G$366,'Climate Data'!$A$7:$A$366,Estimator!$B$4,'Climate Data'!$B$7:$B$366,C2120)</f>
        <v>0.23225806451612904</v>
      </c>
      <c r="I2120" s="87">
        <f>SUMIFS('Climate Data'!$H$7:$H$366,'Climate Data'!$A$7:$A$366,Estimator!$B$4,'Climate Data'!$B$7:$B$366,C2120)</f>
        <v>6.8194444444444446</v>
      </c>
      <c r="J2120" s="86">
        <f>SUMIFS('Wind Proxy'!$H$8:$H$19,'Wind Proxy'!$A$8:$A$19,Estimator!$B$4,'Wind Proxy'!$B$8:$B$19,C2120)</f>
        <v>0</v>
      </c>
    </row>
    <row r="2121" spans="1:10" ht="14.4">
      <c r="A2121" s="84">
        <v>47772</v>
      </c>
      <c r="B2121" s="85">
        <v>2030</v>
      </c>
      <c r="C2121" s="85">
        <v>10</v>
      </c>
      <c r="D2121" s="85" t="s">
        <v>75</v>
      </c>
      <c r="E2121" s="85">
        <v>16</v>
      </c>
      <c r="F2121" s="85">
        <v>3</v>
      </c>
      <c r="G2121" s="85">
        <f>--(F2121&lt;=Estimator!$B$7)</f>
        <v>1</v>
      </c>
      <c r="H2121" s="86">
        <f>SUMIFS('Climate Data'!$G$7:$G$366,'Climate Data'!$A$7:$A$366,Estimator!$B$4,'Climate Data'!$B$7:$B$366,C2121)</f>
        <v>0.23225806451612904</v>
      </c>
      <c r="I2121" s="87">
        <f>SUMIFS('Climate Data'!$H$7:$H$366,'Climate Data'!$A$7:$A$366,Estimator!$B$4,'Climate Data'!$B$7:$B$366,C2121)</f>
        <v>6.8194444444444446</v>
      </c>
      <c r="J2121" s="86">
        <f>SUMIFS('Wind Proxy'!$H$8:$H$19,'Wind Proxy'!$A$8:$A$19,Estimator!$B$4,'Wind Proxy'!$B$8:$B$19,C2121)</f>
        <v>0</v>
      </c>
    </row>
    <row r="2122" spans="1:10" ht="14.4">
      <c r="A2122" s="84">
        <v>47773</v>
      </c>
      <c r="B2122" s="85">
        <v>2030</v>
      </c>
      <c r="C2122" s="85">
        <v>10</v>
      </c>
      <c r="D2122" s="85" t="s">
        <v>75</v>
      </c>
      <c r="E2122" s="85">
        <v>17</v>
      </c>
      <c r="F2122" s="85">
        <v>4</v>
      </c>
      <c r="G2122" s="85">
        <f>--(F2122&lt;=Estimator!$B$7)</f>
        <v>1</v>
      </c>
      <c r="H2122" s="86">
        <f>SUMIFS('Climate Data'!$G$7:$G$366,'Climate Data'!$A$7:$A$366,Estimator!$B$4,'Climate Data'!$B$7:$B$366,C2122)</f>
        <v>0.23225806451612904</v>
      </c>
      <c r="I2122" s="87">
        <f>SUMIFS('Climate Data'!$H$7:$H$366,'Climate Data'!$A$7:$A$366,Estimator!$B$4,'Climate Data'!$B$7:$B$366,C2122)</f>
        <v>6.8194444444444446</v>
      </c>
      <c r="J2122" s="86">
        <f>SUMIFS('Wind Proxy'!$H$8:$H$19,'Wind Proxy'!$A$8:$A$19,Estimator!$B$4,'Wind Proxy'!$B$8:$B$19,C2122)</f>
        <v>0</v>
      </c>
    </row>
    <row r="2123" spans="1:10" ht="14.4">
      <c r="A2123" s="84">
        <v>47774</v>
      </c>
      <c r="B2123" s="85">
        <v>2030</v>
      </c>
      <c r="C2123" s="85">
        <v>10</v>
      </c>
      <c r="D2123" s="85" t="s">
        <v>75</v>
      </c>
      <c r="E2123" s="85">
        <v>18</v>
      </c>
      <c r="F2123" s="85">
        <v>5</v>
      </c>
      <c r="G2123" s="85">
        <f>--(F2123&lt;=Estimator!$B$7)</f>
        <v>1</v>
      </c>
      <c r="H2123" s="86">
        <f>SUMIFS('Climate Data'!$G$7:$G$366,'Climate Data'!$A$7:$A$366,Estimator!$B$4,'Climate Data'!$B$7:$B$366,C2123)</f>
        <v>0.23225806451612904</v>
      </c>
      <c r="I2123" s="87">
        <f>SUMIFS('Climate Data'!$H$7:$H$366,'Climate Data'!$A$7:$A$366,Estimator!$B$4,'Climate Data'!$B$7:$B$366,C2123)</f>
        <v>6.8194444444444446</v>
      </c>
      <c r="J2123" s="86">
        <f>SUMIFS('Wind Proxy'!$H$8:$H$19,'Wind Proxy'!$A$8:$A$19,Estimator!$B$4,'Wind Proxy'!$B$8:$B$19,C2123)</f>
        <v>0</v>
      </c>
    </row>
    <row r="2124" spans="1:10" ht="14.4">
      <c r="A2124" s="84">
        <v>47775</v>
      </c>
      <c r="B2124" s="85">
        <v>2030</v>
      </c>
      <c r="C2124" s="85">
        <v>10</v>
      </c>
      <c r="D2124" s="85" t="s">
        <v>75</v>
      </c>
      <c r="E2124" s="85">
        <v>19</v>
      </c>
      <c r="F2124" s="85">
        <v>6</v>
      </c>
      <c r="G2124" s="85">
        <f>--(F2124&lt;=Estimator!$B$7)</f>
        <v>0</v>
      </c>
      <c r="H2124" s="86">
        <f>SUMIFS('Climate Data'!$G$7:$G$366,'Climate Data'!$A$7:$A$366,Estimator!$B$4,'Climate Data'!$B$7:$B$366,C2124)</f>
        <v>0.23225806451612904</v>
      </c>
      <c r="I2124" s="87">
        <f>SUMIFS('Climate Data'!$H$7:$H$366,'Climate Data'!$A$7:$A$366,Estimator!$B$4,'Climate Data'!$B$7:$B$366,C2124)</f>
        <v>6.8194444444444446</v>
      </c>
      <c r="J2124" s="86">
        <f>SUMIFS('Wind Proxy'!$H$8:$H$19,'Wind Proxy'!$A$8:$A$19,Estimator!$B$4,'Wind Proxy'!$B$8:$B$19,C2124)</f>
        <v>0</v>
      </c>
    </row>
    <row r="2125" spans="1:10" ht="14.4">
      <c r="A2125" s="84">
        <v>47776</v>
      </c>
      <c r="B2125" s="85">
        <v>2030</v>
      </c>
      <c r="C2125" s="85">
        <v>10</v>
      </c>
      <c r="D2125" s="85" t="s">
        <v>75</v>
      </c>
      <c r="E2125" s="85">
        <v>20</v>
      </c>
      <c r="F2125" s="85">
        <v>7</v>
      </c>
      <c r="G2125" s="85">
        <f>--(F2125&lt;=Estimator!$B$7)</f>
        <v>0</v>
      </c>
      <c r="H2125" s="86">
        <f>SUMIFS('Climate Data'!$G$7:$G$366,'Climate Data'!$A$7:$A$366,Estimator!$B$4,'Climate Data'!$B$7:$B$366,C2125)</f>
        <v>0.23225806451612904</v>
      </c>
      <c r="I2125" s="87">
        <f>SUMIFS('Climate Data'!$H$7:$H$366,'Climate Data'!$A$7:$A$366,Estimator!$B$4,'Climate Data'!$B$7:$B$366,C2125)</f>
        <v>6.8194444444444446</v>
      </c>
      <c r="J2125" s="86">
        <f>SUMIFS('Wind Proxy'!$H$8:$H$19,'Wind Proxy'!$A$8:$A$19,Estimator!$B$4,'Wind Proxy'!$B$8:$B$19,C2125)</f>
        <v>0</v>
      </c>
    </row>
    <row r="2126" spans="1:10" ht="14.4">
      <c r="A2126" s="84">
        <v>47777</v>
      </c>
      <c r="B2126" s="85">
        <v>2030</v>
      </c>
      <c r="C2126" s="85">
        <v>10</v>
      </c>
      <c r="D2126" s="85" t="s">
        <v>75</v>
      </c>
      <c r="E2126" s="85">
        <v>21</v>
      </c>
      <c r="F2126" s="85">
        <v>1</v>
      </c>
      <c r="G2126" s="85">
        <f>--(F2126&lt;=Estimator!$B$7)</f>
        <v>1</v>
      </c>
      <c r="H2126" s="86">
        <f>SUMIFS('Climate Data'!$G$7:$G$366,'Climate Data'!$A$7:$A$366,Estimator!$B$4,'Climate Data'!$B$7:$B$366,C2126)</f>
        <v>0.23225806451612904</v>
      </c>
      <c r="I2126" s="87">
        <f>SUMIFS('Climate Data'!$H$7:$H$366,'Climate Data'!$A$7:$A$366,Estimator!$B$4,'Climate Data'!$B$7:$B$366,C2126)</f>
        <v>6.8194444444444446</v>
      </c>
      <c r="J2126" s="86">
        <f>SUMIFS('Wind Proxy'!$H$8:$H$19,'Wind Proxy'!$A$8:$A$19,Estimator!$B$4,'Wind Proxy'!$B$8:$B$19,C2126)</f>
        <v>0</v>
      </c>
    </row>
    <row r="2127" spans="1:10" ht="14.4">
      <c r="A2127" s="84">
        <v>47778</v>
      </c>
      <c r="B2127" s="85">
        <v>2030</v>
      </c>
      <c r="C2127" s="85">
        <v>10</v>
      </c>
      <c r="D2127" s="85" t="s">
        <v>75</v>
      </c>
      <c r="E2127" s="85">
        <v>22</v>
      </c>
      <c r="F2127" s="85">
        <v>2</v>
      </c>
      <c r="G2127" s="85">
        <f>--(F2127&lt;=Estimator!$B$7)</f>
        <v>1</v>
      </c>
      <c r="H2127" s="86">
        <f>SUMIFS('Climate Data'!$G$7:$G$366,'Climate Data'!$A$7:$A$366,Estimator!$B$4,'Climate Data'!$B$7:$B$366,C2127)</f>
        <v>0.23225806451612904</v>
      </c>
      <c r="I2127" s="87">
        <f>SUMIFS('Climate Data'!$H$7:$H$366,'Climate Data'!$A$7:$A$366,Estimator!$B$4,'Climate Data'!$B$7:$B$366,C2127)</f>
        <v>6.8194444444444446</v>
      </c>
      <c r="J2127" s="86">
        <f>SUMIFS('Wind Proxy'!$H$8:$H$19,'Wind Proxy'!$A$8:$A$19,Estimator!$B$4,'Wind Proxy'!$B$8:$B$19,C2127)</f>
        <v>0</v>
      </c>
    </row>
    <row r="2128" spans="1:10" ht="14.4">
      <c r="A2128" s="84">
        <v>47779</v>
      </c>
      <c r="B2128" s="85">
        <v>2030</v>
      </c>
      <c r="C2128" s="85">
        <v>10</v>
      </c>
      <c r="D2128" s="85" t="s">
        <v>75</v>
      </c>
      <c r="E2128" s="85">
        <v>23</v>
      </c>
      <c r="F2128" s="85">
        <v>3</v>
      </c>
      <c r="G2128" s="85">
        <f>--(F2128&lt;=Estimator!$B$7)</f>
        <v>1</v>
      </c>
      <c r="H2128" s="86">
        <f>SUMIFS('Climate Data'!$G$7:$G$366,'Climate Data'!$A$7:$A$366,Estimator!$B$4,'Climate Data'!$B$7:$B$366,C2128)</f>
        <v>0.23225806451612904</v>
      </c>
      <c r="I2128" s="87">
        <f>SUMIFS('Climate Data'!$H$7:$H$366,'Climate Data'!$A$7:$A$366,Estimator!$B$4,'Climate Data'!$B$7:$B$366,C2128)</f>
        <v>6.8194444444444446</v>
      </c>
      <c r="J2128" s="86">
        <f>SUMIFS('Wind Proxy'!$H$8:$H$19,'Wind Proxy'!$A$8:$A$19,Estimator!$B$4,'Wind Proxy'!$B$8:$B$19,C2128)</f>
        <v>0</v>
      </c>
    </row>
    <row r="2129" spans="1:10" ht="14.4">
      <c r="A2129" s="84">
        <v>47780</v>
      </c>
      <c r="B2129" s="85">
        <v>2030</v>
      </c>
      <c r="C2129" s="85">
        <v>10</v>
      </c>
      <c r="D2129" s="85" t="s">
        <v>75</v>
      </c>
      <c r="E2129" s="85">
        <v>24</v>
      </c>
      <c r="F2129" s="85">
        <v>4</v>
      </c>
      <c r="G2129" s="85">
        <f>--(F2129&lt;=Estimator!$B$7)</f>
        <v>1</v>
      </c>
      <c r="H2129" s="86">
        <f>SUMIFS('Climate Data'!$G$7:$G$366,'Climate Data'!$A$7:$A$366,Estimator!$B$4,'Climate Data'!$B$7:$B$366,C2129)</f>
        <v>0.23225806451612904</v>
      </c>
      <c r="I2129" s="87">
        <f>SUMIFS('Climate Data'!$H$7:$H$366,'Climate Data'!$A$7:$A$366,Estimator!$B$4,'Climate Data'!$B$7:$B$366,C2129)</f>
        <v>6.8194444444444446</v>
      </c>
      <c r="J2129" s="86">
        <f>SUMIFS('Wind Proxy'!$H$8:$H$19,'Wind Proxy'!$A$8:$A$19,Estimator!$B$4,'Wind Proxy'!$B$8:$B$19,C2129)</f>
        <v>0</v>
      </c>
    </row>
    <row r="2130" spans="1:10" ht="14.4">
      <c r="A2130" s="84">
        <v>47781</v>
      </c>
      <c r="B2130" s="85">
        <v>2030</v>
      </c>
      <c r="C2130" s="85">
        <v>10</v>
      </c>
      <c r="D2130" s="85" t="s">
        <v>75</v>
      </c>
      <c r="E2130" s="85">
        <v>25</v>
      </c>
      <c r="F2130" s="85">
        <v>5</v>
      </c>
      <c r="G2130" s="85">
        <f>--(F2130&lt;=Estimator!$B$7)</f>
        <v>1</v>
      </c>
      <c r="H2130" s="86">
        <f>SUMIFS('Climate Data'!$G$7:$G$366,'Climate Data'!$A$7:$A$366,Estimator!$B$4,'Climate Data'!$B$7:$B$366,C2130)</f>
        <v>0.23225806451612904</v>
      </c>
      <c r="I2130" s="87">
        <f>SUMIFS('Climate Data'!$H$7:$H$366,'Climate Data'!$A$7:$A$366,Estimator!$B$4,'Climate Data'!$B$7:$B$366,C2130)</f>
        <v>6.8194444444444446</v>
      </c>
      <c r="J2130" s="86">
        <f>SUMIFS('Wind Proxy'!$H$8:$H$19,'Wind Proxy'!$A$8:$A$19,Estimator!$B$4,'Wind Proxy'!$B$8:$B$19,C2130)</f>
        <v>0</v>
      </c>
    </row>
    <row r="2131" spans="1:10" ht="14.4">
      <c r="A2131" s="84">
        <v>47782</v>
      </c>
      <c r="B2131" s="85">
        <v>2030</v>
      </c>
      <c r="C2131" s="85">
        <v>10</v>
      </c>
      <c r="D2131" s="85" t="s">
        <v>75</v>
      </c>
      <c r="E2131" s="85">
        <v>26</v>
      </c>
      <c r="F2131" s="85">
        <v>6</v>
      </c>
      <c r="G2131" s="85">
        <f>--(F2131&lt;=Estimator!$B$7)</f>
        <v>0</v>
      </c>
      <c r="H2131" s="86">
        <f>SUMIFS('Climate Data'!$G$7:$G$366,'Climate Data'!$A$7:$A$366,Estimator!$B$4,'Climate Data'!$B$7:$B$366,C2131)</f>
        <v>0.23225806451612904</v>
      </c>
      <c r="I2131" s="87">
        <f>SUMIFS('Climate Data'!$H$7:$H$366,'Climate Data'!$A$7:$A$366,Estimator!$B$4,'Climate Data'!$B$7:$B$366,C2131)</f>
        <v>6.8194444444444446</v>
      </c>
      <c r="J2131" s="86">
        <f>SUMIFS('Wind Proxy'!$H$8:$H$19,'Wind Proxy'!$A$8:$A$19,Estimator!$B$4,'Wind Proxy'!$B$8:$B$19,C2131)</f>
        <v>0</v>
      </c>
    </row>
    <row r="2132" spans="1:10" ht="14.4">
      <c r="A2132" s="84">
        <v>47783</v>
      </c>
      <c r="B2132" s="85">
        <v>2030</v>
      </c>
      <c r="C2132" s="85">
        <v>10</v>
      </c>
      <c r="D2132" s="85" t="s">
        <v>75</v>
      </c>
      <c r="E2132" s="85">
        <v>27</v>
      </c>
      <c r="F2132" s="85">
        <v>7</v>
      </c>
      <c r="G2132" s="85">
        <f>--(F2132&lt;=Estimator!$B$7)</f>
        <v>0</v>
      </c>
      <c r="H2132" s="86">
        <f>SUMIFS('Climate Data'!$G$7:$G$366,'Climate Data'!$A$7:$A$366,Estimator!$B$4,'Climate Data'!$B$7:$B$366,C2132)</f>
        <v>0.23225806451612904</v>
      </c>
      <c r="I2132" s="87">
        <f>SUMIFS('Climate Data'!$H$7:$H$366,'Climate Data'!$A$7:$A$366,Estimator!$B$4,'Climate Data'!$B$7:$B$366,C2132)</f>
        <v>6.8194444444444446</v>
      </c>
      <c r="J2132" s="86">
        <f>SUMIFS('Wind Proxy'!$H$8:$H$19,'Wind Proxy'!$A$8:$A$19,Estimator!$B$4,'Wind Proxy'!$B$8:$B$19,C2132)</f>
        <v>0</v>
      </c>
    </row>
    <row r="2133" spans="1:10" ht="14.4">
      <c r="A2133" s="84">
        <v>47784</v>
      </c>
      <c r="B2133" s="85">
        <v>2030</v>
      </c>
      <c r="C2133" s="85">
        <v>10</v>
      </c>
      <c r="D2133" s="85" t="s">
        <v>75</v>
      </c>
      <c r="E2133" s="85">
        <v>28</v>
      </c>
      <c r="F2133" s="85">
        <v>1</v>
      </c>
      <c r="G2133" s="85">
        <f>--(F2133&lt;=Estimator!$B$7)</f>
        <v>1</v>
      </c>
      <c r="H2133" s="86">
        <f>SUMIFS('Climate Data'!$G$7:$G$366,'Climate Data'!$A$7:$A$366,Estimator!$B$4,'Climate Data'!$B$7:$B$366,C2133)</f>
        <v>0.23225806451612904</v>
      </c>
      <c r="I2133" s="87">
        <f>SUMIFS('Climate Data'!$H$7:$H$366,'Climate Data'!$A$7:$A$366,Estimator!$B$4,'Climate Data'!$B$7:$B$366,C2133)</f>
        <v>6.8194444444444446</v>
      </c>
      <c r="J2133" s="86">
        <f>SUMIFS('Wind Proxy'!$H$8:$H$19,'Wind Proxy'!$A$8:$A$19,Estimator!$B$4,'Wind Proxy'!$B$8:$B$19,C2133)</f>
        <v>0</v>
      </c>
    </row>
    <row r="2134" spans="1:10" ht="14.4">
      <c r="A2134" s="84">
        <v>47785</v>
      </c>
      <c r="B2134" s="85">
        <v>2030</v>
      </c>
      <c r="C2134" s="85">
        <v>10</v>
      </c>
      <c r="D2134" s="85" t="s">
        <v>75</v>
      </c>
      <c r="E2134" s="85">
        <v>29</v>
      </c>
      <c r="F2134" s="85">
        <v>2</v>
      </c>
      <c r="G2134" s="85">
        <f>--(F2134&lt;=Estimator!$B$7)</f>
        <v>1</v>
      </c>
      <c r="H2134" s="86">
        <f>SUMIFS('Climate Data'!$G$7:$G$366,'Climate Data'!$A$7:$A$366,Estimator!$B$4,'Climate Data'!$B$7:$B$366,C2134)</f>
        <v>0.23225806451612904</v>
      </c>
      <c r="I2134" s="87">
        <f>SUMIFS('Climate Data'!$H$7:$H$366,'Climate Data'!$A$7:$A$366,Estimator!$B$4,'Climate Data'!$B$7:$B$366,C2134)</f>
        <v>6.8194444444444446</v>
      </c>
      <c r="J2134" s="86">
        <f>SUMIFS('Wind Proxy'!$H$8:$H$19,'Wind Proxy'!$A$8:$A$19,Estimator!$B$4,'Wind Proxy'!$B$8:$B$19,C2134)</f>
        <v>0</v>
      </c>
    </row>
    <row r="2135" spans="1:10" ht="14.4">
      <c r="A2135" s="84">
        <v>47786</v>
      </c>
      <c r="B2135" s="85">
        <v>2030</v>
      </c>
      <c r="C2135" s="85">
        <v>10</v>
      </c>
      <c r="D2135" s="85" t="s">
        <v>75</v>
      </c>
      <c r="E2135" s="85">
        <v>30</v>
      </c>
      <c r="F2135" s="85">
        <v>3</v>
      </c>
      <c r="G2135" s="85">
        <f>--(F2135&lt;=Estimator!$B$7)</f>
        <v>1</v>
      </c>
      <c r="H2135" s="86">
        <f>SUMIFS('Climate Data'!$G$7:$G$366,'Climate Data'!$A$7:$A$366,Estimator!$B$4,'Climate Data'!$B$7:$B$366,C2135)</f>
        <v>0.23225806451612904</v>
      </c>
      <c r="I2135" s="87">
        <f>SUMIFS('Climate Data'!$H$7:$H$366,'Climate Data'!$A$7:$A$366,Estimator!$B$4,'Climate Data'!$B$7:$B$366,C2135)</f>
        <v>6.8194444444444446</v>
      </c>
      <c r="J2135" s="86">
        <f>SUMIFS('Wind Proxy'!$H$8:$H$19,'Wind Proxy'!$A$8:$A$19,Estimator!$B$4,'Wind Proxy'!$B$8:$B$19,C2135)</f>
        <v>0</v>
      </c>
    </row>
    <row r="2136" spans="1:10" ht="14.4">
      <c r="A2136" s="84">
        <v>47787</v>
      </c>
      <c r="B2136" s="85">
        <v>2030</v>
      </c>
      <c r="C2136" s="85">
        <v>10</v>
      </c>
      <c r="D2136" s="85" t="s">
        <v>75</v>
      </c>
      <c r="E2136" s="85">
        <v>31</v>
      </c>
      <c r="F2136" s="85">
        <v>4</v>
      </c>
      <c r="G2136" s="85">
        <f>--(F2136&lt;=Estimator!$B$7)</f>
        <v>1</v>
      </c>
      <c r="H2136" s="86">
        <f>SUMIFS('Climate Data'!$G$7:$G$366,'Climate Data'!$A$7:$A$366,Estimator!$B$4,'Climate Data'!$B$7:$B$366,C2136)</f>
        <v>0.23225806451612904</v>
      </c>
      <c r="I2136" s="87">
        <f>SUMIFS('Climate Data'!$H$7:$H$366,'Climate Data'!$A$7:$A$366,Estimator!$B$4,'Climate Data'!$B$7:$B$366,C2136)</f>
        <v>6.8194444444444446</v>
      </c>
      <c r="J2136" s="86">
        <f>SUMIFS('Wind Proxy'!$H$8:$H$19,'Wind Proxy'!$A$8:$A$19,Estimator!$B$4,'Wind Proxy'!$B$8:$B$19,C2136)</f>
        <v>0</v>
      </c>
    </row>
    <row r="2137" spans="1:10" ht="14.4">
      <c r="A2137" s="84">
        <v>47788</v>
      </c>
      <c r="B2137" s="85">
        <v>2030</v>
      </c>
      <c r="C2137" s="85">
        <v>11</v>
      </c>
      <c r="D2137" s="85" t="s">
        <v>76</v>
      </c>
      <c r="E2137" s="85">
        <v>1</v>
      </c>
      <c r="F2137" s="85">
        <v>5</v>
      </c>
      <c r="G2137" s="85">
        <f>--(F2137&lt;=Estimator!$B$7)</f>
        <v>1</v>
      </c>
      <c r="H2137" s="86">
        <f>SUMIFS('Climate Data'!$G$7:$G$366,'Climate Data'!$A$7:$A$366,Estimator!$B$4,'Climate Data'!$B$7:$B$366,C2137)</f>
        <v>0.23333333333333334</v>
      </c>
      <c r="I2137" s="87">
        <f>SUMIFS('Climate Data'!$H$7:$H$366,'Climate Data'!$A$7:$A$366,Estimator!$B$4,'Climate Data'!$B$7:$B$366,C2137)</f>
        <v>6.4428571428571431</v>
      </c>
      <c r="J2137" s="86">
        <f>SUMIFS('Wind Proxy'!$H$8:$H$19,'Wind Proxy'!$A$8:$A$19,Estimator!$B$4,'Wind Proxy'!$B$8:$B$19,C2137)</f>
        <v>0</v>
      </c>
    </row>
    <row r="2138" spans="1:10" ht="14.4">
      <c r="A2138" s="84">
        <v>47789</v>
      </c>
      <c r="B2138" s="85">
        <v>2030</v>
      </c>
      <c r="C2138" s="85">
        <v>11</v>
      </c>
      <c r="D2138" s="85" t="s">
        <v>76</v>
      </c>
      <c r="E2138" s="85">
        <v>2</v>
      </c>
      <c r="F2138" s="85">
        <v>6</v>
      </c>
      <c r="G2138" s="85">
        <f>--(F2138&lt;=Estimator!$B$7)</f>
        <v>0</v>
      </c>
      <c r="H2138" s="86">
        <f>SUMIFS('Climate Data'!$G$7:$G$366,'Climate Data'!$A$7:$A$366,Estimator!$B$4,'Climate Data'!$B$7:$B$366,C2138)</f>
        <v>0.23333333333333334</v>
      </c>
      <c r="I2138" s="87">
        <f>SUMIFS('Climate Data'!$H$7:$H$366,'Climate Data'!$A$7:$A$366,Estimator!$B$4,'Climate Data'!$B$7:$B$366,C2138)</f>
        <v>6.4428571428571431</v>
      </c>
      <c r="J2138" s="86">
        <f>SUMIFS('Wind Proxy'!$H$8:$H$19,'Wind Proxy'!$A$8:$A$19,Estimator!$B$4,'Wind Proxy'!$B$8:$B$19,C2138)</f>
        <v>0</v>
      </c>
    </row>
    <row r="2139" spans="1:10" ht="14.4">
      <c r="A2139" s="84">
        <v>47790</v>
      </c>
      <c r="B2139" s="85">
        <v>2030</v>
      </c>
      <c r="C2139" s="85">
        <v>11</v>
      </c>
      <c r="D2139" s="85" t="s">
        <v>76</v>
      </c>
      <c r="E2139" s="85">
        <v>3</v>
      </c>
      <c r="F2139" s="85">
        <v>7</v>
      </c>
      <c r="G2139" s="85">
        <f>--(F2139&lt;=Estimator!$B$7)</f>
        <v>0</v>
      </c>
      <c r="H2139" s="86">
        <f>SUMIFS('Climate Data'!$G$7:$G$366,'Climate Data'!$A$7:$A$366,Estimator!$B$4,'Climate Data'!$B$7:$B$366,C2139)</f>
        <v>0.23333333333333334</v>
      </c>
      <c r="I2139" s="87">
        <f>SUMIFS('Climate Data'!$H$7:$H$366,'Climate Data'!$A$7:$A$366,Estimator!$B$4,'Climate Data'!$B$7:$B$366,C2139)</f>
        <v>6.4428571428571431</v>
      </c>
      <c r="J2139" s="86">
        <f>SUMIFS('Wind Proxy'!$H$8:$H$19,'Wind Proxy'!$A$8:$A$19,Estimator!$B$4,'Wind Proxy'!$B$8:$B$19,C2139)</f>
        <v>0</v>
      </c>
    </row>
    <row r="2140" spans="1:10" ht="14.4">
      <c r="A2140" s="84">
        <v>47791</v>
      </c>
      <c r="B2140" s="85">
        <v>2030</v>
      </c>
      <c r="C2140" s="85">
        <v>11</v>
      </c>
      <c r="D2140" s="85" t="s">
        <v>76</v>
      </c>
      <c r="E2140" s="85">
        <v>4</v>
      </c>
      <c r="F2140" s="85">
        <v>1</v>
      </c>
      <c r="G2140" s="85">
        <f>--(F2140&lt;=Estimator!$B$7)</f>
        <v>1</v>
      </c>
      <c r="H2140" s="86">
        <f>SUMIFS('Climate Data'!$G$7:$G$366,'Climate Data'!$A$7:$A$366,Estimator!$B$4,'Climate Data'!$B$7:$B$366,C2140)</f>
        <v>0.23333333333333334</v>
      </c>
      <c r="I2140" s="87">
        <f>SUMIFS('Climate Data'!$H$7:$H$366,'Climate Data'!$A$7:$A$366,Estimator!$B$4,'Climate Data'!$B$7:$B$366,C2140)</f>
        <v>6.4428571428571431</v>
      </c>
      <c r="J2140" s="86">
        <f>SUMIFS('Wind Proxy'!$H$8:$H$19,'Wind Proxy'!$A$8:$A$19,Estimator!$B$4,'Wind Proxy'!$B$8:$B$19,C2140)</f>
        <v>0</v>
      </c>
    </row>
    <row r="2141" spans="1:10" ht="14.4">
      <c r="A2141" s="84">
        <v>47792</v>
      </c>
      <c r="B2141" s="85">
        <v>2030</v>
      </c>
      <c r="C2141" s="85">
        <v>11</v>
      </c>
      <c r="D2141" s="85" t="s">
        <v>76</v>
      </c>
      <c r="E2141" s="85">
        <v>5</v>
      </c>
      <c r="F2141" s="85">
        <v>2</v>
      </c>
      <c r="G2141" s="85">
        <f>--(F2141&lt;=Estimator!$B$7)</f>
        <v>1</v>
      </c>
      <c r="H2141" s="86">
        <f>SUMIFS('Climate Data'!$G$7:$G$366,'Climate Data'!$A$7:$A$366,Estimator!$B$4,'Climate Data'!$B$7:$B$366,C2141)</f>
        <v>0.23333333333333334</v>
      </c>
      <c r="I2141" s="87">
        <f>SUMIFS('Climate Data'!$H$7:$H$366,'Climate Data'!$A$7:$A$366,Estimator!$B$4,'Climate Data'!$B$7:$B$366,C2141)</f>
        <v>6.4428571428571431</v>
      </c>
      <c r="J2141" s="86">
        <f>SUMIFS('Wind Proxy'!$H$8:$H$19,'Wind Proxy'!$A$8:$A$19,Estimator!$B$4,'Wind Proxy'!$B$8:$B$19,C2141)</f>
        <v>0</v>
      </c>
    </row>
    <row r="2142" spans="1:10" ht="14.4">
      <c r="A2142" s="84">
        <v>47793</v>
      </c>
      <c r="B2142" s="85">
        <v>2030</v>
      </c>
      <c r="C2142" s="85">
        <v>11</v>
      </c>
      <c r="D2142" s="85" t="s">
        <v>76</v>
      </c>
      <c r="E2142" s="85">
        <v>6</v>
      </c>
      <c r="F2142" s="85">
        <v>3</v>
      </c>
      <c r="G2142" s="85">
        <f>--(F2142&lt;=Estimator!$B$7)</f>
        <v>1</v>
      </c>
      <c r="H2142" s="86">
        <f>SUMIFS('Climate Data'!$G$7:$G$366,'Climate Data'!$A$7:$A$366,Estimator!$B$4,'Climate Data'!$B$7:$B$366,C2142)</f>
        <v>0.23333333333333334</v>
      </c>
      <c r="I2142" s="87">
        <f>SUMIFS('Climate Data'!$H$7:$H$366,'Climate Data'!$A$7:$A$366,Estimator!$B$4,'Climate Data'!$B$7:$B$366,C2142)</f>
        <v>6.4428571428571431</v>
      </c>
      <c r="J2142" s="86">
        <f>SUMIFS('Wind Proxy'!$H$8:$H$19,'Wind Proxy'!$A$8:$A$19,Estimator!$B$4,'Wind Proxy'!$B$8:$B$19,C2142)</f>
        <v>0</v>
      </c>
    </row>
    <row r="2143" spans="1:10" ht="14.4">
      <c r="A2143" s="84">
        <v>47794</v>
      </c>
      <c r="B2143" s="85">
        <v>2030</v>
      </c>
      <c r="C2143" s="85">
        <v>11</v>
      </c>
      <c r="D2143" s="85" t="s">
        <v>76</v>
      </c>
      <c r="E2143" s="85">
        <v>7</v>
      </c>
      <c r="F2143" s="85">
        <v>4</v>
      </c>
      <c r="G2143" s="85">
        <f>--(F2143&lt;=Estimator!$B$7)</f>
        <v>1</v>
      </c>
      <c r="H2143" s="86">
        <f>SUMIFS('Climate Data'!$G$7:$G$366,'Climate Data'!$A$7:$A$366,Estimator!$B$4,'Climate Data'!$B$7:$B$366,C2143)</f>
        <v>0.23333333333333334</v>
      </c>
      <c r="I2143" s="87">
        <f>SUMIFS('Climate Data'!$H$7:$H$366,'Climate Data'!$A$7:$A$366,Estimator!$B$4,'Climate Data'!$B$7:$B$366,C2143)</f>
        <v>6.4428571428571431</v>
      </c>
      <c r="J2143" s="86">
        <f>SUMIFS('Wind Proxy'!$H$8:$H$19,'Wind Proxy'!$A$8:$A$19,Estimator!$B$4,'Wind Proxy'!$B$8:$B$19,C2143)</f>
        <v>0</v>
      </c>
    </row>
    <row r="2144" spans="1:10" ht="14.4">
      <c r="A2144" s="84">
        <v>47795</v>
      </c>
      <c r="B2144" s="85">
        <v>2030</v>
      </c>
      <c r="C2144" s="85">
        <v>11</v>
      </c>
      <c r="D2144" s="85" t="s">
        <v>76</v>
      </c>
      <c r="E2144" s="85">
        <v>8</v>
      </c>
      <c r="F2144" s="85">
        <v>5</v>
      </c>
      <c r="G2144" s="85">
        <f>--(F2144&lt;=Estimator!$B$7)</f>
        <v>1</v>
      </c>
      <c r="H2144" s="86">
        <f>SUMIFS('Climate Data'!$G$7:$G$366,'Climate Data'!$A$7:$A$366,Estimator!$B$4,'Climate Data'!$B$7:$B$366,C2144)</f>
        <v>0.23333333333333334</v>
      </c>
      <c r="I2144" s="87">
        <f>SUMIFS('Climate Data'!$H$7:$H$366,'Climate Data'!$A$7:$A$366,Estimator!$B$4,'Climate Data'!$B$7:$B$366,C2144)</f>
        <v>6.4428571428571431</v>
      </c>
      <c r="J2144" s="86">
        <f>SUMIFS('Wind Proxy'!$H$8:$H$19,'Wind Proxy'!$A$8:$A$19,Estimator!$B$4,'Wind Proxy'!$B$8:$B$19,C2144)</f>
        <v>0</v>
      </c>
    </row>
    <row r="2145" spans="1:10" ht="14.4">
      <c r="A2145" s="84">
        <v>47796</v>
      </c>
      <c r="B2145" s="85">
        <v>2030</v>
      </c>
      <c r="C2145" s="85">
        <v>11</v>
      </c>
      <c r="D2145" s="85" t="s">
        <v>76</v>
      </c>
      <c r="E2145" s="85">
        <v>9</v>
      </c>
      <c r="F2145" s="85">
        <v>6</v>
      </c>
      <c r="G2145" s="85">
        <f>--(F2145&lt;=Estimator!$B$7)</f>
        <v>0</v>
      </c>
      <c r="H2145" s="86">
        <f>SUMIFS('Climate Data'!$G$7:$G$366,'Climate Data'!$A$7:$A$366,Estimator!$B$4,'Climate Data'!$B$7:$B$366,C2145)</f>
        <v>0.23333333333333334</v>
      </c>
      <c r="I2145" s="87">
        <f>SUMIFS('Climate Data'!$H$7:$H$366,'Climate Data'!$A$7:$A$366,Estimator!$B$4,'Climate Data'!$B$7:$B$366,C2145)</f>
        <v>6.4428571428571431</v>
      </c>
      <c r="J2145" s="86">
        <f>SUMIFS('Wind Proxy'!$H$8:$H$19,'Wind Proxy'!$A$8:$A$19,Estimator!$B$4,'Wind Proxy'!$B$8:$B$19,C2145)</f>
        <v>0</v>
      </c>
    </row>
    <row r="2146" spans="1:10" ht="14.4">
      <c r="A2146" s="84">
        <v>47797</v>
      </c>
      <c r="B2146" s="85">
        <v>2030</v>
      </c>
      <c r="C2146" s="85">
        <v>11</v>
      </c>
      <c r="D2146" s="85" t="s">
        <v>76</v>
      </c>
      <c r="E2146" s="85">
        <v>10</v>
      </c>
      <c r="F2146" s="85">
        <v>7</v>
      </c>
      <c r="G2146" s="85">
        <f>--(F2146&lt;=Estimator!$B$7)</f>
        <v>0</v>
      </c>
      <c r="H2146" s="86">
        <f>SUMIFS('Climate Data'!$G$7:$G$366,'Climate Data'!$A$7:$A$366,Estimator!$B$4,'Climate Data'!$B$7:$B$366,C2146)</f>
        <v>0.23333333333333334</v>
      </c>
      <c r="I2146" s="87">
        <f>SUMIFS('Climate Data'!$H$7:$H$366,'Climate Data'!$A$7:$A$366,Estimator!$B$4,'Climate Data'!$B$7:$B$366,C2146)</f>
        <v>6.4428571428571431</v>
      </c>
      <c r="J2146" s="86">
        <f>SUMIFS('Wind Proxy'!$H$8:$H$19,'Wind Proxy'!$A$8:$A$19,Estimator!$B$4,'Wind Proxy'!$B$8:$B$19,C2146)</f>
        <v>0</v>
      </c>
    </row>
    <row r="2147" spans="1:10" ht="14.4">
      <c r="A2147" s="84">
        <v>47798</v>
      </c>
      <c r="B2147" s="85">
        <v>2030</v>
      </c>
      <c r="C2147" s="85">
        <v>11</v>
      </c>
      <c r="D2147" s="85" t="s">
        <v>76</v>
      </c>
      <c r="E2147" s="85">
        <v>11</v>
      </c>
      <c r="F2147" s="85">
        <v>1</v>
      </c>
      <c r="G2147" s="85">
        <f>--(F2147&lt;=Estimator!$B$7)</f>
        <v>1</v>
      </c>
      <c r="H2147" s="86">
        <f>SUMIFS('Climate Data'!$G$7:$G$366,'Climate Data'!$A$7:$A$366,Estimator!$B$4,'Climate Data'!$B$7:$B$366,C2147)</f>
        <v>0.23333333333333334</v>
      </c>
      <c r="I2147" s="87">
        <f>SUMIFS('Climate Data'!$H$7:$H$366,'Climate Data'!$A$7:$A$366,Estimator!$B$4,'Climate Data'!$B$7:$B$366,C2147)</f>
        <v>6.4428571428571431</v>
      </c>
      <c r="J2147" s="86">
        <f>SUMIFS('Wind Proxy'!$H$8:$H$19,'Wind Proxy'!$A$8:$A$19,Estimator!$B$4,'Wind Proxy'!$B$8:$B$19,C2147)</f>
        <v>0</v>
      </c>
    </row>
    <row r="2148" spans="1:10" ht="14.4">
      <c r="A2148" s="84">
        <v>47799</v>
      </c>
      <c r="B2148" s="85">
        <v>2030</v>
      </c>
      <c r="C2148" s="85">
        <v>11</v>
      </c>
      <c r="D2148" s="85" t="s">
        <v>76</v>
      </c>
      <c r="E2148" s="85">
        <v>12</v>
      </c>
      <c r="F2148" s="85">
        <v>2</v>
      </c>
      <c r="G2148" s="85">
        <f>--(F2148&lt;=Estimator!$B$7)</f>
        <v>1</v>
      </c>
      <c r="H2148" s="86">
        <f>SUMIFS('Climate Data'!$G$7:$G$366,'Climate Data'!$A$7:$A$366,Estimator!$B$4,'Climate Data'!$B$7:$B$366,C2148)</f>
        <v>0.23333333333333334</v>
      </c>
      <c r="I2148" s="87">
        <f>SUMIFS('Climate Data'!$H$7:$H$366,'Climate Data'!$A$7:$A$366,Estimator!$B$4,'Climate Data'!$B$7:$B$366,C2148)</f>
        <v>6.4428571428571431</v>
      </c>
      <c r="J2148" s="86">
        <f>SUMIFS('Wind Proxy'!$H$8:$H$19,'Wind Proxy'!$A$8:$A$19,Estimator!$B$4,'Wind Proxy'!$B$8:$B$19,C2148)</f>
        <v>0</v>
      </c>
    </row>
    <row r="2149" spans="1:10" ht="14.4">
      <c r="A2149" s="84">
        <v>47800</v>
      </c>
      <c r="B2149" s="85">
        <v>2030</v>
      </c>
      <c r="C2149" s="85">
        <v>11</v>
      </c>
      <c r="D2149" s="85" t="s">
        <v>76</v>
      </c>
      <c r="E2149" s="85">
        <v>13</v>
      </c>
      <c r="F2149" s="85">
        <v>3</v>
      </c>
      <c r="G2149" s="85">
        <f>--(F2149&lt;=Estimator!$B$7)</f>
        <v>1</v>
      </c>
      <c r="H2149" s="86">
        <f>SUMIFS('Climate Data'!$G$7:$G$366,'Climate Data'!$A$7:$A$366,Estimator!$B$4,'Climate Data'!$B$7:$B$366,C2149)</f>
        <v>0.23333333333333334</v>
      </c>
      <c r="I2149" s="87">
        <f>SUMIFS('Climate Data'!$H$7:$H$366,'Climate Data'!$A$7:$A$366,Estimator!$B$4,'Climate Data'!$B$7:$B$366,C2149)</f>
        <v>6.4428571428571431</v>
      </c>
      <c r="J2149" s="86">
        <f>SUMIFS('Wind Proxy'!$H$8:$H$19,'Wind Proxy'!$A$8:$A$19,Estimator!$B$4,'Wind Proxy'!$B$8:$B$19,C2149)</f>
        <v>0</v>
      </c>
    </row>
    <row r="2150" spans="1:10" ht="14.4">
      <c r="A2150" s="84">
        <v>47801</v>
      </c>
      <c r="B2150" s="85">
        <v>2030</v>
      </c>
      <c r="C2150" s="85">
        <v>11</v>
      </c>
      <c r="D2150" s="85" t="s">
        <v>76</v>
      </c>
      <c r="E2150" s="85">
        <v>14</v>
      </c>
      <c r="F2150" s="85">
        <v>4</v>
      </c>
      <c r="G2150" s="85">
        <f>--(F2150&lt;=Estimator!$B$7)</f>
        <v>1</v>
      </c>
      <c r="H2150" s="86">
        <f>SUMIFS('Climate Data'!$G$7:$G$366,'Climate Data'!$A$7:$A$366,Estimator!$B$4,'Climate Data'!$B$7:$B$366,C2150)</f>
        <v>0.23333333333333334</v>
      </c>
      <c r="I2150" s="87">
        <f>SUMIFS('Climate Data'!$H$7:$H$366,'Climate Data'!$A$7:$A$366,Estimator!$B$4,'Climate Data'!$B$7:$B$366,C2150)</f>
        <v>6.4428571428571431</v>
      </c>
      <c r="J2150" s="86">
        <f>SUMIFS('Wind Proxy'!$H$8:$H$19,'Wind Proxy'!$A$8:$A$19,Estimator!$B$4,'Wind Proxy'!$B$8:$B$19,C2150)</f>
        <v>0</v>
      </c>
    </row>
    <row r="2151" spans="1:10" ht="14.4">
      <c r="A2151" s="84">
        <v>47802</v>
      </c>
      <c r="B2151" s="85">
        <v>2030</v>
      </c>
      <c r="C2151" s="85">
        <v>11</v>
      </c>
      <c r="D2151" s="85" t="s">
        <v>76</v>
      </c>
      <c r="E2151" s="85">
        <v>15</v>
      </c>
      <c r="F2151" s="85">
        <v>5</v>
      </c>
      <c r="G2151" s="85">
        <f>--(F2151&lt;=Estimator!$B$7)</f>
        <v>1</v>
      </c>
      <c r="H2151" s="86">
        <f>SUMIFS('Climate Data'!$G$7:$G$366,'Climate Data'!$A$7:$A$366,Estimator!$B$4,'Climate Data'!$B$7:$B$366,C2151)</f>
        <v>0.23333333333333334</v>
      </c>
      <c r="I2151" s="87">
        <f>SUMIFS('Climate Data'!$H$7:$H$366,'Climate Data'!$A$7:$A$366,Estimator!$B$4,'Climate Data'!$B$7:$B$366,C2151)</f>
        <v>6.4428571428571431</v>
      </c>
      <c r="J2151" s="86">
        <f>SUMIFS('Wind Proxy'!$H$8:$H$19,'Wind Proxy'!$A$8:$A$19,Estimator!$B$4,'Wind Proxy'!$B$8:$B$19,C2151)</f>
        <v>0</v>
      </c>
    </row>
    <row r="2152" spans="1:10" ht="14.4">
      <c r="A2152" s="84">
        <v>47803</v>
      </c>
      <c r="B2152" s="85">
        <v>2030</v>
      </c>
      <c r="C2152" s="85">
        <v>11</v>
      </c>
      <c r="D2152" s="85" t="s">
        <v>76</v>
      </c>
      <c r="E2152" s="85">
        <v>16</v>
      </c>
      <c r="F2152" s="85">
        <v>6</v>
      </c>
      <c r="G2152" s="85">
        <f>--(F2152&lt;=Estimator!$B$7)</f>
        <v>0</v>
      </c>
      <c r="H2152" s="86">
        <f>SUMIFS('Climate Data'!$G$7:$G$366,'Climate Data'!$A$7:$A$366,Estimator!$B$4,'Climate Data'!$B$7:$B$366,C2152)</f>
        <v>0.23333333333333334</v>
      </c>
      <c r="I2152" s="87">
        <f>SUMIFS('Climate Data'!$H$7:$H$366,'Climate Data'!$A$7:$A$366,Estimator!$B$4,'Climate Data'!$B$7:$B$366,C2152)</f>
        <v>6.4428571428571431</v>
      </c>
      <c r="J2152" s="86">
        <f>SUMIFS('Wind Proxy'!$H$8:$H$19,'Wind Proxy'!$A$8:$A$19,Estimator!$B$4,'Wind Proxy'!$B$8:$B$19,C2152)</f>
        <v>0</v>
      </c>
    </row>
    <row r="2153" spans="1:10" ht="14.4">
      <c r="A2153" s="84">
        <v>47804</v>
      </c>
      <c r="B2153" s="85">
        <v>2030</v>
      </c>
      <c r="C2153" s="85">
        <v>11</v>
      </c>
      <c r="D2153" s="85" t="s">
        <v>76</v>
      </c>
      <c r="E2153" s="85">
        <v>17</v>
      </c>
      <c r="F2153" s="85">
        <v>7</v>
      </c>
      <c r="G2153" s="85">
        <f>--(F2153&lt;=Estimator!$B$7)</f>
        <v>0</v>
      </c>
      <c r="H2153" s="86">
        <f>SUMIFS('Climate Data'!$G$7:$G$366,'Climate Data'!$A$7:$A$366,Estimator!$B$4,'Climate Data'!$B$7:$B$366,C2153)</f>
        <v>0.23333333333333334</v>
      </c>
      <c r="I2153" s="87">
        <f>SUMIFS('Climate Data'!$H$7:$H$366,'Climate Data'!$A$7:$A$366,Estimator!$B$4,'Climate Data'!$B$7:$B$366,C2153)</f>
        <v>6.4428571428571431</v>
      </c>
      <c r="J2153" s="86">
        <f>SUMIFS('Wind Proxy'!$H$8:$H$19,'Wind Proxy'!$A$8:$A$19,Estimator!$B$4,'Wind Proxy'!$B$8:$B$19,C2153)</f>
        <v>0</v>
      </c>
    </row>
    <row r="2154" spans="1:10" ht="14.4">
      <c r="A2154" s="84">
        <v>47805</v>
      </c>
      <c r="B2154" s="85">
        <v>2030</v>
      </c>
      <c r="C2154" s="85">
        <v>11</v>
      </c>
      <c r="D2154" s="85" t="s">
        <v>76</v>
      </c>
      <c r="E2154" s="85">
        <v>18</v>
      </c>
      <c r="F2154" s="85">
        <v>1</v>
      </c>
      <c r="G2154" s="85">
        <f>--(F2154&lt;=Estimator!$B$7)</f>
        <v>1</v>
      </c>
      <c r="H2154" s="86">
        <f>SUMIFS('Climate Data'!$G$7:$G$366,'Climate Data'!$A$7:$A$366,Estimator!$B$4,'Climate Data'!$B$7:$B$366,C2154)</f>
        <v>0.23333333333333334</v>
      </c>
      <c r="I2154" s="87">
        <f>SUMIFS('Climate Data'!$H$7:$H$366,'Climate Data'!$A$7:$A$366,Estimator!$B$4,'Climate Data'!$B$7:$B$366,C2154)</f>
        <v>6.4428571428571431</v>
      </c>
      <c r="J2154" s="86">
        <f>SUMIFS('Wind Proxy'!$H$8:$H$19,'Wind Proxy'!$A$8:$A$19,Estimator!$B$4,'Wind Proxy'!$B$8:$B$19,C2154)</f>
        <v>0</v>
      </c>
    </row>
    <row r="2155" spans="1:10" ht="14.4">
      <c r="A2155" s="84">
        <v>47806</v>
      </c>
      <c r="B2155" s="85">
        <v>2030</v>
      </c>
      <c r="C2155" s="85">
        <v>11</v>
      </c>
      <c r="D2155" s="85" t="s">
        <v>76</v>
      </c>
      <c r="E2155" s="85">
        <v>19</v>
      </c>
      <c r="F2155" s="85">
        <v>2</v>
      </c>
      <c r="G2155" s="85">
        <f>--(F2155&lt;=Estimator!$B$7)</f>
        <v>1</v>
      </c>
      <c r="H2155" s="86">
        <f>SUMIFS('Climate Data'!$G$7:$G$366,'Climate Data'!$A$7:$A$366,Estimator!$B$4,'Climate Data'!$B$7:$B$366,C2155)</f>
        <v>0.23333333333333334</v>
      </c>
      <c r="I2155" s="87">
        <f>SUMIFS('Climate Data'!$H$7:$H$366,'Climate Data'!$A$7:$A$366,Estimator!$B$4,'Climate Data'!$B$7:$B$366,C2155)</f>
        <v>6.4428571428571431</v>
      </c>
      <c r="J2155" s="86">
        <f>SUMIFS('Wind Proxy'!$H$8:$H$19,'Wind Proxy'!$A$8:$A$19,Estimator!$B$4,'Wind Proxy'!$B$8:$B$19,C2155)</f>
        <v>0</v>
      </c>
    </row>
    <row r="2156" spans="1:10" ht="14.4">
      <c r="A2156" s="84">
        <v>47807</v>
      </c>
      <c r="B2156" s="85">
        <v>2030</v>
      </c>
      <c r="C2156" s="85">
        <v>11</v>
      </c>
      <c r="D2156" s="85" t="s">
        <v>76</v>
      </c>
      <c r="E2156" s="85">
        <v>20</v>
      </c>
      <c r="F2156" s="85">
        <v>3</v>
      </c>
      <c r="G2156" s="85">
        <f>--(F2156&lt;=Estimator!$B$7)</f>
        <v>1</v>
      </c>
      <c r="H2156" s="86">
        <f>SUMIFS('Climate Data'!$G$7:$G$366,'Climate Data'!$A$7:$A$366,Estimator!$B$4,'Climate Data'!$B$7:$B$366,C2156)</f>
        <v>0.23333333333333334</v>
      </c>
      <c r="I2156" s="87">
        <f>SUMIFS('Climate Data'!$H$7:$H$366,'Climate Data'!$A$7:$A$366,Estimator!$B$4,'Climate Data'!$B$7:$B$366,C2156)</f>
        <v>6.4428571428571431</v>
      </c>
      <c r="J2156" s="86">
        <f>SUMIFS('Wind Proxy'!$H$8:$H$19,'Wind Proxy'!$A$8:$A$19,Estimator!$B$4,'Wind Proxy'!$B$8:$B$19,C2156)</f>
        <v>0</v>
      </c>
    </row>
    <row r="2157" spans="1:10" ht="14.4">
      <c r="A2157" s="84">
        <v>47808</v>
      </c>
      <c r="B2157" s="85">
        <v>2030</v>
      </c>
      <c r="C2157" s="85">
        <v>11</v>
      </c>
      <c r="D2157" s="85" t="s">
        <v>76</v>
      </c>
      <c r="E2157" s="85">
        <v>21</v>
      </c>
      <c r="F2157" s="85">
        <v>4</v>
      </c>
      <c r="G2157" s="85">
        <f>--(F2157&lt;=Estimator!$B$7)</f>
        <v>1</v>
      </c>
      <c r="H2157" s="86">
        <f>SUMIFS('Climate Data'!$G$7:$G$366,'Climate Data'!$A$7:$A$366,Estimator!$B$4,'Climate Data'!$B$7:$B$366,C2157)</f>
        <v>0.23333333333333334</v>
      </c>
      <c r="I2157" s="87">
        <f>SUMIFS('Climate Data'!$H$7:$H$366,'Climate Data'!$A$7:$A$366,Estimator!$B$4,'Climate Data'!$B$7:$B$366,C2157)</f>
        <v>6.4428571428571431</v>
      </c>
      <c r="J2157" s="86">
        <f>SUMIFS('Wind Proxy'!$H$8:$H$19,'Wind Proxy'!$A$8:$A$19,Estimator!$B$4,'Wind Proxy'!$B$8:$B$19,C2157)</f>
        <v>0</v>
      </c>
    </row>
    <row r="2158" spans="1:10" ht="14.4">
      <c r="A2158" s="84">
        <v>47809</v>
      </c>
      <c r="B2158" s="85">
        <v>2030</v>
      </c>
      <c r="C2158" s="85">
        <v>11</v>
      </c>
      <c r="D2158" s="85" t="s">
        <v>76</v>
      </c>
      <c r="E2158" s="85">
        <v>22</v>
      </c>
      <c r="F2158" s="85">
        <v>5</v>
      </c>
      <c r="G2158" s="85">
        <f>--(F2158&lt;=Estimator!$B$7)</f>
        <v>1</v>
      </c>
      <c r="H2158" s="86">
        <f>SUMIFS('Climate Data'!$G$7:$G$366,'Climate Data'!$A$7:$A$366,Estimator!$B$4,'Climate Data'!$B$7:$B$366,C2158)</f>
        <v>0.23333333333333334</v>
      </c>
      <c r="I2158" s="87">
        <f>SUMIFS('Climate Data'!$H$7:$H$366,'Climate Data'!$A$7:$A$366,Estimator!$B$4,'Climate Data'!$B$7:$B$366,C2158)</f>
        <v>6.4428571428571431</v>
      </c>
      <c r="J2158" s="86">
        <f>SUMIFS('Wind Proxy'!$H$8:$H$19,'Wind Proxy'!$A$8:$A$19,Estimator!$B$4,'Wind Proxy'!$B$8:$B$19,C2158)</f>
        <v>0</v>
      </c>
    </row>
    <row r="2159" spans="1:10" ht="14.4">
      <c r="A2159" s="84">
        <v>47810</v>
      </c>
      <c r="B2159" s="85">
        <v>2030</v>
      </c>
      <c r="C2159" s="85">
        <v>11</v>
      </c>
      <c r="D2159" s="85" t="s">
        <v>76</v>
      </c>
      <c r="E2159" s="85">
        <v>23</v>
      </c>
      <c r="F2159" s="85">
        <v>6</v>
      </c>
      <c r="G2159" s="85">
        <f>--(F2159&lt;=Estimator!$B$7)</f>
        <v>0</v>
      </c>
      <c r="H2159" s="86">
        <f>SUMIFS('Climate Data'!$G$7:$G$366,'Climate Data'!$A$7:$A$366,Estimator!$B$4,'Climate Data'!$B$7:$B$366,C2159)</f>
        <v>0.23333333333333334</v>
      </c>
      <c r="I2159" s="87">
        <f>SUMIFS('Climate Data'!$H$7:$H$366,'Climate Data'!$A$7:$A$366,Estimator!$B$4,'Climate Data'!$B$7:$B$366,C2159)</f>
        <v>6.4428571428571431</v>
      </c>
      <c r="J2159" s="86">
        <f>SUMIFS('Wind Proxy'!$H$8:$H$19,'Wind Proxy'!$A$8:$A$19,Estimator!$B$4,'Wind Proxy'!$B$8:$B$19,C2159)</f>
        <v>0</v>
      </c>
    </row>
    <row r="2160" spans="1:10" ht="14.4">
      <c r="A2160" s="84">
        <v>47811</v>
      </c>
      <c r="B2160" s="85">
        <v>2030</v>
      </c>
      <c r="C2160" s="85">
        <v>11</v>
      </c>
      <c r="D2160" s="85" t="s">
        <v>76</v>
      </c>
      <c r="E2160" s="85">
        <v>24</v>
      </c>
      <c r="F2160" s="85">
        <v>7</v>
      </c>
      <c r="G2160" s="85">
        <f>--(F2160&lt;=Estimator!$B$7)</f>
        <v>0</v>
      </c>
      <c r="H2160" s="86">
        <f>SUMIFS('Climate Data'!$G$7:$G$366,'Climate Data'!$A$7:$A$366,Estimator!$B$4,'Climate Data'!$B$7:$B$366,C2160)</f>
        <v>0.23333333333333334</v>
      </c>
      <c r="I2160" s="87">
        <f>SUMIFS('Climate Data'!$H$7:$H$366,'Climate Data'!$A$7:$A$366,Estimator!$B$4,'Climate Data'!$B$7:$B$366,C2160)</f>
        <v>6.4428571428571431</v>
      </c>
      <c r="J2160" s="86">
        <f>SUMIFS('Wind Proxy'!$H$8:$H$19,'Wind Proxy'!$A$8:$A$19,Estimator!$B$4,'Wind Proxy'!$B$8:$B$19,C2160)</f>
        <v>0</v>
      </c>
    </row>
    <row r="2161" spans="1:10" ht="14.4">
      <c r="A2161" s="84">
        <v>47812</v>
      </c>
      <c r="B2161" s="85">
        <v>2030</v>
      </c>
      <c r="C2161" s="85">
        <v>11</v>
      </c>
      <c r="D2161" s="85" t="s">
        <v>76</v>
      </c>
      <c r="E2161" s="85">
        <v>25</v>
      </c>
      <c r="F2161" s="85">
        <v>1</v>
      </c>
      <c r="G2161" s="85">
        <f>--(F2161&lt;=Estimator!$B$7)</f>
        <v>1</v>
      </c>
      <c r="H2161" s="86">
        <f>SUMIFS('Climate Data'!$G$7:$G$366,'Climate Data'!$A$7:$A$366,Estimator!$B$4,'Climate Data'!$B$7:$B$366,C2161)</f>
        <v>0.23333333333333334</v>
      </c>
      <c r="I2161" s="87">
        <f>SUMIFS('Climate Data'!$H$7:$H$366,'Climate Data'!$A$7:$A$366,Estimator!$B$4,'Climate Data'!$B$7:$B$366,C2161)</f>
        <v>6.4428571428571431</v>
      </c>
      <c r="J2161" s="86">
        <f>SUMIFS('Wind Proxy'!$H$8:$H$19,'Wind Proxy'!$A$8:$A$19,Estimator!$B$4,'Wind Proxy'!$B$8:$B$19,C2161)</f>
        <v>0</v>
      </c>
    </row>
    <row r="2162" spans="1:10" ht="14.4">
      <c r="A2162" s="84">
        <v>47813</v>
      </c>
      <c r="B2162" s="85">
        <v>2030</v>
      </c>
      <c r="C2162" s="85">
        <v>11</v>
      </c>
      <c r="D2162" s="85" t="s">
        <v>76</v>
      </c>
      <c r="E2162" s="85">
        <v>26</v>
      </c>
      <c r="F2162" s="85">
        <v>2</v>
      </c>
      <c r="G2162" s="85">
        <f>--(F2162&lt;=Estimator!$B$7)</f>
        <v>1</v>
      </c>
      <c r="H2162" s="86">
        <f>SUMIFS('Climate Data'!$G$7:$G$366,'Climate Data'!$A$7:$A$366,Estimator!$B$4,'Climate Data'!$B$7:$B$366,C2162)</f>
        <v>0.23333333333333334</v>
      </c>
      <c r="I2162" s="87">
        <f>SUMIFS('Climate Data'!$H$7:$H$366,'Climate Data'!$A$7:$A$366,Estimator!$B$4,'Climate Data'!$B$7:$B$366,C2162)</f>
        <v>6.4428571428571431</v>
      </c>
      <c r="J2162" s="86">
        <f>SUMIFS('Wind Proxy'!$H$8:$H$19,'Wind Proxy'!$A$8:$A$19,Estimator!$B$4,'Wind Proxy'!$B$8:$B$19,C2162)</f>
        <v>0</v>
      </c>
    </row>
    <row r="2163" spans="1:10" ht="14.4">
      <c r="A2163" s="84">
        <v>47814</v>
      </c>
      <c r="B2163" s="85">
        <v>2030</v>
      </c>
      <c r="C2163" s="85">
        <v>11</v>
      </c>
      <c r="D2163" s="85" t="s">
        <v>76</v>
      </c>
      <c r="E2163" s="85">
        <v>27</v>
      </c>
      <c r="F2163" s="85">
        <v>3</v>
      </c>
      <c r="G2163" s="85">
        <f>--(F2163&lt;=Estimator!$B$7)</f>
        <v>1</v>
      </c>
      <c r="H2163" s="86">
        <f>SUMIFS('Climate Data'!$G$7:$G$366,'Climate Data'!$A$7:$A$366,Estimator!$B$4,'Climate Data'!$B$7:$B$366,C2163)</f>
        <v>0.23333333333333334</v>
      </c>
      <c r="I2163" s="87">
        <f>SUMIFS('Climate Data'!$H$7:$H$366,'Climate Data'!$A$7:$A$366,Estimator!$B$4,'Climate Data'!$B$7:$B$366,C2163)</f>
        <v>6.4428571428571431</v>
      </c>
      <c r="J2163" s="86">
        <f>SUMIFS('Wind Proxy'!$H$8:$H$19,'Wind Proxy'!$A$8:$A$19,Estimator!$B$4,'Wind Proxy'!$B$8:$B$19,C2163)</f>
        <v>0</v>
      </c>
    </row>
    <row r="2164" spans="1:10" ht="14.4">
      <c r="A2164" s="84">
        <v>47815</v>
      </c>
      <c r="B2164" s="85">
        <v>2030</v>
      </c>
      <c r="C2164" s="85">
        <v>11</v>
      </c>
      <c r="D2164" s="85" t="s">
        <v>76</v>
      </c>
      <c r="E2164" s="85">
        <v>28</v>
      </c>
      <c r="F2164" s="85">
        <v>4</v>
      </c>
      <c r="G2164" s="85">
        <f>--(F2164&lt;=Estimator!$B$7)</f>
        <v>1</v>
      </c>
      <c r="H2164" s="86">
        <f>SUMIFS('Climate Data'!$G$7:$G$366,'Climate Data'!$A$7:$A$366,Estimator!$B$4,'Climate Data'!$B$7:$B$366,C2164)</f>
        <v>0.23333333333333334</v>
      </c>
      <c r="I2164" s="87">
        <f>SUMIFS('Climate Data'!$H$7:$H$366,'Climate Data'!$A$7:$A$366,Estimator!$B$4,'Climate Data'!$B$7:$B$366,C2164)</f>
        <v>6.4428571428571431</v>
      </c>
      <c r="J2164" s="86">
        <f>SUMIFS('Wind Proxy'!$H$8:$H$19,'Wind Proxy'!$A$8:$A$19,Estimator!$B$4,'Wind Proxy'!$B$8:$B$19,C2164)</f>
        <v>0</v>
      </c>
    </row>
    <row r="2165" spans="1:10" ht="14.4">
      <c r="A2165" s="84">
        <v>47816</v>
      </c>
      <c r="B2165" s="85">
        <v>2030</v>
      </c>
      <c r="C2165" s="85">
        <v>11</v>
      </c>
      <c r="D2165" s="85" t="s">
        <v>76</v>
      </c>
      <c r="E2165" s="85">
        <v>29</v>
      </c>
      <c r="F2165" s="85">
        <v>5</v>
      </c>
      <c r="G2165" s="85">
        <f>--(F2165&lt;=Estimator!$B$7)</f>
        <v>1</v>
      </c>
      <c r="H2165" s="86">
        <f>SUMIFS('Climate Data'!$G$7:$G$366,'Climate Data'!$A$7:$A$366,Estimator!$B$4,'Climate Data'!$B$7:$B$366,C2165)</f>
        <v>0.23333333333333334</v>
      </c>
      <c r="I2165" s="87">
        <f>SUMIFS('Climate Data'!$H$7:$H$366,'Climate Data'!$A$7:$A$366,Estimator!$B$4,'Climate Data'!$B$7:$B$366,C2165)</f>
        <v>6.4428571428571431</v>
      </c>
      <c r="J2165" s="86">
        <f>SUMIFS('Wind Proxy'!$H$8:$H$19,'Wind Proxy'!$A$8:$A$19,Estimator!$B$4,'Wind Proxy'!$B$8:$B$19,C2165)</f>
        <v>0</v>
      </c>
    </row>
    <row r="2166" spans="1:10" ht="14.4">
      <c r="A2166" s="84">
        <v>47817</v>
      </c>
      <c r="B2166" s="85">
        <v>2030</v>
      </c>
      <c r="C2166" s="85">
        <v>11</v>
      </c>
      <c r="D2166" s="85" t="s">
        <v>76</v>
      </c>
      <c r="E2166" s="85">
        <v>30</v>
      </c>
      <c r="F2166" s="85">
        <v>6</v>
      </c>
      <c r="G2166" s="85">
        <f>--(F2166&lt;=Estimator!$B$7)</f>
        <v>0</v>
      </c>
      <c r="H2166" s="86">
        <f>SUMIFS('Climate Data'!$G$7:$G$366,'Climate Data'!$A$7:$A$366,Estimator!$B$4,'Climate Data'!$B$7:$B$366,C2166)</f>
        <v>0.23333333333333334</v>
      </c>
      <c r="I2166" s="87">
        <f>SUMIFS('Climate Data'!$H$7:$H$366,'Climate Data'!$A$7:$A$366,Estimator!$B$4,'Climate Data'!$B$7:$B$366,C2166)</f>
        <v>6.4428571428571431</v>
      </c>
      <c r="J2166" s="86">
        <f>SUMIFS('Wind Proxy'!$H$8:$H$19,'Wind Proxy'!$A$8:$A$19,Estimator!$B$4,'Wind Proxy'!$B$8:$B$19,C2166)</f>
        <v>0</v>
      </c>
    </row>
    <row r="2167" spans="1:10" ht="14.4">
      <c r="A2167" s="84">
        <v>47818</v>
      </c>
      <c r="B2167" s="85">
        <v>2030</v>
      </c>
      <c r="C2167" s="85">
        <v>12</v>
      </c>
      <c r="D2167" s="85" t="s">
        <v>77</v>
      </c>
      <c r="E2167" s="85">
        <v>1</v>
      </c>
      <c r="F2167" s="85">
        <v>7</v>
      </c>
      <c r="G2167" s="85">
        <f>--(F2167&lt;=Estimator!$B$7)</f>
        <v>0</v>
      </c>
      <c r="H2167" s="86">
        <f>SUMIFS('Climate Data'!$G$7:$G$366,'Climate Data'!$A$7:$A$366,Estimator!$B$4,'Climate Data'!$B$7:$B$366,C2167)</f>
        <v>0.22688172043010751</v>
      </c>
      <c r="I2167" s="87">
        <f>SUMIFS('Climate Data'!$H$7:$H$366,'Climate Data'!$A$7:$A$366,Estimator!$B$4,'Climate Data'!$B$7:$B$366,C2167)</f>
        <v>6.7962085308056865</v>
      </c>
      <c r="J2167" s="86">
        <f>SUMIFS('Wind Proxy'!$H$8:$H$19,'Wind Proxy'!$A$8:$A$19,Estimator!$B$4,'Wind Proxy'!$B$8:$B$19,C2167)</f>
        <v>0</v>
      </c>
    </row>
    <row r="2168" spans="1:10" ht="14.4">
      <c r="A2168" s="84">
        <v>47819</v>
      </c>
      <c r="B2168" s="85">
        <v>2030</v>
      </c>
      <c r="C2168" s="85">
        <v>12</v>
      </c>
      <c r="D2168" s="85" t="s">
        <v>77</v>
      </c>
      <c r="E2168" s="85">
        <v>2</v>
      </c>
      <c r="F2168" s="85">
        <v>1</v>
      </c>
      <c r="G2168" s="85">
        <f>--(F2168&lt;=Estimator!$B$7)</f>
        <v>1</v>
      </c>
      <c r="H2168" s="86">
        <f>SUMIFS('Climate Data'!$G$7:$G$366,'Climate Data'!$A$7:$A$366,Estimator!$B$4,'Climate Data'!$B$7:$B$366,C2168)</f>
        <v>0.22688172043010751</v>
      </c>
      <c r="I2168" s="87">
        <f>SUMIFS('Climate Data'!$H$7:$H$366,'Climate Data'!$A$7:$A$366,Estimator!$B$4,'Climate Data'!$B$7:$B$366,C2168)</f>
        <v>6.7962085308056865</v>
      </c>
      <c r="J2168" s="86">
        <f>SUMIFS('Wind Proxy'!$H$8:$H$19,'Wind Proxy'!$A$8:$A$19,Estimator!$B$4,'Wind Proxy'!$B$8:$B$19,C2168)</f>
        <v>0</v>
      </c>
    </row>
    <row r="2169" spans="1:10" ht="14.4">
      <c r="A2169" s="84">
        <v>47820</v>
      </c>
      <c r="B2169" s="85">
        <v>2030</v>
      </c>
      <c r="C2169" s="85">
        <v>12</v>
      </c>
      <c r="D2169" s="85" t="s">
        <v>77</v>
      </c>
      <c r="E2169" s="85">
        <v>3</v>
      </c>
      <c r="F2169" s="85">
        <v>2</v>
      </c>
      <c r="G2169" s="85">
        <f>--(F2169&lt;=Estimator!$B$7)</f>
        <v>1</v>
      </c>
      <c r="H2169" s="86">
        <f>SUMIFS('Climate Data'!$G$7:$G$366,'Climate Data'!$A$7:$A$366,Estimator!$B$4,'Climate Data'!$B$7:$B$366,C2169)</f>
        <v>0.22688172043010751</v>
      </c>
      <c r="I2169" s="87">
        <f>SUMIFS('Climate Data'!$H$7:$H$366,'Climate Data'!$A$7:$A$366,Estimator!$B$4,'Climate Data'!$B$7:$B$366,C2169)</f>
        <v>6.7962085308056865</v>
      </c>
      <c r="J2169" s="86">
        <f>SUMIFS('Wind Proxy'!$H$8:$H$19,'Wind Proxy'!$A$8:$A$19,Estimator!$B$4,'Wind Proxy'!$B$8:$B$19,C2169)</f>
        <v>0</v>
      </c>
    </row>
    <row r="2170" spans="1:10" ht="14.4">
      <c r="A2170" s="84">
        <v>47821</v>
      </c>
      <c r="B2170" s="85">
        <v>2030</v>
      </c>
      <c r="C2170" s="85">
        <v>12</v>
      </c>
      <c r="D2170" s="85" t="s">
        <v>77</v>
      </c>
      <c r="E2170" s="85">
        <v>4</v>
      </c>
      <c r="F2170" s="85">
        <v>3</v>
      </c>
      <c r="G2170" s="85">
        <f>--(F2170&lt;=Estimator!$B$7)</f>
        <v>1</v>
      </c>
      <c r="H2170" s="86">
        <f>SUMIFS('Climate Data'!$G$7:$G$366,'Climate Data'!$A$7:$A$366,Estimator!$B$4,'Climate Data'!$B$7:$B$366,C2170)</f>
        <v>0.22688172043010751</v>
      </c>
      <c r="I2170" s="87">
        <f>SUMIFS('Climate Data'!$H$7:$H$366,'Climate Data'!$A$7:$A$366,Estimator!$B$4,'Climate Data'!$B$7:$B$366,C2170)</f>
        <v>6.7962085308056865</v>
      </c>
      <c r="J2170" s="86">
        <f>SUMIFS('Wind Proxy'!$H$8:$H$19,'Wind Proxy'!$A$8:$A$19,Estimator!$B$4,'Wind Proxy'!$B$8:$B$19,C2170)</f>
        <v>0</v>
      </c>
    </row>
    <row r="2171" spans="1:10" ht="14.4">
      <c r="A2171" s="84">
        <v>47822</v>
      </c>
      <c r="B2171" s="85">
        <v>2030</v>
      </c>
      <c r="C2171" s="85">
        <v>12</v>
      </c>
      <c r="D2171" s="85" t="s">
        <v>77</v>
      </c>
      <c r="E2171" s="85">
        <v>5</v>
      </c>
      <c r="F2171" s="85">
        <v>4</v>
      </c>
      <c r="G2171" s="85">
        <f>--(F2171&lt;=Estimator!$B$7)</f>
        <v>1</v>
      </c>
      <c r="H2171" s="86">
        <f>SUMIFS('Climate Data'!$G$7:$G$366,'Climate Data'!$A$7:$A$366,Estimator!$B$4,'Climate Data'!$B$7:$B$366,C2171)</f>
        <v>0.22688172043010751</v>
      </c>
      <c r="I2171" s="87">
        <f>SUMIFS('Climate Data'!$H$7:$H$366,'Climate Data'!$A$7:$A$366,Estimator!$B$4,'Climate Data'!$B$7:$B$366,C2171)</f>
        <v>6.7962085308056865</v>
      </c>
      <c r="J2171" s="86">
        <f>SUMIFS('Wind Proxy'!$H$8:$H$19,'Wind Proxy'!$A$8:$A$19,Estimator!$B$4,'Wind Proxy'!$B$8:$B$19,C2171)</f>
        <v>0</v>
      </c>
    </row>
    <row r="2172" spans="1:10" ht="14.4">
      <c r="A2172" s="84">
        <v>47823</v>
      </c>
      <c r="B2172" s="85">
        <v>2030</v>
      </c>
      <c r="C2172" s="85">
        <v>12</v>
      </c>
      <c r="D2172" s="85" t="s">
        <v>77</v>
      </c>
      <c r="E2172" s="85">
        <v>6</v>
      </c>
      <c r="F2172" s="85">
        <v>5</v>
      </c>
      <c r="G2172" s="85">
        <f>--(F2172&lt;=Estimator!$B$7)</f>
        <v>1</v>
      </c>
      <c r="H2172" s="86">
        <f>SUMIFS('Climate Data'!$G$7:$G$366,'Climate Data'!$A$7:$A$366,Estimator!$B$4,'Climate Data'!$B$7:$B$366,C2172)</f>
        <v>0.22688172043010751</v>
      </c>
      <c r="I2172" s="87">
        <f>SUMIFS('Climate Data'!$H$7:$H$366,'Climate Data'!$A$7:$A$366,Estimator!$B$4,'Climate Data'!$B$7:$B$366,C2172)</f>
        <v>6.7962085308056865</v>
      </c>
      <c r="J2172" s="86">
        <f>SUMIFS('Wind Proxy'!$H$8:$H$19,'Wind Proxy'!$A$8:$A$19,Estimator!$B$4,'Wind Proxy'!$B$8:$B$19,C2172)</f>
        <v>0</v>
      </c>
    </row>
    <row r="2173" spans="1:10" ht="14.4">
      <c r="A2173" s="84">
        <v>47824</v>
      </c>
      <c r="B2173" s="85">
        <v>2030</v>
      </c>
      <c r="C2173" s="85">
        <v>12</v>
      </c>
      <c r="D2173" s="85" t="s">
        <v>77</v>
      </c>
      <c r="E2173" s="85">
        <v>7</v>
      </c>
      <c r="F2173" s="85">
        <v>6</v>
      </c>
      <c r="G2173" s="85">
        <f>--(F2173&lt;=Estimator!$B$7)</f>
        <v>0</v>
      </c>
      <c r="H2173" s="86">
        <f>SUMIFS('Climate Data'!$G$7:$G$366,'Climate Data'!$A$7:$A$366,Estimator!$B$4,'Climate Data'!$B$7:$B$366,C2173)</f>
        <v>0.22688172043010751</v>
      </c>
      <c r="I2173" s="87">
        <f>SUMIFS('Climate Data'!$H$7:$H$366,'Climate Data'!$A$7:$A$366,Estimator!$B$4,'Climate Data'!$B$7:$B$366,C2173)</f>
        <v>6.7962085308056865</v>
      </c>
      <c r="J2173" s="86">
        <f>SUMIFS('Wind Proxy'!$H$8:$H$19,'Wind Proxy'!$A$8:$A$19,Estimator!$B$4,'Wind Proxy'!$B$8:$B$19,C2173)</f>
        <v>0</v>
      </c>
    </row>
    <row r="2174" spans="1:10" ht="14.4">
      <c r="A2174" s="84">
        <v>47825</v>
      </c>
      <c r="B2174" s="85">
        <v>2030</v>
      </c>
      <c r="C2174" s="85">
        <v>12</v>
      </c>
      <c r="D2174" s="85" t="s">
        <v>77</v>
      </c>
      <c r="E2174" s="85">
        <v>8</v>
      </c>
      <c r="F2174" s="85">
        <v>7</v>
      </c>
      <c r="G2174" s="85">
        <f>--(F2174&lt;=Estimator!$B$7)</f>
        <v>0</v>
      </c>
      <c r="H2174" s="86">
        <f>SUMIFS('Climate Data'!$G$7:$G$366,'Climate Data'!$A$7:$A$366,Estimator!$B$4,'Climate Data'!$B$7:$B$366,C2174)</f>
        <v>0.22688172043010751</v>
      </c>
      <c r="I2174" s="87">
        <f>SUMIFS('Climate Data'!$H$7:$H$366,'Climate Data'!$A$7:$A$366,Estimator!$B$4,'Climate Data'!$B$7:$B$366,C2174)</f>
        <v>6.7962085308056865</v>
      </c>
      <c r="J2174" s="86">
        <f>SUMIFS('Wind Proxy'!$H$8:$H$19,'Wind Proxy'!$A$8:$A$19,Estimator!$B$4,'Wind Proxy'!$B$8:$B$19,C2174)</f>
        <v>0</v>
      </c>
    </row>
    <row r="2175" spans="1:10" ht="14.4">
      <c r="A2175" s="84">
        <v>47826</v>
      </c>
      <c r="B2175" s="85">
        <v>2030</v>
      </c>
      <c r="C2175" s="85">
        <v>12</v>
      </c>
      <c r="D2175" s="85" t="s">
        <v>77</v>
      </c>
      <c r="E2175" s="85">
        <v>9</v>
      </c>
      <c r="F2175" s="85">
        <v>1</v>
      </c>
      <c r="G2175" s="85">
        <f>--(F2175&lt;=Estimator!$B$7)</f>
        <v>1</v>
      </c>
      <c r="H2175" s="86">
        <f>SUMIFS('Climate Data'!$G$7:$G$366,'Climate Data'!$A$7:$A$366,Estimator!$B$4,'Climate Data'!$B$7:$B$366,C2175)</f>
        <v>0.22688172043010751</v>
      </c>
      <c r="I2175" s="87">
        <f>SUMIFS('Climate Data'!$H$7:$H$366,'Climate Data'!$A$7:$A$366,Estimator!$B$4,'Climate Data'!$B$7:$B$366,C2175)</f>
        <v>6.7962085308056865</v>
      </c>
      <c r="J2175" s="86">
        <f>SUMIFS('Wind Proxy'!$H$8:$H$19,'Wind Proxy'!$A$8:$A$19,Estimator!$B$4,'Wind Proxy'!$B$8:$B$19,C2175)</f>
        <v>0</v>
      </c>
    </row>
    <row r="2176" spans="1:10" ht="14.4">
      <c r="A2176" s="84">
        <v>47827</v>
      </c>
      <c r="B2176" s="85">
        <v>2030</v>
      </c>
      <c r="C2176" s="85">
        <v>12</v>
      </c>
      <c r="D2176" s="85" t="s">
        <v>77</v>
      </c>
      <c r="E2176" s="85">
        <v>10</v>
      </c>
      <c r="F2176" s="85">
        <v>2</v>
      </c>
      <c r="G2176" s="85">
        <f>--(F2176&lt;=Estimator!$B$7)</f>
        <v>1</v>
      </c>
      <c r="H2176" s="86">
        <f>SUMIFS('Climate Data'!$G$7:$G$366,'Climate Data'!$A$7:$A$366,Estimator!$B$4,'Climate Data'!$B$7:$B$366,C2176)</f>
        <v>0.22688172043010751</v>
      </c>
      <c r="I2176" s="87">
        <f>SUMIFS('Climate Data'!$H$7:$H$366,'Climate Data'!$A$7:$A$366,Estimator!$B$4,'Climate Data'!$B$7:$B$366,C2176)</f>
        <v>6.7962085308056865</v>
      </c>
      <c r="J2176" s="86">
        <f>SUMIFS('Wind Proxy'!$H$8:$H$19,'Wind Proxy'!$A$8:$A$19,Estimator!$B$4,'Wind Proxy'!$B$8:$B$19,C2176)</f>
        <v>0</v>
      </c>
    </row>
    <row r="2177" spans="1:10" ht="14.4">
      <c r="A2177" s="84">
        <v>47828</v>
      </c>
      <c r="B2177" s="85">
        <v>2030</v>
      </c>
      <c r="C2177" s="85">
        <v>12</v>
      </c>
      <c r="D2177" s="85" t="s">
        <v>77</v>
      </c>
      <c r="E2177" s="85">
        <v>11</v>
      </c>
      <c r="F2177" s="85">
        <v>3</v>
      </c>
      <c r="G2177" s="85">
        <f>--(F2177&lt;=Estimator!$B$7)</f>
        <v>1</v>
      </c>
      <c r="H2177" s="86">
        <f>SUMIFS('Climate Data'!$G$7:$G$366,'Climate Data'!$A$7:$A$366,Estimator!$B$4,'Climate Data'!$B$7:$B$366,C2177)</f>
        <v>0.22688172043010751</v>
      </c>
      <c r="I2177" s="87">
        <f>SUMIFS('Climate Data'!$H$7:$H$366,'Climate Data'!$A$7:$A$366,Estimator!$B$4,'Climate Data'!$B$7:$B$366,C2177)</f>
        <v>6.7962085308056865</v>
      </c>
      <c r="J2177" s="86">
        <f>SUMIFS('Wind Proxy'!$H$8:$H$19,'Wind Proxy'!$A$8:$A$19,Estimator!$B$4,'Wind Proxy'!$B$8:$B$19,C2177)</f>
        <v>0</v>
      </c>
    </row>
    <row r="2178" spans="1:10" ht="14.4">
      <c r="A2178" s="84">
        <v>47829</v>
      </c>
      <c r="B2178" s="85">
        <v>2030</v>
      </c>
      <c r="C2178" s="85">
        <v>12</v>
      </c>
      <c r="D2178" s="85" t="s">
        <v>77</v>
      </c>
      <c r="E2178" s="85">
        <v>12</v>
      </c>
      <c r="F2178" s="85">
        <v>4</v>
      </c>
      <c r="G2178" s="85">
        <f>--(F2178&lt;=Estimator!$B$7)</f>
        <v>1</v>
      </c>
      <c r="H2178" s="86">
        <f>SUMIFS('Climate Data'!$G$7:$G$366,'Climate Data'!$A$7:$A$366,Estimator!$B$4,'Climate Data'!$B$7:$B$366,C2178)</f>
        <v>0.22688172043010751</v>
      </c>
      <c r="I2178" s="87">
        <f>SUMIFS('Climate Data'!$H$7:$H$366,'Climate Data'!$A$7:$A$366,Estimator!$B$4,'Climate Data'!$B$7:$B$366,C2178)</f>
        <v>6.7962085308056865</v>
      </c>
      <c r="J2178" s="86">
        <f>SUMIFS('Wind Proxy'!$H$8:$H$19,'Wind Proxy'!$A$8:$A$19,Estimator!$B$4,'Wind Proxy'!$B$8:$B$19,C2178)</f>
        <v>0</v>
      </c>
    </row>
    <row r="2179" spans="1:10" ht="14.4">
      <c r="A2179" s="84">
        <v>47830</v>
      </c>
      <c r="B2179" s="85">
        <v>2030</v>
      </c>
      <c r="C2179" s="85">
        <v>12</v>
      </c>
      <c r="D2179" s="85" t="s">
        <v>77</v>
      </c>
      <c r="E2179" s="85">
        <v>13</v>
      </c>
      <c r="F2179" s="85">
        <v>5</v>
      </c>
      <c r="G2179" s="85">
        <f>--(F2179&lt;=Estimator!$B$7)</f>
        <v>1</v>
      </c>
      <c r="H2179" s="86">
        <f>SUMIFS('Climate Data'!$G$7:$G$366,'Climate Data'!$A$7:$A$366,Estimator!$B$4,'Climate Data'!$B$7:$B$366,C2179)</f>
        <v>0.22688172043010751</v>
      </c>
      <c r="I2179" s="87">
        <f>SUMIFS('Climate Data'!$H$7:$H$366,'Climate Data'!$A$7:$A$366,Estimator!$B$4,'Climate Data'!$B$7:$B$366,C2179)</f>
        <v>6.7962085308056865</v>
      </c>
      <c r="J2179" s="86">
        <f>SUMIFS('Wind Proxy'!$H$8:$H$19,'Wind Proxy'!$A$8:$A$19,Estimator!$B$4,'Wind Proxy'!$B$8:$B$19,C2179)</f>
        <v>0</v>
      </c>
    </row>
    <row r="2180" spans="1:10" ht="14.4">
      <c r="A2180" s="84">
        <v>47831</v>
      </c>
      <c r="B2180" s="85">
        <v>2030</v>
      </c>
      <c r="C2180" s="85">
        <v>12</v>
      </c>
      <c r="D2180" s="85" t="s">
        <v>77</v>
      </c>
      <c r="E2180" s="85">
        <v>14</v>
      </c>
      <c r="F2180" s="85">
        <v>6</v>
      </c>
      <c r="G2180" s="85">
        <f>--(F2180&lt;=Estimator!$B$7)</f>
        <v>0</v>
      </c>
      <c r="H2180" s="86">
        <f>SUMIFS('Climate Data'!$G$7:$G$366,'Climate Data'!$A$7:$A$366,Estimator!$B$4,'Climate Data'!$B$7:$B$366,C2180)</f>
        <v>0.22688172043010751</v>
      </c>
      <c r="I2180" s="87">
        <f>SUMIFS('Climate Data'!$H$7:$H$366,'Climate Data'!$A$7:$A$366,Estimator!$B$4,'Climate Data'!$B$7:$B$366,C2180)</f>
        <v>6.7962085308056865</v>
      </c>
      <c r="J2180" s="86">
        <f>SUMIFS('Wind Proxy'!$H$8:$H$19,'Wind Proxy'!$A$8:$A$19,Estimator!$B$4,'Wind Proxy'!$B$8:$B$19,C2180)</f>
        <v>0</v>
      </c>
    </row>
    <row r="2181" spans="1:10" ht="14.4">
      <c r="A2181" s="84">
        <v>47832</v>
      </c>
      <c r="B2181" s="85">
        <v>2030</v>
      </c>
      <c r="C2181" s="85">
        <v>12</v>
      </c>
      <c r="D2181" s="85" t="s">
        <v>77</v>
      </c>
      <c r="E2181" s="85">
        <v>15</v>
      </c>
      <c r="F2181" s="85">
        <v>7</v>
      </c>
      <c r="G2181" s="85">
        <f>--(F2181&lt;=Estimator!$B$7)</f>
        <v>0</v>
      </c>
      <c r="H2181" s="86">
        <f>SUMIFS('Climate Data'!$G$7:$G$366,'Climate Data'!$A$7:$A$366,Estimator!$B$4,'Climate Data'!$B$7:$B$366,C2181)</f>
        <v>0.22688172043010751</v>
      </c>
      <c r="I2181" s="87">
        <f>SUMIFS('Climate Data'!$H$7:$H$366,'Climate Data'!$A$7:$A$366,Estimator!$B$4,'Climate Data'!$B$7:$B$366,C2181)</f>
        <v>6.7962085308056865</v>
      </c>
      <c r="J2181" s="86">
        <f>SUMIFS('Wind Proxy'!$H$8:$H$19,'Wind Proxy'!$A$8:$A$19,Estimator!$B$4,'Wind Proxy'!$B$8:$B$19,C2181)</f>
        <v>0</v>
      </c>
    </row>
    <row r="2182" spans="1:10" ht="14.4">
      <c r="A2182" s="84">
        <v>47833</v>
      </c>
      <c r="B2182" s="85">
        <v>2030</v>
      </c>
      <c r="C2182" s="85">
        <v>12</v>
      </c>
      <c r="D2182" s="85" t="s">
        <v>77</v>
      </c>
      <c r="E2182" s="85">
        <v>16</v>
      </c>
      <c r="F2182" s="85">
        <v>1</v>
      </c>
      <c r="G2182" s="85">
        <f>--(F2182&lt;=Estimator!$B$7)</f>
        <v>1</v>
      </c>
      <c r="H2182" s="86">
        <f>SUMIFS('Climate Data'!$G$7:$G$366,'Climate Data'!$A$7:$A$366,Estimator!$B$4,'Climate Data'!$B$7:$B$366,C2182)</f>
        <v>0.22688172043010751</v>
      </c>
      <c r="I2182" s="87">
        <f>SUMIFS('Climate Data'!$H$7:$H$366,'Climate Data'!$A$7:$A$366,Estimator!$B$4,'Climate Data'!$B$7:$B$366,C2182)</f>
        <v>6.7962085308056865</v>
      </c>
      <c r="J2182" s="86">
        <f>SUMIFS('Wind Proxy'!$H$8:$H$19,'Wind Proxy'!$A$8:$A$19,Estimator!$B$4,'Wind Proxy'!$B$8:$B$19,C2182)</f>
        <v>0</v>
      </c>
    </row>
    <row r="2183" spans="1:10" ht="14.4">
      <c r="A2183" s="84">
        <v>47834</v>
      </c>
      <c r="B2183" s="85">
        <v>2030</v>
      </c>
      <c r="C2183" s="85">
        <v>12</v>
      </c>
      <c r="D2183" s="85" t="s">
        <v>77</v>
      </c>
      <c r="E2183" s="85">
        <v>17</v>
      </c>
      <c r="F2183" s="85">
        <v>2</v>
      </c>
      <c r="G2183" s="85">
        <f>--(F2183&lt;=Estimator!$B$7)</f>
        <v>1</v>
      </c>
      <c r="H2183" s="86">
        <f>SUMIFS('Climate Data'!$G$7:$G$366,'Climate Data'!$A$7:$A$366,Estimator!$B$4,'Climate Data'!$B$7:$B$366,C2183)</f>
        <v>0.22688172043010751</v>
      </c>
      <c r="I2183" s="87">
        <f>SUMIFS('Climate Data'!$H$7:$H$366,'Climate Data'!$A$7:$A$366,Estimator!$B$4,'Climate Data'!$B$7:$B$366,C2183)</f>
        <v>6.7962085308056865</v>
      </c>
      <c r="J2183" s="86">
        <f>SUMIFS('Wind Proxy'!$H$8:$H$19,'Wind Proxy'!$A$8:$A$19,Estimator!$B$4,'Wind Proxy'!$B$8:$B$19,C2183)</f>
        <v>0</v>
      </c>
    </row>
    <row r="2184" spans="1:10" ht="14.4">
      <c r="A2184" s="84">
        <v>47835</v>
      </c>
      <c r="B2184" s="85">
        <v>2030</v>
      </c>
      <c r="C2184" s="85">
        <v>12</v>
      </c>
      <c r="D2184" s="85" t="s">
        <v>77</v>
      </c>
      <c r="E2184" s="85">
        <v>18</v>
      </c>
      <c r="F2184" s="85">
        <v>3</v>
      </c>
      <c r="G2184" s="85">
        <f>--(F2184&lt;=Estimator!$B$7)</f>
        <v>1</v>
      </c>
      <c r="H2184" s="86">
        <f>SUMIFS('Climate Data'!$G$7:$G$366,'Climate Data'!$A$7:$A$366,Estimator!$B$4,'Climate Data'!$B$7:$B$366,C2184)</f>
        <v>0.22688172043010751</v>
      </c>
      <c r="I2184" s="87">
        <f>SUMIFS('Climate Data'!$H$7:$H$366,'Climate Data'!$A$7:$A$366,Estimator!$B$4,'Climate Data'!$B$7:$B$366,C2184)</f>
        <v>6.7962085308056865</v>
      </c>
      <c r="J2184" s="86">
        <f>SUMIFS('Wind Proxy'!$H$8:$H$19,'Wind Proxy'!$A$8:$A$19,Estimator!$B$4,'Wind Proxy'!$B$8:$B$19,C2184)</f>
        <v>0</v>
      </c>
    </row>
    <row r="2185" spans="1:10" ht="14.4">
      <c r="A2185" s="84">
        <v>47836</v>
      </c>
      <c r="B2185" s="85">
        <v>2030</v>
      </c>
      <c r="C2185" s="85">
        <v>12</v>
      </c>
      <c r="D2185" s="85" t="s">
        <v>77</v>
      </c>
      <c r="E2185" s="85">
        <v>19</v>
      </c>
      <c r="F2185" s="85">
        <v>4</v>
      </c>
      <c r="G2185" s="85">
        <f>--(F2185&lt;=Estimator!$B$7)</f>
        <v>1</v>
      </c>
      <c r="H2185" s="86">
        <f>SUMIFS('Climate Data'!$G$7:$G$366,'Climate Data'!$A$7:$A$366,Estimator!$B$4,'Climate Data'!$B$7:$B$366,C2185)</f>
        <v>0.22688172043010751</v>
      </c>
      <c r="I2185" s="87">
        <f>SUMIFS('Climate Data'!$H$7:$H$366,'Climate Data'!$A$7:$A$366,Estimator!$B$4,'Climate Data'!$B$7:$B$366,C2185)</f>
        <v>6.7962085308056865</v>
      </c>
      <c r="J2185" s="86">
        <f>SUMIFS('Wind Proxy'!$H$8:$H$19,'Wind Proxy'!$A$8:$A$19,Estimator!$B$4,'Wind Proxy'!$B$8:$B$19,C2185)</f>
        <v>0</v>
      </c>
    </row>
    <row r="2186" spans="1:10" ht="14.4">
      <c r="A2186" s="84">
        <v>47837</v>
      </c>
      <c r="B2186" s="85">
        <v>2030</v>
      </c>
      <c r="C2186" s="85">
        <v>12</v>
      </c>
      <c r="D2186" s="85" t="s">
        <v>77</v>
      </c>
      <c r="E2186" s="85">
        <v>20</v>
      </c>
      <c r="F2186" s="85">
        <v>5</v>
      </c>
      <c r="G2186" s="85">
        <f>--(F2186&lt;=Estimator!$B$7)</f>
        <v>1</v>
      </c>
      <c r="H2186" s="86">
        <f>SUMIFS('Climate Data'!$G$7:$G$366,'Climate Data'!$A$7:$A$366,Estimator!$B$4,'Climate Data'!$B$7:$B$366,C2186)</f>
        <v>0.22688172043010751</v>
      </c>
      <c r="I2186" s="87">
        <f>SUMIFS('Climate Data'!$H$7:$H$366,'Climate Data'!$A$7:$A$366,Estimator!$B$4,'Climate Data'!$B$7:$B$366,C2186)</f>
        <v>6.7962085308056865</v>
      </c>
      <c r="J2186" s="86">
        <f>SUMIFS('Wind Proxy'!$H$8:$H$19,'Wind Proxy'!$A$8:$A$19,Estimator!$B$4,'Wind Proxy'!$B$8:$B$19,C2186)</f>
        <v>0</v>
      </c>
    </row>
    <row r="2187" spans="1:10" ht="14.4">
      <c r="A2187" s="84">
        <v>47838</v>
      </c>
      <c r="B2187" s="85">
        <v>2030</v>
      </c>
      <c r="C2187" s="85">
        <v>12</v>
      </c>
      <c r="D2187" s="85" t="s">
        <v>77</v>
      </c>
      <c r="E2187" s="85">
        <v>21</v>
      </c>
      <c r="F2187" s="85">
        <v>6</v>
      </c>
      <c r="G2187" s="85">
        <f>--(F2187&lt;=Estimator!$B$7)</f>
        <v>0</v>
      </c>
      <c r="H2187" s="86">
        <f>SUMIFS('Climate Data'!$G$7:$G$366,'Climate Data'!$A$7:$A$366,Estimator!$B$4,'Climate Data'!$B$7:$B$366,C2187)</f>
        <v>0.22688172043010751</v>
      </c>
      <c r="I2187" s="87">
        <f>SUMIFS('Climate Data'!$H$7:$H$366,'Climate Data'!$A$7:$A$366,Estimator!$B$4,'Climate Data'!$B$7:$B$366,C2187)</f>
        <v>6.7962085308056865</v>
      </c>
      <c r="J2187" s="86">
        <f>SUMIFS('Wind Proxy'!$H$8:$H$19,'Wind Proxy'!$A$8:$A$19,Estimator!$B$4,'Wind Proxy'!$B$8:$B$19,C2187)</f>
        <v>0</v>
      </c>
    </row>
    <row r="2188" spans="1:10" ht="14.4">
      <c r="A2188" s="84">
        <v>47839</v>
      </c>
      <c r="B2188" s="85">
        <v>2030</v>
      </c>
      <c r="C2188" s="85">
        <v>12</v>
      </c>
      <c r="D2188" s="85" t="s">
        <v>77</v>
      </c>
      <c r="E2188" s="85">
        <v>22</v>
      </c>
      <c r="F2188" s="85">
        <v>7</v>
      </c>
      <c r="G2188" s="85">
        <f>--(F2188&lt;=Estimator!$B$7)</f>
        <v>0</v>
      </c>
      <c r="H2188" s="86">
        <f>SUMIFS('Climate Data'!$G$7:$G$366,'Climate Data'!$A$7:$A$366,Estimator!$B$4,'Climate Data'!$B$7:$B$366,C2188)</f>
        <v>0.22688172043010751</v>
      </c>
      <c r="I2188" s="87">
        <f>SUMIFS('Climate Data'!$H$7:$H$366,'Climate Data'!$A$7:$A$366,Estimator!$B$4,'Climate Data'!$B$7:$B$366,C2188)</f>
        <v>6.7962085308056865</v>
      </c>
      <c r="J2188" s="86">
        <f>SUMIFS('Wind Proxy'!$H$8:$H$19,'Wind Proxy'!$A$8:$A$19,Estimator!$B$4,'Wind Proxy'!$B$8:$B$19,C2188)</f>
        <v>0</v>
      </c>
    </row>
    <row r="2189" spans="1:10" ht="14.4">
      <c r="A2189" s="84">
        <v>47840</v>
      </c>
      <c r="B2189" s="85">
        <v>2030</v>
      </c>
      <c r="C2189" s="85">
        <v>12</v>
      </c>
      <c r="D2189" s="85" t="s">
        <v>77</v>
      </c>
      <c r="E2189" s="85">
        <v>23</v>
      </c>
      <c r="F2189" s="85">
        <v>1</v>
      </c>
      <c r="G2189" s="85">
        <f>--(F2189&lt;=Estimator!$B$7)</f>
        <v>1</v>
      </c>
      <c r="H2189" s="86">
        <f>SUMIFS('Climate Data'!$G$7:$G$366,'Climate Data'!$A$7:$A$366,Estimator!$B$4,'Climate Data'!$B$7:$B$366,C2189)</f>
        <v>0.22688172043010751</v>
      </c>
      <c r="I2189" s="87">
        <f>SUMIFS('Climate Data'!$H$7:$H$366,'Climate Data'!$A$7:$A$366,Estimator!$B$4,'Climate Data'!$B$7:$B$366,C2189)</f>
        <v>6.7962085308056865</v>
      </c>
      <c r="J2189" s="86">
        <f>SUMIFS('Wind Proxy'!$H$8:$H$19,'Wind Proxy'!$A$8:$A$19,Estimator!$B$4,'Wind Proxy'!$B$8:$B$19,C2189)</f>
        <v>0</v>
      </c>
    </row>
    <row r="2190" spans="1:10" ht="14.4">
      <c r="A2190" s="84">
        <v>47841</v>
      </c>
      <c r="B2190" s="85">
        <v>2030</v>
      </c>
      <c r="C2190" s="85">
        <v>12</v>
      </c>
      <c r="D2190" s="85" t="s">
        <v>77</v>
      </c>
      <c r="E2190" s="85">
        <v>24</v>
      </c>
      <c r="F2190" s="85">
        <v>2</v>
      </c>
      <c r="G2190" s="85">
        <f>--(F2190&lt;=Estimator!$B$7)</f>
        <v>1</v>
      </c>
      <c r="H2190" s="86">
        <f>SUMIFS('Climate Data'!$G$7:$G$366,'Climate Data'!$A$7:$A$366,Estimator!$B$4,'Climate Data'!$B$7:$B$366,C2190)</f>
        <v>0.22688172043010751</v>
      </c>
      <c r="I2190" s="87">
        <f>SUMIFS('Climate Data'!$H$7:$H$366,'Climate Data'!$A$7:$A$366,Estimator!$B$4,'Climate Data'!$B$7:$B$366,C2190)</f>
        <v>6.7962085308056865</v>
      </c>
      <c r="J2190" s="86">
        <f>SUMIFS('Wind Proxy'!$H$8:$H$19,'Wind Proxy'!$A$8:$A$19,Estimator!$B$4,'Wind Proxy'!$B$8:$B$19,C2190)</f>
        <v>0</v>
      </c>
    </row>
    <row r="2191" spans="1:10" ht="14.4">
      <c r="A2191" s="84">
        <v>47842</v>
      </c>
      <c r="B2191" s="85">
        <v>2030</v>
      </c>
      <c r="C2191" s="85">
        <v>12</v>
      </c>
      <c r="D2191" s="85" t="s">
        <v>77</v>
      </c>
      <c r="E2191" s="85">
        <v>25</v>
      </c>
      <c r="F2191" s="85">
        <v>3</v>
      </c>
      <c r="G2191" s="85">
        <f>--(F2191&lt;=Estimator!$B$7)</f>
        <v>1</v>
      </c>
      <c r="H2191" s="86">
        <f>SUMIFS('Climate Data'!$G$7:$G$366,'Climate Data'!$A$7:$A$366,Estimator!$B$4,'Climate Data'!$B$7:$B$366,C2191)</f>
        <v>0.22688172043010751</v>
      </c>
      <c r="I2191" s="87">
        <f>SUMIFS('Climate Data'!$H$7:$H$366,'Climate Data'!$A$7:$A$366,Estimator!$B$4,'Climate Data'!$B$7:$B$366,C2191)</f>
        <v>6.7962085308056865</v>
      </c>
      <c r="J2191" s="86">
        <f>SUMIFS('Wind Proxy'!$H$8:$H$19,'Wind Proxy'!$A$8:$A$19,Estimator!$B$4,'Wind Proxy'!$B$8:$B$19,C2191)</f>
        <v>0</v>
      </c>
    </row>
    <row r="2192" spans="1:10" ht="14.4">
      <c r="A2192" s="84">
        <v>47843</v>
      </c>
      <c r="B2192" s="85">
        <v>2030</v>
      </c>
      <c r="C2192" s="85">
        <v>12</v>
      </c>
      <c r="D2192" s="85" t="s">
        <v>77</v>
      </c>
      <c r="E2192" s="85">
        <v>26</v>
      </c>
      <c r="F2192" s="85">
        <v>4</v>
      </c>
      <c r="G2192" s="85">
        <f>--(F2192&lt;=Estimator!$B$7)</f>
        <v>1</v>
      </c>
      <c r="H2192" s="86">
        <f>SUMIFS('Climate Data'!$G$7:$G$366,'Climate Data'!$A$7:$A$366,Estimator!$B$4,'Climate Data'!$B$7:$B$366,C2192)</f>
        <v>0.22688172043010751</v>
      </c>
      <c r="I2192" s="87">
        <f>SUMIFS('Climate Data'!$H$7:$H$366,'Climate Data'!$A$7:$A$366,Estimator!$B$4,'Climate Data'!$B$7:$B$366,C2192)</f>
        <v>6.7962085308056865</v>
      </c>
      <c r="J2192" s="86">
        <f>SUMIFS('Wind Proxy'!$H$8:$H$19,'Wind Proxy'!$A$8:$A$19,Estimator!$B$4,'Wind Proxy'!$B$8:$B$19,C2192)</f>
        <v>0</v>
      </c>
    </row>
    <row r="2193" spans="1:10" ht="14.4">
      <c r="A2193" s="84">
        <v>47844</v>
      </c>
      <c r="B2193" s="85">
        <v>2030</v>
      </c>
      <c r="C2193" s="85">
        <v>12</v>
      </c>
      <c r="D2193" s="85" t="s">
        <v>77</v>
      </c>
      <c r="E2193" s="85">
        <v>27</v>
      </c>
      <c r="F2193" s="85">
        <v>5</v>
      </c>
      <c r="G2193" s="85">
        <f>--(F2193&lt;=Estimator!$B$7)</f>
        <v>1</v>
      </c>
      <c r="H2193" s="86">
        <f>SUMIFS('Climate Data'!$G$7:$G$366,'Climate Data'!$A$7:$A$366,Estimator!$B$4,'Climate Data'!$B$7:$B$366,C2193)</f>
        <v>0.22688172043010751</v>
      </c>
      <c r="I2193" s="87">
        <f>SUMIFS('Climate Data'!$H$7:$H$366,'Climate Data'!$A$7:$A$366,Estimator!$B$4,'Climate Data'!$B$7:$B$366,C2193)</f>
        <v>6.7962085308056865</v>
      </c>
      <c r="J2193" s="86">
        <f>SUMIFS('Wind Proxy'!$H$8:$H$19,'Wind Proxy'!$A$8:$A$19,Estimator!$B$4,'Wind Proxy'!$B$8:$B$19,C2193)</f>
        <v>0</v>
      </c>
    </row>
    <row r="2194" spans="1:10" ht="14.4">
      <c r="A2194" s="84">
        <v>47845</v>
      </c>
      <c r="B2194" s="85">
        <v>2030</v>
      </c>
      <c r="C2194" s="85">
        <v>12</v>
      </c>
      <c r="D2194" s="85" t="s">
        <v>77</v>
      </c>
      <c r="E2194" s="85">
        <v>28</v>
      </c>
      <c r="F2194" s="85">
        <v>6</v>
      </c>
      <c r="G2194" s="85">
        <f>--(F2194&lt;=Estimator!$B$7)</f>
        <v>0</v>
      </c>
      <c r="H2194" s="86">
        <f>SUMIFS('Climate Data'!$G$7:$G$366,'Climate Data'!$A$7:$A$366,Estimator!$B$4,'Climate Data'!$B$7:$B$366,C2194)</f>
        <v>0.22688172043010751</v>
      </c>
      <c r="I2194" s="87">
        <f>SUMIFS('Climate Data'!$H$7:$H$366,'Climate Data'!$A$7:$A$366,Estimator!$B$4,'Climate Data'!$B$7:$B$366,C2194)</f>
        <v>6.7962085308056865</v>
      </c>
      <c r="J2194" s="86">
        <f>SUMIFS('Wind Proxy'!$H$8:$H$19,'Wind Proxy'!$A$8:$A$19,Estimator!$B$4,'Wind Proxy'!$B$8:$B$19,C2194)</f>
        <v>0</v>
      </c>
    </row>
    <row r="2195" spans="1:10" ht="14.4">
      <c r="A2195" s="84">
        <v>47846</v>
      </c>
      <c r="B2195" s="85">
        <v>2030</v>
      </c>
      <c r="C2195" s="85">
        <v>12</v>
      </c>
      <c r="D2195" s="85" t="s">
        <v>77</v>
      </c>
      <c r="E2195" s="85">
        <v>29</v>
      </c>
      <c r="F2195" s="85">
        <v>7</v>
      </c>
      <c r="G2195" s="85">
        <f>--(F2195&lt;=Estimator!$B$7)</f>
        <v>0</v>
      </c>
      <c r="H2195" s="86">
        <f>SUMIFS('Climate Data'!$G$7:$G$366,'Climate Data'!$A$7:$A$366,Estimator!$B$4,'Climate Data'!$B$7:$B$366,C2195)</f>
        <v>0.22688172043010751</v>
      </c>
      <c r="I2195" s="87">
        <f>SUMIFS('Climate Data'!$H$7:$H$366,'Climate Data'!$A$7:$A$366,Estimator!$B$4,'Climate Data'!$B$7:$B$366,C2195)</f>
        <v>6.7962085308056865</v>
      </c>
      <c r="J2195" s="86">
        <f>SUMIFS('Wind Proxy'!$H$8:$H$19,'Wind Proxy'!$A$8:$A$19,Estimator!$B$4,'Wind Proxy'!$B$8:$B$19,C2195)</f>
        <v>0</v>
      </c>
    </row>
    <row r="2196" spans="1:10" ht="14.4">
      <c r="A2196" s="84">
        <v>47847</v>
      </c>
      <c r="B2196" s="85">
        <v>2030</v>
      </c>
      <c r="C2196" s="85">
        <v>12</v>
      </c>
      <c r="D2196" s="85" t="s">
        <v>77</v>
      </c>
      <c r="E2196" s="85">
        <v>30</v>
      </c>
      <c r="F2196" s="85">
        <v>1</v>
      </c>
      <c r="G2196" s="85">
        <f>--(F2196&lt;=Estimator!$B$7)</f>
        <v>1</v>
      </c>
      <c r="H2196" s="86">
        <f>SUMIFS('Climate Data'!$G$7:$G$366,'Climate Data'!$A$7:$A$366,Estimator!$B$4,'Climate Data'!$B$7:$B$366,C2196)</f>
        <v>0.22688172043010751</v>
      </c>
      <c r="I2196" s="87">
        <f>SUMIFS('Climate Data'!$H$7:$H$366,'Climate Data'!$A$7:$A$366,Estimator!$B$4,'Climate Data'!$B$7:$B$366,C2196)</f>
        <v>6.7962085308056865</v>
      </c>
      <c r="J2196" s="86">
        <f>SUMIFS('Wind Proxy'!$H$8:$H$19,'Wind Proxy'!$A$8:$A$19,Estimator!$B$4,'Wind Proxy'!$B$8:$B$19,C2196)</f>
        <v>0</v>
      </c>
    </row>
    <row r="2197" spans="1:10" ht="14.4">
      <c r="A2197" s="84">
        <v>47848</v>
      </c>
      <c r="B2197" s="85">
        <v>2030</v>
      </c>
      <c r="C2197" s="85">
        <v>12</v>
      </c>
      <c r="D2197" s="85" t="s">
        <v>77</v>
      </c>
      <c r="E2197" s="85">
        <v>31</v>
      </c>
      <c r="F2197" s="85">
        <v>2</v>
      </c>
      <c r="G2197" s="85">
        <f>--(F2197&lt;=Estimator!$B$7)</f>
        <v>1</v>
      </c>
      <c r="H2197" s="86">
        <f>SUMIFS('Climate Data'!$G$7:$G$366,'Climate Data'!$A$7:$A$366,Estimator!$B$4,'Climate Data'!$B$7:$B$366,C2197)</f>
        <v>0.22688172043010751</v>
      </c>
      <c r="I2197" s="87">
        <f>SUMIFS('Climate Data'!$H$7:$H$366,'Climate Data'!$A$7:$A$366,Estimator!$B$4,'Climate Data'!$B$7:$B$366,C2197)</f>
        <v>6.7962085308056865</v>
      </c>
      <c r="J2197" s="86">
        <f>SUMIFS('Wind Proxy'!$H$8:$H$19,'Wind Proxy'!$A$8:$A$19,Estimator!$B$4,'Wind Proxy'!$B$8:$B$19,C2197)</f>
        <v>0</v>
      </c>
    </row>
    <row r="2198" spans="1:10" ht="14.4">
      <c r="A2198" s="84">
        <v>47849</v>
      </c>
      <c r="B2198" s="85">
        <v>2031</v>
      </c>
      <c r="C2198" s="85">
        <v>1</v>
      </c>
      <c r="D2198" s="85" t="s">
        <v>55</v>
      </c>
      <c r="E2198" s="85">
        <v>1</v>
      </c>
      <c r="F2198" s="85">
        <v>3</v>
      </c>
      <c r="G2198" s="85">
        <f>--(F2198&lt;=Estimator!$B$7)</f>
        <v>1</v>
      </c>
      <c r="H2198" s="86">
        <f>SUMIFS('Climate Data'!$G$7:$G$366,'Climate Data'!$A$7:$A$366,Estimator!$B$4,'Climate Data'!$B$7:$B$366,C2198)</f>
        <v>0.19462365591397848</v>
      </c>
      <c r="I2198" s="87">
        <f>SUMIFS('Climate Data'!$H$7:$H$366,'Climate Data'!$A$7:$A$366,Estimator!$B$4,'Climate Data'!$B$7:$B$366,C2198)</f>
        <v>7.027624309392265</v>
      </c>
      <c r="J2198" s="86">
        <f>SUMIFS('Wind Proxy'!$H$8:$H$19,'Wind Proxy'!$A$8:$A$19,Estimator!$B$4,'Wind Proxy'!$B$8:$B$19,C2198)</f>
        <v>0</v>
      </c>
    </row>
    <row r="2199" spans="1:10" ht="14.4">
      <c r="A2199" s="84">
        <v>47850</v>
      </c>
      <c r="B2199" s="85">
        <v>2031</v>
      </c>
      <c r="C2199" s="85">
        <v>1</v>
      </c>
      <c r="D2199" s="85" t="s">
        <v>55</v>
      </c>
      <c r="E2199" s="85">
        <v>2</v>
      </c>
      <c r="F2199" s="85">
        <v>4</v>
      </c>
      <c r="G2199" s="85">
        <f>--(F2199&lt;=Estimator!$B$7)</f>
        <v>1</v>
      </c>
      <c r="H2199" s="86">
        <f>SUMIFS('Climate Data'!$G$7:$G$366,'Climate Data'!$A$7:$A$366,Estimator!$B$4,'Climate Data'!$B$7:$B$366,C2199)</f>
        <v>0.19462365591397848</v>
      </c>
      <c r="I2199" s="87">
        <f>SUMIFS('Climate Data'!$H$7:$H$366,'Climate Data'!$A$7:$A$366,Estimator!$B$4,'Climate Data'!$B$7:$B$366,C2199)</f>
        <v>7.027624309392265</v>
      </c>
      <c r="J2199" s="86">
        <f>SUMIFS('Wind Proxy'!$H$8:$H$19,'Wind Proxy'!$A$8:$A$19,Estimator!$B$4,'Wind Proxy'!$B$8:$B$19,C2199)</f>
        <v>0</v>
      </c>
    </row>
    <row r="2200" spans="1:10" ht="14.4">
      <c r="A2200" s="84">
        <v>47851</v>
      </c>
      <c r="B2200" s="85">
        <v>2031</v>
      </c>
      <c r="C2200" s="85">
        <v>1</v>
      </c>
      <c r="D2200" s="85" t="s">
        <v>55</v>
      </c>
      <c r="E2200" s="85">
        <v>3</v>
      </c>
      <c r="F2200" s="85">
        <v>5</v>
      </c>
      <c r="G2200" s="85">
        <f>--(F2200&lt;=Estimator!$B$7)</f>
        <v>1</v>
      </c>
      <c r="H2200" s="86">
        <f>SUMIFS('Climate Data'!$G$7:$G$366,'Climate Data'!$A$7:$A$366,Estimator!$B$4,'Climate Data'!$B$7:$B$366,C2200)</f>
        <v>0.19462365591397848</v>
      </c>
      <c r="I2200" s="87">
        <f>SUMIFS('Climate Data'!$H$7:$H$366,'Climate Data'!$A$7:$A$366,Estimator!$B$4,'Climate Data'!$B$7:$B$366,C2200)</f>
        <v>7.027624309392265</v>
      </c>
      <c r="J2200" s="86">
        <f>SUMIFS('Wind Proxy'!$H$8:$H$19,'Wind Proxy'!$A$8:$A$19,Estimator!$B$4,'Wind Proxy'!$B$8:$B$19,C2200)</f>
        <v>0</v>
      </c>
    </row>
    <row r="2201" spans="1:10" ht="14.4">
      <c r="A2201" s="84">
        <v>47852</v>
      </c>
      <c r="B2201" s="85">
        <v>2031</v>
      </c>
      <c r="C2201" s="85">
        <v>1</v>
      </c>
      <c r="D2201" s="85" t="s">
        <v>55</v>
      </c>
      <c r="E2201" s="85">
        <v>4</v>
      </c>
      <c r="F2201" s="85">
        <v>6</v>
      </c>
      <c r="G2201" s="85">
        <f>--(F2201&lt;=Estimator!$B$7)</f>
        <v>0</v>
      </c>
      <c r="H2201" s="86">
        <f>SUMIFS('Climate Data'!$G$7:$G$366,'Climate Data'!$A$7:$A$366,Estimator!$B$4,'Climate Data'!$B$7:$B$366,C2201)</f>
        <v>0.19462365591397848</v>
      </c>
      <c r="I2201" s="87">
        <f>SUMIFS('Climate Data'!$H$7:$H$366,'Climate Data'!$A$7:$A$366,Estimator!$B$4,'Climate Data'!$B$7:$B$366,C2201)</f>
        <v>7.027624309392265</v>
      </c>
      <c r="J2201" s="86">
        <f>SUMIFS('Wind Proxy'!$H$8:$H$19,'Wind Proxy'!$A$8:$A$19,Estimator!$B$4,'Wind Proxy'!$B$8:$B$19,C2201)</f>
        <v>0</v>
      </c>
    </row>
    <row r="2202" spans="1:10" ht="14.4">
      <c r="A2202" s="84">
        <v>47853</v>
      </c>
      <c r="B2202" s="85">
        <v>2031</v>
      </c>
      <c r="C2202" s="85">
        <v>1</v>
      </c>
      <c r="D2202" s="85" t="s">
        <v>55</v>
      </c>
      <c r="E2202" s="85">
        <v>5</v>
      </c>
      <c r="F2202" s="85">
        <v>7</v>
      </c>
      <c r="G2202" s="85">
        <f>--(F2202&lt;=Estimator!$B$7)</f>
        <v>0</v>
      </c>
      <c r="H2202" s="86">
        <f>SUMIFS('Climate Data'!$G$7:$G$366,'Climate Data'!$A$7:$A$366,Estimator!$B$4,'Climate Data'!$B$7:$B$366,C2202)</f>
        <v>0.19462365591397848</v>
      </c>
      <c r="I2202" s="87">
        <f>SUMIFS('Climate Data'!$H$7:$H$366,'Climate Data'!$A$7:$A$366,Estimator!$B$4,'Climate Data'!$B$7:$B$366,C2202)</f>
        <v>7.027624309392265</v>
      </c>
      <c r="J2202" s="86">
        <f>SUMIFS('Wind Proxy'!$H$8:$H$19,'Wind Proxy'!$A$8:$A$19,Estimator!$B$4,'Wind Proxy'!$B$8:$B$19,C2202)</f>
        <v>0</v>
      </c>
    </row>
    <row r="2203" spans="1:10" ht="14.4">
      <c r="A2203" s="84">
        <v>47854</v>
      </c>
      <c r="B2203" s="85">
        <v>2031</v>
      </c>
      <c r="C2203" s="85">
        <v>1</v>
      </c>
      <c r="D2203" s="85" t="s">
        <v>55</v>
      </c>
      <c r="E2203" s="85">
        <v>6</v>
      </c>
      <c r="F2203" s="85">
        <v>1</v>
      </c>
      <c r="G2203" s="85">
        <f>--(F2203&lt;=Estimator!$B$7)</f>
        <v>1</v>
      </c>
      <c r="H2203" s="86">
        <f>SUMIFS('Climate Data'!$G$7:$G$366,'Climate Data'!$A$7:$A$366,Estimator!$B$4,'Climate Data'!$B$7:$B$366,C2203)</f>
        <v>0.19462365591397848</v>
      </c>
      <c r="I2203" s="87">
        <f>SUMIFS('Climate Data'!$H$7:$H$366,'Climate Data'!$A$7:$A$366,Estimator!$B$4,'Climate Data'!$B$7:$B$366,C2203)</f>
        <v>7.027624309392265</v>
      </c>
      <c r="J2203" s="86">
        <f>SUMIFS('Wind Proxy'!$H$8:$H$19,'Wind Proxy'!$A$8:$A$19,Estimator!$B$4,'Wind Proxy'!$B$8:$B$19,C2203)</f>
        <v>0</v>
      </c>
    </row>
    <row r="2204" spans="1:10" ht="14.4">
      <c r="A2204" s="84">
        <v>47855</v>
      </c>
      <c r="B2204" s="85">
        <v>2031</v>
      </c>
      <c r="C2204" s="85">
        <v>1</v>
      </c>
      <c r="D2204" s="85" t="s">
        <v>55</v>
      </c>
      <c r="E2204" s="85">
        <v>7</v>
      </c>
      <c r="F2204" s="85">
        <v>2</v>
      </c>
      <c r="G2204" s="85">
        <f>--(F2204&lt;=Estimator!$B$7)</f>
        <v>1</v>
      </c>
      <c r="H2204" s="86">
        <f>SUMIFS('Climate Data'!$G$7:$G$366,'Climate Data'!$A$7:$A$366,Estimator!$B$4,'Climate Data'!$B$7:$B$366,C2204)</f>
        <v>0.19462365591397848</v>
      </c>
      <c r="I2204" s="87">
        <f>SUMIFS('Climate Data'!$H$7:$H$366,'Climate Data'!$A$7:$A$366,Estimator!$B$4,'Climate Data'!$B$7:$B$366,C2204)</f>
        <v>7.027624309392265</v>
      </c>
      <c r="J2204" s="86">
        <f>SUMIFS('Wind Proxy'!$H$8:$H$19,'Wind Proxy'!$A$8:$A$19,Estimator!$B$4,'Wind Proxy'!$B$8:$B$19,C2204)</f>
        <v>0</v>
      </c>
    </row>
    <row r="2205" spans="1:10" ht="14.4">
      <c r="A2205" s="84">
        <v>47856</v>
      </c>
      <c r="B2205" s="85">
        <v>2031</v>
      </c>
      <c r="C2205" s="85">
        <v>1</v>
      </c>
      <c r="D2205" s="85" t="s">
        <v>55</v>
      </c>
      <c r="E2205" s="85">
        <v>8</v>
      </c>
      <c r="F2205" s="85">
        <v>3</v>
      </c>
      <c r="G2205" s="85">
        <f>--(F2205&lt;=Estimator!$B$7)</f>
        <v>1</v>
      </c>
      <c r="H2205" s="86">
        <f>SUMIFS('Climate Data'!$G$7:$G$366,'Climate Data'!$A$7:$A$366,Estimator!$B$4,'Climate Data'!$B$7:$B$366,C2205)</f>
        <v>0.19462365591397848</v>
      </c>
      <c r="I2205" s="87">
        <f>SUMIFS('Climate Data'!$H$7:$H$366,'Climate Data'!$A$7:$A$366,Estimator!$B$4,'Climate Data'!$B$7:$B$366,C2205)</f>
        <v>7.027624309392265</v>
      </c>
      <c r="J2205" s="86">
        <f>SUMIFS('Wind Proxy'!$H$8:$H$19,'Wind Proxy'!$A$8:$A$19,Estimator!$B$4,'Wind Proxy'!$B$8:$B$19,C2205)</f>
        <v>0</v>
      </c>
    </row>
    <row r="2206" spans="1:10" ht="14.4">
      <c r="A2206" s="84">
        <v>47857</v>
      </c>
      <c r="B2206" s="85">
        <v>2031</v>
      </c>
      <c r="C2206" s="85">
        <v>1</v>
      </c>
      <c r="D2206" s="85" t="s">
        <v>55</v>
      </c>
      <c r="E2206" s="85">
        <v>9</v>
      </c>
      <c r="F2206" s="85">
        <v>4</v>
      </c>
      <c r="G2206" s="85">
        <f>--(F2206&lt;=Estimator!$B$7)</f>
        <v>1</v>
      </c>
      <c r="H2206" s="86">
        <f>SUMIFS('Climate Data'!$G$7:$G$366,'Climate Data'!$A$7:$A$366,Estimator!$B$4,'Climate Data'!$B$7:$B$366,C2206)</f>
        <v>0.19462365591397848</v>
      </c>
      <c r="I2206" s="87">
        <f>SUMIFS('Climate Data'!$H$7:$H$366,'Climate Data'!$A$7:$A$366,Estimator!$B$4,'Climate Data'!$B$7:$B$366,C2206)</f>
        <v>7.027624309392265</v>
      </c>
      <c r="J2206" s="86">
        <f>SUMIFS('Wind Proxy'!$H$8:$H$19,'Wind Proxy'!$A$8:$A$19,Estimator!$B$4,'Wind Proxy'!$B$8:$B$19,C2206)</f>
        <v>0</v>
      </c>
    </row>
    <row r="2207" spans="1:10" ht="14.4">
      <c r="A2207" s="84">
        <v>47858</v>
      </c>
      <c r="B2207" s="85">
        <v>2031</v>
      </c>
      <c r="C2207" s="85">
        <v>1</v>
      </c>
      <c r="D2207" s="85" t="s">
        <v>55</v>
      </c>
      <c r="E2207" s="85">
        <v>10</v>
      </c>
      <c r="F2207" s="85">
        <v>5</v>
      </c>
      <c r="G2207" s="85">
        <f>--(F2207&lt;=Estimator!$B$7)</f>
        <v>1</v>
      </c>
      <c r="H2207" s="86">
        <f>SUMIFS('Climate Data'!$G$7:$G$366,'Climate Data'!$A$7:$A$366,Estimator!$B$4,'Climate Data'!$B$7:$B$366,C2207)</f>
        <v>0.19462365591397848</v>
      </c>
      <c r="I2207" s="87">
        <f>SUMIFS('Climate Data'!$H$7:$H$366,'Climate Data'!$A$7:$A$366,Estimator!$B$4,'Climate Data'!$B$7:$B$366,C2207)</f>
        <v>7.027624309392265</v>
      </c>
      <c r="J2207" s="86">
        <f>SUMIFS('Wind Proxy'!$H$8:$H$19,'Wind Proxy'!$A$8:$A$19,Estimator!$B$4,'Wind Proxy'!$B$8:$B$19,C2207)</f>
        <v>0</v>
      </c>
    </row>
    <row r="2208" spans="1:10" ht="14.4">
      <c r="A2208" s="84">
        <v>47859</v>
      </c>
      <c r="B2208" s="85">
        <v>2031</v>
      </c>
      <c r="C2208" s="85">
        <v>1</v>
      </c>
      <c r="D2208" s="85" t="s">
        <v>55</v>
      </c>
      <c r="E2208" s="85">
        <v>11</v>
      </c>
      <c r="F2208" s="85">
        <v>6</v>
      </c>
      <c r="G2208" s="85">
        <f>--(F2208&lt;=Estimator!$B$7)</f>
        <v>0</v>
      </c>
      <c r="H2208" s="86">
        <f>SUMIFS('Climate Data'!$G$7:$G$366,'Climate Data'!$A$7:$A$366,Estimator!$B$4,'Climate Data'!$B$7:$B$366,C2208)</f>
        <v>0.19462365591397848</v>
      </c>
      <c r="I2208" s="87">
        <f>SUMIFS('Climate Data'!$H$7:$H$366,'Climate Data'!$A$7:$A$366,Estimator!$B$4,'Climate Data'!$B$7:$B$366,C2208)</f>
        <v>7.027624309392265</v>
      </c>
      <c r="J2208" s="86">
        <f>SUMIFS('Wind Proxy'!$H$8:$H$19,'Wind Proxy'!$A$8:$A$19,Estimator!$B$4,'Wind Proxy'!$B$8:$B$19,C2208)</f>
        <v>0</v>
      </c>
    </row>
    <row r="2209" spans="1:10" ht="14.4">
      <c r="A2209" s="84">
        <v>47860</v>
      </c>
      <c r="B2209" s="85">
        <v>2031</v>
      </c>
      <c r="C2209" s="85">
        <v>1</v>
      </c>
      <c r="D2209" s="85" t="s">
        <v>55</v>
      </c>
      <c r="E2209" s="85">
        <v>12</v>
      </c>
      <c r="F2209" s="85">
        <v>7</v>
      </c>
      <c r="G2209" s="85">
        <f>--(F2209&lt;=Estimator!$B$7)</f>
        <v>0</v>
      </c>
      <c r="H2209" s="86">
        <f>SUMIFS('Climate Data'!$G$7:$G$366,'Climate Data'!$A$7:$A$366,Estimator!$B$4,'Climate Data'!$B$7:$B$366,C2209)</f>
        <v>0.19462365591397848</v>
      </c>
      <c r="I2209" s="87">
        <f>SUMIFS('Climate Data'!$H$7:$H$366,'Climate Data'!$A$7:$A$366,Estimator!$B$4,'Climate Data'!$B$7:$B$366,C2209)</f>
        <v>7.027624309392265</v>
      </c>
      <c r="J2209" s="86">
        <f>SUMIFS('Wind Proxy'!$H$8:$H$19,'Wind Proxy'!$A$8:$A$19,Estimator!$B$4,'Wind Proxy'!$B$8:$B$19,C2209)</f>
        <v>0</v>
      </c>
    </row>
    <row r="2210" spans="1:10" ht="14.4">
      <c r="A2210" s="84">
        <v>47861</v>
      </c>
      <c r="B2210" s="85">
        <v>2031</v>
      </c>
      <c r="C2210" s="85">
        <v>1</v>
      </c>
      <c r="D2210" s="85" t="s">
        <v>55</v>
      </c>
      <c r="E2210" s="85">
        <v>13</v>
      </c>
      <c r="F2210" s="85">
        <v>1</v>
      </c>
      <c r="G2210" s="85">
        <f>--(F2210&lt;=Estimator!$B$7)</f>
        <v>1</v>
      </c>
      <c r="H2210" s="86">
        <f>SUMIFS('Climate Data'!$G$7:$G$366,'Climate Data'!$A$7:$A$366,Estimator!$B$4,'Climate Data'!$B$7:$B$366,C2210)</f>
        <v>0.19462365591397848</v>
      </c>
      <c r="I2210" s="87">
        <f>SUMIFS('Climate Data'!$H$7:$H$366,'Climate Data'!$A$7:$A$366,Estimator!$B$4,'Climate Data'!$B$7:$B$366,C2210)</f>
        <v>7.027624309392265</v>
      </c>
      <c r="J2210" s="86">
        <f>SUMIFS('Wind Proxy'!$H$8:$H$19,'Wind Proxy'!$A$8:$A$19,Estimator!$B$4,'Wind Proxy'!$B$8:$B$19,C2210)</f>
        <v>0</v>
      </c>
    </row>
    <row r="2211" spans="1:10" ht="14.4">
      <c r="A2211" s="84">
        <v>47862</v>
      </c>
      <c r="B2211" s="85">
        <v>2031</v>
      </c>
      <c r="C2211" s="85">
        <v>1</v>
      </c>
      <c r="D2211" s="85" t="s">
        <v>55</v>
      </c>
      <c r="E2211" s="85">
        <v>14</v>
      </c>
      <c r="F2211" s="85">
        <v>2</v>
      </c>
      <c r="G2211" s="85">
        <f>--(F2211&lt;=Estimator!$B$7)</f>
        <v>1</v>
      </c>
      <c r="H2211" s="86">
        <f>SUMIFS('Climate Data'!$G$7:$G$366,'Climate Data'!$A$7:$A$366,Estimator!$B$4,'Climate Data'!$B$7:$B$366,C2211)</f>
        <v>0.19462365591397848</v>
      </c>
      <c r="I2211" s="87">
        <f>SUMIFS('Climate Data'!$H$7:$H$366,'Climate Data'!$A$7:$A$366,Estimator!$B$4,'Climate Data'!$B$7:$B$366,C2211)</f>
        <v>7.027624309392265</v>
      </c>
      <c r="J2211" s="86">
        <f>SUMIFS('Wind Proxy'!$H$8:$H$19,'Wind Proxy'!$A$8:$A$19,Estimator!$B$4,'Wind Proxy'!$B$8:$B$19,C2211)</f>
        <v>0</v>
      </c>
    </row>
    <row r="2212" spans="1:10" ht="14.4">
      <c r="A2212" s="84">
        <v>47863</v>
      </c>
      <c r="B2212" s="85">
        <v>2031</v>
      </c>
      <c r="C2212" s="85">
        <v>1</v>
      </c>
      <c r="D2212" s="85" t="s">
        <v>55</v>
      </c>
      <c r="E2212" s="85">
        <v>15</v>
      </c>
      <c r="F2212" s="85">
        <v>3</v>
      </c>
      <c r="G2212" s="85">
        <f>--(F2212&lt;=Estimator!$B$7)</f>
        <v>1</v>
      </c>
      <c r="H2212" s="86">
        <f>SUMIFS('Climate Data'!$G$7:$G$366,'Climate Data'!$A$7:$A$366,Estimator!$B$4,'Climate Data'!$B$7:$B$366,C2212)</f>
        <v>0.19462365591397848</v>
      </c>
      <c r="I2212" s="87">
        <f>SUMIFS('Climate Data'!$H$7:$H$366,'Climate Data'!$A$7:$A$366,Estimator!$B$4,'Climate Data'!$B$7:$B$366,C2212)</f>
        <v>7.027624309392265</v>
      </c>
      <c r="J2212" s="86">
        <f>SUMIFS('Wind Proxy'!$H$8:$H$19,'Wind Proxy'!$A$8:$A$19,Estimator!$B$4,'Wind Proxy'!$B$8:$B$19,C2212)</f>
        <v>0</v>
      </c>
    </row>
    <row r="2213" spans="1:10" ht="14.4">
      <c r="A2213" s="84">
        <v>47864</v>
      </c>
      <c r="B2213" s="85">
        <v>2031</v>
      </c>
      <c r="C2213" s="85">
        <v>1</v>
      </c>
      <c r="D2213" s="85" t="s">
        <v>55</v>
      </c>
      <c r="E2213" s="85">
        <v>16</v>
      </c>
      <c r="F2213" s="85">
        <v>4</v>
      </c>
      <c r="G2213" s="85">
        <f>--(F2213&lt;=Estimator!$B$7)</f>
        <v>1</v>
      </c>
      <c r="H2213" s="86">
        <f>SUMIFS('Climate Data'!$G$7:$G$366,'Climate Data'!$A$7:$A$366,Estimator!$B$4,'Climate Data'!$B$7:$B$366,C2213)</f>
        <v>0.19462365591397848</v>
      </c>
      <c r="I2213" s="87">
        <f>SUMIFS('Climate Data'!$H$7:$H$366,'Climate Data'!$A$7:$A$366,Estimator!$B$4,'Climate Data'!$B$7:$B$366,C2213)</f>
        <v>7.027624309392265</v>
      </c>
      <c r="J2213" s="86">
        <f>SUMIFS('Wind Proxy'!$H$8:$H$19,'Wind Proxy'!$A$8:$A$19,Estimator!$B$4,'Wind Proxy'!$B$8:$B$19,C2213)</f>
        <v>0</v>
      </c>
    </row>
    <row r="2214" spans="1:10" ht="14.4">
      <c r="A2214" s="84">
        <v>47865</v>
      </c>
      <c r="B2214" s="85">
        <v>2031</v>
      </c>
      <c r="C2214" s="85">
        <v>1</v>
      </c>
      <c r="D2214" s="85" t="s">
        <v>55</v>
      </c>
      <c r="E2214" s="85">
        <v>17</v>
      </c>
      <c r="F2214" s="85">
        <v>5</v>
      </c>
      <c r="G2214" s="85">
        <f>--(F2214&lt;=Estimator!$B$7)</f>
        <v>1</v>
      </c>
      <c r="H2214" s="86">
        <f>SUMIFS('Climate Data'!$G$7:$G$366,'Climate Data'!$A$7:$A$366,Estimator!$B$4,'Climate Data'!$B$7:$B$366,C2214)</f>
        <v>0.19462365591397848</v>
      </c>
      <c r="I2214" s="87">
        <f>SUMIFS('Climate Data'!$H$7:$H$366,'Climate Data'!$A$7:$A$366,Estimator!$B$4,'Climate Data'!$B$7:$B$366,C2214)</f>
        <v>7.027624309392265</v>
      </c>
      <c r="J2214" s="86">
        <f>SUMIFS('Wind Proxy'!$H$8:$H$19,'Wind Proxy'!$A$8:$A$19,Estimator!$B$4,'Wind Proxy'!$B$8:$B$19,C2214)</f>
        <v>0</v>
      </c>
    </row>
    <row r="2215" spans="1:10" ht="14.4">
      <c r="A2215" s="84">
        <v>47866</v>
      </c>
      <c r="B2215" s="85">
        <v>2031</v>
      </c>
      <c r="C2215" s="85">
        <v>1</v>
      </c>
      <c r="D2215" s="85" t="s">
        <v>55</v>
      </c>
      <c r="E2215" s="85">
        <v>18</v>
      </c>
      <c r="F2215" s="85">
        <v>6</v>
      </c>
      <c r="G2215" s="85">
        <f>--(F2215&lt;=Estimator!$B$7)</f>
        <v>0</v>
      </c>
      <c r="H2215" s="86">
        <f>SUMIFS('Climate Data'!$G$7:$G$366,'Climate Data'!$A$7:$A$366,Estimator!$B$4,'Climate Data'!$B$7:$B$366,C2215)</f>
        <v>0.19462365591397848</v>
      </c>
      <c r="I2215" s="87">
        <f>SUMIFS('Climate Data'!$H$7:$H$366,'Climate Data'!$A$7:$A$366,Estimator!$B$4,'Climate Data'!$B$7:$B$366,C2215)</f>
        <v>7.027624309392265</v>
      </c>
      <c r="J2215" s="86">
        <f>SUMIFS('Wind Proxy'!$H$8:$H$19,'Wind Proxy'!$A$8:$A$19,Estimator!$B$4,'Wind Proxy'!$B$8:$B$19,C2215)</f>
        <v>0</v>
      </c>
    </row>
    <row r="2216" spans="1:10" ht="14.4">
      <c r="A2216" s="84">
        <v>47867</v>
      </c>
      <c r="B2216" s="85">
        <v>2031</v>
      </c>
      <c r="C2216" s="85">
        <v>1</v>
      </c>
      <c r="D2216" s="85" t="s">
        <v>55</v>
      </c>
      <c r="E2216" s="85">
        <v>19</v>
      </c>
      <c r="F2216" s="85">
        <v>7</v>
      </c>
      <c r="G2216" s="85">
        <f>--(F2216&lt;=Estimator!$B$7)</f>
        <v>0</v>
      </c>
      <c r="H2216" s="86">
        <f>SUMIFS('Climate Data'!$G$7:$G$366,'Climate Data'!$A$7:$A$366,Estimator!$B$4,'Climate Data'!$B$7:$B$366,C2216)</f>
        <v>0.19462365591397848</v>
      </c>
      <c r="I2216" s="87">
        <f>SUMIFS('Climate Data'!$H$7:$H$366,'Climate Data'!$A$7:$A$366,Estimator!$B$4,'Climate Data'!$B$7:$B$366,C2216)</f>
        <v>7.027624309392265</v>
      </c>
      <c r="J2216" s="86">
        <f>SUMIFS('Wind Proxy'!$H$8:$H$19,'Wind Proxy'!$A$8:$A$19,Estimator!$B$4,'Wind Proxy'!$B$8:$B$19,C2216)</f>
        <v>0</v>
      </c>
    </row>
    <row r="2217" spans="1:10" ht="14.4">
      <c r="A2217" s="84">
        <v>47868</v>
      </c>
      <c r="B2217" s="85">
        <v>2031</v>
      </c>
      <c r="C2217" s="85">
        <v>1</v>
      </c>
      <c r="D2217" s="85" t="s">
        <v>55</v>
      </c>
      <c r="E2217" s="85">
        <v>20</v>
      </c>
      <c r="F2217" s="85">
        <v>1</v>
      </c>
      <c r="G2217" s="85">
        <f>--(F2217&lt;=Estimator!$B$7)</f>
        <v>1</v>
      </c>
      <c r="H2217" s="86">
        <f>SUMIFS('Climate Data'!$G$7:$G$366,'Climate Data'!$A$7:$A$366,Estimator!$B$4,'Climate Data'!$B$7:$B$366,C2217)</f>
        <v>0.19462365591397848</v>
      </c>
      <c r="I2217" s="87">
        <f>SUMIFS('Climate Data'!$H$7:$H$366,'Climate Data'!$A$7:$A$366,Estimator!$B$4,'Climate Data'!$B$7:$B$366,C2217)</f>
        <v>7.027624309392265</v>
      </c>
      <c r="J2217" s="86">
        <f>SUMIFS('Wind Proxy'!$H$8:$H$19,'Wind Proxy'!$A$8:$A$19,Estimator!$B$4,'Wind Proxy'!$B$8:$B$19,C2217)</f>
        <v>0</v>
      </c>
    </row>
    <row r="2218" spans="1:10" ht="14.4">
      <c r="A2218" s="84">
        <v>47869</v>
      </c>
      <c r="B2218" s="85">
        <v>2031</v>
      </c>
      <c r="C2218" s="85">
        <v>1</v>
      </c>
      <c r="D2218" s="85" t="s">
        <v>55</v>
      </c>
      <c r="E2218" s="85">
        <v>21</v>
      </c>
      <c r="F2218" s="85">
        <v>2</v>
      </c>
      <c r="G2218" s="85">
        <f>--(F2218&lt;=Estimator!$B$7)</f>
        <v>1</v>
      </c>
      <c r="H2218" s="86">
        <f>SUMIFS('Climate Data'!$G$7:$G$366,'Climate Data'!$A$7:$A$366,Estimator!$B$4,'Climate Data'!$B$7:$B$366,C2218)</f>
        <v>0.19462365591397848</v>
      </c>
      <c r="I2218" s="87">
        <f>SUMIFS('Climate Data'!$H$7:$H$366,'Climate Data'!$A$7:$A$366,Estimator!$B$4,'Climate Data'!$B$7:$B$366,C2218)</f>
        <v>7.027624309392265</v>
      </c>
      <c r="J2218" s="86">
        <f>SUMIFS('Wind Proxy'!$H$8:$H$19,'Wind Proxy'!$A$8:$A$19,Estimator!$B$4,'Wind Proxy'!$B$8:$B$19,C2218)</f>
        <v>0</v>
      </c>
    </row>
    <row r="2219" spans="1:10" ht="14.4">
      <c r="A2219" s="84">
        <v>47870</v>
      </c>
      <c r="B2219" s="85">
        <v>2031</v>
      </c>
      <c r="C2219" s="85">
        <v>1</v>
      </c>
      <c r="D2219" s="85" t="s">
        <v>55</v>
      </c>
      <c r="E2219" s="85">
        <v>22</v>
      </c>
      <c r="F2219" s="85">
        <v>3</v>
      </c>
      <c r="G2219" s="85">
        <f>--(F2219&lt;=Estimator!$B$7)</f>
        <v>1</v>
      </c>
      <c r="H2219" s="86">
        <f>SUMIFS('Climate Data'!$G$7:$G$366,'Climate Data'!$A$7:$A$366,Estimator!$B$4,'Climate Data'!$B$7:$B$366,C2219)</f>
        <v>0.19462365591397848</v>
      </c>
      <c r="I2219" s="87">
        <f>SUMIFS('Climate Data'!$H$7:$H$366,'Climate Data'!$A$7:$A$366,Estimator!$B$4,'Climate Data'!$B$7:$B$366,C2219)</f>
        <v>7.027624309392265</v>
      </c>
      <c r="J2219" s="86">
        <f>SUMIFS('Wind Proxy'!$H$8:$H$19,'Wind Proxy'!$A$8:$A$19,Estimator!$B$4,'Wind Proxy'!$B$8:$B$19,C2219)</f>
        <v>0</v>
      </c>
    </row>
    <row r="2220" spans="1:10" ht="14.4">
      <c r="A2220" s="84">
        <v>47871</v>
      </c>
      <c r="B2220" s="85">
        <v>2031</v>
      </c>
      <c r="C2220" s="85">
        <v>1</v>
      </c>
      <c r="D2220" s="85" t="s">
        <v>55</v>
      </c>
      <c r="E2220" s="85">
        <v>23</v>
      </c>
      <c r="F2220" s="85">
        <v>4</v>
      </c>
      <c r="G2220" s="85">
        <f>--(F2220&lt;=Estimator!$B$7)</f>
        <v>1</v>
      </c>
      <c r="H2220" s="86">
        <f>SUMIFS('Climate Data'!$G$7:$G$366,'Climate Data'!$A$7:$A$366,Estimator!$B$4,'Climate Data'!$B$7:$B$366,C2220)</f>
        <v>0.19462365591397848</v>
      </c>
      <c r="I2220" s="87">
        <f>SUMIFS('Climate Data'!$H$7:$H$366,'Climate Data'!$A$7:$A$366,Estimator!$B$4,'Climate Data'!$B$7:$B$366,C2220)</f>
        <v>7.027624309392265</v>
      </c>
      <c r="J2220" s="86">
        <f>SUMIFS('Wind Proxy'!$H$8:$H$19,'Wind Proxy'!$A$8:$A$19,Estimator!$B$4,'Wind Proxy'!$B$8:$B$19,C2220)</f>
        <v>0</v>
      </c>
    </row>
    <row r="2221" spans="1:10" ht="14.4">
      <c r="A2221" s="84">
        <v>47872</v>
      </c>
      <c r="B2221" s="85">
        <v>2031</v>
      </c>
      <c r="C2221" s="85">
        <v>1</v>
      </c>
      <c r="D2221" s="85" t="s">
        <v>55</v>
      </c>
      <c r="E2221" s="85">
        <v>24</v>
      </c>
      <c r="F2221" s="85">
        <v>5</v>
      </c>
      <c r="G2221" s="85">
        <f>--(F2221&lt;=Estimator!$B$7)</f>
        <v>1</v>
      </c>
      <c r="H2221" s="86">
        <f>SUMIFS('Climate Data'!$G$7:$G$366,'Climate Data'!$A$7:$A$366,Estimator!$B$4,'Climate Data'!$B$7:$B$366,C2221)</f>
        <v>0.19462365591397848</v>
      </c>
      <c r="I2221" s="87">
        <f>SUMIFS('Climate Data'!$H$7:$H$366,'Climate Data'!$A$7:$A$366,Estimator!$B$4,'Climate Data'!$B$7:$B$366,C2221)</f>
        <v>7.027624309392265</v>
      </c>
      <c r="J2221" s="86">
        <f>SUMIFS('Wind Proxy'!$H$8:$H$19,'Wind Proxy'!$A$8:$A$19,Estimator!$B$4,'Wind Proxy'!$B$8:$B$19,C2221)</f>
        <v>0</v>
      </c>
    </row>
    <row r="2222" spans="1:10" ht="14.4">
      <c r="A2222" s="84">
        <v>47873</v>
      </c>
      <c r="B2222" s="85">
        <v>2031</v>
      </c>
      <c r="C2222" s="85">
        <v>1</v>
      </c>
      <c r="D2222" s="85" t="s">
        <v>55</v>
      </c>
      <c r="E2222" s="85">
        <v>25</v>
      </c>
      <c r="F2222" s="85">
        <v>6</v>
      </c>
      <c r="G2222" s="85">
        <f>--(F2222&lt;=Estimator!$B$7)</f>
        <v>0</v>
      </c>
      <c r="H2222" s="86">
        <f>SUMIFS('Climate Data'!$G$7:$G$366,'Climate Data'!$A$7:$A$366,Estimator!$B$4,'Climate Data'!$B$7:$B$366,C2222)</f>
        <v>0.19462365591397848</v>
      </c>
      <c r="I2222" s="87">
        <f>SUMIFS('Climate Data'!$H$7:$H$366,'Climate Data'!$A$7:$A$366,Estimator!$B$4,'Climate Data'!$B$7:$B$366,C2222)</f>
        <v>7.027624309392265</v>
      </c>
      <c r="J2222" s="86">
        <f>SUMIFS('Wind Proxy'!$H$8:$H$19,'Wind Proxy'!$A$8:$A$19,Estimator!$B$4,'Wind Proxy'!$B$8:$B$19,C2222)</f>
        <v>0</v>
      </c>
    </row>
    <row r="2223" spans="1:10" ht="14.4">
      <c r="A2223" s="84">
        <v>47874</v>
      </c>
      <c r="B2223" s="85">
        <v>2031</v>
      </c>
      <c r="C2223" s="85">
        <v>1</v>
      </c>
      <c r="D2223" s="85" t="s">
        <v>55</v>
      </c>
      <c r="E2223" s="85">
        <v>26</v>
      </c>
      <c r="F2223" s="85">
        <v>7</v>
      </c>
      <c r="G2223" s="85">
        <f>--(F2223&lt;=Estimator!$B$7)</f>
        <v>0</v>
      </c>
      <c r="H2223" s="86">
        <f>SUMIFS('Climate Data'!$G$7:$G$366,'Climate Data'!$A$7:$A$366,Estimator!$B$4,'Climate Data'!$B$7:$B$366,C2223)</f>
        <v>0.19462365591397848</v>
      </c>
      <c r="I2223" s="87">
        <f>SUMIFS('Climate Data'!$H$7:$H$366,'Climate Data'!$A$7:$A$366,Estimator!$B$4,'Climate Data'!$B$7:$B$366,C2223)</f>
        <v>7.027624309392265</v>
      </c>
      <c r="J2223" s="86">
        <f>SUMIFS('Wind Proxy'!$H$8:$H$19,'Wind Proxy'!$A$8:$A$19,Estimator!$B$4,'Wind Proxy'!$B$8:$B$19,C2223)</f>
        <v>0</v>
      </c>
    </row>
    <row r="2224" spans="1:10" ht="14.4">
      <c r="A2224" s="84">
        <v>47875</v>
      </c>
      <c r="B2224" s="85">
        <v>2031</v>
      </c>
      <c r="C2224" s="85">
        <v>1</v>
      </c>
      <c r="D2224" s="85" t="s">
        <v>55</v>
      </c>
      <c r="E2224" s="85">
        <v>27</v>
      </c>
      <c r="F2224" s="85">
        <v>1</v>
      </c>
      <c r="G2224" s="85">
        <f>--(F2224&lt;=Estimator!$B$7)</f>
        <v>1</v>
      </c>
      <c r="H2224" s="86">
        <f>SUMIFS('Climate Data'!$G$7:$G$366,'Climate Data'!$A$7:$A$366,Estimator!$B$4,'Climate Data'!$B$7:$B$366,C2224)</f>
        <v>0.19462365591397848</v>
      </c>
      <c r="I2224" s="87">
        <f>SUMIFS('Climate Data'!$H$7:$H$366,'Climate Data'!$A$7:$A$366,Estimator!$B$4,'Climate Data'!$B$7:$B$366,C2224)</f>
        <v>7.027624309392265</v>
      </c>
      <c r="J2224" s="86">
        <f>SUMIFS('Wind Proxy'!$H$8:$H$19,'Wind Proxy'!$A$8:$A$19,Estimator!$B$4,'Wind Proxy'!$B$8:$B$19,C2224)</f>
        <v>0</v>
      </c>
    </row>
    <row r="2225" spans="1:10" ht="14.4">
      <c r="A2225" s="84">
        <v>47876</v>
      </c>
      <c r="B2225" s="85">
        <v>2031</v>
      </c>
      <c r="C2225" s="85">
        <v>1</v>
      </c>
      <c r="D2225" s="85" t="s">
        <v>55</v>
      </c>
      <c r="E2225" s="85">
        <v>28</v>
      </c>
      <c r="F2225" s="85">
        <v>2</v>
      </c>
      <c r="G2225" s="85">
        <f>--(F2225&lt;=Estimator!$B$7)</f>
        <v>1</v>
      </c>
      <c r="H2225" s="86">
        <f>SUMIFS('Climate Data'!$G$7:$G$366,'Climate Data'!$A$7:$A$366,Estimator!$B$4,'Climate Data'!$B$7:$B$366,C2225)</f>
        <v>0.19462365591397848</v>
      </c>
      <c r="I2225" s="87">
        <f>SUMIFS('Climate Data'!$H$7:$H$366,'Climate Data'!$A$7:$A$366,Estimator!$B$4,'Climate Data'!$B$7:$B$366,C2225)</f>
        <v>7.027624309392265</v>
      </c>
      <c r="J2225" s="86">
        <f>SUMIFS('Wind Proxy'!$H$8:$H$19,'Wind Proxy'!$A$8:$A$19,Estimator!$B$4,'Wind Proxy'!$B$8:$B$19,C2225)</f>
        <v>0</v>
      </c>
    </row>
    <row r="2226" spans="1:10" ht="14.4">
      <c r="A2226" s="84">
        <v>47877</v>
      </c>
      <c r="B2226" s="85">
        <v>2031</v>
      </c>
      <c r="C2226" s="85">
        <v>1</v>
      </c>
      <c r="D2226" s="85" t="s">
        <v>55</v>
      </c>
      <c r="E2226" s="85">
        <v>29</v>
      </c>
      <c r="F2226" s="85">
        <v>3</v>
      </c>
      <c r="G2226" s="85">
        <f>--(F2226&lt;=Estimator!$B$7)</f>
        <v>1</v>
      </c>
      <c r="H2226" s="86">
        <f>SUMIFS('Climate Data'!$G$7:$G$366,'Climate Data'!$A$7:$A$366,Estimator!$B$4,'Climate Data'!$B$7:$B$366,C2226)</f>
        <v>0.19462365591397848</v>
      </c>
      <c r="I2226" s="87">
        <f>SUMIFS('Climate Data'!$H$7:$H$366,'Climate Data'!$A$7:$A$366,Estimator!$B$4,'Climate Data'!$B$7:$B$366,C2226)</f>
        <v>7.027624309392265</v>
      </c>
      <c r="J2226" s="86">
        <f>SUMIFS('Wind Proxy'!$H$8:$H$19,'Wind Proxy'!$A$8:$A$19,Estimator!$B$4,'Wind Proxy'!$B$8:$B$19,C2226)</f>
        <v>0</v>
      </c>
    </row>
    <row r="2227" spans="1:10" ht="14.4">
      <c r="A2227" s="84">
        <v>47878</v>
      </c>
      <c r="B2227" s="85">
        <v>2031</v>
      </c>
      <c r="C2227" s="85">
        <v>1</v>
      </c>
      <c r="D2227" s="85" t="s">
        <v>55</v>
      </c>
      <c r="E2227" s="85">
        <v>30</v>
      </c>
      <c r="F2227" s="85">
        <v>4</v>
      </c>
      <c r="G2227" s="85">
        <f>--(F2227&lt;=Estimator!$B$7)</f>
        <v>1</v>
      </c>
      <c r="H2227" s="86">
        <f>SUMIFS('Climate Data'!$G$7:$G$366,'Climate Data'!$A$7:$A$366,Estimator!$B$4,'Climate Data'!$B$7:$B$366,C2227)</f>
        <v>0.19462365591397848</v>
      </c>
      <c r="I2227" s="87">
        <f>SUMIFS('Climate Data'!$H$7:$H$366,'Climate Data'!$A$7:$A$366,Estimator!$B$4,'Climate Data'!$B$7:$B$366,C2227)</f>
        <v>7.027624309392265</v>
      </c>
      <c r="J2227" s="86">
        <f>SUMIFS('Wind Proxy'!$H$8:$H$19,'Wind Proxy'!$A$8:$A$19,Estimator!$B$4,'Wind Proxy'!$B$8:$B$19,C2227)</f>
        <v>0</v>
      </c>
    </row>
    <row r="2228" spans="1:10" ht="14.4">
      <c r="A2228" s="84">
        <v>47879</v>
      </c>
      <c r="B2228" s="85">
        <v>2031</v>
      </c>
      <c r="C2228" s="85">
        <v>1</v>
      </c>
      <c r="D2228" s="85" t="s">
        <v>55</v>
      </c>
      <c r="E2228" s="85">
        <v>31</v>
      </c>
      <c r="F2228" s="85">
        <v>5</v>
      </c>
      <c r="G2228" s="85">
        <f>--(F2228&lt;=Estimator!$B$7)</f>
        <v>1</v>
      </c>
      <c r="H2228" s="86">
        <f>SUMIFS('Climate Data'!$G$7:$G$366,'Climate Data'!$A$7:$A$366,Estimator!$B$4,'Climate Data'!$B$7:$B$366,C2228)</f>
        <v>0.19462365591397848</v>
      </c>
      <c r="I2228" s="87">
        <f>SUMIFS('Climate Data'!$H$7:$H$366,'Climate Data'!$A$7:$A$366,Estimator!$B$4,'Climate Data'!$B$7:$B$366,C2228)</f>
        <v>7.027624309392265</v>
      </c>
      <c r="J2228" s="86">
        <f>SUMIFS('Wind Proxy'!$H$8:$H$19,'Wind Proxy'!$A$8:$A$19,Estimator!$B$4,'Wind Proxy'!$B$8:$B$19,C2228)</f>
        <v>0</v>
      </c>
    </row>
    <row r="2229" spans="1:10" ht="14.4">
      <c r="A2229" s="84">
        <v>47880</v>
      </c>
      <c r="B2229" s="85">
        <v>2031</v>
      </c>
      <c r="C2229" s="85">
        <v>2</v>
      </c>
      <c r="D2229" s="85" t="s">
        <v>58</v>
      </c>
      <c r="E2229" s="85">
        <v>1</v>
      </c>
      <c r="F2229" s="85">
        <v>6</v>
      </c>
      <c r="G2229" s="85">
        <f>--(F2229&lt;=Estimator!$B$7)</f>
        <v>0</v>
      </c>
      <c r="H2229" s="86">
        <f>SUMIFS('Climate Data'!$G$7:$G$366,'Climate Data'!$A$7:$A$366,Estimator!$B$4,'Climate Data'!$B$7:$B$366,C2229)</f>
        <v>0.18867924528301885</v>
      </c>
      <c r="I2229" s="87">
        <f>SUMIFS('Climate Data'!$H$7:$H$366,'Climate Data'!$A$7:$A$366,Estimator!$B$4,'Climate Data'!$B$7:$B$366,C2229)</f>
        <v>7.4624999999999995</v>
      </c>
      <c r="J2229" s="86">
        <f>SUMIFS('Wind Proxy'!$H$8:$H$19,'Wind Proxy'!$A$8:$A$19,Estimator!$B$4,'Wind Proxy'!$B$8:$B$19,C2229)</f>
        <v>0</v>
      </c>
    </row>
    <row r="2230" spans="1:10" ht="14.4">
      <c r="A2230" s="84">
        <v>47881</v>
      </c>
      <c r="B2230" s="85">
        <v>2031</v>
      </c>
      <c r="C2230" s="85">
        <v>2</v>
      </c>
      <c r="D2230" s="85" t="s">
        <v>58</v>
      </c>
      <c r="E2230" s="85">
        <v>2</v>
      </c>
      <c r="F2230" s="85">
        <v>7</v>
      </c>
      <c r="G2230" s="85">
        <f>--(F2230&lt;=Estimator!$B$7)</f>
        <v>0</v>
      </c>
      <c r="H2230" s="86">
        <f>SUMIFS('Climate Data'!$G$7:$G$366,'Climate Data'!$A$7:$A$366,Estimator!$B$4,'Climate Data'!$B$7:$B$366,C2230)</f>
        <v>0.18867924528301885</v>
      </c>
      <c r="I2230" s="87">
        <f>SUMIFS('Climate Data'!$H$7:$H$366,'Climate Data'!$A$7:$A$366,Estimator!$B$4,'Climate Data'!$B$7:$B$366,C2230)</f>
        <v>7.4624999999999995</v>
      </c>
      <c r="J2230" s="86">
        <f>SUMIFS('Wind Proxy'!$H$8:$H$19,'Wind Proxy'!$A$8:$A$19,Estimator!$B$4,'Wind Proxy'!$B$8:$B$19,C2230)</f>
        <v>0</v>
      </c>
    </row>
    <row r="2231" spans="1:10" ht="14.4">
      <c r="A2231" s="84">
        <v>47882</v>
      </c>
      <c r="B2231" s="85">
        <v>2031</v>
      </c>
      <c r="C2231" s="85">
        <v>2</v>
      </c>
      <c r="D2231" s="85" t="s">
        <v>58</v>
      </c>
      <c r="E2231" s="85">
        <v>3</v>
      </c>
      <c r="F2231" s="85">
        <v>1</v>
      </c>
      <c r="G2231" s="85">
        <f>--(F2231&lt;=Estimator!$B$7)</f>
        <v>1</v>
      </c>
      <c r="H2231" s="86">
        <f>SUMIFS('Climate Data'!$G$7:$G$366,'Climate Data'!$A$7:$A$366,Estimator!$B$4,'Climate Data'!$B$7:$B$366,C2231)</f>
        <v>0.18867924528301885</v>
      </c>
      <c r="I2231" s="87">
        <f>SUMIFS('Climate Data'!$H$7:$H$366,'Climate Data'!$A$7:$A$366,Estimator!$B$4,'Climate Data'!$B$7:$B$366,C2231)</f>
        <v>7.4624999999999995</v>
      </c>
      <c r="J2231" s="86">
        <f>SUMIFS('Wind Proxy'!$H$8:$H$19,'Wind Proxy'!$A$8:$A$19,Estimator!$B$4,'Wind Proxy'!$B$8:$B$19,C2231)</f>
        <v>0</v>
      </c>
    </row>
    <row r="2232" spans="1:10" ht="14.4">
      <c r="A2232" s="84">
        <v>47883</v>
      </c>
      <c r="B2232" s="85">
        <v>2031</v>
      </c>
      <c r="C2232" s="85">
        <v>2</v>
      </c>
      <c r="D2232" s="85" t="s">
        <v>58</v>
      </c>
      <c r="E2232" s="85">
        <v>4</v>
      </c>
      <c r="F2232" s="85">
        <v>2</v>
      </c>
      <c r="G2232" s="85">
        <f>--(F2232&lt;=Estimator!$B$7)</f>
        <v>1</v>
      </c>
      <c r="H2232" s="86">
        <f>SUMIFS('Climate Data'!$G$7:$G$366,'Climate Data'!$A$7:$A$366,Estimator!$B$4,'Climate Data'!$B$7:$B$366,C2232)</f>
        <v>0.18867924528301885</v>
      </c>
      <c r="I2232" s="87">
        <f>SUMIFS('Climate Data'!$H$7:$H$366,'Climate Data'!$A$7:$A$366,Estimator!$B$4,'Climate Data'!$B$7:$B$366,C2232)</f>
        <v>7.4624999999999995</v>
      </c>
      <c r="J2232" s="86">
        <f>SUMIFS('Wind Proxy'!$H$8:$H$19,'Wind Proxy'!$A$8:$A$19,Estimator!$B$4,'Wind Proxy'!$B$8:$B$19,C2232)</f>
        <v>0</v>
      </c>
    </row>
    <row r="2233" spans="1:10" ht="14.4">
      <c r="A2233" s="84">
        <v>47884</v>
      </c>
      <c r="B2233" s="85">
        <v>2031</v>
      </c>
      <c r="C2233" s="85">
        <v>2</v>
      </c>
      <c r="D2233" s="85" t="s">
        <v>58</v>
      </c>
      <c r="E2233" s="85">
        <v>5</v>
      </c>
      <c r="F2233" s="85">
        <v>3</v>
      </c>
      <c r="G2233" s="85">
        <f>--(F2233&lt;=Estimator!$B$7)</f>
        <v>1</v>
      </c>
      <c r="H2233" s="86">
        <f>SUMIFS('Climate Data'!$G$7:$G$366,'Climate Data'!$A$7:$A$366,Estimator!$B$4,'Climate Data'!$B$7:$B$366,C2233)</f>
        <v>0.18867924528301885</v>
      </c>
      <c r="I2233" s="87">
        <f>SUMIFS('Climate Data'!$H$7:$H$366,'Climate Data'!$A$7:$A$366,Estimator!$B$4,'Climate Data'!$B$7:$B$366,C2233)</f>
        <v>7.4624999999999995</v>
      </c>
      <c r="J2233" s="86">
        <f>SUMIFS('Wind Proxy'!$H$8:$H$19,'Wind Proxy'!$A$8:$A$19,Estimator!$B$4,'Wind Proxy'!$B$8:$B$19,C2233)</f>
        <v>0</v>
      </c>
    </row>
    <row r="2234" spans="1:10" ht="14.4">
      <c r="A2234" s="84">
        <v>47885</v>
      </c>
      <c r="B2234" s="85">
        <v>2031</v>
      </c>
      <c r="C2234" s="85">
        <v>2</v>
      </c>
      <c r="D2234" s="85" t="s">
        <v>58</v>
      </c>
      <c r="E2234" s="85">
        <v>6</v>
      </c>
      <c r="F2234" s="85">
        <v>4</v>
      </c>
      <c r="G2234" s="85">
        <f>--(F2234&lt;=Estimator!$B$7)</f>
        <v>1</v>
      </c>
      <c r="H2234" s="86">
        <f>SUMIFS('Climate Data'!$G$7:$G$366,'Climate Data'!$A$7:$A$366,Estimator!$B$4,'Climate Data'!$B$7:$B$366,C2234)</f>
        <v>0.18867924528301885</v>
      </c>
      <c r="I2234" s="87">
        <f>SUMIFS('Climate Data'!$H$7:$H$366,'Climate Data'!$A$7:$A$366,Estimator!$B$4,'Climate Data'!$B$7:$B$366,C2234)</f>
        <v>7.4624999999999995</v>
      </c>
      <c r="J2234" s="86">
        <f>SUMIFS('Wind Proxy'!$H$8:$H$19,'Wind Proxy'!$A$8:$A$19,Estimator!$B$4,'Wind Proxy'!$B$8:$B$19,C2234)</f>
        <v>0</v>
      </c>
    </row>
    <row r="2235" spans="1:10" ht="14.4">
      <c r="A2235" s="84">
        <v>47886</v>
      </c>
      <c r="B2235" s="85">
        <v>2031</v>
      </c>
      <c r="C2235" s="85">
        <v>2</v>
      </c>
      <c r="D2235" s="85" t="s">
        <v>58</v>
      </c>
      <c r="E2235" s="85">
        <v>7</v>
      </c>
      <c r="F2235" s="85">
        <v>5</v>
      </c>
      <c r="G2235" s="85">
        <f>--(F2235&lt;=Estimator!$B$7)</f>
        <v>1</v>
      </c>
      <c r="H2235" s="86">
        <f>SUMIFS('Climate Data'!$G$7:$G$366,'Climate Data'!$A$7:$A$366,Estimator!$B$4,'Climate Data'!$B$7:$B$366,C2235)</f>
        <v>0.18867924528301885</v>
      </c>
      <c r="I2235" s="87">
        <f>SUMIFS('Climate Data'!$H$7:$H$366,'Climate Data'!$A$7:$A$366,Estimator!$B$4,'Climate Data'!$B$7:$B$366,C2235)</f>
        <v>7.4624999999999995</v>
      </c>
      <c r="J2235" s="86">
        <f>SUMIFS('Wind Proxy'!$H$8:$H$19,'Wind Proxy'!$A$8:$A$19,Estimator!$B$4,'Wind Proxy'!$B$8:$B$19,C2235)</f>
        <v>0</v>
      </c>
    </row>
    <row r="2236" spans="1:10" ht="14.4">
      <c r="A2236" s="84">
        <v>47887</v>
      </c>
      <c r="B2236" s="85">
        <v>2031</v>
      </c>
      <c r="C2236" s="85">
        <v>2</v>
      </c>
      <c r="D2236" s="85" t="s">
        <v>58</v>
      </c>
      <c r="E2236" s="85">
        <v>8</v>
      </c>
      <c r="F2236" s="85">
        <v>6</v>
      </c>
      <c r="G2236" s="85">
        <f>--(F2236&lt;=Estimator!$B$7)</f>
        <v>0</v>
      </c>
      <c r="H2236" s="86">
        <f>SUMIFS('Climate Data'!$G$7:$G$366,'Climate Data'!$A$7:$A$366,Estimator!$B$4,'Climate Data'!$B$7:$B$366,C2236)</f>
        <v>0.18867924528301885</v>
      </c>
      <c r="I2236" s="87">
        <f>SUMIFS('Climate Data'!$H$7:$H$366,'Climate Data'!$A$7:$A$366,Estimator!$B$4,'Climate Data'!$B$7:$B$366,C2236)</f>
        <v>7.4624999999999995</v>
      </c>
      <c r="J2236" s="86">
        <f>SUMIFS('Wind Proxy'!$H$8:$H$19,'Wind Proxy'!$A$8:$A$19,Estimator!$B$4,'Wind Proxy'!$B$8:$B$19,C2236)</f>
        <v>0</v>
      </c>
    </row>
    <row r="2237" spans="1:10" ht="14.4">
      <c r="A2237" s="84">
        <v>47888</v>
      </c>
      <c r="B2237" s="85">
        <v>2031</v>
      </c>
      <c r="C2237" s="85">
        <v>2</v>
      </c>
      <c r="D2237" s="85" t="s">
        <v>58</v>
      </c>
      <c r="E2237" s="85">
        <v>9</v>
      </c>
      <c r="F2237" s="85">
        <v>7</v>
      </c>
      <c r="G2237" s="85">
        <f>--(F2237&lt;=Estimator!$B$7)</f>
        <v>0</v>
      </c>
      <c r="H2237" s="86">
        <f>SUMIFS('Climate Data'!$G$7:$G$366,'Climate Data'!$A$7:$A$366,Estimator!$B$4,'Climate Data'!$B$7:$B$366,C2237)</f>
        <v>0.18867924528301885</v>
      </c>
      <c r="I2237" s="87">
        <f>SUMIFS('Climate Data'!$H$7:$H$366,'Climate Data'!$A$7:$A$366,Estimator!$B$4,'Climate Data'!$B$7:$B$366,C2237)</f>
        <v>7.4624999999999995</v>
      </c>
      <c r="J2237" s="86">
        <f>SUMIFS('Wind Proxy'!$H$8:$H$19,'Wind Proxy'!$A$8:$A$19,Estimator!$B$4,'Wind Proxy'!$B$8:$B$19,C2237)</f>
        <v>0</v>
      </c>
    </row>
    <row r="2238" spans="1:10" ht="14.4">
      <c r="A2238" s="84">
        <v>47889</v>
      </c>
      <c r="B2238" s="85">
        <v>2031</v>
      </c>
      <c r="C2238" s="85">
        <v>2</v>
      </c>
      <c r="D2238" s="85" t="s">
        <v>58</v>
      </c>
      <c r="E2238" s="85">
        <v>10</v>
      </c>
      <c r="F2238" s="85">
        <v>1</v>
      </c>
      <c r="G2238" s="85">
        <f>--(F2238&lt;=Estimator!$B$7)</f>
        <v>1</v>
      </c>
      <c r="H2238" s="86">
        <f>SUMIFS('Climate Data'!$G$7:$G$366,'Climate Data'!$A$7:$A$366,Estimator!$B$4,'Climate Data'!$B$7:$B$366,C2238)</f>
        <v>0.18867924528301885</v>
      </c>
      <c r="I2238" s="87">
        <f>SUMIFS('Climate Data'!$H$7:$H$366,'Climate Data'!$A$7:$A$366,Estimator!$B$4,'Climate Data'!$B$7:$B$366,C2238)</f>
        <v>7.4624999999999995</v>
      </c>
      <c r="J2238" s="86">
        <f>SUMIFS('Wind Proxy'!$H$8:$H$19,'Wind Proxy'!$A$8:$A$19,Estimator!$B$4,'Wind Proxy'!$B$8:$B$19,C2238)</f>
        <v>0</v>
      </c>
    </row>
    <row r="2239" spans="1:10" ht="14.4">
      <c r="A2239" s="84">
        <v>47890</v>
      </c>
      <c r="B2239" s="85">
        <v>2031</v>
      </c>
      <c r="C2239" s="85">
        <v>2</v>
      </c>
      <c r="D2239" s="85" t="s">
        <v>58</v>
      </c>
      <c r="E2239" s="85">
        <v>11</v>
      </c>
      <c r="F2239" s="85">
        <v>2</v>
      </c>
      <c r="G2239" s="85">
        <f>--(F2239&lt;=Estimator!$B$7)</f>
        <v>1</v>
      </c>
      <c r="H2239" s="86">
        <f>SUMIFS('Climate Data'!$G$7:$G$366,'Climate Data'!$A$7:$A$366,Estimator!$B$4,'Climate Data'!$B$7:$B$366,C2239)</f>
        <v>0.18867924528301885</v>
      </c>
      <c r="I2239" s="87">
        <f>SUMIFS('Climate Data'!$H$7:$H$366,'Climate Data'!$A$7:$A$366,Estimator!$B$4,'Climate Data'!$B$7:$B$366,C2239)</f>
        <v>7.4624999999999995</v>
      </c>
      <c r="J2239" s="86">
        <f>SUMIFS('Wind Proxy'!$H$8:$H$19,'Wind Proxy'!$A$8:$A$19,Estimator!$B$4,'Wind Proxy'!$B$8:$B$19,C2239)</f>
        <v>0</v>
      </c>
    </row>
    <row r="2240" spans="1:10" ht="14.4">
      <c r="A2240" s="84">
        <v>47891</v>
      </c>
      <c r="B2240" s="85">
        <v>2031</v>
      </c>
      <c r="C2240" s="85">
        <v>2</v>
      </c>
      <c r="D2240" s="85" t="s">
        <v>58</v>
      </c>
      <c r="E2240" s="85">
        <v>12</v>
      </c>
      <c r="F2240" s="85">
        <v>3</v>
      </c>
      <c r="G2240" s="85">
        <f>--(F2240&lt;=Estimator!$B$7)</f>
        <v>1</v>
      </c>
      <c r="H2240" s="86">
        <f>SUMIFS('Climate Data'!$G$7:$G$366,'Climate Data'!$A$7:$A$366,Estimator!$B$4,'Climate Data'!$B$7:$B$366,C2240)</f>
        <v>0.18867924528301885</v>
      </c>
      <c r="I2240" s="87">
        <f>SUMIFS('Climate Data'!$H$7:$H$366,'Climate Data'!$A$7:$A$366,Estimator!$B$4,'Climate Data'!$B$7:$B$366,C2240)</f>
        <v>7.4624999999999995</v>
      </c>
      <c r="J2240" s="86">
        <f>SUMIFS('Wind Proxy'!$H$8:$H$19,'Wind Proxy'!$A$8:$A$19,Estimator!$B$4,'Wind Proxy'!$B$8:$B$19,C2240)</f>
        <v>0</v>
      </c>
    </row>
    <row r="2241" spans="1:10" ht="14.4">
      <c r="A2241" s="84">
        <v>47892</v>
      </c>
      <c r="B2241" s="85">
        <v>2031</v>
      </c>
      <c r="C2241" s="85">
        <v>2</v>
      </c>
      <c r="D2241" s="85" t="s">
        <v>58</v>
      </c>
      <c r="E2241" s="85">
        <v>13</v>
      </c>
      <c r="F2241" s="85">
        <v>4</v>
      </c>
      <c r="G2241" s="85">
        <f>--(F2241&lt;=Estimator!$B$7)</f>
        <v>1</v>
      </c>
      <c r="H2241" s="86">
        <f>SUMIFS('Climate Data'!$G$7:$G$366,'Climate Data'!$A$7:$A$366,Estimator!$B$4,'Climate Data'!$B$7:$B$366,C2241)</f>
        <v>0.18867924528301885</v>
      </c>
      <c r="I2241" s="87">
        <f>SUMIFS('Climate Data'!$H$7:$H$366,'Climate Data'!$A$7:$A$366,Estimator!$B$4,'Climate Data'!$B$7:$B$366,C2241)</f>
        <v>7.4624999999999995</v>
      </c>
      <c r="J2241" s="86">
        <f>SUMIFS('Wind Proxy'!$H$8:$H$19,'Wind Proxy'!$A$8:$A$19,Estimator!$B$4,'Wind Proxy'!$B$8:$B$19,C2241)</f>
        <v>0</v>
      </c>
    </row>
    <row r="2242" spans="1:10" ht="14.4">
      <c r="A2242" s="84">
        <v>47893</v>
      </c>
      <c r="B2242" s="85">
        <v>2031</v>
      </c>
      <c r="C2242" s="85">
        <v>2</v>
      </c>
      <c r="D2242" s="85" t="s">
        <v>58</v>
      </c>
      <c r="E2242" s="85">
        <v>14</v>
      </c>
      <c r="F2242" s="85">
        <v>5</v>
      </c>
      <c r="G2242" s="85">
        <f>--(F2242&lt;=Estimator!$B$7)</f>
        <v>1</v>
      </c>
      <c r="H2242" s="86">
        <f>SUMIFS('Climate Data'!$G$7:$G$366,'Climate Data'!$A$7:$A$366,Estimator!$B$4,'Climate Data'!$B$7:$B$366,C2242)</f>
        <v>0.18867924528301885</v>
      </c>
      <c r="I2242" s="87">
        <f>SUMIFS('Climate Data'!$H$7:$H$366,'Climate Data'!$A$7:$A$366,Estimator!$B$4,'Climate Data'!$B$7:$B$366,C2242)</f>
        <v>7.4624999999999995</v>
      </c>
      <c r="J2242" s="86">
        <f>SUMIFS('Wind Proxy'!$H$8:$H$19,'Wind Proxy'!$A$8:$A$19,Estimator!$B$4,'Wind Proxy'!$B$8:$B$19,C2242)</f>
        <v>0</v>
      </c>
    </row>
    <row r="2243" spans="1:10" ht="14.4">
      <c r="A2243" s="84">
        <v>47894</v>
      </c>
      <c r="B2243" s="85">
        <v>2031</v>
      </c>
      <c r="C2243" s="85">
        <v>2</v>
      </c>
      <c r="D2243" s="85" t="s">
        <v>58</v>
      </c>
      <c r="E2243" s="85">
        <v>15</v>
      </c>
      <c r="F2243" s="85">
        <v>6</v>
      </c>
      <c r="G2243" s="85">
        <f>--(F2243&lt;=Estimator!$B$7)</f>
        <v>0</v>
      </c>
      <c r="H2243" s="86">
        <f>SUMIFS('Climate Data'!$G$7:$G$366,'Climate Data'!$A$7:$A$366,Estimator!$B$4,'Climate Data'!$B$7:$B$366,C2243)</f>
        <v>0.18867924528301885</v>
      </c>
      <c r="I2243" s="87">
        <f>SUMIFS('Climate Data'!$H$7:$H$366,'Climate Data'!$A$7:$A$366,Estimator!$B$4,'Climate Data'!$B$7:$B$366,C2243)</f>
        <v>7.4624999999999995</v>
      </c>
      <c r="J2243" s="86">
        <f>SUMIFS('Wind Proxy'!$H$8:$H$19,'Wind Proxy'!$A$8:$A$19,Estimator!$B$4,'Wind Proxy'!$B$8:$B$19,C2243)</f>
        <v>0</v>
      </c>
    </row>
    <row r="2244" spans="1:10" ht="14.4">
      <c r="A2244" s="84">
        <v>47895</v>
      </c>
      <c r="B2244" s="85">
        <v>2031</v>
      </c>
      <c r="C2244" s="85">
        <v>2</v>
      </c>
      <c r="D2244" s="85" t="s">
        <v>58</v>
      </c>
      <c r="E2244" s="85">
        <v>16</v>
      </c>
      <c r="F2244" s="85">
        <v>7</v>
      </c>
      <c r="G2244" s="85">
        <f>--(F2244&lt;=Estimator!$B$7)</f>
        <v>0</v>
      </c>
      <c r="H2244" s="86">
        <f>SUMIFS('Climate Data'!$G$7:$G$366,'Climate Data'!$A$7:$A$366,Estimator!$B$4,'Climate Data'!$B$7:$B$366,C2244)</f>
        <v>0.18867924528301885</v>
      </c>
      <c r="I2244" s="87">
        <f>SUMIFS('Climate Data'!$H$7:$H$366,'Climate Data'!$A$7:$A$366,Estimator!$B$4,'Climate Data'!$B$7:$B$366,C2244)</f>
        <v>7.4624999999999995</v>
      </c>
      <c r="J2244" s="86">
        <f>SUMIFS('Wind Proxy'!$H$8:$H$19,'Wind Proxy'!$A$8:$A$19,Estimator!$B$4,'Wind Proxy'!$B$8:$B$19,C2244)</f>
        <v>0</v>
      </c>
    </row>
    <row r="2245" spans="1:10" ht="14.4">
      <c r="A2245" s="84">
        <v>47896</v>
      </c>
      <c r="B2245" s="85">
        <v>2031</v>
      </c>
      <c r="C2245" s="85">
        <v>2</v>
      </c>
      <c r="D2245" s="85" t="s">
        <v>58</v>
      </c>
      <c r="E2245" s="85">
        <v>17</v>
      </c>
      <c r="F2245" s="85">
        <v>1</v>
      </c>
      <c r="G2245" s="85">
        <f>--(F2245&lt;=Estimator!$B$7)</f>
        <v>1</v>
      </c>
      <c r="H2245" s="86">
        <f>SUMIFS('Climate Data'!$G$7:$G$366,'Climate Data'!$A$7:$A$366,Estimator!$B$4,'Climate Data'!$B$7:$B$366,C2245)</f>
        <v>0.18867924528301885</v>
      </c>
      <c r="I2245" s="87">
        <f>SUMIFS('Climate Data'!$H$7:$H$366,'Climate Data'!$A$7:$A$366,Estimator!$B$4,'Climate Data'!$B$7:$B$366,C2245)</f>
        <v>7.4624999999999995</v>
      </c>
      <c r="J2245" s="86">
        <f>SUMIFS('Wind Proxy'!$H$8:$H$19,'Wind Proxy'!$A$8:$A$19,Estimator!$B$4,'Wind Proxy'!$B$8:$B$19,C2245)</f>
        <v>0</v>
      </c>
    </row>
    <row r="2246" spans="1:10" ht="14.4">
      <c r="A2246" s="84">
        <v>47897</v>
      </c>
      <c r="B2246" s="85">
        <v>2031</v>
      </c>
      <c r="C2246" s="85">
        <v>2</v>
      </c>
      <c r="D2246" s="85" t="s">
        <v>58</v>
      </c>
      <c r="E2246" s="85">
        <v>18</v>
      </c>
      <c r="F2246" s="85">
        <v>2</v>
      </c>
      <c r="G2246" s="85">
        <f>--(F2246&lt;=Estimator!$B$7)</f>
        <v>1</v>
      </c>
      <c r="H2246" s="86">
        <f>SUMIFS('Climate Data'!$G$7:$G$366,'Climate Data'!$A$7:$A$366,Estimator!$B$4,'Climate Data'!$B$7:$B$366,C2246)</f>
        <v>0.18867924528301885</v>
      </c>
      <c r="I2246" s="87">
        <f>SUMIFS('Climate Data'!$H$7:$H$366,'Climate Data'!$A$7:$A$366,Estimator!$B$4,'Climate Data'!$B$7:$B$366,C2246)</f>
        <v>7.4624999999999995</v>
      </c>
      <c r="J2246" s="86">
        <f>SUMIFS('Wind Proxy'!$H$8:$H$19,'Wind Proxy'!$A$8:$A$19,Estimator!$B$4,'Wind Proxy'!$B$8:$B$19,C2246)</f>
        <v>0</v>
      </c>
    </row>
    <row r="2247" spans="1:10" ht="14.4">
      <c r="A2247" s="84">
        <v>47898</v>
      </c>
      <c r="B2247" s="85">
        <v>2031</v>
      </c>
      <c r="C2247" s="85">
        <v>2</v>
      </c>
      <c r="D2247" s="85" t="s">
        <v>58</v>
      </c>
      <c r="E2247" s="85">
        <v>19</v>
      </c>
      <c r="F2247" s="85">
        <v>3</v>
      </c>
      <c r="G2247" s="85">
        <f>--(F2247&lt;=Estimator!$B$7)</f>
        <v>1</v>
      </c>
      <c r="H2247" s="86">
        <f>SUMIFS('Climate Data'!$G$7:$G$366,'Climate Data'!$A$7:$A$366,Estimator!$B$4,'Climate Data'!$B$7:$B$366,C2247)</f>
        <v>0.18867924528301885</v>
      </c>
      <c r="I2247" s="87">
        <f>SUMIFS('Climate Data'!$H$7:$H$366,'Climate Data'!$A$7:$A$366,Estimator!$B$4,'Climate Data'!$B$7:$B$366,C2247)</f>
        <v>7.4624999999999995</v>
      </c>
      <c r="J2247" s="86">
        <f>SUMIFS('Wind Proxy'!$H$8:$H$19,'Wind Proxy'!$A$8:$A$19,Estimator!$B$4,'Wind Proxy'!$B$8:$B$19,C2247)</f>
        <v>0</v>
      </c>
    </row>
    <row r="2248" spans="1:10" ht="14.4">
      <c r="A2248" s="84">
        <v>47899</v>
      </c>
      <c r="B2248" s="85">
        <v>2031</v>
      </c>
      <c r="C2248" s="85">
        <v>2</v>
      </c>
      <c r="D2248" s="85" t="s">
        <v>58</v>
      </c>
      <c r="E2248" s="85">
        <v>20</v>
      </c>
      <c r="F2248" s="85">
        <v>4</v>
      </c>
      <c r="G2248" s="85">
        <f>--(F2248&lt;=Estimator!$B$7)</f>
        <v>1</v>
      </c>
      <c r="H2248" s="86">
        <f>SUMIFS('Climate Data'!$G$7:$G$366,'Climate Data'!$A$7:$A$366,Estimator!$B$4,'Climate Data'!$B$7:$B$366,C2248)</f>
        <v>0.18867924528301885</v>
      </c>
      <c r="I2248" s="87">
        <f>SUMIFS('Climate Data'!$H$7:$H$366,'Climate Data'!$A$7:$A$366,Estimator!$B$4,'Climate Data'!$B$7:$B$366,C2248)</f>
        <v>7.4624999999999995</v>
      </c>
      <c r="J2248" s="86">
        <f>SUMIFS('Wind Proxy'!$H$8:$H$19,'Wind Proxy'!$A$8:$A$19,Estimator!$B$4,'Wind Proxy'!$B$8:$B$19,C2248)</f>
        <v>0</v>
      </c>
    </row>
    <row r="2249" spans="1:10" ht="14.4">
      <c r="A2249" s="84">
        <v>47900</v>
      </c>
      <c r="B2249" s="85">
        <v>2031</v>
      </c>
      <c r="C2249" s="85">
        <v>2</v>
      </c>
      <c r="D2249" s="85" t="s">
        <v>58</v>
      </c>
      <c r="E2249" s="85">
        <v>21</v>
      </c>
      <c r="F2249" s="85">
        <v>5</v>
      </c>
      <c r="G2249" s="85">
        <f>--(F2249&lt;=Estimator!$B$7)</f>
        <v>1</v>
      </c>
      <c r="H2249" s="86">
        <f>SUMIFS('Climate Data'!$G$7:$G$366,'Climate Data'!$A$7:$A$366,Estimator!$B$4,'Climate Data'!$B$7:$B$366,C2249)</f>
        <v>0.18867924528301885</v>
      </c>
      <c r="I2249" s="87">
        <f>SUMIFS('Climate Data'!$H$7:$H$366,'Climate Data'!$A$7:$A$366,Estimator!$B$4,'Climate Data'!$B$7:$B$366,C2249)</f>
        <v>7.4624999999999995</v>
      </c>
      <c r="J2249" s="86">
        <f>SUMIFS('Wind Proxy'!$H$8:$H$19,'Wind Proxy'!$A$8:$A$19,Estimator!$B$4,'Wind Proxy'!$B$8:$B$19,C2249)</f>
        <v>0</v>
      </c>
    </row>
    <row r="2250" spans="1:10" ht="14.4">
      <c r="A2250" s="84">
        <v>47901</v>
      </c>
      <c r="B2250" s="85">
        <v>2031</v>
      </c>
      <c r="C2250" s="85">
        <v>2</v>
      </c>
      <c r="D2250" s="85" t="s">
        <v>58</v>
      </c>
      <c r="E2250" s="85">
        <v>22</v>
      </c>
      <c r="F2250" s="85">
        <v>6</v>
      </c>
      <c r="G2250" s="85">
        <f>--(F2250&lt;=Estimator!$B$7)</f>
        <v>0</v>
      </c>
      <c r="H2250" s="86">
        <f>SUMIFS('Climate Data'!$G$7:$G$366,'Climate Data'!$A$7:$A$366,Estimator!$B$4,'Climate Data'!$B$7:$B$366,C2250)</f>
        <v>0.18867924528301885</v>
      </c>
      <c r="I2250" s="87">
        <f>SUMIFS('Climate Data'!$H$7:$H$366,'Climate Data'!$A$7:$A$366,Estimator!$B$4,'Climate Data'!$B$7:$B$366,C2250)</f>
        <v>7.4624999999999995</v>
      </c>
      <c r="J2250" s="86">
        <f>SUMIFS('Wind Proxy'!$H$8:$H$19,'Wind Proxy'!$A$8:$A$19,Estimator!$B$4,'Wind Proxy'!$B$8:$B$19,C2250)</f>
        <v>0</v>
      </c>
    </row>
    <row r="2251" spans="1:10" ht="14.4">
      <c r="A2251" s="84">
        <v>47902</v>
      </c>
      <c r="B2251" s="85">
        <v>2031</v>
      </c>
      <c r="C2251" s="85">
        <v>2</v>
      </c>
      <c r="D2251" s="85" t="s">
        <v>58</v>
      </c>
      <c r="E2251" s="85">
        <v>23</v>
      </c>
      <c r="F2251" s="85">
        <v>7</v>
      </c>
      <c r="G2251" s="85">
        <f>--(F2251&lt;=Estimator!$B$7)</f>
        <v>0</v>
      </c>
      <c r="H2251" s="86">
        <f>SUMIFS('Climate Data'!$G$7:$G$366,'Climate Data'!$A$7:$A$366,Estimator!$B$4,'Climate Data'!$B$7:$B$366,C2251)</f>
        <v>0.18867924528301885</v>
      </c>
      <c r="I2251" s="87">
        <f>SUMIFS('Climate Data'!$H$7:$H$366,'Climate Data'!$A$7:$A$366,Estimator!$B$4,'Climate Data'!$B$7:$B$366,C2251)</f>
        <v>7.4624999999999995</v>
      </c>
      <c r="J2251" s="86">
        <f>SUMIFS('Wind Proxy'!$H$8:$H$19,'Wind Proxy'!$A$8:$A$19,Estimator!$B$4,'Wind Proxy'!$B$8:$B$19,C2251)</f>
        <v>0</v>
      </c>
    </row>
    <row r="2252" spans="1:10" ht="14.4">
      <c r="A2252" s="84">
        <v>47903</v>
      </c>
      <c r="B2252" s="85">
        <v>2031</v>
      </c>
      <c r="C2252" s="85">
        <v>2</v>
      </c>
      <c r="D2252" s="85" t="s">
        <v>58</v>
      </c>
      <c r="E2252" s="85">
        <v>24</v>
      </c>
      <c r="F2252" s="85">
        <v>1</v>
      </c>
      <c r="G2252" s="85">
        <f>--(F2252&lt;=Estimator!$B$7)</f>
        <v>1</v>
      </c>
      <c r="H2252" s="86">
        <f>SUMIFS('Climate Data'!$G$7:$G$366,'Climate Data'!$A$7:$A$366,Estimator!$B$4,'Climate Data'!$B$7:$B$366,C2252)</f>
        <v>0.18867924528301885</v>
      </c>
      <c r="I2252" s="87">
        <f>SUMIFS('Climate Data'!$H$7:$H$366,'Climate Data'!$A$7:$A$366,Estimator!$B$4,'Climate Data'!$B$7:$B$366,C2252)</f>
        <v>7.4624999999999995</v>
      </c>
      <c r="J2252" s="86">
        <f>SUMIFS('Wind Proxy'!$H$8:$H$19,'Wind Proxy'!$A$8:$A$19,Estimator!$B$4,'Wind Proxy'!$B$8:$B$19,C2252)</f>
        <v>0</v>
      </c>
    </row>
    <row r="2253" spans="1:10" ht="14.4">
      <c r="A2253" s="84">
        <v>47904</v>
      </c>
      <c r="B2253" s="85">
        <v>2031</v>
      </c>
      <c r="C2253" s="85">
        <v>2</v>
      </c>
      <c r="D2253" s="85" t="s">
        <v>58</v>
      </c>
      <c r="E2253" s="85">
        <v>25</v>
      </c>
      <c r="F2253" s="85">
        <v>2</v>
      </c>
      <c r="G2253" s="85">
        <f>--(F2253&lt;=Estimator!$B$7)</f>
        <v>1</v>
      </c>
      <c r="H2253" s="86">
        <f>SUMIFS('Climate Data'!$G$7:$G$366,'Climate Data'!$A$7:$A$366,Estimator!$B$4,'Climate Data'!$B$7:$B$366,C2253)</f>
        <v>0.18867924528301885</v>
      </c>
      <c r="I2253" s="87">
        <f>SUMIFS('Climate Data'!$H$7:$H$366,'Climate Data'!$A$7:$A$366,Estimator!$B$4,'Climate Data'!$B$7:$B$366,C2253)</f>
        <v>7.4624999999999995</v>
      </c>
      <c r="J2253" s="86">
        <f>SUMIFS('Wind Proxy'!$H$8:$H$19,'Wind Proxy'!$A$8:$A$19,Estimator!$B$4,'Wind Proxy'!$B$8:$B$19,C2253)</f>
        <v>0</v>
      </c>
    </row>
    <row r="2254" spans="1:10" ht="14.4">
      <c r="A2254" s="84">
        <v>47905</v>
      </c>
      <c r="B2254" s="85">
        <v>2031</v>
      </c>
      <c r="C2254" s="85">
        <v>2</v>
      </c>
      <c r="D2254" s="85" t="s">
        <v>58</v>
      </c>
      <c r="E2254" s="85">
        <v>26</v>
      </c>
      <c r="F2254" s="85">
        <v>3</v>
      </c>
      <c r="G2254" s="85">
        <f>--(F2254&lt;=Estimator!$B$7)</f>
        <v>1</v>
      </c>
      <c r="H2254" s="86">
        <f>SUMIFS('Climate Data'!$G$7:$G$366,'Climate Data'!$A$7:$A$366,Estimator!$B$4,'Climate Data'!$B$7:$B$366,C2254)</f>
        <v>0.18867924528301885</v>
      </c>
      <c r="I2254" s="87">
        <f>SUMIFS('Climate Data'!$H$7:$H$366,'Climate Data'!$A$7:$A$366,Estimator!$B$4,'Climate Data'!$B$7:$B$366,C2254)</f>
        <v>7.4624999999999995</v>
      </c>
      <c r="J2254" s="86">
        <f>SUMIFS('Wind Proxy'!$H$8:$H$19,'Wind Proxy'!$A$8:$A$19,Estimator!$B$4,'Wind Proxy'!$B$8:$B$19,C2254)</f>
        <v>0</v>
      </c>
    </row>
    <row r="2255" spans="1:10" ht="14.4">
      <c r="A2255" s="84">
        <v>47906</v>
      </c>
      <c r="B2255" s="85">
        <v>2031</v>
      </c>
      <c r="C2255" s="85">
        <v>2</v>
      </c>
      <c r="D2255" s="85" t="s">
        <v>58</v>
      </c>
      <c r="E2255" s="85">
        <v>27</v>
      </c>
      <c r="F2255" s="85">
        <v>4</v>
      </c>
      <c r="G2255" s="85">
        <f>--(F2255&lt;=Estimator!$B$7)</f>
        <v>1</v>
      </c>
      <c r="H2255" s="86">
        <f>SUMIFS('Climate Data'!$G$7:$G$366,'Climate Data'!$A$7:$A$366,Estimator!$B$4,'Climate Data'!$B$7:$B$366,C2255)</f>
        <v>0.18867924528301885</v>
      </c>
      <c r="I2255" s="87">
        <f>SUMIFS('Climate Data'!$H$7:$H$366,'Climate Data'!$A$7:$A$366,Estimator!$B$4,'Climate Data'!$B$7:$B$366,C2255)</f>
        <v>7.4624999999999995</v>
      </c>
      <c r="J2255" s="86">
        <f>SUMIFS('Wind Proxy'!$H$8:$H$19,'Wind Proxy'!$A$8:$A$19,Estimator!$B$4,'Wind Proxy'!$B$8:$B$19,C2255)</f>
        <v>0</v>
      </c>
    </row>
    <row r="2256" spans="1:10" ht="14.4">
      <c r="A2256" s="84">
        <v>47907</v>
      </c>
      <c r="B2256" s="85">
        <v>2031</v>
      </c>
      <c r="C2256" s="85">
        <v>2</v>
      </c>
      <c r="D2256" s="85" t="s">
        <v>58</v>
      </c>
      <c r="E2256" s="85">
        <v>28</v>
      </c>
      <c r="F2256" s="85">
        <v>5</v>
      </c>
      <c r="G2256" s="85">
        <f>--(F2256&lt;=Estimator!$B$7)</f>
        <v>1</v>
      </c>
      <c r="H2256" s="86">
        <f>SUMIFS('Climate Data'!$G$7:$G$366,'Climate Data'!$A$7:$A$366,Estimator!$B$4,'Climate Data'!$B$7:$B$366,C2256)</f>
        <v>0.18867924528301885</v>
      </c>
      <c r="I2256" s="87">
        <f>SUMIFS('Climate Data'!$H$7:$H$366,'Climate Data'!$A$7:$A$366,Estimator!$B$4,'Climate Data'!$B$7:$B$366,C2256)</f>
        <v>7.4624999999999995</v>
      </c>
      <c r="J2256" s="86">
        <f>SUMIFS('Wind Proxy'!$H$8:$H$19,'Wind Proxy'!$A$8:$A$19,Estimator!$B$4,'Wind Proxy'!$B$8:$B$19,C2256)</f>
        <v>0</v>
      </c>
    </row>
    <row r="2257" spans="1:10" ht="14.4">
      <c r="A2257" s="84">
        <v>47908</v>
      </c>
      <c r="B2257" s="85">
        <v>2031</v>
      </c>
      <c r="C2257" s="85">
        <v>3</v>
      </c>
      <c r="D2257" s="85" t="s">
        <v>60</v>
      </c>
      <c r="E2257" s="85">
        <v>1</v>
      </c>
      <c r="F2257" s="85">
        <v>6</v>
      </c>
      <c r="G2257" s="85">
        <f>--(F2257&lt;=Estimator!$B$7)</f>
        <v>0</v>
      </c>
      <c r="H2257" s="86">
        <f>SUMIFS('Climate Data'!$G$7:$G$366,'Climate Data'!$A$7:$A$366,Estimator!$B$4,'Climate Data'!$B$7:$B$366,C2257)</f>
        <v>0.18494623655913978</v>
      </c>
      <c r="I2257" s="87">
        <f>SUMIFS('Climate Data'!$H$7:$H$366,'Climate Data'!$A$7:$A$366,Estimator!$B$4,'Climate Data'!$B$7:$B$366,C2257)</f>
        <v>7.8662790697674421</v>
      </c>
      <c r="J2257" s="86">
        <f>SUMIFS('Wind Proxy'!$H$8:$H$19,'Wind Proxy'!$A$8:$A$19,Estimator!$B$4,'Wind Proxy'!$B$8:$B$19,C2257)</f>
        <v>0</v>
      </c>
    </row>
    <row r="2258" spans="1:10" ht="14.4">
      <c r="A2258" s="84">
        <v>47909</v>
      </c>
      <c r="B2258" s="85">
        <v>2031</v>
      </c>
      <c r="C2258" s="85">
        <v>3</v>
      </c>
      <c r="D2258" s="85" t="s">
        <v>60</v>
      </c>
      <c r="E2258" s="85">
        <v>2</v>
      </c>
      <c r="F2258" s="85">
        <v>7</v>
      </c>
      <c r="G2258" s="85">
        <f>--(F2258&lt;=Estimator!$B$7)</f>
        <v>0</v>
      </c>
      <c r="H2258" s="86">
        <f>SUMIFS('Climate Data'!$G$7:$G$366,'Climate Data'!$A$7:$A$366,Estimator!$B$4,'Climate Data'!$B$7:$B$366,C2258)</f>
        <v>0.18494623655913978</v>
      </c>
      <c r="I2258" s="87">
        <f>SUMIFS('Climate Data'!$H$7:$H$366,'Climate Data'!$A$7:$A$366,Estimator!$B$4,'Climate Data'!$B$7:$B$366,C2258)</f>
        <v>7.8662790697674421</v>
      </c>
      <c r="J2258" s="86">
        <f>SUMIFS('Wind Proxy'!$H$8:$H$19,'Wind Proxy'!$A$8:$A$19,Estimator!$B$4,'Wind Proxy'!$B$8:$B$19,C2258)</f>
        <v>0</v>
      </c>
    </row>
    <row r="2259" spans="1:10" ht="14.4">
      <c r="A2259" s="84">
        <v>47910</v>
      </c>
      <c r="B2259" s="85">
        <v>2031</v>
      </c>
      <c r="C2259" s="85">
        <v>3</v>
      </c>
      <c r="D2259" s="85" t="s">
        <v>60</v>
      </c>
      <c r="E2259" s="85">
        <v>3</v>
      </c>
      <c r="F2259" s="85">
        <v>1</v>
      </c>
      <c r="G2259" s="85">
        <f>--(F2259&lt;=Estimator!$B$7)</f>
        <v>1</v>
      </c>
      <c r="H2259" s="86">
        <f>SUMIFS('Climate Data'!$G$7:$G$366,'Climate Data'!$A$7:$A$366,Estimator!$B$4,'Climate Data'!$B$7:$B$366,C2259)</f>
        <v>0.18494623655913978</v>
      </c>
      <c r="I2259" s="87">
        <f>SUMIFS('Climate Data'!$H$7:$H$366,'Climate Data'!$A$7:$A$366,Estimator!$B$4,'Climate Data'!$B$7:$B$366,C2259)</f>
        <v>7.8662790697674421</v>
      </c>
      <c r="J2259" s="86">
        <f>SUMIFS('Wind Proxy'!$H$8:$H$19,'Wind Proxy'!$A$8:$A$19,Estimator!$B$4,'Wind Proxy'!$B$8:$B$19,C2259)</f>
        <v>0</v>
      </c>
    </row>
    <row r="2260" spans="1:10" ht="14.4">
      <c r="A2260" s="84">
        <v>47911</v>
      </c>
      <c r="B2260" s="85">
        <v>2031</v>
      </c>
      <c r="C2260" s="85">
        <v>3</v>
      </c>
      <c r="D2260" s="85" t="s">
        <v>60</v>
      </c>
      <c r="E2260" s="85">
        <v>4</v>
      </c>
      <c r="F2260" s="85">
        <v>2</v>
      </c>
      <c r="G2260" s="85">
        <f>--(F2260&lt;=Estimator!$B$7)</f>
        <v>1</v>
      </c>
      <c r="H2260" s="86">
        <f>SUMIFS('Climate Data'!$G$7:$G$366,'Climate Data'!$A$7:$A$366,Estimator!$B$4,'Climate Data'!$B$7:$B$366,C2260)</f>
        <v>0.18494623655913978</v>
      </c>
      <c r="I2260" s="87">
        <f>SUMIFS('Climate Data'!$H$7:$H$366,'Climate Data'!$A$7:$A$366,Estimator!$B$4,'Climate Data'!$B$7:$B$366,C2260)</f>
        <v>7.8662790697674421</v>
      </c>
      <c r="J2260" s="86">
        <f>SUMIFS('Wind Proxy'!$H$8:$H$19,'Wind Proxy'!$A$8:$A$19,Estimator!$B$4,'Wind Proxy'!$B$8:$B$19,C2260)</f>
        <v>0</v>
      </c>
    </row>
    <row r="2261" spans="1:10" ht="14.4">
      <c r="A2261" s="84">
        <v>47912</v>
      </c>
      <c r="B2261" s="85">
        <v>2031</v>
      </c>
      <c r="C2261" s="85">
        <v>3</v>
      </c>
      <c r="D2261" s="85" t="s">
        <v>60</v>
      </c>
      <c r="E2261" s="85">
        <v>5</v>
      </c>
      <c r="F2261" s="85">
        <v>3</v>
      </c>
      <c r="G2261" s="85">
        <f>--(F2261&lt;=Estimator!$B$7)</f>
        <v>1</v>
      </c>
      <c r="H2261" s="86">
        <f>SUMIFS('Climate Data'!$G$7:$G$366,'Climate Data'!$A$7:$A$366,Estimator!$B$4,'Climate Data'!$B$7:$B$366,C2261)</f>
        <v>0.18494623655913978</v>
      </c>
      <c r="I2261" s="87">
        <f>SUMIFS('Climate Data'!$H$7:$H$366,'Climate Data'!$A$7:$A$366,Estimator!$B$4,'Climate Data'!$B$7:$B$366,C2261)</f>
        <v>7.8662790697674421</v>
      </c>
      <c r="J2261" s="86">
        <f>SUMIFS('Wind Proxy'!$H$8:$H$19,'Wind Proxy'!$A$8:$A$19,Estimator!$B$4,'Wind Proxy'!$B$8:$B$19,C2261)</f>
        <v>0</v>
      </c>
    </row>
    <row r="2262" spans="1:10" ht="14.4">
      <c r="A2262" s="84">
        <v>47913</v>
      </c>
      <c r="B2262" s="85">
        <v>2031</v>
      </c>
      <c r="C2262" s="85">
        <v>3</v>
      </c>
      <c r="D2262" s="85" t="s">
        <v>60</v>
      </c>
      <c r="E2262" s="85">
        <v>6</v>
      </c>
      <c r="F2262" s="85">
        <v>4</v>
      </c>
      <c r="G2262" s="85">
        <f>--(F2262&lt;=Estimator!$B$7)</f>
        <v>1</v>
      </c>
      <c r="H2262" s="86">
        <f>SUMIFS('Climate Data'!$G$7:$G$366,'Climate Data'!$A$7:$A$366,Estimator!$B$4,'Climate Data'!$B$7:$B$366,C2262)</f>
        <v>0.18494623655913978</v>
      </c>
      <c r="I2262" s="87">
        <f>SUMIFS('Climate Data'!$H$7:$H$366,'Climate Data'!$A$7:$A$366,Estimator!$B$4,'Climate Data'!$B$7:$B$366,C2262)</f>
        <v>7.8662790697674421</v>
      </c>
      <c r="J2262" s="86">
        <f>SUMIFS('Wind Proxy'!$H$8:$H$19,'Wind Proxy'!$A$8:$A$19,Estimator!$B$4,'Wind Proxy'!$B$8:$B$19,C2262)</f>
        <v>0</v>
      </c>
    </row>
    <row r="2263" spans="1:10" ht="14.4">
      <c r="A2263" s="84">
        <v>47914</v>
      </c>
      <c r="B2263" s="85">
        <v>2031</v>
      </c>
      <c r="C2263" s="85">
        <v>3</v>
      </c>
      <c r="D2263" s="85" t="s">
        <v>60</v>
      </c>
      <c r="E2263" s="85">
        <v>7</v>
      </c>
      <c r="F2263" s="85">
        <v>5</v>
      </c>
      <c r="G2263" s="85">
        <f>--(F2263&lt;=Estimator!$B$7)</f>
        <v>1</v>
      </c>
      <c r="H2263" s="86">
        <f>SUMIFS('Climate Data'!$G$7:$G$366,'Climate Data'!$A$7:$A$366,Estimator!$B$4,'Climate Data'!$B$7:$B$366,C2263)</f>
        <v>0.18494623655913978</v>
      </c>
      <c r="I2263" s="87">
        <f>SUMIFS('Climate Data'!$H$7:$H$366,'Climate Data'!$A$7:$A$366,Estimator!$B$4,'Climate Data'!$B$7:$B$366,C2263)</f>
        <v>7.8662790697674421</v>
      </c>
      <c r="J2263" s="86">
        <f>SUMIFS('Wind Proxy'!$H$8:$H$19,'Wind Proxy'!$A$8:$A$19,Estimator!$B$4,'Wind Proxy'!$B$8:$B$19,C2263)</f>
        <v>0</v>
      </c>
    </row>
    <row r="2264" spans="1:10" ht="14.4">
      <c r="A2264" s="84">
        <v>47915</v>
      </c>
      <c r="B2264" s="85">
        <v>2031</v>
      </c>
      <c r="C2264" s="85">
        <v>3</v>
      </c>
      <c r="D2264" s="85" t="s">
        <v>60</v>
      </c>
      <c r="E2264" s="85">
        <v>8</v>
      </c>
      <c r="F2264" s="85">
        <v>6</v>
      </c>
      <c r="G2264" s="85">
        <f>--(F2264&lt;=Estimator!$B$7)</f>
        <v>0</v>
      </c>
      <c r="H2264" s="86">
        <f>SUMIFS('Climate Data'!$G$7:$G$366,'Climate Data'!$A$7:$A$366,Estimator!$B$4,'Climate Data'!$B$7:$B$366,C2264)</f>
        <v>0.18494623655913978</v>
      </c>
      <c r="I2264" s="87">
        <f>SUMIFS('Climate Data'!$H$7:$H$366,'Climate Data'!$A$7:$A$366,Estimator!$B$4,'Climate Data'!$B$7:$B$366,C2264)</f>
        <v>7.8662790697674421</v>
      </c>
      <c r="J2264" s="86">
        <f>SUMIFS('Wind Proxy'!$H$8:$H$19,'Wind Proxy'!$A$8:$A$19,Estimator!$B$4,'Wind Proxy'!$B$8:$B$19,C2264)</f>
        <v>0</v>
      </c>
    </row>
    <row r="2265" spans="1:10" ht="14.4">
      <c r="A2265" s="84">
        <v>47916</v>
      </c>
      <c r="B2265" s="85">
        <v>2031</v>
      </c>
      <c r="C2265" s="85">
        <v>3</v>
      </c>
      <c r="D2265" s="85" t="s">
        <v>60</v>
      </c>
      <c r="E2265" s="85">
        <v>9</v>
      </c>
      <c r="F2265" s="85">
        <v>7</v>
      </c>
      <c r="G2265" s="85">
        <f>--(F2265&lt;=Estimator!$B$7)</f>
        <v>0</v>
      </c>
      <c r="H2265" s="86">
        <f>SUMIFS('Climate Data'!$G$7:$G$366,'Climate Data'!$A$7:$A$366,Estimator!$B$4,'Climate Data'!$B$7:$B$366,C2265)</f>
        <v>0.18494623655913978</v>
      </c>
      <c r="I2265" s="87">
        <f>SUMIFS('Climate Data'!$H$7:$H$366,'Climate Data'!$A$7:$A$366,Estimator!$B$4,'Climate Data'!$B$7:$B$366,C2265)</f>
        <v>7.8662790697674421</v>
      </c>
      <c r="J2265" s="86">
        <f>SUMIFS('Wind Proxy'!$H$8:$H$19,'Wind Proxy'!$A$8:$A$19,Estimator!$B$4,'Wind Proxy'!$B$8:$B$19,C2265)</f>
        <v>0</v>
      </c>
    </row>
    <row r="2266" spans="1:10" ht="14.4">
      <c r="A2266" s="84">
        <v>47917</v>
      </c>
      <c r="B2266" s="85">
        <v>2031</v>
      </c>
      <c r="C2266" s="85">
        <v>3</v>
      </c>
      <c r="D2266" s="85" t="s">
        <v>60</v>
      </c>
      <c r="E2266" s="85">
        <v>10</v>
      </c>
      <c r="F2266" s="85">
        <v>1</v>
      </c>
      <c r="G2266" s="85">
        <f>--(F2266&lt;=Estimator!$B$7)</f>
        <v>1</v>
      </c>
      <c r="H2266" s="86">
        <f>SUMIFS('Climate Data'!$G$7:$G$366,'Climate Data'!$A$7:$A$366,Estimator!$B$4,'Climate Data'!$B$7:$B$366,C2266)</f>
        <v>0.18494623655913978</v>
      </c>
      <c r="I2266" s="87">
        <f>SUMIFS('Climate Data'!$H$7:$H$366,'Climate Data'!$A$7:$A$366,Estimator!$B$4,'Climate Data'!$B$7:$B$366,C2266)</f>
        <v>7.8662790697674421</v>
      </c>
      <c r="J2266" s="86">
        <f>SUMIFS('Wind Proxy'!$H$8:$H$19,'Wind Proxy'!$A$8:$A$19,Estimator!$B$4,'Wind Proxy'!$B$8:$B$19,C2266)</f>
        <v>0</v>
      </c>
    </row>
    <row r="2267" spans="1:10" ht="14.4">
      <c r="A2267" s="84">
        <v>47918</v>
      </c>
      <c r="B2267" s="85">
        <v>2031</v>
      </c>
      <c r="C2267" s="85">
        <v>3</v>
      </c>
      <c r="D2267" s="85" t="s">
        <v>60</v>
      </c>
      <c r="E2267" s="85">
        <v>11</v>
      </c>
      <c r="F2267" s="85">
        <v>2</v>
      </c>
      <c r="G2267" s="85">
        <f>--(F2267&lt;=Estimator!$B$7)</f>
        <v>1</v>
      </c>
      <c r="H2267" s="86">
        <f>SUMIFS('Climate Data'!$G$7:$G$366,'Climate Data'!$A$7:$A$366,Estimator!$B$4,'Climate Data'!$B$7:$B$366,C2267)</f>
        <v>0.18494623655913978</v>
      </c>
      <c r="I2267" s="87">
        <f>SUMIFS('Climate Data'!$H$7:$H$366,'Climate Data'!$A$7:$A$366,Estimator!$B$4,'Climate Data'!$B$7:$B$366,C2267)</f>
        <v>7.8662790697674421</v>
      </c>
      <c r="J2267" s="86">
        <f>SUMIFS('Wind Proxy'!$H$8:$H$19,'Wind Proxy'!$A$8:$A$19,Estimator!$B$4,'Wind Proxy'!$B$8:$B$19,C2267)</f>
        <v>0</v>
      </c>
    </row>
    <row r="2268" spans="1:10" ht="14.4">
      <c r="A2268" s="84">
        <v>47919</v>
      </c>
      <c r="B2268" s="85">
        <v>2031</v>
      </c>
      <c r="C2268" s="85">
        <v>3</v>
      </c>
      <c r="D2268" s="85" t="s">
        <v>60</v>
      </c>
      <c r="E2268" s="85">
        <v>12</v>
      </c>
      <c r="F2268" s="85">
        <v>3</v>
      </c>
      <c r="G2268" s="85">
        <f>--(F2268&lt;=Estimator!$B$7)</f>
        <v>1</v>
      </c>
      <c r="H2268" s="86">
        <f>SUMIFS('Climate Data'!$G$7:$G$366,'Climate Data'!$A$7:$A$366,Estimator!$B$4,'Climate Data'!$B$7:$B$366,C2268)</f>
        <v>0.18494623655913978</v>
      </c>
      <c r="I2268" s="87">
        <f>SUMIFS('Climate Data'!$H$7:$H$366,'Climate Data'!$A$7:$A$366,Estimator!$B$4,'Climate Data'!$B$7:$B$366,C2268)</f>
        <v>7.8662790697674421</v>
      </c>
      <c r="J2268" s="86">
        <f>SUMIFS('Wind Proxy'!$H$8:$H$19,'Wind Proxy'!$A$8:$A$19,Estimator!$B$4,'Wind Proxy'!$B$8:$B$19,C2268)</f>
        <v>0</v>
      </c>
    </row>
    <row r="2269" spans="1:10" ht="14.4">
      <c r="A2269" s="84">
        <v>47920</v>
      </c>
      <c r="B2269" s="85">
        <v>2031</v>
      </c>
      <c r="C2269" s="85">
        <v>3</v>
      </c>
      <c r="D2269" s="85" t="s">
        <v>60</v>
      </c>
      <c r="E2269" s="85">
        <v>13</v>
      </c>
      <c r="F2269" s="85">
        <v>4</v>
      </c>
      <c r="G2269" s="85">
        <f>--(F2269&lt;=Estimator!$B$7)</f>
        <v>1</v>
      </c>
      <c r="H2269" s="86">
        <f>SUMIFS('Climate Data'!$G$7:$G$366,'Climate Data'!$A$7:$A$366,Estimator!$B$4,'Climate Data'!$B$7:$B$366,C2269)</f>
        <v>0.18494623655913978</v>
      </c>
      <c r="I2269" s="87">
        <f>SUMIFS('Climate Data'!$H$7:$H$366,'Climate Data'!$A$7:$A$366,Estimator!$B$4,'Climate Data'!$B$7:$B$366,C2269)</f>
        <v>7.8662790697674421</v>
      </c>
      <c r="J2269" s="86">
        <f>SUMIFS('Wind Proxy'!$H$8:$H$19,'Wind Proxy'!$A$8:$A$19,Estimator!$B$4,'Wind Proxy'!$B$8:$B$19,C2269)</f>
        <v>0</v>
      </c>
    </row>
    <row r="2270" spans="1:10" ht="14.4">
      <c r="A2270" s="84">
        <v>47921</v>
      </c>
      <c r="B2270" s="85">
        <v>2031</v>
      </c>
      <c r="C2270" s="85">
        <v>3</v>
      </c>
      <c r="D2270" s="85" t="s">
        <v>60</v>
      </c>
      <c r="E2270" s="85">
        <v>14</v>
      </c>
      <c r="F2270" s="85">
        <v>5</v>
      </c>
      <c r="G2270" s="85">
        <f>--(F2270&lt;=Estimator!$B$7)</f>
        <v>1</v>
      </c>
      <c r="H2270" s="86">
        <f>SUMIFS('Climate Data'!$G$7:$G$366,'Climate Data'!$A$7:$A$366,Estimator!$B$4,'Climate Data'!$B$7:$B$366,C2270)</f>
        <v>0.18494623655913978</v>
      </c>
      <c r="I2270" s="87">
        <f>SUMIFS('Climate Data'!$H$7:$H$366,'Climate Data'!$A$7:$A$366,Estimator!$B$4,'Climate Data'!$B$7:$B$366,C2270)</f>
        <v>7.8662790697674421</v>
      </c>
      <c r="J2270" s="86">
        <f>SUMIFS('Wind Proxy'!$H$8:$H$19,'Wind Proxy'!$A$8:$A$19,Estimator!$B$4,'Wind Proxy'!$B$8:$B$19,C2270)</f>
        <v>0</v>
      </c>
    </row>
    <row r="2271" spans="1:10" ht="14.4">
      <c r="A2271" s="84">
        <v>47922</v>
      </c>
      <c r="B2271" s="85">
        <v>2031</v>
      </c>
      <c r="C2271" s="85">
        <v>3</v>
      </c>
      <c r="D2271" s="85" t="s">
        <v>60</v>
      </c>
      <c r="E2271" s="85">
        <v>15</v>
      </c>
      <c r="F2271" s="85">
        <v>6</v>
      </c>
      <c r="G2271" s="85">
        <f>--(F2271&lt;=Estimator!$B$7)</f>
        <v>0</v>
      </c>
      <c r="H2271" s="86">
        <f>SUMIFS('Climate Data'!$G$7:$G$366,'Climate Data'!$A$7:$A$366,Estimator!$B$4,'Climate Data'!$B$7:$B$366,C2271)</f>
        <v>0.18494623655913978</v>
      </c>
      <c r="I2271" s="87">
        <f>SUMIFS('Climate Data'!$H$7:$H$366,'Climate Data'!$A$7:$A$366,Estimator!$B$4,'Climate Data'!$B$7:$B$366,C2271)</f>
        <v>7.8662790697674421</v>
      </c>
      <c r="J2271" s="86">
        <f>SUMIFS('Wind Proxy'!$H$8:$H$19,'Wind Proxy'!$A$8:$A$19,Estimator!$B$4,'Wind Proxy'!$B$8:$B$19,C2271)</f>
        <v>0</v>
      </c>
    </row>
    <row r="2272" spans="1:10" ht="14.4">
      <c r="A2272" s="84">
        <v>47923</v>
      </c>
      <c r="B2272" s="85">
        <v>2031</v>
      </c>
      <c r="C2272" s="85">
        <v>3</v>
      </c>
      <c r="D2272" s="85" t="s">
        <v>60</v>
      </c>
      <c r="E2272" s="85">
        <v>16</v>
      </c>
      <c r="F2272" s="85">
        <v>7</v>
      </c>
      <c r="G2272" s="85">
        <f>--(F2272&lt;=Estimator!$B$7)</f>
        <v>0</v>
      </c>
      <c r="H2272" s="86">
        <f>SUMIFS('Climate Data'!$G$7:$G$366,'Climate Data'!$A$7:$A$366,Estimator!$B$4,'Climate Data'!$B$7:$B$366,C2272)</f>
        <v>0.18494623655913978</v>
      </c>
      <c r="I2272" s="87">
        <f>SUMIFS('Climate Data'!$H$7:$H$366,'Climate Data'!$A$7:$A$366,Estimator!$B$4,'Climate Data'!$B$7:$B$366,C2272)</f>
        <v>7.8662790697674421</v>
      </c>
      <c r="J2272" s="86">
        <f>SUMIFS('Wind Proxy'!$H$8:$H$19,'Wind Proxy'!$A$8:$A$19,Estimator!$B$4,'Wind Proxy'!$B$8:$B$19,C2272)</f>
        <v>0</v>
      </c>
    </row>
    <row r="2273" spans="1:10" ht="14.4">
      <c r="A2273" s="84">
        <v>47924</v>
      </c>
      <c r="B2273" s="85">
        <v>2031</v>
      </c>
      <c r="C2273" s="85">
        <v>3</v>
      </c>
      <c r="D2273" s="85" t="s">
        <v>60</v>
      </c>
      <c r="E2273" s="85">
        <v>17</v>
      </c>
      <c r="F2273" s="85">
        <v>1</v>
      </c>
      <c r="G2273" s="85">
        <f>--(F2273&lt;=Estimator!$B$7)</f>
        <v>1</v>
      </c>
      <c r="H2273" s="86">
        <f>SUMIFS('Climate Data'!$G$7:$G$366,'Climate Data'!$A$7:$A$366,Estimator!$B$4,'Climate Data'!$B$7:$B$366,C2273)</f>
        <v>0.18494623655913978</v>
      </c>
      <c r="I2273" s="87">
        <f>SUMIFS('Climate Data'!$H$7:$H$366,'Climate Data'!$A$7:$A$366,Estimator!$B$4,'Climate Data'!$B$7:$B$366,C2273)</f>
        <v>7.8662790697674421</v>
      </c>
      <c r="J2273" s="86">
        <f>SUMIFS('Wind Proxy'!$H$8:$H$19,'Wind Proxy'!$A$8:$A$19,Estimator!$B$4,'Wind Proxy'!$B$8:$B$19,C2273)</f>
        <v>0</v>
      </c>
    </row>
    <row r="2274" spans="1:10" ht="14.4">
      <c r="A2274" s="84">
        <v>47925</v>
      </c>
      <c r="B2274" s="85">
        <v>2031</v>
      </c>
      <c r="C2274" s="85">
        <v>3</v>
      </c>
      <c r="D2274" s="85" t="s">
        <v>60</v>
      </c>
      <c r="E2274" s="85">
        <v>18</v>
      </c>
      <c r="F2274" s="85">
        <v>2</v>
      </c>
      <c r="G2274" s="85">
        <f>--(F2274&lt;=Estimator!$B$7)</f>
        <v>1</v>
      </c>
      <c r="H2274" s="86">
        <f>SUMIFS('Climate Data'!$G$7:$G$366,'Climate Data'!$A$7:$A$366,Estimator!$B$4,'Climate Data'!$B$7:$B$366,C2274)</f>
        <v>0.18494623655913978</v>
      </c>
      <c r="I2274" s="87">
        <f>SUMIFS('Climate Data'!$H$7:$H$366,'Climate Data'!$A$7:$A$366,Estimator!$B$4,'Climate Data'!$B$7:$B$366,C2274)</f>
        <v>7.8662790697674421</v>
      </c>
      <c r="J2274" s="86">
        <f>SUMIFS('Wind Proxy'!$H$8:$H$19,'Wind Proxy'!$A$8:$A$19,Estimator!$B$4,'Wind Proxy'!$B$8:$B$19,C2274)</f>
        <v>0</v>
      </c>
    </row>
    <row r="2275" spans="1:10" ht="14.4">
      <c r="A2275" s="84">
        <v>47926</v>
      </c>
      <c r="B2275" s="85">
        <v>2031</v>
      </c>
      <c r="C2275" s="85">
        <v>3</v>
      </c>
      <c r="D2275" s="85" t="s">
        <v>60</v>
      </c>
      <c r="E2275" s="85">
        <v>19</v>
      </c>
      <c r="F2275" s="85">
        <v>3</v>
      </c>
      <c r="G2275" s="85">
        <f>--(F2275&lt;=Estimator!$B$7)</f>
        <v>1</v>
      </c>
      <c r="H2275" s="86">
        <f>SUMIFS('Climate Data'!$G$7:$G$366,'Climate Data'!$A$7:$A$366,Estimator!$B$4,'Climate Data'!$B$7:$B$366,C2275)</f>
        <v>0.18494623655913978</v>
      </c>
      <c r="I2275" s="87">
        <f>SUMIFS('Climate Data'!$H$7:$H$366,'Climate Data'!$A$7:$A$366,Estimator!$B$4,'Climate Data'!$B$7:$B$366,C2275)</f>
        <v>7.8662790697674421</v>
      </c>
      <c r="J2275" s="86">
        <f>SUMIFS('Wind Proxy'!$H$8:$H$19,'Wind Proxy'!$A$8:$A$19,Estimator!$B$4,'Wind Proxy'!$B$8:$B$19,C2275)</f>
        <v>0</v>
      </c>
    </row>
    <row r="2276" spans="1:10" ht="14.4">
      <c r="A2276" s="84">
        <v>47927</v>
      </c>
      <c r="B2276" s="85">
        <v>2031</v>
      </c>
      <c r="C2276" s="85">
        <v>3</v>
      </c>
      <c r="D2276" s="85" t="s">
        <v>60</v>
      </c>
      <c r="E2276" s="85">
        <v>20</v>
      </c>
      <c r="F2276" s="85">
        <v>4</v>
      </c>
      <c r="G2276" s="85">
        <f>--(F2276&lt;=Estimator!$B$7)</f>
        <v>1</v>
      </c>
      <c r="H2276" s="86">
        <f>SUMIFS('Climate Data'!$G$7:$G$366,'Climate Data'!$A$7:$A$366,Estimator!$B$4,'Climate Data'!$B$7:$B$366,C2276)</f>
        <v>0.18494623655913978</v>
      </c>
      <c r="I2276" s="87">
        <f>SUMIFS('Climate Data'!$H$7:$H$366,'Climate Data'!$A$7:$A$366,Estimator!$B$4,'Climate Data'!$B$7:$B$366,C2276)</f>
        <v>7.8662790697674421</v>
      </c>
      <c r="J2276" s="86">
        <f>SUMIFS('Wind Proxy'!$H$8:$H$19,'Wind Proxy'!$A$8:$A$19,Estimator!$B$4,'Wind Proxy'!$B$8:$B$19,C2276)</f>
        <v>0</v>
      </c>
    </row>
    <row r="2277" spans="1:10" ht="14.4">
      <c r="A2277" s="84">
        <v>47928</v>
      </c>
      <c r="B2277" s="85">
        <v>2031</v>
      </c>
      <c r="C2277" s="85">
        <v>3</v>
      </c>
      <c r="D2277" s="85" t="s">
        <v>60</v>
      </c>
      <c r="E2277" s="85">
        <v>21</v>
      </c>
      <c r="F2277" s="85">
        <v>5</v>
      </c>
      <c r="G2277" s="85">
        <f>--(F2277&lt;=Estimator!$B$7)</f>
        <v>1</v>
      </c>
      <c r="H2277" s="86">
        <f>SUMIFS('Climate Data'!$G$7:$G$366,'Climate Data'!$A$7:$A$366,Estimator!$B$4,'Climate Data'!$B$7:$B$366,C2277)</f>
        <v>0.18494623655913978</v>
      </c>
      <c r="I2277" s="87">
        <f>SUMIFS('Climate Data'!$H$7:$H$366,'Climate Data'!$A$7:$A$366,Estimator!$B$4,'Climate Data'!$B$7:$B$366,C2277)</f>
        <v>7.8662790697674421</v>
      </c>
      <c r="J2277" s="86">
        <f>SUMIFS('Wind Proxy'!$H$8:$H$19,'Wind Proxy'!$A$8:$A$19,Estimator!$B$4,'Wind Proxy'!$B$8:$B$19,C2277)</f>
        <v>0</v>
      </c>
    </row>
    <row r="2278" spans="1:10" ht="14.4">
      <c r="A2278" s="84">
        <v>47929</v>
      </c>
      <c r="B2278" s="85">
        <v>2031</v>
      </c>
      <c r="C2278" s="85">
        <v>3</v>
      </c>
      <c r="D2278" s="85" t="s">
        <v>60</v>
      </c>
      <c r="E2278" s="85">
        <v>22</v>
      </c>
      <c r="F2278" s="85">
        <v>6</v>
      </c>
      <c r="G2278" s="85">
        <f>--(F2278&lt;=Estimator!$B$7)</f>
        <v>0</v>
      </c>
      <c r="H2278" s="86">
        <f>SUMIFS('Climate Data'!$G$7:$G$366,'Climate Data'!$A$7:$A$366,Estimator!$B$4,'Climate Data'!$B$7:$B$366,C2278)</f>
        <v>0.18494623655913978</v>
      </c>
      <c r="I2278" s="87">
        <f>SUMIFS('Climate Data'!$H$7:$H$366,'Climate Data'!$A$7:$A$366,Estimator!$B$4,'Climate Data'!$B$7:$B$366,C2278)</f>
        <v>7.8662790697674421</v>
      </c>
      <c r="J2278" s="86">
        <f>SUMIFS('Wind Proxy'!$H$8:$H$19,'Wind Proxy'!$A$8:$A$19,Estimator!$B$4,'Wind Proxy'!$B$8:$B$19,C2278)</f>
        <v>0</v>
      </c>
    </row>
    <row r="2279" spans="1:10" ht="14.4">
      <c r="A2279" s="84">
        <v>47930</v>
      </c>
      <c r="B2279" s="85">
        <v>2031</v>
      </c>
      <c r="C2279" s="85">
        <v>3</v>
      </c>
      <c r="D2279" s="85" t="s">
        <v>60</v>
      </c>
      <c r="E2279" s="85">
        <v>23</v>
      </c>
      <c r="F2279" s="85">
        <v>7</v>
      </c>
      <c r="G2279" s="85">
        <f>--(F2279&lt;=Estimator!$B$7)</f>
        <v>0</v>
      </c>
      <c r="H2279" s="86">
        <f>SUMIFS('Climate Data'!$G$7:$G$366,'Climate Data'!$A$7:$A$366,Estimator!$B$4,'Climate Data'!$B$7:$B$366,C2279)</f>
        <v>0.18494623655913978</v>
      </c>
      <c r="I2279" s="87">
        <f>SUMIFS('Climate Data'!$H$7:$H$366,'Climate Data'!$A$7:$A$366,Estimator!$B$4,'Climate Data'!$B$7:$B$366,C2279)</f>
        <v>7.8662790697674421</v>
      </c>
      <c r="J2279" s="86">
        <f>SUMIFS('Wind Proxy'!$H$8:$H$19,'Wind Proxy'!$A$8:$A$19,Estimator!$B$4,'Wind Proxy'!$B$8:$B$19,C2279)</f>
        <v>0</v>
      </c>
    </row>
    <row r="2280" spans="1:10" ht="14.4">
      <c r="A2280" s="84">
        <v>47931</v>
      </c>
      <c r="B2280" s="85">
        <v>2031</v>
      </c>
      <c r="C2280" s="85">
        <v>3</v>
      </c>
      <c r="D2280" s="85" t="s">
        <v>60</v>
      </c>
      <c r="E2280" s="85">
        <v>24</v>
      </c>
      <c r="F2280" s="85">
        <v>1</v>
      </c>
      <c r="G2280" s="85">
        <f>--(F2280&lt;=Estimator!$B$7)</f>
        <v>1</v>
      </c>
      <c r="H2280" s="86">
        <f>SUMIFS('Climate Data'!$G$7:$G$366,'Climate Data'!$A$7:$A$366,Estimator!$B$4,'Climate Data'!$B$7:$B$366,C2280)</f>
        <v>0.18494623655913978</v>
      </c>
      <c r="I2280" s="87">
        <f>SUMIFS('Climate Data'!$H$7:$H$366,'Climate Data'!$A$7:$A$366,Estimator!$B$4,'Climate Data'!$B$7:$B$366,C2280)</f>
        <v>7.8662790697674421</v>
      </c>
      <c r="J2280" s="86">
        <f>SUMIFS('Wind Proxy'!$H$8:$H$19,'Wind Proxy'!$A$8:$A$19,Estimator!$B$4,'Wind Proxy'!$B$8:$B$19,C2280)</f>
        <v>0</v>
      </c>
    </row>
    <row r="2281" spans="1:10" ht="14.4">
      <c r="A2281" s="84">
        <v>47932</v>
      </c>
      <c r="B2281" s="85">
        <v>2031</v>
      </c>
      <c r="C2281" s="85">
        <v>3</v>
      </c>
      <c r="D2281" s="85" t="s">
        <v>60</v>
      </c>
      <c r="E2281" s="85">
        <v>25</v>
      </c>
      <c r="F2281" s="85">
        <v>2</v>
      </c>
      <c r="G2281" s="85">
        <f>--(F2281&lt;=Estimator!$B$7)</f>
        <v>1</v>
      </c>
      <c r="H2281" s="86">
        <f>SUMIFS('Climate Data'!$G$7:$G$366,'Climate Data'!$A$7:$A$366,Estimator!$B$4,'Climate Data'!$B$7:$B$366,C2281)</f>
        <v>0.18494623655913978</v>
      </c>
      <c r="I2281" s="87">
        <f>SUMIFS('Climate Data'!$H$7:$H$366,'Climate Data'!$A$7:$A$366,Estimator!$B$4,'Climate Data'!$B$7:$B$366,C2281)</f>
        <v>7.8662790697674421</v>
      </c>
      <c r="J2281" s="86">
        <f>SUMIFS('Wind Proxy'!$H$8:$H$19,'Wind Proxy'!$A$8:$A$19,Estimator!$B$4,'Wind Proxy'!$B$8:$B$19,C2281)</f>
        <v>0</v>
      </c>
    </row>
    <row r="2282" spans="1:10" ht="14.4">
      <c r="A2282" s="84">
        <v>47933</v>
      </c>
      <c r="B2282" s="85">
        <v>2031</v>
      </c>
      <c r="C2282" s="85">
        <v>3</v>
      </c>
      <c r="D2282" s="85" t="s">
        <v>60</v>
      </c>
      <c r="E2282" s="85">
        <v>26</v>
      </c>
      <c r="F2282" s="85">
        <v>3</v>
      </c>
      <c r="G2282" s="85">
        <f>--(F2282&lt;=Estimator!$B$7)</f>
        <v>1</v>
      </c>
      <c r="H2282" s="86">
        <f>SUMIFS('Climate Data'!$G$7:$G$366,'Climate Data'!$A$7:$A$366,Estimator!$B$4,'Climate Data'!$B$7:$B$366,C2282)</f>
        <v>0.18494623655913978</v>
      </c>
      <c r="I2282" s="87">
        <f>SUMIFS('Climate Data'!$H$7:$H$366,'Climate Data'!$A$7:$A$366,Estimator!$B$4,'Climate Data'!$B$7:$B$366,C2282)</f>
        <v>7.8662790697674421</v>
      </c>
      <c r="J2282" s="86">
        <f>SUMIFS('Wind Proxy'!$H$8:$H$19,'Wind Proxy'!$A$8:$A$19,Estimator!$B$4,'Wind Proxy'!$B$8:$B$19,C2282)</f>
        <v>0</v>
      </c>
    </row>
    <row r="2283" spans="1:10" ht="14.4">
      <c r="A2283" s="84">
        <v>47934</v>
      </c>
      <c r="B2283" s="85">
        <v>2031</v>
      </c>
      <c r="C2283" s="85">
        <v>3</v>
      </c>
      <c r="D2283" s="85" t="s">
        <v>60</v>
      </c>
      <c r="E2283" s="85">
        <v>27</v>
      </c>
      <c r="F2283" s="85">
        <v>4</v>
      </c>
      <c r="G2283" s="85">
        <f>--(F2283&lt;=Estimator!$B$7)</f>
        <v>1</v>
      </c>
      <c r="H2283" s="86">
        <f>SUMIFS('Climate Data'!$G$7:$G$366,'Climate Data'!$A$7:$A$366,Estimator!$B$4,'Climate Data'!$B$7:$B$366,C2283)</f>
        <v>0.18494623655913978</v>
      </c>
      <c r="I2283" s="87">
        <f>SUMIFS('Climate Data'!$H$7:$H$366,'Climate Data'!$A$7:$A$366,Estimator!$B$4,'Climate Data'!$B$7:$B$366,C2283)</f>
        <v>7.8662790697674421</v>
      </c>
      <c r="J2283" s="86">
        <f>SUMIFS('Wind Proxy'!$H$8:$H$19,'Wind Proxy'!$A$8:$A$19,Estimator!$B$4,'Wind Proxy'!$B$8:$B$19,C2283)</f>
        <v>0</v>
      </c>
    </row>
    <row r="2284" spans="1:10" ht="14.4">
      <c r="A2284" s="84">
        <v>47935</v>
      </c>
      <c r="B2284" s="85">
        <v>2031</v>
      </c>
      <c r="C2284" s="85">
        <v>3</v>
      </c>
      <c r="D2284" s="85" t="s">
        <v>60</v>
      </c>
      <c r="E2284" s="85">
        <v>28</v>
      </c>
      <c r="F2284" s="85">
        <v>5</v>
      </c>
      <c r="G2284" s="85">
        <f>--(F2284&lt;=Estimator!$B$7)</f>
        <v>1</v>
      </c>
      <c r="H2284" s="86">
        <f>SUMIFS('Climate Data'!$G$7:$G$366,'Climate Data'!$A$7:$A$366,Estimator!$B$4,'Climate Data'!$B$7:$B$366,C2284)</f>
        <v>0.18494623655913978</v>
      </c>
      <c r="I2284" s="87">
        <f>SUMIFS('Climate Data'!$H$7:$H$366,'Climate Data'!$A$7:$A$366,Estimator!$B$4,'Climate Data'!$B$7:$B$366,C2284)</f>
        <v>7.8662790697674421</v>
      </c>
      <c r="J2284" s="86">
        <f>SUMIFS('Wind Proxy'!$H$8:$H$19,'Wind Proxy'!$A$8:$A$19,Estimator!$B$4,'Wind Proxy'!$B$8:$B$19,C2284)</f>
        <v>0</v>
      </c>
    </row>
    <row r="2285" spans="1:10" ht="14.4">
      <c r="A2285" s="84">
        <v>47936</v>
      </c>
      <c r="B2285" s="85">
        <v>2031</v>
      </c>
      <c r="C2285" s="85">
        <v>3</v>
      </c>
      <c r="D2285" s="85" t="s">
        <v>60</v>
      </c>
      <c r="E2285" s="85">
        <v>29</v>
      </c>
      <c r="F2285" s="85">
        <v>6</v>
      </c>
      <c r="G2285" s="85">
        <f>--(F2285&lt;=Estimator!$B$7)</f>
        <v>0</v>
      </c>
      <c r="H2285" s="86">
        <f>SUMIFS('Climate Data'!$G$7:$G$366,'Climate Data'!$A$7:$A$366,Estimator!$B$4,'Climate Data'!$B$7:$B$366,C2285)</f>
        <v>0.18494623655913978</v>
      </c>
      <c r="I2285" s="87">
        <f>SUMIFS('Climate Data'!$H$7:$H$366,'Climate Data'!$A$7:$A$366,Estimator!$B$4,'Climate Data'!$B$7:$B$366,C2285)</f>
        <v>7.8662790697674421</v>
      </c>
      <c r="J2285" s="86">
        <f>SUMIFS('Wind Proxy'!$H$8:$H$19,'Wind Proxy'!$A$8:$A$19,Estimator!$B$4,'Wind Proxy'!$B$8:$B$19,C2285)</f>
        <v>0</v>
      </c>
    </row>
    <row r="2286" spans="1:10" ht="14.4">
      <c r="A2286" s="84">
        <v>47937</v>
      </c>
      <c r="B2286" s="85">
        <v>2031</v>
      </c>
      <c r="C2286" s="85">
        <v>3</v>
      </c>
      <c r="D2286" s="85" t="s">
        <v>60</v>
      </c>
      <c r="E2286" s="85">
        <v>30</v>
      </c>
      <c r="F2286" s="85">
        <v>7</v>
      </c>
      <c r="G2286" s="85">
        <f>--(F2286&lt;=Estimator!$B$7)</f>
        <v>0</v>
      </c>
      <c r="H2286" s="86">
        <f>SUMIFS('Climate Data'!$G$7:$G$366,'Climate Data'!$A$7:$A$366,Estimator!$B$4,'Climate Data'!$B$7:$B$366,C2286)</f>
        <v>0.18494623655913978</v>
      </c>
      <c r="I2286" s="87">
        <f>SUMIFS('Climate Data'!$H$7:$H$366,'Climate Data'!$A$7:$A$366,Estimator!$B$4,'Climate Data'!$B$7:$B$366,C2286)</f>
        <v>7.8662790697674421</v>
      </c>
      <c r="J2286" s="86">
        <f>SUMIFS('Wind Proxy'!$H$8:$H$19,'Wind Proxy'!$A$8:$A$19,Estimator!$B$4,'Wind Proxy'!$B$8:$B$19,C2286)</f>
        <v>0</v>
      </c>
    </row>
    <row r="2287" spans="1:10" ht="14.4">
      <c r="A2287" s="84">
        <v>47938</v>
      </c>
      <c r="B2287" s="85">
        <v>2031</v>
      </c>
      <c r="C2287" s="85">
        <v>3</v>
      </c>
      <c r="D2287" s="85" t="s">
        <v>60</v>
      </c>
      <c r="E2287" s="85">
        <v>31</v>
      </c>
      <c r="F2287" s="85">
        <v>1</v>
      </c>
      <c r="G2287" s="85">
        <f>--(F2287&lt;=Estimator!$B$7)</f>
        <v>1</v>
      </c>
      <c r="H2287" s="86">
        <f>SUMIFS('Climate Data'!$G$7:$G$366,'Climate Data'!$A$7:$A$366,Estimator!$B$4,'Climate Data'!$B$7:$B$366,C2287)</f>
        <v>0.18494623655913978</v>
      </c>
      <c r="I2287" s="87">
        <f>SUMIFS('Climate Data'!$H$7:$H$366,'Climate Data'!$A$7:$A$366,Estimator!$B$4,'Climate Data'!$B$7:$B$366,C2287)</f>
        <v>7.8662790697674421</v>
      </c>
      <c r="J2287" s="86">
        <f>SUMIFS('Wind Proxy'!$H$8:$H$19,'Wind Proxy'!$A$8:$A$19,Estimator!$B$4,'Wind Proxy'!$B$8:$B$19,C2287)</f>
        <v>0</v>
      </c>
    </row>
    <row r="2288" spans="1:10" ht="14.4">
      <c r="A2288" s="84">
        <v>47939</v>
      </c>
      <c r="B2288" s="85">
        <v>2031</v>
      </c>
      <c r="C2288" s="85">
        <v>4</v>
      </c>
      <c r="D2288" s="85" t="s">
        <v>62</v>
      </c>
      <c r="E2288" s="85">
        <v>1</v>
      </c>
      <c r="F2288" s="85">
        <v>2</v>
      </c>
      <c r="G2288" s="85">
        <f>--(F2288&lt;=Estimator!$B$7)</f>
        <v>1</v>
      </c>
      <c r="H2288" s="86">
        <f>SUMIFS('Climate Data'!$G$7:$G$366,'Climate Data'!$A$7:$A$366,Estimator!$B$4,'Climate Data'!$B$7:$B$366,C2288)</f>
        <v>0.25555555555555559</v>
      </c>
      <c r="I2288" s="87">
        <f>SUMIFS('Climate Data'!$H$7:$H$366,'Climate Data'!$A$7:$A$366,Estimator!$B$4,'Climate Data'!$B$7:$B$366,C2288)</f>
        <v>7.5</v>
      </c>
      <c r="J2288" s="86">
        <f>SUMIFS('Wind Proxy'!$H$8:$H$19,'Wind Proxy'!$A$8:$A$19,Estimator!$B$4,'Wind Proxy'!$B$8:$B$19,C2288)</f>
        <v>0</v>
      </c>
    </row>
    <row r="2289" spans="1:10" ht="14.4">
      <c r="A2289" s="84">
        <v>47940</v>
      </c>
      <c r="B2289" s="85">
        <v>2031</v>
      </c>
      <c r="C2289" s="85">
        <v>4</v>
      </c>
      <c r="D2289" s="85" t="s">
        <v>62</v>
      </c>
      <c r="E2289" s="85">
        <v>2</v>
      </c>
      <c r="F2289" s="85">
        <v>3</v>
      </c>
      <c r="G2289" s="85">
        <f>--(F2289&lt;=Estimator!$B$7)</f>
        <v>1</v>
      </c>
      <c r="H2289" s="86">
        <f>SUMIFS('Climate Data'!$G$7:$G$366,'Climate Data'!$A$7:$A$366,Estimator!$B$4,'Climate Data'!$B$7:$B$366,C2289)</f>
        <v>0.25555555555555559</v>
      </c>
      <c r="I2289" s="87">
        <f>SUMIFS('Climate Data'!$H$7:$H$366,'Climate Data'!$A$7:$A$366,Estimator!$B$4,'Climate Data'!$B$7:$B$366,C2289)</f>
        <v>7.5</v>
      </c>
      <c r="J2289" s="86">
        <f>SUMIFS('Wind Proxy'!$H$8:$H$19,'Wind Proxy'!$A$8:$A$19,Estimator!$B$4,'Wind Proxy'!$B$8:$B$19,C2289)</f>
        <v>0</v>
      </c>
    </row>
    <row r="2290" spans="1:10" ht="14.4">
      <c r="A2290" s="84">
        <v>47941</v>
      </c>
      <c r="B2290" s="85">
        <v>2031</v>
      </c>
      <c r="C2290" s="85">
        <v>4</v>
      </c>
      <c r="D2290" s="85" t="s">
        <v>62</v>
      </c>
      <c r="E2290" s="85">
        <v>3</v>
      </c>
      <c r="F2290" s="85">
        <v>4</v>
      </c>
      <c r="G2290" s="85">
        <f>--(F2290&lt;=Estimator!$B$7)</f>
        <v>1</v>
      </c>
      <c r="H2290" s="86">
        <f>SUMIFS('Climate Data'!$G$7:$G$366,'Climate Data'!$A$7:$A$366,Estimator!$B$4,'Climate Data'!$B$7:$B$366,C2290)</f>
        <v>0.25555555555555559</v>
      </c>
      <c r="I2290" s="87">
        <f>SUMIFS('Climate Data'!$H$7:$H$366,'Climate Data'!$A$7:$A$366,Estimator!$B$4,'Climate Data'!$B$7:$B$366,C2290)</f>
        <v>7.5</v>
      </c>
      <c r="J2290" s="86">
        <f>SUMIFS('Wind Proxy'!$H$8:$H$19,'Wind Proxy'!$A$8:$A$19,Estimator!$B$4,'Wind Proxy'!$B$8:$B$19,C2290)</f>
        <v>0</v>
      </c>
    </row>
    <row r="2291" spans="1:10" ht="14.4">
      <c r="A2291" s="84">
        <v>47942</v>
      </c>
      <c r="B2291" s="85">
        <v>2031</v>
      </c>
      <c r="C2291" s="85">
        <v>4</v>
      </c>
      <c r="D2291" s="85" t="s">
        <v>62</v>
      </c>
      <c r="E2291" s="85">
        <v>4</v>
      </c>
      <c r="F2291" s="85">
        <v>5</v>
      </c>
      <c r="G2291" s="85">
        <f>--(F2291&lt;=Estimator!$B$7)</f>
        <v>1</v>
      </c>
      <c r="H2291" s="86">
        <f>SUMIFS('Climate Data'!$G$7:$G$366,'Climate Data'!$A$7:$A$366,Estimator!$B$4,'Climate Data'!$B$7:$B$366,C2291)</f>
        <v>0.25555555555555559</v>
      </c>
      <c r="I2291" s="87">
        <f>SUMIFS('Climate Data'!$H$7:$H$366,'Climate Data'!$A$7:$A$366,Estimator!$B$4,'Climate Data'!$B$7:$B$366,C2291)</f>
        <v>7.5</v>
      </c>
      <c r="J2291" s="86">
        <f>SUMIFS('Wind Proxy'!$H$8:$H$19,'Wind Proxy'!$A$8:$A$19,Estimator!$B$4,'Wind Proxy'!$B$8:$B$19,C2291)</f>
        <v>0</v>
      </c>
    </row>
    <row r="2292" spans="1:10" ht="14.4">
      <c r="A2292" s="84">
        <v>47943</v>
      </c>
      <c r="B2292" s="85">
        <v>2031</v>
      </c>
      <c r="C2292" s="85">
        <v>4</v>
      </c>
      <c r="D2292" s="85" t="s">
        <v>62</v>
      </c>
      <c r="E2292" s="85">
        <v>5</v>
      </c>
      <c r="F2292" s="85">
        <v>6</v>
      </c>
      <c r="G2292" s="85">
        <f>--(F2292&lt;=Estimator!$B$7)</f>
        <v>0</v>
      </c>
      <c r="H2292" s="86">
        <f>SUMIFS('Climate Data'!$G$7:$G$366,'Climate Data'!$A$7:$A$366,Estimator!$B$4,'Climate Data'!$B$7:$B$366,C2292)</f>
        <v>0.25555555555555559</v>
      </c>
      <c r="I2292" s="87">
        <f>SUMIFS('Climate Data'!$H$7:$H$366,'Climate Data'!$A$7:$A$366,Estimator!$B$4,'Climate Data'!$B$7:$B$366,C2292)</f>
        <v>7.5</v>
      </c>
      <c r="J2292" s="86">
        <f>SUMIFS('Wind Proxy'!$H$8:$H$19,'Wind Proxy'!$A$8:$A$19,Estimator!$B$4,'Wind Proxy'!$B$8:$B$19,C2292)</f>
        <v>0</v>
      </c>
    </row>
    <row r="2293" spans="1:10" ht="14.4">
      <c r="A2293" s="84">
        <v>47944</v>
      </c>
      <c r="B2293" s="85">
        <v>2031</v>
      </c>
      <c r="C2293" s="85">
        <v>4</v>
      </c>
      <c r="D2293" s="85" t="s">
        <v>62</v>
      </c>
      <c r="E2293" s="85">
        <v>6</v>
      </c>
      <c r="F2293" s="85">
        <v>7</v>
      </c>
      <c r="G2293" s="85">
        <f>--(F2293&lt;=Estimator!$B$7)</f>
        <v>0</v>
      </c>
      <c r="H2293" s="86">
        <f>SUMIFS('Climate Data'!$G$7:$G$366,'Climate Data'!$A$7:$A$366,Estimator!$B$4,'Climate Data'!$B$7:$B$366,C2293)</f>
        <v>0.25555555555555559</v>
      </c>
      <c r="I2293" s="87">
        <f>SUMIFS('Climate Data'!$H$7:$H$366,'Climate Data'!$A$7:$A$366,Estimator!$B$4,'Climate Data'!$B$7:$B$366,C2293)</f>
        <v>7.5</v>
      </c>
      <c r="J2293" s="86">
        <f>SUMIFS('Wind Proxy'!$H$8:$H$19,'Wind Proxy'!$A$8:$A$19,Estimator!$B$4,'Wind Proxy'!$B$8:$B$19,C2293)</f>
        <v>0</v>
      </c>
    </row>
    <row r="2294" spans="1:10" ht="14.4">
      <c r="A2294" s="84">
        <v>47945</v>
      </c>
      <c r="B2294" s="85">
        <v>2031</v>
      </c>
      <c r="C2294" s="85">
        <v>4</v>
      </c>
      <c r="D2294" s="85" t="s">
        <v>62</v>
      </c>
      <c r="E2294" s="85">
        <v>7</v>
      </c>
      <c r="F2294" s="85">
        <v>1</v>
      </c>
      <c r="G2294" s="85">
        <f>--(F2294&lt;=Estimator!$B$7)</f>
        <v>1</v>
      </c>
      <c r="H2294" s="86">
        <f>SUMIFS('Climate Data'!$G$7:$G$366,'Climate Data'!$A$7:$A$366,Estimator!$B$4,'Climate Data'!$B$7:$B$366,C2294)</f>
        <v>0.25555555555555559</v>
      </c>
      <c r="I2294" s="87">
        <f>SUMIFS('Climate Data'!$H$7:$H$366,'Climate Data'!$A$7:$A$366,Estimator!$B$4,'Climate Data'!$B$7:$B$366,C2294)</f>
        <v>7.5</v>
      </c>
      <c r="J2294" s="86">
        <f>SUMIFS('Wind Proxy'!$H$8:$H$19,'Wind Proxy'!$A$8:$A$19,Estimator!$B$4,'Wind Proxy'!$B$8:$B$19,C2294)</f>
        <v>0</v>
      </c>
    </row>
    <row r="2295" spans="1:10" ht="14.4">
      <c r="A2295" s="84">
        <v>47946</v>
      </c>
      <c r="B2295" s="85">
        <v>2031</v>
      </c>
      <c r="C2295" s="85">
        <v>4</v>
      </c>
      <c r="D2295" s="85" t="s">
        <v>62</v>
      </c>
      <c r="E2295" s="85">
        <v>8</v>
      </c>
      <c r="F2295" s="85">
        <v>2</v>
      </c>
      <c r="G2295" s="85">
        <f>--(F2295&lt;=Estimator!$B$7)</f>
        <v>1</v>
      </c>
      <c r="H2295" s="86">
        <f>SUMIFS('Climate Data'!$G$7:$G$366,'Climate Data'!$A$7:$A$366,Estimator!$B$4,'Climate Data'!$B$7:$B$366,C2295)</f>
        <v>0.25555555555555559</v>
      </c>
      <c r="I2295" s="87">
        <f>SUMIFS('Climate Data'!$H$7:$H$366,'Climate Data'!$A$7:$A$366,Estimator!$B$4,'Climate Data'!$B$7:$B$366,C2295)</f>
        <v>7.5</v>
      </c>
      <c r="J2295" s="86">
        <f>SUMIFS('Wind Proxy'!$H$8:$H$19,'Wind Proxy'!$A$8:$A$19,Estimator!$B$4,'Wind Proxy'!$B$8:$B$19,C2295)</f>
        <v>0</v>
      </c>
    </row>
    <row r="2296" spans="1:10" ht="14.4">
      <c r="A2296" s="84">
        <v>47947</v>
      </c>
      <c r="B2296" s="85">
        <v>2031</v>
      </c>
      <c r="C2296" s="85">
        <v>4</v>
      </c>
      <c r="D2296" s="85" t="s">
        <v>62</v>
      </c>
      <c r="E2296" s="85">
        <v>9</v>
      </c>
      <c r="F2296" s="85">
        <v>3</v>
      </c>
      <c r="G2296" s="85">
        <f>--(F2296&lt;=Estimator!$B$7)</f>
        <v>1</v>
      </c>
      <c r="H2296" s="86">
        <f>SUMIFS('Climate Data'!$G$7:$G$366,'Climate Data'!$A$7:$A$366,Estimator!$B$4,'Climate Data'!$B$7:$B$366,C2296)</f>
        <v>0.25555555555555559</v>
      </c>
      <c r="I2296" s="87">
        <f>SUMIFS('Climate Data'!$H$7:$H$366,'Climate Data'!$A$7:$A$366,Estimator!$B$4,'Climate Data'!$B$7:$B$366,C2296)</f>
        <v>7.5</v>
      </c>
      <c r="J2296" s="86">
        <f>SUMIFS('Wind Proxy'!$H$8:$H$19,'Wind Proxy'!$A$8:$A$19,Estimator!$B$4,'Wind Proxy'!$B$8:$B$19,C2296)</f>
        <v>0</v>
      </c>
    </row>
    <row r="2297" spans="1:10" ht="14.4">
      <c r="A2297" s="84">
        <v>47948</v>
      </c>
      <c r="B2297" s="85">
        <v>2031</v>
      </c>
      <c r="C2297" s="85">
        <v>4</v>
      </c>
      <c r="D2297" s="85" t="s">
        <v>62</v>
      </c>
      <c r="E2297" s="85">
        <v>10</v>
      </c>
      <c r="F2297" s="85">
        <v>4</v>
      </c>
      <c r="G2297" s="85">
        <f>--(F2297&lt;=Estimator!$B$7)</f>
        <v>1</v>
      </c>
      <c r="H2297" s="86">
        <f>SUMIFS('Climate Data'!$G$7:$G$366,'Climate Data'!$A$7:$A$366,Estimator!$B$4,'Climate Data'!$B$7:$B$366,C2297)</f>
        <v>0.25555555555555559</v>
      </c>
      <c r="I2297" s="87">
        <f>SUMIFS('Climate Data'!$H$7:$H$366,'Climate Data'!$A$7:$A$366,Estimator!$B$4,'Climate Data'!$B$7:$B$366,C2297)</f>
        <v>7.5</v>
      </c>
      <c r="J2297" s="86">
        <f>SUMIFS('Wind Proxy'!$H$8:$H$19,'Wind Proxy'!$A$8:$A$19,Estimator!$B$4,'Wind Proxy'!$B$8:$B$19,C2297)</f>
        <v>0</v>
      </c>
    </row>
    <row r="2298" spans="1:10" ht="14.4">
      <c r="A2298" s="84">
        <v>47949</v>
      </c>
      <c r="B2298" s="85">
        <v>2031</v>
      </c>
      <c r="C2298" s="85">
        <v>4</v>
      </c>
      <c r="D2298" s="85" t="s">
        <v>62</v>
      </c>
      <c r="E2298" s="85">
        <v>11</v>
      </c>
      <c r="F2298" s="85">
        <v>5</v>
      </c>
      <c r="G2298" s="85">
        <f>--(F2298&lt;=Estimator!$B$7)</f>
        <v>1</v>
      </c>
      <c r="H2298" s="86">
        <f>SUMIFS('Climate Data'!$G$7:$G$366,'Climate Data'!$A$7:$A$366,Estimator!$B$4,'Climate Data'!$B$7:$B$366,C2298)</f>
        <v>0.25555555555555559</v>
      </c>
      <c r="I2298" s="87">
        <f>SUMIFS('Climate Data'!$H$7:$H$366,'Climate Data'!$A$7:$A$366,Estimator!$B$4,'Climate Data'!$B$7:$B$366,C2298)</f>
        <v>7.5</v>
      </c>
      <c r="J2298" s="86">
        <f>SUMIFS('Wind Proxy'!$H$8:$H$19,'Wind Proxy'!$A$8:$A$19,Estimator!$B$4,'Wind Proxy'!$B$8:$B$19,C2298)</f>
        <v>0</v>
      </c>
    </row>
    <row r="2299" spans="1:10" ht="14.4">
      <c r="A2299" s="84">
        <v>47950</v>
      </c>
      <c r="B2299" s="85">
        <v>2031</v>
      </c>
      <c r="C2299" s="85">
        <v>4</v>
      </c>
      <c r="D2299" s="85" t="s">
        <v>62</v>
      </c>
      <c r="E2299" s="85">
        <v>12</v>
      </c>
      <c r="F2299" s="85">
        <v>6</v>
      </c>
      <c r="G2299" s="85">
        <f>--(F2299&lt;=Estimator!$B$7)</f>
        <v>0</v>
      </c>
      <c r="H2299" s="86">
        <f>SUMIFS('Climate Data'!$G$7:$G$366,'Climate Data'!$A$7:$A$366,Estimator!$B$4,'Climate Data'!$B$7:$B$366,C2299)</f>
        <v>0.25555555555555559</v>
      </c>
      <c r="I2299" s="87">
        <f>SUMIFS('Climate Data'!$H$7:$H$366,'Climate Data'!$A$7:$A$366,Estimator!$B$4,'Climate Data'!$B$7:$B$366,C2299)</f>
        <v>7.5</v>
      </c>
      <c r="J2299" s="86">
        <f>SUMIFS('Wind Proxy'!$H$8:$H$19,'Wind Proxy'!$A$8:$A$19,Estimator!$B$4,'Wind Proxy'!$B$8:$B$19,C2299)</f>
        <v>0</v>
      </c>
    </row>
    <row r="2300" spans="1:10" ht="14.4">
      <c r="A2300" s="84">
        <v>47951</v>
      </c>
      <c r="B2300" s="85">
        <v>2031</v>
      </c>
      <c r="C2300" s="85">
        <v>4</v>
      </c>
      <c r="D2300" s="85" t="s">
        <v>62</v>
      </c>
      <c r="E2300" s="85">
        <v>13</v>
      </c>
      <c r="F2300" s="85">
        <v>7</v>
      </c>
      <c r="G2300" s="85">
        <f>--(F2300&lt;=Estimator!$B$7)</f>
        <v>0</v>
      </c>
      <c r="H2300" s="86">
        <f>SUMIFS('Climate Data'!$G$7:$G$366,'Climate Data'!$A$7:$A$366,Estimator!$B$4,'Climate Data'!$B$7:$B$366,C2300)</f>
        <v>0.25555555555555559</v>
      </c>
      <c r="I2300" s="87">
        <f>SUMIFS('Climate Data'!$H$7:$H$366,'Climate Data'!$A$7:$A$366,Estimator!$B$4,'Climate Data'!$B$7:$B$366,C2300)</f>
        <v>7.5</v>
      </c>
      <c r="J2300" s="86">
        <f>SUMIFS('Wind Proxy'!$H$8:$H$19,'Wind Proxy'!$A$8:$A$19,Estimator!$B$4,'Wind Proxy'!$B$8:$B$19,C2300)</f>
        <v>0</v>
      </c>
    </row>
    <row r="2301" spans="1:10" ht="14.4">
      <c r="A2301" s="84">
        <v>47952</v>
      </c>
      <c r="B2301" s="85">
        <v>2031</v>
      </c>
      <c r="C2301" s="85">
        <v>4</v>
      </c>
      <c r="D2301" s="85" t="s">
        <v>62</v>
      </c>
      <c r="E2301" s="85">
        <v>14</v>
      </c>
      <c r="F2301" s="85">
        <v>1</v>
      </c>
      <c r="G2301" s="85">
        <f>--(F2301&lt;=Estimator!$B$7)</f>
        <v>1</v>
      </c>
      <c r="H2301" s="86">
        <f>SUMIFS('Climate Data'!$G$7:$G$366,'Climate Data'!$A$7:$A$366,Estimator!$B$4,'Climate Data'!$B$7:$B$366,C2301)</f>
        <v>0.25555555555555559</v>
      </c>
      <c r="I2301" s="87">
        <f>SUMIFS('Climate Data'!$H$7:$H$366,'Climate Data'!$A$7:$A$366,Estimator!$B$4,'Climate Data'!$B$7:$B$366,C2301)</f>
        <v>7.5</v>
      </c>
      <c r="J2301" s="86">
        <f>SUMIFS('Wind Proxy'!$H$8:$H$19,'Wind Proxy'!$A$8:$A$19,Estimator!$B$4,'Wind Proxy'!$B$8:$B$19,C2301)</f>
        <v>0</v>
      </c>
    </row>
    <row r="2302" spans="1:10" ht="14.4">
      <c r="A2302" s="84">
        <v>47953</v>
      </c>
      <c r="B2302" s="85">
        <v>2031</v>
      </c>
      <c r="C2302" s="85">
        <v>4</v>
      </c>
      <c r="D2302" s="85" t="s">
        <v>62</v>
      </c>
      <c r="E2302" s="85">
        <v>15</v>
      </c>
      <c r="F2302" s="85">
        <v>2</v>
      </c>
      <c r="G2302" s="85">
        <f>--(F2302&lt;=Estimator!$B$7)</f>
        <v>1</v>
      </c>
      <c r="H2302" s="86">
        <f>SUMIFS('Climate Data'!$G$7:$G$366,'Climate Data'!$A$7:$A$366,Estimator!$B$4,'Climate Data'!$B$7:$B$366,C2302)</f>
        <v>0.25555555555555559</v>
      </c>
      <c r="I2302" s="87">
        <f>SUMIFS('Climate Data'!$H$7:$H$366,'Climate Data'!$A$7:$A$366,Estimator!$B$4,'Climate Data'!$B$7:$B$366,C2302)</f>
        <v>7.5</v>
      </c>
      <c r="J2302" s="86">
        <f>SUMIFS('Wind Proxy'!$H$8:$H$19,'Wind Proxy'!$A$8:$A$19,Estimator!$B$4,'Wind Proxy'!$B$8:$B$19,C2302)</f>
        <v>0</v>
      </c>
    </row>
    <row r="2303" spans="1:10" ht="14.4">
      <c r="A2303" s="84">
        <v>47954</v>
      </c>
      <c r="B2303" s="85">
        <v>2031</v>
      </c>
      <c r="C2303" s="85">
        <v>4</v>
      </c>
      <c r="D2303" s="85" t="s">
        <v>62</v>
      </c>
      <c r="E2303" s="85">
        <v>16</v>
      </c>
      <c r="F2303" s="85">
        <v>3</v>
      </c>
      <c r="G2303" s="85">
        <f>--(F2303&lt;=Estimator!$B$7)</f>
        <v>1</v>
      </c>
      <c r="H2303" s="86">
        <f>SUMIFS('Climate Data'!$G$7:$G$366,'Climate Data'!$A$7:$A$366,Estimator!$B$4,'Climate Data'!$B$7:$B$366,C2303)</f>
        <v>0.25555555555555559</v>
      </c>
      <c r="I2303" s="87">
        <f>SUMIFS('Climate Data'!$H$7:$H$366,'Climate Data'!$A$7:$A$366,Estimator!$B$4,'Climate Data'!$B$7:$B$366,C2303)</f>
        <v>7.5</v>
      </c>
      <c r="J2303" s="86">
        <f>SUMIFS('Wind Proxy'!$H$8:$H$19,'Wind Proxy'!$A$8:$A$19,Estimator!$B$4,'Wind Proxy'!$B$8:$B$19,C2303)</f>
        <v>0</v>
      </c>
    </row>
    <row r="2304" spans="1:10" ht="14.4">
      <c r="A2304" s="84">
        <v>47955</v>
      </c>
      <c r="B2304" s="85">
        <v>2031</v>
      </c>
      <c r="C2304" s="85">
        <v>4</v>
      </c>
      <c r="D2304" s="85" t="s">
        <v>62</v>
      </c>
      <c r="E2304" s="85">
        <v>17</v>
      </c>
      <c r="F2304" s="85">
        <v>4</v>
      </c>
      <c r="G2304" s="85">
        <f>--(F2304&lt;=Estimator!$B$7)</f>
        <v>1</v>
      </c>
      <c r="H2304" s="86">
        <f>SUMIFS('Climate Data'!$G$7:$G$366,'Climate Data'!$A$7:$A$366,Estimator!$B$4,'Climate Data'!$B$7:$B$366,C2304)</f>
        <v>0.25555555555555559</v>
      </c>
      <c r="I2304" s="87">
        <f>SUMIFS('Climate Data'!$H$7:$H$366,'Climate Data'!$A$7:$A$366,Estimator!$B$4,'Climate Data'!$B$7:$B$366,C2304)</f>
        <v>7.5</v>
      </c>
      <c r="J2304" s="86">
        <f>SUMIFS('Wind Proxy'!$H$8:$H$19,'Wind Proxy'!$A$8:$A$19,Estimator!$B$4,'Wind Proxy'!$B$8:$B$19,C2304)</f>
        <v>0</v>
      </c>
    </row>
    <row r="2305" spans="1:10" ht="14.4">
      <c r="A2305" s="84">
        <v>47956</v>
      </c>
      <c r="B2305" s="85">
        <v>2031</v>
      </c>
      <c r="C2305" s="85">
        <v>4</v>
      </c>
      <c r="D2305" s="85" t="s">
        <v>62</v>
      </c>
      <c r="E2305" s="85">
        <v>18</v>
      </c>
      <c r="F2305" s="85">
        <v>5</v>
      </c>
      <c r="G2305" s="85">
        <f>--(F2305&lt;=Estimator!$B$7)</f>
        <v>1</v>
      </c>
      <c r="H2305" s="86">
        <f>SUMIFS('Climate Data'!$G$7:$G$366,'Climate Data'!$A$7:$A$366,Estimator!$B$4,'Climate Data'!$B$7:$B$366,C2305)</f>
        <v>0.25555555555555559</v>
      </c>
      <c r="I2305" s="87">
        <f>SUMIFS('Climate Data'!$H$7:$H$366,'Climate Data'!$A$7:$A$366,Estimator!$B$4,'Climate Data'!$B$7:$B$366,C2305)</f>
        <v>7.5</v>
      </c>
      <c r="J2305" s="86">
        <f>SUMIFS('Wind Proxy'!$H$8:$H$19,'Wind Proxy'!$A$8:$A$19,Estimator!$B$4,'Wind Proxy'!$B$8:$B$19,C2305)</f>
        <v>0</v>
      </c>
    </row>
    <row r="2306" spans="1:10" ht="14.4">
      <c r="A2306" s="84">
        <v>47957</v>
      </c>
      <c r="B2306" s="85">
        <v>2031</v>
      </c>
      <c r="C2306" s="85">
        <v>4</v>
      </c>
      <c r="D2306" s="85" t="s">
        <v>62</v>
      </c>
      <c r="E2306" s="85">
        <v>19</v>
      </c>
      <c r="F2306" s="85">
        <v>6</v>
      </c>
      <c r="G2306" s="85">
        <f>--(F2306&lt;=Estimator!$B$7)</f>
        <v>0</v>
      </c>
      <c r="H2306" s="86">
        <f>SUMIFS('Climate Data'!$G$7:$G$366,'Climate Data'!$A$7:$A$366,Estimator!$B$4,'Climate Data'!$B$7:$B$366,C2306)</f>
        <v>0.25555555555555559</v>
      </c>
      <c r="I2306" s="87">
        <f>SUMIFS('Climate Data'!$H$7:$H$366,'Climate Data'!$A$7:$A$366,Estimator!$B$4,'Climate Data'!$B$7:$B$366,C2306)</f>
        <v>7.5</v>
      </c>
      <c r="J2306" s="86">
        <f>SUMIFS('Wind Proxy'!$H$8:$H$19,'Wind Proxy'!$A$8:$A$19,Estimator!$B$4,'Wind Proxy'!$B$8:$B$19,C2306)</f>
        <v>0</v>
      </c>
    </row>
    <row r="2307" spans="1:10" ht="14.4">
      <c r="A2307" s="84">
        <v>47958</v>
      </c>
      <c r="B2307" s="85">
        <v>2031</v>
      </c>
      <c r="C2307" s="85">
        <v>4</v>
      </c>
      <c r="D2307" s="85" t="s">
        <v>62</v>
      </c>
      <c r="E2307" s="85">
        <v>20</v>
      </c>
      <c r="F2307" s="85">
        <v>7</v>
      </c>
      <c r="G2307" s="85">
        <f>--(F2307&lt;=Estimator!$B$7)</f>
        <v>0</v>
      </c>
      <c r="H2307" s="86">
        <f>SUMIFS('Climate Data'!$G$7:$G$366,'Climate Data'!$A$7:$A$366,Estimator!$B$4,'Climate Data'!$B$7:$B$366,C2307)</f>
        <v>0.25555555555555559</v>
      </c>
      <c r="I2307" s="87">
        <f>SUMIFS('Climate Data'!$H$7:$H$366,'Climate Data'!$A$7:$A$366,Estimator!$B$4,'Climate Data'!$B$7:$B$366,C2307)</f>
        <v>7.5</v>
      </c>
      <c r="J2307" s="86">
        <f>SUMIFS('Wind Proxy'!$H$8:$H$19,'Wind Proxy'!$A$8:$A$19,Estimator!$B$4,'Wind Proxy'!$B$8:$B$19,C2307)</f>
        <v>0</v>
      </c>
    </row>
    <row r="2308" spans="1:10" ht="14.4">
      <c r="A2308" s="84">
        <v>47959</v>
      </c>
      <c r="B2308" s="85">
        <v>2031</v>
      </c>
      <c r="C2308" s="85">
        <v>4</v>
      </c>
      <c r="D2308" s="85" t="s">
        <v>62</v>
      </c>
      <c r="E2308" s="85">
        <v>21</v>
      </c>
      <c r="F2308" s="85">
        <v>1</v>
      </c>
      <c r="G2308" s="85">
        <f>--(F2308&lt;=Estimator!$B$7)</f>
        <v>1</v>
      </c>
      <c r="H2308" s="86">
        <f>SUMIFS('Climate Data'!$G$7:$G$366,'Climate Data'!$A$7:$A$366,Estimator!$B$4,'Climate Data'!$B$7:$B$366,C2308)</f>
        <v>0.25555555555555559</v>
      </c>
      <c r="I2308" s="87">
        <f>SUMIFS('Climate Data'!$H$7:$H$366,'Climate Data'!$A$7:$A$366,Estimator!$B$4,'Climate Data'!$B$7:$B$366,C2308)</f>
        <v>7.5</v>
      </c>
      <c r="J2308" s="86">
        <f>SUMIFS('Wind Proxy'!$H$8:$H$19,'Wind Proxy'!$A$8:$A$19,Estimator!$B$4,'Wind Proxy'!$B$8:$B$19,C2308)</f>
        <v>0</v>
      </c>
    </row>
    <row r="2309" spans="1:10" ht="14.4">
      <c r="A2309" s="84">
        <v>47960</v>
      </c>
      <c r="B2309" s="85">
        <v>2031</v>
      </c>
      <c r="C2309" s="85">
        <v>4</v>
      </c>
      <c r="D2309" s="85" t="s">
        <v>62</v>
      </c>
      <c r="E2309" s="85">
        <v>22</v>
      </c>
      <c r="F2309" s="85">
        <v>2</v>
      </c>
      <c r="G2309" s="85">
        <f>--(F2309&lt;=Estimator!$B$7)</f>
        <v>1</v>
      </c>
      <c r="H2309" s="86">
        <f>SUMIFS('Climate Data'!$G$7:$G$366,'Climate Data'!$A$7:$A$366,Estimator!$B$4,'Climate Data'!$B$7:$B$366,C2309)</f>
        <v>0.25555555555555559</v>
      </c>
      <c r="I2309" s="87">
        <f>SUMIFS('Climate Data'!$H$7:$H$366,'Climate Data'!$A$7:$A$366,Estimator!$B$4,'Climate Data'!$B$7:$B$366,C2309)</f>
        <v>7.5</v>
      </c>
      <c r="J2309" s="86">
        <f>SUMIFS('Wind Proxy'!$H$8:$H$19,'Wind Proxy'!$A$8:$A$19,Estimator!$B$4,'Wind Proxy'!$B$8:$B$19,C2309)</f>
        <v>0</v>
      </c>
    </row>
    <row r="2310" spans="1:10" ht="14.4">
      <c r="A2310" s="84">
        <v>47961</v>
      </c>
      <c r="B2310" s="85">
        <v>2031</v>
      </c>
      <c r="C2310" s="85">
        <v>4</v>
      </c>
      <c r="D2310" s="85" t="s">
        <v>62</v>
      </c>
      <c r="E2310" s="85">
        <v>23</v>
      </c>
      <c r="F2310" s="85">
        <v>3</v>
      </c>
      <c r="G2310" s="85">
        <f>--(F2310&lt;=Estimator!$B$7)</f>
        <v>1</v>
      </c>
      <c r="H2310" s="86">
        <f>SUMIFS('Climate Data'!$G$7:$G$366,'Climate Data'!$A$7:$A$366,Estimator!$B$4,'Climate Data'!$B$7:$B$366,C2310)</f>
        <v>0.25555555555555559</v>
      </c>
      <c r="I2310" s="87">
        <f>SUMIFS('Climate Data'!$H$7:$H$366,'Climate Data'!$A$7:$A$366,Estimator!$B$4,'Climate Data'!$B$7:$B$366,C2310)</f>
        <v>7.5</v>
      </c>
      <c r="J2310" s="86">
        <f>SUMIFS('Wind Proxy'!$H$8:$H$19,'Wind Proxy'!$A$8:$A$19,Estimator!$B$4,'Wind Proxy'!$B$8:$B$19,C2310)</f>
        <v>0</v>
      </c>
    </row>
    <row r="2311" spans="1:10" ht="14.4">
      <c r="A2311" s="84">
        <v>47962</v>
      </c>
      <c r="B2311" s="85">
        <v>2031</v>
      </c>
      <c r="C2311" s="85">
        <v>4</v>
      </c>
      <c r="D2311" s="85" t="s">
        <v>62</v>
      </c>
      <c r="E2311" s="85">
        <v>24</v>
      </c>
      <c r="F2311" s="85">
        <v>4</v>
      </c>
      <c r="G2311" s="85">
        <f>--(F2311&lt;=Estimator!$B$7)</f>
        <v>1</v>
      </c>
      <c r="H2311" s="86">
        <f>SUMIFS('Climate Data'!$G$7:$G$366,'Climate Data'!$A$7:$A$366,Estimator!$B$4,'Climate Data'!$B$7:$B$366,C2311)</f>
        <v>0.25555555555555559</v>
      </c>
      <c r="I2311" s="87">
        <f>SUMIFS('Climate Data'!$H$7:$H$366,'Climate Data'!$A$7:$A$366,Estimator!$B$4,'Climate Data'!$B$7:$B$366,C2311)</f>
        <v>7.5</v>
      </c>
      <c r="J2311" s="86">
        <f>SUMIFS('Wind Proxy'!$H$8:$H$19,'Wind Proxy'!$A$8:$A$19,Estimator!$B$4,'Wind Proxy'!$B$8:$B$19,C2311)</f>
        <v>0</v>
      </c>
    </row>
    <row r="2312" spans="1:10" ht="14.4">
      <c r="A2312" s="84">
        <v>47963</v>
      </c>
      <c r="B2312" s="85">
        <v>2031</v>
      </c>
      <c r="C2312" s="85">
        <v>4</v>
      </c>
      <c r="D2312" s="85" t="s">
        <v>62</v>
      </c>
      <c r="E2312" s="85">
        <v>25</v>
      </c>
      <c r="F2312" s="85">
        <v>5</v>
      </c>
      <c r="G2312" s="85">
        <f>--(F2312&lt;=Estimator!$B$7)</f>
        <v>1</v>
      </c>
      <c r="H2312" s="86">
        <f>SUMIFS('Climate Data'!$G$7:$G$366,'Climate Data'!$A$7:$A$366,Estimator!$B$4,'Climate Data'!$B$7:$B$366,C2312)</f>
        <v>0.25555555555555559</v>
      </c>
      <c r="I2312" s="87">
        <f>SUMIFS('Climate Data'!$H$7:$H$366,'Climate Data'!$A$7:$A$366,Estimator!$B$4,'Climate Data'!$B$7:$B$366,C2312)</f>
        <v>7.5</v>
      </c>
      <c r="J2312" s="86">
        <f>SUMIFS('Wind Proxy'!$H$8:$H$19,'Wind Proxy'!$A$8:$A$19,Estimator!$B$4,'Wind Proxy'!$B$8:$B$19,C2312)</f>
        <v>0</v>
      </c>
    </row>
    <row r="2313" spans="1:10" ht="14.4">
      <c r="A2313" s="84">
        <v>47964</v>
      </c>
      <c r="B2313" s="85">
        <v>2031</v>
      </c>
      <c r="C2313" s="85">
        <v>4</v>
      </c>
      <c r="D2313" s="85" t="s">
        <v>62</v>
      </c>
      <c r="E2313" s="85">
        <v>26</v>
      </c>
      <c r="F2313" s="85">
        <v>6</v>
      </c>
      <c r="G2313" s="85">
        <f>--(F2313&lt;=Estimator!$B$7)</f>
        <v>0</v>
      </c>
      <c r="H2313" s="86">
        <f>SUMIFS('Climate Data'!$G$7:$G$366,'Climate Data'!$A$7:$A$366,Estimator!$B$4,'Climate Data'!$B$7:$B$366,C2313)</f>
        <v>0.25555555555555559</v>
      </c>
      <c r="I2313" s="87">
        <f>SUMIFS('Climate Data'!$H$7:$H$366,'Climate Data'!$A$7:$A$366,Estimator!$B$4,'Climate Data'!$B$7:$B$366,C2313)</f>
        <v>7.5</v>
      </c>
      <c r="J2313" s="86">
        <f>SUMIFS('Wind Proxy'!$H$8:$H$19,'Wind Proxy'!$A$8:$A$19,Estimator!$B$4,'Wind Proxy'!$B$8:$B$19,C2313)</f>
        <v>0</v>
      </c>
    </row>
    <row r="2314" spans="1:10" ht="14.4">
      <c r="A2314" s="84">
        <v>47965</v>
      </c>
      <c r="B2314" s="85">
        <v>2031</v>
      </c>
      <c r="C2314" s="85">
        <v>4</v>
      </c>
      <c r="D2314" s="85" t="s">
        <v>62</v>
      </c>
      <c r="E2314" s="85">
        <v>27</v>
      </c>
      <c r="F2314" s="85">
        <v>7</v>
      </c>
      <c r="G2314" s="85">
        <f>--(F2314&lt;=Estimator!$B$7)</f>
        <v>0</v>
      </c>
      <c r="H2314" s="86">
        <f>SUMIFS('Climate Data'!$G$7:$G$366,'Climate Data'!$A$7:$A$366,Estimator!$B$4,'Climate Data'!$B$7:$B$366,C2314)</f>
        <v>0.25555555555555559</v>
      </c>
      <c r="I2314" s="87">
        <f>SUMIFS('Climate Data'!$H$7:$H$366,'Climate Data'!$A$7:$A$366,Estimator!$B$4,'Climate Data'!$B$7:$B$366,C2314)</f>
        <v>7.5</v>
      </c>
      <c r="J2314" s="86">
        <f>SUMIFS('Wind Proxy'!$H$8:$H$19,'Wind Proxy'!$A$8:$A$19,Estimator!$B$4,'Wind Proxy'!$B$8:$B$19,C2314)</f>
        <v>0</v>
      </c>
    </row>
    <row r="2315" spans="1:10" ht="14.4">
      <c r="A2315" s="84">
        <v>47966</v>
      </c>
      <c r="B2315" s="85">
        <v>2031</v>
      </c>
      <c r="C2315" s="85">
        <v>4</v>
      </c>
      <c r="D2315" s="85" t="s">
        <v>62</v>
      </c>
      <c r="E2315" s="85">
        <v>28</v>
      </c>
      <c r="F2315" s="85">
        <v>1</v>
      </c>
      <c r="G2315" s="85">
        <f>--(F2315&lt;=Estimator!$B$7)</f>
        <v>1</v>
      </c>
      <c r="H2315" s="86">
        <f>SUMIFS('Climate Data'!$G$7:$G$366,'Climate Data'!$A$7:$A$366,Estimator!$B$4,'Climate Data'!$B$7:$B$366,C2315)</f>
        <v>0.25555555555555559</v>
      </c>
      <c r="I2315" s="87">
        <f>SUMIFS('Climate Data'!$H$7:$H$366,'Climate Data'!$A$7:$A$366,Estimator!$B$4,'Climate Data'!$B$7:$B$366,C2315)</f>
        <v>7.5</v>
      </c>
      <c r="J2315" s="86">
        <f>SUMIFS('Wind Proxy'!$H$8:$H$19,'Wind Proxy'!$A$8:$A$19,Estimator!$B$4,'Wind Proxy'!$B$8:$B$19,C2315)</f>
        <v>0</v>
      </c>
    </row>
    <row r="2316" spans="1:10" ht="14.4">
      <c r="A2316" s="84">
        <v>47967</v>
      </c>
      <c r="B2316" s="85">
        <v>2031</v>
      </c>
      <c r="C2316" s="85">
        <v>4</v>
      </c>
      <c r="D2316" s="85" t="s">
        <v>62</v>
      </c>
      <c r="E2316" s="85">
        <v>29</v>
      </c>
      <c r="F2316" s="85">
        <v>2</v>
      </c>
      <c r="G2316" s="85">
        <f>--(F2316&lt;=Estimator!$B$7)</f>
        <v>1</v>
      </c>
      <c r="H2316" s="86">
        <f>SUMIFS('Climate Data'!$G$7:$G$366,'Climate Data'!$A$7:$A$366,Estimator!$B$4,'Climate Data'!$B$7:$B$366,C2316)</f>
        <v>0.25555555555555559</v>
      </c>
      <c r="I2316" s="87">
        <f>SUMIFS('Climate Data'!$H$7:$H$366,'Climate Data'!$A$7:$A$366,Estimator!$B$4,'Climate Data'!$B$7:$B$366,C2316)</f>
        <v>7.5</v>
      </c>
      <c r="J2316" s="86">
        <f>SUMIFS('Wind Proxy'!$H$8:$H$19,'Wind Proxy'!$A$8:$A$19,Estimator!$B$4,'Wind Proxy'!$B$8:$B$19,C2316)</f>
        <v>0</v>
      </c>
    </row>
    <row r="2317" spans="1:10" ht="14.4">
      <c r="A2317" s="84">
        <v>47968</v>
      </c>
      <c r="B2317" s="85">
        <v>2031</v>
      </c>
      <c r="C2317" s="85">
        <v>4</v>
      </c>
      <c r="D2317" s="85" t="s">
        <v>62</v>
      </c>
      <c r="E2317" s="85">
        <v>30</v>
      </c>
      <c r="F2317" s="85">
        <v>3</v>
      </c>
      <c r="G2317" s="85">
        <f>--(F2317&lt;=Estimator!$B$7)</f>
        <v>1</v>
      </c>
      <c r="H2317" s="86">
        <f>SUMIFS('Climate Data'!$G$7:$G$366,'Climate Data'!$A$7:$A$366,Estimator!$B$4,'Climate Data'!$B$7:$B$366,C2317)</f>
        <v>0.25555555555555559</v>
      </c>
      <c r="I2317" s="87">
        <f>SUMIFS('Climate Data'!$H$7:$H$366,'Climate Data'!$A$7:$A$366,Estimator!$B$4,'Climate Data'!$B$7:$B$366,C2317)</f>
        <v>7.5</v>
      </c>
      <c r="J2317" s="86">
        <f>SUMIFS('Wind Proxy'!$H$8:$H$19,'Wind Proxy'!$A$8:$A$19,Estimator!$B$4,'Wind Proxy'!$B$8:$B$19,C2317)</f>
        <v>0</v>
      </c>
    </row>
    <row r="2318" spans="1:10" ht="14.4">
      <c r="A2318" s="84">
        <v>47969</v>
      </c>
      <c r="B2318" s="85">
        <v>2031</v>
      </c>
      <c r="C2318" s="85">
        <v>5</v>
      </c>
      <c r="D2318" s="85" t="s">
        <v>65</v>
      </c>
      <c r="E2318" s="85">
        <v>1</v>
      </c>
      <c r="F2318" s="85">
        <v>4</v>
      </c>
      <c r="G2318" s="85">
        <f>--(F2318&lt;=Estimator!$B$7)</f>
        <v>1</v>
      </c>
      <c r="H2318" s="86">
        <f>SUMIFS('Climate Data'!$G$7:$G$366,'Climate Data'!$A$7:$A$366,Estimator!$B$4,'Climate Data'!$B$7:$B$366,C2318)</f>
        <v>0.23010752688172045</v>
      </c>
      <c r="I2318" s="87">
        <f>SUMIFS('Climate Data'!$H$7:$H$366,'Climate Data'!$A$7:$A$366,Estimator!$B$4,'Climate Data'!$B$7:$B$366,C2318)</f>
        <v>8.1448598130841123</v>
      </c>
      <c r="J2318" s="86">
        <f>SUMIFS('Wind Proxy'!$H$8:$H$19,'Wind Proxy'!$A$8:$A$19,Estimator!$B$4,'Wind Proxy'!$B$8:$B$19,C2318)</f>
        <v>0</v>
      </c>
    </row>
    <row r="2319" spans="1:10" ht="14.4">
      <c r="A2319" s="84">
        <v>47970</v>
      </c>
      <c r="B2319" s="85">
        <v>2031</v>
      </c>
      <c r="C2319" s="85">
        <v>5</v>
      </c>
      <c r="D2319" s="85" t="s">
        <v>65</v>
      </c>
      <c r="E2319" s="85">
        <v>2</v>
      </c>
      <c r="F2319" s="85">
        <v>5</v>
      </c>
      <c r="G2319" s="85">
        <f>--(F2319&lt;=Estimator!$B$7)</f>
        <v>1</v>
      </c>
      <c r="H2319" s="86">
        <f>SUMIFS('Climate Data'!$G$7:$G$366,'Climate Data'!$A$7:$A$366,Estimator!$B$4,'Climate Data'!$B$7:$B$366,C2319)</f>
        <v>0.23010752688172045</v>
      </c>
      <c r="I2319" s="87">
        <f>SUMIFS('Climate Data'!$H$7:$H$366,'Climate Data'!$A$7:$A$366,Estimator!$B$4,'Climate Data'!$B$7:$B$366,C2319)</f>
        <v>8.1448598130841123</v>
      </c>
      <c r="J2319" s="86">
        <f>SUMIFS('Wind Proxy'!$H$8:$H$19,'Wind Proxy'!$A$8:$A$19,Estimator!$B$4,'Wind Proxy'!$B$8:$B$19,C2319)</f>
        <v>0</v>
      </c>
    </row>
    <row r="2320" spans="1:10" ht="14.4">
      <c r="A2320" s="84">
        <v>47971</v>
      </c>
      <c r="B2320" s="85">
        <v>2031</v>
      </c>
      <c r="C2320" s="85">
        <v>5</v>
      </c>
      <c r="D2320" s="85" t="s">
        <v>65</v>
      </c>
      <c r="E2320" s="85">
        <v>3</v>
      </c>
      <c r="F2320" s="85">
        <v>6</v>
      </c>
      <c r="G2320" s="85">
        <f>--(F2320&lt;=Estimator!$B$7)</f>
        <v>0</v>
      </c>
      <c r="H2320" s="86">
        <f>SUMIFS('Climate Data'!$G$7:$G$366,'Climate Data'!$A$7:$A$366,Estimator!$B$4,'Climate Data'!$B$7:$B$366,C2320)</f>
        <v>0.23010752688172045</v>
      </c>
      <c r="I2320" s="87">
        <f>SUMIFS('Climate Data'!$H$7:$H$366,'Climate Data'!$A$7:$A$366,Estimator!$B$4,'Climate Data'!$B$7:$B$366,C2320)</f>
        <v>8.1448598130841123</v>
      </c>
      <c r="J2320" s="86">
        <f>SUMIFS('Wind Proxy'!$H$8:$H$19,'Wind Proxy'!$A$8:$A$19,Estimator!$B$4,'Wind Proxy'!$B$8:$B$19,C2320)</f>
        <v>0</v>
      </c>
    </row>
    <row r="2321" spans="1:10" ht="14.4">
      <c r="A2321" s="84">
        <v>47972</v>
      </c>
      <c r="B2321" s="85">
        <v>2031</v>
      </c>
      <c r="C2321" s="85">
        <v>5</v>
      </c>
      <c r="D2321" s="85" t="s">
        <v>65</v>
      </c>
      <c r="E2321" s="85">
        <v>4</v>
      </c>
      <c r="F2321" s="85">
        <v>7</v>
      </c>
      <c r="G2321" s="85">
        <f>--(F2321&lt;=Estimator!$B$7)</f>
        <v>0</v>
      </c>
      <c r="H2321" s="86">
        <f>SUMIFS('Climate Data'!$G$7:$G$366,'Climate Data'!$A$7:$A$366,Estimator!$B$4,'Climate Data'!$B$7:$B$366,C2321)</f>
        <v>0.23010752688172045</v>
      </c>
      <c r="I2321" s="87">
        <f>SUMIFS('Climate Data'!$H$7:$H$366,'Climate Data'!$A$7:$A$366,Estimator!$B$4,'Climate Data'!$B$7:$B$366,C2321)</f>
        <v>8.1448598130841123</v>
      </c>
      <c r="J2321" s="86">
        <f>SUMIFS('Wind Proxy'!$H$8:$H$19,'Wind Proxy'!$A$8:$A$19,Estimator!$B$4,'Wind Proxy'!$B$8:$B$19,C2321)</f>
        <v>0</v>
      </c>
    </row>
    <row r="2322" spans="1:10" ht="14.4">
      <c r="A2322" s="84">
        <v>47973</v>
      </c>
      <c r="B2322" s="85">
        <v>2031</v>
      </c>
      <c r="C2322" s="85">
        <v>5</v>
      </c>
      <c r="D2322" s="85" t="s">
        <v>65</v>
      </c>
      <c r="E2322" s="85">
        <v>5</v>
      </c>
      <c r="F2322" s="85">
        <v>1</v>
      </c>
      <c r="G2322" s="85">
        <f>--(F2322&lt;=Estimator!$B$7)</f>
        <v>1</v>
      </c>
      <c r="H2322" s="86">
        <f>SUMIFS('Climate Data'!$G$7:$G$366,'Climate Data'!$A$7:$A$366,Estimator!$B$4,'Climate Data'!$B$7:$B$366,C2322)</f>
        <v>0.23010752688172045</v>
      </c>
      <c r="I2322" s="87">
        <f>SUMIFS('Climate Data'!$H$7:$H$366,'Climate Data'!$A$7:$A$366,Estimator!$B$4,'Climate Data'!$B$7:$B$366,C2322)</f>
        <v>8.1448598130841123</v>
      </c>
      <c r="J2322" s="86">
        <f>SUMIFS('Wind Proxy'!$H$8:$H$19,'Wind Proxy'!$A$8:$A$19,Estimator!$B$4,'Wind Proxy'!$B$8:$B$19,C2322)</f>
        <v>0</v>
      </c>
    </row>
    <row r="2323" spans="1:10" ht="14.4">
      <c r="A2323" s="84">
        <v>47974</v>
      </c>
      <c r="B2323" s="85">
        <v>2031</v>
      </c>
      <c r="C2323" s="85">
        <v>5</v>
      </c>
      <c r="D2323" s="85" t="s">
        <v>65</v>
      </c>
      <c r="E2323" s="85">
        <v>6</v>
      </c>
      <c r="F2323" s="85">
        <v>2</v>
      </c>
      <c r="G2323" s="85">
        <f>--(F2323&lt;=Estimator!$B$7)</f>
        <v>1</v>
      </c>
      <c r="H2323" s="86">
        <f>SUMIFS('Climate Data'!$G$7:$G$366,'Climate Data'!$A$7:$A$366,Estimator!$B$4,'Climate Data'!$B$7:$B$366,C2323)</f>
        <v>0.23010752688172045</v>
      </c>
      <c r="I2323" s="87">
        <f>SUMIFS('Climate Data'!$H$7:$H$366,'Climate Data'!$A$7:$A$366,Estimator!$B$4,'Climate Data'!$B$7:$B$366,C2323)</f>
        <v>8.1448598130841123</v>
      </c>
      <c r="J2323" s="86">
        <f>SUMIFS('Wind Proxy'!$H$8:$H$19,'Wind Proxy'!$A$8:$A$19,Estimator!$B$4,'Wind Proxy'!$B$8:$B$19,C2323)</f>
        <v>0</v>
      </c>
    </row>
    <row r="2324" spans="1:10" ht="14.4">
      <c r="A2324" s="84">
        <v>47975</v>
      </c>
      <c r="B2324" s="85">
        <v>2031</v>
      </c>
      <c r="C2324" s="85">
        <v>5</v>
      </c>
      <c r="D2324" s="85" t="s">
        <v>65</v>
      </c>
      <c r="E2324" s="85">
        <v>7</v>
      </c>
      <c r="F2324" s="85">
        <v>3</v>
      </c>
      <c r="G2324" s="85">
        <f>--(F2324&lt;=Estimator!$B$7)</f>
        <v>1</v>
      </c>
      <c r="H2324" s="86">
        <f>SUMIFS('Climate Data'!$G$7:$G$366,'Climate Data'!$A$7:$A$366,Estimator!$B$4,'Climate Data'!$B$7:$B$366,C2324)</f>
        <v>0.23010752688172045</v>
      </c>
      <c r="I2324" s="87">
        <f>SUMIFS('Climate Data'!$H$7:$H$366,'Climate Data'!$A$7:$A$366,Estimator!$B$4,'Climate Data'!$B$7:$B$366,C2324)</f>
        <v>8.1448598130841123</v>
      </c>
      <c r="J2324" s="86">
        <f>SUMIFS('Wind Proxy'!$H$8:$H$19,'Wind Proxy'!$A$8:$A$19,Estimator!$B$4,'Wind Proxy'!$B$8:$B$19,C2324)</f>
        <v>0</v>
      </c>
    </row>
    <row r="2325" spans="1:10" ht="14.4">
      <c r="A2325" s="84">
        <v>47976</v>
      </c>
      <c r="B2325" s="85">
        <v>2031</v>
      </c>
      <c r="C2325" s="85">
        <v>5</v>
      </c>
      <c r="D2325" s="85" t="s">
        <v>65</v>
      </c>
      <c r="E2325" s="85">
        <v>8</v>
      </c>
      <c r="F2325" s="85">
        <v>4</v>
      </c>
      <c r="G2325" s="85">
        <f>--(F2325&lt;=Estimator!$B$7)</f>
        <v>1</v>
      </c>
      <c r="H2325" s="86">
        <f>SUMIFS('Climate Data'!$G$7:$G$366,'Climate Data'!$A$7:$A$366,Estimator!$B$4,'Climate Data'!$B$7:$B$366,C2325)</f>
        <v>0.23010752688172045</v>
      </c>
      <c r="I2325" s="87">
        <f>SUMIFS('Climate Data'!$H$7:$H$366,'Climate Data'!$A$7:$A$366,Estimator!$B$4,'Climate Data'!$B$7:$B$366,C2325)</f>
        <v>8.1448598130841123</v>
      </c>
      <c r="J2325" s="86">
        <f>SUMIFS('Wind Proxy'!$H$8:$H$19,'Wind Proxy'!$A$8:$A$19,Estimator!$B$4,'Wind Proxy'!$B$8:$B$19,C2325)</f>
        <v>0</v>
      </c>
    </row>
    <row r="2326" spans="1:10" ht="14.4">
      <c r="A2326" s="84">
        <v>47977</v>
      </c>
      <c r="B2326" s="85">
        <v>2031</v>
      </c>
      <c r="C2326" s="85">
        <v>5</v>
      </c>
      <c r="D2326" s="85" t="s">
        <v>65</v>
      </c>
      <c r="E2326" s="85">
        <v>9</v>
      </c>
      <c r="F2326" s="85">
        <v>5</v>
      </c>
      <c r="G2326" s="85">
        <f>--(F2326&lt;=Estimator!$B$7)</f>
        <v>1</v>
      </c>
      <c r="H2326" s="86">
        <f>SUMIFS('Climate Data'!$G$7:$G$366,'Climate Data'!$A$7:$A$366,Estimator!$B$4,'Climate Data'!$B$7:$B$366,C2326)</f>
        <v>0.23010752688172045</v>
      </c>
      <c r="I2326" s="87">
        <f>SUMIFS('Climate Data'!$H$7:$H$366,'Climate Data'!$A$7:$A$366,Estimator!$B$4,'Climate Data'!$B$7:$B$366,C2326)</f>
        <v>8.1448598130841123</v>
      </c>
      <c r="J2326" s="86">
        <f>SUMIFS('Wind Proxy'!$H$8:$H$19,'Wind Proxy'!$A$8:$A$19,Estimator!$B$4,'Wind Proxy'!$B$8:$B$19,C2326)</f>
        <v>0</v>
      </c>
    </row>
    <row r="2327" spans="1:10" ht="14.4">
      <c r="A2327" s="84">
        <v>47978</v>
      </c>
      <c r="B2327" s="85">
        <v>2031</v>
      </c>
      <c r="C2327" s="85">
        <v>5</v>
      </c>
      <c r="D2327" s="85" t="s">
        <v>65</v>
      </c>
      <c r="E2327" s="85">
        <v>10</v>
      </c>
      <c r="F2327" s="85">
        <v>6</v>
      </c>
      <c r="G2327" s="85">
        <f>--(F2327&lt;=Estimator!$B$7)</f>
        <v>0</v>
      </c>
      <c r="H2327" s="86">
        <f>SUMIFS('Climate Data'!$G$7:$G$366,'Climate Data'!$A$7:$A$366,Estimator!$B$4,'Climate Data'!$B$7:$B$366,C2327)</f>
        <v>0.23010752688172045</v>
      </c>
      <c r="I2327" s="87">
        <f>SUMIFS('Climate Data'!$H$7:$H$366,'Climate Data'!$A$7:$A$366,Estimator!$B$4,'Climate Data'!$B$7:$B$366,C2327)</f>
        <v>8.1448598130841123</v>
      </c>
      <c r="J2327" s="86">
        <f>SUMIFS('Wind Proxy'!$H$8:$H$19,'Wind Proxy'!$A$8:$A$19,Estimator!$B$4,'Wind Proxy'!$B$8:$B$19,C2327)</f>
        <v>0</v>
      </c>
    </row>
    <row r="2328" spans="1:10" ht="14.4">
      <c r="A2328" s="84">
        <v>47979</v>
      </c>
      <c r="B2328" s="85">
        <v>2031</v>
      </c>
      <c r="C2328" s="85">
        <v>5</v>
      </c>
      <c r="D2328" s="85" t="s">
        <v>65</v>
      </c>
      <c r="E2328" s="85">
        <v>11</v>
      </c>
      <c r="F2328" s="85">
        <v>7</v>
      </c>
      <c r="G2328" s="85">
        <f>--(F2328&lt;=Estimator!$B$7)</f>
        <v>0</v>
      </c>
      <c r="H2328" s="86">
        <f>SUMIFS('Climate Data'!$G$7:$G$366,'Climate Data'!$A$7:$A$366,Estimator!$B$4,'Climate Data'!$B$7:$B$366,C2328)</f>
        <v>0.23010752688172045</v>
      </c>
      <c r="I2328" s="87">
        <f>SUMIFS('Climate Data'!$H$7:$H$366,'Climate Data'!$A$7:$A$366,Estimator!$B$4,'Climate Data'!$B$7:$B$366,C2328)</f>
        <v>8.1448598130841123</v>
      </c>
      <c r="J2328" s="86">
        <f>SUMIFS('Wind Proxy'!$H$8:$H$19,'Wind Proxy'!$A$8:$A$19,Estimator!$B$4,'Wind Proxy'!$B$8:$B$19,C2328)</f>
        <v>0</v>
      </c>
    </row>
    <row r="2329" spans="1:10" ht="14.4">
      <c r="A2329" s="84">
        <v>47980</v>
      </c>
      <c r="B2329" s="85">
        <v>2031</v>
      </c>
      <c r="C2329" s="85">
        <v>5</v>
      </c>
      <c r="D2329" s="85" t="s">
        <v>65</v>
      </c>
      <c r="E2329" s="85">
        <v>12</v>
      </c>
      <c r="F2329" s="85">
        <v>1</v>
      </c>
      <c r="G2329" s="85">
        <f>--(F2329&lt;=Estimator!$B$7)</f>
        <v>1</v>
      </c>
      <c r="H2329" s="86">
        <f>SUMIFS('Climate Data'!$G$7:$G$366,'Climate Data'!$A$7:$A$366,Estimator!$B$4,'Climate Data'!$B$7:$B$366,C2329)</f>
        <v>0.23010752688172045</v>
      </c>
      <c r="I2329" s="87">
        <f>SUMIFS('Climate Data'!$H$7:$H$366,'Climate Data'!$A$7:$A$366,Estimator!$B$4,'Climate Data'!$B$7:$B$366,C2329)</f>
        <v>8.1448598130841123</v>
      </c>
      <c r="J2329" s="86">
        <f>SUMIFS('Wind Proxy'!$H$8:$H$19,'Wind Proxy'!$A$8:$A$19,Estimator!$B$4,'Wind Proxy'!$B$8:$B$19,C2329)</f>
        <v>0</v>
      </c>
    </row>
    <row r="2330" spans="1:10" ht="14.4">
      <c r="A2330" s="84">
        <v>47981</v>
      </c>
      <c r="B2330" s="85">
        <v>2031</v>
      </c>
      <c r="C2330" s="85">
        <v>5</v>
      </c>
      <c r="D2330" s="85" t="s">
        <v>65</v>
      </c>
      <c r="E2330" s="85">
        <v>13</v>
      </c>
      <c r="F2330" s="85">
        <v>2</v>
      </c>
      <c r="G2330" s="85">
        <f>--(F2330&lt;=Estimator!$B$7)</f>
        <v>1</v>
      </c>
      <c r="H2330" s="86">
        <f>SUMIFS('Climate Data'!$G$7:$G$366,'Climate Data'!$A$7:$A$366,Estimator!$B$4,'Climate Data'!$B$7:$B$366,C2330)</f>
        <v>0.23010752688172045</v>
      </c>
      <c r="I2330" s="87">
        <f>SUMIFS('Climate Data'!$H$7:$H$366,'Climate Data'!$A$7:$A$366,Estimator!$B$4,'Climate Data'!$B$7:$B$366,C2330)</f>
        <v>8.1448598130841123</v>
      </c>
      <c r="J2330" s="86">
        <f>SUMIFS('Wind Proxy'!$H$8:$H$19,'Wind Proxy'!$A$8:$A$19,Estimator!$B$4,'Wind Proxy'!$B$8:$B$19,C2330)</f>
        <v>0</v>
      </c>
    </row>
    <row r="2331" spans="1:10" ht="14.4">
      <c r="A2331" s="84">
        <v>47982</v>
      </c>
      <c r="B2331" s="85">
        <v>2031</v>
      </c>
      <c r="C2331" s="85">
        <v>5</v>
      </c>
      <c r="D2331" s="85" t="s">
        <v>65</v>
      </c>
      <c r="E2331" s="85">
        <v>14</v>
      </c>
      <c r="F2331" s="85">
        <v>3</v>
      </c>
      <c r="G2331" s="85">
        <f>--(F2331&lt;=Estimator!$B$7)</f>
        <v>1</v>
      </c>
      <c r="H2331" s="86">
        <f>SUMIFS('Climate Data'!$G$7:$G$366,'Climate Data'!$A$7:$A$366,Estimator!$B$4,'Climate Data'!$B$7:$B$366,C2331)</f>
        <v>0.23010752688172045</v>
      </c>
      <c r="I2331" s="87">
        <f>SUMIFS('Climate Data'!$H$7:$H$366,'Climate Data'!$A$7:$A$366,Estimator!$B$4,'Climate Data'!$B$7:$B$366,C2331)</f>
        <v>8.1448598130841123</v>
      </c>
      <c r="J2331" s="86">
        <f>SUMIFS('Wind Proxy'!$H$8:$H$19,'Wind Proxy'!$A$8:$A$19,Estimator!$B$4,'Wind Proxy'!$B$8:$B$19,C2331)</f>
        <v>0</v>
      </c>
    </row>
    <row r="2332" spans="1:10" ht="14.4">
      <c r="A2332" s="84">
        <v>47983</v>
      </c>
      <c r="B2332" s="85">
        <v>2031</v>
      </c>
      <c r="C2332" s="85">
        <v>5</v>
      </c>
      <c r="D2332" s="85" t="s">
        <v>65</v>
      </c>
      <c r="E2332" s="85">
        <v>15</v>
      </c>
      <c r="F2332" s="85">
        <v>4</v>
      </c>
      <c r="G2332" s="85">
        <f>--(F2332&lt;=Estimator!$B$7)</f>
        <v>1</v>
      </c>
      <c r="H2332" s="86">
        <f>SUMIFS('Climate Data'!$G$7:$G$366,'Climate Data'!$A$7:$A$366,Estimator!$B$4,'Climate Data'!$B$7:$B$366,C2332)</f>
        <v>0.23010752688172045</v>
      </c>
      <c r="I2332" s="87">
        <f>SUMIFS('Climate Data'!$H$7:$H$366,'Climate Data'!$A$7:$A$366,Estimator!$B$4,'Climate Data'!$B$7:$B$366,C2332)</f>
        <v>8.1448598130841123</v>
      </c>
      <c r="J2332" s="86">
        <f>SUMIFS('Wind Proxy'!$H$8:$H$19,'Wind Proxy'!$A$8:$A$19,Estimator!$B$4,'Wind Proxy'!$B$8:$B$19,C2332)</f>
        <v>0</v>
      </c>
    </row>
    <row r="2333" spans="1:10" ht="14.4">
      <c r="A2333" s="84">
        <v>47984</v>
      </c>
      <c r="B2333" s="85">
        <v>2031</v>
      </c>
      <c r="C2333" s="85">
        <v>5</v>
      </c>
      <c r="D2333" s="85" t="s">
        <v>65</v>
      </c>
      <c r="E2333" s="85">
        <v>16</v>
      </c>
      <c r="F2333" s="85">
        <v>5</v>
      </c>
      <c r="G2333" s="85">
        <f>--(F2333&lt;=Estimator!$B$7)</f>
        <v>1</v>
      </c>
      <c r="H2333" s="86">
        <f>SUMIFS('Climate Data'!$G$7:$G$366,'Climate Data'!$A$7:$A$366,Estimator!$B$4,'Climate Data'!$B$7:$B$366,C2333)</f>
        <v>0.23010752688172045</v>
      </c>
      <c r="I2333" s="87">
        <f>SUMIFS('Climate Data'!$H$7:$H$366,'Climate Data'!$A$7:$A$366,Estimator!$B$4,'Climate Data'!$B$7:$B$366,C2333)</f>
        <v>8.1448598130841123</v>
      </c>
      <c r="J2333" s="86">
        <f>SUMIFS('Wind Proxy'!$H$8:$H$19,'Wind Proxy'!$A$8:$A$19,Estimator!$B$4,'Wind Proxy'!$B$8:$B$19,C2333)</f>
        <v>0</v>
      </c>
    </row>
    <row r="2334" spans="1:10" ht="14.4">
      <c r="A2334" s="84">
        <v>47985</v>
      </c>
      <c r="B2334" s="85">
        <v>2031</v>
      </c>
      <c r="C2334" s="85">
        <v>5</v>
      </c>
      <c r="D2334" s="85" t="s">
        <v>65</v>
      </c>
      <c r="E2334" s="85">
        <v>17</v>
      </c>
      <c r="F2334" s="85">
        <v>6</v>
      </c>
      <c r="G2334" s="85">
        <f>--(F2334&lt;=Estimator!$B$7)</f>
        <v>0</v>
      </c>
      <c r="H2334" s="86">
        <f>SUMIFS('Climate Data'!$G$7:$G$366,'Climate Data'!$A$7:$A$366,Estimator!$B$4,'Climate Data'!$B$7:$B$366,C2334)</f>
        <v>0.23010752688172045</v>
      </c>
      <c r="I2334" s="87">
        <f>SUMIFS('Climate Data'!$H$7:$H$366,'Climate Data'!$A$7:$A$366,Estimator!$B$4,'Climate Data'!$B$7:$B$366,C2334)</f>
        <v>8.1448598130841123</v>
      </c>
      <c r="J2334" s="86">
        <f>SUMIFS('Wind Proxy'!$H$8:$H$19,'Wind Proxy'!$A$8:$A$19,Estimator!$B$4,'Wind Proxy'!$B$8:$B$19,C2334)</f>
        <v>0</v>
      </c>
    </row>
    <row r="2335" spans="1:10" ht="14.4">
      <c r="A2335" s="84">
        <v>47986</v>
      </c>
      <c r="B2335" s="85">
        <v>2031</v>
      </c>
      <c r="C2335" s="85">
        <v>5</v>
      </c>
      <c r="D2335" s="85" t="s">
        <v>65</v>
      </c>
      <c r="E2335" s="85">
        <v>18</v>
      </c>
      <c r="F2335" s="85">
        <v>7</v>
      </c>
      <c r="G2335" s="85">
        <f>--(F2335&lt;=Estimator!$B$7)</f>
        <v>0</v>
      </c>
      <c r="H2335" s="86">
        <f>SUMIFS('Climate Data'!$G$7:$G$366,'Climate Data'!$A$7:$A$366,Estimator!$B$4,'Climate Data'!$B$7:$B$366,C2335)</f>
        <v>0.23010752688172045</v>
      </c>
      <c r="I2335" s="87">
        <f>SUMIFS('Climate Data'!$H$7:$H$366,'Climate Data'!$A$7:$A$366,Estimator!$B$4,'Climate Data'!$B$7:$B$366,C2335)</f>
        <v>8.1448598130841123</v>
      </c>
      <c r="J2335" s="86">
        <f>SUMIFS('Wind Proxy'!$H$8:$H$19,'Wind Proxy'!$A$8:$A$19,Estimator!$B$4,'Wind Proxy'!$B$8:$B$19,C2335)</f>
        <v>0</v>
      </c>
    </row>
    <row r="2336" spans="1:10" ht="14.4">
      <c r="A2336" s="84">
        <v>47987</v>
      </c>
      <c r="B2336" s="85">
        <v>2031</v>
      </c>
      <c r="C2336" s="85">
        <v>5</v>
      </c>
      <c r="D2336" s="85" t="s">
        <v>65</v>
      </c>
      <c r="E2336" s="85">
        <v>19</v>
      </c>
      <c r="F2336" s="85">
        <v>1</v>
      </c>
      <c r="G2336" s="85">
        <f>--(F2336&lt;=Estimator!$B$7)</f>
        <v>1</v>
      </c>
      <c r="H2336" s="86">
        <f>SUMIFS('Climate Data'!$G$7:$G$366,'Climate Data'!$A$7:$A$366,Estimator!$B$4,'Climate Data'!$B$7:$B$366,C2336)</f>
        <v>0.23010752688172045</v>
      </c>
      <c r="I2336" s="87">
        <f>SUMIFS('Climate Data'!$H$7:$H$366,'Climate Data'!$A$7:$A$366,Estimator!$B$4,'Climate Data'!$B$7:$B$366,C2336)</f>
        <v>8.1448598130841123</v>
      </c>
      <c r="J2336" s="86">
        <f>SUMIFS('Wind Proxy'!$H$8:$H$19,'Wind Proxy'!$A$8:$A$19,Estimator!$B$4,'Wind Proxy'!$B$8:$B$19,C2336)</f>
        <v>0</v>
      </c>
    </row>
    <row r="2337" spans="1:10" ht="14.4">
      <c r="A2337" s="84">
        <v>47988</v>
      </c>
      <c r="B2337" s="85">
        <v>2031</v>
      </c>
      <c r="C2337" s="85">
        <v>5</v>
      </c>
      <c r="D2337" s="85" t="s">
        <v>65</v>
      </c>
      <c r="E2337" s="85">
        <v>20</v>
      </c>
      <c r="F2337" s="85">
        <v>2</v>
      </c>
      <c r="G2337" s="85">
        <f>--(F2337&lt;=Estimator!$B$7)</f>
        <v>1</v>
      </c>
      <c r="H2337" s="86">
        <f>SUMIFS('Climate Data'!$G$7:$G$366,'Climate Data'!$A$7:$A$366,Estimator!$B$4,'Climate Data'!$B$7:$B$366,C2337)</f>
        <v>0.23010752688172045</v>
      </c>
      <c r="I2337" s="87">
        <f>SUMIFS('Climate Data'!$H$7:$H$366,'Climate Data'!$A$7:$A$366,Estimator!$B$4,'Climate Data'!$B$7:$B$366,C2337)</f>
        <v>8.1448598130841123</v>
      </c>
      <c r="J2337" s="86">
        <f>SUMIFS('Wind Proxy'!$H$8:$H$19,'Wind Proxy'!$A$8:$A$19,Estimator!$B$4,'Wind Proxy'!$B$8:$B$19,C2337)</f>
        <v>0</v>
      </c>
    </row>
    <row r="2338" spans="1:10" ht="14.4">
      <c r="A2338" s="84">
        <v>47989</v>
      </c>
      <c r="B2338" s="85">
        <v>2031</v>
      </c>
      <c r="C2338" s="85">
        <v>5</v>
      </c>
      <c r="D2338" s="85" t="s">
        <v>65</v>
      </c>
      <c r="E2338" s="85">
        <v>21</v>
      </c>
      <c r="F2338" s="85">
        <v>3</v>
      </c>
      <c r="G2338" s="85">
        <f>--(F2338&lt;=Estimator!$B$7)</f>
        <v>1</v>
      </c>
      <c r="H2338" s="86">
        <f>SUMIFS('Climate Data'!$G$7:$G$366,'Climate Data'!$A$7:$A$366,Estimator!$B$4,'Climate Data'!$B$7:$B$366,C2338)</f>
        <v>0.23010752688172045</v>
      </c>
      <c r="I2338" s="87">
        <f>SUMIFS('Climate Data'!$H$7:$H$366,'Climate Data'!$A$7:$A$366,Estimator!$B$4,'Climate Data'!$B$7:$B$366,C2338)</f>
        <v>8.1448598130841123</v>
      </c>
      <c r="J2338" s="86">
        <f>SUMIFS('Wind Proxy'!$H$8:$H$19,'Wind Proxy'!$A$8:$A$19,Estimator!$B$4,'Wind Proxy'!$B$8:$B$19,C2338)</f>
        <v>0</v>
      </c>
    </row>
    <row r="2339" spans="1:10" ht="14.4">
      <c r="A2339" s="84">
        <v>47990</v>
      </c>
      <c r="B2339" s="85">
        <v>2031</v>
      </c>
      <c r="C2339" s="85">
        <v>5</v>
      </c>
      <c r="D2339" s="85" t="s">
        <v>65</v>
      </c>
      <c r="E2339" s="85">
        <v>22</v>
      </c>
      <c r="F2339" s="85">
        <v>4</v>
      </c>
      <c r="G2339" s="85">
        <f>--(F2339&lt;=Estimator!$B$7)</f>
        <v>1</v>
      </c>
      <c r="H2339" s="86">
        <f>SUMIFS('Climate Data'!$G$7:$G$366,'Climate Data'!$A$7:$A$366,Estimator!$B$4,'Climate Data'!$B$7:$B$366,C2339)</f>
        <v>0.23010752688172045</v>
      </c>
      <c r="I2339" s="87">
        <f>SUMIFS('Climate Data'!$H$7:$H$366,'Climate Data'!$A$7:$A$366,Estimator!$B$4,'Climate Data'!$B$7:$B$366,C2339)</f>
        <v>8.1448598130841123</v>
      </c>
      <c r="J2339" s="86">
        <f>SUMIFS('Wind Proxy'!$H$8:$H$19,'Wind Proxy'!$A$8:$A$19,Estimator!$B$4,'Wind Proxy'!$B$8:$B$19,C2339)</f>
        <v>0</v>
      </c>
    </row>
    <row r="2340" spans="1:10" ht="14.4">
      <c r="A2340" s="84">
        <v>47991</v>
      </c>
      <c r="B2340" s="85">
        <v>2031</v>
      </c>
      <c r="C2340" s="85">
        <v>5</v>
      </c>
      <c r="D2340" s="85" t="s">
        <v>65</v>
      </c>
      <c r="E2340" s="85">
        <v>23</v>
      </c>
      <c r="F2340" s="85">
        <v>5</v>
      </c>
      <c r="G2340" s="85">
        <f>--(F2340&lt;=Estimator!$B$7)</f>
        <v>1</v>
      </c>
      <c r="H2340" s="86">
        <f>SUMIFS('Climate Data'!$G$7:$G$366,'Climate Data'!$A$7:$A$366,Estimator!$B$4,'Climate Data'!$B$7:$B$366,C2340)</f>
        <v>0.23010752688172045</v>
      </c>
      <c r="I2340" s="87">
        <f>SUMIFS('Climate Data'!$H$7:$H$366,'Climate Data'!$A$7:$A$366,Estimator!$B$4,'Climate Data'!$B$7:$B$366,C2340)</f>
        <v>8.1448598130841123</v>
      </c>
      <c r="J2340" s="86">
        <f>SUMIFS('Wind Proxy'!$H$8:$H$19,'Wind Proxy'!$A$8:$A$19,Estimator!$B$4,'Wind Proxy'!$B$8:$B$19,C2340)</f>
        <v>0</v>
      </c>
    </row>
    <row r="2341" spans="1:10" ht="14.4">
      <c r="A2341" s="84">
        <v>47992</v>
      </c>
      <c r="B2341" s="85">
        <v>2031</v>
      </c>
      <c r="C2341" s="85">
        <v>5</v>
      </c>
      <c r="D2341" s="85" t="s">
        <v>65</v>
      </c>
      <c r="E2341" s="85">
        <v>24</v>
      </c>
      <c r="F2341" s="85">
        <v>6</v>
      </c>
      <c r="G2341" s="85">
        <f>--(F2341&lt;=Estimator!$B$7)</f>
        <v>0</v>
      </c>
      <c r="H2341" s="86">
        <f>SUMIFS('Climate Data'!$G$7:$G$366,'Climate Data'!$A$7:$A$366,Estimator!$B$4,'Climate Data'!$B$7:$B$366,C2341)</f>
        <v>0.23010752688172045</v>
      </c>
      <c r="I2341" s="87">
        <f>SUMIFS('Climate Data'!$H$7:$H$366,'Climate Data'!$A$7:$A$366,Estimator!$B$4,'Climate Data'!$B$7:$B$366,C2341)</f>
        <v>8.1448598130841123</v>
      </c>
      <c r="J2341" s="86">
        <f>SUMIFS('Wind Proxy'!$H$8:$H$19,'Wind Proxy'!$A$8:$A$19,Estimator!$B$4,'Wind Proxy'!$B$8:$B$19,C2341)</f>
        <v>0</v>
      </c>
    </row>
    <row r="2342" spans="1:10" ht="14.4">
      <c r="A2342" s="84">
        <v>47993</v>
      </c>
      <c r="B2342" s="85">
        <v>2031</v>
      </c>
      <c r="C2342" s="85">
        <v>5</v>
      </c>
      <c r="D2342" s="85" t="s">
        <v>65</v>
      </c>
      <c r="E2342" s="85">
        <v>25</v>
      </c>
      <c r="F2342" s="85">
        <v>7</v>
      </c>
      <c r="G2342" s="85">
        <f>--(F2342&lt;=Estimator!$B$7)</f>
        <v>0</v>
      </c>
      <c r="H2342" s="86">
        <f>SUMIFS('Climate Data'!$G$7:$G$366,'Climate Data'!$A$7:$A$366,Estimator!$B$4,'Climate Data'!$B$7:$B$366,C2342)</f>
        <v>0.23010752688172045</v>
      </c>
      <c r="I2342" s="87">
        <f>SUMIFS('Climate Data'!$H$7:$H$366,'Climate Data'!$A$7:$A$366,Estimator!$B$4,'Climate Data'!$B$7:$B$366,C2342)</f>
        <v>8.1448598130841123</v>
      </c>
      <c r="J2342" s="86">
        <f>SUMIFS('Wind Proxy'!$H$8:$H$19,'Wind Proxy'!$A$8:$A$19,Estimator!$B$4,'Wind Proxy'!$B$8:$B$19,C2342)</f>
        <v>0</v>
      </c>
    </row>
    <row r="2343" spans="1:10" ht="14.4">
      <c r="A2343" s="84">
        <v>47994</v>
      </c>
      <c r="B2343" s="85">
        <v>2031</v>
      </c>
      <c r="C2343" s="85">
        <v>5</v>
      </c>
      <c r="D2343" s="85" t="s">
        <v>65</v>
      </c>
      <c r="E2343" s="85">
        <v>26</v>
      </c>
      <c r="F2343" s="85">
        <v>1</v>
      </c>
      <c r="G2343" s="85">
        <f>--(F2343&lt;=Estimator!$B$7)</f>
        <v>1</v>
      </c>
      <c r="H2343" s="86">
        <f>SUMIFS('Climate Data'!$G$7:$G$366,'Climate Data'!$A$7:$A$366,Estimator!$B$4,'Climate Data'!$B$7:$B$366,C2343)</f>
        <v>0.23010752688172045</v>
      </c>
      <c r="I2343" s="87">
        <f>SUMIFS('Climate Data'!$H$7:$H$366,'Climate Data'!$A$7:$A$366,Estimator!$B$4,'Climate Data'!$B$7:$B$366,C2343)</f>
        <v>8.1448598130841123</v>
      </c>
      <c r="J2343" s="86">
        <f>SUMIFS('Wind Proxy'!$H$8:$H$19,'Wind Proxy'!$A$8:$A$19,Estimator!$B$4,'Wind Proxy'!$B$8:$B$19,C2343)</f>
        <v>0</v>
      </c>
    </row>
    <row r="2344" spans="1:10" ht="14.4">
      <c r="A2344" s="84">
        <v>47995</v>
      </c>
      <c r="B2344" s="85">
        <v>2031</v>
      </c>
      <c r="C2344" s="85">
        <v>5</v>
      </c>
      <c r="D2344" s="85" t="s">
        <v>65</v>
      </c>
      <c r="E2344" s="85">
        <v>27</v>
      </c>
      <c r="F2344" s="85">
        <v>2</v>
      </c>
      <c r="G2344" s="85">
        <f>--(F2344&lt;=Estimator!$B$7)</f>
        <v>1</v>
      </c>
      <c r="H2344" s="86">
        <f>SUMIFS('Climate Data'!$G$7:$G$366,'Climate Data'!$A$7:$A$366,Estimator!$B$4,'Climate Data'!$B$7:$B$366,C2344)</f>
        <v>0.23010752688172045</v>
      </c>
      <c r="I2344" s="87">
        <f>SUMIFS('Climate Data'!$H$7:$H$366,'Climate Data'!$A$7:$A$366,Estimator!$B$4,'Climate Data'!$B$7:$B$366,C2344)</f>
        <v>8.1448598130841123</v>
      </c>
      <c r="J2344" s="86">
        <f>SUMIFS('Wind Proxy'!$H$8:$H$19,'Wind Proxy'!$A$8:$A$19,Estimator!$B$4,'Wind Proxy'!$B$8:$B$19,C2344)</f>
        <v>0</v>
      </c>
    </row>
    <row r="2345" spans="1:10" ht="14.4">
      <c r="A2345" s="84">
        <v>47996</v>
      </c>
      <c r="B2345" s="85">
        <v>2031</v>
      </c>
      <c r="C2345" s="85">
        <v>5</v>
      </c>
      <c r="D2345" s="85" t="s">
        <v>65</v>
      </c>
      <c r="E2345" s="85">
        <v>28</v>
      </c>
      <c r="F2345" s="85">
        <v>3</v>
      </c>
      <c r="G2345" s="85">
        <f>--(F2345&lt;=Estimator!$B$7)</f>
        <v>1</v>
      </c>
      <c r="H2345" s="86">
        <f>SUMIFS('Climate Data'!$G$7:$G$366,'Climate Data'!$A$7:$A$366,Estimator!$B$4,'Climate Data'!$B$7:$B$366,C2345)</f>
        <v>0.23010752688172045</v>
      </c>
      <c r="I2345" s="87">
        <f>SUMIFS('Climate Data'!$H$7:$H$366,'Climate Data'!$A$7:$A$366,Estimator!$B$4,'Climate Data'!$B$7:$B$366,C2345)</f>
        <v>8.1448598130841123</v>
      </c>
      <c r="J2345" s="86">
        <f>SUMIFS('Wind Proxy'!$H$8:$H$19,'Wind Proxy'!$A$8:$A$19,Estimator!$B$4,'Wind Proxy'!$B$8:$B$19,C2345)</f>
        <v>0</v>
      </c>
    </row>
    <row r="2346" spans="1:10" ht="14.4">
      <c r="A2346" s="84">
        <v>47997</v>
      </c>
      <c r="B2346" s="85">
        <v>2031</v>
      </c>
      <c r="C2346" s="85">
        <v>5</v>
      </c>
      <c r="D2346" s="85" t="s">
        <v>65</v>
      </c>
      <c r="E2346" s="85">
        <v>29</v>
      </c>
      <c r="F2346" s="85">
        <v>4</v>
      </c>
      <c r="G2346" s="85">
        <f>--(F2346&lt;=Estimator!$B$7)</f>
        <v>1</v>
      </c>
      <c r="H2346" s="86">
        <f>SUMIFS('Climate Data'!$G$7:$G$366,'Climate Data'!$A$7:$A$366,Estimator!$B$4,'Climate Data'!$B$7:$B$366,C2346)</f>
        <v>0.23010752688172045</v>
      </c>
      <c r="I2346" s="87">
        <f>SUMIFS('Climate Data'!$H$7:$H$366,'Climate Data'!$A$7:$A$366,Estimator!$B$4,'Climate Data'!$B$7:$B$366,C2346)</f>
        <v>8.1448598130841123</v>
      </c>
      <c r="J2346" s="86">
        <f>SUMIFS('Wind Proxy'!$H$8:$H$19,'Wind Proxy'!$A$8:$A$19,Estimator!$B$4,'Wind Proxy'!$B$8:$B$19,C2346)</f>
        <v>0</v>
      </c>
    </row>
    <row r="2347" spans="1:10" ht="14.4">
      <c r="A2347" s="84">
        <v>47998</v>
      </c>
      <c r="B2347" s="85">
        <v>2031</v>
      </c>
      <c r="C2347" s="85">
        <v>5</v>
      </c>
      <c r="D2347" s="85" t="s">
        <v>65</v>
      </c>
      <c r="E2347" s="85">
        <v>30</v>
      </c>
      <c r="F2347" s="85">
        <v>5</v>
      </c>
      <c r="G2347" s="85">
        <f>--(F2347&lt;=Estimator!$B$7)</f>
        <v>1</v>
      </c>
      <c r="H2347" s="86">
        <f>SUMIFS('Climate Data'!$G$7:$G$366,'Climate Data'!$A$7:$A$366,Estimator!$B$4,'Climate Data'!$B$7:$B$366,C2347)</f>
        <v>0.23010752688172045</v>
      </c>
      <c r="I2347" s="87">
        <f>SUMIFS('Climate Data'!$H$7:$H$366,'Climate Data'!$A$7:$A$366,Estimator!$B$4,'Climate Data'!$B$7:$B$366,C2347)</f>
        <v>8.1448598130841123</v>
      </c>
      <c r="J2347" s="86">
        <f>SUMIFS('Wind Proxy'!$H$8:$H$19,'Wind Proxy'!$A$8:$A$19,Estimator!$B$4,'Wind Proxy'!$B$8:$B$19,C2347)</f>
        <v>0</v>
      </c>
    </row>
    <row r="2348" spans="1:10" ht="14.4">
      <c r="A2348" s="84">
        <v>47999</v>
      </c>
      <c r="B2348" s="85">
        <v>2031</v>
      </c>
      <c r="C2348" s="85">
        <v>5</v>
      </c>
      <c r="D2348" s="85" t="s">
        <v>65</v>
      </c>
      <c r="E2348" s="85">
        <v>31</v>
      </c>
      <c r="F2348" s="85">
        <v>6</v>
      </c>
      <c r="G2348" s="85">
        <f>--(F2348&lt;=Estimator!$B$7)</f>
        <v>0</v>
      </c>
      <c r="H2348" s="86">
        <f>SUMIFS('Climate Data'!$G$7:$G$366,'Climate Data'!$A$7:$A$366,Estimator!$B$4,'Climate Data'!$B$7:$B$366,C2348)</f>
        <v>0.23010752688172045</v>
      </c>
      <c r="I2348" s="87">
        <f>SUMIFS('Climate Data'!$H$7:$H$366,'Climate Data'!$A$7:$A$366,Estimator!$B$4,'Climate Data'!$B$7:$B$366,C2348)</f>
        <v>8.1448598130841123</v>
      </c>
      <c r="J2348" s="86">
        <f>SUMIFS('Wind Proxy'!$H$8:$H$19,'Wind Proxy'!$A$8:$A$19,Estimator!$B$4,'Wind Proxy'!$B$8:$B$19,C2348)</f>
        <v>0</v>
      </c>
    </row>
    <row r="2349" spans="1:10" ht="14.4">
      <c r="A2349" s="84">
        <v>48000</v>
      </c>
      <c r="B2349" s="85">
        <v>2031</v>
      </c>
      <c r="C2349" s="85">
        <v>6</v>
      </c>
      <c r="D2349" s="85" t="s">
        <v>68</v>
      </c>
      <c r="E2349" s="85">
        <v>1</v>
      </c>
      <c r="F2349" s="85">
        <v>7</v>
      </c>
      <c r="G2349" s="85">
        <f>--(F2349&lt;=Estimator!$B$7)</f>
        <v>0</v>
      </c>
      <c r="H2349" s="86">
        <f>SUMIFS('Climate Data'!$G$7:$G$366,'Climate Data'!$A$7:$A$366,Estimator!$B$4,'Climate Data'!$B$7:$B$366,C2349)</f>
        <v>0.28666666666666668</v>
      </c>
      <c r="I2349" s="87">
        <f>SUMIFS('Climate Data'!$H$7:$H$366,'Climate Data'!$A$7:$A$366,Estimator!$B$4,'Climate Data'!$B$7:$B$366,C2349)</f>
        <v>7.941860465116279</v>
      </c>
      <c r="J2349" s="86">
        <f>SUMIFS('Wind Proxy'!$H$8:$H$19,'Wind Proxy'!$A$8:$A$19,Estimator!$B$4,'Wind Proxy'!$B$8:$B$19,C2349)</f>
        <v>0</v>
      </c>
    </row>
    <row r="2350" spans="1:10" ht="14.4">
      <c r="A2350" s="84">
        <v>48001</v>
      </c>
      <c r="B2350" s="85">
        <v>2031</v>
      </c>
      <c r="C2350" s="85">
        <v>6</v>
      </c>
      <c r="D2350" s="85" t="s">
        <v>68</v>
      </c>
      <c r="E2350" s="85">
        <v>2</v>
      </c>
      <c r="F2350" s="85">
        <v>1</v>
      </c>
      <c r="G2350" s="85">
        <f>--(F2350&lt;=Estimator!$B$7)</f>
        <v>1</v>
      </c>
      <c r="H2350" s="86">
        <f>SUMIFS('Climate Data'!$G$7:$G$366,'Climate Data'!$A$7:$A$366,Estimator!$B$4,'Climate Data'!$B$7:$B$366,C2350)</f>
        <v>0.28666666666666668</v>
      </c>
      <c r="I2350" s="87">
        <f>SUMIFS('Climate Data'!$H$7:$H$366,'Climate Data'!$A$7:$A$366,Estimator!$B$4,'Climate Data'!$B$7:$B$366,C2350)</f>
        <v>7.941860465116279</v>
      </c>
      <c r="J2350" s="86">
        <f>SUMIFS('Wind Proxy'!$H$8:$H$19,'Wind Proxy'!$A$8:$A$19,Estimator!$B$4,'Wind Proxy'!$B$8:$B$19,C2350)</f>
        <v>0</v>
      </c>
    </row>
    <row r="2351" spans="1:10" ht="14.4">
      <c r="A2351" s="84">
        <v>48002</v>
      </c>
      <c r="B2351" s="85">
        <v>2031</v>
      </c>
      <c r="C2351" s="85">
        <v>6</v>
      </c>
      <c r="D2351" s="85" t="s">
        <v>68</v>
      </c>
      <c r="E2351" s="85">
        <v>3</v>
      </c>
      <c r="F2351" s="85">
        <v>2</v>
      </c>
      <c r="G2351" s="85">
        <f>--(F2351&lt;=Estimator!$B$7)</f>
        <v>1</v>
      </c>
      <c r="H2351" s="86">
        <f>SUMIFS('Climate Data'!$G$7:$G$366,'Climate Data'!$A$7:$A$366,Estimator!$B$4,'Climate Data'!$B$7:$B$366,C2351)</f>
        <v>0.28666666666666668</v>
      </c>
      <c r="I2351" s="87">
        <f>SUMIFS('Climate Data'!$H$7:$H$366,'Climate Data'!$A$7:$A$366,Estimator!$B$4,'Climate Data'!$B$7:$B$366,C2351)</f>
        <v>7.941860465116279</v>
      </c>
      <c r="J2351" s="86">
        <f>SUMIFS('Wind Proxy'!$H$8:$H$19,'Wind Proxy'!$A$8:$A$19,Estimator!$B$4,'Wind Proxy'!$B$8:$B$19,C2351)</f>
        <v>0</v>
      </c>
    </row>
    <row r="2352" spans="1:10" ht="14.4">
      <c r="A2352" s="84">
        <v>48003</v>
      </c>
      <c r="B2352" s="85">
        <v>2031</v>
      </c>
      <c r="C2352" s="85">
        <v>6</v>
      </c>
      <c r="D2352" s="85" t="s">
        <v>68</v>
      </c>
      <c r="E2352" s="85">
        <v>4</v>
      </c>
      <c r="F2352" s="85">
        <v>3</v>
      </c>
      <c r="G2352" s="85">
        <f>--(F2352&lt;=Estimator!$B$7)</f>
        <v>1</v>
      </c>
      <c r="H2352" s="86">
        <f>SUMIFS('Climate Data'!$G$7:$G$366,'Climate Data'!$A$7:$A$366,Estimator!$B$4,'Climate Data'!$B$7:$B$366,C2352)</f>
        <v>0.28666666666666668</v>
      </c>
      <c r="I2352" s="87">
        <f>SUMIFS('Climate Data'!$H$7:$H$366,'Climate Data'!$A$7:$A$366,Estimator!$B$4,'Climate Data'!$B$7:$B$366,C2352)</f>
        <v>7.941860465116279</v>
      </c>
      <c r="J2352" s="86">
        <f>SUMIFS('Wind Proxy'!$H$8:$H$19,'Wind Proxy'!$A$8:$A$19,Estimator!$B$4,'Wind Proxy'!$B$8:$B$19,C2352)</f>
        <v>0</v>
      </c>
    </row>
    <row r="2353" spans="1:10" ht="14.4">
      <c r="A2353" s="84">
        <v>48004</v>
      </c>
      <c r="B2353" s="85">
        <v>2031</v>
      </c>
      <c r="C2353" s="85">
        <v>6</v>
      </c>
      <c r="D2353" s="85" t="s">
        <v>68</v>
      </c>
      <c r="E2353" s="85">
        <v>5</v>
      </c>
      <c r="F2353" s="85">
        <v>4</v>
      </c>
      <c r="G2353" s="85">
        <f>--(F2353&lt;=Estimator!$B$7)</f>
        <v>1</v>
      </c>
      <c r="H2353" s="86">
        <f>SUMIFS('Climate Data'!$G$7:$G$366,'Climate Data'!$A$7:$A$366,Estimator!$B$4,'Climate Data'!$B$7:$B$366,C2353)</f>
        <v>0.28666666666666668</v>
      </c>
      <c r="I2353" s="87">
        <f>SUMIFS('Climate Data'!$H$7:$H$366,'Climate Data'!$A$7:$A$366,Estimator!$B$4,'Climate Data'!$B$7:$B$366,C2353)</f>
        <v>7.941860465116279</v>
      </c>
      <c r="J2353" s="86">
        <f>SUMIFS('Wind Proxy'!$H$8:$H$19,'Wind Proxy'!$A$8:$A$19,Estimator!$B$4,'Wind Proxy'!$B$8:$B$19,C2353)</f>
        <v>0</v>
      </c>
    </row>
    <row r="2354" spans="1:10" ht="14.4">
      <c r="A2354" s="84">
        <v>48005</v>
      </c>
      <c r="B2354" s="85">
        <v>2031</v>
      </c>
      <c r="C2354" s="85">
        <v>6</v>
      </c>
      <c r="D2354" s="85" t="s">
        <v>68</v>
      </c>
      <c r="E2354" s="85">
        <v>6</v>
      </c>
      <c r="F2354" s="85">
        <v>5</v>
      </c>
      <c r="G2354" s="85">
        <f>--(F2354&lt;=Estimator!$B$7)</f>
        <v>1</v>
      </c>
      <c r="H2354" s="86">
        <f>SUMIFS('Climate Data'!$G$7:$G$366,'Climate Data'!$A$7:$A$366,Estimator!$B$4,'Climate Data'!$B$7:$B$366,C2354)</f>
        <v>0.28666666666666668</v>
      </c>
      <c r="I2354" s="87">
        <f>SUMIFS('Climate Data'!$H$7:$H$366,'Climate Data'!$A$7:$A$366,Estimator!$B$4,'Climate Data'!$B$7:$B$366,C2354)</f>
        <v>7.941860465116279</v>
      </c>
      <c r="J2354" s="86">
        <f>SUMIFS('Wind Proxy'!$H$8:$H$19,'Wind Proxy'!$A$8:$A$19,Estimator!$B$4,'Wind Proxy'!$B$8:$B$19,C2354)</f>
        <v>0</v>
      </c>
    </row>
    <row r="2355" spans="1:10" ht="14.4">
      <c r="A2355" s="84">
        <v>48006</v>
      </c>
      <c r="B2355" s="85">
        <v>2031</v>
      </c>
      <c r="C2355" s="85">
        <v>6</v>
      </c>
      <c r="D2355" s="85" t="s">
        <v>68</v>
      </c>
      <c r="E2355" s="85">
        <v>7</v>
      </c>
      <c r="F2355" s="85">
        <v>6</v>
      </c>
      <c r="G2355" s="85">
        <f>--(F2355&lt;=Estimator!$B$7)</f>
        <v>0</v>
      </c>
      <c r="H2355" s="86">
        <f>SUMIFS('Climate Data'!$G$7:$G$366,'Climate Data'!$A$7:$A$366,Estimator!$B$4,'Climate Data'!$B$7:$B$366,C2355)</f>
        <v>0.28666666666666668</v>
      </c>
      <c r="I2355" s="87">
        <f>SUMIFS('Climate Data'!$H$7:$H$366,'Climate Data'!$A$7:$A$366,Estimator!$B$4,'Climate Data'!$B$7:$B$366,C2355)</f>
        <v>7.941860465116279</v>
      </c>
      <c r="J2355" s="86">
        <f>SUMIFS('Wind Proxy'!$H$8:$H$19,'Wind Proxy'!$A$8:$A$19,Estimator!$B$4,'Wind Proxy'!$B$8:$B$19,C2355)</f>
        <v>0</v>
      </c>
    </row>
    <row r="2356" spans="1:10" ht="14.4">
      <c r="A2356" s="84">
        <v>48007</v>
      </c>
      <c r="B2356" s="85">
        <v>2031</v>
      </c>
      <c r="C2356" s="85">
        <v>6</v>
      </c>
      <c r="D2356" s="85" t="s">
        <v>68</v>
      </c>
      <c r="E2356" s="85">
        <v>8</v>
      </c>
      <c r="F2356" s="85">
        <v>7</v>
      </c>
      <c r="G2356" s="85">
        <f>--(F2356&lt;=Estimator!$B$7)</f>
        <v>0</v>
      </c>
      <c r="H2356" s="86">
        <f>SUMIFS('Climate Data'!$G$7:$G$366,'Climate Data'!$A$7:$A$366,Estimator!$B$4,'Climate Data'!$B$7:$B$366,C2356)</f>
        <v>0.28666666666666668</v>
      </c>
      <c r="I2356" s="87">
        <f>SUMIFS('Climate Data'!$H$7:$H$366,'Climate Data'!$A$7:$A$366,Estimator!$B$4,'Climate Data'!$B$7:$B$366,C2356)</f>
        <v>7.941860465116279</v>
      </c>
      <c r="J2356" s="86">
        <f>SUMIFS('Wind Proxy'!$H$8:$H$19,'Wind Proxy'!$A$8:$A$19,Estimator!$B$4,'Wind Proxy'!$B$8:$B$19,C2356)</f>
        <v>0</v>
      </c>
    </row>
    <row r="2357" spans="1:10" ht="14.4">
      <c r="A2357" s="84">
        <v>48008</v>
      </c>
      <c r="B2357" s="85">
        <v>2031</v>
      </c>
      <c r="C2357" s="85">
        <v>6</v>
      </c>
      <c r="D2357" s="85" t="s">
        <v>68</v>
      </c>
      <c r="E2357" s="85">
        <v>9</v>
      </c>
      <c r="F2357" s="85">
        <v>1</v>
      </c>
      <c r="G2357" s="85">
        <f>--(F2357&lt;=Estimator!$B$7)</f>
        <v>1</v>
      </c>
      <c r="H2357" s="86">
        <f>SUMIFS('Climate Data'!$G$7:$G$366,'Climate Data'!$A$7:$A$366,Estimator!$B$4,'Climate Data'!$B$7:$B$366,C2357)</f>
        <v>0.28666666666666668</v>
      </c>
      <c r="I2357" s="87">
        <f>SUMIFS('Climate Data'!$H$7:$H$366,'Climate Data'!$A$7:$A$366,Estimator!$B$4,'Climate Data'!$B$7:$B$366,C2357)</f>
        <v>7.941860465116279</v>
      </c>
      <c r="J2357" s="86">
        <f>SUMIFS('Wind Proxy'!$H$8:$H$19,'Wind Proxy'!$A$8:$A$19,Estimator!$B$4,'Wind Proxy'!$B$8:$B$19,C2357)</f>
        <v>0</v>
      </c>
    </row>
    <row r="2358" spans="1:10" ht="14.4">
      <c r="A2358" s="84">
        <v>48009</v>
      </c>
      <c r="B2358" s="85">
        <v>2031</v>
      </c>
      <c r="C2358" s="85">
        <v>6</v>
      </c>
      <c r="D2358" s="85" t="s">
        <v>68</v>
      </c>
      <c r="E2358" s="85">
        <v>10</v>
      </c>
      <c r="F2358" s="85">
        <v>2</v>
      </c>
      <c r="G2358" s="85">
        <f>--(F2358&lt;=Estimator!$B$7)</f>
        <v>1</v>
      </c>
      <c r="H2358" s="86">
        <f>SUMIFS('Climate Data'!$G$7:$G$366,'Climate Data'!$A$7:$A$366,Estimator!$B$4,'Climate Data'!$B$7:$B$366,C2358)</f>
        <v>0.28666666666666668</v>
      </c>
      <c r="I2358" s="87">
        <f>SUMIFS('Climate Data'!$H$7:$H$366,'Climate Data'!$A$7:$A$366,Estimator!$B$4,'Climate Data'!$B$7:$B$366,C2358)</f>
        <v>7.941860465116279</v>
      </c>
      <c r="J2358" s="86">
        <f>SUMIFS('Wind Proxy'!$H$8:$H$19,'Wind Proxy'!$A$8:$A$19,Estimator!$B$4,'Wind Proxy'!$B$8:$B$19,C2358)</f>
        <v>0</v>
      </c>
    </row>
    <row r="2359" spans="1:10" ht="14.4">
      <c r="A2359" s="84">
        <v>48010</v>
      </c>
      <c r="B2359" s="85">
        <v>2031</v>
      </c>
      <c r="C2359" s="85">
        <v>6</v>
      </c>
      <c r="D2359" s="85" t="s">
        <v>68</v>
      </c>
      <c r="E2359" s="85">
        <v>11</v>
      </c>
      <c r="F2359" s="85">
        <v>3</v>
      </c>
      <c r="G2359" s="85">
        <f>--(F2359&lt;=Estimator!$B$7)</f>
        <v>1</v>
      </c>
      <c r="H2359" s="86">
        <f>SUMIFS('Climate Data'!$G$7:$G$366,'Climate Data'!$A$7:$A$366,Estimator!$B$4,'Climate Data'!$B$7:$B$366,C2359)</f>
        <v>0.28666666666666668</v>
      </c>
      <c r="I2359" s="87">
        <f>SUMIFS('Climate Data'!$H$7:$H$366,'Climate Data'!$A$7:$A$366,Estimator!$B$4,'Climate Data'!$B$7:$B$366,C2359)</f>
        <v>7.941860465116279</v>
      </c>
      <c r="J2359" s="86">
        <f>SUMIFS('Wind Proxy'!$H$8:$H$19,'Wind Proxy'!$A$8:$A$19,Estimator!$B$4,'Wind Proxy'!$B$8:$B$19,C2359)</f>
        <v>0</v>
      </c>
    </row>
    <row r="2360" spans="1:10" ht="14.4">
      <c r="A2360" s="84">
        <v>48011</v>
      </c>
      <c r="B2360" s="85">
        <v>2031</v>
      </c>
      <c r="C2360" s="85">
        <v>6</v>
      </c>
      <c r="D2360" s="85" t="s">
        <v>68</v>
      </c>
      <c r="E2360" s="85">
        <v>12</v>
      </c>
      <c r="F2360" s="85">
        <v>4</v>
      </c>
      <c r="G2360" s="85">
        <f>--(F2360&lt;=Estimator!$B$7)</f>
        <v>1</v>
      </c>
      <c r="H2360" s="86">
        <f>SUMIFS('Climate Data'!$G$7:$G$366,'Climate Data'!$A$7:$A$366,Estimator!$B$4,'Climate Data'!$B$7:$B$366,C2360)</f>
        <v>0.28666666666666668</v>
      </c>
      <c r="I2360" s="87">
        <f>SUMIFS('Climate Data'!$H$7:$H$366,'Climate Data'!$A$7:$A$366,Estimator!$B$4,'Climate Data'!$B$7:$B$366,C2360)</f>
        <v>7.941860465116279</v>
      </c>
      <c r="J2360" s="86">
        <f>SUMIFS('Wind Proxy'!$H$8:$H$19,'Wind Proxy'!$A$8:$A$19,Estimator!$B$4,'Wind Proxy'!$B$8:$B$19,C2360)</f>
        <v>0</v>
      </c>
    </row>
    <row r="2361" spans="1:10" ht="14.4">
      <c r="A2361" s="84">
        <v>48012</v>
      </c>
      <c r="B2361" s="85">
        <v>2031</v>
      </c>
      <c r="C2361" s="85">
        <v>6</v>
      </c>
      <c r="D2361" s="85" t="s">
        <v>68</v>
      </c>
      <c r="E2361" s="85">
        <v>13</v>
      </c>
      <c r="F2361" s="85">
        <v>5</v>
      </c>
      <c r="G2361" s="85">
        <f>--(F2361&lt;=Estimator!$B$7)</f>
        <v>1</v>
      </c>
      <c r="H2361" s="86">
        <f>SUMIFS('Climate Data'!$G$7:$G$366,'Climate Data'!$A$7:$A$366,Estimator!$B$4,'Climate Data'!$B$7:$B$366,C2361)</f>
        <v>0.28666666666666668</v>
      </c>
      <c r="I2361" s="87">
        <f>SUMIFS('Climate Data'!$H$7:$H$366,'Climate Data'!$A$7:$A$366,Estimator!$B$4,'Climate Data'!$B$7:$B$366,C2361)</f>
        <v>7.941860465116279</v>
      </c>
      <c r="J2361" s="86">
        <f>SUMIFS('Wind Proxy'!$H$8:$H$19,'Wind Proxy'!$A$8:$A$19,Estimator!$B$4,'Wind Proxy'!$B$8:$B$19,C2361)</f>
        <v>0</v>
      </c>
    </row>
    <row r="2362" spans="1:10" ht="14.4">
      <c r="A2362" s="84">
        <v>48013</v>
      </c>
      <c r="B2362" s="85">
        <v>2031</v>
      </c>
      <c r="C2362" s="85">
        <v>6</v>
      </c>
      <c r="D2362" s="85" t="s">
        <v>68</v>
      </c>
      <c r="E2362" s="85">
        <v>14</v>
      </c>
      <c r="F2362" s="85">
        <v>6</v>
      </c>
      <c r="G2362" s="85">
        <f>--(F2362&lt;=Estimator!$B$7)</f>
        <v>0</v>
      </c>
      <c r="H2362" s="86">
        <f>SUMIFS('Climate Data'!$G$7:$G$366,'Climate Data'!$A$7:$A$366,Estimator!$B$4,'Climate Data'!$B$7:$B$366,C2362)</f>
        <v>0.28666666666666668</v>
      </c>
      <c r="I2362" s="87">
        <f>SUMIFS('Climate Data'!$H$7:$H$366,'Climate Data'!$A$7:$A$366,Estimator!$B$4,'Climate Data'!$B$7:$B$366,C2362)</f>
        <v>7.941860465116279</v>
      </c>
      <c r="J2362" s="86">
        <f>SUMIFS('Wind Proxy'!$H$8:$H$19,'Wind Proxy'!$A$8:$A$19,Estimator!$B$4,'Wind Proxy'!$B$8:$B$19,C2362)</f>
        <v>0</v>
      </c>
    </row>
    <row r="2363" spans="1:10" ht="14.4">
      <c r="A2363" s="84">
        <v>48014</v>
      </c>
      <c r="B2363" s="85">
        <v>2031</v>
      </c>
      <c r="C2363" s="85">
        <v>6</v>
      </c>
      <c r="D2363" s="85" t="s">
        <v>68</v>
      </c>
      <c r="E2363" s="85">
        <v>15</v>
      </c>
      <c r="F2363" s="85">
        <v>7</v>
      </c>
      <c r="G2363" s="85">
        <f>--(F2363&lt;=Estimator!$B$7)</f>
        <v>0</v>
      </c>
      <c r="H2363" s="86">
        <f>SUMIFS('Climate Data'!$G$7:$G$366,'Climate Data'!$A$7:$A$366,Estimator!$B$4,'Climate Data'!$B$7:$B$366,C2363)</f>
        <v>0.28666666666666668</v>
      </c>
      <c r="I2363" s="87">
        <f>SUMIFS('Climate Data'!$H$7:$H$366,'Climate Data'!$A$7:$A$366,Estimator!$B$4,'Climate Data'!$B$7:$B$366,C2363)</f>
        <v>7.941860465116279</v>
      </c>
      <c r="J2363" s="86">
        <f>SUMIFS('Wind Proxy'!$H$8:$H$19,'Wind Proxy'!$A$8:$A$19,Estimator!$B$4,'Wind Proxy'!$B$8:$B$19,C2363)</f>
        <v>0</v>
      </c>
    </row>
    <row r="2364" spans="1:10" ht="14.4">
      <c r="A2364" s="84">
        <v>48015</v>
      </c>
      <c r="B2364" s="85">
        <v>2031</v>
      </c>
      <c r="C2364" s="85">
        <v>6</v>
      </c>
      <c r="D2364" s="85" t="s">
        <v>68</v>
      </c>
      <c r="E2364" s="85">
        <v>16</v>
      </c>
      <c r="F2364" s="85">
        <v>1</v>
      </c>
      <c r="G2364" s="85">
        <f>--(F2364&lt;=Estimator!$B$7)</f>
        <v>1</v>
      </c>
      <c r="H2364" s="86">
        <f>SUMIFS('Climate Data'!$G$7:$G$366,'Climate Data'!$A$7:$A$366,Estimator!$B$4,'Climate Data'!$B$7:$B$366,C2364)</f>
        <v>0.28666666666666668</v>
      </c>
      <c r="I2364" s="87">
        <f>SUMIFS('Climate Data'!$H$7:$H$366,'Climate Data'!$A$7:$A$366,Estimator!$B$4,'Climate Data'!$B$7:$B$366,C2364)</f>
        <v>7.941860465116279</v>
      </c>
      <c r="J2364" s="86">
        <f>SUMIFS('Wind Proxy'!$H$8:$H$19,'Wind Proxy'!$A$8:$A$19,Estimator!$B$4,'Wind Proxy'!$B$8:$B$19,C2364)</f>
        <v>0</v>
      </c>
    </row>
    <row r="2365" spans="1:10" ht="14.4">
      <c r="A2365" s="84">
        <v>48016</v>
      </c>
      <c r="B2365" s="85">
        <v>2031</v>
      </c>
      <c r="C2365" s="85">
        <v>6</v>
      </c>
      <c r="D2365" s="85" t="s">
        <v>68</v>
      </c>
      <c r="E2365" s="85">
        <v>17</v>
      </c>
      <c r="F2365" s="85">
        <v>2</v>
      </c>
      <c r="G2365" s="85">
        <f>--(F2365&lt;=Estimator!$B$7)</f>
        <v>1</v>
      </c>
      <c r="H2365" s="86">
        <f>SUMIFS('Climate Data'!$G$7:$G$366,'Climate Data'!$A$7:$A$366,Estimator!$B$4,'Climate Data'!$B$7:$B$366,C2365)</f>
        <v>0.28666666666666668</v>
      </c>
      <c r="I2365" s="87">
        <f>SUMIFS('Climate Data'!$H$7:$H$366,'Climate Data'!$A$7:$A$366,Estimator!$B$4,'Climate Data'!$B$7:$B$366,C2365)</f>
        <v>7.941860465116279</v>
      </c>
      <c r="J2365" s="86">
        <f>SUMIFS('Wind Proxy'!$H$8:$H$19,'Wind Proxy'!$A$8:$A$19,Estimator!$B$4,'Wind Proxy'!$B$8:$B$19,C2365)</f>
        <v>0</v>
      </c>
    </row>
    <row r="2366" spans="1:10" ht="14.4">
      <c r="A2366" s="84">
        <v>48017</v>
      </c>
      <c r="B2366" s="85">
        <v>2031</v>
      </c>
      <c r="C2366" s="85">
        <v>6</v>
      </c>
      <c r="D2366" s="85" t="s">
        <v>68</v>
      </c>
      <c r="E2366" s="85">
        <v>18</v>
      </c>
      <c r="F2366" s="85">
        <v>3</v>
      </c>
      <c r="G2366" s="85">
        <f>--(F2366&lt;=Estimator!$B$7)</f>
        <v>1</v>
      </c>
      <c r="H2366" s="86">
        <f>SUMIFS('Climate Data'!$G$7:$G$366,'Climate Data'!$A$7:$A$366,Estimator!$B$4,'Climate Data'!$B$7:$B$366,C2366)</f>
        <v>0.28666666666666668</v>
      </c>
      <c r="I2366" s="87">
        <f>SUMIFS('Climate Data'!$H$7:$H$366,'Climate Data'!$A$7:$A$366,Estimator!$B$4,'Climate Data'!$B$7:$B$366,C2366)</f>
        <v>7.941860465116279</v>
      </c>
      <c r="J2366" s="86">
        <f>SUMIFS('Wind Proxy'!$H$8:$H$19,'Wind Proxy'!$A$8:$A$19,Estimator!$B$4,'Wind Proxy'!$B$8:$B$19,C2366)</f>
        <v>0</v>
      </c>
    </row>
    <row r="2367" spans="1:10" ht="14.4">
      <c r="A2367" s="84">
        <v>48018</v>
      </c>
      <c r="B2367" s="85">
        <v>2031</v>
      </c>
      <c r="C2367" s="85">
        <v>6</v>
      </c>
      <c r="D2367" s="85" t="s">
        <v>68</v>
      </c>
      <c r="E2367" s="85">
        <v>19</v>
      </c>
      <c r="F2367" s="85">
        <v>4</v>
      </c>
      <c r="G2367" s="85">
        <f>--(F2367&lt;=Estimator!$B$7)</f>
        <v>1</v>
      </c>
      <c r="H2367" s="86">
        <f>SUMIFS('Climate Data'!$G$7:$G$366,'Climate Data'!$A$7:$A$366,Estimator!$B$4,'Climate Data'!$B$7:$B$366,C2367)</f>
        <v>0.28666666666666668</v>
      </c>
      <c r="I2367" s="87">
        <f>SUMIFS('Climate Data'!$H$7:$H$366,'Climate Data'!$A$7:$A$366,Estimator!$B$4,'Climate Data'!$B$7:$B$366,C2367)</f>
        <v>7.941860465116279</v>
      </c>
      <c r="J2367" s="86">
        <f>SUMIFS('Wind Proxy'!$H$8:$H$19,'Wind Proxy'!$A$8:$A$19,Estimator!$B$4,'Wind Proxy'!$B$8:$B$19,C2367)</f>
        <v>0</v>
      </c>
    </row>
    <row r="2368" spans="1:10" ht="14.4">
      <c r="A2368" s="84">
        <v>48019</v>
      </c>
      <c r="B2368" s="85">
        <v>2031</v>
      </c>
      <c r="C2368" s="85">
        <v>6</v>
      </c>
      <c r="D2368" s="85" t="s">
        <v>68</v>
      </c>
      <c r="E2368" s="85">
        <v>20</v>
      </c>
      <c r="F2368" s="85">
        <v>5</v>
      </c>
      <c r="G2368" s="85">
        <f>--(F2368&lt;=Estimator!$B$7)</f>
        <v>1</v>
      </c>
      <c r="H2368" s="86">
        <f>SUMIFS('Climate Data'!$G$7:$G$366,'Climate Data'!$A$7:$A$366,Estimator!$B$4,'Climate Data'!$B$7:$B$366,C2368)</f>
        <v>0.28666666666666668</v>
      </c>
      <c r="I2368" s="87">
        <f>SUMIFS('Climate Data'!$H$7:$H$366,'Climate Data'!$A$7:$A$366,Estimator!$B$4,'Climate Data'!$B$7:$B$366,C2368)</f>
        <v>7.941860465116279</v>
      </c>
      <c r="J2368" s="86">
        <f>SUMIFS('Wind Proxy'!$H$8:$H$19,'Wind Proxy'!$A$8:$A$19,Estimator!$B$4,'Wind Proxy'!$B$8:$B$19,C2368)</f>
        <v>0</v>
      </c>
    </row>
    <row r="2369" spans="1:10" ht="14.4">
      <c r="A2369" s="84">
        <v>48020</v>
      </c>
      <c r="B2369" s="85">
        <v>2031</v>
      </c>
      <c r="C2369" s="85">
        <v>6</v>
      </c>
      <c r="D2369" s="85" t="s">
        <v>68</v>
      </c>
      <c r="E2369" s="85">
        <v>21</v>
      </c>
      <c r="F2369" s="85">
        <v>6</v>
      </c>
      <c r="G2369" s="85">
        <f>--(F2369&lt;=Estimator!$B$7)</f>
        <v>0</v>
      </c>
      <c r="H2369" s="86">
        <f>SUMIFS('Climate Data'!$G$7:$G$366,'Climate Data'!$A$7:$A$366,Estimator!$B$4,'Climate Data'!$B$7:$B$366,C2369)</f>
        <v>0.28666666666666668</v>
      </c>
      <c r="I2369" s="87">
        <f>SUMIFS('Climate Data'!$H$7:$H$366,'Climate Data'!$A$7:$A$366,Estimator!$B$4,'Climate Data'!$B$7:$B$366,C2369)</f>
        <v>7.941860465116279</v>
      </c>
      <c r="J2369" s="86">
        <f>SUMIFS('Wind Proxy'!$H$8:$H$19,'Wind Proxy'!$A$8:$A$19,Estimator!$B$4,'Wind Proxy'!$B$8:$B$19,C2369)</f>
        <v>0</v>
      </c>
    </row>
    <row r="2370" spans="1:10" ht="14.4">
      <c r="A2370" s="84">
        <v>48021</v>
      </c>
      <c r="B2370" s="85">
        <v>2031</v>
      </c>
      <c r="C2370" s="85">
        <v>6</v>
      </c>
      <c r="D2370" s="85" t="s">
        <v>68</v>
      </c>
      <c r="E2370" s="85">
        <v>22</v>
      </c>
      <c r="F2370" s="85">
        <v>7</v>
      </c>
      <c r="G2370" s="85">
        <f>--(F2370&lt;=Estimator!$B$7)</f>
        <v>0</v>
      </c>
      <c r="H2370" s="86">
        <f>SUMIFS('Climate Data'!$G$7:$G$366,'Climate Data'!$A$7:$A$366,Estimator!$B$4,'Climate Data'!$B$7:$B$366,C2370)</f>
        <v>0.28666666666666668</v>
      </c>
      <c r="I2370" s="87">
        <f>SUMIFS('Climate Data'!$H$7:$H$366,'Climate Data'!$A$7:$A$366,Estimator!$B$4,'Climate Data'!$B$7:$B$366,C2370)</f>
        <v>7.941860465116279</v>
      </c>
      <c r="J2370" s="86">
        <f>SUMIFS('Wind Proxy'!$H$8:$H$19,'Wind Proxy'!$A$8:$A$19,Estimator!$B$4,'Wind Proxy'!$B$8:$B$19,C2370)</f>
        <v>0</v>
      </c>
    </row>
    <row r="2371" spans="1:10" ht="14.4">
      <c r="A2371" s="84">
        <v>48022</v>
      </c>
      <c r="B2371" s="85">
        <v>2031</v>
      </c>
      <c r="C2371" s="85">
        <v>6</v>
      </c>
      <c r="D2371" s="85" t="s">
        <v>68</v>
      </c>
      <c r="E2371" s="85">
        <v>23</v>
      </c>
      <c r="F2371" s="85">
        <v>1</v>
      </c>
      <c r="G2371" s="85">
        <f>--(F2371&lt;=Estimator!$B$7)</f>
        <v>1</v>
      </c>
      <c r="H2371" s="86">
        <f>SUMIFS('Climate Data'!$G$7:$G$366,'Climate Data'!$A$7:$A$366,Estimator!$B$4,'Climate Data'!$B$7:$B$366,C2371)</f>
        <v>0.28666666666666668</v>
      </c>
      <c r="I2371" s="87">
        <f>SUMIFS('Climate Data'!$H$7:$H$366,'Climate Data'!$A$7:$A$366,Estimator!$B$4,'Climate Data'!$B$7:$B$366,C2371)</f>
        <v>7.941860465116279</v>
      </c>
      <c r="J2371" s="86">
        <f>SUMIFS('Wind Proxy'!$H$8:$H$19,'Wind Proxy'!$A$8:$A$19,Estimator!$B$4,'Wind Proxy'!$B$8:$B$19,C2371)</f>
        <v>0</v>
      </c>
    </row>
    <row r="2372" spans="1:10" ht="14.4">
      <c r="A2372" s="84">
        <v>48023</v>
      </c>
      <c r="B2372" s="85">
        <v>2031</v>
      </c>
      <c r="C2372" s="85">
        <v>6</v>
      </c>
      <c r="D2372" s="85" t="s">
        <v>68</v>
      </c>
      <c r="E2372" s="85">
        <v>24</v>
      </c>
      <c r="F2372" s="85">
        <v>2</v>
      </c>
      <c r="G2372" s="85">
        <f>--(F2372&lt;=Estimator!$B$7)</f>
        <v>1</v>
      </c>
      <c r="H2372" s="86">
        <f>SUMIFS('Climate Data'!$G$7:$G$366,'Climate Data'!$A$7:$A$366,Estimator!$B$4,'Climate Data'!$B$7:$B$366,C2372)</f>
        <v>0.28666666666666668</v>
      </c>
      <c r="I2372" s="87">
        <f>SUMIFS('Climate Data'!$H$7:$H$366,'Climate Data'!$A$7:$A$366,Estimator!$B$4,'Climate Data'!$B$7:$B$366,C2372)</f>
        <v>7.941860465116279</v>
      </c>
      <c r="J2372" s="86">
        <f>SUMIFS('Wind Proxy'!$H$8:$H$19,'Wind Proxy'!$A$8:$A$19,Estimator!$B$4,'Wind Proxy'!$B$8:$B$19,C2372)</f>
        <v>0</v>
      </c>
    </row>
    <row r="2373" spans="1:10" ht="14.4">
      <c r="A2373" s="84">
        <v>48024</v>
      </c>
      <c r="B2373" s="85">
        <v>2031</v>
      </c>
      <c r="C2373" s="85">
        <v>6</v>
      </c>
      <c r="D2373" s="85" t="s">
        <v>68</v>
      </c>
      <c r="E2373" s="85">
        <v>25</v>
      </c>
      <c r="F2373" s="85">
        <v>3</v>
      </c>
      <c r="G2373" s="85">
        <f>--(F2373&lt;=Estimator!$B$7)</f>
        <v>1</v>
      </c>
      <c r="H2373" s="86">
        <f>SUMIFS('Climate Data'!$G$7:$G$366,'Climate Data'!$A$7:$A$366,Estimator!$B$4,'Climate Data'!$B$7:$B$366,C2373)</f>
        <v>0.28666666666666668</v>
      </c>
      <c r="I2373" s="87">
        <f>SUMIFS('Climate Data'!$H$7:$H$366,'Climate Data'!$A$7:$A$366,Estimator!$B$4,'Climate Data'!$B$7:$B$366,C2373)</f>
        <v>7.941860465116279</v>
      </c>
      <c r="J2373" s="86">
        <f>SUMIFS('Wind Proxy'!$H$8:$H$19,'Wind Proxy'!$A$8:$A$19,Estimator!$B$4,'Wind Proxy'!$B$8:$B$19,C2373)</f>
        <v>0</v>
      </c>
    </row>
    <row r="2374" spans="1:10" ht="14.4">
      <c r="A2374" s="84">
        <v>48025</v>
      </c>
      <c r="B2374" s="85">
        <v>2031</v>
      </c>
      <c r="C2374" s="85">
        <v>6</v>
      </c>
      <c r="D2374" s="85" t="s">
        <v>68</v>
      </c>
      <c r="E2374" s="85">
        <v>26</v>
      </c>
      <c r="F2374" s="85">
        <v>4</v>
      </c>
      <c r="G2374" s="85">
        <f>--(F2374&lt;=Estimator!$B$7)</f>
        <v>1</v>
      </c>
      <c r="H2374" s="86">
        <f>SUMIFS('Climate Data'!$G$7:$G$366,'Climate Data'!$A$7:$A$366,Estimator!$B$4,'Climate Data'!$B$7:$B$366,C2374)</f>
        <v>0.28666666666666668</v>
      </c>
      <c r="I2374" s="87">
        <f>SUMIFS('Climate Data'!$H$7:$H$366,'Climate Data'!$A$7:$A$366,Estimator!$B$4,'Climate Data'!$B$7:$B$366,C2374)</f>
        <v>7.941860465116279</v>
      </c>
      <c r="J2374" s="86">
        <f>SUMIFS('Wind Proxy'!$H$8:$H$19,'Wind Proxy'!$A$8:$A$19,Estimator!$B$4,'Wind Proxy'!$B$8:$B$19,C2374)</f>
        <v>0</v>
      </c>
    </row>
    <row r="2375" spans="1:10" ht="14.4">
      <c r="A2375" s="84">
        <v>48026</v>
      </c>
      <c r="B2375" s="85">
        <v>2031</v>
      </c>
      <c r="C2375" s="85">
        <v>6</v>
      </c>
      <c r="D2375" s="85" t="s">
        <v>68</v>
      </c>
      <c r="E2375" s="85">
        <v>27</v>
      </c>
      <c r="F2375" s="85">
        <v>5</v>
      </c>
      <c r="G2375" s="85">
        <f>--(F2375&lt;=Estimator!$B$7)</f>
        <v>1</v>
      </c>
      <c r="H2375" s="86">
        <f>SUMIFS('Climate Data'!$G$7:$G$366,'Climate Data'!$A$7:$A$366,Estimator!$B$4,'Climate Data'!$B$7:$B$366,C2375)</f>
        <v>0.28666666666666668</v>
      </c>
      <c r="I2375" s="87">
        <f>SUMIFS('Climate Data'!$H$7:$H$366,'Climate Data'!$A$7:$A$366,Estimator!$B$4,'Climate Data'!$B$7:$B$366,C2375)</f>
        <v>7.941860465116279</v>
      </c>
      <c r="J2375" s="86">
        <f>SUMIFS('Wind Proxy'!$H$8:$H$19,'Wind Proxy'!$A$8:$A$19,Estimator!$B$4,'Wind Proxy'!$B$8:$B$19,C2375)</f>
        <v>0</v>
      </c>
    </row>
    <row r="2376" spans="1:10" ht="14.4">
      <c r="A2376" s="84">
        <v>48027</v>
      </c>
      <c r="B2376" s="85">
        <v>2031</v>
      </c>
      <c r="C2376" s="85">
        <v>6</v>
      </c>
      <c r="D2376" s="85" t="s">
        <v>68</v>
      </c>
      <c r="E2376" s="85">
        <v>28</v>
      </c>
      <c r="F2376" s="85">
        <v>6</v>
      </c>
      <c r="G2376" s="85">
        <f>--(F2376&lt;=Estimator!$B$7)</f>
        <v>0</v>
      </c>
      <c r="H2376" s="86">
        <f>SUMIFS('Climate Data'!$G$7:$G$366,'Climate Data'!$A$7:$A$366,Estimator!$B$4,'Climate Data'!$B$7:$B$366,C2376)</f>
        <v>0.28666666666666668</v>
      </c>
      <c r="I2376" s="87">
        <f>SUMIFS('Climate Data'!$H$7:$H$366,'Climate Data'!$A$7:$A$366,Estimator!$B$4,'Climate Data'!$B$7:$B$366,C2376)</f>
        <v>7.941860465116279</v>
      </c>
      <c r="J2376" s="86">
        <f>SUMIFS('Wind Proxy'!$H$8:$H$19,'Wind Proxy'!$A$8:$A$19,Estimator!$B$4,'Wind Proxy'!$B$8:$B$19,C2376)</f>
        <v>0</v>
      </c>
    </row>
    <row r="2377" spans="1:10" ht="14.4">
      <c r="A2377" s="84">
        <v>48028</v>
      </c>
      <c r="B2377" s="85">
        <v>2031</v>
      </c>
      <c r="C2377" s="85">
        <v>6</v>
      </c>
      <c r="D2377" s="85" t="s">
        <v>68</v>
      </c>
      <c r="E2377" s="85">
        <v>29</v>
      </c>
      <c r="F2377" s="85">
        <v>7</v>
      </c>
      <c r="G2377" s="85">
        <f>--(F2377&lt;=Estimator!$B$7)</f>
        <v>0</v>
      </c>
      <c r="H2377" s="86">
        <f>SUMIFS('Climate Data'!$G$7:$G$366,'Climate Data'!$A$7:$A$366,Estimator!$B$4,'Climate Data'!$B$7:$B$366,C2377)</f>
        <v>0.28666666666666668</v>
      </c>
      <c r="I2377" s="87">
        <f>SUMIFS('Climate Data'!$H$7:$H$366,'Climate Data'!$A$7:$A$366,Estimator!$B$4,'Climate Data'!$B$7:$B$366,C2377)</f>
        <v>7.941860465116279</v>
      </c>
      <c r="J2377" s="86">
        <f>SUMIFS('Wind Proxy'!$H$8:$H$19,'Wind Proxy'!$A$8:$A$19,Estimator!$B$4,'Wind Proxy'!$B$8:$B$19,C2377)</f>
        <v>0</v>
      </c>
    </row>
    <row r="2378" spans="1:10" ht="14.4">
      <c r="A2378" s="84">
        <v>48029</v>
      </c>
      <c r="B2378" s="85">
        <v>2031</v>
      </c>
      <c r="C2378" s="85">
        <v>6</v>
      </c>
      <c r="D2378" s="85" t="s">
        <v>68</v>
      </c>
      <c r="E2378" s="85">
        <v>30</v>
      </c>
      <c r="F2378" s="85">
        <v>1</v>
      </c>
      <c r="G2378" s="85">
        <f>--(F2378&lt;=Estimator!$B$7)</f>
        <v>1</v>
      </c>
      <c r="H2378" s="86">
        <f>SUMIFS('Climate Data'!$G$7:$G$366,'Climate Data'!$A$7:$A$366,Estimator!$B$4,'Climate Data'!$B$7:$B$366,C2378)</f>
        <v>0.28666666666666668</v>
      </c>
      <c r="I2378" s="87">
        <f>SUMIFS('Climate Data'!$H$7:$H$366,'Climate Data'!$A$7:$A$366,Estimator!$B$4,'Climate Data'!$B$7:$B$366,C2378)</f>
        <v>7.941860465116279</v>
      </c>
      <c r="J2378" s="86">
        <f>SUMIFS('Wind Proxy'!$H$8:$H$19,'Wind Proxy'!$A$8:$A$19,Estimator!$B$4,'Wind Proxy'!$B$8:$B$19,C2378)</f>
        <v>0</v>
      </c>
    </row>
    <row r="2379" spans="1:10" ht="14.4">
      <c r="A2379" s="84">
        <v>48030</v>
      </c>
      <c r="B2379" s="85">
        <v>2031</v>
      </c>
      <c r="C2379" s="85">
        <v>7</v>
      </c>
      <c r="D2379" s="85" t="s">
        <v>69</v>
      </c>
      <c r="E2379" s="85">
        <v>1</v>
      </c>
      <c r="F2379" s="85">
        <v>2</v>
      </c>
      <c r="G2379" s="85">
        <f>--(F2379&lt;=Estimator!$B$7)</f>
        <v>1</v>
      </c>
      <c r="H2379" s="86">
        <f>SUMIFS('Climate Data'!$G$7:$G$366,'Climate Data'!$A$7:$A$366,Estimator!$B$4,'Climate Data'!$B$7:$B$366,C2379)</f>
        <v>0.24731182795698925</v>
      </c>
      <c r="I2379" s="87">
        <f>SUMIFS('Climate Data'!$H$7:$H$366,'Climate Data'!$A$7:$A$366,Estimator!$B$4,'Climate Data'!$B$7:$B$366,C2379)</f>
        <v>8.3739130434782609</v>
      </c>
      <c r="J2379" s="86">
        <f>SUMIFS('Wind Proxy'!$H$8:$H$19,'Wind Proxy'!$A$8:$A$19,Estimator!$B$4,'Wind Proxy'!$B$8:$B$19,C2379)</f>
        <v>0</v>
      </c>
    </row>
    <row r="2380" spans="1:10" ht="14.4">
      <c r="A2380" s="84">
        <v>48031</v>
      </c>
      <c r="B2380" s="85">
        <v>2031</v>
      </c>
      <c r="C2380" s="85">
        <v>7</v>
      </c>
      <c r="D2380" s="85" t="s">
        <v>69</v>
      </c>
      <c r="E2380" s="85">
        <v>2</v>
      </c>
      <c r="F2380" s="85">
        <v>3</v>
      </c>
      <c r="G2380" s="85">
        <f>--(F2380&lt;=Estimator!$B$7)</f>
        <v>1</v>
      </c>
      <c r="H2380" s="86">
        <f>SUMIFS('Climate Data'!$G$7:$G$366,'Climate Data'!$A$7:$A$366,Estimator!$B$4,'Climate Data'!$B$7:$B$366,C2380)</f>
        <v>0.24731182795698925</v>
      </c>
      <c r="I2380" s="87">
        <f>SUMIFS('Climate Data'!$H$7:$H$366,'Climate Data'!$A$7:$A$366,Estimator!$B$4,'Climate Data'!$B$7:$B$366,C2380)</f>
        <v>8.3739130434782609</v>
      </c>
      <c r="J2380" s="86">
        <f>SUMIFS('Wind Proxy'!$H$8:$H$19,'Wind Proxy'!$A$8:$A$19,Estimator!$B$4,'Wind Proxy'!$B$8:$B$19,C2380)</f>
        <v>0</v>
      </c>
    </row>
    <row r="2381" spans="1:10" ht="14.4">
      <c r="A2381" s="84">
        <v>48032</v>
      </c>
      <c r="B2381" s="85">
        <v>2031</v>
      </c>
      <c r="C2381" s="85">
        <v>7</v>
      </c>
      <c r="D2381" s="85" t="s">
        <v>69</v>
      </c>
      <c r="E2381" s="85">
        <v>3</v>
      </c>
      <c r="F2381" s="85">
        <v>4</v>
      </c>
      <c r="G2381" s="85">
        <f>--(F2381&lt;=Estimator!$B$7)</f>
        <v>1</v>
      </c>
      <c r="H2381" s="86">
        <f>SUMIFS('Climate Data'!$G$7:$G$366,'Climate Data'!$A$7:$A$366,Estimator!$B$4,'Climate Data'!$B$7:$B$366,C2381)</f>
        <v>0.24731182795698925</v>
      </c>
      <c r="I2381" s="87">
        <f>SUMIFS('Climate Data'!$H$7:$H$366,'Climate Data'!$A$7:$A$366,Estimator!$B$4,'Climate Data'!$B$7:$B$366,C2381)</f>
        <v>8.3739130434782609</v>
      </c>
      <c r="J2381" s="86">
        <f>SUMIFS('Wind Proxy'!$H$8:$H$19,'Wind Proxy'!$A$8:$A$19,Estimator!$B$4,'Wind Proxy'!$B$8:$B$19,C2381)</f>
        <v>0</v>
      </c>
    </row>
    <row r="2382" spans="1:10" ht="14.4">
      <c r="A2382" s="84">
        <v>48033</v>
      </c>
      <c r="B2382" s="85">
        <v>2031</v>
      </c>
      <c r="C2382" s="85">
        <v>7</v>
      </c>
      <c r="D2382" s="85" t="s">
        <v>69</v>
      </c>
      <c r="E2382" s="85">
        <v>4</v>
      </c>
      <c r="F2382" s="85">
        <v>5</v>
      </c>
      <c r="G2382" s="85">
        <f>--(F2382&lt;=Estimator!$B$7)</f>
        <v>1</v>
      </c>
      <c r="H2382" s="86">
        <f>SUMIFS('Climate Data'!$G$7:$G$366,'Climate Data'!$A$7:$A$366,Estimator!$B$4,'Climate Data'!$B$7:$B$366,C2382)</f>
        <v>0.24731182795698925</v>
      </c>
      <c r="I2382" s="87">
        <f>SUMIFS('Climate Data'!$H$7:$H$366,'Climate Data'!$A$7:$A$366,Estimator!$B$4,'Climate Data'!$B$7:$B$366,C2382)</f>
        <v>8.3739130434782609</v>
      </c>
      <c r="J2382" s="86">
        <f>SUMIFS('Wind Proxy'!$H$8:$H$19,'Wind Proxy'!$A$8:$A$19,Estimator!$B$4,'Wind Proxy'!$B$8:$B$19,C2382)</f>
        <v>0</v>
      </c>
    </row>
    <row r="2383" spans="1:10" ht="14.4">
      <c r="A2383" s="84">
        <v>48034</v>
      </c>
      <c r="B2383" s="85">
        <v>2031</v>
      </c>
      <c r="C2383" s="85">
        <v>7</v>
      </c>
      <c r="D2383" s="85" t="s">
        <v>69</v>
      </c>
      <c r="E2383" s="85">
        <v>5</v>
      </c>
      <c r="F2383" s="85">
        <v>6</v>
      </c>
      <c r="G2383" s="85">
        <f>--(F2383&lt;=Estimator!$B$7)</f>
        <v>0</v>
      </c>
      <c r="H2383" s="86">
        <f>SUMIFS('Climate Data'!$G$7:$G$366,'Climate Data'!$A$7:$A$366,Estimator!$B$4,'Climate Data'!$B$7:$B$366,C2383)</f>
        <v>0.24731182795698925</v>
      </c>
      <c r="I2383" s="87">
        <f>SUMIFS('Climate Data'!$H$7:$H$366,'Climate Data'!$A$7:$A$366,Estimator!$B$4,'Climate Data'!$B$7:$B$366,C2383)</f>
        <v>8.3739130434782609</v>
      </c>
      <c r="J2383" s="86">
        <f>SUMIFS('Wind Proxy'!$H$8:$H$19,'Wind Proxy'!$A$8:$A$19,Estimator!$B$4,'Wind Proxy'!$B$8:$B$19,C2383)</f>
        <v>0</v>
      </c>
    </row>
    <row r="2384" spans="1:10" ht="14.4">
      <c r="A2384" s="84">
        <v>48035</v>
      </c>
      <c r="B2384" s="85">
        <v>2031</v>
      </c>
      <c r="C2384" s="85">
        <v>7</v>
      </c>
      <c r="D2384" s="85" t="s">
        <v>69</v>
      </c>
      <c r="E2384" s="85">
        <v>6</v>
      </c>
      <c r="F2384" s="85">
        <v>7</v>
      </c>
      <c r="G2384" s="85">
        <f>--(F2384&lt;=Estimator!$B$7)</f>
        <v>0</v>
      </c>
      <c r="H2384" s="86">
        <f>SUMIFS('Climate Data'!$G$7:$G$366,'Climate Data'!$A$7:$A$366,Estimator!$B$4,'Climate Data'!$B$7:$B$366,C2384)</f>
        <v>0.24731182795698925</v>
      </c>
      <c r="I2384" s="87">
        <f>SUMIFS('Climate Data'!$H$7:$H$366,'Climate Data'!$A$7:$A$366,Estimator!$B$4,'Climate Data'!$B$7:$B$366,C2384)</f>
        <v>8.3739130434782609</v>
      </c>
      <c r="J2384" s="86">
        <f>SUMIFS('Wind Proxy'!$H$8:$H$19,'Wind Proxy'!$A$8:$A$19,Estimator!$B$4,'Wind Proxy'!$B$8:$B$19,C2384)</f>
        <v>0</v>
      </c>
    </row>
    <row r="2385" spans="1:10" ht="14.4">
      <c r="A2385" s="84">
        <v>48036</v>
      </c>
      <c r="B2385" s="85">
        <v>2031</v>
      </c>
      <c r="C2385" s="85">
        <v>7</v>
      </c>
      <c r="D2385" s="85" t="s">
        <v>69</v>
      </c>
      <c r="E2385" s="85">
        <v>7</v>
      </c>
      <c r="F2385" s="85">
        <v>1</v>
      </c>
      <c r="G2385" s="85">
        <f>--(F2385&lt;=Estimator!$B$7)</f>
        <v>1</v>
      </c>
      <c r="H2385" s="86">
        <f>SUMIFS('Climate Data'!$G$7:$G$366,'Climate Data'!$A$7:$A$366,Estimator!$B$4,'Climate Data'!$B$7:$B$366,C2385)</f>
        <v>0.24731182795698925</v>
      </c>
      <c r="I2385" s="87">
        <f>SUMIFS('Climate Data'!$H$7:$H$366,'Climate Data'!$A$7:$A$366,Estimator!$B$4,'Climate Data'!$B$7:$B$366,C2385)</f>
        <v>8.3739130434782609</v>
      </c>
      <c r="J2385" s="86">
        <f>SUMIFS('Wind Proxy'!$H$8:$H$19,'Wind Proxy'!$A$8:$A$19,Estimator!$B$4,'Wind Proxy'!$B$8:$B$19,C2385)</f>
        <v>0</v>
      </c>
    </row>
    <row r="2386" spans="1:10" ht="14.4">
      <c r="A2386" s="84">
        <v>48037</v>
      </c>
      <c r="B2386" s="85">
        <v>2031</v>
      </c>
      <c r="C2386" s="85">
        <v>7</v>
      </c>
      <c r="D2386" s="85" t="s">
        <v>69</v>
      </c>
      <c r="E2386" s="85">
        <v>8</v>
      </c>
      <c r="F2386" s="85">
        <v>2</v>
      </c>
      <c r="G2386" s="85">
        <f>--(F2386&lt;=Estimator!$B$7)</f>
        <v>1</v>
      </c>
      <c r="H2386" s="86">
        <f>SUMIFS('Climate Data'!$G$7:$G$366,'Climate Data'!$A$7:$A$366,Estimator!$B$4,'Climate Data'!$B$7:$B$366,C2386)</f>
        <v>0.24731182795698925</v>
      </c>
      <c r="I2386" s="87">
        <f>SUMIFS('Climate Data'!$H$7:$H$366,'Climate Data'!$A$7:$A$366,Estimator!$B$4,'Climate Data'!$B$7:$B$366,C2386)</f>
        <v>8.3739130434782609</v>
      </c>
      <c r="J2386" s="86">
        <f>SUMIFS('Wind Proxy'!$H$8:$H$19,'Wind Proxy'!$A$8:$A$19,Estimator!$B$4,'Wind Proxy'!$B$8:$B$19,C2386)</f>
        <v>0</v>
      </c>
    </row>
    <row r="2387" spans="1:10" ht="14.4">
      <c r="A2387" s="84">
        <v>48038</v>
      </c>
      <c r="B2387" s="85">
        <v>2031</v>
      </c>
      <c r="C2387" s="85">
        <v>7</v>
      </c>
      <c r="D2387" s="85" t="s">
        <v>69</v>
      </c>
      <c r="E2387" s="85">
        <v>9</v>
      </c>
      <c r="F2387" s="85">
        <v>3</v>
      </c>
      <c r="G2387" s="85">
        <f>--(F2387&lt;=Estimator!$B$7)</f>
        <v>1</v>
      </c>
      <c r="H2387" s="86">
        <f>SUMIFS('Climate Data'!$G$7:$G$366,'Climate Data'!$A$7:$A$366,Estimator!$B$4,'Climate Data'!$B$7:$B$366,C2387)</f>
        <v>0.24731182795698925</v>
      </c>
      <c r="I2387" s="87">
        <f>SUMIFS('Climate Data'!$H$7:$H$366,'Climate Data'!$A$7:$A$366,Estimator!$B$4,'Climate Data'!$B$7:$B$366,C2387)</f>
        <v>8.3739130434782609</v>
      </c>
      <c r="J2387" s="86">
        <f>SUMIFS('Wind Proxy'!$H$8:$H$19,'Wind Proxy'!$A$8:$A$19,Estimator!$B$4,'Wind Proxy'!$B$8:$B$19,C2387)</f>
        <v>0</v>
      </c>
    </row>
    <row r="2388" spans="1:10" ht="14.4">
      <c r="A2388" s="84">
        <v>48039</v>
      </c>
      <c r="B2388" s="85">
        <v>2031</v>
      </c>
      <c r="C2388" s="85">
        <v>7</v>
      </c>
      <c r="D2388" s="85" t="s">
        <v>69</v>
      </c>
      <c r="E2388" s="85">
        <v>10</v>
      </c>
      <c r="F2388" s="85">
        <v>4</v>
      </c>
      <c r="G2388" s="85">
        <f>--(F2388&lt;=Estimator!$B$7)</f>
        <v>1</v>
      </c>
      <c r="H2388" s="86">
        <f>SUMIFS('Climate Data'!$G$7:$G$366,'Climate Data'!$A$7:$A$366,Estimator!$B$4,'Climate Data'!$B$7:$B$366,C2388)</f>
        <v>0.24731182795698925</v>
      </c>
      <c r="I2388" s="87">
        <f>SUMIFS('Climate Data'!$H$7:$H$366,'Climate Data'!$A$7:$A$366,Estimator!$B$4,'Climate Data'!$B$7:$B$366,C2388)</f>
        <v>8.3739130434782609</v>
      </c>
      <c r="J2388" s="86">
        <f>SUMIFS('Wind Proxy'!$H$8:$H$19,'Wind Proxy'!$A$8:$A$19,Estimator!$B$4,'Wind Proxy'!$B$8:$B$19,C2388)</f>
        <v>0</v>
      </c>
    </row>
    <row r="2389" spans="1:10" ht="14.4">
      <c r="A2389" s="84">
        <v>48040</v>
      </c>
      <c r="B2389" s="85">
        <v>2031</v>
      </c>
      <c r="C2389" s="85">
        <v>7</v>
      </c>
      <c r="D2389" s="85" t="s">
        <v>69</v>
      </c>
      <c r="E2389" s="85">
        <v>11</v>
      </c>
      <c r="F2389" s="85">
        <v>5</v>
      </c>
      <c r="G2389" s="85">
        <f>--(F2389&lt;=Estimator!$B$7)</f>
        <v>1</v>
      </c>
      <c r="H2389" s="86">
        <f>SUMIFS('Climate Data'!$G$7:$G$366,'Climate Data'!$A$7:$A$366,Estimator!$B$4,'Climate Data'!$B$7:$B$366,C2389)</f>
        <v>0.24731182795698925</v>
      </c>
      <c r="I2389" s="87">
        <f>SUMIFS('Climate Data'!$H$7:$H$366,'Climate Data'!$A$7:$A$366,Estimator!$B$4,'Climate Data'!$B$7:$B$366,C2389)</f>
        <v>8.3739130434782609</v>
      </c>
      <c r="J2389" s="86">
        <f>SUMIFS('Wind Proxy'!$H$8:$H$19,'Wind Proxy'!$A$8:$A$19,Estimator!$B$4,'Wind Proxy'!$B$8:$B$19,C2389)</f>
        <v>0</v>
      </c>
    </row>
    <row r="2390" spans="1:10" ht="14.4">
      <c r="A2390" s="84">
        <v>48041</v>
      </c>
      <c r="B2390" s="85">
        <v>2031</v>
      </c>
      <c r="C2390" s="85">
        <v>7</v>
      </c>
      <c r="D2390" s="85" t="s">
        <v>69</v>
      </c>
      <c r="E2390" s="85">
        <v>12</v>
      </c>
      <c r="F2390" s="85">
        <v>6</v>
      </c>
      <c r="G2390" s="85">
        <f>--(F2390&lt;=Estimator!$B$7)</f>
        <v>0</v>
      </c>
      <c r="H2390" s="86">
        <f>SUMIFS('Climate Data'!$G$7:$G$366,'Climate Data'!$A$7:$A$366,Estimator!$B$4,'Climate Data'!$B$7:$B$366,C2390)</f>
        <v>0.24731182795698925</v>
      </c>
      <c r="I2390" s="87">
        <f>SUMIFS('Climate Data'!$H$7:$H$366,'Climate Data'!$A$7:$A$366,Estimator!$B$4,'Climate Data'!$B$7:$B$366,C2390)</f>
        <v>8.3739130434782609</v>
      </c>
      <c r="J2390" s="86">
        <f>SUMIFS('Wind Proxy'!$H$8:$H$19,'Wind Proxy'!$A$8:$A$19,Estimator!$B$4,'Wind Proxy'!$B$8:$B$19,C2390)</f>
        <v>0</v>
      </c>
    </row>
    <row r="2391" spans="1:10" ht="14.4">
      <c r="A2391" s="84">
        <v>48042</v>
      </c>
      <c r="B2391" s="85">
        <v>2031</v>
      </c>
      <c r="C2391" s="85">
        <v>7</v>
      </c>
      <c r="D2391" s="85" t="s">
        <v>69</v>
      </c>
      <c r="E2391" s="85">
        <v>13</v>
      </c>
      <c r="F2391" s="85">
        <v>7</v>
      </c>
      <c r="G2391" s="85">
        <f>--(F2391&lt;=Estimator!$B$7)</f>
        <v>0</v>
      </c>
      <c r="H2391" s="86">
        <f>SUMIFS('Climate Data'!$G$7:$G$366,'Climate Data'!$A$7:$A$366,Estimator!$B$4,'Climate Data'!$B$7:$B$366,C2391)</f>
        <v>0.24731182795698925</v>
      </c>
      <c r="I2391" s="87">
        <f>SUMIFS('Climate Data'!$H$7:$H$366,'Climate Data'!$A$7:$A$366,Estimator!$B$4,'Climate Data'!$B$7:$B$366,C2391)</f>
        <v>8.3739130434782609</v>
      </c>
      <c r="J2391" s="86">
        <f>SUMIFS('Wind Proxy'!$H$8:$H$19,'Wind Proxy'!$A$8:$A$19,Estimator!$B$4,'Wind Proxy'!$B$8:$B$19,C2391)</f>
        <v>0</v>
      </c>
    </row>
    <row r="2392" spans="1:10" ht="14.4">
      <c r="A2392" s="84">
        <v>48043</v>
      </c>
      <c r="B2392" s="85">
        <v>2031</v>
      </c>
      <c r="C2392" s="85">
        <v>7</v>
      </c>
      <c r="D2392" s="85" t="s">
        <v>69</v>
      </c>
      <c r="E2392" s="85">
        <v>14</v>
      </c>
      <c r="F2392" s="85">
        <v>1</v>
      </c>
      <c r="G2392" s="85">
        <f>--(F2392&lt;=Estimator!$B$7)</f>
        <v>1</v>
      </c>
      <c r="H2392" s="86">
        <f>SUMIFS('Climate Data'!$G$7:$G$366,'Climate Data'!$A$7:$A$366,Estimator!$B$4,'Climate Data'!$B$7:$B$366,C2392)</f>
        <v>0.24731182795698925</v>
      </c>
      <c r="I2392" s="87">
        <f>SUMIFS('Climate Data'!$H$7:$H$366,'Climate Data'!$A$7:$A$366,Estimator!$B$4,'Climate Data'!$B$7:$B$366,C2392)</f>
        <v>8.3739130434782609</v>
      </c>
      <c r="J2392" s="86">
        <f>SUMIFS('Wind Proxy'!$H$8:$H$19,'Wind Proxy'!$A$8:$A$19,Estimator!$B$4,'Wind Proxy'!$B$8:$B$19,C2392)</f>
        <v>0</v>
      </c>
    </row>
    <row r="2393" spans="1:10" ht="14.4">
      <c r="A2393" s="84">
        <v>48044</v>
      </c>
      <c r="B2393" s="85">
        <v>2031</v>
      </c>
      <c r="C2393" s="85">
        <v>7</v>
      </c>
      <c r="D2393" s="85" t="s">
        <v>69</v>
      </c>
      <c r="E2393" s="85">
        <v>15</v>
      </c>
      <c r="F2393" s="85">
        <v>2</v>
      </c>
      <c r="G2393" s="85">
        <f>--(F2393&lt;=Estimator!$B$7)</f>
        <v>1</v>
      </c>
      <c r="H2393" s="86">
        <f>SUMIFS('Climate Data'!$G$7:$G$366,'Climate Data'!$A$7:$A$366,Estimator!$B$4,'Climate Data'!$B$7:$B$366,C2393)</f>
        <v>0.24731182795698925</v>
      </c>
      <c r="I2393" s="87">
        <f>SUMIFS('Climate Data'!$H$7:$H$366,'Climate Data'!$A$7:$A$366,Estimator!$B$4,'Climate Data'!$B$7:$B$366,C2393)</f>
        <v>8.3739130434782609</v>
      </c>
      <c r="J2393" s="86">
        <f>SUMIFS('Wind Proxy'!$H$8:$H$19,'Wind Proxy'!$A$8:$A$19,Estimator!$B$4,'Wind Proxy'!$B$8:$B$19,C2393)</f>
        <v>0</v>
      </c>
    </row>
    <row r="2394" spans="1:10" ht="14.4">
      <c r="A2394" s="84">
        <v>48045</v>
      </c>
      <c r="B2394" s="85">
        <v>2031</v>
      </c>
      <c r="C2394" s="85">
        <v>7</v>
      </c>
      <c r="D2394" s="85" t="s">
        <v>69</v>
      </c>
      <c r="E2394" s="85">
        <v>16</v>
      </c>
      <c r="F2394" s="85">
        <v>3</v>
      </c>
      <c r="G2394" s="85">
        <f>--(F2394&lt;=Estimator!$B$7)</f>
        <v>1</v>
      </c>
      <c r="H2394" s="86">
        <f>SUMIFS('Climate Data'!$G$7:$G$366,'Climate Data'!$A$7:$A$366,Estimator!$B$4,'Climate Data'!$B$7:$B$366,C2394)</f>
        <v>0.24731182795698925</v>
      </c>
      <c r="I2394" s="87">
        <f>SUMIFS('Climate Data'!$H$7:$H$366,'Climate Data'!$A$7:$A$366,Estimator!$B$4,'Climate Data'!$B$7:$B$366,C2394)</f>
        <v>8.3739130434782609</v>
      </c>
      <c r="J2394" s="86">
        <f>SUMIFS('Wind Proxy'!$H$8:$H$19,'Wind Proxy'!$A$8:$A$19,Estimator!$B$4,'Wind Proxy'!$B$8:$B$19,C2394)</f>
        <v>0</v>
      </c>
    </row>
    <row r="2395" spans="1:10" ht="14.4">
      <c r="A2395" s="84">
        <v>48046</v>
      </c>
      <c r="B2395" s="85">
        <v>2031</v>
      </c>
      <c r="C2395" s="85">
        <v>7</v>
      </c>
      <c r="D2395" s="85" t="s">
        <v>69</v>
      </c>
      <c r="E2395" s="85">
        <v>17</v>
      </c>
      <c r="F2395" s="85">
        <v>4</v>
      </c>
      <c r="G2395" s="85">
        <f>--(F2395&lt;=Estimator!$B$7)</f>
        <v>1</v>
      </c>
      <c r="H2395" s="86">
        <f>SUMIFS('Climate Data'!$G$7:$G$366,'Climate Data'!$A$7:$A$366,Estimator!$B$4,'Climate Data'!$B$7:$B$366,C2395)</f>
        <v>0.24731182795698925</v>
      </c>
      <c r="I2395" s="87">
        <f>SUMIFS('Climate Data'!$H$7:$H$366,'Climate Data'!$A$7:$A$366,Estimator!$B$4,'Climate Data'!$B$7:$B$366,C2395)</f>
        <v>8.3739130434782609</v>
      </c>
      <c r="J2395" s="86">
        <f>SUMIFS('Wind Proxy'!$H$8:$H$19,'Wind Proxy'!$A$8:$A$19,Estimator!$B$4,'Wind Proxy'!$B$8:$B$19,C2395)</f>
        <v>0</v>
      </c>
    </row>
    <row r="2396" spans="1:10" ht="14.4">
      <c r="A2396" s="84">
        <v>48047</v>
      </c>
      <c r="B2396" s="85">
        <v>2031</v>
      </c>
      <c r="C2396" s="85">
        <v>7</v>
      </c>
      <c r="D2396" s="85" t="s">
        <v>69</v>
      </c>
      <c r="E2396" s="85">
        <v>18</v>
      </c>
      <c r="F2396" s="85">
        <v>5</v>
      </c>
      <c r="G2396" s="85">
        <f>--(F2396&lt;=Estimator!$B$7)</f>
        <v>1</v>
      </c>
      <c r="H2396" s="86">
        <f>SUMIFS('Climate Data'!$G$7:$G$366,'Climate Data'!$A$7:$A$366,Estimator!$B$4,'Climate Data'!$B$7:$B$366,C2396)</f>
        <v>0.24731182795698925</v>
      </c>
      <c r="I2396" s="87">
        <f>SUMIFS('Climate Data'!$H$7:$H$366,'Climate Data'!$A$7:$A$366,Estimator!$B$4,'Climate Data'!$B$7:$B$366,C2396)</f>
        <v>8.3739130434782609</v>
      </c>
      <c r="J2396" s="86">
        <f>SUMIFS('Wind Proxy'!$H$8:$H$19,'Wind Proxy'!$A$8:$A$19,Estimator!$B$4,'Wind Proxy'!$B$8:$B$19,C2396)</f>
        <v>0</v>
      </c>
    </row>
    <row r="2397" spans="1:10" ht="14.4">
      <c r="A2397" s="84">
        <v>48048</v>
      </c>
      <c r="B2397" s="85">
        <v>2031</v>
      </c>
      <c r="C2397" s="85">
        <v>7</v>
      </c>
      <c r="D2397" s="85" t="s">
        <v>69</v>
      </c>
      <c r="E2397" s="85">
        <v>19</v>
      </c>
      <c r="F2397" s="85">
        <v>6</v>
      </c>
      <c r="G2397" s="85">
        <f>--(F2397&lt;=Estimator!$B$7)</f>
        <v>0</v>
      </c>
      <c r="H2397" s="86">
        <f>SUMIFS('Climate Data'!$G$7:$G$366,'Climate Data'!$A$7:$A$366,Estimator!$B$4,'Climate Data'!$B$7:$B$366,C2397)</f>
        <v>0.24731182795698925</v>
      </c>
      <c r="I2397" s="87">
        <f>SUMIFS('Climate Data'!$H$7:$H$366,'Climate Data'!$A$7:$A$366,Estimator!$B$4,'Climate Data'!$B$7:$B$366,C2397)</f>
        <v>8.3739130434782609</v>
      </c>
      <c r="J2397" s="86">
        <f>SUMIFS('Wind Proxy'!$H$8:$H$19,'Wind Proxy'!$A$8:$A$19,Estimator!$B$4,'Wind Proxy'!$B$8:$B$19,C2397)</f>
        <v>0</v>
      </c>
    </row>
    <row r="2398" spans="1:10" ht="14.4">
      <c r="A2398" s="84">
        <v>48049</v>
      </c>
      <c r="B2398" s="85">
        <v>2031</v>
      </c>
      <c r="C2398" s="85">
        <v>7</v>
      </c>
      <c r="D2398" s="85" t="s">
        <v>69</v>
      </c>
      <c r="E2398" s="85">
        <v>20</v>
      </c>
      <c r="F2398" s="85">
        <v>7</v>
      </c>
      <c r="G2398" s="85">
        <f>--(F2398&lt;=Estimator!$B$7)</f>
        <v>0</v>
      </c>
      <c r="H2398" s="86">
        <f>SUMIFS('Climate Data'!$G$7:$G$366,'Climate Data'!$A$7:$A$366,Estimator!$B$4,'Climate Data'!$B$7:$B$366,C2398)</f>
        <v>0.24731182795698925</v>
      </c>
      <c r="I2398" s="87">
        <f>SUMIFS('Climate Data'!$H$7:$H$366,'Climate Data'!$A$7:$A$366,Estimator!$B$4,'Climate Data'!$B$7:$B$366,C2398)</f>
        <v>8.3739130434782609</v>
      </c>
      <c r="J2398" s="86">
        <f>SUMIFS('Wind Proxy'!$H$8:$H$19,'Wind Proxy'!$A$8:$A$19,Estimator!$B$4,'Wind Proxy'!$B$8:$B$19,C2398)</f>
        <v>0</v>
      </c>
    </row>
    <row r="2399" spans="1:10" ht="14.4">
      <c r="A2399" s="84">
        <v>48050</v>
      </c>
      <c r="B2399" s="85">
        <v>2031</v>
      </c>
      <c r="C2399" s="85">
        <v>7</v>
      </c>
      <c r="D2399" s="85" t="s">
        <v>69</v>
      </c>
      <c r="E2399" s="85">
        <v>21</v>
      </c>
      <c r="F2399" s="85">
        <v>1</v>
      </c>
      <c r="G2399" s="85">
        <f>--(F2399&lt;=Estimator!$B$7)</f>
        <v>1</v>
      </c>
      <c r="H2399" s="86">
        <f>SUMIFS('Climate Data'!$G$7:$G$366,'Climate Data'!$A$7:$A$366,Estimator!$B$4,'Climate Data'!$B$7:$B$366,C2399)</f>
        <v>0.24731182795698925</v>
      </c>
      <c r="I2399" s="87">
        <f>SUMIFS('Climate Data'!$H$7:$H$366,'Climate Data'!$A$7:$A$366,Estimator!$B$4,'Climate Data'!$B$7:$B$366,C2399)</f>
        <v>8.3739130434782609</v>
      </c>
      <c r="J2399" s="86">
        <f>SUMIFS('Wind Proxy'!$H$8:$H$19,'Wind Proxy'!$A$8:$A$19,Estimator!$B$4,'Wind Proxy'!$B$8:$B$19,C2399)</f>
        <v>0</v>
      </c>
    </row>
    <row r="2400" spans="1:10" ht="14.4">
      <c r="A2400" s="84">
        <v>48051</v>
      </c>
      <c r="B2400" s="85">
        <v>2031</v>
      </c>
      <c r="C2400" s="85">
        <v>7</v>
      </c>
      <c r="D2400" s="85" t="s">
        <v>69</v>
      </c>
      <c r="E2400" s="85">
        <v>22</v>
      </c>
      <c r="F2400" s="85">
        <v>2</v>
      </c>
      <c r="G2400" s="85">
        <f>--(F2400&lt;=Estimator!$B$7)</f>
        <v>1</v>
      </c>
      <c r="H2400" s="86">
        <f>SUMIFS('Climate Data'!$G$7:$G$366,'Climate Data'!$A$7:$A$366,Estimator!$B$4,'Climate Data'!$B$7:$B$366,C2400)</f>
        <v>0.24731182795698925</v>
      </c>
      <c r="I2400" s="87">
        <f>SUMIFS('Climate Data'!$H$7:$H$366,'Climate Data'!$A$7:$A$366,Estimator!$B$4,'Climate Data'!$B$7:$B$366,C2400)</f>
        <v>8.3739130434782609</v>
      </c>
      <c r="J2400" s="86">
        <f>SUMIFS('Wind Proxy'!$H$8:$H$19,'Wind Proxy'!$A$8:$A$19,Estimator!$B$4,'Wind Proxy'!$B$8:$B$19,C2400)</f>
        <v>0</v>
      </c>
    </row>
    <row r="2401" spans="1:10" ht="14.4">
      <c r="A2401" s="84">
        <v>48052</v>
      </c>
      <c r="B2401" s="85">
        <v>2031</v>
      </c>
      <c r="C2401" s="85">
        <v>7</v>
      </c>
      <c r="D2401" s="85" t="s">
        <v>69</v>
      </c>
      <c r="E2401" s="85">
        <v>23</v>
      </c>
      <c r="F2401" s="85">
        <v>3</v>
      </c>
      <c r="G2401" s="85">
        <f>--(F2401&lt;=Estimator!$B$7)</f>
        <v>1</v>
      </c>
      <c r="H2401" s="86">
        <f>SUMIFS('Climate Data'!$G$7:$G$366,'Climate Data'!$A$7:$A$366,Estimator!$B$4,'Climate Data'!$B$7:$B$366,C2401)</f>
        <v>0.24731182795698925</v>
      </c>
      <c r="I2401" s="87">
        <f>SUMIFS('Climate Data'!$H$7:$H$366,'Climate Data'!$A$7:$A$366,Estimator!$B$4,'Climate Data'!$B$7:$B$366,C2401)</f>
        <v>8.3739130434782609</v>
      </c>
      <c r="J2401" s="86">
        <f>SUMIFS('Wind Proxy'!$H$8:$H$19,'Wind Proxy'!$A$8:$A$19,Estimator!$B$4,'Wind Proxy'!$B$8:$B$19,C2401)</f>
        <v>0</v>
      </c>
    </row>
    <row r="2402" spans="1:10" ht="14.4">
      <c r="A2402" s="84">
        <v>48053</v>
      </c>
      <c r="B2402" s="85">
        <v>2031</v>
      </c>
      <c r="C2402" s="85">
        <v>7</v>
      </c>
      <c r="D2402" s="85" t="s">
        <v>69</v>
      </c>
      <c r="E2402" s="85">
        <v>24</v>
      </c>
      <c r="F2402" s="85">
        <v>4</v>
      </c>
      <c r="G2402" s="85">
        <f>--(F2402&lt;=Estimator!$B$7)</f>
        <v>1</v>
      </c>
      <c r="H2402" s="86">
        <f>SUMIFS('Climate Data'!$G$7:$G$366,'Climate Data'!$A$7:$A$366,Estimator!$B$4,'Climate Data'!$B$7:$B$366,C2402)</f>
        <v>0.24731182795698925</v>
      </c>
      <c r="I2402" s="87">
        <f>SUMIFS('Climate Data'!$H$7:$H$366,'Climate Data'!$A$7:$A$366,Estimator!$B$4,'Climate Data'!$B$7:$B$366,C2402)</f>
        <v>8.3739130434782609</v>
      </c>
      <c r="J2402" s="86">
        <f>SUMIFS('Wind Proxy'!$H$8:$H$19,'Wind Proxy'!$A$8:$A$19,Estimator!$B$4,'Wind Proxy'!$B$8:$B$19,C2402)</f>
        <v>0</v>
      </c>
    </row>
    <row r="2403" spans="1:10" ht="14.4">
      <c r="A2403" s="84">
        <v>48054</v>
      </c>
      <c r="B2403" s="85">
        <v>2031</v>
      </c>
      <c r="C2403" s="85">
        <v>7</v>
      </c>
      <c r="D2403" s="85" t="s">
        <v>69</v>
      </c>
      <c r="E2403" s="85">
        <v>25</v>
      </c>
      <c r="F2403" s="85">
        <v>5</v>
      </c>
      <c r="G2403" s="85">
        <f>--(F2403&lt;=Estimator!$B$7)</f>
        <v>1</v>
      </c>
      <c r="H2403" s="86">
        <f>SUMIFS('Climate Data'!$G$7:$G$366,'Climate Data'!$A$7:$A$366,Estimator!$B$4,'Climate Data'!$B$7:$B$366,C2403)</f>
        <v>0.24731182795698925</v>
      </c>
      <c r="I2403" s="87">
        <f>SUMIFS('Climate Data'!$H$7:$H$366,'Climate Data'!$A$7:$A$366,Estimator!$B$4,'Climate Data'!$B$7:$B$366,C2403)</f>
        <v>8.3739130434782609</v>
      </c>
      <c r="J2403" s="86">
        <f>SUMIFS('Wind Proxy'!$H$8:$H$19,'Wind Proxy'!$A$8:$A$19,Estimator!$B$4,'Wind Proxy'!$B$8:$B$19,C2403)</f>
        <v>0</v>
      </c>
    </row>
    <row r="2404" spans="1:10" ht="14.4">
      <c r="A2404" s="84">
        <v>48055</v>
      </c>
      <c r="B2404" s="85">
        <v>2031</v>
      </c>
      <c r="C2404" s="85">
        <v>7</v>
      </c>
      <c r="D2404" s="85" t="s">
        <v>69</v>
      </c>
      <c r="E2404" s="85">
        <v>26</v>
      </c>
      <c r="F2404" s="85">
        <v>6</v>
      </c>
      <c r="G2404" s="85">
        <f>--(F2404&lt;=Estimator!$B$7)</f>
        <v>0</v>
      </c>
      <c r="H2404" s="86">
        <f>SUMIFS('Climate Data'!$G$7:$G$366,'Climate Data'!$A$7:$A$366,Estimator!$B$4,'Climate Data'!$B$7:$B$366,C2404)</f>
        <v>0.24731182795698925</v>
      </c>
      <c r="I2404" s="87">
        <f>SUMIFS('Climate Data'!$H$7:$H$366,'Climate Data'!$A$7:$A$366,Estimator!$B$4,'Climate Data'!$B$7:$B$366,C2404)</f>
        <v>8.3739130434782609</v>
      </c>
      <c r="J2404" s="86">
        <f>SUMIFS('Wind Proxy'!$H$8:$H$19,'Wind Proxy'!$A$8:$A$19,Estimator!$B$4,'Wind Proxy'!$B$8:$B$19,C2404)</f>
        <v>0</v>
      </c>
    </row>
    <row r="2405" spans="1:10" ht="14.4">
      <c r="A2405" s="84">
        <v>48056</v>
      </c>
      <c r="B2405" s="85">
        <v>2031</v>
      </c>
      <c r="C2405" s="85">
        <v>7</v>
      </c>
      <c r="D2405" s="85" t="s">
        <v>69</v>
      </c>
      <c r="E2405" s="85">
        <v>27</v>
      </c>
      <c r="F2405" s="85">
        <v>7</v>
      </c>
      <c r="G2405" s="85">
        <f>--(F2405&lt;=Estimator!$B$7)</f>
        <v>0</v>
      </c>
      <c r="H2405" s="86">
        <f>SUMIFS('Climate Data'!$G$7:$G$366,'Climate Data'!$A$7:$A$366,Estimator!$B$4,'Climate Data'!$B$7:$B$366,C2405)</f>
        <v>0.24731182795698925</v>
      </c>
      <c r="I2405" s="87">
        <f>SUMIFS('Climate Data'!$H$7:$H$366,'Climate Data'!$A$7:$A$366,Estimator!$B$4,'Climate Data'!$B$7:$B$366,C2405)</f>
        <v>8.3739130434782609</v>
      </c>
      <c r="J2405" s="86">
        <f>SUMIFS('Wind Proxy'!$H$8:$H$19,'Wind Proxy'!$A$8:$A$19,Estimator!$B$4,'Wind Proxy'!$B$8:$B$19,C2405)</f>
        <v>0</v>
      </c>
    </row>
    <row r="2406" spans="1:10" ht="14.4">
      <c r="A2406" s="84">
        <v>48057</v>
      </c>
      <c r="B2406" s="85">
        <v>2031</v>
      </c>
      <c r="C2406" s="85">
        <v>7</v>
      </c>
      <c r="D2406" s="85" t="s">
        <v>69</v>
      </c>
      <c r="E2406" s="85">
        <v>28</v>
      </c>
      <c r="F2406" s="85">
        <v>1</v>
      </c>
      <c r="G2406" s="85">
        <f>--(F2406&lt;=Estimator!$B$7)</f>
        <v>1</v>
      </c>
      <c r="H2406" s="86">
        <f>SUMIFS('Climate Data'!$G$7:$G$366,'Climate Data'!$A$7:$A$366,Estimator!$B$4,'Climate Data'!$B$7:$B$366,C2406)</f>
        <v>0.24731182795698925</v>
      </c>
      <c r="I2406" s="87">
        <f>SUMIFS('Climate Data'!$H$7:$H$366,'Climate Data'!$A$7:$A$366,Estimator!$B$4,'Climate Data'!$B$7:$B$366,C2406)</f>
        <v>8.3739130434782609</v>
      </c>
      <c r="J2406" s="86">
        <f>SUMIFS('Wind Proxy'!$H$8:$H$19,'Wind Proxy'!$A$8:$A$19,Estimator!$B$4,'Wind Proxy'!$B$8:$B$19,C2406)</f>
        <v>0</v>
      </c>
    </row>
    <row r="2407" spans="1:10" ht="14.4">
      <c r="A2407" s="84">
        <v>48058</v>
      </c>
      <c r="B2407" s="85">
        <v>2031</v>
      </c>
      <c r="C2407" s="85">
        <v>7</v>
      </c>
      <c r="D2407" s="85" t="s">
        <v>69</v>
      </c>
      <c r="E2407" s="85">
        <v>29</v>
      </c>
      <c r="F2407" s="85">
        <v>2</v>
      </c>
      <c r="G2407" s="85">
        <f>--(F2407&lt;=Estimator!$B$7)</f>
        <v>1</v>
      </c>
      <c r="H2407" s="86">
        <f>SUMIFS('Climate Data'!$G$7:$G$366,'Climate Data'!$A$7:$A$366,Estimator!$B$4,'Climate Data'!$B$7:$B$366,C2407)</f>
        <v>0.24731182795698925</v>
      </c>
      <c r="I2407" s="87">
        <f>SUMIFS('Climate Data'!$H$7:$H$366,'Climate Data'!$A$7:$A$366,Estimator!$B$4,'Climate Data'!$B$7:$B$366,C2407)</f>
        <v>8.3739130434782609</v>
      </c>
      <c r="J2407" s="86">
        <f>SUMIFS('Wind Proxy'!$H$8:$H$19,'Wind Proxy'!$A$8:$A$19,Estimator!$B$4,'Wind Proxy'!$B$8:$B$19,C2407)</f>
        <v>0</v>
      </c>
    </row>
    <row r="2408" spans="1:10" ht="14.4">
      <c r="A2408" s="84">
        <v>48059</v>
      </c>
      <c r="B2408" s="85">
        <v>2031</v>
      </c>
      <c r="C2408" s="85">
        <v>7</v>
      </c>
      <c r="D2408" s="85" t="s">
        <v>69</v>
      </c>
      <c r="E2408" s="85">
        <v>30</v>
      </c>
      <c r="F2408" s="85">
        <v>3</v>
      </c>
      <c r="G2408" s="85">
        <f>--(F2408&lt;=Estimator!$B$7)</f>
        <v>1</v>
      </c>
      <c r="H2408" s="86">
        <f>SUMIFS('Climate Data'!$G$7:$G$366,'Climate Data'!$A$7:$A$366,Estimator!$B$4,'Climate Data'!$B$7:$B$366,C2408)</f>
        <v>0.24731182795698925</v>
      </c>
      <c r="I2408" s="87">
        <f>SUMIFS('Climate Data'!$H$7:$H$366,'Climate Data'!$A$7:$A$366,Estimator!$B$4,'Climate Data'!$B$7:$B$366,C2408)</f>
        <v>8.3739130434782609</v>
      </c>
      <c r="J2408" s="86">
        <f>SUMIFS('Wind Proxy'!$H$8:$H$19,'Wind Proxy'!$A$8:$A$19,Estimator!$B$4,'Wind Proxy'!$B$8:$B$19,C2408)</f>
        <v>0</v>
      </c>
    </row>
    <row r="2409" spans="1:10" ht="14.4">
      <c r="A2409" s="84">
        <v>48060</v>
      </c>
      <c r="B2409" s="85">
        <v>2031</v>
      </c>
      <c r="C2409" s="85">
        <v>7</v>
      </c>
      <c r="D2409" s="85" t="s">
        <v>69</v>
      </c>
      <c r="E2409" s="85">
        <v>31</v>
      </c>
      <c r="F2409" s="85">
        <v>4</v>
      </c>
      <c r="G2409" s="85">
        <f>--(F2409&lt;=Estimator!$B$7)</f>
        <v>1</v>
      </c>
      <c r="H2409" s="86">
        <f>SUMIFS('Climate Data'!$G$7:$G$366,'Climate Data'!$A$7:$A$366,Estimator!$B$4,'Climate Data'!$B$7:$B$366,C2409)</f>
        <v>0.24731182795698925</v>
      </c>
      <c r="I2409" s="87">
        <f>SUMIFS('Climate Data'!$H$7:$H$366,'Climate Data'!$A$7:$A$366,Estimator!$B$4,'Climate Data'!$B$7:$B$366,C2409)</f>
        <v>8.3739130434782609</v>
      </c>
      <c r="J2409" s="86">
        <f>SUMIFS('Wind Proxy'!$H$8:$H$19,'Wind Proxy'!$A$8:$A$19,Estimator!$B$4,'Wind Proxy'!$B$8:$B$19,C2409)</f>
        <v>0</v>
      </c>
    </row>
    <row r="2410" spans="1:10" ht="14.4">
      <c r="A2410" s="84">
        <v>48061</v>
      </c>
      <c r="B2410" s="85">
        <v>2031</v>
      </c>
      <c r="C2410" s="85">
        <v>8</v>
      </c>
      <c r="D2410" s="85" t="s">
        <v>71</v>
      </c>
      <c r="E2410" s="85">
        <v>1</v>
      </c>
      <c r="F2410" s="85">
        <v>5</v>
      </c>
      <c r="G2410" s="85">
        <f>--(F2410&lt;=Estimator!$B$7)</f>
        <v>1</v>
      </c>
      <c r="H2410" s="86">
        <f>SUMIFS('Climate Data'!$G$7:$G$366,'Climate Data'!$A$7:$A$366,Estimator!$B$4,'Climate Data'!$B$7:$B$366,C2410)</f>
        <v>0.23548387096774193</v>
      </c>
      <c r="I2410" s="87">
        <f>SUMIFS('Climate Data'!$H$7:$H$366,'Climate Data'!$A$7:$A$366,Estimator!$B$4,'Climate Data'!$B$7:$B$366,C2410)</f>
        <v>7.9589041095890414</v>
      </c>
      <c r="J2410" s="86">
        <f>SUMIFS('Wind Proxy'!$H$8:$H$19,'Wind Proxy'!$A$8:$A$19,Estimator!$B$4,'Wind Proxy'!$B$8:$B$19,C2410)</f>
        <v>0</v>
      </c>
    </row>
    <row r="2411" spans="1:10" ht="14.4">
      <c r="A2411" s="84">
        <v>48062</v>
      </c>
      <c r="B2411" s="85">
        <v>2031</v>
      </c>
      <c r="C2411" s="85">
        <v>8</v>
      </c>
      <c r="D2411" s="85" t="s">
        <v>71</v>
      </c>
      <c r="E2411" s="85">
        <v>2</v>
      </c>
      <c r="F2411" s="85">
        <v>6</v>
      </c>
      <c r="G2411" s="85">
        <f>--(F2411&lt;=Estimator!$B$7)</f>
        <v>0</v>
      </c>
      <c r="H2411" s="86">
        <f>SUMIFS('Climate Data'!$G$7:$G$366,'Climate Data'!$A$7:$A$366,Estimator!$B$4,'Climate Data'!$B$7:$B$366,C2411)</f>
        <v>0.23548387096774193</v>
      </c>
      <c r="I2411" s="87">
        <f>SUMIFS('Climate Data'!$H$7:$H$366,'Climate Data'!$A$7:$A$366,Estimator!$B$4,'Climate Data'!$B$7:$B$366,C2411)</f>
        <v>7.9589041095890414</v>
      </c>
      <c r="J2411" s="86">
        <f>SUMIFS('Wind Proxy'!$H$8:$H$19,'Wind Proxy'!$A$8:$A$19,Estimator!$B$4,'Wind Proxy'!$B$8:$B$19,C2411)</f>
        <v>0</v>
      </c>
    </row>
    <row r="2412" spans="1:10" ht="14.4">
      <c r="A2412" s="84">
        <v>48063</v>
      </c>
      <c r="B2412" s="85">
        <v>2031</v>
      </c>
      <c r="C2412" s="85">
        <v>8</v>
      </c>
      <c r="D2412" s="85" t="s">
        <v>71</v>
      </c>
      <c r="E2412" s="85">
        <v>3</v>
      </c>
      <c r="F2412" s="85">
        <v>7</v>
      </c>
      <c r="G2412" s="85">
        <f>--(F2412&lt;=Estimator!$B$7)</f>
        <v>0</v>
      </c>
      <c r="H2412" s="86">
        <f>SUMIFS('Climate Data'!$G$7:$G$366,'Climate Data'!$A$7:$A$366,Estimator!$B$4,'Climate Data'!$B$7:$B$366,C2412)</f>
        <v>0.23548387096774193</v>
      </c>
      <c r="I2412" s="87">
        <f>SUMIFS('Climate Data'!$H$7:$H$366,'Climate Data'!$A$7:$A$366,Estimator!$B$4,'Climate Data'!$B$7:$B$366,C2412)</f>
        <v>7.9589041095890414</v>
      </c>
      <c r="J2412" s="86">
        <f>SUMIFS('Wind Proxy'!$H$8:$H$19,'Wind Proxy'!$A$8:$A$19,Estimator!$B$4,'Wind Proxy'!$B$8:$B$19,C2412)</f>
        <v>0</v>
      </c>
    </row>
    <row r="2413" spans="1:10" ht="14.4">
      <c r="A2413" s="84">
        <v>48064</v>
      </c>
      <c r="B2413" s="85">
        <v>2031</v>
      </c>
      <c r="C2413" s="85">
        <v>8</v>
      </c>
      <c r="D2413" s="85" t="s">
        <v>71</v>
      </c>
      <c r="E2413" s="85">
        <v>4</v>
      </c>
      <c r="F2413" s="85">
        <v>1</v>
      </c>
      <c r="G2413" s="85">
        <f>--(F2413&lt;=Estimator!$B$7)</f>
        <v>1</v>
      </c>
      <c r="H2413" s="86">
        <f>SUMIFS('Climate Data'!$G$7:$G$366,'Climate Data'!$A$7:$A$366,Estimator!$B$4,'Climate Data'!$B$7:$B$366,C2413)</f>
        <v>0.23548387096774193</v>
      </c>
      <c r="I2413" s="87">
        <f>SUMIFS('Climate Data'!$H$7:$H$366,'Climate Data'!$A$7:$A$366,Estimator!$B$4,'Climate Data'!$B$7:$B$366,C2413)</f>
        <v>7.9589041095890414</v>
      </c>
      <c r="J2413" s="86">
        <f>SUMIFS('Wind Proxy'!$H$8:$H$19,'Wind Proxy'!$A$8:$A$19,Estimator!$B$4,'Wind Proxy'!$B$8:$B$19,C2413)</f>
        <v>0</v>
      </c>
    </row>
    <row r="2414" spans="1:10" ht="14.4">
      <c r="A2414" s="84">
        <v>48065</v>
      </c>
      <c r="B2414" s="85">
        <v>2031</v>
      </c>
      <c r="C2414" s="85">
        <v>8</v>
      </c>
      <c r="D2414" s="85" t="s">
        <v>71</v>
      </c>
      <c r="E2414" s="85">
        <v>5</v>
      </c>
      <c r="F2414" s="85">
        <v>2</v>
      </c>
      <c r="G2414" s="85">
        <f>--(F2414&lt;=Estimator!$B$7)</f>
        <v>1</v>
      </c>
      <c r="H2414" s="86">
        <f>SUMIFS('Climate Data'!$G$7:$G$366,'Climate Data'!$A$7:$A$366,Estimator!$B$4,'Climate Data'!$B$7:$B$366,C2414)</f>
        <v>0.23548387096774193</v>
      </c>
      <c r="I2414" s="87">
        <f>SUMIFS('Climate Data'!$H$7:$H$366,'Climate Data'!$A$7:$A$366,Estimator!$B$4,'Climate Data'!$B$7:$B$366,C2414)</f>
        <v>7.9589041095890414</v>
      </c>
      <c r="J2414" s="86">
        <f>SUMIFS('Wind Proxy'!$H$8:$H$19,'Wind Proxy'!$A$8:$A$19,Estimator!$B$4,'Wind Proxy'!$B$8:$B$19,C2414)</f>
        <v>0</v>
      </c>
    </row>
    <row r="2415" spans="1:10" ht="14.4">
      <c r="A2415" s="84">
        <v>48066</v>
      </c>
      <c r="B2415" s="85">
        <v>2031</v>
      </c>
      <c r="C2415" s="85">
        <v>8</v>
      </c>
      <c r="D2415" s="85" t="s">
        <v>71</v>
      </c>
      <c r="E2415" s="85">
        <v>6</v>
      </c>
      <c r="F2415" s="85">
        <v>3</v>
      </c>
      <c r="G2415" s="85">
        <f>--(F2415&lt;=Estimator!$B$7)</f>
        <v>1</v>
      </c>
      <c r="H2415" s="86">
        <f>SUMIFS('Climate Data'!$G$7:$G$366,'Climate Data'!$A$7:$A$366,Estimator!$B$4,'Climate Data'!$B$7:$B$366,C2415)</f>
        <v>0.23548387096774193</v>
      </c>
      <c r="I2415" s="87">
        <f>SUMIFS('Climate Data'!$H$7:$H$366,'Climate Data'!$A$7:$A$366,Estimator!$B$4,'Climate Data'!$B$7:$B$366,C2415)</f>
        <v>7.9589041095890414</v>
      </c>
      <c r="J2415" s="86">
        <f>SUMIFS('Wind Proxy'!$H$8:$H$19,'Wind Proxy'!$A$8:$A$19,Estimator!$B$4,'Wind Proxy'!$B$8:$B$19,C2415)</f>
        <v>0</v>
      </c>
    </row>
    <row r="2416" spans="1:10" ht="14.4">
      <c r="A2416" s="84">
        <v>48067</v>
      </c>
      <c r="B2416" s="85">
        <v>2031</v>
      </c>
      <c r="C2416" s="85">
        <v>8</v>
      </c>
      <c r="D2416" s="85" t="s">
        <v>71</v>
      </c>
      <c r="E2416" s="85">
        <v>7</v>
      </c>
      <c r="F2416" s="85">
        <v>4</v>
      </c>
      <c r="G2416" s="85">
        <f>--(F2416&lt;=Estimator!$B$7)</f>
        <v>1</v>
      </c>
      <c r="H2416" s="86">
        <f>SUMIFS('Climate Data'!$G$7:$G$366,'Climate Data'!$A$7:$A$366,Estimator!$B$4,'Climate Data'!$B$7:$B$366,C2416)</f>
        <v>0.23548387096774193</v>
      </c>
      <c r="I2416" s="87">
        <f>SUMIFS('Climate Data'!$H$7:$H$366,'Climate Data'!$A$7:$A$366,Estimator!$B$4,'Climate Data'!$B$7:$B$366,C2416)</f>
        <v>7.9589041095890414</v>
      </c>
      <c r="J2416" s="86">
        <f>SUMIFS('Wind Proxy'!$H$8:$H$19,'Wind Proxy'!$A$8:$A$19,Estimator!$B$4,'Wind Proxy'!$B$8:$B$19,C2416)</f>
        <v>0</v>
      </c>
    </row>
    <row r="2417" spans="1:10" ht="14.4">
      <c r="A2417" s="84">
        <v>48068</v>
      </c>
      <c r="B2417" s="85">
        <v>2031</v>
      </c>
      <c r="C2417" s="85">
        <v>8</v>
      </c>
      <c r="D2417" s="85" t="s">
        <v>71</v>
      </c>
      <c r="E2417" s="85">
        <v>8</v>
      </c>
      <c r="F2417" s="85">
        <v>5</v>
      </c>
      <c r="G2417" s="85">
        <f>--(F2417&lt;=Estimator!$B$7)</f>
        <v>1</v>
      </c>
      <c r="H2417" s="86">
        <f>SUMIFS('Climate Data'!$G$7:$G$366,'Climate Data'!$A$7:$A$366,Estimator!$B$4,'Climate Data'!$B$7:$B$366,C2417)</f>
        <v>0.23548387096774193</v>
      </c>
      <c r="I2417" s="87">
        <f>SUMIFS('Climate Data'!$H$7:$H$366,'Climate Data'!$A$7:$A$366,Estimator!$B$4,'Climate Data'!$B$7:$B$366,C2417)</f>
        <v>7.9589041095890414</v>
      </c>
      <c r="J2417" s="86">
        <f>SUMIFS('Wind Proxy'!$H$8:$H$19,'Wind Proxy'!$A$8:$A$19,Estimator!$B$4,'Wind Proxy'!$B$8:$B$19,C2417)</f>
        <v>0</v>
      </c>
    </row>
    <row r="2418" spans="1:10" ht="14.4">
      <c r="A2418" s="84">
        <v>48069</v>
      </c>
      <c r="B2418" s="85">
        <v>2031</v>
      </c>
      <c r="C2418" s="85">
        <v>8</v>
      </c>
      <c r="D2418" s="85" t="s">
        <v>71</v>
      </c>
      <c r="E2418" s="85">
        <v>9</v>
      </c>
      <c r="F2418" s="85">
        <v>6</v>
      </c>
      <c r="G2418" s="85">
        <f>--(F2418&lt;=Estimator!$B$7)</f>
        <v>0</v>
      </c>
      <c r="H2418" s="86">
        <f>SUMIFS('Climate Data'!$G$7:$G$366,'Climate Data'!$A$7:$A$366,Estimator!$B$4,'Climate Data'!$B$7:$B$366,C2418)</f>
        <v>0.23548387096774193</v>
      </c>
      <c r="I2418" s="87">
        <f>SUMIFS('Climate Data'!$H$7:$H$366,'Climate Data'!$A$7:$A$366,Estimator!$B$4,'Climate Data'!$B$7:$B$366,C2418)</f>
        <v>7.9589041095890414</v>
      </c>
      <c r="J2418" s="86">
        <f>SUMIFS('Wind Proxy'!$H$8:$H$19,'Wind Proxy'!$A$8:$A$19,Estimator!$B$4,'Wind Proxy'!$B$8:$B$19,C2418)</f>
        <v>0</v>
      </c>
    </row>
    <row r="2419" spans="1:10" ht="14.4">
      <c r="A2419" s="84">
        <v>48070</v>
      </c>
      <c r="B2419" s="85">
        <v>2031</v>
      </c>
      <c r="C2419" s="85">
        <v>8</v>
      </c>
      <c r="D2419" s="85" t="s">
        <v>71</v>
      </c>
      <c r="E2419" s="85">
        <v>10</v>
      </c>
      <c r="F2419" s="85">
        <v>7</v>
      </c>
      <c r="G2419" s="85">
        <f>--(F2419&lt;=Estimator!$B$7)</f>
        <v>0</v>
      </c>
      <c r="H2419" s="86">
        <f>SUMIFS('Climate Data'!$G$7:$G$366,'Climate Data'!$A$7:$A$366,Estimator!$B$4,'Climate Data'!$B$7:$B$366,C2419)</f>
        <v>0.23548387096774193</v>
      </c>
      <c r="I2419" s="87">
        <f>SUMIFS('Climate Data'!$H$7:$H$366,'Climate Data'!$A$7:$A$366,Estimator!$B$4,'Climate Data'!$B$7:$B$366,C2419)</f>
        <v>7.9589041095890414</v>
      </c>
      <c r="J2419" s="86">
        <f>SUMIFS('Wind Proxy'!$H$8:$H$19,'Wind Proxy'!$A$8:$A$19,Estimator!$B$4,'Wind Proxy'!$B$8:$B$19,C2419)</f>
        <v>0</v>
      </c>
    </row>
    <row r="2420" spans="1:10" ht="14.4">
      <c r="A2420" s="84">
        <v>48071</v>
      </c>
      <c r="B2420" s="85">
        <v>2031</v>
      </c>
      <c r="C2420" s="85">
        <v>8</v>
      </c>
      <c r="D2420" s="85" t="s">
        <v>71</v>
      </c>
      <c r="E2420" s="85">
        <v>11</v>
      </c>
      <c r="F2420" s="85">
        <v>1</v>
      </c>
      <c r="G2420" s="85">
        <f>--(F2420&lt;=Estimator!$B$7)</f>
        <v>1</v>
      </c>
      <c r="H2420" s="86">
        <f>SUMIFS('Climate Data'!$G$7:$G$366,'Climate Data'!$A$7:$A$366,Estimator!$B$4,'Climate Data'!$B$7:$B$366,C2420)</f>
        <v>0.23548387096774193</v>
      </c>
      <c r="I2420" s="87">
        <f>SUMIFS('Climate Data'!$H$7:$H$366,'Climate Data'!$A$7:$A$366,Estimator!$B$4,'Climate Data'!$B$7:$B$366,C2420)</f>
        <v>7.9589041095890414</v>
      </c>
      <c r="J2420" s="86">
        <f>SUMIFS('Wind Proxy'!$H$8:$H$19,'Wind Proxy'!$A$8:$A$19,Estimator!$B$4,'Wind Proxy'!$B$8:$B$19,C2420)</f>
        <v>0</v>
      </c>
    </row>
    <row r="2421" spans="1:10" ht="14.4">
      <c r="A2421" s="84">
        <v>48072</v>
      </c>
      <c r="B2421" s="85">
        <v>2031</v>
      </c>
      <c r="C2421" s="85">
        <v>8</v>
      </c>
      <c r="D2421" s="85" t="s">
        <v>71</v>
      </c>
      <c r="E2421" s="85">
        <v>12</v>
      </c>
      <c r="F2421" s="85">
        <v>2</v>
      </c>
      <c r="G2421" s="85">
        <f>--(F2421&lt;=Estimator!$B$7)</f>
        <v>1</v>
      </c>
      <c r="H2421" s="86">
        <f>SUMIFS('Climate Data'!$G$7:$G$366,'Climate Data'!$A$7:$A$366,Estimator!$B$4,'Climate Data'!$B$7:$B$366,C2421)</f>
        <v>0.23548387096774193</v>
      </c>
      <c r="I2421" s="87">
        <f>SUMIFS('Climate Data'!$H$7:$H$366,'Climate Data'!$A$7:$A$366,Estimator!$B$4,'Climate Data'!$B$7:$B$366,C2421)</f>
        <v>7.9589041095890414</v>
      </c>
      <c r="J2421" s="86">
        <f>SUMIFS('Wind Proxy'!$H$8:$H$19,'Wind Proxy'!$A$8:$A$19,Estimator!$B$4,'Wind Proxy'!$B$8:$B$19,C2421)</f>
        <v>0</v>
      </c>
    </row>
    <row r="2422" spans="1:10" ht="14.4">
      <c r="A2422" s="84">
        <v>48073</v>
      </c>
      <c r="B2422" s="85">
        <v>2031</v>
      </c>
      <c r="C2422" s="85">
        <v>8</v>
      </c>
      <c r="D2422" s="85" t="s">
        <v>71</v>
      </c>
      <c r="E2422" s="85">
        <v>13</v>
      </c>
      <c r="F2422" s="85">
        <v>3</v>
      </c>
      <c r="G2422" s="85">
        <f>--(F2422&lt;=Estimator!$B$7)</f>
        <v>1</v>
      </c>
      <c r="H2422" s="86">
        <f>SUMIFS('Climate Data'!$G$7:$G$366,'Climate Data'!$A$7:$A$366,Estimator!$B$4,'Climate Data'!$B$7:$B$366,C2422)</f>
        <v>0.23548387096774193</v>
      </c>
      <c r="I2422" s="87">
        <f>SUMIFS('Climate Data'!$H$7:$H$366,'Climate Data'!$A$7:$A$366,Estimator!$B$4,'Climate Data'!$B$7:$B$366,C2422)</f>
        <v>7.9589041095890414</v>
      </c>
      <c r="J2422" s="86">
        <f>SUMIFS('Wind Proxy'!$H$8:$H$19,'Wind Proxy'!$A$8:$A$19,Estimator!$B$4,'Wind Proxy'!$B$8:$B$19,C2422)</f>
        <v>0</v>
      </c>
    </row>
    <row r="2423" spans="1:10" ht="14.4">
      <c r="A2423" s="84">
        <v>48074</v>
      </c>
      <c r="B2423" s="85">
        <v>2031</v>
      </c>
      <c r="C2423" s="85">
        <v>8</v>
      </c>
      <c r="D2423" s="85" t="s">
        <v>71</v>
      </c>
      <c r="E2423" s="85">
        <v>14</v>
      </c>
      <c r="F2423" s="85">
        <v>4</v>
      </c>
      <c r="G2423" s="85">
        <f>--(F2423&lt;=Estimator!$B$7)</f>
        <v>1</v>
      </c>
      <c r="H2423" s="86">
        <f>SUMIFS('Climate Data'!$G$7:$G$366,'Climate Data'!$A$7:$A$366,Estimator!$B$4,'Climate Data'!$B$7:$B$366,C2423)</f>
        <v>0.23548387096774193</v>
      </c>
      <c r="I2423" s="87">
        <f>SUMIFS('Climate Data'!$H$7:$H$366,'Climate Data'!$A$7:$A$366,Estimator!$B$4,'Climate Data'!$B$7:$B$366,C2423)</f>
        <v>7.9589041095890414</v>
      </c>
      <c r="J2423" s="86">
        <f>SUMIFS('Wind Proxy'!$H$8:$H$19,'Wind Proxy'!$A$8:$A$19,Estimator!$B$4,'Wind Proxy'!$B$8:$B$19,C2423)</f>
        <v>0</v>
      </c>
    </row>
    <row r="2424" spans="1:10" ht="14.4">
      <c r="A2424" s="84">
        <v>48075</v>
      </c>
      <c r="B2424" s="85">
        <v>2031</v>
      </c>
      <c r="C2424" s="85">
        <v>8</v>
      </c>
      <c r="D2424" s="85" t="s">
        <v>71</v>
      </c>
      <c r="E2424" s="85">
        <v>15</v>
      </c>
      <c r="F2424" s="85">
        <v>5</v>
      </c>
      <c r="G2424" s="85">
        <f>--(F2424&lt;=Estimator!$B$7)</f>
        <v>1</v>
      </c>
      <c r="H2424" s="86">
        <f>SUMIFS('Climate Data'!$G$7:$G$366,'Climate Data'!$A$7:$A$366,Estimator!$B$4,'Climate Data'!$B$7:$B$366,C2424)</f>
        <v>0.23548387096774193</v>
      </c>
      <c r="I2424" s="87">
        <f>SUMIFS('Climate Data'!$H$7:$H$366,'Climate Data'!$A$7:$A$366,Estimator!$B$4,'Climate Data'!$B$7:$B$366,C2424)</f>
        <v>7.9589041095890414</v>
      </c>
      <c r="J2424" s="86">
        <f>SUMIFS('Wind Proxy'!$H$8:$H$19,'Wind Proxy'!$A$8:$A$19,Estimator!$B$4,'Wind Proxy'!$B$8:$B$19,C2424)</f>
        <v>0</v>
      </c>
    </row>
    <row r="2425" spans="1:10" ht="14.4">
      <c r="A2425" s="84">
        <v>48076</v>
      </c>
      <c r="B2425" s="85">
        <v>2031</v>
      </c>
      <c r="C2425" s="85">
        <v>8</v>
      </c>
      <c r="D2425" s="85" t="s">
        <v>71</v>
      </c>
      <c r="E2425" s="85">
        <v>16</v>
      </c>
      <c r="F2425" s="85">
        <v>6</v>
      </c>
      <c r="G2425" s="85">
        <f>--(F2425&lt;=Estimator!$B$7)</f>
        <v>0</v>
      </c>
      <c r="H2425" s="86">
        <f>SUMIFS('Climate Data'!$G$7:$G$366,'Climate Data'!$A$7:$A$366,Estimator!$B$4,'Climate Data'!$B$7:$B$366,C2425)</f>
        <v>0.23548387096774193</v>
      </c>
      <c r="I2425" s="87">
        <f>SUMIFS('Climate Data'!$H$7:$H$366,'Climate Data'!$A$7:$A$366,Estimator!$B$4,'Climate Data'!$B$7:$B$366,C2425)</f>
        <v>7.9589041095890414</v>
      </c>
      <c r="J2425" s="86">
        <f>SUMIFS('Wind Proxy'!$H$8:$H$19,'Wind Proxy'!$A$8:$A$19,Estimator!$B$4,'Wind Proxy'!$B$8:$B$19,C2425)</f>
        <v>0</v>
      </c>
    </row>
    <row r="2426" spans="1:10" ht="14.4">
      <c r="A2426" s="84">
        <v>48077</v>
      </c>
      <c r="B2426" s="85">
        <v>2031</v>
      </c>
      <c r="C2426" s="85">
        <v>8</v>
      </c>
      <c r="D2426" s="85" t="s">
        <v>71</v>
      </c>
      <c r="E2426" s="85">
        <v>17</v>
      </c>
      <c r="F2426" s="85">
        <v>7</v>
      </c>
      <c r="G2426" s="85">
        <f>--(F2426&lt;=Estimator!$B$7)</f>
        <v>0</v>
      </c>
      <c r="H2426" s="86">
        <f>SUMIFS('Climate Data'!$G$7:$G$366,'Climate Data'!$A$7:$A$366,Estimator!$B$4,'Climate Data'!$B$7:$B$366,C2426)</f>
        <v>0.23548387096774193</v>
      </c>
      <c r="I2426" s="87">
        <f>SUMIFS('Climate Data'!$H$7:$H$366,'Climate Data'!$A$7:$A$366,Estimator!$B$4,'Climate Data'!$B$7:$B$366,C2426)</f>
        <v>7.9589041095890414</v>
      </c>
      <c r="J2426" s="86">
        <f>SUMIFS('Wind Proxy'!$H$8:$H$19,'Wind Proxy'!$A$8:$A$19,Estimator!$B$4,'Wind Proxy'!$B$8:$B$19,C2426)</f>
        <v>0</v>
      </c>
    </row>
    <row r="2427" spans="1:10" ht="14.4">
      <c r="A2427" s="84">
        <v>48078</v>
      </c>
      <c r="B2427" s="85">
        <v>2031</v>
      </c>
      <c r="C2427" s="85">
        <v>8</v>
      </c>
      <c r="D2427" s="85" t="s">
        <v>71</v>
      </c>
      <c r="E2427" s="85">
        <v>18</v>
      </c>
      <c r="F2427" s="85">
        <v>1</v>
      </c>
      <c r="G2427" s="85">
        <f>--(F2427&lt;=Estimator!$B$7)</f>
        <v>1</v>
      </c>
      <c r="H2427" s="86">
        <f>SUMIFS('Climate Data'!$G$7:$G$366,'Climate Data'!$A$7:$A$366,Estimator!$B$4,'Climate Data'!$B$7:$B$366,C2427)</f>
        <v>0.23548387096774193</v>
      </c>
      <c r="I2427" s="87">
        <f>SUMIFS('Climate Data'!$H$7:$H$366,'Climate Data'!$A$7:$A$366,Estimator!$B$4,'Climate Data'!$B$7:$B$366,C2427)</f>
        <v>7.9589041095890414</v>
      </c>
      <c r="J2427" s="86">
        <f>SUMIFS('Wind Proxy'!$H$8:$H$19,'Wind Proxy'!$A$8:$A$19,Estimator!$B$4,'Wind Proxy'!$B$8:$B$19,C2427)</f>
        <v>0</v>
      </c>
    </row>
    <row r="2428" spans="1:10" ht="14.4">
      <c r="A2428" s="84">
        <v>48079</v>
      </c>
      <c r="B2428" s="85">
        <v>2031</v>
      </c>
      <c r="C2428" s="85">
        <v>8</v>
      </c>
      <c r="D2428" s="85" t="s">
        <v>71</v>
      </c>
      <c r="E2428" s="85">
        <v>19</v>
      </c>
      <c r="F2428" s="85">
        <v>2</v>
      </c>
      <c r="G2428" s="85">
        <f>--(F2428&lt;=Estimator!$B$7)</f>
        <v>1</v>
      </c>
      <c r="H2428" s="86">
        <f>SUMIFS('Climate Data'!$G$7:$G$366,'Climate Data'!$A$7:$A$366,Estimator!$B$4,'Climate Data'!$B$7:$B$366,C2428)</f>
        <v>0.23548387096774193</v>
      </c>
      <c r="I2428" s="87">
        <f>SUMIFS('Climate Data'!$H$7:$H$366,'Climate Data'!$A$7:$A$366,Estimator!$B$4,'Climate Data'!$B$7:$B$366,C2428)</f>
        <v>7.9589041095890414</v>
      </c>
      <c r="J2428" s="86">
        <f>SUMIFS('Wind Proxy'!$H$8:$H$19,'Wind Proxy'!$A$8:$A$19,Estimator!$B$4,'Wind Proxy'!$B$8:$B$19,C2428)</f>
        <v>0</v>
      </c>
    </row>
    <row r="2429" spans="1:10" ht="14.4">
      <c r="A2429" s="84">
        <v>48080</v>
      </c>
      <c r="B2429" s="85">
        <v>2031</v>
      </c>
      <c r="C2429" s="85">
        <v>8</v>
      </c>
      <c r="D2429" s="85" t="s">
        <v>71</v>
      </c>
      <c r="E2429" s="85">
        <v>20</v>
      </c>
      <c r="F2429" s="85">
        <v>3</v>
      </c>
      <c r="G2429" s="85">
        <f>--(F2429&lt;=Estimator!$B$7)</f>
        <v>1</v>
      </c>
      <c r="H2429" s="86">
        <f>SUMIFS('Climate Data'!$G$7:$G$366,'Climate Data'!$A$7:$A$366,Estimator!$B$4,'Climate Data'!$B$7:$B$366,C2429)</f>
        <v>0.23548387096774193</v>
      </c>
      <c r="I2429" s="87">
        <f>SUMIFS('Climate Data'!$H$7:$H$366,'Climate Data'!$A$7:$A$366,Estimator!$B$4,'Climate Data'!$B$7:$B$366,C2429)</f>
        <v>7.9589041095890414</v>
      </c>
      <c r="J2429" s="86">
        <f>SUMIFS('Wind Proxy'!$H$8:$H$19,'Wind Proxy'!$A$8:$A$19,Estimator!$B$4,'Wind Proxy'!$B$8:$B$19,C2429)</f>
        <v>0</v>
      </c>
    </row>
    <row r="2430" spans="1:10" ht="14.4">
      <c r="A2430" s="84">
        <v>48081</v>
      </c>
      <c r="B2430" s="85">
        <v>2031</v>
      </c>
      <c r="C2430" s="85">
        <v>8</v>
      </c>
      <c r="D2430" s="85" t="s">
        <v>71</v>
      </c>
      <c r="E2430" s="85">
        <v>21</v>
      </c>
      <c r="F2430" s="85">
        <v>4</v>
      </c>
      <c r="G2430" s="85">
        <f>--(F2430&lt;=Estimator!$B$7)</f>
        <v>1</v>
      </c>
      <c r="H2430" s="86">
        <f>SUMIFS('Climate Data'!$G$7:$G$366,'Climate Data'!$A$7:$A$366,Estimator!$B$4,'Climate Data'!$B$7:$B$366,C2430)</f>
        <v>0.23548387096774193</v>
      </c>
      <c r="I2430" s="87">
        <f>SUMIFS('Climate Data'!$H$7:$H$366,'Climate Data'!$A$7:$A$366,Estimator!$B$4,'Climate Data'!$B$7:$B$366,C2430)</f>
        <v>7.9589041095890414</v>
      </c>
      <c r="J2430" s="86">
        <f>SUMIFS('Wind Proxy'!$H$8:$H$19,'Wind Proxy'!$A$8:$A$19,Estimator!$B$4,'Wind Proxy'!$B$8:$B$19,C2430)</f>
        <v>0</v>
      </c>
    </row>
    <row r="2431" spans="1:10" ht="14.4">
      <c r="A2431" s="84">
        <v>48082</v>
      </c>
      <c r="B2431" s="85">
        <v>2031</v>
      </c>
      <c r="C2431" s="85">
        <v>8</v>
      </c>
      <c r="D2431" s="85" t="s">
        <v>71</v>
      </c>
      <c r="E2431" s="85">
        <v>22</v>
      </c>
      <c r="F2431" s="85">
        <v>5</v>
      </c>
      <c r="G2431" s="85">
        <f>--(F2431&lt;=Estimator!$B$7)</f>
        <v>1</v>
      </c>
      <c r="H2431" s="86">
        <f>SUMIFS('Climate Data'!$G$7:$G$366,'Climate Data'!$A$7:$A$366,Estimator!$B$4,'Climate Data'!$B$7:$B$366,C2431)</f>
        <v>0.23548387096774193</v>
      </c>
      <c r="I2431" s="87">
        <f>SUMIFS('Climate Data'!$H$7:$H$366,'Climate Data'!$A$7:$A$366,Estimator!$B$4,'Climate Data'!$B$7:$B$366,C2431)</f>
        <v>7.9589041095890414</v>
      </c>
      <c r="J2431" s="86">
        <f>SUMIFS('Wind Proxy'!$H$8:$H$19,'Wind Proxy'!$A$8:$A$19,Estimator!$B$4,'Wind Proxy'!$B$8:$B$19,C2431)</f>
        <v>0</v>
      </c>
    </row>
    <row r="2432" spans="1:10" ht="14.4">
      <c r="A2432" s="84">
        <v>48083</v>
      </c>
      <c r="B2432" s="85">
        <v>2031</v>
      </c>
      <c r="C2432" s="85">
        <v>8</v>
      </c>
      <c r="D2432" s="85" t="s">
        <v>71</v>
      </c>
      <c r="E2432" s="85">
        <v>23</v>
      </c>
      <c r="F2432" s="85">
        <v>6</v>
      </c>
      <c r="G2432" s="85">
        <f>--(F2432&lt;=Estimator!$B$7)</f>
        <v>0</v>
      </c>
      <c r="H2432" s="86">
        <f>SUMIFS('Climate Data'!$G$7:$G$366,'Climate Data'!$A$7:$A$366,Estimator!$B$4,'Climate Data'!$B$7:$B$366,C2432)</f>
        <v>0.23548387096774193</v>
      </c>
      <c r="I2432" s="87">
        <f>SUMIFS('Climate Data'!$H$7:$H$366,'Climate Data'!$A$7:$A$366,Estimator!$B$4,'Climate Data'!$B$7:$B$366,C2432)</f>
        <v>7.9589041095890414</v>
      </c>
      <c r="J2432" s="86">
        <f>SUMIFS('Wind Proxy'!$H$8:$H$19,'Wind Proxy'!$A$8:$A$19,Estimator!$B$4,'Wind Proxy'!$B$8:$B$19,C2432)</f>
        <v>0</v>
      </c>
    </row>
    <row r="2433" spans="1:10" ht="14.4">
      <c r="A2433" s="84">
        <v>48084</v>
      </c>
      <c r="B2433" s="85">
        <v>2031</v>
      </c>
      <c r="C2433" s="85">
        <v>8</v>
      </c>
      <c r="D2433" s="85" t="s">
        <v>71</v>
      </c>
      <c r="E2433" s="85">
        <v>24</v>
      </c>
      <c r="F2433" s="85">
        <v>7</v>
      </c>
      <c r="G2433" s="85">
        <f>--(F2433&lt;=Estimator!$B$7)</f>
        <v>0</v>
      </c>
      <c r="H2433" s="86">
        <f>SUMIFS('Climate Data'!$G$7:$G$366,'Climate Data'!$A$7:$A$366,Estimator!$B$4,'Climate Data'!$B$7:$B$366,C2433)</f>
        <v>0.23548387096774193</v>
      </c>
      <c r="I2433" s="87">
        <f>SUMIFS('Climate Data'!$H$7:$H$366,'Climate Data'!$A$7:$A$366,Estimator!$B$4,'Climate Data'!$B$7:$B$366,C2433)</f>
        <v>7.9589041095890414</v>
      </c>
      <c r="J2433" s="86">
        <f>SUMIFS('Wind Proxy'!$H$8:$H$19,'Wind Proxy'!$A$8:$A$19,Estimator!$B$4,'Wind Proxy'!$B$8:$B$19,C2433)</f>
        <v>0</v>
      </c>
    </row>
    <row r="2434" spans="1:10" ht="14.4">
      <c r="A2434" s="84">
        <v>48085</v>
      </c>
      <c r="B2434" s="85">
        <v>2031</v>
      </c>
      <c r="C2434" s="85">
        <v>8</v>
      </c>
      <c r="D2434" s="85" t="s">
        <v>71</v>
      </c>
      <c r="E2434" s="85">
        <v>25</v>
      </c>
      <c r="F2434" s="85">
        <v>1</v>
      </c>
      <c r="G2434" s="85">
        <f>--(F2434&lt;=Estimator!$B$7)</f>
        <v>1</v>
      </c>
      <c r="H2434" s="86">
        <f>SUMIFS('Climate Data'!$G$7:$G$366,'Climate Data'!$A$7:$A$366,Estimator!$B$4,'Climate Data'!$B$7:$B$366,C2434)</f>
        <v>0.23548387096774193</v>
      </c>
      <c r="I2434" s="87">
        <f>SUMIFS('Climate Data'!$H$7:$H$366,'Climate Data'!$A$7:$A$366,Estimator!$B$4,'Climate Data'!$B$7:$B$366,C2434)</f>
        <v>7.9589041095890414</v>
      </c>
      <c r="J2434" s="86">
        <f>SUMIFS('Wind Proxy'!$H$8:$H$19,'Wind Proxy'!$A$8:$A$19,Estimator!$B$4,'Wind Proxy'!$B$8:$B$19,C2434)</f>
        <v>0</v>
      </c>
    </row>
    <row r="2435" spans="1:10" ht="14.4">
      <c r="A2435" s="84">
        <v>48086</v>
      </c>
      <c r="B2435" s="85">
        <v>2031</v>
      </c>
      <c r="C2435" s="85">
        <v>8</v>
      </c>
      <c r="D2435" s="85" t="s">
        <v>71</v>
      </c>
      <c r="E2435" s="85">
        <v>26</v>
      </c>
      <c r="F2435" s="85">
        <v>2</v>
      </c>
      <c r="G2435" s="85">
        <f>--(F2435&lt;=Estimator!$B$7)</f>
        <v>1</v>
      </c>
      <c r="H2435" s="86">
        <f>SUMIFS('Climate Data'!$G$7:$G$366,'Climate Data'!$A$7:$A$366,Estimator!$B$4,'Climate Data'!$B$7:$B$366,C2435)</f>
        <v>0.23548387096774193</v>
      </c>
      <c r="I2435" s="87">
        <f>SUMIFS('Climate Data'!$H$7:$H$366,'Climate Data'!$A$7:$A$366,Estimator!$B$4,'Climate Data'!$B$7:$B$366,C2435)</f>
        <v>7.9589041095890414</v>
      </c>
      <c r="J2435" s="86">
        <f>SUMIFS('Wind Proxy'!$H$8:$H$19,'Wind Proxy'!$A$8:$A$19,Estimator!$B$4,'Wind Proxy'!$B$8:$B$19,C2435)</f>
        <v>0</v>
      </c>
    </row>
    <row r="2436" spans="1:10" ht="14.4">
      <c r="A2436" s="84">
        <v>48087</v>
      </c>
      <c r="B2436" s="85">
        <v>2031</v>
      </c>
      <c r="C2436" s="85">
        <v>8</v>
      </c>
      <c r="D2436" s="85" t="s">
        <v>71</v>
      </c>
      <c r="E2436" s="85">
        <v>27</v>
      </c>
      <c r="F2436" s="85">
        <v>3</v>
      </c>
      <c r="G2436" s="85">
        <f>--(F2436&lt;=Estimator!$B$7)</f>
        <v>1</v>
      </c>
      <c r="H2436" s="86">
        <f>SUMIFS('Climate Data'!$G$7:$G$366,'Climate Data'!$A$7:$A$366,Estimator!$B$4,'Climate Data'!$B$7:$B$366,C2436)</f>
        <v>0.23548387096774193</v>
      </c>
      <c r="I2436" s="87">
        <f>SUMIFS('Climate Data'!$H$7:$H$366,'Climate Data'!$A$7:$A$366,Estimator!$B$4,'Climate Data'!$B$7:$B$366,C2436)</f>
        <v>7.9589041095890414</v>
      </c>
      <c r="J2436" s="86">
        <f>SUMIFS('Wind Proxy'!$H$8:$H$19,'Wind Proxy'!$A$8:$A$19,Estimator!$B$4,'Wind Proxy'!$B$8:$B$19,C2436)</f>
        <v>0</v>
      </c>
    </row>
    <row r="2437" spans="1:10" ht="14.4">
      <c r="A2437" s="84">
        <v>48088</v>
      </c>
      <c r="B2437" s="85">
        <v>2031</v>
      </c>
      <c r="C2437" s="85">
        <v>8</v>
      </c>
      <c r="D2437" s="85" t="s">
        <v>71</v>
      </c>
      <c r="E2437" s="85">
        <v>28</v>
      </c>
      <c r="F2437" s="85">
        <v>4</v>
      </c>
      <c r="G2437" s="85">
        <f>--(F2437&lt;=Estimator!$B$7)</f>
        <v>1</v>
      </c>
      <c r="H2437" s="86">
        <f>SUMIFS('Climate Data'!$G$7:$G$366,'Climate Data'!$A$7:$A$366,Estimator!$B$4,'Climate Data'!$B$7:$B$366,C2437)</f>
        <v>0.23548387096774193</v>
      </c>
      <c r="I2437" s="87">
        <f>SUMIFS('Climate Data'!$H$7:$H$366,'Climate Data'!$A$7:$A$366,Estimator!$B$4,'Climate Data'!$B$7:$B$366,C2437)</f>
        <v>7.9589041095890414</v>
      </c>
      <c r="J2437" s="86">
        <f>SUMIFS('Wind Proxy'!$H$8:$H$19,'Wind Proxy'!$A$8:$A$19,Estimator!$B$4,'Wind Proxy'!$B$8:$B$19,C2437)</f>
        <v>0</v>
      </c>
    </row>
    <row r="2438" spans="1:10" ht="14.4">
      <c r="A2438" s="84">
        <v>48089</v>
      </c>
      <c r="B2438" s="85">
        <v>2031</v>
      </c>
      <c r="C2438" s="85">
        <v>8</v>
      </c>
      <c r="D2438" s="85" t="s">
        <v>71</v>
      </c>
      <c r="E2438" s="85">
        <v>29</v>
      </c>
      <c r="F2438" s="85">
        <v>5</v>
      </c>
      <c r="G2438" s="85">
        <f>--(F2438&lt;=Estimator!$B$7)</f>
        <v>1</v>
      </c>
      <c r="H2438" s="86">
        <f>SUMIFS('Climate Data'!$G$7:$G$366,'Climate Data'!$A$7:$A$366,Estimator!$B$4,'Climate Data'!$B$7:$B$366,C2438)</f>
        <v>0.23548387096774193</v>
      </c>
      <c r="I2438" s="87">
        <f>SUMIFS('Climate Data'!$H$7:$H$366,'Climate Data'!$A$7:$A$366,Estimator!$B$4,'Climate Data'!$B$7:$B$366,C2438)</f>
        <v>7.9589041095890414</v>
      </c>
      <c r="J2438" s="86">
        <f>SUMIFS('Wind Proxy'!$H$8:$H$19,'Wind Proxy'!$A$8:$A$19,Estimator!$B$4,'Wind Proxy'!$B$8:$B$19,C2438)</f>
        <v>0</v>
      </c>
    </row>
    <row r="2439" spans="1:10" ht="14.4">
      <c r="A2439" s="84">
        <v>48090</v>
      </c>
      <c r="B2439" s="85">
        <v>2031</v>
      </c>
      <c r="C2439" s="85">
        <v>8</v>
      </c>
      <c r="D2439" s="85" t="s">
        <v>71</v>
      </c>
      <c r="E2439" s="85">
        <v>30</v>
      </c>
      <c r="F2439" s="85">
        <v>6</v>
      </c>
      <c r="G2439" s="85">
        <f>--(F2439&lt;=Estimator!$B$7)</f>
        <v>0</v>
      </c>
      <c r="H2439" s="86">
        <f>SUMIFS('Climate Data'!$G$7:$G$366,'Climate Data'!$A$7:$A$366,Estimator!$B$4,'Climate Data'!$B$7:$B$366,C2439)</f>
        <v>0.23548387096774193</v>
      </c>
      <c r="I2439" s="87">
        <f>SUMIFS('Climate Data'!$H$7:$H$366,'Climate Data'!$A$7:$A$366,Estimator!$B$4,'Climate Data'!$B$7:$B$366,C2439)</f>
        <v>7.9589041095890414</v>
      </c>
      <c r="J2439" s="86">
        <f>SUMIFS('Wind Proxy'!$H$8:$H$19,'Wind Proxy'!$A$8:$A$19,Estimator!$B$4,'Wind Proxy'!$B$8:$B$19,C2439)</f>
        <v>0</v>
      </c>
    </row>
    <row r="2440" spans="1:10" ht="14.4">
      <c r="A2440" s="84">
        <v>48091</v>
      </c>
      <c r="B2440" s="85">
        <v>2031</v>
      </c>
      <c r="C2440" s="85">
        <v>8</v>
      </c>
      <c r="D2440" s="85" t="s">
        <v>71</v>
      </c>
      <c r="E2440" s="85">
        <v>31</v>
      </c>
      <c r="F2440" s="85">
        <v>7</v>
      </c>
      <c r="G2440" s="85">
        <f>--(F2440&lt;=Estimator!$B$7)</f>
        <v>0</v>
      </c>
      <c r="H2440" s="86">
        <f>SUMIFS('Climate Data'!$G$7:$G$366,'Climate Data'!$A$7:$A$366,Estimator!$B$4,'Climate Data'!$B$7:$B$366,C2440)</f>
        <v>0.23548387096774193</v>
      </c>
      <c r="I2440" s="87">
        <f>SUMIFS('Climate Data'!$H$7:$H$366,'Climate Data'!$A$7:$A$366,Estimator!$B$4,'Climate Data'!$B$7:$B$366,C2440)</f>
        <v>7.9589041095890414</v>
      </c>
      <c r="J2440" s="86">
        <f>SUMIFS('Wind Proxy'!$H$8:$H$19,'Wind Proxy'!$A$8:$A$19,Estimator!$B$4,'Wind Proxy'!$B$8:$B$19,C2440)</f>
        <v>0</v>
      </c>
    </row>
    <row r="2441" spans="1:10" ht="14.4">
      <c r="A2441" s="84">
        <v>48092</v>
      </c>
      <c r="B2441" s="85">
        <v>2031</v>
      </c>
      <c r="C2441" s="85">
        <v>9</v>
      </c>
      <c r="D2441" s="85" t="s">
        <v>73</v>
      </c>
      <c r="E2441" s="85">
        <v>1</v>
      </c>
      <c r="F2441" s="85">
        <v>1</v>
      </c>
      <c r="G2441" s="85">
        <f>--(F2441&lt;=Estimator!$B$7)</f>
        <v>1</v>
      </c>
      <c r="H2441" s="86">
        <f>SUMIFS('Climate Data'!$G$7:$G$366,'Climate Data'!$A$7:$A$366,Estimator!$B$4,'Climate Data'!$B$7:$B$366,C2441)</f>
        <v>0.20666666666666667</v>
      </c>
      <c r="I2441" s="87">
        <f>SUMIFS('Climate Data'!$H$7:$H$366,'Climate Data'!$A$7:$A$366,Estimator!$B$4,'Climate Data'!$B$7:$B$366,C2441)</f>
        <v>6.806451612903226</v>
      </c>
      <c r="J2441" s="86">
        <f>SUMIFS('Wind Proxy'!$H$8:$H$19,'Wind Proxy'!$A$8:$A$19,Estimator!$B$4,'Wind Proxy'!$B$8:$B$19,C2441)</f>
        <v>0</v>
      </c>
    </row>
    <row r="2442" spans="1:10" ht="14.4">
      <c r="A2442" s="84">
        <v>48093</v>
      </c>
      <c r="B2442" s="85">
        <v>2031</v>
      </c>
      <c r="C2442" s="85">
        <v>9</v>
      </c>
      <c r="D2442" s="85" t="s">
        <v>73</v>
      </c>
      <c r="E2442" s="85">
        <v>2</v>
      </c>
      <c r="F2442" s="85">
        <v>2</v>
      </c>
      <c r="G2442" s="85">
        <f>--(F2442&lt;=Estimator!$B$7)</f>
        <v>1</v>
      </c>
      <c r="H2442" s="86">
        <f>SUMIFS('Climate Data'!$G$7:$G$366,'Climate Data'!$A$7:$A$366,Estimator!$B$4,'Climate Data'!$B$7:$B$366,C2442)</f>
        <v>0.20666666666666667</v>
      </c>
      <c r="I2442" s="87">
        <f>SUMIFS('Climate Data'!$H$7:$H$366,'Climate Data'!$A$7:$A$366,Estimator!$B$4,'Climate Data'!$B$7:$B$366,C2442)</f>
        <v>6.806451612903226</v>
      </c>
      <c r="J2442" s="86">
        <f>SUMIFS('Wind Proxy'!$H$8:$H$19,'Wind Proxy'!$A$8:$A$19,Estimator!$B$4,'Wind Proxy'!$B$8:$B$19,C2442)</f>
        <v>0</v>
      </c>
    </row>
    <row r="2443" spans="1:10" ht="14.4">
      <c r="A2443" s="84">
        <v>48094</v>
      </c>
      <c r="B2443" s="85">
        <v>2031</v>
      </c>
      <c r="C2443" s="85">
        <v>9</v>
      </c>
      <c r="D2443" s="85" t="s">
        <v>73</v>
      </c>
      <c r="E2443" s="85">
        <v>3</v>
      </c>
      <c r="F2443" s="85">
        <v>3</v>
      </c>
      <c r="G2443" s="85">
        <f>--(F2443&lt;=Estimator!$B$7)</f>
        <v>1</v>
      </c>
      <c r="H2443" s="86">
        <f>SUMIFS('Climate Data'!$G$7:$G$366,'Climate Data'!$A$7:$A$366,Estimator!$B$4,'Climate Data'!$B$7:$B$366,C2443)</f>
        <v>0.20666666666666667</v>
      </c>
      <c r="I2443" s="87">
        <f>SUMIFS('Climate Data'!$H$7:$H$366,'Climate Data'!$A$7:$A$366,Estimator!$B$4,'Climate Data'!$B$7:$B$366,C2443)</f>
        <v>6.806451612903226</v>
      </c>
      <c r="J2443" s="86">
        <f>SUMIFS('Wind Proxy'!$H$8:$H$19,'Wind Proxy'!$A$8:$A$19,Estimator!$B$4,'Wind Proxy'!$B$8:$B$19,C2443)</f>
        <v>0</v>
      </c>
    </row>
    <row r="2444" spans="1:10" ht="14.4">
      <c r="A2444" s="84">
        <v>48095</v>
      </c>
      <c r="B2444" s="85">
        <v>2031</v>
      </c>
      <c r="C2444" s="85">
        <v>9</v>
      </c>
      <c r="D2444" s="85" t="s">
        <v>73</v>
      </c>
      <c r="E2444" s="85">
        <v>4</v>
      </c>
      <c r="F2444" s="85">
        <v>4</v>
      </c>
      <c r="G2444" s="85">
        <f>--(F2444&lt;=Estimator!$B$7)</f>
        <v>1</v>
      </c>
      <c r="H2444" s="86">
        <f>SUMIFS('Climate Data'!$G$7:$G$366,'Climate Data'!$A$7:$A$366,Estimator!$B$4,'Climate Data'!$B$7:$B$366,C2444)</f>
        <v>0.20666666666666667</v>
      </c>
      <c r="I2444" s="87">
        <f>SUMIFS('Climate Data'!$H$7:$H$366,'Climate Data'!$A$7:$A$366,Estimator!$B$4,'Climate Data'!$B$7:$B$366,C2444)</f>
        <v>6.806451612903226</v>
      </c>
      <c r="J2444" s="86">
        <f>SUMIFS('Wind Proxy'!$H$8:$H$19,'Wind Proxy'!$A$8:$A$19,Estimator!$B$4,'Wind Proxy'!$B$8:$B$19,C2444)</f>
        <v>0</v>
      </c>
    </row>
    <row r="2445" spans="1:10" ht="14.4">
      <c r="A2445" s="84">
        <v>48096</v>
      </c>
      <c r="B2445" s="85">
        <v>2031</v>
      </c>
      <c r="C2445" s="85">
        <v>9</v>
      </c>
      <c r="D2445" s="85" t="s">
        <v>73</v>
      </c>
      <c r="E2445" s="85">
        <v>5</v>
      </c>
      <c r="F2445" s="85">
        <v>5</v>
      </c>
      <c r="G2445" s="85">
        <f>--(F2445&lt;=Estimator!$B$7)</f>
        <v>1</v>
      </c>
      <c r="H2445" s="86">
        <f>SUMIFS('Climate Data'!$G$7:$G$366,'Climate Data'!$A$7:$A$366,Estimator!$B$4,'Climate Data'!$B$7:$B$366,C2445)</f>
        <v>0.20666666666666667</v>
      </c>
      <c r="I2445" s="87">
        <f>SUMIFS('Climate Data'!$H$7:$H$366,'Climate Data'!$A$7:$A$366,Estimator!$B$4,'Climate Data'!$B$7:$B$366,C2445)</f>
        <v>6.806451612903226</v>
      </c>
      <c r="J2445" s="86">
        <f>SUMIFS('Wind Proxy'!$H$8:$H$19,'Wind Proxy'!$A$8:$A$19,Estimator!$B$4,'Wind Proxy'!$B$8:$B$19,C2445)</f>
        <v>0</v>
      </c>
    </row>
    <row r="2446" spans="1:10" ht="14.4">
      <c r="A2446" s="84">
        <v>48097</v>
      </c>
      <c r="B2446" s="85">
        <v>2031</v>
      </c>
      <c r="C2446" s="85">
        <v>9</v>
      </c>
      <c r="D2446" s="85" t="s">
        <v>73</v>
      </c>
      <c r="E2446" s="85">
        <v>6</v>
      </c>
      <c r="F2446" s="85">
        <v>6</v>
      </c>
      <c r="G2446" s="85">
        <f>--(F2446&lt;=Estimator!$B$7)</f>
        <v>0</v>
      </c>
      <c r="H2446" s="86">
        <f>SUMIFS('Climate Data'!$G$7:$G$366,'Climate Data'!$A$7:$A$366,Estimator!$B$4,'Climate Data'!$B$7:$B$366,C2446)</f>
        <v>0.20666666666666667</v>
      </c>
      <c r="I2446" s="87">
        <f>SUMIFS('Climate Data'!$H$7:$H$366,'Climate Data'!$A$7:$A$366,Estimator!$B$4,'Climate Data'!$B$7:$B$366,C2446)</f>
        <v>6.806451612903226</v>
      </c>
      <c r="J2446" s="86">
        <f>SUMIFS('Wind Proxy'!$H$8:$H$19,'Wind Proxy'!$A$8:$A$19,Estimator!$B$4,'Wind Proxy'!$B$8:$B$19,C2446)</f>
        <v>0</v>
      </c>
    </row>
    <row r="2447" spans="1:10" ht="14.4">
      <c r="A2447" s="84">
        <v>48098</v>
      </c>
      <c r="B2447" s="85">
        <v>2031</v>
      </c>
      <c r="C2447" s="85">
        <v>9</v>
      </c>
      <c r="D2447" s="85" t="s">
        <v>73</v>
      </c>
      <c r="E2447" s="85">
        <v>7</v>
      </c>
      <c r="F2447" s="85">
        <v>7</v>
      </c>
      <c r="G2447" s="85">
        <f>--(F2447&lt;=Estimator!$B$7)</f>
        <v>0</v>
      </c>
      <c r="H2447" s="86">
        <f>SUMIFS('Climate Data'!$G$7:$G$366,'Climate Data'!$A$7:$A$366,Estimator!$B$4,'Climate Data'!$B$7:$B$366,C2447)</f>
        <v>0.20666666666666667</v>
      </c>
      <c r="I2447" s="87">
        <f>SUMIFS('Climate Data'!$H$7:$H$366,'Climate Data'!$A$7:$A$366,Estimator!$B$4,'Climate Data'!$B$7:$B$366,C2447)</f>
        <v>6.806451612903226</v>
      </c>
      <c r="J2447" s="86">
        <f>SUMIFS('Wind Proxy'!$H$8:$H$19,'Wind Proxy'!$A$8:$A$19,Estimator!$B$4,'Wind Proxy'!$B$8:$B$19,C2447)</f>
        <v>0</v>
      </c>
    </row>
    <row r="2448" spans="1:10" ht="14.4">
      <c r="A2448" s="84">
        <v>48099</v>
      </c>
      <c r="B2448" s="85">
        <v>2031</v>
      </c>
      <c r="C2448" s="85">
        <v>9</v>
      </c>
      <c r="D2448" s="85" t="s">
        <v>73</v>
      </c>
      <c r="E2448" s="85">
        <v>8</v>
      </c>
      <c r="F2448" s="85">
        <v>1</v>
      </c>
      <c r="G2448" s="85">
        <f>--(F2448&lt;=Estimator!$B$7)</f>
        <v>1</v>
      </c>
      <c r="H2448" s="86">
        <f>SUMIFS('Climate Data'!$G$7:$G$366,'Climate Data'!$A$7:$A$366,Estimator!$B$4,'Climate Data'!$B$7:$B$366,C2448)</f>
        <v>0.20666666666666667</v>
      </c>
      <c r="I2448" s="87">
        <f>SUMIFS('Climate Data'!$H$7:$H$366,'Climate Data'!$A$7:$A$366,Estimator!$B$4,'Climate Data'!$B$7:$B$366,C2448)</f>
        <v>6.806451612903226</v>
      </c>
      <c r="J2448" s="86">
        <f>SUMIFS('Wind Proxy'!$H$8:$H$19,'Wind Proxy'!$A$8:$A$19,Estimator!$B$4,'Wind Proxy'!$B$8:$B$19,C2448)</f>
        <v>0</v>
      </c>
    </row>
    <row r="2449" spans="1:10" ht="14.4">
      <c r="A2449" s="84">
        <v>48100</v>
      </c>
      <c r="B2449" s="85">
        <v>2031</v>
      </c>
      <c r="C2449" s="85">
        <v>9</v>
      </c>
      <c r="D2449" s="85" t="s">
        <v>73</v>
      </c>
      <c r="E2449" s="85">
        <v>9</v>
      </c>
      <c r="F2449" s="85">
        <v>2</v>
      </c>
      <c r="G2449" s="85">
        <f>--(F2449&lt;=Estimator!$B$7)</f>
        <v>1</v>
      </c>
      <c r="H2449" s="86">
        <f>SUMIFS('Climate Data'!$G$7:$G$366,'Climate Data'!$A$7:$A$366,Estimator!$B$4,'Climate Data'!$B$7:$B$366,C2449)</f>
        <v>0.20666666666666667</v>
      </c>
      <c r="I2449" s="87">
        <f>SUMIFS('Climate Data'!$H$7:$H$366,'Climate Data'!$A$7:$A$366,Estimator!$B$4,'Climate Data'!$B$7:$B$366,C2449)</f>
        <v>6.806451612903226</v>
      </c>
      <c r="J2449" s="86">
        <f>SUMIFS('Wind Proxy'!$H$8:$H$19,'Wind Proxy'!$A$8:$A$19,Estimator!$B$4,'Wind Proxy'!$B$8:$B$19,C2449)</f>
        <v>0</v>
      </c>
    </row>
    <row r="2450" spans="1:10" ht="14.4">
      <c r="A2450" s="84">
        <v>48101</v>
      </c>
      <c r="B2450" s="85">
        <v>2031</v>
      </c>
      <c r="C2450" s="85">
        <v>9</v>
      </c>
      <c r="D2450" s="85" t="s">
        <v>73</v>
      </c>
      <c r="E2450" s="85">
        <v>10</v>
      </c>
      <c r="F2450" s="85">
        <v>3</v>
      </c>
      <c r="G2450" s="85">
        <f>--(F2450&lt;=Estimator!$B$7)</f>
        <v>1</v>
      </c>
      <c r="H2450" s="86">
        <f>SUMIFS('Climate Data'!$G$7:$G$366,'Climate Data'!$A$7:$A$366,Estimator!$B$4,'Climate Data'!$B$7:$B$366,C2450)</f>
        <v>0.20666666666666667</v>
      </c>
      <c r="I2450" s="87">
        <f>SUMIFS('Climate Data'!$H$7:$H$366,'Climate Data'!$A$7:$A$366,Estimator!$B$4,'Climate Data'!$B$7:$B$366,C2450)</f>
        <v>6.806451612903226</v>
      </c>
      <c r="J2450" s="86">
        <f>SUMIFS('Wind Proxy'!$H$8:$H$19,'Wind Proxy'!$A$8:$A$19,Estimator!$B$4,'Wind Proxy'!$B$8:$B$19,C2450)</f>
        <v>0</v>
      </c>
    </row>
    <row r="2451" spans="1:10" ht="14.4">
      <c r="A2451" s="84">
        <v>48102</v>
      </c>
      <c r="B2451" s="85">
        <v>2031</v>
      </c>
      <c r="C2451" s="85">
        <v>9</v>
      </c>
      <c r="D2451" s="85" t="s">
        <v>73</v>
      </c>
      <c r="E2451" s="85">
        <v>11</v>
      </c>
      <c r="F2451" s="85">
        <v>4</v>
      </c>
      <c r="G2451" s="85">
        <f>--(F2451&lt;=Estimator!$B$7)</f>
        <v>1</v>
      </c>
      <c r="H2451" s="86">
        <f>SUMIFS('Climate Data'!$G$7:$G$366,'Climate Data'!$A$7:$A$366,Estimator!$B$4,'Climate Data'!$B$7:$B$366,C2451)</f>
        <v>0.20666666666666667</v>
      </c>
      <c r="I2451" s="87">
        <f>SUMIFS('Climate Data'!$H$7:$H$366,'Climate Data'!$A$7:$A$366,Estimator!$B$4,'Climate Data'!$B$7:$B$366,C2451)</f>
        <v>6.806451612903226</v>
      </c>
      <c r="J2451" s="86">
        <f>SUMIFS('Wind Proxy'!$H$8:$H$19,'Wind Proxy'!$A$8:$A$19,Estimator!$B$4,'Wind Proxy'!$B$8:$B$19,C2451)</f>
        <v>0</v>
      </c>
    </row>
    <row r="2452" spans="1:10" ht="14.4">
      <c r="A2452" s="84">
        <v>48103</v>
      </c>
      <c r="B2452" s="85">
        <v>2031</v>
      </c>
      <c r="C2452" s="85">
        <v>9</v>
      </c>
      <c r="D2452" s="85" t="s">
        <v>73</v>
      </c>
      <c r="E2452" s="85">
        <v>12</v>
      </c>
      <c r="F2452" s="85">
        <v>5</v>
      </c>
      <c r="G2452" s="85">
        <f>--(F2452&lt;=Estimator!$B$7)</f>
        <v>1</v>
      </c>
      <c r="H2452" s="86">
        <f>SUMIFS('Climate Data'!$G$7:$G$366,'Climate Data'!$A$7:$A$366,Estimator!$B$4,'Climate Data'!$B$7:$B$366,C2452)</f>
        <v>0.20666666666666667</v>
      </c>
      <c r="I2452" s="87">
        <f>SUMIFS('Climate Data'!$H$7:$H$366,'Climate Data'!$A$7:$A$366,Estimator!$B$4,'Climate Data'!$B$7:$B$366,C2452)</f>
        <v>6.806451612903226</v>
      </c>
      <c r="J2452" s="86">
        <f>SUMIFS('Wind Proxy'!$H$8:$H$19,'Wind Proxy'!$A$8:$A$19,Estimator!$B$4,'Wind Proxy'!$B$8:$B$19,C2452)</f>
        <v>0</v>
      </c>
    </row>
    <row r="2453" spans="1:10" ht="14.4">
      <c r="A2453" s="84">
        <v>48104</v>
      </c>
      <c r="B2453" s="85">
        <v>2031</v>
      </c>
      <c r="C2453" s="85">
        <v>9</v>
      </c>
      <c r="D2453" s="85" t="s">
        <v>73</v>
      </c>
      <c r="E2453" s="85">
        <v>13</v>
      </c>
      <c r="F2453" s="85">
        <v>6</v>
      </c>
      <c r="G2453" s="85">
        <f>--(F2453&lt;=Estimator!$B$7)</f>
        <v>0</v>
      </c>
      <c r="H2453" s="86">
        <f>SUMIFS('Climate Data'!$G$7:$G$366,'Climate Data'!$A$7:$A$366,Estimator!$B$4,'Climate Data'!$B$7:$B$366,C2453)</f>
        <v>0.20666666666666667</v>
      </c>
      <c r="I2453" s="87">
        <f>SUMIFS('Climate Data'!$H$7:$H$366,'Climate Data'!$A$7:$A$366,Estimator!$B$4,'Climate Data'!$B$7:$B$366,C2453)</f>
        <v>6.806451612903226</v>
      </c>
      <c r="J2453" s="86">
        <f>SUMIFS('Wind Proxy'!$H$8:$H$19,'Wind Proxy'!$A$8:$A$19,Estimator!$B$4,'Wind Proxy'!$B$8:$B$19,C2453)</f>
        <v>0</v>
      </c>
    </row>
    <row r="2454" spans="1:10" ht="14.4">
      <c r="A2454" s="84">
        <v>48105</v>
      </c>
      <c r="B2454" s="85">
        <v>2031</v>
      </c>
      <c r="C2454" s="85">
        <v>9</v>
      </c>
      <c r="D2454" s="85" t="s">
        <v>73</v>
      </c>
      <c r="E2454" s="85">
        <v>14</v>
      </c>
      <c r="F2454" s="85">
        <v>7</v>
      </c>
      <c r="G2454" s="85">
        <f>--(F2454&lt;=Estimator!$B$7)</f>
        <v>0</v>
      </c>
      <c r="H2454" s="86">
        <f>SUMIFS('Climate Data'!$G$7:$G$366,'Climate Data'!$A$7:$A$366,Estimator!$B$4,'Climate Data'!$B$7:$B$366,C2454)</f>
        <v>0.20666666666666667</v>
      </c>
      <c r="I2454" s="87">
        <f>SUMIFS('Climate Data'!$H$7:$H$366,'Climate Data'!$A$7:$A$366,Estimator!$B$4,'Climate Data'!$B$7:$B$366,C2454)</f>
        <v>6.806451612903226</v>
      </c>
      <c r="J2454" s="86">
        <f>SUMIFS('Wind Proxy'!$H$8:$H$19,'Wind Proxy'!$A$8:$A$19,Estimator!$B$4,'Wind Proxy'!$B$8:$B$19,C2454)</f>
        <v>0</v>
      </c>
    </row>
    <row r="2455" spans="1:10" ht="14.4">
      <c r="A2455" s="84">
        <v>48106</v>
      </c>
      <c r="B2455" s="85">
        <v>2031</v>
      </c>
      <c r="C2455" s="85">
        <v>9</v>
      </c>
      <c r="D2455" s="85" t="s">
        <v>73</v>
      </c>
      <c r="E2455" s="85">
        <v>15</v>
      </c>
      <c r="F2455" s="85">
        <v>1</v>
      </c>
      <c r="G2455" s="85">
        <f>--(F2455&lt;=Estimator!$B$7)</f>
        <v>1</v>
      </c>
      <c r="H2455" s="86">
        <f>SUMIFS('Climate Data'!$G$7:$G$366,'Climate Data'!$A$7:$A$366,Estimator!$B$4,'Climate Data'!$B$7:$B$366,C2455)</f>
        <v>0.20666666666666667</v>
      </c>
      <c r="I2455" s="87">
        <f>SUMIFS('Climate Data'!$H$7:$H$366,'Climate Data'!$A$7:$A$366,Estimator!$B$4,'Climate Data'!$B$7:$B$366,C2455)</f>
        <v>6.806451612903226</v>
      </c>
      <c r="J2455" s="86">
        <f>SUMIFS('Wind Proxy'!$H$8:$H$19,'Wind Proxy'!$A$8:$A$19,Estimator!$B$4,'Wind Proxy'!$B$8:$B$19,C2455)</f>
        <v>0</v>
      </c>
    </row>
    <row r="2456" spans="1:10" ht="14.4">
      <c r="A2456" s="84">
        <v>48107</v>
      </c>
      <c r="B2456" s="85">
        <v>2031</v>
      </c>
      <c r="C2456" s="85">
        <v>9</v>
      </c>
      <c r="D2456" s="85" t="s">
        <v>73</v>
      </c>
      <c r="E2456" s="85">
        <v>16</v>
      </c>
      <c r="F2456" s="85">
        <v>2</v>
      </c>
      <c r="G2456" s="85">
        <f>--(F2456&lt;=Estimator!$B$7)</f>
        <v>1</v>
      </c>
      <c r="H2456" s="86">
        <f>SUMIFS('Climate Data'!$G$7:$G$366,'Climate Data'!$A$7:$A$366,Estimator!$B$4,'Climate Data'!$B$7:$B$366,C2456)</f>
        <v>0.20666666666666667</v>
      </c>
      <c r="I2456" s="87">
        <f>SUMIFS('Climate Data'!$H$7:$H$366,'Climate Data'!$A$7:$A$366,Estimator!$B$4,'Climate Data'!$B$7:$B$366,C2456)</f>
        <v>6.806451612903226</v>
      </c>
      <c r="J2456" s="86">
        <f>SUMIFS('Wind Proxy'!$H$8:$H$19,'Wind Proxy'!$A$8:$A$19,Estimator!$B$4,'Wind Proxy'!$B$8:$B$19,C2456)</f>
        <v>0</v>
      </c>
    </row>
    <row r="2457" spans="1:10" ht="14.4">
      <c r="A2457" s="84">
        <v>48108</v>
      </c>
      <c r="B2457" s="85">
        <v>2031</v>
      </c>
      <c r="C2457" s="85">
        <v>9</v>
      </c>
      <c r="D2457" s="85" t="s">
        <v>73</v>
      </c>
      <c r="E2457" s="85">
        <v>17</v>
      </c>
      <c r="F2457" s="85">
        <v>3</v>
      </c>
      <c r="G2457" s="85">
        <f>--(F2457&lt;=Estimator!$B$7)</f>
        <v>1</v>
      </c>
      <c r="H2457" s="86">
        <f>SUMIFS('Climate Data'!$G$7:$G$366,'Climate Data'!$A$7:$A$366,Estimator!$B$4,'Climate Data'!$B$7:$B$366,C2457)</f>
        <v>0.20666666666666667</v>
      </c>
      <c r="I2457" s="87">
        <f>SUMIFS('Climate Data'!$H$7:$H$366,'Climate Data'!$A$7:$A$366,Estimator!$B$4,'Climate Data'!$B$7:$B$366,C2457)</f>
        <v>6.806451612903226</v>
      </c>
      <c r="J2457" s="86">
        <f>SUMIFS('Wind Proxy'!$H$8:$H$19,'Wind Proxy'!$A$8:$A$19,Estimator!$B$4,'Wind Proxy'!$B$8:$B$19,C2457)</f>
        <v>0</v>
      </c>
    </row>
    <row r="2458" spans="1:10" ht="14.4">
      <c r="A2458" s="84">
        <v>48109</v>
      </c>
      <c r="B2458" s="85">
        <v>2031</v>
      </c>
      <c r="C2458" s="85">
        <v>9</v>
      </c>
      <c r="D2458" s="85" t="s">
        <v>73</v>
      </c>
      <c r="E2458" s="85">
        <v>18</v>
      </c>
      <c r="F2458" s="85">
        <v>4</v>
      </c>
      <c r="G2458" s="85">
        <f>--(F2458&lt;=Estimator!$B$7)</f>
        <v>1</v>
      </c>
      <c r="H2458" s="86">
        <f>SUMIFS('Climate Data'!$G$7:$G$366,'Climate Data'!$A$7:$A$366,Estimator!$B$4,'Climate Data'!$B$7:$B$366,C2458)</f>
        <v>0.20666666666666667</v>
      </c>
      <c r="I2458" s="87">
        <f>SUMIFS('Climate Data'!$H$7:$H$366,'Climate Data'!$A$7:$A$366,Estimator!$B$4,'Climate Data'!$B$7:$B$366,C2458)</f>
        <v>6.806451612903226</v>
      </c>
      <c r="J2458" s="86">
        <f>SUMIFS('Wind Proxy'!$H$8:$H$19,'Wind Proxy'!$A$8:$A$19,Estimator!$B$4,'Wind Proxy'!$B$8:$B$19,C2458)</f>
        <v>0</v>
      </c>
    </row>
    <row r="2459" spans="1:10" ht="14.4">
      <c r="A2459" s="84">
        <v>48110</v>
      </c>
      <c r="B2459" s="85">
        <v>2031</v>
      </c>
      <c r="C2459" s="85">
        <v>9</v>
      </c>
      <c r="D2459" s="85" t="s">
        <v>73</v>
      </c>
      <c r="E2459" s="85">
        <v>19</v>
      </c>
      <c r="F2459" s="85">
        <v>5</v>
      </c>
      <c r="G2459" s="85">
        <f>--(F2459&lt;=Estimator!$B$7)</f>
        <v>1</v>
      </c>
      <c r="H2459" s="86">
        <f>SUMIFS('Climate Data'!$G$7:$G$366,'Climate Data'!$A$7:$A$366,Estimator!$B$4,'Climate Data'!$B$7:$B$366,C2459)</f>
        <v>0.20666666666666667</v>
      </c>
      <c r="I2459" s="87">
        <f>SUMIFS('Climate Data'!$H$7:$H$366,'Climate Data'!$A$7:$A$366,Estimator!$B$4,'Climate Data'!$B$7:$B$366,C2459)</f>
        <v>6.806451612903226</v>
      </c>
      <c r="J2459" s="86">
        <f>SUMIFS('Wind Proxy'!$H$8:$H$19,'Wind Proxy'!$A$8:$A$19,Estimator!$B$4,'Wind Proxy'!$B$8:$B$19,C2459)</f>
        <v>0</v>
      </c>
    </row>
    <row r="2460" spans="1:10" ht="14.4">
      <c r="A2460" s="84">
        <v>48111</v>
      </c>
      <c r="B2460" s="85">
        <v>2031</v>
      </c>
      <c r="C2460" s="85">
        <v>9</v>
      </c>
      <c r="D2460" s="85" t="s">
        <v>73</v>
      </c>
      <c r="E2460" s="85">
        <v>20</v>
      </c>
      <c r="F2460" s="85">
        <v>6</v>
      </c>
      <c r="G2460" s="85">
        <f>--(F2460&lt;=Estimator!$B$7)</f>
        <v>0</v>
      </c>
      <c r="H2460" s="86">
        <f>SUMIFS('Climate Data'!$G$7:$G$366,'Climate Data'!$A$7:$A$366,Estimator!$B$4,'Climate Data'!$B$7:$B$366,C2460)</f>
        <v>0.20666666666666667</v>
      </c>
      <c r="I2460" s="87">
        <f>SUMIFS('Climate Data'!$H$7:$H$366,'Climate Data'!$A$7:$A$366,Estimator!$B$4,'Climate Data'!$B$7:$B$366,C2460)</f>
        <v>6.806451612903226</v>
      </c>
      <c r="J2460" s="86">
        <f>SUMIFS('Wind Proxy'!$H$8:$H$19,'Wind Proxy'!$A$8:$A$19,Estimator!$B$4,'Wind Proxy'!$B$8:$B$19,C2460)</f>
        <v>0</v>
      </c>
    </row>
    <row r="2461" spans="1:10" ht="14.4">
      <c r="A2461" s="84">
        <v>48112</v>
      </c>
      <c r="B2461" s="85">
        <v>2031</v>
      </c>
      <c r="C2461" s="85">
        <v>9</v>
      </c>
      <c r="D2461" s="85" t="s">
        <v>73</v>
      </c>
      <c r="E2461" s="85">
        <v>21</v>
      </c>
      <c r="F2461" s="85">
        <v>7</v>
      </c>
      <c r="G2461" s="85">
        <f>--(F2461&lt;=Estimator!$B$7)</f>
        <v>0</v>
      </c>
      <c r="H2461" s="86">
        <f>SUMIFS('Climate Data'!$G$7:$G$366,'Climate Data'!$A$7:$A$366,Estimator!$B$4,'Climate Data'!$B$7:$B$366,C2461)</f>
        <v>0.20666666666666667</v>
      </c>
      <c r="I2461" s="87">
        <f>SUMIFS('Climate Data'!$H$7:$H$366,'Climate Data'!$A$7:$A$366,Estimator!$B$4,'Climate Data'!$B$7:$B$366,C2461)</f>
        <v>6.806451612903226</v>
      </c>
      <c r="J2461" s="86">
        <f>SUMIFS('Wind Proxy'!$H$8:$H$19,'Wind Proxy'!$A$8:$A$19,Estimator!$B$4,'Wind Proxy'!$B$8:$B$19,C2461)</f>
        <v>0</v>
      </c>
    </row>
    <row r="2462" spans="1:10" ht="14.4">
      <c r="A2462" s="84">
        <v>48113</v>
      </c>
      <c r="B2462" s="85">
        <v>2031</v>
      </c>
      <c r="C2462" s="85">
        <v>9</v>
      </c>
      <c r="D2462" s="85" t="s">
        <v>73</v>
      </c>
      <c r="E2462" s="85">
        <v>22</v>
      </c>
      <c r="F2462" s="85">
        <v>1</v>
      </c>
      <c r="G2462" s="85">
        <f>--(F2462&lt;=Estimator!$B$7)</f>
        <v>1</v>
      </c>
      <c r="H2462" s="86">
        <f>SUMIFS('Climate Data'!$G$7:$G$366,'Climate Data'!$A$7:$A$366,Estimator!$B$4,'Climate Data'!$B$7:$B$366,C2462)</f>
        <v>0.20666666666666667</v>
      </c>
      <c r="I2462" s="87">
        <f>SUMIFS('Climate Data'!$H$7:$H$366,'Climate Data'!$A$7:$A$366,Estimator!$B$4,'Climate Data'!$B$7:$B$366,C2462)</f>
        <v>6.806451612903226</v>
      </c>
      <c r="J2462" s="86">
        <f>SUMIFS('Wind Proxy'!$H$8:$H$19,'Wind Proxy'!$A$8:$A$19,Estimator!$B$4,'Wind Proxy'!$B$8:$B$19,C2462)</f>
        <v>0</v>
      </c>
    </row>
    <row r="2463" spans="1:10" ht="14.4">
      <c r="A2463" s="84">
        <v>48114</v>
      </c>
      <c r="B2463" s="85">
        <v>2031</v>
      </c>
      <c r="C2463" s="85">
        <v>9</v>
      </c>
      <c r="D2463" s="85" t="s">
        <v>73</v>
      </c>
      <c r="E2463" s="85">
        <v>23</v>
      </c>
      <c r="F2463" s="85">
        <v>2</v>
      </c>
      <c r="G2463" s="85">
        <f>--(F2463&lt;=Estimator!$B$7)</f>
        <v>1</v>
      </c>
      <c r="H2463" s="86">
        <f>SUMIFS('Climate Data'!$G$7:$G$366,'Climate Data'!$A$7:$A$366,Estimator!$B$4,'Climate Data'!$B$7:$B$366,C2463)</f>
        <v>0.20666666666666667</v>
      </c>
      <c r="I2463" s="87">
        <f>SUMIFS('Climate Data'!$H$7:$H$366,'Climate Data'!$A$7:$A$366,Estimator!$B$4,'Climate Data'!$B$7:$B$366,C2463)</f>
        <v>6.806451612903226</v>
      </c>
      <c r="J2463" s="86">
        <f>SUMIFS('Wind Proxy'!$H$8:$H$19,'Wind Proxy'!$A$8:$A$19,Estimator!$B$4,'Wind Proxy'!$B$8:$B$19,C2463)</f>
        <v>0</v>
      </c>
    </row>
    <row r="2464" spans="1:10" ht="14.4">
      <c r="A2464" s="84">
        <v>48115</v>
      </c>
      <c r="B2464" s="85">
        <v>2031</v>
      </c>
      <c r="C2464" s="85">
        <v>9</v>
      </c>
      <c r="D2464" s="85" t="s">
        <v>73</v>
      </c>
      <c r="E2464" s="85">
        <v>24</v>
      </c>
      <c r="F2464" s="85">
        <v>3</v>
      </c>
      <c r="G2464" s="85">
        <f>--(F2464&lt;=Estimator!$B$7)</f>
        <v>1</v>
      </c>
      <c r="H2464" s="86">
        <f>SUMIFS('Climate Data'!$G$7:$G$366,'Climate Data'!$A$7:$A$366,Estimator!$B$4,'Climate Data'!$B$7:$B$366,C2464)</f>
        <v>0.20666666666666667</v>
      </c>
      <c r="I2464" s="87">
        <f>SUMIFS('Climate Data'!$H$7:$H$366,'Climate Data'!$A$7:$A$366,Estimator!$B$4,'Climate Data'!$B$7:$B$366,C2464)</f>
        <v>6.806451612903226</v>
      </c>
      <c r="J2464" s="86">
        <f>SUMIFS('Wind Proxy'!$H$8:$H$19,'Wind Proxy'!$A$8:$A$19,Estimator!$B$4,'Wind Proxy'!$B$8:$B$19,C2464)</f>
        <v>0</v>
      </c>
    </row>
    <row r="2465" spans="1:10" ht="14.4">
      <c r="A2465" s="84">
        <v>48116</v>
      </c>
      <c r="B2465" s="85">
        <v>2031</v>
      </c>
      <c r="C2465" s="85">
        <v>9</v>
      </c>
      <c r="D2465" s="85" t="s">
        <v>73</v>
      </c>
      <c r="E2465" s="85">
        <v>25</v>
      </c>
      <c r="F2465" s="85">
        <v>4</v>
      </c>
      <c r="G2465" s="85">
        <f>--(F2465&lt;=Estimator!$B$7)</f>
        <v>1</v>
      </c>
      <c r="H2465" s="86">
        <f>SUMIFS('Climate Data'!$G$7:$G$366,'Climate Data'!$A$7:$A$366,Estimator!$B$4,'Climate Data'!$B$7:$B$366,C2465)</f>
        <v>0.20666666666666667</v>
      </c>
      <c r="I2465" s="87">
        <f>SUMIFS('Climate Data'!$H$7:$H$366,'Climate Data'!$A$7:$A$366,Estimator!$B$4,'Climate Data'!$B$7:$B$366,C2465)</f>
        <v>6.806451612903226</v>
      </c>
      <c r="J2465" s="86">
        <f>SUMIFS('Wind Proxy'!$H$8:$H$19,'Wind Proxy'!$A$8:$A$19,Estimator!$B$4,'Wind Proxy'!$B$8:$B$19,C2465)</f>
        <v>0</v>
      </c>
    </row>
    <row r="2466" spans="1:10" ht="14.4">
      <c r="A2466" s="84">
        <v>48117</v>
      </c>
      <c r="B2466" s="85">
        <v>2031</v>
      </c>
      <c r="C2466" s="85">
        <v>9</v>
      </c>
      <c r="D2466" s="85" t="s">
        <v>73</v>
      </c>
      <c r="E2466" s="85">
        <v>26</v>
      </c>
      <c r="F2466" s="85">
        <v>5</v>
      </c>
      <c r="G2466" s="85">
        <f>--(F2466&lt;=Estimator!$B$7)</f>
        <v>1</v>
      </c>
      <c r="H2466" s="86">
        <f>SUMIFS('Climate Data'!$G$7:$G$366,'Climate Data'!$A$7:$A$366,Estimator!$B$4,'Climate Data'!$B$7:$B$366,C2466)</f>
        <v>0.20666666666666667</v>
      </c>
      <c r="I2466" s="87">
        <f>SUMIFS('Climate Data'!$H$7:$H$366,'Climate Data'!$A$7:$A$366,Estimator!$B$4,'Climate Data'!$B$7:$B$366,C2466)</f>
        <v>6.806451612903226</v>
      </c>
      <c r="J2466" s="86">
        <f>SUMIFS('Wind Proxy'!$H$8:$H$19,'Wind Proxy'!$A$8:$A$19,Estimator!$B$4,'Wind Proxy'!$B$8:$B$19,C2466)</f>
        <v>0</v>
      </c>
    </row>
    <row r="2467" spans="1:10" ht="14.4">
      <c r="A2467" s="84">
        <v>48118</v>
      </c>
      <c r="B2467" s="85">
        <v>2031</v>
      </c>
      <c r="C2467" s="85">
        <v>9</v>
      </c>
      <c r="D2467" s="85" t="s">
        <v>73</v>
      </c>
      <c r="E2467" s="85">
        <v>27</v>
      </c>
      <c r="F2467" s="85">
        <v>6</v>
      </c>
      <c r="G2467" s="85">
        <f>--(F2467&lt;=Estimator!$B$7)</f>
        <v>0</v>
      </c>
      <c r="H2467" s="86">
        <f>SUMIFS('Climate Data'!$G$7:$G$366,'Climate Data'!$A$7:$A$366,Estimator!$B$4,'Climate Data'!$B$7:$B$366,C2467)</f>
        <v>0.20666666666666667</v>
      </c>
      <c r="I2467" s="87">
        <f>SUMIFS('Climate Data'!$H$7:$H$366,'Climate Data'!$A$7:$A$366,Estimator!$B$4,'Climate Data'!$B$7:$B$366,C2467)</f>
        <v>6.806451612903226</v>
      </c>
      <c r="J2467" s="86">
        <f>SUMIFS('Wind Proxy'!$H$8:$H$19,'Wind Proxy'!$A$8:$A$19,Estimator!$B$4,'Wind Proxy'!$B$8:$B$19,C2467)</f>
        <v>0</v>
      </c>
    </row>
    <row r="2468" spans="1:10" ht="14.4">
      <c r="A2468" s="84">
        <v>48119</v>
      </c>
      <c r="B2468" s="85">
        <v>2031</v>
      </c>
      <c r="C2468" s="85">
        <v>9</v>
      </c>
      <c r="D2468" s="85" t="s">
        <v>73</v>
      </c>
      <c r="E2468" s="85">
        <v>28</v>
      </c>
      <c r="F2468" s="85">
        <v>7</v>
      </c>
      <c r="G2468" s="85">
        <f>--(F2468&lt;=Estimator!$B$7)</f>
        <v>0</v>
      </c>
      <c r="H2468" s="86">
        <f>SUMIFS('Climate Data'!$G$7:$G$366,'Climate Data'!$A$7:$A$366,Estimator!$B$4,'Climate Data'!$B$7:$B$366,C2468)</f>
        <v>0.20666666666666667</v>
      </c>
      <c r="I2468" s="87">
        <f>SUMIFS('Climate Data'!$H$7:$H$366,'Climate Data'!$A$7:$A$366,Estimator!$B$4,'Climate Data'!$B$7:$B$366,C2468)</f>
        <v>6.806451612903226</v>
      </c>
      <c r="J2468" s="86">
        <f>SUMIFS('Wind Proxy'!$H$8:$H$19,'Wind Proxy'!$A$8:$A$19,Estimator!$B$4,'Wind Proxy'!$B$8:$B$19,C2468)</f>
        <v>0</v>
      </c>
    </row>
    <row r="2469" spans="1:10" ht="14.4">
      <c r="A2469" s="84">
        <v>48120</v>
      </c>
      <c r="B2469" s="85">
        <v>2031</v>
      </c>
      <c r="C2469" s="85">
        <v>9</v>
      </c>
      <c r="D2469" s="85" t="s">
        <v>73</v>
      </c>
      <c r="E2469" s="85">
        <v>29</v>
      </c>
      <c r="F2469" s="85">
        <v>1</v>
      </c>
      <c r="G2469" s="85">
        <f>--(F2469&lt;=Estimator!$B$7)</f>
        <v>1</v>
      </c>
      <c r="H2469" s="86">
        <f>SUMIFS('Climate Data'!$G$7:$G$366,'Climate Data'!$A$7:$A$366,Estimator!$B$4,'Climate Data'!$B$7:$B$366,C2469)</f>
        <v>0.20666666666666667</v>
      </c>
      <c r="I2469" s="87">
        <f>SUMIFS('Climate Data'!$H$7:$H$366,'Climate Data'!$A$7:$A$366,Estimator!$B$4,'Climate Data'!$B$7:$B$366,C2469)</f>
        <v>6.806451612903226</v>
      </c>
      <c r="J2469" s="86">
        <f>SUMIFS('Wind Proxy'!$H$8:$H$19,'Wind Proxy'!$A$8:$A$19,Estimator!$B$4,'Wind Proxy'!$B$8:$B$19,C2469)</f>
        <v>0</v>
      </c>
    </row>
    <row r="2470" spans="1:10" ht="14.4">
      <c r="A2470" s="84">
        <v>48121</v>
      </c>
      <c r="B2470" s="85">
        <v>2031</v>
      </c>
      <c r="C2470" s="85">
        <v>9</v>
      </c>
      <c r="D2470" s="85" t="s">
        <v>73</v>
      </c>
      <c r="E2470" s="85">
        <v>30</v>
      </c>
      <c r="F2470" s="85">
        <v>2</v>
      </c>
      <c r="G2470" s="85">
        <f>--(F2470&lt;=Estimator!$B$7)</f>
        <v>1</v>
      </c>
      <c r="H2470" s="86">
        <f>SUMIFS('Climate Data'!$G$7:$G$366,'Climate Data'!$A$7:$A$366,Estimator!$B$4,'Climate Data'!$B$7:$B$366,C2470)</f>
        <v>0.20666666666666667</v>
      </c>
      <c r="I2470" s="87">
        <f>SUMIFS('Climate Data'!$H$7:$H$366,'Climate Data'!$A$7:$A$366,Estimator!$B$4,'Climate Data'!$B$7:$B$366,C2470)</f>
        <v>6.806451612903226</v>
      </c>
      <c r="J2470" s="86">
        <f>SUMIFS('Wind Proxy'!$H$8:$H$19,'Wind Proxy'!$A$8:$A$19,Estimator!$B$4,'Wind Proxy'!$B$8:$B$19,C2470)</f>
        <v>0</v>
      </c>
    </row>
    <row r="2471" spans="1:10" ht="14.4">
      <c r="A2471" s="84">
        <v>48122</v>
      </c>
      <c r="B2471" s="85">
        <v>2031</v>
      </c>
      <c r="C2471" s="85">
        <v>10</v>
      </c>
      <c r="D2471" s="85" t="s">
        <v>75</v>
      </c>
      <c r="E2471" s="85">
        <v>1</v>
      </c>
      <c r="F2471" s="85">
        <v>3</v>
      </c>
      <c r="G2471" s="85">
        <f>--(F2471&lt;=Estimator!$B$7)</f>
        <v>1</v>
      </c>
      <c r="H2471" s="86">
        <f>SUMIFS('Climate Data'!$G$7:$G$366,'Climate Data'!$A$7:$A$366,Estimator!$B$4,'Climate Data'!$B$7:$B$366,C2471)</f>
        <v>0.23225806451612904</v>
      </c>
      <c r="I2471" s="87">
        <f>SUMIFS('Climate Data'!$H$7:$H$366,'Climate Data'!$A$7:$A$366,Estimator!$B$4,'Climate Data'!$B$7:$B$366,C2471)</f>
        <v>6.8194444444444446</v>
      </c>
      <c r="J2471" s="86">
        <f>SUMIFS('Wind Proxy'!$H$8:$H$19,'Wind Proxy'!$A$8:$A$19,Estimator!$B$4,'Wind Proxy'!$B$8:$B$19,C2471)</f>
        <v>0</v>
      </c>
    </row>
    <row r="2472" spans="1:10" ht="14.4">
      <c r="A2472" s="84">
        <v>48123</v>
      </c>
      <c r="B2472" s="85">
        <v>2031</v>
      </c>
      <c r="C2472" s="85">
        <v>10</v>
      </c>
      <c r="D2472" s="85" t="s">
        <v>75</v>
      </c>
      <c r="E2472" s="85">
        <v>2</v>
      </c>
      <c r="F2472" s="85">
        <v>4</v>
      </c>
      <c r="G2472" s="85">
        <f>--(F2472&lt;=Estimator!$B$7)</f>
        <v>1</v>
      </c>
      <c r="H2472" s="86">
        <f>SUMIFS('Climate Data'!$G$7:$G$366,'Climate Data'!$A$7:$A$366,Estimator!$B$4,'Climate Data'!$B$7:$B$366,C2472)</f>
        <v>0.23225806451612904</v>
      </c>
      <c r="I2472" s="87">
        <f>SUMIFS('Climate Data'!$H$7:$H$366,'Climate Data'!$A$7:$A$366,Estimator!$B$4,'Climate Data'!$B$7:$B$366,C2472)</f>
        <v>6.8194444444444446</v>
      </c>
      <c r="J2472" s="86">
        <f>SUMIFS('Wind Proxy'!$H$8:$H$19,'Wind Proxy'!$A$8:$A$19,Estimator!$B$4,'Wind Proxy'!$B$8:$B$19,C2472)</f>
        <v>0</v>
      </c>
    </row>
    <row r="2473" spans="1:10" ht="14.4">
      <c r="A2473" s="84">
        <v>48124</v>
      </c>
      <c r="B2473" s="85">
        <v>2031</v>
      </c>
      <c r="C2473" s="85">
        <v>10</v>
      </c>
      <c r="D2473" s="85" t="s">
        <v>75</v>
      </c>
      <c r="E2473" s="85">
        <v>3</v>
      </c>
      <c r="F2473" s="85">
        <v>5</v>
      </c>
      <c r="G2473" s="85">
        <f>--(F2473&lt;=Estimator!$B$7)</f>
        <v>1</v>
      </c>
      <c r="H2473" s="86">
        <f>SUMIFS('Climate Data'!$G$7:$G$366,'Climate Data'!$A$7:$A$366,Estimator!$B$4,'Climate Data'!$B$7:$B$366,C2473)</f>
        <v>0.23225806451612904</v>
      </c>
      <c r="I2473" s="87">
        <f>SUMIFS('Climate Data'!$H$7:$H$366,'Climate Data'!$A$7:$A$366,Estimator!$B$4,'Climate Data'!$B$7:$B$366,C2473)</f>
        <v>6.8194444444444446</v>
      </c>
      <c r="J2473" s="86">
        <f>SUMIFS('Wind Proxy'!$H$8:$H$19,'Wind Proxy'!$A$8:$A$19,Estimator!$B$4,'Wind Proxy'!$B$8:$B$19,C2473)</f>
        <v>0</v>
      </c>
    </row>
    <row r="2474" spans="1:10" ht="14.4">
      <c r="A2474" s="84">
        <v>48125</v>
      </c>
      <c r="B2474" s="85">
        <v>2031</v>
      </c>
      <c r="C2474" s="85">
        <v>10</v>
      </c>
      <c r="D2474" s="85" t="s">
        <v>75</v>
      </c>
      <c r="E2474" s="85">
        <v>4</v>
      </c>
      <c r="F2474" s="85">
        <v>6</v>
      </c>
      <c r="G2474" s="85">
        <f>--(F2474&lt;=Estimator!$B$7)</f>
        <v>0</v>
      </c>
      <c r="H2474" s="86">
        <f>SUMIFS('Climate Data'!$G$7:$G$366,'Climate Data'!$A$7:$A$366,Estimator!$B$4,'Climate Data'!$B$7:$B$366,C2474)</f>
        <v>0.23225806451612904</v>
      </c>
      <c r="I2474" s="87">
        <f>SUMIFS('Climate Data'!$H$7:$H$366,'Climate Data'!$A$7:$A$366,Estimator!$B$4,'Climate Data'!$B$7:$B$366,C2474)</f>
        <v>6.8194444444444446</v>
      </c>
      <c r="J2474" s="86">
        <f>SUMIFS('Wind Proxy'!$H$8:$H$19,'Wind Proxy'!$A$8:$A$19,Estimator!$B$4,'Wind Proxy'!$B$8:$B$19,C2474)</f>
        <v>0</v>
      </c>
    </row>
    <row r="2475" spans="1:10" ht="14.4">
      <c r="A2475" s="84">
        <v>48126</v>
      </c>
      <c r="B2475" s="85">
        <v>2031</v>
      </c>
      <c r="C2475" s="85">
        <v>10</v>
      </c>
      <c r="D2475" s="85" t="s">
        <v>75</v>
      </c>
      <c r="E2475" s="85">
        <v>5</v>
      </c>
      <c r="F2475" s="85">
        <v>7</v>
      </c>
      <c r="G2475" s="85">
        <f>--(F2475&lt;=Estimator!$B$7)</f>
        <v>0</v>
      </c>
      <c r="H2475" s="86">
        <f>SUMIFS('Climate Data'!$G$7:$G$366,'Climate Data'!$A$7:$A$366,Estimator!$B$4,'Climate Data'!$B$7:$B$366,C2475)</f>
        <v>0.23225806451612904</v>
      </c>
      <c r="I2475" s="87">
        <f>SUMIFS('Climate Data'!$H$7:$H$366,'Climate Data'!$A$7:$A$366,Estimator!$B$4,'Climate Data'!$B$7:$B$366,C2475)</f>
        <v>6.8194444444444446</v>
      </c>
      <c r="J2475" s="86">
        <f>SUMIFS('Wind Proxy'!$H$8:$H$19,'Wind Proxy'!$A$8:$A$19,Estimator!$B$4,'Wind Proxy'!$B$8:$B$19,C2475)</f>
        <v>0</v>
      </c>
    </row>
    <row r="2476" spans="1:10" ht="14.4">
      <c r="A2476" s="84">
        <v>48127</v>
      </c>
      <c r="B2476" s="85">
        <v>2031</v>
      </c>
      <c r="C2476" s="85">
        <v>10</v>
      </c>
      <c r="D2476" s="85" t="s">
        <v>75</v>
      </c>
      <c r="E2476" s="85">
        <v>6</v>
      </c>
      <c r="F2476" s="85">
        <v>1</v>
      </c>
      <c r="G2476" s="85">
        <f>--(F2476&lt;=Estimator!$B$7)</f>
        <v>1</v>
      </c>
      <c r="H2476" s="86">
        <f>SUMIFS('Climate Data'!$G$7:$G$366,'Climate Data'!$A$7:$A$366,Estimator!$B$4,'Climate Data'!$B$7:$B$366,C2476)</f>
        <v>0.23225806451612904</v>
      </c>
      <c r="I2476" s="87">
        <f>SUMIFS('Climate Data'!$H$7:$H$366,'Climate Data'!$A$7:$A$366,Estimator!$B$4,'Climate Data'!$B$7:$B$366,C2476)</f>
        <v>6.8194444444444446</v>
      </c>
      <c r="J2476" s="86">
        <f>SUMIFS('Wind Proxy'!$H$8:$H$19,'Wind Proxy'!$A$8:$A$19,Estimator!$B$4,'Wind Proxy'!$B$8:$B$19,C2476)</f>
        <v>0</v>
      </c>
    </row>
    <row r="2477" spans="1:10" ht="14.4">
      <c r="A2477" s="84">
        <v>48128</v>
      </c>
      <c r="B2477" s="85">
        <v>2031</v>
      </c>
      <c r="C2477" s="85">
        <v>10</v>
      </c>
      <c r="D2477" s="85" t="s">
        <v>75</v>
      </c>
      <c r="E2477" s="85">
        <v>7</v>
      </c>
      <c r="F2477" s="85">
        <v>2</v>
      </c>
      <c r="G2477" s="85">
        <f>--(F2477&lt;=Estimator!$B$7)</f>
        <v>1</v>
      </c>
      <c r="H2477" s="86">
        <f>SUMIFS('Climate Data'!$G$7:$G$366,'Climate Data'!$A$7:$A$366,Estimator!$B$4,'Climate Data'!$B$7:$B$366,C2477)</f>
        <v>0.23225806451612904</v>
      </c>
      <c r="I2477" s="87">
        <f>SUMIFS('Climate Data'!$H$7:$H$366,'Climate Data'!$A$7:$A$366,Estimator!$B$4,'Climate Data'!$B$7:$B$366,C2477)</f>
        <v>6.8194444444444446</v>
      </c>
      <c r="J2477" s="86">
        <f>SUMIFS('Wind Proxy'!$H$8:$H$19,'Wind Proxy'!$A$8:$A$19,Estimator!$B$4,'Wind Proxy'!$B$8:$B$19,C2477)</f>
        <v>0</v>
      </c>
    </row>
    <row r="2478" spans="1:10" ht="14.4">
      <c r="A2478" s="84">
        <v>48129</v>
      </c>
      <c r="B2478" s="85">
        <v>2031</v>
      </c>
      <c r="C2478" s="85">
        <v>10</v>
      </c>
      <c r="D2478" s="85" t="s">
        <v>75</v>
      </c>
      <c r="E2478" s="85">
        <v>8</v>
      </c>
      <c r="F2478" s="85">
        <v>3</v>
      </c>
      <c r="G2478" s="85">
        <f>--(F2478&lt;=Estimator!$B$7)</f>
        <v>1</v>
      </c>
      <c r="H2478" s="86">
        <f>SUMIFS('Climate Data'!$G$7:$G$366,'Climate Data'!$A$7:$A$366,Estimator!$B$4,'Climate Data'!$B$7:$B$366,C2478)</f>
        <v>0.23225806451612904</v>
      </c>
      <c r="I2478" s="87">
        <f>SUMIFS('Climate Data'!$H$7:$H$366,'Climate Data'!$A$7:$A$366,Estimator!$B$4,'Climate Data'!$B$7:$B$366,C2478)</f>
        <v>6.8194444444444446</v>
      </c>
      <c r="J2478" s="86">
        <f>SUMIFS('Wind Proxy'!$H$8:$H$19,'Wind Proxy'!$A$8:$A$19,Estimator!$B$4,'Wind Proxy'!$B$8:$B$19,C2478)</f>
        <v>0</v>
      </c>
    </row>
    <row r="2479" spans="1:10" ht="14.4">
      <c r="A2479" s="84">
        <v>48130</v>
      </c>
      <c r="B2479" s="85">
        <v>2031</v>
      </c>
      <c r="C2479" s="85">
        <v>10</v>
      </c>
      <c r="D2479" s="85" t="s">
        <v>75</v>
      </c>
      <c r="E2479" s="85">
        <v>9</v>
      </c>
      <c r="F2479" s="85">
        <v>4</v>
      </c>
      <c r="G2479" s="85">
        <f>--(F2479&lt;=Estimator!$B$7)</f>
        <v>1</v>
      </c>
      <c r="H2479" s="86">
        <f>SUMIFS('Climate Data'!$G$7:$G$366,'Climate Data'!$A$7:$A$366,Estimator!$B$4,'Climate Data'!$B$7:$B$366,C2479)</f>
        <v>0.23225806451612904</v>
      </c>
      <c r="I2479" s="87">
        <f>SUMIFS('Climate Data'!$H$7:$H$366,'Climate Data'!$A$7:$A$366,Estimator!$B$4,'Climate Data'!$B$7:$B$366,C2479)</f>
        <v>6.8194444444444446</v>
      </c>
      <c r="J2479" s="86">
        <f>SUMIFS('Wind Proxy'!$H$8:$H$19,'Wind Proxy'!$A$8:$A$19,Estimator!$B$4,'Wind Proxy'!$B$8:$B$19,C2479)</f>
        <v>0</v>
      </c>
    </row>
    <row r="2480" spans="1:10" ht="14.4">
      <c r="A2480" s="84">
        <v>48131</v>
      </c>
      <c r="B2480" s="85">
        <v>2031</v>
      </c>
      <c r="C2480" s="85">
        <v>10</v>
      </c>
      <c r="D2480" s="85" t="s">
        <v>75</v>
      </c>
      <c r="E2480" s="85">
        <v>10</v>
      </c>
      <c r="F2480" s="85">
        <v>5</v>
      </c>
      <c r="G2480" s="85">
        <f>--(F2480&lt;=Estimator!$B$7)</f>
        <v>1</v>
      </c>
      <c r="H2480" s="86">
        <f>SUMIFS('Climate Data'!$G$7:$G$366,'Climate Data'!$A$7:$A$366,Estimator!$B$4,'Climate Data'!$B$7:$B$366,C2480)</f>
        <v>0.23225806451612904</v>
      </c>
      <c r="I2480" s="87">
        <f>SUMIFS('Climate Data'!$H$7:$H$366,'Climate Data'!$A$7:$A$366,Estimator!$B$4,'Climate Data'!$B$7:$B$366,C2480)</f>
        <v>6.8194444444444446</v>
      </c>
      <c r="J2480" s="86">
        <f>SUMIFS('Wind Proxy'!$H$8:$H$19,'Wind Proxy'!$A$8:$A$19,Estimator!$B$4,'Wind Proxy'!$B$8:$B$19,C2480)</f>
        <v>0</v>
      </c>
    </row>
    <row r="2481" spans="1:10" ht="14.4">
      <c r="A2481" s="84">
        <v>48132</v>
      </c>
      <c r="B2481" s="85">
        <v>2031</v>
      </c>
      <c r="C2481" s="85">
        <v>10</v>
      </c>
      <c r="D2481" s="85" t="s">
        <v>75</v>
      </c>
      <c r="E2481" s="85">
        <v>11</v>
      </c>
      <c r="F2481" s="85">
        <v>6</v>
      </c>
      <c r="G2481" s="85">
        <f>--(F2481&lt;=Estimator!$B$7)</f>
        <v>0</v>
      </c>
      <c r="H2481" s="86">
        <f>SUMIFS('Climate Data'!$G$7:$G$366,'Climate Data'!$A$7:$A$366,Estimator!$B$4,'Climate Data'!$B$7:$B$366,C2481)</f>
        <v>0.23225806451612904</v>
      </c>
      <c r="I2481" s="87">
        <f>SUMIFS('Climate Data'!$H$7:$H$366,'Climate Data'!$A$7:$A$366,Estimator!$B$4,'Climate Data'!$B$7:$B$366,C2481)</f>
        <v>6.8194444444444446</v>
      </c>
      <c r="J2481" s="86">
        <f>SUMIFS('Wind Proxy'!$H$8:$H$19,'Wind Proxy'!$A$8:$A$19,Estimator!$B$4,'Wind Proxy'!$B$8:$B$19,C2481)</f>
        <v>0</v>
      </c>
    </row>
    <row r="2482" spans="1:10" ht="14.4">
      <c r="A2482" s="84">
        <v>48133</v>
      </c>
      <c r="B2482" s="85">
        <v>2031</v>
      </c>
      <c r="C2482" s="85">
        <v>10</v>
      </c>
      <c r="D2482" s="85" t="s">
        <v>75</v>
      </c>
      <c r="E2482" s="85">
        <v>12</v>
      </c>
      <c r="F2482" s="85">
        <v>7</v>
      </c>
      <c r="G2482" s="85">
        <f>--(F2482&lt;=Estimator!$B$7)</f>
        <v>0</v>
      </c>
      <c r="H2482" s="86">
        <f>SUMIFS('Climate Data'!$G$7:$G$366,'Climate Data'!$A$7:$A$366,Estimator!$B$4,'Climate Data'!$B$7:$B$366,C2482)</f>
        <v>0.23225806451612904</v>
      </c>
      <c r="I2482" s="87">
        <f>SUMIFS('Climate Data'!$H$7:$H$366,'Climate Data'!$A$7:$A$366,Estimator!$B$4,'Climate Data'!$B$7:$B$366,C2482)</f>
        <v>6.8194444444444446</v>
      </c>
      <c r="J2482" s="86">
        <f>SUMIFS('Wind Proxy'!$H$8:$H$19,'Wind Proxy'!$A$8:$A$19,Estimator!$B$4,'Wind Proxy'!$B$8:$B$19,C2482)</f>
        <v>0</v>
      </c>
    </row>
    <row r="2483" spans="1:10" ht="14.4">
      <c r="A2483" s="84">
        <v>48134</v>
      </c>
      <c r="B2483" s="85">
        <v>2031</v>
      </c>
      <c r="C2483" s="85">
        <v>10</v>
      </c>
      <c r="D2483" s="85" t="s">
        <v>75</v>
      </c>
      <c r="E2483" s="85">
        <v>13</v>
      </c>
      <c r="F2483" s="85">
        <v>1</v>
      </c>
      <c r="G2483" s="85">
        <f>--(F2483&lt;=Estimator!$B$7)</f>
        <v>1</v>
      </c>
      <c r="H2483" s="86">
        <f>SUMIFS('Climate Data'!$G$7:$G$366,'Climate Data'!$A$7:$A$366,Estimator!$B$4,'Climate Data'!$B$7:$B$366,C2483)</f>
        <v>0.23225806451612904</v>
      </c>
      <c r="I2483" s="87">
        <f>SUMIFS('Climate Data'!$H$7:$H$366,'Climate Data'!$A$7:$A$366,Estimator!$B$4,'Climate Data'!$B$7:$B$366,C2483)</f>
        <v>6.8194444444444446</v>
      </c>
      <c r="J2483" s="86">
        <f>SUMIFS('Wind Proxy'!$H$8:$H$19,'Wind Proxy'!$A$8:$A$19,Estimator!$B$4,'Wind Proxy'!$B$8:$B$19,C2483)</f>
        <v>0</v>
      </c>
    </row>
    <row r="2484" spans="1:10" ht="14.4">
      <c r="A2484" s="84">
        <v>48135</v>
      </c>
      <c r="B2484" s="85">
        <v>2031</v>
      </c>
      <c r="C2484" s="85">
        <v>10</v>
      </c>
      <c r="D2484" s="85" t="s">
        <v>75</v>
      </c>
      <c r="E2484" s="85">
        <v>14</v>
      </c>
      <c r="F2484" s="85">
        <v>2</v>
      </c>
      <c r="G2484" s="85">
        <f>--(F2484&lt;=Estimator!$B$7)</f>
        <v>1</v>
      </c>
      <c r="H2484" s="86">
        <f>SUMIFS('Climate Data'!$G$7:$G$366,'Climate Data'!$A$7:$A$366,Estimator!$B$4,'Climate Data'!$B$7:$B$366,C2484)</f>
        <v>0.23225806451612904</v>
      </c>
      <c r="I2484" s="87">
        <f>SUMIFS('Climate Data'!$H$7:$H$366,'Climate Data'!$A$7:$A$366,Estimator!$B$4,'Climate Data'!$B$7:$B$366,C2484)</f>
        <v>6.8194444444444446</v>
      </c>
      <c r="J2484" s="86">
        <f>SUMIFS('Wind Proxy'!$H$8:$H$19,'Wind Proxy'!$A$8:$A$19,Estimator!$B$4,'Wind Proxy'!$B$8:$B$19,C2484)</f>
        <v>0</v>
      </c>
    </row>
    <row r="2485" spans="1:10" ht="14.4">
      <c r="A2485" s="84">
        <v>48136</v>
      </c>
      <c r="B2485" s="85">
        <v>2031</v>
      </c>
      <c r="C2485" s="85">
        <v>10</v>
      </c>
      <c r="D2485" s="85" t="s">
        <v>75</v>
      </c>
      <c r="E2485" s="85">
        <v>15</v>
      </c>
      <c r="F2485" s="85">
        <v>3</v>
      </c>
      <c r="G2485" s="85">
        <f>--(F2485&lt;=Estimator!$B$7)</f>
        <v>1</v>
      </c>
      <c r="H2485" s="86">
        <f>SUMIFS('Climate Data'!$G$7:$G$366,'Climate Data'!$A$7:$A$366,Estimator!$B$4,'Climate Data'!$B$7:$B$366,C2485)</f>
        <v>0.23225806451612904</v>
      </c>
      <c r="I2485" s="87">
        <f>SUMIFS('Climate Data'!$H$7:$H$366,'Climate Data'!$A$7:$A$366,Estimator!$B$4,'Climate Data'!$B$7:$B$366,C2485)</f>
        <v>6.8194444444444446</v>
      </c>
      <c r="J2485" s="86">
        <f>SUMIFS('Wind Proxy'!$H$8:$H$19,'Wind Proxy'!$A$8:$A$19,Estimator!$B$4,'Wind Proxy'!$B$8:$B$19,C2485)</f>
        <v>0</v>
      </c>
    </row>
    <row r="2486" spans="1:10" ht="14.4">
      <c r="A2486" s="84">
        <v>48137</v>
      </c>
      <c r="B2486" s="85">
        <v>2031</v>
      </c>
      <c r="C2486" s="85">
        <v>10</v>
      </c>
      <c r="D2486" s="85" t="s">
        <v>75</v>
      </c>
      <c r="E2486" s="85">
        <v>16</v>
      </c>
      <c r="F2486" s="85">
        <v>4</v>
      </c>
      <c r="G2486" s="85">
        <f>--(F2486&lt;=Estimator!$B$7)</f>
        <v>1</v>
      </c>
      <c r="H2486" s="86">
        <f>SUMIFS('Climate Data'!$G$7:$G$366,'Climate Data'!$A$7:$A$366,Estimator!$B$4,'Climate Data'!$B$7:$B$366,C2486)</f>
        <v>0.23225806451612904</v>
      </c>
      <c r="I2486" s="87">
        <f>SUMIFS('Climate Data'!$H$7:$H$366,'Climate Data'!$A$7:$A$366,Estimator!$B$4,'Climate Data'!$B$7:$B$366,C2486)</f>
        <v>6.8194444444444446</v>
      </c>
      <c r="J2486" s="86">
        <f>SUMIFS('Wind Proxy'!$H$8:$H$19,'Wind Proxy'!$A$8:$A$19,Estimator!$B$4,'Wind Proxy'!$B$8:$B$19,C2486)</f>
        <v>0</v>
      </c>
    </row>
    <row r="2487" spans="1:10" ht="14.4">
      <c r="A2487" s="84">
        <v>48138</v>
      </c>
      <c r="B2487" s="85">
        <v>2031</v>
      </c>
      <c r="C2487" s="85">
        <v>10</v>
      </c>
      <c r="D2487" s="85" t="s">
        <v>75</v>
      </c>
      <c r="E2487" s="85">
        <v>17</v>
      </c>
      <c r="F2487" s="85">
        <v>5</v>
      </c>
      <c r="G2487" s="85">
        <f>--(F2487&lt;=Estimator!$B$7)</f>
        <v>1</v>
      </c>
      <c r="H2487" s="86">
        <f>SUMIFS('Climate Data'!$G$7:$G$366,'Climate Data'!$A$7:$A$366,Estimator!$B$4,'Climate Data'!$B$7:$B$366,C2487)</f>
        <v>0.23225806451612904</v>
      </c>
      <c r="I2487" s="87">
        <f>SUMIFS('Climate Data'!$H$7:$H$366,'Climate Data'!$A$7:$A$366,Estimator!$B$4,'Climate Data'!$B$7:$B$366,C2487)</f>
        <v>6.8194444444444446</v>
      </c>
      <c r="J2487" s="86">
        <f>SUMIFS('Wind Proxy'!$H$8:$H$19,'Wind Proxy'!$A$8:$A$19,Estimator!$B$4,'Wind Proxy'!$B$8:$B$19,C2487)</f>
        <v>0</v>
      </c>
    </row>
    <row r="2488" spans="1:10" ht="14.4">
      <c r="A2488" s="84">
        <v>48139</v>
      </c>
      <c r="B2488" s="85">
        <v>2031</v>
      </c>
      <c r="C2488" s="85">
        <v>10</v>
      </c>
      <c r="D2488" s="85" t="s">
        <v>75</v>
      </c>
      <c r="E2488" s="85">
        <v>18</v>
      </c>
      <c r="F2488" s="85">
        <v>6</v>
      </c>
      <c r="G2488" s="85">
        <f>--(F2488&lt;=Estimator!$B$7)</f>
        <v>0</v>
      </c>
      <c r="H2488" s="86">
        <f>SUMIFS('Climate Data'!$G$7:$G$366,'Climate Data'!$A$7:$A$366,Estimator!$B$4,'Climate Data'!$B$7:$B$366,C2488)</f>
        <v>0.23225806451612904</v>
      </c>
      <c r="I2488" s="87">
        <f>SUMIFS('Climate Data'!$H$7:$H$366,'Climate Data'!$A$7:$A$366,Estimator!$B$4,'Climate Data'!$B$7:$B$366,C2488)</f>
        <v>6.8194444444444446</v>
      </c>
      <c r="J2488" s="86">
        <f>SUMIFS('Wind Proxy'!$H$8:$H$19,'Wind Proxy'!$A$8:$A$19,Estimator!$B$4,'Wind Proxy'!$B$8:$B$19,C2488)</f>
        <v>0</v>
      </c>
    </row>
    <row r="2489" spans="1:10" ht="14.4">
      <c r="A2489" s="84">
        <v>48140</v>
      </c>
      <c r="B2489" s="85">
        <v>2031</v>
      </c>
      <c r="C2489" s="85">
        <v>10</v>
      </c>
      <c r="D2489" s="85" t="s">
        <v>75</v>
      </c>
      <c r="E2489" s="85">
        <v>19</v>
      </c>
      <c r="F2489" s="85">
        <v>7</v>
      </c>
      <c r="G2489" s="85">
        <f>--(F2489&lt;=Estimator!$B$7)</f>
        <v>0</v>
      </c>
      <c r="H2489" s="86">
        <f>SUMIFS('Climate Data'!$G$7:$G$366,'Climate Data'!$A$7:$A$366,Estimator!$B$4,'Climate Data'!$B$7:$B$366,C2489)</f>
        <v>0.23225806451612904</v>
      </c>
      <c r="I2489" s="87">
        <f>SUMIFS('Climate Data'!$H$7:$H$366,'Climate Data'!$A$7:$A$366,Estimator!$B$4,'Climate Data'!$B$7:$B$366,C2489)</f>
        <v>6.8194444444444446</v>
      </c>
      <c r="J2489" s="86">
        <f>SUMIFS('Wind Proxy'!$H$8:$H$19,'Wind Proxy'!$A$8:$A$19,Estimator!$B$4,'Wind Proxy'!$B$8:$B$19,C2489)</f>
        <v>0</v>
      </c>
    </row>
    <row r="2490" spans="1:10" ht="14.4">
      <c r="A2490" s="84">
        <v>48141</v>
      </c>
      <c r="B2490" s="85">
        <v>2031</v>
      </c>
      <c r="C2490" s="85">
        <v>10</v>
      </c>
      <c r="D2490" s="85" t="s">
        <v>75</v>
      </c>
      <c r="E2490" s="85">
        <v>20</v>
      </c>
      <c r="F2490" s="85">
        <v>1</v>
      </c>
      <c r="G2490" s="85">
        <f>--(F2490&lt;=Estimator!$B$7)</f>
        <v>1</v>
      </c>
      <c r="H2490" s="86">
        <f>SUMIFS('Climate Data'!$G$7:$G$366,'Climate Data'!$A$7:$A$366,Estimator!$B$4,'Climate Data'!$B$7:$B$366,C2490)</f>
        <v>0.23225806451612904</v>
      </c>
      <c r="I2490" s="87">
        <f>SUMIFS('Climate Data'!$H$7:$H$366,'Climate Data'!$A$7:$A$366,Estimator!$B$4,'Climate Data'!$B$7:$B$366,C2490)</f>
        <v>6.8194444444444446</v>
      </c>
      <c r="J2490" s="86">
        <f>SUMIFS('Wind Proxy'!$H$8:$H$19,'Wind Proxy'!$A$8:$A$19,Estimator!$B$4,'Wind Proxy'!$B$8:$B$19,C2490)</f>
        <v>0</v>
      </c>
    </row>
    <row r="2491" spans="1:10" ht="14.4">
      <c r="A2491" s="84">
        <v>48142</v>
      </c>
      <c r="B2491" s="85">
        <v>2031</v>
      </c>
      <c r="C2491" s="85">
        <v>10</v>
      </c>
      <c r="D2491" s="85" t="s">
        <v>75</v>
      </c>
      <c r="E2491" s="85">
        <v>21</v>
      </c>
      <c r="F2491" s="85">
        <v>2</v>
      </c>
      <c r="G2491" s="85">
        <f>--(F2491&lt;=Estimator!$B$7)</f>
        <v>1</v>
      </c>
      <c r="H2491" s="86">
        <f>SUMIFS('Climate Data'!$G$7:$G$366,'Climate Data'!$A$7:$A$366,Estimator!$B$4,'Climate Data'!$B$7:$B$366,C2491)</f>
        <v>0.23225806451612904</v>
      </c>
      <c r="I2491" s="87">
        <f>SUMIFS('Climate Data'!$H$7:$H$366,'Climate Data'!$A$7:$A$366,Estimator!$B$4,'Climate Data'!$B$7:$B$366,C2491)</f>
        <v>6.8194444444444446</v>
      </c>
      <c r="J2491" s="86">
        <f>SUMIFS('Wind Proxy'!$H$8:$H$19,'Wind Proxy'!$A$8:$A$19,Estimator!$B$4,'Wind Proxy'!$B$8:$B$19,C2491)</f>
        <v>0</v>
      </c>
    </row>
    <row r="2492" spans="1:10" ht="14.4">
      <c r="A2492" s="84">
        <v>48143</v>
      </c>
      <c r="B2492" s="85">
        <v>2031</v>
      </c>
      <c r="C2492" s="85">
        <v>10</v>
      </c>
      <c r="D2492" s="85" t="s">
        <v>75</v>
      </c>
      <c r="E2492" s="85">
        <v>22</v>
      </c>
      <c r="F2492" s="85">
        <v>3</v>
      </c>
      <c r="G2492" s="85">
        <f>--(F2492&lt;=Estimator!$B$7)</f>
        <v>1</v>
      </c>
      <c r="H2492" s="86">
        <f>SUMIFS('Climate Data'!$G$7:$G$366,'Climate Data'!$A$7:$A$366,Estimator!$B$4,'Climate Data'!$B$7:$B$366,C2492)</f>
        <v>0.23225806451612904</v>
      </c>
      <c r="I2492" s="87">
        <f>SUMIFS('Climate Data'!$H$7:$H$366,'Climate Data'!$A$7:$A$366,Estimator!$B$4,'Climate Data'!$B$7:$B$366,C2492)</f>
        <v>6.8194444444444446</v>
      </c>
      <c r="J2492" s="86">
        <f>SUMIFS('Wind Proxy'!$H$8:$H$19,'Wind Proxy'!$A$8:$A$19,Estimator!$B$4,'Wind Proxy'!$B$8:$B$19,C2492)</f>
        <v>0</v>
      </c>
    </row>
    <row r="2493" spans="1:10" ht="14.4">
      <c r="A2493" s="84">
        <v>48144</v>
      </c>
      <c r="B2493" s="85">
        <v>2031</v>
      </c>
      <c r="C2493" s="85">
        <v>10</v>
      </c>
      <c r="D2493" s="85" t="s">
        <v>75</v>
      </c>
      <c r="E2493" s="85">
        <v>23</v>
      </c>
      <c r="F2493" s="85">
        <v>4</v>
      </c>
      <c r="G2493" s="85">
        <f>--(F2493&lt;=Estimator!$B$7)</f>
        <v>1</v>
      </c>
      <c r="H2493" s="86">
        <f>SUMIFS('Climate Data'!$G$7:$G$366,'Climate Data'!$A$7:$A$366,Estimator!$B$4,'Climate Data'!$B$7:$B$366,C2493)</f>
        <v>0.23225806451612904</v>
      </c>
      <c r="I2493" s="87">
        <f>SUMIFS('Climate Data'!$H$7:$H$366,'Climate Data'!$A$7:$A$366,Estimator!$B$4,'Climate Data'!$B$7:$B$366,C2493)</f>
        <v>6.8194444444444446</v>
      </c>
      <c r="J2493" s="86">
        <f>SUMIFS('Wind Proxy'!$H$8:$H$19,'Wind Proxy'!$A$8:$A$19,Estimator!$B$4,'Wind Proxy'!$B$8:$B$19,C2493)</f>
        <v>0</v>
      </c>
    </row>
    <row r="2494" spans="1:10" ht="14.4">
      <c r="A2494" s="84">
        <v>48145</v>
      </c>
      <c r="B2494" s="85">
        <v>2031</v>
      </c>
      <c r="C2494" s="85">
        <v>10</v>
      </c>
      <c r="D2494" s="85" t="s">
        <v>75</v>
      </c>
      <c r="E2494" s="85">
        <v>24</v>
      </c>
      <c r="F2494" s="85">
        <v>5</v>
      </c>
      <c r="G2494" s="85">
        <f>--(F2494&lt;=Estimator!$B$7)</f>
        <v>1</v>
      </c>
      <c r="H2494" s="86">
        <f>SUMIFS('Climate Data'!$G$7:$G$366,'Climate Data'!$A$7:$A$366,Estimator!$B$4,'Climate Data'!$B$7:$B$366,C2494)</f>
        <v>0.23225806451612904</v>
      </c>
      <c r="I2494" s="87">
        <f>SUMIFS('Climate Data'!$H$7:$H$366,'Climate Data'!$A$7:$A$366,Estimator!$B$4,'Climate Data'!$B$7:$B$366,C2494)</f>
        <v>6.8194444444444446</v>
      </c>
      <c r="J2494" s="86">
        <f>SUMIFS('Wind Proxy'!$H$8:$H$19,'Wind Proxy'!$A$8:$A$19,Estimator!$B$4,'Wind Proxy'!$B$8:$B$19,C2494)</f>
        <v>0</v>
      </c>
    </row>
    <row r="2495" spans="1:10" ht="14.4">
      <c r="A2495" s="84">
        <v>48146</v>
      </c>
      <c r="B2495" s="85">
        <v>2031</v>
      </c>
      <c r="C2495" s="85">
        <v>10</v>
      </c>
      <c r="D2495" s="85" t="s">
        <v>75</v>
      </c>
      <c r="E2495" s="85">
        <v>25</v>
      </c>
      <c r="F2495" s="85">
        <v>6</v>
      </c>
      <c r="G2495" s="85">
        <f>--(F2495&lt;=Estimator!$B$7)</f>
        <v>0</v>
      </c>
      <c r="H2495" s="86">
        <f>SUMIFS('Climate Data'!$G$7:$G$366,'Climate Data'!$A$7:$A$366,Estimator!$B$4,'Climate Data'!$B$7:$B$366,C2495)</f>
        <v>0.23225806451612904</v>
      </c>
      <c r="I2495" s="87">
        <f>SUMIFS('Climate Data'!$H$7:$H$366,'Climate Data'!$A$7:$A$366,Estimator!$B$4,'Climate Data'!$B$7:$B$366,C2495)</f>
        <v>6.8194444444444446</v>
      </c>
      <c r="J2495" s="86">
        <f>SUMIFS('Wind Proxy'!$H$8:$H$19,'Wind Proxy'!$A$8:$A$19,Estimator!$B$4,'Wind Proxy'!$B$8:$B$19,C2495)</f>
        <v>0</v>
      </c>
    </row>
    <row r="2496" spans="1:10" ht="14.4">
      <c r="A2496" s="84">
        <v>48147</v>
      </c>
      <c r="B2496" s="85">
        <v>2031</v>
      </c>
      <c r="C2496" s="85">
        <v>10</v>
      </c>
      <c r="D2496" s="85" t="s">
        <v>75</v>
      </c>
      <c r="E2496" s="85">
        <v>26</v>
      </c>
      <c r="F2496" s="85">
        <v>7</v>
      </c>
      <c r="G2496" s="85">
        <f>--(F2496&lt;=Estimator!$B$7)</f>
        <v>0</v>
      </c>
      <c r="H2496" s="86">
        <f>SUMIFS('Climate Data'!$G$7:$G$366,'Climate Data'!$A$7:$A$366,Estimator!$B$4,'Climate Data'!$B$7:$B$366,C2496)</f>
        <v>0.23225806451612904</v>
      </c>
      <c r="I2496" s="87">
        <f>SUMIFS('Climate Data'!$H$7:$H$366,'Climate Data'!$A$7:$A$366,Estimator!$B$4,'Climate Data'!$B$7:$B$366,C2496)</f>
        <v>6.8194444444444446</v>
      </c>
      <c r="J2496" s="86">
        <f>SUMIFS('Wind Proxy'!$H$8:$H$19,'Wind Proxy'!$A$8:$A$19,Estimator!$B$4,'Wind Proxy'!$B$8:$B$19,C2496)</f>
        <v>0</v>
      </c>
    </row>
    <row r="2497" spans="1:10" ht="14.4">
      <c r="A2497" s="84">
        <v>48148</v>
      </c>
      <c r="B2497" s="85">
        <v>2031</v>
      </c>
      <c r="C2497" s="85">
        <v>10</v>
      </c>
      <c r="D2497" s="85" t="s">
        <v>75</v>
      </c>
      <c r="E2497" s="85">
        <v>27</v>
      </c>
      <c r="F2497" s="85">
        <v>1</v>
      </c>
      <c r="G2497" s="85">
        <f>--(F2497&lt;=Estimator!$B$7)</f>
        <v>1</v>
      </c>
      <c r="H2497" s="86">
        <f>SUMIFS('Climate Data'!$G$7:$G$366,'Climate Data'!$A$7:$A$366,Estimator!$B$4,'Climate Data'!$B$7:$B$366,C2497)</f>
        <v>0.23225806451612904</v>
      </c>
      <c r="I2497" s="87">
        <f>SUMIFS('Climate Data'!$H$7:$H$366,'Climate Data'!$A$7:$A$366,Estimator!$B$4,'Climate Data'!$B$7:$B$366,C2497)</f>
        <v>6.8194444444444446</v>
      </c>
      <c r="J2497" s="86">
        <f>SUMIFS('Wind Proxy'!$H$8:$H$19,'Wind Proxy'!$A$8:$A$19,Estimator!$B$4,'Wind Proxy'!$B$8:$B$19,C2497)</f>
        <v>0</v>
      </c>
    </row>
    <row r="2498" spans="1:10" ht="14.4">
      <c r="A2498" s="84">
        <v>48149</v>
      </c>
      <c r="B2498" s="85">
        <v>2031</v>
      </c>
      <c r="C2498" s="85">
        <v>10</v>
      </c>
      <c r="D2498" s="85" t="s">
        <v>75</v>
      </c>
      <c r="E2498" s="85">
        <v>28</v>
      </c>
      <c r="F2498" s="85">
        <v>2</v>
      </c>
      <c r="G2498" s="85">
        <f>--(F2498&lt;=Estimator!$B$7)</f>
        <v>1</v>
      </c>
      <c r="H2498" s="86">
        <f>SUMIFS('Climate Data'!$G$7:$G$366,'Climate Data'!$A$7:$A$366,Estimator!$B$4,'Climate Data'!$B$7:$B$366,C2498)</f>
        <v>0.23225806451612904</v>
      </c>
      <c r="I2498" s="87">
        <f>SUMIFS('Climate Data'!$H$7:$H$366,'Climate Data'!$A$7:$A$366,Estimator!$B$4,'Climate Data'!$B$7:$B$366,C2498)</f>
        <v>6.8194444444444446</v>
      </c>
      <c r="J2498" s="86">
        <f>SUMIFS('Wind Proxy'!$H$8:$H$19,'Wind Proxy'!$A$8:$A$19,Estimator!$B$4,'Wind Proxy'!$B$8:$B$19,C2498)</f>
        <v>0</v>
      </c>
    </row>
    <row r="2499" spans="1:10" ht="14.4">
      <c r="A2499" s="84">
        <v>48150</v>
      </c>
      <c r="B2499" s="85">
        <v>2031</v>
      </c>
      <c r="C2499" s="85">
        <v>10</v>
      </c>
      <c r="D2499" s="85" t="s">
        <v>75</v>
      </c>
      <c r="E2499" s="85">
        <v>29</v>
      </c>
      <c r="F2499" s="85">
        <v>3</v>
      </c>
      <c r="G2499" s="85">
        <f>--(F2499&lt;=Estimator!$B$7)</f>
        <v>1</v>
      </c>
      <c r="H2499" s="86">
        <f>SUMIFS('Climate Data'!$G$7:$G$366,'Climate Data'!$A$7:$A$366,Estimator!$B$4,'Climate Data'!$B$7:$B$366,C2499)</f>
        <v>0.23225806451612904</v>
      </c>
      <c r="I2499" s="87">
        <f>SUMIFS('Climate Data'!$H$7:$H$366,'Climate Data'!$A$7:$A$366,Estimator!$B$4,'Climate Data'!$B$7:$B$366,C2499)</f>
        <v>6.8194444444444446</v>
      </c>
      <c r="J2499" s="86">
        <f>SUMIFS('Wind Proxy'!$H$8:$H$19,'Wind Proxy'!$A$8:$A$19,Estimator!$B$4,'Wind Proxy'!$B$8:$B$19,C2499)</f>
        <v>0</v>
      </c>
    </row>
    <row r="2500" spans="1:10" ht="14.4">
      <c r="A2500" s="84">
        <v>48151</v>
      </c>
      <c r="B2500" s="85">
        <v>2031</v>
      </c>
      <c r="C2500" s="85">
        <v>10</v>
      </c>
      <c r="D2500" s="85" t="s">
        <v>75</v>
      </c>
      <c r="E2500" s="85">
        <v>30</v>
      </c>
      <c r="F2500" s="85">
        <v>4</v>
      </c>
      <c r="G2500" s="85">
        <f>--(F2500&lt;=Estimator!$B$7)</f>
        <v>1</v>
      </c>
      <c r="H2500" s="86">
        <f>SUMIFS('Climate Data'!$G$7:$G$366,'Climate Data'!$A$7:$A$366,Estimator!$B$4,'Climate Data'!$B$7:$B$366,C2500)</f>
        <v>0.23225806451612904</v>
      </c>
      <c r="I2500" s="87">
        <f>SUMIFS('Climate Data'!$H$7:$H$366,'Climate Data'!$A$7:$A$366,Estimator!$B$4,'Climate Data'!$B$7:$B$366,C2500)</f>
        <v>6.8194444444444446</v>
      </c>
      <c r="J2500" s="86">
        <f>SUMIFS('Wind Proxy'!$H$8:$H$19,'Wind Proxy'!$A$8:$A$19,Estimator!$B$4,'Wind Proxy'!$B$8:$B$19,C2500)</f>
        <v>0</v>
      </c>
    </row>
    <row r="2501" spans="1:10" ht="14.4">
      <c r="A2501" s="84">
        <v>48152</v>
      </c>
      <c r="B2501" s="85">
        <v>2031</v>
      </c>
      <c r="C2501" s="85">
        <v>10</v>
      </c>
      <c r="D2501" s="85" t="s">
        <v>75</v>
      </c>
      <c r="E2501" s="85">
        <v>31</v>
      </c>
      <c r="F2501" s="85">
        <v>5</v>
      </c>
      <c r="G2501" s="85">
        <f>--(F2501&lt;=Estimator!$B$7)</f>
        <v>1</v>
      </c>
      <c r="H2501" s="86">
        <f>SUMIFS('Climate Data'!$G$7:$G$366,'Climate Data'!$A$7:$A$366,Estimator!$B$4,'Climate Data'!$B$7:$B$366,C2501)</f>
        <v>0.23225806451612904</v>
      </c>
      <c r="I2501" s="87">
        <f>SUMIFS('Climate Data'!$H$7:$H$366,'Climate Data'!$A$7:$A$366,Estimator!$B$4,'Climate Data'!$B$7:$B$366,C2501)</f>
        <v>6.8194444444444446</v>
      </c>
      <c r="J2501" s="86">
        <f>SUMIFS('Wind Proxy'!$H$8:$H$19,'Wind Proxy'!$A$8:$A$19,Estimator!$B$4,'Wind Proxy'!$B$8:$B$19,C2501)</f>
        <v>0</v>
      </c>
    </row>
    <row r="2502" spans="1:10" ht="14.4">
      <c r="A2502" s="84">
        <v>48153</v>
      </c>
      <c r="B2502" s="85">
        <v>2031</v>
      </c>
      <c r="C2502" s="85">
        <v>11</v>
      </c>
      <c r="D2502" s="85" t="s">
        <v>76</v>
      </c>
      <c r="E2502" s="85">
        <v>1</v>
      </c>
      <c r="F2502" s="85">
        <v>6</v>
      </c>
      <c r="G2502" s="85">
        <f>--(F2502&lt;=Estimator!$B$7)</f>
        <v>0</v>
      </c>
      <c r="H2502" s="86">
        <f>SUMIFS('Climate Data'!$G$7:$G$366,'Climate Data'!$A$7:$A$366,Estimator!$B$4,'Climate Data'!$B$7:$B$366,C2502)</f>
        <v>0.23333333333333334</v>
      </c>
      <c r="I2502" s="87">
        <f>SUMIFS('Climate Data'!$H$7:$H$366,'Climate Data'!$A$7:$A$366,Estimator!$B$4,'Climate Data'!$B$7:$B$366,C2502)</f>
        <v>6.4428571428571431</v>
      </c>
      <c r="J2502" s="86">
        <f>SUMIFS('Wind Proxy'!$H$8:$H$19,'Wind Proxy'!$A$8:$A$19,Estimator!$B$4,'Wind Proxy'!$B$8:$B$19,C2502)</f>
        <v>0</v>
      </c>
    </row>
    <row r="2503" spans="1:10" ht="14.4">
      <c r="A2503" s="84">
        <v>48154</v>
      </c>
      <c r="B2503" s="85">
        <v>2031</v>
      </c>
      <c r="C2503" s="85">
        <v>11</v>
      </c>
      <c r="D2503" s="85" t="s">
        <v>76</v>
      </c>
      <c r="E2503" s="85">
        <v>2</v>
      </c>
      <c r="F2503" s="85">
        <v>7</v>
      </c>
      <c r="G2503" s="85">
        <f>--(F2503&lt;=Estimator!$B$7)</f>
        <v>0</v>
      </c>
      <c r="H2503" s="86">
        <f>SUMIFS('Climate Data'!$G$7:$G$366,'Climate Data'!$A$7:$A$366,Estimator!$B$4,'Climate Data'!$B$7:$B$366,C2503)</f>
        <v>0.23333333333333334</v>
      </c>
      <c r="I2503" s="87">
        <f>SUMIFS('Climate Data'!$H$7:$H$366,'Climate Data'!$A$7:$A$366,Estimator!$B$4,'Climate Data'!$B$7:$B$366,C2503)</f>
        <v>6.4428571428571431</v>
      </c>
      <c r="J2503" s="86">
        <f>SUMIFS('Wind Proxy'!$H$8:$H$19,'Wind Proxy'!$A$8:$A$19,Estimator!$B$4,'Wind Proxy'!$B$8:$B$19,C2503)</f>
        <v>0</v>
      </c>
    </row>
    <row r="2504" spans="1:10" ht="14.4">
      <c r="A2504" s="84">
        <v>48155</v>
      </c>
      <c r="B2504" s="85">
        <v>2031</v>
      </c>
      <c r="C2504" s="85">
        <v>11</v>
      </c>
      <c r="D2504" s="85" t="s">
        <v>76</v>
      </c>
      <c r="E2504" s="85">
        <v>3</v>
      </c>
      <c r="F2504" s="85">
        <v>1</v>
      </c>
      <c r="G2504" s="85">
        <f>--(F2504&lt;=Estimator!$B$7)</f>
        <v>1</v>
      </c>
      <c r="H2504" s="86">
        <f>SUMIFS('Climate Data'!$G$7:$G$366,'Climate Data'!$A$7:$A$366,Estimator!$B$4,'Climate Data'!$B$7:$B$366,C2504)</f>
        <v>0.23333333333333334</v>
      </c>
      <c r="I2504" s="87">
        <f>SUMIFS('Climate Data'!$H$7:$H$366,'Climate Data'!$A$7:$A$366,Estimator!$B$4,'Climate Data'!$B$7:$B$366,C2504)</f>
        <v>6.4428571428571431</v>
      </c>
      <c r="J2504" s="86">
        <f>SUMIFS('Wind Proxy'!$H$8:$H$19,'Wind Proxy'!$A$8:$A$19,Estimator!$B$4,'Wind Proxy'!$B$8:$B$19,C2504)</f>
        <v>0</v>
      </c>
    </row>
    <row r="2505" spans="1:10" ht="14.4">
      <c r="A2505" s="84">
        <v>48156</v>
      </c>
      <c r="B2505" s="85">
        <v>2031</v>
      </c>
      <c r="C2505" s="85">
        <v>11</v>
      </c>
      <c r="D2505" s="85" t="s">
        <v>76</v>
      </c>
      <c r="E2505" s="85">
        <v>4</v>
      </c>
      <c r="F2505" s="85">
        <v>2</v>
      </c>
      <c r="G2505" s="85">
        <f>--(F2505&lt;=Estimator!$B$7)</f>
        <v>1</v>
      </c>
      <c r="H2505" s="86">
        <f>SUMIFS('Climate Data'!$G$7:$G$366,'Climate Data'!$A$7:$A$366,Estimator!$B$4,'Climate Data'!$B$7:$B$366,C2505)</f>
        <v>0.23333333333333334</v>
      </c>
      <c r="I2505" s="87">
        <f>SUMIFS('Climate Data'!$H$7:$H$366,'Climate Data'!$A$7:$A$366,Estimator!$B$4,'Climate Data'!$B$7:$B$366,C2505)</f>
        <v>6.4428571428571431</v>
      </c>
      <c r="J2505" s="86">
        <f>SUMIFS('Wind Proxy'!$H$8:$H$19,'Wind Proxy'!$A$8:$A$19,Estimator!$B$4,'Wind Proxy'!$B$8:$B$19,C2505)</f>
        <v>0</v>
      </c>
    </row>
    <row r="2506" spans="1:10" ht="14.4">
      <c r="A2506" s="84">
        <v>48157</v>
      </c>
      <c r="B2506" s="85">
        <v>2031</v>
      </c>
      <c r="C2506" s="85">
        <v>11</v>
      </c>
      <c r="D2506" s="85" t="s">
        <v>76</v>
      </c>
      <c r="E2506" s="85">
        <v>5</v>
      </c>
      <c r="F2506" s="85">
        <v>3</v>
      </c>
      <c r="G2506" s="85">
        <f>--(F2506&lt;=Estimator!$B$7)</f>
        <v>1</v>
      </c>
      <c r="H2506" s="86">
        <f>SUMIFS('Climate Data'!$G$7:$G$366,'Climate Data'!$A$7:$A$366,Estimator!$B$4,'Climate Data'!$B$7:$B$366,C2506)</f>
        <v>0.23333333333333334</v>
      </c>
      <c r="I2506" s="87">
        <f>SUMIFS('Climate Data'!$H$7:$H$366,'Climate Data'!$A$7:$A$366,Estimator!$B$4,'Climate Data'!$B$7:$B$366,C2506)</f>
        <v>6.4428571428571431</v>
      </c>
      <c r="J2506" s="86">
        <f>SUMIFS('Wind Proxy'!$H$8:$H$19,'Wind Proxy'!$A$8:$A$19,Estimator!$B$4,'Wind Proxy'!$B$8:$B$19,C2506)</f>
        <v>0</v>
      </c>
    </row>
    <row r="2507" spans="1:10" ht="14.4">
      <c r="A2507" s="84">
        <v>48158</v>
      </c>
      <c r="B2507" s="85">
        <v>2031</v>
      </c>
      <c r="C2507" s="85">
        <v>11</v>
      </c>
      <c r="D2507" s="85" t="s">
        <v>76</v>
      </c>
      <c r="E2507" s="85">
        <v>6</v>
      </c>
      <c r="F2507" s="85">
        <v>4</v>
      </c>
      <c r="G2507" s="85">
        <f>--(F2507&lt;=Estimator!$B$7)</f>
        <v>1</v>
      </c>
      <c r="H2507" s="86">
        <f>SUMIFS('Climate Data'!$G$7:$G$366,'Climate Data'!$A$7:$A$366,Estimator!$B$4,'Climate Data'!$B$7:$B$366,C2507)</f>
        <v>0.23333333333333334</v>
      </c>
      <c r="I2507" s="87">
        <f>SUMIFS('Climate Data'!$H$7:$H$366,'Climate Data'!$A$7:$A$366,Estimator!$B$4,'Climate Data'!$B$7:$B$366,C2507)</f>
        <v>6.4428571428571431</v>
      </c>
      <c r="J2507" s="86">
        <f>SUMIFS('Wind Proxy'!$H$8:$H$19,'Wind Proxy'!$A$8:$A$19,Estimator!$B$4,'Wind Proxy'!$B$8:$B$19,C2507)</f>
        <v>0</v>
      </c>
    </row>
    <row r="2508" spans="1:10" ht="14.4">
      <c r="A2508" s="84">
        <v>48159</v>
      </c>
      <c r="B2508" s="85">
        <v>2031</v>
      </c>
      <c r="C2508" s="85">
        <v>11</v>
      </c>
      <c r="D2508" s="85" t="s">
        <v>76</v>
      </c>
      <c r="E2508" s="85">
        <v>7</v>
      </c>
      <c r="F2508" s="85">
        <v>5</v>
      </c>
      <c r="G2508" s="85">
        <f>--(F2508&lt;=Estimator!$B$7)</f>
        <v>1</v>
      </c>
      <c r="H2508" s="86">
        <f>SUMIFS('Climate Data'!$G$7:$G$366,'Climate Data'!$A$7:$A$366,Estimator!$B$4,'Climate Data'!$B$7:$B$366,C2508)</f>
        <v>0.23333333333333334</v>
      </c>
      <c r="I2508" s="87">
        <f>SUMIFS('Climate Data'!$H$7:$H$366,'Climate Data'!$A$7:$A$366,Estimator!$B$4,'Climate Data'!$B$7:$B$366,C2508)</f>
        <v>6.4428571428571431</v>
      </c>
      <c r="J2508" s="86">
        <f>SUMIFS('Wind Proxy'!$H$8:$H$19,'Wind Proxy'!$A$8:$A$19,Estimator!$B$4,'Wind Proxy'!$B$8:$B$19,C2508)</f>
        <v>0</v>
      </c>
    </row>
    <row r="2509" spans="1:10" ht="14.4">
      <c r="A2509" s="84">
        <v>48160</v>
      </c>
      <c r="B2509" s="85">
        <v>2031</v>
      </c>
      <c r="C2509" s="85">
        <v>11</v>
      </c>
      <c r="D2509" s="85" t="s">
        <v>76</v>
      </c>
      <c r="E2509" s="85">
        <v>8</v>
      </c>
      <c r="F2509" s="85">
        <v>6</v>
      </c>
      <c r="G2509" s="85">
        <f>--(F2509&lt;=Estimator!$B$7)</f>
        <v>0</v>
      </c>
      <c r="H2509" s="86">
        <f>SUMIFS('Climate Data'!$G$7:$G$366,'Climate Data'!$A$7:$A$366,Estimator!$B$4,'Climate Data'!$B$7:$B$366,C2509)</f>
        <v>0.23333333333333334</v>
      </c>
      <c r="I2509" s="87">
        <f>SUMIFS('Climate Data'!$H$7:$H$366,'Climate Data'!$A$7:$A$366,Estimator!$B$4,'Climate Data'!$B$7:$B$366,C2509)</f>
        <v>6.4428571428571431</v>
      </c>
      <c r="J2509" s="86">
        <f>SUMIFS('Wind Proxy'!$H$8:$H$19,'Wind Proxy'!$A$8:$A$19,Estimator!$B$4,'Wind Proxy'!$B$8:$B$19,C2509)</f>
        <v>0</v>
      </c>
    </row>
    <row r="2510" spans="1:10" ht="14.4">
      <c r="A2510" s="84">
        <v>48161</v>
      </c>
      <c r="B2510" s="85">
        <v>2031</v>
      </c>
      <c r="C2510" s="85">
        <v>11</v>
      </c>
      <c r="D2510" s="85" t="s">
        <v>76</v>
      </c>
      <c r="E2510" s="85">
        <v>9</v>
      </c>
      <c r="F2510" s="85">
        <v>7</v>
      </c>
      <c r="G2510" s="85">
        <f>--(F2510&lt;=Estimator!$B$7)</f>
        <v>0</v>
      </c>
      <c r="H2510" s="86">
        <f>SUMIFS('Climate Data'!$G$7:$G$366,'Climate Data'!$A$7:$A$366,Estimator!$B$4,'Climate Data'!$B$7:$B$366,C2510)</f>
        <v>0.23333333333333334</v>
      </c>
      <c r="I2510" s="87">
        <f>SUMIFS('Climate Data'!$H$7:$H$366,'Climate Data'!$A$7:$A$366,Estimator!$B$4,'Climate Data'!$B$7:$B$366,C2510)</f>
        <v>6.4428571428571431</v>
      </c>
      <c r="J2510" s="86">
        <f>SUMIFS('Wind Proxy'!$H$8:$H$19,'Wind Proxy'!$A$8:$A$19,Estimator!$B$4,'Wind Proxy'!$B$8:$B$19,C2510)</f>
        <v>0</v>
      </c>
    </row>
    <row r="2511" spans="1:10" ht="14.4">
      <c r="A2511" s="84">
        <v>48162</v>
      </c>
      <c r="B2511" s="85">
        <v>2031</v>
      </c>
      <c r="C2511" s="85">
        <v>11</v>
      </c>
      <c r="D2511" s="85" t="s">
        <v>76</v>
      </c>
      <c r="E2511" s="85">
        <v>10</v>
      </c>
      <c r="F2511" s="85">
        <v>1</v>
      </c>
      <c r="G2511" s="85">
        <f>--(F2511&lt;=Estimator!$B$7)</f>
        <v>1</v>
      </c>
      <c r="H2511" s="86">
        <f>SUMIFS('Climate Data'!$G$7:$G$366,'Climate Data'!$A$7:$A$366,Estimator!$B$4,'Climate Data'!$B$7:$B$366,C2511)</f>
        <v>0.23333333333333334</v>
      </c>
      <c r="I2511" s="87">
        <f>SUMIFS('Climate Data'!$H$7:$H$366,'Climate Data'!$A$7:$A$366,Estimator!$B$4,'Climate Data'!$B$7:$B$366,C2511)</f>
        <v>6.4428571428571431</v>
      </c>
      <c r="J2511" s="86">
        <f>SUMIFS('Wind Proxy'!$H$8:$H$19,'Wind Proxy'!$A$8:$A$19,Estimator!$B$4,'Wind Proxy'!$B$8:$B$19,C2511)</f>
        <v>0</v>
      </c>
    </row>
    <row r="2512" spans="1:10" ht="14.4">
      <c r="A2512" s="84">
        <v>48163</v>
      </c>
      <c r="B2512" s="85">
        <v>2031</v>
      </c>
      <c r="C2512" s="85">
        <v>11</v>
      </c>
      <c r="D2512" s="85" t="s">
        <v>76</v>
      </c>
      <c r="E2512" s="85">
        <v>11</v>
      </c>
      <c r="F2512" s="85">
        <v>2</v>
      </c>
      <c r="G2512" s="85">
        <f>--(F2512&lt;=Estimator!$B$7)</f>
        <v>1</v>
      </c>
      <c r="H2512" s="86">
        <f>SUMIFS('Climate Data'!$G$7:$G$366,'Climate Data'!$A$7:$A$366,Estimator!$B$4,'Climate Data'!$B$7:$B$366,C2512)</f>
        <v>0.23333333333333334</v>
      </c>
      <c r="I2512" s="87">
        <f>SUMIFS('Climate Data'!$H$7:$H$366,'Climate Data'!$A$7:$A$366,Estimator!$B$4,'Climate Data'!$B$7:$B$366,C2512)</f>
        <v>6.4428571428571431</v>
      </c>
      <c r="J2512" s="86">
        <f>SUMIFS('Wind Proxy'!$H$8:$H$19,'Wind Proxy'!$A$8:$A$19,Estimator!$B$4,'Wind Proxy'!$B$8:$B$19,C2512)</f>
        <v>0</v>
      </c>
    </row>
    <row r="2513" spans="1:10" ht="14.4">
      <c r="A2513" s="84">
        <v>48164</v>
      </c>
      <c r="B2513" s="85">
        <v>2031</v>
      </c>
      <c r="C2513" s="85">
        <v>11</v>
      </c>
      <c r="D2513" s="85" t="s">
        <v>76</v>
      </c>
      <c r="E2513" s="85">
        <v>12</v>
      </c>
      <c r="F2513" s="85">
        <v>3</v>
      </c>
      <c r="G2513" s="85">
        <f>--(F2513&lt;=Estimator!$B$7)</f>
        <v>1</v>
      </c>
      <c r="H2513" s="86">
        <f>SUMIFS('Climate Data'!$G$7:$G$366,'Climate Data'!$A$7:$A$366,Estimator!$B$4,'Climate Data'!$B$7:$B$366,C2513)</f>
        <v>0.23333333333333334</v>
      </c>
      <c r="I2513" s="87">
        <f>SUMIFS('Climate Data'!$H$7:$H$366,'Climate Data'!$A$7:$A$366,Estimator!$B$4,'Climate Data'!$B$7:$B$366,C2513)</f>
        <v>6.4428571428571431</v>
      </c>
      <c r="J2513" s="86">
        <f>SUMIFS('Wind Proxy'!$H$8:$H$19,'Wind Proxy'!$A$8:$A$19,Estimator!$B$4,'Wind Proxy'!$B$8:$B$19,C2513)</f>
        <v>0</v>
      </c>
    </row>
    <row r="2514" spans="1:10" ht="14.4">
      <c r="A2514" s="84">
        <v>48165</v>
      </c>
      <c r="B2514" s="85">
        <v>2031</v>
      </c>
      <c r="C2514" s="85">
        <v>11</v>
      </c>
      <c r="D2514" s="85" t="s">
        <v>76</v>
      </c>
      <c r="E2514" s="85">
        <v>13</v>
      </c>
      <c r="F2514" s="85">
        <v>4</v>
      </c>
      <c r="G2514" s="85">
        <f>--(F2514&lt;=Estimator!$B$7)</f>
        <v>1</v>
      </c>
      <c r="H2514" s="86">
        <f>SUMIFS('Climate Data'!$G$7:$G$366,'Climate Data'!$A$7:$A$366,Estimator!$B$4,'Climate Data'!$B$7:$B$366,C2514)</f>
        <v>0.23333333333333334</v>
      </c>
      <c r="I2514" s="87">
        <f>SUMIFS('Climate Data'!$H$7:$H$366,'Climate Data'!$A$7:$A$366,Estimator!$B$4,'Climate Data'!$B$7:$B$366,C2514)</f>
        <v>6.4428571428571431</v>
      </c>
      <c r="J2514" s="86">
        <f>SUMIFS('Wind Proxy'!$H$8:$H$19,'Wind Proxy'!$A$8:$A$19,Estimator!$B$4,'Wind Proxy'!$B$8:$B$19,C2514)</f>
        <v>0</v>
      </c>
    </row>
    <row r="2515" spans="1:10" ht="14.4">
      <c r="A2515" s="84">
        <v>48166</v>
      </c>
      <c r="B2515" s="85">
        <v>2031</v>
      </c>
      <c r="C2515" s="85">
        <v>11</v>
      </c>
      <c r="D2515" s="85" t="s">
        <v>76</v>
      </c>
      <c r="E2515" s="85">
        <v>14</v>
      </c>
      <c r="F2515" s="85">
        <v>5</v>
      </c>
      <c r="G2515" s="85">
        <f>--(F2515&lt;=Estimator!$B$7)</f>
        <v>1</v>
      </c>
      <c r="H2515" s="86">
        <f>SUMIFS('Climate Data'!$G$7:$G$366,'Climate Data'!$A$7:$A$366,Estimator!$B$4,'Climate Data'!$B$7:$B$366,C2515)</f>
        <v>0.23333333333333334</v>
      </c>
      <c r="I2515" s="87">
        <f>SUMIFS('Climate Data'!$H$7:$H$366,'Climate Data'!$A$7:$A$366,Estimator!$B$4,'Climate Data'!$B$7:$B$366,C2515)</f>
        <v>6.4428571428571431</v>
      </c>
      <c r="J2515" s="86">
        <f>SUMIFS('Wind Proxy'!$H$8:$H$19,'Wind Proxy'!$A$8:$A$19,Estimator!$B$4,'Wind Proxy'!$B$8:$B$19,C2515)</f>
        <v>0</v>
      </c>
    </row>
    <row r="2516" spans="1:10" ht="14.4">
      <c r="A2516" s="84">
        <v>48167</v>
      </c>
      <c r="B2516" s="85">
        <v>2031</v>
      </c>
      <c r="C2516" s="85">
        <v>11</v>
      </c>
      <c r="D2516" s="85" t="s">
        <v>76</v>
      </c>
      <c r="E2516" s="85">
        <v>15</v>
      </c>
      <c r="F2516" s="85">
        <v>6</v>
      </c>
      <c r="G2516" s="85">
        <f>--(F2516&lt;=Estimator!$B$7)</f>
        <v>0</v>
      </c>
      <c r="H2516" s="86">
        <f>SUMIFS('Climate Data'!$G$7:$G$366,'Climate Data'!$A$7:$A$366,Estimator!$B$4,'Climate Data'!$B$7:$B$366,C2516)</f>
        <v>0.23333333333333334</v>
      </c>
      <c r="I2516" s="87">
        <f>SUMIFS('Climate Data'!$H$7:$H$366,'Climate Data'!$A$7:$A$366,Estimator!$B$4,'Climate Data'!$B$7:$B$366,C2516)</f>
        <v>6.4428571428571431</v>
      </c>
      <c r="J2516" s="86">
        <f>SUMIFS('Wind Proxy'!$H$8:$H$19,'Wind Proxy'!$A$8:$A$19,Estimator!$B$4,'Wind Proxy'!$B$8:$B$19,C2516)</f>
        <v>0</v>
      </c>
    </row>
    <row r="2517" spans="1:10" ht="14.4">
      <c r="A2517" s="84">
        <v>48168</v>
      </c>
      <c r="B2517" s="85">
        <v>2031</v>
      </c>
      <c r="C2517" s="85">
        <v>11</v>
      </c>
      <c r="D2517" s="85" t="s">
        <v>76</v>
      </c>
      <c r="E2517" s="85">
        <v>16</v>
      </c>
      <c r="F2517" s="85">
        <v>7</v>
      </c>
      <c r="G2517" s="85">
        <f>--(F2517&lt;=Estimator!$B$7)</f>
        <v>0</v>
      </c>
      <c r="H2517" s="86">
        <f>SUMIFS('Climate Data'!$G$7:$G$366,'Climate Data'!$A$7:$A$366,Estimator!$B$4,'Climate Data'!$B$7:$B$366,C2517)</f>
        <v>0.23333333333333334</v>
      </c>
      <c r="I2517" s="87">
        <f>SUMIFS('Climate Data'!$H$7:$H$366,'Climate Data'!$A$7:$A$366,Estimator!$B$4,'Climate Data'!$B$7:$B$366,C2517)</f>
        <v>6.4428571428571431</v>
      </c>
      <c r="J2517" s="86">
        <f>SUMIFS('Wind Proxy'!$H$8:$H$19,'Wind Proxy'!$A$8:$A$19,Estimator!$B$4,'Wind Proxy'!$B$8:$B$19,C2517)</f>
        <v>0</v>
      </c>
    </row>
    <row r="2518" spans="1:10" ht="14.4">
      <c r="A2518" s="84">
        <v>48169</v>
      </c>
      <c r="B2518" s="85">
        <v>2031</v>
      </c>
      <c r="C2518" s="85">
        <v>11</v>
      </c>
      <c r="D2518" s="85" t="s">
        <v>76</v>
      </c>
      <c r="E2518" s="85">
        <v>17</v>
      </c>
      <c r="F2518" s="85">
        <v>1</v>
      </c>
      <c r="G2518" s="85">
        <f>--(F2518&lt;=Estimator!$B$7)</f>
        <v>1</v>
      </c>
      <c r="H2518" s="86">
        <f>SUMIFS('Climate Data'!$G$7:$G$366,'Climate Data'!$A$7:$A$366,Estimator!$B$4,'Climate Data'!$B$7:$B$366,C2518)</f>
        <v>0.23333333333333334</v>
      </c>
      <c r="I2518" s="87">
        <f>SUMIFS('Climate Data'!$H$7:$H$366,'Climate Data'!$A$7:$A$366,Estimator!$B$4,'Climate Data'!$B$7:$B$366,C2518)</f>
        <v>6.4428571428571431</v>
      </c>
      <c r="J2518" s="86">
        <f>SUMIFS('Wind Proxy'!$H$8:$H$19,'Wind Proxy'!$A$8:$A$19,Estimator!$B$4,'Wind Proxy'!$B$8:$B$19,C2518)</f>
        <v>0</v>
      </c>
    </row>
    <row r="2519" spans="1:10" ht="14.4">
      <c r="A2519" s="84">
        <v>48170</v>
      </c>
      <c r="B2519" s="85">
        <v>2031</v>
      </c>
      <c r="C2519" s="85">
        <v>11</v>
      </c>
      <c r="D2519" s="85" t="s">
        <v>76</v>
      </c>
      <c r="E2519" s="85">
        <v>18</v>
      </c>
      <c r="F2519" s="85">
        <v>2</v>
      </c>
      <c r="G2519" s="85">
        <f>--(F2519&lt;=Estimator!$B$7)</f>
        <v>1</v>
      </c>
      <c r="H2519" s="86">
        <f>SUMIFS('Climate Data'!$G$7:$G$366,'Climate Data'!$A$7:$A$366,Estimator!$B$4,'Climate Data'!$B$7:$B$366,C2519)</f>
        <v>0.23333333333333334</v>
      </c>
      <c r="I2519" s="87">
        <f>SUMIFS('Climate Data'!$H$7:$H$366,'Climate Data'!$A$7:$A$366,Estimator!$B$4,'Climate Data'!$B$7:$B$366,C2519)</f>
        <v>6.4428571428571431</v>
      </c>
      <c r="J2519" s="86">
        <f>SUMIFS('Wind Proxy'!$H$8:$H$19,'Wind Proxy'!$A$8:$A$19,Estimator!$B$4,'Wind Proxy'!$B$8:$B$19,C2519)</f>
        <v>0</v>
      </c>
    </row>
    <row r="2520" spans="1:10" ht="14.4">
      <c r="A2520" s="84">
        <v>48171</v>
      </c>
      <c r="B2520" s="85">
        <v>2031</v>
      </c>
      <c r="C2520" s="85">
        <v>11</v>
      </c>
      <c r="D2520" s="85" t="s">
        <v>76</v>
      </c>
      <c r="E2520" s="85">
        <v>19</v>
      </c>
      <c r="F2520" s="85">
        <v>3</v>
      </c>
      <c r="G2520" s="85">
        <f>--(F2520&lt;=Estimator!$B$7)</f>
        <v>1</v>
      </c>
      <c r="H2520" s="86">
        <f>SUMIFS('Climate Data'!$G$7:$G$366,'Climate Data'!$A$7:$A$366,Estimator!$B$4,'Climate Data'!$B$7:$B$366,C2520)</f>
        <v>0.23333333333333334</v>
      </c>
      <c r="I2520" s="87">
        <f>SUMIFS('Climate Data'!$H$7:$H$366,'Climate Data'!$A$7:$A$366,Estimator!$B$4,'Climate Data'!$B$7:$B$366,C2520)</f>
        <v>6.4428571428571431</v>
      </c>
      <c r="J2520" s="86">
        <f>SUMIFS('Wind Proxy'!$H$8:$H$19,'Wind Proxy'!$A$8:$A$19,Estimator!$B$4,'Wind Proxy'!$B$8:$B$19,C2520)</f>
        <v>0</v>
      </c>
    </row>
    <row r="2521" spans="1:10" ht="14.4">
      <c r="A2521" s="84">
        <v>48172</v>
      </c>
      <c r="B2521" s="85">
        <v>2031</v>
      </c>
      <c r="C2521" s="85">
        <v>11</v>
      </c>
      <c r="D2521" s="85" t="s">
        <v>76</v>
      </c>
      <c r="E2521" s="85">
        <v>20</v>
      </c>
      <c r="F2521" s="85">
        <v>4</v>
      </c>
      <c r="G2521" s="85">
        <f>--(F2521&lt;=Estimator!$B$7)</f>
        <v>1</v>
      </c>
      <c r="H2521" s="86">
        <f>SUMIFS('Climate Data'!$G$7:$G$366,'Climate Data'!$A$7:$A$366,Estimator!$B$4,'Climate Data'!$B$7:$B$366,C2521)</f>
        <v>0.23333333333333334</v>
      </c>
      <c r="I2521" s="87">
        <f>SUMIFS('Climate Data'!$H$7:$H$366,'Climate Data'!$A$7:$A$366,Estimator!$B$4,'Climate Data'!$B$7:$B$366,C2521)</f>
        <v>6.4428571428571431</v>
      </c>
      <c r="J2521" s="86">
        <f>SUMIFS('Wind Proxy'!$H$8:$H$19,'Wind Proxy'!$A$8:$A$19,Estimator!$B$4,'Wind Proxy'!$B$8:$B$19,C2521)</f>
        <v>0</v>
      </c>
    </row>
    <row r="2522" spans="1:10" ht="14.4">
      <c r="A2522" s="84">
        <v>48173</v>
      </c>
      <c r="B2522" s="85">
        <v>2031</v>
      </c>
      <c r="C2522" s="85">
        <v>11</v>
      </c>
      <c r="D2522" s="85" t="s">
        <v>76</v>
      </c>
      <c r="E2522" s="85">
        <v>21</v>
      </c>
      <c r="F2522" s="85">
        <v>5</v>
      </c>
      <c r="G2522" s="85">
        <f>--(F2522&lt;=Estimator!$B$7)</f>
        <v>1</v>
      </c>
      <c r="H2522" s="86">
        <f>SUMIFS('Climate Data'!$G$7:$G$366,'Climate Data'!$A$7:$A$366,Estimator!$B$4,'Climate Data'!$B$7:$B$366,C2522)</f>
        <v>0.23333333333333334</v>
      </c>
      <c r="I2522" s="87">
        <f>SUMIFS('Climate Data'!$H$7:$H$366,'Climate Data'!$A$7:$A$366,Estimator!$B$4,'Climate Data'!$B$7:$B$366,C2522)</f>
        <v>6.4428571428571431</v>
      </c>
      <c r="J2522" s="86">
        <f>SUMIFS('Wind Proxy'!$H$8:$H$19,'Wind Proxy'!$A$8:$A$19,Estimator!$B$4,'Wind Proxy'!$B$8:$B$19,C2522)</f>
        <v>0</v>
      </c>
    </row>
    <row r="2523" spans="1:10" ht="14.4">
      <c r="A2523" s="84">
        <v>48174</v>
      </c>
      <c r="B2523" s="85">
        <v>2031</v>
      </c>
      <c r="C2523" s="85">
        <v>11</v>
      </c>
      <c r="D2523" s="85" t="s">
        <v>76</v>
      </c>
      <c r="E2523" s="85">
        <v>22</v>
      </c>
      <c r="F2523" s="85">
        <v>6</v>
      </c>
      <c r="G2523" s="85">
        <f>--(F2523&lt;=Estimator!$B$7)</f>
        <v>0</v>
      </c>
      <c r="H2523" s="86">
        <f>SUMIFS('Climate Data'!$G$7:$G$366,'Climate Data'!$A$7:$A$366,Estimator!$B$4,'Climate Data'!$B$7:$B$366,C2523)</f>
        <v>0.23333333333333334</v>
      </c>
      <c r="I2523" s="87">
        <f>SUMIFS('Climate Data'!$H$7:$H$366,'Climate Data'!$A$7:$A$366,Estimator!$B$4,'Climate Data'!$B$7:$B$366,C2523)</f>
        <v>6.4428571428571431</v>
      </c>
      <c r="J2523" s="86">
        <f>SUMIFS('Wind Proxy'!$H$8:$H$19,'Wind Proxy'!$A$8:$A$19,Estimator!$B$4,'Wind Proxy'!$B$8:$B$19,C2523)</f>
        <v>0</v>
      </c>
    </row>
    <row r="2524" spans="1:10" ht="14.4">
      <c r="A2524" s="84">
        <v>48175</v>
      </c>
      <c r="B2524" s="85">
        <v>2031</v>
      </c>
      <c r="C2524" s="85">
        <v>11</v>
      </c>
      <c r="D2524" s="85" t="s">
        <v>76</v>
      </c>
      <c r="E2524" s="85">
        <v>23</v>
      </c>
      <c r="F2524" s="85">
        <v>7</v>
      </c>
      <c r="G2524" s="85">
        <f>--(F2524&lt;=Estimator!$B$7)</f>
        <v>0</v>
      </c>
      <c r="H2524" s="86">
        <f>SUMIFS('Climate Data'!$G$7:$G$366,'Climate Data'!$A$7:$A$366,Estimator!$B$4,'Climate Data'!$B$7:$B$366,C2524)</f>
        <v>0.23333333333333334</v>
      </c>
      <c r="I2524" s="87">
        <f>SUMIFS('Climate Data'!$H$7:$H$366,'Climate Data'!$A$7:$A$366,Estimator!$B$4,'Climate Data'!$B$7:$B$366,C2524)</f>
        <v>6.4428571428571431</v>
      </c>
      <c r="J2524" s="86">
        <f>SUMIFS('Wind Proxy'!$H$8:$H$19,'Wind Proxy'!$A$8:$A$19,Estimator!$B$4,'Wind Proxy'!$B$8:$B$19,C2524)</f>
        <v>0</v>
      </c>
    </row>
    <row r="2525" spans="1:10" ht="14.4">
      <c r="A2525" s="84">
        <v>48176</v>
      </c>
      <c r="B2525" s="85">
        <v>2031</v>
      </c>
      <c r="C2525" s="85">
        <v>11</v>
      </c>
      <c r="D2525" s="85" t="s">
        <v>76</v>
      </c>
      <c r="E2525" s="85">
        <v>24</v>
      </c>
      <c r="F2525" s="85">
        <v>1</v>
      </c>
      <c r="G2525" s="85">
        <f>--(F2525&lt;=Estimator!$B$7)</f>
        <v>1</v>
      </c>
      <c r="H2525" s="86">
        <f>SUMIFS('Climate Data'!$G$7:$G$366,'Climate Data'!$A$7:$A$366,Estimator!$B$4,'Climate Data'!$B$7:$B$366,C2525)</f>
        <v>0.23333333333333334</v>
      </c>
      <c r="I2525" s="87">
        <f>SUMIFS('Climate Data'!$H$7:$H$366,'Climate Data'!$A$7:$A$366,Estimator!$B$4,'Climate Data'!$B$7:$B$366,C2525)</f>
        <v>6.4428571428571431</v>
      </c>
      <c r="J2525" s="86">
        <f>SUMIFS('Wind Proxy'!$H$8:$H$19,'Wind Proxy'!$A$8:$A$19,Estimator!$B$4,'Wind Proxy'!$B$8:$B$19,C2525)</f>
        <v>0</v>
      </c>
    </row>
    <row r="2526" spans="1:10" ht="14.4">
      <c r="A2526" s="84">
        <v>48177</v>
      </c>
      <c r="B2526" s="85">
        <v>2031</v>
      </c>
      <c r="C2526" s="85">
        <v>11</v>
      </c>
      <c r="D2526" s="85" t="s">
        <v>76</v>
      </c>
      <c r="E2526" s="85">
        <v>25</v>
      </c>
      <c r="F2526" s="85">
        <v>2</v>
      </c>
      <c r="G2526" s="85">
        <f>--(F2526&lt;=Estimator!$B$7)</f>
        <v>1</v>
      </c>
      <c r="H2526" s="86">
        <f>SUMIFS('Climate Data'!$G$7:$G$366,'Climate Data'!$A$7:$A$366,Estimator!$B$4,'Climate Data'!$B$7:$B$366,C2526)</f>
        <v>0.23333333333333334</v>
      </c>
      <c r="I2526" s="87">
        <f>SUMIFS('Climate Data'!$H$7:$H$366,'Climate Data'!$A$7:$A$366,Estimator!$B$4,'Climate Data'!$B$7:$B$366,C2526)</f>
        <v>6.4428571428571431</v>
      </c>
      <c r="J2526" s="86">
        <f>SUMIFS('Wind Proxy'!$H$8:$H$19,'Wind Proxy'!$A$8:$A$19,Estimator!$B$4,'Wind Proxy'!$B$8:$B$19,C2526)</f>
        <v>0</v>
      </c>
    </row>
    <row r="2527" spans="1:10" ht="14.4">
      <c r="A2527" s="84">
        <v>48178</v>
      </c>
      <c r="B2527" s="85">
        <v>2031</v>
      </c>
      <c r="C2527" s="85">
        <v>11</v>
      </c>
      <c r="D2527" s="85" t="s">
        <v>76</v>
      </c>
      <c r="E2527" s="85">
        <v>26</v>
      </c>
      <c r="F2527" s="85">
        <v>3</v>
      </c>
      <c r="G2527" s="85">
        <f>--(F2527&lt;=Estimator!$B$7)</f>
        <v>1</v>
      </c>
      <c r="H2527" s="86">
        <f>SUMIFS('Climate Data'!$G$7:$G$366,'Climate Data'!$A$7:$A$366,Estimator!$B$4,'Climate Data'!$B$7:$B$366,C2527)</f>
        <v>0.23333333333333334</v>
      </c>
      <c r="I2527" s="87">
        <f>SUMIFS('Climate Data'!$H$7:$H$366,'Climate Data'!$A$7:$A$366,Estimator!$B$4,'Climate Data'!$B$7:$B$366,C2527)</f>
        <v>6.4428571428571431</v>
      </c>
      <c r="J2527" s="86">
        <f>SUMIFS('Wind Proxy'!$H$8:$H$19,'Wind Proxy'!$A$8:$A$19,Estimator!$B$4,'Wind Proxy'!$B$8:$B$19,C2527)</f>
        <v>0</v>
      </c>
    </row>
    <row r="2528" spans="1:10" ht="14.4">
      <c r="A2528" s="84">
        <v>48179</v>
      </c>
      <c r="B2528" s="85">
        <v>2031</v>
      </c>
      <c r="C2528" s="85">
        <v>11</v>
      </c>
      <c r="D2528" s="85" t="s">
        <v>76</v>
      </c>
      <c r="E2528" s="85">
        <v>27</v>
      </c>
      <c r="F2528" s="85">
        <v>4</v>
      </c>
      <c r="G2528" s="85">
        <f>--(F2528&lt;=Estimator!$B$7)</f>
        <v>1</v>
      </c>
      <c r="H2528" s="86">
        <f>SUMIFS('Climate Data'!$G$7:$G$366,'Climate Data'!$A$7:$A$366,Estimator!$B$4,'Climate Data'!$B$7:$B$366,C2528)</f>
        <v>0.23333333333333334</v>
      </c>
      <c r="I2528" s="87">
        <f>SUMIFS('Climate Data'!$H$7:$H$366,'Climate Data'!$A$7:$A$366,Estimator!$B$4,'Climate Data'!$B$7:$B$366,C2528)</f>
        <v>6.4428571428571431</v>
      </c>
      <c r="J2528" s="86">
        <f>SUMIFS('Wind Proxy'!$H$8:$H$19,'Wind Proxy'!$A$8:$A$19,Estimator!$B$4,'Wind Proxy'!$B$8:$B$19,C2528)</f>
        <v>0</v>
      </c>
    </row>
    <row r="2529" spans="1:10" ht="14.4">
      <c r="A2529" s="84">
        <v>48180</v>
      </c>
      <c r="B2529" s="85">
        <v>2031</v>
      </c>
      <c r="C2529" s="85">
        <v>11</v>
      </c>
      <c r="D2529" s="85" t="s">
        <v>76</v>
      </c>
      <c r="E2529" s="85">
        <v>28</v>
      </c>
      <c r="F2529" s="85">
        <v>5</v>
      </c>
      <c r="G2529" s="85">
        <f>--(F2529&lt;=Estimator!$B$7)</f>
        <v>1</v>
      </c>
      <c r="H2529" s="86">
        <f>SUMIFS('Climate Data'!$G$7:$G$366,'Climate Data'!$A$7:$A$366,Estimator!$B$4,'Climate Data'!$B$7:$B$366,C2529)</f>
        <v>0.23333333333333334</v>
      </c>
      <c r="I2529" s="87">
        <f>SUMIFS('Climate Data'!$H$7:$H$366,'Climate Data'!$A$7:$A$366,Estimator!$B$4,'Climate Data'!$B$7:$B$366,C2529)</f>
        <v>6.4428571428571431</v>
      </c>
      <c r="J2529" s="86">
        <f>SUMIFS('Wind Proxy'!$H$8:$H$19,'Wind Proxy'!$A$8:$A$19,Estimator!$B$4,'Wind Proxy'!$B$8:$B$19,C2529)</f>
        <v>0</v>
      </c>
    </row>
    <row r="2530" spans="1:10" ht="14.4">
      <c r="A2530" s="84">
        <v>48181</v>
      </c>
      <c r="B2530" s="85">
        <v>2031</v>
      </c>
      <c r="C2530" s="85">
        <v>11</v>
      </c>
      <c r="D2530" s="85" t="s">
        <v>76</v>
      </c>
      <c r="E2530" s="85">
        <v>29</v>
      </c>
      <c r="F2530" s="85">
        <v>6</v>
      </c>
      <c r="G2530" s="85">
        <f>--(F2530&lt;=Estimator!$B$7)</f>
        <v>0</v>
      </c>
      <c r="H2530" s="86">
        <f>SUMIFS('Climate Data'!$G$7:$G$366,'Climate Data'!$A$7:$A$366,Estimator!$B$4,'Climate Data'!$B$7:$B$366,C2530)</f>
        <v>0.23333333333333334</v>
      </c>
      <c r="I2530" s="87">
        <f>SUMIFS('Climate Data'!$H$7:$H$366,'Climate Data'!$A$7:$A$366,Estimator!$B$4,'Climate Data'!$B$7:$B$366,C2530)</f>
        <v>6.4428571428571431</v>
      </c>
      <c r="J2530" s="86">
        <f>SUMIFS('Wind Proxy'!$H$8:$H$19,'Wind Proxy'!$A$8:$A$19,Estimator!$B$4,'Wind Proxy'!$B$8:$B$19,C2530)</f>
        <v>0</v>
      </c>
    </row>
    <row r="2531" spans="1:10" ht="14.4">
      <c r="A2531" s="84">
        <v>48182</v>
      </c>
      <c r="B2531" s="85">
        <v>2031</v>
      </c>
      <c r="C2531" s="85">
        <v>11</v>
      </c>
      <c r="D2531" s="85" t="s">
        <v>76</v>
      </c>
      <c r="E2531" s="85">
        <v>30</v>
      </c>
      <c r="F2531" s="85">
        <v>7</v>
      </c>
      <c r="G2531" s="85">
        <f>--(F2531&lt;=Estimator!$B$7)</f>
        <v>0</v>
      </c>
      <c r="H2531" s="86">
        <f>SUMIFS('Climate Data'!$G$7:$G$366,'Climate Data'!$A$7:$A$366,Estimator!$B$4,'Climate Data'!$B$7:$B$366,C2531)</f>
        <v>0.23333333333333334</v>
      </c>
      <c r="I2531" s="87">
        <f>SUMIFS('Climate Data'!$H$7:$H$366,'Climate Data'!$A$7:$A$366,Estimator!$B$4,'Climate Data'!$B$7:$B$366,C2531)</f>
        <v>6.4428571428571431</v>
      </c>
      <c r="J2531" s="86">
        <f>SUMIFS('Wind Proxy'!$H$8:$H$19,'Wind Proxy'!$A$8:$A$19,Estimator!$B$4,'Wind Proxy'!$B$8:$B$19,C2531)</f>
        <v>0</v>
      </c>
    </row>
    <row r="2532" spans="1:10" ht="14.4">
      <c r="A2532" s="84">
        <v>48183</v>
      </c>
      <c r="B2532" s="85">
        <v>2031</v>
      </c>
      <c r="C2532" s="85">
        <v>12</v>
      </c>
      <c r="D2532" s="85" t="s">
        <v>77</v>
      </c>
      <c r="E2532" s="85">
        <v>1</v>
      </c>
      <c r="F2532" s="85">
        <v>1</v>
      </c>
      <c r="G2532" s="85">
        <f>--(F2532&lt;=Estimator!$B$7)</f>
        <v>1</v>
      </c>
      <c r="H2532" s="86">
        <f>SUMIFS('Climate Data'!$G$7:$G$366,'Climate Data'!$A$7:$A$366,Estimator!$B$4,'Climate Data'!$B$7:$B$366,C2532)</f>
        <v>0.22688172043010751</v>
      </c>
      <c r="I2532" s="87">
        <f>SUMIFS('Climate Data'!$H$7:$H$366,'Climate Data'!$A$7:$A$366,Estimator!$B$4,'Climate Data'!$B$7:$B$366,C2532)</f>
        <v>6.7962085308056865</v>
      </c>
      <c r="J2532" s="86">
        <f>SUMIFS('Wind Proxy'!$H$8:$H$19,'Wind Proxy'!$A$8:$A$19,Estimator!$B$4,'Wind Proxy'!$B$8:$B$19,C2532)</f>
        <v>0</v>
      </c>
    </row>
    <row r="2533" spans="1:10" ht="14.4">
      <c r="A2533" s="84">
        <v>48184</v>
      </c>
      <c r="B2533" s="85">
        <v>2031</v>
      </c>
      <c r="C2533" s="85">
        <v>12</v>
      </c>
      <c r="D2533" s="85" t="s">
        <v>77</v>
      </c>
      <c r="E2533" s="85">
        <v>2</v>
      </c>
      <c r="F2533" s="85">
        <v>2</v>
      </c>
      <c r="G2533" s="85">
        <f>--(F2533&lt;=Estimator!$B$7)</f>
        <v>1</v>
      </c>
      <c r="H2533" s="86">
        <f>SUMIFS('Climate Data'!$G$7:$G$366,'Climate Data'!$A$7:$A$366,Estimator!$B$4,'Climate Data'!$B$7:$B$366,C2533)</f>
        <v>0.22688172043010751</v>
      </c>
      <c r="I2533" s="87">
        <f>SUMIFS('Climate Data'!$H$7:$H$366,'Climate Data'!$A$7:$A$366,Estimator!$B$4,'Climate Data'!$B$7:$B$366,C2533)</f>
        <v>6.7962085308056865</v>
      </c>
      <c r="J2533" s="86">
        <f>SUMIFS('Wind Proxy'!$H$8:$H$19,'Wind Proxy'!$A$8:$A$19,Estimator!$B$4,'Wind Proxy'!$B$8:$B$19,C2533)</f>
        <v>0</v>
      </c>
    </row>
    <row r="2534" spans="1:10" ht="14.4">
      <c r="A2534" s="84">
        <v>48185</v>
      </c>
      <c r="B2534" s="85">
        <v>2031</v>
      </c>
      <c r="C2534" s="85">
        <v>12</v>
      </c>
      <c r="D2534" s="85" t="s">
        <v>77</v>
      </c>
      <c r="E2534" s="85">
        <v>3</v>
      </c>
      <c r="F2534" s="85">
        <v>3</v>
      </c>
      <c r="G2534" s="85">
        <f>--(F2534&lt;=Estimator!$B$7)</f>
        <v>1</v>
      </c>
      <c r="H2534" s="86">
        <f>SUMIFS('Climate Data'!$G$7:$G$366,'Climate Data'!$A$7:$A$366,Estimator!$B$4,'Climate Data'!$B$7:$B$366,C2534)</f>
        <v>0.22688172043010751</v>
      </c>
      <c r="I2534" s="87">
        <f>SUMIFS('Climate Data'!$H$7:$H$366,'Climate Data'!$A$7:$A$366,Estimator!$B$4,'Climate Data'!$B$7:$B$366,C2534)</f>
        <v>6.7962085308056865</v>
      </c>
      <c r="J2534" s="86">
        <f>SUMIFS('Wind Proxy'!$H$8:$H$19,'Wind Proxy'!$A$8:$A$19,Estimator!$B$4,'Wind Proxy'!$B$8:$B$19,C2534)</f>
        <v>0</v>
      </c>
    </row>
    <row r="2535" spans="1:10" ht="14.4">
      <c r="A2535" s="84">
        <v>48186</v>
      </c>
      <c r="B2535" s="85">
        <v>2031</v>
      </c>
      <c r="C2535" s="85">
        <v>12</v>
      </c>
      <c r="D2535" s="85" t="s">
        <v>77</v>
      </c>
      <c r="E2535" s="85">
        <v>4</v>
      </c>
      <c r="F2535" s="85">
        <v>4</v>
      </c>
      <c r="G2535" s="85">
        <f>--(F2535&lt;=Estimator!$B$7)</f>
        <v>1</v>
      </c>
      <c r="H2535" s="86">
        <f>SUMIFS('Climate Data'!$G$7:$G$366,'Climate Data'!$A$7:$A$366,Estimator!$B$4,'Climate Data'!$B$7:$B$366,C2535)</f>
        <v>0.22688172043010751</v>
      </c>
      <c r="I2535" s="87">
        <f>SUMIFS('Climate Data'!$H$7:$H$366,'Climate Data'!$A$7:$A$366,Estimator!$B$4,'Climate Data'!$B$7:$B$366,C2535)</f>
        <v>6.7962085308056865</v>
      </c>
      <c r="J2535" s="86">
        <f>SUMIFS('Wind Proxy'!$H$8:$H$19,'Wind Proxy'!$A$8:$A$19,Estimator!$B$4,'Wind Proxy'!$B$8:$B$19,C2535)</f>
        <v>0</v>
      </c>
    </row>
    <row r="2536" spans="1:10" ht="14.4">
      <c r="A2536" s="84">
        <v>48187</v>
      </c>
      <c r="B2536" s="85">
        <v>2031</v>
      </c>
      <c r="C2536" s="85">
        <v>12</v>
      </c>
      <c r="D2536" s="85" t="s">
        <v>77</v>
      </c>
      <c r="E2536" s="85">
        <v>5</v>
      </c>
      <c r="F2536" s="85">
        <v>5</v>
      </c>
      <c r="G2536" s="85">
        <f>--(F2536&lt;=Estimator!$B$7)</f>
        <v>1</v>
      </c>
      <c r="H2536" s="86">
        <f>SUMIFS('Climate Data'!$G$7:$G$366,'Climate Data'!$A$7:$A$366,Estimator!$B$4,'Climate Data'!$B$7:$B$366,C2536)</f>
        <v>0.22688172043010751</v>
      </c>
      <c r="I2536" s="87">
        <f>SUMIFS('Climate Data'!$H$7:$H$366,'Climate Data'!$A$7:$A$366,Estimator!$B$4,'Climate Data'!$B$7:$B$366,C2536)</f>
        <v>6.7962085308056865</v>
      </c>
      <c r="J2536" s="86">
        <f>SUMIFS('Wind Proxy'!$H$8:$H$19,'Wind Proxy'!$A$8:$A$19,Estimator!$B$4,'Wind Proxy'!$B$8:$B$19,C2536)</f>
        <v>0</v>
      </c>
    </row>
    <row r="2537" spans="1:10" ht="14.4">
      <c r="A2537" s="84">
        <v>48188</v>
      </c>
      <c r="B2537" s="85">
        <v>2031</v>
      </c>
      <c r="C2537" s="85">
        <v>12</v>
      </c>
      <c r="D2537" s="85" t="s">
        <v>77</v>
      </c>
      <c r="E2537" s="85">
        <v>6</v>
      </c>
      <c r="F2537" s="85">
        <v>6</v>
      </c>
      <c r="G2537" s="85">
        <f>--(F2537&lt;=Estimator!$B$7)</f>
        <v>0</v>
      </c>
      <c r="H2537" s="86">
        <f>SUMIFS('Climate Data'!$G$7:$G$366,'Climate Data'!$A$7:$A$366,Estimator!$B$4,'Climate Data'!$B$7:$B$366,C2537)</f>
        <v>0.22688172043010751</v>
      </c>
      <c r="I2537" s="87">
        <f>SUMIFS('Climate Data'!$H$7:$H$366,'Climate Data'!$A$7:$A$366,Estimator!$B$4,'Climate Data'!$B$7:$B$366,C2537)</f>
        <v>6.7962085308056865</v>
      </c>
      <c r="J2537" s="86">
        <f>SUMIFS('Wind Proxy'!$H$8:$H$19,'Wind Proxy'!$A$8:$A$19,Estimator!$B$4,'Wind Proxy'!$B$8:$B$19,C2537)</f>
        <v>0</v>
      </c>
    </row>
    <row r="2538" spans="1:10" ht="14.4">
      <c r="A2538" s="84">
        <v>48189</v>
      </c>
      <c r="B2538" s="85">
        <v>2031</v>
      </c>
      <c r="C2538" s="85">
        <v>12</v>
      </c>
      <c r="D2538" s="85" t="s">
        <v>77</v>
      </c>
      <c r="E2538" s="85">
        <v>7</v>
      </c>
      <c r="F2538" s="85">
        <v>7</v>
      </c>
      <c r="G2538" s="85">
        <f>--(F2538&lt;=Estimator!$B$7)</f>
        <v>0</v>
      </c>
      <c r="H2538" s="86">
        <f>SUMIFS('Climate Data'!$G$7:$G$366,'Climate Data'!$A$7:$A$366,Estimator!$B$4,'Climate Data'!$B$7:$B$366,C2538)</f>
        <v>0.22688172043010751</v>
      </c>
      <c r="I2538" s="87">
        <f>SUMIFS('Climate Data'!$H$7:$H$366,'Climate Data'!$A$7:$A$366,Estimator!$B$4,'Climate Data'!$B$7:$B$366,C2538)</f>
        <v>6.7962085308056865</v>
      </c>
      <c r="J2538" s="86">
        <f>SUMIFS('Wind Proxy'!$H$8:$H$19,'Wind Proxy'!$A$8:$A$19,Estimator!$B$4,'Wind Proxy'!$B$8:$B$19,C2538)</f>
        <v>0</v>
      </c>
    </row>
    <row r="2539" spans="1:10" ht="14.4">
      <c r="A2539" s="84">
        <v>48190</v>
      </c>
      <c r="B2539" s="85">
        <v>2031</v>
      </c>
      <c r="C2539" s="85">
        <v>12</v>
      </c>
      <c r="D2539" s="85" t="s">
        <v>77</v>
      </c>
      <c r="E2539" s="85">
        <v>8</v>
      </c>
      <c r="F2539" s="85">
        <v>1</v>
      </c>
      <c r="G2539" s="85">
        <f>--(F2539&lt;=Estimator!$B$7)</f>
        <v>1</v>
      </c>
      <c r="H2539" s="86">
        <f>SUMIFS('Climate Data'!$G$7:$G$366,'Climate Data'!$A$7:$A$366,Estimator!$B$4,'Climate Data'!$B$7:$B$366,C2539)</f>
        <v>0.22688172043010751</v>
      </c>
      <c r="I2539" s="87">
        <f>SUMIFS('Climate Data'!$H$7:$H$366,'Climate Data'!$A$7:$A$366,Estimator!$B$4,'Climate Data'!$B$7:$B$366,C2539)</f>
        <v>6.7962085308056865</v>
      </c>
      <c r="J2539" s="86">
        <f>SUMIFS('Wind Proxy'!$H$8:$H$19,'Wind Proxy'!$A$8:$A$19,Estimator!$B$4,'Wind Proxy'!$B$8:$B$19,C2539)</f>
        <v>0</v>
      </c>
    </row>
    <row r="2540" spans="1:10" ht="14.4">
      <c r="A2540" s="84">
        <v>48191</v>
      </c>
      <c r="B2540" s="85">
        <v>2031</v>
      </c>
      <c r="C2540" s="85">
        <v>12</v>
      </c>
      <c r="D2540" s="85" t="s">
        <v>77</v>
      </c>
      <c r="E2540" s="85">
        <v>9</v>
      </c>
      <c r="F2540" s="85">
        <v>2</v>
      </c>
      <c r="G2540" s="85">
        <f>--(F2540&lt;=Estimator!$B$7)</f>
        <v>1</v>
      </c>
      <c r="H2540" s="86">
        <f>SUMIFS('Climate Data'!$G$7:$G$366,'Climate Data'!$A$7:$A$366,Estimator!$B$4,'Climate Data'!$B$7:$B$366,C2540)</f>
        <v>0.22688172043010751</v>
      </c>
      <c r="I2540" s="87">
        <f>SUMIFS('Climate Data'!$H$7:$H$366,'Climate Data'!$A$7:$A$366,Estimator!$B$4,'Climate Data'!$B$7:$B$366,C2540)</f>
        <v>6.7962085308056865</v>
      </c>
      <c r="J2540" s="86">
        <f>SUMIFS('Wind Proxy'!$H$8:$H$19,'Wind Proxy'!$A$8:$A$19,Estimator!$B$4,'Wind Proxy'!$B$8:$B$19,C2540)</f>
        <v>0</v>
      </c>
    </row>
    <row r="2541" spans="1:10" ht="14.4">
      <c r="A2541" s="84">
        <v>48192</v>
      </c>
      <c r="B2541" s="85">
        <v>2031</v>
      </c>
      <c r="C2541" s="85">
        <v>12</v>
      </c>
      <c r="D2541" s="85" t="s">
        <v>77</v>
      </c>
      <c r="E2541" s="85">
        <v>10</v>
      </c>
      <c r="F2541" s="85">
        <v>3</v>
      </c>
      <c r="G2541" s="85">
        <f>--(F2541&lt;=Estimator!$B$7)</f>
        <v>1</v>
      </c>
      <c r="H2541" s="86">
        <f>SUMIFS('Climate Data'!$G$7:$G$366,'Climate Data'!$A$7:$A$366,Estimator!$B$4,'Climate Data'!$B$7:$B$366,C2541)</f>
        <v>0.22688172043010751</v>
      </c>
      <c r="I2541" s="87">
        <f>SUMIFS('Climate Data'!$H$7:$H$366,'Climate Data'!$A$7:$A$366,Estimator!$B$4,'Climate Data'!$B$7:$B$366,C2541)</f>
        <v>6.7962085308056865</v>
      </c>
      <c r="J2541" s="86">
        <f>SUMIFS('Wind Proxy'!$H$8:$H$19,'Wind Proxy'!$A$8:$A$19,Estimator!$B$4,'Wind Proxy'!$B$8:$B$19,C2541)</f>
        <v>0</v>
      </c>
    </row>
    <row r="2542" spans="1:10" ht="14.4">
      <c r="A2542" s="84">
        <v>48193</v>
      </c>
      <c r="B2542" s="85">
        <v>2031</v>
      </c>
      <c r="C2542" s="85">
        <v>12</v>
      </c>
      <c r="D2542" s="85" t="s">
        <v>77</v>
      </c>
      <c r="E2542" s="85">
        <v>11</v>
      </c>
      <c r="F2542" s="85">
        <v>4</v>
      </c>
      <c r="G2542" s="85">
        <f>--(F2542&lt;=Estimator!$B$7)</f>
        <v>1</v>
      </c>
      <c r="H2542" s="86">
        <f>SUMIFS('Climate Data'!$G$7:$G$366,'Climate Data'!$A$7:$A$366,Estimator!$B$4,'Climate Data'!$B$7:$B$366,C2542)</f>
        <v>0.22688172043010751</v>
      </c>
      <c r="I2542" s="87">
        <f>SUMIFS('Climate Data'!$H$7:$H$366,'Climate Data'!$A$7:$A$366,Estimator!$B$4,'Climate Data'!$B$7:$B$366,C2542)</f>
        <v>6.7962085308056865</v>
      </c>
      <c r="J2542" s="86">
        <f>SUMIFS('Wind Proxy'!$H$8:$H$19,'Wind Proxy'!$A$8:$A$19,Estimator!$B$4,'Wind Proxy'!$B$8:$B$19,C2542)</f>
        <v>0</v>
      </c>
    </row>
    <row r="2543" spans="1:10" ht="14.4">
      <c r="A2543" s="84">
        <v>48194</v>
      </c>
      <c r="B2543" s="85">
        <v>2031</v>
      </c>
      <c r="C2543" s="85">
        <v>12</v>
      </c>
      <c r="D2543" s="85" t="s">
        <v>77</v>
      </c>
      <c r="E2543" s="85">
        <v>12</v>
      </c>
      <c r="F2543" s="85">
        <v>5</v>
      </c>
      <c r="G2543" s="85">
        <f>--(F2543&lt;=Estimator!$B$7)</f>
        <v>1</v>
      </c>
      <c r="H2543" s="86">
        <f>SUMIFS('Climate Data'!$G$7:$G$366,'Climate Data'!$A$7:$A$366,Estimator!$B$4,'Climate Data'!$B$7:$B$366,C2543)</f>
        <v>0.22688172043010751</v>
      </c>
      <c r="I2543" s="87">
        <f>SUMIFS('Climate Data'!$H$7:$H$366,'Climate Data'!$A$7:$A$366,Estimator!$B$4,'Climate Data'!$B$7:$B$366,C2543)</f>
        <v>6.7962085308056865</v>
      </c>
      <c r="J2543" s="86">
        <f>SUMIFS('Wind Proxy'!$H$8:$H$19,'Wind Proxy'!$A$8:$A$19,Estimator!$B$4,'Wind Proxy'!$B$8:$B$19,C2543)</f>
        <v>0</v>
      </c>
    </row>
    <row r="2544" spans="1:10" ht="14.4">
      <c r="A2544" s="84">
        <v>48195</v>
      </c>
      <c r="B2544" s="85">
        <v>2031</v>
      </c>
      <c r="C2544" s="85">
        <v>12</v>
      </c>
      <c r="D2544" s="85" t="s">
        <v>77</v>
      </c>
      <c r="E2544" s="85">
        <v>13</v>
      </c>
      <c r="F2544" s="85">
        <v>6</v>
      </c>
      <c r="G2544" s="85">
        <f>--(F2544&lt;=Estimator!$B$7)</f>
        <v>0</v>
      </c>
      <c r="H2544" s="86">
        <f>SUMIFS('Climate Data'!$G$7:$G$366,'Climate Data'!$A$7:$A$366,Estimator!$B$4,'Climate Data'!$B$7:$B$366,C2544)</f>
        <v>0.22688172043010751</v>
      </c>
      <c r="I2544" s="87">
        <f>SUMIFS('Climate Data'!$H$7:$H$366,'Climate Data'!$A$7:$A$366,Estimator!$B$4,'Climate Data'!$B$7:$B$366,C2544)</f>
        <v>6.7962085308056865</v>
      </c>
      <c r="J2544" s="86">
        <f>SUMIFS('Wind Proxy'!$H$8:$H$19,'Wind Proxy'!$A$8:$A$19,Estimator!$B$4,'Wind Proxy'!$B$8:$B$19,C2544)</f>
        <v>0</v>
      </c>
    </row>
    <row r="2545" spans="1:10" ht="14.4">
      <c r="A2545" s="84">
        <v>48196</v>
      </c>
      <c r="B2545" s="85">
        <v>2031</v>
      </c>
      <c r="C2545" s="85">
        <v>12</v>
      </c>
      <c r="D2545" s="85" t="s">
        <v>77</v>
      </c>
      <c r="E2545" s="85">
        <v>14</v>
      </c>
      <c r="F2545" s="85">
        <v>7</v>
      </c>
      <c r="G2545" s="85">
        <f>--(F2545&lt;=Estimator!$B$7)</f>
        <v>0</v>
      </c>
      <c r="H2545" s="86">
        <f>SUMIFS('Climate Data'!$G$7:$G$366,'Climate Data'!$A$7:$A$366,Estimator!$B$4,'Climate Data'!$B$7:$B$366,C2545)</f>
        <v>0.22688172043010751</v>
      </c>
      <c r="I2545" s="87">
        <f>SUMIFS('Climate Data'!$H$7:$H$366,'Climate Data'!$A$7:$A$366,Estimator!$B$4,'Climate Data'!$B$7:$B$366,C2545)</f>
        <v>6.7962085308056865</v>
      </c>
      <c r="J2545" s="86">
        <f>SUMIFS('Wind Proxy'!$H$8:$H$19,'Wind Proxy'!$A$8:$A$19,Estimator!$B$4,'Wind Proxy'!$B$8:$B$19,C2545)</f>
        <v>0</v>
      </c>
    </row>
    <row r="2546" spans="1:10" ht="14.4">
      <c r="A2546" s="84">
        <v>48197</v>
      </c>
      <c r="B2546" s="85">
        <v>2031</v>
      </c>
      <c r="C2546" s="85">
        <v>12</v>
      </c>
      <c r="D2546" s="85" t="s">
        <v>77</v>
      </c>
      <c r="E2546" s="85">
        <v>15</v>
      </c>
      <c r="F2546" s="85">
        <v>1</v>
      </c>
      <c r="G2546" s="85">
        <f>--(F2546&lt;=Estimator!$B$7)</f>
        <v>1</v>
      </c>
      <c r="H2546" s="86">
        <f>SUMIFS('Climate Data'!$G$7:$G$366,'Climate Data'!$A$7:$A$366,Estimator!$B$4,'Climate Data'!$B$7:$B$366,C2546)</f>
        <v>0.22688172043010751</v>
      </c>
      <c r="I2546" s="87">
        <f>SUMIFS('Climate Data'!$H$7:$H$366,'Climate Data'!$A$7:$A$366,Estimator!$B$4,'Climate Data'!$B$7:$B$366,C2546)</f>
        <v>6.7962085308056865</v>
      </c>
      <c r="J2546" s="86">
        <f>SUMIFS('Wind Proxy'!$H$8:$H$19,'Wind Proxy'!$A$8:$A$19,Estimator!$B$4,'Wind Proxy'!$B$8:$B$19,C2546)</f>
        <v>0</v>
      </c>
    </row>
    <row r="2547" spans="1:10" ht="14.4">
      <c r="A2547" s="84">
        <v>48198</v>
      </c>
      <c r="B2547" s="85">
        <v>2031</v>
      </c>
      <c r="C2547" s="85">
        <v>12</v>
      </c>
      <c r="D2547" s="85" t="s">
        <v>77</v>
      </c>
      <c r="E2547" s="85">
        <v>16</v>
      </c>
      <c r="F2547" s="85">
        <v>2</v>
      </c>
      <c r="G2547" s="85">
        <f>--(F2547&lt;=Estimator!$B$7)</f>
        <v>1</v>
      </c>
      <c r="H2547" s="86">
        <f>SUMIFS('Climate Data'!$G$7:$G$366,'Climate Data'!$A$7:$A$366,Estimator!$B$4,'Climate Data'!$B$7:$B$366,C2547)</f>
        <v>0.22688172043010751</v>
      </c>
      <c r="I2547" s="87">
        <f>SUMIFS('Climate Data'!$H$7:$H$366,'Climate Data'!$A$7:$A$366,Estimator!$B$4,'Climate Data'!$B$7:$B$366,C2547)</f>
        <v>6.7962085308056865</v>
      </c>
      <c r="J2547" s="86">
        <f>SUMIFS('Wind Proxy'!$H$8:$H$19,'Wind Proxy'!$A$8:$A$19,Estimator!$B$4,'Wind Proxy'!$B$8:$B$19,C2547)</f>
        <v>0</v>
      </c>
    </row>
    <row r="2548" spans="1:10" ht="14.4">
      <c r="A2548" s="84">
        <v>48199</v>
      </c>
      <c r="B2548" s="85">
        <v>2031</v>
      </c>
      <c r="C2548" s="85">
        <v>12</v>
      </c>
      <c r="D2548" s="85" t="s">
        <v>77</v>
      </c>
      <c r="E2548" s="85">
        <v>17</v>
      </c>
      <c r="F2548" s="85">
        <v>3</v>
      </c>
      <c r="G2548" s="85">
        <f>--(F2548&lt;=Estimator!$B$7)</f>
        <v>1</v>
      </c>
      <c r="H2548" s="86">
        <f>SUMIFS('Climate Data'!$G$7:$G$366,'Climate Data'!$A$7:$A$366,Estimator!$B$4,'Climate Data'!$B$7:$B$366,C2548)</f>
        <v>0.22688172043010751</v>
      </c>
      <c r="I2548" s="87">
        <f>SUMIFS('Climate Data'!$H$7:$H$366,'Climate Data'!$A$7:$A$366,Estimator!$B$4,'Climate Data'!$B$7:$B$366,C2548)</f>
        <v>6.7962085308056865</v>
      </c>
      <c r="J2548" s="86">
        <f>SUMIFS('Wind Proxy'!$H$8:$H$19,'Wind Proxy'!$A$8:$A$19,Estimator!$B$4,'Wind Proxy'!$B$8:$B$19,C2548)</f>
        <v>0</v>
      </c>
    </row>
    <row r="2549" spans="1:10" ht="14.4">
      <c r="A2549" s="84">
        <v>48200</v>
      </c>
      <c r="B2549" s="85">
        <v>2031</v>
      </c>
      <c r="C2549" s="85">
        <v>12</v>
      </c>
      <c r="D2549" s="85" t="s">
        <v>77</v>
      </c>
      <c r="E2549" s="85">
        <v>18</v>
      </c>
      <c r="F2549" s="85">
        <v>4</v>
      </c>
      <c r="G2549" s="85">
        <f>--(F2549&lt;=Estimator!$B$7)</f>
        <v>1</v>
      </c>
      <c r="H2549" s="86">
        <f>SUMIFS('Climate Data'!$G$7:$G$366,'Climate Data'!$A$7:$A$366,Estimator!$B$4,'Climate Data'!$B$7:$B$366,C2549)</f>
        <v>0.22688172043010751</v>
      </c>
      <c r="I2549" s="87">
        <f>SUMIFS('Climate Data'!$H$7:$H$366,'Climate Data'!$A$7:$A$366,Estimator!$B$4,'Climate Data'!$B$7:$B$366,C2549)</f>
        <v>6.7962085308056865</v>
      </c>
      <c r="J2549" s="86">
        <f>SUMIFS('Wind Proxy'!$H$8:$H$19,'Wind Proxy'!$A$8:$A$19,Estimator!$B$4,'Wind Proxy'!$B$8:$B$19,C2549)</f>
        <v>0</v>
      </c>
    </row>
    <row r="2550" spans="1:10" ht="14.4">
      <c r="A2550" s="84">
        <v>48201</v>
      </c>
      <c r="B2550" s="85">
        <v>2031</v>
      </c>
      <c r="C2550" s="85">
        <v>12</v>
      </c>
      <c r="D2550" s="85" t="s">
        <v>77</v>
      </c>
      <c r="E2550" s="85">
        <v>19</v>
      </c>
      <c r="F2550" s="85">
        <v>5</v>
      </c>
      <c r="G2550" s="85">
        <f>--(F2550&lt;=Estimator!$B$7)</f>
        <v>1</v>
      </c>
      <c r="H2550" s="86">
        <f>SUMIFS('Climate Data'!$G$7:$G$366,'Climate Data'!$A$7:$A$366,Estimator!$B$4,'Climate Data'!$B$7:$B$366,C2550)</f>
        <v>0.22688172043010751</v>
      </c>
      <c r="I2550" s="87">
        <f>SUMIFS('Climate Data'!$H$7:$H$366,'Climate Data'!$A$7:$A$366,Estimator!$B$4,'Climate Data'!$B$7:$B$366,C2550)</f>
        <v>6.7962085308056865</v>
      </c>
      <c r="J2550" s="86">
        <f>SUMIFS('Wind Proxy'!$H$8:$H$19,'Wind Proxy'!$A$8:$A$19,Estimator!$B$4,'Wind Proxy'!$B$8:$B$19,C2550)</f>
        <v>0</v>
      </c>
    </row>
    <row r="2551" spans="1:10" ht="14.4">
      <c r="A2551" s="84">
        <v>48202</v>
      </c>
      <c r="B2551" s="85">
        <v>2031</v>
      </c>
      <c r="C2551" s="85">
        <v>12</v>
      </c>
      <c r="D2551" s="85" t="s">
        <v>77</v>
      </c>
      <c r="E2551" s="85">
        <v>20</v>
      </c>
      <c r="F2551" s="85">
        <v>6</v>
      </c>
      <c r="G2551" s="85">
        <f>--(F2551&lt;=Estimator!$B$7)</f>
        <v>0</v>
      </c>
      <c r="H2551" s="86">
        <f>SUMIFS('Climate Data'!$G$7:$G$366,'Climate Data'!$A$7:$A$366,Estimator!$B$4,'Climate Data'!$B$7:$B$366,C2551)</f>
        <v>0.22688172043010751</v>
      </c>
      <c r="I2551" s="87">
        <f>SUMIFS('Climate Data'!$H$7:$H$366,'Climate Data'!$A$7:$A$366,Estimator!$B$4,'Climate Data'!$B$7:$B$366,C2551)</f>
        <v>6.7962085308056865</v>
      </c>
      <c r="J2551" s="86">
        <f>SUMIFS('Wind Proxy'!$H$8:$H$19,'Wind Proxy'!$A$8:$A$19,Estimator!$B$4,'Wind Proxy'!$B$8:$B$19,C2551)</f>
        <v>0</v>
      </c>
    </row>
    <row r="2552" spans="1:10" ht="14.4">
      <c r="A2552" s="84">
        <v>48203</v>
      </c>
      <c r="B2552" s="85">
        <v>2031</v>
      </c>
      <c r="C2552" s="85">
        <v>12</v>
      </c>
      <c r="D2552" s="85" t="s">
        <v>77</v>
      </c>
      <c r="E2552" s="85">
        <v>21</v>
      </c>
      <c r="F2552" s="85">
        <v>7</v>
      </c>
      <c r="G2552" s="85">
        <f>--(F2552&lt;=Estimator!$B$7)</f>
        <v>0</v>
      </c>
      <c r="H2552" s="86">
        <f>SUMIFS('Climate Data'!$G$7:$G$366,'Climate Data'!$A$7:$A$366,Estimator!$B$4,'Climate Data'!$B$7:$B$366,C2552)</f>
        <v>0.22688172043010751</v>
      </c>
      <c r="I2552" s="87">
        <f>SUMIFS('Climate Data'!$H$7:$H$366,'Climate Data'!$A$7:$A$366,Estimator!$B$4,'Climate Data'!$B$7:$B$366,C2552)</f>
        <v>6.7962085308056865</v>
      </c>
      <c r="J2552" s="86">
        <f>SUMIFS('Wind Proxy'!$H$8:$H$19,'Wind Proxy'!$A$8:$A$19,Estimator!$B$4,'Wind Proxy'!$B$8:$B$19,C2552)</f>
        <v>0</v>
      </c>
    </row>
    <row r="2553" spans="1:10" ht="14.4">
      <c r="A2553" s="84">
        <v>48204</v>
      </c>
      <c r="B2553" s="85">
        <v>2031</v>
      </c>
      <c r="C2553" s="85">
        <v>12</v>
      </c>
      <c r="D2553" s="85" t="s">
        <v>77</v>
      </c>
      <c r="E2553" s="85">
        <v>22</v>
      </c>
      <c r="F2553" s="85">
        <v>1</v>
      </c>
      <c r="G2553" s="85">
        <f>--(F2553&lt;=Estimator!$B$7)</f>
        <v>1</v>
      </c>
      <c r="H2553" s="86">
        <f>SUMIFS('Climate Data'!$G$7:$G$366,'Climate Data'!$A$7:$A$366,Estimator!$B$4,'Climate Data'!$B$7:$B$366,C2553)</f>
        <v>0.22688172043010751</v>
      </c>
      <c r="I2553" s="87">
        <f>SUMIFS('Climate Data'!$H$7:$H$366,'Climate Data'!$A$7:$A$366,Estimator!$B$4,'Climate Data'!$B$7:$B$366,C2553)</f>
        <v>6.7962085308056865</v>
      </c>
      <c r="J2553" s="86">
        <f>SUMIFS('Wind Proxy'!$H$8:$H$19,'Wind Proxy'!$A$8:$A$19,Estimator!$B$4,'Wind Proxy'!$B$8:$B$19,C2553)</f>
        <v>0</v>
      </c>
    </row>
    <row r="2554" spans="1:10" ht="14.4">
      <c r="A2554" s="84">
        <v>48205</v>
      </c>
      <c r="B2554" s="85">
        <v>2031</v>
      </c>
      <c r="C2554" s="85">
        <v>12</v>
      </c>
      <c r="D2554" s="85" t="s">
        <v>77</v>
      </c>
      <c r="E2554" s="85">
        <v>23</v>
      </c>
      <c r="F2554" s="85">
        <v>2</v>
      </c>
      <c r="G2554" s="85">
        <f>--(F2554&lt;=Estimator!$B$7)</f>
        <v>1</v>
      </c>
      <c r="H2554" s="86">
        <f>SUMIFS('Climate Data'!$G$7:$G$366,'Climate Data'!$A$7:$A$366,Estimator!$B$4,'Climate Data'!$B$7:$B$366,C2554)</f>
        <v>0.22688172043010751</v>
      </c>
      <c r="I2554" s="87">
        <f>SUMIFS('Climate Data'!$H$7:$H$366,'Climate Data'!$A$7:$A$366,Estimator!$B$4,'Climate Data'!$B$7:$B$366,C2554)</f>
        <v>6.7962085308056865</v>
      </c>
      <c r="J2554" s="86">
        <f>SUMIFS('Wind Proxy'!$H$8:$H$19,'Wind Proxy'!$A$8:$A$19,Estimator!$B$4,'Wind Proxy'!$B$8:$B$19,C2554)</f>
        <v>0</v>
      </c>
    </row>
    <row r="2555" spans="1:10" ht="14.4">
      <c r="A2555" s="84">
        <v>48206</v>
      </c>
      <c r="B2555" s="85">
        <v>2031</v>
      </c>
      <c r="C2555" s="85">
        <v>12</v>
      </c>
      <c r="D2555" s="85" t="s">
        <v>77</v>
      </c>
      <c r="E2555" s="85">
        <v>24</v>
      </c>
      <c r="F2555" s="85">
        <v>3</v>
      </c>
      <c r="G2555" s="85">
        <f>--(F2555&lt;=Estimator!$B$7)</f>
        <v>1</v>
      </c>
      <c r="H2555" s="86">
        <f>SUMIFS('Climate Data'!$G$7:$G$366,'Climate Data'!$A$7:$A$366,Estimator!$B$4,'Climate Data'!$B$7:$B$366,C2555)</f>
        <v>0.22688172043010751</v>
      </c>
      <c r="I2555" s="87">
        <f>SUMIFS('Climate Data'!$H$7:$H$366,'Climate Data'!$A$7:$A$366,Estimator!$B$4,'Climate Data'!$B$7:$B$366,C2555)</f>
        <v>6.7962085308056865</v>
      </c>
      <c r="J2555" s="86">
        <f>SUMIFS('Wind Proxy'!$H$8:$H$19,'Wind Proxy'!$A$8:$A$19,Estimator!$B$4,'Wind Proxy'!$B$8:$B$19,C2555)</f>
        <v>0</v>
      </c>
    </row>
    <row r="2556" spans="1:10" ht="14.4">
      <c r="A2556" s="84">
        <v>48207</v>
      </c>
      <c r="B2556" s="85">
        <v>2031</v>
      </c>
      <c r="C2556" s="85">
        <v>12</v>
      </c>
      <c r="D2556" s="85" t="s">
        <v>77</v>
      </c>
      <c r="E2556" s="85">
        <v>25</v>
      </c>
      <c r="F2556" s="85">
        <v>4</v>
      </c>
      <c r="G2556" s="85">
        <f>--(F2556&lt;=Estimator!$B$7)</f>
        <v>1</v>
      </c>
      <c r="H2556" s="86">
        <f>SUMIFS('Climate Data'!$G$7:$G$366,'Climate Data'!$A$7:$A$366,Estimator!$B$4,'Climate Data'!$B$7:$B$366,C2556)</f>
        <v>0.22688172043010751</v>
      </c>
      <c r="I2556" s="87">
        <f>SUMIFS('Climate Data'!$H$7:$H$366,'Climate Data'!$A$7:$A$366,Estimator!$B$4,'Climate Data'!$B$7:$B$366,C2556)</f>
        <v>6.7962085308056865</v>
      </c>
      <c r="J2556" s="86">
        <f>SUMIFS('Wind Proxy'!$H$8:$H$19,'Wind Proxy'!$A$8:$A$19,Estimator!$B$4,'Wind Proxy'!$B$8:$B$19,C2556)</f>
        <v>0</v>
      </c>
    </row>
    <row r="2557" spans="1:10" ht="14.4">
      <c r="A2557" s="84">
        <v>48208</v>
      </c>
      <c r="B2557" s="85">
        <v>2031</v>
      </c>
      <c r="C2557" s="85">
        <v>12</v>
      </c>
      <c r="D2557" s="85" t="s">
        <v>77</v>
      </c>
      <c r="E2557" s="85">
        <v>26</v>
      </c>
      <c r="F2557" s="85">
        <v>5</v>
      </c>
      <c r="G2557" s="85">
        <f>--(F2557&lt;=Estimator!$B$7)</f>
        <v>1</v>
      </c>
      <c r="H2557" s="86">
        <f>SUMIFS('Climate Data'!$G$7:$G$366,'Climate Data'!$A$7:$A$366,Estimator!$B$4,'Climate Data'!$B$7:$B$366,C2557)</f>
        <v>0.22688172043010751</v>
      </c>
      <c r="I2557" s="87">
        <f>SUMIFS('Climate Data'!$H$7:$H$366,'Climate Data'!$A$7:$A$366,Estimator!$B$4,'Climate Data'!$B$7:$B$366,C2557)</f>
        <v>6.7962085308056865</v>
      </c>
      <c r="J2557" s="86">
        <f>SUMIFS('Wind Proxy'!$H$8:$H$19,'Wind Proxy'!$A$8:$A$19,Estimator!$B$4,'Wind Proxy'!$B$8:$B$19,C2557)</f>
        <v>0</v>
      </c>
    </row>
    <row r="2558" spans="1:10" ht="14.4">
      <c r="A2558" s="84">
        <v>48209</v>
      </c>
      <c r="B2558" s="85">
        <v>2031</v>
      </c>
      <c r="C2558" s="85">
        <v>12</v>
      </c>
      <c r="D2558" s="85" t="s">
        <v>77</v>
      </c>
      <c r="E2558" s="85">
        <v>27</v>
      </c>
      <c r="F2558" s="85">
        <v>6</v>
      </c>
      <c r="G2558" s="85">
        <f>--(F2558&lt;=Estimator!$B$7)</f>
        <v>0</v>
      </c>
      <c r="H2558" s="86">
        <f>SUMIFS('Climate Data'!$G$7:$G$366,'Climate Data'!$A$7:$A$366,Estimator!$B$4,'Climate Data'!$B$7:$B$366,C2558)</f>
        <v>0.22688172043010751</v>
      </c>
      <c r="I2558" s="87">
        <f>SUMIFS('Climate Data'!$H$7:$H$366,'Climate Data'!$A$7:$A$366,Estimator!$B$4,'Climate Data'!$B$7:$B$366,C2558)</f>
        <v>6.7962085308056865</v>
      </c>
      <c r="J2558" s="86">
        <f>SUMIFS('Wind Proxy'!$H$8:$H$19,'Wind Proxy'!$A$8:$A$19,Estimator!$B$4,'Wind Proxy'!$B$8:$B$19,C2558)</f>
        <v>0</v>
      </c>
    </row>
    <row r="2559" spans="1:10" ht="14.4">
      <c r="A2559" s="84">
        <v>48210</v>
      </c>
      <c r="B2559" s="85">
        <v>2031</v>
      </c>
      <c r="C2559" s="85">
        <v>12</v>
      </c>
      <c r="D2559" s="85" t="s">
        <v>77</v>
      </c>
      <c r="E2559" s="85">
        <v>28</v>
      </c>
      <c r="F2559" s="85">
        <v>7</v>
      </c>
      <c r="G2559" s="85">
        <f>--(F2559&lt;=Estimator!$B$7)</f>
        <v>0</v>
      </c>
      <c r="H2559" s="86">
        <f>SUMIFS('Climate Data'!$G$7:$G$366,'Climate Data'!$A$7:$A$366,Estimator!$B$4,'Climate Data'!$B$7:$B$366,C2559)</f>
        <v>0.22688172043010751</v>
      </c>
      <c r="I2559" s="87">
        <f>SUMIFS('Climate Data'!$H$7:$H$366,'Climate Data'!$A$7:$A$366,Estimator!$B$4,'Climate Data'!$B$7:$B$366,C2559)</f>
        <v>6.7962085308056865</v>
      </c>
      <c r="J2559" s="86">
        <f>SUMIFS('Wind Proxy'!$H$8:$H$19,'Wind Proxy'!$A$8:$A$19,Estimator!$B$4,'Wind Proxy'!$B$8:$B$19,C2559)</f>
        <v>0</v>
      </c>
    </row>
    <row r="2560" spans="1:10" ht="14.4">
      <c r="A2560" s="84">
        <v>48211</v>
      </c>
      <c r="B2560" s="85">
        <v>2031</v>
      </c>
      <c r="C2560" s="85">
        <v>12</v>
      </c>
      <c r="D2560" s="85" t="s">
        <v>77</v>
      </c>
      <c r="E2560" s="85">
        <v>29</v>
      </c>
      <c r="F2560" s="85">
        <v>1</v>
      </c>
      <c r="G2560" s="85">
        <f>--(F2560&lt;=Estimator!$B$7)</f>
        <v>1</v>
      </c>
      <c r="H2560" s="86">
        <f>SUMIFS('Climate Data'!$G$7:$G$366,'Climate Data'!$A$7:$A$366,Estimator!$B$4,'Climate Data'!$B$7:$B$366,C2560)</f>
        <v>0.22688172043010751</v>
      </c>
      <c r="I2560" s="87">
        <f>SUMIFS('Climate Data'!$H$7:$H$366,'Climate Data'!$A$7:$A$366,Estimator!$B$4,'Climate Data'!$B$7:$B$366,C2560)</f>
        <v>6.7962085308056865</v>
      </c>
      <c r="J2560" s="86">
        <f>SUMIFS('Wind Proxy'!$H$8:$H$19,'Wind Proxy'!$A$8:$A$19,Estimator!$B$4,'Wind Proxy'!$B$8:$B$19,C2560)</f>
        <v>0</v>
      </c>
    </row>
    <row r="2561" spans="1:10" ht="14.4">
      <c r="A2561" s="84">
        <v>48212</v>
      </c>
      <c r="B2561" s="85">
        <v>2031</v>
      </c>
      <c r="C2561" s="85">
        <v>12</v>
      </c>
      <c r="D2561" s="85" t="s">
        <v>77</v>
      </c>
      <c r="E2561" s="85">
        <v>30</v>
      </c>
      <c r="F2561" s="85">
        <v>2</v>
      </c>
      <c r="G2561" s="85">
        <f>--(F2561&lt;=Estimator!$B$7)</f>
        <v>1</v>
      </c>
      <c r="H2561" s="86">
        <f>SUMIFS('Climate Data'!$G$7:$G$366,'Climate Data'!$A$7:$A$366,Estimator!$B$4,'Climate Data'!$B$7:$B$366,C2561)</f>
        <v>0.22688172043010751</v>
      </c>
      <c r="I2561" s="87">
        <f>SUMIFS('Climate Data'!$H$7:$H$366,'Climate Data'!$A$7:$A$366,Estimator!$B$4,'Climate Data'!$B$7:$B$366,C2561)</f>
        <v>6.7962085308056865</v>
      </c>
      <c r="J2561" s="86">
        <f>SUMIFS('Wind Proxy'!$H$8:$H$19,'Wind Proxy'!$A$8:$A$19,Estimator!$B$4,'Wind Proxy'!$B$8:$B$19,C2561)</f>
        <v>0</v>
      </c>
    </row>
    <row r="2562" spans="1:10" ht="14.4">
      <c r="A2562" s="84">
        <v>48213</v>
      </c>
      <c r="B2562" s="85">
        <v>2031</v>
      </c>
      <c r="C2562" s="85">
        <v>12</v>
      </c>
      <c r="D2562" s="85" t="s">
        <v>77</v>
      </c>
      <c r="E2562" s="85">
        <v>31</v>
      </c>
      <c r="F2562" s="85">
        <v>3</v>
      </c>
      <c r="G2562" s="85">
        <f>--(F2562&lt;=Estimator!$B$7)</f>
        <v>1</v>
      </c>
      <c r="H2562" s="86">
        <f>SUMIFS('Climate Data'!$G$7:$G$366,'Climate Data'!$A$7:$A$366,Estimator!$B$4,'Climate Data'!$B$7:$B$366,C2562)</f>
        <v>0.22688172043010751</v>
      </c>
      <c r="I2562" s="87">
        <f>SUMIFS('Climate Data'!$H$7:$H$366,'Climate Data'!$A$7:$A$366,Estimator!$B$4,'Climate Data'!$B$7:$B$366,C2562)</f>
        <v>6.7962085308056865</v>
      </c>
      <c r="J2562" s="86">
        <f>SUMIFS('Wind Proxy'!$H$8:$H$19,'Wind Proxy'!$A$8:$A$19,Estimator!$B$4,'Wind Proxy'!$B$8:$B$19,C2562)</f>
        <v>0</v>
      </c>
    </row>
    <row r="2563" spans="1:10" ht="14.4">
      <c r="A2563" s="84">
        <v>48214</v>
      </c>
      <c r="B2563" s="85">
        <v>2032</v>
      </c>
      <c r="C2563" s="85">
        <v>1</v>
      </c>
      <c r="D2563" s="85" t="s">
        <v>55</v>
      </c>
      <c r="E2563" s="85">
        <v>1</v>
      </c>
      <c r="F2563" s="85">
        <v>4</v>
      </c>
      <c r="G2563" s="85">
        <f>--(F2563&lt;=Estimator!$B$7)</f>
        <v>1</v>
      </c>
      <c r="H2563" s="86">
        <f>SUMIFS('Climate Data'!$G$7:$G$366,'Climate Data'!$A$7:$A$366,Estimator!$B$4,'Climate Data'!$B$7:$B$366,C2563)</f>
        <v>0.19462365591397848</v>
      </c>
      <c r="I2563" s="87">
        <f>SUMIFS('Climate Data'!$H$7:$H$366,'Climate Data'!$A$7:$A$366,Estimator!$B$4,'Climate Data'!$B$7:$B$366,C2563)</f>
        <v>7.027624309392265</v>
      </c>
      <c r="J2563" s="86">
        <f>SUMIFS('Wind Proxy'!$H$8:$H$19,'Wind Proxy'!$A$8:$A$19,Estimator!$B$4,'Wind Proxy'!$B$8:$B$19,C2563)</f>
        <v>0</v>
      </c>
    </row>
    <row r="2564" spans="1:10" ht="14.4">
      <c r="A2564" s="84">
        <v>48215</v>
      </c>
      <c r="B2564" s="85">
        <v>2032</v>
      </c>
      <c r="C2564" s="85">
        <v>1</v>
      </c>
      <c r="D2564" s="85" t="s">
        <v>55</v>
      </c>
      <c r="E2564" s="85">
        <v>2</v>
      </c>
      <c r="F2564" s="85">
        <v>5</v>
      </c>
      <c r="G2564" s="85">
        <f>--(F2564&lt;=Estimator!$B$7)</f>
        <v>1</v>
      </c>
      <c r="H2564" s="86">
        <f>SUMIFS('Climate Data'!$G$7:$G$366,'Climate Data'!$A$7:$A$366,Estimator!$B$4,'Climate Data'!$B$7:$B$366,C2564)</f>
        <v>0.19462365591397848</v>
      </c>
      <c r="I2564" s="87">
        <f>SUMIFS('Climate Data'!$H$7:$H$366,'Climate Data'!$A$7:$A$366,Estimator!$B$4,'Climate Data'!$B$7:$B$366,C2564)</f>
        <v>7.027624309392265</v>
      </c>
      <c r="J2564" s="86">
        <f>SUMIFS('Wind Proxy'!$H$8:$H$19,'Wind Proxy'!$A$8:$A$19,Estimator!$B$4,'Wind Proxy'!$B$8:$B$19,C2564)</f>
        <v>0</v>
      </c>
    </row>
    <row r="2565" spans="1:10" ht="14.4">
      <c r="A2565" s="84">
        <v>48216</v>
      </c>
      <c r="B2565" s="85">
        <v>2032</v>
      </c>
      <c r="C2565" s="85">
        <v>1</v>
      </c>
      <c r="D2565" s="85" t="s">
        <v>55</v>
      </c>
      <c r="E2565" s="85">
        <v>3</v>
      </c>
      <c r="F2565" s="85">
        <v>6</v>
      </c>
      <c r="G2565" s="85">
        <f>--(F2565&lt;=Estimator!$B$7)</f>
        <v>0</v>
      </c>
      <c r="H2565" s="86">
        <f>SUMIFS('Climate Data'!$G$7:$G$366,'Climate Data'!$A$7:$A$366,Estimator!$B$4,'Climate Data'!$B$7:$B$366,C2565)</f>
        <v>0.19462365591397848</v>
      </c>
      <c r="I2565" s="87">
        <f>SUMIFS('Climate Data'!$H$7:$H$366,'Climate Data'!$A$7:$A$366,Estimator!$B$4,'Climate Data'!$B$7:$B$366,C2565)</f>
        <v>7.027624309392265</v>
      </c>
      <c r="J2565" s="86">
        <f>SUMIFS('Wind Proxy'!$H$8:$H$19,'Wind Proxy'!$A$8:$A$19,Estimator!$B$4,'Wind Proxy'!$B$8:$B$19,C2565)</f>
        <v>0</v>
      </c>
    </row>
    <row r="2566" spans="1:10" ht="14.4">
      <c r="A2566" s="84">
        <v>48217</v>
      </c>
      <c r="B2566" s="85">
        <v>2032</v>
      </c>
      <c r="C2566" s="85">
        <v>1</v>
      </c>
      <c r="D2566" s="85" t="s">
        <v>55</v>
      </c>
      <c r="E2566" s="85">
        <v>4</v>
      </c>
      <c r="F2566" s="85">
        <v>7</v>
      </c>
      <c r="G2566" s="85">
        <f>--(F2566&lt;=Estimator!$B$7)</f>
        <v>0</v>
      </c>
      <c r="H2566" s="86">
        <f>SUMIFS('Climate Data'!$G$7:$G$366,'Climate Data'!$A$7:$A$366,Estimator!$B$4,'Climate Data'!$B$7:$B$366,C2566)</f>
        <v>0.19462365591397848</v>
      </c>
      <c r="I2566" s="87">
        <f>SUMIFS('Climate Data'!$H$7:$H$366,'Climate Data'!$A$7:$A$366,Estimator!$B$4,'Climate Data'!$B$7:$B$366,C2566)</f>
        <v>7.027624309392265</v>
      </c>
      <c r="J2566" s="86">
        <f>SUMIFS('Wind Proxy'!$H$8:$H$19,'Wind Proxy'!$A$8:$A$19,Estimator!$B$4,'Wind Proxy'!$B$8:$B$19,C2566)</f>
        <v>0</v>
      </c>
    </row>
    <row r="2567" spans="1:10" ht="14.4">
      <c r="A2567" s="84">
        <v>48218</v>
      </c>
      <c r="B2567" s="85">
        <v>2032</v>
      </c>
      <c r="C2567" s="85">
        <v>1</v>
      </c>
      <c r="D2567" s="85" t="s">
        <v>55</v>
      </c>
      <c r="E2567" s="85">
        <v>5</v>
      </c>
      <c r="F2567" s="85">
        <v>1</v>
      </c>
      <c r="G2567" s="85">
        <f>--(F2567&lt;=Estimator!$B$7)</f>
        <v>1</v>
      </c>
      <c r="H2567" s="86">
        <f>SUMIFS('Climate Data'!$G$7:$G$366,'Climate Data'!$A$7:$A$366,Estimator!$B$4,'Climate Data'!$B$7:$B$366,C2567)</f>
        <v>0.19462365591397848</v>
      </c>
      <c r="I2567" s="87">
        <f>SUMIFS('Climate Data'!$H$7:$H$366,'Climate Data'!$A$7:$A$366,Estimator!$B$4,'Climate Data'!$B$7:$B$366,C2567)</f>
        <v>7.027624309392265</v>
      </c>
      <c r="J2567" s="86">
        <f>SUMIFS('Wind Proxy'!$H$8:$H$19,'Wind Proxy'!$A$8:$A$19,Estimator!$B$4,'Wind Proxy'!$B$8:$B$19,C2567)</f>
        <v>0</v>
      </c>
    </row>
    <row r="2568" spans="1:10" ht="14.4">
      <c r="A2568" s="84">
        <v>48219</v>
      </c>
      <c r="B2568" s="85">
        <v>2032</v>
      </c>
      <c r="C2568" s="85">
        <v>1</v>
      </c>
      <c r="D2568" s="85" t="s">
        <v>55</v>
      </c>
      <c r="E2568" s="85">
        <v>6</v>
      </c>
      <c r="F2568" s="85">
        <v>2</v>
      </c>
      <c r="G2568" s="85">
        <f>--(F2568&lt;=Estimator!$B$7)</f>
        <v>1</v>
      </c>
      <c r="H2568" s="86">
        <f>SUMIFS('Climate Data'!$G$7:$G$366,'Climate Data'!$A$7:$A$366,Estimator!$B$4,'Climate Data'!$B$7:$B$366,C2568)</f>
        <v>0.19462365591397848</v>
      </c>
      <c r="I2568" s="87">
        <f>SUMIFS('Climate Data'!$H$7:$H$366,'Climate Data'!$A$7:$A$366,Estimator!$B$4,'Climate Data'!$B$7:$B$366,C2568)</f>
        <v>7.027624309392265</v>
      </c>
      <c r="J2568" s="86">
        <f>SUMIFS('Wind Proxy'!$H$8:$H$19,'Wind Proxy'!$A$8:$A$19,Estimator!$B$4,'Wind Proxy'!$B$8:$B$19,C2568)</f>
        <v>0</v>
      </c>
    </row>
    <row r="2569" spans="1:10" ht="14.4">
      <c r="A2569" s="84">
        <v>48220</v>
      </c>
      <c r="B2569" s="85">
        <v>2032</v>
      </c>
      <c r="C2569" s="85">
        <v>1</v>
      </c>
      <c r="D2569" s="85" t="s">
        <v>55</v>
      </c>
      <c r="E2569" s="85">
        <v>7</v>
      </c>
      <c r="F2569" s="85">
        <v>3</v>
      </c>
      <c r="G2569" s="85">
        <f>--(F2569&lt;=Estimator!$B$7)</f>
        <v>1</v>
      </c>
      <c r="H2569" s="86">
        <f>SUMIFS('Climate Data'!$G$7:$G$366,'Climate Data'!$A$7:$A$366,Estimator!$B$4,'Climate Data'!$B$7:$B$366,C2569)</f>
        <v>0.19462365591397848</v>
      </c>
      <c r="I2569" s="87">
        <f>SUMIFS('Climate Data'!$H$7:$H$366,'Climate Data'!$A$7:$A$366,Estimator!$B$4,'Climate Data'!$B$7:$B$366,C2569)</f>
        <v>7.027624309392265</v>
      </c>
      <c r="J2569" s="86">
        <f>SUMIFS('Wind Proxy'!$H$8:$H$19,'Wind Proxy'!$A$8:$A$19,Estimator!$B$4,'Wind Proxy'!$B$8:$B$19,C2569)</f>
        <v>0</v>
      </c>
    </row>
    <row r="2570" spans="1:10" ht="14.4">
      <c r="A2570" s="84">
        <v>48221</v>
      </c>
      <c r="B2570" s="85">
        <v>2032</v>
      </c>
      <c r="C2570" s="85">
        <v>1</v>
      </c>
      <c r="D2570" s="85" t="s">
        <v>55</v>
      </c>
      <c r="E2570" s="85">
        <v>8</v>
      </c>
      <c r="F2570" s="85">
        <v>4</v>
      </c>
      <c r="G2570" s="85">
        <f>--(F2570&lt;=Estimator!$B$7)</f>
        <v>1</v>
      </c>
      <c r="H2570" s="86">
        <f>SUMIFS('Climate Data'!$G$7:$G$366,'Climate Data'!$A$7:$A$366,Estimator!$B$4,'Climate Data'!$B$7:$B$366,C2570)</f>
        <v>0.19462365591397848</v>
      </c>
      <c r="I2570" s="87">
        <f>SUMIFS('Climate Data'!$H$7:$H$366,'Climate Data'!$A$7:$A$366,Estimator!$B$4,'Climate Data'!$B$7:$B$366,C2570)</f>
        <v>7.027624309392265</v>
      </c>
      <c r="J2570" s="86">
        <f>SUMIFS('Wind Proxy'!$H$8:$H$19,'Wind Proxy'!$A$8:$A$19,Estimator!$B$4,'Wind Proxy'!$B$8:$B$19,C2570)</f>
        <v>0</v>
      </c>
    </row>
    <row r="2571" spans="1:10" ht="14.4">
      <c r="A2571" s="84">
        <v>48222</v>
      </c>
      <c r="B2571" s="85">
        <v>2032</v>
      </c>
      <c r="C2571" s="85">
        <v>1</v>
      </c>
      <c r="D2571" s="85" t="s">
        <v>55</v>
      </c>
      <c r="E2571" s="85">
        <v>9</v>
      </c>
      <c r="F2571" s="85">
        <v>5</v>
      </c>
      <c r="G2571" s="85">
        <f>--(F2571&lt;=Estimator!$B$7)</f>
        <v>1</v>
      </c>
      <c r="H2571" s="86">
        <f>SUMIFS('Climate Data'!$G$7:$G$366,'Climate Data'!$A$7:$A$366,Estimator!$B$4,'Climate Data'!$B$7:$B$366,C2571)</f>
        <v>0.19462365591397848</v>
      </c>
      <c r="I2571" s="87">
        <f>SUMIFS('Climate Data'!$H$7:$H$366,'Climate Data'!$A$7:$A$366,Estimator!$B$4,'Climate Data'!$B$7:$B$366,C2571)</f>
        <v>7.027624309392265</v>
      </c>
      <c r="J2571" s="86">
        <f>SUMIFS('Wind Proxy'!$H$8:$H$19,'Wind Proxy'!$A$8:$A$19,Estimator!$B$4,'Wind Proxy'!$B$8:$B$19,C2571)</f>
        <v>0</v>
      </c>
    </row>
    <row r="2572" spans="1:10" ht="14.4">
      <c r="A2572" s="84">
        <v>48223</v>
      </c>
      <c r="B2572" s="85">
        <v>2032</v>
      </c>
      <c r="C2572" s="85">
        <v>1</v>
      </c>
      <c r="D2572" s="85" t="s">
        <v>55</v>
      </c>
      <c r="E2572" s="85">
        <v>10</v>
      </c>
      <c r="F2572" s="85">
        <v>6</v>
      </c>
      <c r="G2572" s="85">
        <f>--(F2572&lt;=Estimator!$B$7)</f>
        <v>0</v>
      </c>
      <c r="H2572" s="86">
        <f>SUMIFS('Climate Data'!$G$7:$G$366,'Climate Data'!$A$7:$A$366,Estimator!$B$4,'Climate Data'!$B$7:$B$366,C2572)</f>
        <v>0.19462365591397848</v>
      </c>
      <c r="I2572" s="87">
        <f>SUMIFS('Climate Data'!$H$7:$H$366,'Climate Data'!$A$7:$A$366,Estimator!$B$4,'Climate Data'!$B$7:$B$366,C2572)</f>
        <v>7.027624309392265</v>
      </c>
      <c r="J2572" s="86">
        <f>SUMIFS('Wind Proxy'!$H$8:$H$19,'Wind Proxy'!$A$8:$A$19,Estimator!$B$4,'Wind Proxy'!$B$8:$B$19,C2572)</f>
        <v>0</v>
      </c>
    </row>
    <row r="2573" spans="1:10" ht="14.4">
      <c r="A2573" s="84">
        <v>48224</v>
      </c>
      <c r="B2573" s="85">
        <v>2032</v>
      </c>
      <c r="C2573" s="85">
        <v>1</v>
      </c>
      <c r="D2573" s="85" t="s">
        <v>55</v>
      </c>
      <c r="E2573" s="85">
        <v>11</v>
      </c>
      <c r="F2573" s="85">
        <v>7</v>
      </c>
      <c r="G2573" s="85">
        <f>--(F2573&lt;=Estimator!$B$7)</f>
        <v>0</v>
      </c>
      <c r="H2573" s="86">
        <f>SUMIFS('Climate Data'!$G$7:$G$366,'Climate Data'!$A$7:$A$366,Estimator!$B$4,'Climate Data'!$B$7:$B$366,C2573)</f>
        <v>0.19462365591397848</v>
      </c>
      <c r="I2573" s="87">
        <f>SUMIFS('Climate Data'!$H$7:$H$366,'Climate Data'!$A$7:$A$366,Estimator!$B$4,'Climate Data'!$B$7:$B$366,C2573)</f>
        <v>7.027624309392265</v>
      </c>
      <c r="J2573" s="86">
        <f>SUMIFS('Wind Proxy'!$H$8:$H$19,'Wind Proxy'!$A$8:$A$19,Estimator!$B$4,'Wind Proxy'!$B$8:$B$19,C2573)</f>
        <v>0</v>
      </c>
    </row>
    <row r="2574" spans="1:10" ht="14.4">
      <c r="A2574" s="84">
        <v>48225</v>
      </c>
      <c r="B2574" s="85">
        <v>2032</v>
      </c>
      <c r="C2574" s="85">
        <v>1</v>
      </c>
      <c r="D2574" s="85" t="s">
        <v>55</v>
      </c>
      <c r="E2574" s="85">
        <v>12</v>
      </c>
      <c r="F2574" s="85">
        <v>1</v>
      </c>
      <c r="G2574" s="85">
        <f>--(F2574&lt;=Estimator!$B$7)</f>
        <v>1</v>
      </c>
      <c r="H2574" s="86">
        <f>SUMIFS('Climate Data'!$G$7:$G$366,'Climate Data'!$A$7:$A$366,Estimator!$B$4,'Climate Data'!$B$7:$B$366,C2574)</f>
        <v>0.19462365591397848</v>
      </c>
      <c r="I2574" s="87">
        <f>SUMIFS('Climate Data'!$H$7:$H$366,'Climate Data'!$A$7:$A$366,Estimator!$B$4,'Climate Data'!$B$7:$B$366,C2574)</f>
        <v>7.027624309392265</v>
      </c>
      <c r="J2574" s="86">
        <f>SUMIFS('Wind Proxy'!$H$8:$H$19,'Wind Proxy'!$A$8:$A$19,Estimator!$B$4,'Wind Proxy'!$B$8:$B$19,C2574)</f>
        <v>0</v>
      </c>
    </row>
    <row r="2575" spans="1:10" ht="14.4">
      <c r="A2575" s="84">
        <v>48226</v>
      </c>
      <c r="B2575" s="85">
        <v>2032</v>
      </c>
      <c r="C2575" s="85">
        <v>1</v>
      </c>
      <c r="D2575" s="85" t="s">
        <v>55</v>
      </c>
      <c r="E2575" s="85">
        <v>13</v>
      </c>
      <c r="F2575" s="85">
        <v>2</v>
      </c>
      <c r="G2575" s="85">
        <f>--(F2575&lt;=Estimator!$B$7)</f>
        <v>1</v>
      </c>
      <c r="H2575" s="86">
        <f>SUMIFS('Climate Data'!$G$7:$G$366,'Climate Data'!$A$7:$A$366,Estimator!$B$4,'Climate Data'!$B$7:$B$366,C2575)</f>
        <v>0.19462365591397848</v>
      </c>
      <c r="I2575" s="87">
        <f>SUMIFS('Climate Data'!$H$7:$H$366,'Climate Data'!$A$7:$A$366,Estimator!$B$4,'Climate Data'!$B$7:$B$366,C2575)</f>
        <v>7.027624309392265</v>
      </c>
      <c r="J2575" s="86">
        <f>SUMIFS('Wind Proxy'!$H$8:$H$19,'Wind Proxy'!$A$8:$A$19,Estimator!$B$4,'Wind Proxy'!$B$8:$B$19,C2575)</f>
        <v>0</v>
      </c>
    </row>
    <row r="2576" spans="1:10" ht="14.4">
      <c r="A2576" s="84">
        <v>48227</v>
      </c>
      <c r="B2576" s="85">
        <v>2032</v>
      </c>
      <c r="C2576" s="85">
        <v>1</v>
      </c>
      <c r="D2576" s="85" t="s">
        <v>55</v>
      </c>
      <c r="E2576" s="85">
        <v>14</v>
      </c>
      <c r="F2576" s="85">
        <v>3</v>
      </c>
      <c r="G2576" s="85">
        <f>--(F2576&lt;=Estimator!$B$7)</f>
        <v>1</v>
      </c>
      <c r="H2576" s="86">
        <f>SUMIFS('Climate Data'!$G$7:$G$366,'Climate Data'!$A$7:$A$366,Estimator!$B$4,'Climate Data'!$B$7:$B$366,C2576)</f>
        <v>0.19462365591397848</v>
      </c>
      <c r="I2576" s="87">
        <f>SUMIFS('Climate Data'!$H$7:$H$366,'Climate Data'!$A$7:$A$366,Estimator!$B$4,'Climate Data'!$B$7:$B$366,C2576)</f>
        <v>7.027624309392265</v>
      </c>
      <c r="J2576" s="86">
        <f>SUMIFS('Wind Proxy'!$H$8:$H$19,'Wind Proxy'!$A$8:$A$19,Estimator!$B$4,'Wind Proxy'!$B$8:$B$19,C2576)</f>
        <v>0</v>
      </c>
    </row>
    <row r="2577" spans="1:10" ht="14.4">
      <c r="A2577" s="84">
        <v>48228</v>
      </c>
      <c r="B2577" s="85">
        <v>2032</v>
      </c>
      <c r="C2577" s="85">
        <v>1</v>
      </c>
      <c r="D2577" s="85" t="s">
        <v>55</v>
      </c>
      <c r="E2577" s="85">
        <v>15</v>
      </c>
      <c r="F2577" s="85">
        <v>4</v>
      </c>
      <c r="G2577" s="85">
        <f>--(F2577&lt;=Estimator!$B$7)</f>
        <v>1</v>
      </c>
      <c r="H2577" s="86">
        <f>SUMIFS('Climate Data'!$G$7:$G$366,'Climate Data'!$A$7:$A$366,Estimator!$B$4,'Climate Data'!$B$7:$B$366,C2577)</f>
        <v>0.19462365591397848</v>
      </c>
      <c r="I2577" s="87">
        <f>SUMIFS('Climate Data'!$H$7:$H$366,'Climate Data'!$A$7:$A$366,Estimator!$B$4,'Climate Data'!$B$7:$B$366,C2577)</f>
        <v>7.027624309392265</v>
      </c>
      <c r="J2577" s="86">
        <f>SUMIFS('Wind Proxy'!$H$8:$H$19,'Wind Proxy'!$A$8:$A$19,Estimator!$B$4,'Wind Proxy'!$B$8:$B$19,C2577)</f>
        <v>0</v>
      </c>
    </row>
    <row r="2578" spans="1:10" ht="14.4">
      <c r="A2578" s="84">
        <v>48229</v>
      </c>
      <c r="B2578" s="85">
        <v>2032</v>
      </c>
      <c r="C2578" s="85">
        <v>1</v>
      </c>
      <c r="D2578" s="85" t="s">
        <v>55</v>
      </c>
      <c r="E2578" s="85">
        <v>16</v>
      </c>
      <c r="F2578" s="85">
        <v>5</v>
      </c>
      <c r="G2578" s="85">
        <f>--(F2578&lt;=Estimator!$B$7)</f>
        <v>1</v>
      </c>
      <c r="H2578" s="86">
        <f>SUMIFS('Climate Data'!$G$7:$G$366,'Climate Data'!$A$7:$A$366,Estimator!$B$4,'Climate Data'!$B$7:$B$366,C2578)</f>
        <v>0.19462365591397848</v>
      </c>
      <c r="I2578" s="87">
        <f>SUMIFS('Climate Data'!$H$7:$H$366,'Climate Data'!$A$7:$A$366,Estimator!$B$4,'Climate Data'!$B$7:$B$366,C2578)</f>
        <v>7.027624309392265</v>
      </c>
      <c r="J2578" s="86">
        <f>SUMIFS('Wind Proxy'!$H$8:$H$19,'Wind Proxy'!$A$8:$A$19,Estimator!$B$4,'Wind Proxy'!$B$8:$B$19,C2578)</f>
        <v>0</v>
      </c>
    </row>
    <row r="2579" spans="1:10" ht="14.4">
      <c r="A2579" s="84">
        <v>48230</v>
      </c>
      <c r="B2579" s="85">
        <v>2032</v>
      </c>
      <c r="C2579" s="85">
        <v>1</v>
      </c>
      <c r="D2579" s="85" t="s">
        <v>55</v>
      </c>
      <c r="E2579" s="85">
        <v>17</v>
      </c>
      <c r="F2579" s="85">
        <v>6</v>
      </c>
      <c r="G2579" s="85">
        <f>--(F2579&lt;=Estimator!$B$7)</f>
        <v>0</v>
      </c>
      <c r="H2579" s="86">
        <f>SUMIFS('Climate Data'!$G$7:$G$366,'Climate Data'!$A$7:$A$366,Estimator!$B$4,'Climate Data'!$B$7:$B$366,C2579)</f>
        <v>0.19462365591397848</v>
      </c>
      <c r="I2579" s="87">
        <f>SUMIFS('Climate Data'!$H$7:$H$366,'Climate Data'!$A$7:$A$366,Estimator!$B$4,'Climate Data'!$B$7:$B$366,C2579)</f>
        <v>7.027624309392265</v>
      </c>
      <c r="J2579" s="86">
        <f>SUMIFS('Wind Proxy'!$H$8:$H$19,'Wind Proxy'!$A$8:$A$19,Estimator!$B$4,'Wind Proxy'!$B$8:$B$19,C2579)</f>
        <v>0</v>
      </c>
    </row>
    <row r="2580" spans="1:10" ht="14.4">
      <c r="A2580" s="84">
        <v>48231</v>
      </c>
      <c r="B2580" s="85">
        <v>2032</v>
      </c>
      <c r="C2580" s="85">
        <v>1</v>
      </c>
      <c r="D2580" s="85" t="s">
        <v>55</v>
      </c>
      <c r="E2580" s="85">
        <v>18</v>
      </c>
      <c r="F2580" s="85">
        <v>7</v>
      </c>
      <c r="G2580" s="85">
        <f>--(F2580&lt;=Estimator!$B$7)</f>
        <v>0</v>
      </c>
      <c r="H2580" s="86">
        <f>SUMIFS('Climate Data'!$G$7:$G$366,'Climate Data'!$A$7:$A$366,Estimator!$B$4,'Climate Data'!$B$7:$B$366,C2580)</f>
        <v>0.19462365591397848</v>
      </c>
      <c r="I2580" s="87">
        <f>SUMIFS('Climate Data'!$H$7:$H$366,'Climate Data'!$A$7:$A$366,Estimator!$B$4,'Climate Data'!$B$7:$B$366,C2580)</f>
        <v>7.027624309392265</v>
      </c>
      <c r="J2580" s="86">
        <f>SUMIFS('Wind Proxy'!$H$8:$H$19,'Wind Proxy'!$A$8:$A$19,Estimator!$B$4,'Wind Proxy'!$B$8:$B$19,C2580)</f>
        <v>0</v>
      </c>
    </row>
    <row r="2581" spans="1:10" ht="14.4">
      <c r="A2581" s="84">
        <v>48232</v>
      </c>
      <c r="B2581" s="85">
        <v>2032</v>
      </c>
      <c r="C2581" s="85">
        <v>1</v>
      </c>
      <c r="D2581" s="85" t="s">
        <v>55</v>
      </c>
      <c r="E2581" s="85">
        <v>19</v>
      </c>
      <c r="F2581" s="85">
        <v>1</v>
      </c>
      <c r="G2581" s="85">
        <f>--(F2581&lt;=Estimator!$B$7)</f>
        <v>1</v>
      </c>
      <c r="H2581" s="86">
        <f>SUMIFS('Climate Data'!$G$7:$G$366,'Climate Data'!$A$7:$A$366,Estimator!$B$4,'Climate Data'!$B$7:$B$366,C2581)</f>
        <v>0.19462365591397848</v>
      </c>
      <c r="I2581" s="87">
        <f>SUMIFS('Climate Data'!$H$7:$H$366,'Climate Data'!$A$7:$A$366,Estimator!$B$4,'Climate Data'!$B$7:$B$366,C2581)</f>
        <v>7.027624309392265</v>
      </c>
      <c r="J2581" s="86">
        <f>SUMIFS('Wind Proxy'!$H$8:$H$19,'Wind Proxy'!$A$8:$A$19,Estimator!$B$4,'Wind Proxy'!$B$8:$B$19,C2581)</f>
        <v>0</v>
      </c>
    </row>
    <row r="2582" spans="1:10" ht="14.4">
      <c r="A2582" s="84">
        <v>48233</v>
      </c>
      <c r="B2582" s="85">
        <v>2032</v>
      </c>
      <c r="C2582" s="85">
        <v>1</v>
      </c>
      <c r="D2582" s="85" t="s">
        <v>55</v>
      </c>
      <c r="E2582" s="85">
        <v>20</v>
      </c>
      <c r="F2582" s="85">
        <v>2</v>
      </c>
      <c r="G2582" s="85">
        <f>--(F2582&lt;=Estimator!$B$7)</f>
        <v>1</v>
      </c>
      <c r="H2582" s="86">
        <f>SUMIFS('Climate Data'!$G$7:$G$366,'Climate Data'!$A$7:$A$366,Estimator!$B$4,'Climate Data'!$B$7:$B$366,C2582)</f>
        <v>0.19462365591397848</v>
      </c>
      <c r="I2582" s="87">
        <f>SUMIFS('Climate Data'!$H$7:$H$366,'Climate Data'!$A$7:$A$366,Estimator!$B$4,'Climate Data'!$B$7:$B$366,C2582)</f>
        <v>7.027624309392265</v>
      </c>
      <c r="J2582" s="86">
        <f>SUMIFS('Wind Proxy'!$H$8:$H$19,'Wind Proxy'!$A$8:$A$19,Estimator!$B$4,'Wind Proxy'!$B$8:$B$19,C2582)</f>
        <v>0</v>
      </c>
    </row>
    <row r="2583" spans="1:10" ht="14.4">
      <c r="A2583" s="84">
        <v>48234</v>
      </c>
      <c r="B2583" s="85">
        <v>2032</v>
      </c>
      <c r="C2583" s="85">
        <v>1</v>
      </c>
      <c r="D2583" s="85" t="s">
        <v>55</v>
      </c>
      <c r="E2583" s="85">
        <v>21</v>
      </c>
      <c r="F2583" s="85">
        <v>3</v>
      </c>
      <c r="G2583" s="85">
        <f>--(F2583&lt;=Estimator!$B$7)</f>
        <v>1</v>
      </c>
      <c r="H2583" s="86">
        <f>SUMIFS('Climate Data'!$G$7:$G$366,'Climate Data'!$A$7:$A$366,Estimator!$B$4,'Climate Data'!$B$7:$B$366,C2583)</f>
        <v>0.19462365591397848</v>
      </c>
      <c r="I2583" s="87">
        <f>SUMIFS('Climate Data'!$H$7:$H$366,'Climate Data'!$A$7:$A$366,Estimator!$B$4,'Climate Data'!$B$7:$B$366,C2583)</f>
        <v>7.027624309392265</v>
      </c>
      <c r="J2583" s="86">
        <f>SUMIFS('Wind Proxy'!$H$8:$H$19,'Wind Proxy'!$A$8:$A$19,Estimator!$B$4,'Wind Proxy'!$B$8:$B$19,C2583)</f>
        <v>0</v>
      </c>
    </row>
    <row r="2584" spans="1:10" ht="14.4">
      <c r="A2584" s="84">
        <v>48235</v>
      </c>
      <c r="B2584" s="85">
        <v>2032</v>
      </c>
      <c r="C2584" s="85">
        <v>1</v>
      </c>
      <c r="D2584" s="85" t="s">
        <v>55</v>
      </c>
      <c r="E2584" s="85">
        <v>22</v>
      </c>
      <c r="F2584" s="85">
        <v>4</v>
      </c>
      <c r="G2584" s="85">
        <f>--(F2584&lt;=Estimator!$B$7)</f>
        <v>1</v>
      </c>
      <c r="H2584" s="86">
        <f>SUMIFS('Climate Data'!$G$7:$G$366,'Climate Data'!$A$7:$A$366,Estimator!$B$4,'Climate Data'!$B$7:$B$366,C2584)</f>
        <v>0.19462365591397848</v>
      </c>
      <c r="I2584" s="87">
        <f>SUMIFS('Climate Data'!$H$7:$H$366,'Climate Data'!$A$7:$A$366,Estimator!$B$4,'Climate Data'!$B$7:$B$366,C2584)</f>
        <v>7.027624309392265</v>
      </c>
      <c r="J2584" s="86">
        <f>SUMIFS('Wind Proxy'!$H$8:$H$19,'Wind Proxy'!$A$8:$A$19,Estimator!$B$4,'Wind Proxy'!$B$8:$B$19,C2584)</f>
        <v>0</v>
      </c>
    </row>
    <row r="2585" spans="1:10" ht="14.4">
      <c r="A2585" s="84">
        <v>48236</v>
      </c>
      <c r="B2585" s="85">
        <v>2032</v>
      </c>
      <c r="C2585" s="85">
        <v>1</v>
      </c>
      <c r="D2585" s="85" t="s">
        <v>55</v>
      </c>
      <c r="E2585" s="85">
        <v>23</v>
      </c>
      <c r="F2585" s="85">
        <v>5</v>
      </c>
      <c r="G2585" s="85">
        <f>--(F2585&lt;=Estimator!$B$7)</f>
        <v>1</v>
      </c>
      <c r="H2585" s="86">
        <f>SUMIFS('Climate Data'!$G$7:$G$366,'Climate Data'!$A$7:$A$366,Estimator!$B$4,'Climate Data'!$B$7:$B$366,C2585)</f>
        <v>0.19462365591397848</v>
      </c>
      <c r="I2585" s="87">
        <f>SUMIFS('Climate Data'!$H$7:$H$366,'Climate Data'!$A$7:$A$366,Estimator!$B$4,'Climate Data'!$B$7:$B$366,C2585)</f>
        <v>7.027624309392265</v>
      </c>
      <c r="J2585" s="86">
        <f>SUMIFS('Wind Proxy'!$H$8:$H$19,'Wind Proxy'!$A$8:$A$19,Estimator!$B$4,'Wind Proxy'!$B$8:$B$19,C2585)</f>
        <v>0</v>
      </c>
    </row>
    <row r="2586" spans="1:10" ht="14.4">
      <c r="A2586" s="84">
        <v>48237</v>
      </c>
      <c r="B2586" s="85">
        <v>2032</v>
      </c>
      <c r="C2586" s="85">
        <v>1</v>
      </c>
      <c r="D2586" s="85" t="s">
        <v>55</v>
      </c>
      <c r="E2586" s="85">
        <v>24</v>
      </c>
      <c r="F2586" s="85">
        <v>6</v>
      </c>
      <c r="G2586" s="85">
        <f>--(F2586&lt;=Estimator!$B$7)</f>
        <v>0</v>
      </c>
      <c r="H2586" s="86">
        <f>SUMIFS('Climate Data'!$G$7:$G$366,'Climate Data'!$A$7:$A$366,Estimator!$B$4,'Climate Data'!$B$7:$B$366,C2586)</f>
        <v>0.19462365591397848</v>
      </c>
      <c r="I2586" s="87">
        <f>SUMIFS('Climate Data'!$H$7:$H$366,'Climate Data'!$A$7:$A$366,Estimator!$B$4,'Climate Data'!$B$7:$B$366,C2586)</f>
        <v>7.027624309392265</v>
      </c>
      <c r="J2586" s="86">
        <f>SUMIFS('Wind Proxy'!$H$8:$H$19,'Wind Proxy'!$A$8:$A$19,Estimator!$B$4,'Wind Proxy'!$B$8:$B$19,C2586)</f>
        <v>0</v>
      </c>
    </row>
    <row r="2587" spans="1:10" ht="14.4">
      <c r="A2587" s="84">
        <v>48238</v>
      </c>
      <c r="B2587" s="85">
        <v>2032</v>
      </c>
      <c r="C2587" s="85">
        <v>1</v>
      </c>
      <c r="D2587" s="85" t="s">
        <v>55</v>
      </c>
      <c r="E2587" s="85">
        <v>25</v>
      </c>
      <c r="F2587" s="85">
        <v>7</v>
      </c>
      <c r="G2587" s="85">
        <f>--(F2587&lt;=Estimator!$B$7)</f>
        <v>0</v>
      </c>
      <c r="H2587" s="86">
        <f>SUMIFS('Climate Data'!$G$7:$G$366,'Climate Data'!$A$7:$A$366,Estimator!$B$4,'Climate Data'!$B$7:$B$366,C2587)</f>
        <v>0.19462365591397848</v>
      </c>
      <c r="I2587" s="87">
        <f>SUMIFS('Climate Data'!$H$7:$H$366,'Climate Data'!$A$7:$A$366,Estimator!$B$4,'Climate Data'!$B$7:$B$366,C2587)</f>
        <v>7.027624309392265</v>
      </c>
      <c r="J2587" s="86">
        <f>SUMIFS('Wind Proxy'!$H$8:$H$19,'Wind Proxy'!$A$8:$A$19,Estimator!$B$4,'Wind Proxy'!$B$8:$B$19,C2587)</f>
        <v>0</v>
      </c>
    </row>
    <row r="2588" spans="1:10" ht="14.4">
      <c r="A2588" s="84">
        <v>48239</v>
      </c>
      <c r="B2588" s="85">
        <v>2032</v>
      </c>
      <c r="C2588" s="85">
        <v>1</v>
      </c>
      <c r="D2588" s="85" t="s">
        <v>55</v>
      </c>
      <c r="E2588" s="85">
        <v>26</v>
      </c>
      <c r="F2588" s="85">
        <v>1</v>
      </c>
      <c r="G2588" s="85">
        <f>--(F2588&lt;=Estimator!$B$7)</f>
        <v>1</v>
      </c>
      <c r="H2588" s="86">
        <f>SUMIFS('Climate Data'!$G$7:$G$366,'Climate Data'!$A$7:$A$366,Estimator!$B$4,'Climate Data'!$B$7:$B$366,C2588)</f>
        <v>0.19462365591397848</v>
      </c>
      <c r="I2588" s="87">
        <f>SUMIFS('Climate Data'!$H$7:$H$366,'Climate Data'!$A$7:$A$366,Estimator!$B$4,'Climate Data'!$B$7:$B$366,C2588)</f>
        <v>7.027624309392265</v>
      </c>
      <c r="J2588" s="86">
        <f>SUMIFS('Wind Proxy'!$H$8:$H$19,'Wind Proxy'!$A$8:$A$19,Estimator!$B$4,'Wind Proxy'!$B$8:$B$19,C2588)</f>
        <v>0</v>
      </c>
    </row>
    <row r="2589" spans="1:10" ht="14.4">
      <c r="A2589" s="84">
        <v>48240</v>
      </c>
      <c r="B2589" s="85">
        <v>2032</v>
      </c>
      <c r="C2589" s="85">
        <v>1</v>
      </c>
      <c r="D2589" s="85" t="s">
        <v>55</v>
      </c>
      <c r="E2589" s="85">
        <v>27</v>
      </c>
      <c r="F2589" s="85">
        <v>2</v>
      </c>
      <c r="G2589" s="85">
        <f>--(F2589&lt;=Estimator!$B$7)</f>
        <v>1</v>
      </c>
      <c r="H2589" s="86">
        <f>SUMIFS('Climate Data'!$G$7:$G$366,'Climate Data'!$A$7:$A$366,Estimator!$B$4,'Climate Data'!$B$7:$B$366,C2589)</f>
        <v>0.19462365591397848</v>
      </c>
      <c r="I2589" s="87">
        <f>SUMIFS('Climate Data'!$H$7:$H$366,'Climate Data'!$A$7:$A$366,Estimator!$B$4,'Climate Data'!$B$7:$B$366,C2589)</f>
        <v>7.027624309392265</v>
      </c>
      <c r="J2589" s="86">
        <f>SUMIFS('Wind Proxy'!$H$8:$H$19,'Wind Proxy'!$A$8:$A$19,Estimator!$B$4,'Wind Proxy'!$B$8:$B$19,C2589)</f>
        <v>0</v>
      </c>
    </row>
    <row r="2590" spans="1:10" ht="14.4">
      <c r="A2590" s="84">
        <v>48241</v>
      </c>
      <c r="B2590" s="85">
        <v>2032</v>
      </c>
      <c r="C2590" s="85">
        <v>1</v>
      </c>
      <c r="D2590" s="85" t="s">
        <v>55</v>
      </c>
      <c r="E2590" s="85">
        <v>28</v>
      </c>
      <c r="F2590" s="85">
        <v>3</v>
      </c>
      <c r="G2590" s="85">
        <f>--(F2590&lt;=Estimator!$B$7)</f>
        <v>1</v>
      </c>
      <c r="H2590" s="86">
        <f>SUMIFS('Climate Data'!$G$7:$G$366,'Climate Data'!$A$7:$A$366,Estimator!$B$4,'Climate Data'!$B$7:$B$366,C2590)</f>
        <v>0.19462365591397848</v>
      </c>
      <c r="I2590" s="87">
        <f>SUMIFS('Climate Data'!$H$7:$H$366,'Climate Data'!$A$7:$A$366,Estimator!$B$4,'Climate Data'!$B$7:$B$366,C2590)</f>
        <v>7.027624309392265</v>
      </c>
      <c r="J2590" s="86">
        <f>SUMIFS('Wind Proxy'!$H$8:$H$19,'Wind Proxy'!$A$8:$A$19,Estimator!$B$4,'Wind Proxy'!$B$8:$B$19,C2590)</f>
        <v>0</v>
      </c>
    </row>
    <row r="2591" spans="1:10" ht="14.4">
      <c r="A2591" s="84">
        <v>48242</v>
      </c>
      <c r="B2591" s="85">
        <v>2032</v>
      </c>
      <c r="C2591" s="85">
        <v>1</v>
      </c>
      <c r="D2591" s="85" t="s">
        <v>55</v>
      </c>
      <c r="E2591" s="85">
        <v>29</v>
      </c>
      <c r="F2591" s="85">
        <v>4</v>
      </c>
      <c r="G2591" s="85">
        <f>--(F2591&lt;=Estimator!$B$7)</f>
        <v>1</v>
      </c>
      <c r="H2591" s="86">
        <f>SUMIFS('Climate Data'!$G$7:$G$366,'Climate Data'!$A$7:$A$366,Estimator!$B$4,'Climate Data'!$B$7:$B$366,C2591)</f>
        <v>0.19462365591397848</v>
      </c>
      <c r="I2591" s="87">
        <f>SUMIFS('Climate Data'!$H$7:$H$366,'Climate Data'!$A$7:$A$366,Estimator!$B$4,'Climate Data'!$B$7:$B$366,C2591)</f>
        <v>7.027624309392265</v>
      </c>
      <c r="J2591" s="86">
        <f>SUMIFS('Wind Proxy'!$H$8:$H$19,'Wind Proxy'!$A$8:$A$19,Estimator!$B$4,'Wind Proxy'!$B$8:$B$19,C2591)</f>
        <v>0</v>
      </c>
    </row>
    <row r="2592" spans="1:10" ht="14.4">
      <c r="A2592" s="84">
        <v>48243</v>
      </c>
      <c r="B2592" s="85">
        <v>2032</v>
      </c>
      <c r="C2592" s="85">
        <v>1</v>
      </c>
      <c r="D2592" s="85" t="s">
        <v>55</v>
      </c>
      <c r="E2592" s="85">
        <v>30</v>
      </c>
      <c r="F2592" s="85">
        <v>5</v>
      </c>
      <c r="G2592" s="85">
        <f>--(F2592&lt;=Estimator!$B$7)</f>
        <v>1</v>
      </c>
      <c r="H2592" s="86">
        <f>SUMIFS('Climate Data'!$G$7:$G$366,'Climate Data'!$A$7:$A$366,Estimator!$B$4,'Climate Data'!$B$7:$B$366,C2592)</f>
        <v>0.19462365591397848</v>
      </c>
      <c r="I2592" s="87">
        <f>SUMIFS('Climate Data'!$H$7:$H$366,'Climate Data'!$A$7:$A$366,Estimator!$B$4,'Climate Data'!$B$7:$B$366,C2592)</f>
        <v>7.027624309392265</v>
      </c>
      <c r="J2592" s="86">
        <f>SUMIFS('Wind Proxy'!$H$8:$H$19,'Wind Proxy'!$A$8:$A$19,Estimator!$B$4,'Wind Proxy'!$B$8:$B$19,C2592)</f>
        <v>0</v>
      </c>
    </row>
    <row r="2593" spans="1:10" ht="14.4">
      <c r="A2593" s="84">
        <v>48244</v>
      </c>
      <c r="B2593" s="85">
        <v>2032</v>
      </c>
      <c r="C2593" s="85">
        <v>1</v>
      </c>
      <c r="D2593" s="85" t="s">
        <v>55</v>
      </c>
      <c r="E2593" s="85">
        <v>31</v>
      </c>
      <c r="F2593" s="85">
        <v>6</v>
      </c>
      <c r="G2593" s="85">
        <f>--(F2593&lt;=Estimator!$B$7)</f>
        <v>0</v>
      </c>
      <c r="H2593" s="86">
        <f>SUMIFS('Climate Data'!$G$7:$G$366,'Climate Data'!$A$7:$A$366,Estimator!$B$4,'Climate Data'!$B$7:$B$366,C2593)</f>
        <v>0.19462365591397848</v>
      </c>
      <c r="I2593" s="87">
        <f>SUMIFS('Climate Data'!$H$7:$H$366,'Climate Data'!$A$7:$A$366,Estimator!$B$4,'Climate Data'!$B$7:$B$366,C2593)</f>
        <v>7.027624309392265</v>
      </c>
      <c r="J2593" s="86">
        <f>SUMIFS('Wind Proxy'!$H$8:$H$19,'Wind Proxy'!$A$8:$A$19,Estimator!$B$4,'Wind Proxy'!$B$8:$B$19,C2593)</f>
        <v>0</v>
      </c>
    </row>
    <row r="2594" spans="1:10" ht="14.4">
      <c r="A2594" s="84">
        <v>48245</v>
      </c>
      <c r="B2594" s="85">
        <v>2032</v>
      </c>
      <c r="C2594" s="85">
        <v>2</v>
      </c>
      <c r="D2594" s="85" t="s">
        <v>58</v>
      </c>
      <c r="E2594" s="85">
        <v>1</v>
      </c>
      <c r="F2594" s="85">
        <v>7</v>
      </c>
      <c r="G2594" s="85">
        <f>--(F2594&lt;=Estimator!$B$7)</f>
        <v>0</v>
      </c>
      <c r="H2594" s="86">
        <f>SUMIFS('Climate Data'!$G$7:$G$366,'Climate Data'!$A$7:$A$366,Estimator!$B$4,'Climate Data'!$B$7:$B$366,C2594)</f>
        <v>0.18867924528301885</v>
      </c>
      <c r="I2594" s="87">
        <f>SUMIFS('Climate Data'!$H$7:$H$366,'Climate Data'!$A$7:$A$366,Estimator!$B$4,'Climate Data'!$B$7:$B$366,C2594)</f>
        <v>7.4624999999999995</v>
      </c>
      <c r="J2594" s="86">
        <f>SUMIFS('Wind Proxy'!$H$8:$H$19,'Wind Proxy'!$A$8:$A$19,Estimator!$B$4,'Wind Proxy'!$B$8:$B$19,C2594)</f>
        <v>0</v>
      </c>
    </row>
    <row r="2595" spans="1:10" ht="14.4">
      <c r="A2595" s="84">
        <v>48246</v>
      </c>
      <c r="B2595" s="85">
        <v>2032</v>
      </c>
      <c r="C2595" s="85">
        <v>2</v>
      </c>
      <c r="D2595" s="85" t="s">
        <v>58</v>
      </c>
      <c r="E2595" s="85">
        <v>2</v>
      </c>
      <c r="F2595" s="85">
        <v>1</v>
      </c>
      <c r="G2595" s="85">
        <f>--(F2595&lt;=Estimator!$B$7)</f>
        <v>1</v>
      </c>
      <c r="H2595" s="86">
        <f>SUMIFS('Climate Data'!$G$7:$G$366,'Climate Data'!$A$7:$A$366,Estimator!$B$4,'Climate Data'!$B$7:$B$366,C2595)</f>
        <v>0.18867924528301885</v>
      </c>
      <c r="I2595" s="87">
        <f>SUMIFS('Climate Data'!$H$7:$H$366,'Climate Data'!$A$7:$A$366,Estimator!$B$4,'Climate Data'!$B$7:$B$366,C2595)</f>
        <v>7.4624999999999995</v>
      </c>
      <c r="J2595" s="86">
        <f>SUMIFS('Wind Proxy'!$H$8:$H$19,'Wind Proxy'!$A$8:$A$19,Estimator!$B$4,'Wind Proxy'!$B$8:$B$19,C2595)</f>
        <v>0</v>
      </c>
    </row>
    <row r="2596" spans="1:10" ht="14.4">
      <c r="A2596" s="84">
        <v>48247</v>
      </c>
      <c r="B2596" s="85">
        <v>2032</v>
      </c>
      <c r="C2596" s="85">
        <v>2</v>
      </c>
      <c r="D2596" s="85" t="s">
        <v>58</v>
      </c>
      <c r="E2596" s="85">
        <v>3</v>
      </c>
      <c r="F2596" s="85">
        <v>2</v>
      </c>
      <c r="G2596" s="85">
        <f>--(F2596&lt;=Estimator!$B$7)</f>
        <v>1</v>
      </c>
      <c r="H2596" s="86">
        <f>SUMIFS('Climate Data'!$G$7:$G$366,'Climate Data'!$A$7:$A$366,Estimator!$B$4,'Climate Data'!$B$7:$B$366,C2596)</f>
        <v>0.18867924528301885</v>
      </c>
      <c r="I2596" s="87">
        <f>SUMIFS('Climate Data'!$H$7:$H$366,'Climate Data'!$A$7:$A$366,Estimator!$B$4,'Climate Data'!$B$7:$B$366,C2596)</f>
        <v>7.4624999999999995</v>
      </c>
      <c r="J2596" s="86">
        <f>SUMIFS('Wind Proxy'!$H$8:$H$19,'Wind Proxy'!$A$8:$A$19,Estimator!$B$4,'Wind Proxy'!$B$8:$B$19,C2596)</f>
        <v>0</v>
      </c>
    </row>
    <row r="2597" spans="1:10" ht="14.4">
      <c r="A2597" s="84">
        <v>48248</v>
      </c>
      <c r="B2597" s="85">
        <v>2032</v>
      </c>
      <c r="C2597" s="85">
        <v>2</v>
      </c>
      <c r="D2597" s="85" t="s">
        <v>58</v>
      </c>
      <c r="E2597" s="85">
        <v>4</v>
      </c>
      <c r="F2597" s="85">
        <v>3</v>
      </c>
      <c r="G2597" s="85">
        <f>--(F2597&lt;=Estimator!$B$7)</f>
        <v>1</v>
      </c>
      <c r="H2597" s="86">
        <f>SUMIFS('Climate Data'!$G$7:$G$366,'Climate Data'!$A$7:$A$366,Estimator!$B$4,'Climate Data'!$B$7:$B$366,C2597)</f>
        <v>0.18867924528301885</v>
      </c>
      <c r="I2597" s="87">
        <f>SUMIFS('Climate Data'!$H$7:$H$366,'Climate Data'!$A$7:$A$366,Estimator!$B$4,'Climate Data'!$B$7:$B$366,C2597)</f>
        <v>7.4624999999999995</v>
      </c>
      <c r="J2597" s="86">
        <f>SUMIFS('Wind Proxy'!$H$8:$H$19,'Wind Proxy'!$A$8:$A$19,Estimator!$B$4,'Wind Proxy'!$B$8:$B$19,C2597)</f>
        <v>0</v>
      </c>
    </row>
    <row r="2598" spans="1:10" ht="14.4">
      <c r="A2598" s="84">
        <v>48249</v>
      </c>
      <c r="B2598" s="85">
        <v>2032</v>
      </c>
      <c r="C2598" s="85">
        <v>2</v>
      </c>
      <c r="D2598" s="85" t="s">
        <v>58</v>
      </c>
      <c r="E2598" s="85">
        <v>5</v>
      </c>
      <c r="F2598" s="85">
        <v>4</v>
      </c>
      <c r="G2598" s="85">
        <f>--(F2598&lt;=Estimator!$B$7)</f>
        <v>1</v>
      </c>
      <c r="H2598" s="86">
        <f>SUMIFS('Climate Data'!$G$7:$G$366,'Climate Data'!$A$7:$A$366,Estimator!$B$4,'Climate Data'!$B$7:$B$366,C2598)</f>
        <v>0.18867924528301885</v>
      </c>
      <c r="I2598" s="87">
        <f>SUMIFS('Climate Data'!$H$7:$H$366,'Climate Data'!$A$7:$A$366,Estimator!$B$4,'Climate Data'!$B$7:$B$366,C2598)</f>
        <v>7.4624999999999995</v>
      </c>
      <c r="J2598" s="86">
        <f>SUMIFS('Wind Proxy'!$H$8:$H$19,'Wind Proxy'!$A$8:$A$19,Estimator!$B$4,'Wind Proxy'!$B$8:$B$19,C2598)</f>
        <v>0</v>
      </c>
    </row>
    <row r="2599" spans="1:10" ht="14.4">
      <c r="A2599" s="84">
        <v>48250</v>
      </c>
      <c r="B2599" s="85">
        <v>2032</v>
      </c>
      <c r="C2599" s="85">
        <v>2</v>
      </c>
      <c r="D2599" s="85" t="s">
        <v>58</v>
      </c>
      <c r="E2599" s="85">
        <v>6</v>
      </c>
      <c r="F2599" s="85">
        <v>5</v>
      </c>
      <c r="G2599" s="85">
        <f>--(F2599&lt;=Estimator!$B$7)</f>
        <v>1</v>
      </c>
      <c r="H2599" s="86">
        <f>SUMIFS('Climate Data'!$G$7:$G$366,'Climate Data'!$A$7:$A$366,Estimator!$B$4,'Climate Data'!$B$7:$B$366,C2599)</f>
        <v>0.18867924528301885</v>
      </c>
      <c r="I2599" s="87">
        <f>SUMIFS('Climate Data'!$H$7:$H$366,'Climate Data'!$A$7:$A$366,Estimator!$B$4,'Climate Data'!$B$7:$B$366,C2599)</f>
        <v>7.4624999999999995</v>
      </c>
      <c r="J2599" s="86">
        <f>SUMIFS('Wind Proxy'!$H$8:$H$19,'Wind Proxy'!$A$8:$A$19,Estimator!$B$4,'Wind Proxy'!$B$8:$B$19,C2599)</f>
        <v>0</v>
      </c>
    </row>
    <row r="2600" spans="1:10" ht="14.4">
      <c r="A2600" s="84">
        <v>48251</v>
      </c>
      <c r="B2600" s="85">
        <v>2032</v>
      </c>
      <c r="C2600" s="85">
        <v>2</v>
      </c>
      <c r="D2600" s="85" t="s">
        <v>58</v>
      </c>
      <c r="E2600" s="85">
        <v>7</v>
      </c>
      <c r="F2600" s="85">
        <v>6</v>
      </c>
      <c r="G2600" s="85">
        <f>--(F2600&lt;=Estimator!$B$7)</f>
        <v>0</v>
      </c>
      <c r="H2600" s="86">
        <f>SUMIFS('Climate Data'!$G$7:$G$366,'Climate Data'!$A$7:$A$366,Estimator!$B$4,'Climate Data'!$B$7:$B$366,C2600)</f>
        <v>0.18867924528301885</v>
      </c>
      <c r="I2600" s="87">
        <f>SUMIFS('Climate Data'!$H$7:$H$366,'Climate Data'!$A$7:$A$366,Estimator!$B$4,'Climate Data'!$B$7:$B$366,C2600)</f>
        <v>7.4624999999999995</v>
      </c>
      <c r="J2600" s="86">
        <f>SUMIFS('Wind Proxy'!$H$8:$H$19,'Wind Proxy'!$A$8:$A$19,Estimator!$B$4,'Wind Proxy'!$B$8:$B$19,C2600)</f>
        <v>0</v>
      </c>
    </row>
    <row r="2601" spans="1:10" ht="14.4">
      <c r="A2601" s="84">
        <v>48252</v>
      </c>
      <c r="B2601" s="85">
        <v>2032</v>
      </c>
      <c r="C2601" s="85">
        <v>2</v>
      </c>
      <c r="D2601" s="85" t="s">
        <v>58</v>
      </c>
      <c r="E2601" s="85">
        <v>8</v>
      </c>
      <c r="F2601" s="85">
        <v>7</v>
      </c>
      <c r="G2601" s="85">
        <f>--(F2601&lt;=Estimator!$B$7)</f>
        <v>0</v>
      </c>
      <c r="H2601" s="86">
        <f>SUMIFS('Climate Data'!$G$7:$G$366,'Climate Data'!$A$7:$A$366,Estimator!$B$4,'Climate Data'!$B$7:$B$366,C2601)</f>
        <v>0.18867924528301885</v>
      </c>
      <c r="I2601" s="87">
        <f>SUMIFS('Climate Data'!$H$7:$H$366,'Climate Data'!$A$7:$A$366,Estimator!$B$4,'Climate Data'!$B$7:$B$366,C2601)</f>
        <v>7.4624999999999995</v>
      </c>
      <c r="J2601" s="86">
        <f>SUMIFS('Wind Proxy'!$H$8:$H$19,'Wind Proxy'!$A$8:$A$19,Estimator!$B$4,'Wind Proxy'!$B$8:$B$19,C2601)</f>
        <v>0</v>
      </c>
    </row>
    <row r="2602" spans="1:10" ht="14.4">
      <c r="A2602" s="84">
        <v>48253</v>
      </c>
      <c r="B2602" s="85">
        <v>2032</v>
      </c>
      <c r="C2602" s="85">
        <v>2</v>
      </c>
      <c r="D2602" s="85" t="s">
        <v>58</v>
      </c>
      <c r="E2602" s="85">
        <v>9</v>
      </c>
      <c r="F2602" s="85">
        <v>1</v>
      </c>
      <c r="G2602" s="85">
        <f>--(F2602&lt;=Estimator!$B$7)</f>
        <v>1</v>
      </c>
      <c r="H2602" s="86">
        <f>SUMIFS('Climate Data'!$G$7:$G$366,'Climate Data'!$A$7:$A$366,Estimator!$B$4,'Climate Data'!$B$7:$B$366,C2602)</f>
        <v>0.18867924528301885</v>
      </c>
      <c r="I2602" s="87">
        <f>SUMIFS('Climate Data'!$H$7:$H$366,'Climate Data'!$A$7:$A$366,Estimator!$B$4,'Climate Data'!$B$7:$B$366,C2602)</f>
        <v>7.4624999999999995</v>
      </c>
      <c r="J2602" s="86">
        <f>SUMIFS('Wind Proxy'!$H$8:$H$19,'Wind Proxy'!$A$8:$A$19,Estimator!$B$4,'Wind Proxy'!$B$8:$B$19,C2602)</f>
        <v>0</v>
      </c>
    </row>
    <row r="2603" spans="1:10" ht="14.4">
      <c r="A2603" s="84">
        <v>48254</v>
      </c>
      <c r="B2603" s="85">
        <v>2032</v>
      </c>
      <c r="C2603" s="85">
        <v>2</v>
      </c>
      <c r="D2603" s="85" t="s">
        <v>58</v>
      </c>
      <c r="E2603" s="85">
        <v>10</v>
      </c>
      <c r="F2603" s="85">
        <v>2</v>
      </c>
      <c r="G2603" s="85">
        <f>--(F2603&lt;=Estimator!$B$7)</f>
        <v>1</v>
      </c>
      <c r="H2603" s="86">
        <f>SUMIFS('Climate Data'!$G$7:$G$366,'Climate Data'!$A$7:$A$366,Estimator!$B$4,'Climate Data'!$B$7:$B$366,C2603)</f>
        <v>0.18867924528301885</v>
      </c>
      <c r="I2603" s="87">
        <f>SUMIFS('Climate Data'!$H$7:$H$366,'Climate Data'!$A$7:$A$366,Estimator!$B$4,'Climate Data'!$B$7:$B$366,C2603)</f>
        <v>7.4624999999999995</v>
      </c>
      <c r="J2603" s="86">
        <f>SUMIFS('Wind Proxy'!$H$8:$H$19,'Wind Proxy'!$A$8:$A$19,Estimator!$B$4,'Wind Proxy'!$B$8:$B$19,C2603)</f>
        <v>0</v>
      </c>
    </row>
    <row r="2604" spans="1:10" ht="14.4">
      <c r="A2604" s="84">
        <v>48255</v>
      </c>
      <c r="B2604" s="85">
        <v>2032</v>
      </c>
      <c r="C2604" s="85">
        <v>2</v>
      </c>
      <c r="D2604" s="85" t="s">
        <v>58</v>
      </c>
      <c r="E2604" s="85">
        <v>11</v>
      </c>
      <c r="F2604" s="85">
        <v>3</v>
      </c>
      <c r="G2604" s="85">
        <f>--(F2604&lt;=Estimator!$B$7)</f>
        <v>1</v>
      </c>
      <c r="H2604" s="86">
        <f>SUMIFS('Climate Data'!$G$7:$G$366,'Climate Data'!$A$7:$A$366,Estimator!$B$4,'Climate Data'!$B$7:$B$366,C2604)</f>
        <v>0.18867924528301885</v>
      </c>
      <c r="I2604" s="87">
        <f>SUMIFS('Climate Data'!$H$7:$H$366,'Climate Data'!$A$7:$A$366,Estimator!$B$4,'Climate Data'!$B$7:$B$366,C2604)</f>
        <v>7.4624999999999995</v>
      </c>
      <c r="J2604" s="86">
        <f>SUMIFS('Wind Proxy'!$H$8:$H$19,'Wind Proxy'!$A$8:$A$19,Estimator!$B$4,'Wind Proxy'!$B$8:$B$19,C2604)</f>
        <v>0</v>
      </c>
    </row>
    <row r="2605" spans="1:10" ht="14.4">
      <c r="A2605" s="84">
        <v>48256</v>
      </c>
      <c r="B2605" s="85">
        <v>2032</v>
      </c>
      <c r="C2605" s="85">
        <v>2</v>
      </c>
      <c r="D2605" s="85" t="s">
        <v>58</v>
      </c>
      <c r="E2605" s="85">
        <v>12</v>
      </c>
      <c r="F2605" s="85">
        <v>4</v>
      </c>
      <c r="G2605" s="85">
        <f>--(F2605&lt;=Estimator!$B$7)</f>
        <v>1</v>
      </c>
      <c r="H2605" s="86">
        <f>SUMIFS('Climate Data'!$G$7:$G$366,'Climate Data'!$A$7:$A$366,Estimator!$B$4,'Climate Data'!$B$7:$B$366,C2605)</f>
        <v>0.18867924528301885</v>
      </c>
      <c r="I2605" s="87">
        <f>SUMIFS('Climate Data'!$H$7:$H$366,'Climate Data'!$A$7:$A$366,Estimator!$B$4,'Climate Data'!$B$7:$B$366,C2605)</f>
        <v>7.4624999999999995</v>
      </c>
      <c r="J2605" s="86">
        <f>SUMIFS('Wind Proxy'!$H$8:$H$19,'Wind Proxy'!$A$8:$A$19,Estimator!$B$4,'Wind Proxy'!$B$8:$B$19,C2605)</f>
        <v>0</v>
      </c>
    </row>
    <row r="2606" spans="1:10" ht="14.4">
      <c r="A2606" s="84">
        <v>48257</v>
      </c>
      <c r="B2606" s="85">
        <v>2032</v>
      </c>
      <c r="C2606" s="85">
        <v>2</v>
      </c>
      <c r="D2606" s="85" t="s">
        <v>58</v>
      </c>
      <c r="E2606" s="85">
        <v>13</v>
      </c>
      <c r="F2606" s="85">
        <v>5</v>
      </c>
      <c r="G2606" s="85">
        <f>--(F2606&lt;=Estimator!$B$7)</f>
        <v>1</v>
      </c>
      <c r="H2606" s="86">
        <f>SUMIFS('Climate Data'!$G$7:$G$366,'Climate Data'!$A$7:$A$366,Estimator!$B$4,'Climate Data'!$B$7:$B$366,C2606)</f>
        <v>0.18867924528301885</v>
      </c>
      <c r="I2606" s="87">
        <f>SUMIFS('Climate Data'!$H$7:$H$366,'Climate Data'!$A$7:$A$366,Estimator!$B$4,'Climate Data'!$B$7:$B$366,C2606)</f>
        <v>7.4624999999999995</v>
      </c>
      <c r="J2606" s="86">
        <f>SUMIFS('Wind Proxy'!$H$8:$H$19,'Wind Proxy'!$A$8:$A$19,Estimator!$B$4,'Wind Proxy'!$B$8:$B$19,C2606)</f>
        <v>0</v>
      </c>
    </row>
    <row r="2607" spans="1:10" ht="14.4">
      <c r="A2607" s="84">
        <v>48258</v>
      </c>
      <c r="B2607" s="85">
        <v>2032</v>
      </c>
      <c r="C2607" s="85">
        <v>2</v>
      </c>
      <c r="D2607" s="85" t="s">
        <v>58</v>
      </c>
      <c r="E2607" s="85">
        <v>14</v>
      </c>
      <c r="F2607" s="85">
        <v>6</v>
      </c>
      <c r="G2607" s="85">
        <f>--(F2607&lt;=Estimator!$B$7)</f>
        <v>0</v>
      </c>
      <c r="H2607" s="86">
        <f>SUMIFS('Climate Data'!$G$7:$G$366,'Climate Data'!$A$7:$A$366,Estimator!$B$4,'Climate Data'!$B$7:$B$366,C2607)</f>
        <v>0.18867924528301885</v>
      </c>
      <c r="I2607" s="87">
        <f>SUMIFS('Climate Data'!$H$7:$H$366,'Climate Data'!$A$7:$A$366,Estimator!$B$4,'Climate Data'!$B$7:$B$366,C2607)</f>
        <v>7.4624999999999995</v>
      </c>
      <c r="J2607" s="86">
        <f>SUMIFS('Wind Proxy'!$H$8:$H$19,'Wind Proxy'!$A$8:$A$19,Estimator!$B$4,'Wind Proxy'!$B$8:$B$19,C2607)</f>
        <v>0</v>
      </c>
    </row>
    <row r="2608" spans="1:10" ht="14.4">
      <c r="A2608" s="84">
        <v>48259</v>
      </c>
      <c r="B2608" s="85">
        <v>2032</v>
      </c>
      <c r="C2608" s="85">
        <v>2</v>
      </c>
      <c r="D2608" s="85" t="s">
        <v>58</v>
      </c>
      <c r="E2608" s="85">
        <v>15</v>
      </c>
      <c r="F2608" s="85">
        <v>7</v>
      </c>
      <c r="G2608" s="85">
        <f>--(F2608&lt;=Estimator!$B$7)</f>
        <v>0</v>
      </c>
      <c r="H2608" s="86">
        <f>SUMIFS('Climate Data'!$G$7:$G$366,'Climate Data'!$A$7:$A$366,Estimator!$B$4,'Climate Data'!$B$7:$B$366,C2608)</f>
        <v>0.18867924528301885</v>
      </c>
      <c r="I2608" s="87">
        <f>SUMIFS('Climate Data'!$H$7:$H$366,'Climate Data'!$A$7:$A$366,Estimator!$B$4,'Climate Data'!$B$7:$B$366,C2608)</f>
        <v>7.4624999999999995</v>
      </c>
      <c r="J2608" s="86">
        <f>SUMIFS('Wind Proxy'!$H$8:$H$19,'Wind Proxy'!$A$8:$A$19,Estimator!$B$4,'Wind Proxy'!$B$8:$B$19,C2608)</f>
        <v>0</v>
      </c>
    </row>
    <row r="2609" spans="1:10" ht="14.4">
      <c r="A2609" s="84">
        <v>48260</v>
      </c>
      <c r="B2609" s="85">
        <v>2032</v>
      </c>
      <c r="C2609" s="85">
        <v>2</v>
      </c>
      <c r="D2609" s="85" t="s">
        <v>58</v>
      </c>
      <c r="E2609" s="85">
        <v>16</v>
      </c>
      <c r="F2609" s="85">
        <v>1</v>
      </c>
      <c r="G2609" s="85">
        <f>--(F2609&lt;=Estimator!$B$7)</f>
        <v>1</v>
      </c>
      <c r="H2609" s="86">
        <f>SUMIFS('Climate Data'!$G$7:$G$366,'Climate Data'!$A$7:$A$366,Estimator!$B$4,'Climate Data'!$B$7:$B$366,C2609)</f>
        <v>0.18867924528301885</v>
      </c>
      <c r="I2609" s="87">
        <f>SUMIFS('Climate Data'!$H$7:$H$366,'Climate Data'!$A$7:$A$366,Estimator!$B$4,'Climate Data'!$B$7:$B$366,C2609)</f>
        <v>7.4624999999999995</v>
      </c>
      <c r="J2609" s="86">
        <f>SUMIFS('Wind Proxy'!$H$8:$H$19,'Wind Proxy'!$A$8:$A$19,Estimator!$B$4,'Wind Proxy'!$B$8:$B$19,C2609)</f>
        <v>0</v>
      </c>
    </row>
    <row r="2610" spans="1:10" ht="14.4">
      <c r="A2610" s="84">
        <v>48261</v>
      </c>
      <c r="B2610" s="85">
        <v>2032</v>
      </c>
      <c r="C2610" s="85">
        <v>2</v>
      </c>
      <c r="D2610" s="85" t="s">
        <v>58</v>
      </c>
      <c r="E2610" s="85">
        <v>17</v>
      </c>
      <c r="F2610" s="85">
        <v>2</v>
      </c>
      <c r="G2610" s="85">
        <f>--(F2610&lt;=Estimator!$B$7)</f>
        <v>1</v>
      </c>
      <c r="H2610" s="86">
        <f>SUMIFS('Climate Data'!$G$7:$G$366,'Climate Data'!$A$7:$A$366,Estimator!$B$4,'Climate Data'!$B$7:$B$366,C2610)</f>
        <v>0.18867924528301885</v>
      </c>
      <c r="I2610" s="87">
        <f>SUMIFS('Climate Data'!$H$7:$H$366,'Climate Data'!$A$7:$A$366,Estimator!$B$4,'Climate Data'!$B$7:$B$366,C2610)</f>
        <v>7.4624999999999995</v>
      </c>
      <c r="J2610" s="86">
        <f>SUMIFS('Wind Proxy'!$H$8:$H$19,'Wind Proxy'!$A$8:$A$19,Estimator!$B$4,'Wind Proxy'!$B$8:$B$19,C2610)</f>
        <v>0</v>
      </c>
    </row>
    <row r="2611" spans="1:10" ht="14.4">
      <c r="A2611" s="84">
        <v>48262</v>
      </c>
      <c r="B2611" s="85">
        <v>2032</v>
      </c>
      <c r="C2611" s="85">
        <v>2</v>
      </c>
      <c r="D2611" s="85" t="s">
        <v>58</v>
      </c>
      <c r="E2611" s="85">
        <v>18</v>
      </c>
      <c r="F2611" s="85">
        <v>3</v>
      </c>
      <c r="G2611" s="85">
        <f>--(F2611&lt;=Estimator!$B$7)</f>
        <v>1</v>
      </c>
      <c r="H2611" s="86">
        <f>SUMIFS('Climate Data'!$G$7:$G$366,'Climate Data'!$A$7:$A$366,Estimator!$B$4,'Climate Data'!$B$7:$B$366,C2611)</f>
        <v>0.18867924528301885</v>
      </c>
      <c r="I2611" s="87">
        <f>SUMIFS('Climate Data'!$H$7:$H$366,'Climate Data'!$A$7:$A$366,Estimator!$B$4,'Climate Data'!$B$7:$B$366,C2611)</f>
        <v>7.4624999999999995</v>
      </c>
      <c r="J2611" s="86">
        <f>SUMIFS('Wind Proxy'!$H$8:$H$19,'Wind Proxy'!$A$8:$A$19,Estimator!$B$4,'Wind Proxy'!$B$8:$B$19,C2611)</f>
        <v>0</v>
      </c>
    </row>
    <row r="2612" spans="1:10" ht="14.4">
      <c r="A2612" s="84">
        <v>48263</v>
      </c>
      <c r="B2612" s="85">
        <v>2032</v>
      </c>
      <c r="C2612" s="85">
        <v>2</v>
      </c>
      <c r="D2612" s="85" t="s">
        <v>58</v>
      </c>
      <c r="E2612" s="85">
        <v>19</v>
      </c>
      <c r="F2612" s="85">
        <v>4</v>
      </c>
      <c r="G2612" s="85">
        <f>--(F2612&lt;=Estimator!$B$7)</f>
        <v>1</v>
      </c>
      <c r="H2612" s="86">
        <f>SUMIFS('Climate Data'!$G$7:$G$366,'Climate Data'!$A$7:$A$366,Estimator!$B$4,'Climate Data'!$B$7:$B$366,C2612)</f>
        <v>0.18867924528301885</v>
      </c>
      <c r="I2612" s="87">
        <f>SUMIFS('Climate Data'!$H$7:$H$366,'Climate Data'!$A$7:$A$366,Estimator!$B$4,'Climate Data'!$B$7:$B$366,C2612)</f>
        <v>7.4624999999999995</v>
      </c>
      <c r="J2612" s="86">
        <f>SUMIFS('Wind Proxy'!$H$8:$H$19,'Wind Proxy'!$A$8:$A$19,Estimator!$B$4,'Wind Proxy'!$B$8:$B$19,C2612)</f>
        <v>0</v>
      </c>
    </row>
    <row r="2613" spans="1:10" ht="14.4">
      <c r="A2613" s="84">
        <v>48264</v>
      </c>
      <c r="B2613" s="85">
        <v>2032</v>
      </c>
      <c r="C2613" s="85">
        <v>2</v>
      </c>
      <c r="D2613" s="85" t="s">
        <v>58</v>
      </c>
      <c r="E2613" s="85">
        <v>20</v>
      </c>
      <c r="F2613" s="85">
        <v>5</v>
      </c>
      <c r="G2613" s="85">
        <f>--(F2613&lt;=Estimator!$B$7)</f>
        <v>1</v>
      </c>
      <c r="H2613" s="86">
        <f>SUMIFS('Climate Data'!$G$7:$G$366,'Climate Data'!$A$7:$A$366,Estimator!$B$4,'Climate Data'!$B$7:$B$366,C2613)</f>
        <v>0.18867924528301885</v>
      </c>
      <c r="I2613" s="87">
        <f>SUMIFS('Climate Data'!$H$7:$H$366,'Climate Data'!$A$7:$A$366,Estimator!$B$4,'Climate Data'!$B$7:$B$366,C2613)</f>
        <v>7.4624999999999995</v>
      </c>
      <c r="J2613" s="86">
        <f>SUMIFS('Wind Proxy'!$H$8:$H$19,'Wind Proxy'!$A$8:$A$19,Estimator!$B$4,'Wind Proxy'!$B$8:$B$19,C2613)</f>
        <v>0</v>
      </c>
    </row>
    <row r="2614" spans="1:10" ht="14.4">
      <c r="A2614" s="84">
        <v>48265</v>
      </c>
      <c r="B2614" s="85">
        <v>2032</v>
      </c>
      <c r="C2614" s="85">
        <v>2</v>
      </c>
      <c r="D2614" s="85" t="s">
        <v>58</v>
      </c>
      <c r="E2614" s="85">
        <v>21</v>
      </c>
      <c r="F2614" s="85">
        <v>6</v>
      </c>
      <c r="G2614" s="85">
        <f>--(F2614&lt;=Estimator!$B$7)</f>
        <v>0</v>
      </c>
      <c r="H2614" s="86">
        <f>SUMIFS('Climate Data'!$G$7:$G$366,'Climate Data'!$A$7:$A$366,Estimator!$B$4,'Climate Data'!$B$7:$B$366,C2614)</f>
        <v>0.18867924528301885</v>
      </c>
      <c r="I2614" s="87">
        <f>SUMIFS('Climate Data'!$H$7:$H$366,'Climate Data'!$A$7:$A$366,Estimator!$B$4,'Climate Data'!$B$7:$B$366,C2614)</f>
        <v>7.4624999999999995</v>
      </c>
      <c r="J2614" s="86">
        <f>SUMIFS('Wind Proxy'!$H$8:$H$19,'Wind Proxy'!$A$8:$A$19,Estimator!$B$4,'Wind Proxy'!$B$8:$B$19,C2614)</f>
        <v>0</v>
      </c>
    </row>
    <row r="2615" spans="1:10" ht="14.4">
      <c r="A2615" s="84">
        <v>48266</v>
      </c>
      <c r="B2615" s="85">
        <v>2032</v>
      </c>
      <c r="C2615" s="85">
        <v>2</v>
      </c>
      <c r="D2615" s="85" t="s">
        <v>58</v>
      </c>
      <c r="E2615" s="85">
        <v>22</v>
      </c>
      <c r="F2615" s="85">
        <v>7</v>
      </c>
      <c r="G2615" s="85">
        <f>--(F2615&lt;=Estimator!$B$7)</f>
        <v>0</v>
      </c>
      <c r="H2615" s="86">
        <f>SUMIFS('Climate Data'!$G$7:$G$366,'Climate Data'!$A$7:$A$366,Estimator!$B$4,'Climate Data'!$B$7:$B$366,C2615)</f>
        <v>0.18867924528301885</v>
      </c>
      <c r="I2615" s="87">
        <f>SUMIFS('Climate Data'!$H$7:$H$366,'Climate Data'!$A$7:$A$366,Estimator!$B$4,'Climate Data'!$B$7:$B$366,C2615)</f>
        <v>7.4624999999999995</v>
      </c>
      <c r="J2615" s="86">
        <f>SUMIFS('Wind Proxy'!$H$8:$H$19,'Wind Proxy'!$A$8:$A$19,Estimator!$B$4,'Wind Proxy'!$B$8:$B$19,C2615)</f>
        <v>0</v>
      </c>
    </row>
    <row r="2616" spans="1:10" ht="14.4">
      <c r="A2616" s="84">
        <v>48267</v>
      </c>
      <c r="B2616" s="85">
        <v>2032</v>
      </c>
      <c r="C2616" s="85">
        <v>2</v>
      </c>
      <c r="D2616" s="85" t="s">
        <v>58</v>
      </c>
      <c r="E2616" s="85">
        <v>23</v>
      </c>
      <c r="F2616" s="85">
        <v>1</v>
      </c>
      <c r="G2616" s="85">
        <f>--(F2616&lt;=Estimator!$B$7)</f>
        <v>1</v>
      </c>
      <c r="H2616" s="86">
        <f>SUMIFS('Climate Data'!$G$7:$G$366,'Climate Data'!$A$7:$A$366,Estimator!$B$4,'Climate Data'!$B$7:$B$366,C2616)</f>
        <v>0.18867924528301885</v>
      </c>
      <c r="I2616" s="87">
        <f>SUMIFS('Climate Data'!$H$7:$H$366,'Climate Data'!$A$7:$A$366,Estimator!$B$4,'Climate Data'!$B$7:$B$366,C2616)</f>
        <v>7.4624999999999995</v>
      </c>
      <c r="J2616" s="86">
        <f>SUMIFS('Wind Proxy'!$H$8:$H$19,'Wind Proxy'!$A$8:$A$19,Estimator!$B$4,'Wind Proxy'!$B$8:$B$19,C2616)</f>
        <v>0</v>
      </c>
    </row>
    <row r="2617" spans="1:10" ht="14.4">
      <c r="A2617" s="84">
        <v>48268</v>
      </c>
      <c r="B2617" s="85">
        <v>2032</v>
      </c>
      <c r="C2617" s="85">
        <v>2</v>
      </c>
      <c r="D2617" s="85" t="s">
        <v>58</v>
      </c>
      <c r="E2617" s="85">
        <v>24</v>
      </c>
      <c r="F2617" s="85">
        <v>2</v>
      </c>
      <c r="G2617" s="85">
        <f>--(F2617&lt;=Estimator!$B$7)</f>
        <v>1</v>
      </c>
      <c r="H2617" s="86">
        <f>SUMIFS('Climate Data'!$G$7:$G$366,'Climate Data'!$A$7:$A$366,Estimator!$B$4,'Climate Data'!$B$7:$B$366,C2617)</f>
        <v>0.18867924528301885</v>
      </c>
      <c r="I2617" s="87">
        <f>SUMIFS('Climate Data'!$H$7:$H$366,'Climate Data'!$A$7:$A$366,Estimator!$B$4,'Climate Data'!$B$7:$B$366,C2617)</f>
        <v>7.4624999999999995</v>
      </c>
      <c r="J2617" s="86">
        <f>SUMIFS('Wind Proxy'!$H$8:$H$19,'Wind Proxy'!$A$8:$A$19,Estimator!$B$4,'Wind Proxy'!$B$8:$B$19,C2617)</f>
        <v>0</v>
      </c>
    </row>
    <row r="2618" spans="1:10" ht="14.4">
      <c r="A2618" s="84">
        <v>48269</v>
      </c>
      <c r="B2618" s="85">
        <v>2032</v>
      </c>
      <c r="C2618" s="85">
        <v>2</v>
      </c>
      <c r="D2618" s="85" t="s">
        <v>58</v>
      </c>
      <c r="E2618" s="85">
        <v>25</v>
      </c>
      <c r="F2618" s="85">
        <v>3</v>
      </c>
      <c r="G2618" s="85">
        <f>--(F2618&lt;=Estimator!$B$7)</f>
        <v>1</v>
      </c>
      <c r="H2618" s="86">
        <f>SUMIFS('Climate Data'!$G$7:$G$366,'Climate Data'!$A$7:$A$366,Estimator!$B$4,'Climate Data'!$B$7:$B$366,C2618)</f>
        <v>0.18867924528301885</v>
      </c>
      <c r="I2618" s="87">
        <f>SUMIFS('Climate Data'!$H$7:$H$366,'Climate Data'!$A$7:$A$366,Estimator!$B$4,'Climate Data'!$B$7:$B$366,C2618)</f>
        <v>7.4624999999999995</v>
      </c>
      <c r="J2618" s="86">
        <f>SUMIFS('Wind Proxy'!$H$8:$H$19,'Wind Proxy'!$A$8:$A$19,Estimator!$B$4,'Wind Proxy'!$B$8:$B$19,C2618)</f>
        <v>0</v>
      </c>
    </row>
    <row r="2619" spans="1:10" ht="14.4">
      <c r="A2619" s="84">
        <v>48270</v>
      </c>
      <c r="B2619" s="85">
        <v>2032</v>
      </c>
      <c r="C2619" s="85">
        <v>2</v>
      </c>
      <c r="D2619" s="85" t="s">
        <v>58</v>
      </c>
      <c r="E2619" s="85">
        <v>26</v>
      </c>
      <c r="F2619" s="85">
        <v>4</v>
      </c>
      <c r="G2619" s="85">
        <f>--(F2619&lt;=Estimator!$B$7)</f>
        <v>1</v>
      </c>
      <c r="H2619" s="86">
        <f>SUMIFS('Climate Data'!$G$7:$G$366,'Climate Data'!$A$7:$A$366,Estimator!$B$4,'Climate Data'!$B$7:$B$366,C2619)</f>
        <v>0.18867924528301885</v>
      </c>
      <c r="I2619" s="87">
        <f>SUMIFS('Climate Data'!$H$7:$H$366,'Climate Data'!$A$7:$A$366,Estimator!$B$4,'Climate Data'!$B$7:$B$366,C2619)</f>
        <v>7.4624999999999995</v>
      </c>
      <c r="J2619" s="86">
        <f>SUMIFS('Wind Proxy'!$H$8:$H$19,'Wind Proxy'!$A$8:$A$19,Estimator!$B$4,'Wind Proxy'!$B$8:$B$19,C2619)</f>
        <v>0</v>
      </c>
    </row>
    <row r="2620" spans="1:10" ht="14.4">
      <c r="A2620" s="84">
        <v>48271</v>
      </c>
      <c r="B2620" s="85">
        <v>2032</v>
      </c>
      <c r="C2620" s="85">
        <v>2</v>
      </c>
      <c r="D2620" s="85" t="s">
        <v>58</v>
      </c>
      <c r="E2620" s="85">
        <v>27</v>
      </c>
      <c r="F2620" s="85">
        <v>5</v>
      </c>
      <c r="G2620" s="85">
        <f>--(F2620&lt;=Estimator!$B$7)</f>
        <v>1</v>
      </c>
      <c r="H2620" s="86">
        <f>SUMIFS('Climate Data'!$G$7:$G$366,'Climate Data'!$A$7:$A$366,Estimator!$B$4,'Climate Data'!$B$7:$B$366,C2620)</f>
        <v>0.18867924528301885</v>
      </c>
      <c r="I2620" s="87">
        <f>SUMIFS('Climate Data'!$H$7:$H$366,'Climate Data'!$A$7:$A$366,Estimator!$B$4,'Climate Data'!$B$7:$B$366,C2620)</f>
        <v>7.4624999999999995</v>
      </c>
      <c r="J2620" s="86">
        <f>SUMIFS('Wind Proxy'!$H$8:$H$19,'Wind Proxy'!$A$8:$A$19,Estimator!$B$4,'Wind Proxy'!$B$8:$B$19,C2620)</f>
        <v>0</v>
      </c>
    </row>
    <row r="2621" spans="1:10" ht="14.4">
      <c r="A2621" s="84">
        <v>48272</v>
      </c>
      <c r="B2621" s="85">
        <v>2032</v>
      </c>
      <c r="C2621" s="85">
        <v>2</v>
      </c>
      <c r="D2621" s="85" t="s">
        <v>58</v>
      </c>
      <c r="E2621" s="85">
        <v>28</v>
      </c>
      <c r="F2621" s="85">
        <v>6</v>
      </c>
      <c r="G2621" s="85">
        <f>--(F2621&lt;=Estimator!$B$7)</f>
        <v>0</v>
      </c>
      <c r="H2621" s="86">
        <f>SUMIFS('Climate Data'!$G$7:$G$366,'Climate Data'!$A$7:$A$366,Estimator!$B$4,'Climate Data'!$B$7:$B$366,C2621)</f>
        <v>0.18867924528301885</v>
      </c>
      <c r="I2621" s="87">
        <f>SUMIFS('Climate Data'!$H$7:$H$366,'Climate Data'!$A$7:$A$366,Estimator!$B$4,'Climate Data'!$B$7:$B$366,C2621)</f>
        <v>7.4624999999999995</v>
      </c>
      <c r="J2621" s="86">
        <f>SUMIFS('Wind Proxy'!$H$8:$H$19,'Wind Proxy'!$A$8:$A$19,Estimator!$B$4,'Wind Proxy'!$B$8:$B$19,C2621)</f>
        <v>0</v>
      </c>
    </row>
    <row r="2622" spans="1:10" ht="14.4">
      <c r="A2622" s="84">
        <v>48273</v>
      </c>
      <c r="B2622" s="85">
        <v>2032</v>
      </c>
      <c r="C2622" s="85">
        <v>2</v>
      </c>
      <c r="D2622" s="85" t="s">
        <v>58</v>
      </c>
      <c r="E2622" s="85">
        <v>29</v>
      </c>
      <c r="F2622" s="85">
        <v>7</v>
      </c>
      <c r="G2622" s="85">
        <f>--(F2622&lt;=Estimator!$B$7)</f>
        <v>0</v>
      </c>
      <c r="H2622" s="86">
        <f>SUMIFS('Climate Data'!$G$7:$G$366,'Climate Data'!$A$7:$A$366,Estimator!$B$4,'Climate Data'!$B$7:$B$366,C2622)</f>
        <v>0.18867924528301885</v>
      </c>
      <c r="I2622" s="87">
        <f>SUMIFS('Climate Data'!$H$7:$H$366,'Climate Data'!$A$7:$A$366,Estimator!$B$4,'Climate Data'!$B$7:$B$366,C2622)</f>
        <v>7.4624999999999995</v>
      </c>
      <c r="J2622" s="86">
        <f>SUMIFS('Wind Proxy'!$H$8:$H$19,'Wind Proxy'!$A$8:$A$19,Estimator!$B$4,'Wind Proxy'!$B$8:$B$19,C2622)</f>
        <v>0</v>
      </c>
    </row>
    <row r="2623" spans="1:10" ht="14.4">
      <c r="A2623" s="84">
        <v>48274</v>
      </c>
      <c r="B2623" s="85">
        <v>2032</v>
      </c>
      <c r="C2623" s="85">
        <v>3</v>
      </c>
      <c r="D2623" s="85" t="s">
        <v>60</v>
      </c>
      <c r="E2623" s="85">
        <v>1</v>
      </c>
      <c r="F2623" s="85">
        <v>1</v>
      </c>
      <c r="G2623" s="85">
        <f>--(F2623&lt;=Estimator!$B$7)</f>
        <v>1</v>
      </c>
      <c r="H2623" s="86">
        <f>SUMIFS('Climate Data'!$G$7:$G$366,'Climate Data'!$A$7:$A$366,Estimator!$B$4,'Climate Data'!$B$7:$B$366,C2623)</f>
        <v>0.18494623655913978</v>
      </c>
      <c r="I2623" s="87">
        <f>SUMIFS('Climate Data'!$H$7:$H$366,'Climate Data'!$A$7:$A$366,Estimator!$B$4,'Climate Data'!$B$7:$B$366,C2623)</f>
        <v>7.8662790697674421</v>
      </c>
      <c r="J2623" s="86">
        <f>SUMIFS('Wind Proxy'!$H$8:$H$19,'Wind Proxy'!$A$8:$A$19,Estimator!$B$4,'Wind Proxy'!$B$8:$B$19,C2623)</f>
        <v>0</v>
      </c>
    </row>
    <row r="2624" spans="1:10" ht="14.4">
      <c r="A2624" s="84">
        <v>48275</v>
      </c>
      <c r="B2624" s="85">
        <v>2032</v>
      </c>
      <c r="C2624" s="85">
        <v>3</v>
      </c>
      <c r="D2624" s="85" t="s">
        <v>60</v>
      </c>
      <c r="E2624" s="85">
        <v>2</v>
      </c>
      <c r="F2624" s="85">
        <v>2</v>
      </c>
      <c r="G2624" s="85">
        <f>--(F2624&lt;=Estimator!$B$7)</f>
        <v>1</v>
      </c>
      <c r="H2624" s="86">
        <f>SUMIFS('Climate Data'!$G$7:$G$366,'Climate Data'!$A$7:$A$366,Estimator!$B$4,'Climate Data'!$B$7:$B$366,C2624)</f>
        <v>0.18494623655913978</v>
      </c>
      <c r="I2624" s="87">
        <f>SUMIFS('Climate Data'!$H$7:$H$366,'Climate Data'!$A$7:$A$366,Estimator!$B$4,'Climate Data'!$B$7:$B$366,C2624)</f>
        <v>7.8662790697674421</v>
      </c>
      <c r="J2624" s="86">
        <f>SUMIFS('Wind Proxy'!$H$8:$H$19,'Wind Proxy'!$A$8:$A$19,Estimator!$B$4,'Wind Proxy'!$B$8:$B$19,C2624)</f>
        <v>0</v>
      </c>
    </row>
    <row r="2625" spans="1:10" ht="14.4">
      <c r="A2625" s="84">
        <v>48276</v>
      </c>
      <c r="B2625" s="85">
        <v>2032</v>
      </c>
      <c r="C2625" s="85">
        <v>3</v>
      </c>
      <c r="D2625" s="85" t="s">
        <v>60</v>
      </c>
      <c r="E2625" s="85">
        <v>3</v>
      </c>
      <c r="F2625" s="85">
        <v>3</v>
      </c>
      <c r="G2625" s="85">
        <f>--(F2625&lt;=Estimator!$B$7)</f>
        <v>1</v>
      </c>
      <c r="H2625" s="86">
        <f>SUMIFS('Climate Data'!$G$7:$G$366,'Climate Data'!$A$7:$A$366,Estimator!$B$4,'Climate Data'!$B$7:$B$366,C2625)</f>
        <v>0.18494623655913978</v>
      </c>
      <c r="I2625" s="87">
        <f>SUMIFS('Climate Data'!$H$7:$H$366,'Climate Data'!$A$7:$A$366,Estimator!$B$4,'Climate Data'!$B$7:$B$366,C2625)</f>
        <v>7.8662790697674421</v>
      </c>
      <c r="J2625" s="86">
        <f>SUMIFS('Wind Proxy'!$H$8:$H$19,'Wind Proxy'!$A$8:$A$19,Estimator!$B$4,'Wind Proxy'!$B$8:$B$19,C2625)</f>
        <v>0</v>
      </c>
    </row>
    <row r="2626" spans="1:10" ht="14.4">
      <c r="A2626" s="84">
        <v>48277</v>
      </c>
      <c r="B2626" s="85">
        <v>2032</v>
      </c>
      <c r="C2626" s="85">
        <v>3</v>
      </c>
      <c r="D2626" s="85" t="s">
        <v>60</v>
      </c>
      <c r="E2626" s="85">
        <v>4</v>
      </c>
      <c r="F2626" s="85">
        <v>4</v>
      </c>
      <c r="G2626" s="85">
        <f>--(F2626&lt;=Estimator!$B$7)</f>
        <v>1</v>
      </c>
      <c r="H2626" s="86">
        <f>SUMIFS('Climate Data'!$G$7:$G$366,'Climate Data'!$A$7:$A$366,Estimator!$B$4,'Climate Data'!$B$7:$B$366,C2626)</f>
        <v>0.18494623655913978</v>
      </c>
      <c r="I2626" s="87">
        <f>SUMIFS('Climate Data'!$H$7:$H$366,'Climate Data'!$A$7:$A$366,Estimator!$B$4,'Climate Data'!$B$7:$B$366,C2626)</f>
        <v>7.8662790697674421</v>
      </c>
      <c r="J2626" s="86">
        <f>SUMIFS('Wind Proxy'!$H$8:$H$19,'Wind Proxy'!$A$8:$A$19,Estimator!$B$4,'Wind Proxy'!$B$8:$B$19,C2626)</f>
        <v>0</v>
      </c>
    </row>
    <row r="2627" spans="1:10" ht="14.4">
      <c r="A2627" s="84">
        <v>48278</v>
      </c>
      <c r="B2627" s="85">
        <v>2032</v>
      </c>
      <c r="C2627" s="85">
        <v>3</v>
      </c>
      <c r="D2627" s="85" t="s">
        <v>60</v>
      </c>
      <c r="E2627" s="85">
        <v>5</v>
      </c>
      <c r="F2627" s="85">
        <v>5</v>
      </c>
      <c r="G2627" s="85">
        <f>--(F2627&lt;=Estimator!$B$7)</f>
        <v>1</v>
      </c>
      <c r="H2627" s="86">
        <f>SUMIFS('Climate Data'!$G$7:$G$366,'Climate Data'!$A$7:$A$366,Estimator!$B$4,'Climate Data'!$B$7:$B$366,C2627)</f>
        <v>0.18494623655913978</v>
      </c>
      <c r="I2627" s="87">
        <f>SUMIFS('Climate Data'!$H$7:$H$366,'Climate Data'!$A$7:$A$366,Estimator!$B$4,'Climate Data'!$B$7:$B$366,C2627)</f>
        <v>7.8662790697674421</v>
      </c>
      <c r="J2627" s="86">
        <f>SUMIFS('Wind Proxy'!$H$8:$H$19,'Wind Proxy'!$A$8:$A$19,Estimator!$B$4,'Wind Proxy'!$B$8:$B$19,C2627)</f>
        <v>0</v>
      </c>
    </row>
    <row r="2628" spans="1:10" ht="14.4">
      <c r="A2628" s="84">
        <v>48279</v>
      </c>
      <c r="B2628" s="85">
        <v>2032</v>
      </c>
      <c r="C2628" s="85">
        <v>3</v>
      </c>
      <c r="D2628" s="85" t="s">
        <v>60</v>
      </c>
      <c r="E2628" s="85">
        <v>6</v>
      </c>
      <c r="F2628" s="85">
        <v>6</v>
      </c>
      <c r="G2628" s="85">
        <f>--(F2628&lt;=Estimator!$B$7)</f>
        <v>0</v>
      </c>
      <c r="H2628" s="86">
        <f>SUMIFS('Climate Data'!$G$7:$G$366,'Climate Data'!$A$7:$A$366,Estimator!$B$4,'Climate Data'!$B$7:$B$366,C2628)</f>
        <v>0.18494623655913978</v>
      </c>
      <c r="I2628" s="87">
        <f>SUMIFS('Climate Data'!$H$7:$H$366,'Climate Data'!$A$7:$A$366,Estimator!$B$4,'Climate Data'!$B$7:$B$366,C2628)</f>
        <v>7.8662790697674421</v>
      </c>
      <c r="J2628" s="86">
        <f>SUMIFS('Wind Proxy'!$H$8:$H$19,'Wind Proxy'!$A$8:$A$19,Estimator!$B$4,'Wind Proxy'!$B$8:$B$19,C2628)</f>
        <v>0</v>
      </c>
    </row>
    <row r="2629" spans="1:10" ht="14.4">
      <c r="A2629" s="84">
        <v>48280</v>
      </c>
      <c r="B2629" s="85">
        <v>2032</v>
      </c>
      <c r="C2629" s="85">
        <v>3</v>
      </c>
      <c r="D2629" s="85" t="s">
        <v>60</v>
      </c>
      <c r="E2629" s="85">
        <v>7</v>
      </c>
      <c r="F2629" s="85">
        <v>7</v>
      </c>
      <c r="G2629" s="85">
        <f>--(F2629&lt;=Estimator!$B$7)</f>
        <v>0</v>
      </c>
      <c r="H2629" s="86">
        <f>SUMIFS('Climate Data'!$G$7:$G$366,'Climate Data'!$A$7:$A$366,Estimator!$B$4,'Climate Data'!$B$7:$B$366,C2629)</f>
        <v>0.18494623655913978</v>
      </c>
      <c r="I2629" s="87">
        <f>SUMIFS('Climate Data'!$H$7:$H$366,'Climate Data'!$A$7:$A$366,Estimator!$B$4,'Climate Data'!$B$7:$B$366,C2629)</f>
        <v>7.8662790697674421</v>
      </c>
      <c r="J2629" s="86">
        <f>SUMIFS('Wind Proxy'!$H$8:$H$19,'Wind Proxy'!$A$8:$A$19,Estimator!$B$4,'Wind Proxy'!$B$8:$B$19,C2629)</f>
        <v>0</v>
      </c>
    </row>
    <row r="2630" spans="1:10" ht="14.4">
      <c r="A2630" s="84">
        <v>48281</v>
      </c>
      <c r="B2630" s="85">
        <v>2032</v>
      </c>
      <c r="C2630" s="85">
        <v>3</v>
      </c>
      <c r="D2630" s="85" t="s">
        <v>60</v>
      </c>
      <c r="E2630" s="85">
        <v>8</v>
      </c>
      <c r="F2630" s="85">
        <v>1</v>
      </c>
      <c r="G2630" s="85">
        <f>--(F2630&lt;=Estimator!$B$7)</f>
        <v>1</v>
      </c>
      <c r="H2630" s="86">
        <f>SUMIFS('Climate Data'!$G$7:$G$366,'Climate Data'!$A$7:$A$366,Estimator!$B$4,'Climate Data'!$B$7:$B$366,C2630)</f>
        <v>0.18494623655913978</v>
      </c>
      <c r="I2630" s="87">
        <f>SUMIFS('Climate Data'!$H$7:$H$366,'Climate Data'!$A$7:$A$366,Estimator!$B$4,'Climate Data'!$B$7:$B$366,C2630)</f>
        <v>7.8662790697674421</v>
      </c>
      <c r="J2630" s="86">
        <f>SUMIFS('Wind Proxy'!$H$8:$H$19,'Wind Proxy'!$A$8:$A$19,Estimator!$B$4,'Wind Proxy'!$B$8:$B$19,C2630)</f>
        <v>0</v>
      </c>
    </row>
    <row r="2631" spans="1:10" ht="14.4">
      <c r="A2631" s="84">
        <v>48282</v>
      </c>
      <c r="B2631" s="85">
        <v>2032</v>
      </c>
      <c r="C2631" s="85">
        <v>3</v>
      </c>
      <c r="D2631" s="85" t="s">
        <v>60</v>
      </c>
      <c r="E2631" s="85">
        <v>9</v>
      </c>
      <c r="F2631" s="85">
        <v>2</v>
      </c>
      <c r="G2631" s="85">
        <f>--(F2631&lt;=Estimator!$B$7)</f>
        <v>1</v>
      </c>
      <c r="H2631" s="86">
        <f>SUMIFS('Climate Data'!$G$7:$G$366,'Climate Data'!$A$7:$A$366,Estimator!$B$4,'Climate Data'!$B$7:$B$366,C2631)</f>
        <v>0.18494623655913978</v>
      </c>
      <c r="I2631" s="87">
        <f>SUMIFS('Climate Data'!$H$7:$H$366,'Climate Data'!$A$7:$A$366,Estimator!$B$4,'Climate Data'!$B$7:$B$366,C2631)</f>
        <v>7.8662790697674421</v>
      </c>
      <c r="J2631" s="86">
        <f>SUMIFS('Wind Proxy'!$H$8:$H$19,'Wind Proxy'!$A$8:$A$19,Estimator!$B$4,'Wind Proxy'!$B$8:$B$19,C2631)</f>
        <v>0</v>
      </c>
    </row>
    <row r="2632" spans="1:10" ht="14.4">
      <c r="A2632" s="84">
        <v>48283</v>
      </c>
      <c r="B2632" s="85">
        <v>2032</v>
      </c>
      <c r="C2632" s="85">
        <v>3</v>
      </c>
      <c r="D2632" s="85" t="s">
        <v>60</v>
      </c>
      <c r="E2632" s="85">
        <v>10</v>
      </c>
      <c r="F2632" s="85">
        <v>3</v>
      </c>
      <c r="G2632" s="85">
        <f>--(F2632&lt;=Estimator!$B$7)</f>
        <v>1</v>
      </c>
      <c r="H2632" s="86">
        <f>SUMIFS('Climate Data'!$G$7:$G$366,'Climate Data'!$A$7:$A$366,Estimator!$B$4,'Climate Data'!$B$7:$B$366,C2632)</f>
        <v>0.18494623655913978</v>
      </c>
      <c r="I2632" s="87">
        <f>SUMIFS('Climate Data'!$H$7:$H$366,'Climate Data'!$A$7:$A$366,Estimator!$B$4,'Climate Data'!$B$7:$B$366,C2632)</f>
        <v>7.8662790697674421</v>
      </c>
      <c r="J2632" s="86">
        <f>SUMIFS('Wind Proxy'!$H$8:$H$19,'Wind Proxy'!$A$8:$A$19,Estimator!$B$4,'Wind Proxy'!$B$8:$B$19,C2632)</f>
        <v>0</v>
      </c>
    </row>
    <row r="2633" spans="1:10" ht="14.4">
      <c r="A2633" s="84">
        <v>48284</v>
      </c>
      <c r="B2633" s="85">
        <v>2032</v>
      </c>
      <c r="C2633" s="85">
        <v>3</v>
      </c>
      <c r="D2633" s="85" t="s">
        <v>60</v>
      </c>
      <c r="E2633" s="85">
        <v>11</v>
      </c>
      <c r="F2633" s="85">
        <v>4</v>
      </c>
      <c r="G2633" s="85">
        <f>--(F2633&lt;=Estimator!$B$7)</f>
        <v>1</v>
      </c>
      <c r="H2633" s="86">
        <f>SUMIFS('Climate Data'!$G$7:$G$366,'Climate Data'!$A$7:$A$366,Estimator!$B$4,'Climate Data'!$B$7:$B$366,C2633)</f>
        <v>0.18494623655913978</v>
      </c>
      <c r="I2633" s="87">
        <f>SUMIFS('Climate Data'!$H$7:$H$366,'Climate Data'!$A$7:$A$366,Estimator!$B$4,'Climate Data'!$B$7:$B$366,C2633)</f>
        <v>7.8662790697674421</v>
      </c>
      <c r="J2633" s="86">
        <f>SUMIFS('Wind Proxy'!$H$8:$H$19,'Wind Proxy'!$A$8:$A$19,Estimator!$B$4,'Wind Proxy'!$B$8:$B$19,C2633)</f>
        <v>0</v>
      </c>
    </row>
    <row r="2634" spans="1:10" ht="14.4">
      <c r="A2634" s="84">
        <v>48285</v>
      </c>
      <c r="B2634" s="85">
        <v>2032</v>
      </c>
      <c r="C2634" s="85">
        <v>3</v>
      </c>
      <c r="D2634" s="85" t="s">
        <v>60</v>
      </c>
      <c r="E2634" s="85">
        <v>12</v>
      </c>
      <c r="F2634" s="85">
        <v>5</v>
      </c>
      <c r="G2634" s="85">
        <f>--(F2634&lt;=Estimator!$B$7)</f>
        <v>1</v>
      </c>
      <c r="H2634" s="86">
        <f>SUMIFS('Climate Data'!$G$7:$G$366,'Climate Data'!$A$7:$A$366,Estimator!$B$4,'Climate Data'!$B$7:$B$366,C2634)</f>
        <v>0.18494623655913978</v>
      </c>
      <c r="I2634" s="87">
        <f>SUMIFS('Climate Data'!$H$7:$H$366,'Climate Data'!$A$7:$A$366,Estimator!$B$4,'Climate Data'!$B$7:$B$366,C2634)</f>
        <v>7.8662790697674421</v>
      </c>
      <c r="J2634" s="86">
        <f>SUMIFS('Wind Proxy'!$H$8:$H$19,'Wind Proxy'!$A$8:$A$19,Estimator!$B$4,'Wind Proxy'!$B$8:$B$19,C2634)</f>
        <v>0</v>
      </c>
    </row>
    <row r="2635" spans="1:10" ht="14.4">
      <c r="A2635" s="84">
        <v>48286</v>
      </c>
      <c r="B2635" s="85">
        <v>2032</v>
      </c>
      <c r="C2635" s="85">
        <v>3</v>
      </c>
      <c r="D2635" s="85" t="s">
        <v>60</v>
      </c>
      <c r="E2635" s="85">
        <v>13</v>
      </c>
      <c r="F2635" s="85">
        <v>6</v>
      </c>
      <c r="G2635" s="85">
        <f>--(F2635&lt;=Estimator!$B$7)</f>
        <v>0</v>
      </c>
      <c r="H2635" s="86">
        <f>SUMIFS('Climate Data'!$G$7:$G$366,'Climate Data'!$A$7:$A$366,Estimator!$B$4,'Climate Data'!$B$7:$B$366,C2635)</f>
        <v>0.18494623655913978</v>
      </c>
      <c r="I2635" s="87">
        <f>SUMIFS('Climate Data'!$H$7:$H$366,'Climate Data'!$A$7:$A$366,Estimator!$B$4,'Climate Data'!$B$7:$B$366,C2635)</f>
        <v>7.8662790697674421</v>
      </c>
      <c r="J2635" s="86">
        <f>SUMIFS('Wind Proxy'!$H$8:$H$19,'Wind Proxy'!$A$8:$A$19,Estimator!$B$4,'Wind Proxy'!$B$8:$B$19,C2635)</f>
        <v>0</v>
      </c>
    </row>
    <row r="2636" spans="1:10" ht="14.4">
      <c r="A2636" s="84">
        <v>48287</v>
      </c>
      <c r="B2636" s="85">
        <v>2032</v>
      </c>
      <c r="C2636" s="85">
        <v>3</v>
      </c>
      <c r="D2636" s="85" t="s">
        <v>60</v>
      </c>
      <c r="E2636" s="85">
        <v>14</v>
      </c>
      <c r="F2636" s="85">
        <v>7</v>
      </c>
      <c r="G2636" s="85">
        <f>--(F2636&lt;=Estimator!$B$7)</f>
        <v>0</v>
      </c>
      <c r="H2636" s="86">
        <f>SUMIFS('Climate Data'!$G$7:$G$366,'Climate Data'!$A$7:$A$366,Estimator!$B$4,'Climate Data'!$B$7:$B$366,C2636)</f>
        <v>0.18494623655913978</v>
      </c>
      <c r="I2636" s="87">
        <f>SUMIFS('Climate Data'!$H$7:$H$366,'Climate Data'!$A$7:$A$366,Estimator!$B$4,'Climate Data'!$B$7:$B$366,C2636)</f>
        <v>7.8662790697674421</v>
      </c>
      <c r="J2636" s="86">
        <f>SUMIFS('Wind Proxy'!$H$8:$H$19,'Wind Proxy'!$A$8:$A$19,Estimator!$B$4,'Wind Proxy'!$B$8:$B$19,C2636)</f>
        <v>0</v>
      </c>
    </row>
    <row r="2637" spans="1:10" ht="14.4">
      <c r="A2637" s="84">
        <v>48288</v>
      </c>
      <c r="B2637" s="85">
        <v>2032</v>
      </c>
      <c r="C2637" s="85">
        <v>3</v>
      </c>
      <c r="D2637" s="85" t="s">
        <v>60</v>
      </c>
      <c r="E2637" s="85">
        <v>15</v>
      </c>
      <c r="F2637" s="85">
        <v>1</v>
      </c>
      <c r="G2637" s="85">
        <f>--(F2637&lt;=Estimator!$B$7)</f>
        <v>1</v>
      </c>
      <c r="H2637" s="86">
        <f>SUMIFS('Climate Data'!$G$7:$G$366,'Climate Data'!$A$7:$A$366,Estimator!$B$4,'Climate Data'!$B$7:$B$366,C2637)</f>
        <v>0.18494623655913978</v>
      </c>
      <c r="I2637" s="87">
        <f>SUMIFS('Climate Data'!$H$7:$H$366,'Climate Data'!$A$7:$A$366,Estimator!$B$4,'Climate Data'!$B$7:$B$366,C2637)</f>
        <v>7.8662790697674421</v>
      </c>
      <c r="J2637" s="86">
        <f>SUMIFS('Wind Proxy'!$H$8:$H$19,'Wind Proxy'!$A$8:$A$19,Estimator!$B$4,'Wind Proxy'!$B$8:$B$19,C2637)</f>
        <v>0</v>
      </c>
    </row>
    <row r="2638" spans="1:10" ht="14.4">
      <c r="A2638" s="84">
        <v>48289</v>
      </c>
      <c r="B2638" s="85">
        <v>2032</v>
      </c>
      <c r="C2638" s="85">
        <v>3</v>
      </c>
      <c r="D2638" s="85" t="s">
        <v>60</v>
      </c>
      <c r="E2638" s="85">
        <v>16</v>
      </c>
      <c r="F2638" s="85">
        <v>2</v>
      </c>
      <c r="G2638" s="85">
        <f>--(F2638&lt;=Estimator!$B$7)</f>
        <v>1</v>
      </c>
      <c r="H2638" s="86">
        <f>SUMIFS('Climate Data'!$G$7:$G$366,'Climate Data'!$A$7:$A$366,Estimator!$B$4,'Climate Data'!$B$7:$B$366,C2638)</f>
        <v>0.18494623655913978</v>
      </c>
      <c r="I2638" s="87">
        <f>SUMIFS('Climate Data'!$H$7:$H$366,'Climate Data'!$A$7:$A$366,Estimator!$B$4,'Climate Data'!$B$7:$B$366,C2638)</f>
        <v>7.8662790697674421</v>
      </c>
      <c r="J2638" s="86">
        <f>SUMIFS('Wind Proxy'!$H$8:$H$19,'Wind Proxy'!$A$8:$A$19,Estimator!$B$4,'Wind Proxy'!$B$8:$B$19,C2638)</f>
        <v>0</v>
      </c>
    </row>
    <row r="2639" spans="1:10" ht="14.4">
      <c r="A2639" s="84">
        <v>48290</v>
      </c>
      <c r="B2639" s="85">
        <v>2032</v>
      </c>
      <c r="C2639" s="85">
        <v>3</v>
      </c>
      <c r="D2639" s="85" t="s">
        <v>60</v>
      </c>
      <c r="E2639" s="85">
        <v>17</v>
      </c>
      <c r="F2639" s="85">
        <v>3</v>
      </c>
      <c r="G2639" s="85">
        <f>--(F2639&lt;=Estimator!$B$7)</f>
        <v>1</v>
      </c>
      <c r="H2639" s="86">
        <f>SUMIFS('Climate Data'!$G$7:$G$366,'Climate Data'!$A$7:$A$366,Estimator!$B$4,'Climate Data'!$B$7:$B$366,C2639)</f>
        <v>0.18494623655913978</v>
      </c>
      <c r="I2639" s="87">
        <f>SUMIFS('Climate Data'!$H$7:$H$366,'Climate Data'!$A$7:$A$366,Estimator!$B$4,'Climate Data'!$B$7:$B$366,C2639)</f>
        <v>7.8662790697674421</v>
      </c>
      <c r="J2639" s="86">
        <f>SUMIFS('Wind Proxy'!$H$8:$H$19,'Wind Proxy'!$A$8:$A$19,Estimator!$B$4,'Wind Proxy'!$B$8:$B$19,C2639)</f>
        <v>0</v>
      </c>
    </row>
    <row r="2640" spans="1:10" ht="14.4">
      <c r="A2640" s="84">
        <v>48291</v>
      </c>
      <c r="B2640" s="85">
        <v>2032</v>
      </c>
      <c r="C2640" s="85">
        <v>3</v>
      </c>
      <c r="D2640" s="85" t="s">
        <v>60</v>
      </c>
      <c r="E2640" s="85">
        <v>18</v>
      </c>
      <c r="F2640" s="85">
        <v>4</v>
      </c>
      <c r="G2640" s="85">
        <f>--(F2640&lt;=Estimator!$B$7)</f>
        <v>1</v>
      </c>
      <c r="H2640" s="86">
        <f>SUMIFS('Climate Data'!$G$7:$G$366,'Climate Data'!$A$7:$A$366,Estimator!$B$4,'Climate Data'!$B$7:$B$366,C2640)</f>
        <v>0.18494623655913978</v>
      </c>
      <c r="I2640" s="87">
        <f>SUMIFS('Climate Data'!$H$7:$H$366,'Climate Data'!$A$7:$A$366,Estimator!$B$4,'Climate Data'!$B$7:$B$366,C2640)</f>
        <v>7.8662790697674421</v>
      </c>
      <c r="J2640" s="86">
        <f>SUMIFS('Wind Proxy'!$H$8:$H$19,'Wind Proxy'!$A$8:$A$19,Estimator!$B$4,'Wind Proxy'!$B$8:$B$19,C2640)</f>
        <v>0</v>
      </c>
    </row>
    <row r="2641" spans="1:10" ht="14.4">
      <c r="A2641" s="84">
        <v>48292</v>
      </c>
      <c r="B2641" s="85">
        <v>2032</v>
      </c>
      <c r="C2641" s="85">
        <v>3</v>
      </c>
      <c r="D2641" s="85" t="s">
        <v>60</v>
      </c>
      <c r="E2641" s="85">
        <v>19</v>
      </c>
      <c r="F2641" s="85">
        <v>5</v>
      </c>
      <c r="G2641" s="85">
        <f>--(F2641&lt;=Estimator!$B$7)</f>
        <v>1</v>
      </c>
      <c r="H2641" s="86">
        <f>SUMIFS('Climate Data'!$G$7:$G$366,'Climate Data'!$A$7:$A$366,Estimator!$B$4,'Climate Data'!$B$7:$B$366,C2641)</f>
        <v>0.18494623655913978</v>
      </c>
      <c r="I2641" s="87">
        <f>SUMIFS('Climate Data'!$H$7:$H$366,'Climate Data'!$A$7:$A$366,Estimator!$B$4,'Climate Data'!$B$7:$B$366,C2641)</f>
        <v>7.8662790697674421</v>
      </c>
      <c r="J2641" s="86">
        <f>SUMIFS('Wind Proxy'!$H$8:$H$19,'Wind Proxy'!$A$8:$A$19,Estimator!$B$4,'Wind Proxy'!$B$8:$B$19,C2641)</f>
        <v>0</v>
      </c>
    </row>
    <row r="2642" spans="1:10" ht="14.4">
      <c r="A2642" s="84">
        <v>48293</v>
      </c>
      <c r="B2642" s="85">
        <v>2032</v>
      </c>
      <c r="C2642" s="85">
        <v>3</v>
      </c>
      <c r="D2642" s="85" t="s">
        <v>60</v>
      </c>
      <c r="E2642" s="85">
        <v>20</v>
      </c>
      <c r="F2642" s="85">
        <v>6</v>
      </c>
      <c r="G2642" s="85">
        <f>--(F2642&lt;=Estimator!$B$7)</f>
        <v>0</v>
      </c>
      <c r="H2642" s="86">
        <f>SUMIFS('Climate Data'!$G$7:$G$366,'Climate Data'!$A$7:$A$366,Estimator!$B$4,'Climate Data'!$B$7:$B$366,C2642)</f>
        <v>0.18494623655913978</v>
      </c>
      <c r="I2642" s="87">
        <f>SUMIFS('Climate Data'!$H$7:$H$366,'Climate Data'!$A$7:$A$366,Estimator!$B$4,'Climate Data'!$B$7:$B$366,C2642)</f>
        <v>7.8662790697674421</v>
      </c>
      <c r="J2642" s="86">
        <f>SUMIFS('Wind Proxy'!$H$8:$H$19,'Wind Proxy'!$A$8:$A$19,Estimator!$B$4,'Wind Proxy'!$B$8:$B$19,C2642)</f>
        <v>0</v>
      </c>
    </row>
    <row r="2643" spans="1:10" ht="14.4">
      <c r="A2643" s="84">
        <v>48294</v>
      </c>
      <c r="B2643" s="85">
        <v>2032</v>
      </c>
      <c r="C2643" s="85">
        <v>3</v>
      </c>
      <c r="D2643" s="85" t="s">
        <v>60</v>
      </c>
      <c r="E2643" s="85">
        <v>21</v>
      </c>
      <c r="F2643" s="85">
        <v>7</v>
      </c>
      <c r="G2643" s="85">
        <f>--(F2643&lt;=Estimator!$B$7)</f>
        <v>0</v>
      </c>
      <c r="H2643" s="86">
        <f>SUMIFS('Climate Data'!$G$7:$G$366,'Climate Data'!$A$7:$A$366,Estimator!$B$4,'Climate Data'!$B$7:$B$366,C2643)</f>
        <v>0.18494623655913978</v>
      </c>
      <c r="I2643" s="87">
        <f>SUMIFS('Climate Data'!$H$7:$H$366,'Climate Data'!$A$7:$A$366,Estimator!$B$4,'Climate Data'!$B$7:$B$366,C2643)</f>
        <v>7.8662790697674421</v>
      </c>
      <c r="J2643" s="86">
        <f>SUMIFS('Wind Proxy'!$H$8:$H$19,'Wind Proxy'!$A$8:$A$19,Estimator!$B$4,'Wind Proxy'!$B$8:$B$19,C2643)</f>
        <v>0</v>
      </c>
    </row>
    <row r="2644" spans="1:10" ht="14.4">
      <c r="A2644" s="84">
        <v>48295</v>
      </c>
      <c r="B2644" s="85">
        <v>2032</v>
      </c>
      <c r="C2644" s="85">
        <v>3</v>
      </c>
      <c r="D2644" s="85" t="s">
        <v>60</v>
      </c>
      <c r="E2644" s="85">
        <v>22</v>
      </c>
      <c r="F2644" s="85">
        <v>1</v>
      </c>
      <c r="G2644" s="85">
        <f>--(F2644&lt;=Estimator!$B$7)</f>
        <v>1</v>
      </c>
      <c r="H2644" s="86">
        <f>SUMIFS('Climate Data'!$G$7:$G$366,'Climate Data'!$A$7:$A$366,Estimator!$B$4,'Climate Data'!$B$7:$B$366,C2644)</f>
        <v>0.18494623655913978</v>
      </c>
      <c r="I2644" s="87">
        <f>SUMIFS('Climate Data'!$H$7:$H$366,'Climate Data'!$A$7:$A$366,Estimator!$B$4,'Climate Data'!$B$7:$B$366,C2644)</f>
        <v>7.8662790697674421</v>
      </c>
      <c r="J2644" s="86">
        <f>SUMIFS('Wind Proxy'!$H$8:$H$19,'Wind Proxy'!$A$8:$A$19,Estimator!$B$4,'Wind Proxy'!$B$8:$B$19,C2644)</f>
        <v>0</v>
      </c>
    </row>
    <row r="2645" spans="1:10" ht="14.4">
      <c r="A2645" s="84">
        <v>48296</v>
      </c>
      <c r="B2645" s="85">
        <v>2032</v>
      </c>
      <c r="C2645" s="85">
        <v>3</v>
      </c>
      <c r="D2645" s="85" t="s">
        <v>60</v>
      </c>
      <c r="E2645" s="85">
        <v>23</v>
      </c>
      <c r="F2645" s="85">
        <v>2</v>
      </c>
      <c r="G2645" s="85">
        <f>--(F2645&lt;=Estimator!$B$7)</f>
        <v>1</v>
      </c>
      <c r="H2645" s="86">
        <f>SUMIFS('Climate Data'!$G$7:$G$366,'Climate Data'!$A$7:$A$366,Estimator!$B$4,'Climate Data'!$B$7:$B$366,C2645)</f>
        <v>0.18494623655913978</v>
      </c>
      <c r="I2645" s="87">
        <f>SUMIFS('Climate Data'!$H$7:$H$366,'Climate Data'!$A$7:$A$366,Estimator!$B$4,'Climate Data'!$B$7:$B$366,C2645)</f>
        <v>7.8662790697674421</v>
      </c>
      <c r="J2645" s="86">
        <f>SUMIFS('Wind Proxy'!$H$8:$H$19,'Wind Proxy'!$A$8:$A$19,Estimator!$B$4,'Wind Proxy'!$B$8:$B$19,C2645)</f>
        <v>0</v>
      </c>
    </row>
    <row r="2646" spans="1:10" ht="14.4">
      <c r="A2646" s="84">
        <v>48297</v>
      </c>
      <c r="B2646" s="85">
        <v>2032</v>
      </c>
      <c r="C2646" s="85">
        <v>3</v>
      </c>
      <c r="D2646" s="85" t="s">
        <v>60</v>
      </c>
      <c r="E2646" s="85">
        <v>24</v>
      </c>
      <c r="F2646" s="85">
        <v>3</v>
      </c>
      <c r="G2646" s="85">
        <f>--(F2646&lt;=Estimator!$B$7)</f>
        <v>1</v>
      </c>
      <c r="H2646" s="86">
        <f>SUMIFS('Climate Data'!$G$7:$G$366,'Climate Data'!$A$7:$A$366,Estimator!$B$4,'Climate Data'!$B$7:$B$366,C2646)</f>
        <v>0.18494623655913978</v>
      </c>
      <c r="I2646" s="87">
        <f>SUMIFS('Climate Data'!$H$7:$H$366,'Climate Data'!$A$7:$A$366,Estimator!$B$4,'Climate Data'!$B$7:$B$366,C2646)</f>
        <v>7.8662790697674421</v>
      </c>
      <c r="J2646" s="86">
        <f>SUMIFS('Wind Proxy'!$H$8:$H$19,'Wind Proxy'!$A$8:$A$19,Estimator!$B$4,'Wind Proxy'!$B$8:$B$19,C2646)</f>
        <v>0</v>
      </c>
    </row>
    <row r="2647" spans="1:10" ht="14.4">
      <c r="A2647" s="84">
        <v>48298</v>
      </c>
      <c r="B2647" s="85">
        <v>2032</v>
      </c>
      <c r="C2647" s="85">
        <v>3</v>
      </c>
      <c r="D2647" s="85" t="s">
        <v>60</v>
      </c>
      <c r="E2647" s="85">
        <v>25</v>
      </c>
      <c r="F2647" s="85">
        <v>4</v>
      </c>
      <c r="G2647" s="85">
        <f>--(F2647&lt;=Estimator!$B$7)</f>
        <v>1</v>
      </c>
      <c r="H2647" s="86">
        <f>SUMIFS('Climate Data'!$G$7:$G$366,'Climate Data'!$A$7:$A$366,Estimator!$B$4,'Climate Data'!$B$7:$B$366,C2647)</f>
        <v>0.18494623655913978</v>
      </c>
      <c r="I2647" s="87">
        <f>SUMIFS('Climate Data'!$H$7:$H$366,'Climate Data'!$A$7:$A$366,Estimator!$B$4,'Climate Data'!$B$7:$B$366,C2647)</f>
        <v>7.8662790697674421</v>
      </c>
      <c r="J2647" s="86">
        <f>SUMIFS('Wind Proxy'!$H$8:$H$19,'Wind Proxy'!$A$8:$A$19,Estimator!$B$4,'Wind Proxy'!$B$8:$B$19,C2647)</f>
        <v>0</v>
      </c>
    </row>
    <row r="2648" spans="1:10" ht="14.4">
      <c r="A2648" s="84">
        <v>48299</v>
      </c>
      <c r="B2648" s="85">
        <v>2032</v>
      </c>
      <c r="C2648" s="85">
        <v>3</v>
      </c>
      <c r="D2648" s="85" t="s">
        <v>60</v>
      </c>
      <c r="E2648" s="85">
        <v>26</v>
      </c>
      <c r="F2648" s="85">
        <v>5</v>
      </c>
      <c r="G2648" s="85">
        <f>--(F2648&lt;=Estimator!$B$7)</f>
        <v>1</v>
      </c>
      <c r="H2648" s="86">
        <f>SUMIFS('Climate Data'!$G$7:$G$366,'Climate Data'!$A$7:$A$366,Estimator!$B$4,'Climate Data'!$B$7:$B$366,C2648)</f>
        <v>0.18494623655913978</v>
      </c>
      <c r="I2648" s="87">
        <f>SUMIFS('Climate Data'!$H$7:$H$366,'Climate Data'!$A$7:$A$366,Estimator!$B$4,'Climate Data'!$B$7:$B$366,C2648)</f>
        <v>7.8662790697674421</v>
      </c>
      <c r="J2648" s="86">
        <f>SUMIFS('Wind Proxy'!$H$8:$H$19,'Wind Proxy'!$A$8:$A$19,Estimator!$B$4,'Wind Proxy'!$B$8:$B$19,C2648)</f>
        <v>0</v>
      </c>
    </row>
    <row r="2649" spans="1:10" ht="14.4">
      <c r="A2649" s="84">
        <v>48300</v>
      </c>
      <c r="B2649" s="85">
        <v>2032</v>
      </c>
      <c r="C2649" s="85">
        <v>3</v>
      </c>
      <c r="D2649" s="85" t="s">
        <v>60</v>
      </c>
      <c r="E2649" s="85">
        <v>27</v>
      </c>
      <c r="F2649" s="85">
        <v>6</v>
      </c>
      <c r="G2649" s="85">
        <f>--(F2649&lt;=Estimator!$B$7)</f>
        <v>0</v>
      </c>
      <c r="H2649" s="86">
        <f>SUMIFS('Climate Data'!$G$7:$G$366,'Climate Data'!$A$7:$A$366,Estimator!$B$4,'Climate Data'!$B$7:$B$366,C2649)</f>
        <v>0.18494623655913978</v>
      </c>
      <c r="I2649" s="87">
        <f>SUMIFS('Climate Data'!$H$7:$H$366,'Climate Data'!$A$7:$A$366,Estimator!$B$4,'Climate Data'!$B$7:$B$366,C2649)</f>
        <v>7.8662790697674421</v>
      </c>
      <c r="J2649" s="86">
        <f>SUMIFS('Wind Proxy'!$H$8:$H$19,'Wind Proxy'!$A$8:$A$19,Estimator!$B$4,'Wind Proxy'!$B$8:$B$19,C2649)</f>
        <v>0</v>
      </c>
    </row>
    <row r="2650" spans="1:10" ht="14.4">
      <c r="A2650" s="84">
        <v>48301</v>
      </c>
      <c r="B2650" s="85">
        <v>2032</v>
      </c>
      <c r="C2650" s="85">
        <v>3</v>
      </c>
      <c r="D2650" s="85" t="s">
        <v>60</v>
      </c>
      <c r="E2650" s="85">
        <v>28</v>
      </c>
      <c r="F2650" s="85">
        <v>7</v>
      </c>
      <c r="G2650" s="85">
        <f>--(F2650&lt;=Estimator!$B$7)</f>
        <v>0</v>
      </c>
      <c r="H2650" s="86">
        <f>SUMIFS('Climate Data'!$G$7:$G$366,'Climate Data'!$A$7:$A$366,Estimator!$B$4,'Climate Data'!$B$7:$B$366,C2650)</f>
        <v>0.18494623655913978</v>
      </c>
      <c r="I2650" s="87">
        <f>SUMIFS('Climate Data'!$H$7:$H$366,'Climate Data'!$A$7:$A$366,Estimator!$B$4,'Climate Data'!$B$7:$B$366,C2650)</f>
        <v>7.8662790697674421</v>
      </c>
      <c r="J2650" s="86">
        <f>SUMIFS('Wind Proxy'!$H$8:$H$19,'Wind Proxy'!$A$8:$A$19,Estimator!$B$4,'Wind Proxy'!$B$8:$B$19,C2650)</f>
        <v>0</v>
      </c>
    </row>
    <row r="2651" spans="1:10" ht="14.4">
      <c r="A2651" s="84">
        <v>48302</v>
      </c>
      <c r="B2651" s="85">
        <v>2032</v>
      </c>
      <c r="C2651" s="85">
        <v>3</v>
      </c>
      <c r="D2651" s="85" t="s">
        <v>60</v>
      </c>
      <c r="E2651" s="85">
        <v>29</v>
      </c>
      <c r="F2651" s="85">
        <v>1</v>
      </c>
      <c r="G2651" s="85">
        <f>--(F2651&lt;=Estimator!$B$7)</f>
        <v>1</v>
      </c>
      <c r="H2651" s="86">
        <f>SUMIFS('Climate Data'!$G$7:$G$366,'Climate Data'!$A$7:$A$366,Estimator!$B$4,'Climate Data'!$B$7:$B$366,C2651)</f>
        <v>0.18494623655913978</v>
      </c>
      <c r="I2651" s="87">
        <f>SUMIFS('Climate Data'!$H$7:$H$366,'Climate Data'!$A$7:$A$366,Estimator!$B$4,'Climate Data'!$B$7:$B$366,C2651)</f>
        <v>7.8662790697674421</v>
      </c>
      <c r="J2651" s="86">
        <f>SUMIFS('Wind Proxy'!$H$8:$H$19,'Wind Proxy'!$A$8:$A$19,Estimator!$B$4,'Wind Proxy'!$B$8:$B$19,C2651)</f>
        <v>0</v>
      </c>
    </row>
    <row r="2652" spans="1:10" ht="14.4">
      <c r="A2652" s="84">
        <v>48303</v>
      </c>
      <c r="B2652" s="85">
        <v>2032</v>
      </c>
      <c r="C2652" s="85">
        <v>3</v>
      </c>
      <c r="D2652" s="85" t="s">
        <v>60</v>
      </c>
      <c r="E2652" s="85">
        <v>30</v>
      </c>
      <c r="F2652" s="85">
        <v>2</v>
      </c>
      <c r="G2652" s="85">
        <f>--(F2652&lt;=Estimator!$B$7)</f>
        <v>1</v>
      </c>
      <c r="H2652" s="86">
        <f>SUMIFS('Climate Data'!$G$7:$G$366,'Climate Data'!$A$7:$A$366,Estimator!$B$4,'Climate Data'!$B$7:$B$366,C2652)</f>
        <v>0.18494623655913978</v>
      </c>
      <c r="I2652" s="87">
        <f>SUMIFS('Climate Data'!$H$7:$H$366,'Climate Data'!$A$7:$A$366,Estimator!$B$4,'Climate Data'!$B$7:$B$366,C2652)</f>
        <v>7.8662790697674421</v>
      </c>
      <c r="J2652" s="86">
        <f>SUMIFS('Wind Proxy'!$H$8:$H$19,'Wind Proxy'!$A$8:$A$19,Estimator!$B$4,'Wind Proxy'!$B$8:$B$19,C2652)</f>
        <v>0</v>
      </c>
    </row>
    <row r="2653" spans="1:10" ht="14.4">
      <c r="A2653" s="84">
        <v>48304</v>
      </c>
      <c r="B2653" s="85">
        <v>2032</v>
      </c>
      <c r="C2653" s="85">
        <v>3</v>
      </c>
      <c r="D2653" s="85" t="s">
        <v>60</v>
      </c>
      <c r="E2653" s="85">
        <v>31</v>
      </c>
      <c r="F2653" s="85">
        <v>3</v>
      </c>
      <c r="G2653" s="85">
        <f>--(F2653&lt;=Estimator!$B$7)</f>
        <v>1</v>
      </c>
      <c r="H2653" s="86">
        <f>SUMIFS('Climate Data'!$G$7:$G$366,'Climate Data'!$A$7:$A$366,Estimator!$B$4,'Climate Data'!$B$7:$B$366,C2653)</f>
        <v>0.18494623655913978</v>
      </c>
      <c r="I2653" s="87">
        <f>SUMIFS('Climate Data'!$H$7:$H$366,'Climate Data'!$A$7:$A$366,Estimator!$B$4,'Climate Data'!$B$7:$B$366,C2653)</f>
        <v>7.8662790697674421</v>
      </c>
      <c r="J2653" s="86">
        <f>SUMIFS('Wind Proxy'!$H$8:$H$19,'Wind Proxy'!$A$8:$A$19,Estimator!$B$4,'Wind Proxy'!$B$8:$B$19,C2653)</f>
        <v>0</v>
      </c>
    </row>
    <row r="2654" spans="1:10" ht="14.4">
      <c r="A2654" s="84">
        <v>48305</v>
      </c>
      <c r="B2654" s="85">
        <v>2032</v>
      </c>
      <c r="C2654" s="85">
        <v>4</v>
      </c>
      <c r="D2654" s="85" t="s">
        <v>62</v>
      </c>
      <c r="E2654" s="85">
        <v>1</v>
      </c>
      <c r="F2654" s="85">
        <v>4</v>
      </c>
      <c r="G2654" s="85">
        <f>--(F2654&lt;=Estimator!$B$7)</f>
        <v>1</v>
      </c>
      <c r="H2654" s="86">
        <f>SUMIFS('Climate Data'!$G$7:$G$366,'Climate Data'!$A$7:$A$366,Estimator!$B$4,'Climate Data'!$B$7:$B$366,C2654)</f>
        <v>0.25555555555555559</v>
      </c>
      <c r="I2654" s="87">
        <f>SUMIFS('Climate Data'!$H$7:$H$366,'Climate Data'!$A$7:$A$366,Estimator!$B$4,'Climate Data'!$B$7:$B$366,C2654)</f>
        <v>7.5</v>
      </c>
      <c r="J2654" s="86">
        <f>SUMIFS('Wind Proxy'!$H$8:$H$19,'Wind Proxy'!$A$8:$A$19,Estimator!$B$4,'Wind Proxy'!$B$8:$B$19,C2654)</f>
        <v>0</v>
      </c>
    </row>
    <row r="2655" spans="1:10" ht="14.4">
      <c r="A2655" s="84">
        <v>48306</v>
      </c>
      <c r="B2655" s="85">
        <v>2032</v>
      </c>
      <c r="C2655" s="85">
        <v>4</v>
      </c>
      <c r="D2655" s="85" t="s">
        <v>62</v>
      </c>
      <c r="E2655" s="85">
        <v>2</v>
      </c>
      <c r="F2655" s="85">
        <v>5</v>
      </c>
      <c r="G2655" s="85">
        <f>--(F2655&lt;=Estimator!$B$7)</f>
        <v>1</v>
      </c>
      <c r="H2655" s="86">
        <f>SUMIFS('Climate Data'!$G$7:$G$366,'Climate Data'!$A$7:$A$366,Estimator!$B$4,'Climate Data'!$B$7:$B$366,C2655)</f>
        <v>0.25555555555555559</v>
      </c>
      <c r="I2655" s="87">
        <f>SUMIFS('Climate Data'!$H$7:$H$366,'Climate Data'!$A$7:$A$366,Estimator!$B$4,'Climate Data'!$B$7:$B$366,C2655)</f>
        <v>7.5</v>
      </c>
      <c r="J2655" s="86">
        <f>SUMIFS('Wind Proxy'!$H$8:$H$19,'Wind Proxy'!$A$8:$A$19,Estimator!$B$4,'Wind Proxy'!$B$8:$B$19,C2655)</f>
        <v>0</v>
      </c>
    </row>
    <row r="2656" spans="1:10" ht="14.4">
      <c r="A2656" s="84">
        <v>48307</v>
      </c>
      <c r="B2656" s="85">
        <v>2032</v>
      </c>
      <c r="C2656" s="85">
        <v>4</v>
      </c>
      <c r="D2656" s="85" t="s">
        <v>62</v>
      </c>
      <c r="E2656" s="85">
        <v>3</v>
      </c>
      <c r="F2656" s="85">
        <v>6</v>
      </c>
      <c r="G2656" s="85">
        <f>--(F2656&lt;=Estimator!$B$7)</f>
        <v>0</v>
      </c>
      <c r="H2656" s="86">
        <f>SUMIFS('Climate Data'!$G$7:$G$366,'Climate Data'!$A$7:$A$366,Estimator!$B$4,'Climate Data'!$B$7:$B$366,C2656)</f>
        <v>0.25555555555555559</v>
      </c>
      <c r="I2656" s="87">
        <f>SUMIFS('Climate Data'!$H$7:$H$366,'Climate Data'!$A$7:$A$366,Estimator!$B$4,'Climate Data'!$B$7:$B$366,C2656)</f>
        <v>7.5</v>
      </c>
      <c r="J2656" s="86">
        <f>SUMIFS('Wind Proxy'!$H$8:$H$19,'Wind Proxy'!$A$8:$A$19,Estimator!$B$4,'Wind Proxy'!$B$8:$B$19,C2656)</f>
        <v>0</v>
      </c>
    </row>
    <row r="2657" spans="1:10" ht="14.4">
      <c r="A2657" s="84">
        <v>48308</v>
      </c>
      <c r="B2657" s="85">
        <v>2032</v>
      </c>
      <c r="C2657" s="85">
        <v>4</v>
      </c>
      <c r="D2657" s="85" t="s">
        <v>62</v>
      </c>
      <c r="E2657" s="85">
        <v>4</v>
      </c>
      <c r="F2657" s="85">
        <v>7</v>
      </c>
      <c r="G2657" s="85">
        <f>--(F2657&lt;=Estimator!$B$7)</f>
        <v>0</v>
      </c>
      <c r="H2657" s="86">
        <f>SUMIFS('Climate Data'!$G$7:$G$366,'Climate Data'!$A$7:$A$366,Estimator!$B$4,'Climate Data'!$B$7:$B$366,C2657)</f>
        <v>0.25555555555555559</v>
      </c>
      <c r="I2657" s="87">
        <f>SUMIFS('Climate Data'!$H$7:$H$366,'Climate Data'!$A$7:$A$366,Estimator!$B$4,'Climate Data'!$B$7:$B$366,C2657)</f>
        <v>7.5</v>
      </c>
      <c r="J2657" s="86">
        <f>SUMIFS('Wind Proxy'!$H$8:$H$19,'Wind Proxy'!$A$8:$A$19,Estimator!$B$4,'Wind Proxy'!$B$8:$B$19,C2657)</f>
        <v>0</v>
      </c>
    </row>
    <row r="2658" spans="1:10" ht="14.4">
      <c r="A2658" s="84">
        <v>48309</v>
      </c>
      <c r="B2658" s="85">
        <v>2032</v>
      </c>
      <c r="C2658" s="85">
        <v>4</v>
      </c>
      <c r="D2658" s="85" t="s">
        <v>62</v>
      </c>
      <c r="E2658" s="85">
        <v>5</v>
      </c>
      <c r="F2658" s="85">
        <v>1</v>
      </c>
      <c r="G2658" s="85">
        <f>--(F2658&lt;=Estimator!$B$7)</f>
        <v>1</v>
      </c>
      <c r="H2658" s="86">
        <f>SUMIFS('Climate Data'!$G$7:$G$366,'Climate Data'!$A$7:$A$366,Estimator!$B$4,'Climate Data'!$B$7:$B$366,C2658)</f>
        <v>0.25555555555555559</v>
      </c>
      <c r="I2658" s="87">
        <f>SUMIFS('Climate Data'!$H$7:$H$366,'Climate Data'!$A$7:$A$366,Estimator!$B$4,'Climate Data'!$B$7:$B$366,C2658)</f>
        <v>7.5</v>
      </c>
      <c r="J2658" s="86">
        <f>SUMIFS('Wind Proxy'!$H$8:$H$19,'Wind Proxy'!$A$8:$A$19,Estimator!$B$4,'Wind Proxy'!$B$8:$B$19,C2658)</f>
        <v>0</v>
      </c>
    </row>
    <row r="2659" spans="1:10" ht="14.4">
      <c r="A2659" s="84">
        <v>48310</v>
      </c>
      <c r="B2659" s="85">
        <v>2032</v>
      </c>
      <c r="C2659" s="85">
        <v>4</v>
      </c>
      <c r="D2659" s="85" t="s">
        <v>62</v>
      </c>
      <c r="E2659" s="85">
        <v>6</v>
      </c>
      <c r="F2659" s="85">
        <v>2</v>
      </c>
      <c r="G2659" s="85">
        <f>--(F2659&lt;=Estimator!$B$7)</f>
        <v>1</v>
      </c>
      <c r="H2659" s="86">
        <f>SUMIFS('Climate Data'!$G$7:$G$366,'Climate Data'!$A$7:$A$366,Estimator!$B$4,'Climate Data'!$B$7:$B$366,C2659)</f>
        <v>0.25555555555555559</v>
      </c>
      <c r="I2659" s="87">
        <f>SUMIFS('Climate Data'!$H$7:$H$366,'Climate Data'!$A$7:$A$366,Estimator!$B$4,'Climate Data'!$B$7:$B$366,C2659)</f>
        <v>7.5</v>
      </c>
      <c r="J2659" s="86">
        <f>SUMIFS('Wind Proxy'!$H$8:$H$19,'Wind Proxy'!$A$8:$A$19,Estimator!$B$4,'Wind Proxy'!$B$8:$B$19,C2659)</f>
        <v>0</v>
      </c>
    </row>
    <row r="2660" spans="1:10" ht="14.4">
      <c r="A2660" s="84">
        <v>48311</v>
      </c>
      <c r="B2660" s="85">
        <v>2032</v>
      </c>
      <c r="C2660" s="85">
        <v>4</v>
      </c>
      <c r="D2660" s="85" t="s">
        <v>62</v>
      </c>
      <c r="E2660" s="85">
        <v>7</v>
      </c>
      <c r="F2660" s="85">
        <v>3</v>
      </c>
      <c r="G2660" s="85">
        <f>--(F2660&lt;=Estimator!$B$7)</f>
        <v>1</v>
      </c>
      <c r="H2660" s="86">
        <f>SUMIFS('Climate Data'!$G$7:$G$366,'Climate Data'!$A$7:$A$366,Estimator!$B$4,'Climate Data'!$B$7:$B$366,C2660)</f>
        <v>0.25555555555555559</v>
      </c>
      <c r="I2660" s="87">
        <f>SUMIFS('Climate Data'!$H$7:$H$366,'Climate Data'!$A$7:$A$366,Estimator!$B$4,'Climate Data'!$B$7:$B$366,C2660)</f>
        <v>7.5</v>
      </c>
      <c r="J2660" s="86">
        <f>SUMIFS('Wind Proxy'!$H$8:$H$19,'Wind Proxy'!$A$8:$A$19,Estimator!$B$4,'Wind Proxy'!$B$8:$B$19,C2660)</f>
        <v>0</v>
      </c>
    </row>
    <row r="2661" spans="1:10" ht="14.4">
      <c r="A2661" s="84">
        <v>48312</v>
      </c>
      <c r="B2661" s="85">
        <v>2032</v>
      </c>
      <c r="C2661" s="85">
        <v>4</v>
      </c>
      <c r="D2661" s="85" t="s">
        <v>62</v>
      </c>
      <c r="E2661" s="85">
        <v>8</v>
      </c>
      <c r="F2661" s="85">
        <v>4</v>
      </c>
      <c r="G2661" s="85">
        <f>--(F2661&lt;=Estimator!$B$7)</f>
        <v>1</v>
      </c>
      <c r="H2661" s="86">
        <f>SUMIFS('Climate Data'!$G$7:$G$366,'Climate Data'!$A$7:$A$366,Estimator!$B$4,'Climate Data'!$B$7:$B$366,C2661)</f>
        <v>0.25555555555555559</v>
      </c>
      <c r="I2661" s="87">
        <f>SUMIFS('Climate Data'!$H$7:$H$366,'Climate Data'!$A$7:$A$366,Estimator!$B$4,'Climate Data'!$B$7:$B$366,C2661)</f>
        <v>7.5</v>
      </c>
      <c r="J2661" s="86">
        <f>SUMIFS('Wind Proxy'!$H$8:$H$19,'Wind Proxy'!$A$8:$A$19,Estimator!$B$4,'Wind Proxy'!$B$8:$B$19,C2661)</f>
        <v>0</v>
      </c>
    </row>
    <row r="2662" spans="1:10" ht="14.4">
      <c r="A2662" s="84">
        <v>48313</v>
      </c>
      <c r="B2662" s="85">
        <v>2032</v>
      </c>
      <c r="C2662" s="85">
        <v>4</v>
      </c>
      <c r="D2662" s="85" t="s">
        <v>62</v>
      </c>
      <c r="E2662" s="85">
        <v>9</v>
      </c>
      <c r="F2662" s="85">
        <v>5</v>
      </c>
      <c r="G2662" s="85">
        <f>--(F2662&lt;=Estimator!$B$7)</f>
        <v>1</v>
      </c>
      <c r="H2662" s="86">
        <f>SUMIFS('Climate Data'!$G$7:$G$366,'Climate Data'!$A$7:$A$366,Estimator!$B$4,'Climate Data'!$B$7:$B$366,C2662)</f>
        <v>0.25555555555555559</v>
      </c>
      <c r="I2662" s="87">
        <f>SUMIFS('Climate Data'!$H$7:$H$366,'Climate Data'!$A$7:$A$366,Estimator!$B$4,'Climate Data'!$B$7:$B$366,C2662)</f>
        <v>7.5</v>
      </c>
      <c r="J2662" s="86">
        <f>SUMIFS('Wind Proxy'!$H$8:$H$19,'Wind Proxy'!$A$8:$A$19,Estimator!$B$4,'Wind Proxy'!$B$8:$B$19,C2662)</f>
        <v>0</v>
      </c>
    </row>
    <row r="2663" spans="1:10" ht="14.4">
      <c r="A2663" s="84">
        <v>48314</v>
      </c>
      <c r="B2663" s="85">
        <v>2032</v>
      </c>
      <c r="C2663" s="85">
        <v>4</v>
      </c>
      <c r="D2663" s="85" t="s">
        <v>62</v>
      </c>
      <c r="E2663" s="85">
        <v>10</v>
      </c>
      <c r="F2663" s="85">
        <v>6</v>
      </c>
      <c r="G2663" s="85">
        <f>--(F2663&lt;=Estimator!$B$7)</f>
        <v>0</v>
      </c>
      <c r="H2663" s="86">
        <f>SUMIFS('Climate Data'!$G$7:$G$366,'Climate Data'!$A$7:$A$366,Estimator!$B$4,'Climate Data'!$B$7:$B$366,C2663)</f>
        <v>0.25555555555555559</v>
      </c>
      <c r="I2663" s="87">
        <f>SUMIFS('Climate Data'!$H$7:$H$366,'Climate Data'!$A$7:$A$366,Estimator!$B$4,'Climate Data'!$B$7:$B$366,C2663)</f>
        <v>7.5</v>
      </c>
      <c r="J2663" s="86">
        <f>SUMIFS('Wind Proxy'!$H$8:$H$19,'Wind Proxy'!$A$8:$A$19,Estimator!$B$4,'Wind Proxy'!$B$8:$B$19,C2663)</f>
        <v>0</v>
      </c>
    </row>
    <row r="2664" spans="1:10" ht="14.4">
      <c r="A2664" s="84">
        <v>48315</v>
      </c>
      <c r="B2664" s="85">
        <v>2032</v>
      </c>
      <c r="C2664" s="85">
        <v>4</v>
      </c>
      <c r="D2664" s="85" t="s">
        <v>62</v>
      </c>
      <c r="E2664" s="85">
        <v>11</v>
      </c>
      <c r="F2664" s="85">
        <v>7</v>
      </c>
      <c r="G2664" s="85">
        <f>--(F2664&lt;=Estimator!$B$7)</f>
        <v>0</v>
      </c>
      <c r="H2664" s="86">
        <f>SUMIFS('Climate Data'!$G$7:$G$366,'Climate Data'!$A$7:$A$366,Estimator!$B$4,'Climate Data'!$B$7:$B$366,C2664)</f>
        <v>0.25555555555555559</v>
      </c>
      <c r="I2664" s="87">
        <f>SUMIFS('Climate Data'!$H$7:$H$366,'Climate Data'!$A$7:$A$366,Estimator!$B$4,'Climate Data'!$B$7:$B$366,C2664)</f>
        <v>7.5</v>
      </c>
      <c r="J2664" s="86">
        <f>SUMIFS('Wind Proxy'!$H$8:$H$19,'Wind Proxy'!$A$8:$A$19,Estimator!$B$4,'Wind Proxy'!$B$8:$B$19,C2664)</f>
        <v>0</v>
      </c>
    </row>
    <row r="2665" spans="1:10" ht="14.4">
      <c r="A2665" s="84">
        <v>48316</v>
      </c>
      <c r="B2665" s="85">
        <v>2032</v>
      </c>
      <c r="C2665" s="85">
        <v>4</v>
      </c>
      <c r="D2665" s="85" t="s">
        <v>62</v>
      </c>
      <c r="E2665" s="85">
        <v>12</v>
      </c>
      <c r="F2665" s="85">
        <v>1</v>
      </c>
      <c r="G2665" s="85">
        <f>--(F2665&lt;=Estimator!$B$7)</f>
        <v>1</v>
      </c>
      <c r="H2665" s="86">
        <f>SUMIFS('Climate Data'!$G$7:$G$366,'Climate Data'!$A$7:$A$366,Estimator!$B$4,'Climate Data'!$B$7:$B$366,C2665)</f>
        <v>0.25555555555555559</v>
      </c>
      <c r="I2665" s="87">
        <f>SUMIFS('Climate Data'!$H$7:$H$366,'Climate Data'!$A$7:$A$366,Estimator!$B$4,'Climate Data'!$B$7:$B$366,C2665)</f>
        <v>7.5</v>
      </c>
      <c r="J2665" s="86">
        <f>SUMIFS('Wind Proxy'!$H$8:$H$19,'Wind Proxy'!$A$8:$A$19,Estimator!$B$4,'Wind Proxy'!$B$8:$B$19,C2665)</f>
        <v>0</v>
      </c>
    </row>
    <row r="2666" spans="1:10" ht="14.4">
      <c r="A2666" s="84">
        <v>48317</v>
      </c>
      <c r="B2666" s="85">
        <v>2032</v>
      </c>
      <c r="C2666" s="85">
        <v>4</v>
      </c>
      <c r="D2666" s="85" t="s">
        <v>62</v>
      </c>
      <c r="E2666" s="85">
        <v>13</v>
      </c>
      <c r="F2666" s="85">
        <v>2</v>
      </c>
      <c r="G2666" s="85">
        <f>--(F2666&lt;=Estimator!$B$7)</f>
        <v>1</v>
      </c>
      <c r="H2666" s="86">
        <f>SUMIFS('Climate Data'!$G$7:$G$366,'Climate Data'!$A$7:$A$366,Estimator!$B$4,'Climate Data'!$B$7:$B$366,C2666)</f>
        <v>0.25555555555555559</v>
      </c>
      <c r="I2666" s="87">
        <f>SUMIFS('Climate Data'!$H$7:$H$366,'Climate Data'!$A$7:$A$366,Estimator!$B$4,'Climate Data'!$B$7:$B$366,C2666)</f>
        <v>7.5</v>
      </c>
      <c r="J2666" s="86">
        <f>SUMIFS('Wind Proxy'!$H$8:$H$19,'Wind Proxy'!$A$8:$A$19,Estimator!$B$4,'Wind Proxy'!$B$8:$B$19,C2666)</f>
        <v>0</v>
      </c>
    </row>
    <row r="2667" spans="1:10" ht="14.4">
      <c r="A2667" s="84">
        <v>48318</v>
      </c>
      <c r="B2667" s="85">
        <v>2032</v>
      </c>
      <c r="C2667" s="85">
        <v>4</v>
      </c>
      <c r="D2667" s="85" t="s">
        <v>62</v>
      </c>
      <c r="E2667" s="85">
        <v>14</v>
      </c>
      <c r="F2667" s="85">
        <v>3</v>
      </c>
      <c r="G2667" s="85">
        <f>--(F2667&lt;=Estimator!$B$7)</f>
        <v>1</v>
      </c>
      <c r="H2667" s="86">
        <f>SUMIFS('Climate Data'!$G$7:$G$366,'Climate Data'!$A$7:$A$366,Estimator!$B$4,'Climate Data'!$B$7:$B$366,C2667)</f>
        <v>0.25555555555555559</v>
      </c>
      <c r="I2667" s="87">
        <f>SUMIFS('Climate Data'!$H$7:$H$366,'Climate Data'!$A$7:$A$366,Estimator!$B$4,'Climate Data'!$B$7:$B$366,C2667)</f>
        <v>7.5</v>
      </c>
      <c r="J2667" s="86">
        <f>SUMIFS('Wind Proxy'!$H$8:$H$19,'Wind Proxy'!$A$8:$A$19,Estimator!$B$4,'Wind Proxy'!$B$8:$B$19,C2667)</f>
        <v>0</v>
      </c>
    </row>
    <row r="2668" spans="1:10" ht="14.4">
      <c r="A2668" s="84">
        <v>48319</v>
      </c>
      <c r="B2668" s="85">
        <v>2032</v>
      </c>
      <c r="C2668" s="85">
        <v>4</v>
      </c>
      <c r="D2668" s="85" t="s">
        <v>62</v>
      </c>
      <c r="E2668" s="85">
        <v>15</v>
      </c>
      <c r="F2668" s="85">
        <v>4</v>
      </c>
      <c r="G2668" s="85">
        <f>--(F2668&lt;=Estimator!$B$7)</f>
        <v>1</v>
      </c>
      <c r="H2668" s="86">
        <f>SUMIFS('Climate Data'!$G$7:$G$366,'Climate Data'!$A$7:$A$366,Estimator!$B$4,'Climate Data'!$B$7:$B$366,C2668)</f>
        <v>0.25555555555555559</v>
      </c>
      <c r="I2668" s="87">
        <f>SUMIFS('Climate Data'!$H$7:$H$366,'Climate Data'!$A$7:$A$366,Estimator!$B$4,'Climate Data'!$B$7:$B$366,C2668)</f>
        <v>7.5</v>
      </c>
      <c r="J2668" s="86">
        <f>SUMIFS('Wind Proxy'!$H$8:$H$19,'Wind Proxy'!$A$8:$A$19,Estimator!$B$4,'Wind Proxy'!$B$8:$B$19,C2668)</f>
        <v>0</v>
      </c>
    </row>
    <row r="2669" spans="1:10" ht="14.4">
      <c r="A2669" s="84">
        <v>48320</v>
      </c>
      <c r="B2669" s="85">
        <v>2032</v>
      </c>
      <c r="C2669" s="85">
        <v>4</v>
      </c>
      <c r="D2669" s="85" t="s">
        <v>62</v>
      </c>
      <c r="E2669" s="85">
        <v>16</v>
      </c>
      <c r="F2669" s="85">
        <v>5</v>
      </c>
      <c r="G2669" s="85">
        <f>--(F2669&lt;=Estimator!$B$7)</f>
        <v>1</v>
      </c>
      <c r="H2669" s="86">
        <f>SUMIFS('Climate Data'!$G$7:$G$366,'Climate Data'!$A$7:$A$366,Estimator!$B$4,'Climate Data'!$B$7:$B$366,C2669)</f>
        <v>0.25555555555555559</v>
      </c>
      <c r="I2669" s="87">
        <f>SUMIFS('Climate Data'!$H$7:$H$366,'Climate Data'!$A$7:$A$366,Estimator!$B$4,'Climate Data'!$B$7:$B$366,C2669)</f>
        <v>7.5</v>
      </c>
      <c r="J2669" s="86">
        <f>SUMIFS('Wind Proxy'!$H$8:$H$19,'Wind Proxy'!$A$8:$A$19,Estimator!$B$4,'Wind Proxy'!$B$8:$B$19,C2669)</f>
        <v>0</v>
      </c>
    </row>
    <row r="2670" spans="1:10" ht="14.4">
      <c r="A2670" s="84">
        <v>48321</v>
      </c>
      <c r="B2670" s="85">
        <v>2032</v>
      </c>
      <c r="C2670" s="85">
        <v>4</v>
      </c>
      <c r="D2670" s="85" t="s">
        <v>62</v>
      </c>
      <c r="E2670" s="85">
        <v>17</v>
      </c>
      <c r="F2670" s="85">
        <v>6</v>
      </c>
      <c r="G2670" s="85">
        <f>--(F2670&lt;=Estimator!$B$7)</f>
        <v>0</v>
      </c>
      <c r="H2670" s="86">
        <f>SUMIFS('Climate Data'!$G$7:$G$366,'Climate Data'!$A$7:$A$366,Estimator!$B$4,'Climate Data'!$B$7:$B$366,C2670)</f>
        <v>0.25555555555555559</v>
      </c>
      <c r="I2670" s="87">
        <f>SUMIFS('Climate Data'!$H$7:$H$366,'Climate Data'!$A$7:$A$366,Estimator!$B$4,'Climate Data'!$B$7:$B$366,C2670)</f>
        <v>7.5</v>
      </c>
      <c r="J2670" s="86">
        <f>SUMIFS('Wind Proxy'!$H$8:$H$19,'Wind Proxy'!$A$8:$A$19,Estimator!$B$4,'Wind Proxy'!$B$8:$B$19,C2670)</f>
        <v>0</v>
      </c>
    </row>
    <row r="2671" spans="1:10" ht="14.4">
      <c r="A2671" s="84">
        <v>48322</v>
      </c>
      <c r="B2671" s="85">
        <v>2032</v>
      </c>
      <c r="C2671" s="85">
        <v>4</v>
      </c>
      <c r="D2671" s="85" t="s">
        <v>62</v>
      </c>
      <c r="E2671" s="85">
        <v>18</v>
      </c>
      <c r="F2671" s="85">
        <v>7</v>
      </c>
      <c r="G2671" s="85">
        <f>--(F2671&lt;=Estimator!$B$7)</f>
        <v>0</v>
      </c>
      <c r="H2671" s="86">
        <f>SUMIFS('Climate Data'!$G$7:$G$366,'Climate Data'!$A$7:$A$366,Estimator!$B$4,'Climate Data'!$B$7:$B$366,C2671)</f>
        <v>0.25555555555555559</v>
      </c>
      <c r="I2671" s="87">
        <f>SUMIFS('Climate Data'!$H$7:$H$366,'Climate Data'!$A$7:$A$366,Estimator!$B$4,'Climate Data'!$B$7:$B$366,C2671)</f>
        <v>7.5</v>
      </c>
      <c r="J2671" s="86">
        <f>SUMIFS('Wind Proxy'!$H$8:$H$19,'Wind Proxy'!$A$8:$A$19,Estimator!$B$4,'Wind Proxy'!$B$8:$B$19,C2671)</f>
        <v>0</v>
      </c>
    </row>
    <row r="2672" spans="1:10" ht="14.4">
      <c r="A2672" s="84">
        <v>48323</v>
      </c>
      <c r="B2672" s="85">
        <v>2032</v>
      </c>
      <c r="C2672" s="85">
        <v>4</v>
      </c>
      <c r="D2672" s="85" t="s">
        <v>62</v>
      </c>
      <c r="E2672" s="85">
        <v>19</v>
      </c>
      <c r="F2672" s="85">
        <v>1</v>
      </c>
      <c r="G2672" s="85">
        <f>--(F2672&lt;=Estimator!$B$7)</f>
        <v>1</v>
      </c>
      <c r="H2672" s="86">
        <f>SUMIFS('Climate Data'!$G$7:$G$366,'Climate Data'!$A$7:$A$366,Estimator!$B$4,'Climate Data'!$B$7:$B$366,C2672)</f>
        <v>0.25555555555555559</v>
      </c>
      <c r="I2672" s="87">
        <f>SUMIFS('Climate Data'!$H$7:$H$366,'Climate Data'!$A$7:$A$366,Estimator!$B$4,'Climate Data'!$B$7:$B$366,C2672)</f>
        <v>7.5</v>
      </c>
      <c r="J2672" s="86">
        <f>SUMIFS('Wind Proxy'!$H$8:$H$19,'Wind Proxy'!$A$8:$A$19,Estimator!$B$4,'Wind Proxy'!$B$8:$B$19,C2672)</f>
        <v>0</v>
      </c>
    </row>
    <row r="2673" spans="1:10" ht="14.4">
      <c r="A2673" s="84">
        <v>48324</v>
      </c>
      <c r="B2673" s="85">
        <v>2032</v>
      </c>
      <c r="C2673" s="85">
        <v>4</v>
      </c>
      <c r="D2673" s="85" t="s">
        <v>62</v>
      </c>
      <c r="E2673" s="85">
        <v>20</v>
      </c>
      <c r="F2673" s="85">
        <v>2</v>
      </c>
      <c r="G2673" s="85">
        <f>--(F2673&lt;=Estimator!$B$7)</f>
        <v>1</v>
      </c>
      <c r="H2673" s="86">
        <f>SUMIFS('Climate Data'!$G$7:$G$366,'Climate Data'!$A$7:$A$366,Estimator!$B$4,'Climate Data'!$B$7:$B$366,C2673)</f>
        <v>0.25555555555555559</v>
      </c>
      <c r="I2673" s="87">
        <f>SUMIFS('Climate Data'!$H$7:$H$366,'Climate Data'!$A$7:$A$366,Estimator!$B$4,'Climate Data'!$B$7:$B$366,C2673)</f>
        <v>7.5</v>
      </c>
      <c r="J2673" s="86">
        <f>SUMIFS('Wind Proxy'!$H$8:$H$19,'Wind Proxy'!$A$8:$A$19,Estimator!$B$4,'Wind Proxy'!$B$8:$B$19,C2673)</f>
        <v>0</v>
      </c>
    </row>
    <row r="2674" spans="1:10" ht="14.4">
      <c r="A2674" s="84">
        <v>48325</v>
      </c>
      <c r="B2674" s="85">
        <v>2032</v>
      </c>
      <c r="C2674" s="85">
        <v>4</v>
      </c>
      <c r="D2674" s="85" t="s">
        <v>62</v>
      </c>
      <c r="E2674" s="85">
        <v>21</v>
      </c>
      <c r="F2674" s="85">
        <v>3</v>
      </c>
      <c r="G2674" s="85">
        <f>--(F2674&lt;=Estimator!$B$7)</f>
        <v>1</v>
      </c>
      <c r="H2674" s="86">
        <f>SUMIFS('Climate Data'!$G$7:$G$366,'Climate Data'!$A$7:$A$366,Estimator!$B$4,'Climate Data'!$B$7:$B$366,C2674)</f>
        <v>0.25555555555555559</v>
      </c>
      <c r="I2674" s="87">
        <f>SUMIFS('Climate Data'!$H$7:$H$366,'Climate Data'!$A$7:$A$366,Estimator!$B$4,'Climate Data'!$B$7:$B$366,C2674)</f>
        <v>7.5</v>
      </c>
      <c r="J2674" s="86">
        <f>SUMIFS('Wind Proxy'!$H$8:$H$19,'Wind Proxy'!$A$8:$A$19,Estimator!$B$4,'Wind Proxy'!$B$8:$B$19,C2674)</f>
        <v>0</v>
      </c>
    </row>
    <row r="2675" spans="1:10" ht="14.4">
      <c r="A2675" s="84">
        <v>48326</v>
      </c>
      <c r="B2675" s="85">
        <v>2032</v>
      </c>
      <c r="C2675" s="85">
        <v>4</v>
      </c>
      <c r="D2675" s="85" t="s">
        <v>62</v>
      </c>
      <c r="E2675" s="85">
        <v>22</v>
      </c>
      <c r="F2675" s="85">
        <v>4</v>
      </c>
      <c r="G2675" s="85">
        <f>--(F2675&lt;=Estimator!$B$7)</f>
        <v>1</v>
      </c>
      <c r="H2675" s="86">
        <f>SUMIFS('Climate Data'!$G$7:$G$366,'Climate Data'!$A$7:$A$366,Estimator!$B$4,'Climate Data'!$B$7:$B$366,C2675)</f>
        <v>0.25555555555555559</v>
      </c>
      <c r="I2675" s="87">
        <f>SUMIFS('Climate Data'!$H$7:$H$366,'Climate Data'!$A$7:$A$366,Estimator!$B$4,'Climate Data'!$B$7:$B$366,C2675)</f>
        <v>7.5</v>
      </c>
      <c r="J2675" s="86">
        <f>SUMIFS('Wind Proxy'!$H$8:$H$19,'Wind Proxy'!$A$8:$A$19,Estimator!$B$4,'Wind Proxy'!$B$8:$B$19,C2675)</f>
        <v>0</v>
      </c>
    </row>
    <row r="2676" spans="1:10" ht="14.4">
      <c r="A2676" s="84">
        <v>48327</v>
      </c>
      <c r="B2676" s="85">
        <v>2032</v>
      </c>
      <c r="C2676" s="85">
        <v>4</v>
      </c>
      <c r="D2676" s="85" t="s">
        <v>62</v>
      </c>
      <c r="E2676" s="85">
        <v>23</v>
      </c>
      <c r="F2676" s="85">
        <v>5</v>
      </c>
      <c r="G2676" s="85">
        <f>--(F2676&lt;=Estimator!$B$7)</f>
        <v>1</v>
      </c>
      <c r="H2676" s="86">
        <f>SUMIFS('Climate Data'!$G$7:$G$366,'Climate Data'!$A$7:$A$366,Estimator!$B$4,'Climate Data'!$B$7:$B$366,C2676)</f>
        <v>0.25555555555555559</v>
      </c>
      <c r="I2676" s="87">
        <f>SUMIFS('Climate Data'!$H$7:$H$366,'Climate Data'!$A$7:$A$366,Estimator!$B$4,'Climate Data'!$B$7:$B$366,C2676)</f>
        <v>7.5</v>
      </c>
      <c r="J2676" s="86">
        <f>SUMIFS('Wind Proxy'!$H$8:$H$19,'Wind Proxy'!$A$8:$A$19,Estimator!$B$4,'Wind Proxy'!$B$8:$B$19,C2676)</f>
        <v>0</v>
      </c>
    </row>
    <row r="2677" spans="1:10" ht="14.4">
      <c r="A2677" s="84">
        <v>48328</v>
      </c>
      <c r="B2677" s="85">
        <v>2032</v>
      </c>
      <c r="C2677" s="85">
        <v>4</v>
      </c>
      <c r="D2677" s="85" t="s">
        <v>62</v>
      </c>
      <c r="E2677" s="85">
        <v>24</v>
      </c>
      <c r="F2677" s="85">
        <v>6</v>
      </c>
      <c r="G2677" s="85">
        <f>--(F2677&lt;=Estimator!$B$7)</f>
        <v>0</v>
      </c>
      <c r="H2677" s="86">
        <f>SUMIFS('Climate Data'!$G$7:$G$366,'Climate Data'!$A$7:$A$366,Estimator!$B$4,'Climate Data'!$B$7:$B$366,C2677)</f>
        <v>0.25555555555555559</v>
      </c>
      <c r="I2677" s="87">
        <f>SUMIFS('Climate Data'!$H$7:$H$366,'Climate Data'!$A$7:$A$366,Estimator!$B$4,'Climate Data'!$B$7:$B$366,C2677)</f>
        <v>7.5</v>
      </c>
      <c r="J2677" s="86">
        <f>SUMIFS('Wind Proxy'!$H$8:$H$19,'Wind Proxy'!$A$8:$A$19,Estimator!$B$4,'Wind Proxy'!$B$8:$B$19,C2677)</f>
        <v>0</v>
      </c>
    </row>
    <row r="2678" spans="1:10" ht="14.4">
      <c r="A2678" s="84">
        <v>48329</v>
      </c>
      <c r="B2678" s="85">
        <v>2032</v>
      </c>
      <c r="C2678" s="85">
        <v>4</v>
      </c>
      <c r="D2678" s="85" t="s">
        <v>62</v>
      </c>
      <c r="E2678" s="85">
        <v>25</v>
      </c>
      <c r="F2678" s="85">
        <v>7</v>
      </c>
      <c r="G2678" s="85">
        <f>--(F2678&lt;=Estimator!$B$7)</f>
        <v>0</v>
      </c>
      <c r="H2678" s="86">
        <f>SUMIFS('Climate Data'!$G$7:$G$366,'Climate Data'!$A$7:$A$366,Estimator!$B$4,'Climate Data'!$B$7:$B$366,C2678)</f>
        <v>0.25555555555555559</v>
      </c>
      <c r="I2678" s="87">
        <f>SUMIFS('Climate Data'!$H$7:$H$366,'Climate Data'!$A$7:$A$366,Estimator!$B$4,'Climate Data'!$B$7:$B$366,C2678)</f>
        <v>7.5</v>
      </c>
      <c r="J2678" s="86">
        <f>SUMIFS('Wind Proxy'!$H$8:$H$19,'Wind Proxy'!$A$8:$A$19,Estimator!$B$4,'Wind Proxy'!$B$8:$B$19,C2678)</f>
        <v>0</v>
      </c>
    </row>
    <row r="2679" spans="1:10" ht="14.4">
      <c r="A2679" s="84">
        <v>48330</v>
      </c>
      <c r="B2679" s="85">
        <v>2032</v>
      </c>
      <c r="C2679" s="85">
        <v>4</v>
      </c>
      <c r="D2679" s="85" t="s">
        <v>62</v>
      </c>
      <c r="E2679" s="85">
        <v>26</v>
      </c>
      <c r="F2679" s="85">
        <v>1</v>
      </c>
      <c r="G2679" s="85">
        <f>--(F2679&lt;=Estimator!$B$7)</f>
        <v>1</v>
      </c>
      <c r="H2679" s="86">
        <f>SUMIFS('Climate Data'!$G$7:$G$366,'Climate Data'!$A$7:$A$366,Estimator!$B$4,'Climate Data'!$B$7:$B$366,C2679)</f>
        <v>0.25555555555555559</v>
      </c>
      <c r="I2679" s="87">
        <f>SUMIFS('Climate Data'!$H$7:$H$366,'Climate Data'!$A$7:$A$366,Estimator!$B$4,'Climate Data'!$B$7:$B$366,C2679)</f>
        <v>7.5</v>
      </c>
      <c r="J2679" s="86">
        <f>SUMIFS('Wind Proxy'!$H$8:$H$19,'Wind Proxy'!$A$8:$A$19,Estimator!$B$4,'Wind Proxy'!$B$8:$B$19,C2679)</f>
        <v>0</v>
      </c>
    </row>
    <row r="2680" spans="1:10" ht="14.4">
      <c r="A2680" s="84">
        <v>48331</v>
      </c>
      <c r="B2680" s="85">
        <v>2032</v>
      </c>
      <c r="C2680" s="85">
        <v>4</v>
      </c>
      <c r="D2680" s="85" t="s">
        <v>62</v>
      </c>
      <c r="E2680" s="85">
        <v>27</v>
      </c>
      <c r="F2680" s="85">
        <v>2</v>
      </c>
      <c r="G2680" s="85">
        <f>--(F2680&lt;=Estimator!$B$7)</f>
        <v>1</v>
      </c>
      <c r="H2680" s="86">
        <f>SUMIFS('Climate Data'!$G$7:$G$366,'Climate Data'!$A$7:$A$366,Estimator!$B$4,'Climate Data'!$B$7:$B$366,C2680)</f>
        <v>0.25555555555555559</v>
      </c>
      <c r="I2680" s="87">
        <f>SUMIFS('Climate Data'!$H$7:$H$366,'Climate Data'!$A$7:$A$366,Estimator!$B$4,'Climate Data'!$B$7:$B$366,C2680)</f>
        <v>7.5</v>
      </c>
      <c r="J2680" s="86">
        <f>SUMIFS('Wind Proxy'!$H$8:$H$19,'Wind Proxy'!$A$8:$A$19,Estimator!$B$4,'Wind Proxy'!$B$8:$B$19,C2680)</f>
        <v>0</v>
      </c>
    </row>
    <row r="2681" spans="1:10" ht="14.4">
      <c r="A2681" s="84">
        <v>48332</v>
      </c>
      <c r="B2681" s="85">
        <v>2032</v>
      </c>
      <c r="C2681" s="85">
        <v>4</v>
      </c>
      <c r="D2681" s="85" t="s">
        <v>62</v>
      </c>
      <c r="E2681" s="85">
        <v>28</v>
      </c>
      <c r="F2681" s="85">
        <v>3</v>
      </c>
      <c r="G2681" s="85">
        <f>--(F2681&lt;=Estimator!$B$7)</f>
        <v>1</v>
      </c>
      <c r="H2681" s="86">
        <f>SUMIFS('Climate Data'!$G$7:$G$366,'Climate Data'!$A$7:$A$366,Estimator!$B$4,'Climate Data'!$B$7:$B$366,C2681)</f>
        <v>0.25555555555555559</v>
      </c>
      <c r="I2681" s="87">
        <f>SUMIFS('Climate Data'!$H$7:$H$366,'Climate Data'!$A$7:$A$366,Estimator!$B$4,'Climate Data'!$B$7:$B$366,C2681)</f>
        <v>7.5</v>
      </c>
      <c r="J2681" s="86">
        <f>SUMIFS('Wind Proxy'!$H$8:$H$19,'Wind Proxy'!$A$8:$A$19,Estimator!$B$4,'Wind Proxy'!$B$8:$B$19,C2681)</f>
        <v>0</v>
      </c>
    </row>
    <row r="2682" spans="1:10" ht="14.4">
      <c r="A2682" s="84">
        <v>48333</v>
      </c>
      <c r="B2682" s="85">
        <v>2032</v>
      </c>
      <c r="C2682" s="85">
        <v>4</v>
      </c>
      <c r="D2682" s="85" t="s">
        <v>62</v>
      </c>
      <c r="E2682" s="85">
        <v>29</v>
      </c>
      <c r="F2682" s="85">
        <v>4</v>
      </c>
      <c r="G2682" s="85">
        <f>--(F2682&lt;=Estimator!$B$7)</f>
        <v>1</v>
      </c>
      <c r="H2682" s="86">
        <f>SUMIFS('Climate Data'!$G$7:$G$366,'Climate Data'!$A$7:$A$366,Estimator!$B$4,'Climate Data'!$B$7:$B$366,C2682)</f>
        <v>0.25555555555555559</v>
      </c>
      <c r="I2682" s="87">
        <f>SUMIFS('Climate Data'!$H$7:$H$366,'Climate Data'!$A$7:$A$366,Estimator!$B$4,'Climate Data'!$B$7:$B$366,C2682)</f>
        <v>7.5</v>
      </c>
      <c r="J2682" s="86">
        <f>SUMIFS('Wind Proxy'!$H$8:$H$19,'Wind Proxy'!$A$8:$A$19,Estimator!$B$4,'Wind Proxy'!$B$8:$B$19,C2682)</f>
        <v>0</v>
      </c>
    </row>
    <row r="2683" spans="1:10" ht="14.4">
      <c r="A2683" s="84">
        <v>48334</v>
      </c>
      <c r="B2683" s="85">
        <v>2032</v>
      </c>
      <c r="C2683" s="85">
        <v>4</v>
      </c>
      <c r="D2683" s="85" t="s">
        <v>62</v>
      </c>
      <c r="E2683" s="85">
        <v>30</v>
      </c>
      <c r="F2683" s="85">
        <v>5</v>
      </c>
      <c r="G2683" s="85">
        <f>--(F2683&lt;=Estimator!$B$7)</f>
        <v>1</v>
      </c>
      <c r="H2683" s="86">
        <f>SUMIFS('Climate Data'!$G$7:$G$366,'Climate Data'!$A$7:$A$366,Estimator!$B$4,'Climate Data'!$B$7:$B$366,C2683)</f>
        <v>0.25555555555555559</v>
      </c>
      <c r="I2683" s="87">
        <f>SUMIFS('Climate Data'!$H$7:$H$366,'Climate Data'!$A$7:$A$366,Estimator!$B$4,'Climate Data'!$B$7:$B$366,C2683)</f>
        <v>7.5</v>
      </c>
      <c r="J2683" s="86">
        <f>SUMIFS('Wind Proxy'!$H$8:$H$19,'Wind Proxy'!$A$8:$A$19,Estimator!$B$4,'Wind Proxy'!$B$8:$B$19,C2683)</f>
        <v>0</v>
      </c>
    </row>
    <row r="2684" spans="1:10" ht="14.4">
      <c r="A2684" s="84">
        <v>48335</v>
      </c>
      <c r="B2684" s="85">
        <v>2032</v>
      </c>
      <c r="C2684" s="85">
        <v>5</v>
      </c>
      <c r="D2684" s="85" t="s">
        <v>65</v>
      </c>
      <c r="E2684" s="85">
        <v>1</v>
      </c>
      <c r="F2684" s="85">
        <v>6</v>
      </c>
      <c r="G2684" s="85">
        <f>--(F2684&lt;=Estimator!$B$7)</f>
        <v>0</v>
      </c>
      <c r="H2684" s="86">
        <f>SUMIFS('Climate Data'!$G$7:$G$366,'Climate Data'!$A$7:$A$366,Estimator!$B$4,'Climate Data'!$B$7:$B$366,C2684)</f>
        <v>0.23010752688172045</v>
      </c>
      <c r="I2684" s="87">
        <f>SUMIFS('Climate Data'!$H$7:$H$366,'Climate Data'!$A$7:$A$366,Estimator!$B$4,'Climate Data'!$B$7:$B$366,C2684)</f>
        <v>8.1448598130841123</v>
      </c>
      <c r="J2684" s="86">
        <f>SUMIFS('Wind Proxy'!$H$8:$H$19,'Wind Proxy'!$A$8:$A$19,Estimator!$B$4,'Wind Proxy'!$B$8:$B$19,C2684)</f>
        <v>0</v>
      </c>
    </row>
    <row r="2685" spans="1:10" ht="14.4">
      <c r="A2685" s="84">
        <v>48336</v>
      </c>
      <c r="B2685" s="85">
        <v>2032</v>
      </c>
      <c r="C2685" s="85">
        <v>5</v>
      </c>
      <c r="D2685" s="85" t="s">
        <v>65</v>
      </c>
      <c r="E2685" s="85">
        <v>2</v>
      </c>
      <c r="F2685" s="85">
        <v>7</v>
      </c>
      <c r="G2685" s="85">
        <f>--(F2685&lt;=Estimator!$B$7)</f>
        <v>0</v>
      </c>
      <c r="H2685" s="86">
        <f>SUMIFS('Climate Data'!$G$7:$G$366,'Climate Data'!$A$7:$A$366,Estimator!$B$4,'Climate Data'!$B$7:$B$366,C2685)</f>
        <v>0.23010752688172045</v>
      </c>
      <c r="I2685" s="87">
        <f>SUMIFS('Climate Data'!$H$7:$H$366,'Climate Data'!$A$7:$A$366,Estimator!$B$4,'Climate Data'!$B$7:$B$366,C2685)</f>
        <v>8.1448598130841123</v>
      </c>
      <c r="J2685" s="86">
        <f>SUMIFS('Wind Proxy'!$H$8:$H$19,'Wind Proxy'!$A$8:$A$19,Estimator!$B$4,'Wind Proxy'!$B$8:$B$19,C2685)</f>
        <v>0</v>
      </c>
    </row>
    <row r="2686" spans="1:10" ht="14.4">
      <c r="A2686" s="84">
        <v>48337</v>
      </c>
      <c r="B2686" s="85">
        <v>2032</v>
      </c>
      <c r="C2686" s="85">
        <v>5</v>
      </c>
      <c r="D2686" s="85" t="s">
        <v>65</v>
      </c>
      <c r="E2686" s="85">
        <v>3</v>
      </c>
      <c r="F2686" s="85">
        <v>1</v>
      </c>
      <c r="G2686" s="85">
        <f>--(F2686&lt;=Estimator!$B$7)</f>
        <v>1</v>
      </c>
      <c r="H2686" s="86">
        <f>SUMIFS('Climate Data'!$G$7:$G$366,'Climate Data'!$A$7:$A$366,Estimator!$B$4,'Climate Data'!$B$7:$B$366,C2686)</f>
        <v>0.23010752688172045</v>
      </c>
      <c r="I2686" s="87">
        <f>SUMIFS('Climate Data'!$H$7:$H$366,'Climate Data'!$A$7:$A$366,Estimator!$B$4,'Climate Data'!$B$7:$B$366,C2686)</f>
        <v>8.1448598130841123</v>
      </c>
      <c r="J2686" s="86">
        <f>SUMIFS('Wind Proxy'!$H$8:$H$19,'Wind Proxy'!$A$8:$A$19,Estimator!$B$4,'Wind Proxy'!$B$8:$B$19,C2686)</f>
        <v>0</v>
      </c>
    </row>
    <row r="2687" spans="1:10" ht="14.4">
      <c r="A2687" s="84">
        <v>48338</v>
      </c>
      <c r="B2687" s="85">
        <v>2032</v>
      </c>
      <c r="C2687" s="85">
        <v>5</v>
      </c>
      <c r="D2687" s="85" t="s">
        <v>65</v>
      </c>
      <c r="E2687" s="85">
        <v>4</v>
      </c>
      <c r="F2687" s="85">
        <v>2</v>
      </c>
      <c r="G2687" s="85">
        <f>--(F2687&lt;=Estimator!$B$7)</f>
        <v>1</v>
      </c>
      <c r="H2687" s="86">
        <f>SUMIFS('Climate Data'!$G$7:$G$366,'Climate Data'!$A$7:$A$366,Estimator!$B$4,'Climate Data'!$B$7:$B$366,C2687)</f>
        <v>0.23010752688172045</v>
      </c>
      <c r="I2687" s="87">
        <f>SUMIFS('Climate Data'!$H$7:$H$366,'Climate Data'!$A$7:$A$366,Estimator!$B$4,'Climate Data'!$B$7:$B$366,C2687)</f>
        <v>8.1448598130841123</v>
      </c>
      <c r="J2687" s="86">
        <f>SUMIFS('Wind Proxy'!$H$8:$H$19,'Wind Proxy'!$A$8:$A$19,Estimator!$B$4,'Wind Proxy'!$B$8:$B$19,C2687)</f>
        <v>0</v>
      </c>
    </row>
    <row r="2688" spans="1:10" ht="14.4">
      <c r="A2688" s="84">
        <v>48339</v>
      </c>
      <c r="B2688" s="85">
        <v>2032</v>
      </c>
      <c r="C2688" s="85">
        <v>5</v>
      </c>
      <c r="D2688" s="85" t="s">
        <v>65</v>
      </c>
      <c r="E2688" s="85">
        <v>5</v>
      </c>
      <c r="F2688" s="85">
        <v>3</v>
      </c>
      <c r="G2688" s="85">
        <f>--(F2688&lt;=Estimator!$B$7)</f>
        <v>1</v>
      </c>
      <c r="H2688" s="86">
        <f>SUMIFS('Climate Data'!$G$7:$G$366,'Climate Data'!$A$7:$A$366,Estimator!$B$4,'Climate Data'!$B$7:$B$366,C2688)</f>
        <v>0.23010752688172045</v>
      </c>
      <c r="I2688" s="87">
        <f>SUMIFS('Climate Data'!$H$7:$H$366,'Climate Data'!$A$7:$A$366,Estimator!$B$4,'Climate Data'!$B$7:$B$366,C2688)</f>
        <v>8.1448598130841123</v>
      </c>
      <c r="J2688" s="86">
        <f>SUMIFS('Wind Proxy'!$H$8:$H$19,'Wind Proxy'!$A$8:$A$19,Estimator!$B$4,'Wind Proxy'!$B$8:$B$19,C2688)</f>
        <v>0</v>
      </c>
    </row>
    <row r="2689" spans="1:10" ht="14.4">
      <c r="A2689" s="84">
        <v>48340</v>
      </c>
      <c r="B2689" s="85">
        <v>2032</v>
      </c>
      <c r="C2689" s="85">
        <v>5</v>
      </c>
      <c r="D2689" s="85" t="s">
        <v>65</v>
      </c>
      <c r="E2689" s="85">
        <v>6</v>
      </c>
      <c r="F2689" s="85">
        <v>4</v>
      </c>
      <c r="G2689" s="85">
        <f>--(F2689&lt;=Estimator!$B$7)</f>
        <v>1</v>
      </c>
      <c r="H2689" s="86">
        <f>SUMIFS('Climate Data'!$G$7:$G$366,'Climate Data'!$A$7:$A$366,Estimator!$B$4,'Climate Data'!$B$7:$B$366,C2689)</f>
        <v>0.23010752688172045</v>
      </c>
      <c r="I2689" s="87">
        <f>SUMIFS('Climate Data'!$H$7:$H$366,'Climate Data'!$A$7:$A$366,Estimator!$B$4,'Climate Data'!$B$7:$B$366,C2689)</f>
        <v>8.1448598130841123</v>
      </c>
      <c r="J2689" s="86">
        <f>SUMIFS('Wind Proxy'!$H$8:$H$19,'Wind Proxy'!$A$8:$A$19,Estimator!$B$4,'Wind Proxy'!$B$8:$B$19,C2689)</f>
        <v>0</v>
      </c>
    </row>
    <row r="2690" spans="1:10" ht="14.4">
      <c r="A2690" s="84">
        <v>48341</v>
      </c>
      <c r="B2690" s="85">
        <v>2032</v>
      </c>
      <c r="C2690" s="85">
        <v>5</v>
      </c>
      <c r="D2690" s="85" t="s">
        <v>65</v>
      </c>
      <c r="E2690" s="85">
        <v>7</v>
      </c>
      <c r="F2690" s="85">
        <v>5</v>
      </c>
      <c r="G2690" s="85">
        <f>--(F2690&lt;=Estimator!$B$7)</f>
        <v>1</v>
      </c>
      <c r="H2690" s="86">
        <f>SUMIFS('Climate Data'!$G$7:$G$366,'Climate Data'!$A$7:$A$366,Estimator!$B$4,'Climate Data'!$B$7:$B$366,C2690)</f>
        <v>0.23010752688172045</v>
      </c>
      <c r="I2690" s="87">
        <f>SUMIFS('Climate Data'!$H$7:$H$366,'Climate Data'!$A$7:$A$366,Estimator!$B$4,'Climate Data'!$B$7:$B$366,C2690)</f>
        <v>8.1448598130841123</v>
      </c>
      <c r="J2690" s="86">
        <f>SUMIFS('Wind Proxy'!$H$8:$H$19,'Wind Proxy'!$A$8:$A$19,Estimator!$B$4,'Wind Proxy'!$B$8:$B$19,C2690)</f>
        <v>0</v>
      </c>
    </row>
    <row r="2691" spans="1:10" ht="14.4">
      <c r="A2691" s="84">
        <v>48342</v>
      </c>
      <c r="B2691" s="85">
        <v>2032</v>
      </c>
      <c r="C2691" s="85">
        <v>5</v>
      </c>
      <c r="D2691" s="85" t="s">
        <v>65</v>
      </c>
      <c r="E2691" s="85">
        <v>8</v>
      </c>
      <c r="F2691" s="85">
        <v>6</v>
      </c>
      <c r="G2691" s="85">
        <f>--(F2691&lt;=Estimator!$B$7)</f>
        <v>0</v>
      </c>
      <c r="H2691" s="86">
        <f>SUMIFS('Climate Data'!$G$7:$G$366,'Climate Data'!$A$7:$A$366,Estimator!$B$4,'Climate Data'!$B$7:$B$366,C2691)</f>
        <v>0.23010752688172045</v>
      </c>
      <c r="I2691" s="87">
        <f>SUMIFS('Climate Data'!$H$7:$H$366,'Climate Data'!$A$7:$A$366,Estimator!$B$4,'Climate Data'!$B$7:$B$366,C2691)</f>
        <v>8.1448598130841123</v>
      </c>
      <c r="J2691" s="86">
        <f>SUMIFS('Wind Proxy'!$H$8:$H$19,'Wind Proxy'!$A$8:$A$19,Estimator!$B$4,'Wind Proxy'!$B$8:$B$19,C2691)</f>
        <v>0</v>
      </c>
    </row>
    <row r="2692" spans="1:10" ht="14.4">
      <c r="A2692" s="84">
        <v>48343</v>
      </c>
      <c r="B2692" s="85">
        <v>2032</v>
      </c>
      <c r="C2692" s="85">
        <v>5</v>
      </c>
      <c r="D2692" s="85" t="s">
        <v>65</v>
      </c>
      <c r="E2692" s="85">
        <v>9</v>
      </c>
      <c r="F2692" s="85">
        <v>7</v>
      </c>
      <c r="G2692" s="85">
        <f>--(F2692&lt;=Estimator!$B$7)</f>
        <v>0</v>
      </c>
      <c r="H2692" s="86">
        <f>SUMIFS('Climate Data'!$G$7:$G$366,'Climate Data'!$A$7:$A$366,Estimator!$B$4,'Climate Data'!$B$7:$B$366,C2692)</f>
        <v>0.23010752688172045</v>
      </c>
      <c r="I2692" s="87">
        <f>SUMIFS('Climate Data'!$H$7:$H$366,'Climate Data'!$A$7:$A$366,Estimator!$B$4,'Climate Data'!$B$7:$B$366,C2692)</f>
        <v>8.1448598130841123</v>
      </c>
      <c r="J2692" s="86">
        <f>SUMIFS('Wind Proxy'!$H$8:$H$19,'Wind Proxy'!$A$8:$A$19,Estimator!$B$4,'Wind Proxy'!$B$8:$B$19,C2692)</f>
        <v>0</v>
      </c>
    </row>
    <row r="2693" spans="1:10" ht="14.4">
      <c r="A2693" s="84">
        <v>48344</v>
      </c>
      <c r="B2693" s="85">
        <v>2032</v>
      </c>
      <c r="C2693" s="85">
        <v>5</v>
      </c>
      <c r="D2693" s="85" t="s">
        <v>65</v>
      </c>
      <c r="E2693" s="85">
        <v>10</v>
      </c>
      <c r="F2693" s="85">
        <v>1</v>
      </c>
      <c r="G2693" s="85">
        <f>--(F2693&lt;=Estimator!$B$7)</f>
        <v>1</v>
      </c>
      <c r="H2693" s="86">
        <f>SUMIFS('Climate Data'!$G$7:$G$366,'Climate Data'!$A$7:$A$366,Estimator!$B$4,'Climate Data'!$B$7:$B$366,C2693)</f>
        <v>0.23010752688172045</v>
      </c>
      <c r="I2693" s="87">
        <f>SUMIFS('Climate Data'!$H$7:$H$366,'Climate Data'!$A$7:$A$366,Estimator!$B$4,'Climate Data'!$B$7:$B$366,C2693)</f>
        <v>8.1448598130841123</v>
      </c>
      <c r="J2693" s="86">
        <f>SUMIFS('Wind Proxy'!$H$8:$H$19,'Wind Proxy'!$A$8:$A$19,Estimator!$B$4,'Wind Proxy'!$B$8:$B$19,C2693)</f>
        <v>0</v>
      </c>
    </row>
    <row r="2694" spans="1:10" ht="14.4">
      <c r="A2694" s="84">
        <v>48345</v>
      </c>
      <c r="B2694" s="85">
        <v>2032</v>
      </c>
      <c r="C2694" s="85">
        <v>5</v>
      </c>
      <c r="D2694" s="85" t="s">
        <v>65</v>
      </c>
      <c r="E2694" s="85">
        <v>11</v>
      </c>
      <c r="F2694" s="85">
        <v>2</v>
      </c>
      <c r="G2694" s="85">
        <f>--(F2694&lt;=Estimator!$B$7)</f>
        <v>1</v>
      </c>
      <c r="H2694" s="86">
        <f>SUMIFS('Climate Data'!$G$7:$G$366,'Climate Data'!$A$7:$A$366,Estimator!$B$4,'Climate Data'!$B$7:$B$366,C2694)</f>
        <v>0.23010752688172045</v>
      </c>
      <c r="I2694" s="87">
        <f>SUMIFS('Climate Data'!$H$7:$H$366,'Climate Data'!$A$7:$A$366,Estimator!$B$4,'Climate Data'!$B$7:$B$366,C2694)</f>
        <v>8.1448598130841123</v>
      </c>
      <c r="J2694" s="86">
        <f>SUMIFS('Wind Proxy'!$H$8:$H$19,'Wind Proxy'!$A$8:$A$19,Estimator!$B$4,'Wind Proxy'!$B$8:$B$19,C2694)</f>
        <v>0</v>
      </c>
    </row>
    <row r="2695" spans="1:10" ht="14.4">
      <c r="A2695" s="84">
        <v>48346</v>
      </c>
      <c r="B2695" s="85">
        <v>2032</v>
      </c>
      <c r="C2695" s="85">
        <v>5</v>
      </c>
      <c r="D2695" s="85" t="s">
        <v>65</v>
      </c>
      <c r="E2695" s="85">
        <v>12</v>
      </c>
      <c r="F2695" s="85">
        <v>3</v>
      </c>
      <c r="G2695" s="85">
        <f>--(F2695&lt;=Estimator!$B$7)</f>
        <v>1</v>
      </c>
      <c r="H2695" s="86">
        <f>SUMIFS('Climate Data'!$G$7:$G$366,'Climate Data'!$A$7:$A$366,Estimator!$B$4,'Climate Data'!$B$7:$B$366,C2695)</f>
        <v>0.23010752688172045</v>
      </c>
      <c r="I2695" s="87">
        <f>SUMIFS('Climate Data'!$H$7:$H$366,'Climate Data'!$A$7:$A$366,Estimator!$B$4,'Climate Data'!$B$7:$B$366,C2695)</f>
        <v>8.1448598130841123</v>
      </c>
      <c r="J2695" s="86">
        <f>SUMIFS('Wind Proxy'!$H$8:$H$19,'Wind Proxy'!$A$8:$A$19,Estimator!$B$4,'Wind Proxy'!$B$8:$B$19,C2695)</f>
        <v>0</v>
      </c>
    </row>
    <row r="2696" spans="1:10" ht="14.4">
      <c r="A2696" s="84">
        <v>48347</v>
      </c>
      <c r="B2696" s="85">
        <v>2032</v>
      </c>
      <c r="C2696" s="85">
        <v>5</v>
      </c>
      <c r="D2696" s="85" t="s">
        <v>65</v>
      </c>
      <c r="E2696" s="85">
        <v>13</v>
      </c>
      <c r="F2696" s="85">
        <v>4</v>
      </c>
      <c r="G2696" s="85">
        <f>--(F2696&lt;=Estimator!$B$7)</f>
        <v>1</v>
      </c>
      <c r="H2696" s="86">
        <f>SUMIFS('Climate Data'!$G$7:$G$366,'Climate Data'!$A$7:$A$366,Estimator!$B$4,'Climate Data'!$B$7:$B$366,C2696)</f>
        <v>0.23010752688172045</v>
      </c>
      <c r="I2696" s="87">
        <f>SUMIFS('Climate Data'!$H$7:$H$366,'Climate Data'!$A$7:$A$366,Estimator!$B$4,'Climate Data'!$B$7:$B$366,C2696)</f>
        <v>8.1448598130841123</v>
      </c>
      <c r="J2696" s="86">
        <f>SUMIFS('Wind Proxy'!$H$8:$H$19,'Wind Proxy'!$A$8:$A$19,Estimator!$B$4,'Wind Proxy'!$B$8:$B$19,C2696)</f>
        <v>0</v>
      </c>
    </row>
    <row r="2697" spans="1:10" ht="14.4">
      <c r="A2697" s="84">
        <v>48348</v>
      </c>
      <c r="B2697" s="85">
        <v>2032</v>
      </c>
      <c r="C2697" s="85">
        <v>5</v>
      </c>
      <c r="D2697" s="85" t="s">
        <v>65</v>
      </c>
      <c r="E2697" s="85">
        <v>14</v>
      </c>
      <c r="F2697" s="85">
        <v>5</v>
      </c>
      <c r="G2697" s="85">
        <f>--(F2697&lt;=Estimator!$B$7)</f>
        <v>1</v>
      </c>
      <c r="H2697" s="86">
        <f>SUMIFS('Climate Data'!$G$7:$G$366,'Climate Data'!$A$7:$A$366,Estimator!$B$4,'Climate Data'!$B$7:$B$366,C2697)</f>
        <v>0.23010752688172045</v>
      </c>
      <c r="I2697" s="87">
        <f>SUMIFS('Climate Data'!$H$7:$H$366,'Climate Data'!$A$7:$A$366,Estimator!$B$4,'Climate Data'!$B$7:$B$366,C2697)</f>
        <v>8.1448598130841123</v>
      </c>
      <c r="J2697" s="86">
        <f>SUMIFS('Wind Proxy'!$H$8:$H$19,'Wind Proxy'!$A$8:$A$19,Estimator!$B$4,'Wind Proxy'!$B$8:$B$19,C2697)</f>
        <v>0</v>
      </c>
    </row>
    <row r="2698" spans="1:10" ht="14.4">
      <c r="A2698" s="84">
        <v>48349</v>
      </c>
      <c r="B2698" s="85">
        <v>2032</v>
      </c>
      <c r="C2698" s="85">
        <v>5</v>
      </c>
      <c r="D2698" s="85" t="s">
        <v>65</v>
      </c>
      <c r="E2698" s="85">
        <v>15</v>
      </c>
      <c r="F2698" s="85">
        <v>6</v>
      </c>
      <c r="G2698" s="85">
        <f>--(F2698&lt;=Estimator!$B$7)</f>
        <v>0</v>
      </c>
      <c r="H2698" s="86">
        <f>SUMIFS('Climate Data'!$G$7:$G$366,'Climate Data'!$A$7:$A$366,Estimator!$B$4,'Climate Data'!$B$7:$B$366,C2698)</f>
        <v>0.23010752688172045</v>
      </c>
      <c r="I2698" s="87">
        <f>SUMIFS('Climate Data'!$H$7:$H$366,'Climate Data'!$A$7:$A$366,Estimator!$B$4,'Climate Data'!$B$7:$B$366,C2698)</f>
        <v>8.1448598130841123</v>
      </c>
      <c r="J2698" s="86">
        <f>SUMIFS('Wind Proxy'!$H$8:$H$19,'Wind Proxy'!$A$8:$A$19,Estimator!$B$4,'Wind Proxy'!$B$8:$B$19,C2698)</f>
        <v>0</v>
      </c>
    </row>
    <row r="2699" spans="1:10" ht="14.4">
      <c r="A2699" s="84">
        <v>48350</v>
      </c>
      <c r="B2699" s="85">
        <v>2032</v>
      </c>
      <c r="C2699" s="85">
        <v>5</v>
      </c>
      <c r="D2699" s="85" t="s">
        <v>65</v>
      </c>
      <c r="E2699" s="85">
        <v>16</v>
      </c>
      <c r="F2699" s="85">
        <v>7</v>
      </c>
      <c r="G2699" s="85">
        <f>--(F2699&lt;=Estimator!$B$7)</f>
        <v>0</v>
      </c>
      <c r="H2699" s="86">
        <f>SUMIFS('Climate Data'!$G$7:$G$366,'Climate Data'!$A$7:$A$366,Estimator!$B$4,'Climate Data'!$B$7:$B$366,C2699)</f>
        <v>0.23010752688172045</v>
      </c>
      <c r="I2699" s="87">
        <f>SUMIFS('Climate Data'!$H$7:$H$366,'Climate Data'!$A$7:$A$366,Estimator!$B$4,'Climate Data'!$B$7:$B$366,C2699)</f>
        <v>8.1448598130841123</v>
      </c>
      <c r="J2699" s="86">
        <f>SUMIFS('Wind Proxy'!$H$8:$H$19,'Wind Proxy'!$A$8:$A$19,Estimator!$B$4,'Wind Proxy'!$B$8:$B$19,C2699)</f>
        <v>0</v>
      </c>
    </row>
    <row r="2700" spans="1:10" ht="14.4">
      <c r="A2700" s="84">
        <v>48351</v>
      </c>
      <c r="B2700" s="85">
        <v>2032</v>
      </c>
      <c r="C2700" s="85">
        <v>5</v>
      </c>
      <c r="D2700" s="85" t="s">
        <v>65</v>
      </c>
      <c r="E2700" s="85">
        <v>17</v>
      </c>
      <c r="F2700" s="85">
        <v>1</v>
      </c>
      <c r="G2700" s="85">
        <f>--(F2700&lt;=Estimator!$B$7)</f>
        <v>1</v>
      </c>
      <c r="H2700" s="86">
        <f>SUMIFS('Climate Data'!$G$7:$G$366,'Climate Data'!$A$7:$A$366,Estimator!$B$4,'Climate Data'!$B$7:$B$366,C2700)</f>
        <v>0.23010752688172045</v>
      </c>
      <c r="I2700" s="87">
        <f>SUMIFS('Climate Data'!$H$7:$H$366,'Climate Data'!$A$7:$A$366,Estimator!$B$4,'Climate Data'!$B$7:$B$366,C2700)</f>
        <v>8.1448598130841123</v>
      </c>
      <c r="J2700" s="86">
        <f>SUMIFS('Wind Proxy'!$H$8:$H$19,'Wind Proxy'!$A$8:$A$19,Estimator!$B$4,'Wind Proxy'!$B$8:$B$19,C2700)</f>
        <v>0</v>
      </c>
    </row>
    <row r="2701" spans="1:10" ht="14.4">
      <c r="A2701" s="84">
        <v>48352</v>
      </c>
      <c r="B2701" s="85">
        <v>2032</v>
      </c>
      <c r="C2701" s="85">
        <v>5</v>
      </c>
      <c r="D2701" s="85" t="s">
        <v>65</v>
      </c>
      <c r="E2701" s="85">
        <v>18</v>
      </c>
      <c r="F2701" s="85">
        <v>2</v>
      </c>
      <c r="G2701" s="85">
        <f>--(F2701&lt;=Estimator!$B$7)</f>
        <v>1</v>
      </c>
      <c r="H2701" s="86">
        <f>SUMIFS('Climate Data'!$G$7:$G$366,'Climate Data'!$A$7:$A$366,Estimator!$B$4,'Climate Data'!$B$7:$B$366,C2701)</f>
        <v>0.23010752688172045</v>
      </c>
      <c r="I2701" s="87">
        <f>SUMIFS('Climate Data'!$H$7:$H$366,'Climate Data'!$A$7:$A$366,Estimator!$B$4,'Climate Data'!$B$7:$B$366,C2701)</f>
        <v>8.1448598130841123</v>
      </c>
      <c r="J2701" s="86">
        <f>SUMIFS('Wind Proxy'!$H$8:$H$19,'Wind Proxy'!$A$8:$A$19,Estimator!$B$4,'Wind Proxy'!$B$8:$B$19,C2701)</f>
        <v>0</v>
      </c>
    </row>
    <row r="2702" spans="1:10" ht="14.4">
      <c r="A2702" s="84">
        <v>48353</v>
      </c>
      <c r="B2702" s="85">
        <v>2032</v>
      </c>
      <c r="C2702" s="85">
        <v>5</v>
      </c>
      <c r="D2702" s="85" t="s">
        <v>65</v>
      </c>
      <c r="E2702" s="85">
        <v>19</v>
      </c>
      <c r="F2702" s="85">
        <v>3</v>
      </c>
      <c r="G2702" s="85">
        <f>--(F2702&lt;=Estimator!$B$7)</f>
        <v>1</v>
      </c>
      <c r="H2702" s="86">
        <f>SUMIFS('Climate Data'!$G$7:$G$366,'Climate Data'!$A$7:$A$366,Estimator!$B$4,'Climate Data'!$B$7:$B$366,C2702)</f>
        <v>0.23010752688172045</v>
      </c>
      <c r="I2702" s="87">
        <f>SUMIFS('Climate Data'!$H$7:$H$366,'Climate Data'!$A$7:$A$366,Estimator!$B$4,'Climate Data'!$B$7:$B$366,C2702)</f>
        <v>8.1448598130841123</v>
      </c>
      <c r="J2702" s="86">
        <f>SUMIFS('Wind Proxy'!$H$8:$H$19,'Wind Proxy'!$A$8:$A$19,Estimator!$B$4,'Wind Proxy'!$B$8:$B$19,C2702)</f>
        <v>0</v>
      </c>
    </row>
    <row r="2703" spans="1:10" ht="14.4">
      <c r="A2703" s="84">
        <v>48354</v>
      </c>
      <c r="B2703" s="85">
        <v>2032</v>
      </c>
      <c r="C2703" s="85">
        <v>5</v>
      </c>
      <c r="D2703" s="85" t="s">
        <v>65</v>
      </c>
      <c r="E2703" s="85">
        <v>20</v>
      </c>
      <c r="F2703" s="85">
        <v>4</v>
      </c>
      <c r="G2703" s="85">
        <f>--(F2703&lt;=Estimator!$B$7)</f>
        <v>1</v>
      </c>
      <c r="H2703" s="86">
        <f>SUMIFS('Climate Data'!$G$7:$G$366,'Climate Data'!$A$7:$A$366,Estimator!$B$4,'Climate Data'!$B$7:$B$366,C2703)</f>
        <v>0.23010752688172045</v>
      </c>
      <c r="I2703" s="87">
        <f>SUMIFS('Climate Data'!$H$7:$H$366,'Climate Data'!$A$7:$A$366,Estimator!$B$4,'Climate Data'!$B$7:$B$366,C2703)</f>
        <v>8.1448598130841123</v>
      </c>
      <c r="J2703" s="86">
        <f>SUMIFS('Wind Proxy'!$H$8:$H$19,'Wind Proxy'!$A$8:$A$19,Estimator!$B$4,'Wind Proxy'!$B$8:$B$19,C2703)</f>
        <v>0</v>
      </c>
    </row>
    <row r="2704" spans="1:10" ht="14.4">
      <c r="A2704" s="84">
        <v>48355</v>
      </c>
      <c r="B2704" s="85">
        <v>2032</v>
      </c>
      <c r="C2704" s="85">
        <v>5</v>
      </c>
      <c r="D2704" s="85" t="s">
        <v>65</v>
      </c>
      <c r="E2704" s="85">
        <v>21</v>
      </c>
      <c r="F2704" s="85">
        <v>5</v>
      </c>
      <c r="G2704" s="85">
        <f>--(F2704&lt;=Estimator!$B$7)</f>
        <v>1</v>
      </c>
      <c r="H2704" s="86">
        <f>SUMIFS('Climate Data'!$G$7:$G$366,'Climate Data'!$A$7:$A$366,Estimator!$B$4,'Climate Data'!$B$7:$B$366,C2704)</f>
        <v>0.23010752688172045</v>
      </c>
      <c r="I2704" s="87">
        <f>SUMIFS('Climate Data'!$H$7:$H$366,'Climate Data'!$A$7:$A$366,Estimator!$B$4,'Climate Data'!$B$7:$B$366,C2704)</f>
        <v>8.1448598130841123</v>
      </c>
      <c r="J2704" s="86">
        <f>SUMIFS('Wind Proxy'!$H$8:$H$19,'Wind Proxy'!$A$8:$A$19,Estimator!$B$4,'Wind Proxy'!$B$8:$B$19,C2704)</f>
        <v>0</v>
      </c>
    </row>
    <row r="2705" spans="1:10" ht="14.4">
      <c r="A2705" s="84">
        <v>48356</v>
      </c>
      <c r="B2705" s="85">
        <v>2032</v>
      </c>
      <c r="C2705" s="85">
        <v>5</v>
      </c>
      <c r="D2705" s="85" t="s">
        <v>65</v>
      </c>
      <c r="E2705" s="85">
        <v>22</v>
      </c>
      <c r="F2705" s="85">
        <v>6</v>
      </c>
      <c r="G2705" s="85">
        <f>--(F2705&lt;=Estimator!$B$7)</f>
        <v>0</v>
      </c>
      <c r="H2705" s="86">
        <f>SUMIFS('Climate Data'!$G$7:$G$366,'Climate Data'!$A$7:$A$366,Estimator!$B$4,'Climate Data'!$B$7:$B$366,C2705)</f>
        <v>0.23010752688172045</v>
      </c>
      <c r="I2705" s="87">
        <f>SUMIFS('Climate Data'!$H$7:$H$366,'Climate Data'!$A$7:$A$366,Estimator!$B$4,'Climate Data'!$B$7:$B$366,C2705)</f>
        <v>8.1448598130841123</v>
      </c>
      <c r="J2705" s="86">
        <f>SUMIFS('Wind Proxy'!$H$8:$H$19,'Wind Proxy'!$A$8:$A$19,Estimator!$B$4,'Wind Proxy'!$B$8:$B$19,C2705)</f>
        <v>0</v>
      </c>
    </row>
    <row r="2706" spans="1:10" ht="14.4">
      <c r="A2706" s="84">
        <v>48357</v>
      </c>
      <c r="B2706" s="85">
        <v>2032</v>
      </c>
      <c r="C2706" s="85">
        <v>5</v>
      </c>
      <c r="D2706" s="85" t="s">
        <v>65</v>
      </c>
      <c r="E2706" s="85">
        <v>23</v>
      </c>
      <c r="F2706" s="85">
        <v>7</v>
      </c>
      <c r="G2706" s="85">
        <f>--(F2706&lt;=Estimator!$B$7)</f>
        <v>0</v>
      </c>
      <c r="H2706" s="86">
        <f>SUMIFS('Climate Data'!$G$7:$G$366,'Climate Data'!$A$7:$A$366,Estimator!$B$4,'Climate Data'!$B$7:$B$366,C2706)</f>
        <v>0.23010752688172045</v>
      </c>
      <c r="I2706" s="87">
        <f>SUMIFS('Climate Data'!$H$7:$H$366,'Climate Data'!$A$7:$A$366,Estimator!$B$4,'Climate Data'!$B$7:$B$366,C2706)</f>
        <v>8.1448598130841123</v>
      </c>
      <c r="J2706" s="86">
        <f>SUMIFS('Wind Proxy'!$H$8:$H$19,'Wind Proxy'!$A$8:$A$19,Estimator!$B$4,'Wind Proxy'!$B$8:$B$19,C2706)</f>
        <v>0</v>
      </c>
    </row>
    <row r="2707" spans="1:10" ht="14.4">
      <c r="A2707" s="84">
        <v>48358</v>
      </c>
      <c r="B2707" s="85">
        <v>2032</v>
      </c>
      <c r="C2707" s="85">
        <v>5</v>
      </c>
      <c r="D2707" s="85" t="s">
        <v>65</v>
      </c>
      <c r="E2707" s="85">
        <v>24</v>
      </c>
      <c r="F2707" s="85">
        <v>1</v>
      </c>
      <c r="G2707" s="85">
        <f>--(F2707&lt;=Estimator!$B$7)</f>
        <v>1</v>
      </c>
      <c r="H2707" s="86">
        <f>SUMIFS('Climate Data'!$G$7:$G$366,'Climate Data'!$A$7:$A$366,Estimator!$B$4,'Climate Data'!$B$7:$B$366,C2707)</f>
        <v>0.23010752688172045</v>
      </c>
      <c r="I2707" s="87">
        <f>SUMIFS('Climate Data'!$H$7:$H$366,'Climate Data'!$A$7:$A$366,Estimator!$B$4,'Climate Data'!$B$7:$B$366,C2707)</f>
        <v>8.1448598130841123</v>
      </c>
      <c r="J2707" s="86">
        <f>SUMIFS('Wind Proxy'!$H$8:$H$19,'Wind Proxy'!$A$8:$A$19,Estimator!$B$4,'Wind Proxy'!$B$8:$B$19,C2707)</f>
        <v>0</v>
      </c>
    </row>
    <row r="2708" spans="1:10" ht="14.4">
      <c r="A2708" s="84">
        <v>48359</v>
      </c>
      <c r="B2708" s="85">
        <v>2032</v>
      </c>
      <c r="C2708" s="85">
        <v>5</v>
      </c>
      <c r="D2708" s="85" t="s">
        <v>65</v>
      </c>
      <c r="E2708" s="85">
        <v>25</v>
      </c>
      <c r="F2708" s="85">
        <v>2</v>
      </c>
      <c r="G2708" s="85">
        <f>--(F2708&lt;=Estimator!$B$7)</f>
        <v>1</v>
      </c>
      <c r="H2708" s="86">
        <f>SUMIFS('Climate Data'!$G$7:$G$366,'Climate Data'!$A$7:$A$366,Estimator!$B$4,'Climate Data'!$B$7:$B$366,C2708)</f>
        <v>0.23010752688172045</v>
      </c>
      <c r="I2708" s="87">
        <f>SUMIFS('Climate Data'!$H$7:$H$366,'Climate Data'!$A$7:$A$366,Estimator!$B$4,'Climate Data'!$B$7:$B$366,C2708)</f>
        <v>8.1448598130841123</v>
      </c>
      <c r="J2708" s="86">
        <f>SUMIFS('Wind Proxy'!$H$8:$H$19,'Wind Proxy'!$A$8:$A$19,Estimator!$B$4,'Wind Proxy'!$B$8:$B$19,C2708)</f>
        <v>0</v>
      </c>
    </row>
    <row r="2709" spans="1:10" ht="14.4">
      <c r="A2709" s="84">
        <v>48360</v>
      </c>
      <c r="B2709" s="85">
        <v>2032</v>
      </c>
      <c r="C2709" s="85">
        <v>5</v>
      </c>
      <c r="D2709" s="85" t="s">
        <v>65</v>
      </c>
      <c r="E2709" s="85">
        <v>26</v>
      </c>
      <c r="F2709" s="85">
        <v>3</v>
      </c>
      <c r="G2709" s="85">
        <f>--(F2709&lt;=Estimator!$B$7)</f>
        <v>1</v>
      </c>
      <c r="H2709" s="86">
        <f>SUMIFS('Climate Data'!$G$7:$G$366,'Climate Data'!$A$7:$A$366,Estimator!$B$4,'Climate Data'!$B$7:$B$366,C2709)</f>
        <v>0.23010752688172045</v>
      </c>
      <c r="I2709" s="87">
        <f>SUMIFS('Climate Data'!$H$7:$H$366,'Climate Data'!$A$7:$A$366,Estimator!$B$4,'Climate Data'!$B$7:$B$366,C2709)</f>
        <v>8.1448598130841123</v>
      </c>
      <c r="J2709" s="86">
        <f>SUMIFS('Wind Proxy'!$H$8:$H$19,'Wind Proxy'!$A$8:$A$19,Estimator!$B$4,'Wind Proxy'!$B$8:$B$19,C2709)</f>
        <v>0</v>
      </c>
    </row>
    <row r="2710" spans="1:10" ht="14.4">
      <c r="A2710" s="84">
        <v>48361</v>
      </c>
      <c r="B2710" s="85">
        <v>2032</v>
      </c>
      <c r="C2710" s="85">
        <v>5</v>
      </c>
      <c r="D2710" s="85" t="s">
        <v>65</v>
      </c>
      <c r="E2710" s="85">
        <v>27</v>
      </c>
      <c r="F2710" s="85">
        <v>4</v>
      </c>
      <c r="G2710" s="85">
        <f>--(F2710&lt;=Estimator!$B$7)</f>
        <v>1</v>
      </c>
      <c r="H2710" s="86">
        <f>SUMIFS('Climate Data'!$G$7:$G$366,'Climate Data'!$A$7:$A$366,Estimator!$B$4,'Climate Data'!$B$7:$B$366,C2710)</f>
        <v>0.23010752688172045</v>
      </c>
      <c r="I2710" s="87">
        <f>SUMIFS('Climate Data'!$H$7:$H$366,'Climate Data'!$A$7:$A$366,Estimator!$B$4,'Climate Data'!$B$7:$B$366,C2710)</f>
        <v>8.1448598130841123</v>
      </c>
      <c r="J2710" s="86">
        <f>SUMIFS('Wind Proxy'!$H$8:$H$19,'Wind Proxy'!$A$8:$A$19,Estimator!$B$4,'Wind Proxy'!$B$8:$B$19,C2710)</f>
        <v>0</v>
      </c>
    </row>
    <row r="2711" spans="1:10" ht="14.4">
      <c r="A2711" s="84">
        <v>48362</v>
      </c>
      <c r="B2711" s="85">
        <v>2032</v>
      </c>
      <c r="C2711" s="85">
        <v>5</v>
      </c>
      <c r="D2711" s="85" t="s">
        <v>65</v>
      </c>
      <c r="E2711" s="85">
        <v>28</v>
      </c>
      <c r="F2711" s="85">
        <v>5</v>
      </c>
      <c r="G2711" s="85">
        <f>--(F2711&lt;=Estimator!$B$7)</f>
        <v>1</v>
      </c>
      <c r="H2711" s="86">
        <f>SUMIFS('Climate Data'!$G$7:$G$366,'Climate Data'!$A$7:$A$366,Estimator!$B$4,'Climate Data'!$B$7:$B$366,C2711)</f>
        <v>0.23010752688172045</v>
      </c>
      <c r="I2711" s="87">
        <f>SUMIFS('Climate Data'!$H$7:$H$366,'Climate Data'!$A$7:$A$366,Estimator!$B$4,'Climate Data'!$B$7:$B$366,C2711)</f>
        <v>8.1448598130841123</v>
      </c>
      <c r="J2711" s="86">
        <f>SUMIFS('Wind Proxy'!$H$8:$H$19,'Wind Proxy'!$A$8:$A$19,Estimator!$B$4,'Wind Proxy'!$B$8:$B$19,C2711)</f>
        <v>0</v>
      </c>
    </row>
    <row r="2712" spans="1:10" ht="14.4">
      <c r="A2712" s="84">
        <v>48363</v>
      </c>
      <c r="B2712" s="85">
        <v>2032</v>
      </c>
      <c r="C2712" s="85">
        <v>5</v>
      </c>
      <c r="D2712" s="85" t="s">
        <v>65</v>
      </c>
      <c r="E2712" s="85">
        <v>29</v>
      </c>
      <c r="F2712" s="85">
        <v>6</v>
      </c>
      <c r="G2712" s="85">
        <f>--(F2712&lt;=Estimator!$B$7)</f>
        <v>0</v>
      </c>
      <c r="H2712" s="86">
        <f>SUMIFS('Climate Data'!$G$7:$G$366,'Climate Data'!$A$7:$A$366,Estimator!$B$4,'Climate Data'!$B$7:$B$366,C2712)</f>
        <v>0.23010752688172045</v>
      </c>
      <c r="I2712" s="87">
        <f>SUMIFS('Climate Data'!$H$7:$H$366,'Climate Data'!$A$7:$A$366,Estimator!$B$4,'Climate Data'!$B$7:$B$366,C2712)</f>
        <v>8.1448598130841123</v>
      </c>
      <c r="J2712" s="86">
        <f>SUMIFS('Wind Proxy'!$H$8:$H$19,'Wind Proxy'!$A$8:$A$19,Estimator!$B$4,'Wind Proxy'!$B$8:$B$19,C2712)</f>
        <v>0</v>
      </c>
    </row>
    <row r="2713" spans="1:10" ht="14.4">
      <c r="A2713" s="84">
        <v>48364</v>
      </c>
      <c r="B2713" s="85">
        <v>2032</v>
      </c>
      <c r="C2713" s="85">
        <v>5</v>
      </c>
      <c r="D2713" s="85" t="s">
        <v>65</v>
      </c>
      <c r="E2713" s="85">
        <v>30</v>
      </c>
      <c r="F2713" s="85">
        <v>7</v>
      </c>
      <c r="G2713" s="85">
        <f>--(F2713&lt;=Estimator!$B$7)</f>
        <v>0</v>
      </c>
      <c r="H2713" s="86">
        <f>SUMIFS('Climate Data'!$G$7:$G$366,'Climate Data'!$A$7:$A$366,Estimator!$B$4,'Climate Data'!$B$7:$B$366,C2713)</f>
        <v>0.23010752688172045</v>
      </c>
      <c r="I2713" s="87">
        <f>SUMIFS('Climate Data'!$H$7:$H$366,'Climate Data'!$A$7:$A$366,Estimator!$B$4,'Climate Data'!$B$7:$B$366,C2713)</f>
        <v>8.1448598130841123</v>
      </c>
      <c r="J2713" s="86">
        <f>SUMIFS('Wind Proxy'!$H$8:$H$19,'Wind Proxy'!$A$8:$A$19,Estimator!$B$4,'Wind Proxy'!$B$8:$B$19,C2713)</f>
        <v>0</v>
      </c>
    </row>
    <row r="2714" spans="1:10" ht="14.4">
      <c r="A2714" s="84">
        <v>48365</v>
      </c>
      <c r="B2714" s="85">
        <v>2032</v>
      </c>
      <c r="C2714" s="85">
        <v>5</v>
      </c>
      <c r="D2714" s="85" t="s">
        <v>65</v>
      </c>
      <c r="E2714" s="85">
        <v>31</v>
      </c>
      <c r="F2714" s="85">
        <v>1</v>
      </c>
      <c r="G2714" s="85">
        <f>--(F2714&lt;=Estimator!$B$7)</f>
        <v>1</v>
      </c>
      <c r="H2714" s="86">
        <f>SUMIFS('Climate Data'!$G$7:$G$366,'Climate Data'!$A$7:$A$366,Estimator!$B$4,'Climate Data'!$B$7:$B$366,C2714)</f>
        <v>0.23010752688172045</v>
      </c>
      <c r="I2714" s="87">
        <f>SUMIFS('Climate Data'!$H$7:$H$366,'Climate Data'!$A$7:$A$366,Estimator!$B$4,'Climate Data'!$B$7:$B$366,C2714)</f>
        <v>8.1448598130841123</v>
      </c>
      <c r="J2714" s="86">
        <f>SUMIFS('Wind Proxy'!$H$8:$H$19,'Wind Proxy'!$A$8:$A$19,Estimator!$B$4,'Wind Proxy'!$B$8:$B$19,C2714)</f>
        <v>0</v>
      </c>
    </row>
    <row r="2715" spans="1:10" ht="14.4">
      <c r="A2715" s="84">
        <v>48366</v>
      </c>
      <c r="B2715" s="85">
        <v>2032</v>
      </c>
      <c r="C2715" s="85">
        <v>6</v>
      </c>
      <c r="D2715" s="85" t="s">
        <v>68</v>
      </c>
      <c r="E2715" s="85">
        <v>1</v>
      </c>
      <c r="F2715" s="85">
        <v>2</v>
      </c>
      <c r="G2715" s="85">
        <f>--(F2715&lt;=Estimator!$B$7)</f>
        <v>1</v>
      </c>
      <c r="H2715" s="86">
        <f>SUMIFS('Climate Data'!$G$7:$G$366,'Climate Data'!$A$7:$A$366,Estimator!$B$4,'Climate Data'!$B$7:$B$366,C2715)</f>
        <v>0.28666666666666668</v>
      </c>
      <c r="I2715" s="87">
        <f>SUMIFS('Climate Data'!$H$7:$H$366,'Climate Data'!$A$7:$A$366,Estimator!$B$4,'Climate Data'!$B$7:$B$366,C2715)</f>
        <v>7.941860465116279</v>
      </c>
      <c r="J2715" s="86">
        <f>SUMIFS('Wind Proxy'!$H$8:$H$19,'Wind Proxy'!$A$8:$A$19,Estimator!$B$4,'Wind Proxy'!$B$8:$B$19,C2715)</f>
        <v>0</v>
      </c>
    </row>
    <row r="2716" spans="1:10" ht="14.4">
      <c r="A2716" s="84">
        <v>48367</v>
      </c>
      <c r="B2716" s="85">
        <v>2032</v>
      </c>
      <c r="C2716" s="85">
        <v>6</v>
      </c>
      <c r="D2716" s="85" t="s">
        <v>68</v>
      </c>
      <c r="E2716" s="85">
        <v>2</v>
      </c>
      <c r="F2716" s="85">
        <v>3</v>
      </c>
      <c r="G2716" s="85">
        <f>--(F2716&lt;=Estimator!$B$7)</f>
        <v>1</v>
      </c>
      <c r="H2716" s="86">
        <f>SUMIFS('Climate Data'!$G$7:$G$366,'Climate Data'!$A$7:$A$366,Estimator!$B$4,'Climate Data'!$B$7:$B$366,C2716)</f>
        <v>0.28666666666666668</v>
      </c>
      <c r="I2716" s="87">
        <f>SUMIFS('Climate Data'!$H$7:$H$366,'Climate Data'!$A$7:$A$366,Estimator!$B$4,'Climate Data'!$B$7:$B$366,C2716)</f>
        <v>7.941860465116279</v>
      </c>
      <c r="J2716" s="86">
        <f>SUMIFS('Wind Proxy'!$H$8:$H$19,'Wind Proxy'!$A$8:$A$19,Estimator!$B$4,'Wind Proxy'!$B$8:$B$19,C2716)</f>
        <v>0</v>
      </c>
    </row>
    <row r="2717" spans="1:10" ht="14.4">
      <c r="A2717" s="84">
        <v>48368</v>
      </c>
      <c r="B2717" s="85">
        <v>2032</v>
      </c>
      <c r="C2717" s="85">
        <v>6</v>
      </c>
      <c r="D2717" s="85" t="s">
        <v>68</v>
      </c>
      <c r="E2717" s="85">
        <v>3</v>
      </c>
      <c r="F2717" s="85">
        <v>4</v>
      </c>
      <c r="G2717" s="85">
        <f>--(F2717&lt;=Estimator!$B$7)</f>
        <v>1</v>
      </c>
      <c r="H2717" s="86">
        <f>SUMIFS('Climate Data'!$G$7:$G$366,'Climate Data'!$A$7:$A$366,Estimator!$B$4,'Climate Data'!$B$7:$B$366,C2717)</f>
        <v>0.28666666666666668</v>
      </c>
      <c r="I2717" s="87">
        <f>SUMIFS('Climate Data'!$H$7:$H$366,'Climate Data'!$A$7:$A$366,Estimator!$B$4,'Climate Data'!$B$7:$B$366,C2717)</f>
        <v>7.941860465116279</v>
      </c>
      <c r="J2717" s="86">
        <f>SUMIFS('Wind Proxy'!$H$8:$H$19,'Wind Proxy'!$A$8:$A$19,Estimator!$B$4,'Wind Proxy'!$B$8:$B$19,C2717)</f>
        <v>0</v>
      </c>
    </row>
    <row r="2718" spans="1:10" ht="14.4">
      <c r="A2718" s="84">
        <v>48369</v>
      </c>
      <c r="B2718" s="85">
        <v>2032</v>
      </c>
      <c r="C2718" s="85">
        <v>6</v>
      </c>
      <c r="D2718" s="85" t="s">
        <v>68</v>
      </c>
      <c r="E2718" s="85">
        <v>4</v>
      </c>
      <c r="F2718" s="85">
        <v>5</v>
      </c>
      <c r="G2718" s="85">
        <f>--(F2718&lt;=Estimator!$B$7)</f>
        <v>1</v>
      </c>
      <c r="H2718" s="86">
        <f>SUMIFS('Climate Data'!$G$7:$G$366,'Climate Data'!$A$7:$A$366,Estimator!$B$4,'Climate Data'!$B$7:$B$366,C2718)</f>
        <v>0.28666666666666668</v>
      </c>
      <c r="I2718" s="87">
        <f>SUMIFS('Climate Data'!$H$7:$H$366,'Climate Data'!$A$7:$A$366,Estimator!$B$4,'Climate Data'!$B$7:$B$366,C2718)</f>
        <v>7.941860465116279</v>
      </c>
      <c r="J2718" s="86">
        <f>SUMIFS('Wind Proxy'!$H$8:$H$19,'Wind Proxy'!$A$8:$A$19,Estimator!$B$4,'Wind Proxy'!$B$8:$B$19,C2718)</f>
        <v>0</v>
      </c>
    </row>
    <row r="2719" spans="1:10" ht="14.4">
      <c r="A2719" s="84">
        <v>48370</v>
      </c>
      <c r="B2719" s="85">
        <v>2032</v>
      </c>
      <c r="C2719" s="85">
        <v>6</v>
      </c>
      <c r="D2719" s="85" t="s">
        <v>68</v>
      </c>
      <c r="E2719" s="85">
        <v>5</v>
      </c>
      <c r="F2719" s="85">
        <v>6</v>
      </c>
      <c r="G2719" s="85">
        <f>--(F2719&lt;=Estimator!$B$7)</f>
        <v>0</v>
      </c>
      <c r="H2719" s="86">
        <f>SUMIFS('Climate Data'!$G$7:$G$366,'Climate Data'!$A$7:$A$366,Estimator!$B$4,'Climate Data'!$B$7:$B$366,C2719)</f>
        <v>0.28666666666666668</v>
      </c>
      <c r="I2719" s="87">
        <f>SUMIFS('Climate Data'!$H$7:$H$366,'Climate Data'!$A$7:$A$366,Estimator!$B$4,'Climate Data'!$B$7:$B$366,C2719)</f>
        <v>7.941860465116279</v>
      </c>
      <c r="J2719" s="86">
        <f>SUMIFS('Wind Proxy'!$H$8:$H$19,'Wind Proxy'!$A$8:$A$19,Estimator!$B$4,'Wind Proxy'!$B$8:$B$19,C2719)</f>
        <v>0</v>
      </c>
    </row>
    <row r="2720" spans="1:10" ht="14.4">
      <c r="A2720" s="84">
        <v>48371</v>
      </c>
      <c r="B2720" s="85">
        <v>2032</v>
      </c>
      <c r="C2720" s="85">
        <v>6</v>
      </c>
      <c r="D2720" s="85" t="s">
        <v>68</v>
      </c>
      <c r="E2720" s="85">
        <v>6</v>
      </c>
      <c r="F2720" s="85">
        <v>7</v>
      </c>
      <c r="G2720" s="85">
        <f>--(F2720&lt;=Estimator!$B$7)</f>
        <v>0</v>
      </c>
      <c r="H2720" s="86">
        <f>SUMIFS('Climate Data'!$G$7:$G$366,'Climate Data'!$A$7:$A$366,Estimator!$B$4,'Climate Data'!$B$7:$B$366,C2720)</f>
        <v>0.28666666666666668</v>
      </c>
      <c r="I2720" s="87">
        <f>SUMIFS('Climate Data'!$H$7:$H$366,'Climate Data'!$A$7:$A$366,Estimator!$B$4,'Climate Data'!$B$7:$B$366,C2720)</f>
        <v>7.941860465116279</v>
      </c>
      <c r="J2720" s="86">
        <f>SUMIFS('Wind Proxy'!$H$8:$H$19,'Wind Proxy'!$A$8:$A$19,Estimator!$B$4,'Wind Proxy'!$B$8:$B$19,C2720)</f>
        <v>0</v>
      </c>
    </row>
    <row r="2721" spans="1:10" ht="14.4">
      <c r="A2721" s="84">
        <v>48372</v>
      </c>
      <c r="B2721" s="85">
        <v>2032</v>
      </c>
      <c r="C2721" s="85">
        <v>6</v>
      </c>
      <c r="D2721" s="85" t="s">
        <v>68</v>
      </c>
      <c r="E2721" s="85">
        <v>7</v>
      </c>
      <c r="F2721" s="85">
        <v>1</v>
      </c>
      <c r="G2721" s="85">
        <f>--(F2721&lt;=Estimator!$B$7)</f>
        <v>1</v>
      </c>
      <c r="H2721" s="86">
        <f>SUMIFS('Climate Data'!$G$7:$G$366,'Climate Data'!$A$7:$A$366,Estimator!$B$4,'Climate Data'!$B$7:$B$366,C2721)</f>
        <v>0.28666666666666668</v>
      </c>
      <c r="I2721" s="87">
        <f>SUMIFS('Climate Data'!$H$7:$H$366,'Climate Data'!$A$7:$A$366,Estimator!$B$4,'Climate Data'!$B$7:$B$366,C2721)</f>
        <v>7.941860465116279</v>
      </c>
      <c r="J2721" s="86">
        <f>SUMIFS('Wind Proxy'!$H$8:$H$19,'Wind Proxy'!$A$8:$A$19,Estimator!$B$4,'Wind Proxy'!$B$8:$B$19,C2721)</f>
        <v>0</v>
      </c>
    </row>
    <row r="2722" spans="1:10" ht="14.4">
      <c r="A2722" s="84">
        <v>48373</v>
      </c>
      <c r="B2722" s="85">
        <v>2032</v>
      </c>
      <c r="C2722" s="85">
        <v>6</v>
      </c>
      <c r="D2722" s="85" t="s">
        <v>68</v>
      </c>
      <c r="E2722" s="85">
        <v>8</v>
      </c>
      <c r="F2722" s="85">
        <v>2</v>
      </c>
      <c r="G2722" s="85">
        <f>--(F2722&lt;=Estimator!$B$7)</f>
        <v>1</v>
      </c>
      <c r="H2722" s="86">
        <f>SUMIFS('Climate Data'!$G$7:$G$366,'Climate Data'!$A$7:$A$366,Estimator!$B$4,'Climate Data'!$B$7:$B$366,C2722)</f>
        <v>0.28666666666666668</v>
      </c>
      <c r="I2722" s="87">
        <f>SUMIFS('Climate Data'!$H$7:$H$366,'Climate Data'!$A$7:$A$366,Estimator!$B$4,'Climate Data'!$B$7:$B$366,C2722)</f>
        <v>7.941860465116279</v>
      </c>
      <c r="J2722" s="86">
        <f>SUMIFS('Wind Proxy'!$H$8:$H$19,'Wind Proxy'!$A$8:$A$19,Estimator!$B$4,'Wind Proxy'!$B$8:$B$19,C2722)</f>
        <v>0</v>
      </c>
    </row>
    <row r="2723" spans="1:10" ht="14.4">
      <c r="A2723" s="84">
        <v>48374</v>
      </c>
      <c r="B2723" s="85">
        <v>2032</v>
      </c>
      <c r="C2723" s="85">
        <v>6</v>
      </c>
      <c r="D2723" s="85" t="s">
        <v>68</v>
      </c>
      <c r="E2723" s="85">
        <v>9</v>
      </c>
      <c r="F2723" s="85">
        <v>3</v>
      </c>
      <c r="G2723" s="85">
        <f>--(F2723&lt;=Estimator!$B$7)</f>
        <v>1</v>
      </c>
      <c r="H2723" s="86">
        <f>SUMIFS('Climate Data'!$G$7:$G$366,'Climate Data'!$A$7:$A$366,Estimator!$B$4,'Climate Data'!$B$7:$B$366,C2723)</f>
        <v>0.28666666666666668</v>
      </c>
      <c r="I2723" s="87">
        <f>SUMIFS('Climate Data'!$H$7:$H$366,'Climate Data'!$A$7:$A$366,Estimator!$B$4,'Climate Data'!$B$7:$B$366,C2723)</f>
        <v>7.941860465116279</v>
      </c>
      <c r="J2723" s="86">
        <f>SUMIFS('Wind Proxy'!$H$8:$H$19,'Wind Proxy'!$A$8:$A$19,Estimator!$B$4,'Wind Proxy'!$B$8:$B$19,C2723)</f>
        <v>0</v>
      </c>
    </row>
    <row r="2724" spans="1:10" ht="14.4">
      <c r="A2724" s="84">
        <v>48375</v>
      </c>
      <c r="B2724" s="85">
        <v>2032</v>
      </c>
      <c r="C2724" s="85">
        <v>6</v>
      </c>
      <c r="D2724" s="85" t="s">
        <v>68</v>
      </c>
      <c r="E2724" s="85">
        <v>10</v>
      </c>
      <c r="F2724" s="85">
        <v>4</v>
      </c>
      <c r="G2724" s="85">
        <f>--(F2724&lt;=Estimator!$B$7)</f>
        <v>1</v>
      </c>
      <c r="H2724" s="86">
        <f>SUMIFS('Climate Data'!$G$7:$G$366,'Climate Data'!$A$7:$A$366,Estimator!$B$4,'Climate Data'!$B$7:$B$366,C2724)</f>
        <v>0.28666666666666668</v>
      </c>
      <c r="I2724" s="87">
        <f>SUMIFS('Climate Data'!$H$7:$H$366,'Climate Data'!$A$7:$A$366,Estimator!$B$4,'Climate Data'!$B$7:$B$366,C2724)</f>
        <v>7.941860465116279</v>
      </c>
      <c r="J2724" s="86">
        <f>SUMIFS('Wind Proxy'!$H$8:$H$19,'Wind Proxy'!$A$8:$A$19,Estimator!$B$4,'Wind Proxy'!$B$8:$B$19,C2724)</f>
        <v>0</v>
      </c>
    </row>
    <row r="2725" spans="1:10" ht="14.4">
      <c r="A2725" s="84">
        <v>48376</v>
      </c>
      <c r="B2725" s="85">
        <v>2032</v>
      </c>
      <c r="C2725" s="85">
        <v>6</v>
      </c>
      <c r="D2725" s="85" t="s">
        <v>68</v>
      </c>
      <c r="E2725" s="85">
        <v>11</v>
      </c>
      <c r="F2725" s="85">
        <v>5</v>
      </c>
      <c r="G2725" s="85">
        <f>--(F2725&lt;=Estimator!$B$7)</f>
        <v>1</v>
      </c>
      <c r="H2725" s="86">
        <f>SUMIFS('Climate Data'!$G$7:$G$366,'Climate Data'!$A$7:$A$366,Estimator!$B$4,'Climate Data'!$B$7:$B$366,C2725)</f>
        <v>0.28666666666666668</v>
      </c>
      <c r="I2725" s="87">
        <f>SUMIFS('Climate Data'!$H$7:$H$366,'Climate Data'!$A$7:$A$366,Estimator!$B$4,'Climate Data'!$B$7:$B$366,C2725)</f>
        <v>7.941860465116279</v>
      </c>
      <c r="J2725" s="86">
        <f>SUMIFS('Wind Proxy'!$H$8:$H$19,'Wind Proxy'!$A$8:$A$19,Estimator!$B$4,'Wind Proxy'!$B$8:$B$19,C2725)</f>
        <v>0</v>
      </c>
    </row>
    <row r="2726" spans="1:10" ht="14.4">
      <c r="A2726" s="84">
        <v>48377</v>
      </c>
      <c r="B2726" s="85">
        <v>2032</v>
      </c>
      <c r="C2726" s="85">
        <v>6</v>
      </c>
      <c r="D2726" s="85" t="s">
        <v>68</v>
      </c>
      <c r="E2726" s="85">
        <v>12</v>
      </c>
      <c r="F2726" s="85">
        <v>6</v>
      </c>
      <c r="G2726" s="85">
        <f>--(F2726&lt;=Estimator!$B$7)</f>
        <v>0</v>
      </c>
      <c r="H2726" s="86">
        <f>SUMIFS('Climate Data'!$G$7:$G$366,'Climate Data'!$A$7:$A$366,Estimator!$B$4,'Climate Data'!$B$7:$B$366,C2726)</f>
        <v>0.28666666666666668</v>
      </c>
      <c r="I2726" s="87">
        <f>SUMIFS('Climate Data'!$H$7:$H$366,'Climate Data'!$A$7:$A$366,Estimator!$B$4,'Climate Data'!$B$7:$B$366,C2726)</f>
        <v>7.941860465116279</v>
      </c>
      <c r="J2726" s="86">
        <f>SUMIFS('Wind Proxy'!$H$8:$H$19,'Wind Proxy'!$A$8:$A$19,Estimator!$B$4,'Wind Proxy'!$B$8:$B$19,C2726)</f>
        <v>0</v>
      </c>
    </row>
    <row r="2727" spans="1:10" ht="14.4">
      <c r="A2727" s="84">
        <v>48378</v>
      </c>
      <c r="B2727" s="85">
        <v>2032</v>
      </c>
      <c r="C2727" s="85">
        <v>6</v>
      </c>
      <c r="D2727" s="85" t="s">
        <v>68</v>
      </c>
      <c r="E2727" s="85">
        <v>13</v>
      </c>
      <c r="F2727" s="85">
        <v>7</v>
      </c>
      <c r="G2727" s="85">
        <f>--(F2727&lt;=Estimator!$B$7)</f>
        <v>0</v>
      </c>
      <c r="H2727" s="86">
        <f>SUMIFS('Climate Data'!$G$7:$G$366,'Climate Data'!$A$7:$A$366,Estimator!$B$4,'Climate Data'!$B$7:$B$366,C2727)</f>
        <v>0.28666666666666668</v>
      </c>
      <c r="I2727" s="87">
        <f>SUMIFS('Climate Data'!$H$7:$H$366,'Climate Data'!$A$7:$A$366,Estimator!$B$4,'Climate Data'!$B$7:$B$366,C2727)</f>
        <v>7.941860465116279</v>
      </c>
      <c r="J2727" s="86">
        <f>SUMIFS('Wind Proxy'!$H$8:$H$19,'Wind Proxy'!$A$8:$A$19,Estimator!$B$4,'Wind Proxy'!$B$8:$B$19,C2727)</f>
        <v>0</v>
      </c>
    </row>
    <row r="2728" spans="1:10" ht="14.4">
      <c r="A2728" s="84">
        <v>48379</v>
      </c>
      <c r="B2728" s="85">
        <v>2032</v>
      </c>
      <c r="C2728" s="85">
        <v>6</v>
      </c>
      <c r="D2728" s="85" t="s">
        <v>68</v>
      </c>
      <c r="E2728" s="85">
        <v>14</v>
      </c>
      <c r="F2728" s="85">
        <v>1</v>
      </c>
      <c r="G2728" s="85">
        <f>--(F2728&lt;=Estimator!$B$7)</f>
        <v>1</v>
      </c>
      <c r="H2728" s="86">
        <f>SUMIFS('Climate Data'!$G$7:$G$366,'Climate Data'!$A$7:$A$366,Estimator!$B$4,'Climate Data'!$B$7:$B$366,C2728)</f>
        <v>0.28666666666666668</v>
      </c>
      <c r="I2728" s="87">
        <f>SUMIFS('Climate Data'!$H$7:$H$366,'Climate Data'!$A$7:$A$366,Estimator!$B$4,'Climate Data'!$B$7:$B$366,C2728)</f>
        <v>7.941860465116279</v>
      </c>
      <c r="J2728" s="86">
        <f>SUMIFS('Wind Proxy'!$H$8:$H$19,'Wind Proxy'!$A$8:$A$19,Estimator!$B$4,'Wind Proxy'!$B$8:$B$19,C2728)</f>
        <v>0</v>
      </c>
    </row>
    <row r="2729" spans="1:10" ht="14.4">
      <c r="A2729" s="84">
        <v>48380</v>
      </c>
      <c r="B2729" s="85">
        <v>2032</v>
      </c>
      <c r="C2729" s="85">
        <v>6</v>
      </c>
      <c r="D2729" s="85" t="s">
        <v>68</v>
      </c>
      <c r="E2729" s="85">
        <v>15</v>
      </c>
      <c r="F2729" s="85">
        <v>2</v>
      </c>
      <c r="G2729" s="85">
        <f>--(F2729&lt;=Estimator!$B$7)</f>
        <v>1</v>
      </c>
      <c r="H2729" s="86">
        <f>SUMIFS('Climate Data'!$G$7:$G$366,'Climate Data'!$A$7:$A$366,Estimator!$B$4,'Climate Data'!$B$7:$B$366,C2729)</f>
        <v>0.28666666666666668</v>
      </c>
      <c r="I2729" s="87">
        <f>SUMIFS('Climate Data'!$H$7:$H$366,'Climate Data'!$A$7:$A$366,Estimator!$B$4,'Climate Data'!$B$7:$B$366,C2729)</f>
        <v>7.941860465116279</v>
      </c>
      <c r="J2729" s="86">
        <f>SUMIFS('Wind Proxy'!$H$8:$H$19,'Wind Proxy'!$A$8:$A$19,Estimator!$B$4,'Wind Proxy'!$B$8:$B$19,C2729)</f>
        <v>0</v>
      </c>
    </row>
    <row r="2730" spans="1:10" ht="14.4">
      <c r="A2730" s="84">
        <v>48381</v>
      </c>
      <c r="B2730" s="85">
        <v>2032</v>
      </c>
      <c r="C2730" s="85">
        <v>6</v>
      </c>
      <c r="D2730" s="85" t="s">
        <v>68</v>
      </c>
      <c r="E2730" s="85">
        <v>16</v>
      </c>
      <c r="F2730" s="85">
        <v>3</v>
      </c>
      <c r="G2730" s="85">
        <f>--(F2730&lt;=Estimator!$B$7)</f>
        <v>1</v>
      </c>
      <c r="H2730" s="86">
        <f>SUMIFS('Climate Data'!$G$7:$G$366,'Climate Data'!$A$7:$A$366,Estimator!$B$4,'Climate Data'!$B$7:$B$366,C2730)</f>
        <v>0.28666666666666668</v>
      </c>
      <c r="I2730" s="87">
        <f>SUMIFS('Climate Data'!$H$7:$H$366,'Climate Data'!$A$7:$A$366,Estimator!$B$4,'Climate Data'!$B$7:$B$366,C2730)</f>
        <v>7.941860465116279</v>
      </c>
      <c r="J2730" s="86">
        <f>SUMIFS('Wind Proxy'!$H$8:$H$19,'Wind Proxy'!$A$8:$A$19,Estimator!$B$4,'Wind Proxy'!$B$8:$B$19,C2730)</f>
        <v>0</v>
      </c>
    </row>
    <row r="2731" spans="1:10" ht="14.4">
      <c r="A2731" s="84">
        <v>48382</v>
      </c>
      <c r="B2731" s="85">
        <v>2032</v>
      </c>
      <c r="C2731" s="85">
        <v>6</v>
      </c>
      <c r="D2731" s="85" t="s">
        <v>68</v>
      </c>
      <c r="E2731" s="85">
        <v>17</v>
      </c>
      <c r="F2731" s="85">
        <v>4</v>
      </c>
      <c r="G2731" s="85">
        <f>--(F2731&lt;=Estimator!$B$7)</f>
        <v>1</v>
      </c>
      <c r="H2731" s="86">
        <f>SUMIFS('Climate Data'!$G$7:$G$366,'Climate Data'!$A$7:$A$366,Estimator!$B$4,'Climate Data'!$B$7:$B$366,C2731)</f>
        <v>0.28666666666666668</v>
      </c>
      <c r="I2731" s="87">
        <f>SUMIFS('Climate Data'!$H$7:$H$366,'Climate Data'!$A$7:$A$366,Estimator!$B$4,'Climate Data'!$B$7:$B$366,C2731)</f>
        <v>7.941860465116279</v>
      </c>
      <c r="J2731" s="86">
        <f>SUMIFS('Wind Proxy'!$H$8:$H$19,'Wind Proxy'!$A$8:$A$19,Estimator!$B$4,'Wind Proxy'!$B$8:$B$19,C2731)</f>
        <v>0</v>
      </c>
    </row>
    <row r="2732" spans="1:10" ht="14.4">
      <c r="A2732" s="84">
        <v>48383</v>
      </c>
      <c r="B2732" s="85">
        <v>2032</v>
      </c>
      <c r="C2732" s="85">
        <v>6</v>
      </c>
      <c r="D2732" s="85" t="s">
        <v>68</v>
      </c>
      <c r="E2732" s="85">
        <v>18</v>
      </c>
      <c r="F2732" s="85">
        <v>5</v>
      </c>
      <c r="G2732" s="85">
        <f>--(F2732&lt;=Estimator!$B$7)</f>
        <v>1</v>
      </c>
      <c r="H2732" s="86">
        <f>SUMIFS('Climate Data'!$G$7:$G$366,'Climate Data'!$A$7:$A$366,Estimator!$B$4,'Climate Data'!$B$7:$B$366,C2732)</f>
        <v>0.28666666666666668</v>
      </c>
      <c r="I2732" s="87">
        <f>SUMIFS('Climate Data'!$H$7:$H$366,'Climate Data'!$A$7:$A$366,Estimator!$B$4,'Climate Data'!$B$7:$B$366,C2732)</f>
        <v>7.941860465116279</v>
      </c>
      <c r="J2732" s="86">
        <f>SUMIFS('Wind Proxy'!$H$8:$H$19,'Wind Proxy'!$A$8:$A$19,Estimator!$B$4,'Wind Proxy'!$B$8:$B$19,C2732)</f>
        <v>0</v>
      </c>
    </row>
    <row r="2733" spans="1:10" ht="14.4">
      <c r="A2733" s="84">
        <v>48384</v>
      </c>
      <c r="B2733" s="85">
        <v>2032</v>
      </c>
      <c r="C2733" s="85">
        <v>6</v>
      </c>
      <c r="D2733" s="85" t="s">
        <v>68</v>
      </c>
      <c r="E2733" s="85">
        <v>19</v>
      </c>
      <c r="F2733" s="85">
        <v>6</v>
      </c>
      <c r="G2733" s="85">
        <f>--(F2733&lt;=Estimator!$B$7)</f>
        <v>0</v>
      </c>
      <c r="H2733" s="86">
        <f>SUMIFS('Climate Data'!$G$7:$G$366,'Climate Data'!$A$7:$A$366,Estimator!$B$4,'Climate Data'!$B$7:$B$366,C2733)</f>
        <v>0.28666666666666668</v>
      </c>
      <c r="I2733" s="87">
        <f>SUMIFS('Climate Data'!$H$7:$H$366,'Climate Data'!$A$7:$A$366,Estimator!$B$4,'Climate Data'!$B$7:$B$366,C2733)</f>
        <v>7.941860465116279</v>
      </c>
      <c r="J2733" s="86">
        <f>SUMIFS('Wind Proxy'!$H$8:$H$19,'Wind Proxy'!$A$8:$A$19,Estimator!$B$4,'Wind Proxy'!$B$8:$B$19,C2733)</f>
        <v>0</v>
      </c>
    </row>
    <row r="2734" spans="1:10" ht="14.4">
      <c r="A2734" s="84">
        <v>48385</v>
      </c>
      <c r="B2734" s="85">
        <v>2032</v>
      </c>
      <c r="C2734" s="85">
        <v>6</v>
      </c>
      <c r="D2734" s="85" t="s">
        <v>68</v>
      </c>
      <c r="E2734" s="85">
        <v>20</v>
      </c>
      <c r="F2734" s="85">
        <v>7</v>
      </c>
      <c r="G2734" s="85">
        <f>--(F2734&lt;=Estimator!$B$7)</f>
        <v>0</v>
      </c>
      <c r="H2734" s="86">
        <f>SUMIFS('Climate Data'!$G$7:$G$366,'Climate Data'!$A$7:$A$366,Estimator!$B$4,'Climate Data'!$B$7:$B$366,C2734)</f>
        <v>0.28666666666666668</v>
      </c>
      <c r="I2734" s="87">
        <f>SUMIFS('Climate Data'!$H$7:$H$366,'Climate Data'!$A$7:$A$366,Estimator!$B$4,'Climate Data'!$B$7:$B$366,C2734)</f>
        <v>7.941860465116279</v>
      </c>
      <c r="J2734" s="86">
        <f>SUMIFS('Wind Proxy'!$H$8:$H$19,'Wind Proxy'!$A$8:$A$19,Estimator!$B$4,'Wind Proxy'!$B$8:$B$19,C2734)</f>
        <v>0</v>
      </c>
    </row>
    <row r="2735" spans="1:10" ht="14.4">
      <c r="A2735" s="84">
        <v>48386</v>
      </c>
      <c r="B2735" s="85">
        <v>2032</v>
      </c>
      <c r="C2735" s="85">
        <v>6</v>
      </c>
      <c r="D2735" s="85" t="s">
        <v>68</v>
      </c>
      <c r="E2735" s="85">
        <v>21</v>
      </c>
      <c r="F2735" s="85">
        <v>1</v>
      </c>
      <c r="G2735" s="85">
        <f>--(F2735&lt;=Estimator!$B$7)</f>
        <v>1</v>
      </c>
      <c r="H2735" s="86">
        <f>SUMIFS('Climate Data'!$G$7:$G$366,'Climate Data'!$A$7:$A$366,Estimator!$B$4,'Climate Data'!$B$7:$B$366,C2735)</f>
        <v>0.28666666666666668</v>
      </c>
      <c r="I2735" s="87">
        <f>SUMIFS('Climate Data'!$H$7:$H$366,'Climate Data'!$A$7:$A$366,Estimator!$B$4,'Climate Data'!$B$7:$B$366,C2735)</f>
        <v>7.941860465116279</v>
      </c>
      <c r="J2735" s="86">
        <f>SUMIFS('Wind Proxy'!$H$8:$H$19,'Wind Proxy'!$A$8:$A$19,Estimator!$B$4,'Wind Proxy'!$B$8:$B$19,C2735)</f>
        <v>0</v>
      </c>
    </row>
    <row r="2736" spans="1:10" ht="14.4">
      <c r="A2736" s="84">
        <v>48387</v>
      </c>
      <c r="B2736" s="85">
        <v>2032</v>
      </c>
      <c r="C2736" s="85">
        <v>6</v>
      </c>
      <c r="D2736" s="85" t="s">
        <v>68</v>
      </c>
      <c r="E2736" s="85">
        <v>22</v>
      </c>
      <c r="F2736" s="85">
        <v>2</v>
      </c>
      <c r="G2736" s="85">
        <f>--(F2736&lt;=Estimator!$B$7)</f>
        <v>1</v>
      </c>
      <c r="H2736" s="86">
        <f>SUMIFS('Climate Data'!$G$7:$G$366,'Climate Data'!$A$7:$A$366,Estimator!$B$4,'Climate Data'!$B$7:$B$366,C2736)</f>
        <v>0.28666666666666668</v>
      </c>
      <c r="I2736" s="87">
        <f>SUMIFS('Climate Data'!$H$7:$H$366,'Climate Data'!$A$7:$A$366,Estimator!$B$4,'Climate Data'!$B$7:$B$366,C2736)</f>
        <v>7.941860465116279</v>
      </c>
      <c r="J2736" s="86">
        <f>SUMIFS('Wind Proxy'!$H$8:$H$19,'Wind Proxy'!$A$8:$A$19,Estimator!$B$4,'Wind Proxy'!$B$8:$B$19,C2736)</f>
        <v>0</v>
      </c>
    </row>
    <row r="2737" spans="1:10" ht="14.4">
      <c r="A2737" s="84">
        <v>48388</v>
      </c>
      <c r="B2737" s="85">
        <v>2032</v>
      </c>
      <c r="C2737" s="85">
        <v>6</v>
      </c>
      <c r="D2737" s="85" t="s">
        <v>68</v>
      </c>
      <c r="E2737" s="85">
        <v>23</v>
      </c>
      <c r="F2737" s="85">
        <v>3</v>
      </c>
      <c r="G2737" s="85">
        <f>--(F2737&lt;=Estimator!$B$7)</f>
        <v>1</v>
      </c>
      <c r="H2737" s="86">
        <f>SUMIFS('Climate Data'!$G$7:$G$366,'Climate Data'!$A$7:$A$366,Estimator!$B$4,'Climate Data'!$B$7:$B$366,C2737)</f>
        <v>0.28666666666666668</v>
      </c>
      <c r="I2737" s="87">
        <f>SUMIFS('Climate Data'!$H$7:$H$366,'Climate Data'!$A$7:$A$366,Estimator!$B$4,'Climate Data'!$B$7:$B$366,C2737)</f>
        <v>7.941860465116279</v>
      </c>
      <c r="J2737" s="86">
        <f>SUMIFS('Wind Proxy'!$H$8:$H$19,'Wind Proxy'!$A$8:$A$19,Estimator!$B$4,'Wind Proxy'!$B$8:$B$19,C2737)</f>
        <v>0</v>
      </c>
    </row>
    <row r="2738" spans="1:10" ht="14.4">
      <c r="A2738" s="84">
        <v>48389</v>
      </c>
      <c r="B2738" s="85">
        <v>2032</v>
      </c>
      <c r="C2738" s="85">
        <v>6</v>
      </c>
      <c r="D2738" s="85" t="s">
        <v>68</v>
      </c>
      <c r="E2738" s="85">
        <v>24</v>
      </c>
      <c r="F2738" s="85">
        <v>4</v>
      </c>
      <c r="G2738" s="85">
        <f>--(F2738&lt;=Estimator!$B$7)</f>
        <v>1</v>
      </c>
      <c r="H2738" s="86">
        <f>SUMIFS('Climate Data'!$G$7:$G$366,'Climate Data'!$A$7:$A$366,Estimator!$B$4,'Climate Data'!$B$7:$B$366,C2738)</f>
        <v>0.28666666666666668</v>
      </c>
      <c r="I2738" s="87">
        <f>SUMIFS('Climate Data'!$H$7:$H$366,'Climate Data'!$A$7:$A$366,Estimator!$B$4,'Climate Data'!$B$7:$B$366,C2738)</f>
        <v>7.941860465116279</v>
      </c>
      <c r="J2738" s="86">
        <f>SUMIFS('Wind Proxy'!$H$8:$H$19,'Wind Proxy'!$A$8:$A$19,Estimator!$B$4,'Wind Proxy'!$B$8:$B$19,C2738)</f>
        <v>0</v>
      </c>
    </row>
    <row r="2739" spans="1:10" ht="14.4">
      <c r="A2739" s="84">
        <v>48390</v>
      </c>
      <c r="B2739" s="85">
        <v>2032</v>
      </c>
      <c r="C2739" s="85">
        <v>6</v>
      </c>
      <c r="D2739" s="85" t="s">
        <v>68</v>
      </c>
      <c r="E2739" s="85">
        <v>25</v>
      </c>
      <c r="F2739" s="85">
        <v>5</v>
      </c>
      <c r="G2739" s="85">
        <f>--(F2739&lt;=Estimator!$B$7)</f>
        <v>1</v>
      </c>
      <c r="H2739" s="86">
        <f>SUMIFS('Climate Data'!$G$7:$G$366,'Climate Data'!$A$7:$A$366,Estimator!$B$4,'Climate Data'!$B$7:$B$366,C2739)</f>
        <v>0.28666666666666668</v>
      </c>
      <c r="I2739" s="87">
        <f>SUMIFS('Climate Data'!$H$7:$H$366,'Climate Data'!$A$7:$A$366,Estimator!$B$4,'Climate Data'!$B$7:$B$366,C2739)</f>
        <v>7.941860465116279</v>
      </c>
      <c r="J2739" s="86">
        <f>SUMIFS('Wind Proxy'!$H$8:$H$19,'Wind Proxy'!$A$8:$A$19,Estimator!$B$4,'Wind Proxy'!$B$8:$B$19,C2739)</f>
        <v>0</v>
      </c>
    </row>
    <row r="2740" spans="1:10" ht="14.4">
      <c r="A2740" s="84">
        <v>48391</v>
      </c>
      <c r="B2740" s="85">
        <v>2032</v>
      </c>
      <c r="C2740" s="85">
        <v>6</v>
      </c>
      <c r="D2740" s="85" t="s">
        <v>68</v>
      </c>
      <c r="E2740" s="85">
        <v>26</v>
      </c>
      <c r="F2740" s="85">
        <v>6</v>
      </c>
      <c r="G2740" s="85">
        <f>--(F2740&lt;=Estimator!$B$7)</f>
        <v>0</v>
      </c>
      <c r="H2740" s="86">
        <f>SUMIFS('Climate Data'!$G$7:$G$366,'Climate Data'!$A$7:$A$366,Estimator!$B$4,'Climate Data'!$B$7:$B$366,C2740)</f>
        <v>0.28666666666666668</v>
      </c>
      <c r="I2740" s="87">
        <f>SUMIFS('Climate Data'!$H$7:$H$366,'Climate Data'!$A$7:$A$366,Estimator!$B$4,'Climate Data'!$B$7:$B$366,C2740)</f>
        <v>7.941860465116279</v>
      </c>
      <c r="J2740" s="86">
        <f>SUMIFS('Wind Proxy'!$H$8:$H$19,'Wind Proxy'!$A$8:$A$19,Estimator!$B$4,'Wind Proxy'!$B$8:$B$19,C2740)</f>
        <v>0</v>
      </c>
    </row>
    <row r="2741" spans="1:10" ht="14.4">
      <c r="A2741" s="84">
        <v>48392</v>
      </c>
      <c r="B2741" s="85">
        <v>2032</v>
      </c>
      <c r="C2741" s="85">
        <v>6</v>
      </c>
      <c r="D2741" s="85" t="s">
        <v>68</v>
      </c>
      <c r="E2741" s="85">
        <v>27</v>
      </c>
      <c r="F2741" s="85">
        <v>7</v>
      </c>
      <c r="G2741" s="85">
        <f>--(F2741&lt;=Estimator!$B$7)</f>
        <v>0</v>
      </c>
      <c r="H2741" s="86">
        <f>SUMIFS('Climate Data'!$G$7:$G$366,'Climate Data'!$A$7:$A$366,Estimator!$B$4,'Climate Data'!$B$7:$B$366,C2741)</f>
        <v>0.28666666666666668</v>
      </c>
      <c r="I2741" s="87">
        <f>SUMIFS('Climate Data'!$H$7:$H$366,'Climate Data'!$A$7:$A$366,Estimator!$B$4,'Climate Data'!$B$7:$B$366,C2741)</f>
        <v>7.941860465116279</v>
      </c>
      <c r="J2741" s="86">
        <f>SUMIFS('Wind Proxy'!$H$8:$H$19,'Wind Proxy'!$A$8:$A$19,Estimator!$B$4,'Wind Proxy'!$B$8:$B$19,C2741)</f>
        <v>0</v>
      </c>
    </row>
    <row r="2742" spans="1:10" ht="14.4">
      <c r="A2742" s="84">
        <v>48393</v>
      </c>
      <c r="B2742" s="85">
        <v>2032</v>
      </c>
      <c r="C2742" s="85">
        <v>6</v>
      </c>
      <c r="D2742" s="85" t="s">
        <v>68</v>
      </c>
      <c r="E2742" s="85">
        <v>28</v>
      </c>
      <c r="F2742" s="85">
        <v>1</v>
      </c>
      <c r="G2742" s="85">
        <f>--(F2742&lt;=Estimator!$B$7)</f>
        <v>1</v>
      </c>
      <c r="H2742" s="86">
        <f>SUMIFS('Climate Data'!$G$7:$G$366,'Climate Data'!$A$7:$A$366,Estimator!$B$4,'Climate Data'!$B$7:$B$366,C2742)</f>
        <v>0.28666666666666668</v>
      </c>
      <c r="I2742" s="87">
        <f>SUMIFS('Climate Data'!$H$7:$H$366,'Climate Data'!$A$7:$A$366,Estimator!$B$4,'Climate Data'!$B$7:$B$366,C2742)</f>
        <v>7.941860465116279</v>
      </c>
      <c r="J2742" s="86">
        <f>SUMIFS('Wind Proxy'!$H$8:$H$19,'Wind Proxy'!$A$8:$A$19,Estimator!$B$4,'Wind Proxy'!$B$8:$B$19,C2742)</f>
        <v>0</v>
      </c>
    </row>
    <row r="2743" spans="1:10" ht="14.4">
      <c r="A2743" s="84">
        <v>48394</v>
      </c>
      <c r="B2743" s="85">
        <v>2032</v>
      </c>
      <c r="C2743" s="85">
        <v>6</v>
      </c>
      <c r="D2743" s="85" t="s">
        <v>68</v>
      </c>
      <c r="E2743" s="85">
        <v>29</v>
      </c>
      <c r="F2743" s="85">
        <v>2</v>
      </c>
      <c r="G2743" s="85">
        <f>--(F2743&lt;=Estimator!$B$7)</f>
        <v>1</v>
      </c>
      <c r="H2743" s="86">
        <f>SUMIFS('Climate Data'!$G$7:$G$366,'Climate Data'!$A$7:$A$366,Estimator!$B$4,'Climate Data'!$B$7:$B$366,C2743)</f>
        <v>0.28666666666666668</v>
      </c>
      <c r="I2743" s="87">
        <f>SUMIFS('Climate Data'!$H$7:$H$366,'Climate Data'!$A$7:$A$366,Estimator!$B$4,'Climate Data'!$B$7:$B$366,C2743)</f>
        <v>7.941860465116279</v>
      </c>
      <c r="J2743" s="86">
        <f>SUMIFS('Wind Proxy'!$H$8:$H$19,'Wind Proxy'!$A$8:$A$19,Estimator!$B$4,'Wind Proxy'!$B$8:$B$19,C2743)</f>
        <v>0</v>
      </c>
    </row>
    <row r="2744" spans="1:10" ht="14.4">
      <c r="A2744" s="84">
        <v>48395</v>
      </c>
      <c r="B2744" s="85">
        <v>2032</v>
      </c>
      <c r="C2744" s="85">
        <v>6</v>
      </c>
      <c r="D2744" s="85" t="s">
        <v>68</v>
      </c>
      <c r="E2744" s="85">
        <v>30</v>
      </c>
      <c r="F2744" s="85">
        <v>3</v>
      </c>
      <c r="G2744" s="85">
        <f>--(F2744&lt;=Estimator!$B$7)</f>
        <v>1</v>
      </c>
      <c r="H2744" s="86">
        <f>SUMIFS('Climate Data'!$G$7:$G$366,'Climate Data'!$A$7:$A$366,Estimator!$B$4,'Climate Data'!$B$7:$B$366,C2744)</f>
        <v>0.28666666666666668</v>
      </c>
      <c r="I2744" s="87">
        <f>SUMIFS('Climate Data'!$H$7:$H$366,'Climate Data'!$A$7:$A$366,Estimator!$B$4,'Climate Data'!$B$7:$B$366,C2744)</f>
        <v>7.941860465116279</v>
      </c>
      <c r="J2744" s="86">
        <f>SUMIFS('Wind Proxy'!$H$8:$H$19,'Wind Proxy'!$A$8:$A$19,Estimator!$B$4,'Wind Proxy'!$B$8:$B$19,C2744)</f>
        <v>0</v>
      </c>
    </row>
    <row r="2745" spans="1:10" ht="14.4">
      <c r="A2745" s="84">
        <v>48396</v>
      </c>
      <c r="B2745" s="85">
        <v>2032</v>
      </c>
      <c r="C2745" s="85">
        <v>7</v>
      </c>
      <c r="D2745" s="85" t="s">
        <v>69</v>
      </c>
      <c r="E2745" s="85">
        <v>1</v>
      </c>
      <c r="F2745" s="85">
        <v>4</v>
      </c>
      <c r="G2745" s="85">
        <f>--(F2745&lt;=Estimator!$B$7)</f>
        <v>1</v>
      </c>
      <c r="H2745" s="86">
        <f>SUMIFS('Climate Data'!$G$7:$G$366,'Climate Data'!$A$7:$A$366,Estimator!$B$4,'Climate Data'!$B$7:$B$366,C2745)</f>
        <v>0.24731182795698925</v>
      </c>
      <c r="I2745" s="87">
        <f>SUMIFS('Climate Data'!$H$7:$H$366,'Climate Data'!$A$7:$A$366,Estimator!$B$4,'Climate Data'!$B$7:$B$366,C2745)</f>
        <v>8.3739130434782609</v>
      </c>
      <c r="J2745" s="86">
        <f>SUMIFS('Wind Proxy'!$H$8:$H$19,'Wind Proxy'!$A$8:$A$19,Estimator!$B$4,'Wind Proxy'!$B$8:$B$19,C2745)</f>
        <v>0</v>
      </c>
    </row>
    <row r="2746" spans="1:10" ht="14.4">
      <c r="A2746" s="84">
        <v>48397</v>
      </c>
      <c r="B2746" s="85">
        <v>2032</v>
      </c>
      <c r="C2746" s="85">
        <v>7</v>
      </c>
      <c r="D2746" s="85" t="s">
        <v>69</v>
      </c>
      <c r="E2746" s="85">
        <v>2</v>
      </c>
      <c r="F2746" s="85">
        <v>5</v>
      </c>
      <c r="G2746" s="85">
        <f>--(F2746&lt;=Estimator!$B$7)</f>
        <v>1</v>
      </c>
      <c r="H2746" s="86">
        <f>SUMIFS('Climate Data'!$G$7:$G$366,'Climate Data'!$A$7:$A$366,Estimator!$B$4,'Climate Data'!$B$7:$B$366,C2746)</f>
        <v>0.24731182795698925</v>
      </c>
      <c r="I2746" s="87">
        <f>SUMIFS('Climate Data'!$H$7:$H$366,'Climate Data'!$A$7:$A$366,Estimator!$B$4,'Climate Data'!$B$7:$B$366,C2746)</f>
        <v>8.3739130434782609</v>
      </c>
      <c r="J2746" s="86">
        <f>SUMIFS('Wind Proxy'!$H$8:$H$19,'Wind Proxy'!$A$8:$A$19,Estimator!$B$4,'Wind Proxy'!$B$8:$B$19,C2746)</f>
        <v>0</v>
      </c>
    </row>
    <row r="2747" spans="1:10" ht="14.4">
      <c r="A2747" s="84">
        <v>48398</v>
      </c>
      <c r="B2747" s="85">
        <v>2032</v>
      </c>
      <c r="C2747" s="85">
        <v>7</v>
      </c>
      <c r="D2747" s="85" t="s">
        <v>69</v>
      </c>
      <c r="E2747" s="85">
        <v>3</v>
      </c>
      <c r="F2747" s="85">
        <v>6</v>
      </c>
      <c r="G2747" s="85">
        <f>--(F2747&lt;=Estimator!$B$7)</f>
        <v>0</v>
      </c>
      <c r="H2747" s="86">
        <f>SUMIFS('Climate Data'!$G$7:$G$366,'Climate Data'!$A$7:$A$366,Estimator!$B$4,'Climate Data'!$B$7:$B$366,C2747)</f>
        <v>0.24731182795698925</v>
      </c>
      <c r="I2747" s="87">
        <f>SUMIFS('Climate Data'!$H$7:$H$366,'Climate Data'!$A$7:$A$366,Estimator!$B$4,'Climate Data'!$B$7:$B$366,C2747)</f>
        <v>8.3739130434782609</v>
      </c>
      <c r="J2747" s="86">
        <f>SUMIFS('Wind Proxy'!$H$8:$H$19,'Wind Proxy'!$A$8:$A$19,Estimator!$B$4,'Wind Proxy'!$B$8:$B$19,C2747)</f>
        <v>0</v>
      </c>
    </row>
    <row r="2748" spans="1:10" ht="14.4">
      <c r="A2748" s="84">
        <v>48399</v>
      </c>
      <c r="B2748" s="85">
        <v>2032</v>
      </c>
      <c r="C2748" s="85">
        <v>7</v>
      </c>
      <c r="D2748" s="85" t="s">
        <v>69</v>
      </c>
      <c r="E2748" s="85">
        <v>4</v>
      </c>
      <c r="F2748" s="85">
        <v>7</v>
      </c>
      <c r="G2748" s="85">
        <f>--(F2748&lt;=Estimator!$B$7)</f>
        <v>0</v>
      </c>
      <c r="H2748" s="86">
        <f>SUMIFS('Climate Data'!$G$7:$G$366,'Climate Data'!$A$7:$A$366,Estimator!$B$4,'Climate Data'!$B$7:$B$366,C2748)</f>
        <v>0.24731182795698925</v>
      </c>
      <c r="I2748" s="87">
        <f>SUMIFS('Climate Data'!$H$7:$H$366,'Climate Data'!$A$7:$A$366,Estimator!$B$4,'Climate Data'!$B$7:$B$366,C2748)</f>
        <v>8.3739130434782609</v>
      </c>
      <c r="J2748" s="86">
        <f>SUMIFS('Wind Proxy'!$H$8:$H$19,'Wind Proxy'!$A$8:$A$19,Estimator!$B$4,'Wind Proxy'!$B$8:$B$19,C2748)</f>
        <v>0</v>
      </c>
    </row>
    <row r="2749" spans="1:10" ht="14.4">
      <c r="A2749" s="84">
        <v>48400</v>
      </c>
      <c r="B2749" s="85">
        <v>2032</v>
      </c>
      <c r="C2749" s="85">
        <v>7</v>
      </c>
      <c r="D2749" s="85" t="s">
        <v>69</v>
      </c>
      <c r="E2749" s="85">
        <v>5</v>
      </c>
      <c r="F2749" s="85">
        <v>1</v>
      </c>
      <c r="G2749" s="85">
        <f>--(F2749&lt;=Estimator!$B$7)</f>
        <v>1</v>
      </c>
      <c r="H2749" s="86">
        <f>SUMIFS('Climate Data'!$G$7:$G$366,'Climate Data'!$A$7:$A$366,Estimator!$B$4,'Climate Data'!$B$7:$B$366,C2749)</f>
        <v>0.24731182795698925</v>
      </c>
      <c r="I2749" s="87">
        <f>SUMIFS('Climate Data'!$H$7:$H$366,'Climate Data'!$A$7:$A$366,Estimator!$B$4,'Climate Data'!$B$7:$B$366,C2749)</f>
        <v>8.3739130434782609</v>
      </c>
      <c r="J2749" s="86">
        <f>SUMIFS('Wind Proxy'!$H$8:$H$19,'Wind Proxy'!$A$8:$A$19,Estimator!$B$4,'Wind Proxy'!$B$8:$B$19,C2749)</f>
        <v>0</v>
      </c>
    </row>
    <row r="2750" spans="1:10" ht="14.4">
      <c r="A2750" s="84">
        <v>48401</v>
      </c>
      <c r="B2750" s="85">
        <v>2032</v>
      </c>
      <c r="C2750" s="85">
        <v>7</v>
      </c>
      <c r="D2750" s="85" t="s">
        <v>69</v>
      </c>
      <c r="E2750" s="85">
        <v>6</v>
      </c>
      <c r="F2750" s="85">
        <v>2</v>
      </c>
      <c r="G2750" s="85">
        <f>--(F2750&lt;=Estimator!$B$7)</f>
        <v>1</v>
      </c>
      <c r="H2750" s="86">
        <f>SUMIFS('Climate Data'!$G$7:$G$366,'Climate Data'!$A$7:$A$366,Estimator!$B$4,'Climate Data'!$B$7:$B$366,C2750)</f>
        <v>0.24731182795698925</v>
      </c>
      <c r="I2750" s="87">
        <f>SUMIFS('Climate Data'!$H$7:$H$366,'Climate Data'!$A$7:$A$366,Estimator!$B$4,'Climate Data'!$B$7:$B$366,C2750)</f>
        <v>8.3739130434782609</v>
      </c>
      <c r="J2750" s="86">
        <f>SUMIFS('Wind Proxy'!$H$8:$H$19,'Wind Proxy'!$A$8:$A$19,Estimator!$B$4,'Wind Proxy'!$B$8:$B$19,C2750)</f>
        <v>0</v>
      </c>
    </row>
    <row r="2751" spans="1:10" ht="14.4">
      <c r="A2751" s="84">
        <v>48402</v>
      </c>
      <c r="B2751" s="85">
        <v>2032</v>
      </c>
      <c r="C2751" s="85">
        <v>7</v>
      </c>
      <c r="D2751" s="85" t="s">
        <v>69</v>
      </c>
      <c r="E2751" s="85">
        <v>7</v>
      </c>
      <c r="F2751" s="85">
        <v>3</v>
      </c>
      <c r="G2751" s="85">
        <f>--(F2751&lt;=Estimator!$B$7)</f>
        <v>1</v>
      </c>
      <c r="H2751" s="86">
        <f>SUMIFS('Climate Data'!$G$7:$G$366,'Climate Data'!$A$7:$A$366,Estimator!$B$4,'Climate Data'!$B$7:$B$366,C2751)</f>
        <v>0.24731182795698925</v>
      </c>
      <c r="I2751" s="87">
        <f>SUMIFS('Climate Data'!$H$7:$H$366,'Climate Data'!$A$7:$A$366,Estimator!$B$4,'Climate Data'!$B$7:$B$366,C2751)</f>
        <v>8.3739130434782609</v>
      </c>
      <c r="J2751" s="86">
        <f>SUMIFS('Wind Proxy'!$H$8:$H$19,'Wind Proxy'!$A$8:$A$19,Estimator!$B$4,'Wind Proxy'!$B$8:$B$19,C2751)</f>
        <v>0</v>
      </c>
    </row>
    <row r="2752" spans="1:10" ht="14.4">
      <c r="A2752" s="84">
        <v>48403</v>
      </c>
      <c r="B2752" s="85">
        <v>2032</v>
      </c>
      <c r="C2752" s="85">
        <v>7</v>
      </c>
      <c r="D2752" s="85" t="s">
        <v>69</v>
      </c>
      <c r="E2752" s="85">
        <v>8</v>
      </c>
      <c r="F2752" s="85">
        <v>4</v>
      </c>
      <c r="G2752" s="85">
        <f>--(F2752&lt;=Estimator!$B$7)</f>
        <v>1</v>
      </c>
      <c r="H2752" s="86">
        <f>SUMIFS('Climate Data'!$G$7:$G$366,'Climate Data'!$A$7:$A$366,Estimator!$B$4,'Climate Data'!$B$7:$B$366,C2752)</f>
        <v>0.24731182795698925</v>
      </c>
      <c r="I2752" s="87">
        <f>SUMIFS('Climate Data'!$H$7:$H$366,'Climate Data'!$A$7:$A$366,Estimator!$B$4,'Climate Data'!$B$7:$B$366,C2752)</f>
        <v>8.3739130434782609</v>
      </c>
      <c r="J2752" s="86">
        <f>SUMIFS('Wind Proxy'!$H$8:$H$19,'Wind Proxy'!$A$8:$A$19,Estimator!$B$4,'Wind Proxy'!$B$8:$B$19,C2752)</f>
        <v>0</v>
      </c>
    </row>
    <row r="2753" spans="1:10" ht="14.4">
      <c r="A2753" s="84">
        <v>48404</v>
      </c>
      <c r="B2753" s="85">
        <v>2032</v>
      </c>
      <c r="C2753" s="85">
        <v>7</v>
      </c>
      <c r="D2753" s="85" t="s">
        <v>69</v>
      </c>
      <c r="E2753" s="85">
        <v>9</v>
      </c>
      <c r="F2753" s="85">
        <v>5</v>
      </c>
      <c r="G2753" s="85">
        <f>--(F2753&lt;=Estimator!$B$7)</f>
        <v>1</v>
      </c>
      <c r="H2753" s="86">
        <f>SUMIFS('Climate Data'!$G$7:$G$366,'Climate Data'!$A$7:$A$366,Estimator!$B$4,'Climate Data'!$B$7:$B$366,C2753)</f>
        <v>0.24731182795698925</v>
      </c>
      <c r="I2753" s="87">
        <f>SUMIFS('Climate Data'!$H$7:$H$366,'Climate Data'!$A$7:$A$366,Estimator!$B$4,'Climate Data'!$B$7:$B$366,C2753)</f>
        <v>8.3739130434782609</v>
      </c>
      <c r="J2753" s="86">
        <f>SUMIFS('Wind Proxy'!$H$8:$H$19,'Wind Proxy'!$A$8:$A$19,Estimator!$B$4,'Wind Proxy'!$B$8:$B$19,C2753)</f>
        <v>0</v>
      </c>
    </row>
    <row r="2754" spans="1:10" ht="14.4">
      <c r="A2754" s="84">
        <v>48405</v>
      </c>
      <c r="B2754" s="85">
        <v>2032</v>
      </c>
      <c r="C2754" s="85">
        <v>7</v>
      </c>
      <c r="D2754" s="85" t="s">
        <v>69</v>
      </c>
      <c r="E2754" s="85">
        <v>10</v>
      </c>
      <c r="F2754" s="85">
        <v>6</v>
      </c>
      <c r="G2754" s="85">
        <f>--(F2754&lt;=Estimator!$B$7)</f>
        <v>0</v>
      </c>
      <c r="H2754" s="86">
        <f>SUMIFS('Climate Data'!$G$7:$G$366,'Climate Data'!$A$7:$A$366,Estimator!$B$4,'Climate Data'!$B$7:$B$366,C2754)</f>
        <v>0.24731182795698925</v>
      </c>
      <c r="I2754" s="87">
        <f>SUMIFS('Climate Data'!$H$7:$H$366,'Climate Data'!$A$7:$A$366,Estimator!$B$4,'Climate Data'!$B$7:$B$366,C2754)</f>
        <v>8.3739130434782609</v>
      </c>
      <c r="J2754" s="86">
        <f>SUMIFS('Wind Proxy'!$H$8:$H$19,'Wind Proxy'!$A$8:$A$19,Estimator!$B$4,'Wind Proxy'!$B$8:$B$19,C2754)</f>
        <v>0</v>
      </c>
    </row>
    <row r="2755" spans="1:10" ht="14.4">
      <c r="A2755" s="84">
        <v>48406</v>
      </c>
      <c r="B2755" s="85">
        <v>2032</v>
      </c>
      <c r="C2755" s="85">
        <v>7</v>
      </c>
      <c r="D2755" s="85" t="s">
        <v>69</v>
      </c>
      <c r="E2755" s="85">
        <v>11</v>
      </c>
      <c r="F2755" s="85">
        <v>7</v>
      </c>
      <c r="G2755" s="85">
        <f>--(F2755&lt;=Estimator!$B$7)</f>
        <v>0</v>
      </c>
      <c r="H2755" s="86">
        <f>SUMIFS('Climate Data'!$G$7:$G$366,'Climate Data'!$A$7:$A$366,Estimator!$B$4,'Climate Data'!$B$7:$B$366,C2755)</f>
        <v>0.24731182795698925</v>
      </c>
      <c r="I2755" s="87">
        <f>SUMIFS('Climate Data'!$H$7:$H$366,'Climate Data'!$A$7:$A$366,Estimator!$B$4,'Climate Data'!$B$7:$B$366,C2755)</f>
        <v>8.3739130434782609</v>
      </c>
      <c r="J2755" s="86">
        <f>SUMIFS('Wind Proxy'!$H$8:$H$19,'Wind Proxy'!$A$8:$A$19,Estimator!$B$4,'Wind Proxy'!$B$8:$B$19,C2755)</f>
        <v>0</v>
      </c>
    </row>
    <row r="2756" spans="1:10" ht="14.4">
      <c r="A2756" s="84">
        <v>48407</v>
      </c>
      <c r="B2756" s="85">
        <v>2032</v>
      </c>
      <c r="C2756" s="85">
        <v>7</v>
      </c>
      <c r="D2756" s="85" t="s">
        <v>69</v>
      </c>
      <c r="E2756" s="85">
        <v>12</v>
      </c>
      <c r="F2756" s="85">
        <v>1</v>
      </c>
      <c r="G2756" s="85">
        <f>--(F2756&lt;=Estimator!$B$7)</f>
        <v>1</v>
      </c>
      <c r="H2756" s="86">
        <f>SUMIFS('Climate Data'!$G$7:$G$366,'Climate Data'!$A$7:$A$366,Estimator!$B$4,'Climate Data'!$B$7:$B$366,C2756)</f>
        <v>0.24731182795698925</v>
      </c>
      <c r="I2756" s="87">
        <f>SUMIFS('Climate Data'!$H$7:$H$366,'Climate Data'!$A$7:$A$366,Estimator!$B$4,'Climate Data'!$B$7:$B$366,C2756)</f>
        <v>8.3739130434782609</v>
      </c>
      <c r="J2756" s="86">
        <f>SUMIFS('Wind Proxy'!$H$8:$H$19,'Wind Proxy'!$A$8:$A$19,Estimator!$B$4,'Wind Proxy'!$B$8:$B$19,C2756)</f>
        <v>0</v>
      </c>
    </row>
    <row r="2757" spans="1:10" ht="14.4">
      <c r="A2757" s="84">
        <v>48408</v>
      </c>
      <c r="B2757" s="85">
        <v>2032</v>
      </c>
      <c r="C2757" s="85">
        <v>7</v>
      </c>
      <c r="D2757" s="85" t="s">
        <v>69</v>
      </c>
      <c r="E2757" s="85">
        <v>13</v>
      </c>
      <c r="F2757" s="85">
        <v>2</v>
      </c>
      <c r="G2757" s="85">
        <f>--(F2757&lt;=Estimator!$B$7)</f>
        <v>1</v>
      </c>
      <c r="H2757" s="86">
        <f>SUMIFS('Climate Data'!$G$7:$G$366,'Climate Data'!$A$7:$A$366,Estimator!$B$4,'Climate Data'!$B$7:$B$366,C2757)</f>
        <v>0.24731182795698925</v>
      </c>
      <c r="I2757" s="87">
        <f>SUMIFS('Climate Data'!$H$7:$H$366,'Climate Data'!$A$7:$A$366,Estimator!$B$4,'Climate Data'!$B$7:$B$366,C2757)</f>
        <v>8.3739130434782609</v>
      </c>
      <c r="J2757" s="86">
        <f>SUMIFS('Wind Proxy'!$H$8:$H$19,'Wind Proxy'!$A$8:$A$19,Estimator!$B$4,'Wind Proxy'!$B$8:$B$19,C2757)</f>
        <v>0</v>
      </c>
    </row>
    <row r="2758" spans="1:10" ht="14.4">
      <c r="A2758" s="84">
        <v>48409</v>
      </c>
      <c r="B2758" s="85">
        <v>2032</v>
      </c>
      <c r="C2758" s="85">
        <v>7</v>
      </c>
      <c r="D2758" s="85" t="s">
        <v>69</v>
      </c>
      <c r="E2758" s="85">
        <v>14</v>
      </c>
      <c r="F2758" s="85">
        <v>3</v>
      </c>
      <c r="G2758" s="85">
        <f>--(F2758&lt;=Estimator!$B$7)</f>
        <v>1</v>
      </c>
      <c r="H2758" s="86">
        <f>SUMIFS('Climate Data'!$G$7:$G$366,'Climate Data'!$A$7:$A$366,Estimator!$B$4,'Climate Data'!$B$7:$B$366,C2758)</f>
        <v>0.24731182795698925</v>
      </c>
      <c r="I2758" s="87">
        <f>SUMIFS('Climate Data'!$H$7:$H$366,'Climate Data'!$A$7:$A$366,Estimator!$B$4,'Climate Data'!$B$7:$B$366,C2758)</f>
        <v>8.3739130434782609</v>
      </c>
      <c r="J2758" s="86">
        <f>SUMIFS('Wind Proxy'!$H$8:$H$19,'Wind Proxy'!$A$8:$A$19,Estimator!$B$4,'Wind Proxy'!$B$8:$B$19,C2758)</f>
        <v>0</v>
      </c>
    </row>
    <row r="2759" spans="1:10" ht="14.4">
      <c r="A2759" s="84">
        <v>48410</v>
      </c>
      <c r="B2759" s="85">
        <v>2032</v>
      </c>
      <c r="C2759" s="85">
        <v>7</v>
      </c>
      <c r="D2759" s="85" t="s">
        <v>69</v>
      </c>
      <c r="E2759" s="85">
        <v>15</v>
      </c>
      <c r="F2759" s="85">
        <v>4</v>
      </c>
      <c r="G2759" s="85">
        <f>--(F2759&lt;=Estimator!$B$7)</f>
        <v>1</v>
      </c>
      <c r="H2759" s="86">
        <f>SUMIFS('Climate Data'!$G$7:$G$366,'Climate Data'!$A$7:$A$366,Estimator!$B$4,'Climate Data'!$B$7:$B$366,C2759)</f>
        <v>0.24731182795698925</v>
      </c>
      <c r="I2759" s="87">
        <f>SUMIFS('Climate Data'!$H$7:$H$366,'Climate Data'!$A$7:$A$366,Estimator!$B$4,'Climate Data'!$B$7:$B$366,C2759)</f>
        <v>8.3739130434782609</v>
      </c>
      <c r="J2759" s="86">
        <f>SUMIFS('Wind Proxy'!$H$8:$H$19,'Wind Proxy'!$A$8:$A$19,Estimator!$B$4,'Wind Proxy'!$B$8:$B$19,C2759)</f>
        <v>0</v>
      </c>
    </row>
    <row r="2760" spans="1:10" ht="14.4">
      <c r="A2760" s="84">
        <v>48411</v>
      </c>
      <c r="B2760" s="85">
        <v>2032</v>
      </c>
      <c r="C2760" s="85">
        <v>7</v>
      </c>
      <c r="D2760" s="85" t="s">
        <v>69</v>
      </c>
      <c r="E2760" s="85">
        <v>16</v>
      </c>
      <c r="F2760" s="85">
        <v>5</v>
      </c>
      <c r="G2760" s="85">
        <f>--(F2760&lt;=Estimator!$B$7)</f>
        <v>1</v>
      </c>
      <c r="H2760" s="86">
        <f>SUMIFS('Climate Data'!$G$7:$G$366,'Climate Data'!$A$7:$A$366,Estimator!$B$4,'Climate Data'!$B$7:$B$366,C2760)</f>
        <v>0.24731182795698925</v>
      </c>
      <c r="I2760" s="87">
        <f>SUMIFS('Climate Data'!$H$7:$H$366,'Climate Data'!$A$7:$A$366,Estimator!$B$4,'Climate Data'!$B$7:$B$366,C2760)</f>
        <v>8.3739130434782609</v>
      </c>
      <c r="J2760" s="86">
        <f>SUMIFS('Wind Proxy'!$H$8:$H$19,'Wind Proxy'!$A$8:$A$19,Estimator!$B$4,'Wind Proxy'!$B$8:$B$19,C2760)</f>
        <v>0</v>
      </c>
    </row>
    <row r="2761" spans="1:10" ht="14.4">
      <c r="A2761" s="84">
        <v>48412</v>
      </c>
      <c r="B2761" s="85">
        <v>2032</v>
      </c>
      <c r="C2761" s="85">
        <v>7</v>
      </c>
      <c r="D2761" s="85" t="s">
        <v>69</v>
      </c>
      <c r="E2761" s="85">
        <v>17</v>
      </c>
      <c r="F2761" s="85">
        <v>6</v>
      </c>
      <c r="G2761" s="85">
        <f>--(F2761&lt;=Estimator!$B$7)</f>
        <v>0</v>
      </c>
      <c r="H2761" s="86">
        <f>SUMIFS('Climate Data'!$G$7:$G$366,'Climate Data'!$A$7:$A$366,Estimator!$B$4,'Climate Data'!$B$7:$B$366,C2761)</f>
        <v>0.24731182795698925</v>
      </c>
      <c r="I2761" s="87">
        <f>SUMIFS('Climate Data'!$H$7:$H$366,'Climate Data'!$A$7:$A$366,Estimator!$B$4,'Climate Data'!$B$7:$B$366,C2761)</f>
        <v>8.3739130434782609</v>
      </c>
      <c r="J2761" s="86">
        <f>SUMIFS('Wind Proxy'!$H$8:$H$19,'Wind Proxy'!$A$8:$A$19,Estimator!$B$4,'Wind Proxy'!$B$8:$B$19,C2761)</f>
        <v>0</v>
      </c>
    </row>
    <row r="2762" spans="1:10" ht="14.4">
      <c r="A2762" s="84">
        <v>48413</v>
      </c>
      <c r="B2762" s="85">
        <v>2032</v>
      </c>
      <c r="C2762" s="85">
        <v>7</v>
      </c>
      <c r="D2762" s="85" t="s">
        <v>69</v>
      </c>
      <c r="E2762" s="85">
        <v>18</v>
      </c>
      <c r="F2762" s="85">
        <v>7</v>
      </c>
      <c r="G2762" s="85">
        <f>--(F2762&lt;=Estimator!$B$7)</f>
        <v>0</v>
      </c>
      <c r="H2762" s="86">
        <f>SUMIFS('Climate Data'!$G$7:$G$366,'Climate Data'!$A$7:$A$366,Estimator!$B$4,'Climate Data'!$B$7:$B$366,C2762)</f>
        <v>0.24731182795698925</v>
      </c>
      <c r="I2762" s="87">
        <f>SUMIFS('Climate Data'!$H$7:$H$366,'Climate Data'!$A$7:$A$366,Estimator!$B$4,'Climate Data'!$B$7:$B$366,C2762)</f>
        <v>8.3739130434782609</v>
      </c>
      <c r="J2762" s="86">
        <f>SUMIFS('Wind Proxy'!$H$8:$H$19,'Wind Proxy'!$A$8:$A$19,Estimator!$B$4,'Wind Proxy'!$B$8:$B$19,C2762)</f>
        <v>0</v>
      </c>
    </row>
    <row r="2763" spans="1:10" ht="14.4">
      <c r="A2763" s="84">
        <v>48414</v>
      </c>
      <c r="B2763" s="85">
        <v>2032</v>
      </c>
      <c r="C2763" s="85">
        <v>7</v>
      </c>
      <c r="D2763" s="85" t="s">
        <v>69</v>
      </c>
      <c r="E2763" s="85">
        <v>19</v>
      </c>
      <c r="F2763" s="85">
        <v>1</v>
      </c>
      <c r="G2763" s="85">
        <f>--(F2763&lt;=Estimator!$B$7)</f>
        <v>1</v>
      </c>
      <c r="H2763" s="86">
        <f>SUMIFS('Climate Data'!$G$7:$G$366,'Climate Data'!$A$7:$A$366,Estimator!$B$4,'Climate Data'!$B$7:$B$366,C2763)</f>
        <v>0.24731182795698925</v>
      </c>
      <c r="I2763" s="87">
        <f>SUMIFS('Climate Data'!$H$7:$H$366,'Climate Data'!$A$7:$A$366,Estimator!$B$4,'Climate Data'!$B$7:$B$366,C2763)</f>
        <v>8.3739130434782609</v>
      </c>
      <c r="J2763" s="86">
        <f>SUMIFS('Wind Proxy'!$H$8:$H$19,'Wind Proxy'!$A$8:$A$19,Estimator!$B$4,'Wind Proxy'!$B$8:$B$19,C2763)</f>
        <v>0</v>
      </c>
    </row>
    <row r="2764" spans="1:10" ht="14.4">
      <c r="A2764" s="84">
        <v>48415</v>
      </c>
      <c r="B2764" s="85">
        <v>2032</v>
      </c>
      <c r="C2764" s="85">
        <v>7</v>
      </c>
      <c r="D2764" s="85" t="s">
        <v>69</v>
      </c>
      <c r="E2764" s="85">
        <v>20</v>
      </c>
      <c r="F2764" s="85">
        <v>2</v>
      </c>
      <c r="G2764" s="85">
        <f>--(F2764&lt;=Estimator!$B$7)</f>
        <v>1</v>
      </c>
      <c r="H2764" s="86">
        <f>SUMIFS('Climate Data'!$G$7:$G$366,'Climate Data'!$A$7:$A$366,Estimator!$B$4,'Climate Data'!$B$7:$B$366,C2764)</f>
        <v>0.24731182795698925</v>
      </c>
      <c r="I2764" s="87">
        <f>SUMIFS('Climate Data'!$H$7:$H$366,'Climate Data'!$A$7:$A$366,Estimator!$B$4,'Climate Data'!$B$7:$B$366,C2764)</f>
        <v>8.3739130434782609</v>
      </c>
      <c r="J2764" s="86">
        <f>SUMIFS('Wind Proxy'!$H$8:$H$19,'Wind Proxy'!$A$8:$A$19,Estimator!$B$4,'Wind Proxy'!$B$8:$B$19,C2764)</f>
        <v>0</v>
      </c>
    </row>
    <row r="2765" spans="1:10" ht="14.4">
      <c r="A2765" s="84">
        <v>48416</v>
      </c>
      <c r="B2765" s="85">
        <v>2032</v>
      </c>
      <c r="C2765" s="85">
        <v>7</v>
      </c>
      <c r="D2765" s="85" t="s">
        <v>69</v>
      </c>
      <c r="E2765" s="85">
        <v>21</v>
      </c>
      <c r="F2765" s="85">
        <v>3</v>
      </c>
      <c r="G2765" s="85">
        <f>--(F2765&lt;=Estimator!$B$7)</f>
        <v>1</v>
      </c>
      <c r="H2765" s="86">
        <f>SUMIFS('Climate Data'!$G$7:$G$366,'Climate Data'!$A$7:$A$366,Estimator!$B$4,'Climate Data'!$B$7:$B$366,C2765)</f>
        <v>0.24731182795698925</v>
      </c>
      <c r="I2765" s="87">
        <f>SUMIFS('Climate Data'!$H$7:$H$366,'Climate Data'!$A$7:$A$366,Estimator!$B$4,'Climate Data'!$B$7:$B$366,C2765)</f>
        <v>8.3739130434782609</v>
      </c>
      <c r="J2765" s="86">
        <f>SUMIFS('Wind Proxy'!$H$8:$H$19,'Wind Proxy'!$A$8:$A$19,Estimator!$B$4,'Wind Proxy'!$B$8:$B$19,C2765)</f>
        <v>0</v>
      </c>
    </row>
    <row r="2766" spans="1:10" ht="14.4">
      <c r="A2766" s="84">
        <v>48417</v>
      </c>
      <c r="B2766" s="85">
        <v>2032</v>
      </c>
      <c r="C2766" s="85">
        <v>7</v>
      </c>
      <c r="D2766" s="85" t="s">
        <v>69</v>
      </c>
      <c r="E2766" s="85">
        <v>22</v>
      </c>
      <c r="F2766" s="85">
        <v>4</v>
      </c>
      <c r="G2766" s="85">
        <f>--(F2766&lt;=Estimator!$B$7)</f>
        <v>1</v>
      </c>
      <c r="H2766" s="86">
        <f>SUMIFS('Climate Data'!$G$7:$G$366,'Climate Data'!$A$7:$A$366,Estimator!$B$4,'Climate Data'!$B$7:$B$366,C2766)</f>
        <v>0.24731182795698925</v>
      </c>
      <c r="I2766" s="87">
        <f>SUMIFS('Climate Data'!$H$7:$H$366,'Climate Data'!$A$7:$A$366,Estimator!$B$4,'Climate Data'!$B$7:$B$366,C2766)</f>
        <v>8.3739130434782609</v>
      </c>
      <c r="J2766" s="86">
        <f>SUMIFS('Wind Proxy'!$H$8:$H$19,'Wind Proxy'!$A$8:$A$19,Estimator!$B$4,'Wind Proxy'!$B$8:$B$19,C2766)</f>
        <v>0</v>
      </c>
    </row>
    <row r="2767" spans="1:10" ht="14.4">
      <c r="A2767" s="84">
        <v>48418</v>
      </c>
      <c r="B2767" s="85">
        <v>2032</v>
      </c>
      <c r="C2767" s="85">
        <v>7</v>
      </c>
      <c r="D2767" s="85" t="s">
        <v>69</v>
      </c>
      <c r="E2767" s="85">
        <v>23</v>
      </c>
      <c r="F2767" s="85">
        <v>5</v>
      </c>
      <c r="G2767" s="85">
        <f>--(F2767&lt;=Estimator!$B$7)</f>
        <v>1</v>
      </c>
      <c r="H2767" s="86">
        <f>SUMIFS('Climate Data'!$G$7:$G$366,'Climate Data'!$A$7:$A$366,Estimator!$B$4,'Climate Data'!$B$7:$B$366,C2767)</f>
        <v>0.24731182795698925</v>
      </c>
      <c r="I2767" s="87">
        <f>SUMIFS('Climate Data'!$H$7:$H$366,'Climate Data'!$A$7:$A$366,Estimator!$B$4,'Climate Data'!$B$7:$B$366,C2767)</f>
        <v>8.3739130434782609</v>
      </c>
      <c r="J2767" s="86">
        <f>SUMIFS('Wind Proxy'!$H$8:$H$19,'Wind Proxy'!$A$8:$A$19,Estimator!$B$4,'Wind Proxy'!$B$8:$B$19,C2767)</f>
        <v>0</v>
      </c>
    </row>
    <row r="2768" spans="1:10" ht="14.4">
      <c r="A2768" s="84">
        <v>48419</v>
      </c>
      <c r="B2768" s="85">
        <v>2032</v>
      </c>
      <c r="C2768" s="85">
        <v>7</v>
      </c>
      <c r="D2768" s="85" t="s">
        <v>69</v>
      </c>
      <c r="E2768" s="85">
        <v>24</v>
      </c>
      <c r="F2768" s="85">
        <v>6</v>
      </c>
      <c r="G2768" s="85">
        <f>--(F2768&lt;=Estimator!$B$7)</f>
        <v>0</v>
      </c>
      <c r="H2768" s="86">
        <f>SUMIFS('Climate Data'!$G$7:$G$366,'Climate Data'!$A$7:$A$366,Estimator!$B$4,'Climate Data'!$B$7:$B$366,C2768)</f>
        <v>0.24731182795698925</v>
      </c>
      <c r="I2768" s="87">
        <f>SUMIFS('Climate Data'!$H$7:$H$366,'Climate Data'!$A$7:$A$366,Estimator!$B$4,'Climate Data'!$B$7:$B$366,C2768)</f>
        <v>8.3739130434782609</v>
      </c>
      <c r="J2768" s="86">
        <f>SUMIFS('Wind Proxy'!$H$8:$H$19,'Wind Proxy'!$A$8:$A$19,Estimator!$B$4,'Wind Proxy'!$B$8:$B$19,C2768)</f>
        <v>0</v>
      </c>
    </row>
    <row r="2769" spans="1:10" ht="14.4">
      <c r="A2769" s="84">
        <v>48420</v>
      </c>
      <c r="B2769" s="85">
        <v>2032</v>
      </c>
      <c r="C2769" s="85">
        <v>7</v>
      </c>
      <c r="D2769" s="85" t="s">
        <v>69</v>
      </c>
      <c r="E2769" s="85">
        <v>25</v>
      </c>
      <c r="F2769" s="85">
        <v>7</v>
      </c>
      <c r="G2769" s="85">
        <f>--(F2769&lt;=Estimator!$B$7)</f>
        <v>0</v>
      </c>
      <c r="H2769" s="86">
        <f>SUMIFS('Climate Data'!$G$7:$G$366,'Climate Data'!$A$7:$A$366,Estimator!$B$4,'Climate Data'!$B$7:$B$366,C2769)</f>
        <v>0.24731182795698925</v>
      </c>
      <c r="I2769" s="87">
        <f>SUMIFS('Climate Data'!$H$7:$H$366,'Climate Data'!$A$7:$A$366,Estimator!$B$4,'Climate Data'!$B$7:$B$366,C2769)</f>
        <v>8.3739130434782609</v>
      </c>
      <c r="J2769" s="86">
        <f>SUMIFS('Wind Proxy'!$H$8:$H$19,'Wind Proxy'!$A$8:$A$19,Estimator!$B$4,'Wind Proxy'!$B$8:$B$19,C2769)</f>
        <v>0</v>
      </c>
    </row>
    <row r="2770" spans="1:10" ht="14.4">
      <c r="A2770" s="84">
        <v>48421</v>
      </c>
      <c r="B2770" s="85">
        <v>2032</v>
      </c>
      <c r="C2770" s="85">
        <v>7</v>
      </c>
      <c r="D2770" s="85" t="s">
        <v>69</v>
      </c>
      <c r="E2770" s="85">
        <v>26</v>
      </c>
      <c r="F2770" s="85">
        <v>1</v>
      </c>
      <c r="G2770" s="85">
        <f>--(F2770&lt;=Estimator!$B$7)</f>
        <v>1</v>
      </c>
      <c r="H2770" s="86">
        <f>SUMIFS('Climate Data'!$G$7:$G$366,'Climate Data'!$A$7:$A$366,Estimator!$B$4,'Climate Data'!$B$7:$B$366,C2770)</f>
        <v>0.24731182795698925</v>
      </c>
      <c r="I2770" s="87">
        <f>SUMIFS('Climate Data'!$H$7:$H$366,'Climate Data'!$A$7:$A$366,Estimator!$B$4,'Climate Data'!$B$7:$B$366,C2770)</f>
        <v>8.3739130434782609</v>
      </c>
      <c r="J2770" s="86">
        <f>SUMIFS('Wind Proxy'!$H$8:$H$19,'Wind Proxy'!$A$8:$A$19,Estimator!$B$4,'Wind Proxy'!$B$8:$B$19,C2770)</f>
        <v>0</v>
      </c>
    </row>
    <row r="2771" spans="1:10" ht="14.4">
      <c r="A2771" s="84">
        <v>48422</v>
      </c>
      <c r="B2771" s="85">
        <v>2032</v>
      </c>
      <c r="C2771" s="85">
        <v>7</v>
      </c>
      <c r="D2771" s="85" t="s">
        <v>69</v>
      </c>
      <c r="E2771" s="85">
        <v>27</v>
      </c>
      <c r="F2771" s="85">
        <v>2</v>
      </c>
      <c r="G2771" s="85">
        <f>--(F2771&lt;=Estimator!$B$7)</f>
        <v>1</v>
      </c>
      <c r="H2771" s="86">
        <f>SUMIFS('Climate Data'!$G$7:$G$366,'Climate Data'!$A$7:$A$366,Estimator!$B$4,'Climate Data'!$B$7:$B$366,C2771)</f>
        <v>0.24731182795698925</v>
      </c>
      <c r="I2771" s="87">
        <f>SUMIFS('Climate Data'!$H$7:$H$366,'Climate Data'!$A$7:$A$366,Estimator!$B$4,'Climate Data'!$B$7:$B$366,C2771)</f>
        <v>8.3739130434782609</v>
      </c>
      <c r="J2771" s="86">
        <f>SUMIFS('Wind Proxy'!$H$8:$H$19,'Wind Proxy'!$A$8:$A$19,Estimator!$B$4,'Wind Proxy'!$B$8:$B$19,C2771)</f>
        <v>0</v>
      </c>
    </row>
    <row r="2772" spans="1:10" ht="14.4">
      <c r="A2772" s="84">
        <v>48423</v>
      </c>
      <c r="B2772" s="85">
        <v>2032</v>
      </c>
      <c r="C2772" s="85">
        <v>7</v>
      </c>
      <c r="D2772" s="85" t="s">
        <v>69</v>
      </c>
      <c r="E2772" s="85">
        <v>28</v>
      </c>
      <c r="F2772" s="85">
        <v>3</v>
      </c>
      <c r="G2772" s="85">
        <f>--(F2772&lt;=Estimator!$B$7)</f>
        <v>1</v>
      </c>
      <c r="H2772" s="86">
        <f>SUMIFS('Climate Data'!$G$7:$G$366,'Climate Data'!$A$7:$A$366,Estimator!$B$4,'Climate Data'!$B$7:$B$366,C2772)</f>
        <v>0.24731182795698925</v>
      </c>
      <c r="I2772" s="87">
        <f>SUMIFS('Climate Data'!$H$7:$H$366,'Climate Data'!$A$7:$A$366,Estimator!$B$4,'Climate Data'!$B$7:$B$366,C2772)</f>
        <v>8.3739130434782609</v>
      </c>
      <c r="J2772" s="86">
        <f>SUMIFS('Wind Proxy'!$H$8:$H$19,'Wind Proxy'!$A$8:$A$19,Estimator!$B$4,'Wind Proxy'!$B$8:$B$19,C2772)</f>
        <v>0</v>
      </c>
    </row>
    <row r="2773" spans="1:10" ht="14.4">
      <c r="A2773" s="84">
        <v>48424</v>
      </c>
      <c r="B2773" s="85">
        <v>2032</v>
      </c>
      <c r="C2773" s="85">
        <v>7</v>
      </c>
      <c r="D2773" s="85" t="s">
        <v>69</v>
      </c>
      <c r="E2773" s="85">
        <v>29</v>
      </c>
      <c r="F2773" s="85">
        <v>4</v>
      </c>
      <c r="G2773" s="85">
        <f>--(F2773&lt;=Estimator!$B$7)</f>
        <v>1</v>
      </c>
      <c r="H2773" s="86">
        <f>SUMIFS('Climate Data'!$G$7:$G$366,'Climate Data'!$A$7:$A$366,Estimator!$B$4,'Climate Data'!$B$7:$B$366,C2773)</f>
        <v>0.24731182795698925</v>
      </c>
      <c r="I2773" s="87">
        <f>SUMIFS('Climate Data'!$H$7:$H$366,'Climate Data'!$A$7:$A$366,Estimator!$B$4,'Climate Data'!$B$7:$B$366,C2773)</f>
        <v>8.3739130434782609</v>
      </c>
      <c r="J2773" s="86">
        <f>SUMIFS('Wind Proxy'!$H$8:$H$19,'Wind Proxy'!$A$8:$A$19,Estimator!$B$4,'Wind Proxy'!$B$8:$B$19,C2773)</f>
        <v>0</v>
      </c>
    </row>
    <row r="2774" spans="1:10" ht="14.4">
      <c r="A2774" s="84">
        <v>48425</v>
      </c>
      <c r="B2774" s="85">
        <v>2032</v>
      </c>
      <c r="C2774" s="85">
        <v>7</v>
      </c>
      <c r="D2774" s="85" t="s">
        <v>69</v>
      </c>
      <c r="E2774" s="85">
        <v>30</v>
      </c>
      <c r="F2774" s="85">
        <v>5</v>
      </c>
      <c r="G2774" s="85">
        <f>--(F2774&lt;=Estimator!$B$7)</f>
        <v>1</v>
      </c>
      <c r="H2774" s="86">
        <f>SUMIFS('Climate Data'!$G$7:$G$366,'Climate Data'!$A$7:$A$366,Estimator!$B$4,'Climate Data'!$B$7:$B$366,C2774)</f>
        <v>0.24731182795698925</v>
      </c>
      <c r="I2774" s="87">
        <f>SUMIFS('Climate Data'!$H$7:$H$366,'Climate Data'!$A$7:$A$366,Estimator!$B$4,'Climate Data'!$B$7:$B$366,C2774)</f>
        <v>8.3739130434782609</v>
      </c>
      <c r="J2774" s="86">
        <f>SUMIFS('Wind Proxy'!$H$8:$H$19,'Wind Proxy'!$A$8:$A$19,Estimator!$B$4,'Wind Proxy'!$B$8:$B$19,C2774)</f>
        <v>0</v>
      </c>
    </row>
    <row r="2775" spans="1:10" ht="14.4">
      <c r="A2775" s="84">
        <v>48426</v>
      </c>
      <c r="B2775" s="85">
        <v>2032</v>
      </c>
      <c r="C2775" s="85">
        <v>7</v>
      </c>
      <c r="D2775" s="85" t="s">
        <v>69</v>
      </c>
      <c r="E2775" s="85">
        <v>31</v>
      </c>
      <c r="F2775" s="85">
        <v>6</v>
      </c>
      <c r="G2775" s="85">
        <f>--(F2775&lt;=Estimator!$B$7)</f>
        <v>0</v>
      </c>
      <c r="H2775" s="86">
        <f>SUMIFS('Climate Data'!$G$7:$G$366,'Climate Data'!$A$7:$A$366,Estimator!$B$4,'Climate Data'!$B$7:$B$366,C2775)</f>
        <v>0.24731182795698925</v>
      </c>
      <c r="I2775" s="87">
        <f>SUMIFS('Climate Data'!$H$7:$H$366,'Climate Data'!$A$7:$A$366,Estimator!$B$4,'Climate Data'!$B$7:$B$366,C2775)</f>
        <v>8.3739130434782609</v>
      </c>
      <c r="J2775" s="86">
        <f>SUMIFS('Wind Proxy'!$H$8:$H$19,'Wind Proxy'!$A$8:$A$19,Estimator!$B$4,'Wind Proxy'!$B$8:$B$19,C2775)</f>
        <v>0</v>
      </c>
    </row>
    <row r="2776" spans="1:10" ht="14.4">
      <c r="A2776" s="84">
        <v>48427</v>
      </c>
      <c r="B2776" s="85">
        <v>2032</v>
      </c>
      <c r="C2776" s="85">
        <v>8</v>
      </c>
      <c r="D2776" s="85" t="s">
        <v>71</v>
      </c>
      <c r="E2776" s="85">
        <v>1</v>
      </c>
      <c r="F2776" s="85">
        <v>7</v>
      </c>
      <c r="G2776" s="85">
        <f>--(F2776&lt;=Estimator!$B$7)</f>
        <v>0</v>
      </c>
      <c r="H2776" s="86">
        <f>SUMIFS('Climate Data'!$G$7:$G$366,'Climate Data'!$A$7:$A$366,Estimator!$B$4,'Climate Data'!$B$7:$B$366,C2776)</f>
        <v>0.23548387096774193</v>
      </c>
      <c r="I2776" s="87">
        <f>SUMIFS('Climate Data'!$H$7:$H$366,'Climate Data'!$A$7:$A$366,Estimator!$B$4,'Climate Data'!$B$7:$B$366,C2776)</f>
        <v>7.9589041095890414</v>
      </c>
      <c r="J2776" s="86">
        <f>SUMIFS('Wind Proxy'!$H$8:$H$19,'Wind Proxy'!$A$8:$A$19,Estimator!$B$4,'Wind Proxy'!$B$8:$B$19,C2776)</f>
        <v>0</v>
      </c>
    </row>
    <row r="2777" spans="1:10" ht="14.4">
      <c r="A2777" s="84">
        <v>48428</v>
      </c>
      <c r="B2777" s="85">
        <v>2032</v>
      </c>
      <c r="C2777" s="85">
        <v>8</v>
      </c>
      <c r="D2777" s="85" t="s">
        <v>71</v>
      </c>
      <c r="E2777" s="85">
        <v>2</v>
      </c>
      <c r="F2777" s="85">
        <v>1</v>
      </c>
      <c r="G2777" s="85">
        <f>--(F2777&lt;=Estimator!$B$7)</f>
        <v>1</v>
      </c>
      <c r="H2777" s="86">
        <f>SUMIFS('Climate Data'!$G$7:$G$366,'Climate Data'!$A$7:$A$366,Estimator!$B$4,'Climate Data'!$B$7:$B$366,C2777)</f>
        <v>0.23548387096774193</v>
      </c>
      <c r="I2777" s="87">
        <f>SUMIFS('Climate Data'!$H$7:$H$366,'Climate Data'!$A$7:$A$366,Estimator!$B$4,'Climate Data'!$B$7:$B$366,C2777)</f>
        <v>7.9589041095890414</v>
      </c>
      <c r="J2777" s="86">
        <f>SUMIFS('Wind Proxy'!$H$8:$H$19,'Wind Proxy'!$A$8:$A$19,Estimator!$B$4,'Wind Proxy'!$B$8:$B$19,C2777)</f>
        <v>0</v>
      </c>
    </row>
    <row r="2778" spans="1:10" ht="14.4">
      <c r="A2778" s="84">
        <v>48429</v>
      </c>
      <c r="B2778" s="85">
        <v>2032</v>
      </c>
      <c r="C2778" s="85">
        <v>8</v>
      </c>
      <c r="D2778" s="85" t="s">
        <v>71</v>
      </c>
      <c r="E2778" s="85">
        <v>3</v>
      </c>
      <c r="F2778" s="85">
        <v>2</v>
      </c>
      <c r="G2778" s="85">
        <f>--(F2778&lt;=Estimator!$B$7)</f>
        <v>1</v>
      </c>
      <c r="H2778" s="86">
        <f>SUMIFS('Climate Data'!$G$7:$G$366,'Climate Data'!$A$7:$A$366,Estimator!$B$4,'Climate Data'!$B$7:$B$366,C2778)</f>
        <v>0.23548387096774193</v>
      </c>
      <c r="I2778" s="87">
        <f>SUMIFS('Climate Data'!$H$7:$H$366,'Climate Data'!$A$7:$A$366,Estimator!$B$4,'Climate Data'!$B$7:$B$366,C2778)</f>
        <v>7.9589041095890414</v>
      </c>
      <c r="J2778" s="86">
        <f>SUMIFS('Wind Proxy'!$H$8:$H$19,'Wind Proxy'!$A$8:$A$19,Estimator!$B$4,'Wind Proxy'!$B$8:$B$19,C2778)</f>
        <v>0</v>
      </c>
    </row>
    <row r="2779" spans="1:10" ht="14.4">
      <c r="A2779" s="84">
        <v>48430</v>
      </c>
      <c r="B2779" s="85">
        <v>2032</v>
      </c>
      <c r="C2779" s="85">
        <v>8</v>
      </c>
      <c r="D2779" s="85" t="s">
        <v>71</v>
      </c>
      <c r="E2779" s="85">
        <v>4</v>
      </c>
      <c r="F2779" s="85">
        <v>3</v>
      </c>
      <c r="G2779" s="85">
        <f>--(F2779&lt;=Estimator!$B$7)</f>
        <v>1</v>
      </c>
      <c r="H2779" s="86">
        <f>SUMIFS('Climate Data'!$G$7:$G$366,'Climate Data'!$A$7:$A$366,Estimator!$B$4,'Climate Data'!$B$7:$B$366,C2779)</f>
        <v>0.23548387096774193</v>
      </c>
      <c r="I2779" s="87">
        <f>SUMIFS('Climate Data'!$H$7:$H$366,'Climate Data'!$A$7:$A$366,Estimator!$B$4,'Climate Data'!$B$7:$B$366,C2779)</f>
        <v>7.9589041095890414</v>
      </c>
      <c r="J2779" s="86">
        <f>SUMIFS('Wind Proxy'!$H$8:$H$19,'Wind Proxy'!$A$8:$A$19,Estimator!$B$4,'Wind Proxy'!$B$8:$B$19,C2779)</f>
        <v>0</v>
      </c>
    </row>
    <row r="2780" spans="1:10" ht="14.4">
      <c r="A2780" s="84">
        <v>48431</v>
      </c>
      <c r="B2780" s="85">
        <v>2032</v>
      </c>
      <c r="C2780" s="85">
        <v>8</v>
      </c>
      <c r="D2780" s="85" t="s">
        <v>71</v>
      </c>
      <c r="E2780" s="85">
        <v>5</v>
      </c>
      <c r="F2780" s="85">
        <v>4</v>
      </c>
      <c r="G2780" s="85">
        <f>--(F2780&lt;=Estimator!$B$7)</f>
        <v>1</v>
      </c>
      <c r="H2780" s="86">
        <f>SUMIFS('Climate Data'!$G$7:$G$366,'Climate Data'!$A$7:$A$366,Estimator!$B$4,'Climate Data'!$B$7:$B$366,C2780)</f>
        <v>0.23548387096774193</v>
      </c>
      <c r="I2780" s="87">
        <f>SUMIFS('Climate Data'!$H$7:$H$366,'Climate Data'!$A$7:$A$366,Estimator!$B$4,'Climate Data'!$B$7:$B$366,C2780)</f>
        <v>7.9589041095890414</v>
      </c>
      <c r="J2780" s="86">
        <f>SUMIFS('Wind Proxy'!$H$8:$H$19,'Wind Proxy'!$A$8:$A$19,Estimator!$B$4,'Wind Proxy'!$B$8:$B$19,C2780)</f>
        <v>0</v>
      </c>
    </row>
    <row r="2781" spans="1:10" ht="14.4">
      <c r="A2781" s="84">
        <v>48432</v>
      </c>
      <c r="B2781" s="85">
        <v>2032</v>
      </c>
      <c r="C2781" s="85">
        <v>8</v>
      </c>
      <c r="D2781" s="85" t="s">
        <v>71</v>
      </c>
      <c r="E2781" s="85">
        <v>6</v>
      </c>
      <c r="F2781" s="85">
        <v>5</v>
      </c>
      <c r="G2781" s="85">
        <f>--(F2781&lt;=Estimator!$B$7)</f>
        <v>1</v>
      </c>
      <c r="H2781" s="86">
        <f>SUMIFS('Climate Data'!$G$7:$G$366,'Climate Data'!$A$7:$A$366,Estimator!$B$4,'Climate Data'!$B$7:$B$366,C2781)</f>
        <v>0.23548387096774193</v>
      </c>
      <c r="I2781" s="87">
        <f>SUMIFS('Climate Data'!$H$7:$H$366,'Climate Data'!$A$7:$A$366,Estimator!$B$4,'Climate Data'!$B$7:$B$366,C2781)</f>
        <v>7.9589041095890414</v>
      </c>
      <c r="J2781" s="86">
        <f>SUMIFS('Wind Proxy'!$H$8:$H$19,'Wind Proxy'!$A$8:$A$19,Estimator!$B$4,'Wind Proxy'!$B$8:$B$19,C2781)</f>
        <v>0</v>
      </c>
    </row>
    <row r="2782" spans="1:10" ht="14.4">
      <c r="A2782" s="84">
        <v>48433</v>
      </c>
      <c r="B2782" s="85">
        <v>2032</v>
      </c>
      <c r="C2782" s="85">
        <v>8</v>
      </c>
      <c r="D2782" s="85" t="s">
        <v>71</v>
      </c>
      <c r="E2782" s="85">
        <v>7</v>
      </c>
      <c r="F2782" s="85">
        <v>6</v>
      </c>
      <c r="G2782" s="85">
        <f>--(F2782&lt;=Estimator!$B$7)</f>
        <v>0</v>
      </c>
      <c r="H2782" s="86">
        <f>SUMIFS('Climate Data'!$G$7:$G$366,'Climate Data'!$A$7:$A$366,Estimator!$B$4,'Climate Data'!$B$7:$B$366,C2782)</f>
        <v>0.23548387096774193</v>
      </c>
      <c r="I2782" s="87">
        <f>SUMIFS('Climate Data'!$H$7:$H$366,'Climate Data'!$A$7:$A$366,Estimator!$B$4,'Climate Data'!$B$7:$B$366,C2782)</f>
        <v>7.9589041095890414</v>
      </c>
      <c r="J2782" s="86">
        <f>SUMIFS('Wind Proxy'!$H$8:$H$19,'Wind Proxy'!$A$8:$A$19,Estimator!$B$4,'Wind Proxy'!$B$8:$B$19,C2782)</f>
        <v>0</v>
      </c>
    </row>
    <row r="2783" spans="1:10" ht="14.4">
      <c r="A2783" s="84">
        <v>48434</v>
      </c>
      <c r="B2783" s="85">
        <v>2032</v>
      </c>
      <c r="C2783" s="85">
        <v>8</v>
      </c>
      <c r="D2783" s="85" t="s">
        <v>71</v>
      </c>
      <c r="E2783" s="85">
        <v>8</v>
      </c>
      <c r="F2783" s="85">
        <v>7</v>
      </c>
      <c r="G2783" s="85">
        <f>--(F2783&lt;=Estimator!$B$7)</f>
        <v>0</v>
      </c>
      <c r="H2783" s="86">
        <f>SUMIFS('Climate Data'!$G$7:$G$366,'Climate Data'!$A$7:$A$366,Estimator!$B$4,'Climate Data'!$B$7:$B$366,C2783)</f>
        <v>0.23548387096774193</v>
      </c>
      <c r="I2783" s="87">
        <f>SUMIFS('Climate Data'!$H$7:$H$366,'Climate Data'!$A$7:$A$366,Estimator!$B$4,'Climate Data'!$B$7:$B$366,C2783)</f>
        <v>7.9589041095890414</v>
      </c>
      <c r="J2783" s="86">
        <f>SUMIFS('Wind Proxy'!$H$8:$H$19,'Wind Proxy'!$A$8:$A$19,Estimator!$B$4,'Wind Proxy'!$B$8:$B$19,C2783)</f>
        <v>0</v>
      </c>
    </row>
    <row r="2784" spans="1:10" ht="14.4">
      <c r="A2784" s="84">
        <v>48435</v>
      </c>
      <c r="B2784" s="85">
        <v>2032</v>
      </c>
      <c r="C2784" s="85">
        <v>8</v>
      </c>
      <c r="D2784" s="85" t="s">
        <v>71</v>
      </c>
      <c r="E2784" s="85">
        <v>9</v>
      </c>
      <c r="F2784" s="85">
        <v>1</v>
      </c>
      <c r="G2784" s="85">
        <f>--(F2784&lt;=Estimator!$B$7)</f>
        <v>1</v>
      </c>
      <c r="H2784" s="86">
        <f>SUMIFS('Climate Data'!$G$7:$G$366,'Climate Data'!$A$7:$A$366,Estimator!$B$4,'Climate Data'!$B$7:$B$366,C2784)</f>
        <v>0.23548387096774193</v>
      </c>
      <c r="I2784" s="87">
        <f>SUMIFS('Climate Data'!$H$7:$H$366,'Climate Data'!$A$7:$A$366,Estimator!$B$4,'Climate Data'!$B$7:$B$366,C2784)</f>
        <v>7.9589041095890414</v>
      </c>
      <c r="J2784" s="86">
        <f>SUMIFS('Wind Proxy'!$H$8:$H$19,'Wind Proxy'!$A$8:$A$19,Estimator!$B$4,'Wind Proxy'!$B$8:$B$19,C2784)</f>
        <v>0</v>
      </c>
    </row>
    <row r="2785" spans="1:10" ht="14.4">
      <c r="A2785" s="84">
        <v>48436</v>
      </c>
      <c r="B2785" s="85">
        <v>2032</v>
      </c>
      <c r="C2785" s="85">
        <v>8</v>
      </c>
      <c r="D2785" s="85" t="s">
        <v>71</v>
      </c>
      <c r="E2785" s="85">
        <v>10</v>
      </c>
      <c r="F2785" s="85">
        <v>2</v>
      </c>
      <c r="G2785" s="85">
        <f>--(F2785&lt;=Estimator!$B$7)</f>
        <v>1</v>
      </c>
      <c r="H2785" s="86">
        <f>SUMIFS('Climate Data'!$G$7:$G$366,'Climate Data'!$A$7:$A$366,Estimator!$B$4,'Climate Data'!$B$7:$B$366,C2785)</f>
        <v>0.23548387096774193</v>
      </c>
      <c r="I2785" s="87">
        <f>SUMIFS('Climate Data'!$H$7:$H$366,'Climate Data'!$A$7:$A$366,Estimator!$B$4,'Climate Data'!$B$7:$B$366,C2785)</f>
        <v>7.9589041095890414</v>
      </c>
      <c r="J2785" s="86">
        <f>SUMIFS('Wind Proxy'!$H$8:$H$19,'Wind Proxy'!$A$8:$A$19,Estimator!$B$4,'Wind Proxy'!$B$8:$B$19,C2785)</f>
        <v>0</v>
      </c>
    </row>
    <row r="2786" spans="1:10" ht="14.4">
      <c r="A2786" s="84">
        <v>48437</v>
      </c>
      <c r="B2786" s="85">
        <v>2032</v>
      </c>
      <c r="C2786" s="85">
        <v>8</v>
      </c>
      <c r="D2786" s="85" t="s">
        <v>71</v>
      </c>
      <c r="E2786" s="85">
        <v>11</v>
      </c>
      <c r="F2786" s="85">
        <v>3</v>
      </c>
      <c r="G2786" s="85">
        <f>--(F2786&lt;=Estimator!$B$7)</f>
        <v>1</v>
      </c>
      <c r="H2786" s="86">
        <f>SUMIFS('Climate Data'!$G$7:$G$366,'Climate Data'!$A$7:$A$366,Estimator!$B$4,'Climate Data'!$B$7:$B$366,C2786)</f>
        <v>0.23548387096774193</v>
      </c>
      <c r="I2786" s="87">
        <f>SUMIFS('Climate Data'!$H$7:$H$366,'Climate Data'!$A$7:$A$366,Estimator!$B$4,'Climate Data'!$B$7:$B$366,C2786)</f>
        <v>7.9589041095890414</v>
      </c>
      <c r="J2786" s="86">
        <f>SUMIFS('Wind Proxy'!$H$8:$H$19,'Wind Proxy'!$A$8:$A$19,Estimator!$B$4,'Wind Proxy'!$B$8:$B$19,C2786)</f>
        <v>0</v>
      </c>
    </row>
    <row r="2787" spans="1:10" ht="14.4">
      <c r="A2787" s="84">
        <v>48438</v>
      </c>
      <c r="B2787" s="85">
        <v>2032</v>
      </c>
      <c r="C2787" s="85">
        <v>8</v>
      </c>
      <c r="D2787" s="85" t="s">
        <v>71</v>
      </c>
      <c r="E2787" s="85">
        <v>12</v>
      </c>
      <c r="F2787" s="85">
        <v>4</v>
      </c>
      <c r="G2787" s="85">
        <f>--(F2787&lt;=Estimator!$B$7)</f>
        <v>1</v>
      </c>
      <c r="H2787" s="86">
        <f>SUMIFS('Climate Data'!$G$7:$G$366,'Climate Data'!$A$7:$A$366,Estimator!$B$4,'Climate Data'!$B$7:$B$366,C2787)</f>
        <v>0.23548387096774193</v>
      </c>
      <c r="I2787" s="87">
        <f>SUMIFS('Climate Data'!$H$7:$H$366,'Climate Data'!$A$7:$A$366,Estimator!$B$4,'Climate Data'!$B$7:$B$366,C2787)</f>
        <v>7.9589041095890414</v>
      </c>
      <c r="J2787" s="86">
        <f>SUMIFS('Wind Proxy'!$H$8:$H$19,'Wind Proxy'!$A$8:$A$19,Estimator!$B$4,'Wind Proxy'!$B$8:$B$19,C2787)</f>
        <v>0</v>
      </c>
    </row>
    <row r="2788" spans="1:10" ht="14.4">
      <c r="A2788" s="84">
        <v>48439</v>
      </c>
      <c r="B2788" s="85">
        <v>2032</v>
      </c>
      <c r="C2788" s="85">
        <v>8</v>
      </c>
      <c r="D2788" s="85" t="s">
        <v>71</v>
      </c>
      <c r="E2788" s="85">
        <v>13</v>
      </c>
      <c r="F2788" s="85">
        <v>5</v>
      </c>
      <c r="G2788" s="85">
        <f>--(F2788&lt;=Estimator!$B$7)</f>
        <v>1</v>
      </c>
      <c r="H2788" s="86">
        <f>SUMIFS('Climate Data'!$G$7:$G$366,'Climate Data'!$A$7:$A$366,Estimator!$B$4,'Climate Data'!$B$7:$B$366,C2788)</f>
        <v>0.23548387096774193</v>
      </c>
      <c r="I2788" s="87">
        <f>SUMIFS('Climate Data'!$H$7:$H$366,'Climate Data'!$A$7:$A$366,Estimator!$B$4,'Climate Data'!$B$7:$B$366,C2788)</f>
        <v>7.9589041095890414</v>
      </c>
      <c r="J2788" s="86">
        <f>SUMIFS('Wind Proxy'!$H$8:$H$19,'Wind Proxy'!$A$8:$A$19,Estimator!$B$4,'Wind Proxy'!$B$8:$B$19,C2788)</f>
        <v>0</v>
      </c>
    </row>
    <row r="2789" spans="1:10" ht="14.4">
      <c r="A2789" s="84">
        <v>48440</v>
      </c>
      <c r="B2789" s="85">
        <v>2032</v>
      </c>
      <c r="C2789" s="85">
        <v>8</v>
      </c>
      <c r="D2789" s="85" t="s">
        <v>71</v>
      </c>
      <c r="E2789" s="85">
        <v>14</v>
      </c>
      <c r="F2789" s="85">
        <v>6</v>
      </c>
      <c r="G2789" s="85">
        <f>--(F2789&lt;=Estimator!$B$7)</f>
        <v>0</v>
      </c>
      <c r="H2789" s="86">
        <f>SUMIFS('Climate Data'!$G$7:$G$366,'Climate Data'!$A$7:$A$366,Estimator!$B$4,'Climate Data'!$B$7:$B$366,C2789)</f>
        <v>0.23548387096774193</v>
      </c>
      <c r="I2789" s="87">
        <f>SUMIFS('Climate Data'!$H$7:$H$366,'Climate Data'!$A$7:$A$366,Estimator!$B$4,'Climate Data'!$B$7:$B$366,C2789)</f>
        <v>7.9589041095890414</v>
      </c>
      <c r="J2789" s="86">
        <f>SUMIFS('Wind Proxy'!$H$8:$H$19,'Wind Proxy'!$A$8:$A$19,Estimator!$B$4,'Wind Proxy'!$B$8:$B$19,C2789)</f>
        <v>0</v>
      </c>
    </row>
    <row r="2790" spans="1:10" ht="14.4">
      <c r="A2790" s="84">
        <v>48441</v>
      </c>
      <c r="B2790" s="85">
        <v>2032</v>
      </c>
      <c r="C2790" s="85">
        <v>8</v>
      </c>
      <c r="D2790" s="85" t="s">
        <v>71</v>
      </c>
      <c r="E2790" s="85">
        <v>15</v>
      </c>
      <c r="F2790" s="85">
        <v>7</v>
      </c>
      <c r="G2790" s="85">
        <f>--(F2790&lt;=Estimator!$B$7)</f>
        <v>0</v>
      </c>
      <c r="H2790" s="86">
        <f>SUMIFS('Climate Data'!$G$7:$G$366,'Climate Data'!$A$7:$A$366,Estimator!$B$4,'Climate Data'!$B$7:$B$366,C2790)</f>
        <v>0.23548387096774193</v>
      </c>
      <c r="I2790" s="87">
        <f>SUMIFS('Climate Data'!$H$7:$H$366,'Climate Data'!$A$7:$A$366,Estimator!$B$4,'Climate Data'!$B$7:$B$366,C2790)</f>
        <v>7.9589041095890414</v>
      </c>
      <c r="J2790" s="86">
        <f>SUMIFS('Wind Proxy'!$H$8:$H$19,'Wind Proxy'!$A$8:$A$19,Estimator!$B$4,'Wind Proxy'!$B$8:$B$19,C2790)</f>
        <v>0</v>
      </c>
    </row>
    <row r="2791" spans="1:10" ht="14.4">
      <c r="A2791" s="84">
        <v>48442</v>
      </c>
      <c r="B2791" s="85">
        <v>2032</v>
      </c>
      <c r="C2791" s="85">
        <v>8</v>
      </c>
      <c r="D2791" s="85" t="s">
        <v>71</v>
      </c>
      <c r="E2791" s="85">
        <v>16</v>
      </c>
      <c r="F2791" s="85">
        <v>1</v>
      </c>
      <c r="G2791" s="85">
        <f>--(F2791&lt;=Estimator!$B$7)</f>
        <v>1</v>
      </c>
      <c r="H2791" s="86">
        <f>SUMIFS('Climate Data'!$G$7:$G$366,'Climate Data'!$A$7:$A$366,Estimator!$B$4,'Climate Data'!$B$7:$B$366,C2791)</f>
        <v>0.23548387096774193</v>
      </c>
      <c r="I2791" s="87">
        <f>SUMIFS('Climate Data'!$H$7:$H$366,'Climate Data'!$A$7:$A$366,Estimator!$B$4,'Climate Data'!$B$7:$B$366,C2791)</f>
        <v>7.9589041095890414</v>
      </c>
      <c r="J2791" s="86">
        <f>SUMIFS('Wind Proxy'!$H$8:$H$19,'Wind Proxy'!$A$8:$A$19,Estimator!$B$4,'Wind Proxy'!$B$8:$B$19,C2791)</f>
        <v>0</v>
      </c>
    </row>
    <row r="2792" spans="1:10" ht="14.4">
      <c r="A2792" s="84">
        <v>48443</v>
      </c>
      <c r="B2792" s="85">
        <v>2032</v>
      </c>
      <c r="C2792" s="85">
        <v>8</v>
      </c>
      <c r="D2792" s="85" t="s">
        <v>71</v>
      </c>
      <c r="E2792" s="85">
        <v>17</v>
      </c>
      <c r="F2792" s="85">
        <v>2</v>
      </c>
      <c r="G2792" s="85">
        <f>--(F2792&lt;=Estimator!$B$7)</f>
        <v>1</v>
      </c>
      <c r="H2792" s="86">
        <f>SUMIFS('Climate Data'!$G$7:$G$366,'Climate Data'!$A$7:$A$366,Estimator!$B$4,'Climate Data'!$B$7:$B$366,C2792)</f>
        <v>0.23548387096774193</v>
      </c>
      <c r="I2792" s="87">
        <f>SUMIFS('Climate Data'!$H$7:$H$366,'Climate Data'!$A$7:$A$366,Estimator!$B$4,'Climate Data'!$B$7:$B$366,C2792)</f>
        <v>7.9589041095890414</v>
      </c>
      <c r="J2792" s="86">
        <f>SUMIFS('Wind Proxy'!$H$8:$H$19,'Wind Proxy'!$A$8:$A$19,Estimator!$B$4,'Wind Proxy'!$B$8:$B$19,C2792)</f>
        <v>0</v>
      </c>
    </row>
    <row r="2793" spans="1:10" ht="14.4">
      <c r="A2793" s="84">
        <v>48444</v>
      </c>
      <c r="B2793" s="85">
        <v>2032</v>
      </c>
      <c r="C2793" s="85">
        <v>8</v>
      </c>
      <c r="D2793" s="85" t="s">
        <v>71</v>
      </c>
      <c r="E2793" s="85">
        <v>18</v>
      </c>
      <c r="F2793" s="85">
        <v>3</v>
      </c>
      <c r="G2793" s="85">
        <f>--(F2793&lt;=Estimator!$B$7)</f>
        <v>1</v>
      </c>
      <c r="H2793" s="86">
        <f>SUMIFS('Climate Data'!$G$7:$G$366,'Climate Data'!$A$7:$A$366,Estimator!$B$4,'Climate Data'!$B$7:$B$366,C2793)</f>
        <v>0.23548387096774193</v>
      </c>
      <c r="I2793" s="87">
        <f>SUMIFS('Climate Data'!$H$7:$H$366,'Climate Data'!$A$7:$A$366,Estimator!$B$4,'Climate Data'!$B$7:$B$366,C2793)</f>
        <v>7.9589041095890414</v>
      </c>
      <c r="J2793" s="86">
        <f>SUMIFS('Wind Proxy'!$H$8:$H$19,'Wind Proxy'!$A$8:$A$19,Estimator!$B$4,'Wind Proxy'!$B$8:$B$19,C2793)</f>
        <v>0</v>
      </c>
    </row>
    <row r="2794" spans="1:10" ht="14.4">
      <c r="A2794" s="84">
        <v>48445</v>
      </c>
      <c r="B2794" s="85">
        <v>2032</v>
      </c>
      <c r="C2794" s="85">
        <v>8</v>
      </c>
      <c r="D2794" s="85" t="s">
        <v>71</v>
      </c>
      <c r="E2794" s="85">
        <v>19</v>
      </c>
      <c r="F2794" s="85">
        <v>4</v>
      </c>
      <c r="G2794" s="85">
        <f>--(F2794&lt;=Estimator!$B$7)</f>
        <v>1</v>
      </c>
      <c r="H2794" s="86">
        <f>SUMIFS('Climate Data'!$G$7:$G$366,'Climate Data'!$A$7:$A$366,Estimator!$B$4,'Climate Data'!$B$7:$B$366,C2794)</f>
        <v>0.23548387096774193</v>
      </c>
      <c r="I2794" s="87">
        <f>SUMIFS('Climate Data'!$H$7:$H$366,'Climate Data'!$A$7:$A$366,Estimator!$B$4,'Climate Data'!$B$7:$B$366,C2794)</f>
        <v>7.9589041095890414</v>
      </c>
      <c r="J2794" s="86">
        <f>SUMIFS('Wind Proxy'!$H$8:$H$19,'Wind Proxy'!$A$8:$A$19,Estimator!$B$4,'Wind Proxy'!$B$8:$B$19,C2794)</f>
        <v>0</v>
      </c>
    </row>
    <row r="2795" spans="1:10" ht="14.4">
      <c r="A2795" s="84">
        <v>48446</v>
      </c>
      <c r="B2795" s="85">
        <v>2032</v>
      </c>
      <c r="C2795" s="85">
        <v>8</v>
      </c>
      <c r="D2795" s="85" t="s">
        <v>71</v>
      </c>
      <c r="E2795" s="85">
        <v>20</v>
      </c>
      <c r="F2795" s="85">
        <v>5</v>
      </c>
      <c r="G2795" s="85">
        <f>--(F2795&lt;=Estimator!$B$7)</f>
        <v>1</v>
      </c>
      <c r="H2795" s="86">
        <f>SUMIFS('Climate Data'!$G$7:$G$366,'Climate Data'!$A$7:$A$366,Estimator!$B$4,'Climate Data'!$B$7:$B$366,C2795)</f>
        <v>0.23548387096774193</v>
      </c>
      <c r="I2795" s="87">
        <f>SUMIFS('Climate Data'!$H$7:$H$366,'Climate Data'!$A$7:$A$366,Estimator!$B$4,'Climate Data'!$B$7:$B$366,C2795)</f>
        <v>7.9589041095890414</v>
      </c>
      <c r="J2795" s="86">
        <f>SUMIFS('Wind Proxy'!$H$8:$H$19,'Wind Proxy'!$A$8:$A$19,Estimator!$B$4,'Wind Proxy'!$B$8:$B$19,C2795)</f>
        <v>0</v>
      </c>
    </row>
    <row r="2796" spans="1:10" ht="14.4">
      <c r="A2796" s="84">
        <v>48447</v>
      </c>
      <c r="B2796" s="85">
        <v>2032</v>
      </c>
      <c r="C2796" s="85">
        <v>8</v>
      </c>
      <c r="D2796" s="85" t="s">
        <v>71</v>
      </c>
      <c r="E2796" s="85">
        <v>21</v>
      </c>
      <c r="F2796" s="85">
        <v>6</v>
      </c>
      <c r="G2796" s="85">
        <f>--(F2796&lt;=Estimator!$B$7)</f>
        <v>0</v>
      </c>
      <c r="H2796" s="86">
        <f>SUMIFS('Climate Data'!$G$7:$G$366,'Climate Data'!$A$7:$A$366,Estimator!$B$4,'Climate Data'!$B$7:$B$366,C2796)</f>
        <v>0.23548387096774193</v>
      </c>
      <c r="I2796" s="87">
        <f>SUMIFS('Climate Data'!$H$7:$H$366,'Climate Data'!$A$7:$A$366,Estimator!$B$4,'Climate Data'!$B$7:$B$366,C2796)</f>
        <v>7.9589041095890414</v>
      </c>
      <c r="J2796" s="86">
        <f>SUMIFS('Wind Proxy'!$H$8:$H$19,'Wind Proxy'!$A$8:$A$19,Estimator!$B$4,'Wind Proxy'!$B$8:$B$19,C2796)</f>
        <v>0</v>
      </c>
    </row>
    <row r="2797" spans="1:10" ht="14.4">
      <c r="A2797" s="84">
        <v>48448</v>
      </c>
      <c r="B2797" s="85">
        <v>2032</v>
      </c>
      <c r="C2797" s="85">
        <v>8</v>
      </c>
      <c r="D2797" s="85" t="s">
        <v>71</v>
      </c>
      <c r="E2797" s="85">
        <v>22</v>
      </c>
      <c r="F2797" s="85">
        <v>7</v>
      </c>
      <c r="G2797" s="85">
        <f>--(F2797&lt;=Estimator!$B$7)</f>
        <v>0</v>
      </c>
      <c r="H2797" s="86">
        <f>SUMIFS('Climate Data'!$G$7:$G$366,'Climate Data'!$A$7:$A$366,Estimator!$B$4,'Climate Data'!$B$7:$B$366,C2797)</f>
        <v>0.23548387096774193</v>
      </c>
      <c r="I2797" s="87">
        <f>SUMIFS('Climate Data'!$H$7:$H$366,'Climate Data'!$A$7:$A$366,Estimator!$B$4,'Climate Data'!$B$7:$B$366,C2797)</f>
        <v>7.9589041095890414</v>
      </c>
      <c r="J2797" s="86">
        <f>SUMIFS('Wind Proxy'!$H$8:$H$19,'Wind Proxy'!$A$8:$A$19,Estimator!$B$4,'Wind Proxy'!$B$8:$B$19,C2797)</f>
        <v>0</v>
      </c>
    </row>
    <row r="2798" spans="1:10" ht="14.4">
      <c r="A2798" s="84">
        <v>48449</v>
      </c>
      <c r="B2798" s="85">
        <v>2032</v>
      </c>
      <c r="C2798" s="85">
        <v>8</v>
      </c>
      <c r="D2798" s="85" t="s">
        <v>71</v>
      </c>
      <c r="E2798" s="85">
        <v>23</v>
      </c>
      <c r="F2798" s="85">
        <v>1</v>
      </c>
      <c r="G2798" s="85">
        <f>--(F2798&lt;=Estimator!$B$7)</f>
        <v>1</v>
      </c>
      <c r="H2798" s="86">
        <f>SUMIFS('Climate Data'!$G$7:$G$366,'Climate Data'!$A$7:$A$366,Estimator!$B$4,'Climate Data'!$B$7:$B$366,C2798)</f>
        <v>0.23548387096774193</v>
      </c>
      <c r="I2798" s="87">
        <f>SUMIFS('Climate Data'!$H$7:$H$366,'Climate Data'!$A$7:$A$366,Estimator!$B$4,'Climate Data'!$B$7:$B$366,C2798)</f>
        <v>7.9589041095890414</v>
      </c>
      <c r="J2798" s="86">
        <f>SUMIFS('Wind Proxy'!$H$8:$H$19,'Wind Proxy'!$A$8:$A$19,Estimator!$B$4,'Wind Proxy'!$B$8:$B$19,C2798)</f>
        <v>0</v>
      </c>
    </row>
    <row r="2799" spans="1:10" ht="14.4">
      <c r="A2799" s="84">
        <v>48450</v>
      </c>
      <c r="B2799" s="85">
        <v>2032</v>
      </c>
      <c r="C2799" s="85">
        <v>8</v>
      </c>
      <c r="D2799" s="85" t="s">
        <v>71</v>
      </c>
      <c r="E2799" s="85">
        <v>24</v>
      </c>
      <c r="F2799" s="85">
        <v>2</v>
      </c>
      <c r="G2799" s="85">
        <f>--(F2799&lt;=Estimator!$B$7)</f>
        <v>1</v>
      </c>
      <c r="H2799" s="86">
        <f>SUMIFS('Climate Data'!$G$7:$G$366,'Climate Data'!$A$7:$A$366,Estimator!$B$4,'Climate Data'!$B$7:$B$366,C2799)</f>
        <v>0.23548387096774193</v>
      </c>
      <c r="I2799" s="87">
        <f>SUMIFS('Climate Data'!$H$7:$H$366,'Climate Data'!$A$7:$A$366,Estimator!$B$4,'Climate Data'!$B$7:$B$366,C2799)</f>
        <v>7.9589041095890414</v>
      </c>
      <c r="J2799" s="86">
        <f>SUMIFS('Wind Proxy'!$H$8:$H$19,'Wind Proxy'!$A$8:$A$19,Estimator!$B$4,'Wind Proxy'!$B$8:$B$19,C2799)</f>
        <v>0</v>
      </c>
    </row>
    <row r="2800" spans="1:10" ht="14.4">
      <c r="A2800" s="84">
        <v>48451</v>
      </c>
      <c r="B2800" s="85">
        <v>2032</v>
      </c>
      <c r="C2800" s="85">
        <v>8</v>
      </c>
      <c r="D2800" s="85" t="s">
        <v>71</v>
      </c>
      <c r="E2800" s="85">
        <v>25</v>
      </c>
      <c r="F2800" s="85">
        <v>3</v>
      </c>
      <c r="G2800" s="85">
        <f>--(F2800&lt;=Estimator!$B$7)</f>
        <v>1</v>
      </c>
      <c r="H2800" s="86">
        <f>SUMIFS('Climate Data'!$G$7:$G$366,'Climate Data'!$A$7:$A$366,Estimator!$B$4,'Climate Data'!$B$7:$B$366,C2800)</f>
        <v>0.23548387096774193</v>
      </c>
      <c r="I2800" s="87">
        <f>SUMIFS('Climate Data'!$H$7:$H$366,'Climate Data'!$A$7:$A$366,Estimator!$B$4,'Climate Data'!$B$7:$B$366,C2800)</f>
        <v>7.9589041095890414</v>
      </c>
      <c r="J2800" s="86">
        <f>SUMIFS('Wind Proxy'!$H$8:$H$19,'Wind Proxy'!$A$8:$A$19,Estimator!$B$4,'Wind Proxy'!$B$8:$B$19,C2800)</f>
        <v>0</v>
      </c>
    </row>
    <row r="2801" spans="1:10" ht="14.4">
      <c r="A2801" s="84">
        <v>48452</v>
      </c>
      <c r="B2801" s="85">
        <v>2032</v>
      </c>
      <c r="C2801" s="85">
        <v>8</v>
      </c>
      <c r="D2801" s="85" t="s">
        <v>71</v>
      </c>
      <c r="E2801" s="85">
        <v>26</v>
      </c>
      <c r="F2801" s="85">
        <v>4</v>
      </c>
      <c r="G2801" s="85">
        <f>--(F2801&lt;=Estimator!$B$7)</f>
        <v>1</v>
      </c>
      <c r="H2801" s="86">
        <f>SUMIFS('Climate Data'!$G$7:$G$366,'Climate Data'!$A$7:$A$366,Estimator!$B$4,'Climate Data'!$B$7:$B$366,C2801)</f>
        <v>0.23548387096774193</v>
      </c>
      <c r="I2801" s="87">
        <f>SUMIFS('Climate Data'!$H$7:$H$366,'Climate Data'!$A$7:$A$366,Estimator!$B$4,'Climate Data'!$B$7:$B$366,C2801)</f>
        <v>7.9589041095890414</v>
      </c>
      <c r="J2801" s="86">
        <f>SUMIFS('Wind Proxy'!$H$8:$H$19,'Wind Proxy'!$A$8:$A$19,Estimator!$B$4,'Wind Proxy'!$B$8:$B$19,C2801)</f>
        <v>0</v>
      </c>
    </row>
    <row r="2802" spans="1:10" ht="14.4">
      <c r="A2802" s="84">
        <v>48453</v>
      </c>
      <c r="B2802" s="85">
        <v>2032</v>
      </c>
      <c r="C2802" s="85">
        <v>8</v>
      </c>
      <c r="D2802" s="85" t="s">
        <v>71</v>
      </c>
      <c r="E2802" s="85">
        <v>27</v>
      </c>
      <c r="F2802" s="85">
        <v>5</v>
      </c>
      <c r="G2802" s="85">
        <f>--(F2802&lt;=Estimator!$B$7)</f>
        <v>1</v>
      </c>
      <c r="H2802" s="86">
        <f>SUMIFS('Climate Data'!$G$7:$G$366,'Climate Data'!$A$7:$A$366,Estimator!$B$4,'Climate Data'!$B$7:$B$366,C2802)</f>
        <v>0.23548387096774193</v>
      </c>
      <c r="I2802" s="87">
        <f>SUMIFS('Climate Data'!$H$7:$H$366,'Climate Data'!$A$7:$A$366,Estimator!$B$4,'Climate Data'!$B$7:$B$366,C2802)</f>
        <v>7.9589041095890414</v>
      </c>
      <c r="J2802" s="86">
        <f>SUMIFS('Wind Proxy'!$H$8:$H$19,'Wind Proxy'!$A$8:$A$19,Estimator!$B$4,'Wind Proxy'!$B$8:$B$19,C2802)</f>
        <v>0</v>
      </c>
    </row>
    <row r="2803" spans="1:10" ht="14.4">
      <c r="A2803" s="84">
        <v>48454</v>
      </c>
      <c r="B2803" s="85">
        <v>2032</v>
      </c>
      <c r="C2803" s="85">
        <v>8</v>
      </c>
      <c r="D2803" s="85" t="s">
        <v>71</v>
      </c>
      <c r="E2803" s="85">
        <v>28</v>
      </c>
      <c r="F2803" s="85">
        <v>6</v>
      </c>
      <c r="G2803" s="85">
        <f>--(F2803&lt;=Estimator!$B$7)</f>
        <v>0</v>
      </c>
      <c r="H2803" s="86">
        <f>SUMIFS('Climate Data'!$G$7:$G$366,'Climate Data'!$A$7:$A$366,Estimator!$B$4,'Climate Data'!$B$7:$B$366,C2803)</f>
        <v>0.23548387096774193</v>
      </c>
      <c r="I2803" s="87">
        <f>SUMIFS('Climate Data'!$H$7:$H$366,'Climate Data'!$A$7:$A$366,Estimator!$B$4,'Climate Data'!$B$7:$B$366,C2803)</f>
        <v>7.9589041095890414</v>
      </c>
      <c r="J2803" s="86">
        <f>SUMIFS('Wind Proxy'!$H$8:$H$19,'Wind Proxy'!$A$8:$A$19,Estimator!$B$4,'Wind Proxy'!$B$8:$B$19,C2803)</f>
        <v>0</v>
      </c>
    </row>
    <row r="2804" spans="1:10" ht="14.4">
      <c r="A2804" s="84">
        <v>48455</v>
      </c>
      <c r="B2804" s="85">
        <v>2032</v>
      </c>
      <c r="C2804" s="85">
        <v>8</v>
      </c>
      <c r="D2804" s="85" t="s">
        <v>71</v>
      </c>
      <c r="E2804" s="85">
        <v>29</v>
      </c>
      <c r="F2804" s="85">
        <v>7</v>
      </c>
      <c r="G2804" s="85">
        <f>--(F2804&lt;=Estimator!$B$7)</f>
        <v>0</v>
      </c>
      <c r="H2804" s="86">
        <f>SUMIFS('Climate Data'!$G$7:$G$366,'Climate Data'!$A$7:$A$366,Estimator!$B$4,'Climate Data'!$B$7:$B$366,C2804)</f>
        <v>0.23548387096774193</v>
      </c>
      <c r="I2804" s="87">
        <f>SUMIFS('Climate Data'!$H$7:$H$366,'Climate Data'!$A$7:$A$366,Estimator!$B$4,'Climate Data'!$B$7:$B$366,C2804)</f>
        <v>7.9589041095890414</v>
      </c>
      <c r="J2804" s="86">
        <f>SUMIFS('Wind Proxy'!$H$8:$H$19,'Wind Proxy'!$A$8:$A$19,Estimator!$B$4,'Wind Proxy'!$B$8:$B$19,C2804)</f>
        <v>0</v>
      </c>
    </row>
    <row r="2805" spans="1:10" ht="14.4">
      <c r="A2805" s="84">
        <v>48456</v>
      </c>
      <c r="B2805" s="85">
        <v>2032</v>
      </c>
      <c r="C2805" s="85">
        <v>8</v>
      </c>
      <c r="D2805" s="85" t="s">
        <v>71</v>
      </c>
      <c r="E2805" s="85">
        <v>30</v>
      </c>
      <c r="F2805" s="85">
        <v>1</v>
      </c>
      <c r="G2805" s="85">
        <f>--(F2805&lt;=Estimator!$B$7)</f>
        <v>1</v>
      </c>
      <c r="H2805" s="86">
        <f>SUMIFS('Climate Data'!$G$7:$G$366,'Climate Data'!$A$7:$A$366,Estimator!$B$4,'Climate Data'!$B$7:$B$366,C2805)</f>
        <v>0.23548387096774193</v>
      </c>
      <c r="I2805" s="87">
        <f>SUMIFS('Climate Data'!$H$7:$H$366,'Climate Data'!$A$7:$A$366,Estimator!$B$4,'Climate Data'!$B$7:$B$366,C2805)</f>
        <v>7.9589041095890414</v>
      </c>
      <c r="J2805" s="86">
        <f>SUMIFS('Wind Proxy'!$H$8:$H$19,'Wind Proxy'!$A$8:$A$19,Estimator!$B$4,'Wind Proxy'!$B$8:$B$19,C2805)</f>
        <v>0</v>
      </c>
    </row>
    <row r="2806" spans="1:10" ht="14.4">
      <c r="A2806" s="84">
        <v>48457</v>
      </c>
      <c r="B2806" s="85">
        <v>2032</v>
      </c>
      <c r="C2806" s="85">
        <v>8</v>
      </c>
      <c r="D2806" s="85" t="s">
        <v>71</v>
      </c>
      <c r="E2806" s="85">
        <v>31</v>
      </c>
      <c r="F2806" s="85">
        <v>2</v>
      </c>
      <c r="G2806" s="85">
        <f>--(F2806&lt;=Estimator!$B$7)</f>
        <v>1</v>
      </c>
      <c r="H2806" s="86">
        <f>SUMIFS('Climate Data'!$G$7:$G$366,'Climate Data'!$A$7:$A$366,Estimator!$B$4,'Climate Data'!$B$7:$B$366,C2806)</f>
        <v>0.23548387096774193</v>
      </c>
      <c r="I2806" s="87">
        <f>SUMIFS('Climate Data'!$H$7:$H$366,'Climate Data'!$A$7:$A$366,Estimator!$B$4,'Climate Data'!$B$7:$B$366,C2806)</f>
        <v>7.9589041095890414</v>
      </c>
      <c r="J2806" s="86">
        <f>SUMIFS('Wind Proxy'!$H$8:$H$19,'Wind Proxy'!$A$8:$A$19,Estimator!$B$4,'Wind Proxy'!$B$8:$B$19,C2806)</f>
        <v>0</v>
      </c>
    </row>
    <row r="2807" spans="1:10" ht="14.4">
      <c r="A2807" s="84">
        <v>48458</v>
      </c>
      <c r="B2807" s="85">
        <v>2032</v>
      </c>
      <c r="C2807" s="85">
        <v>9</v>
      </c>
      <c r="D2807" s="85" t="s">
        <v>73</v>
      </c>
      <c r="E2807" s="85">
        <v>1</v>
      </c>
      <c r="F2807" s="85">
        <v>3</v>
      </c>
      <c r="G2807" s="85">
        <f>--(F2807&lt;=Estimator!$B$7)</f>
        <v>1</v>
      </c>
      <c r="H2807" s="86">
        <f>SUMIFS('Climate Data'!$G$7:$G$366,'Climate Data'!$A$7:$A$366,Estimator!$B$4,'Climate Data'!$B$7:$B$366,C2807)</f>
        <v>0.20666666666666667</v>
      </c>
      <c r="I2807" s="87">
        <f>SUMIFS('Climate Data'!$H$7:$H$366,'Climate Data'!$A$7:$A$366,Estimator!$B$4,'Climate Data'!$B$7:$B$366,C2807)</f>
        <v>6.806451612903226</v>
      </c>
      <c r="J2807" s="86">
        <f>SUMIFS('Wind Proxy'!$H$8:$H$19,'Wind Proxy'!$A$8:$A$19,Estimator!$B$4,'Wind Proxy'!$B$8:$B$19,C2807)</f>
        <v>0</v>
      </c>
    </row>
    <row r="2808" spans="1:10" ht="14.4">
      <c r="A2808" s="84">
        <v>48459</v>
      </c>
      <c r="B2808" s="85">
        <v>2032</v>
      </c>
      <c r="C2808" s="85">
        <v>9</v>
      </c>
      <c r="D2808" s="85" t="s">
        <v>73</v>
      </c>
      <c r="E2808" s="85">
        <v>2</v>
      </c>
      <c r="F2808" s="85">
        <v>4</v>
      </c>
      <c r="G2808" s="85">
        <f>--(F2808&lt;=Estimator!$B$7)</f>
        <v>1</v>
      </c>
      <c r="H2808" s="86">
        <f>SUMIFS('Climate Data'!$G$7:$G$366,'Climate Data'!$A$7:$A$366,Estimator!$B$4,'Climate Data'!$B$7:$B$366,C2808)</f>
        <v>0.20666666666666667</v>
      </c>
      <c r="I2808" s="87">
        <f>SUMIFS('Climate Data'!$H$7:$H$366,'Climate Data'!$A$7:$A$366,Estimator!$B$4,'Climate Data'!$B$7:$B$366,C2808)</f>
        <v>6.806451612903226</v>
      </c>
      <c r="J2808" s="86">
        <f>SUMIFS('Wind Proxy'!$H$8:$H$19,'Wind Proxy'!$A$8:$A$19,Estimator!$B$4,'Wind Proxy'!$B$8:$B$19,C2808)</f>
        <v>0</v>
      </c>
    </row>
    <row r="2809" spans="1:10" ht="14.4">
      <c r="A2809" s="84">
        <v>48460</v>
      </c>
      <c r="B2809" s="85">
        <v>2032</v>
      </c>
      <c r="C2809" s="85">
        <v>9</v>
      </c>
      <c r="D2809" s="85" t="s">
        <v>73</v>
      </c>
      <c r="E2809" s="85">
        <v>3</v>
      </c>
      <c r="F2809" s="85">
        <v>5</v>
      </c>
      <c r="G2809" s="85">
        <f>--(F2809&lt;=Estimator!$B$7)</f>
        <v>1</v>
      </c>
      <c r="H2809" s="86">
        <f>SUMIFS('Climate Data'!$G$7:$G$366,'Climate Data'!$A$7:$A$366,Estimator!$B$4,'Climate Data'!$B$7:$B$366,C2809)</f>
        <v>0.20666666666666667</v>
      </c>
      <c r="I2809" s="87">
        <f>SUMIFS('Climate Data'!$H$7:$H$366,'Climate Data'!$A$7:$A$366,Estimator!$B$4,'Climate Data'!$B$7:$B$366,C2809)</f>
        <v>6.806451612903226</v>
      </c>
      <c r="J2809" s="86">
        <f>SUMIFS('Wind Proxy'!$H$8:$H$19,'Wind Proxy'!$A$8:$A$19,Estimator!$B$4,'Wind Proxy'!$B$8:$B$19,C2809)</f>
        <v>0</v>
      </c>
    </row>
    <row r="2810" spans="1:10" ht="14.4">
      <c r="A2810" s="84">
        <v>48461</v>
      </c>
      <c r="B2810" s="85">
        <v>2032</v>
      </c>
      <c r="C2810" s="85">
        <v>9</v>
      </c>
      <c r="D2810" s="85" t="s">
        <v>73</v>
      </c>
      <c r="E2810" s="85">
        <v>4</v>
      </c>
      <c r="F2810" s="85">
        <v>6</v>
      </c>
      <c r="G2810" s="85">
        <f>--(F2810&lt;=Estimator!$B$7)</f>
        <v>0</v>
      </c>
      <c r="H2810" s="86">
        <f>SUMIFS('Climate Data'!$G$7:$G$366,'Climate Data'!$A$7:$A$366,Estimator!$B$4,'Climate Data'!$B$7:$B$366,C2810)</f>
        <v>0.20666666666666667</v>
      </c>
      <c r="I2810" s="87">
        <f>SUMIFS('Climate Data'!$H$7:$H$366,'Climate Data'!$A$7:$A$366,Estimator!$B$4,'Climate Data'!$B$7:$B$366,C2810)</f>
        <v>6.806451612903226</v>
      </c>
      <c r="J2810" s="86">
        <f>SUMIFS('Wind Proxy'!$H$8:$H$19,'Wind Proxy'!$A$8:$A$19,Estimator!$B$4,'Wind Proxy'!$B$8:$B$19,C2810)</f>
        <v>0</v>
      </c>
    </row>
    <row r="2811" spans="1:10" ht="14.4">
      <c r="A2811" s="84">
        <v>48462</v>
      </c>
      <c r="B2811" s="85">
        <v>2032</v>
      </c>
      <c r="C2811" s="85">
        <v>9</v>
      </c>
      <c r="D2811" s="85" t="s">
        <v>73</v>
      </c>
      <c r="E2811" s="85">
        <v>5</v>
      </c>
      <c r="F2811" s="85">
        <v>7</v>
      </c>
      <c r="G2811" s="85">
        <f>--(F2811&lt;=Estimator!$B$7)</f>
        <v>0</v>
      </c>
      <c r="H2811" s="86">
        <f>SUMIFS('Climate Data'!$G$7:$G$366,'Climate Data'!$A$7:$A$366,Estimator!$B$4,'Climate Data'!$B$7:$B$366,C2811)</f>
        <v>0.20666666666666667</v>
      </c>
      <c r="I2811" s="87">
        <f>SUMIFS('Climate Data'!$H$7:$H$366,'Climate Data'!$A$7:$A$366,Estimator!$B$4,'Climate Data'!$B$7:$B$366,C2811)</f>
        <v>6.806451612903226</v>
      </c>
      <c r="J2811" s="86">
        <f>SUMIFS('Wind Proxy'!$H$8:$H$19,'Wind Proxy'!$A$8:$A$19,Estimator!$B$4,'Wind Proxy'!$B$8:$B$19,C2811)</f>
        <v>0</v>
      </c>
    </row>
    <row r="2812" spans="1:10" ht="14.4">
      <c r="A2812" s="84">
        <v>48463</v>
      </c>
      <c r="B2812" s="85">
        <v>2032</v>
      </c>
      <c r="C2812" s="85">
        <v>9</v>
      </c>
      <c r="D2812" s="85" t="s">
        <v>73</v>
      </c>
      <c r="E2812" s="85">
        <v>6</v>
      </c>
      <c r="F2812" s="85">
        <v>1</v>
      </c>
      <c r="G2812" s="85">
        <f>--(F2812&lt;=Estimator!$B$7)</f>
        <v>1</v>
      </c>
      <c r="H2812" s="86">
        <f>SUMIFS('Climate Data'!$G$7:$G$366,'Climate Data'!$A$7:$A$366,Estimator!$B$4,'Climate Data'!$B$7:$B$366,C2812)</f>
        <v>0.20666666666666667</v>
      </c>
      <c r="I2812" s="87">
        <f>SUMIFS('Climate Data'!$H$7:$H$366,'Climate Data'!$A$7:$A$366,Estimator!$B$4,'Climate Data'!$B$7:$B$366,C2812)</f>
        <v>6.806451612903226</v>
      </c>
      <c r="J2812" s="86">
        <f>SUMIFS('Wind Proxy'!$H$8:$H$19,'Wind Proxy'!$A$8:$A$19,Estimator!$B$4,'Wind Proxy'!$B$8:$B$19,C2812)</f>
        <v>0</v>
      </c>
    </row>
    <row r="2813" spans="1:10" ht="14.4">
      <c r="A2813" s="84">
        <v>48464</v>
      </c>
      <c r="B2813" s="85">
        <v>2032</v>
      </c>
      <c r="C2813" s="85">
        <v>9</v>
      </c>
      <c r="D2813" s="85" t="s">
        <v>73</v>
      </c>
      <c r="E2813" s="85">
        <v>7</v>
      </c>
      <c r="F2813" s="85">
        <v>2</v>
      </c>
      <c r="G2813" s="85">
        <f>--(F2813&lt;=Estimator!$B$7)</f>
        <v>1</v>
      </c>
      <c r="H2813" s="86">
        <f>SUMIFS('Climate Data'!$G$7:$G$366,'Climate Data'!$A$7:$A$366,Estimator!$B$4,'Climate Data'!$B$7:$B$366,C2813)</f>
        <v>0.20666666666666667</v>
      </c>
      <c r="I2813" s="87">
        <f>SUMIFS('Climate Data'!$H$7:$H$366,'Climate Data'!$A$7:$A$366,Estimator!$B$4,'Climate Data'!$B$7:$B$366,C2813)</f>
        <v>6.806451612903226</v>
      </c>
      <c r="J2813" s="86">
        <f>SUMIFS('Wind Proxy'!$H$8:$H$19,'Wind Proxy'!$A$8:$A$19,Estimator!$B$4,'Wind Proxy'!$B$8:$B$19,C2813)</f>
        <v>0</v>
      </c>
    </row>
    <row r="2814" spans="1:10" ht="14.4">
      <c r="A2814" s="84">
        <v>48465</v>
      </c>
      <c r="B2814" s="85">
        <v>2032</v>
      </c>
      <c r="C2814" s="85">
        <v>9</v>
      </c>
      <c r="D2814" s="85" t="s">
        <v>73</v>
      </c>
      <c r="E2814" s="85">
        <v>8</v>
      </c>
      <c r="F2814" s="85">
        <v>3</v>
      </c>
      <c r="G2814" s="85">
        <f>--(F2814&lt;=Estimator!$B$7)</f>
        <v>1</v>
      </c>
      <c r="H2814" s="86">
        <f>SUMIFS('Climate Data'!$G$7:$G$366,'Climate Data'!$A$7:$A$366,Estimator!$B$4,'Climate Data'!$B$7:$B$366,C2814)</f>
        <v>0.20666666666666667</v>
      </c>
      <c r="I2814" s="87">
        <f>SUMIFS('Climate Data'!$H$7:$H$366,'Climate Data'!$A$7:$A$366,Estimator!$B$4,'Climate Data'!$B$7:$B$366,C2814)</f>
        <v>6.806451612903226</v>
      </c>
      <c r="J2814" s="86">
        <f>SUMIFS('Wind Proxy'!$H$8:$H$19,'Wind Proxy'!$A$8:$A$19,Estimator!$B$4,'Wind Proxy'!$B$8:$B$19,C2814)</f>
        <v>0</v>
      </c>
    </row>
    <row r="2815" spans="1:10" ht="14.4">
      <c r="A2815" s="84">
        <v>48466</v>
      </c>
      <c r="B2815" s="85">
        <v>2032</v>
      </c>
      <c r="C2815" s="85">
        <v>9</v>
      </c>
      <c r="D2815" s="85" t="s">
        <v>73</v>
      </c>
      <c r="E2815" s="85">
        <v>9</v>
      </c>
      <c r="F2815" s="85">
        <v>4</v>
      </c>
      <c r="G2815" s="85">
        <f>--(F2815&lt;=Estimator!$B$7)</f>
        <v>1</v>
      </c>
      <c r="H2815" s="86">
        <f>SUMIFS('Climate Data'!$G$7:$G$366,'Climate Data'!$A$7:$A$366,Estimator!$B$4,'Climate Data'!$B$7:$B$366,C2815)</f>
        <v>0.20666666666666667</v>
      </c>
      <c r="I2815" s="87">
        <f>SUMIFS('Climate Data'!$H$7:$H$366,'Climate Data'!$A$7:$A$366,Estimator!$B$4,'Climate Data'!$B$7:$B$366,C2815)</f>
        <v>6.806451612903226</v>
      </c>
      <c r="J2815" s="86">
        <f>SUMIFS('Wind Proxy'!$H$8:$H$19,'Wind Proxy'!$A$8:$A$19,Estimator!$B$4,'Wind Proxy'!$B$8:$B$19,C2815)</f>
        <v>0</v>
      </c>
    </row>
    <row r="2816" spans="1:10" ht="14.4">
      <c r="A2816" s="84">
        <v>48467</v>
      </c>
      <c r="B2816" s="85">
        <v>2032</v>
      </c>
      <c r="C2816" s="85">
        <v>9</v>
      </c>
      <c r="D2816" s="85" t="s">
        <v>73</v>
      </c>
      <c r="E2816" s="85">
        <v>10</v>
      </c>
      <c r="F2816" s="85">
        <v>5</v>
      </c>
      <c r="G2816" s="85">
        <f>--(F2816&lt;=Estimator!$B$7)</f>
        <v>1</v>
      </c>
      <c r="H2816" s="86">
        <f>SUMIFS('Climate Data'!$G$7:$G$366,'Climate Data'!$A$7:$A$366,Estimator!$B$4,'Climate Data'!$B$7:$B$366,C2816)</f>
        <v>0.20666666666666667</v>
      </c>
      <c r="I2816" s="87">
        <f>SUMIFS('Climate Data'!$H$7:$H$366,'Climate Data'!$A$7:$A$366,Estimator!$B$4,'Climate Data'!$B$7:$B$366,C2816)</f>
        <v>6.806451612903226</v>
      </c>
      <c r="J2816" s="86">
        <f>SUMIFS('Wind Proxy'!$H$8:$H$19,'Wind Proxy'!$A$8:$A$19,Estimator!$B$4,'Wind Proxy'!$B$8:$B$19,C2816)</f>
        <v>0</v>
      </c>
    </row>
    <row r="2817" spans="1:10" ht="14.4">
      <c r="A2817" s="84">
        <v>48468</v>
      </c>
      <c r="B2817" s="85">
        <v>2032</v>
      </c>
      <c r="C2817" s="85">
        <v>9</v>
      </c>
      <c r="D2817" s="85" t="s">
        <v>73</v>
      </c>
      <c r="E2817" s="85">
        <v>11</v>
      </c>
      <c r="F2817" s="85">
        <v>6</v>
      </c>
      <c r="G2817" s="85">
        <f>--(F2817&lt;=Estimator!$B$7)</f>
        <v>0</v>
      </c>
      <c r="H2817" s="86">
        <f>SUMIFS('Climate Data'!$G$7:$G$366,'Climate Data'!$A$7:$A$366,Estimator!$B$4,'Climate Data'!$B$7:$B$366,C2817)</f>
        <v>0.20666666666666667</v>
      </c>
      <c r="I2817" s="87">
        <f>SUMIFS('Climate Data'!$H$7:$H$366,'Climate Data'!$A$7:$A$366,Estimator!$B$4,'Climate Data'!$B$7:$B$366,C2817)</f>
        <v>6.806451612903226</v>
      </c>
      <c r="J2817" s="86">
        <f>SUMIFS('Wind Proxy'!$H$8:$H$19,'Wind Proxy'!$A$8:$A$19,Estimator!$B$4,'Wind Proxy'!$B$8:$B$19,C2817)</f>
        <v>0</v>
      </c>
    </row>
    <row r="2818" spans="1:10" ht="14.4">
      <c r="A2818" s="84">
        <v>48469</v>
      </c>
      <c r="B2818" s="85">
        <v>2032</v>
      </c>
      <c r="C2818" s="85">
        <v>9</v>
      </c>
      <c r="D2818" s="85" t="s">
        <v>73</v>
      </c>
      <c r="E2818" s="85">
        <v>12</v>
      </c>
      <c r="F2818" s="85">
        <v>7</v>
      </c>
      <c r="G2818" s="85">
        <f>--(F2818&lt;=Estimator!$B$7)</f>
        <v>0</v>
      </c>
      <c r="H2818" s="86">
        <f>SUMIFS('Climate Data'!$G$7:$G$366,'Climate Data'!$A$7:$A$366,Estimator!$B$4,'Climate Data'!$B$7:$B$366,C2818)</f>
        <v>0.20666666666666667</v>
      </c>
      <c r="I2818" s="87">
        <f>SUMIFS('Climate Data'!$H$7:$H$366,'Climate Data'!$A$7:$A$366,Estimator!$B$4,'Climate Data'!$B$7:$B$366,C2818)</f>
        <v>6.806451612903226</v>
      </c>
      <c r="J2818" s="86">
        <f>SUMIFS('Wind Proxy'!$H$8:$H$19,'Wind Proxy'!$A$8:$A$19,Estimator!$B$4,'Wind Proxy'!$B$8:$B$19,C2818)</f>
        <v>0</v>
      </c>
    </row>
    <row r="2819" spans="1:10" ht="14.4">
      <c r="A2819" s="84">
        <v>48470</v>
      </c>
      <c r="B2819" s="85">
        <v>2032</v>
      </c>
      <c r="C2819" s="85">
        <v>9</v>
      </c>
      <c r="D2819" s="85" t="s">
        <v>73</v>
      </c>
      <c r="E2819" s="85">
        <v>13</v>
      </c>
      <c r="F2819" s="85">
        <v>1</v>
      </c>
      <c r="G2819" s="85">
        <f>--(F2819&lt;=Estimator!$B$7)</f>
        <v>1</v>
      </c>
      <c r="H2819" s="86">
        <f>SUMIFS('Climate Data'!$G$7:$G$366,'Climate Data'!$A$7:$A$366,Estimator!$B$4,'Climate Data'!$B$7:$B$366,C2819)</f>
        <v>0.20666666666666667</v>
      </c>
      <c r="I2819" s="87">
        <f>SUMIFS('Climate Data'!$H$7:$H$366,'Climate Data'!$A$7:$A$366,Estimator!$B$4,'Climate Data'!$B$7:$B$366,C2819)</f>
        <v>6.806451612903226</v>
      </c>
      <c r="J2819" s="86">
        <f>SUMIFS('Wind Proxy'!$H$8:$H$19,'Wind Proxy'!$A$8:$A$19,Estimator!$B$4,'Wind Proxy'!$B$8:$B$19,C2819)</f>
        <v>0</v>
      </c>
    </row>
    <row r="2820" spans="1:10" ht="14.4">
      <c r="A2820" s="84">
        <v>48471</v>
      </c>
      <c r="B2820" s="85">
        <v>2032</v>
      </c>
      <c r="C2820" s="85">
        <v>9</v>
      </c>
      <c r="D2820" s="85" t="s">
        <v>73</v>
      </c>
      <c r="E2820" s="85">
        <v>14</v>
      </c>
      <c r="F2820" s="85">
        <v>2</v>
      </c>
      <c r="G2820" s="85">
        <f>--(F2820&lt;=Estimator!$B$7)</f>
        <v>1</v>
      </c>
      <c r="H2820" s="86">
        <f>SUMIFS('Climate Data'!$G$7:$G$366,'Climate Data'!$A$7:$A$366,Estimator!$B$4,'Climate Data'!$B$7:$B$366,C2820)</f>
        <v>0.20666666666666667</v>
      </c>
      <c r="I2820" s="87">
        <f>SUMIFS('Climate Data'!$H$7:$H$366,'Climate Data'!$A$7:$A$366,Estimator!$B$4,'Climate Data'!$B$7:$B$366,C2820)</f>
        <v>6.806451612903226</v>
      </c>
      <c r="J2820" s="86">
        <f>SUMIFS('Wind Proxy'!$H$8:$H$19,'Wind Proxy'!$A$8:$A$19,Estimator!$B$4,'Wind Proxy'!$B$8:$B$19,C2820)</f>
        <v>0</v>
      </c>
    </row>
    <row r="2821" spans="1:10" ht="14.4">
      <c r="A2821" s="84">
        <v>48472</v>
      </c>
      <c r="B2821" s="85">
        <v>2032</v>
      </c>
      <c r="C2821" s="85">
        <v>9</v>
      </c>
      <c r="D2821" s="85" t="s">
        <v>73</v>
      </c>
      <c r="E2821" s="85">
        <v>15</v>
      </c>
      <c r="F2821" s="85">
        <v>3</v>
      </c>
      <c r="G2821" s="85">
        <f>--(F2821&lt;=Estimator!$B$7)</f>
        <v>1</v>
      </c>
      <c r="H2821" s="86">
        <f>SUMIFS('Climate Data'!$G$7:$G$366,'Climate Data'!$A$7:$A$366,Estimator!$B$4,'Climate Data'!$B$7:$B$366,C2821)</f>
        <v>0.20666666666666667</v>
      </c>
      <c r="I2821" s="87">
        <f>SUMIFS('Climate Data'!$H$7:$H$366,'Climate Data'!$A$7:$A$366,Estimator!$B$4,'Climate Data'!$B$7:$B$366,C2821)</f>
        <v>6.806451612903226</v>
      </c>
      <c r="J2821" s="86">
        <f>SUMIFS('Wind Proxy'!$H$8:$H$19,'Wind Proxy'!$A$8:$A$19,Estimator!$B$4,'Wind Proxy'!$B$8:$B$19,C2821)</f>
        <v>0</v>
      </c>
    </row>
    <row r="2822" spans="1:10" ht="14.4">
      <c r="A2822" s="84">
        <v>48473</v>
      </c>
      <c r="B2822" s="85">
        <v>2032</v>
      </c>
      <c r="C2822" s="85">
        <v>9</v>
      </c>
      <c r="D2822" s="85" t="s">
        <v>73</v>
      </c>
      <c r="E2822" s="85">
        <v>16</v>
      </c>
      <c r="F2822" s="85">
        <v>4</v>
      </c>
      <c r="G2822" s="85">
        <f>--(F2822&lt;=Estimator!$B$7)</f>
        <v>1</v>
      </c>
      <c r="H2822" s="86">
        <f>SUMIFS('Climate Data'!$G$7:$G$366,'Climate Data'!$A$7:$A$366,Estimator!$B$4,'Climate Data'!$B$7:$B$366,C2822)</f>
        <v>0.20666666666666667</v>
      </c>
      <c r="I2822" s="87">
        <f>SUMIFS('Climate Data'!$H$7:$H$366,'Climate Data'!$A$7:$A$366,Estimator!$B$4,'Climate Data'!$B$7:$B$366,C2822)</f>
        <v>6.806451612903226</v>
      </c>
      <c r="J2822" s="86">
        <f>SUMIFS('Wind Proxy'!$H$8:$H$19,'Wind Proxy'!$A$8:$A$19,Estimator!$B$4,'Wind Proxy'!$B$8:$B$19,C2822)</f>
        <v>0</v>
      </c>
    </row>
    <row r="2823" spans="1:10" ht="14.4">
      <c r="A2823" s="84">
        <v>48474</v>
      </c>
      <c r="B2823" s="85">
        <v>2032</v>
      </c>
      <c r="C2823" s="85">
        <v>9</v>
      </c>
      <c r="D2823" s="85" t="s">
        <v>73</v>
      </c>
      <c r="E2823" s="85">
        <v>17</v>
      </c>
      <c r="F2823" s="85">
        <v>5</v>
      </c>
      <c r="G2823" s="85">
        <f>--(F2823&lt;=Estimator!$B$7)</f>
        <v>1</v>
      </c>
      <c r="H2823" s="86">
        <f>SUMIFS('Climate Data'!$G$7:$G$366,'Climate Data'!$A$7:$A$366,Estimator!$B$4,'Climate Data'!$B$7:$B$366,C2823)</f>
        <v>0.20666666666666667</v>
      </c>
      <c r="I2823" s="87">
        <f>SUMIFS('Climate Data'!$H$7:$H$366,'Climate Data'!$A$7:$A$366,Estimator!$B$4,'Climate Data'!$B$7:$B$366,C2823)</f>
        <v>6.806451612903226</v>
      </c>
      <c r="J2823" s="86">
        <f>SUMIFS('Wind Proxy'!$H$8:$H$19,'Wind Proxy'!$A$8:$A$19,Estimator!$B$4,'Wind Proxy'!$B$8:$B$19,C2823)</f>
        <v>0</v>
      </c>
    </row>
    <row r="2824" spans="1:10" ht="14.4">
      <c r="A2824" s="84">
        <v>48475</v>
      </c>
      <c r="B2824" s="85">
        <v>2032</v>
      </c>
      <c r="C2824" s="85">
        <v>9</v>
      </c>
      <c r="D2824" s="85" t="s">
        <v>73</v>
      </c>
      <c r="E2824" s="85">
        <v>18</v>
      </c>
      <c r="F2824" s="85">
        <v>6</v>
      </c>
      <c r="G2824" s="85">
        <f>--(F2824&lt;=Estimator!$B$7)</f>
        <v>0</v>
      </c>
      <c r="H2824" s="86">
        <f>SUMIFS('Climate Data'!$G$7:$G$366,'Climate Data'!$A$7:$A$366,Estimator!$B$4,'Climate Data'!$B$7:$B$366,C2824)</f>
        <v>0.20666666666666667</v>
      </c>
      <c r="I2824" s="87">
        <f>SUMIFS('Climate Data'!$H$7:$H$366,'Climate Data'!$A$7:$A$366,Estimator!$B$4,'Climate Data'!$B$7:$B$366,C2824)</f>
        <v>6.806451612903226</v>
      </c>
      <c r="J2824" s="86">
        <f>SUMIFS('Wind Proxy'!$H$8:$H$19,'Wind Proxy'!$A$8:$A$19,Estimator!$B$4,'Wind Proxy'!$B$8:$B$19,C2824)</f>
        <v>0</v>
      </c>
    </row>
    <row r="2825" spans="1:10" ht="14.4">
      <c r="A2825" s="84">
        <v>48476</v>
      </c>
      <c r="B2825" s="85">
        <v>2032</v>
      </c>
      <c r="C2825" s="85">
        <v>9</v>
      </c>
      <c r="D2825" s="85" t="s">
        <v>73</v>
      </c>
      <c r="E2825" s="85">
        <v>19</v>
      </c>
      <c r="F2825" s="85">
        <v>7</v>
      </c>
      <c r="G2825" s="85">
        <f>--(F2825&lt;=Estimator!$B$7)</f>
        <v>0</v>
      </c>
      <c r="H2825" s="86">
        <f>SUMIFS('Climate Data'!$G$7:$G$366,'Climate Data'!$A$7:$A$366,Estimator!$B$4,'Climate Data'!$B$7:$B$366,C2825)</f>
        <v>0.20666666666666667</v>
      </c>
      <c r="I2825" s="87">
        <f>SUMIFS('Climate Data'!$H$7:$H$366,'Climate Data'!$A$7:$A$366,Estimator!$B$4,'Climate Data'!$B$7:$B$366,C2825)</f>
        <v>6.806451612903226</v>
      </c>
      <c r="J2825" s="86">
        <f>SUMIFS('Wind Proxy'!$H$8:$H$19,'Wind Proxy'!$A$8:$A$19,Estimator!$B$4,'Wind Proxy'!$B$8:$B$19,C2825)</f>
        <v>0</v>
      </c>
    </row>
    <row r="2826" spans="1:10" ht="14.4">
      <c r="A2826" s="84">
        <v>48477</v>
      </c>
      <c r="B2826" s="85">
        <v>2032</v>
      </c>
      <c r="C2826" s="85">
        <v>9</v>
      </c>
      <c r="D2826" s="85" t="s">
        <v>73</v>
      </c>
      <c r="E2826" s="85">
        <v>20</v>
      </c>
      <c r="F2826" s="85">
        <v>1</v>
      </c>
      <c r="G2826" s="85">
        <f>--(F2826&lt;=Estimator!$B$7)</f>
        <v>1</v>
      </c>
      <c r="H2826" s="86">
        <f>SUMIFS('Climate Data'!$G$7:$G$366,'Climate Data'!$A$7:$A$366,Estimator!$B$4,'Climate Data'!$B$7:$B$366,C2826)</f>
        <v>0.20666666666666667</v>
      </c>
      <c r="I2826" s="87">
        <f>SUMIFS('Climate Data'!$H$7:$H$366,'Climate Data'!$A$7:$A$366,Estimator!$B$4,'Climate Data'!$B$7:$B$366,C2826)</f>
        <v>6.806451612903226</v>
      </c>
      <c r="J2826" s="86">
        <f>SUMIFS('Wind Proxy'!$H$8:$H$19,'Wind Proxy'!$A$8:$A$19,Estimator!$B$4,'Wind Proxy'!$B$8:$B$19,C2826)</f>
        <v>0</v>
      </c>
    </row>
    <row r="2827" spans="1:10" ht="14.4">
      <c r="A2827" s="84">
        <v>48478</v>
      </c>
      <c r="B2827" s="85">
        <v>2032</v>
      </c>
      <c r="C2827" s="85">
        <v>9</v>
      </c>
      <c r="D2827" s="85" t="s">
        <v>73</v>
      </c>
      <c r="E2827" s="85">
        <v>21</v>
      </c>
      <c r="F2827" s="85">
        <v>2</v>
      </c>
      <c r="G2827" s="85">
        <f>--(F2827&lt;=Estimator!$B$7)</f>
        <v>1</v>
      </c>
      <c r="H2827" s="86">
        <f>SUMIFS('Climate Data'!$G$7:$G$366,'Climate Data'!$A$7:$A$366,Estimator!$B$4,'Climate Data'!$B$7:$B$366,C2827)</f>
        <v>0.20666666666666667</v>
      </c>
      <c r="I2827" s="87">
        <f>SUMIFS('Climate Data'!$H$7:$H$366,'Climate Data'!$A$7:$A$366,Estimator!$B$4,'Climate Data'!$B$7:$B$366,C2827)</f>
        <v>6.806451612903226</v>
      </c>
      <c r="J2827" s="86">
        <f>SUMIFS('Wind Proxy'!$H$8:$H$19,'Wind Proxy'!$A$8:$A$19,Estimator!$B$4,'Wind Proxy'!$B$8:$B$19,C2827)</f>
        <v>0</v>
      </c>
    </row>
    <row r="2828" spans="1:10" ht="14.4">
      <c r="A2828" s="84">
        <v>48479</v>
      </c>
      <c r="B2828" s="85">
        <v>2032</v>
      </c>
      <c r="C2828" s="85">
        <v>9</v>
      </c>
      <c r="D2828" s="85" t="s">
        <v>73</v>
      </c>
      <c r="E2828" s="85">
        <v>22</v>
      </c>
      <c r="F2828" s="85">
        <v>3</v>
      </c>
      <c r="G2828" s="85">
        <f>--(F2828&lt;=Estimator!$B$7)</f>
        <v>1</v>
      </c>
      <c r="H2828" s="86">
        <f>SUMIFS('Climate Data'!$G$7:$G$366,'Climate Data'!$A$7:$A$366,Estimator!$B$4,'Climate Data'!$B$7:$B$366,C2828)</f>
        <v>0.20666666666666667</v>
      </c>
      <c r="I2828" s="87">
        <f>SUMIFS('Climate Data'!$H$7:$H$366,'Climate Data'!$A$7:$A$366,Estimator!$B$4,'Climate Data'!$B$7:$B$366,C2828)</f>
        <v>6.806451612903226</v>
      </c>
      <c r="J2828" s="86">
        <f>SUMIFS('Wind Proxy'!$H$8:$H$19,'Wind Proxy'!$A$8:$A$19,Estimator!$B$4,'Wind Proxy'!$B$8:$B$19,C2828)</f>
        <v>0</v>
      </c>
    </row>
    <row r="2829" spans="1:10" ht="14.4">
      <c r="A2829" s="84">
        <v>48480</v>
      </c>
      <c r="B2829" s="85">
        <v>2032</v>
      </c>
      <c r="C2829" s="85">
        <v>9</v>
      </c>
      <c r="D2829" s="85" t="s">
        <v>73</v>
      </c>
      <c r="E2829" s="85">
        <v>23</v>
      </c>
      <c r="F2829" s="85">
        <v>4</v>
      </c>
      <c r="G2829" s="85">
        <f>--(F2829&lt;=Estimator!$B$7)</f>
        <v>1</v>
      </c>
      <c r="H2829" s="86">
        <f>SUMIFS('Climate Data'!$G$7:$G$366,'Climate Data'!$A$7:$A$366,Estimator!$B$4,'Climate Data'!$B$7:$B$366,C2829)</f>
        <v>0.20666666666666667</v>
      </c>
      <c r="I2829" s="87">
        <f>SUMIFS('Climate Data'!$H$7:$H$366,'Climate Data'!$A$7:$A$366,Estimator!$B$4,'Climate Data'!$B$7:$B$366,C2829)</f>
        <v>6.806451612903226</v>
      </c>
      <c r="J2829" s="86">
        <f>SUMIFS('Wind Proxy'!$H$8:$H$19,'Wind Proxy'!$A$8:$A$19,Estimator!$B$4,'Wind Proxy'!$B$8:$B$19,C2829)</f>
        <v>0</v>
      </c>
    </row>
    <row r="2830" spans="1:10" ht="14.4">
      <c r="A2830" s="84">
        <v>48481</v>
      </c>
      <c r="B2830" s="85">
        <v>2032</v>
      </c>
      <c r="C2830" s="85">
        <v>9</v>
      </c>
      <c r="D2830" s="85" t="s">
        <v>73</v>
      </c>
      <c r="E2830" s="85">
        <v>24</v>
      </c>
      <c r="F2830" s="85">
        <v>5</v>
      </c>
      <c r="G2830" s="85">
        <f>--(F2830&lt;=Estimator!$B$7)</f>
        <v>1</v>
      </c>
      <c r="H2830" s="86">
        <f>SUMIFS('Climate Data'!$G$7:$G$366,'Climate Data'!$A$7:$A$366,Estimator!$B$4,'Climate Data'!$B$7:$B$366,C2830)</f>
        <v>0.20666666666666667</v>
      </c>
      <c r="I2830" s="87">
        <f>SUMIFS('Climate Data'!$H$7:$H$366,'Climate Data'!$A$7:$A$366,Estimator!$B$4,'Climate Data'!$B$7:$B$366,C2830)</f>
        <v>6.806451612903226</v>
      </c>
      <c r="J2830" s="86">
        <f>SUMIFS('Wind Proxy'!$H$8:$H$19,'Wind Proxy'!$A$8:$A$19,Estimator!$B$4,'Wind Proxy'!$B$8:$B$19,C2830)</f>
        <v>0</v>
      </c>
    </row>
    <row r="2831" spans="1:10" ht="14.4">
      <c r="A2831" s="84">
        <v>48482</v>
      </c>
      <c r="B2831" s="85">
        <v>2032</v>
      </c>
      <c r="C2831" s="85">
        <v>9</v>
      </c>
      <c r="D2831" s="85" t="s">
        <v>73</v>
      </c>
      <c r="E2831" s="85">
        <v>25</v>
      </c>
      <c r="F2831" s="85">
        <v>6</v>
      </c>
      <c r="G2831" s="85">
        <f>--(F2831&lt;=Estimator!$B$7)</f>
        <v>0</v>
      </c>
      <c r="H2831" s="86">
        <f>SUMIFS('Climate Data'!$G$7:$G$366,'Climate Data'!$A$7:$A$366,Estimator!$B$4,'Climate Data'!$B$7:$B$366,C2831)</f>
        <v>0.20666666666666667</v>
      </c>
      <c r="I2831" s="87">
        <f>SUMIFS('Climate Data'!$H$7:$H$366,'Climate Data'!$A$7:$A$366,Estimator!$B$4,'Climate Data'!$B$7:$B$366,C2831)</f>
        <v>6.806451612903226</v>
      </c>
      <c r="J2831" s="86">
        <f>SUMIFS('Wind Proxy'!$H$8:$H$19,'Wind Proxy'!$A$8:$A$19,Estimator!$B$4,'Wind Proxy'!$B$8:$B$19,C2831)</f>
        <v>0</v>
      </c>
    </row>
    <row r="2832" spans="1:10" ht="14.4">
      <c r="A2832" s="84">
        <v>48483</v>
      </c>
      <c r="B2832" s="85">
        <v>2032</v>
      </c>
      <c r="C2832" s="85">
        <v>9</v>
      </c>
      <c r="D2832" s="85" t="s">
        <v>73</v>
      </c>
      <c r="E2832" s="85">
        <v>26</v>
      </c>
      <c r="F2832" s="85">
        <v>7</v>
      </c>
      <c r="G2832" s="85">
        <f>--(F2832&lt;=Estimator!$B$7)</f>
        <v>0</v>
      </c>
      <c r="H2832" s="86">
        <f>SUMIFS('Climate Data'!$G$7:$G$366,'Climate Data'!$A$7:$A$366,Estimator!$B$4,'Climate Data'!$B$7:$B$366,C2832)</f>
        <v>0.20666666666666667</v>
      </c>
      <c r="I2832" s="87">
        <f>SUMIFS('Climate Data'!$H$7:$H$366,'Climate Data'!$A$7:$A$366,Estimator!$B$4,'Climate Data'!$B$7:$B$366,C2832)</f>
        <v>6.806451612903226</v>
      </c>
      <c r="J2832" s="86">
        <f>SUMIFS('Wind Proxy'!$H$8:$H$19,'Wind Proxy'!$A$8:$A$19,Estimator!$B$4,'Wind Proxy'!$B$8:$B$19,C2832)</f>
        <v>0</v>
      </c>
    </row>
    <row r="2833" spans="1:10" ht="14.4">
      <c r="A2833" s="84">
        <v>48484</v>
      </c>
      <c r="B2833" s="85">
        <v>2032</v>
      </c>
      <c r="C2833" s="85">
        <v>9</v>
      </c>
      <c r="D2833" s="85" t="s">
        <v>73</v>
      </c>
      <c r="E2833" s="85">
        <v>27</v>
      </c>
      <c r="F2833" s="85">
        <v>1</v>
      </c>
      <c r="G2833" s="85">
        <f>--(F2833&lt;=Estimator!$B$7)</f>
        <v>1</v>
      </c>
      <c r="H2833" s="86">
        <f>SUMIFS('Climate Data'!$G$7:$G$366,'Climate Data'!$A$7:$A$366,Estimator!$B$4,'Climate Data'!$B$7:$B$366,C2833)</f>
        <v>0.20666666666666667</v>
      </c>
      <c r="I2833" s="87">
        <f>SUMIFS('Climate Data'!$H$7:$H$366,'Climate Data'!$A$7:$A$366,Estimator!$B$4,'Climate Data'!$B$7:$B$366,C2833)</f>
        <v>6.806451612903226</v>
      </c>
      <c r="J2833" s="86">
        <f>SUMIFS('Wind Proxy'!$H$8:$H$19,'Wind Proxy'!$A$8:$A$19,Estimator!$B$4,'Wind Proxy'!$B$8:$B$19,C2833)</f>
        <v>0</v>
      </c>
    </row>
    <row r="2834" spans="1:10" ht="14.4">
      <c r="A2834" s="84">
        <v>48485</v>
      </c>
      <c r="B2834" s="85">
        <v>2032</v>
      </c>
      <c r="C2834" s="85">
        <v>9</v>
      </c>
      <c r="D2834" s="85" t="s">
        <v>73</v>
      </c>
      <c r="E2834" s="85">
        <v>28</v>
      </c>
      <c r="F2834" s="85">
        <v>2</v>
      </c>
      <c r="G2834" s="85">
        <f>--(F2834&lt;=Estimator!$B$7)</f>
        <v>1</v>
      </c>
      <c r="H2834" s="86">
        <f>SUMIFS('Climate Data'!$G$7:$G$366,'Climate Data'!$A$7:$A$366,Estimator!$B$4,'Climate Data'!$B$7:$B$366,C2834)</f>
        <v>0.20666666666666667</v>
      </c>
      <c r="I2834" s="87">
        <f>SUMIFS('Climate Data'!$H$7:$H$366,'Climate Data'!$A$7:$A$366,Estimator!$B$4,'Climate Data'!$B$7:$B$366,C2834)</f>
        <v>6.806451612903226</v>
      </c>
      <c r="J2834" s="86">
        <f>SUMIFS('Wind Proxy'!$H$8:$H$19,'Wind Proxy'!$A$8:$A$19,Estimator!$B$4,'Wind Proxy'!$B$8:$B$19,C2834)</f>
        <v>0</v>
      </c>
    </row>
    <row r="2835" spans="1:10" ht="14.4">
      <c r="A2835" s="84">
        <v>48486</v>
      </c>
      <c r="B2835" s="85">
        <v>2032</v>
      </c>
      <c r="C2835" s="85">
        <v>9</v>
      </c>
      <c r="D2835" s="85" t="s">
        <v>73</v>
      </c>
      <c r="E2835" s="85">
        <v>29</v>
      </c>
      <c r="F2835" s="85">
        <v>3</v>
      </c>
      <c r="G2835" s="85">
        <f>--(F2835&lt;=Estimator!$B$7)</f>
        <v>1</v>
      </c>
      <c r="H2835" s="86">
        <f>SUMIFS('Climate Data'!$G$7:$G$366,'Climate Data'!$A$7:$A$366,Estimator!$B$4,'Climate Data'!$B$7:$B$366,C2835)</f>
        <v>0.20666666666666667</v>
      </c>
      <c r="I2835" s="87">
        <f>SUMIFS('Climate Data'!$H$7:$H$366,'Climate Data'!$A$7:$A$366,Estimator!$B$4,'Climate Data'!$B$7:$B$366,C2835)</f>
        <v>6.806451612903226</v>
      </c>
      <c r="J2835" s="86">
        <f>SUMIFS('Wind Proxy'!$H$8:$H$19,'Wind Proxy'!$A$8:$A$19,Estimator!$B$4,'Wind Proxy'!$B$8:$B$19,C2835)</f>
        <v>0</v>
      </c>
    </row>
    <row r="2836" spans="1:10" ht="14.4">
      <c r="A2836" s="84">
        <v>48487</v>
      </c>
      <c r="B2836" s="85">
        <v>2032</v>
      </c>
      <c r="C2836" s="85">
        <v>9</v>
      </c>
      <c r="D2836" s="85" t="s">
        <v>73</v>
      </c>
      <c r="E2836" s="85">
        <v>30</v>
      </c>
      <c r="F2836" s="85">
        <v>4</v>
      </c>
      <c r="G2836" s="85">
        <f>--(F2836&lt;=Estimator!$B$7)</f>
        <v>1</v>
      </c>
      <c r="H2836" s="86">
        <f>SUMIFS('Climate Data'!$G$7:$G$366,'Climate Data'!$A$7:$A$366,Estimator!$B$4,'Climate Data'!$B$7:$B$366,C2836)</f>
        <v>0.20666666666666667</v>
      </c>
      <c r="I2836" s="87">
        <f>SUMIFS('Climate Data'!$H$7:$H$366,'Climate Data'!$A$7:$A$366,Estimator!$B$4,'Climate Data'!$B$7:$B$366,C2836)</f>
        <v>6.806451612903226</v>
      </c>
      <c r="J2836" s="86">
        <f>SUMIFS('Wind Proxy'!$H$8:$H$19,'Wind Proxy'!$A$8:$A$19,Estimator!$B$4,'Wind Proxy'!$B$8:$B$19,C2836)</f>
        <v>0</v>
      </c>
    </row>
    <row r="2837" spans="1:10" ht="14.4">
      <c r="A2837" s="84">
        <v>48488</v>
      </c>
      <c r="B2837" s="85">
        <v>2032</v>
      </c>
      <c r="C2837" s="85">
        <v>10</v>
      </c>
      <c r="D2837" s="85" t="s">
        <v>75</v>
      </c>
      <c r="E2837" s="85">
        <v>1</v>
      </c>
      <c r="F2837" s="85">
        <v>5</v>
      </c>
      <c r="G2837" s="85">
        <f>--(F2837&lt;=Estimator!$B$7)</f>
        <v>1</v>
      </c>
      <c r="H2837" s="86">
        <f>SUMIFS('Climate Data'!$G$7:$G$366,'Climate Data'!$A$7:$A$366,Estimator!$B$4,'Climate Data'!$B$7:$B$366,C2837)</f>
        <v>0.23225806451612904</v>
      </c>
      <c r="I2837" s="87">
        <f>SUMIFS('Climate Data'!$H$7:$H$366,'Climate Data'!$A$7:$A$366,Estimator!$B$4,'Climate Data'!$B$7:$B$366,C2837)</f>
        <v>6.8194444444444446</v>
      </c>
      <c r="J2837" s="86">
        <f>SUMIFS('Wind Proxy'!$H$8:$H$19,'Wind Proxy'!$A$8:$A$19,Estimator!$B$4,'Wind Proxy'!$B$8:$B$19,C2837)</f>
        <v>0</v>
      </c>
    </row>
    <row r="2838" spans="1:10" ht="14.4">
      <c r="A2838" s="84">
        <v>48489</v>
      </c>
      <c r="B2838" s="85">
        <v>2032</v>
      </c>
      <c r="C2838" s="85">
        <v>10</v>
      </c>
      <c r="D2838" s="85" t="s">
        <v>75</v>
      </c>
      <c r="E2838" s="85">
        <v>2</v>
      </c>
      <c r="F2838" s="85">
        <v>6</v>
      </c>
      <c r="G2838" s="85">
        <f>--(F2838&lt;=Estimator!$B$7)</f>
        <v>0</v>
      </c>
      <c r="H2838" s="86">
        <f>SUMIFS('Climate Data'!$G$7:$G$366,'Climate Data'!$A$7:$A$366,Estimator!$B$4,'Climate Data'!$B$7:$B$366,C2838)</f>
        <v>0.23225806451612904</v>
      </c>
      <c r="I2838" s="87">
        <f>SUMIFS('Climate Data'!$H$7:$H$366,'Climate Data'!$A$7:$A$366,Estimator!$B$4,'Climate Data'!$B$7:$B$366,C2838)</f>
        <v>6.8194444444444446</v>
      </c>
      <c r="J2838" s="86">
        <f>SUMIFS('Wind Proxy'!$H$8:$H$19,'Wind Proxy'!$A$8:$A$19,Estimator!$B$4,'Wind Proxy'!$B$8:$B$19,C2838)</f>
        <v>0</v>
      </c>
    </row>
    <row r="2839" spans="1:10" ht="14.4">
      <c r="A2839" s="84">
        <v>48490</v>
      </c>
      <c r="B2839" s="85">
        <v>2032</v>
      </c>
      <c r="C2839" s="85">
        <v>10</v>
      </c>
      <c r="D2839" s="85" t="s">
        <v>75</v>
      </c>
      <c r="E2839" s="85">
        <v>3</v>
      </c>
      <c r="F2839" s="85">
        <v>7</v>
      </c>
      <c r="G2839" s="85">
        <f>--(F2839&lt;=Estimator!$B$7)</f>
        <v>0</v>
      </c>
      <c r="H2839" s="86">
        <f>SUMIFS('Climate Data'!$G$7:$G$366,'Climate Data'!$A$7:$A$366,Estimator!$B$4,'Climate Data'!$B$7:$B$366,C2839)</f>
        <v>0.23225806451612904</v>
      </c>
      <c r="I2839" s="87">
        <f>SUMIFS('Climate Data'!$H$7:$H$366,'Climate Data'!$A$7:$A$366,Estimator!$B$4,'Climate Data'!$B$7:$B$366,C2839)</f>
        <v>6.8194444444444446</v>
      </c>
      <c r="J2839" s="86">
        <f>SUMIFS('Wind Proxy'!$H$8:$H$19,'Wind Proxy'!$A$8:$A$19,Estimator!$B$4,'Wind Proxy'!$B$8:$B$19,C2839)</f>
        <v>0</v>
      </c>
    </row>
    <row r="2840" spans="1:10" ht="14.4">
      <c r="A2840" s="84">
        <v>48491</v>
      </c>
      <c r="B2840" s="85">
        <v>2032</v>
      </c>
      <c r="C2840" s="85">
        <v>10</v>
      </c>
      <c r="D2840" s="85" t="s">
        <v>75</v>
      </c>
      <c r="E2840" s="85">
        <v>4</v>
      </c>
      <c r="F2840" s="85">
        <v>1</v>
      </c>
      <c r="G2840" s="85">
        <f>--(F2840&lt;=Estimator!$B$7)</f>
        <v>1</v>
      </c>
      <c r="H2840" s="86">
        <f>SUMIFS('Climate Data'!$G$7:$G$366,'Climate Data'!$A$7:$A$366,Estimator!$B$4,'Climate Data'!$B$7:$B$366,C2840)</f>
        <v>0.23225806451612904</v>
      </c>
      <c r="I2840" s="87">
        <f>SUMIFS('Climate Data'!$H$7:$H$366,'Climate Data'!$A$7:$A$366,Estimator!$B$4,'Climate Data'!$B$7:$B$366,C2840)</f>
        <v>6.8194444444444446</v>
      </c>
      <c r="J2840" s="86">
        <f>SUMIFS('Wind Proxy'!$H$8:$H$19,'Wind Proxy'!$A$8:$A$19,Estimator!$B$4,'Wind Proxy'!$B$8:$B$19,C2840)</f>
        <v>0</v>
      </c>
    </row>
    <row r="2841" spans="1:10" ht="14.4">
      <c r="A2841" s="84">
        <v>48492</v>
      </c>
      <c r="B2841" s="85">
        <v>2032</v>
      </c>
      <c r="C2841" s="85">
        <v>10</v>
      </c>
      <c r="D2841" s="85" t="s">
        <v>75</v>
      </c>
      <c r="E2841" s="85">
        <v>5</v>
      </c>
      <c r="F2841" s="85">
        <v>2</v>
      </c>
      <c r="G2841" s="85">
        <f>--(F2841&lt;=Estimator!$B$7)</f>
        <v>1</v>
      </c>
      <c r="H2841" s="86">
        <f>SUMIFS('Climate Data'!$G$7:$G$366,'Climate Data'!$A$7:$A$366,Estimator!$B$4,'Climate Data'!$B$7:$B$366,C2841)</f>
        <v>0.23225806451612904</v>
      </c>
      <c r="I2841" s="87">
        <f>SUMIFS('Climate Data'!$H$7:$H$366,'Climate Data'!$A$7:$A$366,Estimator!$B$4,'Climate Data'!$B$7:$B$366,C2841)</f>
        <v>6.8194444444444446</v>
      </c>
      <c r="J2841" s="86">
        <f>SUMIFS('Wind Proxy'!$H$8:$H$19,'Wind Proxy'!$A$8:$A$19,Estimator!$B$4,'Wind Proxy'!$B$8:$B$19,C2841)</f>
        <v>0</v>
      </c>
    </row>
    <row r="2842" spans="1:10" ht="14.4">
      <c r="A2842" s="84">
        <v>48493</v>
      </c>
      <c r="B2842" s="85">
        <v>2032</v>
      </c>
      <c r="C2842" s="85">
        <v>10</v>
      </c>
      <c r="D2842" s="85" t="s">
        <v>75</v>
      </c>
      <c r="E2842" s="85">
        <v>6</v>
      </c>
      <c r="F2842" s="85">
        <v>3</v>
      </c>
      <c r="G2842" s="85">
        <f>--(F2842&lt;=Estimator!$B$7)</f>
        <v>1</v>
      </c>
      <c r="H2842" s="86">
        <f>SUMIFS('Climate Data'!$G$7:$G$366,'Climate Data'!$A$7:$A$366,Estimator!$B$4,'Climate Data'!$B$7:$B$366,C2842)</f>
        <v>0.23225806451612904</v>
      </c>
      <c r="I2842" s="87">
        <f>SUMIFS('Climate Data'!$H$7:$H$366,'Climate Data'!$A$7:$A$366,Estimator!$B$4,'Climate Data'!$B$7:$B$366,C2842)</f>
        <v>6.8194444444444446</v>
      </c>
      <c r="J2842" s="86">
        <f>SUMIFS('Wind Proxy'!$H$8:$H$19,'Wind Proxy'!$A$8:$A$19,Estimator!$B$4,'Wind Proxy'!$B$8:$B$19,C2842)</f>
        <v>0</v>
      </c>
    </row>
    <row r="2843" spans="1:10" ht="14.4">
      <c r="A2843" s="84">
        <v>48494</v>
      </c>
      <c r="B2843" s="85">
        <v>2032</v>
      </c>
      <c r="C2843" s="85">
        <v>10</v>
      </c>
      <c r="D2843" s="85" t="s">
        <v>75</v>
      </c>
      <c r="E2843" s="85">
        <v>7</v>
      </c>
      <c r="F2843" s="85">
        <v>4</v>
      </c>
      <c r="G2843" s="85">
        <f>--(F2843&lt;=Estimator!$B$7)</f>
        <v>1</v>
      </c>
      <c r="H2843" s="86">
        <f>SUMIFS('Climate Data'!$G$7:$G$366,'Climate Data'!$A$7:$A$366,Estimator!$B$4,'Climate Data'!$B$7:$B$366,C2843)</f>
        <v>0.23225806451612904</v>
      </c>
      <c r="I2843" s="87">
        <f>SUMIFS('Climate Data'!$H$7:$H$366,'Climate Data'!$A$7:$A$366,Estimator!$B$4,'Climate Data'!$B$7:$B$366,C2843)</f>
        <v>6.8194444444444446</v>
      </c>
      <c r="J2843" s="86">
        <f>SUMIFS('Wind Proxy'!$H$8:$H$19,'Wind Proxy'!$A$8:$A$19,Estimator!$B$4,'Wind Proxy'!$B$8:$B$19,C2843)</f>
        <v>0</v>
      </c>
    </row>
    <row r="2844" spans="1:10" ht="14.4">
      <c r="A2844" s="84">
        <v>48495</v>
      </c>
      <c r="B2844" s="85">
        <v>2032</v>
      </c>
      <c r="C2844" s="85">
        <v>10</v>
      </c>
      <c r="D2844" s="85" t="s">
        <v>75</v>
      </c>
      <c r="E2844" s="85">
        <v>8</v>
      </c>
      <c r="F2844" s="85">
        <v>5</v>
      </c>
      <c r="G2844" s="85">
        <f>--(F2844&lt;=Estimator!$B$7)</f>
        <v>1</v>
      </c>
      <c r="H2844" s="86">
        <f>SUMIFS('Climate Data'!$G$7:$G$366,'Climate Data'!$A$7:$A$366,Estimator!$B$4,'Climate Data'!$B$7:$B$366,C2844)</f>
        <v>0.23225806451612904</v>
      </c>
      <c r="I2844" s="87">
        <f>SUMIFS('Climate Data'!$H$7:$H$366,'Climate Data'!$A$7:$A$366,Estimator!$B$4,'Climate Data'!$B$7:$B$366,C2844)</f>
        <v>6.8194444444444446</v>
      </c>
      <c r="J2844" s="86">
        <f>SUMIFS('Wind Proxy'!$H$8:$H$19,'Wind Proxy'!$A$8:$A$19,Estimator!$B$4,'Wind Proxy'!$B$8:$B$19,C2844)</f>
        <v>0</v>
      </c>
    </row>
    <row r="2845" spans="1:10" ht="14.4">
      <c r="A2845" s="84">
        <v>48496</v>
      </c>
      <c r="B2845" s="85">
        <v>2032</v>
      </c>
      <c r="C2845" s="85">
        <v>10</v>
      </c>
      <c r="D2845" s="85" t="s">
        <v>75</v>
      </c>
      <c r="E2845" s="85">
        <v>9</v>
      </c>
      <c r="F2845" s="85">
        <v>6</v>
      </c>
      <c r="G2845" s="85">
        <f>--(F2845&lt;=Estimator!$B$7)</f>
        <v>0</v>
      </c>
      <c r="H2845" s="86">
        <f>SUMIFS('Climate Data'!$G$7:$G$366,'Climate Data'!$A$7:$A$366,Estimator!$B$4,'Climate Data'!$B$7:$B$366,C2845)</f>
        <v>0.23225806451612904</v>
      </c>
      <c r="I2845" s="87">
        <f>SUMIFS('Climate Data'!$H$7:$H$366,'Climate Data'!$A$7:$A$366,Estimator!$B$4,'Climate Data'!$B$7:$B$366,C2845)</f>
        <v>6.8194444444444446</v>
      </c>
      <c r="J2845" s="86">
        <f>SUMIFS('Wind Proxy'!$H$8:$H$19,'Wind Proxy'!$A$8:$A$19,Estimator!$B$4,'Wind Proxy'!$B$8:$B$19,C2845)</f>
        <v>0</v>
      </c>
    </row>
    <row r="2846" spans="1:10" ht="14.4">
      <c r="A2846" s="84">
        <v>48497</v>
      </c>
      <c r="B2846" s="85">
        <v>2032</v>
      </c>
      <c r="C2846" s="85">
        <v>10</v>
      </c>
      <c r="D2846" s="85" t="s">
        <v>75</v>
      </c>
      <c r="E2846" s="85">
        <v>10</v>
      </c>
      <c r="F2846" s="85">
        <v>7</v>
      </c>
      <c r="G2846" s="85">
        <f>--(F2846&lt;=Estimator!$B$7)</f>
        <v>0</v>
      </c>
      <c r="H2846" s="86">
        <f>SUMIFS('Climate Data'!$G$7:$G$366,'Climate Data'!$A$7:$A$366,Estimator!$B$4,'Climate Data'!$B$7:$B$366,C2846)</f>
        <v>0.23225806451612904</v>
      </c>
      <c r="I2846" s="87">
        <f>SUMIFS('Climate Data'!$H$7:$H$366,'Climate Data'!$A$7:$A$366,Estimator!$B$4,'Climate Data'!$B$7:$B$366,C2846)</f>
        <v>6.8194444444444446</v>
      </c>
      <c r="J2846" s="86">
        <f>SUMIFS('Wind Proxy'!$H$8:$H$19,'Wind Proxy'!$A$8:$A$19,Estimator!$B$4,'Wind Proxy'!$B$8:$B$19,C2846)</f>
        <v>0</v>
      </c>
    </row>
    <row r="2847" spans="1:10" ht="14.4">
      <c r="A2847" s="84">
        <v>48498</v>
      </c>
      <c r="B2847" s="85">
        <v>2032</v>
      </c>
      <c r="C2847" s="85">
        <v>10</v>
      </c>
      <c r="D2847" s="85" t="s">
        <v>75</v>
      </c>
      <c r="E2847" s="85">
        <v>11</v>
      </c>
      <c r="F2847" s="85">
        <v>1</v>
      </c>
      <c r="G2847" s="85">
        <f>--(F2847&lt;=Estimator!$B$7)</f>
        <v>1</v>
      </c>
      <c r="H2847" s="86">
        <f>SUMIFS('Climate Data'!$G$7:$G$366,'Climate Data'!$A$7:$A$366,Estimator!$B$4,'Climate Data'!$B$7:$B$366,C2847)</f>
        <v>0.23225806451612904</v>
      </c>
      <c r="I2847" s="87">
        <f>SUMIFS('Climate Data'!$H$7:$H$366,'Climate Data'!$A$7:$A$366,Estimator!$B$4,'Climate Data'!$B$7:$B$366,C2847)</f>
        <v>6.8194444444444446</v>
      </c>
      <c r="J2847" s="86">
        <f>SUMIFS('Wind Proxy'!$H$8:$H$19,'Wind Proxy'!$A$8:$A$19,Estimator!$B$4,'Wind Proxy'!$B$8:$B$19,C2847)</f>
        <v>0</v>
      </c>
    </row>
    <row r="2848" spans="1:10" ht="14.4">
      <c r="A2848" s="84">
        <v>48499</v>
      </c>
      <c r="B2848" s="85">
        <v>2032</v>
      </c>
      <c r="C2848" s="85">
        <v>10</v>
      </c>
      <c r="D2848" s="85" t="s">
        <v>75</v>
      </c>
      <c r="E2848" s="85">
        <v>12</v>
      </c>
      <c r="F2848" s="85">
        <v>2</v>
      </c>
      <c r="G2848" s="85">
        <f>--(F2848&lt;=Estimator!$B$7)</f>
        <v>1</v>
      </c>
      <c r="H2848" s="86">
        <f>SUMIFS('Climate Data'!$G$7:$G$366,'Climate Data'!$A$7:$A$366,Estimator!$B$4,'Climate Data'!$B$7:$B$366,C2848)</f>
        <v>0.23225806451612904</v>
      </c>
      <c r="I2848" s="87">
        <f>SUMIFS('Climate Data'!$H$7:$H$366,'Climate Data'!$A$7:$A$366,Estimator!$B$4,'Climate Data'!$B$7:$B$366,C2848)</f>
        <v>6.8194444444444446</v>
      </c>
      <c r="J2848" s="86">
        <f>SUMIFS('Wind Proxy'!$H$8:$H$19,'Wind Proxy'!$A$8:$A$19,Estimator!$B$4,'Wind Proxy'!$B$8:$B$19,C2848)</f>
        <v>0</v>
      </c>
    </row>
    <row r="2849" spans="1:10" ht="14.4">
      <c r="A2849" s="84">
        <v>48500</v>
      </c>
      <c r="B2849" s="85">
        <v>2032</v>
      </c>
      <c r="C2849" s="85">
        <v>10</v>
      </c>
      <c r="D2849" s="85" t="s">
        <v>75</v>
      </c>
      <c r="E2849" s="85">
        <v>13</v>
      </c>
      <c r="F2849" s="85">
        <v>3</v>
      </c>
      <c r="G2849" s="85">
        <f>--(F2849&lt;=Estimator!$B$7)</f>
        <v>1</v>
      </c>
      <c r="H2849" s="86">
        <f>SUMIFS('Climate Data'!$G$7:$G$366,'Climate Data'!$A$7:$A$366,Estimator!$B$4,'Climate Data'!$B$7:$B$366,C2849)</f>
        <v>0.23225806451612904</v>
      </c>
      <c r="I2849" s="87">
        <f>SUMIFS('Climate Data'!$H$7:$H$366,'Climate Data'!$A$7:$A$366,Estimator!$B$4,'Climate Data'!$B$7:$B$366,C2849)</f>
        <v>6.8194444444444446</v>
      </c>
      <c r="J2849" s="86">
        <f>SUMIFS('Wind Proxy'!$H$8:$H$19,'Wind Proxy'!$A$8:$A$19,Estimator!$B$4,'Wind Proxy'!$B$8:$B$19,C2849)</f>
        <v>0</v>
      </c>
    </row>
    <row r="2850" spans="1:10" ht="14.4">
      <c r="A2850" s="84">
        <v>48501</v>
      </c>
      <c r="B2850" s="85">
        <v>2032</v>
      </c>
      <c r="C2850" s="85">
        <v>10</v>
      </c>
      <c r="D2850" s="85" t="s">
        <v>75</v>
      </c>
      <c r="E2850" s="85">
        <v>14</v>
      </c>
      <c r="F2850" s="85">
        <v>4</v>
      </c>
      <c r="G2850" s="85">
        <f>--(F2850&lt;=Estimator!$B$7)</f>
        <v>1</v>
      </c>
      <c r="H2850" s="86">
        <f>SUMIFS('Climate Data'!$G$7:$G$366,'Climate Data'!$A$7:$A$366,Estimator!$B$4,'Climate Data'!$B$7:$B$366,C2850)</f>
        <v>0.23225806451612904</v>
      </c>
      <c r="I2850" s="87">
        <f>SUMIFS('Climate Data'!$H$7:$H$366,'Climate Data'!$A$7:$A$366,Estimator!$B$4,'Climate Data'!$B$7:$B$366,C2850)</f>
        <v>6.8194444444444446</v>
      </c>
      <c r="J2850" s="86">
        <f>SUMIFS('Wind Proxy'!$H$8:$H$19,'Wind Proxy'!$A$8:$A$19,Estimator!$B$4,'Wind Proxy'!$B$8:$B$19,C2850)</f>
        <v>0</v>
      </c>
    </row>
    <row r="2851" spans="1:10" ht="14.4">
      <c r="A2851" s="84">
        <v>48502</v>
      </c>
      <c r="B2851" s="85">
        <v>2032</v>
      </c>
      <c r="C2851" s="85">
        <v>10</v>
      </c>
      <c r="D2851" s="85" t="s">
        <v>75</v>
      </c>
      <c r="E2851" s="85">
        <v>15</v>
      </c>
      <c r="F2851" s="85">
        <v>5</v>
      </c>
      <c r="G2851" s="85">
        <f>--(F2851&lt;=Estimator!$B$7)</f>
        <v>1</v>
      </c>
      <c r="H2851" s="86">
        <f>SUMIFS('Climate Data'!$G$7:$G$366,'Climate Data'!$A$7:$A$366,Estimator!$B$4,'Climate Data'!$B$7:$B$366,C2851)</f>
        <v>0.23225806451612904</v>
      </c>
      <c r="I2851" s="87">
        <f>SUMIFS('Climate Data'!$H$7:$H$366,'Climate Data'!$A$7:$A$366,Estimator!$B$4,'Climate Data'!$B$7:$B$366,C2851)</f>
        <v>6.8194444444444446</v>
      </c>
      <c r="J2851" s="86">
        <f>SUMIFS('Wind Proxy'!$H$8:$H$19,'Wind Proxy'!$A$8:$A$19,Estimator!$B$4,'Wind Proxy'!$B$8:$B$19,C2851)</f>
        <v>0</v>
      </c>
    </row>
    <row r="2852" spans="1:10" ht="14.4">
      <c r="A2852" s="84">
        <v>48503</v>
      </c>
      <c r="B2852" s="85">
        <v>2032</v>
      </c>
      <c r="C2852" s="85">
        <v>10</v>
      </c>
      <c r="D2852" s="85" t="s">
        <v>75</v>
      </c>
      <c r="E2852" s="85">
        <v>16</v>
      </c>
      <c r="F2852" s="85">
        <v>6</v>
      </c>
      <c r="G2852" s="85">
        <f>--(F2852&lt;=Estimator!$B$7)</f>
        <v>0</v>
      </c>
      <c r="H2852" s="86">
        <f>SUMIFS('Climate Data'!$G$7:$G$366,'Climate Data'!$A$7:$A$366,Estimator!$B$4,'Climate Data'!$B$7:$B$366,C2852)</f>
        <v>0.23225806451612904</v>
      </c>
      <c r="I2852" s="87">
        <f>SUMIFS('Climate Data'!$H$7:$H$366,'Climate Data'!$A$7:$A$366,Estimator!$B$4,'Climate Data'!$B$7:$B$366,C2852)</f>
        <v>6.8194444444444446</v>
      </c>
      <c r="J2852" s="86">
        <f>SUMIFS('Wind Proxy'!$H$8:$H$19,'Wind Proxy'!$A$8:$A$19,Estimator!$B$4,'Wind Proxy'!$B$8:$B$19,C2852)</f>
        <v>0</v>
      </c>
    </row>
    <row r="2853" spans="1:10" ht="14.4">
      <c r="A2853" s="84">
        <v>48504</v>
      </c>
      <c r="B2853" s="85">
        <v>2032</v>
      </c>
      <c r="C2853" s="85">
        <v>10</v>
      </c>
      <c r="D2853" s="85" t="s">
        <v>75</v>
      </c>
      <c r="E2853" s="85">
        <v>17</v>
      </c>
      <c r="F2853" s="85">
        <v>7</v>
      </c>
      <c r="G2853" s="85">
        <f>--(F2853&lt;=Estimator!$B$7)</f>
        <v>0</v>
      </c>
      <c r="H2853" s="86">
        <f>SUMIFS('Climate Data'!$G$7:$G$366,'Climate Data'!$A$7:$A$366,Estimator!$B$4,'Climate Data'!$B$7:$B$366,C2853)</f>
        <v>0.23225806451612904</v>
      </c>
      <c r="I2853" s="87">
        <f>SUMIFS('Climate Data'!$H$7:$H$366,'Climate Data'!$A$7:$A$366,Estimator!$B$4,'Climate Data'!$B$7:$B$366,C2853)</f>
        <v>6.8194444444444446</v>
      </c>
      <c r="J2853" s="86">
        <f>SUMIFS('Wind Proxy'!$H$8:$H$19,'Wind Proxy'!$A$8:$A$19,Estimator!$B$4,'Wind Proxy'!$B$8:$B$19,C2853)</f>
        <v>0</v>
      </c>
    </row>
    <row r="2854" spans="1:10" ht="14.4">
      <c r="A2854" s="84">
        <v>48505</v>
      </c>
      <c r="B2854" s="85">
        <v>2032</v>
      </c>
      <c r="C2854" s="85">
        <v>10</v>
      </c>
      <c r="D2854" s="85" t="s">
        <v>75</v>
      </c>
      <c r="E2854" s="85">
        <v>18</v>
      </c>
      <c r="F2854" s="85">
        <v>1</v>
      </c>
      <c r="G2854" s="85">
        <f>--(F2854&lt;=Estimator!$B$7)</f>
        <v>1</v>
      </c>
      <c r="H2854" s="86">
        <f>SUMIFS('Climate Data'!$G$7:$G$366,'Climate Data'!$A$7:$A$366,Estimator!$B$4,'Climate Data'!$B$7:$B$366,C2854)</f>
        <v>0.23225806451612904</v>
      </c>
      <c r="I2854" s="87">
        <f>SUMIFS('Climate Data'!$H$7:$H$366,'Climate Data'!$A$7:$A$366,Estimator!$B$4,'Climate Data'!$B$7:$B$366,C2854)</f>
        <v>6.8194444444444446</v>
      </c>
      <c r="J2854" s="86">
        <f>SUMIFS('Wind Proxy'!$H$8:$H$19,'Wind Proxy'!$A$8:$A$19,Estimator!$B$4,'Wind Proxy'!$B$8:$B$19,C2854)</f>
        <v>0</v>
      </c>
    </row>
    <row r="2855" spans="1:10" ht="14.4">
      <c r="A2855" s="84">
        <v>48506</v>
      </c>
      <c r="B2855" s="85">
        <v>2032</v>
      </c>
      <c r="C2855" s="85">
        <v>10</v>
      </c>
      <c r="D2855" s="85" t="s">
        <v>75</v>
      </c>
      <c r="E2855" s="85">
        <v>19</v>
      </c>
      <c r="F2855" s="85">
        <v>2</v>
      </c>
      <c r="G2855" s="85">
        <f>--(F2855&lt;=Estimator!$B$7)</f>
        <v>1</v>
      </c>
      <c r="H2855" s="86">
        <f>SUMIFS('Climate Data'!$G$7:$G$366,'Climate Data'!$A$7:$A$366,Estimator!$B$4,'Climate Data'!$B$7:$B$366,C2855)</f>
        <v>0.23225806451612904</v>
      </c>
      <c r="I2855" s="87">
        <f>SUMIFS('Climate Data'!$H$7:$H$366,'Climate Data'!$A$7:$A$366,Estimator!$B$4,'Climate Data'!$B$7:$B$366,C2855)</f>
        <v>6.8194444444444446</v>
      </c>
      <c r="J2855" s="86">
        <f>SUMIFS('Wind Proxy'!$H$8:$H$19,'Wind Proxy'!$A$8:$A$19,Estimator!$B$4,'Wind Proxy'!$B$8:$B$19,C2855)</f>
        <v>0</v>
      </c>
    </row>
    <row r="2856" spans="1:10" ht="14.4">
      <c r="A2856" s="84">
        <v>48507</v>
      </c>
      <c r="B2856" s="85">
        <v>2032</v>
      </c>
      <c r="C2856" s="85">
        <v>10</v>
      </c>
      <c r="D2856" s="85" t="s">
        <v>75</v>
      </c>
      <c r="E2856" s="85">
        <v>20</v>
      </c>
      <c r="F2856" s="85">
        <v>3</v>
      </c>
      <c r="G2856" s="85">
        <f>--(F2856&lt;=Estimator!$B$7)</f>
        <v>1</v>
      </c>
      <c r="H2856" s="86">
        <f>SUMIFS('Climate Data'!$G$7:$G$366,'Climate Data'!$A$7:$A$366,Estimator!$B$4,'Climate Data'!$B$7:$B$366,C2856)</f>
        <v>0.23225806451612904</v>
      </c>
      <c r="I2856" s="87">
        <f>SUMIFS('Climate Data'!$H$7:$H$366,'Climate Data'!$A$7:$A$366,Estimator!$B$4,'Climate Data'!$B$7:$B$366,C2856)</f>
        <v>6.8194444444444446</v>
      </c>
      <c r="J2856" s="86">
        <f>SUMIFS('Wind Proxy'!$H$8:$H$19,'Wind Proxy'!$A$8:$A$19,Estimator!$B$4,'Wind Proxy'!$B$8:$B$19,C2856)</f>
        <v>0</v>
      </c>
    </row>
    <row r="2857" spans="1:10" ht="14.4">
      <c r="A2857" s="84">
        <v>48508</v>
      </c>
      <c r="B2857" s="85">
        <v>2032</v>
      </c>
      <c r="C2857" s="85">
        <v>10</v>
      </c>
      <c r="D2857" s="85" t="s">
        <v>75</v>
      </c>
      <c r="E2857" s="85">
        <v>21</v>
      </c>
      <c r="F2857" s="85">
        <v>4</v>
      </c>
      <c r="G2857" s="85">
        <f>--(F2857&lt;=Estimator!$B$7)</f>
        <v>1</v>
      </c>
      <c r="H2857" s="86">
        <f>SUMIFS('Climate Data'!$G$7:$G$366,'Climate Data'!$A$7:$A$366,Estimator!$B$4,'Climate Data'!$B$7:$B$366,C2857)</f>
        <v>0.23225806451612904</v>
      </c>
      <c r="I2857" s="87">
        <f>SUMIFS('Climate Data'!$H$7:$H$366,'Climate Data'!$A$7:$A$366,Estimator!$B$4,'Climate Data'!$B$7:$B$366,C2857)</f>
        <v>6.8194444444444446</v>
      </c>
      <c r="J2857" s="86">
        <f>SUMIFS('Wind Proxy'!$H$8:$H$19,'Wind Proxy'!$A$8:$A$19,Estimator!$B$4,'Wind Proxy'!$B$8:$B$19,C2857)</f>
        <v>0</v>
      </c>
    </row>
    <row r="2858" spans="1:10" ht="14.4">
      <c r="A2858" s="84">
        <v>48509</v>
      </c>
      <c r="B2858" s="85">
        <v>2032</v>
      </c>
      <c r="C2858" s="85">
        <v>10</v>
      </c>
      <c r="D2858" s="85" t="s">
        <v>75</v>
      </c>
      <c r="E2858" s="85">
        <v>22</v>
      </c>
      <c r="F2858" s="85">
        <v>5</v>
      </c>
      <c r="G2858" s="85">
        <f>--(F2858&lt;=Estimator!$B$7)</f>
        <v>1</v>
      </c>
      <c r="H2858" s="86">
        <f>SUMIFS('Climate Data'!$G$7:$G$366,'Climate Data'!$A$7:$A$366,Estimator!$B$4,'Climate Data'!$B$7:$B$366,C2858)</f>
        <v>0.23225806451612904</v>
      </c>
      <c r="I2858" s="87">
        <f>SUMIFS('Climate Data'!$H$7:$H$366,'Climate Data'!$A$7:$A$366,Estimator!$B$4,'Climate Data'!$B$7:$B$366,C2858)</f>
        <v>6.8194444444444446</v>
      </c>
      <c r="J2858" s="86">
        <f>SUMIFS('Wind Proxy'!$H$8:$H$19,'Wind Proxy'!$A$8:$A$19,Estimator!$B$4,'Wind Proxy'!$B$8:$B$19,C2858)</f>
        <v>0</v>
      </c>
    </row>
    <row r="2859" spans="1:10" ht="14.4">
      <c r="A2859" s="84">
        <v>48510</v>
      </c>
      <c r="B2859" s="85">
        <v>2032</v>
      </c>
      <c r="C2859" s="85">
        <v>10</v>
      </c>
      <c r="D2859" s="85" t="s">
        <v>75</v>
      </c>
      <c r="E2859" s="85">
        <v>23</v>
      </c>
      <c r="F2859" s="85">
        <v>6</v>
      </c>
      <c r="G2859" s="85">
        <f>--(F2859&lt;=Estimator!$B$7)</f>
        <v>0</v>
      </c>
      <c r="H2859" s="86">
        <f>SUMIFS('Climate Data'!$G$7:$G$366,'Climate Data'!$A$7:$A$366,Estimator!$B$4,'Climate Data'!$B$7:$B$366,C2859)</f>
        <v>0.23225806451612904</v>
      </c>
      <c r="I2859" s="87">
        <f>SUMIFS('Climate Data'!$H$7:$H$366,'Climate Data'!$A$7:$A$366,Estimator!$B$4,'Climate Data'!$B$7:$B$366,C2859)</f>
        <v>6.8194444444444446</v>
      </c>
      <c r="J2859" s="86">
        <f>SUMIFS('Wind Proxy'!$H$8:$H$19,'Wind Proxy'!$A$8:$A$19,Estimator!$B$4,'Wind Proxy'!$B$8:$B$19,C2859)</f>
        <v>0</v>
      </c>
    </row>
    <row r="2860" spans="1:10" ht="14.4">
      <c r="A2860" s="84">
        <v>48511</v>
      </c>
      <c r="B2860" s="85">
        <v>2032</v>
      </c>
      <c r="C2860" s="85">
        <v>10</v>
      </c>
      <c r="D2860" s="85" t="s">
        <v>75</v>
      </c>
      <c r="E2860" s="85">
        <v>24</v>
      </c>
      <c r="F2860" s="85">
        <v>7</v>
      </c>
      <c r="G2860" s="85">
        <f>--(F2860&lt;=Estimator!$B$7)</f>
        <v>0</v>
      </c>
      <c r="H2860" s="86">
        <f>SUMIFS('Climate Data'!$G$7:$G$366,'Climate Data'!$A$7:$A$366,Estimator!$B$4,'Climate Data'!$B$7:$B$366,C2860)</f>
        <v>0.23225806451612904</v>
      </c>
      <c r="I2860" s="87">
        <f>SUMIFS('Climate Data'!$H$7:$H$366,'Climate Data'!$A$7:$A$366,Estimator!$B$4,'Climate Data'!$B$7:$B$366,C2860)</f>
        <v>6.8194444444444446</v>
      </c>
      <c r="J2860" s="86">
        <f>SUMIFS('Wind Proxy'!$H$8:$H$19,'Wind Proxy'!$A$8:$A$19,Estimator!$B$4,'Wind Proxy'!$B$8:$B$19,C2860)</f>
        <v>0</v>
      </c>
    </row>
    <row r="2861" spans="1:10" ht="14.4">
      <c r="A2861" s="84">
        <v>48512</v>
      </c>
      <c r="B2861" s="85">
        <v>2032</v>
      </c>
      <c r="C2861" s="85">
        <v>10</v>
      </c>
      <c r="D2861" s="85" t="s">
        <v>75</v>
      </c>
      <c r="E2861" s="85">
        <v>25</v>
      </c>
      <c r="F2861" s="85">
        <v>1</v>
      </c>
      <c r="G2861" s="85">
        <f>--(F2861&lt;=Estimator!$B$7)</f>
        <v>1</v>
      </c>
      <c r="H2861" s="86">
        <f>SUMIFS('Climate Data'!$G$7:$G$366,'Climate Data'!$A$7:$A$366,Estimator!$B$4,'Climate Data'!$B$7:$B$366,C2861)</f>
        <v>0.23225806451612904</v>
      </c>
      <c r="I2861" s="87">
        <f>SUMIFS('Climate Data'!$H$7:$H$366,'Climate Data'!$A$7:$A$366,Estimator!$B$4,'Climate Data'!$B$7:$B$366,C2861)</f>
        <v>6.8194444444444446</v>
      </c>
      <c r="J2861" s="86">
        <f>SUMIFS('Wind Proxy'!$H$8:$H$19,'Wind Proxy'!$A$8:$A$19,Estimator!$B$4,'Wind Proxy'!$B$8:$B$19,C2861)</f>
        <v>0</v>
      </c>
    </row>
    <row r="2862" spans="1:10" ht="14.4">
      <c r="A2862" s="84">
        <v>48513</v>
      </c>
      <c r="B2862" s="85">
        <v>2032</v>
      </c>
      <c r="C2862" s="85">
        <v>10</v>
      </c>
      <c r="D2862" s="85" t="s">
        <v>75</v>
      </c>
      <c r="E2862" s="85">
        <v>26</v>
      </c>
      <c r="F2862" s="85">
        <v>2</v>
      </c>
      <c r="G2862" s="85">
        <f>--(F2862&lt;=Estimator!$B$7)</f>
        <v>1</v>
      </c>
      <c r="H2862" s="86">
        <f>SUMIFS('Climate Data'!$G$7:$G$366,'Climate Data'!$A$7:$A$366,Estimator!$B$4,'Climate Data'!$B$7:$B$366,C2862)</f>
        <v>0.23225806451612904</v>
      </c>
      <c r="I2862" s="87">
        <f>SUMIFS('Climate Data'!$H$7:$H$366,'Climate Data'!$A$7:$A$366,Estimator!$B$4,'Climate Data'!$B$7:$B$366,C2862)</f>
        <v>6.8194444444444446</v>
      </c>
      <c r="J2862" s="86">
        <f>SUMIFS('Wind Proxy'!$H$8:$H$19,'Wind Proxy'!$A$8:$A$19,Estimator!$B$4,'Wind Proxy'!$B$8:$B$19,C2862)</f>
        <v>0</v>
      </c>
    </row>
    <row r="2863" spans="1:10" ht="14.4">
      <c r="A2863" s="84">
        <v>48514</v>
      </c>
      <c r="B2863" s="85">
        <v>2032</v>
      </c>
      <c r="C2863" s="85">
        <v>10</v>
      </c>
      <c r="D2863" s="85" t="s">
        <v>75</v>
      </c>
      <c r="E2863" s="85">
        <v>27</v>
      </c>
      <c r="F2863" s="85">
        <v>3</v>
      </c>
      <c r="G2863" s="85">
        <f>--(F2863&lt;=Estimator!$B$7)</f>
        <v>1</v>
      </c>
      <c r="H2863" s="86">
        <f>SUMIFS('Climate Data'!$G$7:$G$366,'Climate Data'!$A$7:$A$366,Estimator!$B$4,'Climate Data'!$B$7:$B$366,C2863)</f>
        <v>0.23225806451612904</v>
      </c>
      <c r="I2863" s="87">
        <f>SUMIFS('Climate Data'!$H$7:$H$366,'Climate Data'!$A$7:$A$366,Estimator!$B$4,'Climate Data'!$B$7:$B$366,C2863)</f>
        <v>6.8194444444444446</v>
      </c>
      <c r="J2863" s="86">
        <f>SUMIFS('Wind Proxy'!$H$8:$H$19,'Wind Proxy'!$A$8:$A$19,Estimator!$B$4,'Wind Proxy'!$B$8:$B$19,C2863)</f>
        <v>0</v>
      </c>
    </row>
    <row r="2864" spans="1:10" ht="14.4">
      <c r="A2864" s="84">
        <v>48515</v>
      </c>
      <c r="B2864" s="85">
        <v>2032</v>
      </c>
      <c r="C2864" s="85">
        <v>10</v>
      </c>
      <c r="D2864" s="85" t="s">
        <v>75</v>
      </c>
      <c r="E2864" s="85">
        <v>28</v>
      </c>
      <c r="F2864" s="85">
        <v>4</v>
      </c>
      <c r="G2864" s="85">
        <f>--(F2864&lt;=Estimator!$B$7)</f>
        <v>1</v>
      </c>
      <c r="H2864" s="86">
        <f>SUMIFS('Climate Data'!$G$7:$G$366,'Climate Data'!$A$7:$A$366,Estimator!$B$4,'Climate Data'!$B$7:$B$366,C2864)</f>
        <v>0.23225806451612904</v>
      </c>
      <c r="I2864" s="87">
        <f>SUMIFS('Climate Data'!$H$7:$H$366,'Climate Data'!$A$7:$A$366,Estimator!$B$4,'Climate Data'!$B$7:$B$366,C2864)</f>
        <v>6.8194444444444446</v>
      </c>
      <c r="J2864" s="86">
        <f>SUMIFS('Wind Proxy'!$H$8:$H$19,'Wind Proxy'!$A$8:$A$19,Estimator!$B$4,'Wind Proxy'!$B$8:$B$19,C2864)</f>
        <v>0</v>
      </c>
    </row>
    <row r="2865" spans="1:10" ht="14.4">
      <c r="A2865" s="84">
        <v>48516</v>
      </c>
      <c r="B2865" s="85">
        <v>2032</v>
      </c>
      <c r="C2865" s="85">
        <v>10</v>
      </c>
      <c r="D2865" s="85" t="s">
        <v>75</v>
      </c>
      <c r="E2865" s="85">
        <v>29</v>
      </c>
      <c r="F2865" s="85">
        <v>5</v>
      </c>
      <c r="G2865" s="85">
        <f>--(F2865&lt;=Estimator!$B$7)</f>
        <v>1</v>
      </c>
      <c r="H2865" s="86">
        <f>SUMIFS('Climate Data'!$G$7:$G$366,'Climate Data'!$A$7:$A$366,Estimator!$B$4,'Climate Data'!$B$7:$B$366,C2865)</f>
        <v>0.23225806451612904</v>
      </c>
      <c r="I2865" s="87">
        <f>SUMIFS('Climate Data'!$H$7:$H$366,'Climate Data'!$A$7:$A$366,Estimator!$B$4,'Climate Data'!$B$7:$B$366,C2865)</f>
        <v>6.8194444444444446</v>
      </c>
      <c r="J2865" s="86">
        <f>SUMIFS('Wind Proxy'!$H$8:$H$19,'Wind Proxy'!$A$8:$A$19,Estimator!$B$4,'Wind Proxy'!$B$8:$B$19,C2865)</f>
        <v>0</v>
      </c>
    </row>
    <row r="2866" spans="1:10" ht="14.4">
      <c r="A2866" s="84">
        <v>48517</v>
      </c>
      <c r="B2866" s="85">
        <v>2032</v>
      </c>
      <c r="C2866" s="85">
        <v>10</v>
      </c>
      <c r="D2866" s="85" t="s">
        <v>75</v>
      </c>
      <c r="E2866" s="85">
        <v>30</v>
      </c>
      <c r="F2866" s="85">
        <v>6</v>
      </c>
      <c r="G2866" s="85">
        <f>--(F2866&lt;=Estimator!$B$7)</f>
        <v>0</v>
      </c>
      <c r="H2866" s="86">
        <f>SUMIFS('Climate Data'!$G$7:$G$366,'Climate Data'!$A$7:$A$366,Estimator!$B$4,'Climate Data'!$B$7:$B$366,C2866)</f>
        <v>0.23225806451612904</v>
      </c>
      <c r="I2866" s="87">
        <f>SUMIFS('Climate Data'!$H$7:$H$366,'Climate Data'!$A$7:$A$366,Estimator!$B$4,'Climate Data'!$B$7:$B$366,C2866)</f>
        <v>6.8194444444444446</v>
      </c>
      <c r="J2866" s="86">
        <f>SUMIFS('Wind Proxy'!$H$8:$H$19,'Wind Proxy'!$A$8:$A$19,Estimator!$B$4,'Wind Proxy'!$B$8:$B$19,C2866)</f>
        <v>0</v>
      </c>
    </row>
    <row r="2867" spans="1:10" ht="14.4">
      <c r="A2867" s="84">
        <v>48518</v>
      </c>
      <c r="B2867" s="85">
        <v>2032</v>
      </c>
      <c r="C2867" s="85">
        <v>10</v>
      </c>
      <c r="D2867" s="85" t="s">
        <v>75</v>
      </c>
      <c r="E2867" s="85">
        <v>31</v>
      </c>
      <c r="F2867" s="85">
        <v>7</v>
      </c>
      <c r="G2867" s="85">
        <f>--(F2867&lt;=Estimator!$B$7)</f>
        <v>0</v>
      </c>
      <c r="H2867" s="86">
        <f>SUMIFS('Climate Data'!$G$7:$G$366,'Climate Data'!$A$7:$A$366,Estimator!$B$4,'Climate Data'!$B$7:$B$366,C2867)</f>
        <v>0.23225806451612904</v>
      </c>
      <c r="I2867" s="87">
        <f>SUMIFS('Climate Data'!$H$7:$H$366,'Climate Data'!$A$7:$A$366,Estimator!$B$4,'Climate Data'!$B$7:$B$366,C2867)</f>
        <v>6.8194444444444446</v>
      </c>
      <c r="J2867" s="86">
        <f>SUMIFS('Wind Proxy'!$H$8:$H$19,'Wind Proxy'!$A$8:$A$19,Estimator!$B$4,'Wind Proxy'!$B$8:$B$19,C2867)</f>
        <v>0</v>
      </c>
    </row>
    <row r="2868" spans="1:10" ht="14.4">
      <c r="A2868" s="84">
        <v>48519</v>
      </c>
      <c r="B2868" s="85">
        <v>2032</v>
      </c>
      <c r="C2868" s="85">
        <v>11</v>
      </c>
      <c r="D2868" s="85" t="s">
        <v>76</v>
      </c>
      <c r="E2868" s="85">
        <v>1</v>
      </c>
      <c r="F2868" s="85">
        <v>1</v>
      </c>
      <c r="G2868" s="85">
        <f>--(F2868&lt;=Estimator!$B$7)</f>
        <v>1</v>
      </c>
      <c r="H2868" s="86">
        <f>SUMIFS('Climate Data'!$G$7:$G$366,'Climate Data'!$A$7:$A$366,Estimator!$B$4,'Climate Data'!$B$7:$B$366,C2868)</f>
        <v>0.23333333333333334</v>
      </c>
      <c r="I2868" s="87">
        <f>SUMIFS('Climate Data'!$H$7:$H$366,'Climate Data'!$A$7:$A$366,Estimator!$B$4,'Climate Data'!$B$7:$B$366,C2868)</f>
        <v>6.4428571428571431</v>
      </c>
      <c r="J2868" s="86">
        <f>SUMIFS('Wind Proxy'!$H$8:$H$19,'Wind Proxy'!$A$8:$A$19,Estimator!$B$4,'Wind Proxy'!$B$8:$B$19,C2868)</f>
        <v>0</v>
      </c>
    </row>
    <row r="2869" spans="1:10" ht="14.4">
      <c r="A2869" s="84">
        <v>48520</v>
      </c>
      <c r="B2869" s="85">
        <v>2032</v>
      </c>
      <c r="C2869" s="85">
        <v>11</v>
      </c>
      <c r="D2869" s="85" t="s">
        <v>76</v>
      </c>
      <c r="E2869" s="85">
        <v>2</v>
      </c>
      <c r="F2869" s="85">
        <v>2</v>
      </c>
      <c r="G2869" s="85">
        <f>--(F2869&lt;=Estimator!$B$7)</f>
        <v>1</v>
      </c>
      <c r="H2869" s="86">
        <f>SUMIFS('Climate Data'!$G$7:$G$366,'Climate Data'!$A$7:$A$366,Estimator!$B$4,'Climate Data'!$B$7:$B$366,C2869)</f>
        <v>0.23333333333333334</v>
      </c>
      <c r="I2869" s="87">
        <f>SUMIFS('Climate Data'!$H$7:$H$366,'Climate Data'!$A$7:$A$366,Estimator!$B$4,'Climate Data'!$B$7:$B$366,C2869)</f>
        <v>6.4428571428571431</v>
      </c>
      <c r="J2869" s="86">
        <f>SUMIFS('Wind Proxy'!$H$8:$H$19,'Wind Proxy'!$A$8:$A$19,Estimator!$B$4,'Wind Proxy'!$B$8:$B$19,C2869)</f>
        <v>0</v>
      </c>
    </row>
    <row r="2870" spans="1:10" ht="14.4">
      <c r="A2870" s="84">
        <v>48521</v>
      </c>
      <c r="B2870" s="85">
        <v>2032</v>
      </c>
      <c r="C2870" s="85">
        <v>11</v>
      </c>
      <c r="D2870" s="85" t="s">
        <v>76</v>
      </c>
      <c r="E2870" s="85">
        <v>3</v>
      </c>
      <c r="F2870" s="85">
        <v>3</v>
      </c>
      <c r="G2870" s="85">
        <f>--(F2870&lt;=Estimator!$B$7)</f>
        <v>1</v>
      </c>
      <c r="H2870" s="86">
        <f>SUMIFS('Climate Data'!$G$7:$G$366,'Climate Data'!$A$7:$A$366,Estimator!$B$4,'Climate Data'!$B$7:$B$366,C2870)</f>
        <v>0.23333333333333334</v>
      </c>
      <c r="I2870" s="87">
        <f>SUMIFS('Climate Data'!$H$7:$H$366,'Climate Data'!$A$7:$A$366,Estimator!$B$4,'Climate Data'!$B$7:$B$366,C2870)</f>
        <v>6.4428571428571431</v>
      </c>
      <c r="J2870" s="86">
        <f>SUMIFS('Wind Proxy'!$H$8:$H$19,'Wind Proxy'!$A$8:$A$19,Estimator!$B$4,'Wind Proxy'!$B$8:$B$19,C2870)</f>
        <v>0</v>
      </c>
    </row>
    <row r="2871" spans="1:10" ht="14.4">
      <c r="A2871" s="84">
        <v>48522</v>
      </c>
      <c r="B2871" s="85">
        <v>2032</v>
      </c>
      <c r="C2871" s="85">
        <v>11</v>
      </c>
      <c r="D2871" s="85" t="s">
        <v>76</v>
      </c>
      <c r="E2871" s="85">
        <v>4</v>
      </c>
      <c r="F2871" s="85">
        <v>4</v>
      </c>
      <c r="G2871" s="85">
        <f>--(F2871&lt;=Estimator!$B$7)</f>
        <v>1</v>
      </c>
      <c r="H2871" s="86">
        <f>SUMIFS('Climate Data'!$G$7:$G$366,'Climate Data'!$A$7:$A$366,Estimator!$B$4,'Climate Data'!$B$7:$B$366,C2871)</f>
        <v>0.23333333333333334</v>
      </c>
      <c r="I2871" s="87">
        <f>SUMIFS('Climate Data'!$H$7:$H$366,'Climate Data'!$A$7:$A$366,Estimator!$B$4,'Climate Data'!$B$7:$B$366,C2871)</f>
        <v>6.4428571428571431</v>
      </c>
      <c r="J2871" s="86">
        <f>SUMIFS('Wind Proxy'!$H$8:$H$19,'Wind Proxy'!$A$8:$A$19,Estimator!$B$4,'Wind Proxy'!$B$8:$B$19,C2871)</f>
        <v>0</v>
      </c>
    </row>
    <row r="2872" spans="1:10" ht="14.4">
      <c r="A2872" s="84">
        <v>48523</v>
      </c>
      <c r="B2872" s="85">
        <v>2032</v>
      </c>
      <c r="C2872" s="85">
        <v>11</v>
      </c>
      <c r="D2872" s="85" t="s">
        <v>76</v>
      </c>
      <c r="E2872" s="85">
        <v>5</v>
      </c>
      <c r="F2872" s="85">
        <v>5</v>
      </c>
      <c r="G2872" s="85">
        <f>--(F2872&lt;=Estimator!$B$7)</f>
        <v>1</v>
      </c>
      <c r="H2872" s="86">
        <f>SUMIFS('Climate Data'!$G$7:$G$366,'Climate Data'!$A$7:$A$366,Estimator!$B$4,'Climate Data'!$B$7:$B$366,C2872)</f>
        <v>0.23333333333333334</v>
      </c>
      <c r="I2872" s="87">
        <f>SUMIFS('Climate Data'!$H$7:$H$366,'Climate Data'!$A$7:$A$366,Estimator!$B$4,'Climate Data'!$B$7:$B$366,C2872)</f>
        <v>6.4428571428571431</v>
      </c>
      <c r="J2872" s="86">
        <f>SUMIFS('Wind Proxy'!$H$8:$H$19,'Wind Proxy'!$A$8:$A$19,Estimator!$B$4,'Wind Proxy'!$B$8:$B$19,C2872)</f>
        <v>0</v>
      </c>
    </row>
    <row r="2873" spans="1:10" ht="14.4">
      <c r="A2873" s="84">
        <v>48524</v>
      </c>
      <c r="B2873" s="85">
        <v>2032</v>
      </c>
      <c r="C2873" s="85">
        <v>11</v>
      </c>
      <c r="D2873" s="85" t="s">
        <v>76</v>
      </c>
      <c r="E2873" s="85">
        <v>6</v>
      </c>
      <c r="F2873" s="85">
        <v>6</v>
      </c>
      <c r="G2873" s="85">
        <f>--(F2873&lt;=Estimator!$B$7)</f>
        <v>0</v>
      </c>
      <c r="H2873" s="86">
        <f>SUMIFS('Climate Data'!$G$7:$G$366,'Climate Data'!$A$7:$A$366,Estimator!$B$4,'Climate Data'!$B$7:$B$366,C2873)</f>
        <v>0.23333333333333334</v>
      </c>
      <c r="I2873" s="87">
        <f>SUMIFS('Climate Data'!$H$7:$H$366,'Climate Data'!$A$7:$A$366,Estimator!$B$4,'Climate Data'!$B$7:$B$366,C2873)</f>
        <v>6.4428571428571431</v>
      </c>
      <c r="J2873" s="86">
        <f>SUMIFS('Wind Proxy'!$H$8:$H$19,'Wind Proxy'!$A$8:$A$19,Estimator!$B$4,'Wind Proxy'!$B$8:$B$19,C2873)</f>
        <v>0</v>
      </c>
    </row>
    <row r="2874" spans="1:10" ht="14.4">
      <c r="A2874" s="84">
        <v>48525</v>
      </c>
      <c r="B2874" s="85">
        <v>2032</v>
      </c>
      <c r="C2874" s="85">
        <v>11</v>
      </c>
      <c r="D2874" s="85" t="s">
        <v>76</v>
      </c>
      <c r="E2874" s="85">
        <v>7</v>
      </c>
      <c r="F2874" s="85">
        <v>7</v>
      </c>
      <c r="G2874" s="85">
        <f>--(F2874&lt;=Estimator!$B$7)</f>
        <v>0</v>
      </c>
      <c r="H2874" s="86">
        <f>SUMIFS('Climate Data'!$G$7:$G$366,'Climate Data'!$A$7:$A$366,Estimator!$B$4,'Climate Data'!$B$7:$B$366,C2874)</f>
        <v>0.23333333333333334</v>
      </c>
      <c r="I2874" s="87">
        <f>SUMIFS('Climate Data'!$H$7:$H$366,'Climate Data'!$A$7:$A$366,Estimator!$B$4,'Climate Data'!$B$7:$B$366,C2874)</f>
        <v>6.4428571428571431</v>
      </c>
      <c r="J2874" s="86">
        <f>SUMIFS('Wind Proxy'!$H$8:$H$19,'Wind Proxy'!$A$8:$A$19,Estimator!$B$4,'Wind Proxy'!$B$8:$B$19,C2874)</f>
        <v>0</v>
      </c>
    </row>
    <row r="2875" spans="1:10" ht="14.4">
      <c r="A2875" s="84">
        <v>48526</v>
      </c>
      <c r="B2875" s="85">
        <v>2032</v>
      </c>
      <c r="C2875" s="85">
        <v>11</v>
      </c>
      <c r="D2875" s="85" t="s">
        <v>76</v>
      </c>
      <c r="E2875" s="85">
        <v>8</v>
      </c>
      <c r="F2875" s="85">
        <v>1</v>
      </c>
      <c r="G2875" s="85">
        <f>--(F2875&lt;=Estimator!$B$7)</f>
        <v>1</v>
      </c>
      <c r="H2875" s="86">
        <f>SUMIFS('Climate Data'!$G$7:$G$366,'Climate Data'!$A$7:$A$366,Estimator!$B$4,'Climate Data'!$B$7:$B$366,C2875)</f>
        <v>0.23333333333333334</v>
      </c>
      <c r="I2875" s="87">
        <f>SUMIFS('Climate Data'!$H$7:$H$366,'Climate Data'!$A$7:$A$366,Estimator!$B$4,'Climate Data'!$B$7:$B$366,C2875)</f>
        <v>6.4428571428571431</v>
      </c>
      <c r="J2875" s="86">
        <f>SUMIFS('Wind Proxy'!$H$8:$H$19,'Wind Proxy'!$A$8:$A$19,Estimator!$B$4,'Wind Proxy'!$B$8:$B$19,C2875)</f>
        <v>0</v>
      </c>
    </row>
    <row r="2876" spans="1:10" ht="14.4">
      <c r="A2876" s="84">
        <v>48527</v>
      </c>
      <c r="B2876" s="85">
        <v>2032</v>
      </c>
      <c r="C2876" s="85">
        <v>11</v>
      </c>
      <c r="D2876" s="85" t="s">
        <v>76</v>
      </c>
      <c r="E2876" s="85">
        <v>9</v>
      </c>
      <c r="F2876" s="85">
        <v>2</v>
      </c>
      <c r="G2876" s="85">
        <f>--(F2876&lt;=Estimator!$B$7)</f>
        <v>1</v>
      </c>
      <c r="H2876" s="86">
        <f>SUMIFS('Climate Data'!$G$7:$G$366,'Climate Data'!$A$7:$A$366,Estimator!$B$4,'Climate Data'!$B$7:$B$366,C2876)</f>
        <v>0.23333333333333334</v>
      </c>
      <c r="I2876" s="87">
        <f>SUMIFS('Climate Data'!$H$7:$H$366,'Climate Data'!$A$7:$A$366,Estimator!$B$4,'Climate Data'!$B$7:$B$366,C2876)</f>
        <v>6.4428571428571431</v>
      </c>
      <c r="J2876" s="86">
        <f>SUMIFS('Wind Proxy'!$H$8:$H$19,'Wind Proxy'!$A$8:$A$19,Estimator!$B$4,'Wind Proxy'!$B$8:$B$19,C2876)</f>
        <v>0</v>
      </c>
    </row>
    <row r="2877" spans="1:10" ht="14.4">
      <c r="A2877" s="84">
        <v>48528</v>
      </c>
      <c r="B2877" s="85">
        <v>2032</v>
      </c>
      <c r="C2877" s="85">
        <v>11</v>
      </c>
      <c r="D2877" s="85" t="s">
        <v>76</v>
      </c>
      <c r="E2877" s="85">
        <v>10</v>
      </c>
      <c r="F2877" s="85">
        <v>3</v>
      </c>
      <c r="G2877" s="85">
        <f>--(F2877&lt;=Estimator!$B$7)</f>
        <v>1</v>
      </c>
      <c r="H2877" s="86">
        <f>SUMIFS('Climate Data'!$G$7:$G$366,'Climate Data'!$A$7:$A$366,Estimator!$B$4,'Climate Data'!$B$7:$B$366,C2877)</f>
        <v>0.23333333333333334</v>
      </c>
      <c r="I2877" s="87">
        <f>SUMIFS('Climate Data'!$H$7:$H$366,'Climate Data'!$A$7:$A$366,Estimator!$B$4,'Climate Data'!$B$7:$B$366,C2877)</f>
        <v>6.4428571428571431</v>
      </c>
      <c r="J2877" s="86">
        <f>SUMIFS('Wind Proxy'!$H$8:$H$19,'Wind Proxy'!$A$8:$A$19,Estimator!$B$4,'Wind Proxy'!$B$8:$B$19,C2877)</f>
        <v>0</v>
      </c>
    </row>
    <row r="2878" spans="1:10" ht="14.4">
      <c r="A2878" s="84">
        <v>48529</v>
      </c>
      <c r="B2878" s="85">
        <v>2032</v>
      </c>
      <c r="C2878" s="85">
        <v>11</v>
      </c>
      <c r="D2878" s="85" t="s">
        <v>76</v>
      </c>
      <c r="E2878" s="85">
        <v>11</v>
      </c>
      <c r="F2878" s="85">
        <v>4</v>
      </c>
      <c r="G2878" s="85">
        <f>--(F2878&lt;=Estimator!$B$7)</f>
        <v>1</v>
      </c>
      <c r="H2878" s="86">
        <f>SUMIFS('Climate Data'!$G$7:$G$366,'Climate Data'!$A$7:$A$366,Estimator!$B$4,'Climate Data'!$B$7:$B$366,C2878)</f>
        <v>0.23333333333333334</v>
      </c>
      <c r="I2878" s="87">
        <f>SUMIFS('Climate Data'!$H$7:$H$366,'Climate Data'!$A$7:$A$366,Estimator!$B$4,'Climate Data'!$B$7:$B$366,C2878)</f>
        <v>6.4428571428571431</v>
      </c>
      <c r="J2878" s="86">
        <f>SUMIFS('Wind Proxy'!$H$8:$H$19,'Wind Proxy'!$A$8:$A$19,Estimator!$B$4,'Wind Proxy'!$B$8:$B$19,C2878)</f>
        <v>0</v>
      </c>
    </row>
    <row r="2879" spans="1:10" ht="14.4">
      <c r="A2879" s="84">
        <v>48530</v>
      </c>
      <c r="B2879" s="85">
        <v>2032</v>
      </c>
      <c r="C2879" s="85">
        <v>11</v>
      </c>
      <c r="D2879" s="85" t="s">
        <v>76</v>
      </c>
      <c r="E2879" s="85">
        <v>12</v>
      </c>
      <c r="F2879" s="85">
        <v>5</v>
      </c>
      <c r="G2879" s="85">
        <f>--(F2879&lt;=Estimator!$B$7)</f>
        <v>1</v>
      </c>
      <c r="H2879" s="86">
        <f>SUMIFS('Climate Data'!$G$7:$G$366,'Climate Data'!$A$7:$A$366,Estimator!$B$4,'Climate Data'!$B$7:$B$366,C2879)</f>
        <v>0.23333333333333334</v>
      </c>
      <c r="I2879" s="87">
        <f>SUMIFS('Climate Data'!$H$7:$H$366,'Climate Data'!$A$7:$A$366,Estimator!$B$4,'Climate Data'!$B$7:$B$366,C2879)</f>
        <v>6.4428571428571431</v>
      </c>
      <c r="J2879" s="86">
        <f>SUMIFS('Wind Proxy'!$H$8:$H$19,'Wind Proxy'!$A$8:$A$19,Estimator!$B$4,'Wind Proxy'!$B$8:$B$19,C2879)</f>
        <v>0</v>
      </c>
    </row>
    <row r="2880" spans="1:10" ht="14.4">
      <c r="A2880" s="84">
        <v>48531</v>
      </c>
      <c r="B2880" s="85">
        <v>2032</v>
      </c>
      <c r="C2880" s="85">
        <v>11</v>
      </c>
      <c r="D2880" s="85" t="s">
        <v>76</v>
      </c>
      <c r="E2880" s="85">
        <v>13</v>
      </c>
      <c r="F2880" s="85">
        <v>6</v>
      </c>
      <c r="G2880" s="85">
        <f>--(F2880&lt;=Estimator!$B$7)</f>
        <v>0</v>
      </c>
      <c r="H2880" s="86">
        <f>SUMIFS('Climate Data'!$G$7:$G$366,'Climate Data'!$A$7:$A$366,Estimator!$B$4,'Climate Data'!$B$7:$B$366,C2880)</f>
        <v>0.23333333333333334</v>
      </c>
      <c r="I2880" s="87">
        <f>SUMIFS('Climate Data'!$H$7:$H$366,'Climate Data'!$A$7:$A$366,Estimator!$B$4,'Climate Data'!$B$7:$B$366,C2880)</f>
        <v>6.4428571428571431</v>
      </c>
      <c r="J2880" s="86">
        <f>SUMIFS('Wind Proxy'!$H$8:$H$19,'Wind Proxy'!$A$8:$A$19,Estimator!$B$4,'Wind Proxy'!$B$8:$B$19,C2880)</f>
        <v>0</v>
      </c>
    </row>
    <row r="2881" spans="1:10" ht="14.4">
      <c r="A2881" s="84">
        <v>48532</v>
      </c>
      <c r="B2881" s="85">
        <v>2032</v>
      </c>
      <c r="C2881" s="85">
        <v>11</v>
      </c>
      <c r="D2881" s="85" t="s">
        <v>76</v>
      </c>
      <c r="E2881" s="85">
        <v>14</v>
      </c>
      <c r="F2881" s="85">
        <v>7</v>
      </c>
      <c r="G2881" s="85">
        <f>--(F2881&lt;=Estimator!$B$7)</f>
        <v>0</v>
      </c>
      <c r="H2881" s="86">
        <f>SUMIFS('Climate Data'!$G$7:$G$366,'Climate Data'!$A$7:$A$366,Estimator!$B$4,'Climate Data'!$B$7:$B$366,C2881)</f>
        <v>0.23333333333333334</v>
      </c>
      <c r="I2881" s="87">
        <f>SUMIFS('Climate Data'!$H$7:$H$366,'Climate Data'!$A$7:$A$366,Estimator!$B$4,'Climate Data'!$B$7:$B$366,C2881)</f>
        <v>6.4428571428571431</v>
      </c>
      <c r="J2881" s="86">
        <f>SUMIFS('Wind Proxy'!$H$8:$H$19,'Wind Proxy'!$A$8:$A$19,Estimator!$B$4,'Wind Proxy'!$B$8:$B$19,C2881)</f>
        <v>0</v>
      </c>
    </row>
    <row r="2882" spans="1:10" ht="14.4">
      <c r="A2882" s="84">
        <v>48533</v>
      </c>
      <c r="B2882" s="85">
        <v>2032</v>
      </c>
      <c r="C2882" s="85">
        <v>11</v>
      </c>
      <c r="D2882" s="85" t="s">
        <v>76</v>
      </c>
      <c r="E2882" s="85">
        <v>15</v>
      </c>
      <c r="F2882" s="85">
        <v>1</v>
      </c>
      <c r="G2882" s="85">
        <f>--(F2882&lt;=Estimator!$B$7)</f>
        <v>1</v>
      </c>
      <c r="H2882" s="86">
        <f>SUMIFS('Climate Data'!$G$7:$G$366,'Climate Data'!$A$7:$A$366,Estimator!$B$4,'Climate Data'!$B$7:$B$366,C2882)</f>
        <v>0.23333333333333334</v>
      </c>
      <c r="I2882" s="87">
        <f>SUMIFS('Climate Data'!$H$7:$H$366,'Climate Data'!$A$7:$A$366,Estimator!$B$4,'Climate Data'!$B$7:$B$366,C2882)</f>
        <v>6.4428571428571431</v>
      </c>
      <c r="J2882" s="86">
        <f>SUMIFS('Wind Proxy'!$H$8:$H$19,'Wind Proxy'!$A$8:$A$19,Estimator!$B$4,'Wind Proxy'!$B$8:$B$19,C2882)</f>
        <v>0</v>
      </c>
    </row>
    <row r="2883" spans="1:10" ht="14.4">
      <c r="A2883" s="84">
        <v>48534</v>
      </c>
      <c r="B2883" s="85">
        <v>2032</v>
      </c>
      <c r="C2883" s="85">
        <v>11</v>
      </c>
      <c r="D2883" s="85" t="s">
        <v>76</v>
      </c>
      <c r="E2883" s="85">
        <v>16</v>
      </c>
      <c r="F2883" s="85">
        <v>2</v>
      </c>
      <c r="G2883" s="85">
        <f>--(F2883&lt;=Estimator!$B$7)</f>
        <v>1</v>
      </c>
      <c r="H2883" s="86">
        <f>SUMIFS('Climate Data'!$G$7:$G$366,'Climate Data'!$A$7:$A$366,Estimator!$B$4,'Climate Data'!$B$7:$B$366,C2883)</f>
        <v>0.23333333333333334</v>
      </c>
      <c r="I2883" s="87">
        <f>SUMIFS('Climate Data'!$H$7:$H$366,'Climate Data'!$A$7:$A$366,Estimator!$B$4,'Climate Data'!$B$7:$B$366,C2883)</f>
        <v>6.4428571428571431</v>
      </c>
      <c r="J2883" s="86">
        <f>SUMIFS('Wind Proxy'!$H$8:$H$19,'Wind Proxy'!$A$8:$A$19,Estimator!$B$4,'Wind Proxy'!$B$8:$B$19,C2883)</f>
        <v>0</v>
      </c>
    </row>
    <row r="2884" spans="1:10" ht="14.4">
      <c r="A2884" s="84">
        <v>48535</v>
      </c>
      <c r="B2884" s="85">
        <v>2032</v>
      </c>
      <c r="C2884" s="85">
        <v>11</v>
      </c>
      <c r="D2884" s="85" t="s">
        <v>76</v>
      </c>
      <c r="E2884" s="85">
        <v>17</v>
      </c>
      <c r="F2884" s="85">
        <v>3</v>
      </c>
      <c r="G2884" s="85">
        <f>--(F2884&lt;=Estimator!$B$7)</f>
        <v>1</v>
      </c>
      <c r="H2884" s="86">
        <f>SUMIFS('Climate Data'!$G$7:$G$366,'Climate Data'!$A$7:$A$366,Estimator!$B$4,'Climate Data'!$B$7:$B$366,C2884)</f>
        <v>0.23333333333333334</v>
      </c>
      <c r="I2884" s="87">
        <f>SUMIFS('Climate Data'!$H$7:$H$366,'Climate Data'!$A$7:$A$366,Estimator!$B$4,'Climate Data'!$B$7:$B$366,C2884)</f>
        <v>6.4428571428571431</v>
      </c>
      <c r="J2884" s="86">
        <f>SUMIFS('Wind Proxy'!$H$8:$H$19,'Wind Proxy'!$A$8:$A$19,Estimator!$B$4,'Wind Proxy'!$B$8:$B$19,C2884)</f>
        <v>0</v>
      </c>
    </row>
    <row r="2885" spans="1:10" ht="14.4">
      <c r="A2885" s="84">
        <v>48536</v>
      </c>
      <c r="B2885" s="85">
        <v>2032</v>
      </c>
      <c r="C2885" s="85">
        <v>11</v>
      </c>
      <c r="D2885" s="85" t="s">
        <v>76</v>
      </c>
      <c r="E2885" s="85">
        <v>18</v>
      </c>
      <c r="F2885" s="85">
        <v>4</v>
      </c>
      <c r="G2885" s="85">
        <f>--(F2885&lt;=Estimator!$B$7)</f>
        <v>1</v>
      </c>
      <c r="H2885" s="86">
        <f>SUMIFS('Climate Data'!$G$7:$G$366,'Climate Data'!$A$7:$A$366,Estimator!$B$4,'Climate Data'!$B$7:$B$366,C2885)</f>
        <v>0.23333333333333334</v>
      </c>
      <c r="I2885" s="87">
        <f>SUMIFS('Climate Data'!$H$7:$H$366,'Climate Data'!$A$7:$A$366,Estimator!$B$4,'Climate Data'!$B$7:$B$366,C2885)</f>
        <v>6.4428571428571431</v>
      </c>
      <c r="J2885" s="86">
        <f>SUMIFS('Wind Proxy'!$H$8:$H$19,'Wind Proxy'!$A$8:$A$19,Estimator!$B$4,'Wind Proxy'!$B$8:$B$19,C2885)</f>
        <v>0</v>
      </c>
    </row>
    <row r="2886" spans="1:10" ht="14.4">
      <c r="A2886" s="84">
        <v>48537</v>
      </c>
      <c r="B2886" s="85">
        <v>2032</v>
      </c>
      <c r="C2886" s="85">
        <v>11</v>
      </c>
      <c r="D2886" s="85" t="s">
        <v>76</v>
      </c>
      <c r="E2886" s="85">
        <v>19</v>
      </c>
      <c r="F2886" s="85">
        <v>5</v>
      </c>
      <c r="G2886" s="85">
        <f>--(F2886&lt;=Estimator!$B$7)</f>
        <v>1</v>
      </c>
      <c r="H2886" s="86">
        <f>SUMIFS('Climate Data'!$G$7:$G$366,'Climate Data'!$A$7:$A$366,Estimator!$B$4,'Climate Data'!$B$7:$B$366,C2886)</f>
        <v>0.23333333333333334</v>
      </c>
      <c r="I2886" s="87">
        <f>SUMIFS('Climate Data'!$H$7:$H$366,'Climate Data'!$A$7:$A$366,Estimator!$B$4,'Climate Data'!$B$7:$B$366,C2886)</f>
        <v>6.4428571428571431</v>
      </c>
      <c r="J2886" s="86">
        <f>SUMIFS('Wind Proxy'!$H$8:$H$19,'Wind Proxy'!$A$8:$A$19,Estimator!$B$4,'Wind Proxy'!$B$8:$B$19,C2886)</f>
        <v>0</v>
      </c>
    </row>
    <row r="2887" spans="1:10" ht="14.4">
      <c r="A2887" s="84">
        <v>48538</v>
      </c>
      <c r="B2887" s="85">
        <v>2032</v>
      </c>
      <c r="C2887" s="85">
        <v>11</v>
      </c>
      <c r="D2887" s="85" t="s">
        <v>76</v>
      </c>
      <c r="E2887" s="85">
        <v>20</v>
      </c>
      <c r="F2887" s="85">
        <v>6</v>
      </c>
      <c r="G2887" s="85">
        <f>--(F2887&lt;=Estimator!$B$7)</f>
        <v>0</v>
      </c>
      <c r="H2887" s="86">
        <f>SUMIFS('Climate Data'!$G$7:$G$366,'Climate Data'!$A$7:$A$366,Estimator!$B$4,'Climate Data'!$B$7:$B$366,C2887)</f>
        <v>0.23333333333333334</v>
      </c>
      <c r="I2887" s="87">
        <f>SUMIFS('Climate Data'!$H$7:$H$366,'Climate Data'!$A$7:$A$366,Estimator!$B$4,'Climate Data'!$B$7:$B$366,C2887)</f>
        <v>6.4428571428571431</v>
      </c>
      <c r="J2887" s="86">
        <f>SUMIFS('Wind Proxy'!$H$8:$H$19,'Wind Proxy'!$A$8:$A$19,Estimator!$B$4,'Wind Proxy'!$B$8:$B$19,C2887)</f>
        <v>0</v>
      </c>
    </row>
    <row r="2888" spans="1:10" ht="14.4">
      <c r="A2888" s="84">
        <v>48539</v>
      </c>
      <c r="B2888" s="85">
        <v>2032</v>
      </c>
      <c r="C2888" s="85">
        <v>11</v>
      </c>
      <c r="D2888" s="85" t="s">
        <v>76</v>
      </c>
      <c r="E2888" s="85">
        <v>21</v>
      </c>
      <c r="F2888" s="85">
        <v>7</v>
      </c>
      <c r="G2888" s="85">
        <f>--(F2888&lt;=Estimator!$B$7)</f>
        <v>0</v>
      </c>
      <c r="H2888" s="86">
        <f>SUMIFS('Climate Data'!$G$7:$G$366,'Climate Data'!$A$7:$A$366,Estimator!$B$4,'Climate Data'!$B$7:$B$366,C2888)</f>
        <v>0.23333333333333334</v>
      </c>
      <c r="I2888" s="87">
        <f>SUMIFS('Climate Data'!$H$7:$H$366,'Climate Data'!$A$7:$A$366,Estimator!$B$4,'Climate Data'!$B$7:$B$366,C2888)</f>
        <v>6.4428571428571431</v>
      </c>
      <c r="J2888" s="86">
        <f>SUMIFS('Wind Proxy'!$H$8:$H$19,'Wind Proxy'!$A$8:$A$19,Estimator!$B$4,'Wind Proxy'!$B$8:$B$19,C2888)</f>
        <v>0</v>
      </c>
    </row>
    <row r="2889" spans="1:10" ht="14.4">
      <c r="A2889" s="84">
        <v>48540</v>
      </c>
      <c r="B2889" s="85">
        <v>2032</v>
      </c>
      <c r="C2889" s="85">
        <v>11</v>
      </c>
      <c r="D2889" s="85" t="s">
        <v>76</v>
      </c>
      <c r="E2889" s="85">
        <v>22</v>
      </c>
      <c r="F2889" s="85">
        <v>1</v>
      </c>
      <c r="G2889" s="85">
        <f>--(F2889&lt;=Estimator!$B$7)</f>
        <v>1</v>
      </c>
      <c r="H2889" s="86">
        <f>SUMIFS('Climate Data'!$G$7:$G$366,'Climate Data'!$A$7:$A$366,Estimator!$B$4,'Climate Data'!$B$7:$B$366,C2889)</f>
        <v>0.23333333333333334</v>
      </c>
      <c r="I2889" s="87">
        <f>SUMIFS('Climate Data'!$H$7:$H$366,'Climate Data'!$A$7:$A$366,Estimator!$B$4,'Climate Data'!$B$7:$B$366,C2889)</f>
        <v>6.4428571428571431</v>
      </c>
      <c r="J2889" s="86">
        <f>SUMIFS('Wind Proxy'!$H$8:$H$19,'Wind Proxy'!$A$8:$A$19,Estimator!$B$4,'Wind Proxy'!$B$8:$B$19,C2889)</f>
        <v>0</v>
      </c>
    </row>
    <row r="2890" spans="1:10" ht="14.4">
      <c r="A2890" s="84">
        <v>48541</v>
      </c>
      <c r="B2890" s="85">
        <v>2032</v>
      </c>
      <c r="C2890" s="85">
        <v>11</v>
      </c>
      <c r="D2890" s="85" t="s">
        <v>76</v>
      </c>
      <c r="E2890" s="85">
        <v>23</v>
      </c>
      <c r="F2890" s="85">
        <v>2</v>
      </c>
      <c r="G2890" s="85">
        <f>--(F2890&lt;=Estimator!$B$7)</f>
        <v>1</v>
      </c>
      <c r="H2890" s="86">
        <f>SUMIFS('Climate Data'!$G$7:$G$366,'Climate Data'!$A$7:$A$366,Estimator!$B$4,'Climate Data'!$B$7:$B$366,C2890)</f>
        <v>0.23333333333333334</v>
      </c>
      <c r="I2890" s="87">
        <f>SUMIFS('Climate Data'!$H$7:$H$366,'Climate Data'!$A$7:$A$366,Estimator!$B$4,'Climate Data'!$B$7:$B$366,C2890)</f>
        <v>6.4428571428571431</v>
      </c>
      <c r="J2890" s="86">
        <f>SUMIFS('Wind Proxy'!$H$8:$H$19,'Wind Proxy'!$A$8:$A$19,Estimator!$B$4,'Wind Proxy'!$B$8:$B$19,C2890)</f>
        <v>0</v>
      </c>
    </row>
    <row r="2891" spans="1:10" ht="14.4">
      <c r="A2891" s="84">
        <v>48542</v>
      </c>
      <c r="B2891" s="85">
        <v>2032</v>
      </c>
      <c r="C2891" s="85">
        <v>11</v>
      </c>
      <c r="D2891" s="85" t="s">
        <v>76</v>
      </c>
      <c r="E2891" s="85">
        <v>24</v>
      </c>
      <c r="F2891" s="85">
        <v>3</v>
      </c>
      <c r="G2891" s="85">
        <f>--(F2891&lt;=Estimator!$B$7)</f>
        <v>1</v>
      </c>
      <c r="H2891" s="86">
        <f>SUMIFS('Climate Data'!$G$7:$G$366,'Climate Data'!$A$7:$A$366,Estimator!$B$4,'Climate Data'!$B$7:$B$366,C2891)</f>
        <v>0.23333333333333334</v>
      </c>
      <c r="I2891" s="87">
        <f>SUMIFS('Climate Data'!$H$7:$H$366,'Climate Data'!$A$7:$A$366,Estimator!$B$4,'Climate Data'!$B$7:$B$366,C2891)</f>
        <v>6.4428571428571431</v>
      </c>
      <c r="J2891" s="86">
        <f>SUMIFS('Wind Proxy'!$H$8:$H$19,'Wind Proxy'!$A$8:$A$19,Estimator!$B$4,'Wind Proxy'!$B$8:$B$19,C2891)</f>
        <v>0</v>
      </c>
    </row>
    <row r="2892" spans="1:10" ht="14.4">
      <c r="A2892" s="84">
        <v>48543</v>
      </c>
      <c r="B2892" s="85">
        <v>2032</v>
      </c>
      <c r="C2892" s="85">
        <v>11</v>
      </c>
      <c r="D2892" s="85" t="s">
        <v>76</v>
      </c>
      <c r="E2892" s="85">
        <v>25</v>
      </c>
      <c r="F2892" s="85">
        <v>4</v>
      </c>
      <c r="G2892" s="85">
        <f>--(F2892&lt;=Estimator!$B$7)</f>
        <v>1</v>
      </c>
      <c r="H2892" s="86">
        <f>SUMIFS('Climate Data'!$G$7:$G$366,'Climate Data'!$A$7:$A$366,Estimator!$B$4,'Climate Data'!$B$7:$B$366,C2892)</f>
        <v>0.23333333333333334</v>
      </c>
      <c r="I2892" s="87">
        <f>SUMIFS('Climate Data'!$H$7:$H$366,'Climate Data'!$A$7:$A$366,Estimator!$B$4,'Climate Data'!$B$7:$B$366,C2892)</f>
        <v>6.4428571428571431</v>
      </c>
      <c r="J2892" s="86">
        <f>SUMIFS('Wind Proxy'!$H$8:$H$19,'Wind Proxy'!$A$8:$A$19,Estimator!$B$4,'Wind Proxy'!$B$8:$B$19,C2892)</f>
        <v>0</v>
      </c>
    </row>
    <row r="2893" spans="1:10" ht="14.4">
      <c r="A2893" s="84">
        <v>48544</v>
      </c>
      <c r="B2893" s="85">
        <v>2032</v>
      </c>
      <c r="C2893" s="85">
        <v>11</v>
      </c>
      <c r="D2893" s="85" t="s">
        <v>76</v>
      </c>
      <c r="E2893" s="85">
        <v>26</v>
      </c>
      <c r="F2893" s="85">
        <v>5</v>
      </c>
      <c r="G2893" s="85">
        <f>--(F2893&lt;=Estimator!$B$7)</f>
        <v>1</v>
      </c>
      <c r="H2893" s="86">
        <f>SUMIFS('Climate Data'!$G$7:$G$366,'Climate Data'!$A$7:$A$366,Estimator!$B$4,'Climate Data'!$B$7:$B$366,C2893)</f>
        <v>0.23333333333333334</v>
      </c>
      <c r="I2893" s="87">
        <f>SUMIFS('Climate Data'!$H$7:$H$366,'Climate Data'!$A$7:$A$366,Estimator!$B$4,'Climate Data'!$B$7:$B$366,C2893)</f>
        <v>6.4428571428571431</v>
      </c>
      <c r="J2893" s="86">
        <f>SUMIFS('Wind Proxy'!$H$8:$H$19,'Wind Proxy'!$A$8:$A$19,Estimator!$B$4,'Wind Proxy'!$B$8:$B$19,C2893)</f>
        <v>0</v>
      </c>
    </row>
    <row r="2894" spans="1:10" ht="14.4">
      <c r="A2894" s="84">
        <v>48545</v>
      </c>
      <c r="B2894" s="85">
        <v>2032</v>
      </c>
      <c r="C2894" s="85">
        <v>11</v>
      </c>
      <c r="D2894" s="85" t="s">
        <v>76</v>
      </c>
      <c r="E2894" s="85">
        <v>27</v>
      </c>
      <c r="F2894" s="85">
        <v>6</v>
      </c>
      <c r="G2894" s="85">
        <f>--(F2894&lt;=Estimator!$B$7)</f>
        <v>0</v>
      </c>
      <c r="H2894" s="86">
        <f>SUMIFS('Climate Data'!$G$7:$G$366,'Climate Data'!$A$7:$A$366,Estimator!$B$4,'Climate Data'!$B$7:$B$366,C2894)</f>
        <v>0.23333333333333334</v>
      </c>
      <c r="I2894" s="87">
        <f>SUMIFS('Climate Data'!$H$7:$H$366,'Climate Data'!$A$7:$A$366,Estimator!$B$4,'Climate Data'!$B$7:$B$366,C2894)</f>
        <v>6.4428571428571431</v>
      </c>
      <c r="J2894" s="86">
        <f>SUMIFS('Wind Proxy'!$H$8:$H$19,'Wind Proxy'!$A$8:$A$19,Estimator!$B$4,'Wind Proxy'!$B$8:$B$19,C2894)</f>
        <v>0</v>
      </c>
    </row>
    <row r="2895" spans="1:10" ht="14.4">
      <c r="A2895" s="84">
        <v>48546</v>
      </c>
      <c r="B2895" s="85">
        <v>2032</v>
      </c>
      <c r="C2895" s="85">
        <v>11</v>
      </c>
      <c r="D2895" s="85" t="s">
        <v>76</v>
      </c>
      <c r="E2895" s="85">
        <v>28</v>
      </c>
      <c r="F2895" s="85">
        <v>7</v>
      </c>
      <c r="G2895" s="85">
        <f>--(F2895&lt;=Estimator!$B$7)</f>
        <v>0</v>
      </c>
      <c r="H2895" s="86">
        <f>SUMIFS('Climate Data'!$G$7:$G$366,'Climate Data'!$A$7:$A$366,Estimator!$B$4,'Climate Data'!$B$7:$B$366,C2895)</f>
        <v>0.23333333333333334</v>
      </c>
      <c r="I2895" s="87">
        <f>SUMIFS('Climate Data'!$H$7:$H$366,'Climate Data'!$A$7:$A$366,Estimator!$B$4,'Climate Data'!$B$7:$B$366,C2895)</f>
        <v>6.4428571428571431</v>
      </c>
      <c r="J2895" s="86">
        <f>SUMIFS('Wind Proxy'!$H$8:$H$19,'Wind Proxy'!$A$8:$A$19,Estimator!$B$4,'Wind Proxy'!$B$8:$B$19,C2895)</f>
        <v>0</v>
      </c>
    </row>
    <row r="2896" spans="1:10" ht="14.4">
      <c r="A2896" s="84">
        <v>48547</v>
      </c>
      <c r="B2896" s="85">
        <v>2032</v>
      </c>
      <c r="C2896" s="85">
        <v>11</v>
      </c>
      <c r="D2896" s="85" t="s">
        <v>76</v>
      </c>
      <c r="E2896" s="85">
        <v>29</v>
      </c>
      <c r="F2896" s="85">
        <v>1</v>
      </c>
      <c r="G2896" s="85">
        <f>--(F2896&lt;=Estimator!$B$7)</f>
        <v>1</v>
      </c>
      <c r="H2896" s="86">
        <f>SUMIFS('Climate Data'!$G$7:$G$366,'Climate Data'!$A$7:$A$366,Estimator!$B$4,'Climate Data'!$B$7:$B$366,C2896)</f>
        <v>0.23333333333333334</v>
      </c>
      <c r="I2896" s="87">
        <f>SUMIFS('Climate Data'!$H$7:$H$366,'Climate Data'!$A$7:$A$366,Estimator!$B$4,'Climate Data'!$B$7:$B$366,C2896)</f>
        <v>6.4428571428571431</v>
      </c>
      <c r="J2896" s="86">
        <f>SUMIFS('Wind Proxy'!$H$8:$H$19,'Wind Proxy'!$A$8:$A$19,Estimator!$B$4,'Wind Proxy'!$B$8:$B$19,C2896)</f>
        <v>0</v>
      </c>
    </row>
    <row r="2897" spans="1:10" ht="14.4">
      <c r="A2897" s="84">
        <v>48548</v>
      </c>
      <c r="B2897" s="85">
        <v>2032</v>
      </c>
      <c r="C2897" s="85">
        <v>11</v>
      </c>
      <c r="D2897" s="85" t="s">
        <v>76</v>
      </c>
      <c r="E2897" s="85">
        <v>30</v>
      </c>
      <c r="F2897" s="85">
        <v>2</v>
      </c>
      <c r="G2897" s="85">
        <f>--(F2897&lt;=Estimator!$B$7)</f>
        <v>1</v>
      </c>
      <c r="H2897" s="86">
        <f>SUMIFS('Climate Data'!$G$7:$G$366,'Climate Data'!$A$7:$A$366,Estimator!$B$4,'Climate Data'!$B$7:$B$366,C2897)</f>
        <v>0.23333333333333334</v>
      </c>
      <c r="I2897" s="87">
        <f>SUMIFS('Climate Data'!$H$7:$H$366,'Climate Data'!$A$7:$A$366,Estimator!$B$4,'Climate Data'!$B$7:$B$366,C2897)</f>
        <v>6.4428571428571431</v>
      </c>
      <c r="J2897" s="86">
        <f>SUMIFS('Wind Proxy'!$H$8:$H$19,'Wind Proxy'!$A$8:$A$19,Estimator!$B$4,'Wind Proxy'!$B$8:$B$19,C2897)</f>
        <v>0</v>
      </c>
    </row>
    <row r="2898" spans="1:10" ht="14.4">
      <c r="A2898" s="84">
        <v>48549</v>
      </c>
      <c r="B2898" s="85">
        <v>2032</v>
      </c>
      <c r="C2898" s="85">
        <v>12</v>
      </c>
      <c r="D2898" s="85" t="s">
        <v>77</v>
      </c>
      <c r="E2898" s="85">
        <v>1</v>
      </c>
      <c r="F2898" s="85">
        <v>3</v>
      </c>
      <c r="G2898" s="85">
        <f>--(F2898&lt;=Estimator!$B$7)</f>
        <v>1</v>
      </c>
      <c r="H2898" s="86">
        <f>SUMIFS('Climate Data'!$G$7:$G$366,'Climate Data'!$A$7:$A$366,Estimator!$B$4,'Climate Data'!$B$7:$B$366,C2898)</f>
        <v>0.22688172043010751</v>
      </c>
      <c r="I2898" s="87">
        <f>SUMIFS('Climate Data'!$H$7:$H$366,'Climate Data'!$A$7:$A$366,Estimator!$B$4,'Climate Data'!$B$7:$B$366,C2898)</f>
        <v>6.7962085308056865</v>
      </c>
      <c r="J2898" s="86">
        <f>SUMIFS('Wind Proxy'!$H$8:$H$19,'Wind Proxy'!$A$8:$A$19,Estimator!$B$4,'Wind Proxy'!$B$8:$B$19,C2898)</f>
        <v>0</v>
      </c>
    </row>
    <row r="2899" spans="1:10" ht="14.4">
      <c r="A2899" s="84">
        <v>48550</v>
      </c>
      <c r="B2899" s="85">
        <v>2032</v>
      </c>
      <c r="C2899" s="85">
        <v>12</v>
      </c>
      <c r="D2899" s="85" t="s">
        <v>77</v>
      </c>
      <c r="E2899" s="85">
        <v>2</v>
      </c>
      <c r="F2899" s="85">
        <v>4</v>
      </c>
      <c r="G2899" s="85">
        <f>--(F2899&lt;=Estimator!$B$7)</f>
        <v>1</v>
      </c>
      <c r="H2899" s="86">
        <f>SUMIFS('Climate Data'!$G$7:$G$366,'Climate Data'!$A$7:$A$366,Estimator!$B$4,'Climate Data'!$B$7:$B$366,C2899)</f>
        <v>0.22688172043010751</v>
      </c>
      <c r="I2899" s="87">
        <f>SUMIFS('Climate Data'!$H$7:$H$366,'Climate Data'!$A$7:$A$366,Estimator!$B$4,'Climate Data'!$B$7:$B$366,C2899)</f>
        <v>6.7962085308056865</v>
      </c>
      <c r="J2899" s="86">
        <f>SUMIFS('Wind Proxy'!$H$8:$H$19,'Wind Proxy'!$A$8:$A$19,Estimator!$B$4,'Wind Proxy'!$B$8:$B$19,C2899)</f>
        <v>0</v>
      </c>
    </row>
    <row r="2900" spans="1:10" ht="14.4">
      <c r="A2900" s="84">
        <v>48551</v>
      </c>
      <c r="B2900" s="85">
        <v>2032</v>
      </c>
      <c r="C2900" s="85">
        <v>12</v>
      </c>
      <c r="D2900" s="85" t="s">
        <v>77</v>
      </c>
      <c r="E2900" s="85">
        <v>3</v>
      </c>
      <c r="F2900" s="85">
        <v>5</v>
      </c>
      <c r="G2900" s="85">
        <f>--(F2900&lt;=Estimator!$B$7)</f>
        <v>1</v>
      </c>
      <c r="H2900" s="86">
        <f>SUMIFS('Climate Data'!$G$7:$G$366,'Climate Data'!$A$7:$A$366,Estimator!$B$4,'Climate Data'!$B$7:$B$366,C2900)</f>
        <v>0.22688172043010751</v>
      </c>
      <c r="I2900" s="87">
        <f>SUMIFS('Climate Data'!$H$7:$H$366,'Climate Data'!$A$7:$A$366,Estimator!$B$4,'Climate Data'!$B$7:$B$366,C2900)</f>
        <v>6.7962085308056865</v>
      </c>
      <c r="J2900" s="86">
        <f>SUMIFS('Wind Proxy'!$H$8:$H$19,'Wind Proxy'!$A$8:$A$19,Estimator!$B$4,'Wind Proxy'!$B$8:$B$19,C2900)</f>
        <v>0</v>
      </c>
    </row>
    <row r="2901" spans="1:10" ht="14.4">
      <c r="A2901" s="84">
        <v>48552</v>
      </c>
      <c r="B2901" s="85">
        <v>2032</v>
      </c>
      <c r="C2901" s="85">
        <v>12</v>
      </c>
      <c r="D2901" s="85" t="s">
        <v>77</v>
      </c>
      <c r="E2901" s="85">
        <v>4</v>
      </c>
      <c r="F2901" s="85">
        <v>6</v>
      </c>
      <c r="G2901" s="85">
        <f>--(F2901&lt;=Estimator!$B$7)</f>
        <v>0</v>
      </c>
      <c r="H2901" s="86">
        <f>SUMIFS('Climate Data'!$G$7:$G$366,'Climate Data'!$A$7:$A$366,Estimator!$B$4,'Climate Data'!$B$7:$B$366,C2901)</f>
        <v>0.22688172043010751</v>
      </c>
      <c r="I2901" s="87">
        <f>SUMIFS('Climate Data'!$H$7:$H$366,'Climate Data'!$A$7:$A$366,Estimator!$B$4,'Climate Data'!$B$7:$B$366,C2901)</f>
        <v>6.7962085308056865</v>
      </c>
      <c r="J2901" s="86">
        <f>SUMIFS('Wind Proxy'!$H$8:$H$19,'Wind Proxy'!$A$8:$A$19,Estimator!$B$4,'Wind Proxy'!$B$8:$B$19,C2901)</f>
        <v>0</v>
      </c>
    </row>
    <row r="2902" spans="1:10" ht="14.4">
      <c r="A2902" s="84">
        <v>48553</v>
      </c>
      <c r="B2902" s="85">
        <v>2032</v>
      </c>
      <c r="C2902" s="85">
        <v>12</v>
      </c>
      <c r="D2902" s="85" t="s">
        <v>77</v>
      </c>
      <c r="E2902" s="85">
        <v>5</v>
      </c>
      <c r="F2902" s="85">
        <v>7</v>
      </c>
      <c r="G2902" s="85">
        <f>--(F2902&lt;=Estimator!$B$7)</f>
        <v>0</v>
      </c>
      <c r="H2902" s="86">
        <f>SUMIFS('Climate Data'!$G$7:$G$366,'Climate Data'!$A$7:$A$366,Estimator!$B$4,'Climate Data'!$B$7:$B$366,C2902)</f>
        <v>0.22688172043010751</v>
      </c>
      <c r="I2902" s="87">
        <f>SUMIFS('Climate Data'!$H$7:$H$366,'Climate Data'!$A$7:$A$366,Estimator!$B$4,'Climate Data'!$B$7:$B$366,C2902)</f>
        <v>6.7962085308056865</v>
      </c>
      <c r="J2902" s="86">
        <f>SUMIFS('Wind Proxy'!$H$8:$H$19,'Wind Proxy'!$A$8:$A$19,Estimator!$B$4,'Wind Proxy'!$B$8:$B$19,C2902)</f>
        <v>0</v>
      </c>
    </row>
    <row r="2903" spans="1:10" ht="14.4">
      <c r="A2903" s="84">
        <v>48554</v>
      </c>
      <c r="B2903" s="85">
        <v>2032</v>
      </c>
      <c r="C2903" s="85">
        <v>12</v>
      </c>
      <c r="D2903" s="85" t="s">
        <v>77</v>
      </c>
      <c r="E2903" s="85">
        <v>6</v>
      </c>
      <c r="F2903" s="85">
        <v>1</v>
      </c>
      <c r="G2903" s="85">
        <f>--(F2903&lt;=Estimator!$B$7)</f>
        <v>1</v>
      </c>
      <c r="H2903" s="86">
        <f>SUMIFS('Climate Data'!$G$7:$G$366,'Climate Data'!$A$7:$A$366,Estimator!$B$4,'Climate Data'!$B$7:$B$366,C2903)</f>
        <v>0.22688172043010751</v>
      </c>
      <c r="I2903" s="87">
        <f>SUMIFS('Climate Data'!$H$7:$H$366,'Climate Data'!$A$7:$A$366,Estimator!$B$4,'Climate Data'!$B$7:$B$366,C2903)</f>
        <v>6.7962085308056865</v>
      </c>
      <c r="J2903" s="86">
        <f>SUMIFS('Wind Proxy'!$H$8:$H$19,'Wind Proxy'!$A$8:$A$19,Estimator!$B$4,'Wind Proxy'!$B$8:$B$19,C2903)</f>
        <v>0</v>
      </c>
    </row>
    <row r="2904" spans="1:10" ht="14.4">
      <c r="A2904" s="84">
        <v>48555</v>
      </c>
      <c r="B2904" s="85">
        <v>2032</v>
      </c>
      <c r="C2904" s="85">
        <v>12</v>
      </c>
      <c r="D2904" s="85" t="s">
        <v>77</v>
      </c>
      <c r="E2904" s="85">
        <v>7</v>
      </c>
      <c r="F2904" s="85">
        <v>2</v>
      </c>
      <c r="G2904" s="85">
        <f>--(F2904&lt;=Estimator!$B$7)</f>
        <v>1</v>
      </c>
      <c r="H2904" s="86">
        <f>SUMIFS('Climate Data'!$G$7:$G$366,'Climate Data'!$A$7:$A$366,Estimator!$B$4,'Climate Data'!$B$7:$B$366,C2904)</f>
        <v>0.22688172043010751</v>
      </c>
      <c r="I2904" s="87">
        <f>SUMIFS('Climate Data'!$H$7:$H$366,'Climate Data'!$A$7:$A$366,Estimator!$B$4,'Climate Data'!$B$7:$B$366,C2904)</f>
        <v>6.7962085308056865</v>
      </c>
      <c r="J2904" s="86">
        <f>SUMIFS('Wind Proxy'!$H$8:$H$19,'Wind Proxy'!$A$8:$A$19,Estimator!$B$4,'Wind Proxy'!$B$8:$B$19,C2904)</f>
        <v>0</v>
      </c>
    </row>
    <row r="2905" spans="1:10" ht="14.4">
      <c r="A2905" s="84">
        <v>48556</v>
      </c>
      <c r="B2905" s="85">
        <v>2032</v>
      </c>
      <c r="C2905" s="85">
        <v>12</v>
      </c>
      <c r="D2905" s="85" t="s">
        <v>77</v>
      </c>
      <c r="E2905" s="85">
        <v>8</v>
      </c>
      <c r="F2905" s="85">
        <v>3</v>
      </c>
      <c r="G2905" s="85">
        <f>--(F2905&lt;=Estimator!$B$7)</f>
        <v>1</v>
      </c>
      <c r="H2905" s="86">
        <f>SUMIFS('Climate Data'!$G$7:$G$366,'Climate Data'!$A$7:$A$366,Estimator!$B$4,'Climate Data'!$B$7:$B$366,C2905)</f>
        <v>0.22688172043010751</v>
      </c>
      <c r="I2905" s="87">
        <f>SUMIFS('Climate Data'!$H$7:$H$366,'Climate Data'!$A$7:$A$366,Estimator!$B$4,'Climate Data'!$B$7:$B$366,C2905)</f>
        <v>6.7962085308056865</v>
      </c>
      <c r="J2905" s="86">
        <f>SUMIFS('Wind Proxy'!$H$8:$H$19,'Wind Proxy'!$A$8:$A$19,Estimator!$B$4,'Wind Proxy'!$B$8:$B$19,C2905)</f>
        <v>0</v>
      </c>
    </row>
    <row r="2906" spans="1:10" ht="14.4">
      <c r="A2906" s="84">
        <v>48557</v>
      </c>
      <c r="B2906" s="85">
        <v>2032</v>
      </c>
      <c r="C2906" s="85">
        <v>12</v>
      </c>
      <c r="D2906" s="85" t="s">
        <v>77</v>
      </c>
      <c r="E2906" s="85">
        <v>9</v>
      </c>
      <c r="F2906" s="85">
        <v>4</v>
      </c>
      <c r="G2906" s="85">
        <f>--(F2906&lt;=Estimator!$B$7)</f>
        <v>1</v>
      </c>
      <c r="H2906" s="86">
        <f>SUMIFS('Climate Data'!$G$7:$G$366,'Climate Data'!$A$7:$A$366,Estimator!$B$4,'Climate Data'!$B$7:$B$366,C2906)</f>
        <v>0.22688172043010751</v>
      </c>
      <c r="I2906" s="87">
        <f>SUMIFS('Climate Data'!$H$7:$H$366,'Climate Data'!$A$7:$A$366,Estimator!$B$4,'Climate Data'!$B$7:$B$366,C2906)</f>
        <v>6.7962085308056865</v>
      </c>
      <c r="J2906" s="86">
        <f>SUMIFS('Wind Proxy'!$H$8:$H$19,'Wind Proxy'!$A$8:$A$19,Estimator!$B$4,'Wind Proxy'!$B$8:$B$19,C2906)</f>
        <v>0</v>
      </c>
    </row>
    <row r="2907" spans="1:10" ht="14.4">
      <c r="A2907" s="84">
        <v>48558</v>
      </c>
      <c r="B2907" s="85">
        <v>2032</v>
      </c>
      <c r="C2907" s="85">
        <v>12</v>
      </c>
      <c r="D2907" s="85" t="s">
        <v>77</v>
      </c>
      <c r="E2907" s="85">
        <v>10</v>
      </c>
      <c r="F2907" s="85">
        <v>5</v>
      </c>
      <c r="G2907" s="85">
        <f>--(F2907&lt;=Estimator!$B$7)</f>
        <v>1</v>
      </c>
      <c r="H2907" s="86">
        <f>SUMIFS('Climate Data'!$G$7:$G$366,'Climate Data'!$A$7:$A$366,Estimator!$B$4,'Climate Data'!$B$7:$B$366,C2907)</f>
        <v>0.22688172043010751</v>
      </c>
      <c r="I2907" s="87">
        <f>SUMIFS('Climate Data'!$H$7:$H$366,'Climate Data'!$A$7:$A$366,Estimator!$B$4,'Climate Data'!$B$7:$B$366,C2907)</f>
        <v>6.7962085308056865</v>
      </c>
      <c r="J2907" s="86">
        <f>SUMIFS('Wind Proxy'!$H$8:$H$19,'Wind Proxy'!$A$8:$A$19,Estimator!$B$4,'Wind Proxy'!$B$8:$B$19,C2907)</f>
        <v>0</v>
      </c>
    </row>
    <row r="2908" spans="1:10" ht="14.4">
      <c r="A2908" s="84">
        <v>48559</v>
      </c>
      <c r="B2908" s="85">
        <v>2032</v>
      </c>
      <c r="C2908" s="85">
        <v>12</v>
      </c>
      <c r="D2908" s="85" t="s">
        <v>77</v>
      </c>
      <c r="E2908" s="85">
        <v>11</v>
      </c>
      <c r="F2908" s="85">
        <v>6</v>
      </c>
      <c r="G2908" s="85">
        <f>--(F2908&lt;=Estimator!$B$7)</f>
        <v>0</v>
      </c>
      <c r="H2908" s="86">
        <f>SUMIFS('Climate Data'!$G$7:$G$366,'Climate Data'!$A$7:$A$366,Estimator!$B$4,'Climate Data'!$B$7:$B$366,C2908)</f>
        <v>0.22688172043010751</v>
      </c>
      <c r="I2908" s="87">
        <f>SUMIFS('Climate Data'!$H$7:$H$366,'Climate Data'!$A$7:$A$366,Estimator!$B$4,'Climate Data'!$B$7:$B$366,C2908)</f>
        <v>6.7962085308056865</v>
      </c>
      <c r="J2908" s="86">
        <f>SUMIFS('Wind Proxy'!$H$8:$H$19,'Wind Proxy'!$A$8:$A$19,Estimator!$B$4,'Wind Proxy'!$B$8:$B$19,C2908)</f>
        <v>0</v>
      </c>
    </row>
    <row r="2909" spans="1:10" ht="14.4">
      <c r="A2909" s="84">
        <v>48560</v>
      </c>
      <c r="B2909" s="85">
        <v>2032</v>
      </c>
      <c r="C2909" s="85">
        <v>12</v>
      </c>
      <c r="D2909" s="85" t="s">
        <v>77</v>
      </c>
      <c r="E2909" s="85">
        <v>12</v>
      </c>
      <c r="F2909" s="85">
        <v>7</v>
      </c>
      <c r="G2909" s="85">
        <f>--(F2909&lt;=Estimator!$B$7)</f>
        <v>0</v>
      </c>
      <c r="H2909" s="86">
        <f>SUMIFS('Climate Data'!$G$7:$G$366,'Climate Data'!$A$7:$A$366,Estimator!$B$4,'Climate Data'!$B$7:$B$366,C2909)</f>
        <v>0.22688172043010751</v>
      </c>
      <c r="I2909" s="87">
        <f>SUMIFS('Climate Data'!$H$7:$H$366,'Climate Data'!$A$7:$A$366,Estimator!$B$4,'Climate Data'!$B$7:$B$366,C2909)</f>
        <v>6.7962085308056865</v>
      </c>
      <c r="J2909" s="86">
        <f>SUMIFS('Wind Proxy'!$H$8:$H$19,'Wind Proxy'!$A$8:$A$19,Estimator!$B$4,'Wind Proxy'!$B$8:$B$19,C2909)</f>
        <v>0</v>
      </c>
    </row>
    <row r="2910" spans="1:10" ht="14.4">
      <c r="A2910" s="84">
        <v>48561</v>
      </c>
      <c r="B2910" s="85">
        <v>2032</v>
      </c>
      <c r="C2910" s="85">
        <v>12</v>
      </c>
      <c r="D2910" s="85" t="s">
        <v>77</v>
      </c>
      <c r="E2910" s="85">
        <v>13</v>
      </c>
      <c r="F2910" s="85">
        <v>1</v>
      </c>
      <c r="G2910" s="85">
        <f>--(F2910&lt;=Estimator!$B$7)</f>
        <v>1</v>
      </c>
      <c r="H2910" s="86">
        <f>SUMIFS('Climate Data'!$G$7:$G$366,'Climate Data'!$A$7:$A$366,Estimator!$B$4,'Climate Data'!$B$7:$B$366,C2910)</f>
        <v>0.22688172043010751</v>
      </c>
      <c r="I2910" s="87">
        <f>SUMIFS('Climate Data'!$H$7:$H$366,'Climate Data'!$A$7:$A$366,Estimator!$B$4,'Climate Data'!$B$7:$B$366,C2910)</f>
        <v>6.7962085308056865</v>
      </c>
      <c r="J2910" s="86">
        <f>SUMIFS('Wind Proxy'!$H$8:$H$19,'Wind Proxy'!$A$8:$A$19,Estimator!$B$4,'Wind Proxy'!$B$8:$B$19,C2910)</f>
        <v>0</v>
      </c>
    </row>
    <row r="2911" spans="1:10" ht="14.4">
      <c r="A2911" s="84">
        <v>48562</v>
      </c>
      <c r="B2911" s="85">
        <v>2032</v>
      </c>
      <c r="C2911" s="85">
        <v>12</v>
      </c>
      <c r="D2911" s="85" t="s">
        <v>77</v>
      </c>
      <c r="E2911" s="85">
        <v>14</v>
      </c>
      <c r="F2911" s="85">
        <v>2</v>
      </c>
      <c r="G2911" s="85">
        <f>--(F2911&lt;=Estimator!$B$7)</f>
        <v>1</v>
      </c>
      <c r="H2911" s="86">
        <f>SUMIFS('Climate Data'!$G$7:$G$366,'Climate Data'!$A$7:$A$366,Estimator!$B$4,'Climate Data'!$B$7:$B$366,C2911)</f>
        <v>0.22688172043010751</v>
      </c>
      <c r="I2911" s="87">
        <f>SUMIFS('Climate Data'!$H$7:$H$366,'Climate Data'!$A$7:$A$366,Estimator!$B$4,'Climate Data'!$B$7:$B$366,C2911)</f>
        <v>6.7962085308056865</v>
      </c>
      <c r="J2911" s="86">
        <f>SUMIFS('Wind Proxy'!$H$8:$H$19,'Wind Proxy'!$A$8:$A$19,Estimator!$B$4,'Wind Proxy'!$B$8:$B$19,C2911)</f>
        <v>0</v>
      </c>
    </row>
    <row r="2912" spans="1:10" ht="14.4">
      <c r="A2912" s="84">
        <v>48563</v>
      </c>
      <c r="B2912" s="85">
        <v>2032</v>
      </c>
      <c r="C2912" s="85">
        <v>12</v>
      </c>
      <c r="D2912" s="85" t="s">
        <v>77</v>
      </c>
      <c r="E2912" s="85">
        <v>15</v>
      </c>
      <c r="F2912" s="85">
        <v>3</v>
      </c>
      <c r="G2912" s="85">
        <f>--(F2912&lt;=Estimator!$B$7)</f>
        <v>1</v>
      </c>
      <c r="H2912" s="86">
        <f>SUMIFS('Climate Data'!$G$7:$G$366,'Climate Data'!$A$7:$A$366,Estimator!$B$4,'Climate Data'!$B$7:$B$366,C2912)</f>
        <v>0.22688172043010751</v>
      </c>
      <c r="I2912" s="87">
        <f>SUMIFS('Climate Data'!$H$7:$H$366,'Climate Data'!$A$7:$A$366,Estimator!$B$4,'Climate Data'!$B$7:$B$366,C2912)</f>
        <v>6.7962085308056865</v>
      </c>
      <c r="J2912" s="86">
        <f>SUMIFS('Wind Proxy'!$H$8:$H$19,'Wind Proxy'!$A$8:$A$19,Estimator!$B$4,'Wind Proxy'!$B$8:$B$19,C2912)</f>
        <v>0</v>
      </c>
    </row>
    <row r="2913" spans="1:10" ht="14.4">
      <c r="A2913" s="84">
        <v>48564</v>
      </c>
      <c r="B2913" s="85">
        <v>2032</v>
      </c>
      <c r="C2913" s="85">
        <v>12</v>
      </c>
      <c r="D2913" s="85" t="s">
        <v>77</v>
      </c>
      <c r="E2913" s="85">
        <v>16</v>
      </c>
      <c r="F2913" s="85">
        <v>4</v>
      </c>
      <c r="G2913" s="85">
        <f>--(F2913&lt;=Estimator!$B$7)</f>
        <v>1</v>
      </c>
      <c r="H2913" s="86">
        <f>SUMIFS('Climate Data'!$G$7:$G$366,'Climate Data'!$A$7:$A$366,Estimator!$B$4,'Climate Data'!$B$7:$B$366,C2913)</f>
        <v>0.22688172043010751</v>
      </c>
      <c r="I2913" s="87">
        <f>SUMIFS('Climate Data'!$H$7:$H$366,'Climate Data'!$A$7:$A$366,Estimator!$B$4,'Climate Data'!$B$7:$B$366,C2913)</f>
        <v>6.7962085308056865</v>
      </c>
      <c r="J2913" s="86">
        <f>SUMIFS('Wind Proxy'!$H$8:$H$19,'Wind Proxy'!$A$8:$A$19,Estimator!$B$4,'Wind Proxy'!$B$8:$B$19,C2913)</f>
        <v>0</v>
      </c>
    </row>
    <row r="2914" spans="1:10" ht="14.4">
      <c r="A2914" s="84">
        <v>48565</v>
      </c>
      <c r="B2914" s="85">
        <v>2032</v>
      </c>
      <c r="C2914" s="85">
        <v>12</v>
      </c>
      <c r="D2914" s="85" t="s">
        <v>77</v>
      </c>
      <c r="E2914" s="85">
        <v>17</v>
      </c>
      <c r="F2914" s="85">
        <v>5</v>
      </c>
      <c r="G2914" s="85">
        <f>--(F2914&lt;=Estimator!$B$7)</f>
        <v>1</v>
      </c>
      <c r="H2914" s="86">
        <f>SUMIFS('Climate Data'!$G$7:$G$366,'Climate Data'!$A$7:$A$366,Estimator!$B$4,'Climate Data'!$B$7:$B$366,C2914)</f>
        <v>0.22688172043010751</v>
      </c>
      <c r="I2914" s="87">
        <f>SUMIFS('Climate Data'!$H$7:$H$366,'Climate Data'!$A$7:$A$366,Estimator!$B$4,'Climate Data'!$B$7:$B$366,C2914)</f>
        <v>6.7962085308056865</v>
      </c>
      <c r="J2914" s="86">
        <f>SUMIFS('Wind Proxy'!$H$8:$H$19,'Wind Proxy'!$A$8:$A$19,Estimator!$B$4,'Wind Proxy'!$B$8:$B$19,C2914)</f>
        <v>0</v>
      </c>
    </row>
    <row r="2915" spans="1:10" ht="14.4">
      <c r="A2915" s="84">
        <v>48566</v>
      </c>
      <c r="B2915" s="85">
        <v>2032</v>
      </c>
      <c r="C2915" s="85">
        <v>12</v>
      </c>
      <c r="D2915" s="85" t="s">
        <v>77</v>
      </c>
      <c r="E2915" s="85">
        <v>18</v>
      </c>
      <c r="F2915" s="85">
        <v>6</v>
      </c>
      <c r="G2915" s="85">
        <f>--(F2915&lt;=Estimator!$B$7)</f>
        <v>0</v>
      </c>
      <c r="H2915" s="86">
        <f>SUMIFS('Climate Data'!$G$7:$G$366,'Climate Data'!$A$7:$A$366,Estimator!$B$4,'Climate Data'!$B$7:$B$366,C2915)</f>
        <v>0.22688172043010751</v>
      </c>
      <c r="I2915" s="87">
        <f>SUMIFS('Climate Data'!$H$7:$H$366,'Climate Data'!$A$7:$A$366,Estimator!$B$4,'Climate Data'!$B$7:$B$366,C2915)</f>
        <v>6.7962085308056865</v>
      </c>
      <c r="J2915" s="86">
        <f>SUMIFS('Wind Proxy'!$H$8:$H$19,'Wind Proxy'!$A$8:$A$19,Estimator!$B$4,'Wind Proxy'!$B$8:$B$19,C2915)</f>
        <v>0</v>
      </c>
    </row>
    <row r="2916" spans="1:10" ht="14.4">
      <c r="A2916" s="84">
        <v>48567</v>
      </c>
      <c r="B2916" s="85">
        <v>2032</v>
      </c>
      <c r="C2916" s="85">
        <v>12</v>
      </c>
      <c r="D2916" s="85" t="s">
        <v>77</v>
      </c>
      <c r="E2916" s="85">
        <v>19</v>
      </c>
      <c r="F2916" s="85">
        <v>7</v>
      </c>
      <c r="G2916" s="85">
        <f>--(F2916&lt;=Estimator!$B$7)</f>
        <v>0</v>
      </c>
      <c r="H2916" s="86">
        <f>SUMIFS('Climate Data'!$G$7:$G$366,'Climate Data'!$A$7:$A$366,Estimator!$B$4,'Climate Data'!$B$7:$B$366,C2916)</f>
        <v>0.22688172043010751</v>
      </c>
      <c r="I2916" s="87">
        <f>SUMIFS('Climate Data'!$H$7:$H$366,'Climate Data'!$A$7:$A$366,Estimator!$B$4,'Climate Data'!$B$7:$B$366,C2916)</f>
        <v>6.7962085308056865</v>
      </c>
      <c r="J2916" s="86">
        <f>SUMIFS('Wind Proxy'!$H$8:$H$19,'Wind Proxy'!$A$8:$A$19,Estimator!$B$4,'Wind Proxy'!$B$8:$B$19,C2916)</f>
        <v>0</v>
      </c>
    </row>
    <row r="2917" spans="1:10" ht="14.4">
      <c r="A2917" s="84">
        <v>48568</v>
      </c>
      <c r="B2917" s="85">
        <v>2032</v>
      </c>
      <c r="C2917" s="85">
        <v>12</v>
      </c>
      <c r="D2917" s="85" t="s">
        <v>77</v>
      </c>
      <c r="E2917" s="85">
        <v>20</v>
      </c>
      <c r="F2917" s="85">
        <v>1</v>
      </c>
      <c r="G2917" s="85">
        <f>--(F2917&lt;=Estimator!$B$7)</f>
        <v>1</v>
      </c>
      <c r="H2917" s="86">
        <f>SUMIFS('Climate Data'!$G$7:$G$366,'Climate Data'!$A$7:$A$366,Estimator!$B$4,'Climate Data'!$B$7:$B$366,C2917)</f>
        <v>0.22688172043010751</v>
      </c>
      <c r="I2917" s="87">
        <f>SUMIFS('Climate Data'!$H$7:$H$366,'Climate Data'!$A$7:$A$366,Estimator!$B$4,'Climate Data'!$B$7:$B$366,C2917)</f>
        <v>6.7962085308056865</v>
      </c>
      <c r="J2917" s="86">
        <f>SUMIFS('Wind Proxy'!$H$8:$H$19,'Wind Proxy'!$A$8:$A$19,Estimator!$B$4,'Wind Proxy'!$B$8:$B$19,C2917)</f>
        <v>0</v>
      </c>
    </row>
    <row r="2918" spans="1:10" ht="14.4">
      <c r="A2918" s="84">
        <v>48569</v>
      </c>
      <c r="B2918" s="85">
        <v>2032</v>
      </c>
      <c r="C2918" s="85">
        <v>12</v>
      </c>
      <c r="D2918" s="85" t="s">
        <v>77</v>
      </c>
      <c r="E2918" s="85">
        <v>21</v>
      </c>
      <c r="F2918" s="85">
        <v>2</v>
      </c>
      <c r="G2918" s="85">
        <f>--(F2918&lt;=Estimator!$B$7)</f>
        <v>1</v>
      </c>
      <c r="H2918" s="86">
        <f>SUMIFS('Climate Data'!$G$7:$G$366,'Climate Data'!$A$7:$A$366,Estimator!$B$4,'Climate Data'!$B$7:$B$366,C2918)</f>
        <v>0.22688172043010751</v>
      </c>
      <c r="I2918" s="87">
        <f>SUMIFS('Climate Data'!$H$7:$H$366,'Climate Data'!$A$7:$A$366,Estimator!$B$4,'Climate Data'!$B$7:$B$366,C2918)</f>
        <v>6.7962085308056865</v>
      </c>
      <c r="J2918" s="86">
        <f>SUMIFS('Wind Proxy'!$H$8:$H$19,'Wind Proxy'!$A$8:$A$19,Estimator!$B$4,'Wind Proxy'!$B$8:$B$19,C2918)</f>
        <v>0</v>
      </c>
    </row>
    <row r="2919" spans="1:10" ht="14.4">
      <c r="A2919" s="84">
        <v>48570</v>
      </c>
      <c r="B2919" s="85">
        <v>2032</v>
      </c>
      <c r="C2919" s="85">
        <v>12</v>
      </c>
      <c r="D2919" s="85" t="s">
        <v>77</v>
      </c>
      <c r="E2919" s="85">
        <v>22</v>
      </c>
      <c r="F2919" s="85">
        <v>3</v>
      </c>
      <c r="G2919" s="85">
        <f>--(F2919&lt;=Estimator!$B$7)</f>
        <v>1</v>
      </c>
      <c r="H2919" s="86">
        <f>SUMIFS('Climate Data'!$G$7:$G$366,'Climate Data'!$A$7:$A$366,Estimator!$B$4,'Climate Data'!$B$7:$B$366,C2919)</f>
        <v>0.22688172043010751</v>
      </c>
      <c r="I2919" s="87">
        <f>SUMIFS('Climate Data'!$H$7:$H$366,'Climate Data'!$A$7:$A$366,Estimator!$B$4,'Climate Data'!$B$7:$B$366,C2919)</f>
        <v>6.7962085308056865</v>
      </c>
      <c r="J2919" s="86">
        <f>SUMIFS('Wind Proxy'!$H$8:$H$19,'Wind Proxy'!$A$8:$A$19,Estimator!$B$4,'Wind Proxy'!$B$8:$B$19,C2919)</f>
        <v>0</v>
      </c>
    </row>
    <row r="2920" spans="1:10" ht="14.4">
      <c r="A2920" s="84">
        <v>48571</v>
      </c>
      <c r="B2920" s="85">
        <v>2032</v>
      </c>
      <c r="C2920" s="85">
        <v>12</v>
      </c>
      <c r="D2920" s="85" t="s">
        <v>77</v>
      </c>
      <c r="E2920" s="85">
        <v>23</v>
      </c>
      <c r="F2920" s="85">
        <v>4</v>
      </c>
      <c r="G2920" s="85">
        <f>--(F2920&lt;=Estimator!$B$7)</f>
        <v>1</v>
      </c>
      <c r="H2920" s="86">
        <f>SUMIFS('Climate Data'!$G$7:$G$366,'Climate Data'!$A$7:$A$366,Estimator!$B$4,'Climate Data'!$B$7:$B$366,C2920)</f>
        <v>0.22688172043010751</v>
      </c>
      <c r="I2920" s="87">
        <f>SUMIFS('Climate Data'!$H$7:$H$366,'Climate Data'!$A$7:$A$366,Estimator!$B$4,'Climate Data'!$B$7:$B$366,C2920)</f>
        <v>6.7962085308056865</v>
      </c>
      <c r="J2920" s="86">
        <f>SUMIFS('Wind Proxy'!$H$8:$H$19,'Wind Proxy'!$A$8:$A$19,Estimator!$B$4,'Wind Proxy'!$B$8:$B$19,C2920)</f>
        <v>0</v>
      </c>
    </row>
    <row r="2921" spans="1:10" ht="14.4">
      <c r="A2921" s="84">
        <v>48572</v>
      </c>
      <c r="B2921" s="85">
        <v>2032</v>
      </c>
      <c r="C2921" s="85">
        <v>12</v>
      </c>
      <c r="D2921" s="85" t="s">
        <v>77</v>
      </c>
      <c r="E2921" s="85">
        <v>24</v>
      </c>
      <c r="F2921" s="85">
        <v>5</v>
      </c>
      <c r="G2921" s="85">
        <f>--(F2921&lt;=Estimator!$B$7)</f>
        <v>1</v>
      </c>
      <c r="H2921" s="86">
        <f>SUMIFS('Climate Data'!$G$7:$G$366,'Climate Data'!$A$7:$A$366,Estimator!$B$4,'Climate Data'!$B$7:$B$366,C2921)</f>
        <v>0.22688172043010751</v>
      </c>
      <c r="I2921" s="87">
        <f>SUMIFS('Climate Data'!$H$7:$H$366,'Climate Data'!$A$7:$A$366,Estimator!$B$4,'Climate Data'!$B$7:$B$366,C2921)</f>
        <v>6.7962085308056865</v>
      </c>
      <c r="J2921" s="86">
        <f>SUMIFS('Wind Proxy'!$H$8:$H$19,'Wind Proxy'!$A$8:$A$19,Estimator!$B$4,'Wind Proxy'!$B$8:$B$19,C2921)</f>
        <v>0</v>
      </c>
    </row>
    <row r="2922" spans="1:10" ht="14.4">
      <c r="A2922" s="84">
        <v>48573</v>
      </c>
      <c r="B2922" s="85">
        <v>2032</v>
      </c>
      <c r="C2922" s="85">
        <v>12</v>
      </c>
      <c r="D2922" s="85" t="s">
        <v>77</v>
      </c>
      <c r="E2922" s="85">
        <v>25</v>
      </c>
      <c r="F2922" s="85">
        <v>6</v>
      </c>
      <c r="G2922" s="85">
        <f>--(F2922&lt;=Estimator!$B$7)</f>
        <v>0</v>
      </c>
      <c r="H2922" s="86">
        <f>SUMIFS('Climate Data'!$G$7:$G$366,'Climate Data'!$A$7:$A$366,Estimator!$B$4,'Climate Data'!$B$7:$B$366,C2922)</f>
        <v>0.22688172043010751</v>
      </c>
      <c r="I2922" s="87">
        <f>SUMIFS('Climate Data'!$H$7:$H$366,'Climate Data'!$A$7:$A$366,Estimator!$B$4,'Climate Data'!$B$7:$B$366,C2922)</f>
        <v>6.7962085308056865</v>
      </c>
      <c r="J2922" s="86">
        <f>SUMIFS('Wind Proxy'!$H$8:$H$19,'Wind Proxy'!$A$8:$A$19,Estimator!$B$4,'Wind Proxy'!$B$8:$B$19,C2922)</f>
        <v>0</v>
      </c>
    </row>
    <row r="2923" spans="1:10" ht="14.4">
      <c r="A2923" s="84">
        <v>48574</v>
      </c>
      <c r="B2923" s="85">
        <v>2032</v>
      </c>
      <c r="C2923" s="85">
        <v>12</v>
      </c>
      <c r="D2923" s="85" t="s">
        <v>77</v>
      </c>
      <c r="E2923" s="85">
        <v>26</v>
      </c>
      <c r="F2923" s="85">
        <v>7</v>
      </c>
      <c r="G2923" s="85">
        <f>--(F2923&lt;=Estimator!$B$7)</f>
        <v>0</v>
      </c>
      <c r="H2923" s="86">
        <f>SUMIFS('Climate Data'!$G$7:$G$366,'Climate Data'!$A$7:$A$366,Estimator!$B$4,'Climate Data'!$B$7:$B$366,C2923)</f>
        <v>0.22688172043010751</v>
      </c>
      <c r="I2923" s="87">
        <f>SUMIFS('Climate Data'!$H$7:$H$366,'Climate Data'!$A$7:$A$366,Estimator!$B$4,'Climate Data'!$B$7:$B$366,C2923)</f>
        <v>6.7962085308056865</v>
      </c>
      <c r="J2923" s="86">
        <f>SUMIFS('Wind Proxy'!$H$8:$H$19,'Wind Proxy'!$A$8:$A$19,Estimator!$B$4,'Wind Proxy'!$B$8:$B$19,C2923)</f>
        <v>0</v>
      </c>
    </row>
    <row r="2924" spans="1:10" ht="14.4">
      <c r="A2924" s="84">
        <v>48575</v>
      </c>
      <c r="B2924" s="85">
        <v>2032</v>
      </c>
      <c r="C2924" s="85">
        <v>12</v>
      </c>
      <c r="D2924" s="85" t="s">
        <v>77</v>
      </c>
      <c r="E2924" s="85">
        <v>27</v>
      </c>
      <c r="F2924" s="85">
        <v>1</v>
      </c>
      <c r="G2924" s="85">
        <f>--(F2924&lt;=Estimator!$B$7)</f>
        <v>1</v>
      </c>
      <c r="H2924" s="86">
        <f>SUMIFS('Climate Data'!$G$7:$G$366,'Climate Data'!$A$7:$A$366,Estimator!$B$4,'Climate Data'!$B$7:$B$366,C2924)</f>
        <v>0.22688172043010751</v>
      </c>
      <c r="I2924" s="87">
        <f>SUMIFS('Climate Data'!$H$7:$H$366,'Climate Data'!$A$7:$A$366,Estimator!$B$4,'Climate Data'!$B$7:$B$366,C2924)</f>
        <v>6.7962085308056865</v>
      </c>
      <c r="J2924" s="86">
        <f>SUMIFS('Wind Proxy'!$H$8:$H$19,'Wind Proxy'!$A$8:$A$19,Estimator!$B$4,'Wind Proxy'!$B$8:$B$19,C2924)</f>
        <v>0</v>
      </c>
    </row>
    <row r="2925" spans="1:10" ht="14.4">
      <c r="A2925" s="84">
        <v>48576</v>
      </c>
      <c r="B2925" s="85">
        <v>2032</v>
      </c>
      <c r="C2925" s="85">
        <v>12</v>
      </c>
      <c r="D2925" s="85" t="s">
        <v>77</v>
      </c>
      <c r="E2925" s="85">
        <v>28</v>
      </c>
      <c r="F2925" s="85">
        <v>2</v>
      </c>
      <c r="G2925" s="85">
        <f>--(F2925&lt;=Estimator!$B$7)</f>
        <v>1</v>
      </c>
      <c r="H2925" s="86">
        <f>SUMIFS('Climate Data'!$G$7:$G$366,'Climate Data'!$A$7:$A$366,Estimator!$B$4,'Climate Data'!$B$7:$B$366,C2925)</f>
        <v>0.22688172043010751</v>
      </c>
      <c r="I2925" s="87">
        <f>SUMIFS('Climate Data'!$H$7:$H$366,'Climate Data'!$A$7:$A$366,Estimator!$B$4,'Climate Data'!$B$7:$B$366,C2925)</f>
        <v>6.7962085308056865</v>
      </c>
      <c r="J2925" s="86">
        <f>SUMIFS('Wind Proxy'!$H$8:$H$19,'Wind Proxy'!$A$8:$A$19,Estimator!$B$4,'Wind Proxy'!$B$8:$B$19,C2925)</f>
        <v>0</v>
      </c>
    </row>
    <row r="2926" spans="1:10" ht="14.4">
      <c r="A2926" s="84">
        <v>48577</v>
      </c>
      <c r="B2926" s="85">
        <v>2032</v>
      </c>
      <c r="C2926" s="85">
        <v>12</v>
      </c>
      <c r="D2926" s="85" t="s">
        <v>77</v>
      </c>
      <c r="E2926" s="85">
        <v>29</v>
      </c>
      <c r="F2926" s="85">
        <v>3</v>
      </c>
      <c r="G2926" s="85">
        <f>--(F2926&lt;=Estimator!$B$7)</f>
        <v>1</v>
      </c>
      <c r="H2926" s="86">
        <f>SUMIFS('Climate Data'!$G$7:$G$366,'Climate Data'!$A$7:$A$366,Estimator!$B$4,'Climate Data'!$B$7:$B$366,C2926)</f>
        <v>0.22688172043010751</v>
      </c>
      <c r="I2926" s="87">
        <f>SUMIFS('Climate Data'!$H$7:$H$366,'Climate Data'!$A$7:$A$366,Estimator!$B$4,'Climate Data'!$B$7:$B$366,C2926)</f>
        <v>6.7962085308056865</v>
      </c>
      <c r="J2926" s="86">
        <f>SUMIFS('Wind Proxy'!$H$8:$H$19,'Wind Proxy'!$A$8:$A$19,Estimator!$B$4,'Wind Proxy'!$B$8:$B$19,C2926)</f>
        <v>0</v>
      </c>
    </row>
    <row r="2927" spans="1:10" ht="14.4">
      <c r="A2927" s="84">
        <v>48578</v>
      </c>
      <c r="B2927" s="85">
        <v>2032</v>
      </c>
      <c r="C2927" s="85">
        <v>12</v>
      </c>
      <c r="D2927" s="85" t="s">
        <v>77</v>
      </c>
      <c r="E2927" s="85">
        <v>30</v>
      </c>
      <c r="F2927" s="85">
        <v>4</v>
      </c>
      <c r="G2927" s="85">
        <f>--(F2927&lt;=Estimator!$B$7)</f>
        <v>1</v>
      </c>
      <c r="H2927" s="86">
        <f>SUMIFS('Climate Data'!$G$7:$G$366,'Climate Data'!$A$7:$A$366,Estimator!$B$4,'Climate Data'!$B$7:$B$366,C2927)</f>
        <v>0.22688172043010751</v>
      </c>
      <c r="I2927" s="87">
        <f>SUMIFS('Climate Data'!$H$7:$H$366,'Climate Data'!$A$7:$A$366,Estimator!$B$4,'Climate Data'!$B$7:$B$366,C2927)</f>
        <v>6.7962085308056865</v>
      </c>
      <c r="J2927" s="86">
        <f>SUMIFS('Wind Proxy'!$H$8:$H$19,'Wind Proxy'!$A$8:$A$19,Estimator!$B$4,'Wind Proxy'!$B$8:$B$19,C2927)</f>
        <v>0</v>
      </c>
    </row>
    <row r="2928" spans="1:10" ht="14.4">
      <c r="A2928" s="84">
        <v>48579</v>
      </c>
      <c r="B2928" s="85">
        <v>2032</v>
      </c>
      <c r="C2928" s="85">
        <v>12</v>
      </c>
      <c r="D2928" s="85" t="s">
        <v>77</v>
      </c>
      <c r="E2928" s="85">
        <v>31</v>
      </c>
      <c r="F2928" s="85">
        <v>5</v>
      </c>
      <c r="G2928" s="85">
        <f>--(F2928&lt;=Estimator!$B$7)</f>
        <v>1</v>
      </c>
      <c r="H2928" s="86">
        <f>SUMIFS('Climate Data'!$G$7:$G$366,'Climate Data'!$A$7:$A$366,Estimator!$B$4,'Climate Data'!$B$7:$B$366,C2928)</f>
        <v>0.22688172043010751</v>
      </c>
      <c r="I2928" s="87">
        <f>SUMIFS('Climate Data'!$H$7:$H$366,'Climate Data'!$A$7:$A$366,Estimator!$B$4,'Climate Data'!$B$7:$B$366,C2928)</f>
        <v>6.7962085308056865</v>
      </c>
      <c r="J2928" s="86">
        <f>SUMIFS('Wind Proxy'!$H$8:$H$19,'Wind Proxy'!$A$8:$A$19,Estimator!$B$4,'Wind Proxy'!$B$8:$B$19,C2928)</f>
        <v>0</v>
      </c>
    </row>
    <row r="2929" spans="1:10" ht="14.4">
      <c r="A2929" s="84">
        <v>48580</v>
      </c>
      <c r="B2929" s="85">
        <v>2033</v>
      </c>
      <c r="C2929" s="85">
        <v>1</v>
      </c>
      <c r="D2929" s="85" t="s">
        <v>55</v>
      </c>
      <c r="E2929" s="85">
        <v>1</v>
      </c>
      <c r="F2929" s="85">
        <v>6</v>
      </c>
      <c r="G2929" s="85">
        <f>--(F2929&lt;=Estimator!$B$7)</f>
        <v>0</v>
      </c>
      <c r="H2929" s="86">
        <f>SUMIFS('Climate Data'!$G$7:$G$366,'Climate Data'!$A$7:$A$366,Estimator!$B$4,'Climate Data'!$B$7:$B$366,C2929)</f>
        <v>0.19462365591397848</v>
      </c>
      <c r="I2929" s="87">
        <f>SUMIFS('Climate Data'!$H$7:$H$366,'Climate Data'!$A$7:$A$366,Estimator!$B$4,'Climate Data'!$B$7:$B$366,C2929)</f>
        <v>7.027624309392265</v>
      </c>
      <c r="J2929" s="86">
        <f>SUMIFS('Wind Proxy'!$H$8:$H$19,'Wind Proxy'!$A$8:$A$19,Estimator!$B$4,'Wind Proxy'!$B$8:$B$19,C2929)</f>
        <v>0</v>
      </c>
    </row>
    <row r="2930" spans="1:10" ht="14.4">
      <c r="A2930" s="84">
        <v>48581</v>
      </c>
      <c r="B2930" s="85">
        <v>2033</v>
      </c>
      <c r="C2930" s="85">
        <v>1</v>
      </c>
      <c r="D2930" s="85" t="s">
        <v>55</v>
      </c>
      <c r="E2930" s="85">
        <v>2</v>
      </c>
      <c r="F2930" s="85">
        <v>7</v>
      </c>
      <c r="G2930" s="85">
        <f>--(F2930&lt;=Estimator!$B$7)</f>
        <v>0</v>
      </c>
      <c r="H2930" s="86">
        <f>SUMIFS('Climate Data'!$G$7:$G$366,'Climate Data'!$A$7:$A$366,Estimator!$B$4,'Climate Data'!$B$7:$B$366,C2930)</f>
        <v>0.19462365591397848</v>
      </c>
      <c r="I2930" s="87">
        <f>SUMIFS('Climate Data'!$H$7:$H$366,'Climate Data'!$A$7:$A$366,Estimator!$B$4,'Climate Data'!$B$7:$B$366,C2930)</f>
        <v>7.027624309392265</v>
      </c>
      <c r="J2930" s="86">
        <f>SUMIFS('Wind Proxy'!$H$8:$H$19,'Wind Proxy'!$A$8:$A$19,Estimator!$B$4,'Wind Proxy'!$B$8:$B$19,C2930)</f>
        <v>0</v>
      </c>
    </row>
    <row r="2931" spans="1:10" ht="14.4">
      <c r="A2931" s="84">
        <v>48582</v>
      </c>
      <c r="B2931" s="85">
        <v>2033</v>
      </c>
      <c r="C2931" s="85">
        <v>1</v>
      </c>
      <c r="D2931" s="85" t="s">
        <v>55</v>
      </c>
      <c r="E2931" s="85">
        <v>3</v>
      </c>
      <c r="F2931" s="85">
        <v>1</v>
      </c>
      <c r="G2931" s="85">
        <f>--(F2931&lt;=Estimator!$B$7)</f>
        <v>1</v>
      </c>
      <c r="H2931" s="86">
        <f>SUMIFS('Climate Data'!$G$7:$G$366,'Climate Data'!$A$7:$A$366,Estimator!$B$4,'Climate Data'!$B$7:$B$366,C2931)</f>
        <v>0.19462365591397848</v>
      </c>
      <c r="I2931" s="87">
        <f>SUMIFS('Climate Data'!$H$7:$H$366,'Climate Data'!$A$7:$A$366,Estimator!$B$4,'Climate Data'!$B$7:$B$366,C2931)</f>
        <v>7.027624309392265</v>
      </c>
      <c r="J2931" s="86">
        <f>SUMIFS('Wind Proxy'!$H$8:$H$19,'Wind Proxy'!$A$8:$A$19,Estimator!$B$4,'Wind Proxy'!$B$8:$B$19,C2931)</f>
        <v>0</v>
      </c>
    </row>
    <row r="2932" spans="1:10" ht="14.4">
      <c r="A2932" s="84">
        <v>48583</v>
      </c>
      <c r="B2932" s="85">
        <v>2033</v>
      </c>
      <c r="C2932" s="85">
        <v>1</v>
      </c>
      <c r="D2932" s="85" t="s">
        <v>55</v>
      </c>
      <c r="E2932" s="85">
        <v>4</v>
      </c>
      <c r="F2932" s="85">
        <v>2</v>
      </c>
      <c r="G2932" s="85">
        <f>--(F2932&lt;=Estimator!$B$7)</f>
        <v>1</v>
      </c>
      <c r="H2932" s="86">
        <f>SUMIFS('Climate Data'!$G$7:$G$366,'Climate Data'!$A$7:$A$366,Estimator!$B$4,'Climate Data'!$B$7:$B$366,C2932)</f>
        <v>0.19462365591397848</v>
      </c>
      <c r="I2932" s="87">
        <f>SUMIFS('Climate Data'!$H$7:$H$366,'Climate Data'!$A$7:$A$366,Estimator!$B$4,'Climate Data'!$B$7:$B$366,C2932)</f>
        <v>7.027624309392265</v>
      </c>
      <c r="J2932" s="86">
        <f>SUMIFS('Wind Proxy'!$H$8:$H$19,'Wind Proxy'!$A$8:$A$19,Estimator!$B$4,'Wind Proxy'!$B$8:$B$19,C2932)</f>
        <v>0</v>
      </c>
    </row>
    <row r="2933" spans="1:10" ht="14.4">
      <c r="A2933" s="84">
        <v>48584</v>
      </c>
      <c r="B2933" s="85">
        <v>2033</v>
      </c>
      <c r="C2933" s="85">
        <v>1</v>
      </c>
      <c r="D2933" s="85" t="s">
        <v>55</v>
      </c>
      <c r="E2933" s="85">
        <v>5</v>
      </c>
      <c r="F2933" s="85">
        <v>3</v>
      </c>
      <c r="G2933" s="85">
        <f>--(F2933&lt;=Estimator!$B$7)</f>
        <v>1</v>
      </c>
      <c r="H2933" s="86">
        <f>SUMIFS('Climate Data'!$G$7:$G$366,'Climate Data'!$A$7:$A$366,Estimator!$B$4,'Climate Data'!$B$7:$B$366,C2933)</f>
        <v>0.19462365591397848</v>
      </c>
      <c r="I2933" s="87">
        <f>SUMIFS('Climate Data'!$H$7:$H$366,'Climate Data'!$A$7:$A$366,Estimator!$B$4,'Climate Data'!$B$7:$B$366,C2933)</f>
        <v>7.027624309392265</v>
      </c>
      <c r="J2933" s="86">
        <f>SUMIFS('Wind Proxy'!$H$8:$H$19,'Wind Proxy'!$A$8:$A$19,Estimator!$B$4,'Wind Proxy'!$B$8:$B$19,C2933)</f>
        <v>0</v>
      </c>
    </row>
    <row r="2934" spans="1:10" ht="14.4">
      <c r="A2934" s="84">
        <v>48585</v>
      </c>
      <c r="B2934" s="85">
        <v>2033</v>
      </c>
      <c r="C2934" s="85">
        <v>1</v>
      </c>
      <c r="D2934" s="85" t="s">
        <v>55</v>
      </c>
      <c r="E2934" s="85">
        <v>6</v>
      </c>
      <c r="F2934" s="85">
        <v>4</v>
      </c>
      <c r="G2934" s="85">
        <f>--(F2934&lt;=Estimator!$B$7)</f>
        <v>1</v>
      </c>
      <c r="H2934" s="86">
        <f>SUMIFS('Climate Data'!$G$7:$G$366,'Climate Data'!$A$7:$A$366,Estimator!$B$4,'Climate Data'!$B$7:$B$366,C2934)</f>
        <v>0.19462365591397848</v>
      </c>
      <c r="I2934" s="87">
        <f>SUMIFS('Climate Data'!$H$7:$H$366,'Climate Data'!$A$7:$A$366,Estimator!$B$4,'Climate Data'!$B$7:$B$366,C2934)</f>
        <v>7.027624309392265</v>
      </c>
      <c r="J2934" s="86">
        <f>SUMIFS('Wind Proxy'!$H$8:$H$19,'Wind Proxy'!$A$8:$A$19,Estimator!$B$4,'Wind Proxy'!$B$8:$B$19,C2934)</f>
        <v>0</v>
      </c>
    </row>
    <row r="2935" spans="1:10" ht="14.4">
      <c r="A2935" s="84">
        <v>48586</v>
      </c>
      <c r="B2935" s="85">
        <v>2033</v>
      </c>
      <c r="C2935" s="85">
        <v>1</v>
      </c>
      <c r="D2935" s="85" t="s">
        <v>55</v>
      </c>
      <c r="E2935" s="85">
        <v>7</v>
      </c>
      <c r="F2935" s="85">
        <v>5</v>
      </c>
      <c r="G2935" s="85">
        <f>--(F2935&lt;=Estimator!$B$7)</f>
        <v>1</v>
      </c>
      <c r="H2935" s="86">
        <f>SUMIFS('Climate Data'!$G$7:$G$366,'Climate Data'!$A$7:$A$366,Estimator!$B$4,'Climate Data'!$B$7:$B$366,C2935)</f>
        <v>0.19462365591397848</v>
      </c>
      <c r="I2935" s="87">
        <f>SUMIFS('Climate Data'!$H$7:$H$366,'Climate Data'!$A$7:$A$366,Estimator!$B$4,'Climate Data'!$B$7:$B$366,C2935)</f>
        <v>7.027624309392265</v>
      </c>
      <c r="J2935" s="86">
        <f>SUMIFS('Wind Proxy'!$H$8:$H$19,'Wind Proxy'!$A$8:$A$19,Estimator!$B$4,'Wind Proxy'!$B$8:$B$19,C2935)</f>
        <v>0</v>
      </c>
    </row>
    <row r="2936" spans="1:10" ht="14.4">
      <c r="A2936" s="84">
        <v>48587</v>
      </c>
      <c r="B2936" s="85">
        <v>2033</v>
      </c>
      <c r="C2936" s="85">
        <v>1</v>
      </c>
      <c r="D2936" s="85" t="s">
        <v>55</v>
      </c>
      <c r="E2936" s="85">
        <v>8</v>
      </c>
      <c r="F2936" s="85">
        <v>6</v>
      </c>
      <c r="G2936" s="85">
        <f>--(F2936&lt;=Estimator!$B$7)</f>
        <v>0</v>
      </c>
      <c r="H2936" s="86">
        <f>SUMIFS('Climate Data'!$G$7:$G$366,'Climate Data'!$A$7:$A$366,Estimator!$B$4,'Climate Data'!$B$7:$B$366,C2936)</f>
        <v>0.19462365591397848</v>
      </c>
      <c r="I2936" s="87">
        <f>SUMIFS('Climate Data'!$H$7:$H$366,'Climate Data'!$A$7:$A$366,Estimator!$B$4,'Climate Data'!$B$7:$B$366,C2936)</f>
        <v>7.027624309392265</v>
      </c>
      <c r="J2936" s="86">
        <f>SUMIFS('Wind Proxy'!$H$8:$H$19,'Wind Proxy'!$A$8:$A$19,Estimator!$B$4,'Wind Proxy'!$B$8:$B$19,C2936)</f>
        <v>0</v>
      </c>
    </row>
    <row r="2937" spans="1:10" ht="14.4">
      <c r="A2937" s="84">
        <v>48588</v>
      </c>
      <c r="B2937" s="85">
        <v>2033</v>
      </c>
      <c r="C2937" s="85">
        <v>1</v>
      </c>
      <c r="D2937" s="85" t="s">
        <v>55</v>
      </c>
      <c r="E2937" s="85">
        <v>9</v>
      </c>
      <c r="F2937" s="85">
        <v>7</v>
      </c>
      <c r="G2937" s="85">
        <f>--(F2937&lt;=Estimator!$B$7)</f>
        <v>0</v>
      </c>
      <c r="H2937" s="86">
        <f>SUMIFS('Climate Data'!$G$7:$G$366,'Climate Data'!$A$7:$A$366,Estimator!$B$4,'Climate Data'!$B$7:$B$366,C2937)</f>
        <v>0.19462365591397848</v>
      </c>
      <c r="I2937" s="87">
        <f>SUMIFS('Climate Data'!$H$7:$H$366,'Climate Data'!$A$7:$A$366,Estimator!$B$4,'Climate Data'!$B$7:$B$366,C2937)</f>
        <v>7.027624309392265</v>
      </c>
      <c r="J2937" s="86">
        <f>SUMIFS('Wind Proxy'!$H$8:$H$19,'Wind Proxy'!$A$8:$A$19,Estimator!$B$4,'Wind Proxy'!$B$8:$B$19,C2937)</f>
        <v>0</v>
      </c>
    </row>
    <row r="2938" spans="1:10" ht="14.4">
      <c r="A2938" s="84">
        <v>48589</v>
      </c>
      <c r="B2938" s="85">
        <v>2033</v>
      </c>
      <c r="C2938" s="85">
        <v>1</v>
      </c>
      <c r="D2938" s="85" t="s">
        <v>55</v>
      </c>
      <c r="E2938" s="85">
        <v>10</v>
      </c>
      <c r="F2938" s="85">
        <v>1</v>
      </c>
      <c r="G2938" s="85">
        <f>--(F2938&lt;=Estimator!$B$7)</f>
        <v>1</v>
      </c>
      <c r="H2938" s="86">
        <f>SUMIFS('Climate Data'!$G$7:$G$366,'Climate Data'!$A$7:$A$366,Estimator!$B$4,'Climate Data'!$B$7:$B$366,C2938)</f>
        <v>0.19462365591397848</v>
      </c>
      <c r="I2938" s="87">
        <f>SUMIFS('Climate Data'!$H$7:$H$366,'Climate Data'!$A$7:$A$366,Estimator!$B$4,'Climate Data'!$B$7:$B$366,C2938)</f>
        <v>7.027624309392265</v>
      </c>
      <c r="J2938" s="86">
        <f>SUMIFS('Wind Proxy'!$H$8:$H$19,'Wind Proxy'!$A$8:$A$19,Estimator!$B$4,'Wind Proxy'!$B$8:$B$19,C2938)</f>
        <v>0</v>
      </c>
    </row>
    <row r="2939" spans="1:10" ht="14.4">
      <c r="A2939" s="84">
        <v>48590</v>
      </c>
      <c r="B2939" s="85">
        <v>2033</v>
      </c>
      <c r="C2939" s="85">
        <v>1</v>
      </c>
      <c r="D2939" s="85" t="s">
        <v>55</v>
      </c>
      <c r="E2939" s="85">
        <v>11</v>
      </c>
      <c r="F2939" s="85">
        <v>2</v>
      </c>
      <c r="G2939" s="85">
        <f>--(F2939&lt;=Estimator!$B$7)</f>
        <v>1</v>
      </c>
      <c r="H2939" s="86">
        <f>SUMIFS('Climate Data'!$G$7:$G$366,'Climate Data'!$A$7:$A$366,Estimator!$B$4,'Climate Data'!$B$7:$B$366,C2939)</f>
        <v>0.19462365591397848</v>
      </c>
      <c r="I2939" s="87">
        <f>SUMIFS('Climate Data'!$H$7:$H$366,'Climate Data'!$A$7:$A$366,Estimator!$B$4,'Climate Data'!$B$7:$B$366,C2939)</f>
        <v>7.027624309392265</v>
      </c>
      <c r="J2939" s="86">
        <f>SUMIFS('Wind Proxy'!$H$8:$H$19,'Wind Proxy'!$A$8:$A$19,Estimator!$B$4,'Wind Proxy'!$B$8:$B$19,C2939)</f>
        <v>0</v>
      </c>
    </row>
    <row r="2940" spans="1:10" ht="14.4">
      <c r="A2940" s="84">
        <v>48591</v>
      </c>
      <c r="B2940" s="85">
        <v>2033</v>
      </c>
      <c r="C2940" s="85">
        <v>1</v>
      </c>
      <c r="D2940" s="85" t="s">
        <v>55</v>
      </c>
      <c r="E2940" s="85">
        <v>12</v>
      </c>
      <c r="F2940" s="85">
        <v>3</v>
      </c>
      <c r="G2940" s="85">
        <f>--(F2940&lt;=Estimator!$B$7)</f>
        <v>1</v>
      </c>
      <c r="H2940" s="86">
        <f>SUMIFS('Climate Data'!$G$7:$G$366,'Climate Data'!$A$7:$A$366,Estimator!$B$4,'Climate Data'!$B$7:$B$366,C2940)</f>
        <v>0.19462365591397848</v>
      </c>
      <c r="I2940" s="87">
        <f>SUMIFS('Climate Data'!$H$7:$H$366,'Climate Data'!$A$7:$A$366,Estimator!$B$4,'Climate Data'!$B$7:$B$366,C2940)</f>
        <v>7.027624309392265</v>
      </c>
      <c r="J2940" s="86">
        <f>SUMIFS('Wind Proxy'!$H$8:$H$19,'Wind Proxy'!$A$8:$A$19,Estimator!$B$4,'Wind Proxy'!$B$8:$B$19,C2940)</f>
        <v>0</v>
      </c>
    </row>
    <row r="2941" spans="1:10" ht="14.4">
      <c r="A2941" s="84">
        <v>48592</v>
      </c>
      <c r="B2941" s="85">
        <v>2033</v>
      </c>
      <c r="C2941" s="85">
        <v>1</v>
      </c>
      <c r="D2941" s="85" t="s">
        <v>55</v>
      </c>
      <c r="E2941" s="85">
        <v>13</v>
      </c>
      <c r="F2941" s="85">
        <v>4</v>
      </c>
      <c r="G2941" s="85">
        <f>--(F2941&lt;=Estimator!$B$7)</f>
        <v>1</v>
      </c>
      <c r="H2941" s="86">
        <f>SUMIFS('Climate Data'!$G$7:$G$366,'Climate Data'!$A$7:$A$366,Estimator!$B$4,'Climate Data'!$B$7:$B$366,C2941)</f>
        <v>0.19462365591397848</v>
      </c>
      <c r="I2941" s="87">
        <f>SUMIFS('Climate Data'!$H$7:$H$366,'Climate Data'!$A$7:$A$366,Estimator!$B$4,'Climate Data'!$B$7:$B$366,C2941)</f>
        <v>7.027624309392265</v>
      </c>
      <c r="J2941" s="86">
        <f>SUMIFS('Wind Proxy'!$H$8:$H$19,'Wind Proxy'!$A$8:$A$19,Estimator!$B$4,'Wind Proxy'!$B$8:$B$19,C2941)</f>
        <v>0</v>
      </c>
    </row>
    <row r="2942" spans="1:10" ht="14.4">
      <c r="A2942" s="84">
        <v>48593</v>
      </c>
      <c r="B2942" s="85">
        <v>2033</v>
      </c>
      <c r="C2942" s="85">
        <v>1</v>
      </c>
      <c r="D2942" s="85" t="s">
        <v>55</v>
      </c>
      <c r="E2942" s="85">
        <v>14</v>
      </c>
      <c r="F2942" s="85">
        <v>5</v>
      </c>
      <c r="G2942" s="85">
        <f>--(F2942&lt;=Estimator!$B$7)</f>
        <v>1</v>
      </c>
      <c r="H2942" s="86">
        <f>SUMIFS('Climate Data'!$G$7:$G$366,'Climate Data'!$A$7:$A$366,Estimator!$B$4,'Climate Data'!$B$7:$B$366,C2942)</f>
        <v>0.19462365591397848</v>
      </c>
      <c r="I2942" s="87">
        <f>SUMIFS('Climate Data'!$H$7:$H$366,'Climate Data'!$A$7:$A$366,Estimator!$B$4,'Climate Data'!$B$7:$B$366,C2942)</f>
        <v>7.027624309392265</v>
      </c>
      <c r="J2942" s="86">
        <f>SUMIFS('Wind Proxy'!$H$8:$H$19,'Wind Proxy'!$A$8:$A$19,Estimator!$B$4,'Wind Proxy'!$B$8:$B$19,C2942)</f>
        <v>0</v>
      </c>
    </row>
    <row r="2943" spans="1:10" ht="14.4">
      <c r="A2943" s="84">
        <v>48594</v>
      </c>
      <c r="B2943" s="85">
        <v>2033</v>
      </c>
      <c r="C2943" s="85">
        <v>1</v>
      </c>
      <c r="D2943" s="85" t="s">
        <v>55</v>
      </c>
      <c r="E2943" s="85">
        <v>15</v>
      </c>
      <c r="F2943" s="85">
        <v>6</v>
      </c>
      <c r="G2943" s="85">
        <f>--(F2943&lt;=Estimator!$B$7)</f>
        <v>0</v>
      </c>
      <c r="H2943" s="86">
        <f>SUMIFS('Climate Data'!$G$7:$G$366,'Climate Data'!$A$7:$A$366,Estimator!$B$4,'Climate Data'!$B$7:$B$366,C2943)</f>
        <v>0.19462365591397848</v>
      </c>
      <c r="I2943" s="87">
        <f>SUMIFS('Climate Data'!$H$7:$H$366,'Climate Data'!$A$7:$A$366,Estimator!$B$4,'Climate Data'!$B$7:$B$366,C2943)</f>
        <v>7.027624309392265</v>
      </c>
      <c r="J2943" s="86">
        <f>SUMIFS('Wind Proxy'!$H$8:$H$19,'Wind Proxy'!$A$8:$A$19,Estimator!$B$4,'Wind Proxy'!$B$8:$B$19,C2943)</f>
        <v>0</v>
      </c>
    </row>
    <row r="2944" spans="1:10" ht="14.4">
      <c r="A2944" s="84">
        <v>48595</v>
      </c>
      <c r="B2944" s="85">
        <v>2033</v>
      </c>
      <c r="C2944" s="85">
        <v>1</v>
      </c>
      <c r="D2944" s="85" t="s">
        <v>55</v>
      </c>
      <c r="E2944" s="85">
        <v>16</v>
      </c>
      <c r="F2944" s="85">
        <v>7</v>
      </c>
      <c r="G2944" s="85">
        <f>--(F2944&lt;=Estimator!$B$7)</f>
        <v>0</v>
      </c>
      <c r="H2944" s="86">
        <f>SUMIFS('Climate Data'!$G$7:$G$366,'Climate Data'!$A$7:$A$366,Estimator!$B$4,'Climate Data'!$B$7:$B$366,C2944)</f>
        <v>0.19462365591397848</v>
      </c>
      <c r="I2944" s="87">
        <f>SUMIFS('Climate Data'!$H$7:$H$366,'Climate Data'!$A$7:$A$366,Estimator!$B$4,'Climate Data'!$B$7:$B$366,C2944)</f>
        <v>7.027624309392265</v>
      </c>
      <c r="J2944" s="86">
        <f>SUMIFS('Wind Proxy'!$H$8:$H$19,'Wind Proxy'!$A$8:$A$19,Estimator!$B$4,'Wind Proxy'!$B$8:$B$19,C2944)</f>
        <v>0</v>
      </c>
    </row>
    <row r="2945" spans="1:10" ht="14.4">
      <c r="A2945" s="84">
        <v>48596</v>
      </c>
      <c r="B2945" s="85">
        <v>2033</v>
      </c>
      <c r="C2945" s="85">
        <v>1</v>
      </c>
      <c r="D2945" s="85" t="s">
        <v>55</v>
      </c>
      <c r="E2945" s="85">
        <v>17</v>
      </c>
      <c r="F2945" s="85">
        <v>1</v>
      </c>
      <c r="G2945" s="85">
        <f>--(F2945&lt;=Estimator!$B$7)</f>
        <v>1</v>
      </c>
      <c r="H2945" s="86">
        <f>SUMIFS('Climate Data'!$G$7:$G$366,'Climate Data'!$A$7:$A$366,Estimator!$B$4,'Climate Data'!$B$7:$B$366,C2945)</f>
        <v>0.19462365591397848</v>
      </c>
      <c r="I2945" s="87">
        <f>SUMIFS('Climate Data'!$H$7:$H$366,'Climate Data'!$A$7:$A$366,Estimator!$B$4,'Climate Data'!$B$7:$B$366,C2945)</f>
        <v>7.027624309392265</v>
      </c>
      <c r="J2945" s="86">
        <f>SUMIFS('Wind Proxy'!$H$8:$H$19,'Wind Proxy'!$A$8:$A$19,Estimator!$B$4,'Wind Proxy'!$B$8:$B$19,C2945)</f>
        <v>0</v>
      </c>
    </row>
    <row r="2946" spans="1:10" ht="14.4">
      <c r="A2946" s="84">
        <v>48597</v>
      </c>
      <c r="B2946" s="85">
        <v>2033</v>
      </c>
      <c r="C2946" s="85">
        <v>1</v>
      </c>
      <c r="D2946" s="85" t="s">
        <v>55</v>
      </c>
      <c r="E2946" s="85">
        <v>18</v>
      </c>
      <c r="F2946" s="85">
        <v>2</v>
      </c>
      <c r="G2946" s="85">
        <f>--(F2946&lt;=Estimator!$B$7)</f>
        <v>1</v>
      </c>
      <c r="H2946" s="86">
        <f>SUMIFS('Climate Data'!$G$7:$G$366,'Climate Data'!$A$7:$A$366,Estimator!$B$4,'Climate Data'!$B$7:$B$366,C2946)</f>
        <v>0.19462365591397848</v>
      </c>
      <c r="I2946" s="87">
        <f>SUMIFS('Climate Data'!$H$7:$H$366,'Climate Data'!$A$7:$A$366,Estimator!$B$4,'Climate Data'!$B$7:$B$366,C2946)</f>
        <v>7.027624309392265</v>
      </c>
      <c r="J2946" s="86">
        <f>SUMIFS('Wind Proxy'!$H$8:$H$19,'Wind Proxy'!$A$8:$A$19,Estimator!$B$4,'Wind Proxy'!$B$8:$B$19,C2946)</f>
        <v>0</v>
      </c>
    </row>
    <row r="2947" spans="1:10" ht="14.4">
      <c r="A2947" s="84">
        <v>48598</v>
      </c>
      <c r="B2947" s="85">
        <v>2033</v>
      </c>
      <c r="C2947" s="85">
        <v>1</v>
      </c>
      <c r="D2947" s="85" t="s">
        <v>55</v>
      </c>
      <c r="E2947" s="85">
        <v>19</v>
      </c>
      <c r="F2947" s="85">
        <v>3</v>
      </c>
      <c r="G2947" s="85">
        <f>--(F2947&lt;=Estimator!$B$7)</f>
        <v>1</v>
      </c>
      <c r="H2947" s="86">
        <f>SUMIFS('Climate Data'!$G$7:$G$366,'Climate Data'!$A$7:$A$366,Estimator!$B$4,'Climate Data'!$B$7:$B$366,C2947)</f>
        <v>0.19462365591397848</v>
      </c>
      <c r="I2947" s="87">
        <f>SUMIFS('Climate Data'!$H$7:$H$366,'Climate Data'!$A$7:$A$366,Estimator!$B$4,'Climate Data'!$B$7:$B$366,C2947)</f>
        <v>7.027624309392265</v>
      </c>
      <c r="J2947" s="86">
        <f>SUMIFS('Wind Proxy'!$H$8:$H$19,'Wind Proxy'!$A$8:$A$19,Estimator!$B$4,'Wind Proxy'!$B$8:$B$19,C2947)</f>
        <v>0</v>
      </c>
    </row>
    <row r="2948" spans="1:10" ht="14.4">
      <c r="A2948" s="84">
        <v>48599</v>
      </c>
      <c r="B2948" s="85">
        <v>2033</v>
      </c>
      <c r="C2948" s="85">
        <v>1</v>
      </c>
      <c r="D2948" s="85" t="s">
        <v>55</v>
      </c>
      <c r="E2948" s="85">
        <v>20</v>
      </c>
      <c r="F2948" s="85">
        <v>4</v>
      </c>
      <c r="G2948" s="85">
        <f>--(F2948&lt;=Estimator!$B$7)</f>
        <v>1</v>
      </c>
      <c r="H2948" s="86">
        <f>SUMIFS('Climate Data'!$G$7:$G$366,'Climate Data'!$A$7:$A$366,Estimator!$B$4,'Climate Data'!$B$7:$B$366,C2948)</f>
        <v>0.19462365591397848</v>
      </c>
      <c r="I2948" s="87">
        <f>SUMIFS('Climate Data'!$H$7:$H$366,'Climate Data'!$A$7:$A$366,Estimator!$B$4,'Climate Data'!$B$7:$B$366,C2948)</f>
        <v>7.027624309392265</v>
      </c>
      <c r="J2948" s="86">
        <f>SUMIFS('Wind Proxy'!$H$8:$H$19,'Wind Proxy'!$A$8:$A$19,Estimator!$B$4,'Wind Proxy'!$B$8:$B$19,C2948)</f>
        <v>0</v>
      </c>
    </row>
    <row r="2949" spans="1:10" ht="14.4">
      <c r="A2949" s="84">
        <v>48600</v>
      </c>
      <c r="B2949" s="85">
        <v>2033</v>
      </c>
      <c r="C2949" s="85">
        <v>1</v>
      </c>
      <c r="D2949" s="85" t="s">
        <v>55</v>
      </c>
      <c r="E2949" s="85">
        <v>21</v>
      </c>
      <c r="F2949" s="85">
        <v>5</v>
      </c>
      <c r="G2949" s="85">
        <f>--(F2949&lt;=Estimator!$B$7)</f>
        <v>1</v>
      </c>
      <c r="H2949" s="86">
        <f>SUMIFS('Climate Data'!$G$7:$G$366,'Climate Data'!$A$7:$A$366,Estimator!$B$4,'Climate Data'!$B$7:$B$366,C2949)</f>
        <v>0.19462365591397848</v>
      </c>
      <c r="I2949" s="87">
        <f>SUMIFS('Climate Data'!$H$7:$H$366,'Climate Data'!$A$7:$A$366,Estimator!$B$4,'Climate Data'!$B$7:$B$366,C2949)</f>
        <v>7.027624309392265</v>
      </c>
      <c r="J2949" s="86">
        <f>SUMIFS('Wind Proxy'!$H$8:$H$19,'Wind Proxy'!$A$8:$A$19,Estimator!$B$4,'Wind Proxy'!$B$8:$B$19,C2949)</f>
        <v>0</v>
      </c>
    </row>
    <row r="2950" spans="1:10" ht="14.4">
      <c r="A2950" s="84">
        <v>48601</v>
      </c>
      <c r="B2950" s="85">
        <v>2033</v>
      </c>
      <c r="C2950" s="85">
        <v>1</v>
      </c>
      <c r="D2950" s="85" t="s">
        <v>55</v>
      </c>
      <c r="E2950" s="85">
        <v>22</v>
      </c>
      <c r="F2950" s="85">
        <v>6</v>
      </c>
      <c r="G2950" s="85">
        <f>--(F2950&lt;=Estimator!$B$7)</f>
        <v>0</v>
      </c>
      <c r="H2950" s="86">
        <f>SUMIFS('Climate Data'!$G$7:$G$366,'Climate Data'!$A$7:$A$366,Estimator!$B$4,'Climate Data'!$B$7:$B$366,C2950)</f>
        <v>0.19462365591397848</v>
      </c>
      <c r="I2950" s="87">
        <f>SUMIFS('Climate Data'!$H$7:$H$366,'Climate Data'!$A$7:$A$366,Estimator!$B$4,'Climate Data'!$B$7:$B$366,C2950)</f>
        <v>7.027624309392265</v>
      </c>
      <c r="J2950" s="86">
        <f>SUMIFS('Wind Proxy'!$H$8:$H$19,'Wind Proxy'!$A$8:$A$19,Estimator!$B$4,'Wind Proxy'!$B$8:$B$19,C2950)</f>
        <v>0</v>
      </c>
    </row>
    <row r="2951" spans="1:10" ht="14.4">
      <c r="A2951" s="84">
        <v>48602</v>
      </c>
      <c r="B2951" s="85">
        <v>2033</v>
      </c>
      <c r="C2951" s="85">
        <v>1</v>
      </c>
      <c r="D2951" s="85" t="s">
        <v>55</v>
      </c>
      <c r="E2951" s="85">
        <v>23</v>
      </c>
      <c r="F2951" s="85">
        <v>7</v>
      </c>
      <c r="G2951" s="85">
        <f>--(F2951&lt;=Estimator!$B$7)</f>
        <v>0</v>
      </c>
      <c r="H2951" s="86">
        <f>SUMIFS('Climate Data'!$G$7:$G$366,'Climate Data'!$A$7:$A$366,Estimator!$B$4,'Climate Data'!$B$7:$B$366,C2951)</f>
        <v>0.19462365591397848</v>
      </c>
      <c r="I2951" s="87">
        <f>SUMIFS('Climate Data'!$H$7:$H$366,'Climate Data'!$A$7:$A$366,Estimator!$B$4,'Climate Data'!$B$7:$B$366,C2951)</f>
        <v>7.027624309392265</v>
      </c>
      <c r="J2951" s="86">
        <f>SUMIFS('Wind Proxy'!$H$8:$H$19,'Wind Proxy'!$A$8:$A$19,Estimator!$B$4,'Wind Proxy'!$B$8:$B$19,C2951)</f>
        <v>0</v>
      </c>
    </row>
    <row r="2952" spans="1:10" ht="14.4">
      <c r="A2952" s="84">
        <v>48603</v>
      </c>
      <c r="B2952" s="85">
        <v>2033</v>
      </c>
      <c r="C2952" s="85">
        <v>1</v>
      </c>
      <c r="D2952" s="85" t="s">
        <v>55</v>
      </c>
      <c r="E2952" s="85">
        <v>24</v>
      </c>
      <c r="F2952" s="85">
        <v>1</v>
      </c>
      <c r="G2952" s="85">
        <f>--(F2952&lt;=Estimator!$B$7)</f>
        <v>1</v>
      </c>
      <c r="H2952" s="86">
        <f>SUMIFS('Climate Data'!$G$7:$G$366,'Climate Data'!$A$7:$A$366,Estimator!$B$4,'Climate Data'!$B$7:$B$366,C2952)</f>
        <v>0.19462365591397848</v>
      </c>
      <c r="I2952" s="87">
        <f>SUMIFS('Climate Data'!$H$7:$H$366,'Climate Data'!$A$7:$A$366,Estimator!$B$4,'Climate Data'!$B$7:$B$366,C2952)</f>
        <v>7.027624309392265</v>
      </c>
      <c r="J2952" s="86">
        <f>SUMIFS('Wind Proxy'!$H$8:$H$19,'Wind Proxy'!$A$8:$A$19,Estimator!$B$4,'Wind Proxy'!$B$8:$B$19,C2952)</f>
        <v>0</v>
      </c>
    </row>
    <row r="2953" spans="1:10" ht="14.4">
      <c r="A2953" s="84">
        <v>48604</v>
      </c>
      <c r="B2953" s="85">
        <v>2033</v>
      </c>
      <c r="C2953" s="85">
        <v>1</v>
      </c>
      <c r="D2953" s="85" t="s">
        <v>55</v>
      </c>
      <c r="E2953" s="85">
        <v>25</v>
      </c>
      <c r="F2953" s="85">
        <v>2</v>
      </c>
      <c r="G2953" s="85">
        <f>--(F2953&lt;=Estimator!$B$7)</f>
        <v>1</v>
      </c>
      <c r="H2953" s="86">
        <f>SUMIFS('Climate Data'!$G$7:$G$366,'Climate Data'!$A$7:$A$366,Estimator!$B$4,'Climate Data'!$B$7:$B$366,C2953)</f>
        <v>0.19462365591397848</v>
      </c>
      <c r="I2953" s="87">
        <f>SUMIFS('Climate Data'!$H$7:$H$366,'Climate Data'!$A$7:$A$366,Estimator!$B$4,'Climate Data'!$B$7:$B$366,C2953)</f>
        <v>7.027624309392265</v>
      </c>
      <c r="J2953" s="86">
        <f>SUMIFS('Wind Proxy'!$H$8:$H$19,'Wind Proxy'!$A$8:$A$19,Estimator!$B$4,'Wind Proxy'!$B$8:$B$19,C2953)</f>
        <v>0</v>
      </c>
    </row>
    <row r="2954" spans="1:10" ht="14.4">
      <c r="A2954" s="84">
        <v>48605</v>
      </c>
      <c r="B2954" s="85">
        <v>2033</v>
      </c>
      <c r="C2954" s="85">
        <v>1</v>
      </c>
      <c r="D2954" s="85" t="s">
        <v>55</v>
      </c>
      <c r="E2954" s="85">
        <v>26</v>
      </c>
      <c r="F2954" s="85">
        <v>3</v>
      </c>
      <c r="G2954" s="85">
        <f>--(F2954&lt;=Estimator!$B$7)</f>
        <v>1</v>
      </c>
      <c r="H2954" s="86">
        <f>SUMIFS('Climate Data'!$G$7:$G$366,'Climate Data'!$A$7:$A$366,Estimator!$B$4,'Climate Data'!$B$7:$B$366,C2954)</f>
        <v>0.19462365591397848</v>
      </c>
      <c r="I2954" s="87">
        <f>SUMIFS('Climate Data'!$H$7:$H$366,'Climate Data'!$A$7:$A$366,Estimator!$B$4,'Climate Data'!$B$7:$B$366,C2954)</f>
        <v>7.027624309392265</v>
      </c>
      <c r="J2954" s="86">
        <f>SUMIFS('Wind Proxy'!$H$8:$H$19,'Wind Proxy'!$A$8:$A$19,Estimator!$B$4,'Wind Proxy'!$B$8:$B$19,C2954)</f>
        <v>0</v>
      </c>
    </row>
    <row r="2955" spans="1:10" ht="14.4">
      <c r="A2955" s="84">
        <v>48606</v>
      </c>
      <c r="B2955" s="85">
        <v>2033</v>
      </c>
      <c r="C2955" s="85">
        <v>1</v>
      </c>
      <c r="D2955" s="85" t="s">
        <v>55</v>
      </c>
      <c r="E2955" s="85">
        <v>27</v>
      </c>
      <c r="F2955" s="85">
        <v>4</v>
      </c>
      <c r="G2955" s="85">
        <f>--(F2955&lt;=Estimator!$B$7)</f>
        <v>1</v>
      </c>
      <c r="H2955" s="86">
        <f>SUMIFS('Climate Data'!$G$7:$G$366,'Climate Data'!$A$7:$A$366,Estimator!$B$4,'Climate Data'!$B$7:$B$366,C2955)</f>
        <v>0.19462365591397848</v>
      </c>
      <c r="I2955" s="87">
        <f>SUMIFS('Climate Data'!$H$7:$H$366,'Climate Data'!$A$7:$A$366,Estimator!$B$4,'Climate Data'!$B$7:$B$366,C2955)</f>
        <v>7.027624309392265</v>
      </c>
      <c r="J2955" s="86">
        <f>SUMIFS('Wind Proxy'!$H$8:$H$19,'Wind Proxy'!$A$8:$A$19,Estimator!$B$4,'Wind Proxy'!$B$8:$B$19,C2955)</f>
        <v>0</v>
      </c>
    </row>
    <row r="2956" spans="1:10" ht="14.4">
      <c r="A2956" s="84">
        <v>48607</v>
      </c>
      <c r="B2956" s="85">
        <v>2033</v>
      </c>
      <c r="C2956" s="85">
        <v>1</v>
      </c>
      <c r="D2956" s="85" t="s">
        <v>55</v>
      </c>
      <c r="E2956" s="85">
        <v>28</v>
      </c>
      <c r="F2956" s="85">
        <v>5</v>
      </c>
      <c r="G2956" s="85">
        <f>--(F2956&lt;=Estimator!$B$7)</f>
        <v>1</v>
      </c>
      <c r="H2956" s="86">
        <f>SUMIFS('Climate Data'!$G$7:$G$366,'Climate Data'!$A$7:$A$366,Estimator!$B$4,'Climate Data'!$B$7:$B$366,C2956)</f>
        <v>0.19462365591397848</v>
      </c>
      <c r="I2956" s="87">
        <f>SUMIFS('Climate Data'!$H$7:$H$366,'Climate Data'!$A$7:$A$366,Estimator!$B$4,'Climate Data'!$B$7:$B$366,C2956)</f>
        <v>7.027624309392265</v>
      </c>
      <c r="J2956" s="86">
        <f>SUMIFS('Wind Proxy'!$H$8:$H$19,'Wind Proxy'!$A$8:$A$19,Estimator!$B$4,'Wind Proxy'!$B$8:$B$19,C2956)</f>
        <v>0</v>
      </c>
    </row>
    <row r="2957" spans="1:10" ht="14.4">
      <c r="A2957" s="84">
        <v>48608</v>
      </c>
      <c r="B2957" s="85">
        <v>2033</v>
      </c>
      <c r="C2957" s="85">
        <v>1</v>
      </c>
      <c r="D2957" s="85" t="s">
        <v>55</v>
      </c>
      <c r="E2957" s="85">
        <v>29</v>
      </c>
      <c r="F2957" s="85">
        <v>6</v>
      </c>
      <c r="G2957" s="85">
        <f>--(F2957&lt;=Estimator!$B$7)</f>
        <v>0</v>
      </c>
      <c r="H2957" s="86">
        <f>SUMIFS('Climate Data'!$G$7:$G$366,'Climate Data'!$A$7:$A$366,Estimator!$B$4,'Climate Data'!$B$7:$B$366,C2957)</f>
        <v>0.19462365591397848</v>
      </c>
      <c r="I2957" s="87">
        <f>SUMIFS('Climate Data'!$H$7:$H$366,'Climate Data'!$A$7:$A$366,Estimator!$B$4,'Climate Data'!$B$7:$B$366,C2957)</f>
        <v>7.027624309392265</v>
      </c>
      <c r="J2957" s="86">
        <f>SUMIFS('Wind Proxy'!$H$8:$H$19,'Wind Proxy'!$A$8:$A$19,Estimator!$B$4,'Wind Proxy'!$B$8:$B$19,C2957)</f>
        <v>0</v>
      </c>
    </row>
    <row r="2958" spans="1:10" ht="14.4">
      <c r="A2958" s="84">
        <v>48609</v>
      </c>
      <c r="B2958" s="85">
        <v>2033</v>
      </c>
      <c r="C2958" s="85">
        <v>1</v>
      </c>
      <c r="D2958" s="85" t="s">
        <v>55</v>
      </c>
      <c r="E2958" s="85">
        <v>30</v>
      </c>
      <c r="F2958" s="85">
        <v>7</v>
      </c>
      <c r="G2958" s="85">
        <f>--(F2958&lt;=Estimator!$B$7)</f>
        <v>0</v>
      </c>
      <c r="H2958" s="86">
        <f>SUMIFS('Climate Data'!$G$7:$G$366,'Climate Data'!$A$7:$A$366,Estimator!$B$4,'Climate Data'!$B$7:$B$366,C2958)</f>
        <v>0.19462365591397848</v>
      </c>
      <c r="I2958" s="87">
        <f>SUMIFS('Climate Data'!$H$7:$H$366,'Climate Data'!$A$7:$A$366,Estimator!$B$4,'Climate Data'!$B$7:$B$366,C2958)</f>
        <v>7.027624309392265</v>
      </c>
      <c r="J2958" s="86">
        <f>SUMIFS('Wind Proxy'!$H$8:$H$19,'Wind Proxy'!$A$8:$A$19,Estimator!$B$4,'Wind Proxy'!$B$8:$B$19,C2958)</f>
        <v>0</v>
      </c>
    </row>
    <row r="2959" spans="1:10" ht="14.4">
      <c r="A2959" s="84">
        <v>48610</v>
      </c>
      <c r="B2959" s="85">
        <v>2033</v>
      </c>
      <c r="C2959" s="85">
        <v>1</v>
      </c>
      <c r="D2959" s="85" t="s">
        <v>55</v>
      </c>
      <c r="E2959" s="85">
        <v>31</v>
      </c>
      <c r="F2959" s="85">
        <v>1</v>
      </c>
      <c r="G2959" s="85">
        <f>--(F2959&lt;=Estimator!$B$7)</f>
        <v>1</v>
      </c>
      <c r="H2959" s="86">
        <f>SUMIFS('Climate Data'!$G$7:$G$366,'Climate Data'!$A$7:$A$366,Estimator!$B$4,'Climate Data'!$B$7:$B$366,C2959)</f>
        <v>0.19462365591397848</v>
      </c>
      <c r="I2959" s="87">
        <f>SUMIFS('Climate Data'!$H$7:$H$366,'Climate Data'!$A$7:$A$366,Estimator!$B$4,'Climate Data'!$B$7:$B$366,C2959)</f>
        <v>7.027624309392265</v>
      </c>
      <c r="J2959" s="86">
        <f>SUMIFS('Wind Proxy'!$H$8:$H$19,'Wind Proxy'!$A$8:$A$19,Estimator!$B$4,'Wind Proxy'!$B$8:$B$19,C2959)</f>
        <v>0</v>
      </c>
    </row>
    <row r="2960" spans="1:10" ht="14.4">
      <c r="A2960" s="84">
        <v>48611</v>
      </c>
      <c r="B2960" s="85">
        <v>2033</v>
      </c>
      <c r="C2960" s="85">
        <v>2</v>
      </c>
      <c r="D2960" s="85" t="s">
        <v>58</v>
      </c>
      <c r="E2960" s="85">
        <v>1</v>
      </c>
      <c r="F2960" s="85">
        <v>2</v>
      </c>
      <c r="G2960" s="85">
        <f>--(F2960&lt;=Estimator!$B$7)</f>
        <v>1</v>
      </c>
      <c r="H2960" s="86">
        <f>SUMIFS('Climate Data'!$G$7:$G$366,'Climate Data'!$A$7:$A$366,Estimator!$B$4,'Climate Data'!$B$7:$B$366,C2960)</f>
        <v>0.18867924528301885</v>
      </c>
      <c r="I2960" s="87">
        <f>SUMIFS('Climate Data'!$H$7:$H$366,'Climate Data'!$A$7:$A$366,Estimator!$B$4,'Climate Data'!$B$7:$B$366,C2960)</f>
        <v>7.4624999999999995</v>
      </c>
      <c r="J2960" s="86">
        <f>SUMIFS('Wind Proxy'!$H$8:$H$19,'Wind Proxy'!$A$8:$A$19,Estimator!$B$4,'Wind Proxy'!$B$8:$B$19,C2960)</f>
        <v>0</v>
      </c>
    </row>
    <row r="2961" spans="1:10" ht="14.4">
      <c r="A2961" s="84">
        <v>48612</v>
      </c>
      <c r="B2961" s="85">
        <v>2033</v>
      </c>
      <c r="C2961" s="85">
        <v>2</v>
      </c>
      <c r="D2961" s="85" t="s">
        <v>58</v>
      </c>
      <c r="E2961" s="85">
        <v>2</v>
      </c>
      <c r="F2961" s="85">
        <v>3</v>
      </c>
      <c r="G2961" s="85">
        <f>--(F2961&lt;=Estimator!$B$7)</f>
        <v>1</v>
      </c>
      <c r="H2961" s="86">
        <f>SUMIFS('Climate Data'!$G$7:$G$366,'Climate Data'!$A$7:$A$366,Estimator!$B$4,'Climate Data'!$B$7:$B$366,C2961)</f>
        <v>0.18867924528301885</v>
      </c>
      <c r="I2961" s="87">
        <f>SUMIFS('Climate Data'!$H$7:$H$366,'Climate Data'!$A$7:$A$366,Estimator!$B$4,'Climate Data'!$B$7:$B$366,C2961)</f>
        <v>7.4624999999999995</v>
      </c>
      <c r="J2961" s="86">
        <f>SUMIFS('Wind Proxy'!$H$8:$H$19,'Wind Proxy'!$A$8:$A$19,Estimator!$B$4,'Wind Proxy'!$B$8:$B$19,C2961)</f>
        <v>0</v>
      </c>
    </row>
    <row r="2962" spans="1:10" ht="14.4">
      <c r="A2962" s="84">
        <v>48613</v>
      </c>
      <c r="B2962" s="85">
        <v>2033</v>
      </c>
      <c r="C2962" s="85">
        <v>2</v>
      </c>
      <c r="D2962" s="85" t="s">
        <v>58</v>
      </c>
      <c r="E2962" s="85">
        <v>3</v>
      </c>
      <c r="F2962" s="85">
        <v>4</v>
      </c>
      <c r="G2962" s="85">
        <f>--(F2962&lt;=Estimator!$B$7)</f>
        <v>1</v>
      </c>
      <c r="H2962" s="86">
        <f>SUMIFS('Climate Data'!$G$7:$G$366,'Climate Data'!$A$7:$A$366,Estimator!$B$4,'Climate Data'!$B$7:$B$366,C2962)</f>
        <v>0.18867924528301885</v>
      </c>
      <c r="I2962" s="87">
        <f>SUMIFS('Climate Data'!$H$7:$H$366,'Climate Data'!$A$7:$A$366,Estimator!$B$4,'Climate Data'!$B$7:$B$366,C2962)</f>
        <v>7.4624999999999995</v>
      </c>
      <c r="J2962" s="86">
        <f>SUMIFS('Wind Proxy'!$H$8:$H$19,'Wind Proxy'!$A$8:$A$19,Estimator!$B$4,'Wind Proxy'!$B$8:$B$19,C2962)</f>
        <v>0</v>
      </c>
    </row>
    <row r="2963" spans="1:10" ht="14.4">
      <c r="A2963" s="84">
        <v>48614</v>
      </c>
      <c r="B2963" s="85">
        <v>2033</v>
      </c>
      <c r="C2963" s="85">
        <v>2</v>
      </c>
      <c r="D2963" s="85" t="s">
        <v>58</v>
      </c>
      <c r="E2963" s="85">
        <v>4</v>
      </c>
      <c r="F2963" s="85">
        <v>5</v>
      </c>
      <c r="G2963" s="85">
        <f>--(F2963&lt;=Estimator!$B$7)</f>
        <v>1</v>
      </c>
      <c r="H2963" s="86">
        <f>SUMIFS('Climate Data'!$G$7:$G$366,'Climate Data'!$A$7:$A$366,Estimator!$B$4,'Climate Data'!$B$7:$B$366,C2963)</f>
        <v>0.18867924528301885</v>
      </c>
      <c r="I2963" s="87">
        <f>SUMIFS('Climate Data'!$H$7:$H$366,'Climate Data'!$A$7:$A$366,Estimator!$B$4,'Climate Data'!$B$7:$B$366,C2963)</f>
        <v>7.4624999999999995</v>
      </c>
      <c r="J2963" s="86">
        <f>SUMIFS('Wind Proxy'!$H$8:$H$19,'Wind Proxy'!$A$8:$A$19,Estimator!$B$4,'Wind Proxy'!$B$8:$B$19,C2963)</f>
        <v>0</v>
      </c>
    </row>
    <row r="2964" spans="1:10" ht="14.4">
      <c r="A2964" s="84">
        <v>48615</v>
      </c>
      <c r="B2964" s="85">
        <v>2033</v>
      </c>
      <c r="C2964" s="85">
        <v>2</v>
      </c>
      <c r="D2964" s="85" t="s">
        <v>58</v>
      </c>
      <c r="E2964" s="85">
        <v>5</v>
      </c>
      <c r="F2964" s="85">
        <v>6</v>
      </c>
      <c r="G2964" s="85">
        <f>--(F2964&lt;=Estimator!$B$7)</f>
        <v>0</v>
      </c>
      <c r="H2964" s="86">
        <f>SUMIFS('Climate Data'!$G$7:$G$366,'Climate Data'!$A$7:$A$366,Estimator!$B$4,'Climate Data'!$B$7:$B$366,C2964)</f>
        <v>0.18867924528301885</v>
      </c>
      <c r="I2964" s="87">
        <f>SUMIFS('Climate Data'!$H$7:$H$366,'Climate Data'!$A$7:$A$366,Estimator!$B$4,'Climate Data'!$B$7:$B$366,C2964)</f>
        <v>7.4624999999999995</v>
      </c>
      <c r="J2964" s="86">
        <f>SUMIFS('Wind Proxy'!$H$8:$H$19,'Wind Proxy'!$A$8:$A$19,Estimator!$B$4,'Wind Proxy'!$B$8:$B$19,C2964)</f>
        <v>0</v>
      </c>
    </row>
    <row r="2965" spans="1:10" ht="14.4">
      <c r="A2965" s="84">
        <v>48616</v>
      </c>
      <c r="B2965" s="85">
        <v>2033</v>
      </c>
      <c r="C2965" s="85">
        <v>2</v>
      </c>
      <c r="D2965" s="85" t="s">
        <v>58</v>
      </c>
      <c r="E2965" s="85">
        <v>6</v>
      </c>
      <c r="F2965" s="85">
        <v>7</v>
      </c>
      <c r="G2965" s="85">
        <f>--(F2965&lt;=Estimator!$B$7)</f>
        <v>0</v>
      </c>
      <c r="H2965" s="86">
        <f>SUMIFS('Climate Data'!$G$7:$G$366,'Climate Data'!$A$7:$A$366,Estimator!$B$4,'Climate Data'!$B$7:$B$366,C2965)</f>
        <v>0.18867924528301885</v>
      </c>
      <c r="I2965" s="87">
        <f>SUMIFS('Climate Data'!$H$7:$H$366,'Climate Data'!$A$7:$A$366,Estimator!$B$4,'Climate Data'!$B$7:$B$366,C2965)</f>
        <v>7.4624999999999995</v>
      </c>
      <c r="J2965" s="86">
        <f>SUMIFS('Wind Proxy'!$H$8:$H$19,'Wind Proxy'!$A$8:$A$19,Estimator!$B$4,'Wind Proxy'!$B$8:$B$19,C2965)</f>
        <v>0</v>
      </c>
    </row>
    <row r="2966" spans="1:10" ht="14.4">
      <c r="A2966" s="84">
        <v>48617</v>
      </c>
      <c r="B2966" s="85">
        <v>2033</v>
      </c>
      <c r="C2966" s="85">
        <v>2</v>
      </c>
      <c r="D2966" s="85" t="s">
        <v>58</v>
      </c>
      <c r="E2966" s="85">
        <v>7</v>
      </c>
      <c r="F2966" s="85">
        <v>1</v>
      </c>
      <c r="G2966" s="85">
        <f>--(F2966&lt;=Estimator!$B$7)</f>
        <v>1</v>
      </c>
      <c r="H2966" s="86">
        <f>SUMIFS('Climate Data'!$G$7:$G$366,'Climate Data'!$A$7:$A$366,Estimator!$B$4,'Climate Data'!$B$7:$B$366,C2966)</f>
        <v>0.18867924528301885</v>
      </c>
      <c r="I2966" s="87">
        <f>SUMIFS('Climate Data'!$H$7:$H$366,'Climate Data'!$A$7:$A$366,Estimator!$B$4,'Climate Data'!$B$7:$B$366,C2966)</f>
        <v>7.4624999999999995</v>
      </c>
      <c r="J2966" s="86">
        <f>SUMIFS('Wind Proxy'!$H$8:$H$19,'Wind Proxy'!$A$8:$A$19,Estimator!$B$4,'Wind Proxy'!$B$8:$B$19,C2966)</f>
        <v>0</v>
      </c>
    </row>
    <row r="2967" spans="1:10" ht="14.4">
      <c r="A2967" s="84">
        <v>48618</v>
      </c>
      <c r="B2967" s="85">
        <v>2033</v>
      </c>
      <c r="C2967" s="85">
        <v>2</v>
      </c>
      <c r="D2967" s="85" t="s">
        <v>58</v>
      </c>
      <c r="E2967" s="85">
        <v>8</v>
      </c>
      <c r="F2967" s="85">
        <v>2</v>
      </c>
      <c r="G2967" s="85">
        <f>--(F2967&lt;=Estimator!$B$7)</f>
        <v>1</v>
      </c>
      <c r="H2967" s="86">
        <f>SUMIFS('Climate Data'!$G$7:$G$366,'Climate Data'!$A$7:$A$366,Estimator!$B$4,'Climate Data'!$B$7:$B$366,C2967)</f>
        <v>0.18867924528301885</v>
      </c>
      <c r="I2967" s="87">
        <f>SUMIFS('Climate Data'!$H$7:$H$366,'Climate Data'!$A$7:$A$366,Estimator!$B$4,'Climate Data'!$B$7:$B$366,C2967)</f>
        <v>7.4624999999999995</v>
      </c>
      <c r="J2967" s="86">
        <f>SUMIFS('Wind Proxy'!$H$8:$H$19,'Wind Proxy'!$A$8:$A$19,Estimator!$B$4,'Wind Proxy'!$B$8:$B$19,C2967)</f>
        <v>0</v>
      </c>
    </row>
    <row r="2968" spans="1:10" ht="14.4">
      <c r="A2968" s="84">
        <v>48619</v>
      </c>
      <c r="B2968" s="85">
        <v>2033</v>
      </c>
      <c r="C2968" s="85">
        <v>2</v>
      </c>
      <c r="D2968" s="85" t="s">
        <v>58</v>
      </c>
      <c r="E2968" s="85">
        <v>9</v>
      </c>
      <c r="F2968" s="85">
        <v>3</v>
      </c>
      <c r="G2968" s="85">
        <f>--(F2968&lt;=Estimator!$B$7)</f>
        <v>1</v>
      </c>
      <c r="H2968" s="86">
        <f>SUMIFS('Climate Data'!$G$7:$G$366,'Climate Data'!$A$7:$A$366,Estimator!$B$4,'Climate Data'!$B$7:$B$366,C2968)</f>
        <v>0.18867924528301885</v>
      </c>
      <c r="I2968" s="87">
        <f>SUMIFS('Climate Data'!$H$7:$H$366,'Climate Data'!$A$7:$A$366,Estimator!$B$4,'Climate Data'!$B$7:$B$366,C2968)</f>
        <v>7.4624999999999995</v>
      </c>
      <c r="J2968" s="86">
        <f>SUMIFS('Wind Proxy'!$H$8:$H$19,'Wind Proxy'!$A$8:$A$19,Estimator!$B$4,'Wind Proxy'!$B$8:$B$19,C2968)</f>
        <v>0</v>
      </c>
    </row>
    <row r="2969" spans="1:10" ht="14.4">
      <c r="A2969" s="84">
        <v>48620</v>
      </c>
      <c r="B2969" s="85">
        <v>2033</v>
      </c>
      <c r="C2969" s="85">
        <v>2</v>
      </c>
      <c r="D2969" s="85" t="s">
        <v>58</v>
      </c>
      <c r="E2969" s="85">
        <v>10</v>
      </c>
      <c r="F2969" s="85">
        <v>4</v>
      </c>
      <c r="G2969" s="85">
        <f>--(F2969&lt;=Estimator!$B$7)</f>
        <v>1</v>
      </c>
      <c r="H2969" s="86">
        <f>SUMIFS('Climate Data'!$G$7:$G$366,'Climate Data'!$A$7:$A$366,Estimator!$B$4,'Climate Data'!$B$7:$B$366,C2969)</f>
        <v>0.18867924528301885</v>
      </c>
      <c r="I2969" s="87">
        <f>SUMIFS('Climate Data'!$H$7:$H$366,'Climate Data'!$A$7:$A$366,Estimator!$B$4,'Climate Data'!$B$7:$B$366,C2969)</f>
        <v>7.4624999999999995</v>
      </c>
      <c r="J2969" s="86">
        <f>SUMIFS('Wind Proxy'!$H$8:$H$19,'Wind Proxy'!$A$8:$A$19,Estimator!$B$4,'Wind Proxy'!$B$8:$B$19,C2969)</f>
        <v>0</v>
      </c>
    </row>
    <row r="2970" spans="1:10" ht="14.4">
      <c r="A2970" s="84">
        <v>48621</v>
      </c>
      <c r="B2970" s="85">
        <v>2033</v>
      </c>
      <c r="C2970" s="85">
        <v>2</v>
      </c>
      <c r="D2970" s="85" t="s">
        <v>58</v>
      </c>
      <c r="E2970" s="85">
        <v>11</v>
      </c>
      <c r="F2970" s="85">
        <v>5</v>
      </c>
      <c r="G2970" s="85">
        <f>--(F2970&lt;=Estimator!$B$7)</f>
        <v>1</v>
      </c>
      <c r="H2970" s="86">
        <f>SUMIFS('Climate Data'!$G$7:$G$366,'Climate Data'!$A$7:$A$366,Estimator!$B$4,'Climate Data'!$B$7:$B$366,C2970)</f>
        <v>0.18867924528301885</v>
      </c>
      <c r="I2970" s="87">
        <f>SUMIFS('Climate Data'!$H$7:$H$366,'Climate Data'!$A$7:$A$366,Estimator!$B$4,'Climate Data'!$B$7:$B$366,C2970)</f>
        <v>7.4624999999999995</v>
      </c>
      <c r="J2970" s="86">
        <f>SUMIFS('Wind Proxy'!$H$8:$H$19,'Wind Proxy'!$A$8:$A$19,Estimator!$B$4,'Wind Proxy'!$B$8:$B$19,C2970)</f>
        <v>0</v>
      </c>
    </row>
    <row r="2971" spans="1:10" ht="14.4">
      <c r="A2971" s="84">
        <v>48622</v>
      </c>
      <c r="B2971" s="85">
        <v>2033</v>
      </c>
      <c r="C2971" s="85">
        <v>2</v>
      </c>
      <c r="D2971" s="85" t="s">
        <v>58</v>
      </c>
      <c r="E2971" s="85">
        <v>12</v>
      </c>
      <c r="F2971" s="85">
        <v>6</v>
      </c>
      <c r="G2971" s="85">
        <f>--(F2971&lt;=Estimator!$B$7)</f>
        <v>0</v>
      </c>
      <c r="H2971" s="86">
        <f>SUMIFS('Climate Data'!$G$7:$G$366,'Climate Data'!$A$7:$A$366,Estimator!$B$4,'Climate Data'!$B$7:$B$366,C2971)</f>
        <v>0.18867924528301885</v>
      </c>
      <c r="I2971" s="87">
        <f>SUMIFS('Climate Data'!$H$7:$H$366,'Climate Data'!$A$7:$A$366,Estimator!$B$4,'Climate Data'!$B$7:$B$366,C2971)</f>
        <v>7.4624999999999995</v>
      </c>
      <c r="J2971" s="86">
        <f>SUMIFS('Wind Proxy'!$H$8:$H$19,'Wind Proxy'!$A$8:$A$19,Estimator!$B$4,'Wind Proxy'!$B$8:$B$19,C2971)</f>
        <v>0</v>
      </c>
    </row>
    <row r="2972" spans="1:10" ht="14.4">
      <c r="A2972" s="84">
        <v>48623</v>
      </c>
      <c r="B2972" s="85">
        <v>2033</v>
      </c>
      <c r="C2972" s="85">
        <v>2</v>
      </c>
      <c r="D2972" s="85" t="s">
        <v>58</v>
      </c>
      <c r="E2972" s="85">
        <v>13</v>
      </c>
      <c r="F2972" s="85">
        <v>7</v>
      </c>
      <c r="G2972" s="85">
        <f>--(F2972&lt;=Estimator!$B$7)</f>
        <v>0</v>
      </c>
      <c r="H2972" s="86">
        <f>SUMIFS('Climate Data'!$G$7:$G$366,'Climate Data'!$A$7:$A$366,Estimator!$B$4,'Climate Data'!$B$7:$B$366,C2972)</f>
        <v>0.18867924528301885</v>
      </c>
      <c r="I2972" s="87">
        <f>SUMIFS('Climate Data'!$H$7:$H$366,'Climate Data'!$A$7:$A$366,Estimator!$B$4,'Climate Data'!$B$7:$B$366,C2972)</f>
        <v>7.4624999999999995</v>
      </c>
      <c r="J2972" s="86">
        <f>SUMIFS('Wind Proxy'!$H$8:$H$19,'Wind Proxy'!$A$8:$A$19,Estimator!$B$4,'Wind Proxy'!$B$8:$B$19,C2972)</f>
        <v>0</v>
      </c>
    </row>
    <row r="2973" spans="1:10" ht="14.4">
      <c r="A2973" s="84">
        <v>48624</v>
      </c>
      <c r="B2973" s="85">
        <v>2033</v>
      </c>
      <c r="C2973" s="85">
        <v>2</v>
      </c>
      <c r="D2973" s="85" t="s">
        <v>58</v>
      </c>
      <c r="E2973" s="85">
        <v>14</v>
      </c>
      <c r="F2973" s="85">
        <v>1</v>
      </c>
      <c r="G2973" s="85">
        <f>--(F2973&lt;=Estimator!$B$7)</f>
        <v>1</v>
      </c>
      <c r="H2973" s="86">
        <f>SUMIFS('Climate Data'!$G$7:$G$366,'Climate Data'!$A$7:$A$366,Estimator!$B$4,'Climate Data'!$B$7:$B$366,C2973)</f>
        <v>0.18867924528301885</v>
      </c>
      <c r="I2973" s="87">
        <f>SUMIFS('Climate Data'!$H$7:$H$366,'Climate Data'!$A$7:$A$366,Estimator!$B$4,'Climate Data'!$B$7:$B$366,C2973)</f>
        <v>7.4624999999999995</v>
      </c>
      <c r="J2973" s="86">
        <f>SUMIFS('Wind Proxy'!$H$8:$H$19,'Wind Proxy'!$A$8:$A$19,Estimator!$B$4,'Wind Proxy'!$B$8:$B$19,C2973)</f>
        <v>0</v>
      </c>
    </row>
    <row r="2974" spans="1:10" ht="14.4">
      <c r="A2974" s="84">
        <v>48625</v>
      </c>
      <c r="B2974" s="85">
        <v>2033</v>
      </c>
      <c r="C2974" s="85">
        <v>2</v>
      </c>
      <c r="D2974" s="85" t="s">
        <v>58</v>
      </c>
      <c r="E2974" s="85">
        <v>15</v>
      </c>
      <c r="F2974" s="85">
        <v>2</v>
      </c>
      <c r="G2974" s="85">
        <f>--(F2974&lt;=Estimator!$B$7)</f>
        <v>1</v>
      </c>
      <c r="H2974" s="86">
        <f>SUMIFS('Climate Data'!$G$7:$G$366,'Climate Data'!$A$7:$A$366,Estimator!$B$4,'Climate Data'!$B$7:$B$366,C2974)</f>
        <v>0.18867924528301885</v>
      </c>
      <c r="I2974" s="87">
        <f>SUMIFS('Climate Data'!$H$7:$H$366,'Climate Data'!$A$7:$A$366,Estimator!$B$4,'Climate Data'!$B$7:$B$366,C2974)</f>
        <v>7.4624999999999995</v>
      </c>
      <c r="J2974" s="86">
        <f>SUMIFS('Wind Proxy'!$H$8:$H$19,'Wind Proxy'!$A$8:$A$19,Estimator!$B$4,'Wind Proxy'!$B$8:$B$19,C2974)</f>
        <v>0</v>
      </c>
    </row>
    <row r="2975" spans="1:10" ht="14.4">
      <c r="A2975" s="84">
        <v>48626</v>
      </c>
      <c r="B2975" s="85">
        <v>2033</v>
      </c>
      <c r="C2975" s="85">
        <v>2</v>
      </c>
      <c r="D2975" s="85" t="s">
        <v>58</v>
      </c>
      <c r="E2975" s="85">
        <v>16</v>
      </c>
      <c r="F2975" s="85">
        <v>3</v>
      </c>
      <c r="G2975" s="85">
        <f>--(F2975&lt;=Estimator!$B$7)</f>
        <v>1</v>
      </c>
      <c r="H2975" s="86">
        <f>SUMIFS('Climate Data'!$G$7:$G$366,'Climate Data'!$A$7:$A$366,Estimator!$B$4,'Climate Data'!$B$7:$B$366,C2975)</f>
        <v>0.18867924528301885</v>
      </c>
      <c r="I2975" s="87">
        <f>SUMIFS('Climate Data'!$H$7:$H$366,'Climate Data'!$A$7:$A$366,Estimator!$B$4,'Climate Data'!$B$7:$B$366,C2975)</f>
        <v>7.4624999999999995</v>
      </c>
      <c r="J2975" s="86">
        <f>SUMIFS('Wind Proxy'!$H$8:$H$19,'Wind Proxy'!$A$8:$A$19,Estimator!$B$4,'Wind Proxy'!$B$8:$B$19,C2975)</f>
        <v>0</v>
      </c>
    </row>
    <row r="2976" spans="1:10" ht="14.4">
      <c r="A2976" s="84">
        <v>48627</v>
      </c>
      <c r="B2976" s="85">
        <v>2033</v>
      </c>
      <c r="C2976" s="85">
        <v>2</v>
      </c>
      <c r="D2976" s="85" t="s">
        <v>58</v>
      </c>
      <c r="E2976" s="85">
        <v>17</v>
      </c>
      <c r="F2976" s="85">
        <v>4</v>
      </c>
      <c r="G2976" s="85">
        <f>--(F2976&lt;=Estimator!$B$7)</f>
        <v>1</v>
      </c>
      <c r="H2976" s="86">
        <f>SUMIFS('Climate Data'!$G$7:$G$366,'Climate Data'!$A$7:$A$366,Estimator!$B$4,'Climate Data'!$B$7:$B$366,C2976)</f>
        <v>0.18867924528301885</v>
      </c>
      <c r="I2976" s="87">
        <f>SUMIFS('Climate Data'!$H$7:$H$366,'Climate Data'!$A$7:$A$366,Estimator!$B$4,'Climate Data'!$B$7:$B$366,C2976)</f>
        <v>7.4624999999999995</v>
      </c>
      <c r="J2976" s="86">
        <f>SUMIFS('Wind Proxy'!$H$8:$H$19,'Wind Proxy'!$A$8:$A$19,Estimator!$B$4,'Wind Proxy'!$B$8:$B$19,C2976)</f>
        <v>0</v>
      </c>
    </row>
    <row r="2977" spans="1:10" ht="14.4">
      <c r="A2977" s="84">
        <v>48628</v>
      </c>
      <c r="B2977" s="85">
        <v>2033</v>
      </c>
      <c r="C2977" s="85">
        <v>2</v>
      </c>
      <c r="D2977" s="85" t="s">
        <v>58</v>
      </c>
      <c r="E2977" s="85">
        <v>18</v>
      </c>
      <c r="F2977" s="85">
        <v>5</v>
      </c>
      <c r="G2977" s="85">
        <f>--(F2977&lt;=Estimator!$B$7)</f>
        <v>1</v>
      </c>
      <c r="H2977" s="86">
        <f>SUMIFS('Climate Data'!$G$7:$G$366,'Climate Data'!$A$7:$A$366,Estimator!$B$4,'Climate Data'!$B$7:$B$366,C2977)</f>
        <v>0.18867924528301885</v>
      </c>
      <c r="I2977" s="87">
        <f>SUMIFS('Climate Data'!$H$7:$H$366,'Climate Data'!$A$7:$A$366,Estimator!$B$4,'Climate Data'!$B$7:$B$366,C2977)</f>
        <v>7.4624999999999995</v>
      </c>
      <c r="J2977" s="86">
        <f>SUMIFS('Wind Proxy'!$H$8:$H$19,'Wind Proxy'!$A$8:$A$19,Estimator!$B$4,'Wind Proxy'!$B$8:$B$19,C2977)</f>
        <v>0</v>
      </c>
    </row>
    <row r="2978" spans="1:10" ht="14.4">
      <c r="A2978" s="84">
        <v>48629</v>
      </c>
      <c r="B2978" s="85">
        <v>2033</v>
      </c>
      <c r="C2978" s="85">
        <v>2</v>
      </c>
      <c r="D2978" s="85" t="s">
        <v>58</v>
      </c>
      <c r="E2978" s="85">
        <v>19</v>
      </c>
      <c r="F2978" s="85">
        <v>6</v>
      </c>
      <c r="G2978" s="85">
        <f>--(F2978&lt;=Estimator!$B$7)</f>
        <v>0</v>
      </c>
      <c r="H2978" s="86">
        <f>SUMIFS('Climate Data'!$G$7:$G$366,'Climate Data'!$A$7:$A$366,Estimator!$B$4,'Climate Data'!$B$7:$B$366,C2978)</f>
        <v>0.18867924528301885</v>
      </c>
      <c r="I2978" s="87">
        <f>SUMIFS('Climate Data'!$H$7:$H$366,'Climate Data'!$A$7:$A$366,Estimator!$B$4,'Climate Data'!$B$7:$B$366,C2978)</f>
        <v>7.4624999999999995</v>
      </c>
      <c r="J2978" s="86">
        <f>SUMIFS('Wind Proxy'!$H$8:$H$19,'Wind Proxy'!$A$8:$A$19,Estimator!$B$4,'Wind Proxy'!$B$8:$B$19,C2978)</f>
        <v>0</v>
      </c>
    </row>
    <row r="2979" spans="1:10" ht="14.4">
      <c r="A2979" s="84">
        <v>48630</v>
      </c>
      <c r="B2979" s="85">
        <v>2033</v>
      </c>
      <c r="C2979" s="85">
        <v>2</v>
      </c>
      <c r="D2979" s="85" t="s">
        <v>58</v>
      </c>
      <c r="E2979" s="85">
        <v>20</v>
      </c>
      <c r="F2979" s="85">
        <v>7</v>
      </c>
      <c r="G2979" s="85">
        <f>--(F2979&lt;=Estimator!$B$7)</f>
        <v>0</v>
      </c>
      <c r="H2979" s="86">
        <f>SUMIFS('Climate Data'!$G$7:$G$366,'Climate Data'!$A$7:$A$366,Estimator!$B$4,'Climate Data'!$B$7:$B$366,C2979)</f>
        <v>0.18867924528301885</v>
      </c>
      <c r="I2979" s="87">
        <f>SUMIFS('Climate Data'!$H$7:$H$366,'Climate Data'!$A$7:$A$366,Estimator!$B$4,'Climate Data'!$B$7:$B$366,C2979)</f>
        <v>7.4624999999999995</v>
      </c>
      <c r="J2979" s="86">
        <f>SUMIFS('Wind Proxy'!$H$8:$H$19,'Wind Proxy'!$A$8:$A$19,Estimator!$B$4,'Wind Proxy'!$B$8:$B$19,C2979)</f>
        <v>0</v>
      </c>
    </row>
    <row r="2980" spans="1:10" ht="14.4">
      <c r="A2980" s="84">
        <v>48631</v>
      </c>
      <c r="B2980" s="85">
        <v>2033</v>
      </c>
      <c r="C2980" s="85">
        <v>2</v>
      </c>
      <c r="D2980" s="85" t="s">
        <v>58</v>
      </c>
      <c r="E2980" s="85">
        <v>21</v>
      </c>
      <c r="F2980" s="85">
        <v>1</v>
      </c>
      <c r="G2980" s="85">
        <f>--(F2980&lt;=Estimator!$B$7)</f>
        <v>1</v>
      </c>
      <c r="H2980" s="86">
        <f>SUMIFS('Climate Data'!$G$7:$G$366,'Climate Data'!$A$7:$A$366,Estimator!$B$4,'Climate Data'!$B$7:$B$366,C2980)</f>
        <v>0.18867924528301885</v>
      </c>
      <c r="I2980" s="87">
        <f>SUMIFS('Climate Data'!$H$7:$H$366,'Climate Data'!$A$7:$A$366,Estimator!$B$4,'Climate Data'!$B$7:$B$366,C2980)</f>
        <v>7.4624999999999995</v>
      </c>
      <c r="J2980" s="86">
        <f>SUMIFS('Wind Proxy'!$H$8:$H$19,'Wind Proxy'!$A$8:$A$19,Estimator!$B$4,'Wind Proxy'!$B$8:$B$19,C2980)</f>
        <v>0</v>
      </c>
    </row>
    <row r="2981" spans="1:10" ht="14.4">
      <c r="A2981" s="84">
        <v>48632</v>
      </c>
      <c r="B2981" s="85">
        <v>2033</v>
      </c>
      <c r="C2981" s="85">
        <v>2</v>
      </c>
      <c r="D2981" s="85" t="s">
        <v>58</v>
      </c>
      <c r="E2981" s="85">
        <v>22</v>
      </c>
      <c r="F2981" s="85">
        <v>2</v>
      </c>
      <c r="G2981" s="85">
        <f>--(F2981&lt;=Estimator!$B$7)</f>
        <v>1</v>
      </c>
      <c r="H2981" s="86">
        <f>SUMIFS('Climate Data'!$G$7:$G$366,'Climate Data'!$A$7:$A$366,Estimator!$B$4,'Climate Data'!$B$7:$B$366,C2981)</f>
        <v>0.18867924528301885</v>
      </c>
      <c r="I2981" s="87">
        <f>SUMIFS('Climate Data'!$H$7:$H$366,'Climate Data'!$A$7:$A$366,Estimator!$B$4,'Climate Data'!$B$7:$B$366,C2981)</f>
        <v>7.4624999999999995</v>
      </c>
      <c r="J2981" s="86">
        <f>SUMIFS('Wind Proxy'!$H$8:$H$19,'Wind Proxy'!$A$8:$A$19,Estimator!$B$4,'Wind Proxy'!$B$8:$B$19,C2981)</f>
        <v>0</v>
      </c>
    </row>
    <row r="2982" spans="1:10" ht="14.4">
      <c r="A2982" s="84">
        <v>48633</v>
      </c>
      <c r="B2982" s="85">
        <v>2033</v>
      </c>
      <c r="C2982" s="85">
        <v>2</v>
      </c>
      <c r="D2982" s="85" t="s">
        <v>58</v>
      </c>
      <c r="E2982" s="85">
        <v>23</v>
      </c>
      <c r="F2982" s="85">
        <v>3</v>
      </c>
      <c r="G2982" s="85">
        <f>--(F2982&lt;=Estimator!$B$7)</f>
        <v>1</v>
      </c>
      <c r="H2982" s="86">
        <f>SUMIFS('Climate Data'!$G$7:$G$366,'Climate Data'!$A$7:$A$366,Estimator!$B$4,'Climate Data'!$B$7:$B$366,C2982)</f>
        <v>0.18867924528301885</v>
      </c>
      <c r="I2982" s="87">
        <f>SUMIFS('Climate Data'!$H$7:$H$366,'Climate Data'!$A$7:$A$366,Estimator!$B$4,'Climate Data'!$B$7:$B$366,C2982)</f>
        <v>7.4624999999999995</v>
      </c>
      <c r="J2982" s="86">
        <f>SUMIFS('Wind Proxy'!$H$8:$H$19,'Wind Proxy'!$A$8:$A$19,Estimator!$B$4,'Wind Proxy'!$B$8:$B$19,C2982)</f>
        <v>0</v>
      </c>
    </row>
    <row r="2983" spans="1:10" ht="14.4">
      <c r="A2983" s="84">
        <v>48634</v>
      </c>
      <c r="B2983" s="85">
        <v>2033</v>
      </c>
      <c r="C2983" s="85">
        <v>2</v>
      </c>
      <c r="D2983" s="85" t="s">
        <v>58</v>
      </c>
      <c r="E2983" s="85">
        <v>24</v>
      </c>
      <c r="F2983" s="85">
        <v>4</v>
      </c>
      <c r="G2983" s="85">
        <f>--(F2983&lt;=Estimator!$B$7)</f>
        <v>1</v>
      </c>
      <c r="H2983" s="86">
        <f>SUMIFS('Climate Data'!$G$7:$G$366,'Climate Data'!$A$7:$A$366,Estimator!$B$4,'Climate Data'!$B$7:$B$366,C2983)</f>
        <v>0.18867924528301885</v>
      </c>
      <c r="I2983" s="87">
        <f>SUMIFS('Climate Data'!$H$7:$H$366,'Climate Data'!$A$7:$A$366,Estimator!$B$4,'Climate Data'!$B$7:$B$366,C2983)</f>
        <v>7.4624999999999995</v>
      </c>
      <c r="J2983" s="86">
        <f>SUMIFS('Wind Proxy'!$H$8:$H$19,'Wind Proxy'!$A$8:$A$19,Estimator!$B$4,'Wind Proxy'!$B$8:$B$19,C2983)</f>
        <v>0</v>
      </c>
    </row>
    <row r="2984" spans="1:10" ht="14.4">
      <c r="A2984" s="84">
        <v>48635</v>
      </c>
      <c r="B2984" s="85">
        <v>2033</v>
      </c>
      <c r="C2984" s="85">
        <v>2</v>
      </c>
      <c r="D2984" s="85" t="s">
        <v>58</v>
      </c>
      <c r="E2984" s="85">
        <v>25</v>
      </c>
      <c r="F2984" s="85">
        <v>5</v>
      </c>
      <c r="G2984" s="85">
        <f>--(F2984&lt;=Estimator!$B$7)</f>
        <v>1</v>
      </c>
      <c r="H2984" s="86">
        <f>SUMIFS('Climate Data'!$G$7:$G$366,'Climate Data'!$A$7:$A$366,Estimator!$B$4,'Climate Data'!$B$7:$B$366,C2984)</f>
        <v>0.18867924528301885</v>
      </c>
      <c r="I2984" s="87">
        <f>SUMIFS('Climate Data'!$H$7:$H$366,'Climate Data'!$A$7:$A$366,Estimator!$B$4,'Climate Data'!$B$7:$B$366,C2984)</f>
        <v>7.4624999999999995</v>
      </c>
      <c r="J2984" s="86">
        <f>SUMIFS('Wind Proxy'!$H$8:$H$19,'Wind Proxy'!$A$8:$A$19,Estimator!$B$4,'Wind Proxy'!$B$8:$B$19,C2984)</f>
        <v>0</v>
      </c>
    </row>
    <row r="2985" spans="1:10" ht="14.4">
      <c r="A2985" s="84">
        <v>48636</v>
      </c>
      <c r="B2985" s="85">
        <v>2033</v>
      </c>
      <c r="C2985" s="85">
        <v>2</v>
      </c>
      <c r="D2985" s="85" t="s">
        <v>58</v>
      </c>
      <c r="E2985" s="85">
        <v>26</v>
      </c>
      <c r="F2985" s="85">
        <v>6</v>
      </c>
      <c r="G2985" s="85">
        <f>--(F2985&lt;=Estimator!$B$7)</f>
        <v>0</v>
      </c>
      <c r="H2985" s="86">
        <f>SUMIFS('Climate Data'!$G$7:$G$366,'Climate Data'!$A$7:$A$366,Estimator!$B$4,'Climate Data'!$B$7:$B$366,C2985)</f>
        <v>0.18867924528301885</v>
      </c>
      <c r="I2985" s="87">
        <f>SUMIFS('Climate Data'!$H$7:$H$366,'Climate Data'!$A$7:$A$366,Estimator!$B$4,'Climate Data'!$B$7:$B$366,C2985)</f>
        <v>7.4624999999999995</v>
      </c>
      <c r="J2985" s="86">
        <f>SUMIFS('Wind Proxy'!$H$8:$H$19,'Wind Proxy'!$A$8:$A$19,Estimator!$B$4,'Wind Proxy'!$B$8:$B$19,C2985)</f>
        <v>0</v>
      </c>
    </row>
    <row r="2986" spans="1:10" ht="14.4">
      <c r="A2986" s="84">
        <v>48637</v>
      </c>
      <c r="B2986" s="85">
        <v>2033</v>
      </c>
      <c r="C2986" s="85">
        <v>2</v>
      </c>
      <c r="D2986" s="85" t="s">
        <v>58</v>
      </c>
      <c r="E2986" s="85">
        <v>27</v>
      </c>
      <c r="F2986" s="85">
        <v>7</v>
      </c>
      <c r="G2986" s="85">
        <f>--(F2986&lt;=Estimator!$B$7)</f>
        <v>0</v>
      </c>
      <c r="H2986" s="86">
        <f>SUMIFS('Climate Data'!$G$7:$G$366,'Climate Data'!$A$7:$A$366,Estimator!$B$4,'Climate Data'!$B$7:$B$366,C2986)</f>
        <v>0.18867924528301885</v>
      </c>
      <c r="I2986" s="87">
        <f>SUMIFS('Climate Data'!$H$7:$H$366,'Climate Data'!$A$7:$A$366,Estimator!$B$4,'Climate Data'!$B$7:$B$366,C2986)</f>
        <v>7.4624999999999995</v>
      </c>
      <c r="J2986" s="86">
        <f>SUMIFS('Wind Proxy'!$H$8:$H$19,'Wind Proxy'!$A$8:$A$19,Estimator!$B$4,'Wind Proxy'!$B$8:$B$19,C2986)</f>
        <v>0</v>
      </c>
    </row>
    <row r="2987" spans="1:10" ht="14.4">
      <c r="A2987" s="84">
        <v>48638</v>
      </c>
      <c r="B2987" s="85">
        <v>2033</v>
      </c>
      <c r="C2987" s="85">
        <v>2</v>
      </c>
      <c r="D2987" s="85" t="s">
        <v>58</v>
      </c>
      <c r="E2987" s="85">
        <v>28</v>
      </c>
      <c r="F2987" s="85">
        <v>1</v>
      </c>
      <c r="G2987" s="85">
        <f>--(F2987&lt;=Estimator!$B$7)</f>
        <v>1</v>
      </c>
      <c r="H2987" s="86">
        <f>SUMIFS('Climate Data'!$G$7:$G$366,'Climate Data'!$A$7:$A$366,Estimator!$B$4,'Climate Data'!$B$7:$B$366,C2987)</f>
        <v>0.18867924528301885</v>
      </c>
      <c r="I2987" s="87">
        <f>SUMIFS('Climate Data'!$H$7:$H$366,'Climate Data'!$A$7:$A$366,Estimator!$B$4,'Climate Data'!$B$7:$B$366,C2987)</f>
        <v>7.4624999999999995</v>
      </c>
      <c r="J2987" s="86">
        <f>SUMIFS('Wind Proxy'!$H$8:$H$19,'Wind Proxy'!$A$8:$A$19,Estimator!$B$4,'Wind Proxy'!$B$8:$B$19,C2987)</f>
        <v>0</v>
      </c>
    </row>
    <row r="2988" spans="1:10" ht="14.4">
      <c r="A2988" s="84">
        <v>48639</v>
      </c>
      <c r="B2988" s="85">
        <v>2033</v>
      </c>
      <c r="C2988" s="85">
        <v>3</v>
      </c>
      <c r="D2988" s="85" t="s">
        <v>60</v>
      </c>
      <c r="E2988" s="85">
        <v>1</v>
      </c>
      <c r="F2988" s="85">
        <v>2</v>
      </c>
      <c r="G2988" s="85">
        <f>--(F2988&lt;=Estimator!$B$7)</f>
        <v>1</v>
      </c>
      <c r="H2988" s="86">
        <f>SUMIFS('Climate Data'!$G$7:$G$366,'Climate Data'!$A$7:$A$366,Estimator!$B$4,'Climate Data'!$B$7:$B$366,C2988)</f>
        <v>0.18494623655913978</v>
      </c>
      <c r="I2988" s="87">
        <f>SUMIFS('Climate Data'!$H$7:$H$366,'Climate Data'!$A$7:$A$366,Estimator!$B$4,'Climate Data'!$B$7:$B$366,C2988)</f>
        <v>7.8662790697674421</v>
      </c>
      <c r="J2988" s="86">
        <f>SUMIFS('Wind Proxy'!$H$8:$H$19,'Wind Proxy'!$A$8:$A$19,Estimator!$B$4,'Wind Proxy'!$B$8:$B$19,C2988)</f>
        <v>0</v>
      </c>
    </row>
    <row r="2989" spans="1:10" ht="14.4">
      <c r="A2989" s="84">
        <v>48640</v>
      </c>
      <c r="B2989" s="85">
        <v>2033</v>
      </c>
      <c r="C2989" s="85">
        <v>3</v>
      </c>
      <c r="D2989" s="85" t="s">
        <v>60</v>
      </c>
      <c r="E2989" s="85">
        <v>2</v>
      </c>
      <c r="F2989" s="85">
        <v>3</v>
      </c>
      <c r="G2989" s="85">
        <f>--(F2989&lt;=Estimator!$B$7)</f>
        <v>1</v>
      </c>
      <c r="H2989" s="86">
        <f>SUMIFS('Climate Data'!$G$7:$G$366,'Climate Data'!$A$7:$A$366,Estimator!$B$4,'Climate Data'!$B$7:$B$366,C2989)</f>
        <v>0.18494623655913978</v>
      </c>
      <c r="I2989" s="87">
        <f>SUMIFS('Climate Data'!$H$7:$H$366,'Climate Data'!$A$7:$A$366,Estimator!$B$4,'Climate Data'!$B$7:$B$366,C2989)</f>
        <v>7.8662790697674421</v>
      </c>
      <c r="J2989" s="86">
        <f>SUMIFS('Wind Proxy'!$H$8:$H$19,'Wind Proxy'!$A$8:$A$19,Estimator!$B$4,'Wind Proxy'!$B$8:$B$19,C2989)</f>
        <v>0</v>
      </c>
    </row>
    <row r="2990" spans="1:10" ht="14.4">
      <c r="A2990" s="84">
        <v>48641</v>
      </c>
      <c r="B2990" s="85">
        <v>2033</v>
      </c>
      <c r="C2990" s="85">
        <v>3</v>
      </c>
      <c r="D2990" s="85" t="s">
        <v>60</v>
      </c>
      <c r="E2990" s="85">
        <v>3</v>
      </c>
      <c r="F2990" s="85">
        <v>4</v>
      </c>
      <c r="G2990" s="85">
        <f>--(F2990&lt;=Estimator!$B$7)</f>
        <v>1</v>
      </c>
      <c r="H2990" s="86">
        <f>SUMIFS('Climate Data'!$G$7:$G$366,'Climate Data'!$A$7:$A$366,Estimator!$B$4,'Climate Data'!$B$7:$B$366,C2990)</f>
        <v>0.18494623655913978</v>
      </c>
      <c r="I2990" s="87">
        <f>SUMIFS('Climate Data'!$H$7:$H$366,'Climate Data'!$A$7:$A$366,Estimator!$B$4,'Climate Data'!$B$7:$B$366,C2990)</f>
        <v>7.8662790697674421</v>
      </c>
      <c r="J2990" s="86">
        <f>SUMIFS('Wind Proxy'!$H$8:$H$19,'Wind Proxy'!$A$8:$A$19,Estimator!$B$4,'Wind Proxy'!$B$8:$B$19,C2990)</f>
        <v>0</v>
      </c>
    </row>
    <row r="2991" spans="1:10" ht="14.4">
      <c r="A2991" s="84">
        <v>48642</v>
      </c>
      <c r="B2991" s="85">
        <v>2033</v>
      </c>
      <c r="C2991" s="85">
        <v>3</v>
      </c>
      <c r="D2991" s="85" t="s">
        <v>60</v>
      </c>
      <c r="E2991" s="85">
        <v>4</v>
      </c>
      <c r="F2991" s="85">
        <v>5</v>
      </c>
      <c r="G2991" s="85">
        <f>--(F2991&lt;=Estimator!$B$7)</f>
        <v>1</v>
      </c>
      <c r="H2991" s="86">
        <f>SUMIFS('Climate Data'!$G$7:$G$366,'Climate Data'!$A$7:$A$366,Estimator!$B$4,'Climate Data'!$B$7:$B$366,C2991)</f>
        <v>0.18494623655913978</v>
      </c>
      <c r="I2991" s="87">
        <f>SUMIFS('Climate Data'!$H$7:$H$366,'Climate Data'!$A$7:$A$366,Estimator!$B$4,'Climate Data'!$B$7:$B$366,C2991)</f>
        <v>7.8662790697674421</v>
      </c>
      <c r="J2991" s="86">
        <f>SUMIFS('Wind Proxy'!$H$8:$H$19,'Wind Proxy'!$A$8:$A$19,Estimator!$B$4,'Wind Proxy'!$B$8:$B$19,C2991)</f>
        <v>0</v>
      </c>
    </row>
    <row r="2992" spans="1:10" ht="14.4">
      <c r="A2992" s="84">
        <v>48643</v>
      </c>
      <c r="B2992" s="85">
        <v>2033</v>
      </c>
      <c r="C2992" s="85">
        <v>3</v>
      </c>
      <c r="D2992" s="85" t="s">
        <v>60</v>
      </c>
      <c r="E2992" s="85">
        <v>5</v>
      </c>
      <c r="F2992" s="85">
        <v>6</v>
      </c>
      <c r="G2992" s="85">
        <f>--(F2992&lt;=Estimator!$B$7)</f>
        <v>0</v>
      </c>
      <c r="H2992" s="86">
        <f>SUMIFS('Climate Data'!$G$7:$G$366,'Climate Data'!$A$7:$A$366,Estimator!$B$4,'Climate Data'!$B$7:$B$366,C2992)</f>
        <v>0.18494623655913978</v>
      </c>
      <c r="I2992" s="87">
        <f>SUMIFS('Climate Data'!$H$7:$H$366,'Climate Data'!$A$7:$A$366,Estimator!$B$4,'Climate Data'!$B$7:$B$366,C2992)</f>
        <v>7.8662790697674421</v>
      </c>
      <c r="J2992" s="86">
        <f>SUMIFS('Wind Proxy'!$H$8:$H$19,'Wind Proxy'!$A$8:$A$19,Estimator!$B$4,'Wind Proxy'!$B$8:$B$19,C2992)</f>
        <v>0</v>
      </c>
    </row>
    <row r="2993" spans="1:10" ht="14.4">
      <c r="A2993" s="84">
        <v>48644</v>
      </c>
      <c r="B2993" s="85">
        <v>2033</v>
      </c>
      <c r="C2993" s="85">
        <v>3</v>
      </c>
      <c r="D2993" s="85" t="s">
        <v>60</v>
      </c>
      <c r="E2993" s="85">
        <v>6</v>
      </c>
      <c r="F2993" s="85">
        <v>7</v>
      </c>
      <c r="G2993" s="85">
        <f>--(F2993&lt;=Estimator!$B$7)</f>
        <v>0</v>
      </c>
      <c r="H2993" s="86">
        <f>SUMIFS('Climate Data'!$G$7:$G$366,'Climate Data'!$A$7:$A$366,Estimator!$B$4,'Climate Data'!$B$7:$B$366,C2993)</f>
        <v>0.18494623655913978</v>
      </c>
      <c r="I2993" s="87">
        <f>SUMIFS('Climate Data'!$H$7:$H$366,'Climate Data'!$A$7:$A$366,Estimator!$B$4,'Climate Data'!$B$7:$B$366,C2993)</f>
        <v>7.8662790697674421</v>
      </c>
      <c r="J2993" s="86">
        <f>SUMIFS('Wind Proxy'!$H$8:$H$19,'Wind Proxy'!$A$8:$A$19,Estimator!$B$4,'Wind Proxy'!$B$8:$B$19,C2993)</f>
        <v>0</v>
      </c>
    </row>
    <row r="2994" spans="1:10" ht="14.4">
      <c r="A2994" s="84">
        <v>48645</v>
      </c>
      <c r="B2994" s="85">
        <v>2033</v>
      </c>
      <c r="C2994" s="85">
        <v>3</v>
      </c>
      <c r="D2994" s="85" t="s">
        <v>60</v>
      </c>
      <c r="E2994" s="85">
        <v>7</v>
      </c>
      <c r="F2994" s="85">
        <v>1</v>
      </c>
      <c r="G2994" s="85">
        <f>--(F2994&lt;=Estimator!$B$7)</f>
        <v>1</v>
      </c>
      <c r="H2994" s="86">
        <f>SUMIFS('Climate Data'!$G$7:$G$366,'Climate Data'!$A$7:$A$366,Estimator!$B$4,'Climate Data'!$B$7:$B$366,C2994)</f>
        <v>0.18494623655913978</v>
      </c>
      <c r="I2994" s="87">
        <f>SUMIFS('Climate Data'!$H$7:$H$366,'Climate Data'!$A$7:$A$366,Estimator!$B$4,'Climate Data'!$B$7:$B$366,C2994)</f>
        <v>7.8662790697674421</v>
      </c>
      <c r="J2994" s="86">
        <f>SUMIFS('Wind Proxy'!$H$8:$H$19,'Wind Proxy'!$A$8:$A$19,Estimator!$B$4,'Wind Proxy'!$B$8:$B$19,C2994)</f>
        <v>0</v>
      </c>
    </row>
    <row r="2995" spans="1:10" ht="14.4">
      <c r="A2995" s="84">
        <v>48646</v>
      </c>
      <c r="B2995" s="85">
        <v>2033</v>
      </c>
      <c r="C2995" s="85">
        <v>3</v>
      </c>
      <c r="D2995" s="85" t="s">
        <v>60</v>
      </c>
      <c r="E2995" s="85">
        <v>8</v>
      </c>
      <c r="F2995" s="85">
        <v>2</v>
      </c>
      <c r="G2995" s="85">
        <f>--(F2995&lt;=Estimator!$B$7)</f>
        <v>1</v>
      </c>
      <c r="H2995" s="86">
        <f>SUMIFS('Climate Data'!$G$7:$G$366,'Climate Data'!$A$7:$A$366,Estimator!$B$4,'Climate Data'!$B$7:$B$366,C2995)</f>
        <v>0.18494623655913978</v>
      </c>
      <c r="I2995" s="87">
        <f>SUMIFS('Climate Data'!$H$7:$H$366,'Climate Data'!$A$7:$A$366,Estimator!$B$4,'Climate Data'!$B$7:$B$366,C2995)</f>
        <v>7.8662790697674421</v>
      </c>
      <c r="J2995" s="86">
        <f>SUMIFS('Wind Proxy'!$H$8:$H$19,'Wind Proxy'!$A$8:$A$19,Estimator!$B$4,'Wind Proxy'!$B$8:$B$19,C2995)</f>
        <v>0</v>
      </c>
    </row>
    <row r="2996" spans="1:10" ht="14.4">
      <c r="A2996" s="84">
        <v>48647</v>
      </c>
      <c r="B2996" s="85">
        <v>2033</v>
      </c>
      <c r="C2996" s="85">
        <v>3</v>
      </c>
      <c r="D2996" s="85" t="s">
        <v>60</v>
      </c>
      <c r="E2996" s="85">
        <v>9</v>
      </c>
      <c r="F2996" s="85">
        <v>3</v>
      </c>
      <c r="G2996" s="85">
        <f>--(F2996&lt;=Estimator!$B$7)</f>
        <v>1</v>
      </c>
      <c r="H2996" s="86">
        <f>SUMIFS('Climate Data'!$G$7:$G$366,'Climate Data'!$A$7:$A$366,Estimator!$B$4,'Climate Data'!$B$7:$B$366,C2996)</f>
        <v>0.18494623655913978</v>
      </c>
      <c r="I2996" s="87">
        <f>SUMIFS('Climate Data'!$H$7:$H$366,'Climate Data'!$A$7:$A$366,Estimator!$B$4,'Climate Data'!$B$7:$B$366,C2996)</f>
        <v>7.8662790697674421</v>
      </c>
      <c r="J2996" s="86">
        <f>SUMIFS('Wind Proxy'!$H$8:$H$19,'Wind Proxy'!$A$8:$A$19,Estimator!$B$4,'Wind Proxy'!$B$8:$B$19,C2996)</f>
        <v>0</v>
      </c>
    </row>
    <row r="2997" spans="1:10" ht="14.4">
      <c r="A2997" s="84">
        <v>48648</v>
      </c>
      <c r="B2997" s="85">
        <v>2033</v>
      </c>
      <c r="C2997" s="85">
        <v>3</v>
      </c>
      <c r="D2997" s="85" t="s">
        <v>60</v>
      </c>
      <c r="E2997" s="85">
        <v>10</v>
      </c>
      <c r="F2997" s="85">
        <v>4</v>
      </c>
      <c r="G2997" s="85">
        <f>--(F2997&lt;=Estimator!$B$7)</f>
        <v>1</v>
      </c>
      <c r="H2997" s="86">
        <f>SUMIFS('Climate Data'!$G$7:$G$366,'Climate Data'!$A$7:$A$366,Estimator!$B$4,'Climate Data'!$B$7:$B$366,C2997)</f>
        <v>0.18494623655913978</v>
      </c>
      <c r="I2997" s="87">
        <f>SUMIFS('Climate Data'!$H$7:$H$366,'Climate Data'!$A$7:$A$366,Estimator!$B$4,'Climate Data'!$B$7:$B$366,C2997)</f>
        <v>7.8662790697674421</v>
      </c>
      <c r="J2997" s="86">
        <f>SUMIFS('Wind Proxy'!$H$8:$H$19,'Wind Proxy'!$A$8:$A$19,Estimator!$B$4,'Wind Proxy'!$B$8:$B$19,C2997)</f>
        <v>0</v>
      </c>
    </row>
    <row r="2998" spans="1:10" ht="14.4">
      <c r="A2998" s="84">
        <v>48649</v>
      </c>
      <c r="B2998" s="85">
        <v>2033</v>
      </c>
      <c r="C2998" s="85">
        <v>3</v>
      </c>
      <c r="D2998" s="85" t="s">
        <v>60</v>
      </c>
      <c r="E2998" s="85">
        <v>11</v>
      </c>
      <c r="F2998" s="85">
        <v>5</v>
      </c>
      <c r="G2998" s="85">
        <f>--(F2998&lt;=Estimator!$B$7)</f>
        <v>1</v>
      </c>
      <c r="H2998" s="86">
        <f>SUMIFS('Climate Data'!$G$7:$G$366,'Climate Data'!$A$7:$A$366,Estimator!$B$4,'Climate Data'!$B$7:$B$366,C2998)</f>
        <v>0.18494623655913978</v>
      </c>
      <c r="I2998" s="87">
        <f>SUMIFS('Climate Data'!$H$7:$H$366,'Climate Data'!$A$7:$A$366,Estimator!$B$4,'Climate Data'!$B$7:$B$366,C2998)</f>
        <v>7.8662790697674421</v>
      </c>
      <c r="J2998" s="86">
        <f>SUMIFS('Wind Proxy'!$H$8:$H$19,'Wind Proxy'!$A$8:$A$19,Estimator!$B$4,'Wind Proxy'!$B$8:$B$19,C2998)</f>
        <v>0</v>
      </c>
    </row>
    <row r="2999" spans="1:10" ht="14.4">
      <c r="A2999" s="84">
        <v>48650</v>
      </c>
      <c r="B2999" s="85">
        <v>2033</v>
      </c>
      <c r="C2999" s="85">
        <v>3</v>
      </c>
      <c r="D2999" s="85" t="s">
        <v>60</v>
      </c>
      <c r="E2999" s="85">
        <v>12</v>
      </c>
      <c r="F2999" s="85">
        <v>6</v>
      </c>
      <c r="G2999" s="85">
        <f>--(F2999&lt;=Estimator!$B$7)</f>
        <v>0</v>
      </c>
      <c r="H2999" s="86">
        <f>SUMIFS('Climate Data'!$G$7:$G$366,'Climate Data'!$A$7:$A$366,Estimator!$B$4,'Climate Data'!$B$7:$B$366,C2999)</f>
        <v>0.18494623655913978</v>
      </c>
      <c r="I2999" s="87">
        <f>SUMIFS('Climate Data'!$H$7:$H$366,'Climate Data'!$A$7:$A$366,Estimator!$B$4,'Climate Data'!$B$7:$B$366,C2999)</f>
        <v>7.8662790697674421</v>
      </c>
      <c r="J2999" s="86">
        <f>SUMIFS('Wind Proxy'!$H$8:$H$19,'Wind Proxy'!$A$8:$A$19,Estimator!$B$4,'Wind Proxy'!$B$8:$B$19,C2999)</f>
        <v>0</v>
      </c>
    </row>
    <row r="3000" spans="1:10" ht="14.4">
      <c r="A3000" s="84">
        <v>48651</v>
      </c>
      <c r="B3000" s="85">
        <v>2033</v>
      </c>
      <c r="C3000" s="85">
        <v>3</v>
      </c>
      <c r="D3000" s="85" t="s">
        <v>60</v>
      </c>
      <c r="E3000" s="85">
        <v>13</v>
      </c>
      <c r="F3000" s="85">
        <v>7</v>
      </c>
      <c r="G3000" s="85">
        <f>--(F3000&lt;=Estimator!$B$7)</f>
        <v>0</v>
      </c>
      <c r="H3000" s="86">
        <f>SUMIFS('Climate Data'!$G$7:$G$366,'Climate Data'!$A$7:$A$366,Estimator!$B$4,'Climate Data'!$B$7:$B$366,C3000)</f>
        <v>0.18494623655913978</v>
      </c>
      <c r="I3000" s="87">
        <f>SUMIFS('Climate Data'!$H$7:$H$366,'Climate Data'!$A$7:$A$366,Estimator!$B$4,'Climate Data'!$B$7:$B$366,C3000)</f>
        <v>7.8662790697674421</v>
      </c>
      <c r="J3000" s="86">
        <f>SUMIFS('Wind Proxy'!$H$8:$H$19,'Wind Proxy'!$A$8:$A$19,Estimator!$B$4,'Wind Proxy'!$B$8:$B$19,C3000)</f>
        <v>0</v>
      </c>
    </row>
    <row r="3001" spans="1:10" ht="14.4">
      <c r="A3001" s="84">
        <v>48652</v>
      </c>
      <c r="B3001" s="85">
        <v>2033</v>
      </c>
      <c r="C3001" s="85">
        <v>3</v>
      </c>
      <c r="D3001" s="85" t="s">
        <v>60</v>
      </c>
      <c r="E3001" s="85">
        <v>14</v>
      </c>
      <c r="F3001" s="85">
        <v>1</v>
      </c>
      <c r="G3001" s="85">
        <f>--(F3001&lt;=Estimator!$B$7)</f>
        <v>1</v>
      </c>
      <c r="H3001" s="86">
        <f>SUMIFS('Climate Data'!$G$7:$G$366,'Climate Data'!$A$7:$A$366,Estimator!$B$4,'Climate Data'!$B$7:$B$366,C3001)</f>
        <v>0.18494623655913978</v>
      </c>
      <c r="I3001" s="87">
        <f>SUMIFS('Climate Data'!$H$7:$H$366,'Climate Data'!$A$7:$A$366,Estimator!$B$4,'Climate Data'!$B$7:$B$366,C3001)</f>
        <v>7.8662790697674421</v>
      </c>
      <c r="J3001" s="86">
        <f>SUMIFS('Wind Proxy'!$H$8:$H$19,'Wind Proxy'!$A$8:$A$19,Estimator!$B$4,'Wind Proxy'!$B$8:$B$19,C3001)</f>
        <v>0</v>
      </c>
    </row>
    <row r="3002" spans="1:10" ht="14.4">
      <c r="A3002" s="84">
        <v>48653</v>
      </c>
      <c r="B3002" s="85">
        <v>2033</v>
      </c>
      <c r="C3002" s="85">
        <v>3</v>
      </c>
      <c r="D3002" s="85" t="s">
        <v>60</v>
      </c>
      <c r="E3002" s="85">
        <v>15</v>
      </c>
      <c r="F3002" s="85">
        <v>2</v>
      </c>
      <c r="G3002" s="85">
        <f>--(F3002&lt;=Estimator!$B$7)</f>
        <v>1</v>
      </c>
      <c r="H3002" s="86">
        <f>SUMIFS('Climate Data'!$G$7:$G$366,'Climate Data'!$A$7:$A$366,Estimator!$B$4,'Climate Data'!$B$7:$B$366,C3002)</f>
        <v>0.18494623655913978</v>
      </c>
      <c r="I3002" s="87">
        <f>SUMIFS('Climate Data'!$H$7:$H$366,'Climate Data'!$A$7:$A$366,Estimator!$B$4,'Climate Data'!$B$7:$B$366,C3002)</f>
        <v>7.8662790697674421</v>
      </c>
      <c r="J3002" s="86">
        <f>SUMIFS('Wind Proxy'!$H$8:$H$19,'Wind Proxy'!$A$8:$A$19,Estimator!$B$4,'Wind Proxy'!$B$8:$B$19,C3002)</f>
        <v>0</v>
      </c>
    </row>
    <row r="3003" spans="1:10" ht="14.4">
      <c r="A3003" s="84">
        <v>48654</v>
      </c>
      <c r="B3003" s="85">
        <v>2033</v>
      </c>
      <c r="C3003" s="85">
        <v>3</v>
      </c>
      <c r="D3003" s="85" t="s">
        <v>60</v>
      </c>
      <c r="E3003" s="85">
        <v>16</v>
      </c>
      <c r="F3003" s="85">
        <v>3</v>
      </c>
      <c r="G3003" s="85">
        <f>--(F3003&lt;=Estimator!$B$7)</f>
        <v>1</v>
      </c>
      <c r="H3003" s="86">
        <f>SUMIFS('Climate Data'!$G$7:$G$366,'Climate Data'!$A$7:$A$366,Estimator!$B$4,'Climate Data'!$B$7:$B$366,C3003)</f>
        <v>0.18494623655913978</v>
      </c>
      <c r="I3003" s="87">
        <f>SUMIFS('Climate Data'!$H$7:$H$366,'Climate Data'!$A$7:$A$366,Estimator!$B$4,'Climate Data'!$B$7:$B$366,C3003)</f>
        <v>7.8662790697674421</v>
      </c>
      <c r="J3003" s="86">
        <f>SUMIFS('Wind Proxy'!$H$8:$H$19,'Wind Proxy'!$A$8:$A$19,Estimator!$B$4,'Wind Proxy'!$B$8:$B$19,C3003)</f>
        <v>0</v>
      </c>
    </row>
    <row r="3004" spans="1:10" ht="14.4">
      <c r="A3004" s="84">
        <v>48655</v>
      </c>
      <c r="B3004" s="85">
        <v>2033</v>
      </c>
      <c r="C3004" s="85">
        <v>3</v>
      </c>
      <c r="D3004" s="85" t="s">
        <v>60</v>
      </c>
      <c r="E3004" s="85">
        <v>17</v>
      </c>
      <c r="F3004" s="85">
        <v>4</v>
      </c>
      <c r="G3004" s="85">
        <f>--(F3004&lt;=Estimator!$B$7)</f>
        <v>1</v>
      </c>
      <c r="H3004" s="86">
        <f>SUMIFS('Climate Data'!$G$7:$G$366,'Climate Data'!$A$7:$A$366,Estimator!$B$4,'Climate Data'!$B$7:$B$366,C3004)</f>
        <v>0.18494623655913978</v>
      </c>
      <c r="I3004" s="87">
        <f>SUMIFS('Climate Data'!$H$7:$H$366,'Climate Data'!$A$7:$A$366,Estimator!$B$4,'Climate Data'!$B$7:$B$366,C3004)</f>
        <v>7.8662790697674421</v>
      </c>
      <c r="J3004" s="86">
        <f>SUMIFS('Wind Proxy'!$H$8:$H$19,'Wind Proxy'!$A$8:$A$19,Estimator!$B$4,'Wind Proxy'!$B$8:$B$19,C3004)</f>
        <v>0</v>
      </c>
    </row>
    <row r="3005" spans="1:10" ht="14.4">
      <c r="A3005" s="84">
        <v>48656</v>
      </c>
      <c r="B3005" s="85">
        <v>2033</v>
      </c>
      <c r="C3005" s="85">
        <v>3</v>
      </c>
      <c r="D3005" s="85" t="s">
        <v>60</v>
      </c>
      <c r="E3005" s="85">
        <v>18</v>
      </c>
      <c r="F3005" s="85">
        <v>5</v>
      </c>
      <c r="G3005" s="85">
        <f>--(F3005&lt;=Estimator!$B$7)</f>
        <v>1</v>
      </c>
      <c r="H3005" s="86">
        <f>SUMIFS('Climate Data'!$G$7:$G$366,'Climate Data'!$A$7:$A$366,Estimator!$B$4,'Climate Data'!$B$7:$B$366,C3005)</f>
        <v>0.18494623655913978</v>
      </c>
      <c r="I3005" s="87">
        <f>SUMIFS('Climate Data'!$H$7:$H$366,'Climate Data'!$A$7:$A$366,Estimator!$B$4,'Climate Data'!$B$7:$B$366,C3005)</f>
        <v>7.8662790697674421</v>
      </c>
      <c r="J3005" s="86">
        <f>SUMIFS('Wind Proxy'!$H$8:$H$19,'Wind Proxy'!$A$8:$A$19,Estimator!$B$4,'Wind Proxy'!$B$8:$B$19,C3005)</f>
        <v>0</v>
      </c>
    </row>
    <row r="3006" spans="1:10" ht="14.4">
      <c r="A3006" s="84">
        <v>48657</v>
      </c>
      <c r="B3006" s="85">
        <v>2033</v>
      </c>
      <c r="C3006" s="85">
        <v>3</v>
      </c>
      <c r="D3006" s="85" t="s">
        <v>60</v>
      </c>
      <c r="E3006" s="85">
        <v>19</v>
      </c>
      <c r="F3006" s="85">
        <v>6</v>
      </c>
      <c r="G3006" s="85">
        <f>--(F3006&lt;=Estimator!$B$7)</f>
        <v>0</v>
      </c>
      <c r="H3006" s="86">
        <f>SUMIFS('Climate Data'!$G$7:$G$366,'Climate Data'!$A$7:$A$366,Estimator!$B$4,'Climate Data'!$B$7:$B$366,C3006)</f>
        <v>0.18494623655913978</v>
      </c>
      <c r="I3006" s="87">
        <f>SUMIFS('Climate Data'!$H$7:$H$366,'Climate Data'!$A$7:$A$366,Estimator!$B$4,'Climate Data'!$B$7:$B$366,C3006)</f>
        <v>7.8662790697674421</v>
      </c>
      <c r="J3006" s="86">
        <f>SUMIFS('Wind Proxy'!$H$8:$H$19,'Wind Proxy'!$A$8:$A$19,Estimator!$B$4,'Wind Proxy'!$B$8:$B$19,C3006)</f>
        <v>0</v>
      </c>
    </row>
    <row r="3007" spans="1:10" ht="14.4">
      <c r="A3007" s="84">
        <v>48658</v>
      </c>
      <c r="B3007" s="85">
        <v>2033</v>
      </c>
      <c r="C3007" s="85">
        <v>3</v>
      </c>
      <c r="D3007" s="85" t="s">
        <v>60</v>
      </c>
      <c r="E3007" s="85">
        <v>20</v>
      </c>
      <c r="F3007" s="85">
        <v>7</v>
      </c>
      <c r="G3007" s="85">
        <f>--(F3007&lt;=Estimator!$B$7)</f>
        <v>0</v>
      </c>
      <c r="H3007" s="86">
        <f>SUMIFS('Climate Data'!$G$7:$G$366,'Climate Data'!$A$7:$A$366,Estimator!$B$4,'Climate Data'!$B$7:$B$366,C3007)</f>
        <v>0.18494623655913978</v>
      </c>
      <c r="I3007" s="87">
        <f>SUMIFS('Climate Data'!$H$7:$H$366,'Climate Data'!$A$7:$A$366,Estimator!$B$4,'Climate Data'!$B$7:$B$366,C3007)</f>
        <v>7.8662790697674421</v>
      </c>
      <c r="J3007" s="86">
        <f>SUMIFS('Wind Proxy'!$H$8:$H$19,'Wind Proxy'!$A$8:$A$19,Estimator!$B$4,'Wind Proxy'!$B$8:$B$19,C3007)</f>
        <v>0</v>
      </c>
    </row>
    <row r="3008" spans="1:10" ht="14.4">
      <c r="A3008" s="84">
        <v>48659</v>
      </c>
      <c r="B3008" s="85">
        <v>2033</v>
      </c>
      <c r="C3008" s="85">
        <v>3</v>
      </c>
      <c r="D3008" s="85" t="s">
        <v>60</v>
      </c>
      <c r="E3008" s="85">
        <v>21</v>
      </c>
      <c r="F3008" s="85">
        <v>1</v>
      </c>
      <c r="G3008" s="85">
        <f>--(F3008&lt;=Estimator!$B$7)</f>
        <v>1</v>
      </c>
      <c r="H3008" s="86">
        <f>SUMIFS('Climate Data'!$G$7:$G$366,'Climate Data'!$A$7:$A$366,Estimator!$B$4,'Climate Data'!$B$7:$B$366,C3008)</f>
        <v>0.18494623655913978</v>
      </c>
      <c r="I3008" s="87">
        <f>SUMIFS('Climate Data'!$H$7:$H$366,'Climate Data'!$A$7:$A$366,Estimator!$B$4,'Climate Data'!$B$7:$B$366,C3008)</f>
        <v>7.8662790697674421</v>
      </c>
      <c r="J3008" s="86">
        <f>SUMIFS('Wind Proxy'!$H$8:$H$19,'Wind Proxy'!$A$8:$A$19,Estimator!$B$4,'Wind Proxy'!$B$8:$B$19,C3008)</f>
        <v>0</v>
      </c>
    </row>
    <row r="3009" spans="1:10" ht="14.4">
      <c r="A3009" s="84">
        <v>48660</v>
      </c>
      <c r="B3009" s="85">
        <v>2033</v>
      </c>
      <c r="C3009" s="85">
        <v>3</v>
      </c>
      <c r="D3009" s="85" t="s">
        <v>60</v>
      </c>
      <c r="E3009" s="85">
        <v>22</v>
      </c>
      <c r="F3009" s="85">
        <v>2</v>
      </c>
      <c r="G3009" s="85">
        <f>--(F3009&lt;=Estimator!$B$7)</f>
        <v>1</v>
      </c>
      <c r="H3009" s="86">
        <f>SUMIFS('Climate Data'!$G$7:$G$366,'Climate Data'!$A$7:$A$366,Estimator!$B$4,'Climate Data'!$B$7:$B$366,C3009)</f>
        <v>0.18494623655913978</v>
      </c>
      <c r="I3009" s="87">
        <f>SUMIFS('Climate Data'!$H$7:$H$366,'Climate Data'!$A$7:$A$366,Estimator!$B$4,'Climate Data'!$B$7:$B$366,C3009)</f>
        <v>7.8662790697674421</v>
      </c>
      <c r="J3009" s="86">
        <f>SUMIFS('Wind Proxy'!$H$8:$H$19,'Wind Proxy'!$A$8:$A$19,Estimator!$B$4,'Wind Proxy'!$B$8:$B$19,C3009)</f>
        <v>0</v>
      </c>
    </row>
    <row r="3010" spans="1:10" ht="14.4">
      <c r="A3010" s="84">
        <v>48661</v>
      </c>
      <c r="B3010" s="85">
        <v>2033</v>
      </c>
      <c r="C3010" s="85">
        <v>3</v>
      </c>
      <c r="D3010" s="85" t="s">
        <v>60</v>
      </c>
      <c r="E3010" s="85">
        <v>23</v>
      </c>
      <c r="F3010" s="85">
        <v>3</v>
      </c>
      <c r="G3010" s="85">
        <f>--(F3010&lt;=Estimator!$B$7)</f>
        <v>1</v>
      </c>
      <c r="H3010" s="86">
        <f>SUMIFS('Climate Data'!$G$7:$G$366,'Climate Data'!$A$7:$A$366,Estimator!$B$4,'Climate Data'!$B$7:$B$366,C3010)</f>
        <v>0.18494623655913978</v>
      </c>
      <c r="I3010" s="87">
        <f>SUMIFS('Climate Data'!$H$7:$H$366,'Climate Data'!$A$7:$A$366,Estimator!$B$4,'Climate Data'!$B$7:$B$366,C3010)</f>
        <v>7.8662790697674421</v>
      </c>
      <c r="J3010" s="86">
        <f>SUMIFS('Wind Proxy'!$H$8:$H$19,'Wind Proxy'!$A$8:$A$19,Estimator!$B$4,'Wind Proxy'!$B$8:$B$19,C3010)</f>
        <v>0</v>
      </c>
    </row>
    <row r="3011" spans="1:10" ht="14.4">
      <c r="A3011" s="84">
        <v>48662</v>
      </c>
      <c r="B3011" s="85">
        <v>2033</v>
      </c>
      <c r="C3011" s="85">
        <v>3</v>
      </c>
      <c r="D3011" s="85" t="s">
        <v>60</v>
      </c>
      <c r="E3011" s="85">
        <v>24</v>
      </c>
      <c r="F3011" s="85">
        <v>4</v>
      </c>
      <c r="G3011" s="85">
        <f>--(F3011&lt;=Estimator!$B$7)</f>
        <v>1</v>
      </c>
      <c r="H3011" s="86">
        <f>SUMIFS('Climate Data'!$G$7:$G$366,'Climate Data'!$A$7:$A$366,Estimator!$B$4,'Climate Data'!$B$7:$B$366,C3011)</f>
        <v>0.18494623655913978</v>
      </c>
      <c r="I3011" s="87">
        <f>SUMIFS('Climate Data'!$H$7:$H$366,'Climate Data'!$A$7:$A$366,Estimator!$B$4,'Climate Data'!$B$7:$B$366,C3011)</f>
        <v>7.8662790697674421</v>
      </c>
      <c r="J3011" s="86">
        <f>SUMIFS('Wind Proxy'!$H$8:$H$19,'Wind Proxy'!$A$8:$A$19,Estimator!$B$4,'Wind Proxy'!$B$8:$B$19,C3011)</f>
        <v>0</v>
      </c>
    </row>
    <row r="3012" spans="1:10" ht="14.4">
      <c r="A3012" s="84">
        <v>48663</v>
      </c>
      <c r="B3012" s="85">
        <v>2033</v>
      </c>
      <c r="C3012" s="85">
        <v>3</v>
      </c>
      <c r="D3012" s="85" t="s">
        <v>60</v>
      </c>
      <c r="E3012" s="85">
        <v>25</v>
      </c>
      <c r="F3012" s="85">
        <v>5</v>
      </c>
      <c r="G3012" s="85">
        <f>--(F3012&lt;=Estimator!$B$7)</f>
        <v>1</v>
      </c>
      <c r="H3012" s="86">
        <f>SUMIFS('Climate Data'!$G$7:$G$366,'Climate Data'!$A$7:$A$366,Estimator!$B$4,'Climate Data'!$B$7:$B$366,C3012)</f>
        <v>0.18494623655913978</v>
      </c>
      <c r="I3012" s="87">
        <f>SUMIFS('Climate Data'!$H$7:$H$366,'Climate Data'!$A$7:$A$366,Estimator!$B$4,'Climate Data'!$B$7:$B$366,C3012)</f>
        <v>7.8662790697674421</v>
      </c>
      <c r="J3012" s="86">
        <f>SUMIFS('Wind Proxy'!$H$8:$H$19,'Wind Proxy'!$A$8:$A$19,Estimator!$B$4,'Wind Proxy'!$B$8:$B$19,C3012)</f>
        <v>0</v>
      </c>
    </row>
    <row r="3013" spans="1:10" ht="14.4">
      <c r="A3013" s="84">
        <v>48664</v>
      </c>
      <c r="B3013" s="85">
        <v>2033</v>
      </c>
      <c r="C3013" s="85">
        <v>3</v>
      </c>
      <c r="D3013" s="85" t="s">
        <v>60</v>
      </c>
      <c r="E3013" s="85">
        <v>26</v>
      </c>
      <c r="F3013" s="85">
        <v>6</v>
      </c>
      <c r="G3013" s="85">
        <f>--(F3013&lt;=Estimator!$B$7)</f>
        <v>0</v>
      </c>
      <c r="H3013" s="86">
        <f>SUMIFS('Climate Data'!$G$7:$G$366,'Climate Data'!$A$7:$A$366,Estimator!$B$4,'Climate Data'!$B$7:$B$366,C3013)</f>
        <v>0.18494623655913978</v>
      </c>
      <c r="I3013" s="87">
        <f>SUMIFS('Climate Data'!$H$7:$H$366,'Climate Data'!$A$7:$A$366,Estimator!$B$4,'Climate Data'!$B$7:$B$366,C3013)</f>
        <v>7.8662790697674421</v>
      </c>
      <c r="J3013" s="86">
        <f>SUMIFS('Wind Proxy'!$H$8:$H$19,'Wind Proxy'!$A$8:$A$19,Estimator!$B$4,'Wind Proxy'!$B$8:$B$19,C3013)</f>
        <v>0</v>
      </c>
    </row>
    <row r="3014" spans="1:10" ht="14.4">
      <c r="A3014" s="84">
        <v>48665</v>
      </c>
      <c r="B3014" s="85">
        <v>2033</v>
      </c>
      <c r="C3014" s="85">
        <v>3</v>
      </c>
      <c r="D3014" s="85" t="s">
        <v>60</v>
      </c>
      <c r="E3014" s="85">
        <v>27</v>
      </c>
      <c r="F3014" s="85">
        <v>7</v>
      </c>
      <c r="G3014" s="85">
        <f>--(F3014&lt;=Estimator!$B$7)</f>
        <v>0</v>
      </c>
      <c r="H3014" s="86">
        <f>SUMIFS('Climate Data'!$G$7:$G$366,'Climate Data'!$A$7:$A$366,Estimator!$B$4,'Climate Data'!$B$7:$B$366,C3014)</f>
        <v>0.18494623655913978</v>
      </c>
      <c r="I3014" s="87">
        <f>SUMIFS('Climate Data'!$H$7:$H$366,'Climate Data'!$A$7:$A$366,Estimator!$B$4,'Climate Data'!$B$7:$B$366,C3014)</f>
        <v>7.8662790697674421</v>
      </c>
      <c r="J3014" s="86">
        <f>SUMIFS('Wind Proxy'!$H$8:$H$19,'Wind Proxy'!$A$8:$A$19,Estimator!$B$4,'Wind Proxy'!$B$8:$B$19,C3014)</f>
        <v>0</v>
      </c>
    </row>
    <row r="3015" spans="1:10" ht="14.4">
      <c r="A3015" s="84">
        <v>48666</v>
      </c>
      <c r="B3015" s="85">
        <v>2033</v>
      </c>
      <c r="C3015" s="85">
        <v>3</v>
      </c>
      <c r="D3015" s="85" t="s">
        <v>60</v>
      </c>
      <c r="E3015" s="85">
        <v>28</v>
      </c>
      <c r="F3015" s="85">
        <v>1</v>
      </c>
      <c r="G3015" s="85">
        <f>--(F3015&lt;=Estimator!$B$7)</f>
        <v>1</v>
      </c>
      <c r="H3015" s="86">
        <f>SUMIFS('Climate Data'!$G$7:$G$366,'Climate Data'!$A$7:$A$366,Estimator!$B$4,'Climate Data'!$B$7:$B$366,C3015)</f>
        <v>0.18494623655913978</v>
      </c>
      <c r="I3015" s="87">
        <f>SUMIFS('Climate Data'!$H$7:$H$366,'Climate Data'!$A$7:$A$366,Estimator!$B$4,'Climate Data'!$B$7:$B$366,C3015)</f>
        <v>7.8662790697674421</v>
      </c>
      <c r="J3015" s="86">
        <f>SUMIFS('Wind Proxy'!$H$8:$H$19,'Wind Proxy'!$A$8:$A$19,Estimator!$B$4,'Wind Proxy'!$B$8:$B$19,C3015)</f>
        <v>0</v>
      </c>
    </row>
    <row r="3016" spans="1:10" ht="14.4">
      <c r="A3016" s="84">
        <v>48667</v>
      </c>
      <c r="B3016" s="85">
        <v>2033</v>
      </c>
      <c r="C3016" s="85">
        <v>3</v>
      </c>
      <c r="D3016" s="85" t="s">
        <v>60</v>
      </c>
      <c r="E3016" s="85">
        <v>29</v>
      </c>
      <c r="F3016" s="85">
        <v>2</v>
      </c>
      <c r="G3016" s="85">
        <f>--(F3016&lt;=Estimator!$B$7)</f>
        <v>1</v>
      </c>
      <c r="H3016" s="86">
        <f>SUMIFS('Climate Data'!$G$7:$G$366,'Climate Data'!$A$7:$A$366,Estimator!$B$4,'Climate Data'!$B$7:$B$366,C3016)</f>
        <v>0.18494623655913978</v>
      </c>
      <c r="I3016" s="87">
        <f>SUMIFS('Climate Data'!$H$7:$H$366,'Climate Data'!$A$7:$A$366,Estimator!$B$4,'Climate Data'!$B$7:$B$366,C3016)</f>
        <v>7.8662790697674421</v>
      </c>
      <c r="J3016" s="86">
        <f>SUMIFS('Wind Proxy'!$H$8:$H$19,'Wind Proxy'!$A$8:$A$19,Estimator!$B$4,'Wind Proxy'!$B$8:$B$19,C3016)</f>
        <v>0</v>
      </c>
    </row>
    <row r="3017" spans="1:10" ht="14.4">
      <c r="A3017" s="84">
        <v>48668</v>
      </c>
      <c r="B3017" s="85">
        <v>2033</v>
      </c>
      <c r="C3017" s="85">
        <v>3</v>
      </c>
      <c r="D3017" s="85" t="s">
        <v>60</v>
      </c>
      <c r="E3017" s="85">
        <v>30</v>
      </c>
      <c r="F3017" s="85">
        <v>3</v>
      </c>
      <c r="G3017" s="85">
        <f>--(F3017&lt;=Estimator!$B$7)</f>
        <v>1</v>
      </c>
      <c r="H3017" s="86">
        <f>SUMIFS('Climate Data'!$G$7:$G$366,'Climate Data'!$A$7:$A$366,Estimator!$B$4,'Climate Data'!$B$7:$B$366,C3017)</f>
        <v>0.18494623655913978</v>
      </c>
      <c r="I3017" s="87">
        <f>SUMIFS('Climate Data'!$H$7:$H$366,'Climate Data'!$A$7:$A$366,Estimator!$B$4,'Climate Data'!$B$7:$B$366,C3017)</f>
        <v>7.8662790697674421</v>
      </c>
      <c r="J3017" s="86">
        <f>SUMIFS('Wind Proxy'!$H$8:$H$19,'Wind Proxy'!$A$8:$A$19,Estimator!$B$4,'Wind Proxy'!$B$8:$B$19,C3017)</f>
        <v>0</v>
      </c>
    </row>
    <row r="3018" spans="1:10" ht="14.4">
      <c r="A3018" s="84">
        <v>48669</v>
      </c>
      <c r="B3018" s="85">
        <v>2033</v>
      </c>
      <c r="C3018" s="85">
        <v>3</v>
      </c>
      <c r="D3018" s="85" t="s">
        <v>60</v>
      </c>
      <c r="E3018" s="85">
        <v>31</v>
      </c>
      <c r="F3018" s="85">
        <v>4</v>
      </c>
      <c r="G3018" s="85">
        <f>--(F3018&lt;=Estimator!$B$7)</f>
        <v>1</v>
      </c>
      <c r="H3018" s="86">
        <f>SUMIFS('Climate Data'!$G$7:$G$366,'Climate Data'!$A$7:$A$366,Estimator!$B$4,'Climate Data'!$B$7:$B$366,C3018)</f>
        <v>0.18494623655913978</v>
      </c>
      <c r="I3018" s="87">
        <f>SUMIFS('Climate Data'!$H$7:$H$366,'Climate Data'!$A$7:$A$366,Estimator!$B$4,'Climate Data'!$B$7:$B$366,C3018)</f>
        <v>7.8662790697674421</v>
      </c>
      <c r="J3018" s="86">
        <f>SUMIFS('Wind Proxy'!$H$8:$H$19,'Wind Proxy'!$A$8:$A$19,Estimator!$B$4,'Wind Proxy'!$B$8:$B$19,C3018)</f>
        <v>0</v>
      </c>
    </row>
    <row r="3019" spans="1:10" ht="14.4">
      <c r="A3019" s="84">
        <v>48670</v>
      </c>
      <c r="B3019" s="85">
        <v>2033</v>
      </c>
      <c r="C3019" s="85">
        <v>4</v>
      </c>
      <c r="D3019" s="85" t="s">
        <v>62</v>
      </c>
      <c r="E3019" s="85">
        <v>1</v>
      </c>
      <c r="F3019" s="85">
        <v>5</v>
      </c>
      <c r="G3019" s="85">
        <f>--(F3019&lt;=Estimator!$B$7)</f>
        <v>1</v>
      </c>
      <c r="H3019" s="86">
        <f>SUMIFS('Climate Data'!$G$7:$G$366,'Climate Data'!$A$7:$A$366,Estimator!$B$4,'Climate Data'!$B$7:$B$366,C3019)</f>
        <v>0.25555555555555559</v>
      </c>
      <c r="I3019" s="87">
        <f>SUMIFS('Climate Data'!$H$7:$H$366,'Climate Data'!$A$7:$A$366,Estimator!$B$4,'Climate Data'!$B$7:$B$366,C3019)</f>
        <v>7.5</v>
      </c>
      <c r="J3019" s="86">
        <f>SUMIFS('Wind Proxy'!$H$8:$H$19,'Wind Proxy'!$A$8:$A$19,Estimator!$B$4,'Wind Proxy'!$B$8:$B$19,C3019)</f>
        <v>0</v>
      </c>
    </row>
    <row r="3020" spans="1:10" ht="14.4">
      <c r="A3020" s="84">
        <v>48671</v>
      </c>
      <c r="B3020" s="85">
        <v>2033</v>
      </c>
      <c r="C3020" s="85">
        <v>4</v>
      </c>
      <c r="D3020" s="85" t="s">
        <v>62</v>
      </c>
      <c r="E3020" s="85">
        <v>2</v>
      </c>
      <c r="F3020" s="85">
        <v>6</v>
      </c>
      <c r="G3020" s="85">
        <f>--(F3020&lt;=Estimator!$B$7)</f>
        <v>0</v>
      </c>
      <c r="H3020" s="86">
        <f>SUMIFS('Climate Data'!$G$7:$G$366,'Climate Data'!$A$7:$A$366,Estimator!$B$4,'Climate Data'!$B$7:$B$366,C3020)</f>
        <v>0.25555555555555559</v>
      </c>
      <c r="I3020" s="87">
        <f>SUMIFS('Climate Data'!$H$7:$H$366,'Climate Data'!$A$7:$A$366,Estimator!$B$4,'Climate Data'!$B$7:$B$366,C3020)</f>
        <v>7.5</v>
      </c>
      <c r="J3020" s="86">
        <f>SUMIFS('Wind Proxy'!$H$8:$H$19,'Wind Proxy'!$A$8:$A$19,Estimator!$B$4,'Wind Proxy'!$B$8:$B$19,C3020)</f>
        <v>0</v>
      </c>
    </row>
    <row r="3021" spans="1:10" ht="14.4">
      <c r="A3021" s="84">
        <v>48672</v>
      </c>
      <c r="B3021" s="85">
        <v>2033</v>
      </c>
      <c r="C3021" s="85">
        <v>4</v>
      </c>
      <c r="D3021" s="85" t="s">
        <v>62</v>
      </c>
      <c r="E3021" s="85">
        <v>3</v>
      </c>
      <c r="F3021" s="85">
        <v>7</v>
      </c>
      <c r="G3021" s="85">
        <f>--(F3021&lt;=Estimator!$B$7)</f>
        <v>0</v>
      </c>
      <c r="H3021" s="86">
        <f>SUMIFS('Climate Data'!$G$7:$G$366,'Climate Data'!$A$7:$A$366,Estimator!$B$4,'Climate Data'!$B$7:$B$366,C3021)</f>
        <v>0.25555555555555559</v>
      </c>
      <c r="I3021" s="87">
        <f>SUMIFS('Climate Data'!$H$7:$H$366,'Climate Data'!$A$7:$A$366,Estimator!$B$4,'Climate Data'!$B$7:$B$366,C3021)</f>
        <v>7.5</v>
      </c>
      <c r="J3021" s="86">
        <f>SUMIFS('Wind Proxy'!$H$8:$H$19,'Wind Proxy'!$A$8:$A$19,Estimator!$B$4,'Wind Proxy'!$B$8:$B$19,C3021)</f>
        <v>0</v>
      </c>
    </row>
    <row r="3022" spans="1:10" ht="14.4">
      <c r="A3022" s="84">
        <v>48673</v>
      </c>
      <c r="B3022" s="85">
        <v>2033</v>
      </c>
      <c r="C3022" s="85">
        <v>4</v>
      </c>
      <c r="D3022" s="85" t="s">
        <v>62</v>
      </c>
      <c r="E3022" s="85">
        <v>4</v>
      </c>
      <c r="F3022" s="85">
        <v>1</v>
      </c>
      <c r="G3022" s="85">
        <f>--(F3022&lt;=Estimator!$B$7)</f>
        <v>1</v>
      </c>
      <c r="H3022" s="86">
        <f>SUMIFS('Climate Data'!$G$7:$G$366,'Climate Data'!$A$7:$A$366,Estimator!$B$4,'Climate Data'!$B$7:$B$366,C3022)</f>
        <v>0.25555555555555559</v>
      </c>
      <c r="I3022" s="87">
        <f>SUMIFS('Climate Data'!$H$7:$H$366,'Climate Data'!$A$7:$A$366,Estimator!$B$4,'Climate Data'!$B$7:$B$366,C3022)</f>
        <v>7.5</v>
      </c>
      <c r="J3022" s="86">
        <f>SUMIFS('Wind Proxy'!$H$8:$H$19,'Wind Proxy'!$A$8:$A$19,Estimator!$B$4,'Wind Proxy'!$B$8:$B$19,C3022)</f>
        <v>0</v>
      </c>
    </row>
    <row r="3023" spans="1:10" ht="14.4">
      <c r="A3023" s="84">
        <v>48674</v>
      </c>
      <c r="B3023" s="85">
        <v>2033</v>
      </c>
      <c r="C3023" s="85">
        <v>4</v>
      </c>
      <c r="D3023" s="85" t="s">
        <v>62</v>
      </c>
      <c r="E3023" s="85">
        <v>5</v>
      </c>
      <c r="F3023" s="85">
        <v>2</v>
      </c>
      <c r="G3023" s="85">
        <f>--(F3023&lt;=Estimator!$B$7)</f>
        <v>1</v>
      </c>
      <c r="H3023" s="86">
        <f>SUMIFS('Climate Data'!$G$7:$G$366,'Climate Data'!$A$7:$A$366,Estimator!$B$4,'Climate Data'!$B$7:$B$366,C3023)</f>
        <v>0.25555555555555559</v>
      </c>
      <c r="I3023" s="87">
        <f>SUMIFS('Climate Data'!$H$7:$H$366,'Climate Data'!$A$7:$A$366,Estimator!$B$4,'Climate Data'!$B$7:$B$366,C3023)</f>
        <v>7.5</v>
      </c>
      <c r="J3023" s="86">
        <f>SUMIFS('Wind Proxy'!$H$8:$H$19,'Wind Proxy'!$A$8:$A$19,Estimator!$B$4,'Wind Proxy'!$B$8:$B$19,C3023)</f>
        <v>0</v>
      </c>
    </row>
    <row r="3024" spans="1:10" ht="14.4">
      <c r="A3024" s="84">
        <v>48675</v>
      </c>
      <c r="B3024" s="85">
        <v>2033</v>
      </c>
      <c r="C3024" s="85">
        <v>4</v>
      </c>
      <c r="D3024" s="85" t="s">
        <v>62</v>
      </c>
      <c r="E3024" s="85">
        <v>6</v>
      </c>
      <c r="F3024" s="85">
        <v>3</v>
      </c>
      <c r="G3024" s="85">
        <f>--(F3024&lt;=Estimator!$B$7)</f>
        <v>1</v>
      </c>
      <c r="H3024" s="86">
        <f>SUMIFS('Climate Data'!$G$7:$G$366,'Climate Data'!$A$7:$A$366,Estimator!$B$4,'Climate Data'!$B$7:$B$366,C3024)</f>
        <v>0.25555555555555559</v>
      </c>
      <c r="I3024" s="87">
        <f>SUMIFS('Climate Data'!$H$7:$H$366,'Climate Data'!$A$7:$A$366,Estimator!$B$4,'Climate Data'!$B$7:$B$366,C3024)</f>
        <v>7.5</v>
      </c>
      <c r="J3024" s="86">
        <f>SUMIFS('Wind Proxy'!$H$8:$H$19,'Wind Proxy'!$A$8:$A$19,Estimator!$B$4,'Wind Proxy'!$B$8:$B$19,C3024)</f>
        <v>0</v>
      </c>
    </row>
    <row r="3025" spans="1:10" ht="14.4">
      <c r="A3025" s="84">
        <v>48676</v>
      </c>
      <c r="B3025" s="85">
        <v>2033</v>
      </c>
      <c r="C3025" s="85">
        <v>4</v>
      </c>
      <c r="D3025" s="85" t="s">
        <v>62</v>
      </c>
      <c r="E3025" s="85">
        <v>7</v>
      </c>
      <c r="F3025" s="85">
        <v>4</v>
      </c>
      <c r="G3025" s="85">
        <f>--(F3025&lt;=Estimator!$B$7)</f>
        <v>1</v>
      </c>
      <c r="H3025" s="86">
        <f>SUMIFS('Climate Data'!$G$7:$G$366,'Climate Data'!$A$7:$A$366,Estimator!$B$4,'Climate Data'!$B$7:$B$366,C3025)</f>
        <v>0.25555555555555559</v>
      </c>
      <c r="I3025" s="87">
        <f>SUMIFS('Climate Data'!$H$7:$H$366,'Climate Data'!$A$7:$A$366,Estimator!$B$4,'Climate Data'!$B$7:$B$366,C3025)</f>
        <v>7.5</v>
      </c>
      <c r="J3025" s="86">
        <f>SUMIFS('Wind Proxy'!$H$8:$H$19,'Wind Proxy'!$A$8:$A$19,Estimator!$B$4,'Wind Proxy'!$B$8:$B$19,C3025)</f>
        <v>0</v>
      </c>
    </row>
    <row r="3026" spans="1:10" ht="14.4">
      <c r="A3026" s="84">
        <v>48677</v>
      </c>
      <c r="B3026" s="85">
        <v>2033</v>
      </c>
      <c r="C3026" s="85">
        <v>4</v>
      </c>
      <c r="D3026" s="85" t="s">
        <v>62</v>
      </c>
      <c r="E3026" s="85">
        <v>8</v>
      </c>
      <c r="F3026" s="85">
        <v>5</v>
      </c>
      <c r="G3026" s="85">
        <f>--(F3026&lt;=Estimator!$B$7)</f>
        <v>1</v>
      </c>
      <c r="H3026" s="86">
        <f>SUMIFS('Climate Data'!$G$7:$G$366,'Climate Data'!$A$7:$A$366,Estimator!$B$4,'Climate Data'!$B$7:$B$366,C3026)</f>
        <v>0.25555555555555559</v>
      </c>
      <c r="I3026" s="87">
        <f>SUMIFS('Climate Data'!$H$7:$H$366,'Climate Data'!$A$7:$A$366,Estimator!$B$4,'Climate Data'!$B$7:$B$366,C3026)</f>
        <v>7.5</v>
      </c>
      <c r="J3026" s="86">
        <f>SUMIFS('Wind Proxy'!$H$8:$H$19,'Wind Proxy'!$A$8:$A$19,Estimator!$B$4,'Wind Proxy'!$B$8:$B$19,C3026)</f>
        <v>0</v>
      </c>
    </row>
    <row r="3027" spans="1:10" ht="14.4">
      <c r="A3027" s="84">
        <v>48678</v>
      </c>
      <c r="B3027" s="85">
        <v>2033</v>
      </c>
      <c r="C3027" s="85">
        <v>4</v>
      </c>
      <c r="D3027" s="85" t="s">
        <v>62</v>
      </c>
      <c r="E3027" s="85">
        <v>9</v>
      </c>
      <c r="F3027" s="85">
        <v>6</v>
      </c>
      <c r="G3027" s="85">
        <f>--(F3027&lt;=Estimator!$B$7)</f>
        <v>0</v>
      </c>
      <c r="H3027" s="86">
        <f>SUMIFS('Climate Data'!$G$7:$G$366,'Climate Data'!$A$7:$A$366,Estimator!$B$4,'Climate Data'!$B$7:$B$366,C3027)</f>
        <v>0.25555555555555559</v>
      </c>
      <c r="I3027" s="87">
        <f>SUMIFS('Climate Data'!$H$7:$H$366,'Climate Data'!$A$7:$A$366,Estimator!$B$4,'Climate Data'!$B$7:$B$366,C3027)</f>
        <v>7.5</v>
      </c>
      <c r="J3027" s="86">
        <f>SUMIFS('Wind Proxy'!$H$8:$H$19,'Wind Proxy'!$A$8:$A$19,Estimator!$B$4,'Wind Proxy'!$B$8:$B$19,C3027)</f>
        <v>0</v>
      </c>
    </row>
    <row r="3028" spans="1:10" ht="14.4">
      <c r="A3028" s="84">
        <v>48679</v>
      </c>
      <c r="B3028" s="85">
        <v>2033</v>
      </c>
      <c r="C3028" s="85">
        <v>4</v>
      </c>
      <c r="D3028" s="85" t="s">
        <v>62</v>
      </c>
      <c r="E3028" s="85">
        <v>10</v>
      </c>
      <c r="F3028" s="85">
        <v>7</v>
      </c>
      <c r="G3028" s="85">
        <f>--(F3028&lt;=Estimator!$B$7)</f>
        <v>0</v>
      </c>
      <c r="H3028" s="86">
        <f>SUMIFS('Climate Data'!$G$7:$G$366,'Climate Data'!$A$7:$A$366,Estimator!$B$4,'Climate Data'!$B$7:$B$366,C3028)</f>
        <v>0.25555555555555559</v>
      </c>
      <c r="I3028" s="87">
        <f>SUMIFS('Climate Data'!$H$7:$H$366,'Climate Data'!$A$7:$A$366,Estimator!$B$4,'Climate Data'!$B$7:$B$366,C3028)</f>
        <v>7.5</v>
      </c>
      <c r="J3028" s="86">
        <f>SUMIFS('Wind Proxy'!$H$8:$H$19,'Wind Proxy'!$A$8:$A$19,Estimator!$B$4,'Wind Proxy'!$B$8:$B$19,C3028)</f>
        <v>0</v>
      </c>
    </row>
    <row r="3029" spans="1:10" ht="14.4">
      <c r="A3029" s="84">
        <v>48680</v>
      </c>
      <c r="B3029" s="85">
        <v>2033</v>
      </c>
      <c r="C3029" s="85">
        <v>4</v>
      </c>
      <c r="D3029" s="85" t="s">
        <v>62</v>
      </c>
      <c r="E3029" s="85">
        <v>11</v>
      </c>
      <c r="F3029" s="85">
        <v>1</v>
      </c>
      <c r="G3029" s="85">
        <f>--(F3029&lt;=Estimator!$B$7)</f>
        <v>1</v>
      </c>
      <c r="H3029" s="86">
        <f>SUMIFS('Climate Data'!$G$7:$G$366,'Climate Data'!$A$7:$A$366,Estimator!$B$4,'Climate Data'!$B$7:$B$366,C3029)</f>
        <v>0.25555555555555559</v>
      </c>
      <c r="I3029" s="87">
        <f>SUMIFS('Climate Data'!$H$7:$H$366,'Climate Data'!$A$7:$A$366,Estimator!$B$4,'Climate Data'!$B$7:$B$366,C3029)</f>
        <v>7.5</v>
      </c>
      <c r="J3029" s="86">
        <f>SUMIFS('Wind Proxy'!$H$8:$H$19,'Wind Proxy'!$A$8:$A$19,Estimator!$B$4,'Wind Proxy'!$B$8:$B$19,C3029)</f>
        <v>0</v>
      </c>
    </row>
    <row r="3030" spans="1:10" ht="14.4">
      <c r="A3030" s="84">
        <v>48681</v>
      </c>
      <c r="B3030" s="85">
        <v>2033</v>
      </c>
      <c r="C3030" s="85">
        <v>4</v>
      </c>
      <c r="D3030" s="85" t="s">
        <v>62</v>
      </c>
      <c r="E3030" s="85">
        <v>12</v>
      </c>
      <c r="F3030" s="85">
        <v>2</v>
      </c>
      <c r="G3030" s="85">
        <f>--(F3030&lt;=Estimator!$B$7)</f>
        <v>1</v>
      </c>
      <c r="H3030" s="86">
        <f>SUMIFS('Climate Data'!$G$7:$G$366,'Climate Data'!$A$7:$A$366,Estimator!$B$4,'Climate Data'!$B$7:$B$366,C3030)</f>
        <v>0.25555555555555559</v>
      </c>
      <c r="I3030" s="87">
        <f>SUMIFS('Climate Data'!$H$7:$H$366,'Climate Data'!$A$7:$A$366,Estimator!$B$4,'Climate Data'!$B$7:$B$366,C3030)</f>
        <v>7.5</v>
      </c>
      <c r="J3030" s="86">
        <f>SUMIFS('Wind Proxy'!$H$8:$H$19,'Wind Proxy'!$A$8:$A$19,Estimator!$B$4,'Wind Proxy'!$B$8:$B$19,C3030)</f>
        <v>0</v>
      </c>
    </row>
    <row r="3031" spans="1:10" ht="14.4">
      <c r="A3031" s="84">
        <v>48682</v>
      </c>
      <c r="B3031" s="85">
        <v>2033</v>
      </c>
      <c r="C3031" s="85">
        <v>4</v>
      </c>
      <c r="D3031" s="85" t="s">
        <v>62</v>
      </c>
      <c r="E3031" s="85">
        <v>13</v>
      </c>
      <c r="F3031" s="85">
        <v>3</v>
      </c>
      <c r="G3031" s="85">
        <f>--(F3031&lt;=Estimator!$B$7)</f>
        <v>1</v>
      </c>
      <c r="H3031" s="86">
        <f>SUMIFS('Climate Data'!$G$7:$G$366,'Climate Data'!$A$7:$A$366,Estimator!$B$4,'Climate Data'!$B$7:$B$366,C3031)</f>
        <v>0.25555555555555559</v>
      </c>
      <c r="I3031" s="87">
        <f>SUMIFS('Climate Data'!$H$7:$H$366,'Climate Data'!$A$7:$A$366,Estimator!$B$4,'Climate Data'!$B$7:$B$366,C3031)</f>
        <v>7.5</v>
      </c>
      <c r="J3031" s="86">
        <f>SUMIFS('Wind Proxy'!$H$8:$H$19,'Wind Proxy'!$A$8:$A$19,Estimator!$B$4,'Wind Proxy'!$B$8:$B$19,C3031)</f>
        <v>0</v>
      </c>
    </row>
    <row r="3032" spans="1:10" ht="14.4">
      <c r="A3032" s="84">
        <v>48683</v>
      </c>
      <c r="B3032" s="85">
        <v>2033</v>
      </c>
      <c r="C3032" s="85">
        <v>4</v>
      </c>
      <c r="D3032" s="85" t="s">
        <v>62</v>
      </c>
      <c r="E3032" s="85">
        <v>14</v>
      </c>
      <c r="F3032" s="85">
        <v>4</v>
      </c>
      <c r="G3032" s="85">
        <f>--(F3032&lt;=Estimator!$B$7)</f>
        <v>1</v>
      </c>
      <c r="H3032" s="86">
        <f>SUMIFS('Climate Data'!$G$7:$G$366,'Climate Data'!$A$7:$A$366,Estimator!$B$4,'Climate Data'!$B$7:$B$366,C3032)</f>
        <v>0.25555555555555559</v>
      </c>
      <c r="I3032" s="87">
        <f>SUMIFS('Climate Data'!$H$7:$H$366,'Climate Data'!$A$7:$A$366,Estimator!$B$4,'Climate Data'!$B$7:$B$366,C3032)</f>
        <v>7.5</v>
      </c>
      <c r="J3032" s="86">
        <f>SUMIFS('Wind Proxy'!$H$8:$H$19,'Wind Proxy'!$A$8:$A$19,Estimator!$B$4,'Wind Proxy'!$B$8:$B$19,C3032)</f>
        <v>0</v>
      </c>
    </row>
    <row r="3033" spans="1:10" ht="14.4">
      <c r="A3033" s="84">
        <v>48684</v>
      </c>
      <c r="B3033" s="85">
        <v>2033</v>
      </c>
      <c r="C3033" s="85">
        <v>4</v>
      </c>
      <c r="D3033" s="85" t="s">
        <v>62</v>
      </c>
      <c r="E3033" s="85">
        <v>15</v>
      </c>
      <c r="F3033" s="85">
        <v>5</v>
      </c>
      <c r="G3033" s="85">
        <f>--(F3033&lt;=Estimator!$B$7)</f>
        <v>1</v>
      </c>
      <c r="H3033" s="86">
        <f>SUMIFS('Climate Data'!$G$7:$G$366,'Climate Data'!$A$7:$A$366,Estimator!$B$4,'Climate Data'!$B$7:$B$366,C3033)</f>
        <v>0.25555555555555559</v>
      </c>
      <c r="I3033" s="87">
        <f>SUMIFS('Climate Data'!$H$7:$H$366,'Climate Data'!$A$7:$A$366,Estimator!$B$4,'Climate Data'!$B$7:$B$366,C3033)</f>
        <v>7.5</v>
      </c>
      <c r="J3033" s="86">
        <f>SUMIFS('Wind Proxy'!$H$8:$H$19,'Wind Proxy'!$A$8:$A$19,Estimator!$B$4,'Wind Proxy'!$B$8:$B$19,C3033)</f>
        <v>0</v>
      </c>
    </row>
    <row r="3034" spans="1:10" ht="14.4">
      <c r="A3034" s="84">
        <v>48685</v>
      </c>
      <c r="B3034" s="85">
        <v>2033</v>
      </c>
      <c r="C3034" s="85">
        <v>4</v>
      </c>
      <c r="D3034" s="85" t="s">
        <v>62</v>
      </c>
      <c r="E3034" s="85">
        <v>16</v>
      </c>
      <c r="F3034" s="85">
        <v>6</v>
      </c>
      <c r="G3034" s="85">
        <f>--(F3034&lt;=Estimator!$B$7)</f>
        <v>0</v>
      </c>
      <c r="H3034" s="86">
        <f>SUMIFS('Climate Data'!$G$7:$G$366,'Climate Data'!$A$7:$A$366,Estimator!$B$4,'Climate Data'!$B$7:$B$366,C3034)</f>
        <v>0.25555555555555559</v>
      </c>
      <c r="I3034" s="87">
        <f>SUMIFS('Climate Data'!$H$7:$H$366,'Climate Data'!$A$7:$A$366,Estimator!$B$4,'Climate Data'!$B$7:$B$366,C3034)</f>
        <v>7.5</v>
      </c>
      <c r="J3034" s="86">
        <f>SUMIFS('Wind Proxy'!$H$8:$H$19,'Wind Proxy'!$A$8:$A$19,Estimator!$B$4,'Wind Proxy'!$B$8:$B$19,C3034)</f>
        <v>0</v>
      </c>
    </row>
    <row r="3035" spans="1:10" ht="14.4">
      <c r="A3035" s="84">
        <v>48686</v>
      </c>
      <c r="B3035" s="85">
        <v>2033</v>
      </c>
      <c r="C3035" s="85">
        <v>4</v>
      </c>
      <c r="D3035" s="85" t="s">
        <v>62</v>
      </c>
      <c r="E3035" s="85">
        <v>17</v>
      </c>
      <c r="F3035" s="85">
        <v>7</v>
      </c>
      <c r="G3035" s="85">
        <f>--(F3035&lt;=Estimator!$B$7)</f>
        <v>0</v>
      </c>
      <c r="H3035" s="86">
        <f>SUMIFS('Climate Data'!$G$7:$G$366,'Climate Data'!$A$7:$A$366,Estimator!$B$4,'Climate Data'!$B$7:$B$366,C3035)</f>
        <v>0.25555555555555559</v>
      </c>
      <c r="I3035" s="87">
        <f>SUMIFS('Climate Data'!$H$7:$H$366,'Climate Data'!$A$7:$A$366,Estimator!$B$4,'Climate Data'!$B$7:$B$366,C3035)</f>
        <v>7.5</v>
      </c>
      <c r="J3035" s="86">
        <f>SUMIFS('Wind Proxy'!$H$8:$H$19,'Wind Proxy'!$A$8:$A$19,Estimator!$B$4,'Wind Proxy'!$B$8:$B$19,C3035)</f>
        <v>0</v>
      </c>
    </row>
    <row r="3036" spans="1:10" ht="14.4">
      <c r="A3036" s="84">
        <v>48687</v>
      </c>
      <c r="B3036" s="85">
        <v>2033</v>
      </c>
      <c r="C3036" s="85">
        <v>4</v>
      </c>
      <c r="D3036" s="85" t="s">
        <v>62</v>
      </c>
      <c r="E3036" s="85">
        <v>18</v>
      </c>
      <c r="F3036" s="85">
        <v>1</v>
      </c>
      <c r="G3036" s="85">
        <f>--(F3036&lt;=Estimator!$B$7)</f>
        <v>1</v>
      </c>
      <c r="H3036" s="86">
        <f>SUMIFS('Climate Data'!$G$7:$G$366,'Climate Data'!$A$7:$A$366,Estimator!$B$4,'Climate Data'!$B$7:$B$366,C3036)</f>
        <v>0.25555555555555559</v>
      </c>
      <c r="I3036" s="87">
        <f>SUMIFS('Climate Data'!$H$7:$H$366,'Climate Data'!$A$7:$A$366,Estimator!$B$4,'Climate Data'!$B$7:$B$366,C3036)</f>
        <v>7.5</v>
      </c>
      <c r="J3036" s="86">
        <f>SUMIFS('Wind Proxy'!$H$8:$H$19,'Wind Proxy'!$A$8:$A$19,Estimator!$B$4,'Wind Proxy'!$B$8:$B$19,C3036)</f>
        <v>0</v>
      </c>
    </row>
    <row r="3037" spans="1:10" ht="14.4">
      <c r="A3037" s="84">
        <v>48688</v>
      </c>
      <c r="B3037" s="85">
        <v>2033</v>
      </c>
      <c r="C3037" s="85">
        <v>4</v>
      </c>
      <c r="D3037" s="85" t="s">
        <v>62</v>
      </c>
      <c r="E3037" s="85">
        <v>19</v>
      </c>
      <c r="F3037" s="85">
        <v>2</v>
      </c>
      <c r="G3037" s="85">
        <f>--(F3037&lt;=Estimator!$B$7)</f>
        <v>1</v>
      </c>
      <c r="H3037" s="86">
        <f>SUMIFS('Climate Data'!$G$7:$G$366,'Climate Data'!$A$7:$A$366,Estimator!$B$4,'Climate Data'!$B$7:$B$366,C3037)</f>
        <v>0.25555555555555559</v>
      </c>
      <c r="I3037" s="87">
        <f>SUMIFS('Climate Data'!$H$7:$H$366,'Climate Data'!$A$7:$A$366,Estimator!$B$4,'Climate Data'!$B$7:$B$366,C3037)</f>
        <v>7.5</v>
      </c>
      <c r="J3037" s="86">
        <f>SUMIFS('Wind Proxy'!$H$8:$H$19,'Wind Proxy'!$A$8:$A$19,Estimator!$B$4,'Wind Proxy'!$B$8:$B$19,C3037)</f>
        <v>0</v>
      </c>
    </row>
    <row r="3038" spans="1:10" ht="14.4">
      <c r="A3038" s="84">
        <v>48689</v>
      </c>
      <c r="B3038" s="85">
        <v>2033</v>
      </c>
      <c r="C3038" s="85">
        <v>4</v>
      </c>
      <c r="D3038" s="85" t="s">
        <v>62</v>
      </c>
      <c r="E3038" s="85">
        <v>20</v>
      </c>
      <c r="F3038" s="85">
        <v>3</v>
      </c>
      <c r="G3038" s="85">
        <f>--(F3038&lt;=Estimator!$B$7)</f>
        <v>1</v>
      </c>
      <c r="H3038" s="86">
        <f>SUMIFS('Climate Data'!$G$7:$G$366,'Climate Data'!$A$7:$A$366,Estimator!$B$4,'Climate Data'!$B$7:$B$366,C3038)</f>
        <v>0.25555555555555559</v>
      </c>
      <c r="I3038" s="87">
        <f>SUMIFS('Climate Data'!$H$7:$H$366,'Climate Data'!$A$7:$A$366,Estimator!$B$4,'Climate Data'!$B$7:$B$366,C3038)</f>
        <v>7.5</v>
      </c>
      <c r="J3038" s="86">
        <f>SUMIFS('Wind Proxy'!$H$8:$H$19,'Wind Proxy'!$A$8:$A$19,Estimator!$B$4,'Wind Proxy'!$B$8:$B$19,C3038)</f>
        <v>0</v>
      </c>
    </row>
    <row r="3039" spans="1:10" ht="14.4">
      <c r="A3039" s="84">
        <v>48690</v>
      </c>
      <c r="B3039" s="85">
        <v>2033</v>
      </c>
      <c r="C3039" s="85">
        <v>4</v>
      </c>
      <c r="D3039" s="85" t="s">
        <v>62</v>
      </c>
      <c r="E3039" s="85">
        <v>21</v>
      </c>
      <c r="F3039" s="85">
        <v>4</v>
      </c>
      <c r="G3039" s="85">
        <f>--(F3039&lt;=Estimator!$B$7)</f>
        <v>1</v>
      </c>
      <c r="H3039" s="86">
        <f>SUMIFS('Climate Data'!$G$7:$G$366,'Climate Data'!$A$7:$A$366,Estimator!$B$4,'Climate Data'!$B$7:$B$366,C3039)</f>
        <v>0.25555555555555559</v>
      </c>
      <c r="I3039" s="87">
        <f>SUMIFS('Climate Data'!$H$7:$H$366,'Climate Data'!$A$7:$A$366,Estimator!$B$4,'Climate Data'!$B$7:$B$366,C3039)</f>
        <v>7.5</v>
      </c>
      <c r="J3039" s="86">
        <f>SUMIFS('Wind Proxy'!$H$8:$H$19,'Wind Proxy'!$A$8:$A$19,Estimator!$B$4,'Wind Proxy'!$B$8:$B$19,C3039)</f>
        <v>0</v>
      </c>
    </row>
    <row r="3040" spans="1:10" ht="14.4">
      <c r="A3040" s="84">
        <v>48691</v>
      </c>
      <c r="B3040" s="85">
        <v>2033</v>
      </c>
      <c r="C3040" s="85">
        <v>4</v>
      </c>
      <c r="D3040" s="85" t="s">
        <v>62</v>
      </c>
      <c r="E3040" s="85">
        <v>22</v>
      </c>
      <c r="F3040" s="85">
        <v>5</v>
      </c>
      <c r="G3040" s="85">
        <f>--(F3040&lt;=Estimator!$B$7)</f>
        <v>1</v>
      </c>
      <c r="H3040" s="86">
        <f>SUMIFS('Climate Data'!$G$7:$G$366,'Climate Data'!$A$7:$A$366,Estimator!$B$4,'Climate Data'!$B$7:$B$366,C3040)</f>
        <v>0.25555555555555559</v>
      </c>
      <c r="I3040" s="87">
        <f>SUMIFS('Climate Data'!$H$7:$H$366,'Climate Data'!$A$7:$A$366,Estimator!$B$4,'Climate Data'!$B$7:$B$366,C3040)</f>
        <v>7.5</v>
      </c>
      <c r="J3040" s="86">
        <f>SUMIFS('Wind Proxy'!$H$8:$H$19,'Wind Proxy'!$A$8:$A$19,Estimator!$B$4,'Wind Proxy'!$B$8:$B$19,C3040)</f>
        <v>0</v>
      </c>
    </row>
    <row r="3041" spans="1:10" ht="14.4">
      <c r="A3041" s="84">
        <v>48692</v>
      </c>
      <c r="B3041" s="85">
        <v>2033</v>
      </c>
      <c r="C3041" s="85">
        <v>4</v>
      </c>
      <c r="D3041" s="85" t="s">
        <v>62</v>
      </c>
      <c r="E3041" s="85">
        <v>23</v>
      </c>
      <c r="F3041" s="85">
        <v>6</v>
      </c>
      <c r="G3041" s="85">
        <f>--(F3041&lt;=Estimator!$B$7)</f>
        <v>0</v>
      </c>
      <c r="H3041" s="86">
        <f>SUMIFS('Climate Data'!$G$7:$G$366,'Climate Data'!$A$7:$A$366,Estimator!$B$4,'Climate Data'!$B$7:$B$366,C3041)</f>
        <v>0.25555555555555559</v>
      </c>
      <c r="I3041" s="87">
        <f>SUMIFS('Climate Data'!$H$7:$H$366,'Climate Data'!$A$7:$A$366,Estimator!$B$4,'Climate Data'!$B$7:$B$366,C3041)</f>
        <v>7.5</v>
      </c>
      <c r="J3041" s="86">
        <f>SUMIFS('Wind Proxy'!$H$8:$H$19,'Wind Proxy'!$A$8:$A$19,Estimator!$B$4,'Wind Proxy'!$B$8:$B$19,C3041)</f>
        <v>0</v>
      </c>
    </row>
    <row r="3042" spans="1:10" ht="14.4">
      <c r="A3042" s="84">
        <v>48693</v>
      </c>
      <c r="B3042" s="85">
        <v>2033</v>
      </c>
      <c r="C3042" s="85">
        <v>4</v>
      </c>
      <c r="D3042" s="85" t="s">
        <v>62</v>
      </c>
      <c r="E3042" s="85">
        <v>24</v>
      </c>
      <c r="F3042" s="85">
        <v>7</v>
      </c>
      <c r="G3042" s="85">
        <f>--(F3042&lt;=Estimator!$B$7)</f>
        <v>0</v>
      </c>
      <c r="H3042" s="86">
        <f>SUMIFS('Climate Data'!$G$7:$G$366,'Climate Data'!$A$7:$A$366,Estimator!$B$4,'Climate Data'!$B$7:$B$366,C3042)</f>
        <v>0.25555555555555559</v>
      </c>
      <c r="I3042" s="87">
        <f>SUMIFS('Climate Data'!$H$7:$H$366,'Climate Data'!$A$7:$A$366,Estimator!$B$4,'Climate Data'!$B$7:$B$366,C3042)</f>
        <v>7.5</v>
      </c>
      <c r="J3042" s="86">
        <f>SUMIFS('Wind Proxy'!$H$8:$H$19,'Wind Proxy'!$A$8:$A$19,Estimator!$B$4,'Wind Proxy'!$B$8:$B$19,C3042)</f>
        <v>0</v>
      </c>
    </row>
    <row r="3043" spans="1:10" ht="14.4">
      <c r="A3043" s="84">
        <v>48694</v>
      </c>
      <c r="B3043" s="85">
        <v>2033</v>
      </c>
      <c r="C3043" s="85">
        <v>4</v>
      </c>
      <c r="D3043" s="85" t="s">
        <v>62</v>
      </c>
      <c r="E3043" s="85">
        <v>25</v>
      </c>
      <c r="F3043" s="85">
        <v>1</v>
      </c>
      <c r="G3043" s="85">
        <f>--(F3043&lt;=Estimator!$B$7)</f>
        <v>1</v>
      </c>
      <c r="H3043" s="86">
        <f>SUMIFS('Climate Data'!$G$7:$G$366,'Climate Data'!$A$7:$A$366,Estimator!$B$4,'Climate Data'!$B$7:$B$366,C3043)</f>
        <v>0.25555555555555559</v>
      </c>
      <c r="I3043" s="87">
        <f>SUMIFS('Climate Data'!$H$7:$H$366,'Climate Data'!$A$7:$A$366,Estimator!$B$4,'Climate Data'!$B$7:$B$366,C3043)</f>
        <v>7.5</v>
      </c>
      <c r="J3043" s="86">
        <f>SUMIFS('Wind Proxy'!$H$8:$H$19,'Wind Proxy'!$A$8:$A$19,Estimator!$B$4,'Wind Proxy'!$B$8:$B$19,C3043)</f>
        <v>0</v>
      </c>
    </row>
    <row r="3044" spans="1:10" ht="14.4">
      <c r="A3044" s="84">
        <v>48695</v>
      </c>
      <c r="B3044" s="85">
        <v>2033</v>
      </c>
      <c r="C3044" s="85">
        <v>4</v>
      </c>
      <c r="D3044" s="85" t="s">
        <v>62</v>
      </c>
      <c r="E3044" s="85">
        <v>26</v>
      </c>
      <c r="F3044" s="85">
        <v>2</v>
      </c>
      <c r="G3044" s="85">
        <f>--(F3044&lt;=Estimator!$B$7)</f>
        <v>1</v>
      </c>
      <c r="H3044" s="86">
        <f>SUMIFS('Climate Data'!$G$7:$G$366,'Climate Data'!$A$7:$A$366,Estimator!$B$4,'Climate Data'!$B$7:$B$366,C3044)</f>
        <v>0.25555555555555559</v>
      </c>
      <c r="I3044" s="87">
        <f>SUMIFS('Climate Data'!$H$7:$H$366,'Climate Data'!$A$7:$A$366,Estimator!$B$4,'Climate Data'!$B$7:$B$366,C3044)</f>
        <v>7.5</v>
      </c>
      <c r="J3044" s="86">
        <f>SUMIFS('Wind Proxy'!$H$8:$H$19,'Wind Proxy'!$A$8:$A$19,Estimator!$B$4,'Wind Proxy'!$B$8:$B$19,C3044)</f>
        <v>0</v>
      </c>
    </row>
    <row r="3045" spans="1:10" ht="14.4">
      <c r="A3045" s="84">
        <v>48696</v>
      </c>
      <c r="B3045" s="85">
        <v>2033</v>
      </c>
      <c r="C3045" s="85">
        <v>4</v>
      </c>
      <c r="D3045" s="85" t="s">
        <v>62</v>
      </c>
      <c r="E3045" s="85">
        <v>27</v>
      </c>
      <c r="F3045" s="85">
        <v>3</v>
      </c>
      <c r="G3045" s="85">
        <f>--(F3045&lt;=Estimator!$B$7)</f>
        <v>1</v>
      </c>
      <c r="H3045" s="86">
        <f>SUMIFS('Climate Data'!$G$7:$G$366,'Climate Data'!$A$7:$A$366,Estimator!$B$4,'Climate Data'!$B$7:$B$366,C3045)</f>
        <v>0.25555555555555559</v>
      </c>
      <c r="I3045" s="87">
        <f>SUMIFS('Climate Data'!$H$7:$H$366,'Climate Data'!$A$7:$A$366,Estimator!$B$4,'Climate Data'!$B$7:$B$366,C3045)</f>
        <v>7.5</v>
      </c>
      <c r="J3045" s="86">
        <f>SUMIFS('Wind Proxy'!$H$8:$H$19,'Wind Proxy'!$A$8:$A$19,Estimator!$B$4,'Wind Proxy'!$B$8:$B$19,C3045)</f>
        <v>0</v>
      </c>
    </row>
    <row r="3046" spans="1:10" ht="14.4">
      <c r="A3046" s="84">
        <v>48697</v>
      </c>
      <c r="B3046" s="85">
        <v>2033</v>
      </c>
      <c r="C3046" s="85">
        <v>4</v>
      </c>
      <c r="D3046" s="85" t="s">
        <v>62</v>
      </c>
      <c r="E3046" s="85">
        <v>28</v>
      </c>
      <c r="F3046" s="85">
        <v>4</v>
      </c>
      <c r="G3046" s="85">
        <f>--(F3046&lt;=Estimator!$B$7)</f>
        <v>1</v>
      </c>
      <c r="H3046" s="86">
        <f>SUMIFS('Climate Data'!$G$7:$G$366,'Climate Data'!$A$7:$A$366,Estimator!$B$4,'Climate Data'!$B$7:$B$366,C3046)</f>
        <v>0.25555555555555559</v>
      </c>
      <c r="I3046" s="87">
        <f>SUMIFS('Climate Data'!$H$7:$H$366,'Climate Data'!$A$7:$A$366,Estimator!$B$4,'Climate Data'!$B$7:$B$366,C3046)</f>
        <v>7.5</v>
      </c>
      <c r="J3046" s="86">
        <f>SUMIFS('Wind Proxy'!$H$8:$H$19,'Wind Proxy'!$A$8:$A$19,Estimator!$B$4,'Wind Proxy'!$B$8:$B$19,C3046)</f>
        <v>0</v>
      </c>
    </row>
    <row r="3047" spans="1:10" ht="14.4">
      <c r="A3047" s="84">
        <v>48698</v>
      </c>
      <c r="B3047" s="85">
        <v>2033</v>
      </c>
      <c r="C3047" s="85">
        <v>4</v>
      </c>
      <c r="D3047" s="85" t="s">
        <v>62</v>
      </c>
      <c r="E3047" s="85">
        <v>29</v>
      </c>
      <c r="F3047" s="85">
        <v>5</v>
      </c>
      <c r="G3047" s="85">
        <f>--(F3047&lt;=Estimator!$B$7)</f>
        <v>1</v>
      </c>
      <c r="H3047" s="86">
        <f>SUMIFS('Climate Data'!$G$7:$G$366,'Climate Data'!$A$7:$A$366,Estimator!$B$4,'Climate Data'!$B$7:$B$366,C3047)</f>
        <v>0.25555555555555559</v>
      </c>
      <c r="I3047" s="87">
        <f>SUMIFS('Climate Data'!$H$7:$H$366,'Climate Data'!$A$7:$A$366,Estimator!$B$4,'Climate Data'!$B$7:$B$366,C3047)</f>
        <v>7.5</v>
      </c>
      <c r="J3047" s="86">
        <f>SUMIFS('Wind Proxy'!$H$8:$H$19,'Wind Proxy'!$A$8:$A$19,Estimator!$B$4,'Wind Proxy'!$B$8:$B$19,C3047)</f>
        <v>0</v>
      </c>
    </row>
    <row r="3048" spans="1:10" ht="14.4">
      <c r="A3048" s="84">
        <v>48699</v>
      </c>
      <c r="B3048" s="85">
        <v>2033</v>
      </c>
      <c r="C3048" s="85">
        <v>4</v>
      </c>
      <c r="D3048" s="85" t="s">
        <v>62</v>
      </c>
      <c r="E3048" s="85">
        <v>30</v>
      </c>
      <c r="F3048" s="85">
        <v>6</v>
      </c>
      <c r="G3048" s="85">
        <f>--(F3048&lt;=Estimator!$B$7)</f>
        <v>0</v>
      </c>
      <c r="H3048" s="86">
        <f>SUMIFS('Climate Data'!$G$7:$G$366,'Climate Data'!$A$7:$A$366,Estimator!$B$4,'Climate Data'!$B$7:$B$366,C3048)</f>
        <v>0.25555555555555559</v>
      </c>
      <c r="I3048" s="87">
        <f>SUMIFS('Climate Data'!$H$7:$H$366,'Climate Data'!$A$7:$A$366,Estimator!$B$4,'Climate Data'!$B$7:$B$366,C3048)</f>
        <v>7.5</v>
      </c>
      <c r="J3048" s="86">
        <f>SUMIFS('Wind Proxy'!$H$8:$H$19,'Wind Proxy'!$A$8:$A$19,Estimator!$B$4,'Wind Proxy'!$B$8:$B$19,C3048)</f>
        <v>0</v>
      </c>
    </row>
    <row r="3049" spans="1:10" ht="14.4">
      <c r="A3049" s="84">
        <v>48700</v>
      </c>
      <c r="B3049" s="85">
        <v>2033</v>
      </c>
      <c r="C3049" s="85">
        <v>5</v>
      </c>
      <c r="D3049" s="85" t="s">
        <v>65</v>
      </c>
      <c r="E3049" s="85">
        <v>1</v>
      </c>
      <c r="F3049" s="85">
        <v>7</v>
      </c>
      <c r="G3049" s="85">
        <f>--(F3049&lt;=Estimator!$B$7)</f>
        <v>0</v>
      </c>
      <c r="H3049" s="86">
        <f>SUMIFS('Climate Data'!$G$7:$G$366,'Climate Data'!$A$7:$A$366,Estimator!$B$4,'Climate Data'!$B$7:$B$366,C3049)</f>
        <v>0.23010752688172045</v>
      </c>
      <c r="I3049" s="87">
        <f>SUMIFS('Climate Data'!$H$7:$H$366,'Climate Data'!$A$7:$A$366,Estimator!$B$4,'Climate Data'!$B$7:$B$366,C3049)</f>
        <v>8.1448598130841123</v>
      </c>
      <c r="J3049" s="86">
        <f>SUMIFS('Wind Proxy'!$H$8:$H$19,'Wind Proxy'!$A$8:$A$19,Estimator!$B$4,'Wind Proxy'!$B$8:$B$19,C3049)</f>
        <v>0</v>
      </c>
    </row>
    <row r="3050" spans="1:10" ht="14.4">
      <c r="A3050" s="84">
        <v>48701</v>
      </c>
      <c r="B3050" s="85">
        <v>2033</v>
      </c>
      <c r="C3050" s="85">
        <v>5</v>
      </c>
      <c r="D3050" s="85" t="s">
        <v>65</v>
      </c>
      <c r="E3050" s="85">
        <v>2</v>
      </c>
      <c r="F3050" s="85">
        <v>1</v>
      </c>
      <c r="G3050" s="85">
        <f>--(F3050&lt;=Estimator!$B$7)</f>
        <v>1</v>
      </c>
      <c r="H3050" s="86">
        <f>SUMIFS('Climate Data'!$G$7:$G$366,'Climate Data'!$A$7:$A$366,Estimator!$B$4,'Climate Data'!$B$7:$B$366,C3050)</f>
        <v>0.23010752688172045</v>
      </c>
      <c r="I3050" s="87">
        <f>SUMIFS('Climate Data'!$H$7:$H$366,'Climate Data'!$A$7:$A$366,Estimator!$B$4,'Climate Data'!$B$7:$B$366,C3050)</f>
        <v>8.1448598130841123</v>
      </c>
      <c r="J3050" s="86">
        <f>SUMIFS('Wind Proxy'!$H$8:$H$19,'Wind Proxy'!$A$8:$A$19,Estimator!$B$4,'Wind Proxy'!$B$8:$B$19,C3050)</f>
        <v>0</v>
      </c>
    </row>
    <row r="3051" spans="1:10" ht="14.4">
      <c r="A3051" s="84">
        <v>48702</v>
      </c>
      <c r="B3051" s="85">
        <v>2033</v>
      </c>
      <c r="C3051" s="85">
        <v>5</v>
      </c>
      <c r="D3051" s="85" t="s">
        <v>65</v>
      </c>
      <c r="E3051" s="85">
        <v>3</v>
      </c>
      <c r="F3051" s="85">
        <v>2</v>
      </c>
      <c r="G3051" s="85">
        <f>--(F3051&lt;=Estimator!$B$7)</f>
        <v>1</v>
      </c>
      <c r="H3051" s="86">
        <f>SUMIFS('Climate Data'!$G$7:$G$366,'Climate Data'!$A$7:$A$366,Estimator!$B$4,'Climate Data'!$B$7:$B$366,C3051)</f>
        <v>0.23010752688172045</v>
      </c>
      <c r="I3051" s="87">
        <f>SUMIFS('Climate Data'!$H$7:$H$366,'Climate Data'!$A$7:$A$366,Estimator!$B$4,'Climate Data'!$B$7:$B$366,C3051)</f>
        <v>8.1448598130841123</v>
      </c>
      <c r="J3051" s="86">
        <f>SUMIFS('Wind Proxy'!$H$8:$H$19,'Wind Proxy'!$A$8:$A$19,Estimator!$B$4,'Wind Proxy'!$B$8:$B$19,C3051)</f>
        <v>0</v>
      </c>
    </row>
    <row r="3052" spans="1:10" ht="14.4">
      <c r="A3052" s="84">
        <v>48703</v>
      </c>
      <c r="B3052" s="85">
        <v>2033</v>
      </c>
      <c r="C3052" s="85">
        <v>5</v>
      </c>
      <c r="D3052" s="85" t="s">
        <v>65</v>
      </c>
      <c r="E3052" s="85">
        <v>4</v>
      </c>
      <c r="F3052" s="85">
        <v>3</v>
      </c>
      <c r="G3052" s="85">
        <f>--(F3052&lt;=Estimator!$B$7)</f>
        <v>1</v>
      </c>
      <c r="H3052" s="86">
        <f>SUMIFS('Climate Data'!$G$7:$G$366,'Climate Data'!$A$7:$A$366,Estimator!$B$4,'Climate Data'!$B$7:$B$366,C3052)</f>
        <v>0.23010752688172045</v>
      </c>
      <c r="I3052" s="87">
        <f>SUMIFS('Climate Data'!$H$7:$H$366,'Climate Data'!$A$7:$A$366,Estimator!$B$4,'Climate Data'!$B$7:$B$366,C3052)</f>
        <v>8.1448598130841123</v>
      </c>
      <c r="J3052" s="86">
        <f>SUMIFS('Wind Proxy'!$H$8:$H$19,'Wind Proxy'!$A$8:$A$19,Estimator!$B$4,'Wind Proxy'!$B$8:$B$19,C3052)</f>
        <v>0</v>
      </c>
    </row>
    <row r="3053" spans="1:10" ht="14.4">
      <c r="A3053" s="84">
        <v>48704</v>
      </c>
      <c r="B3053" s="85">
        <v>2033</v>
      </c>
      <c r="C3053" s="85">
        <v>5</v>
      </c>
      <c r="D3053" s="85" t="s">
        <v>65</v>
      </c>
      <c r="E3053" s="85">
        <v>5</v>
      </c>
      <c r="F3053" s="85">
        <v>4</v>
      </c>
      <c r="G3053" s="85">
        <f>--(F3053&lt;=Estimator!$B$7)</f>
        <v>1</v>
      </c>
      <c r="H3053" s="86">
        <f>SUMIFS('Climate Data'!$G$7:$G$366,'Climate Data'!$A$7:$A$366,Estimator!$B$4,'Climate Data'!$B$7:$B$366,C3053)</f>
        <v>0.23010752688172045</v>
      </c>
      <c r="I3053" s="87">
        <f>SUMIFS('Climate Data'!$H$7:$H$366,'Climate Data'!$A$7:$A$366,Estimator!$B$4,'Climate Data'!$B$7:$B$366,C3053)</f>
        <v>8.1448598130841123</v>
      </c>
      <c r="J3053" s="86">
        <f>SUMIFS('Wind Proxy'!$H$8:$H$19,'Wind Proxy'!$A$8:$A$19,Estimator!$B$4,'Wind Proxy'!$B$8:$B$19,C3053)</f>
        <v>0</v>
      </c>
    </row>
    <row r="3054" spans="1:10" ht="14.4">
      <c r="A3054" s="84">
        <v>48705</v>
      </c>
      <c r="B3054" s="85">
        <v>2033</v>
      </c>
      <c r="C3054" s="85">
        <v>5</v>
      </c>
      <c r="D3054" s="85" t="s">
        <v>65</v>
      </c>
      <c r="E3054" s="85">
        <v>6</v>
      </c>
      <c r="F3054" s="85">
        <v>5</v>
      </c>
      <c r="G3054" s="85">
        <f>--(F3054&lt;=Estimator!$B$7)</f>
        <v>1</v>
      </c>
      <c r="H3054" s="86">
        <f>SUMIFS('Climate Data'!$G$7:$G$366,'Climate Data'!$A$7:$A$366,Estimator!$B$4,'Climate Data'!$B$7:$B$366,C3054)</f>
        <v>0.23010752688172045</v>
      </c>
      <c r="I3054" s="87">
        <f>SUMIFS('Climate Data'!$H$7:$H$366,'Climate Data'!$A$7:$A$366,Estimator!$B$4,'Climate Data'!$B$7:$B$366,C3054)</f>
        <v>8.1448598130841123</v>
      </c>
      <c r="J3054" s="86">
        <f>SUMIFS('Wind Proxy'!$H$8:$H$19,'Wind Proxy'!$A$8:$A$19,Estimator!$B$4,'Wind Proxy'!$B$8:$B$19,C3054)</f>
        <v>0</v>
      </c>
    </row>
    <row r="3055" spans="1:10" ht="14.4">
      <c r="A3055" s="84">
        <v>48706</v>
      </c>
      <c r="B3055" s="85">
        <v>2033</v>
      </c>
      <c r="C3055" s="85">
        <v>5</v>
      </c>
      <c r="D3055" s="85" t="s">
        <v>65</v>
      </c>
      <c r="E3055" s="85">
        <v>7</v>
      </c>
      <c r="F3055" s="85">
        <v>6</v>
      </c>
      <c r="G3055" s="85">
        <f>--(F3055&lt;=Estimator!$B$7)</f>
        <v>0</v>
      </c>
      <c r="H3055" s="86">
        <f>SUMIFS('Climate Data'!$G$7:$G$366,'Climate Data'!$A$7:$A$366,Estimator!$B$4,'Climate Data'!$B$7:$B$366,C3055)</f>
        <v>0.23010752688172045</v>
      </c>
      <c r="I3055" s="87">
        <f>SUMIFS('Climate Data'!$H$7:$H$366,'Climate Data'!$A$7:$A$366,Estimator!$B$4,'Climate Data'!$B$7:$B$366,C3055)</f>
        <v>8.1448598130841123</v>
      </c>
      <c r="J3055" s="86">
        <f>SUMIFS('Wind Proxy'!$H$8:$H$19,'Wind Proxy'!$A$8:$A$19,Estimator!$B$4,'Wind Proxy'!$B$8:$B$19,C3055)</f>
        <v>0</v>
      </c>
    </row>
    <row r="3056" spans="1:10" ht="14.4">
      <c r="A3056" s="84">
        <v>48707</v>
      </c>
      <c r="B3056" s="85">
        <v>2033</v>
      </c>
      <c r="C3056" s="85">
        <v>5</v>
      </c>
      <c r="D3056" s="85" t="s">
        <v>65</v>
      </c>
      <c r="E3056" s="85">
        <v>8</v>
      </c>
      <c r="F3056" s="85">
        <v>7</v>
      </c>
      <c r="G3056" s="85">
        <f>--(F3056&lt;=Estimator!$B$7)</f>
        <v>0</v>
      </c>
      <c r="H3056" s="86">
        <f>SUMIFS('Climate Data'!$G$7:$G$366,'Climate Data'!$A$7:$A$366,Estimator!$B$4,'Climate Data'!$B$7:$B$366,C3056)</f>
        <v>0.23010752688172045</v>
      </c>
      <c r="I3056" s="87">
        <f>SUMIFS('Climate Data'!$H$7:$H$366,'Climate Data'!$A$7:$A$366,Estimator!$B$4,'Climate Data'!$B$7:$B$366,C3056)</f>
        <v>8.1448598130841123</v>
      </c>
      <c r="J3056" s="86">
        <f>SUMIFS('Wind Proxy'!$H$8:$H$19,'Wind Proxy'!$A$8:$A$19,Estimator!$B$4,'Wind Proxy'!$B$8:$B$19,C3056)</f>
        <v>0</v>
      </c>
    </row>
    <row r="3057" spans="1:10" ht="14.4">
      <c r="A3057" s="84">
        <v>48708</v>
      </c>
      <c r="B3057" s="85">
        <v>2033</v>
      </c>
      <c r="C3057" s="85">
        <v>5</v>
      </c>
      <c r="D3057" s="85" t="s">
        <v>65</v>
      </c>
      <c r="E3057" s="85">
        <v>9</v>
      </c>
      <c r="F3057" s="85">
        <v>1</v>
      </c>
      <c r="G3057" s="85">
        <f>--(F3057&lt;=Estimator!$B$7)</f>
        <v>1</v>
      </c>
      <c r="H3057" s="86">
        <f>SUMIFS('Climate Data'!$G$7:$G$366,'Climate Data'!$A$7:$A$366,Estimator!$B$4,'Climate Data'!$B$7:$B$366,C3057)</f>
        <v>0.23010752688172045</v>
      </c>
      <c r="I3057" s="87">
        <f>SUMIFS('Climate Data'!$H$7:$H$366,'Climate Data'!$A$7:$A$366,Estimator!$B$4,'Climate Data'!$B$7:$B$366,C3057)</f>
        <v>8.1448598130841123</v>
      </c>
      <c r="J3057" s="86">
        <f>SUMIFS('Wind Proxy'!$H$8:$H$19,'Wind Proxy'!$A$8:$A$19,Estimator!$B$4,'Wind Proxy'!$B$8:$B$19,C3057)</f>
        <v>0</v>
      </c>
    </row>
    <row r="3058" spans="1:10" ht="14.4">
      <c r="A3058" s="84">
        <v>48709</v>
      </c>
      <c r="B3058" s="85">
        <v>2033</v>
      </c>
      <c r="C3058" s="85">
        <v>5</v>
      </c>
      <c r="D3058" s="85" t="s">
        <v>65</v>
      </c>
      <c r="E3058" s="85">
        <v>10</v>
      </c>
      <c r="F3058" s="85">
        <v>2</v>
      </c>
      <c r="G3058" s="85">
        <f>--(F3058&lt;=Estimator!$B$7)</f>
        <v>1</v>
      </c>
      <c r="H3058" s="86">
        <f>SUMIFS('Climate Data'!$G$7:$G$366,'Climate Data'!$A$7:$A$366,Estimator!$B$4,'Climate Data'!$B$7:$B$366,C3058)</f>
        <v>0.23010752688172045</v>
      </c>
      <c r="I3058" s="87">
        <f>SUMIFS('Climate Data'!$H$7:$H$366,'Climate Data'!$A$7:$A$366,Estimator!$B$4,'Climate Data'!$B$7:$B$366,C3058)</f>
        <v>8.1448598130841123</v>
      </c>
      <c r="J3058" s="86">
        <f>SUMIFS('Wind Proxy'!$H$8:$H$19,'Wind Proxy'!$A$8:$A$19,Estimator!$B$4,'Wind Proxy'!$B$8:$B$19,C3058)</f>
        <v>0</v>
      </c>
    </row>
    <row r="3059" spans="1:10" ht="14.4">
      <c r="A3059" s="84">
        <v>48710</v>
      </c>
      <c r="B3059" s="85">
        <v>2033</v>
      </c>
      <c r="C3059" s="85">
        <v>5</v>
      </c>
      <c r="D3059" s="85" t="s">
        <v>65</v>
      </c>
      <c r="E3059" s="85">
        <v>11</v>
      </c>
      <c r="F3059" s="85">
        <v>3</v>
      </c>
      <c r="G3059" s="85">
        <f>--(F3059&lt;=Estimator!$B$7)</f>
        <v>1</v>
      </c>
      <c r="H3059" s="86">
        <f>SUMIFS('Climate Data'!$G$7:$G$366,'Climate Data'!$A$7:$A$366,Estimator!$B$4,'Climate Data'!$B$7:$B$366,C3059)</f>
        <v>0.23010752688172045</v>
      </c>
      <c r="I3059" s="87">
        <f>SUMIFS('Climate Data'!$H$7:$H$366,'Climate Data'!$A$7:$A$366,Estimator!$B$4,'Climate Data'!$B$7:$B$366,C3059)</f>
        <v>8.1448598130841123</v>
      </c>
      <c r="J3059" s="86">
        <f>SUMIFS('Wind Proxy'!$H$8:$H$19,'Wind Proxy'!$A$8:$A$19,Estimator!$B$4,'Wind Proxy'!$B$8:$B$19,C3059)</f>
        <v>0</v>
      </c>
    </row>
    <row r="3060" spans="1:10" ht="14.4">
      <c r="A3060" s="84">
        <v>48711</v>
      </c>
      <c r="B3060" s="85">
        <v>2033</v>
      </c>
      <c r="C3060" s="85">
        <v>5</v>
      </c>
      <c r="D3060" s="85" t="s">
        <v>65</v>
      </c>
      <c r="E3060" s="85">
        <v>12</v>
      </c>
      <c r="F3060" s="85">
        <v>4</v>
      </c>
      <c r="G3060" s="85">
        <f>--(F3060&lt;=Estimator!$B$7)</f>
        <v>1</v>
      </c>
      <c r="H3060" s="86">
        <f>SUMIFS('Climate Data'!$G$7:$G$366,'Climate Data'!$A$7:$A$366,Estimator!$B$4,'Climate Data'!$B$7:$B$366,C3060)</f>
        <v>0.23010752688172045</v>
      </c>
      <c r="I3060" s="87">
        <f>SUMIFS('Climate Data'!$H$7:$H$366,'Climate Data'!$A$7:$A$366,Estimator!$B$4,'Climate Data'!$B$7:$B$366,C3060)</f>
        <v>8.1448598130841123</v>
      </c>
      <c r="J3060" s="86">
        <f>SUMIFS('Wind Proxy'!$H$8:$H$19,'Wind Proxy'!$A$8:$A$19,Estimator!$B$4,'Wind Proxy'!$B$8:$B$19,C3060)</f>
        <v>0</v>
      </c>
    </row>
    <row r="3061" spans="1:10" ht="14.4">
      <c r="A3061" s="84">
        <v>48712</v>
      </c>
      <c r="B3061" s="85">
        <v>2033</v>
      </c>
      <c r="C3061" s="85">
        <v>5</v>
      </c>
      <c r="D3061" s="85" t="s">
        <v>65</v>
      </c>
      <c r="E3061" s="85">
        <v>13</v>
      </c>
      <c r="F3061" s="85">
        <v>5</v>
      </c>
      <c r="G3061" s="85">
        <f>--(F3061&lt;=Estimator!$B$7)</f>
        <v>1</v>
      </c>
      <c r="H3061" s="86">
        <f>SUMIFS('Climate Data'!$G$7:$G$366,'Climate Data'!$A$7:$A$366,Estimator!$B$4,'Climate Data'!$B$7:$B$366,C3061)</f>
        <v>0.23010752688172045</v>
      </c>
      <c r="I3061" s="87">
        <f>SUMIFS('Climate Data'!$H$7:$H$366,'Climate Data'!$A$7:$A$366,Estimator!$B$4,'Climate Data'!$B$7:$B$366,C3061)</f>
        <v>8.1448598130841123</v>
      </c>
      <c r="J3061" s="86">
        <f>SUMIFS('Wind Proxy'!$H$8:$H$19,'Wind Proxy'!$A$8:$A$19,Estimator!$B$4,'Wind Proxy'!$B$8:$B$19,C3061)</f>
        <v>0</v>
      </c>
    </row>
    <row r="3062" spans="1:10" ht="14.4">
      <c r="A3062" s="84">
        <v>48713</v>
      </c>
      <c r="B3062" s="85">
        <v>2033</v>
      </c>
      <c r="C3062" s="85">
        <v>5</v>
      </c>
      <c r="D3062" s="85" t="s">
        <v>65</v>
      </c>
      <c r="E3062" s="85">
        <v>14</v>
      </c>
      <c r="F3062" s="85">
        <v>6</v>
      </c>
      <c r="G3062" s="85">
        <f>--(F3062&lt;=Estimator!$B$7)</f>
        <v>0</v>
      </c>
      <c r="H3062" s="86">
        <f>SUMIFS('Climate Data'!$G$7:$G$366,'Climate Data'!$A$7:$A$366,Estimator!$B$4,'Climate Data'!$B$7:$B$366,C3062)</f>
        <v>0.23010752688172045</v>
      </c>
      <c r="I3062" s="87">
        <f>SUMIFS('Climate Data'!$H$7:$H$366,'Climate Data'!$A$7:$A$366,Estimator!$B$4,'Climate Data'!$B$7:$B$366,C3062)</f>
        <v>8.1448598130841123</v>
      </c>
      <c r="J3062" s="86">
        <f>SUMIFS('Wind Proxy'!$H$8:$H$19,'Wind Proxy'!$A$8:$A$19,Estimator!$B$4,'Wind Proxy'!$B$8:$B$19,C3062)</f>
        <v>0</v>
      </c>
    </row>
    <row r="3063" spans="1:10" ht="14.4">
      <c r="A3063" s="84">
        <v>48714</v>
      </c>
      <c r="B3063" s="85">
        <v>2033</v>
      </c>
      <c r="C3063" s="85">
        <v>5</v>
      </c>
      <c r="D3063" s="85" t="s">
        <v>65</v>
      </c>
      <c r="E3063" s="85">
        <v>15</v>
      </c>
      <c r="F3063" s="85">
        <v>7</v>
      </c>
      <c r="G3063" s="85">
        <f>--(F3063&lt;=Estimator!$B$7)</f>
        <v>0</v>
      </c>
      <c r="H3063" s="86">
        <f>SUMIFS('Climate Data'!$G$7:$G$366,'Climate Data'!$A$7:$A$366,Estimator!$B$4,'Climate Data'!$B$7:$B$366,C3063)</f>
        <v>0.23010752688172045</v>
      </c>
      <c r="I3063" s="87">
        <f>SUMIFS('Climate Data'!$H$7:$H$366,'Climate Data'!$A$7:$A$366,Estimator!$B$4,'Climate Data'!$B$7:$B$366,C3063)</f>
        <v>8.1448598130841123</v>
      </c>
      <c r="J3063" s="86">
        <f>SUMIFS('Wind Proxy'!$H$8:$H$19,'Wind Proxy'!$A$8:$A$19,Estimator!$B$4,'Wind Proxy'!$B$8:$B$19,C3063)</f>
        <v>0</v>
      </c>
    </row>
    <row r="3064" spans="1:10" ht="14.4">
      <c r="A3064" s="84">
        <v>48715</v>
      </c>
      <c r="B3064" s="85">
        <v>2033</v>
      </c>
      <c r="C3064" s="85">
        <v>5</v>
      </c>
      <c r="D3064" s="85" t="s">
        <v>65</v>
      </c>
      <c r="E3064" s="85">
        <v>16</v>
      </c>
      <c r="F3064" s="85">
        <v>1</v>
      </c>
      <c r="G3064" s="85">
        <f>--(F3064&lt;=Estimator!$B$7)</f>
        <v>1</v>
      </c>
      <c r="H3064" s="86">
        <f>SUMIFS('Climate Data'!$G$7:$G$366,'Climate Data'!$A$7:$A$366,Estimator!$B$4,'Climate Data'!$B$7:$B$366,C3064)</f>
        <v>0.23010752688172045</v>
      </c>
      <c r="I3064" s="87">
        <f>SUMIFS('Climate Data'!$H$7:$H$366,'Climate Data'!$A$7:$A$366,Estimator!$B$4,'Climate Data'!$B$7:$B$366,C3064)</f>
        <v>8.1448598130841123</v>
      </c>
      <c r="J3064" s="86">
        <f>SUMIFS('Wind Proxy'!$H$8:$H$19,'Wind Proxy'!$A$8:$A$19,Estimator!$B$4,'Wind Proxy'!$B$8:$B$19,C3064)</f>
        <v>0</v>
      </c>
    </row>
    <row r="3065" spans="1:10" ht="14.4">
      <c r="A3065" s="84">
        <v>48716</v>
      </c>
      <c r="B3065" s="85">
        <v>2033</v>
      </c>
      <c r="C3065" s="85">
        <v>5</v>
      </c>
      <c r="D3065" s="85" t="s">
        <v>65</v>
      </c>
      <c r="E3065" s="85">
        <v>17</v>
      </c>
      <c r="F3065" s="85">
        <v>2</v>
      </c>
      <c r="G3065" s="85">
        <f>--(F3065&lt;=Estimator!$B$7)</f>
        <v>1</v>
      </c>
      <c r="H3065" s="86">
        <f>SUMIFS('Climate Data'!$G$7:$G$366,'Climate Data'!$A$7:$A$366,Estimator!$B$4,'Climate Data'!$B$7:$B$366,C3065)</f>
        <v>0.23010752688172045</v>
      </c>
      <c r="I3065" s="87">
        <f>SUMIFS('Climate Data'!$H$7:$H$366,'Climate Data'!$A$7:$A$366,Estimator!$B$4,'Climate Data'!$B$7:$B$366,C3065)</f>
        <v>8.1448598130841123</v>
      </c>
      <c r="J3065" s="86">
        <f>SUMIFS('Wind Proxy'!$H$8:$H$19,'Wind Proxy'!$A$8:$A$19,Estimator!$B$4,'Wind Proxy'!$B$8:$B$19,C3065)</f>
        <v>0</v>
      </c>
    </row>
    <row r="3066" spans="1:10" ht="14.4">
      <c r="A3066" s="84">
        <v>48717</v>
      </c>
      <c r="B3066" s="85">
        <v>2033</v>
      </c>
      <c r="C3066" s="85">
        <v>5</v>
      </c>
      <c r="D3066" s="85" t="s">
        <v>65</v>
      </c>
      <c r="E3066" s="85">
        <v>18</v>
      </c>
      <c r="F3066" s="85">
        <v>3</v>
      </c>
      <c r="G3066" s="85">
        <f>--(F3066&lt;=Estimator!$B$7)</f>
        <v>1</v>
      </c>
      <c r="H3066" s="86">
        <f>SUMIFS('Climate Data'!$G$7:$G$366,'Climate Data'!$A$7:$A$366,Estimator!$B$4,'Climate Data'!$B$7:$B$366,C3066)</f>
        <v>0.23010752688172045</v>
      </c>
      <c r="I3066" s="87">
        <f>SUMIFS('Climate Data'!$H$7:$H$366,'Climate Data'!$A$7:$A$366,Estimator!$B$4,'Climate Data'!$B$7:$B$366,C3066)</f>
        <v>8.1448598130841123</v>
      </c>
      <c r="J3066" s="86">
        <f>SUMIFS('Wind Proxy'!$H$8:$H$19,'Wind Proxy'!$A$8:$A$19,Estimator!$B$4,'Wind Proxy'!$B$8:$B$19,C3066)</f>
        <v>0</v>
      </c>
    </row>
    <row r="3067" spans="1:10" ht="14.4">
      <c r="A3067" s="84">
        <v>48718</v>
      </c>
      <c r="B3067" s="85">
        <v>2033</v>
      </c>
      <c r="C3067" s="85">
        <v>5</v>
      </c>
      <c r="D3067" s="85" t="s">
        <v>65</v>
      </c>
      <c r="E3067" s="85">
        <v>19</v>
      </c>
      <c r="F3067" s="85">
        <v>4</v>
      </c>
      <c r="G3067" s="85">
        <f>--(F3067&lt;=Estimator!$B$7)</f>
        <v>1</v>
      </c>
      <c r="H3067" s="86">
        <f>SUMIFS('Climate Data'!$G$7:$G$366,'Climate Data'!$A$7:$A$366,Estimator!$B$4,'Climate Data'!$B$7:$B$366,C3067)</f>
        <v>0.23010752688172045</v>
      </c>
      <c r="I3067" s="87">
        <f>SUMIFS('Climate Data'!$H$7:$H$366,'Climate Data'!$A$7:$A$366,Estimator!$B$4,'Climate Data'!$B$7:$B$366,C3067)</f>
        <v>8.1448598130841123</v>
      </c>
      <c r="J3067" s="86">
        <f>SUMIFS('Wind Proxy'!$H$8:$H$19,'Wind Proxy'!$A$8:$A$19,Estimator!$B$4,'Wind Proxy'!$B$8:$B$19,C3067)</f>
        <v>0</v>
      </c>
    </row>
    <row r="3068" spans="1:10" ht="14.4">
      <c r="A3068" s="84">
        <v>48719</v>
      </c>
      <c r="B3068" s="85">
        <v>2033</v>
      </c>
      <c r="C3068" s="85">
        <v>5</v>
      </c>
      <c r="D3068" s="85" t="s">
        <v>65</v>
      </c>
      <c r="E3068" s="85">
        <v>20</v>
      </c>
      <c r="F3068" s="85">
        <v>5</v>
      </c>
      <c r="G3068" s="85">
        <f>--(F3068&lt;=Estimator!$B$7)</f>
        <v>1</v>
      </c>
      <c r="H3068" s="86">
        <f>SUMIFS('Climate Data'!$G$7:$G$366,'Climate Data'!$A$7:$A$366,Estimator!$B$4,'Climate Data'!$B$7:$B$366,C3068)</f>
        <v>0.23010752688172045</v>
      </c>
      <c r="I3068" s="87">
        <f>SUMIFS('Climate Data'!$H$7:$H$366,'Climate Data'!$A$7:$A$366,Estimator!$B$4,'Climate Data'!$B$7:$B$366,C3068)</f>
        <v>8.1448598130841123</v>
      </c>
      <c r="J3068" s="86">
        <f>SUMIFS('Wind Proxy'!$H$8:$H$19,'Wind Proxy'!$A$8:$A$19,Estimator!$B$4,'Wind Proxy'!$B$8:$B$19,C3068)</f>
        <v>0</v>
      </c>
    </row>
    <row r="3069" spans="1:10" ht="14.4">
      <c r="A3069" s="84">
        <v>48720</v>
      </c>
      <c r="B3069" s="85">
        <v>2033</v>
      </c>
      <c r="C3069" s="85">
        <v>5</v>
      </c>
      <c r="D3069" s="85" t="s">
        <v>65</v>
      </c>
      <c r="E3069" s="85">
        <v>21</v>
      </c>
      <c r="F3069" s="85">
        <v>6</v>
      </c>
      <c r="G3069" s="85">
        <f>--(F3069&lt;=Estimator!$B$7)</f>
        <v>0</v>
      </c>
      <c r="H3069" s="86">
        <f>SUMIFS('Climate Data'!$G$7:$G$366,'Climate Data'!$A$7:$A$366,Estimator!$B$4,'Climate Data'!$B$7:$B$366,C3069)</f>
        <v>0.23010752688172045</v>
      </c>
      <c r="I3069" s="87">
        <f>SUMIFS('Climate Data'!$H$7:$H$366,'Climate Data'!$A$7:$A$366,Estimator!$B$4,'Climate Data'!$B$7:$B$366,C3069)</f>
        <v>8.1448598130841123</v>
      </c>
      <c r="J3069" s="86">
        <f>SUMIFS('Wind Proxy'!$H$8:$H$19,'Wind Proxy'!$A$8:$A$19,Estimator!$B$4,'Wind Proxy'!$B$8:$B$19,C3069)</f>
        <v>0</v>
      </c>
    </row>
    <row r="3070" spans="1:10" ht="14.4">
      <c r="A3070" s="84">
        <v>48721</v>
      </c>
      <c r="B3070" s="85">
        <v>2033</v>
      </c>
      <c r="C3070" s="85">
        <v>5</v>
      </c>
      <c r="D3070" s="85" t="s">
        <v>65</v>
      </c>
      <c r="E3070" s="85">
        <v>22</v>
      </c>
      <c r="F3070" s="85">
        <v>7</v>
      </c>
      <c r="G3070" s="85">
        <f>--(F3070&lt;=Estimator!$B$7)</f>
        <v>0</v>
      </c>
      <c r="H3070" s="86">
        <f>SUMIFS('Climate Data'!$G$7:$G$366,'Climate Data'!$A$7:$A$366,Estimator!$B$4,'Climate Data'!$B$7:$B$366,C3070)</f>
        <v>0.23010752688172045</v>
      </c>
      <c r="I3070" s="87">
        <f>SUMIFS('Climate Data'!$H$7:$H$366,'Climate Data'!$A$7:$A$366,Estimator!$B$4,'Climate Data'!$B$7:$B$366,C3070)</f>
        <v>8.1448598130841123</v>
      </c>
      <c r="J3070" s="86">
        <f>SUMIFS('Wind Proxy'!$H$8:$H$19,'Wind Proxy'!$A$8:$A$19,Estimator!$B$4,'Wind Proxy'!$B$8:$B$19,C3070)</f>
        <v>0</v>
      </c>
    </row>
    <row r="3071" spans="1:10" ht="14.4">
      <c r="A3071" s="84">
        <v>48722</v>
      </c>
      <c r="B3071" s="85">
        <v>2033</v>
      </c>
      <c r="C3071" s="85">
        <v>5</v>
      </c>
      <c r="D3071" s="85" t="s">
        <v>65</v>
      </c>
      <c r="E3071" s="85">
        <v>23</v>
      </c>
      <c r="F3071" s="85">
        <v>1</v>
      </c>
      <c r="G3071" s="85">
        <f>--(F3071&lt;=Estimator!$B$7)</f>
        <v>1</v>
      </c>
      <c r="H3071" s="86">
        <f>SUMIFS('Climate Data'!$G$7:$G$366,'Climate Data'!$A$7:$A$366,Estimator!$B$4,'Climate Data'!$B$7:$B$366,C3071)</f>
        <v>0.23010752688172045</v>
      </c>
      <c r="I3071" s="87">
        <f>SUMIFS('Climate Data'!$H$7:$H$366,'Climate Data'!$A$7:$A$366,Estimator!$B$4,'Climate Data'!$B$7:$B$366,C3071)</f>
        <v>8.1448598130841123</v>
      </c>
      <c r="J3071" s="86">
        <f>SUMIFS('Wind Proxy'!$H$8:$H$19,'Wind Proxy'!$A$8:$A$19,Estimator!$B$4,'Wind Proxy'!$B$8:$B$19,C3071)</f>
        <v>0</v>
      </c>
    </row>
    <row r="3072" spans="1:10" ht="14.4">
      <c r="A3072" s="84">
        <v>48723</v>
      </c>
      <c r="B3072" s="85">
        <v>2033</v>
      </c>
      <c r="C3072" s="85">
        <v>5</v>
      </c>
      <c r="D3072" s="85" t="s">
        <v>65</v>
      </c>
      <c r="E3072" s="85">
        <v>24</v>
      </c>
      <c r="F3072" s="85">
        <v>2</v>
      </c>
      <c r="G3072" s="85">
        <f>--(F3072&lt;=Estimator!$B$7)</f>
        <v>1</v>
      </c>
      <c r="H3072" s="86">
        <f>SUMIFS('Climate Data'!$G$7:$G$366,'Climate Data'!$A$7:$A$366,Estimator!$B$4,'Climate Data'!$B$7:$B$366,C3072)</f>
        <v>0.23010752688172045</v>
      </c>
      <c r="I3072" s="87">
        <f>SUMIFS('Climate Data'!$H$7:$H$366,'Climate Data'!$A$7:$A$366,Estimator!$B$4,'Climate Data'!$B$7:$B$366,C3072)</f>
        <v>8.1448598130841123</v>
      </c>
      <c r="J3072" s="86">
        <f>SUMIFS('Wind Proxy'!$H$8:$H$19,'Wind Proxy'!$A$8:$A$19,Estimator!$B$4,'Wind Proxy'!$B$8:$B$19,C3072)</f>
        <v>0</v>
      </c>
    </row>
    <row r="3073" spans="1:10" ht="14.4">
      <c r="A3073" s="84">
        <v>48724</v>
      </c>
      <c r="B3073" s="85">
        <v>2033</v>
      </c>
      <c r="C3073" s="85">
        <v>5</v>
      </c>
      <c r="D3073" s="85" t="s">
        <v>65</v>
      </c>
      <c r="E3073" s="85">
        <v>25</v>
      </c>
      <c r="F3073" s="85">
        <v>3</v>
      </c>
      <c r="G3073" s="85">
        <f>--(F3073&lt;=Estimator!$B$7)</f>
        <v>1</v>
      </c>
      <c r="H3073" s="86">
        <f>SUMIFS('Climate Data'!$G$7:$G$366,'Climate Data'!$A$7:$A$366,Estimator!$B$4,'Climate Data'!$B$7:$B$366,C3073)</f>
        <v>0.23010752688172045</v>
      </c>
      <c r="I3073" s="87">
        <f>SUMIFS('Climate Data'!$H$7:$H$366,'Climate Data'!$A$7:$A$366,Estimator!$B$4,'Climate Data'!$B$7:$B$366,C3073)</f>
        <v>8.1448598130841123</v>
      </c>
      <c r="J3073" s="86">
        <f>SUMIFS('Wind Proxy'!$H$8:$H$19,'Wind Proxy'!$A$8:$A$19,Estimator!$B$4,'Wind Proxy'!$B$8:$B$19,C3073)</f>
        <v>0</v>
      </c>
    </row>
    <row r="3074" spans="1:10" ht="14.4">
      <c r="A3074" s="84">
        <v>48725</v>
      </c>
      <c r="B3074" s="85">
        <v>2033</v>
      </c>
      <c r="C3074" s="85">
        <v>5</v>
      </c>
      <c r="D3074" s="85" t="s">
        <v>65</v>
      </c>
      <c r="E3074" s="85">
        <v>26</v>
      </c>
      <c r="F3074" s="85">
        <v>4</v>
      </c>
      <c r="G3074" s="85">
        <f>--(F3074&lt;=Estimator!$B$7)</f>
        <v>1</v>
      </c>
      <c r="H3074" s="86">
        <f>SUMIFS('Climate Data'!$G$7:$G$366,'Climate Data'!$A$7:$A$366,Estimator!$B$4,'Climate Data'!$B$7:$B$366,C3074)</f>
        <v>0.23010752688172045</v>
      </c>
      <c r="I3074" s="87">
        <f>SUMIFS('Climate Data'!$H$7:$H$366,'Climate Data'!$A$7:$A$366,Estimator!$B$4,'Climate Data'!$B$7:$B$366,C3074)</f>
        <v>8.1448598130841123</v>
      </c>
      <c r="J3074" s="86">
        <f>SUMIFS('Wind Proxy'!$H$8:$H$19,'Wind Proxy'!$A$8:$A$19,Estimator!$B$4,'Wind Proxy'!$B$8:$B$19,C3074)</f>
        <v>0</v>
      </c>
    </row>
    <row r="3075" spans="1:10" ht="14.4">
      <c r="A3075" s="84">
        <v>48726</v>
      </c>
      <c r="B3075" s="85">
        <v>2033</v>
      </c>
      <c r="C3075" s="85">
        <v>5</v>
      </c>
      <c r="D3075" s="85" t="s">
        <v>65</v>
      </c>
      <c r="E3075" s="85">
        <v>27</v>
      </c>
      <c r="F3075" s="85">
        <v>5</v>
      </c>
      <c r="G3075" s="85">
        <f>--(F3075&lt;=Estimator!$B$7)</f>
        <v>1</v>
      </c>
      <c r="H3075" s="86">
        <f>SUMIFS('Climate Data'!$G$7:$G$366,'Climate Data'!$A$7:$A$366,Estimator!$B$4,'Climate Data'!$B$7:$B$366,C3075)</f>
        <v>0.23010752688172045</v>
      </c>
      <c r="I3075" s="87">
        <f>SUMIFS('Climate Data'!$H$7:$H$366,'Climate Data'!$A$7:$A$366,Estimator!$B$4,'Climate Data'!$B$7:$B$366,C3075)</f>
        <v>8.1448598130841123</v>
      </c>
      <c r="J3075" s="86">
        <f>SUMIFS('Wind Proxy'!$H$8:$H$19,'Wind Proxy'!$A$8:$A$19,Estimator!$B$4,'Wind Proxy'!$B$8:$B$19,C3075)</f>
        <v>0</v>
      </c>
    </row>
    <row r="3076" spans="1:10" ht="14.4">
      <c r="A3076" s="84">
        <v>48727</v>
      </c>
      <c r="B3076" s="85">
        <v>2033</v>
      </c>
      <c r="C3076" s="85">
        <v>5</v>
      </c>
      <c r="D3076" s="85" t="s">
        <v>65</v>
      </c>
      <c r="E3076" s="85">
        <v>28</v>
      </c>
      <c r="F3076" s="85">
        <v>6</v>
      </c>
      <c r="G3076" s="85">
        <f>--(F3076&lt;=Estimator!$B$7)</f>
        <v>0</v>
      </c>
      <c r="H3076" s="86">
        <f>SUMIFS('Climate Data'!$G$7:$G$366,'Climate Data'!$A$7:$A$366,Estimator!$B$4,'Climate Data'!$B$7:$B$366,C3076)</f>
        <v>0.23010752688172045</v>
      </c>
      <c r="I3076" s="87">
        <f>SUMIFS('Climate Data'!$H$7:$H$366,'Climate Data'!$A$7:$A$366,Estimator!$B$4,'Climate Data'!$B$7:$B$366,C3076)</f>
        <v>8.1448598130841123</v>
      </c>
      <c r="J3076" s="86">
        <f>SUMIFS('Wind Proxy'!$H$8:$H$19,'Wind Proxy'!$A$8:$A$19,Estimator!$B$4,'Wind Proxy'!$B$8:$B$19,C3076)</f>
        <v>0</v>
      </c>
    </row>
    <row r="3077" spans="1:10" ht="14.4">
      <c r="A3077" s="84">
        <v>48728</v>
      </c>
      <c r="B3077" s="85">
        <v>2033</v>
      </c>
      <c r="C3077" s="85">
        <v>5</v>
      </c>
      <c r="D3077" s="85" t="s">
        <v>65</v>
      </c>
      <c r="E3077" s="85">
        <v>29</v>
      </c>
      <c r="F3077" s="85">
        <v>7</v>
      </c>
      <c r="G3077" s="85">
        <f>--(F3077&lt;=Estimator!$B$7)</f>
        <v>0</v>
      </c>
      <c r="H3077" s="86">
        <f>SUMIFS('Climate Data'!$G$7:$G$366,'Climate Data'!$A$7:$A$366,Estimator!$B$4,'Climate Data'!$B$7:$B$366,C3077)</f>
        <v>0.23010752688172045</v>
      </c>
      <c r="I3077" s="87">
        <f>SUMIFS('Climate Data'!$H$7:$H$366,'Climate Data'!$A$7:$A$366,Estimator!$B$4,'Climate Data'!$B$7:$B$366,C3077)</f>
        <v>8.1448598130841123</v>
      </c>
      <c r="J3077" s="86">
        <f>SUMIFS('Wind Proxy'!$H$8:$H$19,'Wind Proxy'!$A$8:$A$19,Estimator!$B$4,'Wind Proxy'!$B$8:$B$19,C3077)</f>
        <v>0</v>
      </c>
    </row>
    <row r="3078" spans="1:10" ht="14.4">
      <c r="A3078" s="84">
        <v>48729</v>
      </c>
      <c r="B3078" s="85">
        <v>2033</v>
      </c>
      <c r="C3078" s="85">
        <v>5</v>
      </c>
      <c r="D3078" s="85" t="s">
        <v>65</v>
      </c>
      <c r="E3078" s="85">
        <v>30</v>
      </c>
      <c r="F3078" s="85">
        <v>1</v>
      </c>
      <c r="G3078" s="85">
        <f>--(F3078&lt;=Estimator!$B$7)</f>
        <v>1</v>
      </c>
      <c r="H3078" s="86">
        <f>SUMIFS('Climate Data'!$G$7:$G$366,'Climate Data'!$A$7:$A$366,Estimator!$B$4,'Climate Data'!$B$7:$B$366,C3078)</f>
        <v>0.23010752688172045</v>
      </c>
      <c r="I3078" s="87">
        <f>SUMIFS('Climate Data'!$H$7:$H$366,'Climate Data'!$A$7:$A$366,Estimator!$B$4,'Climate Data'!$B$7:$B$366,C3078)</f>
        <v>8.1448598130841123</v>
      </c>
      <c r="J3078" s="86">
        <f>SUMIFS('Wind Proxy'!$H$8:$H$19,'Wind Proxy'!$A$8:$A$19,Estimator!$B$4,'Wind Proxy'!$B$8:$B$19,C3078)</f>
        <v>0</v>
      </c>
    </row>
    <row r="3079" spans="1:10" ht="14.4">
      <c r="A3079" s="84">
        <v>48730</v>
      </c>
      <c r="B3079" s="85">
        <v>2033</v>
      </c>
      <c r="C3079" s="85">
        <v>5</v>
      </c>
      <c r="D3079" s="85" t="s">
        <v>65</v>
      </c>
      <c r="E3079" s="85">
        <v>31</v>
      </c>
      <c r="F3079" s="85">
        <v>2</v>
      </c>
      <c r="G3079" s="85">
        <f>--(F3079&lt;=Estimator!$B$7)</f>
        <v>1</v>
      </c>
      <c r="H3079" s="86">
        <f>SUMIFS('Climate Data'!$G$7:$G$366,'Climate Data'!$A$7:$A$366,Estimator!$B$4,'Climate Data'!$B$7:$B$366,C3079)</f>
        <v>0.23010752688172045</v>
      </c>
      <c r="I3079" s="87">
        <f>SUMIFS('Climate Data'!$H$7:$H$366,'Climate Data'!$A$7:$A$366,Estimator!$B$4,'Climate Data'!$B$7:$B$366,C3079)</f>
        <v>8.1448598130841123</v>
      </c>
      <c r="J3079" s="86">
        <f>SUMIFS('Wind Proxy'!$H$8:$H$19,'Wind Proxy'!$A$8:$A$19,Estimator!$B$4,'Wind Proxy'!$B$8:$B$19,C3079)</f>
        <v>0</v>
      </c>
    </row>
    <row r="3080" spans="1:10" ht="14.4">
      <c r="A3080" s="84">
        <v>48731</v>
      </c>
      <c r="B3080" s="85">
        <v>2033</v>
      </c>
      <c r="C3080" s="85">
        <v>6</v>
      </c>
      <c r="D3080" s="85" t="s">
        <v>68</v>
      </c>
      <c r="E3080" s="85">
        <v>1</v>
      </c>
      <c r="F3080" s="85">
        <v>3</v>
      </c>
      <c r="G3080" s="85">
        <f>--(F3080&lt;=Estimator!$B$7)</f>
        <v>1</v>
      </c>
      <c r="H3080" s="86">
        <f>SUMIFS('Climate Data'!$G$7:$G$366,'Climate Data'!$A$7:$A$366,Estimator!$B$4,'Climate Data'!$B$7:$B$366,C3080)</f>
        <v>0.28666666666666668</v>
      </c>
      <c r="I3080" s="87">
        <f>SUMIFS('Climate Data'!$H$7:$H$366,'Climate Data'!$A$7:$A$366,Estimator!$B$4,'Climate Data'!$B$7:$B$366,C3080)</f>
        <v>7.941860465116279</v>
      </c>
      <c r="J3080" s="86">
        <f>SUMIFS('Wind Proxy'!$H$8:$H$19,'Wind Proxy'!$A$8:$A$19,Estimator!$B$4,'Wind Proxy'!$B$8:$B$19,C3080)</f>
        <v>0</v>
      </c>
    </row>
    <row r="3081" spans="1:10" ht="14.4">
      <c r="A3081" s="84">
        <v>48732</v>
      </c>
      <c r="B3081" s="85">
        <v>2033</v>
      </c>
      <c r="C3081" s="85">
        <v>6</v>
      </c>
      <c r="D3081" s="85" t="s">
        <v>68</v>
      </c>
      <c r="E3081" s="85">
        <v>2</v>
      </c>
      <c r="F3081" s="85">
        <v>4</v>
      </c>
      <c r="G3081" s="85">
        <f>--(F3081&lt;=Estimator!$B$7)</f>
        <v>1</v>
      </c>
      <c r="H3081" s="86">
        <f>SUMIFS('Climate Data'!$G$7:$G$366,'Climate Data'!$A$7:$A$366,Estimator!$B$4,'Climate Data'!$B$7:$B$366,C3081)</f>
        <v>0.28666666666666668</v>
      </c>
      <c r="I3081" s="87">
        <f>SUMIFS('Climate Data'!$H$7:$H$366,'Climate Data'!$A$7:$A$366,Estimator!$B$4,'Climate Data'!$B$7:$B$366,C3081)</f>
        <v>7.941860465116279</v>
      </c>
      <c r="J3081" s="86">
        <f>SUMIFS('Wind Proxy'!$H$8:$H$19,'Wind Proxy'!$A$8:$A$19,Estimator!$B$4,'Wind Proxy'!$B$8:$B$19,C3081)</f>
        <v>0</v>
      </c>
    </row>
    <row r="3082" spans="1:10" ht="14.4">
      <c r="A3082" s="84">
        <v>48733</v>
      </c>
      <c r="B3082" s="85">
        <v>2033</v>
      </c>
      <c r="C3082" s="85">
        <v>6</v>
      </c>
      <c r="D3082" s="85" t="s">
        <v>68</v>
      </c>
      <c r="E3082" s="85">
        <v>3</v>
      </c>
      <c r="F3082" s="85">
        <v>5</v>
      </c>
      <c r="G3082" s="85">
        <f>--(F3082&lt;=Estimator!$B$7)</f>
        <v>1</v>
      </c>
      <c r="H3082" s="86">
        <f>SUMIFS('Climate Data'!$G$7:$G$366,'Climate Data'!$A$7:$A$366,Estimator!$B$4,'Climate Data'!$B$7:$B$366,C3082)</f>
        <v>0.28666666666666668</v>
      </c>
      <c r="I3082" s="87">
        <f>SUMIFS('Climate Data'!$H$7:$H$366,'Climate Data'!$A$7:$A$366,Estimator!$B$4,'Climate Data'!$B$7:$B$366,C3082)</f>
        <v>7.941860465116279</v>
      </c>
      <c r="J3082" s="86">
        <f>SUMIFS('Wind Proxy'!$H$8:$H$19,'Wind Proxy'!$A$8:$A$19,Estimator!$B$4,'Wind Proxy'!$B$8:$B$19,C3082)</f>
        <v>0</v>
      </c>
    </row>
    <row r="3083" spans="1:10" ht="14.4">
      <c r="A3083" s="84">
        <v>48734</v>
      </c>
      <c r="B3083" s="85">
        <v>2033</v>
      </c>
      <c r="C3083" s="85">
        <v>6</v>
      </c>
      <c r="D3083" s="85" t="s">
        <v>68</v>
      </c>
      <c r="E3083" s="85">
        <v>4</v>
      </c>
      <c r="F3083" s="85">
        <v>6</v>
      </c>
      <c r="G3083" s="85">
        <f>--(F3083&lt;=Estimator!$B$7)</f>
        <v>0</v>
      </c>
      <c r="H3083" s="86">
        <f>SUMIFS('Climate Data'!$G$7:$G$366,'Climate Data'!$A$7:$A$366,Estimator!$B$4,'Climate Data'!$B$7:$B$366,C3083)</f>
        <v>0.28666666666666668</v>
      </c>
      <c r="I3083" s="87">
        <f>SUMIFS('Climate Data'!$H$7:$H$366,'Climate Data'!$A$7:$A$366,Estimator!$B$4,'Climate Data'!$B$7:$B$366,C3083)</f>
        <v>7.941860465116279</v>
      </c>
      <c r="J3083" s="86">
        <f>SUMIFS('Wind Proxy'!$H$8:$H$19,'Wind Proxy'!$A$8:$A$19,Estimator!$B$4,'Wind Proxy'!$B$8:$B$19,C3083)</f>
        <v>0</v>
      </c>
    </row>
    <row r="3084" spans="1:10" ht="14.4">
      <c r="A3084" s="84">
        <v>48735</v>
      </c>
      <c r="B3084" s="85">
        <v>2033</v>
      </c>
      <c r="C3084" s="85">
        <v>6</v>
      </c>
      <c r="D3084" s="85" t="s">
        <v>68</v>
      </c>
      <c r="E3084" s="85">
        <v>5</v>
      </c>
      <c r="F3084" s="85">
        <v>7</v>
      </c>
      <c r="G3084" s="85">
        <f>--(F3084&lt;=Estimator!$B$7)</f>
        <v>0</v>
      </c>
      <c r="H3084" s="86">
        <f>SUMIFS('Climate Data'!$G$7:$G$366,'Climate Data'!$A$7:$A$366,Estimator!$B$4,'Climate Data'!$B$7:$B$366,C3084)</f>
        <v>0.28666666666666668</v>
      </c>
      <c r="I3084" s="87">
        <f>SUMIFS('Climate Data'!$H$7:$H$366,'Climate Data'!$A$7:$A$366,Estimator!$B$4,'Climate Data'!$B$7:$B$366,C3084)</f>
        <v>7.941860465116279</v>
      </c>
      <c r="J3084" s="86">
        <f>SUMIFS('Wind Proxy'!$H$8:$H$19,'Wind Proxy'!$A$8:$A$19,Estimator!$B$4,'Wind Proxy'!$B$8:$B$19,C3084)</f>
        <v>0</v>
      </c>
    </row>
    <row r="3085" spans="1:10" ht="14.4">
      <c r="A3085" s="84">
        <v>48736</v>
      </c>
      <c r="B3085" s="85">
        <v>2033</v>
      </c>
      <c r="C3085" s="85">
        <v>6</v>
      </c>
      <c r="D3085" s="85" t="s">
        <v>68</v>
      </c>
      <c r="E3085" s="85">
        <v>6</v>
      </c>
      <c r="F3085" s="85">
        <v>1</v>
      </c>
      <c r="G3085" s="85">
        <f>--(F3085&lt;=Estimator!$B$7)</f>
        <v>1</v>
      </c>
      <c r="H3085" s="86">
        <f>SUMIFS('Climate Data'!$G$7:$G$366,'Climate Data'!$A$7:$A$366,Estimator!$B$4,'Climate Data'!$B$7:$B$366,C3085)</f>
        <v>0.28666666666666668</v>
      </c>
      <c r="I3085" s="87">
        <f>SUMIFS('Climate Data'!$H$7:$H$366,'Climate Data'!$A$7:$A$366,Estimator!$B$4,'Climate Data'!$B$7:$B$366,C3085)</f>
        <v>7.941860465116279</v>
      </c>
      <c r="J3085" s="86">
        <f>SUMIFS('Wind Proxy'!$H$8:$H$19,'Wind Proxy'!$A$8:$A$19,Estimator!$B$4,'Wind Proxy'!$B$8:$B$19,C3085)</f>
        <v>0</v>
      </c>
    </row>
    <row r="3086" spans="1:10" ht="14.4">
      <c r="A3086" s="84">
        <v>48737</v>
      </c>
      <c r="B3086" s="85">
        <v>2033</v>
      </c>
      <c r="C3086" s="85">
        <v>6</v>
      </c>
      <c r="D3086" s="85" t="s">
        <v>68</v>
      </c>
      <c r="E3086" s="85">
        <v>7</v>
      </c>
      <c r="F3086" s="85">
        <v>2</v>
      </c>
      <c r="G3086" s="85">
        <f>--(F3086&lt;=Estimator!$B$7)</f>
        <v>1</v>
      </c>
      <c r="H3086" s="86">
        <f>SUMIFS('Climate Data'!$G$7:$G$366,'Climate Data'!$A$7:$A$366,Estimator!$B$4,'Climate Data'!$B$7:$B$366,C3086)</f>
        <v>0.28666666666666668</v>
      </c>
      <c r="I3086" s="87">
        <f>SUMIFS('Climate Data'!$H$7:$H$366,'Climate Data'!$A$7:$A$366,Estimator!$B$4,'Climate Data'!$B$7:$B$366,C3086)</f>
        <v>7.941860465116279</v>
      </c>
      <c r="J3086" s="86">
        <f>SUMIFS('Wind Proxy'!$H$8:$H$19,'Wind Proxy'!$A$8:$A$19,Estimator!$B$4,'Wind Proxy'!$B$8:$B$19,C3086)</f>
        <v>0</v>
      </c>
    </row>
    <row r="3087" spans="1:10" ht="14.4">
      <c r="A3087" s="84">
        <v>48738</v>
      </c>
      <c r="B3087" s="85">
        <v>2033</v>
      </c>
      <c r="C3087" s="85">
        <v>6</v>
      </c>
      <c r="D3087" s="85" t="s">
        <v>68</v>
      </c>
      <c r="E3087" s="85">
        <v>8</v>
      </c>
      <c r="F3087" s="85">
        <v>3</v>
      </c>
      <c r="G3087" s="85">
        <f>--(F3087&lt;=Estimator!$B$7)</f>
        <v>1</v>
      </c>
      <c r="H3087" s="86">
        <f>SUMIFS('Climate Data'!$G$7:$G$366,'Climate Data'!$A$7:$A$366,Estimator!$B$4,'Climate Data'!$B$7:$B$366,C3087)</f>
        <v>0.28666666666666668</v>
      </c>
      <c r="I3087" s="87">
        <f>SUMIFS('Climate Data'!$H$7:$H$366,'Climate Data'!$A$7:$A$366,Estimator!$B$4,'Climate Data'!$B$7:$B$366,C3087)</f>
        <v>7.941860465116279</v>
      </c>
      <c r="J3087" s="86">
        <f>SUMIFS('Wind Proxy'!$H$8:$H$19,'Wind Proxy'!$A$8:$A$19,Estimator!$B$4,'Wind Proxy'!$B$8:$B$19,C3087)</f>
        <v>0</v>
      </c>
    </row>
    <row r="3088" spans="1:10" ht="14.4">
      <c r="A3088" s="84">
        <v>48739</v>
      </c>
      <c r="B3088" s="85">
        <v>2033</v>
      </c>
      <c r="C3088" s="85">
        <v>6</v>
      </c>
      <c r="D3088" s="85" t="s">
        <v>68</v>
      </c>
      <c r="E3088" s="85">
        <v>9</v>
      </c>
      <c r="F3088" s="85">
        <v>4</v>
      </c>
      <c r="G3088" s="85">
        <f>--(F3088&lt;=Estimator!$B$7)</f>
        <v>1</v>
      </c>
      <c r="H3088" s="86">
        <f>SUMIFS('Climate Data'!$G$7:$G$366,'Climate Data'!$A$7:$A$366,Estimator!$B$4,'Climate Data'!$B$7:$B$366,C3088)</f>
        <v>0.28666666666666668</v>
      </c>
      <c r="I3088" s="87">
        <f>SUMIFS('Climate Data'!$H$7:$H$366,'Climate Data'!$A$7:$A$366,Estimator!$B$4,'Climate Data'!$B$7:$B$366,C3088)</f>
        <v>7.941860465116279</v>
      </c>
      <c r="J3088" s="86">
        <f>SUMIFS('Wind Proxy'!$H$8:$H$19,'Wind Proxy'!$A$8:$A$19,Estimator!$B$4,'Wind Proxy'!$B$8:$B$19,C3088)</f>
        <v>0</v>
      </c>
    </row>
    <row r="3089" spans="1:10" ht="14.4">
      <c r="A3089" s="84">
        <v>48740</v>
      </c>
      <c r="B3089" s="85">
        <v>2033</v>
      </c>
      <c r="C3089" s="85">
        <v>6</v>
      </c>
      <c r="D3089" s="85" t="s">
        <v>68</v>
      </c>
      <c r="E3089" s="85">
        <v>10</v>
      </c>
      <c r="F3089" s="85">
        <v>5</v>
      </c>
      <c r="G3089" s="85">
        <f>--(F3089&lt;=Estimator!$B$7)</f>
        <v>1</v>
      </c>
      <c r="H3089" s="86">
        <f>SUMIFS('Climate Data'!$G$7:$G$366,'Climate Data'!$A$7:$A$366,Estimator!$B$4,'Climate Data'!$B$7:$B$366,C3089)</f>
        <v>0.28666666666666668</v>
      </c>
      <c r="I3089" s="87">
        <f>SUMIFS('Climate Data'!$H$7:$H$366,'Climate Data'!$A$7:$A$366,Estimator!$B$4,'Climate Data'!$B$7:$B$366,C3089)</f>
        <v>7.941860465116279</v>
      </c>
      <c r="J3089" s="86">
        <f>SUMIFS('Wind Proxy'!$H$8:$H$19,'Wind Proxy'!$A$8:$A$19,Estimator!$B$4,'Wind Proxy'!$B$8:$B$19,C3089)</f>
        <v>0</v>
      </c>
    </row>
    <row r="3090" spans="1:10" ht="14.4">
      <c r="A3090" s="84">
        <v>48741</v>
      </c>
      <c r="B3090" s="85">
        <v>2033</v>
      </c>
      <c r="C3090" s="85">
        <v>6</v>
      </c>
      <c r="D3090" s="85" t="s">
        <v>68</v>
      </c>
      <c r="E3090" s="85">
        <v>11</v>
      </c>
      <c r="F3090" s="85">
        <v>6</v>
      </c>
      <c r="G3090" s="85">
        <f>--(F3090&lt;=Estimator!$B$7)</f>
        <v>0</v>
      </c>
      <c r="H3090" s="86">
        <f>SUMIFS('Climate Data'!$G$7:$G$366,'Climate Data'!$A$7:$A$366,Estimator!$B$4,'Climate Data'!$B$7:$B$366,C3090)</f>
        <v>0.28666666666666668</v>
      </c>
      <c r="I3090" s="87">
        <f>SUMIFS('Climate Data'!$H$7:$H$366,'Climate Data'!$A$7:$A$366,Estimator!$B$4,'Climate Data'!$B$7:$B$366,C3090)</f>
        <v>7.941860465116279</v>
      </c>
      <c r="J3090" s="86">
        <f>SUMIFS('Wind Proxy'!$H$8:$H$19,'Wind Proxy'!$A$8:$A$19,Estimator!$B$4,'Wind Proxy'!$B$8:$B$19,C3090)</f>
        <v>0</v>
      </c>
    </row>
    <row r="3091" spans="1:10" ht="14.4">
      <c r="A3091" s="84">
        <v>48742</v>
      </c>
      <c r="B3091" s="85">
        <v>2033</v>
      </c>
      <c r="C3091" s="85">
        <v>6</v>
      </c>
      <c r="D3091" s="85" t="s">
        <v>68</v>
      </c>
      <c r="E3091" s="85">
        <v>12</v>
      </c>
      <c r="F3091" s="85">
        <v>7</v>
      </c>
      <c r="G3091" s="85">
        <f>--(F3091&lt;=Estimator!$B$7)</f>
        <v>0</v>
      </c>
      <c r="H3091" s="86">
        <f>SUMIFS('Climate Data'!$G$7:$G$366,'Climate Data'!$A$7:$A$366,Estimator!$B$4,'Climate Data'!$B$7:$B$366,C3091)</f>
        <v>0.28666666666666668</v>
      </c>
      <c r="I3091" s="87">
        <f>SUMIFS('Climate Data'!$H$7:$H$366,'Climate Data'!$A$7:$A$366,Estimator!$B$4,'Climate Data'!$B$7:$B$366,C3091)</f>
        <v>7.941860465116279</v>
      </c>
      <c r="J3091" s="86">
        <f>SUMIFS('Wind Proxy'!$H$8:$H$19,'Wind Proxy'!$A$8:$A$19,Estimator!$B$4,'Wind Proxy'!$B$8:$B$19,C3091)</f>
        <v>0</v>
      </c>
    </row>
    <row r="3092" spans="1:10" ht="14.4">
      <c r="A3092" s="84">
        <v>48743</v>
      </c>
      <c r="B3092" s="85">
        <v>2033</v>
      </c>
      <c r="C3092" s="85">
        <v>6</v>
      </c>
      <c r="D3092" s="85" t="s">
        <v>68</v>
      </c>
      <c r="E3092" s="85">
        <v>13</v>
      </c>
      <c r="F3092" s="85">
        <v>1</v>
      </c>
      <c r="G3092" s="85">
        <f>--(F3092&lt;=Estimator!$B$7)</f>
        <v>1</v>
      </c>
      <c r="H3092" s="86">
        <f>SUMIFS('Climate Data'!$G$7:$G$366,'Climate Data'!$A$7:$A$366,Estimator!$B$4,'Climate Data'!$B$7:$B$366,C3092)</f>
        <v>0.28666666666666668</v>
      </c>
      <c r="I3092" s="87">
        <f>SUMIFS('Climate Data'!$H$7:$H$366,'Climate Data'!$A$7:$A$366,Estimator!$B$4,'Climate Data'!$B$7:$B$366,C3092)</f>
        <v>7.941860465116279</v>
      </c>
      <c r="J3092" s="86">
        <f>SUMIFS('Wind Proxy'!$H$8:$H$19,'Wind Proxy'!$A$8:$A$19,Estimator!$B$4,'Wind Proxy'!$B$8:$B$19,C3092)</f>
        <v>0</v>
      </c>
    </row>
    <row r="3093" spans="1:10" ht="14.4">
      <c r="A3093" s="84">
        <v>48744</v>
      </c>
      <c r="B3093" s="85">
        <v>2033</v>
      </c>
      <c r="C3093" s="85">
        <v>6</v>
      </c>
      <c r="D3093" s="85" t="s">
        <v>68</v>
      </c>
      <c r="E3093" s="85">
        <v>14</v>
      </c>
      <c r="F3093" s="85">
        <v>2</v>
      </c>
      <c r="G3093" s="85">
        <f>--(F3093&lt;=Estimator!$B$7)</f>
        <v>1</v>
      </c>
      <c r="H3093" s="86">
        <f>SUMIFS('Climate Data'!$G$7:$G$366,'Climate Data'!$A$7:$A$366,Estimator!$B$4,'Climate Data'!$B$7:$B$366,C3093)</f>
        <v>0.28666666666666668</v>
      </c>
      <c r="I3093" s="87">
        <f>SUMIFS('Climate Data'!$H$7:$H$366,'Climate Data'!$A$7:$A$366,Estimator!$B$4,'Climate Data'!$B$7:$B$366,C3093)</f>
        <v>7.941860465116279</v>
      </c>
      <c r="J3093" s="86">
        <f>SUMIFS('Wind Proxy'!$H$8:$H$19,'Wind Proxy'!$A$8:$A$19,Estimator!$B$4,'Wind Proxy'!$B$8:$B$19,C3093)</f>
        <v>0</v>
      </c>
    </row>
    <row r="3094" spans="1:10" ht="14.4">
      <c r="A3094" s="84">
        <v>48745</v>
      </c>
      <c r="B3094" s="85">
        <v>2033</v>
      </c>
      <c r="C3094" s="85">
        <v>6</v>
      </c>
      <c r="D3094" s="85" t="s">
        <v>68</v>
      </c>
      <c r="E3094" s="85">
        <v>15</v>
      </c>
      <c r="F3094" s="85">
        <v>3</v>
      </c>
      <c r="G3094" s="85">
        <f>--(F3094&lt;=Estimator!$B$7)</f>
        <v>1</v>
      </c>
      <c r="H3094" s="86">
        <f>SUMIFS('Climate Data'!$G$7:$G$366,'Climate Data'!$A$7:$A$366,Estimator!$B$4,'Climate Data'!$B$7:$B$366,C3094)</f>
        <v>0.28666666666666668</v>
      </c>
      <c r="I3094" s="87">
        <f>SUMIFS('Climate Data'!$H$7:$H$366,'Climate Data'!$A$7:$A$366,Estimator!$B$4,'Climate Data'!$B$7:$B$366,C3094)</f>
        <v>7.941860465116279</v>
      </c>
      <c r="J3094" s="86">
        <f>SUMIFS('Wind Proxy'!$H$8:$H$19,'Wind Proxy'!$A$8:$A$19,Estimator!$B$4,'Wind Proxy'!$B$8:$B$19,C3094)</f>
        <v>0</v>
      </c>
    </row>
    <row r="3095" spans="1:10" ht="14.4">
      <c r="A3095" s="84">
        <v>48746</v>
      </c>
      <c r="B3095" s="85">
        <v>2033</v>
      </c>
      <c r="C3095" s="85">
        <v>6</v>
      </c>
      <c r="D3095" s="85" t="s">
        <v>68</v>
      </c>
      <c r="E3095" s="85">
        <v>16</v>
      </c>
      <c r="F3095" s="85">
        <v>4</v>
      </c>
      <c r="G3095" s="85">
        <f>--(F3095&lt;=Estimator!$B$7)</f>
        <v>1</v>
      </c>
      <c r="H3095" s="86">
        <f>SUMIFS('Climate Data'!$G$7:$G$366,'Climate Data'!$A$7:$A$366,Estimator!$B$4,'Climate Data'!$B$7:$B$366,C3095)</f>
        <v>0.28666666666666668</v>
      </c>
      <c r="I3095" s="87">
        <f>SUMIFS('Climate Data'!$H$7:$H$366,'Climate Data'!$A$7:$A$366,Estimator!$B$4,'Climate Data'!$B$7:$B$366,C3095)</f>
        <v>7.941860465116279</v>
      </c>
      <c r="J3095" s="86">
        <f>SUMIFS('Wind Proxy'!$H$8:$H$19,'Wind Proxy'!$A$8:$A$19,Estimator!$B$4,'Wind Proxy'!$B$8:$B$19,C3095)</f>
        <v>0</v>
      </c>
    </row>
    <row r="3096" spans="1:10" ht="14.4">
      <c r="A3096" s="84">
        <v>48747</v>
      </c>
      <c r="B3096" s="85">
        <v>2033</v>
      </c>
      <c r="C3096" s="85">
        <v>6</v>
      </c>
      <c r="D3096" s="85" t="s">
        <v>68</v>
      </c>
      <c r="E3096" s="85">
        <v>17</v>
      </c>
      <c r="F3096" s="85">
        <v>5</v>
      </c>
      <c r="G3096" s="85">
        <f>--(F3096&lt;=Estimator!$B$7)</f>
        <v>1</v>
      </c>
      <c r="H3096" s="86">
        <f>SUMIFS('Climate Data'!$G$7:$G$366,'Climate Data'!$A$7:$A$366,Estimator!$B$4,'Climate Data'!$B$7:$B$366,C3096)</f>
        <v>0.28666666666666668</v>
      </c>
      <c r="I3096" s="87">
        <f>SUMIFS('Climate Data'!$H$7:$H$366,'Climate Data'!$A$7:$A$366,Estimator!$B$4,'Climate Data'!$B$7:$B$366,C3096)</f>
        <v>7.941860465116279</v>
      </c>
      <c r="J3096" s="86">
        <f>SUMIFS('Wind Proxy'!$H$8:$H$19,'Wind Proxy'!$A$8:$A$19,Estimator!$B$4,'Wind Proxy'!$B$8:$B$19,C3096)</f>
        <v>0</v>
      </c>
    </row>
    <row r="3097" spans="1:10" ht="14.4">
      <c r="A3097" s="84">
        <v>48748</v>
      </c>
      <c r="B3097" s="85">
        <v>2033</v>
      </c>
      <c r="C3097" s="85">
        <v>6</v>
      </c>
      <c r="D3097" s="85" t="s">
        <v>68</v>
      </c>
      <c r="E3097" s="85">
        <v>18</v>
      </c>
      <c r="F3097" s="85">
        <v>6</v>
      </c>
      <c r="G3097" s="85">
        <f>--(F3097&lt;=Estimator!$B$7)</f>
        <v>0</v>
      </c>
      <c r="H3097" s="86">
        <f>SUMIFS('Climate Data'!$G$7:$G$366,'Climate Data'!$A$7:$A$366,Estimator!$B$4,'Climate Data'!$B$7:$B$366,C3097)</f>
        <v>0.28666666666666668</v>
      </c>
      <c r="I3097" s="87">
        <f>SUMIFS('Climate Data'!$H$7:$H$366,'Climate Data'!$A$7:$A$366,Estimator!$B$4,'Climate Data'!$B$7:$B$366,C3097)</f>
        <v>7.941860465116279</v>
      </c>
      <c r="J3097" s="86">
        <f>SUMIFS('Wind Proxy'!$H$8:$H$19,'Wind Proxy'!$A$8:$A$19,Estimator!$B$4,'Wind Proxy'!$B$8:$B$19,C3097)</f>
        <v>0</v>
      </c>
    </row>
    <row r="3098" spans="1:10" ht="14.4">
      <c r="A3098" s="84">
        <v>48749</v>
      </c>
      <c r="B3098" s="85">
        <v>2033</v>
      </c>
      <c r="C3098" s="85">
        <v>6</v>
      </c>
      <c r="D3098" s="85" t="s">
        <v>68</v>
      </c>
      <c r="E3098" s="85">
        <v>19</v>
      </c>
      <c r="F3098" s="85">
        <v>7</v>
      </c>
      <c r="G3098" s="85">
        <f>--(F3098&lt;=Estimator!$B$7)</f>
        <v>0</v>
      </c>
      <c r="H3098" s="86">
        <f>SUMIFS('Climate Data'!$G$7:$G$366,'Climate Data'!$A$7:$A$366,Estimator!$B$4,'Climate Data'!$B$7:$B$366,C3098)</f>
        <v>0.28666666666666668</v>
      </c>
      <c r="I3098" s="87">
        <f>SUMIFS('Climate Data'!$H$7:$H$366,'Climate Data'!$A$7:$A$366,Estimator!$B$4,'Climate Data'!$B$7:$B$366,C3098)</f>
        <v>7.941860465116279</v>
      </c>
      <c r="J3098" s="86">
        <f>SUMIFS('Wind Proxy'!$H$8:$H$19,'Wind Proxy'!$A$8:$A$19,Estimator!$B$4,'Wind Proxy'!$B$8:$B$19,C3098)</f>
        <v>0</v>
      </c>
    </row>
    <row r="3099" spans="1:10" ht="14.4">
      <c r="A3099" s="84">
        <v>48750</v>
      </c>
      <c r="B3099" s="85">
        <v>2033</v>
      </c>
      <c r="C3099" s="85">
        <v>6</v>
      </c>
      <c r="D3099" s="85" t="s">
        <v>68</v>
      </c>
      <c r="E3099" s="85">
        <v>20</v>
      </c>
      <c r="F3099" s="85">
        <v>1</v>
      </c>
      <c r="G3099" s="85">
        <f>--(F3099&lt;=Estimator!$B$7)</f>
        <v>1</v>
      </c>
      <c r="H3099" s="86">
        <f>SUMIFS('Climate Data'!$G$7:$G$366,'Climate Data'!$A$7:$A$366,Estimator!$B$4,'Climate Data'!$B$7:$B$366,C3099)</f>
        <v>0.28666666666666668</v>
      </c>
      <c r="I3099" s="87">
        <f>SUMIFS('Climate Data'!$H$7:$H$366,'Climate Data'!$A$7:$A$366,Estimator!$B$4,'Climate Data'!$B$7:$B$366,C3099)</f>
        <v>7.941860465116279</v>
      </c>
      <c r="J3099" s="86">
        <f>SUMIFS('Wind Proxy'!$H$8:$H$19,'Wind Proxy'!$A$8:$A$19,Estimator!$B$4,'Wind Proxy'!$B$8:$B$19,C3099)</f>
        <v>0</v>
      </c>
    </row>
    <row r="3100" spans="1:10" ht="14.4">
      <c r="A3100" s="84">
        <v>48751</v>
      </c>
      <c r="B3100" s="85">
        <v>2033</v>
      </c>
      <c r="C3100" s="85">
        <v>6</v>
      </c>
      <c r="D3100" s="85" t="s">
        <v>68</v>
      </c>
      <c r="E3100" s="85">
        <v>21</v>
      </c>
      <c r="F3100" s="85">
        <v>2</v>
      </c>
      <c r="G3100" s="85">
        <f>--(F3100&lt;=Estimator!$B$7)</f>
        <v>1</v>
      </c>
      <c r="H3100" s="86">
        <f>SUMIFS('Climate Data'!$G$7:$G$366,'Climate Data'!$A$7:$A$366,Estimator!$B$4,'Climate Data'!$B$7:$B$366,C3100)</f>
        <v>0.28666666666666668</v>
      </c>
      <c r="I3100" s="87">
        <f>SUMIFS('Climate Data'!$H$7:$H$366,'Climate Data'!$A$7:$A$366,Estimator!$B$4,'Climate Data'!$B$7:$B$366,C3100)</f>
        <v>7.941860465116279</v>
      </c>
      <c r="J3100" s="86">
        <f>SUMIFS('Wind Proxy'!$H$8:$H$19,'Wind Proxy'!$A$8:$A$19,Estimator!$B$4,'Wind Proxy'!$B$8:$B$19,C3100)</f>
        <v>0</v>
      </c>
    </row>
    <row r="3101" spans="1:10" ht="14.4">
      <c r="A3101" s="84">
        <v>48752</v>
      </c>
      <c r="B3101" s="85">
        <v>2033</v>
      </c>
      <c r="C3101" s="85">
        <v>6</v>
      </c>
      <c r="D3101" s="85" t="s">
        <v>68</v>
      </c>
      <c r="E3101" s="85">
        <v>22</v>
      </c>
      <c r="F3101" s="85">
        <v>3</v>
      </c>
      <c r="G3101" s="85">
        <f>--(F3101&lt;=Estimator!$B$7)</f>
        <v>1</v>
      </c>
      <c r="H3101" s="86">
        <f>SUMIFS('Climate Data'!$G$7:$G$366,'Climate Data'!$A$7:$A$366,Estimator!$B$4,'Climate Data'!$B$7:$B$366,C3101)</f>
        <v>0.28666666666666668</v>
      </c>
      <c r="I3101" s="87">
        <f>SUMIFS('Climate Data'!$H$7:$H$366,'Climate Data'!$A$7:$A$366,Estimator!$B$4,'Climate Data'!$B$7:$B$366,C3101)</f>
        <v>7.941860465116279</v>
      </c>
      <c r="J3101" s="86">
        <f>SUMIFS('Wind Proxy'!$H$8:$H$19,'Wind Proxy'!$A$8:$A$19,Estimator!$B$4,'Wind Proxy'!$B$8:$B$19,C3101)</f>
        <v>0</v>
      </c>
    </row>
    <row r="3102" spans="1:10" ht="14.4">
      <c r="A3102" s="84">
        <v>48753</v>
      </c>
      <c r="B3102" s="85">
        <v>2033</v>
      </c>
      <c r="C3102" s="85">
        <v>6</v>
      </c>
      <c r="D3102" s="85" t="s">
        <v>68</v>
      </c>
      <c r="E3102" s="85">
        <v>23</v>
      </c>
      <c r="F3102" s="85">
        <v>4</v>
      </c>
      <c r="G3102" s="85">
        <f>--(F3102&lt;=Estimator!$B$7)</f>
        <v>1</v>
      </c>
      <c r="H3102" s="86">
        <f>SUMIFS('Climate Data'!$G$7:$G$366,'Climate Data'!$A$7:$A$366,Estimator!$B$4,'Climate Data'!$B$7:$B$366,C3102)</f>
        <v>0.28666666666666668</v>
      </c>
      <c r="I3102" s="87">
        <f>SUMIFS('Climate Data'!$H$7:$H$366,'Climate Data'!$A$7:$A$366,Estimator!$B$4,'Climate Data'!$B$7:$B$366,C3102)</f>
        <v>7.941860465116279</v>
      </c>
      <c r="J3102" s="86">
        <f>SUMIFS('Wind Proxy'!$H$8:$H$19,'Wind Proxy'!$A$8:$A$19,Estimator!$B$4,'Wind Proxy'!$B$8:$B$19,C3102)</f>
        <v>0</v>
      </c>
    </row>
    <row r="3103" spans="1:10" ht="14.4">
      <c r="A3103" s="84">
        <v>48754</v>
      </c>
      <c r="B3103" s="85">
        <v>2033</v>
      </c>
      <c r="C3103" s="85">
        <v>6</v>
      </c>
      <c r="D3103" s="85" t="s">
        <v>68</v>
      </c>
      <c r="E3103" s="85">
        <v>24</v>
      </c>
      <c r="F3103" s="85">
        <v>5</v>
      </c>
      <c r="G3103" s="85">
        <f>--(F3103&lt;=Estimator!$B$7)</f>
        <v>1</v>
      </c>
      <c r="H3103" s="86">
        <f>SUMIFS('Climate Data'!$G$7:$G$366,'Climate Data'!$A$7:$A$366,Estimator!$B$4,'Climate Data'!$B$7:$B$366,C3103)</f>
        <v>0.28666666666666668</v>
      </c>
      <c r="I3103" s="87">
        <f>SUMIFS('Climate Data'!$H$7:$H$366,'Climate Data'!$A$7:$A$366,Estimator!$B$4,'Climate Data'!$B$7:$B$366,C3103)</f>
        <v>7.941860465116279</v>
      </c>
      <c r="J3103" s="86">
        <f>SUMIFS('Wind Proxy'!$H$8:$H$19,'Wind Proxy'!$A$8:$A$19,Estimator!$B$4,'Wind Proxy'!$B$8:$B$19,C3103)</f>
        <v>0</v>
      </c>
    </row>
    <row r="3104" spans="1:10" ht="14.4">
      <c r="A3104" s="84">
        <v>48755</v>
      </c>
      <c r="B3104" s="85">
        <v>2033</v>
      </c>
      <c r="C3104" s="85">
        <v>6</v>
      </c>
      <c r="D3104" s="85" t="s">
        <v>68</v>
      </c>
      <c r="E3104" s="85">
        <v>25</v>
      </c>
      <c r="F3104" s="85">
        <v>6</v>
      </c>
      <c r="G3104" s="85">
        <f>--(F3104&lt;=Estimator!$B$7)</f>
        <v>0</v>
      </c>
      <c r="H3104" s="86">
        <f>SUMIFS('Climate Data'!$G$7:$G$366,'Climate Data'!$A$7:$A$366,Estimator!$B$4,'Climate Data'!$B$7:$B$366,C3104)</f>
        <v>0.28666666666666668</v>
      </c>
      <c r="I3104" s="87">
        <f>SUMIFS('Climate Data'!$H$7:$H$366,'Climate Data'!$A$7:$A$366,Estimator!$B$4,'Climate Data'!$B$7:$B$366,C3104)</f>
        <v>7.941860465116279</v>
      </c>
      <c r="J3104" s="86">
        <f>SUMIFS('Wind Proxy'!$H$8:$H$19,'Wind Proxy'!$A$8:$A$19,Estimator!$B$4,'Wind Proxy'!$B$8:$B$19,C3104)</f>
        <v>0</v>
      </c>
    </row>
    <row r="3105" spans="1:10" ht="14.4">
      <c r="A3105" s="84">
        <v>48756</v>
      </c>
      <c r="B3105" s="85">
        <v>2033</v>
      </c>
      <c r="C3105" s="85">
        <v>6</v>
      </c>
      <c r="D3105" s="85" t="s">
        <v>68</v>
      </c>
      <c r="E3105" s="85">
        <v>26</v>
      </c>
      <c r="F3105" s="85">
        <v>7</v>
      </c>
      <c r="G3105" s="85">
        <f>--(F3105&lt;=Estimator!$B$7)</f>
        <v>0</v>
      </c>
      <c r="H3105" s="86">
        <f>SUMIFS('Climate Data'!$G$7:$G$366,'Climate Data'!$A$7:$A$366,Estimator!$B$4,'Climate Data'!$B$7:$B$366,C3105)</f>
        <v>0.28666666666666668</v>
      </c>
      <c r="I3105" s="87">
        <f>SUMIFS('Climate Data'!$H$7:$H$366,'Climate Data'!$A$7:$A$366,Estimator!$B$4,'Climate Data'!$B$7:$B$366,C3105)</f>
        <v>7.941860465116279</v>
      </c>
      <c r="J3105" s="86">
        <f>SUMIFS('Wind Proxy'!$H$8:$H$19,'Wind Proxy'!$A$8:$A$19,Estimator!$B$4,'Wind Proxy'!$B$8:$B$19,C3105)</f>
        <v>0</v>
      </c>
    </row>
    <row r="3106" spans="1:10" ht="14.4">
      <c r="A3106" s="84">
        <v>48757</v>
      </c>
      <c r="B3106" s="85">
        <v>2033</v>
      </c>
      <c r="C3106" s="85">
        <v>6</v>
      </c>
      <c r="D3106" s="85" t="s">
        <v>68</v>
      </c>
      <c r="E3106" s="85">
        <v>27</v>
      </c>
      <c r="F3106" s="85">
        <v>1</v>
      </c>
      <c r="G3106" s="85">
        <f>--(F3106&lt;=Estimator!$B$7)</f>
        <v>1</v>
      </c>
      <c r="H3106" s="86">
        <f>SUMIFS('Climate Data'!$G$7:$G$366,'Climate Data'!$A$7:$A$366,Estimator!$B$4,'Climate Data'!$B$7:$B$366,C3106)</f>
        <v>0.28666666666666668</v>
      </c>
      <c r="I3106" s="87">
        <f>SUMIFS('Climate Data'!$H$7:$H$366,'Climate Data'!$A$7:$A$366,Estimator!$B$4,'Climate Data'!$B$7:$B$366,C3106)</f>
        <v>7.941860465116279</v>
      </c>
      <c r="J3106" s="86">
        <f>SUMIFS('Wind Proxy'!$H$8:$H$19,'Wind Proxy'!$A$8:$A$19,Estimator!$B$4,'Wind Proxy'!$B$8:$B$19,C3106)</f>
        <v>0</v>
      </c>
    </row>
    <row r="3107" spans="1:10" ht="14.4">
      <c r="A3107" s="84">
        <v>48758</v>
      </c>
      <c r="B3107" s="85">
        <v>2033</v>
      </c>
      <c r="C3107" s="85">
        <v>6</v>
      </c>
      <c r="D3107" s="85" t="s">
        <v>68</v>
      </c>
      <c r="E3107" s="85">
        <v>28</v>
      </c>
      <c r="F3107" s="85">
        <v>2</v>
      </c>
      <c r="G3107" s="85">
        <f>--(F3107&lt;=Estimator!$B$7)</f>
        <v>1</v>
      </c>
      <c r="H3107" s="86">
        <f>SUMIFS('Climate Data'!$G$7:$G$366,'Climate Data'!$A$7:$A$366,Estimator!$B$4,'Climate Data'!$B$7:$B$366,C3107)</f>
        <v>0.28666666666666668</v>
      </c>
      <c r="I3107" s="87">
        <f>SUMIFS('Climate Data'!$H$7:$H$366,'Climate Data'!$A$7:$A$366,Estimator!$B$4,'Climate Data'!$B$7:$B$366,C3107)</f>
        <v>7.941860465116279</v>
      </c>
      <c r="J3107" s="86">
        <f>SUMIFS('Wind Proxy'!$H$8:$H$19,'Wind Proxy'!$A$8:$A$19,Estimator!$B$4,'Wind Proxy'!$B$8:$B$19,C3107)</f>
        <v>0</v>
      </c>
    </row>
    <row r="3108" spans="1:10" ht="14.4">
      <c r="A3108" s="84">
        <v>48759</v>
      </c>
      <c r="B3108" s="85">
        <v>2033</v>
      </c>
      <c r="C3108" s="85">
        <v>6</v>
      </c>
      <c r="D3108" s="85" t="s">
        <v>68</v>
      </c>
      <c r="E3108" s="85">
        <v>29</v>
      </c>
      <c r="F3108" s="85">
        <v>3</v>
      </c>
      <c r="G3108" s="85">
        <f>--(F3108&lt;=Estimator!$B$7)</f>
        <v>1</v>
      </c>
      <c r="H3108" s="86">
        <f>SUMIFS('Climate Data'!$G$7:$G$366,'Climate Data'!$A$7:$A$366,Estimator!$B$4,'Climate Data'!$B$7:$B$366,C3108)</f>
        <v>0.28666666666666668</v>
      </c>
      <c r="I3108" s="87">
        <f>SUMIFS('Climate Data'!$H$7:$H$366,'Climate Data'!$A$7:$A$366,Estimator!$B$4,'Climate Data'!$B$7:$B$366,C3108)</f>
        <v>7.941860465116279</v>
      </c>
      <c r="J3108" s="86">
        <f>SUMIFS('Wind Proxy'!$H$8:$H$19,'Wind Proxy'!$A$8:$A$19,Estimator!$B$4,'Wind Proxy'!$B$8:$B$19,C3108)</f>
        <v>0</v>
      </c>
    </row>
    <row r="3109" spans="1:10" ht="14.4">
      <c r="A3109" s="84">
        <v>48760</v>
      </c>
      <c r="B3109" s="85">
        <v>2033</v>
      </c>
      <c r="C3109" s="85">
        <v>6</v>
      </c>
      <c r="D3109" s="85" t="s">
        <v>68</v>
      </c>
      <c r="E3109" s="85">
        <v>30</v>
      </c>
      <c r="F3109" s="85">
        <v>4</v>
      </c>
      <c r="G3109" s="85">
        <f>--(F3109&lt;=Estimator!$B$7)</f>
        <v>1</v>
      </c>
      <c r="H3109" s="86">
        <f>SUMIFS('Climate Data'!$G$7:$G$366,'Climate Data'!$A$7:$A$366,Estimator!$B$4,'Climate Data'!$B$7:$B$366,C3109)</f>
        <v>0.28666666666666668</v>
      </c>
      <c r="I3109" s="87">
        <f>SUMIFS('Climate Data'!$H$7:$H$366,'Climate Data'!$A$7:$A$366,Estimator!$B$4,'Climate Data'!$B$7:$B$366,C3109)</f>
        <v>7.941860465116279</v>
      </c>
      <c r="J3109" s="86">
        <f>SUMIFS('Wind Proxy'!$H$8:$H$19,'Wind Proxy'!$A$8:$A$19,Estimator!$B$4,'Wind Proxy'!$B$8:$B$19,C3109)</f>
        <v>0</v>
      </c>
    </row>
    <row r="3110" spans="1:10" ht="14.4">
      <c r="A3110" s="84">
        <v>48761</v>
      </c>
      <c r="B3110" s="85">
        <v>2033</v>
      </c>
      <c r="C3110" s="85">
        <v>7</v>
      </c>
      <c r="D3110" s="85" t="s">
        <v>69</v>
      </c>
      <c r="E3110" s="85">
        <v>1</v>
      </c>
      <c r="F3110" s="85">
        <v>5</v>
      </c>
      <c r="G3110" s="85">
        <f>--(F3110&lt;=Estimator!$B$7)</f>
        <v>1</v>
      </c>
      <c r="H3110" s="86">
        <f>SUMIFS('Climate Data'!$G$7:$G$366,'Climate Data'!$A$7:$A$366,Estimator!$B$4,'Climate Data'!$B$7:$B$366,C3110)</f>
        <v>0.24731182795698925</v>
      </c>
      <c r="I3110" s="87">
        <f>SUMIFS('Climate Data'!$H$7:$H$366,'Climate Data'!$A$7:$A$366,Estimator!$B$4,'Climate Data'!$B$7:$B$366,C3110)</f>
        <v>8.3739130434782609</v>
      </c>
      <c r="J3110" s="86">
        <f>SUMIFS('Wind Proxy'!$H$8:$H$19,'Wind Proxy'!$A$8:$A$19,Estimator!$B$4,'Wind Proxy'!$B$8:$B$19,C3110)</f>
        <v>0</v>
      </c>
    </row>
    <row r="3111" spans="1:10" ht="14.4">
      <c r="A3111" s="84">
        <v>48762</v>
      </c>
      <c r="B3111" s="85">
        <v>2033</v>
      </c>
      <c r="C3111" s="85">
        <v>7</v>
      </c>
      <c r="D3111" s="85" t="s">
        <v>69</v>
      </c>
      <c r="E3111" s="85">
        <v>2</v>
      </c>
      <c r="F3111" s="85">
        <v>6</v>
      </c>
      <c r="G3111" s="85">
        <f>--(F3111&lt;=Estimator!$B$7)</f>
        <v>0</v>
      </c>
      <c r="H3111" s="86">
        <f>SUMIFS('Climate Data'!$G$7:$G$366,'Climate Data'!$A$7:$A$366,Estimator!$B$4,'Climate Data'!$B$7:$B$366,C3111)</f>
        <v>0.24731182795698925</v>
      </c>
      <c r="I3111" s="87">
        <f>SUMIFS('Climate Data'!$H$7:$H$366,'Climate Data'!$A$7:$A$366,Estimator!$B$4,'Climate Data'!$B$7:$B$366,C3111)</f>
        <v>8.3739130434782609</v>
      </c>
      <c r="J3111" s="86">
        <f>SUMIFS('Wind Proxy'!$H$8:$H$19,'Wind Proxy'!$A$8:$A$19,Estimator!$B$4,'Wind Proxy'!$B$8:$B$19,C3111)</f>
        <v>0</v>
      </c>
    </row>
    <row r="3112" spans="1:10" ht="14.4">
      <c r="A3112" s="84">
        <v>48763</v>
      </c>
      <c r="B3112" s="85">
        <v>2033</v>
      </c>
      <c r="C3112" s="85">
        <v>7</v>
      </c>
      <c r="D3112" s="85" t="s">
        <v>69</v>
      </c>
      <c r="E3112" s="85">
        <v>3</v>
      </c>
      <c r="F3112" s="85">
        <v>7</v>
      </c>
      <c r="G3112" s="85">
        <f>--(F3112&lt;=Estimator!$B$7)</f>
        <v>0</v>
      </c>
      <c r="H3112" s="86">
        <f>SUMIFS('Climate Data'!$G$7:$G$366,'Climate Data'!$A$7:$A$366,Estimator!$B$4,'Climate Data'!$B$7:$B$366,C3112)</f>
        <v>0.24731182795698925</v>
      </c>
      <c r="I3112" s="87">
        <f>SUMIFS('Climate Data'!$H$7:$H$366,'Climate Data'!$A$7:$A$366,Estimator!$B$4,'Climate Data'!$B$7:$B$366,C3112)</f>
        <v>8.3739130434782609</v>
      </c>
      <c r="J3112" s="86">
        <f>SUMIFS('Wind Proxy'!$H$8:$H$19,'Wind Proxy'!$A$8:$A$19,Estimator!$B$4,'Wind Proxy'!$B$8:$B$19,C3112)</f>
        <v>0</v>
      </c>
    </row>
    <row r="3113" spans="1:10" ht="14.4">
      <c r="A3113" s="84">
        <v>48764</v>
      </c>
      <c r="B3113" s="85">
        <v>2033</v>
      </c>
      <c r="C3113" s="85">
        <v>7</v>
      </c>
      <c r="D3113" s="85" t="s">
        <v>69</v>
      </c>
      <c r="E3113" s="85">
        <v>4</v>
      </c>
      <c r="F3113" s="85">
        <v>1</v>
      </c>
      <c r="G3113" s="85">
        <f>--(F3113&lt;=Estimator!$B$7)</f>
        <v>1</v>
      </c>
      <c r="H3113" s="86">
        <f>SUMIFS('Climate Data'!$G$7:$G$366,'Climate Data'!$A$7:$A$366,Estimator!$B$4,'Climate Data'!$B$7:$B$366,C3113)</f>
        <v>0.24731182795698925</v>
      </c>
      <c r="I3113" s="87">
        <f>SUMIFS('Climate Data'!$H$7:$H$366,'Climate Data'!$A$7:$A$366,Estimator!$B$4,'Climate Data'!$B$7:$B$366,C3113)</f>
        <v>8.3739130434782609</v>
      </c>
      <c r="J3113" s="86">
        <f>SUMIFS('Wind Proxy'!$H$8:$H$19,'Wind Proxy'!$A$8:$A$19,Estimator!$B$4,'Wind Proxy'!$B$8:$B$19,C3113)</f>
        <v>0</v>
      </c>
    </row>
    <row r="3114" spans="1:10" ht="14.4">
      <c r="A3114" s="84">
        <v>48765</v>
      </c>
      <c r="B3114" s="85">
        <v>2033</v>
      </c>
      <c r="C3114" s="85">
        <v>7</v>
      </c>
      <c r="D3114" s="85" t="s">
        <v>69</v>
      </c>
      <c r="E3114" s="85">
        <v>5</v>
      </c>
      <c r="F3114" s="85">
        <v>2</v>
      </c>
      <c r="G3114" s="85">
        <f>--(F3114&lt;=Estimator!$B$7)</f>
        <v>1</v>
      </c>
      <c r="H3114" s="86">
        <f>SUMIFS('Climate Data'!$G$7:$G$366,'Climate Data'!$A$7:$A$366,Estimator!$B$4,'Climate Data'!$B$7:$B$366,C3114)</f>
        <v>0.24731182795698925</v>
      </c>
      <c r="I3114" s="87">
        <f>SUMIFS('Climate Data'!$H$7:$H$366,'Climate Data'!$A$7:$A$366,Estimator!$B$4,'Climate Data'!$B$7:$B$366,C3114)</f>
        <v>8.3739130434782609</v>
      </c>
      <c r="J3114" s="86">
        <f>SUMIFS('Wind Proxy'!$H$8:$H$19,'Wind Proxy'!$A$8:$A$19,Estimator!$B$4,'Wind Proxy'!$B$8:$B$19,C3114)</f>
        <v>0</v>
      </c>
    </row>
    <row r="3115" spans="1:10" ht="14.4">
      <c r="A3115" s="84">
        <v>48766</v>
      </c>
      <c r="B3115" s="85">
        <v>2033</v>
      </c>
      <c r="C3115" s="85">
        <v>7</v>
      </c>
      <c r="D3115" s="85" t="s">
        <v>69</v>
      </c>
      <c r="E3115" s="85">
        <v>6</v>
      </c>
      <c r="F3115" s="85">
        <v>3</v>
      </c>
      <c r="G3115" s="85">
        <f>--(F3115&lt;=Estimator!$B$7)</f>
        <v>1</v>
      </c>
      <c r="H3115" s="86">
        <f>SUMIFS('Climate Data'!$G$7:$G$366,'Climate Data'!$A$7:$A$366,Estimator!$B$4,'Climate Data'!$B$7:$B$366,C3115)</f>
        <v>0.24731182795698925</v>
      </c>
      <c r="I3115" s="87">
        <f>SUMIFS('Climate Data'!$H$7:$H$366,'Climate Data'!$A$7:$A$366,Estimator!$B$4,'Climate Data'!$B$7:$B$366,C3115)</f>
        <v>8.3739130434782609</v>
      </c>
      <c r="J3115" s="86">
        <f>SUMIFS('Wind Proxy'!$H$8:$H$19,'Wind Proxy'!$A$8:$A$19,Estimator!$B$4,'Wind Proxy'!$B$8:$B$19,C3115)</f>
        <v>0</v>
      </c>
    </row>
    <row r="3116" spans="1:10" ht="14.4">
      <c r="A3116" s="84">
        <v>48767</v>
      </c>
      <c r="B3116" s="85">
        <v>2033</v>
      </c>
      <c r="C3116" s="85">
        <v>7</v>
      </c>
      <c r="D3116" s="85" t="s">
        <v>69</v>
      </c>
      <c r="E3116" s="85">
        <v>7</v>
      </c>
      <c r="F3116" s="85">
        <v>4</v>
      </c>
      <c r="G3116" s="85">
        <f>--(F3116&lt;=Estimator!$B$7)</f>
        <v>1</v>
      </c>
      <c r="H3116" s="86">
        <f>SUMIFS('Climate Data'!$G$7:$G$366,'Climate Data'!$A$7:$A$366,Estimator!$B$4,'Climate Data'!$B$7:$B$366,C3116)</f>
        <v>0.24731182795698925</v>
      </c>
      <c r="I3116" s="87">
        <f>SUMIFS('Climate Data'!$H$7:$H$366,'Climate Data'!$A$7:$A$366,Estimator!$B$4,'Climate Data'!$B$7:$B$366,C3116)</f>
        <v>8.3739130434782609</v>
      </c>
      <c r="J3116" s="86">
        <f>SUMIFS('Wind Proxy'!$H$8:$H$19,'Wind Proxy'!$A$8:$A$19,Estimator!$B$4,'Wind Proxy'!$B$8:$B$19,C3116)</f>
        <v>0</v>
      </c>
    </row>
    <row r="3117" spans="1:10" ht="14.4">
      <c r="A3117" s="84">
        <v>48768</v>
      </c>
      <c r="B3117" s="85">
        <v>2033</v>
      </c>
      <c r="C3117" s="85">
        <v>7</v>
      </c>
      <c r="D3117" s="85" t="s">
        <v>69</v>
      </c>
      <c r="E3117" s="85">
        <v>8</v>
      </c>
      <c r="F3117" s="85">
        <v>5</v>
      </c>
      <c r="G3117" s="85">
        <f>--(F3117&lt;=Estimator!$B$7)</f>
        <v>1</v>
      </c>
      <c r="H3117" s="86">
        <f>SUMIFS('Climate Data'!$G$7:$G$366,'Climate Data'!$A$7:$A$366,Estimator!$B$4,'Climate Data'!$B$7:$B$366,C3117)</f>
        <v>0.24731182795698925</v>
      </c>
      <c r="I3117" s="87">
        <f>SUMIFS('Climate Data'!$H$7:$H$366,'Climate Data'!$A$7:$A$366,Estimator!$B$4,'Climate Data'!$B$7:$B$366,C3117)</f>
        <v>8.3739130434782609</v>
      </c>
      <c r="J3117" s="86">
        <f>SUMIFS('Wind Proxy'!$H$8:$H$19,'Wind Proxy'!$A$8:$A$19,Estimator!$B$4,'Wind Proxy'!$B$8:$B$19,C3117)</f>
        <v>0</v>
      </c>
    </row>
    <row r="3118" spans="1:10" ht="14.4">
      <c r="A3118" s="84">
        <v>48769</v>
      </c>
      <c r="B3118" s="85">
        <v>2033</v>
      </c>
      <c r="C3118" s="85">
        <v>7</v>
      </c>
      <c r="D3118" s="85" t="s">
        <v>69</v>
      </c>
      <c r="E3118" s="85">
        <v>9</v>
      </c>
      <c r="F3118" s="85">
        <v>6</v>
      </c>
      <c r="G3118" s="85">
        <f>--(F3118&lt;=Estimator!$B$7)</f>
        <v>0</v>
      </c>
      <c r="H3118" s="86">
        <f>SUMIFS('Climate Data'!$G$7:$G$366,'Climate Data'!$A$7:$A$366,Estimator!$B$4,'Climate Data'!$B$7:$B$366,C3118)</f>
        <v>0.24731182795698925</v>
      </c>
      <c r="I3118" s="87">
        <f>SUMIFS('Climate Data'!$H$7:$H$366,'Climate Data'!$A$7:$A$366,Estimator!$B$4,'Climate Data'!$B$7:$B$366,C3118)</f>
        <v>8.3739130434782609</v>
      </c>
      <c r="J3118" s="86">
        <f>SUMIFS('Wind Proxy'!$H$8:$H$19,'Wind Proxy'!$A$8:$A$19,Estimator!$B$4,'Wind Proxy'!$B$8:$B$19,C3118)</f>
        <v>0</v>
      </c>
    </row>
    <row r="3119" spans="1:10" ht="14.4">
      <c r="A3119" s="84">
        <v>48770</v>
      </c>
      <c r="B3119" s="85">
        <v>2033</v>
      </c>
      <c r="C3119" s="85">
        <v>7</v>
      </c>
      <c r="D3119" s="85" t="s">
        <v>69</v>
      </c>
      <c r="E3119" s="85">
        <v>10</v>
      </c>
      <c r="F3119" s="85">
        <v>7</v>
      </c>
      <c r="G3119" s="85">
        <f>--(F3119&lt;=Estimator!$B$7)</f>
        <v>0</v>
      </c>
      <c r="H3119" s="86">
        <f>SUMIFS('Climate Data'!$G$7:$G$366,'Climate Data'!$A$7:$A$366,Estimator!$B$4,'Climate Data'!$B$7:$B$366,C3119)</f>
        <v>0.24731182795698925</v>
      </c>
      <c r="I3119" s="87">
        <f>SUMIFS('Climate Data'!$H$7:$H$366,'Climate Data'!$A$7:$A$366,Estimator!$B$4,'Climate Data'!$B$7:$B$366,C3119)</f>
        <v>8.3739130434782609</v>
      </c>
      <c r="J3119" s="86">
        <f>SUMIFS('Wind Proxy'!$H$8:$H$19,'Wind Proxy'!$A$8:$A$19,Estimator!$B$4,'Wind Proxy'!$B$8:$B$19,C3119)</f>
        <v>0</v>
      </c>
    </row>
    <row r="3120" spans="1:10" ht="14.4">
      <c r="A3120" s="84">
        <v>48771</v>
      </c>
      <c r="B3120" s="85">
        <v>2033</v>
      </c>
      <c r="C3120" s="85">
        <v>7</v>
      </c>
      <c r="D3120" s="85" t="s">
        <v>69</v>
      </c>
      <c r="E3120" s="85">
        <v>11</v>
      </c>
      <c r="F3120" s="85">
        <v>1</v>
      </c>
      <c r="G3120" s="85">
        <f>--(F3120&lt;=Estimator!$B$7)</f>
        <v>1</v>
      </c>
      <c r="H3120" s="86">
        <f>SUMIFS('Climate Data'!$G$7:$G$366,'Climate Data'!$A$7:$A$366,Estimator!$B$4,'Climate Data'!$B$7:$B$366,C3120)</f>
        <v>0.24731182795698925</v>
      </c>
      <c r="I3120" s="87">
        <f>SUMIFS('Climate Data'!$H$7:$H$366,'Climate Data'!$A$7:$A$366,Estimator!$B$4,'Climate Data'!$B$7:$B$366,C3120)</f>
        <v>8.3739130434782609</v>
      </c>
      <c r="J3120" s="86">
        <f>SUMIFS('Wind Proxy'!$H$8:$H$19,'Wind Proxy'!$A$8:$A$19,Estimator!$B$4,'Wind Proxy'!$B$8:$B$19,C3120)</f>
        <v>0</v>
      </c>
    </row>
    <row r="3121" spans="1:10" ht="14.4">
      <c r="A3121" s="84">
        <v>48772</v>
      </c>
      <c r="B3121" s="85">
        <v>2033</v>
      </c>
      <c r="C3121" s="85">
        <v>7</v>
      </c>
      <c r="D3121" s="85" t="s">
        <v>69</v>
      </c>
      <c r="E3121" s="85">
        <v>12</v>
      </c>
      <c r="F3121" s="85">
        <v>2</v>
      </c>
      <c r="G3121" s="85">
        <f>--(F3121&lt;=Estimator!$B$7)</f>
        <v>1</v>
      </c>
      <c r="H3121" s="86">
        <f>SUMIFS('Climate Data'!$G$7:$G$366,'Climate Data'!$A$7:$A$366,Estimator!$B$4,'Climate Data'!$B$7:$B$366,C3121)</f>
        <v>0.24731182795698925</v>
      </c>
      <c r="I3121" s="87">
        <f>SUMIFS('Climate Data'!$H$7:$H$366,'Climate Data'!$A$7:$A$366,Estimator!$B$4,'Climate Data'!$B$7:$B$366,C3121)</f>
        <v>8.3739130434782609</v>
      </c>
      <c r="J3121" s="86">
        <f>SUMIFS('Wind Proxy'!$H$8:$H$19,'Wind Proxy'!$A$8:$A$19,Estimator!$B$4,'Wind Proxy'!$B$8:$B$19,C3121)</f>
        <v>0</v>
      </c>
    </row>
    <row r="3122" spans="1:10" ht="14.4">
      <c r="A3122" s="84">
        <v>48773</v>
      </c>
      <c r="B3122" s="85">
        <v>2033</v>
      </c>
      <c r="C3122" s="85">
        <v>7</v>
      </c>
      <c r="D3122" s="85" t="s">
        <v>69</v>
      </c>
      <c r="E3122" s="85">
        <v>13</v>
      </c>
      <c r="F3122" s="85">
        <v>3</v>
      </c>
      <c r="G3122" s="85">
        <f>--(F3122&lt;=Estimator!$B$7)</f>
        <v>1</v>
      </c>
      <c r="H3122" s="86">
        <f>SUMIFS('Climate Data'!$G$7:$G$366,'Climate Data'!$A$7:$A$366,Estimator!$B$4,'Climate Data'!$B$7:$B$366,C3122)</f>
        <v>0.24731182795698925</v>
      </c>
      <c r="I3122" s="87">
        <f>SUMIFS('Climate Data'!$H$7:$H$366,'Climate Data'!$A$7:$A$366,Estimator!$B$4,'Climate Data'!$B$7:$B$366,C3122)</f>
        <v>8.3739130434782609</v>
      </c>
      <c r="J3122" s="86">
        <f>SUMIFS('Wind Proxy'!$H$8:$H$19,'Wind Proxy'!$A$8:$A$19,Estimator!$B$4,'Wind Proxy'!$B$8:$B$19,C3122)</f>
        <v>0</v>
      </c>
    </row>
    <row r="3123" spans="1:10" ht="14.4">
      <c r="A3123" s="84">
        <v>48774</v>
      </c>
      <c r="B3123" s="85">
        <v>2033</v>
      </c>
      <c r="C3123" s="85">
        <v>7</v>
      </c>
      <c r="D3123" s="85" t="s">
        <v>69</v>
      </c>
      <c r="E3123" s="85">
        <v>14</v>
      </c>
      <c r="F3123" s="85">
        <v>4</v>
      </c>
      <c r="G3123" s="85">
        <f>--(F3123&lt;=Estimator!$B$7)</f>
        <v>1</v>
      </c>
      <c r="H3123" s="86">
        <f>SUMIFS('Climate Data'!$G$7:$G$366,'Climate Data'!$A$7:$A$366,Estimator!$B$4,'Climate Data'!$B$7:$B$366,C3123)</f>
        <v>0.24731182795698925</v>
      </c>
      <c r="I3123" s="87">
        <f>SUMIFS('Climate Data'!$H$7:$H$366,'Climate Data'!$A$7:$A$366,Estimator!$B$4,'Climate Data'!$B$7:$B$366,C3123)</f>
        <v>8.3739130434782609</v>
      </c>
      <c r="J3123" s="86">
        <f>SUMIFS('Wind Proxy'!$H$8:$H$19,'Wind Proxy'!$A$8:$A$19,Estimator!$B$4,'Wind Proxy'!$B$8:$B$19,C3123)</f>
        <v>0</v>
      </c>
    </row>
    <row r="3124" spans="1:10" ht="14.4">
      <c r="A3124" s="84">
        <v>48775</v>
      </c>
      <c r="B3124" s="85">
        <v>2033</v>
      </c>
      <c r="C3124" s="85">
        <v>7</v>
      </c>
      <c r="D3124" s="85" t="s">
        <v>69</v>
      </c>
      <c r="E3124" s="85">
        <v>15</v>
      </c>
      <c r="F3124" s="85">
        <v>5</v>
      </c>
      <c r="G3124" s="85">
        <f>--(F3124&lt;=Estimator!$B$7)</f>
        <v>1</v>
      </c>
      <c r="H3124" s="86">
        <f>SUMIFS('Climate Data'!$G$7:$G$366,'Climate Data'!$A$7:$A$366,Estimator!$B$4,'Climate Data'!$B$7:$B$366,C3124)</f>
        <v>0.24731182795698925</v>
      </c>
      <c r="I3124" s="87">
        <f>SUMIFS('Climate Data'!$H$7:$H$366,'Climate Data'!$A$7:$A$366,Estimator!$B$4,'Climate Data'!$B$7:$B$366,C3124)</f>
        <v>8.3739130434782609</v>
      </c>
      <c r="J3124" s="86">
        <f>SUMIFS('Wind Proxy'!$H$8:$H$19,'Wind Proxy'!$A$8:$A$19,Estimator!$B$4,'Wind Proxy'!$B$8:$B$19,C3124)</f>
        <v>0</v>
      </c>
    </row>
    <row r="3125" spans="1:10" ht="14.4">
      <c r="A3125" s="84">
        <v>48776</v>
      </c>
      <c r="B3125" s="85">
        <v>2033</v>
      </c>
      <c r="C3125" s="85">
        <v>7</v>
      </c>
      <c r="D3125" s="85" t="s">
        <v>69</v>
      </c>
      <c r="E3125" s="85">
        <v>16</v>
      </c>
      <c r="F3125" s="85">
        <v>6</v>
      </c>
      <c r="G3125" s="85">
        <f>--(F3125&lt;=Estimator!$B$7)</f>
        <v>0</v>
      </c>
      <c r="H3125" s="86">
        <f>SUMIFS('Climate Data'!$G$7:$G$366,'Climate Data'!$A$7:$A$366,Estimator!$B$4,'Climate Data'!$B$7:$B$366,C3125)</f>
        <v>0.24731182795698925</v>
      </c>
      <c r="I3125" s="87">
        <f>SUMIFS('Climate Data'!$H$7:$H$366,'Climate Data'!$A$7:$A$366,Estimator!$B$4,'Climate Data'!$B$7:$B$366,C3125)</f>
        <v>8.3739130434782609</v>
      </c>
      <c r="J3125" s="86">
        <f>SUMIFS('Wind Proxy'!$H$8:$H$19,'Wind Proxy'!$A$8:$A$19,Estimator!$B$4,'Wind Proxy'!$B$8:$B$19,C3125)</f>
        <v>0</v>
      </c>
    </row>
    <row r="3126" spans="1:10" ht="14.4">
      <c r="A3126" s="84">
        <v>48777</v>
      </c>
      <c r="B3126" s="85">
        <v>2033</v>
      </c>
      <c r="C3126" s="85">
        <v>7</v>
      </c>
      <c r="D3126" s="85" t="s">
        <v>69</v>
      </c>
      <c r="E3126" s="85">
        <v>17</v>
      </c>
      <c r="F3126" s="85">
        <v>7</v>
      </c>
      <c r="G3126" s="85">
        <f>--(F3126&lt;=Estimator!$B$7)</f>
        <v>0</v>
      </c>
      <c r="H3126" s="86">
        <f>SUMIFS('Climate Data'!$G$7:$G$366,'Climate Data'!$A$7:$A$366,Estimator!$B$4,'Climate Data'!$B$7:$B$366,C3126)</f>
        <v>0.24731182795698925</v>
      </c>
      <c r="I3126" s="87">
        <f>SUMIFS('Climate Data'!$H$7:$H$366,'Climate Data'!$A$7:$A$366,Estimator!$B$4,'Climate Data'!$B$7:$B$366,C3126)</f>
        <v>8.3739130434782609</v>
      </c>
      <c r="J3126" s="86">
        <f>SUMIFS('Wind Proxy'!$H$8:$H$19,'Wind Proxy'!$A$8:$A$19,Estimator!$B$4,'Wind Proxy'!$B$8:$B$19,C3126)</f>
        <v>0</v>
      </c>
    </row>
    <row r="3127" spans="1:10" ht="14.4">
      <c r="A3127" s="84">
        <v>48778</v>
      </c>
      <c r="B3127" s="85">
        <v>2033</v>
      </c>
      <c r="C3127" s="85">
        <v>7</v>
      </c>
      <c r="D3127" s="85" t="s">
        <v>69</v>
      </c>
      <c r="E3127" s="85">
        <v>18</v>
      </c>
      <c r="F3127" s="85">
        <v>1</v>
      </c>
      <c r="G3127" s="85">
        <f>--(F3127&lt;=Estimator!$B$7)</f>
        <v>1</v>
      </c>
      <c r="H3127" s="86">
        <f>SUMIFS('Climate Data'!$G$7:$G$366,'Climate Data'!$A$7:$A$366,Estimator!$B$4,'Climate Data'!$B$7:$B$366,C3127)</f>
        <v>0.24731182795698925</v>
      </c>
      <c r="I3127" s="87">
        <f>SUMIFS('Climate Data'!$H$7:$H$366,'Climate Data'!$A$7:$A$366,Estimator!$B$4,'Climate Data'!$B$7:$B$366,C3127)</f>
        <v>8.3739130434782609</v>
      </c>
      <c r="J3127" s="86">
        <f>SUMIFS('Wind Proxy'!$H$8:$H$19,'Wind Proxy'!$A$8:$A$19,Estimator!$B$4,'Wind Proxy'!$B$8:$B$19,C3127)</f>
        <v>0</v>
      </c>
    </row>
    <row r="3128" spans="1:10" ht="14.4">
      <c r="A3128" s="84">
        <v>48779</v>
      </c>
      <c r="B3128" s="85">
        <v>2033</v>
      </c>
      <c r="C3128" s="85">
        <v>7</v>
      </c>
      <c r="D3128" s="85" t="s">
        <v>69</v>
      </c>
      <c r="E3128" s="85">
        <v>19</v>
      </c>
      <c r="F3128" s="85">
        <v>2</v>
      </c>
      <c r="G3128" s="85">
        <f>--(F3128&lt;=Estimator!$B$7)</f>
        <v>1</v>
      </c>
      <c r="H3128" s="86">
        <f>SUMIFS('Climate Data'!$G$7:$G$366,'Climate Data'!$A$7:$A$366,Estimator!$B$4,'Climate Data'!$B$7:$B$366,C3128)</f>
        <v>0.24731182795698925</v>
      </c>
      <c r="I3128" s="87">
        <f>SUMIFS('Climate Data'!$H$7:$H$366,'Climate Data'!$A$7:$A$366,Estimator!$B$4,'Climate Data'!$B$7:$B$366,C3128)</f>
        <v>8.3739130434782609</v>
      </c>
      <c r="J3128" s="86">
        <f>SUMIFS('Wind Proxy'!$H$8:$H$19,'Wind Proxy'!$A$8:$A$19,Estimator!$B$4,'Wind Proxy'!$B$8:$B$19,C3128)</f>
        <v>0</v>
      </c>
    </row>
    <row r="3129" spans="1:10" ht="14.4">
      <c r="A3129" s="84">
        <v>48780</v>
      </c>
      <c r="B3129" s="85">
        <v>2033</v>
      </c>
      <c r="C3129" s="85">
        <v>7</v>
      </c>
      <c r="D3129" s="85" t="s">
        <v>69</v>
      </c>
      <c r="E3129" s="85">
        <v>20</v>
      </c>
      <c r="F3129" s="85">
        <v>3</v>
      </c>
      <c r="G3129" s="85">
        <f>--(F3129&lt;=Estimator!$B$7)</f>
        <v>1</v>
      </c>
      <c r="H3129" s="86">
        <f>SUMIFS('Climate Data'!$G$7:$G$366,'Climate Data'!$A$7:$A$366,Estimator!$B$4,'Climate Data'!$B$7:$B$366,C3129)</f>
        <v>0.24731182795698925</v>
      </c>
      <c r="I3129" s="87">
        <f>SUMIFS('Climate Data'!$H$7:$H$366,'Climate Data'!$A$7:$A$366,Estimator!$B$4,'Climate Data'!$B$7:$B$366,C3129)</f>
        <v>8.3739130434782609</v>
      </c>
      <c r="J3129" s="86">
        <f>SUMIFS('Wind Proxy'!$H$8:$H$19,'Wind Proxy'!$A$8:$A$19,Estimator!$B$4,'Wind Proxy'!$B$8:$B$19,C3129)</f>
        <v>0</v>
      </c>
    </row>
    <row r="3130" spans="1:10" ht="14.4">
      <c r="A3130" s="84">
        <v>48781</v>
      </c>
      <c r="B3130" s="85">
        <v>2033</v>
      </c>
      <c r="C3130" s="85">
        <v>7</v>
      </c>
      <c r="D3130" s="85" t="s">
        <v>69</v>
      </c>
      <c r="E3130" s="85">
        <v>21</v>
      </c>
      <c r="F3130" s="85">
        <v>4</v>
      </c>
      <c r="G3130" s="85">
        <f>--(F3130&lt;=Estimator!$B$7)</f>
        <v>1</v>
      </c>
      <c r="H3130" s="86">
        <f>SUMIFS('Climate Data'!$G$7:$G$366,'Climate Data'!$A$7:$A$366,Estimator!$B$4,'Climate Data'!$B$7:$B$366,C3130)</f>
        <v>0.24731182795698925</v>
      </c>
      <c r="I3130" s="87">
        <f>SUMIFS('Climate Data'!$H$7:$H$366,'Climate Data'!$A$7:$A$366,Estimator!$B$4,'Climate Data'!$B$7:$B$366,C3130)</f>
        <v>8.3739130434782609</v>
      </c>
      <c r="J3130" s="86">
        <f>SUMIFS('Wind Proxy'!$H$8:$H$19,'Wind Proxy'!$A$8:$A$19,Estimator!$B$4,'Wind Proxy'!$B$8:$B$19,C3130)</f>
        <v>0</v>
      </c>
    </row>
    <row r="3131" spans="1:10" ht="14.4">
      <c r="A3131" s="84">
        <v>48782</v>
      </c>
      <c r="B3131" s="85">
        <v>2033</v>
      </c>
      <c r="C3131" s="85">
        <v>7</v>
      </c>
      <c r="D3131" s="85" t="s">
        <v>69</v>
      </c>
      <c r="E3131" s="85">
        <v>22</v>
      </c>
      <c r="F3131" s="85">
        <v>5</v>
      </c>
      <c r="G3131" s="85">
        <f>--(F3131&lt;=Estimator!$B$7)</f>
        <v>1</v>
      </c>
      <c r="H3131" s="86">
        <f>SUMIFS('Climate Data'!$G$7:$G$366,'Climate Data'!$A$7:$A$366,Estimator!$B$4,'Climate Data'!$B$7:$B$366,C3131)</f>
        <v>0.24731182795698925</v>
      </c>
      <c r="I3131" s="87">
        <f>SUMIFS('Climate Data'!$H$7:$H$366,'Climate Data'!$A$7:$A$366,Estimator!$B$4,'Climate Data'!$B$7:$B$366,C3131)</f>
        <v>8.3739130434782609</v>
      </c>
      <c r="J3131" s="86">
        <f>SUMIFS('Wind Proxy'!$H$8:$H$19,'Wind Proxy'!$A$8:$A$19,Estimator!$B$4,'Wind Proxy'!$B$8:$B$19,C3131)</f>
        <v>0</v>
      </c>
    </row>
    <row r="3132" spans="1:10" ht="14.4">
      <c r="A3132" s="84">
        <v>48783</v>
      </c>
      <c r="B3132" s="85">
        <v>2033</v>
      </c>
      <c r="C3132" s="85">
        <v>7</v>
      </c>
      <c r="D3132" s="85" t="s">
        <v>69</v>
      </c>
      <c r="E3132" s="85">
        <v>23</v>
      </c>
      <c r="F3132" s="85">
        <v>6</v>
      </c>
      <c r="G3132" s="85">
        <f>--(F3132&lt;=Estimator!$B$7)</f>
        <v>0</v>
      </c>
      <c r="H3132" s="86">
        <f>SUMIFS('Climate Data'!$G$7:$G$366,'Climate Data'!$A$7:$A$366,Estimator!$B$4,'Climate Data'!$B$7:$B$366,C3132)</f>
        <v>0.24731182795698925</v>
      </c>
      <c r="I3132" s="87">
        <f>SUMIFS('Climate Data'!$H$7:$H$366,'Climate Data'!$A$7:$A$366,Estimator!$B$4,'Climate Data'!$B$7:$B$366,C3132)</f>
        <v>8.3739130434782609</v>
      </c>
      <c r="J3132" s="86">
        <f>SUMIFS('Wind Proxy'!$H$8:$H$19,'Wind Proxy'!$A$8:$A$19,Estimator!$B$4,'Wind Proxy'!$B$8:$B$19,C3132)</f>
        <v>0</v>
      </c>
    </row>
    <row r="3133" spans="1:10" ht="14.4">
      <c r="A3133" s="84">
        <v>48784</v>
      </c>
      <c r="B3133" s="85">
        <v>2033</v>
      </c>
      <c r="C3133" s="85">
        <v>7</v>
      </c>
      <c r="D3133" s="85" t="s">
        <v>69</v>
      </c>
      <c r="E3133" s="85">
        <v>24</v>
      </c>
      <c r="F3133" s="85">
        <v>7</v>
      </c>
      <c r="G3133" s="85">
        <f>--(F3133&lt;=Estimator!$B$7)</f>
        <v>0</v>
      </c>
      <c r="H3133" s="86">
        <f>SUMIFS('Climate Data'!$G$7:$G$366,'Climate Data'!$A$7:$A$366,Estimator!$B$4,'Climate Data'!$B$7:$B$366,C3133)</f>
        <v>0.24731182795698925</v>
      </c>
      <c r="I3133" s="87">
        <f>SUMIFS('Climate Data'!$H$7:$H$366,'Climate Data'!$A$7:$A$366,Estimator!$B$4,'Climate Data'!$B$7:$B$366,C3133)</f>
        <v>8.3739130434782609</v>
      </c>
      <c r="J3133" s="86">
        <f>SUMIFS('Wind Proxy'!$H$8:$H$19,'Wind Proxy'!$A$8:$A$19,Estimator!$B$4,'Wind Proxy'!$B$8:$B$19,C3133)</f>
        <v>0</v>
      </c>
    </row>
    <row r="3134" spans="1:10" ht="14.4">
      <c r="A3134" s="84">
        <v>48785</v>
      </c>
      <c r="B3134" s="85">
        <v>2033</v>
      </c>
      <c r="C3134" s="85">
        <v>7</v>
      </c>
      <c r="D3134" s="85" t="s">
        <v>69</v>
      </c>
      <c r="E3134" s="85">
        <v>25</v>
      </c>
      <c r="F3134" s="85">
        <v>1</v>
      </c>
      <c r="G3134" s="85">
        <f>--(F3134&lt;=Estimator!$B$7)</f>
        <v>1</v>
      </c>
      <c r="H3134" s="86">
        <f>SUMIFS('Climate Data'!$G$7:$G$366,'Climate Data'!$A$7:$A$366,Estimator!$B$4,'Climate Data'!$B$7:$B$366,C3134)</f>
        <v>0.24731182795698925</v>
      </c>
      <c r="I3134" s="87">
        <f>SUMIFS('Climate Data'!$H$7:$H$366,'Climate Data'!$A$7:$A$366,Estimator!$B$4,'Climate Data'!$B$7:$B$366,C3134)</f>
        <v>8.3739130434782609</v>
      </c>
      <c r="J3134" s="86">
        <f>SUMIFS('Wind Proxy'!$H$8:$H$19,'Wind Proxy'!$A$8:$A$19,Estimator!$B$4,'Wind Proxy'!$B$8:$B$19,C3134)</f>
        <v>0</v>
      </c>
    </row>
    <row r="3135" spans="1:10" ht="14.4">
      <c r="A3135" s="84">
        <v>48786</v>
      </c>
      <c r="B3135" s="85">
        <v>2033</v>
      </c>
      <c r="C3135" s="85">
        <v>7</v>
      </c>
      <c r="D3135" s="85" t="s">
        <v>69</v>
      </c>
      <c r="E3135" s="85">
        <v>26</v>
      </c>
      <c r="F3135" s="85">
        <v>2</v>
      </c>
      <c r="G3135" s="85">
        <f>--(F3135&lt;=Estimator!$B$7)</f>
        <v>1</v>
      </c>
      <c r="H3135" s="86">
        <f>SUMIFS('Climate Data'!$G$7:$G$366,'Climate Data'!$A$7:$A$366,Estimator!$B$4,'Climate Data'!$B$7:$B$366,C3135)</f>
        <v>0.24731182795698925</v>
      </c>
      <c r="I3135" s="87">
        <f>SUMIFS('Climate Data'!$H$7:$H$366,'Climate Data'!$A$7:$A$366,Estimator!$B$4,'Climate Data'!$B$7:$B$366,C3135)</f>
        <v>8.3739130434782609</v>
      </c>
      <c r="J3135" s="86">
        <f>SUMIFS('Wind Proxy'!$H$8:$H$19,'Wind Proxy'!$A$8:$A$19,Estimator!$B$4,'Wind Proxy'!$B$8:$B$19,C3135)</f>
        <v>0</v>
      </c>
    </row>
    <row r="3136" spans="1:10" ht="14.4">
      <c r="A3136" s="84">
        <v>48787</v>
      </c>
      <c r="B3136" s="85">
        <v>2033</v>
      </c>
      <c r="C3136" s="85">
        <v>7</v>
      </c>
      <c r="D3136" s="85" t="s">
        <v>69</v>
      </c>
      <c r="E3136" s="85">
        <v>27</v>
      </c>
      <c r="F3136" s="85">
        <v>3</v>
      </c>
      <c r="G3136" s="85">
        <f>--(F3136&lt;=Estimator!$B$7)</f>
        <v>1</v>
      </c>
      <c r="H3136" s="86">
        <f>SUMIFS('Climate Data'!$G$7:$G$366,'Climate Data'!$A$7:$A$366,Estimator!$B$4,'Climate Data'!$B$7:$B$366,C3136)</f>
        <v>0.24731182795698925</v>
      </c>
      <c r="I3136" s="87">
        <f>SUMIFS('Climate Data'!$H$7:$H$366,'Climate Data'!$A$7:$A$366,Estimator!$B$4,'Climate Data'!$B$7:$B$366,C3136)</f>
        <v>8.3739130434782609</v>
      </c>
      <c r="J3136" s="86">
        <f>SUMIFS('Wind Proxy'!$H$8:$H$19,'Wind Proxy'!$A$8:$A$19,Estimator!$B$4,'Wind Proxy'!$B$8:$B$19,C3136)</f>
        <v>0</v>
      </c>
    </row>
    <row r="3137" spans="1:10" ht="14.4">
      <c r="A3137" s="84">
        <v>48788</v>
      </c>
      <c r="B3137" s="85">
        <v>2033</v>
      </c>
      <c r="C3137" s="85">
        <v>7</v>
      </c>
      <c r="D3137" s="85" t="s">
        <v>69</v>
      </c>
      <c r="E3137" s="85">
        <v>28</v>
      </c>
      <c r="F3137" s="85">
        <v>4</v>
      </c>
      <c r="G3137" s="85">
        <f>--(F3137&lt;=Estimator!$B$7)</f>
        <v>1</v>
      </c>
      <c r="H3137" s="86">
        <f>SUMIFS('Climate Data'!$G$7:$G$366,'Climate Data'!$A$7:$A$366,Estimator!$B$4,'Climate Data'!$B$7:$B$366,C3137)</f>
        <v>0.24731182795698925</v>
      </c>
      <c r="I3137" s="87">
        <f>SUMIFS('Climate Data'!$H$7:$H$366,'Climate Data'!$A$7:$A$366,Estimator!$B$4,'Climate Data'!$B$7:$B$366,C3137)</f>
        <v>8.3739130434782609</v>
      </c>
      <c r="J3137" s="86">
        <f>SUMIFS('Wind Proxy'!$H$8:$H$19,'Wind Proxy'!$A$8:$A$19,Estimator!$B$4,'Wind Proxy'!$B$8:$B$19,C3137)</f>
        <v>0</v>
      </c>
    </row>
    <row r="3138" spans="1:10" ht="14.4">
      <c r="A3138" s="84">
        <v>48789</v>
      </c>
      <c r="B3138" s="85">
        <v>2033</v>
      </c>
      <c r="C3138" s="85">
        <v>7</v>
      </c>
      <c r="D3138" s="85" t="s">
        <v>69</v>
      </c>
      <c r="E3138" s="85">
        <v>29</v>
      </c>
      <c r="F3138" s="85">
        <v>5</v>
      </c>
      <c r="G3138" s="85">
        <f>--(F3138&lt;=Estimator!$B$7)</f>
        <v>1</v>
      </c>
      <c r="H3138" s="86">
        <f>SUMIFS('Climate Data'!$G$7:$G$366,'Climate Data'!$A$7:$A$366,Estimator!$B$4,'Climate Data'!$B$7:$B$366,C3138)</f>
        <v>0.24731182795698925</v>
      </c>
      <c r="I3138" s="87">
        <f>SUMIFS('Climate Data'!$H$7:$H$366,'Climate Data'!$A$7:$A$366,Estimator!$B$4,'Climate Data'!$B$7:$B$366,C3138)</f>
        <v>8.3739130434782609</v>
      </c>
      <c r="J3138" s="86">
        <f>SUMIFS('Wind Proxy'!$H$8:$H$19,'Wind Proxy'!$A$8:$A$19,Estimator!$B$4,'Wind Proxy'!$B$8:$B$19,C3138)</f>
        <v>0</v>
      </c>
    </row>
    <row r="3139" spans="1:10" ht="14.4">
      <c r="A3139" s="84">
        <v>48790</v>
      </c>
      <c r="B3139" s="85">
        <v>2033</v>
      </c>
      <c r="C3139" s="85">
        <v>7</v>
      </c>
      <c r="D3139" s="85" t="s">
        <v>69</v>
      </c>
      <c r="E3139" s="85">
        <v>30</v>
      </c>
      <c r="F3139" s="85">
        <v>6</v>
      </c>
      <c r="G3139" s="85">
        <f>--(F3139&lt;=Estimator!$B$7)</f>
        <v>0</v>
      </c>
      <c r="H3139" s="86">
        <f>SUMIFS('Climate Data'!$G$7:$G$366,'Climate Data'!$A$7:$A$366,Estimator!$B$4,'Climate Data'!$B$7:$B$366,C3139)</f>
        <v>0.24731182795698925</v>
      </c>
      <c r="I3139" s="87">
        <f>SUMIFS('Climate Data'!$H$7:$H$366,'Climate Data'!$A$7:$A$366,Estimator!$B$4,'Climate Data'!$B$7:$B$366,C3139)</f>
        <v>8.3739130434782609</v>
      </c>
      <c r="J3139" s="86">
        <f>SUMIFS('Wind Proxy'!$H$8:$H$19,'Wind Proxy'!$A$8:$A$19,Estimator!$B$4,'Wind Proxy'!$B$8:$B$19,C3139)</f>
        <v>0</v>
      </c>
    </row>
    <row r="3140" spans="1:10" ht="14.4">
      <c r="A3140" s="84">
        <v>48791</v>
      </c>
      <c r="B3140" s="85">
        <v>2033</v>
      </c>
      <c r="C3140" s="85">
        <v>7</v>
      </c>
      <c r="D3140" s="85" t="s">
        <v>69</v>
      </c>
      <c r="E3140" s="85">
        <v>31</v>
      </c>
      <c r="F3140" s="85">
        <v>7</v>
      </c>
      <c r="G3140" s="85">
        <f>--(F3140&lt;=Estimator!$B$7)</f>
        <v>0</v>
      </c>
      <c r="H3140" s="86">
        <f>SUMIFS('Climate Data'!$G$7:$G$366,'Climate Data'!$A$7:$A$366,Estimator!$B$4,'Climate Data'!$B$7:$B$366,C3140)</f>
        <v>0.24731182795698925</v>
      </c>
      <c r="I3140" s="87">
        <f>SUMIFS('Climate Data'!$H$7:$H$366,'Climate Data'!$A$7:$A$366,Estimator!$B$4,'Climate Data'!$B$7:$B$366,C3140)</f>
        <v>8.3739130434782609</v>
      </c>
      <c r="J3140" s="86">
        <f>SUMIFS('Wind Proxy'!$H$8:$H$19,'Wind Proxy'!$A$8:$A$19,Estimator!$B$4,'Wind Proxy'!$B$8:$B$19,C3140)</f>
        <v>0</v>
      </c>
    </row>
    <row r="3141" spans="1:10" ht="14.4">
      <c r="A3141" s="84">
        <v>48792</v>
      </c>
      <c r="B3141" s="85">
        <v>2033</v>
      </c>
      <c r="C3141" s="85">
        <v>8</v>
      </c>
      <c r="D3141" s="85" t="s">
        <v>71</v>
      </c>
      <c r="E3141" s="85">
        <v>1</v>
      </c>
      <c r="F3141" s="85">
        <v>1</v>
      </c>
      <c r="G3141" s="85">
        <f>--(F3141&lt;=Estimator!$B$7)</f>
        <v>1</v>
      </c>
      <c r="H3141" s="86">
        <f>SUMIFS('Climate Data'!$G$7:$G$366,'Climate Data'!$A$7:$A$366,Estimator!$B$4,'Climate Data'!$B$7:$B$366,C3141)</f>
        <v>0.23548387096774193</v>
      </c>
      <c r="I3141" s="87">
        <f>SUMIFS('Climate Data'!$H$7:$H$366,'Climate Data'!$A$7:$A$366,Estimator!$B$4,'Climate Data'!$B$7:$B$366,C3141)</f>
        <v>7.9589041095890414</v>
      </c>
      <c r="J3141" s="86">
        <f>SUMIFS('Wind Proxy'!$H$8:$H$19,'Wind Proxy'!$A$8:$A$19,Estimator!$B$4,'Wind Proxy'!$B$8:$B$19,C3141)</f>
        <v>0</v>
      </c>
    </row>
    <row r="3142" spans="1:10" ht="14.4">
      <c r="A3142" s="84">
        <v>48793</v>
      </c>
      <c r="B3142" s="85">
        <v>2033</v>
      </c>
      <c r="C3142" s="85">
        <v>8</v>
      </c>
      <c r="D3142" s="85" t="s">
        <v>71</v>
      </c>
      <c r="E3142" s="85">
        <v>2</v>
      </c>
      <c r="F3142" s="85">
        <v>2</v>
      </c>
      <c r="G3142" s="85">
        <f>--(F3142&lt;=Estimator!$B$7)</f>
        <v>1</v>
      </c>
      <c r="H3142" s="86">
        <f>SUMIFS('Climate Data'!$G$7:$G$366,'Climate Data'!$A$7:$A$366,Estimator!$B$4,'Climate Data'!$B$7:$B$366,C3142)</f>
        <v>0.23548387096774193</v>
      </c>
      <c r="I3142" s="87">
        <f>SUMIFS('Climate Data'!$H$7:$H$366,'Climate Data'!$A$7:$A$366,Estimator!$B$4,'Climate Data'!$B$7:$B$366,C3142)</f>
        <v>7.9589041095890414</v>
      </c>
      <c r="J3142" s="86">
        <f>SUMIFS('Wind Proxy'!$H$8:$H$19,'Wind Proxy'!$A$8:$A$19,Estimator!$B$4,'Wind Proxy'!$B$8:$B$19,C3142)</f>
        <v>0</v>
      </c>
    </row>
    <row r="3143" spans="1:10" ht="14.4">
      <c r="A3143" s="84">
        <v>48794</v>
      </c>
      <c r="B3143" s="85">
        <v>2033</v>
      </c>
      <c r="C3143" s="85">
        <v>8</v>
      </c>
      <c r="D3143" s="85" t="s">
        <v>71</v>
      </c>
      <c r="E3143" s="85">
        <v>3</v>
      </c>
      <c r="F3143" s="85">
        <v>3</v>
      </c>
      <c r="G3143" s="85">
        <f>--(F3143&lt;=Estimator!$B$7)</f>
        <v>1</v>
      </c>
      <c r="H3143" s="86">
        <f>SUMIFS('Climate Data'!$G$7:$G$366,'Climate Data'!$A$7:$A$366,Estimator!$B$4,'Climate Data'!$B$7:$B$366,C3143)</f>
        <v>0.23548387096774193</v>
      </c>
      <c r="I3143" s="87">
        <f>SUMIFS('Climate Data'!$H$7:$H$366,'Climate Data'!$A$7:$A$366,Estimator!$B$4,'Climate Data'!$B$7:$B$366,C3143)</f>
        <v>7.9589041095890414</v>
      </c>
      <c r="J3143" s="86">
        <f>SUMIFS('Wind Proxy'!$H$8:$H$19,'Wind Proxy'!$A$8:$A$19,Estimator!$B$4,'Wind Proxy'!$B$8:$B$19,C3143)</f>
        <v>0</v>
      </c>
    </row>
    <row r="3144" spans="1:10" ht="14.4">
      <c r="A3144" s="84">
        <v>48795</v>
      </c>
      <c r="B3144" s="85">
        <v>2033</v>
      </c>
      <c r="C3144" s="85">
        <v>8</v>
      </c>
      <c r="D3144" s="85" t="s">
        <v>71</v>
      </c>
      <c r="E3144" s="85">
        <v>4</v>
      </c>
      <c r="F3144" s="85">
        <v>4</v>
      </c>
      <c r="G3144" s="85">
        <f>--(F3144&lt;=Estimator!$B$7)</f>
        <v>1</v>
      </c>
      <c r="H3144" s="86">
        <f>SUMIFS('Climate Data'!$G$7:$G$366,'Climate Data'!$A$7:$A$366,Estimator!$B$4,'Climate Data'!$B$7:$B$366,C3144)</f>
        <v>0.23548387096774193</v>
      </c>
      <c r="I3144" s="87">
        <f>SUMIFS('Climate Data'!$H$7:$H$366,'Climate Data'!$A$7:$A$366,Estimator!$B$4,'Climate Data'!$B$7:$B$366,C3144)</f>
        <v>7.9589041095890414</v>
      </c>
      <c r="J3144" s="86">
        <f>SUMIFS('Wind Proxy'!$H$8:$H$19,'Wind Proxy'!$A$8:$A$19,Estimator!$B$4,'Wind Proxy'!$B$8:$B$19,C3144)</f>
        <v>0</v>
      </c>
    </row>
    <row r="3145" spans="1:10" ht="14.4">
      <c r="A3145" s="84">
        <v>48796</v>
      </c>
      <c r="B3145" s="85">
        <v>2033</v>
      </c>
      <c r="C3145" s="85">
        <v>8</v>
      </c>
      <c r="D3145" s="85" t="s">
        <v>71</v>
      </c>
      <c r="E3145" s="85">
        <v>5</v>
      </c>
      <c r="F3145" s="85">
        <v>5</v>
      </c>
      <c r="G3145" s="85">
        <f>--(F3145&lt;=Estimator!$B$7)</f>
        <v>1</v>
      </c>
      <c r="H3145" s="86">
        <f>SUMIFS('Climate Data'!$G$7:$G$366,'Climate Data'!$A$7:$A$366,Estimator!$B$4,'Climate Data'!$B$7:$B$366,C3145)</f>
        <v>0.23548387096774193</v>
      </c>
      <c r="I3145" s="87">
        <f>SUMIFS('Climate Data'!$H$7:$H$366,'Climate Data'!$A$7:$A$366,Estimator!$B$4,'Climate Data'!$B$7:$B$366,C3145)</f>
        <v>7.9589041095890414</v>
      </c>
      <c r="J3145" s="86">
        <f>SUMIFS('Wind Proxy'!$H$8:$H$19,'Wind Proxy'!$A$8:$A$19,Estimator!$B$4,'Wind Proxy'!$B$8:$B$19,C3145)</f>
        <v>0</v>
      </c>
    </row>
    <row r="3146" spans="1:10" ht="14.4">
      <c r="A3146" s="84">
        <v>48797</v>
      </c>
      <c r="B3146" s="85">
        <v>2033</v>
      </c>
      <c r="C3146" s="85">
        <v>8</v>
      </c>
      <c r="D3146" s="85" t="s">
        <v>71</v>
      </c>
      <c r="E3146" s="85">
        <v>6</v>
      </c>
      <c r="F3146" s="85">
        <v>6</v>
      </c>
      <c r="G3146" s="85">
        <f>--(F3146&lt;=Estimator!$B$7)</f>
        <v>0</v>
      </c>
      <c r="H3146" s="86">
        <f>SUMIFS('Climate Data'!$G$7:$G$366,'Climate Data'!$A$7:$A$366,Estimator!$B$4,'Climate Data'!$B$7:$B$366,C3146)</f>
        <v>0.23548387096774193</v>
      </c>
      <c r="I3146" s="87">
        <f>SUMIFS('Climate Data'!$H$7:$H$366,'Climate Data'!$A$7:$A$366,Estimator!$B$4,'Climate Data'!$B$7:$B$366,C3146)</f>
        <v>7.9589041095890414</v>
      </c>
      <c r="J3146" s="86">
        <f>SUMIFS('Wind Proxy'!$H$8:$H$19,'Wind Proxy'!$A$8:$A$19,Estimator!$B$4,'Wind Proxy'!$B$8:$B$19,C3146)</f>
        <v>0</v>
      </c>
    </row>
    <row r="3147" spans="1:10" ht="14.4">
      <c r="A3147" s="84">
        <v>48798</v>
      </c>
      <c r="B3147" s="85">
        <v>2033</v>
      </c>
      <c r="C3147" s="85">
        <v>8</v>
      </c>
      <c r="D3147" s="85" t="s">
        <v>71</v>
      </c>
      <c r="E3147" s="85">
        <v>7</v>
      </c>
      <c r="F3147" s="85">
        <v>7</v>
      </c>
      <c r="G3147" s="85">
        <f>--(F3147&lt;=Estimator!$B$7)</f>
        <v>0</v>
      </c>
      <c r="H3147" s="86">
        <f>SUMIFS('Climate Data'!$G$7:$G$366,'Climate Data'!$A$7:$A$366,Estimator!$B$4,'Climate Data'!$B$7:$B$366,C3147)</f>
        <v>0.23548387096774193</v>
      </c>
      <c r="I3147" s="87">
        <f>SUMIFS('Climate Data'!$H$7:$H$366,'Climate Data'!$A$7:$A$366,Estimator!$B$4,'Climate Data'!$B$7:$B$366,C3147)</f>
        <v>7.9589041095890414</v>
      </c>
      <c r="J3147" s="86">
        <f>SUMIFS('Wind Proxy'!$H$8:$H$19,'Wind Proxy'!$A$8:$A$19,Estimator!$B$4,'Wind Proxy'!$B$8:$B$19,C3147)</f>
        <v>0</v>
      </c>
    </row>
    <row r="3148" spans="1:10" ht="14.4">
      <c r="A3148" s="84">
        <v>48799</v>
      </c>
      <c r="B3148" s="85">
        <v>2033</v>
      </c>
      <c r="C3148" s="85">
        <v>8</v>
      </c>
      <c r="D3148" s="85" t="s">
        <v>71</v>
      </c>
      <c r="E3148" s="85">
        <v>8</v>
      </c>
      <c r="F3148" s="85">
        <v>1</v>
      </c>
      <c r="G3148" s="85">
        <f>--(F3148&lt;=Estimator!$B$7)</f>
        <v>1</v>
      </c>
      <c r="H3148" s="86">
        <f>SUMIFS('Climate Data'!$G$7:$G$366,'Climate Data'!$A$7:$A$366,Estimator!$B$4,'Climate Data'!$B$7:$B$366,C3148)</f>
        <v>0.23548387096774193</v>
      </c>
      <c r="I3148" s="87">
        <f>SUMIFS('Climate Data'!$H$7:$H$366,'Climate Data'!$A$7:$A$366,Estimator!$B$4,'Climate Data'!$B$7:$B$366,C3148)</f>
        <v>7.9589041095890414</v>
      </c>
      <c r="J3148" s="86">
        <f>SUMIFS('Wind Proxy'!$H$8:$H$19,'Wind Proxy'!$A$8:$A$19,Estimator!$B$4,'Wind Proxy'!$B$8:$B$19,C3148)</f>
        <v>0</v>
      </c>
    </row>
    <row r="3149" spans="1:10" ht="14.4">
      <c r="A3149" s="84">
        <v>48800</v>
      </c>
      <c r="B3149" s="85">
        <v>2033</v>
      </c>
      <c r="C3149" s="85">
        <v>8</v>
      </c>
      <c r="D3149" s="85" t="s">
        <v>71</v>
      </c>
      <c r="E3149" s="85">
        <v>9</v>
      </c>
      <c r="F3149" s="85">
        <v>2</v>
      </c>
      <c r="G3149" s="85">
        <f>--(F3149&lt;=Estimator!$B$7)</f>
        <v>1</v>
      </c>
      <c r="H3149" s="86">
        <f>SUMIFS('Climate Data'!$G$7:$G$366,'Climate Data'!$A$7:$A$366,Estimator!$B$4,'Climate Data'!$B$7:$B$366,C3149)</f>
        <v>0.23548387096774193</v>
      </c>
      <c r="I3149" s="87">
        <f>SUMIFS('Climate Data'!$H$7:$H$366,'Climate Data'!$A$7:$A$366,Estimator!$B$4,'Climate Data'!$B$7:$B$366,C3149)</f>
        <v>7.9589041095890414</v>
      </c>
      <c r="J3149" s="86">
        <f>SUMIFS('Wind Proxy'!$H$8:$H$19,'Wind Proxy'!$A$8:$A$19,Estimator!$B$4,'Wind Proxy'!$B$8:$B$19,C3149)</f>
        <v>0</v>
      </c>
    </row>
    <row r="3150" spans="1:10" ht="14.4">
      <c r="A3150" s="84">
        <v>48801</v>
      </c>
      <c r="B3150" s="85">
        <v>2033</v>
      </c>
      <c r="C3150" s="85">
        <v>8</v>
      </c>
      <c r="D3150" s="85" t="s">
        <v>71</v>
      </c>
      <c r="E3150" s="85">
        <v>10</v>
      </c>
      <c r="F3150" s="85">
        <v>3</v>
      </c>
      <c r="G3150" s="85">
        <f>--(F3150&lt;=Estimator!$B$7)</f>
        <v>1</v>
      </c>
      <c r="H3150" s="86">
        <f>SUMIFS('Climate Data'!$G$7:$G$366,'Climate Data'!$A$7:$A$366,Estimator!$B$4,'Climate Data'!$B$7:$B$366,C3150)</f>
        <v>0.23548387096774193</v>
      </c>
      <c r="I3150" s="87">
        <f>SUMIFS('Climate Data'!$H$7:$H$366,'Climate Data'!$A$7:$A$366,Estimator!$B$4,'Climate Data'!$B$7:$B$366,C3150)</f>
        <v>7.9589041095890414</v>
      </c>
      <c r="J3150" s="86">
        <f>SUMIFS('Wind Proxy'!$H$8:$H$19,'Wind Proxy'!$A$8:$A$19,Estimator!$B$4,'Wind Proxy'!$B$8:$B$19,C3150)</f>
        <v>0</v>
      </c>
    </row>
    <row r="3151" spans="1:10" ht="14.4">
      <c r="A3151" s="84">
        <v>48802</v>
      </c>
      <c r="B3151" s="85">
        <v>2033</v>
      </c>
      <c r="C3151" s="85">
        <v>8</v>
      </c>
      <c r="D3151" s="85" t="s">
        <v>71</v>
      </c>
      <c r="E3151" s="85">
        <v>11</v>
      </c>
      <c r="F3151" s="85">
        <v>4</v>
      </c>
      <c r="G3151" s="85">
        <f>--(F3151&lt;=Estimator!$B$7)</f>
        <v>1</v>
      </c>
      <c r="H3151" s="86">
        <f>SUMIFS('Climate Data'!$G$7:$G$366,'Climate Data'!$A$7:$A$366,Estimator!$B$4,'Climate Data'!$B$7:$B$366,C3151)</f>
        <v>0.23548387096774193</v>
      </c>
      <c r="I3151" s="87">
        <f>SUMIFS('Climate Data'!$H$7:$H$366,'Climate Data'!$A$7:$A$366,Estimator!$B$4,'Climate Data'!$B$7:$B$366,C3151)</f>
        <v>7.9589041095890414</v>
      </c>
      <c r="J3151" s="86">
        <f>SUMIFS('Wind Proxy'!$H$8:$H$19,'Wind Proxy'!$A$8:$A$19,Estimator!$B$4,'Wind Proxy'!$B$8:$B$19,C3151)</f>
        <v>0</v>
      </c>
    </row>
    <row r="3152" spans="1:10" ht="14.4">
      <c r="A3152" s="84">
        <v>48803</v>
      </c>
      <c r="B3152" s="85">
        <v>2033</v>
      </c>
      <c r="C3152" s="85">
        <v>8</v>
      </c>
      <c r="D3152" s="85" t="s">
        <v>71</v>
      </c>
      <c r="E3152" s="85">
        <v>12</v>
      </c>
      <c r="F3152" s="85">
        <v>5</v>
      </c>
      <c r="G3152" s="85">
        <f>--(F3152&lt;=Estimator!$B$7)</f>
        <v>1</v>
      </c>
      <c r="H3152" s="86">
        <f>SUMIFS('Climate Data'!$G$7:$G$366,'Climate Data'!$A$7:$A$366,Estimator!$B$4,'Climate Data'!$B$7:$B$366,C3152)</f>
        <v>0.23548387096774193</v>
      </c>
      <c r="I3152" s="87">
        <f>SUMIFS('Climate Data'!$H$7:$H$366,'Climate Data'!$A$7:$A$366,Estimator!$B$4,'Climate Data'!$B$7:$B$366,C3152)</f>
        <v>7.9589041095890414</v>
      </c>
      <c r="J3152" s="86">
        <f>SUMIFS('Wind Proxy'!$H$8:$H$19,'Wind Proxy'!$A$8:$A$19,Estimator!$B$4,'Wind Proxy'!$B$8:$B$19,C3152)</f>
        <v>0</v>
      </c>
    </row>
    <row r="3153" spans="1:10" ht="14.4">
      <c r="A3153" s="84">
        <v>48804</v>
      </c>
      <c r="B3153" s="85">
        <v>2033</v>
      </c>
      <c r="C3153" s="85">
        <v>8</v>
      </c>
      <c r="D3153" s="85" t="s">
        <v>71</v>
      </c>
      <c r="E3153" s="85">
        <v>13</v>
      </c>
      <c r="F3153" s="85">
        <v>6</v>
      </c>
      <c r="G3153" s="85">
        <f>--(F3153&lt;=Estimator!$B$7)</f>
        <v>0</v>
      </c>
      <c r="H3153" s="86">
        <f>SUMIFS('Climate Data'!$G$7:$G$366,'Climate Data'!$A$7:$A$366,Estimator!$B$4,'Climate Data'!$B$7:$B$366,C3153)</f>
        <v>0.23548387096774193</v>
      </c>
      <c r="I3153" s="87">
        <f>SUMIFS('Climate Data'!$H$7:$H$366,'Climate Data'!$A$7:$A$366,Estimator!$B$4,'Climate Data'!$B$7:$B$366,C3153)</f>
        <v>7.9589041095890414</v>
      </c>
      <c r="J3153" s="86">
        <f>SUMIFS('Wind Proxy'!$H$8:$H$19,'Wind Proxy'!$A$8:$A$19,Estimator!$B$4,'Wind Proxy'!$B$8:$B$19,C3153)</f>
        <v>0</v>
      </c>
    </row>
    <row r="3154" spans="1:10" ht="14.4">
      <c r="A3154" s="84">
        <v>48805</v>
      </c>
      <c r="B3154" s="85">
        <v>2033</v>
      </c>
      <c r="C3154" s="85">
        <v>8</v>
      </c>
      <c r="D3154" s="85" t="s">
        <v>71</v>
      </c>
      <c r="E3154" s="85">
        <v>14</v>
      </c>
      <c r="F3154" s="85">
        <v>7</v>
      </c>
      <c r="G3154" s="85">
        <f>--(F3154&lt;=Estimator!$B$7)</f>
        <v>0</v>
      </c>
      <c r="H3154" s="86">
        <f>SUMIFS('Climate Data'!$G$7:$G$366,'Climate Data'!$A$7:$A$366,Estimator!$B$4,'Climate Data'!$B$7:$B$366,C3154)</f>
        <v>0.23548387096774193</v>
      </c>
      <c r="I3154" s="87">
        <f>SUMIFS('Climate Data'!$H$7:$H$366,'Climate Data'!$A$7:$A$366,Estimator!$B$4,'Climate Data'!$B$7:$B$366,C3154)</f>
        <v>7.9589041095890414</v>
      </c>
      <c r="J3154" s="86">
        <f>SUMIFS('Wind Proxy'!$H$8:$H$19,'Wind Proxy'!$A$8:$A$19,Estimator!$B$4,'Wind Proxy'!$B$8:$B$19,C3154)</f>
        <v>0</v>
      </c>
    </row>
    <row r="3155" spans="1:10" ht="14.4">
      <c r="A3155" s="84">
        <v>48806</v>
      </c>
      <c r="B3155" s="85">
        <v>2033</v>
      </c>
      <c r="C3155" s="85">
        <v>8</v>
      </c>
      <c r="D3155" s="85" t="s">
        <v>71</v>
      </c>
      <c r="E3155" s="85">
        <v>15</v>
      </c>
      <c r="F3155" s="85">
        <v>1</v>
      </c>
      <c r="G3155" s="85">
        <f>--(F3155&lt;=Estimator!$B$7)</f>
        <v>1</v>
      </c>
      <c r="H3155" s="86">
        <f>SUMIFS('Climate Data'!$G$7:$G$366,'Climate Data'!$A$7:$A$366,Estimator!$B$4,'Climate Data'!$B$7:$B$366,C3155)</f>
        <v>0.23548387096774193</v>
      </c>
      <c r="I3155" s="87">
        <f>SUMIFS('Climate Data'!$H$7:$H$366,'Climate Data'!$A$7:$A$366,Estimator!$B$4,'Climate Data'!$B$7:$B$366,C3155)</f>
        <v>7.9589041095890414</v>
      </c>
      <c r="J3155" s="86">
        <f>SUMIFS('Wind Proxy'!$H$8:$H$19,'Wind Proxy'!$A$8:$A$19,Estimator!$B$4,'Wind Proxy'!$B$8:$B$19,C3155)</f>
        <v>0</v>
      </c>
    </row>
    <row r="3156" spans="1:10" ht="14.4">
      <c r="A3156" s="84">
        <v>48807</v>
      </c>
      <c r="B3156" s="85">
        <v>2033</v>
      </c>
      <c r="C3156" s="85">
        <v>8</v>
      </c>
      <c r="D3156" s="85" t="s">
        <v>71</v>
      </c>
      <c r="E3156" s="85">
        <v>16</v>
      </c>
      <c r="F3156" s="85">
        <v>2</v>
      </c>
      <c r="G3156" s="85">
        <f>--(F3156&lt;=Estimator!$B$7)</f>
        <v>1</v>
      </c>
      <c r="H3156" s="86">
        <f>SUMIFS('Climate Data'!$G$7:$G$366,'Climate Data'!$A$7:$A$366,Estimator!$B$4,'Climate Data'!$B$7:$B$366,C3156)</f>
        <v>0.23548387096774193</v>
      </c>
      <c r="I3156" s="87">
        <f>SUMIFS('Climate Data'!$H$7:$H$366,'Climate Data'!$A$7:$A$366,Estimator!$B$4,'Climate Data'!$B$7:$B$366,C3156)</f>
        <v>7.9589041095890414</v>
      </c>
      <c r="J3156" s="86">
        <f>SUMIFS('Wind Proxy'!$H$8:$H$19,'Wind Proxy'!$A$8:$A$19,Estimator!$B$4,'Wind Proxy'!$B$8:$B$19,C3156)</f>
        <v>0</v>
      </c>
    </row>
    <row r="3157" spans="1:10" ht="14.4">
      <c r="A3157" s="84">
        <v>48808</v>
      </c>
      <c r="B3157" s="85">
        <v>2033</v>
      </c>
      <c r="C3157" s="85">
        <v>8</v>
      </c>
      <c r="D3157" s="85" t="s">
        <v>71</v>
      </c>
      <c r="E3157" s="85">
        <v>17</v>
      </c>
      <c r="F3157" s="85">
        <v>3</v>
      </c>
      <c r="G3157" s="85">
        <f>--(F3157&lt;=Estimator!$B$7)</f>
        <v>1</v>
      </c>
      <c r="H3157" s="86">
        <f>SUMIFS('Climate Data'!$G$7:$G$366,'Climate Data'!$A$7:$A$366,Estimator!$B$4,'Climate Data'!$B$7:$B$366,C3157)</f>
        <v>0.23548387096774193</v>
      </c>
      <c r="I3157" s="87">
        <f>SUMIFS('Climate Data'!$H$7:$H$366,'Climate Data'!$A$7:$A$366,Estimator!$B$4,'Climate Data'!$B$7:$B$366,C3157)</f>
        <v>7.9589041095890414</v>
      </c>
      <c r="J3157" s="86">
        <f>SUMIFS('Wind Proxy'!$H$8:$H$19,'Wind Proxy'!$A$8:$A$19,Estimator!$B$4,'Wind Proxy'!$B$8:$B$19,C3157)</f>
        <v>0</v>
      </c>
    </row>
    <row r="3158" spans="1:10" ht="14.4">
      <c r="A3158" s="84">
        <v>48809</v>
      </c>
      <c r="B3158" s="85">
        <v>2033</v>
      </c>
      <c r="C3158" s="85">
        <v>8</v>
      </c>
      <c r="D3158" s="85" t="s">
        <v>71</v>
      </c>
      <c r="E3158" s="85">
        <v>18</v>
      </c>
      <c r="F3158" s="85">
        <v>4</v>
      </c>
      <c r="G3158" s="85">
        <f>--(F3158&lt;=Estimator!$B$7)</f>
        <v>1</v>
      </c>
      <c r="H3158" s="86">
        <f>SUMIFS('Climate Data'!$G$7:$G$366,'Climate Data'!$A$7:$A$366,Estimator!$B$4,'Climate Data'!$B$7:$B$366,C3158)</f>
        <v>0.23548387096774193</v>
      </c>
      <c r="I3158" s="87">
        <f>SUMIFS('Climate Data'!$H$7:$H$366,'Climate Data'!$A$7:$A$366,Estimator!$B$4,'Climate Data'!$B$7:$B$366,C3158)</f>
        <v>7.9589041095890414</v>
      </c>
      <c r="J3158" s="86">
        <f>SUMIFS('Wind Proxy'!$H$8:$H$19,'Wind Proxy'!$A$8:$A$19,Estimator!$B$4,'Wind Proxy'!$B$8:$B$19,C3158)</f>
        <v>0</v>
      </c>
    </row>
    <row r="3159" spans="1:10" ht="14.4">
      <c r="A3159" s="84">
        <v>48810</v>
      </c>
      <c r="B3159" s="85">
        <v>2033</v>
      </c>
      <c r="C3159" s="85">
        <v>8</v>
      </c>
      <c r="D3159" s="85" t="s">
        <v>71</v>
      </c>
      <c r="E3159" s="85">
        <v>19</v>
      </c>
      <c r="F3159" s="85">
        <v>5</v>
      </c>
      <c r="G3159" s="85">
        <f>--(F3159&lt;=Estimator!$B$7)</f>
        <v>1</v>
      </c>
      <c r="H3159" s="86">
        <f>SUMIFS('Climate Data'!$G$7:$G$366,'Climate Data'!$A$7:$A$366,Estimator!$B$4,'Climate Data'!$B$7:$B$366,C3159)</f>
        <v>0.23548387096774193</v>
      </c>
      <c r="I3159" s="87">
        <f>SUMIFS('Climate Data'!$H$7:$H$366,'Climate Data'!$A$7:$A$366,Estimator!$B$4,'Climate Data'!$B$7:$B$366,C3159)</f>
        <v>7.9589041095890414</v>
      </c>
      <c r="J3159" s="86">
        <f>SUMIFS('Wind Proxy'!$H$8:$H$19,'Wind Proxy'!$A$8:$A$19,Estimator!$B$4,'Wind Proxy'!$B$8:$B$19,C3159)</f>
        <v>0</v>
      </c>
    </row>
    <row r="3160" spans="1:10" ht="14.4">
      <c r="A3160" s="84">
        <v>48811</v>
      </c>
      <c r="B3160" s="85">
        <v>2033</v>
      </c>
      <c r="C3160" s="85">
        <v>8</v>
      </c>
      <c r="D3160" s="85" t="s">
        <v>71</v>
      </c>
      <c r="E3160" s="85">
        <v>20</v>
      </c>
      <c r="F3160" s="85">
        <v>6</v>
      </c>
      <c r="G3160" s="85">
        <f>--(F3160&lt;=Estimator!$B$7)</f>
        <v>0</v>
      </c>
      <c r="H3160" s="86">
        <f>SUMIFS('Climate Data'!$G$7:$G$366,'Climate Data'!$A$7:$A$366,Estimator!$B$4,'Climate Data'!$B$7:$B$366,C3160)</f>
        <v>0.23548387096774193</v>
      </c>
      <c r="I3160" s="87">
        <f>SUMIFS('Climate Data'!$H$7:$H$366,'Climate Data'!$A$7:$A$366,Estimator!$B$4,'Climate Data'!$B$7:$B$366,C3160)</f>
        <v>7.9589041095890414</v>
      </c>
      <c r="J3160" s="86">
        <f>SUMIFS('Wind Proxy'!$H$8:$H$19,'Wind Proxy'!$A$8:$A$19,Estimator!$B$4,'Wind Proxy'!$B$8:$B$19,C3160)</f>
        <v>0</v>
      </c>
    </row>
    <row r="3161" spans="1:10" ht="14.4">
      <c r="A3161" s="84">
        <v>48812</v>
      </c>
      <c r="B3161" s="85">
        <v>2033</v>
      </c>
      <c r="C3161" s="85">
        <v>8</v>
      </c>
      <c r="D3161" s="85" t="s">
        <v>71</v>
      </c>
      <c r="E3161" s="85">
        <v>21</v>
      </c>
      <c r="F3161" s="85">
        <v>7</v>
      </c>
      <c r="G3161" s="85">
        <f>--(F3161&lt;=Estimator!$B$7)</f>
        <v>0</v>
      </c>
      <c r="H3161" s="86">
        <f>SUMIFS('Climate Data'!$G$7:$G$366,'Climate Data'!$A$7:$A$366,Estimator!$B$4,'Climate Data'!$B$7:$B$366,C3161)</f>
        <v>0.23548387096774193</v>
      </c>
      <c r="I3161" s="87">
        <f>SUMIFS('Climate Data'!$H$7:$H$366,'Climate Data'!$A$7:$A$366,Estimator!$B$4,'Climate Data'!$B$7:$B$366,C3161)</f>
        <v>7.9589041095890414</v>
      </c>
      <c r="J3161" s="86">
        <f>SUMIFS('Wind Proxy'!$H$8:$H$19,'Wind Proxy'!$A$8:$A$19,Estimator!$B$4,'Wind Proxy'!$B$8:$B$19,C3161)</f>
        <v>0</v>
      </c>
    </row>
    <row r="3162" spans="1:10" ht="14.4">
      <c r="A3162" s="84">
        <v>48813</v>
      </c>
      <c r="B3162" s="85">
        <v>2033</v>
      </c>
      <c r="C3162" s="85">
        <v>8</v>
      </c>
      <c r="D3162" s="85" t="s">
        <v>71</v>
      </c>
      <c r="E3162" s="85">
        <v>22</v>
      </c>
      <c r="F3162" s="85">
        <v>1</v>
      </c>
      <c r="G3162" s="85">
        <f>--(F3162&lt;=Estimator!$B$7)</f>
        <v>1</v>
      </c>
      <c r="H3162" s="86">
        <f>SUMIFS('Climate Data'!$G$7:$G$366,'Climate Data'!$A$7:$A$366,Estimator!$B$4,'Climate Data'!$B$7:$B$366,C3162)</f>
        <v>0.23548387096774193</v>
      </c>
      <c r="I3162" s="87">
        <f>SUMIFS('Climate Data'!$H$7:$H$366,'Climate Data'!$A$7:$A$366,Estimator!$B$4,'Climate Data'!$B$7:$B$366,C3162)</f>
        <v>7.9589041095890414</v>
      </c>
      <c r="J3162" s="86">
        <f>SUMIFS('Wind Proxy'!$H$8:$H$19,'Wind Proxy'!$A$8:$A$19,Estimator!$B$4,'Wind Proxy'!$B$8:$B$19,C3162)</f>
        <v>0</v>
      </c>
    </row>
    <row r="3163" spans="1:10" ht="14.4">
      <c r="A3163" s="84">
        <v>48814</v>
      </c>
      <c r="B3163" s="85">
        <v>2033</v>
      </c>
      <c r="C3163" s="85">
        <v>8</v>
      </c>
      <c r="D3163" s="85" t="s">
        <v>71</v>
      </c>
      <c r="E3163" s="85">
        <v>23</v>
      </c>
      <c r="F3163" s="85">
        <v>2</v>
      </c>
      <c r="G3163" s="85">
        <f>--(F3163&lt;=Estimator!$B$7)</f>
        <v>1</v>
      </c>
      <c r="H3163" s="86">
        <f>SUMIFS('Climate Data'!$G$7:$G$366,'Climate Data'!$A$7:$A$366,Estimator!$B$4,'Climate Data'!$B$7:$B$366,C3163)</f>
        <v>0.23548387096774193</v>
      </c>
      <c r="I3163" s="87">
        <f>SUMIFS('Climate Data'!$H$7:$H$366,'Climate Data'!$A$7:$A$366,Estimator!$B$4,'Climate Data'!$B$7:$B$366,C3163)</f>
        <v>7.9589041095890414</v>
      </c>
      <c r="J3163" s="86">
        <f>SUMIFS('Wind Proxy'!$H$8:$H$19,'Wind Proxy'!$A$8:$A$19,Estimator!$B$4,'Wind Proxy'!$B$8:$B$19,C3163)</f>
        <v>0</v>
      </c>
    </row>
    <row r="3164" spans="1:10" ht="14.4">
      <c r="A3164" s="84">
        <v>48815</v>
      </c>
      <c r="B3164" s="85">
        <v>2033</v>
      </c>
      <c r="C3164" s="85">
        <v>8</v>
      </c>
      <c r="D3164" s="85" t="s">
        <v>71</v>
      </c>
      <c r="E3164" s="85">
        <v>24</v>
      </c>
      <c r="F3164" s="85">
        <v>3</v>
      </c>
      <c r="G3164" s="85">
        <f>--(F3164&lt;=Estimator!$B$7)</f>
        <v>1</v>
      </c>
      <c r="H3164" s="86">
        <f>SUMIFS('Climate Data'!$G$7:$G$366,'Climate Data'!$A$7:$A$366,Estimator!$B$4,'Climate Data'!$B$7:$B$366,C3164)</f>
        <v>0.23548387096774193</v>
      </c>
      <c r="I3164" s="87">
        <f>SUMIFS('Climate Data'!$H$7:$H$366,'Climate Data'!$A$7:$A$366,Estimator!$B$4,'Climate Data'!$B$7:$B$366,C3164)</f>
        <v>7.9589041095890414</v>
      </c>
      <c r="J3164" s="86">
        <f>SUMIFS('Wind Proxy'!$H$8:$H$19,'Wind Proxy'!$A$8:$A$19,Estimator!$B$4,'Wind Proxy'!$B$8:$B$19,C3164)</f>
        <v>0</v>
      </c>
    </row>
    <row r="3165" spans="1:10" ht="14.4">
      <c r="A3165" s="84">
        <v>48816</v>
      </c>
      <c r="B3165" s="85">
        <v>2033</v>
      </c>
      <c r="C3165" s="85">
        <v>8</v>
      </c>
      <c r="D3165" s="85" t="s">
        <v>71</v>
      </c>
      <c r="E3165" s="85">
        <v>25</v>
      </c>
      <c r="F3165" s="85">
        <v>4</v>
      </c>
      <c r="G3165" s="85">
        <f>--(F3165&lt;=Estimator!$B$7)</f>
        <v>1</v>
      </c>
      <c r="H3165" s="86">
        <f>SUMIFS('Climate Data'!$G$7:$G$366,'Climate Data'!$A$7:$A$366,Estimator!$B$4,'Climate Data'!$B$7:$B$366,C3165)</f>
        <v>0.23548387096774193</v>
      </c>
      <c r="I3165" s="87">
        <f>SUMIFS('Climate Data'!$H$7:$H$366,'Climate Data'!$A$7:$A$366,Estimator!$B$4,'Climate Data'!$B$7:$B$366,C3165)</f>
        <v>7.9589041095890414</v>
      </c>
      <c r="J3165" s="86">
        <f>SUMIFS('Wind Proxy'!$H$8:$H$19,'Wind Proxy'!$A$8:$A$19,Estimator!$B$4,'Wind Proxy'!$B$8:$B$19,C3165)</f>
        <v>0</v>
      </c>
    </row>
    <row r="3166" spans="1:10" ht="14.4">
      <c r="A3166" s="84">
        <v>48817</v>
      </c>
      <c r="B3166" s="85">
        <v>2033</v>
      </c>
      <c r="C3166" s="85">
        <v>8</v>
      </c>
      <c r="D3166" s="85" t="s">
        <v>71</v>
      </c>
      <c r="E3166" s="85">
        <v>26</v>
      </c>
      <c r="F3166" s="85">
        <v>5</v>
      </c>
      <c r="G3166" s="85">
        <f>--(F3166&lt;=Estimator!$B$7)</f>
        <v>1</v>
      </c>
      <c r="H3166" s="86">
        <f>SUMIFS('Climate Data'!$G$7:$G$366,'Climate Data'!$A$7:$A$366,Estimator!$B$4,'Climate Data'!$B$7:$B$366,C3166)</f>
        <v>0.23548387096774193</v>
      </c>
      <c r="I3166" s="87">
        <f>SUMIFS('Climate Data'!$H$7:$H$366,'Climate Data'!$A$7:$A$366,Estimator!$B$4,'Climate Data'!$B$7:$B$366,C3166)</f>
        <v>7.9589041095890414</v>
      </c>
      <c r="J3166" s="86">
        <f>SUMIFS('Wind Proxy'!$H$8:$H$19,'Wind Proxy'!$A$8:$A$19,Estimator!$B$4,'Wind Proxy'!$B$8:$B$19,C3166)</f>
        <v>0</v>
      </c>
    </row>
    <row r="3167" spans="1:10" ht="14.4">
      <c r="A3167" s="84">
        <v>48818</v>
      </c>
      <c r="B3167" s="85">
        <v>2033</v>
      </c>
      <c r="C3167" s="85">
        <v>8</v>
      </c>
      <c r="D3167" s="85" t="s">
        <v>71</v>
      </c>
      <c r="E3167" s="85">
        <v>27</v>
      </c>
      <c r="F3167" s="85">
        <v>6</v>
      </c>
      <c r="G3167" s="85">
        <f>--(F3167&lt;=Estimator!$B$7)</f>
        <v>0</v>
      </c>
      <c r="H3167" s="86">
        <f>SUMIFS('Climate Data'!$G$7:$G$366,'Climate Data'!$A$7:$A$366,Estimator!$B$4,'Climate Data'!$B$7:$B$366,C3167)</f>
        <v>0.23548387096774193</v>
      </c>
      <c r="I3167" s="87">
        <f>SUMIFS('Climate Data'!$H$7:$H$366,'Climate Data'!$A$7:$A$366,Estimator!$B$4,'Climate Data'!$B$7:$B$366,C3167)</f>
        <v>7.9589041095890414</v>
      </c>
      <c r="J3167" s="86">
        <f>SUMIFS('Wind Proxy'!$H$8:$H$19,'Wind Proxy'!$A$8:$A$19,Estimator!$B$4,'Wind Proxy'!$B$8:$B$19,C3167)</f>
        <v>0</v>
      </c>
    </row>
    <row r="3168" spans="1:10" ht="14.4">
      <c r="A3168" s="84">
        <v>48819</v>
      </c>
      <c r="B3168" s="85">
        <v>2033</v>
      </c>
      <c r="C3168" s="85">
        <v>8</v>
      </c>
      <c r="D3168" s="85" t="s">
        <v>71</v>
      </c>
      <c r="E3168" s="85">
        <v>28</v>
      </c>
      <c r="F3168" s="85">
        <v>7</v>
      </c>
      <c r="G3168" s="85">
        <f>--(F3168&lt;=Estimator!$B$7)</f>
        <v>0</v>
      </c>
      <c r="H3168" s="86">
        <f>SUMIFS('Climate Data'!$G$7:$G$366,'Climate Data'!$A$7:$A$366,Estimator!$B$4,'Climate Data'!$B$7:$B$366,C3168)</f>
        <v>0.23548387096774193</v>
      </c>
      <c r="I3168" s="87">
        <f>SUMIFS('Climate Data'!$H$7:$H$366,'Climate Data'!$A$7:$A$366,Estimator!$B$4,'Climate Data'!$B$7:$B$366,C3168)</f>
        <v>7.9589041095890414</v>
      </c>
      <c r="J3168" s="86">
        <f>SUMIFS('Wind Proxy'!$H$8:$H$19,'Wind Proxy'!$A$8:$A$19,Estimator!$B$4,'Wind Proxy'!$B$8:$B$19,C3168)</f>
        <v>0</v>
      </c>
    </row>
    <row r="3169" spans="1:10" ht="14.4">
      <c r="A3169" s="84">
        <v>48820</v>
      </c>
      <c r="B3169" s="85">
        <v>2033</v>
      </c>
      <c r="C3169" s="85">
        <v>8</v>
      </c>
      <c r="D3169" s="85" t="s">
        <v>71</v>
      </c>
      <c r="E3169" s="85">
        <v>29</v>
      </c>
      <c r="F3169" s="85">
        <v>1</v>
      </c>
      <c r="G3169" s="85">
        <f>--(F3169&lt;=Estimator!$B$7)</f>
        <v>1</v>
      </c>
      <c r="H3169" s="86">
        <f>SUMIFS('Climate Data'!$G$7:$G$366,'Climate Data'!$A$7:$A$366,Estimator!$B$4,'Climate Data'!$B$7:$B$366,C3169)</f>
        <v>0.23548387096774193</v>
      </c>
      <c r="I3169" s="87">
        <f>SUMIFS('Climate Data'!$H$7:$H$366,'Climate Data'!$A$7:$A$366,Estimator!$B$4,'Climate Data'!$B$7:$B$366,C3169)</f>
        <v>7.9589041095890414</v>
      </c>
      <c r="J3169" s="86">
        <f>SUMIFS('Wind Proxy'!$H$8:$H$19,'Wind Proxy'!$A$8:$A$19,Estimator!$B$4,'Wind Proxy'!$B$8:$B$19,C3169)</f>
        <v>0</v>
      </c>
    </row>
    <row r="3170" spans="1:10" ht="14.4">
      <c r="A3170" s="84">
        <v>48821</v>
      </c>
      <c r="B3170" s="85">
        <v>2033</v>
      </c>
      <c r="C3170" s="85">
        <v>8</v>
      </c>
      <c r="D3170" s="85" t="s">
        <v>71</v>
      </c>
      <c r="E3170" s="85">
        <v>30</v>
      </c>
      <c r="F3170" s="85">
        <v>2</v>
      </c>
      <c r="G3170" s="85">
        <f>--(F3170&lt;=Estimator!$B$7)</f>
        <v>1</v>
      </c>
      <c r="H3170" s="86">
        <f>SUMIFS('Climate Data'!$G$7:$G$366,'Climate Data'!$A$7:$A$366,Estimator!$B$4,'Climate Data'!$B$7:$B$366,C3170)</f>
        <v>0.23548387096774193</v>
      </c>
      <c r="I3170" s="87">
        <f>SUMIFS('Climate Data'!$H$7:$H$366,'Climate Data'!$A$7:$A$366,Estimator!$B$4,'Climate Data'!$B$7:$B$366,C3170)</f>
        <v>7.9589041095890414</v>
      </c>
      <c r="J3170" s="86">
        <f>SUMIFS('Wind Proxy'!$H$8:$H$19,'Wind Proxy'!$A$8:$A$19,Estimator!$B$4,'Wind Proxy'!$B$8:$B$19,C3170)</f>
        <v>0</v>
      </c>
    </row>
    <row r="3171" spans="1:10" ht="14.4">
      <c r="A3171" s="84">
        <v>48822</v>
      </c>
      <c r="B3171" s="85">
        <v>2033</v>
      </c>
      <c r="C3171" s="85">
        <v>8</v>
      </c>
      <c r="D3171" s="85" t="s">
        <v>71</v>
      </c>
      <c r="E3171" s="85">
        <v>31</v>
      </c>
      <c r="F3171" s="85">
        <v>3</v>
      </c>
      <c r="G3171" s="85">
        <f>--(F3171&lt;=Estimator!$B$7)</f>
        <v>1</v>
      </c>
      <c r="H3171" s="86">
        <f>SUMIFS('Climate Data'!$G$7:$G$366,'Climate Data'!$A$7:$A$366,Estimator!$B$4,'Climate Data'!$B$7:$B$366,C3171)</f>
        <v>0.23548387096774193</v>
      </c>
      <c r="I3171" s="87">
        <f>SUMIFS('Climate Data'!$H$7:$H$366,'Climate Data'!$A$7:$A$366,Estimator!$B$4,'Climate Data'!$B$7:$B$366,C3171)</f>
        <v>7.9589041095890414</v>
      </c>
      <c r="J3171" s="86">
        <f>SUMIFS('Wind Proxy'!$H$8:$H$19,'Wind Proxy'!$A$8:$A$19,Estimator!$B$4,'Wind Proxy'!$B$8:$B$19,C3171)</f>
        <v>0</v>
      </c>
    </row>
    <row r="3172" spans="1:10" ht="14.4">
      <c r="A3172" s="84">
        <v>48823</v>
      </c>
      <c r="B3172" s="85">
        <v>2033</v>
      </c>
      <c r="C3172" s="85">
        <v>9</v>
      </c>
      <c r="D3172" s="85" t="s">
        <v>73</v>
      </c>
      <c r="E3172" s="85">
        <v>1</v>
      </c>
      <c r="F3172" s="85">
        <v>4</v>
      </c>
      <c r="G3172" s="85">
        <f>--(F3172&lt;=Estimator!$B$7)</f>
        <v>1</v>
      </c>
      <c r="H3172" s="86">
        <f>SUMIFS('Climate Data'!$G$7:$G$366,'Climate Data'!$A$7:$A$366,Estimator!$B$4,'Climate Data'!$B$7:$B$366,C3172)</f>
        <v>0.20666666666666667</v>
      </c>
      <c r="I3172" s="87">
        <f>SUMIFS('Climate Data'!$H$7:$H$366,'Climate Data'!$A$7:$A$366,Estimator!$B$4,'Climate Data'!$B$7:$B$366,C3172)</f>
        <v>6.806451612903226</v>
      </c>
      <c r="J3172" s="86">
        <f>SUMIFS('Wind Proxy'!$H$8:$H$19,'Wind Proxy'!$A$8:$A$19,Estimator!$B$4,'Wind Proxy'!$B$8:$B$19,C3172)</f>
        <v>0</v>
      </c>
    </row>
    <row r="3173" spans="1:10" ht="14.4">
      <c r="A3173" s="84">
        <v>48824</v>
      </c>
      <c r="B3173" s="85">
        <v>2033</v>
      </c>
      <c r="C3173" s="85">
        <v>9</v>
      </c>
      <c r="D3173" s="85" t="s">
        <v>73</v>
      </c>
      <c r="E3173" s="85">
        <v>2</v>
      </c>
      <c r="F3173" s="85">
        <v>5</v>
      </c>
      <c r="G3173" s="85">
        <f>--(F3173&lt;=Estimator!$B$7)</f>
        <v>1</v>
      </c>
      <c r="H3173" s="86">
        <f>SUMIFS('Climate Data'!$G$7:$G$366,'Climate Data'!$A$7:$A$366,Estimator!$B$4,'Climate Data'!$B$7:$B$366,C3173)</f>
        <v>0.20666666666666667</v>
      </c>
      <c r="I3173" s="87">
        <f>SUMIFS('Climate Data'!$H$7:$H$366,'Climate Data'!$A$7:$A$366,Estimator!$B$4,'Climate Data'!$B$7:$B$366,C3173)</f>
        <v>6.806451612903226</v>
      </c>
      <c r="J3173" s="86">
        <f>SUMIFS('Wind Proxy'!$H$8:$H$19,'Wind Proxy'!$A$8:$A$19,Estimator!$B$4,'Wind Proxy'!$B$8:$B$19,C3173)</f>
        <v>0</v>
      </c>
    </row>
    <row r="3174" spans="1:10" ht="14.4">
      <c r="A3174" s="84">
        <v>48825</v>
      </c>
      <c r="B3174" s="85">
        <v>2033</v>
      </c>
      <c r="C3174" s="85">
        <v>9</v>
      </c>
      <c r="D3174" s="85" t="s">
        <v>73</v>
      </c>
      <c r="E3174" s="85">
        <v>3</v>
      </c>
      <c r="F3174" s="85">
        <v>6</v>
      </c>
      <c r="G3174" s="85">
        <f>--(F3174&lt;=Estimator!$B$7)</f>
        <v>0</v>
      </c>
      <c r="H3174" s="86">
        <f>SUMIFS('Climate Data'!$G$7:$G$366,'Climate Data'!$A$7:$A$366,Estimator!$B$4,'Climate Data'!$B$7:$B$366,C3174)</f>
        <v>0.20666666666666667</v>
      </c>
      <c r="I3174" s="87">
        <f>SUMIFS('Climate Data'!$H$7:$H$366,'Climate Data'!$A$7:$A$366,Estimator!$B$4,'Climate Data'!$B$7:$B$366,C3174)</f>
        <v>6.806451612903226</v>
      </c>
      <c r="J3174" s="86">
        <f>SUMIFS('Wind Proxy'!$H$8:$H$19,'Wind Proxy'!$A$8:$A$19,Estimator!$B$4,'Wind Proxy'!$B$8:$B$19,C3174)</f>
        <v>0</v>
      </c>
    </row>
    <row r="3175" spans="1:10" ht="14.4">
      <c r="A3175" s="84">
        <v>48826</v>
      </c>
      <c r="B3175" s="85">
        <v>2033</v>
      </c>
      <c r="C3175" s="85">
        <v>9</v>
      </c>
      <c r="D3175" s="85" t="s">
        <v>73</v>
      </c>
      <c r="E3175" s="85">
        <v>4</v>
      </c>
      <c r="F3175" s="85">
        <v>7</v>
      </c>
      <c r="G3175" s="85">
        <f>--(F3175&lt;=Estimator!$B$7)</f>
        <v>0</v>
      </c>
      <c r="H3175" s="86">
        <f>SUMIFS('Climate Data'!$G$7:$G$366,'Climate Data'!$A$7:$A$366,Estimator!$B$4,'Climate Data'!$B$7:$B$366,C3175)</f>
        <v>0.20666666666666667</v>
      </c>
      <c r="I3175" s="87">
        <f>SUMIFS('Climate Data'!$H$7:$H$366,'Climate Data'!$A$7:$A$366,Estimator!$B$4,'Climate Data'!$B$7:$B$366,C3175)</f>
        <v>6.806451612903226</v>
      </c>
      <c r="J3175" s="86">
        <f>SUMIFS('Wind Proxy'!$H$8:$H$19,'Wind Proxy'!$A$8:$A$19,Estimator!$B$4,'Wind Proxy'!$B$8:$B$19,C3175)</f>
        <v>0</v>
      </c>
    </row>
    <row r="3176" spans="1:10" ht="14.4">
      <c r="A3176" s="84">
        <v>48827</v>
      </c>
      <c r="B3176" s="85">
        <v>2033</v>
      </c>
      <c r="C3176" s="85">
        <v>9</v>
      </c>
      <c r="D3176" s="85" t="s">
        <v>73</v>
      </c>
      <c r="E3176" s="85">
        <v>5</v>
      </c>
      <c r="F3176" s="85">
        <v>1</v>
      </c>
      <c r="G3176" s="85">
        <f>--(F3176&lt;=Estimator!$B$7)</f>
        <v>1</v>
      </c>
      <c r="H3176" s="86">
        <f>SUMIFS('Climate Data'!$G$7:$G$366,'Climate Data'!$A$7:$A$366,Estimator!$B$4,'Climate Data'!$B$7:$B$366,C3176)</f>
        <v>0.20666666666666667</v>
      </c>
      <c r="I3176" s="87">
        <f>SUMIFS('Climate Data'!$H$7:$H$366,'Climate Data'!$A$7:$A$366,Estimator!$B$4,'Climate Data'!$B$7:$B$366,C3176)</f>
        <v>6.806451612903226</v>
      </c>
      <c r="J3176" s="86">
        <f>SUMIFS('Wind Proxy'!$H$8:$H$19,'Wind Proxy'!$A$8:$A$19,Estimator!$B$4,'Wind Proxy'!$B$8:$B$19,C3176)</f>
        <v>0</v>
      </c>
    </row>
    <row r="3177" spans="1:10" ht="14.4">
      <c r="A3177" s="84">
        <v>48828</v>
      </c>
      <c r="B3177" s="85">
        <v>2033</v>
      </c>
      <c r="C3177" s="85">
        <v>9</v>
      </c>
      <c r="D3177" s="85" t="s">
        <v>73</v>
      </c>
      <c r="E3177" s="85">
        <v>6</v>
      </c>
      <c r="F3177" s="85">
        <v>2</v>
      </c>
      <c r="G3177" s="85">
        <f>--(F3177&lt;=Estimator!$B$7)</f>
        <v>1</v>
      </c>
      <c r="H3177" s="86">
        <f>SUMIFS('Climate Data'!$G$7:$G$366,'Climate Data'!$A$7:$A$366,Estimator!$B$4,'Climate Data'!$B$7:$B$366,C3177)</f>
        <v>0.20666666666666667</v>
      </c>
      <c r="I3177" s="87">
        <f>SUMIFS('Climate Data'!$H$7:$H$366,'Climate Data'!$A$7:$A$366,Estimator!$B$4,'Climate Data'!$B$7:$B$366,C3177)</f>
        <v>6.806451612903226</v>
      </c>
      <c r="J3177" s="86">
        <f>SUMIFS('Wind Proxy'!$H$8:$H$19,'Wind Proxy'!$A$8:$A$19,Estimator!$B$4,'Wind Proxy'!$B$8:$B$19,C3177)</f>
        <v>0</v>
      </c>
    </row>
    <row r="3178" spans="1:10" ht="14.4">
      <c r="A3178" s="84">
        <v>48829</v>
      </c>
      <c r="B3178" s="85">
        <v>2033</v>
      </c>
      <c r="C3178" s="85">
        <v>9</v>
      </c>
      <c r="D3178" s="85" t="s">
        <v>73</v>
      </c>
      <c r="E3178" s="85">
        <v>7</v>
      </c>
      <c r="F3178" s="85">
        <v>3</v>
      </c>
      <c r="G3178" s="85">
        <f>--(F3178&lt;=Estimator!$B$7)</f>
        <v>1</v>
      </c>
      <c r="H3178" s="86">
        <f>SUMIFS('Climate Data'!$G$7:$G$366,'Climate Data'!$A$7:$A$366,Estimator!$B$4,'Climate Data'!$B$7:$B$366,C3178)</f>
        <v>0.20666666666666667</v>
      </c>
      <c r="I3178" s="87">
        <f>SUMIFS('Climate Data'!$H$7:$H$366,'Climate Data'!$A$7:$A$366,Estimator!$B$4,'Climate Data'!$B$7:$B$366,C3178)</f>
        <v>6.806451612903226</v>
      </c>
      <c r="J3178" s="86">
        <f>SUMIFS('Wind Proxy'!$H$8:$H$19,'Wind Proxy'!$A$8:$A$19,Estimator!$B$4,'Wind Proxy'!$B$8:$B$19,C3178)</f>
        <v>0</v>
      </c>
    </row>
    <row r="3179" spans="1:10" ht="14.4">
      <c r="A3179" s="84">
        <v>48830</v>
      </c>
      <c r="B3179" s="85">
        <v>2033</v>
      </c>
      <c r="C3179" s="85">
        <v>9</v>
      </c>
      <c r="D3179" s="85" t="s">
        <v>73</v>
      </c>
      <c r="E3179" s="85">
        <v>8</v>
      </c>
      <c r="F3179" s="85">
        <v>4</v>
      </c>
      <c r="G3179" s="85">
        <f>--(F3179&lt;=Estimator!$B$7)</f>
        <v>1</v>
      </c>
      <c r="H3179" s="86">
        <f>SUMIFS('Climate Data'!$G$7:$G$366,'Climate Data'!$A$7:$A$366,Estimator!$B$4,'Climate Data'!$B$7:$B$366,C3179)</f>
        <v>0.20666666666666667</v>
      </c>
      <c r="I3179" s="87">
        <f>SUMIFS('Climate Data'!$H$7:$H$366,'Climate Data'!$A$7:$A$366,Estimator!$B$4,'Climate Data'!$B$7:$B$366,C3179)</f>
        <v>6.806451612903226</v>
      </c>
      <c r="J3179" s="86">
        <f>SUMIFS('Wind Proxy'!$H$8:$H$19,'Wind Proxy'!$A$8:$A$19,Estimator!$B$4,'Wind Proxy'!$B$8:$B$19,C3179)</f>
        <v>0</v>
      </c>
    </row>
    <row r="3180" spans="1:10" ht="14.4">
      <c r="A3180" s="84">
        <v>48831</v>
      </c>
      <c r="B3180" s="85">
        <v>2033</v>
      </c>
      <c r="C3180" s="85">
        <v>9</v>
      </c>
      <c r="D3180" s="85" t="s">
        <v>73</v>
      </c>
      <c r="E3180" s="85">
        <v>9</v>
      </c>
      <c r="F3180" s="85">
        <v>5</v>
      </c>
      <c r="G3180" s="85">
        <f>--(F3180&lt;=Estimator!$B$7)</f>
        <v>1</v>
      </c>
      <c r="H3180" s="86">
        <f>SUMIFS('Climate Data'!$G$7:$G$366,'Climate Data'!$A$7:$A$366,Estimator!$B$4,'Climate Data'!$B$7:$B$366,C3180)</f>
        <v>0.20666666666666667</v>
      </c>
      <c r="I3180" s="87">
        <f>SUMIFS('Climate Data'!$H$7:$H$366,'Climate Data'!$A$7:$A$366,Estimator!$B$4,'Climate Data'!$B$7:$B$366,C3180)</f>
        <v>6.806451612903226</v>
      </c>
      <c r="J3180" s="86">
        <f>SUMIFS('Wind Proxy'!$H$8:$H$19,'Wind Proxy'!$A$8:$A$19,Estimator!$B$4,'Wind Proxy'!$B$8:$B$19,C3180)</f>
        <v>0</v>
      </c>
    </row>
    <row r="3181" spans="1:10" ht="14.4">
      <c r="A3181" s="84">
        <v>48832</v>
      </c>
      <c r="B3181" s="85">
        <v>2033</v>
      </c>
      <c r="C3181" s="85">
        <v>9</v>
      </c>
      <c r="D3181" s="85" t="s">
        <v>73</v>
      </c>
      <c r="E3181" s="85">
        <v>10</v>
      </c>
      <c r="F3181" s="85">
        <v>6</v>
      </c>
      <c r="G3181" s="85">
        <f>--(F3181&lt;=Estimator!$B$7)</f>
        <v>0</v>
      </c>
      <c r="H3181" s="86">
        <f>SUMIFS('Climate Data'!$G$7:$G$366,'Climate Data'!$A$7:$A$366,Estimator!$B$4,'Climate Data'!$B$7:$B$366,C3181)</f>
        <v>0.20666666666666667</v>
      </c>
      <c r="I3181" s="87">
        <f>SUMIFS('Climate Data'!$H$7:$H$366,'Climate Data'!$A$7:$A$366,Estimator!$B$4,'Climate Data'!$B$7:$B$366,C3181)</f>
        <v>6.806451612903226</v>
      </c>
      <c r="J3181" s="86">
        <f>SUMIFS('Wind Proxy'!$H$8:$H$19,'Wind Proxy'!$A$8:$A$19,Estimator!$B$4,'Wind Proxy'!$B$8:$B$19,C3181)</f>
        <v>0</v>
      </c>
    </row>
    <row r="3182" spans="1:10" ht="14.4">
      <c r="A3182" s="84">
        <v>48833</v>
      </c>
      <c r="B3182" s="85">
        <v>2033</v>
      </c>
      <c r="C3182" s="85">
        <v>9</v>
      </c>
      <c r="D3182" s="85" t="s">
        <v>73</v>
      </c>
      <c r="E3182" s="85">
        <v>11</v>
      </c>
      <c r="F3182" s="85">
        <v>7</v>
      </c>
      <c r="G3182" s="85">
        <f>--(F3182&lt;=Estimator!$B$7)</f>
        <v>0</v>
      </c>
      <c r="H3182" s="86">
        <f>SUMIFS('Climate Data'!$G$7:$G$366,'Climate Data'!$A$7:$A$366,Estimator!$B$4,'Climate Data'!$B$7:$B$366,C3182)</f>
        <v>0.20666666666666667</v>
      </c>
      <c r="I3182" s="87">
        <f>SUMIFS('Climate Data'!$H$7:$H$366,'Climate Data'!$A$7:$A$366,Estimator!$B$4,'Climate Data'!$B$7:$B$366,C3182)</f>
        <v>6.806451612903226</v>
      </c>
      <c r="J3182" s="86">
        <f>SUMIFS('Wind Proxy'!$H$8:$H$19,'Wind Proxy'!$A$8:$A$19,Estimator!$B$4,'Wind Proxy'!$B$8:$B$19,C3182)</f>
        <v>0</v>
      </c>
    </row>
    <row r="3183" spans="1:10" ht="14.4">
      <c r="A3183" s="84">
        <v>48834</v>
      </c>
      <c r="B3183" s="85">
        <v>2033</v>
      </c>
      <c r="C3183" s="85">
        <v>9</v>
      </c>
      <c r="D3183" s="85" t="s">
        <v>73</v>
      </c>
      <c r="E3183" s="85">
        <v>12</v>
      </c>
      <c r="F3183" s="85">
        <v>1</v>
      </c>
      <c r="G3183" s="85">
        <f>--(F3183&lt;=Estimator!$B$7)</f>
        <v>1</v>
      </c>
      <c r="H3183" s="86">
        <f>SUMIFS('Climate Data'!$G$7:$G$366,'Climate Data'!$A$7:$A$366,Estimator!$B$4,'Climate Data'!$B$7:$B$366,C3183)</f>
        <v>0.20666666666666667</v>
      </c>
      <c r="I3183" s="87">
        <f>SUMIFS('Climate Data'!$H$7:$H$366,'Climate Data'!$A$7:$A$366,Estimator!$B$4,'Climate Data'!$B$7:$B$366,C3183)</f>
        <v>6.806451612903226</v>
      </c>
      <c r="J3183" s="86">
        <f>SUMIFS('Wind Proxy'!$H$8:$H$19,'Wind Proxy'!$A$8:$A$19,Estimator!$B$4,'Wind Proxy'!$B$8:$B$19,C3183)</f>
        <v>0</v>
      </c>
    </row>
    <row r="3184" spans="1:10" ht="14.4">
      <c r="A3184" s="84">
        <v>48835</v>
      </c>
      <c r="B3184" s="85">
        <v>2033</v>
      </c>
      <c r="C3184" s="85">
        <v>9</v>
      </c>
      <c r="D3184" s="85" t="s">
        <v>73</v>
      </c>
      <c r="E3184" s="85">
        <v>13</v>
      </c>
      <c r="F3184" s="85">
        <v>2</v>
      </c>
      <c r="G3184" s="85">
        <f>--(F3184&lt;=Estimator!$B$7)</f>
        <v>1</v>
      </c>
      <c r="H3184" s="86">
        <f>SUMIFS('Climate Data'!$G$7:$G$366,'Climate Data'!$A$7:$A$366,Estimator!$B$4,'Climate Data'!$B$7:$B$366,C3184)</f>
        <v>0.20666666666666667</v>
      </c>
      <c r="I3184" s="87">
        <f>SUMIFS('Climate Data'!$H$7:$H$366,'Climate Data'!$A$7:$A$366,Estimator!$B$4,'Climate Data'!$B$7:$B$366,C3184)</f>
        <v>6.806451612903226</v>
      </c>
      <c r="J3184" s="86">
        <f>SUMIFS('Wind Proxy'!$H$8:$H$19,'Wind Proxy'!$A$8:$A$19,Estimator!$B$4,'Wind Proxy'!$B$8:$B$19,C3184)</f>
        <v>0</v>
      </c>
    </row>
    <row r="3185" spans="1:10" ht="14.4">
      <c r="A3185" s="84">
        <v>48836</v>
      </c>
      <c r="B3185" s="85">
        <v>2033</v>
      </c>
      <c r="C3185" s="85">
        <v>9</v>
      </c>
      <c r="D3185" s="85" t="s">
        <v>73</v>
      </c>
      <c r="E3185" s="85">
        <v>14</v>
      </c>
      <c r="F3185" s="85">
        <v>3</v>
      </c>
      <c r="G3185" s="85">
        <f>--(F3185&lt;=Estimator!$B$7)</f>
        <v>1</v>
      </c>
      <c r="H3185" s="86">
        <f>SUMIFS('Climate Data'!$G$7:$G$366,'Climate Data'!$A$7:$A$366,Estimator!$B$4,'Climate Data'!$B$7:$B$366,C3185)</f>
        <v>0.20666666666666667</v>
      </c>
      <c r="I3185" s="87">
        <f>SUMIFS('Climate Data'!$H$7:$H$366,'Climate Data'!$A$7:$A$366,Estimator!$B$4,'Climate Data'!$B$7:$B$366,C3185)</f>
        <v>6.806451612903226</v>
      </c>
      <c r="J3185" s="86">
        <f>SUMIFS('Wind Proxy'!$H$8:$H$19,'Wind Proxy'!$A$8:$A$19,Estimator!$B$4,'Wind Proxy'!$B$8:$B$19,C3185)</f>
        <v>0</v>
      </c>
    </row>
    <row r="3186" spans="1:10" ht="14.4">
      <c r="A3186" s="84">
        <v>48837</v>
      </c>
      <c r="B3186" s="85">
        <v>2033</v>
      </c>
      <c r="C3186" s="85">
        <v>9</v>
      </c>
      <c r="D3186" s="85" t="s">
        <v>73</v>
      </c>
      <c r="E3186" s="85">
        <v>15</v>
      </c>
      <c r="F3186" s="85">
        <v>4</v>
      </c>
      <c r="G3186" s="85">
        <f>--(F3186&lt;=Estimator!$B$7)</f>
        <v>1</v>
      </c>
      <c r="H3186" s="86">
        <f>SUMIFS('Climate Data'!$G$7:$G$366,'Climate Data'!$A$7:$A$366,Estimator!$B$4,'Climate Data'!$B$7:$B$366,C3186)</f>
        <v>0.20666666666666667</v>
      </c>
      <c r="I3186" s="87">
        <f>SUMIFS('Climate Data'!$H$7:$H$366,'Climate Data'!$A$7:$A$366,Estimator!$B$4,'Climate Data'!$B$7:$B$366,C3186)</f>
        <v>6.806451612903226</v>
      </c>
      <c r="J3186" s="86">
        <f>SUMIFS('Wind Proxy'!$H$8:$H$19,'Wind Proxy'!$A$8:$A$19,Estimator!$B$4,'Wind Proxy'!$B$8:$B$19,C3186)</f>
        <v>0</v>
      </c>
    </row>
    <row r="3187" spans="1:10" ht="14.4">
      <c r="A3187" s="84">
        <v>48838</v>
      </c>
      <c r="B3187" s="85">
        <v>2033</v>
      </c>
      <c r="C3187" s="85">
        <v>9</v>
      </c>
      <c r="D3187" s="85" t="s">
        <v>73</v>
      </c>
      <c r="E3187" s="85">
        <v>16</v>
      </c>
      <c r="F3187" s="85">
        <v>5</v>
      </c>
      <c r="G3187" s="85">
        <f>--(F3187&lt;=Estimator!$B$7)</f>
        <v>1</v>
      </c>
      <c r="H3187" s="86">
        <f>SUMIFS('Climate Data'!$G$7:$G$366,'Climate Data'!$A$7:$A$366,Estimator!$B$4,'Climate Data'!$B$7:$B$366,C3187)</f>
        <v>0.20666666666666667</v>
      </c>
      <c r="I3187" s="87">
        <f>SUMIFS('Climate Data'!$H$7:$H$366,'Climate Data'!$A$7:$A$366,Estimator!$B$4,'Climate Data'!$B$7:$B$366,C3187)</f>
        <v>6.806451612903226</v>
      </c>
      <c r="J3187" s="86">
        <f>SUMIFS('Wind Proxy'!$H$8:$H$19,'Wind Proxy'!$A$8:$A$19,Estimator!$B$4,'Wind Proxy'!$B$8:$B$19,C3187)</f>
        <v>0</v>
      </c>
    </row>
    <row r="3188" spans="1:10" ht="14.4">
      <c r="A3188" s="84">
        <v>48839</v>
      </c>
      <c r="B3188" s="85">
        <v>2033</v>
      </c>
      <c r="C3188" s="85">
        <v>9</v>
      </c>
      <c r="D3188" s="85" t="s">
        <v>73</v>
      </c>
      <c r="E3188" s="85">
        <v>17</v>
      </c>
      <c r="F3188" s="85">
        <v>6</v>
      </c>
      <c r="G3188" s="85">
        <f>--(F3188&lt;=Estimator!$B$7)</f>
        <v>0</v>
      </c>
      <c r="H3188" s="86">
        <f>SUMIFS('Climate Data'!$G$7:$G$366,'Climate Data'!$A$7:$A$366,Estimator!$B$4,'Climate Data'!$B$7:$B$366,C3188)</f>
        <v>0.20666666666666667</v>
      </c>
      <c r="I3188" s="87">
        <f>SUMIFS('Climate Data'!$H$7:$H$366,'Climate Data'!$A$7:$A$366,Estimator!$B$4,'Climate Data'!$B$7:$B$366,C3188)</f>
        <v>6.806451612903226</v>
      </c>
      <c r="J3188" s="86">
        <f>SUMIFS('Wind Proxy'!$H$8:$H$19,'Wind Proxy'!$A$8:$A$19,Estimator!$B$4,'Wind Proxy'!$B$8:$B$19,C3188)</f>
        <v>0</v>
      </c>
    </row>
    <row r="3189" spans="1:10" ht="14.4">
      <c r="A3189" s="84">
        <v>48840</v>
      </c>
      <c r="B3189" s="85">
        <v>2033</v>
      </c>
      <c r="C3189" s="85">
        <v>9</v>
      </c>
      <c r="D3189" s="85" t="s">
        <v>73</v>
      </c>
      <c r="E3189" s="85">
        <v>18</v>
      </c>
      <c r="F3189" s="85">
        <v>7</v>
      </c>
      <c r="G3189" s="85">
        <f>--(F3189&lt;=Estimator!$B$7)</f>
        <v>0</v>
      </c>
      <c r="H3189" s="86">
        <f>SUMIFS('Climate Data'!$G$7:$G$366,'Climate Data'!$A$7:$A$366,Estimator!$B$4,'Climate Data'!$B$7:$B$366,C3189)</f>
        <v>0.20666666666666667</v>
      </c>
      <c r="I3189" s="87">
        <f>SUMIFS('Climate Data'!$H$7:$H$366,'Climate Data'!$A$7:$A$366,Estimator!$B$4,'Climate Data'!$B$7:$B$366,C3189)</f>
        <v>6.806451612903226</v>
      </c>
      <c r="J3189" s="86">
        <f>SUMIFS('Wind Proxy'!$H$8:$H$19,'Wind Proxy'!$A$8:$A$19,Estimator!$B$4,'Wind Proxy'!$B$8:$B$19,C3189)</f>
        <v>0</v>
      </c>
    </row>
    <row r="3190" spans="1:10" ht="14.4">
      <c r="A3190" s="84">
        <v>48841</v>
      </c>
      <c r="B3190" s="85">
        <v>2033</v>
      </c>
      <c r="C3190" s="85">
        <v>9</v>
      </c>
      <c r="D3190" s="85" t="s">
        <v>73</v>
      </c>
      <c r="E3190" s="85">
        <v>19</v>
      </c>
      <c r="F3190" s="85">
        <v>1</v>
      </c>
      <c r="G3190" s="85">
        <f>--(F3190&lt;=Estimator!$B$7)</f>
        <v>1</v>
      </c>
      <c r="H3190" s="86">
        <f>SUMIFS('Climate Data'!$G$7:$G$366,'Climate Data'!$A$7:$A$366,Estimator!$B$4,'Climate Data'!$B$7:$B$366,C3190)</f>
        <v>0.20666666666666667</v>
      </c>
      <c r="I3190" s="87">
        <f>SUMIFS('Climate Data'!$H$7:$H$366,'Climate Data'!$A$7:$A$366,Estimator!$B$4,'Climate Data'!$B$7:$B$366,C3190)</f>
        <v>6.806451612903226</v>
      </c>
      <c r="J3190" s="86">
        <f>SUMIFS('Wind Proxy'!$H$8:$H$19,'Wind Proxy'!$A$8:$A$19,Estimator!$B$4,'Wind Proxy'!$B$8:$B$19,C3190)</f>
        <v>0</v>
      </c>
    </row>
    <row r="3191" spans="1:10" ht="14.4">
      <c r="A3191" s="84">
        <v>48842</v>
      </c>
      <c r="B3191" s="85">
        <v>2033</v>
      </c>
      <c r="C3191" s="85">
        <v>9</v>
      </c>
      <c r="D3191" s="85" t="s">
        <v>73</v>
      </c>
      <c r="E3191" s="85">
        <v>20</v>
      </c>
      <c r="F3191" s="85">
        <v>2</v>
      </c>
      <c r="G3191" s="85">
        <f>--(F3191&lt;=Estimator!$B$7)</f>
        <v>1</v>
      </c>
      <c r="H3191" s="86">
        <f>SUMIFS('Climate Data'!$G$7:$G$366,'Climate Data'!$A$7:$A$366,Estimator!$B$4,'Climate Data'!$B$7:$B$366,C3191)</f>
        <v>0.20666666666666667</v>
      </c>
      <c r="I3191" s="87">
        <f>SUMIFS('Climate Data'!$H$7:$H$366,'Climate Data'!$A$7:$A$366,Estimator!$B$4,'Climate Data'!$B$7:$B$366,C3191)</f>
        <v>6.806451612903226</v>
      </c>
      <c r="J3191" s="86">
        <f>SUMIFS('Wind Proxy'!$H$8:$H$19,'Wind Proxy'!$A$8:$A$19,Estimator!$B$4,'Wind Proxy'!$B$8:$B$19,C3191)</f>
        <v>0</v>
      </c>
    </row>
    <row r="3192" spans="1:10" ht="14.4">
      <c r="A3192" s="84">
        <v>48843</v>
      </c>
      <c r="B3192" s="85">
        <v>2033</v>
      </c>
      <c r="C3192" s="85">
        <v>9</v>
      </c>
      <c r="D3192" s="85" t="s">
        <v>73</v>
      </c>
      <c r="E3192" s="85">
        <v>21</v>
      </c>
      <c r="F3192" s="85">
        <v>3</v>
      </c>
      <c r="G3192" s="85">
        <f>--(F3192&lt;=Estimator!$B$7)</f>
        <v>1</v>
      </c>
      <c r="H3192" s="86">
        <f>SUMIFS('Climate Data'!$G$7:$G$366,'Climate Data'!$A$7:$A$366,Estimator!$B$4,'Climate Data'!$B$7:$B$366,C3192)</f>
        <v>0.20666666666666667</v>
      </c>
      <c r="I3192" s="87">
        <f>SUMIFS('Climate Data'!$H$7:$H$366,'Climate Data'!$A$7:$A$366,Estimator!$B$4,'Climate Data'!$B$7:$B$366,C3192)</f>
        <v>6.806451612903226</v>
      </c>
      <c r="J3192" s="86">
        <f>SUMIFS('Wind Proxy'!$H$8:$H$19,'Wind Proxy'!$A$8:$A$19,Estimator!$B$4,'Wind Proxy'!$B$8:$B$19,C3192)</f>
        <v>0</v>
      </c>
    </row>
    <row r="3193" spans="1:10" ht="14.4">
      <c r="A3193" s="84">
        <v>48844</v>
      </c>
      <c r="B3193" s="85">
        <v>2033</v>
      </c>
      <c r="C3193" s="85">
        <v>9</v>
      </c>
      <c r="D3193" s="85" t="s">
        <v>73</v>
      </c>
      <c r="E3193" s="85">
        <v>22</v>
      </c>
      <c r="F3193" s="85">
        <v>4</v>
      </c>
      <c r="G3193" s="85">
        <f>--(F3193&lt;=Estimator!$B$7)</f>
        <v>1</v>
      </c>
      <c r="H3193" s="86">
        <f>SUMIFS('Climate Data'!$G$7:$G$366,'Climate Data'!$A$7:$A$366,Estimator!$B$4,'Climate Data'!$B$7:$B$366,C3193)</f>
        <v>0.20666666666666667</v>
      </c>
      <c r="I3193" s="87">
        <f>SUMIFS('Climate Data'!$H$7:$H$366,'Climate Data'!$A$7:$A$366,Estimator!$B$4,'Climate Data'!$B$7:$B$366,C3193)</f>
        <v>6.806451612903226</v>
      </c>
      <c r="J3193" s="86">
        <f>SUMIFS('Wind Proxy'!$H$8:$H$19,'Wind Proxy'!$A$8:$A$19,Estimator!$B$4,'Wind Proxy'!$B$8:$B$19,C3193)</f>
        <v>0</v>
      </c>
    </row>
    <row r="3194" spans="1:10" ht="14.4">
      <c r="A3194" s="84">
        <v>48845</v>
      </c>
      <c r="B3194" s="85">
        <v>2033</v>
      </c>
      <c r="C3194" s="85">
        <v>9</v>
      </c>
      <c r="D3194" s="85" t="s">
        <v>73</v>
      </c>
      <c r="E3194" s="85">
        <v>23</v>
      </c>
      <c r="F3194" s="85">
        <v>5</v>
      </c>
      <c r="G3194" s="85">
        <f>--(F3194&lt;=Estimator!$B$7)</f>
        <v>1</v>
      </c>
      <c r="H3194" s="86">
        <f>SUMIFS('Climate Data'!$G$7:$G$366,'Climate Data'!$A$7:$A$366,Estimator!$B$4,'Climate Data'!$B$7:$B$366,C3194)</f>
        <v>0.20666666666666667</v>
      </c>
      <c r="I3194" s="87">
        <f>SUMIFS('Climate Data'!$H$7:$H$366,'Climate Data'!$A$7:$A$366,Estimator!$B$4,'Climate Data'!$B$7:$B$366,C3194)</f>
        <v>6.806451612903226</v>
      </c>
      <c r="J3194" s="86">
        <f>SUMIFS('Wind Proxy'!$H$8:$H$19,'Wind Proxy'!$A$8:$A$19,Estimator!$B$4,'Wind Proxy'!$B$8:$B$19,C3194)</f>
        <v>0</v>
      </c>
    </row>
    <row r="3195" spans="1:10" ht="14.4">
      <c r="A3195" s="84">
        <v>48846</v>
      </c>
      <c r="B3195" s="85">
        <v>2033</v>
      </c>
      <c r="C3195" s="85">
        <v>9</v>
      </c>
      <c r="D3195" s="85" t="s">
        <v>73</v>
      </c>
      <c r="E3195" s="85">
        <v>24</v>
      </c>
      <c r="F3195" s="85">
        <v>6</v>
      </c>
      <c r="G3195" s="85">
        <f>--(F3195&lt;=Estimator!$B$7)</f>
        <v>0</v>
      </c>
      <c r="H3195" s="86">
        <f>SUMIFS('Climate Data'!$G$7:$G$366,'Climate Data'!$A$7:$A$366,Estimator!$B$4,'Climate Data'!$B$7:$B$366,C3195)</f>
        <v>0.20666666666666667</v>
      </c>
      <c r="I3195" s="87">
        <f>SUMIFS('Climate Data'!$H$7:$H$366,'Climate Data'!$A$7:$A$366,Estimator!$B$4,'Climate Data'!$B$7:$B$366,C3195)</f>
        <v>6.806451612903226</v>
      </c>
      <c r="J3195" s="86">
        <f>SUMIFS('Wind Proxy'!$H$8:$H$19,'Wind Proxy'!$A$8:$A$19,Estimator!$B$4,'Wind Proxy'!$B$8:$B$19,C3195)</f>
        <v>0</v>
      </c>
    </row>
    <row r="3196" spans="1:10" ht="14.4">
      <c r="A3196" s="84">
        <v>48847</v>
      </c>
      <c r="B3196" s="85">
        <v>2033</v>
      </c>
      <c r="C3196" s="85">
        <v>9</v>
      </c>
      <c r="D3196" s="85" t="s">
        <v>73</v>
      </c>
      <c r="E3196" s="85">
        <v>25</v>
      </c>
      <c r="F3196" s="85">
        <v>7</v>
      </c>
      <c r="G3196" s="85">
        <f>--(F3196&lt;=Estimator!$B$7)</f>
        <v>0</v>
      </c>
      <c r="H3196" s="86">
        <f>SUMIFS('Climate Data'!$G$7:$G$366,'Climate Data'!$A$7:$A$366,Estimator!$B$4,'Climate Data'!$B$7:$B$366,C3196)</f>
        <v>0.20666666666666667</v>
      </c>
      <c r="I3196" s="87">
        <f>SUMIFS('Climate Data'!$H$7:$H$366,'Climate Data'!$A$7:$A$366,Estimator!$B$4,'Climate Data'!$B$7:$B$366,C3196)</f>
        <v>6.806451612903226</v>
      </c>
      <c r="J3196" s="86">
        <f>SUMIFS('Wind Proxy'!$H$8:$H$19,'Wind Proxy'!$A$8:$A$19,Estimator!$B$4,'Wind Proxy'!$B$8:$B$19,C3196)</f>
        <v>0</v>
      </c>
    </row>
    <row r="3197" spans="1:10" ht="14.4">
      <c r="A3197" s="84">
        <v>48848</v>
      </c>
      <c r="B3197" s="85">
        <v>2033</v>
      </c>
      <c r="C3197" s="85">
        <v>9</v>
      </c>
      <c r="D3197" s="85" t="s">
        <v>73</v>
      </c>
      <c r="E3197" s="85">
        <v>26</v>
      </c>
      <c r="F3197" s="85">
        <v>1</v>
      </c>
      <c r="G3197" s="85">
        <f>--(F3197&lt;=Estimator!$B$7)</f>
        <v>1</v>
      </c>
      <c r="H3197" s="86">
        <f>SUMIFS('Climate Data'!$G$7:$G$366,'Climate Data'!$A$7:$A$366,Estimator!$B$4,'Climate Data'!$B$7:$B$366,C3197)</f>
        <v>0.20666666666666667</v>
      </c>
      <c r="I3197" s="87">
        <f>SUMIFS('Climate Data'!$H$7:$H$366,'Climate Data'!$A$7:$A$366,Estimator!$B$4,'Climate Data'!$B$7:$B$366,C3197)</f>
        <v>6.806451612903226</v>
      </c>
      <c r="J3197" s="86">
        <f>SUMIFS('Wind Proxy'!$H$8:$H$19,'Wind Proxy'!$A$8:$A$19,Estimator!$B$4,'Wind Proxy'!$B$8:$B$19,C3197)</f>
        <v>0</v>
      </c>
    </row>
    <row r="3198" spans="1:10" ht="14.4">
      <c r="A3198" s="84">
        <v>48849</v>
      </c>
      <c r="B3198" s="85">
        <v>2033</v>
      </c>
      <c r="C3198" s="85">
        <v>9</v>
      </c>
      <c r="D3198" s="85" t="s">
        <v>73</v>
      </c>
      <c r="E3198" s="85">
        <v>27</v>
      </c>
      <c r="F3198" s="85">
        <v>2</v>
      </c>
      <c r="G3198" s="85">
        <f>--(F3198&lt;=Estimator!$B$7)</f>
        <v>1</v>
      </c>
      <c r="H3198" s="86">
        <f>SUMIFS('Climate Data'!$G$7:$G$366,'Climate Data'!$A$7:$A$366,Estimator!$B$4,'Climate Data'!$B$7:$B$366,C3198)</f>
        <v>0.20666666666666667</v>
      </c>
      <c r="I3198" s="87">
        <f>SUMIFS('Climate Data'!$H$7:$H$366,'Climate Data'!$A$7:$A$366,Estimator!$B$4,'Climate Data'!$B$7:$B$366,C3198)</f>
        <v>6.806451612903226</v>
      </c>
      <c r="J3198" s="86">
        <f>SUMIFS('Wind Proxy'!$H$8:$H$19,'Wind Proxy'!$A$8:$A$19,Estimator!$B$4,'Wind Proxy'!$B$8:$B$19,C3198)</f>
        <v>0</v>
      </c>
    </row>
    <row r="3199" spans="1:10" ht="14.4">
      <c r="A3199" s="84">
        <v>48850</v>
      </c>
      <c r="B3199" s="85">
        <v>2033</v>
      </c>
      <c r="C3199" s="85">
        <v>9</v>
      </c>
      <c r="D3199" s="85" t="s">
        <v>73</v>
      </c>
      <c r="E3199" s="85">
        <v>28</v>
      </c>
      <c r="F3199" s="85">
        <v>3</v>
      </c>
      <c r="G3199" s="85">
        <f>--(F3199&lt;=Estimator!$B$7)</f>
        <v>1</v>
      </c>
      <c r="H3199" s="86">
        <f>SUMIFS('Climate Data'!$G$7:$G$366,'Climate Data'!$A$7:$A$366,Estimator!$B$4,'Climate Data'!$B$7:$B$366,C3199)</f>
        <v>0.20666666666666667</v>
      </c>
      <c r="I3199" s="87">
        <f>SUMIFS('Climate Data'!$H$7:$H$366,'Climate Data'!$A$7:$A$366,Estimator!$B$4,'Climate Data'!$B$7:$B$366,C3199)</f>
        <v>6.806451612903226</v>
      </c>
      <c r="J3199" s="86">
        <f>SUMIFS('Wind Proxy'!$H$8:$H$19,'Wind Proxy'!$A$8:$A$19,Estimator!$B$4,'Wind Proxy'!$B$8:$B$19,C3199)</f>
        <v>0</v>
      </c>
    </row>
    <row r="3200" spans="1:10" ht="14.4">
      <c r="A3200" s="84">
        <v>48851</v>
      </c>
      <c r="B3200" s="85">
        <v>2033</v>
      </c>
      <c r="C3200" s="85">
        <v>9</v>
      </c>
      <c r="D3200" s="85" t="s">
        <v>73</v>
      </c>
      <c r="E3200" s="85">
        <v>29</v>
      </c>
      <c r="F3200" s="85">
        <v>4</v>
      </c>
      <c r="G3200" s="85">
        <f>--(F3200&lt;=Estimator!$B$7)</f>
        <v>1</v>
      </c>
      <c r="H3200" s="86">
        <f>SUMIFS('Climate Data'!$G$7:$G$366,'Climate Data'!$A$7:$A$366,Estimator!$B$4,'Climate Data'!$B$7:$B$366,C3200)</f>
        <v>0.20666666666666667</v>
      </c>
      <c r="I3200" s="87">
        <f>SUMIFS('Climate Data'!$H$7:$H$366,'Climate Data'!$A$7:$A$366,Estimator!$B$4,'Climate Data'!$B$7:$B$366,C3200)</f>
        <v>6.806451612903226</v>
      </c>
      <c r="J3200" s="86">
        <f>SUMIFS('Wind Proxy'!$H$8:$H$19,'Wind Proxy'!$A$8:$A$19,Estimator!$B$4,'Wind Proxy'!$B$8:$B$19,C3200)</f>
        <v>0</v>
      </c>
    </row>
    <row r="3201" spans="1:10" ht="14.4">
      <c r="A3201" s="84">
        <v>48852</v>
      </c>
      <c r="B3201" s="85">
        <v>2033</v>
      </c>
      <c r="C3201" s="85">
        <v>9</v>
      </c>
      <c r="D3201" s="85" t="s">
        <v>73</v>
      </c>
      <c r="E3201" s="85">
        <v>30</v>
      </c>
      <c r="F3201" s="85">
        <v>5</v>
      </c>
      <c r="G3201" s="85">
        <f>--(F3201&lt;=Estimator!$B$7)</f>
        <v>1</v>
      </c>
      <c r="H3201" s="86">
        <f>SUMIFS('Climate Data'!$G$7:$G$366,'Climate Data'!$A$7:$A$366,Estimator!$B$4,'Climate Data'!$B$7:$B$366,C3201)</f>
        <v>0.20666666666666667</v>
      </c>
      <c r="I3201" s="87">
        <f>SUMIFS('Climate Data'!$H$7:$H$366,'Climate Data'!$A$7:$A$366,Estimator!$B$4,'Climate Data'!$B$7:$B$366,C3201)</f>
        <v>6.806451612903226</v>
      </c>
      <c r="J3201" s="86">
        <f>SUMIFS('Wind Proxy'!$H$8:$H$19,'Wind Proxy'!$A$8:$A$19,Estimator!$B$4,'Wind Proxy'!$B$8:$B$19,C3201)</f>
        <v>0</v>
      </c>
    </row>
    <row r="3202" spans="1:10" ht="14.4">
      <c r="A3202" s="84">
        <v>48853</v>
      </c>
      <c r="B3202" s="85">
        <v>2033</v>
      </c>
      <c r="C3202" s="85">
        <v>10</v>
      </c>
      <c r="D3202" s="85" t="s">
        <v>75</v>
      </c>
      <c r="E3202" s="85">
        <v>1</v>
      </c>
      <c r="F3202" s="85">
        <v>6</v>
      </c>
      <c r="G3202" s="85">
        <f>--(F3202&lt;=Estimator!$B$7)</f>
        <v>0</v>
      </c>
      <c r="H3202" s="86">
        <f>SUMIFS('Climate Data'!$G$7:$G$366,'Climate Data'!$A$7:$A$366,Estimator!$B$4,'Climate Data'!$B$7:$B$366,C3202)</f>
        <v>0.23225806451612904</v>
      </c>
      <c r="I3202" s="87">
        <f>SUMIFS('Climate Data'!$H$7:$H$366,'Climate Data'!$A$7:$A$366,Estimator!$B$4,'Climate Data'!$B$7:$B$366,C3202)</f>
        <v>6.8194444444444446</v>
      </c>
      <c r="J3202" s="86">
        <f>SUMIFS('Wind Proxy'!$H$8:$H$19,'Wind Proxy'!$A$8:$A$19,Estimator!$B$4,'Wind Proxy'!$B$8:$B$19,C3202)</f>
        <v>0</v>
      </c>
    </row>
    <row r="3203" spans="1:10" ht="14.4">
      <c r="A3203" s="84">
        <v>48854</v>
      </c>
      <c r="B3203" s="85">
        <v>2033</v>
      </c>
      <c r="C3203" s="85">
        <v>10</v>
      </c>
      <c r="D3203" s="85" t="s">
        <v>75</v>
      </c>
      <c r="E3203" s="85">
        <v>2</v>
      </c>
      <c r="F3203" s="85">
        <v>7</v>
      </c>
      <c r="G3203" s="85">
        <f>--(F3203&lt;=Estimator!$B$7)</f>
        <v>0</v>
      </c>
      <c r="H3203" s="86">
        <f>SUMIFS('Climate Data'!$G$7:$G$366,'Climate Data'!$A$7:$A$366,Estimator!$B$4,'Climate Data'!$B$7:$B$366,C3203)</f>
        <v>0.23225806451612904</v>
      </c>
      <c r="I3203" s="87">
        <f>SUMIFS('Climate Data'!$H$7:$H$366,'Climate Data'!$A$7:$A$366,Estimator!$B$4,'Climate Data'!$B$7:$B$366,C3203)</f>
        <v>6.8194444444444446</v>
      </c>
      <c r="J3203" s="86">
        <f>SUMIFS('Wind Proxy'!$H$8:$H$19,'Wind Proxy'!$A$8:$A$19,Estimator!$B$4,'Wind Proxy'!$B$8:$B$19,C3203)</f>
        <v>0</v>
      </c>
    </row>
    <row r="3204" spans="1:10" ht="14.4">
      <c r="A3204" s="84">
        <v>48855</v>
      </c>
      <c r="B3204" s="85">
        <v>2033</v>
      </c>
      <c r="C3204" s="85">
        <v>10</v>
      </c>
      <c r="D3204" s="85" t="s">
        <v>75</v>
      </c>
      <c r="E3204" s="85">
        <v>3</v>
      </c>
      <c r="F3204" s="85">
        <v>1</v>
      </c>
      <c r="G3204" s="85">
        <f>--(F3204&lt;=Estimator!$B$7)</f>
        <v>1</v>
      </c>
      <c r="H3204" s="86">
        <f>SUMIFS('Climate Data'!$G$7:$G$366,'Climate Data'!$A$7:$A$366,Estimator!$B$4,'Climate Data'!$B$7:$B$366,C3204)</f>
        <v>0.23225806451612904</v>
      </c>
      <c r="I3204" s="87">
        <f>SUMIFS('Climate Data'!$H$7:$H$366,'Climate Data'!$A$7:$A$366,Estimator!$B$4,'Climate Data'!$B$7:$B$366,C3204)</f>
        <v>6.8194444444444446</v>
      </c>
      <c r="J3204" s="86">
        <f>SUMIFS('Wind Proxy'!$H$8:$H$19,'Wind Proxy'!$A$8:$A$19,Estimator!$B$4,'Wind Proxy'!$B$8:$B$19,C3204)</f>
        <v>0</v>
      </c>
    </row>
    <row r="3205" spans="1:10" ht="14.4">
      <c r="A3205" s="84">
        <v>48856</v>
      </c>
      <c r="B3205" s="85">
        <v>2033</v>
      </c>
      <c r="C3205" s="85">
        <v>10</v>
      </c>
      <c r="D3205" s="85" t="s">
        <v>75</v>
      </c>
      <c r="E3205" s="85">
        <v>4</v>
      </c>
      <c r="F3205" s="85">
        <v>2</v>
      </c>
      <c r="G3205" s="85">
        <f>--(F3205&lt;=Estimator!$B$7)</f>
        <v>1</v>
      </c>
      <c r="H3205" s="86">
        <f>SUMIFS('Climate Data'!$G$7:$G$366,'Climate Data'!$A$7:$A$366,Estimator!$B$4,'Climate Data'!$B$7:$B$366,C3205)</f>
        <v>0.23225806451612904</v>
      </c>
      <c r="I3205" s="87">
        <f>SUMIFS('Climate Data'!$H$7:$H$366,'Climate Data'!$A$7:$A$366,Estimator!$B$4,'Climate Data'!$B$7:$B$366,C3205)</f>
        <v>6.8194444444444446</v>
      </c>
      <c r="J3205" s="86">
        <f>SUMIFS('Wind Proxy'!$H$8:$H$19,'Wind Proxy'!$A$8:$A$19,Estimator!$B$4,'Wind Proxy'!$B$8:$B$19,C3205)</f>
        <v>0</v>
      </c>
    </row>
    <row r="3206" spans="1:10" ht="14.4">
      <c r="A3206" s="84">
        <v>48857</v>
      </c>
      <c r="B3206" s="85">
        <v>2033</v>
      </c>
      <c r="C3206" s="85">
        <v>10</v>
      </c>
      <c r="D3206" s="85" t="s">
        <v>75</v>
      </c>
      <c r="E3206" s="85">
        <v>5</v>
      </c>
      <c r="F3206" s="85">
        <v>3</v>
      </c>
      <c r="G3206" s="85">
        <f>--(F3206&lt;=Estimator!$B$7)</f>
        <v>1</v>
      </c>
      <c r="H3206" s="86">
        <f>SUMIFS('Climate Data'!$G$7:$G$366,'Climate Data'!$A$7:$A$366,Estimator!$B$4,'Climate Data'!$B$7:$B$366,C3206)</f>
        <v>0.23225806451612904</v>
      </c>
      <c r="I3206" s="87">
        <f>SUMIFS('Climate Data'!$H$7:$H$366,'Climate Data'!$A$7:$A$366,Estimator!$B$4,'Climate Data'!$B$7:$B$366,C3206)</f>
        <v>6.8194444444444446</v>
      </c>
      <c r="J3206" s="86">
        <f>SUMIFS('Wind Proxy'!$H$8:$H$19,'Wind Proxy'!$A$8:$A$19,Estimator!$B$4,'Wind Proxy'!$B$8:$B$19,C3206)</f>
        <v>0</v>
      </c>
    </row>
    <row r="3207" spans="1:10" ht="14.4">
      <c r="A3207" s="84">
        <v>48858</v>
      </c>
      <c r="B3207" s="85">
        <v>2033</v>
      </c>
      <c r="C3207" s="85">
        <v>10</v>
      </c>
      <c r="D3207" s="85" t="s">
        <v>75</v>
      </c>
      <c r="E3207" s="85">
        <v>6</v>
      </c>
      <c r="F3207" s="85">
        <v>4</v>
      </c>
      <c r="G3207" s="85">
        <f>--(F3207&lt;=Estimator!$B$7)</f>
        <v>1</v>
      </c>
      <c r="H3207" s="86">
        <f>SUMIFS('Climate Data'!$G$7:$G$366,'Climate Data'!$A$7:$A$366,Estimator!$B$4,'Climate Data'!$B$7:$B$366,C3207)</f>
        <v>0.23225806451612904</v>
      </c>
      <c r="I3207" s="87">
        <f>SUMIFS('Climate Data'!$H$7:$H$366,'Climate Data'!$A$7:$A$366,Estimator!$B$4,'Climate Data'!$B$7:$B$366,C3207)</f>
        <v>6.8194444444444446</v>
      </c>
      <c r="J3207" s="86">
        <f>SUMIFS('Wind Proxy'!$H$8:$H$19,'Wind Proxy'!$A$8:$A$19,Estimator!$B$4,'Wind Proxy'!$B$8:$B$19,C3207)</f>
        <v>0</v>
      </c>
    </row>
    <row r="3208" spans="1:10" ht="14.4">
      <c r="A3208" s="84">
        <v>48859</v>
      </c>
      <c r="B3208" s="85">
        <v>2033</v>
      </c>
      <c r="C3208" s="85">
        <v>10</v>
      </c>
      <c r="D3208" s="85" t="s">
        <v>75</v>
      </c>
      <c r="E3208" s="85">
        <v>7</v>
      </c>
      <c r="F3208" s="85">
        <v>5</v>
      </c>
      <c r="G3208" s="85">
        <f>--(F3208&lt;=Estimator!$B$7)</f>
        <v>1</v>
      </c>
      <c r="H3208" s="86">
        <f>SUMIFS('Climate Data'!$G$7:$G$366,'Climate Data'!$A$7:$A$366,Estimator!$B$4,'Climate Data'!$B$7:$B$366,C3208)</f>
        <v>0.23225806451612904</v>
      </c>
      <c r="I3208" s="87">
        <f>SUMIFS('Climate Data'!$H$7:$H$366,'Climate Data'!$A$7:$A$366,Estimator!$B$4,'Climate Data'!$B$7:$B$366,C3208)</f>
        <v>6.8194444444444446</v>
      </c>
      <c r="J3208" s="86">
        <f>SUMIFS('Wind Proxy'!$H$8:$H$19,'Wind Proxy'!$A$8:$A$19,Estimator!$B$4,'Wind Proxy'!$B$8:$B$19,C3208)</f>
        <v>0</v>
      </c>
    </row>
    <row r="3209" spans="1:10" ht="14.4">
      <c r="A3209" s="84">
        <v>48860</v>
      </c>
      <c r="B3209" s="85">
        <v>2033</v>
      </c>
      <c r="C3209" s="85">
        <v>10</v>
      </c>
      <c r="D3209" s="85" t="s">
        <v>75</v>
      </c>
      <c r="E3209" s="85">
        <v>8</v>
      </c>
      <c r="F3209" s="85">
        <v>6</v>
      </c>
      <c r="G3209" s="85">
        <f>--(F3209&lt;=Estimator!$B$7)</f>
        <v>0</v>
      </c>
      <c r="H3209" s="86">
        <f>SUMIFS('Climate Data'!$G$7:$G$366,'Climate Data'!$A$7:$A$366,Estimator!$B$4,'Climate Data'!$B$7:$B$366,C3209)</f>
        <v>0.23225806451612904</v>
      </c>
      <c r="I3209" s="87">
        <f>SUMIFS('Climate Data'!$H$7:$H$366,'Climate Data'!$A$7:$A$366,Estimator!$B$4,'Climate Data'!$B$7:$B$366,C3209)</f>
        <v>6.8194444444444446</v>
      </c>
      <c r="J3209" s="86">
        <f>SUMIFS('Wind Proxy'!$H$8:$H$19,'Wind Proxy'!$A$8:$A$19,Estimator!$B$4,'Wind Proxy'!$B$8:$B$19,C3209)</f>
        <v>0</v>
      </c>
    </row>
    <row r="3210" spans="1:10" ht="14.4">
      <c r="A3210" s="84">
        <v>48861</v>
      </c>
      <c r="B3210" s="85">
        <v>2033</v>
      </c>
      <c r="C3210" s="85">
        <v>10</v>
      </c>
      <c r="D3210" s="85" t="s">
        <v>75</v>
      </c>
      <c r="E3210" s="85">
        <v>9</v>
      </c>
      <c r="F3210" s="85">
        <v>7</v>
      </c>
      <c r="G3210" s="85">
        <f>--(F3210&lt;=Estimator!$B$7)</f>
        <v>0</v>
      </c>
      <c r="H3210" s="86">
        <f>SUMIFS('Climate Data'!$G$7:$G$366,'Climate Data'!$A$7:$A$366,Estimator!$B$4,'Climate Data'!$B$7:$B$366,C3210)</f>
        <v>0.23225806451612904</v>
      </c>
      <c r="I3210" s="87">
        <f>SUMIFS('Climate Data'!$H$7:$H$366,'Climate Data'!$A$7:$A$366,Estimator!$B$4,'Climate Data'!$B$7:$B$366,C3210)</f>
        <v>6.8194444444444446</v>
      </c>
      <c r="J3210" s="86">
        <f>SUMIFS('Wind Proxy'!$H$8:$H$19,'Wind Proxy'!$A$8:$A$19,Estimator!$B$4,'Wind Proxy'!$B$8:$B$19,C3210)</f>
        <v>0</v>
      </c>
    </row>
    <row r="3211" spans="1:10" ht="14.4">
      <c r="A3211" s="84">
        <v>48862</v>
      </c>
      <c r="B3211" s="85">
        <v>2033</v>
      </c>
      <c r="C3211" s="85">
        <v>10</v>
      </c>
      <c r="D3211" s="85" t="s">
        <v>75</v>
      </c>
      <c r="E3211" s="85">
        <v>10</v>
      </c>
      <c r="F3211" s="85">
        <v>1</v>
      </c>
      <c r="G3211" s="85">
        <f>--(F3211&lt;=Estimator!$B$7)</f>
        <v>1</v>
      </c>
      <c r="H3211" s="86">
        <f>SUMIFS('Climate Data'!$G$7:$G$366,'Climate Data'!$A$7:$A$366,Estimator!$B$4,'Climate Data'!$B$7:$B$366,C3211)</f>
        <v>0.23225806451612904</v>
      </c>
      <c r="I3211" s="87">
        <f>SUMIFS('Climate Data'!$H$7:$H$366,'Climate Data'!$A$7:$A$366,Estimator!$B$4,'Climate Data'!$B$7:$B$366,C3211)</f>
        <v>6.8194444444444446</v>
      </c>
      <c r="J3211" s="86">
        <f>SUMIFS('Wind Proxy'!$H$8:$H$19,'Wind Proxy'!$A$8:$A$19,Estimator!$B$4,'Wind Proxy'!$B$8:$B$19,C3211)</f>
        <v>0</v>
      </c>
    </row>
    <row r="3212" spans="1:10" ht="14.4">
      <c r="A3212" s="84">
        <v>48863</v>
      </c>
      <c r="B3212" s="85">
        <v>2033</v>
      </c>
      <c r="C3212" s="85">
        <v>10</v>
      </c>
      <c r="D3212" s="85" t="s">
        <v>75</v>
      </c>
      <c r="E3212" s="85">
        <v>11</v>
      </c>
      <c r="F3212" s="85">
        <v>2</v>
      </c>
      <c r="G3212" s="85">
        <f>--(F3212&lt;=Estimator!$B$7)</f>
        <v>1</v>
      </c>
      <c r="H3212" s="86">
        <f>SUMIFS('Climate Data'!$G$7:$G$366,'Climate Data'!$A$7:$A$366,Estimator!$B$4,'Climate Data'!$B$7:$B$366,C3212)</f>
        <v>0.23225806451612904</v>
      </c>
      <c r="I3212" s="87">
        <f>SUMIFS('Climate Data'!$H$7:$H$366,'Climate Data'!$A$7:$A$366,Estimator!$B$4,'Climate Data'!$B$7:$B$366,C3212)</f>
        <v>6.8194444444444446</v>
      </c>
      <c r="J3212" s="86">
        <f>SUMIFS('Wind Proxy'!$H$8:$H$19,'Wind Proxy'!$A$8:$A$19,Estimator!$B$4,'Wind Proxy'!$B$8:$B$19,C3212)</f>
        <v>0</v>
      </c>
    </row>
    <row r="3213" spans="1:10" ht="14.4">
      <c r="A3213" s="84">
        <v>48864</v>
      </c>
      <c r="B3213" s="85">
        <v>2033</v>
      </c>
      <c r="C3213" s="85">
        <v>10</v>
      </c>
      <c r="D3213" s="85" t="s">
        <v>75</v>
      </c>
      <c r="E3213" s="85">
        <v>12</v>
      </c>
      <c r="F3213" s="85">
        <v>3</v>
      </c>
      <c r="G3213" s="85">
        <f>--(F3213&lt;=Estimator!$B$7)</f>
        <v>1</v>
      </c>
      <c r="H3213" s="86">
        <f>SUMIFS('Climate Data'!$G$7:$G$366,'Climate Data'!$A$7:$A$366,Estimator!$B$4,'Climate Data'!$B$7:$B$366,C3213)</f>
        <v>0.23225806451612904</v>
      </c>
      <c r="I3213" s="87">
        <f>SUMIFS('Climate Data'!$H$7:$H$366,'Climate Data'!$A$7:$A$366,Estimator!$B$4,'Climate Data'!$B$7:$B$366,C3213)</f>
        <v>6.8194444444444446</v>
      </c>
      <c r="J3213" s="86">
        <f>SUMIFS('Wind Proxy'!$H$8:$H$19,'Wind Proxy'!$A$8:$A$19,Estimator!$B$4,'Wind Proxy'!$B$8:$B$19,C3213)</f>
        <v>0</v>
      </c>
    </row>
    <row r="3214" spans="1:10" ht="14.4">
      <c r="A3214" s="84">
        <v>48865</v>
      </c>
      <c r="B3214" s="85">
        <v>2033</v>
      </c>
      <c r="C3214" s="85">
        <v>10</v>
      </c>
      <c r="D3214" s="85" t="s">
        <v>75</v>
      </c>
      <c r="E3214" s="85">
        <v>13</v>
      </c>
      <c r="F3214" s="85">
        <v>4</v>
      </c>
      <c r="G3214" s="85">
        <f>--(F3214&lt;=Estimator!$B$7)</f>
        <v>1</v>
      </c>
      <c r="H3214" s="86">
        <f>SUMIFS('Climate Data'!$G$7:$G$366,'Climate Data'!$A$7:$A$366,Estimator!$B$4,'Climate Data'!$B$7:$B$366,C3214)</f>
        <v>0.23225806451612904</v>
      </c>
      <c r="I3214" s="87">
        <f>SUMIFS('Climate Data'!$H$7:$H$366,'Climate Data'!$A$7:$A$366,Estimator!$B$4,'Climate Data'!$B$7:$B$366,C3214)</f>
        <v>6.8194444444444446</v>
      </c>
      <c r="J3214" s="86">
        <f>SUMIFS('Wind Proxy'!$H$8:$H$19,'Wind Proxy'!$A$8:$A$19,Estimator!$B$4,'Wind Proxy'!$B$8:$B$19,C3214)</f>
        <v>0</v>
      </c>
    </row>
    <row r="3215" spans="1:10" ht="14.4">
      <c r="A3215" s="84">
        <v>48866</v>
      </c>
      <c r="B3215" s="85">
        <v>2033</v>
      </c>
      <c r="C3215" s="85">
        <v>10</v>
      </c>
      <c r="D3215" s="85" t="s">
        <v>75</v>
      </c>
      <c r="E3215" s="85">
        <v>14</v>
      </c>
      <c r="F3215" s="85">
        <v>5</v>
      </c>
      <c r="G3215" s="85">
        <f>--(F3215&lt;=Estimator!$B$7)</f>
        <v>1</v>
      </c>
      <c r="H3215" s="86">
        <f>SUMIFS('Climate Data'!$G$7:$G$366,'Climate Data'!$A$7:$A$366,Estimator!$B$4,'Climate Data'!$B$7:$B$366,C3215)</f>
        <v>0.23225806451612904</v>
      </c>
      <c r="I3215" s="87">
        <f>SUMIFS('Climate Data'!$H$7:$H$366,'Climate Data'!$A$7:$A$366,Estimator!$B$4,'Climate Data'!$B$7:$B$366,C3215)</f>
        <v>6.8194444444444446</v>
      </c>
      <c r="J3215" s="86">
        <f>SUMIFS('Wind Proxy'!$H$8:$H$19,'Wind Proxy'!$A$8:$A$19,Estimator!$B$4,'Wind Proxy'!$B$8:$B$19,C3215)</f>
        <v>0</v>
      </c>
    </row>
    <row r="3216" spans="1:10" ht="14.4">
      <c r="A3216" s="84">
        <v>48867</v>
      </c>
      <c r="B3216" s="85">
        <v>2033</v>
      </c>
      <c r="C3216" s="85">
        <v>10</v>
      </c>
      <c r="D3216" s="85" t="s">
        <v>75</v>
      </c>
      <c r="E3216" s="85">
        <v>15</v>
      </c>
      <c r="F3216" s="85">
        <v>6</v>
      </c>
      <c r="G3216" s="85">
        <f>--(F3216&lt;=Estimator!$B$7)</f>
        <v>0</v>
      </c>
      <c r="H3216" s="86">
        <f>SUMIFS('Climate Data'!$G$7:$G$366,'Climate Data'!$A$7:$A$366,Estimator!$B$4,'Climate Data'!$B$7:$B$366,C3216)</f>
        <v>0.23225806451612904</v>
      </c>
      <c r="I3216" s="87">
        <f>SUMIFS('Climate Data'!$H$7:$H$366,'Climate Data'!$A$7:$A$366,Estimator!$B$4,'Climate Data'!$B$7:$B$366,C3216)</f>
        <v>6.8194444444444446</v>
      </c>
      <c r="J3216" s="86">
        <f>SUMIFS('Wind Proxy'!$H$8:$H$19,'Wind Proxy'!$A$8:$A$19,Estimator!$B$4,'Wind Proxy'!$B$8:$B$19,C3216)</f>
        <v>0</v>
      </c>
    </row>
    <row r="3217" spans="1:10" ht="14.4">
      <c r="A3217" s="84">
        <v>48868</v>
      </c>
      <c r="B3217" s="85">
        <v>2033</v>
      </c>
      <c r="C3217" s="85">
        <v>10</v>
      </c>
      <c r="D3217" s="85" t="s">
        <v>75</v>
      </c>
      <c r="E3217" s="85">
        <v>16</v>
      </c>
      <c r="F3217" s="85">
        <v>7</v>
      </c>
      <c r="G3217" s="85">
        <f>--(F3217&lt;=Estimator!$B$7)</f>
        <v>0</v>
      </c>
      <c r="H3217" s="86">
        <f>SUMIFS('Climate Data'!$G$7:$G$366,'Climate Data'!$A$7:$A$366,Estimator!$B$4,'Climate Data'!$B$7:$B$366,C3217)</f>
        <v>0.23225806451612904</v>
      </c>
      <c r="I3217" s="87">
        <f>SUMIFS('Climate Data'!$H$7:$H$366,'Climate Data'!$A$7:$A$366,Estimator!$B$4,'Climate Data'!$B$7:$B$366,C3217)</f>
        <v>6.8194444444444446</v>
      </c>
      <c r="J3217" s="86">
        <f>SUMIFS('Wind Proxy'!$H$8:$H$19,'Wind Proxy'!$A$8:$A$19,Estimator!$B$4,'Wind Proxy'!$B$8:$B$19,C3217)</f>
        <v>0</v>
      </c>
    </row>
    <row r="3218" spans="1:10" ht="14.4">
      <c r="A3218" s="84">
        <v>48869</v>
      </c>
      <c r="B3218" s="85">
        <v>2033</v>
      </c>
      <c r="C3218" s="85">
        <v>10</v>
      </c>
      <c r="D3218" s="85" t="s">
        <v>75</v>
      </c>
      <c r="E3218" s="85">
        <v>17</v>
      </c>
      <c r="F3218" s="85">
        <v>1</v>
      </c>
      <c r="G3218" s="85">
        <f>--(F3218&lt;=Estimator!$B$7)</f>
        <v>1</v>
      </c>
      <c r="H3218" s="86">
        <f>SUMIFS('Climate Data'!$G$7:$G$366,'Climate Data'!$A$7:$A$366,Estimator!$B$4,'Climate Data'!$B$7:$B$366,C3218)</f>
        <v>0.23225806451612904</v>
      </c>
      <c r="I3218" s="87">
        <f>SUMIFS('Climate Data'!$H$7:$H$366,'Climate Data'!$A$7:$A$366,Estimator!$B$4,'Climate Data'!$B$7:$B$366,C3218)</f>
        <v>6.8194444444444446</v>
      </c>
      <c r="J3218" s="86">
        <f>SUMIFS('Wind Proxy'!$H$8:$H$19,'Wind Proxy'!$A$8:$A$19,Estimator!$B$4,'Wind Proxy'!$B$8:$B$19,C3218)</f>
        <v>0</v>
      </c>
    </row>
    <row r="3219" spans="1:10" ht="14.4">
      <c r="A3219" s="84">
        <v>48870</v>
      </c>
      <c r="B3219" s="85">
        <v>2033</v>
      </c>
      <c r="C3219" s="85">
        <v>10</v>
      </c>
      <c r="D3219" s="85" t="s">
        <v>75</v>
      </c>
      <c r="E3219" s="85">
        <v>18</v>
      </c>
      <c r="F3219" s="85">
        <v>2</v>
      </c>
      <c r="G3219" s="85">
        <f>--(F3219&lt;=Estimator!$B$7)</f>
        <v>1</v>
      </c>
      <c r="H3219" s="86">
        <f>SUMIFS('Climate Data'!$G$7:$G$366,'Climate Data'!$A$7:$A$366,Estimator!$B$4,'Climate Data'!$B$7:$B$366,C3219)</f>
        <v>0.23225806451612904</v>
      </c>
      <c r="I3219" s="87">
        <f>SUMIFS('Climate Data'!$H$7:$H$366,'Climate Data'!$A$7:$A$366,Estimator!$B$4,'Climate Data'!$B$7:$B$366,C3219)</f>
        <v>6.8194444444444446</v>
      </c>
      <c r="J3219" s="86">
        <f>SUMIFS('Wind Proxy'!$H$8:$H$19,'Wind Proxy'!$A$8:$A$19,Estimator!$B$4,'Wind Proxy'!$B$8:$B$19,C3219)</f>
        <v>0</v>
      </c>
    </row>
    <row r="3220" spans="1:10" ht="14.4">
      <c r="A3220" s="84">
        <v>48871</v>
      </c>
      <c r="B3220" s="85">
        <v>2033</v>
      </c>
      <c r="C3220" s="85">
        <v>10</v>
      </c>
      <c r="D3220" s="85" t="s">
        <v>75</v>
      </c>
      <c r="E3220" s="85">
        <v>19</v>
      </c>
      <c r="F3220" s="85">
        <v>3</v>
      </c>
      <c r="G3220" s="85">
        <f>--(F3220&lt;=Estimator!$B$7)</f>
        <v>1</v>
      </c>
      <c r="H3220" s="86">
        <f>SUMIFS('Climate Data'!$G$7:$G$366,'Climate Data'!$A$7:$A$366,Estimator!$B$4,'Climate Data'!$B$7:$B$366,C3220)</f>
        <v>0.23225806451612904</v>
      </c>
      <c r="I3220" s="87">
        <f>SUMIFS('Climate Data'!$H$7:$H$366,'Climate Data'!$A$7:$A$366,Estimator!$B$4,'Climate Data'!$B$7:$B$366,C3220)</f>
        <v>6.8194444444444446</v>
      </c>
      <c r="J3220" s="86">
        <f>SUMIFS('Wind Proxy'!$H$8:$H$19,'Wind Proxy'!$A$8:$A$19,Estimator!$B$4,'Wind Proxy'!$B$8:$B$19,C3220)</f>
        <v>0</v>
      </c>
    </row>
    <row r="3221" spans="1:10" ht="14.4">
      <c r="A3221" s="84">
        <v>48872</v>
      </c>
      <c r="B3221" s="85">
        <v>2033</v>
      </c>
      <c r="C3221" s="85">
        <v>10</v>
      </c>
      <c r="D3221" s="85" t="s">
        <v>75</v>
      </c>
      <c r="E3221" s="85">
        <v>20</v>
      </c>
      <c r="F3221" s="85">
        <v>4</v>
      </c>
      <c r="G3221" s="85">
        <f>--(F3221&lt;=Estimator!$B$7)</f>
        <v>1</v>
      </c>
      <c r="H3221" s="86">
        <f>SUMIFS('Climate Data'!$G$7:$G$366,'Climate Data'!$A$7:$A$366,Estimator!$B$4,'Climate Data'!$B$7:$B$366,C3221)</f>
        <v>0.23225806451612904</v>
      </c>
      <c r="I3221" s="87">
        <f>SUMIFS('Climate Data'!$H$7:$H$366,'Climate Data'!$A$7:$A$366,Estimator!$B$4,'Climate Data'!$B$7:$B$366,C3221)</f>
        <v>6.8194444444444446</v>
      </c>
      <c r="J3221" s="86">
        <f>SUMIFS('Wind Proxy'!$H$8:$H$19,'Wind Proxy'!$A$8:$A$19,Estimator!$B$4,'Wind Proxy'!$B$8:$B$19,C3221)</f>
        <v>0</v>
      </c>
    </row>
    <row r="3222" spans="1:10" ht="14.4">
      <c r="A3222" s="84">
        <v>48873</v>
      </c>
      <c r="B3222" s="85">
        <v>2033</v>
      </c>
      <c r="C3222" s="85">
        <v>10</v>
      </c>
      <c r="D3222" s="85" t="s">
        <v>75</v>
      </c>
      <c r="E3222" s="85">
        <v>21</v>
      </c>
      <c r="F3222" s="85">
        <v>5</v>
      </c>
      <c r="G3222" s="85">
        <f>--(F3222&lt;=Estimator!$B$7)</f>
        <v>1</v>
      </c>
      <c r="H3222" s="86">
        <f>SUMIFS('Climate Data'!$G$7:$G$366,'Climate Data'!$A$7:$A$366,Estimator!$B$4,'Climate Data'!$B$7:$B$366,C3222)</f>
        <v>0.23225806451612904</v>
      </c>
      <c r="I3222" s="87">
        <f>SUMIFS('Climate Data'!$H$7:$H$366,'Climate Data'!$A$7:$A$366,Estimator!$B$4,'Climate Data'!$B$7:$B$366,C3222)</f>
        <v>6.8194444444444446</v>
      </c>
      <c r="J3222" s="86">
        <f>SUMIFS('Wind Proxy'!$H$8:$H$19,'Wind Proxy'!$A$8:$A$19,Estimator!$B$4,'Wind Proxy'!$B$8:$B$19,C3222)</f>
        <v>0</v>
      </c>
    </row>
    <row r="3223" spans="1:10" ht="14.4">
      <c r="A3223" s="84">
        <v>48874</v>
      </c>
      <c r="B3223" s="85">
        <v>2033</v>
      </c>
      <c r="C3223" s="85">
        <v>10</v>
      </c>
      <c r="D3223" s="85" t="s">
        <v>75</v>
      </c>
      <c r="E3223" s="85">
        <v>22</v>
      </c>
      <c r="F3223" s="85">
        <v>6</v>
      </c>
      <c r="G3223" s="85">
        <f>--(F3223&lt;=Estimator!$B$7)</f>
        <v>0</v>
      </c>
      <c r="H3223" s="86">
        <f>SUMIFS('Climate Data'!$G$7:$G$366,'Climate Data'!$A$7:$A$366,Estimator!$B$4,'Climate Data'!$B$7:$B$366,C3223)</f>
        <v>0.23225806451612904</v>
      </c>
      <c r="I3223" s="87">
        <f>SUMIFS('Climate Data'!$H$7:$H$366,'Climate Data'!$A$7:$A$366,Estimator!$B$4,'Climate Data'!$B$7:$B$366,C3223)</f>
        <v>6.8194444444444446</v>
      </c>
      <c r="J3223" s="86">
        <f>SUMIFS('Wind Proxy'!$H$8:$H$19,'Wind Proxy'!$A$8:$A$19,Estimator!$B$4,'Wind Proxy'!$B$8:$B$19,C3223)</f>
        <v>0</v>
      </c>
    </row>
    <row r="3224" spans="1:10" ht="14.4">
      <c r="A3224" s="84">
        <v>48875</v>
      </c>
      <c r="B3224" s="85">
        <v>2033</v>
      </c>
      <c r="C3224" s="85">
        <v>10</v>
      </c>
      <c r="D3224" s="85" t="s">
        <v>75</v>
      </c>
      <c r="E3224" s="85">
        <v>23</v>
      </c>
      <c r="F3224" s="85">
        <v>7</v>
      </c>
      <c r="G3224" s="85">
        <f>--(F3224&lt;=Estimator!$B$7)</f>
        <v>0</v>
      </c>
      <c r="H3224" s="86">
        <f>SUMIFS('Climate Data'!$G$7:$G$366,'Climate Data'!$A$7:$A$366,Estimator!$B$4,'Climate Data'!$B$7:$B$366,C3224)</f>
        <v>0.23225806451612904</v>
      </c>
      <c r="I3224" s="87">
        <f>SUMIFS('Climate Data'!$H$7:$H$366,'Climate Data'!$A$7:$A$366,Estimator!$B$4,'Climate Data'!$B$7:$B$366,C3224)</f>
        <v>6.8194444444444446</v>
      </c>
      <c r="J3224" s="86">
        <f>SUMIFS('Wind Proxy'!$H$8:$H$19,'Wind Proxy'!$A$8:$A$19,Estimator!$B$4,'Wind Proxy'!$B$8:$B$19,C3224)</f>
        <v>0</v>
      </c>
    </row>
    <row r="3225" spans="1:10" ht="14.4">
      <c r="A3225" s="84">
        <v>48876</v>
      </c>
      <c r="B3225" s="85">
        <v>2033</v>
      </c>
      <c r="C3225" s="85">
        <v>10</v>
      </c>
      <c r="D3225" s="85" t="s">
        <v>75</v>
      </c>
      <c r="E3225" s="85">
        <v>24</v>
      </c>
      <c r="F3225" s="85">
        <v>1</v>
      </c>
      <c r="G3225" s="85">
        <f>--(F3225&lt;=Estimator!$B$7)</f>
        <v>1</v>
      </c>
      <c r="H3225" s="86">
        <f>SUMIFS('Climate Data'!$G$7:$G$366,'Climate Data'!$A$7:$A$366,Estimator!$B$4,'Climate Data'!$B$7:$B$366,C3225)</f>
        <v>0.23225806451612904</v>
      </c>
      <c r="I3225" s="87">
        <f>SUMIFS('Climate Data'!$H$7:$H$366,'Climate Data'!$A$7:$A$366,Estimator!$B$4,'Climate Data'!$B$7:$B$366,C3225)</f>
        <v>6.8194444444444446</v>
      </c>
      <c r="J3225" s="86">
        <f>SUMIFS('Wind Proxy'!$H$8:$H$19,'Wind Proxy'!$A$8:$A$19,Estimator!$B$4,'Wind Proxy'!$B$8:$B$19,C3225)</f>
        <v>0</v>
      </c>
    </row>
    <row r="3226" spans="1:10" ht="14.4">
      <c r="A3226" s="84">
        <v>48877</v>
      </c>
      <c r="B3226" s="85">
        <v>2033</v>
      </c>
      <c r="C3226" s="85">
        <v>10</v>
      </c>
      <c r="D3226" s="85" t="s">
        <v>75</v>
      </c>
      <c r="E3226" s="85">
        <v>25</v>
      </c>
      <c r="F3226" s="85">
        <v>2</v>
      </c>
      <c r="G3226" s="85">
        <f>--(F3226&lt;=Estimator!$B$7)</f>
        <v>1</v>
      </c>
      <c r="H3226" s="86">
        <f>SUMIFS('Climate Data'!$G$7:$G$366,'Climate Data'!$A$7:$A$366,Estimator!$B$4,'Climate Data'!$B$7:$B$366,C3226)</f>
        <v>0.23225806451612904</v>
      </c>
      <c r="I3226" s="87">
        <f>SUMIFS('Climate Data'!$H$7:$H$366,'Climate Data'!$A$7:$A$366,Estimator!$B$4,'Climate Data'!$B$7:$B$366,C3226)</f>
        <v>6.8194444444444446</v>
      </c>
      <c r="J3226" s="86">
        <f>SUMIFS('Wind Proxy'!$H$8:$H$19,'Wind Proxy'!$A$8:$A$19,Estimator!$B$4,'Wind Proxy'!$B$8:$B$19,C3226)</f>
        <v>0</v>
      </c>
    </row>
    <row r="3227" spans="1:10" ht="14.4">
      <c r="A3227" s="84">
        <v>48878</v>
      </c>
      <c r="B3227" s="85">
        <v>2033</v>
      </c>
      <c r="C3227" s="85">
        <v>10</v>
      </c>
      <c r="D3227" s="85" t="s">
        <v>75</v>
      </c>
      <c r="E3227" s="85">
        <v>26</v>
      </c>
      <c r="F3227" s="85">
        <v>3</v>
      </c>
      <c r="G3227" s="85">
        <f>--(F3227&lt;=Estimator!$B$7)</f>
        <v>1</v>
      </c>
      <c r="H3227" s="86">
        <f>SUMIFS('Climate Data'!$G$7:$G$366,'Climate Data'!$A$7:$A$366,Estimator!$B$4,'Climate Data'!$B$7:$B$366,C3227)</f>
        <v>0.23225806451612904</v>
      </c>
      <c r="I3227" s="87">
        <f>SUMIFS('Climate Data'!$H$7:$H$366,'Climate Data'!$A$7:$A$366,Estimator!$B$4,'Climate Data'!$B$7:$B$366,C3227)</f>
        <v>6.8194444444444446</v>
      </c>
      <c r="J3227" s="86">
        <f>SUMIFS('Wind Proxy'!$H$8:$H$19,'Wind Proxy'!$A$8:$A$19,Estimator!$B$4,'Wind Proxy'!$B$8:$B$19,C3227)</f>
        <v>0</v>
      </c>
    </row>
    <row r="3228" spans="1:10" ht="14.4">
      <c r="A3228" s="84">
        <v>48879</v>
      </c>
      <c r="B3228" s="85">
        <v>2033</v>
      </c>
      <c r="C3228" s="85">
        <v>10</v>
      </c>
      <c r="D3228" s="85" t="s">
        <v>75</v>
      </c>
      <c r="E3228" s="85">
        <v>27</v>
      </c>
      <c r="F3228" s="85">
        <v>4</v>
      </c>
      <c r="G3228" s="85">
        <f>--(F3228&lt;=Estimator!$B$7)</f>
        <v>1</v>
      </c>
      <c r="H3228" s="86">
        <f>SUMIFS('Climate Data'!$G$7:$G$366,'Climate Data'!$A$7:$A$366,Estimator!$B$4,'Climate Data'!$B$7:$B$366,C3228)</f>
        <v>0.23225806451612904</v>
      </c>
      <c r="I3228" s="87">
        <f>SUMIFS('Climate Data'!$H$7:$H$366,'Climate Data'!$A$7:$A$366,Estimator!$B$4,'Climate Data'!$B$7:$B$366,C3228)</f>
        <v>6.8194444444444446</v>
      </c>
      <c r="J3228" s="86">
        <f>SUMIFS('Wind Proxy'!$H$8:$H$19,'Wind Proxy'!$A$8:$A$19,Estimator!$B$4,'Wind Proxy'!$B$8:$B$19,C3228)</f>
        <v>0</v>
      </c>
    </row>
    <row r="3229" spans="1:10" ht="14.4">
      <c r="A3229" s="84">
        <v>48880</v>
      </c>
      <c r="B3229" s="85">
        <v>2033</v>
      </c>
      <c r="C3229" s="85">
        <v>10</v>
      </c>
      <c r="D3229" s="85" t="s">
        <v>75</v>
      </c>
      <c r="E3229" s="85">
        <v>28</v>
      </c>
      <c r="F3229" s="85">
        <v>5</v>
      </c>
      <c r="G3229" s="85">
        <f>--(F3229&lt;=Estimator!$B$7)</f>
        <v>1</v>
      </c>
      <c r="H3229" s="86">
        <f>SUMIFS('Climate Data'!$G$7:$G$366,'Climate Data'!$A$7:$A$366,Estimator!$B$4,'Climate Data'!$B$7:$B$366,C3229)</f>
        <v>0.23225806451612904</v>
      </c>
      <c r="I3229" s="87">
        <f>SUMIFS('Climate Data'!$H$7:$H$366,'Climate Data'!$A$7:$A$366,Estimator!$B$4,'Climate Data'!$B$7:$B$366,C3229)</f>
        <v>6.8194444444444446</v>
      </c>
      <c r="J3229" s="86">
        <f>SUMIFS('Wind Proxy'!$H$8:$H$19,'Wind Proxy'!$A$8:$A$19,Estimator!$B$4,'Wind Proxy'!$B$8:$B$19,C3229)</f>
        <v>0</v>
      </c>
    </row>
    <row r="3230" spans="1:10" ht="14.4">
      <c r="A3230" s="84">
        <v>48881</v>
      </c>
      <c r="B3230" s="85">
        <v>2033</v>
      </c>
      <c r="C3230" s="85">
        <v>10</v>
      </c>
      <c r="D3230" s="85" t="s">
        <v>75</v>
      </c>
      <c r="E3230" s="85">
        <v>29</v>
      </c>
      <c r="F3230" s="85">
        <v>6</v>
      </c>
      <c r="G3230" s="85">
        <f>--(F3230&lt;=Estimator!$B$7)</f>
        <v>0</v>
      </c>
      <c r="H3230" s="86">
        <f>SUMIFS('Climate Data'!$G$7:$G$366,'Climate Data'!$A$7:$A$366,Estimator!$B$4,'Climate Data'!$B$7:$B$366,C3230)</f>
        <v>0.23225806451612904</v>
      </c>
      <c r="I3230" s="87">
        <f>SUMIFS('Climate Data'!$H$7:$H$366,'Climate Data'!$A$7:$A$366,Estimator!$B$4,'Climate Data'!$B$7:$B$366,C3230)</f>
        <v>6.8194444444444446</v>
      </c>
      <c r="J3230" s="86">
        <f>SUMIFS('Wind Proxy'!$H$8:$H$19,'Wind Proxy'!$A$8:$A$19,Estimator!$B$4,'Wind Proxy'!$B$8:$B$19,C3230)</f>
        <v>0</v>
      </c>
    </row>
    <row r="3231" spans="1:10" ht="14.4">
      <c r="A3231" s="84">
        <v>48882</v>
      </c>
      <c r="B3231" s="85">
        <v>2033</v>
      </c>
      <c r="C3231" s="85">
        <v>10</v>
      </c>
      <c r="D3231" s="85" t="s">
        <v>75</v>
      </c>
      <c r="E3231" s="85">
        <v>30</v>
      </c>
      <c r="F3231" s="85">
        <v>7</v>
      </c>
      <c r="G3231" s="85">
        <f>--(F3231&lt;=Estimator!$B$7)</f>
        <v>0</v>
      </c>
      <c r="H3231" s="86">
        <f>SUMIFS('Climate Data'!$G$7:$G$366,'Climate Data'!$A$7:$A$366,Estimator!$B$4,'Climate Data'!$B$7:$B$366,C3231)</f>
        <v>0.23225806451612904</v>
      </c>
      <c r="I3231" s="87">
        <f>SUMIFS('Climate Data'!$H$7:$H$366,'Climate Data'!$A$7:$A$366,Estimator!$B$4,'Climate Data'!$B$7:$B$366,C3231)</f>
        <v>6.8194444444444446</v>
      </c>
      <c r="J3231" s="86">
        <f>SUMIFS('Wind Proxy'!$H$8:$H$19,'Wind Proxy'!$A$8:$A$19,Estimator!$B$4,'Wind Proxy'!$B$8:$B$19,C3231)</f>
        <v>0</v>
      </c>
    </row>
    <row r="3232" spans="1:10" ht="14.4">
      <c r="A3232" s="84">
        <v>48883</v>
      </c>
      <c r="B3232" s="85">
        <v>2033</v>
      </c>
      <c r="C3232" s="85">
        <v>10</v>
      </c>
      <c r="D3232" s="85" t="s">
        <v>75</v>
      </c>
      <c r="E3232" s="85">
        <v>31</v>
      </c>
      <c r="F3232" s="85">
        <v>1</v>
      </c>
      <c r="G3232" s="85">
        <f>--(F3232&lt;=Estimator!$B$7)</f>
        <v>1</v>
      </c>
      <c r="H3232" s="86">
        <f>SUMIFS('Climate Data'!$G$7:$G$366,'Climate Data'!$A$7:$A$366,Estimator!$B$4,'Climate Data'!$B$7:$B$366,C3232)</f>
        <v>0.23225806451612904</v>
      </c>
      <c r="I3232" s="87">
        <f>SUMIFS('Climate Data'!$H$7:$H$366,'Climate Data'!$A$7:$A$366,Estimator!$B$4,'Climate Data'!$B$7:$B$366,C3232)</f>
        <v>6.8194444444444446</v>
      </c>
      <c r="J3232" s="86">
        <f>SUMIFS('Wind Proxy'!$H$8:$H$19,'Wind Proxy'!$A$8:$A$19,Estimator!$B$4,'Wind Proxy'!$B$8:$B$19,C3232)</f>
        <v>0</v>
      </c>
    </row>
    <row r="3233" spans="1:10" ht="14.4">
      <c r="A3233" s="84">
        <v>48884</v>
      </c>
      <c r="B3233" s="85">
        <v>2033</v>
      </c>
      <c r="C3233" s="85">
        <v>11</v>
      </c>
      <c r="D3233" s="85" t="s">
        <v>76</v>
      </c>
      <c r="E3233" s="85">
        <v>1</v>
      </c>
      <c r="F3233" s="85">
        <v>2</v>
      </c>
      <c r="G3233" s="85">
        <f>--(F3233&lt;=Estimator!$B$7)</f>
        <v>1</v>
      </c>
      <c r="H3233" s="86">
        <f>SUMIFS('Climate Data'!$G$7:$G$366,'Climate Data'!$A$7:$A$366,Estimator!$B$4,'Climate Data'!$B$7:$B$366,C3233)</f>
        <v>0.23333333333333334</v>
      </c>
      <c r="I3233" s="87">
        <f>SUMIFS('Climate Data'!$H$7:$H$366,'Climate Data'!$A$7:$A$366,Estimator!$B$4,'Climate Data'!$B$7:$B$366,C3233)</f>
        <v>6.4428571428571431</v>
      </c>
      <c r="J3233" s="86">
        <f>SUMIFS('Wind Proxy'!$H$8:$H$19,'Wind Proxy'!$A$8:$A$19,Estimator!$B$4,'Wind Proxy'!$B$8:$B$19,C3233)</f>
        <v>0</v>
      </c>
    </row>
    <row r="3234" spans="1:10" ht="14.4">
      <c r="A3234" s="84">
        <v>48885</v>
      </c>
      <c r="B3234" s="85">
        <v>2033</v>
      </c>
      <c r="C3234" s="85">
        <v>11</v>
      </c>
      <c r="D3234" s="85" t="s">
        <v>76</v>
      </c>
      <c r="E3234" s="85">
        <v>2</v>
      </c>
      <c r="F3234" s="85">
        <v>3</v>
      </c>
      <c r="G3234" s="85">
        <f>--(F3234&lt;=Estimator!$B$7)</f>
        <v>1</v>
      </c>
      <c r="H3234" s="86">
        <f>SUMIFS('Climate Data'!$G$7:$G$366,'Climate Data'!$A$7:$A$366,Estimator!$B$4,'Climate Data'!$B$7:$B$366,C3234)</f>
        <v>0.23333333333333334</v>
      </c>
      <c r="I3234" s="87">
        <f>SUMIFS('Climate Data'!$H$7:$H$366,'Climate Data'!$A$7:$A$366,Estimator!$B$4,'Climate Data'!$B$7:$B$366,C3234)</f>
        <v>6.4428571428571431</v>
      </c>
      <c r="J3234" s="86">
        <f>SUMIFS('Wind Proxy'!$H$8:$H$19,'Wind Proxy'!$A$8:$A$19,Estimator!$B$4,'Wind Proxy'!$B$8:$B$19,C3234)</f>
        <v>0</v>
      </c>
    </row>
    <row r="3235" spans="1:10" ht="14.4">
      <c r="A3235" s="84">
        <v>48886</v>
      </c>
      <c r="B3235" s="85">
        <v>2033</v>
      </c>
      <c r="C3235" s="85">
        <v>11</v>
      </c>
      <c r="D3235" s="85" t="s">
        <v>76</v>
      </c>
      <c r="E3235" s="85">
        <v>3</v>
      </c>
      <c r="F3235" s="85">
        <v>4</v>
      </c>
      <c r="G3235" s="85">
        <f>--(F3235&lt;=Estimator!$B$7)</f>
        <v>1</v>
      </c>
      <c r="H3235" s="86">
        <f>SUMIFS('Climate Data'!$G$7:$G$366,'Climate Data'!$A$7:$A$366,Estimator!$B$4,'Climate Data'!$B$7:$B$366,C3235)</f>
        <v>0.23333333333333334</v>
      </c>
      <c r="I3235" s="87">
        <f>SUMIFS('Climate Data'!$H$7:$H$366,'Climate Data'!$A$7:$A$366,Estimator!$B$4,'Climate Data'!$B$7:$B$366,C3235)</f>
        <v>6.4428571428571431</v>
      </c>
      <c r="J3235" s="86">
        <f>SUMIFS('Wind Proxy'!$H$8:$H$19,'Wind Proxy'!$A$8:$A$19,Estimator!$B$4,'Wind Proxy'!$B$8:$B$19,C3235)</f>
        <v>0</v>
      </c>
    </row>
    <row r="3236" spans="1:10" ht="14.4">
      <c r="A3236" s="84">
        <v>48887</v>
      </c>
      <c r="B3236" s="85">
        <v>2033</v>
      </c>
      <c r="C3236" s="85">
        <v>11</v>
      </c>
      <c r="D3236" s="85" t="s">
        <v>76</v>
      </c>
      <c r="E3236" s="85">
        <v>4</v>
      </c>
      <c r="F3236" s="85">
        <v>5</v>
      </c>
      <c r="G3236" s="85">
        <f>--(F3236&lt;=Estimator!$B$7)</f>
        <v>1</v>
      </c>
      <c r="H3236" s="86">
        <f>SUMIFS('Climate Data'!$G$7:$G$366,'Climate Data'!$A$7:$A$366,Estimator!$B$4,'Climate Data'!$B$7:$B$366,C3236)</f>
        <v>0.23333333333333334</v>
      </c>
      <c r="I3236" s="87">
        <f>SUMIFS('Climate Data'!$H$7:$H$366,'Climate Data'!$A$7:$A$366,Estimator!$B$4,'Climate Data'!$B$7:$B$366,C3236)</f>
        <v>6.4428571428571431</v>
      </c>
      <c r="J3236" s="86">
        <f>SUMIFS('Wind Proxy'!$H$8:$H$19,'Wind Proxy'!$A$8:$A$19,Estimator!$B$4,'Wind Proxy'!$B$8:$B$19,C3236)</f>
        <v>0</v>
      </c>
    </row>
    <row r="3237" spans="1:10" ht="14.4">
      <c r="A3237" s="84">
        <v>48888</v>
      </c>
      <c r="B3237" s="85">
        <v>2033</v>
      </c>
      <c r="C3237" s="85">
        <v>11</v>
      </c>
      <c r="D3237" s="85" t="s">
        <v>76</v>
      </c>
      <c r="E3237" s="85">
        <v>5</v>
      </c>
      <c r="F3237" s="85">
        <v>6</v>
      </c>
      <c r="G3237" s="85">
        <f>--(F3237&lt;=Estimator!$B$7)</f>
        <v>0</v>
      </c>
      <c r="H3237" s="86">
        <f>SUMIFS('Climate Data'!$G$7:$G$366,'Climate Data'!$A$7:$A$366,Estimator!$B$4,'Climate Data'!$B$7:$B$366,C3237)</f>
        <v>0.23333333333333334</v>
      </c>
      <c r="I3237" s="87">
        <f>SUMIFS('Climate Data'!$H$7:$H$366,'Climate Data'!$A$7:$A$366,Estimator!$B$4,'Climate Data'!$B$7:$B$366,C3237)</f>
        <v>6.4428571428571431</v>
      </c>
      <c r="J3237" s="86">
        <f>SUMIFS('Wind Proxy'!$H$8:$H$19,'Wind Proxy'!$A$8:$A$19,Estimator!$B$4,'Wind Proxy'!$B$8:$B$19,C3237)</f>
        <v>0</v>
      </c>
    </row>
    <row r="3238" spans="1:10" ht="14.4">
      <c r="A3238" s="84">
        <v>48889</v>
      </c>
      <c r="B3238" s="85">
        <v>2033</v>
      </c>
      <c r="C3238" s="85">
        <v>11</v>
      </c>
      <c r="D3238" s="85" t="s">
        <v>76</v>
      </c>
      <c r="E3238" s="85">
        <v>6</v>
      </c>
      <c r="F3238" s="85">
        <v>7</v>
      </c>
      <c r="G3238" s="85">
        <f>--(F3238&lt;=Estimator!$B$7)</f>
        <v>0</v>
      </c>
      <c r="H3238" s="86">
        <f>SUMIFS('Climate Data'!$G$7:$G$366,'Climate Data'!$A$7:$A$366,Estimator!$B$4,'Climate Data'!$B$7:$B$366,C3238)</f>
        <v>0.23333333333333334</v>
      </c>
      <c r="I3238" s="87">
        <f>SUMIFS('Climate Data'!$H$7:$H$366,'Climate Data'!$A$7:$A$366,Estimator!$B$4,'Climate Data'!$B$7:$B$366,C3238)</f>
        <v>6.4428571428571431</v>
      </c>
      <c r="J3238" s="86">
        <f>SUMIFS('Wind Proxy'!$H$8:$H$19,'Wind Proxy'!$A$8:$A$19,Estimator!$B$4,'Wind Proxy'!$B$8:$B$19,C3238)</f>
        <v>0</v>
      </c>
    </row>
    <row r="3239" spans="1:10" ht="14.4">
      <c r="A3239" s="84">
        <v>48890</v>
      </c>
      <c r="B3239" s="85">
        <v>2033</v>
      </c>
      <c r="C3239" s="85">
        <v>11</v>
      </c>
      <c r="D3239" s="85" t="s">
        <v>76</v>
      </c>
      <c r="E3239" s="85">
        <v>7</v>
      </c>
      <c r="F3239" s="85">
        <v>1</v>
      </c>
      <c r="G3239" s="85">
        <f>--(F3239&lt;=Estimator!$B$7)</f>
        <v>1</v>
      </c>
      <c r="H3239" s="86">
        <f>SUMIFS('Climate Data'!$G$7:$G$366,'Climate Data'!$A$7:$A$366,Estimator!$B$4,'Climate Data'!$B$7:$B$366,C3239)</f>
        <v>0.23333333333333334</v>
      </c>
      <c r="I3239" s="87">
        <f>SUMIFS('Climate Data'!$H$7:$H$366,'Climate Data'!$A$7:$A$366,Estimator!$B$4,'Climate Data'!$B$7:$B$366,C3239)</f>
        <v>6.4428571428571431</v>
      </c>
      <c r="J3239" s="86">
        <f>SUMIFS('Wind Proxy'!$H$8:$H$19,'Wind Proxy'!$A$8:$A$19,Estimator!$B$4,'Wind Proxy'!$B$8:$B$19,C3239)</f>
        <v>0</v>
      </c>
    </row>
    <row r="3240" spans="1:10" ht="14.4">
      <c r="A3240" s="84">
        <v>48891</v>
      </c>
      <c r="B3240" s="85">
        <v>2033</v>
      </c>
      <c r="C3240" s="85">
        <v>11</v>
      </c>
      <c r="D3240" s="85" t="s">
        <v>76</v>
      </c>
      <c r="E3240" s="85">
        <v>8</v>
      </c>
      <c r="F3240" s="85">
        <v>2</v>
      </c>
      <c r="G3240" s="85">
        <f>--(F3240&lt;=Estimator!$B$7)</f>
        <v>1</v>
      </c>
      <c r="H3240" s="86">
        <f>SUMIFS('Climate Data'!$G$7:$G$366,'Climate Data'!$A$7:$A$366,Estimator!$B$4,'Climate Data'!$B$7:$B$366,C3240)</f>
        <v>0.23333333333333334</v>
      </c>
      <c r="I3240" s="87">
        <f>SUMIFS('Climate Data'!$H$7:$H$366,'Climate Data'!$A$7:$A$366,Estimator!$B$4,'Climate Data'!$B$7:$B$366,C3240)</f>
        <v>6.4428571428571431</v>
      </c>
      <c r="J3240" s="86">
        <f>SUMIFS('Wind Proxy'!$H$8:$H$19,'Wind Proxy'!$A$8:$A$19,Estimator!$B$4,'Wind Proxy'!$B$8:$B$19,C3240)</f>
        <v>0</v>
      </c>
    </row>
    <row r="3241" spans="1:10" ht="14.4">
      <c r="A3241" s="84">
        <v>48892</v>
      </c>
      <c r="B3241" s="85">
        <v>2033</v>
      </c>
      <c r="C3241" s="85">
        <v>11</v>
      </c>
      <c r="D3241" s="85" t="s">
        <v>76</v>
      </c>
      <c r="E3241" s="85">
        <v>9</v>
      </c>
      <c r="F3241" s="85">
        <v>3</v>
      </c>
      <c r="G3241" s="85">
        <f>--(F3241&lt;=Estimator!$B$7)</f>
        <v>1</v>
      </c>
      <c r="H3241" s="86">
        <f>SUMIFS('Climate Data'!$G$7:$G$366,'Climate Data'!$A$7:$A$366,Estimator!$B$4,'Climate Data'!$B$7:$B$366,C3241)</f>
        <v>0.23333333333333334</v>
      </c>
      <c r="I3241" s="87">
        <f>SUMIFS('Climate Data'!$H$7:$H$366,'Climate Data'!$A$7:$A$366,Estimator!$B$4,'Climate Data'!$B$7:$B$366,C3241)</f>
        <v>6.4428571428571431</v>
      </c>
      <c r="J3241" s="86">
        <f>SUMIFS('Wind Proxy'!$H$8:$H$19,'Wind Proxy'!$A$8:$A$19,Estimator!$B$4,'Wind Proxy'!$B$8:$B$19,C3241)</f>
        <v>0</v>
      </c>
    </row>
    <row r="3242" spans="1:10" ht="14.4">
      <c r="A3242" s="84">
        <v>48893</v>
      </c>
      <c r="B3242" s="85">
        <v>2033</v>
      </c>
      <c r="C3242" s="85">
        <v>11</v>
      </c>
      <c r="D3242" s="85" t="s">
        <v>76</v>
      </c>
      <c r="E3242" s="85">
        <v>10</v>
      </c>
      <c r="F3242" s="85">
        <v>4</v>
      </c>
      <c r="G3242" s="85">
        <f>--(F3242&lt;=Estimator!$B$7)</f>
        <v>1</v>
      </c>
      <c r="H3242" s="86">
        <f>SUMIFS('Climate Data'!$G$7:$G$366,'Climate Data'!$A$7:$A$366,Estimator!$B$4,'Climate Data'!$B$7:$B$366,C3242)</f>
        <v>0.23333333333333334</v>
      </c>
      <c r="I3242" s="87">
        <f>SUMIFS('Climate Data'!$H$7:$H$366,'Climate Data'!$A$7:$A$366,Estimator!$B$4,'Climate Data'!$B$7:$B$366,C3242)</f>
        <v>6.4428571428571431</v>
      </c>
      <c r="J3242" s="86">
        <f>SUMIFS('Wind Proxy'!$H$8:$H$19,'Wind Proxy'!$A$8:$A$19,Estimator!$B$4,'Wind Proxy'!$B$8:$B$19,C3242)</f>
        <v>0</v>
      </c>
    </row>
    <row r="3243" spans="1:10" ht="14.4">
      <c r="A3243" s="84">
        <v>48894</v>
      </c>
      <c r="B3243" s="85">
        <v>2033</v>
      </c>
      <c r="C3243" s="85">
        <v>11</v>
      </c>
      <c r="D3243" s="85" t="s">
        <v>76</v>
      </c>
      <c r="E3243" s="85">
        <v>11</v>
      </c>
      <c r="F3243" s="85">
        <v>5</v>
      </c>
      <c r="G3243" s="85">
        <f>--(F3243&lt;=Estimator!$B$7)</f>
        <v>1</v>
      </c>
      <c r="H3243" s="86">
        <f>SUMIFS('Climate Data'!$G$7:$G$366,'Climate Data'!$A$7:$A$366,Estimator!$B$4,'Climate Data'!$B$7:$B$366,C3243)</f>
        <v>0.23333333333333334</v>
      </c>
      <c r="I3243" s="87">
        <f>SUMIFS('Climate Data'!$H$7:$H$366,'Climate Data'!$A$7:$A$366,Estimator!$B$4,'Climate Data'!$B$7:$B$366,C3243)</f>
        <v>6.4428571428571431</v>
      </c>
      <c r="J3243" s="86">
        <f>SUMIFS('Wind Proxy'!$H$8:$H$19,'Wind Proxy'!$A$8:$A$19,Estimator!$B$4,'Wind Proxy'!$B$8:$B$19,C3243)</f>
        <v>0</v>
      </c>
    </row>
    <row r="3244" spans="1:10" ht="14.4">
      <c r="A3244" s="84">
        <v>48895</v>
      </c>
      <c r="B3244" s="85">
        <v>2033</v>
      </c>
      <c r="C3244" s="85">
        <v>11</v>
      </c>
      <c r="D3244" s="85" t="s">
        <v>76</v>
      </c>
      <c r="E3244" s="85">
        <v>12</v>
      </c>
      <c r="F3244" s="85">
        <v>6</v>
      </c>
      <c r="G3244" s="85">
        <f>--(F3244&lt;=Estimator!$B$7)</f>
        <v>0</v>
      </c>
      <c r="H3244" s="86">
        <f>SUMIFS('Climate Data'!$G$7:$G$366,'Climate Data'!$A$7:$A$366,Estimator!$B$4,'Climate Data'!$B$7:$B$366,C3244)</f>
        <v>0.23333333333333334</v>
      </c>
      <c r="I3244" s="87">
        <f>SUMIFS('Climate Data'!$H$7:$H$366,'Climate Data'!$A$7:$A$366,Estimator!$B$4,'Climate Data'!$B$7:$B$366,C3244)</f>
        <v>6.4428571428571431</v>
      </c>
      <c r="J3244" s="86">
        <f>SUMIFS('Wind Proxy'!$H$8:$H$19,'Wind Proxy'!$A$8:$A$19,Estimator!$B$4,'Wind Proxy'!$B$8:$B$19,C3244)</f>
        <v>0</v>
      </c>
    </row>
    <row r="3245" spans="1:10" ht="14.4">
      <c r="A3245" s="84">
        <v>48896</v>
      </c>
      <c r="B3245" s="85">
        <v>2033</v>
      </c>
      <c r="C3245" s="85">
        <v>11</v>
      </c>
      <c r="D3245" s="85" t="s">
        <v>76</v>
      </c>
      <c r="E3245" s="85">
        <v>13</v>
      </c>
      <c r="F3245" s="85">
        <v>7</v>
      </c>
      <c r="G3245" s="85">
        <f>--(F3245&lt;=Estimator!$B$7)</f>
        <v>0</v>
      </c>
      <c r="H3245" s="86">
        <f>SUMIFS('Climate Data'!$G$7:$G$366,'Climate Data'!$A$7:$A$366,Estimator!$B$4,'Climate Data'!$B$7:$B$366,C3245)</f>
        <v>0.23333333333333334</v>
      </c>
      <c r="I3245" s="87">
        <f>SUMIFS('Climate Data'!$H$7:$H$366,'Climate Data'!$A$7:$A$366,Estimator!$B$4,'Climate Data'!$B$7:$B$366,C3245)</f>
        <v>6.4428571428571431</v>
      </c>
      <c r="J3245" s="86">
        <f>SUMIFS('Wind Proxy'!$H$8:$H$19,'Wind Proxy'!$A$8:$A$19,Estimator!$B$4,'Wind Proxy'!$B$8:$B$19,C3245)</f>
        <v>0</v>
      </c>
    </row>
    <row r="3246" spans="1:10" ht="14.4">
      <c r="A3246" s="84">
        <v>48897</v>
      </c>
      <c r="B3246" s="85">
        <v>2033</v>
      </c>
      <c r="C3246" s="85">
        <v>11</v>
      </c>
      <c r="D3246" s="85" t="s">
        <v>76</v>
      </c>
      <c r="E3246" s="85">
        <v>14</v>
      </c>
      <c r="F3246" s="85">
        <v>1</v>
      </c>
      <c r="G3246" s="85">
        <f>--(F3246&lt;=Estimator!$B$7)</f>
        <v>1</v>
      </c>
      <c r="H3246" s="86">
        <f>SUMIFS('Climate Data'!$G$7:$G$366,'Climate Data'!$A$7:$A$366,Estimator!$B$4,'Climate Data'!$B$7:$B$366,C3246)</f>
        <v>0.23333333333333334</v>
      </c>
      <c r="I3246" s="87">
        <f>SUMIFS('Climate Data'!$H$7:$H$366,'Climate Data'!$A$7:$A$366,Estimator!$B$4,'Climate Data'!$B$7:$B$366,C3246)</f>
        <v>6.4428571428571431</v>
      </c>
      <c r="J3246" s="86">
        <f>SUMIFS('Wind Proxy'!$H$8:$H$19,'Wind Proxy'!$A$8:$A$19,Estimator!$B$4,'Wind Proxy'!$B$8:$B$19,C3246)</f>
        <v>0</v>
      </c>
    </row>
    <row r="3247" spans="1:10" ht="14.4">
      <c r="A3247" s="84">
        <v>48898</v>
      </c>
      <c r="B3247" s="85">
        <v>2033</v>
      </c>
      <c r="C3247" s="85">
        <v>11</v>
      </c>
      <c r="D3247" s="85" t="s">
        <v>76</v>
      </c>
      <c r="E3247" s="85">
        <v>15</v>
      </c>
      <c r="F3247" s="85">
        <v>2</v>
      </c>
      <c r="G3247" s="85">
        <f>--(F3247&lt;=Estimator!$B$7)</f>
        <v>1</v>
      </c>
      <c r="H3247" s="86">
        <f>SUMIFS('Climate Data'!$G$7:$G$366,'Climate Data'!$A$7:$A$366,Estimator!$B$4,'Climate Data'!$B$7:$B$366,C3247)</f>
        <v>0.23333333333333334</v>
      </c>
      <c r="I3247" s="87">
        <f>SUMIFS('Climate Data'!$H$7:$H$366,'Climate Data'!$A$7:$A$366,Estimator!$B$4,'Climate Data'!$B$7:$B$366,C3247)</f>
        <v>6.4428571428571431</v>
      </c>
      <c r="J3247" s="86">
        <f>SUMIFS('Wind Proxy'!$H$8:$H$19,'Wind Proxy'!$A$8:$A$19,Estimator!$B$4,'Wind Proxy'!$B$8:$B$19,C3247)</f>
        <v>0</v>
      </c>
    </row>
    <row r="3248" spans="1:10" ht="14.4">
      <c r="A3248" s="84">
        <v>48899</v>
      </c>
      <c r="B3248" s="85">
        <v>2033</v>
      </c>
      <c r="C3248" s="85">
        <v>11</v>
      </c>
      <c r="D3248" s="85" t="s">
        <v>76</v>
      </c>
      <c r="E3248" s="85">
        <v>16</v>
      </c>
      <c r="F3248" s="85">
        <v>3</v>
      </c>
      <c r="G3248" s="85">
        <f>--(F3248&lt;=Estimator!$B$7)</f>
        <v>1</v>
      </c>
      <c r="H3248" s="86">
        <f>SUMIFS('Climate Data'!$G$7:$G$366,'Climate Data'!$A$7:$A$366,Estimator!$B$4,'Climate Data'!$B$7:$B$366,C3248)</f>
        <v>0.23333333333333334</v>
      </c>
      <c r="I3248" s="87">
        <f>SUMIFS('Climate Data'!$H$7:$H$366,'Climate Data'!$A$7:$A$366,Estimator!$B$4,'Climate Data'!$B$7:$B$366,C3248)</f>
        <v>6.4428571428571431</v>
      </c>
      <c r="J3248" s="86">
        <f>SUMIFS('Wind Proxy'!$H$8:$H$19,'Wind Proxy'!$A$8:$A$19,Estimator!$B$4,'Wind Proxy'!$B$8:$B$19,C3248)</f>
        <v>0</v>
      </c>
    </row>
    <row r="3249" spans="1:10" ht="14.4">
      <c r="A3249" s="84">
        <v>48900</v>
      </c>
      <c r="B3249" s="85">
        <v>2033</v>
      </c>
      <c r="C3249" s="85">
        <v>11</v>
      </c>
      <c r="D3249" s="85" t="s">
        <v>76</v>
      </c>
      <c r="E3249" s="85">
        <v>17</v>
      </c>
      <c r="F3249" s="85">
        <v>4</v>
      </c>
      <c r="G3249" s="85">
        <f>--(F3249&lt;=Estimator!$B$7)</f>
        <v>1</v>
      </c>
      <c r="H3249" s="86">
        <f>SUMIFS('Climate Data'!$G$7:$G$366,'Climate Data'!$A$7:$A$366,Estimator!$B$4,'Climate Data'!$B$7:$B$366,C3249)</f>
        <v>0.23333333333333334</v>
      </c>
      <c r="I3249" s="87">
        <f>SUMIFS('Climate Data'!$H$7:$H$366,'Climate Data'!$A$7:$A$366,Estimator!$B$4,'Climate Data'!$B$7:$B$366,C3249)</f>
        <v>6.4428571428571431</v>
      </c>
      <c r="J3249" s="86">
        <f>SUMIFS('Wind Proxy'!$H$8:$H$19,'Wind Proxy'!$A$8:$A$19,Estimator!$B$4,'Wind Proxy'!$B$8:$B$19,C3249)</f>
        <v>0</v>
      </c>
    </row>
    <row r="3250" spans="1:10" ht="14.4">
      <c r="A3250" s="84">
        <v>48901</v>
      </c>
      <c r="B3250" s="85">
        <v>2033</v>
      </c>
      <c r="C3250" s="85">
        <v>11</v>
      </c>
      <c r="D3250" s="85" t="s">
        <v>76</v>
      </c>
      <c r="E3250" s="85">
        <v>18</v>
      </c>
      <c r="F3250" s="85">
        <v>5</v>
      </c>
      <c r="G3250" s="85">
        <f>--(F3250&lt;=Estimator!$B$7)</f>
        <v>1</v>
      </c>
      <c r="H3250" s="86">
        <f>SUMIFS('Climate Data'!$G$7:$G$366,'Climate Data'!$A$7:$A$366,Estimator!$B$4,'Climate Data'!$B$7:$B$366,C3250)</f>
        <v>0.23333333333333334</v>
      </c>
      <c r="I3250" s="87">
        <f>SUMIFS('Climate Data'!$H$7:$H$366,'Climate Data'!$A$7:$A$366,Estimator!$B$4,'Climate Data'!$B$7:$B$366,C3250)</f>
        <v>6.4428571428571431</v>
      </c>
      <c r="J3250" s="86">
        <f>SUMIFS('Wind Proxy'!$H$8:$H$19,'Wind Proxy'!$A$8:$A$19,Estimator!$B$4,'Wind Proxy'!$B$8:$B$19,C3250)</f>
        <v>0</v>
      </c>
    </row>
    <row r="3251" spans="1:10" ht="14.4">
      <c r="A3251" s="84">
        <v>48902</v>
      </c>
      <c r="B3251" s="85">
        <v>2033</v>
      </c>
      <c r="C3251" s="85">
        <v>11</v>
      </c>
      <c r="D3251" s="85" t="s">
        <v>76</v>
      </c>
      <c r="E3251" s="85">
        <v>19</v>
      </c>
      <c r="F3251" s="85">
        <v>6</v>
      </c>
      <c r="G3251" s="85">
        <f>--(F3251&lt;=Estimator!$B$7)</f>
        <v>0</v>
      </c>
      <c r="H3251" s="86">
        <f>SUMIFS('Climate Data'!$G$7:$G$366,'Climate Data'!$A$7:$A$366,Estimator!$B$4,'Climate Data'!$B$7:$B$366,C3251)</f>
        <v>0.23333333333333334</v>
      </c>
      <c r="I3251" s="87">
        <f>SUMIFS('Climate Data'!$H$7:$H$366,'Climate Data'!$A$7:$A$366,Estimator!$B$4,'Climate Data'!$B$7:$B$366,C3251)</f>
        <v>6.4428571428571431</v>
      </c>
      <c r="J3251" s="86">
        <f>SUMIFS('Wind Proxy'!$H$8:$H$19,'Wind Proxy'!$A$8:$A$19,Estimator!$B$4,'Wind Proxy'!$B$8:$B$19,C3251)</f>
        <v>0</v>
      </c>
    </row>
    <row r="3252" spans="1:10" ht="14.4">
      <c r="A3252" s="84">
        <v>48903</v>
      </c>
      <c r="B3252" s="85">
        <v>2033</v>
      </c>
      <c r="C3252" s="85">
        <v>11</v>
      </c>
      <c r="D3252" s="85" t="s">
        <v>76</v>
      </c>
      <c r="E3252" s="85">
        <v>20</v>
      </c>
      <c r="F3252" s="85">
        <v>7</v>
      </c>
      <c r="G3252" s="85">
        <f>--(F3252&lt;=Estimator!$B$7)</f>
        <v>0</v>
      </c>
      <c r="H3252" s="86">
        <f>SUMIFS('Climate Data'!$G$7:$G$366,'Climate Data'!$A$7:$A$366,Estimator!$B$4,'Climate Data'!$B$7:$B$366,C3252)</f>
        <v>0.23333333333333334</v>
      </c>
      <c r="I3252" s="87">
        <f>SUMIFS('Climate Data'!$H$7:$H$366,'Climate Data'!$A$7:$A$366,Estimator!$B$4,'Climate Data'!$B$7:$B$366,C3252)</f>
        <v>6.4428571428571431</v>
      </c>
      <c r="J3252" s="86">
        <f>SUMIFS('Wind Proxy'!$H$8:$H$19,'Wind Proxy'!$A$8:$A$19,Estimator!$B$4,'Wind Proxy'!$B$8:$B$19,C3252)</f>
        <v>0</v>
      </c>
    </row>
    <row r="3253" spans="1:10" ht="14.4">
      <c r="A3253" s="84">
        <v>48904</v>
      </c>
      <c r="B3253" s="85">
        <v>2033</v>
      </c>
      <c r="C3253" s="85">
        <v>11</v>
      </c>
      <c r="D3253" s="85" t="s">
        <v>76</v>
      </c>
      <c r="E3253" s="85">
        <v>21</v>
      </c>
      <c r="F3253" s="85">
        <v>1</v>
      </c>
      <c r="G3253" s="85">
        <f>--(F3253&lt;=Estimator!$B$7)</f>
        <v>1</v>
      </c>
      <c r="H3253" s="86">
        <f>SUMIFS('Climate Data'!$G$7:$G$366,'Climate Data'!$A$7:$A$366,Estimator!$B$4,'Climate Data'!$B$7:$B$366,C3253)</f>
        <v>0.23333333333333334</v>
      </c>
      <c r="I3253" s="87">
        <f>SUMIFS('Climate Data'!$H$7:$H$366,'Climate Data'!$A$7:$A$366,Estimator!$B$4,'Climate Data'!$B$7:$B$366,C3253)</f>
        <v>6.4428571428571431</v>
      </c>
      <c r="J3253" s="86">
        <f>SUMIFS('Wind Proxy'!$H$8:$H$19,'Wind Proxy'!$A$8:$A$19,Estimator!$B$4,'Wind Proxy'!$B$8:$B$19,C3253)</f>
        <v>0</v>
      </c>
    </row>
    <row r="3254" spans="1:10" ht="14.4">
      <c r="A3254" s="84">
        <v>48905</v>
      </c>
      <c r="B3254" s="85">
        <v>2033</v>
      </c>
      <c r="C3254" s="85">
        <v>11</v>
      </c>
      <c r="D3254" s="85" t="s">
        <v>76</v>
      </c>
      <c r="E3254" s="85">
        <v>22</v>
      </c>
      <c r="F3254" s="85">
        <v>2</v>
      </c>
      <c r="G3254" s="85">
        <f>--(F3254&lt;=Estimator!$B$7)</f>
        <v>1</v>
      </c>
      <c r="H3254" s="86">
        <f>SUMIFS('Climate Data'!$G$7:$G$366,'Climate Data'!$A$7:$A$366,Estimator!$B$4,'Climate Data'!$B$7:$B$366,C3254)</f>
        <v>0.23333333333333334</v>
      </c>
      <c r="I3254" s="87">
        <f>SUMIFS('Climate Data'!$H$7:$H$366,'Climate Data'!$A$7:$A$366,Estimator!$B$4,'Climate Data'!$B$7:$B$366,C3254)</f>
        <v>6.4428571428571431</v>
      </c>
      <c r="J3254" s="86">
        <f>SUMIFS('Wind Proxy'!$H$8:$H$19,'Wind Proxy'!$A$8:$A$19,Estimator!$B$4,'Wind Proxy'!$B$8:$B$19,C3254)</f>
        <v>0</v>
      </c>
    </row>
    <row r="3255" spans="1:10" ht="14.4">
      <c r="A3255" s="84">
        <v>48906</v>
      </c>
      <c r="B3255" s="85">
        <v>2033</v>
      </c>
      <c r="C3255" s="85">
        <v>11</v>
      </c>
      <c r="D3255" s="85" t="s">
        <v>76</v>
      </c>
      <c r="E3255" s="85">
        <v>23</v>
      </c>
      <c r="F3255" s="85">
        <v>3</v>
      </c>
      <c r="G3255" s="85">
        <f>--(F3255&lt;=Estimator!$B$7)</f>
        <v>1</v>
      </c>
      <c r="H3255" s="86">
        <f>SUMIFS('Climate Data'!$G$7:$G$366,'Climate Data'!$A$7:$A$366,Estimator!$B$4,'Climate Data'!$B$7:$B$366,C3255)</f>
        <v>0.23333333333333334</v>
      </c>
      <c r="I3255" s="87">
        <f>SUMIFS('Climate Data'!$H$7:$H$366,'Climate Data'!$A$7:$A$366,Estimator!$B$4,'Climate Data'!$B$7:$B$366,C3255)</f>
        <v>6.4428571428571431</v>
      </c>
      <c r="J3255" s="86">
        <f>SUMIFS('Wind Proxy'!$H$8:$H$19,'Wind Proxy'!$A$8:$A$19,Estimator!$B$4,'Wind Proxy'!$B$8:$B$19,C3255)</f>
        <v>0</v>
      </c>
    </row>
    <row r="3256" spans="1:10" ht="14.4">
      <c r="A3256" s="84">
        <v>48907</v>
      </c>
      <c r="B3256" s="85">
        <v>2033</v>
      </c>
      <c r="C3256" s="85">
        <v>11</v>
      </c>
      <c r="D3256" s="85" t="s">
        <v>76</v>
      </c>
      <c r="E3256" s="85">
        <v>24</v>
      </c>
      <c r="F3256" s="85">
        <v>4</v>
      </c>
      <c r="G3256" s="85">
        <f>--(F3256&lt;=Estimator!$B$7)</f>
        <v>1</v>
      </c>
      <c r="H3256" s="86">
        <f>SUMIFS('Climate Data'!$G$7:$G$366,'Climate Data'!$A$7:$A$366,Estimator!$B$4,'Climate Data'!$B$7:$B$366,C3256)</f>
        <v>0.23333333333333334</v>
      </c>
      <c r="I3256" s="87">
        <f>SUMIFS('Climate Data'!$H$7:$H$366,'Climate Data'!$A$7:$A$366,Estimator!$B$4,'Climate Data'!$B$7:$B$366,C3256)</f>
        <v>6.4428571428571431</v>
      </c>
      <c r="J3256" s="86">
        <f>SUMIFS('Wind Proxy'!$H$8:$H$19,'Wind Proxy'!$A$8:$A$19,Estimator!$B$4,'Wind Proxy'!$B$8:$B$19,C3256)</f>
        <v>0</v>
      </c>
    </row>
    <row r="3257" spans="1:10" ht="14.4">
      <c r="A3257" s="84">
        <v>48908</v>
      </c>
      <c r="B3257" s="85">
        <v>2033</v>
      </c>
      <c r="C3257" s="85">
        <v>11</v>
      </c>
      <c r="D3257" s="85" t="s">
        <v>76</v>
      </c>
      <c r="E3257" s="85">
        <v>25</v>
      </c>
      <c r="F3257" s="85">
        <v>5</v>
      </c>
      <c r="G3257" s="85">
        <f>--(F3257&lt;=Estimator!$B$7)</f>
        <v>1</v>
      </c>
      <c r="H3257" s="86">
        <f>SUMIFS('Climate Data'!$G$7:$G$366,'Climate Data'!$A$7:$A$366,Estimator!$B$4,'Climate Data'!$B$7:$B$366,C3257)</f>
        <v>0.23333333333333334</v>
      </c>
      <c r="I3257" s="87">
        <f>SUMIFS('Climate Data'!$H$7:$H$366,'Climate Data'!$A$7:$A$366,Estimator!$B$4,'Climate Data'!$B$7:$B$366,C3257)</f>
        <v>6.4428571428571431</v>
      </c>
      <c r="J3257" s="86">
        <f>SUMIFS('Wind Proxy'!$H$8:$H$19,'Wind Proxy'!$A$8:$A$19,Estimator!$B$4,'Wind Proxy'!$B$8:$B$19,C3257)</f>
        <v>0</v>
      </c>
    </row>
    <row r="3258" spans="1:10" ht="14.4">
      <c r="A3258" s="84">
        <v>48909</v>
      </c>
      <c r="B3258" s="85">
        <v>2033</v>
      </c>
      <c r="C3258" s="85">
        <v>11</v>
      </c>
      <c r="D3258" s="85" t="s">
        <v>76</v>
      </c>
      <c r="E3258" s="85">
        <v>26</v>
      </c>
      <c r="F3258" s="85">
        <v>6</v>
      </c>
      <c r="G3258" s="85">
        <f>--(F3258&lt;=Estimator!$B$7)</f>
        <v>0</v>
      </c>
      <c r="H3258" s="86">
        <f>SUMIFS('Climate Data'!$G$7:$G$366,'Climate Data'!$A$7:$A$366,Estimator!$B$4,'Climate Data'!$B$7:$B$366,C3258)</f>
        <v>0.23333333333333334</v>
      </c>
      <c r="I3258" s="87">
        <f>SUMIFS('Climate Data'!$H$7:$H$366,'Climate Data'!$A$7:$A$366,Estimator!$B$4,'Climate Data'!$B$7:$B$366,C3258)</f>
        <v>6.4428571428571431</v>
      </c>
      <c r="J3258" s="86">
        <f>SUMIFS('Wind Proxy'!$H$8:$H$19,'Wind Proxy'!$A$8:$A$19,Estimator!$B$4,'Wind Proxy'!$B$8:$B$19,C3258)</f>
        <v>0</v>
      </c>
    </row>
    <row r="3259" spans="1:10" ht="14.4">
      <c r="A3259" s="84">
        <v>48910</v>
      </c>
      <c r="B3259" s="85">
        <v>2033</v>
      </c>
      <c r="C3259" s="85">
        <v>11</v>
      </c>
      <c r="D3259" s="85" t="s">
        <v>76</v>
      </c>
      <c r="E3259" s="85">
        <v>27</v>
      </c>
      <c r="F3259" s="85">
        <v>7</v>
      </c>
      <c r="G3259" s="85">
        <f>--(F3259&lt;=Estimator!$B$7)</f>
        <v>0</v>
      </c>
      <c r="H3259" s="86">
        <f>SUMIFS('Climate Data'!$G$7:$G$366,'Climate Data'!$A$7:$A$366,Estimator!$B$4,'Climate Data'!$B$7:$B$366,C3259)</f>
        <v>0.23333333333333334</v>
      </c>
      <c r="I3259" s="87">
        <f>SUMIFS('Climate Data'!$H$7:$H$366,'Climate Data'!$A$7:$A$366,Estimator!$B$4,'Climate Data'!$B$7:$B$366,C3259)</f>
        <v>6.4428571428571431</v>
      </c>
      <c r="J3259" s="86">
        <f>SUMIFS('Wind Proxy'!$H$8:$H$19,'Wind Proxy'!$A$8:$A$19,Estimator!$B$4,'Wind Proxy'!$B$8:$B$19,C3259)</f>
        <v>0</v>
      </c>
    </row>
    <row r="3260" spans="1:10" ht="14.4">
      <c r="A3260" s="84">
        <v>48911</v>
      </c>
      <c r="B3260" s="85">
        <v>2033</v>
      </c>
      <c r="C3260" s="85">
        <v>11</v>
      </c>
      <c r="D3260" s="85" t="s">
        <v>76</v>
      </c>
      <c r="E3260" s="85">
        <v>28</v>
      </c>
      <c r="F3260" s="85">
        <v>1</v>
      </c>
      <c r="G3260" s="85">
        <f>--(F3260&lt;=Estimator!$B$7)</f>
        <v>1</v>
      </c>
      <c r="H3260" s="86">
        <f>SUMIFS('Climate Data'!$G$7:$G$366,'Climate Data'!$A$7:$A$366,Estimator!$B$4,'Climate Data'!$B$7:$B$366,C3260)</f>
        <v>0.23333333333333334</v>
      </c>
      <c r="I3260" s="87">
        <f>SUMIFS('Climate Data'!$H$7:$H$366,'Climate Data'!$A$7:$A$366,Estimator!$B$4,'Climate Data'!$B$7:$B$366,C3260)</f>
        <v>6.4428571428571431</v>
      </c>
      <c r="J3260" s="86">
        <f>SUMIFS('Wind Proxy'!$H$8:$H$19,'Wind Proxy'!$A$8:$A$19,Estimator!$B$4,'Wind Proxy'!$B$8:$B$19,C3260)</f>
        <v>0</v>
      </c>
    </row>
    <row r="3261" spans="1:10" ht="14.4">
      <c r="A3261" s="84">
        <v>48912</v>
      </c>
      <c r="B3261" s="85">
        <v>2033</v>
      </c>
      <c r="C3261" s="85">
        <v>11</v>
      </c>
      <c r="D3261" s="85" t="s">
        <v>76</v>
      </c>
      <c r="E3261" s="85">
        <v>29</v>
      </c>
      <c r="F3261" s="85">
        <v>2</v>
      </c>
      <c r="G3261" s="85">
        <f>--(F3261&lt;=Estimator!$B$7)</f>
        <v>1</v>
      </c>
      <c r="H3261" s="86">
        <f>SUMIFS('Climate Data'!$G$7:$G$366,'Climate Data'!$A$7:$A$366,Estimator!$B$4,'Climate Data'!$B$7:$B$366,C3261)</f>
        <v>0.23333333333333334</v>
      </c>
      <c r="I3261" s="87">
        <f>SUMIFS('Climate Data'!$H$7:$H$366,'Climate Data'!$A$7:$A$366,Estimator!$B$4,'Climate Data'!$B$7:$B$366,C3261)</f>
        <v>6.4428571428571431</v>
      </c>
      <c r="J3261" s="86">
        <f>SUMIFS('Wind Proxy'!$H$8:$H$19,'Wind Proxy'!$A$8:$A$19,Estimator!$B$4,'Wind Proxy'!$B$8:$B$19,C3261)</f>
        <v>0</v>
      </c>
    </row>
    <row r="3262" spans="1:10" ht="14.4">
      <c r="A3262" s="84">
        <v>48913</v>
      </c>
      <c r="B3262" s="85">
        <v>2033</v>
      </c>
      <c r="C3262" s="85">
        <v>11</v>
      </c>
      <c r="D3262" s="85" t="s">
        <v>76</v>
      </c>
      <c r="E3262" s="85">
        <v>30</v>
      </c>
      <c r="F3262" s="85">
        <v>3</v>
      </c>
      <c r="G3262" s="85">
        <f>--(F3262&lt;=Estimator!$B$7)</f>
        <v>1</v>
      </c>
      <c r="H3262" s="86">
        <f>SUMIFS('Climate Data'!$G$7:$G$366,'Climate Data'!$A$7:$A$366,Estimator!$B$4,'Climate Data'!$B$7:$B$366,C3262)</f>
        <v>0.23333333333333334</v>
      </c>
      <c r="I3262" s="87">
        <f>SUMIFS('Climate Data'!$H$7:$H$366,'Climate Data'!$A$7:$A$366,Estimator!$B$4,'Climate Data'!$B$7:$B$366,C3262)</f>
        <v>6.4428571428571431</v>
      </c>
      <c r="J3262" s="86">
        <f>SUMIFS('Wind Proxy'!$H$8:$H$19,'Wind Proxy'!$A$8:$A$19,Estimator!$B$4,'Wind Proxy'!$B$8:$B$19,C3262)</f>
        <v>0</v>
      </c>
    </row>
    <row r="3263" spans="1:10" ht="14.4">
      <c r="A3263" s="84">
        <v>48914</v>
      </c>
      <c r="B3263" s="85">
        <v>2033</v>
      </c>
      <c r="C3263" s="85">
        <v>12</v>
      </c>
      <c r="D3263" s="85" t="s">
        <v>77</v>
      </c>
      <c r="E3263" s="85">
        <v>1</v>
      </c>
      <c r="F3263" s="85">
        <v>4</v>
      </c>
      <c r="G3263" s="85">
        <f>--(F3263&lt;=Estimator!$B$7)</f>
        <v>1</v>
      </c>
      <c r="H3263" s="86">
        <f>SUMIFS('Climate Data'!$G$7:$G$366,'Climate Data'!$A$7:$A$366,Estimator!$B$4,'Climate Data'!$B$7:$B$366,C3263)</f>
        <v>0.22688172043010751</v>
      </c>
      <c r="I3263" s="87">
        <f>SUMIFS('Climate Data'!$H$7:$H$366,'Climate Data'!$A$7:$A$366,Estimator!$B$4,'Climate Data'!$B$7:$B$366,C3263)</f>
        <v>6.7962085308056865</v>
      </c>
      <c r="J3263" s="86">
        <f>SUMIFS('Wind Proxy'!$H$8:$H$19,'Wind Proxy'!$A$8:$A$19,Estimator!$B$4,'Wind Proxy'!$B$8:$B$19,C3263)</f>
        <v>0</v>
      </c>
    </row>
    <row r="3264" spans="1:10" ht="14.4">
      <c r="A3264" s="84">
        <v>48915</v>
      </c>
      <c r="B3264" s="85">
        <v>2033</v>
      </c>
      <c r="C3264" s="85">
        <v>12</v>
      </c>
      <c r="D3264" s="85" t="s">
        <v>77</v>
      </c>
      <c r="E3264" s="85">
        <v>2</v>
      </c>
      <c r="F3264" s="85">
        <v>5</v>
      </c>
      <c r="G3264" s="85">
        <f>--(F3264&lt;=Estimator!$B$7)</f>
        <v>1</v>
      </c>
      <c r="H3264" s="86">
        <f>SUMIFS('Climate Data'!$G$7:$G$366,'Climate Data'!$A$7:$A$366,Estimator!$B$4,'Climate Data'!$B$7:$B$366,C3264)</f>
        <v>0.22688172043010751</v>
      </c>
      <c r="I3264" s="87">
        <f>SUMIFS('Climate Data'!$H$7:$H$366,'Climate Data'!$A$7:$A$366,Estimator!$B$4,'Climate Data'!$B$7:$B$366,C3264)</f>
        <v>6.7962085308056865</v>
      </c>
      <c r="J3264" s="86">
        <f>SUMIFS('Wind Proxy'!$H$8:$H$19,'Wind Proxy'!$A$8:$A$19,Estimator!$B$4,'Wind Proxy'!$B$8:$B$19,C3264)</f>
        <v>0</v>
      </c>
    </row>
    <row r="3265" spans="1:10" ht="14.4">
      <c r="A3265" s="84">
        <v>48916</v>
      </c>
      <c r="B3265" s="85">
        <v>2033</v>
      </c>
      <c r="C3265" s="85">
        <v>12</v>
      </c>
      <c r="D3265" s="85" t="s">
        <v>77</v>
      </c>
      <c r="E3265" s="85">
        <v>3</v>
      </c>
      <c r="F3265" s="85">
        <v>6</v>
      </c>
      <c r="G3265" s="85">
        <f>--(F3265&lt;=Estimator!$B$7)</f>
        <v>0</v>
      </c>
      <c r="H3265" s="86">
        <f>SUMIFS('Climate Data'!$G$7:$G$366,'Climate Data'!$A$7:$A$366,Estimator!$B$4,'Climate Data'!$B$7:$B$366,C3265)</f>
        <v>0.22688172043010751</v>
      </c>
      <c r="I3265" s="87">
        <f>SUMIFS('Climate Data'!$H$7:$H$366,'Climate Data'!$A$7:$A$366,Estimator!$B$4,'Climate Data'!$B$7:$B$366,C3265)</f>
        <v>6.7962085308056865</v>
      </c>
      <c r="J3265" s="86">
        <f>SUMIFS('Wind Proxy'!$H$8:$H$19,'Wind Proxy'!$A$8:$A$19,Estimator!$B$4,'Wind Proxy'!$B$8:$B$19,C3265)</f>
        <v>0</v>
      </c>
    </row>
    <row r="3266" spans="1:10" ht="14.4">
      <c r="A3266" s="84">
        <v>48917</v>
      </c>
      <c r="B3266" s="85">
        <v>2033</v>
      </c>
      <c r="C3266" s="85">
        <v>12</v>
      </c>
      <c r="D3266" s="85" t="s">
        <v>77</v>
      </c>
      <c r="E3266" s="85">
        <v>4</v>
      </c>
      <c r="F3266" s="85">
        <v>7</v>
      </c>
      <c r="G3266" s="85">
        <f>--(F3266&lt;=Estimator!$B$7)</f>
        <v>0</v>
      </c>
      <c r="H3266" s="86">
        <f>SUMIFS('Climate Data'!$G$7:$G$366,'Climate Data'!$A$7:$A$366,Estimator!$B$4,'Climate Data'!$B$7:$B$366,C3266)</f>
        <v>0.22688172043010751</v>
      </c>
      <c r="I3266" s="87">
        <f>SUMIFS('Climate Data'!$H$7:$H$366,'Climate Data'!$A$7:$A$366,Estimator!$B$4,'Climate Data'!$B$7:$B$366,C3266)</f>
        <v>6.7962085308056865</v>
      </c>
      <c r="J3266" s="86">
        <f>SUMIFS('Wind Proxy'!$H$8:$H$19,'Wind Proxy'!$A$8:$A$19,Estimator!$B$4,'Wind Proxy'!$B$8:$B$19,C3266)</f>
        <v>0</v>
      </c>
    </row>
    <row r="3267" spans="1:10" ht="14.4">
      <c r="A3267" s="84">
        <v>48918</v>
      </c>
      <c r="B3267" s="85">
        <v>2033</v>
      </c>
      <c r="C3267" s="85">
        <v>12</v>
      </c>
      <c r="D3267" s="85" t="s">
        <v>77</v>
      </c>
      <c r="E3267" s="85">
        <v>5</v>
      </c>
      <c r="F3267" s="85">
        <v>1</v>
      </c>
      <c r="G3267" s="85">
        <f>--(F3267&lt;=Estimator!$B$7)</f>
        <v>1</v>
      </c>
      <c r="H3267" s="86">
        <f>SUMIFS('Climate Data'!$G$7:$G$366,'Climate Data'!$A$7:$A$366,Estimator!$B$4,'Climate Data'!$B$7:$B$366,C3267)</f>
        <v>0.22688172043010751</v>
      </c>
      <c r="I3267" s="87">
        <f>SUMIFS('Climate Data'!$H$7:$H$366,'Climate Data'!$A$7:$A$366,Estimator!$B$4,'Climate Data'!$B$7:$B$366,C3267)</f>
        <v>6.7962085308056865</v>
      </c>
      <c r="J3267" s="86">
        <f>SUMIFS('Wind Proxy'!$H$8:$H$19,'Wind Proxy'!$A$8:$A$19,Estimator!$B$4,'Wind Proxy'!$B$8:$B$19,C3267)</f>
        <v>0</v>
      </c>
    </row>
    <row r="3268" spans="1:10" ht="14.4">
      <c r="A3268" s="84">
        <v>48919</v>
      </c>
      <c r="B3268" s="85">
        <v>2033</v>
      </c>
      <c r="C3268" s="85">
        <v>12</v>
      </c>
      <c r="D3268" s="85" t="s">
        <v>77</v>
      </c>
      <c r="E3268" s="85">
        <v>6</v>
      </c>
      <c r="F3268" s="85">
        <v>2</v>
      </c>
      <c r="G3268" s="85">
        <f>--(F3268&lt;=Estimator!$B$7)</f>
        <v>1</v>
      </c>
      <c r="H3268" s="86">
        <f>SUMIFS('Climate Data'!$G$7:$G$366,'Climate Data'!$A$7:$A$366,Estimator!$B$4,'Climate Data'!$B$7:$B$366,C3268)</f>
        <v>0.22688172043010751</v>
      </c>
      <c r="I3268" s="87">
        <f>SUMIFS('Climate Data'!$H$7:$H$366,'Climate Data'!$A$7:$A$366,Estimator!$B$4,'Climate Data'!$B$7:$B$366,C3268)</f>
        <v>6.7962085308056865</v>
      </c>
      <c r="J3268" s="86">
        <f>SUMIFS('Wind Proxy'!$H$8:$H$19,'Wind Proxy'!$A$8:$A$19,Estimator!$B$4,'Wind Proxy'!$B$8:$B$19,C3268)</f>
        <v>0</v>
      </c>
    </row>
    <row r="3269" spans="1:10" ht="14.4">
      <c r="A3269" s="84">
        <v>48920</v>
      </c>
      <c r="B3269" s="85">
        <v>2033</v>
      </c>
      <c r="C3269" s="85">
        <v>12</v>
      </c>
      <c r="D3269" s="85" t="s">
        <v>77</v>
      </c>
      <c r="E3269" s="85">
        <v>7</v>
      </c>
      <c r="F3269" s="85">
        <v>3</v>
      </c>
      <c r="G3269" s="85">
        <f>--(F3269&lt;=Estimator!$B$7)</f>
        <v>1</v>
      </c>
      <c r="H3269" s="86">
        <f>SUMIFS('Climate Data'!$G$7:$G$366,'Climate Data'!$A$7:$A$366,Estimator!$B$4,'Climate Data'!$B$7:$B$366,C3269)</f>
        <v>0.22688172043010751</v>
      </c>
      <c r="I3269" s="87">
        <f>SUMIFS('Climate Data'!$H$7:$H$366,'Climate Data'!$A$7:$A$366,Estimator!$B$4,'Climate Data'!$B$7:$B$366,C3269)</f>
        <v>6.7962085308056865</v>
      </c>
      <c r="J3269" s="86">
        <f>SUMIFS('Wind Proxy'!$H$8:$H$19,'Wind Proxy'!$A$8:$A$19,Estimator!$B$4,'Wind Proxy'!$B$8:$B$19,C3269)</f>
        <v>0</v>
      </c>
    </row>
    <row r="3270" spans="1:10" ht="14.4">
      <c r="A3270" s="84">
        <v>48921</v>
      </c>
      <c r="B3270" s="85">
        <v>2033</v>
      </c>
      <c r="C3270" s="85">
        <v>12</v>
      </c>
      <c r="D3270" s="85" t="s">
        <v>77</v>
      </c>
      <c r="E3270" s="85">
        <v>8</v>
      </c>
      <c r="F3270" s="85">
        <v>4</v>
      </c>
      <c r="G3270" s="85">
        <f>--(F3270&lt;=Estimator!$B$7)</f>
        <v>1</v>
      </c>
      <c r="H3270" s="86">
        <f>SUMIFS('Climate Data'!$G$7:$G$366,'Climate Data'!$A$7:$A$366,Estimator!$B$4,'Climate Data'!$B$7:$B$366,C3270)</f>
        <v>0.22688172043010751</v>
      </c>
      <c r="I3270" s="87">
        <f>SUMIFS('Climate Data'!$H$7:$H$366,'Climate Data'!$A$7:$A$366,Estimator!$B$4,'Climate Data'!$B$7:$B$366,C3270)</f>
        <v>6.7962085308056865</v>
      </c>
      <c r="J3270" s="86">
        <f>SUMIFS('Wind Proxy'!$H$8:$H$19,'Wind Proxy'!$A$8:$A$19,Estimator!$B$4,'Wind Proxy'!$B$8:$B$19,C3270)</f>
        <v>0</v>
      </c>
    </row>
    <row r="3271" spans="1:10" ht="14.4">
      <c r="A3271" s="84">
        <v>48922</v>
      </c>
      <c r="B3271" s="85">
        <v>2033</v>
      </c>
      <c r="C3271" s="85">
        <v>12</v>
      </c>
      <c r="D3271" s="85" t="s">
        <v>77</v>
      </c>
      <c r="E3271" s="85">
        <v>9</v>
      </c>
      <c r="F3271" s="85">
        <v>5</v>
      </c>
      <c r="G3271" s="85">
        <f>--(F3271&lt;=Estimator!$B$7)</f>
        <v>1</v>
      </c>
      <c r="H3271" s="86">
        <f>SUMIFS('Climate Data'!$G$7:$G$366,'Climate Data'!$A$7:$A$366,Estimator!$B$4,'Climate Data'!$B$7:$B$366,C3271)</f>
        <v>0.22688172043010751</v>
      </c>
      <c r="I3271" s="87">
        <f>SUMIFS('Climate Data'!$H$7:$H$366,'Climate Data'!$A$7:$A$366,Estimator!$B$4,'Climate Data'!$B$7:$B$366,C3271)</f>
        <v>6.7962085308056865</v>
      </c>
      <c r="J3271" s="86">
        <f>SUMIFS('Wind Proxy'!$H$8:$H$19,'Wind Proxy'!$A$8:$A$19,Estimator!$B$4,'Wind Proxy'!$B$8:$B$19,C3271)</f>
        <v>0</v>
      </c>
    </row>
    <row r="3272" spans="1:10" ht="14.4">
      <c r="A3272" s="84">
        <v>48923</v>
      </c>
      <c r="B3272" s="85">
        <v>2033</v>
      </c>
      <c r="C3272" s="85">
        <v>12</v>
      </c>
      <c r="D3272" s="85" t="s">
        <v>77</v>
      </c>
      <c r="E3272" s="85">
        <v>10</v>
      </c>
      <c r="F3272" s="85">
        <v>6</v>
      </c>
      <c r="G3272" s="85">
        <f>--(F3272&lt;=Estimator!$B$7)</f>
        <v>0</v>
      </c>
      <c r="H3272" s="86">
        <f>SUMIFS('Climate Data'!$G$7:$G$366,'Climate Data'!$A$7:$A$366,Estimator!$B$4,'Climate Data'!$B$7:$B$366,C3272)</f>
        <v>0.22688172043010751</v>
      </c>
      <c r="I3272" s="87">
        <f>SUMIFS('Climate Data'!$H$7:$H$366,'Climate Data'!$A$7:$A$366,Estimator!$B$4,'Climate Data'!$B$7:$B$366,C3272)</f>
        <v>6.7962085308056865</v>
      </c>
      <c r="J3272" s="86">
        <f>SUMIFS('Wind Proxy'!$H$8:$H$19,'Wind Proxy'!$A$8:$A$19,Estimator!$B$4,'Wind Proxy'!$B$8:$B$19,C3272)</f>
        <v>0</v>
      </c>
    </row>
    <row r="3273" spans="1:10" ht="14.4">
      <c r="A3273" s="84">
        <v>48924</v>
      </c>
      <c r="B3273" s="85">
        <v>2033</v>
      </c>
      <c r="C3273" s="85">
        <v>12</v>
      </c>
      <c r="D3273" s="85" t="s">
        <v>77</v>
      </c>
      <c r="E3273" s="85">
        <v>11</v>
      </c>
      <c r="F3273" s="85">
        <v>7</v>
      </c>
      <c r="G3273" s="85">
        <f>--(F3273&lt;=Estimator!$B$7)</f>
        <v>0</v>
      </c>
      <c r="H3273" s="86">
        <f>SUMIFS('Climate Data'!$G$7:$G$366,'Climate Data'!$A$7:$A$366,Estimator!$B$4,'Climate Data'!$B$7:$B$366,C3273)</f>
        <v>0.22688172043010751</v>
      </c>
      <c r="I3273" s="87">
        <f>SUMIFS('Climate Data'!$H$7:$H$366,'Climate Data'!$A$7:$A$366,Estimator!$B$4,'Climate Data'!$B$7:$B$366,C3273)</f>
        <v>6.7962085308056865</v>
      </c>
      <c r="J3273" s="86">
        <f>SUMIFS('Wind Proxy'!$H$8:$H$19,'Wind Proxy'!$A$8:$A$19,Estimator!$B$4,'Wind Proxy'!$B$8:$B$19,C3273)</f>
        <v>0</v>
      </c>
    </row>
    <row r="3274" spans="1:10" ht="14.4">
      <c r="A3274" s="84">
        <v>48925</v>
      </c>
      <c r="B3274" s="85">
        <v>2033</v>
      </c>
      <c r="C3274" s="85">
        <v>12</v>
      </c>
      <c r="D3274" s="85" t="s">
        <v>77</v>
      </c>
      <c r="E3274" s="85">
        <v>12</v>
      </c>
      <c r="F3274" s="85">
        <v>1</v>
      </c>
      <c r="G3274" s="85">
        <f>--(F3274&lt;=Estimator!$B$7)</f>
        <v>1</v>
      </c>
      <c r="H3274" s="86">
        <f>SUMIFS('Climate Data'!$G$7:$G$366,'Climate Data'!$A$7:$A$366,Estimator!$B$4,'Climate Data'!$B$7:$B$366,C3274)</f>
        <v>0.22688172043010751</v>
      </c>
      <c r="I3274" s="87">
        <f>SUMIFS('Climate Data'!$H$7:$H$366,'Climate Data'!$A$7:$A$366,Estimator!$B$4,'Climate Data'!$B$7:$B$366,C3274)</f>
        <v>6.7962085308056865</v>
      </c>
      <c r="J3274" s="86">
        <f>SUMIFS('Wind Proxy'!$H$8:$H$19,'Wind Proxy'!$A$8:$A$19,Estimator!$B$4,'Wind Proxy'!$B$8:$B$19,C3274)</f>
        <v>0</v>
      </c>
    </row>
    <row r="3275" spans="1:10" ht="14.4">
      <c r="A3275" s="84">
        <v>48926</v>
      </c>
      <c r="B3275" s="85">
        <v>2033</v>
      </c>
      <c r="C3275" s="85">
        <v>12</v>
      </c>
      <c r="D3275" s="85" t="s">
        <v>77</v>
      </c>
      <c r="E3275" s="85">
        <v>13</v>
      </c>
      <c r="F3275" s="85">
        <v>2</v>
      </c>
      <c r="G3275" s="85">
        <f>--(F3275&lt;=Estimator!$B$7)</f>
        <v>1</v>
      </c>
      <c r="H3275" s="86">
        <f>SUMIFS('Climate Data'!$G$7:$G$366,'Climate Data'!$A$7:$A$366,Estimator!$B$4,'Climate Data'!$B$7:$B$366,C3275)</f>
        <v>0.22688172043010751</v>
      </c>
      <c r="I3275" s="87">
        <f>SUMIFS('Climate Data'!$H$7:$H$366,'Climate Data'!$A$7:$A$366,Estimator!$B$4,'Climate Data'!$B$7:$B$366,C3275)</f>
        <v>6.7962085308056865</v>
      </c>
      <c r="J3275" s="86">
        <f>SUMIFS('Wind Proxy'!$H$8:$H$19,'Wind Proxy'!$A$8:$A$19,Estimator!$B$4,'Wind Proxy'!$B$8:$B$19,C3275)</f>
        <v>0</v>
      </c>
    </row>
    <row r="3276" spans="1:10" ht="14.4">
      <c r="A3276" s="84">
        <v>48927</v>
      </c>
      <c r="B3276" s="85">
        <v>2033</v>
      </c>
      <c r="C3276" s="85">
        <v>12</v>
      </c>
      <c r="D3276" s="85" t="s">
        <v>77</v>
      </c>
      <c r="E3276" s="85">
        <v>14</v>
      </c>
      <c r="F3276" s="85">
        <v>3</v>
      </c>
      <c r="G3276" s="85">
        <f>--(F3276&lt;=Estimator!$B$7)</f>
        <v>1</v>
      </c>
      <c r="H3276" s="86">
        <f>SUMIFS('Climate Data'!$G$7:$G$366,'Climate Data'!$A$7:$A$366,Estimator!$B$4,'Climate Data'!$B$7:$B$366,C3276)</f>
        <v>0.22688172043010751</v>
      </c>
      <c r="I3276" s="87">
        <f>SUMIFS('Climate Data'!$H$7:$H$366,'Climate Data'!$A$7:$A$366,Estimator!$B$4,'Climate Data'!$B$7:$B$366,C3276)</f>
        <v>6.7962085308056865</v>
      </c>
      <c r="J3276" s="86">
        <f>SUMIFS('Wind Proxy'!$H$8:$H$19,'Wind Proxy'!$A$8:$A$19,Estimator!$B$4,'Wind Proxy'!$B$8:$B$19,C3276)</f>
        <v>0</v>
      </c>
    </row>
    <row r="3277" spans="1:10" ht="14.4">
      <c r="A3277" s="84">
        <v>48928</v>
      </c>
      <c r="B3277" s="85">
        <v>2033</v>
      </c>
      <c r="C3277" s="85">
        <v>12</v>
      </c>
      <c r="D3277" s="85" t="s">
        <v>77</v>
      </c>
      <c r="E3277" s="85">
        <v>15</v>
      </c>
      <c r="F3277" s="85">
        <v>4</v>
      </c>
      <c r="G3277" s="85">
        <f>--(F3277&lt;=Estimator!$B$7)</f>
        <v>1</v>
      </c>
      <c r="H3277" s="86">
        <f>SUMIFS('Climate Data'!$G$7:$G$366,'Climate Data'!$A$7:$A$366,Estimator!$B$4,'Climate Data'!$B$7:$B$366,C3277)</f>
        <v>0.22688172043010751</v>
      </c>
      <c r="I3277" s="87">
        <f>SUMIFS('Climate Data'!$H$7:$H$366,'Climate Data'!$A$7:$A$366,Estimator!$B$4,'Climate Data'!$B$7:$B$366,C3277)</f>
        <v>6.7962085308056865</v>
      </c>
      <c r="J3277" s="86">
        <f>SUMIFS('Wind Proxy'!$H$8:$H$19,'Wind Proxy'!$A$8:$A$19,Estimator!$B$4,'Wind Proxy'!$B$8:$B$19,C3277)</f>
        <v>0</v>
      </c>
    </row>
    <row r="3278" spans="1:10" ht="14.4">
      <c r="A3278" s="84">
        <v>48929</v>
      </c>
      <c r="B3278" s="85">
        <v>2033</v>
      </c>
      <c r="C3278" s="85">
        <v>12</v>
      </c>
      <c r="D3278" s="85" t="s">
        <v>77</v>
      </c>
      <c r="E3278" s="85">
        <v>16</v>
      </c>
      <c r="F3278" s="85">
        <v>5</v>
      </c>
      <c r="G3278" s="85">
        <f>--(F3278&lt;=Estimator!$B$7)</f>
        <v>1</v>
      </c>
      <c r="H3278" s="86">
        <f>SUMIFS('Climate Data'!$G$7:$G$366,'Climate Data'!$A$7:$A$366,Estimator!$B$4,'Climate Data'!$B$7:$B$366,C3278)</f>
        <v>0.22688172043010751</v>
      </c>
      <c r="I3278" s="87">
        <f>SUMIFS('Climate Data'!$H$7:$H$366,'Climate Data'!$A$7:$A$366,Estimator!$B$4,'Climate Data'!$B$7:$B$366,C3278)</f>
        <v>6.7962085308056865</v>
      </c>
      <c r="J3278" s="86">
        <f>SUMIFS('Wind Proxy'!$H$8:$H$19,'Wind Proxy'!$A$8:$A$19,Estimator!$B$4,'Wind Proxy'!$B$8:$B$19,C3278)</f>
        <v>0</v>
      </c>
    </row>
    <row r="3279" spans="1:10" ht="14.4">
      <c r="A3279" s="84">
        <v>48930</v>
      </c>
      <c r="B3279" s="85">
        <v>2033</v>
      </c>
      <c r="C3279" s="85">
        <v>12</v>
      </c>
      <c r="D3279" s="85" t="s">
        <v>77</v>
      </c>
      <c r="E3279" s="85">
        <v>17</v>
      </c>
      <c r="F3279" s="85">
        <v>6</v>
      </c>
      <c r="G3279" s="85">
        <f>--(F3279&lt;=Estimator!$B$7)</f>
        <v>0</v>
      </c>
      <c r="H3279" s="86">
        <f>SUMIFS('Climate Data'!$G$7:$G$366,'Climate Data'!$A$7:$A$366,Estimator!$B$4,'Climate Data'!$B$7:$B$366,C3279)</f>
        <v>0.22688172043010751</v>
      </c>
      <c r="I3279" s="87">
        <f>SUMIFS('Climate Data'!$H$7:$H$366,'Climate Data'!$A$7:$A$366,Estimator!$B$4,'Climate Data'!$B$7:$B$366,C3279)</f>
        <v>6.7962085308056865</v>
      </c>
      <c r="J3279" s="86">
        <f>SUMIFS('Wind Proxy'!$H$8:$H$19,'Wind Proxy'!$A$8:$A$19,Estimator!$B$4,'Wind Proxy'!$B$8:$B$19,C3279)</f>
        <v>0</v>
      </c>
    </row>
    <row r="3280" spans="1:10" ht="14.4">
      <c r="A3280" s="84">
        <v>48931</v>
      </c>
      <c r="B3280" s="85">
        <v>2033</v>
      </c>
      <c r="C3280" s="85">
        <v>12</v>
      </c>
      <c r="D3280" s="85" t="s">
        <v>77</v>
      </c>
      <c r="E3280" s="85">
        <v>18</v>
      </c>
      <c r="F3280" s="85">
        <v>7</v>
      </c>
      <c r="G3280" s="85">
        <f>--(F3280&lt;=Estimator!$B$7)</f>
        <v>0</v>
      </c>
      <c r="H3280" s="86">
        <f>SUMIFS('Climate Data'!$G$7:$G$366,'Climate Data'!$A$7:$A$366,Estimator!$B$4,'Climate Data'!$B$7:$B$366,C3280)</f>
        <v>0.22688172043010751</v>
      </c>
      <c r="I3280" s="87">
        <f>SUMIFS('Climate Data'!$H$7:$H$366,'Climate Data'!$A$7:$A$366,Estimator!$B$4,'Climate Data'!$B$7:$B$366,C3280)</f>
        <v>6.7962085308056865</v>
      </c>
      <c r="J3280" s="86">
        <f>SUMIFS('Wind Proxy'!$H$8:$H$19,'Wind Proxy'!$A$8:$A$19,Estimator!$B$4,'Wind Proxy'!$B$8:$B$19,C3280)</f>
        <v>0</v>
      </c>
    </row>
    <row r="3281" spans="1:10" ht="14.4">
      <c r="A3281" s="84">
        <v>48932</v>
      </c>
      <c r="B3281" s="85">
        <v>2033</v>
      </c>
      <c r="C3281" s="85">
        <v>12</v>
      </c>
      <c r="D3281" s="85" t="s">
        <v>77</v>
      </c>
      <c r="E3281" s="85">
        <v>19</v>
      </c>
      <c r="F3281" s="85">
        <v>1</v>
      </c>
      <c r="G3281" s="85">
        <f>--(F3281&lt;=Estimator!$B$7)</f>
        <v>1</v>
      </c>
      <c r="H3281" s="86">
        <f>SUMIFS('Climate Data'!$G$7:$G$366,'Climate Data'!$A$7:$A$366,Estimator!$B$4,'Climate Data'!$B$7:$B$366,C3281)</f>
        <v>0.22688172043010751</v>
      </c>
      <c r="I3281" s="87">
        <f>SUMIFS('Climate Data'!$H$7:$H$366,'Climate Data'!$A$7:$A$366,Estimator!$B$4,'Climate Data'!$B$7:$B$366,C3281)</f>
        <v>6.7962085308056865</v>
      </c>
      <c r="J3281" s="86">
        <f>SUMIFS('Wind Proxy'!$H$8:$H$19,'Wind Proxy'!$A$8:$A$19,Estimator!$B$4,'Wind Proxy'!$B$8:$B$19,C3281)</f>
        <v>0</v>
      </c>
    </row>
    <row r="3282" spans="1:10" ht="14.4">
      <c r="A3282" s="84">
        <v>48933</v>
      </c>
      <c r="B3282" s="85">
        <v>2033</v>
      </c>
      <c r="C3282" s="85">
        <v>12</v>
      </c>
      <c r="D3282" s="85" t="s">
        <v>77</v>
      </c>
      <c r="E3282" s="85">
        <v>20</v>
      </c>
      <c r="F3282" s="85">
        <v>2</v>
      </c>
      <c r="G3282" s="85">
        <f>--(F3282&lt;=Estimator!$B$7)</f>
        <v>1</v>
      </c>
      <c r="H3282" s="86">
        <f>SUMIFS('Climate Data'!$G$7:$G$366,'Climate Data'!$A$7:$A$366,Estimator!$B$4,'Climate Data'!$B$7:$B$366,C3282)</f>
        <v>0.22688172043010751</v>
      </c>
      <c r="I3282" s="87">
        <f>SUMIFS('Climate Data'!$H$7:$H$366,'Climate Data'!$A$7:$A$366,Estimator!$B$4,'Climate Data'!$B$7:$B$366,C3282)</f>
        <v>6.7962085308056865</v>
      </c>
      <c r="J3282" s="86">
        <f>SUMIFS('Wind Proxy'!$H$8:$H$19,'Wind Proxy'!$A$8:$A$19,Estimator!$B$4,'Wind Proxy'!$B$8:$B$19,C3282)</f>
        <v>0</v>
      </c>
    </row>
    <row r="3283" spans="1:10" ht="14.4">
      <c r="A3283" s="84">
        <v>48934</v>
      </c>
      <c r="B3283" s="85">
        <v>2033</v>
      </c>
      <c r="C3283" s="85">
        <v>12</v>
      </c>
      <c r="D3283" s="85" t="s">
        <v>77</v>
      </c>
      <c r="E3283" s="85">
        <v>21</v>
      </c>
      <c r="F3283" s="85">
        <v>3</v>
      </c>
      <c r="G3283" s="85">
        <f>--(F3283&lt;=Estimator!$B$7)</f>
        <v>1</v>
      </c>
      <c r="H3283" s="86">
        <f>SUMIFS('Climate Data'!$G$7:$G$366,'Climate Data'!$A$7:$A$366,Estimator!$B$4,'Climate Data'!$B$7:$B$366,C3283)</f>
        <v>0.22688172043010751</v>
      </c>
      <c r="I3283" s="87">
        <f>SUMIFS('Climate Data'!$H$7:$H$366,'Climate Data'!$A$7:$A$366,Estimator!$B$4,'Climate Data'!$B$7:$B$366,C3283)</f>
        <v>6.7962085308056865</v>
      </c>
      <c r="J3283" s="86">
        <f>SUMIFS('Wind Proxy'!$H$8:$H$19,'Wind Proxy'!$A$8:$A$19,Estimator!$B$4,'Wind Proxy'!$B$8:$B$19,C3283)</f>
        <v>0</v>
      </c>
    </row>
    <row r="3284" spans="1:10" ht="14.4">
      <c r="A3284" s="84">
        <v>48935</v>
      </c>
      <c r="B3284" s="85">
        <v>2033</v>
      </c>
      <c r="C3284" s="85">
        <v>12</v>
      </c>
      <c r="D3284" s="85" t="s">
        <v>77</v>
      </c>
      <c r="E3284" s="85">
        <v>22</v>
      </c>
      <c r="F3284" s="85">
        <v>4</v>
      </c>
      <c r="G3284" s="85">
        <f>--(F3284&lt;=Estimator!$B$7)</f>
        <v>1</v>
      </c>
      <c r="H3284" s="86">
        <f>SUMIFS('Climate Data'!$G$7:$G$366,'Climate Data'!$A$7:$A$366,Estimator!$B$4,'Climate Data'!$B$7:$B$366,C3284)</f>
        <v>0.22688172043010751</v>
      </c>
      <c r="I3284" s="87">
        <f>SUMIFS('Climate Data'!$H$7:$H$366,'Climate Data'!$A$7:$A$366,Estimator!$B$4,'Climate Data'!$B$7:$B$366,C3284)</f>
        <v>6.7962085308056865</v>
      </c>
      <c r="J3284" s="86">
        <f>SUMIFS('Wind Proxy'!$H$8:$H$19,'Wind Proxy'!$A$8:$A$19,Estimator!$B$4,'Wind Proxy'!$B$8:$B$19,C3284)</f>
        <v>0</v>
      </c>
    </row>
    <row r="3285" spans="1:10" ht="14.4">
      <c r="A3285" s="84">
        <v>48936</v>
      </c>
      <c r="B3285" s="85">
        <v>2033</v>
      </c>
      <c r="C3285" s="85">
        <v>12</v>
      </c>
      <c r="D3285" s="85" t="s">
        <v>77</v>
      </c>
      <c r="E3285" s="85">
        <v>23</v>
      </c>
      <c r="F3285" s="85">
        <v>5</v>
      </c>
      <c r="G3285" s="85">
        <f>--(F3285&lt;=Estimator!$B$7)</f>
        <v>1</v>
      </c>
      <c r="H3285" s="86">
        <f>SUMIFS('Climate Data'!$G$7:$G$366,'Climate Data'!$A$7:$A$366,Estimator!$B$4,'Climate Data'!$B$7:$B$366,C3285)</f>
        <v>0.22688172043010751</v>
      </c>
      <c r="I3285" s="87">
        <f>SUMIFS('Climate Data'!$H$7:$H$366,'Climate Data'!$A$7:$A$366,Estimator!$B$4,'Climate Data'!$B$7:$B$366,C3285)</f>
        <v>6.7962085308056865</v>
      </c>
      <c r="J3285" s="86">
        <f>SUMIFS('Wind Proxy'!$H$8:$H$19,'Wind Proxy'!$A$8:$A$19,Estimator!$B$4,'Wind Proxy'!$B$8:$B$19,C3285)</f>
        <v>0</v>
      </c>
    </row>
    <row r="3286" spans="1:10" ht="14.4">
      <c r="A3286" s="84">
        <v>48937</v>
      </c>
      <c r="B3286" s="85">
        <v>2033</v>
      </c>
      <c r="C3286" s="85">
        <v>12</v>
      </c>
      <c r="D3286" s="85" t="s">
        <v>77</v>
      </c>
      <c r="E3286" s="85">
        <v>24</v>
      </c>
      <c r="F3286" s="85">
        <v>6</v>
      </c>
      <c r="G3286" s="85">
        <f>--(F3286&lt;=Estimator!$B$7)</f>
        <v>0</v>
      </c>
      <c r="H3286" s="86">
        <f>SUMIFS('Climate Data'!$G$7:$G$366,'Climate Data'!$A$7:$A$366,Estimator!$B$4,'Climate Data'!$B$7:$B$366,C3286)</f>
        <v>0.22688172043010751</v>
      </c>
      <c r="I3286" s="87">
        <f>SUMIFS('Climate Data'!$H$7:$H$366,'Climate Data'!$A$7:$A$366,Estimator!$B$4,'Climate Data'!$B$7:$B$366,C3286)</f>
        <v>6.7962085308056865</v>
      </c>
      <c r="J3286" s="86">
        <f>SUMIFS('Wind Proxy'!$H$8:$H$19,'Wind Proxy'!$A$8:$A$19,Estimator!$B$4,'Wind Proxy'!$B$8:$B$19,C3286)</f>
        <v>0</v>
      </c>
    </row>
    <row r="3287" spans="1:10" ht="14.4">
      <c r="A3287" s="84">
        <v>48938</v>
      </c>
      <c r="B3287" s="85">
        <v>2033</v>
      </c>
      <c r="C3287" s="85">
        <v>12</v>
      </c>
      <c r="D3287" s="85" t="s">
        <v>77</v>
      </c>
      <c r="E3287" s="85">
        <v>25</v>
      </c>
      <c r="F3287" s="85">
        <v>7</v>
      </c>
      <c r="G3287" s="85">
        <f>--(F3287&lt;=Estimator!$B$7)</f>
        <v>0</v>
      </c>
      <c r="H3287" s="86">
        <f>SUMIFS('Climate Data'!$G$7:$G$366,'Climate Data'!$A$7:$A$366,Estimator!$B$4,'Climate Data'!$B$7:$B$366,C3287)</f>
        <v>0.22688172043010751</v>
      </c>
      <c r="I3287" s="87">
        <f>SUMIFS('Climate Data'!$H$7:$H$366,'Climate Data'!$A$7:$A$366,Estimator!$B$4,'Climate Data'!$B$7:$B$366,C3287)</f>
        <v>6.7962085308056865</v>
      </c>
      <c r="J3287" s="86">
        <f>SUMIFS('Wind Proxy'!$H$8:$H$19,'Wind Proxy'!$A$8:$A$19,Estimator!$B$4,'Wind Proxy'!$B$8:$B$19,C3287)</f>
        <v>0</v>
      </c>
    </row>
    <row r="3288" spans="1:10" ht="14.4">
      <c r="A3288" s="84">
        <v>48939</v>
      </c>
      <c r="B3288" s="85">
        <v>2033</v>
      </c>
      <c r="C3288" s="85">
        <v>12</v>
      </c>
      <c r="D3288" s="85" t="s">
        <v>77</v>
      </c>
      <c r="E3288" s="85">
        <v>26</v>
      </c>
      <c r="F3288" s="85">
        <v>1</v>
      </c>
      <c r="G3288" s="85">
        <f>--(F3288&lt;=Estimator!$B$7)</f>
        <v>1</v>
      </c>
      <c r="H3288" s="86">
        <f>SUMIFS('Climate Data'!$G$7:$G$366,'Climate Data'!$A$7:$A$366,Estimator!$B$4,'Climate Data'!$B$7:$B$366,C3288)</f>
        <v>0.22688172043010751</v>
      </c>
      <c r="I3288" s="87">
        <f>SUMIFS('Climate Data'!$H$7:$H$366,'Climate Data'!$A$7:$A$366,Estimator!$B$4,'Climate Data'!$B$7:$B$366,C3288)</f>
        <v>6.7962085308056865</v>
      </c>
      <c r="J3288" s="86">
        <f>SUMIFS('Wind Proxy'!$H$8:$H$19,'Wind Proxy'!$A$8:$A$19,Estimator!$B$4,'Wind Proxy'!$B$8:$B$19,C3288)</f>
        <v>0</v>
      </c>
    </row>
    <row r="3289" spans="1:10" ht="14.4">
      <c r="A3289" s="84">
        <v>48940</v>
      </c>
      <c r="B3289" s="85">
        <v>2033</v>
      </c>
      <c r="C3289" s="85">
        <v>12</v>
      </c>
      <c r="D3289" s="85" t="s">
        <v>77</v>
      </c>
      <c r="E3289" s="85">
        <v>27</v>
      </c>
      <c r="F3289" s="85">
        <v>2</v>
      </c>
      <c r="G3289" s="85">
        <f>--(F3289&lt;=Estimator!$B$7)</f>
        <v>1</v>
      </c>
      <c r="H3289" s="86">
        <f>SUMIFS('Climate Data'!$G$7:$G$366,'Climate Data'!$A$7:$A$366,Estimator!$B$4,'Climate Data'!$B$7:$B$366,C3289)</f>
        <v>0.22688172043010751</v>
      </c>
      <c r="I3289" s="87">
        <f>SUMIFS('Climate Data'!$H$7:$H$366,'Climate Data'!$A$7:$A$366,Estimator!$B$4,'Climate Data'!$B$7:$B$366,C3289)</f>
        <v>6.7962085308056865</v>
      </c>
      <c r="J3289" s="86">
        <f>SUMIFS('Wind Proxy'!$H$8:$H$19,'Wind Proxy'!$A$8:$A$19,Estimator!$B$4,'Wind Proxy'!$B$8:$B$19,C3289)</f>
        <v>0</v>
      </c>
    </row>
    <row r="3290" spans="1:10" ht="14.4">
      <c r="A3290" s="84">
        <v>48941</v>
      </c>
      <c r="B3290" s="85">
        <v>2033</v>
      </c>
      <c r="C3290" s="85">
        <v>12</v>
      </c>
      <c r="D3290" s="85" t="s">
        <v>77</v>
      </c>
      <c r="E3290" s="85">
        <v>28</v>
      </c>
      <c r="F3290" s="85">
        <v>3</v>
      </c>
      <c r="G3290" s="85">
        <f>--(F3290&lt;=Estimator!$B$7)</f>
        <v>1</v>
      </c>
      <c r="H3290" s="86">
        <f>SUMIFS('Climate Data'!$G$7:$G$366,'Climate Data'!$A$7:$A$366,Estimator!$B$4,'Climate Data'!$B$7:$B$366,C3290)</f>
        <v>0.22688172043010751</v>
      </c>
      <c r="I3290" s="87">
        <f>SUMIFS('Climate Data'!$H$7:$H$366,'Climate Data'!$A$7:$A$366,Estimator!$B$4,'Climate Data'!$B$7:$B$366,C3290)</f>
        <v>6.7962085308056865</v>
      </c>
      <c r="J3290" s="86">
        <f>SUMIFS('Wind Proxy'!$H$8:$H$19,'Wind Proxy'!$A$8:$A$19,Estimator!$B$4,'Wind Proxy'!$B$8:$B$19,C3290)</f>
        <v>0</v>
      </c>
    </row>
    <row r="3291" spans="1:10" ht="14.4">
      <c r="A3291" s="84">
        <v>48942</v>
      </c>
      <c r="B3291" s="85">
        <v>2033</v>
      </c>
      <c r="C3291" s="85">
        <v>12</v>
      </c>
      <c r="D3291" s="85" t="s">
        <v>77</v>
      </c>
      <c r="E3291" s="85">
        <v>29</v>
      </c>
      <c r="F3291" s="85">
        <v>4</v>
      </c>
      <c r="G3291" s="85">
        <f>--(F3291&lt;=Estimator!$B$7)</f>
        <v>1</v>
      </c>
      <c r="H3291" s="86">
        <f>SUMIFS('Climate Data'!$G$7:$G$366,'Climate Data'!$A$7:$A$366,Estimator!$B$4,'Climate Data'!$B$7:$B$366,C3291)</f>
        <v>0.22688172043010751</v>
      </c>
      <c r="I3291" s="87">
        <f>SUMIFS('Climate Data'!$H$7:$H$366,'Climate Data'!$A$7:$A$366,Estimator!$B$4,'Climate Data'!$B$7:$B$366,C3291)</f>
        <v>6.7962085308056865</v>
      </c>
      <c r="J3291" s="86">
        <f>SUMIFS('Wind Proxy'!$H$8:$H$19,'Wind Proxy'!$A$8:$A$19,Estimator!$B$4,'Wind Proxy'!$B$8:$B$19,C3291)</f>
        <v>0</v>
      </c>
    </row>
    <row r="3292" spans="1:10" ht="14.4">
      <c r="A3292" s="84">
        <v>48943</v>
      </c>
      <c r="B3292" s="85">
        <v>2033</v>
      </c>
      <c r="C3292" s="85">
        <v>12</v>
      </c>
      <c r="D3292" s="85" t="s">
        <v>77</v>
      </c>
      <c r="E3292" s="85">
        <v>30</v>
      </c>
      <c r="F3292" s="85">
        <v>5</v>
      </c>
      <c r="G3292" s="85">
        <f>--(F3292&lt;=Estimator!$B$7)</f>
        <v>1</v>
      </c>
      <c r="H3292" s="86">
        <f>SUMIFS('Climate Data'!$G$7:$G$366,'Climate Data'!$A$7:$A$366,Estimator!$B$4,'Climate Data'!$B$7:$B$366,C3292)</f>
        <v>0.22688172043010751</v>
      </c>
      <c r="I3292" s="87">
        <f>SUMIFS('Climate Data'!$H$7:$H$366,'Climate Data'!$A$7:$A$366,Estimator!$B$4,'Climate Data'!$B$7:$B$366,C3292)</f>
        <v>6.7962085308056865</v>
      </c>
      <c r="J3292" s="86">
        <f>SUMIFS('Wind Proxy'!$H$8:$H$19,'Wind Proxy'!$A$8:$A$19,Estimator!$B$4,'Wind Proxy'!$B$8:$B$19,C3292)</f>
        <v>0</v>
      </c>
    </row>
    <row r="3293" spans="1:10" ht="14.4">
      <c r="A3293" s="84">
        <v>48944</v>
      </c>
      <c r="B3293" s="85">
        <v>2033</v>
      </c>
      <c r="C3293" s="85">
        <v>12</v>
      </c>
      <c r="D3293" s="85" t="s">
        <v>77</v>
      </c>
      <c r="E3293" s="85">
        <v>31</v>
      </c>
      <c r="F3293" s="85">
        <v>6</v>
      </c>
      <c r="G3293" s="85">
        <f>--(F3293&lt;=Estimator!$B$7)</f>
        <v>0</v>
      </c>
      <c r="H3293" s="86">
        <f>SUMIFS('Climate Data'!$G$7:$G$366,'Climate Data'!$A$7:$A$366,Estimator!$B$4,'Climate Data'!$B$7:$B$366,C3293)</f>
        <v>0.22688172043010751</v>
      </c>
      <c r="I3293" s="87">
        <f>SUMIFS('Climate Data'!$H$7:$H$366,'Climate Data'!$A$7:$A$366,Estimator!$B$4,'Climate Data'!$B$7:$B$366,C3293)</f>
        <v>6.7962085308056865</v>
      </c>
      <c r="J3293" s="86">
        <f>SUMIFS('Wind Proxy'!$H$8:$H$19,'Wind Proxy'!$A$8:$A$19,Estimator!$B$4,'Wind Proxy'!$B$8:$B$19,C3293)</f>
        <v>0</v>
      </c>
    </row>
    <row r="3294" spans="1:10" ht="14.4">
      <c r="A3294" s="84">
        <v>48945</v>
      </c>
      <c r="B3294" s="85">
        <v>2034</v>
      </c>
      <c r="C3294" s="85">
        <v>1</v>
      </c>
      <c r="D3294" s="85" t="s">
        <v>55</v>
      </c>
      <c r="E3294" s="85">
        <v>1</v>
      </c>
      <c r="F3294" s="85">
        <v>7</v>
      </c>
      <c r="G3294" s="85">
        <f>--(F3294&lt;=Estimator!$B$7)</f>
        <v>0</v>
      </c>
      <c r="H3294" s="86">
        <f>SUMIFS('Climate Data'!$G$7:$G$366,'Climate Data'!$A$7:$A$366,Estimator!$B$4,'Climate Data'!$B$7:$B$366,C3294)</f>
        <v>0.19462365591397848</v>
      </c>
      <c r="I3294" s="87">
        <f>SUMIFS('Climate Data'!$H$7:$H$366,'Climate Data'!$A$7:$A$366,Estimator!$B$4,'Climate Data'!$B$7:$B$366,C3294)</f>
        <v>7.027624309392265</v>
      </c>
      <c r="J3294" s="86">
        <f>SUMIFS('Wind Proxy'!$H$8:$H$19,'Wind Proxy'!$A$8:$A$19,Estimator!$B$4,'Wind Proxy'!$B$8:$B$19,C3294)</f>
        <v>0</v>
      </c>
    </row>
    <row r="3295" spans="1:10" ht="14.4">
      <c r="A3295" s="84">
        <v>48946</v>
      </c>
      <c r="B3295" s="85">
        <v>2034</v>
      </c>
      <c r="C3295" s="85">
        <v>1</v>
      </c>
      <c r="D3295" s="85" t="s">
        <v>55</v>
      </c>
      <c r="E3295" s="85">
        <v>2</v>
      </c>
      <c r="F3295" s="85">
        <v>1</v>
      </c>
      <c r="G3295" s="85">
        <f>--(F3295&lt;=Estimator!$B$7)</f>
        <v>1</v>
      </c>
      <c r="H3295" s="86">
        <f>SUMIFS('Climate Data'!$G$7:$G$366,'Climate Data'!$A$7:$A$366,Estimator!$B$4,'Climate Data'!$B$7:$B$366,C3295)</f>
        <v>0.19462365591397848</v>
      </c>
      <c r="I3295" s="87">
        <f>SUMIFS('Climate Data'!$H$7:$H$366,'Climate Data'!$A$7:$A$366,Estimator!$B$4,'Climate Data'!$B$7:$B$366,C3295)</f>
        <v>7.027624309392265</v>
      </c>
      <c r="J3295" s="86">
        <f>SUMIFS('Wind Proxy'!$H$8:$H$19,'Wind Proxy'!$A$8:$A$19,Estimator!$B$4,'Wind Proxy'!$B$8:$B$19,C3295)</f>
        <v>0</v>
      </c>
    </row>
    <row r="3296" spans="1:10" ht="14.4">
      <c r="A3296" s="84">
        <v>48947</v>
      </c>
      <c r="B3296" s="85">
        <v>2034</v>
      </c>
      <c r="C3296" s="85">
        <v>1</v>
      </c>
      <c r="D3296" s="85" t="s">
        <v>55</v>
      </c>
      <c r="E3296" s="85">
        <v>3</v>
      </c>
      <c r="F3296" s="85">
        <v>2</v>
      </c>
      <c r="G3296" s="85">
        <f>--(F3296&lt;=Estimator!$B$7)</f>
        <v>1</v>
      </c>
      <c r="H3296" s="86">
        <f>SUMIFS('Climate Data'!$G$7:$G$366,'Climate Data'!$A$7:$A$366,Estimator!$B$4,'Climate Data'!$B$7:$B$366,C3296)</f>
        <v>0.19462365591397848</v>
      </c>
      <c r="I3296" s="87">
        <f>SUMIFS('Climate Data'!$H$7:$H$366,'Climate Data'!$A$7:$A$366,Estimator!$B$4,'Climate Data'!$B$7:$B$366,C3296)</f>
        <v>7.027624309392265</v>
      </c>
      <c r="J3296" s="86">
        <f>SUMIFS('Wind Proxy'!$H$8:$H$19,'Wind Proxy'!$A$8:$A$19,Estimator!$B$4,'Wind Proxy'!$B$8:$B$19,C3296)</f>
        <v>0</v>
      </c>
    </row>
    <row r="3297" spans="1:10" ht="14.4">
      <c r="A3297" s="84">
        <v>48948</v>
      </c>
      <c r="B3297" s="85">
        <v>2034</v>
      </c>
      <c r="C3297" s="85">
        <v>1</v>
      </c>
      <c r="D3297" s="85" t="s">
        <v>55</v>
      </c>
      <c r="E3297" s="85">
        <v>4</v>
      </c>
      <c r="F3297" s="85">
        <v>3</v>
      </c>
      <c r="G3297" s="85">
        <f>--(F3297&lt;=Estimator!$B$7)</f>
        <v>1</v>
      </c>
      <c r="H3297" s="86">
        <f>SUMIFS('Climate Data'!$G$7:$G$366,'Climate Data'!$A$7:$A$366,Estimator!$B$4,'Climate Data'!$B$7:$B$366,C3297)</f>
        <v>0.19462365591397848</v>
      </c>
      <c r="I3297" s="87">
        <f>SUMIFS('Climate Data'!$H$7:$H$366,'Climate Data'!$A$7:$A$366,Estimator!$B$4,'Climate Data'!$B$7:$B$366,C3297)</f>
        <v>7.027624309392265</v>
      </c>
      <c r="J3297" s="86">
        <f>SUMIFS('Wind Proxy'!$H$8:$H$19,'Wind Proxy'!$A$8:$A$19,Estimator!$B$4,'Wind Proxy'!$B$8:$B$19,C3297)</f>
        <v>0</v>
      </c>
    </row>
    <row r="3298" spans="1:10" ht="14.4">
      <c r="A3298" s="84">
        <v>48949</v>
      </c>
      <c r="B3298" s="85">
        <v>2034</v>
      </c>
      <c r="C3298" s="85">
        <v>1</v>
      </c>
      <c r="D3298" s="85" t="s">
        <v>55</v>
      </c>
      <c r="E3298" s="85">
        <v>5</v>
      </c>
      <c r="F3298" s="85">
        <v>4</v>
      </c>
      <c r="G3298" s="85">
        <f>--(F3298&lt;=Estimator!$B$7)</f>
        <v>1</v>
      </c>
      <c r="H3298" s="86">
        <f>SUMIFS('Climate Data'!$G$7:$G$366,'Climate Data'!$A$7:$A$366,Estimator!$B$4,'Climate Data'!$B$7:$B$366,C3298)</f>
        <v>0.19462365591397848</v>
      </c>
      <c r="I3298" s="87">
        <f>SUMIFS('Climate Data'!$H$7:$H$366,'Climate Data'!$A$7:$A$366,Estimator!$B$4,'Climate Data'!$B$7:$B$366,C3298)</f>
        <v>7.027624309392265</v>
      </c>
      <c r="J3298" s="86">
        <f>SUMIFS('Wind Proxy'!$H$8:$H$19,'Wind Proxy'!$A$8:$A$19,Estimator!$B$4,'Wind Proxy'!$B$8:$B$19,C3298)</f>
        <v>0</v>
      </c>
    </row>
    <row r="3299" spans="1:10" ht="14.4">
      <c r="A3299" s="84">
        <v>48950</v>
      </c>
      <c r="B3299" s="85">
        <v>2034</v>
      </c>
      <c r="C3299" s="85">
        <v>1</v>
      </c>
      <c r="D3299" s="85" t="s">
        <v>55</v>
      </c>
      <c r="E3299" s="85">
        <v>6</v>
      </c>
      <c r="F3299" s="85">
        <v>5</v>
      </c>
      <c r="G3299" s="85">
        <f>--(F3299&lt;=Estimator!$B$7)</f>
        <v>1</v>
      </c>
      <c r="H3299" s="86">
        <f>SUMIFS('Climate Data'!$G$7:$G$366,'Climate Data'!$A$7:$A$366,Estimator!$B$4,'Climate Data'!$B$7:$B$366,C3299)</f>
        <v>0.19462365591397848</v>
      </c>
      <c r="I3299" s="87">
        <f>SUMIFS('Climate Data'!$H$7:$H$366,'Climate Data'!$A$7:$A$366,Estimator!$B$4,'Climate Data'!$B$7:$B$366,C3299)</f>
        <v>7.027624309392265</v>
      </c>
      <c r="J3299" s="86">
        <f>SUMIFS('Wind Proxy'!$H$8:$H$19,'Wind Proxy'!$A$8:$A$19,Estimator!$B$4,'Wind Proxy'!$B$8:$B$19,C3299)</f>
        <v>0</v>
      </c>
    </row>
    <row r="3300" spans="1:10" ht="14.4">
      <c r="A3300" s="84">
        <v>48951</v>
      </c>
      <c r="B3300" s="85">
        <v>2034</v>
      </c>
      <c r="C3300" s="85">
        <v>1</v>
      </c>
      <c r="D3300" s="85" t="s">
        <v>55</v>
      </c>
      <c r="E3300" s="85">
        <v>7</v>
      </c>
      <c r="F3300" s="85">
        <v>6</v>
      </c>
      <c r="G3300" s="85">
        <f>--(F3300&lt;=Estimator!$B$7)</f>
        <v>0</v>
      </c>
      <c r="H3300" s="86">
        <f>SUMIFS('Climate Data'!$G$7:$G$366,'Climate Data'!$A$7:$A$366,Estimator!$B$4,'Climate Data'!$B$7:$B$366,C3300)</f>
        <v>0.19462365591397848</v>
      </c>
      <c r="I3300" s="87">
        <f>SUMIFS('Climate Data'!$H$7:$H$366,'Climate Data'!$A$7:$A$366,Estimator!$B$4,'Climate Data'!$B$7:$B$366,C3300)</f>
        <v>7.027624309392265</v>
      </c>
      <c r="J3300" s="86">
        <f>SUMIFS('Wind Proxy'!$H$8:$H$19,'Wind Proxy'!$A$8:$A$19,Estimator!$B$4,'Wind Proxy'!$B$8:$B$19,C3300)</f>
        <v>0</v>
      </c>
    </row>
    <row r="3301" spans="1:10" ht="14.4">
      <c r="A3301" s="84">
        <v>48952</v>
      </c>
      <c r="B3301" s="85">
        <v>2034</v>
      </c>
      <c r="C3301" s="85">
        <v>1</v>
      </c>
      <c r="D3301" s="85" t="s">
        <v>55</v>
      </c>
      <c r="E3301" s="85">
        <v>8</v>
      </c>
      <c r="F3301" s="85">
        <v>7</v>
      </c>
      <c r="G3301" s="85">
        <f>--(F3301&lt;=Estimator!$B$7)</f>
        <v>0</v>
      </c>
      <c r="H3301" s="86">
        <f>SUMIFS('Climate Data'!$G$7:$G$366,'Climate Data'!$A$7:$A$366,Estimator!$B$4,'Climate Data'!$B$7:$B$366,C3301)</f>
        <v>0.19462365591397848</v>
      </c>
      <c r="I3301" s="87">
        <f>SUMIFS('Climate Data'!$H$7:$H$366,'Climate Data'!$A$7:$A$366,Estimator!$B$4,'Climate Data'!$B$7:$B$366,C3301)</f>
        <v>7.027624309392265</v>
      </c>
      <c r="J3301" s="86">
        <f>SUMIFS('Wind Proxy'!$H$8:$H$19,'Wind Proxy'!$A$8:$A$19,Estimator!$B$4,'Wind Proxy'!$B$8:$B$19,C3301)</f>
        <v>0</v>
      </c>
    </row>
    <row r="3302" spans="1:10" ht="14.4">
      <c r="A3302" s="84">
        <v>48953</v>
      </c>
      <c r="B3302" s="85">
        <v>2034</v>
      </c>
      <c r="C3302" s="85">
        <v>1</v>
      </c>
      <c r="D3302" s="85" t="s">
        <v>55</v>
      </c>
      <c r="E3302" s="85">
        <v>9</v>
      </c>
      <c r="F3302" s="85">
        <v>1</v>
      </c>
      <c r="G3302" s="85">
        <f>--(F3302&lt;=Estimator!$B$7)</f>
        <v>1</v>
      </c>
      <c r="H3302" s="86">
        <f>SUMIFS('Climate Data'!$G$7:$G$366,'Climate Data'!$A$7:$A$366,Estimator!$B$4,'Climate Data'!$B$7:$B$366,C3302)</f>
        <v>0.19462365591397848</v>
      </c>
      <c r="I3302" s="87">
        <f>SUMIFS('Climate Data'!$H$7:$H$366,'Climate Data'!$A$7:$A$366,Estimator!$B$4,'Climate Data'!$B$7:$B$366,C3302)</f>
        <v>7.027624309392265</v>
      </c>
      <c r="J3302" s="86">
        <f>SUMIFS('Wind Proxy'!$H$8:$H$19,'Wind Proxy'!$A$8:$A$19,Estimator!$B$4,'Wind Proxy'!$B$8:$B$19,C3302)</f>
        <v>0</v>
      </c>
    </row>
    <row r="3303" spans="1:10" ht="14.4">
      <c r="A3303" s="84">
        <v>48954</v>
      </c>
      <c r="B3303" s="85">
        <v>2034</v>
      </c>
      <c r="C3303" s="85">
        <v>1</v>
      </c>
      <c r="D3303" s="85" t="s">
        <v>55</v>
      </c>
      <c r="E3303" s="85">
        <v>10</v>
      </c>
      <c r="F3303" s="85">
        <v>2</v>
      </c>
      <c r="G3303" s="85">
        <f>--(F3303&lt;=Estimator!$B$7)</f>
        <v>1</v>
      </c>
      <c r="H3303" s="86">
        <f>SUMIFS('Climate Data'!$G$7:$G$366,'Climate Data'!$A$7:$A$366,Estimator!$B$4,'Climate Data'!$B$7:$B$366,C3303)</f>
        <v>0.19462365591397848</v>
      </c>
      <c r="I3303" s="87">
        <f>SUMIFS('Climate Data'!$H$7:$H$366,'Climate Data'!$A$7:$A$366,Estimator!$B$4,'Climate Data'!$B$7:$B$366,C3303)</f>
        <v>7.027624309392265</v>
      </c>
      <c r="J3303" s="86">
        <f>SUMIFS('Wind Proxy'!$H$8:$H$19,'Wind Proxy'!$A$8:$A$19,Estimator!$B$4,'Wind Proxy'!$B$8:$B$19,C3303)</f>
        <v>0</v>
      </c>
    </row>
    <row r="3304" spans="1:10" ht="14.4">
      <c r="A3304" s="84">
        <v>48955</v>
      </c>
      <c r="B3304" s="85">
        <v>2034</v>
      </c>
      <c r="C3304" s="85">
        <v>1</v>
      </c>
      <c r="D3304" s="85" t="s">
        <v>55</v>
      </c>
      <c r="E3304" s="85">
        <v>11</v>
      </c>
      <c r="F3304" s="85">
        <v>3</v>
      </c>
      <c r="G3304" s="85">
        <f>--(F3304&lt;=Estimator!$B$7)</f>
        <v>1</v>
      </c>
      <c r="H3304" s="86">
        <f>SUMIFS('Climate Data'!$G$7:$G$366,'Climate Data'!$A$7:$A$366,Estimator!$B$4,'Climate Data'!$B$7:$B$366,C3304)</f>
        <v>0.19462365591397848</v>
      </c>
      <c r="I3304" s="87">
        <f>SUMIFS('Climate Data'!$H$7:$H$366,'Climate Data'!$A$7:$A$366,Estimator!$B$4,'Climate Data'!$B$7:$B$366,C3304)</f>
        <v>7.027624309392265</v>
      </c>
      <c r="J3304" s="86">
        <f>SUMIFS('Wind Proxy'!$H$8:$H$19,'Wind Proxy'!$A$8:$A$19,Estimator!$B$4,'Wind Proxy'!$B$8:$B$19,C3304)</f>
        <v>0</v>
      </c>
    </row>
    <row r="3305" spans="1:10" ht="14.4">
      <c r="A3305" s="84">
        <v>48956</v>
      </c>
      <c r="B3305" s="85">
        <v>2034</v>
      </c>
      <c r="C3305" s="85">
        <v>1</v>
      </c>
      <c r="D3305" s="85" t="s">
        <v>55</v>
      </c>
      <c r="E3305" s="85">
        <v>12</v>
      </c>
      <c r="F3305" s="85">
        <v>4</v>
      </c>
      <c r="G3305" s="85">
        <f>--(F3305&lt;=Estimator!$B$7)</f>
        <v>1</v>
      </c>
      <c r="H3305" s="86">
        <f>SUMIFS('Climate Data'!$G$7:$G$366,'Climate Data'!$A$7:$A$366,Estimator!$B$4,'Climate Data'!$B$7:$B$366,C3305)</f>
        <v>0.19462365591397848</v>
      </c>
      <c r="I3305" s="87">
        <f>SUMIFS('Climate Data'!$H$7:$H$366,'Climate Data'!$A$7:$A$366,Estimator!$B$4,'Climate Data'!$B$7:$B$366,C3305)</f>
        <v>7.027624309392265</v>
      </c>
      <c r="J3305" s="86">
        <f>SUMIFS('Wind Proxy'!$H$8:$H$19,'Wind Proxy'!$A$8:$A$19,Estimator!$B$4,'Wind Proxy'!$B$8:$B$19,C3305)</f>
        <v>0</v>
      </c>
    </row>
    <row r="3306" spans="1:10" ht="14.4">
      <c r="A3306" s="84">
        <v>48957</v>
      </c>
      <c r="B3306" s="85">
        <v>2034</v>
      </c>
      <c r="C3306" s="85">
        <v>1</v>
      </c>
      <c r="D3306" s="85" t="s">
        <v>55</v>
      </c>
      <c r="E3306" s="85">
        <v>13</v>
      </c>
      <c r="F3306" s="85">
        <v>5</v>
      </c>
      <c r="G3306" s="85">
        <f>--(F3306&lt;=Estimator!$B$7)</f>
        <v>1</v>
      </c>
      <c r="H3306" s="86">
        <f>SUMIFS('Climate Data'!$G$7:$G$366,'Climate Data'!$A$7:$A$366,Estimator!$B$4,'Climate Data'!$B$7:$B$366,C3306)</f>
        <v>0.19462365591397848</v>
      </c>
      <c r="I3306" s="87">
        <f>SUMIFS('Climate Data'!$H$7:$H$366,'Climate Data'!$A$7:$A$366,Estimator!$B$4,'Climate Data'!$B$7:$B$366,C3306)</f>
        <v>7.027624309392265</v>
      </c>
      <c r="J3306" s="86">
        <f>SUMIFS('Wind Proxy'!$H$8:$H$19,'Wind Proxy'!$A$8:$A$19,Estimator!$B$4,'Wind Proxy'!$B$8:$B$19,C3306)</f>
        <v>0</v>
      </c>
    </row>
    <row r="3307" spans="1:10" ht="14.4">
      <c r="A3307" s="84">
        <v>48958</v>
      </c>
      <c r="B3307" s="85">
        <v>2034</v>
      </c>
      <c r="C3307" s="85">
        <v>1</v>
      </c>
      <c r="D3307" s="85" t="s">
        <v>55</v>
      </c>
      <c r="E3307" s="85">
        <v>14</v>
      </c>
      <c r="F3307" s="85">
        <v>6</v>
      </c>
      <c r="G3307" s="85">
        <f>--(F3307&lt;=Estimator!$B$7)</f>
        <v>0</v>
      </c>
      <c r="H3307" s="86">
        <f>SUMIFS('Climate Data'!$G$7:$G$366,'Climate Data'!$A$7:$A$366,Estimator!$B$4,'Climate Data'!$B$7:$B$366,C3307)</f>
        <v>0.19462365591397848</v>
      </c>
      <c r="I3307" s="87">
        <f>SUMIFS('Climate Data'!$H$7:$H$366,'Climate Data'!$A$7:$A$366,Estimator!$B$4,'Climate Data'!$B$7:$B$366,C3307)</f>
        <v>7.027624309392265</v>
      </c>
      <c r="J3307" s="86">
        <f>SUMIFS('Wind Proxy'!$H$8:$H$19,'Wind Proxy'!$A$8:$A$19,Estimator!$B$4,'Wind Proxy'!$B$8:$B$19,C3307)</f>
        <v>0</v>
      </c>
    </row>
    <row r="3308" spans="1:10" ht="14.4">
      <c r="A3308" s="84">
        <v>48959</v>
      </c>
      <c r="B3308" s="85">
        <v>2034</v>
      </c>
      <c r="C3308" s="85">
        <v>1</v>
      </c>
      <c r="D3308" s="85" t="s">
        <v>55</v>
      </c>
      <c r="E3308" s="85">
        <v>15</v>
      </c>
      <c r="F3308" s="85">
        <v>7</v>
      </c>
      <c r="G3308" s="85">
        <f>--(F3308&lt;=Estimator!$B$7)</f>
        <v>0</v>
      </c>
      <c r="H3308" s="86">
        <f>SUMIFS('Climate Data'!$G$7:$G$366,'Climate Data'!$A$7:$A$366,Estimator!$B$4,'Climate Data'!$B$7:$B$366,C3308)</f>
        <v>0.19462365591397848</v>
      </c>
      <c r="I3308" s="87">
        <f>SUMIFS('Climate Data'!$H$7:$H$366,'Climate Data'!$A$7:$A$366,Estimator!$B$4,'Climate Data'!$B$7:$B$366,C3308)</f>
        <v>7.027624309392265</v>
      </c>
      <c r="J3308" s="86">
        <f>SUMIFS('Wind Proxy'!$H$8:$H$19,'Wind Proxy'!$A$8:$A$19,Estimator!$B$4,'Wind Proxy'!$B$8:$B$19,C3308)</f>
        <v>0</v>
      </c>
    </row>
    <row r="3309" spans="1:10" ht="14.4">
      <c r="A3309" s="84">
        <v>48960</v>
      </c>
      <c r="B3309" s="85">
        <v>2034</v>
      </c>
      <c r="C3309" s="85">
        <v>1</v>
      </c>
      <c r="D3309" s="85" t="s">
        <v>55</v>
      </c>
      <c r="E3309" s="85">
        <v>16</v>
      </c>
      <c r="F3309" s="85">
        <v>1</v>
      </c>
      <c r="G3309" s="85">
        <f>--(F3309&lt;=Estimator!$B$7)</f>
        <v>1</v>
      </c>
      <c r="H3309" s="86">
        <f>SUMIFS('Climate Data'!$G$7:$G$366,'Climate Data'!$A$7:$A$366,Estimator!$B$4,'Climate Data'!$B$7:$B$366,C3309)</f>
        <v>0.19462365591397848</v>
      </c>
      <c r="I3309" s="87">
        <f>SUMIFS('Climate Data'!$H$7:$H$366,'Climate Data'!$A$7:$A$366,Estimator!$B$4,'Climate Data'!$B$7:$B$366,C3309)</f>
        <v>7.027624309392265</v>
      </c>
      <c r="J3309" s="86">
        <f>SUMIFS('Wind Proxy'!$H$8:$H$19,'Wind Proxy'!$A$8:$A$19,Estimator!$B$4,'Wind Proxy'!$B$8:$B$19,C3309)</f>
        <v>0</v>
      </c>
    </row>
    <row r="3310" spans="1:10" ht="14.4">
      <c r="A3310" s="84">
        <v>48961</v>
      </c>
      <c r="B3310" s="85">
        <v>2034</v>
      </c>
      <c r="C3310" s="85">
        <v>1</v>
      </c>
      <c r="D3310" s="85" t="s">
        <v>55</v>
      </c>
      <c r="E3310" s="85">
        <v>17</v>
      </c>
      <c r="F3310" s="85">
        <v>2</v>
      </c>
      <c r="G3310" s="85">
        <f>--(F3310&lt;=Estimator!$B$7)</f>
        <v>1</v>
      </c>
      <c r="H3310" s="86">
        <f>SUMIFS('Climate Data'!$G$7:$G$366,'Climate Data'!$A$7:$A$366,Estimator!$B$4,'Climate Data'!$B$7:$B$366,C3310)</f>
        <v>0.19462365591397848</v>
      </c>
      <c r="I3310" s="87">
        <f>SUMIFS('Climate Data'!$H$7:$H$366,'Climate Data'!$A$7:$A$366,Estimator!$B$4,'Climate Data'!$B$7:$B$366,C3310)</f>
        <v>7.027624309392265</v>
      </c>
      <c r="J3310" s="86">
        <f>SUMIFS('Wind Proxy'!$H$8:$H$19,'Wind Proxy'!$A$8:$A$19,Estimator!$B$4,'Wind Proxy'!$B$8:$B$19,C3310)</f>
        <v>0</v>
      </c>
    </row>
    <row r="3311" spans="1:10" ht="14.4">
      <c r="A3311" s="84">
        <v>48962</v>
      </c>
      <c r="B3311" s="85">
        <v>2034</v>
      </c>
      <c r="C3311" s="85">
        <v>1</v>
      </c>
      <c r="D3311" s="85" t="s">
        <v>55</v>
      </c>
      <c r="E3311" s="85">
        <v>18</v>
      </c>
      <c r="F3311" s="85">
        <v>3</v>
      </c>
      <c r="G3311" s="85">
        <f>--(F3311&lt;=Estimator!$B$7)</f>
        <v>1</v>
      </c>
      <c r="H3311" s="86">
        <f>SUMIFS('Climate Data'!$G$7:$G$366,'Climate Data'!$A$7:$A$366,Estimator!$B$4,'Climate Data'!$B$7:$B$366,C3311)</f>
        <v>0.19462365591397848</v>
      </c>
      <c r="I3311" s="87">
        <f>SUMIFS('Climate Data'!$H$7:$H$366,'Climate Data'!$A$7:$A$366,Estimator!$B$4,'Climate Data'!$B$7:$B$366,C3311)</f>
        <v>7.027624309392265</v>
      </c>
      <c r="J3311" s="86">
        <f>SUMIFS('Wind Proxy'!$H$8:$H$19,'Wind Proxy'!$A$8:$A$19,Estimator!$B$4,'Wind Proxy'!$B$8:$B$19,C3311)</f>
        <v>0</v>
      </c>
    </row>
    <row r="3312" spans="1:10" ht="14.4">
      <c r="A3312" s="84">
        <v>48963</v>
      </c>
      <c r="B3312" s="85">
        <v>2034</v>
      </c>
      <c r="C3312" s="85">
        <v>1</v>
      </c>
      <c r="D3312" s="85" t="s">
        <v>55</v>
      </c>
      <c r="E3312" s="85">
        <v>19</v>
      </c>
      <c r="F3312" s="85">
        <v>4</v>
      </c>
      <c r="G3312" s="85">
        <f>--(F3312&lt;=Estimator!$B$7)</f>
        <v>1</v>
      </c>
      <c r="H3312" s="86">
        <f>SUMIFS('Climate Data'!$G$7:$G$366,'Climate Data'!$A$7:$A$366,Estimator!$B$4,'Climate Data'!$B$7:$B$366,C3312)</f>
        <v>0.19462365591397848</v>
      </c>
      <c r="I3312" s="87">
        <f>SUMIFS('Climate Data'!$H$7:$H$366,'Climate Data'!$A$7:$A$366,Estimator!$B$4,'Climate Data'!$B$7:$B$366,C3312)</f>
        <v>7.027624309392265</v>
      </c>
      <c r="J3312" s="86">
        <f>SUMIFS('Wind Proxy'!$H$8:$H$19,'Wind Proxy'!$A$8:$A$19,Estimator!$B$4,'Wind Proxy'!$B$8:$B$19,C3312)</f>
        <v>0</v>
      </c>
    </row>
    <row r="3313" spans="1:10" ht="14.4">
      <c r="A3313" s="84">
        <v>48964</v>
      </c>
      <c r="B3313" s="85">
        <v>2034</v>
      </c>
      <c r="C3313" s="85">
        <v>1</v>
      </c>
      <c r="D3313" s="85" t="s">
        <v>55</v>
      </c>
      <c r="E3313" s="85">
        <v>20</v>
      </c>
      <c r="F3313" s="85">
        <v>5</v>
      </c>
      <c r="G3313" s="85">
        <f>--(F3313&lt;=Estimator!$B$7)</f>
        <v>1</v>
      </c>
      <c r="H3313" s="86">
        <f>SUMIFS('Climate Data'!$G$7:$G$366,'Climate Data'!$A$7:$A$366,Estimator!$B$4,'Climate Data'!$B$7:$B$366,C3313)</f>
        <v>0.19462365591397848</v>
      </c>
      <c r="I3313" s="87">
        <f>SUMIFS('Climate Data'!$H$7:$H$366,'Climate Data'!$A$7:$A$366,Estimator!$B$4,'Climate Data'!$B$7:$B$366,C3313)</f>
        <v>7.027624309392265</v>
      </c>
      <c r="J3313" s="86">
        <f>SUMIFS('Wind Proxy'!$H$8:$H$19,'Wind Proxy'!$A$8:$A$19,Estimator!$B$4,'Wind Proxy'!$B$8:$B$19,C3313)</f>
        <v>0</v>
      </c>
    </row>
    <row r="3314" spans="1:10" ht="14.4">
      <c r="A3314" s="84">
        <v>48965</v>
      </c>
      <c r="B3314" s="85">
        <v>2034</v>
      </c>
      <c r="C3314" s="85">
        <v>1</v>
      </c>
      <c r="D3314" s="85" t="s">
        <v>55</v>
      </c>
      <c r="E3314" s="85">
        <v>21</v>
      </c>
      <c r="F3314" s="85">
        <v>6</v>
      </c>
      <c r="G3314" s="85">
        <f>--(F3314&lt;=Estimator!$B$7)</f>
        <v>0</v>
      </c>
      <c r="H3314" s="86">
        <f>SUMIFS('Climate Data'!$G$7:$G$366,'Climate Data'!$A$7:$A$366,Estimator!$B$4,'Climate Data'!$B$7:$B$366,C3314)</f>
        <v>0.19462365591397848</v>
      </c>
      <c r="I3314" s="87">
        <f>SUMIFS('Climate Data'!$H$7:$H$366,'Climate Data'!$A$7:$A$366,Estimator!$B$4,'Climate Data'!$B$7:$B$366,C3314)</f>
        <v>7.027624309392265</v>
      </c>
      <c r="J3314" s="86">
        <f>SUMIFS('Wind Proxy'!$H$8:$H$19,'Wind Proxy'!$A$8:$A$19,Estimator!$B$4,'Wind Proxy'!$B$8:$B$19,C3314)</f>
        <v>0</v>
      </c>
    </row>
    <row r="3315" spans="1:10" ht="14.4">
      <c r="A3315" s="84">
        <v>48966</v>
      </c>
      <c r="B3315" s="85">
        <v>2034</v>
      </c>
      <c r="C3315" s="85">
        <v>1</v>
      </c>
      <c r="D3315" s="85" t="s">
        <v>55</v>
      </c>
      <c r="E3315" s="85">
        <v>22</v>
      </c>
      <c r="F3315" s="85">
        <v>7</v>
      </c>
      <c r="G3315" s="85">
        <f>--(F3315&lt;=Estimator!$B$7)</f>
        <v>0</v>
      </c>
      <c r="H3315" s="86">
        <f>SUMIFS('Climate Data'!$G$7:$G$366,'Climate Data'!$A$7:$A$366,Estimator!$B$4,'Climate Data'!$B$7:$B$366,C3315)</f>
        <v>0.19462365591397848</v>
      </c>
      <c r="I3315" s="87">
        <f>SUMIFS('Climate Data'!$H$7:$H$366,'Climate Data'!$A$7:$A$366,Estimator!$B$4,'Climate Data'!$B$7:$B$366,C3315)</f>
        <v>7.027624309392265</v>
      </c>
      <c r="J3315" s="86">
        <f>SUMIFS('Wind Proxy'!$H$8:$H$19,'Wind Proxy'!$A$8:$A$19,Estimator!$B$4,'Wind Proxy'!$B$8:$B$19,C3315)</f>
        <v>0</v>
      </c>
    </row>
    <row r="3316" spans="1:10" ht="14.4">
      <c r="A3316" s="84">
        <v>48967</v>
      </c>
      <c r="B3316" s="85">
        <v>2034</v>
      </c>
      <c r="C3316" s="85">
        <v>1</v>
      </c>
      <c r="D3316" s="85" t="s">
        <v>55</v>
      </c>
      <c r="E3316" s="85">
        <v>23</v>
      </c>
      <c r="F3316" s="85">
        <v>1</v>
      </c>
      <c r="G3316" s="85">
        <f>--(F3316&lt;=Estimator!$B$7)</f>
        <v>1</v>
      </c>
      <c r="H3316" s="86">
        <f>SUMIFS('Climate Data'!$G$7:$G$366,'Climate Data'!$A$7:$A$366,Estimator!$B$4,'Climate Data'!$B$7:$B$366,C3316)</f>
        <v>0.19462365591397848</v>
      </c>
      <c r="I3316" s="87">
        <f>SUMIFS('Climate Data'!$H$7:$H$366,'Climate Data'!$A$7:$A$366,Estimator!$B$4,'Climate Data'!$B$7:$B$366,C3316)</f>
        <v>7.027624309392265</v>
      </c>
      <c r="J3316" s="86">
        <f>SUMIFS('Wind Proxy'!$H$8:$H$19,'Wind Proxy'!$A$8:$A$19,Estimator!$B$4,'Wind Proxy'!$B$8:$B$19,C3316)</f>
        <v>0</v>
      </c>
    </row>
    <row r="3317" spans="1:10" ht="14.4">
      <c r="A3317" s="84">
        <v>48968</v>
      </c>
      <c r="B3317" s="85">
        <v>2034</v>
      </c>
      <c r="C3317" s="85">
        <v>1</v>
      </c>
      <c r="D3317" s="85" t="s">
        <v>55</v>
      </c>
      <c r="E3317" s="85">
        <v>24</v>
      </c>
      <c r="F3317" s="85">
        <v>2</v>
      </c>
      <c r="G3317" s="85">
        <f>--(F3317&lt;=Estimator!$B$7)</f>
        <v>1</v>
      </c>
      <c r="H3317" s="86">
        <f>SUMIFS('Climate Data'!$G$7:$G$366,'Climate Data'!$A$7:$A$366,Estimator!$B$4,'Climate Data'!$B$7:$B$366,C3317)</f>
        <v>0.19462365591397848</v>
      </c>
      <c r="I3317" s="87">
        <f>SUMIFS('Climate Data'!$H$7:$H$366,'Climate Data'!$A$7:$A$366,Estimator!$B$4,'Climate Data'!$B$7:$B$366,C3317)</f>
        <v>7.027624309392265</v>
      </c>
      <c r="J3317" s="86">
        <f>SUMIFS('Wind Proxy'!$H$8:$H$19,'Wind Proxy'!$A$8:$A$19,Estimator!$B$4,'Wind Proxy'!$B$8:$B$19,C3317)</f>
        <v>0</v>
      </c>
    </row>
    <row r="3318" spans="1:10" ht="14.4">
      <c r="A3318" s="84">
        <v>48969</v>
      </c>
      <c r="B3318" s="85">
        <v>2034</v>
      </c>
      <c r="C3318" s="85">
        <v>1</v>
      </c>
      <c r="D3318" s="85" t="s">
        <v>55</v>
      </c>
      <c r="E3318" s="85">
        <v>25</v>
      </c>
      <c r="F3318" s="85">
        <v>3</v>
      </c>
      <c r="G3318" s="85">
        <f>--(F3318&lt;=Estimator!$B$7)</f>
        <v>1</v>
      </c>
      <c r="H3318" s="86">
        <f>SUMIFS('Climate Data'!$G$7:$G$366,'Climate Data'!$A$7:$A$366,Estimator!$B$4,'Climate Data'!$B$7:$B$366,C3318)</f>
        <v>0.19462365591397848</v>
      </c>
      <c r="I3318" s="87">
        <f>SUMIFS('Climate Data'!$H$7:$H$366,'Climate Data'!$A$7:$A$366,Estimator!$B$4,'Climate Data'!$B$7:$B$366,C3318)</f>
        <v>7.027624309392265</v>
      </c>
      <c r="J3318" s="86">
        <f>SUMIFS('Wind Proxy'!$H$8:$H$19,'Wind Proxy'!$A$8:$A$19,Estimator!$B$4,'Wind Proxy'!$B$8:$B$19,C3318)</f>
        <v>0</v>
      </c>
    </row>
    <row r="3319" spans="1:10" ht="14.4">
      <c r="A3319" s="84">
        <v>48970</v>
      </c>
      <c r="B3319" s="85">
        <v>2034</v>
      </c>
      <c r="C3319" s="85">
        <v>1</v>
      </c>
      <c r="D3319" s="85" t="s">
        <v>55</v>
      </c>
      <c r="E3319" s="85">
        <v>26</v>
      </c>
      <c r="F3319" s="85">
        <v>4</v>
      </c>
      <c r="G3319" s="85">
        <f>--(F3319&lt;=Estimator!$B$7)</f>
        <v>1</v>
      </c>
      <c r="H3319" s="86">
        <f>SUMIFS('Climate Data'!$G$7:$G$366,'Climate Data'!$A$7:$A$366,Estimator!$B$4,'Climate Data'!$B$7:$B$366,C3319)</f>
        <v>0.19462365591397848</v>
      </c>
      <c r="I3319" s="87">
        <f>SUMIFS('Climate Data'!$H$7:$H$366,'Climate Data'!$A$7:$A$366,Estimator!$B$4,'Climate Data'!$B$7:$B$366,C3319)</f>
        <v>7.027624309392265</v>
      </c>
      <c r="J3319" s="86">
        <f>SUMIFS('Wind Proxy'!$H$8:$H$19,'Wind Proxy'!$A$8:$A$19,Estimator!$B$4,'Wind Proxy'!$B$8:$B$19,C3319)</f>
        <v>0</v>
      </c>
    </row>
    <row r="3320" spans="1:10" ht="14.4">
      <c r="A3320" s="84">
        <v>48971</v>
      </c>
      <c r="B3320" s="85">
        <v>2034</v>
      </c>
      <c r="C3320" s="85">
        <v>1</v>
      </c>
      <c r="D3320" s="85" t="s">
        <v>55</v>
      </c>
      <c r="E3320" s="85">
        <v>27</v>
      </c>
      <c r="F3320" s="85">
        <v>5</v>
      </c>
      <c r="G3320" s="85">
        <f>--(F3320&lt;=Estimator!$B$7)</f>
        <v>1</v>
      </c>
      <c r="H3320" s="86">
        <f>SUMIFS('Climate Data'!$G$7:$G$366,'Climate Data'!$A$7:$A$366,Estimator!$B$4,'Climate Data'!$B$7:$B$366,C3320)</f>
        <v>0.19462365591397848</v>
      </c>
      <c r="I3320" s="87">
        <f>SUMIFS('Climate Data'!$H$7:$H$366,'Climate Data'!$A$7:$A$366,Estimator!$B$4,'Climate Data'!$B$7:$B$366,C3320)</f>
        <v>7.027624309392265</v>
      </c>
      <c r="J3320" s="86">
        <f>SUMIFS('Wind Proxy'!$H$8:$H$19,'Wind Proxy'!$A$8:$A$19,Estimator!$B$4,'Wind Proxy'!$B$8:$B$19,C3320)</f>
        <v>0</v>
      </c>
    </row>
    <row r="3321" spans="1:10" ht="14.4">
      <c r="A3321" s="84">
        <v>48972</v>
      </c>
      <c r="B3321" s="85">
        <v>2034</v>
      </c>
      <c r="C3321" s="85">
        <v>1</v>
      </c>
      <c r="D3321" s="85" t="s">
        <v>55</v>
      </c>
      <c r="E3321" s="85">
        <v>28</v>
      </c>
      <c r="F3321" s="85">
        <v>6</v>
      </c>
      <c r="G3321" s="85">
        <f>--(F3321&lt;=Estimator!$B$7)</f>
        <v>0</v>
      </c>
      <c r="H3321" s="86">
        <f>SUMIFS('Climate Data'!$G$7:$G$366,'Climate Data'!$A$7:$A$366,Estimator!$B$4,'Climate Data'!$B$7:$B$366,C3321)</f>
        <v>0.19462365591397848</v>
      </c>
      <c r="I3321" s="87">
        <f>SUMIFS('Climate Data'!$H$7:$H$366,'Climate Data'!$A$7:$A$366,Estimator!$B$4,'Climate Data'!$B$7:$B$366,C3321)</f>
        <v>7.027624309392265</v>
      </c>
      <c r="J3321" s="86">
        <f>SUMIFS('Wind Proxy'!$H$8:$H$19,'Wind Proxy'!$A$8:$A$19,Estimator!$B$4,'Wind Proxy'!$B$8:$B$19,C3321)</f>
        <v>0</v>
      </c>
    </row>
    <row r="3322" spans="1:10" ht="14.4">
      <c r="A3322" s="84">
        <v>48973</v>
      </c>
      <c r="B3322" s="85">
        <v>2034</v>
      </c>
      <c r="C3322" s="85">
        <v>1</v>
      </c>
      <c r="D3322" s="85" t="s">
        <v>55</v>
      </c>
      <c r="E3322" s="85">
        <v>29</v>
      </c>
      <c r="F3322" s="85">
        <v>7</v>
      </c>
      <c r="G3322" s="85">
        <f>--(F3322&lt;=Estimator!$B$7)</f>
        <v>0</v>
      </c>
      <c r="H3322" s="86">
        <f>SUMIFS('Climate Data'!$G$7:$G$366,'Climate Data'!$A$7:$A$366,Estimator!$B$4,'Climate Data'!$B$7:$B$366,C3322)</f>
        <v>0.19462365591397848</v>
      </c>
      <c r="I3322" s="87">
        <f>SUMIFS('Climate Data'!$H$7:$H$366,'Climate Data'!$A$7:$A$366,Estimator!$B$4,'Climate Data'!$B$7:$B$366,C3322)</f>
        <v>7.027624309392265</v>
      </c>
      <c r="J3322" s="86">
        <f>SUMIFS('Wind Proxy'!$H$8:$H$19,'Wind Proxy'!$A$8:$A$19,Estimator!$B$4,'Wind Proxy'!$B$8:$B$19,C3322)</f>
        <v>0</v>
      </c>
    </row>
    <row r="3323" spans="1:10" ht="14.4">
      <c r="A3323" s="84">
        <v>48974</v>
      </c>
      <c r="B3323" s="85">
        <v>2034</v>
      </c>
      <c r="C3323" s="85">
        <v>1</v>
      </c>
      <c r="D3323" s="85" t="s">
        <v>55</v>
      </c>
      <c r="E3323" s="85">
        <v>30</v>
      </c>
      <c r="F3323" s="85">
        <v>1</v>
      </c>
      <c r="G3323" s="85">
        <f>--(F3323&lt;=Estimator!$B$7)</f>
        <v>1</v>
      </c>
      <c r="H3323" s="86">
        <f>SUMIFS('Climate Data'!$G$7:$G$366,'Climate Data'!$A$7:$A$366,Estimator!$B$4,'Climate Data'!$B$7:$B$366,C3323)</f>
        <v>0.19462365591397848</v>
      </c>
      <c r="I3323" s="87">
        <f>SUMIFS('Climate Data'!$H$7:$H$366,'Climate Data'!$A$7:$A$366,Estimator!$B$4,'Climate Data'!$B$7:$B$366,C3323)</f>
        <v>7.027624309392265</v>
      </c>
      <c r="J3323" s="86">
        <f>SUMIFS('Wind Proxy'!$H$8:$H$19,'Wind Proxy'!$A$8:$A$19,Estimator!$B$4,'Wind Proxy'!$B$8:$B$19,C3323)</f>
        <v>0</v>
      </c>
    </row>
    <row r="3324" spans="1:10" ht="14.4">
      <c r="A3324" s="84">
        <v>48975</v>
      </c>
      <c r="B3324" s="85">
        <v>2034</v>
      </c>
      <c r="C3324" s="85">
        <v>1</v>
      </c>
      <c r="D3324" s="85" t="s">
        <v>55</v>
      </c>
      <c r="E3324" s="85">
        <v>31</v>
      </c>
      <c r="F3324" s="85">
        <v>2</v>
      </c>
      <c r="G3324" s="85">
        <f>--(F3324&lt;=Estimator!$B$7)</f>
        <v>1</v>
      </c>
      <c r="H3324" s="86">
        <f>SUMIFS('Climate Data'!$G$7:$G$366,'Climate Data'!$A$7:$A$366,Estimator!$B$4,'Climate Data'!$B$7:$B$366,C3324)</f>
        <v>0.19462365591397848</v>
      </c>
      <c r="I3324" s="87">
        <f>SUMIFS('Climate Data'!$H$7:$H$366,'Climate Data'!$A$7:$A$366,Estimator!$B$4,'Climate Data'!$B$7:$B$366,C3324)</f>
        <v>7.027624309392265</v>
      </c>
      <c r="J3324" s="86">
        <f>SUMIFS('Wind Proxy'!$H$8:$H$19,'Wind Proxy'!$A$8:$A$19,Estimator!$B$4,'Wind Proxy'!$B$8:$B$19,C3324)</f>
        <v>0</v>
      </c>
    </row>
    <row r="3325" spans="1:10" ht="14.4">
      <c r="A3325" s="84">
        <v>48976</v>
      </c>
      <c r="B3325" s="85">
        <v>2034</v>
      </c>
      <c r="C3325" s="85">
        <v>2</v>
      </c>
      <c r="D3325" s="85" t="s">
        <v>58</v>
      </c>
      <c r="E3325" s="85">
        <v>1</v>
      </c>
      <c r="F3325" s="85">
        <v>3</v>
      </c>
      <c r="G3325" s="85">
        <f>--(F3325&lt;=Estimator!$B$7)</f>
        <v>1</v>
      </c>
      <c r="H3325" s="86">
        <f>SUMIFS('Climate Data'!$G$7:$G$366,'Climate Data'!$A$7:$A$366,Estimator!$B$4,'Climate Data'!$B$7:$B$366,C3325)</f>
        <v>0.18867924528301885</v>
      </c>
      <c r="I3325" s="87">
        <f>SUMIFS('Climate Data'!$H$7:$H$366,'Climate Data'!$A$7:$A$366,Estimator!$B$4,'Climate Data'!$B$7:$B$366,C3325)</f>
        <v>7.4624999999999995</v>
      </c>
      <c r="J3325" s="86">
        <f>SUMIFS('Wind Proxy'!$H$8:$H$19,'Wind Proxy'!$A$8:$A$19,Estimator!$B$4,'Wind Proxy'!$B$8:$B$19,C3325)</f>
        <v>0</v>
      </c>
    </row>
    <row r="3326" spans="1:10" ht="14.4">
      <c r="A3326" s="84">
        <v>48977</v>
      </c>
      <c r="B3326" s="85">
        <v>2034</v>
      </c>
      <c r="C3326" s="85">
        <v>2</v>
      </c>
      <c r="D3326" s="85" t="s">
        <v>58</v>
      </c>
      <c r="E3326" s="85">
        <v>2</v>
      </c>
      <c r="F3326" s="85">
        <v>4</v>
      </c>
      <c r="G3326" s="85">
        <f>--(F3326&lt;=Estimator!$B$7)</f>
        <v>1</v>
      </c>
      <c r="H3326" s="86">
        <f>SUMIFS('Climate Data'!$G$7:$G$366,'Climate Data'!$A$7:$A$366,Estimator!$B$4,'Climate Data'!$B$7:$B$366,C3326)</f>
        <v>0.18867924528301885</v>
      </c>
      <c r="I3326" s="87">
        <f>SUMIFS('Climate Data'!$H$7:$H$366,'Climate Data'!$A$7:$A$366,Estimator!$B$4,'Climate Data'!$B$7:$B$366,C3326)</f>
        <v>7.4624999999999995</v>
      </c>
      <c r="J3326" s="86">
        <f>SUMIFS('Wind Proxy'!$H$8:$H$19,'Wind Proxy'!$A$8:$A$19,Estimator!$B$4,'Wind Proxy'!$B$8:$B$19,C3326)</f>
        <v>0</v>
      </c>
    </row>
    <row r="3327" spans="1:10" ht="14.4">
      <c r="A3327" s="84">
        <v>48978</v>
      </c>
      <c r="B3327" s="85">
        <v>2034</v>
      </c>
      <c r="C3327" s="85">
        <v>2</v>
      </c>
      <c r="D3327" s="85" t="s">
        <v>58</v>
      </c>
      <c r="E3327" s="85">
        <v>3</v>
      </c>
      <c r="F3327" s="85">
        <v>5</v>
      </c>
      <c r="G3327" s="85">
        <f>--(F3327&lt;=Estimator!$B$7)</f>
        <v>1</v>
      </c>
      <c r="H3327" s="86">
        <f>SUMIFS('Climate Data'!$G$7:$G$366,'Climate Data'!$A$7:$A$366,Estimator!$B$4,'Climate Data'!$B$7:$B$366,C3327)</f>
        <v>0.18867924528301885</v>
      </c>
      <c r="I3327" s="87">
        <f>SUMIFS('Climate Data'!$H$7:$H$366,'Climate Data'!$A$7:$A$366,Estimator!$B$4,'Climate Data'!$B$7:$B$366,C3327)</f>
        <v>7.4624999999999995</v>
      </c>
      <c r="J3327" s="86">
        <f>SUMIFS('Wind Proxy'!$H$8:$H$19,'Wind Proxy'!$A$8:$A$19,Estimator!$B$4,'Wind Proxy'!$B$8:$B$19,C3327)</f>
        <v>0</v>
      </c>
    </row>
    <row r="3328" spans="1:10" ht="14.4">
      <c r="A3328" s="84">
        <v>48979</v>
      </c>
      <c r="B3328" s="85">
        <v>2034</v>
      </c>
      <c r="C3328" s="85">
        <v>2</v>
      </c>
      <c r="D3328" s="85" t="s">
        <v>58</v>
      </c>
      <c r="E3328" s="85">
        <v>4</v>
      </c>
      <c r="F3328" s="85">
        <v>6</v>
      </c>
      <c r="G3328" s="85">
        <f>--(F3328&lt;=Estimator!$B$7)</f>
        <v>0</v>
      </c>
      <c r="H3328" s="86">
        <f>SUMIFS('Climate Data'!$G$7:$G$366,'Climate Data'!$A$7:$A$366,Estimator!$B$4,'Climate Data'!$B$7:$B$366,C3328)</f>
        <v>0.18867924528301885</v>
      </c>
      <c r="I3328" s="87">
        <f>SUMIFS('Climate Data'!$H$7:$H$366,'Climate Data'!$A$7:$A$366,Estimator!$B$4,'Climate Data'!$B$7:$B$366,C3328)</f>
        <v>7.4624999999999995</v>
      </c>
      <c r="J3328" s="86">
        <f>SUMIFS('Wind Proxy'!$H$8:$H$19,'Wind Proxy'!$A$8:$A$19,Estimator!$B$4,'Wind Proxy'!$B$8:$B$19,C3328)</f>
        <v>0</v>
      </c>
    </row>
    <row r="3329" spans="1:10" ht="14.4">
      <c r="A3329" s="84">
        <v>48980</v>
      </c>
      <c r="B3329" s="85">
        <v>2034</v>
      </c>
      <c r="C3329" s="85">
        <v>2</v>
      </c>
      <c r="D3329" s="85" t="s">
        <v>58</v>
      </c>
      <c r="E3329" s="85">
        <v>5</v>
      </c>
      <c r="F3329" s="85">
        <v>7</v>
      </c>
      <c r="G3329" s="85">
        <f>--(F3329&lt;=Estimator!$B$7)</f>
        <v>0</v>
      </c>
      <c r="H3329" s="86">
        <f>SUMIFS('Climate Data'!$G$7:$G$366,'Climate Data'!$A$7:$A$366,Estimator!$B$4,'Climate Data'!$B$7:$B$366,C3329)</f>
        <v>0.18867924528301885</v>
      </c>
      <c r="I3329" s="87">
        <f>SUMIFS('Climate Data'!$H$7:$H$366,'Climate Data'!$A$7:$A$366,Estimator!$B$4,'Climate Data'!$B$7:$B$366,C3329)</f>
        <v>7.4624999999999995</v>
      </c>
      <c r="J3329" s="86">
        <f>SUMIFS('Wind Proxy'!$H$8:$H$19,'Wind Proxy'!$A$8:$A$19,Estimator!$B$4,'Wind Proxy'!$B$8:$B$19,C3329)</f>
        <v>0</v>
      </c>
    </row>
    <row r="3330" spans="1:10" ht="14.4">
      <c r="A3330" s="84">
        <v>48981</v>
      </c>
      <c r="B3330" s="85">
        <v>2034</v>
      </c>
      <c r="C3330" s="85">
        <v>2</v>
      </c>
      <c r="D3330" s="85" t="s">
        <v>58</v>
      </c>
      <c r="E3330" s="85">
        <v>6</v>
      </c>
      <c r="F3330" s="85">
        <v>1</v>
      </c>
      <c r="G3330" s="85">
        <f>--(F3330&lt;=Estimator!$B$7)</f>
        <v>1</v>
      </c>
      <c r="H3330" s="86">
        <f>SUMIFS('Climate Data'!$G$7:$G$366,'Climate Data'!$A$7:$A$366,Estimator!$B$4,'Climate Data'!$B$7:$B$366,C3330)</f>
        <v>0.18867924528301885</v>
      </c>
      <c r="I3330" s="87">
        <f>SUMIFS('Climate Data'!$H$7:$H$366,'Climate Data'!$A$7:$A$366,Estimator!$B$4,'Climate Data'!$B$7:$B$366,C3330)</f>
        <v>7.4624999999999995</v>
      </c>
      <c r="J3330" s="86">
        <f>SUMIFS('Wind Proxy'!$H$8:$H$19,'Wind Proxy'!$A$8:$A$19,Estimator!$B$4,'Wind Proxy'!$B$8:$B$19,C3330)</f>
        <v>0</v>
      </c>
    </row>
    <row r="3331" spans="1:10" ht="14.4">
      <c r="A3331" s="84">
        <v>48982</v>
      </c>
      <c r="B3331" s="85">
        <v>2034</v>
      </c>
      <c r="C3331" s="85">
        <v>2</v>
      </c>
      <c r="D3331" s="85" t="s">
        <v>58</v>
      </c>
      <c r="E3331" s="85">
        <v>7</v>
      </c>
      <c r="F3331" s="85">
        <v>2</v>
      </c>
      <c r="G3331" s="85">
        <f>--(F3331&lt;=Estimator!$B$7)</f>
        <v>1</v>
      </c>
      <c r="H3331" s="86">
        <f>SUMIFS('Climate Data'!$G$7:$G$366,'Climate Data'!$A$7:$A$366,Estimator!$B$4,'Climate Data'!$B$7:$B$366,C3331)</f>
        <v>0.18867924528301885</v>
      </c>
      <c r="I3331" s="87">
        <f>SUMIFS('Climate Data'!$H$7:$H$366,'Climate Data'!$A$7:$A$366,Estimator!$B$4,'Climate Data'!$B$7:$B$366,C3331)</f>
        <v>7.4624999999999995</v>
      </c>
      <c r="J3331" s="86">
        <f>SUMIFS('Wind Proxy'!$H$8:$H$19,'Wind Proxy'!$A$8:$A$19,Estimator!$B$4,'Wind Proxy'!$B$8:$B$19,C3331)</f>
        <v>0</v>
      </c>
    </row>
    <row r="3332" spans="1:10" ht="14.4">
      <c r="A3332" s="84">
        <v>48983</v>
      </c>
      <c r="B3332" s="85">
        <v>2034</v>
      </c>
      <c r="C3332" s="85">
        <v>2</v>
      </c>
      <c r="D3332" s="85" t="s">
        <v>58</v>
      </c>
      <c r="E3332" s="85">
        <v>8</v>
      </c>
      <c r="F3332" s="85">
        <v>3</v>
      </c>
      <c r="G3332" s="85">
        <f>--(F3332&lt;=Estimator!$B$7)</f>
        <v>1</v>
      </c>
      <c r="H3332" s="86">
        <f>SUMIFS('Climate Data'!$G$7:$G$366,'Climate Data'!$A$7:$A$366,Estimator!$B$4,'Climate Data'!$B$7:$B$366,C3332)</f>
        <v>0.18867924528301885</v>
      </c>
      <c r="I3332" s="87">
        <f>SUMIFS('Climate Data'!$H$7:$H$366,'Climate Data'!$A$7:$A$366,Estimator!$B$4,'Climate Data'!$B$7:$B$366,C3332)</f>
        <v>7.4624999999999995</v>
      </c>
      <c r="J3332" s="86">
        <f>SUMIFS('Wind Proxy'!$H$8:$H$19,'Wind Proxy'!$A$8:$A$19,Estimator!$B$4,'Wind Proxy'!$B$8:$B$19,C3332)</f>
        <v>0</v>
      </c>
    </row>
    <row r="3333" spans="1:10" ht="14.4">
      <c r="A3333" s="84">
        <v>48984</v>
      </c>
      <c r="B3333" s="85">
        <v>2034</v>
      </c>
      <c r="C3333" s="85">
        <v>2</v>
      </c>
      <c r="D3333" s="85" t="s">
        <v>58</v>
      </c>
      <c r="E3333" s="85">
        <v>9</v>
      </c>
      <c r="F3333" s="85">
        <v>4</v>
      </c>
      <c r="G3333" s="85">
        <f>--(F3333&lt;=Estimator!$B$7)</f>
        <v>1</v>
      </c>
      <c r="H3333" s="86">
        <f>SUMIFS('Climate Data'!$G$7:$G$366,'Climate Data'!$A$7:$A$366,Estimator!$B$4,'Climate Data'!$B$7:$B$366,C3333)</f>
        <v>0.18867924528301885</v>
      </c>
      <c r="I3333" s="87">
        <f>SUMIFS('Climate Data'!$H$7:$H$366,'Climate Data'!$A$7:$A$366,Estimator!$B$4,'Climate Data'!$B$7:$B$366,C3333)</f>
        <v>7.4624999999999995</v>
      </c>
      <c r="J3333" s="86">
        <f>SUMIFS('Wind Proxy'!$H$8:$H$19,'Wind Proxy'!$A$8:$A$19,Estimator!$B$4,'Wind Proxy'!$B$8:$B$19,C3333)</f>
        <v>0</v>
      </c>
    </row>
    <row r="3334" spans="1:10" ht="14.4">
      <c r="A3334" s="84">
        <v>48985</v>
      </c>
      <c r="B3334" s="85">
        <v>2034</v>
      </c>
      <c r="C3334" s="85">
        <v>2</v>
      </c>
      <c r="D3334" s="85" t="s">
        <v>58</v>
      </c>
      <c r="E3334" s="85">
        <v>10</v>
      </c>
      <c r="F3334" s="85">
        <v>5</v>
      </c>
      <c r="G3334" s="85">
        <f>--(F3334&lt;=Estimator!$B$7)</f>
        <v>1</v>
      </c>
      <c r="H3334" s="86">
        <f>SUMIFS('Climate Data'!$G$7:$G$366,'Climate Data'!$A$7:$A$366,Estimator!$B$4,'Climate Data'!$B$7:$B$366,C3334)</f>
        <v>0.18867924528301885</v>
      </c>
      <c r="I3334" s="87">
        <f>SUMIFS('Climate Data'!$H$7:$H$366,'Climate Data'!$A$7:$A$366,Estimator!$B$4,'Climate Data'!$B$7:$B$366,C3334)</f>
        <v>7.4624999999999995</v>
      </c>
      <c r="J3334" s="86">
        <f>SUMIFS('Wind Proxy'!$H$8:$H$19,'Wind Proxy'!$A$8:$A$19,Estimator!$B$4,'Wind Proxy'!$B$8:$B$19,C3334)</f>
        <v>0</v>
      </c>
    </row>
    <row r="3335" spans="1:10" ht="14.4">
      <c r="A3335" s="84">
        <v>48986</v>
      </c>
      <c r="B3335" s="85">
        <v>2034</v>
      </c>
      <c r="C3335" s="85">
        <v>2</v>
      </c>
      <c r="D3335" s="85" t="s">
        <v>58</v>
      </c>
      <c r="E3335" s="85">
        <v>11</v>
      </c>
      <c r="F3335" s="85">
        <v>6</v>
      </c>
      <c r="G3335" s="85">
        <f>--(F3335&lt;=Estimator!$B$7)</f>
        <v>0</v>
      </c>
      <c r="H3335" s="86">
        <f>SUMIFS('Climate Data'!$G$7:$G$366,'Climate Data'!$A$7:$A$366,Estimator!$B$4,'Climate Data'!$B$7:$B$366,C3335)</f>
        <v>0.18867924528301885</v>
      </c>
      <c r="I3335" s="87">
        <f>SUMIFS('Climate Data'!$H$7:$H$366,'Climate Data'!$A$7:$A$366,Estimator!$B$4,'Climate Data'!$B$7:$B$366,C3335)</f>
        <v>7.4624999999999995</v>
      </c>
      <c r="J3335" s="86">
        <f>SUMIFS('Wind Proxy'!$H$8:$H$19,'Wind Proxy'!$A$8:$A$19,Estimator!$B$4,'Wind Proxy'!$B$8:$B$19,C3335)</f>
        <v>0</v>
      </c>
    </row>
    <row r="3336" spans="1:10" ht="14.4">
      <c r="A3336" s="84">
        <v>48987</v>
      </c>
      <c r="B3336" s="85">
        <v>2034</v>
      </c>
      <c r="C3336" s="85">
        <v>2</v>
      </c>
      <c r="D3336" s="85" t="s">
        <v>58</v>
      </c>
      <c r="E3336" s="85">
        <v>12</v>
      </c>
      <c r="F3336" s="85">
        <v>7</v>
      </c>
      <c r="G3336" s="85">
        <f>--(F3336&lt;=Estimator!$B$7)</f>
        <v>0</v>
      </c>
      <c r="H3336" s="86">
        <f>SUMIFS('Climate Data'!$G$7:$G$366,'Climate Data'!$A$7:$A$366,Estimator!$B$4,'Climate Data'!$B$7:$B$366,C3336)</f>
        <v>0.18867924528301885</v>
      </c>
      <c r="I3336" s="87">
        <f>SUMIFS('Climate Data'!$H$7:$H$366,'Climate Data'!$A$7:$A$366,Estimator!$B$4,'Climate Data'!$B$7:$B$366,C3336)</f>
        <v>7.4624999999999995</v>
      </c>
      <c r="J3336" s="86">
        <f>SUMIFS('Wind Proxy'!$H$8:$H$19,'Wind Proxy'!$A$8:$A$19,Estimator!$B$4,'Wind Proxy'!$B$8:$B$19,C3336)</f>
        <v>0</v>
      </c>
    </row>
    <row r="3337" spans="1:10" ht="14.4">
      <c r="A3337" s="84">
        <v>48988</v>
      </c>
      <c r="B3337" s="85">
        <v>2034</v>
      </c>
      <c r="C3337" s="85">
        <v>2</v>
      </c>
      <c r="D3337" s="85" t="s">
        <v>58</v>
      </c>
      <c r="E3337" s="85">
        <v>13</v>
      </c>
      <c r="F3337" s="85">
        <v>1</v>
      </c>
      <c r="G3337" s="85">
        <f>--(F3337&lt;=Estimator!$B$7)</f>
        <v>1</v>
      </c>
      <c r="H3337" s="86">
        <f>SUMIFS('Climate Data'!$G$7:$G$366,'Climate Data'!$A$7:$A$366,Estimator!$B$4,'Climate Data'!$B$7:$B$366,C3337)</f>
        <v>0.18867924528301885</v>
      </c>
      <c r="I3337" s="87">
        <f>SUMIFS('Climate Data'!$H$7:$H$366,'Climate Data'!$A$7:$A$366,Estimator!$B$4,'Climate Data'!$B$7:$B$366,C3337)</f>
        <v>7.4624999999999995</v>
      </c>
      <c r="J3337" s="86">
        <f>SUMIFS('Wind Proxy'!$H$8:$H$19,'Wind Proxy'!$A$8:$A$19,Estimator!$B$4,'Wind Proxy'!$B$8:$B$19,C3337)</f>
        <v>0</v>
      </c>
    </row>
    <row r="3338" spans="1:10" ht="14.4">
      <c r="A3338" s="84">
        <v>48989</v>
      </c>
      <c r="B3338" s="85">
        <v>2034</v>
      </c>
      <c r="C3338" s="85">
        <v>2</v>
      </c>
      <c r="D3338" s="85" t="s">
        <v>58</v>
      </c>
      <c r="E3338" s="85">
        <v>14</v>
      </c>
      <c r="F3338" s="85">
        <v>2</v>
      </c>
      <c r="G3338" s="85">
        <f>--(F3338&lt;=Estimator!$B$7)</f>
        <v>1</v>
      </c>
      <c r="H3338" s="86">
        <f>SUMIFS('Climate Data'!$G$7:$G$366,'Climate Data'!$A$7:$A$366,Estimator!$B$4,'Climate Data'!$B$7:$B$366,C3338)</f>
        <v>0.18867924528301885</v>
      </c>
      <c r="I3338" s="87">
        <f>SUMIFS('Climate Data'!$H$7:$H$366,'Climate Data'!$A$7:$A$366,Estimator!$B$4,'Climate Data'!$B$7:$B$366,C3338)</f>
        <v>7.4624999999999995</v>
      </c>
      <c r="J3338" s="86">
        <f>SUMIFS('Wind Proxy'!$H$8:$H$19,'Wind Proxy'!$A$8:$A$19,Estimator!$B$4,'Wind Proxy'!$B$8:$B$19,C3338)</f>
        <v>0</v>
      </c>
    </row>
    <row r="3339" spans="1:10" ht="14.4">
      <c r="A3339" s="84">
        <v>48990</v>
      </c>
      <c r="B3339" s="85">
        <v>2034</v>
      </c>
      <c r="C3339" s="85">
        <v>2</v>
      </c>
      <c r="D3339" s="85" t="s">
        <v>58</v>
      </c>
      <c r="E3339" s="85">
        <v>15</v>
      </c>
      <c r="F3339" s="85">
        <v>3</v>
      </c>
      <c r="G3339" s="85">
        <f>--(F3339&lt;=Estimator!$B$7)</f>
        <v>1</v>
      </c>
      <c r="H3339" s="86">
        <f>SUMIFS('Climate Data'!$G$7:$G$366,'Climate Data'!$A$7:$A$366,Estimator!$B$4,'Climate Data'!$B$7:$B$366,C3339)</f>
        <v>0.18867924528301885</v>
      </c>
      <c r="I3339" s="87">
        <f>SUMIFS('Climate Data'!$H$7:$H$366,'Climate Data'!$A$7:$A$366,Estimator!$B$4,'Climate Data'!$B$7:$B$366,C3339)</f>
        <v>7.4624999999999995</v>
      </c>
      <c r="J3339" s="86">
        <f>SUMIFS('Wind Proxy'!$H$8:$H$19,'Wind Proxy'!$A$8:$A$19,Estimator!$B$4,'Wind Proxy'!$B$8:$B$19,C3339)</f>
        <v>0</v>
      </c>
    </row>
    <row r="3340" spans="1:10" ht="14.4">
      <c r="A3340" s="84">
        <v>48991</v>
      </c>
      <c r="B3340" s="85">
        <v>2034</v>
      </c>
      <c r="C3340" s="85">
        <v>2</v>
      </c>
      <c r="D3340" s="85" t="s">
        <v>58</v>
      </c>
      <c r="E3340" s="85">
        <v>16</v>
      </c>
      <c r="F3340" s="85">
        <v>4</v>
      </c>
      <c r="G3340" s="85">
        <f>--(F3340&lt;=Estimator!$B$7)</f>
        <v>1</v>
      </c>
      <c r="H3340" s="86">
        <f>SUMIFS('Climate Data'!$G$7:$G$366,'Climate Data'!$A$7:$A$366,Estimator!$B$4,'Climate Data'!$B$7:$B$366,C3340)</f>
        <v>0.18867924528301885</v>
      </c>
      <c r="I3340" s="87">
        <f>SUMIFS('Climate Data'!$H$7:$H$366,'Climate Data'!$A$7:$A$366,Estimator!$B$4,'Climate Data'!$B$7:$B$366,C3340)</f>
        <v>7.4624999999999995</v>
      </c>
      <c r="J3340" s="86">
        <f>SUMIFS('Wind Proxy'!$H$8:$H$19,'Wind Proxy'!$A$8:$A$19,Estimator!$B$4,'Wind Proxy'!$B$8:$B$19,C3340)</f>
        <v>0</v>
      </c>
    </row>
    <row r="3341" spans="1:10" ht="14.4">
      <c r="A3341" s="84">
        <v>48992</v>
      </c>
      <c r="B3341" s="85">
        <v>2034</v>
      </c>
      <c r="C3341" s="85">
        <v>2</v>
      </c>
      <c r="D3341" s="85" t="s">
        <v>58</v>
      </c>
      <c r="E3341" s="85">
        <v>17</v>
      </c>
      <c r="F3341" s="85">
        <v>5</v>
      </c>
      <c r="G3341" s="85">
        <f>--(F3341&lt;=Estimator!$B$7)</f>
        <v>1</v>
      </c>
      <c r="H3341" s="86">
        <f>SUMIFS('Climate Data'!$G$7:$G$366,'Climate Data'!$A$7:$A$366,Estimator!$B$4,'Climate Data'!$B$7:$B$366,C3341)</f>
        <v>0.18867924528301885</v>
      </c>
      <c r="I3341" s="87">
        <f>SUMIFS('Climate Data'!$H$7:$H$366,'Climate Data'!$A$7:$A$366,Estimator!$B$4,'Climate Data'!$B$7:$B$366,C3341)</f>
        <v>7.4624999999999995</v>
      </c>
      <c r="J3341" s="86">
        <f>SUMIFS('Wind Proxy'!$H$8:$H$19,'Wind Proxy'!$A$8:$A$19,Estimator!$B$4,'Wind Proxy'!$B$8:$B$19,C3341)</f>
        <v>0</v>
      </c>
    </row>
    <row r="3342" spans="1:10" ht="14.4">
      <c r="A3342" s="84">
        <v>48993</v>
      </c>
      <c r="B3342" s="85">
        <v>2034</v>
      </c>
      <c r="C3342" s="85">
        <v>2</v>
      </c>
      <c r="D3342" s="85" t="s">
        <v>58</v>
      </c>
      <c r="E3342" s="85">
        <v>18</v>
      </c>
      <c r="F3342" s="85">
        <v>6</v>
      </c>
      <c r="G3342" s="85">
        <f>--(F3342&lt;=Estimator!$B$7)</f>
        <v>0</v>
      </c>
      <c r="H3342" s="86">
        <f>SUMIFS('Climate Data'!$G$7:$G$366,'Climate Data'!$A$7:$A$366,Estimator!$B$4,'Climate Data'!$B$7:$B$366,C3342)</f>
        <v>0.18867924528301885</v>
      </c>
      <c r="I3342" s="87">
        <f>SUMIFS('Climate Data'!$H$7:$H$366,'Climate Data'!$A$7:$A$366,Estimator!$B$4,'Climate Data'!$B$7:$B$366,C3342)</f>
        <v>7.4624999999999995</v>
      </c>
      <c r="J3342" s="86">
        <f>SUMIFS('Wind Proxy'!$H$8:$H$19,'Wind Proxy'!$A$8:$A$19,Estimator!$B$4,'Wind Proxy'!$B$8:$B$19,C3342)</f>
        <v>0</v>
      </c>
    </row>
    <row r="3343" spans="1:10" ht="14.4">
      <c r="A3343" s="84">
        <v>48994</v>
      </c>
      <c r="B3343" s="85">
        <v>2034</v>
      </c>
      <c r="C3343" s="85">
        <v>2</v>
      </c>
      <c r="D3343" s="85" t="s">
        <v>58</v>
      </c>
      <c r="E3343" s="85">
        <v>19</v>
      </c>
      <c r="F3343" s="85">
        <v>7</v>
      </c>
      <c r="G3343" s="85">
        <f>--(F3343&lt;=Estimator!$B$7)</f>
        <v>0</v>
      </c>
      <c r="H3343" s="86">
        <f>SUMIFS('Climate Data'!$G$7:$G$366,'Climate Data'!$A$7:$A$366,Estimator!$B$4,'Climate Data'!$B$7:$B$366,C3343)</f>
        <v>0.18867924528301885</v>
      </c>
      <c r="I3343" s="87">
        <f>SUMIFS('Climate Data'!$H$7:$H$366,'Climate Data'!$A$7:$A$366,Estimator!$B$4,'Climate Data'!$B$7:$B$366,C3343)</f>
        <v>7.4624999999999995</v>
      </c>
      <c r="J3343" s="86">
        <f>SUMIFS('Wind Proxy'!$H$8:$H$19,'Wind Proxy'!$A$8:$A$19,Estimator!$B$4,'Wind Proxy'!$B$8:$B$19,C3343)</f>
        <v>0</v>
      </c>
    </row>
    <row r="3344" spans="1:10" ht="14.4">
      <c r="A3344" s="84">
        <v>48995</v>
      </c>
      <c r="B3344" s="85">
        <v>2034</v>
      </c>
      <c r="C3344" s="85">
        <v>2</v>
      </c>
      <c r="D3344" s="85" t="s">
        <v>58</v>
      </c>
      <c r="E3344" s="85">
        <v>20</v>
      </c>
      <c r="F3344" s="85">
        <v>1</v>
      </c>
      <c r="G3344" s="85">
        <f>--(F3344&lt;=Estimator!$B$7)</f>
        <v>1</v>
      </c>
      <c r="H3344" s="86">
        <f>SUMIFS('Climate Data'!$G$7:$G$366,'Climate Data'!$A$7:$A$366,Estimator!$B$4,'Climate Data'!$B$7:$B$366,C3344)</f>
        <v>0.18867924528301885</v>
      </c>
      <c r="I3344" s="87">
        <f>SUMIFS('Climate Data'!$H$7:$H$366,'Climate Data'!$A$7:$A$366,Estimator!$B$4,'Climate Data'!$B$7:$B$366,C3344)</f>
        <v>7.4624999999999995</v>
      </c>
      <c r="J3344" s="86">
        <f>SUMIFS('Wind Proxy'!$H$8:$H$19,'Wind Proxy'!$A$8:$A$19,Estimator!$B$4,'Wind Proxy'!$B$8:$B$19,C3344)</f>
        <v>0</v>
      </c>
    </row>
    <row r="3345" spans="1:10" ht="14.4">
      <c r="A3345" s="84">
        <v>48996</v>
      </c>
      <c r="B3345" s="85">
        <v>2034</v>
      </c>
      <c r="C3345" s="85">
        <v>2</v>
      </c>
      <c r="D3345" s="85" t="s">
        <v>58</v>
      </c>
      <c r="E3345" s="85">
        <v>21</v>
      </c>
      <c r="F3345" s="85">
        <v>2</v>
      </c>
      <c r="G3345" s="85">
        <f>--(F3345&lt;=Estimator!$B$7)</f>
        <v>1</v>
      </c>
      <c r="H3345" s="86">
        <f>SUMIFS('Climate Data'!$G$7:$G$366,'Climate Data'!$A$7:$A$366,Estimator!$B$4,'Climate Data'!$B$7:$B$366,C3345)</f>
        <v>0.18867924528301885</v>
      </c>
      <c r="I3345" s="87">
        <f>SUMIFS('Climate Data'!$H$7:$H$366,'Climate Data'!$A$7:$A$366,Estimator!$B$4,'Climate Data'!$B$7:$B$366,C3345)</f>
        <v>7.4624999999999995</v>
      </c>
      <c r="J3345" s="86">
        <f>SUMIFS('Wind Proxy'!$H$8:$H$19,'Wind Proxy'!$A$8:$A$19,Estimator!$B$4,'Wind Proxy'!$B$8:$B$19,C3345)</f>
        <v>0</v>
      </c>
    </row>
    <row r="3346" spans="1:10" ht="14.4">
      <c r="A3346" s="84">
        <v>48997</v>
      </c>
      <c r="B3346" s="85">
        <v>2034</v>
      </c>
      <c r="C3346" s="85">
        <v>2</v>
      </c>
      <c r="D3346" s="85" t="s">
        <v>58</v>
      </c>
      <c r="E3346" s="85">
        <v>22</v>
      </c>
      <c r="F3346" s="85">
        <v>3</v>
      </c>
      <c r="G3346" s="85">
        <f>--(F3346&lt;=Estimator!$B$7)</f>
        <v>1</v>
      </c>
      <c r="H3346" s="86">
        <f>SUMIFS('Climate Data'!$G$7:$G$366,'Climate Data'!$A$7:$A$366,Estimator!$B$4,'Climate Data'!$B$7:$B$366,C3346)</f>
        <v>0.18867924528301885</v>
      </c>
      <c r="I3346" s="87">
        <f>SUMIFS('Climate Data'!$H$7:$H$366,'Climate Data'!$A$7:$A$366,Estimator!$B$4,'Climate Data'!$B$7:$B$366,C3346)</f>
        <v>7.4624999999999995</v>
      </c>
      <c r="J3346" s="86">
        <f>SUMIFS('Wind Proxy'!$H$8:$H$19,'Wind Proxy'!$A$8:$A$19,Estimator!$B$4,'Wind Proxy'!$B$8:$B$19,C3346)</f>
        <v>0</v>
      </c>
    </row>
    <row r="3347" spans="1:10" ht="14.4">
      <c r="A3347" s="84">
        <v>48998</v>
      </c>
      <c r="B3347" s="85">
        <v>2034</v>
      </c>
      <c r="C3347" s="85">
        <v>2</v>
      </c>
      <c r="D3347" s="85" t="s">
        <v>58</v>
      </c>
      <c r="E3347" s="85">
        <v>23</v>
      </c>
      <c r="F3347" s="85">
        <v>4</v>
      </c>
      <c r="G3347" s="85">
        <f>--(F3347&lt;=Estimator!$B$7)</f>
        <v>1</v>
      </c>
      <c r="H3347" s="86">
        <f>SUMIFS('Climate Data'!$G$7:$G$366,'Climate Data'!$A$7:$A$366,Estimator!$B$4,'Climate Data'!$B$7:$B$366,C3347)</f>
        <v>0.18867924528301885</v>
      </c>
      <c r="I3347" s="87">
        <f>SUMIFS('Climate Data'!$H$7:$H$366,'Climate Data'!$A$7:$A$366,Estimator!$B$4,'Climate Data'!$B$7:$B$366,C3347)</f>
        <v>7.4624999999999995</v>
      </c>
      <c r="J3347" s="86">
        <f>SUMIFS('Wind Proxy'!$H$8:$H$19,'Wind Proxy'!$A$8:$A$19,Estimator!$B$4,'Wind Proxy'!$B$8:$B$19,C3347)</f>
        <v>0</v>
      </c>
    </row>
    <row r="3348" spans="1:10" ht="14.4">
      <c r="A3348" s="84">
        <v>48999</v>
      </c>
      <c r="B3348" s="85">
        <v>2034</v>
      </c>
      <c r="C3348" s="85">
        <v>2</v>
      </c>
      <c r="D3348" s="85" t="s">
        <v>58</v>
      </c>
      <c r="E3348" s="85">
        <v>24</v>
      </c>
      <c r="F3348" s="85">
        <v>5</v>
      </c>
      <c r="G3348" s="85">
        <f>--(F3348&lt;=Estimator!$B$7)</f>
        <v>1</v>
      </c>
      <c r="H3348" s="86">
        <f>SUMIFS('Climate Data'!$G$7:$G$366,'Climate Data'!$A$7:$A$366,Estimator!$B$4,'Climate Data'!$B$7:$B$366,C3348)</f>
        <v>0.18867924528301885</v>
      </c>
      <c r="I3348" s="87">
        <f>SUMIFS('Climate Data'!$H$7:$H$366,'Climate Data'!$A$7:$A$366,Estimator!$B$4,'Climate Data'!$B$7:$B$366,C3348)</f>
        <v>7.4624999999999995</v>
      </c>
      <c r="J3348" s="86">
        <f>SUMIFS('Wind Proxy'!$H$8:$H$19,'Wind Proxy'!$A$8:$A$19,Estimator!$B$4,'Wind Proxy'!$B$8:$B$19,C3348)</f>
        <v>0</v>
      </c>
    </row>
    <row r="3349" spans="1:10" ht="14.4">
      <c r="A3349" s="84">
        <v>49000</v>
      </c>
      <c r="B3349" s="85">
        <v>2034</v>
      </c>
      <c r="C3349" s="85">
        <v>2</v>
      </c>
      <c r="D3349" s="85" t="s">
        <v>58</v>
      </c>
      <c r="E3349" s="85">
        <v>25</v>
      </c>
      <c r="F3349" s="85">
        <v>6</v>
      </c>
      <c r="G3349" s="85">
        <f>--(F3349&lt;=Estimator!$B$7)</f>
        <v>0</v>
      </c>
      <c r="H3349" s="86">
        <f>SUMIFS('Climate Data'!$G$7:$G$366,'Climate Data'!$A$7:$A$366,Estimator!$B$4,'Climate Data'!$B$7:$B$366,C3349)</f>
        <v>0.18867924528301885</v>
      </c>
      <c r="I3349" s="87">
        <f>SUMIFS('Climate Data'!$H$7:$H$366,'Climate Data'!$A$7:$A$366,Estimator!$B$4,'Climate Data'!$B$7:$B$366,C3349)</f>
        <v>7.4624999999999995</v>
      </c>
      <c r="J3349" s="86">
        <f>SUMIFS('Wind Proxy'!$H$8:$H$19,'Wind Proxy'!$A$8:$A$19,Estimator!$B$4,'Wind Proxy'!$B$8:$B$19,C3349)</f>
        <v>0</v>
      </c>
    </row>
    <row r="3350" spans="1:10" ht="14.4">
      <c r="A3350" s="84">
        <v>49001</v>
      </c>
      <c r="B3350" s="85">
        <v>2034</v>
      </c>
      <c r="C3350" s="85">
        <v>2</v>
      </c>
      <c r="D3350" s="85" t="s">
        <v>58</v>
      </c>
      <c r="E3350" s="85">
        <v>26</v>
      </c>
      <c r="F3350" s="85">
        <v>7</v>
      </c>
      <c r="G3350" s="85">
        <f>--(F3350&lt;=Estimator!$B$7)</f>
        <v>0</v>
      </c>
      <c r="H3350" s="86">
        <f>SUMIFS('Climate Data'!$G$7:$G$366,'Climate Data'!$A$7:$A$366,Estimator!$B$4,'Climate Data'!$B$7:$B$366,C3350)</f>
        <v>0.18867924528301885</v>
      </c>
      <c r="I3350" s="87">
        <f>SUMIFS('Climate Data'!$H$7:$H$366,'Climate Data'!$A$7:$A$366,Estimator!$B$4,'Climate Data'!$B$7:$B$366,C3350)</f>
        <v>7.4624999999999995</v>
      </c>
      <c r="J3350" s="86">
        <f>SUMIFS('Wind Proxy'!$H$8:$H$19,'Wind Proxy'!$A$8:$A$19,Estimator!$B$4,'Wind Proxy'!$B$8:$B$19,C3350)</f>
        <v>0</v>
      </c>
    </row>
    <row r="3351" spans="1:10" ht="14.4">
      <c r="A3351" s="84">
        <v>49002</v>
      </c>
      <c r="B3351" s="85">
        <v>2034</v>
      </c>
      <c r="C3351" s="85">
        <v>2</v>
      </c>
      <c r="D3351" s="85" t="s">
        <v>58</v>
      </c>
      <c r="E3351" s="85">
        <v>27</v>
      </c>
      <c r="F3351" s="85">
        <v>1</v>
      </c>
      <c r="G3351" s="85">
        <f>--(F3351&lt;=Estimator!$B$7)</f>
        <v>1</v>
      </c>
      <c r="H3351" s="86">
        <f>SUMIFS('Climate Data'!$G$7:$G$366,'Climate Data'!$A$7:$A$366,Estimator!$B$4,'Climate Data'!$B$7:$B$366,C3351)</f>
        <v>0.18867924528301885</v>
      </c>
      <c r="I3351" s="87">
        <f>SUMIFS('Climate Data'!$H$7:$H$366,'Climate Data'!$A$7:$A$366,Estimator!$B$4,'Climate Data'!$B$7:$B$366,C3351)</f>
        <v>7.4624999999999995</v>
      </c>
      <c r="J3351" s="86">
        <f>SUMIFS('Wind Proxy'!$H$8:$H$19,'Wind Proxy'!$A$8:$A$19,Estimator!$B$4,'Wind Proxy'!$B$8:$B$19,C3351)</f>
        <v>0</v>
      </c>
    </row>
    <row r="3352" spans="1:10" ht="14.4">
      <c r="A3352" s="84">
        <v>49003</v>
      </c>
      <c r="B3352" s="85">
        <v>2034</v>
      </c>
      <c r="C3352" s="85">
        <v>2</v>
      </c>
      <c r="D3352" s="85" t="s">
        <v>58</v>
      </c>
      <c r="E3352" s="85">
        <v>28</v>
      </c>
      <c r="F3352" s="85">
        <v>2</v>
      </c>
      <c r="G3352" s="85">
        <f>--(F3352&lt;=Estimator!$B$7)</f>
        <v>1</v>
      </c>
      <c r="H3352" s="86">
        <f>SUMIFS('Climate Data'!$G$7:$G$366,'Climate Data'!$A$7:$A$366,Estimator!$B$4,'Climate Data'!$B$7:$B$366,C3352)</f>
        <v>0.18867924528301885</v>
      </c>
      <c r="I3352" s="87">
        <f>SUMIFS('Climate Data'!$H$7:$H$366,'Climate Data'!$A$7:$A$366,Estimator!$B$4,'Climate Data'!$B$7:$B$366,C3352)</f>
        <v>7.4624999999999995</v>
      </c>
      <c r="J3352" s="86">
        <f>SUMIFS('Wind Proxy'!$H$8:$H$19,'Wind Proxy'!$A$8:$A$19,Estimator!$B$4,'Wind Proxy'!$B$8:$B$19,C3352)</f>
        <v>0</v>
      </c>
    </row>
    <row r="3353" spans="1:10" ht="14.4">
      <c r="A3353" s="84">
        <v>49004</v>
      </c>
      <c r="B3353" s="85">
        <v>2034</v>
      </c>
      <c r="C3353" s="85">
        <v>3</v>
      </c>
      <c r="D3353" s="85" t="s">
        <v>60</v>
      </c>
      <c r="E3353" s="85">
        <v>1</v>
      </c>
      <c r="F3353" s="85">
        <v>3</v>
      </c>
      <c r="G3353" s="85">
        <f>--(F3353&lt;=Estimator!$B$7)</f>
        <v>1</v>
      </c>
      <c r="H3353" s="86">
        <f>SUMIFS('Climate Data'!$G$7:$G$366,'Climate Data'!$A$7:$A$366,Estimator!$B$4,'Climate Data'!$B$7:$B$366,C3353)</f>
        <v>0.18494623655913978</v>
      </c>
      <c r="I3353" s="87">
        <f>SUMIFS('Climate Data'!$H$7:$H$366,'Climate Data'!$A$7:$A$366,Estimator!$B$4,'Climate Data'!$B$7:$B$366,C3353)</f>
        <v>7.8662790697674421</v>
      </c>
      <c r="J3353" s="86">
        <f>SUMIFS('Wind Proxy'!$H$8:$H$19,'Wind Proxy'!$A$8:$A$19,Estimator!$B$4,'Wind Proxy'!$B$8:$B$19,C3353)</f>
        <v>0</v>
      </c>
    </row>
    <row r="3354" spans="1:10" ht="14.4">
      <c r="A3354" s="84">
        <v>49005</v>
      </c>
      <c r="B3354" s="85">
        <v>2034</v>
      </c>
      <c r="C3354" s="85">
        <v>3</v>
      </c>
      <c r="D3354" s="85" t="s">
        <v>60</v>
      </c>
      <c r="E3354" s="85">
        <v>2</v>
      </c>
      <c r="F3354" s="85">
        <v>4</v>
      </c>
      <c r="G3354" s="85">
        <f>--(F3354&lt;=Estimator!$B$7)</f>
        <v>1</v>
      </c>
      <c r="H3354" s="86">
        <f>SUMIFS('Climate Data'!$G$7:$G$366,'Climate Data'!$A$7:$A$366,Estimator!$B$4,'Climate Data'!$B$7:$B$366,C3354)</f>
        <v>0.18494623655913978</v>
      </c>
      <c r="I3354" s="87">
        <f>SUMIFS('Climate Data'!$H$7:$H$366,'Climate Data'!$A$7:$A$366,Estimator!$B$4,'Climate Data'!$B$7:$B$366,C3354)</f>
        <v>7.8662790697674421</v>
      </c>
      <c r="J3354" s="86">
        <f>SUMIFS('Wind Proxy'!$H$8:$H$19,'Wind Proxy'!$A$8:$A$19,Estimator!$B$4,'Wind Proxy'!$B$8:$B$19,C3354)</f>
        <v>0</v>
      </c>
    </row>
    <row r="3355" spans="1:10" ht="14.4">
      <c r="A3355" s="84">
        <v>49006</v>
      </c>
      <c r="B3355" s="85">
        <v>2034</v>
      </c>
      <c r="C3355" s="85">
        <v>3</v>
      </c>
      <c r="D3355" s="85" t="s">
        <v>60</v>
      </c>
      <c r="E3355" s="85">
        <v>3</v>
      </c>
      <c r="F3355" s="85">
        <v>5</v>
      </c>
      <c r="G3355" s="85">
        <f>--(F3355&lt;=Estimator!$B$7)</f>
        <v>1</v>
      </c>
      <c r="H3355" s="86">
        <f>SUMIFS('Climate Data'!$G$7:$G$366,'Climate Data'!$A$7:$A$366,Estimator!$B$4,'Climate Data'!$B$7:$B$366,C3355)</f>
        <v>0.18494623655913978</v>
      </c>
      <c r="I3355" s="87">
        <f>SUMIFS('Climate Data'!$H$7:$H$366,'Climate Data'!$A$7:$A$366,Estimator!$B$4,'Climate Data'!$B$7:$B$366,C3355)</f>
        <v>7.8662790697674421</v>
      </c>
      <c r="J3355" s="86">
        <f>SUMIFS('Wind Proxy'!$H$8:$H$19,'Wind Proxy'!$A$8:$A$19,Estimator!$B$4,'Wind Proxy'!$B$8:$B$19,C3355)</f>
        <v>0</v>
      </c>
    </row>
    <row r="3356" spans="1:10" ht="14.4">
      <c r="A3356" s="84">
        <v>49007</v>
      </c>
      <c r="B3356" s="85">
        <v>2034</v>
      </c>
      <c r="C3356" s="85">
        <v>3</v>
      </c>
      <c r="D3356" s="85" t="s">
        <v>60</v>
      </c>
      <c r="E3356" s="85">
        <v>4</v>
      </c>
      <c r="F3356" s="85">
        <v>6</v>
      </c>
      <c r="G3356" s="85">
        <f>--(F3356&lt;=Estimator!$B$7)</f>
        <v>0</v>
      </c>
      <c r="H3356" s="86">
        <f>SUMIFS('Climate Data'!$G$7:$G$366,'Climate Data'!$A$7:$A$366,Estimator!$B$4,'Climate Data'!$B$7:$B$366,C3356)</f>
        <v>0.18494623655913978</v>
      </c>
      <c r="I3356" s="87">
        <f>SUMIFS('Climate Data'!$H$7:$H$366,'Climate Data'!$A$7:$A$366,Estimator!$B$4,'Climate Data'!$B$7:$B$366,C3356)</f>
        <v>7.8662790697674421</v>
      </c>
      <c r="J3356" s="86">
        <f>SUMIFS('Wind Proxy'!$H$8:$H$19,'Wind Proxy'!$A$8:$A$19,Estimator!$B$4,'Wind Proxy'!$B$8:$B$19,C3356)</f>
        <v>0</v>
      </c>
    </row>
    <row r="3357" spans="1:10" ht="14.4">
      <c r="A3357" s="84">
        <v>49008</v>
      </c>
      <c r="B3357" s="85">
        <v>2034</v>
      </c>
      <c r="C3357" s="85">
        <v>3</v>
      </c>
      <c r="D3357" s="85" t="s">
        <v>60</v>
      </c>
      <c r="E3357" s="85">
        <v>5</v>
      </c>
      <c r="F3357" s="85">
        <v>7</v>
      </c>
      <c r="G3357" s="85">
        <f>--(F3357&lt;=Estimator!$B$7)</f>
        <v>0</v>
      </c>
      <c r="H3357" s="86">
        <f>SUMIFS('Climate Data'!$G$7:$G$366,'Climate Data'!$A$7:$A$366,Estimator!$B$4,'Climate Data'!$B$7:$B$366,C3357)</f>
        <v>0.18494623655913978</v>
      </c>
      <c r="I3357" s="87">
        <f>SUMIFS('Climate Data'!$H$7:$H$366,'Climate Data'!$A$7:$A$366,Estimator!$B$4,'Climate Data'!$B$7:$B$366,C3357)</f>
        <v>7.8662790697674421</v>
      </c>
      <c r="J3357" s="86">
        <f>SUMIFS('Wind Proxy'!$H$8:$H$19,'Wind Proxy'!$A$8:$A$19,Estimator!$B$4,'Wind Proxy'!$B$8:$B$19,C3357)</f>
        <v>0</v>
      </c>
    </row>
    <row r="3358" spans="1:10" ht="14.4">
      <c r="A3358" s="84">
        <v>49009</v>
      </c>
      <c r="B3358" s="85">
        <v>2034</v>
      </c>
      <c r="C3358" s="85">
        <v>3</v>
      </c>
      <c r="D3358" s="85" t="s">
        <v>60</v>
      </c>
      <c r="E3358" s="85">
        <v>6</v>
      </c>
      <c r="F3358" s="85">
        <v>1</v>
      </c>
      <c r="G3358" s="85">
        <f>--(F3358&lt;=Estimator!$B$7)</f>
        <v>1</v>
      </c>
      <c r="H3358" s="86">
        <f>SUMIFS('Climate Data'!$G$7:$G$366,'Climate Data'!$A$7:$A$366,Estimator!$B$4,'Climate Data'!$B$7:$B$366,C3358)</f>
        <v>0.18494623655913978</v>
      </c>
      <c r="I3358" s="87">
        <f>SUMIFS('Climate Data'!$H$7:$H$366,'Climate Data'!$A$7:$A$366,Estimator!$B$4,'Climate Data'!$B$7:$B$366,C3358)</f>
        <v>7.8662790697674421</v>
      </c>
      <c r="J3358" s="86">
        <f>SUMIFS('Wind Proxy'!$H$8:$H$19,'Wind Proxy'!$A$8:$A$19,Estimator!$B$4,'Wind Proxy'!$B$8:$B$19,C3358)</f>
        <v>0</v>
      </c>
    </row>
    <row r="3359" spans="1:10" ht="14.4">
      <c r="A3359" s="84">
        <v>49010</v>
      </c>
      <c r="B3359" s="85">
        <v>2034</v>
      </c>
      <c r="C3359" s="85">
        <v>3</v>
      </c>
      <c r="D3359" s="85" t="s">
        <v>60</v>
      </c>
      <c r="E3359" s="85">
        <v>7</v>
      </c>
      <c r="F3359" s="85">
        <v>2</v>
      </c>
      <c r="G3359" s="85">
        <f>--(F3359&lt;=Estimator!$B$7)</f>
        <v>1</v>
      </c>
      <c r="H3359" s="86">
        <f>SUMIFS('Climate Data'!$G$7:$G$366,'Climate Data'!$A$7:$A$366,Estimator!$B$4,'Climate Data'!$B$7:$B$366,C3359)</f>
        <v>0.18494623655913978</v>
      </c>
      <c r="I3359" s="87">
        <f>SUMIFS('Climate Data'!$H$7:$H$366,'Climate Data'!$A$7:$A$366,Estimator!$B$4,'Climate Data'!$B$7:$B$366,C3359)</f>
        <v>7.8662790697674421</v>
      </c>
      <c r="J3359" s="86">
        <f>SUMIFS('Wind Proxy'!$H$8:$H$19,'Wind Proxy'!$A$8:$A$19,Estimator!$B$4,'Wind Proxy'!$B$8:$B$19,C3359)</f>
        <v>0</v>
      </c>
    </row>
    <row r="3360" spans="1:10" ht="14.4">
      <c r="A3360" s="84">
        <v>49011</v>
      </c>
      <c r="B3360" s="85">
        <v>2034</v>
      </c>
      <c r="C3360" s="85">
        <v>3</v>
      </c>
      <c r="D3360" s="85" t="s">
        <v>60</v>
      </c>
      <c r="E3360" s="85">
        <v>8</v>
      </c>
      <c r="F3360" s="85">
        <v>3</v>
      </c>
      <c r="G3360" s="85">
        <f>--(F3360&lt;=Estimator!$B$7)</f>
        <v>1</v>
      </c>
      <c r="H3360" s="86">
        <f>SUMIFS('Climate Data'!$G$7:$G$366,'Climate Data'!$A$7:$A$366,Estimator!$B$4,'Climate Data'!$B$7:$B$366,C3360)</f>
        <v>0.18494623655913978</v>
      </c>
      <c r="I3360" s="87">
        <f>SUMIFS('Climate Data'!$H$7:$H$366,'Climate Data'!$A$7:$A$366,Estimator!$B$4,'Climate Data'!$B$7:$B$366,C3360)</f>
        <v>7.8662790697674421</v>
      </c>
      <c r="J3360" s="86">
        <f>SUMIFS('Wind Proxy'!$H$8:$H$19,'Wind Proxy'!$A$8:$A$19,Estimator!$B$4,'Wind Proxy'!$B$8:$B$19,C3360)</f>
        <v>0</v>
      </c>
    </row>
    <row r="3361" spans="1:10" ht="14.4">
      <c r="A3361" s="84">
        <v>49012</v>
      </c>
      <c r="B3361" s="85">
        <v>2034</v>
      </c>
      <c r="C3361" s="85">
        <v>3</v>
      </c>
      <c r="D3361" s="85" t="s">
        <v>60</v>
      </c>
      <c r="E3361" s="85">
        <v>9</v>
      </c>
      <c r="F3361" s="85">
        <v>4</v>
      </c>
      <c r="G3361" s="85">
        <f>--(F3361&lt;=Estimator!$B$7)</f>
        <v>1</v>
      </c>
      <c r="H3361" s="86">
        <f>SUMIFS('Climate Data'!$G$7:$G$366,'Climate Data'!$A$7:$A$366,Estimator!$B$4,'Climate Data'!$B$7:$B$366,C3361)</f>
        <v>0.18494623655913978</v>
      </c>
      <c r="I3361" s="87">
        <f>SUMIFS('Climate Data'!$H$7:$H$366,'Climate Data'!$A$7:$A$366,Estimator!$B$4,'Climate Data'!$B$7:$B$366,C3361)</f>
        <v>7.8662790697674421</v>
      </c>
      <c r="J3361" s="86">
        <f>SUMIFS('Wind Proxy'!$H$8:$H$19,'Wind Proxy'!$A$8:$A$19,Estimator!$B$4,'Wind Proxy'!$B$8:$B$19,C3361)</f>
        <v>0</v>
      </c>
    </row>
    <row r="3362" spans="1:10" ht="14.4">
      <c r="A3362" s="84">
        <v>49013</v>
      </c>
      <c r="B3362" s="85">
        <v>2034</v>
      </c>
      <c r="C3362" s="85">
        <v>3</v>
      </c>
      <c r="D3362" s="85" t="s">
        <v>60</v>
      </c>
      <c r="E3362" s="85">
        <v>10</v>
      </c>
      <c r="F3362" s="85">
        <v>5</v>
      </c>
      <c r="G3362" s="85">
        <f>--(F3362&lt;=Estimator!$B$7)</f>
        <v>1</v>
      </c>
      <c r="H3362" s="86">
        <f>SUMIFS('Climate Data'!$G$7:$G$366,'Climate Data'!$A$7:$A$366,Estimator!$B$4,'Climate Data'!$B$7:$B$366,C3362)</f>
        <v>0.18494623655913978</v>
      </c>
      <c r="I3362" s="87">
        <f>SUMIFS('Climate Data'!$H$7:$H$366,'Climate Data'!$A$7:$A$366,Estimator!$B$4,'Climate Data'!$B$7:$B$366,C3362)</f>
        <v>7.8662790697674421</v>
      </c>
      <c r="J3362" s="86">
        <f>SUMIFS('Wind Proxy'!$H$8:$H$19,'Wind Proxy'!$A$8:$A$19,Estimator!$B$4,'Wind Proxy'!$B$8:$B$19,C3362)</f>
        <v>0</v>
      </c>
    </row>
    <row r="3363" spans="1:10" ht="14.4">
      <c r="A3363" s="84">
        <v>49014</v>
      </c>
      <c r="B3363" s="85">
        <v>2034</v>
      </c>
      <c r="C3363" s="85">
        <v>3</v>
      </c>
      <c r="D3363" s="85" t="s">
        <v>60</v>
      </c>
      <c r="E3363" s="85">
        <v>11</v>
      </c>
      <c r="F3363" s="85">
        <v>6</v>
      </c>
      <c r="G3363" s="85">
        <f>--(F3363&lt;=Estimator!$B$7)</f>
        <v>0</v>
      </c>
      <c r="H3363" s="86">
        <f>SUMIFS('Climate Data'!$G$7:$G$366,'Climate Data'!$A$7:$A$366,Estimator!$B$4,'Climate Data'!$B$7:$B$366,C3363)</f>
        <v>0.18494623655913978</v>
      </c>
      <c r="I3363" s="87">
        <f>SUMIFS('Climate Data'!$H$7:$H$366,'Climate Data'!$A$7:$A$366,Estimator!$B$4,'Climate Data'!$B$7:$B$366,C3363)</f>
        <v>7.8662790697674421</v>
      </c>
      <c r="J3363" s="86">
        <f>SUMIFS('Wind Proxy'!$H$8:$H$19,'Wind Proxy'!$A$8:$A$19,Estimator!$B$4,'Wind Proxy'!$B$8:$B$19,C3363)</f>
        <v>0</v>
      </c>
    </row>
    <row r="3364" spans="1:10" ht="14.4">
      <c r="A3364" s="84">
        <v>49015</v>
      </c>
      <c r="B3364" s="85">
        <v>2034</v>
      </c>
      <c r="C3364" s="85">
        <v>3</v>
      </c>
      <c r="D3364" s="85" t="s">
        <v>60</v>
      </c>
      <c r="E3364" s="85">
        <v>12</v>
      </c>
      <c r="F3364" s="85">
        <v>7</v>
      </c>
      <c r="G3364" s="85">
        <f>--(F3364&lt;=Estimator!$B$7)</f>
        <v>0</v>
      </c>
      <c r="H3364" s="86">
        <f>SUMIFS('Climate Data'!$G$7:$G$366,'Climate Data'!$A$7:$A$366,Estimator!$B$4,'Climate Data'!$B$7:$B$366,C3364)</f>
        <v>0.18494623655913978</v>
      </c>
      <c r="I3364" s="87">
        <f>SUMIFS('Climate Data'!$H$7:$H$366,'Climate Data'!$A$7:$A$366,Estimator!$B$4,'Climate Data'!$B$7:$B$366,C3364)</f>
        <v>7.8662790697674421</v>
      </c>
      <c r="J3364" s="86">
        <f>SUMIFS('Wind Proxy'!$H$8:$H$19,'Wind Proxy'!$A$8:$A$19,Estimator!$B$4,'Wind Proxy'!$B$8:$B$19,C3364)</f>
        <v>0</v>
      </c>
    </row>
    <row r="3365" spans="1:10" ht="14.4">
      <c r="A3365" s="84">
        <v>49016</v>
      </c>
      <c r="B3365" s="85">
        <v>2034</v>
      </c>
      <c r="C3365" s="85">
        <v>3</v>
      </c>
      <c r="D3365" s="85" t="s">
        <v>60</v>
      </c>
      <c r="E3365" s="85">
        <v>13</v>
      </c>
      <c r="F3365" s="85">
        <v>1</v>
      </c>
      <c r="G3365" s="85">
        <f>--(F3365&lt;=Estimator!$B$7)</f>
        <v>1</v>
      </c>
      <c r="H3365" s="86">
        <f>SUMIFS('Climate Data'!$G$7:$G$366,'Climate Data'!$A$7:$A$366,Estimator!$B$4,'Climate Data'!$B$7:$B$366,C3365)</f>
        <v>0.18494623655913978</v>
      </c>
      <c r="I3365" s="87">
        <f>SUMIFS('Climate Data'!$H$7:$H$366,'Climate Data'!$A$7:$A$366,Estimator!$B$4,'Climate Data'!$B$7:$B$366,C3365)</f>
        <v>7.8662790697674421</v>
      </c>
      <c r="J3365" s="86">
        <f>SUMIFS('Wind Proxy'!$H$8:$H$19,'Wind Proxy'!$A$8:$A$19,Estimator!$B$4,'Wind Proxy'!$B$8:$B$19,C3365)</f>
        <v>0</v>
      </c>
    </row>
    <row r="3366" spans="1:10" ht="14.4">
      <c r="A3366" s="84">
        <v>49017</v>
      </c>
      <c r="B3366" s="85">
        <v>2034</v>
      </c>
      <c r="C3366" s="85">
        <v>3</v>
      </c>
      <c r="D3366" s="85" t="s">
        <v>60</v>
      </c>
      <c r="E3366" s="85">
        <v>14</v>
      </c>
      <c r="F3366" s="85">
        <v>2</v>
      </c>
      <c r="G3366" s="85">
        <f>--(F3366&lt;=Estimator!$B$7)</f>
        <v>1</v>
      </c>
      <c r="H3366" s="86">
        <f>SUMIFS('Climate Data'!$G$7:$G$366,'Climate Data'!$A$7:$A$366,Estimator!$B$4,'Climate Data'!$B$7:$B$366,C3366)</f>
        <v>0.18494623655913978</v>
      </c>
      <c r="I3366" s="87">
        <f>SUMIFS('Climate Data'!$H$7:$H$366,'Climate Data'!$A$7:$A$366,Estimator!$B$4,'Climate Data'!$B$7:$B$366,C3366)</f>
        <v>7.8662790697674421</v>
      </c>
      <c r="J3366" s="86">
        <f>SUMIFS('Wind Proxy'!$H$8:$H$19,'Wind Proxy'!$A$8:$A$19,Estimator!$B$4,'Wind Proxy'!$B$8:$B$19,C3366)</f>
        <v>0</v>
      </c>
    </row>
    <row r="3367" spans="1:10" ht="14.4">
      <c r="A3367" s="84">
        <v>49018</v>
      </c>
      <c r="B3367" s="85">
        <v>2034</v>
      </c>
      <c r="C3367" s="85">
        <v>3</v>
      </c>
      <c r="D3367" s="85" t="s">
        <v>60</v>
      </c>
      <c r="E3367" s="85">
        <v>15</v>
      </c>
      <c r="F3367" s="85">
        <v>3</v>
      </c>
      <c r="G3367" s="85">
        <f>--(F3367&lt;=Estimator!$B$7)</f>
        <v>1</v>
      </c>
      <c r="H3367" s="86">
        <f>SUMIFS('Climate Data'!$G$7:$G$366,'Climate Data'!$A$7:$A$366,Estimator!$B$4,'Climate Data'!$B$7:$B$366,C3367)</f>
        <v>0.18494623655913978</v>
      </c>
      <c r="I3367" s="87">
        <f>SUMIFS('Climate Data'!$H$7:$H$366,'Climate Data'!$A$7:$A$366,Estimator!$B$4,'Climate Data'!$B$7:$B$366,C3367)</f>
        <v>7.8662790697674421</v>
      </c>
      <c r="J3367" s="86">
        <f>SUMIFS('Wind Proxy'!$H$8:$H$19,'Wind Proxy'!$A$8:$A$19,Estimator!$B$4,'Wind Proxy'!$B$8:$B$19,C3367)</f>
        <v>0</v>
      </c>
    </row>
    <row r="3368" spans="1:10" ht="14.4">
      <c r="A3368" s="84">
        <v>49019</v>
      </c>
      <c r="B3368" s="85">
        <v>2034</v>
      </c>
      <c r="C3368" s="85">
        <v>3</v>
      </c>
      <c r="D3368" s="85" t="s">
        <v>60</v>
      </c>
      <c r="E3368" s="85">
        <v>16</v>
      </c>
      <c r="F3368" s="85">
        <v>4</v>
      </c>
      <c r="G3368" s="85">
        <f>--(F3368&lt;=Estimator!$B$7)</f>
        <v>1</v>
      </c>
      <c r="H3368" s="86">
        <f>SUMIFS('Climate Data'!$G$7:$G$366,'Climate Data'!$A$7:$A$366,Estimator!$B$4,'Climate Data'!$B$7:$B$366,C3368)</f>
        <v>0.18494623655913978</v>
      </c>
      <c r="I3368" s="87">
        <f>SUMIFS('Climate Data'!$H$7:$H$366,'Climate Data'!$A$7:$A$366,Estimator!$B$4,'Climate Data'!$B$7:$B$366,C3368)</f>
        <v>7.8662790697674421</v>
      </c>
      <c r="J3368" s="86">
        <f>SUMIFS('Wind Proxy'!$H$8:$H$19,'Wind Proxy'!$A$8:$A$19,Estimator!$B$4,'Wind Proxy'!$B$8:$B$19,C3368)</f>
        <v>0</v>
      </c>
    </row>
    <row r="3369" spans="1:10" ht="14.4">
      <c r="A3369" s="84">
        <v>49020</v>
      </c>
      <c r="B3369" s="85">
        <v>2034</v>
      </c>
      <c r="C3369" s="85">
        <v>3</v>
      </c>
      <c r="D3369" s="85" t="s">
        <v>60</v>
      </c>
      <c r="E3369" s="85">
        <v>17</v>
      </c>
      <c r="F3369" s="85">
        <v>5</v>
      </c>
      <c r="G3369" s="85">
        <f>--(F3369&lt;=Estimator!$B$7)</f>
        <v>1</v>
      </c>
      <c r="H3369" s="86">
        <f>SUMIFS('Climate Data'!$G$7:$G$366,'Climate Data'!$A$7:$A$366,Estimator!$B$4,'Climate Data'!$B$7:$B$366,C3369)</f>
        <v>0.18494623655913978</v>
      </c>
      <c r="I3369" s="87">
        <f>SUMIFS('Climate Data'!$H$7:$H$366,'Climate Data'!$A$7:$A$366,Estimator!$B$4,'Climate Data'!$B$7:$B$366,C3369)</f>
        <v>7.8662790697674421</v>
      </c>
      <c r="J3369" s="86">
        <f>SUMIFS('Wind Proxy'!$H$8:$H$19,'Wind Proxy'!$A$8:$A$19,Estimator!$B$4,'Wind Proxy'!$B$8:$B$19,C3369)</f>
        <v>0</v>
      </c>
    </row>
    <row r="3370" spans="1:10" ht="14.4">
      <c r="A3370" s="84">
        <v>49021</v>
      </c>
      <c r="B3370" s="85">
        <v>2034</v>
      </c>
      <c r="C3370" s="85">
        <v>3</v>
      </c>
      <c r="D3370" s="85" t="s">
        <v>60</v>
      </c>
      <c r="E3370" s="85">
        <v>18</v>
      </c>
      <c r="F3370" s="85">
        <v>6</v>
      </c>
      <c r="G3370" s="85">
        <f>--(F3370&lt;=Estimator!$B$7)</f>
        <v>0</v>
      </c>
      <c r="H3370" s="86">
        <f>SUMIFS('Climate Data'!$G$7:$G$366,'Climate Data'!$A$7:$A$366,Estimator!$B$4,'Climate Data'!$B$7:$B$366,C3370)</f>
        <v>0.18494623655913978</v>
      </c>
      <c r="I3370" s="87">
        <f>SUMIFS('Climate Data'!$H$7:$H$366,'Climate Data'!$A$7:$A$366,Estimator!$B$4,'Climate Data'!$B$7:$B$366,C3370)</f>
        <v>7.8662790697674421</v>
      </c>
      <c r="J3370" s="86">
        <f>SUMIFS('Wind Proxy'!$H$8:$H$19,'Wind Proxy'!$A$8:$A$19,Estimator!$B$4,'Wind Proxy'!$B$8:$B$19,C3370)</f>
        <v>0</v>
      </c>
    </row>
    <row r="3371" spans="1:10" ht="14.4">
      <c r="A3371" s="84">
        <v>49022</v>
      </c>
      <c r="B3371" s="85">
        <v>2034</v>
      </c>
      <c r="C3371" s="85">
        <v>3</v>
      </c>
      <c r="D3371" s="85" t="s">
        <v>60</v>
      </c>
      <c r="E3371" s="85">
        <v>19</v>
      </c>
      <c r="F3371" s="85">
        <v>7</v>
      </c>
      <c r="G3371" s="85">
        <f>--(F3371&lt;=Estimator!$B$7)</f>
        <v>0</v>
      </c>
      <c r="H3371" s="86">
        <f>SUMIFS('Climate Data'!$G$7:$G$366,'Climate Data'!$A$7:$A$366,Estimator!$B$4,'Climate Data'!$B$7:$B$366,C3371)</f>
        <v>0.18494623655913978</v>
      </c>
      <c r="I3371" s="87">
        <f>SUMIFS('Climate Data'!$H$7:$H$366,'Climate Data'!$A$7:$A$366,Estimator!$B$4,'Climate Data'!$B$7:$B$366,C3371)</f>
        <v>7.8662790697674421</v>
      </c>
      <c r="J3371" s="86">
        <f>SUMIFS('Wind Proxy'!$H$8:$H$19,'Wind Proxy'!$A$8:$A$19,Estimator!$B$4,'Wind Proxy'!$B$8:$B$19,C3371)</f>
        <v>0</v>
      </c>
    </row>
    <row r="3372" spans="1:10" ht="14.4">
      <c r="A3372" s="84">
        <v>49023</v>
      </c>
      <c r="B3372" s="85">
        <v>2034</v>
      </c>
      <c r="C3372" s="85">
        <v>3</v>
      </c>
      <c r="D3372" s="85" t="s">
        <v>60</v>
      </c>
      <c r="E3372" s="85">
        <v>20</v>
      </c>
      <c r="F3372" s="85">
        <v>1</v>
      </c>
      <c r="G3372" s="85">
        <f>--(F3372&lt;=Estimator!$B$7)</f>
        <v>1</v>
      </c>
      <c r="H3372" s="86">
        <f>SUMIFS('Climate Data'!$G$7:$G$366,'Climate Data'!$A$7:$A$366,Estimator!$B$4,'Climate Data'!$B$7:$B$366,C3372)</f>
        <v>0.18494623655913978</v>
      </c>
      <c r="I3372" s="87">
        <f>SUMIFS('Climate Data'!$H$7:$H$366,'Climate Data'!$A$7:$A$366,Estimator!$B$4,'Climate Data'!$B$7:$B$366,C3372)</f>
        <v>7.8662790697674421</v>
      </c>
      <c r="J3372" s="86">
        <f>SUMIFS('Wind Proxy'!$H$8:$H$19,'Wind Proxy'!$A$8:$A$19,Estimator!$B$4,'Wind Proxy'!$B$8:$B$19,C3372)</f>
        <v>0</v>
      </c>
    </row>
    <row r="3373" spans="1:10" ht="14.4">
      <c r="A3373" s="84">
        <v>49024</v>
      </c>
      <c r="B3373" s="85">
        <v>2034</v>
      </c>
      <c r="C3373" s="85">
        <v>3</v>
      </c>
      <c r="D3373" s="85" t="s">
        <v>60</v>
      </c>
      <c r="E3373" s="85">
        <v>21</v>
      </c>
      <c r="F3373" s="85">
        <v>2</v>
      </c>
      <c r="G3373" s="85">
        <f>--(F3373&lt;=Estimator!$B$7)</f>
        <v>1</v>
      </c>
      <c r="H3373" s="86">
        <f>SUMIFS('Climate Data'!$G$7:$G$366,'Climate Data'!$A$7:$A$366,Estimator!$B$4,'Climate Data'!$B$7:$B$366,C3373)</f>
        <v>0.18494623655913978</v>
      </c>
      <c r="I3373" s="87">
        <f>SUMIFS('Climate Data'!$H$7:$H$366,'Climate Data'!$A$7:$A$366,Estimator!$B$4,'Climate Data'!$B$7:$B$366,C3373)</f>
        <v>7.8662790697674421</v>
      </c>
      <c r="J3373" s="86">
        <f>SUMIFS('Wind Proxy'!$H$8:$H$19,'Wind Proxy'!$A$8:$A$19,Estimator!$B$4,'Wind Proxy'!$B$8:$B$19,C3373)</f>
        <v>0</v>
      </c>
    </row>
    <row r="3374" spans="1:10" ht="14.4">
      <c r="A3374" s="84">
        <v>49025</v>
      </c>
      <c r="B3374" s="85">
        <v>2034</v>
      </c>
      <c r="C3374" s="85">
        <v>3</v>
      </c>
      <c r="D3374" s="85" t="s">
        <v>60</v>
      </c>
      <c r="E3374" s="85">
        <v>22</v>
      </c>
      <c r="F3374" s="85">
        <v>3</v>
      </c>
      <c r="G3374" s="85">
        <f>--(F3374&lt;=Estimator!$B$7)</f>
        <v>1</v>
      </c>
      <c r="H3374" s="86">
        <f>SUMIFS('Climate Data'!$G$7:$G$366,'Climate Data'!$A$7:$A$366,Estimator!$B$4,'Climate Data'!$B$7:$B$366,C3374)</f>
        <v>0.18494623655913978</v>
      </c>
      <c r="I3374" s="87">
        <f>SUMIFS('Climate Data'!$H$7:$H$366,'Climate Data'!$A$7:$A$366,Estimator!$B$4,'Climate Data'!$B$7:$B$366,C3374)</f>
        <v>7.8662790697674421</v>
      </c>
      <c r="J3374" s="86">
        <f>SUMIFS('Wind Proxy'!$H$8:$H$19,'Wind Proxy'!$A$8:$A$19,Estimator!$B$4,'Wind Proxy'!$B$8:$B$19,C3374)</f>
        <v>0</v>
      </c>
    </row>
    <row r="3375" spans="1:10" ht="14.4">
      <c r="A3375" s="84">
        <v>49026</v>
      </c>
      <c r="B3375" s="85">
        <v>2034</v>
      </c>
      <c r="C3375" s="85">
        <v>3</v>
      </c>
      <c r="D3375" s="85" t="s">
        <v>60</v>
      </c>
      <c r="E3375" s="85">
        <v>23</v>
      </c>
      <c r="F3375" s="85">
        <v>4</v>
      </c>
      <c r="G3375" s="85">
        <f>--(F3375&lt;=Estimator!$B$7)</f>
        <v>1</v>
      </c>
      <c r="H3375" s="86">
        <f>SUMIFS('Climate Data'!$G$7:$G$366,'Climate Data'!$A$7:$A$366,Estimator!$B$4,'Climate Data'!$B$7:$B$366,C3375)</f>
        <v>0.18494623655913978</v>
      </c>
      <c r="I3375" s="87">
        <f>SUMIFS('Climate Data'!$H$7:$H$366,'Climate Data'!$A$7:$A$366,Estimator!$B$4,'Climate Data'!$B$7:$B$366,C3375)</f>
        <v>7.8662790697674421</v>
      </c>
      <c r="J3375" s="86">
        <f>SUMIFS('Wind Proxy'!$H$8:$H$19,'Wind Proxy'!$A$8:$A$19,Estimator!$B$4,'Wind Proxy'!$B$8:$B$19,C3375)</f>
        <v>0</v>
      </c>
    </row>
    <row r="3376" spans="1:10" ht="14.4">
      <c r="A3376" s="84">
        <v>49027</v>
      </c>
      <c r="B3376" s="85">
        <v>2034</v>
      </c>
      <c r="C3376" s="85">
        <v>3</v>
      </c>
      <c r="D3376" s="85" t="s">
        <v>60</v>
      </c>
      <c r="E3376" s="85">
        <v>24</v>
      </c>
      <c r="F3376" s="85">
        <v>5</v>
      </c>
      <c r="G3376" s="85">
        <f>--(F3376&lt;=Estimator!$B$7)</f>
        <v>1</v>
      </c>
      <c r="H3376" s="86">
        <f>SUMIFS('Climate Data'!$G$7:$G$366,'Climate Data'!$A$7:$A$366,Estimator!$B$4,'Climate Data'!$B$7:$B$366,C3376)</f>
        <v>0.18494623655913978</v>
      </c>
      <c r="I3376" s="87">
        <f>SUMIFS('Climate Data'!$H$7:$H$366,'Climate Data'!$A$7:$A$366,Estimator!$B$4,'Climate Data'!$B$7:$B$366,C3376)</f>
        <v>7.8662790697674421</v>
      </c>
      <c r="J3376" s="86">
        <f>SUMIFS('Wind Proxy'!$H$8:$H$19,'Wind Proxy'!$A$8:$A$19,Estimator!$B$4,'Wind Proxy'!$B$8:$B$19,C3376)</f>
        <v>0</v>
      </c>
    </row>
    <row r="3377" spans="1:10" ht="14.4">
      <c r="A3377" s="84">
        <v>49028</v>
      </c>
      <c r="B3377" s="85">
        <v>2034</v>
      </c>
      <c r="C3377" s="85">
        <v>3</v>
      </c>
      <c r="D3377" s="85" t="s">
        <v>60</v>
      </c>
      <c r="E3377" s="85">
        <v>25</v>
      </c>
      <c r="F3377" s="85">
        <v>6</v>
      </c>
      <c r="G3377" s="85">
        <f>--(F3377&lt;=Estimator!$B$7)</f>
        <v>0</v>
      </c>
      <c r="H3377" s="86">
        <f>SUMIFS('Climate Data'!$G$7:$G$366,'Climate Data'!$A$7:$A$366,Estimator!$B$4,'Climate Data'!$B$7:$B$366,C3377)</f>
        <v>0.18494623655913978</v>
      </c>
      <c r="I3377" s="87">
        <f>SUMIFS('Climate Data'!$H$7:$H$366,'Climate Data'!$A$7:$A$366,Estimator!$B$4,'Climate Data'!$B$7:$B$366,C3377)</f>
        <v>7.8662790697674421</v>
      </c>
      <c r="J3377" s="86">
        <f>SUMIFS('Wind Proxy'!$H$8:$H$19,'Wind Proxy'!$A$8:$A$19,Estimator!$B$4,'Wind Proxy'!$B$8:$B$19,C3377)</f>
        <v>0</v>
      </c>
    </row>
    <row r="3378" spans="1:10" ht="14.4">
      <c r="A3378" s="84">
        <v>49029</v>
      </c>
      <c r="B3378" s="85">
        <v>2034</v>
      </c>
      <c r="C3378" s="85">
        <v>3</v>
      </c>
      <c r="D3378" s="85" t="s">
        <v>60</v>
      </c>
      <c r="E3378" s="85">
        <v>26</v>
      </c>
      <c r="F3378" s="85">
        <v>7</v>
      </c>
      <c r="G3378" s="85">
        <f>--(F3378&lt;=Estimator!$B$7)</f>
        <v>0</v>
      </c>
      <c r="H3378" s="86">
        <f>SUMIFS('Climate Data'!$G$7:$G$366,'Climate Data'!$A$7:$A$366,Estimator!$B$4,'Climate Data'!$B$7:$B$366,C3378)</f>
        <v>0.18494623655913978</v>
      </c>
      <c r="I3378" s="87">
        <f>SUMIFS('Climate Data'!$H$7:$H$366,'Climate Data'!$A$7:$A$366,Estimator!$B$4,'Climate Data'!$B$7:$B$366,C3378)</f>
        <v>7.8662790697674421</v>
      </c>
      <c r="J3378" s="86">
        <f>SUMIFS('Wind Proxy'!$H$8:$H$19,'Wind Proxy'!$A$8:$A$19,Estimator!$B$4,'Wind Proxy'!$B$8:$B$19,C3378)</f>
        <v>0</v>
      </c>
    </row>
    <row r="3379" spans="1:10" ht="14.4">
      <c r="A3379" s="84">
        <v>49030</v>
      </c>
      <c r="B3379" s="85">
        <v>2034</v>
      </c>
      <c r="C3379" s="85">
        <v>3</v>
      </c>
      <c r="D3379" s="85" t="s">
        <v>60</v>
      </c>
      <c r="E3379" s="85">
        <v>27</v>
      </c>
      <c r="F3379" s="85">
        <v>1</v>
      </c>
      <c r="G3379" s="85">
        <f>--(F3379&lt;=Estimator!$B$7)</f>
        <v>1</v>
      </c>
      <c r="H3379" s="86">
        <f>SUMIFS('Climate Data'!$G$7:$G$366,'Climate Data'!$A$7:$A$366,Estimator!$B$4,'Climate Data'!$B$7:$B$366,C3379)</f>
        <v>0.18494623655913978</v>
      </c>
      <c r="I3379" s="87">
        <f>SUMIFS('Climate Data'!$H$7:$H$366,'Climate Data'!$A$7:$A$366,Estimator!$B$4,'Climate Data'!$B$7:$B$366,C3379)</f>
        <v>7.8662790697674421</v>
      </c>
      <c r="J3379" s="86">
        <f>SUMIFS('Wind Proxy'!$H$8:$H$19,'Wind Proxy'!$A$8:$A$19,Estimator!$B$4,'Wind Proxy'!$B$8:$B$19,C3379)</f>
        <v>0</v>
      </c>
    </row>
    <row r="3380" spans="1:10" ht="14.4">
      <c r="A3380" s="84">
        <v>49031</v>
      </c>
      <c r="B3380" s="85">
        <v>2034</v>
      </c>
      <c r="C3380" s="85">
        <v>3</v>
      </c>
      <c r="D3380" s="85" t="s">
        <v>60</v>
      </c>
      <c r="E3380" s="85">
        <v>28</v>
      </c>
      <c r="F3380" s="85">
        <v>2</v>
      </c>
      <c r="G3380" s="85">
        <f>--(F3380&lt;=Estimator!$B$7)</f>
        <v>1</v>
      </c>
      <c r="H3380" s="86">
        <f>SUMIFS('Climate Data'!$G$7:$G$366,'Climate Data'!$A$7:$A$366,Estimator!$B$4,'Climate Data'!$B$7:$B$366,C3380)</f>
        <v>0.18494623655913978</v>
      </c>
      <c r="I3380" s="87">
        <f>SUMIFS('Climate Data'!$H$7:$H$366,'Climate Data'!$A$7:$A$366,Estimator!$B$4,'Climate Data'!$B$7:$B$366,C3380)</f>
        <v>7.8662790697674421</v>
      </c>
      <c r="J3380" s="86">
        <f>SUMIFS('Wind Proxy'!$H$8:$H$19,'Wind Proxy'!$A$8:$A$19,Estimator!$B$4,'Wind Proxy'!$B$8:$B$19,C3380)</f>
        <v>0</v>
      </c>
    </row>
    <row r="3381" spans="1:10" ht="14.4">
      <c r="A3381" s="84">
        <v>49032</v>
      </c>
      <c r="B3381" s="85">
        <v>2034</v>
      </c>
      <c r="C3381" s="85">
        <v>3</v>
      </c>
      <c r="D3381" s="85" t="s">
        <v>60</v>
      </c>
      <c r="E3381" s="85">
        <v>29</v>
      </c>
      <c r="F3381" s="85">
        <v>3</v>
      </c>
      <c r="G3381" s="85">
        <f>--(F3381&lt;=Estimator!$B$7)</f>
        <v>1</v>
      </c>
      <c r="H3381" s="86">
        <f>SUMIFS('Climate Data'!$G$7:$G$366,'Climate Data'!$A$7:$A$366,Estimator!$B$4,'Climate Data'!$B$7:$B$366,C3381)</f>
        <v>0.18494623655913978</v>
      </c>
      <c r="I3381" s="87">
        <f>SUMIFS('Climate Data'!$H$7:$H$366,'Climate Data'!$A$7:$A$366,Estimator!$B$4,'Climate Data'!$B$7:$B$366,C3381)</f>
        <v>7.8662790697674421</v>
      </c>
      <c r="J3381" s="86">
        <f>SUMIFS('Wind Proxy'!$H$8:$H$19,'Wind Proxy'!$A$8:$A$19,Estimator!$B$4,'Wind Proxy'!$B$8:$B$19,C3381)</f>
        <v>0</v>
      </c>
    </row>
    <row r="3382" spans="1:10" ht="14.4">
      <c r="A3382" s="84">
        <v>49033</v>
      </c>
      <c r="B3382" s="85">
        <v>2034</v>
      </c>
      <c r="C3382" s="85">
        <v>3</v>
      </c>
      <c r="D3382" s="85" t="s">
        <v>60</v>
      </c>
      <c r="E3382" s="85">
        <v>30</v>
      </c>
      <c r="F3382" s="85">
        <v>4</v>
      </c>
      <c r="G3382" s="85">
        <f>--(F3382&lt;=Estimator!$B$7)</f>
        <v>1</v>
      </c>
      <c r="H3382" s="86">
        <f>SUMIFS('Climate Data'!$G$7:$G$366,'Climate Data'!$A$7:$A$366,Estimator!$B$4,'Climate Data'!$B$7:$B$366,C3382)</f>
        <v>0.18494623655913978</v>
      </c>
      <c r="I3382" s="87">
        <f>SUMIFS('Climate Data'!$H$7:$H$366,'Climate Data'!$A$7:$A$366,Estimator!$B$4,'Climate Data'!$B$7:$B$366,C3382)</f>
        <v>7.8662790697674421</v>
      </c>
      <c r="J3382" s="86">
        <f>SUMIFS('Wind Proxy'!$H$8:$H$19,'Wind Proxy'!$A$8:$A$19,Estimator!$B$4,'Wind Proxy'!$B$8:$B$19,C3382)</f>
        <v>0</v>
      </c>
    </row>
    <row r="3383" spans="1:10" ht="14.4">
      <c r="A3383" s="84">
        <v>49034</v>
      </c>
      <c r="B3383" s="85">
        <v>2034</v>
      </c>
      <c r="C3383" s="85">
        <v>3</v>
      </c>
      <c r="D3383" s="85" t="s">
        <v>60</v>
      </c>
      <c r="E3383" s="85">
        <v>31</v>
      </c>
      <c r="F3383" s="85">
        <v>5</v>
      </c>
      <c r="G3383" s="85">
        <f>--(F3383&lt;=Estimator!$B$7)</f>
        <v>1</v>
      </c>
      <c r="H3383" s="86">
        <f>SUMIFS('Climate Data'!$G$7:$G$366,'Climate Data'!$A$7:$A$366,Estimator!$B$4,'Climate Data'!$B$7:$B$366,C3383)</f>
        <v>0.18494623655913978</v>
      </c>
      <c r="I3383" s="87">
        <f>SUMIFS('Climate Data'!$H$7:$H$366,'Climate Data'!$A$7:$A$366,Estimator!$B$4,'Climate Data'!$B$7:$B$366,C3383)</f>
        <v>7.8662790697674421</v>
      </c>
      <c r="J3383" s="86">
        <f>SUMIFS('Wind Proxy'!$H$8:$H$19,'Wind Proxy'!$A$8:$A$19,Estimator!$B$4,'Wind Proxy'!$B$8:$B$19,C3383)</f>
        <v>0</v>
      </c>
    </row>
    <row r="3384" spans="1:10" ht="14.4">
      <c r="A3384" s="84">
        <v>49035</v>
      </c>
      <c r="B3384" s="85">
        <v>2034</v>
      </c>
      <c r="C3384" s="85">
        <v>4</v>
      </c>
      <c r="D3384" s="85" t="s">
        <v>62</v>
      </c>
      <c r="E3384" s="85">
        <v>1</v>
      </c>
      <c r="F3384" s="85">
        <v>6</v>
      </c>
      <c r="G3384" s="85">
        <f>--(F3384&lt;=Estimator!$B$7)</f>
        <v>0</v>
      </c>
      <c r="H3384" s="86">
        <f>SUMIFS('Climate Data'!$G$7:$G$366,'Climate Data'!$A$7:$A$366,Estimator!$B$4,'Climate Data'!$B$7:$B$366,C3384)</f>
        <v>0.25555555555555559</v>
      </c>
      <c r="I3384" s="87">
        <f>SUMIFS('Climate Data'!$H$7:$H$366,'Climate Data'!$A$7:$A$366,Estimator!$B$4,'Climate Data'!$B$7:$B$366,C3384)</f>
        <v>7.5</v>
      </c>
      <c r="J3384" s="86">
        <f>SUMIFS('Wind Proxy'!$H$8:$H$19,'Wind Proxy'!$A$8:$A$19,Estimator!$B$4,'Wind Proxy'!$B$8:$B$19,C3384)</f>
        <v>0</v>
      </c>
    </row>
    <row r="3385" spans="1:10" ht="14.4">
      <c r="A3385" s="84">
        <v>49036</v>
      </c>
      <c r="B3385" s="85">
        <v>2034</v>
      </c>
      <c r="C3385" s="85">
        <v>4</v>
      </c>
      <c r="D3385" s="85" t="s">
        <v>62</v>
      </c>
      <c r="E3385" s="85">
        <v>2</v>
      </c>
      <c r="F3385" s="85">
        <v>7</v>
      </c>
      <c r="G3385" s="85">
        <f>--(F3385&lt;=Estimator!$B$7)</f>
        <v>0</v>
      </c>
      <c r="H3385" s="86">
        <f>SUMIFS('Climate Data'!$G$7:$G$366,'Climate Data'!$A$7:$A$366,Estimator!$B$4,'Climate Data'!$B$7:$B$366,C3385)</f>
        <v>0.25555555555555559</v>
      </c>
      <c r="I3385" s="87">
        <f>SUMIFS('Climate Data'!$H$7:$H$366,'Climate Data'!$A$7:$A$366,Estimator!$B$4,'Climate Data'!$B$7:$B$366,C3385)</f>
        <v>7.5</v>
      </c>
      <c r="J3385" s="86">
        <f>SUMIFS('Wind Proxy'!$H$8:$H$19,'Wind Proxy'!$A$8:$A$19,Estimator!$B$4,'Wind Proxy'!$B$8:$B$19,C3385)</f>
        <v>0</v>
      </c>
    </row>
    <row r="3386" spans="1:10" ht="14.4">
      <c r="A3386" s="84">
        <v>49037</v>
      </c>
      <c r="B3386" s="85">
        <v>2034</v>
      </c>
      <c r="C3386" s="85">
        <v>4</v>
      </c>
      <c r="D3386" s="85" t="s">
        <v>62</v>
      </c>
      <c r="E3386" s="85">
        <v>3</v>
      </c>
      <c r="F3386" s="85">
        <v>1</v>
      </c>
      <c r="G3386" s="85">
        <f>--(F3386&lt;=Estimator!$B$7)</f>
        <v>1</v>
      </c>
      <c r="H3386" s="86">
        <f>SUMIFS('Climate Data'!$G$7:$G$366,'Climate Data'!$A$7:$A$366,Estimator!$B$4,'Climate Data'!$B$7:$B$366,C3386)</f>
        <v>0.25555555555555559</v>
      </c>
      <c r="I3386" s="87">
        <f>SUMIFS('Climate Data'!$H$7:$H$366,'Climate Data'!$A$7:$A$366,Estimator!$B$4,'Climate Data'!$B$7:$B$366,C3386)</f>
        <v>7.5</v>
      </c>
      <c r="J3386" s="86">
        <f>SUMIFS('Wind Proxy'!$H$8:$H$19,'Wind Proxy'!$A$8:$A$19,Estimator!$B$4,'Wind Proxy'!$B$8:$B$19,C3386)</f>
        <v>0</v>
      </c>
    </row>
    <row r="3387" spans="1:10" ht="14.4">
      <c r="A3387" s="84">
        <v>49038</v>
      </c>
      <c r="B3387" s="85">
        <v>2034</v>
      </c>
      <c r="C3387" s="85">
        <v>4</v>
      </c>
      <c r="D3387" s="85" t="s">
        <v>62</v>
      </c>
      <c r="E3387" s="85">
        <v>4</v>
      </c>
      <c r="F3387" s="85">
        <v>2</v>
      </c>
      <c r="G3387" s="85">
        <f>--(F3387&lt;=Estimator!$B$7)</f>
        <v>1</v>
      </c>
      <c r="H3387" s="86">
        <f>SUMIFS('Climate Data'!$G$7:$G$366,'Climate Data'!$A$7:$A$366,Estimator!$B$4,'Climate Data'!$B$7:$B$366,C3387)</f>
        <v>0.25555555555555559</v>
      </c>
      <c r="I3387" s="87">
        <f>SUMIFS('Climate Data'!$H$7:$H$366,'Climate Data'!$A$7:$A$366,Estimator!$B$4,'Climate Data'!$B$7:$B$366,C3387)</f>
        <v>7.5</v>
      </c>
      <c r="J3387" s="86">
        <f>SUMIFS('Wind Proxy'!$H$8:$H$19,'Wind Proxy'!$A$8:$A$19,Estimator!$B$4,'Wind Proxy'!$B$8:$B$19,C3387)</f>
        <v>0</v>
      </c>
    </row>
    <row r="3388" spans="1:10" ht="14.4">
      <c r="A3388" s="84">
        <v>49039</v>
      </c>
      <c r="B3388" s="85">
        <v>2034</v>
      </c>
      <c r="C3388" s="85">
        <v>4</v>
      </c>
      <c r="D3388" s="85" t="s">
        <v>62</v>
      </c>
      <c r="E3388" s="85">
        <v>5</v>
      </c>
      <c r="F3388" s="85">
        <v>3</v>
      </c>
      <c r="G3388" s="85">
        <f>--(F3388&lt;=Estimator!$B$7)</f>
        <v>1</v>
      </c>
      <c r="H3388" s="86">
        <f>SUMIFS('Climate Data'!$G$7:$G$366,'Climate Data'!$A$7:$A$366,Estimator!$B$4,'Climate Data'!$B$7:$B$366,C3388)</f>
        <v>0.25555555555555559</v>
      </c>
      <c r="I3388" s="87">
        <f>SUMIFS('Climate Data'!$H$7:$H$366,'Climate Data'!$A$7:$A$366,Estimator!$B$4,'Climate Data'!$B$7:$B$366,C3388)</f>
        <v>7.5</v>
      </c>
      <c r="J3388" s="86">
        <f>SUMIFS('Wind Proxy'!$H$8:$H$19,'Wind Proxy'!$A$8:$A$19,Estimator!$B$4,'Wind Proxy'!$B$8:$B$19,C3388)</f>
        <v>0</v>
      </c>
    </row>
    <row r="3389" spans="1:10" ht="14.4">
      <c r="A3389" s="84">
        <v>49040</v>
      </c>
      <c r="B3389" s="85">
        <v>2034</v>
      </c>
      <c r="C3389" s="85">
        <v>4</v>
      </c>
      <c r="D3389" s="85" t="s">
        <v>62</v>
      </c>
      <c r="E3389" s="85">
        <v>6</v>
      </c>
      <c r="F3389" s="85">
        <v>4</v>
      </c>
      <c r="G3389" s="85">
        <f>--(F3389&lt;=Estimator!$B$7)</f>
        <v>1</v>
      </c>
      <c r="H3389" s="86">
        <f>SUMIFS('Climate Data'!$G$7:$G$366,'Climate Data'!$A$7:$A$366,Estimator!$B$4,'Climate Data'!$B$7:$B$366,C3389)</f>
        <v>0.25555555555555559</v>
      </c>
      <c r="I3389" s="87">
        <f>SUMIFS('Climate Data'!$H$7:$H$366,'Climate Data'!$A$7:$A$366,Estimator!$B$4,'Climate Data'!$B$7:$B$366,C3389)</f>
        <v>7.5</v>
      </c>
      <c r="J3389" s="86">
        <f>SUMIFS('Wind Proxy'!$H$8:$H$19,'Wind Proxy'!$A$8:$A$19,Estimator!$B$4,'Wind Proxy'!$B$8:$B$19,C3389)</f>
        <v>0</v>
      </c>
    </row>
    <row r="3390" spans="1:10" ht="14.4">
      <c r="A3390" s="84">
        <v>49041</v>
      </c>
      <c r="B3390" s="85">
        <v>2034</v>
      </c>
      <c r="C3390" s="85">
        <v>4</v>
      </c>
      <c r="D3390" s="85" t="s">
        <v>62</v>
      </c>
      <c r="E3390" s="85">
        <v>7</v>
      </c>
      <c r="F3390" s="85">
        <v>5</v>
      </c>
      <c r="G3390" s="85">
        <f>--(F3390&lt;=Estimator!$B$7)</f>
        <v>1</v>
      </c>
      <c r="H3390" s="86">
        <f>SUMIFS('Climate Data'!$G$7:$G$366,'Climate Data'!$A$7:$A$366,Estimator!$B$4,'Climate Data'!$B$7:$B$366,C3390)</f>
        <v>0.25555555555555559</v>
      </c>
      <c r="I3390" s="87">
        <f>SUMIFS('Climate Data'!$H$7:$H$366,'Climate Data'!$A$7:$A$366,Estimator!$B$4,'Climate Data'!$B$7:$B$366,C3390)</f>
        <v>7.5</v>
      </c>
      <c r="J3390" s="86">
        <f>SUMIFS('Wind Proxy'!$H$8:$H$19,'Wind Proxy'!$A$8:$A$19,Estimator!$B$4,'Wind Proxy'!$B$8:$B$19,C3390)</f>
        <v>0</v>
      </c>
    </row>
    <row r="3391" spans="1:10" ht="14.4">
      <c r="A3391" s="84">
        <v>49042</v>
      </c>
      <c r="B3391" s="85">
        <v>2034</v>
      </c>
      <c r="C3391" s="85">
        <v>4</v>
      </c>
      <c r="D3391" s="85" t="s">
        <v>62</v>
      </c>
      <c r="E3391" s="85">
        <v>8</v>
      </c>
      <c r="F3391" s="85">
        <v>6</v>
      </c>
      <c r="G3391" s="85">
        <f>--(F3391&lt;=Estimator!$B$7)</f>
        <v>0</v>
      </c>
      <c r="H3391" s="86">
        <f>SUMIFS('Climate Data'!$G$7:$G$366,'Climate Data'!$A$7:$A$366,Estimator!$B$4,'Climate Data'!$B$7:$B$366,C3391)</f>
        <v>0.25555555555555559</v>
      </c>
      <c r="I3391" s="87">
        <f>SUMIFS('Climate Data'!$H$7:$H$366,'Climate Data'!$A$7:$A$366,Estimator!$B$4,'Climate Data'!$B$7:$B$366,C3391)</f>
        <v>7.5</v>
      </c>
      <c r="J3391" s="86">
        <f>SUMIFS('Wind Proxy'!$H$8:$H$19,'Wind Proxy'!$A$8:$A$19,Estimator!$B$4,'Wind Proxy'!$B$8:$B$19,C3391)</f>
        <v>0</v>
      </c>
    </row>
    <row r="3392" spans="1:10" ht="14.4">
      <c r="A3392" s="84">
        <v>49043</v>
      </c>
      <c r="B3392" s="85">
        <v>2034</v>
      </c>
      <c r="C3392" s="85">
        <v>4</v>
      </c>
      <c r="D3392" s="85" t="s">
        <v>62</v>
      </c>
      <c r="E3392" s="85">
        <v>9</v>
      </c>
      <c r="F3392" s="85">
        <v>7</v>
      </c>
      <c r="G3392" s="85">
        <f>--(F3392&lt;=Estimator!$B$7)</f>
        <v>0</v>
      </c>
      <c r="H3392" s="86">
        <f>SUMIFS('Climate Data'!$G$7:$G$366,'Climate Data'!$A$7:$A$366,Estimator!$B$4,'Climate Data'!$B$7:$B$366,C3392)</f>
        <v>0.25555555555555559</v>
      </c>
      <c r="I3392" s="87">
        <f>SUMIFS('Climate Data'!$H$7:$H$366,'Climate Data'!$A$7:$A$366,Estimator!$B$4,'Climate Data'!$B$7:$B$366,C3392)</f>
        <v>7.5</v>
      </c>
      <c r="J3392" s="86">
        <f>SUMIFS('Wind Proxy'!$H$8:$H$19,'Wind Proxy'!$A$8:$A$19,Estimator!$B$4,'Wind Proxy'!$B$8:$B$19,C3392)</f>
        <v>0</v>
      </c>
    </row>
    <row r="3393" spans="1:10" ht="14.4">
      <c r="A3393" s="84">
        <v>49044</v>
      </c>
      <c r="B3393" s="85">
        <v>2034</v>
      </c>
      <c r="C3393" s="85">
        <v>4</v>
      </c>
      <c r="D3393" s="85" t="s">
        <v>62</v>
      </c>
      <c r="E3393" s="85">
        <v>10</v>
      </c>
      <c r="F3393" s="85">
        <v>1</v>
      </c>
      <c r="G3393" s="85">
        <f>--(F3393&lt;=Estimator!$B$7)</f>
        <v>1</v>
      </c>
      <c r="H3393" s="86">
        <f>SUMIFS('Climate Data'!$G$7:$G$366,'Climate Data'!$A$7:$A$366,Estimator!$B$4,'Climate Data'!$B$7:$B$366,C3393)</f>
        <v>0.25555555555555559</v>
      </c>
      <c r="I3393" s="87">
        <f>SUMIFS('Climate Data'!$H$7:$H$366,'Climate Data'!$A$7:$A$366,Estimator!$B$4,'Climate Data'!$B$7:$B$366,C3393)</f>
        <v>7.5</v>
      </c>
      <c r="J3393" s="86">
        <f>SUMIFS('Wind Proxy'!$H$8:$H$19,'Wind Proxy'!$A$8:$A$19,Estimator!$B$4,'Wind Proxy'!$B$8:$B$19,C3393)</f>
        <v>0</v>
      </c>
    </row>
    <row r="3394" spans="1:10" ht="14.4">
      <c r="A3394" s="84">
        <v>49045</v>
      </c>
      <c r="B3394" s="85">
        <v>2034</v>
      </c>
      <c r="C3394" s="85">
        <v>4</v>
      </c>
      <c r="D3394" s="85" t="s">
        <v>62</v>
      </c>
      <c r="E3394" s="85">
        <v>11</v>
      </c>
      <c r="F3394" s="85">
        <v>2</v>
      </c>
      <c r="G3394" s="85">
        <f>--(F3394&lt;=Estimator!$B$7)</f>
        <v>1</v>
      </c>
      <c r="H3394" s="86">
        <f>SUMIFS('Climate Data'!$G$7:$G$366,'Climate Data'!$A$7:$A$366,Estimator!$B$4,'Climate Data'!$B$7:$B$366,C3394)</f>
        <v>0.25555555555555559</v>
      </c>
      <c r="I3394" s="87">
        <f>SUMIFS('Climate Data'!$H$7:$H$366,'Climate Data'!$A$7:$A$366,Estimator!$B$4,'Climate Data'!$B$7:$B$366,C3394)</f>
        <v>7.5</v>
      </c>
      <c r="J3394" s="86">
        <f>SUMIFS('Wind Proxy'!$H$8:$H$19,'Wind Proxy'!$A$8:$A$19,Estimator!$B$4,'Wind Proxy'!$B$8:$B$19,C3394)</f>
        <v>0</v>
      </c>
    </row>
    <row r="3395" spans="1:10" ht="14.4">
      <c r="A3395" s="84">
        <v>49046</v>
      </c>
      <c r="B3395" s="85">
        <v>2034</v>
      </c>
      <c r="C3395" s="85">
        <v>4</v>
      </c>
      <c r="D3395" s="85" t="s">
        <v>62</v>
      </c>
      <c r="E3395" s="85">
        <v>12</v>
      </c>
      <c r="F3395" s="85">
        <v>3</v>
      </c>
      <c r="G3395" s="85">
        <f>--(F3395&lt;=Estimator!$B$7)</f>
        <v>1</v>
      </c>
      <c r="H3395" s="86">
        <f>SUMIFS('Climate Data'!$G$7:$G$366,'Climate Data'!$A$7:$A$366,Estimator!$B$4,'Climate Data'!$B$7:$B$366,C3395)</f>
        <v>0.25555555555555559</v>
      </c>
      <c r="I3395" s="87">
        <f>SUMIFS('Climate Data'!$H$7:$H$366,'Climate Data'!$A$7:$A$366,Estimator!$B$4,'Climate Data'!$B$7:$B$366,C3395)</f>
        <v>7.5</v>
      </c>
      <c r="J3395" s="86">
        <f>SUMIFS('Wind Proxy'!$H$8:$H$19,'Wind Proxy'!$A$8:$A$19,Estimator!$B$4,'Wind Proxy'!$B$8:$B$19,C3395)</f>
        <v>0</v>
      </c>
    </row>
    <row r="3396" spans="1:10" ht="14.4">
      <c r="A3396" s="84">
        <v>49047</v>
      </c>
      <c r="B3396" s="85">
        <v>2034</v>
      </c>
      <c r="C3396" s="85">
        <v>4</v>
      </c>
      <c r="D3396" s="85" t="s">
        <v>62</v>
      </c>
      <c r="E3396" s="85">
        <v>13</v>
      </c>
      <c r="F3396" s="85">
        <v>4</v>
      </c>
      <c r="G3396" s="85">
        <f>--(F3396&lt;=Estimator!$B$7)</f>
        <v>1</v>
      </c>
      <c r="H3396" s="86">
        <f>SUMIFS('Climate Data'!$G$7:$G$366,'Climate Data'!$A$7:$A$366,Estimator!$B$4,'Climate Data'!$B$7:$B$366,C3396)</f>
        <v>0.25555555555555559</v>
      </c>
      <c r="I3396" s="87">
        <f>SUMIFS('Climate Data'!$H$7:$H$366,'Climate Data'!$A$7:$A$366,Estimator!$B$4,'Climate Data'!$B$7:$B$366,C3396)</f>
        <v>7.5</v>
      </c>
      <c r="J3396" s="86">
        <f>SUMIFS('Wind Proxy'!$H$8:$H$19,'Wind Proxy'!$A$8:$A$19,Estimator!$B$4,'Wind Proxy'!$B$8:$B$19,C3396)</f>
        <v>0</v>
      </c>
    </row>
    <row r="3397" spans="1:10" ht="14.4">
      <c r="A3397" s="84">
        <v>49048</v>
      </c>
      <c r="B3397" s="85">
        <v>2034</v>
      </c>
      <c r="C3397" s="85">
        <v>4</v>
      </c>
      <c r="D3397" s="85" t="s">
        <v>62</v>
      </c>
      <c r="E3397" s="85">
        <v>14</v>
      </c>
      <c r="F3397" s="85">
        <v>5</v>
      </c>
      <c r="G3397" s="85">
        <f>--(F3397&lt;=Estimator!$B$7)</f>
        <v>1</v>
      </c>
      <c r="H3397" s="86">
        <f>SUMIFS('Climate Data'!$G$7:$G$366,'Climate Data'!$A$7:$A$366,Estimator!$B$4,'Climate Data'!$B$7:$B$366,C3397)</f>
        <v>0.25555555555555559</v>
      </c>
      <c r="I3397" s="87">
        <f>SUMIFS('Climate Data'!$H$7:$H$366,'Climate Data'!$A$7:$A$366,Estimator!$B$4,'Climate Data'!$B$7:$B$366,C3397)</f>
        <v>7.5</v>
      </c>
      <c r="J3397" s="86">
        <f>SUMIFS('Wind Proxy'!$H$8:$H$19,'Wind Proxy'!$A$8:$A$19,Estimator!$B$4,'Wind Proxy'!$B$8:$B$19,C3397)</f>
        <v>0</v>
      </c>
    </row>
    <row r="3398" spans="1:10" ht="14.4">
      <c r="A3398" s="84">
        <v>49049</v>
      </c>
      <c r="B3398" s="85">
        <v>2034</v>
      </c>
      <c r="C3398" s="85">
        <v>4</v>
      </c>
      <c r="D3398" s="85" t="s">
        <v>62</v>
      </c>
      <c r="E3398" s="85">
        <v>15</v>
      </c>
      <c r="F3398" s="85">
        <v>6</v>
      </c>
      <c r="G3398" s="85">
        <f>--(F3398&lt;=Estimator!$B$7)</f>
        <v>0</v>
      </c>
      <c r="H3398" s="86">
        <f>SUMIFS('Climate Data'!$G$7:$G$366,'Climate Data'!$A$7:$A$366,Estimator!$B$4,'Climate Data'!$B$7:$B$366,C3398)</f>
        <v>0.25555555555555559</v>
      </c>
      <c r="I3398" s="87">
        <f>SUMIFS('Climate Data'!$H$7:$H$366,'Climate Data'!$A$7:$A$366,Estimator!$B$4,'Climate Data'!$B$7:$B$366,C3398)</f>
        <v>7.5</v>
      </c>
      <c r="J3398" s="86">
        <f>SUMIFS('Wind Proxy'!$H$8:$H$19,'Wind Proxy'!$A$8:$A$19,Estimator!$B$4,'Wind Proxy'!$B$8:$B$19,C3398)</f>
        <v>0</v>
      </c>
    </row>
    <row r="3399" spans="1:10" ht="14.4">
      <c r="A3399" s="84">
        <v>49050</v>
      </c>
      <c r="B3399" s="85">
        <v>2034</v>
      </c>
      <c r="C3399" s="85">
        <v>4</v>
      </c>
      <c r="D3399" s="85" t="s">
        <v>62</v>
      </c>
      <c r="E3399" s="85">
        <v>16</v>
      </c>
      <c r="F3399" s="85">
        <v>7</v>
      </c>
      <c r="G3399" s="85">
        <f>--(F3399&lt;=Estimator!$B$7)</f>
        <v>0</v>
      </c>
      <c r="H3399" s="86">
        <f>SUMIFS('Climate Data'!$G$7:$G$366,'Climate Data'!$A$7:$A$366,Estimator!$B$4,'Climate Data'!$B$7:$B$366,C3399)</f>
        <v>0.25555555555555559</v>
      </c>
      <c r="I3399" s="87">
        <f>SUMIFS('Climate Data'!$H$7:$H$366,'Climate Data'!$A$7:$A$366,Estimator!$B$4,'Climate Data'!$B$7:$B$366,C3399)</f>
        <v>7.5</v>
      </c>
      <c r="J3399" s="86">
        <f>SUMIFS('Wind Proxy'!$H$8:$H$19,'Wind Proxy'!$A$8:$A$19,Estimator!$B$4,'Wind Proxy'!$B$8:$B$19,C3399)</f>
        <v>0</v>
      </c>
    </row>
    <row r="3400" spans="1:10" ht="14.4">
      <c r="A3400" s="84">
        <v>49051</v>
      </c>
      <c r="B3400" s="85">
        <v>2034</v>
      </c>
      <c r="C3400" s="85">
        <v>4</v>
      </c>
      <c r="D3400" s="85" t="s">
        <v>62</v>
      </c>
      <c r="E3400" s="85">
        <v>17</v>
      </c>
      <c r="F3400" s="85">
        <v>1</v>
      </c>
      <c r="G3400" s="85">
        <f>--(F3400&lt;=Estimator!$B$7)</f>
        <v>1</v>
      </c>
      <c r="H3400" s="86">
        <f>SUMIFS('Climate Data'!$G$7:$G$366,'Climate Data'!$A$7:$A$366,Estimator!$B$4,'Climate Data'!$B$7:$B$366,C3400)</f>
        <v>0.25555555555555559</v>
      </c>
      <c r="I3400" s="87">
        <f>SUMIFS('Climate Data'!$H$7:$H$366,'Climate Data'!$A$7:$A$366,Estimator!$B$4,'Climate Data'!$B$7:$B$366,C3400)</f>
        <v>7.5</v>
      </c>
      <c r="J3400" s="86">
        <f>SUMIFS('Wind Proxy'!$H$8:$H$19,'Wind Proxy'!$A$8:$A$19,Estimator!$B$4,'Wind Proxy'!$B$8:$B$19,C3400)</f>
        <v>0</v>
      </c>
    </row>
    <row r="3401" spans="1:10" ht="14.4">
      <c r="A3401" s="84">
        <v>49052</v>
      </c>
      <c r="B3401" s="85">
        <v>2034</v>
      </c>
      <c r="C3401" s="85">
        <v>4</v>
      </c>
      <c r="D3401" s="85" t="s">
        <v>62</v>
      </c>
      <c r="E3401" s="85">
        <v>18</v>
      </c>
      <c r="F3401" s="85">
        <v>2</v>
      </c>
      <c r="G3401" s="85">
        <f>--(F3401&lt;=Estimator!$B$7)</f>
        <v>1</v>
      </c>
      <c r="H3401" s="86">
        <f>SUMIFS('Climate Data'!$G$7:$G$366,'Climate Data'!$A$7:$A$366,Estimator!$B$4,'Climate Data'!$B$7:$B$366,C3401)</f>
        <v>0.25555555555555559</v>
      </c>
      <c r="I3401" s="87">
        <f>SUMIFS('Climate Data'!$H$7:$H$366,'Climate Data'!$A$7:$A$366,Estimator!$B$4,'Climate Data'!$B$7:$B$366,C3401)</f>
        <v>7.5</v>
      </c>
      <c r="J3401" s="86">
        <f>SUMIFS('Wind Proxy'!$H$8:$H$19,'Wind Proxy'!$A$8:$A$19,Estimator!$B$4,'Wind Proxy'!$B$8:$B$19,C3401)</f>
        <v>0</v>
      </c>
    </row>
    <row r="3402" spans="1:10" ht="14.4">
      <c r="A3402" s="84">
        <v>49053</v>
      </c>
      <c r="B3402" s="85">
        <v>2034</v>
      </c>
      <c r="C3402" s="85">
        <v>4</v>
      </c>
      <c r="D3402" s="85" t="s">
        <v>62</v>
      </c>
      <c r="E3402" s="85">
        <v>19</v>
      </c>
      <c r="F3402" s="85">
        <v>3</v>
      </c>
      <c r="G3402" s="85">
        <f>--(F3402&lt;=Estimator!$B$7)</f>
        <v>1</v>
      </c>
      <c r="H3402" s="86">
        <f>SUMIFS('Climate Data'!$G$7:$G$366,'Climate Data'!$A$7:$A$366,Estimator!$B$4,'Climate Data'!$B$7:$B$366,C3402)</f>
        <v>0.25555555555555559</v>
      </c>
      <c r="I3402" s="87">
        <f>SUMIFS('Climate Data'!$H$7:$H$366,'Climate Data'!$A$7:$A$366,Estimator!$B$4,'Climate Data'!$B$7:$B$366,C3402)</f>
        <v>7.5</v>
      </c>
      <c r="J3402" s="86">
        <f>SUMIFS('Wind Proxy'!$H$8:$H$19,'Wind Proxy'!$A$8:$A$19,Estimator!$B$4,'Wind Proxy'!$B$8:$B$19,C3402)</f>
        <v>0</v>
      </c>
    </row>
    <row r="3403" spans="1:10" ht="14.4">
      <c r="A3403" s="84">
        <v>49054</v>
      </c>
      <c r="B3403" s="85">
        <v>2034</v>
      </c>
      <c r="C3403" s="85">
        <v>4</v>
      </c>
      <c r="D3403" s="85" t="s">
        <v>62</v>
      </c>
      <c r="E3403" s="85">
        <v>20</v>
      </c>
      <c r="F3403" s="85">
        <v>4</v>
      </c>
      <c r="G3403" s="85">
        <f>--(F3403&lt;=Estimator!$B$7)</f>
        <v>1</v>
      </c>
      <c r="H3403" s="86">
        <f>SUMIFS('Climate Data'!$G$7:$G$366,'Climate Data'!$A$7:$A$366,Estimator!$B$4,'Climate Data'!$B$7:$B$366,C3403)</f>
        <v>0.25555555555555559</v>
      </c>
      <c r="I3403" s="87">
        <f>SUMIFS('Climate Data'!$H$7:$H$366,'Climate Data'!$A$7:$A$366,Estimator!$B$4,'Climate Data'!$B$7:$B$366,C3403)</f>
        <v>7.5</v>
      </c>
      <c r="J3403" s="86">
        <f>SUMIFS('Wind Proxy'!$H$8:$H$19,'Wind Proxy'!$A$8:$A$19,Estimator!$B$4,'Wind Proxy'!$B$8:$B$19,C3403)</f>
        <v>0</v>
      </c>
    </row>
    <row r="3404" spans="1:10" ht="14.4">
      <c r="A3404" s="84">
        <v>49055</v>
      </c>
      <c r="B3404" s="85">
        <v>2034</v>
      </c>
      <c r="C3404" s="85">
        <v>4</v>
      </c>
      <c r="D3404" s="85" t="s">
        <v>62</v>
      </c>
      <c r="E3404" s="85">
        <v>21</v>
      </c>
      <c r="F3404" s="85">
        <v>5</v>
      </c>
      <c r="G3404" s="85">
        <f>--(F3404&lt;=Estimator!$B$7)</f>
        <v>1</v>
      </c>
      <c r="H3404" s="86">
        <f>SUMIFS('Climate Data'!$G$7:$G$366,'Climate Data'!$A$7:$A$366,Estimator!$B$4,'Climate Data'!$B$7:$B$366,C3404)</f>
        <v>0.25555555555555559</v>
      </c>
      <c r="I3404" s="87">
        <f>SUMIFS('Climate Data'!$H$7:$H$366,'Climate Data'!$A$7:$A$366,Estimator!$B$4,'Climate Data'!$B$7:$B$366,C3404)</f>
        <v>7.5</v>
      </c>
      <c r="J3404" s="86">
        <f>SUMIFS('Wind Proxy'!$H$8:$H$19,'Wind Proxy'!$A$8:$A$19,Estimator!$B$4,'Wind Proxy'!$B$8:$B$19,C3404)</f>
        <v>0</v>
      </c>
    </row>
    <row r="3405" spans="1:10" ht="14.4">
      <c r="A3405" s="84">
        <v>49056</v>
      </c>
      <c r="B3405" s="85">
        <v>2034</v>
      </c>
      <c r="C3405" s="85">
        <v>4</v>
      </c>
      <c r="D3405" s="85" t="s">
        <v>62</v>
      </c>
      <c r="E3405" s="85">
        <v>22</v>
      </c>
      <c r="F3405" s="85">
        <v>6</v>
      </c>
      <c r="G3405" s="85">
        <f>--(F3405&lt;=Estimator!$B$7)</f>
        <v>0</v>
      </c>
      <c r="H3405" s="86">
        <f>SUMIFS('Climate Data'!$G$7:$G$366,'Climate Data'!$A$7:$A$366,Estimator!$B$4,'Climate Data'!$B$7:$B$366,C3405)</f>
        <v>0.25555555555555559</v>
      </c>
      <c r="I3405" s="87">
        <f>SUMIFS('Climate Data'!$H$7:$H$366,'Climate Data'!$A$7:$A$366,Estimator!$B$4,'Climate Data'!$B$7:$B$366,C3405)</f>
        <v>7.5</v>
      </c>
      <c r="J3405" s="86">
        <f>SUMIFS('Wind Proxy'!$H$8:$H$19,'Wind Proxy'!$A$8:$A$19,Estimator!$B$4,'Wind Proxy'!$B$8:$B$19,C3405)</f>
        <v>0</v>
      </c>
    </row>
    <row r="3406" spans="1:10" ht="14.4">
      <c r="A3406" s="84">
        <v>49057</v>
      </c>
      <c r="B3406" s="85">
        <v>2034</v>
      </c>
      <c r="C3406" s="85">
        <v>4</v>
      </c>
      <c r="D3406" s="85" t="s">
        <v>62</v>
      </c>
      <c r="E3406" s="85">
        <v>23</v>
      </c>
      <c r="F3406" s="85">
        <v>7</v>
      </c>
      <c r="G3406" s="85">
        <f>--(F3406&lt;=Estimator!$B$7)</f>
        <v>0</v>
      </c>
      <c r="H3406" s="86">
        <f>SUMIFS('Climate Data'!$G$7:$G$366,'Climate Data'!$A$7:$A$366,Estimator!$B$4,'Climate Data'!$B$7:$B$366,C3406)</f>
        <v>0.25555555555555559</v>
      </c>
      <c r="I3406" s="87">
        <f>SUMIFS('Climate Data'!$H$7:$H$366,'Climate Data'!$A$7:$A$366,Estimator!$B$4,'Climate Data'!$B$7:$B$366,C3406)</f>
        <v>7.5</v>
      </c>
      <c r="J3406" s="86">
        <f>SUMIFS('Wind Proxy'!$H$8:$H$19,'Wind Proxy'!$A$8:$A$19,Estimator!$B$4,'Wind Proxy'!$B$8:$B$19,C3406)</f>
        <v>0</v>
      </c>
    </row>
    <row r="3407" spans="1:10" ht="14.4">
      <c r="A3407" s="84">
        <v>49058</v>
      </c>
      <c r="B3407" s="85">
        <v>2034</v>
      </c>
      <c r="C3407" s="85">
        <v>4</v>
      </c>
      <c r="D3407" s="85" t="s">
        <v>62</v>
      </c>
      <c r="E3407" s="85">
        <v>24</v>
      </c>
      <c r="F3407" s="85">
        <v>1</v>
      </c>
      <c r="G3407" s="85">
        <f>--(F3407&lt;=Estimator!$B$7)</f>
        <v>1</v>
      </c>
      <c r="H3407" s="86">
        <f>SUMIFS('Climate Data'!$G$7:$G$366,'Climate Data'!$A$7:$A$366,Estimator!$B$4,'Climate Data'!$B$7:$B$366,C3407)</f>
        <v>0.25555555555555559</v>
      </c>
      <c r="I3407" s="87">
        <f>SUMIFS('Climate Data'!$H$7:$H$366,'Climate Data'!$A$7:$A$366,Estimator!$B$4,'Climate Data'!$B$7:$B$366,C3407)</f>
        <v>7.5</v>
      </c>
      <c r="J3407" s="86">
        <f>SUMIFS('Wind Proxy'!$H$8:$H$19,'Wind Proxy'!$A$8:$A$19,Estimator!$B$4,'Wind Proxy'!$B$8:$B$19,C3407)</f>
        <v>0</v>
      </c>
    </row>
    <row r="3408" spans="1:10" ht="14.4">
      <c r="A3408" s="84">
        <v>49059</v>
      </c>
      <c r="B3408" s="85">
        <v>2034</v>
      </c>
      <c r="C3408" s="85">
        <v>4</v>
      </c>
      <c r="D3408" s="85" t="s">
        <v>62</v>
      </c>
      <c r="E3408" s="85">
        <v>25</v>
      </c>
      <c r="F3408" s="85">
        <v>2</v>
      </c>
      <c r="G3408" s="85">
        <f>--(F3408&lt;=Estimator!$B$7)</f>
        <v>1</v>
      </c>
      <c r="H3408" s="86">
        <f>SUMIFS('Climate Data'!$G$7:$G$366,'Climate Data'!$A$7:$A$366,Estimator!$B$4,'Climate Data'!$B$7:$B$366,C3408)</f>
        <v>0.25555555555555559</v>
      </c>
      <c r="I3408" s="87">
        <f>SUMIFS('Climate Data'!$H$7:$H$366,'Climate Data'!$A$7:$A$366,Estimator!$B$4,'Climate Data'!$B$7:$B$366,C3408)</f>
        <v>7.5</v>
      </c>
      <c r="J3408" s="86">
        <f>SUMIFS('Wind Proxy'!$H$8:$H$19,'Wind Proxy'!$A$8:$A$19,Estimator!$B$4,'Wind Proxy'!$B$8:$B$19,C3408)</f>
        <v>0</v>
      </c>
    </row>
    <row r="3409" spans="1:10" ht="14.4">
      <c r="A3409" s="84">
        <v>49060</v>
      </c>
      <c r="B3409" s="85">
        <v>2034</v>
      </c>
      <c r="C3409" s="85">
        <v>4</v>
      </c>
      <c r="D3409" s="85" t="s">
        <v>62</v>
      </c>
      <c r="E3409" s="85">
        <v>26</v>
      </c>
      <c r="F3409" s="85">
        <v>3</v>
      </c>
      <c r="G3409" s="85">
        <f>--(F3409&lt;=Estimator!$B$7)</f>
        <v>1</v>
      </c>
      <c r="H3409" s="86">
        <f>SUMIFS('Climate Data'!$G$7:$G$366,'Climate Data'!$A$7:$A$366,Estimator!$B$4,'Climate Data'!$B$7:$B$366,C3409)</f>
        <v>0.25555555555555559</v>
      </c>
      <c r="I3409" s="87">
        <f>SUMIFS('Climate Data'!$H$7:$H$366,'Climate Data'!$A$7:$A$366,Estimator!$B$4,'Climate Data'!$B$7:$B$366,C3409)</f>
        <v>7.5</v>
      </c>
      <c r="J3409" s="86">
        <f>SUMIFS('Wind Proxy'!$H$8:$H$19,'Wind Proxy'!$A$8:$A$19,Estimator!$B$4,'Wind Proxy'!$B$8:$B$19,C3409)</f>
        <v>0</v>
      </c>
    </row>
    <row r="3410" spans="1:10" ht="14.4">
      <c r="A3410" s="84">
        <v>49061</v>
      </c>
      <c r="B3410" s="85">
        <v>2034</v>
      </c>
      <c r="C3410" s="85">
        <v>4</v>
      </c>
      <c r="D3410" s="85" t="s">
        <v>62</v>
      </c>
      <c r="E3410" s="85">
        <v>27</v>
      </c>
      <c r="F3410" s="85">
        <v>4</v>
      </c>
      <c r="G3410" s="85">
        <f>--(F3410&lt;=Estimator!$B$7)</f>
        <v>1</v>
      </c>
      <c r="H3410" s="86">
        <f>SUMIFS('Climate Data'!$G$7:$G$366,'Climate Data'!$A$7:$A$366,Estimator!$B$4,'Climate Data'!$B$7:$B$366,C3410)</f>
        <v>0.25555555555555559</v>
      </c>
      <c r="I3410" s="87">
        <f>SUMIFS('Climate Data'!$H$7:$H$366,'Climate Data'!$A$7:$A$366,Estimator!$B$4,'Climate Data'!$B$7:$B$366,C3410)</f>
        <v>7.5</v>
      </c>
      <c r="J3410" s="86">
        <f>SUMIFS('Wind Proxy'!$H$8:$H$19,'Wind Proxy'!$A$8:$A$19,Estimator!$B$4,'Wind Proxy'!$B$8:$B$19,C3410)</f>
        <v>0</v>
      </c>
    </row>
    <row r="3411" spans="1:10" ht="14.4">
      <c r="A3411" s="84">
        <v>49062</v>
      </c>
      <c r="B3411" s="85">
        <v>2034</v>
      </c>
      <c r="C3411" s="85">
        <v>4</v>
      </c>
      <c r="D3411" s="85" t="s">
        <v>62</v>
      </c>
      <c r="E3411" s="85">
        <v>28</v>
      </c>
      <c r="F3411" s="85">
        <v>5</v>
      </c>
      <c r="G3411" s="85">
        <f>--(F3411&lt;=Estimator!$B$7)</f>
        <v>1</v>
      </c>
      <c r="H3411" s="86">
        <f>SUMIFS('Climate Data'!$G$7:$G$366,'Climate Data'!$A$7:$A$366,Estimator!$B$4,'Climate Data'!$B$7:$B$366,C3411)</f>
        <v>0.25555555555555559</v>
      </c>
      <c r="I3411" s="87">
        <f>SUMIFS('Climate Data'!$H$7:$H$366,'Climate Data'!$A$7:$A$366,Estimator!$B$4,'Climate Data'!$B$7:$B$366,C3411)</f>
        <v>7.5</v>
      </c>
      <c r="J3411" s="86">
        <f>SUMIFS('Wind Proxy'!$H$8:$H$19,'Wind Proxy'!$A$8:$A$19,Estimator!$B$4,'Wind Proxy'!$B$8:$B$19,C3411)</f>
        <v>0</v>
      </c>
    </row>
    <row r="3412" spans="1:10" ht="14.4">
      <c r="A3412" s="84">
        <v>49063</v>
      </c>
      <c r="B3412" s="85">
        <v>2034</v>
      </c>
      <c r="C3412" s="85">
        <v>4</v>
      </c>
      <c r="D3412" s="85" t="s">
        <v>62</v>
      </c>
      <c r="E3412" s="85">
        <v>29</v>
      </c>
      <c r="F3412" s="85">
        <v>6</v>
      </c>
      <c r="G3412" s="85">
        <f>--(F3412&lt;=Estimator!$B$7)</f>
        <v>0</v>
      </c>
      <c r="H3412" s="86">
        <f>SUMIFS('Climate Data'!$G$7:$G$366,'Climate Data'!$A$7:$A$366,Estimator!$B$4,'Climate Data'!$B$7:$B$366,C3412)</f>
        <v>0.25555555555555559</v>
      </c>
      <c r="I3412" s="87">
        <f>SUMIFS('Climate Data'!$H$7:$H$366,'Climate Data'!$A$7:$A$366,Estimator!$B$4,'Climate Data'!$B$7:$B$366,C3412)</f>
        <v>7.5</v>
      </c>
      <c r="J3412" s="86">
        <f>SUMIFS('Wind Proxy'!$H$8:$H$19,'Wind Proxy'!$A$8:$A$19,Estimator!$B$4,'Wind Proxy'!$B$8:$B$19,C3412)</f>
        <v>0</v>
      </c>
    </row>
    <row r="3413" spans="1:10" ht="14.4">
      <c r="A3413" s="84">
        <v>49064</v>
      </c>
      <c r="B3413" s="85">
        <v>2034</v>
      </c>
      <c r="C3413" s="85">
        <v>4</v>
      </c>
      <c r="D3413" s="85" t="s">
        <v>62</v>
      </c>
      <c r="E3413" s="85">
        <v>30</v>
      </c>
      <c r="F3413" s="85">
        <v>7</v>
      </c>
      <c r="G3413" s="85">
        <f>--(F3413&lt;=Estimator!$B$7)</f>
        <v>0</v>
      </c>
      <c r="H3413" s="86">
        <f>SUMIFS('Climate Data'!$G$7:$G$366,'Climate Data'!$A$7:$A$366,Estimator!$B$4,'Climate Data'!$B$7:$B$366,C3413)</f>
        <v>0.25555555555555559</v>
      </c>
      <c r="I3413" s="87">
        <f>SUMIFS('Climate Data'!$H$7:$H$366,'Climate Data'!$A$7:$A$366,Estimator!$B$4,'Climate Data'!$B$7:$B$366,C3413)</f>
        <v>7.5</v>
      </c>
      <c r="J3413" s="86">
        <f>SUMIFS('Wind Proxy'!$H$8:$H$19,'Wind Proxy'!$A$8:$A$19,Estimator!$B$4,'Wind Proxy'!$B$8:$B$19,C3413)</f>
        <v>0</v>
      </c>
    </row>
    <row r="3414" spans="1:10" ht="14.4">
      <c r="A3414" s="84">
        <v>49065</v>
      </c>
      <c r="B3414" s="85">
        <v>2034</v>
      </c>
      <c r="C3414" s="85">
        <v>5</v>
      </c>
      <c r="D3414" s="85" t="s">
        <v>65</v>
      </c>
      <c r="E3414" s="85">
        <v>1</v>
      </c>
      <c r="F3414" s="85">
        <v>1</v>
      </c>
      <c r="G3414" s="85">
        <f>--(F3414&lt;=Estimator!$B$7)</f>
        <v>1</v>
      </c>
      <c r="H3414" s="86">
        <f>SUMIFS('Climate Data'!$G$7:$G$366,'Climate Data'!$A$7:$A$366,Estimator!$B$4,'Climate Data'!$B$7:$B$366,C3414)</f>
        <v>0.23010752688172045</v>
      </c>
      <c r="I3414" s="87">
        <f>SUMIFS('Climate Data'!$H$7:$H$366,'Climate Data'!$A$7:$A$366,Estimator!$B$4,'Climate Data'!$B$7:$B$366,C3414)</f>
        <v>8.1448598130841123</v>
      </c>
      <c r="J3414" s="86">
        <f>SUMIFS('Wind Proxy'!$H$8:$H$19,'Wind Proxy'!$A$8:$A$19,Estimator!$B$4,'Wind Proxy'!$B$8:$B$19,C3414)</f>
        <v>0</v>
      </c>
    </row>
    <row r="3415" spans="1:10" ht="14.4">
      <c r="A3415" s="84">
        <v>49066</v>
      </c>
      <c r="B3415" s="85">
        <v>2034</v>
      </c>
      <c r="C3415" s="85">
        <v>5</v>
      </c>
      <c r="D3415" s="85" t="s">
        <v>65</v>
      </c>
      <c r="E3415" s="85">
        <v>2</v>
      </c>
      <c r="F3415" s="85">
        <v>2</v>
      </c>
      <c r="G3415" s="85">
        <f>--(F3415&lt;=Estimator!$B$7)</f>
        <v>1</v>
      </c>
      <c r="H3415" s="86">
        <f>SUMIFS('Climate Data'!$G$7:$G$366,'Climate Data'!$A$7:$A$366,Estimator!$B$4,'Climate Data'!$B$7:$B$366,C3415)</f>
        <v>0.23010752688172045</v>
      </c>
      <c r="I3415" s="87">
        <f>SUMIFS('Climate Data'!$H$7:$H$366,'Climate Data'!$A$7:$A$366,Estimator!$B$4,'Climate Data'!$B$7:$B$366,C3415)</f>
        <v>8.1448598130841123</v>
      </c>
      <c r="J3415" s="86">
        <f>SUMIFS('Wind Proxy'!$H$8:$H$19,'Wind Proxy'!$A$8:$A$19,Estimator!$B$4,'Wind Proxy'!$B$8:$B$19,C3415)</f>
        <v>0</v>
      </c>
    </row>
    <row r="3416" spans="1:10" ht="14.4">
      <c r="A3416" s="84">
        <v>49067</v>
      </c>
      <c r="B3416" s="85">
        <v>2034</v>
      </c>
      <c r="C3416" s="85">
        <v>5</v>
      </c>
      <c r="D3416" s="85" t="s">
        <v>65</v>
      </c>
      <c r="E3416" s="85">
        <v>3</v>
      </c>
      <c r="F3416" s="85">
        <v>3</v>
      </c>
      <c r="G3416" s="85">
        <f>--(F3416&lt;=Estimator!$B$7)</f>
        <v>1</v>
      </c>
      <c r="H3416" s="86">
        <f>SUMIFS('Climate Data'!$G$7:$G$366,'Climate Data'!$A$7:$A$366,Estimator!$B$4,'Climate Data'!$B$7:$B$366,C3416)</f>
        <v>0.23010752688172045</v>
      </c>
      <c r="I3416" s="87">
        <f>SUMIFS('Climate Data'!$H$7:$H$366,'Climate Data'!$A$7:$A$366,Estimator!$B$4,'Climate Data'!$B$7:$B$366,C3416)</f>
        <v>8.1448598130841123</v>
      </c>
      <c r="J3416" s="86">
        <f>SUMIFS('Wind Proxy'!$H$8:$H$19,'Wind Proxy'!$A$8:$A$19,Estimator!$B$4,'Wind Proxy'!$B$8:$B$19,C3416)</f>
        <v>0</v>
      </c>
    </row>
    <row r="3417" spans="1:10" ht="14.4">
      <c r="A3417" s="84">
        <v>49068</v>
      </c>
      <c r="B3417" s="85">
        <v>2034</v>
      </c>
      <c r="C3417" s="85">
        <v>5</v>
      </c>
      <c r="D3417" s="85" t="s">
        <v>65</v>
      </c>
      <c r="E3417" s="85">
        <v>4</v>
      </c>
      <c r="F3417" s="85">
        <v>4</v>
      </c>
      <c r="G3417" s="85">
        <f>--(F3417&lt;=Estimator!$B$7)</f>
        <v>1</v>
      </c>
      <c r="H3417" s="86">
        <f>SUMIFS('Climate Data'!$G$7:$G$366,'Climate Data'!$A$7:$A$366,Estimator!$B$4,'Climate Data'!$B$7:$B$366,C3417)</f>
        <v>0.23010752688172045</v>
      </c>
      <c r="I3417" s="87">
        <f>SUMIFS('Climate Data'!$H$7:$H$366,'Climate Data'!$A$7:$A$366,Estimator!$B$4,'Climate Data'!$B$7:$B$366,C3417)</f>
        <v>8.1448598130841123</v>
      </c>
      <c r="J3417" s="86">
        <f>SUMIFS('Wind Proxy'!$H$8:$H$19,'Wind Proxy'!$A$8:$A$19,Estimator!$B$4,'Wind Proxy'!$B$8:$B$19,C3417)</f>
        <v>0</v>
      </c>
    </row>
    <row r="3418" spans="1:10" ht="14.4">
      <c r="A3418" s="84">
        <v>49069</v>
      </c>
      <c r="B3418" s="85">
        <v>2034</v>
      </c>
      <c r="C3418" s="85">
        <v>5</v>
      </c>
      <c r="D3418" s="85" t="s">
        <v>65</v>
      </c>
      <c r="E3418" s="85">
        <v>5</v>
      </c>
      <c r="F3418" s="85">
        <v>5</v>
      </c>
      <c r="G3418" s="85">
        <f>--(F3418&lt;=Estimator!$B$7)</f>
        <v>1</v>
      </c>
      <c r="H3418" s="86">
        <f>SUMIFS('Climate Data'!$G$7:$G$366,'Climate Data'!$A$7:$A$366,Estimator!$B$4,'Climate Data'!$B$7:$B$366,C3418)</f>
        <v>0.23010752688172045</v>
      </c>
      <c r="I3418" s="87">
        <f>SUMIFS('Climate Data'!$H$7:$H$366,'Climate Data'!$A$7:$A$366,Estimator!$B$4,'Climate Data'!$B$7:$B$366,C3418)</f>
        <v>8.1448598130841123</v>
      </c>
      <c r="J3418" s="86">
        <f>SUMIFS('Wind Proxy'!$H$8:$H$19,'Wind Proxy'!$A$8:$A$19,Estimator!$B$4,'Wind Proxy'!$B$8:$B$19,C3418)</f>
        <v>0</v>
      </c>
    </row>
    <row r="3419" spans="1:10" ht="14.4">
      <c r="A3419" s="84">
        <v>49070</v>
      </c>
      <c r="B3419" s="85">
        <v>2034</v>
      </c>
      <c r="C3419" s="85">
        <v>5</v>
      </c>
      <c r="D3419" s="85" t="s">
        <v>65</v>
      </c>
      <c r="E3419" s="85">
        <v>6</v>
      </c>
      <c r="F3419" s="85">
        <v>6</v>
      </c>
      <c r="G3419" s="85">
        <f>--(F3419&lt;=Estimator!$B$7)</f>
        <v>0</v>
      </c>
      <c r="H3419" s="86">
        <f>SUMIFS('Climate Data'!$G$7:$G$366,'Climate Data'!$A$7:$A$366,Estimator!$B$4,'Climate Data'!$B$7:$B$366,C3419)</f>
        <v>0.23010752688172045</v>
      </c>
      <c r="I3419" s="87">
        <f>SUMIFS('Climate Data'!$H$7:$H$366,'Climate Data'!$A$7:$A$366,Estimator!$B$4,'Climate Data'!$B$7:$B$366,C3419)</f>
        <v>8.1448598130841123</v>
      </c>
      <c r="J3419" s="86">
        <f>SUMIFS('Wind Proxy'!$H$8:$H$19,'Wind Proxy'!$A$8:$A$19,Estimator!$B$4,'Wind Proxy'!$B$8:$B$19,C3419)</f>
        <v>0</v>
      </c>
    </row>
    <row r="3420" spans="1:10" ht="14.4">
      <c r="A3420" s="84">
        <v>49071</v>
      </c>
      <c r="B3420" s="85">
        <v>2034</v>
      </c>
      <c r="C3420" s="85">
        <v>5</v>
      </c>
      <c r="D3420" s="85" t="s">
        <v>65</v>
      </c>
      <c r="E3420" s="85">
        <v>7</v>
      </c>
      <c r="F3420" s="85">
        <v>7</v>
      </c>
      <c r="G3420" s="85">
        <f>--(F3420&lt;=Estimator!$B$7)</f>
        <v>0</v>
      </c>
      <c r="H3420" s="86">
        <f>SUMIFS('Climate Data'!$G$7:$G$366,'Climate Data'!$A$7:$A$366,Estimator!$B$4,'Climate Data'!$B$7:$B$366,C3420)</f>
        <v>0.23010752688172045</v>
      </c>
      <c r="I3420" s="87">
        <f>SUMIFS('Climate Data'!$H$7:$H$366,'Climate Data'!$A$7:$A$366,Estimator!$B$4,'Climate Data'!$B$7:$B$366,C3420)</f>
        <v>8.1448598130841123</v>
      </c>
      <c r="J3420" s="86">
        <f>SUMIFS('Wind Proxy'!$H$8:$H$19,'Wind Proxy'!$A$8:$A$19,Estimator!$B$4,'Wind Proxy'!$B$8:$B$19,C3420)</f>
        <v>0</v>
      </c>
    </row>
    <row r="3421" spans="1:10" ht="14.4">
      <c r="A3421" s="84">
        <v>49072</v>
      </c>
      <c r="B3421" s="85">
        <v>2034</v>
      </c>
      <c r="C3421" s="85">
        <v>5</v>
      </c>
      <c r="D3421" s="85" t="s">
        <v>65</v>
      </c>
      <c r="E3421" s="85">
        <v>8</v>
      </c>
      <c r="F3421" s="85">
        <v>1</v>
      </c>
      <c r="G3421" s="85">
        <f>--(F3421&lt;=Estimator!$B$7)</f>
        <v>1</v>
      </c>
      <c r="H3421" s="86">
        <f>SUMIFS('Climate Data'!$G$7:$G$366,'Climate Data'!$A$7:$A$366,Estimator!$B$4,'Climate Data'!$B$7:$B$366,C3421)</f>
        <v>0.23010752688172045</v>
      </c>
      <c r="I3421" s="87">
        <f>SUMIFS('Climate Data'!$H$7:$H$366,'Climate Data'!$A$7:$A$366,Estimator!$B$4,'Climate Data'!$B$7:$B$366,C3421)</f>
        <v>8.1448598130841123</v>
      </c>
      <c r="J3421" s="86">
        <f>SUMIFS('Wind Proxy'!$H$8:$H$19,'Wind Proxy'!$A$8:$A$19,Estimator!$B$4,'Wind Proxy'!$B$8:$B$19,C3421)</f>
        <v>0</v>
      </c>
    </row>
    <row r="3422" spans="1:10" ht="14.4">
      <c r="A3422" s="84">
        <v>49073</v>
      </c>
      <c r="B3422" s="85">
        <v>2034</v>
      </c>
      <c r="C3422" s="85">
        <v>5</v>
      </c>
      <c r="D3422" s="85" t="s">
        <v>65</v>
      </c>
      <c r="E3422" s="85">
        <v>9</v>
      </c>
      <c r="F3422" s="85">
        <v>2</v>
      </c>
      <c r="G3422" s="85">
        <f>--(F3422&lt;=Estimator!$B$7)</f>
        <v>1</v>
      </c>
      <c r="H3422" s="86">
        <f>SUMIFS('Climate Data'!$G$7:$G$366,'Climate Data'!$A$7:$A$366,Estimator!$B$4,'Climate Data'!$B$7:$B$366,C3422)</f>
        <v>0.23010752688172045</v>
      </c>
      <c r="I3422" s="87">
        <f>SUMIFS('Climate Data'!$H$7:$H$366,'Climate Data'!$A$7:$A$366,Estimator!$B$4,'Climate Data'!$B$7:$B$366,C3422)</f>
        <v>8.1448598130841123</v>
      </c>
      <c r="J3422" s="86">
        <f>SUMIFS('Wind Proxy'!$H$8:$H$19,'Wind Proxy'!$A$8:$A$19,Estimator!$B$4,'Wind Proxy'!$B$8:$B$19,C3422)</f>
        <v>0</v>
      </c>
    </row>
    <row r="3423" spans="1:10" ht="14.4">
      <c r="A3423" s="84">
        <v>49074</v>
      </c>
      <c r="B3423" s="85">
        <v>2034</v>
      </c>
      <c r="C3423" s="85">
        <v>5</v>
      </c>
      <c r="D3423" s="85" t="s">
        <v>65</v>
      </c>
      <c r="E3423" s="85">
        <v>10</v>
      </c>
      <c r="F3423" s="85">
        <v>3</v>
      </c>
      <c r="G3423" s="85">
        <f>--(F3423&lt;=Estimator!$B$7)</f>
        <v>1</v>
      </c>
      <c r="H3423" s="86">
        <f>SUMIFS('Climate Data'!$G$7:$G$366,'Climate Data'!$A$7:$A$366,Estimator!$B$4,'Climate Data'!$B$7:$B$366,C3423)</f>
        <v>0.23010752688172045</v>
      </c>
      <c r="I3423" s="87">
        <f>SUMIFS('Climate Data'!$H$7:$H$366,'Climate Data'!$A$7:$A$366,Estimator!$B$4,'Climate Data'!$B$7:$B$366,C3423)</f>
        <v>8.1448598130841123</v>
      </c>
      <c r="J3423" s="86">
        <f>SUMIFS('Wind Proxy'!$H$8:$H$19,'Wind Proxy'!$A$8:$A$19,Estimator!$B$4,'Wind Proxy'!$B$8:$B$19,C3423)</f>
        <v>0</v>
      </c>
    </row>
    <row r="3424" spans="1:10" ht="14.4">
      <c r="A3424" s="84">
        <v>49075</v>
      </c>
      <c r="B3424" s="85">
        <v>2034</v>
      </c>
      <c r="C3424" s="85">
        <v>5</v>
      </c>
      <c r="D3424" s="85" t="s">
        <v>65</v>
      </c>
      <c r="E3424" s="85">
        <v>11</v>
      </c>
      <c r="F3424" s="85">
        <v>4</v>
      </c>
      <c r="G3424" s="85">
        <f>--(F3424&lt;=Estimator!$B$7)</f>
        <v>1</v>
      </c>
      <c r="H3424" s="86">
        <f>SUMIFS('Climate Data'!$G$7:$G$366,'Climate Data'!$A$7:$A$366,Estimator!$B$4,'Climate Data'!$B$7:$B$366,C3424)</f>
        <v>0.23010752688172045</v>
      </c>
      <c r="I3424" s="87">
        <f>SUMIFS('Climate Data'!$H$7:$H$366,'Climate Data'!$A$7:$A$366,Estimator!$B$4,'Climate Data'!$B$7:$B$366,C3424)</f>
        <v>8.1448598130841123</v>
      </c>
      <c r="J3424" s="86">
        <f>SUMIFS('Wind Proxy'!$H$8:$H$19,'Wind Proxy'!$A$8:$A$19,Estimator!$B$4,'Wind Proxy'!$B$8:$B$19,C3424)</f>
        <v>0</v>
      </c>
    </row>
    <row r="3425" spans="1:10" ht="14.4">
      <c r="A3425" s="84">
        <v>49076</v>
      </c>
      <c r="B3425" s="85">
        <v>2034</v>
      </c>
      <c r="C3425" s="85">
        <v>5</v>
      </c>
      <c r="D3425" s="85" t="s">
        <v>65</v>
      </c>
      <c r="E3425" s="85">
        <v>12</v>
      </c>
      <c r="F3425" s="85">
        <v>5</v>
      </c>
      <c r="G3425" s="85">
        <f>--(F3425&lt;=Estimator!$B$7)</f>
        <v>1</v>
      </c>
      <c r="H3425" s="86">
        <f>SUMIFS('Climate Data'!$G$7:$G$366,'Climate Data'!$A$7:$A$366,Estimator!$B$4,'Climate Data'!$B$7:$B$366,C3425)</f>
        <v>0.23010752688172045</v>
      </c>
      <c r="I3425" s="87">
        <f>SUMIFS('Climate Data'!$H$7:$H$366,'Climate Data'!$A$7:$A$366,Estimator!$B$4,'Climate Data'!$B$7:$B$366,C3425)</f>
        <v>8.1448598130841123</v>
      </c>
      <c r="J3425" s="86">
        <f>SUMIFS('Wind Proxy'!$H$8:$H$19,'Wind Proxy'!$A$8:$A$19,Estimator!$B$4,'Wind Proxy'!$B$8:$B$19,C3425)</f>
        <v>0</v>
      </c>
    </row>
    <row r="3426" spans="1:10" ht="14.4">
      <c r="A3426" s="84">
        <v>49077</v>
      </c>
      <c r="B3426" s="85">
        <v>2034</v>
      </c>
      <c r="C3426" s="85">
        <v>5</v>
      </c>
      <c r="D3426" s="85" t="s">
        <v>65</v>
      </c>
      <c r="E3426" s="85">
        <v>13</v>
      </c>
      <c r="F3426" s="85">
        <v>6</v>
      </c>
      <c r="G3426" s="85">
        <f>--(F3426&lt;=Estimator!$B$7)</f>
        <v>0</v>
      </c>
      <c r="H3426" s="86">
        <f>SUMIFS('Climate Data'!$G$7:$G$366,'Climate Data'!$A$7:$A$366,Estimator!$B$4,'Climate Data'!$B$7:$B$366,C3426)</f>
        <v>0.23010752688172045</v>
      </c>
      <c r="I3426" s="87">
        <f>SUMIFS('Climate Data'!$H$7:$H$366,'Climate Data'!$A$7:$A$366,Estimator!$B$4,'Climate Data'!$B$7:$B$366,C3426)</f>
        <v>8.1448598130841123</v>
      </c>
      <c r="J3426" s="86">
        <f>SUMIFS('Wind Proxy'!$H$8:$H$19,'Wind Proxy'!$A$8:$A$19,Estimator!$B$4,'Wind Proxy'!$B$8:$B$19,C3426)</f>
        <v>0</v>
      </c>
    </row>
    <row r="3427" spans="1:10" ht="14.4">
      <c r="A3427" s="84">
        <v>49078</v>
      </c>
      <c r="B3427" s="85">
        <v>2034</v>
      </c>
      <c r="C3427" s="85">
        <v>5</v>
      </c>
      <c r="D3427" s="85" t="s">
        <v>65</v>
      </c>
      <c r="E3427" s="85">
        <v>14</v>
      </c>
      <c r="F3427" s="85">
        <v>7</v>
      </c>
      <c r="G3427" s="85">
        <f>--(F3427&lt;=Estimator!$B$7)</f>
        <v>0</v>
      </c>
      <c r="H3427" s="86">
        <f>SUMIFS('Climate Data'!$G$7:$G$366,'Climate Data'!$A$7:$A$366,Estimator!$B$4,'Climate Data'!$B$7:$B$366,C3427)</f>
        <v>0.23010752688172045</v>
      </c>
      <c r="I3427" s="87">
        <f>SUMIFS('Climate Data'!$H$7:$H$366,'Climate Data'!$A$7:$A$366,Estimator!$B$4,'Climate Data'!$B$7:$B$366,C3427)</f>
        <v>8.1448598130841123</v>
      </c>
      <c r="J3427" s="86">
        <f>SUMIFS('Wind Proxy'!$H$8:$H$19,'Wind Proxy'!$A$8:$A$19,Estimator!$B$4,'Wind Proxy'!$B$8:$B$19,C3427)</f>
        <v>0</v>
      </c>
    </row>
    <row r="3428" spans="1:10" ht="14.4">
      <c r="A3428" s="84">
        <v>49079</v>
      </c>
      <c r="B3428" s="85">
        <v>2034</v>
      </c>
      <c r="C3428" s="85">
        <v>5</v>
      </c>
      <c r="D3428" s="85" t="s">
        <v>65</v>
      </c>
      <c r="E3428" s="85">
        <v>15</v>
      </c>
      <c r="F3428" s="85">
        <v>1</v>
      </c>
      <c r="G3428" s="85">
        <f>--(F3428&lt;=Estimator!$B$7)</f>
        <v>1</v>
      </c>
      <c r="H3428" s="86">
        <f>SUMIFS('Climate Data'!$G$7:$G$366,'Climate Data'!$A$7:$A$366,Estimator!$B$4,'Climate Data'!$B$7:$B$366,C3428)</f>
        <v>0.23010752688172045</v>
      </c>
      <c r="I3428" s="87">
        <f>SUMIFS('Climate Data'!$H$7:$H$366,'Climate Data'!$A$7:$A$366,Estimator!$B$4,'Climate Data'!$B$7:$B$366,C3428)</f>
        <v>8.1448598130841123</v>
      </c>
      <c r="J3428" s="86">
        <f>SUMIFS('Wind Proxy'!$H$8:$H$19,'Wind Proxy'!$A$8:$A$19,Estimator!$B$4,'Wind Proxy'!$B$8:$B$19,C3428)</f>
        <v>0</v>
      </c>
    </row>
    <row r="3429" spans="1:10" ht="14.4">
      <c r="A3429" s="84">
        <v>49080</v>
      </c>
      <c r="B3429" s="85">
        <v>2034</v>
      </c>
      <c r="C3429" s="85">
        <v>5</v>
      </c>
      <c r="D3429" s="85" t="s">
        <v>65</v>
      </c>
      <c r="E3429" s="85">
        <v>16</v>
      </c>
      <c r="F3429" s="85">
        <v>2</v>
      </c>
      <c r="G3429" s="85">
        <f>--(F3429&lt;=Estimator!$B$7)</f>
        <v>1</v>
      </c>
      <c r="H3429" s="86">
        <f>SUMIFS('Climate Data'!$G$7:$G$366,'Climate Data'!$A$7:$A$366,Estimator!$B$4,'Climate Data'!$B$7:$B$366,C3429)</f>
        <v>0.23010752688172045</v>
      </c>
      <c r="I3429" s="87">
        <f>SUMIFS('Climate Data'!$H$7:$H$366,'Climate Data'!$A$7:$A$366,Estimator!$B$4,'Climate Data'!$B$7:$B$366,C3429)</f>
        <v>8.1448598130841123</v>
      </c>
      <c r="J3429" s="86">
        <f>SUMIFS('Wind Proxy'!$H$8:$H$19,'Wind Proxy'!$A$8:$A$19,Estimator!$B$4,'Wind Proxy'!$B$8:$B$19,C3429)</f>
        <v>0</v>
      </c>
    </row>
    <row r="3430" spans="1:10" ht="14.4">
      <c r="A3430" s="84">
        <v>49081</v>
      </c>
      <c r="B3430" s="85">
        <v>2034</v>
      </c>
      <c r="C3430" s="85">
        <v>5</v>
      </c>
      <c r="D3430" s="85" t="s">
        <v>65</v>
      </c>
      <c r="E3430" s="85">
        <v>17</v>
      </c>
      <c r="F3430" s="85">
        <v>3</v>
      </c>
      <c r="G3430" s="85">
        <f>--(F3430&lt;=Estimator!$B$7)</f>
        <v>1</v>
      </c>
      <c r="H3430" s="86">
        <f>SUMIFS('Climate Data'!$G$7:$G$366,'Climate Data'!$A$7:$A$366,Estimator!$B$4,'Climate Data'!$B$7:$B$366,C3430)</f>
        <v>0.23010752688172045</v>
      </c>
      <c r="I3430" s="87">
        <f>SUMIFS('Climate Data'!$H$7:$H$366,'Climate Data'!$A$7:$A$366,Estimator!$B$4,'Climate Data'!$B$7:$B$366,C3430)</f>
        <v>8.1448598130841123</v>
      </c>
      <c r="J3430" s="86">
        <f>SUMIFS('Wind Proxy'!$H$8:$H$19,'Wind Proxy'!$A$8:$A$19,Estimator!$B$4,'Wind Proxy'!$B$8:$B$19,C3430)</f>
        <v>0</v>
      </c>
    </row>
    <row r="3431" spans="1:10" ht="14.4">
      <c r="A3431" s="84">
        <v>49082</v>
      </c>
      <c r="B3431" s="85">
        <v>2034</v>
      </c>
      <c r="C3431" s="85">
        <v>5</v>
      </c>
      <c r="D3431" s="85" t="s">
        <v>65</v>
      </c>
      <c r="E3431" s="85">
        <v>18</v>
      </c>
      <c r="F3431" s="85">
        <v>4</v>
      </c>
      <c r="G3431" s="85">
        <f>--(F3431&lt;=Estimator!$B$7)</f>
        <v>1</v>
      </c>
      <c r="H3431" s="86">
        <f>SUMIFS('Climate Data'!$G$7:$G$366,'Climate Data'!$A$7:$A$366,Estimator!$B$4,'Climate Data'!$B$7:$B$366,C3431)</f>
        <v>0.23010752688172045</v>
      </c>
      <c r="I3431" s="87">
        <f>SUMIFS('Climate Data'!$H$7:$H$366,'Climate Data'!$A$7:$A$366,Estimator!$B$4,'Climate Data'!$B$7:$B$366,C3431)</f>
        <v>8.1448598130841123</v>
      </c>
      <c r="J3431" s="86">
        <f>SUMIFS('Wind Proxy'!$H$8:$H$19,'Wind Proxy'!$A$8:$A$19,Estimator!$B$4,'Wind Proxy'!$B$8:$B$19,C3431)</f>
        <v>0</v>
      </c>
    </row>
    <row r="3432" spans="1:10" ht="14.4">
      <c r="A3432" s="84">
        <v>49083</v>
      </c>
      <c r="B3432" s="85">
        <v>2034</v>
      </c>
      <c r="C3432" s="85">
        <v>5</v>
      </c>
      <c r="D3432" s="85" t="s">
        <v>65</v>
      </c>
      <c r="E3432" s="85">
        <v>19</v>
      </c>
      <c r="F3432" s="85">
        <v>5</v>
      </c>
      <c r="G3432" s="85">
        <f>--(F3432&lt;=Estimator!$B$7)</f>
        <v>1</v>
      </c>
      <c r="H3432" s="86">
        <f>SUMIFS('Climate Data'!$G$7:$G$366,'Climate Data'!$A$7:$A$366,Estimator!$B$4,'Climate Data'!$B$7:$B$366,C3432)</f>
        <v>0.23010752688172045</v>
      </c>
      <c r="I3432" s="87">
        <f>SUMIFS('Climate Data'!$H$7:$H$366,'Climate Data'!$A$7:$A$366,Estimator!$B$4,'Climate Data'!$B$7:$B$366,C3432)</f>
        <v>8.1448598130841123</v>
      </c>
      <c r="J3432" s="86">
        <f>SUMIFS('Wind Proxy'!$H$8:$H$19,'Wind Proxy'!$A$8:$A$19,Estimator!$B$4,'Wind Proxy'!$B$8:$B$19,C3432)</f>
        <v>0</v>
      </c>
    </row>
    <row r="3433" spans="1:10" ht="14.4">
      <c r="A3433" s="84">
        <v>49084</v>
      </c>
      <c r="B3433" s="85">
        <v>2034</v>
      </c>
      <c r="C3433" s="85">
        <v>5</v>
      </c>
      <c r="D3433" s="85" t="s">
        <v>65</v>
      </c>
      <c r="E3433" s="85">
        <v>20</v>
      </c>
      <c r="F3433" s="85">
        <v>6</v>
      </c>
      <c r="G3433" s="85">
        <f>--(F3433&lt;=Estimator!$B$7)</f>
        <v>0</v>
      </c>
      <c r="H3433" s="86">
        <f>SUMIFS('Climate Data'!$G$7:$G$366,'Climate Data'!$A$7:$A$366,Estimator!$B$4,'Climate Data'!$B$7:$B$366,C3433)</f>
        <v>0.23010752688172045</v>
      </c>
      <c r="I3433" s="87">
        <f>SUMIFS('Climate Data'!$H$7:$H$366,'Climate Data'!$A$7:$A$366,Estimator!$B$4,'Climate Data'!$B$7:$B$366,C3433)</f>
        <v>8.1448598130841123</v>
      </c>
      <c r="J3433" s="86">
        <f>SUMIFS('Wind Proxy'!$H$8:$H$19,'Wind Proxy'!$A$8:$A$19,Estimator!$B$4,'Wind Proxy'!$B$8:$B$19,C3433)</f>
        <v>0</v>
      </c>
    </row>
    <row r="3434" spans="1:10" ht="14.4">
      <c r="A3434" s="84">
        <v>49085</v>
      </c>
      <c r="B3434" s="85">
        <v>2034</v>
      </c>
      <c r="C3434" s="85">
        <v>5</v>
      </c>
      <c r="D3434" s="85" t="s">
        <v>65</v>
      </c>
      <c r="E3434" s="85">
        <v>21</v>
      </c>
      <c r="F3434" s="85">
        <v>7</v>
      </c>
      <c r="G3434" s="85">
        <f>--(F3434&lt;=Estimator!$B$7)</f>
        <v>0</v>
      </c>
      <c r="H3434" s="86">
        <f>SUMIFS('Climate Data'!$G$7:$G$366,'Climate Data'!$A$7:$A$366,Estimator!$B$4,'Climate Data'!$B$7:$B$366,C3434)</f>
        <v>0.23010752688172045</v>
      </c>
      <c r="I3434" s="87">
        <f>SUMIFS('Climate Data'!$H$7:$H$366,'Climate Data'!$A$7:$A$366,Estimator!$B$4,'Climate Data'!$B$7:$B$366,C3434)</f>
        <v>8.1448598130841123</v>
      </c>
      <c r="J3434" s="86">
        <f>SUMIFS('Wind Proxy'!$H$8:$H$19,'Wind Proxy'!$A$8:$A$19,Estimator!$B$4,'Wind Proxy'!$B$8:$B$19,C3434)</f>
        <v>0</v>
      </c>
    </row>
    <row r="3435" spans="1:10" ht="14.4">
      <c r="A3435" s="84">
        <v>49086</v>
      </c>
      <c r="B3435" s="85">
        <v>2034</v>
      </c>
      <c r="C3435" s="85">
        <v>5</v>
      </c>
      <c r="D3435" s="85" t="s">
        <v>65</v>
      </c>
      <c r="E3435" s="85">
        <v>22</v>
      </c>
      <c r="F3435" s="85">
        <v>1</v>
      </c>
      <c r="G3435" s="85">
        <f>--(F3435&lt;=Estimator!$B$7)</f>
        <v>1</v>
      </c>
      <c r="H3435" s="86">
        <f>SUMIFS('Climate Data'!$G$7:$G$366,'Climate Data'!$A$7:$A$366,Estimator!$B$4,'Climate Data'!$B$7:$B$366,C3435)</f>
        <v>0.23010752688172045</v>
      </c>
      <c r="I3435" s="87">
        <f>SUMIFS('Climate Data'!$H$7:$H$366,'Climate Data'!$A$7:$A$366,Estimator!$B$4,'Climate Data'!$B$7:$B$366,C3435)</f>
        <v>8.1448598130841123</v>
      </c>
      <c r="J3435" s="86">
        <f>SUMIFS('Wind Proxy'!$H$8:$H$19,'Wind Proxy'!$A$8:$A$19,Estimator!$B$4,'Wind Proxy'!$B$8:$B$19,C3435)</f>
        <v>0</v>
      </c>
    </row>
    <row r="3436" spans="1:10" ht="14.4">
      <c r="A3436" s="84">
        <v>49087</v>
      </c>
      <c r="B3436" s="85">
        <v>2034</v>
      </c>
      <c r="C3436" s="85">
        <v>5</v>
      </c>
      <c r="D3436" s="85" t="s">
        <v>65</v>
      </c>
      <c r="E3436" s="85">
        <v>23</v>
      </c>
      <c r="F3436" s="85">
        <v>2</v>
      </c>
      <c r="G3436" s="85">
        <f>--(F3436&lt;=Estimator!$B$7)</f>
        <v>1</v>
      </c>
      <c r="H3436" s="86">
        <f>SUMIFS('Climate Data'!$G$7:$G$366,'Climate Data'!$A$7:$A$366,Estimator!$B$4,'Climate Data'!$B$7:$B$366,C3436)</f>
        <v>0.23010752688172045</v>
      </c>
      <c r="I3436" s="87">
        <f>SUMIFS('Climate Data'!$H$7:$H$366,'Climate Data'!$A$7:$A$366,Estimator!$B$4,'Climate Data'!$B$7:$B$366,C3436)</f>
        <v>8.1448598130841123</v>
      </c>
      <c r="J3436" s="86">
        <f>SUMIFS('Wind Proxy'!$H$8:$H$19,'Wind Proxy'!$A$8:$A$19,Estimator!$B$4,'Wind Proxy'!$B$8:$B$19,C3436)</f>
        <v>0</v>
      </c>
    </row>
    <row r="3437" spans="1:10" ht="14.4">
      <c r="A3437" s="84">
        <v>49088</v>
      </c>
      <c r="B3437" s="85">
        <v>2034</v>
      </c>
      <c r="C3437" s="85">
        <v>5</v>
      </c>
      <c r="D3437" s="85" t="s">
        <v>65</v>
      </c>
      <c r="E3437" s="85">
        <v>24</v>
      </c>
      <c r="F3437" s="85">
        <v>3</v>
      </c>
      <c r="G3437" s="85">
        <f>--(F3437&lt;=Estimator!$B$7)</f>
        <v>1</v>
      </c>
      <c r="H3437" s="86">
        <f>SUMIFS('Climate Data'!$G$7:$G$366,'Climate Data'!$A$7:$A$366,Estimator!$B$4,'Climate Data'!$B$7:$B$366,C3437)</f>
        <v>0.23010752688172045</v>
      </c>
      <c r="I3437" s="87">
        <f>SUMIFS('Climate Data'!$H$7:$H$366,'Climate Data'!$A$7:$A$366,Estimator!$B$4,'Climate Data'!$B$7:$B$366,C3437)</f>
        <v>8.1448598130841123</v>
      </c>
      <c r="J3437" s="86">
        <f>SUMIFS('Wind Proxy'!$H$8:$H$19,'Wind Proxy'!$A$8:$A$19,Estimator!$B$4,'Wind Proxy'!$B$8:$B$19,C3437)</f>
        <v>0</v>
      </c>
    </row>
    <row r="3438" spans="1:10" ht="14.4">
      <c r="A3438" s="84">
        <v>49089</v>
      </c>
      <c r="B3438" s="85">
        <v>2034</v>
      </c>
      <c r="C3438" s="85">
        <v>5</v>
      </c>
      <c r="D3438" s="85" t="s">
        <v>65</v>
      </c>
      <c r="E3438" s="85">
        <v>25</v>
      </c>
      <c r="F3438" s="85">
        <v>4</v>
      </c>
      <c r="G3438" s="85">
        <f>--(F3438&lt;=Estimator!$B$7)</f>
        <v>1</v>
      </c>
      <c r="H3438" s="86">
        <f>SUMIFS('Climate Data'!$G$7:$G$366,'Climate Data'!$A$7:$A$366,Estimator!$B$4,'Climate Data'!$B$7:$B$366,C3438)</f>
        <v>0.23010752688172045</v>
      </c>
      <c r="I3438" s="87">
        <f>SUMIFS('Climate Data'!$H$7:$H$366,'Climate Data'!$A$7:$A$366,Estimator!$B$4,'Climate Data'!$B$7:$B$366,C3438)</f>
        <v>8.1448598130841123</v>
      </c>
      <c r="J3438" s="86">
        <f>SUMIFS('Wind Proxy'!$H$8:$H$19,'Wind Proxy'!$A$8:$A$19,Estimator!$B$4,'Wind Proxy'!$B$8:$B$19,C3438)</f>
        <v>0</v>
      </c>
    </row>
    <row r="3439" spans="1:10" ht="14.4">
      <c r="A3439" s="84">
        <v>49090</v>
      </c>
      <c r="B3439" s="85">
        <v>2034</v>
      </c>
      <c r="C3439" s="85">
        <v>5</v>
      </c>
      <c r="D3439" s="85" t="s">
        <v>65</v>
      </c>
      <c r="E3439" s="85">
        <v>26</v>
      </c>
      <c r="F3439" s="85">
        <v>5</v>
      </c>
      <c r="G3439" s="85">
        <f>--(F3439&lt;=Estimator!$B$7)</f>
        <v>1</v>
      </c>
      <c r="H3439" s="86">
        <f>SUMIFS('Climate Data'!$G$7:$G$366,'Climate Data'!$A$7:$A$366,Estimator!$B$4,'Climate Data'!$B$7:$B$366,C3439)</f>
        <v>0.23010752688172045</v>
      </c>
      <c r="I3439" s="87">
        <f>SUMIFS('Climate Data'!$H$7:$H$366,'Climate Data'!$A$7:$A$366,Estimator!$B$4,'Climate Data'!$B$7:$B$366,C3439)</f>
        <v>8.1448598130841123</v>
      </c>
      <c r="J3439" s="86">
        <f>SUMIFS('Wind Proxy'!$H$8:$H$19,'Wind Proxy'!$A$8:$A$19,Estimator!$B$4,'Wind Proxy'!$B$8:$B$19,C3439)</f>
        <v>0</v>
      </c>
    </row>
    <row r="3440" spans="1:10" ht="14.4">
      <c r="A3440" s="84">
        <v>49091</v>
      </c>
      <c r="B3440" s="85">
        <v>2034</v>
      </c>
      <c r="C3440" s="85">
        <v>5</v>
      </c>
      <c r="D3440" s="85" t="s">
        <v>65</v>
      </c>
      <c r="E3440" s="85">
        <v>27</v>
      </c>
      <c r="F3440" s="85">
        <v>6</v>
      </c>
      <c r="G3440" s="85">
        <f>--(F3440&lt;=Estimator!$B$7)</f>
        <v>0</v>
      </c>
      <c r="H3440" s="86">
        <f>SUMIFS('Climate Data'!$G$7:$G$366,'Climate Data'!$A$7:$A$366,Estimator!$B$4,'Climate Data'!$B$7:$B$366,C3440)</f>
        <v>0.23010752688172045</v>
      </c>
      <c r="I3440" s="87">
        <f>SUMIFS('Climate Data'!$H$7:$H$366,'Climate Data'!$A$7:$A$366,Estimator!$B$4,'Climate Data'!$B$7:$B$366,C3440)</f>
        <v>8.1448598130841123</v>
      </c>
      <c r="J3440" s="86">
        <f>SUMIFS('Wind Proxy'!$H$8:$H$19,'Wind Proxy'!$A$8:$A$19,Estimator!$B$4,'Wind Proxy'!$B$8:$B$19,C3440)</f>
        <v>0</v>
      </c>
    </row>
    <row r="3441" spans="1:10" ht="14.4">
      <c r="A3441" s="84">
        <v>49092</v>
      </c>
      <c r="B3441" s="85">
        <v>2034</v>
      </c>
      <c r="C3441" s="85">
        <v>5</v>
      </c>
      <c r="D3441" s="85" t="s">
        <v>65</v>
      </c>
      <c r="E3441" s="85">
        <v>28</v>
      </c>
      <c r="F3441" s="85">
        <v>7</v>
      </c>
      <c r="G3441" s="85">
        <f>--(F3441&lt;=Estimator!$B$7)</f>
        <v>0</v>
      </c>
      <c r="H3441" s="86">
        <f>SUMIFS('Climate Data'!$G$7:$G$366,'Climate Data'!$A$7:$A$366,Estimator!$B$4,'Climate Data'!$B$7:$B$366,C3441)</f>
        <v>0.23010752688172045</v>
      </c>
      <c r="I3441" s="87">
        <f>SUMIFS('Climate Data'!$H$7:$H$366,'Climate Data'!$A$7:$A$366,Estimator!$B$4,'Climate Data'!$B$7:$B$366,C3441)</f>
        <v>8.1448598130841123</v>
      </c>
      <c r="J3441" s="86">
        <f>SUMIFS('Wind Proxy'!$H$8:$H$19,'Wind Proxy'!$A$8:$A$19,Estimator!$B$4,'Wind Proxy'!$B$8:$B$19,C3441)</f>
        <v>0</v>
      </c>
    </row>
    <row r="3442" spans="1:10" ht="14.4">
      <c r="A3442" s="84">
        <v>49093</v>
      </c>
      <c r="B3442" s="85">
        <v>2034</v>
      </c>
      <c r="C3442" s="85">
        <v>5</v>
      </c>
      <c r="D3442" s="85" t="s">
        <v>65</v>
      </c>
      <c r="E3442" s="85">
        <v>29</v>
      </c>
      <c r="F3442" s="85">
        <v>1</v>
      </c>
      <c r="G3442" s="85">
        <f>--(F3442&lt;=Estimator!$B$7)</f>
        <v>1</v>
      </c>
      <c r="H3442" s="86">
        <f>SUMIFS('Climate Data'!$G$7:$G$366,'Climate Data'!$A$7:$A$366,Estimator!$B$4,'Climate Data'!$B$7:$B$366,C3442)</f>
        <v>0.23010752688172045</v>
      </c>
      <c r="I3442" s="87">
        <f>SUMIFS('Climate Data'!$H$7:$H$366,'Climate Data'!$A$7:$A$366,Estimator!$B$4,'Climate Data'!$B$7:$B$366,C3442)</f>
        <v>8.1448598130841123</v>
      </c>
      <c r="J3442" s="86">
        <f>SUMIFS('Wind Proxy'!$H$8:$H$19,'Wind Proxy'!$A$8:$A$19,Estimator!$B$4,'Wind Proxy'!$B$8:$B$19,C3442)</f>
        <v>0</v>
      </c>
    </row>
    <row r="3443" spans="1:10" ht="14.4">
      <c r="A3443" s="84">
        <v>49094</v>
      </c>
      <c r="B3443" s="85">
        <v>2034</v>
      </c>
      <c r="C3443" s="85">
        <v>5</v>
      </c>
      <c r="D3443" s="85" t="s">
        <v>65</v>
      </c>
      <c r="E3443" s="85">
        <v>30</v>
      </c>
      <c r="F3443" s="85">
        <v>2</v>
      </c>
      <c r="G3443" s="85">
        <f>--(F3443&lt;=Estimator!$B$7)</f>
        <v>1</v>
      </c>
      <c r="H3443" s="86">
        <f>SUMIFS('Climate Data'!$G$7:$G$366,'Climate Data'!$A$7:$A$366,Estimator!$B$4,'Climate Data'!$B$7:$B$366,C3443)</f>
        <v>0.23010752688172045</v>
      </c>
      <c r="I3443" s="87">
        <f>SUMIFS('Climate Data'!$H$7:$H$366,'Climate Data'!$A$7:$A$366,Estimator!$B$4,'Climate Data'!$B$7:$B$366,C3443)</f>
        <v>8.1448598130841123</v>
      </c>
      <c r="J3443" s="86">
        <f>SUMIFS('Wind Proxy'!$H$8:$H$19,'Wind Proxy'!$A$8:$A$19,Estimator!$B$4,'Wind Proxy'!$B$8:$B$19,C3443)</f>
        <v>0</v>
      </c>
    </row>
    <row r="3444" spans="1:10" ht="14.4">
      <c r="A3444" s="84">
        <v>49095</v>
      </c>
      <c r="B3444" s="85">
        <v>2034</v>
      </c>
      <c r="C3444" s="85">
        <v>5</v>
      </c>
      <c r="D3444" s="85" t="s">
        <v>65</v>
      </c>
      <c r="E3444" s="85">
        <v>31</v>
      </c>
      <c r="F3444" s="85">
        <v>3</v>
      </c>
      <c r="G3444" s="85">
        <f>--(F3444&lt;=Estimator!$B$7)</f>
        <v>1</v>
      </c>
      <c r="H3444" s="86">
        <f>SUMIFS('Climate Data'!$G$7:$G$366,'Climate Data'!$A$7:$A$366,Estimator!$B$4,'Climate Data'!$B$7:$B$366,C3444)</f>
        <v>0.23010752688172045</v>
      </c>
      <c r="I3444" s="87">
        <f>SUMIFS('Climate Data'!$H$7:$H$366,'Climate Data'!$A$7:$A$366,Estimator!$B$4,'Climate Data'!$B$7:$B$366,C3444)</f>
        <v>8.1448598130841123</v>
      </c>
      <c r="J3444" s="86">
        <f>SUMIFS('Wind Proxy'!$H$8:$H$19,'Wind Proxy'!$A$8:$A$19,Estimator!$B$4,'Wind Proxy'!$B$8:$B$19,C3444)</f>
        <v>0</v>
      </c>
    </row>
    <row r="3445" spans="1:10" ht="14.4">
      <c r="A3445" s="84">
        <v>49096</v>
      </c>
      <c r="B3445" s="85">
        <v>2034</v>
      </c>
      <c r="C3445" s="85">
        <v>6</v>
      </c>
      <c r="D3445" s="85" t="s">
        <v>68</v>
      </c>
      <c r="E3445" s="85">
        <v>1</v>
      </c>
      <c r="F3445" s="85">
        <v>4</v>
      </c>
      <c r="G3445" s="85">
        <f>--(F3445&lt;=Estimator!$B$7)</f>
        <v>1</v>
      </c>
      <c r="H3445" s="86">
        <f>SUMIFS('Climate Data'!$G$7:$G$366,'Climate Data'!$A$7:$A$366,Estimator!$B$4,'Climate Data'!$B$7:$B$366,C3445)</f>
        <v>0.28666666666666668</v>
      </c>
      <c r="I3445" s="87">
        <f>SUMIFS('Climate Data'!$H$7:$H$366,'Climate Data'!$A$7:$A$366,Estimator!$B$4,'Climate Data'!$B$7:$B$366,C3445)</f>
        <v>7.941860465116279</v>
      </c>
      <c r="J3445" s="86">
        <f>SUMIFS('Wind Proxy'!$H$8:$H$19,'Wind Proxy'!$A$8:$A$19,Estimator!$B$4,'Wind Proxy'!$B$8:$B$19,C3445)</f>
        <v>0</v>
      </c>
    </row>
    <row r="3446" spans="1:10" ht="14.4">
      <c r="A3446" s="84">
        <v>49097</v>
      </c>
      <c r="B3446" s="85">
        <v>2034</v>
      </c>
      <c r="C3446" s="85">
        <v>6</v>
      </c>
      <c r="D3446" s="85" t="s">
        <v>68</v>
      </c>
      <c r="E3446" s="85">
        <v>2</v>
      </c>
      <c r="F3446" s="85">
        <v>5</v>
      </c>
      <c r="G3446" s="85">
        <f>--(F3446&lt;=Estimator!$B$7)</f>
        <v>1</v>
      </c>
      <c r="H3446" s="86">
        <f>SUMIFS('Climate Data'!$G$7:$G$366,'Climate Data'!$A$7:$A$366,Estimator!$B$4,'Climate Data'!$B$7:$B$366,C3446)</f>
        <v>0.28666666666666668</v>
      </c>
      <c r="I3446" s="87">
        <f>SUMIFS('Climate Data'!$H$7:$H$366,'Climate Data'!$A$7:$A$366,Estimator!$B$4,'Climate Data'!$B$7:$B$366,C3446)</f>
        <v>7.941860465116279</v>
      </c>
      <c r="J3446" s="86">
        <f>SUMIFS('Wind Proxy'!$H$8:$H$19,'Wind Proxy'!$A$8:$A$19,Estimator!$B$4,'Wind Proxy'!$B$8:$B$19,C3446)</f>
        <v>0</v>
      </c>
    </row>
    <row r="3447" spans="1:10" ht="14.4">
      <c r="A3447" s="84">
        <v>49098</v>
      </c>
      <c r="B3447" s="85">
        <v>2034</v>
      </c>
      <c r="C3447" s="85">
        <v>6</v>
      </c>
      <c r="D3447" s="85" t="s">
        <v>68</v>
      </c>
      <c r="E3447" s="85">
        <v>3</v>
      </c>
      <c r="F3447" s="85">
        <v>6</v>
      </c>
      <c r="G3447" s="85">
        <f>--(F3447&lt;=Estimator!$B$7)</f>
        <v>0</v>
      </c>
      <c r="H3447" s="86">
        <f>SUMIFS('Climate Data'!$G$7:$G$366,'Climate Data'!$A$7:$A$366,Estimator!$B$4,'Climate Data'!$B$7:$B$366,C3447)</f>
        <v>0.28666666666666668</v>
      </c>
      <c r="I3447" s="87">
        <f>SUMIFS('Climate Data'!$H$7:$H$366,'Climate Data'!$A$7:$A$366,Estimator!$B$4,'Climate Data'!$B$7:$B$366,C3447)</f>
        <v>7.941860465116279</v>
      </c>
      <c r="J3447" s="86">
        <f>SUMIFS('Wind Proxy'!$H$8:$H$19,'Wind Proxy'!$A$8:$A$19,Estimator!$B$4,'Wind Proxy'!$B$8:$B$19,C3447)</f>
        <v>0</v>
      </c>
    </row>
    <row r="3448" spans="1:10" ht="14.4">
      <c r="A3448" s="84">
        <v>49099</v>
      </c>
      <c r="B3448" s="85">
        <v>2034</v>
      </c>
      <c r="C3448" s="85">
        <v>6</v>
      </c>
      <c r="D3448" s="85" t="s">
        <v>68</v>
      </c>
      <c r="E3448" s="85">
        <v>4</v>
      </c>
      <c r="F3448" s="85">
        <v>7</v>
      </c>
      <c r="G3448" s="85">
        <f>--(F3448&lt;=Estimator!$B$7)</f>
        <v>0</v>
      </c>
      <c r="H3448" s="86">
        <f>SUMIFS('Climate Data'!$G$7:$G$366,'Climate Data'!$A$7:$A$366,Estimator!$B$4,'Climate Data'!$B$7:$B$366,C3448)</f>
        <v>0.28666666666666668</v>
      </c>
      <c r="I3448" s="87">
        <f>SUMIFS('Climate Data'!$H$7:$H$366,'Climate Data'!$A$7:$A$366,Estimator!$B$4,'Climate Data'!$B$7:$B$366,C3448)</f>
        <v>7.941860465116279</v>
      </c>
      <c r="J3448" s="86">
        <f>SUMIFS('Wind Proxy'!$H$8:$H$19,'Wind Proxy'!$A$8:$A$19,Estimator!$B$4,'Wind Proxy'!$B$8:$B$19,C3448)</f>
        <v>0</v>
      </c>
    </row>
    <row r="3449" spans="1:10" ht="14.4">
      <c r="A3449" s="84">
        <v>49100</v>
      </c>
      <c r="B3449" s="85">
        <v>2034</v>
      </c>
      <c r="C3449" s="85">
        <v>6</v>
      </c>
      <c r="D3449" s="85" t="s">
        <v>68</v>
      </c>
      <c r="E3449" s="85">
        <v>5</v>
      </c>
      <c r="F3449" s="85">
        <v>1</v>
      </c>
      <c r="G3449" s="85">
        <f>--(F3449&lt;=Estimator!$B$7)</f>
        <v>1</v>
      </c>
      <c r="H3449" s="86">
        <f>SUMIFS('Climate Data'!$G$7:$G$366,'Climate Data'!$A$7:$A$366,Estimator!$B$4,'Climate Data'!$B$7:$B$366,C3449)</f>
        <v>0.28666666666666668</v>
      </c>
      <c r="I3449" s="87">
        <f>SUMIFS('Climate Data'!$H$7:$H$366,'Climate Data'!$A$7:$A$366,Estimator!$B$4,'Climate Data'!$B$7:$B$366,C3449)</f>
        <v>7.941860465116279</v>
      </c>
      <c r="J3449" s="86">
        <f>SUMIFS('Wind Proxy'!$H$8:$H$19,'Wind Proxy'!$A$8:$A$19,Estimator!$B$4,'Wind Proxy'!$B$8:$B$19,C3449)</f>
        <v>0</v>
      </c>
    </row>
    <row r="3450" spans="1:10" ht="14.4">
      <c r="A3450" s="84">
        <v>49101</v>
      </c>
      <c r="B3450" s="85">
        <v>2034</v>
      </c>
      <c r="C3450" s="85">
        <v>6</v>
      </c>
      <c r="D3450" s="85" t="s">
        <v>68</v>
      </c>
      <c r="E3450" s="85">
        <v>6</v>
      </c>
      <c r="F3450" s="85">
        <v>2</v>
      </c>
      <c r="G3450" s="85">
        <f>--(F3450&lt;=Estimator!$B$7)</f>
        <v>1</v>
      </c>
      <c r="H3450" s="86">
        <f>SUMIFS('Climate Data'!$G$7:$G$366,'Climate Data'!$A$7:$A$366,Estimator!$B$4,'Climate Data'!$B$7:$B$366,C3450)</f>
        <v>0.28666666666666668</v>
      </c>
      <c r="I3450" s="87">
        <f>SUMIFS('Climate Data'!$H$7:$H$366,'Climate Data'!$A$7:$A$366,Estimator!$B$4,'Climate Data'!$B$7:$B$366,C3450)</f>
        <v>7.941860465116279</v>
      </c>
      <c r="J3450" s="86">
        <f>SUMIFS('Wind Proxy'!$H$8:$H$19,'Wind Proxy'!$A$8:$A$19,Estimator!$B$4,'Wind Proxy'!$B$8:$B$19,C3450)</f>
        <v>0</v>
      </c>
    </row>
    <row r="3451" spans="1:10" ht="14.4">
      <c r="A3451" s="84">
        <v>49102</v>
      </c>
      <c r="B3451" s="85">
        <v>2034</v>
      </c>
      <c r="C3451" s="85">
        <v>6</v>
      </c>
      <c r="D3451" s="85" t="s">
        <v>68</v>
      </c>
      <c r="E3451" s="85">
        <v>7</v>
      </c>
      <c r="F3451" s="85">
        <v>3</v>
      </c>
      <c r="G3451" s="85">
        <f>--(F3451&lt;=Estimator!$B$7)</f>
        <v>1</v>
      </c>
      <c r="H3451" s="86">
        <f>SUMIFS('Climate Data'!$G$7:$G$366,'Climate Data'!$A$7:$A$366,Estimator!$B$4,'Climate Data'!$B$7:$B$366,C3451)</f>
        <v>0.28666666666666668</v>
      </c>
      <c r="I3451" s="87">
        <f>SUMIFS('Climate Data'!$H$7:$H$366,'Climate Data'!$A$7:$A$366,Estimator!$B$4,'Climate Data'!$B$7:$B$366,C3451)</f>
        <v>7.941860465116279</v>
      </c>
      <c r="J3451" s="86">
        <f>SUMIFS('Wind Proxy'!$H$8:$H$19,'Wind Proxy'!$A$8:$A$19,Estimator!$B$4,'Wind Proxy'!$B$8:$B$19,C3451)</f>
        <v>0</v>
      </c>
    </row>
    <row r="3452" spans="1:10" ht="14.4">
      <c r="A3452" s="84">
        <v>49103</v>
      </c>
      <c r="B3452" s="85">
        <v>2034</v>
      </c>
      <c r="C3452" s="85">
        <v>6</v>
      </c>
      <c r="D3452" s="85" t="s">
        <v>68</v>
      </c>
      <c r="E3452" s="85">
        <v>8</v>
      </c>
      <c r="F3452" s="85">
        <v>4</v>
      </c>
      <c r="G3452" s="85">
        <f>--(F3452&lt;=Estimator!$B$7)</f>
        <v>1</v>
      </c>
      <c r="H3452" s="86">
        <f>SUMIFS('Climate Data'!$G$7:$G$366,'Climate Data'!$A$7:$A$366,Estimator!$B$4,'Climate Data'!$B$7:$B$366,C3452)</f>
        <v>0.28666666666666668</v>
      </c>
      <c r="I3452" s="87">
        <f>SUMIFS('Climate Data'!$H$7:$H$366,'Climate Data'!$A$7:$A$366,Estimator!$B$4,'Climate Data'!$B$7:$B$366,C3452)</f>
        <v>7.941860465116279</v>
      </c>
      <c r="J3452" s="86">
        <f>SUMIFS('Wind Proxy'!$H$8:$H$19,'Wind Proxy'!$A$8:$A$19,Estimator!$B$4,'Wind Proxy'!$B$8:$B$19,C3452)</f>
        <v>0</v>
      </c>
    </row>
    <row r="3453" spans="1:10" ht="14.4">
      <c r="A3453" s="84">
        <v>49104</v>
      </c>
      <c r="B3453" s="85">
        <v>2034</v>
      </c>
      <c r="C3453" s="85">
        <v>6</v>
      </c>
      <c r="D3453" s="85" t="s">
        <v>68</v>
      </c>
      <c r="E3453" s="85">
        <v>9</v>
      </c>
      <c r="F3453" s="85">
        <v>5</v>
      </c>
      <c r="G3453" s="85">
        <f>--(F3453&lt;=Estimator!$B$7)</f>
        <v>1</v>
      </c>
      <c r="H3453" s="86">
        <f>SUMIFS('Climate Data'!$G$7:$G$366,'Climate Data'!$A$7:$A$366,Estimator!$B$4,'Climate Data'!$B$7:$B$366,C3453)</f>
        <v>0.28666666666666668</v>
      </c>
      <c r="I3453" s="87">
        <f>SUMIFS('Climate Data'!$H$7:$H$366,'Climate Data'!$A$7:$A$366,Estimator!$B$4,'Climate Data'!$B$7:$B$366,C3453)</f>
        <v>7.941860465116279</v>
      </c>
      <c r="J3453" s="86">
        <f>SUMIFS('Wind Proxy'!$H$8:$H$19,'Wind Proxy'!$A$8:$A$19,Estimator!$B$4,'Wind Proxy'!$B$8:$B$19,C3453)</f>
        <v>0</v>
      </c>
    </row>
    <row r="3454" spans="1:10" ht="14.4">
      <c r="A3454" s="84">
        <v>49105</v>
      </c>
      <c r="B3454" s="85">
        <v>2034</v>
      </c>
      <c r="C3454" s="85">
        <v>6</v>
      </c>
      <c r="D3454" s="85" t="s">
        <v>68</v>
      </c>
      <c r="E3454" s="85">
        <v>10</v>
      </c>
      <c r="F3454" s="85">
        <v>6</v>
      </c>
      <c r="G3454" s="85">
        <f>--(F3454&lt;=Estimator!$B$7)</f>
        <v>0</v>
      </c>
      <c r="H3454" s="86">
        <f>SUMIFS('Climate Data'!$G$7:$G$366,'Climate Data'!$A$7:$A$366,Estimator!$B$4,'Climate Data'!$B$7:$B$366,C3454)</f>
        <v>0.28666666666666668</v>
      </c>
      <c r="I3454" s="87">
        <f>SUMIFS('Climate Data'!$H$7:$H$366,'Climate Data'!$A$7:$A$366,Estimator!$B$4,'Climate Data'!$B$7:$B$366,C3454)</f>
        <v>7.941860465116279</v>
      </c>
      <c r="J3454" s="86">
        <f>SUMIFS('Wind Proxy'!$H$8:$H$19,'Wind Proxy'!$A$8:$A$19,Estimator!$B$4,'Wind Proxy'!$B$8:$B$19,C3454)</f>
        <v>0</v>
      </c>
    </row>
    <row r="3455" spans="1:10" ht="14.4">
      <c r="A3455" s="84">
        <v>49106</v>
      </c>
      <c r="B3455" s="85">
        <v>2034</v>
      </c>
      <c r="C3455" s="85">
        <v>6</v>
      </c>
      <c r="D3455" s="85" t="s">
        <v>68</v>
      </c>
      <c r="E3455" s="85">
        <v>11</v>
      </c>
      <c r="F3455" s="85">
        <v>7</v>
      </c>
      <c r="G3455" s="85">
        <f>--(F3455&lt;=Estimator!$B$7)</f>
        <v>0</v>
      </c>
      <c r="H3455" s="86">
        <f>SUMIFS('Climate Data'!$G$7:$G$366,'Climate Data'!$A$7:$A$366,Estimator!$B$4,'Climate Data'!$B$7:$B$366,C3455)</f>
        <v>0.28666666666666668</v>
      </c>
      <c r="I3455" s="87">
        <f>SUMIFS('Climate Data'!$H$7:$H$366,'Climate Data'!$A$7:$A$366,Estimator!$B$4,'Climate Data'!$B$7:$B$366,C3455)</f>
        <v>7.941860465116279</v>
      </c>
      <c r="J3455" s="86">
        <f>SUMIFS('Wind Proxy'!$H$8:$H$19,'Wind Proxy'!$A$8:$A$19,Estimator!$B$4,'Wind Proxy'!$B$8:$B$19,C3455)</f>
        <v>0</v>
      </c>
    </row>
    <row r="3456" spans="1:10" ht="14.4">
      <c r="A3456" s="84">
        <v>49107</v>
      </c>
      <c r="B3456" s="85">
        <v>2034</v>
      </c>
      <c r="C3456" s="85">
        <v>6</v>
      </c>
      <c r="D3456" s="85" t="s">
        <v>68</v>
      </c>
      <c r="E3456" s="85">
        <v>12</v>
      </c>
      <c r="F3456" s="85">
        <v>1</v>
      </c>
      <c r="G3456" s="85">
        <f>--(F3456&lt;=Estimator!$B$7)</f>
        <v>1</v>
      </c>
      <c r="H3456" s="86">
        <f>SUMIFS('Climate Data'!$G$7:$G$366,'Climate Data'!$A$7:$A$366,Estimator!$B$4,'Climate Data'!$B$7:$B$366,C3456)</f>
        <v>0.28666666666666668</v>
      </c>
      <c r="I3456" s="87">
        <f>SUMIFS('Climate Data'!$H$7:$H$366,'Climate Data'!$A$7:$A$366,Estimator!$B$4,'Climate Data'!$B$7:$B$366,C3456)</f>
        <v>7.941860465116279</v>
      </c>
      <c r="J3456" s="86">
        <f>SUMIFS('Wind Proxy'!$H$8:$H$19,'Wind Proxy'!$A$8:$A$19,Estimator!$B$4,'Wind Proxy'!$B$8:$B$19,C3456)</f>
        <v>0</v>
      </c>
    </row>
    <row r="3457" spans="1:10" ht="14.4">
      <c r="A3457" s="84">
        <v>49108</v>
      </c>
      <c r="B3457" s="85">
        <v>2034</v>
      </c>
      <c r="C3457" s="85">
        <v>6</v>
      </c>
      <c r="D3457" s="85" t="s">
        <v>68</v>
      </c>
      <c r="E3457" s="85">
        <v>13</v>
      </c>
      <c r="F3457" s="85">
        <v>2</v>
      </c>
      <c r="G3457" s="85">
        <f>--(F3457&lt;=Estimator!$B$7)</f>
        <v>1</v>
      </c>
      <c r="H3457" s="86">
        <f>SUMIFS('Climate Data'!$G$7:$G$366,'Climate Data'!$A$7:$A$366,Estimator!$B$4,'Climate Data'!$B$7:$B$366,C3457)</f>
        <v>0.28666666666666668</v>
      </c>
      <c r="I3457" s="87">
        <f>SUMIFS('Climate Data'!$H$7:$H$366,'Climate Data'!$A$7:$A$366,Estimator!$B$4,'Climate Data'!$B$7:$B$366,C3457)</f>
        <v>7.941860465116279</v>
      </c>
      <c r="J3457" s="86">
        <f>SUMIFS('Wind Proxy'!$H$8:$H$19,'Wind Proxy'!$A$8:$A$19,Estimator!$B$4,'Wind Proxy'!$B$8:$B$19,C3457)</f>
        <v>0</v>
      </c>
    </row>
    <row r="3458" spans="1:10" ht="14.4">
      <c r="A3458" s="84">
        <v>49109</v>
      </c>
      <c r="B3458" s="85">
        <v>2034</v>
      </c>
      <c r="C3458" s="85">
        <v>6</v>
      </c>
      <c r="D3458" s="85" t="s">
        <v>68</v>
      </c>
      <c r="E3458" s="85">
        <v>14</v>
      </c>
      <c r="F3458" s="85">
        <v>3</v>
      </c>
      <c r="G3458" s="85">
        <f>--(F3458&lt;=Estimator!$B$7)</f>
        <v>1</v>
      </c>
      <c r="H3458" s="86">
        <f>SUMIFS('Climate Data'!$G$7:$G$366,'Climate Data'!$A$7:$A$366,Estimator!$B$4,'Climate Data'!$B$7:$B$366,C3458)</f>
        <v>0.28666666666666668</v>
      </c>
      <c r="I3458" s="87">
        <f>SUMIFS('Climate Data'!$H$7:$H$366,'Climate Data'!$A$7:$A$366,Estimator!$B$4,'Climate Data'!$B$7:$B$366,C3458)</f>
        <v>7.941860465116279</v>
      </c>
      <c r="J3458" s="86">
        <f>SUMIFS('Wind Proxy'!$H$8:$H$19,'Wind Proxy'!$A$8:$A$19,Estimator!$B$4,'Wind Proxy'!$B$8:$B$19,C3458)</f>
        <v>0</v>
      </c>
    </row>
    <row r="3459" spans="1:10" ht="14.4">
      <c r="A3459" s="84">
        <v>49110</v>
      </c>
      <c r="B3459" s="85">
        <v>2034</v>
      </c>
      <c r="C3459" s="85">
        <v>6</v>
      </c>
      <c r="D3459" s="85" t="s">
        <v>68</v>
      </c>
      <c r="E3459" s="85">
        <v>15</v>
      </c>
      <c r="F3459" s="85">
        <v>4</v>
      </c>
      <c r="G3459" s="85">
        <f>--(F3459&lt;=Estimator!$B$7)</f>
        <v>1</v>
      </c>
      <c r="H3459" s="86">
        <f>SUMIFS('Climate Data'!$G$7:$G$366,'Climate Data'!$A$7:$A$366,Estimator!$B$4,'Climate Data'!$B$7:$B$366,C3459)</f>
        <v>0.28666666666666668</v>
      </c>
      <c r="I3459" s="87">
        <f>SUMIFS('Climate Data'!$H$7:$H$366,'Climate Data'!$A$7:$A$366,Estimator!$B$4,'Climate Data'!$B$7:$B$366,C3459)</f>
        <v>7.941860465116279</v>
      </c>
      <c r="J3459" s="86">
        <f>SUMIFS('Wind Proxy'!$H$8:$H$19,'Wind Proxy'!$A$8:$A$19,Estimator!$B$4,'Wind Proxy'!$B$8:$B$19,C3459)</f>
        <v>0</v>
      </c>
    </row>
    <row r="3460" spans="1:10" ht="14.4">
      <c r="A3460" s="84">
        <v>49111</v>
      </c>
      <c r="B3460" s="85">
        <v>2034</v>
      </c>
      <c r="C3460" s="85">
        <v>6</v>
      </c>
      <c r="D3460" s="85" t="s">
        <v>68</v>
      </c>
      <c r="E3460" s="85">
        <v>16</v>
      </c>
      <c r="F3460" s="85">
        <v>5</v>
      </c>
      <c r="G3460" s="85">
        <f>--(F3460&lt;=Estimator!$B$7)</f>
        <v>1</v>
      </c>
      <c r="H3460" s="86">
        <f>SUMIFS('Climate Data'!$G$7:$G$366,'Climate Data'!$A$7:$A$366,Estimator!$B$4,'Climate Data'!$B$7:$B$366,C3460)</f>
        <v>0.28666666666666668</v>
      </c>
      <c r="I3460" s="87">
        <f>SUMIFS('Climate Data'!$H$7:$H$366,'Climate Data'!$A$7:$A$366,Estimator!$B$4,'Climate Data'!$B$7:$B$366,C3460)</f>
        <v>7.941860465116279</v>
      </c>
      <c r="J3460" s="86">
        <f>SUMIFS('Wind Proxy'!$H$8:$H$19,'Wind Proxy'!$A$8:$A$19,Estimator!$B$4,'Wind Proxy'!$B$8:$B$19,C3460)</f>
        <v>0</v>
      </c>
    </row>
    <row r="3461" spans="1:10" ht="14.4">
      <c r="A3461" s="84">
        <v>49112</v>
      </c>
      <c r="B3461" s="85">
        <v>2034</v>
      </c>
      <c r="C3461" s="85">
        <v>6</v>
      </c>
      <c r="D3461" s="85" t="s">
        <v>68</v>
      </c>
      <c r="E3461" s="85">
        <v>17</v>
      </c>
      <c r="F3461" s="85">
        <v>6</v>
      </c>
      <c r="G3461" s="85">
        <f>--(F3461&lt;=Estimator!$B$7)</f>
        <v>0</v>
      </c>
      <c r="H3461" s="86">
        <f>SUMIFS('Climate Data'!$G$7:$G$366,'Climate Data'!$A$7:$A$366,Estimator!$B$4,'Climate Data'!$B$7:$B$366,C3461)</f>
        <v>0.28666666666666668</v>
      </c>
      <c r="I3461" s="87">
        <f>SUMIFS('Climate Data'!$H$7:$H$366,'Climate Data'!$A$7:$A$366,Estimator!$B$4,'Climate Data'!$B$7:$B$366,C3461)</f>
        <v>7.941860465116279</v>
      </c>
      <c r="J3461" s="86">
        <f>SUMIFS('Wind Proxy'!$H$8:$H$19,'Wind Proxy'!$A$8:$A$19,Estimator!$B$4,'Wind Proxy'!$B$8:$B$19,C3461)</f>
        <v>0</v>
      </c>
    </row>
    <row r="3462" spans="1:10" ht="14.4">
      <c r="A3462" s="84">
        <v>49113</v>
      </c>
      <c r="B3462" s="85">
        <v>2034</v>
      </c>
      <c r="C3462" s="85">
        <v>6</v>
      </c>
      <c r="D3462" s="85" t="s">
        <v>68</v>
      </c>
      <c r="E3462" s="85">
        <v>18</v>
      </c>
      <c r="F3462" s="85">
        <v>7</v>
      </c>
      <c r="G3462" s="85">
        <f>--(F3462&lt;=Estimator!$B$7)</f>
        <v>0</v>
      </c>
      <c r="H3462" s="86">
        <f>SUMIFS('Climate Data'!$G$7:$G$366,'Climate Data'!$A$7:$A$366,Estimator!$B$4,'Climate Data'!$B$7:$B$366,C3462)</f>
        <v>0.28666666666666668</v>
      </c>
      <c r="I3462" s="87">
        <f>SUMIFS('Climate Data'!$H$7:$H$366,'Climate Data'!$A$7:$A$366,Estimator!$B$4,'Climate Data'!$B$7:$B$366,C3462)</f>
        <v>7.941860465116279</v>
      </c>
      <c r="J3462" s="86">
        <f>SUMIFS('Wind Proxy'!$H$8:$H$19,'Wind Proxy'!$A$8:$A$19,Estimator!$B$4,'Wind Proxy'!$B$8:$B$19,C3462)</f>
        <v>0</v>
      </c>
    </row>
    <row r="3463" spans="1:10" ht="14.4">
      <c r="A3463" s="84">
        <v>49114</v>
      </c>
      <c r="B3463" s="85">
        <v>2034</v>
      </c>
      <c r="C3463" s="85">
        <v>6</v>
      </c>
      <c r="D3463" s="85" t="s">
        <v>68</v>
      </c>
      <c r="E3463" s="85">
        <v>19</v>
      </c>
      <c r="F3463" s="85">
        <v>1</v>
      </c>
      <c r="G3463" s="85">
        <f>--(F3463&lt;=Estimator!$B$7)</f>
        <v>1</v>
      </c>
      <c r="H3463" s="86">
        <f>SUMIFS('Climate Data'!$G$7:$G$366,'Climate Data'!$A$7:$A$366,Estimator!$B$4,'Climate Data'!$B$7:$B$366,C3463)</f>
        <v>0.28666666666666668</v>
      </c>
      <c r="I3463" s="87">
        <f>SUMIFS('Climate Data'!$H$7:$H$366,'Climate Data'!$A$7:$A$366,Estimator!$B$4,'Climate Data'!$B$7:$B$366,C3463)</f>
        <v>7.941860465116279</v>
      </c>
      <c r="J3463" s="86">
        <f>SUMIFS('Wind Proxy'!$H$8:$H$19,'Wind Proxy'!$A$8:$A$19,Estimator!$B$4,'Wind Proxy'!$B$8:$B$19,C3463)</f>
        <v>0</v>
      </c>
    </row>
    <row r="3464" spans="1:10" ht="14.4">
      <c r="A3464" s="84">
        <v>49115</v>
      </c>
      <c r="B3464" s="85">
        <v>2034</v>
      </c>
      <c r="C3464" s="85">
        <v>6</v>
      </c>
      <c r="D3464" s="85" t="s">
        <v>68</v>
      </c>
      <c r="E3464" s="85">
        <v>20</v>
      </c>
      <c r="F3464" s="85">
        <v>2</v>
      </c>
      <c r="G3464" s="85">
        <f>--(F3464&lt;=Estimator!$B$7)</f>
        <v>1</v>
      </c>
      <c r="H3464" s="86">
        <f>SUMIFS('Climate Data'!$G$7:$G$366,'Climate Data'!$A$7:$A$366,Estimator!$B$4,'Climate Data'!$B$7:$B$366,C3464)</f>
        <v>0.28666666666666668</v>
      </c>
      <c r="I3464" s="87">
        <f>SUMIFS('Climate Data'!$H$7:$H$366,'Climate Data'!$A$7:$A$366,Estimator!$B$4,'Climate Data'!$B$7:$B$366,C3464)</f>
        <v>7.941860465116279</v>
      </c>
      <c r="J3464" s="86">
        <f>SUMIFS('Wind Proxy'!$H$8:$H$19,'Wind Proxy'!$A$8:$A$19,Estimator!$B$4,'Wind Proxy'!$B$8:$B$19,C3464)</f>
        <v>0</v>
      </c>
    </row>
    <row r="3465" spans="1:10" ht="14.4">
      <c r="A3465" s="84">
        <v>49116</v>
      </c>
      <c r="B3465" s="85">
        <v>2034</v>
      </c>
      <c r="C3465" s="85">
        <v>6</v>
      </c>
      <c r="D3465" s="85" t="s">
        <v>68</v>
      </c>
      <c r="E3465" s="85">
        <v>21</v>
      </c>
      <c r="F3465" s="85">
        <v>3</v>
      </c>
      <c r="G3465" s="85">
        <f>--(F3465&lt;=Estimator!$B$7)</f>
        <v>1</v>
      </c>
      <c r="H3465" s="86">
        <f>SUMIFS('Climate Data'!$G$7:$G$366,'Climate Data'!$A$7:$A$366,Estimator!$B$4,'Climate Data'!$B$7:$B$366,C3465)</f>
        <v>0.28666666666666668</v>
      </c>
      <c r="I3465" s="87">
        <f>SUMIFS('Climate Data'!$H$7:$H$366,'Climate Data'!$A$7:$A$366,Estimator!$B$4,'Climate Data'!$B$7:$B$366,C3465)</f>
        <v>7.941860465116279</v>
      </c>
      <c r="J3465" s="86">
        <f>SUMIFS('Wind Proxy'!$H$8:$H$19,'Wind Proxy'!$A$8:$A$19,Estimator!$B$4,'Wind Proxy'!$B$8:$B$19,C3465)</f>
        <v>0</v>
      </c>
    </row>
    <row r="3466" spans="1:10" ht="14.4">
      <c r="A3466" s="84">
        <v>49117</v>
      </c>
      <c r="B3466" s="85">
        <v>2034</v>
      </c>
      <c r="C3466" s="85">
        <v>6</v>
      </c>
      <c r="D3466" s="85" t="s">
        <v>68</v>
      </c>
      <c r="E3466" s="85">
        <v>22</v>
      </c>
      <c r="F3466" s="85">
        <v>4</v>
      </c>
      <c r="G3466" s="85">
        <f>--(F3466&lt;=Estimator!$B$7)</f>
        <v>1</v>
      </c>
      <c r="H3466" s="86">
        <f>SUMIFS('Climate Data'!$G$7:$G$366,'Climate Data'!$A$7:$A$366,Estimator!$B$4,'Climate Data'!$B$7:$B$366,C3466)</f>
        <v>0.28666666666666668</v>
      </c>
      <c r="I3466" s="87">
        <f>SUMIFS('Climate Data'!$H$7:$H$366,'Climate Data'!$A$7:$A$366,Estimator!$B$4,'Climate Data'!$B$7:$B$366,C3466)</f>
        <v>7.941860465116279</v>
      </c>
      <c r="J3466" s="86">
        <f>SUMIFS('Wind Proxy'!$H$8:$H$19,'Wind Proxy'!$A$8:$A$19,Estimator!$B$4,'Wind Proxy'!$B$8:$B$19,C3466)</f>
        <v>0</v>
      </c>
    </row>
    <row r="3467" spans="1:10" ht="14.4">
      <c r="A3467" s="84">
        <v>49118</v>
      </c>
      <c r="B3467" s="85">
        <v>2034</v>
      </c>
      <c r="C3467" s="85">
        <v>6</v>
      </c>
      <c r="D3467" s="85" t="s">
        <v>68</v>
      </c>
      <c r="E3467" s="85">
        <v>23</v>
      </c>
      <c r="F3467" s="85">
        <v>5</v>
      </c>
      <c r="G3467" s="85">
        <f>--(F3467&lt;=Estimator!$B$7)</f>
        <v>1</v>
      </c>
      <c r="H3467" s="86">
        <f>SUMIFS('Climate Data'!$G$7:$G$366,'Climate Data'!$A$7:$A$366,Estimator!$B$4,'Climate Data'!$B$7:$B$366,C3467)</f>
        <v>0.28666666666666668</v>
      </c>
      <c r="I3467" s="87">
        <f>SUMIFS('Climate Data'!$H$7:$H$366,'Climate Data'!$A$7:$A$366,Estimator!$B$4,'Climate Data'!$B$7:$B$366,C3467)</f>
        <v>7.941860465116279</v>
      </c>
      <c r="J3467" s="86">
        <f>SUMIFS('Wind Proxy'!$H$8:$H$19,'Wind Proxy'!$A$8:$A$19,Estimator!$B$4,'Wind Proxy'!$B$8:$B$19,C3467)</f>
        <v>0</v>
      </c>
    </row>
    <row r="3468" spans="1:10" ht="14.4">
      <c r="A3468" s="84">
        <v>49119</v>
      </c>
      <c r="B3468" s="85">
        <v>2034</v>
      </c>
      <c r="C3468" s="85">
        <v>6</v>
      </c>
      <c r="D3468" s="85" t="s">
        <v>68</v>
      </c>
      <c r="E3468" s="85">
        <v>24</v>
      </c>
      <c r="F3468" s="85">
        <v>6</v>
      </c>
      <c r="G3468" s="85">
        <f>--(F3468&lt;=Estimator!$B$7)</f>
        <v>0</v>
      </c>
      <c r="H3468" s="86">
        <f>SUMIFS('Climate Data'!$G$7:$G$366,'Climate Data'!$A$7:$A$366,Estimator!$B$4,'Climate Data'!$B$7:$B$366,C3468)</f>
        <v>0.28666666666666668</v>
      </c>
      <c r="I3468" s="87">
        <f>SUMIFS('Climate Data'!$H$7:$H$366,'Climate Data'!$A$7:$A$366,Estimator!$B$4,'Climate Data'!$B$7:$B$366,C3468)</f>
        <v>7.941860465116279</v>
      </c>
      <c r="J3468" s="86">
        <f>SUMIFS('Wind Proxy'!$H$8:$H$19,'Wind Proxy'!$A$8:$A$19,Estimator!$B$4,'Wind Proxy'!$B$8:$B$19,C3468)</f>
        <v>0</v>
      </c>
    </row>
    <row r="3469" spans="1:10" ht="14.4">
      <c r="A3469" s="84">
        <v>49120</v>
      </c>
      <c r="B3469" s="85">
        <v>2034</v>
      </c>
      <c r="C3469" s="85">
        <v>6</v>
      </c>
      <c r="D3469" s="85" t="s">
        <v>68</v>
      </c>
      <c r="E3469" s="85">
        <v>25</v>
      </c>
      <c r="F3469" s="85">
        <v>7</v>
      </c>
      <c r="G3469" s="85">
        <f>--(F3469&lt;=Estimator!$B$7)</f>
        <v>0</v>
      </c>
      <c r="H3469" s="86">
        <f>SUMIFS('Climate Data'!$G$7:$G$366,'Climate Data'!$A$7:$A$366,Estimator!$B$4,'Climate Data'!$B$7:$B$366,C3469)</f>
        <v>0.28666666666666668</v>
      </c>
      <c r="I3469" s="87">
        <f>SUMIFS('Climate Data'!$H$7:$H$366,'Climate Data'!$A$7:$A$366,Estimator!$B$4,'Climate Data'!$B$7:$B$366,C3469)</f>
        <v>7.941860465116279</v>
      </c>
      <c r="J3469" s="86">
        <f>SUMIFS('Wind Proxy'!$H$8:$H$19,'Wind Proxy'!$A$8:$A$19,Estimator!$B$4,'Wind Proxy'!$B$8:$B$19,C3469)</f>
        <v>0</v>
      </c>
    </row>
    <row r="3470" spans="1:10" ht="14.4">
      <c r="A3470" s="84">
        <v>49121</v>
      </c>
      <c r="B3470" s="85">
        <v>2034</v>
      </c>
      <c r="C3470" s="85">
        <v>6</v>
      </c>
      <c r="D3470" s="85" t="s">
        <v>68</v>
      </c>
      <c r="E3470" s="85">
        <v>26</v>
      </c>
      <c r="F3470" s="85">
        <v>1</v>
      </c>
      <c r="G3470" s="85">
        <f>--(F3470&lt;=Estimator!$B$7)</f>
        <v>1</v>
      </c>
      <c r="H3470" s="86">
        <f>SUMIFS('Climate Data'!$G$7:$G$366,'Climate Data'!$A$7:$A$366,Estimator!$B$4,'Climate Data'!$B$7:$B$366,C3470)</f>
        <v>0.28666666666666668</v>
      </c>
      <c r="I3470" s="87">
        <f>SUMIFS('Climate Data'!$H$7:$H$366,'Climate Data'!$A$7:$A$366,Estimator!$B$4,'Climate Data'!$B$7:$B$366,C3470)</f>
        <v>7.941860465116279</v>
      </c>
      <c r="J3470" s="86">
        <f>SUMIFS('Wind Proxy'!$H$8:$H$19,'Wind Proxy'!$A$8:$A$19,Estimator!$B$4,'Wind Proxy'!$B$8:$B$19,C3470)</f>
        <v>0</v>
      </c>
    </row>
    <row r="3471" spans="1:10" ht="14.4">
      <c r="A3471" s="84">
        <v>49122</v>
      </c>
      <c r="B3471" s="85">
        <v>2034</v>
      </c>
      <c r="C3471" s="85">
        <v>6</v>
      </c>
      <c r="D3471" s="85" t="s">
        <v>68</v>
      </c>
      <c r="E3471" s="85">
        <v>27</v>
      </c>
      <c r="F3471" s="85">
        <v>2</v>
      </c>
      <c r="G3471" s="85">
        <f>--(F3471&lt;=Estimator!$B$7)</f>
        <v>1</v>
      </c>
      <c r="H3471" s="86">
        <f>SUMIFS('Climate Data'!$G$7:$G$366,'Climate Data'!$A$7:$A$366,Estimator!$B$4,'Climate Data'!$B$7:$B$366,C3471)</f>
        <v>0.28666666666666668</v>
      </c>
      <c r="I3471" s="87">
        <f>SUMIFS('Climate Data'!$H$7:$H$366,'Climate Data'!$A$7:$A$366,Estimator!$B$4,'Climate Data'!$B$7:$B$366,C3471)</f>
        <v>7.941860465116279</v>
      </c>
      <c r="J3471" s="86">
        <f>SUMIFS('Wind Proxy'!$H$8:$H$19,'Wind Proxy'!$A$8:$A$19,Estimator!$B$4,'Wind Proxy'!$B$8:$B$19,C3471)</f>
        <v>0</v>
      </c>
    </row>
    <row r="3472" spans="1:10" ht="14.4">
      <c r="A3472" s="84">
        <v>49123</v>
      </c>
      <c r="B3472" s="85">
        <v>2034</v>
      </c>
      <c r="C3472" s="85">
        <v>6</v>
      </c>
      <c r="D3472" s="85" t="s">
        <v>68</v>
      </c>
      <c r="E3472" s="85">
        <v>28</v>
      </c>
      <c r="F3472" s="85">
        <v>3</v>
      </c>
      <c r="G3472" s="85">
        <f>--(F3472&lt;=Estimator!$B$7)</f>
        <v>1</v>
      </c>
      <c r="H3472" s="86">
        <f>SUMIFS('Climate Data'!$G$7:$G$366,'Climate Data'!$A$7:$A$366,Estimator!$B$4,'Climate Data'!$B$7:$B$366,C3472)</f>
        <v>0.28666666666666668</v>
      </c>
      <c r="I3472" s="87">
        <f>SUMIFS('Climate Data'!$H$7:$H$366,'Climate Data'!$A$7:$A$366,Estimator!$B$4,'Climate Data'!$B$7:$B$366,C3472)</f>
        <v>7.941860465116279</v>
      </c>
      <c r="J3472" s="86">
        <f>SUMIFS('Wind Proxy'!$H$8:$H$19,'Wind Proxy'!$A$8:$A$19,Estimator!$B$4,'Wind Proxy'!$B$8:$B$19,C3472)</f>
        <v>0</v>
      </c>
    </row>
    <row r="3473" spans="1:10" ht="14.4">
      <c r="A3473" s="84">
        <v>49124</v>
      </c>
      <c r="B3473" s="85">
        <v>2034</v>
      </c>
      <c r="C3473" s="85">
        <v>6</v>
      </c>
      <c r="D3473" s="85" t="s">
        <v>68</v>
      </c>
      <c r="E3473" s="85">
        <v>29</v>
      </c>
      <c r="F3473" s="85">
        <v>4</v>
      </c>
      <c r="G3473" s="85">
        <f>--(F3473&lt;=Estimator!$B$7)</f>
        <v>1</v>
      </c>
      <c r="H3473" s="86">
        <f>SUMIFS('Climate Data'!$G$7:$G$366,'Climate Data'!$A$7:$A$366,Estimator!$B$4,'Climate Data'!$B$7:$B$366,C3473)</f>
        <v>0.28666666666666668</v>
      </c>
      <c r="I3473" s="87">
        <f>SUMIFS('Climate Data'!$H$7:$H$366,'Climate Data'!$A$7:$A$366,Estimator!$B$4,'Climate Data'!$B$7:$B$366,C3473)</f>
        <v>7.941860465116279</v>
      </c>
      <c r="J3473" s="86">
        <f>SUMIFS('Wind Proxy'!$H$8:$H$19,'Wind Proxy'!$A$8:$A$19,Estimator!$B$4,'Wind Proxy'!$B$8:$B$19,C3473)</f>
        <v>0</v>
      </c>
    </row>
    <row r="3474" spans="1:10" ht="14.4">
      <c r="A3474" s="84">
        <v>49125</v>
      </c>
      <c r="B3474" s="85">
        <v>2034</v>
      </c>
      <c r="C3474" s="85">
        <v>6</v>
      </c>
      <c r="D3474" s="85" t="s">
        <v>68</v>
      </c>
      <c r="E3474" s="85">
        <v>30</v>
      </c>
      <c r="F3474" s="85">
        <v>5</v>
      </c>
      <c r="G3474" s="85">
        <f>--(F3474&lt;=Estimator!$B$7)</f>
        <v>1</v>
      </c>
      <c r="H3474" s="86">
        <f>SUMIFS('Climate Data'!$G$7:$G$366,'Climate Data'!$A$7:$A$366,Estimator!$B$4,'Climate Data'!$B$7:$B$366,C3474)</f>
        <v>0.28666666666666668</v>
      </c>
      <c r="I3474" s="87">
        <f>SUMIFS('Climate Data'!$H$7:$H$366,'Climate Data'!$A$7:$A$366,Estimator!$B$4,'Climate Data'!$B$7:$B$366,C3474)</f>
        <v>7.941860465116279</v>
      </c>
      <c r="J3474" s="86">
        <f>SUMIFS('Wind Proxy'!$H$8:$H$19,'Wind Proxy'!$A$8:$A$19,Estimator!$B$4,'Wind Proxy'!$B$8:$B$19,C3474)</f>
        <v>0</v>
      </c>
    </row>
    <row r="3475" spans="1:10" ht="14.4">
      <c r="A3475" s="84">
        <v>49126</v>
      </c>
      <c r="B3475" s="85">
        <v>2034</v>
      </c>
      <c r="C3475" s="85">
        <v>7</v>
      </c>
      <c r="D3475" s="85" t="s">
        <v>69</v>
      </c>
      <c r="E3475" s="85">
        <v>1</v>
      </c>
      <c r="F3475" s="85">
        <v>6</v>
      </c>
      <c r="G3475" s="85">
        <f>--(F3475&lt;=Estimator!$B$7)</f>
        <v>0</v>
      </c>
      <c r="H3475" s="86">
        <f>SUMIFS('Climate Data'!$G$7:$G$366,'Climate Data'!$A$7:$A$366,Estimator!$B$4,'Climate Data'!$B$7:$B$366,C3475)</f>
        <v>0.24731182795698925</v>
      </c>
      <c r="I3475" s="87">
        <f>SUMIFS('Climate Data'!$H$7:$H$366,'Climate Data'!$A$7:$A$366,Estimator!$B$4,'Climate Data'!$B$7:$B$366,C3475)</f>
        <v>8.3739130434782609</v>
      </c>
      <c r="J3475" s="86">
        <f>SUMIFS('Wind Proxy'!$H$8:$H$19,'Wind Proxy'!$A$8:$A$19,Estimator!$B$4,'Wind Proxy'!$B$8:$B$19,C3475)</f>
        <v>0</v>
      </c>
    </row>
    <row r="3476" spans="1:10" ht="14.4">
      <c r="A3476" s="84">
        <v>49127</v>
      </c>
      <c r="B3476" s="85">
        <v>2034</v>
      </c>
      <c r="C3476" s="85">
        <v>7</v>
      </c>
      <c r="D3476" s="85" t="s">
        <v>69</v>
      </c>
      <c r="E3476" s="85">
        <v>2</v>
      </c>
      <c r="F3476" s="85">
        <v>7</v>
      </c>
      <c r="G3476" s="85">
        <f>--(F3476&lt;=Estimator!$B$7)</f>
        <v>0</v>
      </c>
      <c r="H3476" s="86">
        <f>SUMIFS('Climate Data'!$G$7:$G$366,'Climate Data'!$A$7:$A$366,Estimator!$B$4,'Climate Data'!$B$7:$B$366,C3476)</f>
        <v>0.24731182795698925</v>
      </c>
      <c r="I3476" s="87">
        <f>SUMIFS('Climate Data'!$H$7:$H$366,'Climate Data'!$A$7:$A$366,Estimator!$B$4,'Climate Data'!$B$7:$B$366,C3476)</f>
        <v>8.3739130434782609</v>
      </c>
      <c r="J3476" s="86">
        <f>SUMIFS('Wind Proxy'!$H$8:$H$19,'Wind Proxy'!$A$8:$A$19,Estimator!$B$4,'Wind Proxy'!$B$8:$B$19,C3476)</f>
        <v>0</v>
      </c>
    </row>
    <row r="3477" spans="1:10" ht="14.4">
      <c r="A3477" s="84">
        <v>49128</v>
      </c>
      <c r="B3477" s="85">
        <v>2034</v>
      </c>
      <c r="C3477" s="85">
        <v>7</v>
      </c>
      <c r="D3477" s="85" t="s">
        <v>69</v>
      </c>
      <c r="E3477" s="85">
        <v>3</v>
      </c>
      <c r="F3477" s="85">
        <v>1</v>
      </c>
      <c r="G3477" s="85">
        <f>--(F3477&lt;=Estimator!$B$7)</f>
        <v>1</v>
      </c>
      <c r="H3477" s="86">
        <f>SUMIFS('Climate Data'!$G$7:$G$366,'Climate Data'!$A$7:$A$366,Estimator!$B$4,'Climate Data'!$B$7:$B$366,C3477)</f>
        <v>0.24731182795698925</v>
      </c>
      <c r="I3477" s="87">
        <f>SUMIFS('Climate Data'!$H$7:$H$366,'Climate Data'!$A$7:$A$366,Estimator!$B$4,'Climate Data'!$B$7:$B$366,C3477)</f>
        <v>8.3739130434782609</v>
      </c>
      <c r="J3477" s="86">
        <f>SUMIFS('Wind Proxy'!$H$8:$H$19,'Wind Proxy'!$A$8:$A$19,Estimator!$B$4,'Wind Proxy'!$B$8:$B$19,C3477)</f>
        <v>0</v>
      </c>
    </row>
    <row r="3478" spans="1:10" ht="14.4">
      <c r="A3478" s="84">
        <v>49129</v>
      </c>
      <c r="B3478" s="85">
        <v>2034</v>
      </c>
      <c r="C3478" s="85">
        <v>7</v>
      </c>
      <c r="D3478" s="85" t="s">
        <v>69</v>
      </c>
      <c r="E3478" s="85">
        <v>4</v>
      </c>
      <c r="F3478" s="85">
        <v>2</v>
      </c>
      <c r="G3478" s="85">
        <f>--(F3478&lt;=Estimator!$B$7)</f>
        <v>1</v>
      </c>
      <c r="H3478" s="86">
        <f>SUMIFS('Climate Data'!$G$7:$G$366,'Climate Data'!$A$7:$A$366,Estimator!$B$4,'Climate Data'!$B$7:$B$366,C3478)</f>
        <v>0.24731182795698925</v>
      </c>
      <c r="I3478" s="87">
        <f>SUMIFS('Climate Data'!$H$7:$H$366,'Climate Data'!$A$7:$A$366,Estimator!$B$4,'Climate Data'!$B$7:$B$366,C3478)</f>
        <v>8.3739130434782609</v>
      </c>
      <c r="J3478" s="86">
        <f>SUMIFS('Wind Proxy'!$H$8:$H$19,'Wind Proxy'!$A$8:$A$19,Estimator!$B$4,'Wind Proxy'!$B$8:$B$19,C3478)</f>
        <v>0</v>
      </c>
    </row>
    <row r="3479" spans="1:10" ht="14.4">
      <c r="A3479" s="84">
        <v>49130</v>
      </c>
      <c r="B3479" s="85">
        <v>2034</v>
      </c>
      <c r="C3479" s="85">
        <v>7</v>
      </c>
      <c r="D3479" s="85" t="s">
        <v>69</v>
      </c>
      <c r="E3479" s="85">
        <v>5</v>
      </c>
      <c r="F3479" s="85">
        <v>3</v>
      </c>
      <c r="G3479" s="85">
        <f>--(F3479&lt;=Estimator!$B$7)</f>
        <v>1</v>
      </c>
      <c r="H3479" s="86">
        <f>SUMIFS('Climate Data'!$G$7:$G$366,'Climate Data'!$A$7:$A$366,Estimator!$B$4,'Climate Data'!$B$7:$B$366,C3479)</f>
        <v>0.24731182795698925</v>
      </c>
      <c r="I3479" s="87">
        <f>SUMIFS('Climate Data'!$H$7:$H$366,'Climate Data'!$A$7:$A$366,Estimator!$B$4,'Climate Data'!$B$7:$B$366,C3479)</f>
        <v>8.3739130434782609</v>
      </c>
      <c r="J3479" s="86">
        <f>SUMIFS('Wind Proxy'!$H$8:$H$19,'Wind Proxy'!$A$8:$A$19,Estimator!$B$4,'Wind Proxy'!$B$8:$B$19,C3479)</f>
        <v>0</v>
      </c>
    </row>
    <row r="3480" spans="1:10" ht="14.4">
      <c r="A3480" s="84">
        <v>49131</v>
      </c>
      <c r="B3480" s="85">
        <v>2034</v>
      </c>
      <c r="C3480" s="85">
        <v>7</v>
      </c>
      <c r="D3480" s="85" t="s">
        <v>69</v>
      </c>
      <c r="E3480" s="85">
        <v>6</v>
      </c>
      <c r="F3480" s="85">
        <v>4</v>
      </c>
      <c r="G3480" s="85">
        <f>--(F3480&lt;=Estimator!$B$7)</f>
        <v>1</v>
      </c>
      <c r="H3480" s="86">
        <f>SUMIFS('Climate Data'!$G$7:$G$366,'Climate Data'!$A$7:$A$366,Estimator!$B$4,'Climate Data'!$B$7:$B$366,C3480)</f>
        <v>0.24731182795698925</v>
      </c>
      <c r="I3480" s="87">
        <f>SUMIFS('Climate Data'!$H$7:$H$366,'Climate Data'!$A$7:$A$366,Estimator!$B$4,'Climate Data'!$B$7:$B$366,C3480)</f>
        <v>8.3739130434782609</v>
      </c>
      <c r="J3480" s="86">
        <f>SUMIFS('Wind Proxy'!$H$8:$H$19,'Wind Proxy'!$A$8:$A$19,Estimator!$B$4,'Wind Proxy'!$B$8:$B$19,C3480)</f>
        <v>0</v>
      </c>
    </row>
    <row r="3481" spans="1:10" ht="14.4">
      <c r="A3481" s="84">
        <v>49132</v>
      </c>
      <c r="B3481" s="85">
        <v>2034</v>
      </c>
      <c r="C3481" s="85">
        <v>7</v>
      </c>
      <c r="D3481" s="85" t="s">
        <v>69</v>
      </c>
      <c r="E3481" s="85">
        <v>7</v>
      </c>
      <c r="F3481" s="85">
        <v>5</v>
      </c>
      <c r="G3481" s="85">
        <f>--(F3481&lt;=Estimator!$B$7)</f>
        <v>1</v>
      </c>
      <c r="H3481" s="86">
        <f>SUMIFS('Climate Data'!$G$7:$G$366,'Climate Data'!$A$7:$A$366,Estimator!$B$4,'Climate Data'!$B$7:$B$366,C3481)</f>
        <v>0.24731182795698925</v>
      </c>
      <c r="I3481" s="87">
        <f>SUMIFS('Climate Data'!$H$7:$H$366,'Climate Data'!$A$7:$A$366,Estimator!$B$4,'Climate Data'!$B$7:$B$366,C3481)</f>
        <v>8.3739130434782609</v>
      </c>
      <c r="J3481" s="86">
        <f>SUMIFS('Wind Proxy'!$H$8:$H$19,'Wind Proxy'!$A$8:$A$19,Estimator!$B$4,'Wind Proxy'!$B$8:$B$19,C3481)</f>
        <v>0</v>
      </c>
    </row>
    <row r="3482" spans="1:10" ht="14.4">
      <c r="A3482" s="84">
        <v>49133</v>
      </c>
      <c r="B3482" s="85">
        <v>2034</v>
      </c>
      <c r="C3482" s="85">
        <v>7</v>
      </c>
      <c r="D3482" s="85" t="s">
        <v>69</v>
      </c>
      <c r="E3482" s="85">
        <v>8</v>
      </c>
      <c r="F3482" s="85">
        <v>6</v>
      </c>
      <c r="G3482" s="85">
        <f>--(F3482&lt;=Estimator!$B$7)</f>
        <v>0</v>
      </c>
      <c r="H3482" s="86">
        <f>SUMIFS('Climate Data'!$G$7:$G$366,'Climate Data'!$A$7:$A$366,Estimator!$B$4,'Climate Data'!$B$7:$B$366,C3482)</f>
        <v>0.24731182795698925</v>
      </c>
      <c r="I3482" s="87">
        <f>SUMIFS('Climate Data'!$H$7:$H$366,'Climate Data'!$A$7:$A$366,Estimator!$B$4,'Climate Data'!$B$7:$B$366,C3482)</f>
        <v>8.3739130434782609</v>
      </c>
      <c r="J3482" s="86">
        <f>SUMIFS('Wind Proxy'!$H$8:$H$19,'Wind Proxy'!$A$8:$A$19,Estimator!$B$4,'Wind Proxy'!$B$8:$B$19,C3482)</f>
        <v>0</v>
      </c>
    </row>
    <row r="3483" spans="1:10" ht="14.4">
      <c r="A3483" s="84">
        <v>49134</v>
      </c>
      <c r="B3483" s="85">
        <v>2034</v>
      </c>
      <c r="C3483" s="85">
        <v>7</v>
      </c>
      <c r="D3483" s="85" t="s">
        <v>69</v>
      </c>
      <c r="E3483" s="85">
        <v>9</v>
      </c>
      <c r="F3483" s="85">
        <v>7</v>
      </c>
      <c r="G3483" s="85">
        <f>--(F3483&lt;=Estimator!$B$7)</f>
        <v>0</v>
      </c>
      <c r="H3483" s="86">
        <f>SUMIFS('Climate Data'!$G$7:$G$366,'Climate Data'!$A$7:$A$366,Estimator!$B$4,'Climate Data'!$B$7:$B$366,C3483)</f>
        <v>0.24731182795698925</v>
      </c>
      <c r="I3483" s="87">
        <f>SUMIFS('Climate Data'!$H$7:$H$366,'Climate Data'!$A$7:$A$366,Estimator!$B$4,'Climate Data'!$B$7:$B$366,C3483)</f>
        <v>8.3739130434782609</v>
      </c>
      <c r="J3483" s="86">
        <f>SUMIFS('Wind Proxy'!$H$8:$H$19,'Wind Proxy'!$A$8:$A$19,Estimator!$B$4,'Wind Proxy'!$B$8:$B$19,C3483)</f>
        <v>0</v>
      </c>
    </row>
    <row r="3484" spans="1:10" ht="14.4">
      <c r="A3484" s="84">
        <v>49135</v>
      </c>
      <c r="B3484" s="85">
        <v>2034</v>
      </c>
      <c r="C3484" s="85">
        <v>7</v>
      </c>
      <c r="D3484" s="85" t="s">
        <v>69</v>
      </c>
      <c r="E3484" s="85">
        <v>10</v>
      </c>
      <c r="F3484" s="85">
        <v>1</v>
      </c>
      <c r="G3484" s="85">
        <f>--(F3484&lt;=Estimator!$B$7)</f>
        <v>1</v>
      </c>
      <c r="H3484" s="86">
        <f>SUMIFS('Climate Data'!$G$7:$G$366,'Climate Data'!$A$7:$A$366,Estimator!$B$4,'Climate Data'!$B$7:$B$366,C3484)</f>
        <v>0.24731182795698925</v>
      </c>
      <c r="I3484" s="87">
        <f>SUMIFS('Climate Data'!$H$7:$H$366,'Climate Data'!$A$7:$A$366,Estimator!$B$4,'Climate Data'!$B$7:$B$366,C3484)</f>
        <v>8.3739130434782609</v>
      </c>
      <c r="J3484" s="86">
        <f>SUMIFS('Wind Proxy'!$H$8:$H$19,'Wind Proxy'!$A$8:$A$19,Estimator!$B$4,'Wind Proxy'!$B$8:$B$19,C3484)</f>
        <v>0</v>
      </c>
    </row>
    <row r="3485" spans="1:10" ht="14.4">
      <c r="A3485" s="84">
        <v>49136</v>
      </c>
      <c r="B3485" s="85">
        <v>2034</v>
      </c>
      <c r="C3485" s="85">
        <v>7</v>
      </c>
      <c r="D3485" s="85" t="s">
        <v>69</v>
      </c>
      <c r="E3485" s="85">
        <v>11</v>
      </c>
      <c r="F3485" s="85">
        <v>2</v>
      </c>
      <c r="G3485" s="85">
        <f>--(F3485&lt;=Estimator!$B$7)</f>
        <v>1</v>
      </c>
      <c r="H3485" s="86">
        <f>SUMIFS('Climate Data'!$G$7:$G$366,'Climate Data'!$A$7:$A$366,Estimator!$B$4,'Climate Data'!$B$7:$B$366,C3485)</f>
        <v>0.24731182795698925</v>
      </c>
      <c r="I3485" s="87">
        <f>SUMIFS('Climate Data'!$H$7:$H$366,'Climate Data'!$A$7:$A$366,Estimator!$B$4,'Climate Data'!$B$7:$B$366,C3485)</f>
        <v>8.3739130434782609</v>
      </c>
      <c r="J3485" s="86">
        <f>SUMIFS('Wind Proxy'!$H$8:$H$19,'Wind Proxy'!$A$8:$A$19,Estimator!$B$4,'Wind Proxy'!$B$8:$B$19,C3485)</f>
        <v>0</v>
      </c>
    </row>
    <row r="3486" spans="1:10" ht="14.4">
      <c r="A3486" s="84">
        <v>49137</v>
      </c>
      <c r="B3486" s="85">
        <v>2034</v>
      </c>
      <c r="C3486" s="85">
        <v>7</v>
      </c>
      <c r="D3486" s="85" t="s">
        <v>69</v>
      </c>
      <c r="E3486" s="85">
        <v>12</v>
      </c>
      <c r="F3486" s="85">
        <v>3</v>
      </c>
      <c r="G3486" s="85">
        <f>--(F3486&lt;=Estimator!$B$7)</f>
        <v>1</v>
      </c>
      <c r="H3486" s="86">
        <f>SUMIFS('Climate Data'!$G$7:$G$366,'Climate Data'!$A$7:$A$366,Estimator!$B$4,'Climate Data'!$B$7:$B$366,C3486)</f>
        <v>0.24731182795698925</v>
      </c>
      <c r="I3486" s="87">
        <f>SUMIFS('Climate Data'!$H$7:$H$366,'Climate Data'!$A$7:$A$366,Estimator!$B$4,'Climate Data'!$B$7:$B$366,C3486)</f>
        <v>8.3739130434782609</v>
      </c>
      <c r="J3486" s="86">
        <f>SUMIFS('Wind Proxy'!$H$8:$H$19,'Wind Proxy'!$A$8:$A$19,Estimator!$B$4,'Wind Proxy'!$B$8:$B$19,C3486)</f>
        <v>0</v>
      </c>
    </row>
    <row r="3487" spans="1:10" ht="14.4">
      <c r="A3487" s="84">
        <v>49138</v>
      </c>
      <c r="B3487" s="85">
        <v>2034</v>
      </c>
      <c r="C3487" s="85">
        <v>7</v>
      </c>
      <c r="D3487" s="85" t="s">
        <v>69</v>
      </c>
      <c r="E3487" s="85">
        <v>13</v>
      </c>
      <c r="F3487" s="85">
        <v>4</v>
      </c>
      <c r="G3487" s="85">
        <f>--(F3487&lt;=Estimator!$B$7)</f>
        <v>1</v>
      </c>
      <c r="H3487" s="86">
        <f>SUMIFS('Climate Data'!$G$7:$G$366,'Climate Data'!$A$7:$A$366,Estimator!$B$4,'Climate Data'!$B$7:$B$366,C3487)</f>
        <v>0.24731182795698925</v>
      </c>
      <c r="I3487" s="87">
        <f>SUMIFS('Climate Data'!$H$7:$H$366,'Climate Data'!$A$7:$A$366,Estimator!$B$4,'Climate Data'!$B$7:$B$366,C3487)</f>
        <v>8.3739130434782609</v>
      </c>
      <c r="J3487" s="86">
        <f>SUMIFS('Wind Proxy'!$H$8:$H$19,'Wind Proxy'!$A$8:$A$19,Estimator!$B$4,'Wind Proxy'!$B$8:$B$19,C3487)</f>
        <v>0</v>
      </c>
    </row>
    <row r="3488" spans="1:10" ht="14.4">
      <c r="A3488" s="84">
        <v>49139</v>
      </c>
      <c r="B3488" s="85">
        <v>2034</v>
      </c>
      <c r="C3488" s="85">
        <v>7</v>
      </c>
      <c r="D3488" s="85" t="s">
        <v>69</v>
      </c>
      <c r="E3488" s="85">
        <v>14</v>
      </c>
      <c r="F3488" s="85">
        <v>5</v>
      </c>
      <c r="G3488" s="85">
        <f>--(F3488&lt;=Estimator!$B$7)</f>
        <v>1</v>
      </c>
      <c r="H3488" s="86">
        <f>SUMIFS('Climate Data'!$G$7:$G$366,'Climate Data'!$A$7:$A$366,Estimator!$B$4,'Climate Data'!$B$7:$B$366,C3488)</f>
        <v>0.24731182795698925</v>
      </c>
      <c r="I3488" s="87">
        <f>SUMIFS('Climate Data'!$H$7:$H$366,'Climate Data'!$A$7:$A$366,Estimator!$B$4,'Climate Data'!$B$7:$B$366,C3488)</f>
        <v>8.3739130434782609</v>
      </c>
      <c r="J3488" s="86">
        <f>SUMIFS('Wind Proxy'!$H$8:$H$19,'Wind Proxy'!$A$8:$A$19,Estimator!$B$4,'Wind Proxy'!$B$8:$B$19,C3488)</f>
        <v>0</v>
      </c>
    </row>
    <row r="3489" spans="1:10" ht="14.4">
      <c r="A3489" s="84">
        <v>49140</v>
      </c>
      <c r="B3489" s="85">
        <v>2034</v>
      </c>
      <c r="C3489" s="85">
        <v>7</v>
      </c>
      <c r="D3489" s="85" t="s">
        <v>69</v>
      </c>
      <c r="E3489" s="85">
        <v>15</v>
      </c>
      <c r="F3489" s="85">
        <v>6</v>
      </c>
      <c r="G3489" s="85">
        <f>--(F3489&lt;=Estimator!$B$7)</f>
        <v>0</v>
      </c>
      <c r="H3489" s="86">
        <f>SUMIFS('Climate Data'!$G$7:$G$366,'Climate Data'!$A$7:$A$366,Estimator!$B$4,'Climate Data'!$B$7:$B$366,C3489)</f>
        <v>0.24731182795698925</v>
      </c>
      <c r="I3489" s="87">
        <f>SUMIFS('Climate Data'!$H$7:$H$366,'Climate Data'!$A$7:$A$366,Estimator!$B$4,'Climate Data'!$B$7:$B$366,C3489)</f>
        <v>8.3739130434782609</v>
      </c>
      <c r="J3489" s="86">
        <f>SUMIFS('Wind Proxy'!$H$8:$H$19,'Wind Proxy'!$A$8:$A$19,Estimator!$B$4,'Wind Proxy'!$B$8:$B$19,C3489)</f>
        <v>0</v>
      </c>
    </row>
    <row r="3490" spans="1:10" ht="14.4">
      <c r="A3490" s="84">
        <v>49141</v>
      </c>
      <c r="B3490" s="85">
        <v>2034</v>
      </c>
      <c r="C3490" s="85">
        <v>7</v>
      </c>
      <c r="D3490" s="85" t="s">
        <v>69</v>
      </c>
      <c r="E3490" s="85">
        <v>16</v>
      </c>
      <c r="F3490" s="85">
        <v>7</v>
      </c>
      <c r="G3490" s="85">
        <f>--(F3490&lt;=Estimator!$B$7)</f>
        <v>0</v>
      </c>
      <c r="H3490" s="86">
        <f>SUMIFS('Climate Data'!$G$7:$G$366,'Climate Data'!$A$7:$A$366,Estimator!$B$4,'Climate Data'!$B$7:$B$366,C3490)</f>
        <v>0.24731182795698925</v>
      </c>
      <c r="I3490" s="87">
        <f>SUMIFS('Climate Data'!$H$7:$H$366,'Climate Data'!$A$7:$A$366,Estimator!$B$4,'Climate Data'!$B$7:$B$366,C3490)</f>
        <v>8.3739130434782609</v>
      </c>
      <c r="J3490" s="86">
        <f>SUMIFS('Wind Proxy'!$H$8:$H$19,'Wind Proxy'!$A$8:$A$19,Estimator!$B$4,'Wind Proxy'!$B$8:$B$19,C3490)</f>
        <v>0</v>
      </c>
    </row>
    <row r="3491" spans="1:10" ht="14.4">
      <c r="A3491" s="84">
        <v>49142</v>
      </c>
      <c r="B3491" s="85">
        <v>2034</v>
      </c>
      <c r="C3491" s="85">
        <v>7</v>
      </c>
      <c r="D3491" s="85" t="s">
        <v>69</v>
      </c>
      <c r="E3491" s="85">
        <v>17</v>
      </c>
      <c r="F3491" s="85">
        <v>1</v>
      </c>
      <c r="G3491" s="85">
        <f>--(F3491&lt;=Estimator!$B$7)</f>
        <v>1</v>
      </c>
      <c r="H3491" s="86">
        <f>SUMIFS('Climate Data'!$G$7:$G$366,'Climate Data'!$A$7:$A$366,Estimator!$B$4,'Climate Data'!$B$7:$B$366,C3491)</f>
        <v>0.24731182795698925</v>
      </c>
      <c r="I3491" s="87">
        <f>SUMIFS('Climate Data'!$H$7:$H$366,'Climate Data'!$A$7:$A$366,Estimator!$B$4,'Climate Data'!$B$7:$B$366,C3491)</f>
        <v>8.3739130434782609</v>
      </c>
      <c r="J3491" s="86">
        <f>SUMIFS('Wind Proxy'!$H$8:$H$19,'Wind Proxy'!$A$8:$A$19,Estimator!$B$4,'Wind Proxy'!$B$8:$B$19,C3491)</f>
        <v>0</v>
      </c>
    </row>
    <row r="3492" spans="1:10" ht="14.4">
      <c r="A3492" s="84">
        <v>49143</v>
      </c>
      <c r="B3492" s="85">
        <v>2034</v>
      </c>
      <c r="C3492" s="85">
        <v>7</v>
      </c>
      <c r="D3492" s="85" t="s">
        <v>69</v>
      </c>
      <c r="E3492" s="85">
        <v>18</v>
      </c>
      <c r="F3492" s="85">
        <v>2</v>
      </c>
      <c r="G3492" s="85">
        <f>--(F3492&lt;=Estimator!$B$7)</f>
        <v>1</v>
      </c>
      <c r="H3492" s="86">
        <f>SUMIFS('Climate Data'!$G$7:$G$366,'Climate Data'!$A$7:$A$366,Estimator!$B$4,'Climate Data'!$B$7:$B$366,C3492)</f>
        <v>0.24731182795698925</v>
      </c>
      <c r="I3492" s="87">
        <f>SUMIFS('Climate Data'!$H$7:$H$366,'Climate Data'!$A$7:$A$366,Estimator!$B$4,'Climate Data'!$B$7:$B$366,C3492)</f>
        <v>8.3739130434782609</v>
      </c>
      <c r="J3492" s="86">
        <f>SUMIFS('Wind Proxy'!$H$8:$H$19,'Wind Proxy'!$A$8:$A$19,Estimator!$B$4,'Wind Proxy'!$B$8:$B$19,C3492)</f>
        <v>0</v>
      </c>
    </row>
    <row r="3493" spans="1:10" ht="14.4">
      <c r="A3493" s="84">
        <v>49144</v>
      </c>
      <c r="B3493" s="85">
        <v>2034</v>
      </c>
      <c r="C3493" s="85">
        <v>7</v>
      </c>
      <c r="D3493" s="85" t="s">
        <v>69</v>
      </c>
      <c r="E3493" s="85">
        <v>19</v>
      </c>
      <c r="F3493" s="85">
        <v>3</v>
      </c>
      <c r="G3493" s="85">
        <f>--(F3493&lt;=Estimator!$B$7)</f>
        <v>1</v>
      </c>
      <c r="H3493" s="86">
        <f>SUMIFS('Climate Data'!$G$7:$G$366,'Climate Data'!$A$7:$A$366,Estimator!$B$4,'Climate Data'!$B$7:$B$366,C3493)</f>
        <v>0.24731182795698925</v>
      </c>
      <c r="I3493" s="87">
        <f>SUMIFS('Climate Data'!$H$7:$H$366,'Climate Data'!$A$7:$A$366,Estimator!$B$4,'Climate Data'!$B$7:$B$366,C3493)</f>
        <v>8.3739130434782609</v>
      </c>
      <c r="J3493" s="86">
        <f>SUMIFS('Wind Proxy'!$H$8:$H$19,'Wind Proxy'!$A$8:$A$19,Estimator!$B$4,'Wind Proxy'!$B$8:$B$19,C3493)</f>
        <v>0</v>
      </c>
    </row>
    <row r="3494" spans="1:10" ht="14.4">
      <c r="A3494" s="84">
        <v>49145</v>
      </c>
      <c r="B3494" s="85">
        <v>2034</v>
      </c>
      <c r="C3494" s="85">
        <v>7</v>
      </c>
      <c r="D3494" s="85" t="s">
        <v>69</v>
      </c>
      <c r="E3494" s="85">
        <v>20</v>
      </c>
      <c r="F3494" s="85">
        <v>4</v>
      </c>
      <c r="G3494" s="85">
        <f>--(F3494&lt;=Estimator!$B$7)</f>
        <v>1</v>
      </c>
      <c r="H3494" s="86">
        <f>SUMIFS('Climate Data'!$G$7:$G$366,'Climate Data'!$A$7:$A$366,Estimator!$B$4,'Climate Data'!$B$7:$B$366,C3494)</f>
        <v>0.24731182795698925</v>
      </c>
      <c r="I3494" s="87">
        <f>SUMIFS('Climate Data'!$H$7:$H$366,'Climate Data'!$A$7:$A$366,Estimator!$B$4,'Climate Data'!$B$7:$B$366,C3494)</f>
        <v>8.3739130434782609</v>
      </c>
      <c r="J3494" s="86">
        <f>SUMIFS('Wind Proxy'!$H$8:$H$19,'Wind Proxy'!$A$8:$A$19,Estimator!$B$4,'Wind Proxy'!$B$8:$B$19,C3494)</f>
        <v>0</v>
      </c>
    </row>
    <row r="3495" spans="1:10" ht="14.4">
      <c r="A3495" s="84">
        <v>49146</v>
      </c>
      <c r="B3495" s="85">
        <v>2034</v>
      </c>
      <c r="C3495" s="85">
        <v>7</v>
      </c>
      <c r="D3495" s="85" t="s">
        <v>69</v>
      </c>
      <c r="E3495" s="85">
        <v>21</v>
      </c>
      <c r="F3495" s="85">
        <v>5</v>
      </c>
      <c r="G3495" s="85">
        <f>--(F3495&lt;=Estimator!$B$7)</f>
        <v>1</v>
      </c>
      <c r="H3495" s="86">
        <f>SUMIFS('Climate Data'!$G$7:$G$366,'Climate Data'!$A$7:$A$366,Estimator!$B$4,'Climate Data'!$B$7:$B$366,C3495)</f>
        <v>0.24731182795698925</v>
      </c>
      <c r="I3495" s="87">
        <f>SUMIFS('Climate Data'!$H$7:$H$366,'Climate Data'!$A$7:$A$366,Estimator!$B$4,'Climate Data'!$B$7:$B$366,C3495)</f>
        <v>8.3739130434782609</v>
      </c>
      <c r="J3495" s="86">
        <f>SUMIFS('Wind Proxy'!$H$8:$H$19,'Wind Proxy'!$A$8:$A$19,Estimator!$B$4,'Wind Proxy'!$B$8:$B$19,C3495)</f>
        <v>0</v>
      </c>
    </row>
    <row r="3496" spans="1:10" ht="14.4">
      <c r="A3496" s="84">
        <v>49147</v>
      </c>
      <c r="B3496" s="85">
        <v>2034</v>
      </c>
      <c r="C3496" s="85">
        <v>7</v>
      </c>
      <c r="D3496" s="85" t="s">
        <v>69</v>
      </c>
      <c r="E3496" s="85">
        <v>22</v>
      </c>
      <c r="F3496" s="85">
        <v>6</v>
      </c>
      <c r="G3496" s="85">
        <f>--(F3496&lt;=Estimator!$B$7)</f>
        <v>0</v>
      </c>
      <c r="H3496" s="86">
        <f>SUMIFS('Climate Data'!$G$7:$G$366,'Climate Data'!$A$7:$A$366,Estimator!$B$4,'Climate Data'!$B$7:$B$366,C3496)</f>
        <v>0.24731182795698925</v>
      </c>
      <c r="I3496" s="87">
        <f>SUMIFS('Climate Data'!$H$7:$H$366,'Climate Data'!$A$7:$A$366,Estimator!$B$4,'Climate Data'!$B$7:$B$366,C3496)</f>
        <v>8.3739130434782609</v>
      </c>
      <c r="J3496" s="86">
        <f>SUMIFS('Wind Proxy'!$H$8:$H$19,'Wind Proxy'!$A$8:$A$19,Estimator!$B$4,'Wind Proxy'!$B$8:$B$19,C3496)</f>
        <v>0</v>
      </c>
    </row>
    <row r="3497" spans="1:10" ht="14.4">
      <c r="A3497" s="84">
        <v>49148</v>
      </c>
      <c r="B3497" s="85">
        <v>2034</v>
      </c>
      <c r="C3497" s="85">
        <v>7</v>
      </c>
      <c r="D3497" s="85" t="s">
        <v>69</v>
      </c>
      <c r="E3497" s="85">
        <v>23</v>
      </c>
      <c r="F3497" s="85">
        <v>7</v>
      </c>
      <c r="G3497" s="85">
        <f>--(F3497&lt;=Estimator!$B$7)</f>
        <v>0</v>
      </c>
      <c r="H3497" s="86">
        <f>SUMIFS('Climate Data'!$G$7:$G$366,'Climate Data'!$A$7:$A$366,Estimator!$B$4,'Climate Data'!$B$7:$B$366,C3497)</f>
        <v>0.24731182795698925</v>
      </c>
      <c r="I3497" s="87">
        <f>SUMIFS('Climate Data'!$H$7:$H$366,'Climate Data'!$A$7:$A$366,Estimator!$B$4,'Climate Data'!$B$7:$B$366,C3497)</f>
        <v>8.3739130434782609</v>
      </c>
      <c r="J3497" s="86">
        <f>SUMIFS('Wind Proxy'!$H$8:$H$19,'Wind Proxy'!$A$8:$A$19,Estimator!$B$4,'Wind Proxy'!$B$8:$B$19,C3497)</f>
        <v>0</v>
      </c>
    </row>
    <row r="3498" spans="1:10" ht="14.4">
      <c r="A3498" s="84">
        <v>49149</v>
      </c>
      <c r="B3498" s="85">
        <v>2034</v>
      </c>
      <c r="C3498" s="85">
        <v>7</v>
      </c>
      <c r="D3498" s="85" t="s">
        <v>69</v>
      </c>
      <c r="E3498" s="85">
        <v>24</v>
      </c>
      <c r="F3498" s="85">
        <v>1</v>
      </c>
      <c r="G3498" s="85">
        <f>--(F3498&lt;=Estimator!$B$7)</f>
        <v>1</v>
      </c>
      <c r="H3498" s="86">
        <f>SUMIFS('Climate Data'!$G$7:$G$366,'Climate Data'!$A$7:$A$366,Estimator!$B$4,'Climate Data'!$B$7:$B$366,C3498)</f>
        <v>0.24731182795698925</v>
      </c>
      <c r="I3498" s="87">
        <f>SUMIFS('Climate Data'!$H$7:$H$366,'Climate Data'!$A$7:$A$366,Estimator!$B$4,'Climate Data'!$B$7:$B$366,C3498)</f>
        <v>8.3739130434782609</v>
      </c>
      <c r="J3498" s="86">
        <f>SUMIFS('Wind Proxy'!$H$8:$H$19,'Wind Proxy'!$A$8:$A$19,Estimator!$B$4,'Wind Proxy'!$B$8:$B$19,C3498)</f>
        <v>0</v>
      </c>
    </row>
    <row r="3499" spans="1:10" ht="14.4">
      <c r="A3499" s="84">
        <v>49150</v>
      </c>
      <c r="B3499" s="85">
        <v>2034</v>
      </c>
      <c r="C3499" s="85">
        <v>7</v>
      </c>
      <c r="D3499" s="85" t="s">
        <v>69</v>
      </c>
      <c r="E3499" s="85">
        <v>25</v>
      </c>
      <c r="F3499" s="85">
        <v>2</v>
      </c>
      <c r="G3499" s="85">
        <f>--(F3499&lt;=Estimator!$B$7)</f>
        <v>1</v>
      </c>
      <c r="H3499" s="86">
        <f>SUMIFS('Climate Data'!$G$7:$G$366,'Climate Data'!$A$7:$A$366,Estimator!$B$4,'Climate Data'!$B$7:$B$366,C3499)</f>
        <v>0.24731182795698925</v>
      </c>
      <c r="I3499" s="87">
        <f>SUMIFS('Climate Data'!$H$7:$H$366,'Climate Data'!$A$7:$A$366,Estimator!$B$4,'Climate Data'!$B$7:$B$366,C3499)</f>
        <v>8.3739130434782609</v>
      </c>
      <c r="J3499" s="86">
        <f>SUMIFS('Wind Proxy'!$H$8:$H$19,'Wind Proxy'!$A$8:$A$19,Estimator!$B$4,'Wind Proxy'!$B$8:$B$19,C3499)</f>
        <v>0</v>
      </c>
    </row>
    <row r="3500" spans="1:10" ht="14.4">
      <c r="A3500" s="84">
        <v>49151</v>
      </c>
      <c r="B3500" s="85">
        <v>2034</v>
      </c>
      <c r="C3500" s="85">
        <v>7</v>
      </c>
      <c r="D3500" s="85" t="s">
        <v>69</v>
      </c>
      <c r="E3500" s="85">
        <v>26</v>
      </c>
      <c r="F3500" s="85">
        <v>3</v>
      </c>
      <c r="G3500" s="85">
        <f>--(F3500&lt;=Estimator!$B$7)</f>
        <v>1</v>
      </c>
      <c r="H3500" s="86">
        <f>SUMIFS('Climate Data'!$G$7:$G$366,'Climate Data'!$A$7:$A$366,Estimator!$B$4,'Climate Data'!$B$7:$B$366,C3500)</f>
        <v>0.24731182795698925</v>
      </c>
      <c r="I3500" s="87">
        <f>SUMIFS('Climate Data'!$H$7:$H$366,'Climate Data'!$A$7:$A$366,Estimator!$B$4,'Climate Data'!$B$7:$B$366,C3500)</f>
        <v>8.3739130434782609</v>
      </c>
      <c r="J3500" s="86">
        <f>SUMIFS('Wind Proxy'!$H$8:$H$19,'Wind Proxy'!$A$8:$A$19,Estimator!$B$4,'Wind Proxy'!$B$8:$B$19,C3500)</f>
        <v>0</v>
      </c>
    </row>
    <row r="3501" spans="1:10" ht="14.4">
      <c r="A3501" s="84">
        <v>49152</v>
      </c>
      <c r="B3501" s="85">
        <v>2034</v>
      </c>
      <c r="C3501" s="85">
        <v>7</v>
      </c>
      <c r="D3501" s="85" t="s">
        <v>69</v>
      </c>
      <c r="E3501" s="85">
        <v>27</v>
      </c>
      <c r="F3501" s="85">
        <v>4</v>
      </c>
      <c r="G3501" s="85">
        <f>--(F3501&lt;=Estimator!$B$7)</f>
        <v>1</v>
      </c>
      <c r="H3501" s="86">
        <f>SUMIFS('Climate Data'!$G$7:$G$366,'Climate Data'!$A$7:$A$366,Estimator!$B$4,'Climate Data'!$B$7:$B$366,C3501)</f>
        <v>0.24731182795698925</v>
      </c>
      <c r="I3501" s="87">
        <f>SUMIFS('Climate Data'!$H$7:$H$366,'Climate Data'!$A$7:$A$366,Estimator!$B$4,'Climate Data'!$B$7:$B$366,C3501)</f>
        <v>8.3739130434782609</v>
      </c>
      <c r="J3501" s="86">
        <f>SUMIFS('Wind Proxy'!$H$8:$H$19,'Wind Proxy'!$A$8:$A$19,Estimator!$B$4,'Wind Proxy'!$B$8:$B$19,C3501)</f>
        <v>0</v>
      </c>
    </row>
    <row r="3502" spans="1:10" ht="14.4">
      <c r="A3502" s="84">
        <v>49153</v>
      </c>
      <c r="B3502" s="85">
        <v>2034</v>
      </c>
      <c r="C3502" s="85">
        <v>7</v>
      </c>
      <c r="D3502" s="85" t="s">
        <v>69</v>
      </c>
      <c r="E3502" s="85">
        <v>28</v>
      </c>
      <c r="F3502" s="85">
        <v>5</v>
      </c>
      <c r="G3502" s="85">
        <f>--(F3502&lt;=Estimator!$B$7)</f>
        <v>1</v>
      </c>
      <c r="H3502" s="86">
        <f>SUMIFS('Climate Data'!$G$7:$G$366,'Climate Data'!$A$7:$A$366,Estimator!$B$4,'Climate Data'!$B$7:$B$366,C3502)</f>
        <v>0.24731182795698925</v>
      </c>
      <c r="I3502" s="87">
        <f>SUMIFS('Climate Data'!$H$7:$H$366,'Climate Data'!$A$7:$A$366,Estimator!$B$4,'Climate Data'!$B$7:$B$366,C3502)</f>
        <v>8.3739130434782609</v>
      </c>
      <c r="J3502" s="86">
        <f>SUMIFS('Wind Proxy'!$H$8:$H$19,'Wind Proxy'!$A$8:$A$19,Estimator!$B$4,'Wind Proxy'!$B$8:$B$19,C3502)</f>
        <v>0</v>
      </c>
    </row>
    <row r="3503" spans="1:10" ht="14.4">
      <c r="A3503" s="84">
        <v>49154</v>
      </c>
      <c r="B3503" s="85">
        <v>2034</v>
      </c>
      <c r="C3503" s="85">
        <v>7</v>
      </c>
      <c r="D3503" s="85" t="s">
        <v>69</v>
      </c>
      <c r="E3503" s="85">
        <v>29</v>
      </c>
      <c r="F3503" s="85">
        <v>6</v>
      </c>
      <c r="G3503" s="85">
        <f>--(F3503&lt;=Estimator!$B$7)</f>
        <v>0</v>
      </c>
      <c r="H3503" s="86">
        <f>SUMIFS('Climate Data'!$G$7:$G$366,'Climate Data'!$A$7:$A$366,Estimator!$B$4,'Climate Data'!$B$7:$B$366,C3503)</f>
        <v>0.24731182795698925</v>
      </c>
      <c r="I3503" s="87">
        <f>SUMIFS('Climate Data'!$H$7:$H$366,'Climate Data'!$A$7:$A$366,Estimator!$B$4,'Climate Data'!$B$7:$B$366,C3503)</f>
        <v>8.3739130434782609</v>
      </c>
      <c r="J3503" s="86">
        <f>SUMIFS('Wind Proxy'!$H$8:$H$19,'Wind Proxy'!$A$8:$A$19,Estimator!$B$4,'Wind Proxy'!$B$8:$B$19,C3503)</f>
        <v>0</v>
      </c>
    </row>
    <row r="3504" spans="1:10" ht="14.4">
      <c r="A3504" s="84">
        <v>49155</v>
      </c>
      <c r="B3504" s="85">
        <v>2034</v>
      </c>
      <c r="C3504" s="85">
        <v>7</v>
      </c>
      <c r="D3504" s="85" t="s">
        <v>69</v>
      </c>
      <c r="E3504" s="85">
        <v>30</v>
      </c>
      <c r="F3504" s="85">
        <v>7</v>
      </c>
      <c r="G3504" s="85">
        <f>--(F3504&lt;=Estimator!$B$7)</f>
        <v>0</v>
      </c>
      <c r="H3504" s="86">
        <f>SUMIFS('Climate Data'!$G$7:$G$366,'Climate Data'!$A$7:$A$366,Estimator!$B$4,'Climate Data'!$B$7:$B$366,C3504)</f>
        <v>0.24731182795698925</v>
      </c>
      <c r="I3504" s="87">
        <f>SUMIFS('Climate Data'!$H$7:$H$366,'Climate Data'!$A$7:$A$366,Estimator!$B$4,'Climate Data'!$B$7:$B$366,C3504)</f>
        <v>8.3739130434782609</v>
      </c>
      <c r="J3504" s="86">
        <f>SUMIFS('Wind Proxy'!$H$8:$H$19,'Wind Proxy'!$A$8:$A$19,Estimator!$B$4,'Wind Proxy'!$B$8:$B$19,C3504)</f>
        <v>0</v>
      </c>
    </row>
    <row r="3505" spans="1:10" ht="14.4">
      <c r="A3505" s="84">
        <v>49156</v>
      </c>
      <c r="B3505" s="85">
        <v>2034</v>
      </c>
      <c r="C3505" s="85">
        <v>7</v>
      </c>
      <c r="D3505" s="85" t="s">
        <v>69</v>
      </c>
      <c r="E3505" s="85">
        <v>31</v>
      </c>
      <c r="F3505" s="85">
        <v>1</v>
      </c>
      <c r="G3505" s="85">
        <f>--(F3505&lt;=Estimator!$B$7)</f>
        <v>1</v>
      </c>
      <c r="H3505" s="86">
        <f>SUMIFS('Climate Data'!$G$7:$G$366,'Climate Data'!$A$7:$A$366,Estimator!$B$4,'Climate Data'!$B$7:$B$366,C3505)</f>
        <v>0.24731182795698925</v>
      </c>
      <c r="I3505" s="87">
        <f>SUMIFS('Climate Data'!$H$7:$H$366,'Climate Data'!$A$7:$A$366,Estimator!$B$4,'Climate Data'!$B$7:$B$366,C3505)</f>
        <v>8.3739130434782609</v>
      </c>
      <c r="J3505" s="86">
        <f>SUMIFS('Wind Proxy'!$H$8:$H$19,'Wind Proxy'!$A$8:$A$19,Estimator!$B$4,'Wind Proxy'!$B$8:$B$19,C3505)</f>
        <v>0</v>
      </c>
    </row>
    <row r="3506" spans="1:10" ht="14.4">
      <c r="A3506" s="84">
        <v>49157</v>
      </c>
      <c r="B3506" s="85">
        <v>2034</v>
      </c>
      <c r="C3506" s="85">
        <v>8</v>
      </c>
      <c r="D3506" s="85" t="s">
        <v>71</v>
      </c>
      <c r="E3506" s="85">
        <v>1</v>
      </c>
      <c r="F3506" s="85">
        <v>2</v>
      </c>
      <c r="G3506" s="85">
        <f>--(F3506&lt;=Estimator!$B$7)</f>
        <v>1</v>
      </c>
      <c r="H3506" s="86">
        <f>SUMIFS('Climate Data'!$G$7:$G$366,'Climate Data'!$A$7:$A$366,Estimator!$B$4,'Climate Data'!$B$7:$B$366,C3506)</f>
        <v>0.23548387096774193</v>
      </c>
      <c r="I3506" s="87">
        <f>SUMIFS('Climate Data'!$H$7:$H$366,'Climate Data'!$A$7:$A$366,Estimator!$B$4,'Climate Data'!$B$7:$B$366,C3506)</f>
        <v>7.9589041095890414</v>
      </c>
      <c r="J3506" s="86">
        <f>SUMIFS('Wind Proxy'!$H$8:$H$19,'Wind Proxy'!$A$8:$A$19,Estimator!$B$4,'Wind Proxy'!$B$8:$B$19,C3506)</f>
        <v>0</v>
      </c>
    </row>
    <row r="3507" spans="1:10" ht="14.4">
      <c r="A3507" s="84">
        <v>49158</v>
      </c>
      <c r="B3507" s="85">
        <v>2034</v>
      </c>
      <c r="C3507" s="85">
        <v>8</v>
      </c>
      <c r="D3507" s="85" t="s">
        <v>71</v>
      </c>
      <c r="E3507" s="85">
        <v>2</v>
      </c>
      <c r="F3507" s="85">
        <v>3</v>
      </c>
      <c r="G3507" s="85">
        <f>--(F3507&lt;=Estimator!$B$7)</f>
        <v>1</v>
      </c>
      <c r="H3507" s="86">
        <f>SUMIFS('Climate Data'!$G$7:$G$366,'Climate Data'!$A$7:$A$366,Estimator!$B$4,'Climate Data'!$B$7:$B$366,C3507)</f>
        <v>0.23548387096774193</v>
      </c>
      <c r="I3507" s="87">
        <f>SUMIFS('Climate Data'!$H$7:$H$366,'Climate Data'!$A$7:$A$366,Estimator!$B$4,'Climate Data'!$B$7:$B$366,C3507)</f>
        <v>7.9589041095890414</v>
      </c>
      <c r="J3507" s="86">
        <f>SUMIFS('Wind Proxy'!$H$8:$H$19,'Wind Proxy'!$A$8:$A$19,Estimator!$B$4,'Wind Proxy'!$B$8:$B$19,C3507)</f>
        <v>0</v>
      </c>
    </row>
    <row r="3508" spans="1:10" ht="14.4">
      <c r="A3508" s="84">
        <v>49159</v>
      </c>
      <c r="B3508" s="85">
        <v>2034</v>
      </c>
      <c r="C3508" s="85">
        <v>8</v>
      </c>
      <c r="D3508" s="85" t="s">
        <v>71</v>
      </c>
      <c r="E3508" s="85">
        <v>3</v>
      </c>
      <c r="F3508" s="85">
        <v>4</v>
      </c>
      <c r="G3508" s="85">
        <f>--(F3508&lt;=Estimator!$B$7)</f>
        <v>1</v>
      </c>
      <c r="H3508" s="86">
        <f>SUMIFS('Climate Data'!$G$7:$G$366,'Climate Data'!$A$7:$A$366,Estimator!$B$4,'Climate Data'!$B$7:$B$366,C3508)</f>
        <v>0.23548387096774193</v>
      </c>
      <c r="I3508" s="87">
        <f>SUMIFS('Climate Data'!$H$7:$H$366,'Climate Data'!$A$7:$A$366,Estimator!$B$4,'Climate Data'!$B$7:$B$366,C3508)</f>
        <v>7.9589041095890414</v>
      </c>
      <c r="J3508" s="86">
        <f>SUMIFS('Wind Proxy'!$H$8:$H$19,'Wind Proxy'!$A$8:$A$19,Estimator!$B$4,'Wind Proxy'!$B$8:$B$19,C3508)</f>
        <v>0</v>
      </c>
    </row>
    <row r="3509" spans="1:10" ht="14.4">
      <c r="A3509" s="84">
        <v>49160</v>
      </c>
      <c r="B3509" s="85">
        <v>2034</v>
      </c>
      <c r="C3509" s="85">
        <v>8</v>
      </c>
      <c r="D3509" s="85" t="s">
        <v>71</v>
      </c>
      <c r="E3509" s="85">
        <v>4</v>
      </c>
      <c r="F3509" s="85">
        <v>5</v>
      </c>
      <c r="G3509" s="85">
        <f>--(F3509&lt;=Estimator!$B$7)</f>
        <v>1</v>
      </c>
      <c r="H3509" s="86">
        <f>SUMIFS('Climate Data'!$G$7:$G$366,'Climate Data'!$A$7:$A$366,Estimator!$B$4,'Climate Data'!$B$7:$B$366,C3509)</f>
        <v>0.23548387096774193</v>
      </c>
      <c r="I3509" s="87">
        <f>SUMIFS('Climate Data'!$H$7:$H$366,'Climate Data'!$A$7:$A$366,Estimator!$B$4,'Climate Data'!$B$7:$B$366,C3509)</f>
        <v>7.9589041095890414</v>
      </c>
      <c r="J3509" s="86">
        <f>SUMIFS('Wind Proxy'!$H$8:$H$19,'Wind Proxy'!$A$8:$A$19,Estimator!$B$4,'Wind Proxy'!$B$8:$B$19,C3509)</f>
        <v>0</v>
      </c>
    </row>
    <row r="3510" spans="1:10" ht="14.4">
      <c r="A3510" s="84">
        <v>49161</v>
      </c>
      <c r="B3510" s="85">
        <v>2034</v>
      </c>
      <c r="C3510" s="85">
        <v>8</v>
      </c>
      <c r="D3510" s="85" t="s">
        <v>71</v>
      </c>
      <c r="E3510" s="85">
        <v>5</v>
      </c>
      <c r="F3510" s="85">
        <v>6</v>
      </c>
      <c r="G3510" s="85">
        <f>--(F3510&lt;=Estimator!$B$7)</f>
        <v>0</v>
      </c>
      <c r="H3510" s="86">
        <f>SUMIFS('Climate Data'!$G$7:$G$366,'Climate Data'!$A$7:$A$366,Estimator!$B$4,'Climate Data'!$B$7:$B$366,C3510)</f>
        <v>0.23548387096774193</v>
      </c>
      <c r="I3510" s="87">
        <f>SUMIFS('Climate Data'!$H$7:$H$366,'Climate Data'!$A$7:$A$366,Estimator!$B$4,'Climate Data'!$B$7:$B$366,C3510)</f>
        <v>7.9589041095890414</v>
      </c>
      <c r="J3510" s="86">
        <f>SUMIFS('Wind Proxy'!$H$8:$H$19,'Wind Proxy'!$A$8:$A$19,Estimator!$B$4,'Wind Proxy'!$B$8:$B$19,C3510)</f>
        <v>0</v>
      </c>
    </row>
    <row r="3511" spans="1:10" ht="14.4">
      <c r="A3511" s="84">
        <v>49162</v>
      </c>
      <c r="B3511" s="85">
        <v>2034</v>
      </c>
      <c r="C3511" s="85">
        <v>8</v>
      </c>
      <c r="D3511" s="85" t="s">
        <v>71</v>
      </c>
      <c r="E3511" s="85">
        <v>6</v>
      </c>
      <c r="F3511" s="85">
        <v>7</v>
      </c>
      <c r="G3511" s="85">
        <f>--(F3511&lt;=Estimator!$B$7)</f>
        <v>0</v>
      </c>
      <c r="H3511" s="86">
        <f>SUMIFS('Climate Data'!$G$7:$G$366,'Climate Data'!$A$7:$A$366,Estimator!$B$4,'Climate Data'!$B$7:$B$366,C3511)</f>
        <v>0.23548387096774193</v>
      </c>
      <c r="I3511" s="87">
        <f>SUMIFS('Climate Data'!$H$7:$H$366,'Climate Data'!$A$7:$A$366,Estimator!$B$4,'Climate Data'!$B$7:$B$366,C3511)</f>
        <v>7.9589041095890414</v>
      </c>
      <c r="J3511" s="86">
        <f>SUMIFS('Wind Proxy'!$H$8:$H$19,'Wind Proxy'!$A$8:$A$19,Estimator!$B$4,'Wind Proxy'!$B$8:$B$19,C3511)</f>
        <v>0</v>
      </c>
    </row>
    <row r="3512" spans="1:10" ht="14.4">
      <c r="A3512" s="84">
        <v>49163</v>
      </c>
      <c r="B3512" s="85">
        <v>2034</v>
      </c>
      <c r="C3512" s="85">
        <v>8</v>
      </c>
      <c r="D3512" s="85" t="s">
        <v>71</v>
      </c>
      <c r="E3512" s="85">
        <v>7</v>
      </c>
      <c r="F3512" s="85">
        <v>1</v>
      </c>
      <c r="G3512" s="85">
        <f>--(F3512&lt;=Estimator!$B$7)</f>
        <v>1</v>
      </c>
      <c r="H3512" s="86">
        <f>SUMIFS('Climate Data'!$G$7:$G$366,'Climate Data'!$A$7:$A$366,Estimator!$B$4,'Climate Data'!$B$7:$B$366,C3512)</f>
        <v>0.23548387096774193</v>
      </c>
      <c r="I3512" s="87">
        <f>SUMIFS('Climate Data'!$H$7:$H$366,'Climate Data'!$A$7:$A$366,Estimator!$B$4,'Climate Data'!$B$7:$B$366,C3512)</f>
        <v>7.9589041095890414</v>
      </c>
      <c r="J3512" s="86">
        <f>SUMIFS('Wind Proxy'!$H$8:$H$19,'Wind Proxy'!$A$8:$A$19,Estimator!$B$4,'Wind Proxy'!$B$8:$B$19,C3512)</f>
        <v>0</v>
      </c>
    </row>
    <row r="3513" spans="1:10" ht="14.4">
      <c r="A3513" s="84">
        <v>49164</v>
      </c>
      <c r="B3513" s="85">
        <v>2034</v>
      </c>
      <c r="C3513" s="85">
        <v>8</v>
      </c>
      <c r="D3513" s="85" t="s">
        <v>71</v>
      </c>
      <c r="E3513" s="85">
        <v>8</v>
      </c>
      <c r="F3513" s="85">
        <v>2</v>
      </c>
      <c r="G3513" s="85">
        <f>--(F3513&lt;=Estimator!$B$7)</f>
        <v>1</v>
      </c>
      <c r="H3513" s="86">
        <f>SUMIFS('Climate Data'!$G$7:$G$366,'Climate Data'!$A$7:$A$366,Estimator!$B$4,'Climate Data'!$B$7:$B$366,C3513)</f>
        <v>0.23548387096774193</v>
      </c>
      <c r="I3513" s="87">
        <f>SUMIFS('Climate Data'!$H$7:$H$366,'Climate Data'!$A$7:$A$366,Estimator!$B$4,'Climate Data'!$B$7:$B$366,C3513)</f>
        <v>7.9589041095890414</v>
      </c>
      <c r="J3513" s="86">
        <f>SUMIFS('Wind Proxy'!$H$8:$H$19,'Wind Proxy'!$A$8:$A$19,Estimator!$B$4,'Wind Proxy'!$B$8:$B$19,C3513)</f>
        <v>0</v>
      </c>
    </row>
    <row r="3514" spans="1:10" ht="14.4">
      <c r="A3514" s="84">
        <v>49165</v>
      </c>
      <c r="B3514" s="85">
        <v>2034</v>
      </c>
      <c r="C3514" s="85">
        <v>8</v>
      </c>
      <c r="D3514" s="85" t="s">
        <v>71</v>
      </c>
      <c r="E3514" s="85">
        <v>9</v>
      </c>
      <c r="F3514" s="85">
        <v>3</v>
      </c>
      <c r="G3514" s="85">
        <f>--(F3514&lt;=Estimator!$B$7)</f>
        <v>1</v>
      </c>
      <c r="H3514" s="86">
        <f>SUMIFS('Climate Data'!$G$7:$G$366,'Climate Data'!$A$7:$A$366,Estimator!$B$4,'Climate Data'!$B$7:$B$366,C3514)</f>
        <v>0.23548387096774193</v>
      </c>
      <c r="I3514" s="87">
        <f>SUMIFS('Climate Data'!$H$7:$H$366,'Climate Data'!$A$7:$A$366,Estimator!$B$4,'Climate Data'!$B$7:$B$366,C3514)</f>
        <v>7.9589041095890414</v>
      </c>
      <c r="J3514" s="86">
        <f>SUMIFS('Wind Proxy'!$H$8:$H$19,'Wind Proxy'!$A$8:$A$19,Estimator!$B$4,'Wind Proxy'!$B$8:$B$19,C3514)</f>
        <v>0</v>
      </c>
    </row>
    <row r="3515" spans="1:10" ht="14.4">
      <c r="A3515" s="84">
        <v>49166</v>
      </c>
      <c r="B3515" s="85">
        <v>2034</v>
      </c>
      <c r="C3515" s="85">
        <v>8</v>
      </c>
      <c r="D3515" s="85" t="s">
        <v>71</v>
      </c>
      <c r="E3515" s="85">
        <v>10</v>
      </c>
      <c r="F3515" s="85">
        <v>4</v>
      </c>
      <c r="G3515" s="85">
        <f>--(F3515&lt;=Estimator!$B$7)</f>
        <v>1</v>
      </c>
      <c r="H3515" s="86">
        <f>SUMIFS('Climate Data'!$G$7:$G$366,'Climate Data'!$A$7:$A$366,Estimator!$B$4,'Climate Data'!$B$7:$B$366,C3515)</f>
        <v>0.23548387096774193</v>
      </c>
      <c r="I3515" s="87">
        <f>SUMIFS('Climate Data'!$H$7:$H$366,'Climate Data'!$A$7:$A$366,Estimator!$B$4,'Climate Data'!$B$7:$B$366,C3515)</f>
        <v>7.9589041095890414</v>
      </c>
      <c r="J3515" s="86">
        <f>SUMIFS('Wind Proxy'!$H$8:$H$19,'Wind Proxy'!$A$8:$A$19,Estimator!$B$4,'Wind Proxy'!$B$8:$B$19,C3515)</f>
        <v>0</v>
      </c>
    </row>
    <row r="3516" spans="1:10" ht="14.4">
      <c r="A3516" s="84">
        <v>49167</v>
      </c>
      <c r="B3516" s="85">
        <v>2034</v>
      </c>
      <c r="C3516" s="85">
        <v>8</v>
      </c>
      <c r="D3516" s="85" t="s">
        <v>71</v>
      </c>
      <c r="E3516" s="85">
        <v>11</v>
      </c>
      <c r="F3516" s="85">
        <v>5</v>
      </c>
      <c r="G3516" s="85">
        <f>--(F3516&lt;=Estimator!$B$7)</f>
        <v>1</v>
      </c>
      <c r="H3516" s="86">
        <f>SUMIFS('Climate Data'!$G$7:$G$366,'Climate Data'!$A$7:$A$366,Estimator!$B$4,'Climate Data'!$B$7:$B$366,C3516)</f>
        <v>0.23548387096774193</v>
      </c>
      <c r="I3516" s="87">
        <f>SUMIFS('Climate Data'!$H$7:$H$366,'Climate Data'!$A$7:$A$366,Estimator!$B$4,'Climate Data'!$B$7:$B$366,C3516)</f>
        <v>7.9589041095890414</v>
      </c>
      <c r="J3516" s="86">
        <f>SUMIFS('Wind Proxy'!$H$8:$H$19,'Wind Proxy'!$A$8:$A$19,Estimator!$B$4,'Wind Proxy'!$B$8:$B$19,C3516)</f>
        <v>0</v>
      </c>
    </row>
    <row r="3517" spans="1:10" ht="14.4">
      <c r="A3517" s="84">
        <v>49168</v>
      </c>
      <c r="B3517" s="85">
        <v>2034</v>
      </c>
      <c r="C3517" s="85">
        <v>8</v>
      </c>
      <c r="D3517" s="85" t="s">
        <v>71</v>
      </c>
      <c r="E3517" s="85">
        <v>12</v>
      </c>
      <c r="F3517" s="85">
        <v>6</v>
      </c>
      <c r="G3517" s="85">
        <f>--(F3517&lt;=Estimator!$B$7)</f>
        <v>0</v>
      </c>
      <c r="H3517" s="86">
        <f>SUMIFS('Climate Data'!$G$7:$G$366,'Climate Data'!$A$7:$A$366,Estimator!$B$4,'Climate Data'!$B$7:$B$366,C3517)</f>
        <v>0.23548387096774193</v>
      </c>
      <c r="I3517" s="87">
        <f>SUMIFS('Climate Data'!$H$7:$H$366,'Climate Data'!$A$7:$A$366,Estimator!$B$4,'Climate Data'!$B$7:$B$366,C3517)</f>
        <v>7.9589041095890414</v>
      </c>
      <c r="J3517" s="86">
        <f>SUMIFS('Wind Proxy'!$H$8:$H$19,'Wind Proxy'!$A$8:$A$19,Estimator!$B$4,'Wind Proxy'!$B$8:$B$19,C3517)</f>
        <v>0</v>
      </c>
    </row>
    <row r="3518" spans="1:10" ht="14.4">
      <c r="A3518" s="84">
        <v>49169</v>
      </c>
      <c r="B3518" s="85">
        <v>2034</v>
      </c>
      <c r="C3518" s="85">
        <v>8</v>
      </c>
      <c r="D3518" s="85" t="s">
        <v>71</v>
      </c>
      <c r="E3518" s="85">
        <v>13</v>
      </c>
      <c r="F3518" s="85">
        <v>7</v>
      </c>
      <c r="G3518" s="85">
        <f>--(F3518&lt;=Estimator!$B$7)</f>
        <v>0</v>
      </c>
      <c r="H3518" s="86">
        <f>SUMIFS('Climate Data'!$G$7:$G$366,'Climate Data'!$A$7:$A$366,Estimator!$B$4,'Climate Data'!$B$7:$B$366,C3518)</f>
        <v>0.23548387096774193</v>
      </c>
      <c r="I3518" s="87">
        <f>SUMIFS('Climate Data'!$H$7:$H$366,'Climate Data'!$A$7:$A$366,Estimator!$B$4,'Climate Data'!$B$7:$B$366,C3518)</f>
        <v>7.9589041095890414</v>
      </c>
      <c r="J3518" s="86">
        <f>SUMIFS('Wind Proxy'!$H$8:$H$19,'Wind Proxy'!$A$8:$A$19,Estimator!$B$4,'Wind Proxy'!$B$8:$B$19,C3518)</f>
        <v>0</v>
      </c>
    </row>
    <row r="3519" spans="1:10" ht="14.4">
      <c r="A3519" s="84">
        <v>49170</v>
      </c>
      <c r="B3519" s="85">
        <v>2034</v>
      </c>
      <c r="C3519" s="85">
        <v>8</v>
      </c>
      <c r="D3519" s="85" t="s">
        <v>71</v>
      </c>
      <c r="E3519" s="85">
        <v>14</v>
      </c>
      <c r="F3519" s="85">
        <v>1</v>
      </c>
      <c r="G3519" s="85">
        <f>--(F3519&lt;=Estimator!$B$7)</f>
        <v>1</v>
      </c>
      <c r="H3519" s="86">
        <f>SUMIFS('Climate Data'!$G$7:$G$366,'Climate Data'!$A$7:$A$366,Estimator!$B$4,'Climate Data'!$B$7:$B$366,C3519)</f>
        <v>0.23548387096774193</v>
      </c>
      <c r="I3519" s="87">
        <f>SUMIFS('Climate Data'!$H$7:$H$366,'Climate Data'!$A$7:$A$366,Estimator!$B$4,'Climate Data'!$B$7:$B$366,C3519)</f>
        <v>7.9589041095890414</v>
      </c>
      <c r="J3519" s="86">
        <f>SUMIFS('Wind Proxy'!$H$8:$H$19,'Wind Proxy'!$A$8:$A$19,Estimator!$B$4,'Wind Proxy'!$B$8:$B$19,C3519)</f>
        <v>0</v>
      </c>
    </row>
    <row r="3520" spans="1:10" ht="14.4">
      <c r="A3520" s="84">
        <v>49171</v>
      </c>
      <c r="B3520" s="85">
        <v>2034</v>
      </c>
      <c r="C3520" s="85">
        <v>8</v>
      </c>
      <c r="D3520" s="85" t="s">
        <v>71</v>
      </c>
      <c r="E3520" s="85">
        <v>15</v>
      </c>
      <c r="F3520" s="85">
        <v>2</v>
      </c>
      <c r="G3520" s="85">
        <f>--(F3520&lt;=Estimator!$B$7)</f>
        <v>1</v>
      </c>
      <c r="H3520" s="86">
        <f>SUMIFS('Climate Data'!$G$7:$G$366,'Climate Data'!$A$7:$A$366,Estimator!$B$4,'Climate Data'!$B$7:$B$366,C3520)</f>
        <v>0.23548387096774193</v>
      </c>
      <c r="I3520" s="87">
        <f>SUMIFS('Climate Data'!$H$7:$H$366,'Climate Data'!$A$7:$A$366,Estimator!$B$4,'Climate Data'!$B$7:$B$366,C3520)</f>
        <v>7.9589041095890414</v>
      </c>
      <c r="J3520" s="86">
        <f>SUMIFS('Wind Proxy'!$H$8:$H$19,'Wind Proxy'!$A$8:$A$19,Estimator!$B$4,'Wind Proxy'!$B$8:$B$19,C3520)</f>
        <v>0</v>
      </c>
    </row>
    <row r="3521" spans="1:10" ht="14.4">
      <c r="A3521" s="84">
        <v>49172</v>
      </c>
      <c r="B3521" s="85">
        <v>2034</v>
      </c>
      <c r="C3521" s="85">
        <v>8</v>
      </c>
      <c r="D3521" s="85" t="s">
        <v>71</v>
      </c>
      <c r="E3521" s="85">
        <v>16</v>
      </c>
      <c r="F3521" s="85">
        <v>3</v>
      </c>
      <c r="G3521" s="85">
        <f>--(F3521&lt;=Estimator!$B$7)</f>
        <v>1</v>
      </c>
      <c r="H3521" s="86">
        <f>SUMIFS('Climate Data'!$G$7:$G$366,'Climate Data'!$A$7:$A$366,Estimator!$B$4,'Climate Data'!$B$7:$B$366,C3521)</f>
        <v>0.23548387096774193</v>
      </c>
      <c r="I3521" s="87">
        <f>SUMIFS('Climate Data'!$H$7:$H$366,'Climate Data'!$A$7:$A$366,Estimator!$B$4,'Climate Data'!$B$7:$B$366,C3521)</f>
        <v>7.9589041095890414</v>
      </c>
      <c r="J3521" s="86">
        <f>SUMIFS('Wind Proxy'!$H$8:$H$19,'Wind Proxy'!$A$8:$A$19,Estimator!$B$4,'Wind Proxy'!$B$8:$B$19,C3521)</f>
        <v>0</v>
      </c>
    </row>
    <row r="3522" spans="1:10" ht="14.4">
      <c r="A3522" s="84">
        <v>49173</v>
      </c>
      <c r="B3522" s="85">
        <v>2034</v>
      </c>
      <c r="C3522" s="85">
        <v>8</v>
      </c>
      <c r="D3522" s="85" t="s">
        <v>71</v>
      </c>
      <c r="E3522" s="85">
        <v>17</v>
      </c>
      <c r="F3522" s="85">
        <v>4</v>
      </c>
      <c r="G3522" s="85">
        <f>--(F3522&lt;=Estimator!$B$7)</f>
        <v>1</v>
      </c>
      <c r="H3522" s="86">
        <f>SUMIFS('Climate Data'!$G$7:$G$366,'Climate Data'!$A$7:$A$366,Estimator!$B$4,'Climate Data'!$B$7:$B$366,C3522)</f>
        <v>0.23548387096774193</v>
      </c>
      <c r="I3522" s="87">
        <f>SUMIFS('Climate Data'!$H$7:$H$366,'Climate Data'!$A$7:$A$366,Estimator!$B$4,'Climate Data'!$B$7:$B$366,C3522)</f>
        <v>7.9589041095890414</v>
      </c>
      <c r="J3522" s="86">
        <f>SUMIFS('Wind Proxy'!$H$8:$H$19,'Wind Proxy'!$A$8:$A$19,Estimator!$B$4,'Wind Proxy'!$B$8:$B$19,C3522)</f>
        <v>0</v>
      </c>
    </row>
    <row r="3523" spans="1:10" ht="14.4">
      <c r="A3523" s="84">
        <v>49174</v>
      </c>
      <c r="B3523" s="85">
        <v>2034</v>
      </c>
      <c r="C3523" s="85">
        <v>8</v>
      </c>
      <c r="D3523" s="85" t="s">
        <v>71</v>
      </c>
      <c r="E3523" s="85">
        <v>18</v>
      </c>
      <c r="F3523" s="85">
        <v>5</v>
      </c>
      <c r="G3523" s="85">
        <f>--(F3523&lt;=Estimator!$B$7)</f>
        <v>1</v>
      </c>
      <c r="H3523" s="86">
        <f>SUMIFS('Climate Data'!$G$7:$G$366,'Climate Data'!$A$7:$A$366,Estimator!$B$4,'Climate Data'!$B$7:$B$366,C3523)</f>
        <v>0.23548387096774193</v>
      </c>
      <c r="I3523" s="87">
        <f>SUMIFS('Climate Data'!$H$7:$H$366,'Climate Data'!$A$7:$A$366,Estimator!$B$4,'Climate Data'!$B$7:$B$366,C3523)</f>
        <v>7.9589041095890414</v>
      </c>
      <c r="J3523" s="86">
        <f>SUMIFS('Wind Proxy'!$H$8:$H$19,'Wind Proxy'!$A$8:$A$19,Estimator!$B$4,'Wind Proxy'!$B$8:$B$19,C3523)</f>
        <v>0</v>
      </c>
    </row>
    <row r="3524" spans="1:10" ht="14.4">
      <c r="A3524" s="84">
        <v>49175</v>
      </c>
      <c r="B3524" s="85">
        <v>2034</v>
      </c>
      <c r="C3524" s="85">
        <v>8</v>
      </c>
      <c r="D3524" s="85" t="s">
        <v>71</v>
      </c>
      <c r="E3524" s="85">
        <v>19</v>
      </c>
      <c r="F3524" s="85">
        <v>6</v>
      </c>
      <c r="G3524" s="85">
        <f>--(F3524&lt;=Estimator!$B$7)</f>
        <v>0</v>
      </c>
      <c r="H3524" s="86">
        <f>SUMIFS('Climate Data'!$G$7:$G$366,'Climate Data'!$A$7:$A$366,Estimator!$B$4,'Climate Data'!$B$7:$B$366,C3524)</f>
        <v>0.23548387096774193</v>
      </c>
      <c r="I3524" s="87">
        <f>SUMIFS('Climate Data'!$H$7:$H$366,'Climate Data'!$A$7:$A$366,Estimator!$B$4,'Climate Data'!$B$7:$B$366,C3524)</f>
        <v>7.9589041095890414</v>
      </c>
      <c r="J3524" s="86">
        <f>SUMIFS('Wind Proxy'!$H$8:$H$19,'Wind Proxy'!$A$8:$A$19,Estimator!$B$4,'Wind Proxy'!$B$8:$B$19,C3524)</f>
        <v>0</v>
      </c>
    </row>
    <row r="3525" spans="1:10" ht="14.4">
      <c r="A3525" s="84">
        <v>49176</v>
      </c>
      <c r="B3525" s="85">
        <v>2034</v>
      </c>
      <c r="C3525" s="85">
        <v>8</v>
      </c>
      <c r="D3525" s="85" t="s">
        <v>71</v>
      </c>
      <c r="E3525" s="85">
        <v>20</v>
      </c>
      <c r="F3525" s="85">
        <v>7</v>
      </c>
      <c r="G3525" s="85">
        <f>--(F3525&lt;=Estimator!$B$7)</f>
        <v>0</v>
      </c>
      <c r="H3525" s="86">
        <f>SUMIFS('Climate Data'!$G$7:$G$366,'Climate Data'!$A$7:$A$366,Estimator!$B$4,'Climate Data'!$B$7:$B$366,C3525)</f>
        <v>0.23548387096774193</v>
      </c>
      <c r="I3525" s="87">
        <f>SUMIFS('Climate Data'!$H$7:$H$366,'Climate Data'!$A$7:$A$366,Estimator!$B$4,'Climate Data'!$B$7:$B$366,C3525)</f>
        <v>7.9589041095890414</v>
      </c>
      <c r="J3525" s="86">
        <f>SUMIFS('Wind Proxy'!$H$8:$H$19,'Wind Proxy'!$A$8:$A$19,Estimator!$B$4,'Wind Proxy'!$B$8:$B$19,C3525)</f>
        <v>0</v>
      </c>
    </row>
    <row r="3526" spans="1:10" ht="14.4">
      <c r="A3526" s="84">
        <v>49177</v>
      </c>
      <c r="B3526" s="85">
        <v>2034</v>
      </c>
      <c r="C3526" s="85">
        <v>8</v>
      </c>
      <c r="D3526" s="85" t="s">
        <v>71</v>
      </c>
      <c r="E3526" s="85">
        <v>21</v>
      </c>
      <c r="F3526" s="85">
        <v>1</v>
      </c>
      <c r="G3526" s="85">
        <f>--(F3526&lt;=Estimator!$B$7)</f>
        <v>1</v>
      </c>
      <c r="H3526" s="86">
        <f>SUMIFS('Climate Data'!$G$7:$G$366,'Climate Data'!$A$7:$A$366,Estimator!$B$4,'Climate Data'!$B$7:$B$366,C3526)</f>
        <v>0.23548387096774193</v>
      </c>
      <c r="I3526" s="87">
        <f>SUMIFS('Climate Data'!$H$7:$H$366,'Climate Data'!$A$7:$A$366,Estimator!$B$4,'Climate Data'!$B$7:$B$366,C3526)</f>
        <v>7.9589041095890414</v>
      </c>
      <c r="J3526" s="86">
        <f>SUMIFS('Wind Proxy'!$H$8:$H$19,'Wind Proxy'!$A$8:$A$19,Estimator!$B$4,'Wind Proxy'!$B$8:$B$19,C3526)</f>
        <v>0</v>
      </c>
    </row>
    <row r="3527" spans="1:10" ht="14.4">
      <c r="A3527" s="84">
        <v>49178</v>
      </c>
      <c r="B3527" s="85">
        <v>2034</v>
      </c>
      <c r="C3527" s="85">
        <v>8</v>
      </c>
      <c r="D3527" s="85" t="s">
        <v>71</v>
      </c>
      <c r="E3527" s="85">
        <v>22</v>
      </c>
      <c r="F3527" s="85">
        <v>2</v>
      </c>
      <c r="G3527" s="85">
        <f>--(F3527&lt;=Estimator!$B$7)</f>
        <v>1</v>
      </c>
      <c r="H3527" s="86">
        <f>SUMIFS('Climate Data'!$G$7:$G$366,'Climate Data'!$A$7:$A$366,Estimator!$B$4,'Climate Data'!$B$7:$B$366,C3527)</f>
        <v>0.23548387096774193</v>
      </c>
      <c r="I3527" s="87">
        <f>SUMIFS('Climate Data'!$H$7:$H$366,'Climate Data'!$A$7:$A$366,Estimator!$B$4,'Climate Data'!$B$7:$B$366,C3527)</f>
        <v>7.9589041095890414</v>
      </c>
      <c r="J3527" s="86">
        <f>SUMIFS('Wind Proxy'!$H$8:$H$19,'Wind Proxy'!$A$8:$A$19,Estimator!$B$4,'Wind Proxy'!$B$8:$B$19,C3527)</f>
        <v>0</v>
      </c>
    </row>
    <row r="3528" spans="1:10" ht="14.4">
      <c r="A3528" s="84">
        <v>49179</v>
      </c>
      <c r="B3528" s="85">
        <v>2034</v>
      </c>
      <c r="C3528" s="85">
        <v>8</v>
      </c>
      <c r="D3528" s="85" t="s">
        <v>71</v>
      </c>
      <c r="E3528" s="85">
        <v>23</v>
      </c>
      <c r="F3528" s="85">
        <v>3</v>
      </c>
      <c r="G3528" s="85">
        <f>--(F3528&lt;=Estimator!$B$7)</f>
        <v>1</v>
      </c>
      <c r="H3528" s="86">
        <f>SUMIFS('Climate Data'!$G$7:$G$366,'Climate Data'!$A$7:$A$366,Estimator!$B$4,'Climate Data'!$B$7:$B$366,C3528)</f>
        <v>0.23548387096774193</v>
      </c>
      <c r="I3528" s="87">
        <f>SUMIFS('Climate Data'!$H$7:$H$366,'Climate Data'!$A$7:$A$366,Estimator!$B$4,'Climate Data'!$B$7:$B$366,C3528)</f>
        <v>7.9589041095890414</v>
      </c>
      <c r="J3528" s="86">
        <f>SUMIFS('Wind Proxy'!$H$8:$H$19,'Wind Proxy'!$A$8:$A$19,Estimator!$B$4,'Wind Proxy'!$B$8:$B$19,C3528)</f>
        <v>0</v>
      </c>
    </row>
    <row r="3529" spans="1:10" ht="14.4">
      <c r="A3529" s="84">
        <v>49180</v>
      </c>
      <c r="B3529" s="85">
        <v>2034</v>
      </c>
      <c r="C3529" s="85">
        <v>8</v>
      </c>
      <c r="D3529" s="85" t="s">
        <v>71</v>
      </c>
      <c r="E3529" s="85">
        <v>24</v>
      </c>
      <c r="F3529" s="85">
        <v>4</v>
      </c>
      <c r="G3529" s="85">
        <f>--(F3529&lt;=Estimator!$B$7)</f>
        <v>1</v>
      </c>
      <c r="H3529" s="86">
        <f>SUMIFS('Climate Data'!$G$7:$G$366,'Climate Data'!$A$7:$A$366,Estimator!$B$4,'Climate Data'!$B$7:$B$366,C3529)</f>
        <v>0.23548387096774193</v>
      </c>
      <c r="I3529" s="87">
        <f>SUMIFS('Climate Data'!$H$7:$H$366,'Climate Data'!$A$7:$A$366,Estimator!$B$4,'Climate Data'!$B$7:$B$366,C3529)</f>
        <v>7.9589041095890414</v>
      </c>
      <c r="J3529" s="86">
        <f>SUMIFS('Wind Proxy'!$H$8:$H$19,'Wind Proxy'!$A$8:$A$19,Estimator!$B$4,'Wind Proxy'!$B$8:$B$19,C3529)</f>
        <v>0</v>
      </c>
    </row>
    <row r="3530" spans="1:10" ht="14.4">
      <c r="A3530" s="84">
        <v>49181</v>
      </c>
      <c r="B3530" s="85">
        <v>2034</v>
      </c>
      <c r="C3530" s="85">
        <v>8</v>
      </c>
      <c r="D3530" s="85" t="s">
        <v>71</v>
      </c>
      <c r="E3530" s="85">
        <v>25</v>
      </c>
      <c r="F3530" s="85">
        <v>5</v>
      </c>
      <c r="G3530" s="85">
        <f>--(F3530&lt;=Estimator!$B$7)</f>
        <v>1</v>
      </c>
      <c r="H3530" s="86">
        <f>SUMIFS('Climate Data'!$G$7:$G$366,'Climate Data'!$A$7:$A$366,Estimator!$B$4,'Climate Data'!$B$7:$B$366,C3530)</f>
        <v>0.23548387096774193</v>
      </c>
      <c r="I3530" s="87">
        <f>SUMIFS('Climate Data'!$H$7:$H$366,'Climate Data'!$A$7:$A$366,Estimator!$B$4,'Climate Data'!$B$7:$B$366,C3530)</f>
        <v>7.9589041095890414</v>
      </c>
      <c r="J3530" s="86">
        <f>SUMIFS('Wind Proxy'!$H$8:$H$19,'Wind Proxy'!$A$8:$A$19,Estimator!$B$4,'Wind Proxy'!$B$8:$B$19,C3530)</f>
        <v>0</v>
      </c>
    </row>
    <row r="3531" spans="1:10" ht="14.4">
      <c r="A3531" s="84">
        <v>49182</v>
      </c>
      <c r="B3531" s="85">
        <v>2034</v>
      </c>
      <c r="C3531" s="85">
        <v>8</v>
      </c>
      <c r="D3531" s="85" t="s">
        <v>71</v>
      </c>
      <c r="E3531" s="85">
        <v>26</v>
      </c>
      <c r="F3531" s="85">
        <v>6</v>
      </c>
      <c r="G3531" s="85">
        <f>--(F3531&lt;=Estimator!$B$7)</f>
        <v>0</v>
      </c>
      <c r="H3531" s="86">
        <f>SUMIFS('Climate Data'!$G$7:$G$366,'Climate Data'!$A$7:$A$366,Estimator!$B$4,'Climate Data'!$B$7:$B$366,C3531)</f>
        <v>0.23548387096774193</v>
      </c>
      <c r="I3531" s="87">
        <f>SUMIFS('Climate Data'!$H$7:$H$366,'Climate Data'!$A$7:$A$366,Estimator!$B$4,'Climate Data'!$B$7:$B$366,C3531)</f>
        <v>7.9589041095890414</v>
      </c>
      <c r="J3531" s="86">
        <f>SUMIFS('Wind Proxy'!$H$8:$H$19,'Wind Proxy'!$A$8:$A$19,Estimator!$B$4,'Wind Proxy'!$B$8:$B$19,C3531)</f>
        <v>0</v>
      </c>
    </row>
    <row r="3532" spans="1:10" ht="14.4">
      <c r="A3532" s="84">
        <v>49183</v>
      </c>
      <c r="B3532" s="85">
        <v>2034</v>
      </c>
      <c r="C3532" s="85">
        <v>8</v>
      </c>
      <c r="D3532" s="85" t="s">
        <v>71</v>
      </c>
      <c r="E3532" s="85">
        <v>27</v>
      </c>
      <c r="F3532" s="85">
        <v>7</v>
      </c>
      <c r="G3532" s="85">
        <f>--(F3532&lt;=Estimator!$B$7)</f>
        <v>0</v>
      </c>
      <c r="H3532" s="86">
        <f>SUMIFS('Climate Data'!$G$7:$G$366,'Climate Data'!$A$7:$A$366,Estimator!$B$4,'Climate Data'!$B$7:$B$366,C3532)</f>
        <v>0.23548387096774193</v>
      </c>
      <c r="I3532" s="87">
        <f>SUMIFS('Climate Data'!$H$7:$H$366,'Climate Data'!$A$7:$A$366,Estimator!$B$4,'Climate Data'!$B$7:$B$366,C3532)</f>
        <v>7.9589041095890414</v>
      </c>
      <c r="J3532" s="86">
        <f>SUMIFS('Wind Proxy'!$H$8:$H$19,'Wind Proxy'!$A$8:$A$19,Estimator!$B$4,'Wind Proxy'!$B$8:$B$19,C3532)</f>
        <v>0</v>
      </c>
    </row>
    <row r="3533" spans="1:10" ht="14.4">
      <c r="A3533" s="84">
        <v>49184</v>
      </c>
      <c r="B3533" s="85">
        <v>2034</v>
      </c>
      <c r="C3533" s="85">
        <v>8</v>
      </c>
      <c r="D3533" s="85" t="s">
        <v>71</v>
      </c>
      <c r="E3533" s="85">
        <v>28</v>
      </c>
      <c r="F3533" s="85">
        <v>1</v>
      </c>
      <c r="G3533" s="85">
        <f>--(F3533&lt;=Estimator!$B$7)</f>
        <v>1</v>
      </c>
      <c r="H3533" s="86">
        <f>SUMIFS('Climate Data'!$G$7:$G$366,'Climate Data'!$A$7:$A$366,Estimator!$B$4,'Climate Data'!$B$7:$B$366,C3533)</f>
        <v>0.23548387096774193</v>
      </c>
      <c r="I3533" s="87">
        <f>SUMIFS('Climate Data'!$H$7:$H$366,'Climate Data'!$A$7:$A$366,Estimator!$B$4,'Climate Data'!$B$7:$B$366,C3533)</f>
        <v>7.9589041095890414</v>
      </c>
      <c r="J3533" s="86">
        <f>SUMIFS('Wind Proxy'!$H$8:$H$19,'Wind Proxy'!$A$8:$A$19,Estimator!$B$4,'Wind Proxy'!$B$8:$B$19,C3533)</f>
        <v>0</v>
      </c>
    </row>
    <row r="3534" spans="1:10" ht="14.4">
      <c r="A3534" s="84">
        <v>49185</v>
      </c>
      <c r="B3534" s="85">
        <v>2034</v>
      </c>
      <c r="C3534" s="85">
        <v>8</v>
      </c>
      <c r="D3534" s="85" t="s">
        <v>71</v>
      </c>
      <c r="E3534" s="85">
        <v>29</v>
      </c>
      <c r="F3534" s="85">
        <v>2</v>
      </c>
      <c r="G3534" s="85">
        <f>--(F3534&lt;=Estimator!$B$7)</f>
        <v>1</v>
      </c>
      <c r="H3534" s="86">
        <f>SUMIFS('Climate Data'!$G$7:$G$366,'Climate Data'!$A$7:$A$366,Estimator!$B$4,'Climate Data'!$B$7:$B$366,C3534)</f>
        <v>0.23548387096774193</v>
      </c>
      <c r="I3534" s="87">
        <f>SUMIFS('Climate Data'!$H$7:$H$366,'Climate Data'!$A$7:$A$366,Estimator!$B$4,'Climate Data'!$B$7:$B$366,C3534)</f>
        <v>7.9589041095890414</v>
      </c>
      <c r="J3534" s="86">
        <f>SUMIFS('Wind Proxy'!$H$8:$H$19,'Wind Proxy'!$A$8:$A$19,Estimator!$B$4,'Wind Proxy'!$B$8:$B$19,C3534)</f>
        <v>0</v>
      </c>
    </row>
    <row r="3535" spans="1:10" ht="14.4">
      <c r="A3535" s="84">
        <v>49186</v>
      </c>
      <c r="B3535" s="85">
        <v>2034</v>
      </c>
      <c r="C3535" s="85">
        <v>8</v>
      </c>
      <c r="D3535" s="85" t="s">
        <v>71</v>
      </c>
      <c r="E3535" s="85">
        <v>30</v>
      </c>
      <c r="F3535" s="85">
        <v>3</v>
      </c>
      <c r="G3535" s="85">
        <f>--(F3535&lt;=Estimator!$B$7)</f>
        <v>1</v>
      </c>
      <c r="H3535" s="86">
        <f>SUMIFS('Climate Data'!$G$7:$G$366,'Climate Data'!$A$7:$A$366,Estimator!$B$4,'Climate Data'!$B$7:$B$366,C3535)</f>
        <v>0.23548387096774193</v>
      </c>
      <c r="I3535" s="87">
        <f>SUMIFS('Climate Data'!$H$7:$H$366,'Climate Data'!$A$7:$A$366,Estimator!$B$4,'Climate Data'!$B$7:$B$366,C3535)</f>
        <v>7.9589041095890414</v>
      </c>
      <c r="J3535" s="86">
        <f>SUMIFS('Wind Proxy'!$H$8:$H$19,'Wind Proxy'!$A$8:$A$19,Estimator!$B$4,'Wind Proxy'!$B$8:$B$19,C3535)</f>
        <v>0</v>
      </c>
    </row>
    <row r="3536" spans="1:10" ht="14.4">
      <c r="A3536" s="84">
        <v>49187</v>
      </c>
      <c r="B3536" s="85">
        <v>2034</v>
      </c>
      <c r="C3536" s="85">
        <v>8</v>
      </c>
      <c r="D3536" s="85" t="s">
        <v>71</v>
      </c>
      <c r="E3536" s="85">
        <v>31</v>
      </c>
      <c r="F3536" s="85">
        <v>4</v>
      </c>
      <c r="G3536" s="85">
        <f>--(F3536&lt;=Estimator!$B$7)</f>
        <v>1</v>
      </c>
      <c r="H3536" s="86">
        <f>SUMIFS('Climate Data'!$G$7:$G$366,'Climate Data'!$A$7:$A$366,Estimator!$B$4,'Climate Data'!$B$7:$B$366,C3536)</f>
        <v>0.23548387096774193</v>
      </c>
      <c r="I3536" s="87">
        <f>SUMIFS('Climate Data'!$H$7:$H$366,'Climate Data'!$A$7:$A$366,Estimator!$B$4,'Climate Data'!$B$7:$B$366,C3536)</f>
        <v>7.9589041095890414</v>
      </c>
      <c r="J3536" s="86">
        <f>SUMIFS('Wind Proxy'!$H$8:$H$19,'Wind Proxy'!$A$8:$A$19,Estimator!$B$4,'Wind Proxy'!$B$8:$B$19,C3536)</f>
        <v>0</v>
      </c>
    </row>
    <row r="3537" spans="1:10" ht="14.4">
      <c r="A3537" s="84">
        <v>49188</v>
      </c>
      <c r="B3537" s="85">
        <v>2034</v>
      </c>
      <c r="C3537" s="85">
        <v>9</v>
      </c>
      <c r="D3537" s="85" t="s">
        <v>73</v>
      </c>
      <c r="E3537" s="85">
        <v>1</v>
      </c>
      <c r="F3537" s="85">
        <v>5</v>
      </c>
      <c r="G3537" s="85">
        <f>--(F3537&lt;=Estimator!$B$7)</f>
        <v>1</v>
      </c>
      <c r="H3537" s="86">
        <f>SUMIFS('Climate Data'!$G$7:$G$366,'Climate Data'!$A$7:$A$366,Estimator!$B$4,'Climate Data'!$B$7:$B$366,C3537)</f>
        <v>0.20666666666666667</v>
      </c>
      <c r="I3537" s="87">
        <f>SUMIFS('Climate Data'!$H$7:$H$366,'Climate Data'!$A$7:$A$366,Estimator!$B$4,'Climate Data'!$B$7:$B$366,C3537)</f>
        <v>6.806451612903226</v>
      </c>
      <c r="J3537" s="86">
        <f>SUMIFS('Wind Proxy'!$H$8:$H$19,'Wind Proxy'!$A$8:$A$19,Estimator!$B$4,'Wind Proxy'!$B$8:$B$19,C3537)</f>
        <v>0</v>
      </c>
    </row>
    <row r="3538" spans="1:10" ht="14.4">
      <c r="A3538" s="84">
        <v>49189</v>
      </c>
      <c r="B3538" s="85">
        <v>2034</v>
      </c>
      <c r="C3538" s="85">
        <v>9</v>
      </c>
      <c r="D3538" s="85" t="s">
        <v>73</v>
      </c>
      <c r="E3538" s="85">
        <v>2</v>
      </c>
      <c r="F3538" s="85">
        <v>6</v>
      </c>
      <c r="G3538" s="85">
        <f>--(F3538&lt;=Estimator!$B$7)</f>
        <v>0</v>
      </c>
      <c r="H3538" s="86">
        <f>SUMIFS('Climate Data'!$G$7:$G$366,'Climate Data'!$A$7:$A$366,Estimator!$B$4,'Climate Data'!$B$7:$B$366,C3538)</f>
        <v>0.20666666666666667</v>
      </c>
      <c r="I3538" s="87">
        <f>SUMIFS('Climate Data'!$H$7:$H$366,'Climate Data'!$A$7:$A$366,Estimator!$B$4,'Climate Data'!$B$7:$B$366,C3538)</f>
        <v>6.806451612903226</v>
      </c>
      <c r="J3538" s="86">
        <f>SUMIFS('Wind Proxy'!$H$8:$H$19,'Wind Proxy'!$A$8:$A$19,Estimator!$B$4,'Wind Proxy'!$B$8:$B$19,C3538)</f>
        <v>0</v>
      </c>
    </row>
    <row r="3539" spans="1:10" ht="14.4">
      <c r="A3539" s="84">
        <v>49190</v>
      </c>
      <c r="B3539" s="85">
        <v>2034</v>
      </c>
      <c r="C3539" s="85">
        <v>9</v>
      </c>
      <c r="D3539" s="85" t="s">
        <v>73</v>
      </c>
      <c r="E3539" s="85">
        <v>3</v>
      </c>
      <c r="F3539" s="85">
        <v>7</v>
      </c>
      <c r="G3539" s="85">
        <f>--(F3539&lt;=Estimator!$B$7)</f>
        <v>0</v>
      </c>
      <c r="H3539" s="86">
        <f>SUMIFS('Climate Data'!$G$7:$G$366,'Climate Data'!$A$7:$A$366,Estimator!$B$4,'Climate Data'!$B$7:$B$366,C3539)</f>
        <v>0.20666666666666667</v>
      </c>
      <c r="I3539" s="87">
        <f>SUMIFS('Climate Data'!$H$7:$H$366,'Climate Data'!$A$7:$A$366,Estimator!$B$4,'Climate Data'!$B$7:$B$366,C3539)</f>
        <v>6.806451612903226</v>
      </c>
      <c r="J3539" s="86">
        <f>SUMIFS('Wind Proxy'!$H$8:$H$19,'Wind Proxy'!$A$8:$A$19,Estimator!$B$4,'Wind Proxy'!$B$8:$B$19,C3539)</f>
        <v>0</v>
      </c>
    </row>
    <row r="3540" spans="1:10" ht="14.4">
      <c r="A3540" s="84">
        <v>49191</v>
      </c>
      <c r="B3540" s="85">
        <v>2034</v>
      </c>
      <c r="C3540" s="85">
        <v>9</v>
      </c>
      <c r="D3540" s="85" t="s">
        <v>73</v>
      </c>
      <c r="E3540" s="85">
        <v>4</v>
      </c>
      <c r="F3540" s="85">
        <v>1</v>
      </c>
      <c r="G3540" s="85">
        <f>--(F3540&lt;=Estimator!$B$7)</f>
        <v>1</v>
      </c>
      <c r="H3540" s="86">
        <f>SUMIFS('Climate Data'!$G$7:$G$366,'Climate Data'!$A$7:$A$366,Estimator!$B$4,'Climate Data'!$B$7:$B$366,C3540)</f>
        <v>0.20666666666666667</v>
      </c>
      <c r="I3540" s="87">
        <f>SUMIFS('Climate Data'!$H$7:$H$366,'Climate Data'!$A$7:$A$366,Estimator!$B$4,'Climate Data'!$B$7:$B$366,C3540)</f>
        <v>6.806451612903226</v>
      </c>
      <c r="J3540" s="86">
        <f>SUMIFS('Wind Proxy'!$H$8:$H$19,'Wind Proxy'!$A$8:$A$19,Estimator!$B$4,'Wind Proxy'!$B$8:$B$19,C3540)</f>
        <v>0</v>
      </c>
    </row>
    <row r="3541" spans="1:10" ht="14.4">
      <c r="A3541" s="84">
        <v>49192</v>
      </c>
      <c r="B3541" s="85">
        <v>2034</v>
      </c>
      <c r="C3541" s="85">
        <v>9</v>
      </c>
      <c r="D3541" s="85" t="s">
        <v>73</v>
      </c>
      <c r="E3541" s="85">
        <v>5</v>
      </c>
      <c r="F3541" s="85">
        <v>2</v>
      </c>
      <c r="G3541" s="85">
        <f>--(F3541&lt;=Estimator!$B$7)</f>
        <v>1</v>
      </c>
      <c r="H3541" s="86">
        <f>SUMIFS('Climate Data'!$G$7:$G$366,'Climate Data'!$A$7:$A$366,Estimator!$B$4,'Climate Data'!$B$7:$B$366,C3541)</f>
        <v>0.20666666666666667</v>
      </c>
      <c r="I3541" s="87">
        <f>SUMIFS('Climate Data'!$H$7:$H$366,'Climate Data'!$A$7:$A$366,Estimator!$B$4,'Climate Data'!$B$7:$B$366,C3541)</f>
        <v>6.806451612903226</v>
      </c>
      <c r="J3541" s="86">
        <f>SUMIFS('Wind Proxy'!$H$8:$H$19,'Wind Proxy'!$A$8:$A$19,Estimator!$B$4,'Wind Proxy'!$B$8:$B$19,C3541)</f>
        <v>0</v>
      </c>
    </row>
    <row r="3542" spans="1:10" ht="14.4">
      <c r="A3542" s="84">
        <v>49193</v>
      </c>
      <c r="B3542" s="85">
        <v>2034</v>
      </c>
      <c r="C3542" s="85">
        <v>9</v>
      </c>
      <c r="D3542" s="85" t="s">
        <v>73</v>
      </c>
      <c r="E3542" s="85">
        <v>6</v>
      </c>
      <c r="F3542" s="85">
        <v>3</v>
      </c>
      <c r="G3542" s="85">
        <f>--(F3542&lt;=Estimator!$B$7)</f>
        <v>1</v>
      </c>
      <c r="H3542" s="86">
        <f>SUMIFS('Climate Data'!$G$7:$G$366,'Climate Data'!$A$7:$A$366,Estimator!$B$4,'Climate Data'!$B$7:$B$366,C3542)</f>
        <v>0.20666666666666667</v>
      </c>
      <c r="I3542" s="87">
        <f>SUMIFS('Climate Data'!$H$7:$H$366,'Climate Data'!$A$7:$A$366,Estimator!$B$4,'Climate Data'!$B$7:$B$366,C3542)</f>
        <v>6.806451612903226</v>
      </c>
      <c r="J3542" s="86">
        <f>SUMIFS('Wind Proxy'!$H$8:$H$19,'Wind Proxy'!$A$8:$A$19,Estimator!$B$4,'Wind Proxy'!$B$8:$B$19,C3542)</f>
        <v>0</v>
      </c>
    </row>
    <row r="3543" spans="1:10" ht="14.4">
      <c r="A3543" s="84">
        <v>49194</v>
      </c>
      <c r="B3543" s="85">
        <v>2034</v>
      </c>
      <c r="C3543" s="85">
        <v>9</v>
      </c>
      <c r="D3543" s="85" t="s">
        <v>73</v>
      </c>
      <c r="E3543" s="85">
        <v>7</v>
      </c>
      <c r="F3543" s="85">
        <v>4</v>
      </c>
      <c r="G3543" s="85">
        <f>--(F3543&lt;=Estimator!$B$7)</f>
        <v>1</v>
      </c>
      <c r="H3543" s="86">
        <f>SUMIFS('Climate Data'!$G$7:$G$366,'Climate Data'!$A$7:$A$366,Estimator!$B$4,'Climate Data'!$B$7:$B$366,C3543)</f>
        <v>0.20666666666666667</v>
      </c>
      <c r="I3543" s="87">
        <f>SUMIFS('Climate Data'!$H$7:$H$366,'Climate Data'!$A$7:$A$366,Estimator!$B$4,'Climate Data'!$B$7:$B$366,C3543)</f>
        <v>6.806451612903226</v>
      </c>
      <c r="J3543" s="86">
        <f>SUMIFS('Wind Proxy'!$H$8:$H$19,'Wind Proxy'!$A$8:$A$19,Estimator!$B$4,'Wind Proxy'!$B$8:$B$19,C3543)</f>
        <v>0</v>
      </c>
    </row>
    <row r="3544" spans="1:10" ht="14.4">
      <c r="A3544" s="84">
        <v>49195</v>
      </c>
      <c r="B3544" s="85">
        <v>2034</v>
      </c>
      <c r="C3544" s="85">
        <v>9</v>
      </c>
      <c r="D3544" s="85" t="s">
        <v>73</v>
      </c>
      <c r="E3544" s="85">
        <v>8</v>
      </c>
      <c r="F3544" s="85">
        <v>5</v>
      </c>
      <c r="G3544" s="85">
        <f>--(F3544&lt;=Estimator!$B$7)</f>
        <v>1</v>
      </c>
      <c r="H3544" s="86">
        <f>SUMIFS('Climate Data'!$G$7:$G$366,'Climate Data'!$A$7:$A$366,Estimator!$B$4,'Climate Data'!$B$7:$B$366,C3544)</f>
        <v>0.20666666666666667</v>
      </c>
      <c r="I3544" s="87">
        <f>SUMIFS('Climate Data'!$H$7:$H$366,'Climate Data'!$A$7:$A$366,Estimator!$B$4,'Climate Data'!$B$7:$B$366,C3544)</f>
        <v>6.806451612903226</v>
      </c>
      <c r="J3544" s="86">
        <f>SUMIFS('Wind Proxy'!$H$8:$H$19,'Wind Proxy'!$A$8:$A$19,Estimator!$B$4,'Wind Proxy'!$B$8:$B$19,C3544)</f>
        <v>0</v>
      </c>
    </row>
    <row r="3545" spans="1:10" ht="14.4">
      <c r="A3545" s="84">
        <v>49196</v>
      </c>
      <c r="B3545" s="85">
        <v>2034</v>
      </c>
      <c r="C3545" s="85">
        <v>9</v>
      </c>
      <c r="D3545" s="85" t="s">
        <v>73</v>
      </c>
      <c r="E3545" s="85">
        <v>9</v>
      </c>
      <c r="F3545" s="85">
        <v>6</v>
      </c>
      <c r="G3545" s="85">
        <f>--(F3545&lt;=Estimator!$B$7)</f>
        <v>0</v>
      </c>
      <c r="H3545" s="86">
        <f>SUMIFS('Climate Data'!$G$7:$G$366,'Climate Data'!$A$7:$A$366,Estimator!$B$4,'Climate Data'!$B$7:$B$366,C3545)</f>
        <v>0.20666666666666667</v>
      </c>
      <c r="I3545" s="87">
        <f>SUMIFS('Climate Data'!$H$7:$H$366,'Climate Data'!$A$7:$A$366,Estimator!$B$4,'Climate Data'!$B$7:$B$366,C3545)</f>
        <v>6.806451612903226</v>
      </c>
      <c r="J3545" s="86">
        <f>SUMIFS('Wind Proxy'!$H$8:$H$19,'Wind Proxy'!$A$8:$A$19,Estimator!$B$4,'Wind Proxy'!$B$8:$B$19,C3545)</f>
        <v>0</v>
      </c>
    </row>
    <row r="3546" spans="1:10" ht="14.4">
      <c r="A3546" s="84">
        <v>49197</v>
      </c>
      <c r="B3546" s="85">
        <v>2034</v>
      </c>
      <c r="C3546" s="85">
        <v>9</v>
      </c>
      <c r="D3546" s="85" t="s">
        <v>73</v>
      </c>
      <c r="E3546" s="85">
        <v>10</v>
      </c>
      <c r="F3546" s="85">
        <v>7</v>
      </c>
      <c r="G3546" s="85">
        <f>--(F3546&lt;=Estimator!$B$7)</f>
        <v>0</v>
      </c>
      <c r="H3546" s="86">
        <f>SUMIFS('Climate Data'!$G$7:$G$366,'Climate Data'!$A$7:$A$366,Estimator!$B$4,'Climate Data'!$B$7:$B$366,C3546)</f>
        <v>0.20666666666666667</v>
      </c>
      <c r="I3546" s="87">
        <f>SUMIFS('Climate Data'!$H$7:$H$366,'Climate Data'!$A$7:$A$366,Estimator!$B$4,'Climate Data'!$B$7:$B$366,C3546)</f>
        <v>6.806451612903226</v>
      </c>
      <c r="J3546" s="86">
        <f>SUMIFS('Wind Proxy'!$H$8:$H$19,'Wind Proxy'!$A$8:$A$19,Estimator!$B$4,'Wind Proxy'!$B$8:$B$19,C3546)</f>
        <v>0</v>
      </c>
    </row>
    <row r="3547" spans="1:10" ht="14.4">
      <c r="A3547" s="84">
        <v>49198</v>
      </c>
      <c r="B3547" s="85">
        <v>2034</v>
      </c>
      <c r="C3547" s="85">
        <v>9</v>
      </c>
      <c r="D3547" s="85" t="s">
        <v>73</v>
      </c>
      <c r="E3547" s="85">
        <v>11</v>
      </c>
      <c r="F3547" s="85">
        <v>1</v>
      </c>
      <c r="G3547" s="85">
        <f>--(F3547&lt;=Estimator!$B$7)</f>
        <v>1</v>
      </c>
      <c r="H3547" s="86">
        <f>SUMIFS('Climate Data'!$G$7:$G$366,'Climate Data'!$A$7:$A$366,Estimator!$B$4,'Climate Data'!$B$7:$B$366,C3547)</f>
        <v>0.20666666666666667</v>
      </c>
      <c r="I3547" s="87">
        <f>SUMIFS('Climate Data'!$H$7:$H$366,'Climate Data'!$A$7:$A$366,Estimator!$B$4,'Climate Data'!$B$7:$B$366,C3547)</f>
        <v>6.806451612903226</v>
      </c>
      <c r="J3547" s="86">
        <f>SUMIFS('Wind Proxy'!$H$8:$H$19,'Wind Proxy'!$A$8:$A$19,Estimator!$B$4,'Wind Proxy'!$B$8:$B$19,C3547)</f>
        <v>0</v>
      </c>
    </row>
    <row r="3548" spans="1:10" ht="14.4">
      <c r="A3548" s="84">
        <v>49199</v>
      </c>
      <c r="B3548" s="85">
        <v>2034</v>
      </c>
      <c r="C3548" s="85">
        <v>9</v>
      </c>
      <c r="D3548" s="85" t="s">
        <v>73</v>
      </c>
      <c r="E3548" s="85">
        <v>12</v>
      </c>
      <c r="F3548" s="85">
        <v>2</v>
      </c>
      <c r="G3548" s="85">
        <f>--(F3548&lt;=Estimator!$B$7)</f>
        <v>1</v>
      </c>
      <c r="H3548" s="86">
        <f>SUMIFS('Climate Data'!$G$7:$G$366,'Climate Data'!$A$7:$A$366,Estimator!$B$4,'Climate Data'!$B$7:$B$366,C3548)</f>
        <v>0.20666666666666667</v>
      </c>
      <c r="I3548" s="87">
        <f>SUMIFS('Climate Data'!$H$7:$H$366,'Climate Data'!$A$7:$A$366,Estimator!$B$4,'Climate Data'!$B$7:$B$366,C3548)</f>
        <v>6.806451612903226</v>
      </c>
      <c r="J3548" s="86">
        <f>SUMIFS('Wind Proxy'!$H$8:$H$19,'Wind Proxy'!$A$8:$A$19,Estimator!$B$4,'Wind Proxy'!$B$8:$B$19,C3548)</f>
        <v>0</v>
      </c>
    </row>
    <row r="3549" spans="1:10" ht="14.4">
      <c r="A3549" s="84">
        <v>49200</v>
      </c>
      <c r="B3549" s="85">
        <v>2034</v>
      </c>
      <c r="C3549" s="85">
        <v>9</v>
      </c>
      <c r="D3549" s="85" t="s">
        <v>73</v>
      </c>
      <c r="E3549" s="85">
        <v>13</v>
      </c>
      <c r="F3549" s="85">
        <v>3</v>
      </c>
      <c r="G3549" s="85">
        <f>--(F3549&lt;=Estimator!$B$7)</f>
        <v>1</v>
      </c>
      <c r="H3549" s="86">
        <f>SUMIFS('Climate Data'!$G$7:$G$366,'Climate Data'!$A$7:$A$366,Estimator!$B$4,'Climate Data'!$B$7:$B$366,C3549)</f>
        <v>0.20666666666666667</v>
      </c>
      <c r="I3549" s="87">
        <f>SUMIFS('Climate Data'!$H$7:$H$366,'Climate Data'!$A$7:$A$366,Estimator!$B$4,'Climate Data'!$B$7:$B$366,C3549)</f>
        <v>6.806451612903226</v>
      </c>
      <c r="J3549" s="86">
        <f>SUMIFS('Wind Proxy'!$H$8:$H$19,'Wind Proxy'!$A$8:$A$19,Estimator!$B$4,'Wind Proxy'!$B$8:$B$19,C3549)</f>
        <v>0</v>
      </c>
    </row>
    <row r="3550" spans="1:10" ht="14.4">
      <c r="A3550" s="84">
        <v>49201</v>
      </c>
      <c r="B3550" s="85">
        <v>2034</v>
      </c>
      <c r="C3550" s="85">
        <v>9</v>
      </c>
      <c r="D3550" s="85" t="s">
        <v>73</v>
      </c>
      <c r="E3550" s="85">
        <v>14</v>
      </c>
      <c r="F3550" s="85">
        <v>4</v>
      </c>
      <c r="G3550" s="85">
        <f>--(F3550&lt;=Estimator!$B$7)</f>
        <v>1</v>
      </c>
      <c r="H3550" s="86">
        <f>SUMIFS('Climate Data'!$G$7:$G$366,'Climate Data'!$A$7:$A$366,Estimator!$B$4,'Climate Data'!$B$7:$B$366,C3550)</f>
        <v>0.20666666666666667</v>
      </c>
      <c r="I3550" s="87">
        <f>SUMIFS('Climate Data'!$H$7:$H$366,'Climate Data'!$A$7:$A$366,Estimator!$B$4,'Climate Data'!$B$7:$B$366,C3550)</f>
        <v>6.806451612903226</v>
      </c>
      <c r="J3550" s="86">
        <f>SUMIFS('Wind Proxy'!$H$8:$H$19,'Wind Proxy'!$A$8:$A$19,Estimator!$B$4,'Wind Proxy'!$B$8:$B$19,C3550)</f>
        <v>0</v>
      </c>
    </row>
    <row r="3551" spans="1:10" ht="14.4">
      <c r="A3551" s="84">
        <v>49202</v>
      </c>
      <c r="B3551" s="85">
        <v>2034</v>
      </c>
      <c r="C3551" s="85">
        <v>9</v>
      </c>
      <c r="D3551" s="85" t="s">
        <v>73</v>
      </c>
      <c r="E3551" s="85">
        <v>15</v>
      </c>
      <c r="F3551" s="85">
        <v>5</v>
      </c>
      <c r="G3551" s="85">
        <f>--(F3551&lt;=Estimator!$B$7)</f>
        <v>1</v>
      </c>
      <c r="H3551" s="86">
        <f>SUMIFS('Climate Data'!$G$7:$G$366,'Climate Data'!$A$7:$A$366,Estimator!$B$4,'Climate Data'!$B$7:$B$366,C3551)</f>
        <v>0.20666666666666667</v>
      </c>
      <c r="I3551" s="87">
        <f>SUMIFS('Climate Data'!$H$7:$H$366,'Climate Data'!$A$7:$A$366,Estimator!$B$4,'Climate Data'!$B$7:$B$366,C3551)</f>
        <v>6.806451612903226</v>
      </c>
      <c r="J3551" s="86">
        <f>SUMIFS('Wind Proxy'!$H$8:$H$19,'Wind Proxy'!$A$8:$A$19,Estimator!$B$4,'Wind Proxy'!$B$8:$B$19,C3551)</f>
        <v>0</v>
      </c>
    </row>
    <row r="3552" spans="1:10" ht="14.4">
      <c r="A3552" s="84">
        <v>49203</v>
      </c>
      <c r="B3552" s="85">
        <v>2034</v>
      </c>
      <c r="C3552" s="85">
        <v>9</v>
      </c>
      <c r="D3552" s="85" t="s">
        <v>73</v>
      </c>
      <c r="E3552" s="85">
        <v>16</v>
      </c>
      <c r="F3552" s="85">
        <v>6</v>
      </c>
      <c r="G3552" s="85">
        <f>--(F3552&lt;=Estimator!$B$7)</f>
        <v>0</v>
      </c>
      <c r="H3552" s="86">
        <f>SUMIFS('Climate Data'!$G$7:$G$366,'Climate Data'!$A$7:$A$366,Estimator!$B$4,'Climate Data'!$B$7:$B$366,C3552)</f>
        <v>0.20666666666666667</v>
      </c>
      <c r="I3552" s="87">
        <f>SUMIFS('Climate Data'!$H$7:$H$366,'Climate Data'!$A$7:$A$366,Estimator!$B$4,'Climate Data'!$B$7:$B$366,C3552)</f>
        <v>6.806451612903226</v>
      </c>
      <c r="J3552" s="86">
        <f>SUMIFS('Wind Proxy'!$H$8:$H$19,'Wind Proxy'!$A$8:$A$19,Estimator!$B$4,'Wind Proxy'!$B$8:$B$19,C3552)</f>
        <v>0</v>
      </c>
    </row>
    <row r="3553" spans="1:10" ht="14.4">
      <c r="A3553" s="84">
        <v>49204</v>
      </c>
      <c r="B3553" s="85">
        <v>2034</v>
      </c>
      <c r="C3553" s="85">
        <v>9</v>
      </c>
      <c r="D3553" s="85" t="s">
        <v>73</v>
      </c>
      <c r="E3553" s="85">
        <v>17</v>
      </c>
      <c r="F3553" s="85">
        <v>7</v>
      </c>
      <c r="G3553" s="85">
        <f>--(F3553&lt;=Estimator!$B$7)</f>
        <v>0</v>
      </c>
      <c r="H3553" s="86">
        <f>SUMIFS('Climate Data'!$G$7:$G$366,'Climate Data'!$A$7:$A$366,Estimator!$B$4,'Climate Data'!$B$7:$B$366,C3553)</f>
        <v>0.20666666666666667</v>
      </c>
      <c r="I3553" s="87">
        <f>SUMIFS('Climate Data'!$H$7:$H$366,'Climate Data'!$A$7:$A$366,Estimator!$B$4,'Climate Data'!$B$7:$B$366,C3553)</f>
        <v>6.806451612903226</v>
      </c>
      <c r="J3553" s="86">
        <f>SUMIFS('Wind Proxy'!$H$8:$H$19,'Wind Proxy'!$A$8:$A$19,Estimator!$B$4,'Wind Proxy'!$B$8:$B$19,C3553)</f>
        <v>0</v>
      </c>
    </row>
    <row r="3554" spans="1:10" ht="14.4">
      <c r="A3554" s="84">
        <v>49205</v>
      </c>
      <c r="B3554" s="85">
        <v>2034</v>
      </c>
      <c r="C3554" s="85">
        <v>9</v>
      </c>
      <c r="D3554" s="85" t="s">
        <v>73</v>
      </c>
      <c r="E3554" s="85">
        <v>18</v>
      </c>
      <c r="F3554" s="85">
        <v>1</v>
      </c>
      <c r="G3554" s="85">
        <f>--(F3554&lt;=Estimator!$B$7)</f>
        <v>1</v>
      </c>
      <c r="H3554" s="86">
        <f>SUMIFS('Climate Data'!$G$7:$G$366,'Climate Data'!$A$7:$A$366,Estimator!$B$4,'Climate Data'!$B$7:$B$366,C3554)</f>
        <v>0.20666666666666667</v>
      </c>
      <c r="I3554" s="87">
        <f>SUMIFS('Climate Data'!$H$7:$H$366,'Climate Data'!$A$7:$A$366,Estimator!$B$4,'Climate Data'!$B$7:$B$366,C3554)</f>
        <v>6.806451612903226</v>
      </c>
      <c r="J3554" s="86">
        <f>SUMIFS('Wind Proxy'!$H$8:$H$19,'Wind Proxy'!$A$8:$A$19,Estimator!$B$4,'Wind Proxy'!$B$8:$B$19,C3554)</f>
        <v>0</v>
      </c>
    </row>
    <row r="3555" spans="1:10" ht="14.4">
      <c r="A3555" s="84">
        <v>49206</v>
      </c>
      <c r="B3555" s="85">
        <v>2034</v>
      </c>
      <c r="C3555" s="85">
        <v>9</v>
      </c>
      <c r="D3555" s="85" t="s">
        <v>73</v>
      </c>
      <c r="E3555" s="85">
        <v>19</v>
      </c>
      <c r="F3555" s="85">
        <v>2</v>
      </c>
      <c r="G3555" s="85">
        <f>--(F3555&lt;=Estimator!$B$7)</f>
        <v>1</v>
      </c>
      <c r="H3555" s="86">
        <f>SUMIFS('Climate Data'!$G$7:$G$366,'Climate Data'!$A$7:$A$366,Estimator!$B$4,'Climate Data'!$B$7:$B$366,C3555)</f>
        <v>0.20666666666666667</v>
      </c>
      <c r="I3555" s="87">
        <f>SUMIFS('Climate Data'!$H$7:$H$366,'Climate Data'!$A$7:$A$366,Estimator!$B$4,'Climate Data'!$B$7:$B$366,C3555)</f>
        <v>6.806451612903226</v>
      </c>
      <c r="J3555" s="86">
        <f>SUMIFS('Wind Proxy'!$H$8:$H$19,'Wind Proxy'!$A$8:$A$19,Estimator!$B$4,'Wind Proxy'!$B$8:$B$19,C3555)</f>
        <v>0</v>
      </c>
    </row>
    <row r="3556" spans="1:10" ht="14.4">
      <c r="A3556" s="84">
        <v>49207</v>
      </c>
      <c r="B3556" s="85">
        <v>2034</v>
      </c>
      <c r="C3556" s="85">
        <v>9</v>
      </c>
      <c r="D3556" s="85" t="s">
        <v>73</v>
      </c>
      <c r="E3556" s="85">
        <v>20</v>
      </c>
      <c r="F3556" s="85">
        <v>3</v>
      </c>
      <c r="G3556" s="85">
        <f>--(F3556&lt;=Estimator!$B$7)</f>
        <v>1</v>
      </c>
      <c r="H3556" s="86">
        <f>SUMIFS('Climate Data'!$G$7:$G$366,'Climate Data'!$A$7:$A$366,Estimator!$B$4,'Climate Data'!$B$7:$B$366,C3556)</f>
        <v>0.20666666666666667</v>
      </c>
      <c r="I3556" s="87">
        <f>SUMIFS('Climate Data'!$H$7:$H$366,'Climate Data'!$A$7:$A$366,Estimator!$B$4,'Climate Data'!$B$7:$B$366,C3556)</f>
        <v>6.806451612903226</v>
      </c>
      <c r="J3556" s="86">
        <f>SUMIFS('Wind Proxy'!$H$8:$H$19,'Wind Proxy'!$A$8:$A$19,Estimator!$B$4,'Wind Proxy'!$B$8:$B$19,C3556)</f>
        <v>0</v>
      </c>
    </row>
    <row r="3557" spans="1:10" ht="14.4">
      <c r="A3557" s="84">
        <v>49208</v>
      </c>
      <c r="B3557" s="85">
        <v>2034</v>
      </c>
      <c r="C3557" s="85">
        <v>9</v>
      </c>
      <c r="D3557" s="85" t="s">
        <v>73</v>
      </c>
      <c r="E3557" s="85">
        <v>21</v>
      </c>
      <c r="F3557" s="85">
        <v>4</v>
      </c>
      <c r="G3557" s="85">
        <f>--(F3557&lt;=Estimator!$B$7)</f>
        <v>1</v>
      </c>
      <c r="H3557" s="86">
        <f>SUMIFS('Climate Data'!$G$7:$G$366,'Climate Data'!$A$7:$A$366,Estimator!$B$4,'Climate Data'!$B$7:$B$366,C3557)</f>
        <v>0.20666666666666667</v>
      </c>
      <c r="I3557" s="87">
        <f>SUMIFS('Climate Data'!$H$7:$H$366,'Climate Data'!$A$7:$A$366,Estimator!$B$4,'Climate Data'!$B$7:$B$366,C3557)</f>
        <v>6.806451612903226</v>
      </c>
      <c r="J3557" s="86">
        <f>SUMIFS('Wind Proxy'!$H$8:$H$19,'Wind Proxy'!$A$8:$A$19,Estimator!$B$4,'Wind Proxy'!$B$8:$B$19,C3557)</f>
        <v>0</v>
      </c>
    </row>
    <row r="3558" spans="1:10" ht="14.4">
      <c r="A3558" s="84">
        <v>49209</v>
      </c>
      <c r="B3558" s="85">
        <v>2034</v>
      </c>
      <c r="C3558" s="85">
        <v>9</v>
      </c>
      <c r="D3558" s="85" t="s">
        <v>73</v>
      </c>
      <c r="E3558" s="85">
        <v>22</v>
      </c>
      <c r="F3558" s="85">
        <v>5</v>
      </c>
      <c r="G3558" s="85">
        <f>--(F3558&lt;=Estimator!$B$7)</f>
        <v>1</v>
      </c>
      <c r="H3558" s="86">
        <f>SUMIFS('Climate Data'!$G$7:$G$366,'Climate Data'!$A$7:$A$366,Estimator!$B$4,'Climate Data'!$B$7:$B$366,C3558)</f>
        <v>0.20666666666666667</v>
      </c>
      <c r="I3558" s="87">
        <f>SUMIFS('Climate Data'!$H$7:$H$366,'Climate Data'!$A$7:$A$366,Estimator!$B$4,'Climate Data'!$B$7:$B$366,C3558)</f>
        <v>6.806451612903226</v>
      </c>
      <c r="J3558" s="86">
        <f>SUMIFS('Wind Proxy'!$H$8:$H$19,'Wind Proxy'!$A$8:$A$19,Estimator!$B$4,'Wind Proxy'!$B$8:$B$19,C3558)</f>
        <v>0</v>
      </c>
    </row>
    <row r="3559" spans="1:10" ht="14.4">
      <c r="A3559" s="84">
        <v>49210</v>
      </c>
      <c r="B3559" s="85">
        <v>2034</v>
      </c>
      <c r="C3559" s="85">
        <v>9</v>
      </c>
      <c r="D3559" s="85" t="s">
        <v>73</v>
      </c>
      <c r="E3559" s="85">
        <v>23</v>
      </c>
      <c r="F3559" s="85">
        <v>6</v>
      </c>
      <c r="G3559" s="85">
        <f>--(F3559&lt;=Estimator!$B$7)</f>
        <v>0</v>
      </c>
      <c r="H3559" s="86">
        <f>SUMIFS('Climate Data'!$G$7:$G$366,'Climate Data'!$A$7:$A$366,Estimator!$B$4,'Climate Data'!$B$7:$B$366,C3559)</f>
        <v>0.20666666666666667</v>
      </c>
      <c r="I3559" s="87">
        <f>SUMIFS('Climate Data'!$H$7:$H$366,'Climate Data'!$A$7:$A$366,Estimator!$B$4,'Climate Data'!$B$7:$B$366,C3559)</f>
        <v>6.806451612903226</v>
      </c>
      <c r="J3559" s="86">
        <f>SUMIFS('Wind Proxy'!$H$8:$H$19,'Wind Proxy'!$A$8:$A$19,Estimator!$B$4,'Wind Proxy'!$B$8:$B$19,C3559)</f>
        <v>0</v>
      </c>
    </row>
    <row r="3560" spans="1:10" ht="14.4">
      <c r="A3560" s="84">
        <v>49211</v>
      </c>
      <c r="B3560" s="85">
        <v>2034</v>
      </c>
      <c r="C3560" s="85">
        <v>9</v>
      </c>
      <c r="D3560" s="85" t="s">
        <v>73</v>
      </c>
      <c r="E3560" s="85">
        <v>24</v>
      </c>
      <c r="F3560" s="85">
        <v>7</v>
      </c>
      <c r="G3560" s="85">
        <f>--(F3560&lt;=Estimator!$B$7)</f>
        <v>0</v>
      </c>
      <c r="H3560" s="86">
        <f>SUMIFS('Climate Data'!$G$7:$G$366,'Climate Data'!$A$7:$A$366,Estimator!$B$4,'Climate Data'!$B$7:$B$366,C3560)</f>
        <v>0.20666666666666667</v>
      </c>
      <c r="I3560" s="87">
        <f>SUMIFS('Climate Data'!$H$7:$H$366,'Climate Data'!$A$7:$A$366,Estimator!$B$4,'Climate Data'!$B$7:$B$366,C3560)</f>
        <v>6.806451612903226</v>
      </c>
      <c r="J3560" s="86">
        <f>SUMIFS('Wind Proxy'!$H$8:$H$19,'Wind Proxy'!$A$8:$A$19,Estimator!$B$4,'Wind Proxy'!$B$8:$B$19,C3560)</f>
        <v>0</v>
      </c>
    </row>
    <row r="3561" spans="1:10" ht="14.4">
      <c r="A3561" s="84">
        <v>49212</v>
      </c>
      <c r="B3561" s="85">
        <v>2034</v>
      </c>
      <c r="C3561" s="85">
        <v>9</v>
      </c>
      <c r="D3561" s="85" t="s">
        <v>73</v>
      </c>
      <c r="E3561" s="85">
        <v>25</v>
      </c>
      <c r="F3561" s="85">
        <v>1</v>
      </c>
      <c r="G3561" s="85">
        <f>--(F3561&lt;=Estimator!$B$7)</f>
        <v>1</v>
      </c>
      <c r="H3561" s="86">
        <f>SUMIFS('Climate Data'!$G$7:$G$366,'Climate Data'!$A$7:$A$366,Estimator!$B$4,'Climate Data'!$B$7:$B$366,C3561)</f>
        <v>0.20666666666666667</v>
      </c>
      <c r="I3561" s="87">
        <f>SUMIFS('Climate Data'!$H$7:$H$366,'Climate Data'!$A$7:$A$366,Estimator!$B$4,'Climate Data'!$B$7:$B$366,C3561)</f>
        <v>6.806451612903226</v>
      </c>
      <c r="J3561" s="86">
        <f>SUMIFS('Wind Proxy'!$H$8:$H$19,'Wind Proxy'!$A$8:$A$19,Estimator!$B$4,'Wind Proxy'!$B$8:$B$19,C3561)</f>
        <v>0</v>
      </c>
    </row>
    <row r="3562" spans="1:10" ht="14.4">
      <c r="A3562" s="84">
        <v>49213</v>
      </c>
      <c r="B3562" s="85">
        <v>2034</v>
      </c>
      <c r="C3562" s="85">
        <v>9</v>
      </c>
      <c r="D3562" s="85" t="s">
        <v>73</v>
      </c>
      <c r="E3562" s="85">
        <v>26</v>
      </c>
      <c r="F3562" s="85">
        <v>2</v>
      </c>
      <c r="G3562" s="85">
        <f>--(F3562&lt;=Estimator!$B$7)</f>
        <v>1</v>
      </c>
      <c r="H3562" s="86">
        <f>SUMIFS('Climate Data'!$G$7:$G$366,'Climate Data'!$A$7:$A$366,Estimator!$B$4,'Climate Data'!$B$7:$B$366,C3562)</f>
        <v>0.20666666666666667</v>
      </c>
      <c r="I3562" s="87">
        <f>SUMIFS('Climate Data'!$H$7:$H$366,'Climate Data'!$A$7:$A$366,Estimator!$B$4,'Climate Data'!$B$7:$B$366,C3562)</f>
        <v>6.806451612903226</v>
      </c>
      <c r="J3562" s="86">
        <f>SUMIFS('Wind Proxy'!$H$8:$H$19,'Wind Proxy'!$A$8:$A$19,Estimator!$B$4,'Wind Proxy'!$B$8:$B$19,C3562)</f>
        <v>0</v>
      </c>
    </row>
    <row r="3563" spans="1:10" ht="14.4">
      <c r="A3563" s="84">
        <v>49214</v>
      </c>
      <c r="B3563" s="85">
        <v>2034</v>
      </c>
      <c r="C3563" s="85">
        <v>9</v>
      </c>
      <c r="D3563" s="85" t="s">
        <v>73</v>
      </c>
      <c r="E3563" s="85">
        <v>27</v>
      </c>
      <c r="F3563" s="85">
        <v>3</v>
      </c>
      <c r="G3563" s="85">
        <f>--(F3563&lt;=Estimator!$B$7)</f>
        <v>1</v>
      </c>
      <c r="H3563" s="86">
        <f>SUMIFS('Climate Data'!$G$7:$G$366,'Climate Data'!$A$7:$A$366,Estimator!$B$4,'Climate Data'!$B$7:$B$366,C3563)</f>
        <v>0.20666666666666667</v>
      </c>
      <c r="I3563" s="87">
        <f>SUMIFS('Climate Data'!$H$7:$H$366,'Climate Data'!$A$7:$A$366,Estimator!$B$4,'Climate Data'!$B$7:$B$366,C3563)</f>
        <v>6.806451612903226</v>
      </c>
      <c r="J3563" s="86">
        <f>SUMIFS('Wind Proxy'!$H$8:$H$19,'Wind Proxy'!$A$8:$A$19,Estimator!$B$4,'Wind Proxy'!$B$8:$B$19,C3563)</f>
        <v>0</v>
      </c>
    </row>
    <row r="3564" spans="1:10" ht="14.4">
      <c r="A3564" s="84">
        <v>49215</v>
      </c>
      <c r="B3564" s="85">
        <v>2034</v>
      </c>
      <c r="C3564" s="85">
        <v>9</v>
      </c>
      <c r="D3564" s="85" t="s">
        <v>73</v>
      </c>
      <c r="E3564" s="85">
        <v>28</v>
      </c>
      <c r="F3564" s="85">
        <v>4</v>
      </c>
      <c r="G3564" s="85">
        <f>--(F3564&lt;=Estimator!$B$7)</f>
        <v>1</v>
      </c>
      <c r="H3564" s="86">
        <f>SUMIFS('Climate Data'!$G$7:$G$366,'Climate Data'!$A$7:$A$366,Estimator!$B$4,'Climate Data'!$B$7:$B$366,C3564)</f>
        <v>0.20666666666666667</v>
      </c>
      <c r="I3564" s="87">
        <f>SUMIFS('Climate Data'!$H$7:$H$366,'Climate Data'!$A$7:$A$366,Estimator!$B$4,'Climate Data'!$B$7:$B$366,C3564)</f>
        <v>6.806451612903226</v>
      </c>
      <c r="J3564" s="86">
        <f>SUMIFS('Wind Proxy'!$H$8:$H$19,'Wind Proxy'!$A$8:$A$19,Estimator!$B$4,'Wind Proxy'!$B$8:$B$19,C3564)</f>
        <v>0</v>
      </c>
    </row>
    <row r="3565" spans="1:10" ht="14.4">
      <c r="A3565" s="84">
        <v>49216</v>
      </c>
      <c r="B3565" s="85">
        <v>2034</v>
      </c>
      <c r="C3565" s="85">
        <v>9</v>
      </c>
      <c r="D3565" s="85" t="s">
        <v>73</v>
      </c>
      <c r="E3565" s="85">
        <v>29</v>
      </c>
      <c r="F3565" s="85">
        <v>5</v>
      </c>
      <c r="G3565" s="85">
        <f>--(F3565&lt;=Estimator!$B$7)</f>
        <v>1</v>
      </c>
      <c r="H3565" s="86">
        <f>SUMIFS('Climate Data'!$G$7:$G$366,'Climate Data'!$A$7:$A$366,Estimator!$B$4,'Climate Data'!$B$7:$B$366,C3565)</f>
        <v>0.20666666666666667</v>
      </c>
      <c r="I3565" s="87">
        <f>SUMIFS('Climate Data'!$H$7:$H$366,'Climate Data'!$A$7:$A$366,Estimator!$B$4,'Climate Data'!$B$7:$B$366,C3565)</f>
        <v>6.806451612903226</v>
      </c>
      <c r="J3565" s="86">
        <f>SUMIFS('Wind Proxy'!$H$8:$H$19,'Wind Proxy'!$A$8:$A$19,Estimator!$B$4,'Wind Proxy'!$B$8:$B$19,C3565)</f>
        <v>0</v>
      </c>
    </row>
    <row r="3566" spans="1:10" ht="14.4">
      <c r="A3566" s="84">
        <v>49217</v>
      </c>
      <c r="B3566" s="85">
        <v>2034</v>
      </c>
      <c r="C3566" s="85">
        <v>9</v>
      </c>
      <c r="D3566" s="85" t="s">
        <v>73</v>
      </c>
      <c r="E3566" s="85">
        <v>30</v>
      </c>
      <c r="F3566" s="85">
        <v>6</v>
      </c>
      <c r="G3566" s="85">
        <f>--(F3566&lt;=Estimator!$B$7)</f>
        <v>0</v>
      </c>
      <c r="H3566" s="86">
        <f>SUMIFS('Climate Data'!$G$7:$G$366,'Climate Data'!$A$7:$A$366,Estimator!$B$4,'Climate Data'!$B$7:$B$366,C3566)</f>
        <v>0.20666666666666667</v>
      </c>
      <c r="I3566" s="87">
        <f>SUMIFS('Climate Data'!$H$7:$H$366,'Climate Data'!$A$7:$A$366,Estimator!$B$4,'Climate Data'!$B$7:$B$366,C3566)</f>
        <v>6.806451612903226</v>
      </c>
      <c r="J3566" s="86">
        <f>SUMIFS('Wind Proxy'!$H$8:$H$19,'Wind Proxy'!$A$8:$A$19,Estimator!$B$4,'Wind Proxy'!$B$8:$B$19,C3566)</f>
        <v>0</v>
      </c>
    </row>
    <row r="3567" spans="1:10" ht="14.4">
      <c r="A3567" s="84">
        <v>49218</v>
      </c>
      <c r="B3567" s="85">
        <v>2034</v>
      </c>
      <c r="C3567" s="85">
        <v>10</v>
      </c>
      <c r="D3567" s="85" t="s">
        <v>75</v>
      </c>
      <c r="E3567" s="85">
        <v>1</v>
      </c>
      <c r="F3567" s="85">
        <v>7</v>
      </c>
      <c r="G3567" s="85">
        <f>--(F3567&lt;=Estimator!$B$7)</f>
        <v>0</v>
      </c>
      <c r="H3567" s="86">
        <f>SUMIFS('Climate Data'!$G$7:$G$366,'Climate Data'!$A$7:$A$366,Estimator!$B$4,'Climate Data'!$B$7:$B$366,C3567)</f>
        <v>0.23225806451612904</v>
      </c>
      <c r="I3567" s="87">
        <f>SUMIFS('Climate Data'!$H$7:$H$366,'Climate Data'!$A$7:$A$366,Estimator!$B$4,'Climate Data'!$B$7:$B$366,C3567)</f>
        <v>6.8194444444444446</v>
      </c>
      <c r="J3567" s="86">
        <f>SUMIFS('Wind Proxy'!$H$8:$H$19,'Wind Proxy'!$A$8:$A$19,Estimator!$B$4,'Wind Proxy'!$B$8:$B$19,C3567)</f>
        <v>0</v>
      </c>
    </row>
    <row r="3568" spans="1:10" ht="14.4">
      <c r="A3568" s="84">
        <v>49219</v>
      </c>
      <c r="B3568" s="85">
        <v>2034</v>
      </c>
      <c r="C3568" s="85">
        <v>10</v>
      </c>
      <c r="D3568" s="85" t="s">
        <v>75</v>
      </c>
      <c r="E3568" s="85">
        <v>2</v>
      </c>
      <c r="F3568" s="85">
        <v>1</v>
      </c>
      <c r="G3568" s="85">
        <f>--(F3568&lt;=Estimator!$B$7)</f>
        <v>1</v>
      </c>
      <c r="H3568" s="86">
        <f>SUMIFS('Climate Data'!$G$7:$G$366,'Climate Data'!$A$7:$A$366,Estimator!$B$4,'Climate Data'!$B$7:$B$366,C3568)</f>
        <v>0.23225806451612904</v>
      </c>
      <c r="I3568" s="87">
        <f>SUMIFS('Climate Data'!$H$7:$H$366,'Climate Data'!$A$7:$A$366,Estimator!$B$4,'Climate Data'!$B$7:$B$366,C3568)</f>
        <v>6.8194444444444446</v>
      </c>
      <c r="J3568" s="86">
        <f>SUMIFS('Wind Proxy'!$H$8:$H$19,'Wind Proxy'!$A$8:$A$19,Estimator!$B$4,'Wind Proxy'!$B$8:$B$19,C3568)</f>
        <v>0</v>
      </c>
    </row>
    <row r="3569" spans="1:10" ht="14.4">
      <c r="A3569" s="84">
        <v>49220</v>
      </c>
      <c r="B3569" s="85">
        <v>2034</v>
      </c>
      <c r="C3569" s="85">
        <v>10</v>
      </c>
      <c r="D3569" s="85" t="s">
        <v>75</v>
      </c>
      <c r="E3569" s="85">
        <v>3</v>
      </c>
      <c r="F3569" s="85">
        <v>2</v>
      </c>
      <c r="G3569" s="85">
        <f>--(F3569&lt;=Estimator!$B$7)</f>
        <v>1</v>
      </c>
      <c r="H3569" s="86">
        <f>SUMIFS('Climate Data'!$G$7:$G$366,'Climate Data'!$A$7:$A$366,Estimator!$B$4,'Climate Data'!$B$7:$B$366,C3569)</f>
        <v>0.23225806451612904</v>
      </c>
      <c r="I3569" s="87">
        <f>SUMIFS('Climate Data'!$H$7:$H$366,'Climate Data'!$A$7:$A$366,Estimator!$B$4,'Climate Data'!$B$7:$B$366,C3569)</f>
        <v>6.8194444444444446</v>
      </c>
      <c r="J3569" s="86">
        <f>SUMIFS('Wind Proxy'!$H$8:$H$19,'Wind Proxy'!$A$8:$A$19,Estimator!$B$4,'Wind Proxy'!$B$8:$B$19,C3569)</f>
        <v>0</v>
      </c>
    </row>
    <row r="3570" spans="1:10" ht="14.4">
      <c r="A3570" s="84">
        <v>49221</v>
      </c>
      <c r="B3570" s="85">
        <v>2034</v>
      </c>
      <c r="C3570" s="85">
        <v>10</v>
      </c>
      <c r="D3570" s="85" t="s">
        <v>75</v>
      </c>
      <c r="E3570" s="85">
        <v>4</v>
      </c>
      <c r="F3570" s="85">
        <v>3</v>
      </c>
      <c r="G3570" s="85">
        <f>--(F3570&lt;=Estimator!$B$7)</f>
        <v>1</v>
      </c>
      <c r="H3570" s="86">
        <f>SUMIFS('Climate Data'!$G$7:$G$366,'Climate Data'!$A$7:$A$366,Estimator!$B$4,'Climate Data'!$B$7:$B$366,C3570)</f>
        <v>0.23225806451612904</v>
      </c>
      <c r="I3570" s="87">
        <f>SUMIFS('Climate Data'!$H$7:$H$366,'Climate Data'!$A$7:$A$366,Estimator!$B$4,'Climate Data'!$B$7:$B$366,C3570)</f>
        <v>6.8194444444444446</v>
      </c>
      <c r="J3570" s="86">
        <f>SUMIFS('Wind Proxy'!$H$8:$H$19,'Wind Proxy'!$A$8:$A$19,Estimator!$B$4,'Wind Proxy'!$B$8:$B$19,C3570)</f>
        <v>0</v>
      </c>
    </row>
    <row r="3571" spans="1:10" ht="14.4">
      <c r="A3571" s="84">
        <v>49222</v>
      </c>
      <c r="B3571" s="85">
        <v>2034</v>
      </c>
      <c r="C3571" s="85">
        <v>10</v>
      </c>
      <c r="D3571" s="85" t="s">
        <v>75</v>
      </c>
      <c r="E3571" s="85">
        <v>5</v>
      </c>
      <c r="F3571" s="85">
        <v>4</v>
      </c>
      <c r="G3571" s="85">
        <f>--(F3571&lt;=Estimator!$B$7)</f>
        <v>1</v>
      </c>
      <c r="H3571" s="86">
        <f>SUMIFS('Climate Data'!$G$7:$G$366,'Climate Data'!$A$7:$A$366,Estimator!$B$4,'Climate Data'!$B$7:$B$366,C3571)</f>
        <v>0.23225806451612904</v>
      </c>
      <c r="I3571" s="87">
        <f>SUMIFS('Climate Data'!$H$7:$H$366,'Climate Data'!$A$7:$A$366,Estimator!$B$4,'Climate Data'!$B$7:$B$366,C3571)</f>
        <v>6.8194444444444446</v>
      </c>
      <c r="J3571" s="86">
        <f>SUMIFS('Wind Proxy'!$H$8:$H$19,'Wind Proxy'!$A$8:$A$19,Estimator!$B$4,'Wind Proxy'!$B$8:$B$19,C3571)</f>
        <v>0</v>
      </c>
    </row>
    <row r="3572" spans="1:10" ht="14.4">
      <c r="A3572" s="84">
        <v>49223</v>
      </c>
      <c r="B3572" s="85">
        <v>2034</v>
      </c>
      <c r="C3572" s="85">
        <v>10</v>
      </c>
      <c r="D3572" s="85" t="s">
        <v>75</v>
      </c>
      <c r="E3572" s="85">
        <v>6</v>
      </c>
      <c r="F3572" s="85">
        <v>5</v>
      </c>
      <c r="G3572" s="85">
        <f>--(F3572&lt;=Estimator!$B$7)</f>
        <v>1</v>
      </c>
      <c r="H3572" s="86">
        <f>SUMIFS('Climate Data'!$G$7:$G$366,'Climate Data'!$A$7:$A$366,Estimator!$B$4,'Climate Data'!$B$7:$B$366,C3572)</f>
        <v>0.23225806451612904</v>
      </c>
      <c r="I3572" s="87">
        <f>SUMIFS('Climate Data'!$H$7:$H$366,'Climate Data'!$A$7:$A$366,Estimator!$B$4,'Climate Data'!$B$7:$B$366,C3572)</f>
        <v>6.8194444444444446</v>
      </c>
      <c r="J3572" s="86">
        <f>SUMIFS('Wind Proxy'!$H$8:$H$19,'Wind Proxy'!$A$8:$A$19,Estimator!$B$4,'Wind Proxy'!$B$8:$B$19,C3572)</f>
        <v>0</v>
      </c>
    </row>
    <row r="3573" spans="1:10" ht="14.4">
      <c r="A3573" s="84">
        <v>49224</v>
      </c>
      <c r="B3573" s="85">
        <v>2034</v>
      </c>
      <c r="C3573" s="85">
        <v>10</v>
      </c>
      <c r="D3573" s="85" t="s">
        <v>75</v>
      </c>
      <c r="E3573" s="85">
        <v>7</v>
      </c>
      <c r="F3573" s="85">
        <v>6</v>
      </c>
      <c r="G3573" s="85">
        <f>--(F3573&lt;=Estimator!$B$7)</f>
        <v>0</v>
      </c>
      <c r="H3573" s="86">
        <f>SUMIFS('Climate Data'!$G$7:$G$366,'Climate Data'!$A$7:$A$366,Estimator!$B$4,'Climate Data'!$B$7:$B$366,C3573)</f>
        <v>0.23225806451612904</v>
      </c>
      <c r="I3573" s="87">
        <f>SUMIFS('Climate Data'!$H$7:$H$366,'Climate Data'!$A$7:$A$366,Estimator!$B$4,'Climate Data'!$B$7:$B$366,C3573)</f>
        <v>6.8194444444444446</v>
      </c>
      <c r="J3573" s="86">
        <f>SUMIFS('Wind Proxy'!$H$8:$H$19,'Wind Proxy'!$A$8:$A$19,Estimator!$B$4,'Wind Proxy'!$B$8:$B$19,C3573)</f>
        <v>0</v>
      </c>
    </row>
    <row r="3574" spans="1:10" ht="14.4">
      <c r="A3574" s="84">
        <v>49225</v>
      </c>
      <c r="B3574" s="85">
        <v>2034</v>
      </c>
      <c r="C3574" s="85">
        <v>10</v>
      </c>
      <c r="D3574" s="85" t="s">
        <v>75</v>
      </c>
      <c r="E3574" s="85">
        <v>8</v>
      </c>
      <c r="F3574" s="85">
        <v>7</v>
      </c>
      <c r="G3574" s="85">
        <f>--(F3574&lt;=Estimator!$B$7)</f>
        <v>0</v>
      </c>
      <c r="H3574" s="86">
        <f>SUMIFS('Climate Data'!$G$7:$G$366,'Climate Data'!$A$7:$A$366,Estimator!$B$4,'Climate Data'!$B$7:$B$366,C3574)</f>
        <v>0.23225806451612904</v>
      </c>
      <c r="I3574" s="87">
        <f>SUMIFS('Climate Data'!$H$7:$H$366,'Climate Data'!$A$7:$A$366,Estimator!$B$4,'Climate Data'!$B$7:$B$366,C3574)</f>
        <v>6.8194444444444446</v>
      </c>
      <c r="J3574" s="86">
        <f>SUMIFS('Wind Proxy'!$H$8:$H$19,'Wind Proxy'!$A$8:$A$19,Estimator!$B$4,'Wind Proxy'!$B$8:$B$19,C3574)</f>
        <v>0</v>
      </c>
    </row>
    <row r="3575" spans="1:10" ht="14.4">
      <c r="A3575" s="84">
        <v>49226</v>
      </c>
      <c r="B3575" s="85">
        <v>2034</v>
      </c>
      <c r="C3575" s="85">
        <v>10</v>
      </c>
      <c r="D3575" s="85" t="s">
        <v>75</v>
      </c>
      <c r="E3575" s="85">
        <v>9</v>
      </c>
      <c r="F3575" s="85">
        <v>1</v>
      </c>
      <c r="G3575" s="85">
        <f>--(F3575&lt;=Estimator!$B$7)</f>
        <v>1</v>
      </c>
      <c r="H3575" s="86">
        <f>SUMIFS('Climate Data'!$G$7:$G$366,'Climate Data'!$A$7:$A$366,Estimator!$B$4,'Climate Data'!$B$7:$B$366,C3575)</f>
        <v>0.23225806451612904</v>
      </c>
      <c r="I3575" s="87">
        <f>SUMIFS('Climate Data'!$H$7:$H$366,'Climate Data'!$A$7:$A$366,Estimator!$B$4,'Climate Data'!$B$7:$B$366,C3575)</f>
        <v>6.8194444444444446</v>
      </c>
      <c r="J3575" s="86">
        <f>SUMIFS('Wind Proxy'!$H$8:$H$19,'Wind Proxy'!$A$8:$A$19,Estimator!$B$4,'Wind Proxy'!$B$8:$B$19,C3575)</f>
        <v>0</v>
      </c>
    </row>
    <row r="3576" spans="1:10" ht="14.4">
      <c r="A3576" s="84">
        <v>49227</v>
      </c>
      <c r="B3576" s="85">
        <v>2034</v>
      </c>
      <c r="C3576" s="85">
        <v>10</v>
      </c>
      <c r="D3576" s="85" t="s">
        <v>75</v>
      </c>
      <c r="E3576" s="85">
        <v>10</v>
      </c>
      <c r="F3576" s="85">
        <v>2</v>
      </c>
      <c r="G3576" s="85">
        <f>--(F3576&lt;=Estimator!$B$7)</f>
        <v>1</v>
      </c>
      <c r="H3576" s="86">
        <f>SUMIFS('Climate Data'!$G$7:$G$366,'Climate Data'!$A$7:$A$366,Estimator!$B$4,'Climate Data'!$B$7:$B$366,C3576)</f>
        <v>0.23225806451612904</v>
      </c>
      <c r="I3576" s="87">
        <f>SUMIFS('Climate Data'!$H$7:$H$366,'Climate Data'!$A$7:$A$366,Estimator!$B$4,'Climate Data'!$B$7:$B$366,C3576)</f>
        <v>6.8194444444444446</v>
      </c>
      <c r="J3576" s="86">
        <f>SUMIFS('Wind Proxy'!$H$8:$H$19,'Wind Proxy'!$A$8:$A$19,Estimator!$B$4,'Wind Proxy'!$B$8:$B$19,C3576)</f>
        <v>0</v>
      </c>
    </row>
    <row r="3577" spans="1:10" ht="14.4">
      <c r="A3577" s="84">
        <v>49228</v>
      </c>
      <c r="B3577" s="85">
        <v>2034</v>
      </c>
      <c r="C3577" s="85">
        <v>10</v>
      </c>
      <c r="D3577" s="85" t="s">
        <v>75</v>
      </c>
      <c r="E3577" s="85">
        <v>11</v>
      </c>
      <c r="F3577" s="85">
        <v>3</v>
      </c>
      <c r="G3577" s="85">
        <f>--(F3577&lt;=Estimator!$B$7)</f>
        <v>1</v>
      </c>
      <c r="H3577" s="86">
        <f>SUMIFS('Climate Data'!$G$7:$G$366,'Climate Data'!$A$7:$A$366,Estimator!$B$4,'Climate Data'!$B$7:$B$366,C3577)</f>
        <v>0.23225806451612904</v>
      </c>
      <c r="I3577" s="87">
        <f>SUMIFS('Climate Data'!$H$7:$H$366,'Climate Data'!$A$7:$A$366,Estimator!$B$4,'Climate Data'!$B$7:$B$366,C3577)</f>
        <v>6.8194444444444446</v>
      </c>
      <c r="J3577" s="86">
        <f>SUMIFS('Wind Proxy'!$H$8:$H$19,'Wind Proxy'!$A$8:$A$19,Estimator!$B$4,'Wind Proxy'!$B$8:$B$19,C3577)</f>
        <v>0</v>
      </c>
    </row>
    <row r="3578" spans="1:10" ht="14.4">
      <c r="A3578" s="84">
        <v>49229</v>
      </c>
      <c r="B3578" s="85">
        <v>2034</v>
      </c>
      <c r="C3578" s="85">
        <v>10</v>
      </c>
      <c r="D3578" s="85" t="s">
        <v>75</v>
      </c>
      <c r="E3578" s="85">
        <v>12</v>
      </c>
      <c r="F3578" s="85">
        <v>4</v>
      </c>
      <c r="G3578" s="85">
        <f>--(F3578&lt;=Estimator!$B$7)</f>
        <v>1</v>
      </c>
      <c r="H3578" s="86">
        <f>SUMIFS('Climate Data'!$G$7:$G$366,'Climate Data'!$A$7:$A$366,Estimator!$B$4,'Climate Data'!$B$7:$B$366,C3578)</f>
        <v>0.23225806451612904</v>
      </c>
      <c r="I3578" s="87">
        <f>SUMIFS('Climate Data'!$H$7:$H$366,'Climate Data'!$A$7:$A$366,Estimator!$B$4,'Climate Data'!$B$7:$B$366,C3578)</f>
        <v>6.8194444444444446</v>
      </c>
      <c r="J3578" s="86">
        <f>SUMIFS('Wind Proxy'!$H$8:$H$19,'Wind Proxy'!$A$8:$A$19,Estimator!$B$4,'Wind Proxy'!$B$8:$B$19,C3578)</f>
        <v>0</v>
      </c>
    </row>
    <row r="3579" spans="1:10" ht="14.4">
      <c r="A3579" s="84">
        <v>49230</v>
      </c>
      <c r="B3579" s="85">
        <v>2034</v>
      </c>
      <c r="C3579" s="85">
        <v>10</v>
      </c>
      <c r="D3579" s="85" t="s">
        <v>75</v>
      </c>
      <c r="E3579" s="85">
        <v>13</v>
      </c>
      <c r="F3579" s="85">
        <v>5</v>
      </c>
      <c r="G3579" s="85">
        <f>--(F3579&lt;=Estimator!$B$7)</f>
        <v>1</v>
      </c>
      <c r="H3579" s="86">
        <f>SUMIFS('Climate Data'!$G$7:$G$366,'Climate Data'!$A$7:$A$366,Estimator!$B$4,'Climate Data'!$B$7:$B$366,C3579)</f>
        <v>0.23225806451612904</v>
      </c>
      <c r="I3579" s="87">
        <f>SUMIFS('Climate Data'!$H$7:$H$366,'Climate Data'!$A$7:$A$366,Estimator!$B$4,'Climate Data'!$B$7:$B$366,C3579)</f>
        <v>6.8194444444444446</v>
      </c>
      <c r="J3579" s="86">
        <f>SUMIFS('Wind Proxy'!$H$8:$H$19,'Wind Proxy'!$A$8:$A$19,Estimator!$B$4,'Wind Proxy'!$B$8:$B$19,C3579)</f>
        <v>0</v>
      </c>
    </row>
    <row r="3580" spans="1:10" ht="14.4">
      <c r="A3580" s="84">
        <v>49231</v>
      </c>
      <c r="B3580" s="85">
        <v>2034</v>
      </c>
      <c r="C3580" s="85">
        <v>10</v>
      </c>
      <c r="D3580" s="85" t="s">
        <v>75</v>
      </c>
      <c r="E3580" s="85">
        <v>14</v>
      </c>
      <c r="F3580" s="85">
        <v>6</v>
      </c>
      <c r="G3580" s="85">
        <f>--(F3580&lt;=Estimator!$B$7)</f>
        <v>0</v>
      </c>
      <c r="H3580" s="86">
        <f>SUMIFS('Climate Data'!$G$7:$G$366,'Climate Data'!$A$7:$A$366,Estimator!$B$4,'Climate Data'!$B$7:$B$366,C3580)</f>
        <v>0.23225806451612904</v>
      </c>
      <c r="I3580" s="87">
        <f>SUMIFS('Climate Data'!$H$7:$H$366,'Climate Data'!$A$7:$A$366,Estimator!$B$4,'Climate Data'!$B$7:$B$366,C3580)</f>
        <v>6.8194444444444446</v>
      </c>
      <c r="J3580" s="86">
        <f>SUMIFS('Wind Proxy'!$H$8:$H$19,'Wind Proxy'!$A$8:$A$19,Estimator!$B$4,'Wind Proxy'!$B$8:$B$19,C3580)</f>
        <v>0</v>
      </c>
    </row>
    <row r="3581" spans="1:10" ht="14.4">
      <c r="A3581" s="84">
        <v>49232</v>
      </c>
      <c r="B3581" s="85">
        <v>2034</v>
      </c>
      <c r="C3581" s="85">
        <v>10</v>
      </c>
      <c r="D3581" s="85" t="s">
        <v>75</v>
      </c>
      <c r="E3581" s="85">
        <v>15</v>
      </c>
      <c r="F3581" s="85">
        <v>7</v>
      </c>
      <c r="G3581" s="85">
        <f>--(F3581&lt;=Estimator!$B$7)</f>
        <v>0</v>
      </c>
      <c r="H3581" s="86">
        <f>SUMIFS('Climate Data'!$G$7:$G$366,'Climate Data'!$A$7:$A$366,Estimator!$B$4,'Climate Data'!$B$7:$B$366,C3581)</f>
        <v>0.23225806451612904</v>
      </c>
      <c r="I3581" s="87">
        <f>SUMIFS('Climate Data'!$H$7:$H$366,'Climate Data'!$A$7:$A$366,Estimator!$B$4,'Climate Data'!$B$7:$B$366,C3581)</f>
        <v>6.8194444444444446</v>
      </c>
      <c r="J3581" s="86">
        <f>SUMIFS('Wind Proxy'!$H$8:$H$19,'Wind Proxy'!$A$8:$A$19,Estimator!$B$4,'Wind Proxy'!$B$8:$B$19,C3581)</f>
        <v>0</v>
      </c>
    </row>
    <row r="3582" spans="1:10" ht="14.4">
      <c r="A3582" s="84">
        <v>49233</v>
      </c>
      <c r="B3582" s="85">
        <v>2034</v>
      </c>
      <c r="C3582" s="85">
        <v>10</v>
      </c>
      <c r="D3582" s="85" t="s">
        <v>75</v>
      </c>
      <c r="E3582" s="85">
        <v>16</v>
      </c>
      <c r="F3582" s="85">
        <v>1</v>
      </c>
      <c r="G3582" s="85">
        <f>--(F3582&lt;=Estimator!$B$7)</f>
        <v>1</v>
      </c>
      <c r="H3582" s="86">
        <f>SUMIFS('Climate Data'!$G$7:$G$366,'Climate Data'!$A$7:$A$366,Estimator!$B$4,'Climate Data'!$B$7:$B$366,C3582)</f>
        <v>0.23225806451612904</v>
      </c>
      <c r="I3582" s="87">
        <f>SUMIFS('Climate Data'!$H$7:$H$366,'Climate Data'!$A$7:$A$366,Estimator!$B$4,'Climate Data'!$B$7:$B$366,C3582)</f>
        <v>6.8194444444444446</v>
      </c>
      <c r="J3582" s="86">
        <f>SUMIFS('Wind Proxy'!$H$8:$H$19,'Wind Proxy'!$A$8:$A$19,Estimator!$B$4,'Wind Proxy'!$B$8:$B$19,C3582)</f>
        <v>0</v>
      </c>
    </row>
    <row r="3583" spans="1:10" ht="14.4">
      <c r="A3583" s="84">
        <v>49234</v>
      </c>
      <c r="B3583" s="85">
        <v>2034</v>
      </c>
      <c r="C3583" s="85">
        <v>10</v>
      </c>
      <c r="D3583" s="85" t="s">
        <v>75</v>
      </c>
      <c r="E3583" s="85">
        <v>17</v>
      </c>
      <c r="F3583" s="85">
        <v>2</v>
      </c>
      <c r="G3583" s="85">
        <f>--(F3583&lt;=Estimator!$B$7)</f>
        <v>1</v>
      </c>
      <c r="H3583" s="86">
        <f>SUMIFS('Climate Data'!$G$7:$G$366,'Climate Data'!$A$7:$A$366,Estimator!$B$4,'Climate Data'!$B$7:$B$366,C3583)</f>
        <v>0.23225806451612904</v>
      </c>
      <c r="I3583" s="87">
        <f>SUMIFS('Climate Data'!$H$7:$H$366,'Climate Data'!$A$7:$A$366,Estimator!$B$4,'Climate Data'!$B$7:$B$366,C3583)</f>
        <v>6.8194444444444446</v>
      </c>
      <c r="J3583" s="86">
        <f>SUMIFS('Wind Proxy'!$H$8:$H$19,'Wind Proxy'!$A$8:$A$19,Estimator!$B$4,'Wind Proxy'!$B$8:$B$19,C3583)</f>
        <v>0</v>
      </c>
    </row>
    <row r="3584" spans="1:10" ht="14.4">
      <c r="A3584" s="84">
        <v>49235</v>
      </c>
      <c r="B3584" s="85">
        <v>2034</v>
      </c>
      <c r="C3584" s="85">
        <v>10</v>
      </c>
      <c r="D3584" s="85" t="s">
        <v>75</v>
      </c>
      <c r="E3584" s="85">
        <v>18</v>
      </c>
      <c r="F3584" s="85">
        <v>3</v>
      </c>
      <c r="G3584" s="85">
        <f>--(F3584&lt;=Estimator!$B$7)</f>
        <v>1</v>
      </c>
      <c r="H3584" s="86">
        <f>SUMIFS('Climate Data'!$G$7:$G$366,'Climate Data'!$A$7:$A$366,Estimator!$B$4,'Climate Data'!$B$7:$B$366,C3584)</f>
        <v>0.23225806451612904</v>
      </c>
      <c r="I3584" s="87">
        <f>SUMIFS('Climate Data'!$H$7:$H$366,'Climate Data'!$A$7:$A$366,Estimator!$B$4,'Climate Data'!$B$7:$B$366,C3584)</f>
        <v>6.8194444444444446</v>
      </c>
      <c r="J3584" s="86">
        <f>SUMIFS('Wind Proxy'!$H$8:$H$19,'Wind Proxy'!$A$8:$A$19,Estimator!$B$4,'Wind Proxy'!$B$8:$B$19,C3584)</f>
        <v>0</v>
      </c>
    </row>
    <row r="3585" spans="1:10" ht="14.4">
      <c r="A3585" s="84">
        <v>49236</v>
      </c>
      <c r="B3585" s="85">
        <v>2034</v>
      </c>
      <c r="C3585" s="85">
        <v>10</v>
      </c>
      <c r="D3585" s="85" t="s">
        <v>75</v>
      </c>
      <c r="E3585" s="85">
        <v>19</v>
      </c>
      <c r="F3585" s="85">
        <v>4</v>
      </c>
      <c r="G3585" s="85">
        <f>--(F3585&lt;=Estimator!$B$7)</f>
        <v>1</v>
      </c>
      <c r="H3585" s="86">
        <f>SUMIFS('Climate Data'!$G$7:$G$366,'Climate Data'!$A$7:$A$366,Estimator!$B$4,'Climate Data'!$B$7:$B$366,C3585)</f>
        <v>0.23225806451612904</v>
      </c>
      <c r="I3585" s="87">
        <f>SUMIFS('Climate Data'!$H$7:$H$366,'Climate Data'!$A$7:$A$366,Estimator!$B$4,'Climate Data'!$B$7:$B$366,C3585)</f>
        <v>6.8194444444444446</v>
      </c>
      <c r="J3585" s="86">
        <f>SUMIFS('Wind Proxy'!$H$8:$H$19,'Wind Proxy'!$A$8:$A$19,Estimator!$B$4,'Wind Proxy'!$B$8:$B$19,C3585)</f>
        <v>0</v>
      </c>
    </row>
    <row r="3586" spans="1:10" ht="14.4">
      <c r="A3586" s="84">
        <v>49237</v>
      </c>
      <c r="B3586" s="85">
        <v>2034</v>
      </c>
      <c r="C3586" s="85">
        <v>10</v>
      </c>
      <c r="D3586" s="85" t="s">
        <v>75</v>
      </c>
      <c r="E3586" s="85">
        <v>20</v>
      </c>
      <c r="F3586" s="85">
        <v>5</v>
      </c>
      <c r="G3586" s="85">
        <f>--(F3586&lt;=Estimator!$B$7)</f>
        <v>1</v>
      </c>
      <c r="H3586" s="86">
        <f>SUMIFS('Climate Data'!$G$7:$G$366,'Climate Data'!$A$7:$A$366,Estimator!$B$4,'Climate Data'!$B$7:$B$366,C3586)</f>
        <v>0.23225806451612904</v>
      </c>
      <c r="I3586" s="87">
        <f>SUMIFS('Climate Data'!$H$7:$H$366,'Climate Data'!$A$7:$A$366,Estimator!$B$4,'Climate Data'!$B$7:$B$366,C3586)</f>
        <v>6.8194444444444446</v>
      </c>
      <c r="J3586" s="86">
        <f>SUMIFS('Wind Proxy'!$H$8:$H$19,'Wind Proxy'!$A$8:$A$19,Estimator!$B$4,'Wind Proxy'!$B$8:$B$19,C3586)</f>
        <v>0</v>
      </c>
    </row>
    <row r="3587" spans="1:10" ht="14.4">
      <c r="A3587" s="84">
        <v>49238</v>
      </c>
      <c r="B3587" s="85">
        <v>2034</v>
      </c>
      <c r="C3587" s="85">
        <v>10</v>
      </c>
      <c r="D3587" s="85" t="s">
        <v>75</v>
      </c>
      <c r="E3587" s="85">
        <v>21</v>
      </c>
      <c r="F3587" s="85">
        <v>6</v>
      </c>
      <c r="G3587" s="85">
        <f>--(F3587&lt;=Estimator!$B$7)</f>
        <v>0</v>
      </c>
      <c r="H3587" s="86">
        <f>SUMIFS('Climate Data'!$G$7:$G$366,'Climate Data'!$A$7:$A$366,Estimator!$B$4,'Climate Data'!$B$7:$B$366,C3587)</f>
        <v>0.23225806451612904</v>
      </c>
      <c r="I3587" s="87">
        <f>SUMIFS('Climate Data'!$H$7:$H$366,'Climate Data'!$A$7:$A$366,Estimator!$B$4,'Climate Data'!$B$7:$B$366,C3587)</f>
        <v>6.8194444444444446</v>
      </c>
      <c r="J3587" s="86">
        <f>SUMIFS('Wind Proxy'!$H$8:$H$19,'Wind Proxy'!$A$8:$A$19,Estimator!$B$4,'Wind Proxy'!$B$8:$B$19,C3587)</f>
        <v>0</v>
      </c>
    </row>
    <row r="3588" spans="1:10" ht="14.4">
      <c r="A3588" s="84">
        <v>49239</v>
      </c>
      <c r="B3588" s="85">
        <v>2034</v>
      </c>
      <c r="C3588" s="85">
        <v>10</v>
      </c>
      <c r="D3588" s="85" t="s">
        <v>75</v>
      </c>
      <c r="E3588" s="85">
        <v>22</v>
      </c>
      <c r="F3588" s="85">
        <v>7</v>
      </c>
      <c r="G3588" s="85">
        <f>--(F3588&lt;=Estimator!$B$7)</f>
        <v>0</v>
      </c>
      <c r="H3588" s="86">
        <f>SUMIFS('Climate Data'!$G$7:$G$366,'Climate Data'!$A$7:$A$366,Estimator!$B$4,'Climate Data'!$B$7:$B$366,C3588)</f>
        <v>0.23225806451612904</v>
      </c>
      <c r="I3588" s="87">
        <f>SUMIFS('Climate Data'!$H$7:$H$366,'Climate Data'!$A$7:$A$366,Estimator!$B$4,'Climate Data'!$B$7:$B$366,C3588)</f>
        <v>6.8194444444444446</v>
      </c>
      <c r="J3588" s="86">
        <f>SUMIFS('Wind Proxy'!$H$8:$H$19,'Wind Proxy'!$A$8:$A$19,Estimator!$B$4,'Wind Proxy'!$B$8:$B$19,C3588)</f>
        <v>0</v>
      </c>
    </row>
    <row r="3589" spans="1:10" ht="14.4">
      <c r="A3589" s="84">
        <v>49240</v>
      </c>
      <c r="B3589" s="85">
        <v>2034</v>
      </c>
      <c r="C3589" s="85">
        <v>10</v>
      </c>
      <c r="D3589" s="85" t="s">
        <v>75</v>
      </c>
      <c r="E3589" s="85">
        <v>23</v>
      </c>
      <c r="F3589" s="85">
        <v>1</v>
      </c>
      <c r="G3589" s="85">
        <f>--(F3589&lt;=Estimator!$B$7)</f>
        <v>1</v>
      </c>
      <c r="H3589" s="86">
        <f>SUMIFS('Climate Data'!$G$7:$G$366,'Climate Data'!$A$7:$A$366,Estimator!$B$4,'Climate Data'!$B$7:$B$366,C3589)</f>
        <v>0.23225806451612904</v>
      </c>
      <c r="I3589" s="87">
        <f>SUMIFS('Climate Data'!$H$7:$H$366,'Climate Data'!$A$7:$A$366,Estimator!$B$4,'Climate Data'!$B$7:$B$366,C3589)</f>
        <v>6.8194444444444446</v>
      </c>
      <c r="J3589" s="86">
        <f>SUMIFS('Wind Proxy'!$H$8:$H$19,'Wind Proxy'!$A$8:$A$19,Estimator!$B$4,'Wind Proxy'!$B$8:$B$19,C3589)</f>
        <v>0</v>
      </c>
    </row>
    <row r="3590" spans="1:10" ht="14.4">
      <c r="A3590" s="84">
        <v>49241</v>
      </c>
      <c r="B3590" s="85">
        <v>2034</v>
      </c>
      <c r="C3590" s="85">
        <v>10</v>
      </c>
      <c r="D3590" s="85" t="s">
        <v>75</v>
      </c>
      <c r="E3590" s="85">
        <v>24</v>
      </c>
      <c r="F3590" s="85">
        <v>2</v>
      </c>
      <c r="G3590" s="85">
        <f>--(F3590&lt;=Estimator!$B$7)</f>
        <v>1</v>
      </c>
      <c r="H3590" s="86">
        <f>SUMIFS('Climate Data'!$G$7:$G$366,'Climate Data'!$A$7:$A$366,Estimator!$B$4,'Climate Data'!$B$7:$B$366,C3590)</f>
        <v>0.23225806451612904</v>
      </c>
      <c r="I3590" s="87">
        <f>SUMIFS('Climate Data'!$H$7:$H$366,'Climate Data'!$A$7:$A$366,Estimator!$B$4,'Climate Data'!$B$7:$B$366,C3590)</f>
        <v>6.8194444444444446</v>
      </c>
      <c r="J3590" s="86">
        <f>SUMIFS('Wind Proxy'!$H$8:$H$19,'Wind Proxy'!$A$8:$A$19,Estimator!$B$4,'Wind Proxy'!$B$8:$B$19,C3590)</f>
        <v>0</v>
      </c>
    </row>
    <row r="3591" spans="1:10" ht="14.4">
      <c r="A3591" s="84">
        <v>49242</v>
      </c>
      <c r="B3591" s="85">
        <v>2034</v>
      </c>
      <c r="C3591" s="85">
        <v>10</v>
      </c>
      <c r="D3591" s="85" t="s">
        <v>75</v>
      </c>
      <c r="E3591" s="85">
        <v>25</v>
      </c>
      <c r="F3591" s="85">
        <v>3</v>
      </c>
      <c r="G3591" s="85">
        <f>--(F3591&lt;=Estimator!$B$7)</f>
        <v>1</v>
      </c>
      <c r="H3591" s="86">
        <f>SUMIFS('Climate Data'!$G$7:$G$366,'Climate Data'!$A$7:$A$366,Estimator!$B$4,'Climate Data'!$B$7:$B$366,C3591)</f>
        <v>0.23225806451612904</v>
      </c>
      <c r="I3591" s="87">
        <f>SUMIFS('Climate Data'!$H$7:$H$366,'Climate Data'!$A$7:$A$366,Estimator!$B$4,'Climate Data'!$B$7:$B$366,C3591)</f>
        <v>6.8194444444444446</v>
      </c>
      <c r="J3591" s="86">
        <f>SUMIFS('Wind Proxy'!$H$8:$H$19,'Wind Proxy'!$A$8:$A$19,Estimator!$B$4,'Wind Proxy'!$B$8:$B$19,C3591)</f>
        <v>0</v>
      </c>
    </row>
    <row r="3592" spans="1:10" ht="14.4">
      <c r="A3592" s="84">
        <v>49243</v>
      </c>
      <c r="B3592" s="85">
        <v>2034</v>
      </c>
      <c r="C3592" s="85">
        <v>10</v>
      </c>
      <c r="D3592" s="85" t="s">
        <v>75</v>
      </c>
      <c r="E3592" s="85">
        <v>26</v>
      </c>
      <c r="F3592" s="85">
        <v>4</v>
      </c>
      <c r="G3592" s="85">
        <f>--(F3592&lt;=Estimator!$B$7)</f>
        <v>1</v>
      </c>
      <c r="H3592" s="86">
        <f>SUMIFS('Climate Data'!$G$7:$G$366,'Climate Data'!$A$7:$A$366,Estimator!$B$4,'Climate Data'!$B$7:$B$366,C3592)</f>
        <v>0.23225806451612904</v>
      </c>
      <c r="I3592" s="87">
        <f>SUMIFS('Climate Data'!$H$7:$H$366,'Climate Data'!$A$7:$A$366,Estimator!$B$4,'Climate Data'!$B$7:$B$366,C3592)</f>
        <v>6.8194444444444446</v>
      </c>
      <c r="J3592" s="86">
        <f>SUMIFS('Wind Proxy'!$H$8:$H$19,'Wind Proxy'!$A$8:$A$19,Estimator!$B$4,'Wind Proxy'!$B$8:$B$19,C3592)</f>
        <v>0</v>
      </c>
    </row>
    <row r="3593" spans="1:10" ht="14.4">
      <c r="A3593" s="84">
        <v>49244</v>
      </c>
      <c r="B3593" s="85">
        <v>2034</v>
      </c>
      <c r="C3593" s="85">
        <v>10</v>
      </c>
      <c r="D3593" s="85" t="s">
        <v>75</v>
      </c>
      <c r="E3593" s="85">
        <v>27</v>
      </c>
      <c r="F3593" s="85">
        <v>5</v>
      </c>
      <c r="G3593" s="85">
        <f>--(F3593&lt;=Estimator!$B$7)</f>
        <v>1</v>
      </c>
      <c r="H3593" s="86">
        <f>SUMIFS('Climate Data'!$G$7:$G$366,'Climate Data'!$A$7:$A$366,Estimator!$B$4,'Climate Data'!$B$7:$B$366,C3593)</f>
        <v>0.23225806451612904</v>
      </c>
      <c r="I3593" s="87">
        <f>SUMIFS('Climate Data'!$H$7:$H$366,'Climate Data'!$A$7:$A$366,Estimator!$B$4,'Climate Data'!$B$7:$B$366,C3593)</f>
        <v>6.8194444444444446</v>
      </c>
      <c r="J3593" s="86">
        <f>SUMIFS('Wind Proxy'!$H$8:$H$19,'Wind Proxy'!$A$8:$A$19,Estimator!$B$4,'Wind Proxy'!$B$8:$B$19,C3593)</f>
        <v>0</v>
      </c>
    </row>
    <row r="3594" spans="1:10" ht="14.4">
      <c r="A3594" s="84">
        <v>49245</v>
      </c>
      <c r="B3594" s="85">
        <v>2034</v>
      </c>
      <c r="C3594" s="85">
        <v>10</v>
      </c>
      <c r="D3594" s="85" t="s">
        <v>75</v>
      </c>
      <c r="E3594" s="85">
        <v>28</v>
      </c>
      <c r="F3594" s="85">
        <v>6</v>
      </c>
      <c r="G3594" s="85">
        <f>--(F3594&lt;=Estimator!$B$7)</f>
        <v>0</v>
      </c>
      <c r="H3594" s="86">
        <f>SUMIFS('Climate Data'!$G$7:$G$366,'Climate Data'!$A$7:$A$366,Estimator!$B$4,'Climate Data'!$B$7:$B$366,C3594)</f>
        <v>0.23225806451612904</v>
      </c>
      <c r="I3594" s="87">
        <f>SUMIFS('Climate Data'!$H$7:$H$366,'Climate Data'!$A$7:$A$366,Estimator!$B$4,'Climate Data'!$B$7:$B$366,C3594)</f>
        <v>6.8194444444444446</v>
      </c>
      <c r="J3594" s="86">
        <f>SUMIFS('Wind Proxy'!$H$8:$H$19,'Wind Proxy'!$A$8:$A$19,Estimator!$B$4,'Wind Proxy'!$B$8:$B$19,C3594)</f>
        <v>0</v>
      </c>
    </row>
    <row r="3595" spans="1:10" ht="14.4">
      <c r="A3595" s="84">
        <v>49246</v>
      </c>
      <c r="B3595" s="85">
        <v>2034</v>
      </c>
      <c r="C3595" s="85">
        <v>10</v>
      </c>
      <c r="D3595" s="85" t="s">
        <v>75</v>
      </c>
      <c r="E3595" s="85">
        <v>29</v>
      </c>
      <c r="F3595" s="85">
        <v>7</v>
      </c>
      <c r="G3595" s="85">
        <f>--(F3595&lt;=Estimator!$B$7)</f>
        <v>0</v>
      </c>
      <c r="H3595" s="86">
        <f>SUMIFS('Climate Data'!$G$7:$G$366,'Climate Data'!$A$7:$A$366,Estimator!$B$4,'Climate Data'!$B$7:$B$366,C3595)</f>
        <v>0.23225806451612904</v>
      </c>
      <c r="I3595" s="87">
        <f>SUMIFS('Climate Data'!$H$7:$H$366,'Climate Data'!$A$7:$A$366,Estimator!$B$4,'Climate Data'!$B$7:$B$366,C3595)</f>
        <v>6.8194444444444446</v>
      </c>
      <c r="J3595" s="86">
        <f>SUMIFS('Wind Proxy'!$H$8:$H$19,'Wind Proxy'!$A$8:$A$19,Estimator!$B$4,'Wind Proxy'!$B$8:$B$19,C3595)</f>
        <v>0</v>
      </c>
    </row>
    <row r="3596" spans="1:10" ht="14.4">
      <c r="A3596" s="84">
        <v>49247</v>
      </c>
      <c r="B3596" s="85">
        <v>2034</v>
      </c>
      <c r="C3596" s="85">
        <v>10</v>
      </c>
      <c r="D3596" s="85" t="s">
        <v>75</v>
      </c>
      <c r="E3596" s="85">
        <v>30</v>
      </c>
      <c r="F3596" s="85">
        <v>1</v>
      </c>
      <c r="G3596" s="85">
        <f>--(F3596&lt;=Estimator!$B$7)</f>
        <v>1</v>
      </c>
      <c r="H3596" s="86">
        <f>SUMIFS('Climate Data'!$G$7:$G$366,'Climate Data'!$A$7:$A$366,Estimator!$B$4,'Climate Data'!$B$7:$B$366,C3596)</f>
        <v>0.23225806451612904</v>
      </c>
      <c r="I3596" s="87">
        <f>SUMIFS('Climate Data'!$H$7:$H$366,'Climate Data'!$A$7:$A$366,Estimator!$B$4,'Climate Data'!$B$7:$B$366,C3596)</f>
        <v>6.8194444444444446</v>
      </c>
      <c r="J3596" s="86">
        <f>SUMIFS('Wind Proxy'!$H$8:$H$19,'Wind Proxy'!$A$8:$A$19,Estimator!$B$4,'Wind Proxy'!$B$8:$B$19,C3596)</f>
        <v>0</v>
      </c>
    </row>
    <row r="3597" spans="1:10" ht="14.4">
      <c r="A3597" s="84">
        <v>49248</v>
      </c>
      <c r="B3597" s="85">
        <v>2034</v>
      </c>
      <c r="C3597" s="85">
        <v>10</v>
      </c>
      <c r="D3597" s="85" t="s">
        <v>75</v>
      </c>
      <c r="E3597" s="85">
        <v>31</v>
      </c>
      <c r="F3597" s="85">
        <v>2</v>
      </c>
      <c r="G3597" s="85">
        <f>--(F3597&lt;=Estimator!$B$7)</f>
        <v>1</v>
      </c>
      <c r="H3597" s="86">
        <f>SUMIFS('Climate Data'!$G$7:$G$366,'Climate Data'!$A$7:$A$366,Estimator!$B$4,'Climate Data'!$B$7:$B$366,C3597)</f>
        <v>0.23225806451612904</v>
      </c>
      <c r="I3597" s="87">
        <f>SUMIFS('Climate Data'!$H$7:$H$366,'Climate Data'!$A$7:$A$366,Estimator!$B$4,'Climate Data'!$B$7:$B$366,C3597)</f>
        <v>6.8194444444444446</v>
      </c>
      <c r="J3597" s="86">
        <f>SUMIFS('Wind Proxy'!$H$8:$H$19,'Wind Proxy'!$A$8:$A$19,Estimator!$B$4,'Wind Proxy'!$B$8:$B$19,C3597)</f>
        <v>0</v>
      </c>
    </row>
    <row r="3598" spans="1:10" ht="14.4">
      <c r="A3598" s="84">
        <v>49249</v>
      </c>
      <c r="B3598" s="85">
        <v>2034</v>
      </c>
      <c r="C3598" s="85">
        <v>11</v>
      </c>
      <c r="D3598" s="85" t="s">
        <v>76</v>
      </c>
      <c r="E3598" s="85">
        <v>1</v>
      </c>
      <c r="F3598" s="85">
        <v>3</v>
      </c>
      <c r="G3598" s="85">
        <f>--(F3598&lt;=Estimator!$B$7)</f>
        <v>1</v>
      </c>
      <c r="H3598" s="86">
        <f>SUMIFS('Climate Data'!$G$7:$G$366,'Climate Data'!$A$7:$A$366,Estimator!$B$4,'Climate Data'!$B$7:$B$366,C3598)</f>
        <v>0.23333333333333334</v>
      </c>
      <c r="I3598" s="87">
        <f>SUMIFS('Climate Data'!$H$7:$H$366,'Climate Data'!$A$7:$A$366,Estimator!$B$4,'Climate Data'!$B$7:$B$366,C3598)</f>
        <v>6.4428571428571431</v>
      </c>
      <c r="J3598" s="86">
        <f>SUMIFS('Wind Proxy'!$H$8:$H$19,'Wind Proxy'!$A$8:$A$19,Estimator!$B$4,'Wind Proxy'!$B$8:$B$19,C3598)</f>
        <v>0</v>
      </c>
    </row>
    <row r="3599" spans="1:10" ht="14.4">
      <c r="A3599" s="84">
        <v>49250</v>
      </c>
      <c r="B3599" s="85">
        <v>2034</v>
      </c>
      <c r="C3599" s="85">
        <v>11</v>
      </c>
      <c r="D3599" s="85" t="s">
        <v>76</v>
      </c>
      <c r="E3599" s="85">
        <v>2</v>
      </c>
      <c r="F3599" s="85">
        <v>4</v>
      </c>
      <c r="G3599" s="85">
        <f>--(F3599&lt;=Estimator!$B$7)</f>
        <v>1</v>
      </c>
      <c r="H3599" s="86">
        <f>SUMIFS('Climate Data'!$G$7:$G$366,'Climate Data'!$A$7:$A$366,Estimator!$B$4,'Climate Data'!$B$7:$B$366,C3599)</f>
        <v>0.23333333333333334</v>
      </c>
      <c r="I3599" s="87">
        <f>SUMIFS('Climate Data'!$H$7:$H$366,'Climate Data'!$A$7:$A$366,Estimator!$B$4,'Climate Data'!$B$7:$B$366,C3599)</f>
        <v>6.4428571428571431</v>
      </c>
      <c r="J3599" s="86">
        <f>SUMIFS('Wind Proxy'!$H$8:$H$19,'Wind Proxy'!$A$8:$A$19,Estimator!$B$4,'Wind Proxy'!$B$8:$B$19,C3599)</f>
        <v>0</v>
      </c>
    </row>
    <row r="3600" spans="1:10" ht="14.4">
      <c r="A3600" s="84">
        <v>49251</v>
      </c>
      <c r="B3600" s="85">
        <v>2034</v>
      </c>
      <c r="C3600" s="85">
        <v>11</v>
      </c>
      <c r="D3600" s="85" t="s">
        <v>76</v>
      </c>
      <c r="E3600" s="85">
        <v>3</v>
      </c>
      <c r="F3600" s="85">
        <v>5</v>
      </c>
      <c r="G3600" s="85">
        <f>--(F3600&lt;=Estimator!$B$7)</f>
        <v>1</v>
      </c>
      <c r="H3600" s="86">
        <f>SUMIFS('Climate Data'!$G$7:$G$366,'Climate Data'!$A$7:$A$366,Estimator!$B$4,'Climate Data'!$B$7:$B$366,C3600)</f>
        <v>0.23333333333333334</v>
      </c>
      <c r="I3600" s="87">
        <f>SUMIFS('Climate Data'!$H$7:$H$366,'Climate Data'!$A$7:$A$366,Estimator!$B$4,'Climate Data'!$B$7:$B$366,C3600)</f>
        <v>6.4428571428571431</v>
      </c>
      <c r="J3600" s="86">
        <f>SUMIFS('Wind Proxy'!$H$8:$H$19,'Wind Proxy'!$A$8:$A$19,Estimator!$B$4,'Wind Proxy'!$B$8:$B$19,C3600)</f>
        <v>0</v>
      </c>
    </row>
    <row r="3601" spans="1:10" ht="14.4">
      <c r="A3601" s="84">
        <v>49252</v>
      </c>
      <c r="B3601" s="85">
        <v>2034</v>
      </c>
      <c r="C3601" s="85">
        <v>11</v>
      </c>
      <c r="D3601" s="85" t="s">
        <v>76</v>
      </c>
      <c r="E3601" s="85">
        <v>4</v>
      </c>
      <c r="F3601" s="85">
        <v>6</v>
      </c>
      <c r="G3601" s="85">
        <f>--(F3601&lt;=Estimator!$B$7)</f>
        <v>0</v>
      </c>
      <c r="H3601" s="86">
        <f>SUMIFS('Climate Data'!$G$7:$G$366,'Climate Data'!$A$7:$A$366,Estimator!$B$4,'Climate Data'!$B$7:$B$366,C3601)</f>
        <v>0.23333333333333334</v>
      </c>
      <c r="I3601" s="87">
        <f>SUMIFS('Climate Data'!$H$7:$H$366,'Climate Data'!$A$7:$A$366,Estimator!$B$4,'Climate Data'!$B$7:$B$366,C3601)</f>
        <v>6.4428571428571431</v>
      </c>
      <c r="J3601" s="86">
        <f>SUMIFS('Wind Proxy'!$H$8:$H$19,'Wind Proxy'!$A$8:$A$19,Estimator!$B$4,'Wind Proxy'!$B$8:$B$19,C3601)</f>
        <v>0</v>
      </c>
    </row>
    <row r="3602" spans="1:10" ht="14.4">
      <c r="A3602" s="84">
        <v>49253</v>
      </c>
      <c r="B3602" s="85">
        <v>2034</v>
      </c>
      <c r="C3602" s="85">
        <v>11</v>
      </c>
      <c r="D3602" s="85" t="s">
        <v>76</v>
      </c>
      <c r="E3602" s="85">
        <v>5</v>
      </c>
      <c r="F3602" s="85">
        <v>7</v>
      </c>
      <c r="G3602" s="85">
        <f>--(F3602&lt;=Estimator!$B$7)</f>
        <v>0</v>
      </c>
      <c r="H3602" s="86">
        <f>SUMIFS('Climate Data'!$G$7:$G$366,'Climate Data'!$A$7:$A$366,Estimator!$B$4,'Climate Data'!$B$7:$B$366,C3602)</f>
        <v>0.23333333333333334</v>
      </c>
      <c r="I3602" s="87">
        <f>SUMIFS('Climate Data'!$H$7:$H$366,'Climate Data'!$A$7:$A$366,Estimator!$B$4,'Climate Data'!$B$7:$B$366,C3602)</f>
        <v>6.4428571428571431</v>
      </c>
      <c r="J3602" s="86">
        <f>SUMIFS('Wind Proxy'!$H$8:$H$19,'Wind Proxy'!$A$8:$A$19,Estimator!$B$4,'Wind Proxy'!$B$8:$B$19,C3602)</f>
        <v>0</v>
      </c>
    </row>
    <row r="3603" spans="1:10" ht="14.4">
      <c r="A3603" s="84">
        <v>49254</v>
      </c>
      <c r="B3603" s="85">
        <v>2034</v>
      </c>
      <c r="C3603" s="85">
        <v>11</v>
      </c>
      <c r="D3603" s="85" t="s">
        <v>76</v>
      </c>
      <c r="E3603" s="85">
        <v>6</v>
      </c>
      <c r="F3603" s="85">
        <v>1</v>
      </c>
      <c r="G3603" s="85">
        <f>--(F3603&lt;=Estimator!$B$7)</f>
        <v>1</v>
      </c>
      <c r="H3603" s="86">
        <f>SUMIFS('Climate Data'!$G$7:$G$366,'Climate Data'!$A$7:$A$366,Estimator!$B$4,'Climate Data'!$B$7:$B$366,C3603)</f>
        <v>0.23333333333333334</v>
      </c>
      <c r="I3603" s="87">
        <f>SUMIFS('Climate Data'!$H$7:$H$366,'Climate Data'!$A$7:$A$366,Estimator!$B$4,'Climate Data'!$B$7:$B$366,C3603)</f>
        <v>6.4428571428571431</v>
      </c>
      <c r="J3603" s="86">
        <f>SUMIFS('Wind Proxy'!$H$8:$H$19,'Wind Proxy'!$A$8:$A$19,Estimator!$B$4,'Wind Proxy'!$B$8:$B$19,C3603)</f>
        <v>0</v>
      </c>
    </row>
    <row r="3604" spans="1:10" ht="14.4">
      <c r="A3604" s="84">
        <v>49255</v>
      </c>
      <c r="B3604" s="85">
        <v>2034</v>
      </c>
      <c r="C3604" s="85">
        <v>11</v>
      </c>
      <c r="D3604" s="85" t="s">
        <v>76</v>
      </c>
      <c r="E3604" s="85">
        <v>7</v>
      </c>
      <c r="F3604" s="85">
        <v>2</v>
      </c>
      <c r="G3604" s="85">
        <f>--(F3604&lt;=Estimator!$B$7)</f>
        <v>1</v>
      </c>
      <c r="H3604" s="86">
        <f>SUMIFS('Climate Data'!$G$7:$G$366,'Climate Data'!$A$7:$A$366,Estimator!$B$4,'Climate Data'!$B$7:$B$366,C3604)</f>
        <v>0.23333333333333334</v>
      </c>
      <c r="I3604" s="87">
        <f>SUMIFS('Climate Data'!$H$7:$H$366,'Climate Data'!$A$7:$A$366,Estimator!$B$4,'Climate Data'!$B$7:$B$366,C3604)</f>
        <v>6.4428571428571431</v>
      </c>
      <c r="J3604" s="86">
        <f>SUMIFS('Wind Proxy'!$H$8:$H$19,'Wind Proxy'!$A$8:$A$19,Estimator!$B$4,'Wind Proxy'!$B$8:$B$19,C3604)</f>
        <v>0</v>
      </c>
    </row>
    <row r="3605" spans="1:10" ht="14.4">
      <c r="A3605" s="84">
        <v>49256</v>
      </c>
      <c r="B3605" s="85">
        <v>2034</v>
      </c>
      <c r="C3605" s="85">
        <v>11</v>
      </c>
      <c r="D3605" s="85" t="s">
        <v>76</v>
      </c>
      <c r="E3605" s="85">
        <v>8</v>
      </c>
      <c r="F3605" s="85">
        <v>3</v>
      </c>
      <c r="G3605" s="85">
        <f>--(F3605&lt;=Estimator!$B$7)</f>
        <v>1</v>
      </c>
      <c r="H3605" s="86">
        <f>SUMIFS('Climate Data'!$G$7:$G$366,'Climate Data'!$A$7:$A$366,Estimator!$B$4,'Climate Data'!$B$7:$B$366,C3605)</f>
        <v>0.23333333333333334</v>
      </c>
      <c r="I3605" s="87">
        <f>SUMIFS('Climate Data'!$H$7:$H$366,'Climate Data'!$A$7:$A$366,Estimator!$B$4,'Climate Data'!$B$7:$B$366,C3605)</f>
        <v>6.4428571428571431</v>
      </c>
      <c r="J3605" s="86">
        <f>SUMIFS('Wind Proxy'!$H$8:$H$19,'Wind Proxy'!$A$8:$A$19,Estimator!$B$4,'Wind Proxy'!$B$8:$B$19,C3605)</f>
        <v>0</v>
      </c>
    </row>
    <row r="3606" spans="1:10" ht="14.4">
      <c r="A3606" s="84">
        <v>49257</v>
      </c>
      <c r="B3606" s="85">
        <v>2034</v>
      </c>
      <c r="C3606" s="85">
        <v>11</v>
      </c>
      <c r="D3606" s="85" t="s">
        <v>76</v>
      </c>
      <c r="E3606" s="85">
        <v>9</v>
      </c>
      <c r="F3606" s="85">
        <v>4</v>
      </c>
      <c r="G3606" s="85">
        <f>--(F3606&lt;=Estimator!$B$7)</f>
        <v>1</v>
      </c>
      <c r="H3606" s="86">
        <f>SUMIFS('Climate Data'!$G$7:$G$366,'Climate Data'!$A$7:$A$366,Estimator!$B$4,'Climate Data'!$B$7:$B$366,C3606)</f>
        <v>0.23333333333333334</v>
      </c>
      <c r="I3606" s="87">
        <f>SUMIFS('Climate Data'!$H$7:$H$366,'Climate Data'!$A$7:$A$366,Estimator!$B$4,'Climate Data'!$B$7:$B$366,C3606)</f>
        <v>6.4428571428571431</v>
      </c>
      <c r="J3606" s="86">
        <f>SUMIFS('Wind Proxy'!$H$8:$H$19,'Wind Proxy'!$A$8:$A$19,Estimator!$B$4,'Wind Proxy'!$B$8:$B$19,C3606)</f>
        <v>0</v>
      </c>
    </row>
    <row r="3607" spans="1:10" ht="14.4">
      <c r="A3607" s="84">
        <v>49258</v>
      </c>
      <c r="B3607" s="85">
        <v>2034</v>
      </c>
      <c r="C3607" s="85">
        <v>11</v>
      </c>
      <c r="D3607" s="85" t="s">
        <v>76</v>
      </c>
      <c r="E3607" s="85">
        <v>10</v>
      </c>
      <c r="F3607" s="85">
        <v>5</v>
      </c>
      <c r="G3607" s="85">
        <f>--(F3607&lt;=Estimator!$B$7)</f>
        <v>1</v>
      </c>
      <c r="H3607" s="86">
        <f>SUMIFS('Climate Data'!$G$7:$G$366,'Climate Data'!$A$7:$A$366,Estimator!$B$4,'Climate Data'!$B$7:$B$366,C3607)</f>
        <v>0.23333333333333334</v>
      </c>
      <c r="I3607" s="87">
        <f>SUMIFS('Climate Data'!$H$7:$H$366,'Climate Data'!$A$7:$A$366,Estimator!$B$4,'Climate Data'!$B$7:$B$366,C3607)</f>
        <v>6.4428571428571431</v>
      </c>
      <c r="J3607" s="86">
        <f>SUMIFS('Wind Proxy'!$H$8:$H$19,'Wind Proxy'!$A$8:$A$19,Estimator!$B$4,'Wind Proxy'!$B$8:$B$19,C3607)</f>
        <v>0</v>
      </c>
    </row>
    <row r="3608" spans="1:10" ht="14.4">
      <c r="A3608" s="84">
        <v>49259</v>
      </c>
      <c r="B3608" s="85">
        <v>2034</v>
      </c>
      <c r="C3608" s="85">
        <v>11</v>
      </c>
      <c r="D3608" s="85" t="s">
        <v>76</v>
      </c>
      <c r="E3608" s="85">
        <v>11</v>
      </c>
      <c r="F3608" s="85">
        <v>6</v>
      </c>
      <c r="G3608" s="85">
        <f>--(F3608&lt;=Estimator!$B$7)</f>
        <v>0</v>
      </c>
      <c r="H3608" s="86">
        <f>SUMIFS('Climate Data'!$G$7:$G$366,'Climate Data'!$A$7:$A$366,Estimator!$B$4,'Climate Data'!$B$7:$B$366,C3608)</f>
        <v>0.23333333333333334</v>
      </c>
      <c r="I3608" s="87">
        <f>SUMIFS('Climate Data'!$H$7:$H$366,'Climate Data'!$A$7:$A$366,Estimator!$B$4,'Climate Data'!$B$7:$B$366,C3608)</f>
        <v>6.4428571428571431</v>
      </c>
      <c r="J3608" s="86">
        <f>SUMIFS('Wind Proxy'!$H$8:$H$19,'Wind Proxy'!$A$8:$A$19,Estimator!$B$4,'Wind Proxy'!$B$8:$B$19,C3608)</f>
        <v>0</v>
      </c>
    </row>
    <row r="3609" spans="1:10" ht="14.4">
      <c r="A3609" s="84">
        <v>49260</v>
      </c>
      <c r="B3609" s="85">
        <v>2034</v>
      </c>
      <c r="C3609" s="85">
        <v>11</v>
      </c>
      <c r="D3609" s="85" t="s">
        <v>76</v>
      </c>
      <c r="E3609" s="85">
        <v>12</v>
      </c>
      <c r="F3609" s="85">
        <v>7</v>
      </c>
      <c r="G3609" s="85">
        <f>--(F3609&lt;=Estimator!$B$7)</f>
        <v>0</v>
      </c>
      <c r="H3609" s="86">
        <f>SUMIFS('Climate Data'!$G$7:$G$366,'Climate Data'!$A$7:$A$366,Estimator!$B$4,'Climate Data'!$B$7:$B$366,C3609)</f>
        <v>0.23333333333333334</v>
      </c>
      <c r="I3609" s="87">
        <f>SUMIFS('Climate Data'!$H$7:$H$366,'Climate Data'!$A$7:$A$366,Estimator!$B$4,'Climate Data'!$B$7:$B$366,C3609)</f>
        <v>6.4428571428571431</v>
      </c>
      <c r="J3609" s="86">
        <f>SUMIFS('Wind Proxy'!$H$8:$H$19,'Wind Proxy'!$A$8:$A$19,Estimator!$B$4,'Wind Proxy'!$B$8:$B$19,C3609)</f>
        <v>0</v>
      </c>
    </row>
    <row r="3610" spans="1:10" ht="14.4">
      <c r="A3610" s="84">
        <v>49261</v>
      </c>
      <c r="B3610" s="85">
        <v>2034</v>
      </c>
      <c r="C3610" s="85">
        <v>11</v>
      </c>
      <c r="D3610" s="85" t="s">
        <v>76</v>
      </c>
      <c r="E3610" s="85">
        <v>13</v>
      </c>
      <c r="F3610" s="85">
        <v>1</v>
      </c>
      <c r="G3610" s="85">
        <f>--(F3610&lt;=Estimator!$B$7)</f>
        <v>1</v>
      </c>
      <c r="H3610" s="86">
        <f>SUMIFS('Climate Data'!$G$7:$G$366,'Climate Data'!$A$7:$A$366,Estimator!$B$4,'Climate Data'!$B$7:$B$366,C3610)</f>
        <v>0.23333333333333334</v>
      </c>
      <c r="I3610" s="87">
        <f>SUMIFS('Climate Data'!$H$7:$H$366,'Climate Data'!$A$7:$A$366,Estimator!$B$4,'Climate Data'!$B$7:$B$366,C3610)</f>
        <v>6.4428571428571431</v>
      </c>
      <c r="J3610" s="86">
        <f>SUMIFS('Wind Proxy'!$H$8:$H$19,'Wind Proxy'!$A$8:$A$19,Estimator!$B$4,'Wind Proxy'!$B$8:$B$19,C3610)</f>
        <v>0</v>
      </c>
    </row>
    <row r="3611" spans="1:10" ht="14.4">
      <c r="A3611" s="84">
        <v>49262</v>
      </c>
      <c r="B3611" s="85">
        <v>2034</v>
      </c>
      <c r="C3611" s="85">
        <v>11</v>
      </c>
      <c r="D3611" s="85" t="s">
        <v>76</v>
      </c>
      <c r="E3611" s="85">
        <v>14</v>
      </c>
      <c r="F3611" s="85">
        <v>2</v>
      </c>
      <c r="G3611" s="85">
        <f>--(F3611&lt;=Estimator!$B$7)</f>
        <v>1</v>
      </c>
      <c r="H3611" s="86">
        <f>SUMIFS('Climate Data'!$G$7:$G$366,'Climate Data'!$A$7:$A$366,Estimator!$B$4,'Climate Data'!$B$7:$B$366,C3611)</f>
        <v>0.23333333333333334</v>
      </c>
      <c r="I3611" s="87">
        <f>SUMIFS('Climate Data'!$H$7:$H$366,'Climate Data'!$A$7:$A$366,Estimator!$B$4,'Climate Data'!$B$7:$B$366,C3611)</f>
        <v>6.4428571428571431</v>
      </c>
      <c r="J3611" s="86">
        <f>SUMIFS('Wind Proxy'!$H$8:$H$19,'Wind Proxy'!$A$8:$A$19,Estimator!$B$4,'Wind Proxy'!$B$8:$B$19,C3611)</f>
        <v>0</v>
      </c>
    </row>
    <row r="3612" spans="1:10" ht="14.4">
      <c r="A3612" s="84">
        <v>49263</v>
      </c>
      <c r="B3612" s="85">
        <v>2034</v>
      </c>
      <c r="C3612" s="85">
        <v>11</v>
      </c>
      <c r="D3612" s="85" t="s">
        <v>76</v>
      </c>
      <c r="E3612" s="85">
        <v>15</v>
      </c>
      <c r="F3612" s="85">
        <v>3</v>
      </c>
      <c r="G3612" s="85">
        <f>--(F3612&lt;=Estimator!$B$7)</f>
        <v>1</v>
      </c>
      <c r="H3612" s="86">
        <f>SUMIFS('Climate Data'!$G$7:$G$366,'Climate Data'!$A$7:$A$366,Estimator!$B$4,'Climate Data'!$B$7:$B$366,C3612)</f>
        <v>0.23333333333333334</v>
      </c>
      <c r="I3612" s="87">
        <f>SUMIFS('Climate Data'!$H$7:$H$366,'Climate Data'!$A$7:$A$366,Estimator!$B$4,'Climate Data'!$B$7:$B$366,C3612)</f>
        <v>6.4428571428571431</v>
      </c>
      <c r="J3612" s="86">
        <f>SUMIFS('Wind Proxy'!$H$8:$H$19,'Wind Proxy'!$A$8:$A$19,Estimator!$B$4,'Wind Proxy'!$B$8:$B$19,C3612)</f>
        <v>0</v>
      </c>
    </row>
    <row r="3613" spans="1:10" ht="14.4">
      <c r="A3613" s="84">
        <v>49264</v>
      </c>
      <c r="B3613" s="85">
        <v>2034</v>
      </c>
      <c r="C3613" s="85">
        <v>11</v>
      </c>
      <c r="D3613" s="85" t="s">
        <v>76</v>
      </c>
      <c r="E3613" s="85">
        <v>16</v>
      </c>
      <c r="F3613" s="85">
        <v>4</v>
      </c>
      <c r="G3613" s="85">
        <f>--(F3613&lt;=Estimator!$B$7)</f>
        <v>1</v>
      </c>
      <c r="H3613" s="86">
        <f>SUMIFS('Climate Data'!$G$7:$G$366,'Climate Data'!$A$7:$A$366,Estimator!$B$4,'Climate Data'!$B$7:$B$366,C3613)</f>
        <v>0.23333333333333334</v>
      </c>
      <c r="I3613" s="87">
        <f>SUMIFS('Climate Data'!$H$7:$H$366,'Climate Data'!$A$7:$A$366,Estimator!$B$4,'Climate Data'!$B$7:$B$366,C3613)</f>
        <v>6.4428571428571431</v>
      </c>
      <c r="J3613" s="86">
        <f>SUMIFS('Wind Proxy'!$H$8:$H$19,'Wind Proxy'!$A$8:$A$19,Estimator!$B$4,'Wind Proxy'!$B$8:$B$19,C3613)</f>
        <v>0</v>
      </c>
    </row>
    <row r="3614" spans="1:10" ht="14.4">
      <c r="A3614" s="84">
        <v>49265</v>
      </c>
      <c r="B3614" s="85">
        <v>2034</v>
      </c>
      <c r="C3614" s="85">
        <v>11</v>
      </c>
      <c r="D3614" s="85" t="s">
        <v>76</v>
      </c>
      <c r="E3614" s="85">
        <v>17</v>
      </c>
      <c r="F3614" s="85">
        <v>5</v>
      </c>
      <c r="G3614" s="85">
        <f>--(F3614&lt;=Estimator!$B$7)</f>
        <v>1</v>
      </c>
      <c r="H3614" s="86">
        <f>SUMIFS('Climate Data'!$G$7:$G$366,'Climate Data'!$A$7:$A$366,Estimator!$B$4,'Climate Data'!$B$7:$B$366,C3614)</f>
        <v>0.23333333333333334</v>
      </c>
      <c r="I3614" s="87">
        <f>SUMIFS('Climate Data'!$H$7:$H$366,'Climate Data'!$A$7:$A$366,Estimator!$B$4,'Climate Data'!$B$7:$B$366,C3614)</f>
        <v>6.4428571428571431</v>
      </c>
      <c r="J3614" s="86">
        <f>SUMIFS('Wind Proxy'!$H$8:$H$19,'Wind Proxy'!$A$8:$A$19,Estimator!$B$4,'Wind Proxy'!$B$8:$B$19,C3614)</f>
        <v>0</v>
      </c>
    </row>
    <row r="3615" spans="1:10" ht="14.4">
      <c r="A3615" s="84">
        <v>49266</v>
      </c>
      <c r="B3615" s="85">
        <v>2034</v>
      </c>
      <c r="C3615" s="85">
        <v>11</v>
      </c>
      <c r="D3615" s="85" t="s">
        <v>76</v>
      </c>
      <c r="E3615" s="85">
        <v>18</v>
      </c>
      <c r="F3615" s="85">
        <v>6</v>
      </c>
      <c r="G3615" s="85">
        <f>--(F3615&lt;=Estimator!$B$7)</f>
        <v>0</v>
      </c>
      <c r="H3615" s="86">
        <f>SUMIFS('Climate Data'!$G$7:$G$366,'Climate Data'!$A$7:$A$366,Estimator!$B$4,'Climate Data'!$B$7:$B$366,C3615)</f>
        <v>0.23333333333333334</v>
      </c>
      <c r="I3615" s="87">
        <f>SUMIFS('Climate Data'!$H$7:$H$366,'Climate Data'!$A$7:$A$366,Estimator!$B$4,'Climate Data'!$B$7:$B$366,C3615)</f>
        <v>6.4428571428571431</v>
      </c>
      <c r="J3615" s="86">
        <f>SUMIFS('Wind Proxy'!$H$8:$H$19,'Wind Proxy'!$A$8:$A$19,Estimator!$B$4,'Wind Proxy'!$B$8:$B$19,C3615)</f>
        <v>0</v>
      </c>
    </row>
    <row r="3616" spans="1:10" ht="14.4">
      <c r="A3616" s="84">
        <v>49267</v>
      </c>
      <c r="B3616" s="85">
        <v>2034</v>
      </c>
      <c r="C3616" s="85">
        <v>11</v>
      </c>
      <c r="D3616" s="85" t="s">
        <v>76</v>
      </c>
      <c r="E3616" s="85">
        <v>19</v>
      </c>
      <c r="F3616" s="85">
        <v>7</v>
      </c>
      <c r="G3616" s="85">
        <f>--(F3616&lt;=Estimator!$B$7)</f>
        <v>0</v>
      </c>
      <c r="H3616" s="86">
        <f>SUMIFS('Climate Data'!$G$7:$G$366,'Climate Data'!$A$7:$A$366,Estimator!$B$4,'Climate Data'!$B$7:$B$366,C3616)</f>
        <v>0.23333333333333334</v>
      </c>
      <c r="I3616" s="87">
        <f>SUMIFS('Climate Data'!$H$7:$H$366,'Climate Data'!$A$7:$A$366,Estimator!$B$4,'Climate Data'!$B$7:$B$366,C3616)</f>
        <v>6.4428571428571431</v>
      </c>
      <c r="J3616" s="86">
        <f>SUMIFS('Wind Proxy'!$H$8:$H$19,'Wind Proxy'!$A$8:$A$19,Estimator!$B$4,'Wind Proxy'!$B$8:$B$19,C3616)</f>
        <v>0</v>
      </c>
    </row>
    <row r="3617" spans="1:10" ht="14.4">
      <c r="A3617" s="84">
        <v>49268</v>
      </c>
      <c r="B3617" s="85">
        <v>2034</v>
      </c>
      <c r="C3617" s="85">
        <v>11</v>
      </c>
      <c r="D3617" s="85" t="s">
        <v>76</v>
      </c>
      <c r="E3617" s="85">
        <v>20</v>
      </c>
      <c r="F3617" s="85">
        <v>1</v>
      </c>
      <c r="G3617" s="85">
        <f>--(F3617&lt;=Estimator!$B$7)</f>
        <v>1</v>
      </c>
      <c r="H3617" s="86">
        <f>SUMIFS('Climate Data'!$G$7:$G$366,'Climate Data'!$A$7:$A$366,Estimator!$B$4,'Climate Data'!$B$7:$B$366,C3617)</f>
        <v>0.23333333333333334</v>
      </c>
      <c r="I3617" s="87">
        <f>SUMIFS('Climate Data'!$H$7:$H$366,'Climate Data'!$A$7:$A$366,Estimator!$B$4,'Climate Data'!$B$7:$B$366,C3617)</f>
        <v>6.4428571428571431</v>
      </c>
      <c r="J3617" s="86">
        <f>SUMIFS('Wind Proxy'!$H$8:$H$19,'Wind Proxy'!$A$8:$A$19,Estimator!$B$4,'Wind Proxy'!$B$8:$B$19,C3617)</f>
        <v>0</v>
      </c>
    </row>
    <row r="3618" spans="1:10" ht="14.4">
      <c r="A3618" s="84">
        <v>49269</v>
      </c>
      <c r="B3618" s="85">
        <v>2034</v>
      </c>
      <c r="C3618" s="85">
        <v>11</v>
      </c>
      <c r="D3618" s="85" t="s">
        <v>76</v>
      </c>
      <c r="E3618" s="85">
        <v>21</v>
      </c>
      <c r="F3618" s="85">
        <v>2</v>
      </c>
      <c r="G3618" s="85">
        <f>--(F3618&lt;=Estimator!$B$7)</f>
        <v>1</v>
      </c>
      <c r="H3618" s="86">
        <f>SUMIFS('Climate Data'!$G$7:$G$366,'Climate Data'!$A$7:$A$366,Estimator!$B$4,'Climate Data'!$B$7:$B$366,C3618)</f>
        <v>0.23333333333333334</v>
      </c>
      <c r="I3618" s="87">
        <f>SUMIFS('Climate Data'!$H$7:$H$366,'Climate Data'!$A$7:$A$366,Estimator!$B$4,'Climate Data'!$B$7:$B$366,C3618)</f>
        <v>6.4428571428571431</v>
      </c>
      <c r="J3618" s="86">
        <f>SUMIFS('Wind Proxy'!$H$8:$H$19,'Wind Proxy'!$A$8:$A$19,Estimator!$B$4,'Wind Proxy'!$B$8:$B$19,C3618)</f>
        <v>0</v>
      </c>
    </row>
    <row r="3619" spans="1:10" ht="14.4">
      <c r="A3619" s="84">
        <v>49270</v>
      </c>
      <c r="B3619" s="85">
        <v>2034</v>
      </c>
      <c r="C3619" s="85">
        <v>11</v>
      </c>
      <c r="D3619" s="85" t="s">
        <v>76</v>
      </c>
      <c r="E3619" s="85">
        <v>22</v>
      </c>
      <c r="F3619" s="85">
        <v>3</v>
      </c>
      <c r="G3619" s="85">
        <f>--(F3619&lt;=Estimator!$B$7)</f>
        <v>1</v>
      </c>
      <c r="H3619" s="86">
        <f>SUMIFS('Climate Data'!$G$7:$G$366,'Climate Data'!$A$7:$A$366,Estimator!$B$4,'Climate Data'!$B$7:$B$366,C3619)</f>
        <v>0.23333333333333334</v>
      </c>
      <c r="I3619" s="87">
        <f>SUMIFS('Climate Data'!$H$7:$H$366,'Climate Data'!$A$7:$A$366,Estimator!$B$4,'Climate Data'!$B$7:$B$366,C3619)</f>
        <v>6.4428571428571431</v>
      </c>
      <c r="J3619" s="86">
        <f>SUMIFS('Wind Proxy'!$H$8:$H$19,'Wind Proxy'!$A$8:$A$19,Estimator!$B$4,'Wind Proxy'!$B$8:$B$19,C3619)</f>
        <v>0</v>
      </c>
    </row>
    <row r="3620" spans="1:10" ht="14.4">
      <c r="A3620" s="84">
        <v>49271</v>
      </c>
      <c r="B3620" s="85">
        <v>2034</v>
      </c>
      <c r="C3620" s="85">
        <v>11</v>
      </c>
      <c r="D3620" s="85" t="s">
        <v>76</v>
      </c>
      <c r="E3620" s="85">
        <v>23</v>
      </c>
      <c r="F3620" s="85">
        <v>4</v>
      </c>
      <c r="G3620" s="85">
        <f>--(F3620&lt;=Estimator!$B$7)</f>
        <v>1</v>
      </c>
      <c r="H3620" s="86">
        <f>SUMIFS('Climate Data'!$G$7:$G$366,'Climate Data'!$A$7:$A$366,Estimator!$B$4,'Climate Data'!$B$7:$B$366,C3620)</f>
        <v>0.23333333333333334</v>
      </c>
      <c r="I3620" s="87">
        <f>SUMIFS('Climate Data'!$H$7:$H$366,'Climate Data'!$A$7:$A$366,Estimator!$B$4,'Climate Data'!$B$7:$B$366,C3620)</f>
        <v>6.4428571428571431</v>
      </c>
      <c r="J3620" s="86">
        <f>SUMIFS('Wind Proxy'!$H$8:$H$19,'Wind Proxy'!$A$8:$A$19,Estimator!$B$4,'Wind Proxy'!$B$8:$B$19,C3620)</f>
        <v>0</v>
      </c>
    </row>
    <row r="3621" spans="1:10" ht="14.4">
      <c r="A3621" s="84">
        <v>49272</v>
      </c>
      <c r="B3621" s="85">
        <v>2034</v>
      </c>
      <c r="C3621" s="85">
        <v>11</v>
      </c>
      <c r="D3621" s="85" t="s">
        <v>76</v>
      </c>
      <c r="E3621" s="85">
        <v>24</v>
      </c>
      <c r="F3621" s="85">
        <v>5</v>
      </c>
      <c r="G3621" s="85">
        <f>--(F3621&lt;=Estimator!$B$7)</f>
        <v>1</v>
      </c>
      <c r="H3621" s="86">
        <f>SUMIFS('Climate Data'!$G$7:$G$366,'Climate Data'!$A$7:$A$366,Estimator!$B$4,'Climate Data'!$B$7:$B$366,C3621)</f>
        <v>0.23333333333333334</v>
      </c>
      <c r="I3621" s="87">
        <f>SUMIFS('Climate Data'!$H$7:$H$366,'Climate Data'!$A$7:$A$366,Estimator!$B$4,'Climate Data'!$B$7:$B$366,C3621)</f>
        <v>6.4428571428571431</v>
      </c>
      <c r="J3621" s="86">
        <f>SUMIFS('Wind Proxy'!$H$8:$H$19,'Wind Proxy'!$A$8:$A$19,Estimator!$B$4,'Wind Proxy'!$B$8:$B$19,C3621)</f>
        <v>0</v>
      </c>
    </row>
    <row r="3622" spans="1:10" ht="14.4">
      <c r="A3622" s="84">
        <v>49273</v>
      </c>
      <c r="B3622" s="85">
        <v>2034</v>
      </c>
      <c r="C3622" s="85">
        <v>11</v>
      </c>
      <c r="D3622" s="85" t="s">
        <v>76</v>
      </c>
      <c r="E3622" s="85">
        <v>25</v>
      </c>
      <c r="F3622" s="85">
        <v>6</v>
      </c>
      <c r="G3622" s="85">
        <f>--(F3622&lt;=Estimator!$B$7)</f>
        <v>0</v>
      </c>
      <c r="H3622" s="86">
        <f>SUMIFS('Climate Data'!$G$7:$G$366,'Climate Data'!$A$7:$A$366,Estimator!$B$4,'Climate Data'!$B$7:$B$366,C3622)</f>
        <v>0.23333333333333334</v>
      </c>
      <c r="I3622" s="87">
        <f>SUMIFS('Climate Data'!$H$7:$H$366,'Climate Data'!$A$7:$A$366,Estimator!$B$4,'Climate Data'!$B$7:$B$366,C3622)</f>
        <v>6.4428571428571431</v>
      </c>
      <c r="J3622" s="86">
        <f>SUMIFS('Wind Proxy'!$H$8:$H$19,'Wind Proxy'!$A$8:$A$19,Estimator!$B$4,'Wind Proxy'!$B$8:$B$19,C3622)</f>
        <v>0</v>
      </c>
    </row>
    <row r="3623" spans="1:10" ht="14.4">
      <c r="A3623" s="84">
        <v>49274</v>
      </c>
      <c r="B3623" s="85">
        <v>2034</v>
      </c>
      <c r="C3623" s="85">
        <v>11</v>
      </c>
      <c r="D3623" s="85" t="s">
        <v>76</v>
      </c>
      <c r="E3623" s="85">
        <v>26</v>
      </c>
      <c r="F3623" s="85">
        <v>7</v>
      </c>
      <c r="G3623" s="85">
        <f>--(F3623&lt;=Estimator!$B$7)</f>
        <v>0</v>
      </c>
      <c r="H3623" s="86">
        <f>SUMIFS('Climate Data'!$G$7:$G$366,'Climate Data'!$A$7:$A$366,Estimator!$B$4,'Climate Data'!$B$7:$B$366,C3623)</f>
        <v>0.23333333333333334</v>
      </c>
      <c r="I3623" s="87">
        <f>SUMIFS('Climate Data'!$H$7:$H$366,'Climate Data'!$A$7:$A$366,Estimator!$B$4,'Climate Data'!$B$7:$B$366,C3623)</f>
        <v>6.4428571428571431</v>
      </c>
      <c r="J3623" s="86">
        <f>SUMIFS('Wind Proxy'!$H$8:$H$19,'Wind Proxy'!$A$8:$A$19,Estimator!$B$4,'Wind Proxy'!$B$8:$B$19,C3623)</f>
        <v>0</v>
      </c>
    </row>
    <row r="3624" spans="1:10" ht="14.4">
      <c r="A3624" s="84">
        <v>49275</v>
      </c>
      <c r="B3624" s="85">
        <v>2034</v>
      </c>
      <c r="C3624" s="85">
        <v>11</v>
      </c>
      <c r="D3624" s="85" t="s">
        <v>76</v>
      </c>
      <c r="E3624" s="85">
        <v>27</v>
      </c>
      <c r="F3624" s="85">
        <v>1</v>
      </c>
      <c r="G3624" s="85">
        <f>--(F3624&lt;=Estimator!$B$7)</f>
        <v>1</v>
      </c>
      <c r="H3624" s="86">
        <f>SUMIFS('Climate Data'!$G$7:$G$366,'Climate Data'!$A$7:$A$366,Estimator!$B$4,'Climate Data'!$B$7:$B$366,C3624)</f>
        <v>0.23333333333333334</v>
      </c>
      <c r="I3624" s="87">
        <f>SUMIFS('Climate Data'!$H$7:$H$366,'Climate Data'!$A$7:$A$366,Estimator!$B$4,'Climate Data'!$B$7:$B$366,C3624)</f>
        <v>6.4428571428571431</v>
      </c>
      <c r="J3624" s="86">
        <f>SUMIFS('Wind Proxy'!$H$8:$H$19,'Wind Proxy'!$A$8:$A$19,Estimator!$B$4,'Wind Proxy'!$B$8:$B$19,C3624)</f>
        <v>0</v>
      </c>
    </row>
    <row r="3625" spans="1:10" ht="14.4">
      <c r="A3625" s="84">
        <v>49276</v>
      </c>
      <c r="B3625" s="85">
        <v>2034</v>
      </c>
      <c r="C3625" s="85">
        <v>11</v>
      </c>
      <c r="D3625" s="85" t="s">
        <v>76</v>
      </c>
      <c r="E3625" s="85">
        <v>28</v>
      </c>
      <c r="F3625" s="85">
        <v>2</v>
      </c>
      <c r="G3625" s="85">
        <f>--(F3625&lt;=Estimator!$B$7)</f>
        <v>1</v>
      </c>
      <c r="H3625" s="86">
        <f>SUMIFS('Climate Data'!$G$7:$G$366,'Climate Data'!$A$7:$A$366,Estimator!$B$4,'Climate Data'!$B$7:$B$366,C3625)</f>
        <v>0.23333333333333334</v>
      </c>
      <c r="I3625" s="87">
        <f>SUMIFS('Climate Data'!$H$7:$H$366,'Climate Data'!$A$7:$A$366,Estimator!$B$4,'Climate Data'!$B$7:$B$366,C3625)</f>
        <v>6.4428571428571431</v>
      </c>
      <c r="J3625" s="86">
        <f>SUMIFS('Wind Proxy'!$H$8:$H$19,'Wind Proxy'!$A$8:$A$19,Estimator!$B$4,'Wind Proxy'!$B$8:$B$19,C3625)</f>
        <v>0</v>
      </c>
    </row>
    <row r="3626" spans="1:10" ht="14.4">
      <c r="A3626" s="84">
        <v>49277</v>
      </c>
      <c r="B3626" s="85">
        <v>2034</v>
      </c>
      <c r="C3626" s="85">
        <v>11</v>
      </c>
      <c r="D3626" s="85" t="s">
        <v>76</v>
      </c>
      <c r="E3626" s="85">
        <v>29</v>
      </c>
      <c r="F3626" s="85">
        <v>3</v>
      </c>
      <c r="G3626" s="85">
        <f>--(F3626&lt;=Estimator!$B$7)</f>
        <v>1</v>
      </c>
      <c r="H3626" s="86">
        <f>SUMIFS('Climate Data'!$G$7:$G$366,'Climate Data'!$A$7:$A$366,Estimator!$B$4,'Climate Data'!$B$7:$B$366,C3626)</f>
        <v>0.23333333333333334</v>
      </c>
      <c r="I3626" s="87">
        <f>SUMIFS('Climate Data'!$H$7:$H$366,'Climate Data'!$A$7:$A$366,Estimator!$B$4,'Climate Data'!$B$7:$B$366,C3626)</f>
        <v>6.4428571428571431</v>
      </c>
      <c r="J3626" s="86">
        <f>SUMIFS('Wind Proxy'!$H$8:$H$19,'Wind Proxy'!$A$8:$A$19,Estimator!$B$4,'Wind Proxy'!$B$8:$B$19,C3626)</f>
        <v>0</v>
      </c>
    </row>
    <row r="3627" spans="1:10" ht="14.4">
      <c r="A3627" s="84">
        <v>49278</v>
      </c>
      <c r="B3627" s="85">
        <v>2034</v>
      </c>
      <c r="C3627" s="85">
        <v>11</v>
      </c>
      <c r="D3627" s="85" t="s">
        <v>76</v>
      </c>
      <c r="E3627" s="85">
        <v>30</v>
      </c>
      <c r="F3627" s="85">
        <v>4</v>
      </c>
      <c r="G3627" s="85">
        <f>--(F3627&lt;=Estimator!$B$7)</f>
        <v>1</v>
      </c>
      <c r="H3627" s="86">
        <f>SUMIFS('Climate Data'!$G$7:$G$366,'Climate Data'!$A$7:$A$366,Estimator!$B$4,'Climate Data'!$B$7:$B$366,C3627)</f>
        <v>0.23333333333333334</v>
      </c>
      <c r="I3627" s="87">
        <f>SUMIFS('Climate Data'!$H$7:$H$366,'Climate Data'!$A$7:$A$366,Estimator!$B$4,'Climate Data'!$B$7:$B$366,C3627)</f>
        <v>6.4428571428571431</v>
      </c>
      <c r="J3627" s="86">
        <f>SUMIFS('Wind Proxy'!$H$8:$H$19,'Wind Proxy'!$A$8:$A$19,Estimator!$B$4,'Wind Proxy'!$B$8:$B$19,C3627)</f>
        <v>0</v>
      </c>
    </row>
    <row r="3628" spans="1:10" ht="14.4">
      <c r="A3628" s="84">
        <v>49279</v>
      </c>
      <c r="B3628" s="85">
        <v>2034</v>
      </c>
      <c r="C3628" s="85">
        <v>12</v>
      </c>
      <c r="D3628" s="85" t="s">
        <v>77</v>
      </c>
      <c r="E3628" s="85">
        <v>1</v>
      </c>
      <c r="F3628" s="85">
        <v>5</v>
      </c>
      <c r="G3628" s="85">
        <f>--(F3628&lt;=Estimator!$B$7)</f>
        <v>1</v>
      </c>
      <c r="H3628" s="86">
        <f>SUMIFS('Climate Data'!$G$7:$G$366,'Climate Data'!$A$7:$A$366,Estimator!$B$4,'Climate Data'!$B$7:$B$366,C3628)</f>
        <v>0.22688172043010751</v>
      </c>
      <c r="I3628" s="87">
        <f>SUMIFS('Climate Data'!$H$7:$H$366,'Climate Data'!$A$7:$A$366,Estimator!$B$4,'Climate Data'!$B$7:$B$366,C3628)</f>
        <v>6.7962085308056865</v>
      </c>
      <c r="J3628" s="86">
        <f>SUMIFS('Wind Proxy'!$H$8:$H$19,'Wind Proxy'!$A$8:$A$19,Estimator!$B$4,'Wind Proxy'!$B$8:$B$19,C3628)</f>
        <v>0</v>
      </c>
    </row>
    <row r="3629" spans="1:10" ht="14.4">
      <c r="A3629" s="84">
        <v>49280</v>
      </c>
      <c r="B3629" s="85">
        <v>2034</v>
      </c>
      <c r="C3629" s="85">
        <v>12</v>
      </c>
      <c r="D3629" s="85" t="s">
        <v>77</v>
      </c>
      <c r="E3629" s="85">
        <v>2</v>
      </c>
      <c r="F3629" s="85">
        <v>6</v>
      </c>
      <c r="G3629" s="85">
        <f>--(F3629&lt;=Estimator!$B$7)</f>
        <v>0</v>
      </c>
      <c r="H3629" s="86">
        <f>SUMIFS('Climate Data'!$G$7:$G$366,'Climate Data'!$A$7:$A$366,Estimator!$B$4,'Climate Data'!$B$7:$B$366,C3629)</f>
        <v>0.22688172043010751</v>
      </c>
      <c r="I3629" s="87">
        <f>SUMIFS('Climate Data'!$H$7:$H$366,'Climate Data'!$A$7:$A$366,Estimator!$B$4,'Climate Data'!$B$7:$B$366,C3629)</f>
        <v>6.7962085308056865</v>
      </c>
      <c r="J3629" s="86">
        <f>SUMIFS('Wind Proxy'!$H$8:$H$19,'Wind Proxy'!$A$8:$A$19,Estimator!$B$4,'Wind Proxy'!$B$8:$B$19,C3629)</f>
        <v>0</v>
      </c>
    </row>
    <row r="3630" spans="1:10" ht="14.4">
      <c r="A3630" s="84">
        <v>49281</v>
      </c>
      <c r="B3630" s="85">
        <v>2034</v>
      </c>
      <c r="C3630" s="85">
        <v>12</v>
      </c>
      <c r="D3630" s="85" t="s">
        <v>77</v>
      </c>
      <c r="E3630" s="85">
        <v>3</v>
      </c>
      <c r="F3630" s="85">
        <v>7</v>
      </c>
      <c r="G3630" s="85">
        <f>--(F3630&lt;=Estimator!$B$7)</f>
        <v>0</v>
      </c>
      <c r="H3630" s="86">
        <f>SUMIFS('Climate Data'!$G$7:$G$366,'Climate Data'!$A$7:$A$366,Estimator!$B$4,'Climate Data'!$B$7:$B$366,C3630)</f>
        <v>0.22688172043010751</v>
      </c>
      <c r="I3630" s="87">
        <f>SUMIFS('Climate Data'!$H$7:$H$366,'Climate Data'!$A$7:$A$366,Estimator!$B$4,'Climate Data'!$B$7:$B$366,C3630)</f>
        <v>6.7962085308056865</v>
      </c>
      <c r="J3630" s="86">
        <f>SUMIFS('Wind Proxy'!$H$8:$H$19,'Wind Proxy'!$A$8:$A$19,Estimator!$B$4,'Wind Proxy'!$B$8:$B$19,C3630)</f>
        <v>0</v>
      </c>
    </row>
    <row r="3631" spans="1:10" ht="14.4">
      <c r="A3631" s="84">
        <v>49282</v>
      </c>
      <c r="B3631" s="85">
        <v>2034</v>
      </c>
      <c r="C3631" s="85">
        <v>12</v>
      </c>
      <c r="D3631" s="85" t="s">
        <v>77</v>
      </c>
      <c r="E3631" s="85">
        <v>4</v>
      </c>
      <c r="F3631" s="85">
        <v>1</v>
      </c>
      <c r="G3631" s="85">
        <f>--(F3631&lt;=Estimator!$B$7)</f>
        <v>1</v>
      </c>
      <c r="H3631" s="86">
        <f>SUMIFS('Climate Data'!$G$7:$G$366,'Climate Data'!$A$7:$A$366,Estimator!$B$4,'Climate Data'!$B$7:$B$366,C3631)</f>
        <v>0.22688172043010751</v>
      </c>
      <c r="I3631" s="87">
        <f>SUMIFS('Climate Data'!$H$7:$H$366,'Climate Data'!$A$7:$A$366,Estimator!$B$4,'Climate Data'!$B$7:$B$366,C3631)</f>
        <v>6.7962085308056865</v>
      </c>
      <c r="J3631" s="86">
        <f>SUMIFS('Wind Proxy'!$H$8:$H$19,'Wind Proxy'!$A$8:$A$19,Estimator!$B$4,'Wind Proxy'!$B$8:$B$19,C3631)</f>
        <v>0</v>
      </c>
    </row>
    <row r="3632" spans="1:10" ht="14.4">
      <c r="A3632" s="84">
        <v>49283</v>
      </c>
      <c r="B3632" s="85">
        <v>2034</v>
      </c>
      <c r="C3632" s="85">
        <v>12</v>
      </c>
      <c r="D3632" s="85" t="s">
        <v>77</v>
      </c>
      <c r="E3632" s="85">
        <v>5</v>
      </c>
      <c r="F3632" s="85">
        <v>2</v>
      </c>
      <c r="G3632" s="85">
        <f>--(F3632&lt;=Estimator!$B$7)</f>
        <v>1</v>
      </c>
      <c r="H3632" s="86">
        <f>SUMIFS('Climate Data'!$G$7:$G$366,'Climate Data'!$A$7:$A$366,Estimator!$B$4,'Climate Data'!$B$7:$B$366,C3632)</f>
        <v>0.22688172043010751</v>
      </c>
      <c r="I3632" s="87">
        <f>SUMIFS('Climate Data'!$H$7:$H$366,'Climate Data'!$A$7:$A$366,Estimator!$B$4,'Climate Data'!$B$7:$B$366,C3632)</f>
        <v>6.7962085308056865</v>
      </c>
      <c r="J3632" s="86">
        <f>SUMIFS('Wind Proxy'!$H$8:$H$19,'Wind Proxy'!$A$8:$A$19,Estimator!$B$4,'Wind Proxy'!$B$8:$B$19,C3632)</f>
        <v>0</v>
      </c>
    </row>
    <row r="3633" spans="1:10" ht="14.4">
      <c r="A3633" s="84">
        <v>49284</v>
      </c>
      <c r="B3633" s="85">
        <v>2034</v>
      </c>
      <c r="C3633" s="85">
        <v>12</v>
      </c>
      <c r="D3633" s="85" t="s">
        <v>77</v>
      </c>
      <c r="E3633" s="85">
        <v>6</v>
      </c>
      <c r="F3633" s="85">
        <v>3</v>
      </c>
      <c r="G3633" s="85">
        <f>--(F3633&lt;=Estimator!$B$7)</f>
        <v>1</v>
      </c>
      <c r="H3633" s="86">
        <f>SUMIFS('Climate Data'!$G$7:$G$366,'Climate Data'!$A$7:$A$366,Estimator!$B$4,'Climate Data'!$B$7:$B$366,C3633)</f>
        <v>0.22688172043010751</v>
      </c>
      <c r="I3633" s="87">
        <f>SUMIFS('Climate Data'!$H$7:$H$366,'Climate Data'!$A$7:$A$366,Estimator!$B$4,'Climate Data'!$B$7:$B$366,C3633)</f>
        <v>6.7962085308056865</v>
      </c>
      <c r="J3633" s="86">
        <f>SUMIFS('Wind Proxy'!$H$8:$H$19,'Wind Proxy'!$A$8:$A$19,Estimator!$B$4,'Wind Proxy'!$B$8:$B$19,C3633)</f>
        <v>0</v>
      </c>
    </row>
    <row r="3634" spans="1:10" ht="14.4">
      <c r="A3634" s="84">
        <v>49285</v>
      </c>
      <c r="B3634" s="85">
        <v>2034</v>
      </c>
      <c r="C3634" s="85">
        <v>12</v>
      </c>
      <c r="D3634" s="85" t="s">
        <v>77</v>
      </c>
      <c r="E3634" s="85">
        <v>7</v>
      </c>
      <c r="F3634" s="85">
        <v>4</v>
      </c>
      <c r="G3634" s="85">
        <f>--(F3634&lt;=Estimator!$B$7)</f>
        <v>1</v>
      </c>
      <c r="H3634" s="86">
        <f>SUMIFS('Climate Data'!$G$7:$G$366,'Climate Data'!$A$7:$A$366,Estimator!$B$4,'Climate Data'!$B$7:$B$366,C3634)</f>
        <v>0.22688172043010751</v>
      </c>
      <c r="I3634" s="87">
        <f>SUMIFS('Climate Data'!$H$7:$H$366,'Climate Data'!$A$7:$A$366,Estimator!$B$4,'Climate Data'!$B$7:$B$366,C3634)</f>
        <v>6.7962085308056865</v>
      </c>
      <c r="J3634" s="86">
        <f>SUMIFS('Wind Proxy'!$H$8:$H$19,'Wind Proxy'!$A$8:$A$19,Estimator!$B$4,'Wind Proxy'!$B$8:$B$19,C3634)</f>
        <v>0</v>
      </c>
    </row>
    <row r="3635" spans="1:10" ht="14.4">
      <c r="A3635" s="84">
        <v>49286</v>
      </c>
      <c r="B3635" s="85">
        <v>2034</v>
      </c>
      <c r="C3635" s="85">
        <v>12</v>
      </c>
      <c r="D3635" s="85" t="s">
        <v>77</v>
      </c>
      <c r="E3635" s="85">
        <v>8</v>
      </c>
      <c r="F3635" s="85">
        <v>5</v>
      </c>
      <c r="G3635" s="85">
        <f>--(F3635&lt;=Estimator!$B$7)</f>
        <v>1</v>
      </c>
      <c r="H3635" s="86">
        <f>SUMIFS('Climate Data'!$G$7:$G$366,'Climate Data'!$A$7:$A$366,Estimator!$B$4,'Climate Data'!$B$7:$B$366,C3635)</f>
        <v>0.22688172043010751</v>
      </c>
      <c r="I3635" s="87">
        <f>SUMIFS('Climate Data'!$H$7:$H$366,'Climate Data'!$A$7:$A$366,Estimator!$B$4,'Climate Data'!$B$7:$B$366,C3635)</f>
        <v>6.7962085308056865</v>
      </c>
      <c r="J3635" s="86">
        <f>SUMIFS('Wind Proxy'!$H$8:$H$19,'Wind Proxy'!$A$8:$A$19,Estimator!$B$4,'Wind Proxy'!$B$8:$B$19,C3635)</f>
        <v>0</v>
      </c>
    </row>
    <row r="3636" spans="1:10" ht="14.4">
      <c r="A3636" s="84">
        <v>49287</v>
      </c>
      <c r="B3636" s="85">
        <v>2034</v>
      </c>
      <c r="C3636" s="85">
        <v>12</v>
      </c>
      <c r="D3636" s="85" t="s">
        <v>77</v>
      </c>
      <c r="E3636" s="85">
        <v>9</v>
      </c>
      <c r="F3636" s="85">
        <v>6</v>
      </c>
      <c r="G3636" s="85">
        <f>--(F3636&lt;=Estimator!$B$7)</f>
        <v>0</v>
      </c>
      <c r="H3636" s="86">
        <f>SUMIFS('Climate Data'!$G$7:$G$366,'Climate Data'!$A$7:$A$366,Estimator!$B$4,'Climate Data'!$B$7:$B$366,C3636)</f>
        <v>0.22688172043010751</v>
      </c>
      <c r="I3636" s="87">
        <f>SUMIFS('Climate Data'!$H$7:$H$366,'Climate Data'!$A$7:$A$366,Estimator!$B$4,'Climate Data'!$B$7:$B$366,C3636)</f>
        <v>6.7962085308056865</v>
      </c>
      <c r="J3636" s="86">
        <f>SUMIFS('Wind Proxy'!$H$8:$H$19,'Wind Proxy'!$A$8:$A$19,Estimator!$B$4,'Wind Proxy'!$B$8:$B$19,C3636)</f>
        <v>0</v>
      </c>
    </row>
    <row r="3637" spans="1:10" ht="14.4">
      <c r="A3637" s="84">
        <v>49288</v>
      </c>
      <c r="B3637" s="85">
        <v>2034</v>
      </c>
      <c r="C3637" s="85">
        <v>12</v>
      </c>
      <c r="D3637" s="85" t="s">
        <v>77</v>
      </c>
      <c r="E3637" s="85">
        <v>10</v>
      </c>
      <c r="F3637" s="85">
        <v>7</v>
      </c>
      <c r="G3637" s="85">
        <f>--(F3637&lt;=Estimator!$B$7)</f>
        <v>0</v>
      </c>
      <c r="H3637" s="86">
        <f>SUMIFS('Climate Data'!$G$7:$G$366,'Climate Data'!$A$7:$A$366,Estimator!$B$4,'Climate Data'!$B$7:$B$366,C3637)</f>
        <v>0.22688172043010751</v>
      </c>
      <c r="I3637" s="87">
        <f>SUMIFS('Climate Data'!$H$7:$H$366,'Climate Data'!$A$7:$A$366,Estimator!$B$4,'Climate Data'!$B$7:$B$366,C3637)</f>
        <v>6.7962085308056865</v>
      </c>
      <c r="J3637" s="86">
        <f>SUMIFS('Wind Proxy'!$H$8:$H$19,'Wind Proxy'!$A$8:$A$19,Estimator!$B$4,'Wind Proxy'!$B$8:$B$19,C3637)</f>
        <v>0</v>
      </c>
    </row>
    <row r="3638" spans="1:10" ht="14.4">
      <c r="A3638" s="84">
        <v>49289</v>
      </c>
      <c r="B3638" s="85">
        <v>2034</v>
      </c>
      <c r="C3638" s="85">
        <v>12</v>
      </c>
      <c r="D3638" s="85" t="s">
        <v>77</v>
      </c>
      <c r="E3638" s="85">
        <v>11</v>
      </c>
      <c r="F3638" s="85">
        <v>1</v>
      </c>
      <c r="G3638" s="85">
        <f>--(F3638&lt;=Estimator!$B$7)</f>
        <v>1</v>
      </c>
      <c r="H3638" s="86">
        <f>SUMIFS('Climate Data'!$G$7:$G$366,'Climate Data'!$A$7:$A$366,Estimator!$B$4,'Climate Data'!$B$7:$B$366,C3638)</f>
        <v>0.22688172043010751</v>
      </c>
      <c r="I3638" s="87">
        <f>SUMIFS('Climate Data'!$H$7:$H$366,'Climate Data'!$A$7:$A$366,Estimator!$B$4,'Climate Data'!$B$7:$B$366,C3638)</f>
        <v>6.7962085308056865</v>
      </c>
      <c r="J3638" s="86">
        <f>SUMIFS('Wind Proxy'!$H$8:$H$19,'Wind Proxy'!$A$8:$A$19,Estimator!$B$4,'Wind Proxy'!$B$8:$B$19,C3638)</f>
        <v>0</v>
      </c>
    </row>
    <row r="3639" spans="1:10" ht="14.4">
      <c r="A3639" s="84">
        <v>49290</v>
      </c>
      <c r="B3639" s="85">
        <v>2034</v>
      </c>
      <c r="C3639" s="85">
        <v>12</v>
      </c>
      <c r="D3639" s="85" t="s">
        <v>77</v>
      </c>
      <c r="E3639" s="85">
        <v>12</v>
      </c>
      <c r="F3639" s="85">
        <v>2</v>
      </c>
      <c r="G3639" s="85">
        <f>--(F3639&lt;=Estimator!$B$7)</f>
        <v>1</v>
      </c>
      <c r="H3639" s="86">
        <f>SUMIFS('Climate Data'!$G$7:$G$366,'Climate Data'!$A$7:$A$366,Estimator!$B$4,'Climate Data'!$B$7:$B$366,C3639)</f>
        <v>0.22688172043010751</v>
      </c>
      <c r="I3639" s="87">
        <f>SUMIFS('Climate Data'!$H$7:$H$366,'Climate Data'!$A$7:$A$366,Estimator!$B$4,'Climate Data'!$B$7:$B$366,C3639)</f>
        <v>6.7962085308056865</v>
      </c>
      <c r="J3639" s="86">
        <f>SUMIFS('Wind Proxy'!$H$8:$H$19,'Wind Proxy'!$A$8:$A$19,Estimator!$B$4,'Wind Proxy'!$B$8:$B$19,C3639)</f>
        <v>0</v>
      </c>
    </row>
    <row r="3640" spans="1:10" ht="14.4">
      <c r="A3640" s="84">
        <v>49291</v>
      </c>
      <c r="B3640" s="85">
        <v>2034</v>
      </c>
      <c r="C3640" s="85">
        <v>12</v>
      </c>
      <c r="D3640" s="85" t="s">
        <v>77</v>
      </c>
      <c r="E3640" s="85">
        <v>13</v>
      </c>
      <c r="F3640" s="85">
        <v>3</v>
      </c>
      <c r="G3640" s="85">
        <f>--(F3640&lt;=Estimator!$B$7)</f>
        <v>1</v>
      </c>
      <c r="H3640" s="86">
        <f>SUMIFS('Climate Data'!$G$7:$G$366,'Climate Data'!$A$7:$A$366,Estimator!$B$4,'Climate Data'!$B$7:$B$366,C3640)</f>
        <v>0.22688172043010751</v>
      </c>
      <c r="I3640" s="87">
        <f>SUMIFS('Climate Data'!$H$7:$H$366,'Climate Data'!$A$7:$A$366,Estimator!$B$4,'Climate Data'!$B$7:$B$366,C3640)</f>
        <v>6.7962085308056865</v>
      </c>
      <c r="J3640" s="86">
        <f>SUMIFS('Wind Proxy'!$H$8:$H$19,'Wind Proxy'!$A$8:$A$19,Estimator!$B$4,'Wind Proxy'!$B$8:$B$19,C3640)</f>
        <v>0</v>
      </c>
    </row>
    <row r="3641" spans="1:10" ht="14.4">
      <c r="A3641" s="84">
        <v>49292</v>
      </c>
      <c r="B3641" s="85">
        <v>2034</v>
      </c>
      <c r="C3641" s="85">
        <v>12</v>
      </c>
      <c r="D3641" s="85" t="s">
        <v>77</v>
      </c>
      <c r="E3641" s="85">
        <v>14</v>
      </c>
      <c r="F3641" s="85">
        <v>4</v>
      </c>
      <c r="G3641" s="85">
        <f>--(F3641&lt;=Estimator!$B$7)</f>
        <v>1</v>
      </c>
      <c r="H3641" s="86">
        <f>SUMIFS('Climate Data'!$G$7:$G$366,'Climate Data'!$A$7:$A$366,Estimator!$B$4,'Climate Data'!$B$7:$B$366,C3641)</f>
        <v>0.22688172043010751</v>
      </c>
      <c r="I3641" s="87">
        <f>SUMIFS('Climate Data'!$H$7:$H$366,'Climate Data'!$A$7:$A$366,Estimator!$B$4,'Climate Data'!$B$7:$B$366,C3641)</f>
        <v>6.7962085308056865</v>
      </c>
      <c r="J3641" s="86">
        <f>SUMIFS('Wind Proxy'!$H$8:$H$19,'Wind Proxy'!$A$8:$A$19,Estimator!$B$4,'Wind Proxy'!$B$8:$B$19,C3641)</f>
        <v>0</v>
      </c>
    </row>
    <row r="3642" spans="1:10" ht="14.4">
      <c r="A3642" s="84">
        <v>49293</v>
      </c>
      <c r="B3642" s="85">
        <v>2034</v>
      </c>
      <c r="C3642" s="85">
        <v>12</v>
      </c>
      <c r="D3642" s="85" t="s">
        <v>77</v>
      </c>
      <c r="E3642" s="85">
        <v>15</v>
      </c>
      <c r="F3642" s="85">
        <v>5</v>
      </c>
      <c r="G3642" s="85">
        <f>--(F3642&lt;=Estimator!$B$7)</f>
        <v>1</v>
      </c>
      <c r="H3642" s="86">
        <f>SUMIFS('Climate Data'!$G$7:$G$366,'Climate Data'!$A$7:$A$366,Estimator!$B$4,'Climate Data'!$B$7:$B$366,C3642)</f>
        <v>0.22688172043010751</v>
      </c>
      <c r="I3642" s="87">
        <f>SUMIFS('Climate Data'!$H$7:$H$366,'Climate Data'!$A$7:$A$366,Estimator!$B$4,'Climate Data'!$B$7:$B$366,C3642)</f>
        <v>6.7962085308056865</v>
      </c>
      <c r="J3642" s="86">
        <f>SUMIFS('Wind Proxy'!$H$8:$H$19,'Wind Proxy'!$A$8:$A$19,Estimator!$B$4,'Wind Proxy'!$B$8:$B$19,C3642)</f>
        <v>0</v>
      </c>
    </row>
    <row r="3643" spans="1:10" ht="14.4">
      <c r="A3643" s="84">
        <v>49294</v>
      </c>
      <c r="B3643" s="85">
        <v>2034</v>
      </c>
      <c r="C3643" s="85">
        <v>12</v>
      </c>
      <c r="D3643" s="85" t="s">
        <v>77</v>
      </c>
      <c r="E3643" s="85">
        <v>16</v>
      </c>
      <c r="F3643" s="85">
        <v>6</v>
      </c>
      <c r="G3643" s="85">
        <f>--(F3643&lt;=Estimator!$B$7)</f>
        <v>0</v>
      </c>
      <c r="H3643" s="86">
        <f>SUMIFS('Climate Data'!$G$7:$G$366,'Climate Data'!$A$7:$A$366,Estimator!$B$4,'Climate Data'!$B$7:$B$366,C3643)</f>
        <v>0.22688172043010751</v>
      </c>
      <c r="I3643" s="87">
        <f>SUMIFS('Climate Data'!$H$7:$H$366,'Climate Data'!$A$7:$A$366,Estimator!$B$4,'Climate Data'!$B$7:$B$366,C3643)</f>
        <v>6.7962085308056865</v>
      </c>
      <c r="J3643" s="86">
        <f>SUMIFS('Wind Proxy'!$H$8:$H$19,'Wind Proxy'!$A$8:$A$19,Estimator!$B$4,'Wind Proxy'!$B$8:$B$19,C3643)</f>
        <v>0</v>
      </c>
    </row>
    <row r="3644" spans="1:10" ht="14.4">
      <c r="A3644" s="84">
        <v>49295</v>
      </c>
      <c r="B3644" s="85">
        <v>2034</v>
      </c>
      <c r="C3644" s="85">
        <v>12</v>
      </c>
      <c r="D3644" s="85" t="s">
        <v>77</v>
      </c>
      <c r="E3644" s="85">
        <v>17</v>
      </c>
      <c r="F3644" s="85">
        <v>7</v>
      </c>
      <c r="G3644" s="85">
        <f>--(F3644&lt;=Estimator!$B$7)</f>
        <v>0</v>
      </c>
      <c r="H3644" s="86">
        <f>SUMIFS('Climate Data'!$G$7:$G$366,'Climate Data'!$A$7:$A$366,Estimator!$B$4,'Climate Data'!$B$7:$B$366,C3644)</f>
        <v>0.22688172043010751</v>
      </c>
      <c r="I3644" s="87">
        <f>SUMIFS('Climate Data'!$H$7:$H$366,'Climate Data'!$A$7:$A$366,Estimator!$B$4,'Climate Data'!$B$7:$B$366,C3644)</f>
        <v>6.7962085308056865</v>
      </c>
      <c r="J3644" s="86">
        <f>SUMIFS('Wind Proxy'!$H$8:$H$19,'Wind Proxy'!$A$8:$A$19,Estimator!$B$4,'Wind Proxy'!$B$8:$B$19,C3644)</f>
        <v>0</v>
      </c>
    </row>
    <row r="3645" spans="1:10" ht="14.4">
      <c r="A3645" s="84">
        <v>49296</v>
      </c>
      <c r="B3645" s="85">
        <v>2034</v>
      </c>
      <c r="C3645" s="85">
        <v>12</v>
      </c>
      <c r="D3645" s="85" t="s">
        <v>77</v>
      </c>
      <c r="E3645" s="85">
        <v>18</v>
      </c>
      <c r="F3645" s="85">
        <v>1</v>
      </c>
      <c r="G3645" s="85">
        <f>--(F3645&lt;=Estimator!$B$7)</f>
        <v>1</v>
      </c>
      <c r="H3645" s="86">
        <f>SUMIFS('Climate Data'!$G$7:$G$366,'Climate Data'!$A$7:$A$366,Estimator!$B$4,'Climate Data'!$B$7:$B$366,C3645)</f>
        <v>0.22688172043010751</v>
      </c>
      <c r="I3645" s="87">
        <f>SUMIFS('Climate Data'!$H$7:$H$366,'Climate Data'!$A$7:$A$366,Estimator!$B$4,'Climate Data'!$B$7:$B$366,C3645)</f>
        <v>6.7962085308056865</v>
      </c>
      <c r="J3645" s="86">
        <f>SUMIFS('Wind Proxy'!$H$8:$H$19,'Wind Proxy'!$A$8:$A$19,Estimator!$B$4,'Wind Proxy'!$B$8:$B$19,C3645)</f>
        <v>0</v>
      </c>
    </row>
    <row r="3646" spans="1:10" ht="14.4">
      <c r="A3646" s="84">
        <v>49297</v>
      </c>
      <c r="B3646" s="85">
        <v>2034</v>
      </c>
      <c r="C3646" s="85">
        <v>12</v>
      </c>
      <c r="D3646" s="85" t="s">
        <v>77</v>
      </c>
      <c r="E3646" s="85">
        <v>19</v>
      </c>
      <c r="F3646" s="85">
        <v>2</v>
      </c>
      <c r="G3646" s="85">
        <f>--(F3646&lt;=Estimator!$B$7)</f>
        <v>1</v>
      </c>
      <c r="H3646" s="86">
        <f>SUMIFS('Climate Data'!$G$7:$G$366,'Climate Data'!$A$7:$A$366,Estimator!$B$4,'Climate Data'!$B$7:$B$366,C3646)</f>
        <v>0.22688172043010751</v>
      </c>
      <c r="I3646" s="87">
        <f>SUMIFS('Climate Data'!$H$7:$H$366,'Climate Data'!$A$7:$A$366,Estimator!$B$4,'Climate Data'!$B$7:$B$366,C3646)</f>
        <v>6.7962085308056865</v>
      </c>
      <c r="J3646" s="86">
        <f>SUMIFS('Wind Proxy'!$H$8:$H$19,'Wind Proxy'!$A$8:$A$19,Estimator!$B$4,'Wind Proxy'!$B$8:$B$19,C3646)</f>
        <v>0</v>
      </c>
    </row>
    <row r="3647" spans="1:10" ht="14.4">
      <c r="A3647" s="84">
        <v>49298</v>
      </c>
      <c r="B3647" s="85">
        <v>2034</v>
      </c>
      <c r="C3647" s="85">
        <v>12</v>
      </c>
      <c r="D3647" s="85" t="s">
        <v>77</v>
      </c>
      <c r="E3647" s="85">
        <v>20</v>
      </c>
      <c r="F3647" s="85">
        <v>3</v>
      </c>
      <c r="G3647" s="85">
        <f>--(F3647&lt;=Estimator!$B$7)</f>
        <v>1</v>
      </c>
      <c r="H3647" s="86">
        <f>SUMIFS('Climate Data'!$G$7:$G$366,'Climate Data'!$A$7:$A$366,Estimator!$B$4,'Climate Data'!$B$7:$B$366,C3647)</f>
        <v>0.22688172043010751</v>
      </c>
      <c r="I3647" s="87">
        <f>SUMIFS('Climate Data'!$H$7:$H$366,'Climate Data'!$A$7:$A$366,Estimator!$B$4,'Climate Data'!$B$7:$B$366,C3647)</f>
        <v>6.7962085308056865</v>
      </c>
      <c r="J3647" s="86">
        <f>SUMIFS('Wind Proxy'!$H$8:$H$19,'Wind Proxy'!$A$8:$A$19,Estimator!$B$4,'Wind Proxy'!$B$8:$B$19,C3647)</f>
        <v>0</v>
      </c>
    </row>
    <row r="3648" spans="1:10" ht="14.4">
      <c r="A3648" s="84">
        <v>49299</v>
      </c>
      <c r="B3648" s="85">
        <v>2034</v>
      </c>
      <c r="C3648" s="85">
        <v>12</v>
      </c>
      <c r="D3648" s="85" t="s">
        <v>77</v>
      </c>
      <c r="E3648" s="85">
        <v>21</v>
      </c>
      <c r="F3648" s="85">
        <v>4</v>
      </c>
      <c r="G3648" s="85">
        <f>--(F3648&lt;=Estimator!$B$7)</f>
        <v>1</v>
      </c>
      <c r="H3648" s="86">
        <f>SUMIFS('Climate Data'!$G$7:$G$366,'Climate Data'!$A$7:$A$366,Estimator!$B$4,'Climate Data'!$B$7:$B$366,C3648)</f>
        <v>0.22688172043010751</v>
      </c>
      <c r="I3648" s="87">
        <f>SUMIFS('Climate Data'!$H$7:$H$366,'Climate Data'!$A$7:$A$366,Estimator!$B$4,'Climate Data'!$B$7:$B$366,C3648)</f>
        <v>6.7962085308056865</v>
      </c>
      <c r="J3648" s="86">
        <f>SUMIFS('Wind Proxy'!$H$8:$H$19,'Wind Proxy'!$A$8:$A$19,Estimator!$B$4,'Wind Proxy'!$B$8:$B$19,C3648)</f>
        <v>0</v>
      </c>
    </row>
    <row r="3649" spans="1:10" ht="14.4">
      <c r="A3649" s="84">
        <v>49300</v>
      </c>
      <c r="B3649" s="85">
        <v>2034</v>
      </c>
      <c r="C3649" s="85">
        <v>12</v>
      </c>
      <c r="D3649" s="85" t="s">
        <v>77</v>
      </c>
      <c r="E3649" s="85">
        <v>22</v>
      </c>
      <c r="F3649" s="85">
        <v>5</v>
      </c>
      <c r="G3649" s="85">
        <f>--(F3649&lt;=Estimator!$B$7)</f>
        <v>1</v>
      </c>
      <c r="H3649" s="86">
        <f>SUMIFS('Climate Data'!$G$7:$G$366,'Climate Data'!$A$7:$A$366,Estimator!$B$4,'Climate Data'!$B$7:$B$366,C3649)</f>
        <v>0.22688172043010751</v>
      </c>
      <c r="I3649" s="87">
        <f>SUMIFS('Climate Data'!$H$7:$H$366,'Climate Data'!$A$7:$A$366,Estimator!$B$4,'Climate Data'!$B$7:$B$366,C3649)</f>
        <v>6.7962085308056865</v>
      </c>
      <c r="J3649" s="86">
        <f>SUMIFS('Wind Proxy'!$H$8:$H$19,'Wind Proxy'!$A$8:$A$19,Estimator!$B$4,'Wind Proxy'!$B$8:$B$19,C3649)</f>
        <v>0</v>
      </c>
    </row>
    <row r="3650" spans="1:10" ht="14.4">
      <c r="A3650" s="84">
        <v>49301</v>
      </c>
      <c r="B3650" s="85">
        <v>2034</v>
      </c>
      <c r="C3650" s="85">
        <v>12</v>
      </c>
      <c r="D3650" s="85" t="s">
        <v>77</v>
      </c>
      <c r="E3650" s="85">
        <v>23</v>
      </c>
      <c r="F3650" s="85">
        <v>6</v>
      </c>
      <c r="G3650" s="85">
        <f>--(F3650&lt;=Estimator!$B$7)</f>
        <v>0</v>
      </c>
      <c r="H3650" s="86">
        <f>SUMIFS('Climate Data'!$G$7:$G$366,'Climate Data'!$A$7:$A$366,Estimator!$B$4,'Climate Data'!$B$7:$B$366,C3650)</f>
        <v>0.22688172043010751</v>
      </c>
      <c r="I3650" s="87">
        <f>SUMIFS('Climate Data'!$H$7:$H$366,'Climate Data'!$A$7:$A$366,Estimator!$B$4,'Climate Data'!$B$7:$B$366,C3650)</f>
        <v>6.7962085308056865</v>
      </c>
      <c r="J3650" s="86">
        <f>SUMIFS('Wind Proxy'!$H$8:$H$19,'Wind Proxy'!$A$8:$A$19,Estimator!$B$4,'Wind Proxy'!$B$8:$B$19,C3650)</f>
        <v>0</v>
      </c>
    </row>
    <row r="3651" spans="1:10" ht="14.4">
      <c r="A3651" s="84">
        <v>49302</v>
      </c>
      <c r="B3651" s="85">
        <v>2034</v>
      </c>
      <c r="C3651" s="85">
        <v>12</v>
      </c>
      <c r="D3651" s="85" t="s">
        <v>77</v>
      </c>
      <c r="E3651" s="85">
        <v>24</v>
      </c>
      <c r="F3651" s="85">
        <v>7</v>
      </c>
      <c r="G3651" s="85">
        <f>--(F3651&lt;=Estimator!$B$7)</f>
        <v>0</v>
      </c>
      <c r="H3651" s="86">
        <f>SUMIFS('Climate Data'!$G$7:$G$366,'Climate Data'!$A$7:$A$366,Estimator!$B$4,'Climate Data'!$B$7:$B$366,C3651)</f>
        <v>0.22688172043010751</v>
      </c>
      <c r="I3651" s="87">
        <f>SUMIFS('Climate Data'!$H$7:$H$366,'Climate Data'!$A$7:$A$366,Estimator!$B$4,'Climate Data'!$B$7:$B$366,C3651)</f>
        <v>6.7962085308056865</v>
      </c>
      <c r="J3651" s="86">
        <f>SUMIFS('Wind Proxy'!$H$8:$H$19,'Wind Proxy'!$A$8:$A$19,Estimator!$B$4,'Wind Proxy'!$B$8:$B$19,C3651)</f>
        <v>0</v>
      </c>
    </row>
    <row r="3652" spans="1:10" ht="14.4">
      <c r="A3652" s="84">
        <v>49303</v>
      </c>
      <c r="B3652" s="85">
        <v>2034</v>
      </c>
      <c r="C3652" s="85">
        <v>12</v>
      </c>
      <c r="D3652" s="85" t="s">
        <v>77</v>
      </c>
      <c r="E3652" s="85">
        <v>25</v>
      </c>
      <c r="F3652" s="85">
        <v>1</v>
      </c>
      <c r="G3652" s="85">
        <f>--(F3652&lt;=Estimator!$B$7)</f>
        <v>1</v>
      </c>
      <c r="H3652" s="86">
        <f>SUMIFS('Climate Data'!$G$7:$G$366,'Climate Data'!$A$7:$A$366,Estimator!$B$4,'Climate Data'!$B$7:$B$366,C3652)</f>
        <v>0.22688172043010751</v>
      </c>
      <c r="I3652" s="87">
        <f>SUMIFS('Climate Data'!$H$7:$H$366,'Climate Data'!$A$7:$A$366,Estimator!$B$4,'Climate Data'!$B$7:$B$366,C3652)</f>
        <v>6.7962085308056865</v>
      </c>
      <c r="J3652" s="86">
        <f>SUMIFS('Wind Proxy'!$H$8:$H$19,'Wind Proxy'!$A$8:$A$19,Estimator!$B$4,'Wind Proxy'!$B$8:$B$19,C3652)</f>
        <v>0</v>
      </c>
    </row>
    <row r="3653" spans="1:10" ht="14.4">
      <c r="A3653" s="84">
        <v>49304</v>
      </c>
      <c r="B3653" s="85">
        <v>2034</v>
      </c>
      <c r="C3653" s="85">
        <v>12</v>
      </c>
      <c r="D3653" s="85" t="s">
        <v>77</v>
      </c>
      <c r="E3653" s="85">
        <v>26</v>
      </c>
      <c r="F3653" s="85">
        <v>2</v>
      </c>
      <c r="G3653" s="85">
        <f>--(F3653&lt;=Estimator!$B$7)</f>
        <v>1</v>
      </c>
      <c r="H3653" s="86">
        <f>SUMIFS('Climate Data'!$G$7:$G$366,'Climate Data'!$A$7:$A$366,Estimator!$B$4,'Climate Data'!$B$7:$B$366,C3653)</f>
        <v>0.22688172043010751</v>
      </c>
      <c r="I3653" s="87">
        <f>SUMIFS('Climate Data'!$H$7:$H$366,'Climate Data'!$A$7:$A$366,Estimator!$B$4,'Climate Data'!$B$7:$B$366,C3653)</f>
        <v>6.7962085308056865</v>
      </c>
      <c r="J3653" s="86">
        <f>SUMIFS('Wind Proxy'!$H$8:$H$19,'Wind Proxy'!$A$8:$A$19,Estimator!$B$4,'Wind Proxy'!$B$8:$B$19,C3653)</f>
        <v>0</v>
      </c>
    </row>
    <row r="3654" spans="1:10" ht="14.4">
      <c r="A3654" s="84">
        <v>49305</v>
      </c>
      <c r="B3654" s="85">
        <v>2034</v>
      </c>
      <c r="C3654" s="85">
        <v>12</v>
      </c>
      <c r="D3654" s="85" t="s">
        <v>77</v>
      </c>
      <c r="E3654" s="85">
        <v>27</v>
      </c>
      <c r="F3654" s="85">
        <v>3</v>
      </c>
      <c r="G3654" s="85">
        <f>--(F3654&lt;=Estimator!$B$7)</f>
        <v>1</v>
      </c>
      <c r="H3654" s="86">
        <f>SUMIFS('Climate Data'!$G$7:$G$366,'Climate Data'!$A$7:$A$366,Estimator!$B$4,'Climate Data'!$B$7:$B$366,C3654)</f>
        <v>0.22688172043010751</v>
      </c>
      <c r="I3654" s="87">
        <f>SUMIFS('Climate Data'!$H$7:$H$366,'Climate Data'!$A$7:$A$366,Estimator!$B$4,'Climate Data'!$B$7:$B$366,C3654)</f>
        <v>6.7962085308056865</v>
      </c>
      <c r="J3654" s="86">
        <f>SUMIFS('Wind Proxy'!$H$8:$H$19,'Wind Proxy'!$A$8:$A$19,Estimator!$B$4,'Wind Proxy'!$B$8:$B$19,C3654)</f>
        <v>0</v>
      </c>
    </row>
    <row r="3655" spans="1:10" ht="14.4">
      <c r="A3655" s="84">
        <v>49306</v>
      </c>
      <c r="B3655" s="85">
        <v>2034</v>
      </c>
      <c r="C3655" s="85">
        <v>12</v>
      </c>
      <c r="D3655" s="85" t="s">
        <v>77</v>
      </c>
      <c r="E3655" s="85">
        <v>28</v>
      </c>
      <c r="F3655" s="85">
        <v>4</v>
      </c>
      <c r="G3655" s="85">
        <f>--(F3655&lt;=Estimator!$B$7)</f>
        <v>1</v>
      </c>
      <c r="H3655" s="86">
        <f>SUMIFS('Climate Data'!$G$7:$G$366,'Climate Data'!$A$7:$A$366,Estimator!$B$4,'Climate Data'!$B$7:$B$366,C3655)</f>
        <v>0.22688172043010751</v>
      </c>
      <c r="I3655" s="87">
        <f>SUMIFS('Climate Data'!$H$7:$H$366,'Climate Data'!$A$7:$A$366,Estimator!$B$4,'Climate Data'!$B$7:$B$366,C3655)</f>
        <v>6.7962085308056865</v>
      </c>
      <c r="J3655" s="86">
        <f>SUMIFS('Wind Proxy'!$H$8:$H$19,'Wind Proxy'!$A$8:$A$19,Estimator!$B$4,'Wind Proxy'!$B$8:$B$19,C3655)</f>
        <v>0</v>
      </c>
    </row>
    <row r="3656" spans="1:10" ht="14.4">
      <c r="A3656" s="84">
        <v>49307</v>
      </c>
      <c r="B3656" s="85">
        <v>2034</v>
      </c>
      <c r="C3656" s="85">
        <v>12</v>
      </c>
      <c r="D3656" s="85" t="s">
        <v>77</v>
      </c>
      <c r="E3656" s="85">
        <v>29</v>
      </c>
      <c r="F3656" s="85">
        <v>5</v>
      </c>
      <c r="G3656" s="85">
        <f>--(F3656&lt;=Estimator!$B$7)</f>
        <v>1</v>
      </c>
      <c r="H3656" s="86">
        <f>SUMIFS('Climate Data'!$G$7:$G$366,'Climate Data'!$A$7:$A$366,Estimator!$B$4,'Climate Data'!$B$7:$B$366,C3656)</f>
        <v>0.22688172043010751</v>
      </c>
      <c r="I3656" s="87">
        <f>SUMIFS('Climate Data'!$H$7:$H$366,'Climate Data'!$A$7:$A$366,Estimator!$B$4,'Climate Data'!$B$7:$B$366,C3656)</f>
        <v>6.7962085308056865</v>
      </c>
      <c r="J3656" s="86">
        <f>SUMIFS('Wind Proxy'!$H$8:$H$19,'Wind Proxy'!$A$8:$A$19,Estimator!$B$4,'Wind Proxy'!$B$8:$B$19,C3656)</f>
        <v>0</v>
      </c>
    </row>
    <row r="3657" spans="1:10" ht="14.4">
      <c r="A3657" s="84">
        <v>49308</v>
      </c>
      <c r="B3657" s="85">
        <v>2034</v>
      </c>
      <c r="C3657" s="85">
        <v>12</v>
      </c>
      <c r="D3657" s="85" t="s">
        <v>77</v>
      </c>
      <c r="E3657" s="85">
        <v>30</v>
      </c>
      <c r="F3657" s="85">
        <v>6</v>
      </c>
      <c r="G3657" s="85">
        <f>--(F3657&lt;=Estimator!$B$7)</f>
        <v>0</v>
      </c>
      <c r="H3657" s="86">
        <f>SUMIFS('Climate Data'!$G$7:$G$366,'Climate Data'!$A$7:$A$366,Estimator!$B$4,'Climate Data'!$B$7:$B$366,C3657)</f>
        <v>0.22688172043010751</v>
      </c>
      <c r="I3657" s="87">
        <f>SUMIFS('Climate Data'!$H$7:$H$366,'Climate Data'!$A$7:$A$366,Estimator!$B$4,'Climate Data'!$B$7:$B$366,C3657)</f>
        <v>6.7962085308056865</v>
      </c>
      <c r="J3657" s="86">
        <f>SUMIFS('Wind Proxy'!$H$8:$H$19,'Wind Proxy'!$A$8:$A$19,Estimator!$B$4,'Wind Proxy'!$B$8:$B$19,C3657)</f>
        <v>0</v>
      </c>
    </row>
    <row r="3658" spans="1:10" ht="14.4">
      <c r="A3658" s="84">
        <v>49309</v>
      </c>
      <c r="B3658" s="85">
        <v>2034</v>
      </c>
      <c r="C3658" s="85">
        <v>12</v>
      </c>
      <c r="D3658" s="85" t="s">
        <v>77</v>
      </c>
      <c r="E3658" s="85">
        <v>31</v>
      </c>
      <c r="F3658" s="85">
        <v>7</v>
      </c>
      <c r="G3658" s="85">
        <f>--(F3658&lt;=Estimator!$B$7)</f>
        <v>0</v>
      </c>
      <c r="H3658" s="86">
        <f>SUMIFS('Climate Data'!$G$7:$G$366,'Climate Data'!$A$7:$A$366,Estimator!$B$4,'Climate Data'!$B$7:$B$366,C3658)</f>
        <v>0.22688172043010751</v>
      </c>
      <c r="I3658" s="87">
        <f>SUMIFS('Climate Data'!$H$7:$H$366,'Climate Data'!$A$7:$A$366,Estimator!$B$4,'Climate Data'!$B$7:$B$366,C3658)</f>
        <v>6.7962085308056865</v>
      </c>
      <c r="J3658" s="86">
        <f>SUMIFS('Wind Proxy'!$H$8:$H$19,'Wind Proxy'!$A$8:$A$19,Estimator!$B$4,'Wind Proxy'!$B$8:$B$19,C3658)</f>
        <v>0</v>
      </c>
    </row>
    <row r="3659" spans="1:10" ht="14.4">
      <c r="A3659" s="84">
        <v>49310</v>
      </c>
      <c r="B3659" s="85">
        <v>2035</v>
      </c>
      <c r="C3659" s="85">
        <v>1</v>
      </c>
      <c r="D3659" s="85" t="s">
        <v>55</v>
      </c>
      <c r="E3659" s="85">
        <v>1</v>
      </c>
      <c r="F3659" s="85">
        <v>1</v>
      </c>
      <c r="G3659" s="85">
        <f>--(F3659&lt;=Estimator!$B$7)</f>
        <v>1</v>
      </c>
      <c r="H3659" s="86">
        <f>SUMIFS('Climate Data'!$G$7:$G$366,'Climate Data'!$A$7:$A$366,Estimator!$B$4,'Climate Data'!$B$7:$B$366,C3659)</f>
        <v>0.19462365591397848</v>
      </c>
      <c r="I3659" s="87">
        <f>SUMIFS('Climate Data'!$H$7:$H$366,'Climate Data'!$A$7:$A$366,Estimator!$B$4,'Climate Data'!$B$7:$B$366,C3659)</f>
        <v>7.027624309392265</v>
      </c>
      <c r="J3659" s="86">
        <f>SUMIFS('Wind Proxy'!$H$8:$H$19,'Wind Proxy'!$A$8:$A$19,Estimator!$B$4,'Wind Proxy'!$B$8:$B$19,C3659)</f>
        <v>0</v>
      </c>
    </row>
    <row r="3660" spans="1:10" ht="14.4">
      <c r="A3660" s="84">
        <v>49311</v>
      </c>
      <c r="B3660" s="85">
        <v>2035</v>
      </c>
      <c r="C3660" s="85">
        <v>1</v>
      </c>
      <c r="D3660" s="85" t="s">
        <v>55</v>
      </c>
      <c r="E3660" s="85">
        <v>2</v>
      </c>
      <c r="F3660" s="85">
        <v>2</v>
      </c>
      <c r="G3660" s="85">
        <f>--(F3660&lt;=Estimator!$B$7)</f>
        <v>1</v>
      </c>
      <c r="H3660" s="86">
        <f>SUMIFS('Climate Data'!$G$7:$G$366,'Climate Data'!$A$7:$A$366,Estimator!$B$4,'Climate Data'!$B$7:$B$366,C3660)</f>
        <v>0.19462365591397848</v>
      </c>
      <c r="I3660" s="87">
        <f>SUMIFS('Climate Data'!$H$7:$H$366,'Climate Data'!$A$7:$A$366,Estimator!$B$4,'Climate Data'!$B$7:$B$366,C3660)</f>
        <v>7.027624309392265</v>
      </c>
      <c r="J3660" s="86">
        <f>SUMIFS('Wind Proxy'!$H$8:$H$19,'Wind Proxy'!$A$8:$A$19,Estimator!$B$4,'Wind Proxy'!$B$8:$B$19,C3660)</f>
        <v>0</v>
      </c>
    </row>
    <row r="3661" spans="1:10" ht="14.4">
      <c r="A3661" s="84">
        <v>49312</v>
      </c>
      <c r="B3661" s="85">
        <v>2035</v>
      </c>
      <c r="C3661" s="85">
        <v>1</v>
      </c>
      <c r="D3661" s="85" t="s">
        <v>55</v>
      </c>
      <c r="E3661" s="85">
        <v>3</v>
      </c>
      <c r="F3661" s="85">
        <v>3</v>
      </c>
      <c r="G3661" s="85">
        <f>--(F3661&lt;=Estimator!$B$7)</f>
        <v>1</v>
      </c>
      <c r="H3661" s="86">
        <f>SUMIFS('Climate Data'!$G$7:$G$366,'Climate Data'!$A$7:$A$366,Estimator!$B$4,'Climate Data'!$B$7:$B$366,C3661)</f>
        <v>0.19462365591397848</v>
      </c>
      <c r="I3661" s="87">
        <f>SUMIFS('Climate Data'!$H$7:$H$366,'Climate Data'!$A$7:$A$366,Estimator!$B$4,'Climate Data'!$B$7:$B$366,C3661)</f>
        <v>7.027624309392265</v>
      </c>
      <c r="J3661" s="86">
        <f>SUMIFS('Wind Proxy'!$H$8:$H$19,'Wind Proxy'!$A$8:$A$19,Estimator!$B$4,'Wind Proxy'!$B$8:$B$19,C3661)</f>
        <v>0</v>
      </c>
    </row>
    <row r="3662" spans="1:10" ht="14.4">
      <c r="A3662" s="84">
        <v>49313</v>
      </c>
      <c r="B3662" s="85">
        <v>2035</v>
      </c>
      <c r="C3662" s="85">
        <v>1</v>
      </c>
      <c r="D3662" s="85" t="s">
        <v>55</v>
      </c>
      <c r="E3662" s="85">
        <v>4</v>
      </c>
      <c r="F3662" s="85">
        <v>4</v>
      </c>
      <c r="G3662" s="85">
        <f>--(F3662&lt;=Estimator!$B$7)</f>
        <v>1</v>
      </c>
      <c r="H3662" s="86">
        <f>SUMIFS('Climate Data'!$G$7:$G$366,'Climate Data'!$A$7:$A$366,Estimator!$B$4,'Climate Data'!$B$7:$B$366,C3662)</f>
        <v>0.19462365591397848</v>
      </c>
      <c r="I3662" s="87">
        <f>SUMIFS('Climate Data'!$H$7:$H$366,'Climate Data'!$A$7:$A$366,Estimator!$B$4,'Climate Data'!$B$7:$B$366,C3662)</f>
        <v>7.027624309392265</v>
      </c>
      <c r="J3662" s="86">
        <f>SUMIFS('Wind Proxy'!$H$8:$H$19,'Wind Proxy'!$A$8:$A$19,Estimator!$B$4,'Wind Proxy'!$B$8:$B$19,C3662)</f>
        <v>0</v>
      </c>
    </row>
    <row r="3663" spans="1:10" ht="14.4">
      <c r="A3663" s="84">
        <v>49314</v>
      </c>
      <c r="B3663" s="85">
        <v>2035</v>
      </c>
      <c r="C3663" s="85">
        <v>1</v>
      </c>
      <c r="D3663" s="85" t="s">
        <v>55</v>
      </c>
      <c r="E3663" s="85">
        <v>5</v>
      </c>
      <c r="F3663" s="85">
        <v>5</v>
      </c>
      <c r="G3663" s="85">
        <f>--(F3663&lt;=Estimator!$B$7)</f>
        <v>1</v>
      </c>
      <c r="H3663" s="86">
        <f>SUMIFS('Climate Data'!$G$7:$G$366,'Climate Data'!$A$7:$A$366,Estimator!$B$4,'Climate Data'!$B$7:$B$366,C3663)</f>
        <v>0.19462365591397848</v>
      </c>
      <c r="I3663" s="87">
        <f>SUMIFS('Climate Data'!$H$7:$H$366,'Climate Data'!$A$7:$A$366,Estimator!$B$4,'Climate Data'!$B$7:$B$366,C3663)</f>
        <v>7.027624309392265</v>
      </c>
      <c r="J3663" s="86">
        <f>SUMIFS('Wind Proxy'!$H$8:$H$19,'Wind Proxy'!$A$8:$A$19,Estimator!$B$4,'Wind Proxy'!$B$8:$B$19,C3663)</f>
        <v>0</v>
      </c>
    </row>
    <row r="3664" spans="1:10" ht="14.4">
      <c r="A3664" s="84">
        <v>49315</v>
      </c>
      <c r="B3664" s="85">
        <v>2035</v>
      </c>
      <c r="C3664" s="85">
        <v>1</v>
      </c>
      <c r="D3664" s="85" t="s">
        <v>55</v>
      </c>
      <c r="E3664" s="85">
        <v>6</v>
      </c>
      <c r="F3664" s="85">
        <v>6</v>
      </c>
      <c r="G3664" s="85">
        <f>--(F3664&lt;=Estimator!$B$7)</f>
        <v>0</v>
      </c>
      <c r="H3664" s="86">
        <f>SUMIFS('Climate Data'!$G$7:$G$366,'Climate Data'!$A$7:$A$366,Estimator!$B$4,'Climate Data'!$B$7:$B$366,C3664)</f>
        <v>0.19462365591397848</v>
      </c>
      <c r="I3664" s="87">
        <f>SUMIFS('Climate Data'!$H$7:$H$366,'Climate Data'!$A$7:$A$366,Estimator!$B$4,'Climate Data'!$B$7:$B$366,C3664)</f>
        <v>7.027624309392265</v>
      </c>
      <c r="J3664" s="86">
        <f>SUMIFS('Wind Proxy'!$H$8:$H$19,'Wind Proxy'!$A$8:$A$19,Estimator!$B$4,'Wind Proxy'!$B$8:$B$19,C3664)</f>
        <v>0</v>
      </c>
    </row>
    <row r="3665" spans="1:10" ht="14.4">
      <c r="A3665" s="84">
        <v>49316</v>
      </c>
      <c r="B3665" s="85">
        <v>2035</v>
      </c>
      <c r="C3665" s="85">
        <v>1</v>
      </c>
      <c r="D3665" s="85" t="s">
        <v>55</v>
      </c>
      <c r="E3665" s="85">
        <v>7</v>
      </c>
      <c r="F3665" s="85">
        <v>7</v>
      </c>
      <c r="G3665" s="85">
        <f>--(F3665&lt;=Estimator!$B$7)</f>
        <v>0</v>
      </c>
      <c r="H3665" s="86">
        <f>SUMIFS('Climate Data'!$G$7:$G$366,'Climate Data'!$A$7:$A$366,Estimator!$B$4,'Climate Data'!$B$7:$B$366,C3665)</f>
        <v>0.19462365591397848</v>
      </c>
      <c r="I3665" s="87">
        <f>SUMIFS('Climate Data'!$H$7:$H$366,'Climate Data'!$A$7:$A$366,Estimator!$B$4,'Climate Data'!$B$7:$B$366,C3665)</f>
        <v>7.027624309392265</v>
      </c>
      <c r="J3665" s="86">
        <f>SUMIFS('Wind Proxy'!$H$8:$H$19,'Wind Proxy'!$A$8:$A$19,Estimator!$B$4,'Wind Proxy'!$B$8:$B$19,C3665)</f>
        <v>0</v>
      </c>
    </row>
    <row r="3666" spans="1:10" ht="14.4">
      <c r="A3666" s="84">
        <v>49317</v>
      </c>
      <c r="B3666" s="85">
        <v>2035</v>
      </c>
      <c r="C3666" s="85">
        <v>1</v>
      </c>
      <c r="D3666" s="85" t="s">
        <v>55</v>
      </c>
      <c r="E3666" s="85">
        <v>8</v>
      </c>
      <c r="F3666" s="85">
        <v>1</v>
      </c>
      <c r="G3666" s="85">
        <f>--(F3666&lt;=Estimator!$B$7)</f>
        <v>1</v>
      </c>
      <c r="H3666" s="86">
        <f>SUMIFS('Climate Data'!$G$7:$G$366,'Climate Data'!$A$7:$A$366,Estimator!$B$4,'Climate Data'!$B$7:$B$366,C3666)</f>
        <v>0.19462365591397848</v>
      </c>
      <c r="I3666" s="87">
        <f>SUMIFS('Climate Data'!$H$7:$H$366,'Climate Data'!$A$7:$A$366,Estimator!$B$4,'Climate Data'!$B$7:$B$366,C3666)</f>
        <v>7.027624309392265</v>
      </c>
      <c r="J3666" s="86">
        <f>SUMIFS('Wind Proxy'!$H$8:$H$19,'Wind Proxy'!$A$8:$A$19,Estimator!$B$4,'Wind Proxy'!$B$8:$B$19,C3666)</f>
        <v>0</v>
      </c>
    </row>
    <row r="3667" spans="1:10" ht="14.4">
      <c r="A3667" s="84">
        <v>49318</v>
      </c>
      <c r="B3667" s="85">
        <v>2035</v>
      </c>
      <c r="C3667" s="85">
        <v>1</v>
      </c>
      <c r="D3667" s="85" t="s">
        <v>55</v>
      </c>
      <c r="E3667" s="85">
        <v>9</v>
      </c>
      <c r="F3667" s="85">
        <v>2</v>
      </c>
      <c r="G3667" s="85">
        <f>--(F3667&lt;=Estimator!$B$7)</f>
        <v>1</v>
      </c>
      <c r="H3667" s="86">
        <f>SUMIFS('Climate Data'!$G$7:$G$366,'Climate Data'!$A$7:$A$366,Estimator!$B$4,'Climate Data'!$B$7:$B$366,C3667)</f>
        <v>0.19462365591397848</v>
      </c>
      <c r="I3667" s="87">
        <f>SUMIFS('Climate Data'!$H$7:$H$366,'Climate Data'!$A$7:$A$366,Estimator!$B$4,'Climate Data'!$B$7:$B$366,C3667)</f>
        <v>7.027624309392265</v>
      </c>
      <c r="J3667" s="86">
        <f>SUMIFS('Wind Proxy'!$H$8:$H$19,'Wind Proxy'!$A$8:$A$19,Estimator!$B$4,'Wind Proxy'!$B$8:$B$19,C3667)</f>
        <v>0</v>
      </c>
    </row>
    <row r="3668" spans="1:10" ht="14.4">
      <c r="A3668" s="84">
        <v>49319</v>
      </c>
      <c r="B3668" s="85">
        <v>2035</v>
      </c>
      <c r="C3668" s="85">
        <v>1</v>
      </c>
      <c r="D3668" s="85" t="s">
        <v>55</v>
      </c>
      <c r="E3668" s="85">
        <v>10</v>
      </c>
      <c r="F3668" s="85">
        <v>3</v>
      </c>
      <c r="G3668" s="85">
        <f>--(F3668&lt;=Estimator!$B$7)</f>
        <v>1</v>
      </c>
      <c r="H3668" s="86">
        <f>SUMIFS('Climate Data'!$G$7:$G$366,'Climate Data'!$A$7:$A$366,Estimator!$B$4,'Climate Data'!$B$7:$B$366,C3668)</f>
        <v>0.19462365591397848</v>
      </c>
      <c r="I3668" s="87">
        <f>SUMIFS('Climate Data'!$H$7:$H$366,'Climate Data'!$A$7:$A$366,Estimator!$B$4,'Climate Data'!$B$7:$B$366,C3668)</f>
        <v>7.027624309392265</v>
      </c>
      <c r="J3668" s="86">
        <f>SUMIFS('Wind Proxy'!$H$8:$H$19,'Wind Proxy'!$A$8:$A$19,Estimator!$B$4,'Wind Proxy'!$B$8:$B$19,C3668)</f>
        <v>0</v>
      </c>
    </row>
    <row r="3669" spans="1:10" ht="14.4">
      <c r="A3669" s="84">
        <v>49320</v>
      </c>
      <c r="B3669" s="85">
        <v>2035</v>
      </c>
      <c r="C3669" s="85">
        <v>1</v>
      </c>
      <c r="D3669" s="85" t="s">
        <v>55</v>
      </c>
      <c r="E3669" s="85">
        <v>11</v>
      </c>
      <c r="F3669" s="85">
        <v>4</v>
      </c>
      <c r="G3669" s="85">
        <f>--(F3669&lt;=Estimator!$B$7)</f>
        <v>1</v>
      </c>
      <c r="H3669" s="86">
        <f>SUMIFS('Climate Data'!$G$7:$G$366,'Climate Data'!$A$7:$A$366,Estimator!$B$4,'Climate Data'!$B$7:$B$366,C3669)</f>
        <v>0.19462365591397848</v>
      </c>
      <c r="I3669" s="87">
        <f>SUMIFS('Climate Data'!$H$7:$H$366,'Climate Data'!$A$7:$A$366,Estimator!$B$4,'Climate Data'!$B$7:$B$366,C3669)</f>
        <v>7.027624309392265</v>
      </c>
      <c r="J3669" s="86">
        <f>SUMIFS('Wind Proxy'!$H$8:$H$19,'Wind Proxy'!$A$8:$A$19,Estimator!$B$4,'Wind Proxy'!$B$8:$B$19,C3669)</f>
        <v>0</v>
      </c>
    </row>
    <row r="3670" spans="1:10" ht="14.4">
      <c r="A3670" s="84">
        <v>49321</v>
      </c>
      <c r="B3670" s="85">
        <v>2035</v>
      </c>
      <c r="C3670" s="85">
        <v>1</v>
      </c>
      <c r="D3670" s="85" t="s">
        <v>55</v>
      </c>
      <c r="E3670" s="85">
        <v>12</v>
      </c>
      <c r="F3670" s="85">
        <v>5</v>
      </c>
      <c r="G3670" s="85">
        <f>--(F3670&lt;=Estimator!$B$7)</f>
        <v>1</v>
      </c>
      <c r="H3670" s="86">
        <f>SUMIFS('Climate Data'!$G$7:$G$366,'Climate Data'!$A$7:$A$366,Estimator!$B$4,'Climate Data'!$B$7:$B$366,C3670)</f>
        <v>0.19462365591397848</v>
      </c>
      <c r="I3670" s="87">
        <f>SUMIFS('Climate Data'!$H$7:$H$366,'Climate Data'!$A$7:$A$366,Estimator!$B$4,'Climate Data'!$B$7:$B$366,C3670)</f>
        <v>7.027624309392265</v>
      </c>
      <c r="J3670" s="86">
        <f>SUMIFS('Wind Proxy'!$H$8:$H$19,'Wind Proxy'!$A$8:$A$19,Estimator!$B$4,'Wind Proxy'!$B$8:$B$19,C3670)</f>
        <v>0</v>
      </c>
    </row>
    <row r="3671" spans="1:10" ht="14.4">
      <c r="A3671" s="84">
        <v>49322</v>
      </c>
      <c r="B3671" s="85">
        <v>2035</v>
      </c>
      <c r="C3671" s="85">
        <v>1</v>
      </c>
      <c r="D3671" s="85" t="s">
        <v>55</v>
      </c>
      <c r="E3671" s="85">
        <v>13</v>
      </c>
      <c r="F3671" s="85">
        <v>6</v>
      </c>
      <c r="G3671" s="85">
        <f>--(F3671&lt;=Estimator!$B$7)</f>
        <v>0</v>
      </c>
      <c r="H3671" s="86">
        <f>SUMIFS('Climate Data'!$G$7:$G$366,'Climate Data'!$A$7:$A$366,Estimator!$B$4,'Climate Data'!$B$7:$B$366,C3671)</f>
        <v>0.19462365591397848</v>
      </c>
      <c r="I3671" s="87">
        <f>SUMIFS('Climate Data'!$H$7:$H$366,'Climate Data'!$A$7:$A$366,Estimator!$B$4,'Climate Data'!$B$7:$B$366,C3671)</f>
        <v>7.027624309392265</v>
      </c>
      <c r="J3671" s="86">
        <f>SUMIFS('Wind Proxy'!$H$8:$H$19,'Wind Proxy'!$A$8:$A$19,Estimator!$B$4,'Wind Proxy'!$B$8:$B$19,C3671)</f>
        <v>0</v>
      </c>
    </row>
    <row r="3672" spans="1:10" ht="14.4">
      <c r="A3672" s="84">
        <v>49323</v>
      </c>
      <c r="B3672" s="85">
        <v>2035</v>
      </c>
      <c r="C3672" s="85">
        <v>1</v>
      </c>
      <c r="D3672" s="85" t="s">
        <v>55</v>
      </c>
      <c r="E3672" s="85">
        <v>14</v>
      </c>
      <c r="F3672" s="85">
        <v>7</v>
      </c>
      <c r="G3672" s="85">
        <f>--(F3672&lt;=Estimator!$B$7)</f>
        <v>0</v>
      </c>
      <c r="H3672" s="86">
        <f>SUMIFS('Climate Data'!$G$7:$G$366,'Climate Data'!$A$7:$A$366,Estimator!$B$4,'Climate Data'!$B$7:$B$366,C3672)</f>
        <v>0.19462365591397848</v>
      </c>
      <c r="I3672" s="87">
        <f>SUMIFS('Climate Data'!$H$7:$H$366,'Climate Data'!$A$7:$A$366,Estimator!$B$4,'Climate Data'!$B$7:$B$366,C3672)</f>
        <v>7.027624309392265</v>
      </c>
      <c r="J3672" s="86">
        <f>SUMIFS('Wind Proxy'!$H$8:$H$19,'Wind Proxy'!$A$8:$A$19,Estimator!$B$4,'Wind Proxy'!$B$8:$B$19,C3672)</f>
        <v>0</v>
      </c>
    </row>
    <row r="3673" spans="1:10" ht="14.4">
      <c r="A3673" s="84">
        <v>49324</v>
      </c>
      <c r="B3673" s="85">
        <v>2035</v>
      </c>
      <c r="C3673" s="85">
        <v>1</v>
      </c>
      <c r="D3673" s="85" t="s">
        <v>55</v>
      </c>
      <c r="E3673" s="85">
        <v>15</v>
      </c>
      <c r="F3673" s="85">
        <v>1</v>
      </c>
      <c r="G3673" s="85">
        <f>--(F3673&lt;=Estimator!$B$7)</f>
        <v>1</v>
      </c>
      <c r="H3673" s="86">
        <f>SUMIFS('Climate Data'!$G$7:$G$366,'Climate Data'!$A$7:$A$366,Estimator!$B$4,'Climate Data'!$B$7:$B$366,C3673)</f>
        <v>0.19462365591397848</v>
      </c>
      <c r="I3673" s="87">
        <f>SUMIFS('Climate Data'!$H$7:$H$366,'Climate Data'!$A$7:$A$366,Estimator!$B$4,'Climate Data'!$B$7:$B$366,C3673)</f>
        <v>7.027624309392265</v>
      </c>
      <c r="J3673" s="86">
        <f>SUMIFS('Wind Proxy'!$H$8:$H$19,'Wind Proxy'!$A$8:$A$19,Estimator!$B$4,'Wind Proxy'!$B$8:$B$19,C3673)</f>
        <v>0</v>
      </c>
    </row>
    <row r="3674" spans="1:10" ht="14.4">
      <c r="A3674" s="84">
        <v>49325</v>
      </c>
      <c r="B3674" s="85">
        <v>2035</v>
      </c>
      <c r="C3674" s="85">
        <v>1</v>
      </c>
      <c r="D3674" s="85" t="s">
        <v>55</v>
      </c>
      <c r="E3674" s="85">
        <v>16</v>
      </c>
      <c r="F3674" s="85">
        <v>2</v>
      </c>
      <c r="G3674" s="85">
        <f>--(F3674&lt;=Estimator!$B$7)</f>
        <v>1</v>
      </c>
      <c r="H3674" s="86">
        <f>SUMIFS('Climate Data'!$G$7:$G$366,'Climate Data'!$A$7:$A$366,Estimator!$B$4,'Climate Data'!$B$7:$B$366,C3674)</f>
        <v>0.19462365591397848</v>
      </c>
      <c r="I3674" s="87">
        <f>SUMIFS('Climate Data'!$H$7:$H$366,'Climate Data'!$A$7:$A$366,Estimator!$B$4,'Climate Data'!$B$7:$B$366,C3674)</f>
        <v>7.027624309392265</v>
      </c>
      <c r="J3674" s="86">
        <f>SUMIFS('Wind Proxy'!$H$8:$H$19,'Wind Proxy'!$A$8:$A$19,Estimator!$B$4,'Wind Proxy'!$B$8:$B$19,C3674)</f>
        <v>0</v>
      </c>
    </row>
    <row r="3675" spans="1:10" ht="14.4">
      <c r="A3675" s="84">
        <v>49326</v>
      </c>
      <c r="B3675" s="85">
        <v>2035</v>
      </c>
      <c r="C3675" s="85">
        <v>1</v>
      </c>
      <c r="D3675" s="85" t="s">
        <v>55</v>
      </c>
      <c r="E3675" s="85">
        <v>17</v>
      </c>
      <c r="F3675" s="85">
        <v>3</v>
      </c>
      <c r="G3675" s="85">
        <f>--(F3675&lt;=Estimator!$B$7)</f>
        <v>1</v>
      </c>
      <c r="H3675" s="86">
        <f>SUMIFS('Climate Data'!$G$7:$G$366,'Climate Data'!$A$7:$A$366,Estimator!$B$4,'Climate Data'!$B$7:$B$366,C3675)</f>
        <v>0.19462365591397848</v>
      </c>
      <c r="I3675" s="87">
        <f>SUMIFS('Climate Data'!$H$7:$H$366,'Climate Data'!$A$7:$A$366,Estimator!$B$4,'Climate Data'!$B$7:$B$366,C3675)</f>
        <v>7.027624309392265</v>
      </c>
      <c r="J3675" s="86">
        <f>SUMIFS('Wind Proxy'!$H$8:$H$19,'Wind Proxy'!$A$8:$A$19,Estimator!$B$4,'Wind Proxy'!$B$8:$B$19,C3675)</f>
        <v>0</v>
      </c>
    </row>
    <row r="3676" spans="1:10" ht="14.4">
      <c r="A3676" s="84">
        <v>49327</v>
      </c>
      <c r="B3676" s="85">
        <v>2035</v>
      </c>
      <c r="C3676" s="85">
        <v>1</v>
      </c>
      <c r="D3676" s="85" t="s">
        <v>55</v>
      </c>
      <c r="E3676" s="85">
        <v>18</v>
      </c>
      <c r="F3676" s="85">
        <v>4</v>
      </c>
      <c r="G3676" s="85">
        <f>--(F3676&lt;=Estimator!$B$7)</f>
        <v>1</v>
      </c>
      <c r="H3676" s="86">
        <f>SUMIFS('Climate Data'!$G$7:$G$366,'Climate Data'!$A$7:$A$366,Estimator!$B$4,'Climate Data'!$B$7:$B$366,C3676)</f>
        <v>0.19462365591397848</v>
      </c>
      <c r="I3676" s="87">
        <f>SUMIFS('Climate Data'!$H$7:$H$366,'Climate Data'!$A$7:$A$366,Estimator!$B$4,'Climate Data'!$B$7:$B$366,C3676)</f>
        <v>7.027624309392265</v>
      </c>
      <c r="J3676" s="86">
        <f>SUMIFS('Wind Proxy'!$H$8:$H$19,'Wind Proxy'!$A$8:$A$19,Estimator!$B$4,'Wind Proxy'!$B$8:$B$19,C3676)</f>
        <v>0</v>
      </c>
    </row>
    <row r="3677" spans="1:10" ht="14.4">
      <c r="A3677" s="84">
        <v>49328</v>
      </c>
      <c r="B3677" s="85">
        <v>2035</v>
      </c>
      <c r="C3677" s="85">
        <v>1</v>
      </c>
      <c r="D3677" s="85" t="s">
        <v>55</v>
      </c>
      <c r="E3677" s="85">
        <v>19</v>
      </c>
      <c r="F3677" s="85">
        <v>5</v>
      </c>
      <c r="G3677" s="85">
        <f>--(F3677&lt;=Estimator!$B$7)</f>
        <v>1</v>
      </c>
      <c r="H3677" s="86">
        <f>SUMIFS('Climate Data'!$G$7:$G$366,'Climate Data'!$A$7:$A$366,Estimator!$B$4,'Climate Data'!$B$7:$B$366,C3677)</f>
        <v>0.19462365591397848</v>
      </c>
      <c r="I3677" s="87">
        <f>SUMIFS('Climate Data'!$H$7:$H$366,'Climate Data'!$A$7:$A$366,Estimator!$B$4,'Climate Data'!$B$7:$B$366,C3677)</f>
        <v>7.027624309392265</v>
      </c>
      <c r="J3677" s="86">
        <f>SUMIFS('Wind Proxy'!$H$8:$H$19,'Wind Proxy'!$A$8:$A$19,Estimator!$B$4,'Wind Proxy'!$B$8:$B$19,C3677)</f>
        <v>0</v>
      </c>
    </row>
    <row r="3678" spans="1:10" ht="14.4">
      <c r="A3678" s="84">
        <v>49329</v>
      </c>
      <c r="B3678" s="85">
        <v>2035</v>
      </c>
      <c r="C3678" s="85">
        <v>1</v>
      </c>
      <c r="D3678" s="85" t="s">
        <v>55</v>
      </c>
      <c r="E3678" s="85">
        <v>20</v>
      </c>
      <c r="F3678" s="85">
        <v>6</v>
      </c>
      <c r="G3678" s="85">
        <f>--(F3678&lt;=Estimator!$B$7)</f>
        <v>0</v>
      </c>
      <c r="H3678" s="86">
        <f>SUMIFS('Climate Data'!$G$7:$G$366,'Climate Data'!$A$7:$A$366,Estimator!$B$4,'Climate Data'!$B$7:$B$366,C3678)</f>
        <v>0.19462365591397848</v>
      </c>
      <c r="I3678" s="87">
        <f>SUMIFS('Climate Data'!$H$7:$H$366,'Climate Data'!$A$7:$A$366,Estimator!$B$4,'Climate Data'!$B$7:$B$366,C3678)</f>
        <v>7.027624309392265</v>
      </c>
      <c r="J3678" s="86">
        <f>SUMIFS('Wind Proxy'!$H$8:$H$19,'Wind Proxy'!$A$8:$A$19,Estimator!$B$4,'Wind Proxy'!$B$8:$B$19,C3678)</f>
        <v>0</v>
      </c>
    </row>
    <row r="3679" spans="1:10" ht="14.4">
      <c r="A3679" s="84">
        <v>49330</v>
      </c>
      <c r="B3679" s="85">
        <v>2035</v>
      </c>
      <c r="C3679" s="85">
        <v>1</v>
      </c>
      <c r="D3679" s="85" t="s">
        <v>55</v>
      </c>
      <c r="E3679" s="85">
        <v>21</v>
      </c>
      <c r="F3679" s="85">
        <v>7</v>
      </c>
      <c r="G3679" s="85">
        <f>--(F3679&lt;=Estimator!$B$7)</f>
        <v>0</v>
      </c>
      <c r="H3679" s="86">
        <f>SUMIFS('Climate Data'!$G$7:$G$366,'Climate Data'!$A$7:$A$366,Estimator!$B$4,'Climate Data'!$B$7:$B$366,C3679)</f>
        <v>0.19462365591397848</v>
      </c>
      <c r="I3679" s="87">
        <f>SUMIFS('Climate Data'!$H$7:$H$366,'Climate Data'!$A$7:$A$366,Estimator!$B$4,'Climate Data'!$B$7:$B$366,C3679)</f>
        <v>7.027624309392265</v>
      </c>
      <c r="J3679" s="86">
        <f>SUMIFS('Wind Proxy'!$H$8:$H$19,'Wind Proxy'!$A$8:$A$19,Estimator!$B$4,'Wind Proxy'!$B$8:$B$19,C3679)</f>
        <v>0</v>
      </c>
    </row>
    <row r="3680" spans="1:10" ht="14.4">
      <c r="A3680" s="84">
        <v>49331</v>
      </c>
      <c r="B3680" s="85">
        <v>2035</v>
      </c>
      <c r="C3680" s="85">
        <v>1</v>
      </c>
      <c r="D3680" s="85" t="s">
        <v>55</v>
      </c>
      <c r="E3680" s="85">
        <v>22</v>
      </c>
      <c r="F3680" s="85">
        <v>1</v>
      </c>
      <c r="G3680" s="85">
        <f>--(F3680&lt;=Estimator!$B$7)</f>
        <v>1</v>
      </c>
      <c r="H3680" s="86">
        <f>SUMIFS('Climate Data'!$G$7:$G$366,'Climate Data'!$A$7:$A$366,Estimator!$B$4,'Climate Data'!$B$7:$B$366,C3680)</f>
        <v>0.19462365591397848</v>
      </c>
      <c r="I3680" s="87">
        <f>SUMIFS('Climate Data'!$H$7:$H$366,'Climate Data'!$A$7:$A$366,Estimator!$B$4,'Climate Data'!$B$7:$B$366,C3680)</f>
        <v>7.027624309392265</v>
      </c>
      <c r="J3680" s="86">
        <f>SUMIFS('Wind Proxy'!$H$8:$H$19,'Wind Proxy'!$A$8:$A$19,Estimator!$B$4,'Wind Proxy'!$B$8:$B$19,C3680)</f>
        <v>0</v>
      </c>
    </row>
    <row r="3681" spans="1:10" ht="14.4">
      <c r="A3681" s="84">
        <v>49332</v>
      </c>
      <c r="B3681" s="85">
        <v>2035</v>
      </c>
      <c r="C3681" s="85">
        <v>1</v>
      </c>
      <c r="D3681" s="85" t="s">
        <v>55</v>
      </c>
      <c r="E3681" s="85">
        <v>23</v>
      </c>
      <c r="F3681" s="85">
        <v>2</v>
      </c>
      <c r="G3681" s="85">
        <f>--(F3681&lt;=Estimator!$B$7)</f>
        <v>1</v>
      </c>
      <c r="H3681" s="86">
        <f>SUMIFS('Climate Data'!$G$7:$G$366,'Climate Data'!$A$7:$A$366,Estimator!$B$4,'Climate Data'!$B$7:$B$366,C3681)</f>
        <v>0.19462365591397848</v>
      </c>
      <c r="I3681" s="87">
        <f>SUMIFS('Climate Data'!$H$7:$H$366,'Climate Data'!$A$7:$A$366,Estimator!$B$4,'Climate Data'!$B$7:$B$366,C3681)</f>
        <v>7.027624309392265</v>
      </c>
      <c r="J3681" s="86">
        <f>SUMIFS('Wind Proxy'!$H$8:$H$19,'Wind Proxy'!$A$8:$A$19,Estimator!$B$4,'Wind Proxy'!$B$8:$B$19,C3681)</f>
        <v>0</v>
      </c>
    </row>
    <row r="3682" spans="1:10" ht="14.4">
      <c r="A3682" s="84">
        <v>49333</v>
      </c>
      <c r="B3682" s="85">
        <v>2035</v>
      </c>
      <c r="C3682" s="85">
        <v>1</v>
      </c>
      <c r="D3682" s="85" t="s">
        <v>55</v>
      </c>
      <c r="E3682" s="85">
        <v>24</v>
      </c>
      <c r="F3682" s="85">
        <v>3</v>
      </c>
      <c r="G3682" s="85">
        <f>--(F3682&lt;=Estimator!$B$7)</f>
        <v>1</v>
      </c>
      <c r="H3682" s="86">
        <f>SUMIFS('Climate Data'!$G$7:$G$366,'Climate Data'!$A$7:$A$366,Estimator!$B$4,'Climate Data'!$B$7:$B$366,C3682)</f>
        <v>0.19462365591397848</v>
      </c>
      <c r="I3682" s="87">
        <f>SUMIFS('Climate Data'!$H$7:$H$366,'Climate Data'!$A$7:$A$366,Estimator!$B$4,'Climate Data'!$B$7:$B$366,C3682)</f>
        <v>7.027624309392265</v>
      </c>
      <c r="J3682" s="86">
        <f>SUMIFS('Wind Proxy'!$H$8:$H$19,'Wind Proxy'!$A$8:$A$19,Estimator!$B$4,'Wind Proxy'!$B$8:$B$19,C3682)</f>
        <v>0</v>
      </c>
    </row>
    <row r="3683" spans="1:10" ht="14.4">
      <c r="A3683" s="84">
        <v>49334</v>
      </c>
      <c r="B3683" s="85">
        <v>2035</v>
      </c>
      <c r="C3683" s="85">
        <v>1</v>
      </c>
      <c r="D3683" s="85" t="s">
        <v>55</v>
      </c>
      <c r="E3683" s="85">
        <v>25</v>
      </c>
      <c r="F3683" s="85">
        <v>4</v>
      </c>
      <c r="G3683" s="85">
        <f>--(F3683&lt;=Estimator!$B$7)</f>
        <v>1</v>
      </c>
      <c r="H3683" s="86">
        <f>SUMIFS('Climate Data'!$G$7:$G$366,'Climate Data'!$A$7:$A$366,Estimator!$B$4,'Climate Data'!$B$7:$B$366,C3683)</f>
        <v>0.19462365591397848</v>
      </c>
      <c r="I3683" s="87">
        <f>SUMIFS('Climate Data'!$H$7:$H$366,'Climate Data'!$A$7:$A$366,Estimator!$B$4,'Climate Data'!$B$7:$B$366,C3683)</f>
        <v>7.027624309392265</v>
      </c>
      <c r="J3683" s="86">
        <f>SUMIFS('Wind Proxy'!$H$8:$H$19,'Wind Proxy'!$A$8:$A$19,Estimator!$B$4,'Wind Proxy'!$B$8:$B$19,C3683)</f>
        <v>0</v>
      </c>
    </row>
    <row r="3684" spans="1:10" ht="14.4">
      <c r="A3684" s="84">
        <v>49335</v>
      </c>
      <c r="B3684" s="85">
        <v>2035</v>
      </c>
      <c r="C3684" s="85">
        <v>1</v>
      </c>
      <c r="D3684" s="85" t="s">
        <v>55</v>
      </c>
      <c r="E3684" s="85">
        <v>26</v>
      </c>
      <c r="F3684" s="85">
        <v>5</v>
      </c>
      <c r="G3684" s="85">
        <f>--(F3684&lt;=Estimator!$B$7)</f>
        <v>1</v>
      </c>
      <c r="H3684" s="86">
        <f>SUMIFS('Climate Data'!$G$7:$G$366,'Climate Data'!$A$7:$A$366,Estimator!$B$4,'Climate Data'!$B$7:$B$366,C3684)</f>
        <v>0.19462365591397848</v>
      </c>
      <c r="I3684" s="87">
        <f>SUMIFS('Climate Data'!$H$7:$H$366,'Climate Data'!$A$7:$A$366,Estimator!$B$4,'Climate Data'!$B$7:$B$366,C3684)</f>
        <v>7.027624309392265</v>
      </c>
      <c r="J3684" s="86">
        <f>SUMIFS('Wind Proxy'!$H$8:$H$19,'Wind Proxy'!$A$8:$A$19,Estimator!$B$4,'Wind Proxy'!$B$8:$B$19,C3684)</f>
        <v>0</v>
      </c>
    </row>
    <row r="3685" spans="1:10" ht="14.4">
      <c r="A3685" s="84">
        <v>49336</v>
      </c>
      <c r="B3685" s="85">
        <v>2035</v>
      </c>
      <c r="C3685" s="85">
        <v>1</v>
      </c>
      <c r="D3685" s="85" t="s">
        <v>55</v>
      </c>
      <c r="E3685" s="85">
        <v>27</v>
      </c>
      <c r="F3685" s="85">
        <v>6</v>
      </c>
      <c r="G3685" s="85">
        <f>--(F3685&lt;=Estimator!$B$7)</f>
        <v>0</v>
      </c>
      <c r="H3685" s="86">
        <f>SUMIFS('Climate Data'!$G$7:$G$366,'Climate Data'!$A$7:$A$366,Estimator!$B$4,'Climate Data'!$B$7:$B$366,C3685)</f>
        <v>0.19462365591397848</v>
      </c>
      <c r="I3685" s="87">
        <f>SUMIFS('Climate Data'!$H$7:$H$366,'Climate Data'!$A$7:$A$366,Estimator!$B$4,'Climate Data'!$B$7:$B$366,C3685)</f>
        <v>7.027624309392265</v>
      </c>
      <c r="J3685" s="86">
        <f>SUMIFS('Wind Proxy'!$H$8:$H$19,'Wind Proxy'!$A$8:$A$19,Estimator!$B$4,'Wind Proxy'!$B$8:$B$19,C3685)</f>
        <v>0</v>
      </c>
    </row>
    <row r="3686" spans="1:10" ht="14.4">
      <c r="A3686" s="84">
        <v>49337</v>
      </c>
      <c r="B3686" s="85">
        <v>2035</v>
      </c>
      <c r="C3686" s="85">
        <v>1</v>
      </c>
      <c r="D3686" s="85" t="s">
        <v>55</v>
      </c>
      <c r="E3686" s="85">
        <v>28</v>
      </c>
      <c r="F3686" s="85">
        <v>7</v>
      </c>
      <c r="G3686" s="85">
        <f>--(F3686&lt;=Estimator!$B$7)</f>
        <v>0</v>
      </c>
      <c r="H3686" s="86">
        <f>SUMIFS('Climate Data'!$G$7:$G$366,'Climate Data'!$A$7:$A$366,Estimator!$B$4,'Climate Data'!$B$7:$B$366,C3686)</f>
        <v>0.19462365591397848</v>
      </c>
      <c r="I3686" s="87">
        <f>SUMIFS('Climate Data'!$H$7:$H$366,'Climate Data'!$A$7:$A$366,Estimator!$B$4,'Climate Data'!$B$7:$B$366,C3686)</f>
        <v>7.027624309392265</v>
      </c>
      <c r="J3686" s="86">
        <f>SUMIFS('Wind Proxy'!$H$8:$H$19,'Wind Proxy'!$A$8:$A$19,Estimator!$B$4,'Wind Proxy'!$B$8:$B$19,C3686)</f>
        <v>0</v>
      </c>
    </row>
    <row r="3687" spans="1:10" ht="14.4">
      <c r="A3687" s="84">
        <v>49338</v>
      </c>
      <c r="B3687" s="85">
        <v>2035</v>
      </c>
      <c r="C3687" s="85">
        <v>1</v>
      </c>
      <c r="D3687" s="85" t="s">
        <v>55</v>
      </c>
      <c r="E3687" s="85">
        <v>29</v>
      </c>
      <c r="F3687" s="85">
        <v>1</v>
      </c>
      <c r="G3687" s="85">
        <f>--(F3687&lt;=Estimator!$B$7)</f>
        <v>1</v>
      </c>
      <c r="H3687" s="86">
        <f>SUMIFS('Climate Data'!$G$7:$G$366,'Climate Data'!$A$7:$A$366,Estimator!$B$4,'Climate Data'!$B$7:$B$366,C3687)</f>
        <v>0.19462365591397848</v>
      </c>
      <c r="I3687" s="87">
        <f>SUMIFS('Climate Data'!$H$7:$H$366,'Climate Data'!$A$7:$A$366,Estimator!$B$4,'Climate Data'!$B$7:$B$366,C3687)</f>
        <v>7.027624309392265</v>
      </c>
      <c r="J3687" s="86">
        <f>SUMIFS('Wind Proxy'!$H$8:$H$19,'Wind Proxy'!$A$8:$A$19,Estimator!$B$4,'Wind Proxy'!$B$8:$B$19,C3687)</f>
        <v>0</v>
      </c>
    </row>
    <row r="3688" spans="1:10" ht="14.4">
      <c r="A3688" s="84">
        <v>49339</v>
      </c>
      <c r="B3688" s="85">
        <v>2035</v>
      </c>
      <c r="C3688" s="85">
        <v>1</v>
      </c>
      <c r="D3688" s="85" t="s">
        <v>55</v>
      </c>
      <c r="E3688" s="85">
        <v>30</v>
      </c>
      <c r="F3688" s="85">
        <v>2</v>
      </c>
      <c r="G3688" s="85">
        <f>--(F3688&lt;=Estimator!$B$7)</f>
        <v>1</v>
      </c>
      <c r="H3688" s="86">
        <f>SUMIFS('Climate Data'!$G$7:$G$366,'Climate Data'!$A$7:$A$366,Estimator!$B$4,'Climate Data'!$B$7:$B$366,C3688)</f>
        <v>0.19462365591397848</v>
      </c>
      <c r="I3688" s="87">
        <f>SUMIFS('Climate Data'!$H$7:$H$366,'Climate Data'!$A$7:$A$366,Estimator!$B$4,'Climate Data'!$B$7:$B$366,C3688)</f>
        <v>7.027624309392265</v>
      </c>
      <c r="J3688" s="86">
        <f>SUMIFS('Wind Proxy'!$H$8:$H$19,'Wind Proxy'!$A$8:$A$19,Estimator!$B$4,'Wind Proxy'!$B$8:$B$19,C3688)</f>
        <v>0</v>
      </c>
    </row>
    <row r="3689" spans="1:10" ht="14.4">
      <c r="A3689" s="84">
        <v>49340</v>
      </c>
      <c r="B3689" s="85">
        <v>2035</v>
      </c>
      <c r="C3689" s="85">
        <v>1</v>
      </c>
      <c r="D3689" s="85" t="s">
        <v>55</v>
      </c>
      <c r="E3689" s="85">
        <v>31</v>
      </c>
      <c r="F3689" s="85">
        <v>3</v>
      </c>
      <c r="G3689" s="85">
        <f>--(F3689&lt;=Estimator!$B$7)</f>
        <v>1</v>
      </c>
      <c r="H3689" s="86">
        <f>SUMIFS('Climate Data'!$G$7:$G$366,'Climate Data'!$A$7:$A$366,Estimator!$B$4,'Climate Data'!$B$7:$B$366,C3689)</f>
        <v>0.19462365591397848</v>
      </c>
      <c r="I3689" s="87">
        <f>SUMIFS('Climate Data'!$H$7:$H$366,'Climate Data'!$A$7:$A$366,Estimator!$B$4,'Climate Data'!$B$7:$B$366,C3689)</f>
        <v>7.027624309392265</v>
      </c>
      <c r="J3689" s="86">
        <f>SUMIFS('Wind Proxy'!$H$8:$H$19,'Wind Proxy'!$A$8:$A$19,Estimator!$B$4,'Wind Proxy'!$B$8:$B$19,C3689)</f>
        <v>0</v>
      </c>
    </row>
    <row r="3690" spans="1:10" ht="14.4">
      <c r="A3690" s="84">
        <v>49341</v>
      </c>
      <c r="B3690" s="85">
        <v>2035</v>
      </c>
      <c r="C3690" s="85">
        <v>2</v>
      </c>
      <c r="D3690" s="85" t="s">
        <v>58</v>
      </c>
      <c r="E3690" s="85">
        <v>1</v>
      </c>
      <c r="F3690" s="85">
        <v>4</v>
      </c>
      <c r="G3690" s="85">
        <f>--(F3690&lt;=Estimator!$B$7)</f>
        <v>1</v>
      </c>
      <c r="H3690" s="86">
        <f>SUMIFS('Climate Data'!$G$7:$G$366,'Climate Data'!$A$7:$A$366,Estimator!$B$4,'Climate Data'!$B$7:$B$366,C3690)</f>
        <v>0.18867924528301885</v>
      </c>
      <c r="I3690" s="87">
        <f>SUMIFS('Climate Data'!$H$7:$H$366,'Climate Data'!$A$7:$A$366,Estimator!$B$4,'Climate Data'!$B$7:$B$366,C3690)</f>
        <v>7.4624999999999995</v>
      </c>
      <c r="J3690" s="86">
        <f>SUMIFS('Wind Proxy'!$H$8:$H$19,'Wind Proxy'!$A$8:$A$19,Estimator!$B$4,'Wind Proxy'!$B$8:$B$19,C3690)</f>
        <v>0</v>
      </c>
    </row>
    <row r="3691" spans="1:10" ht="14.4">
      <c r="A3691" s="84">
        <v>49342</v>
      </c>
      <c r="B3691" s="85">
        <v>2035</v>
      </c>
      <c r="C3691" s="85">
        <v>2</v>
      </c>
      <c r="D3691" s="85" t="s">
        <v>58</v>
      </c>
      <c r="E3691" s="85">
        <v>2</v>
      </c>
      <c r="F3691" s="85">
        <v>5</v>
      </c>
      <c r="G3691" s="85">
        <f>--(F3691&lt;=Estimator!$B$7)</f>
        <v>1</v>
      </c>
      <c r="H3691" s="86">
        <f>SUMIFS('Climate Data'!$G$7:$G$366,'Climate Data'!$A$7:$A$366,Estimator!$B$4,'Climate Data'!$B$7:$B$366,C3691)</f>
        <v>0.18867924528301885</v>
      </c>
      <c r="I3691" s="87">
        <f>SUMIFS('Climate Data'!$H$7:$H$366,'Climate Data'!$A$7:$A$366,Estimator!$B$4,'Climate Data'!$B$7:$B$366,C3691)</f>
        <v>7.4624999999999995</v>
      </c>
      <c r="J3691" s="86">
        <f>SUMIFS('Wind Proxy'!$H$8:$H$19,'Wind Proxy'!$A$8:$A$19,Estimator!$B$4,'Wind Proxy'!$B$8:$B$19,C3691)</f>
        <v>0</v>
      </c>
    </row>
    <row r="3692" spans="1:10" ht="14.4">
      <c r="A3692" s="84">
        <v>49343</v>
      </c>
      <c r="B3692" s="85">
        <v>2035</v>
      </c>
      <c r="C3692" s="85">
        <v>2</v>
      </c>
      <c r="D3692" s="85" t="s">
        <v>58</v>
      </c>
      <c r="E3692" s="85">
        <v>3</v>
      </c>
      <c r="F3692" s="85">
        <v>6</v>
      </c>
      <c r="G3692" s="85">
        <f>--(F3692&lt;=Estimator!$B$7)</f>
        <v>0</v>
      </c>
      <c r="H3692" s="86">
        <f>SUMIFS('Climate Data'!$G$7:$G$366,'Climate Data'!$A$7:$A$366,Estimator!$B$4,'Climate Data'!$B$7:$B$366,C3692)</f>
        <v>0.18867924528301885</v>
      </c>
      <c r="I3692" s="87">
        <f>SUMIFS('Climate Data'!$H$7:$H$366,'Climate Data'!$A$7:$A$366,Estimator!$B$4,'Climate Data'!$B$7:$B$366,C3692)</f>
        <v>7.4624999999999995</v>
      </c>
      <c r="J3692" s="86">
        <f>SUMIFS('Wind Proxy'!$H$8:$H$19,'Wind Proxy'!$A$8:$A$19,Estimator!$B$4,'Wind Proxy'!$B$8:$B$19,C3692)</f>
        <v>0</v>
      </c>
    </row>
    <row r="3693" spans="1:10" ht="14.4">
      <c r="A3693" s="84">
        <v>49344</v>
      </c>
      <c r="B3693" s="85">
        <v>2035</v>
      </c>
      <c r="C3693" s="85">
        <v>2</v>
      </c>
      <c r="D3693" s="85" t="s">
        <v>58</v>
      </c>
      <c r="E3693" s="85">
        <v>4</v>
      </c>
      <c r="F3693" s="85">
        <v>7</v>
      </c>
      <c r="G3693" s="85">
        <f>--(F3693&lt;=Estimator!$B$7)</f>
        <v>0</v>
      </c>
      <c r="H3693" s="86">
        <f>SUMIFS('Climate Data'!$G$7:$G$366,'Climate Data'!$A$7:$A$366,Estimator!$B$4,'Climate Data'!$B$7:$B$366,C3693)</f>
        <v>0.18867924528301885</v>
      </c>
      <c r="I3693" s="87">
        <f>SUMIFS('Climate Data'!$H$7:$H$366,'Climate Data'!$A$7:$A$366,Estimator!$B$4,'Climate Data'!$B$7:$B$366,C3693)</f>
        <v>7.4624999999999995</v>
      </c>
      <c r="J3693" s="86">
        <f>SUMIFS('Wind Proxy'!$H$8:$H$19,'Wind Proxy'!$A$8:$A$19,Estimator!$B$4,'Wind Proxy'!$B$8:$B$19,C3693)</f>
        <v>0</v>
      </c>
    </row>
    <row r="3694" spans="1:10" ht="14.4">
      <c r="A3694" s="84">
        <v>49345</v>
      </c>
      <c r="B3694" s="85">
        <v>2035</v>
      </c>
      <c r="C3694" s="85">
        <v>2</v>
      </c>
      <c r="D3694" s="85" t="s">
        <v>58</v>
      </c>
      <c r="E3694" s="85">
        <v>5</v>
      </c>
      <c r="F3694" s="85">
        <v>1</v>
      </c>
      <c r="G3694" s="85">
        <f>--(F3694&lt;=Estimator!$B$7)</f>
        <v>1</v>
      </c>
      <c r="H3694" s="86">
        <f>SUMIFS('Climate Data'!$G$7:$G$366,'Climate Data'!$A$7:$A$366,Estimator!$B$4,'Climate Data'!$B$7:$B$366,C3694)</f>
        <v>0.18867924528301885</v>
      </c>
      <c r="I3694" s="87">
        <f>SUMIFS('Climate Data'!$H$7:$H$366,'Climate Data'!$A$7:$A$366,Estimator!$B$4,'Climate Data'!$B$7:$B$366,C3694)</f>
        <v>7.4624999999999995</v>
      </c>
      <c r="J3694" s="86">
        <f>SUMIFS('Wind Proxy'!$H$8:$H$19,'Wind Proxy'!$A$8:$A$19,Estimator!$B$4,'Wind Proxy'!$B$8:$B$19,C3694)</f>
        <v>0</v>
      </c>
    </row>
    <row r="3695" spans="1:10" ht="14.4">
      <c r="A3695" s="84">
        <v>49346</v>
      </c>
      <c r="B3695" s="85">
        <v>2035</v>
      </c>
      <c r="C3695" s="85">
        <v>2</v>
      </c>
      <c r="D3695" s="85" t="s">
        <v>58</v>
      </c>
      <c r="E3695" s="85">
        <v>6</v>
      </c>
      <c r="F3695" s="85">
        <v>2</v>
      </c>
      <c r="G3695" s="85">
        <f>--(F3695&lt;=Estimator!$B$7)</f>
        <v>1</v>
      </c>
      <c r="H3695" s="86">
        <f>SUMIFS('Climate Data'!$G$7:$G$366,'Climate Data'!$A$7:$A$366,Estimator!$B$4,'Climate Data'!$B$7:$B$366,C3695)</f>
        <v>0.18867924528301885</v>
      </c>
      <c r="I3695" s="87">
        <f>SUMIFS('Climate Data'!$H$7:$H$366,'Climate Data'!$A$7:$A$366,Estimator!$B$4,'Climate Data'!$B$7:$B$366,C3695)</f>
        <v>7.4624999999999995</v>
      </c>
      <c r="J3695" s="86">
        <f>SUMIFS('Wind Proxy'!$H$8:$H$19,'Wind Proxy'!$A$8:$A$19,Estimator!$B$4,'Wind Proxy'!$B$8:$B$19,C3695)</f>
        <v>0</v>
      </c>
    </row>
    <row r="3696" spans="1:10" ht="14.4">
      <c r="A3696" s="84">
        <v>49347</v>
      </c>
      <c r="B3696" s="85">
        <v>2035</v>
      </c>
      <c r="C3696" s="85">
        <v>2</v>
      </c>
      <c r="D3696" s="85" t="s">
        <v>58</v>
      </c>
      <c r="E3696" s="85">
        <v>7</v>
      </c>
      <c r="F3696" s="85">
        <v>3</v>
      </c>
      <c r="G3696" s="85">
        <f>--(F3696&lt;=Estimator!$B$7)</f>
        <v>1</v>
      </c>
      <c r="H3696" s="86">
        <f>SUMIFS('Climate Data'!$G$7:$G$366,'Climate Data'!$A$7:$A$366,Estimator!$B$4,'Climate Data'!$B$7:$B$366,C3696)</f>
        <v>0.18867924528301885</v>
      </c>
      <c r="I3696" s="87">
        <f>SUMIFS('Climate Data'!$H$7:$H$366,'Climate Data'!$A$7:$A$366,Estimator!$B$4,'Climate Data'!$B$7:$B$366,C3696)</f>
        <v>7.4624999999999995</v>
      </c>
      <c r="J3696" s="86">
        <f>SUMIFS('Wind Proxy'!$H$8:$H$19,'Wind Proxy'!$A$8:$A$19,Estimator!$B$4,'Wind Proxy'!$B$8:$B$19,C3696)</f>
        <v>0</v>
      </c>
    </row>
    <row r="3697" spans="1:10" ht="14.4">
      <c r="A3697" s="84">
        <v>49348</v>
      </c>
      <c r="B3697" s="85">
        <v>2035</v>
      </c>
      <c r="C3697" s="85">
        <v>2</v>
      </c>
      <c r="D3697" s="85" t="s">
        <v>58</v>
      </c>
      <c r="E3697" s="85">
        <v>8</v>
      </c>
      <c r="F3697" s="85">
        <v>4</v>
      </c>
      <c r="G3697" s="85">
        <f>--(F3697&lt;=Estimator!$B$7)</f>
        <v>1</v>
      </c>
      <c r="H3697" s="86">
        <f>SUMIFS('Climate Data'!$G$7:$G$366,'Climate Data'!$A$7:$A$366,Estimator!$B$4,'Climate Data'!$B$7:$B$366,C3697)</f>
        <v>0.18867924528301885</v>
      </c>
      <c r="I3697" s="87">
        <f>SUMIFS('Climate Data'!$H$7:$H$366,'Climate Data'!$A$7:$A$366,Estimator!$B$4,'Climate Data'!$B$7:$B$366,C3697)</f>
        <v>7.4624999999999995</v>
      </c>
      <c r="J3697" s="86">
        <f>SUMIFS('Wind Proxy'!$H$8:$H$19,'Wind Proxy'!$A$8:$A$19,Estimator!$B$4,'Wind Proxy'!$B$8:$B$19,C3697)</f>
        <v>0</v>
      </c>
    </row>
    <row r="3698" spans="1:10" ht="14.4">
      <c r="A3698" s="84">
        <v>49349</v>
      </c>
      <c r="B3698" s="85">
        <v>2035</v>
      </c>
      <c r="C3698" s="85">
        <v>2</v>
      </c>
      <c r="D3698" s="85" t="s">
        <v>58</v>
      </c>
      <c r="E3698" s="85">
        <v>9</v>
      </c>
      <c r="F3698" s="85">
        <v>5</v>
      </c>
      <c r="G3698" s="85">
        <f>--(F3698&lt;=Estimator!$B$7)</f>
        <v>1</v>
      </c>
      <c r="H3698" s="86">
        <f>SUMIFS('Climate Data'!$G$7:$G$366,'Climate Data'!$A$7:$A$366,Estimator!$B$4,'Climate Data'!$B$7:$B$366,C3698)</f>
        <v>0.18867924528301885</v>
      </c>
      <c r="I3698" s="87">
        <f>SUMIFS('Climate Data'!$H$7:$H$366,'Climate Data'!$A$7:$A$366,Estimator!$B$4,'Climate Data'!$B$7:$B$366,C3698)</f>
        <v>7.4624999999999995</v>
      </c>
      <c r="J3698" s="86">
        <f>SUMIFS('Wind Proxy'!$H$8:$H$19,'Wind Proxy'!$A$8:$A$19,Estimator!$B$4,'Wind Proxy'!$B$8:$B$19,C3698)</f>
        <v>0</v>
      </c>
    </row>
    <row r="3699" spans="1:10" ht="14.4">
      <c r="A3699" s="84">
        <v>49350</v>
      </c>
      <c r="B3699" s="85">
        <v>2035</v>
      </c>
      <c r="C3699" s="85">
        <v>2</v>
      </c>
      <c r="D3699" s="85" t="s">
        <v>58</v>
      </c>
      <c r="E3699" s="85">
        <v>10</v>
      </c>
      <c r="F3699" s="85">
        <v>6</v>
      </c>
      <c r="G3699" s="85">
        <f>--(F3699&lt;=Estimator!$B$7)</f>
        <v>0</v>
      </c>
      <c r="H3699" s="86">
        <f>SUMIFS('Climate Data'!$G$7:$G$366,'Climate Data'!$A$7:$A$366,Estimator!$B$4,'Climate Data'!$B$7:$B$366,C3699)</f>
        <v>0.18867924528301885</v>
      </c>
      <c r="I3699" s="87">
        <f>SUMIFS('Climate Data'!$H$7:$H$366,'Climate Data'!$A$7:$A$366,Estimator!$B$4,'Climate Data'!$B$7:$B$366,C3699)</f>
        <v>7.4624999999999995</v>
      </c>
      <c r="J3699" s="86">
        <f>SUMIFS('Wind Proxy'!$H$8:$H$19,'Wind Proxy'!$A$8:$A$19,Estimator!$B$4,'Wind Proxy'!$B$8:$B$19,C3699)</f>
        <v>0</v>
      </c>
    </row>
    <row r="3700" spans="1:10" ht="14.4">
      <c r="A3700" s="84">
        <v>49351</v>
      </c>
      <c r="B3700" s="85">
        <v>2035</v>
      </c>
      <c r="C3700" s="85">
        <v>2</v>
      </c>
      <c r="D3700" s="85" t="s">
        <v>58</v>
      </c>
      <c r="E3700" s="85">
        <v>11</v>
      </c>
      <c r="F3700" s="85">
        <v>7</v>
      </c>
      <c r="G3700" s="85">
        <f>--(F3700&lt;=Estimator!$B$7)</f>
        <v>0</v>
      </c>
      <c r="H3700" s="86">
        <f>SUMIFS('Climate Data'!$G$7:$G$366,'Climate Data'!$A$7:$A$366,Estimator!$B$4,'Climate Data'!$B$7:$B$366,C3700)</f>
        <v>0.18867924528301885</v>
      </c>
      <c r="I3700" s="87">
        <f>SUMIFS('Climate Data'!$H$7:$H$366,'Climate Data'!$A$7:$A$366,Estimator!$B$4,'Climate Data'!$B$7:$B$366,C3700)</f>
        <v>7.4624999999999995</v>
      </c>
      <c r="J3700" s="86">
        <f>SUMIFS('Wind Proxy'!$H$8:$H$19,'Wind Proxy'!$A$8:$A$19,Estimator!$B$4,'Wind Proxy'!$B$8:$B$19,C3700)</f>
        <v>0</v>
      </c>
    </row>
    <row r="3701" spans="1:10" ht="14.4">
      <c r="A3701" s="84">
        <v>49352</v>
      </c>
      <c r="B3701" s="85">
        <v>2035</v>
      </c>
      <c r="C3701" s="85">
        <v>2</v>
      </c>
      <c r="D3701" s="85" t="s">
        <v>58</v>
      </c>
      <c r="E3701" s="85">
        <v>12</v>
      </c>
      <c r="F3701" s="85">
        <v>1</v>
      </c>
      <c r="G3701" s="85">
        <f>--(F3701&lt;=Estimator!$B$7)</f>
        <v>1</v>
      </c>
      <c r="H3701" s="86">
        <f>SUMIFS('Climate Data'!$G$7:$G$366,'Climate Data'!$A$7:$A$366,Estimator!$B$4,'Climate Data'!$B$7:$B$366,C3701)</f>
        <v>0.18867924528301885</v>
      </c>
      <c r="I3701" s="87">
        <f>SUMIFS('Climate Data'!$H$7:$H$366,'Climate Data'!$A$7:$A$366,Estimator!$B$4,'Climate Data'!$B$7:$B$366,C3701)</f>
        <v>7.4624999999999995</v>
      </c>
      <c r="J3701" s="86">
        <f>SUMIFS('Wind Proxy'!$H$8:$H$19,'Wind Proxy'!$A$8:$A$19,Estimator!$B$4,'Wind Proxy'!$B$8:$B$19,C3701)</f>
        <v>0</v>
      </c>
    </row>
    <row r="3702" spans="1:10" ht="14.4">
      <c r="A3702" s="84">
        <v>49353</v>
      </c>
      <c r="B3702" s="85">
        <v>2035</v>
      </c>
      <c r="C3702" s="85">
        <v>2</v>
      </c>
      <c r="D3702" s="85" t="s">
        <v>58</v>
      </c>
      <c r="E3702" s="85">
        <v>13</v>
      </c>
      <c r="F3702" s="85">
        <v>2</v>
      </c>
      <c r="G3702" s="85">
        <f>--(F3702&lt;=Estimator!$B$7)</f>
        <v>1</v>
      </c>
      <c r="H3702" s="86">
        <f>SUMIFS('Climate Data'!$G$7:$G$366,'Climate Data'!$A$7:$A$366,Estimator!$B$4,'Climate Data'!$B$7:$B$366,C3702)</f>
        <v>0.18867924528301885</v>
      </c>
      <c r="I3702" s="87">
        <f>SUMIFS('Climate Data'!$H$7:$H$366,'Climate Data'!$A$7:$A$366,Estimator!$B$4,'Climate Data'!$B$7:$B$366,C3702)</f>
        <v>7.4624999999999995</v>
      </c>
      <c r="J3702" s="86">
        <f>SUMIFS('Wind Proxy'!$H$8:$H$19,'Wind Proxy'!$A$8:$A$19,Estimator!$B$4,'Wind Proxy'!$B$8:$B$19,C3702)</f>
        <v>0</v>
      </c>
    </row>
    <row r="3703" spans="1:10" ht="14.4">
      <c r="A3703" s="84">
        <v>49354</v>
      </c>
      <c r="B3703" s="85">
        <v>2035</v>
      </c>
      <c r="C3703" s="85">
        <v>2</v>
      </c>
      <c r="D3703" s="85" t="s">
        <v>58</v>
      </c>
      <c r="E3703" s="85">
        <v>14</v>
      </c>
      <c r="F3703" s="85">
        <v>3</v>
      </c>
      <c r="G3703" s="85">
        <f>--(F3703&lt;=Estimator!$B$7)</f>
        <v>1</v>
      </c>
      <c r="H3703" s="86">
        <f>SUMIFS('Climate Data'!$G$7:$G$366,'Climate Data'!$A$7:$A$366,Estimator!$B$4,'Climate Data'!$B$7:$B$366,C3703)</f>
        <v>0.18867924528301885</v>
      </c>
      <c r="I3703" s="87">
        <f>SUMIFS('Climate Data'!$H$7:$H$366,'Climate Data'!$A$7:$A$366,Estimator!$B$4,'Climate Data'!$B$7:$B$366,C3703)</f>
        <v>7.4624999999999995</v>
      </c>
      <c r="J3703" s="86">
        <f>SUMIFS('Wind Proxy'!$H$8:$H$19,'Wind Proxy'!$A$8:$A$19,Estimator!$B$4,'Wind Proxy'!$B$8:$B$19,C3703)</f>
        <v>0</v>
      </c>
    </row>
    <row r="3704" spans="1:10" ht="14.4">
      <c r="A3704" s="84">
        <v>49355</v>
      </c>
      <c r="B3704" s="85">
        <v>2035</v>
      </c>
      <c r="C3704" s="85">
        <v>2</v>
      </c>
      <c r="D3704" s="85" t="s">
        <v>58</v>
      </c>
      <c r="E3704" s="85">
        <v>15</v>
      </c>
      <c r="F3704" s="85">
        <v>4</v>
      </c>
      <c r="G3704" s="85">
        <f>--(F3704&lt;=Estimator!$B$7)</f>
        <v>1</v>
      </c>
      <c r="H3704" s="86">
        <f>SUMIFS('Climate Data'!$G$7:$G$366,'Climate Data'!$A$7:$A$366,Estimator!$B$4,'Climate Data'!$B$7:$B$366,C3704)</f>
        <v>0.18867924528301885</v>
      </c>
      <c r="I3704" s="87">
        <f>SUMIFS('Climate Data'!$H$7:$H$366,'Climate Data'!$A$7:$A$366,Estimator!$B$4,'Climate Data'!$B$7:$B$366,C3704)</f>
        <v>7.4624999999999995</v>
      </c>
      <c r="J3704" s="86">
        <f>SUMIFS('Wind Proxy'!$H$8:$H$19,'Wind Proxy'!$A$8:$A$19,Estimator!$B$4,'Wind Proxy'!$B$8:$B$19,C3704)</f>
        <v>0</v>
      </c>
    </row>
    <row r="3705" spans="1:10" ht="14.4">
      <c r="A3705" s="84">
        <v>49356</v>
      </c>
      <c r="B3705" s="85">
        <v>2035</v>
      </c>
      <c r="C3705" s="85">
        <v>2</v>
      </c>
      <c r="D3705" s="85" t="s">
        <v>58</v>
      </c>
      <c r="E3705" s="85">
        <v>16</v>
      </c>
      <c r="F3705" s="85">
        <v>5</v>
      </c>
      <c r="G3705" s="85">
        <f>--(F3705&lt;=Estimator!$B$7)</f>
        <v>1</v>
      </c>
      <c r="H3705" s="86">
        <f>SUMIFS('Climate Data'!$G$7:$G$366,'Climate Data'!$A$7:$A$366,Estimator!$B$4,'Climate Data'!$B$7:$B$366,C3705)</f>
        <v>0.18867924528301885</v>
      </c>
      <c r="I3705" s="87">
        <f>SUMIFS('Climate Data'!$H$7:$H$366,'Climate Data'!$A$7:$A$366,Estimator!$B$4,'Climate Data'!$B$7:$B$366,C3705)</f>
        <v>7.4624999999999995</v>
      </c>
      <c r="J3705" s="86">
        <f>SUMIFS('Wind Proxy'!$H$8:$H$19,'Wind Proxy'!$A$8:$A$19,Estimator!$B$4,'Wind Proxy'!$B$8:$B$19,C3705)</f>
        <v>0</v>
      </c>
    </row>
    <row r="3706" spans="1:10" ht="14.4">
      <c r="A3706" s="84">
        <v>49357</v>
      </c>
      <c r="B3706" s="85">
        <v>2035</v>
      </c>
      <c r="C3706" s="85">
        <v>2</v>
      </c>
      <c r="D3706" s="85" t="s">
        <v>58</v>
      </c>
      <c r="E3706" s="85">
        <v>17</v>
      </c>
      <c r="F3706" s="85">
        <v>6</v>
      </c>
      <c r="G3706" s="85">
        <f>--(F3706&lt;=Estimator!$B$7)</f>
        <v>0</v>
      </c>
      <c r="H3706" s="86">
        <f>SUMIFS('Climate Data'!$G$7:$G$366,'Climate Data'!$A$7:$A$366,Estimator!$B$4,'Climate Data'!$B$7:$B$366,C3706)</f>
        <v>0.18867924528301885</v>
      </c>
      <c r="I3706" s="87">
        <f>SUMIFS('Climate Data'!$H$7:$H$366,'Climate Data'!$A$7:$A$366,Estimator!$B$4,'Climate Data'!$B$7:$B$366,C3706)</f>
        <v>7.4624999999999995</v>
      </c>
      <c r="J3706" s="86">
        <f>SUMIFS('Wind Proxy'!$H$8:$H$19,'Wind Proxy'!$A$8:$A$19,Estimator!$B$4,'Wind Proxy'!$B$8:$B$19,C3706)</f>
        <v>0</v>
      </c>
    </row>
    <row r="3707" spans="1:10" ht="14.4">
      <c r="A3707" s="84">
        <v>49358</v>
      </c>
      <c r="B3707" s="85">
        <v>2035</v>
      </c>
      <c r="C3707" s="85">
        <v>2</v>
      </c>
      <c r="D3707" s="85" t="s">
        <v>58</v>
      </c>
      <c r="E3707" s="85">
        <v>18</v>
      </c>
      <c r="F3707" s="85">
        <v>7</v>
      </c>
      <c r="G3707" s="85">
        <f>--(F3707&lt;=Estimator!$B$7)</f>
        <v>0</v>
      </c>
      <c r="H3707" s="86">
        <f>SUMIFS('Climate Data'!$G$7:$G$366,'Climate Data'!$A$7:$A$366,Estimator!$B$4,'Climate Data'!$B$7:$B$366,C3707)</f>
        <v>0.18867924528301885</v>
      </c>
      <c r="I3707" s="87">
        <f>SUMIFS('Climate Data'!$H$7:$H$366,'Climate Data'!$A$7:$A$366,Estimator!$B$4,'Climate Data'!$B$7:$B$366,C3707)</f>
        <v>7.4624999999999995</v>
      </c>
      <c r="J3707" s="86">
        <f>SUMIFS('Wind Proxy'!$H$8:$H$19,'Wind Proxy'!$A$8:$A$19,Estimator!$B$4,'Wind Proxy'!$B$8:$B$19,C3707)</f>
        <v>0</v>
      </c>
    </row>
    <row r="3708" spans="1:10" ht="14.4">
      <c r="A3708" s="84">
        <v>49359</v>
      </c>
      <c r="B3708" s="85">
        <v>2035</v>
      </c>
      <c r="C3708" s="85">
        <v>2</v>
      </c>
      <c r="D3708" s="85" t="s">
        <v>58</v>
      </c>
      <c r="E3708" s="85">
        <v>19</v>
      </c>
      <c r="F3708" s="85">
        <v>1</v>
      </c>
      <c r="G3708" s="85">
        <f>--(F3708&lt;=Estimator!$B$7)</f>
        <v>1</v>
      </c>
      <c r="H3708" s="86">
        <f>SUMIFS('Climate Data'!$G$7:$G$366,'Climate Data'!$A$7:$A$366,Estimator!$B$4,'Climate Data'!$B$7:$B$366,C3708)</f>
        <v>0.18867924528301885</v>
      </c>
      <c r="I3708" s="87">
        <f>SUMIFS('Climate Data'!$H$7:$H$366,'Climate Data'!$A$7:$A$366,Estimator!$B$4,'Climate Data'!$B$7:$B$366,C3708)</f>
        <v>7.4624999999999995</v>
      </c>
      <c r="J3708" s="86">
        <f>SUMIFS('Wind Proxy'!$H$8:$H$19,'Wind Proxy'!$A$8:$A$19,Estimator!$B$4,'Wind Proxy'!$B$8:$B$19,C3708)</f>
        <v>0</v>
      </c>
    </row>
    <row r="3709" spans="1:10" ht="14.4">
      <c r="A3709" s="84">
        <v>49360</v>
      </c>
      <c r="B3709" s="85">
        <v>2035</v>
      </c>
      <c r="C3709" s="85">
        <v>2</v>
      </c>
      <c r="D3709" s="85" t="s">
        <v>58</v>
      </c>
      <c r="E3709" s="85">
        <v>20</v>
      </c>
      <c r="F3709" s="85">
        <v>2</v>
      </c>
      <c r="G3709" s="85">
        <f>--(F3709&lt;=Estimator!$B$7)</f>
        <v>1</v>
      </c>
      <c r="H3709" s="86">
        <f>SUMIFS('Climate Data'!$G$7:$G$366,'Climate Data'!$A$7:$A$366,Estimator!$B$4,'Climate Data'!$B$7:$B$366,C3709)</f>
        <v>0.18867924528301885</v>
      </c>
      <c r="I3709" s="87">
        <f>SUMIFS('Climate Data'!$H$7:$H$366,'Climate Data'!$A$7:$A$366,Estimator!$B$4,'Climate Data'!$B$7:$B$366,C3709)</f>
        <v>7.4624999999999995</v>
      </c>
      <c r="J3709" s="86">
        <f>SUMIFS('Wind Proxy'!$H$8:$H$19,'Wind Proxy'!$A$8:$A$19,Estimator!$B$4,'Wind Proxy'!$B$8:$B$19,C3709)</f>
        <v>0</v>
      </c>
    </row>
    <row r="3710" spans="1:10" ht="14.4">
      <c r="A3710" s="84">
        <v>49361</v>
      </c>
      <c r="B3710" s="85">
        <v>2035</v>
      </c>
      <c r="C3710" s="85">
        <v>2</v>
      </c>
      <c r="D3710" s="85" t="s">
        <v>58</v>
      </c>
      <c r="E3710" s="85">
        <v>21</v>
      </c>
      <c r="F3710" s="85">
        <v>3</v>
      </c>
      <c r="G3710" s="85">
        <f>--(F3710&lt;=Estimator!$B$7)</f>
        <v>1</v>
      </c>
      <c r="H3710" s="86">
        <f>SUMIFS('Climate Data'!$G$7:$G$366,'Climate Data'!$A$7:$A$366,Estimator!$B$4,'Climate Data'!$B$7:$B$366,C3710)</f>
        <v>0.18867924528301885</v>
      </c>
      <c r="I3710" s="87">
        <f>SUMIFS('Climate Data'!$H$7:$H$366,'Climate Data'!$A$7:$A$366,Estimator!$B$4,'Climate Data'!$B$7:$B$366,C3710)</f>
        <v>7.4624999999999995</v>
      </c>
      <c r="J3710" s="86">
        <f>SUMIFS('Wind Proxy'!$H$8:$H$19,'Wind Proxy'!$A$8:$A$19,Estimator!$B$4,'Wind Proxy'!$B$8:$B$19,C3710)</f>
        <v>0</v>
      </c>
    </row>
    <row r="3711" spans="1:10" ht="14.4">
      <c r="A3711" s="84">
        <v>49362</v>
      </c>
      <c r="B3711" s="85">
        <v>2035</v>
      </c>
      <c r="C3711" s="85">
        <v>2</v>
      </c>
      <c r="D3711" s="85" t="s">
        <v>58</v>
      </c>
      <c r="E3711" s="85">
        <v>22</v>
      </c>
      <c r="F3711" s="85">
        <v>4</v>
      </c>
      <c r="G3711" s="85">
        <f>--(F3711&lt;=Estimator!$B$7)</f>
        <v>1</v>
      </c>
      <c r="H3711" s="86">
        <f>SUMIFS('Climate Data'!$G$7:$G$366,'Climate Data'!$A$7:$A$366,Estimator!$B$4,'Climate Data'!$B$7:$B$366,C3711)</f>
        <v>0.18867924528301885</v>
      </c>
      <c r="I3711" s="87">
        <f>SUMIFS('Climate Data'!$H$7:$H$366,'Climate Data'!$A$7:$A$366,Estimator!$B$4,'Climate Data'!$B$7:$B$366,C3711)</f>
        <v>7.4624999999999995</v>
      </c>
      <c r="J3711" s="86">
        <f>SUMIFS('Wind Proxy'!$H$8:$H$19,'Wind Proxy'!$A$8:$A$19,Estimator!$B$4,'Wind Proxy'!$B$8:$B$19,C3711)</f>
        <v>0</v>
      </c>
    </row>
    <row r="3712" spans="1:10" ht="14.4">
      <c r="A3712" s="84">
        <v>49363</v>
      </c>
      <c r="B3712" s="85">
        <v>2035</v>
      </c>
      <c r="C3712" s="85">
        <v>2</v>
      </c>
      <c r="D3712" s="85" t="s">
        <v>58</v>
      </c>
      <c r="E3712" s="85">
        <v>23</v>
      </c>
      <c r="F3712" s="85">
        <v>5</v>
      </c>
      <c r="G3712" s="85">
        <f>--(F3712&lt;=Estimator!$B$7)</f>
        <v>1</v>
      </c>
      <c r="H3712" s="86">
        <f>SUMIFS('Climate Data'!$G$7:$G$366,'Climate Data'!$A$7:$A$366,Estimator!$B$4,'Climate Data'!$B$7:$B$366,C3712)</f>
        <v>0.18867924528301885</v>
      </c>
      <c r="I3712" s="87">
        <f>SUMIFS('Climate Data'!$H$7:$H$366,'Climate Data'!$A$7:$A$366,Estimator!$B$4,'Climate Data'!$B$7:$B$366,C3712)</f>
        <v>7.4624999999999995</v>
      </c>
      <c r="J3712" s="86">
        <f>SUMIFS('Wind Proxy'!$H$8:$H$19,'Wind Proxy'!$A$8:$A$19,Estimator!$B$4,'Wind Proxy'!$B$8:$B$19,C3712)</f>
        <v>0</v>
      </c>
    </row>
    <row r="3713" spans="1:10" ht="14.4">
      <c r="A3713" s="84">
        <v>49364</v>
      </c>
      <c r="B3713" s="85">
        <v>2035</v>
      </c>
      <c r="C3713" s="85">
        <v>2</v>
      </c>
      <c r="D3713" s="85" t="s">
        <v>58</v>
      </c>
      <c r="E3713" s="85">
        <v>24</v>
      </c>
      <c r="F3713" s="85">
        <v>6</v>
      </c>
      <c r="G3713" s="85">
        <f>--(F3713&lt;=Estimator!$B$7)</f>
        <v>0</v>
      </c>
      <c r="H3713" s="86">
        <f>SUMIFS('Climate Data'!$G$7:$G$366,'Climate Data'!$A$7:$A$366,Estimator!$B$4,'Climate Data'!$B$7:$B$366,C3713)</f>
        <v>0.18867924528301885</v>
      </c>
      <c r="I3713" s="87">
        <f>SUMIFS('Climate Data'!$H$7:$H$366,'Climate Data'!$A$7:$A$366,Estimator!$B$4,'Climate Data'!$B$7:$B$366,C3713)</f>
        <v>7.4624999999999995</v>
      </c>
      <c r="J3713" s="86">
        <f>SUMIFS('Wind Proxy'!$H$8:$H$19,'Wind Proxy'!$A$8:$A$19,Estimator!$B$4,'Wind Proxy'!$B$8:$B$19,C3713)</f>
        <v>0</v>
      </c>
    </row>
    <row r="3714" spans="1:10" ht="14.4">
      <c r="A3714" s="84">
        <v>49365</v>
      </c>
      <c r="B3714" s="85">
        <v>2035</v>
      </c>
      <c r="C3714" s="85">
        <v>2</v>
      </c>
      <c r="D3714" s="85" t="s">
        <v>58</v>
      </c>
      <c r="E3714" s="85">
        <v>25</v>
      </c>
      <c r="F3714" s="85">
        <v>7</v>
      </c>
      <c r="G3714" s="85">
        <f>--(F3714&lt;=Estimator!$B$7)</f>
        <v>0</v>
      </c>
      <c r="H3714" s="86">
        <f>SUMIFS('Climate Data'!$G$7:$G$366,'Climate Data'!$A$7:$A$366,Estimator!$B$4,'Climate Data'!$B$7:$B$366,C3714)</f>
        <v>0.18867924528301885</v>
      </c>
      <c r="I3714" s="87">
        <f>SUMIFS('Climate Data'!$H$7:$H$366,'Climate Data'!$A$7:$A$366,Estimator!$B$4,'Climate Data'!$B$7:$B$366,C3714)</f>
        <v>7.4624999999999995</v>
      </c>
      <c r="J3714" s="86">
        <f>SUMIFS('Wind Proxy'!$H$8:$H$19,'Wind Proxy'!$A$8:$A$19,Estimator!$B$4,'Wind Proxy'!$B$8:$B$19,C3714)</f>
        <v>0</v>
      </c>
    </row>
    <row r="3715" spans="1:10" ht="14.4">
      <c r="A3715" s="84">
        <v>49366</v>
      </c>
      <c r="B3715" s="85">
        <v>2035</v>
      </c>
      <c r="C3715" s="85">
        <v>2</v>
      </c>
      <c r="D3715" s="85" t="s">
        <v>58</v>
      </c>
      <c r="E3715" s="85">
        <v>26</v>
      </c>
      <c r="F3715" s="85">
        <v>1</v>
      </c>
      <c r="G3715" s="85">
        <f>--(F3715&lt;=Estimator!$B$7)</f>
        <v>1</v>
      </c>
      <c r="H3715" s="86">
        <f>SUMIFS('Climate Data'!$G$7:$G$366,'Climate Data'!$A$7:$A$366,Estimator!$B$4,'Climate Data'!$B$7:$B$366,C3715)</f>
        <v>0.18867924528301885</v>
      </c>
      <c r="I3715" s="87">
        <f>SUMIFS('Climate Data'!$H$7:$H$366,'Climate Data'!$A$7:$A$366,Estimator!$B$4,'Climate Data'!$B$7:$B$366,C3715)</f>
        <v>7.4624999999999995</v>
      </c>
      <c r="J3715" s="86">
        <f>SUMIFS('Wind Proxy'!$H$8:$H$19,'Wind Proxy'!$A$8:$A$19,Estimator!$B$4,'Wind Proxy'!$B$8:$B$19,C3715)</f>
        <v>0</v>
      </c>
    </row>
    <row r="3716" spans="1:10" ht="14.4">
      <c r="A3716" s="84">
        <v>49367</v>
      </c>
      <c r="B3716" s="85">
        <v>2035</v>
      </c>
      <c r="C3716" s="85">
        <v>2</v>
      </c>
      <c r="D3716" s="85" t="s">
        <v>58</v>
      </c>
      <c r="E3716" s="85">
        <v>27</v>
      </c>
      <c r="F3716" s="85">
        <v>2</v>
      </c>
      <c r="G3716" s="85">
        <f>--(F3716&lt;=Estimator!$B$7)</f>
        <v>1</v>
      </c>
      <c r="H3716" s="86">
        <f>SUMIFS('Climate Data'!$G$7:$G$366,'Climate Data'!$A$7:$A$366,Estimator!$B$4,'Climate Data'!$B$7:$B$366,C3716)</f>
        <v>0.18867924528301885</v>
      </c>
      <c r="I3716" s="87">
        <f>SUMIFS('Climate Data'!$H$7:$H$366,'Climate Data'!$A$7:$A$366,Estimator!$B$4,'Climate Data'!$B$7:$B$366,C3716)</f>
        <v>7.4624999999999995</v>
      </c>
      <c r="J3716" s="86">
        <f>SUMIFS('Wind Proxy'!$H$8:$H$19,'Wind Proxy'!$A$8:$A$19,Estimator!$B$4,'Wind Proxy'!$B$8:$B$19,C3716)</f>
        <v>0</v>
      </c>
    </row>
    <row r="3717" spans="1:10" ht="14.4">
      <c r="A3717" s="84">
        <v>49368</v>
      </c>
      <c r="B3717" s="85">
        <v>2035</v>
      </c>
      <c r="C3717" s="85">
        <v>2</v>
      </c>
      <c r="D3717" s="85" t="s">
        <v>58</v>
      </c>
      <c r="E3717" s="85">
        <v>28</v>
      </c>
      <c r="F3717" s="85">
        <v>3</v>
      </c>
      <c r="G3717" s="85">
        <f>--(F3717&lt;=Estimator!$B$7)</f>
        <v>1</v>
      </c>
      <c r="H3717" s="86">
        <f>SUMIFS('Climate Data'!$G$7:$G$366,'Climate Data'!$A$7:$A$366,Estimator!$B$4,'Climate Data'!$B$7:$B$366,C3717)</f>
        <v>0.18867924528301885</v>
      </c>
      <c r="I3717" s="87">
        <f>SUMIFS('Climate Data'!$H$7:$H$366,'Climate Data'!$A$7:$A$366,Estimator!$B$4,'Climate Data'!$B$7:$B$366,C3717)</f>
        <v>7.4624999999999995</v>
      </c>
      <c r="J3717" s="86">
        <f>SUMIFS('Wind Proxy'!$H$8:$H$19,'Wind Proxy'!$A$8:$A$19,Estimator!$B$4,'Wind Proxy'!$B$8:$B$19,C3717)</f>
        <v>0</v>
      </c>
    </row>
    <row r="3718" spans="1:10" ht="14.4">
      <c r="A3718" s="84">
        <v>49369</v>
      </c>
      <c r="B3718" s="85">
        <v>2035</v>
      </c>
      <c r="C3718" s="85">
        <v>3</v>
      </c>
      <c r="D3718" s="85" t="s">
        <v>60</v>
      </c>
      <c r="E3718" s="85">
        <v>1</v>
      </c>
      <c r="F3718" s="85">
        <v>4</v>
      </c>
      <c r="G3718" s="85">
        <f>--(F3718&lt;=Estimator!$B$7)</f>
        <v>1</v>
      </c>
      <c r="H3718" s="86">
        <f>SUMIFS('Climate Data'!$G$7:$G$366,'Climate Data'!$A$7:$A$366,Estimator!$B$4,'Climate Data'!$B$7:$B$366,C3718)</f>
        <v>0.18494623655913978</v>
      </c>
      <c r="I3718" s="87">
        <f>SUMIFS('Climate Data'!$H$7:$H$366,'Climate Data'!$A$7:$A$366,Estimator!$B$4,'Climate Data'!$B$7:$B$366,C3718)</f>
        <v>7.8662790697674421</v>
      </c>
      <c r="J3718" s="86">
        <f>SUMIFS('Wind Proxy'!$H$8:$H$19,'Wind Proxy'!$A$8:$A$19,Estimator!$B$4,'Wind Proxy'!$B$8:$B$19,C3718)</f>
        <v>0</v>
      </c>
    </row>
    <row r="3719" spans="1:10" ht="14.4">
      <c r="A3719" s="84">
        <v>49370</v>
      </c>
      <c r="B3719" s="85">
        <v>2035</v>
      </c>
      <c r="C3719" s="85">
        <v>3</v>
      </c>
      <c r="D3719" s="85" t="s">
        <v>60</v>
      </c>
      <c r="E3719" s="85">
        <v>2</v>
      </c>
      <c r="F3719" s="85">
        <v>5</v>
      </c>
      <c r="G3719" s="85">
        <f>--(F3719&lt;=Estimator!$B$7)</f>
        <v>1</v>
      </c>
      <c r="H3719" s="86">
        <f>SUMIFS('Climate Data'!$G$7:$G$366,'Climate Data'!$A$7:$A$366,Estimator!$B$4,'Climate Data'!$B$7:$B$366,C3719)</f>
        <v>0.18494623655913978</v>
      </c>
      <c r="I3719" s="87">
        <f>SUMIFS('Climate Data'!$H$7:$H$366,'Climate Data'!$A$7:$A$366,Estimator!$B$4,'Climate Data'!$B$7:$B$366,C3719)</f>
        <v>7.8662790697674421</v>
      </c>
      <c r="J3719" s="86">
        <f>SUMIFS('Wind Proxy'!$H$8:$H$19,'Wind Proxy'!$A$8:$A$19,Estimator!$B$4,'Wind Proxy'!$B$8:$B$19,C3719)</f>
        <v>0</v>
      </c>
    </row>
    <row r="3720" spans="1:10" ht="14.4">
      <c r="A3720" s="84">
        <v>49371</v>
      </c>
      <c r="B3720" s="85">
        <v>2035</v>
      </c>
      <c r="C3720" s="85">
        <v>3</v>
      </c>
      <c r="D3720" s="85" t="s">
        <v>60</v>
      </c>
      <c r="E3720" s="85">
        <v>3</v>
      </c>
      <c r="F3720" s="85">
        <v>6</v>
      </c>
      <c r="G3720" s="85">
        <f>--(F3720&lt;=Estimator!$B$7)</f>
        <v>0</v>
      </c>
      <c r="H3720" s="86">
        <f>SUMIFS('Climate Data'!$G$7:$G$366,'Climate Data'!$A$7:$A$366,Estimator!$B$4,'Climate Data'!$B$7:$B$366,C3720)</f>
        <v>0.18494623655913978</v>
      </c>
      <c r="I3720" s="87">
        <f>SUMIFS('Climate Data'!$H$7:$H$366,'Climate Data'!$A$7:$A$366,Estimator!$B$4,'Climate Data'!$B$7:$B$366,C3720)</f>
        <v>7.8662790697674421</v>
      </c>
      <c r="J3720" s="86">
        <f>SUMIFS('Wind Proxy'!$H$8:$H$19,'Wind Proxy'!$A$8:$A$19,Estimator!$B$4,'Wind Proxy'!$B$8:$B$19,C3720)</f>
        <v>0</v>
      </c>
    </row>
    <row r="3721" spans="1:10" ht="14.4">
      <c r="A3721" s="84">
        <v>49372</v>
      </c>
      <c r="B3721" s="85">
        <v>2035</v>
      </c>
      <c r="C3721" s="85">
        <v>3</v>
      </c>
      <c r="D3721" s="85" t="s">
        <v>60</v>
      </c>
      <c r="E3721" s="85">
        <v>4</v>
      </c>
      <c r="F3721" s="85">
        <v>7</v>
      </c>
      <c r="G3721" s="85">
        <f>--(F3721&lt;=Estimator!$B$7)</f>
        <v>0</v>
      </c>
      <c r="H3721" s="86">
        <f>SUMIFS('Climate Data'!$G$7:$G$366,'Climate Data'!$A$7:$A$366,Estimator!$B$4,'Climate Data'!$B$7:$B$366,C3721)</f>
        <v>0.18494623655913978</v>
      </c>
      <c r="I3721" s="87">
        <f>SUMIFS('Climate Data'!$H$7:$H$366,'Climate Data'!$A$7:$A$366,Estimator!$B$4,'Climate Data'!$B$7:$B$366,C3721)</f>
        <v>7.8662790697674421</v>
      </c>
      <c r="J3721" s="86">
        <f>SUMIFS('Wind Proxy'!$H$8:$H$19,'Wind Proxy'!$A$8:$A$19,Estimator!$B$4,'Wind Proxy'!$B$8:$B$19,C3721)</f>
        <v>0</v>
      </c>
    </row>
    <row r="3722" spans="1:10" ht="14.4">
      <c r="A3722" s="84">
        <v>49373</v>
      </c>
      <c r="B3722" s="85">
        <v>2035</v>
      </c>
      <c r="C3722" s="85">
        <v>3</v>
      </c>
      <c r="D3722" s="85" t="s">
        <v>60</v>
      </c>
      <c r="E3722" s="85">
        <v>5</v>
      </c>
      <c r="F3722" s="85">
        <v>1</v>
      </c>
      <c r="G3722" s="85">
        <f>--(F3722&lt;=Estimator!$B$7)</f>
        <v>1</v>
      </c>
      <c r="H3722" s="86">
        <f>SUMIFS('Climate Data'!$G$7:$G$366,'Climate Data'!$A$7:$A$366,Estimator!$B$4,'Climate Data'!$B$7:$B$366,C3722)</f>
        <v>0.18494623655913978</v>
      </c>
      <c r="I3722" s="87">
        <f>SUMIFS('Climate Data'!$H$7:$H$366,'Climate Data'!$A$7:$A$366,Estimator!$B$4,'Climate Data'!$B$7:$B$366,C3722)</f>
        <v>7.8662790697674421</v>
      </c>
      <c r="J3722" s="86">
        <f>SUMIFS('Wind Proxy'!$H$8:$H$19,'Wind Proxy'!$A$8:$A$19,Estimator!$B$4,'Wind Proxy'!$B$8:$B$19,C3722)</f>
        <v>0</v>
      </c>
    </row>
    <row r="3723" spans="1:10" ht="14.4">
      <c r="A3723" s="84">
        <v>49374</v>
      </c>
      <c r="B3723" s="85">
        <v>2035</v>
      </c>
      <c r="C3723" s="85">
        <v>3</v>
      </c>
      <c r="D3723" s="85" t="s">
        <v>60</v>
      </c>
      <c r="E3723" s="85">
        <v>6</v>
      </c>
      <c r="F3723" s="85">
        <v>2</v>
      </c>
      <c r="G3723" s="85">
        <f>--(F3723&lt;=Estimator!$B$7)</f>
        <v>1</v>
      </c>
      <c r="H3723" s="86">
        <f>SUMIFS('Climate Data'!$G$7:$G$366,'Climate Data'!$A$7:$A$366,Estimator!$B$4,'Climate Data'!$B$7:$B$366,C3723)</f>
        <v>0.18494623655913978</v>
      </c>
      <c r="I3723" s="87">
        <f>SUMIFS('Climate Data'!$H$7:$H$366,'Climate Data'!$A$7:$A$366,Estimator!$B$4,'Climate Data'!$B$7:$B$366,C3723)</f>
        <v>7.8662790697674421</v>
      </c>
      <c r="J3723" s="86">
        <f>SUMIFS('Wind Proxy'!$H$8:$H$19,'Wind Proxy'!$A$8:$A$19,Estimator!$B$4,'Wind Proxy'!$B$8:$B$19,C3723)</f>
        <v>0</v>
      </c>
    </row>
    <row r="3724" spans="1:10" ht="14.4">
      <c r="A3724" s="84">
        <v>49375</v>
      </c>
      <c r="B3724" s="85">
        <v>2035</v>
      </c>
      <c r="C3724" s="85">
        <v>3</v>
      </c>
      <c r="D3724" s="85" t="s">
        <v>60</v>
      </c>
      <c r="E3724" s="85">
        <v>7</v>
      </c>
      <c r="F3724" s="85">
        <v>3</v>
      </c>
      <c r="G3724" s="85">
        <f>--(F3724&lt;=Estimator!$B$7)</f>
        <v>1</v>
      </c>
      <c r="H3724" s="86">
        <f>SUMIFS('Climate Data'!$G$7:$G$366,'Climate Data'!$A$7:$A$366,Estimator!$B$4,'Climate Data'!$B$7:$B$366,C3724)</f>
        <v>0.18494623655913978</v>
      </c>
      <c r="I3724" s="87">
        <f>SUMIFS('Climate Data'!$H$7:$H$366,'Climate Data'!$A$7:$A$366,Estimator!$B$4,'Climate Data'!$B$7:$B$366,C3724)</f>
        <v>7.8662790697674421</v>
      </c>
      <c r="J3724" s="86">
        <f>SUMIFS('Wind Proxy'!$H$8:$H$19,'Wind Proxy'!$A$8:$A$19,Estimator!$B$4,'Wind Proxy'!$B$8:$B$19,C3724)</f>
        <v>0</v>
      </c>
    </row>
    <row r="3725" spans="1:10" ht="14.4">
      <c r="A3725" s="84">
        <v>49376</v>
      </c>
      <c r="B3725" s="85">
        <v>2035</v>
      </c>
      <c r="C3725" s="85">
        <v>3</v>
      </c>
      <c r="D3725" s="85" t="s">
        <v>60</v>
      </c>
      <c r="E3725" s="85">
        <v>8</v>
      </c>
      <c r="F3725" s="85">
        <v>4</v>
      </c>
      <c r="G3725" s="85">
        <f>--(F3725&lt;=Estimator!$B$7)</f>
        <v>1</v>
      </c>
      <c r="H3725" s="86">
        <f>SUMIFS('Climate Data'!$G$7:$G$366,'Climate Data'!$A$7:$A$366,Estimator!$B$4,'Climate Data'!$B$7:$B$366,C3725)</f>
        <v>0.18494623655913978</v>
      </c>
      <c r="I3725" s="87">
        <f>SUMIFS('Climate Data'!$H$7:$H$366,'Climate Data'!$A$7:$A$366,Estimator!$B$4,'Climate Data'!$B$7:$B$366,C3725)</f>
        <v>7.8662790697674421</v>
      </c>
      <c r="J3725" s="86">
        <f>SUMIFS('Wind Proxy'!$H$8:$H$19,'Wind Proxy'!$A$8:$A$19,Estimator!$B$4,'Wind Proxy'!$B$8:$B$19,C3725)</f>
        <v>0</v>
      </c>
    </row>
    <row r="3726" spans="1:10" ht="14.4">
      <c r="A3726" s="84">
        <v>49377</v>
      </c>
      <c r="B3726" s="85">
        <v>2035</v>
      </c>
      <c r="C3726" s="85">
        <v>3</v>
      </c>
      <c r="D3726" s="85" t="s">
        <v>60</v>
      </c>
      <c r="E3726" s="85">
        <v>9</v>
      </c>
      <c r="F3726" s="85">
        <v>5</v>
      </c>
      <c r="G3726" s="85">
        <f>--(F3726&lt;=Estimator!$B$7)</f>
        <v>1</v>
      </c>
      <c r="H3726" s="86">
        <f>SUMIFS('Climate Data'!$G$7:$G$366,'Climate Data'!$A$7:$A$366,Estimator!$B$4,'Climate Data'!$B$7:$B$366,C3726)</f>
        <v>0.18494623655913978</v>
      </c>
      <c r="I3726" s="87">
        <f>SUMIFS('Climate Data'!$H$7:$H$366,'Climate Data'!$A$7:$A$366,Estimator!$B$4,'Climate Data'!$B$7:$B$366,C3726)</f>
        <v>7.8662790697674421</v>
      </c>
      <c r="J3726" s="86">
        <f>SUMIFS('Wind Proxy'!$H$8:$H$19,'Wind Proxy'!$A$8:$A$19,Estimator!$B$4,'Wind Proxy'!$B$8:$B$19,C3726)</f>
        <v>0</v>
      </c>
    </row>
    <row r="3727" spans="1:10" ht="14.4">
      <c r="A3727" s="84">
        <v>49378</v>
      </c>
      <c r="B3727" s="85">
        <v>2035</v>
      </c>
      <c r="C3727" s="85">
        <v>3</v>
      </c>
      <c r="D3727" s="85" t="s">
        <v>60</v>
      </c>
      <c r="E3727" s="85">
        <v>10</v>
      </c>
      <c r="F3727" s="85">
        <v>6</v>
      </c>
      <c r="G3727" s="85">
        <f>--(F3727&lt;=Estimator!$B$7)</f>
        <v>0</v>
      </c>
      <c r="H3727" s="86">
        <f>SUMIFS('Climate Data'!$G$7:$G$366,'Climate Data'!$A$7:$A$366,Estimator!$B$4,'Climate Data'!$B$7:$B$366,C3727)</f>
        <v>0.18494623655913978</v>
      </c>
      <c r="I3727" s="87">
        <f>SUMIFS('Climate Data'!$H$7:$H$366,'Climate Data'!$A$7:$A$366,Estimator!$B$4,'Climate Data'!$B$7:$B$366,C3727)</f>
        <v>7.8662790697674421</v>
      </c>
      <c r="J3727" s="86">
        <f>SUMIFS('Wind Proxy'!$H$8:$H$19,'Wind Proxy'!$A$8:$A$19,Estimator!$B$4,'Wind Proxy'!$B$8:$B$19,C3727)</f>
        <v>0</v>
      </c>
    </row>
    <row r="3728" spans="1:10" ht="14.4">
      <c r="A3728" s="84">
        <v>49379</v>
      </c>
      <c r="B3728" s="85">
        <v>2035</v>
      </c>
      <c r="C3728" s="85">
        <v>3</v>
      </c>
      <c r="D3728" s="85" t="s">
        <v>60</v>
      </c>
      <c r="E3728" s="85">
        <v>11</v>
      </c>
      <c r="F3728" s="85">
        <v>7</v>
      </c>
      <c r="G3728" s="85">
        <f>--(F3728&lt;=Estimator!$B$7)</f>
        <v>0</v>
      </c>
      <c r="H3728" s="86">
        <f>SUMIFS('Climate Data'!$G$7:$G$366,'Climate Data'!$A$7:$A$366,Estimator!$B$4,'Climate Data'!$B$7:$B$366,C3728)</f>
        <v>0.18494623655913978</v>
      </c>
      <c r="I3728" s="87">
        <f>SUMIFS('Climate Data'!$H$7:$H$366,'Climate Data'!$A$7:$A$366,Estimator!$B$4,'Climate Data'!$B$7:$B$366,C3728)</f>
        <v>7.8662790697674421</v>
      </c>
      <c r="J3728" s="86">
        <f>SUMIFS('Wind Proxy'!$H$8:$H$19,'Wind Proxy'!$A$8:$A$19,Estimator!$B$4,'Wind Proxy'!$B$8:$B$19,C3728)</f>
        <v>0</v>
      </c>
    </row>
    <row r="3729" spans="1:10" ht="14.4">
      <c r="A3729" s="84">
        <v>49380</v>
      </c>
      <c r="B3729" s="85">
        <v>2035</v>
      </c>
      <c r="C3729" s="85">
        <v>3</v>
      </c>
      <c r="D3729" s="85" t="s">
        <v>60</v>
      </c>
      <c r="E3729" s="85">
        <v>12</v>
      </c>
      <c r="F3729" s="85">
        <v>1</v>
      </c>
      <c r="G3729" s="85">
        <f>--(F3729&lt;=Estimator!$B$7)</f>
        <v>1</v>
      </c>
      <c r="H3729" s="86">
        <f>SUMIFS('Climate Data'!$G$7:$G$366,'Climate Data'!$A$7:$A$366,Estimator!$B$4,'Climate Data'!$B$7:$B$366,C3729)</f>
        <v>0.18494623655913978</v>
      </c>
      <c r="I3729" s="87">
        <f>SUMIFS('Climate Data'!$H$7:$H$366,'Climate Data'!$A$7:$A$366,Estimator!$B$4,'Climate Data'!$B$7:$B$366,C3729)</f>
        <v>7.8662790697674421</v>
      </c>
      <c r="J3729" s="86">
        <f>SUMIFS('Wind Proxy'!$H$8:$H$19,'Wind Proxy'!$A$8:$A$19,Estimator!$B$4,'Wind Proxy'!$B$8:$B$19,C3729)</f>
        <v>0</v>
      </c>
    </row>
    <row r="3730" spans="1:10" ht="14.4">
      <c r="A3730" s="84">
        <v>49381</v>
      </c>
      <c r="B3730" s="85">
        <v>2035</v>
      </c>
      <c r="C3730" s="85">
        <v>3</v>
      </c>
      <c r="D3730" s="85" t="s">
        <v>60</v>
      </c>
      <c r="E3730" s="85">
        <v>13</v>
      </c>
      <c r="F3730" s="85">
        <v>2</v>
      </c>
      <c r="G3730" s="85">
        <f>--(F3730&lt;=Estimator!$B$7)</f>
        <v>1</v>
      </c>
      <c r="H3730" s="86">
        <f>SUMIFS('Climate Data'!$G$7:$G$366,'Climate Data'!$A$7:$A$366,Estimator!$B$4,'Climate Data'!$B$7:$B$366,C3730)</f>
        <v>0.18494623655913978</v>
      </c>
      <c r="I3730" s="87">
        <f>SUMIFS('Climate Data'!$H$7:$H$366,'Climate Data'!$A$7:$A$366,Estimator!$B$4,'Climate Data'!$B$7:$B$366,C3730)</f>
        <v>7.8662790697674421</v>
      </c>
      <c r="J3730" s="86">
        <f>SUMIFS('Wind Proxy'!$H$8:$H$19,'Wind Proxy'!$A$8:$A$19,Estimator!$B$4,'Wind Proxy'!$B$8:$B$19,C3730)</f>
        <v>0</v>
      </c>
    </row>
    <row r="3731" spans="1:10" ht="14.4">
      <c r="A3731" s="84">
        <v>49382</v>
      </c>
      <c r="B3731" s="85">
        <v>2035</v>
      </c>
      <c r="C3731" s="85">
        <v>3</v>
      </c>
      <c r="D3731" s="85" t="s">
        <v>60</v>
      </c>
      <c r="E3731" s="85">
        <v>14</v>
      </c>
      <c r="F3731" s="85">
        <v>3</v>
      </c>
      <c r="G3731" s="85">
        <f>--(F3731&lt;=Estimator!$B$7)</f>
        <v>1</v>
      </c>
      <c r="H3731" s="86">
        <f>SUMIFS('Climate Data'!$G$7:$G$366,'Climate Data'!$A$7:$A$366,Estimator!$B$4,'Climate Data'!$B$7:$B$366,C3731)</f>
        <v>0.18494623655913978</v>
      </c>
      <c r="I3731" s="87">
        <f>SUMIFS('Climate Data'!$H$7:$H$366,'Climate Data'!$A$7:$A$366,Estimator!$B$4,'Climate Data'!$B$7:$B$366,C3731)</f>
        <v>7.8662790697674421</v>
      </c>
      <c r="J3731" s="86">
        <f>SUMIFS('Wind Proxy'!$H$8:$H$19,'Wind Proxy'!$A$8:$A$19,Estimator!$B$4,'Wind Proxy'!$B$8:$B$19,C3731)</f>
        <v>0</v>
      </c>
    </row>
    <row r="3732" spans="1:10" ht="14.4">
      <c r="A3732" s="84">
        <v>49383</v>
      </c>
      <c r="B3732" s="85">
        <v>2035</v>
      </c>
      <c r="C3732" s="85">
        <v>3</v>
      </c>
      <c r="D3732" s="85" t="s">
        <v>60</v>
      </c>
      <c r="E3732" s="85">
        <v>15</v>
      </c>
      <c r="F3732" s="85">
        <v>4</v>
      </c>
      <c r="G3732" s="85">
        <f>--(F3732&lt;=Estimator!$B$7)</f>
        <v>1</v>
      </c>
      <c r="H3732" s="86">
        <f>SUMIFS('Climate Data'!$G$7:$G$366,'Climate Data'!$A$7:$A$366,Estimator!$B$4,'Climate Data'!$B$7:$B$366,C3732)</f>
        <v>0.18494623655913978</v>
      </c>
      <c r="I3732" s="87">
        <f>SUMIFS('Climate Data'!$H$7:$H$366,'Climate Data'!$A$7:$A$366,Estimator!$B$4,'Climate Data'!$B$7:$B$366,C3732)</f>
        <v>7.8662790697674421</v>
      </c>
      <c r="J3732" s="86">
        <f>SUMIFS('Wind Proxy'!$H$8:$H$19,'Wind Proxy'!$A$8:$A$19,Estimator!$B$4,'Wind Proxy'!$B$8:$B$19,C3732)</f>
        <v>0</v>
      </c>
    </row>
    <row r="3733" spans="1:10" ht="14.4">
      <c r="A3733" s="84">
        <v>49384</v>
      </c>
      <c r="B3733" s="85">
        <v>2035</v>
      </c>
      <c r="C3733" s="85">
        <v>3</v>
      </c>
      <c r="D3733" s="85" t="s">
        <v>60</v>
      </c>
      <c r="E3733" s="85">
        <v>16</v>
      </c>
      <c r="F3733" s="85">
        <v>5</v>
      </c>
      <c r="G3733" s="85">
        <f>--(F3733&lt;=Estimator!$B$7)</f>
        <v>1</v>
      </c>
      <c r="H3733" s="86">
        <f>SUMIFS('Climate Data'!$G$7:$G$366,'Climate Data'!$A$7:$A$366,Estimator!$B$4,'Climate Data'!$B$7:$B$366,C3733)</f>
        <v>0.18494623655913978</v>
      </c>
      <c r="I3733" s="87">
        <f>SUMIFS('Climate Data'!$H$7:$H$366,'Climate Data'!$A$7:$A$366,Estimator!$B$4,'Climate Data'!$B$7:$B$366,C3733)</f>
        <v>7.8662790697674421</v>
      </c>
      <c r="J3733" s="86">
        <f>SUMIFS('Wind Proxy'!$H$8:$H$19,'Wind Proxy'!$A$8:$A$19,Estimator!$B$4,'Wind Proxy'!$B$8:$B$19,C3733)</f>
        <v>0</v>
      </c>
    </row>
    <row r="3734" spans="1:10" ht="14.4">
      <c r="A3734" s="84">
        <v>49385</v>
      </c>
      <c r="B3734" s="85">
        <v>2035</v>
      </c>
      <c r="C3734" s="85">
        <v>3</v>
      </c>
      <c r="D3734" s="85" t="s">
        <v>60</v>
      </c>
      <c r="E3734" s="85">
        <v>17</v>
      </c>
      <c r="F3734" s="85">
        <v>6</v>
      </c>
      <c r="G3734" s="85">
        <f>--(F3734&lt;=Estimator!$B$7)</f>
        <v>0</v>
      </c>
      <c r="H3734" s="86">
        <f>SUMIFS('Climate Data'!$G$7:$G$366,'Climate Data'!$A$7:$A$366,Estimator!$B$4,'Climate Data'!$B$7:$B$366,C3734)</f>
        <v>0.18494623655913978</v>
      </c>
      <c r="I3734" s="87">
        <f>SUMIFS('Climate Data'!$H$7:$H$366,'Climate Data'!$A$7:$A$366,Estimator!$B$4,'Climate Data'!$B$7:$B$366,C3734)</f>
        <v>7.8662790697674421</v>
      </c>
      <c r="J3734" s="86">
        <f>SUMIFS('Wind Proxy'!$H$8:$H$19,'Wind Proxy'!$A$8:$A$19,Estimator!$B$4,'Wind Proxy'!$B$8:$B$19,C3734)</f>
        <v>0</v>
      </c>
    </row>
    <row r="3735" spans="1:10" ht="14.4">
      <c r="A3735" s="84">
        <v>49386</v>
      </c>
      <c r="B3735" s="85">
        <v>2035</v>
      </c>
      <c r="C3735" s="85">
        <v>3</v>
      </c>
      <c r="D3735" s="85" t="s">
        <v>60</v>
      </c>
      <c r="E3735" s="85">
        <v>18</v>
      </c>
      <c r="F3735" s="85">
        <v>7</v>
      </c>
      <c r="G3735" s="85">
        <f>--(F3735&lt;=Estimator!$B$7)</f>
        <v>0</v>
      </c>
      <c r="H3735" s="86">
        <f>SUMIFS('Climate Data'!$G$7:$G$366,'Climate Data'!$A$7:$A$366,Estimator!$B$4,'Climate Data'!$B$7:$B$366,C3735)</f>
        <v>0.18494623655913978</v>
      </c>
      <c r="I3735" s="87">
        <f>SUMIFS('Climate Data'!$H$7:$H$366,'Climate Data'!$A$7:$A$366,Estimator!$B$4,'Climate Data'!$B$7:$B$366,C3735)</f>
        <v>7.8662790697674421</v>
      </c>
      <c r="J3735" s="86">
        <f>SUMIFS('Wind Proxy'!$H$8:$H$19,'Wind Proxy'!$A$8:$A$19,Estimator!$B$4,'Wind Proxy'!$B$8:$B$19,C3735)</f>
        <v>0</v>
      </c>
    </row>
    <row r="3736" spans="1:10" ht="14.4">
      <c r="A3736" s="84">
        <v>49387</v>
      </c>
      <c r="B3736" s="85">
        <v>2035</v>
      </c>
      <c r="C3736" s="85">
        <v>3</v>
      </c>
      <c r="D3736" s="85" t="s">
        <v>60</v>
      </c>
      <c r="E3736" s="85">
        <v>19</v>
      </c>
      <c r="F3736" s="85">
        <v>1</v>
      </c>
      <c r="G3736" s="85">
        <f>--(F3736&lt;=Estimator!$B$7)</f>
        <v>1</v>
      </c>
      <c r="H3736" s="86">
        <f>SUMIFS('Climate Data'!$G$7:$G$366,'Climate Data'!$A$7:$A$366,Estimator!$B$4,'Climate Data'!$B$7:$B$366,C3736)</f>
        <v>0.18494623655913978</v>
      </c>
      <c r="I3736" s="87">
        <f>SUMIFS('Climate Data'!$H$7:$H$366,'Climate Data'!$A$7:$A$366,Estimator!$B$4,'Climate Data'!$B$7:$B$366,C3736)</f>
        <v>7.8662790697674421</v>
      </c>
      <c r="J3736" s="86">
        <f>SUMIFS('Wind Proxy'!$H$8:$H$19,'Wind Proxy'!$A$8:$A$19,Estimator!$B$4,'Wind Proxy'!$B$8:$B$19,C3736)</f>
        <v>0</v>
      </c>
    </row>
    <row r="3737" spans="1:10" ht="14.4">
      <c r="A3737" s="84">
        <v>49388</v>
      </c>
      <c r="B3737" s="85">
        <v>2035</v>
      </c>
      <c r="C3737" s="85">
        <v>3</v>
      </c>
      <c r="D3737" s="85" t="s">
        <v>60</v>
      </c>
      <c r="E3737" s="85">
        <v>20</v>
      </c>
      <c r="F3737" s="85">
        <v>2</v>
      </c>
      <c r="G3737" s="85">
        <f>--(F3737&lt;=Estimator!$B$7)</f>
        <v>1</v>
      </c>
      <c r="H3737" s="86">
        <f>SUMIFS('Climate Data'!$G$7:$G$366,'Climate Data'!$A$7:$A$366,Estimator!$B$4,'Climate Data'!$B$7:$B$366,C3737)</f>
        <v>0.18494623655913978</v>
      </c>
      <c r="I3737" s="87">
        <f>SUMIFS('Climate Data'!$H$7:$H$366,'Climate Data'!$A$7:$A$366,Estimator!$B$4,'Climate Data'!$B$7:$B$366,C3737)</f>
        <v>7.8662790697674421</v>
      </c>
      <c r="J3737" s="86">
        <f>SUMIFS('Wind Proxy'!$H$8:$H$19,'Wind Proxy'!$A$8:$A$19,Estimator!$B$4,'Wind Proxy'!$B$8:$B$19,C3737)</f>
        <v>0</v>
      </c>
    </row>
    <row r="3738" spans="1:10" ht="14.4">
      <c r="A3738" s="84">
        <v>49389</v>
      </c>
      <c r="B3738" s="85">
        <v>2035</v>
      </c>
      <c r="C3738" s="85">
        <v>3</v>
      </c>
      <c r="D3738" s="85" t="s">
        <v>60</v>
      </c>
      <c r="E3738" s="85">
        <v>21</v>
      </c>
      <c r="F3738" s="85">
        <v>3</v>
      </c>
      <c r="G3738" s="85">
        <f>--(F3738&lt;=Estimator!$B$7)</f>
        <v>1</v>
      </c>
      <c r="H3738" s="86">
        <f>SUMIFS('Climate Data'!$G$7:$G$366,'Climate Data'!$A$7:$A$366,Estimator!$B$4,'Climate Data'!$B$7:$B$366,C3738)</f>
        <v>0.18494623655913978</v>
      </c>
      <c r="I3738" s="87">
        <f>SUMIFS('Climate Data'!$H$7:$H$366,'Climate Data'!$A$7:$A$366,Estimator!$B$4,'Climate Data'!$B$7:$B$366,C3738)</f>
        <v>7.8662790697674421</v>
      </c>
      <c r="J3738" s="86">
        <f>SUMIFS('Wind Proxy'!$H$8:$H$19,'Wind Proxy'!$A$8:$A$19,Estimator!$B$4,'Wind Proxy'!$B$8:$B$19,C3738)</f>
        <v>0</v>
      </c>
    </row>
    <row r="3739" spans="1:10" ht="14.4">
      <c r="A3739" s="84">
        <v>49390</v>
      </c>
      <c r="B3739" s="85">
        <v>2035</v>
      </c>
      <c r="C3739" s="85">
        <v>3</v>
      </c>
      <c r="D3739" s="85" t="s">
        <v>60</v>
      </c>
      <c r="E3739" s="85">
        <v>22</v>
      </c>
      <c r="F3739" s="85">
        <v>4</v>
      </c>
      <c r="G3739" s="85">
        <f>--(F3739&lt;=Estimator!$B$7)</f>
        <v>1</v>
      </c>
      <c r="H3739" s="86">
        <f>SUMIFS('Climate Data'!$G$7:$G$366,'Climate Data'!$A$7:$A$366,Estimator!$B$4,'Climate Data'!$B$7:$B$366,C3739)</f>
        <v>0.18494623655913978</v>
      </c>
      <c r="I3739" s="87">
        <f>SUMIFS('Climate Data'!$H$7:$H$366,'Climate Data'!$A$7:$A$366,Estimator!$B$4,'Climate Data'!$B$7:$B$366,C3739)</f>
        <v>7.8662790697674421</v>
      </c>
      <c r="J3739" s="86">
        <f>SUMIFS('Wind Proxy'!$H$8:$H$19,'Wind Proxy'!$A$8:$A$19,Estimator!$B$4,'Wind Proxy'!$B$8:$B$19,C3739)</f>
        <v>0</v>
      </c>
    </row>
    <row r="3740" spans="1:10" ht="14.4">
      <c r="A3740" s="84">
        <v>49391</v>
      </c>
      <c r="B3740" s="85">
        <v>2035</v>
      </c>
      <c r="C3740" s="85">
        <v>3</v>
      </c>
      <c r="D3740" s="85" t="s">
        <v>60</v>
      </c>
      <c r="E3740" s="85">
        <v>23</v>
      </c>
      <c r="F3740" s="85">
        <v>5</v>
      </c>
      <c r="G3740" s="85">
        <f>--(F3740&lt;=Estimator!$B$7)</f>
        <v>1</v>
      </c>
      <c r="H3740" s="86">
        <f>SUMIFS('Climate Data'!$G$7:$G$366,'Climate Data'!$A$7:$A$366,Estimator!$B$4,'Climate Data'!$B$7:$B$366,C3740)</f>
        <v>0.18494623655913978</v>
      </c>
      <c r="I3740" s="87">
        <f>SUMIFS('Climate Data'!$H$7:$H$366,'Climate Data'!$A$7:$A$366,Estimator!$B$4,'Climate Data'!$B$7:$B$366,C3740)</f>
        <v>7.8662790697674421</v>
      </c>
      <c r="J3740" s="86">
        <f>SUMIFS('Wind Proxy'!$H$8:$H$19,'Wind Proxy'!$A$8:$A$19,Estimator!$B$4,'Wind Proxy'!$B$8:$B$19,C3740)</f>
        <v>0</v>
      </c>
    </row>
    <row r="3741" spans="1:10" ht="14.4">
      <c r="A3741" s="84">
        <v>49392</v>
      </c>
      <c r="B3741" s="85">
        <v>2035</v>
      </c>
      <c r="C3741" s="85">
        <v>3</v>
      </c>
      <c r="D3741" s="85" t="s">
        <v>60</v>
      </c>
      <c r="E3741" s="85">
        <v>24</v>
      </c>
      <c r="F3741" s="85">
        <v>6</v>
      </c>
      <c r="G3741" s="85">
        <f>--(F3741&lt;=Estimator!$B$7)</f>
        <v>0</v>
      </c>
      <c r="H3741" s="86">
        <f>SUMIFS('Climate Data'!$G$7:$G$366,'Climate Data'!$A$7:$A$366,Estimator!$B$4,'Climate Data'!$B$7:$B$366,C3741)</f>
        <v>0.18494623655913978</v>
      </c>
      <c r="I3741" s="87">
        <f>SUMIFS('Climate Data'!$H$7:$H$366,'Climate Data'!$A$7:$A$366,Estimator!$B$4,'Climate Data'!$B$7:$B$366,C3741)</f>
        <v>7.8662790697674421</v>
      </c>
      <c r="J3741" s="86">
        <f>SUMIFS('Wind Proxy'!$H$8:$H$19,'Wind Proxy'!$A$8:$A$19,Estimator!$B$4,'Wind Proxy'!$B$8:$B$19,C3741)</f>
        <v>0</v>
      </c>
    </row>
    <row r="3742" spans="1:10" ht="14.4">
      <c r="A3742" s="84">
        <v>49393</v>
      </c>
      <c r="B3742" s="85">
        <v>2035</v>
      </c>
      <c r="C3742" s="85">
        <v>3</v>
      </c>
      <c r="D3742" s="85" t="s">
        <v>60</v>
      </c>
      <c r="E3742" s="85">
        <v>25</v>
      </c>
      <c r="F3742" s="85">
        <v>7</v>
      </c>
      <c r="G3742" s="85">
        <f>--(F3742&lt;=Estimator!$B$7)</f>
        <v>0</v>
      </c>
      <c r="H3742" s="86">
        <f>SUMIFS('Climate Data'!$G$7:$G$366,'Climate Data'!$A$7:$A$366,Estimator!$B$4,'Climate Data'!$B$7:$B$366,C3742)</f>
        <v>0.18494623655913978</v>
      </c>
      <c r="I3742" s="87">
        <f>SUMIFS('Climate Data'!$H$7:$H$366,'Climate Data'!$A$7:$A$366,Estimator!$B$4,'Climate Data'!$B$7:$B$366,C3742)</f>
        <v>7.8662790697674421</v>
      </c>
      <c r="J3742" s="86">
        <f>SUMIFS('Wind Proxy'!$H$8:$H$19,'Wind Proxy'!$A$8:$A$19,Estimator!$B$4,'Wind Proxy'!$B$8:$B$19,C3742)</f>
        <v>0</v>
      </c>
    </row>
    <row r="3743" spans="1:10" ht="14.4">
      <c r="A3743" s="84">
        <v>49394</v>
      </c>
      <c r="B3743" s="85">
        <v>2035</v>
      </c>
      <c r="C3743" s="85">
        <v>3</v>
      </c>
      <c r="D3743" s="85" t="s">
        <v>60</v>
      </c>
      <c r="E3743" s="85">
        <v>26</v>
      </c>
      <c r="F3743" s="85">
        <v>1</v>
      </c>
      <c r="G3743" s="85">
        <f>--(F3743&lt;=Estimator!$B$7)</f>
        <v>1</v>
      </c>
      <c r="H3743" s="86">
        <f>SUMIFS('Climate Data'!$G$7:$G$366,'Climate Data'!$A$7:$A$366,Estimator!$B$4,'Climate Data'!$B$7:$B$366,C3743)</f>
        <v>0.18494623655913978</v>
      </c>
      <c r="I3743" s="87">
        <f>SUMIFS('Climate Data'!$H$7:$H$366,'Climate Data'!$A$7:$A$366,Estimator!$B$4,'Climate Data'!$B$7:$B$366,C3743)</f>
        <v>7.8662790697674421</v>
      </c>
      <c r="J3743" s="86">
        <f>SUMIFS('Wind Proxy'!$H$8:$H$19,'Wind Proxy'!$A$8:$A$19,Estimator!$B$4,'Wind Proxy'!$B$8:$B$19,C3743)</f>
        <v>0</v>
      </c>
    </row>
    <row r="3744" spans="1:10" ht="14.4">
      <c r="A3744" s="84">
        <v>49395</v>
      </c>
      <c r="B3744" s="85">
        <v>2035</v>
      </c>
      <c r="C3744" s="85">
        <v>3</v>
      </c>
      <c r="D3744" s="85" t="s">
        <v>60</v>
      </c>
      <c r="E3744" s="85">
        <v>27</v>
      </c>
      <c r="F3744" s="85">
        <v>2</v>
      </c>
      <c r="G3744" s="85">
        <f>--(F3744&lt;=Estimator!$B$7)</f>
        <v>1</v>
      </c>
      <c r="H3744" s="86">
        <f>SUMIFS('Climate Data'!$G$7:$G$366,'Climate Data'!$A$7:$A$366,Estimator!$B$4,'Climate Data'!$B$7:$B$366,C3744)</f>
        <v>0.18494623655913978</v>
      </c>
      <c r="I3744" s="87">
        <f>SUMIFS('Climate Data'!$H$7:$H$366,'Climate Data'!$A$7:$A$366,Estimator!$B$4,'Climate Data'!$B$7:$B$366,C3744)</f>
        <v>7.8662790697674421</v>
      </c>
      <c r="J3744" s="86">
        <f>SUMIFS('Wind Proxy'!$H$8:$H$19,'Wind Proxy'!$A$8:$A$19,Estimator!$B$4,'Wind Proxy'!$B$8:$B$19,C3744)</f>
        <v>0</v>
      </c>
    </row>
    <row r="3745" spans="1:10" ht="14.4">
      <c r="A3745" s="84">
        <v>49396</v>
      </c>
      <c r="B3745" s="85">
        <v>2035</v>
      </c>
      <c r="C3745" s="85">
        <v>3</v>
      </c>
      <c r="D3745" s="85" t="s">
        <v>60</v>
      </c>
      <c r="E3745" s="85">
        <v>28</v>
      </c>
      <c r="F3745" s="85">
        <v>3</v>
      </c>
      <c r="G3745" s="85">
        <f>--(F3745&lt;=Estimator!$B$7)</f>
        <v>1</v>
      </c>
      <c r="H3745" s="86">
        <f>SUMIFS('Climate Data'!$G$7:$G$366,'Climate Data'!$A$7:$A$366,Estimator!$B$4,'Climate Data'!$B$7:$B$366,C3745)</f>
        <v>0.18494623655913978</v>
      </c>
      <c r="I3745" s="87">
        <f>SUMIFS('Climate Data'!$H$7:$H$366,'Climate Data'!$A$7:$A$366,Estimator!$B$4,'Climate Data'!$B$7:$B$366,C3745)</f>
        <v>7.8662790697674421</v>
      </c>
      <c r="J3745" s="86">
        <f>SUMIFS('Wind Proxy'!$H$8:$H$19,'Wind Proxy'!$A$8:$A$19,Estimator!$B$4,'Wind Proxy'!$B$8:$B$19,C3745)</f>
        <v>0</v>
      </c>
    </row>
    <row r="3746" spans="1:10" ht="14.4">
      <c r="A3746" s="84">
        <v>49397</v>
      </c>
      <c r="B3746" s="85">
        <v>2035</v>
      </c>
      <c r="C3746" s="85">
        <v>3</v>
      </c>
      <c r="D3746" s="85" t="s">
        <v>60</v>
      </c>
      <c r="E3746" s="85">
        <v>29</v>
      </c>
      <c r="F3746" s="85">
        <v>4</v>
      </c>
      <c r="G3746" s="85">
        <f>--(F3746&lt;=Estimator!$B$7)</f>
        <v>1</v>
      </c>
      <c r="H3746" s="86">
        <f>SUMIFS('Climate Data'!$G$7:$G$366,'Climate Data'!$A$7:$A$366,Estimator!$B$4,'Climate Data'!$B$7:$B$366,C3746)</f>
        <v>0.18494623655913978</v>
      </c>
      <c r="I3746" s="87">
        <f>SUMIFS('Climate Data'!$H$7:$H$366,'Climate Data'!$A$7:$A$366,Estimator!$B$4,'Climate Data'!$B$7:$B$366,C3746)</f>
        <v>7.8662790697674421</v>
      </c>
      <c r="J3746" s="86">
        <f>SUMIFS('Wind Proxy'!$H$8:$H$19,'Wind Proxy'!$A$8:$A$19,Estimator!$B$4,'Wind Proxy'!$B$8:$B$19,C3746)</f>
        <v>0</v>
      </c>
    </row>
    <row r="3747" spans="1:10" ht="14.4">
      <c r="A3747" s="84">
        <v>49398</v>
      </c>
      <c r="B3747" s="85">
        <v>2035</v>
      </c>
      <c r="C3747" s="85">
        <v>3</v>
      </c>
      <c r="D3747" s="85" t="s">
        <v>60</v>
      </c>
      <c r="E3747" s="85">
        <v>30</v>
      </c>
      <c r="F3747" s="85">
        <v>5</v>
      </c>
      <c r="G3747" s="85">
        <f>--(F3747&lt;=Estimator!$B$7)</f>
        <v>1</v>
      </c>
      <c r="H3747" s="86">
        <f>SUMIFS('Climate Data'!$G$7:$G$366,'Climate Data'!$A$7:$A$366,Estimator!$B$4,'Climate Data'!$B$7:$B$366,C3747)</f>
        <v>0.18494623655913978</v>
      </c>
      <c r="I3747" s="87">
        <f>SUMIFS('Climate Data'!$H$7:$H$366,'Climate Data'!$A$7:$A$366,Estimator!$B$4,'Climate Data'!$B$7:$B$366,C3747)</f>
        <v>7.8662790697674421</v>
      </c>
      <c r="J3747" s="86">
        <f>SUMIFS('Wind Proxy'!$H$8:$H$19,'Wind Proxy'!$A$8:$A$19,Estimator!$B$4,'Wind Proxy'!$B$8:$B$19,C3747)</f>
        <v>0</v>
      </c>
    </row>
    <row r="3748" spans="1:10" ht="14.4">
      <c r="A3748" s="84">
        <v>49399</v>
      </c>
      <c r="B3748" s="85">
        <v>2035</v>
      </c>
      <c r="C3748" s="85">
        <v>3</v>
      </c>
      <c r="D3748" s="85" t="s">
        <v>60</v>
      </c>
      <c r="E3748" s="85">
        <v>31</v>
      </c>
      <c r="F3748" s="85">
        <v>6</v>
      </c>
      <c r="G3748" s="85">
        <f>--(F3748&lt;=Estimator!$B$7)</f>
        <v>0</v>
      </c>
      <c r="H3748" s="86">
        <f>SUMIFS('Climate Data'!$G$7:$G$366,'Climate Data'!$A$7:$A$366,Estimator!$B$4,'Climate Data'!$B$7:$B$366,C3748)</f>
        <v>0.18494623655913978</v>
      </c>
      <c r="I3748" s="87">
        <f>SUMIFS('Climate Data'!$H$7:$H$366,'Climate Data'!$A$7:$A$366,Estimator!$B$4,'Climate Data'!$B$7:$B$366,C3748)</f>
        <v>7.8662790697674421</v>
      </c>
      <c r="J3748" s="86">
        <f>SUMIFS('Wind Proxy'!$H$8:$H$19,'Wind Proxy'!$A$8:$A$19,Estimator!$B$4,'Wind Proxy'!$B$8:$B$19,C3748)</f>
        <v>0</v>
      </c>
    </row>
    <row r="3749" spans="1:10" ht="14.4">
      <c r="A3749" s="84">
        <v>49400</v>
      </c>
      <c r="B3749" s="85">
        <v>2035</v>
      </c>
      <c r="C3749" s="85">
        <v>4</v>
      </c>
      <c r="D3749" s="85" t="s">
        <v>62</v>
      </c>
      <c r="E3749" s="85">
        <v>1</v>
      </c>
      <c r="F3749" s="85">
        <v>7</v>
      </c>
      <c r="G3749" s="85">
        <f>--(F3749&lt;=Estimator!$B$7)</f>
        <v>0</v>
      </c>
      <c r="H3749" s="86">
        <f>SUMIFS('Climate Data'!$G$7:$G$366,'Climate Data'!$A$7:$A$366,Estimator!$B$4,'Climate Data'!$B$7:$B$366,C3749)</f>
        <v>0.25555555555555559</v>
      </c>
      <c r="I3749" s="87">
        <f>SUMIFS('Climate Data'!$H$7:$H$366,'Climate Data'!$A$7:$A$366,Estimator!$B$4,'Climate Data'!$B$7:$B$366,C3749)</f>
        <v>7.5</v>
      </c>
      <c r="J3749" s="86">
        <f>SUMIFS('Wind Proxy'!$H$8:$H$19,'Wind Proxy'!$A$8:$A$19,Estimator!$B$4,'Wind Proxy'!$B$8:$B$19,C3749)</f>
        <v>0</v>
      </c>
    </row>
    <row r="3750" spans="1:10" ht="14.4">
      <c r="A3750" s="84">
        <v>49401</v>
      </c>
      <c r="B3750" s="85">
        <v>2035</v>
      </c>
      <c r="C3750" s="85">
        <v>4</v>
      </c>
      <c r="D3750" s="85" t="s">
        <v>62</v>
      </c>
      <c r="E3750" s="85">
        <v>2</v>
      </c>
      <c r="F3750" s="85">
        <v>1</v>
      </c>
      <c r="G3750" s="85">
        <f>--(F3750&lt;=Estimator!$B$7)</f>
        <v>1</v>
      </c>
      <c r="H3750" s="86">
        <f>SUMIFS('Climate Data'!$G$7:$G$366,'Climate Data'!$A$7:$A$366,Estimator!$B$4,'Climate Data'!$B$7:$B$366,C3750)</f>
        <v>0.25555555555555559</v>
      </c>
      <c r="I3750" s="87">
        <f>SUMIFS('Climate Data'!$H$7:$H$366,'Climate Data'!$A$7:$A$366,Estimator!$B$4,'Climate Data'!$B$7:$B$366,C3750)</f>
        <v>7.5</v>
      </c>
      <c r="J3750" s="86">
        <f>SUMIFS('Wind Proxy'!$H$8:$H$19,'Wind Proxy'!$A$8:$A$19,Estimator!$B$4,'Wind Proxy'!$B$8:$B$19,C3750)</f>
        <v>0</v>
      </c>
    </row>
    <row r="3751" spans="1:10" ht="14.4">
      <c r="A3751" s="84">
        <v>49402</v>
      </c>
      <c r="B3751" s="85">
        <v>2035</v>
      </c>
      <c r="C3751" s="85">
        <v>4</v>
      </c>
      <c r="D3751" s="85" t="s">
        <v>62</v>
      </c>
      <c r="E3751" s="85">
        <v>3</v>
      </c>
      <c r="F3751" s="85">
        <v>2</v>
      </c>
      <c r="G3751" s="85">
        <f>--(F3751&lt;=Estimator!$B$7)</f>
        <v>1</v>
      </c>
      <c r="H3751" s="86">
        <f>SUMIFS('Climate Data'!$G$7:$G$366,'Climate Data'!$A$7:$A$366,Estimator!$B$4,'Climate Data'!$B$7:$B$366,C3751)</f>
        <v>0.25555555555555559</v>
      </c>
      <c r="I3751" s="87">
        <f>SUMIFS('Climate Data'!$H$7:$H$366,'Climate Data'!$A$7:$A$366,Estimator!$B$4,'Climate Data'!$B$7:$B$366,C3751)</f>
        <v>7.5</v>
      </c>
      <c r="J3751" s="86">
        <f>SUMIFS('Wind Proxy'!$H$8:$H$19,'Wind Proxy'!$A$8:$A$19,Estimator!$B$4,'Wind Proxy'!$B$8:$B$19,C3751)</f>
        <v>0</v>
      </c>
    </row>
    <row r="3752" spans="1:10" ht="14.4">
      <c r="A3752" s="84">
        <v>49403</v>
      </c>
      <c r="B3752" s="85">
        <v>2035</v>
      </c>
      <c r="C3752" s="85">
        <v>4</v>
      </c>
      <c r="D3752" s="85" t="s">
        <v>62</v>
      </c>
      <c r="E3752" s="85">
        <v>4</v>
      </c>
      <c r="F3752" s="85">
        <v>3</v>
      </c>
      <c r="G3752" s="85">
        <f>--(F3752&lt;=Estimator!$B$7)</f>
        <v>1</v>
      </c>
      <c r="H3752" s="86">
        <f>SUMIFS('Climate Data'!$G$7:$G$366,'Climate Data'!$A$7:$A$366,Estimator!$B$4,'Climate Data'!$B$7:$B$366,C3752)</f>
        <v>0.25555555555555559</v>
      </c>
      <c r="I3752" s="87">
        <f>SUMIFS('Climate Data'!$H$7:$H$366,'Climate Data'!$A$7:$A$366,Estimator!$B$4,'Climate Data'!$B$7:$B$366,C3752)</f>
        <v>7.5</v>
      </c>
      <c r="J3752" s="86">
        <f>SUMIFS('Wind Proxy'!$H$8:$H$19,'Wind Proxy'!$A$8:$A$19,Estimator!$B$4,'Wind Proxy'!$B$8:$B$19,C3752)</f>
        <v>0</v>
      </c>
    </row>
    <row r="3753" spans="1:10" ht="14.4">
      <c r="A3753" s="84">
        <v>49404</v>
      </c>
      <c r="B3753" s="85">
        <v>2035</v>
      </c>
      <c r="C3753" s="85">
        <v>4</v>
      </c>
      <c r="D3753" s="85" t="s">
        <v>62</v>
      </c>
      <c r="E3753" s="85">
        <v>5</v>
      </c>
      <c r="F3753" s="85">
        <v>4</v>
      </c>
      <c r="G3753" s="85">
        <f>--(F3753&lt;=Estimator!$B$7)</f>
        <v>1</v>
      </c>
      <c r="H3753" s="86">
        <f>SUMIFS('Climate Data'!$G$7:$G$366,'Climate Data'!$A$7:$A$366,Estimator!$B$4,'Climate Data'!$B$7:$B$366,C3753)</f>
        <v>0.25555555555555559</v>
      </c>
      <c r="I3753" s="87">
        <f>SUMIFS('Climate Data'!$H$7:$H$366,'Climate Data'!$A$7:$A$366,Estimator!$B$4,'Climate Data'!$B$7:$B$366,C3753)</f>
        <v>7.5</v>
      </c>
      <c r="J3753" s="86">
        <f>SUMIFS('Wind Proxy'!$H$8:$H$19,'Wind Proxy'!$A$8:$A$19,Estimator!$B$4,'Wind Proxy'!$B$8:$B$19,C3753)</f>
        <v>0</v>
      </c>
    </row>
    <row r="3754" spans="1:10" ht="14.4">
      <c r="A3754" s="84">
        <v>49405</v>
      </c>
      <c r="B3754" s="85">
        <v>2035</v>
      </c>
      <c r="C3754" s="85">
        <v>4</v>
      </c>
      <c r="D3754" s="85" t="s">
        <v>62</v>
      </c>
      <c r="E3754" s="85">
        <v>6</v>
      </c>
      <c r="F3754" s="85">
        <v>5</v>
      </c>
      <c r="G3754" s="85">
        <f>--(F3754&lt;=Estimator!$B$7)</f>
        <v>1</v>
      </c>
      <c r="H3754" s="86">
        <f>SUMIFS('Climate Data'!$G$7:$G$366,'Climate Data'!$A$7:$A$366,Estimator!$B$4,'Climate Data'!$B$7:$B$366,C3754)</f>
        <v>0.25555555555555559</v>
      </c>
      <c r="I3754" s="87">
        <f>SUMIFS('Climate Data'!$H$7:$H$366,'Climate Data'!$A$7:$A$366,Estimator!$B$4,'Climate Data'!$B$7:$B$366,C3754)</f>
        <v>7.5</v>
      </c>
      <c r="J3754" s="86">
        <f>SUMIFS('Wind Proxy'!$H$8:$H$19,'Wind Proxy'!$A$8:$A$19,Estimator!$B$4,'Wind Proxy'!$B$8:$B$19,C3754)</f>
        <v>0</v>
      </c>
    </row>
    <row r="3755" spans="1:10" ht="14.4">
      <c r="A3755" s="84">
        <v>49406</v>
      </c>
      <c r="B3755" s="85">
        <v>2035</v>
      </c>
      <c r="C3755" s="85">
        <v>4</v>
      </c>
      <c r="D3755" s="85" t="s">
        <v>62</v>
      </c>
      <c r="E3755" s="85">
        <v>7</v>
      </c>
      <c r="F3755" s="85">
        <v>6</v>
      </c>
      <c r="G3755" s="85">
        <f>--(F3755&lt;=Estimator!$B$7)</f>
        <v>0</v>
      </c>
      <c r="H3755" s="86">
        <f>SUMIFS('Climate Data'!$G$7:$G$366,'Climate Data'!$A$7:$A$366,Estimator!$B$4,'Climate Data'!$B$7:$B$366,C3755)</f>
        <v>0.25555555555555559</v>
      </c>
      <c r="I3755" s="87">
        <f>SUMIFS('Climate Data'!$H$7:$H$366,'Climate Data'!$A$7:$A$366,Estimator!$B$4,'Climate Data'!$B$7:$B$366,C3755)</f>
        <v>7.5</v>
      </c>
      <c r="J3755" s="86">
        <f>SUMIFS('Wind Proxy'!$H$8:$H$19,'Wind Proxy'!$A$8:$A$19,Estimator!$B$4,'Wind Proxy'!$B$8:$B$19,C3755)</f>
        <v>0</v>
      </c>
    </row>
    <row r="3756" spans="1:10" ht="14.4">
      <c r="A3756" s="84">
        <v>49407</v>
      </c>
      <c r="B3756" s="85">
        <v>2035</v>
      </c>
      <c r="C3756" s="85">
        <v>4</v>
      </c>
      <c r="D3756" s="85" t="s">
        <v>62</v>
      </c>
      <c r="E3756" s="85">
        <v>8</v>
      </c>
      <c r="F3756" s="85">
        <v>7</v>
      </c>
      <c r="G3756" s="85">
        <f>--(F3756&lt;=Estimator!$B$7)</f>
        <v>0</v>
      </c>
      <c r="H3756" s="86">
        <f>SUMIFS('Climate Data'!$G$7:$G$366,'Climate Data'!$A$7:$A$366,Estimator!$B$4,'Climate Data'!$B$7:$B$366,C3756)</f>
        <v>0.25555555555555559</v>
      </c>
      <c r="I3756" s="87">
        <f>SUMIFS('Climate Data'!$H$7:$H$366,'Climate Data'!$A$7:$A$366,Estimator!$B$4,'Climate Data'!$B$7:$B$366,C3756)</f>
        <v>7.5</v>
      </c>
      <c r="J3756" s="86">
        <f>SUMIFS('Wind Proxy'!$H$8:$H$19,'Wind Proxy'!$A$8:$A$19,Estimator!$B$4,'Wind Proxy'!$B$8:$B$19,C3756)</f>
        <v>0</v>
      </c>
    </row>
    <row r="3757" spans="1:10" ht="14.4">
      <c r="A3757" s="84">
        <v>49408</v>
      </c>
      <c r="B3757" s="85">
        <v>2035</v>
      </c>
      <c r="C3757" s="85">
        <v>4</v>
      </c>
      <c r="D3757" s="85" t="s">
        <v>62</v>
      </c>
      <c r="E3757" s="85">
        <v>9</v>
      </c>
      <c r="F3757" s="85">
        <v>1</v>
      </c>
      <c r="G3757" s="85">
        <f>--(F3757&lt;=Estimator!$B$7)</f>
        <v>1</v>
      </c>
      <c r="H3757" s="86">
        <f>SUMIFS('Climate Data'!$G$7:$G$366,'Climate Data'!$A$7:$A$366,Estimator!$B$4,'Climate Data'!$B$7:$B$366,C3757)</f>
        <v>0.25555555555555559</v>
      </c>
      <c r="I3757" s="87">
        <f>SUMIFS('Climate Data'!$H$7:$H$366,'Climate Data'!$A$7:$A$366,Estimator!$B$4,'Climate Data'!$B$7:$B$366,C3757)</f>
        <v>7.5</v>
      </c>
      <c r="J3757" s="86">
        <f>SUMIFS('Wind Proxy'!$H$8:$H$19,'Wind Proxy'!$A$8:$A$19,Estimator!$B$4,'Wind Proxy'!$B$8:$B$19,C3757)</f>
        <v>0</v>
      </c>
    </row>
    <row r="3758" spans="1:10" ht="14.4">
      <c r="A3758" s="84">
        <v>49409</v>
      </c>
      <c r="B3758" s="85">
        <v>2035</v>
      </c>
      <c r="C3758" s="85">
        <v>4</v>
      </c>
      <c r="D3758" s="85" t="s">
        <v>62</v>
      </c>
      <c r="E3758" s="85">
        <v>10</v>
      </c>
      <c r="F3758" s="85">
        <v>2</v>
      </c>
      <c r="G3758" s="85">
        <f>--(F3758&lt;=Estimator!$B$7)</f>
        <v>1</v>
      </c>
      <c r="H3758" s="86">
        <f>SUMIFS('Climate Data'!$G$7:$G$366,'Climate Data'!$A$7:$A$366,Estimator!$B$4,'Climate Data'!$B$7:$B$366,C3758)</f>
        <v>0.25555555555555559</v>
      </c>
      <c r="I3758" s="87">
        <f>SUMIFS('Climate Data'!$H$7:$H$366,'Climate Data'!$A$7:$A$366,Estimator!$B$4,'Climate Data'!$B$7:$B$366,C3758)</f>
        <v>7.5</v>
      </c>
      <c r="J3758" s="86">
        <f>SUMIFS('Wind Proxy'!$H$8:$H$19,'Wind Proxy'!$A$8:$A$19,Estimator!$B$4,'Wind Proxy'!$B$8:$B$19,C3758)</f>
        <v>0</v>
      </c>
    </row>
    <row r="3759" spans="1:10" ht="14.4">
      <c r="A3759" s="84">
        <v>49410</v>
      </c>
      <c r="B3759" s="85">
        <v>2035</v>
      </c>
      <c r="C3759" s="85">
        <v>4</v>
      </c>
      <c r="D3759" s="85" t="s">
        <v>62</v>
      </c>
      <c r="E3759" s="85">
        <v>11</v>
      </c>
      <c r="F3759" s="85">
        <v>3</v>
      </c>
      <c r="G3759" s="85">
        <f>--(F3759&lt;=Estimator!$B$7)</f>
        <v>1</v>
      </c>
      <c r="H3759" s="86">
        <f>SUMIFS('Climate Data'!$G$7:$G$366,'Climate Data'!$A$7:$A$366,Estimator!$B$4,'Climate Data'!$B$7:$B$366,C3759)</f>
        <v>0.25555555555555559</v>
      </c>
      <c r="I3759" s="87">
        <f>SUMIFS('Climate Data'!$H$7:$H$366,'Climate Data'!$A$7:$A$366,Estimator!$B$4,'Climate Data'!$B$7:$B$366,C3759)</f>
        <v>7.5</v>
      </c>
      <c r="J3759" s="86">
        <f>SUMIFS('Wind Proxy'!$H$8:$H$19,'Wind Proxy'!$A$8:$A$19,Estimator!$B$4,'Wind Proxy'!$B$8:$B$19,C3759)</f>
        <v>0</v>
      </c>
    </row>
    <row r="3760" spans="1:10" ht="14.4">
      <c r="A3760" s="84">
        <v>49411</v>
      </c>
      <c r="B3760" s="85">
        <v>2035</v>
      </c>
      <c r="C3760" s="85">
        <v>4</v>
      </c>
      <c r="D3760" s="85" t="s">
        <v>62</v>
      </c>
      <c r="E3760" s="85">
        <v>12</v>
      </c>
      <c r="F3760" s="85">
        <v>4</v>
      </c>
      <c r="G3760" s="85">
        <f>--(F3760&lt;=Estimator!$B$7)</f>
        <v>1</v>
      </c>
      <c r="H3760" s="86">
        <f>SUMIFS('Climate Data'!$G$7:$G$366,'Climate Data'!$A$7:$A$366,Estimator!$B$4,'Climate Data'!$B$7:$B$366,C3760)</f>
        <v>0.25555555555555559</v>
      </c>
      <c r="I3760" s="87">
        <f>SUMIFS('Climate Data'!$H$7:$H$366,'Climate Data'!$A$7:$A$366,Estimator!$B$4,'Climate Data'!$B$7:$B$366,C3760)</f>
        <v>7.5</v>
      </c>
      <c r="J3760" s="86">
        <f>SUMIFS('Wind Proxy'!$H$8:$H$19,'Wind Proxy'!$A$8:$A$19,Estimator!$B$4,'Wind Proxy'!$B$8:$B$19,C3760)</f>
        <v>0</v>
      </c>
    </row>
    <row r="3761" spans="1:10" ht="14.4">
      <c r="A3761" s="84">
        <v>49412</v>
      </c>
      <c r="B3761" s="85">
        <v>2035</v>
      </c>
      <c r="C3761" s="85">
        <v>4</v>
      </c>
      <c r="D3761" s="85" t="s">
        <v>62</v>
      </c>
      <c r="E3761" s="85">
        <v>13</v>
      </c>
      <c r="F3761" s="85">
        <v>5</v>
      </c>
      <c r="G3761" s="85">
        <f>--(F3761&lt;=Estimator!$B$7)</f>
        <v>1</v>
      </c>
      <c r="H3761" s="86">
        <f>SUMIFS('Climate Data'!$G$7:$G$366,'Climate Data'!$A$7:$A$366,Estimator!$B$4,'Climate Data'!$B$7:$B$366,C3761)</f>
        <v>0.25555555555555559</v>
      </c>
      <c r="I3761" s="87">
        <f>SUMIFS('Climate Data'!$H$7:$H$366,'Climate Data'!$A$7:$A$366,Estimator!$B$4,'Climate Data'!$B$7:$B$366,C3761)</f>
        <v>7.5</v>
      </c>
      <c r="J3761" s="86">
        <f>SUMIFS('Wind Proxy'!$H$8:$H$19,'Wind Proxy'!$A$8:$A$19,Estimator!$B$4,'Wind Proxy'!$B$8:$B$19,C3761)</f>
        <v>0</v>
      </c>
    </row>
    <row r="3762" spans="1:10" ht="14.4">
      <c r="A3762" s="84">
        <v>49413</v>
      </c>
      <c r="B3762" s="85">
        <v>2035</v>
      </c>
      <c r="C3762" s="85">
        <v>4</v>
      </c>
      <c r="D3762" s="85" t="s">
        <v>62</v>
      </c>
      <c r="E3762" s="85">
        <v>14</v>
      </c>
      <c r="F3762" s="85">
        <v>6</v>
      </c>
      <c r="G3762" s="85">
        <f>--(F3762&lt;=Estimator!$B$7)</f>
        <v>0</v>
      </c>
      <c r="H3762" s="86">
        <f>SUMIFS('Climate Data'!$G$7:$G$366,'Climate Data'!$A$7:$A$366,Estimator!$B$4,'Climate Data'!$B$7:$B$366,C3762)</f>
        <v>0.25555555555555559</v>
      </c>
      <c r="I3762" s="87">
        <f>SUMIFS('Climate Data'!$H$7:$H$366,'Climate Data'!$A$7:$A$366,Estimator!$B$4,'Climate Data'!$B$7:$B$366,C3762)</f>
        <v>7.5</v>
      </c>
      <c r="J3762" s="86">
        <f>SUMIFS('Wind Proxy'!$H$8:$H$19,'Wind Proxy'!$A$8:$A$19,Estimator!$B$4,'Wind Proxy'!$B$8:$B$19,C3762)</f>
        <v>0</v>
      </c>
    </row>
    <row r="3763" spans="1:10" ht="14.4">
      <c r="A3763" s="84">
        <v>49414</v>
      </c>
      <c r="B3763" s="85">
        <v>2035</v>
      </c>
      <c r="C3763" s="85">
        <v>4</v>
      </c>
      <c r="D3763" s="85" t="s">
        <v>62</v>
      </c>
      <c r="E3763" s="85">
        <v>15</v>
      </c>
      <c r="F3763" s="85">
        <v>7</v>
      </c>
      <c r="G3763" s="85">
        <f>--(F3763&lt;=Estimator!$B$7)</f>
        <v>0</v>
      </c>
      <c r="H3763" s="86">
        <f>SUMIFS('Climate Data'!$G$7:$G$366,'Climate Data'!$A$7:$A$366,Estimator!$B$4,'Climate Data'!$B$7:$B$366,C3763)</f>
        <v>0.25555555555555559</v>
      </c>
      <c r="I3763" s="87">
        <f>SUMIFS('Climate Data'!$H$7:$H$366,'Climate Data'!$A$7:$A$366,Estimator!$B$4,'Climate Data'!$B$7:$B$366,C3763)</f>
        <v>7.5</v>
      </c>
      <c r="J3763" s="86">
        <f>SUMIFS('Wind Proxy'!$H$8:$H$19,'Wind Proxy'!$A$8:$A$19,Estimator!$B$4,'Wind Proxy'!$B$8:$B$19,C3763)</f>
        <v>0</v>
      </c>
    </row>
    <row r="3764" spans="1:10" ht="14.4">
      <c r="A3764" s="84">
        <v>49415</v>
      </c>
      <c r="B3764" s="85">
        <v>2035</v>
      </c>
      <c r="C3764" s="85">
        <v>4</v>
      </c>
      <c r="D3764" s="85" t="s">
        <v>62</v>
      </c>
      <c r="E3764" s="85">
        <v>16</v>
      </c>
      <c r="F3764" s="85">
        <v>1</v>
      </c>
      <c r="G3764" s="85">
        <f>--(F3764&lt;=Estimator!$B$7)</f>
        <v>1</v>
      </c>
      <c r="H3764" s="86">
        <f>SUMIFS('Climate Data'!$G$7:$G$366,'Climate Data'!$A$7:$A$366,Estimator!$B$4,'Climate Data'!$B$7:$B$366,C3764)</f>
        <v>0.25555555555555559</v>
      </c>
      <c r="I3764" s="87">
        <f>SUMIFS('Climate Data'!$H$7:$H$366,'Climate Data'!$A$7:$A$366,Estimator!$B$4,'Climate Data'!$B$7:$B$366,C3764)</f>
        <v>7.5</v>
      </c>
      <c r="J3764" s="86">
        <f>SUMIFS('Wind Proxy'!$H$8:$H$19,'Wind Proxy'!$A$8:$A$19,Estimator!$B$4,'Wind Proxy'!$B$8:$B$19,C3764)</f>
        <v>0</v>
      </c>
    </row>
    <row r="3765" spans="1:10" ht="14.4">
      <c r="A3765" s="84">
        <v>49416</v>
      </c>
      <c r="B3765" s="85">
        <v>2035</v>
      </c>
      <c r="C3765" s="85">
        <v>4</v>
      </c>
      <c r="D3765" s="85" t="s">
        <v>62</v>
      </c>
      <c r="E3765" s="85">
        <v>17</v>
      </c>
      <c r="F3765" s="85">
        <v>2</v>
      </c>
      <c r="G3765" s="85">
        <f>--(F3765&lt;=Estimator!$B$7)</f>
        <v>1</v>
      </c>
      <c r="H3765" s="86">
        <f>SUMIFS('Climate Data'!$G$7:$G$366,'Climate Data'!$A$7:$A$366,Estimator!$B$4,'Climate Data'!$B$7:$B$366,C3765)</f>
        <v>0.25555555555555559</v>
      </c>
      <c r="I3765" s="87">
        <f>SUMIFS('Climate Data'!$H$7:$H$366,'Climate Data'!$A$7:$A$366,Estimator!$B$4,'Climate Data'!$B$7:$B$366,C3765)</f>
        <v>7.5</v>
      </c>
      <c r="J3765" s="86">
        <f>SUMIFS('Wind Proxy'!$H$8:$H$19,'Wind Proxy'!$A$8:$A$19,Estimator!$B$4,'Wind Proxy'!$B$8:$B$19,C3765)</f>
        <v>0</v>
      </c>
    </row>
    <row r="3766" spans="1:10" ht="14.4">
      <c r="A3766" s="84">
        <v>49417</v>
      </c>
      <c r="B3766" s="85">
        <v>2035</v>
      </c>
      <c r="C3766" s="85">
        <v>4</v>
      </c>
      <c r="D3766" s="85" t="s">
        <v>62</v>
      </c>
      <c r="E3766" s="85">
        <v>18</v>
      </c>
      <c r="F3766" s="85">
        <v>3</v>
      </c>
      <c r="G3766" s="85">
        <f>--(F3766&lt;=Estimator!$B$7)</f>
        <v>1</v>
      </c>
      <c r="H3766" s="86">
        <f>SUMIFS('Climate Data'!$G$7:$G$366,'Climate Data'!$A$7:$A$366,Estimator!$B$4,'Climate Data'!$B$7:$B$366,C3766)</f>
        <v>0.25555555555555559</v>
      </c>
      <c r="I3766" s="87">
        <f>SUMIFS('Climate Data'!$H$7:$H$366,'Climate Data'!$A$7:$A$366,Estimator!$B$4,'Climate Data'!$B$7:$B$366,C3766)</f>
        <v>7.5</v>
      </c>
      <c r="J3766" s="86">
        <f>SUMIFS('Wind Proxy'!$H$8:$H$19,'Wind Proxy'!$A$8:$A$19,Estimator!$B$4,'Wind Proxy'!$B$8:$B$19,C3766)</f>
        <v>0</v>
      </c>
    </row>
    <row r="3767" spans="1:10" ht="14.4">
      <c r="A3767" s="84">
        <v>49418</v>
      </c>
      <c r="B3767" s="85">
        <v>2035</v>
      </c>
      <c r="C3767" s="85">
        <v>4</v>
      </c>
      <c r="D3767" s="85" t="s">
        <v>62</v>
      </c>
      <c r="E3767" s="85">
        <v>19</v>
      </c>
      <c r="F3767" s="85">
        <v>4</v>
      </c>
      <c r="G3767" s="85">
        <f>--(F3767&lt;=Estimator!$B$7)</f>
        <v>1</v>
      </c>
      <c r="H3767" s="86">
        <f>SUMIFS('Climate Data'!$G$7:$G$366,'Climate Data'!$A$7:$A$366,Estimator!$B$4,'Climate Data'!$B$7:$B$366,C3767)</f>
        <v>0.25555555555555559</v>
      </c>
      <c r="I3767" s="87">
        <f>SUMIFS('Climate Data'!$H$7:$H$366,'Climate Data'!$A$7:$A$366,Estimator!$B$4,'Climate Data'!$B$7:$B$366,C3767)</f>
        <v>7.5</v>
      </c>
      <c r="J3767" s="86">
        <f>SUMIFS('Wind Proxy'!$H$8:$H$19,'Wind Proxy'!$A$8:$A$19,Estimator!$B$4,'Wind Proxy'!$B$8:$B$19,C3767)</f>
        <v>0</v>
      </c>
    </row>
    <row r="3768" spans="1:10" ht="14.4">
      <c r="A3768" s="84">
        <v>49419</v>
      </c>
      <c r="B3768" s="85">
        <v>2035</v>
      </c>
      <c r="C3768" s="85">
        <v>4</v>
      </c>
      <c r="D3768" s="85" t="s">
        <v>62</v>
      </c>
      <c r="E3768" s="85">
        <v>20</v>
      </c>
      <c r="F3768" s="85">
        <v>5</v>
      </c>
      <c r="G3768" s="85">
        <f>--(F3768&lt;=Estimator!$B$7)</f>
        <v>1</v>
      </c>
      <c r="H3768" s="86">
        <f>SUMIFS('Climate Data'!$G$7:$G$366,'Climate Data'!$A$7:$A$366,Estimator!$B$4,'Climate Data'!$B$7:$B$366,C3768)</f>
        <v>0.25555555555555559</v>
      </c>
      <c r="I3768" s="87">
        <f>SUMIFS('Climate Data'!$H$7:$H$366,'Climate Data'!$A$7:$A$366,Estimator!$B$4,'Climate Data'!$B$7:$B$366,C3768)</f>
        <v>7.5</v>
      </c>
      <c r="J3768" s="86">
        <f>SUMIFS('Wind Proxy'!$H$8:$H$19,'Wind Proxy'!$A$8:$A$19,Estimator!$B$4,'Wind Proxy'!$B$8:$B$19,C3768)</f>
        <v>0</v>
      </c>
    </row>
    <row r="3769" spans="1:10" ht="14.4">
      <c r="A3769" s="84">
        <v>49420</v>
      </c>
      <c r="B3769" s="85">
        <v>2035</v>
      </c>
      <c r="C3769" s="85">
        <v>4</v>
      </c>
      <c r="D3769" s="85" t="s">
        <v>62</v>
      </c>
      <c r="E3769" s="85">
        <v>21</v>
      </c>
      <c r="F3769" s="85">
        <v>6</v>
      </c>
      <c r="G3769" s="85">
        <f>--(F3769&lt;=Estimator!$B$7)</f>
        <v>0</v>
      </c>
      <c r="H3769" s="86">
        <f>SUMIFS('Climate Data'!$G$7:$G$366,'Climate Data'!$A$7:$A$366,Estimator!$B$4,'Climate Data'!$B$7:$B$366,C3769)</f>
        <v>0.25555555555555559</v>
      </c>
      <c r="I3769" s="87">
        <f>SUMIFS('Climate Data'!$H$7:$H$366,'Climate Data'!$A$7:$A$366,Estimator!$B$4,'Climate Data'!$B$7:$B$366,C3769)</f>
        <v>7.5</v>
      </c>
      <c r="J3769" s="86">
        <f>SUMIFS('Wind Proxy'!$H$8:$H$19,'Wind Proxy'!$A$8:$A$19,Estimator!$B$4,'Wind Proxy'!$B$8:$B$19,C3769)</f>
        <v>0</v>
      </c>
    </row>
    <row r="3770" spans="1:10" ht="14.4">
      <c r="A3770" s="84">
        <v>49421</v>
      </c>
      <c r="B3770" s="85">
        <v>2035</v>
      </c>
      <c r="C3770" s="85">
        <v>4</v>
      </c>
      <c r="D3770" s="85" t="s">
        <v>62</v>
      </c>
      <c r="E3770" s="85">
        <v>22</v>
      </c>
      <c r="F3770" s="85">
        <v>7</v>
      </c>
      <c r="G3770" s="85">
        <f>--(F3770&lt;=Estimator!$B$7)</f>
        <v>0</v>
      </c>
      <c r="H3770" s="86">
        <f>SUMIFS('Climate Data'!$G$7:$G$366,'Climate Data'!$A$7:$A$366,Estimator!$B$4,'Climate Data'!$B$7:$B$366,C3770)</f>
        <v>0.25555555555555559</v>
      </c>
      <c r="I3770" s="87">
        <f>SUMIFS('Climate Data'!$H$7:$H$366,'Climate Data'!$A$7:$A$366,Estimator!$B$4,'Climate Data'!$B$7:$B$366,C3770)</f>
        <v>7.5</v>
      </c>
      <c r="J3770" s="86">
        <f>SUMIFS('Wind Proxy'!$H$8:$H$19,'Wind Proxy'!$A$8:$A$19,Estimator!$B$4,'Wind Proxy'!$B$8:$B$19,C3770)</f>
        <v>0</v>
      </c>
    </row>
    <row r="3771" spans="1:10" ht="14.4">
      <c r="A3771" s="84">
        <v>49422</v>
      </c>
      <c r="B3771" s="85">
        <v>2035</v>
      </c>
      <c r="C3771" s="85">
        <v>4</v>
      </c>
      <c r="D3771" s="85" t="s">
        <v>62</v>
      </c>
      <c r="E3771" s="85">
        <v>23</v>
      </c>
      <c r="F3771" s="85">
        <v>1</v>
      </c>
      <c r="G3771" s="85">
        <f>--(F3771&lt;=Estimator!$B$7)</f>
        <v>1</v>
      </c>
      <c r="H3771" s="86">
        <f>SUMIFS('Climate Data'!$G$7:$G$366,'Climate Data'!$A$7:$A$366,Estimator!$B$4,'Climate Data'!$B$7:$B$366,C3771)</f>
        <v>0.25555555555555559</v>
      </c>
      <c r="I3771" s="87">
        <f>SUMIFS('Climate Data'!$H$7:$H$366,'Climate Data'!$A$7:$A$366,Estimator!$B$4,'Climate Data'!$B$7:$B$366,C3771)</f>
        <v>7.5</v>
      </c>
      <c r="J3771" s="86">
        <f>SUMIFS('Wind Proxy'!$H$8:$H$19,'Wind Proxy'!$A$8:$A$19,Estimator!$B$4,'Wind Proxy'!$B$8:$B$19,C3771)</f>
        <v>0</v>
      </c>
    </row>
    <row r="3772" spans="1:10" ht="14.4">
      <c r="A3772" s="84">
        <v>49423</v>
      </c>
      <c r="B3772" s="85">
        <v>2035</v>
      </c>
      <c r="C3772" s="85">
        <v>4</v>
      </c>
      <c r="D3772" s="85" t="s">
        <v>62</v>
      </c>
      <c r="E3772" s="85">
        <v>24</v>
      </c>
      <c r="F3772" s="85">
        <v>2</v>
      </c>
      <c r="G3772" s="85">
        <f>--(F3772&lt;=Estimator!$B$7)</f>
        <v>1</v>
      </c>
      <c r="H3772" s="86">
        <f>SUMIFS('Climate Data'!$G$7:$G$366,'Climate Data'!$A$7:$A$366,Estimator!$B$4,'Climate Data'!$B$7:$B$366,C3772)</f>
        <v>0.25555555555555559</v>
      </c>
      <c r="I3772" s="87">
        <f>SUMIFS('Climate Data'!$H$7:$H$366,'Climate Data'!$A$7:$A$366,Estimator!$B$4,'Climate Data'!$B$7:$B$366,C3772)</f>
        <v>7.5</v>
      </c>
      <c r="J3772" s="86">
        <f>SUMIFS('Wind Proxy'!$H$8:$H$19,'Wind Proxy'!$A$8:$A$19,Estimator!$B$4,'Wind Proxy'!$B$8:$B$19,C3772)</f>
        <v>0</v>
      </c>
    </row>
    <row r="3773" spans="1:10" ht="14.4">
      <c r="A3773" s="84">
        <v>49424</v>
      </c>
      <c r="B3773" s="85">
        <v>2035</v>
      </c>
      <c r="C3773" s="85">
        <v>4</v>
      </c>
      <c r="D3773" s="85" t="s">
        <v>62</v>
      </c>
      <c r="E3773" s="85">
        <v>25</v>
      </c>
      <c r="F3773" s="85">
        <v>3</v>
      </c>
      <c r="G3773" s="85">
        <f>--(F3773&lt;=Estimator!$B$7)</f>
        <v>1</v>
      </c>
      <c r="H3773" s="86">
        <f>SUMIFS('Climate Data'!$G$7:$G$366,'Climate Data'!$A$7:$A$366,Estimator!$B$4,'Climate Data'!$B$7:$B$366,C3773)</f>
        <v>0.25555555555555559</v>
      </c>
      <c r="I3773" s="87">
        <f>SUMIFS('Climate Data'!$H$7:$H$366,'Climate Data'!$A$7:$A$366,Estimator!$B$4,'Climate Data'!$B$7:$B$366,C3773)</f>
        <v>7.5</v>
      </c>
      <c r="J3773" s="86">
        <f>SUMIFS('Wind Proxy'!$H$8:$H$19,'Wind Proxy'!$A$8:$A$19,Estimator!$B$4,'Wind Proxy'!$B$8:$B$19,C3773)</f>
        <v>0</v>
      </c>
    </row>
    <row r="3774" spans="1:10" ht="14.4">
      <c r="A3774" s="84">
        <v>49425</v>
      </c>
      <c r="B3774" s="85">
        <v>2035</v>
      </c>
      <c r="C3774" s="85">
        <v>4</v>
      </c>
      <c r="D3774" s="85" t="s">
        <v>62</v>
      </c>
      <c r="E3774" s="85">
        <v>26</v>
      </c>
      <c r="F3774" s="85">
        <v>4</v>
      </c>
      <c r="G3774" s="85">
        <f>--(F3774&lt;=Estimator!$B$7)</f>
        <v>1</v>
      </c>
      <c r="H3774" s="86">
        <f>SUMIFS('Climate Data'!$G$7:$G$366,'Climate Data'!$A$7:$A$366,Estimator!$B$4,'Climate Data'!$B$7:$B$366,C3774)</f>
        <v>0.25555555555555559</v>
      </c>
      <c r="I3774" s="87">
        <f>SUMIFS('Climate Data'!$H$7:$H$366,'Climate Data'!$A$7:$A$366,Estimator!$B$4,'Climate Data'!$B$7:$B$366,C3774)</f>
        <v>7.5</v>
      </c>
      <c r="J3774" s="86">
        <f>SUMIFS('Wind Proxy'!$H$8:$H$19,'Wind Proxy'!$A$8:$A$19,Estimator!$B$4,'Wind Proxy'!$B$8:$B$19,C3774)</f>
        <v>0</v>
      </c>
    </row>
    <row r="3775" spans="1:10" ht="14.4">
      <c r="A3775" s="84">
        <v>49426</v>
      </c>
      <c r="B3775" s="85">
        <v>2035</v>
      </c>
      <c r="C3775" s="85">
        <v>4</v>
      </c>
      <c r="D3775" s="85" t="s">
        <v>62</v>
      </c>
      <c r="E3775" s="85">
        <v>27</v>
      </c>
      <c r="F3775" s="85">
        <v>5</v>
      </c>
      <c r="G3775" s="85">
        <f>--(F3775&lt;=Estimator!$B$7)</f>
        <v>1</v>
      </c>
      <c r="H3775" s="86">
        <f>SUMIFS('Climate Data'!$G$7:$G$366,'Climate Data'!$A$7:$A$366,Estimator!$B$4,'Climate Data'!$B$7:$B$366,C3775)</f>
        <v>0.25555555555555559</v>
      </c>
      <c r="I3775" s="87">
        <f>SUMIFS('Climate Data'!$H$7:$H$366,'Climate Data'!$A$7:$A$366,Estimator!$B$4,'Climate Data'!$B$7:$B$366,C3775)</f>
        <v>7.5</v>
      </c>
      <c r="J3775" s="86">
        <f>SUMIFS('Wind Proxy'!$H$8:$H$19,'Wind Proxy'!$A$8:$A$19,Estimator!$B$4,'Wind Proxy'!$B$8:$B$19,C3775)</f>
        <v>0</v>
      </c>
    </row>
    <row r="3776" spans="1:10" ht="14.4">
      <c r="A3776" s="84">
        <v>49427</v>
      </c>
      <c r="B3776" s="85">
        <v>2035</v>
      </c>
      <c r="C3776" s="85">
        <v>4</v>
      </c>
      <c r="D3776" s="85" t="s">
        <v>62</v>
      </c>
      <c r="E3776" s="85">
        <v>28</v>
      </c>
      <c r="F3776" s="85">
        <v>6</v>
      </c>
      <c r="G3776" s="85">
        <f>--(F3776&lt;=Estimator!$B$7)</f>
        <v>0</v>
      </c>
      <c r="H3776" s="86">
        <f>SUMIFS('Climate Data'!$G$7:$G$366,'Climate Data'!$A$7:$A$366,Estimator!$B$4,'Climate Data'!$B$7:$B$366,C3776)</f>
        <v>0.25555555555555559</v>
      </c>
      <c r="I3776" s="87">
        <f>SUMIFS('Climate Data'!$H$7:$H$366,'Climate Data'!$A$7:$A$366,Estimator!$B$4,'Climate Data'!$B$7:$B$366,C3776)</f>
        <v>7.5</v>
      </c>
      <c r="J3776" s="86">
        <f>SUMIFS('Wind Proxy'!$H$8:$H$19,'Wind Proxy'!$A$8:$A$19,Estimator!$B$4,'Wind Proxy'!$B$8:$B$19,C3776)</f>
        <v>0</v>
      </c>
    </row>
    <row r="3777" spans="1:10" ht="14.4">
      <c r="A3777" s="84">
        <v>49428</v>
      </c>
      <c r="B3777" s="85">
        <v>2035</v>
      </c>
      <c r="C3777" s="85">
        <v>4</v>
      </c>
      <c r="D3777" s="85" t="s">
        <v>62</v>
      </c>
      <c r="E3777" s="85">
        <v>29</v>
      </c>
      <c r="F3777" s="85">
        <v>7</v>
      </c>
      <c r="G3777" s="85">
        <f>--(F3777&lt;=Estimator!$B$7)</f>
        <v>0</v>
      </c>
      <c r="H3777" s="86">
        <f>SUMIFS('Climate Data'!$G$7:$G$366,'Climate Data'!$A$7:$A$366,Estimator!$B$4,'Climate Data'!$B$7:$B$366,C3777)</f>
        <v>0.25555555555555559</v>
      </c>
      <c r="I3777" s="87">
        <f>SUMIFS('Climate Data'!$H$7:$H$366,'Climate Data'!$A$7:$A$366,Estimator!$B$4,'Climate Data'!$B$7:$B$366,C3777)</f>
        <v>7.5</v>
      </c>
      <c r="J3777" s="86">
        <f>SUMIFS('Wind Proxy'!$H$8:$H$19,'Wind Proxy'!$A$8:$A$19,Estimator!$B$4,'Wind Proxy'!$B$8:$B$19,C3777)</f>
        <v>0</v>
      </c>
    </row>
    <row r="3778" spans="1:10" ht="14.4">
      <c r="A3778" s="84">
        <v>49429</v>
      </c>
      <c r="B3778" s="85">
        <v>2035</v>
      </c>
      <c r="C3778" s="85">
        <v>4</v>
      </c>
      <c r="D3778" s="85" t="s">
        <v>62</v>
      </c>
      <c r="E3778" s="85">
        <v>30</v>
      </c>
      <c r="F3778" s="85">
        <v>1</v>
      </c>
      <c r="G3778" s="85">
        <f>--(F3778&lt;=Estimator!$B$7)</f>
        <v>1</v>
      </c>
      <c r="H3778" s="86">
        <f>SUMIFS('Climate Data'!$G$7:$G$366,'Climate Data'!$A$7:$A$366,Estimator!$B$4,'Climate Data'!$B$7:$B$366,C3778)</f>
        <v>0.25555555555555559</v>
      </c>
      <c r="I3778" s="87">
        <f>SUMIFS('Climate Data'!$H$7:$H$366,'Climate Data'!$A$7:$A$366,Estimator!$B$4,'Climate Data'!$B$7:$B$366,C3778)</f>
        <v>7.5</v>
      </c>
      <c r="J3778" s="86">
        <f>SUMIFS('Wind Proxy'!$H$8:$H$19,'Wind Proxy'!$A$8:$A$19,Estimator!$B$4,'Wind Proxy'!$B$8:$B$19,C3778)</f>
        <v>0</v>
      </c>
    </row>
    <row r="3779" spans="1:10" ht="14.4">
      <c r="A3779" s="84">
        <v>49430</v>
      </c>
      <c r="B3779" s="85">
        <v>2035</v>
      </c>
      <c r="C3779" s="85">
        <v>5</v>
      </c>
      <c r="D3779" s="85" t="s">
        <v>65</v>
      </c>
      <c r="E3779" s="85">
        <v>1</v>
      </c>
      <c r="F3779" s="85">
        <v>2</v>
      </c>
      <c r="G3779" s="85">
        <f>--(F3779&lt;=Estimator!$B$7)</f>
        <v>1</v>
      </c>
      <c r="H3779" s="86">
        <f>SUMIFS('Climate Data'!$G$7:$G$366,'Climate Data'!$A$7:$A$366,Estimator!$B$4,'Climate Data'!$B$7:$B$366,C3779)</f>
        <v>0.23010752688172045</v>
      </c>
      <c r="I3779" s="87">
        <f>SUMIFS('Climate Data'!$H$7:$H$366,'Climate Data'!$A$7:$A$366,Estimator!$B$4,'Climate Data'!$B$7:$B$366,C3779)</f>
        <v>8.1448598130841123</v>
      </c>
      <c r="J3779" s="86">
        <f>SUMIFS('Wind Proxy'!$H$8:$H$19,'Wind Proxy'!$A$8:$A$19,Estimator!$B$4,'Wind Proxy'!$B$8:$B$19,C3779)</f>
        <v>0</v>
      </c>
    </row>
    <row r="3780" spans="1:10" ht="14.4">
      <c r="A3780" s="84">
        <v>49431</v>
      </c>
      <c r="B3780" s="85">
        <v>2035</v>
      </c>
      <c r="C3780" s="85">
        <v>5</v>
      </c>
      <c r="D3780" s="85" t="s">
        <v>65</v>
      </c>
      <c r="E3780" s="85">
        <v>2</v>
      </c>
      <c r="F3780" s="85">
        <v>3</v>
      </c>
      <c r="G3780" s="85">
        <f>--(F3780&lt;=Estimator!$B$7)</f>
        <v>1</v>
      </c>
      <c r="H3780" s="86">
        <f>SUMIFS('Climate Data'!$G$7:$G$366,'Climate Data'!$A$7:$A$366,Estimator!$B$4,'Climate Data'!$B$7:$B$366,C3780)</f>
        <v>0.23010752688172045</v>
      </c>
      <c r="I3780" s="87">
        <f>SUMIFS('Climate Data'!$H$7:$H$366,'Climate Data'!$A$7:$A$366,Estimator!$B$4,'Climate Data'!$B$7:$B$366,C3780)</f>
        <v>8.1448598130841123</v>
      </c>
      <c r="J3780" s="86">
        <f>SUMIFS('Wind Proxy'!$H$8:$H$19,'Wind Proxy'!$A$8:$A$19,Estimator!$B$4,'Wind Proxy'!$B$8:$B$19,C3780)</f>
        <v>0</v>
      </c>
    </row>
    <row r="3781" spans="1:10" ht="14.4">
      <c r="A3781" s="84">
        <v>49432</v>
      </c>
      <c r="B3781" s="85">
        <v>2035</v>
      </c>
      <c r="C3781" s="85">
        <v>5</v>
      </c>
      <c r="D3781" s="85" t="s">
        <v>65</v>
      </c>
      <c r="E3781" s="85">
        <v>3</v>
      </c>
      <c r="F3781" s="85">
        <v>4</v>
      </c>
      <c r="G3781" s="85">
        <f>--(F3781&lt;=Estimator!$B$7)</f>
        <v>1</v>
      </c>
      <c r="H3781" s="86">
        <f>SUMIFS('Climate Data'!$G$7:$G$366,'Climate Data'!$A$7:$A$366,Estimator!$B$4,'Climate Data'!$B$7:$B$366,C3781)</f>
        <v>0.23010752688172045</v>
      </c>
      <c r="I3781" s="87">
        <f>SUMIFS('Climate Data'!$H$7:$H$366,'Climate Data'!$A$7:$A$366,Estimator!$B$4,'Climate Data'!$B$7:$B$366,C3781)</f>
        <v>8.1448598130841123</v>
      </c>
      <c r="J3781" s="86">
        <f>SUMIFS('Wind Proxy'!$H$8:$H$19,'Wind Proxy'!$A$8:$A$19,Estimator!$B$4,'Wind Proxy'!$B$8:$B$19,C3781)</f>
        <v>0</v>
      </c>
    </row>
    <row r="3782" spans="1:10" ht="14.4">
      <c r="A3782" s="84">
        <v>49433</v>
      </c>
      <c r="B3782" s="85">
        <v>2035</v>
      </c>
      <c r="C3782" s="85">
        <v>5</v>
      </c>
      <c r="D3782" s="85" t="s">
        <v>65</v>
      </c>
      <c r="E3782" s="85">
        <v>4</v>
      </c>
      <c r="F3782" s="85">
        <v>5</v>
      </c>
      <c r="G3782" s="85">
        <f>--(F3782&lt;=Estimator!$B$7)</f>
        <v>1</v>
      </c>
      <c r="H3782" s="86">
        <f>SUMIFS('Climate Data'!$G$7:$G$366,'Climate Data'!$A$7:$A$366,Estimator!$B$4,'Climate Data'!$B$7:$B$366,C3782)</f>
        <v>0.23010752688172045</v>
      </c>
      <c r="I3782" s="87">
        <f>SUMIFS('Climate Data'!$H$7:$H$366,'Climate Data'!$A$7:$A$366,Estimator!$B$4,'Climate Data'!$B$7:$B$366,C3782)</f>
        <v>8.1448598130841123</v>
      </c>
      <c r="J3782" s="86">
        <f>SUMIFS('Wind Proxy'!$H$8:$H$19,'Wind Proxy'!$A$8:$A$19,Estimator!$B$4,'Wind Proxy'!$B$8:$B$19,C3782)</f>
        <v>0</v>
      </c>
    </row>
    <row r="3783" spans="1:10" ht="14.4">
      <c r="A3783" s="84">
        <v>49434</v>
      </c>
      <c r="B3783" s="85">
        <v>2035</v>
      </c>
      <c r="C3783" s="85">
        <v>5</v>
      </c>
      <c r="D3783" s="85" t="s">
        <v>65</v>
      </c>
      <c r="E3783" s="85">
        <v>5</v>
      </c>
      <c r="F3783" s="85">
        <v>6</v>
      </c>
      <c r="G3783" s="85">
        <f>--(F3783&lt;=Estimator!$B$7)</f>
        <v>0</v>
      </c>
      <c r="H3783" s="86">
        <f>SUMIFS('Climate Data'!$G$7:$G$366,'Climate Data'!$A$7:$A$366,Estimator!$B$4,'Climate Data'!$B$7:$B$366,C3783)</f>
        <v>0.23010752688172045</v>
      </c>
      <c r="I3783" s="87">
        <f>SUMIFS('Climate Data'!$H$7:$H$366,'Climate Data'!$A$7:$A$366,Estimator!$B$4,'Climate Data'!$B$7:$B$366,C3783)</f>
        <v>8.1448598130841123</v>
      </c>
      <c r="J3783" s="86">
        <f>SUMIFS('Wind Proxy'!$H$8:$H$19,'Wind Proxy'!$A$8:$A$19,Estimator!$B$4,'Wind Proxy'!$B$8:$B$19,C3783)</f>
        <v>0</v>
      </c>
    </row>
    <row r="3784" spans="1:10" ht="14.4">
      <c r="A3784" s="84">
        <v>49435</v>
      </c>
      <c r="B3784" s="85">
        <v>2035</v>
      </c>
      <c r="C3784" s="85">
        <v>5</v>
      </c>
      <c r="D3784" s="85" t="s">
        <v>65</v>
      </c>
      <c r="E3784" s="85">
        <v>6</v>
      </c>
      <c r="F3784" s="85">
        <v>7</v>
      </c>
      <c r="G3784" s="85">
        <f>--(F3784&lt;=Estimator!$B$7)</f>
        <v>0</v>
      </c>
      <c r="H3784" s="86">
        <f>SUMIFS('Climate Data'!$G$7:$G$366,'Climate Data'!$A$7:$A$366,Estimator!$B$4,'Climate Data'!$B$7:$B$366,C3784)</f>
        <v>0.23010752688172045</v>
      </c>
      <c r="I3784" s="87">
        <f>SUMIFS('Climate Data'!$H$7:$H$366,'Climate Data'!$A$7:$A$366,Estimator!$B$4,'Climate Data'!$B$7:$B$366,C3784)</f>
        <v>8.1448598130841123</v>
      </c>
      <c r="J3784" s="86">
        <f>SUMIFS('Wind Proxy'!$H$8:$H$19,'Wind Proxy'!$A$8:$A$19,Estimator!$B$4,'Wind Proxy'!$B$8:$B$19,C3784)</f>
        <v>0</v>
      </c>
    </row>
    <row r="3785" spans="1:10" ht="14.4">
      <c r="A3785" s="84">
        <v>49436</v>
      </c>
      <c r="B3785" s="85">
        <v>2035</v>
      </c>
      <c r="C3785" s="85">
        <v>5</v>
      </c>
      <c r="D3785" s="85" t="s">
        <v>65</v>
      </c>
      <c r="E3785" s="85">
        <v>7</v>
      </c>
      <c r="F3785" s="85">
        <v>1</v>
      </c>
      <c r="G3785" s="85">
        <f>--(F3785&lt;=Estimator!$B$7)</f>
        <v>1</v>
      </c>
      <c r="H3785" s="86">
        <f>SUMIFS('Climate Data'!$G$7:$G$366,'Climate Data'!$A$7:$A$366,Estimator!$B$4,'Climate Data'!$B$7:$B$366,C3785)</f>
        <v>0.23010752688172045</v>
      </c>
      <c r="I3785" s="87">
        <f>SUMIFS('Climate Data'!$H$7:$H$366,'Climate Data'!$A$7:$A$366,Estimator!$B$4,'Climate Data'!$B$7:$B$366,C3785)</f>
        <v>8.1448598130841123</v>
      </c>
      <c r="J3785" s="86">
        <f>SUMIFS('Wind Proxy'!$H$8:$H$19,'Wind Proxy'!$A$8:$A$19,Estimator!$B$4,'Wind Proxy'!$B$8:$B$19,C3785)</f>
        <v>0</v>
      </c>
    </row>
    <row r="3786" spans="1:10" ht="14.4">
      <c r="A3786" s="84">
        <v>49437</v>
      </c>
      <c r="B3786" s="85">
        <v>2035</v>
      </c>
      <c r="C3786" s="85">
        <v>5</v>
      </c>
      <c r="D3786" s="85" t="s">
        <v>65</v>
      </c>
      <c r="E3786" s="85">
        <v>8</v>
      </c>
      <c r="F3786" s="85">
        <v>2</v>
      </c>
      <c r="G3786" s="85">
        <f>--(F3786&lt;=Estimator!$B$7)</f>
        <v>1</v>
      </c>
      <c r="H3786" s="86">
        <f>SUMIFS('Climate Data'!$G$7:$G$366,'Climate Data'!$A$7:$A$366,Estimator!$B$4,'Climate Data'!$B$7:$B$366,C3786)</f>
        <v>0.23010752688172045</v>
      </c>
      <c r="I3786" s="87">
        <f>SUMIFS('Climate Data'!$H$7:$H$366,'Climate Data'!$A$7:$A$366,Estimator!$B$4,'Climate Data'!$B$7:$B$366,C3786)</f>
        <v>8.1448598130841123</v>
      </c>
      <c r="J3786" s="86">
        <f>SUMIFS('Wind Proxy'!$H$8:$H$19,'Wind Proxy'!$A$8:$A$19,Estimator!$B$4,'Wind Proxy'!$B$8:$B$19,C3786)</f>
        <v>0</v>
      </c>
    </row>
    <row r="3787" spans="1:10" ht="14.4">
      <c r="A3787" s="84">
        <v>49438</v>
      </c>
      <c r="B3787" s="85">
        <v>2035</v>
      </c>
      <c r="C3787" s="85">
        <v>5</v>
      </c>
      <c r="D3787" s="85" t="s">
        <v>65</v>
      </c>
      <c r="E3787" s="85">
        <v>9</v>
      </c>
      <c r="F3787" s="85">
        <v>3</v>
      </c>
      <c r="G3787" s="85">
        <f>--(F3787&lt;=Estimator!$B$7)</f>
        <v>1</v>
      </c>
      <c r="H3787" s="86">
        <f>SUMIFS('Climate Data'!$G$7:$G$366,'Climate Data'!$A$7:$A$366,Estimator!$B$4,'Climate Data'!$B$7:$B$366,C3787)</f>
        <v>0.23010752688172045</v>
      </c>
      <c r="I3787" s="87">
        <f>SUMIFS('Climate Data'!$H$7:$H$366,'Climate Data'!$A$7:$A$366,Estimator!$B$4,'Climate Data'!$B$7:$B$366,C3787)</f>
        <v>8.1448598130841123</v>
      </c>
      <c r="J3787" s="86">
        <f>SUMIFS('Wind Proxy'!$H$8:$H$19,'Wind Proxy'!$A$8:$A$19,Estimator!$B$4,'Wind Proxy'!$B$8:$B$19,C3787)</f>
        <v>0</v>
      </c>
    </row>
    <row r="3788" spans="1:10" ht="14.4">
      <c r="A3788" s="84">
        <v>49439</v>
      </c>
      <c r="B3788" s="85">
        <v>2035</v>
      </c>
      <c r="C3788" s="85">
        <v>5</v>
      </c>
      <c r="D3788" s="85" t="s">
        <v>65</v>
      </c>
      <c r="E3788" s="85">
        <v>10</v>
      </c>
      <c r="F3788" s="85">
        <v>4</v>
      </c>
      <c r="G3788" s="85">
        <f>--(F3788&lt;=Estimator!$B$7)</f>
        <v>1</v>
      </c>
      <c r="H3788" s="86">
        <f>SUMIFS('Climate Data'!$G$7:$G$366,'Climate Data'!$A$7:$A$366,Estimator!$B$4,'Climate Data'!$B$7:$B$366,C3788)</f>
        <v>0.23010752688172045</v>
      </c>
      <c r="I3788" s="87">
        <f>SUMIFS('Climate Data'!$H$7:$H$366,'Climate Data'!$A$7:$A$366,Estimator!$B$4,'Climate Data'!$B$7:$B$366,C3788)</f>
        <v>8.1448598130841123</v>
      </c>
      <c r="J3788" s="86">
        <f>SUMIFS('Wind Proxy'!$H$8:$H$19,'Wind Proxy'!$A$8:$A$19,Estimator!$B$4,'Wind Proxy'!$B$8:$B$19,C3788)</f>
        <v>0</v>
      </c>
    </row>
    <row r="3789" spans="1:10" ht="14.4">
      <c r="A3789" s="84">
        <v>49440</v>
      </c>
      <c r="B3789" s="85">
        <v>2035</v>
      </c>
      <c r="C3789" s="85">
        <v>5</v>
      </c>
      <c r="D3789" s="85" t="s">
        <v>65</v>
      </c>
      <c r="E3789" s="85">
        <v>11</v>
      </c>
      <c r="F3789" s="85">
        <v>5</v>
      </c>
      <c r="G3789" s="85">
        <f>--(F3789&lt;=Estimator!$B$7)</f>
        <v>1</v>
      </c>
      <c r="H3789" s="86">
        <f>SUMIFS('Climate Data'!$G$7:$G$366,'Climate Data'!$A$7:$A$366,Estimator!$B$4,'Climate Data'!$B$7:$B$366,C3789)</f>
        <v>0.23010752688172045</v>
      </c>
      <c r="I3789" s="87">
        <f>SUMIFS('Climate Data'!$H$7:$H$366,'Climate Data'!$A$7:$A$366,Estimator!$B$4,'Climate Data'!$B$7:$B$366,C3789)</f>
        <v>8.1448598130841123</v>
      </c>
      <c r="J3789" s="86">
        <f>SUMIFS('Wind Proxy'!$H$8:$H$19,'Wind Proxy'!$A$8:$A$19,Estimator!$B$4,'Wind Proxy'!$B$8:$B$19,C3789)</f>
        <v>0</v>
      </c>
    </row>
    <row r="3790" spans="1:10" ht="14.4">
      <c r="A3790" s="84">
        <v>49441</v>
      </c>
      <c r="B3790" s="85">
        <v>2035</v>
      </c>
      <c r="C3790" s="85">
        <v>5</v>
      </c>
      <c r="D3790" s="85" t="s">
        <v>65</v>
      </c>
      <c r="E3790" s="85">
        <v>12</v>
      </c>
      <c r="F3790" s="85">
        <v>6</v>
      </c>
      <c r="G3790" s="85">
        <f>--(F3790&lt;=Estimator!$B$7)</f>
        <v>0</v>
      </c>
      <c r="H3790" s="86">
        <f>SUMIFS('Climate Data'!$G$7:$G$366,'Climate Data'!$A$7:$A$366,Estimator!$B$4,'Climate Data'!$B$7:$B$366,C3790)</f>
        <v>0.23010752688172045</v>
      </c>
      <c r="I3790" s="87">
        <f>SUMIFS('Climate Data'!$H$7:$H$366,'Climate Data'!$A$7:$A$366,Estimator!$B$4,'Climate Data'!$B$7:$B$366,C3790)</f>
        <v>8.1448598130841123</v>
      </c>
      <c r="J3790" s="86">
        <f>SUMIFS('Wind Proxy'!$H$8:$H$19,'Wind Proxy'!$A$8:$A$19,Estimator!$B$4,'Wind Proxy'!$B$8:$B$19,C3790)</f>
        <v>0</v>
      </c>
    </row>
    <row r="3791" spans="1:10" ht="14.4">
      <c r="A3791" s="84">
        <v>49442</v>
      </c>
      <c r="B3791" s="85">
        <v>2035</v>
      </c>
      <c r="C3791" s="85">
        <v>5</v>
      </c>
      <c r="D3791" s="85" t="s">
        <v>65</v>
      </c>
      <c r="E3791" s="85">
        <v>13</v>
      </c>
      <c r="F3791" s="85">
        <v>7</v>
      </c>
      <c r="G3791" s="85">
        <f>--(F3791&lt;=Estimator!$B$7)</f>
        <v>0</v>
      </c>
      <c r="H3791" s="86">
        <f>SUMIFS('Climate Data'!$G$7:$G$366,'Climate Data'!$A$7:$A$366,Estimator!$B$4,'Climate Data'!$B$7:$B$366,C3791)</f>
        <v>0.23010752688172045</v>
      </c>
      <c r="I3791" s="87">
        <f>SUMIFS('Climate Data'!$H$7:$H$366,'Climate Data'!$A$7:$A$366,Estimator!$B$4,'Climate Data'!$B$7:$B$366,C3791)</f>
        <v>8.1448598130841123</v>
      </c>
      <c r="J3791" s="86">
        <f>SUMIFS('Wind Proxy'!$H$8:$H$19,'Wind Proxy'!$A$8:$A$19,Estimator!$B$4,'Wind Proxy'!$B$8:$B$19,C3791)</f>
        <v>0</v>
      </c>
    </row>
    <row r="3792" spans="1:10" ht="14.4">
      <c r="A3792" s="84">
        <v>49443</v>
      </c>
      <c r="B3792" s="85">
        <v>2035</v>
      </c>
      <c r="C3792" s="85">
        <v>5</v>
      </c>
      <c r="D3792" s="85" t="s">
        <v>65</v>
      </c>
      <c r="E3792" s="85">
        <v>14</v>
      </c>
      <c r="F3792" s="85">
        <v>1</v>
      </c>
      <c r="G3792" s="85">
        <f>--(F3792&lt;=Estimator!$B$7)</f>
        <v>1</v>
      </c>
      <c r="H3792" s="86">
        <f>SUMIFS('Climate Data'!$G$7:$G$366,'Climate Data'!$A$7:$A$366,Estimator!$B$4,'Climate Data'!$B$7:$B$366,C3792)</f>
        <v>0.23010752688172045</v>
      </c>
      <c r="I3792" s="87">
        <f>SUMIFS('Climate Data'!$H$7:$H$366,'Climate Data'!$A$7:$A$366,Estimator!$B$4,'Climate Data'!$B$7:$B$366,C3792)</f>
        <v>8.1448598130841123</v>
      </c>
      <c r="J3792" s="86">
        <f>SUMIFS('Wind Proxy'!$H$8:$H$19,'Wind Proxy'!$A$8:$A$19,Estimator!$B$4,'Wind Proxy'!$B$8:$B$19,C3792)</f>
        <v>0</v>
      </c>
    </row>
    <row r="3793" spans="1:10" ht="14.4">
      <c r="A3793" s="84">
        <v>49444</v>
      </c>
      <c r="B3793" s="85">
        <v>2035</v>
      </c>
      <c r="C3793" s="85">
        <v>5</v>
      </c>
      <c r="D3793" s="85" t="s">
        <v>65</v>
      </c>
      <c r="E3793" s="85">
        <v>15</v>
      </c>
      <c r="F3793" s="85">
        <v>2</v>
      </c>
      <c r="G3793" s="85">
        <f>--(F3793&lt;=Estimator!$B$7)</f>
        <v>1</v>
      </c>
      <c r="H3793" s="86">
        <f>SUMIFS('Climate Data'!$G$7:$G$366,'Climate Data'!$A$7:$A$366,Estimator!$B$4,'Climate Data'!$B$7:$B$366,C3793)</f>
        <v>0.23010752688172045</v>
      </c>
      <c r="I3793" s="87">
        <f>SUMIFS('Climate Data'!$H$7:$H$366,'Climate Data'!$A$7:$A$366,Estimator!$B$4,'Climate Data'!$B$7:$B$366,C3793)</f>
        <v>8.1448598130841123</v>
      </c>
      <c r="J3793" s="86">
        <f>SUMIFS('Wind Proxy'!$H$8:$H$19,'Wind Proxy'!$A$8:$A$19,Estimator!$B$4,'Wind Proxy'!$B$8:$B$19,C3793)</f>
        <v>0</v>
      </c>
    </row>
    <row r="3794" spans="1:10" ht="14.4">
      <c r="A3794" s="84">
        <v>49445</v>
      </c>
      <c r="B3794" s="85">
        <v>2035</v>
      </c>
      <c r="C3794" s="85">
        <v>5</v>
      </c>
      <c r="D3794" s="85" t="s">
        <v>65</v>
      </c>
      <c r="E3794" s="85">
        <v>16</v>
      </c>
      <c r="F3794" s="85">
        <v>3</v>
      </c>
      <c r="G3794" s="85">
        <f>--(F3794&lt;=Estimator!$B$7)</f>
        <v>1</v>
      </c>
      <c r="H3794" s="86">
        <f>SUMIFS('Climate Data'!$G$7:$G$366,'Climate Data'!$A$7:$A$366,Estimator!$B$4,'Climate Data'!$B$7:$B$366,C3794)</f>
        <v>0.23010752688172045</v>
      </c>
      <c r="I3794" s="87">
        <f>SUMIFS('Climate Data'!$H$7:$H$366,'Climate Data'!$A$7:$A$366,Estimator!$B$4,'Climate Data'!$B$7:$B$366,C3794)</f>
        <v>8.1448598130841123</v>
      </c>
      <c r="J3794" s="86">
        <f>SUMIFS('Wind Proxy'!$H$8:$H$19,'Wind Proxy'!$A$8:$A$19,Estimator!$B$4,'Wind Proxy'!$B$8:$B$19,C3794)</f>
        <v>0</v>
      </c>
    </row>
    <row r="3795" spans="1:10" ht="14.4">
      <c r="A3795" s="84">
        <v>49446</v>
      </c>
      <c r="B3795" s="85">
        <v>2035</v>
      </c>
      <c r="C3795" s="85">
        <v>5</v>
      </c>
      <c r="D3795" s="85" t="s">
        <v>65</v>
      </c>
      <c r="E3795" s="85">
        <v>17</v>
      </c>
      <c r="F3795" s="85">
        <v>4</v>
      </c>
      <c r="G3795" s="85">
        <f>--(F3795&lt;=Estimator!$B$7)</f>
        <v>1</v>
      </c>
      <c r="H3795" s="86">
        <f>SUMIFS('Climate Data'!$G$7:$G$366,'Climate Data'!$A$7:$A$366,Estimator!$B$4,'Climate Data'!$B$7:$B$366,C3795)</f>
        <v>0.23010752688172045</v>
      </c>
      <c r="I3795" s="87">
        <f>SUMIFS('Climate Data'!$H$7:$H$366,'Climate Data'!$A$7:$A$366,Estimator!$B$4,'Climate Data'!$B$7:$B$366,C3795)</f>
        <v>8.1448598130841123</v>
      </c>
      <c r="J3795" s="86">
        <f>SUMIFS('Wind Proxy'!$H$8:$H$19,'Wind Proxy'!$A$8:$A$19,Estimator!$B$4,'Wind Proxy'!$B$8:$B$19,C3795)</f>
        <v>0</v>
      </c>
    </row>
    <row r="3796" spans="1:10" ht="14.4">
      <c r="A3796" s="84">
        <v>49447</v>
      </c>
      <c r="B3796" s="85">
        <v>2035</v>
      </c>
      <c r="C3796" s="85">
        <v>5</v>
      </c>
      <c r="D3796" s="85" t="s">
        <v>65</v>
      </c>
      <c r="E3796" s="85">
        <v>18</v>
      </c>
      <c r="F3796" s="85">
        <v>5</v>
      </c>
      <c r="G3796" s="85">
        <f>--(F3796&lt;=Estimator!$B$7)</f>
        <v>1</v>
      </c>
      <c r="H3796" s="86">
        <f>SUMIFS('Climate Data'!$G$7:$G$366,'Climate Data'!$A$7:$A$366,Estimator!$B$4,'Climate Data'!$B$7:$B$366,C3796)</f>
        <v>0.23010752688172045</v>
      </c>
      <c r="I3796" s="87">
        <f>SUMIFS('Climate Data'!$H$7:$H$366,'Climate Data'!$A$7:$A$366,Estimator!$B$4,'Climate Data'!$B$7:$B$366,C3796)</f>
        <v>8.1448598130841123</v>
      </c>
      <c r="J3796" s="86">
        <f>SUMIFS('Wind Proxy'!$H$8:$H$19,'Wind Proxy'!$A$8:$A$19,Estimator!$B$4,'Wind Proxy'!$B$8:$B$19,C3796)</f>
        <v>0</v>
      </c>
    </row>
    <row r="3797" spans="1:10" ht="14.4">
      <c r="A3797" s="84">
        <v>49448</v>
      </c>
      <c r="B3797" s="85">
        <v>2035</v>
      </c>
      <c r="C3797" s="85">
        <v>5</v>
      </c>
      <c r="D3797" s="85" t="s">
        <v>65</v>
      </c>
      <c r="E3797" s="85">
        <v>19</v>
      </c>
      <c r="F3797" s="85">
        <v>6</v>
      </c>
      <c r="G3797" s="85">
        <f>--(F3797&lt;=Estimator!$B$7)</f>
        <v>0</v>
      </c>
      <c r="H3797" s="86">
        <f>SUMIFS('Climate Data'!$G$7:$G$366,'Climate Data'!$A$7:$A$366,Estimator!$B$4,'Climate Data'!$B$7:$B$366,C3797)</f>
        <v>0.23010752688172045</v>
      </c>
      <c r="I3797" s="87">
        <f>SUMIFS('Climate Data'!$H$7:$H$366,'Climate Data'!$A$7:$A$366,Estimator!$B$4,'Climate Data'!$B$7:$B$366,C3797)</f>
        <v>8.1448598130841123</v>
      </c>
      <c r="J3797" s="86">
        <f>SUMIFS('Wind Proxy'!$H$8:$H$19,'Wind Proxy'!$A$8:$A$19,Estimator!$B$4,'Wind Proxy'!$B$8:$B$19,C3797)</f>
        <v>0</v>
      </c>
    </row>
    <row r="3798" spans="1:10" ht="14.4">
      <c r="A3798" s="84">
        <v>49449</v>
      </c>
      <c r="B3798" s="85">
        <v>2035</v>
      </c>
      <c r="C3798" s="85">
        <v>5</v>
      </c>
      <c r="D3798" s="85" t="s">
        <v>65</v>
      </c>
      <c r="E3798" s="85">
        <v>20</v>
      </c>
      <c r="F3798" s="85">
        <v>7</v>
      </c>
      <c r="G3798" s="85">
        <f>--(F3798&lt;=Estimator!$B$7)</f>
        <v>0</v>
      </c>
      <c r="H3798" s="86">
        <f>SUMIFS('Climate Data'!$G$7:$G$366,'Climate Data'!$A$7:$A$366,Estimator!$B$4,'Climate Data'!$B$7:$B$366,C3798)</f>
        <v>0.23010752688172045</v>
      </c>
      <c r="I3798" s="87">
        <f>SUMIFS('Climate Data'!$H$7:$H$366,'Climate Data'!$A$7:$A$366,Estimator!$B$4,'Climate Data'!$B$7:$B$366,C3798)</f>
        <v>8.1448598130841123</v>
      </c>
      <c r="J3798" s="86">
        <f>SUMIFS('Wind Proxy'!$H$8:$H$19,'Wind Proxy'!$A$8:$A$19,Estimator!$B$4,'Wind Proxy'!$B$8:$B$19,C3798)</f>
        <v>0</v>
      </c>
    </row>
    <row r="3799" spans="1:10" ht="14.4">
      <c r="A3799" s="84">
        <v>49450</v>
      </c>
      <c r="B3799" s="85">
        <v>2035</v>
      </c>
      <c r="C3799" s="85">
        <v>5</v>
      </c>
      <c r="D3799" s="85" t="s">
        <v>65</v>
      </c>
      <c r="E3799" s="85">
        <v>21</v>
      </c>
      <c r="F3799" s="85">
        <v>1</v>
      </c>
      <c r="G3799" s="85">
        <f>--(F3799&lt;=Estimator!$B$7)</f>
        <v>1</v>
      </c>
      <c r="H3799" s="86">
        <f>SUMIFS('Climate Data'!$G$7:$G$366,'Climate Data'!$A$7:$A$366,Estimator!$B$4,'Climate Data'!$B$7:$B$366,C3799)</f>
        <v>0.23010752688172045</v>
      </c>
      <c r="I3799" s="87">
        <f>SUMIFS('Climate Data'!$H$7:$H$366,'Climate Data'!$A$7:$A$366,Estimator!$B$4,'Climate Data'!$B$7:$B$366,C3799)</f>
        <v>8.1448598130841123</v>
      </c>
      <c r="J3799" s="86">
        <f>SUMIFS('Wind Proxy'!$H$8:$H$19,'Wind Proxy'!$A$8:$A$19,Estimator!$B$4,'Wind Proxy'!$B$8:$B$19,C3799)</f>
        <v>0</v>
      </c>
    </row>
    <row r="3800" spans="1:10" ht="14.4">
      <c r="A3800" s="84">
        <v>49451</v>
      </c>
      <c r="B3800" s="85">
        <v>2035</v>
      </c>
      <c r="C3800" s="85">
        <v>5</v>
      </c>
      <c r="D3800" s="85" t="s">
        <v>65</v>
      </c>
      <c r="E3800" s="85">
        <v>22</v>
      </c>
      <c r="F3800" s="85">
        <v>2</v>
      </c>
      <c r="G3800" s="85">
        <f>--(F3800&lt;=Estimator!$B$7)</f>
        <v>1</v>
      </c>
      <c r="H3800" s="86">
        <f>SUMIFS('Climate Data'!$G$7:$G$366,'Climate Data'!$A$7:$A$366,Estimator!$B$4,'Climate Data'!$B$7:$B$366,C3800)</f>
        <v>0.23010752688172045</v>
      </c>
      <c r="I3800" s="87">
        <f>SUMIFS('Climate Data'!$H$7:$H$366,'Climate Data'!$A$7:$A$366,Estimator!$B$4,'Climate Data'!$B$7:$B$366,C3800)</f>
        <v>8.1448598130841123</v>
      </c>
      <c r="J3800" s="86">
        <f>SUMIFS('Wind Proxy'!$H$8:$H$19,'Wind Proxy'!$A$8:$A$19,Estimator!$B$4,'Wind Proxy'!$B$8:$B$19,C3800)</f>
        <v>0</v>
      </c>
    </row>
    <row r="3801" spans="1:10" ht="14.4">
      <c r="A3801" s="84">
        <v>49452</v>
      </c>
      <c r="B3801" s="85">
        <v>2035</v>
      </c>
      <c r="C3801" s="85">
        <v>5</v>
      </c>
      <c r="D3801" s="85" t="s">
        <v>65</v>
      </c>
      <c r="E3801" s="85">
        <v>23</v>
      </c>
      <c r="F3801" s="85">
        <v>3</v>
      </c>
      <c r="G3801" s="85">
        <f>--(F3801&lt;=Estimator!$B$7)</f>
        <v>1</v>
      </c>
      <c r="H3801" s="86">
        <f>SUMIFS('Climate Data'!$G$7:$G$366,'Climate Data'!$A$7:$A$366,Estimator!$B$4,'Climate Data'!$B$7:$B$366,C3801)</f>
        <v>0.23010752688172045</v>
      </c>
      <c r="I3801" s="87">
        <f>SUMIFS('Climate Data'!$H$7:$H$366,'Climate Data'!$A$7:$A$366,Estimator!$B$4,'Climate Data'!$B$7:$B$366,C3801)</f>
        <v>8.1448598130841123</v>
      </c>
      <c r="J3801" s="86">
        <f>SUMIFS('Wind Proxy'!$H$8:$H$19,'Wind Proxy'!$A$8:$A$19,Estimator!$B$4,'Wind Proxy'!$B$8:$B$19,C3801)</f>
        <v>0</v>
      </c>
    </row>
    <row r="3802" spans="1:10" ht="14.4">
      <c r="A3802" s="84">
        <v>49453</v>
      </c>
      <c r="B3802" s="85">
        <v>2035</v>
      </c>
      <c r="C3802" s="85">
        <v>5</v>
      </c>
      <c r="D3802" s="85" t="s">
        <v>65</v>
      </c>
      <c r="E3802" s="85">
        <v>24</v>
      </c>
      <c r="F3802" s="85">
        <v>4</v>
      </c>
      <c r="G3802" s="85">
        <f>--(F3802&lt;=Estimator!$B$7)</f>
        <v>1</v>
      </c>
      <c r="H3802" s="86">
        <f>SUMIFS('Climate Data'!$G$7:$G$366,'Climate Data'!$A$7:$A$366,Estimator!$B$4,'Climate Data'!$B$7:$B$366,C3802)</f>
        <v>0.23010752688172045</v>
      </c>
      <c r="I3802" s="87">
        <f>SUMIFS('Climate Data'!$H$7:$H$366,'Climate Data'!$A$7:$A$366,Estimator!$B$4,'Climate Data'!$B$7:$B$366,C3802)</f>
        <v>8.1448598130841123</v>
      </c>
      <c r="J3802" s="86">
        <f>SUMIFS('Wind Proxy'!$H$8:$H$19,'Wind Proxy'!$A$8:$A$19,Estimator!$B$4,'Wind Proxy'!$B$8:$B$19,C3802)</f>
        <v>0</v>
      </c>
    </row>
    <row r="3803" spans="1:10" ht="14.4">
      <c r="A3803" s="84">
        <v>49454</v>
      </c>
      <c r="B3803" s="85">
        <v>2035</v>
      </c>
      <c r="C3803" s="85">
        <v>5</v>
      </c>
      <c r="D3803" s="85" t="s">
        <v>65</v>
      </c>
      <c r="E3803" s="85">
        <v>25</v>
      </c>
      <c r="F3803" s="85">
        <v>5</v>
      </c>
      <c r="G3803" s="85">
        <f>--(F3803&lt;=Estimator!$B$7)</f>
        <v>1</v>
      </c>
      <c r="H3803" s="86">
        <f>SUMIFS('Climate Data'!$G$7:$G$366,'Climate Data'!$A$7:$A$366,Estimator!$B$4,'Climate Data'!$B$7:$B$366,C3803)</f>
        <v>0.23010752688172045</v>
      </c>
      <c r="I3803" s="87">
        <f>SUMIFS('Climate Data'!$H$7:$H$366,'Climate Data'!$A$7:$A$366,Estimator!$B$4,'Climate Data'!$B$7:$B$366,C3803)</f>
        <v>8.1448598130841123</v>
      </c>
      <c r="J3803" s="86">
        <f>SUMIFS('Wind Proxy'!$H$8:$H$19,'Wind Proxy'!$A$8:$A$19,Estimator!$B$4,'Wind Proxy'!$B$8:$B$19,C3803)</f>
        <v>0</v>
      </c>
    </row>
    <row r="3804" spans="1:10" ht="14.4">
      <c r="A3804" s="84">
        <v>49455</v>
      </c>
      <c r="B3804" s="85">
        <v>2035</v>
      </c>
      <c r="C3804" s="85">
        <v>5</v>
      </c>
      <c r="D3804" s="85" t="s">
        <v>65</v>
      </c>
      <c r="E3804" s="85">
        <v>26</v>
      </c>
      <c r="F3804" s="85">
        <v>6</v>
      </c>
      <c r="G3804" s="85">
        <f>--(F3804&lt;=Estimator!$B$7)</f>
        <v>0</v>
      </c>
      <c r="H3804" s="86">
        <f>SUMIFS('Climate Data'!$G$7:$G$366,'Climate Data'!$A$7:$A$366,Estimator!$B$4,'Climate Data'!$B$7:$B$366,C3804)</f>
        <v>0.23010752688172045</v>
      </c>
      <c r="I3804" s="87">
        <f>SUMIFS('Climate Data'!$H$7:$H$366,'Climate Data'!$A$7:$A$366,Estimator!$B$4,'Climate Data'!$B$7:$B$366,C3804)</f>
        <v>8.1448598130841123</v>
      </c>
      <c r="J3804" s="86">
        <f>SUMIFS('Wind Proxy'!$H$8:$H$19,'Wind Proxy'!$A$8:$A$19,Estimator!$B$4,'Wind Proxy'!$B$8:$B$19,C3804)</f>
        <v>0</v>
      </c>
    </row>
    <row r="3805" spans="1:10" ht="14.4">
      <c r="A3805" s="84">
        <v>49456</v>
      </c>
      <c r="B3805" s="85">
        <v>2035</v>
      </c>
      <c r="C3805" s="85">
        <v>5</v>
      </c>
      <c r="D3805" s="85" t="s">
        <v>65</v>
      </c>
      <c r="E3805" s="85">
        <v>27</v>
      </c>
      <c r="F3805" s="85">
        <v>7</v>
      </c>
      <c r="G3805" s="85">
        <f>--(F3805&lt;=Estimator!$B$7)</f>
        <v>0</v>
      </c>
      <c r="H3805" s="86">
        <f>SUMIFS('Climate Data'!$G$7:$G$366,'Climate Data'!$A$7:$A$366,Estimator!$B$4,'Climate Data'!$B$7:$B$366,C3805)</f>
        <v>0.23010752688172045</v>
      </c>
      <c r="I3805" s="87">
        <f>SUMIFS('Climate Data'!$H$7:$H$366,'Climate Data'!$A$7:$A$366,Estimator!$B$4,'Climate Data'!$B$7:$B$366,C3805)</f>
        <v>8.1448598130841123</v>
      </c>
      <c r="J3805" s="86">
        <f>SUMIFS('Wind Proxy'!$H$8:$H$19,'Wind Proxy'!$A$8:$A$19,Estimator!$B$4,'Wind Proxy'!$B$8:$B$19,C3805)</f>
        <v>0</v>
      </c>
    </row>
    <row r="3806" spans="1:10" ht="14.4">
      <c r="A3806" s="84">
        <v>49457</v>
      </c>
      <c r="B3806" s="85">
        <v>2035</v>
      </c>
      <c r="C3806" s="85">
        <v>5</v>
      </c>
      <c r="D3806" s="85" t="s">
        <v>65</v>
      </c>
      <c r="E3806" s="85">
        <v>28</v>
      </c>
      <c r="F3806" s="85">
        <v>1</v>
      </c>
      <c r="G3806" s="85">
        <f>--(F3806&lt;=Estimator!$B$7)</f>
        <v>1</v>
      </c>
      <c r="H3806" s="86">
        <f>SUMIFS('Climate Data'!$G$7:$G$366,'Climate Data'!$A$7:$A$366,Estimator!$B$4,'Climate Data'!$B$7:$B$366,C3806)</f>
        <v>0.23010752688172045</v>
      </c>
      <c r="I3806" s="87">
        <f>SUMIFS('Climate Data'!$H$7:$H$366,'Climate Data'!$A$7:$A$366,Estimator!$B$4,'Climate Data'!$B$7:$B$366,C3806)</f>
        <v>8.1448598130841123</v>
      </c>
      <c r="J3806" s="86">
        <f>SUMIFS('Wind Proxy'!$H$8:$H$19,'Wind Proxy'!$A$8:$A$19,Estimator!$B$4,'Wind Proxy'!$B$8:$B$19,C3806)</f>
        <v>0</v>
      </c>
    </row>
    <row r="3807" spans="1:10" ht="14.4">
      <c r="A3807" s="84">
        <v>49458</v>
      </c>
      <c r="B3807" s="85">
        <v>2035</v>
      </c>
      <c r="C3807" s="85">
        <v>5</v>
      </c>
      <c r="D3807" s="85" t="s">
        <v>65</v>
      </c>
      <c r="E3807" s="85">
        <v>29</v>
      </c>
      <c r="F3807" s="85">
        <v>2</v>
      </c>
      <c r="G3807" s="85">
        <f>--(F3807&lt;=Estimator!$B$7)</f>
        <v>1</v>
      </c>
      <c r="H3807" s="86">
        <f>SUMIFS('Climate Data'!$G$7:$G$366,'Climate Data'!$A$7:$A$366,Estimator!$B$4,'Climate Data'!$B$7:$B$366,C3807)</f>
        <v>0.23010752688172045</v>
      </c>
      <c r="I3807" s="87">
        <f>SUMIFS('Climate Data'!$H$7:$H$366,'Climate Data'!$A$7:$A$366,Estimator!$B$4,'Climate Data'!$B$7:$B$366,C3807)</f>
        <v>8.1448598130841123</v>
      </c>
      <c r="J3807" s="86">
        <f>SUMIFS('Wind Proxy'!$H$8:$H$19,'Wind Proxy'!$A$8:$A$19,Estimator!$B$4,'Wind Proxy'!$B$8:$B$19,C3807)</f>
        <v>0</v>
      </c>
    </row>
    <row r="3808" spans="1:10" ht="14.4">
      <c r="A3808" s="84">
        <v>49459</v>
      </c>
      <c r="B3808" s="85">
        <v>2035</v>
      </c>
      <c r="C3808" s="85">
        <v>5</v>
      </c>
      <c r="D3808" s="85" t="s">
        <v>65</v>
      </c>
      <c r="E3808" s="85">
        <v>30</v>
      </c>
      <c r="F3808" s="85">
        <v>3</v>
      </c>
      <c r="G3808" s="85">
        <f>--(F3808&lt;=Estimator!$B$7)</f>
        <v>1</v>
      </c>
      <c r="H3808" s="86">
        <f>SUMIFS('Climate Data'!$G$7:$G$366,'Climate Data'!$A$7:$A$366,Estimator!$B$4,'Climate Data'!$B$7:$B$366,C3808)</f>
        <v>0.23010752688172045</v>
      </c>
      <c r="I3808" s="87">
        <f>SUMIFS('Climate Data'!$H$7:$H$366,'Climate Data'!$A$7:$A$366,Estimator!$B$4,'Climate Data'!$B$7:$B$366,C3808)</f>
        <v>8.1448598130841123</v>
      </c>
      <c r="J3808" s="86">
        <f>SUMIFS('Wind Proxy'!$H$8:$H$19,'Wind Proxy'!$A$8:$A$19,Estimator!$B$4,'Wind Proxy'!$B$8:$B$19,C3808)</f>
        <v>0</v>
      </c>
    </row>
    <row r="3809" spans="1:10" ht="14.4">
      <c r="A3809" s="84">
        <v>49460</v>
      </c>
      <c r="B3809" s="85">
        <v>2035</v>
      </c>
      <c r="C3809" s="85">
        <v>5</v>
      </c>
      <c r="D3809" s="85" t="s">
        <v>65</v>
      </c>
      <c r="E3809" s="85">
        <v>31</v>
      </c>
      <c r="F3809" s="85">
        <v>4</v>
      </c>
      <c r="G3809" s="85">
        <f>--(F3809&lt;=Estimator!$B$7)</f>
        <v>1</v>
      </c>
      <c r="H3809" s="86">
        <f>SUMIFS('Climate Data'!$G$7:$G$366,'Climate Data'!$A$7:$A$366,Estimator!$B$4,'Climate Data'!$B$7:$B$366,C3809)</f>
        <v>0.23010752688172045</v>
      </c>
      <c r="I3809" s="87">
        <f>SUMIFS('Climate Data'!$H$7:$H$366,'Climate Data'!$A$7:$A$366,Estimator!$B$4,'Climate Data'!$B$7:$B$366,C3809)</f>
        <v>8.1448598130841123</v>
      </c>
      <c r="J3809" s="86">
        <f>SUMIFS('Wind Proxy'!$H$8:$H$19,'Wind Proxy'!$A$8:$A$19,Estimator!$B$4,'Wind Proxy'!$B$8:$B$19,C3809)</f>
        <v>0</v>
      </c>
    </row>
    <row r="3810" spans="1:10" ht="14.4">
      <c r="A3810" s="84">
        <v>49461</v>
      </c>
      <c r="B3810" s="85">
        <v>2035</v>
      </c>
      <c r="C3810" s="85">
        <v>6</v>
      </c>
      <c r="D3810" s="85" t="s">
        <v>68</v>
      </c>
      <c r="E3810" s="85">
        <v>1</v>
      </c>
      <c r="F3810" s="85">
        <v>5</v>
      </c>
      <c r="G3810" s="85">
        <f>--(F3810&lt;=Estimator!$B$7)</f>
        <v>1</v>
      </c>
      <c r="H3810" s="86">
        <f>SUMIFS('Climate Data'!$G$7:$G$366,'Climate Data'!$A$7:$A$366,Estimator!$B$4,'Climate Data'!$B$7:$B$366,C3810)</f>
        <v>0.28666666666666668</v>
      </c>
      <c r="I3810" s="87">
        <f>SUMIFS('Climate Data'!$H$7:$H$366,'Climate Data'!$A$7:$A$366,Estimator!$B$4,'Climate Data'!$B$7:$B$366,C3810)</f>
        <v>7.941860465116279</v>
      </c>
      <c r="J3810" s="86">
        <f>SUMIFS('Wind Proxy'!$H$8:$H$19,'Wind Proxy'!$A$8:$A$19,Estimator!$B$4,'Wind Proxy'!$B$8:$B$19,C3810)</f>
        <v>0</v>
      </c>
    </row>
    <row r="3811" spans="1:10" ht="14.4">
      <c r="A3811" s="84">
        <v>49462</v>
      </c>
      <c r="B3811" s="85">
        <v>2035</v>
      </c>
      <c r="C3811" s="85">
        <v>6</v>
      </c>
      <c r="D3811" s="85" t="s">
        <v>68</v>
      </c>
      <c r="E3811" s="85">
        <v>2</v>
      </c>
      <c r="F3811" s="85">
        <v>6</v>
      </c>
      <c r="G3811" s="85">
        <f>--(F3811&lt;=Estimator!$B$7)</f>
        <v>0</v>
      </c>
      <c r="H3811" s="86">
        <f>SUMIFS('Climate Data'!$G$7:$G$366,'Climate Data'!$A$7:$A$366,Estimator!$B$4,'Climate Data'!$B$7:$B$366,C3811)</f>
        <v>0.28666666666666668</v>
      </c>
      <c r="I3811" s="87">
        <f>SUMIFS('Climate Data'!$H$7:$H$366,'Climate Data'!$A$7:$A$366,Estimator!$B$4,'Climate Data'!$B$7:$B$366,C3811)</f>
        <v>7.941860465116279</v>
      </c>
      <c r="J3811" s="86">
        <f>SUMIFS('Wind Proxy'!$H$8:$H$19,'Wind Proxy'!$A$8:$A$19,Estimator!$B$4,'Wind Proxy'!$B$8:$B$19,C3811)</f>
        <v>0</v>
      </c>
    </row>
    <row r="3812" spans="1:10" ht="14.4">
      <c r="A3812" s="84">
        <v>49463</v>
      </c>
      <c r="B3812" s="85">
        <v>2035</v>
      </c>
      <c r="C3812" s="85">
        <v>6</v>
      </c>
      <c r="D3812" s="85" t="s">
        <v>68</v>
      </c>
      <c r="E3812" s="85">
        <v>3</v>
      </c>
      <c r="F3812" s="85">
        <v>7</v>
      </c>
      <c r="G3812" s="85">
        <f>--(F3812&lt;=Estimator!$B$7)</f>
        <v>0</v>
      </c>
      <c r="H3812" s="86">
        <f>SUMIFS('Climate Data'!$G$7:$G$366,'Climate Data'!$A$7:$A$366,Estimator!$B$4,'Climate Data'!$B$7:$B$366,C3812)</f>
        <v>0.28666666666666668</v>
      </c>
      <c r="I3812" s="87">
        <f>SUMIFS('Climate Data'!$H$7:$H$366,'Climate Data'!$A$7:$A$366,Estimator!$B$4,'Climate Data'!$B$7:$B$366,C3812)</f>
        <v>7.941860465116279</v>
      </c>
      <c r="J3812" s="86">
        <f>SUMIFS('Wind Proxy'!$H$8:$H$19,'Wind Proxy'!$A$8:$A$19,Estimator!$B$4,'Wind Proxy'!$B$8:$B$19,C3812)</f>
        <v>0</v>
      </c>
    </row>
    <row r="3813" spans="1:10" ht="14.4">
      <c r="A3813" s="84">
        <v>49464</v>
      </c>
      <c r="B3813" s="85">
        <v>2035</v>
      </c>
      <c r="C3813" s="85">
        <v>6</v>
      </c>
      <c r="D3813" s="85" t="s">
        <v>68</v>
      </c>
      <c r="E3813" s="85">
        <v>4</v>
      </c>
      <c r="F3813" s="85">
        <v>1</v>
      </c>
      <c r="G3813" s="85">
        <f>--(F3813&lt;=Estimator!$B$7)</f>
        <v>1</v>
      </c>
      <c r="H3813" s="86">
        <f>SUMIFS('Climate Data'!$G$7:$G$366,'Climate Data'!$A$7:$A$366,Estimator!$B$4,'Climate Data'!$B$7:$B$366,C3813)</f>
        <v>0.28666666666666668</v>
      </c>
      <c r="I3813" s="87">
        <f>SUMIFS('Climate Data'!$H$7:$H$366,'Climate Data'!$A$7:$A$366,Estimator!$B$4,'Climate Data'!$B$7:$B$366,C3813)</f>
        <v>7.941860465116279</v>
      </c>
      <c r="J3813" s="86">
        <f>SUMIFS('Wind Proxy'!$H$8:$H$19,'Wind Proxy'!$A$8:$A$19,Estimator!$B$4,'Wind Proxy'!$B$8:$B$19,C3813)</f>
        <v>0</v>
      </c>
    </row>
    <row r="3814" spans="1:10" ht="14.4">
      <c r="A3814" s="84">
        <v>49465</v>
      </c>
      <c r="B3814" s="85">
        <v>2035</v>
      </c>
      <c r="C3814" s="85">
        <v>6</v>
      </c>
      <c r="D3814" s="85" t="s">
        <v>68</v>
      </c>
      <c r="E3814" s="85">
        <v>5</v>
      </c>
      <c r="F3814" s="85">
        <v>2</v>
      </c>
      <c r="G3814" s="85">
        <f>--(F3814&lt;=Estimator!$B$7)</f>
        <v>1</v>
      </c>
      <c r="H3814" s="86">
        <f>SUMIFS('Climate Data'!$G$7:$G$366,'Climate Data'!$A$7:$A$366,Estimator!$B$4,'Climate Data'!$B$7:$B$366,C3814)</f>
        <v>0.28666666666666668</v>
      </c>
      <c r="I3814" s="87">
        <f>SUMIFS('Climate Data'!$H$7:$H$366,'Climate Data'!$A$7:$A$366,Estimator!$B$4,'Climate Data'!$B$7:$B$366,C3814)</f>
        <v>7.941860465116279</v>
      </c>
      <c r="J3814" s="86">
        <f>SUMIFS('Wind Proxy'!$H$8:$H$19,'Wind Proxy'!$A$8:$A$19,Estimator!$B$4,'Wind Proxy'!$B$8:$B$19,C3814)</f>
        <v>0</v>
      </c>
    </row>
    <row r="3815" spans="1:10" ht="14.4">
      <c r="A3815" s="84">
        <v>49466</v>
      </c>
      <c r="B3815" s="85">
        <v>2035</v>
      </c>
      <c r="C3815" s="85">
        <v>6</v>
      </c>
      <c r="D3815" s="85" t="s">
        <v>68</v>
      </c>
      <c r="E3815" s="85">
        <v>6</v>
      </c>
      <c r="F3815" s="85">
        <v>3</v>
      </c>
      <c r="G3815" s="85">
        <f>--(F3815&lt;=Estimator!$B$7)</f>
        <v>1</v>
      </c>
      <c r="H3815" s="86">
        <f>SUMIFS('Climate Data'!$G$7:$G$366,'Climate Data'!$A$7:$A$366,Estimator!$B$4,'Climate Data'!$B$7:$B$366,C3815)</f>
        <v>0.28666666666666668</v>
      </c>
      <c r="I3815" s="87">
        <f>SUMIFS('Climate Data'!$H$7:$H$366,'Climate Data'!$A$7:$A$366,Estimator!$B$4,'Climate Data'!$B$7:$B$366,C3815)</f>
        <v>7.941860465116279</v>
      </c>
      <c r="J3815" s="86">
        <f>SUMIFS('Wind Proxy'!$H$8:$H$19,'Wind Proxy'!$A$8:$A$19,Estimator!$B$4,'Wind Proxy'!$B$8:$B$19,C3815)</f>
        <v>0</v>
      </c>
    </row>
    <row r="3816" spans="1:10" ht="14.4">
      <c r="A3816" s="84">
        <v>49467</v>
      </c>
      <c r="B3816" s="85">
        <v>2035</v>
      </c>
      <c r="C3816" s="85">
        <v>6</v>
      </c>
      <c r="D3816" s="85" t="s">
        <v>68</v>
      </c>
      <c r="E3816" s="85">
        <v>7</v>
      </c>
      <c r="F3816" s="85">
        <v>4</v>
      </c>
      <c r="G3816" s="85">
        <f>--(F3816&lt;=Estimator!$B$7)</f>
        <v>1</v>
      </c>
      <c r="H3816" s="86">
        <f>SUMIFS('Climate Data'!$G$7:$G$366,'Climate Data'!$A$7:$A$366,Estimator!$B$4,'Climate Data'!$B$7:$B$366,C3816)</f>
        <v>0.28666666666666668</v>
      </c>
      <c r="I3816" s="87">
        <f>SUMIFS('Climate Data'!$H$7:$H$366,'Climate Data'!$A$7:$A$366,Estimator!$B$4,'Climate Data'!$B$7:$B$366,C3816)</f>
        <v>7.941860465116279</v>
      </c>
      <c r="J3816" s="86">
        <f>SUMIFS('Wind Proxy'!$H$8:$H$19,'Wind Proxy'!$A$8:$A$19,Estimator!$B$4,'Wind Proxy'!$B$8:$B$19,C3816)</f>
        <v>0</v>
      </c>
    </row>
    <row r="3817" spans="1:10" ht="14.4">
      <c r="A3817" s="84">
        <v>49468</v>
      </c>
      <c r="B3817" s="85">
        <v>2035</v>
      </c>
      <c r="C3817" s="85">
        <v>6</v>
      </c>
      <c r="D3817" s="85" t="s">
        <v>68</v>
      </c>
      <c r="E3817" s="85">
        <v>8</v>
      </c>
      <c r="F3817" s="85">
        <v>5</v>
      </c>
      <c r="G3817" s="85">
        <f>--(F3817&lt;=Estimator!$B$7)</f>
        <v>1</v>
      </c>
      <c r="H3817" s="86">
        <f>SUMIFS('Climate Data'!$G$7:$G$366,'Climate Data'!$A$7:$A$366,Estimator!$B$4,'Climate Data'!$B$7:$B$366,C3817)</f>
        <v>0.28666666666666668</v>
      </c>
      <c r="I3817" s="87">
        <f>SUMIFS('Climate Data'!$H$7:$H$366,'Climate Data'!$A$7:$A$366,Estimator!$B$4,'Climate Data'!$B$7:$B$366,C3817)</f>
        <v>7.941860465116279</v>
      </c>
      <c r="J3817" s="86">
        <f>SUMIFS('Wind Proxy'!$H$8:$H$19,'Wind Proxy'!$A$8:$A$19,Estimator!$B$4,'Wind Proxy'!$B$8:$B$19,C3817)</f>
        <v>0</v>
      </c>
    </row>
    <row r="3818" spans="1:10" ht="14.4">
      <c r="A3818" s="84">
        <v>49469</v>
      </c>
      <c r="B3818" s="85">
        <v>2035</v>
      </c>
      <c r="C3818" s="85">
        <v>6</v>
      </c>
      <c r="D3818" s="85" t="s">
        <v>68</v>
      </c>
      <c r="E3818" s="85">
        <v>9</v>
      </c>
      <c r="F3818" s="85">
        <v>6</v>
      </c>
      <c r="G3818" s="85">
        <f>--(F3818&lt;=Estimator!$B$7)</f>
        <v>0</v>
      </c>
      <c r="H3818" s="86">
        <f>SUMIFS('Climate Data'!$G$7:$G$366,'Climate Data'!$A$7:$A$366,Estimator!$B$4,'Climate Data'!$B$7:$B$366,C3818)</f>
        <v>0.28666666666666668</v>
      </c>
      <c r="I3818" s="87">
        <f>SUMIFS('Climate Data'!$H$7:$H$366,'Climate Data'!$A$7:$A$366,Estimator!$B$4,'Climate Data'!$B$7:$B$366,C3818)</f>
        <v>7.941860465116279</v>
      </c>
      <c r="J3818" s="86">
        <f>SUMIFS('Wind Proxy'!$H$8:$H$19,'Wind Proxy'!$A$8:$A$19,Estimator!$B$4,'Wind Proxy'!$B$8:$B$19,C3818)</f>
        <v>0</v>
      </c>
    </row>
    <row r="3819" spans="1:10" ht="14.4">
      <c r="A3819" s="84">
        <v>49470</v>
      </c>
      <c r="B3819" s="85">
        <v>2035</v>
      </c>
      <c r="C3819" s="85">
        <v>6</v>
      </c>
      <c r="D3819" s="85" t="s">
        <v>68</v>
      </c>
      <c r="E3819" s="85">
        <v>10</v>
      </c>
      <c r="F3819" s="85">
        <v>7</v>
      </c>
      <c r="G3819" s="85">
        <f>--(F3819&lt;=Estimator!$B$7)</f>
        <v>0</v>
      </c>
      <c r="H3819" s="86">
        <f>SUMIFS('Climate Data'!$G$7:$G$366,'Climate Data'!$A$7:$A$366,Estimator!$B$4,'Climate Data'!$B$7:$B$366,C3819)</f>
        <v>0.28666666666666668</v>
      </c>
      <c r="I3819" s="87">
        <f>SUMIFS('Climate Data'!$H$7:$H$366,'Climate Data'!$A$7:$A$366,Estimator!$B$4,'Climate Data'!$B$7:$B$366,C3819)</f>
        <v>7.941860465116279</v>
      </c>
      <c r="J3819" s="86">
        <f>SUMIFS('Wind Proxy'!$H$8:$H$19,'Wind Proxy'!$A$8:$A$19,Estimator!$B$4,'Wind Proxy'!$B$8:$B$19,C3819)</f>
        <v>0</v>
      </c>
    </row>
    <row r="3820" spans="1:10" ht="14.4">
      <c r="A3820" s="84">
        <v>49471</v>
      </c>
      <c r="B3820" s="85">
        <v>2035</v>
      </c>
      <c r="C3820" s="85">
        <v>6</v>
      </c>
      <c r="D3820" s="85" t="s">
        <v>68</v>
      </c>
      <c r="E3820" s="85">
        <v>11</v>
      </c>
      <c r="F3820" s="85">
        <v>1</v>
      </c>
      <c r="G3820" s="85">
        <f>--(F3820&lt;=Estimator!$B$7)</f>
        <v>1</v>
      </c>
      <c r="H3820" s="86">
        <f>SUMIFS('Climate Data'!$G$7:$G$366,'Climate Data'!$A$7:$A$366,Estimator!$B$4,'Climate Data'!$B$7:$B$366,C3820)</f>
        <v>0.28666666666666668</v>
      </c>
      <c r="I3820" s="87">
        <f>SUMIFS('Climate Data'!$H$7:$H$366,'Climate Data'!$A$7:$A$366,Estimator!$B$4,'Climate Data'!$B$7:$B$366,C3820)</f>
        <v>7.941860465116279</v>
      </c>
      <c r="J3820" s="86">
        <f>SUMIFS('Wind Proxy'!$H$8:$H$19,'Wind Proxy'!$A$8:$A$19,Estimator!$B$4,'Wind Proxy'!$B$8:$B$19,C3820)</f>
        <v>0</v>
      </c>
    </row>
    <row r="3821" spans="1:10" ht="14.4">
      <c r="A3821" s="84">
        <v>49472</v>
      </c>
      <c r="B3821" s="85">
        <v>2035</v>
      </c>
      <c r="C3821" s="85">
        <v>6</v>
      </c>
      <c r="D3821" s="85" t="s">
        <v>68</v>
      </c>
      <c r="E3821" s="85">
        <v>12</v>
      </c>
      <c r="F3821" s="85">
        <v>2</v>
      </c>
      <c r="G3821" s="85">
        <f>--(F3821&lt;=Estimator!$B$7)</f>
        <v>1</v>
      </c>
      <c r="H3821" s="86">
        <f>SUMIFS('Climate Data'!$G$7:$G$366,'Climate Data'!$A$7:$A$366,Estimator!$B$4,'Climate Data'!$B$7:$B$366,C3821)</f>
        <v>0.28666666666666668</v>
      </c>
      <c r="I3821" s="87">
        <f>SUMIFS('Climate Data'!$H$7:$H$366,'Climate Data'!$A$7:$A$366,Estimator!$B$4,'Climate Data'!$B$7:$B$366,C3821)</f>
        <v>7.941860465116279</v>
      </c>
      <c r="J3821" s="86">
        <f>SUMIFS('Wind Proxy'!$H$8:$H$19,'Wind Proxy'!$A$8:$A$19,Estimator!$B$4,'Wind Proxy'!$B$8:$B$19,C3821)</f>
        <v>0</v>
      </c>
    </row>
    <row r="3822" spans="1:10" ht="14.4">
      <c r="A3822" s="84">
        <v>49473</v>
      </c>
      <c r="B3822" s="85">
        <v>2035</v>
      </c>
      <c r="C3822" s="85">
        <v>6</v>
      </c>
      <c r="D3822" s="85" t="s">
        <v>68</v>
      </c>
      <c r="E3822" s="85">
        <v>13</v>
      </c>
      <c r="F3822" s="85">
        <v>3</v>
      </c>
      <c r="G3822" s="85">
        <f>--(F3822&lt;=Estimator!$B$7)</f>
        <v>1</v>
      </c>
      <c r="H3822" s="86">
        <f>SUMIFS('Climate Data'!$G$7:$G$366,'Climate Data'!$A$7:$A$366,Estimator!$B$4,'Climate Data'!$B$7:$B$366,C3822)</f>
        <v>0.28666666666666668</v>
      </c>
      <c r="I3822" s="87">
        <f>SUMIFS('Climate Data'!$H$7:$H$366,'Climate Data'!$A$7:$A$366,Estimator!$B$4,'Climate Data'!$B$7:$B$366,C3822)</f>
        <v>7.941860465116279</v>
      </c>
      <c r="J3822" s="86">
        <f>SUMIFS('Wind Proxy'!$H$8:$H$19,'Wind Proxy'!$A$8:$A$19,Estimator!$B$4,'Wind Proxy'!$B$8:$B$19,C3822)</f>
        <v>0</v>
      </c>
    </row>
    <row r="3823" spans="1:10" ht="14.4">
      <c r="A3823" s="84">
        <v>49474</v>
      </c>
      <c r="B3823" s="85">
        <v>2035</v>
      </c>
      <c r="C3823" s="85">
        <v>6</v>
      </c>
      <c r="D3823" s="85" t="s">
        <v>68</v>
      </c>
      <c r="E3823" s="85">
        <v>14</v>
      </c>
      <c r="F3823" s="85">
        <v>4</v>
      </c>
      <c r="G3823" s="85">
        <f>--(F3823&lt;=Estimator!$B$7)</f>
        <v>1</v>
      </c>
      <c r="H3823" s="86">
        <f>SUMIFS('Climate Data'!$G$7:$G$366,'Climate Data'!$A$7:$A$366,Estimator!$B$4,'Climate Data'!$B$7:$B$366,C3823)</f>
        <v>0.28666666666666668</v>
      </c>
      <c r="I3823" s="87">
        <f>SUMIFS('Climate Data'!$H$7:$H$366,'Climate Data'!$A$7:$A$366,Estimator!$B$4,'Climate Data'!$B$7:$B$366,C3823)</f>
        <v>7.941860465116279</v>
      </c>
      <c r="J3823" s="86">
        <f>SUMIFS('Wind Proxy'!$H$8:$H$19,'Wind Proxy'!$A$8:$A$19,Estimator!$B$4,'Wind Proxy'!$B$8:$B$19,C3823)</f>
        <v>0</v>
      </c>
    </row>
    <row r="3824" spans="1:10" ht="14.4">
      <c r="A3824" s="84">
        <v>49475</v>
      </c>
      <c r="B3824" s="85">
        <v>2035</v>
      </c>
      <c r="C3824" s="85">
        <v>6</v>
      </c>
      <c r="D3824" s="85" t="s">
        <v>68</v>
      </c>
      <c r="E3824" s="85">
        <v>15</v>
      </c>
      <c r="F3824" s="85">
        <v>5</v>
      </c>
      <c r="G3824" s="85">
        <f>--(F3824&lt;=Estimator!$B$7)</f>
        <v>1</v>
      </c>
      <c r="H3824" s="86">
        <f>SUMIFS('Climate Data'!$G$7:$G$366,'Climate Data'!$A$7:$A$366,Estimator!$B$4,'Climate Data'!$B$7:$B$366,C3824)</f>
        <v>0.28666666666666668</v>
      </c>
      <c r="I3824" s="87">
        <f>SUMIFS('Climate Data'!$H$7:$H$366,'Climate Data'!$A$7:$A$366,Estimator!$B$4,'Climate Data'!$B$7:$B$366,C3824)</f>
        <v>7.941860465116279</v>
      </c>
      <c r="J3824" s="86">
        <f>SUMIFS('Wind Proxy'!$H$8:$H$19,'Wind Proxy'!$A$8:$A$19,Estimator!$B$4,'Wind Proxy'!$B$8:$B$19,C3824)</f>
        <v>0</v>
      </c>
    </row>
    <row r="3825" spans="1:10" ht="14.4">
      <c r="A3825" s="84">
        <v>49476</v>
      </c>
      <c r="B3825" s="85">
        <v>2035</v>
      </c>
      <c r="C3825" s="85">
        <v>6</v>
      </c>
      <c r="D3825" s="85" t="s">
        <v>68</v>
      </c>
      <c r="E3825" s="85">
        <v>16</v>
      </c>
      <c r="F3825" s="85">
        <v>6</v>
      </c>
      <c r="G3825" s="85">
        <f>--(F3825&lt;=Estimator!$B$7)</f>
        <v>0</v>
      </c>
      <c r="H3825" s="86">
        <f>SUMIFS('Climate Data'!$G$7:$G$366,'Climate Data'!$A$7:$A$366,Estimator!$B$4,'Climate Data'!$B$7:$B$366,C3825)</f>
        <v>0.28666666666666668</v>
      </c>
      <c r="I3825" s="87">
        <f>SUMIFS('Climate Data'!$H$7:$H$366,'Climate Data'!$A$7:$A$366,Estimator!$B$4,'Climate Data'!$B$7:$B$366,C3825)</f>
        <v>7.941860465116279</v>
      </c>
      <c r="J3825" s="86">
        <f>SUMIFS('Wind Proxy'!$H$8:$H$19,'Wind Proxy'!$A$8:$A$19,Estimator!$B$4,'Wind Proxy'!$B$8:$B$19,C3825)</f>
        <v>0</v>
      </c>
    </row>
    <row r="3826" spans="1:10" ht="14.4">
      <c r="A3826" s="84">
        <v>49477</v>
      </c>
      <c r="B3826" s="85">
        <v>2035</v>
      </c>
      <c r="C3826" s="85">
        <v>6</v>
      </c>
      <c r="D3826" s="85" t="s">
        <v>68</v>
      </c>
      <c r="E3826" s="85">
        <v>17</v>
      </c>
      <c r="F3826" s="85">
        <v>7</v>
      </c>
      <c r="G3826" s="85">
        <f>--(F3826&lt;=Estimator!$B$7)</f>
        <v>0</v>
      </c>
      <c r="H3826" s="86">
        <f>SUMIFS('Climate Data'!$G$7:$G$366,'Climate Data'!$A$7:$A$366,Estimator!$B$4,'Climate Data'!$B$7:$B$366,C3826)</f>
        <v>0.28666666666666668</v>
      </c>
      <c r="I3826" s="87">
        <f>SUMIFS('Climate Data'!$H$7:$H$366,'Climate Data'!$A$7:$A$366,Estimator!$B$4,'Climate Data'!$B$7:$B$366,C3826)</f>
        <v>7.941860465116279</v>
      </c>
      <c r="J3826" s="86">
        <f>SUMIFS('Wind Proxy'!$H$8:$H$19,'Wind Proxy'!$A$8:$A$19,Estimator!$B$4,'Wind Proxy'!$B$8:$B$19,C3826)</f>
        <v>0</v>
      </c>
    </row>
    <row r="3827" spans="1:10" ht="14.4">
      <c r="A3827" s="84">
        <v>49478</v>
      </c>
      <c r="B3827" s="85">
        <v>2035</v>
      </c>
      <c r="C3827" s="85">
        <v>6</v>
      </c>
      <c r="D3827" s="85" t="s">
        <v>68</v>
      </c>
      <c r="E3827" s="85">
        <v>18</v>
      </c>
      <c r="F3827" s="85">
        <v>1</v>
      </c>
      <c r="G3827" s="85">
        <f>--(F3827&lt;=Estimator!$B$7)</f>
        <v>1</v>
      </c>
      <c r="H3827" s="86">
        <f>SUMIFS('Climate Data'!$G$7:$G$366,'Climate Data'!$A$7:$A$366,Estimator!$B$4,'Climate Data'!$B$7:$B$366,C3827)</f>
        <v>0.28666666666666668</v>
      </c>
      <c r="I3827" s="87">
        <f>SUMIFS('Climate Data'!$H$7:$H$366,'Climate Data'!$A$7:$A$366,Estimator!$B$4,'Climate Data'!$B$7:$B$366,C3827)</f>
        <v>7.941860465116279</v>
      </c>
      <c r="J3827" s="86">
        <f>SUMIFS('Wind Proxy'!$H$8:$H$19,'Wind Proxy'!$A$8:$A$19,Estimator!$B$4,'Wind Proxy'!$B$8:$B$19,C3827)</f>
        <v>0</v>
      </c>
    </row>
    <row r="3828" spans="1:10" ht="14.4">
      <c r="A3828" s="84">
        <v>49479</v>
      </c>
      <c r="B3828" s="85">
        <v>2035</v>
      </c>
      <c r="C3828" s="85">
        <v>6</v>
      </c>
      <c r="D3828" s="85" t="s">
        <v>68</v>
      </c>
      <c r="E3828" s="85">
        <v>19</v>
      </c>
      <c r="F3828" s="85">
        <v>2</v>
      </c>
      <c r="G3828" s="85">
        <f>--(F3828&lt;=Estimator!$B$7)</f>
        <v>1</v>
      </c>
      <c r="H3828" s="86">
        <f>SUMIFS('Climate Data'!$G$7:$G$366,'Climate Data'!$A$7:$A$366,Estimator!$B$4,'Climate Data'!$B$7:$B$366,C3828)</f>
        <v>0.28666666666666668</v>
      </c>
      <c r="I3828" s="87">
        <f>SUMIFS('Climate Data'!$H$7:$H$366,'Climate Data'!$A$7:$A$366,Estimator!$B$4,'Climate Data'!$B$7:$B$366,C3828)</f>
        <v>7.941860465116279</v>
      </c>
      <c r="J3828" s="86">
        <f>SUMIFS('Wind Proxy'!$H$8:$H$19,'Wind Proxy'!$A$8:$A$19,Estimator!$B$4,'Wind Proxy'!$B$8:$B$19,C3828)</f>
        <v>0</v>
      </c>
    </row>
    <row r="3829" spans="1:10" ht="14.4">
      <c r="A3829" s="84">
        <v>49480</v>
      </c>
      <c r="B3829" s="85">
        <v>2035</v>
      </c>
      <c r="C3829" s="85">
        <v>6</v>
      </c>
      <c r="D3829" s="85" t="s">
        <v>68</v>
      </c>
      <c r="E3829" s="85">
        <v>20</v>
      </c>
      <c r="F3829" s="85">
        <v>3</v>
      </c>
      <c r="G3829" s="85">
        <f>--(F3829&lt;=Estimator!$B$7)</f>
        <v>1</v>
      </c>
      <c r="H3829" s="86">
        <f>SUMIFS('Climate Data'!$G$7:$G$366,'Climate Data'!$A$7:$A$366,Estimator!$B$4,'Climate Data'!$B$7:$B$366,C3829)</f>
        <v>0.28666666666666668</v>
      </c>
      <c r="I3829" s="87">
        <f>SUMIFS('Climate Data'!$H$7:$H$366,'Climate Data'!$A$7:$A$366,Estimator!$B$4,'Climate Data'!$B$7:$B$366,C3829)</f>
        <v>7.941860465116279</v>
      </c>
      <c r="J3829" s="86">
        <f>SUMIFS('Wind Proxy'!$H$8:$H$19,'Wind Proxy'!$A$8:$A$19,Estimator!$B$4,'Wind Proxy'!$B$8:$B$19,C3829)</f>
        <v>0</v>
      </c>
    </row>
    <row r="3830" spans="1:10" ht="14.4">
      <c r="A3830" s="84">
        <v>49481</v>
      </c>
      <c r="B3830" s="85">
        <v>2035</v>
      </c>
      <c r="C3830" s="85">
        <v>6</v>
      </c>
      <c r="D3830" s="85" t="s">
        <v>68</v>
      </c>
      <c r="E3830" s="85">
        <v>21</v>
      </c>
      <c r="F3830" s="85">
        <v>4</v>
      </c>
      <c r="G3830" s="85">
        <f>--(F3830&lt;=Estimator!$B$7)</f>
        <v>1</v>
      </c>
      <c r="H3830" s="86">
        <f>SUMIFS('Climate Data'!$G$7:$G$366,'Climate Data'!$A$7:$A$366,Estimator!$B$4,'Climate Data'!$B$7:$B$366,C3830)</f>
        <v>0.28666666666666668</v>
      </c>
      <c r="I3830" s="87">
        <f>SUMIFS('Climate Data'!$H$7:$H$366,'Climate Data'!$A$7:$A$366,Estimator!$B$4,'Climate Data'!$B$7:$B$366,C3830)</f>
        <v>7.941860465116279</v>
      </c>
      <c r="J3830" s="86">
        <f>SUMIFS('Wind Proxy'!$H$8:$H$19,'Wind Proxy'!$A$8:$A$19,Estimator!$B$4,'Wind Proxy'!$B$8:$B$19,C3830)</f>
        <v>0</v>
      </c>
    </row>
    <row r="3831" spans="1:10" ht="14.4">
      <c r="A3831" s="84">
        <v>49482</v>
      </c>
      <c r="B3831" s="85">
        <v>2035</v>
      </c>
      <c r="C3831" s="85">
        <v>6</v>
      </c>
      <c r="D3831" s="85" t="s">
        <v>68</v>
      </c>
      <c r="E3831" s="85">
        <v>22</v>
      </c>
      <c r="F3831" s="85">
        <v>5</v>
      </c>
      <c r="G3831" s="85">
        <f>--(F3831&lt;=Estimator!$B$7)</f>
        <v>1</v>
      </c>
      <c r="H3831" s="86">
        <f>SUMIFS('Climate Data'!$G$7:$G$366,'Climate Data'!$A$7:$A$366,Estimator!$B$4,'Climate Data'!$B$7:$B$366,C3831)</f>
        <v>0.28666666666666668</v>
      </c>
      <c r="I3831" s="87">
        <f>SUMIFS('Climate Data'!$H$7:$H$366,'Climate Data'!$A$7:$A$366,Estimator!$B$4,'Climate Data'!$B$7:$B$366,C3831)</f>
        <v>7.941860465116279</v>
      </c>
      <c r="J3831" s="86">
        <f>SUMIFS('Wind Proxy'!$H$8:$H$19,'Wind Proxy'!$A$8:$A$19,Estimator!$B$4,'Wind Proxy'!$B$8:$B$19,C3831)</f>
        <v>0</v>
      </c>
    </row>
    <row r="3832" spans="1:10" ht="14.4">
      <c r="A3832" s="84">
        <v>49483</v>
      </c>
      <c r="B3832" s="85">
        <v>2035</v>
      </c>
      <c r="C3832" s="85">
        <v>6</v>
      </c>
      <c r="D3832" s="85" t="s">
        <v>68</v>
      </c>
      <c r="E3832" s="85">
        <v>23</v>
      </c>
      <c r="F3832" s="85">
        <v>6</v>
      </c>
      <c r="G3832" s="85">
        <f>--(F3832&lt;=Estimator!$B$7)</f>
        <v>0</v>
      </c>
      <c r="H3832" s="86">
        <f>SUMIFS('Climate Data'!$G$7:$G$366,'Climate Data'!$A$7:$A$366,Estimator!$B$4,'Climate Data'!$B$7:$B$366,C3832)</f>
        <v>0.28666666666666668</v>
      </c>
      <c r="I3832" s="87">
        <f>SUMIFS('Climate Data'!$H$7:$H$366,'Climate Data'!$A$7:$A$366,Estimator!$B$4,'Climate Data'!$B$7:$B$366,C3832)</f>
        <v>7.941860465116279</v>
      </c>
      <c r="J3832" s="86">
        <f>SUMIFS('Wind Proxy'!$H$8:$H$19,'Wind Proxy'!$A$8:$A$19,Estimator!$B$4,'Wind Proxy'!$B$8:$B$19,C3832)</f>
        <v>0</v>
      </c>
    </row>
    <row r="3833" spans="1:10" ht="14.4">
      <c r="A3833" s="84">
        <v>49484</v>
      </c>
      <c r="B3833" s="85">
        <v>2035</v>
      </c>
      <c r="C3833" s="85">
        <v>6</v>
      </c>
      <c r="D3833" s="85" t="s">
        <v>68</v>
      </c>
      <c r="E3833" s="85">
        <v>24</v>
      </c>
      <c r="F3833" s="85">
        <v>7</v>
      </c>
      <c r="G3833" s="85">
        <f>--(F3833&lt;=Estimator!$B$7)</f>
        <v>0</v>
      </c>
      <c r="H3833" s="86">
        <f>SUMIFS('Climate Data'!$G$7:$G$366,'Climate Data'!$A$7:$A$366,Estimator!$B$4,'Climate Data'!$B$7:$B$366,C3833)</f>
        <v>0.28666666666666668</v>
      </c>
      <c r="I3833" s="87">
        <f>SUMIFS('Climate Data'!$H$7:$H$366,'Climate Data'!$A$7:$A$366,Estimator!$B$4,'Climate Data'!$B$7:$B$366,C3833)</f>
        <v>7.941860465116279</v>
      </c>
      <c r="J3833" s="86">
        <f>SUMIFS('Wind Proxy'!$H$8:$H$19,'Wind Proxy'!$A$8:$A$19,Estimator!$B$4,'Wind Proxy'!$B$8:$B$19,C3833)</f>
        <v>0</v>
      </c>
    </row>
    <row r="3834" spans="1:10" ht="14.4">
      <c r="A3834" s="84">
        <v>49485</v>
      </c>
      <c r="B3834" s="85">
        <v>2035</v>
      </c>
      <c r="C3834" s="85">
        <v>6</v>
      </c>
      <c r="D3834" s="85" t="s">
        <v>68</v>
      </c>
      <c r="E3834" s="85">
        <v>25</v>
      </c>
      <c r="F3834" s="85">
        <v>1</v>
      </c>
      <c r="G3834" s="85">
        <f>--(F3834&lt;=Estimator!$B$7)</f>
        <v>1</v>
      </c>
      <c r="H3834" s="86">
        <f>SUMIFS('Climate Data'!$G$7:$G$366,'Climate Data'!$A$7:$A$366,Estimator!$B$4,'Climate Data'!$B$7:$B$366,C3834)</f>
        <v>0.28666666666666668</v>
      </c>
      <c r="I3834" s="87">
        <f>SUMIFS('Climate Data'!$H$7:$H$366,'Climate Data'!$A$7:$A$366,Estimator!$B$4,'Climate Data'!$B$7:$B$366,C3834)</f>
        <v>7.941860465116279</v>
      </c>
      <c r="J3834" s="86">
        <f>SUMIFS('Wind Proxy'!$H$8:$H$19,'Wind Proxy'!$A$8:$A$19,Estimator!$B$4,'Wind Proxy'!$B$8:$B$19,C3834)</f>
        <v>0</v>
      </c>
    </row>
    <row r="3835" spans="1:10" ht="14.4">
      <c r="A3835" s="84">
        <v>49486</v>
      </c>
      <c r="B3835" s="85">
        <v>2035</v>
      </c>
      <c r="C3835" s="85">
        <v>6</v>
      </c>
      <c r="D3835" s="85" t="s">
        <v>68</v>
      </c>
      <c r="E3835" s="85">
        <v>26</v>
      </c>
      <c r="F3835" s="85">
        <v>2</v>
      </c>
      <c r="G3835" s="85">
        <f>--(F3835&lt;=Estimator!$B$7)</f>
        <v>1</v>
      </c>
      <c r="H3835" s="86">
        <f>SUMIFS('Climate Data'!$G$7:$G$366,'Climate Data'!$A$7:$A$366,Estimator!$B$4,'Climate Data'!$B$7:$B$366,C3835)</f>
        <v>0.28666666666666668</v>
      </c>
      <c r="I3835" s="87">
        <f>SUMIFS('Climate Data'!$H$7:$H$366,'Climate Data'!$A$7:$A$366,Estimator!$B$4,'Climate Data'!$B$7:$B$366,C3835)</f>
        <v>7.941860465116279</v>
      </c>
      <c r="J3835" s="86">
        <f>SUMIFS('Wind Proxy'!$H$8:$H$19,'Wind Proxy'!$A$8:$A$19,Estimator!$B$4,'Wind Proxy'!$B$8:$B$19,C3835)</f>
        <v>0</v>
      </c>
    </row>
    <row r="3836" spans="1:10" ht="14.4">
      <c r="A3836" s="84">
        <v>49487</v>
      </c>
      <c r="B3836" s="85">
        <v>2035</v>
      </c>
      <c r="C3836" s="85">
        <v>6</v>
      </c>
      <c r="D3836" s="85" t="s">
        <v>68</v>
      </c>
      <c r="E3836" s="85">
        <v>27</v>
      </c>
      <c r="F3836" s="85">
        <v>3</v>
      </c>
      <c r="G3836" s="85">
        <f>--(F3836&lt;=Estimator!$B$7)</f>
        <v>1</v>
      </c>
      <c r="H3836" s="86">
        <f>SUMIFS('Climate Data'!$G$7:$G$366,'Climate Data'!$A$7:$A$366,Estimator!$B$4,'Climate Data'!$B$7:$B$366,C3836)</f>
        <v>0.28666666666666668</v>
      </c>
      <c r="I3836" s="87">
        <f>SUMIFS('Climate Data'!$H$7:$H$366,'Climate Data'!$A$7:$A$366,Estimator!$B$4,'Climate Data'!$B$7:$B$366,C3836)</f>
        <v>7.941860465116279</v>
      </c>
      <c r="J3836" s="86">
        <f>SUMIFS('Wind Proxy'!$H$8:$H$19,'Wind Proxy'!$A$8:$A$19,Estimator!$B$4,'Wind Proxy'!$B$8:$B$19,C3836)</f>
        <v>0</v>
      </c>
    </row>
    <row r="3837" spans="1:10" ht="14.4">
      <c r="A3837" s="84">
        <v>49488</v>
      </c>
      <c r="B3837" s="85">
        <v>2035</v>
      </c>
      <c r="C3837" s="85">
        <v>6</v>
      </c>
      <c r="D3837" s="85" t="s">
        <v>68</v>
      </c>
      <c r="E3837" s="85">
        <v>28</v>
      </c>
      <c r="F3837" s="85">
        <v>4</v>
      </c>
      <c r="G3837" s="85">
        <f>--(F3837&lt;=Estimator!$B$7)</f>
        <v>1</v>
      </c>
      <c r="H3837" s="86">
        <f>SUMIFS('Climate Data'!$G$7:$G$366,'Climate Data'!$A$7:$A$366,Estimator!$B$4,'Climate Data'!$B$7:$B$366,C3837)</f>
        <v>0.28666666666666668</v>
      </c>
      <c r="I3837" s="87">
        <f>SUMIFS('Climate Data'!$H$7:$H$366,'Climate Data'!$A$7:$A$366,Estimator!$B$4,'Climate Data'!$B$7:$B$366,C3837)</f>
        <v>7.941860465116279</v>
      </c>
      <c r="J3837" s="86">
        <f>SUMIFS('Wind Proxy'!$H$8:$H$19,'Wind Proxy'!$A$8:$A$19,Estimator!$B$4,'Wind Proxy'!$B$8:$B$19,C3837)</f>
        <v>0</v>
      </c>
    </row>
    <row r="3838" spans="1:10" ht="14.4">
      <c r="A3838" s="84">
        <v>49489</v>
      </c>
      <c r="B3838" s="85">
        <v>2035</v>
      </c>
      <c r="C3838" s="85">
        <v>6</v>
      </c>
      <c r="D3838" s="85" t="s">
        <v>68</v>
      </c>
      <c r="E3838" s="85">
        <v>29</v>
      </c>
      <c r="F3838" s="85">
        <v>5</v>
      </c>
      <c r="G3838" s="85">
        <f>--(F3838&lt;=Estimator!$B$7)</f>
        <v>1</v>
      </c>
      <c r="H3838" s="86">
        <f>SUMIFS('Climate Data'!$G$7:$G$366,'Climate Data'!$A$7:$A$366,Estimator!$B$4,'Climate Data'!$B$7:$B$366,C3838)</f>
        <v>0.28666666666666668</v>
      </c>
      <c r="I3838" s="87">
        <f>SUMIFS('Climate Data'!$H$7:$H$366,'Climate Data'!$A$7:$A$366,Estimator!$B$4,'Climate Data'!$B$7:$B$366,C3838)</f>
        <v>7.941860465116279</v>
      </c>
      <c r="J3838" s="86">
        <f>SUMIFS('Wind Proxy'!$H$8:$H$19,'Wind Proxy'!$A$8:$A$19,Estimator!$B$4,'Wind Proxy'!$B$8:$B$19,C3838)</f>
        <v>0</v>
      </c>
    </row>
    <row r="3839" spans="1:10" ht="14.4">
      <c r="A3839" s="84">
        <v>49490</v>
      </c>
      <c r="B3839" s="85">
        <v>2035</v>
      </c>
      <c r="C3839" s="85">
        <v>6</v>
      </c>
      <c r="D3839" s="85" t="s">
        <v>68</v>
      </c>
      <c r="E3839" s="85">
        <v>30</v>
      </c>
      <c r="F3839" s="85">
        <v>6</v>
      </c>
      <c r="G3839" s="85">
        <f>--(F3839&lt;=Estimator!$B$7)</f>
        <v>0</v>
      </c>
      <c r="H3839" s="86">
        <f>SUMIFS('Climate Data'!$G$7:$G$366,'Climate Data'!$A$7:$A$366,Estimator!$B$4,'Climate Data'!$B$7:$B$366,C3839)</f>
        <v>0.28666666666666668</v>
      </c>
      <c r="I3839" s="87">
        <f>SUMIFS('Climate Data'!$H$7:$H$366,'Climate Data'!$A$7:$A$366,Estimator!$B$4,'Climate Data'!$B$7:$B$366,C3839)</f>
        <v>7.941860465116279</v>
      </c>
      <c r="J3839" s="86">
        <f>SUMIFS('Wind Proxy'!$H$8:$H$19,'Wind Proxy'!$A$8:$A$19,Estimator!$B$4,'Wind Proxy'!$B$8:$B$19,C3839)</f>
        <v>0</v>
      </c>
    </row>
    <row r="3840" spans="1:10" ht="14.4">
      <c r="A3840" s="84">
        <v>49491</v>
      </c>
      <c r="B3840" s="85">
        <v>2035</v>
      </c>
      <c r="C3840" s="85">
        <v>7</v>
      </c>
      <c r="D3840" s="85" t="s">
        <v>69</v>
      </c>
      <c r="E3840" s="85">
        <v>1</v>
      </c>
      <c r="F3840" s="85">
        <v>7</v>
      </c>
      <c r="G3840" s="85">
        <f>--(F3840&lt;=Estimator!$B$7)</f>
        <v>0</v>
      </c>
      <c r="H3840" s="86">
        <f>SUMIFS('Climate Data'!$G$7:$G$366,'Climate Data'!$A$7:$A$366,Estimator!$B$4,'Climate Data'!$B$7:$B$366,C3840)</f>
        <v>0.24731182795698925</v>
      </c>
      <c r="I3840" s="87">
        <f>SUMIFS('Climate Data'!$H$7:$H$366,'Climate Data'!$A$7:$A$366,Estimator!$B$4,'Climate Data'!$B$7:$B$366,C3840)</f>
        <v>8.3739130434782609</v>
      </c>
      <c r="J3840" s="86">
        <f>SUMIFS('Wind Proxy'!$H$8:$H$19,'Wind Proxy'!$A$8:$A$19,Estimator!$B$4,'Wind Proxy'!$B$8:$B$19,C3840)</f>
        <v>0</v>
      </c>
    </row>
    <row r="3841" spans="1:10" ht="14.4">
      <c r="A3841" s="84">
        <v>49492</v>
      </c>
      <c r="B3841" s="85">
        <v>2035</v>
      </c>
      <c r="C3841" s="85">
        <v>7</v>
      </c>
      <c r="D3841" s="85" t="s">
        <v>69</v>
      </c>
      <c r="E3841" s="85">
        <v>2</v>
      </c>
      <c r="F3841" s="85">
        <v>1</v>
      </c>
      <c r="G3841" s="85">
        <f>--(F3841&lt;=Estimator!$B$7)</f>
        <v>1</v>
      </c>
      <c r="H3841" s="86">
        <f>SUMIFS('Climate Data'!$G$7:$G$366,'Climate Data'!$A$7:$A$366,Estimator!$B$4,'Climate Data'!$B$7:$B$366,C3841)</f>
        <v>0.24731182795698925</v>
      </c>
      <c r="I3841" s="87">
        <f>SUMIFS('Climate Data'!$H$7:$H$366,'Climate Data'!$A$7:$A$366,Estimator!$B$4,'Climate Data'!$B$7:$B$366,C3841)</f>
        <v>8.3739130434782609</v>
      </c>
      <c r="J3841" s="86">
        <f>SUMIFS('Wind Proxy'!$H$8:$H$19,'Wind Proxy'!$A$8:$A$19,Estimator!$B$4,'Wind Proxy'!$B$8:$B$19,C3841)</f>
        <v>0</v>
      </c>
    </row>
    <row r="3842" spans="1:10" ht="14.4">
      <c r="A3842" s="84">
        <v>49493</v>
      </c>
      <c r="B3842" s="85">
        <v>2035</v>
      </c>
      <c r="C3842" s="85">
        <v>7</v>
      </c>
      <c r="D3842" s="85" t="s">
        <v>69</v>
      </c>
      <c r="E3842" s="85">
        <v>3</v>
      </c>
      <c r="F3842" s="85">
        <v>2</v>
      </c>
      <c r="G3842" s="85">
        <f>--(F3842&lt;=Estimator!$B$7)</f>
        <v>1</v>
      </c>
      <c r="H3842" s="86">
        <f>SUMIFS('Climate Data'!$G$7:$G$366,'Climate Data'!$A$7:$A$366,Estimator!$B$4,'Climate Data'!$B$7:$B$366,C3842)</f>
        <v>0.24731182795698925</v>
      </c>
      <c r="I3842" s="87">
        <f>SUMIFS('Climate Data'!$H$7:$H$366,'Climate Data'!$A$7:$A$366,Estimator!$B$4,'Climate Data'!$B$7:$B$366,C3842)</f>
        <v>8.3739130434782609</v>
      </c>
      <c r="J3842" s="86">
        <f>SUMIFS('Wind Proxy'!$H$8:$H$19,'Wind Proxy'!$A$8:$A$19,Estimator!$B$4,'Wind Proxy'!$B$8:$B$19,C3842)</f>
        <v>0</v>
      </c>
    </row>
    <row r="3843" spans="1:10" ht="14.4">
      <c r="A3843" s="84">
        <v>49494</v>
      </c>
      <c r="B3843" s="85">
        <v>2035</v>
      </c>
      <c r="C3843" s="85">
        <v>7</v>
      </c>
      <c r="D3843" s="85" t="s">
        <v>69</v>
      </c>
      <c r="E3843" s="85">
        <v>4</v>
      </c>
      <c r="F3843" s="85">
        <v>3</v>
      </c>
      <c r="G3843" s="85">
        <f>--(F3843&lt;=Estimator!$B$7)</f>
        <v>1</v>
      </c>
      <c r="H3843" s="86">
        <f>SUMIFS('Climate Data'!$G$7:$G$366,'Climate Data'!$A$7:$A$366,Estimator!$B$4,'Climate Data'!$B$7:$B$366,C3843)</f>
        <v>0.24731182795698925</v>
      </c>
      <c r="I3843" s="87">
        <f>SUMIFS('Climate Data'!$H$7:$H$366,'Climate Data'!$A$7:$A$366,Estimator!$B$4,'Climate Data'!$B$7:$B$366,C3843)</f>
        <v>8.3739130434782609</v>
      </c>
      <c r="J3843" s="86">
        <f>SUMIFS('Wind Proxy'!$H$8:$H$19,'Wind Proxy'!$A$8:$A$19,Estimator!$B$4,'Wind Proxy'!$B$8:$B$19,C3843)</f>
        <v>0</v>
      </c>
    </row>
    <row r="3844" spans="1:10" ht="14.4">
      <c r="A3844" s="84">
        <v>49495</v>
      </c>
      <c r="B3844" s="85">
        <v>2035</v>
      </c>
      <c r="C3844" s="85">
        <v>7</v>
      </c>
      <c r="D3844" s="85" t="s">
        <v>69</v>
      </c>
      <c r="E3844" s="85">
        <v>5</v>
      </c>
      <c r="F3844" s="85">
        <v>4</v>
      </c>
      <c r="G3844" s="85">
        <f>--(F3844&lt;=Estimator!$B$7)</f>
        <v>1</v>
      </c>
      <c r="H3844" s="86">
        <f>SUMIFS('Climate Data'!$G$7:$G$366,'Climate Data'!$A$7:$A$366,Estimator!$B$4,'Climate Data'!$B$7:$B$366,C3844)</f>
        <v>0.24731182795698925</v>
      </c>
      <c r="I3844" s="87">
        <f>SUMIFS('Climate Data'!$H$7:$H$366,'Climate Data'!$A$7:$A$366,Estimator!$B$4,'Climate Data'!$B$7:$B$366,C3844)</f>
        <v>8.3739130434782609</v>
      </c>
      <c r="J3844" s="86">
        <f>SUMIFS('Wind Proxy'!$H$8:$H$19,'Wind Proxy'!$A$8:$A$19,Estimator!$B$4,'Wind Proxy'!$B$8:$B$19,C3844)</f>
        <v>0</v>
      </c>
    </row>
    <row r="3845" spans="1:10" ht="14.4">
      <c r="A3845" s="84">
        <v>49496</v>
      </c>
      <c r="B3845" s="85">
        <v>2035</v>
      </c>
      <c r="C3845" s="85">
        <v>7</v>
      </c>
      <c r="D3845" s="85" t="s">
        <v>69</v>
      </c>
      <c r="E3845" s="85">
        <v>6</v>
      </c>
      <c r="F3845" s="85">
        <v>5</v>
      </c>
      <c r="G3845" s="85">
        <f>--(F3845&lt;=Estimator!$B$7)</f>
        <v>1</v>
      </c>
      <c r="H3845" s="86">
        <f>SUMIFS('Climate Data'!$G$7:$G$366,'Climate Data'!$A$7:$A$366,Estimator!$B$4,'Climate Data'!$B$7:$B$366,C3845)</f>
        <v>0.24731182795698925</v>
      </c>
      <c r="I3845" s="87">
        <f>SUMIFS('Climate Data'!$H$7:$H$366,'Climate Data'!$A$7:$A$366,Estimator!$B$4,'Climate Data'!$B$7:$B$366,C3845)</f>
        <v>8.3739130434782609</v>
      </c>
      <c r="J3845" s="86">
        <f>SUMIFS('Wind Proxy'!$H$8:$H$19,'Wind Proxy'!$A$8:$A$19,Estimator!$B$4,'Wind Proxy'!$B$8:$B$19,C3845)</f>
        <v>0</v>
      </c>
    </row>
    <row r="3846" spans="1:10" ht="14.4">
      <c r="A3846" s="84">
        <v>49497</v>
      </c>
      <c r="B3846" s="85">
        <v>2035</v>
      </c>
      <c r="C3846" s="85">
        <v>7</v>
      </c>
      <c r="D3846" s="85" t="s">
        <v>69</v>
      </c>
      <c r="E3846" s="85">
        <v>7</v>
      </c>
      <c r="F3846" s="85">
        <v>6</v>
      </c>
      <c r="G3846" s="85">
        <f>--(F3846&lt;=Estimator!$B$7)</f>
        <v>0</v>
      </c>
      <c r="H3846" s="86">
        <f>SUMIFS('Climate Data'!$G$7:$G$366,'Climate Data'!$A$7:$A$366,Estimator!$B$4,'Climate Data'!$B$7:$B$366,C3846)</f>
        <v>0.24731182795698925</v>
      </c>
      <c r="I3846" s="87">
        <f>SUMIFS('Climate Data'!$H$7:$H$366,'Climate Data'!$A$7:$A$366,Estimator!$B$4,'Climate Data'!$B$7:$B$366,C3846)</f>
        <v>8.3739130434782609</v>
      </c>
      <c r="J3846" s="86">
        <f>SUMIFS('Wind Proxy'!$H$8:$H$19,'Wind Proxy'!$A$8:$A$19,Estimator!$B$4,'Wind Proxy'!$B$8:$B$19,C3846)</f>
        <v>0</v>
      </c>
    </row>
    <row r="3847" spans="1:10" ht="14.4">
      <c r="A3847" s="84">
        <v>49498</v>
      </c>
      <c r="B3847" s="85">
        <v>2035</v>
      </c>
      <c r="C3847" s="85">
        <v>7</v>
      </c>
      <c r="D3847" s="85" t="s">
        <v>69</v>
      </c>
      <c r="E3847" s="85">
        <v>8</v>
      </c>
      <c r="F3847" s="85">
        <v>7</v>
      </c>
      <c r="G3847" s="85">
        <f>--(F3847&lt;=Estimator!$B$7)</f>
        <v>0</v>
      </c>
      <c r="H3847" s="86">
        <f>SUMIFS('Climate Data'!$G$7:$G$366,'Climate Data'!$A$7:$A$366,Estimator!$B$4,'Climate Data'!$B$7:$B$366,C3847)</f>
        <v>0.24731182795698925</v>
      </c>
      <c r="I3847" s="87">
        <f>SUMIFS('Climate Data'!$H$7:$H$366,'Climate Data'!$A$7:$A$366,Estimator!$B$4,'Climate Data'!$B$7:$B$366,C3847)</f>
        <v>8.3739130434782609</v>
      </c>
      <c r="J3847" s="86">
        <f>SUMIFS('Wind Proxy'!$H$8:$H$19,'Wind Proxy'!$A$8:$A$19,Estimator!$B$4,'Wind Proxy'!$B$8:$B$19,C3847)</f>
        <v>0</v>
      </c>
    </row>
    <row r="3848" spans="1:10" ht="14.4">
      <c r="A3848" s="84">
        <v>49499</v>
      </c>
      <c r="B3848" s="85">
        <v>2035</v>
      </c>
      <c r="C3848" s="85">
        <v>7</v>
      </c>
      <c r="D3848" s="85" t="s">
        <v>69</v>
      </c>
      <c r="E3848" s="85">
        <v>9</v>
      </c>
      <c r="F3848" s="85">
        <v>1</v>
      </c>
      <c r="G3848" s="85">
        <f>--(F3848&lt;=Estimator!$B$7)</f>
        <v>1</v>
      </c>
      <c r="H3848" s="86">
        <f>SUMIFS('Climate Data'!$G$7:$G$366,'Climate Data'!$A$7:$A$366,Estimator!$B$4,'Climate Data'!$B$7:$B$366,C3848)</f>
        <v>0.24731182795698925</v>
      </c>
      <c r="I3848" s="87">
        <f>SUMIFS('Climate Data'!$H$7:$H$366,'Climate Data'!$A$7:$A$366,Estimator!$B$4,'Climate Data'!$B$7:$B$366,C3848)</f>
        <v>8.3739130434782609</v>
      </c>
      <c r="J3848" s="86">
        <f>SUMIFS('Wind Proxy'!$H$8:$H$19,'Wind Proxy'!$A$8:$A$19,Estimator!$B$4,'Wind Proxy'!$B$8:$B$19,C3848)</f>
        <v>0</v>
      </c>
    </row>
    <row r="3849" spans="1:10" ht="14.4">
      <c r="A3849" s="84">
        <v>49500</v>
      </c>
      <c r="B3849" s="85">
        <v>2035</v>
      </c>
      <c r="C3849" s="85">
        <v>7</v>
      </c>
      <c r="D3849" s="85" t="s">
        <v>69</v>
      </c>
      <c r="E3849" s="85">
        <v>10</v>
      </c>
      <c r="F3849" s="85">
        <v>2</v>
      </c>
      <c r="G3849" s="85">
        <f>--(F3849&lt;=Estimator!$B$7)</f>
        <v>1</v>
      </c>
      <c r="H3849" s="86">
        <f>SUMIFS('Climate Data'!$G$7:$G$366,'Climate Data'!$A$7:$A$366,Estimator!$B$4,'Climate Data'!$B$7:$B$366,C3849)</f>
        <v>0.24731182795698925</v>
      </c>
      <c r="I3849" s="87">
        <f>SUMIFS('Climate Data'!$H$7:$H$366,'Climate Data'!$A$7:$A$366,Estimator!$B$4,'Climate Data'!$B$7:$B$366,C3849)</f>
        <v>8.3739130434782609</v>
      </c>
      <c r="J3849" s="86">
        <f>SUMIFS('Wind Proxy'!$H$8:$H$19,'Wind Proxy'!$A$8:$A$19,Estimator!$B$4,'Wind Proxy'!$B$8:$B$19,C3849)</f>
        <v>0</v>
      </c>
    </row>
    <row r="3850" spans="1:10" ht="14.4">
      <c r="A3850" s="84">
        <v>49501</v>
      </c>
      <c r="B3850" s="85">
        <v>2035</v>
      </c>
      <c r="C3850" s="85">
        <v>7</v>
      </c>
      <c r="D3850" s="85" t="s">
        <v>69</v>
      </c>
      <c r="E3850" s="85">
        <v>11</v>
      </c>
      <c r="F3850" s="85">
        <v>3</v>
      </c>
      <c r="G3850" s="85">
        <f>--(F3850&lt;=Estimator!$B$7)</f>
        <v>1</v>
      </c>
      <c r="H3850" s="86">
        <f>SUMIFS('Climate Data'!$G$7:$G$366,'Climate Data'!$A$7:$A$366,Estimator!$B$4,'Climate Data'!$B$7:$B$366,C3850)</f>
        <v>0.24731182795698925</v>
      </c>
      <c r="I3850" s="87">
        <f>SUMIFS('Climate Data'!$H$7:$H$366,'Climate Data'!$A$7:$A$366,Estimator!$B$4,'Climate Data'!$B$7:$B$366,C3850)</f>
        <v>8.3739130434782609</v>
      </c>
      <c r="J3850" s="86">
        <f>SUMIFS('Wind Proxy'!$H$8:$H$19,'Wind Proxy'!$A$8:$A$19,Estimator!$B$4,'Wind Proxy'!$B$8:$B$19,C3850)</f>
        <v>0</v>
      </c>
    </row>
    <row r="3851" spans="1:10" ht="14.4">
      <c r="A3851" s="84">
        <v>49502</v>
      </c>
      <c r="B3851" s="85">
        <v>2035</v>
      </c>
      <c r="C3851" s="85">
        <v>7</v>
      </c>
      <c r="D3851" s="85" t="s">
        <v>69</v>
      </c>
      <c r="E3851" s="85">
        <v>12</v>
      </c>
      <c r="F3851" s="85">
        <v>4</v>
      </c>
      <c r="G3851" s="85">
        <f>--(F3851&lt;=Estimator!$B$7)</f>
        <v>1</v>
      </c>
      <c r="H3851" s="86">
        <f>SUMIFS('Climate Data'!$G$7:$G$366,'Climate Data'!$A$7:$A$366,Estimator!$B$4,'Climate Data'!$B$7:$B$366,C3851)</f>
        <v>0.24731182795698925</v>
      </c>
      <c r="I3851" s="87">
        <f>SUMIFS('Climate Data'!$H$7:$H$366,'Climate Data'!$A$7:$A$366,Estimator!$B$4,'Climate Data'!$B$7:$B$366,C3851)</f>
        <v>8.3739130434782609</v>
      </c>
      <c r="J3851" s="86">
        <f>SUMIFS('Wind Proxy'!$H$8:$H$19,'Wind Proxy'!$A$8:$A$19,Estimator!$B$4,'Wind Proxy'!$B$8:$B$19,C3851)</f>
        <v>0</v>
      </c>
    </row>
    <row r="3852" spans="1:10" ht="14.4">
      <c r="A3852" s="84">
        <v>49503</v>
      </c>
      <c r="B3852" s="85">
        <v>2035</v>
      </c>
      <c r="C3852" s="85">
        <v>7</v>
      </c>
      <c r="D3852" s="85" t="s">
        <v>69</v>
      </c>
      <c r="E3852" s="85">
        <v>13</v>
      </c>
      <c r="F3852" s="85">
        <v>5</v>
      </c>
      <c r="G3852" s="85">
        <f>--(F3852&lt;=Estimator!$B$7)</f>
        <v>1</v>
      </c>
      <c r="H3852" s="86">
        <f>SUMIFS('Climate Data'!$G$7:$G$366,'Climate Data'!$A$7:$A$366,Estimator!$B$4,'Climate Data'!$B$7:$B$366,C3852)</f>
        <v>0.24731182795698925</v>
      </c>
      <c r="I3852" s="87">
        <f>SUMIFS('Climate Data'!$H$7:$H$366,'Climate Data'!$A$7:$A$366,Estimator!$B$4,'Climate Data'!$B$7:$B$366,C3852)</f>
        <v>8.3739130434782609</v>
      </c>
      <c r="J3852" s="86">
        <f>SUMIFS('Wind Proxy'!$H$8:$H$19,'Wind Proxy'!$A$8:$A$19,Estimator!$B$4,'Wind Proxy'!$B$8:$B$19,C3852)</f>
        <v>0</v>
      </c>
    </row>
    <row r="3853" spans="1:10" ht="14.4">
      <c r="A3853" s="84">
        <v>49504</v>
      </c>
      <c r="B3853" s="85">
        <v>2035</v>
      </c>
      <c r="C3853" s="85">
        <v>7</v>
      </c>
      <c r="D3853" s="85" t="s">
        <v>69</v>
      </c>
      <c r="E3853" s="85">
        <v>14</v>
      </c>
      <c r="F3853" s="85">
        <v>6</v>
      </c>
      <c r="G3853" s="85">
        <f>--(F3853&lt;=Estimator!$B$7)</f>
        <v>0</v>
      </c>
      <c r="H3853" s="86">
        <f>SUMIFS('Climate Data'!$G$7:$G$366,'Climate Data'!$A$7:$A$366,Estimator!$B$4,'Climate Data'!$B$7:$B$366,C3853)</f>
        <v>0.24731182795698925</v>
      </c>
      <c r="I3853" s="87">
        <f>SUMIFS('Climate Data'!$H$7:$H$366,'Climate Data'!$A$7:$A$366,Estimator!$B$4,'Climate Data'!$B$7:$B$366,C3853)</f>
        <v>8.3739130434782609</v>
      </c>
      <c r="J3853" s="86">
        <f>SUMIFS('Wind Proxy'!$H$8:$H$19,'Wind Proxy'!$A$8:$A$19,Estimator!$B$4,'Wind Proxy'!$B$8:$B$19,C3853)</f>
        <v>0</v>
      </c>
    </row>
    <row r="3854" spans="1:10" ht="14.4">
      <c r="A3854" s="84">
        <v>49505</v>
      </c>
      <c r="B3854" s="85">
        <v>2035</v>
      </c>
      <c r="C3854" s="85">
        <v>7</v>
      </c>
      <c r="D3854" s="85" t="s">
        <v>69</v>
      </c>
      <c r="E3854" s="85">
        <v>15</v>
      </c>
      <c r="F3854" s="85">
        <v>7</v>
      </c>
      <c r="G3854" s="85">
        <f>--(F3854&lt;=Estimator!$B$7)</f>
        <v>0</v>
      </c>
      <c r="H3854" s="86">
        <f>SUMIFS('Climate Data'!$G$7:$G$366,'Climate Data'!$A$7:$A$366,Estimator!$B$4,'Climate Data'!$B$7:$B$366,C3854)</f>
        <v>0.24731182795698925</v>
      </c>
      <c r="I3854" s="87">
        <f>SUMIFS('Climate Data'!$H$7:$H$366,'Climate Data'!$A$7:$A$366,Estimator!$B$4,'Climate Data'!$B$7:$B$366,C3854)</f>
        <v>8.3739130434782609</v>
      </c>
      <c r="J3854" s="86">
        <f>SUMIFS('Wind Proxy'!$H$8:$H$19,'Wind Proxy'!$A$8:$A$19,Estimator!$B$4,'Wind Proxy'!$B$8:$B$19,C3854)</f>
        <v>0</v>
      </c>
    </row>
    <row r="3855" spans="1:10" ht="14.4">
      <c r="A3855" s="84">
        <v>49506</v>
      </c>
      <c r="B3855" s="85">
        <v>2035</v>
      </c>
      <c r="C3855" s="85">
        <v>7</v>
      </c>
      <c r="D3855" s="85" t="s">
        <v>69</v>
      </c>
      <c r="E3855" s="85">
        <v>16</v>
      </c>
      <c r="F3855" s="85">
        <v>1</v>
      </c>
      <c r="G3855" s="85">
        <f>--(F3855&lt;=Estimator!$B$7)</f>
        <v>1</v>
      </c>
      <c r="H3855" s="86">
        <f>SUMIFS('Climate Data'!$G$7:$G$366,'Climate Data'!$A$7:$A$366,Estimator!$B$4,'Climate Data'!$B$7:$B$366,C3855)</f>
        <v>0.24731182795698925</v>
      </c>
      <c r="I3855" s="87">
        <f>SUMIFS('Climate Data'!$H$7:$H$366,'Climate Data'!$A$7:$A$366,Estimator!$B$4,'Climate Data'!$B$7:$B$366,C3855)</f>
        <v>8.3739130434782609</v>
      </c>
      <c r="J3855" s="86">
        <f>SUMIFS('Wind Proxy'!$H$8:$H$19,'Wind Proxy'!$A$8:$A$19,Estimator!$B$4,'Wind Proxy'!$B$8:$B$19,C3855)</f>
        <v>0</v>
      </c>
    </row>
    <row r="3856" spans="1:10" ht="14.4">
      <c r="A3856" s="84">
        <v>49507</v>
      </c>
      <c r="B3856" s="85">
        <v>2035</v>
      </c>
      <c r="C3856" s="85">
        <v>7</v>
      </c>
      <c r="D3856" s="85" t="s">
        <v>69</v>
      </c>
      <c r="E3856" s="85">
        <v>17</v>
      </c>
      <c r="F3856" s="85">
        <v>2</v>
      </c>
      <c r="G3856" s="85">
        <f>--(F3856&lt;=Estimator!$B$7)</f>
        <v>1</v>
      </c>
      <c r="H3856" s="86">
        <f>SUMIFS('Climate Data'!$G$7:$G$366,'Climate Data'!$A$7:$A$366,Estimator!$B$4,'Climate Data'!$B$7:$B$366,C3856)</f>
        <v>0.24731182795698925</v>
      </c>
      <c r="I3856" s="87">
        <f>SUMIFS('Climate Data'!$H$7:$H$366,'Climate Data'!$A$7:$A$366,Estimator!$B$4,'Climate Data'!$B$7:$B$366,C3856)</f>
        <v>8.3739130434782609</v>
      </c>
      <c r="J3856" s="86">
        <f>SUMIFS('Wind Proxy'!$H$8:$H$19,'Wind Proxy'!$A$8:$A$19,Estimator!$B$4,'Wind Proxy'!$B$8:$B$19,C3856)</f>
        <v>0</v>
      </c>
    </row>
    <row r="3857" spans="1:10" ht="14.4">
      <c r="A3857" s="84">
        <v>49508</v>
      </c>
      <c r="B3857" s="85">
        <v>2035</v>
      </c>
      <c r="C3857" s="85">
        <v>7</v>
      </c>
      <c r="D3857" s="85" t="s">
        <v>69</v>
      </c>
      <c r="E3857" s="85">
        <v>18</v>
      </c>
      <c r="F3857" s="85">
        <v>3</v>
      </c>
      <c r="G3857" s="85">
        <f>--(F3857&lt;=Estimator!$B$7)</f>
        <v>1</v>
      </c>
      <c r="H3857" s="86">
        <f>SUMIFS('Climate Data'!$G$7:$G$366,'Climate Data'!$A$7:$A$366,Estimator!$B$4,'Climate Data'!$B$7:$B$366,C3857)</f>
        <v>0.24731182795698925</v>
      </c>
      <c r="I3857" s="87">
        <f>SUMIFS('Climate Data'!$H$7:$H$366,'Climate Data'!$A$7:$A$366,Estimator!$B$4,'Climate Data'!$B$7:$B$366,C3857)</f>
        <v>8.3739130434782609</v>
      </c>
      <c r="J3857" s="86">
        <f>SUMIFS('Wind Proxy'!$H$8:$H$19,'Wind Proxy'!$A$8:$A$19,Estimator!$B$4,'Wind Proxy'!$B$8:$B$19,C3857)</f>
        <v>0</v>
      </c>
    </row>
    <row r="3858" spans="1:10" ht="14.4">
      <c r="A3858" s="84">
        <v>49509</v>
      </c>
      <c r="B3858" s="85">
        <v>2035</v>
      </c>
      <c r="C3858" s="85">
        <v>7</v>
      </c>
      <c r="D3858" s="85" t="s">
        <v>69</v>
      </c>
      <c r="E3858" s="85">
        <v>19</v>
      </c>
      <c r="F3858" s="85">
        <v>4</v>
      </c>
      <c r="G3858" s="85">
        <f>--(F3858&lt;=Estimator!$B$7)</f>
        <v>1</v>
      </c>
      <c r="H3858" s="86">
        <f>SUMIFS('Climate Data'!$G$7:$G$366,'Climate Data'!$A$7:$A$366,Estimator!$B$4,'Climate Data'!$B$7:$B$366,C3858)</f>
        <v>0.24731182795698925</v>
      </c>
      <c r="I3858" s="87">
        <f>SUMIFS('Climate Data'!$H$7:$H$366,'Climate Data'!$A$7:$A$366,Estimator!$B$4,'Climate Data'!$B$7:$B$366,C3858)</f>
        <v>8.3739130434782609</v>
      </c>
      <c r="J3858" s="86">
        <f>SUMIFS('Wind Proxy'!$H$8:$H$19,'Wind Proxy'!$A$8:$A$19,Estimator!$B$4,'Wind Proxy'!$B$8:$B$19,C3858)</f>
        <v>0</v>
      </c>
    </row>
    <row r="3859" spans="1:10" ht="14.4">
      <c r="A3859" s="84">
        <v>49510</v>
      </c>
      <c r="B3859" s="85">
        <v>2035</v>
      </c>
      <c r="C3859" s="85">
        <v>7</v>
      </c>
      <c r="D3859" s="85" t="s">
        <v>69</v>
      </c>
      <c r="E3859" s="85">
        <v>20</v>
      </c>
      <c r="F3859" s="85">
        <v>5</v>
      </c>
      <c r="G3859" s="85">
        <f>--(F3859&lt;=Estimator!$B$7)</f>
        <v>1</v>
      </c>
      <c r="H3859" s="86">
        <f>SUMIFS('Climate Data'!$G$7:$G$366,'Climate Data'!$A$7:$A$366,Estimator!$B$4,'Climate Data'!$B$7:$B$366,C3859)</f>
        <v>0.24731182795698925</v>
      </c>
      <c r="I3859" s="87">
        <f>SUMIFS('Climate Data'!$H$7:$H$366,'Climate Data'!$A$7:$A$366,Estimator!$B$4,'Climate Data'!$B$7:$B$366,C3859)</f>
        <v>8.3739130434782609</v>
      </c>
      <c r="J3859" s="86">
        <f>SUMIFS('Wind Proxy'!$H$8:$H$19,'Wind Proxy'!$A$8:$A$19,Estimator!$B$4,'Wind Proxy'!$B$8:$B$19,C3859)</f>
        <v>0</v>
      </c>
    </row>
    <row r="3860" spans="1:10" ht="14.4">
      <c r="A3860" s="84">
        <v>49511</v>
      </c>
      <c r="B3860" s="85">
        <v>2035</v>
      </c>
      <c r="C3860" s="85">
        <v>7</v>
      </c>
      <c r="D3860" s="85" t="s">
        <v>69</v>
      </c>
      <c r="E3860" s="85">
        <v>21</v>
      </c>
      <c r="F3860" s="85">
        <v>6</v>
      </c>
      <c r="G3860" s="85">
        <f>--(F3860&lt;=Estimator!$B$7)</f>
        <v>0</v>
      </c>
      <c r="H3860" s="86">
        <f>SUMIFS('Climate Data'!$G$7:$G$366,'Climate Data'!$A$7:$A$366,Estimator!$B$4,'Climate Data'!$B$7:$B$366,C3860)</f>
        <v>0.24731182795698925</v>
      </c>
      <c r="I3860" s="87">
        <f>SUMIFS('Climate Data'!$H$7:$H$366,'Climate Data'!$A$7:$A$366,Estimator!$B$4,'Climate Data'!$B$7:$B$366,C3860)</f>
        <v>8.3739130434782609</v>
      </c>
      <c r="J3860" s="86">
        <f>SUMIFS('Wind Proxy'!$H$8:$H$19,'Wind Proxy'!$A$8:$A$19,Estimator!$B$4,'Wind Proxy'!$B$8:$B$19,C3860)</f>
        <v>0</v>
      </c>
    </row>
    <row r="3861" spans="1:10" ht="14.4">
      <c r="A3861" s="84">
        <v>49512</v>
      </c>
      <c r="B3861" s="85">
        <v>2035</v>
      </c>
      <c r="C3861" s="85">
        <v>7</v>
      </c>
      <c r="D3861" s="85" t="s">
        <v>69</v>
      </c>
      <c r="E3861" s="85">
        <v>22</v>
      </c>
      <c r="F3861" s="85">
        <v>7</v>
      </c>
      <c r="G3861" s="85">
        <f>--(F3861&lt;=Estimator!$B$7)</f>
        <v>0</v>
      </c>
      <c r="H3861" s="86">
        <f>SUMIFS('Climate Data'!$G$7:$G$366,'Climate Data'!$A$7:$A$366,Estimator!$B$4,'Climate Data'!$B$7:$B$366,C3861)</f>
        <v>0.24731182795698925</v>
      </c>
      <c r="I3861" s="87">
        <f>SUMIFS('Climate Data'!$H$7:$H$366,'Climate Data'!$A$7:$A$366,Estimator!$B$4,'Climate Data'!$B$7:$B$366,C3861)</f>
        <v>8.3739130434782609</v>
      </c>
      <c r="J3861" s="86">
        <f>SUMIFS('Wind Proxy'!$H$8:$H$19,'Wind Proxy'!$A$8:$A$19,Estimator!$B$4,'Wind Proxy'!$B$8:$B$19,C3861)</f>
        <v>0</v>
      </c>
    </row>
    <row r="3862" spans="1:10" ht="14.4">
      <c r="A3862" s="84">
        <v>49513</v>
      </c>
      <c r="B3862" s="85">
        <v>2035</v>
      </c>
      <c r="C3862" s="85">
        <v>7</v>
      </c>
      <c r="D3862" s="85" t="s">
        <v>69</v>
      </c>
      <c r="E3862" s="85">
        <v>23</v>
      </c>
      <c r="F3862" s="85">
        <v>1</v>
      </c>
      <c r="G3862" s="85">
        <f>--(F3862&lt;=Estimator!$B$7)</f>
        <v>1</v>
      </c>
      <c r="H3862" s="86">
        <f>SUMIFS('Climate Data'!$G$7:$G$366,'Climate Data'!$A$7:$A$366,Estimator!$B$4,'Climate Data'!$B$7:$B$366,C3862)</f>
        <v>0.24731182795698925</v>
      </c>
      <c r="I3862" s="87">
        <f>SUMIFS('Climate Data'!$H$7:$H$366,'Climate Data'!$A$7:$A$366,Estimator!$B$4,'Climate Data'!$B$7:$B$366,C3862)</f>
        <v>8.3739130434782609</v>
      </c>
      <c r="J3862" s="86">
        <f>SUMIFS('Wind Proxy'!$H$8:$H$19,'Wind Proxy'!$A$8:$A$19,Estimator!$B$4,'Wind Proxy'!$B$8:$B$19,C3862)</f>
        <v>0</v>
      </c>
    </row>
    <row r="3863" spans="1:10" ht="14.4">
      <c r="A3863" s="84">
        <v>49514</v>
      </c>
      <c r="B3863" s="85">
        <v>2035</v>
      </c>
      <c r="C3863" s="85">
        <v>7</v>
      </c>
      <c r="D3863" s="85" t="s">
        <v>69</v>
      </c>
      <c r="E3863" s="85">
        <v>24</v>
      </c>
      <c r="F3863" s="85">
        <v>2</v>
      </c>
      <c r="G3863" s="85">
        <f>--(F3863&lt;=Estimator!$B$7)</f>
        <v>1</v>
      </c>
      <c r="H3863" s="86">
        <f>SUMIFS('Climate Data'!$G$7:$G$366,'Climate Data'!$A$7:$A$366,Estimator!$B$4,'Climate Data'!$B$7:$B$366,C3863)</f>
        <v>0.24731182795698925</v>
      </c>
      <c r="I3863" s="87">
        <f>SUMIFS('Climate Data'!$H$7:$H$366,'Climate Data'!$A$7:$A$366,Estimator!$B$4,'Climate Data'!$B$7:$B$366,C3863)</f>
        <v>8.3739130434782609</v>
      </c>
      <c r="J3863" s="86">
        <f>SUMIFS('Wind Proxy'!$H$8:$H$19,'Wind Proxy'!$A$8:$A$19,Estimator!$B$4,'Wind Proxy'!$B$8:$B$19,C3863)</f>
        <v>0</v>
      </c>
    </row>
    <row r="3864" spans="1:10" ht="14.4">
      <c r="A3864" s="84">
        <v>49515</v>
      </c>
      <c r="B3864" s="85">
        <v>2035</v>
      </c>
      <c r="C3864" s="85">
        <v>7</v>
      </c>
      <c r="D3864" s="85" t="s">
        <v>69</v>
      </c>
      <c r="E3864" s="85">
        <v>25</v>
      </c>
      <c r="F3864" s="85">
        <v>3</v>
      </c>
      <c r="G3864" s="85">
        <f>--(F3864&lt;=Estimator!$B$7)</f>
        <v>1</v>
      </c>
      <c r="H3864" s="86">
        <f>SUMIFS('Climate Data'!$G$7:$G$366,'Climate Data'!$A$7:$A$366,Estimator!$B$4,'Climate Data'!$B$7:$B$366,C3864)</f>
        <v>0.24731182795698925</v>
      </c>
      <c r="I3864" s="87">
        <f>SUMIFS('Climate Data'!$H$7:$H$366,'Climate Data'!$A$7:$A$366,Estimator!$B$4,'Climate Data'!$B$7:$B$366,C3864)</f>
        <v>8.3739130434782609</v>
      </c>
      <c r="J3864" s="86">
        <f>SUMIFS('Wind Proxy'!$H$8:$H$19,'Wind Proxy'!$A$8:$A$19,Estimator!$B$4,'Wind Proxy'!$B$8:$B$19,C3864)</f>
        <v>0</v>
      </c>
    </row>
    <row r="3865" spans="1:10" ht="14.4">
      <c r="A3865" s="84">
        <v>49516</v>
      </c>
      <c r="B3865" s="85">
        <v>2035</v>
      </c>
      <c r="C3865" s="85">
        <v>7</v>
      </c>
      <c r="D3865" s="85" t="s">
        <v>69</v>
      </c>
      <c r="E3865" s="85">
        <v>26</v>
      </c>
      <c r="F3865" s="85">
        <v>4</v>
      </c>
      <c r="G3865" s="85">
        <f>--(F3865&lt;=Estimator!$B$7)</f>
        <v>1</v>
      </c>
      <c r="H3865" s="86">
        <f>SUMIFS('Climate Data'!$G$7:$G$366,'Climate Data'!$A$7:$A$366,Estimator!$B$4,'Climate Data'!$B$7:$B$366,C3865)</f>
        <v>0.24731182795698925</v>
      </c>
      <c r="I3865" s="87">
        <f>SUMIFS('Climate Data'!$H$7:$H$366,'Climate Data'!$A$7:$A$366,Estimator!$B$4,'Climate Data'!$B$7:$B$366,C3865)</f>
        <v>8.3739130434782609</v>
      </c>
      <c r="J3865" s="86">
        <f>SUMIFS('Wind Proxy'!$H$8:$H$19,'Wind Proxy'!$A$8:$A$19,Estimator!$B$4,'Wind Proxy'!$B$8:$B$19,C3865)</f>
        <v>0</v>
      </c>
    </row>
    <row r="3866" spans="1:10" ht="14.4">
      <c r="A3866" s="84">
        <v>49517</v>
      </c>
      <c r="B3866" s="85">
        <v>2035</v>
      </c>
      <c r="C3866" s="85">
        <v>7</v>
      </c>
      <c r="D3866" s="85" t="s">
        <v>69</v>
      </c>
      <c r="E3866" s="85">
        <v>27</v>
      </c>
      <c r="F3866" s="85">
        <v>5</v>
      </c>
      <c r="G3866" s="85">
        <f>--(F3866&lt;=Estimator!$B$7)</f>
        <v>1</v>
      </c>
      <c r="H3866" s="86">
        <f>SUMIFS('Climate Data'!$G$7:$G$366,'Climate Data'!$A$7:$A$366,Estimator!$B$4,'Climate Data'!$B$7:$B$366,C3866)</f>
        <v>0.24731182795698925</v>
      </c>
      <c r="I3866" s="87">
        <f>SUMIFS('Climate Data'!$H$7:$H$366,'Climate Data'!$A$7:$A$366,Estimator!$B$4,'Climate Data'!$B$7:$B$366,C3866)</f>
        <v>8.3739130434782609</v>
      </c>
      <c r="J3866" s="86">
        <f>SUMIFS('Wind Proxy'!$H$8:$H$19,'Wind Proxy'!$A$8:$A$19,Estimator!$B$4,'Wind Proxy'!$B$8:$B$19,C3866)</f>
        <v>0</v>
      </c>
    </row>
    <row r="3867" spans="1:10" ht="14.4">
      <c r="A3867" s="84">
        <v>49518</v>
      </c>
      <c r="B3867" s="85">
        <v>2035</v>
      </c>
      <c r="C3867" s="85">
        <v>7</v>
      </c>
      <c r="D3867" s="85" t="s">
        <v>69</v>
      </c>
      <c r="E3867" s="85">
        <v>28</v>
      </c>
      <c r="F3867" s="85">
        <v>6</v>
      </c>
      <c r="G3867" s="85">
        <f>--(F3867&lt;=Estimator!$B$7)</f>
        <v>0</v>
      </c>
      <c r="H3867" s="86">
        <f>SUMIFS('Climate Data'!$G$7:$G$366,'Climate Data'!$A$7:$A$366,Estimator!$B$4,'Climate Data'!$B$7:$B$366,C3867)</f>
        <v>0.24731182795698925</v>
      </c>
      <c r="I3867" s="87">
        <f>SUMIFS('Climate Data'!$H$7:$H$366,'Climate Data'!$A$7:$A$366,Estimator!$B$4,'Climate Data'!$B$7:$B$366,C3867)</f>
        <v>8.3739130434782609</v>
      </c>
      <c r="J3867" s="86">
        <f>SUMIFS('Wind Proxy'!$H$8:$H$19,'Wind Proxy'!$A$8:$A$19,Estimator!$B$4,'Wind Proxy'!$B$8:$B$19,C3867)</f>
        <v>0</v>
      </c>
    </row>
    <row r="3868" spans="1:10" ht="14.4">
      <c r="A3868" s="84">
        <v>49519</v>
      </c>
      <c r="B3868" s="85">
        <v>2035</v>
      </c>
      <c r="C3868" s="85">
        <v>7</v>
      </c>
      <c r="D3868" s="85" t="s">
        <v>69</v>
      </c>
      <c r="E3868" s="85">
        <v>29</v>
      </c>
      <c r="F3868" s="85">
        <v>7</v>
      </c>
      <c r="G3868" s="85">
        <f>--(F3868&lt;=Estimator!$B$7)</f>
        <v>0</v>
      </c>
      <c r="H3868" s="86">
        <f>SUMIFS('Climate Data'!$G$7:$G$366,'Climate Data'!$A$7:$A$366,Estimator!$B$4,'Climate Data'!$B$7:$B$366,C3868)</f>
        <v>0.24731182795698925</v>
      </c>
      <c r="I3868" s="87">
        <f>SUMIFS('Climate Data'!$H$7:$H$366,'Climate Data'!$A$7:$A$366,Estimator!$B$4,'Climate Data'!$B$7:$B$366,C3868)</f>
        <v>8.3739130434782609</v>
      </c>
      <c r="J3868" s="86">
        <f>SUMIFS('Wind Proxy'!$H$8:$H$19,'Wind Proxy'!$A$8:$A$19,Estimator!$B$4,'Wind Proxy'!$B$8:$B$19,C3868)</f>
        <v>0</v>
      </c>
    </row>
    <row r="3869" spans="1:10" ht="14.4">
      <c r="A3869" s="84">
        <v>49520</v>
      </c>
      <c r="B3869" s="85">
        <v>2035</v>
      </c>
      <c r="C3869" s="85">
        <v>7</v>
      </c>
      <c r="D3869" s="85" t="s">
        <v>69</v>
      </c>
      <c r="E3869" s="85">
        <v>30</v>
      </c>
      <c r="F3869" s="85">
        <v>1</v>
      </c>
      <c r="G3869" s="85">
        <f>--(F3869&lt;=Estimator!$B$7)</f>
        <v>1</v>
      </c>
      <c r="H3869" s="86">
        <f>SUMIFS('Climate Data'!$G$7:$G$366,'Climate Data'!$A$7:$A$366,Estimator!$B$4,'Climate Data'!$B$7:$B$366,C3869)</f>
        <v>0.24731182795698925</v>
      </c>
      <c r="I3869" s="87">
        <f>SUMIFS('Climate Data'!$H$7:$H$366,'Climate Data'!$A$7:$A$366,Estimator!$B$4,'Climate Data'!$B$7:$B$366,C3869)</f>
        <v>8.3739130434782609</v>
      </c>
      <c r="J3869" s="86">
        <f>SUMIFS('Wind Proxy'!$H$8:$H$19,'Wind Proxy'!$A$8:$A$19,Estimator!$B$4,'Wind Proxy'!$B$8:$B$19,C3869)</f>
        <v>0</v>
      </c>
    </row>
    <row r="3870" spans="1:10" ht="14.4">
      <c r="A3870" s="84">
        <v>49521</v>
      </c>
      <c r="B3870" s="85">
        <v>2035</v>
      </c>
      <c r="C3870" s="85">
        <v>7</v>
      </c>
      <c r="D3870" s="85" t="s">
        <v>69</v>
      </c>
      <c r="E3870" s="85">
        <v>31</v>
      </c>
      <c r="F3870" s="85">
        <v>2</v>
      </c>
      <c r="G3870" s="85">
        <f>--(F3870&lt;=Estimator!$B$7)</f>
        <v>1</v>
      </c>
      <c r="H3870" s="86">
        <f>SUMIFS('Climate Data'!$G$7:$G$366,'Climate Data'!$A$7:$A$366,Estimator!$B$4,'Climate Data'!$B$7:$B$366,C3870)</f>
        <v>0.24731182795698925</v>
      </c>
      <c r="I3870" s="87">
        <f>SUMIFS('Climate Data'!$H$7:$H$366,'Climate Data'!$A$7:$A$366,Estimator!$B$4,'Climate Data'!$B$7:$B$366,C3870)</f>
        <v>8.3739130434782609</v>
      </c>
      <c r="J3870" s="86">
        <f>SUMIFS('Wind Proxy'!$H$8:$H$19,'Wind Proxy'!$A$8:$A$19,Estimator!$B$4,'Wind Proxy'!$B$8:$B$19,C3870)</f>
        <v>0</v>
      </c>
    </row>
    <row r="3871" spans="1:10" ht="14.4">
      <c r="A3871" s="84">
        <v>49522</v>
      </c>
      <c r="B3871" s="85">
        <v>2035</v>
      </c>
      <c r="C3871" s="85">
        <v>8</v>
      </c>
      <c r="D3871" s="85" t="s">
        <v>71</v>
      </c>
      <c r="E3871" s="85">
        <v>1</v>
      </c>
      <c r="F3871" s="85">
        <v>3</v>
      </c>
      <c r="G3871" s="85">
        <f>--(F3871&lt;=Estimator!$B$7)</f>
        <v>1</v>
      </c>
      <c r="H3871" s="86">
        <f>SUMIFS('Climate Data'!$G$7:$G$366,'Climate Data'!$A$7:$A$366,Estimator!$B$4,'Climate Data'!$B$7:$B$366,C3871)</f>
        <v>0.23548387096774193</v>
      </c>
      <c r="I3871" s="87">
        <f>SUMIFS('Climate Data'!$H$7:$H$366,'Climate Data'!$A$7:$A$366,Estimator!$B$4,'Climate Data'!$B$7:$B$366,C3871)</f>
        <v>7.9589041095890414</v>
      </c>
      <c r="J3871" s="86">
        <f>SUMIFS('Wind Proxy'!$H$8:$H$19,'Wind Proxy'!$A$8:$A$19,Estimator!$B$4,'Wind Proxy'!$B$8:$B$19,C3871)</f>
        <v>0</v>
      </c>
    </row>
    <row r="3872" spans="1:10" ht="14.4">
      <c r="A3872" s="84">
        <v>49523</v>
      </c>
      <c r="B3872" s="85">
        <v>2035</v>
      </c>
      <c r="C3872" s="85">
        <v>8</v>
      </c>
      <c r="D3872" s="85" t="s">
        <v>71</v>
      </c>
      <c r="E3872" s="85">
        <v>2</v>
      </c>
      <c r="F3872" s="85">
        <v>4</v>
      </c>
      <c r="G3872" s="85">
        <f>--(F3872&lt;=Estimator!$B$7)</f>
        <v>1</v>
      </c>
      <c r="H3872" s="86">
        <f>SUMIFS('Climate Data'!$G$7:$G$366,'Climate Data'!$A$7:$A$366,Estimator!$B$4,'Climate Data'!$B$7:$B$366,C3872)</f>
        <v>0.23548387096774193</v>
      </c>
      <c r="I3872" s="87">
        <f>SUMIFS('Climate Data'!$H$7:$H$366,'Climate Data'!$A$7:$A$366,Estimator!$B$4,'Climate Data'!$B$7:$B$366,C3872)</f>
        <v>7.9589041095890414</v>
      </c>
      <c r="J3872" s="86">
        <f>SUMIFS('Wind Proxy'!$H$8:$H$19,'Wind Proxy'!$A$8:$A$19,Estimator!$B$4,'Wind Proxy'!$B$8:$B$19,C3872)</f>
        <v>0</v>
      </c>
    </row>
    <row r="3873" spans="1:10" ht="14.4">
      <c r="A3873" s="84">
        <v>49524</v>
      </c>
      <c r="B3873" s="85">
        <v>2035</v>
      </c>
      <c r="C3873" s="85">
        <v>8</v>
      </c>
      <c r="D3873" s="85" t="s">
        <v>71</v>
      </c>
      <c r="E3873" s="85">
        <v>3</v>
      </c>
      <c r="F3873" s="85">
        <v>5</v>
      </c>
      <c r="G3873" s="85">
        <f>--(F3873&lt;=Estimator!$B$7)</f>
        <v>1</v>
      </c>
      <c r="H3873" s="86">
        <f>SUMIFS('Climate Data'!$G$7:$G$366,'Climate Data'!$A$7:$A$366,Estimator!$B$4,'Climate Data'!$B$7:$B$366,C3873)</f>
        <v>0.23548387096774193</v>
      </c>
      <c r="I3873" s="87">
        <f>SUMIFS('Climate Data'!$H$7:$H$366,'Climate Data'!$A$7:$A$366,Estimator!$B$4,'Climate Data'!$B$7:$B$366,C3873)</f>
        <v>7.9589041095890414</v>
      </c>
      <c r="J3873" s="86">
        <f>SUMIFS('Wind Proxy'!$H$8:$H$19,'Wind Proxy'!$A$8:$A$19,Estimator!$B$4,'Wind Proxy'!$B$8:$B$19,C3873)</f>
        <v>0</v>
      </c>
    </row>
    <row r="3874" spans="1:10" ht="14.4">
      <c r="A3874" s="84">
        <v>49525</v>
      </c>
      <c r="B3874" s="85">
        <v>2035</v>
      </c>
      <c r="C3874" s="85">
        <v>8</v>
      </c>
      <c r="D3874" s="85" t="s">
        <v>71</v>
      </c>
      <c r="E3874" s="85">
        <v>4</v>
      </c>
      <c r="F3874" s="85">
        <v>6</v>
      </c>
      <c r="G3874" s="85">
        <f>--(F3874&lt;=Estimator!$B$7)</f>
        <v>0</v>
      </c>
      <c r="H3874" s="86">
        <f>SUMIFS('Climate Data'!$G$7:$G$366,'Climate Data'!$A$7:$A$366,Estimator!$B$4,'Climate Data'!$B$7:$B$366,C3874)</f>
        <v>0.23548387096774193</v>
      </c>
      <c r="I3874" s="87">
        <f>SUMIFS('Climate Data'!$H$7:$H$366,'Climate Data'!$A$7:$A$366,Estimator!$B$4,'Climate Data'!$B$7:$B$366,C3874)</f>
        <v>7.9589041095890414</v>
      </c>
      <c r="J3874" s="86">
        <f>SUMIFS('Wind Proxy'!$H$8:$H$19,'Wind Proxy'!$A$8:$A$19,Estimator!$B$4,'Wind Proxy'!$B$8:$B$19,C3874)</f>
        <v>0</v>
      </c>
    </row>
    <row r="3875" spans="1:10" ht="14.4">
      <c r="A3875" s="84">
        <v>49526</v>
      </c>
      <c r="B3875" s="85">
        <v>2035</v>
      </c>
      <c r="C3875" s="85">
        <v>8</v>
      </c>
      <c r="D3875" s="85" t="s">
        <v>71</v>
      </c>
      <c r="E3875" s="85">
        <v>5</v>
      </c>
      <c r="F3875" s="85">
        <v>7</v>
      </c>
      <c r="G3875" s="85">
        <f>--(F3875&lt;=Estimator!$B$7)</f>
        <v>0</v>
      </c>
      <c r="H3875" s="86">
        <f>SUMIFS('Climate Data'!$G$7:$G$366,'Climate Data'!$A$7:$A$366,Estimator!$B$4,'Climate Data'!$B$7:$B$366,C3875)</f>
        <v>0.23548387096774193</v>
      </c>
      <c r="I3875" s="87">
        <f>SUMIFS('Climate Data'!$H$7:$H$366,'Climate Data'!$A$7:$A$366,Estimator!$B$4,'Climate Data'!$B$7:$B$366,C3875)</f>
        <v>7.9589041095890414</v>
      </c>
      <c r="J3875" s="86">
        <f>SUMIFS('Wind Proxy'!$H$8:$H$19,'Wind Proxy'!$A$8:$A$19,Estimator!$B$4,'Wind Proxy'!$B$8:$B$19,C3875)</f>
        <v>0</v>
      </c>
    </row>
    <row r="3876" spans="1:10" ht="14.4">
      <c r="A3876" s="84">
        <v>49527</v>
      </c>
      <c r="B3876" s="85">
        <v>2035</v>
      </c>
      <c r="C3876" s="85">
        <v>8</v>
      </c>
      <c r="D3876" s="85" t="s">
        <v>71</v>
      </c>
      <c r="E3876" s="85">
        <v>6</v>
      </c>
      <c r="F3876" s="85">
        <v>1</v>
      </c>
      <c r="G3876" s="85">
        <f>--(F3876&lt;=Estimator!$B$7)</f>
        <v>1</v>
      </c>
      <c r="H3876" s="86">
        <f>SUMIFS('Climate Data'!$G$7:$G$366,'Climate Data'!$A$7:$A$366,Estimator!$B$4,'Climate Data'!$B$7:$B$366,C3876)</f>
        <v>0.23548387096774193</v>
      </c>
      <c r="I3876" s="87">
        <f>SUMIFS('Climate Data'!$H$7:$H$366,'Climate Data'!$A$7:$A$366,Estimator!$B$4,'Climate Data'!$B$7:$B$366,C3876)</f>
        <v>7.9589041095890414</v>
      </c>
      <c r="J3876" s="86">
        <f>SUMIFS('Wind Proxy'!$H$8:$H$19,'Wind Proxy'!$A$8:$A$19,Estimator!$B$4,'Wind Proxy'!$B$8:$B$19,C3876)</f>
        <v>0</v>
      </c>
    </row>
    <row r="3877" spans="1:10" ht="14.4">
      <c r="A3877" s="84">
        <v>49528</v>
      </c>
      <c r="B3877" s="85">
        <v>2035</v>
      </c>
      <c r="C3877" s="85">
        <v>8</v>
      </c>
      <c r="D3877" s="85" t="s">
        <v>71</v>
      </c>
      <c r="E3877" s="85">
        <v>7</v>
      </c>
      <c r="F3877" s="85">
        <v>2</v>
      </c>
      <c r="G3877" s="85">
        <f>--(F3877&lt;=Estimator!$B$7)</f>
        <v>1</v>
      </c>
      <c r="H3877" s="86">
        <f>SUMIFS('Climate Data'!$G$7:$G$366,'Climate Data'!$A$7:$A$366,Estimator!$B$4,'Climate Data'!$B$7:$B$366,C3877)</f>
        <v>0.23548387096774193</v>
      </c>
      <c r="I3877" s="87">
        <f>SUMIFS('Climate Data'!$H$7:$H$366,'Climate Data'!$A$7:$A$366,Estimator!$B$4,'Climate Data'!$B$7:$B$366,C3877)</f>
        <v>7.9589041095890414</v>
      </c>
      <c r="J3877" s="86">
        <f>SUMIFS('Wind Proxy'!$H$8:$H$19,'Wind Proxy'!$A$8:$A$19,Estimator!$B$4,'Wind Proxy'!$B$8:$B$19,C3877)</f>
        <v>0</v>
      </c>
    </row>
    <row r="3878" spans="1:10" ht="14.4">
      <c r="A3878" s="84">
        <v>49529</v>
      </c>
      <c r="B3878" s="85">
        <v>2035</v>
      </c>
      <c r="C3878" s="85">
        <v>8</v>
      </c>
      <c r="D3878" s="85" t="s">
        <v>71</v>
      </c>
      <c r="E3878" s="85">
        <v>8</v>
      </c>
      <c r="F3878" s="85">
        <v>3</v>
      </c>
      <c r="G3878" s="85">
        <f>--(F3878&lt;=Estimator!$B$7)</f>
        <v>1</v>
      </c>
      <c r="H3878" s="86">
        <f>SUMIFS('Climate Data'!$G$7:$G$366,'Climate Data'!$A$7:$A$366,Estimator!$B$4,'Climate Data'!$B$7:$B$366,C3878)</f>
        <v>0.23548387096774193</v>
      </c>
      <c r="I3878" s="87">
        <f>SUMIFS('Climate Data'!$H$7:$H$366,'Climate Data'!$A$7:$A$366,Estimator!$B$4,'Climate Data'!$B$7:$B$366,C3878)</f>
        <v>7.9589041095890414</v>
      </c>
      <c r="J3878" s="86">
        <f>SUMIFS('Wind Proxy'!$H$8:$H$19,'Wind Proxy'!$A$8:$A$19,Estimator!$B$4,'Wind Proxy'!$B$8:$B$19,C3878)</f>
        <v>0</v>
      </c>
    </row>
    <row r="3879" spans="1:10" ht="14.4">
      <c r="A3879" s="84">
        <v>49530</v>
      </c>
      <c r="B3879" s="85">
        <v>2035</v>
      </c>
      <c r="C3879" s="85">
        <v>8</v>
      </c>
      <c r="D3879" s="85" t="s">
        <v>71</v>
      </c>
      <c r="E3879" s="85">
        <v>9</v>
      </c>
      <c r="F3879" s="85">
        <v>4</v>
      </c>
      <c r="G3879" s="85">
        <f>--(F3879&lt;=Estimator!$B$7)</f>
        <v>1</v>
      </c>
      <c r="H3879" s="86">
        <f>SUMIFS('Climate Data'!$G$7:$G$366,'Climate Data'!$A$7:$A$366,Estimator!$B$4,'Climate Data'!$B$7:$B$366,C3879)</f>
        <v>0.23548387096774193</v>
      </c>
      <c r="I3879" s="87">
        <f>SUMIFS('Climate Data'!$H$7:$H$366,'Climate Data'!$A$7:$A$366,Estimator!$B$4,'Climate Data'!$B$7:$B$366,C3879)</f>
        <v>7.9589041095890414</v>
      </c>
      <c r="J3879" s="86">
        <f>SUMIFS('Wind Proxy'!$H$8:$H$19,'Wind Proxy'!$A$8:$A$19,Estimator!$B$4,'Wind Proxy'!$B$8:$B$19,C3879)</f>
        <v>0</v>
      </c>
    </row>
    <row r="3880" spans="1:10" ht="14.4">
      <c r="A3880" s="84">
        <v>49531</v>
      </c>
      <c r="B3880" s="85">
        <v>2035</v>
      </c>
      <c r="C3880" s="85">
        <v>8</v>
      </c>
      <c r="D3880" s="85" t="s">
        <v>71</v>
      </c>
      <c r="E3880" s="85">
        <v>10</v>
      </c>
      <c r="F3880" s="85">
        <v>5</v>
      </c>
      <c r="G3880" s="85">
        <f>--(F3880&lt;=Estimator!$B$7)</f>
        <v>1</v>
      </c>
      <c r="H3880" s="86">
        <f>SUMIFS('Climate Data'!$G$7:$G$366,'Climate Data'!$A$7:$A$366,Estimator!$B$4,'Climate Data'!$B$7:$B$366,C3880)</f>
        <v>0.23548387096774193</v>
      </c>
      <c r="I3880" s="87">
        <f>SUMIFS('Climate Data'!$H$7:$H$366,'Climate Data'!$A$7:$A$366,Estimator!$B$4,'Climate Data'!$B$7:$B$366,C3880)</f>
        <v>7.9589041095890414</v>
      </c>
      <c r="J3880" s="86">
        <f>SUMIFS('Wind Proxy'!$H$8:$H$19,'Wind Proxy'!$A$8:$A$19,Estimator!$B$4,'Wind Proxy'!$B$8:$B$19,C3880)</f>
        <v>0</v>
      </c>
    </row>
    <row r="3881" spans="1:10" ht="14.4">
      <c r="A3881" s="84">
        <v>49532</v>
      </c>
      <c r="B3881" s="85">
        <v>2035</v>
      </c>
      <c r="C3881" s="85">
        <v>8</v>
      </c>
      <c r="D3881" s="85" t="s">
        <v>71</v>
      </c>
      <c r="E3881" s="85">
        <v>11</v>
      </c>
      <c r="F3881" s="85">
        <v>6</v>
      </c>
      <c r="G3881" s="85">
        <f>--(F3881&lt;=Estimator!$B$7)</f>
        <v>0</v>
      </c>
      <c r="H3881" s="86">
        <f>SUMIFS('Climate Data'!$G$7:$G$366,'Climate Data'!$A$7:$A$366,Estimator!$B$4,'Climate Data'!$B$7:$B$366,C3881)</f>
        <v>0.23548387096774193</v>
      </c>
      <c r="I3881" s="87">
        <f>SUMIFS('Climate Data'!$H$7:$H$366,'Climate Data'!$A$7:$A$366,Estimator!$B$4,'Climate Data'!$B$7:$B$366,C3881)</f>
        <v>7.9589041095890414</v>
      </c>
      <c r="J3881" s="86">
        <f>SUMIFS('Wind Proxy'!$H$8:$H$19,'Wind Proxy'!$A$8:$A$19,Estimator!$B$4,'Wind Proxy'!$B$8:$B$19,C3881)</f>
        <v>0</v>
      </c>
    </row>
    <row r="3882" spans="1:10" ht="14.4">
      <c r="A3882" s="84">
        <v>49533</v>
      </c>
      <c r="B3882" s="85">
        <v>2035</v>
      </c>
      <c r="C3882" s="85">
        <v>8</v>
      </c>
      <c r="D3882" s="85" t="s">
        <v>71</v>
      </c>
      <c r="E3882" s="85">
        <v>12</v>
      </c>
      <c r="F3882" s="85">
        <v>7</v>
      </c>
      <c r="G3882" s="85">
        <f>--(F3882&lt;=Estimator!$B$7)</f>
        <v>0</v>
      </c>
      <c r="H3882" s="86">
        <f>SUMIFS('Climate Data'!$G$7:$G$366,'Climate Data'!$A$7:$A$366,Estimator!$B$4,'Climate Data'!$B$7:$B$366,C3882)</f>
        <v>0.23548387096774193</v>
      </c>
      <c r="I3882" s="87">
        <f>SUMIFS('Climate Data'!$H$7:$H$366,'Climate Data'!$A$7:$A$366,Estimator!$B$4,'Climate Data'!$B$7:$B$366,C3882)</f>
        <v>7.9589041095890414</v>
      </c>
      <c r="J3882" s="86">
        <f>SUMIFS('Wind Proxy'!$H$8:$H$19,'Wind Proxy'!$A$8:$A$19,Estimator!$B$4,'Wind Proxy'!$B$8:$B$19,C3882)</f>
        <v>0</v>
      </c>
    </row>
    <row r="3883" spans="1:10" ht="14.4">
      <c r="A3883" s="84">
        <v>49534</v>
      </c>
      <c r="B3883" s="85">
        <v>2035</v>
      </c>
      <c r="C3883" s="85">
        <v>8</v>
      </c>
      <c r="D3883" s="85" t="s">
        <v>71</v>
      </c>
      <c r="E3883" s="85">
        <v>13</v>
      </c>
      <c r="F3883" s="85">
        <v>1</v>
      </c>
      <c r="G3883" s="85">
        <f>--(F3883&lt;=Estimator!$B$7)</f>
        <v>1</v>
      </c>
      <c r="H3883" s="86">
        <f>SUMIFS('Climate Data'!$G$7:$G$366,'Climate Data'!$A$7:$A$366,Estimator!$B$4,'Climate Data'!$B$7:$B$366,C3883)</f>
        <v>0.23548387096774193</v>
      </c>
      <c r="I3883" s="87">
        <f>SUMIFS('Climate Data'!$H$7:$H$366,'Climate Data'!$A$7:$A$366,Estimator!$B$4,'Climate Data'!$B$7:$B$366,C3883)</f>
        <v>7.9589041095890414</v>
      </c>
      <c r="J3883" s="86">
        <f>SUMIFS('Wind Proxy'!$H$8:$H$19,'Wind Proxy'!$A$8:$A$19,Estimator!$B$4,'Wind Proxy'!$B$8:$B$19,C3883)</f>
        <v>0</v>
      </c>
    </row>
    <row r="3884" spans="1:10" ht="14.4">
      <c r="A3884" s="84">
        <v>49535</v>
      </c>
      <c r="B3884" s="85">
        <v>2035</v>
      </c>
      <c r="C3884" s="85">
        <v>8</v>
      </c>
      <c r="D3884" s="85" t="s">
        <v>71</v>
      </c>
      <c r="E3884" s="85">
        <v>14</v>
      </c>
      <c r="F3884" s="85">
        <v>2</v>
      </c>
      <c r="G3884" s="85">
        <f>--(F3884&lt;=Estimator!$B$7)</f>
        <v>1</v>
      </c>
      <c r="H3884" s="86">
        <f>SUMIFS('Climate Data'!$G$7:$G$366,'Climate Data'!$A$7:$A$366,Estimator!$B$4,'Climate Data'!$B$7:$B$366,C3884)</f>
        <v>0.23548387096774193</v>
      </c>
      <c r="I3884" s="87">
        <f>SUMIFS('Climate Data'!$H$7:$H$366,'Climate Data'!$A$7:$A$366,Estimator!$B$4,'Climate Data'!$B$7:$B$366,C3884)</f>
        <v>7.9589041095890414</v>
      </c>
      <c r="J3884" s="86">
        <f>SUMIFS('Wind Proxy'!$H$8:$H$19,'Wind Proxy'!$A$8:$A$19,Estimator!$B$4,'Wind Proxy'!$B$8:$B$19,C3884)</f>
        <v>0</v>
      </c>
    </row>
    <row r="3885" spans="1:10" ht="14.4">
      <c r="A3885" s="84">
        <v>49536</v>
      </c>
      <c r="B3885" s="85">
        <v>2035</v>
      </c>
      <c r="C3885" s="85">
        <v>8</v>
      </c>
      <c r="D3885" s="85" t="s">
        <v>71</v>
      </c>
      <c r="E3885" s="85">
        <v>15</v>
      </c>
      <c r="F3885" s="85">
        <v>3</v>
      </c>
      <c r="G3885" s="85">
        <f>--(F3885&lt;=Estimator!$B$7)</f>
        <v>1</v>
      </c>
      <c r="H3885" s="86">
        <f>SUMIFS('Climate Data'!$G$7:$G$366,'Climate Data'!$A$7:$A$366,Estimator!$B$4,'Climate Data'!$B$7:$B$366,C3885)</f>
        <v>0.23548387096774193</v>
      </c>
      <c r="I3885" s="87">
        <f>SUMIFS('Climate Data'!$H$7:$H$366,'Climate Data'!$A$7:$A$366,Estimator!$B$4,'Climate Data'!$B$7:$B$366,C3885)</f>
        <v>7.9589041095890414</v>
      </c>
      <c r="J3885" s="86">
        <f>SUMIFS('Wind Proxy'!$H$8:$H$19,'Wind Proxy'!$A$8:$A$19,Estimator!$B$4,'Wind Proxy'!$B$8:$B$19,C3885)</f>
        <v>0</v>
      </c>
    </row>
    <row r="3886" spans="1:10" ht="14.4">
      <c r="A3886" s="84">
        <v>49537</v>
      </c>
      <c r="B3886" s="85">
        <v>2035</v>
      </c>
      <c r="C3886" s="85">
        <v>8</v>
      </c>
      <c r="D3886" s="85" t="s">
        <v>71</v>
      </c>
      <c r="E3886" s="85">
        <v>16</v>
      </c>
      <c r="F3886" s="85">
        <v>4</v>
      </c>
      <c r="G3886" s="85">
        <f>--(F3886&lt;=Estimator!$B$7)</f>
        <v>1</v>
      </c>
      <c r="H3886" s="86">
        <f>SUMIFS('Climate Data'!$G$7:$G$366,'Climate Data'!$A$7:$A$366,Estimator!$B$4,'Climate Data'!$B$7:$B$366,C3886)</f>
        <v>0.23548387096774193</v>
      </c>
      <c r="I3886" s="87">
        <f>SUMIFS('Climate Data'!$H$7:$H$366,'Climate Data'!$A$7:$A$366,Estimator!$B$4,'Climate Data'!$B$7:$B$366,C3886)</f>
        <v>7.9589041095890414</v>
      </c>
      <c r="J3886" s="86">
        <f>SUMIFS('Wind Proxy'!$H$8:$H$19,'Wind Proxy'!$A$8:$A$19,Estimator!$B$4,'Wind Proxy'!$B$8:$B$19,C3886)</f>
        <v>0</v>
      </c>
    </row>
    <row r="3887" spans="1:10" ht="14.4">
      <c r="A3887" s="84">
        <v>49538</v>
      </c>
      <c r="B3887" s="85">
        <v>2035</v>
      </c>
      <c r="C3887" s="85">
        <v>8</v>
      </c>
      <c r="D3887" s="85" t="s">
        <v>71</v>
      </c>
      <c r="E3887" s="85">
        <v>17</v>
      </c>
      <c r="F3887" s="85">
        <v>5</v>
      </c>
      <c r="G3887" s="85">
        <f>--(F3887&lt;=Estimator!$B$7)</f>
        <v>1</v>
      </c>
      <c r="H3887" s="86">
        <f>SUMIFS('Climate Data'!$G$7:$G$366,'Climate Data'!$A$7:$A$366,Estimator!$B$4,'Climate Data'!$B$7:$B$366,C3887)</f>
        <v>0.23548387096774193</v>
      </c>
      <c r="I3887" s="87">
        <f>SUMIFS('Climate Data'!$H$7:$H$366,'Climate Data'!$A$7:$A$366,Estimator!$B$4,'Climate Data'!$B$7:$B$366,C3887)</f>
        <v>7.9589041095890414</v>
      </c>
      <c r="J3887" s="86">
        <f>SUMIFS('Wind Proxy'!$H$8:$H$19,'Wind Proxy'!$A$8:$A$19,Estimator!$B$4,'Wind Proxy'!$B$8:$B$19,C3887)</f>
        <v>0</v>
      </c>
    </row>
    <row r="3888" spans="1:10" ht="14.4">
      <c r="A3888" s="84">
        <v>49539</v>
      </c>
      <c r="B3888" s="85">
        <v>2035</v>
      </c>
      <c r="C3888" s="85">
        <v>8</v>
      </c>
      <c r="D3888" s="85" t="s">
        <v>71</v>
      </c>
      <c r="E3888" s="85">
        <v>18</v>
      </c>
      <c r="F3888" s="85">
        <v>6</v>
      </c>
      <c r="G3888" s="85">
        <f>--(F3888&lt;=Estimator!$B$7)</f>
        <v>0</v>
      </c>
      <c r="H3888" s="86">
        <f>SUMIFS('Climate Data'!$G$7:$G$366,'Climate Data'!$A$7:$A$366,Estimator!$B$4,'Climate Data'!$B$7:$B$366,C3888)</f>
        <v>0.23548387096774193</v>
      </c>
      <c r="I3888" s="87">
        <f>SUMIFS('Climate Data'!$H$7:$H$366,'Climate Data'!$A$7:$A$366,Estimator!$B$4,'Climate Data'!$B$7:$B$366,C3888)</f>
        <v>7.9589041095890414</v>
      </c>
      <c r="J3888" s="86">
        <f>SUMIFS('Wind Proxy'!$H$8:$H$19,'Wind Proxy'!$A$8:$A$19,Estimator!$B$4,'Wind Proxy'!$B$8:$B$19,C3888)</f>
        <v>0</v>
      </c>
    </row>
    <row r="3889" spans="1:10" ht="14.4">
      <c r="A3889" s="84">
        <v>49540</v>
      </c>
      <c r="B3889" s="85">
        <v>2035</v>
      </c>
      <c r="C3889" s="85">
        <v>8</v>
      </c>
      <c r="D3889" s="85" t="s">
        <v>71</v>
      </c>
      <c r="E3889" s="85">
        <v>19</v>
      </c>
      <c r="F3889" s="85">
        <v>7</v>
      </c>
      <c r="G3889" s="85">
        <f>--(F3889&lt;=Estimator!$B$7)</f>
        <v>0</v>
      </c>
      <c r="H3889" s="86">
        <f>SUMIFS('Climate Data'!$G$7:$G$366,'Climate Data'!$A$7:$A$366,Estimator!$B$4,'Climate Data'!$B$7:$B$366,C3889)</f>
        <v>0.23548387096774193</v>
      </c>
      <c r="I3889" s="87">
        <f>SUMIFS('Climate Data'!$H$7:$H$366,'Climate Data'!$A$7:$A$366,Estimator!$B$4,'Climate Data'!$B$7:$B$366,C3889)</f>
        <v>7.9589041095890414</v>
      </c>
      <c r="J3889" s="86">
        <f>SUMIFS('Wind Proxy'!$H$8:$H$19,'Wind Proxy'!$A$8:$A$19,Estimator!$B$4,'Wind Proxy'!$B$8:$B$19,C3889)</f>
        <v>0</v>
      </c>
    </row>
    <row r="3890" spans="1:10" ht="14.4">
      <c r="A3890" s="84">
        <v>49541</v>
      </c>
      <c r="B3890" s="85">
        <v>2035</v>
      </c>
      <c r="C3890" s="85">
        <v>8</v>
      </c>
      <c r="D3890" s="85" t="s">
        <v>71</v>
      </c>
      <c r="E3890" s="85">
        <v>20</v>
      </c>
      <c r="F3890" s="85">
        <v>1</v>
      </c>
      <c r="G3890" s="85">
        <f>--(F3890&lt;=Estimator!$B$7)</f>
        <v>1</v>
      </c>
      <c r="H3890" s="86">
        <f>SUMIFS('Climate Data'!$G$7:$G$366,'Climate Data'!$A$7:$A$366,Estimator!$B$4,'Climate Data'!$B$7:$B$366,C3890)</f>
        <v>0.23548387096774193</v>
      </c>
      <c r="I3890" s="87">
        <f>SUMIFS('Climate Data'!$H$7:$H$366,'Climate Data'!$A$7:$A$366,Estimator!$B$4,'Climate Data'!$B$7:$B$366,C3890)</f>
        <v>7.9589041095890414</v>
      </c>
      <c r="J3890" s="86">
        <f>SUMIFS('Wind Proxy'!$H$8:$H$19,'Wind Proxy'!$A$8:$A$19,Estimator!$B$4,'Wind Proxy'!$B$8:$B$19,C3890)</f>
        <v>0</v>
      </c>
    </row>
    <row r="3891" spans="1:10" ht="14.4">
      <c r="A3891" s="84">
        <v>49542</v>
      </c>
      <c r="B3891" s="85">
        <v>2035</v>
      </c>
      <c r="C3891" s="85">
        <v>8</v>
      </c>
      <c r="D3891" s="85" t="s">
        <v>71</v>
      </c>
      <c r="E3891" s="85">
        <v>21</v>
      </c>
      <c r="F3891" s="85">
        <v>2</v>
      </c>
      <c r="G3891" s="85">
        <f>--(F3891&lt;=Estimator!$B$7)</f>
        <v>1</v>
      </c>
      <c r="H3891" s="86">
        <f>SUMIFS('Climate Data'!$G$7:$G$366,'Climate Data'!$A$7:$A$366,Estimator!$B$4,'Climate Data'!$B$7:$B$366,C3891)</f>
        <v>0.23548387096774193</v>
      </c>
      <c r="I3891" s="87">
        <f>SUMIFS('Climate Data'!$H$7:$H$366,'Climate Data'!$A$7:$A$366,Estimator!$B$4,'Climate Data'!$B$7:$B$366,C3891)</f>
        <v>7.9589041095890414</v>
      </c>
      <c r="J3891" s="86">
        <f>SUMIFS('Wind Proxy'!$H$8:$H$19,'Wind Proxy'!$A$8:$A$19,Estimator!$B$4,'Wind Proxy'!$B$8:$B$19,C3891)</f>
        <v>0</v>
      </c>
    </row>
    <row r="3892" spans="1:10" ht="14.4">
      <c r="A3892" s="84">
        <v>49543</v>
      </c>
      <c r="B3892" s="85">
        <v>2035</v>
      </c>
      <c r="C3892" s="85">
        <v>8</v>
      </c>
      <c r="D3892" s="85" t="s">
        <v>71</v>
      </c>
      <c r="E3892" s="85">
        <v>22</v>
      </c>
      <c r="F3892" s="85">
        <v>3</v>
      </c>
      <c r="G3892" s="85">
        <f>--(F3892&lt;=Estimator!$B$7)</f>
        <v>1</v>
      </c>
      <c r="H3892" s="86">
        <f>SUMIFS('Climate Data'!$G$7:$G$366,'Climate Data'!$A$7:$A$366,Estimator!$B$4,'Climate Data'!$B$7:$B$366,C3892)</f>
        <v>0.23548387096774193</v>
      </c>
      <c r="I3892" s="87">
        <f>SUMIFS('Climate Data'!$H$7:$H$366,'Climate Data'!$A$7:$A$366,Estimator!$B$4,'Climate Data'!$B$7:$B$366,C3892)</f>
        <v>7.9589041095890414</v>
      </c>
      <c r="J3892" s="86">
        <f>SUMIFS('Wind Proxy'!$H$8:$H$19,'Wind Proxy'!$A$8:$A$19,Estimator!$B$4,'Wind Proxy'!$B$8:$B$19,C3892)</f>
        <v>0</v>
      </c>
    </row>
    <row r="3893" spans="1:10" ht="14.4">
      <c r="A3893" s="84">
        <v>49544</v>
      </c>
      <c r="B3893" s="85">
        <v>2035</v>
      </c>
      <c r="C3893" s="85">
        <v>8</v>
      </c>
      <c r="D3893" s="85" t="s">
        <v>71</v>
      </c>
      <c r="E3893" s="85">
        <v>23</v>
      </c>
      <c r="F3893" s="85">
        <v>4</v>
      </c>
      <c r="G3893" s="85">
        <f>--(F3893&lt;=Estimator!$B$7)</f>
        <v>1</v>
      </c>
      <c r="H3893" s="86">
        <f>SUMIFS('Climate Data'!$G$7:$G$366,'Climate Data'!$A$7:$A$366,Estimator!$B$4,'Climate Data'!$B$7:$B$366,C3893)</f>
        <v>0.23548387096774193</v>
      </c>
      <c r="I3893" s="87">
        <f>SUMIFS('Climate Data'!$H$7:$H$366,'Climate Data'!$A$7:$A$366,Estimator!$B$4,'Climate Data'!$B$7:$B$366,C3893)</f>
        <v>7.9589041095890414</v>
      </c>
      <c r="J3893" s="86">
        <f>SUMIFS('Wind Proxy'!$H$8:$H$19,'Wind Proxy'!$A$8:$A$19,Estimator!$B$4,'Wind Proxy'!$B$8:$B$19,C3893)</f>
        <v>0</v>
      </c>
    </row>
    <row r="3894" spans="1:10" ht="14.4">
      <c r="A3894" s="84">
        <v>49545</v>
      </c>
      <c r="B3894" s="85">
        <v>2035</v>
      </c>
      <c r="C3894" s="85">
        <v>8</v>
      </c>
      <c r="D3894" s="85" t="s">
        <v>71</v>
      </c>
      <c r="E3894" s="85">
        <v>24</v>
      </c>
      <c r="F3894" s="85">
        <v>5</v>
      </c>
      <c r="G3894" s="85">
        <f>--(F3894&lt;=Estimator!$B$7)</f>
        <v>1</v>
      </c>
      <c r="H3894" s="86">
        <f>SUMIFS('Climate Data'!$G$7:$G$366,'Climate Data'!$A$7:$A$366,Estimator!$B$4,'Climate Data'!$B$7:$B$366,C3894)</f>
        <v>0.23548387096774193</v>
      </c>
      <c r="I3894" s="87">
        <f>SUMIFS('Climate Data'!$H$7:$H$366,'Climate Data'!$A$7:$A$366,Estimator!$B$4,'Climate Data'!$B$7:$B$366,C3894)</f>
        <v>7.9589041095890414</v>
      </c>
      <c r="J3894" s="86">
        <f>SUMIFS('Wind Proxy'!$H$8:$H$19,'Wind Proxy'!$A$8:$A$19,Estimator!$B$4,'Wind Proxy'!$B$8:$B$19,C3894)</f>
        <v>0</v>
      </c>
    </row>
    <row r="3895" spans="1:10" ht="14.4">
      <c r="A3895" s="84">
        <v>49546</v>
      </c>
      <c r="B3895" s="85">
        <v>2035</v>
      </c>
      <c r="C3895" s="85">
        <v>8</v>
      </c>
      <c r="D3895" s="85" t="s">
        <v>71</v>
      </c>
      <c r="E3895" s="85">
        <v>25</v>
      </c>
      <c r="F3895" s="85">
        <v>6</v>
      </c>
      <c r="G3895" s="85">
        <f>--(F3895&lt;=Estimator!$B$7)</f>
        <v>0</v>
      </c>
      <c r="H3895" s="86">
        <f>SUMIFS('Climate Data'!$G$7:$G$366,'Climate Data'!$A$7:$A$366,Estimator!$B$4,'Climate Data'!$B$7:$B$366,C3895)</f>
        <v>0.23548387096774193</v>
      </c>
      <c r="I3895" s="87">
        <f>SUMIFS('Climate Data'!$H$7:$H$366,'Climate Data'!$A$7:$A$366,Estimator!$B$4,'Climate Data'!$B$7:$B$366,C3895)</f>
        <v>7.9589041095890414</v>
      </c>
      <c r="J3895" s="86">
        <f>SUMIFS('Wind Proxy'!$H$8:$H$19,'Wind Proxy'!$A$8:$A$19,Estimator!$B$4,'Wind Proxy'!$B$8:$B$19,C3895)</f>
        <v>0</v>
      </c>
    </row>
    <row r="3896" spans="1:10" ht="14.4">
      <c r="A3896" s="84">
        <v>49547</v>
      </c>
      <c r="B3896" s="85">
        <v>2035</v>
      </c>
      <c r="C3896" s="85">
        <v>8</v>
      </c>
      <c r="D3896" s="85" t="s">
        <v>71</v>
      </c>
      <c r="E3896" s="85">
        <v>26</v>
      </c>
      <c r="F3896" s="85">
        <v>7</v>
      </c>
      <c r="G3896" s="85">
        <f>--(F3896&lt;=Estimator!$B$7)</f>
        <v>0</v>
      </c>
      <c r="H3896" s="86">
        <f>SUMIFS('Climate Data'!$G$7:$G$366,'Climate Data'!$A$7:$A$366,Estimator!$B$4,'Climate Data'!$B$7:$B$366,C3896)</f>
        <v>0.23548387096774193</v>
      </c>
      <c r="I3896" s="87">
        <f>SUMIFS('Climate Data'!$H$7:$H$366,'Climate Data'!$A$7:$A$366,Estimator!$B$4,'Climate Data'!$B$7:$B$366,C3896)</f>
        <v>7.9589041095890414</v>
      </c>
      <c r="J3896" s="86">
        <f>SUMIFS('Wind Proxy'!$H$8:$H$19,'Wind Proxy'!$A$8:$A$19,Estimator!$B$4,'Wind Proxy'!$B$8:$B$19,C3896)</f>
        <v>0</v>
      </c>
    </row>
    <row r="3897" spans="1:10" ht="14.4">
      <c r="A3897" s="84">
        <v>49548</v>
      </c>
      <c r="B3897" s="85">
        <v>2035</v>
      </c>
      <c r="C3897" s="85">
        <v>8</v>
      </c>
      <c r="D3897" s="85" t="s">
        <v>71</v>
      </c>
      <c r="E3897" s="85">
        <v>27</v>
      </c>
      <c r="F3897" s="85">
        <v>1</v>
      </c>
      <c r="G3897" s="85">
        <f>--(F3897&lt;=Estimator!$B$7)</f>
        <v>1</v>
      </c>
      <c r="H3897" s="86">
        <f>SUMIFS('Climate Data'!$G$7:$G$366,'Climate Data'!$A$7:$A$366,Estimator!$B$4,'Climate Data'!$B$7:$B$366,C3897)</f>
        <v>0.23548387096774193</v>
      </c>
      <c r="I3897" s="87">
        <f>SUMIFS('Climate Data'!$H$7:$H$366,'Climate Data'!$A$7:$A$366,Estimator!$B$4,'Climate Data'!$B$7:$B$366,C3897)</f>
        <v>7.9589041095890414</v>
      </c>
      <c r="J3897" s="86">
        <f>SUMIFS('Wind Proxy'!$H$8:$H$19,'Wind Proxy'!$A$8:$A$19,Estimator!$B$4,'Wind Proxy'!$B$8:$B$19,C3897)</f>
        <v>0</v>
      </c>
    </row>
    <row r="3898" spans="1:10" ht="14.4">
      <c r="A3898" s="84">
        <v>49549</v>
      </c>
      <c r="B3898" s="85">
        <v>2035</v>
      </c>
      <c r="C3898" s="85">
        <v>8</v>
      </c>
      <c r="D3898" s="85" t="s">
        <v>71</v>
      </c>
      <c r="E3898" s="85">
        <v>28</v>
      </c>
      <c r="F3898" s="85">
        <v>2</v>
      </c>
      <c r="G3898" s="85">
        <f>--(F3898&lt;=Estimator!$B$7)</f>
        <v>1</v>
      </c>
      <c r="H3898" s="86">
        <f>SUMIFS('Climate Data'!$G$7:$G$366,'Climate Data'!$A$7:$A$366,Estimator!$B$4,'Climate Data'!$B$7:$B$366,C3898)</f>
        <v>0.23548387096774193</v>
      </c>
      <c r="I3898" s="87">
        <f>SUMIFS('Climate Data'!$H$7:$H$366,'Climate Data'!$A$7:$A$366,Estimator!$B$4,'Climate Data'!$B$7:$B$366,C3898)</f>
        <v>7.9589041095890414</v>
      </c>
      <c r="J3898" s="86">
        <f>SUMIFS('Wind Proxy'!$H$8:$H$19,'Wind Proxy'!$A$8:$A$19,Estimator!$B$4,'Wind Proxy'!$B$8:$B$19,C3898)</f>
        <v>0</v>
      </c>
    </row>
    <row r="3899" spans="1:10" ht="14.4">
      <c r="A3899" s="84">
        <v>49550</v>
      </c>
      <c r="B3899" s="85">
        <v>2035</v>
      </c>
      <c r="C3899" s="85">
        <v>8</v>
      </c>
      <c r="D3899" s="85" t="s">
        <v>71</v>
      </c>
      <c r="E3899" s="85">
        <v>29</v>
      </c>
      <c r="F3899" s="85">
        <v>3</v>
      </c>
      <c r="G3899" s="85">
        <f>--(F3899&lt;=Estimator!$B$7)</f>
        <v>1</v>
      </c>
      <c r="H3899" s="86">
        <f>SUMIFS('Climate Data'!$G$7:$G$366,'Climate Data'!$A$7:$A$366,Estimator!$B$4,'Climate Data'!$B$7:$B$366,C3899)</f>
        <v>0.23548387096774193</v>
      </c>
      <c r="I3899" s="87">
        <f>SUMIFS('Climate Data'!$H$7:$H$366,'Climate Data'!$A$7:$A$366,Estimator!$B$4,'Climate Data'!$B$7:$B$366,C3899)</f>
        <v>7.9589041095890414</v>
      </c>
      <c r="J3899" s="86">
        <f>SUMIFS('Wind Proxy'!$H$8:$H$19,'Wind Proxy'!$A$8:$A$19,Estimator!$B$4,'Wind Proxy'!$B$8:$B$19,C3899)</f>
        <v>0</v>
      </c>
    </row>
    <row r="3900" spans="1:10" ht="14.4">
      <c r="A3900" s="84">
        <v>49551</v>
      </c>
      <c r="B3900" s="85">
        <v>2035</v>
      </c>
      <c r="C3900" s="85">
        <v>8</v>
      </c>
      <c r="D3900" s="85" t="s">
        <v>71</v>
      </c>
      <c r="E3900" s="85">
        <v>30</v>
      </c>
      <c r="F3900" s="85">
        <v>4</v>
      </c>
      <c r="G3900" s="85">
        <f>--(F3900&lt;=Estimator!$B$7)</f>
        <v>1</v>
      </c>
      <c r="H3900" s="86">
        <f>SUMIFS('Climate Data'!$G$7:$G$366,'Climate Data'!$A$7:$A$366,Estimator!$B$4,'Climate Data'!$B$7:$B$366,C3900)</f>
        <v>0.23548387096774193</v>
      </c>
      <c r="I3900" s="87">
        <f>SUMIFS('Climate Data'!$H$7:$H$366,'Climate Data'!$A$7:$A$366,Estimator!$B$4,'Climate Data'!$B$7:$B$366,C3900)</f>
        <v>7.9589041095890414</v>
      </c>
      <c r="J3900" s="86">
        <f>SUMIFS('Wind Proxy'!$H$8:$H$19,'Wind Proxy'!$A$8:$A$19,Estimator!$B$4,'Wind Proxy'!$B$8:$B$19,C3900)</f>
        <v>0</v>
      </c>
    </row>
    <row r="3901" spans="1:10" ht="14.4">
      <c r="A3901" s="84">
        <v>49552</v>
      </c>
      <c r="B3901" s="85">
        <v>2035</v>
      </c>
      <c r="C3901" s="85">
        <v>8</v>
      </c>
      <c r="D3901" s="85" t="s">
        <v>71</v>
      </c>
      <c r="E3901" s="85">
        <v>31</v>
      </c>
      <c r="F3901" s="85">
        <v>5</v>
      </c>
      <c r="G3901" s="85">
        <f>--(F3901&lt;=Estimator!$B$7)</f>
        <v>1</v>
      </c>
      <c r="H3901" s="86">
        <f>SUMIFS('Climate Data'!$G$7:$G$366,'Climate Data'!$A$7:$A$366,Estimator!$B$4,'Climate Data'!$B$7:$B$366,C3901)</f>
        <v>0.23548387096774193</v>
      </c>
      <c r="I3901" s="87">
        <f>SUMIFS('Climate Data'!$H$7:$H$366,'Climate Data'!$A$7:$A$366,Estimator!$B$4,'Climate Data'!$B$7:$B$366,C3901)</f>
        <v>7.9589041095890414</v>
      </c>
      <c r="J3901" s="86">
        <f>SUMIFS('Wind Proxy'!$H$8:$H$19,'Wind Proxy'!$A$8:$A$19,Estimator!$B$4,'Wind Proxy'!$B$8:$B$19,C3901)</f>
        <v>0</v>
      </c>
    </row>
    <row r="3902" spans="1:10" ht="14.4">
      <c r="A3902" s="84">
        <v>49553</v>
      </c>
      <c r="B3902" s="85">
        <v>2035</v>
      </c>
      <c r="C3902" s="85">
        <v>9</v>
      </c>
      <c r="D3902" s="85" t="s">
        <v>73</v>
      </c>
      <c r="E3902" s="85">
        <v>1</v>
      </c>
      <c r="F3902" s="85">
        <v>6</v>
      </c>
      <c r="G3902" s="85">
        <f>--(F3902&lt;=Estimator!$B$7)</f>
        <v>0</v>
      </c>
      <c r="H3902" s="86">
        <f>SUMIFS('Climate Data'!$G$7:$G$366,'Climate Data'!$A$7:$A$366,Estimator!$B$4,'Climate Data'!$B$7:$B$366,C3902)</f>
        <v>0.20666666666666667</v>
      </c>
      <c r="I3902" s="87">
        <f>SUMIFS('Climate Data'!$H$7:$H$366,'Climate Data'!$A$7:$A$366,Estimator!$B$4,'Climate Data'!$B$7:$B$366,C3902)</f>
        <v>6.806451612903226</v>
      </c>
      <c r="J3902" s="86">
        <f>SUMIFS('Wind Proxy'!$H$8:$H$19,'Wind Proxy'!$A$8:$A$19,Estimator!$B$4,'Wind Proxy'!$B$8:$B$19,C3902)</f>
        <v>0</v>
      </c>
    </row>
    <row r="3903" spans="1:10" ht="14.4">
      <c r="A3903" s="84">
        <v>49554</v>
      </c>
      <c r="B3903" s="85">
        <v>2035</v>
      </c>
      <c r="C3903" s="85">
        <v>9</v>
      </c>
      <c r="D3903" s="85" t="s">
        <v>73</v>
      </c>
      <c r="E3903" s="85">
        <v>2</v>
      </c>
      <c r="F3903" s="85">
        <v>7</v>
      </c>
      <c r="G3903" s="85">
        <f>--(F3903&lt;=Estimator!$B$7)</f>
        <v>0</v>
      </c>
      <c r="H3903" s="86">
        <f>SUMIFS('Climate Data'!$G$7:$G$366,'Climate Data'!$A$7:$A$366,Estimator!$B$4,'Climate Data'!$B$7:$B$366,C3903)</f>
        <v>0.20666666666666667</v>
      </c>
      <c r="I3903" s="87">
        <f>SUMIFS('Climate Data'!$H$7:$H$366,'Climate Data'!$A$7:$A$366,Estimator!$B$4,'Climate Data'!$B$7:$B$366,C3903)</f>
        <v>6.806451612903226</v>
      </c>
      <c r="J3903" s="86">
        <f>SUMIFS('Wind Proxy'!$H$8:$H$19,'Wind Proxy'!$A$8:$A$19,Estimator!$B$4,'Wind Proxy'!$B$8:$B$19,C3903)</f>
        <v>0</v>
      </c>
    </row>
    <row r="3904" spans="1:10" ht="14.4">
      <c r="A3904" s="84">
        <v>49555</v>
      </c>
      <c r="B3904" s="85">
        <v>2035</v>
      </c>
      <c r="C3904" s="85">
        <v>9</v>
      </c>
      <c r="D3904" s="85" t="s">
        <v>73</v>
      </c>
      <c r="E3904" s="85">
        <v>3</v>
      </c>
      <c r="F3904" s="85">
        <v>1</v>
      </c>
      <c r="G3904" s="85">
        <f>--(F3904&lt;=Estimator!$B$7)</f>
        <v>1</v>
      </c>
      <c r="H3904" s="86">
        <f>SUMIFS('Climate Data'!$G$7:$G$366,'Climate Data'!$A$7:$A$366,Estimator!$B$4,'Climate Data'!$B$7:$B$366,C3904)</f>
        <v>0.20666666666666667</v>
      </c>
      <c r="I3904" s="87">
        <f>SUMIFS('Climate Data'!$H$7:$H$366,'Climate Data'!$A$7:$A$366,Estimator!$B$4,'Climate Data'!$B$7:$B$366,C3904)</f>
        <v>6.806451612903226</v>
      </c>
      <c r="J3904" s="86">
        <f>SUMIFS('Wind Proxy'!$H$8:$H$19,'Wind Proxy'!$A$8:$A$19,Estimator!$B$4,'Wind Proxy'!$B$8:$B$19,C3904)</f>
        <v>0</v>
      </c>
    </row>
    <row r="3905" spans="1:10" ht="14.4">
      <c r="A3905" s="84">
        <v>49556</v>
      </c>
      <c r="B3905" s="85">
        <v>2035</v>
      </c>
      <c r="C3905" s="85">
        <v>9</v>
      </c>
      <c r="D3905" s="85" t="s">
        <v>73</v>
      </c>
      <c r="E3905" s="85">
        <v>4</v>
      </c>
      <c r="F3905" s="85">
        <v>2</v>
      </c>
      <c r="G3905" s="85">
        <f>--(F3905&lt;=Estimator!$B$7)</f>
        <v>1</v>
      </c>
      <c r="H3905" s="86">
        <f>SUMIFS('Climate Data'!$G$7:$G$366,'Climate Data'!$A$7:$A$366,Estimator!$B$4,'Climate Data'!$B$7:$B$366,C3905)</f>
        <v>0.20666666666666667</v>
      </c>
      <c r="I3905" s="87">
        <f>SUMIFS('Climate Data'!$H$7:$H$366,'Climate Data'!$A$7:$A$366,Estimator!$B$4,'Climate Data'!$B$7:$B$366,C3905)</f>
        <v>6.806451612903226</v>
      </c>
      <c r="J3905" s="86">
        <f>SUMIFS('Wind Proxy'!$H$8:$H$19,'Wind Proxy'!$A$8:$A$19,Estimator!$B$4,'Wind Proxy'!$B$8:$B$19,C3905)</f>
        <v>0</v>
      </c>
    </row>
    <row r="3906" spans="1:10" ht="14.4">
      <c r="A3906" s="84">
        <v>49557</v>
      </c>
      <c r="B3906" s="85">
        <v>2035</v>
      </c>
      <c r="C3906" s="85">
        <v>9</v>
      </c>
      <c r="D3906" s="85" t="s">
        <v>73</v>
      </c>
      <c r="E3906" s="85">
        <v>5</v>
      </c>
      <c r="F3906" s="85">
        <v>3</v>
      </c>
      <c r="G3906" s="85">
        <f>--(F3906&lt;=Estimator!$B$7)</f>
        <v>1</v>
      </c>
      <c r="H3906" s="86">
        <f>SUMIFS('Climate Data'!$G$7:$G$366,'Climate Data'!$A$7:$A$366,Estimator!$B$4,'Climate Data'!$B$7:$B$366,C3906)</f>
        <v>0.20666666666666667</v>
      </c>
      <c r="I3906" s="87">
        <f>SUMIFS('Climate Data'!$H$7:$H$366,'Climate Data'!$A$7:$A$366,Estimator!$B$4,'Climate Data'!$B$7:$B$366,C3906)</f>
        <v>6.806451612903226</v>
      </c>
      <c r="J3906" s="86">
        <f>SUMIFS('Wind Proxy'!$H$8:$H$19,'Wind Proxy'!$A$8:$A$19,Estimator!$B$4,'Wind Proxy'!$B$8:$B$19,C3906)</f>
        <v>0</v>
      </c>
    </row>
    <row r="3907" spans="1:10" ht="14.4">
      <c r="A3907" s="84">
        <v>49558</v>
      </c>
      <c r="B3907" s="85">
        <v>2035</v>
      </c>
      <c r="C3907" s="85">
        <v>9</v>
      </c>
      <c r="D3907" s="85" t="s">
        <v>73</v>
      </c>
      <c r="E3907" s="85">
        <v>6</v>
      </c>
      <c r="F3907" s="85">
        <v>4</v>
      </c>
      <c r="G3907" s="85">
        <f>--(F3907&lt;=Estimator!$B$7)</f>
        <v>1</v>
      </c>
      <c r="H3907" s="86">
        <f>SUMIFS('Climate Data'!$G$7:$G$366,'Climate Data'!$A$7:$A$366,Estimator!$B$4,'Climate Data'!$B$7:$B$366,C3907)</f>
        <v>0.20666666666666667</v>
      </c>
      <c r="I3907" s="87">
        <f>SUMIFS('Climate Data'!$H$7:$H$366,'Climate Data'!$A$7:$A$366,Estimator!$B$4,'Climate Data'!$B$7:$B$366,C3907)</f>
        <v>6.806451612903226</v>
      </c>
      <c r="J3907" s="86">
        <f>SUMIFS('Wind Proxy'!$H$8:$H$19,'Wind Proxy'!$A$8:$A$19,Estimator!$B$4,'Wind Proxy'!$B$8:$B$19,C3907)</f>
        <v>0</v>
      </c>
    </row>
    <row r="3908" spans="1:10" ht="14.4">
      <c r="A3908" s="84">
        <v>49559</v>
      </c>
      <c r="B3908" s="85">
        <v>2035</v>
      </c>
      <c r="C3908" s="85">
        <v>9</v>
      </c>
      <c r="D3908" s="85" t="s">
        <v>73</v>
      </c>
      <c r="E3908" s="85">
        <v>7</v>
      </c>
      <c r="F3908" s="85">
        <v>5</v>
      </c>
      <c r="G3908" s="85">
        <f>--(F3908&lt;=Estimator!$B$7)</f>
        <v>1</v>
      </c>
      <c r="H3908" s="86">
        <f>SUMIFS('Climate Data'!$G$7:$G$366,'Climate Data'!$A$7:$A$366,Estimator!$B$4,'Climate Data'!$B$7:$B$366,C3908)</f>
        <v>0.20666666666666667</v>
      </c>
      <c r="I3908" s="87">
        <f>SUMIFS('Climate Data'!$H$7:$H$366,'Climate Data'!$A$7:$A$366,Estimator!$B$4,'Climate Data'!$B$7:$B$366,C3908)</f>
        <v>6.806451612903226</v>
      </c>
      <c r="J3908" s="86">
        <f>SUMIFS('Wind Proxy'!$H$8:$H$19,'Wind Proxy'!$A$8:$A$19,Estimator!$B$4,'Wind Proxy'!$B$8:$B$19,C3908)</f>
        <v>0</v>
      </c>
    </row>
    <row r="3909" spans="1:10" ht="14.4">
      <c r="A3909" s="84">
        <v>49560</v>
      </c>
      <c r="B3909" s="85">
        <v>2035</v>
      </c>
      <c r="C3909" s="85">
        <v>9</v>
      </c>
      <c r="D3909" s="85" t="s">
        <v>73</v>
      </c>
      <c r="E3909" s="85">
        <v>8</v>
      </c>
      <c r="F3909" s="85">
        <v>6</v>
      </c>
      <c r="G3909" s="85">
        <f>--(F3909&lt;=Estimator!$B$7)</f>
        <v>0</v>
      </c>
      <c r="H3909" s="86">
        <f>SUMIFS('Climate Data'!$G$7:$G$366,'Climate Data'!$A$7:$A$366,Estimator!$B$4,'Climate Data'!$B$7:$B$366,C3909)</f>
        <v>0.20666666666666667</v>
      </c>
      <c r="I3909" s="87">
        <f>SUMIFS('Climate Data'!$H$7:$H$366,'Climate Data'!$A$7:$A$366,Estimator!$B$4,'Climate Data'!$B$7:$B$366,C3909)</f>
        <v>6.806451612903226</v>
      </c>
      <c r="J3909" s="86">
        <f>SUMIFS('Wind Proxy'!$H$8:$H$19,'Wind Proxy'!$A$8:$A$19,Estimator!$B$4,'Wind Proxy'!$B$8:$B$19,C3909)</f>
        <v>0</v>
      </c>
    </row>
    <row r="3910" spans="1:10" ht="14.4">
      <c r="A3910" s="84">
        <v>49561</v>
      </c>
      <c r="B3910" s="85">
        <v>2035</v>
      </c>
      <c r="C3910" s="85">
        <v>9</v>
      </c>
      <c r="D3910" s="85" t="s">
        <v>73</v>
      </c>
      <c r="E3910" s="85">
        <v>9</v>
      </c>
      <c r="F3910" s="85">
        <v>7</v>
      </c>
      <c r="G3910" s="85">
        <f>--(F3910&lt;=Estimator!$B$7)</f>
        <v>0</v>
      </c>
      <c r="H3910" s="86">
        <f>SUMIFS('Climate Data'!$G$7:$G$366,'Climate Data'!$A$7:$A$366,Estimator!$B$4,'Climate Data'!$B$7:$B$366,C3910)</f>
        <v>0.20666666666666667</v>
      </c>
      <c r="I3910" s="87">
        <f>SUMIFS('Climate Data'!$H$7:$H$366,'Climate Data'!$A$7:$A$366,Estimator!$B$4,'Climate Data'!$B$7:$B$366,C3910)</f>
        <v>6.806451612903226</v>
      </c>
      <c r="J3910" s="86">
        <f>SUMIFS('Wind Proxy'!$H$8:$H$19,'Wind Proxy'!$A$8:$A$19,Estimator!$B$4,'Wind Proxy'!$B$8:$B$19,C3910)</f>
        <v>0</v>
      </c>
    </row>
    <row r="3911" spans="1:10" ht="14.4">
      <c r="A3911" s="84">
        <v>49562</v>
      </c>
      <c r="B3911" s="85">
        <v>2035</v>
      </c>
      <c r="C3911" s="85">
        <v>9</v>
      </c>
      <c r="D3911" s="85" t="s">
        <v>73</v>
      </c>
      <c r="E3911" s="85">
        <v>10</v>
      </c>
      <c r="F3911" s="85">
        <v>1</v>
      </c>
      <c r="G3911" s="85">
        <f>--(F3911&lt;=Estimator!$B$7)</f>
        <v>1</v>
      </c>
      <c r="H3911" s="86">
        <f>SUMIFS('Climate Data'!$G$7:$G$366,'Climate Data'!$A$7:$A$366,Estimator!$B$4,'Climate Data'!$B$7:$B$366,C3911)</f>
        <v>0.20666666666666667</v>
      </c>
      <c r="I3911" s="87">
        <f>SUMIFS('Climate Data'!$H$7:$H$366,'Climate Data'!$A$7:$A$366,Estimator!$B$4,'Climate Data'!$B$7:$B$366,C3911)</f>
        <v>6.806451612903226</v>
      </c>
      <c r="J3911" s="86">
        <f>SUMIFS('Wind Proxy'!$H$8:$H$19,'Wind Proxy'!$A$8:$A$19,Estimator!$B$4,'Wind Proxy'!$B$8:$B$19,C3911)</f>
        <v>0</v>
      </c>
    </row>
    <row r="3912" spans="1:10" ht="14.4">
      <c r="A3912" s="84">
        <v>49563</v>
      </c>
      <c r="B3912" s="85">
        <v>2035</v>
      </c>
      <c r="C3912" s="85">
        <v>9</v>
      </c>
      <c r="D3912" s="85" t="s">
        <v>73</v>
      </c>
      <c r="E3912" s="85">
        <v>11</v>
      </c>
      <c r="F3912" s="85">
        <v>2</v>
      </c>
      <c r="G3912" s="85">
        <f>--(F3912&lt;=Estimator!$B$7)</f>
        <v>1</v>
      </c>
      <c r="H3912" s="86">
        <f>SUMIFS('Climate Data'!$G$7:$G$366,'Climate Data'!$A$7:$A$366,Estimator!$B$4,'Climate Data'!$B$7:$B$366,C3912)</f>
        <v>0.20666666666666667</v>
      </c>
      <c r="I3912" s="87">
        <f>SUMIFS('Climate Data'!$H$7:$H$366,'Climate Data'!$A$7:$A$366,Estimator!$B$4,'Climate Data'!$B$7:$B$366,C3912)</f>
        <v>6.806451612903226</v>
      </c>
      <c r="J3912" s="86">
        <f>SUMIFS('Wind Proxy'!$H$8:$H$19,'Wind Proxy'!$A$8:$A$19,Estimator!$B$4,'Wind Proxy'!$B$8:$B$19,C3912)</f>
        <v>0</v>
      </c>
    </row>
    <row r="3913" spans="1:10" ht="14.4">
      <c r="A3913" s="84">
        <v>49564</v>
      </c>
      <c r="B3913" s="85">
        <v>2035</v>
      </c>
      <c r="C3913" s="85">
        <v>9</v>
      </c>
      <c r="D3913" s="85" t="s">
        <v>73</v>
      </c>
      <c r="E3913" s="85">
        <v>12</v>
      </c>
      <c r="F3913" s="85">
        <v>3</v>
      </c>
      <c r="G3913" s="85">
        <f>--(F3913&lt;=Estimator!$B$7)</f>
        <v>1</v>
      </c>
      <c r="H3913" s="86">
        <f>SUMIFS('Climate Data'!$G$7:$G$366,'Climate Data'!$A$7:$A$366,Estimator!$B$4,'Climate Data'!$B$7:$B$366,C3913)</f>
        <v>0.20666666666666667</v>
      </c>
      <c r="I3913" s="87">
        <f>SUMIFS('Climate Data'!$H$7:$H$366,'Climate Data'!$A$7:$A$366,Estimator!$B$4,'Climate Data'!$B$7:$B$366,C3913)</f>
        <v>6.806451612903226</v>
      </c>
      <c r="J3913" s="86">
        <f>SUMIFS('Wind Proxy'!$H$8:$H$19,'Wind Proxy'!$A$8:$A$19,Estimator!$B$4,'Wind Proxy'!$B$8:$B$19,C3913)</f>
        <v>0</v>
      </c>
    </row>
    <row r="3914" spans="1:10" ht="14.4">
      <c r="A3914" s="84">
        <v>49565</v>
      </c>
      <c r="B3914" s="85">
        <v>2035</v>
      </c>
      <c r="C3914" s="85">
        <v>9</v>
      </c>
      <c r="D3914" s="85" t="s">
        <v>73</v>
      </c>
      <c r="E3914" s="85">
        <v>13</v>
      </c>
      <c r="F3914" s="85">
        <v>4</v>
      </c>
      <c r="G3914" s="85">
        <f>--(F3914&lt;=Estimator!$B$7)</f>
        <v>1</v>
      </c>
      <c r="H3914" s="86">
        <f>SUMIFS('Climate Data'!$G$7:$G$366,'Climate Data'!$A$7:$A$366,Estimator!$B$4,'Climate Data'!$B$7:$B$366,C3914)</f>
        <v>0.20666666666666667</v>
      </c>
      <c r="I3914" s="87">
        <f>SUMIFS('Climate Data'!$H$7:$H$366,'Climate Data'!$A$7:$A$366,Estimator!$B$4,'Climate Data'!$B$7:$B$366,C3914)</f>
        <v>6.806451612903226</v>
      </c>
      <c r="J3914" s="86">
        <f>SUMIFS('Wind Proxy'!$H$8:$H$19,'Wind Proxy'!$A$8:$A$19,Estimator!$B$4,'Wind Proxy'!$B$8:$B$19,C3914)</f>
        <v>0</v>
      </c>
    </row>
    <row r="3915" spans="1:10" ht="14.4">
      <c r="A3915" s="84">
        <v>49566</v>
      </c>
      <c r="B3915" s="85">
        <v>2035</v>
      </c>
      <c r="C3915" s="85">
        <v>9</v>
      </c>
      <c r="D3915" s="85" t="s">
        <v>73</v>
      </c>
      <c r="E3915" s="85">
        <v>14</v>
      </c>
      <c r="F3915" s="85">
        <v>5</v>
      </c>
      <c r="G3915" s="85">
        <f>--(F3915&lt;=Estimator!$B$7)</f>
        <v>1</v>
      </c>
      <c r="H3915" s="86">
        <f>SUMIFS('Climate Data'!$G$7:$G$366,'Climate Data'!$A$7:$A$366,Estimator!$B$4,'Climate Data'!$B$7:$B$366,C3915)</f>
        <v>0.20666666666666667</v>
      </c>
      <c r="I3915" s="87">
        <f>SUMIFS('Climate Data'!$H$7:$H$366,'Climate Data'!$A$7:$A$366,Estimator!$B$4,'Climate Data'!$B$7:$B$366,C3915)</f>
        <v>6.806451612903226</v>
      </c>
      <c r="J3915" s="86">
        <f>SUMIFS('Wind Proxy'!$H$8:$H$19,'Wind Proxy'!$A$8:$A$19,Estimator!$B$4,'Wind Proxy'!$B$8:$B$19,C3915)</f>
        <v>0</v>
      </c>
    </row>
    <row r="3916" spans="1:10" ht="14.4">
      <c r="A3916" s="84">
        <v>49567</v>
      </c>
      <c r="B3916" s="85">
        <v>2035</v>
      </c>
      <c r="C3916" s="85">
        <v>9</v>
      </c>
      <c r="D3916" s="85" t="s">
        <v>73</v>
      </c>
      <c r="E3916" s="85">
        <v>15</v>
      </c>
      <c r="F3916" s="85">
        <v>6</v>
      </c>
      <c r="G3916" s="85">
        <f>--(F3916&lt;=Estimator!$B$7)</f>
        <v>0</v>
      </c>
      <c r="H3916" s="86">
        <f>SUMIFS('Climate Data'!$G$7:$G$366,'Climate Data'!$A$7:$A$366,Estimator!$B$4,'Climate Data'!$B$7:$B$366,C3916)</f>
        <v>0.20666666666666667</v>
      </c>
      <c r="I3916" s="87">
        <f>SUMIFS('Climate Data'!$H$7:$H$366,'Climate Data'!$A$7:$A$366,Estimator!$B$4,'Climate Data'!$B$7:$B$366,C3916)</f>
        <v>6.806451612903226</v>
      </c>
      <c r="J3916" s="86">
        <f>SUMIFS('Wind Proxy'!$H$8:$H$19,'Wind Proxy'!$A$8:$A$19,Estimator!$B$4,'Wind Proxy'!$B$8:$B$19,C3916)</f>
        <v>0</v>
      </c>
    </row>
    <row r="3917" spans="1:10" ht="14.4">
      <c r="A3917" s="84">
        <v>49568</v>
      </c>
      <c r="B3917" s="85">
        <v>2035</v>
      </c>
      <c r="C3917" s="85">
        <v>9</v>
      </c>
      <c r="D3917" s="85" t="s">
        <v>73</v>
      </c>
      <c r="E3917" s="85">
        <v>16</v>
      </c>
      <c r="F3917" s="85">
        <v>7</v>
      </c>
      <c r="G3917" s="85">
        <f>--(F3917&lt;=Estimator!$B$7)</f>
        <v>0</v>
      </c>
      <c r="H3917" s="86">
        <f>SUMIFS('Climate Data'!$G$7:$G$366,'Climate Data'!$A$7:$A$366,Estimator!$B$4,'Climate Data'!$B$7:$B$366,C3917)</f>
        <v>0.20666666666666667</v>
      </c>
      <c r="I3917" s="87">
        <f>SUMIFS('Climate Data'!$H$7:$H$366,'Climate Data'!$A$7:$A$366,Estimator!$B$4,'Climate Data'!$B$7:$B$366,C3917)</f>
        <v>6.806451612903226</v>
      </c>
      <c r="J3917" s="86">
        <f>SUMIFS('Wind Proxy'!$H$8:$H$19,'Wind Proxy'!$A$8:$A$19,Estimator!$B$4,'Wind Proxy'!$B$8:$B$19,C3917)</f>
        <v>0</v>
      </c>
    </row>
    <row r="3918" spans="1:10" ht="14.4">
      <c r="A3918" s="84">
        <v>49569</v>
      </c>
      <c r="B3918" s="85">
        <v>2035</v>
      </c>
      <c r="C3918" s="85">
        <v>9</v>
      </c>
      <c r="D3918" s="85" t="s">
        <v>73</v>
      </c>
      <c r="E3918" s="85">
        <v>17</v>
      </c>
      <c r="F3918" s="85">
        <v>1</v>
      </c>
      <c r="G3918" s="85">
        <f>--(F3918&lt;=Estimator!$B$7)</f>
        <v>1</v>
      </c>
      <c r="H3918" s="86">
        <f>SUMIFS('Climate Data'!$G$7:$G$366,'Climate Data'!$A$7:$A$366,Estimator!$B$4,'Climate Data'!$B$7:$B$366,C3918)</f>
        <v>0.20666666666666667</v>
      </c>
      <c r="I3918" s="87">
        <f>SUMIFS('Climate Data'!$H$7:$H$366,'Climate Data'!$A$7:$A$366,Estimator!$B$4,'Climate Data'!$B$7:$B$366,C3918)</f>
        <v>6.806451612903226</v>
      </c>
      <c r="J3918" s="86">
        <f>SUMIFS('Wind Proxy'!$H$8:$H$19,'Wind Proxy'!$A$8:$A$19,Estimator!$B$4,'Wind Proxy'!$B$8:$B$19,C3918)</f>
        <v>0</v>
      </c>
    </row>
    <row r="3919" spans="1:10" ht="14.4">
      <c r="A3919" s="84">
        <v>49570</v>
      </c>
      <c r="B3919" s="85">
        <v>2035</v>
      </c>
      <c r="C3919" s="85">
        <v>9</v>
      </c>
      <c r="D3919" s="85" t="s">
        <v>73</v>
      </c>
      <c r="E3919" s="85">
        <v>18</v>
      </c>
      <c r="F3919" s="85">
        <v>2</v>
      </c>
      <c r="G3919" s="85">
        <f>--(F3919&lt;=Estimator!$B$7)</f>
        <v>1</v>
      </c>
      <c r="H3919" s="86">
        <f>SUMIFS('Climate Data'!$G$7:$G$366,'Climate Data'!$A$7:$A$366,Estimator!$B$4,'Climate Data'!$B$7:$B$366,C3919)</f>
        <v>0.20666666666666667</v>
      </c>
      <c r="I3919" s="87">
        <f>SUMIFS('Climate Data'!$H$7:$H$366,'Climate Data'!$A$7:$A$366,Estimator!$B$4,'Climate Data'!$B$7:$B$366,C3919)</f>
        <v>6.806451612903226</v>
      </c>
      <c r="J3919" s="86">
        <f>SUMIFS('Wind Proxy'!$H$8:$H$19,'Wind Proxy'!$A$8:$A$19,Estimator!$B$4,'Wind Proxy'!$B$8:$B$19,C3919)</f>
        <v>0</v>
      </c>
    </row>
    <row r="3920" spans="1:10" ht="14.4">
      <c r="A3920" s="84">
        <v>49571</v>
      </c>
      <c r="B3920" s="85">
        <v>2035</v>
      </c>
      <c r="C3920" s="85">
        <v>9</v>
      </c>
      <c r="D3920" s="85" t="s">
        <v>73</v>
      </c>
      <c r="E3920" s="85">
        <v>19</v>
      </c>
      <c r="F3920" s="85">
        <v>3</v>
      </c>
      <c r="G3920" s="85">
        <f>--(F3920&lt;=Estimator!$B$7)</f>
        <v>1</v>
      </c>
      <c r="H3920" s="86">
        <f>SUMIFS('Climate Data'!$G$7:$G$366,'Climate Data'!$A$7:$A$366,Estimator!$B$4,'Climate Data'!$B$7:$B$366,C3920)</f>
        <v>0.20666666666666667</v>
      </c>
      <c r="I3920" s="87">
        <f>SUMIFS('Climate Data'!$H$7:$H$366,'Climate Data'!$A$7:$A$366,Estimator!$B$4,'Climate Data'!$B$7:$B$366,C3920)</f>
        <v>6.806451612903226</v>
      </c>
      <c r="J3920" s="86">
        <f>SUMIFS('Wind Proxy'!$H$8:$H$19,'Wind Proxy'!$A$8:$A$19,Estimator!$B$4,'Wind Proxy'!$B$8:$B$19,C3920)</f>
        <v>0</v>
      </c>
    </row>
    <row r="3921" spans="1:10" ht="14.4">
      <c r="A3921" s="84">
        <v>49572</v>
      </c>
      <c r="B3921" s="85">
        <v>2035</v>
      </c>
      <c r="C3921" s="85">
        <v>9</v>
      </c>
      <c r="D3921" s="85" t="s">
        <v>73</v>
      </c>
      <c r="E3921" s="85">
        <v>20</v>
      </c>
      <c r="F3921" s="85">
        <v>4</v>
      </c>
      <c r="G3921" s="85">
        <f>--(F3921&lt;=Estimator!$B$7)</f>
        <v>1</v>
      </c>
      <c r="H3921" s="86">
        <f>SUMIFS('Climate Data'!$G$7:$G$366,'Climate Data'!$A$7:$A$366,Estimator!$B$4,'Climate Data'!$B$7:$B$366,C3921)</f>
        <v>0.20666666666666667</v>
      </c>
      <c r="I3921" s="87">
        <f>SUMIFS('Climate Data'!$H$7:$H$366,'Climate Data'!$A$7:$A$366,Estimator!$B$4,'Climate Data'!$B$7:$B$366,C3921)</f>
        <v>6.806451612903226</v>
      </c>
      <c r="J3921" s="86">
        <f>SUMIFS('Wind Proxy'!$H$8:$H$19,'Wind Proxy'!$A$8:$A$19,Estimator!$B$4,'Wind Proxy'!$B$8:$B$19,C3921)</f>
        <v>0</v>
      </c>
    </row>
    <row r="3922" spans="1:10" ht="14.4">
      <c r="A3922" s="84">
        <v>49573</v>
      </c>
      <c r="B3922" s="85">
        <v>2035</v>
      </c>
      <c r="C3922" s="85">
        <v>9</v>
      </c>
      <c r="D3922" s="85" t="s">
        <v>73</v>
      </c>
      <c r="E3922" s="85">
        <v>21</v>
      </c>
      <c r="F3922" s="85">
        <v>5</v>
      </c>
      <c r="G3922" s="85">
        <f>--(F3922&lt;=Estimator!$B$7)</f>
        <v>1</v>
      </c>
      <c r="H3922" s="86">
        <f>SUMIFS('Climate Data'!$G$7:$G$366,'Climate Data'!$A$7:$A$366,Estimator!$B$4,'Climate Data'!$B$7:$B$366,C3922)</f>
        <v>0.20666666666666667</v>
      </c>
      <c r="I3922" s="87">
        <f>SUMIFS('Climate Data'!$H$7:$H$366,'Climate Data'!$A$7:$A$366,Estimator!$B$4,'Climate Data'!$B$7:$B$366,C3922)</f>
        <v>6.806451612903226</v>
      </c>
      <c r="J3922" s="86">
        <f>SUMIFS('Wind Proxy'!$H$8:$H$19,'Wind Proxy'!$A$8:$A$19,Estimator!$B$4,'Wind Proxy'!$B$8:$B$19,C3922)</f>
        <v>0</v>
      </c>
    </row>
    <row r="3923" spans="1:10" ht="14.4">
      <c r="A3923" s="84">
        <v>49574</v>
      </c>
      <c r="B3923" s="85">
        <v>2035</v>
      </c>
      <c r="C3923" s="85">
        <v>9</v>
      </c>
      <c r="D3923" s="85" t="s">
        <v>73</v>
      </c>
      <c r="E3923" s="85">
        <v>22</v>
      </c>
      <c r="F3923" s="85">
        <v>6</v>
      </c>
      <c r="G3923" s="85">
        <f>--(F3923&lt;=Estimator!$B$7)</f>
        <v>0</v>
      </c>
      <c r="H3923" s="86">
        <f>SUMIFS('Climate Data'!$G$7:$G$366,'Climate Data'!$A$7:$A$366,Estimator!$B$4,'Climate Data'!$B$7:$B$366,C3923)</f>
        <v>0.20666666666666667</v>
      </c>
      <c r="I3923" s="87">
        <f>SUMIFS('Climate Data'!$H$7:$H$366,'Climate Data'!$A$7:$A$366,Estimator!$B$4,'Climate Data'!$B$7:$B$366,C3923)</f>
        <v>6.806451612903226</v>
      </c>
      <c r="J3923" s="86">
        <f>SUMIFS('Wind Proxy'!$H$8:$H$19,'Wind Proxy'!$A$8:$A$19,Estimator!$B$4,'Wind Proxy'!$B$8:$B$19,C3923)</f>
        <v>0</v>
      </c>
    </row>
    <row r="3924" spans="1:10" ht="14.4">
      <c r="A3924" s="84">
        <v>49575</v>
      </c>
      <c r="B3924" s="85">
        <v>2035</v>
      </c>
      <c r="C3924" s="85">
        <v>9</v>
      </c>
      <c r="D3924" s="85" t="s">
        <v>73</v>
      </c>
      <c r="E3924" s="85">
        <v>23</v>
      </c>
      <c r="F3924" s="85">
        <v>7</v>
      </c>
      <c r="G3924" s="85">
        <f>--(F3924&lt;=Estimator!$B$7)</f>
        <v>0</v>
      </c>
      <c r="H3924" s="86">
        <f>SUMIFS('Climate Data'!$G$7:$G$366,'Climate Data'!$A$7:$A$366,Estimator!$B$4,'Climate Data'!$B$7:$B$366,C3924)</f>
        <v>0.20666666666666667</v>
      </c>
      <c r="I3924" s="87">
        <f>SUMIFS('Climate Data'!$H$7:$H$366,'Climate Data'!$A$7:$A$366,Estimator!$B$4,'Climate Data'!$B$7:$B$366,C3924)</f>
        <v>6.806451612903226</v>
      </c>
      <c r="J3924" s="86">
        <f>SUMIFS('Wind Proxy'!$H$8:$H$19,'Wind Proxy'!$A$8:$A$19,Estimator!$B$4,'Wind Proxy'!$B$8:$B$19,C3924)</f>
        <v>0</v>
      </c>
    </row>
    <row r="3925" spans="1:10" ht="14.4">
      <c r="A3925" s="84">
        <v>49576</v>
      </c>
      <c r="B3925" s="85">
        <v>2035</v>
      </c>
      <c r="C3925" s="85">
        <v>9</v>
      </c>
      <c r="D3925" s="85" t="s">
        <v>73</v>
      </c>
      <c r="E3925" s="85">
        <v>24</v>
      </c>
      <c r="F3925" s="85">
        <v>1</v>
      </c>
      <c r="G3925" s="85">
        <f>--(F3925&lt;=Estimator!$B$7)</f>
        <v>1</v>
      </c>
      <c r="H3925" s="86">
        <f>SUMIFS('Climate Data'!$G$7:$G$366,'Climate Data'!$A$7:$A$366,Estimator!$B$4,'Climate Data'!$B$7:$B$366,C3925)</f>
        <v>0.20666666666666667</v>
      </c>
      <c r="I3925" s="87">
        <f>SUMIFS('Climate Data'!$H$7:$H$366,'Climate Data'!$A$7:$A$366,Estimator!$B$4,'Climate Data'!$B$7:$B$366,C3925)</f>
        <v>6.806451612903226</v>
      </c>
      <c r="J3925" s="86">
        <f>SUMIFS('Wind Proxy'!$H$8:$H$19,'Wind Proxy'!$A$8:$A$19,Estimator!$B$4,'Wind Proxy'!$B$8:$B$19,C3925)</f>
        <v>0</v>
      </c>
    </row>
    <row r="3926" spans="1:10" ht="14.4">
      <c r="A3926" s="84">
        <v>49577</v>
      </c>
      <c r="B3926" s="85">
        <v>2035</v>
      </c>
      <c r="C3926" s="85">
        <v>9</v>
      </c>
      <c r="D3926" s="85" t="s">
        <v>73</v>
      </c>
      <c r="E3926" s="85">
        <v>25</v>
      </c>
      <c r="F3926" s="85">
        <v>2</v>
      </c>
      <c r="G3926" s="85">
        <f>--(F3926&lt;=Estimator!$B$7)</f>
        <v>1</v>
      </c>
      <c r="H3926" s="86">
        <f>SUMIFS('Climate Data'!$G$7:$G$366,'Climate Data'!$A$7:$A$366,Estimator!$B$4,'Climate Data'!$B$7:$B$366,C3926)</f>
        <v>0.20666666666666667</v>
      </c>
      <c r="I3926" s="87">
        <f>SUMIFS('Climate Data'!$H$7:$H$366,'Climate Data'!$A$7:$A$366,Estimator!$B$4,'Climate Data'!$B$7:$B$366,C3926)</f>
        <v>6.806451612903226</v>
      </c>
      <c r="J3926" s="86">
        <f>SUMIFS('Wind Proxy'!$H$8:$H$19,'Wind Proxy'!$A$8:$A$19,Estimator!$B$4,'Wind Proxy'!$B$8:$B$19,C3926)</f>
        <v>0</v>
      </c>
    </row>
    <row r="3927" spans="1:10" ht="14.4">
      <c r="A3927" s="84">
        <v>49578</v>
      </c>
      <c r="B3927" s="85">
        <v>2035</v>
      </c>
      <c r="C3927" s="85">
        <v>9</v>
      </c>
      <c r="D3927" s="85" t="s">
        <v>73</v>
      </c>
      <c r="E3927" s="85">
        <v>26</v>
      </c>
      <c r="F3927" s="85">
        <v>3</v>
      </c>
      <c r="G3927" s="85">
        <f>--(F3927&lt;=Estimator!$B$7)</f>
        <v>1</v>
      </c>
      <c r="H3927" s="86">
        <f>SUMIFS('Climate Data'!$G$7:$G$366,'Climate Data'!$A$7:$A$366,Estimator!$B$4,'Climate Data'!$B$7:$B$366,C3927)</f>
        <v>0.20666666666666667</v>
      </c>
      <c r="I3927" s="87">
        <f>SUMIFS('Climate Data'!$H$7:$H$366,'Climate Data'!$A$7:$A$366,Estimator!$B$4,'Climate Data'!$B$7:$B$366,C3927)</f>
        <v>6.806451612903226</v>
      </c>
      <c r="J3927" s="86">
        <f>SUMIFS('Wind Proxy'!$H$8:$H$19,'Wind Proxy'!$A$8:$A$19,Estimator!$B$4,'Wind Proxy'!$B$8:$B$19,C3927)</f>
        <v>0</v>
      </c>
    </row>
    <row r="3928" spans="1:10" ht="14.4">
      <c r="A3928" s="84">
        <v>49579</v>
      </c>
      <c r="B3928" s="85">
        <v>2035</v>
      </c>
      <c r="C3928" s="85">
        <v>9</v>
      </c>
      <c r="D3928" s="85" t="s">
        <v>73</v>
      </c>
      <c r="E3928" s="85">
        <v>27</v>
      </c>
      <c r="F3928" s="85">
        <v>4</v>
      </c>
      <c r="G3928" s="85">
        <f>--(F3928&lt;=Estimator!$B$7)</f>
        <v>1</v>
      </c>
      <c r="H3928" s="86">
        <f>SUMIFS('Climate Data'!$G$7:$G$366,'Climate Data'!$A$7:$A$366,Estimator!$B$4,'Climate Data'!$B$7:$B$366,C3928)</f>
        <v>0.20666666666666667</v>
      </c>
      <c r="I3928" s="87">
        <f>SUMIFS('Climate Data'!$H$7:$H$366,'Climate Data'!$A$7:$A$366,Estimator!$B$4,'Climate Data'!$B$7:$B$366,C3928)</f>
        <v>6.806451612903226</v>
      </c>
      <c r="J3928" s="86">
        <f>SUMIFS('Wind Proxy'!$H$8:$H$19,'Wind Proxy'!$A$8:$A$19,Estimator!$B$4,'Wind Proxy'!$B$8:$B$19,C3928)</f>
        <v>0</v>
      </c>
    </row>
    <row r="3929" spans="1:10" ht="14.4">
      <c r="A3929" s="84">
        <v>49580</v>
      </c>
      <c r="B3929" s="85">
        <v>2035</v>
      </c>
      <c r="C3929" s="85">
        <v>9</v>
      </c>
      <c r="D3929" s="85" t="s">
        <v>73</v>
      </c>
      <c r="E3929" s="85">
        <v>28</v>
      </c>
      <c r="F3929" s="85">
        <v>5</v>
      </c>
      <c r="G3929" s="85">
        <f>--(F3929&lt;=Estimator!$B$7)</f>
        <v>1</v>
      </c>
      <c r="H3929" s="86">
        <f>SUMIFS('Climate Data'!$G$7:$G$366,'Climate Data'!$A$7:$A$366,Estimator!$B$4,'Climate Data'!$B$7:$B$366,C3929)</f>
        <v>0.20666666666666667</v>
      </c>
      <c r="I3929" s="87">
        <f>SUMIFS('Climate Data'!$H$7:$H$366,'Climate Data'!$A$7:$A$366,Estimator!$B$4,'Climate Data'!$B$7:$B$366,C3929)</f>
        <v>6.806451612903226</v>
      </c>
      <c r="J3929" s="86">
        <f>SUMIFS('Wind Proxy'!$H$8:$H$19,'Wind Proxy'!$A$8:$A$19,Estimator!$B$4,'Wind Proxy'!$B$8:$B$19,C3929)</f>
        <v>0</v>
      </c>
    </row>
    <row r="3930" spans="1:10" ht="14.4">
      <c r="A3930" s="84">
        <v>49581</v>
      </c>
      <c r="B3930" s="85">
        <v>2035</v>
      </c>
      <c r="C3930" s="85">
        <v>9</v>
      </c>
      <c r="D3930" s="85" t="s">
        <v>73</v>
      </c>
      <c r="E3930" s="85">
        <v>29</v>
      </c>
      <c r="F3930" s="85">
        <v>6</v>
      </c>
      <c r="G3930" s="85">
        <f>--(F3930&lt;=Estimator!$B$7)</f>
        <v>0</v>
      </c>
      <c r="H3930" s="86">
        <f>SUMIFS('Climate Data'!$G$7:$G$366,'Climate Data'!$A$7:$A$366,Estimator!$B$4,'Climate Data'!$B$7:$B$366,C3930)</f>
        <v>0.20666666666666667</v>
      </c>
      <c r="I3930" s="87">
        <f>SUMIFS('Climate Data'!$H$7:$H$366,'Climate Data'!$A$7:$A$366,Estimator!$B$4,'Climate Data'!$B$7:$B$366,C3930)</f>
        <v>6.806451612903226</v>
      </c>
      <c r="J3930" s="86">
        <f>SUMIFS('Wind Proxy'!$H$8:$H$19,'Wind Proxy'!$A$8:$A$19,Estimator!$B$4,'Wind Proxy'!$B$8:$B$19,C3930)</f>
        <v>0</v>
      </c>
    </row>
    <row r="3931" spans="1:10" ht="14.4">
      <c r="A3931" s="84">
        <v>49582</v>
      </c>
      <c r="B3931" s="85">
        <v>2035</v>
      </c>
      <c r="C3931" s="85">
        <v>9</v>
      </c>
      <c r="D3931" s="85" t="s">
        <v>73</v>
      </c>
      <c r="E3931" s="85">
        <v>30</v>
      </c>
      <c r="F3931" s="85">
        <v>7</v>
      </c>
      <c r="G3931" s="85">
        <f>--(F3931&lt;=Estimator!$B$7)</f>
        <v>0</v>
      </c>
      <c r="H3931" s="86">
        <f>SUMIFS('Climate Data'!$G$7:$G$366,'Climate Data'!$A$7:$A$366,Estimator!$B$4,'Climate Data'!$B$7:$B$366,C3931)</f>
        <v>0.20666666666666667</v>
      </c>
      <c r="I3931" s="87">
        <f>SUMIFS('Climate Data'!$H$7:$H$366,'Climate Data'!$A$7:$A$366,Estimator!$B$4,'Climate Data'!$B$7:$B$366,C3931)</f>
        <v>6.806451612903226</v>
      </c>
      <c r="J3931" s="86">
        <f>SUMIFS('Wind Proxy'!$H$8:$H$19,'Wind Proxy'!$A$8:$A$19,Estimator!$B$4,'Wind Proxy'!$B$8:$B$19,C3931)</f>
        <v>0</v>
      </c>
    </row>
    <row r="3932" spans="1:10" ht="14.4">
      <c r="A3932" s="84">
        <v>49583</v>
      </c>
      <c r="B3932" s="85">
        <v>2035</v>
      </c>
      <c r="C3932" s="85">
        <v>10</v>
      </c>
      <c r="D3932" s="85" t="s">
        <v>75</v>
      </c>
      <c r="E3932" s="85">
        <v>1</v>
      </c>
      <c r="F3932" s="85">
        <v>1</v>
      </c>
      <c r="G3932" s="85">
        <f>--(F3932&lt;=Estimator!$B$7)</f>
        <v>1</v>
      </c>
      <c r="H3932" s="86">
        <f>SUMIFS('Climate Data'!$G$7:$G$366,'Climate Data'!$A$7:$A$366,Estimator!$B$4,'Climate Data'!$B$7:$B$366,C3932)</f>
        <v>0.23225806451612904</v>
      </c>
      <c r="I3932" s="87">
        <f>SUMIFS('Climate Data'!$H$7:$H$366,'Climate Data'!$A$7:$A$366,Estimator!$B$4,'Climate Data'!$B$7:$B$366,C3932)</f>
        <v>6.8194444444444446</v>
      </c>
      <c r="J3932" s="86">
        <f>SUMIFS('Wind Proxy'!$H$8:$H$19,'Wind Proxy'!$A$8:$A$19,Estimator!$B$4,'Wind Proxy'!$B$8:$B$19,C3932)</f>
        <v>0</v>
      </c>
    </row>
    <row r="3933" spans="1:10" ht="14.4">
      <c r="A3933" s="84">
        <v>49584</v>
      </c>
      <c r="B3933" s="85">
        <v>2035</v>
      </c>
      <c r="C3933" s="85">
        <v>10</v>
      </c>
      <c r="D3933" s="85" t="s">
        <v>75</v>
      </c>
      <c r="E3933" s="85">
        <v>2</v>
      </c>
      <c r="F3933" s="85">
        <v>2</v>
      </c>
      <c r="G3933" s="85">
        <f>--(F3933&lt;=Estimator!$B$7)</f>
        <v>1</v>
      </c>
      <c r="H3933" s="86">
        <f>SUMIFS('Climate Data'!$G$7:$G$366,'Climate Data'!$A$7:$A$366,Estimator!$B$4,'Climate Data'!$B$7:$B$366,C3933)</f>
        <v>0.23225806451612904</v>
      </c>
      <c r="I3933" s="87">
        <f>SUMIFS('Climate Data'!$H$7:$H$366,'Climate Data'!$A$7:$A$366,Estimator!$B$4,'Climate Data'!$B$7:$B$366,C3933)</f>
        <v>6.8194444444444446</v>
      </c>
      <c r="J3933" s="86">
        <f>SUMIFS('Wind Proxy'!$H$8:$H$19,'Wind Proxy'!$A$8:$A$19,Estimator!$B$4,'Wind Proxy'!$B$8:$B$19,C3933)</f>
        <v>0</v>
      </c>
    </row>
    <row r="3934" spans="1:10" ht="14.4">
      <c r="A3934" s="84">
        <v>49585</v>
      </c>
      <c r="B3934" s="85">
        <v>2035</v>
      </c>
      <c r="C3934" s="85">
        <v>10</v>
      </c>
      <c r="D3934" s="85" t="s">
        <v>75</v>
      </c>
      <c r="E3934" s="85">
        <v>3</v>
      </c>
      <c r="F3934" s="85">
        <v>3</v>
      </c>
      <c r="G3934" s="85">
        <f>--(F3934&lt;=Estimator!$B$7)</f>
        <v>1</v>
      </c>
      <c r="H3934" s="86">
        <f>SUMIFS('Climate Data'!$G$7:$G$366,'Climate Data'!$A$7:$A$366,Estimator!$B$4,'Climate Data'!$B$7:$B$366,C3934)</f>
        <v>0.23225806451612904</v>
      </c>
      <c r="I3934" s="87">
        <f>SUMIFS('Climate Data'!$H$7:$H$366,'Climate Data'!$A$7:$A$366,Estimator!$B$4,'Climate Data'!$B$7:$B$366,C3934)</f>
        <v>6.8194444444444446</v>
      </c>
      <c r="J3934" s="86">
        <f>SUMIFS('Wind Proxy'!$H$8:$H$19,'Wind Proxy'!$A$8:$A$19,Estimator!$B$4,'Wind Proxy'!$B$8:$B$19,C3934)</f>
        <v>0</v>
      </c>
    </row>
    <row r="3935" spans="1:10" ht="14.4">
      <c r="A3935" s="84">
        <v>49586</v>
      </c>
      <c r="B3935" s="85">
        <v>2035</v>
      </c>
      <c r="C3935" s="85">
        <v>10</v>
      </c>
      <c r="D3935" s="85" t="s">
        <v>75</v>
      </c>
      <c r="E3935" s="85">
        <v>4</v>
      </c>
      <c r="F3935" s="85">
        <v>4</v>
      </c>
      <c r="G3935" s="85">
        <f>--(F3935&lt;=Estimator!$B$7)</f>
        <v>1</v>
      </c>
      <c r="H3935" s="86">
        <f>SUMIFS('Climate Data'!$G$7:$G$366,'Climate Data'!$A$7:$A$366,Estimator!$B$4,'Climate Data'!$B$7:$B$366,C3935)</f>
        <v>0.23225806451612904</v>
      </c>
      <c r="I3935" s="87">
        <f>SUMIFS('Climate Data'!$H$7:$H$366,'Climate Data'!$A$7:$A$366,Estimator!$B$4,'Climate Data'!$B$7:$B$366,C3935)</f>
        <v>6.8194444444444446</v>
      </c>
      <c r="J3935" s="86">
        <f>SUMIFS('Wind Proxy'!$H$8:$H$19,'Wind Proxy'!$A$8:$A$19,Estimator!$B$4,'Wind Proxy'!$B$8:$B$19,C3935)</f>
        <v>0</v>
      </c>
    </row>
    <row r="3936" spans="1:10" ht="14.4">
      <c r="A3936" s="84">
        <v>49587</v>
      </c>
      <c r="B3936" s="85">
        <v>2035</v>
      </c>
      <c r="C3936" s="85">
        <v>10</v>
      </c>
      <c r="D3936" s="85" t="s">
        <v>75</v>
      </c>
      <c r="E3936" s="85">
        <v>5</v>
      </c>
      <c r="F3936" s="85">
        <v>5</v>
      </c>
      <c r="G3936" s="85">
        <f>--(F3936&lt;=Estimator!$B$7)</f>
        <v>1</v>
      </c>
      <c r="H3936" s="86">
        <f>SUMIFS('Climate Data'!$G$7:$G$366,'Climate Data'!$A$7:$A$366,Estimator!$B$4,'Climate Data'!$B$7:$B$366,C3936)</f>
        <v>0.23225806451612904</v>
      </c>
      <c r="I3936" s="87">
        <f>SUMIFS('Climate Data'!$H$7:$H$366,'Climate Data'!$A$7:$A$366,Estimator!$B$4,'Climate Data'!$B$7:$B$366,C3936)</f>
        <v>6.8194444444444446</v>
      </c>
      <c r="J3936" s="86">
        <f>SUMIFS('Wind Proxy'!$H$8:$H$19,'Wind Proxy'!$A$8:$A$19,Estimator!$B$4,'Wind Proxy'!$B$8:$B$19,C3936)</f>
        <v>0</v>
      </c>
    </row>
    <row r="3937" spans="1:10" ht="14.4">
      <c r="A3937" s="84">
        <v>49588</v>
      </c>
      <c r="B3937" s="85">
        <v>2035</v>
      </c>
      <c r="C3937" s="85">
        <v>10</v>
      </c>
      <c r="D3937" s="85" t="s">
        <v>75</v>
      </c>
      <c r="E3937" s="85">
        <v>6</v>
      </c>
      <c r="F3937" s="85">
        <v>6</v>
      </c>
      <c r="G3937" s="85">
        <f>--(F3937&lt;=Estimator!$B$7)</f>
        <v>0</v>
      </c>
      <c r="H3937" s="86">
        <f>SUMIFS('Climate Data'!$G$7:$G$366,'Climate Data'!$A$7:$A$366,Estimator!$B$4,'Climate Data'!$B$7:$B$366,C3937)</f>
        <v>0.23225806451612904</v>
      </c>
      <c r="I3937" s="87">
        <f>SUMIFS('Climate Data'!$H$7:$H$366,'Climate Data'!$A$7:$A$366,Estimator!$B$4,'Climate Data'!$B$7:$B$366,C3937)</f>
        <v>6.8194444444444446</v>
      </c>
      <c r="J3937" s="86">
        <f>SUMIFS('Wind Proxy'!$H$8:$H$19,'Wind Proxy'!$A$8:$A$19,Estimator!$B$4,'Wind Proxy'!$B$8:$B$19,C3937)</f>
        <v>0</v>
      </c>
    </row>
    <row r="3938" spans="1:10" ht="14.4">
      <c r="A3938" s="84">
        <v>49589</v>
      </c>
      <c r="B3938" s="85">
        <v>2035</v>
      </c>
      <c r="C3938" s="85">
        <v>10</v>
      </c>
      <c r="D3938" s="85" t="s">
        <v>75</v>
      </c>
      <c r="E3938" s="85">
        <v>7</v>
      </c>
      <c r="F3938" s="85">
        <v>7</v>
      </c>
      <c r="G3938" s="85">
        <f>--(F3938&lt;=Estimator!$B$7)</f>
        <v>0</v>
      </c>
      <c r="H3938" s="86">
        <f>SUMIFS('Climate Data'!$G$7:$G$366,'Climate Data'!$A$7:$A$366,Estimator!$B$4,'Climate Data'!$B$7:$B$366,C3938)</f>
        <v>0.23225806451612904</v>
      </c>
      <c r="I3938" s="87">
        <f>SUMIFS('Climate Data'!$H$7:$H$366,'Climate Data'!$A$7:$A$366,Estimator!$B$4,'Climate Data'!$B$7:$B$366,C3938)</f>
        <v>6.8194444444444446</v>
      </c>
      <c r="J3938" s="86">
        <f>SUMIFS('Wind Proxy'!$H$8:$H$19,'Wind Proxy'!$A$8:$A$19,Estimator!$B$4,'Wind Proxy'!$B$8:$B$19,C3938)</f>
        <v>0</v>
      </c>
    </row>
    <row r="3939" spans="1:10" ht="14.4">
      <c r="A3939" s="84">
        <v>49590</v>
      </c>
      <c r="B3939" s="85">
        <v>2035</v>
      </c>
      <c r="C3939" s="85">
        <v>10</v>
      </c>
      <c r="D3939" s="85" t="s">
        <v>75</v>
      </c>
      <c r="E3939" s="85">
        <v>8</v>
      </c>
      <c r="F3939" s="85">
        <v>1</v>
      </c>
      <c r="G3939" s="85">
        <f>--(F3939&lt;=Estimator!$B$7)</f>
        <v>1</v>
      </c>
      <c r="H3939" s="86">
        <f>SUMIFS('Climate Data'!$G$7:$G$366,'Climate Data'!$A$7:$A$366,Estimator!$B$4,'Climate Data'!$B$7:$B$366,C3939)</f>
        <v>0.23225806451612904</v>
      </c>
      <c r="I3939" s="87">
        <f>SUMIFS('Climate Data'!$H$7:$H$366,'Climate Data'!$A$7:$A$366,Estimator!$B$4,'Climate Data'!$B$7:$B$366,C3939)</f>
        <v>6.8194444444444446</v>
      </c>
      <c r="J3939" s="86">
        <f>SUMIFS('Wind Proxy'!$H$8:$H$19,'Wind Proxy'!$A$8:$A$19,Estimator!$B$4,'Wind Proxy'!$B$8:$B$19,C3939)</f>
        <v>0</v>
      </c>
    </row>
    <row r="3940" spans="1:10" ht="14.4">
      <c r="A3940" s="84">
        <v>49591</v>
      </c>
      <c r="B3940" s="85">
        <v>2035</v>
      </c>
      <c r="C3940" s="85">
        <v>10</v>
      </c>
      <c r="D3940" s="85" t="s">
        <v>75</v>
      </c>
      <c r="E3940" s="85">
        <v>9</v>
      </c>
      <c r="F3940" s="85">
        <v>2</v>
      </c>
      <c r="G3940" s="85">
        <f>--(F3940&lt;=Estimator!$B$7)</f>
        <v>1</v>
      </c>
      <c r="H3940" s="86">
        <f>SUMIFS('Climate Data'!$G$7:$G$366,'Climate Data'!$A$7:$A$366,Estimator!$B$4,'Climate Data'!$B$7:$B$366,C3940)</f>
        <v>0.23225806451612904</v>
      </c>
      <c r="I3940" s="87">
        <f>SUMIFS('Climate Data'!$H$7:$H$366,'Climate Data'!$A$7:$A$366,Estimator!$B$4,'Climate Data'!$B$7:$B$366,C3940)</f>
        <v>6.8194444444444446</v>
      </c>
      <c r="J3940" s="86">
        <f>SUMIFS('Wind Proxy'!$H$8:$H$19,'Wind Proxy'!$A$8:$A$19,Estimator!$B$4,'Wind Proxy'!$B$8:$B$19,C3940)</f>
        <v>0</v>
      </c>
    </row>
    <row r="3941" spans="1:10" ht="14.4">
      <c r="A3941" s="84">
        <v>49592</v>
      </c>
      <c r="B3941" s="85">
        <v>2035</v>
      </c>
      <c r="C3941" s="85">
        <v>10</v>
      </c>
      <c r="D3941" s="85" t="s">
        <v>75</v>
      </c>
      <c r="E3941" s="85">
        <v>10</v>
      </c>
      <c r="F3941" s="85">
        <v>3</v>
      </c>
      <c r="G3941" s="85">
        <f>--(F3941&lt;=Estimator!$B$7)</f>
        <v>1</v>
      </c>
      <c r="H3941" s="86">
        <f>SUMIFS('Climate Data'!$G$7:$G$366,'Climate Data'!$A$7:$A$366,Estimator!$B$4,'Climate Data'!$B$7:$B$366,C3941)</f>
        <v>0.23225806451612904</v>
      </c>
      <c r="I3941" s="87">
        <f>SUMIFS('Climate Data'!$H$7:$H$366,'Climate Data'!$A$7:$A$366,Estimator!$B$4,'Climate Data'!$B$7:$B$366,C3941)</f>
        <v>6.8194444444444446</v>
      </c>
      <c r="J3941" s="86">
        <f>SUMIFS('Wind Proxy'!$H$8:$H$19,'Wind Proxy'!$A$8:$A$19,Estimator!$B$4,'Wind Proxy'!$B$8:$B$19,C3941)</f>
        <v>0</v>
      </c>
    </row>
    <row r="3942" spans="1:10" ht="14.4">
      <c r="A3942" s="84">
        <v>49593</v>
      </c>
      <c r="B3942" s="85">
        <v>2035</v>
      </c>
      <c r="C3942" s="85">
        <v>10</v>
      </c>
      <c r="D3942" s="85" t="s">
        <v>75</v>
      </c>
      <c r="E3942" s="85">
        <v>11</v>
      </c>
      <c r="F3942" s="85">
        <v>4</v>
      </c>
      <c r="G3942" s="85">
        <f>--(F3942&lt;=Estimator!$B$7)</f>
        <v>1</v>
      </c>
      <c r="H3942" s="86">
        <f>SUMIFS('Climate Data'!$G$7:$G$366,'Climate Data'!$A$7:$A$366,Estimator!$B$4,'Climate Data'!$B$7:$B$366,C3942)</f>
        <v>0.23225806451612904</v>
      </c>
      <c r="I3942" s="87">
        <f>SUMIFS('Climate Data'!$H$7:$H$366,'Climate Data'!$A$7:$A$366,Estimator!$B$4,'Climate Data'!$B$7:$B$366,C3942)</f>
        <v>6.8194444444444446</v>
      </c>
      <c r="J3942" s="86">
        <f>SUMIFS('Wind Proxy'!$H$8:$H$19,'Wind Proxy'!$A$8:$A$19,Estimator!$B$4,'Wind Proxy'!$B$8:$B$19,C3942)</f>
        <v>0</v>
      </c>
    </row>
    <row r="3943" spans="1:10" ht="14.4">
      <c r="A3943" s="84">
        <v>49594</v>
      </c>
      <c r="B3943" s="85">
        <v>2035</v>
      </c>
      <c r="C3943" s="85">
        <v>10</v>
      </c>
      <c r="D3943" s="85" t="s">
        <v>75</v>
      </c>
      <c r="E3943" s="85">
        <v>12</v>
      </c>
      <c r="F3943" s="85">
        <v>5</v>
      </c>
      <c r="G3943" s="85">
        <f>--(F3943&lt;=Estimator!$B$7)</f>
        <v>1</v>
      </c>
      <c r="H3943" s="86">
        <f>SUMIFS('Climate Data'!$G$7:$G$366,'Climate Data'!$A$7:$A$366,Estimator!$B$4,'Climate Data'!$B$7:$B$366,C3943)</f>
        <v>0.23225806451612904</v>
      </c>
      <c r="I3943" s="87">
        <f>SUMIFS('Climate Data'!$H$7:$H$366,'Climate Data'!$A$7:$A$366,Estimator!$B$4,'Climate Data'!$B$7:$B$366,C3943)</f>
        <v>6.8194444444444446</v>
      </c>
      <c r="J3943" s="86">
        <f>SUMIFS('Wind Proxy'!$H$8:$H$19,'Wind Proxy'!$A$8:$A$19,Estimator!$B$4,'Wind Proxy'!$B$8:$B$19,C3943)</f>
        <v>0</v>
      </c>
    </row>
    <row r="3944" spans="1:10" ht="14.4">
      <c r="A3944" s="84">
        <v>49595</v>
      </c>
      <c r="B3944" s="85">
        <v>2035</v>
      </c>
      <c r="C3944" s="85">
        <v>10</v>
      </c>
      <c r="D3944" s="85" t="s">
        <v>75</v>
      </c>
      <c r="E3944" s="85">
        <v>13</v>
      </c>
      <c r="F3944" s="85">
        <v>6</v>
      </c>
      <c r="G3944" s="85">
        <f>--(F3944&lt;=Estimator!$B$7)</f>
        <v>0</v>
      </c>
      <c r="H3944" s="86">
        <f>SUMIFS('Climate Data'!$G$7:$G$366,'Climate Data'!$A$7:$A$366,Estimator!$B$4,'Climate Data'!$B$7:$B$366,C3944)</f>
        <v>0.23225806451612904</v>
      </c>
      <c r="I3944" s="87">
        <f>SUMIFS('Climate Data'!$H$7:$H$366,'Climate Data'!$A$7:$A$366,Estimator!$B$4,'Climate Data'!$B$7:$B$366,C3944)</f>
        <v>6.8194444444444446</v>
      </c>
      <c r="J3944" s="86">
        <f>SUMIFS('Wind Proxy'!$H$8:$H$19,'Wind Proxy'!$A$8:$A$19,Estimator!$B$4,'Wind Proxy'!$B$8:$B$19,C3944)</f>
        <v>0</v>
      </c>
    </row>
    <row r="3945" spans="1:10" ht="14.4">
      <c r="A3945" s="84">
        <v>49596</v>
      </c>
      <c r="B3945" s="85">
        <v>2035</v>
      </c>
      <c r="C3945" s="85">
        <v>10</v>
      </c>
      <c r="D3945" s="85" t="s">
        <v>75</v>
      </c>
      <c r="E3945" s="85">
        <v>14</v>
      </c>
      <c r="F3945" s="85">
        <v>7</v>
      </c>
      <c r="G3945" s="85">
        <f>--(F3945&lt;=Estimator!$B$7)</f>
        <v>0</v>
      </c>
      <c r="H3945" s="86">
        <f>SUMIFS('Climate Data'!$G$7:$G$366,'Climate Data'!$A$7:$A$366,Estimator!$B$4,'Climate Data'!$B$7:$B$366,C3945)</f>
        <v>0.23225806451612904</v>
      </c>
      <c r="I3945" s="87">
        <f>SUMIFS('Climate Data'!$H$7:$H$366,'Climate Data'!$A$7:$A$366,Estimator!$B$4,'Climate Data'!$B$7:$B$366,C3945)</f>
        <v>6.8194444444444446</v>
      </c>
      <c r="J3945" s="86">
        <f>SUMIFS('Wind Proxy'!$H$8:$H$19,'Wind Proxy'!$A$8:$A$19,Estimator!$B$4,'Wind Proxy'!$B$8:$B$19,C3945)</f>
        <v>0</v>
      </c>
    </row>
    <row r="3946" spans="1:10" ht="14.4">
      <c r="A3946" s="84">
        <v>49597</v>
      </c>
      <c r="B3946" s="85">
        <v>2035</v>
      </c>
      <c r="C3946" s="85">
        <v>10</v>
      </c>
      <c r="D3946" s="85" t="s">
        <v>75</v>
      </c>
      <c r="E3946" s="85">
        <v>15</v>
      </c>
      <c r="F3946" s="85">
        <v>1</v>
      </c>
      <c r="G3946" s="85">
        <f>--(F3946&lt;=Estimator!$B$7)</f>
        <v>1</v>
      </c>
      <c r="H3946" s="86">
        <f>SUMIFS('Climate Data'!$G$7:$G$366,'Climate Data'!$A$7:$A$366,Estimator!$B$4,'Climate Data'!$B$7:$B$366,C3946)</f>
        <v>0.23225806451612904</v>
      </c>
      <c r="I3946" s="87">
        <f>SUMIFS('Climate Data'!$H$7:$H$366,'Climate Data'!$A$7:$A$366,Estimator!$B$4,'Climate Data'!$B$7:$B$366,C3946)</f>
        <v>6.8194444444444446</v>
      </c>
      <c r="J3946" s="86">
        <f>SUMIFS('Wind Proxy'!$H$8:$H$19,'Wind Proxy'!$A$8:$A$19,Estimator!$B$4,'Wind Proxy'!$B$8:$B$19,C3946)</f>
        <v>0</v>
      </c>
    </row>
    <row r="3947" spans="1:10" ht="14.4">
      <c r="A3947" s="84">
        <v>49598</v>
      </c>
      <c r="B3947" s="85">
        <v>2035</v>
      </c>
      <c r="C3947" s="85">
        <v>10</v>
      </c>
      <c r="D3947" s="85" t="s">
        <v>75</v>
      </c>
      <c r="E3947" s="85">
        <v>16</v>
      </c>
      <c r="F3947" s="85">
        <v>2</v>
      </c>
      <c r="G3947" s="85">
        <f>--(F3947&lt;=Estimator!$B$7)</f>
        <v>1</v>
      </c>
      <c r="H3947" s="86">
        <f>SUMIFS('Climate Data'!$G$7:$G$366,'Climate Data'!$A$7:$A$366,Estimator!$B$4,'Climate Data'!$B$7:$B$366,C3947)</f>
        <v>0.23225806451612904</v>
      </c>
      <c r="I3947" s="87">
        <f>SUMIFS('Climate Data'!$H$7:$H$366,'Climate Data'!$A$7:$A$366,Estimator!$B$4,'Climate Data'!$B$7:$B$366,C3947)</f>
        <v>6.8194444444444446</v>
      </c>
      <c r="J3947" s="86">
        <f>SUMIFS('Wind Proxy'!$H$8:$H$19,'Wind Proxy'!$A$8:$A$19,Estimator!$B$4,'Wind Proxy'!$B$8:$B$19,C3947)</f>
        <v>0</v>
      </c>
    </row>
    <row r="3948" spans="1:10" ht="14.4">
      <c r="A3948" s="84">
        <v>49599</v>
      </c>
      <c r="B3948" s="85">
        <v>2035</v>
      </c>
      <c r="C3948" s="85">
        <v>10</v>
      </c>
      <c r="D3948" s="85" t="s">
        <v>75</v>
      </c>
      <c r="E3948" s="85">
        <v>17</v>
      </c>
      <c r="F3948" s="85">
        <v>3</v>
      </c>
      <c r="G3948" s="85">
        <f>--(F3948&lt;=Estimator!$B$7)</f>
        <v>1</v>
      </c>
      <c r="H3948" s="86">
        <f>SUMIFS('Climate Data'!$G$7:$G$366,'Climate Data'!$A$7:$A$366,Estimator!$B$4,'Climate Data'!$B$7:$B$366,C3948)</f>
        <v>0.23225806451612904</v>
      </c>
      <c r="I3948" s="87">
        <f>SUMIFS('Climate Data'!$H$7:$H$366,'Climate Data'!$A$7:$A$366,Estimator!$B$4,'Climate Data'!$B$7:$B$366,C3948)</f>
        <v>6.8194444444444446</v>
      </c>
      <c r="J3948" s="86">
        <f>SUMIFS('Wind Proxy'!$H$8:$H$19,'Wind Proxy'!$A$8:$A$19,Estimator!$B$4,'Wind Proxy'!$B$8:$B$19,C3948)</f>
        <v>0</v>
      </c>
    </row>
    <row r="3949" spans="1:10" ht="14.4">
      <c r="A3949" s="84">
        <v>49600</v>
      </c>
      <c r="B3949" s="85">
        <v>2035</v>
      </c>
      <c r="C3949" s="85">
        <v>10</v>
      </c>
      <c r="D3949" s="85" t="s">
        <v>75</v>
      </c>
      <c r="E3949" s="85">
        <v>18</v>
      </c>
      <c r="F3949" s="85">
        <v>4</v>
      </c>
      <c r="G3949" s="85">
        <f>--(F3949&lt;=Estimator!$B$7)</f>
        <v>1</v>
      </c>
      <c r="H3949" s="86">
        <f>SUMIFS('Climate Data'!$G$7:$G$366,'Climate Data'!$A$7:$A$366,Estimator!$B$4,'Climate Data'!$B$7:$B$366,C3949)</f>
        <v>0.23225806451612904</v>
      </c>
      <c r="I3949" s="87">
        <f>SUMIFS('Climate Data'!$H$7:$H$366,'Climate Data'!$A$7:$A$366,Estimator!$B$4,'Climate Data'!$B$7:$B$366,C3949)</f>
        <v>6.8194444444444446</v>
      </c>
      <c r="J3949" s="86">
        <f>SUMIFS('Wind Proxy'!$H$8:$H$19,'Wind Proxy'!$A$8:$A$19,Estimator!$B$4,'Wind Proxy'!$B$8:$B$19,C3949)</f>
        <v>0</v>
      </c>
    </row>
    <row r="3950" spans="1:10" ht="14.4">
      <c r="A3950" s="84">
        <v>49601</v>
      </c>
      <c r="B3950" s="85">
        <v>2035</v>
      </c>
      <c r="C3950" s="85">
        <v>10</v>
      </c>
      <c r="D3950" s="85" t="s">
        <v>75</v>
      </c>
      <c r="E3950" s="85">
        <v>19</v>
      </c>
      <c r="F3950" s="85">
        <v>5</v>
      </c>
      <c r="G3950" s="85">
        <f>--(F3950&lt;=Estimator!$B$7)</f>
        <v>1</v>
      </c>
      <c r="H3950" s="86">
        <f>SUMIFS('Climate Data'!$G$7:$G$366,'Climate Data'!$A$7:$A$366,Estimator!$B$4,'Climate Data'!$B$7:$B$366,C3950)</f>
        <v>0.23225806451612904</v>
      </c>
      <c r="I3950" s="87">
        <f>SUMIFS('Climate Data'!$H$7:$H$366,'Climate Data'!$A$7:$A$366,Estimator!$B$4,'Climate Data'!$B$7:$B$366,C3950)</f>
        <v>6.8194444444444446</v>
      </c>
      <c r="J3950" s="86">
        <f>SUMIFS('Wind Proxy'!$H$8:$H$19,'Wind Proxy'!$A$8:$A$19,Estimator!$B$4,'Wind Proxy'!$B$8:$B$19,C3950)</f>
        <v>0</v>
      </c>
    </row>
    <row r="3951" spans="1:10" ht="14.4">
      <c r="A3951" s="84">
        <v>49602</v>
      </c>
      <c r="B3951" s="85">
        <v>2035</v>
      </c>
      <c r="C3951" s="85">
        <v>10</v>
      </c>
      <c r="D3951" s="85" t="s">
        <v>75</v>
      </c>
      <c r="E3951" s="85">
        <v>20</v>
      </c>
      <c r="F3951" s="85">
        <v>6</v>
      </c>
      <c r="G3951" s="85">
        <f>--(F3951&lt;=Estimator!$B$7)</f>
        <v>0</v>
      </c>
      <c r="H3951" s="86">
        <f>SUMIFS('Climate Data'!$G$7:$G$366,'Climate Data'!$A$7:$A$366,Estimator!$B$4,'Climate Data'!$B$7:$B$366,C3951)</f>
        <v>0.23225806451612904</v>
      </c>
      <c r="I3951" s="87">
        <f>SUMIFS('Climate Data'!$H$7:$H$366,'Climate Data'!$A$7:$A$366,Estimator!$B$4,'Climate Data'!$B$7:$B$366,C3951)</f>
        <v>6.8194444444444446</v>
      </c>
      <c r="J3951" s="86">
        <f>SUMIFS('Wind Proxy'!$H$8:$H$19,'Wind Proxy'!$A$8:$A$19,Estimator!$B$4,'Wind Proxy'!$B$8:$B$19,C3951)</f>
        <v>0</v>
      </c>
    </row>
    <row r="3952" spans="1:10" ht="14.4">
      <c r="A3952" s="84">
        <v>49603</v>
      </c>
      <c r="B3952" s="85">
        <v>2035</v>
      </c>
      <c r="C3952" s="85">
        <v>10</v>
      </c>
      <c r="D3952" s="85" t="s">
        <v>75</v>
      </c>
      <c r="E3952" s="85">
        <v>21</v>
      </c>
      <c r="F3952" s="85">
        <v>7</v>
      </c>
      <c r="G3952" s="85">
        <f>--(F3952&lt;=Estimator!$B$7)</f>
        <v>0</v>
      </c>
      <c r="H3952" s="86">
        <f>SUMIFS('Climate Data'!$G$7:$G$366,'Climate Data'!$A$7:$A$366,Estimator!$B$4,'Climate Data'!$B$7:$B$366,C3952)</f>
        <v>0.23225806451612904</v>
      </c>
      <c r="I3952" s="87">
        <f>SUMIFS('Climate Data'!$H$7:$H$366,'Climate Data'!$A$7:$A$366,Estimator!$B$4,'Climate Data'!$B$7:$B$366,C3952)</f>
        <v>6.8194444444444446</v>
      </c>
      <c r="J3952" s="86">
        <f>SUMIFS('Wind Proxy'!$H$8:$H$19,'Wind Proxy'!$A$8:$A$19,Estimator!$B$4,'Wind Proxy'!$B$8:$B$19,C3952)</f>
        <v>0</v>
      </c>
    </row>
    <row r="3953" spans="1:10" ht="14.4">
      <c r="A3953" s="84">
        <v>49604</v>
      </c>
      <c r="B3953" s="85">
        <v>2035</v>
      </c>
      <c r="C3953" s="85">
        <v>10</v>
      </c>
      <c r="D3953" s="85" t="s">
        <v>75</v>
      </c>
      <c r="E3953" s="85">
        <v>22</v>
      </c>
      <c r="F3953" s="85">
        <v>1</v>
      </c>
      <c r="G3953" s="85">
        <f>--(F3953&lt;=Estimator!$B$7)</f>
        <v>1</v>
      </c>
      <c r="H3953" s="86">
        <f>SUMIFS('Climate Data'!$G$7:$G$366,'Climate Data'!$A$7:$A$366,Estimator!$B$4,'Climate Data'!$B$7:$B$366,C3953)</f>
        <v>0.23225806451612904</v>
      </c>
      <c r="I3953" s="87">
        <f>SUMIFS('Climate Data'!$H$7:$H$366,'Climate Data'!$A$7:$A$366,Estimator!$B$4,'Climate Data'!$B$7:$B$366,C3953)</f>
        <v>6.8194444444444446</v>
      </c>
      <c r="J3953" s="86">
        <f>SUMIFS('Wind Proxy'!$H$8:$H$19,'Wind Proxy'!$A$8:$A$19,Estimator!$B$4,'Wind Proxy'!$B$8:$B$19,C3953)</f>
        <v>0</v>
      </c>
    </row>
    <row r="3954" spans="1:10" ht="14.4">
      <c r="A3954" s="84">
        <v>49605</v>
      </c>
      <c r="B3954" s="85">
        <v>2035</v>
      </c>
      <c r="C3954" s="85">
        <v>10</v>
      </c>
      <c r="D3954" s="85" t="s">
        <v>75</v>
      </c>
      <c r="E3954" s="85">
        <v>23</v>
      </c>
      <c r="F3954" s="85">
        <v>2</v>
      </c>
      <c r="G3954" s="85">
        <f>--(F3954&lt;=Estimator!$B$7)</f>
        <v>1</v>
      </c>
      <c r="H3954" s="86">
        <f>SUMIFS('Climate Data'!$G$7:$G$366,'Climate Data'!$A$7:$A$366,Estimator!$B$4,'Climate Data'!$B$7:$B$366,C3954)</f>
        <v>0.23225806451612904</v>
      </c>
      <c r="I3954" s="87">
        <f>SUMIFS('Climate Data'!$H$7:$H$366,'Climate Data'!$A$7:$A$366,Estimator!$B$4,'Climate Data'!$B$7:$B$366,C3954)</f>
        <v>6.8194444444444446</v>
      </c>
      <c r="J3954" s="86">
        <f>SUMIFS('Wind Proxy'!$H$8:$H$19,'Wind Proxy'!$A$8:$A$19,Estimator!$B$4,'Wind Proxy'!$B$8:$B$19,C3954)</f>
        <v>0</v>
      </c>
    </row>
    <row r="3955" spans="1:10" ht="14.4">
      <c r="A3955" s="84">
        <v>49606</v>
      </c>
      <c r="B3955" s="85">
        <v>2035</v>
      </c>
      <c r="C3955" s="85">
        <v>10</v>
      </c>
      <c r="D3955" s="85" t="s">
        <v>75</v>
      </c>
      <c r="E3955" s="85">
        <v>24</v>
      </c>
      <c r="F3955" s="85">
        <v>3</v>
      </c>
      <c r="G3955" s="85">
        <f>--(F3955&lt;=Estimator!$B$7)</f>
        <v>1</v>
      </c>
      <c r="H3955" s="86">
        <f>SUMIFS('Climate Data'!$G$7:$G$366,'Climate Data'!$A$7:$A$366,Estimator!$B$4,'Climate Data'!$B$7:$B$366,C3955)</f>
        <v>0.23225806451612904</v>
      </c>
      <c r="I3955" s="87">
        <f>SUMIFS('Climate Data'!$H$7:$H$366,'Climate Data'!$A$7:$A$366,Estimator!$B$4,'Climate Data'!$B$7:$B$366,C3955)</f>
        <v>6.8194444444444446</v>
      </c>
      <c r="J3955" s="86">
        <f>SUMIFS('Wind Proxy'!$H$8:$H$19,'Wind Proxy'!$A$8:$A$19,Estimator!$B$4,'Wind Proxy'!$B$8:$B$19,C3955)</f>
        <v>0</v>
      </c>
    </row>
    <row r="3956" spans="1:10" ht="14.4">
      <c r="A3956" s="84">
        <v>49607</v>
      </c>
      <c r="B3956" s="85">
        <v>2035</v>
      </c>
      <c r="C3956" s="85">
        <v>10</v>
      </c>
      <c r="D3956" s="85" t="s">
        <v>75</v>
      </c>
      <c r="E3956" s="85">
        <v>25</v>
      </c>
      <c r="F3956" s="85">
        <v>4</v>
      </c>
      <c r="G3956" s="85">
        <f>--(F3956&lt;=Estimator!$B$7)</f>
        <v>1</v>
      </c>
      <c r="H3956" s="86">
        <f>SUMIFS('Climate Data'!$G$7:$G$366,'Climate Data'!$A$7:$A$366,Estimator!$B$4,'Climate Data'!$B$7:$B$366,C3956)</f>
        <v>0.23225806451612904</v>
      </c>
      <c r="I3956" s="87">
        <f>SUMIFS('Climate Data'!$H$7:$H$366,'Climate Data'!$A$7:$A$366,Estimator!$B$4,'Climate Data'!$B$7:$B$366,C3956)</f>
        <v>6.8194444444444446</v>
      </c>
      <c r="J3956" s="86">
        <f>SUMIFS('Wind Proxy'!$H$8:$H$19,'Wind Proxy'!$A$8:$A$19,Estimator!$B$4,'Wind Proxy'!$B$8:$B$19,C3956)</f>
        <v>0</v>
      </c>
    </row>
    <row r="3957" spans="1:10" ht="14.4">
      <c r="A3957" s="84">
        <v>49608</v>
      </c>
      <c r="B3957" s="85">
        <v>2035</v>
      </c>
      <c r="C3957" s="85">
        <v>10</v>
      </c>
      <c r="D3957" s="85" t="s">
        <v>75</v>
      </c>
      <c r="E3957" s="85">
        <v>26</v>
      </c>
      <c r="F3957" s="85">
        <v>5</v>
      </c>
      <c r="G3957" s="85">
        <f>--(F3957&lt;=Estimator!$B$7)</f>
        <v>1</v>
      </c>
      <c r="H3957" s="86">
        <f>SUMIFS('Climate Data'!$G$7:$G$366,'Climate Data'!$A$7:$A$366,Estimator!$B$4,'Climate Data'!$B$7:$B$366,C3957)</f>
        <v>0.23225806451612904</v>
      </c>
      <c r="I3957" s="87">
        <f>SUMIFS('Climate Data'!$H$7:$H$366,'Climate Data'!$A$7:$A$366,Estimator!$B$4,'Climate Data'!$B$7:$B$366,C3957)</f>
        <v>6.8194444444444446</v>
      </c>
      <c r="J3957" s="86">
        <f>SUMIFS('Wind Proxy'!$H$8:$H$19,'Wind Proxy'!$A$8:$A$19,Estimator!$B$4,'Wind Proxy'!$B$8:$B$19,C3957)</f>
        <v>0</v>
      </c>
    </row>
    <row r="3958" spans="1:10" ht="14.4">
      <c r="A3958" s="84">
        <v>49609</v>
      </c>
      <c r="B3958" s="85">
        <v>2035</v>
      </c>
      <c r="C3958" s="85">
        <v>10</v>
      </c>
      <c r="D3958" s="85" t="s">
        <v>75</v>
      </c>
      <c r="E3958" s="85">
        <v>27</v>
      </c>
      <c r="F3958" s="85">
        <v>6</v>
      </c>
      <c r="G3958" s="85">
        <f>--(F3958&lt;=Estimator!$B$7)</f>
        <v>0</v>
      </c>
      <c r="H3958" s="86">
        <f>SUMIFS('Climate Data'!$G$7:$G$366,'Climate Data'!$A$7:$A$366,Estimator!$B$4,'Climate Data'!$B$7:$B$366,C3958)</f>
        <v>0.23225806451612904</v>
      </c>
      <c r="I3958" s="87">
        <f>SUMIFS('Climate Data'!$H$7:$H$366,'Climate Data'!$A$7:$A$366,Estimator!$B$4,'Climate Data'!$B$7:$B$366,C3958)</f>
        <v>6.8194444444444446</v>
      </c>
      <c r="J3958" s="86">
        <f>SUMIFS('Wind Proxy'!$H$8:$H$19,'Wind Proxy'!$A$8:$A$19,Estimator!$B$4,'Wind Proxy'!$B$8:$B$19,C3958)</f>
        <v>0</v>
      </c>
    </row>
    <row r="3959" spans="1:10" ht="14.4">
      <c r="A3959" s="84">
        <v>49610</v>
      </c>
      <c r="B3959" s="85">
        <v>2035</v>
      </c>
      <c r="C3959" s="85">
        <v>10</v>
      </c>
      <c r="D3959" s="85" t="s">
        <v>75</v>
      </c>
      <c r="E3959" s="85">
        <v>28</v>
      </c>
      <c r="F3959" s="85">
        <v>7</v>
      </c>
      <c r="G3959" s="85">
        <f>--(F3959&lt;=Estimator!$B$7)</f>
        <v>0</v>
      </c>
      <c r="H3959" s="86">
        <f>SUMIFS('Climate Data'!$G$7:$G$366,'Climate Data'!$A$7:$A$366,Estimator!$B$4,'Climate Data'!$B$7:$B$366,C3959)</f>
        <v>0.23225806451612904</v>
      </c>
      <c r="I3959" s="87">
        <f>SUMIFS('Climate Data'!$H$7:$H$366,'Climate Data'!$A$7:$A$366,Estimator!$B$4,'Climate Data'!$B$7:$B$366,C3959)</f>
        <v>6.8194444444444446</v>
      </c>
      <c r="J3959" s="86">
        <f>SUMIFS('Wind Proxy'!$H$8:$H$19,'Wind Proxy'!$A$8:$A$19,Estimator!$B$4,'Wind Proxy'!$B$8:$B$19,C3959)</f>
        <v>0</v>
      </c>
    </row>
    <row r="3960" spans="1:10" ht="14.4">
      <c r="A3960" s="84">
        <v>49611</v>
      </c>
      <c r="B3960" s="85">
        <v>2035</v>
      </c>
      <c r="C3960" s="85">
        <v>10</v>
      </c>
      <c r="D3960" s="85" t="s">
        <v>75</v>
      </c>
      <c r="E3960" s="85">
        <v>29</v>
      </c>
      <c r="F3960" s="85">
        <v>1</v>
      </c>
      <c r="G3960" s="85">
        <f>--(F3960&lt;=Estimator!$B$7)</f>
        <v>1</v>
      </c>
      <c r="H3960" s="86">
        <f>SUMIFS('Climate Data'!$G$7:$G$366,'Climate Data'!$A$7:$A$366,Estimator!$B$4,'Climate Data'!$B$7:$B$366,C3960)</f>
        <v>0.23225806451612904</v>
      </c>
      <c r="I3960" s="87">
        <f>SUMIFS('Climate Data'!$H$7:$H$366,'Climate Data'!$A$7:$A$366,Estimator!$B$4,'Climate Data'!$B$7:$B$366,C3960)</f>
        <v>6.8194444444444446</v>
      </c>
      <c r="J3960" s="86">
        <f>SUMIFS('Wind Proxy'!$H$8:$H$19,'Wind Proxy'!$A$8:$A$19,Estimator!$B$4,'Wind Proxy'!$B$8:$B$19,C3960)</f>
        <v>0</v>
      </c>
    </row>
    <row r="3961" spans="1:10" ht="14.4">
      <c r="A3961" s="84">
        <v>49612</v>
      </c>
      <c r="B3961" s="85">
        <v>2035</v>
      </c>
      <c r="C3961" s="85">
        <v>10</v>
      </c>
      <c r="D3961" s="85" t="s">
        <v>75</v>
      </c>
      <c r="E3961" s="85">
        <v>30</v>
      </c>
      <c r="F3961" s="85">
        <v>2</v>
      </c>
      <c r="G3961" s="85">
        <f>--(F3961&lt;=Estimator!$B$7)</f>
        <v>1</v>
      </c>
      <c r="H3961" s="86">
        <f>SUMIFS('Climate Data'!$G$7:$G$366,'Climate Data'!$A$7:$A$366,Estimator!$B$4,'Climate Data'!$B$7:$B$366,C3961)</f>
        <v>0.23225806451612904</v>
      </c>
      <c r="I3961" s="87">
        <f>SUMIFS('Climate Data'!$H$7:$H$366,'Climate Data'!$A$7:$A$366,Estimator!$B$4,'Climate Data'!$B$7:$B$366,C3961)</f>
        <v>6.8194444444444446</v>
      </c>
      <c r="J3961" s="86">
        <f>SUMIFS('Wind Proxy'!$H$8:$H$19,'Wind Proxy'!$A$8:$A$19,Estimator!$B$4,'Wind Proxy'!$B$8:$B$19,C3961)</f>
        <v>0</v>
      </c>
    </row>
    <row r="3962" spans="1:10" ht="14.4">
      <c r="A3962" s="84">
        <v>49613</v>
      </c>
      <c r="B3962" s="85">
        <v>2035</v>
      </c>
      <c r="C3962" s="85">
        <v>10</v>
      </c>
      <c r="D3962" s="85" t="s">
        <v>75</v>
      </c>
      <c r="E3962" s="85">
        <v>31</v>
      </c>
      <c r="F3962" s="85">
        <v>3</v>
      </c>
      <c r="G3962" s="85">
        <f>--(F3962&lt;=Estimator!$B$7)</f>
        <v>1</v>
      </c>
      <c r="H3962" s="86">
        <f>SUMIFS('Climate Data'!$G$7:$G$366,'Climate Data'!$A$7:$A$366,Estimator!$B$4,'Climate Data'!$B$7:$B$366,C3962)</f>
        <v>0.23225806451612904</v>
      </c>
      <c r="I3962" s="87">
        <f>SUMIFS('Climate Data'!$H$7:$H$366,'Climate Data'!$A$7:$A$366,Estimator!$B$4,'Climate Data'!$B$7:$B$366,C3962)</f>
        <v>6.8194444444444446</v>
      </c>
      <c r="J3962" s="86">
        <f>SUMIFS('Wind Proxy'!$H$8:$H$19,'Wind Proxy'!$A$8:$A$19,Estimator!$B$4,'Wind Proxy'!$B$8:$B$19,C3962)</f>
        <v>0</v>
      </c>
    </row>
    <row r="3963" spans="1:10" ht="14.4">
      <c r="A3963" s="84">
        <v>49614</v>
      </c>
      <c r="B3963" s="85">
        <v>2035</v>
      </c>
      <c r="C3963" s="85">
        <v>11</v>
      </c>
      <c r="D3963" s="85" t="s">
        <v>76</v>
      </c>
      <c r="E3963" s="85">
        <v>1</v>
      </c>
      <c r="F3963" s="85">
        <v>4</v>
      </c>
      <c r="G3963" s="85">
        <f>--(F3963&lt;=Estimator!$B$7)</f>
        <v>1</v>
      </c>
      <c r="H3963" s="86">
        <f>SUMIFS('Climate Data'!$G$7:$G$366,'Climate Data'!$A$7:$A$366,Estimator!$B$4,'Climate Data'!$B$7:$B$366,C3963)</f>
        <v>0.23333333333333334</v>
      </c>
      <c r="I3963" s="87">
        <f>SUMIFS('Climate Data'!$H$7:$H$366,'Climate Data'!$A$7:$A$366,Estimator!$B$4,'Climate Data'!$B$7:$B$366,C3963)</f>
        <v>6.4428571428571431</v>
      </c>
      <c r="J3963" s="86">
        <f>SUMIFS('Wind Proxy'!$H$8:$H$19,'Wind Proxy'!$A$8:$A$19,Estimator!$B$4,'Wind Proxy'!$B$8:$B$19,C3963)</f>
        <v>0</v>
      </c>
    </row>
    <row r="3964" spans="1:10" ht="14.4">
      <c r="A3964" s="84">
        <v>49615</v>
      </c>
      <c r="B3964" s="85">
        <v>2035</v>
      </c>
      <c r="C3964" s="85">
        <v>11</v>
      </c>
      <c r="D3964" s="85" t="s">
        <v>76</v>
      </c>
      <c r="E3964" s="85">
        <v>2</v>
      </c>
      <c r="F3964" s="85">
        <v>5</v>
      </c>
      <c r="G3964" s="85">
        <f>--(F3964&lt;=Estimator!$B$7)</f>
        <v>1</v>
      </c>
      <c r="H3964" s="86">
        <f>SUMIFS('Climate Data'!$G$7:$G$366,'Climate Data'!$A$7:$A$366,Estimator!$B$4,'Climate Data'!$B$7:$B$366,C3964)</f>
        <v>0.23333333333333334</v>
      </c>
      <c r="I3964" s="87">
        <f>SUMIFS('Climate Data'!$H$7:$H$366,'Climate Data'!$A$7:$A$366,Estimator!$B$4,'Climate Data'!$B$7:$B$366,C3964)</f>
        <v>6.4428571428571431</v>
      </c>
      <c r="J3964" s="86">
        <f>SUMIFS('Wind Proxy'!$H$8:$H$19,'Wind Proxy'!$A$8:$A$19,Estimator!$B$4,'Wind Proxy'!$B$8:$B$19,C3964)</f>
        <v>0</v>
      </c>
    </row>
    <row r="3965" spans="1:10" ht="14.4">
      <c r="A3965" s="84">
        <v>49616</v>
      </c>
      <c r="B3965" s="85">
        <v>2035</v>
      </c>
      <c r="C3965" s="85">
        <v>11</v>
      </c>
      <c r="D3965" s="85" t="s">
        <v>76</v>
      </c>
      <c r="E3965" s="85">
        <v>3</v>
      </c>
      <c r="F3965" s="85">
        <v>6</v>
      </c>
      <c r="G3965" s="85">
        <f>--(F3965&lt;=Estimator!$B$7)</f>
        <v>0</v>
      </c>
      <c r="H3965" s="86">
        <f>SUMIFS('Climate Data'!$G$7:$G$366,'Climate Data'!$A$7:$A$366,Estimator!$B$4,'Climate Data'!$B$7:$B$366,C3965)</f>
        <v>0.23333333333333334</v>
      </c>
      <c r="I3965" s="87">
        <f>SUMIFS('Climate Data'!$H$7:$H$366,'Climate Data'!$A$7:$A$366,Estimator!$B$4,'Climate Data'!$B$7:$B$366,C3965)</f>
        <v>6.4428571428571431</v>
      </c>
      <c r="J3965" s="86">
        <f>SUMIFS('Wind Proxy'!$H$8:$H$19,'Wind Proxy'!$A$8:$A$19,Estimator!$B$4,'Wind Proxy'!$B$8:$B$19,C3965)</f>
        <v>0</v>
      </c>
    </row>
    <row r="3966" spans="1:10" ht="14.4">
      <c r="A3966" s="84">
        <v>49617</v>
      </c>
      <c r="B3966" s="85">
        <v>2035</v>
      </c>
      <c r="C3966" s="85">
        <v>11</v>
      </c>
      <c r="D3966" s="85" t="s">
        <v>76</v>
      </c>
      <c r="E3966" s="85">
        <v>4</v>
      </c>
      <c r="F3966" s="85">
        <v>7</v>
      </c>
      <c r="G3966" s="85">
        <f>--(F3966&lt;=Estimator!$B$7)</f>
        <v>0</v>
      </c>
      <c r="H3966" s="86">
        <f>SUMIFS('Climate Data'!$G$7:$G$366,'Climate Data'!$A$7:$A$366,Estimator!$B$4,'Climate Data'!$B$7:$B$366,C3966)</f>
        <v>0.23333333333333334</v>
      </c>
      <c r="I3966" s="87">
        <f>SUMIFS('Climate Data'!$H$7:$H$366,'Climate Data'!$A$7:$A$366,Estimator!$B$4,'Climate Data'!$B$7:$B$366,C3966)</f>
        <v>6.4428571428571431</v>
      </c>
      <c r="J3966" s="86">
        <f>SUMIFS('Wind Proxy'!$H$8:$H$19,'Wind Proxy'!$A$8:$A$19,Estimator!$B$4,'Wind Proxy'!$B$8:$B$19,C3966)</f>
        <v>0</v>
      </c>
    </row>
    <row r="3967" spans="1:10" ht="14.4">
      <c r="A3967" s="84">
        <v>49618</v>
      </c>
      <c r="B3967" s="85">
        <v>2035</v>
      </c>
      <c r="C3967" s="85">
        <v>11</v>
      </c>
      <c r="D3967" s="85" t="s">
        <v>76</v>
      </c>
      <c r="E3967" s="85">
        <v>5</v>
      </c>
      <c r="F3967" s="85">
        <v>1</v>
      </c>
      <c r="G3967" s="85">
        <f>--(F3967&lt;=Estimator!$B$7)</f>
        <v>1</v>
      </c>
      <c r="H3967" s="86">
        <f>SUMIFS('Climate Data'!$G$7:$G$366,'Climate Data'!$A$7:$A$366,Estimator!$B$4,'Climate Data'!$B$7:$B$366,C3967)</f>
        <v>0.23333333333333334</v>
      </c>
      <c r="I3967" s="87">
        <f>SUMIFS('Climate Data'!$H$7:$H$366,'Climate Data'!$A$7:$A$366,Estimator!$B$4,'Climate Data'!$B$7:$B$366,C3967)</f>
        <v>6.4428571428571431</v>
      </c>
      <c r="J3967" s="86">
        <f>SUMIFS('Wind Proxy'!$H$8:$H$19,'Wind Proxy'!$A$8:$A$19,Estimator!$B$4,'Wind Proxy'!$B$8:$B$19,C3967)</f>
        <v>0</v>
      </c>
    </row>
    <row r="3968" spans="1:10" ht="14.4">
      <c r="A3968" s="84">
        <v>49619</v>
      </c>
      <c r="B3968" s="85">
        <v>2035</v>
      </c>
      <c r="C3968" s="85">
        <v>11</v>
      </c>
      <c r="D3968" s="85" t="s">
        <v>76</v>
      </c>
      <c r="E3968" s="85">
        <v>6</v>
      </c>
      <c r="F3968" s="85">
        <v>2</v>
      </c>
      <c r="G3968" s="85">
        <f>--(F3968&lt;=Estimator!$B$7)</f>
        <v>1</v>
      </c>
      <c r="H3968" s="86">
        <f>SUMIFS('Climate Data'!$G$7:$G$366,'Climate Data'!$A$7:$A$366,Estimator!$B$4,'Climate Data'!$B$7:$B$366,C3968)</f>
        <v>0.23333333333333334</v>
      </c>
      <c r="I3968" s="87">
        <f>SUMIFS('Climate Data'!$H$7:$H$366,'Climate Data'!$A$7:$A$366,Estimator!$B$4,'Climate Data'!$B$7:$B$366,C3968)</f>
        <v>6.4428571428571431</v>
      </c>
      <c r="J3968" s="86">
        <f>SUMIFS('Wind Proxy'!$H$8:$H$19,'Wind Proxy'!$A$8:$A$19,Estimator!$B$4,'Wind Proxy'!$B$8:$B$19,C3968)</f>
        <v>0</v>
      </c>
    </row>
    <row r="3969" spans="1:10" ht="14.4">
      <c r="A3969" s="84">
        <v>49620</v>
      </c>
      <c r="B3969" s="85">
        <v>2035</v>
      </c>
      <c r="C3969" s="85">
        <v>11</v>
      </c>
      <c r="D3969" s="85" t="s">
        <v>76</v>
      </c>
      <c r="E3969" s="85">
        <v>7</v>
      </c>
      <c r="F3969" s="85">
        <v>3</v>
      </c>
      <c r="G3969" s="85">
        <f>--(F3969&lt;=Estimator!$B$7)</f>
        <v>1</v>
      </c>
      <c r="H3969" s="86">
        <f>SUMIFS('Climate Data'!$G$7:$G$366,'Climate Data'!$A$7:$A$366,Estimator!$B$4,'Climate Data'!$B$7:$B$366,C3969)</f>
        <v>0.23333333333333334</v>
      </c>
      <c r="I3969" s="87">
        <f>SUMIFS('Climate Data'!$H$7:$H$366,'Climate Data'!$A$7:$A$366,Estimator!$B$4,'Climate Data'!$B$7:$B$366,C3969)</f>
        <v>6.4428571428571431</v>
      </c>
      <c r="J3969" s="86">
        <f>SUMIFS('Wind Proxy'!$H$8:$H$19,'Wind Proxy'!$A$8:$A$19,Estimator!$B$4,'Wind Proxy'!$B$8:$B$19,C3969)</f>
        <v>0</v>
      </c>
    </row>
    <row r="3970" spans="1:10" ht="14.4">
      <c r="A3970" s="84">
        <v>49621</v>
      </c>
      <c r="B3970" s="85">
        <v>2035</v>
      </c>
      <c r="C3970" s="85">
        <v>11</v>
      </c>
      <c r="D3970" s="85" t="s">
        <v>76</v>
      </c>
      <c r="E3970" s="85">
        <v>8</v>
      </c>
      <c r="F3970" s="85">
        <v>4</v>
      </c>
      <c r="G3970" s="85">
        <f>--(F3970&lt;=Estimator!$B$7)</f>
        <v>1</v>
      </c>
      <c r="H3970" s="86">
        <f>SUMIFS('Climate Data'!$G$7:$G$366,'Climate Data'!$A$7:$A$366,Estimator!$B$4,'Climate Data'!$B$7:$B$366,C3970)</f>
        <v>0.23333333333333334</v>
      </c>
      <c r="I3970" s="87">
        <f>SUMIFS('Climate Data'!$H$7:$H$366,'Climate Data'!$A$7:$A$366,Estimator!$B$4,'Climate Data'!$B$7:$B$366,C3970)</f>
        <v>6.4428571428571431</v>
      </c>
      <c r="J3970" s="86">
        <f>SUMIFS('Wind Proxy'!$H$8:$H$19,'Wind Proxy'!$A$8:$A$19,Estimator!$B$4,'Wind Proxy'!$B$8:$B$19,C3970)</f>
        <v>0</v>
      </c>
    </row>
    <row r="3971" spans="1:10" ht="14.4">
      <c r="A3971" s="84">
        <v>49622</v>
      </c>
      <c r="B3971" s="85">
        <v>2035</v>
      </c>
      <c r="C3971" s="85">
        <v>11</v>
      </c>
      <c r="D3971" s="85" t="s">
        <v>76</v>
      </c>
      <c r="E3971" s="85">
        <v>9</v>
      </c>
      <c r="F3971" s="85">
        <v>5</v>
      </c>
      <c r="G3971" s="85">
        <f>--(F3971&lt;=Estimator!$B$7)</f>
        <v>1</v>
      </c>
      <c r="H3971" s="86">
        <f>SUMIFS('Climate Data'!$G$7:$G$366,'Climate Data'!$A$7:$A$366,Estimator!$B$4,'Climate Data'!$B$7:$B$366,C3971)</f>
        <v>0.23333333333333334</v>
      </c>
      <c r="I3971" s="87">
        <f>SUMIFS('Climate Data'!$H$7:$H$366,'Climate Data'!$A$7:$A$366,Estimator!$B$4,'Climate Data'!$B$7:$B$366,C3971)</f>
        <v>6.4428571428571431</v>
      </c>
      <c r="J3971" s="86">
        <f>SUMIFS('Wind Proxy'!$H$8:$H$19,'Wind Proxy'!$A$8:$A$19,Estimator!$B$4,'Wind Proxy'!$B$8:$B$19,C3971)</f>
        <v>0</v>
      </c>
    </row>
    <row r="3972" spans="1:10" ht="14.4">
      <c r="A3972" s="84">
        <v>49623</v>
      </c>
      <c r="B3972" s="85">
        <v>2035</v>
      </c>
      <c r="C3972" s="85">
        <v>11</v>
      </c>
      <c r="D3972" s="85" t="s">
        <v>76</v>
      </c>
      <c r="E3972" s="85">
        <v>10</v>
      </c>
      <c r="F3972" s="85">
        <v>6</v>
      </c>
      <c r="G3972" s="85">
        <f>--(F3972&lt;=Estimator!$B$7)</f>
        <v>0</v>
      </c>
      <c r="H3972" s="86">
        <f>SUMIFS('Climate Data'!$G$7:$G$366,'Climate Data'!$A$7:$A$366,Estimator!$B$4,'Climate Data'!$B$7:$B$366,C3972)</f>
        <v>0.23333333333333334</v>
      </c>
      <c r="I3972" s="87">
        <f>SUMIFS('Climate Data'!$H$7:$H$366,'Climate Data'!$A$7:$A$366,Estimator!$B$4,'Climate Data'!$B$7:$B$366,C3972)</f>
        <v>6.4428571428571431</v>
      </c>
      <c r="J3972" s="86">
        <f>SUMIFS('Wind Proxy'!$H$8:$H$19,'Wind Proxy'!$A$8:$A$19,Estimator!$B$4,'Wind Proxy'!$B$8:$B$19,C3972)</f>
        <v>0</v>
      </c>
    </row>
    <row r="3973" spans="1:10" ht="14.4">
      <c r="A3973" s="84">
        <v>49624</v>
      </c>
      <c r="B3973" s="85">
        <v>2035</v>
      </c>
      <c r="C3973" s="85">
        <v>11</v>
      </c>
      <c r="D3973" s="85" t="s">
        <v>76</v>
      </c>
      <c r="E3973" s="85">
        <v>11</v>
      </c>
      <c r="F3973" s="85">
        <v>7</v>
      </c>
      <c r="G3973" s="85">
        <f>--(F3973&lt;=Estimator!$B$7)</f>
        <v>0</v>
      </c>
      <c r="H3973" s="86">
        <f>SUMIFS('Climate Data'!$G$7:$G$366,'Climate Data'!$A$7:$A$366,Estimator!$B$4,'Climate Data'!$B$7:$B$366,C3973)</f>
        <v>0.23333333333333334</v>
      </c>
      <c r="I3973" s="87">
        <f>SUMIFS('Climate Data'!$H$7:$H$366,'Climate Data'!$A$7:$A$366,Estimator!$B$4,'Climate Data'!$B$7:$B$366,C3973)</f>
        <v>6.4428571428571431</v>
      </c>
      <c r="J3973" s="86">
        <f>SUMIFS('Wind Proxy'!$H$8:$H$19,'Wind Proxy'!$A$8:$A$19,Estimator!$B$4,'Wind Proxy'!$B$8:$B$19,C3973)</f>
        <v>0</v>
      </c>
    </row>
    <row r="3974" spans="1:10" ht="14.4">
      <c r="A3974" s="84">
        <v>49625</v>
      </c>
      <c r="B3974" s="85">
        <v>2035</v>
      </c>
      <c r="C3974" s="85">
        <v>11</v>
      </c>
      <c r="D3974" s="85" t="s">
        <v>76</v>
      </c>
      <c r="E3974" s="85">
        <v>12</v>
      </c>
      <c r="F3974" s="85">
        <v>1</v>
      </c>
      <c r="G3974" s="85">
        <f>--(F3974&lt;=Estimator!$B$7)</f>
        <v>1</v>
      </c>
      <c r="H3974" s="86">
        <f>SUMIFS('Climate Data'!$G$7:$G$366,'Climate Data'!$A$7:$A$366,Estimator!$B$4,'Climate Data'!$B$7:$B$366,C3974)</f>
        <v>0.23333333333333334</v>
      </c>
      <c r="I3974" s="87">
        <f>SUMIFS('Climate Data'!$H$7:$H$366,'Climate Data'!$A$7:$A$366,Estimator!$B$4,'Climate Data'!$B$7:$B$366,C3974)</f>
        <v>6.4428571428571431</v>
      </c>
      <c r="J3974" s="86">
        <f>SUMIFS('Wind Proxy'!$H$8:$H$19,'Wind Proxy'!$A$8:$A$19,Estimator!$B$4,'Wind Proxy'!$B$8:$B$19,C3974)</f>
        <v>0</v>
      </c>
    </row>
    <row r="3975" spans="1:10" ht="14.4">
      <c r="A3975" s="84">
        <v>49626</v>
      </c>
      <c r="B3975" s="85">
        <v>2035</v>
      </c>
      <c r="C3975" s="85">
        <v>11</v>
      </c>
      <c r="D3975" s="85" t="s">
        <v>76</v>
      </c>
      <c r="E3975" s="85">
        <v>13</v>
      </c>
      <c r="F3975" s="85">
        <v>2</v>
      </c>
      <c r="G3975" s="85">
        <f>--(F3975&lt;=Estimator!$B$7)</f>
        <v>1</v>
      </c>
      <c r="H3975" s="86">
        <f>SUMIFS('Climate Data'!$G$7:$G$366,'Climate Data'!$A$7:$A$366,Estimator!$B$4,'Climate Data'!$B$7:$B$366,C3975)</f>
        <v>0.23333333333333334</v>
      </c>
      <c r="I3975" s="87">
        <f>SUMIFS('Climate Data'!$H$7:$H$366,'Climate Data'!$A$7:$A$366,Estimator!$B$4,'Climate Data'!$B$7:$B$366,C3975)</f>
        <v>6.4428571428571431</v>
      </c>
      <c r="J3975" s="86">
        <f>SUMIFS('Wind Proxy'!$H$8:$H$19,'Wind Proxy'!$A$8:$A$19,Estimator!$B$4,'Wind Proxy'!$B$8:$B$19,C3975)</f>
        <v>0</v>
      </c>
    </row>
    <row r="3976" spans="1:10" ht="14.4">
      <c r="A3976" s="84">
        <v>49627</v>
      </c>
      <c r="B3976" s="85">
        <v>2035</v>
      </c>
      <c r="C3976" s="85">
        <v>11</v>
      </c>
      <c r="D3976" s="85" t="s">
        <v>76</v>
      </c>
      <c r="E3976" s="85">
        <v>14</v>
      </c>
      <c r="F3976" s="85">
        <v>3</v>
      </c>
      <c r="G3976" s="85">
        <f>--(F3976&lt;=Estimator!$B$7)</f>
        <v>1</v>
      </c>
      <c r="H3976" s="86">
        <f>SUMIFS('Climate Data'!$G$7:$G$366,'Climate Data'!$A$7:$A$366,Estimator!$B$4,'Climate Data'!$B$7:$B$366,C3976)</f>
        <v>0.23333333333333334</v>
      </c>
      <c r="I3976" s="87">
        <f>SUMIFS('Climate Data'!$H$7:$H$366,'Climate Data'!$A$7:$A$366,Estimator!$B$4,'Climate Data'!$B$7:$B$366,C3976)</f>
        <v>6.4428571428571431</v>
      </c>
      <c r="J3976" s="86">
        <f>SUMIFS('Wind Proxy'!$H$8:$H$19,'Wind Proxy'!$A$8:$A$19,Estimator!$B$4,'Wind Proxy'!$B$8:$B$19,C3976)</f>
        <v>0</v>
      </c>
    </row>
    <row r="3977" spans="1:10" ht="14.4">
      <c r="A3977" s="84">
        <v>49628</v>
      </c>
      <c r="B3977" s="85">
        <v>2035</v>
      </c>
      <c r="C3977" s="85">
        <v>11</v>
      </c>
      <c r="D3977" s="85" t="s">
        <v>76</v>
      </c>
      <c r="E3977" s="85">
        <v>15</v>
      </c>
      <c r="F3977" s="85">
        <v>4</v>
      </c>
      <c r="G3977" s="85">
        <f>--(F3977&lt;=Estimator!$B$7)</f>
        <v>1</v>
      </c>
      <c r="H3977" s="86">
        <f>SUMIFS('Climate Data'!$G$7:$G$366,'Climate Data'!$A$7:$A$366,Estimator!$B$4,'Climate Data'!$B$7:$B$366,C3977)</f>
        <v>0.23333333333333334</v>
      </c>
      <c r="I3977" s="87">
        <f>SUMIFS('Climate Data'!$H$7:$H$366,'Climate Data'!$A$7:$A$366,Estimator!$B$4,'Climate Data'!$B$7:$B$366,C3977)</f>
        <v>6.4428571428571431</v>
      </c>
      <c r="J3977" s="86">
        <f>SUMIFS('Wind Proxy'!$H$8:$H$19,'Wind Proxy'!$A$8:$A$19,Estimator!$B$4,'Wind Proxy'!$B$8:$B$19,C3977)</f>
        <v>0</v>
      </c>
    </row>
    <row r="3978" spans="1:10" ht="14.4">
      <c r="A3978" s="84">
        <v>49629</v>
      </c>
      <c r="B3978" s="85">
        <v>2035</v>
      </c>
      <c r="C3978" s="85">
        <v>11</v>
      </c>
      <c r="D3978" s="85" t="s">
        <v>76</v>
      </c>
      <c r="E3978" s="85">
        <v>16</v>
      </c>
      <c r="F3978" s="85">
        <v>5</v>
      </c>
      <c r="G3978" s="85">
        <f>--(F3978&lt;=Estimator!$B$7)</f>
        <v>1</v>
      </c>
      <c r="H3978" s="86">
        <f>SUMIFS('Climate Data'!$G$7:$G$366,'Climate Data'!$A$7:$A$366,Estimator!$B$4,'Climate Data'!$B$7:$B$366,C3978)</f>
        <v>0.23333333333333334</v>
      </c>
      <c r="I3978" s="87">
        <f>SUMIFS('Climate Data'!$H$7:$H$366,'Climate Data'!$A$7:$A$366,Estimator!$B$4,'Climate Data'!$B$7:$B$366,C3978)</f>
        <v>6.4428571428571431</v>
      </c>
      <c r="J3978" s="86">
        <f>SUMIFS('Wind Proxy'!$H$8:$H$19,'Wind Proxy'!$A$8:$A$19,Estimator!$B$4,'Wind Proxy'!$B$8:$B$19,C3978)</f>
        <v>0</v>
      </c>
    </row>
    <row r="3979" spans="1:10" ht="14.4">
      <c r="A3979" s="84">
        <v>49630</v>
      </c>
      <c r="B3979" s="85">
        <v>2035</v>
      </c>
      <c r="C3979" s="85">
        <v>11</v>
      </c>
      <c r="D3979" s="85" t="s">
        <v>76</v>
      </c>
      <c r="E3979" s="85">
        <v>17</v>
      </c>
      <c r="F3979" s="85">
        <v>6</v>
      </c>
      <c r="G3979" s="85">
        <f>--(F3979&lt;=Estimator!$B$7)</f>
        <v>0</v>
      </c>
      <c r="H3979" s="86">
        <f>SUMIFS('Climate Data'!$G$7:$G$366,'Climate Data'!$A$7:$A$366,Estimator!$B$4,'Climate Data'!$B$7:$B$366,C3979)</f>
        <v>0.23333333333333334</v>
      </c>
      <c r="I3979" s="87">
        <f>SUMIFS('Climate Data'!$H$7:$H$366,'Climate Data'!$A$7:$A$366,Estimator!$B$4,'Climate Data'!$B$7:$B$366,C3979)</f>
        <v>6.4428571428571431</v>
      </c>
      <c r="J3979" s="86">
        <f>SUMIFS('Wind Proxy'!$H$8:$H$19,'Wind Proxy'!$A$8:$A$19,Estimator!$B$4,'Wind Proxy'!$B$8:$B$19,C3979)</f>
        <v>0</v>
      </c>
    </row>
    <row r="3980" spans="1:10" ht="14.4">
      <c r="A3980" s="84">
        <v>49631</v>
      </c>
      <c r="B3980" s="85">
        <v>2035</v>
      </c>
      <c r="C3980" s="85">
        <v>11</v>
      </c>
      <c r="D3980" s="85" t="s">
        <v>76</v>
      </c>
      <c r="E3980" s="85">
        <v>18</v>
      </c>
      <c r="F3980" s="85">
        <v>7</v>
      </c>
      <c r="G3980" s="85">
        <f>--(F3980&lt;=Estimator!$B$7)</f>
        <v>0</v>
      </c>
      <c r="H3980" s="86">
        <f>SUMIFS('Climate Data'!$G$7:$G$366,'Climate Data'!$A$7:$A$366,Estimator!$B$4,'Climate Data'!$B$7:$B$366,C3980)</f>
        <v>0.23333333333333334</v>
      </c>
      <c r="I3980" s="87">
        <f>SUMIFS('Climate Data'!$H$7:$H$366,'Climate Data'!$A$7:$A$366,Estimator!$B$4,'Climate Data'!$B$7:$B$366,C3980)</f>
        <v>6.4428571428571431</v>
      </c>
      <c r="J3980" s="86">
        <f>SUMIFS('Wind Proxy'!$H$8:$H$19,'Wind Proxy'!$A$8:$A$19,Estimator!$B$4,'Wind Proxy'!$B$8:$B$19,C3980)</f>
        <v>0</v>
      </c>
    </row>
    <row r="3981" spans="1:10" ht="14.4">
      <c r="A3981" s="84">
        <v>49632</v>
      </c>
      <c r="B3981" s="85">
        <v>2035</v>
      </c>
      <c r="C3981" s="85">
        <v>11</v>
      </c>
      <c r="D3981" s="85" t="s">
        <v>76</v>
      </c>
      <c r="E3981" s="85">
        <v>19</v>
      </c>
      <c r="F3981" s="85">
        <v>1</v>
      </c>
      <c r="G3981" s="85">
        <f>--(F3981&lt;=Estimator!$B$7)</f>
        <v>1</v>
      </c>
      <c r="H3981" s="86">
        <f>SUMIFS('Climate Data'!$G$7:$G$366,'Climate Data'!$A$7:$A$366,Estimator!$B$4,'Climate Data'!$B$7:$B$366,C3981)</f>
        <v>0.23333333333333334</v>
      </c>
      <c r="I3981" s="87">
        <f>SUMIFS('Climate Data'!$H$7:$H$366,'Climate Data'!$A$7:$A$366,Estimator!$B$4,'Climate Data'!$B$7:$B$366,C3981)</f>
        <v>6.4428571428571431</v>
      </c>
      <c r="J3981" s="86">
        <f>SUMIFS('Wind Proxy'!$H$8:$H$19,'Wind Proxy'!$A$8:$A$19,Estimator!$B$4,'Wind Proxy'!$B$8:$B$19,C3981)</f>
        <v>0</v>
      </c>
    </row>
    <row r="3982" spans="1:10" ht="14.4">
      <c r="A3982" s="84">
        <v>49633</v>
      </c>
      <c r="B3982" s="85">
        <v>2035</v>
      </c>
      <c r="C3982" s="85">
        <v>11</v>
      </c>
      <c r="D3982" s="85" t="s">
        <v>76</v>
      </c>
      <c r="E3982" s="85">
        <v>20</v>
      </c>
      <c r="F3982" s="85">
        <v>2</v>
      </c>
      <c r="G3982" s="85">
        <f>--(F3982&lt;=Estimator!$B$7)</f>
        <v>1</v>
      </c>
      <c r="H3982" s="86">
        <f>SUMIFS('Climate Data'!$G$7:$G$366,'Climate Data'!$A$7:$A$366,Estimator!$B$4,'Climate Data'!$B$7:$B$366,C3982)</f>
        <v>0.23333333333333334</v>
      </c>
      <c r="I3982" s="87">
        <f>SUMIFS('Climate Data'!$H$7:$H$366,'Climate Data'!$A$7:$A$366,Estimator!$B$4,'Climate Data'!$B$7:$B$366,C3982)</f>
        <v>6.4428571428571431</v>
      </c>
      <c r="J3982" s="86">
        <f>SUMIFS('Wind Proxy'!$H$8:$H$19,'Wind Proxy'!$A$8:$A$19,Estimator!$B$4,'Wind Proxy'!$B$8:$B$19,C3982)</f>
        <v>0</v>
      </c>
    </row>
    <row r="3983" spans="1:10" ht="14.4">
      <c r="A3983" s="84">
        <v>49634</v>
      </c>
      <c r="B3983" s="85">
        <v>2035</v>
      </c>
      <c r="C3983" s="85">
        <v>11</v>
      </c>
      <c r="D3983" s="85" t="s">
        <v>76</v>
      </c>
      <c r="E3983" s="85">
        <v>21</v>
      </c>
      <c r="F3983" s="85">
        <v>3</v>
      </c>
      <c r="G3983" s="85">
        <f>--(F3983&lt;=Estimator!$B$7)</f>
        <v>1</v>
      </c>
      <c r="H3983" s="86">
        <f>SUMIFS('Climate Data'!$G$7:$G$366,'Climate Data'!$A$7:$A$366,Estimator!$B$4,'Climate Data'!$B$7:$B$366,C3983)</f>
        <v>0.23333333333333334</v>
      </c>
      <c r="I3983" s="87">
        <f>SUMIFS('Climate Data'!$H$7:$H$366,'Climate Data'!$A$7:$A$366,Estimator!$B$4,'Climate Data'!$B$7:$B$366,C3983)</f>
        <v>6.4428571428571431</v>
      </c>
      <c r="J3983" s="86">
        <f>SUMIFS('Wind Proxy'!$H$8:$H$19,'Wind Proxy'!$A$8:$A$19,Estimator!$B$4,'Wind Proxy'!$B$8:$B$19,C3983)</f>
        <v>0</v>
      </c>
    </row>
    <row r="3984" spans="1:10" ht="14.4">
      <c r="A3984" s="84">
        <v>49635</v>
      </c>
      <c r="B3984" s="85">
        <v>2035</v>
      </c>
      <c r="C3984" s="85">
        <v>11</v>
      </c>
      <c r="D3984" s="85" t="s">
        <v>76</v>
      </c>
      <c r="E3984" s="85">
        <v>22</v>
      </c>
      <c r="F3984" s="85">
        <v>4</v>
      </c>
      <c r="G3984" s="85">
        <f>--(F3984&lt;=Estimator!$B$7)</f>
        <v>1</v>
      </c>
      <c r="H3984" s="86">
        <f>SUMIFS('Climate Data'!$G$7:$G$366,'Climate Data'!$A$7:$A$366,Estimator!$B$4,'Climate Data'!$B$7:$B$366,C3984)</f>
        <v>0.23333333333333334</v>
      </c>
      <c r="I3984" s="87">
        <f>SUMIFS('Climate Data'!$H$7:$H$366,'Climate Data'!$A$7:$A$366,Estimator!$B$4,'Climate Data'!$B$7:$B$366,C3984)</f>
        <v>6.4428571428571431</v>
      </c>
      <c r="J3984" s="86">
        <f>SUMIFS('Wind Proxy'!$H$8:$H$19,'Wind Proxy'!$A$8:$A$19,Estimator!$B$4,'Wind Proxy'!$B$8:$B$19,C3984)</f>
        <v>0</v>
      </c>
    </row>
    <row r="3985" spans="1:10" ht="14.4">
      <c r="A3985" s="84">
        <v>49636</v>
      </c>
      <c r="B3985" s="85">
        <v>2035</v>
      </c>
      <c r="C3985" s="85">
        <v>11</v>
      </c>
      <c r="D3985" s="85" t="s">
        <v>76</v>
      </c>
      <c r="E3985" s="85">
        <v>23</v>
      </c>
      <c r="F3985" s="85">
        <v>5</v>
      </c>
      <c r="G3985" s="85">
        <f>--(F3985&lt;=Estimator!$B$7)</f>
        <v>1</v>
      </c>
      <c r="H3985" s="86">
        <f>SUMIFS('Climate Data'!$G$7:$G$366,'Climate Data'!$A$7:$A$366,Estimator!$B$4,'Climate Data'!$B$7:$B$366,C3985)</f>
        <v>0.23333333333333334</v>
      </c>
      <c r="I3985" s="87">
        <f>SUMIFS('Climate Data'!$H$7:$H$366,'Climate Data'!$A$7:$A$366,Estimator!$B$4,'Climate Data'!$B$7:$B$366,C3985)</f>
        <v>6.4428571428571431</v>
      </c>
      <c r="J3985" s="86">
        <f>SUMIFS('Wind Proxy'!$H$8:$H$19,'Wind Proxy'!$A$8:$A$19,Estimator!$B$4,'Wind Proxy'!$B$8:$B$19,C3985)</f>
        <v>0</v>
      </c>
    </row>
    <row r="3986" spans="1:10" ht="14.4">
      <c r="A3986" s="84">
        <v>49637</v>
      </c>
      <c r="B3986" s="85">
        <v>2035</v>
      </c>
      <c r="C3986" s="85">
        <v>11</v>
      </c>
      <c r="D3986" s="85" t="s">
        <v>76</v>
      </c>
      <c r="E3986" s="85">
        <v>24</v>
      </c>
      <c r="F3986" s="85">
        <v>6</v>
      </c>
      <c r="G3986" s="85">
        <f>--(F3986&lt;=Estimator!$B$7)</f>
        <v>0</v>
      </c>
      <c r="H3986" s="86">
        <f>SUMIFS('Climate Data'!$G$7:$G$366,'Climate Data'!$A$7:$A$366,Estimator!$B$4,'Climate Data'!$B$7:$B$366,C3986)</f>
        <v>0.23333333333333334</v>
      </c>
      <c r="I3986" s="87">
        <f>SUMIFS('Climate Data'!$H$7:$H$366,'Climate Data'!$A$7:$A$366,Estimator!$B$4,'Climate Data'!$B$7:$B$366,C3986)</f>
        <v>6.4428571428571431</v>
      </c>
      <c r="J3986" s="86">
        <f>SUMIFS('Wind Proxy'!$H$8:$H$19,'Wind Proxy'!$A$8:$A$19,Estimator!$B$4,'Wind Proxy'!$B$8:$B$19,C3986)</f>
        <v>0</v>
      </c>
    </row>
    <row r="3987" spans="1:10" ht="14.4">
      <c r="A3987" s="84">
        <v>49638</v>
      </c>
      <c r="B3987" s="85">
        <v>2035</v>
      </c>
      <c r="C3987" s="85">
        <v>11</v>
      </c>
      <c r="D3987" s="85" t="s">
        <v>76</v>
      </c>
      <c r="E3987" s="85">
        <v>25</v>
      </c>
      <c r="F3987" s="85">
        <v>7</v>
      </c>
      <c r="G3987" s="85">
        <f>--(F3987&lt;=Estimator!$B$7)</f>
        <v>0</v>
      </c>
      <c r="H3987" s="86">
        <f>SUMIFS('Climate Data'!$G$7:$G$366,'Climate Data'!$A$7:$A$366,Estimator!$B$4,'Climate Data'!$B$7:$B$366,C3987)</f>
        <v>0.23333333333333334</v>
      </c>
      <c r="I3987" s="87">
        <f>SUMIFS('Climate Data'!$H$7:$H$366,'Climate Data'!$A$7:$A$366,Estimator!$B$4,'Climate Data'!$B$7:$B$366,C3987)</f>
        <v>6.4428571428571431</v>
      </c>
      <c r="J3987" s="86">
        <f>SUMIFS('Wind Proxy'!$H$8:$H$19,'Wind Proxy'!$A$8:$A$19,Estimator!$B$4,'Wind Proxy'!$B$8:$B$19,C3987)</f>
        <v>0</v>
      </c>
    </row>
    <row r="3988" spans="1:10" ht="14.4">
      <c r="A3988" s="84">
        <v>49639</v>
      </c>
      <c r="B3988" s="85">
        <v>2035</v>
      </c>
      <c r="C3988" s="85">
        <v>11</v>
      </c>
      <c r="D3988" s="85" t="s">
        <v>76</v>
      </c>
      <c r="E3988" s="85">
        <v>26</v>
      </c>
      <c r="F3988" s="85">
        <v>1</v>
      </c>
      <c r="G3988" s="85">
        <f>--(F3988&lt;=Estimator!$B$7)</f>
        <v>1</v>
      </c>
      <c r="H3988" s="86">
        <f>SUMIFS('Climate Data'!$G$7:$G$366,'Climate Data'!$A$7:$A$366,Estimator!$B$4,'Climate Data'!$B$7:$B$366,C3988)</f>
        <v>0.23333333333333334</v>
      </c>
      <c r="I3988" s="87">
        <f>SUMIFS('Climate Data'!$H$7:$H$366,'Climate Data'!$A$7:$A$366,Estimator!$B$4,'Climate Data'!$B$7:$B$366,C3988)</f>
        <v>6.4428571428571431</v>
      </c>
      <c r="J3988" s="86">
        <f>SUMIFS('Wind Proxy'!$H$8:$H$19,'Wind Proxy'!$A$8:$A$19,Estimator!$B$4,'Wind Proxy'!$B$8:$B$19,C3988)</f>
        <v>0</v>
      </c>
    </row>
    <row r="3989" spans="1:10" ht="14.4">
      <c r="A3989" s="84">
        <v>49640</v>
      </c>
      <c r="B3989" s="85">
        <v>2035</v>
      </c>
      <c r="C3989" s="85">
        <v>11</v>
      </c>
      <c r="D3989" s="85" t="s">
        <v>76</v>
      </c>
      <c r="E3989" s="85">
        <v>27</v>
      </c>
      <c r="F3989" s="85">
        <v>2</v>
      </c>
      <c r="G3989" s="85">
        <f>--(F3989&lt;=Estimator!$B$7)</f>
        <v>1</v>
      </c>
      <c r="H3989" s="86">
        <f>SUMIFS('Climate Data'!$G$7:$G$366,'Climate Data'!$A$7:$A$366,Estimator!$B$4,'Climate Data'!$B$7:$B$366,C3989)</f>
        <v>0.23333333333333334</v>
      </c>
      <c r="I3989" s="87">
        <f>SUMIFS('Climate Data'!$H$7:$H$366,'Climate Data'!$A$7:$A$366,Estimator!$B$4,'Climate Data'!$B$7:$B$366,C3989)</f>
        <v>6.4428571428571431</v>
      </c>
      <c r="J3989" s="86">
        <f>SUMIFS('Wind Proxy'!$H$8:$H$19,'Wind Proxy'!$A$8:$A$19,Estimator!$B$4,'Wind Proxy'!$B$8:$B$19,C3989)</f>
        <v>0</v>
      </c>
    </row>
    <row r="3990" spans="1:10" ht="14.4">
      <c r="A3990" s="84">
        <v>49641</v>
      </c>
      <c r="B3990" s="85">
        <v>2035</v>
      </c>
      <c r="C3990" s="85">
        <v>11</v>
      </c>
      <c r="D3990" s="85" t="s">
        <v>76</v>
      </c>
      <c r="E3990" s="85">
        <v>28</v>
      </c>
      <c r="F3990" s="85">
        <v>3</v>
      </c>
      <c r="G3990" s="85">
        <f>--(F3990&lt;=Estimator!$B$7)</f>
        <v>1</v>
      </c>
      <c r="H3990" s="86">
        <f>SUMIFS('Climate Data'!$G$7:$G$366,'Climate Data'!$A$7:$A$366,Estimator!$B$4,'Climate Data'!$B$7:$B$366,C3990)</f>
        <v>0.23333333333333334</v>
      </c>
      <c r="I3990" s="87">
        <f>SUMIFS('Climate Data'!$H$7:$H$366,'Climate Data'!$A$7:$A$366,Estimator!$B$4,'Climate Data'!$B$7:$B$366,C3990)</f>
        <v>6.4428571428571431</v>
      </c>
      <c r="J3990" s="86">
        <f>SUMIFS('Wind Proxy'!$H$8:$H$19,'Wind Proxy'!$A$8:$A$19,Estimator!$B$4,'Wind Proxy'!$B$8:$B$19,C3990)</f>
        <v>0</v>
      </c>
    </row>
    <row r="3991" spans="1:10" ht="14.4">
      <c r="A3991" s="84">
        <v>49642</v>
      </c>
      <c r="B3991" s="85">
        <v>2035</v>
      </c>
      <c r="C3991" s="85">
        <v>11</v>
      </c>
      <c r="D3991" s="85" t="s">
        <v>76</v>
      </c>
      <c r="E3991" s="85">
        <v>29</v>
      </c>
      <c r="F3991" s="85">
        <v>4</v>
      </c>
      <c r="G3991" s="85">
        <f>--(F3991&lt;=Estimator!$B$7)</f>
        <v>1</v>
      </c>
      <c r="H3991" s="86">
        <f>SUMIFS('Climate Data'!$G$7:$G$366,'Climate Data'!$A$7:$A$366,Estimator!$B$4,'Climate Data'!$B$7:$B$366,C3991)</f>
        <v>0.23333333333333334</v>
      </c>
      <c r="I3991" s="87">
        <f>SUMIFS('Climate Data'!$H$7:$H$366,'Climate Data'!$A$7:$A$366,Estimator!$B$4,'Climate Data'!$B$7:$B$366,C3991)</f>
        <v>6.4428571428571431</v>
      </c>
      <c r="J3991" s="86">
        <f>SUMIFS('Wind Proxy'!$H$8:$H$19,'Wind Proxy'!$A$8:$A$19,Estimator!$B$4,'Wind Proxy'!$B$8:$B$19,C3991)</f>
        <v>0</v>
      </c>
    </row>
    <row r="3992" spans="1:10" ht="14.4">
      <c r="A3992" s="84">
        <v>49643</v>
      </c>
      <c r="B3992" s="85">
        <v>2035</v>
      </c>
      <c r="C3992" s="85">
        <v>11</v>
      </c>
      <c r="D3992" s="85" t="s">
        <v>76</v>
      </c>
      <c r="E3992" s="85">
        <v>30</v>
      </c>
      <c r="F3992" s="85">
        <v>5</v>
      </c>
      <c r="G3992" s="85">
        <f>--(F3992&lt;=Estimator!$B$7)</f>
        <v>1</v>
      </c>
      <c r="H3992" s="86">
        <f>SUMIFS('Climate Data'!$G$7:$G$366,'Climate Data'!$A$7:$A$366,Estimator!$B$4,'Climate Data'!$B$7:$B$366,C3992)</f>
        <v>0.23333333333333334</v>
      </c>
      <c r="I3992" s="87">
        <f>SUMIFS('Climate Data'!$H$7:$H$366,'Climate Data'!$A$7:$A$366,Estimator!$B$4,'Climate Data'!$B$7:$B$366,C3992)</f>
        <v>6.4428571428571431</v>
      </c>
      <c r="J3992" s="86">
        <f>SUMIFS('Wind Proxy'!$H$8:$H$19,'Wind Proxy'!$A$8:$A$19,Estimator!$B$4,'Wind Proxy'!$B$8:$B$19,C3992)</f>
        <v>0</v>
      </c>
    </row>
    <row r="3993" spans="1:10" ht="14.4">
      <c r="A3993" s="84">
        <v>49644</v>
      </c>
      <c r="B3993" s="85">
        <v>2035</v>
      </c>
      <c r="C3993" s="85">
        <v>12</v>
      </c>
      <c r="D3993" s="85" t="s">
        <v>77</v>
      </c>
      <c r="E3993" s="85">
        <v>1</v>
      </c>
      <c r="F3993" s="85">
        <v>6</v>
      </c>
      <c r="G3993" s="85">
        <f>--(F3993&lt;=Estimator!$B$7)</f>
        <v>0</v>
      </c>
      <c r="H3993" s="86">
        <f>SUMIFS('Climate Data'!$G$7:$G$366,'Climate Data'!$A$7:$A$366,Estimator!$B$4,'Climate Data'!$B$7:$B$366,C3993)</f>
        <v>0.22688172043010751</v>
      </c>
      <c r="I3993" s="87">
        <f>SUMIFS('Climate Data'!$H$7:$H$366,'Climate Data'!$A$7:$A$366,Estimator!$B$4,'Climate Data'!$B$7:$B$366,C3993)</f>
        <v>6.7962085308056865</v>
      </c>
      <c r="J3993" s="86">
        <f>SUMIFS('Wind Proxy'!$H$8:$H$19,'Wind Proxy'!$A$8:$A$19,Estimator!$B$4,'Wind Proxy'!$B$8:$B$19,C3993)</f>
        <v>0</v>
      </c>
    </row>
    <row r="3994" spans="1:10" ht="14.4">
      <c r="A3994" s="84">
        <v>49645</v>
      </c>
      <c r="B3994" s="85">
        <v>2035</v>
      </c>
      <c r="C3994" s="85">
        <v>12</v>
      </c>
      <c r="D3994" s="85" t="s">
        <v>77</v>
      </c>
      <c r="E3994" s="85">
        <v>2</v>
      </c>
      <c r="F3994" s="85">
        <v>7</v>
      </c>
      <c r="G3994" s="85">
        <f>--(F3994&lt;=Estimator!$B$7)</f>
        <v>0</v>
      </c>
      <c r="H3994" s="86">
        <f>SUMIFS('Climate Data'!$G$7:$G$366,'Climate Data'!$A$7:$A$366,Estimator!$B$4,'Climate Data'!$B$7:$B$366,C3994)</f>
        <v>0.22688172043010751</v>
      </c>
      <c r="I3994" s="87">
        <f>SUMIFS('Climate Data'!$H$7:$H$366,'Climate Data'!$A$7:$A$366,Estimator!$B$4,'Climate Data'!$B$7:$B$366,C3994)</f>
        <v>6.7962085308056865</v>
      </c>
      <c r="J3994" s="86">
        <f>SUMIFS('Wind Proxy'!$H$8:$H$19,'Wind Proxy'!$A$8:$A$19,Estimator!$B$4,'Wind Proxy'!$B$8:$B$19,C3994)</f>
        <v>0</v>
      </c>
    </row>
    <row r="3995" spans="1:10" ht="14.4">
      <c r="A3995" s="84">
        <v>49646</v>
      </c>
      <c r="B3995" s="85">
        <v>2035</v>
      </c>
      <c r="C3995" s="85">
        <v>12</v>
      </c>
      <c r="D3995" s="85" t="s">
        <v>77</v>
      </c>
      <c r="E3995" s="85">
        <v>3</v>
      </c>
      <c r="F3995" s="85">
        <v>1</v>
      </c>
      <c r="G3995" s="85">
        <f>--(F3995&lt;=Estimator!$B$7)</f>
        <v>1</v>
      </c>
      <c r="H3995" s="86">
        <f>SUMIFS('Climate Data'!$G$7:$G$366,'Climate Data'!$A$7:$A$366,Estimator!$B$4,'Climate Data'!$B$7:$B$366,C3995)</f>
        <v>0.22688172043010751</v>
      </c>
      <c r="I3995" s="87">
        <f>SUMIFS('Climate Data'!$H$7:$H$366,'Climate Data'!$A$7:$A$366,Estimator!$B$4,'Climate Data'!$B$7:$B$366,C3995)</f>
        <v>6.7962085308056865</v>
      </c>
      <c r="J3995" s="86">
        <f>SUMIFS('Wind Proxy'!$H$8:$H$19,'Wind Proxy'!$A$8:$A$19,Estimator!$B$4,'Wind Proxy'!$B$8:$B$19,C3995)</f>
        <v>0</v>
      </c>
    </row>
    <row r="3996" spans="1:10" ht="14.4">
      <c r="A3996" s="84">
        <v>49647</v>
      </c>
      <c r="B3996" s="85">
        <v>2035</v>
      </c>
      <c r="C3996" s="85">
        <v>12</v>
      </c>
      <c r="D3996" s="85" t="s">
        <v>77</v>
      </c>
      <c r="E3996" s="85">
        <v>4</v>
      </c>
      <c r="F3996" s="85">
        <v>2</v>
      </c>
      <c r="G3996" s="85">
        <f>--(F3996&lt;=Estimator!$B$7)</f>
        <v>1</v>
      </c>
      <c r="H3996" s="86">
        <f>SUMIFS('Climate Data'!$G$7:$G$366,'Climate Data'!$A$7:$A$366,Estimator!$B$4,'Climate Data'!$B$7:$B$366,C3996)</f>
        <v>0.22688172043010751</v>
      </c>
      <c r="I3996" s="87">
        <f>SUMIFS('Climate Data'!$H$7:$H$366,'Climate Data'!$A$7:$A$366,Estimator!$B$4,'Climate Data'!$B$7:$B$366,C3996)</f>
        <v>6.7962085308056865</v>
      </c>
      <c r="J3996" s="86">
        <f>SUMIFS('Wind Proxy'!$H$8:$H$19,'Wind Proxy'!$A$8:$A$19,Estimator!$B$4,'Wind Proxy'!$B$8:$B$19,C3996)</f>
        <v>0</v>
      </c>
    </row>
    <row r="3997" spans="1:10" ht="14.4">
      <c r="A3997" s="84">
        <v>49648</v>
      </c>
      <c r="B3997" s="85">
        <v>2035</v>
      </c>
      <c r="C3997" s="85">
        <v>12</v>
      </c>
      <c r="D3997" s="85" t="s">
        <v>77</v>
      </c>
      <c r="E3997" s="85">
        <v>5</v>
      </c>
      <c r="F3997" s="85">
        <v>3</v>
      </c>
      <c r="G3997" s="85">
        <f>--(F3997&lt;=Estimator!$B$7)</f>
        <v>1</v>
      </c>
      <c r="H3997" s="86">
        <f>SUMIFS('Climate Data'!$G$7:$G$366,'Climate Data'!$A$7:$A$366,Estimator!$B$4,'Climate Data'!$B$7:$B$366,C3997)</f>
        <v>0.22688172043010751</v>
      </c>
      <c r="I3997" s="87">
        <f>SUMIFS('Climate Data'!$H$7:$H$366,'Climate Data'!$A$7:$A$366,Estimator!$B$4,'Climate Data'!$B$7:$B$366,C3997)</f>
        <v>6.7962085308056865</v>
      </c>
      <c r="J3997" s="86">
        <f>SUMIFS('Wind Proxy'!$H$8:$H$19,'Wind Proxy'!$A$8:$A$19,Estimator!$B$4,'Wind Proxy'!$B$8:$B$19,C3997)</f>
        <v>0</v>
      </c>
    </row>
    <row r="3998" spans="1:10" ht="14.4">
      <c r="A3998" s="84">
        <v>49649</v>
      </c>
      <c r="B3998" s="85">
        <v>2035</v>
      </c>
      <c r="C3998" s="85">
        <v>12</v>
      </c>
      <c r="D3998" s="85" t="s">
        <v>77</v>
      </c>
      <c r="E3998" s="85">
        <v>6</v>
      </c>
      <c r="F3998" s="85">
        <v>4</v>
      </c>
      <c r="G3998" s="85">
        <f>--(F3998&lt;=Estimator!$B$7)</f>
        <v>1</v>
      </c>
      <c r="H3998" s="86">
        <f>SUMIFS('Climate Data'!$G$7:$G$366,'Climate Data'!$A$7:$A$366,Estimator!$B$4,'Climate Data'!$B$7:$B$366,C3998)</f>
        <v>0.22688172043010751</v>
      </c>
      <c r="I3998" s="87">
        <f>SUMIFS('Climate Data'!$H$7:$H$366,'Climate Data'!$A$7:$A$366,Estimator!$B$4,'Climate Data'!$B$7:$B$366,C3998)</f>
        <v>6.7962085308056865</v>
      </c>
      <c r="J3998" s="86">
        <f>SUMIFS('Wind Proxy'!$H$8:$H$19,'Wind Proxy'!$A$8:$A$19,Estimator!$B$4,'Wind Proxy'!$B$8:$B$19,C3998)</f>
        <v>0</v>
      </c>
    </row>
    <row r="3999" spans="1:10" ht="14.4">
      <c r="A3999" s="84">
        <v>49650</v>
      </c>
      <c r="B3999" s="85">
        <v>2035</v>
      </c>
      <c r="C3999" s="85">
        <v>12</v>
      </c>
      <c r="D3999" s="85" t="s">
        <v>77</v>
      </c>
      <c r="E3999" s="85">
        <v>7</v>
      </c>
      <c r="F3999" s="85">
        <v>5</v>
      </c>
      <c r="G3999" s="85">
        <f>--(F3999&lt;=Estimator!$B$7)</f>
        <v>1</v>
      </c>
      <c r="H3999" s="86">
        <f>SUMIFS('Climate Data'!$G$7:$G$366,'Climate Data'!$A$7:$A$366,Estimator!$B$4,'Climate Data'!$B$7:$B$366,C3999)</f>
        <v>0.22688172043010751</v>
      </c>
      <c r="I3999" s="87">
        <f>SUMIFS('Climate Data'!$H$7:$H$366,'Climate Data'!$A$7:$A$366,Estimator!$B$4,'Climate Data'!$B$7:$B$366,C3999)</f>
        <v>6.7962085308056865</v>
      </c>
      <c r="J3999" s="86">
        <f>SUMIFS('Wind Proxy'!$H$8:$H$19,'Wind Proxy'!$A$8:$A$19,Estimator!$B$4,'Wind Proxy'!$B$8:$B$19,C3999)</f>
        <v>0</v>
      </c>
    </row>
    <row r="4000" spans="1:10" ht="14.4">
      <c r="A4000" s="84">
        <v>49651</v>
      </c>
      <c r="B4000" s="85">
        <v>2035</v>
      </c>
      <c r="C4000" s="85">
        <v>12</v>
      </c>
      <c r="D4000" s="85" t="s">
        <v>77</v>
      </c>
      <c r="E4000" s="85">
        <v>8</v>
      </c>
      <c r="F4000" s="85">
        <v>6</v>
      </c>
      <c r="G4000" s="85">
        <f>--(F4000&lt;=Estimator!$B$7)</f>
        <v>0</v>
      </c>
      <c r="H4000" s="86">
        <f>SUMIFS('Climate Data'!$G$7:$G$366,'Climate Data'!$A$7:$A$366,Estimator!$B$4,'Climate Data'!$B$7:$B$366,C4000)</f>
        <v>0.22688172043010751</v>
      </c>
      <c r="I4000" s="87">
        <f>SUMIFS('Climate Data'!$H$7:$H$366,'Climate Data'!$A$7:$A$366,Estimator!$B$4,'Climate Data'!$B$7:$B$366,C4000)</f>
        <v>6.7962085308056865</v>
      </c>
      <c r="J4000" s="86">
        <f>SUMIFS('Wind Proxy'!$H$8:$H$19,'Wind Proxy'!$A$8:$A$19,Estimator!$B$4,'Wind Proxy'!$B$8:$B$19,C4000)</f>
        <v>0</v>
      </c>
    </row>
    <row r="4001" spans="1:10" ht="14.4">
      <c r="A4001" s="84">
        <v>49652</v>
      </c>
      <c r="B4001" s="85">
        <v>2035</v>
      </c>
      <c r="C4001" s="85">
        <v>12</v>
      </c>
      <c r="D4001" s="85" t="s">
        <v>77</v>
      </c>
      <c r="E4001" s="85">
        <v>9</v>
      </c>
      <c r="F4001" s="85">
        <v>7</v>
      </c>
      <c r="G4001" s="85">
        <f>--(F4001&lt;=Estimator!$B$7)</f>
        <v>0</v>
      </c>
      <c r="H4001" s="86">
        <f>SUMIFS('Climate Data'!$G$7:$G$366,'Climate Data'!$A$7:$A$366,Estimator!$B$4,'Climate Data'!$B$7:$B$366,C4001)</f>
        <v>0.22688172043010751</v>
      </c>
      <c r="I4001" s="87">
        <f>SUMIFS('Climate Data'!$H$7:$H$366,'Climate Data'!$A$7:$A$366,Estimator!$B$4,'Climate Data'!$B$7:$B$366,C4001)</f>
        <v>6.7962085308056865</v>
      </c>
      <c r="J4001" s="86">
        <f>SUMIFS('Wind Proxy'!$H$8:$H$19,'Wind Proxy'!$A$8:$A$19,Estimator!$B$4,'Wind Proxy'!$B$8:$B$19,C4001)</f>
        <v>0</v>
      </c>
    </row>
    <row r="4002" spans="1:10" ht="14.4">
      <c r="A4002" s="84">
        <v>49653</v>
      </c>
      <c r="B4002" s="85">
        <v>2035</v>
      </c>
      <c r="C4002" s="85">
        <v>12</v>
      </c>
      <c r="D4002" s="85" t="s">
        <v>77</v>
      </c>
      <c r="E4002" s="85">
        <v>10</v>
      </c>
      <c r="F4002" s="85">
        <v>1</v>
      </c>
      <c r="G4002" s="85">
        <f>--(F4002&lt;=Estimator!$B$7)</f>
        <v>1</v>
      </c>
      <c r="H4002" s="86">
        <f>SUMIFS('Climate Data'!$G$7:$G$366,'Climate Data'!$A$7:$A$366,Estimator!$B$4,'Climate Data'!$B$7:$B$366,C4002)</f>
        <v>0.22688172043010751</v>
      </c>
      <c r="I4002" s="87">
        <f>SUMIFS('Climate Data'!$H$7:$H$366,'Climate Data'!$A$7:$A$366,Estimator!$B$4,'Climate Data'!$B$7:$B$366,C4002)</f>
        <v>6.7962085308056865</v>
      </c>
      <c r="J4002" s="86">
        <f>SUMIFS('Wind Proxy'!$H$8:$H$19,'Wind Proxy'!$A$8:$A$19,Estimator!$B$4,'Wind Proxy'!$B$8:$B$19,C4002)</f>
        <v>0</v>
      </c>
    </row>
    <row r="4003" spans="1:10" ht="14.4">
      <c r="A4003" s="84">
        <v>49654</v>
      </c>
      <c r="B4003" s="85">
        <v>2035</v>
      </c>
      <c r="C4003" s="85">
        <v>12</v>
      </c>
      <c r="D4003" s="85" t="s">
        <v>77</v>
      </c>
      <c r="E4003" s="85">
        <v>11</v>
      </c>
      <c r="F4003" s="85">
        <v>2</v>
      </c>
      <c r="G4003" s="85">
        <f>--(F4003&lt;=Estimator!$B$7)</f>
        <v>1</v>
      </c>
      <c r="H4003" s="86">
        <f>SUMIFS('Climate Data'!$G$7:$G$366,'Climate Data'!$A$7:$A$366,Estimator!$B$4,'Climate Data'!$B$7:$B$366,C4003)</f>
        <v>0.22688172043010751</v>
      </c>
      <c r="I4003" s="87">
        <f>SUMIFS('Climate Data'!$H$7:$H$366,'Climate Data'!$A$7:$A$366,Estimator!$B$4,'Climate Data'!$B$7:$B$366,C4003)</f>
        <v>6.7962085308056865</v>
      </c>
      <c r="J4003" s="86">
        <f>SUMIFS('Wind Proxy'!$H$8:$H$19,'Wind Proxy'!$A$8:$A$19,Estimator!$B$4,'Wind Proxy'!$B$8:$B$19,C4003)</f>
        <v>0</v>
      </c>
    </row>
    <row r="4004" spans="1:10" ht="14.4">
      <c r="A4004" s="84">
        <v>49655</v>
      </c>
      <c r="B4004" s="85">
        <v>2035</v>
      </c>
      <c r="C4004" s="85">
        <v>12</v>
      </c>
      <c r="D4004" s="85" t="s">
        <v>77</v>
      </c>
      <c r="E4004" s="85">
        <v>12</v>
      </c>
      <c r="F4004" s="85">
        <v>3</v>
      </c>
      <c r="G4004" s="85">
        <f>--(F4004&lt;=Estimator!$B$7)</f>
        <v>1</v>
      </c>
      <c r="H4004" s="86">
        <f>SUMIFS('Climate Data'!$G$7:$G$366,'Climate Data'!$A$7:$A$366,Estimator!$B$4,'Climate Data'!$B$7:$B$366,C4004)</f>
        <v>0.22688172043010751</v>
      </c>
      <c r="I4004" s="87">
        <f>SUMIFS('Climate Data'!$H$7:$H$366,'Climate Data'!$A$7:$A$366,Estimator!$B$4,'Climate Data'!$B$7:$B$366,C4004)</f>
        <v>6.7962085308056865</v>
      </c>
      <c r="J4004" s="86">
        <f>SUMIFS('Wind Proxy'!$H$8:$H$19,'Wind Proxy'!$A$8:$A$19,Estimator!$B$4,'Wind Proxy'!$B$8:$B$19,C4004)</f>
        <v>0</v>
      </c>
    </row>
    <row r="4005" spans="1:10" ht="14.4">
      <c r="A4005" s="84">
        <v>49656</v>
      </c>
      <c r="B4005" s="85">
        <v>2035</v>
      </c>
      <c r="C4005" s="85">
        <v>12</v>
      </c>
      <c r="D4005" s="85" t="s">
        <v>77</v>
      </c>
      <c r="E4005" s="85">
        <v>13</v>
      </c>
      <c r="F4005" s="85">
        <v>4</v>
      </c>
      <c r="G4005" s="85">
        <f>--(F4005&lt;=Estimator!$B$7)</f>
        <v>1</v>
      </c>
      <c r="H4005" s="86">
        <f>SUMIFS('Climate Data'!$G$7:$G$366,'Climate Data'!$A$7:$A$366,Estimator!$B$4,'Climate Data'!$B$7:$B$366,C4005)</f>
        <v>0.22688172043010751</v>
      </c>
      <c r="I4005" s="87">
        <f>SUMIFS('Climate Data'!$H$7:$H$366,'Climate Data'!$A$7:$A$366,Estimator!$B$4,'Climate Data'!$B$7:$B$366,C4005)</f>
        <v>6.7962085308056865</v>
      </c>
      <c r="J4005" s="86">
        <f>SUMIFS('Wind Proxy'!$H$8:$H$19,'Wind Proxy'!$A$8:$A$19,Estimator!$B$4,'Wind Proxy'!$B$8:$B$19,C4005)</f>
        <v>0</v>
      </c>
    </row>
    <row r="4006" spans="1:10" ht="14.4">
      <c r="A4006" s="84">
        <v>49657</v>
      </c>
      <c r="B4006" s="85">
        <v>2035</v>
      </c>
      <c r="C4006" s="85">
        <v>12</v>
      </c>
      <c r="D4006" s="85" t="s">
        <v>77</v>
      </c>
      <c r="E4006" s="85">
        <v>14</v>
      </c>
      <c r="F4006" s="85">
        <v>5</v>
      </c>
      <c r="G4006" s="85">
        <f>--(F4006&lt;=Estimator!$B$7)</f>
        <v>1</v>
      </c>
      <c r="H4006" s="86">
        <f>SUMIFS('Climate Data'!$G$7:$G$366,'Climate Data'!$A$7:$A$366,Estimator!$B$4,'Climate Data'!$B$7:$B$366,C4006)</f>
        <v>0.22688172043010751</v>
      </c>
      <c r="I4006" s="87">
        <f>SUMIFS('Climate Data'!$H$7:$H$366,'Climate Data'!$A$7:$A$366,Estimator!$B$4,'Climate Data'!$B$7:$B$366,C4006)</f>
        <v>6.7962085308056865</v>
      </c>
      <c r="J4006" s="86">
        <f>SUMIFS('Wind Proxy'!$H$8:$H$19,'Wind Proxy'!$A$8:$A$19,Estimator!$B$4,'Wind Proxy'!$B$8:$B$19,C4006)</f>
        <v>0</v>
      </c>
    </row>
    <row r="4007" spans="1:10" ht="14.4">
      <c r="A4007" s="84">
        <v>49658</v>
      </c>
      <c r="B4007" s="85">
        <v>2035</v>
      </c>
      <c r="C4007" s="85">
        <v>12</v>
      </c>
      <c r="D4007" s="85" t="s">
        <v>77</v>
      </c>
      <c r="E4007" s="85">
        <v>15</v>
      </c>
      <c r="F4007" s="85">
        <v>6</v>
      </c>
      <c r="G4007" s="85">
        <f>--(F4007&lt;=Estimator!$B$7)</f>
        <v>0</v>
      </c>
      <c r="H4007" s="86">
        <f>SUMIFS('Climate Data'!$G$7:$G$366,'Climate Data'!$A$7:$A$366,Estimator!$B$4,'Climate Data'!$B$7:$B$366,C4007)</f>
        <v>0.22688172043010751</v>
      </c>
      <c r="I4007" s="87">
        <f>SUMIFS('Climate Data'!$H$7:$H$366,'Climate Data'!$A$7:$A$366,Estimator!$B$4,'Climate Data'!$B$7:$B$366,C4007)</f>
        <v>6.7962085308056865</v>
      </c>
      <c r="J4007" s="86">
        <f>SUMIFS('Wind Proxy'!$H$8:$H$19,'Wind Proxy'!$A$8:$A$19,Estimator!$B$4,'Wind Proxy'!$B$8:$B$19,C4007)</f>
        <v>0</v>
      </c>
    </row>
    <row r="4008" spans="1:10" ht="14.4">
      <c r="A4008" s="84">
        <v>49659</v>
      </c>
      <c r="B4008" s="85">
        <v>2035</v>
      </c>
      <c r="C4008" s="85">
        <v>12</v>
      </c>
      <c r="D4008" s="85" t="s">
        <v>77</v>
      </c>
      <c r="E4008" s="85">
        <v>16</v>
      </c>
      <c r="F4008" s="85">
        <v>7</v>
      </c>
      <c r="G4008" s="85">
        <f>--(F4008&lt;=Estimator!$B$7)</f>
        <v>0</v>
      </c>
      <c r="H4008" s="86">
        <f>SUMIFS('Climate Data'!$G$7:$G$366,'Climate Data'!$A$7:$A$366,Estimator!$B$4,'Climate Data'!$B$7:$B$366,C4008)</f>
        <v>0.22688172043010751</v>
      </c>
      <c r="I4008" s="87">
        <f>SUMIFS('Climate Data'!$H$7:$H$366,'Climate Data'!$A$7:$A$366,Estimator!$B$4,'Climate Data'!$B$7:$B$366,C4008)</f>
        <v>6.7962085308056865</v>
      </c>
      <c r="J4008" s="86">
        <f>SUMIFS('Wind Proxy'!$H$8:$H$19,'Wind Proxy'!$A$8:$A$19,Estimator!$B$4,'Wind Proxy'!$B$8:$B$19,C4008)</f>
        <v>0</v>
      </c>
    </row>
    <row r="4009" spans="1:10" ht="14.4">
      <c r="A4009" s="84">
        <v>49660</v>
      </c>
      <c r="B4009" s="85">
        <v>2035</v>
      </c>
      <c r="C4009" s="85">
        <v>12</v>
      </c>
      <c r="D4009" s="85" t="s">
        <v>77</v>
      </c>
      <c r="E4009" s="85">
        <v>17</v>
      </c>
      <c r="F4009" s="85">
        <v>1</v>
      </c>
      <c r="G4009" s="85">
        <f>--(F4009&lt;=Estimator!$B$7)</f>
        <v>1</v>
      </c>
      <c r="H4009" s="86">
        <f>SUMIFS('Climate Data'!$G$7:$G$366,'Climate Data'!$A$7:$A$366,Estimator!$B$4,'Climate Data'!$B$7:$B$366,C4009)</f>
        <v>0.22688172043010751</v>
      </c>
      <c r="I4009" s="87">
        <f>SUMIFS('Climate Data'!$H$7:$H$366,'Climate Data'!$A$7:$A$366,Estimator!$B$4,'Climate Data'!$B$7:$B$366,C4009)</f>
        <v>6.7962085308056865</v>
      </c>
      <c r="J4009" s="86">
        <f>SUMIFS('Wind Proxy'!$H$8:$H$19,'Wind Proxy'!$A$8:$A$19,Estimator!$B$4,'Wind Proxy'!$B$8:$B$19,C4009)</f>
        <v>0</v>
      </c>
    </row>
    <row r="4010" spans="1:10" ht="14.4">
      <c r="A4010" s="84">
        <v>49661</v>
      </c>
      <c r="B4010" s="85">
        <v>2035</v>
      </c>
      <c r="C4010" s="85">
        <v>12</v>
      </c>
      <c r="D4010" s="85" t="s">
        <v>77</v>
      </c>
      <c r="E4010" s="85">
        <v>18</v>
      </c>
      <c r="F4010" s="85">
        <v>2</v>
      </c>
      <c r="G4010" s="85">
        <f>--(F4010&lt;=Estimator!$B$7)</f>
        <v>1</v>
      </c>
      <c r="H4010" s="86">
        <f>SUMIFS('Climate Data'!$G$7:$G$366,'Climate Data'!$A$7:$A$366,Estimator!$B$4,'Climate Data'!$B$7:$B$366,C4010)</f>
        <v>0.22688172043010751</v>
      </c>
      <c r="I4010" s="87">
        <f>SUMIFS('Climate Data'!$H$7:$H$366,'Climate Data'!$A$7:$A$366,Estimator!$B$4,'Climate Data'!$B$7:$B$366,C4010)</f>
        <v>6.7962085308056865</v>
      </c>
      <c r="J4010" s="86">
        <f>SUMIFS('Wind Proxy'!$H$8:$H$19,'Wind Proxy'!$A$8:$A$19,Estimator!$B$4,'Wind Proxy'!$B$8:$B$19,C4010)</f>
        <v>0</v>
      </c>
    </row>
    <row r="4011" spans="1:10" ht="14.4">
      <c r="A4011" s="84">
        <v>49662</v>
      </c>
      <c r="B4011" s="85">
        <v>2035</v>
      </c>
      <c r="C4011" s="85">
        <v>12</v>
      </c>
      <c r="D4011" s="85" t="s">
        <v>77</v>
      </c>
      <c r="E4011" s="85">
        <v>19</v>
      </c>
      <c r="F4011" s="85">
        <v>3</v>
      </c>
      <c r="G4011" s="85">
        <f>--(F4011&lt;=Estimator!$B$7)</f>
        <v>1</v>
      </c>
      <c r="H4011" s="86">
        <f>SUMIFS('Climate Data'!$G$7:$G$366,'Climate Data'!$A$7:$A$366,Estimator!$B$4,'Climate Data'!$B$7:$B$366,C4011)</f>
        <v>0.22688172043010751</v>
      </c>
      <c r="I4011" s="87">
        <f>SUMIFS('Climate Data'!$H$7:$H$366,'Climate Data'!$A$7:$A$366,Estimator!$B$4,'Climate Data'!$B$7:$B$366,C4011)</f>
        <v>6.7962085308056865</v>
      </c>
      <c r="J4011" s="86">
        <f>SUMIFS('Wind Proxy'!$H$8:$H$19,'Wind Proxy'!$A$8:$A$19,Estimator!$B$4,'Wind Proxy'!$B$8:$B$19,C4011)</f>
        <v>0</v>
      </c>
    </row>
    <row r="4012" spans="1:10" ht="14.4">
      <c r="A4012" s="84">
        <v>49663</v>
      </c>
      <c r="B4012" s="85">
        <v>2035</v>
      </c>
      <c r="C4012" s="85">
        <v>12</v>
      </c>
      <c r="D4012" s="85" t="s">
        <v>77</v>
      </c>
      <c r="E4012" s="85">
        <v>20</v>
      </c>
      <c r="F4012" s="85">
        <v>4</v>
      </c>
      <c r="G4012" s="85">
        <f>--(F4012&lt;=Estimator!$B$7)</f>
        <v>1</v>
      </c>
      <c r="H4012" s="86">
        <f>SUMIFS('Climate Data'!$G$7:$G$366,'Climate Data'!$A$7:$A$366,Estimator!$B$4,'Climate Data'!$B$7:$B$366,C4012)</f>
        <v>0.22688172043010751</v>
      </c>
      <c r="I4012" s="87">
        <f>SUMIFS('Climate Data'!$H$7:$H$366,'Climate Data'!$A$7:$A$366,Estimator!$B$4,'Climate Data'!$B$7:$B$366,C4012)</f>
        <v>6.7962085308056865</v>
      </c>
      <c r="J4012" s="86">
        <f>SUMIFS('Wind Proxy'!$H$8:$H$19,'Wind Proxy'!$A$8:$A$19,Estimator!$B$4,'Wind Proxy'!$B$8:$B$19,C4012)</f>
        <v>0</v>
      </c>
    </row>
    <row r="4013" spans="1:10" ht="14.4">
      <c r="A4013" s="84">
        <v>49664</v>
      </c>
      <c r="B4013" s="85">
        <v>2035</v>
      </c>
      <c r="C4013" s="85">
        <v>12</v>
      </c>
      <c r="D4013" s="85" t="s">
        <v>77</v>
      </c>
      <c r="E4013" s="85">
        <v>21</v>
      </c>
      <c r="F4013" s="85">
        <v>5</v>
      </c>
      <c r="G4013" s="85">
        <f>--(F4013&lt;=Estimator!$B$7)</f>
        <v>1</v>
      </c>
      <c r="H4013" s="86">
        <f>SUMIFS('Climate Data'!$G$7:$G$366,'Climate Data'!$A$7:$A$366,Estimator!$B$4,'Climate Data'!$B$7:$B$366,C4013)</f>
        <v>0.22688172043010751</v>
      </c>
      <c r="I4013" s="87">
        <f>SUMIFS('Climate Data'!$H$7:$H$366,'Climate Data'!$A$7:$A$366,Estimator!$B$4,'Climate Data'!$B$7:$B$366,C4013)</f>
        <v>6.7962085308056865</v>
      </c>
      <c r="J4013" s="86">
        <f>SUMIFS('Wind Proxy'!$H$8:$H$19,'Wind Proxy'!$A$8:$A$19,Estimator!$B$4,'Wind Proxy'!$B$8:$B$19,C4013)</f>
        <v>0</v>
      </c>
    </row>
    <row r="4014" spans="1:10" ht="14.4">
      <c r="A4014" s="84">
        <v>49665</v>
      </c>
      <c r="B4014" s="85">
        <v>2035</v>
      </c>
      <c r="C4014" s="85">
        <v>12</v>
      </c>
      <c r="D4014" s="85" t="s">
        <v>77</v>
      </c>
      <c r="E4014" s="85">
        <v>22</v>
      </c>
      <c r="F4014" s="85">
        <v>6</v>
      </c>
      <c r="G4014" s="85">
        <f>--(F4014&lt;=Estimator!$B$7)</f>
        <v>0</v>
      </c>
      <c r="H4014" s="86">
        <f>SUMIFS('Climate Data'!$G$7:$G$366,'Climate Data'!$A$7:$A$366,Estimator!$B$4,'Climate Data'!$B$7:$B$366,C4014)</f>
        <v>0.22688172043010751</v>
      </c>
      <c r="I4014" s="87">
        <f>SUMIFS('Climate Data'!$H$7:$H$366,'Climate Data'!$A$7:$A$366,Estimator!$B$4,'Climate Data'!$B$7:$B$366,C4014)</f>
        <v>6.7962085308056865</v>
      </c>
      <c r="J4014" s="86">
        <f>SUMIFS('Wind Proxy'!$H$8:$H$19,'Wind Proxy'!$A$8:$A$19,Estimator!$B$4,'Wind Proxy'!$B$8:$B$19,C4014)</f>
        <v>0</v>
      </c>
    </row>
    <row r="4015" spans="1:10" ht="14.4">
      <c r="A4015" s="84">
        <v>49666</v>
      </c>
      <c r="B4015" s="85">
        <v>2035</v>
      </c>
      <c r="C4015" s="85">
        <v>12</v>
      </c>
      <c r="D4015" s="85" t="s">
        <v>77</v>
      </c>
      <c r="E4015" s="85">
        <v>23</v>
      </c>
      <c r="F4015" s="85">
        <v>7</v>
      </c>
      <c r="G4015" s="85">
        <f>--(F4015&lt;=Estimator!$B$7)</f>
        <v>0</v>
      </c>
      <c r="H4015" s="86">
        <f>SUMIFS('Climate Data'!$G$7:$G$366,'Climate Data'!$A$7:$A$366,Estimator!$B$4,'Climate Data'!$B$7:$B$366,C4015)</f>
        <v>0.22688172043010751</v>
      </c>
      <c r="I4015" s="87">
        <f>SUMIFS('Climate Data'!$H$7:$H$366,'Climate Data'!$A$7:$A$366,Estimator!$B$4,'Climate Data'!$B$7:$B$366,C4015)</f>
        <v>6.7962085308056865</v>
      </c>
      <c r="J4015" s="86">
        <f>SUMIFS('Wind Proxy'!$H$8:$H$19,'Wind Proxy'!$A$8:$A$19,Estimator!$B$4,'Wind Proxy'!$B$8:$B$19,C4015)</f>
        <v>0</v>
      </c>
    </row>
    <row r="4016" spans="1:10" ht="14.4">
      <c r="A4016" s="84">
        <v>49667</v>
      </c>
      <c r="B4016" s="85">
        <v>2035</v>
      </c>
      <c r="C4016" s="85">
        <v>12</v>
      </c>
      <c r="D4016" s="85" t="s">
        <v>77</v>
      </c>
      <c r="E4016" s="85">
        <v>24</v>
      </c>
      <c r="F4016" s="85">
        <v>1</v>
      </c>
      <c r="G4016" s="85">
        <f>--(F4016&lt;=Estimator!$B$7)</f>
        <v>1</v>
      </c>
      <c r="H4016" s="86">
        <f>SUMIFS('Climate Data'!$G$7:$G$366,'Climate Data'!$A$7:$A$366,Estimator!$B$4,'Climate Data'!$B$7:$B$366,C4016)</f>
        <v>0.22688172043010751</v>
      </c>
      <c r="I4016" s="87">
        <f>SUMIFS('Climate Data'!$H$7:$H$366,'Climate Data'!$A$7:$A$366,Estimator!$B$4,'Climate Data'!$B$7:$B$366,C4016)</f>
        <v>6.7962085308056865</v>
      </c>
      <c r="J4016" s="86">
        <f>SUMIFS('Wind Proxy'!$H$8:$H$19,'Wind Proxy'!$A$8:$A$19,Estimator!$B$4,'Wind Proxy'!$B$8:$B$19,C4016)</f>
        <v>0</v>
      </c>
    </row>
    <row r="4017" spans="1:10" ht="14.4">
      <c r="A4017" s="84">
        <v>49668</v>
      </c>
      <c r="B4017" s="85">
        <v>2035</v>
      </c>
      <c r="C4017" s="85">
        <v>12</v>
      </c>
      <c r="D4017" s="85" t="s">
        <v>77</v>
      </c>
      <c r="E4017" s="85">
        <v>25</v>
      </c>
      <c r="F4017" s="85">
        <v>2</v>
      </c>
      <c r="G4017" s="85">
        <f>--(F4017&lt;=Estimator!$B$7)</f>
        <v>1</v>
      </c>
      <c r="H4017" s="86">
        <f>SUMIFS('Climate Data'!$G$7:$G$366,'Climate Data'!$A$7:$A$366,Estimator!$B$4,'Climate Data'!$B$7:$B$366,C4017)</f>
        <v>0.22688172043010751</v>
      </c>
      <c r="I4017" s="87">
        <f>SUMIFS('Climate Data'!$H$7:$H$366,'Climate Data'!$A$7:$A$366,Estimator!$B$4,'Climate Data'!$B$7:$B$366,C4017)</f>
        <v>6.7962085308056865</v>
      </c>
      <c r="J4017" s="86">
        <f>SUMIFS('Wind Proxy'!$H$8:$H$19,'Wind Proxy'!$A$8:$A$19,Estimator!$B$4,'Wind Proxy'!$B$8:$B$19,C4017)</f>
        <v>0</v>
      </c>
    </row>
    <row r="4018" spans="1:10" ht="14.4">
      <c r="A4018" s="84">
        <v>49669</v>
      </c>
      <c r="B4018" s="85">
        <v>2035</v>
      </c>
      <c r="C4018" s="85">
        <v>12</v>
      </c>
      <c r="D4018" s="85" t="s">
        <v>77</v>
      </c>
      <c r="E4018" s="85">
        <v>26</v>
      </c>
      <c r="F4018" s="85">
        <v>3</v>
      </c>
      <c r="G4018" s="85">
        <f>--(F4018&lt;=Estimator!$B$7)</f>
        <v>1</v>
      </c>
      <c r="H4018" s="86">
        <f>SUMIFS('Climate Data'!$G$7:$G$366,'Climate Data'!$A$7:$A$366,Estimator!$B$4,'Climate Data'!$B$7:$B$366,C4018)</f>
        <v>0.22688172043010751</v>
      </c>
      <c r="I4018" s="87">
        <f>SUMIFS('Climate Data'!$H$7:$H$366,'Climate Data'!$A$7:$A$366,Estimator!$B$4,'Climate Data'!$B$7:$B$366,C4018)</f>
        <v>6.7962085308056865</v>
      </c>
      <c r="J4018" s="86">
        <f>SUMIFS('Wind Proxy'!$H$8:$H$19,'Wind Proxy'!$A$8:$A$19,Estimator!$B$4,'Wind Proxy'!$B$8:$B$19,C4018)</f>
        <v>0</v>
      </c>
    </row>
    <row r="4019" spans="1:10" ht="14.4">
      <c r="A4019" s="84">
        <v>49670</v>
      </c>
      <c r="B4019" s="85">
        <v>2035</v>
      </c>
      <c r="C4019" s="85">
        <v>12</v>
      </c>
      <c r="D4019" s="85" t="s">
        <v>77</v>
      </c>
      <c r="E4019" s="85">
        <v>27</v>
      </c>
      <c r="F4019" s="85">
        <v>4</v>
      </c>
      <c r="G4019" s="85">
        <f>--(F4019&lt;=Estimator!$B$7)</f>
        <v>1</v>
      </c>
      <c r="H4019" s="86">
        <f>SUMIFS('Climate Data'!$G$7:$G$366,'Climate Data'!$A$7:$A$366,Estimator!$B$4,'Climate Data'!$B$7:$B$366,C4019)</f>
        <v>0.22688172043010751</v>
      </c>
      <c r="I4019" s="87">
        <f>SUMIFS('Climate Data'!$H$7:$H$366,'Climate Data'!$A$7:$A$366,Estimator!$B$4,'Climate Data'!$B$7:$B$366,C4019)</f>
        <v>6.7962085308056865</v>
      </c>
      <c r="J4019" s="86">
        <f>SUMIFS('Wind Proxy'!$H$8:$H$19,'Wind Proxy'!$A$8:$A$19,Estimator!$B$4,'Wind Proxy'!$B$8:$B$19,C4019)</f>
        <v>0</v>
      </c>
    </row>
    <row r="4020" spans="1:10" ht="14.4">
      <c r="A4020" s="84">
        <v>49671</v>
      </c>
      <c r="B4020" s="85">
        <v>2035</v>
      </c>
      <c r="C4020" s="85">
        <v>12</v>
      </c>
      <c r="D4020" s="85" t="s">
        <v>77</v>
      </c>
      <c r="E4020" s="85">
        <v>28</v>
      </c>
      <c r="F4020" s="85">
        <v>5</v>
      </c>
      <c r="G4020" s="85">
        <f>--(F4020&lt;=Estimator!$B$7)</f>
        <v>1</v>
      </c>
      <c r="H4020" s="86">
        <f>SUMIFS('Climate Data'!$G$7:$G$366,'Climate Data'!$A$7:$A$366,Estimator!$B$4,'Climate Data'!$B$7:$B$366,C4020)</f>
        <v>0.22688172043010751</v>
      </c>
      <c r="I4020" s="87">
        <f>SUMIFS('Climate Data'!$H$7:$H$366,'Climate Data'!$A$7:$A$366,Estimator!$B$4,'Climate Data'!$B$7:$B$366,C4020)</f>
        <v>6.7962085308056865</v>
      </c>
      <c r="J4020" s="86">
        <f>SUMIFS('Wind Proxy'!$H$8:$H$19,'Wind Proxy'!$A$8:$A$19,Estimator!$B$4,'Wind Proxy'!$B$8:$B$19,C4020)</f>
        <v>0</v>
      </c>
    </row>
    <row r="4021" spans="1:10" ht="14.4">
      <c r="A4021" s="84">
        <v>49672</v>
      </c>
      <c r="B4021" s="85">
        <v>2035</v>
      </c>
      <c r="C4021" s="85">
        <v>12</v>
      </c>
      <c r="D4021" s="85" t="s">
        <v>77</v>
      </c>
      <c r="E4021" s="85">
        <v>29</v>
      </c>
      <c r="F4021" s="85">
        <v>6</v>
      </c>
      <c r="G4021" s="85">
        <f>--(F4021&lt;=Estimator!$B$7)</f>
        <v>0</v>
      </c>
      <c r="H4021" s="86">
        <f>SUMIFS('Climate Data'!$G$7:$G$366,'Climate Data'!$A$7:$A$366,Estimator!$B$4,'Climate Data'!$B$7:$B$366,C4021)</f>
        <v>0.22688172043010751</v>
      </c>
      <c r="I4021" s="87">
        <f>SUMIFS('Climate Data'!$H$7:$H$366,'Climate Data'!$A$7:$A$366,Estimator!$B$4,'Climate Data'!$B$7:$B$366,C4021)</f>
        <v>6.7962085308056865</v>
      </c>
      <c r="J4021" s="86">
        <f>SUMIFS('Wind Proxy'!$H$8:$H$19,'Wind Proxy'!$A$8:$A$19,Estimator!$B$4,'Wind Proxy'!$B$8:$B$19,C4021)</f>
        <v>0</v>
      </c>
    </row>
    <row r="4022" spans="1:10" ht="14.4">
      <c r="A4022" s="84">
        <v>49673</v>
      </c>
      <c r="B4022" s="85">
        <v>2035</v>
      </c>
      <c r="C4022" s="85">
        <v>12</v>
      </c>
      <c r="D4022" s="85" t="s">
        <v>77</v>
      </c>
      <c r="E4022" s="85">
        <v>30</v>
      </c>
      <c r="F4022" s="85">
        <v>7</v>
      </c>
      <c r="G4022" s="85">
        <f>--(F4022&lt;=Estimator!$B$7)</f>
        <v>0</v>
      </c>
      <c r="H4022" s="86">
        <f>SUMIFS('Climate Data'!$G$7:$G$366,'Climate Data'!$A$7:$A$366,Estimator!$B$4,'Climate Data'!$B$7:$B$366,C4022)</f>
        <v>0.22688172043010751</v>
      </c>
      <c r="I4022" s="87">
        <f>SUMIFS('Climate Data'!$H$7:$H$366,'Climate Data'!$A$7:$A$366,Estimator!$B$4,'Climate Data'!$B$7:$B$366,C4022)</f>
        <v>6.7962085308056865</v>
      </c>
      <c r="J4022" s="86">
        <f>SUMIFS('Wind Proxy'!$H$8:$H$19,'Wind Proxy'!$A$8:$A$19,Estimator!$B$4,'Wind Proxy'!$B$8:$B$19,C4022)</f>
        <v>0</v>
      </c>
    </row>
    <row r="4023" spans="1:10" ht="14.4">
      <c r="A4023" s="84">
        <v>49674</v>
      </c>
      <c r="B4023" s="85">
        <v>2035</v>
      </c>
      <c r="C4023" s="85">
        <v>12</v>
      </c>
      <c r="D4023" s="85" t="s">
        <v>77</v>
      </c>
      <c r="E4023" s="85">
        <v>31</v>
      </c>
      <c r="F4023" s="85">
        <v>1</v>
      </c>
      <c r="G4023" s="85">
        <f>--(F4023&lt;=Estimator!$B$7)</f>
        <v>1</v>
      </c>
      <c r="H4023" s="86">
        <f>SUMIFS('Climate Data'!$G$7:$G$366,'Climate Data'!$A$7:$A$366,Estimator!$B$4,'Climate Data'!$B$7:$B$366,C4023)</f>
        <v>0.22688172043010751</v>
      </c>
      <c r="I4023" s="87">
        <f>SUMIFS('Climate Data'!$H$7:$H$366,'Climate Data'!$A$7:$A$366,Estimator!$B$4,'Climate Data'!$B$7:$B$366,C4023)</f>
        <v>6.7962085308056865</v>
      </c>
      <c r="J4023" s="86">
        <f>SUMIFS('Wind Proxy'!$H$8:$H$19,'Wind Proxy'!$A$8:$A$19,Estimator!$B$4,'Wind Proxy'!$B$8:$B$19,C4023)</f>
        <v>0</v>
      </c>
    </row>
    <row r="4024" spans="1:10" ht="14.4">
      <c r="A4024" s="84">
        <v>49675</v>
      </c>
      <c r="B4024" s="85">
        <v>2036</v>
      </c>
      <c r="C4024" s="85">
        <v>1</v>
      </c>
      <c r="D4024" s="85" t="s">
        <v>55</v>
      </c>
      <c r="E4024" s="85">
        <v>1</v>
      </c>
      <c r="F4024" s="85">
        <v>2</v>
      </c>
      <c r="G4024" s="85">
        <f>--(F4024&lt;=Estimator!$B$7)</f>
        <v>1</v>
      </c>
      <c r="H4024" s="86">
        <f>SUMIFS('Climate Data'!$G$7:$G$366,'Climate Data'!$A$7:$A$366,Estimator!$B$4,'Climate Data'!$B$7:$B$366,C4024)</f>
        <v>0.19462365591397848</v>
      </c>
      <c r="I4024" s="87">
        <f>SUMIFS('Climate Data'!$H$7:$H$366,'Climate Data'!$A$7:$A$366,Estimator!$B$4,'Climate Data'!$B$7:$B$366,C4024)</f>
        <v>7.027624309392265</v>
      </c>
      <c r="J4024" s="86">
        <f>SUMIFS('Wind Proxy'!$H$8:$H$19,'Wind Proxy'!$A$8:$A$19,Estimator!$B$4,'Wind Proxy'!$B$8:$B$19,C4024)</f>
        <v>0</v>
      </c>
    </row>
    <row r="4025" spans="1:10" ht="14.4">
      <c r="A4025" s="84">
        <v>49676</v>
      </c>
      <c r="B4025" s="85">
        <v>2036</v>
      </c>
      <c r="C4025" s="85">
        <v>1</v>
      </c>
      <c r="D4025" s="85" t="s">
        <v>55</v>
      </c>
      <c r="E4025" s="85">
        <v>2</v>
      </c>
      <c r="F4025" s="85">
        <v>3</v>
      </c>
      <c r="G4025" s="85">
        <f>--(F4025&lt;=Estimator!$B$7)</f>
        <v>1</v>
      </c>
      <c r="H4025" s="86">
        <f>SUMIFS('Climate Data'!$G$7:$G$366,'Climate Data'!$A$7:$A$366,Estimator!$B$4,'Climate Data'!$B$7:$B$366,C4025)</f>
        <v>0.19462365591397848</v>
      </c>
      <c r="I4025" s="87">
        <f>SUMIFS('Climate Data'!$H$7:$H$366,'Climate Data'!$A$7:$A$366,Estimator!$B$4,'Climate Data'!$B$7:$B$366,C4025)</f>
        <v>7.027624309392265</v>
      </c>
      <c r="J4025" s="86">
        <f>SUMIFS('Wind Proxy'!$H$8:$H$19,'Wind Proxy'!$A$8:$A$19,Estimator!$B$4,'Wind Proxy'!$B$8:$B$19,C4025)</f>
        <v>0</v>
      </c>
    </row>
    <row r="4026" spans="1:10" ht="14.4">
      <c r="A4026" s="84">
        <v>49677</v>
      </c>
      <c r="B4026" s="85">
        <v>2036</v>
      </c>
      <c r="C4026" s="85">
        <v>1</v>
      </c>
      <c r="D4026" s="85" t="s">
        <v>55</v>
      </c>
      <c r="E4026" s="85">
        <v>3</v>
      </c>
      <c r="F4026" s="85">
        <v>4</v>
      </c>
      <c r="G4026" s="85">
        <f>--(F4026&lt;=Estimator!$B$7)</f>
        <v>1</v>
      </c>
      <c r="H4026" s="86">
        <f>SUMIFS('Climate Data'!$G$7:$G$366,'Climate Data'!$A$7:$A$366,Estimator!$B$4,'Climate Data'!$B$7:$B$366,C4026)</f>
        <v>0.19462365591397848</v>
      </c>
      <c r="I4026" s="87">
        <f>SUMIFS('Climate Data'!$H$7:$H$366,'Climate Data'!$A$7:$A$366,Estimator!$B$4,'Climate Data'!$B$7:$B$366,C4026)</f>
        <v>7.027624309392265</v>
      </c>
      <c r="J4026" s="86">
        <f>SUMIFS('Wind Proxy'!$H$8:$H$19,'Wind Proxy'!$A$8:$A$19,Estimator!$B$4,'Wind Proxy'!$B$8:$B$19,C4026)</f>
        <v>0</v>
      </c>
    </row>
    <row r="4027" spans="1:10" ht="14.4">
      <c r="A4027" s="84">
        <v>49678</v>
      </c>
      <c r="B4027" s="85">
        <v>2036</v>
      </c>
      <c r="C4027" s="85">
        <v>1</v>
      </c>
      <c r="D4027" s="85" t="s">
        <v>55</v>
      </c>
      <c r="E4027" s="85">
        <v>4</v>
      </c>
      <c r="F4027" s="85">
        <v>5</v>
      </c>
      <c r="G4027" s="85">
        <f>--(F4027&lt;=Estimator!$B$7)</f>
        <v>1</v>
      </c>
      <c r="H4027" s="86">
        <f>SUMIFS('Climate Data'!$G$7:$G$366,'Climate Data'!$A$7:$A$366,Estimator!$B$4,'Climate Data'!$B$7:$B$366,C4027)</f>
        <v>0.19462365591397848</v>
      </c>
      <c r="I4027" s="87">
        <f>SUMIFS('Climate Data'!$H$7:$H$366,'Climate Data'!$A$7:$A$366,Estimator!$B$4,'Climate Data'!$B$7:$B$366,C4027)</f>
        <v>7.027624309392265</v>
      </c>
      <c r="J4027" s="86">
        <f>SUMIFS('Wind Proxy'!$H$8:$H$19,'Wind Proxy'!$A$8:$A$19,Estimator!$B$4,'Wind Proxy'!$B$8:$B$19,C4027)</f>
        <v>0</v>
      </c>
    </row>
    <row r="4028" spans="1:10" ht="14.4">
      <c r="A4028" s="84">
        <v>49679</v>
      </c>
      <c r="B4028" s="85">
        <v>2036</v>
      </c>
      <c r="C4028" s="85">
        <v>1</v>
      </c>
      <c r="D4028" s="85" t="s">
        <v>55</v>
      </c>
      <c r="E4028" s="85">
        <v>5</v>
      </c>
      <c r="F4028" s="85">
        <v>6</v>
      </c>
      <c r="G4028" s="85">
        <f>--(F4028&lt;=Estimator!$B$7)</f>
        <v>0</v>
      </c>
      <c r="H4028" s="86">
        <f>SUMIFS('Climate Data'!$G$7:$G$366,'Climate Data'!$A$7:$A$366,Estimator!$B$4,'Climate Data'!$B$7:$B$366,C4028)</f>
        <v>0.19462365591397848</v>
      </c>
      <c r="I4028" s="87">
        <f>SUMIFS('Climate Data'!$H$7:$H$366,'Climate Data'!$A$7:$A$366,Estimator!$B$4,'Climate Data'!$B$7:$B$366,C4028)</f>
        <v>7.027624309392265</v>
      </c>
      <c r="J4028" s="86">
        <f>SUMIFS('Wind Proxy'!$H$8:$H$19,'Wind Proxy'!$A$8:$A$19,Estimator!$B$4,'Wind Proxy'!$B$8:$B$19,C4028)</f>
        <v>0</v>
      </c>
    </row>
    <row r="4029" spans="1:10" ht="14.4">
      <c r="A4029" s="84">
        <v>49680</v>
      </c>
      <c r="B4029" s="85">
        <v>2036</v>
      </c>
      <c r="C4029" s="85">
        <v>1</v>
      </c>
      <c r="D4029" s="85" t="s">
        <v>55</v>
      </c>
      <c r="E4029" s="85">
        <v>6</v>
      </c>
      <c r="F4029" s="85">
        <v>7</v>
      </c>
      <c r="G4029" s="85">
        <f>--(F4029&lt;=Estimator!$B$7)</f>
        <v>0</v>
      </c>
      <c r="H4029" s="86">
        <f>SUMIFS('Climate Data'!$G$7:$G$366,'Climate Data'!$A$7:$A$366,Estimator!$B$4,'Climate Data'!$B$7:$B$366,C4029)</f>
        <v>0.19462365591397848</v>
      </c>
      <c r="I4029" s="87">
        <f>SUMIFS('Climate Data'!$H$7:$H$366,'Climate Data'!$A$7:$A$366,Estimator!$B$4,'Climate Data'!$B$7:$B$366,C4029)</f>
        <v>7.027624309392265</v>
      </c>
      <c r="J4029" s="86">
        <f>SUMIFS('Wind Proxy'!$H$8:$H$19,'Wind Proxy'!$A$8:$A$19,Estimator!$B$4,'Wind Proxy'!$B$8:$B$19,C4029)</f>
        <v>0</v>
      </c>
    </row>
    <row r="4030" spans="1:10" ht="14.4">
      <c r="A4030" s="84">
        <v>49681</v>
      </c>
      <c r="B4030" s="85">
        <v>2036</v>
      </c>
      <c r="C4030" s="85">
        <v>1</v>
      </c>
      <c r="D4030" s="85" t="s">
        <v>55</v>
      </c>
      <c r="E4030" s="85">
        <v>7</v>
      </c>
      <c r="F4030" s="85">
        <v>1</v>
      </c>
      <c r="G4030" s="85">
        <f>--(F4030&lt;=Estimator!$B$7)</f>
        <v>1</v>
      </c>
      <c r="H4030" s="86">
        <f>SUMIFS('Climate Data'!$G$7:$G$366,'Climate Data'!$A$7:$A$366,Estimator!$B$4,'Climate Data'!$B$7:$B$366,C4030)</f>
        <v>0.19462365591397848</v>
      </c>
      <c r="I4030" s="87">
        <f>SUMIFS('Climate Data'!$H$7:$H$366,'Climate Data'!$A$7:$A$366,Estimator!$B$4,'Climate Data'!$B$7:$B$366,C4030)</f>
        <v>7.027624309392265</v>
      </c>
      <c r="J4030" s="86">
        <f>SUMIFS('Wind Proxy'!$H$8:$H$19,'Wind Proxy'!$A$8:$A$19,Estimator!$B$4,'Wind Proxy'!$B$8:$B$19,C4030)</f>
        <v>0</v>
      </c>
    </row>
    <row r="4031" spans="1:10" ht="14.4">
      <c r="A4031" s="84">
        <v>49682</v>
      </c>
      <c r="B4031" s="85">
        <v>2036</v>
      </c>
      <c r="C4031" s="85">
        <v>1</v>
      </c>
      <c r="D4031" s="85" t="s">
        <v>55</v>
      </c>
      <c r="E4031" s="85">
        <v>8</v>
      </c>
      <c r="F4031" s="85">
        <v>2</v>
      </c>
      <c r="G4031" s="85">
        <f>--(F4031&lt;=Estimator!$B$7)</f>
        <v>1</v>
      </c>
      <c r="H4031" s="86">
        <f>SUMIFS('Climate Data'!$G$7:$G$366,'Climate Data'!$A$7:$A$366,Estimator!$B$4,'Climate Data'!$B$7:$B$366,C4031)</f>
        <v>0.19462365591397848</v>
      </c>
      <c r="I4031" s="87">
        <f>SUMIFS('Climate Data'!$H$7:$H$366,'Climate Data'!$A$7:$A$366,Estimator!$B$4,'Climate Data'!$B$7:$B$366,C4031)</f>
        <v>7.027624309392265</v>
      </c>
      <c r="J4031" s="86">
        <f>SUMIFS('Wind Proxy'!$H$8:$H$19,'Wind Proxy'!$A$8:$A$19,Estimator!$B$4,'Wind Proxy'!$B$8:$B$19,C4031)</f>
        <v>0</v>
      </c>
    </row>
    <row r="4032" spans="1:10" ht="14.4">
      <c r="A4032" s="84">
        <v>49683</v>
      </c>
      <c r="B4032" s="85">
        <v>2036</v>
      </c>
      <c r="C4032" s="85">
        <v>1</v>
      </c>
      <c r="D4032" s="85" t="s">
        <v>55</v>
      </c>
      <c r="E4032" s="85">
        <v>9</v>
      </c>
      <c r="F4032" s="85">
        <v>3</v>
      </c>
      <c r="G4032" s="85">
        <f>--(F4032&lt;=Estimator!$B$7)</f>
        <v>1</v>
      </c>
      <c r="H4032" s="86">
        <f>SUMIFS('Climate Data'!$G$7:$G$366,'Climate Data'!$A$7:$A$366,Estimator!$B$4,'Climate Data'!$B$7:$B$366,C4032)</f>
        <v>0.19462365591397848</v>
      </c>
      <c r="I4032" s="87">
        <f>SUMIFS('Climate Data'!$H$7:$H$366,'Climate Data'!$A$7:$A$366,Estimator!$B$4,'Climate Data'!$B$7:$B$366,C4032)</f>
        <v>7.027624309392265</v>
      </c>
      <c r="J4032" s="86">
        <f>SUMIFS('Wind Proxy'!$H$8:$H$19,'Wind Proxy'!$A$8:$A$19,Estimator!$B$4,'Wind Proxy'!$B$8:$B$19,C4032)</f>
        <v>0</v>
      </c>
    </row>
    <row r="4033" spans="1:10" ht="14.4">
      <c r="A4033" s="84">
        <v>49684</v>
      </c>
      <c r="B4033" s="85">
        <v>2036</v>
      </c>
      <c r="C4033" s="85">
        <v>1</v>
      </c>
      <c r="D4033" s="85" t="s">
        <v>55</v>
      </c>
      <c r="E4033" s="85">
        <v>10</v>
      </c>
      <c r="F4033" s="85">
        <v>4</v>
      </c>
      <c r="G4033" s="85">
        <f>--(F4033&lt;=Estimator!$B$7)</f>
        <v>1</v>
      </c>
      <c r="H4033" s="86">
        <f>SUMIFS('Climate Data'!$G$7:$G$366,'Climate Data'!$A$7:$A$366,Estimator!$B$4,'Climate Data'!$B$7:$B$366,C4033)</f>
        <v>0.19462365591397848</v>
      </c>
      <c r="I4033" s="87">
        <f>SUMIFS('Climate Data'!$H$7:$H$366,'Climate Data'!$A$7:$A$366,Estimator!$B$4,'Climate Data'!$B$7:$B$366,C4033)</f>
        <v>7.027624309392265</v>
      </c>
      <c r="J4033" s="86">
        <f>SUMIFS('Wind Proxy'!$H$8:$H$19,'Wind Proxy'!$A$8:$A$19,Estimator!$B$4,'Wind Proxy'!$B$8:$B$19,C4033)</f>
        <v>0</v>
      </c>
    </row>
    <row r="4034" spans="1:10" ht="14.4">
      <c r="A4034" s="84">
        <v>49685</v>
      </c>
      <c r="B4034" s="85">
        <v>2036</v>
      </c>
      <c r="C4034" s="85">
        <v>1</v>
      </c>
      <c r="D4034" s="85" t="s">
        <v>55</v>
      </c>
      <c r="E4034" s="85">
        <v>11</v>
      </c>
      <c r="F4034" s="85">
        <v>5</v>
      </c>
      <c r="G4034" s="85">
        <f>--(F4034&lt;=Estimator!$B$7)</f>
        <v>1</v>
      </c>
      <c r="H4034" s="86">
        <f>SUMIFS('Climate Data'!$G$7:$G$366,'Climate Data'!$A$7:$A$366,Estimator!$B$4,'Climate Data'!$B$7:$B$366,C4034)</f>
        <v>0.19462365591397848</v>
      </c>
      <c r="I4034" s="87">
        <f>SUMIFS('Climate Data'!$H$7:$H$366,'Climate Data'!$A$7:$A$366,Estimator!$B$4,'Climate Data'!$B$7:$B$366,C4034)</f>
        <v>7.027624309392265</v>
      </c>
      <c r="J4034" s="86">
        <f>SUMIFS('Wind Proxy'!$H$8:$H$19,'Wind Proxy'!$A$8:$A$19,Estimator!$B$4,'Wind Proxy'!$B$8:$B$19,C4034)</f>
        <v>0</v>
      </c>
    </row>
    <row r="4035" spans="1:10" ht="14.4">
      <c r="A4035" s="84">
        <v>49686</v>
      </c>
      <c r="B4035" s="85">
        <v>2036</v>
      </c>
      <c r="C4035" s="85">
        <v>1</v>
      </c>
      <c r="D4035" s="85" t="s">
        <v>55</v>
      </c>
      <c r="E4035" s="85">
        <v>12</v>
      </c>
      <c r="F4035" s="85">
        <v>6</v>
      </c>
      <c r="G4035" s="85">
        <f>--(F4035&lt;=Estimator!$B$7)</f>
        <v>0</v>
      </c>
      <c r="H4035" s="86">
        <f>SUMIFS('Climate Data'!$G$7:$G$366,'Climate Data'!$A$7:$A$366,Estimator!$B$4,'Climate Data'!$B$7:$B$366,C4035)</f>
        <v>0.19462365591397848</v>
      </c>
      <c r="I4035" s="87">
        <f>SUMIFS('Climate Data'!$H$7:$H$366,'Climate Data'!$A$7:$A$366,Estimator!$B$4,'Climate Data'!$B$7:$B$366,C4035)</f>
        <v>7.027624309392265</v>
      </c>
      <c r="J4035" s="86">
        <f>SUMIFS('Wind Proxy'!$H$8:$H$19,'Wind Proxy'!$A$8:$A$19,Estimator!$B$4,'Wind Proxy'!$B$8:$B$19,C4035)</f>
        <v>0</v>
      </c>
    </row>
    <row r="4036" spans="1:10" ht="14.4">
      <c r="A4036" s="84">
        <v>49687</v>
      </c>
      <c r="B4036" s="85">
        <v>2036</v>
      </c>
      <c r="C4036" s="85">
        <v>1</v>
      </c>
      <c r="D4036" s="85" t="s">
        <v>55</v>
      </c>
      <c r="E4036" s="85">
        <v>13</v>
      </c>
      <c r="F4036" s="85">
        <v>7</v>
      </c>
      <c r="G4036" s="85">
        <f>--(F4036&lt;=Estimator!$B$7)</f>
        <v>0</v>
      </c>
      <c r="H4036" s="86">
        <f>SUMIFS('Climate Data'!$G$7:$G$366,'Climate Data'!$A$7:$A$366,Estimator!$B$4,'Climate Data'!$B$7:$B$366,C4036)</f>
        <v>0.19462365591397848</v>
      </c>
      <c r="I4036" s="87">
        <f>SUMIFS('Climate Data'!$H$7:$H$366,'Climate Data'!$A$7:$A$366,Estimator!$B$4,'Climate Data'!$B$7:$B$366,C4036)</f>
        <v>7.027624309392265</v>
      </c>
      <c r="J4036" s="86">
        <f>SUMIFS('Wind Proxy'!$H$8:$H$19,'Wind Proxy'!$A$8:$A$19,Estimator!$B$4,'Wind Proxy'!$B$8:$B$19,C4036)</f>
        <v>0</v>
      </c>
    </row>
    <row r="4037" spans="1:10" ht="14.4">
      <c r="A4037" s="84">
        <v>49688</v>
      </c>
      <c r="B4037" s="85">
        <v>2036</v>
      </c>
      <c r="C4037" s="85">
        <v>1</v>
      </c>
      <c r="D4037" s="85" t="s">
        <v>55</v>
      </c>
      <c r="E4037" s="85">
        <v>14</v>
      </c>
      <c r="F4037" s="85">
        <v>1</v>
      </c>
      <c r="G4037" s="85">
        <f>--(F4037&lt;=Estimator!$B$7)</f>
        <v>1</v>
      </c>
      <c r="H4037" s="86">
        <f>SUMIFS('Climate Data'!$G$7:$G$366,'Climate Data'!$A$7:$A$366,Estimator!$B$4,'Climate Data'!$B$7:$B$366,C4037)</f>
        <v>0.19462365591397848</v>
      </c>
      <c r="I4037" s="87">
        <f>SUMIFS('Climate Data'!$H$7:$H$366,'Climate Data'!$A$7:$A$366,Estimator!$B$4,'Climate Data'!$B$7:$B$366,C4037)</f>
        <v>7.027624309392265</v>
      </c>
      <c r="J4037" s="86">
        <f>SUMIFS('Wind Proxy'!$H$8:$H$19,'Wind Proxy'!$A$8:$A$19,Estimator!$B$4,'Wind Proxy'!$B$8:$B$19,C4037)</f>
        <v>0</v>
      </c>
    </row>
    <row r="4038" spans="1:10" ht="14.4">
      <c r="A4038" s="84">
        <v>49689</v>
      </c>
      <c r="B4038" s="85">
        <v>2036</v>
      </c>
      <c r="C4038" s="85">
        <v>1</v>
      </c>
      <c r="D4038" s="85" t="s">
        <v>55</v>
      </c>
      <c r="E4038" s="85">
        <v>15</v>
      </c>
      <c r="F4038" s="85">
        <v>2</v>
      </c>
      <c r="G4038" s="85">
        <f>--(F4038&lt;=Estimator!$B$7)</f>
        <v>1</v>
      </c>
      <c r="H4038" s="86">
        <f>SUMIFS('Climate Data'!$G$7:$G$366,'Climate Data'!$A$7:$A$366,Estimator!$B$4,'Climate Data'!$B$7:$B$366,C4038)</f>
        <v>0.19462365591397848</v>
      </c>
      <c r="I4038" s="87">
        <f>SUMIFS('Climate Data'!$H$7:$H$366,'Climate Data'!$A$7:$A$366,Estimator!$B$4,'Climate Data'!$B$7:$B$366,C4038)</f>
        <v>7.027624309392265</v>
      </c>
      <c r="J4038" s="86">
        <f>SUMIFS('Wind Proxy'!$H$8:$H$19,'Wind Proxy'!$A$8:$A$19,Estimator!$B$4,'Wind Proxy'!$B$8:$B$19,C4038)</f>
        <v>0</v>
      </c>
    </row>
    <row r="4039" spans="1:10" ht="14.4">
      <c r="A4039" s="84">
        <v>49690</v>
      </c>
      <c r="B4039" s="85">
        <v>2036</v>
      </c>
      <c r="C4039" s="85">
        <v>1</v>
      </c>
      <c r="D4039" s="85" t="s">
        <v>55</v>
      </c>
      <c r="E4039" s="85">
        <v>16</v>
      </c>
      <c r="F4039" s="85">
        <v>3</v>
      </c>
      <c r="G4039" s="85">
        <f>--(F4039&lt;=Estimator!$B$7)</f>
        <v>1</v>
      </c>
      <c r="H4039" s="86">
        <f>SUMIFS('Climate Data'!$G$7:$G$366,'Climate Data'!$A$7:$A$366,Estimator!$B$4,'Climate Data'!$B$7:$B$366,C4039)</f>
        <v>0.19462365591397848</v>
      </c>
      <c r="I4039" s="87">
        <f>SUMIFS('Climate Data'!$H$7:$H$366,'Climate Data'!$A$7:$A$366,Estimator!$B$4,'Climate Data'!$B$7:$B$366,C4039)</f>
        <v>7.027624309392265</v>
      </c>
      <c r="J4039" s="86">
        <f>SUMIFS('Wind Proxy'!$H$8:$H$19,'Wind Proxy'!$A$8:$A$19,Estimator!$B$4,'Wind Proxy'!$B$8:$B$19,C4039)</f>
        <v>0</v>
      </c>
    </row>
    <row r="4040" spans="1:10" ht="14.4">
      <c r="A4040" s="84">
        <v>49691</v>
      </c>
      <c r="B4040" s="85">
        <v>2036</v>
      </c>
      <c r="C4040" s="85">
        <v>1</v>
      </c>
      <c r="D4040" s="85" t="s">
        <v>55</v>
      </c>
      <c r="E4040" s="85">
        <v>17</v>
      </c>
      <c r="F4040" s="85">
        <v>4</v>
      </c>
      <c r="G4040" s="85">
        <f>--(F4040&lt;=Estimator!$B$7)</f>
        <v>1</v>
      </c>
      <c r="H4040" s="86">
        <f>SUMIFS('Climate Data'!$G$7:$G$366,'Climate Data'!$A$7:$A$366,Estimator!$B$4,'Climate Data'!$B$7:$B$366,C4040)</f>
        <v>0.19462365591397848</v>
      </c>
      <c r="I4040" s="87">
        <f>SUMIFS('Climate Data'!$H$7:$H$366,'Climate Data'!$A$7:$A$366,Estimator!$B$4,'Climate Data'!$B$7:$B$366,C4040)</f>
        <v>7.027624309392265</v>
      </c>
      <c r="J4040" s="86">
        <f>SUMIFS('Wind Proxy'!$H$8:$H$19,'Wind Proxy'!$A$8:$A$19,Estimator!$B$4,'Wind Proxy'!$B$8:$B$19,C4040)</f>
        <v>0</v>
      </c>
    </row>
    <row r="4041" spans="1:10" ht="14.4">
      <c r="A4041" s="84">
        <v>49692</v>
      </c>
      <c r="B4041" s="85">
        <v>2036</v>
      </c>
      <c r="C4041" s="85">
        <v>1</v>
      </c>
      <c r="D4041" s="85" t="s">
        <v>55</v>
      </c>
      <c r="E4041" s="85">
        <v>18</v>
      </c>
      <c r="F4041" s="85">
        <v>5</v>
      </c>
      <c r="G4041" s="85">
        <f>--(F4041&lt;=Estimator!$B$7)</f>
        <v>1</v>
      </c>
      <c r="H4041" s="86">
        <f>SUMIFS('Climate Data'!$G$7:$G$366,'Climate Data'!$A$7:$A$366,Estimator!$B$4,'Climate Data'!$B$7:$B$366,C4041)</f>
        <v>0.19462365591397848</v>
      </c>
      <c r="I4041" s="87">
        <f>SUMIFS('Climate Data'!$H$7:$H$366,'Climate Data'!$A$7:$A$366,Estimator!$B$4,'Climate Data'!$B$7:$B$366,C4041)</f>
        <v>7.027624309392265</v>
      </c>
      <c r="J4041" s="86">
        <f>SUMIFS('Wind Proxy'!$H$8:$H$19,'Wind Proxy'!$A$8:$A$19,Estimator!$B$4,'Wind Proxy'!$B$8:$B$19,C4041)</f>
        <v>0</v>
      </c>
    </row>
    <row r="4042" spans="1:10" ht="14.4">
      <c r="A4042" s="84">
        <v>49693</v>
      </c>
      <c r="B4042" s="85">
        <v>2036</v>
      </c>
      <c r="C4042" s="85">
        <v>1</v>
      </c>
      <c r="D4042" s="85" t="s">
        <v>55</v>
      </c>
      <c r="E4042" s="85">
        <v>19</v>
      </c>
      <c r="F4042" s="85">
        <v>6</v>
      </c>
      <c r="G4042" s="85">
        <f>--(F4042&lt;=Estimator!$B$7)</f>
        <v>0</v>
      </c>
      <c r="H4042" s="86">
        <f>SUMIFS('Climate Data'!$G$7:$G$366,'Climate Data'!$A$7:$A$366,Estimator!$B$4,'Climate Data'!$B$7:$B$366,C4042)</f>
        <v>0.19462365591397848</v>
      </c>
      <c r="I4042" s="87">
        <f>SUMIFS('Climate Data'!$H$7:$H$366,'Climate Data'!$A$7:$A$366,Estimator!$B$4,'Climate Data'!$B$7:$B$366,C4042)</f>
        <v>7.027624309392265</v>
      </c>
      <c r="J4042" s="86">
        <f>SUMIFS('Wind Proxy'!$H$8:$H$19,'Wind Proxy'!$A$8:$A$19,Estimator!$B$4,'Wind Proxy'!$B$8:$B$19,C4042)</f>
        <v>0</v>
      </c>
    </row>
    <row r="4043" spans="1:10" ht="14.4">
      <c r="A4043" s="84">
        <v>49694</v>
      </c>
      <c r="B4043" s="85">
        <v>2036</v>
      </c>
      <c r="C4043" s="85">
        <v>1</v>
      </c>
      <c r="D4043" s="85" t="s">
        <v>55</v>
      </c>
      <c r="E4043" s="85">
        <v>20</v>
      </c>
      <c r="F4043" s="85">
        <v>7</v>
      </c>
      <c r="G4043" s="85">
        <f>--(F4043&lt;=Estimator!$B$7)</f>
        <v>0</v>
      </c>
      <c r="H4043" s="86">
        <f>SUMIFS('Climate Data'!$G$7:$G$366,'Climate Data'!$A$7:$A$366,Estimator!$B$4,'Climate Data'!$B$7:$B$366,C4043)</f>
        <v>0.19462365591397848</v>
      </c>
      <c r="I4043" s="87">
        <f>SUMIFS('Climate Data'!$H$7:$H$366,'Climate Data'!$A$7:$A$366,Estimator!$B$4,'Climate Data'!$B$7:$B$366,C4043)</f>
        <v>7.027624309392265</v>
      </c>
      <c r="J4043" s="86">
        <f>SUMIFS('Wind Proxy'!$H$8:$H$19,'Wind Proxy'!$A$8:$A$19,Estimator!$B$4,'Wind Proxy'!$B$8:$B$19,C4043)</f>
        <v>0</v>
      </c>
    </row>
    <row r="4044" spans="1:10" ht="14.4">
      <c r="A4044" s="84">
        <v>49695</v>
      </c>
      <c r="B4044" s="85">
        <v>2036</v>
      </c>
      <c r="C4044" s="85">
        <v>1</v>
      </c>
      <c r="D4044" s="85" t="s">
        <v>55</v>
      </c>
      <c r="E4044" s="85">
        <v>21</v>
      </c>
      <c r="F4044" s="85">
        <v>1</v>
      </c>
      <c r="G4044" s="85">
        <f>--(F4044&lt;=Estimator!$B$7)</f>
        <v>1</v>
      </c>
      <c r="H4044" s="86">
        <f>SUMIFS('Climate Data'!$G$7:$G$366,'Climate Data'!$A$7:$A$366,Estimator!$B$4,'Climate Data'!$B$7:$B$366,C4044)</f>
        <v>0.19462365591397848</v>
      </c>
      <c r="I4044" s="87">
        <f>SUMIFS('Climate Data'!$H$7:$H$366,'Climate Data'!$A$7:$A$366,Estimator!$B$4,'Climate Data'!$B$7:$B$366,C4044)</f>
        <v>7.027624309392265</v>
      </c>
      <c r="J4044" s="86">
        <f>SUMIFS('Wind Proxy'!$H$8:$H$19,'Wind Proxy'!$A$8:$A$19,Estimator!$B$4,'Wind Proxy'!$B$8:$B$19,C4044)</f>
        <v>0</v>
      </c>
    </row>
    <row r="4045" spans="1:10" ht="14.4">
      <c r="A4045" s="84">
        <v>49696</v>
      </c>
      <c r="B4045" s="85">
        <v>2036</v>
      </c>
      <c r="C4045" s="85">
        <v>1</v>
      </c>
      <c r="D4045" s="85" t="s">
        <v>55</v>
      </c>
      <c r="E4045" s="85">
        <v>22</v>
      </c>
      <c r="F4045" s="85">
        <v>2</v>
      </c>
      <c r="G4045" s="85">
        <f>--(F4045&lt;=Estimator!$B$7)</f>
        <v>1</v>
      </c>
      <c r="H4045" s="86">
        <f>SUMIFS('Climate Data'!$G$7:$G$366,'Climate Data'!$A$7:$A$366,Estimator!$B$4,'Climate Data'!$B$7:$B$366,C4045)</f>
        <v>0.19462365591397848</v>
      </c>
      <c r="I4045" s="87">
        <f>SUMIFS('Climate Data'!$H$7:$H$366,'Climate Data'!$A$7:$A$366,Estimator!$B$4,'Climate Data'!$B$7:$B$366,C4045)</f>
        <v>7.027624309392265</v>
      </c>
      <c r="J4045" s="86">
        <f>SUMIFS('Wind Proxy'!$H$8:$H$19,'Wind Proxy'!$A$8:$A$19,Estimator!$B$4,'Wind Proxy'!$B$8:$B$19,C4045)</f>
        <v>0</v>
      </c>
    </row>
    <row r="4046" spans="1:10" ht="14.4">
      <c r="A4046" s="84">
        <v>49697</v>
      </c>
      <c r="B4046" s="85">
        <v>2036</v>
      </c>
      <c r="C4046" s="85">
        <v>1</v>
      </c>
      <c r="D4046" s="85" t="s">
        <v>55</v>
      </c>
      <c r="E4046" s="85">
        <v>23</v>
      </c>
      <c r="F4046" s="85">
        <v>3</v>
      </c>
      <c r="G4046" s="85">
        <f>--(F4046&lt;=Estimator!$B$7)</f>
        <v>1</v>
      </c>
      <c r="H4046" s="86">
        <f>SUMIFS('Climate Data'!$G$7:$G$366,'Climate Data'!$A$7:$A$366,Estimator!$B$4,'Climate Data'!$B$7:$B$366,C4046)</f>
        <v>0.19462365591397848</v>
      </c>
      <c r="I4046" s="87">
        <f>SUMIFS('Climate Data'!$H$7:$H$366,'Climate Data'!$A$7:$A$366,Estimator!$B$4,'Climate Data'!$B$7:$B$366,C4046)</f>
        <v>7.027624309392265</v>
      </c>
      <c r="J4046" s="86">
        <f>SUMIFS('Wind Proxy'!$H$8:$H$19,'Wind Proxy'!$A$8:$A$19,Estimator!$B$4,'Wind Proxy'!$B$8:$B$19,C4046)</f>
        <v>0</v>
      </c>
    </row>
    <row r="4047" spans="1:10" ht="14.4">
      <c r="A4047" s="84">
        <v>49698</v>
      </c>
      <c r="B4047" s="85">
        <v>2036</v>
      </c>
      <c r="C4047" s="85">
        <v>1</v>
      </c>
      <c r="D4047" s="85" t="s">
        <v>55</v>
      </c>
      <c r="E4047" s="85">
        <v>24</v>
      </c>
      <c r="F4047" s="85">
        <v>4</v>
      </c>
      <c r="G4047" s="85">
        <f>--(F4047&lt;=Estimator!$B$7)</f>
        <v>1</v>
      </c>
      <c r="H4047" s="86">
        <f>SUMIFS('Climate Data'!$G$7:$G$366,'Climate Data'!$A$7:$A$366,Estimator!$B$4,'Climate Data'!$B$7:$B$366,C4047)</f>
        <v>0.19462365591397848</v>
      </c>
      <c r="I4047" s="87">
        <f>SUMIFS('Climate Data'!$H$7:$H$366,'Climate Data'!$A$7:$A$366,Estimator!$B$4,'Climate Data'!$B$7:$B$366,C4047)</f>
        <v>7.027624309392265</v>
      </c>
      <c r="J4047" s="86">
        <f>SUMIFS('Wind Proxy'!$H$8:$H$19,'Wind Proxy'!$A$8:$A$19,Estimator!$B$4,'Wind Proxy'!$B$8:$B$19,C4047)</f>
        <v>0</v>
      </c>
    </row>
    <row r="4048" spans="1:10" ht="14.4">
      <c r="A4048" s="84">
        <v>49699</v>
      </c>
      <c r="B4048" s="85">
        <v>2036</v>
      </c>
      <c r="C4048" s="85">
        <v>1</v>
      </c>
      <c r="D4048" s="85" t="s">
        <v>55</v>
      </c>
      <c r="E4048" s="85">
        <v>25</v>
      </c>
      <c r="F4048" s="85">
        <v>5</v>
      </c>
      <c r="G4048" s="85">
        <f>--(F4048&lt;=Estimator!$B$7)</f>
        <v>1</v>
      </c>
      <c r="H4048" s="86">
        <f>SUMIFS('Climate Data'!$G$7:$G$366,'Climate Data'!$A$7:$A$366,Estimator!$B$4,'Climate Data'!$B$7:$B$366,C4048)</f>
        <v>0.19462365591397848</v>
      </c>
      <c r="I4048" s="87">
        <f>SUMIFS('Climate Data'!$H$7:$H$366,'Climate Data'!$A$7:$A$366,Estimator!$B$4,'Climate Data'!$B$7:$B$366,C4048)</f>
        <v>7.027624309392265</v>
      </c>
      <c r="J4048" s="86">
        <f>SUMIFS('Wind Proxy'!$H$8:$H$19,'Wind Proxy'!$A$8:$A$19,Estimator!$B$4,'Wind Proxy'!$B$8:$B$19,C4048)</f>
        <v>0</v>
      </c>
    </row>
    <row r="4049" spans="1:10" ht="14.4">
      <c r="A4049" s="84">
        <v>49700</v>
      </c>
      <c r="B4049" s="85">
        <v>2036</v>
      </c>
      <c r="C4049" s="85">
        <v>1</v>
      </c>
      <c r="D4049" s="85" t="s">
        <v>55</v>
      </c>
      <c r="E4049" s="85">
        <v>26</v>
      </c>
      <c r="F4049" s="85">
        <v>6</v>
      </c>
      <c r="G4049" s="85">
        <f>--(F4049&lt;=Estimator!$B$7)</f>
        <v>0</v>
      </c>
      <c r="H4049" s="86">
        <f>SUMIFS('Climate Data'!$G$7:$G$366,'Climate Data'!$A$7:$A$366,Estimator!$B$4,'Climate Data'!$B$7:$B$366,C4049)</f>
        <v>0.19462365591397848</v>
      </c>
      <c r="I4049" s="87">
        <f>SUMIFS('Climate Data'!$H$7:$H$366,'Climate Data'!$A$7:$A$366,Estimator!$B$4,'Climate Data'!$B$7:$B$366,C4049)</f>
        <v>7.027624309392265</v>
      </c>
      <c r="J4049" s="86">
        <f>SUMIFS('Wind Proxy'!$H$8:$H$19,'Wind Proxy'!$A$8:$A$19,Estimator!$B$4,'Wind Proxy'!$B$8:$B$19,C4049)</f>
        <v>0</v>
      </c>
    </row>
    <row r="4050" spans="1:10" ht="14.4">
      <c r="A4050" s="84">
        <v>49701</v>
      </c>
      <c r="B4050" s="85">
        <v>2036</v>
      </c>
      <c r="C4050" s="85">
        <v>1</v>
      </c>
      <c r="D4050" s="85" t="s">
        <v>55</v>
      </c>
      <c r="E4050" s="85">
        <v>27</v>
      </c>
      <c r="F4050" s="85">
        <v>7</v>
      </c>
      <c r="G4050" s="85">
        <f>--(F4050&lt;=Estimator!$B$7)</f>
        <v>0</v>
      </c>
      <c r="H4050" s="86">
        <f>SUMIFS('Climate Data'!$G$7:$G$366,'Climate Data'!$A$7:$A$366,Estimator!$B$4,'Climate Data'!$B$7:$B$366,C4050)</f>
        <v>0.19462365591397848</v>
      </c>
      <c r="I4050" s="87">
        <f>SUMIFS('Climate Data'!$H$7:$H$366,'Climate Data'!$A$7:$A$366,Estimator!$B$4,'Climate Data'!$B$7:$B$366,C4050)</f>
        <v>7.027624309392265</v>
      </c>
      <c r="J4050" s="86">
        <f>SUMIFS('Wind Proxy'!$H$8:$H$19,'Wind Proxy'!$A$8:$A$19,Estimator!$B$4,'Wind Proxy'!$B$8:$B$19,C4050)</f>
        <v>0</v>
      </c>
    </row>
    <row r="4051" spans="1:10" ht="14.4">
      <c r="A4051" s="84">
        <v>49702</v>
      </c>
      <c r="B4051" s="85">
        <v>2036</v>
      </c>
      <c r="C4051" s="85">
        <v>1</v>
      </c>
      <c r="D4051" s="85" t="s">
        <v>55</v>
      </c>
      <c r="E4051" s="85">
        <v>28</v>
      </c>
      <c r="F4051" s="85">
        <v>1</v>
      </c>
      <c r="G4051" s="85">
        <f>--(F4051&lt;=Estimator!$B$7)</f>
        <v>1</v>
      </c>
      <c r="H4051" s="86">
        <f>SUMIFS('Climate Data'!$G$7:$G$366,'Climate Data'!$A$7:$A$366,Estimator!$B$4,'Climate Data'!$B$7:$B$366,C4051)</f>
        <v>0.19462365591397848</v>
      </c>
      <c r="I4051" s="87">
        <f>SUMIFS('Climate Data'!$H$7:$H$366,'Climate Data'!$A$7:$A$366,Estimator!$B$4,'Climate Data'!$B$7:$B$366,C4051)</f>
        <v>7.027624309392265</v>
      </c>
      <c r="J4051" s="86">
        <f>SUMIFS('Wind Proxy'!$H$8:$H$19,'Wind Proxy'!$A$8:$A$19,Estimator!$B$4,'Wind Proxy'!$B$8:$B$19,C4051)</f>
        <v>0</v>
      </c>
    </row>
    <row r="4052" spans="1:10" ht="14.4">
      <c r="A4052" s="84">
        <v>49703</v>
      </c>
      <c r="B4052" s="85">
        <v>2036</v>
      </c>
      <c r="C4052" s="85">
        <v>1</v>
      </c>
      <c r="D4052" s="85" t="s">
        <v>55</v>
      </c>
      <c r="E4052" s="85">
        <v>29</v>
      </c>
      <c r="F4052" s="85">
        <v>2</v>
      </c>
      <c r="G4052" s="85">
        <f>--(F4052&lt;=Estimator!$B$7)</f>
        <v>1</v>
      </c>
      <c r="H4052" s="86">
        <f>SUMIFS('Climate Data'!$G$7:$G$366,'Climate Data'!$A$7:$A$366,Estimator!$B$4,'Climate Data'!$B$7:$B$366,C4052)</f>
        <v>0.19462365591397848</v>
      </c>
      <c r="I4052" s="87">
        <f>SUMIFS('Climate Data'!$H$7:$H$366,'Climate Data'!$A$7:$A$366,Estimator!$B$4,'Climate Data'!$B$7:$B$366,C4052)</f>
        <v>7.027624309392265</v>
      </c>
      <c r="J4052" s="86">
        <f>SUMIFS('Wind Proxy'!$H$8:$H$19,'Wind Proxy'!$A$8:$A$19,Estimator!$B$4,'Wind Proxy'!$B$8:$B$19,C4052)</f>
        <v>0</v>
      </c>
    </row>
    <row r="4053" spans="1:10" ht="14.4">
      <c r="A4053" s="84">
        <v>49704</v>
      </c>
      <c r="B4053" s="85">
        <v>2036</v>
      </c>
      <c r="C4053" s="85">
        <v>1</v>
      </c>
      <c r="D4053" s="85" t="s">
        <v>55</v>
      </c>
      <c r="E4053" s="85">
        <v>30</v>
      </c>
      <c r="F4053" s="85">
        <v>3</v>
      </c>
      <c r="G4053" s="85">
        <f>--(F4053&lt;=Estimator!$B$7)</f>
        <v>1</v>
      </c>
      <c r="H4053" s="86">
        <f>SUMIFS('Climate Data'!$G$7:$G$366,'Climate Data'!$A$7:$A$366,Estimator!$B$4,'Climate Data'!$B$7:$B$366,C4053)</f>
        <v>0.19462365591397848</v>
      </c>
      <c r="I4053" s="87">
        <f>SUMIFS('Climate Data'!$H$7:$H$366,'Climate Data'!$A$7:$A$366,Estimator!$B$4,'Climate Data'!$B$7:$B$366,C4053)</f>
        <v>7.027624309392265</v>
      </c>
      <c r="J4053" s="86">
        <f>SUMIFS('Wind Proxy'!$H$8:$H$19,'Wind Proxy'!$A$8:$A$19,Estimator!$B$4,'Wind Proxy'!$B$8:$B$19,C4053)</f>
        <v>0</v>
      </c>
    </row>
    <row r="4054" spans="1:10" ht="14.4">
      <c r="A4054" s="84">
        <v>49705</v>
      </c>
      <c r="B4054" s="85">
        <v>2036</v>
      </c>
      <c r="C4054" s="85">
        <v>1</v>
      </c>
      <c r="D4054" s="85" t="s">
        <v>55</v>
      </c>
      <c r="E4054" s="85">
        <v>31</v>
      </c>
      <c r="F4054" s="85">
        <v>4</v>
      </c>
      <c r="G4054" s="85">
        <f>--(F4054&lt;=Estimator!$B$7)</f>
        <v>1</v>
      </c>
      <c r="H4054" s="86">
        <f>SUMIFS('Climate Data'!$G$7:$G$366,'Climate Data'!$A$7:$A$366,Estimator!$B$4,'Climate Data'!$B$7:$B$366,C4054)</f>
        <v>0.19462365591397848</v>
      </c>
      <c r="I4054" s="87">
        <f>SUMIFS('Climate Data'!$H$7:$H$366,'Climate Data'!$A$7:$A$366,Estimator!$B$4,'Climate Data'!$B$7:$B$366,C4054)</f>
        <v>7.027624309392265</v>
      </c>
      <c r="J4054" s="86">
        <f>SUMIFS('Wind Proxy'!$H$8:$H$19,'Wind Proxy'!$A$8:$A$19,Estimator!$B$4,'Wind Proxy'!$B$8:$B$19,C4054)</f>
        <v>0</v>
      </c>
    </row>
    <row r="4055" spans="1:10" ht="14.4">
      <c r="A4055" s="84">
        <v>49706</v>
      </c>
      <c r="B4055" s="85">
        <v>2036</v>
      </c>
      <c r="C4055" s="85">
        <v>2</v>
      </c>
      <c r="D4055" s="85" t="s">
        <v>58</v>
      </c>
      <c r="E4055" s="85">
        <v>1</v>
      </c>
      <c r="F4055" s="85">
        <v>5</v>
      </c>
      <c r="G4055" s="85">
        <f>--(F4055&lt;=Estimator!$B$7)</f>
        <v>1</v>
      </c>
      <c r="H4055" s="86">
        <f>SUMIFS('Climate Data'!$G$7:$G$366,'Climate Data'!$A$7:$A$366,Estimator!$B$4,'Climate Data'!$B$7:$B$366,C4055)</f>
        <v>0.18867924528301885</v>
      </c>
      <c r="I4055" s="87">
        <f>SUMIFS('Climate Data'!$H$7:$H$366,'Climate Data'!$A$7:$A$366,Estimator!$B$4,'Climate Data'!$B$7:$B$366,C4055)</f>
        <v>7.4624999999999995</v>
      </c>
      <c r="J4055" s="86">
        <f>SUMIFS('Wind Proxy'!$H$8:$H$19,'Wind Proxy'!$A$8:$A$19,Estimator!$B$4,'Wind Proxy'!$B$8:$B$19,C4055)</f>
        <v>0</v>
      </c>
    </row>
    <row r="4056" spans="1:10" ht="14.4">
      <c r="A4056" s="84">
        <v>49707</v>
      </c>
      <c r="B4056" s="85">
        <v>2036</v>
      </c>
      <c r="C4056" s="85">
        <v>2</v>
      </c>
      <c r="D4056" s="85" t="s">
        <v>58</v>
      </c>
      <c r="E4056" s="85">
        <v>2</v>
      </c>
      <c r="F4056" s="85">
        <v>6</v>
      </c>
      <c r="G4056" s="85">
        <f>--(F4056&lt;=Estimator!$B$7)</f>
        <v>0</v>
      </c>
      <c r="H4056" s="86">
        <f>SUMIFS('Climate Data'!$G$7:$G$366,'Climate Data'!$A$7:$A$366,Estimator!$B$4,'Climate Data'!$B$7:$B$366,C4056)</f>
        <v>0.18867924528301885</v>
      </c>
      <c r="I4056" s="87">
        <f>SUMIFS('Climate Data'!$H$7:$H$366,'Climate Data'!$A$7:$A$366,Estimator!$B$4,'Climate Data'!$B$7:$B$366,C4056)</f>
        <v>7.4624999999999995</v>
      </c>
      <c r="J4056" s="86">
        <f>SUMIFS('Wind Proxy'!$H$8:$H$19,'Wind Proxy'!$A$8:$A$19,Estimator!$B$4,'Wind Proxy'!$B$8:$B$19,C4056)</f>
        <v>0</v>
      </c>
    </row>
    <row r="4057" spans="1:10" ht="14.4">
      <c r="A4057" s="84">
        <v>49708</v>
      </c>
      <c r="B4057" s="85">
        <v>2036</v>
      </c>
      <c r="C4057" s="85">
        <v>2</v>
      </c>
      <c r="D4057" s="85" t="s">
        <v>58</v>
      </c>
      <c r="E4057" s="85">
        <v>3</v>
      </c>
      <c r="F4057" s="85">
        <v>7</v>
      </c>
      <c r="G4057" s="85">
        <f>--(F4057&lt;=Estimator!$B$7)</f>
        <v>0</v>
      </c>
      <c r="H4057" s="86">
        <f>SUMIFS('Climate Data'!$G$7:$G$366,'Climate Data'!$A$7:$A$366,Estimator!$B$4,'Climate Data'!$B$7:$B$366,C4057)</f>
        <v>0.18867924528301885</v>
      </c>
      <c r="I4057" s="87">
        <f>SUMIFS('Climate Data'!$H$7:$H$366,'Climate Data'!$A$7:$A$366,Estimator!$B$4,'Climate Data'!$B$7:$B$366,C4057)</f>
        <v>7.4624999999999995</v>
      </c>
      <c r="J4057" s="86">
        <f>SUMIFS('Wind Proxy'!$H$8:$H$19,'Wind Proxy'!$A$8:$A$19,Estimator!$B$4,'Wind Proxy'!$B$8:$B$19,C4057)</f>
        <v>0</v>
      </c>
    </row>
    <row r="4058" spans="1:10" ht="14.4">
      <c r="A4058" s="84">
        <v>49709</v>
      </c>
      <c r="B4058" s="85">
        <v>2036</v>
      </c>
      <c r="C4058" s="85">
        <v>2</v>
      </c>
      <c r="D4058" s="85" t="s">
        <v>58</v>
      </c>
      <c r="E4058" s="85">
        <v>4</v>
      </c>
      <c r="F4058" s="85">
        <v>1</v>
      </c>
      <c r="G4058" s="85">
        <f>--(F4058&lt;=Estimator!$B$7)</f>
        <v>1</v>
      </c>
      <c r="H4058" s="86">
        <f>SUMIFS('Climate Data'!$G$7:$G$366,'Climate Data'!$A$7:$A$366,Estimator!$B$4,'Climate Data'!$B$7:$B$366,C4058)</f>
        <v>0.18867924528301885</v>
      </c>
      <c r="I4058" s="87">
        <f>SUMIFS('Climate Data'!$H$7:$H$366,'Climate Data'!$A$7:$A$366,Estimator!$B$4,'Climate Data'!$B$7:$B$366,C4058)</f>
        <v>7.4624999999999995</v>
      </c>
      <c r="J4058" s="86">
        <f>SUMIFS('Wind Proxy'!$H$8:$H$19,'Wind Proxy'!$A$8:$A$19,Estimator!$B$4,'Wind Proxy'!$B$8:$B$19,C4058)</f>
        <v>0</v>
      </c>
    </row>
    <row r="4059" spans="1:10" ht="14.4">
      <c r="A4059" s="84">
        <v>49710</v>
      </c>
      <c r="B4059" s="85">
        <v>2036</v>
      </c>
      <c r="C4059" s="85">
        <v>2</v>
      </c>
      <c r="D4059" s="85" t="s">
        <v>58</v>
      </c>
      <c r="E4059" s="85">
        <v>5</v>
      </c>
      <c r="F4059" s="85">
        <v>2</v>
      </c>
      <c r="G4059" s="85">
        <f>--(F4059&lt;=Estimator!$B$7)</f>
        <v>1</v>
      </c>
      <c r="H4059" s="86">
        <f>SUMIFS('Climate Data'!$G$7:$G$366,'Climate Data'!$A$7:$A$366,Estimator!$B$4,'Climate Data'!$B$7:$B$366,C4059)</f>
        <v>0.18867924528301885</v>
      </c>
      <c r="I4059" s="87">
        <f>SUMIFS('Climate Data'!$H$7:$H$366,'Climate Data'!$A$7:$A$366,Estimator!$B$4,'Climate Data'!$B$7:$B$366,C4059)</f>
        <v>7.4624999999999995</v>
      </c>
      <c r="J4059" s="86">
        <f>SUMIFS('Wind Proxy'!$H$8:$H$19,'Wind Proxy'!$A$8:$A$19,Estimator!$B$4,'Wind Proxy'!$B$8:$B$19,C4059)</f>
        <v>0</v>
      </c>
    </row>
    <row r="4060" spans="1:10" ht="14.4">
      <c r="A4060" s="84">
        <v>49711</v>
      </c>
      <c r="B4060" s="85">
        <v>2036</v>
      </c>
      <c r="C4060" s="85">
        <v>2</v>
      </c>
      <c r="D4060" s="85" t="s">
        <v>58</v>
      </c>
      <c r="E4060" s="85">
        <v>6</v>
      </c>
      <c r="F4060" s="85">
        <v>3</v>
      </c>
      <c r="G4060" s="85">
        <f>--(F4060&lt;=Estimator!$B$7)</f>
        <v>1</v>
      </c>
      <c r="H4060" s="86">
        <f>SUMIFS('Climate Data'!$G$7:$G$366,'Climate Data'!$A$7:$A$366,Estimator!$B$4,'Climate Data'!$B$7:$B$366,C4060)</f>
        <v>0.18867924528301885</v>
      </c>
      <c r="I4060" s="87">
        <f>SUMIFS('Climate Data'!$H$7:$H$366,'Climate Data'!$A$7:$A$366,Estimator!$B$4,'Climate Data'!$B$7:$B$366,C4060)</f>
        <v>7.4624999999999995</v>
      </c>
      <c r="J4060" s="86">
        <f>SUMIFS('Wind Proxy'!$H$8:$H$19,'Wind Proxy'!$A$8:$A$19,Estimator!$B$4,'Wind Proxy'!$B$8:$B$19,C4060)</f>
        <v>0</v>
      </c>
    </row>
    <row r="4061" spans="1:10" ht="14.4">
      <c r="A4061" s="84">
        <v>49712</v>
      </c>
      <c r="B4061" s="85">
        <v>2036</v>
      </c>
      <c r="C4061" s="85">
        <v>2</v>
      </c>
      <c r="D4061" s="85" t="s">
        <v>58</v>
      </c>
      <c r="E4061" s="85">
        <v>7</v>
      </c>
      <c r="F4061" s="85">
        <v>4</v>
      </c>
      <c r="G4061" s="85">
        <f>--(F4061&lt;=Estimator!$B$7)</f>
        <v>1</v>
      </c>
      <c r="H4061" s="86">
        <f>SUMIFS('Climate Data'!$G$7:$G$366,'Climate Data'!$A$7:$A$366,Estimator!$B$4,'Climate Data'!$B$7:$B$366,C4061)</f>
        <v>0.18867924528301885</v>
      </c>
      <c r="I4061" s="87">
        <f>SUMIFS('Climate Data'!$H$7:$H$366,'Climate Data'!$A$7:$A$366,Estimator!$B$4,'Climate Data'!$B$7:$B$366,C4061)</f>
        <v>7.4624999999999995</v>
      </c>
      <c r="J4061" s="86">
        <f>SUMIFS('Wind Proxy'!$H$8:$H$19,'Wind Proxy'!$A$8:$A$19,Estimator!$B$4,'Wind Proxy'!$B$8:$B$19,C4061)</f>
        <v>0</v>
      </c>
    </row>
    <row r="4062" spans="1:10" ht="14.4">
      <c r="A4062" s="84">
        <v>49713</v>
      </c>
      <c r="B4062" s="85">
        <v>2036</v>
      </c>
      <c r="C4062" s="85">
        <v>2</v>
      </c>
      <c r="D4062" s="85" t="s">
        <v>58</v>
      </c>
      <c r="E4062" s="85">
        <v>8</v>
      </c>
      <c r="F4062" s="85">
        <v>5</v>
      </c>
      <c r="G4062" s="85">
        <f>--(F4062&lt;=Estimator!$B$7)</f>
        <v>1</v>
      </c>
      <c r="H4062" s="86">
        <f>SUMIFS('Climate Data'!$G$7:$G$366,'Climate Data'!$A$7:$A$366,Estimator!$B$4,'Climate Data'!$B$7:$B$366,C4062)</f>
        <v>0.18867924528301885</v>
      </c>
      <c r="I4062" s="87">
        <f>SUMIFS('Climate Data'!$H$7:$H$366,'Climate Data'!$A$7:$A$366,Estimator!$B$4,'Climate Data'!$B$7:$B$366,C4062)</f>
        <v>7.4624999999999995</v>
      </c>
      <c r="J4062" s="86">
        <f>SUMIFS('Wind Proxy'!$H$8:$H$19,'Wind Proxy'!$A$8:$A$19,Estimator!$B$4,'Wind Proxy'!$B$8:$B$19,C4062)</f>
        <v>0</v>
      </c>
    </row>
    <row r="4063" spans="1:10" ht="14.4">
      <c r="A4063" s="84">
        <v>49714</v>
      </c>
      <c r="B4063" s="85">
        <v>2036</v>
      </c>
      <c r="C4063" s="85">
        <v>2</v>
      </c>
      <c r="D4063" s="85" t="s">
        <v>58</v>
      </c>
      <c r="E4063" s="85">
        <v>9</v>
      </c>
      <c r="F4063" s="85">
        <v>6</v>
      </c>
      <c r="G4063" s="85">
        <f>--(F4063&lt;=Estimator!$B$7)</f>
        <v>0</v>
      </c>
      <c r="H4063" s="86">
        <f>SUMIFS('Climate Data'!$G$7:$G$366,'Climate Data'!$A$7:$A$366,Estimator!$B$4,'Climate Data'!$B$7:$B$366,C4063)</f>
        <v>0.18867924528301885</v>
      </c>
      <c r="I4063" s="87">
        <f>SUMIFS('Climate Data'!$H$7:$H$366,'Climate Data'!$A$7:$A$366,Estimator!$B$4,'Climate Data'!$B$7:$B$366,C4063)</f>
        <v>7.4624999999999995</v>
      </c>
      <c r="J4063" s="86">
        <f>SUMIFS('Wind Proxy'!$H$8:$H$19,'Wind Proxy'!$A$8:$A$19,Estimator!$B$4,'Wind Proxy'!$B$8:$B$19,C4063)</f>
        <v>0</v>
      </c>
    </row>
    <row r="4064" spans="1:10" ht="14.4">
      <c r="A4064" s="84">
        <v>49715</v>
      </c>
      <c r="B4064" s="85">
        <v>2036</v>
      </c>
      <c r="C4064" s="85">
        <v>2</v>
      </c>
      <c r="D4064" s="85" t="s">
        <v>58</v>
      </c>
      <c r="E4064" s="85">
        <v>10</v>
      </c>
      <c r="F4064" s="85">
        <v>7</v>
      </c>
      <c r="G4064" s="85">
        <f>--(F4064&lt;=Estimator!$B$7)</f>
        <v>0</v>
      </c>
      <c r="H4064" s="86">
        <f>SUMIFS('Climate Data'!$G$7:$G$366,'Climate Data'!$A$7:$A$366,Estimator!$B$4,'Climate Data'!$B$7:$B$366,C4064)</f>
        <v>0.18867924528301885</v>
      </c>
      <c r="I4064" s="87">
        <f>SUMIFS('Climate Data'!$H$7:$H$366,'Climate Data'!$A$7:$A$366,Estimator!$B$4,'Climate Data'!$B$7:$B$366,C4064)</f>
        <v>7.4624999999999995</v>
      </c>
      <c r="J4064" s="86">
        <f>SUMIFS('Wind Proxy'!$H$8:$H$19,'Wind Proxy'!$A$8:$A$19,Estimator!$B$4,'Wind Proxy'!$B$8:$B$19,C4064)</f>
        <v>0</v>
      </c>
    </row>
    <row r="4065" spans="1:10" ht="14.4">
      <c r="A4065" s="84">
        <v>49716</v>
      </c>
      <c r="B4065" s="85">
        <v>2036</v>
      </c>
      <c r="C4065" s="85">
        <v>2</v>
      </c>
      <c r="D4065" s="85" t="s">
        <v>58</v>
      </c>
      <c r="E4065" s="85">
        <v>11</v>
      </c>
      <c r="F4065" s="85">
        <v>1</v>
      </c>
      <c r="G4065" s="85">
        <f>--(F4065&lt;=Estimator!$B$7)</f>
        <v>1</v>
      </c>
      <c r="H4065" s="86">
        <f>SUMIFS('Climate Data'!$G$7:$G$366,'Climate Data'!$A$7:$A$366,Estimator!$B$4,'Climate Data'!$B$7:$B$366,C4065)</f>
        <v>0.18867924528301885</v>
      </c>
      <c r="I4065" s="87">
        <f>SUMIFS('Climate Data'!$H$7:$H$366,'Climate Data'!$A$7:$A$366,Estimator!$B$4,'Climate Data'!$B$7:$B$366,C4065)</f>
        <v>7.4624999999999995</v>
      </c>
      <c r="J4065" s="86">
        <f>SUMIFS('Wind Proxy'!$H$8:$H$19,'Wind Proxy'!$A$8:$A$19,Estimator!$B$4,'Wind Proxy'!$B$8:$B$19,C4065)</f>
        <v>0</v>
      </c>
    </row>
    <row r="4066" spans="1:10" ht="14.4">
      <c r="A4066" s="84">
        <v>49717</v>
      </c>
      <c r="B4066" s="85">
        <v>2036</v>
      </c>
      <c r="C4066" s="85">
        <v>2</v>
      </c>
      <c r="D4066" s="85" t="s">
        <v>58</v>
      </c>
      <c r="E4066" s="85">
        <v>12</v>
      </c>
      <c r="F4066" s="85">
        <v>2</v>
      </c>
      <c r="G4066" s="85">
        <f>--(F4066&lt;=Estimator!$B$7)</f>
        <v>1</v>
      </c>
      <c r="H4066" s="86">
        <f>SUMIFS('Climate Data'!$G$7:$G$366,'Climate Data'!$A$7:$A$366,Estimator!$B$4,'Climate Data'!$B$7:$B$366,C4066)</f>
        <v>0.18867924528301885</v>
      </c>
      <c r="I4066" s="87">
        <f>SUMIFS('Climate Data'!$H$7:$H$366,'Climate Data'!$A$7:$A$366,Estimator!$B$4,'Climate Data'!$B$7:$B$366,C4066)</f>
        <v>7.4624999999999995</v>
      </c>
      <c r="J4066" s="86">
        <f>SUMIFS('Wind Proxy'!$H$8:$H$19,'Wind Proxy'!$A$8:$A$19,Estimator!$B$4,'Wind Proxy'!$B$8:$B$19,C4066)</f>
        <v>0</v>
      </c>
    </row>
    <row r="4067" spans="1:10" ht="14.4">
      <c r="A4067" s="84">
        <v>49718</v>
      </c>
      <c r="B4067" s="85">
        <v>2036</v>
      </c>
      <c r="C4067" s="85">
        <v>2</v>
      </c>
      <c r="D4067" s="85" t="s">
        <v>58</v>
      </c>
      <c r="E4067" s="85">
        <v>13</v>
      </c>
      <c r="F4067" s="85">
        <v>3</v>
      </c>
      <c r="G4067" s="85">
        <f>--(F4067&lt;=Estimator!$B$7)</f>
        <v>1</v>
      </c>
      <c r="H4067" s="86">
        <f>SUMIFS('Climate Data'!$G$7:$G$366,'Climate Data'!$A$7:$A$366,Estimator!$B$4,'Climate Data'!$B$7:$B$366,C4067)</f>
        <v>0.18867924528301885</v>
      </c>
      <c r="I4067" s="87">
        <f>SUMIFS('Climate Data'!$H$7:$H$366,'Climate Data'!$A$7:$A$366,Estimator!$B$4,'Climate Data'!$B$7:$B$366,C4067)</f>
        <v>7.4624999999999995</v>
      </c>
      <c r="J4067" s="86">
        <f>SUMIFS('Wind Proxy'!$H$8:$H$19,'Wind Proxy'!$A$8:$A$19,Estimator!$B$4,'Wind Proxy'!$B$8:$B$19,C4067)</f>
        <v>0</v>
      </c>
    </row>
    <row r="4068" spans="1:10" ht="14.4">
      <c r="A4068" s="84">
        <v>49719</v>
      </c>
      <c r="B4068" s="85">
        <v>2036</v>
      </c>
      <c r="C4068" s="85">
        <v>2</v>
      </c>
      <c r="D4068" s="85" t="s">
        <v>58</v>
      </c>
      <c r="E4068" s="85">
        <v>14</v>
      </c>
      <c r="F4068" s="85">
        <v>4</v>
      </c>
      <c r="G4068" s="85">
        <f>--(F4068&lt;=Estimator!$B$7)</f>
        <v>1</v>
      </c>
      <c r="H4068" s="86">
        <f>SUMIFS('Climate Data'!$G$7:$G$366,'Climate Data'!$A$7:$A$366,Estimator!$B$4,'Climate Data'!$B$7:$B$366,C4068)</f>
        <v>0.18867924528301885</v>
      </c>
      <c r="I4068" s="87">
        <f>SUMIFS('Climate Data'!$H$7:$H$366,'Climate Data'!$A$7:$A$366,Estimator!$B$4,'Climate Data'!$B$7:$B$366,C4068)</f>
        <v>7.4624999999999995</v>
      </c>
      <c r="J4068" s="86">
        <f>SUMIFS('Wind Proxy'!$H$8:$H$19,'Wind Proxy'!$A$8:$A$19,Estimator!$B$4,'Wind Proxy'!$B$8:$B$19,C4068)</f>
        <v>0</v>
      </c>
    </row>
    <row r="4069" spans="1:10" ht="14.4">
      <c r="A4069" s="84">
        <v>49720</v>
      </c>
      <c r="B4069" s="85">
        <v>2036</v>
      </c>
      <c r="C4069" s="85">
        <v>2</v>
      </c>
      <c r="D4069" s="85" t="s">
        <v>58</v>
      </c>
      <c r="E4069" s="85">
        <v>15</v>
      </c>
      <c r="F4069" s="85">
        <v>5</v>
      </c>
      <c r="G4069" s="85">
        <f>--(F4069&lt;=Estimator!$B$7)</f>
        <v>1</v>
      </c>
      <c r="H4069" s="86">
        <f>SUMIFS('Climate Data'!$G$7:$G$366,'Climate Data'!$A$7:$A$366,Estimator!$B$4,'Climate Data'!$B$7:$B$366,C4069)</f>
        <v>0.18867924528301885</v>
      </c>
      <c r="I4069" s="87">
        <f>SUMIFS('Climate Data'!$H$7:$H$366,'Climate Data'!$A$7:$A$366,Estimator!$B$4,'Climate Data'!$B$7:$B$366,C4069)</f>
        <v>7.4624999999999995</v>
      </c>
      <c r="J4069" s="86">
        <f>SUMIFS('Wind Proxy'!$H$8:$H$19,'Wind Proxy'!$A$8:$A$19,Estimator!$B$4,'Wind Proxy'!$B$8:$B$19,C4069)</f>
        <v>0</v>
      </c>
    </row>
    <row r="4070" spans="1:10" ht="14.4">
      <c r="A4070" s="84">
        <v>49721</v>
      </c>
      <c r="B4070" s="85">
        <v>2036</v>
      </c>
      <c r="C4070" s="85">
        <v>2</v>
      </c>
      <c r="D4070" s="85" t="s">
        <v>58</v>
      </c>
      <c r="E4070" s="85">
        <v>16</v>
      </c>
      <c r="F4070" s="85">
        <v>6</v>
      </c>
      <c r="G4070" s="85">
        <f>--(F4070&lt;=Estimator!$B$7)</f>
        <v>0</v>
      </c>
      <c r="H4070" s="86">
        <f>SUMIFS('Climate Data'!$G$7:$G$366,'Climate Data'!$A$7:$A$366,Estimator!$B$4,'Climate Data'!$B$7:$B$366,C4070)</f>
        <v>0.18867924528301885</v>
      </c>
      <c r="I4070" s="87">
        <f>SUMIFS('Climate Data'!$H$7:$H$366,'Climate Data'!$A$7:$A$366,Estimator!$B$4,'Climate Data'!$B$7:$B$366,C4070)</f>
        <v>7.4624999999999995</v>
      </c>
      <c r="J4070" s="86">
        <f>SUMIFS('Wind Proxy'!$H$8:$H$19,'Wind Proxy'!$A$8:$A$19,Estimator!$B$4,'Wind Proxy'!$B$8:$B$19,C4070)</f>
        <v>0</v>
      </c>
    </row>
    <row r="4071" spans="1:10" ht="14.4">
      <c r="A4071" s="84">
        <v>49722</v>
      </c>
      <c r="B4071" s="85">
        <v>2036</v>
      </c>
      <c r="C4071" s="85">
        <v>2</v>
      </c>
      <c r="D4071" s="85" t="s">
        <v>58</v>
      </c>
      <c r="E4071" s="85">
        <v>17</v>
      </c>
      <c r="F4071" s="85">
        <v>7</v>
      </c>
      <c r="G4071" s="85">
        <f>--(F4071&lt;=Estimator!$B$7)</f>
        <v>0</v>
      </c>
      <c r="H4071" s="86">
        <f>SUMIFS('Climate Data'!$G$7:$G$366,'Climate Data'!$A$7:$A$366,Estimator!$B$4,'Climate Data'!$B$7:$B$366,C4071)</f>
        <v>0.18867924528301885</v>
      </c>
      <c r="I4071" s="87">
        <f>SUMIFS('Climate Data'!$H$7:$H$366,'Climate Data'!$A$7:$A$366,Estimator!$B$4,'Climate Data'!$B$7:$B$366,C4071)</f>
        <v>7.4624999999999995</v>
      </c>
      <c r="J4071" s="86">
        <f>SUMIFS('Wind Proxy'!$H$8:$H$19,'Wind Proxy'!$A$8:$A$19,Estimator!$B$4,'Wind Proxy'!$B$8:$B$19,C4071)</f>
        <v>0</v>
      </c>
    </row>
    <row r="4072" spans="1:10" ht="14.4">
      <c r="A4072" s="84">
        <v>49723</v>
      </c>
      <c r="B4072" s="85">
        <v>2036</v>
      </c>
      <c r="C4072" s="85">
        <v>2</v>
      </c>
      <c r="D4072" s="85" t="s">
        <v>58</v>
      </c>
      <c r="E4072" s="85">
        <v>18</v>
      </c>
      <c r="F4072" s="85">
        <v>1</v>
      </c>
      <c r="G4072" s="85">
        <f>--(F4072&lt;=Estimator!$B$7)</f>
        <v>1</v>
      </c>
      <c r="H4072" s="86">
        <f>SUMIFS('Climate Data'!$G$7:$G$366,'Climate Data'!$A$7:$A$366,Estimator!$B$4,'Climate Data'!$B$7:$B$366,C4072)</f>
        <v>0.18867924528301885</v>
      </c>
      <c r="I4072" s="87">
        <f>SUMIFS('Climate Data'!$H$7:$H$366,'Climate Data'!$A$7:$A$366,Estimator!$B$4,'Climate Data'!$B$7:$B$366,C4072)</f>
        <v>7.4624999999999995</v>
      </c>
      <c r="J4072" s="86">
        <f>SUMIFS('Wind Proxy'!$H$8:$H$19,'Wind Proxy'!$A$8:$A$19,Estimator!$B$4,'Wind Proxy'!$B$8:$B$19,C4072)</f>
        <v>0</v>
      </c>
    </row>
    <row r="4073" spans="1:10" ht="14.4">
      <c r="A4073" s="84">
        <v>49724</v>
      </c>
      <c r="B4073" s="85">
        <v>2036</v>
      </c>
      <c r="C4073" s="85">
        <v>2</v>
      </c>
      <c r="D4073" s="85" t="s">
        <v>58</v>
      </c>
      <c r="E4073" s="85">
        <v>19</v>
      </c>
      <c r="F4073" s="85">
        <v>2</v>
      </c>
      <c r="G4073" s="85">
        <f>--(F4073&lt;=Estimator!$B$7)</f>
        <v>1</v>
      </c>
      <c r="H4073" s="86">
        <f>SUMIFS('Climate Data'!$G$7:$G$366,'Climate Data'!$A$7:$A$366,Estimator!$B$4,'Climate Data'!$B$7:$B$366,C4073)</f>
        <v>0.18867924528301885</v>
      </c>
      <c r="I4073" s="87">
        <f>SUMIFS('Climate Data'!$H$7:$H$366,'Climate Data'!$A$7:$A$366,Estimator!$B$4,'Climate Data'!$B$7:$B$366,C4073)</f>
        <v>7.4624999999999995</v>
      </c>
      <c r="J4073" s="86">
        <f>SUMIFS('Wind Proxy'!$H$8:$H$19,'Wind Proxy'!$A$8:$A$19,Estimator!$B$4,'Wind Proxy'!$B$8:$B$19,C4073)</f>
        <v>0</v>
      </c>
    </row>
    <row r="4074" spans="1:10" ht="14.4">
      <c r="A4074" s="84">
        <v>49725</v>
      </c>
      <c r="B4074" s="85">
        <v>2036</v>
      </c>
      <c r="C4074" s="85">
        <v>2</v>
      </c>
      <c r="D4074" s="85" t="s">
        <v>58</v>
      </c>
      <c r="E4074" s="85">
        <v>20</v>
      </c>
      <c r="F4074" s="85">
        <v>3</v>
      </c>
      <c r="G4074" s="85">
        <f>--(F4074&lt;=Estimator!$B$7)</f>
        <v>1</v>
      </c>
      <c r="H4074" s="86">
        <f>SUMIFS('Climate Data'!$G$7:$G$366,'Climate Data'!$A$7:$A$366,Estimator!$B$4,'Climate Data'!$B$7:$B$366,C4074)</f>
        <v>0.18867924528301885</v>
      </c>
      <c r="I4074" s="87">
        <f>SUMIFS('Climate Data'!$H$7:$H$366,'Climate Data'!$A$7:$A$366,Estimator!$B$4,'Climate Data'!$B$7:$B$366,C4074)</f>
        <v>7.4624999999999995</v>
      </c>
      <c r="J4074" s="86">
        <f>SUMIFS('Wind Proxy'!$H$8:$H$19,'Wind Proxy'!$A$8:$A$19,Estimator!$B$4,'Wind Proxy'!$B$8:$B$19,C4074)</f>
        <v>0</v>
      </c>
    </row>
    <row r="4075" spans="1:10" ht="14.4">
      <c r="A4075" s="84">
        <v>49726</v>
      </c>
      <c r="B4075" s="85">
        <v>2036</v>
      </c>
      <c r="C4075" s="85">
        <v>2</v>
      </c>
      <c r="D4075" s="85" t="s">
        <v>58</v>
      </c>
      <c r="E4075" s="85">
        <v>21</v>
      </c>
      <c r="F4075" s="85">
        <v>4</v>
      </c>
      <c r="G4075" s="85">
        <f>--(F4075&lt;=Estimator!$B$7)</f>
        <v>1</v>
      </c>
      <c r="H4075" s="86">
        <f>SUMIFS('Climate Data'!$G$7:$G$366,'Climate Data'!$A$7:$A$366,Estimator!$B$4,'Climate Data'!$B$7:$B$366,C4075)</f>
        <v>0.18867924528301885</v>
      </c>
      <c r="I4075" s="87">
        <f>SUMIFS('Climate Data'!$H$7:$H$366,'Climate Data'!$A$7:$A$366,Estimator!$B$4,'Climate Data'!$B$7:$B$366,C4075)</f>
        <v>7.4624999999999995</v>
      </c>
      <c r="J4075" s="86">
        <f>SUMIFS('Wind Proxy'!$H$8:$H$19,'Wind Proxy'!$A$8:$A$19,Estimator!$B$4,'Wind Proxy'!$B$8:$B$19,C4075)</f>
        <v>0</v>
      </c>
    </row>
    <row r="4076" spans="1:10" ht="14.4">
      <c r="A4076" s="84">
        <v>49727</v>
      </c>
      <c r="B4076" s="85">
        <v>2036</v>
      </c>
      <c r="C4076" s="85">
        <v>2</v>
      </c>
      <c r="D4076" s="85" t="s">
        <v>58</v>
      </c>
      <c r="E4076" s="85">
        <v>22</v>
      </c>
      <c r="F4076" s="85">
        <v>5</v>
      </c>
      <c r="G4076" s="85">
        <f>--(F4076&lt;=Estimator!$B$7)</f>
        <v>1</v>
      </c>
      <c r="H4076" s="86">
        <f>SUMIFS('Climate Data'!$G$7:$G$366,'Climate Data'!$A$7:$A$366,Estimator!$B$4,'Climate Data'!$B$7:$B$366,C4076)</f>
        <v>0.18867924528301885</v>
      </c>
      <c r="I4076" s="87">
        <f>SUMIFS('Climate Data'!$H$7:$H$366,'Climate Data'!$A$7:$A$366,Estimator!$B$4,'Climate Data'!$B$7:$B$366,C4076)</f>
        <v>7.4624999999999995</v>
      </c>
      <c r="J4076" s="86">
        <f>SUMIFS('Wind Proxy'!$H$8:$H$19,'Wind Proxy'!$A$8:$A$19,Estimator!$B$4,'Wind Proxy'!$B$8:$B$19,C4076)</f>
        <v>0</v>
      </c>
    </row>
    <row r="4077" spans="1:10" ht="14.4">
      <c r="A4077" s="84">
        <v>49728</v>
      </c>
      <c r="B4077" s="85">
        <v>2036</v>
      </c>
      <c r="C4077" s="85">
        <v>2</v>
      </c>
      <c r="D4077" s="85" t="s">
        <v>58</v>
      </c>
      <c r="E4077" s="85">
        <v>23</v>
      </c>
      <c r="F4077" s="85">
        <v>6</v>
      </c>
      <c r="G4077" s="85">
        <f>--(F4077&lt;=Estimator!$B$7)</f>
        <v>0</v>
      </c>
      <c r="H4077" s="86">
        <f>SUMIFS('Climate Data'!$G$7:$G$366,'Climate Data'!$A$7:$A$366,Estimator!$B$4,'Climate Data'!$B$7:$B$366,C4077)</f>
        <v>0.18867924528301885</v>
      </c>
      <c r="I4077" s="87">
        <f>SUMIFS('Climate Data'!$H$7:$H$366,'Climate Data'!$A$7:$A$366,Estimator!$B$4,'Climate Data'!$B$7:$B$366,C4077)</f>
        <v>7.4624999999999995</v>
      </c>
      <c r="J4077" s="86">
        <f>SUMIFS('Wind Proxy'!$H$8:$H$19,'Wind Proxy'!$A$8:$A$19,Estimator!$B$4,'Wind Proxy'!$B$8:$B$19,C4077)</f>
        <v>0</v>
      </c>
    </row>
    <row r="4078" spans="1:10" ht="14.4">
      <c r="A4078" s="84">
        <v>49729</v>
      </c>
      <c r="B4078" s="85">
        <v>2036</v>
      </c>
      <c r="C4078" s="85">
        <v>2</v>
      </c>
      <c r="D4078" s="85" t="s">
        <v>58</v>
      </c>
      <c r="E4078" s="85">
        <v>24</v>
      </c>
      <c r="F4078" s="85">
        <v>7</v>
      </c>
      <c r="G4078" s="85">
        <f>--(F4078&lt;=Estimator!$B$7)</f>
        <v>0</v>
      </c>
      <c r="H4078" s="86">
        <f>SUMIFS('Climate Data'!$G$7:$G$366,'Climate Data'!$A$7:$A$366,Estimator!$B$4,'Climate Data'!$B$7:$B$366,C4078)</f>
        <v>0.18867924528301885</v>
      </c>
      <c r="I4078" s="87">
        <f>SUMIFS('Climate Data'!$H$7:$H$366,'Climate Data'!$A$7:$A$366,Estimator!$B$4,'Climate Data'!$B$7:$B$366,C4078)</f>
        <v>7.4624999999999995</v>
      </c>
      <c r="J4078" s="86">
        <f>SUMIFS('Wind Proxy'!$H$8:$H$19,'Wind Proxy'!$A$8:$A$19,Estimator!$B$4,'Wind Proxy'!$B$8:$B$19,C4078)</f>
        <v>0</v>
      </c>
    </row>
    <row r="4079" spans="1:10" ht="14.4">
      <c r="A4079" s="84">
        <v>49730</v>
      </c>
      <c r="B4079" s="85">
        <v>2036</v>
      </c>
      <c r="C4079" s="85">
        <v>2</v>
      </c>
      <c r="D4079" s="85" t="s">
        <v>58</v>
      </c>
      <c r="E4079" s="85">
        <v>25</v>
      </c>
      <c r="F4079" s="85">
        <v>1</v>
      </c>
      <c r="G4079" s="85">
        <f>--(F4079&lt;=Estimator!$B$7)</f>
        <v>1</v>
      </c>
      <c r="H4079" s="86">
        <f>SUMIFS('Climate Data'!$G$7:$G$366,'Climate Data'!$A$7:$A$366,Estimator!$B$4,'Climate Data'!$B$7:$B$366,C4079)</f>
        <v>0.18867924528301885</v>
      </c>
      <c r="I4079" s="87">
        <f>SUMIFS('Climate Data'!$H$7:$H$366,'Climate Data'!$A$7:$A$366,Estimator!$B$4,'Climate Data'!$B$7:$B$366,C4079)</f>
        <v>7.4624999999999995</v>
      </c>
      <c r="J4079" s="86">
        <f>SUMIFS('Wind Proxy'!$H$8:$H$19,'Wind Proxy'!$A$8:$A$19,Estimator!$B$4,'Wind Proxy'!$B$8:$B$19,C4079)</f>
        <v>0</v>
      </c>
    </row>
    <row r="4080" spans="1:10" ht="14.4">
      <c r="A4080" s="84">
        <v>49731</v>
      </c>
      <c r="B4080" s="85">
        <v>2036</v>
      </c>
      <c r="C4080" s="85">
        <v>2</v>
      </c>
      <c r="D4080" s="85" t="s">
        <v>58</v>
      </c>
      <c r="E4080" s="85">
        <v>26</v>
      </c>
      <c r="F4080" s="85">
        <v>2</v>
      </c>
      <c r="G4080" s="85">
        <f>--(F4080&lt;=Estimator!$B$7)</f>
        <v>1</v>
      </c>
      <c r="H4080" s="86">
        <f>SUMIFS('Climate Data'!$G$7:$G$366,'Climate Data'!$A$7:$A$366,Estimator!$B$4,'Climate Data'!$B$7:$B$366,C4080)</f>
        <v>0.18867924528301885</v>
      </c>
      <c r="I4080" s="87">
        <f>SUMIFS('Climate Data'!$H$7:$H$366,'Climate Data'!$A$7:$A$366,Estimator!$B$4,'Climate Data'!$B$7:$B$366,C4080)</f>
        <v>7.4624999999999995</v>
      </c>
      <c r="J4080" s="86">
        <f>SUMIFS('Wind Proxy'!$H$8:$H$19,'Wind Proxy'!$A$8:$A$19,Estimator!$B$4,'Wind Proxy'!$B$8:$B$19,C4080)</f>
        <v>0</v>
      </c>
    </row>
    <row r="4081" spans="1:10" ht="14.4">
      <c r="A4081" s="84">
        <v>49732</v>
      </c>
      <c r="B4081" s="85">
        <v>2036</v>
      </c>
      <c r="C4081" s="85">
        <v>2</v>
      </c>
      <c r="D4081" s="85" t="s">
        <v>58</v>
      </c>
      <c r="E4081" s="85">
        <v>27</v>
      </c>
      <c r="F4081" s="85">
        <v>3</v>
      </c>
      <c r="G4081" s="85">
        <f>--(F4081&lt;=Estimator!$B$7)</f>
        <v>1</v>
      </c>
      <c r="H4081" s="86">
        <f>SUMIFS('Climate Data'!$G$7:$G$366,'Climate Data'!$A$7:$A$366,Estimator!$B$4,'Climate Data'!$B$7:$B$366,C4081)</f>
        <v>0.18867924528301885</v>
      </c>
      <c r="I4081" s="87">
        <f>SUMIFS('Climate Data'!$H$7:$H$366,'Climate Data'!$A$7:$A$366,Estimator!$B$4,'Climate Data'!$B$7:$B$366,C4081)</f>
        <v>7.4624999999999995</v>
      </c>
      <c r="J4081" s="86">
        <f>SUMIFS('Wind Proxy'!$H$8:$H$19,'Wind Proxy'!$A$8:$A$19,Estimator!$B$4,'Wind Proxy'!$B$8:$B$19,C4081)</f>
        <v>0</v>
      </c>
    </row>
    <row r="4082" spans="1:10" ht="14.4">
      <c r="A4082" s="84">
        <v>49733</v>
      </c>
      <c r="B4082" s="85">
        <v>2036</v>
      </c>
      <c r="C4082" s="85">
        <v>2</v>
      </c>
      <c r="D4082" s="85" t="s">
        <v>58</v>
      </c>
      <c r="E4082" s="85">
        <v>28</v>
      </c>
      <c r="F4082" s="85">
        <v>4</v>
      </c>
      <c r="G4082" s="85">
        <f>--(F4082&lt;=Estimator!$B$7)</f>
        <v>1</v>
      </c>
      <c r="H4082" s="86">
        <f>SUMIFS('Climate Data'!$G$7:$G$366,'Climate Data'!$A$7:$A$366,Estimator!$B$4,'Climate Data'!$B$7:$B$366,C4082)</f>
        <v>0.18867924528301885</v>
      </c>
      <c r="I4082" s="87">
        <f>SUMIFS('Climate Data'!$H$7:$H$366,'Climate Data'!$A$7:$A$366,Estimator!$B$4,'Climate Data'!$B$7:$B$366,C4082)</f>
        <v>7.4624999999999995</v>
      </c>
      <c r="J4082" s="86">
        <f>SUMIFS('Wind Proxy'!$H$8:$H$19,'Wind Proxy'!$A$8:$A$19,Estimator!$B$4,'Wind Proxy'!$B$8:$B$19,C4082)</f>
        <v>0</v>
      </c>
    </row>
    <row r="4083" spans="1:10" ht="14.4">
      <c r="A4083" s="84">
        <v>49734</v>
      </c>
      <c r="B4083" s="85">
        <v>2036</v>
      </c>
      <c r="C4083" s="85">
        <v>2</v>
      </c>
      <c r="D4083" s="85" t="s">
        <v>58</v>
      </c>
      <c r="E4083" s="85">
        <v>29</v>
      </c>
      <c r="F4083" s="85">
        <v>5</v>
      </c>
      <c r="G4083" s="85">
        <f>--(F4083&lt;=Estimator!$B$7)</f>
        <v>1</v>
      </c>
      <c r="H4083" s="86">
        <f>SUMIFS('Climate Data'!$G$7:$G$366,'Climate Data'!$A$7:$A$366,Estimator!$B$4,'Climate Data'!$B$7:$B$366,C4083)</f>
        <v>0.18867924528301885</v>
      </c>
      <c r="I4083" s="87">
        <f>SUMIFS('Climate Data'!$H$7:$H$366,'Climate Data'!$A$7:$A$366,Estimator!$B$4,'Climate Data'!$B$7:$B$366,C4083)</f>
        <v>7.4624999999999995</v>
      </c>
      <c r="J4083" s="86">
        <f>SUMIFS('Wind Proxy'!$H$8:$H$19,'Wind Proxy'!$A$8:$A$19,Estimator!$B$4,'Wind Proxy'!$B$8:$B$19,C4083)</f>
        <v>0</v>
      </c>
    </row>
    <row r="4084" spans="1:10" ht="14.4">
      <c r="A4084" s="84">
        <v>49735</v>
      </c>
      <c r="B4084" s="85">
        <v>2036</v>
      </c>
      <c r="C4084" s="85">
        <v>3</v>
      </c>
      <c r="D4084" s="85" t="s">
        <v>60</v>
      </c>
      <c r="E4084" s="85">
        <v>1</v>
      </c>
      <c r="F4084" s="85">
        <v>6</v>
      </c>
      <c r="G4084" s="85">
        <f>--(F4084&lt;=Estimator!$B$7)</f>
        <v>0</v>
      </c>
      <c r="H4084" s="86">
        <f>SUMIFS('Climate Data'!$G$7:$G$366,'Climate Data'!$A$7:$A$366,Estimator!$B$4,'Climate Data'!$B$7:$B$366,C4084)</f>
        <v>0.18494623655913978</v>
      </c>
      <c r="I4084" s="87">
        <f>SUMIFS('Climate Data'!$H$7:$H$366,'Climate Data'!$A$7:$A$366,Estimator!$B$4,'Climate Data'!$B$7:$B$366,C4084)</f>
        <v>7.8662790697674421</v>
      </c>
      <c r="J4084" s="86">
        <f>SUMIFS('Wind Proxy'!$H$8:$H$19,'Wind Proxy'!$A$8:$A$19,Estimator!$B$4,'Wind Proxy'!$B$8:$B$19,C4084)</f>
        <v>0</v>
      </c>
    </row>
    <row r="4085" spans="1:10" ht="14.4">
      <c r="A4085" s="84">
        <v>49736</v>
      </c>
      <c r="B4085" s="85">
        <v>2036</v>
      </c>
      <c r="C4085" s="85">
        <v>3</v>
      </c>
      <c r="D4085" s="85" t="s">
        <v>60</v>
      </c>
      <c r="E4085" s="85">
        <v>2</v>
      </c>
      <c r="F4085" s="85">
        <v>7</v>
      </c>
      <c r="G4085" s="85">
        <f>--(F4085&lt;=Estimator!$B$7)</f>
        <v>0</v>
      </c>
      <c r="H4085" s="86">
        <f>SUMIFS('Climate Data'!$G$7:$G$366,'Climate Data'!$A$7:$A$366,Estimator!$B$4,'Climate Data'!$B$7:$B$366,C4085)</f>
        <v>0.18494623655913978</v>
      </c>
      <c r="I4085" s="87">
        <f>SUMIFS('Climate Data'!$H$7:$H$366,'Climate Data'!$A$7:$A$366,Estimator!$B$4,'Climate Data'!$B$7:$B$366,C4085)</f>
        <v>7.8662790697674421</v>
      </c>
      <c r="J4085" s="86">
        <f>SUMIFS('Wind Proxy'!$H$8:$H$19,'Wind Proxy'!$A$8:$A$19,Estimator!$B$4,'Wind Proxy'!$B$8:$B$19,C4085)</f>
        <v>0</v>
      </c>
    </row>
    <row r="4086" spans="1:10" ht="14.4">
      <c r="A4086" s="84">
        <v>49737</v>
      </c>
      <c r="B4086" s="85">
        <v>2036</v>
      </c>
      <c r="C4086" s="85">
        <v>3</v>
      </c>
      <c r="D4086" s="85" t="s">
        <v>60</v>
      </c>
      <c r="E4086" s="85">
        <v>3</v>
      </c>
      <c r="F4086" s="85">
        <v>1</v>
      </c>
      <c r="G4086" s="85">
        <f>--(F4086&lt;=Estimator!$B$7)</f>
        <v>1</v>
      </c>
      <c r="H4086" s="86">
        <f>SUMIFS('Climate Data'!$G$7:$G$366,'Climate Data'!$A$7:$A$366,Estimator!$B$4,'Climate Data'!$B$7:$B$366,C4086)</f>
        <v>0.18494623655913978</v>
      </c>
      <c r="I4086" s="87">
        <f>SUMIFS('Climate Data'!$H$7:$H$366,'Climate Data'!$A$7:$A$366,Estimator!$B$4,'Climate Data'!$B$7:$B$366,C4086)</f>
        <v>7.8662790697674421</v>
      </c>
      <c r="J4086" s="86">
        <f>SUMIFS('Wind Proxy'!$H$8:$H$19,'Wind Proxy'!$A$8:$A$19,Estimator!$B$4,'Wind Proxy'!$B$8:$B$19,C4086)</f>
        <v>0</v>
      </c>
    </row>
    <row r="4087" spans="1:10" ht="14.4">
      <c r="A4087" s="84">
        <v>49738</v>
      </c>
      <c r="B4087" s="85">
        <v>2036</v>
      </c>
      <c r="C4087" s="85">
        <v>3</v>
      </c>
      <c r="D4087" s="85" t="s">
        <v>60</v>
      </c>
      <c r="E4087" s="85">
        <v>4</v>
      </c>
      <c r="F4087" s="85">
        <v>2</v>
      </c>
      <c r="G4087" s="85">
        <f>--(F4087&lt;=Estimator!$B$7)</f>
        <v>1</v>
      </c>
      <c r="H4087" s="86">
        <f>SUMIFS('Climate Data'!$G$7:$G$366,'Climate Data'!$A$7:$A$366,Estimator!$B$4,'Climate Data'!$B$7:$B$366,C4087)</f>
        <v>0.18494623655913978</v>
      </c>
      <c r="I4087" s="87">
        <f>SUMIFS('Climate Data'!$H$7:$H$366,'Climate Data'!$A$7:$A$366,Estimator!$B$4,'Climate Data'!$B$7:$B$366,C4087)</f>
        <v>7.8662790697674421</v>
      </c>
      <c r="J4087" s="86">
        <f>SUMIFS('Wind Proxy'!$H$8:$H$19,'Wind Proxy'!$A$8:$A$19,Estimator!$B$4,'Wind Proxy'!$B$8:$B$19,C4087)</f>
        <v>0</v>
      </c>
    </row>
    <row r="4088" spans="1:10" ht="14.4">
      <c r="A4088" s="84">
        <v>49739</v>
      </c>
      <c r="B4088" s="85">
        <v>2036</v>
      </c>
      <c r="C4088" s="85">
        <v>3</v>
      </c>
      <c r="D4088" s="85" t="s">
        <v>60</v>
      </c>
      <c r="E4088" s="85">
        <v>5</v>
      </c>
      <c r="F4088" s="85">
        <v>3</v>
      </c>
      <c r="G4088" s="85">
        <f>--(F4088&lt;=Estimator!$B$7)</f>
        <v>1</v>
      </c>
      <c r="H4088" s="86">
        <f>SUMIFS('Climate Data'!$G$7:$G$366,'Climate Data'!$A$7:$A$366,Estimator!$B$4,'Climate Data'!$B$7:$B$366,C4088)</f>
        <v>0.18494623655913978</v>
      </c>
      <c r="I4088" s="87">
        <f>SUMIFS('Climate Data'!$H$7:$H$366,'Climate Data'!$A$7:$A$366,Estimator!$B$4,'Climate Data'!$B$7:$B$366,C4088)</f>
        <v>7.8662790697674421</v>
      </c>
      <c r="J4088" s="86">
        <f>SUMIFS('Wind Proxy'!$H$8:$H$19,'Wind Proxy'!$A$8:$A$19,Estimator!$B$4,'Wind Proxy'!$B$8:$B$19,C4088)</f>
        <v>0</v>
      </c>
    </row>
    <row r="4089" spans="1:10" ht="14.4">
      <c r="A4089" s="84">
        <v>49740</v>
      </c>
      <c r="B4089" s="85">
        <v>2036</v>
      </c>
      <c r="C4089" s="85">
        <v>3</v>
      </c>
      <c r="D4089" s="85" t="s">
        <v>60</v>
      </c>
      <c r="E4089" s="85">
        <v>6</v>
      </c>
      <c r="F4089" s="85">
        <v>4</v>
      </c>
      <c r="G4089" s="85">
        <f>--(F4089&lt;=Estimator!$B$7)</f>
        <v>1</v>
      </c>
      <c r="H4089" s="86">
        <f>SUMIFS('Climate Data'!$G$7:$G$366,'Climate Data'!$A$7:$A$366,Estimator!$B$4,'Climate Data'!$B$7:$B$366,C4089)</f>
        <v>0.18494623655913978</v>
      </c>
      <c r="I4089" s="87">
        <f>SUMIFS('Climate Data'!$H$7:$H$366,'Climate Data'!$A$7:$A$366,Estimator!$B$4,'Climate Data'!$B$7:$B$366,C4089)</f>
        <v>7.8662790697674421</v>
      </c>
      <c r="J4089" s="86">
        <f>SUMIFS('Wind Proxy'!$H$8:$H$19,'Wind Proxy'!$A$8:$A$19,Estimator!$B$4,'Wind Proxy'!$B$8:$B$19,C4089)</f>
        <v>0</v>
      </c>
    </row>
    <row r="4090" spans="1:10" ht="14.4">
      <c r="A4090" s="84">
        <v>49741</v>
      </c>
      <c r="B4090" s="85">
        <v>2036</v>
      </c>
      <c r="C4090" s="85">
        <v>3</v>
      </c>
      <c r="D4090" s="85" t="s">
        <v>60</v>
      </c>
      <c r="E4090" s="85">
        <v>7</v>
      </c>
      <c r="F4090" s="85">
        <v>5</v>
      </c>
      <c r="G4090" s="85">
        <f>--(F4090&lt;=Estimator!$B$7)</f>
        <v>1</v>
      </c>
      <c r="H4090" s="86">
        <f>SUMIFS('Climate Data'!$G$7:$G$366,'Climate Data'!$A$7:$A$366,Estimator!$B$4,'Climate Data'!$B$7:$B$366,C4090)</f>
        <v>0.18494623655913978</v>
      </c>
      <c r="I4090" s="87">
        <f>SUMIFS('Climate Data'!$H$7:$H$366,'Climate Data'!$A$7:$A$366,Estimator!$B$4,'Climate Data'!$B$7:$B$366,C4090)</f>
        <v>7.8662790697674421</v>
      </c>
      <c r="J4090" s="86">
        <f>SUMIFS('Wind Proxy'!$H$8:$H$19,'Wind Proxy'!$A$8:$A$19,Estimator!$B$4,'Wind Proxy'!$B$8:$B$19,C4090)</f>
        <v>0</v>
      </c>
    </row>
    <row r="4091" spans="1:10" ht="14.4">
      <c r="A4091" s="84">
        <v>49742</v>
      </c>
      <c r="B4091" s="85">
        <v>2036</v>
      </c>
      <c r="C4091" s="85">
        <v>3</v>
      </c>
      <c r="D4091" s="85" t="s">
        <v>60</v>
      </c>
      <c r="E4091" s="85">
        <v>8</v>
      </c>
      <c r="F4091" s="85">
        <v>6</v>
      </c>
      <c r="G4091" s="85">
        <f>--(F4091&lt;=Estimator!$B$7)</f>
        <v>0</v>
      </c>
      <c r="H4091" s="86">
        <f>SUMIFS('Climate Data'!$G$7:$G$366,'Climate Data'!$A$7:$A$366,Estimator!$B$4,'Climate Data'!$B$7:$B$366,C4091)</f>
        <v>0.18494623655913978</v>
      </c>
      <c r="I4091" s="87">
        <f>SUMIFS('Climate Data'!$H$7:$H$366,'Climate Data'!$A$7:$A$366,Estimator!$B$4,'Climate Data'!$B$7:$B$366,C4091)</f>
        <v>7.8662790697674421</v>
      </c>
      <c r="J4091" s="86">
        <f>SUMIFS('Wind Proxy'!$H$8:$H$19,'Wind Proxy'!$A$8:$A$19,Estimator!$B$4,'Wind Proxy'!$B$8:$B$19,C4091)</f>
        <v>0</v>
      </c>
    </row>
    <row r="4092" spans="1:10" ht="14.4">
      <c r="A4092" s="84">
        <v>49743</v>
      </c>
      <c r="B4092" s="85">
        <v>2036</v>
      </c>
      <c r="C4092" s="85">
        <v>3</v>
      </c>
      <c r="D4092" s="85" t="s">
        <v>60</v>
      </c>
      <c r="E4092" s="85">
        <v>9</v>
      </c>
      <c r="F4092" s="85">
        <v>7</v>
      </c>
      <c r="G4092" s="85">
        <f>--(F4092&lt;=Estimator!$B$7)</f>
        <v>0</v>
      </c>
      <c r="H4092" s="86">
        <f>SUMIFS('Climate Data'!$G$7:$G$366,'Climate Data'!$A$7:$A$366,Estimator!$B$4,'Climate Data'!$B$7:$B$366,C4092)</f>
        <v>0.18494623655913978</v>
      </c>
      <c r="I4092" s="87">
        <f>SUMIFS('Climate Data'!$H$7:$H$366,'Climate Data'!$A$7:$A$366,Estimator!$B$4,'Climate Data'!$B$7:$B$366,C4092)</f>
        <v>7.8662790697674421</v>
      </c>
      <c r="J4092" s="86">
        <f>SUMIFS('Wind Proxy'!$H$8:$H$19,'Wind Proxy'!$A$8:$A$19,Estimator!$B$4,'Wind Proxy'!$B$8:$B$19,C4092)</f>
        <v>0</v>
      </c>
    </row>
    <row r="4093" spans="1:10" ht="14.4">
      <c r="A4093" s="84">
        <v>49744</v>
      </c>
      <c r="B4093" s="85">
        <v>2036</v>
      </c>
      <c r="C4093" s="85">
        <v>3</v>
      </c>
      <c r="D4093" s="85" t="s">
        <v>60</v>
      </c>
      <c r="E4093" s="85">
        <v>10</v>
      </c>
      <c r="F4093" s="85">
        <v>1</v>
      </c>
      <c r="G4093" s="85">
        <f>--(F4093&lt;=Estimator!$B$7)</f>
        <v>1</v>
      </c>
      <c r="H4093" s="86">
        <f>SUMIFS('Climate Data'!$G$7:$G$366,'Climate Data'!$A$7:$A$366,Estimator!$B$4,'Climate Data'!$B$7:$B$366,C4093)</f>
        <v>0.18494623655913978</v>
      </c>
      <c r="I4093" s="87">
        <f>SUMIFS('Climate Data'!$H$7:$H$366,'Climate Data'!$A$7:$A$366,Estimator!$B$4,'Climate Data'!$B$7:$B$366,C4093)</f>
        <v>7.8662790697674421</v>
      </c>
      <c r="J4093" s="86">
        <f>SUMIFS('Wind Proxy'!$H$8:$H$19,'Wind Proxy'!$A$8:$A$19,Estimator!$B$4,'Wind Proxy'!$B$8:$B$19,C4093)</f>
        <v>0</v>
      </c>
    </row>
    <row r="4094" spans="1:10" ht="14.4">
      <c r="A4094" s="84">
        <v>49745</v>
      </c>
      <c r="B4094" s="85">
        <v>2036</v>
      </c>
      <c r="C4094" s="85">
        <v>3</v>
      </c>
      <c r="D4094" s="85" t="s">
        <v>60</v>
      </c>
      <c r="E4094" s="85">
        <v>11</v>
      </c>
      <c r="F4094" s="85">
        <v>2</v>
      </c>
      <c r="G4094" s="85">
        <f>--(F4094&lt;=Estimator!$B$7)</f>
        <v>1</v>
      </c>
      <c r="H4094" s="86">
        <f>SUMIFS('Climate Data'!$G$7:$G$366,'Climate Data'!$A$7:$A$366,Estimator!$B$4,'Climate Data'!$B$7:$B$366,C4094)</f>
        <v>0.18494623655913978</v>
      </c>
      <c r="I4094" s="87">
        <f>SUMIFS('Climate Data'!$H$7:$H$366,'Climate Data'!$A$7:$A$366,Estimator!$B$4,'Climate Data'!$B$7:$B$366,C4094)</f>
        <v>7.8662790697674421</v>
      </c>
      <c r="J4094" s="86">
        <f>SUMIFS('Wind Proxy'!$H$8:$H$19,'Wind Proxy'!$A$8:$A$19,Estimator!$B$4,'Wind Proxy'!$B$8:$B$19,C4094)</f>
        <v>0</v>
      </c>
    </row>
    <row r="4095" spans="1:10" ht="14.4">
      <c r="A4095" s="84">
        <v>49746</v>
      </c>
      <c r="B4095" s="85">
        <v>2036</v>
      </c>
      <c r="C4095" s="85">
        <v>3</v>
      </c>
      <c r="D4095" s="85" t="s">
        <v>60</v>
      </c>
      <c r="E4095" s="85">
        <v>12</v>
      </c>
      <c r="F4095" s="85">
        <v>3</v>
      </c>
      <c r="G4095" s="85">
        <f>--(F4095&lt;=Estimator!$B$7)</f>
        <v>1</v>
      </c>
      <c r="H4095" s="86">
        <f>SUMIFS('Climate Data'!$G$7:$G$366,'Climate Data'!$A$7:$A$366,Estimator!$B$4,'Climate Data'!$B$7:$B$366,C4095)</f>
        <v>0.18494623655913978</v>
      </c>
      <c r="I4095" s="87">
        <f>SUMIFS('Climate Data'!$H$7:$H$366,'Climate Data'!$A$7:$A$366,Estimator!$B$4,'Climate Data'!$B$7:$B$366,C4095)</f>
        <v>7.8662790697674421</v>
      </c>
      <c r="J4095" s="86">
        <f>SUMIFS('Wind Proxy'!$H$8:$H$19,'Wind Proxy'!$A$8:$A$19,Estimator!$B$4,'Wind Proxy'!$B$8:$B$19,C4095)</f>
        <v>0</v>
      </c>
    </row>
    <row r="4096" spans="1:10" ht="14.4">
      <c r="A4096" s="84">
        <v>49747</v>
      </c>
      <c r="B4096" s="85">
        <v>2036</v>
      </c>
      <c r="C4096" s="85">
        <v>3</v>
      </c>
      <c r="D4096" s="85" t="s">
        <v>60</v>
      </c>
      <c r="E4096" s="85">
        <v>13</v>
      </c>
      <c r="F4096" s="85">
        <v>4</v>
      </c>
      <c r="G4096" s="85">
        <f>--(F4096&lt;=Estimator!$B$7)</f>
        <v>1</v>
      </c>
      <c r="H4096" s="86">
        <f>SUMIFS('Climate Data'!$G$7:$G$366,'Climate Data'!$A$7:$A$366,Estimator!$B$4,'Climate Data'!$B$7:$B$366,C4096)</f>
        <v>0.18494623655913978</v>
      </c>
      <c r="I4096" s="87">
        <f>SUMIFS('Climate Data'!$H$7:$H$366,'Climate Data'!$A$7:$A$366,Estimator!$B$4,'Climate Data'!$B$7:$B$366,C4096)</f>
        <v>7.8662790697674421</v>
      </c>
      <c r="J4096" s="86">
        <f>SUMIFS('Wind Proxy'!$H$8:$H$19,'Wind Proxy'!$A$8:$A$19,Estimator!$B$4,'Wind Proxy'!$B$8:$B$19,C4096)</f>
        <v>0</v>
      </c>
    </row>
    <row r="4097" spans="1:10" ht="14.4">
      <c r="A4097" s="84">
        <v>49748</v>
      </c>
      <c r="B4097" s="85">
        <v>2036</v>
      </c>
      <c r="C4097" s="85">
        <v>3</v>
      </c>
      <c r="D4097" s="85" t="s">
        <v>60</v>
      </c>
      <c r="E4097" s="85">
        <v>14</v>
      </c>
      <c r="F4097" s="85">
        <v>5</v>
      </c>
      <c r="G4097" s="85">
        <f>--(F4097&lt;=Estimator!$B$7)</f>
        <v>1</v>
      </c>
      <c r="H4097" s="86">
        <f>SUMIFS('Climate Data'!$G$7:$G$366,'Climate Data'!$A$7:$A$366,Estimator!$B$4,'Climate Data'!$B$7:$B$366,C4097)</f>
        <v>0.18494623655913978</v>
      </c>
      <c r="I4097" s="87">
        <f>SUMIFS('Climate Data'!$H$7:$H$366,'Climate Data'!$A$7:$A$366,Estimator!$B$4,'Climate Data'!$B$7:$B$366,C4097)</f>
        <v>7.8662790697674421</v>
      </c>
      <c r="J4097" s="86">
        <f>SUMIFS('Wind Proxy'!$H$8:$H$19,'Wind Proxy'!$A$8:$A$19,Estimator!$B$4,'Wind Proxy'!$B$8:$B$19,C4097)</f>
        <v>0</v>
      </c>
    </row>
    <row r="4098" spans="1:10" ht="14.4">
      <c r="A4098" s="84">
        <v>49749</v>
      </c>
      <c r="B4098" s="85">
        <v>2036</v>
      </c>
      <c r="C4098" s="85">
        <v>3</v>
      </c>
      <c r="D4098" s="85" t="s">
        <v>60</v>
      </c>
      <c r="E4098" s="85">
        <v>15</v>
      </c>
      <c r="F4098" s="85">
        <v>6</v>
      </c>
      <c r="G4098" s="85">
        <f>--(F4098&lt;=Estimator!$B$7)</f>
        <v>0</v>
      </c>
      <c r="H4098" s="86">
        <f>SUMIFS('Climate Data'!$G$7:$G$366,'Climate Data'!$A$7:$A$366,Estimator!$B$4,'Climate Data'!$B$7:$B$366,C4098)</f>
        <v>0.18494623655913978</v>
      </c>
      <c r="I4098" s="87">
        <f>SUMIFS('Climate Data'!$H$7:$H$366,'Climate Data'!$A$7:$A$366,Estimator!$B$4,'Climate Data'!$B$7:$B$366,C4098)</f>
        <v>7.8662790697674421</v>
      </c>
      <c r="J4098" s="86">
        <f>SUMIFS('Wind Proxy'!$H$8:$H$19,'Wind Proxy'!$A$8:$A$19,Estimator!$B$4,'Wind Proxy'!$B$8:$B$19,C4098)</f>
        <v>0</v>
      </c>
    </row>
    <row r="4099" spans="1:10" ht="14.4">
      <c r="A4099" s="84">
        <v>49750</v>
      </c>
      <c r="B4099" s="85">
        <v>2036</v>
      </c>
      <c r="C4099" s="85">
        <v>3</v>
      </c>
      <c r="D4099" s="85" t="s">
        <v>60</v>
      </c>
      <c r="E4099" s="85">
        <v>16</v>
      </c>
      <c r="F4099" s="85">
        <v>7</v>
      </c>
      <c r="G4099" s="85">
        <f>--(F4099&lt;=Estimator!$B$7)</f>
        <v>0</v>
      </c>
      <c r="H4099" s="86">
        <f>SUMIFS('Climate Data'!$G$7:$G$366,'Climate Data'!$A$7:$A$366,Estimator!$B$4,'Climate Data'!$B$7:$B$366,C4099)</f>
        <v>0.18494623655913978</v>
      </c>
      <c r="I4099" s="87">
        <f>SUMIFS('Climate Data'!$H$7:$H$366,'Climate Data'!$A$7:$A$366,Estimator!$B$4,'Climate Data'!$B$7:$B$366,C4099)</f>
        <v>7.8662790697674421</v>
      </c>
      <c r="J4099" s="86">
        <f>SUMIFS('Wind Proxy'!$H$8:$H$19,'Wind Proxy'!$A$8:$A$19,Estimator!$B$4,'Wind Proxy'!$B$8:$B$19,C4099)</f>
        <v>0</v>
      </c>
    </row>
    <row r="4100" spans="1:10" ht="14.4">
      <c r="A4100" s="84">
        <v>49751</v>
      </c>
      <c r="B4100" s="85">
        <v>2036</v>
      </c>
      <c r="C4100" s="85">
        <v>3</v>
      </c>
      <c r="D4100" s="85" t="s">
        <v>60</v>
      </c>
      <c r="E4100" s="85">
        <v>17</v>
      </c>
      <c r="F4100" s="85">
        <v>1</v>
      </c>
      <c r="G4100" s="85">
        <f>--(F4100&lt;=Estimator!$B$7)</f>
        <v>1</v>
      </c>
      <c r="H4100" s="86">
        <f>SUMIFS('Climate Data'!$G$7:$G$366,'Climate Data'!$A$7:$A$366,Estimator!$B$4,'Climate Data'!$B$7:$B$366,C4100)</f>
        <v>0.18494623655913978</v>
      </c>
      <c r="I4100" s="87">
        <f>SUMIFS('Climate Data'!$H$7:$H$366,'Climate Data'!$A$7:$A$366,Estimator!$B$4,'Climate Data'!$B$7:$B$366,C4100)</f>
        <v>7.8662790697674421</v>
      </c>
      <c r="J4100" s="86">
        <f>SUMIFS('Wind Proxy'!$H$8:$H$19,'Wind Proxy'!$A$8:$A$19,Estimator!$B$4,'Wind Proxy'!$B$8:$B$19,C4100)</f>
        <v>0</v>
      </c>
    </row>
    <row r="4101" spans="1:10" ht="14.4">
      <c r="A4101" s="84">
        <v>49752</v>
      </c>
      <c r="B4101" s="85">
        <v>2036</v>
      </c>
      <c r="C4101" s="85">
        <v>3</v>
      </c>
      <c r="D4101" s="85" t="s">
        <v>60</v>
      </c>
      <c r="E4101" s="85">
        <v>18</v>
      </c>
      <c r="F4101" s="85">
        <v>2</v>
      </c>
      <c r="G4101" s="85">
        <f>--(F4101&lt;=Estimator!$B$7)</f>
        <v>1</v>
      </c>
      <c r="H4101" s="86">
        <f>SUMIFS('Climate Data'!$G$7:$G$366,'Climate Data'!$A$7:$A$366,Estimator!$B$4,'Climate Data'!$B$7:$B$366,C4101)</f>
        <v>0.18494623655913978</v>
      </c>
      <c r="I4101" s="87">
        <f>SUMIFS('Climate Data'!$H$7:$H$366,'Climate Data'!$A$7:$A$366,Estimator!$B$4,'Climate Data'!$B$7:$B$366,C4101)</f>
        <v>7.8662790697674421</v>
      </c>
      <c r="J4101" s="86">
        <f>SUMIFS('Wind Proxy'!$H$8:$H$19,'Wind Proxy'!$A$8:$A$19,Estimator!$B$4,'Wind Proxy'!$B$8:$B$19,C4101)</f>
        <v>0</v>
      </c>
    </row>
    <row r="4102" spans="1:10" ht="14.4">
      <c r="A4102" s="84">
        <v>49753</v>
      </c>
      <c r="B4102" s="85">
        <v>2036</v>
      </c>
      <c r="C4102" s="85">
        <v>3</v>
      </c>
      <c r="D4102" s="85" t="s">
        <v>60</v>
      </c>
      <c r="E4102" s="85">
        <v>19</v>
      </c>
      <c r="F4102" s="85">
        <v>3</v>
      </c>
      <c r="G4102" s="85">
        <f>--(F4102&lt;=Estimator!$B$7)</f>
        <v>1</v>
      </c>
      <c r="H4102" s="86">
        <f>SUMIFS('Climate Data'!$G$7:$G$366,'Climate Data'!$A$7:$A$366,Estimator!$B$4,'Climate Data'!$B$7:$B$366,C4102)</f>
        <v>0.18494623655913978</v>
      </c>
      <c r="I4102" s="87">
        <f>SUMIFS('Climate Data'!$H$7:$H$366,'Climate Data'!$A$7:$A$366,Estimator!$B$4,'Climate Data'!$B$7:$B$366,C4102)</f>
        <v>7.8662790697674421</v>
      </c>
      <c r="J4102" s="86">
        <f>SUMIFS('Wind Proxy'!$H$8:$H$19,'Wind Proxy'!$A$8:$A$19,Estimator!$B$4,'Wind Proxy'!$B$8:$B$19,C4102)</f>
        <v>0</v>
      </c>
    </row>
    <row r="4103" spans="1:10" ht="14.4">
      <c r="A4103" s="84">
        <v>49754</v>
      </c>
      <c r="B4103" s="85">
        <v>2036</v>
      </c>
      <c r="C4103" s="85">
        <v>3</v>
      </c>
      <c r="D4103" s="85" t="s">
        <v>60</v>
      </c>
      <c r="E4103" s="85">
        <v>20</v>
      </c>
      <c r="F4103" s="85">
        <v>4</v>
      </c>
      <c r="G4103" s="85">
        <f>--(F4103&lt;=Estimator!$B$7)</f>
        <v>1</v>
      </c>
      <c r="H4103" s="86">
        <f>SUMIFS('Climate Data'!$G$7:$G$366,'Climate Data'!$A$7:$A$366,Estimator!$B$4,'Climate Data'!$B$7:$B$366,C4103)</f>
        <v>0.18494623655913978</v>
      </c>
      <c r="I4103" s="87">
        <f>SUMIFS('Climate Data'!$H$7:$H$366,'Climate Data'!$A$7:$A$366,Estimator!$B$4,'Climate Data'!$B$7:$B$366,C4103)</f>
        <v>7.8662790697674421</v>
      </c>
      <c r="J4103" s="86">
        <f>SUMIFS('Wind Proxy'!$H$8:$H$19,'Wind Proxy'!$A$8:$A$19,Estimator!$B$4,'Wind Proxy'!$B$8:$B$19,C4103)</f>
        <v>0</v>
      </c>
    </row>
    <row r="4104" spans="1:10" ht="14.4">
      <c r="A4104" s="84">
        <v>49755</v>
      </c>
      <c r="B4104" s="85">
        <v>2036</v>
      </c>
      <c r="C4104" s="85">
        <v>3</v>
      </c>
      <c r="D4104" s="85" t="s">
        <v>60</v>
      </c>
      <c r="E4104" s="85">
        <v>21</v>
      </c>
      <c r="F4104" s="85">
        <v>5</v>
      </c>
      <c r="G4104" s="85">
        <f>--(F4104&lt;=Estimator!$B$7)</f>
        <v>1</v>
      </c>
      <c r="H4104" s="86">
        <f>SUMIFS('Climate Data'!$G$7:$G$366,'Climate Data'!$A$7:$A$366,Estimator!$B$4,'Climate Data'!$B$7:$B$366,C4104)</f>
        <v>0.18494623655913978</v>
      </c>
      <c r="I4104" s="87">
        <f>SUMIFS('Climate Data'!$H$7:$H$366,'Climate Data'!$A$7:$A$366,Estimator!$B$4,'Climate Data'!$B$7:$B$366,C4104)</f>
        <v>7.8662790697674421</v>
      </c>
      <c r="J4104" s="86">
        <f>SUMIFS('Wind Proxy'!$H$8:$H$19,'Wind Proxy'!$A$8:$A$19,Estimator!$B$4,'Wind Proxy'!$B$8:$B$19,C4104)</f>
        <v>0</v>
      </c>
    </row>
    <row r="4105" spans="1:10" ht="14.4">
      <c r="A4105" s="84">
        <v>49756</v>
      </c>
      <c r="B4105" s="85">
        <v>2036</v>
      </c>
      <c r="C4105" s="85">
        <v>3</v>
      </c>
      <c r="D4105" s="85" t="s">
        <v>60</v>
      </c>
      <c r="E4105" s="85">
        <v>22</v>
      </c>
      <c r="F4105" s="85">
        <v>6</v>
      </c>
      <c r="G4105" s="85">
        <f>--(F4105&lt;=Estimator!$B$7)</f>
        <v>0</v>
      </c>
      <c r="H4105" s="86">
        <f>SUMIFS('Climate Data'!$G$7:$G$366,'Climate Data'!$A$7:$A$366,Estimator!$B$4,'Climate Data'!$B$7:$B$366,C4105)</f>
        <v>0.18494623655913978</v>
      </c>
      <c r="I4105" s="87">
        <f>SUMIFS('Climate Data'!$H$7:$H$366,'Climate Data'!$A$7:$A$366,Estimator!$B$4,'Climate Data'!$B$7:$B$366,C4105)</f>
        <v>7.8662790697674421</v>
      </c>
      <c r="J4105" s="86">
        <f>SUMIFS('Wind Proxy'!$H$8:$H$19,'Wind Proxy'!$A$8:$A$19,Estimator!$B$4,'Wind Proxy'!$B$8:$B$19,C4105)</f>
        <v>0</v>
      </c>
    </row>
    <row r="4106" spans="1:10" ht="14.4">
      <c r="A4106" s="84">
        <v>49757</v>
      </c>
      <c r="B4106" s="85">
        <v>2036</v>
      </c>
      <c r="C4106" s="85">
        <v>3</v>
      </c>
      <c r="D4106" s="85" t="s">
        <v>60</v>
      </c>
      <c r="E4106" s="85">
        <v>23</v>
      </c>
      <c r="F4106" s="85">
        <v>7</v>
      </c>
      <c r="G4106" s="85">
        <f>--(F4106&lt;=Estimator!$B$7)</f>
        <v>0</v>
      </c>
      <c r="H4106" s="86">
        <f>SUMIFS('Climate Data'!$G$7:$G$366,'Climate Data'!$A$7:$A$366,Estimator!$B$4,'Climate Data'!$B$7:$B$366,C4106)</f>
        <v>0.18494623655913978</v>
      </c>
      <c r="I4106" s="87">
        <f>SUMIFS('Climate Data'!$H$7:$H$366,'Climate Data'!$A$7:$A$366,Estimator!$B$4,'Climate Data'!$B$7:$B$366,C4106)</f>
        <v>7.8662790697674421</v>
      </c>
      <c r="J4106" s="86">
        <f>SUMIFS('Wind Proxy'!$H$8:$H$19,'Wind Proxy'!$A$8:$A$19,Estimator!$B$4,'Wind Proxy'!$B$8:$B$19,C4106)</f>
        <v>0</v>
      </c>
    </row>
    <row r="4107" spans="1:10" ht="14.4">
      <c r="A4107" s="84">
        <v>49758</v>
      </c>
      <c r="B4107" s="85">
        <v>2036</v>
      </c>
      <c r="C4107" s="85">
        <v>3</v>
      </c>
      <c r="D4107" s="85" t="s">
        <v>60</v>
      </c>
      <c r="E4107" s="85">
        <v>24</v>
      </c>
      <c r="F4107" s="85">
        <v>1</v>
      </c>
      <c r="G4107" s="85">
        <f>--(F4107&lt;=Estimator!$B$7)</f>
        <v>1</v>
      </c>
      <c r="H4107" s="86">
        <f>SUMIFS('Climate Data'!$G$7:$G$366,'Climate Data'!$A$7:$A$366,Estimator!$B$4,'Climate Data'!$B$7:$B$366,C4107)</f>
        <v>0.18494623655913978</v>
      </c>
      <c r="I4107" s="87">
        <f>SUMIFS('Climate Data'!$H$7:$H$366,'Climate Data'!$A$7:$A$366,Estimator!$B$4,'Climate Data'!$B$7:$B$366,C4107)</f>
        <v>7.8662790697674421</v>
      </c>
      <c r="J4107" s="86">
        <f>SUMIFS('Wind Proxy'!$H$8:$H$19,'Wind Proxy'!$A$8:$A$19,Estimator!$B$4,'Wind Proxy'!$B$8:$B$19,C4107)</f>
        <v>0</v>
      </c>
    </row>
    <row r="4108" spans="1:10" ht="14.4">
      <c r="A4108" s="84">
        <v>49759</v>
      </c>
      <c r="B4108" s="85">
        <v>2036</v>
      </c>
      <c r="C4108" s="85">
        <v>3</v>
      </c>
      <c r="D4108" s="85" t="s">
        <v>60</v>
      </c>
      <c r="E4108" s="85">
        <v>25</v>
      </c>
      <c r="F4108" s="85">
        <v>2</v>
      </c>
      <c r="G4108" s="85">
        <f>--(F4108&lt;=Estimator!$B$7)</f>
        <v>1</v>
      </c>
      <c r="H4108" s="86">
        <f>SUMIFS('Climate Data'!$G$7:$G$366,'Climate Data'!$A$7:$A$366,Estimator!$B$4,'Climate Data'!$B$7:$B$366,C4108)</f>
        <v>0.18494623655913978</v>
      </c>
      <c r="I4108" s="87">
        <f>SUMIFS('Climate Data'!$H$7:$H$366,'Climate Data'!$A$7:$A$366,Estimator!$B$4,'Climate Data'!$B$7:$B$366,C4108)</f>
        <v>7.8662790697674421</v>
      </c>
      <c r="J4108" s="86">
        <f>SUMIFS('Wind Proxy'!$H$8:$H$19,'Wind Proxy'!$A$8:$A$19,Estimator!$B$4,'Wind Proxy'!$B$8:$B$19,C4108)</f>
        <v>0</v>
      </c>
    </row>
    <row r="4109" spans="1:10" ht="14.4">
      <c r="A4109" s="84">
        <v>49760</v>
      </c>
      <c r="B4109" s="85">
        <v>2036</v>
      </c>
      <c r="C4109" s="85">
        <v>3</v>
      </c>
      <c r="D4109" s="85" t="s">
        <v>60</v>
      </c>
      <c r="E4109" s="85">
        <v>26</v>
      </c>
      <c r="F4109" s="85">
        <v>3</v>
      </c>
      <c r="G4109" s="85">
        <f>--(F4109&lt;=Estimator!$B$7)</f>
        <v>1</v>
      </c>
      <c r="H4109" s="86">
        <f>SUMIFS('Climate Data'!$G$7:$G$366,'Climate Data'!$A$7:$A$366,Estimator!$B$4,'Climate Data'!$B$7:$B$366,C4109)</f>
        <v>0.18494623655913978</v>
      </c>
      <c r="I4109" s="87">
        <f>SUMIFS('Climate Data'!$H$7:$H$366,'Climate Data'!$A$7:$A$366,Estimator!$B$4,'Climate Data'!$B$7:$B$366,C4109)</f>
        <v>7.8662790697674421</v>
      </c>
      <c r="J4109" s="86">
        <f>SUMIFS('Wind Proxy'!$H$8:$H$19,'Wind Proxy'!$A$8:$A$19,Estimator!$B$4,'Wind Proxy'!$B$8:$B$19,C4109)</f>
        <v>0</v>
      </c>
    </row>
    <row r="4110" spans="1:10" ht="14.4">
      <c r="A4110" s="84">
        <v>49761</v>
      </c>
      <c r="B4110" s="85">
        <v>2036</v>
      </c>
      <c r="C4110" s="85">
        <v>3</v>
      </c>
      <c r="D4110" s="85" t="s">
        <v>60</v>
      </c>
      <c r="E4110" s="85">
        <v>27</v>
      </c>
      <c r="F4110" s="85">
        <v>4</v>
      </c>
      <c r="G4110" s="85">
        <f>--(F4110&lt;=Estimator!$B$7)</f>
        <v>1</v>
      </c>
      <c r="H4110" s="86">
        <f>SUMIFS('Climate Data'!$G$7:$G$366,'Climate Data'!$A$7:$A$366,Estimator!$B$4,'Climate Data'!$B$7:$B$366,C4110)</f>
        <v>0.18494623655913978</v>
      </c>
      <c r="I4110" s="87">
        <f>SUMIFS('Climate Data'!$H$7:$H$366,'Climate Data'!$A$7:$A$366,Estimator!$B$4,'Climate Data'!$B$7:$B$366,C4110)</f>
        <v>7.8662790697674421</v>
      </c>
      <c r="J4110" s="86">
        <f>SUMIFS('Wind Proxy'!$H$8:$H$19,'Wind Proxy'!$A$8:$A$19,Estimator!$B$4,'Wind Proxy'!$B$8:$B$19,C4110)</f>
        <v>0</v>
      </c>
    </row>
    <row r="4111" spans="1:10" ht="14.4">
      <c r="A4111" s="84">
        <v>49762</v>
      </c>
      <c r="B4111" s="85">
        <v>2036</v>
      </c>
      <c r="C4111" s="85">
        <v>3</v>
      </c>
      <c r="D4111" s="85" t="s">
        <v>60</v>
      </c>
      <c r="E4111" s="85">
        <v>28</v>
      </c>
      <c r="F4111" s="85">
        <v>5</v>
      </c>
      <c r="G4111" s="85">
        <f>--(F4111&lt;=Estimator!$B$7)</f>
        <v>1</v>
      </c>
      <c r="H4111" s="86">
        <f>SUMIFS('Climate Data'!$G$7:$G$366,'Climate Data'!$A$7:$A$366,Estimator!$B$4,'Climate Data'!$B$7:$B$366,C4111)</f>
        <v>0.18494623655913978</v>
      </c>
      <c r="I4111" s="87">
        <f>SUMIFS('Climate Data'!$H$7:$H$366,'Climate Data'!$A$7:$A$366,Estimator!$B$4,'Climate Data'!$B$7:$B$366,C4111)</f>
        <v>7.8662790697674421</v>
      </c>
      <c r="J4111" s="86">
        <f>SUMIFS('Wind Proxy'!$H$8:$H$19,'Wind Proxy'!$A$8:$A$19,Estimator!$B$4,'Wind Proxy'!$B$8:$B$19,C4111)</f>
        <v>0</v>
      </c>
    </row>
    <row r="4112" spans="1:10" ht="14.4">
      <c r="A4112" s="84">
        <v>49763</v>
      </c>
      <c r="B4112" s="85">
        <v>2036</v>
      </c>
      <c r="C4112" s="85">
        <v>3</v>
      </c>
      <c r="D4112" s="85" t="s">
        <v>60</v>
      </c>
      <c r="E4112" s="85">
        <v>29</v>
      </c>
      <c r="F4112" s="85">
        <v>6</v>
      </c>
      <c r="G4112" s="85">
        <f>--(F4112&lt;=Estimator!$B$7)</f>
        <v>0</v>
      </c>
      <c r="H4112" s="86">
        <f>SUMIFS('Climate Data'!$G$7:$G$366,'Climate Data'!$A$7:$A$366,Estimator!$B$4,'Climate Data'!$B$7:$B$366,C4112)</f>
        <v>0.18494623655913978</v>
      </c>
      <c r="I4112" s="87">
        <f>SUMIFS('Climate Data'!$H$7:$H$366,'Climate Data'!$A$7:$A$366,Estimator!$B$4,'Climate Data'!$B$7:$B$366,C4112)</f>
        <v>7.8662790697674421</v>
      </c>
      <c r="J4112" s="86">
        <f>SUMIFS('Wind Proxy'!$H$8:$H$19,'Wind Proxy'!$A$8:$A$19,Estimator!$B$4,'Wind Proxy'!$B$8:$B$19,C4112)</f>
        <v>0</v>
      </c>
    </row>
    <row r="4113" spans="1:10" ht="14.4">
      <c r="A4113" s="84">
        <v>49764</v>
      </c>
      <c r="B4113" s="85">
        <v>2036</v>
      </c>
      <c r="C4113" s="85">
        <v>3</v>
      </c>
      <c r="D4113" s="85" t="s">
        <v>60</v>
      </c>
      <c r="E4113" s="85">
        <v>30</v>
      </c>
      <c r="F4113" s="85">
        <v>7</v>
      </c>
      <c r="G4113" s="85">
        <f>--(F4113&lt;=Estimator!$B$7)</f>
        <v>0</v>
      </c>
      <c r="H4113" s="86">
        <f>SUMIFS('Climate Data'!$G$7:$G$366,'Climate Data'!$A$7:$A$366,Estimator!$B$4,'Climate Data'!$B$7:$B$366,C4113)</f>
        <v>0.18494623655913978</v>
      </c>
      <c r="I4113" s="87">
        <f>SUMIFS('Climate Data'!$H$7:$H$366,'Climate Data'!$A$7:$A$366,Estimator!$B$4,'Climate Data'!$B$7:$B$366,C4113)</f>
        <v>7.8662790697674421</v>
      </c>
      <c r="J4113" s="86">
        <f>SUMIFS('Wind Proxy'!$H$8:$H$19,'Wind Proxy'!$A$8:$A$19,Estimator!$B$4,'Wind Proxy'!$B$8:$B$19,C4113)</f>
        <v>0</v>
      </c>
    </row>
    <row r="4114" spans="1:10" ht="14.4">
      <c r="A4114" s="84">
        <v>49765</v>
      </c>
      <c r="B4114" s="85">
        <v>2036</v>
      </c>
      <c r="C4114" s="85">
        <v>3</v>
      </c>
      <c r="D4114" s="85" t="s">
        <v>60</v>
      </c>
      <c r="E4114" s="85">
        <v>31</v>
      </c>
      <c r="F4114" s="85">
        <v>1</v>
      </c>
      <c r="G4114" s="85">
        <f>--(F4114&lt;=Estimator!$B$7)</f>
        <v>1</v>
      </c>
      <c r="H4114" s="86">
        <f>SUMIFS('Climate Data'!$G$7:$G$366,'Climate Data'!$A$7:$A$366,Estimator!$B$4,'Climate Data'!$B$7:$B$366,C4114)</f>
        <v>0.18494623655913978</v>
      </c>
      <c r="I4114" s="87">
        <f>SUMIFS('Climate Data'!$H$7:$H$366,'Climate Data'!$A$7:$A$366,Estimator!$B$4,'Climate Data'!$B$7:$B$366,C4114)</f>
        <v>7.8662790697674421</v>
      </c>
      <c r="J4114" s="86">
        <f>SUMIFS('Wind Proxy'!$H$8:$H$19,'Wind Proxy'!$A$8:$A$19,Estimator!$B$4,'Wind Proxy'!$B$8:$B$19,C4114)</f>
        <v>0</v>
      </c>
    </row>
    <row r="4115" spans="1:10" ht="14.4">
      <c r="A4115" s="84">
        <v>49766</v>
      </c>
      <c r="B4115" s="85">
        <v>2036</v>
      </c>
      <c r="C4115" s="85">
        <v>4</v>
      </c>
      <c r="D4115" s="85" t="s">
        <v>62</v>
      </c>
      <c r="E4115" s="85">
        <v>1</v>
      </c>
      <c r="F4115" s="85">
        <v>2</v>
      </c>
      <c r="G4115" s="85">
        <f>--(F4115&lt;=Estimator!$B$7)</f>
        <v>1</v>
      </c>
      <c r="H4115" s="86">
        <f>SUMIFS('Climate Data'!$G$7:$G$366,'Climate Data'!$A$7:$A$366,Estimator!$B$4,'Climate Data'!$B$7:$B$366,C4115)</f>
        <v>0.25555555555555559</v>
      </c>
      <c r="I4115" s="87">
        <f>SUMIFS('Climate Data'!$H$7:$H$366,'Climate Data'!$A$7:$A$366,Estimator!$B$4,'Climate Data'!$B$7:$B$366,C4115)</f>
        <v>7.5</v>
      </c>
      <c r="J4115" s="86">
        <f>SUMIFS('Wind Proxy'!$H$8:$H$19,'Wind Proxy'!$A$8:$A$19,Estimator!$B$4,'Wind Proxy'!$B$8:$B$19,C4115)</f>
        <v>0</v>
      </c>
    </row>
    <row r="4116" spans="1:10" ht="14.4">
      <c r="A4116" s="84">
        <v>49767</v>
      </c>
      <c r="B4116" s="85">
        <v>2036</v>
      </c>
      <c r="C4116" s="85">
        <v>4</v>
      </c>
      <c r="D4116" s="85" t="s">
        <v>62</v>
      </c>
      <c r="E4116" s="85">
        <v>2</v>
      </c>
      <c r="F4116" s="85">
        <v>3</v>
      </c>
      <c r="G4116" s="85">
        <f>--(F4116&lt;=Estimator!$B$7)</f>
        <v>1</v>
      </c>
      <c r="H4116" s="86">
        <f>SUMIFS('Climate Data'!$G$7:$G$366,'Climate Data'!$A$7:$A$366,Estimator!$B$4,'Climate Data'!$B$7:$B$366,C4116)</f>
        <v>0.25555555555555559</v>
      </c>
      <c r="I4116" s="87">
        <f>SUMIFS('Climate Data'!$H$7:$H$366,'Climate Data'!$A$7:$A$366,Estimator!$B$4,'Climate Data'!$B$7:$B$366,C4116)</f>
        <v>7.5</v>
      </c>
      <c r="J4116" s="86">
        <f>SUMIFS('Wind Proxy'!$H$8:$H$19,'Wind Proxy'!$A$8:$A$19,Estimator!$B$4,'Wind Proxy'!$B$8:$B$19,C4116)</f>
        <v>0</v>
      </c>
    </row>
    <row r="4117" spans="1:10" ht="14.4">
      <c r="A4117" s="84">
        <v>49768</v>
      </c>
      <c r="B4117" s="85">
        <v>2036</v>
      </c>
      <c r="C4117" s="85">
        <v>4</v>
      </c>
      <c r="D4117" s="85" t="s">
        <v>62</v>
      </c>
      <c r="E4117" s="85">
        <v>3</v>
      </c>
      <c r="F4117" s="85">
        <v>4</v>
      </c>
      <c r="G4117" s="85">
        <f>--(F4117&lt;=Estimator!$B$7)</f>
        <v>1</v>
      </c>
      <c r="H4117" s="86">
        <f>SUMIFS('Climate Data'!$G$7:$G$366,'Climate Data'!$A$7:$A$366,Estimator!$B$4,'Climate Data'!$B$7:$B$366,C4117)</f>
        <v>0.25555555555555559</v>
      </c>
      <c r="I4117" s="87">
        <f>SUMIFS('Climate Data'!$H$7:$H$366,'Climate Data'!$A$7:$A$366,Estimator!$B$4,'Climate Data'!$B$7:$B$366,C4117)</f>
        <v>7.5</v>
      </c>
      <c r="J4117" s="86">
        <f>SUMIFS('Wind Proxy'!$H$8:$H$19,'Wind Proxy'!$A$8:$A$19,Estimator!$B$4,'Wind Proxy'!$B$8:$B$19,C4117)</f>
        <v>0</v>
      </c>
    </row>
    <row r="4118" spans="1:10" ht="14.4">
      <c r="A4118" s="84">
        <v>49769</v>
      </c>
      <c r="B4118" s="85">
        <v>2036</v>
      </c>
      <c r="C4118" s="85">
        <v>4</v>
      </c>
      <c r="D4118" s="85" t="s">
        <v>62</v>
      </c>
      <c r="E4118" s="85">
        <v>4</v>
      </c>
      <c r="F4118" s="85">
        <v>5</v>
      </c>
      <c r="G4118" s="85">
        <f>--(F4118&lt;=Estimator!$B$7)</f>
        <v>1</v>
      </c>
      <c r="H4118" s="86">
        <f>SUMIFS('Climate Data'!$G$7:$G$366,'Climate Data'!$A$7:$A$366,Estimator!$B$4,'Climate Data'!$B$7:$B$366,C4118)</f>
        <v>0.25555555555555559</v>
      </c>
      <c r="I4118" s="87">
        <f>SUMIFS('Climate Data'!$H$7:$H$366,'Climate Data'!$A$7:$A$366,Estimator!$B$4,'Climate Data'!$B$7:$B$366,C4118)</f>
        <v>7.5</v>
      </c>
      <c r="J4118" s="86">
        <f>SUMIFS('Wind Proxy'!$H$8:$H$19,'Wind Proxy'!$A$8:$A$19,Estimator!$B$4,'Wind Proxy'!$B$8:$B$19,C4118)</f>
        <v>0</v>
      </c>
    </row>
    <row r="4119" spans="1:10" ht="14.4">
      <c r="A4119" s="84">
        <v>49770</v>
      </c>
      <c r="B4119" s="85">
        <v>2036</v>
      </c>
      <c r="C4119" s="85">
        <v>4</v>
      </c>
      <c r="D4119" s="85" t="s">
        <v>62</v>
      </c>
      <c r="E4119" s="85">
        <v>5</v>
      </c>
      <c r="F4119" s="85">
        <v>6</v>
      </c>
      <c r="G4119" s="85">
        <f>--(F4119&lt;=Estimator!$B$7)</f>
        <v>0</v>
      </c>
      <c r="H4119" s="86">
        <f>SUMIFS('Climate Data'!$G$7:$G$366,'Climate Data'!$A$7:$A$366,Estimator!$B$4,'Climate Data'!$B$7:$B$366,C4119)</f>
        <v>0.25555555555555559</v>
      </c>
      <c r="I4119" s="87">
        <f>SUMIFS('Climate Data'!$H$7:$H$366,'Climate Data'!$A$7:$A$366,Estimator!$B$4,'Climate Data'!$B$7:$B$366,C4119)</f>
        <v>7.5</v>
      </c>
      <c r="J4119" s="86">
        <f>SUMIFS('Wind Proxy'!$H$8:$H$19,'Wind Proxy'!$A$8:$A$19,Estimator!$B$4,'Wind Proxy'!$B$8:$B$19,C4119)</f>
        <v>0</v>
      </c>
    </row>
    <row r="4120" spans="1:10" ht="14.4">
      <c r="A4120" s="84">
        <v>49771</v>
      </c>
      <c r="B4120" s="85">
        <v>2036</v>
      </c>
      <c r="C4120" s="85">
        <v>4</v>
      </c>
      <c r="D4120" s="85" t="s">
        <v>62</v>
      </c>
      <c r="E4120" s="85">
        <v>6</v>
      </c>
      <c r="F4120" s="85">
        <v>7</v>
      </c>
      <c r="G4120" s="85">
        <f>--(F4120&lt;=Estimator!$B$7)</f>
        <v>0</v>
      </c>
      <c r="H4120" s="86">
        <f>SUMIFS('Climate Data'!$G$7:$G$366,'Climate Data'!$A$7:$A$366,Estimator!$B$4,'Climate Data'!$B$7:$B$366,C4120)</f>
        <v>0.25555555555555559</v>
      </c>
      <c r="I4120" s="87">
        <f>SUMIFS('Climate Data'!$H$7:$H$366,'Climate Data'!$A$7:$A$366,Estimator!$B$4,'Climate Data'!$B$7:$B$366,C4120)</f>
        <v>7.5</v>
      </c>
      <c r="J4120" s="86">
        <f>SUMIFS('Wind Proxy'!$H$8:$H$19,'Wind Proxy'!$A$8:$A$19,Estimator!$B$4,'Wind Proxy'!$B$8:$B$19,C4120)</f>
        <v>0</v>
      </c>
    </row>
    <row r="4121" spans="1:10" ht="14.4">
      <c r="A4121" s="84">
        <v>49772</v>
      </c>
      <c r="B4121" s="85">
        <v>2036</v>
      </c>
      <c r="C4121" s="85">
        <v>4</v>
      </c>
      <c r="D4121" s="85" t="s">
        <v>62</v>
      </c>
      <c r="E4121" s="85">
        <v>7</v>
      </c>
      <c r="F4121" s="85">
        <v>1</v>
      </c>
      <c r="G4121" s="85">
        <f>--(F4121&lt;=Estimator!$B$7)</f>
        <v>1</v>
      </c>
      <c r="H4121" s="86">
        <f>SUMIFS('Climate Data'!$G$7:$G$366,'Climate Data'!$A$7:$A$366,Estimator!$B$4,'Climate Data'!$B$7:$B$366,C4121)</f>
        <v>0.25555555555555559</v>
      </c>
      <c r="I4121" s="87">
        <f>SUMIFS('Climate Data'!$H$7:$H$366,'Climate Data'!$A$7:$A$366,Estimator!$B$4,'Climate Data'!$B$7:$B$366,C4121)</f>
        <v>7.5</v>
      </c>
      <c r="J4121" s="86">
        <f>SUMIFS('Wind Proxy'!$H$8:$H$19,'Wind Proxy'!$A$8:$A$19,Estimator!$B$4,'Wind Proxy'!$B$8:$B$19,C4121)</f>
        <v>0</v>
      </c>
    </row>
    <row r="4122" spans="1:10" ht="14.4">
      <c r="A4122" s="84">
        <v>49773</v>
      </c>
      <c r="B4122" s="85">
        <v>2036</v>
      </c>
      <c r="C4122" s="85">
        <v>4</v>
      </c>
      <c r="D4122" s="85" t="s">
        <v>62</v>
      </c>
      <c r="E4122" s="85">
        <v>8</v>
      </c>
      <c r="F4122" s="85">
        <v>2</v>
      </c>
      <c r="G4122" s="85">
        <f>--(F4122&lt;=Estimator!$B$7)</f>
        <v>1</v>
      </c>
      <c r="H4122" s="86">
        <f>SUMIFS('Climate Data'!$G$7:$G$366,'Climate Data'!$A$7:$A$366,Estimator!$B$4,'Climate Data'!$B$7:$B$366,C4122)</f>
        <v>0.25555555555555559</v>
      </c>
      <c r="I4122" s="87">
        <f>SUMIFS('Climate Data'!$H$7:$H$366,'Climate Data'!$A$7:$A$366,Estimator!$B$4,'Climate Data'!$B$7:$B$366,C4122)</f>
        <v>7.5</v>
      </c>
      <c r="J4122" s="86">
        <f>SUMIFS('Wind Proxy'!$H$8:$H$19,'Wind Proxy'!$A$8:$A$19,Estimator!$B$4,'Wind Proxy'!$B$8:$B$19,C4122)</f>
        <v>0</v>
      </c>
    </row>
    <row r="4123" spans="1:10" ht="14.4">
      <c r="A4123" s="84">
        <v>49774</v>
      </c>
      <c r="B4123" s="85">
        <v>2036</v>
      </c>
      <c r="C4123" s="85">
        <v>4</v>
      </c>
      <c r="D4123" s="85" t="s">
        <v>62</v>
      </c>
      <c r="E4123" s="85">
        <v>9</v>
      </c>
      <c r="F4123" s="85">
        <v>3</v>
      </c>
      <c r="G4123" s="85">
        <f>--(F4123&lt;=Estimator!$B$7)</f>
        <v>1</v>
      </c>
      <c r="H4123" s="86">
        <f>SUMIFS('Climate Data'!$G$7:$G$366,'Climate Data'!$A$7:$A$366,Estimator!$B$4,'Climate Data'!$B$7:$B$366,C4123)</f>
        <v>0.25555555555555559</v>
      </c>
      <c r="I4123" s="87">
        <f>SUMIFS('Climate Data'!$H$7:$H$366,'Climate Data'!$A$7:$A$366,Estimator!$B$4,'Climate Data'!$B$7:$B$366,C4123)</f>
        <v>7.5</v>
      </c>
      <c r="J4123" s="86">
        <f>SUMIFS('Wind Proxy'!$H$8:$H$19,'Wind Proxy'!$A$8:$A$19,Estimator!$B$4,'Wind Proxy'!$B$8:$B$19,C4123)</f>
        <v>0</v>
      </c>
    </row>
    <row r="4124" spans="1:10" ht="14.4">
      <c r="A4124" s="84">
        <v>49775</v>
      </c>
      <c r="B4124" s="85">
        <v>2036</v>
      </c>
      <c r="C4124" s="85">
        <v>4</v>
      </c>
      <c r="D4124" s="85" t="s">
        <v>62</v>
      </c>
      <c r="E4124" s="85">
        <v>10</v>
      </c>
      <c r="F4124" s="85">
        <v>4</v>
      </c>
      <c r="G4124" s="85">
        <f>--(F4124&lt;=Estimator!$B$7)</f>
        <v>1</v>
      </c>
      <c r="H4124" s="86">
        <f>SUMIFS('Climate Data'!$G$7:$G$366,'Climate Data'!$A$7:$A$366,Estimator!$B$4,'Climate Data'!$B$7:$B$366,C4124)</f>
        <v>0.25555555555555559</v>
      </c>
      <c r="I4124" s="87">
        <f>SUMIFS('Climate Data'!$H$7:$H$366,'Climate Data'!$A$7:$A$366,Estimator!$B$4,'Climate Data'!$B$7:$B$366,C4124)</f>
        <v>7.5</v>
      </c>
      <c r="J4124" s="86">
        <f>SUMIFS('Wind Proxy'!$H$8:$H$19,'Wind Proxy'!$A$8:$A$19,Estimator!$B$4,'Wind Proxy'!$B$8:$B$19,C4124)</f>
        <v>0</v>
      </c>
    </row>
    <row r="4125" spans="1:10" ht="14.4">
      <c r="A4125" s="84">
        <v>49776</v>
      </c>
      <c r="B4125" s="85">
        <v>2036</v>
      </c>
      <c r="C4125" s="85">
        <v>4</v>
      </c>
      <c r="D4125" s="85" t="s">
        <v>62</v>
      </c>
      <c r="E4125" s="85">
        <v>11</v>
      </c>
      <c r="F4125" s="85">
        <v>5</v>
      </c>
      <c r="G4125" s="85">
        <f>--(F4125&lt;=Estimator!$B$7)</f>
        <v>1</v>
      </c>
      <c r="H4125" s="86">
        <f>SUMIFS('Climate Data'!$G$7:$G$366,'Climate Data'!$A$7:$A$366,Estimator!$B$4,'Climate Data'!$B$7:$B$366,C4125)</f>
        <v>0.25555555555555559</v>
      </c>
      <c r="I4125" s="87">
        <f>SUMIFS('Climate Data'!$H$7:$H$366,'Climate Data'!$A$7:$A$366,Estimator!$B$4,'Climate Data'!$B$7:$B$366,C4125)</f>
        <v>7.5</v>
      </c>
      <c r="J4125" s="86">
        <f>SUMIFS('Wind Proxy'!$H$8:$H$19,'Wind Proxy'!$A$8:$A$19,Estimator!$B$4,'Wind Proxy'!$B$8:$B$19,C4125)</f>
        <v>0</v>
      </c>
    </row>
    <row r="4126" spans="1:10" ht="14.4">
      <c r="A4126" s="84">
        <v>49777</v>
      </c>
      <c r="B4126" s="85">
        <v>2036</v>
      </c>
      <c r="C4126" s="85">
        <v>4</v>
      </c>
      <c r="D4126" s="85" t="s">
        <v>62</v>
      </c>
      <c r="E4126" s="85">
        <v>12</v>
      </c>
      <c r="F4126" s="85">
        <v>6</v>
      </c>
      <c r="G4126" s="85">
        <f>--(F4126&lt;=Estimator!$B$7)</f>
        <v>0</v>
      </c>
      <c r="H4126" s="86">
        <f>SUMIFS('Climate Data'!$G$7:$G$366,'Climate Data'!$A$7:$A$366,Estimator!$B$4,'Climate Data'!$B$7:$B$366,C4126)</f>
        <v>0.25555555555555559</v>
      </c>
      <c r="I4126" s="87">
        <f>SUMIFS('Climate Data'!$H$7:$H$366,'Climate Data'!$A$7:$A$366,Estimator!$B$4,'Climate Data'!$B$7:$B$366,C4126)</f>
        <v>7.5</v>
      </c>
      <c r="J4126" s="86">
        <f>SUMIFS('Wind Proxy'!$H$8:$H$19,'Wind Proxy'!$A$8:$A$19,Estimator!$B$4,'Wind Proxy'!$B$8:$B$19,C4126)</f>
        <v>0</v>
      </c>
    </row>
    <row r="4127" spans="1:10" ht="14.4">
      <c r="A4127" s="84">
        <v>49778</v>
      </c>
      <c r="B4127" s="85">
        <v>2036</v>
      </c>
      <c r="C4127" s="85">
        <v>4</v>
      </c>
      <c r="D4127" s="85" t="s">
        <v>62</v>
      </c>
      <c r="E4127" s="85">
        <v>13</v>
      </c>
      <c r="F4127" s="85">
        <v>7</v>
      </c>
      <c r="G4127" s="85">
        <f>--(F4127&lt;=Estimator!$B$7)</f>
        <v>0</v>
      </c>
      <c r="H4127" s="86">
        <f>SUMIFS('Climate Data'!$G$7:$G$366,'Climate Data'!$A$7:$A$366,Estimator!$B$4,'Climate Data'!$B$7:$B$366,C4127)</f>
        <v>0.25555555555555559</v>
      </c>
      <c r="I4127" s="87">
        <f>SUMIFS('Climate Data'!$H$7:$H$366,'Climate Data'!$A$7:$A$366,Estimator!$B$4,'Climate Data'!$B$7:$B$366,C4127)</f>
        <v>7.5</v>
      </c>
      <c r="J4127" s="86">
        <f>SUMIFS('Wind Proxy'!$H$8:$H$19,'Wind Proxy'!$A$8:$A$19,Estimator!$B$4,'Wind Proxy'!$B$8:$B$19,C4127)</f>
        <v>0</v>
      </c>
    </row>
    <row r="4128" spans="1:10" ht="14.4">
      <c r="A4128" s="84">
        <v>49779</v>
      </c>
      <c r="B4128" s="85">
        <v>2036</v>
      </c>
      <c r="C4128" s="85">
        <v>4</v>
      </c>
      <c r="D4128" s="85" t="s">
        <v>62</v>
      </c>
      <c r="E4128" s="85">
        <v>14</v>
      </c>
      <c r="F4128" s="85">
        <v>1</v>
      </c>
      <c r="G4128" s="85">
        <f>--(F4128&lt;=Estimator!$B$7)</f>
        <v>1</v>
      </c>
      <c r="H4128" s="86">
        <f>SUMIFS('Climate Data'!$G$7:$G$366,'Climate Data'!$A$7:$A$366,Estimator!$B$4,'Climate Data'!$B$7:$B$366,C4128)</f>
        <v>0.25555555555555559</v>
      </c>
      <c r="I4128" s="87">
        <f>SUMIFS('Climate Data'!$H$7:$H$366,'Climate Data'!$A$7:$A$366,Estimator!$B$4,'Climate Data'!$B$7:$B$366,C4128)</f>
        <v>7.5</v>
      </c>
      <c r="J4128" s="86">
        <f>SUMIFS('Wind Proxy'!$H$8:$H$19,'Wind Proxy'!$A$8:$A$19,Estimator!$B$4,'Wind Proxy'!$B$8:$B$19,C4128)</f>
        <v>0</v>
      </c>
    </row>
    <row r="4129" spans="1:10" ht="14.4">
      <c r="A4129" s="84">
        <v>49780</v>
      </c>
      <c r="B4129" s="85">
        <v>2036</v>
      </c>
      <c r="C4129" s="85">
        <v>4</v>
      </c>
      <c r="D4129" s="85" t="s">
        <v>62</v>
      </c>
      <c r="E4129" s="85">
        <v>15</v>
      </c>
      <c r="F4129" s="85">
        <v>2</v>
      </c>
      <c r="G4129" s="85">
        <f>--(F4129&lt;=Estimator!$B$7)</f>
        <v>1</v>
      </c>
      <c r="H4129" s="86">
        <f>SUMIFS('Climate Data'!$G$7:$G$366,'Climate Data'!$A$7:$A$366,Estimator!$B$4,'Climate Data'!$B$7:$B$366,C4129)</f>
        <v>0.25555555555555559</v>
      </c>
      <c r="I4129" s="87">
        <f>SUMIFS('Climate Data'!$H$7:$H$366,'Climate Data'!$A$7:$A$366,Estimator!$B$4,'Climate Data'!$B$7:$B$366,C4129)</f>
        <v>7.5</v>
      </c>
      <c r="J4129" s="86">
        <f>SUMIFS('Wind Proxy'!$H$8:$H$19,'Wind Proxy'!$A$8:$A$19,Estimator!$B$4,'Wind Proxy'!$B$8:$B$19,C4129)</f>
        <v>0</v>
      </c>
    </row>
    <row r="4130" spans="1:10" ht="14.4">
      <c r="A4130" s="84">
        <v>49781</v>
      </c>
      <c r="B4130" s="85">
        <v>2036</v>
      </c>
      <c r="C4130" s="85">
        <v>4</v>
      </c>
      <c r="D4130" s="85" t="s">
        <v>62</v>
      </c>
      <c r="E4130" s="85">
        <v>16</v>
      </c>
      <c r="F4130" s="85">
        <v>3</v>
      </c>
      <c r="G4130" s="85">
        <f>--(F4130&lt;=Estimator!$B$7)</f>
        <v>1</v>
      </c>
      <c r="H4130" s="86">
        <f>SUMIFS('Climate Data'!$G$7:$G$366,'Climate Data'!$A$7:$A$366,Estimator!$B$4,'Climate Data'!$B$7:$B$366,C4130)</f>
        <v>0.25555555555555559</v>
      </c>
      <c r="I4130" s="87">
        <f>SUMIFS('Climate Data'!$H$7:$H$366,'Climate Data'!$A$7:$A$366,Estimator!$B$4,'Climate Data'!$B$7:$B$366,C4130)</f>
        <v>7.5</v>
      </c>
      <c r="J4130" s="86">
        <f>SUMIFS('Wind Proxy'!$H$8:$H$19,'Wind Proxy'!$A$8:$A$19,Estimator!$B$4,'Wind Proxy'!$B$8:$B$19,C4130)</f>
        <v>0</v>
      </c>
    </row>
    <row r="4131" spans="1:10" ht="14.4">
      <c r="A4131" s="84">
        <v>49782</v>
      </c>
      <c r="B4131" s="85">
        <v>2036</v>
      </c>
      <c r="C4131" s="85">
        <v>4</v>
      </c>
      <c r="D4131" s="85" t="s">
        <v>62</v>
      </c>
      <c r="E4131" s="85">
        <v>17</v>
      </c>
      <c r="F4131" s="85">
        <v>4</v>
      </c>
      <c r="G4131" s="85">
        <f>--(F4131&lt;=Estimator!$B$7)</f>
        <v>1</v>
      </c>
      <c r="H4131" s="86">
        <f>SUMIFS('Climate Data'!$G$7:$G$366,'Climate Data'!$A$7:$A$366,Estimator!$B$4,'Climate Data'!$B$7:$B$366,C4131)</f>
        <v>0.25555555555555559</v>
      </c>
      <c r="I4131" s="87">
        <f>SUMIFS('Climate Data'!$H$7:$H$366,'Climate Data'!$A$7:$A$366,Estimator!$B$4,'Climate Data'!$B$7:$B$366,C4131)</f>
        <v>7.5</v>
      </c>
      <c r="J4131" s="86">
        <f>SUMIFS('Wind Proxy'!$H$8:$H$19,'Wind Proxy'!$A$8:$A$19,Estimator!$B$4,'Wind Proxy'!$B$8:$B$19,C4131)</f>
        <v>0</v>
      </c>
    </row>
    <row r="4132" spans="1:10" ht="14.4">
      <c r="A4132" s="84">
        <v>49783</v>
      </c>
      <c r="B4132" s="85">
        <v>2036</v>
      </c>
      <c r="C4132" s="85">
        <v>4</v>
      </c>
      <c r="D4132" s="85" t="s">
        <v>62</v>
      </c>
      <c r="E4132" s="85">
        <v>18</v>
      </c>
      <c r="F4132" s="85">
        <v>5</v>
      </c>
      <c r="G4132" s="85">
        <f>--(F4132&lt;=Estimator!$B$7)</f>
        <v>1</v>
      </c>
      <c r="H4132" s="86">
        <f>SUMIFS('Climate Data'!$G$7:$G$366,'Climate Data'!$A$7:$A$366,Estimator!$B$4,'Climate Data'!$B$7:$B$366,C4132)</f>
        <v>0.25555555555555559</v>
      </c>
      <c r="I4132" s="87">
        <f>SUMIFS('Climate Data'!$H$7:$H$366,'Climate Data'!$A$7:$A$366,Estimator!$B$4,'Climate Data'!$B$7:$B$366,C4132)</f>
        <v>7.5</v>
      </c>
      <c r="J4132" s="86">
        <f>SUMIFS('Wind Proxy'!$H$8:$H$19,'Wind Proxy'!$A$8:$A$19,Estimator!$B$4,'Wind Proxy'!$B$8:$B$19,C4132)</f>
        <v>0</v>
      </c>
    </row>
    <row r="4133" spans="1:10" ht="14.4">
      <c r="A4133" s="84">
        <v>49784</v>
      </c>
      <c r="B4133" s="85">
        <v>2036</v>
      </c>
      <c r="C4133" s="85">
        <v>4</v>
      </c>
      <c r="D4133" s="85" t="s">
        <v>62</v>
      </c>
      <c r="E4133" s="85">
        <v>19</v>
      </c>
      <c r="F4133" s="85">
        <v>6</v>
      </c>
      <c r="G4133" s="85">
        <f>--(F4133&lt;=Estimator!$B$7)</f>
        <v>0</v>
      </c>
      <c r="H4133" s="86">
        <f>SUMIFS('Climate Data'!$G$7:$G$366,'Climate Data'!$A$7:$A$366,Estimator!$B$4,'Climate Data'!$B$7:$B$366,C4133)</f>
        <v>0.25555555555555559</v>
      </c>
      <c r="I4133" s="87">
        <f>SUMIFS('Climate Data'!$H$7:$H$366,'Climate Data'!$A$7:$A$366,Estimator!$B$4,'Climate Data'!$B$7:$B$366,C4133)</f>
        <v>7.5</v>
      </c>
      <c r="J4133" s="86">
        <f>SUMIFS('Wind Proxy'!$H$8:$H$19,'Wind Proxy'!$A$8:$A$19,Estimator!$B$4,'Wind Proxy'!$B$8:$B$19,C4133)</f>
        <v>0</v>
      </c>
    </row>
    <row r="4134" spans="1:10" ht="14.4">
      <c r="A4134" s="84">
        <v>49785</v>
      </c>
      <c r="B4134" s="85">
        <v>2036</v>
      </c>
      <c r="C4134" s="85">
        <v>4</v>
      </c>
      <c r="D4134" s="85" t="s">
        <v>62</v>
      </c>
      <c r="E4134" s="85">
        <v>20</v>
      </c>
      <c r="F4134" s="85">
        <v>7</v>
      </c>
      <c r="G4134" s="85">
        <f>--(F4134&lt;=Estimator!$B$7)</f>
        <v>0</v>
      </c>
      <c r="H4134" s="86">
        <f>SUMIFS('Climate Data'!$G$7:$G$366,'Climate Data'!$A$7:$A$366,Estimator!$B$4,'Climate Data'!$B$7:$B$366,C4134)</f>
        <v>0.25555555555555559</v>
      </c>
      <c r="I4134" s="87">
        <f>SUMIFS('Climate Data'!$H$7:$H$366,'Climate Data'!$A$7:$A$366,Estimator!$B$4,'Climate Data'!$B$7:$B$366,C4134)</f>
        <v>7.5</v>
      </c>
      <c r="J4134" s="86">
        <f>SUMIFS('Wind Proxy'!$H$8:$H$19,'Wind Proxy'!$A$8:$A$19,Estimator!$B$4,'Wind Proxy'!$B$8:$B$19,C4134)</f>
        <v>0</v>
      </c>
    </row>
    <row r="4135" spans="1:10" ht="14.4">
      <c r="A4135" s="84">
        <v>49786</v>
      </c>
      <c r="B4135" s="85">
        <v>2036</v>
      </c>
      <c r="C4135" s="85">
        <v>4</v>
      </c>
      <c r="D4135" s="85" t="s">
        <v>62</v>
      </c>
      <c r="E4135" s="85">
        <v>21</v>
      </c>
      <c r="F4135" s="85">
        <v>1</v>
      </c>
      <c r="G4135" s="85">
        <f>--(F4135&lt;=Estimator!$B$7)</f>
        <v>1</v>
      </c>
      <c r="H4135" s="86">
        <f>SUMIFS('Climate Data'!$G$7:$G$366,'Climate Data'!$A$7:$A$366,Estimator!$B$4,'Climate Data'!$B$7:$B$366,C4135)</f>
        <v>0.25555555555555559</v>
      </c>
      <c r="I4135" s="87">
        <f>SUMIFS('Climate Data'!$H$7:$H$366,'Climate Data'!$A$7:$A$366,Estimator!$B$4,'Climate Data'!$B$7:$B$366,C4135)</f>
        <v>7.5</v>
      </c>
      <c r="J4135" s="86">
        <f>SUMIFS('Wind Proxy'!$H$8:$H$19,'Wind Proxy'!$A$8:$A$19,Estimator!$B$4,'Wind Proxy'!$B$8:$B$19,C4135)</f>
        <v>0</v>
      </c>
    </row>
    <row r="4136" spans="1:10" ht="14.4">
      <c r="A4136" s="84">
        <v>49787</v>
      </c>
      <c r="B4136" s="85">
        <v>2036</v>
      </c>
      <c r="C4136" s="85">
        <v>4</v>
      </c>
      <c r="D4136" s="85" t="s">
        <v>62</v>
      </c>
      <c r="E4136" s="85">
        <v>22</v>
      </c>
      <c r="F4136" s="85">
        <v>2</v>
      </c>
      <c r="G4136" s="85">
        <f>--(F4136&lt;=Estimator!$B$7)</f>
        <v>1</v>
      </c>
      <c r="H4136" s="86">
        <f>SUMIFS('Climate Data'!$G$7:$G$366,'Climate Data'!$A$7:$A$366,Estimator!$B$4,'Climate Data'!$B$7:$B$366,C4136)</f>
        <v>0.25555555555555559</v>
      </c>
      <c r="I4136" s="87">
        <f>SUMIFS('Climate Data'!$H$7:$H$366,'Climate Data'!$A$7:$A$366,Estimator!$B$4,'Climate Data'!$B$7:$B$366,C4136)</f>
        <v>7.5</v>
      </c>
      <c r="J4136" s="86">
        <f>SUMIFS('Wind Proxy'!$H$8:$H$19,'Wind Proxy'!$A$8:$A$19,Estimator!$B$4,'Wind Proxy'!$B$8:$B$19,C4136)</f>
        <v>0</v>
      </c>
    </row>
    <row r="4137" spans="1:10" ht="14.4">
      <c r="A4137" s="84">
        <v>49788</v>
      </c>
      <c r="B4137" s="85">
        <v>2036</v>
      </c>
      <c r="C4137" s="85">
        <v>4</v>
      </c>
      <c r="D4137" s="85" t="s">
        <v>62</v>
      </c>
      <c r="E4137" s="85">
        <v>23</v>
      </c>
      <c r="F4137" s="85">
        <v>3</v>
      </c>
      <c r="G4137" s="85">
        <f>--(F4137&lt;=Estimator!$B$7)</f>
        <v>1</v>
      </c>
      <c r="H4137" s="86">
        <f>SUMIFS('Climate Data'!$G$7:$G$366,'Climate Data'!$A$7:$A$366,Estimator!$B$4,'Climate Data'!$B$7:$B$366,C4137)</f>
        <v>0.25555555555555559</v>
      </c>
      <c r="I4137" s="87">
        <f>SUMIFS('Climate Data'!$H$7:$H$366,'Climate Data'!$A$7:$A$366,Estimator!$B$4,'Climate Data'!$B$7:$B$366,C4137)</f>
        <v>7.5</v>
      </c>
      <c r="J4137" s="86">
        <f>SUMIFS('Wind Proxy'!$H$8:$H$19,'Wind Proxy'!$A$8:$A$19,Estimator!$B$4,'Wind Proxy'!$B$8:$B$19,C4137)</f>
        <v>0</v>
      </c>
    </row>
    <row r="4138" spans="1:10" ht="14.4">
      <c r="A4138" s="84">
        <v>49789</v>
      </c>
      <c r="B4138" s="85">
        <v>2036</v>
      </c>
      <c r="C4138" s="85">
        <v>4</v>
      </c>
      <c r="D4138" s="85" t="s">
        <v>62</v>
      </c>
      <c r="E4138" s="85">
        <v>24</v>
      </c>
      <c r="F4138" s="85">
        <v>4</v>
      </c>
      <c r="G4138" s="85">
        <f>--(F4138&lt;=Estimator!$B$7)</f>
        <v>1</v>
      </c>
      <c r="H4138" s="86">
        <f>SUMIFS('Climate Data'!$G$7:$G$366,'Climate Data'!$A$7:$A$366,Estimator!$B$4,'Climate Data'!$B$7:$B$366,C4138)</f>
        <v>0.25555555555555559</v>
      </c>
      <c r="I4138" s="87">
        <f>SUMIFS('Climate Data'!$H$7:$H$366,'Climate Data'!$A$7:$A$366,Estimator!$B$4,'Climate Data'!$B$7:$B$366,C4138)</f>
        <v>7.5</v>
      </c>
      <c r="J4138" s="86">
        <f>SUMIFS('Wind Proxy'!$H$8:$H$19,'Wind Proxy'!$A$8:$A$19,Estimator!$B$4,'Wind Proxy'!$B$8:$B$19,C4138)</f>
        <v>0</v>
      </c>
    </row>
    <row r="4139" spans="1:10" ht="14.4">
      <c r="A4139" s="84">
        <v>49790</v>
      </c>
      <c r="B4139" s="85">
        <v>2036</v>
      </c>
      <c r="C4139" s="85">
        <v>4</v>
      </c>
      <c r="D4139" s="85" t="s">
        <v>62</v>
      </c>
      <c r="E4139" s="85">
        <v>25</v>
      </c>
      <c r="F4139" s="85">
        <v>5</v>
      </c>
      <c r="G4139" s="85">
        <f>--(F4139&lt;=Estimator!$B$7)</f>
        <v>1</v>
      </c>
      <c r="H4139" s="86">
        <f>SUMIFS('Climate Data'!$G$7:$G$366,'Climate Data'!$A$7:$A$366,Estimator!$B$4,'Climate Data'!$B$7:$B$366,C4139)</f>
        <v>0.25555555555555559</v>
      </c>
      <c r="I4139" s="87">
        <f>SUMIFS('Climate Data'!$H$7:$H$366,'Climate Data'!$A$7:$A$366,Estimator!$B$4,'Climate Data'!$B$7:$B$366,C4139)</f>
        <v>7.5</v>
      </c>
      <c r="J4139" s="86">
        <f>SUMIFS('Wind Proxy'!$H$8:$H$19,'Wind Proxy'!$A$8:$A$19,Estimator!$B$4,'Wind Proxy'!$B$8:$B$19,C4139)</f>
        <v>0</v>
      </c>
    </row>
    <row r="4140" spans="1:10" ht="14.4">
      <c r="A4140" s="84">
        <v>49791</v>
      </c>
      <c r="B4140" s="85">
        <v>2036</v>
      </c>
      <c r="C4140" s="85">
        <v>4</v>
      </c>
      <c r="D4140" s="85" t="s">
        <v>62</v>
      </c>
      <c r="E4140" s="85">
        <v>26</v>
      </c>
      <c r="F4140" s="85">
        <v>6</v>
      </c>
      <c r="G4140" s="85">
        <f>--(F4140&lt;=Estimator!$B$7)</f>
        <v>0</v>
      </c>
      <c r="H4140" s="86">
        <f>SUMIFS('Climate Data'!$G$7:$G$366,'Climate Data'!$A$7:$A$366,Estimator!$B$4,'Climate Data'!$B$7:$B$366,C4140)</f>
        <v>0.25555555555555559</v>
      </c>
      <c r="I4140" s="87">
        <f>SUMIFS('Climate Data'!$H$7:$H$366,'Climate Data'!$A$7:$A$366,Estimator!$B$4,'Climate Data'!$B$7:$B$366,C4140)</f>
        <v>7.5</v>
      </c>
      <c r="J4140" s="86">
        <f>SUMIFS('Wind Proxy'!$H$8:$H$19,'Wind Proxy'!$A$8:$A$19,Estimator!$B$4,'Wind Proxy'!$B$8:$B$19,C4140)</f>
        <v>0</v>
      </c>
    </row>
    <row r="4141" spans="1:10" ht="14.4">
      <c r="A4141" s="84">
        <v>49792</v>
      </c>
      <c r="B4141" s="85">
        <v>2036</v>
      </c>
      <c r="C4141" s="85">
        <v>4</v>
      </c>
      <c r="D4141" s="85" t="s">
        <v>62</v>
      </c>
      <c r="E4141" s="85">
        <v>27</v>
      </c>
      <c r="F4141" s="85">
        <v>7</v>
      </c>
      <c r="G4141" s="85">
        <f>--(F4141&lt;=Estimator!$B$7)</f>
        <v>0</v>
      </c>
      <c r="H4141" s="86">
        <f>SUMIFS('Climate Data'!$G$7:$G$366,'Climate Data'!$A$7:$A$366,Estimator!$B$4,'Climate Data'!$B$7:$B$366,C4141)</f>
        <v>0.25555555555555559</v>
      </c>
      <c r="I4141" s="87">
        <f>SUMIFS('Climate Data'!$H$7:$H$366,'Climate Data'!$A$7:$A$366,Estimator!$B$4,'Climate Data'!$B$7:$B$366,C4141)</f>
        <v>7.5</v>
      </c>
      <c r="J4141" s="86">
        <f>SUMIFS('Wind Proxy'!$H$8:$H$19,'Wind Proxy'!$A$8:$A$19,Estimator!$B$4,'Wind Proxy'!$B$8:$B$19,C4141)</f>
        <v>0</v>
      </c>
    </row>
    <row r="4142" spans="1:10" ht="14.4">
      <c r="A4142" s="84">
        <v>49793</v>
      </c>
      <c r="B4142" s="85">
        <v>2036</v>
      </c>
      <c r="C4142" s="85">
        <v>4</v>
      </c>
      <c r="D4142" s="85" t="s">
        <v>62</v>
      </c>
      <c r="E4142" s="85">
        <v>28</v>
      </c>
      <c r="F4142" s="85">
        <v>1</v>
      </c>
      <c r="G4142" s="85">
        <f>--(F4142&lt;=Estimator!$B$7)</f>
        <v>1</v>
      </c>
      <c r="H4142" s="86">
        <f>SUMIFS('Climate Data'!$G$7:$G$366,'Climate Data'!$A$7:$A$366,Estimator!$B$4,'Climate Data'!$B$7:$B$366,C4142)</f>
        <v>0.25555555555555559</v>
      </c>
      <c r="I4142" s="87">
        <f>SUMIFS('Climate Data'!$H$7:$H$366,'Climate Data'!$A$7:$A$366,Estimator!$B$4,'Climate Data'!$B$7:$B$366,C4142)</f>
        <v>7.5</v>
      </c>
      <c r="J4142" s="86">
        <f>SUMIFS('Wind Proxy'!$H$8:$H$19,'Wind Proxy'!$A$8:$A$19,Estimator!$B$4,'Wind Proxy'!$B$8:$B$19,C4142)</f>
        <v>0</v>
      </c>
    </row>
    <row r="4143" spans="1:10" ht="14.4">
      <c r="A4143" s="84">
        <v>49794</v>
      </c>
      <c r="B4143" s="85">
        <v>2036</v>
      </c>
      <c r="C4143" s="85">
        <v>4</v>
      </c>
      <c r="D4143" s="85" t="s">
        <v>62</v>
      </c>
      <c r="E4143" s="85">
        <v>29</v>
      </c>
      <c r="F4143" s="85">
        <v>2</v>
      </c>
      <c r="G4143" s="85">
        <f>--(F4143&lt;=Estimator!$B$7)</f>
        <v>1</v>
      </c>
      <c r="H4143" s="86">
        <f>SUMIFS('Climate Data'!$G$7:$G$366,'Climate Data'!$A$7:$A$366,Estimator!$B$4,'Climate Data'!$B$7:$B$366,C4143)</f>
        <v>0.25555555555555559</v>
      </c>
      <c r="I4143" s="87">
        <f>SUMIFS('Climate Data'!$H$7:$H$366,'Climate Data'!$A$7:$A$366,Estimator!$B$4,'Climate Data'!$B$7:$B$366,C4143)</f>
        <v>7.5</v>
      </c>
      <c r="J4143" s="86">
        <f>SUMIFS('Wind Proxy'!$H$8:$H$19,'Wind Proxy'!$A$8:$A$19,Estimator!$B$4,'Wind Proxy'!$B$8:$B$19,C4143)</f>
        <v>0</v>
      </c>
    </row>
    <row r="4144" spans="1:10" ht="14.4">
      <c r="A4144" s="84">
        <v>49795</v>
      </c>
      <c r="B4144" s="85">
        <v>2036</v>
      </c>
      <c r="C4144" s="85">
        <v>4</v>
      </c>
      <c r="D4144" s="85" t="s">
        <v>62</v>
      </c>
      <c r="E4144" s="85">
        <v>30</v>
      </c>
      <c r="F4144" s="85">
        <v>3</v>
      </c>
      <c r="G4144" s="85">
        <f>--(F4144&lt;=Estimator!$B$7)</f>
        <v>1</v>
      </c>
      <c r="H4144" s="86">
        <f>SUMIFS('Climate Data'!$G$7:$G$366,'Climate Data'!$A$7:$A$366,Estimator!$B$4,'Climate Data'!$B$7:$B$366,C4144)</f>
        <v>0.25555555555555559</v>
      </c>
      <c r="I4144" s="87">
        <f>SUMIFS('Climate Data'!$H$7:$H$366,'Climate Data'!$A$7:$A$366,Estimator!$B$4,'Climate Data'!$B$7:$B$366,C4144)</f>
        <v>7.5</v>
      </c>
      <c r="J4144" s="86">
        <f>SUMIFS('Wind Proxy'!$H$8:$H$19,'Wind Proxy'!$A$8:$A$19,Estimator!$B$4,'Wind Proxy'!$B$8:$B$19,C4144)</f>
        <v>0</v>
      </c>
    </row>
    <row r="4145" spans="1:10" ht="14.4">
      <c r="A4145" s="84">
        <v>49796</v>
      </c>
      <c r="B4145" s="85">
        <v>2036</v>
      </c>
      <c r="C4145" s="85">
        <v>5</v>
      </c>
      <c r="D4145" s="85" t="s">
        <v>65</v>
      </c>
      <c r="E4145" s="85">
        <v>1</v>
      </c>
      <c r="F4145" s="85">
        <v>4</v>
      </c>
      <c r="G4145" s="85">
        <f>--(F4145&lt;=Estimator!$B$7)</f>
        <v>1</v>
      </c>
      <c r="H4145" s="86">
        <f>SUMIFS('Climate Data'!$G$7:$G$366,'Climate Data'!$A$7:$A$366,Estimator!$B$4,'Climate Data'!$B$7:$B$366,C4145)</f>
        <v>0.23010752688172045</v>
      </c>
      <c r="I4145" s="87">
        <f>SUMIFS('Climate Data'!$H$7:$H$366,'Climate Data'!$A$7:$A$366,Estimator!$B$4,'Climate Data'!$B$7:$B$366,C4145)</f>
        <v>8.1448598130841123</v>
      </c>
      <c r="J4145" s="86">
        <f>SUMIFS('Wind Proxy'!$H$8:$H$19,'Wind Proxy'!$A$8:$A$19,Estimator!$B$4,'Wind Proxy'!$B$8:$B$19,C4145)</f>
        <v>0</v>
      </c>
    </row>
    <row r="4146" spans="1:10" ht="14.4">
      <c r="A4146" s="84">
        <v>49797</v>
      </c>
      <c r="B4146" s="85">
        <v>2036</v>
      </c>
      <c r="C4146" s="85">
        <v>5</v>
      </c>
      <c r="D4146" s="85" t="s">
        <v>65</v>
      </c>
      <c r="E4146" s="85">
        <v>2</v>
      </c>
      <c r="F4146" s="85">
        <v>5</v>
      </c>
      <c r="G4146" s="85">
        <f>--(F4146&lt;=Estimator!$B$7)</f>
        <v>1</v>
      </c>
      <c r="H4146" s="86">
        <f>SUMIFS('Climate Data'!$G$7:$G$366,'Climate Data'!$A$7:$A$366,Estimator!$B$4,'Climate Data'!$B$7:$B$366,C4146)</f>
        <v>0.23010752688172045</v>
      </c>
      <c r="I4146" s="87">
        <f>SUMIFS('Climate Data'!$H$7:$H$366,'Climate Data'!$A$7:$A$366,Estimator!$B$4,'Climate Data'!$B$7:$B$366,C4146)</f>
        <v>8.1448598130841123</v>
      </c>
      <c r="J4146" s="86">
        <f>SUMIFS('Wind Proxy'!$H$8:$H$19,'Wind Proxy'!$A$8:$A$19,Estimator!$B$4,'Wind Proxy'!$B$8:$B$19,C4146)</f>
        <v>0</v>
      </c>
    </row>
    <row r="4147" spans="1:10" ht="14.4">
      <c r="A4147" s="84">
        <v>49798</v>
      </c>
      <c r="B4147" s="85">
        <v>2036</v>
      </c>
      <c r="C4147" s="85">
        <v>5</v>
      </c>
      <c r="D4147" s="85" t="s">
        <v>65</v>
      </c>
      <c r="E4147" s="85">
        <v>3</v>
      </c>
      <c r="F4147" s="85">
        <v>6</v>
      </c>
      <c r="G4147" s="85">
        <f>--(F4147&lt;=Estimator!$B$7)</f>
        <v>0</v>
      </c>
      <c r="H4147" s="86">
        <f>SUMIFS('Climate Data'!$G$7:$G$366,'Climate Data'!$A$7:$A$366,Estimator!$B$4,'Climate Data'!$B$7:$B$366,C4147)</f>
        <v>0.23010752688172045</v>
      </c>
      <c r="I4147" s="87">
        <f>SUMIFS('Climate Data'!$H$7:$H$366,'Climate Data'!$A$7:$A$366,Estimator!$B$4,'Climate Data'!$B$7:$B$366,C4147)</f>
        <v>8.1448598130841123</v>
      </c>
      <c r="J4147" s="86">
        <f>SUMIFS('Wind Proxy'!$H$8:$H$19,'Wind Proxy'!$A$8:$A$19,Estimator!$B$4,'Wind Proxy'!$B$8:$B$19,C4147)</f>
        <v>0</v>
      </c>
    </row>
    <row r="4148" spans="1:10" ht="14.4">
      <c r="A4148" s="84">
        <v>49799</v>
      </c>
      <c r="B4148" s="85">
        <v>2036</v>
      </c>
      <c r="C4148" s="85">
        <v>5</v>
      </c>
      <c r="D4148" s="85" t="s">
        <v>65</v>
      </c>
      <c r="E4148" s="85">
        <v>4</v>
      </c>
      <c r="F4148" s="85">
        <v>7</v>
      </c>
      <c r="G4148" s="85">
        <f>--(F4148&lt;=Estimator!$B$7)</f>
        <v>0</v>
      </c>
      <c r="H4148" s="86">
        <f>SUMIFS('Climate Data'!$G$7:$G$366,'Climate Data'!$A$7:$A$366,Estimator!$B$4,'Climate Data'!$B$7:$B$366,C4148)</f>
        <v>0.23010752688172045</v>
      </c>
      <c r="I4148" s="87">
        <f>SUMIFS('Climate Data'!$H$7:$H$366,'Climate Data'!$A$7:$A$366,Estimator!$B$4,'Climate Data'!$B$7:$B$366,C4148)</f>
        <v>8.1448598130841123</v>
      </c>
      <c r="J4148" s="86">
        <f>SUMIFS('Wind Proxy'!$H$8:$H$19,'Wind Proxy'!$A$8:$A$19,Estimator!$B$4,'Wind Proxy'!$B$8:$B$19,C4148)</f>
        <v>0</v>
      </c>
    </row>
    <row r="4149" spans="1:10" ht="14.4">
      <c r="A4149" s="84">
        <v>49800</v>
      </c>
      <c r="B4149" s="85">
        <v>2036</v>
      </c>
      <c r="C4149" s="85">
        <v>5</v>
      </c>
      <c r="D4149" s="85" t="s">
        <v>65</v>
      </c>
      <c r="E4149" s="85">
        <v>5</v>
      </c>
      <c r="F4149" s="85">
        <v>1</v>
      </c>
      <c r="G4149" s="85">
        <f>--(F4149&lt;=Estimator!$B$7)</f>
        <v>1</v>
      </c>
      <c r="H4149" s="86">
        <f>SUMIFS('Climate Data'!$G$7:$G$366,'Climate Data'!$A$7:$A$366,Estimator!$B$4,'Climate Data'!$B$7:$B$366,C4149)</f>
        <v>0.23010752688172045</v>
      </c>
      <c r="I4149" s="87">
        <f>SUMIFS('Climate Data'!$H$7:$H$366,'Climate Data'!$A$7:$A$366,Estimator!$B$4,'Climate Data'!$B$7:$B$366,C4149)</f>
        <v>8.1448598130841123</v>
      </c>
      <c r="J4149" s="86">
        <f>SUMIFS('Wind Proxy'!$H$8:$H$19,'Wind Proxy'!$A$8:$A$19,Estimator!$B$4,'Wind Proxy'!$B$8:$B$19,C4149)</f>
        <v>0</v>
      </c>
    </row>
    <row r="4150" spans="1:10" ht="14.4">
      <c r="A4150" s="84">
        <v>49801</v>
      </c>
      <c r="B4150" s="85">
        <v>2036</v>
      </c>
      <c r="C4150" s="85">
        <v>5</v>
      </c>
      <c r="D4150" s="85" t="s">
        <v>65</v>
      </c>
      <c r="E4150" s="85">
        <v>6</v>
      </c>
      <c r="F4150" s="85">
        <v>2</v>
      </c>
      <c r="G4150" s="85">
        <f>--(F4150&lt;=Estimator!$B$7)</f>
        <v>1</v>
      </c>
      <c r="H4150" s="86">
        <f>SUMIFS('Climate Data'!$G$7:$G$366,'Climate Data'!$A$7:$A$366,Estimator!$B$4,'Climate Data'!$B$7:$B$366,C4150)</f>
        <v>0.23010752688172045</v>
      </c>
      <c r="I4150" s="87">
        <f>SUMIFS('Climate Data'!$H$7:$H$366,'Climate Data'!$A$7:$A$366,Estimator!$B$4,'Climate Data'!$B$7:$B$366,C4150)</f>
        <v>8.1448598130841123</v>
      </c>
      <c r="J4150" s="86">
        <f>SUMIFS('Wind Proxy'!$H$8:$H$19,'Wind Proxy'!$A$8:$A$19,Estimator!$B$4,'Wind Proxy'!$B$8:$B$19,C4150)</f>
        <v>0</v>
      </c>
    </row>
    <row r="4151" spans="1:10" ht="14.4">
      <c r="A4151" s="84">
        <v>49802</v>
      </c>
      <c r="B4151" s="85">
        <v>2036</v>
      </c>
      <c r="C4151" s="85">
        <v>5</v>
      </c>
      <c r="D4151" s="85" t="s">
        <v>65</v>
      </c>
      <c r="E4151" s="85">
        <v>7</v>
      </c>
      <c r="F4151" s="85">
        <v>3</v>
      </c>
      <c r="G4151" s="85">
        <f>--(F4151&lt;=Estimator!$B$7)</f>
        <v>1</v>
      </c>
      <c r="H4151" s="86">
        <f>SUMIFS('Climate Data'!$G$7:$G$366,'Climate Data'!$A$7:$A$366,Estimator!$B$4,'Climate Data'!$B$7:$B$366,C4151)</f>
        <v>0.23010752688172045</v>
      </c>
      <c r="I4151" s="87">
        <f>SUMIFS('Climate Data'!$H$7:$H$366,'Climate Data'!$A$7:$A$366,Estimator!$B$4,'Climate Data'!$B$7:$B$366,C4151)</f>
        <v>8.1448598130841123</v>
      </c>
      <c r="J4151" s="86">
        <f>SUMIFS('Wind Proxy'!$H$8:$H$19,'Wind Proxy'!$A$8:$A$19,Estimator!$B$4,'Wind Proxy'!$B$8:$B$19,C4151)</f>
        <v>0</v>
      </c>
    </row>
    <row r="4152" spans="1:10" ht="14.4">
      <c r="A4152" s="84">
        <v>49803</v>
      </c>
      <c r="B4152" s="85">
        <v>2036</v>
      </c>
      <c r="C4152" s="85">
        <v>5</v>
      </c>
      <c r="D4152" s="85" t="s">
        <v>65</v>
      </c>
      <c r="E4152" s="85">
        <v>8</v>
      </c>
      <c r="F4152" s="85">
        <v>4</v>
      </c>
      <c r="G4152" s="85">
        <f>--(F4152&lt;=Estimator!$B$7)</f>
        <v>1</v>
      </c>
      <c r="H4152" s="86">
        <f>SUMIFS('Climate Data'!$G$7:$G$366,'Climate Data'!$A$7:$A$366,Estimator!$B$4,'Climate Data'!$B$7:$B$366,C4152)</f>
        <v>0.23010752688172045</v>
      </c>
      <c r="I4152" s="87">
        <f>SUMIFS('Climate Data'!$H$7:$H$366,'Climate Data'!$A$7:$A$366,Estimator!$B$4,'Climate Data'!$B$7:$B$366,C4152)</f>
        <v>8.1448598130841123</v>
      </c>
      <c r="J4152" s="86">
        <f>SUMIFS('Wind Proxy'!$H$8:$H$19,'Wind Proxy'!$A$8:$A$19,Estimator!$B$4,'Wind Proxy'!$B$8:$B$19,C4152)</f>
        <v>0</v>
      </c>
    </row>
    <row r="4153" spans="1:10" ht="14.4">
      <c r="A4153" s="84">
        <v>49804</v>
      </c>
      <c r="B4153" s="85">
        <v>2036</v>
      </c>
      <c r="C4153" s="85">
        <v>5</v>
      </c>
      <c r="D4153" s="85" t="s">
        <v>65</v>
      </c>
      <c r="E4153" s="85">
        <v>9</v>
      </c>
      <c r="F4153" s="85">
        <v>5</v>
      </c>
      <c r="G4153" s="85">
        <f>--(F4153&lt;=Estimator!$B$7)</f>
        <v>1</v>
      </c>
      <c r="H4153" s="86">
        <f>SUMIFS('Climate Data'!$G$7:$G$366,'Climate Data'!$A$7:$A$366,Estimator!$B$4,'Climate Data'!$B$7:$B$366,C4153)</f>
        <v>0.23010752688172045</v>
      </c>
      <c r="I4153" s="87">
        <f>SUMIFS('Climate Data'!$H$7:$H$366,'Climate Data'!$A$7:$A$366,Estimator!$B$4,'Climate Data'!$B$7:$B$366,C4153)</f>
        <v>8.1448598130841123</v>
      </c>
      <c r="J4153" s="86">
        <f>SUMIFS('Wind Proxy'!$H$8:$H$19,'Wind Proxy'!$A$8:$A$19,Estimator!$B$4,'Wind Proxy'!$B$8:$B$19,C4153)</f>
        <v>0</v>
      </c>
    </row>
    <row r="4154" spans="1:10" ht="14.4">
      <c r="A4154" s="84">
        <v>49805</v>
      </c>
      <c r="B4154" s="85">
        <v>2036</v>
      </c>
      <c r="C4154" s="85">
        <v>5</v>
      </c>
      <c r="D4154" s="85" t="s">
        <v>65</v>
      </c>
      <c r="E4154" s="85">
        <v>10</v>
      </c>
      <c r="F4154" s="85">
        <v>6</v>
      </c>
      <c r="G4154" s="85">
        <f>--(F4154&lt;=Estimator!$B$7)</f>
        <v>0</v>
      </c>
      <c r="H4154" s="86">
        <f>SUMIFS('Climate Data'!$G$7:$G$366,'Climate Data'!$A$7:$A$366,Estimator!$B$4,'Climate Data'!$B$7:$B$366,C4154)</f>
        <v>0.23010752688172045</v>
      </c>
      <c r="I4154" s="87">
        <f>SUMIFS('Climate Data'!$H$7:$H$366,'Climate Data'!$A$7:$A$366,Estimator!$B$4,'Climate Data'!$B$7:$B$366,C4154)</f>
        <v>8.1448598130841123</v>
      </c>
      <c r="J4154" s="86">
        <f>SUMIFS('Wind Proxy'!$H$8:$H$19,'Wind Proxy'!$A$8:$A$19,Estimator!$B$4,'Wind Proxy'!$B$8:$B$19,C4154)</f>
        <v>0</v>
      </c>
    </row>
    <row r="4155" spans="1:10" ht="14.4">
      <c r="A4155" s="84">
        <v>49806</v>
      </c>
      <c r="B4155" s="85">
        <v>2036</v>
      </c>
      <c r="C4155" s="85">
        <v>5</v>
      </c>
      <c r="D4155" s="85" t="s">
        <v>65</v>
      </c>
      <c r="E4155" s="85">
        <v>11</v>
      </c>
      <c r="F4155" s="85">
        <v>7</v>
      </c>
      <c r="G4155" s="85">
        <f>--(F4155&lt;=Estimator!$B$7)</f>
        <v>0</v>
      </c>
      <c r="H4155" s="86">
        <f>SUMIFS('Climate Data'!$G$7:$G$366,'Climate Data'!$A$7:$A$366,Estimator!$B$4,'Climate Data'!$B$7:$B$366,C4155)</f>
        <v>0.23010752688172045</v>
      </c>
      <c r="I4155" s="87">
        <f>SUMIFS('Climate Data'!$H$7:$H$366,'Climate Data'!$A$7:$A$366,Estimator!$B$4,'Climate Data'!$B$7:$B$366,C4155)</f>
        <v>8.1448598130841123</v>
      </c>
      <c r="J4155" s="86">
        <f>SUMIFS('Wind Proxy'!$H$8:$H$19,'Wind Proxy'!$A$8:$A$19,Estimator!$B$4,'Wind Proxy'!$B$8:$B$19,C4155)</f>
        <v>0</v>
      </c>
    </row>
    <row r="4156" spans="1:10" ht="14.4">
      <c r="A4156" s="84">
        <v>49807</v>
      </c>
      <c r="B4156" s="85">
        <v>2036</v>
      </c>
      <c r="C4156" s="85">
        <v>5</v>
      </c>
      <c r="D4156" s="85" t="s">
        <v>65</v>
      </c>
      <c r="E4156" s="85">
        <v>12</v>
      </c>
      <c r="F4156" s="85">
        <v>1</v>
      </c>
      <c r="G4156" s="85">
        <f>--(F4156&lt;=Estimator!$B$7)</f>
        <v>1</v>
      </c>
      <c r="H4156" s="86">
        <f>SUMIFS('Climate Data'!$G$7:$G$366,'Climate Data'!$A$7:$A$366,Estimator!$B$4,'Climate Data'!$B$7:$B$366,C4156)</f>
        <v>0.23010752688172045</v>
      </c>
      <c r="I4156" s="87">
        <f>SUMIFS('Climate Data'!$H$7:$H$366,'Climate Data'!$A$7:$A$366,Estimator!$B$4,'Climate Data'!$B$7:$B$366,C4156)</f>
        <v>8.1448598130841123</v>
      </c>
      <c r="J4156" s="86">
        <f>SUMIFS('Wind Proxy'!$H$8:$H$19,'Wind Proxy'!$A$8:$A$19,Estimator!$B$4,'Wind Proxy'!$B$8:$B$19,C4156)</f>
        <v>0</v>
      </c>
    </row>
    <row r="4157" spans="1:10" ht="14.4">
      <c r="A4157" s="84">
        <v>49808</v>
      </c>
      <c r="B4157" s="85">
        <v>2036</v>
      </c>
      <c r="C4157" s="85">
        <v>5</v>
      </c>
      <c r="D4157" s="85" t="s">
        <v>65</v>
      </c>
      <c r="E4157" s="85">
        <v>13</v>
      </c>
      <c r="F4157" s="85">
        <v>2</v>
      </c>
      <c r="G4157" s="85">
        <f>--(F4157&lt;=Estimator!$B$7)</f>
        <v>1</v>
      </c>
      <c r="H4157" s="86">
        <f>SUMIFS('Climate Data'!$G$7:$G$366,'Climate Data'!$A$7:$A$366,Estimator!$B$4,'Climate Data'!$B$7:$B$366,C4157)</f>
        <v>0.23010752688172045</v>
      </c>
      <c r="I4157" s="87">
        <f>SUMIFS('Climate Data'!$H$7:$H$366,'Climate Data'!$A$7:$A$366,Estimator!$B$4,'Climate Data'!$B$7:$B$366,C4157)</f>
        <v>8.1448598130841123</v>
      </c>
      <c r="J4157" s="86">
        <f>SUMIFS('Wind Proxy'!$H$8:$H$19,'Wind Proxy'!$A$8:$A$19,Estimator!$B$4,'Wind Proxy'!$B$8:$B$19,C4157)</f>
        <v>0</v>
      </c>
    </row>
    <row r="4158" spans="1:10" ht="14.4">
      <c r="A4158" s="84">
        <v>49809</v>
      </c>
      <c r="B4158" s="85">
        <v>2036</v>
      </c>
      <c r="C4158" s="85">
        <v>5</v>
      </c>
      <c r="D4158" s="85" t="s">
        <v>65</v>
      </c>
      <c r="E4158" s="85">
        <v>14</v>
      </c>
      <c r="F4158" s="85">
        <v>3</v>
      </c>
      <c r="G4158" s="85">
        <f>--(F4158&lt;=Estimator!$B$7)</f>
        <v>1</v>
      </c>
      <c r="H4158" s="86">
        <f>SUMIFS('Climate Data'!$G$7:$G$366,'Climate Data'!$A$7:$A$366,Estimator!$B$4,'Climate Data'!$B$7:$B$366,C4158)</f>
        <v>0.23010752688172045</v>
      </c>
      <c r="I4158" s="87">
        <f>SUMIFS('Climate Data'!$H$7:$H$366,'Climate Data'!$A$7:$A$366,Estimator!$B$4,'Climate Data'!$B$7:$B$366,C4158)</f>
        <v>8.1448598130841123</v>
      </c>
      <c r="J4158" s="86">
        <f>SUMIFS('Wind Proxy'!$H$8:$H$19,'Wind Proxy'!$A$8:$A$19,Estimator!$B$4,'Wind Proxy'!$B$8:$B$19,C4158)</f>
        <v>0</v>
      </c>
    </row>
    <row r="4159" spans="1:10" ht="14.4">
      <c r="A4159" s="84">
        <v>49810</v>
      </c>
      <c r="B4159" s="85">
        <v>2036</v>
      </c>
      <c r="C4159" s="85">
        <v>5</v>
      </c>
      <c r="D4159" s="85" t="s">
        <v>65</v>
      </c>
      <c r="E4159" s="85">
        <v>15</v>
      </c>
      <c r="F4159" s="85">
        <v>4</v>
      </c>
      <c r="G4159" s="85">
        <f>--(F4159&lt;=Estimator!$B$7)</f>
        <v>1</v>
      </c>
      <c r="H4159" s="86">
        <f>SUMIFS('Climate Data'!$G$7:$G$366,'Climate Data'!$A$7:$A$366,Estimator!$B$4,'Climate Data'!$B$7:$B$366,C4159)</f>
        <v>0.23010752688172045</v>
      </c>
      <c r="I4159" s="87">
        <f>SUMIFS('Climate Data'!$H$7:$H$366,'Climate Data'!$A$7:$A$366,Estimator!$B$4,'Climate Data'!$B$7:$B$366,C4159)</f>
        <v>8.1448598130841123</v>
      </c>
      <c r="J4159" s="86">
        <f>SUMIFS('Wind Proxy'!$H$8:$H$19,'Wind Proxy'!$A$8:$A$19,Estimator!$B$4,'Wind Proxy'!$B$8:$B$19,C4159)</f>
        <v>0</v>
      </c>
    </row>
    <row r="4160" spans="1:10" ht="14.4">
      <c r="A4160" s="84">
        <v>49811</v>
      </c>
      <c r="B4160" s="85">
        <v>2036</v>
      </c>
      <c r="C4160" s="85">
        <v>5</v>
      </c>
      <c r="D4160" s="85" t="s">
        <v>65</v>
      </c>
      <c r="E4160" s="85">
        <v>16</v>
      </c>
      <c r="F4160" s="85">
        <v>5</v>
      </c>
      <c r="G4160" s="85">
        <f>--(F4160&lt;=Estimator!$B$7)</f>
        <v>1</v>
      </c>
      <c r="H4160" s="86">
        <f>SUMIFS('Climate Data'!$G$7:$G$366,'Climate Data'!$A$7:$A$366,Estimator!$B$4,'Climate Data'!$B$7:$B$366,C4160)</f>
        <v>0.23010752688172045</v>
      </c>
      <c r="I4160" s="87">
        <f>SUMIFS('Climate Data'!$H$7:$H$366,'Climate Data'!$A$7:$A$366,Estimator!$B$4,'Climate Data'!$B$7:$B$366,C4160)</f>
        <v>8.1448598130841123</v>
      </c>
      <c r="J4160" s="86">
        <f>SUMIFS('Wind Proxy'!$H$8:$H$19,'Wind Proxy'!$A$8:$A$19,Estimator!$B$4,'Wind Proxy'!$B$8:$B$19,C4160)</f>
        <v>0</v>
      </c>
    </row>
    <row r="4161" spans="1:10" ht="14.4">
      <c r="A4161" s="84">
        <v>49812</v>
      </c>
      <c r="B4161" s="85">
        <v>2036</v>
      </c>
      <c r="C4161" s="85">
        <v>5</v>
      </c>
      <c r="D4161" s="85" t="s">
        <v>65</v>
      </c>
      <c r="E4161" s="85">
        <v>17</v>
      </c>
      <c r="F4161" s="85">
        <v>6</v>
      </c>
      <c r="G4161" s="85">
        <f>--(F4161&lt;=Estimator!$B$7)</f>
        <v>0</v>
      </c>
      <c r="H4161" s="86">
        <f>SUMIFS('Climate Data'!$G$7:$G$366,'Climate Data'!$A$7:$A$366,Estimator!$B$4,'Climate Data'!$B$7:$B$366,C4161)</f>
        <v>0.23010752688172045</v>
      </c>
      <c r="I4161" s="87">
        <f>SUMIFS('Climate Data'!$H$7:$H$366,'Climate Data'!$A$7:$A$366,Estimator!$B$4,'Climate Data'!$B$7:$B$366,C4161)</f>
        <v>8.1448598130841123</v>
      </c>
      <c r="J4161" s="86">
        <f>SUMIFS('Wind Proxy'!$H$8:$H$19,'Wind Proxy'!$A$8:$A$19,Estimator!$B$4,'Wind Proxy'!$B$8:$B$19,C4161)</f>
        <v>0</v>
      </c>
    </row>
    <row r="4162" spans="1:10" ht="14.4">
      <c r="A4162" s="84">
        <v>49813</v>
      </c>
      <c r="B4162" s="85">
        <v>2036</v>
      </c>
      <c r="C4162" s="85">
        <v>5</v>
      </c>
      <c r="D4162" s="85" t="s">
        <v>65</v>
      </c>
      <c r="E4162" s="85">
        <v>18</v>
      </c>
      <c r="F4162" s="85">
        <v>7</v>
      </c>
      <c r="G4162" s="85">
        <f>--(F4162&lt;=Estimator!$B$7)</f>
        <v>0</v>
      </c>
      <c r="H4162" s="86">
        <f>SUMIFS('Climate Data'!$G$7:$G$366,'Climate Data'!$A$7:$A$366,Estimator!$B$4,'Climate Data'!$B$7:$B$366,C4162)</f>
        <v>0.23010752688172045</v>
      </c>
      <c r="I4162" s="87">
        <f>SUMIFS('Climate Data'!$H$7:$H$366,'Climate Data'!$A$7:$A$366,Estimator!$B$4,'Climate Data'!$B$7:$B$366,C4162)</f>
        <v>8.1448598130841123</v>
      </c>
      <c r="J4162" s="86">
        <f>SUMIFS('Wind Proxy'!$H$8:$H$19,'Wind Proxy'!$A$8:$A$19,Estimator!$B$4,'Wind Proxy'!$B$8:$B$19,C4162)</f>
        <v>0</v>
      </c>
    </row>
    <row r="4163" spans="1:10" ht="14.4">
      <c r="A4163" s="84">
        <v>49814</v>
      </c>
      <c r="B4163" s="85">
        <v>2036</v>
      </c>
      <c r="C4163" s="85">
        <v>5</v>
      </c>
      <c r="D4163" s="85" t="s">
        <v>65</v>
      </c>
      <c r="E4163" s="85">
        <v>19</v>
      </c>
      <c r="F4163" s="85">
        <v>1</v>
      </c>
      <c r="G4163" s="85">
        <f>--(F4163&lt;=Estimator!$B$7)</f>
        <v>1</v>
      </c>
      <c r="H4163" s="86">
        <f>SUMIFS('Climate Data'!$G$7:$G$366,'Climate Data'!$A$7:$A$366,Estimator!$B$4,'Climate Data'!$B$7:$B$366,C4163)</f>
        <v>0.23010752688172045</v>
      </c>
      <c r="I4163" s="87">
        <f>SUMIFS('Climate Data'!$H$7:$H$366,'Climate Data'!$A$7:$A$366,Estimator!$B$4,'Climate Data'!$B$7:$B$366,C4163)</f>
        <v>8.1448598130841123</v>
      </c>
      <c r="J4163" s="86">
        <f>SUMIFS('Wind Proxy'!$H$8:$H$19,'Wind Proxy'!$A$8:$A$19,Estimator!$B$4,'Wind Proxy'!$B$8:$B$19,C4163)</f>
        <v>0</v>
      </c>
    </row>
    <row r="4164" spans="1:10" ht="14.4">
      <c r="A4164" s="84">
        <v>49815</v>
      </c>
      <c r="B4164" s="85">
        <v>2036</v>
      </c>
      <c r="C4164" s="85">
        <v>5</v>
      </c>
      <c r="D4164" s="85" t="s">
        <v>65</v>
      </c>
      <c r="E4164" s="85">
        <v>20</v>
      </c>
      <c r="F4164" s="85">
        <v>2</v>
      </c>
      <c r="G4164" s="85">
        <f>--(F4164&lt;=Estimator!$B$7)</f>
        <v>1</v>
      </c>
      <c r="H4164" s="86">
        <f>SUMIFS('Climate Data'!$G$7:$G$366,'Climate Data'!$A$7:$A$366,Estimator!$B$4,'Climate Data'!$B$7:$B$366,C4164)</f>
        <v>0.23010752688172045</v>
      </c>
      <c r="I4164" s="87">
        <f>SUMIFS('Climate Data'!$H$7:$H$366,'Climate Data'!$A$7:$A$366,Estimator!$B$4,'Climate Data'!$B$7:$B$366,C4164)</f>
        <v>8.1448598130841123</v>
      </c>
      <c r="J4164" s="86">
        <f>SUMIFS('Wind Proxy'!$H$8:$H$19,'Wind Proxy'!$A$8:$A$19,Estimator!$B$4,'Wind Proxy'!$B$8:$B$19,C4164)</f>
        <v>0</v>
      </c>
    </row>
    <row r="4165" spans="1:10" ht="14.4">
      <c r="A4165" s="84">
        <v>49816</v>
      </c>
      <c r="B4165" s="85">
        <v>2036</v>
      </c>
      <c r="C4165" s="85">
        <v>5</v>
      </c>
      <c r="D4165" s="85" t="s">
        <v>65</v>
      </c>
      <c r="E4165" s="85">
        <v>21</v>
      </c>
      <c r="F4165" s="85">
        <v>3</v>
      </c>
      <c r="G4165" s="85">
        <f>--(F4165&lt;=Estimator!$B$7)</f>
        <v>1</v>
      </c>
      <c r="H4165" s="86">
        <f>SUMIFS('Climate Data'!$G$7:$G$366,'Climate Data'!$A$7:$A$366,Estimator!$B$4,'Climate Data'!$B$7:$B$366,C4165)</f>
        <v>0.23010752688172045</v>
      </c>
      <c r="I4165" s="87">
        <f>SUMIFS('Climate Data'!$H$7:$H$366,'Climate Data'!$A$7:$A$366,Estimator!$B$4,'Climate Data'!$B$7:$B$366,C4165)</f>
        <v>8.1448598130841123</v>
      </c>
      <c r="J4165" s="86">
        <f>SUMIFS('Wind Proxy'!$H$8:$H$19,'Wind Proxy'!$A$8:$A$19,Estimator!$B$4,'Wind Proxy'!$B$8:$B$19,C4165)</f>
        <v>0</v>
      </c>
    </row>
    <row r="4166" spans="1:10" ht="14.4">
      <c r="A4166" s="84">
        <v>49817</v>
      </c>
      <c r="B4166" s="85">
        <v>2036</v>
      </c>
      <c r="C4166" s="85">
        <v>5</v>
      </c>
      <c r="D4166" s="85" t="s">
        <v>65</v>
      </c>
      <c r="E4166" s="85">
        <v>22</v>
      </c>
      <c r="F4166" s="85">
        <v>4</v>
      </c>
      <c r="G4166" s="85">
        <f>--(F4166&lt;=Estimator!$B$7)</f>
        <v>1</v>
      </c>
      <c r="H4166" s="86">
        <f>SUMIFS('Climate Data'!$G$7:$G$366,'Climate Data'!$A$7:$A$366,Estimator!$B$4,'Climate Data'!$B$7:$B$366,C4166)</f>
        <v>0.23010752688172045</v>
      </c>
      <c r="I4166" s="87">
        <f>SUMIFS('Climate Data'!$H$7:$H$366,'Climate Data'!$A$7:$A$366,Estimator!$B$4,'Climate Data'!$B$7:$B$366,C4166)</f>
        <v>8.1448598130841123</v>
      </c>
      <c r="J4166" s="86">
        <f>SUMIFS('Wind Proxy'!$H$8:$H$19,'Wind Proxy'!$A$8:$A$19,Estimator!$B$4,'Wind Proxy'!$B$8:$B$19,C4166)</f>
        <v>0</v>
      </c>
    </row>
    <row r="4167" spans="1:10" ht="14.4">
      <c r="A4167" s="84">
        <v>49818</v>
      </c>
      <c r="B4167" s="85">
        <v>2036</v>
      </c>
      <c r="C4167" s="85">
        <v>5</v>
      </c>
      <c r="D4167" s="85" t="s">
        <v>65</v>
      </c>
      <c r="E4167" s="85">
        <v>23</v>
      </c>
      <c r="F4167" s="85">
        <v>5</v>
      </c>
      <c r="G4167" s="85">
        <f>--(F4167&lt;=Estimator!$B$7)</f>
        <v>1</v>
      </c>
      <c r="H4167" s="86">
        <f>SUMIFS('Climate Data'!$G$7:$G$366,'Climate Data'!$A$7:$A$366,Estimator!$B$4,'Climate Data'!$B$7:$B$366,C4167)</f>
        <v>0.23010752688172045</v>
      </c>
      <c r="I4167" s="87">
        <f>SUMIFS('Climate Data'!$H$7:$H$366,'Climate Data'!$A$7:$A$366,Estimator!$B$4,'Climate Data'!$B$7:$B$366,C4167)</f>
        <v>8.1448598130841123</v>
      </c>
      <c r="J4167" s="86">
        <f>SUMIFS('Wind Proxy'!$H$8:$H$19,'Wind Proxy'!$A$8:$A$19,Estimator!$B$4,'Wind Proxy'!$B$8:$B$19,C4167)</f>
        <v>0</v>
      </c>
    </row>
    <row r="4168" spans="1:10" ht="14.4">
      <c r="A4168" s="84">
        <v>49819</v>
      </c>
      <c r="B4168" s="85">
        <v>2036</v>
      </c>
      <c r="C4168" s="85">
        <v>5</v>
      </c>
      <c r="D4168" s="85" t="s">
        <v>65</v>
      </c>
      <c r="E4168" s="85">
        <v>24</v>
      </c>
      <c r="F4168" s="85">
        <v>6</v>
      </c>
      <c r="G4168" s="85">
        <f>--(F4168&lt;=Estimator!$B$7)</f>
        <v>0</v>
      </c>
      <c r="H4168" s="86">
        <f>SUMIFS('Climate Data'!$G$7:$G$366,'Climate Data'!$A$7:$A$366,Estimator!$B$4,'Climate Data'!$B$7:$B$366,C4168)</f>
        <v>0.23010752688172045</v>
      </c>
      <c r="I4168" s="87">
        <f>SUMIFS('Climate Data'!$H$7:$H$366,'Climate Data'!$A$7:$A$366,Estimator!$B$4,'Climate Data'!$B$7:$B$366,C4168)</f>
        <v>8.1448598130841123</v>
      </c>
      <c r="J4168" s="86">
        <f>SUMIFS('Wind Proxy'!$H$8:$H$19,'Wind Proxy'!$A$8:$A$19,Estimator!$B$4,'Wind Proxy'!$B$8:$B$19,C4168)</f>
        <v>0</v>
      </c>
    </row>
    <row r="4169" spans="1:10" ht="14.4">
      <c r="A4169" s="84">
        <v>49820</v>
      </c>
      <c r="B4169" s="85">
        <v>2036</v>
      </c>
      <c r="C4169" s="85">
        <v>5</v>
      </c>
      <c r="D4169" s="85" t="s">
        <v>65</v>
      </c>
      <c r="E4169" s="85">
        <v>25</v>
      </c>
      <c r="F4169" s="85">
        <v>7</v>
      </c>
      <c r="G4169" s="85">
        <f>--(F4169&lt;=Estimator!$B$7)</f>
        <v>0</v>
      </c>
      <c r="H4169" s="86">
        <f>SUMIFS('Climate Data'!$G$7:$G$366,'Climate Data'!$A$7:$A$366,Estimator!$B$4,'Climate Data'!$B$7:$B$366,C4169)</f>
        <v>0.23010752688172045</v>
      </c>
      <c r="I4169" s="87">
        <f>SUMIFS('Climate Data'!$H$7:$H$366,'Climate Data'!$A$7:$A$366,Estimator!$B$4,'Climate Data'!$B$7:$B$366,C4169)</f>
        <v>8.1448598130841123</v>
      </c>
      <c r="J4169" s="86">
        <f>SUMIFS('Wind Proxy'!$H$8:$H$19,'Wind Proxy'!$A$8:$A$19,Estimator!$B$4,'Wind Proxy'!$B$8:$B$19,C4169)</f>
        <v>0</v>
      </c>
    </row>
    <row r="4170" spans="1:10" ht="14.4">
      <c r="A4170" s="84">
        <v>49821</v>
      </c>
      <c r="B4170" s="85">
        <v>2036</v>
      </c>
      <c r="C4170" s="85">
        <v>5</v>
      </c>
      <c r="D4170" s="85" t="s">
        <v>65</v>
      </c>
      <c r="E4170" s="85">
        <v>26</v>
      </c>
      <c r="F4170" s="85">
        <v>1</v>
      </c>
      <c r="G4170" s="85">
        <f>--(F4170&lt;=Estimator!$B$7)</f>
        <v>1</v>
      </c>
      <c r="H4170" s="86">
        <f>SUMIFS('Climate Data'!$G$7:$G$366,'Climate Data'!$A$7:$A$366,Estimator!$B$4,'Climate Data'!$B$7:$B$366,C4170)</f>
        <v>0.23010752688172045</v>
      </c>
      <c r="I4170" s="87">
        <f>SUMIFS('Climate Data'!$H$7:$H$366,'Climate Data'!$A$7:$A$366,Estimator!$B$4,'Climate Data'!$B$7:$B$366,C4170)</f>
        <v>8.1448598130841123</v>
      </c>
      <c r="J4170" s="86">
        <f>SUMIFS('Wind Proxy'!$H$8:$H$19,'Wind Proxy'!$A$8:$A$19,Estimator!$B$4,'Wind Proxy'!$B$8:$B$19,C4170)</f>
        <v>0</v>
      </c>
    </row>
    <row r="4171" spans="1:10" ht="14.4">
      <c r="A4171" s="84">
        <v>49822</v>
      </c>
      <c r="B4171" s="85">
        <v>2036</v>
      </c>
      <c r="C4171" s="85">
        <v>5</v>
      </c>
      <c r="D4171" s="85" t="s">
        <v>65</v>
      </c>
      <c r="E4171" s="85">
        <v>27</v>
      </c>
      <c r="F4171" s="85">
        <v>2</v>
      </c>
      <c r="G4171" s="85">
        <f>--(F4171&lt;=Estimator!$B$7)</f>
        <v>1</v>
      </c>
      <c r="H4171" s="86">
        <f>SUMIFS('Climate Data'!$G$7:$G$366,'Climate Data'!$A$7:$A$366,Estimator!$B$4,'Climate Data'!$B$7:$B$366,C4171)</f>
        <v>0.23010752688172045</v>
      </c>
      <c r="I4171" s="87">
        <f>SUMIFS('Climate Data'!$H$7:$H$366,'Climate Data'!$A$7:$A$366,Estimator!$B$4,'Climate Data'!$B$7:$B$366,C4171)</f>
        <v>8.1448598130841123</v>
      </c>
      <c r="J4171" s="86">
        <f>SUMIFS('Wind Proxy'!$H$8:$H$19,'Wind Proxy'!$A$8:$A$19,Estimator!$B$4,'Wind Proxy'!$B$8:$B$19,C4171)</f>
        <v>0</v>
      </c>
    </row>
    <row r="4172" spans="1:10" ht="14.4">
      <c r="A4172" s="84">
        <v>49823</v>
      </c>
      <c r="B4172" s="85">
        <v>2036</v>
      </c>
      <c r="C4172" s="85">
        <v>5</v>
      </c>
      <c r="D4172" s="85" t="s">
        <v>65</v>
      </c>
      <c r="E4172" s="85">
        <v>28</v>
      </c>
      <c r="F4172" s="85">
        <v>3</v>
      </c>
      <c r="G4172" s="85">
        <f>--(F4172&lt;=Estimator!$B$7)</f>
        <v>1</v>
      </c>
      <c r="H4172" s="86">
        <f>SUMIFS('Climate Data'!$G$7:$G$366,'Climate Data'!$A$7:$A$366,Estimator!$B$4,'Climate Data'!$B$7:$B$366,C4172)</f>
        <v>0.23010752688172045</v>
      </c>
      <c r="I4172" s="87">
        <f>SUMIFS('Climate Data'!$H$7:$H$366,'Climate Data'!$A$7:$A$366,Estimator!$B$4,'Climate Data'!$B$7:$B$366,C4172)</f>
        <v>8.1448598130841123</v>
      </c>
      <c r="J4172" s="86">
        <f>SUMIFS('Wind Proxy'!$H$8:$H$19,'Wind Proxy'!$A$8:$A$19,Estimator!$B$4,'Wind Proxy'!$B$8:$B$19,C4172)</f>
        <v>0</v>
      </c>
    </row>
    <row r="4173" spans="1:10" ht="14.4">
      <c r="A4173" s="84">
        <v>49824</v>
      </c>
      <c r="B4173" s="85">
        <v>2036</v>
      </c>
      <c r="C4173" s="85">
        <v>5</v>
      </c>
      <c r="D4173" s="85" t="s">
        <v>65</v>
      </c>
      <c r="E4173" s="85">
        <v>29</v>
      </c>
      <c r="F4173" s="85">
        <v>4</v>
      </c>
      <c r="G4173" s="85">
        <f>--(F4173&lt;=Estimator!$B$7)</f>
        <v>1</v>
      </c>
      <c r="H4173" s="86">
        <f>SUMIFS('Climate Data'!$G$7:$G$366,'Climate Data'!$A$7:$A$366,Estimator!$B$4,'Climate Data'!$B$7:$B$366,C4173)</f>
        <v>0.23010752688172045</v>
      </c>
      <c r="I4173" s="87">
        <f>SUMIFS('Climate Data'!$H$7:$H$366,'Climate Data'!$A$7:$A$366,Estimator!$B$4,'Climate Data'!$B$7:$B$366,C4173)</f>
        <v>8.1448598130841123</v>
      </c>
      <c r="J4173" s="86">
        <f>SUMIFS('Wind Proxy'!$H$8:$H$19,'Wind Proxy'!$A$8:$A$19,Estimator!$B$4,'Wind Proxy'!$B$8:$B$19,C4173)</f>
        <v>0</v>
      </c>
    </row>
    <row r="4174" spans="1:10" ht="14.4">
      <c r="A4174" s="84">
        <v>49825</v>
      </c>
      <c r="B4174" s="85">
        <v>2036</v>
      </c>
      <c r="C4174" s="85">
        <v>5</v>
      </c>
      <c r="D4174" s="85" t="s">
        <v>65</v>
      </c>
      <c r="E4174" s="85">
        <v>30</v>
      </c>
      <c r="F4174" s="85">
        <v>5</v>
      </c>
      <c r="G4174" s="85">
        <f>--(F4174&lt;=Estimator!$B$7)</f>
        <v>1</v>
      </c>
      <c r="H4174" s="86">
        <f>SUMIFS('Climate Data'!$G$7:$G$366,'Climate Data'!$A$7:$A$366,Estimator!$B$4,'Climate Data'!$B$7:$B$366,C4174)</f>
        <v>0.23010752688172045</v>
      </c>
      <c r="I4174" s="87">
        <f>SUMIFS('Climate Data'!$H$7:$H$366,'Climate Data'!$A$7:$A$366,Estimator!$B$4,'Climate Data'!$B$7:$B$366,C4174)</f>
        <v>8.1448598130841123</v>
      </c>
      <c r="J4174" s="86">
        <f>SUMIFS('Wind Proxy'!$H$8:$H$19,'Wind Proxy'!$A$8:$A$19,Estimator!$B$4,'Wind Proxy'!$B$8:$B$19,C4174)</f>
        <v>0</v>
      </c>
    </row>
    <row r="4175" spans="1:10" ht="14.4">
      <c r="A4175" s="84">
        <v>49826</v>
      </c>
      <c r="B4175" s="85">
        <v>2036</v>
      </c>
      <c r="C4175" s="85">
        <v>5</v>
      </c>
      <c r="D4175" s="85" t="s">
        <v>65</v>
      </c>
      <c r="E4175" s="85">
        <v>31</v>
      </c>
      <c r="F4175" s="85">
        <v>6</v>
      </c>
      <c r="G4175" s="85">
        <f>--(F4175&lt;=Estimator!$B$7)</f>
        <v>0</v>
      </c>
      <c r="H4175" s="86">
        <f>SUMIFS('Climate Data'!$G$7:$G$366,'Climate Data'!$A$7:$A$366,Estimator!$B$4,'Climate Data'!$B$7:$B$366,C4175)</f>
        <v>0.23010752688172045</v>
      </c>
      <c r="I4175" s="87">
        <f>SUMIFS('Climate Data'!$H$7:$H$366,'Climate Data'!$A$7:$A$366,Estimator!$B$4,'Climate Data'!$B$7:$B$366,C4175)</f>
        <v>8.1448598130841123</v>
      </c>
      <c r="J4175" s="86">
        <f>SUMIFS('Wind Proxy'!$H$8:$H$19,'Wind Proxy'!$A$8:$A$19,Estimator!$B$4,'Wind Proxy'!$B$8:$B$19,C4175)</f>
        <v>0</v>
      </c>
    </row>
    <row r="4176" spans="1:10" ht="14.4">
      <c r="A4176" s="84">
        <v>49827</v>
      </c>
      <c r="B4176" s="85">
        <v>2036</v>
      </c>
      <c r="C4176" s="85">
        <v>6</v>
      </c>
      <c r="D4176" s="85" t="s">
        <v>68</v>
      </c>
      <c r="E4176" s="85">
        <v>1</v>
      </c>
      <c r="F4176" s="85">
        <v>7</v>
      </c>
      <c r="G4176" s="85">
        <f>--(F4176&lt;=Estimator!$B$7)</f>
        <v>0</v>
      </c>
      <c r="H4176" s="86">
        <f>SUMIFS('Climate Data'!$G$7:$G$366,'Climate Data'!$A$7:$A$366,Estimator!$B$4,'Climate Data'!$B$7:$B$366,C4176)</f>
        <v>0.28666666666666668</v>
      </c>
      <c r="I4176" s="87">
        <f>SUMIFS('Climate Data'!$H$7:$H$366,'Climate Data'!$A$7:$A$366,Estimator!$B$4,'Climate Data'!$B$7:$B$366,C4176)</f>
        <v>7.941860465116279</v>
      </c>
      <c r="J4176" s="86">
        <f>SUMIFS('Wind Proxy'!$H$8:$H$19,'Wind Proxy'!$A$8:$A$19,Estimator!$B$4,'Wind Proxy'!$B$8:$B$19,C4176)</f>
        <v>0</v>
      </c>
    </row>
    <row r="4177" spans="1:10" ht="14.4">
      <c r="A4177" s="84">
        <v>49828</v>
      </c>
      <c r="B4177" s="85">
        <v>2036</v>
      </c>
      <c r="C4177" s="85">
        <v>6</v>
      </c>
      <c r="D4177" s="85" t="s">
        <v>68</v>
      </c>
      <c r="E4177" s="85">
        <v>2</v>
      </c>
      <c r="F4177" s="85">
        <v>1</v>
      </c>
      <c r="G4177" s="85">
        <f>--(F4177&lt;=Estimator!$B$7)</f>
        <v>1</v>
      </c>
      <c r="H4177" s="86">
        <f>SUMIFS('Climate Data'!$G$7:$G$366,'Climate Data'!$A$7:$A$366,Estimator!$B$4,'Climate Data'!$B$7:$B$366,C4177)</f>
        <v>0.28666666666666668</v>
      </c>
      <c r="I4177" s="87">
        <f>SUMIFS('Climate Data'!$H$7:$H$366,'Climate Data'!$A$7:$A$366,Estimator!$B$4,'Climate Data'!$B$7:$B$366,C4177)</f>
        <v>7.941860465116279</v>
      </c>
      <c r="J4177" s="86">
        <f>SUMIFS('Wind Proxy'!$H$8:$H$19,'Wind Proxy'!$A$8:$A$19,Estimator!$B$4,'Wind Proxy'!$B$8:$B$19,C4177)</f>
        <v>0</v>
      </c>
    </row>
    <row r="4178" spans="1:10" ht="14.4">
      <c r="A4178" s="84">
        <v>49829</v>
      </c>
      <c r="B4178" s="85">
        <v>2036</v>
      </c>
      <c r="C4178" s="85">
        <v>6</v>
      </c>
      <c r="D4178" s="85" t="s">
        <v>68</v>
      </c>
      <c r="E4178" s="85">
        <v>3</v>
      </c>
      <c r="F4178" s="85">
        <v>2</v>
      </c>
      <c r="G4178" s="85">
        <f>--(F4178&lt;=Estimator!$B$7)</f>
        <v>1</v>
      </c>
      <c r="H4178" s="86">
        <f>SUMIFS('Climate Data'!$G$7:$G$366,'Climate Data'!$A$7:$A$366,Estimator!$B$4,'Climate Data'!$B$7:$B$366,C4178)</f>
        <v>0.28666666666666668</v>
      </c>
      <c r="I4178" s="87">
        <f>SUMIFS('Climate Data'!$H$7:$H$366,'Climate Data'!$A$7:$A$366,Estimator!$B$4,'Climate Data'!$B$7:$B$366,C4178)</f>
        <v>7.941860465116279</v>
      </c>
      <c r="J4178" s="86">
        <f>SUMIFS('Wind Proxy'!$H$8:$H$19,'Wind Proxy'!$A$8:$A$19,Estimator!$B$4,'Wind Proxy'!$B$8:$B$19,C4178)</f>
        <v>0</v>
      </c>
    </row>
    <row r="4179" spans="1:10" ht="14.4">
      <c r="A4179" s="84">
        <v>49830</v>
      </c>
      <c r="B4179" s="85">
        <v>2036</v>
      </c>
      <c r="C4179" s="85">
        <v>6</v>
      </c>
      <c r="D4179" s="85" t="s">
        <v>68</v>
      </c>
      <c r="E4179" s="85">
        <v>4</v>
      </c>
      <c r="F4179" s="85">
        <v>3</v>
      </c>
      <c r="G4179" s="85">
        <f>--(F4179&lt;=Estimator!$B$7)</f>
        <v>1</v>
      </c>
      <c r="H4179" s="86">
        <f>SUMIFS('Climate Data'!$G$7:$G$366,'Climate Data'!$A$7:$A$366,Estimator!$B$4,'Climate Data'!$B$7:$B$366,C4179)</f>
        <v>0.28666666666666668</v>
      </c>
      <c r="I4179" s="87">
        <f>SUMIFS('Climate Data'!$H$7:$H$366,'Climate Data'!$A$7:$A$366,Estimator!$B$4,'Climate Data'!$B$7:$B$366,C4179)</f>
        <v>7.941860465116279</v>
      </c>
      <c r="J4179" s="86">
        <f>SUMIFS('Wind Proxy'!$H$8:$H$19,'Wind Proxy'!$A$8:$A$19,Estimator!$B$4,'Wind Proxy'!$B$8:$B$19,C4179)</f>
        <v>0</v>
      </c>
    </row>
    <row r="4180" spans="1:10" ht="14.4">
      <c r="A4180" s="84">
        <v>49831</v>
      </c>
      <c r="B4180" s="85">
        <v>2036</v>
      </c>
      <c r="C4180" s="85">
        <v>6</v>
      </c>
      <c r="D4180" s="85" t="s">
        <v>68</v>
      </c>
      <c r="E4180" s="85">
        <v>5</v>
      </c>
      <c r="F4180" s="85">
        <v>4</v>
      </c>
      <c r="G4180" s="85">
        <f>--(F4180&lt;=Estimator!$B$7)</f>
        <v>1</v>
      </c>
      <c r="H4180" s="86">
        <f>SUMIFS('Climate Data'!$G$7:$G$366,'Climate Data'!$A$7:$A$366,Estimator!$B$4,'Climate Data'!$B$7:$B$366,C4180)</f>
        <v>0.28666666666666668</v>
      </c>
      <c r="I4180" s="87">
        <f>SUMIFS('Climate Data'!$H$7:$H$366,'Climate Data'!$A$7:$A$366,Estimator!$B$4,'Climate Data'!$B$7:$B$366,C4180)</f>
        <v>7.941860465116279</v>
      </c>
      <c r="J4180" s="86">
        <f>SUMIFS('Wind Proxy'!$H$8:$H$19,'Wind Proxy'!$A$8:$A$19,Estimator!$B$4,'Wind Proxy'!$B$8:$B$19,C4180)</f>
        <v>0</v>
      </c>
    </row>
    <row r="4181" spans="1:10" ht="14.4">
      <c r="A4181" s="84">
        <v>49832</v>
      </c>
      <c r="B4181" s="85">
        <v>2036</v>
      </c>
      <c r="C4181" s="85">
        <v>6</v>
      </c>
      <c r="D4181" s="85" t="s">
        <v>68</v>
      </c>
      <c r="E4181" s="85">
        <v>6</v>
      </c>
      <c r="F4181" s="85">
        <v>5</v>
      </c>
      <c r="G4181" s="85">
        <f>--(F4181&lt;=Estimator!$B$7)</f>
        <v>1</v>
      </c>
      <c r="H4181" s="86">
        <f>SUMIFS('Climate Data'!$G$7:$G$366,'Climate Data'!$A$7:$A$366,Estimator!$B$4,'Climate Data'!$B$7:$B$366,C4181)</f>
        <v>0.28666666666666668</v>
      </c>
      <c r="I4181" s="87">
        <f>SUMIFS('Climate Data'!$H$7:$H$366,'Climate Data'!$A$7:$A$366,Estimator!$B$4,'Climate Data'!$B$7:$B$366,C4181)</f>
        <v>7.941860465116279</v>
      </c>
      <c r="J4181" s="86">
        <f>SUMIFS('Wind Proxy'!$H$8:$H$19,'Wind Proxy'!$A$8:$A$19,Estimator!$B$4,'Wind Proxy'!$B$8:$B$19,C4181)</f>
        <v>0</v>
      </c>
    </row>
    <row r="4182" spans="1:10" ht="14.4">
      <c r="A4182" s="84">
        <v>49833</v>
      </c>
      <c r="B4182" s="85">
        <v>2036</v>
      </c>
      <c r="C4182" s="85">
        <v>6</v>
      </c>
      <c r="D4182" s="85" t="s">
        <v>68</v>
      </c>
      <c r="E4182" s="85">
        <v>7</v>
      </c>
      <c r="F4182" s="85">
        <v>6</v>
      </c>
      <c r="G4182" s="85">
        <f>--(F4182&lt;=Estimator!$B$7)</f>
        <v>0</v>
      </c>
      <c r="H4182" s="86">
        <f>SUMIFS('Climate Data'!$G$7:$G$366,'Climate Data'!$A$7:$A$366,Estimator!$B$4,'Climate Data'!$B$7:$B$366,C4182)</f>
        <v>0.28666666666666668</v>
      </c>
      <c r="I4182" s="87">
        <f>SUMIFS('Climate Data'!$H$7:$H$366,'Climate Data'!$A$7:$A$366,Estimator!$B$4,'Climate Data'!$B$7:$B$366,C4182)</f>
        <v>7.941860465116279</v>
      </c>
      <c r="J4182" s="86">
        <f>SUMIFS('Wind Proxy'!$H$8:$H$19,'Wind Proxy'!$A$8:$A$19,Estimator!$B$4,'Wind Proxy'!$B$8:$B$19,C4182)</f>
        <v>0</v>
      </c>
    </row>
    <row r="4183" spans="1:10" ht="14.4">
      <c r="A4183" s="84">
        <v>49834</v>
      </c>
      <c r="B4183" s="85">
        <v>2036</v>
      </c>
      <c r="C4183" s="85">
        <v>6</v>
      </c>
      <c r="D4183" s="85" t="s">
        <v>68</v>
      </c>
      <c r="E4183" s="85">
        <v>8</v>
      </c>
      <c r="F4183" s="85">
        <v>7</v>
      </c>
      <c r="G4183" s="85">
        <f>--(F4183&lt;=Estimator!$B$7)</f>
        <v>0</v>
      </c>
      <c r="H4183" s="86">
        <f>SUMIFS('Climate Data'!$G$7:$G$366,'Climate Data'!$A$7:$A$366,Estimator!$B$4,'Climate Data'!$B$7:$B$366,C4183)</f>
        <v>0.28666666666666668</v>
      </c>
      <c r="I4183" s="87">
        <f>SUMIFS('Climate Data'!$H$7:$H$366,'Climate Data'!$A$7:$A$366,Estimator!$B$4,'Climate Data'!$B$7:$B$366,C4183)</f>
        <v>7.941860465116279</v>
      </c>
      <c r="J4183" s="86">
        <f>SUMIFS('Wind Proxy'!$H$8:$H$19,'Wind Proxy'!$A$8:$A$19,Estimator!$B$4,'Wind Proxy'!$B$8:$B$19,C4183)</f>
        <v>0</v>
      </c>
    </row>
    <row r="4184" spans="1:10" ht="14.4">
      <c r="A4184" s="84">
        <v>49835</v>
      </c>
      <c r="B4184" s="85">
        <v>2036</v>
      </c>
      <c r="C4184" s="85">
        <v>6</v>
      </c>
      <c r="D4184" s="85" t="s">
        <v>68</v>
      </c>
      <c r="E4184" s="85">
        <v>9</v>
      </c>
      <c r="F4184" s="85">
        <v>1</v>
      </c>
      <c r="G4184" s="85">
        <f>--(F4184&lt;=Estimator!$B$7)</f>
        <v>1</v>
      </c>
      <c r="H4184" s="86">
        <f>SUMIFS('Climate Data'!$G$7:$G$366,'Climate Data'!$A$7:$A$366,Estimator!$B$4,'Climate Data'!$B$7:$B$366,C4184)</f>
        <v>0.28666666666666668</v>
      </c>
      <c r="I4184" s="87">
        <f>SUMIFS('Climate Data'!$H$7:$H$366,'Climate Data'!$A$7:$A$366,Estimator!$B$4,'Climate Data'!$B$7:$B$366,C4184)</f>
        <v>7.941860465116279</v>
      </c>
      <c r="J4184" s="86">
        <f>SUMIFS('Wind Proxy'!$H$8:$H$19,'Wind Proxy'!$A$8:$A$19,Estimator!$B$4,'Wind Proxy'!$B$8:$B$19,C4184)</f>
        <v>0</v>
      </c>
    </row>
    <row r="4185" spans="1:10" ht="14.4">
      <c r="A4185" s="84">
        <v>49836</v>
      </c>
      <c r="B4185" s="85">
        <v>2036</v>
      </c>
      <c r="C4185" s="85">
        <v>6</v>
      </c>
      <c r="D4185" s="85" t="s">
        <v>68</v>
      </c>
      <c r="E4185" s="85">
        <v>10</v>
      </c>
      <c r="F4185" s="85">
        <v>2</v>
      </c>
      <c r="G4185" s="85">
        <f>--(F4185&lt;=Estimator!$B$7)</f>
        <v>1</v>
      </c>
      <c r="H4185" s="86">
        <f>SUMIFS('Climate Data'!$G$7:$G$366,'Climate Data'!$A$7:$A$366,Estimator!$B$4,'Climate Data'!$B$7:$B$366,C4185)</f>
        <v>0.28666666666666668</v>
      </c>
      <c r="I4185" s="87">
        <f>SUMIFS('Climate Data'!$H$7:$H$366,'Climate Data'!$A$7:$A$366,Estimator!$B$4,'Climate Data'!$B$7:$B$366,C4185)</f>
        <v>7.941860465116279</v>
      </c>
      <c r="J4185" s="86">
        <f>SUMIFS('Wind Proxy'!$H$8:$H$19,'Wind Proxy'!$A$8:$A$19,Estimator!$B$4,'Wind Proxy'!$B$8:$B$19,C4185)</f>
        <v>0</v>
      </c>
    </row>
    <row r="4186" spans="1:10" ht="14.4">
      <c r="A4186" s="84">
        <v>49837</v>
      </c>
      <c r="B4186" s="85">
        <v>2036</v>
      </c>
      <c r="C4186" s="85">
        <v>6</v>
      </c>
      <c r="D4186" s="85" t="s">
        <v>68</v>
      </c>
      <c r="E4186" s="85">
        <v>11</v>
      </c>
      <c r="F4186" s="85">
        <v>3</v>
      </c>
      <c r="G4186" s="85">
        <f>--(F4186&lt;=Estimator!$B$7)</f>
        <v>1</v>
      </c>
      <c r="H4186" s="86">
        <f>SUMIFS('Climate Data'!$G$7:$G$366,'Climate Data'!$A$7:$A$366,Estimator!$B$4,'Climate Data'!$B$7:$B$366,C4186)</f>
        <v>0.28666666666666668</v>
      </c>
      <c r="I4186" s="87">
        <f>SUMIFS('Climate Data'!$H$7:$H$366,'Climate Data'!$A$7:$A$366,Estimator!$B$4,'Climate Data'!$B$7:$B$366,C4186)</f>
        <v>7.941860465116279</v>
      </c>
      <c r="J4186" s="86">
        <f>SUMIFS('Wind Proxy'!$H$8:$H$19,'Wind Proxy'!$A$8:$A$19,Estimator!$B$4,'Wind Proxy'!$B$8:$B$19,C4186)</f>
        <v>0</v>
      </c>
    </row>
    <row r="4187" spans="1:10" ht="14.4">
      <c r="A4187" s="84">
        <v>49838</v>
      </c>
      <c r="B4187" s="85">
        <v>2036</v>
      </c>
      <c r="C4187" s="85">
        <v>6</v>
      </c>
      <c r="D4187" s="85" t="s">
        <v>68</v>
      </c>
      <c r="E4187" s="85">
        <v>12</v>
      </c>
      <c r="F4187" s="85">
        <v>4</v>
      </c>
      <c r="G4187" s="85">
        <f>--(F4187&lt;=Estimator!$B$7)</f>
        <v>1</v>
      </c>
      <c r="H4187" s="86">
        <f>SUMIFS('Climate Data'!$G$7:$G$366,'Climate Data'!$A$7:$A$366,Estimator!$B$4,'Climate Data'!$B$7:$B$366,C4187)</f>
        <v>0.28666666666666668</v>
      </c>
      <c r="I4187" s="87">
        <f>SUMIFS('Climate Data'!$H$7:$H$366,'Climate Data'!$A$7:$A$366,Estimator!$B$4,'Climate Data'!$B$7:$B$366,C4187)</f>
        <v>7.941860465116279</v>
      </c>
      <c r="J4187" s="86">
        <f>SUMIFS('Wind Proxy'!$H$8:$H$19,'Wind Proxy'!$A$8:$A$19,Estimator!$B$4,'Wind Proxy'!$B$8:$B$19,C4187)</f>
        <v>0</v>
      </c>
    </row>
    <row r="4188" spans="1:10" ht="14.4">
      <c r="A4188" s="84">
        <v>49839</v>
      </c>
      <c r="B4188" s="85">
        <v>2036</v>
      </c>
      <c r="C4188" s="85">
        <v>6</v>
      </c>
      <c r="D4188" s="85" t="s">
        <v>68</v>
      </c>
      <c r="E4188" s="85">
        <v>13</v>
      </c>
      <c r="F4188" s="85">
        <v>5</v>
      </c>
      <c r="G4188" s="85">
        <f>--(F4188&lt;=Estimator!$B$7)</f>
        <v>1</v>
      </c>
      <c r="H4188" s="86">
        <f>SUMIFS('Climate Data'!$G$7:$G$366,'Climate Data'!$A$7:$A$366,Estimator!$B$4,'Climate Data'!$B$7:$B$366,C4188)</f>
        <v>0.28666666666666668</v>
      </c>
      <c r="I4188" s="87">
        <f>SUMIFS('Climate Data'!$H$7:$H$366,'Climate Data'!$A$7:$A$366,Estimator!$B$4,'Climate Data'!$B$7:$B$366,C4188)</f>
        <v>7.941860465116279</v>
      </c>
      <c r="J4188" s="86">
        <f>SUMIFS('Wind Proxy'!$H$8:$H$19,'Wind Proxy'!$A$8:$A$19,Estimator!$B$4,'Wind Proxy'!$B$8:$B$19,C4188)</f>
        <v>0</v>
      </c>
    </row>
    <row r="4189" spans="1:10" ht="14.4">
      <c r="A4189" s="84">
        <v>49840</v>
      </c>
      <c r="B4189" s="85">
        <v>2036</v>
      </c>
      <c r="C4189" s="85">
        <v>6</v>
      </c>
      <c r="D4189" s="85" t="s">
        <v>68</v>
      </c>
      <c r="E4189" s="85">
        <v>14</v>
      </c>
      <c r="F4189" s="85">
        <v>6</v>
      </c>
      <c r="G4189" s="85">
        <f>--(F4189&lt;=Estimator!$B$7)</f>
        <v>0</v>
      </c>
      <c r="H4189" s="86">
        <f>SUMIFS('Climate Data'!$G$7:$G$366,'Climate Data'!$A$7:$A$366,Estimator!$B$4,'Climate Data'!$B$7:$B$366,C4189)</f>
        <v>0.28666666666666668</v>
      </c>
      <c r="I4189" s="87">
        <f>SUMIFS('Climate Data'!$H$7:$H$366,'Climate Data'!$A$7:$A$366,Estimator!$B$4,'Climate Data'!$B$7:$B$366,C4189)</f>
        <v>7.941860465116279</v>
      </c>
      <c r="J4189" s="86">
        <f>SUMIFS('Wind Proxy'!$H$8:$H$19,'Wind Proxy'!$A$8:$A$19,Estimator!$B$4,'Wind Proxy'!$B$8:$B$19,C4189)</f>
        <v>0</v>
      </c>
    </row>
    <row r="4190" spans="1:10" ht="14.4">
      <c r="A4190" s="84">
        <v>49841</v>
      </c>
      <c r="B4190" s="85">
        <v>2036</v>
      </c>
      <c r="C4190" s="85">
        <v>6</v>
      </c>
      <c r="D4190" s="85" t="s">
        <v>68</v>
      </c>
      <c r="E4190" s="85">
        <v>15</v>
      </c>
      <c r="F4190" s="85">
        <v>7</v>
      </c>
      <c r="G4190" s="85">
        <f>--(F4190&lt;=Estimator!$B$7)</f>
        <v>0</v>
      </c>
      <c r="H4190" s="86">
        <f>SUMIFS('Climate Data'!$G$7:$G$366,'Climate Data'!$A$7:$A$366,Estimator!$B$4,'Climate Data'!$B$7:$B$366,C4190)</f>
        <v>0.28666666666666668</v>
      </c>
      <c r="I4190" s="87">
        <f>SUMIFS('Climate Data'!$H$7:$H$366,'Climate Data'!$A$7:$A$366,Estimator!$B$4,'Climate Data'!$B$7:$B$366,C4190)</f>
        <v>7.941860465116279</v>
      </c>
      <c r="J4190" s="86">
        <f>SUMIFS('Wind Proxy'!$H$8:$H$19,'Wind Proxy'!$A$8:$A$19,Estimator!$B$4,'Wind Proxy'!$B$8:$B$19,C4190)</f>
        <v>0</v>
      </c>
    </row>
    <row r="4191" spans="1:10" ht="14.4">
      <c r="A4191" s="84">
        <v>49842</v>
      </c>
      <c r="B4191" s="85">
        <v>2036</v>
      </c>
      <c r="C4191" s="85">
        <v>6</v>
      </c>
      <c r="D4191" s="85" t="s">
        <v>68</v>
      </c>
      <c r="E4191" s="85">
        <v>16</v>
      </c>
      <c r="F4191" s="85">
        <v>1</v>
      </c>
      <c r="G4191" s="85">
        <f>--(F4191&lt;=Estimator!$B$7)</f>
        <v>1</v>
      </c>
      <c r="H4191" s="86">
        <f>SUMIFS('Climate Data'!$G$7:$G$366,'Climate Data'!$A$7:$A$366,Estimator!$B$4,'Climate Data'!$B$7:$B$366,C4191)</f>
        <v>0.28666666666666668</v>
      </c>
      <c r="I4191" s="87">
        <f>SUMIFS('Climate Data'!$H$7:$H$366,'Climate Data'!$A$7:$A$366,Estimator!$B$4,'Climate Data'!$B$7:$B$366,C4191)</f>
        <v>7.941860465116279</v>
      </c>
      <c r="J4191" s="86">
        <f>SUMIFS('Wind Proxy'!$H$8:$H$19,'Wind Proxy'!$A$8:$A$19,Estimator!$B$4,'Wind Proxy'!$B$8:$B$19,C4191)</f>
        <v>0</v>
      </c>
    </row>
    <row r="4192" spans="1:10" ht="14.4">
      <c r="A4192" s="84">
        <v>49843</v>
      </c>
      <c r="B4192" s="85">
        <v>2036</v>
      </c>
      <c r="C4192" s="85">
        <v>6</v>
      </c>
      <c r="D4192" s="85" t="s">
        <v>68</v>
      </c>
      <c r="E4192" s="85">
        <v>17</v>
      </c>
      <c r="F4192" s="85">
        <v>2</v>
      </c>
      <c r="G4192" s="85">
        <f>--(F4192&lt;=Estimator!$B$7)</f>
        <v>1</v>
      </c>
      <c r="H4192" s="86">
        <f>SUMIFS('Climate Data'!$G$7:$G$366,'Climate Data'!$A$7:$A$366,Estimator!$B$4,'Climate Data'!$B$7:$B$366,C4192)</f>
        <v>0.28666666666666668</v>
      </c>
      <c r="I4192" s="87">
        <f>SUMIFS('Climate Data'!$H$7:$H$366,'Climate Data'!$A$7:$A$366,Estimator!$B$4,'Climate Data'!$B$7:$B$366,C4192)</f>
        <v>7.941860465116279</v>
      </c>
      <c r="J4192" s="86">
        <f>SUMIFS('Wind Proxy'!$H$8:$H$19,'Wind Proxy'!$A$8:$A$19,Estimator!$B$4,'Wind Proxy'!$B$8:$B$19,C4192)</f>
        <v>0</v>
      </c>
    </row>
    <row r="4193" spans="1:10" ht="14.4">
      <c r="A4193" s="84">
        <v>49844</v>
      </c>
      <c r="B4193" s="85">
        <v>2036</v>
      </c>
      <c r="C4193" s="85">
        <v>6</v>
      </c>
      <c r="D4193" s="85" t="s">
        <v>68</v>
      </c>
      <c r="E4193" s="85">
        <v>18</v>
      </c>
      <c r="F4193" s="85">
        <v>3</v>
      </c>
      <c r="G4193" s="85">
        <f>--(F4193&lt;=Estimator!$B$7)</f>
        <v>1</v>
      </c>
      <c r="H4193" s="86">
        <f>SUMIFS('Climate Data'!$G$7:$G$366,'Climate Data'!$A$7:$A$366,Estimator!$B$4,'Climate Data'!$B$7:$B$366,C4193)</f>
        <v>0.28666666666666668</v>
      </c>
      <c r="I4193" s="87">
        <f>SUMIFS('Climate Data'!$H$7:$H$366,'Climate Data'!$A$7:$A$366,Estimator!$B$4,'Climate Data'!$B$7:$B$366,C4193)</f>
        <v>7.941860465116279</v>
      </c>
      <c r="J4193" s="86">
        <f>SUMIFS('Wind Proxy'!$H$8:$H$19,'Wind Proxy'!$A$8:$A$19,Estimator!$B$4,'Wind Proxy'!$B$8:$B$19,C4193)</f>
        <v>0</v>
      </c>
    </row>
    <row r="4194" spans="1:10" ht="14.4">
      <c r="A4194" s="84">
        <v>49845</v>
      </c>
      <c r="B4194" s="85">
        <v>2036</v>
      </c>
      <c r="C4194" s="85">
        <v>6</v>
      </c>
      <c r="D4194" s="85" t="s">
        <v>68</v>
      </c>
      <c r="E4194" s="85">
        <v>19</v>
      </c>
      <c r="F4194" s="85">
        <v>4</v>
      </c>
      <c r="G4194" s="85">
        <f>--(F4194&lt;=Estimator!$B$7)</f>
        <v>1</v>
      </c>
      <c r="H4194" s="86">
        <f>SUMIFS('Climate Data'!$G$7:$G$366,'Climate Data'!$A$7:$A$366,Estimator!$B$4,'Climate Data'!$B$7:$B$366,C4194)</f>
        <v>0.28666666666666668</v>
      </c>
      <c r="I4194" s="87">
        <f>SUMIFS('Climate Data'!$H$7:$H$366,'Climate Data'!$A$7:$A$366,Estimator!$B$4,'Climate Data'!$B$7:$B$366,C4194)</f>
        <v>7.941860465116279</v>
      </c>
      <c r="J4194" s="86">
        <f>SUMIFS('Wind Proxy'!$H$8:$H$19,'Wind Proxy'!$A$8:$A$19,Estimator!$B$4,'Wind Proxy'!$B$8:$B$19,C4194)</f>
        <v>0</v>
      </c>
    </row>
    <row r="4195" spans="1:10" ht="14.4">
      <c r="A4195" s="84">
        <v>49846</v>
      </c>
      <c r="B4195" s="85">
        <v>2036</v>
      </c>
      <c r="C4195" s="85">
        <v>6</v>
      </c>
      <c r="D4195" s="85" t="s">
        <v>68</v>
      </c>
      <c r="E4195" s="85">
        <v>20</v>
      </c>
      <c r="F4195" s="85">
        <v>5</v>
      </c>
      <c r="G4195" s="85">
        <f>--(F4195&lt;=Estimator!$B$7)</f>
        <v>1</v>
      </c>
      <c r="H4195" s="86">
        <f>SUMIFS('Climate Data'!$G$7:$G$366,'Climate Data'!$A$7:$A$366,Estimator!$B$4,'Climate Data'!$B$7:$B$366,C4195)</f>
        <v>0.28666666666666668</v>
      </c>
      <c r="I4195" s="87">
        <f>SUMIFS('Climate Data'!$H$7:$H$366,'Climate Data'!$A$7:$A$366,Estimator!$B$4,'Climate Data'!$B$7:$B$366,C4195)</f>
        <v>7.941860465116279</v>
      </c>
      <c r="J4195" s="86">
        <f>SUMIFS('Wind Proxy'!$H$8:$H$19,'Wind Proxy'!$A$8:$A$19,Estimator!$B$4,'Wind Proxy'!$B$8:$B$19,C4195)</f>
        <v>0</v>
      </c>
    </row>
    <row r="4196" spans="1:10" ht="14.4">
      <c r="A4196" s="84">
        <v>49847</v>
      </c>
      <c r="B4196" s="85">
        <v>2036</v>
      </c>
      <c r="C4196" s="85">
        <v>6</v>
      </c>
      <c r="D4196" s="85" t="s">
        <v>68</v>
      </c>
      <c r="E4196" s="85">
        <v>21</v>
      </c>
      <c r="F4196" s="85">
        <v>6</v>
      </c>
      <c r="G4196" s="85">
        <f>--(F4196&lt;=Estimator!$B$7)</f>
        <v>0</v>
      </c>
      <c r="H4196" s="86">
        <f>SUMIFS('Climate Data'!$G$7:$G$366,'Climate Data'!$A$7:$A$366,Estimator!$B$4,'Climate Data'!$B$7:$B$366,C4196)</f>
        <v>0.28666666666666668</v>
      </c>
      <c r="I4196" s="87">
        <f>SUMIFS('Climate Data'!$H$7:$H$366,'Climate Data'!$A$7:$A$366,Estimator!$B$4,'Climate Data'!$B$7:$B$366,C4196)</f>
        <v>7.941860465116279</v>
      </c>
      <c r="J4196" s="86">
        <f>SUMIFS('Wind Proxy'!$H$8:$H$19,'Wind Proxy'!$A$8:$A$19,Estimator!$B$4,'Wind Proxy'!$B$8:$B$19,C4196)</f>
        <v>0</v>
      </c>
    </row>
    <row r="4197" spans="1:10" ht="14.4">
      <c r="A4197" s="84">
        <v>49848</v>
      </c>
      <c r="B4197" s="85">
        <v>2036</v>
      </c>
      <c r="C4197" s="85">
        <v>6</v>
      </c>
      <c r="D4197" s="85" t="s">
        <v>68</v>
      </c>
      <c r="E4197" s="85">
        <v>22</v>
      </c>
      <c r="F4197" s="85">
        <v>7</v>
      </c>
      <c r="G4197" s="85">
        <f>--(F4197&lt;=Estimator!$B$7)</f>
        <v>0</v>
      </c>
      <c r="H4197" s="86">
        <f>SUMIFS('Climate Data'!$G$7:$G$366,'Climate Data'!$A$7:$A$366,Estimator!$B$4,'Climate Data'!$B$7:$B$366,C4197)</f>
        <v>0.28666666666666668</v>
      </c>
      <c r="I4197" s="87">
        <f>SUMIFS('Climate Data'!$H$7:$H$366,'Climate Data'!$A$7:$A$366,Estimator!$B$4,'Climate Data'!$B$7:$B$366,C4197)</f>
        <v>7.941860465116279</v>
      </c>
      <c r="J4197" s="86">
        <f>SUMIFS('Wind Proxy'!$H$8:$H$19,'Wind Proxy'!$A$8:$A$19,Estimator!$B$4,'Wind Proxy'!$B$8:$B$19,C4197)</f>
        <v>0</v>
      </c>
    </row>
    <row r="4198" spans="1:10" ht="14.4">
      <c r="A4198" s="84">
        <v>49849</v>
      </c>
      <c r="B4198" s="85">
        <v>2036</v>
      </c>
      <c r="C4198" s="85">
        <v>6</v>
      </c>
      <c r="D4198" s="85" t="s">
        <v>68</v>
      </c>
      <c r="E4198" s="85">
        <v>23</v>
      </c>
      <c r="F4198" s="85">
        <v>1</v>
      </c>
      <c r="G4198" s="85">
        <f>--(F4198&lt;=Estimator!$B$7)</f>
        <v>1</v>
      </c>
      <c r="H4198" s="86">
        <f>SUMIFS('Climate Data'!$G$7:$G$366,'Climate Data'!$A$7:$A$366,Estimator!$B$4,'Climate Data'!$B$7:$B$366,C4198)</f>
        <v>0.28666666666666668</v>
      </c>
      <c r="I4198" s="87">
        <f>SUMIFS('Climate Data'!$H$7:$H$366,'Climate Data'!$A$7:$A$366,Estimator!$B$4,'Climate Data'!$B$7:$B$366,C4198)</f>
        <v>7.941860465116279</v>
      </c>
      <c r="J4198" s="86">
        <f>SUMIFS('Wind Proxy'!$H$8:$H$19,'Wind Proxy'!$A$8:$A$19,Estimator!$B$4,'Wind Proxy'!$B$8:$B$19,C4198)</f>
        <v>0</v>
      </c>
    </row>
    <row r="4199" spans="1:10" ht="14.4">
      <c r="A4199" s="84">
        <v>49850</v>
      </c>
      <c r="B4199" s="85">
        <v>2036</v>
      </c>
      <c r="C4199" s="85">
        <v>6</v>
      </c>
      <c r="D4199" s="85" t="s">
        <v>68</v>
      </c>
      <c r="E4199" s="85">
        <v>24</v>
      </c>
      <c r="F4199" s="85">
        <v>2</v>
      </c>
      <c r="G4199" s="85">
        <f>--(F4199&lt;=Estimator!$B$7)</f>
        <v>1</v>
      </c>
      <c r="H4199" s="86">
        <f>SUMIFS('Climate Data'!$G$7:$G$366,'Climate Data'!$A$7:$A$366,Estimator!$B$4,'Climate Data'!$B$7:$B$366,C4199)</f>
        <v>0.28666666666666668</v>
      </c>
      <c r="I4199" s="87">
        <f>SUMIFS('Climate Data'!$H$7:$H$366,'Climate Data'!$A$7:$A$366,Estimator!$B$4,'Climate Data'!$B$7:$B$366,C4199)</f>
        <v>7.941860465116279</v>
      </c>
      <c r="J4199" s="86">
        <f>SUMIFS('Wind Proxy'!$H$8:$H$19,'Wind Proxy'!$A$8:$A$19,Estimator!$B$4,'Wind Proxy'!$B$8:$B$19,C4199)</f>
        <v>0</v>
      </c>
    </row>
    <row r="4200" spans="1:10" ht="14.4">
      <c r="A4200" s="84">
        <v>49851</v>
      </c>
      <c r="B4200" s="85">
        <v>2036</v>
      </c>
      <c r="C4200" s="85">
        <v>6</v>
      </c>
      <c r="D4200" s="85" t="s">
        <v>68</v>
      </c>
      <c r="E4200" s="85">
        <v>25</v>
      </c>
      <c r="F4200" s="85">
        <v>3</v>
      </c>
      <c r="G4200" s="85">
        <f>--(F4200&lt;=Estimator!$B$7)</f>
        <v>1</v>
      </c>
      <c r="H4200" s="86">
        <f>SUMIFS('Climate Data'!$G$7:$G$366,'Climate Data'!$A$7:$A$366,Estimator!$B$4,'Climate Data'!$B$7:$B$366,C4200)</f>
        <v>0.28666666666666668</v>
      </c>
      <c r="I4200" s="87">
        <f>SUMIFS('Climate Data'!$H$7:$H$366,'Climate Data'!$A$7:$A$366,Estimator!$B$4,'Climate Data'!$B$7:$B$366,C4200)</f>
        <v>7.941860465116279</v>
      </c>
      <c r="J4200" s="86">
        <f>SUMIFS('Wind Proxy'!$H$8:$H$19,'Wind Proxy'!$A$8:$A$19,Estimator!$B$4,'Wind Proxy'!$B$8:$B$19,C4200)</f>
        <v>0</v>
      </c>
    </row>
    <row r="4201" spans="1:10" ht="14.4">
      <c r="A4201" s="84">
        <v>49852</v>
      </c>
      <c r="B4201" s="85">
        <v>2036</v>
      </c>
      <c r="C4201" s="85">
        <v>6</v>
      </c>
      <c r="D4201" s="85" t="s">
        <v>68</v>
      </c>
      <c r="E4201" s="85">
        <v>26</v>
      </c>
      <c r="F4201" s="85">
        <v>4</v>
      </c>
      <c r="G4201" s="85">
        <f>--(F4201&lt;=Estimator!$B$7)</f>
        <v>1</v>
      </c>
      <c r="H4201" s="86">
        <f>SUMIFS('Climate Data'!$G$7:$G$366,'Climate Data'!$A$7:$A$366,Estimator!$B$4,'Climate Data'!$B$7:$B$366,C4201)</f>
        <v>0.28666666666666668</v>
      </c>
      <c r="I4201" s="87">
        <f>SUMIFS('Climate Data'!$H$7:$H$366,'Climate Data'!$A$7:$A$366,Estimator!$B$4,'Climate Data'!$B$7:$B$366,C4201)</f>
        <v>7.941860465116279</v>
      </c>
      <c r="J4201" s="86">
        <f>SUMIFS('Wind Proxy'!$H$8:$H$19,'Wind Proxy'!$A$8:$A$19,Estimator!$B$4,'Wind Proxy'!$B$8:$B$19,C4201)</f>
        <v>0</v>
      </c>
    </row>
    <row r="4202" spans="1:10" ht="14.4">
      <c r="A4202" s="84">
        <v>49853</v>
      </c>
      <c r="B4202" s="85">
        <v>2036</v>
      </c>
      <c r="C4202" s="85">
        <v>6</v>
      </c>
      <c r="D4202" s="85" t="s">
        <v>68</v>
      </c>
      <c r="E4202" s="85">
        <v>27</v>
      </c>
      <c r="F4202" s="85">
        <v>5</v>
      </c>
      <c r="G4202" s="85">
        <f>--(F4202&lt;=Estimator!$B$7)</f>
        <v>1</v>
      </c>
      <c r="H4202" s="86">
        <f>SUMIFS('Climate Data'!$G$7:$G$366,'Climate Data'!$A$7:$A$366,Estimator!$B$4,'Climate Data'!$B$7:$B$366,C4202)</f>
        <v>0.28666666666666668</v>
      </c>
      <c r="I4202" s="87">
        <f>SUMIFS('Climate Data'!$H$7:$H$366,'Climate Data'!$A$7:$A$366,Estimator!$B$4,'Climate Data'!$B$7:$B$366,C4202)</f>
        <v>7.941860465116279</v>
      </c>
      <c r="J4202" s="86">
        <f>SUMIFS('Wind Proxy'!$H$8:$H$19,'Wind Proxy'!$A$8:$A$19,Estimator!$B$4,'Wind Proxy'!$B$8:$B$19,C4202)</f>
        <v>0</v>
      </c>
    </row>
    <row r="4203" spans="1:10" ht="14.4">
      <c r="A4203" s="84">
        <v>49854</v>
      </c>
      <c r="B4203" s="85">
        <v>2036</v>
      </c>
      <c r="C4203" s="85">
        <v>6</v>
      </c>
      <c r="D4203" s="85" t="s">
        <v>68</v>
      </c>
      <c r="E4203" s="85">
        <v>28</v>
      </c>
      <c r="F4203" s="85">
        <v>6</v>
      </c>
      <c r="G4203" s="85">
        <f>--(F4203&lt;=Estimator!$B$7)</f>
        <v>0</v>
      </c>
      <c r="H4203" s="86">
        <f>SUMIFS('Climate Data'!$G$7:$G$366,'Climate Data'!$A$7:$A$366,Estimator!$B$4,'Climate Data'!$B$7:$B$366,C4203)</f>
        <v>0.28666666666666668</v>
      </c>
      <c r="I4203" s="87">
        <f>SUMIFS('Climate Data'!$H$7:$H$366,'Climate Data'!$A$7:$A$366,Estimator!$B$4,'Climate Data'!$B$7:$B$366,C4203)</f>
        <v>7.941860465116279</v>
      </c>
      <c r="J4203" s="86">
        <f>SUMIFS('Wind Proxy'!$H$8:$H$19,'Wind Proxy'!$A$8:$A$19,Estimator!$B$4,'Wind Proxy'!$B$8:$B$19,C4203)</f>
        <v>0</v>
      </c>
    </row>
    <row r="4204" spans="1:10" ht="14.4">
      <c r="A4204" s="84">
        <v>49855</v>
      </c>
      <c r="B4204" s="85">
        <v>2036</v>
      </c>
      <c r="C4204" s="85">
        <v>6</v>
      </c>
      <c r="D4204" s="85" t="s">
        <v>68</v>
      </c>
      <c r="E4204" s="85">
        <v>29</v>
      </c>
      <c r="F4204" s="85">
        <v>7</v>
      </c>
      <c r="G4204" s="85">
        <f>--(F4204&lt;=Estimator!$B$7)</f>
        <v>0</v>
      </c>
      <c r="H4204" s="86">
        <f>SUMIFS('Climate Data'!$G$7:$G$366,'Climate Data'!$A$7:$A$366,Estimator!$B$4,'Climate Data'!$B$7:$B$366,C4204)</f>
        <v>0.28666666666666668</v>
      </c>
      <c r="I4204" s="87">
        <f>SUMIFS('Climate Data'!$H$7:$H$366,'Climate Data'!$A$7:$A$366,Estimator!$B$4,'Climate Data'!$B$7:$B$366,C4204)</f>
        <v>7.941860465116279</v>
      </c>
      <c r="J4204" s="86">
        <f>SUMIFS('Wind Proxy'!$H$8:$H$19,'Wind Proxy'!$A$8:$A$19,Estimator!$B$4,'Wind Proxy'!$B$8:$B$19,C4204)</f>
        <v>0</v>
      </c>
    </row>
    <row r="4205" spans="1:10" ht="14.4">
      <c r="A4205" s="84">
        <v>49856</v>
      </c>
      <c r="B4205" s="85">
        <v>2036</v>
      </c>
      <c r="C4205" s="85">
        <v>6</v>
      </c>
      <c r="D4205" s="85" t="s">
        <v>68</v>
      </c>
      <c r="E4205" s="85">
        <v>30</v>
      </c>
      <c r="F4205" s="85">
        <v>1</v>
      </c>
      <c r="G4205" s="85">
        <f>--(F4205&lt;=Estimator!$B$7)</f>
        <v>1</v>
      </c>
      <c r="H4205" s="86">
        <f>SUMIFS('Climate Data'!$G$7:$G$366,'Climate Data'!$A$7:$A$366,Estimator!$B$4,'Climate Data'!$B$7:$B$366,C4205)</f>
        <v>0.28666666666666668</v>
      </c>
      <c r="I4205" s="87">
        <f>SUMIFS('Climate Data'!$H$7:$H$366,'Climate Data'!$A$7:$A$366,Estimator!$B$4,'Climate Data'!$B$7:$B$366,C4205)</f>
        <v>7.941860465116279</v>
      </c>
      <c r="J4205" s="86">
        <f>SUMIFS('Wind Proxy'!$H$8:$H$19,'Wind Proxy'!$A$8:$A$19,Estimator!$B$4,'Wind Proxy'!$B$8:$B$19,C4205)</f>
        <v>0</v>
      </c>
    </row>
    <row r="4206" spans="1:10" ht="14.4">
      <c r="A4206" s="84">
        <v>49857</v>
      </c>
      <c r="B4206" s="85">
        <v>2036</v>
      </c>
      <c r="C4206" s="85">
        <v>7</v>
      </c>
      <c r="D4206" s="85" t="s">
        <v>69</v>
      </c>
      <c r="E4206" s="85">
        <v>1</v>
      </c>
      <c r="F4206" s="85">
        <v>2</v>
      </c>
      <c r="G4206" s="85">
        <f>--(F4206&lt;=Estimator!$B$7)</f>
        <v>1</v>
      </c>
      <c r="H4206" s="86">
        <f>SUMIFS('Climate Data'!$G$7:$G$366,'Climate Data'!$A$7:$A$366,Estimator!$B$4,'Climate Data'!$B$7:$B$366,C4206)</f>
        <v>0.24731182795698925</v>
      </c>
      <c r="I4206" s="87">
        <f>SUMIFS('Climate Data'!$H$7:$H$366,'Climate Data'!$A$7:$A$366,Estimator!$B$4,'Climate Data'!$B$7:$B$366,C4206)</f>
        <v>8.3739130434782609</v>
      </c>
      <c r="J4206" s="86">
        <f>SUMIFS('Wind Proxy'!$H$8:$H$19,'Wind Proxy'!$A$8:$A$19,Estimator!$B$4,'Wind Proxy'!$B$8:$B$19,C4206)</f>
        <v>0</v>
      </c>
    </row>
    <row r="4207" spans="1:10" ht="14.4">
      <c r="A4207" s="84">
        <v>49858</v>
      </c>
      <c r="B4207" s="85">
        <v>2036</v>
      </c>
      <c r="C4207" s="85">
        <v>7</v>
      </c>
      <c r="D4207" s="85" t="s">
        <v>69</v>
      </c>
      <c r="E4207" s="85">
        <v>2</v>
      </c>
      <c r="F4207" s="85">
        <v>3</v>
      </c>
      <c r="G4207" s="85">
        <f>--(F4207&lt;=Estimator!$B$7)</f>
        <v>1</v>
      </c>
      <c r="H4207" s="86">
        <f>SUMIFS('Climate Data'!$G$7:$G$366,'Climate Data'!$A$7:$A$366,Estimator!$B$4,'Climate Data'!$B$7:$B$366,C4207)</f>
        <v>0.24731182795698925</v>
      </c>
      <c r="I4207" s="87">
        <f>SUMIFS('Climate Data'!$H$7:$H$366,'Climate Data'!$A$7:$A$366,Estimator!$B$4,'Climate Data'!$B$7:$B$366,C4207)</f>
        <v>8.3739130434782609</v>
      </c>
      <c r="J4207" s="86">
        <f>SUMIFS('Wind Proxy'!$H$8:$H$19,'Wind Proxy'!$A$8:$A$19,Estimator!$B$4,'Wind Proxy'!$B$8:$B$19,C4207)</f>
        <v>0</v>
      </c>
    </row>
    <row r="4208" spans="1:10" ht="14.4">
      <c r="A4208" s="84">
        <v>49859</v>
      </c>
      <c r="B4208" s="85">
        <v>2036</v>
      </c>
      <c r="C4208" s="85">
        <v>7</v>
      </c>
      <c r="D4208" s="85" t="s">
        <v>69</v>
      </c>
      <c r="E4208" s="85">
        <v>3</v>
      </c>
      <c r="F4208" s="85">
        <v>4</v>
      </c>
      <c r="G4208" s="85">
        <f>--(F4208&lt;=Estimator!$B$7)</f>
        <v>1</v>
      </c>
      <c r="H4208" s="86">
        <f>SUMIFS('Climate Data'!$G$7:$G$366,'Climate Data'!$A$7:$A$366,Estimator!$B$4,'Climate Data'!$B$7:$B$366,C4208)</f>
        <v>0.24731182795698925</v>
      </c>
      <c r="I4208" s="87">
        <f>SUMIFS('Climate Data'!$H$7:$H$366,'Climate Data'!$A$7:$A$366,Estimator!$B$4,'Climate Data'!$B$7:$B$366,C4208)</f>
        <v>8.3739130434782609</v>
      </c>
      <c r="J4208" s="86">
        <f>SUMIFS('Wind Proxy'!$H$8:$H$19,'Wind Proxy'!$A$8:$A$19,Estimator!$B$4,'Wind Proxy'!$B$8:$B$19,C4208)</f>
        <v>0</v>
      </c>
    </row>
    <row r="4209" spans="1:10" ht="14.4">
      <c r="A4209" s="84">
        <v>49860</v>
      </c>
      <c r="B4209" s="85">
        <v>2036</v>
      </c>
      <c r="C4209" s="85">
        <v>7</v>
      </c>
      <c r="D4209" s="85" t="s">
        <v>69</v>
      </c>
      <c r="E4209" s="85">
        <v>4</v>
      </c>
      <c r="F4209" s="85">
        <v>5</v>
      </c>
      <c r="G4209" s="85">
        <f>--(F4209&lt;=Estimator!$B$7)</f>
        <v>1</v>
      </c>
      <c r="H4209" s="86">
        <f>SUMIFS('Climate Data'!$G$7:$G$366,'Climate Data'!$A$7:$A$366,Estimator!$B$4,'Climate Data'!$B$7:$B$366,C4209)</f>
        <v>0.24731182795698925</v>
      </c>
      <c r="I4209" s="87">
        <f>SUMIFS('Climate Data'!$H$7:$H$366,'Climate Data'!$A$7:$A$366,Estimator!$B$4,'Climate Data'!$B$7:$B$366,C4209)</f>
        <v>8.3739130434782609</v>
      </c>
      <c r="J4209" s="86">
        <f>SUMIFS('Wind Proxy'!$H$8:$H$19,'Wind Proxy'!$A$8:$A$19,Estimator!$B$4,'Wind Proxy'!$B$8:$B$19,C4209)</f>
        <v>0</v>
      </c>
    </row>
    <row r="4210" spans="1:10" ht="14.4">
      <c r="A4210" s="84">
        <v>49861</v>
      </c>
      <c r="B4210" s="85">
        <v>2036</v>
      </c>
      <c r="C4210" s="85">
        <v>7</v>
      </c>
      <c r="D4210" s="85" t="s">
        <v>69</v>
      </c>
      <c r="E4210" s="85">
        <v>5</v>
      </c>
      <c r="F4210" s="85">
        <v>6</v>
      </c>
      <c r="G4210" s="85">
        <f>--(F4210&lt;=Estimator!$B$7)</f>
        <v>0</v>
      </c>
      <c r="H4210" s="86">
        <f>SUMIFS('Climate Data'!$G$7:$G$366,'Climate Data'!$A$7:$A$366,Estimator!$B$4,'Climate Data'!$B$7:$B$366,C4210)</f>
        <v>0.24731182795698925</v>
      </c>
      <c r="I4210" s="87">
        <f>SUMIFS('Climate Data'!$H$7:$H$366,'Climate Data'!$A$7:$A$366,Estimator!$B$4,'Climate Data'!$B$7:$B$366,C4210)</f>
        <v>8.3739130434782609</v>
      </c>
      <c r="J4210" s="86">
        <f>SUMIFS('Wind Proxy'!$H$8:$H$19,'Wind Proxy'!$A$8:$A$19,Estimator!$B$4,'Wind Proxy'!$B$8:$B$19,C4210)</f>
        <v>0</v>
      </c>
    </row>
    <row r="4211" spans="1:10" ht="14.4">
      <c r="A4211" s="84">
        <v>49862</v>
      </c>
      <c r="B4211" s="85">
        <v>2036</v>
      </c>
      <c r="C4211" s="85">
        <v>7</v>
      </c>
      <c r="D4211" s="85" t="s">
        <v>69</v>
      </c>
      <c r="E4211" s="85">
        <v>6</v>
      </c>
      <c r="F4211" s="85">
        <v>7</v>
      </c>
      <c r="G4211" s="85">
        <f>--(F4211&lt;=Estimator!$B$7)</f>
        <v>0</v>
      </c>
      <c r="H4211" s="86">
        <f>SUMIFS('Climate Data'!$G$7:$G$366,'Climate Data'!$A$7:$A$366,Estimator!$B$4,'Climate Data'!$B$7:$B$366,C4211)</f>
        <v>0.24731182795698925</v>
      </c>
      <c r="I4211" s="87">
        <f>SUMIFS('Climate Data'!$H$7:$H$366,'Climate Data'!$A$7:$A$366,Estimator!$B$4,'Climate Data'!$B$7:$B$366,C4211)</f>
        <v>8.3739130434782609</v>
      </c>
      <c r="J4211" s="86">
        <f>SUMIFS('Wind Proxy'!$H$8:$H$19,'Wind Proxy'!$A$8:$A$19,Estimator!$B$4,'Wind Proxy'!$B$8:$B$19,C4211)</f>
        <v>0</v>
      </c>
    </row>
    <row r="4212" spans="1:10" ht="14.4">
      <c r="A4212" s="84">
        <v>49863</v>
      </c>
      <c r="B4212" s="85">
        <v>2036</v>
      </c>
      <c r="C4212" s="85">
        <v>7</v>
      </c>
      <c r="D4212" s="85" t="s">
        <v>69</v>
      </c>
      <c r="E4212" s="85">
        <v>7</v>
      </c>
      <c r="F4212" s="85">
        <v>1</v>
      </c>
      <c r="G4212" s="85">
        <f>--(F4212&lt;=Estimator!$B$7)</f>
        <v>1</v>
      </c>
      <c r="H4212" s="86">
        <f>SUMIFS('Climate Data'!$G$7:$G$366,'Climate Data'!$A$7:$A$366,Estimator!$B$4,'Climate Data'!$B$7:$B$366,C4212)</f>
        <v>0.24731182795698925</v>
      </c>
      <c r="I4212" s="87">
        <f>SUMIFS('Climate Data'!$H$7:$H$366,'Climate Data'!$A$7:$A$366,Estimator!$B$4,'Climate Data'!$B$7:$B$366,C4212)</f>
        <v>8.3739130434782609</v>
      </c>
      <c r="J4212" s="86">
        <f>SUMIFS('Wind Proxy'!$H$8:$H$19,'Wind Proxy'!$A$8:$A$19,Estimator!$B$4,'Wind Proxy'!$B$8:$B$19,C4212)</f>
        <v>0</v>
      </c>
    </row>
    <row r="4213" spans="1:10" ht="14.4">
      <c r="A4213" s="84">
        <v>49864</v>
      </c>
      <c r="B4213" s="85">
        <v>2036</v>
      </c>
      <c r="C4213" s="85">
        <v>7</v>
      </c>
      <c r="D4213" s="85" t="s">
        <v>69</v>
      </c>
      <c r="E4213" s="85">
        <v>8</v>
      </c>
      <c r="F4213" s="85">
        <v>2</v>
      </c>
      <c r="G4213" s="85">
        <f>--(F4213&lt;=Estimator!$B$7)</f>
        <v>1</v>
      </c>
      <c r="H4213" s="86">
        <f>SUMIFS('Climate Data'!$G$7:$G$366,'Climate Data'!$A$7:$A$366,Estimator!$B$4,'Climate Data'!$B$7:$B$366,C4213)</f>
        <v>0.24731182795698925</v>
      </c>
      <c r="I4213" s="87">
        <f>SUMIFS('Climate Data'!$H$7:$H$366,'Climate Data'!$A$7:$A$366,Estimator!$B$4,'Climate Data'!$B$7:$B$366,C4213)</f>
        <v>8.3739130434782609</v>
      </c>
      <c r="J4213" s="86">
        <f>SUMIFS('Wind Proxy'!$H$8:$H$19,'Wind Proxy'!$A$8:$A$19,Estimator!$B$4,'Wind Proxy'!$B$8:$B$19,C4213)</f>
        <v>0</v>
      </c>
    </row>
    <row r="4214" spans="1:10" ht="14.4">
      <c r="A4214" s="84">
        <v>49865</v>
      </c>
      <c r="B4214" s="85">
        <v>2036</v>
      </c>
      <c r="C4214" s="85">
        <v>7</v>
      </c>
      <c r="D4214" s="85" t="s">
        <v>69</v>
      </c>
      <c r="E4214" s="85">
        <v>9</v>
      </c>
      <c r="F4214" s="85">
        <v>3</v>
      </c>
      <c r="G4214" s="85">
        <f>--(F4214&lt;=Estimator!$B$7)</f>
        <v>1</v>
      </c>
      <c r="H4214" s="86">
        <f>SUMIFS('Climate Data'!$G$7:$G$366,'Climate Data'!$A$7:$A$366,Estimator!$B$4,'Climate Data'!$B$7:$B$366,C4214)</f>
        <v>0.24731182795698925</v>
      </c>
      <c r="I4214" s="87">
        <f>SUMIFS('Climate Data'!$H$7:$H$366,'Climate Data'!$A$7:$A$366,Estimator!$B$4,'Climate Data'!$B$7:$B$366,C4214)</f>
        <v>8.3739130434782609</v>
      </c>
      <c r="J4214" s="86">
        <f>SUMIFS('Wind Proxy'!$H$8:$H$19,'Wind Proxy'!$A$8:$A$19,Estimator!$B$4,'Wind Proxy'!$B$8:$B$19,C4214)</f>
        <v>0</v>
      </c>
    </row>
    <row r="4215" spans="1:10" ht="14.4">
      <c r="A4215" s="84">
        <v>49866</v>
      </c>
      <c r="B4215" s="85">
        <v>2036</v>
      </c>
      <c r="C4215" s="85">
        <v>7</v>
      </c>
      <c r="D4215" s="85" t="s">
        <v>69</v>
      </c>
      <c r="E4215" s="85">
        <v>10</v>
      </c>
      <c r="F4215" s="85">
        <v>4</v>
      </c>
      <c r="G4215" s="85">
        <f>--(F4215&lt;=Estimator!$B$7)</f>
        <v>1</v>
      </c>
      <c r="H4215" s="86">
        <f>SUMIFS('Climate Data'!$G$7:$G$366,'Climate Data'!$A$7:$A$366,Estimator!$B$4,'Climate Data'!$B$7:$B$366,C4215)</f>
        <v>0.24731182795698925</v>
      </c>
      <c r="I4215" s="87">
        <f>SUMIFS('Climate Data'!$H$7:$H$366,'Climate Data'!$A$7:$A$366,Estimator!$B$4,'Climate Data'!$B$7:$B$366,C4215)</f>
        <v>8.3739130434782609</v>
      </c>
      <c r="J4215" s="86">
        <f>SUMIFS('Wind Proxy'!$H$8:$H$19,'Wind Proxy'!$A$8:$A$19,Estimator!$B$4,'Wind Proxy'!$B$8:$B$19,C4215)</f>
        <v>0</v>
      </c>
    </row>
    <row r="4216" spans="1:10" ht="14.4">
      <c r="A4216" s="84">
        <v>49867</v>
      </c>
      <c r="B4216" s="85">
        <v>2036</v>
      </c>
      <c r="C4216" s="85">
        <v>7</v>
      </c>
      <c r="D4216" s="85" t="s">
        <v>69</v>
      </c>
      <c r="E4216" s="85">
        <v>11</v>
      </c>
      <c r="F4216" s="85">
        <v>5</v>
      </c>
      <c r="G4216" s="85">
        <f>--(F4216&lt;=Estimator!$B$7)</f>
        <v>1</v>
      </c>
      <c r="H4216" s="86">
        <f>SUMIFS('Climate Data'!$G$7:$G$366,'Climate Data'!$A$7:$A$366,Estimator!$B$4,'Climate Data'!$B$7:$B$366,C4216)</f>
        <v>0.24731182795698925</v>
      </c>
      <c r="I4216" s="87">
        <f>SUMIFS('Climate Data'!$H$7:$H$366,'Climate Data'!$A$7:$A$366,Estimator!$B$4,'Climate Data'!$B$7:$B$366,C4216)</f>
        <v>8.3739130434782609</v>
      </c>
      <c r="J4216" s="86">
        <f>SUMIFS('Wind Proxy'!$H$8:$H$19,'Wind Proxy'!$A$8:$A$19,Estimator!$B$4,'Wind Proxy'!$B$8:$B$19,C4216)</f>
        <v>0</v>
      </c>
    </row>
    <row r="4217" spans="1:10" ht="14.4">
      <c r="A4217" s="84">
        <v>49868</v>
      </c>
      <c r="B4217" s="85">
        <v>2036</v>
      </c>
      <c r="C4217" s="85">
        <v>7</v>
      </c>
      <c r="D4217" s="85" t="s">
        <v>69</v>
      </c>
      <c r="E4217" s="85">
        <v>12</v>
      </c>
      <c r="F4217" s="85">
        <v>6</v>
      </c>
      <c r="G4217" s="85">
        <f>--(F4217&lt;=Estimator!$B$7)</f>
        <v>0</v>
      </c>
      <c r="H4217" s="86">
        <f>SUMIFS('Climate Data'!$G$7:$G$366,'Climate Data'!$A$7:$A$366,Estimator!$B$4,'Climate Data'!$B$7:$B$366,C4217)</f>
        <v>0.24731182795698925</v>
      </c>
      <c r="I4217" s="87">
        <f>SUMIFS('Climate Data'!$H$7:$H$366,'Climate Data'!$A$7:$A$366,Estimator!$B$4,'Climate Data'!$B$7:$B$366,C4217)</f>
        <v>8.3739130434782609</v>
      </c>
      <c r="J4217" s="86">
        <f>SUMIFS('Wind Proxy'!$H$8:$H$19,'Wind Proxy'!$A$8:$A$19,Estimator!$B$4,'Wind Proxy'!$B$8:$B$19,C4217)</f>
        <v>0</v>
      </c>
    </row>
    <row r="4218" spans="1:10" ht="14.4">
      <c r="A4218" s="84">
        <v>49869</v>
      </c>
      <c r="B4218" s="85">
        <v>2036</v>
      </c>
      <c r="C4218" s="85">
        <v>7</v>
      </c>
      <c r="D4218" s="85" t="s">
        <v>69</v>
      </c>
      <c r="E4218" s="85">
        <v>13</v>
      </c>
      <c r="F4218" s="85">
        <v>7</v>
      </c>
      <c r="G4218" s="85">
        <f>--(F4218&lt;=Estimator!$B$7)</f>
        <v>0</v>
      </c>
      <c r="H4218" s="86">
        <f>SUMIFS('Climate Data'!$G$7:$G$366,'Climate Data'!$A$7:$A$366,Estimator!$B$4,'Climate Data'!$B$7:$B$366,C4218)</f>
        <v>0.24731182795698925</v>
      </c>
      <c r="I4218" s="87">
        <f>SUMIFS('Climate Data'!$H$7:$H$366,'Climate Data'!$A$7:$A$366,Estimator!$B$4,'Climate Data'!$B$7:$B$366,C4218)</f>
        <v>8.3739130434782609</v>
      </c>
      <c r="J4218" s="86">
        <f>SUMIFS('Wind Proxy'!$H$8:$H$19,'Wind Proxy'!$A$8:$A$19,Estimator!$B$4,'Wind Proxy'!$B$8:$B$19,C4218)</f>
        <v>0</v>
      </c>
    </row>
    <row r="4219" spans="1:10" ht="14.4">
      <c r="A4219" s="84">
        <v>49870</v>
      </c>
      <c r="B4219" s="85">
        <v>2036</v>
      </c>
      <c r="C4219" s="85">
        <v>7</v>
      </c>
      <c r="D4219" s="85" t="s">
        <v>69</v>
      </c>
      <c r="E4219" s="85">
        <v>14</v>
      </c>
      <c r="F4219" s="85">
        <v>1</v>
      </c>
      <c r="G4219" s="85">
        <f>--(F4219&lt;=Estimator!$B$7)</f>
        <v>1</v>
      </c>
      <c r="H4219" s="86">
        <f>SUMIFS('Climate Data'!$G$7:$G$366,'Climate Data'!$A$7:$A$366,Estimator!$B$4,'Climate Data'!$B$7:$B$366,C4219)</f>
        <v>0.24731182795698925</v>
      </c>
      <c r="I4219" s="87">
        <f>SUMIFS('Climate Data'!$H$7:$H$366,'Climate Data'!$A$7:$A$366,Estimator!$B$4,'Climate Data'!$B$7:$B$366,C4219)</f>
        <v>8.3739130434782609</v>
      </c>
      <c r="J4219" s="86">
        <f>SUMIFS('Wind Proxy'!$H$8:$H$19,'Wind Proxy'!$A$8:$A$19,Estimator!$B$4,'Wind Proxy'!$B$8:$B$19,C4219)</f>
        <v>0</v>
      </c>
    </row>
    <row r="4220" spans="1:10" ht="14.4">
      <c r="A4220" s="84">
        <v>49871</v>
      </c>
      <c r="B4220" s="85">
        <v>2036</v>
      </c>
      <c r="C4220" s="85">
        <v>7</v>
      </c>
      <c r="D4220" s="85" t="s">
        <v>69</v>
      </c>
      <c r="E4220" s="85">
        <v>15</v>
      </c>
      <c r="F4220" s="85">
        <v>2</v>
      </c>
      <c r="G4220" s="85">
        <f>--(F4220&lt;=Estimator!$B$7)</f>
        <v>1</v>
      </c>
      <c r="H4220" s="86">
        <f>SUMIFS('Climate Data'!$G$7:$G$366,'Climate Data'!$A$7:$A$366,Estimator!$B$4,'Climate Data'!$B$7:$B$366,C4220)</f>
        <v>0.24731182795698925</v>
      </c>
      <c r="I4220" s="87">
        <f>SUMIFS('Climate Data'!$H$7:$H$366,'Climate Data'!$A$7:$A$366,Estimator!$B$4,'Climate Data'!$B$7:$B$366,C4220)</f>
        <v>8.3739130434782609</v>
      </c>
      <c r="J4220" s="86">
        <f>SUMIFS('Wind Proxy'!$H$8:$H$19,'Wind Proxy'!$A$8:$A$19,Estimator!$B$4,'Wind Proxy'!$B$8:$B$19,C4220)</f>
        <v>0</v>
      </c>
    </row>
    <row r="4221" spans="1:10" ht="14.4">
      <c r="A4221" s="84">
        <v>49872</v>
      </c>
      <c r="B4221" s="85">
        <v>2036</v>
      </c>
      <c r="C4221" s="85">
        <v>7</v>
      </c>
      <c r="D4221" s="85" t="s">
        <v>69</v>
      </c>
      <c r="E4221" s="85">
        <v>16</v>
      </c>
      <c r="F4221" s="85">
        <v>3</v>
      </c>
      <c r="G4221" s="85">
        <f>--(F4221&lt;=Estimator!$B$7)</f>
        <v>1</v>
      </c>
      <c r="H4221" s="86">
        <f>SUMIFS('Climate Data'!$G$7:$G$366,'Climate Data'!$A$7:$A$366,Estimator!$B$4,'Climate Data'!$B$7:$B$366,C4221)</f>
        <v>0.24731182795698925</v>
      </c>
      <c r="I4221" s="87">
        <f>SUMIFS('Climate Data'!$H$7:$H$366,'Climate Data'!$A$7:$A$366,Estimator!$B$4,'Climate Data'!$B$7:$B$366,C4221)</f>
        <v>8.3739130434782609</v>
      </c>
      <c r="J4221" s="86">
        <f>SUMIFS('Wind Proxy'!$H$8:$H$19,'Wind Proxy'!$A$8:$A$19,Estimator!$B$4,'Wind Proxy'!$B$8:$B$19,C4221)</f>
        <v>0</v>
      </c>
    </row>
    <row r="4222" spans="1:10" ht="14.4">
      <c r="A4222" s="84">
        <v>49873</v>
      </c>
      <c r="B4222" s="85">
        <v>2036</v>
      </c>
      <c r="C4222" s="85">
        <v>7</v>
      </c>
      <c r="D4222" s="85" t="s">
        <v>69</v>
      </c>
      <c r="E4222" s="85">
        <v>17</v>
      </c>
      <c r="F4222" s="85">
        <v>4</v>
      </c>
      <c r="G4222" s="85">
        <f>--(F4222&lt;=Estimator!$B$7)</f>
        <v>1</v>
      </c>
      <c r="H4222" s="86">
        <f>SUMIFS('Climate Data'!$G$7:$G$366,'Climate Data'!$A$7:$A$366,Estimator!$B$4,'Climate Data'!$B$7:$B$366,C4222)</f>
        <v>0.24731182795698925</v>
      </c>
      <c r="I4222" s="87">
        <f>SUMIFS('Climate Data'!$H$7:$H$366,'Climate Data'!$A$7:$A$366,Estimator!$B$4,'Climate Data'!$B$7:$B$366,C4222)</f>
        <v>8.3739130434782609</v>
      </c>
      <c r="J4222" s="86">
        <f>SUMIFS('Wind Proxy'!$H$8:$H$19,'Wind Proxy'!$A$8:$A$19,Estimator!$B$4,'Wind Proxy'!$B$8:$B$19,C4222)</f>
        <v>0</v>
      </c>
    </row>
    <row r="4223" spans="1:10" ht="14.4">
      <c r="A4223" s="84">
        <v>49874</v>
      </c>
      <c r="B4223" s="85">
        <v>2036</v>
      </c>
      <c r="C4223" s="85">
        <v>7</v>
      </c>
      <c r="D4223" s="85" t="s">
        <v>69</v>
      </c>
      <c r="E4223" s="85">
        <v>18</v>
      </c>
      <c r="F4223" s="85">
        <v>5</v>
      </c>
      <c r="G4223" s="85">
        <f>--(F4223&lt;=Estimator!$B$7)</f>
        <v>1</v>
      </c>
      <c r="H4223" s="86">
        <f>SUMIFS('Climate Data'!$G$7:$G$366,'Climate Data'!$A$7:$A$366,Estimator!$B$4,'Climate Data'!$B$7:$B$366,C4223)</f>
        <v>0.24731182795698925</v>
      </c>
      <c r="I4223" s="87">
        <f>SUMIFS('Climate Data'!$H$7:$H$366,'Climate Data'!$A$7:$A$366,Estimator!$B$4,'Climate Data'!$B$7:$B$366,C4223)</f>
        <v>8.3739130434782609</v>
      </c>
      <c r="J4223" s="86">
        <f>SUMIFS('Wind Proxy'!$H$8:$H$19,'Wind Proxy'!$A$8:$A$19,Estimator!$B$4,'Wind Proxy'!$B$8:$B$19,C4223)</f>
        <v>0</v>
      </c>
    </row>
    <row r="4224" spans="1:10" ht="14.4">
      <c r="A4224" s="84">
        <v>49875</v>
      </c>
      <c r="B4224" s="85">
        <v>2036</v>
      </c>
      <c r="C4224" s="85">
        <v>7</v>
      </c>
      <c r="D4224" s="85" t="s">
        <v>69</v>
      </c>
      <c r="E4224" s="85">
        <v>19</v>
      </c>
      <c r="F4224" s="85">
        <v>6</v>
      </c>
      <c r="G4224" s="85">
        <f>--(F4224&lt;=Estimator!$B$7)</f>
        <v>0</v>
      </c>
      <c r="H4224" s="86">
        <f>SUMIFS('Climate Data'!$G$7:$G$366,'Climate Data'!$A$7:$A$366,Estimator!$B$4,'Climate Data'!$B$7:$B$366,C4224)</f>
        <v>0.24731182795698925</v>
      </c>
      <c r="I4224" s="87">
        <f>SUMIFS('Climate Data'!$H$7:$H$366,'Climate Data'!$A$7:$A$366,Estimator!$B$4,'Climate Data'!$B$7:$B$366,C4224)</f>
        <v>8.3739130434782609</v>
      </c>
      <c r="J4224" s="86">
        <f>SUMIFS('Wind Proxy'!$H$8:$H$19,'Wind Proxy'!$A$8:$A$19,Estimator!$B$4,'Wind Proxy'!$B$8:$B$19,C4224)</f>
        <v>0</v>
      </c>
    </row>
    <row r="4225" spans="1:10" ht="14.4">
      <c r="A4225" s="84">
        <v>49876</v>
      </c>
      <c r="B4225" s="85">
        <v>2036</v>
      </c>
      <c r="C4225" s="85">
        <v>7</v>
      </c>
      <c r="D4225" s="85" t="s">
        <v>69</v>
      </c>
      <c r="E4225" s="85">
        <v>20</v>
      </c>
      <c r="F4225" s="85">
        <v>7</v>
      </c>
      <c r="G4225" s="85">
        <f>--(F4225&lt;=Estimator!$B$7)</f>
        <v>0</v>
      </c>
      <c r="H4225" s="86">
        <f>SUMIFS('Climate Data'!$G$7:$G$366,'Climate Data'!$A$7:$A$366,Estimator!$B$4,'Climate Data'!$B$7:$B$366,C4225)</f>
        <v>0.24731182795698925</v>
      </c>
      <c r="I4225" s="87">
        <f>SUMIFS('Climate Data'!$H$7:$H$366,'Climate Data'!$A$7:$A$366,Estimator!$B$4,'Climate Data'!$B$7:$B$366,C4225)</f>
        <v>8.3739130434782609</v>
      </c>
      <c r="J4225" s="86">
        <f>SUMIFS('Wind Proxy'!$H$8:$H$19,'Wind Proxy'!$A$8:$A$19,Estimator!$B$4,'Wind Proxy'!$B$8:$B$19,C4225)</f>
        <v>0</v>
      </c>
    </row>
    <row r="4226" spans="1:10" ht="14.4">
      <c r="A4226" s="84">
        <v>49877</v>
      </c>
      <c r="B4226" s="85">
        <v>2036</v>
      </c>
      <c r="C4226" s="85">
        <v>7</v>
      </c>
      <c r="D4226" s="85" t="s">
        <v>69</v>
      </c>
      <c r="E4226" s="85">
        <v>21</v>
      </c>
      <c r="F4226" s="85">
        <v>1</v>
      </c>
      <c r="G4226" s="85">
        <f>--(F4226&lt;=Estimator!$B$7)</f>
        <v>1</v>
      </c>
      <c r="H4226" s="86">
        <f>SUMIFS('Climate Data'!$G$7:$G$366,'Climate Data'!$A$7:$A$366,Estimator!$B$4,'Climate Data'!$B$7:$B$366,C4226)</f>
        <v>0.24731182795698925</v>
      </c>
      <c r="I4226" s="87">
        <f>SUMIFS('Climate Data'!$H$7:$H$366,'Climate Data'!$A$7:$A$366,Estimator!$B$4,'Climate Data'!$B$7:$B$366,C4226)</f>
        <v>8.3739130434782609</v>
      </c>
      <c r="J4226" s="86">
        <f>SUMIFS('Wind Proxy'!$H$8:$H$19,'Wind Proxy'!$A$8:$A$19,Estimator!$B$4,'Wind Proxy'!$B$8:$B$19,C4226)</f>
        <v>0</v>
      </c>
    </row>
    <row r="4227" spans="1:10" ht="14.4">
      <c r="A4227" s="84">
        <v>49878</v>
      </c>
      <c r="B4227" s="85">
        <v>2036</v>
      </c>
      <c r="C4227" s="85">
        <v>7</v>
      </c>
      <c r="D4227" s="85" t="s">
        <v>69</v>
      </c>
      <c r="E4227" s="85">
        <v>22</v>
      </c>
      <c r="F4227" s="85">
        <v>2</v>
      </c>
      <c r="G4227" s="85">
        <f>--(F4227&lt;=Estimator!$B$7)</f>
        <v>1</v>
      </c>
      <c r="H4227" s="86">
        <f>SUMIFS('Climate Data'!$G$7:$G$366,'Climate Data'!$A$7:$A$366,Estimator!$B$4,'Climate Data'!$B$7:$B$366,C4227)</f>
        <v>0.24731182795698925</v>
      </c>
      <c r="I4227" s="87">
        <f>SUMIFS('Climate Data'!$H$7:$H$366,'Climate Data'!$A$7:$A$366,Estimator!$B$4,'Climate Data'!$B$7:$B$366,C4227)</f>
        <v>8.3739130434782609</v>
      </c>
      <c r="J4227" s="86">
        <f>SUMIFS('Wind Proxy'!$H$8:$H$19,'Wind Proxy'!$A$8:$A$19,Estimator!$B$4,'Wind Proxy'!$B$8:$B$19,C4227)</f>
        <v>0</v>
      </c>
    </row>
    <row r="4228" spans="1:10" ht="14.4">
      <c r="A4228" s="84">
        <v>49879</v>
      </c>
      <c r="B4228" s="85">
        <v>2036</v>
      </c>
      <c r="C4228" s="85">
        <v>7</v>
      </c>
      <c r="D4228" s="85" t="s">
        <v>69</v>
      </c>
      <c r="E4228" s="85">
        <v>23</v>
      </c>
      <c r="F4228" s="85">
        <v>3</v>
      </c>
      <c r="G4228" s="85">
        <f>--(F4228&lt;=Estimator!$B$7)</f>
        <v>1</v>
      </c>
      <c r="H4228" s="86">
        <f>SUMIFS('Climate Data'!$G$7:$G$366,'Climate Data'!$A$7:$A$366,Estimator!$B$4,'Climate Data'!$B$7:$B$366,C4228)</f>
        <v>0.24731182795698925</v>
      </c>
      <c r="I4228" s="87">
        <f>SUMIFS('Climate Data'!$H$7:$H$366,'Climate Data'!$A$7:$A$366,Estimator!$B$4,'Climate Data'!$B$7:$B$366,C4228)</f>
        <v>8.3739130434782609</v>
      </c>
      <c r="J4228" s="86">
        <f>SUMIFS('Wind Proxy'!$H$8:$H$19,'Wind Proxy'!$A$8:$A$19,Estimator!$B$4,'Wind Proxy'!$B$8:$B$19,C4228)</f>
        <v>0</v>
      </c>
    </row>
    <row r="4229" spans="1:10" ht="14.4">
      <c r="A4229" s="84">
        <v>49880</v>
      </c>
      <c r="B4229" s="85">
        <v>2036</v>
      </c>
      <c r="C4229" s="85">
        <v>7</v>
      </c>
      <c r="D4229" s="85" t="s">
        <v>69</v>
      </c>
      <c r="E4229" s="85">
        <v>24</v>
      </c>
      <c r="F4229" s="85">
        <v>4</v>
      </c>
      <c r="G4229" s="85">
        <f>--(F4229&lt;=Estimator!$B$7)</f>
        <v>1</v>
      </c>
      <c r="H4229" s="86">
        <f>SUMIFS('Climate Data'!$G$7:$G$366,'Climate Data'!$A$7:$A$366,Estimator!$B$4,'Climate Data'!$B$7:$B$366,C4229)</f>
        <v>0.24731182795698925</v>
      </c>
      <c r="I4229" s="87">
        <f>SUMIFS('Climate Data'!$H$7:$H$366,'Climate Data'!$A$7:$A$366,Estimator!$B$4,'Climate Data'!$B$7:$B$366,C4229)</f>
        <v>8.3739130434782609</v>
      </c>
      <c r="J4229" s="86">
        <f>SUMIFS('Wind Proxy'!$H$8:$H$19,'Wind Proxy'!$A$8:$A$19,Estimator!$B$4,'Wind Proxy'!$B$8:$B$19,C4229)</f>
        <v>0</v>
      </c>
    </row>
    <row r="4230" spans="1:10" ht="14.4">
      <c r="A4230" s="84">
        <v>49881</v>
      </c>
      <c r="B4230" s="85">
        <v>2036</v>
      </c>
      <c r="C4230" s="85">
        <v>7</v>
      </c>
      <c r="D4230" s="85" t="s">
        <v>69</v>
      </c>
      <c r="E4230" s="85">
        <v>25</v>
      </c>
      <c r="F4230" s="85">
        <v>5</v>
      </c>
      <c r="G4230" s="85">
        <f>--(F4230&lt;=Estimator!$B$7)</f>
        <v>1</v>
      </c>
      <c r="H4230" s="86">
        <f>SUMIFS('Climate Data'!$G$7:$G$366,'Climate Data'!$A$7:$A$366,Estimator!$B$4,'Climate Data'!$B$7:$B$366,C4230)</f>
        <v>0.24731182795698925</v>
      </c>
      <c r="I4230" s="87">
        <f>SUMIFS('Climate Data'!$H$7:$H$366,'Climate Data'!$A$7:$A$366,Estimator!$B$4,'Climate Data'!$B$7:$B$366,C4230)</f>
        <v>8.3739130434782609</v>
      </c>
      <c r="J4230" s="86">
        <f>SUMIFS('Wind Proxy'!$H$8:$H$19,'Wind Proxy'!$A$8:$A$19,Estimator!$B$4,'Wind Proxy'!$B$8:$B$19,C4230)</f>
        <v>0</v>
      </c>
    </row>
    <row r="4231" spans="1:10" ht="14.4">
      <c r="A4231" s="84">
        <v>49882</v>
      </c>
      <c r="B4231" s="85">
        <v>2036</v>
      </c>
      <c r="C4231" s="85">
        <v>7</v>
      </c>
      <c r="D4231" s="85" t="s">
        <v>69</v>
      </c>
      <c r="E4231" s="85">
        <v>26</v>
      </c>
      <c r="F4231" s="85">
        <v>6</v>
      </c>
      <c r="G4231" s="85">
        <f>--(F4231&lt;=Estimator!$B$7)</f>
        <v>0</v>
      </c>
      <c r="H4231" s="86">
        <f>SUMIFS('Climate Data'!$G$7:$G$366,'Climate Data'!$A$7:$A$366,Estimator!$B$4,'Climate Data'!$B$7:$B$366,C4231)</f>
        <v>0.24731182795698925</v>
      </c>
      <c r="I4231" s="87">
        <f>SUMIFS('Climate Data'!$H$7:$H$366,'Climate Data'!$A$7:$A$366,Estimator!$B$4,'Climate Data'!$B$7:$B$366,C4231)</f>
        <v>8.3739130434782609</v>
      </c>
      <c r="J4231" s="86">
        <f>SUMIFS('Wind Proxy'!$H$8:$H$19,'Wind Proxy'!$A$8:$A$19,Estimator!$B$4,'Wind Proxy'!$B$8:$B$19,C4231)</f>
        <v>0</v>
      </c>
    </row>
    <row r="4232" spans="1:10" ht="14.4">
      <c r="A4232" s="84">
        <v>49883</v>
      </c>
      <c r="B4232" s="85">
        <v>2036</v>
      </c>
      <c r="C4232" s="85">
        <v>7</v>
      </c>
      <c r="D4232" s="85" t="s">
        <v>69</v>
      </c>
      <c r="E4232" s="85">
        <v>27</v>
      </c>
      <c r="F4232" s="85">
        <v>7</v>
      </c>
      <c r="G4232" s="85">
        <f>--(F4232&lt;=Estimator!$B$7)</f>
        <v>0</v>
      </c>
      <c r="H4232" s="86">
        <f>SUMIFS('Climate Data'!$G$7:$G$366,'Climate Data'!$A$7:$A$366,Estimator!$B$4,'Climate Data'!$B$7:$B$366,C4232)</f>
        <v>0.24731182795698925</v>
      </c>
      <c r="I4232" s="87">
        <f>SUMIFS('Climate Data'!$H$7:$H$366,'Climate Data'!$A$7:$A$366,Estimator!$B$4,'Climate Data'!$B$7:$B$366,C4232)</f>
        <v>8.3739130434782609</v>
      </c>
      <c r="J4232" s="86">
        <f>SUMIFS('Wind Proxy'!$H$8:$H$19,'Wind Proxy'!$A$8:$A$19,Estimator!$B$4,'Wind Proxy'!$B$8:$B$19,C4232)</f>
        <v>0</v>
      </c>
    </row>
    <row r="4233" spans="1:10" ht="14.4">
      <c r="A4233" s="84">
        <v>49884</v>
      </c>
      <c r="B4233" s="85">
        <v>2036</v>
      </c>
      <c r="C4233" s="85">
        <v>7</v>
      </c>
      <c r="D4233" s="85" t="s">
        <v>69</v>
      </c>
      <c r="E4233" s="85">
        <v>28</v>
      </c>
      <c r="F4233" s="85">
        <v>1</v>
      </c>
      <c r="G4233" s="85">
        <f>--(F4233&lt;=Estimator!$B$7)</f>
        <v>1</v>
      </c>
      <c r="H4233" s="86">
        <f>SUMIFS('Climate Data'!$G$7:$G$366,'Climate Data'!$A$7:$A$366,Estimator!$B$4,'Climate Data'!$B$7:$B$366,C4233)</f>
        <v>0.24731182795698925</v>
      </c>
      <c r="I4233" s="87">
        <f>SUMIFS('Climate Data'!$H$7:$H$366,'Climate Data'!$A$7:$A$366,Estimator!$B$4,'Climate Data'!$B$7:$B$366,C4233)</f>
        <v>8.3739130434782609</v>
      </c>
      <c r="J4233" s="86">
        <f>SUMIFS('Wind Proxy'!$H$8:$H$19,'Wind Proxy'!$A$8:$A$19,Estimator!$B$4,'Wind Proxy'!$B$8:$B$19,C4233)</f>
        <v>0</v>
      </c>
    </row>
    <row r="4234" spans="1:10" ht="14.4">
      <c r="A4234" s="84">
        <v>49885</v>
      </c>
      <c r="B4234" s="85">
        <v>2036</v>
      </c>
      <c r="C4234" s="85">
        <v>7</v>
      </c>
      <c r="D4234" s="85" t="s">
        <v>69</v>
      </c>
      <c r="E4234" s="85">
        <v>29</v>
      </c>
      <c r="F4234" s="85">
        <v>2</v>
      </c>
      <c r="G4234" s="85">
        <f>--(F4234&lt;=Estimator!$B$7)</f>
        <v>1</v>
      </c>
      <c r="H4234" s="86">
        <f>SUMIFS('Climate Data'!$G$7:$G$366,'Climate Data'!$A$7:$A$366,Estimator!$B$4,'Climate Data'!$B$7:$B$366,C4234)</f>
        <v>0.24731182795698925</v>
      </c>
      <c r="I4234" s="87">
        <f>SUMIFS('Climate Data'!$H$7:$H$366,'Climate Data'!$A$7:$A$366,Estimator!$B$4,'Climate Data'!$B$7:$B$366,C4234)</f>
        <v>8.3739130434782609</v>
      </c>
      <c r="J4234" s="86">
        <f>SUMIFS('Wind Proxy'!$H$8:$H$19,'Wind Proxy'!$A$8:$A$19,Estimator!$B$4,'Wind Proxy'!$B$8:$B$19,C4234)</f>
        <v>0</v>
      </c>
    </row>
    <row r="4235" spans="1:10" ht="14.4">
      <c r="A4235" s="84">
        <v>49886</v>
      </c>
      <c r="B4235" s="85">
        <v>2036</v>
      </c>
      <c r="C4235" s="85">
        <v>7</v>
      </c>
      <c r="D4235" s="85" t="s">
        <v>69</v>
      </c>
      <c r="E4235" s="85">
        <v>30</v>
      </c>
      <c r="F4235" s="85">
        <v>3</v>
      </c>
      <c r="G4235" s="85">
        <f>--(F4235&lt;=Estimator!$B$7)</f>
        <v>1</v>
      </c>
      <c r="H4235" s="86">
        <f>SUMIFS('Climate Data'!$G$7:$G$366,'Climate Data'!$A$7:$A$366,Estimator!$B$4,'Climate Data'!$B$7:$B$366,C4235)</f>
        <v>0.24731182795698925</v>
      </c>
      <c r="I4235" s="87">
        <f>SUMIFS('Climate Data'!$H$7:$H$366,'Climate Data'!$A$7:$A$366,Estimator!$B$4,'Climate Data'!$B$7:$B$366,C4235)</f>
        <v>8.3739130434782609</v>
      </c>
      <c r="J4235" s="86">
        <f>SUMIFS('Wind Proxy'!$H$8:$H$19,'Wind Proxy'!$A$8:$A$19,Estimator!$B$4,'Wind Proxy'!$B$8:$B$19,C4235)</f>
        <v>0</v>
      </c>
    </row>
    <row r="4236" spans="1:10" ht="14.4">
      <c r="A4236" s="84">
        <v>49887</v>
      </c>
      <c r="B4236" s="85">
        <v>2036</v>
      </c>
      <c r="C4236" s="85">
        <v>7</v>
      </c>
      <c r="D4236" s="85" t="s">
        <v>69</v>
      </c>
      <c r="E4236" s="85">
        <v>31</v>
      </c>
      <c r="F4236" s="85">
        <v>4</v>
      </c>
      <c r="G4236" s="85">
        <f>--(F4236&lt;=Estimator!$B$7)</f>
        <v>1</v>
      </c>
      <c r="H4236" s="86">
        <f>SUMIFS('Climate Data'!$G$7:$G$366,'Climate Data'!$A$7:$A$366,Estimator!$B$4,'Climate Data'!$B$7:$B$366,C4236)</f>
        <v>0.24731182795698925</v>
      </c>
      <c r="I4236" s="87">
        <f>SUMIFS('Climate Data'!$H$7:$H$366,'Climate Data'!$A$7:$A$366,Estimator!$B$4,'Climate Data'!$B$7:$B$366,C4236)</f>
        <v>8.3739130434782609</v>
      </c>
      <c r="J4236" s="86">
        <f>SUMIFS('Wind Proxy'!$H$8:$H$19,'Wind Proxy'!$A$8:$A$19,Estimator!$B$4,'Wind Proxy'!$B$8:$B$19,C4236)</f>
        <v>0</v>
      </c>
    </row>
    <row r="4237" spans="1:10" ht="14.4">
      <c r="A4237" s="84">
        <v>49888</v>
      </c>
      <c r="B4237" s="85">
        <v>2036</v>
      </c>
      <c r="C4237" s="85">
        <v>8</v>
      </c>
      <c r="D4237" s="85" t="s">
        <v>71</v>
      </c>
      <c r="E4237" s="85">
        <v>1</v>
      </c>
      <c r="F4237" s="85">
        <v>5</v>
      </c>
      <c r="G4237" s="85">
        <f>--(F4237&lt;=Estimator!$B$7)</f>
        <v>1</v>
      </c>
      <c r="H4237" s="86">
        <f>SUMIFS('Climate Data'!$G$7:$G$366,'Climate Data'!$A$7:$A$366,Estimator!$B$4,'Climate Data'!$B$7:$B$366,C4237)</f>
        <v>0.23548387096774193</v>
      </c>
      <c r="I4237" s="87">
        <f>SUMIFS('Climate Data'!$H$7:$H$366,'Climate Data'!$A$7:$A$366,Estimator!$B$4,'Climate Data'!$B$7:$B$366,C4237)</f>
        <v>7.9589041095890414</v>
      </c>
      <c r="J4237" s="86">
        <f>SUMIFS('Wind Proxy'!$H$8:$H$19,'Wind Proxy'!$A$8:$A$19,Estimator!$B$4,'Wind Proxy'!$B$8:$B$19,C4237)</f>
        <v>0</v>
      </c>
    </row>
    <row r="4238" spans="1:10" ht="14.4">
      <c r="A4238" s="84">
        <v>49889</v>
      </c>
      <c r="B4238" s="85">
        <v>2036</v>
      </c>
      <c r="C4238" s="85">
        <v>8</v>
      </c>
      <c r="D4238" s="85" t="s">
        <v>71</v>
      </c>
      <c r="E4238" s="85">
        <v>2</v>
      </c>
      <c r="F4238" s="85">
        <v>6</v>
      </c>
      <c r="G4238" s="85">
        <f>--(F4238&lt;=Estimator!$B$7)</f>
        <v>0</v>
      </c>
      <c r="H4238" s="86">
        <f>SUMIFS('Climate Data'!$G$7:$G$366,'Climate Data'!$A$7:$A$366,Estimator!$B$4,'Climate Data'!$B$7:$B$366,C4238)</f>
        <v>0.23548387096774193</v>
      </c>
      <c r="I4238" s="87">
        <f>SUMIFS('Climate Data'!$H$7:$H$366,'Climate Data'!$A$7:$A$366,Estimator!$B$4,'Climate Data'!$B$7:$B$366,C4238)</f>
        <v>7.9589041095890414</v>
      </c>
      <c r="J4238" s="86">
        <f>SUMIFS('Wind Proxy'!$H$8:$H$19,'Wind Proxy'!$A$8:$A$19,Estimator!$B$4,'Wind Proxy'!$B$8:$B$19,C4238)</f>
        <v>0</v>
      </c>
    </row>
    <row r="4239" spans="1:10" ht="14.4">
      <c r="A4239" s="84">
        <v>49890</v>
      </c>
      <c r="B4239" s="85">
        <v>2036</v>
      </c>
      <c r="C4239" s="85">
        <v>8</v>
      </c>
      <c r="D4239" s="85" t="s">
        <v>71</v>
      </c>
      <c r="E4239" s="85">
        <v>3</v>
      </c>
      <c r="F4239" s="85">
        <v>7</v>
      </c>
      <c r="G4239" s="85">
        <f>--(F4239&lt;=Estimator!$B$7)</f>
        <v>0</v>
      </c>
      <c r="H4239" s="86">
        <f>SUMIFS('Climate Data'!$G$7:$G$366,'Climate Data'!$A$7:$A$366,Estimator!$B$4,'Climate Data'!$B$7:$B$366,C4239)</f>
        <v>0.23548387096774193</v>
      </c>
      <c r="I4239" s="87">
        <f>SUMIFS('Climate Data'!$H$7:$H$366,'Climate Data'!$A$7:$A$366,Estimator!$B$4,'Climate Data'!$B$7:$B$366,C4239)</f>
        <v>7.9589041095890414</v>
      </c>
      <c r="J4239" s="86">
        <f>SUMIFS('Wind Proxy'!$H$8:$H$19,'Wind Proxy'!$A$8:$A$19,Estimator!$B$4,'Wind Proxy'!$B$8:$B$19,C4239)</f>
        <v>0</v>
      </c>
    </row>
    <row r="4240" spans="1:10" ht="14.4">
      <c r="A4240" s="84">
        <v>49891</v>
      </c>
      <c r="B4240" s="85">
        <v>2036</v>
      </c>
      <c r="C4240" s="85">
        <v>8</v>
      </c>
      <c r="D4240" s="85" t="s">
        <v>71</v>
      </c>
      <c r="E4240" s="85">
        <v>4</v>
      </c>
      <c r="F4240" s="85">
        <v>1</v>
      </c>
      <c r="G4240" s="85">
        <f>--(F4240&lt;=Estimator!$B$7)</f>
        <v>1</v>
      </c>
      <c r="H4240" s="86">
        <f>SUMIFS('Climate Data'!$G$7:$G$366,'Climate Data'!$A$7:$A$366,Estimator!$B$4,'Climate Data'!$B$7:$B$366,C4240)</f>
        <v>0.23548387096774193</v>
      </c>
      <c r="I4240" s="87">
        <f>SUMIFS('Climate Data'!$H$7:$H$366,'Climate Data'!$A$7:$A$366,Estimator!$B$4,'Climate Data'!$B$7:$B$366,C4240)</f>
        <v>7.9589041095890414</v>
      </c>
      <c r="J4240" s="86">
        <f>SUMIFS('Wind Proxy'!$H$8:$H$19,'Wind Proxy'!$A$8:$A$19,Estimator!$B$4,'Wind Proxy'!$B$8:$B$19,C4240)</f>
        <v>0</v>
      </c>
    </row>
    <row r="4241" spans="1:10" ht="14.4">
      <c r="A4241" s="84">
        <v>49892</v>
      </c>
      <c r="B4241" s="85">
        <v>2036</v>
      </c>
      <c r="C4241" s="85">
        <v>8</v>
      </c>
      <c r="D4241" s="85" t="s">
        <v>71</v>
      </c>
      <c r="E4241" s="85">
        <v>5</v>
      </c>
      <c r="F4241" s="85">
        <v>2</v>
      </c>
      <c r="G4241" s="85">
        <f>--(F4241&lt;=Estimator!$B$7)</f>
        <v>1</v>
      </c>
      <c r="H4241" s="86">
        <f>SUMIFS('Climate Data'!$G$7:$G$366,'Climate Data'!$A$7:$A$366,Estimator!$B$4,'Climate Data'!$B$7:$B$366,C4241)</f>
        <v>0.23548387096774193</v>
      </c>
      <c r="I4241" s="87">
        <f>SUMIFS('Climate Data'!$H$7:$H$366,'Climate Data'!$A$7:$A$366,Estimator!$B$4,'Climate Data'!$B$7:$B$366,C4241)</f>
        <v>7.9589041095890414</v>
      </c>
      <c r="J4241" s="86">
        <f>SUMIFS('Wind Proxy'!$H$8:$H$19,'Wind Proxy'!$A$8:$A$19,Estimator!$B$4,'Wind Proxy'!$B$8:$B$19,C4241)</f>
        <v>0</v>
      </c>
    </row>
    <row r="4242" spans="1:10" ht="14.4">
      <c r="A4242" s="84">
        <v>49893</v>
      </c>
      <c r="B4242" s="85">
        <v>2036</v>
      </c>
      <c r="C4242" s="85">
        <v>8</v>
      </c>
      <c r="D4242" s="85" t="s">
        <v>71</v>
      </c>
      <c r="E4242" s="85">
        <v>6</v>
      </c>
      <c r="F4242" s="85">
        <v>3</v>
      </c>
      <c r="G4242" s="85">
        <f>--(F4242&lt;=Estimator!$B$7)</f>
        <v>1</v>
      </c>
      <c r="H4242" s="86">
        <f>SUMIFS('Climate Data'!$G$7:$G$366,'Climate Data'!$A$7:$A$366,Estimator!$B$4,'Climate Data'!$B$7:$B$366,C4242)</f>
        <v>0.23548387096774193</v>
      </c>
      <c r="I4242" s="87">
        <f>SUMIFS('Climate Data'!$H$7:$H$366,'Climate Data'!$A$7:$A$366,Estimator!$B$4,'Climate Data'!$B$7:$B$366,C4242)</f>
        <v>7.9589041095890414</v>
      </c>
      <c r="J4242" s="86">
        <f>SUMIFS('Wind Proxy'!$H$8:$H$19,'Wind Proxy'!$A$8:$A$19,Estimator!$B$4,'Wind Proxy'!$B$8:$B$19,C4242)</f>
        <v>0</v>
      </c>
    </row>
    <row r="4243" spans="1:10" ht="14.4">
      <c r="A4243" s="84">
        <v>49894</v>
      </c>
      <c r="B4243" s="85">
        <v>2036</v>
      </c>
      <c r="C4243" s="85">
        <v>8</v>
      </c>
      <c r="D4243" s="85" t="s">
        <v>71</v>
      </c>
      <c r="E4243" s="85">
        <v>7</v>
      </c>
      <c r="F4243" s="85">
        <v>4</v>
      </c>
      <c r="G4243" s="85">
        <f>--(F4243&lt;=Estimator!$B$7)</f>
        <v>1</v>
      </c>
      <c r="H4243" s="86">
        <f>SUMIFS('Climate Data'!$G$7:$G$366,'Climate Data'!$A$7:$A$366,Estimator!$B$4,'Climate Data'!$B$7:$B$366,C4243)</f>
        <v>0.23548387096774193</v>
      </c>
      <c r="I4243" s="87">
        <f>SUMIFS('Climate Data'!$H$7:$H$366,'Climate Data'!$A$7:$A$366,Estimator!$B$4,'Climate Data'!$B$7:$B$366,C4243)</f>
        <v>7.9589041095890414</v>
      </c>
      <c r="J4243" s="86">
        <f>SUMIFS('Wind Proxy'!$H$8:$H$19,'Wind Proxy'!$A$8:$A$19,Estimator!$B$4,'Wind Proxy'!$B$8:$B$19,C4243)</f>
        <v>0</v>
      </c>
    </row>
    <row r="4244" spans="1:10" ht="14.4">
      <c r="A4244" s="84">
        <v>49895</v>
      </c>
      <c r="B4244" s="85">
        <v>2036</v>
      </c>
      <c r="C4244" s="85">
        <v>8</v>
      </c>
      <c r="D4244" s="85" t="s">
        <v>71</v>
      </c>
      <c r="E4244" s="85">
        <v>8</v>
      </c>
      <c r="F4244" s="85">
        <v>5</v>
      </c>
      <c r="G4244" s="85">
        <f>--(F4244&lt;=Estimator!$B$7)</f>
        <v>1</v>
      </c>
      <c r="H4244" s="86">
        <f>SUMIFS('Climate Data'!$G$7:$G$366,'Climate Data'!$A$7:$A$366,Estimator!$B$4,'Climate Data'!$B$7:$B$366,C4244)</f>
        <v>0.23548387096774193</v>
      </c>
      <c r="I4244" s="87">
        <f>SUMIFS('Climate Data'!$H$7:$H$366,'Climate Data'!$A$7:$A$366,Estimator!$B$4,'Climate Data'!$B$7:$B$366,C4244)</f>
        <v>7.9589041095890414</v>
      </c>
      <c r="J4244" s="86">
        <f>SUMIFS('Wind Proxy'!$H$8:$H$19,'Wind Proxy'!$A$8:$A$19,Estimator!$B$4,'Wind Proxy'!$B$8:$B$19,C4244)</f>
        <v>0</v>
      </c>
    </row>
    <row r="4245" spans="1:10" ht="14.4">
      <c r="A4245" s="84">
        <v>49896</v>
      </c>
      <c r="B4245" s="85">
        <v>2036</v>
      </c>
      <c r="C4245" s="85">
        <v>8</v>
      </c>
      <c r="D4245" s="85" t="s">
        <v>71</v>
      </c>
      <c r="E4245" s="85">
        <v>9</v>
      </c>
      <c r="F4245" s="85">
        <v>6</v>
      </c>
      <c r="G4245" s="85">
        <f>--(F4245&lt;=Estimator!$B$7)</f>
        <v>0</v>
      </c>
      <c r="H4245" s="86">
        <f>SUMIFS('Climate Data'!$G$7:$G$366,'Climate Data'!$A$7:$A$366,Estimator!$B$4,'Climate Data'!$B$7:$B$366,C4245)</f>
        <v>0.23548387096774193</v>
      </c>
      <c r="I4245" s="87">
        <f>SUMIFS('Climate Data'!$H$7:$H$366,'Climate Data'!$A$7:$A$366,Estimator!$B$4,'Climate Data'!$B$7:$B$366,C4245)</f>
        <v>7.9589041095890414</v>
      </c>
      <c r="J4245" s="86">
        <f>SUMIFS('Wind Proxy'!$H$8:$H$19,'Wind Proxy'!$A$8:$A$19,Estimator!$B$4,'Wind Proxy'!$B$8:$B$19,C4245)</f>
        <v>0</v>
      </c>
    </row>
    <row r="4246" spans="1:10" ht="14.4">
      <c r="A4246" s="84">
        <v>49897</v>
      </c>
      <c r="B4246" s="85">
        <v>2036</v>
      </c>
      <c r="C4246" s="85">
        <v>8</v>
      </c>
      <c r="D4246" s="85" t="s">
        <v>71</v>
      </c>
      <c r="E4246" s="85">
        <v>10</v>
      </c>
      <c r="F4246" s="85">
        <v>7</v>
      </c>
      <c r="G4246" s="85">
        <f>--(F4246&lt;=Estimator!$B$7)</f>
        <v>0</v>
      </c>
      <c r="H4246" s="86">
        <f>SUMIFS('Climate Data'!$G$7:$G$366,'Climate Data'!$A$7:$A$366,Estimator!$B$4,'Climate Data'!$B$7:$B$366,C4246)</f>
        <v>0.23548387096774193</v>
      </c>
      <c r="I4246" s="87">
        <f>SUMIFS('Climate Data'!$H$7:$H$366,'Climate Data'!$A$7:$A$366,Estimator!$B$4,'Climate Data'!$B$7:$B$366,C4246)</f>
        <v>7.9589041095890414</v>
      </c>
      <c r="J4246" s="86">
        <f>SUMIFS('Wind Proxy'!$H$8:$H$19,'Wind Proxy'!$A$8:$A$19,Estimator!$B$4,'Wind Proxy'!$B$8:$B$19,C4246)</f>
        <v>0</v>
      </c>
    </row>
    <row r="4247" spans="1:10" ht="14.4">
      <c r="A4247" s="84">
        <v>49898</v>
      </c>
      <c r="B4247" s="85">
        <v>2036</v>
      </c>
      <c r="C4247" s="85">
        <v>8</v>
      </c>
      <c r="D4247" s="85" t="s">
        <v>71</v>
      </c>
      <c r="E4247" s="85">
        <v>11</v>
      </c>
      <c r="F4247" s="85">
        <v>1</v>
      </c>
      <c r="G4247" s="85">
        <f>--(F4247&lt;=Estimator!$B$7)</f>
        <v>1</v>
      </c>
      <c r="H4247" s="86">
        <f>SUMIFS('Climate Data'!$G$7:$G$366,'Climate Data'!$A$7:$A$366,Estimator!$B$4,'Climate Data'!$B$7:$B$366,C4247)</f>
        <v>0.23548387096774193</v>
      </c>
      <c r="I4247" s="87">
        <f>SUMIFS('Climate Data'!$H$7:$H$366,'Climate Data'!$A$7:$A$366,Estimator!$B$4,'Climate Data'!$B$7:$B$366,C4247)</f>
        <v>7.9589041095890414</v>
      </c>
      <c r="J4247" s="86">
        <f>SUMIFS('Wind Proxy'!$H$8:$H$19,'Wind Proxy'!$A$8:$A$19,Estimator!$B$4,'Wind Proxy'!$B$8:$B$19,C4247)</f>
        <v>0</v>
      </c>
    </row>
    <row r="4248" spans="1:10" ht="14.4">
      <c r="A4248" s="84">
        <v>49899</v>
      </c>
      <c r="B4248" s="85">
        <v>2036</v>
      </c>
      <c r="C4248" s="85">
        <v>8</v>
      </c>
      <c r="D4248" s="85" t="s">
        <v>71</v>
      </c>
      <c r="E4248" s="85">
        <v>12</v>
      </c>
      <c r="F4248" s="85">
        <v>2</v>
      </c>
      <c r="G4248" s="85">
        <f>--(F4248&lt;=Estimator!$B$7)</f>
        <v>1</v>
      </c>
      <c r="H4248" s="86">
        <f>SUMIFS('Climate Data'!$G$7:$G$366,'Climate Data'!$A$7:$A$366,Estimator!$B$4,'Climate Data'!$B$7:$B$366,C4248)</f>
        <v>0.23548387096774193</v>
      </c>
      <c r="I4248" s="87">
        <f>SUMIFS('Climate Data'!$H$7:$H$366,'Climate Data'!$A$7:$A$366,Estimator!$B$4,'Climate Data'!$B$7:$B$366,C4248)</f>
        <v>7.9589041095890414</v>
      </c>
      <c r="J4248" s="86">
        <f>SUMIFS('Wind Proxy'!$H$8:$H$19,'Wind Proxy'!$A$8:$A$19,Estimator!$B$4,'Wind Proxy'!$B$8:$B$19,C4248)</f>
        <v>0</v>
      </c>
    </row>
    <row r="4249" spans="1:10" ht="14.4">
      <c r="A4249" s="84">
        <v>49900</v>
      </c>
      <c r="B4249" s="85">
        <v>2036</v>
      </c>
      <c r="C4249" s="85">
        <v>8</v>
      </c>
      <c r="D4249" s="85" t="s">
        <v>71</v>
      </c>
      <c r="E4249" s="85">
        <v>13</v>
      </c>
      <c r="F4249" s="85">
        <v>3</v>
      </c>
      <c r="G4249" s="85">
        <f>--(F4249&lt;=Estimator!$B$7)</f>
        <v>1</v>
      </c>
      <c r="H4249" s="86">
        <f>SUMIFS('Climate Data'!$G$7:$G$366,'Climate Data'!$A$7:$A$366,Estimator!$B$4,'Climate Data'!$B$7:$B$366,C4249)</f>
        <v>0.23548387096774193</v>
      </c>
      <c r="I4249" s="87">
        <f>SUMIFS('Climate Data'!$H$7:$H$366,'Climate Data'!$A$7:$A$366,Estimator!$B$4,'Climate Data'!$B$7:$B$366,C4249)</f>
        <v>7.9589041095890414</v>
      </c>
      <c r="J4249" s="86">
        <f>SUMIFS('Wind Proxy'!$H$8:$H$19,'Wind Proxy'!$A$8:$A$19,Estimator!$B$4,'Wind Proxy'!$B$8:$B$19,C4249)</f>
        <v>0</v>
      </c>
    </row>
    <row r="4250" spans="1:10" ht="14.4">
      <c r="A4250" s="84">
        <v>49901</v>
      </c>
      <c r="B4250" s="85">
        <v>2036</v>
      </c>
      <c r="C4250" s="85">
        <v>8</v>
      </c>
      <c r="D4250" s="85" t="s">
        <v>71</v>
      </c>
      <c r="E4250" s="85">
        <v>14</v>
      </c>
      <c r="F4250" s="85">
        <v>4</v>
      </c>
      <c r="G4250" s="85">
        <f>--(F4250&lt;=Estimator!$B$7)</f>
        <v>1</v>
      </c>
      <c r="H4250" s="86">
        <f>SUMIFS('Climate Data'!$G$7:$G$366,'Climate Data'!$A$7:$A$366,Estimator!$B$4,'Climate Data'!$B$7:$B$366,C4250)</f>
        <v>0.23548387096774193</v>
      </c>
      <c r="I4250" s="87">
        <f>SUMIFS('Climate Data'!$H$7:$H$366,'Climate Data'!$A$7:$A$366,Estimator!$B$4,'Climate Data'!$B$7:$B$366,C4250)</f>
        <v>7.9589041095890414</v>
      </c>
      <c r="J4250" s="86">
        <f>SUMIFS('Wind Proxy'!$H$8:$H$19,'Wind Proxy'!$A$8:$A$19,Estimator!$B$4,'Wind Proxy'!$B$8:$B$19,C4250)</f>
        <v>0</v>
      </c>
    </row>
    <row r="4251" spans="1:10" ht="14.4">
      <c r="A4251" s="84">
        <v>49902</v>
      </c>
      <c r="B4251" s="85">
        <v>2036</v>
      </c>
      <c r="C4251" s="85">
        <v>8</v>
      </c>
      <c r="D4251" s="85" t="s">
        <v>71</v>
      </c>
      <c r="E4251" s="85">
        <v>15</v>
      </c>
      <c r="F4251" s="85">
        <v>5</v>
      </c>
      <c r="G4251" s="85">
        <f>--(F4251&lt;=Estimator!$B$7)</f>
        <v>1</v>
      </c>
      <c r="H4251" s="86">
        <f>SUMIFS('Climate Data'!$G$7:$G$366,'Climate Data'!$A$7:$A$366,Estimator!$B$4,'Climate Data'!$B$7:$B$366,C4251)</f>
        <v>0.23548387096774193</v>
      </c>
      <c r="I4251" s="87">
        <f>SUMIFS('Climate Data'!$H$7:$H$366,'Climate Data'!$A$7:$A$366,Estimator!$B$4,'Climate Data'!$B$7:$B$366,C4251)</f>
        <v>7.9589041095890414</v>
      </c>
      <c r="J4251" s="86">
        <f>SUMIFS('Wind Proxy'!$H$8:$H$19,'Wind Proxy'!$A$8:$A$19,Estimator!$B$4,'Wind Proxy'!$B$8:$B$19,C4251)</f>
        <v>0</v>
      </c>
    </row>
    <row r="4252" spans="1:10" ht="14.4">
      <c r="A4252" s="84">
        <v>49903</v>
      </c>
      <c r="B4252" s="85">
        <v>2036</v>
      </c>
      <c r="C4252" s="85">
        <v>8</v>
      </c>
      <c r="D4252" s="85" t="s">
        <v>71</v>
      </c>
      <c r="E4252" s="85">
        <v>16</v>
      </c>
      <c r="F4252" s="85">
        <v>6</v>
      </c>
      <c r="G4252" s="85">
        <f>--(F4252&lt;=Estimator!$B$7)</f>
        <v>0</v>
      </c>
      <c r="H4252" s="86">
        <f>SUMIFS('Climate Data'!$G$7:$G$366,'Climate Data'!$A$7:$A$366,Estimator!$B$4,'Climate Data'!$B$7:$B$366,C4252)</f>
        <v>0.23548387096774193</v>
      </c>
      <c r="I4252" s="87">
        <f>SUMIFS('Climate Data'!$H$7:$H$366,'Climate Data'!$A$7:$A$366,Estimator!$B$4,'Climate Data'!$B$7:$B$366,C4252)</f>
        <v>7.9589041095890414</v>
      </c>
      <c r="J4252" s="86">
        <f>SUMIFS('Wind Proxy'!$H$8:$H$19,'Wind Proxy'!$A$8:$A$19,Estimator!$B$4,'Wind Proxy'!$B$8:$B$19,C4252)</f>
        <v>0</v>
      </c>
    </row>
    <row r="4253" spans="1:10" ht="14.4">
      <c r="A4253" s="84">
        <v>49904</v>
      </c>
      <c r="B4253" s="85">
        <v>2036</v>
      </c>
      <c r="C4253" s="85">
        <v>8</v>
      </c>
      <c r="D4253" s="85" t="s">
        <v>71</v>
      </c>
      <c r="E4253" s="85">
        <v>17</v>
      </c>
      <c r="F4253" s="85">
        <v>7</v>
      </c>
      <c r="G4253" s="85">
        <f>--(F4253&lt;=Estimator!$B$7)</f>
        <v>0</v>
      </c>
      <c r="H4253" s="86">
        <f>SUMIFS('Climate Data'!$G$7:$G$366,'Climate Data'!$A$7:$A$366,Estimator!$B$4,'Climate Data'!$B$7:$B$366,C4253)</f>
        <v>0.23548387096774193</v>
      </c>
      <c r="I4253" s="87">
        <f>SUMIFS('Climate Data'!$H$7:$H$366,'Climate Data'!$A$7:$A$366,Estimator!$B$4,'Climate Data'!$B$7:$B$366,C4253)</f>
        <v>7.9589041095890414</v>
      </c>
      <c r="J4253" s="86">
        <f>SUMIFS('Wind Proxy'!$H$8:$H$19,'Wind Proxy'!$A$8:$A$19,Estimator!$B$4,'Wind Proxy'!$B$8:$B$19,C4253)</f>
        <v>0</v>
      </c>
    </row>
    <row r="4254" spans="1:10" ht="14.4">
      <c r="A4254" s="84">
        <v>49905</v>
      </c>
      <c r="B4254" s="85">
        <v>2036</v>
      </c>
      <c r="C4254" s="85">
        <v>8</v>
      </c>
      <c r="D4254" s="85" t="s">
        <v>71</v>
      </c>
      <c r="E4254" s="85">
        <v>18</v>
      </c>
      <c r="F4254" s="85">
        <v>1</v>
      </c>
      <c r="G4254" s="85">
        <f>--(F4254&lt;=Estimator!$B$7)</f>
        <v>1</v>
      </c>
      <c r="H4254" s="86">
        <f>SUMIFS('Climate Data'!$G$7:$G$366,'Climate Data'!$A$7:$A$366,Estimator!$B$4,'Climate Data'!$B$7:$B$366,C4254)</f>
        <v>0.23548387096774193</v>
      </c>
      <c r="I4254" s="87">
        <f>SUMIFS('Climate Data'!$H$7:$H$366,'Climate Data'!$A$7:$A$366,Estimator!$B$4,'Climate Data'!$B$7:$B$366,C4254)</f>
        <v>7.9589041095890414</v>
      </c>
      <c r="J4254" s="86">
        <f>SUMIFS('Wind Proxy'!$H$8:$H$19,'Wind Proxy'!$A$8:$A$19,Estimator!$B$4,'Wind Proxy'!$B$8:$B$19,C4254)</f>
        <v>0</v>
      </c>
    </row>
    <row r="4255" spans="1:10" ht="14.4">
      <c r="A4255" s="84">
        <v>49906</v>
      </c>
      <c r="B4255" s="85">
        <v>2036</v>
      </c>
      <c r="C4255" s="85">
        <v>8</v>
      </c>
      <c r="D4255" s="85" t="s">
        <v>71</v>
      </c>
      <c r="E4255" s="85">
        <v>19</v>
      </c>
      <c r="F4255" s="85">
        <v>2</v>
      </c>
      <c r="G4255" s="85">
        <f>--(F4255&lt;=Estimator!$B$7)</f>
        <v>1</v>
      </c>
      <c r="H4255" s="86">
        <f>SUMIFS('Climate Data'!$G$7:$G$366,'Climate Data'!$A$7:$A$366,Estimator!$B$4,'Climate Data'!$B$7:$B$366,C4255)</f>
        <v>0.23548387096774193</v>
      </c>
      <c r="I4255" s="87">
        <f>SUMIFS('Climate Data'!$H$7:$H$366,'Climate Data'!$A$7:$A$366,Estimator!$B$4,'Climate Data'!$B$7:$B$366,C4255)</f>
        <v>7.9589041095890414</v>
      </c>
      <c r="J4255" s="86">
        <f>SUMIFS('Wind Proxy'!$H$8:$H$19,'Wind Proxy'!$A$8:$A$19,Estimator!$B$4,'Wind Proxy'!$B$8:$B$19,C4255)</f>
        <v>0</v>
      </c>
    </row>
    <row r="4256" spans="1:10" ht="14.4">
      <c r="A4256" s="84">
        <v>49907</v>
      </c>
      <c r="B4256" s="85">
        <v>2036</v>
      </c>
      <c r="C4256" s="85">
        <v>8</v>
      </c>
      <c r="D4256" s="85" t="s">
        <v>71</v>
      </c>
      <c r="E4256" s="85">
        <v>20</v>
      </c>
      <c r="F4256" s="85">
        <v>3</v>
      </c>
      <c r="G4256" s="85">
        <f>--(F4256&lt;=Estimator!$B$7)</f>
        <v>1</v>
      </c>
      <c r="H4256" s="86">
        <f>SUMIFS('Climate Data'!$G$7:$G$366,'Climate Data'!$A$7:$A$366,Estimator!$B$4,'Climate Data'!$B$7:$B$366,C4256)</f>
        <v>0.23548387096774193</v>
      </c>
      <c r="I4256" s="87">
        <f>SUMIFS('Climate Data'!$H$7:$H$366,'Climate Data'!$A$7:$A$366,Estimator!$B$4,'Climate Data'!$B$7:$B$366,C4256)</f>
        <v>7.9589041095890414</v>
      </c>
      <c r="J4256" s="86">
        <f>SUMIFS('Wind Proxy'!$H$8:$H$19,'Wind Proxy'!$A$8:$A$19,Estimator!$B$4,'Wind Proxy'!$B$8:$B$19,C4256)</f>
        <v>0</v>
      </c>
    </row>
    <row r="4257" spans="1:10" ht="14.4">
      <c r="A4257" s="84">
        <v>49908</v>
      </c>
      <c r="B4257" s="85">
        <v>2036</v>
      </c>
      <c r="C4257" s="85">
        <v>8</v>
      </c>
      <c r="D4257" s="85" t="s">
        <v>71</v>
      </c>
      <c r="E4257" s="85">
        <v>21</v>
      </c>
      <c r="F4257" s="85">
        <v>4</v>
      </c>
      <c r="G4257" s="85">
        <f>--(F4257&lt;=Estimator!$B$7)</f>
        <v>1</v>
      </c>
      <c r="H4257" s="86">
        <f>SUMIFS('Climate Data'!$G$7:$G$366,'Climate Data'!$A$7:$A$366,Estimator!$B$4,'Climate Data'!$B$7:$B$366,C4257)</f>
        <v>0.23548387096774193</v>
      </c>
      <c r="I4257" s="87">
        <f>SUMIFS('Climate Data'!$H$7:$H$366,'Climate Data'!$A$7:$A$366,Estimator!$B$4,'Climate Data'!$B$7:$B$366,C4257)</f>
        <v>7.9589041095890414</v>
      </c>
      <c r="J4257" s="86">
        <f>SUMIFS('Wind Proxy'!$H$8:$H$19,'Wind Proxy'!$A$8:$A$19,Estimator!$B$4,'Wind Proxy'!$B$8:$B$19,C4257)</f>
        <v>0</v>
      </c>
    </row>
    <row r="4258" spans="1:10" ht="14.4">
      <c r="A4258" s="84">
        <v>49909</v>
      </c>
      <c r="B4258" s="85">
        <v>2036</v>
      </c>
      <c r="C4258" s="85">
        <v>8</v>
      </c>
      <c r="D4258" s="85" t="s">
        <v>71</v>
      </c>
      <c r="E4258" s="85">
        <v>22</v>
      </c>
      <c r="F4258" s="85">
        <v>5</v>
      </c>
      <c r="G4258" s="85">
        <f>--(F4258&lt;=Estimator!$B$7)</f>
        <v>1</v>
      </c>
      <c r="H4258" s="86">
        <f>SUMIFS('Climate Data'!$G$7:$G$366,'Climate Data'!$A$7:$A$366,Estimator!$B$4,'Climate Data'!$B$7:$B$366,C4258)</f>
        <v>0.23548387096774193</v>
      </c>
      <c r="I4258" s="87">
        <f>SUMIFS('Climate Data'!$H$7:$H$366,'Climate Data'!$A$7:$A$366,Estimator!$B$4,'Climate Data'!$B$7:$B$366,C4258)</f>
        <v>7.9589041095890414</v>
      </c>
      <c r="J4258" s="86">
        <f>SUMIFS('Wind Proxy'!$H$8:$H$19,'Wind Proxy'!$A$8:$A$19,Estimator!$B$4,'Wind Proxy'!$B$8:$B$19,C4258)</f>
        <v>0</v>
      </c>
    </row>
    <row r="4259" spans="1:10" ht="14.4">
      <c r="A4259" s="84">
        <v>49910</v>
      </c>
      <c r="B4259" s="85">
        <v>2036</v>
      </c>
      <c r="C4259" s="85">
        <v>8</v>
      </c>
      <c r="D4259" s="85" t="s">
        <v>71</v>
      </c>
      <c r="E4259" s="85">
        <v>23</v>
      </c>
      <c r="F4259" s="85">
        <v>6</v>
      </c>
      <c r="G4259" s="85">
        <f>--(F4259&lt;=Estimator!$B$7)</f>
        <v>0</v>
      </c>
      <c r="H4259" s="86">
        <f>SUMIFS('Climate Data'!$G$7:$G$366,'Climate Data'!$A$7:$A$366,Estimator!$B$4,'Climate Data'!$B$7:$B$366,C4259)</f>
        <v>0.23548387096774193</v>
      </c>
      <c r="I4259" s="87">
        <f>SUMIFS('Climate Data'!$H$7:$H$366,'Climate Data'!$A$7:$A$366,Estimator!$B$4,'Climate Data'!$B$7:$B$366,C4259)</f>
        <v>7.9589041095890414</v>
      </c>
      <c r="J4259" s="86">
        <f>SUMIFS('Wind Proxy'!$H$8:$H$19,'Wind Proxy'!$A$8:$A$19,Estimator!$B$4,'Wind Proxy'!$B$8:$B$19,C4259)</f>
        <v>0</v>
      </c>
    </row>
    <row r="4260" spans="1:10" ht="14.4">
      <c r="A4260" s="84">
        <v>49911</v>
      </c>
      <c r="B4260" s="85">
        <v>2036</v>
      </c>
      <c r="C4260" s="85">
        <v>8</v>
      </c>
      <c r="D4260" s="85" t="s">
        <v>71</v>
      </c>
      <c r="E4260" s="85">
        <v>24</v>
      </c>
      <c r="F4260" s="85">
        <v>7</v>
      </c>
      <c r="G4260" s="85">
        <f>--(F4260&lt;=Estimator!$B$7)</f>
        <v>0</v>
      </c>
      <c r="H4260" s="86">
        <f>SUMIFS('Climate Data'!$G$7:$G$366,'Climate Data'!$A$7:$A$366,Estimator!$B$4,'Climate Data'!$B$7:$B$366,C4260)</f>
        <v>0.23548387096774193</v>
      </c>
      <c r="I4260" s="87">
        <f>SUMIFS('Climate Data'!$H$7:$H$366,'Climate Data'!$A$7:$A$366,Estimator!$B$4,'Climate Data'!$B$7:$B$366,C4260)</f>
        <v>7.9589041095890414</v>
      </c>
      <c r="J4260" s="86">
        <f>SUMIFS('Wind Proxy'!$H$8:$H$19,'Wind Proxy'!$A$8:$A$19,Estimator!$B$4,'Wind Proxy'!$B$8:$B$19,C4260)</f>
        <v>0</v>
      </c>
    </row>
    <row r="4261" spans="1:10" ht="14.4">
      <c r="A4261" s="84">
        <v>49912</v>
      </c>
      <c r="B4261" s="85">
        <v>2036</v>
      </c>
      <c r="C4261" s="85">
        <v>8</v>
      </c>
      <c r="D4261" s="85" t="s">
        <v>71</v>
      </c>
      <c r="E4261" s="85">
        <v>25</v>
      </c>
      <c r="F4261" s="85">
        <v>1</v>
      </c>
      <c r="G4261" s="85">
        <f>--(F4261&lt;=Estimator!$B$7)</f>
        <v>1</v>
      </c>
      <c r="H4261" s="86">
        <f>SUMIFS('Climate Data'!$G$7:$G$366,'Climate Data'!$A$7:$A$366,Estimator!$B$4,'Climate Data'!$B$7:$B$366,C4261)</f>
        <v>0.23548387096774193</v>
      </c>
      <c r="I4261" s="87">
        <f>SUMIFS('Climate Data'!$H$7:$H$366,'Climate Data'!$A$7:$A$366,Estimator!$B$4,'Climate Data'!$B$7:$B$366,C4261)</f>
        <v>7.9589041095890414</v>
      </c>
      <c r="J4261" s="86">
        <f>SUMIFS('Wind Proxy'!$H$8:$H$19,'Wind Proxy'!$A$8:$A$19,Estimator!$B$4,'Wind Proxy'!$B$8:$B$19,C4261)</f>
        <v>0</v>
      </c>
    </row>
    <row r="4262" spans="1:10" ht="14.4">
      <c r="A4262" s="84">
        <v>49913</v>
      </c>
      <c r="B4262" s="85">
        <v>2036</v>
      </c>
      <c r="C4262" s="85">
        <v>8</v>
      </c>
      <c r="D4262" s="85" t="s">
        <v>71</v>
      </c>
      <c r="E4262" s="85">
        <v>26</v>
      </c>
      <c r="F4262" s="85">
        <v>2</v>
      </c>
      <c r="G4262" s="85">
        <f>--(F4262&lt;=Estimator!$B$7)</f>
        <v>1</v>
      </c>
      <c r="H4262" s="86">
        <f>SUMIFS('Climate Data'!$G$7:$G$366,'Climate Data'!$A$7:$A$366,Estimator!$B$4,'Climate Data'!$B$7:$B$366,C4262)</f>
        <v>0.23548387096774193</v>
      </c>
      <c r="I4262" s="87">
        <f>SUMIFS('Climate Data'!$H$7:$H$366,'Climate Data'!$A$7:$A$366,Estimator!$B$4,'Climate Data'!$B$7:$B$366,C4262)</f>
        <v>7.9589041095890414</v>
      </c>
      <c r="J4262" s="86">
        <f>SUMIFS('Wind Proxy'!$H$8:$H$19,'Wind Proxy'!$A$8:$A$19,Estimator!$B$4,'Wind Proxy'!$B$8:$B$19,C4262)</f>
        <v>0</v>
      </c>
    </row>
    <row r="4263" spans="1:10" ht="14.4">
      <c r="A4263" s="84">
        <v>49914</v>
      </c>
      <c r="B4263" s="85">
        <v>2036</v>
      </c>
      <c r="C4263" s="85">
        <v>8</v>
      </c>
      <c r="D4263" s="85" t="s">
        <v>71</v>
      </c>
      <c r="E4263" s="85">
        <v>27</v>
      </c>
      <c r="F4263" s="85">
        <v>3</v>
      </c>
      <c r="G4263" s="85">
        <f>--(F4263&lt;=Estimator!$B$7)</f>
        <v>1</v>
      </c>
      <c r="H4263" s="86">
        <f>SUMIFS('Climate Data'!$G$7:$G$366,'Climate Data'!$A$7:$A$366,Estimator!$B$4,'Climate Data'!$B$7:$B$366,C4263)</f>
        <v>0.23548387096774193</v>
      </c>
      <c r="I4263" s="87">
        <f>SUMIFS('Climate Data'!$H$7:$H$366,'Climate Data'!$A$7:$A$366,Estimator!$B$4,'Climate Data'!$B$7:$B$366,C4263)</f>
        <v>7.9589041095890414</v>
      </c>
      <c r="J4263" s="86">
        <f>SUMIFS('Wind Proxy'!$H$8:$H$19,'Wind Proxy'!$A$8:$A$19,Estimator!$B$4,'Wind Proxy'!$B$8:$B$19,C4263)</f>
        <v>0</v>
      </c>
    </row>
    <row r="4264" spans="1:10" ht="14.4">
      <c r="A4264" s="84">
        <v>49915</v>
      </c>
      <c r="B4264" s="85">
        <v>2036</v>
      </c>
      <c r="C4264" s="85">
        <v>8</v>
      </c>
      <c r="D4264" s="85" t="s">
        <v>71</v>
      </c>
      <c r="E4264" s="85">
        <v>28</v>
      </c>
      <c r="F4264" s="85">
        <v>4</v>
      </c>
      <c r="G4264" s="85">
        <f>--(F4264&lt;=Estimator!$B$7)</f>
        <v>1</v>
      </c>
      <c r="H4264" s="86">
        <f>SUMIFS('Climate Data'!$G$7:$G$366,'Climate Data'!$A$7:$A$366,Estimator!$B$4,'Climate Data'!$B$7:$B$366,C4264)</f>
        <v>0.23548387096774193</v>
      </c>
      <c r="I4264" s="87">
        <f>SUMIFS('Climate Data'!$H$7:$H$366,'Climate Data'!$A$7:$A$366,Estimator!$B$4,'Climate Data'!$B$7:$B$366,C4264)</f>
        <v>7.9589041095890414</v>
      </c>
      <c r="J4264" s="86">
        <f>SUMIFS('Wind Proxy'!$H$8:$H$19,'Wind Proxy'!$A$8:$A$19,Estimator!$B$4,'Wind Proxy'!$B$8:$B$19,C4264)</f>
        <v>0</v>
      </c>
    </row>
    <row r="4265" spans="1:10" ht="14.4">
      <c r="A4265" s="84">
        <v>49916</v>
      </c>
      <c r="B4265" s="85">
        <v>2036</v>
      </c>
      <c r="C4265" s="85">
        <v>8</v>
      </c>
      <c r="D4265" s="85" t="s">
        <v>71</v>
      </c>
      <c r="E4265" s="85">
        <v>29</v>
      </c>
      <c r="F4265" s="85">
        <v>5</v>
      </c>
      <c r="G4265" s="85">
        <f>--(F4265&lt;=Estimator!$B$7)</f>
        <v>1</v>
      </c>
      <c r="H4265" s="86">
        <f>SUMIFS('Climate Data'!$G$7:$G$366,'Climate Data'!$A$7:$A$366,Estimator!$B$4,'Climate Data'!$B$7:$B$366,C4265)</f>
        <v>0.23548387096774193</v>
      </c>
      <c r="I4265" s="87">
        <f>SUMIFS('Climate Data'!$H$7:$H$366,'Climate Data'!$A$7:$A$366,Estimator!$B$4,'Climate Data'!$B$7:$B$366,C4265)</f>
        <v>7.9589041095890414</v>
      </c>
      <c r="J4265" s="86">
        <f>SUMIFS('Wind Proxy'!$H$8:$H$19,'Wind Proxy'!$A$8:$A$19,Estimator!$B$4,'Wind Proxy'!$B$8:$B$19,C4265)</f>
        <v>0</v>
      </c>
    </row>
    <row r="4266" spans="1:10" ht="14.4">
      <c r="A4266" s="84">
        <v>49917</v>
      </c>
      <c r="B4266" s="85">
        <v>2036</v>
      </c>
      <c r="C4266" s="85">
        <v>8</v>
      </c>
      <c r="D4266" s="85" t="s">
        <v>71</v>
      </c>
      <c r="E4266" s="85">
        <v>30</v>
      </c>
      <c r="F4266" s="85">
        <v>6</v>
      </c>
      <c r="G4266" s="85">
        <f>--(F4266&lt;=Estimator!$B$7)</f>
        <v>0</v>
      </c>
      <c r="H4266" s="86">
        <f>SUMIFS('Climate Data'!$G$7:$G$366,'Climate Data'!$A$7:$A$366,Estimator!$B$4,'Climate Data'!$B$7:$B$366,C4266)</f>
        <v>0.23548387096774193</v>
      </c>
      <c r="I4266" s="87">
        <f>SUMIFS('Climate Data'!$H$7:$H$366,'Climate Data'!$A$7:$A$366,Estimator!$B$4,'Climate Data'!$B$7:$B$366,C4266)</f>
        <v>7.9589041095890414</v>
      </c>
      <c r="J4266" s="86">
        <f>SUMIFS('Wind Proxy'!$H$8:$H$19,'Wind Proxy'!$A$8:$A$19,Estimator!$B$4,'Wind Proxy'!$B$8:$B$19,C4266)</f>
        <v>0</v>
      </c>
    </row>
    <row r="4267" spans="1:10" ht="14.4">
      <c r="A4267" s="84">
        <v>49918</v>
      </c>
      <c r="B4267" s="85">
        <v>2036</v>
      </c>
      <c r="C4267" s="85">
        <v>8</v>
      </c>
      <c r="D4267" s="85" t="s">
        <v>71</v>
      </c>
      <c r="E4267" s="85">
        <v>31</v>
      </c>
      <c r="F4267" s="85">
        <v>7</v>
      </c>
      <c r="G4267" s="85">
        <f>--(F4267&lt;=Estimator!$B$7)</f>
        <v>0</v>
      </c>
      <c r="H4267" s="86">
        <f>SUMIFS('Climate Data'!$G$7:$G$366,'Climate Data'!$A$7:$A$366,Estimator!$B$4,'Climate Data'!$B$7:$B$366,C4267)</f>
        <v>0.23548387096774193</v>
      </c>
      <c r="I4267" s="87">
        <f>SUMIFS('Climate Data'!$H$7:$H$366,'Climate Data'!$A$7:$A$366,Estimator!$B$4,'Climate Data'!$B$7:$B$366,C4267)</f>
        <v>7.9589041095890414</v>
      </c>
      <c r="J4267" s="86">
        <f>SUMIFS('Wind Proxy'!$H$8:$H$19,'Wind Proxy'!$A$8:$A$19,Estimator!$B$4,'Wind Proxy'!$B$8:$B$19,C4267)</f>
        <v>0</v>
      </c>
    </row>
    <row r="4268" spans="1:10" ht="14.4">
      <c r="A4268" s="84">
        <v>49919</v>
      </c>
      <c r="B4268" s="85">
        <v>2036</v>
      </c>
      <c r="C4268" s="85">
        <v>9</v>
      </c>
      <c r="D4268" s="85" t="s">
        <v>73</v>
      </c>
      <c r="E4268" s="85">
        <v>1</v>
      </c>
      <c r="F4268" s="85">
        <v>1</v>
      </c>
      <c r="G4268" s="85">
        <f>--(F4268&lt;=Estimator!$B$7)</f>
        <v>1</v>
      </c>
      <c r="H4268" s="86">
        <f>SUMIFS('Climate Data'!$G$7:$G$366,'Climate Data'!$A$7:$A$366,Estimator!$B$4,'Climate Data'!$B$7:$B$366,C4268)</f>
        <v>0.20666666666666667</v>
      </c>
      <c r="I4268" s="87">
        <f>SUMIFS('Climate Data'!$H$7:$H$366,'Climate Data'!$A$7:$A$366,Estimator!$B$4,'Climate Data'!$B$7:$B$366,C4268)</f>
        <v>6.806451612903226</v>
      </c>
      <c r="J4268" s="86">
        <f>SUMIFS('Wind Proxy'!$H$8:$H$19,'Wind Proxy'!$A$8:$A$19,Estimator!$B$4,'Wind Proxy'!$B$8:$B$19,C4268)</f>
        <v>0</v>
      </c>
    </row>
    <row r="4269" spans="1:10" ht="14.4">
      <c r="A4269" s="84">
        <v>49920</v>
      </c>
      <c r="B4269" s="85">
        <v>2036</v>
      </c>
      <c r="C4269" s="85">
        <v>9</v>
      </c>
      <c r="D4269" s="85" t="s">
        <v>73</v>
      </c>
      <c r="E4269" s="85">
        <v>2</v>
      </c>
      <c r="F4269" s="85">
        <v>2</v>
      </c>
      <c r="G4269" s="85">
        <f>--(F4269&lt;=Estimator!$B$7)</f>
        <v>1</v>
      </c>
      <c r="H4269" s="86">
        <f>SUMIFS('Climate Data'!$G$7:$G$366,'Climate Data'!$A$7:$A$366,Estimator!$B$4,'Climate Data'!$B$7:$B$366,C4269)</f>
        <v>0.20666666666666667</v>
      </c>
      <c r="I4269" s="87">
        <f>SUMIFS('Climate Data'!$H$7:$H$366,'Climate Data'!$A$7:$A$366,Estimator!$B$4,'Climate Data'!$B$7:$B$366,C4269)</f>
        <v>6.806451612903226</v>
      </c>
      <c r="J4269" s="86">
        <f>SUMIFS('Wind Proxy'!$H$8:$H$19,'Wind Proxy'!$A$8:$A$19,Estimator!$B$4,'Wind Proxy'!$B$8:$B$19,C4269)</f>
        <v>0</v>
      </c>
    </row>
    <row r="4270" spans="1:10" ht="14.4">
      <c r="A4270" s="84">
        <v>49921</v>
      </c>
      <c r="B4270" s="85">
        <v>2036</v>
      </c>
      <c r="C4270" s="85">
        <v>9</v>
      </c>
      <c r="D4270" s="85" t="s">
        <v>73</v>
      </c>
      <c r="E4270" s="85">
        <v>3</v>
      </c>
      <c r="F4270" s="85">
        <v>3</v>
      </c>
      <c r="G4270" s="85">
        <f>--(F4270&lt;=Estimator!$B$7)</f>
        <v>1</v>
      </c>
      <c r="H4270" s="86">
        <f>SUMIFS('Climate Data'!$G$7:$G$366,'Climate Data'!$A$7:$A$366,Estimator!$B$4,'Climate Data'!$B$7:$B$366,C4270)</f>
        <v>0.20666666666666667</v>
      </c>
      <c r="I4270" s="87">
        <f>SUMIFS('Climate Data'!$H$7:$H$366,'Climate Data'!$A$7:$A$366,Estimator!$B$4,'Climate Data'!$B$7:$B$366,C4270)</f>
        <v>6.806451612903226</v>
      </c>
      <c r="J4270" s="86">
        <f>SUMIFS('Wind Proxy'!$H$8:$H$19,'Wind Proxy'!$A$8:$A$19,Estimator!$B$4,'Wind Proxy'!$B$8:$B$19,C4270)</f>
        <v>0</v>
      </c>
    </row>
    <row r="4271" spans="1:10" ht="14.4">
      <c r="A4271" s="84">
        <v>49922</v>
      </c>
      <c r="B4271" s="85">
        <v>2036</v>
      </c>
      <c r="C4271" s="85">
        <v>9</v>
      </c>
      <c r="D4271" s="85" t="s">
        <v>73</v>
      </c>
      <c r="E4271" s="85">
        <v>4</v>
      </c>
      <c r="F4271" s="85">
        <v>4</v>
      </c>
      <c r="G4271" s="85">
        <f>--(F4271&lt;=Estimator!$B$7)</f>
        <v>1</v>
      </c>
      <c r="H4271" s="86">
        <f>SUMIFS('Climate Data'!$G$7:$G$366,'Climate Data'!$A$7:$A$366,Estimator!$B$4,'Climate Data'!$B$7:$B$366,C4271)</f>
        <v>0.20666666666666667</v>
      </c>
      <c r="I4271" s="87">
        <f>SUMIFS('Climate Data'!$H$7:$H$366,'Climate Data'!$A$7:$A$366,Estimator!$B$4,'Climate Data'!$B$7:$B$366,C4271)</f>
        <v>6.806451612903226</v>
      </c>
      <c r="J4271" s="86">
        <f>SUMIFS('Wind Proxy'!$H$8:$H$19,'Wind Proxy'!$A$8:$A$19,Estimator!$B$4,'Wind Proxy'!$B$8:$B$19,C4271)</f>
        <v>0</v>
      </c>
    </row>
    <row r="4272" spans="1:10" ht="14.4">
      <c r="A4272" s="84">
        <v>49923</v>
      </c>
      <c r="B4272" s="85">
        <v>2036</v>
      </c>
      <c r="C4272" s="85">
        <v>9</v>
      </c>
      <c r="D4272" s="85" t="s">
        <v>73</v>
      </c>
      <c r="E4272" s="85">
        <v>5</v>
      </c>
      <c r="F4272" s="85">
        <v>5</v>
      </c>
      <c r="G4272" s="85">
        <f>--(F4272&lt;=Estimator!$B$7)</f>
        <v>1</v>
      </c>
      <c r="H4272" s="86">
        <f>SUMIFS('Climate Data'!$G$7:$G$366,'Climate Data'!$A$7:$A$366,Estimator!$B$4,'Climate Data'!$B$7:$B$366,C4272)</f>
        <v>0.20666666666666667</v>
      </c>
      <c r="I4272" s="87">
        <f>SUMIFS('Climate Data'!$H$7:$H$366,'Climate Data'!$A$7:$A$366,Estimator!$B$4,'Climate Data'!$B$7:$B$366,C4272)</f>
        <v>6.806451612903226</v>
      </c>
      <c r="J4272" s="86">
        <f>SUMIFS('Wind Proxy'!$H$8:$H$19,'Wind Proxy'!$A$8:$A$19,Estimator!$B$4,'Wind Proxy'!$B$8:$B$19,C4272)</f>
        <v>0</v>
      </c>
    </row>
    <row r="4273" spans="1:10" ht="14.4">
      <c r="A4273" s="84">
        <v>49924</v>
      </c>
      <c r="B4273" s="85">
        <v>2036</v>
      </c>
      <c r="C4273" s="85">
        <v>9</v>
      </c>
      <c r="D4273" s="85" t="s">
        <v>73</v>
      </c>
      <c r="E4273" s="85">
        <v>6</v>
      </c>
      <c r="F4273" s="85">
        <v>6</v>
      </c>
      <c r="G4273" s="85">
        <f>--(F4273&lt;=Estimator!$B$7)</f>
        <v>0</v>
      </c>
      <c r="H4273" s="86">
        <f>SUMIFS('Climate Data'!$G$7:$G$366,'Climate Data'!$A$7:$A$366,Estimator!$B$4,'Climate Data'!$B$7:$B$366,C4273)</f>
        <v>0.20666666666666667</v>
      </c>
      <c r="I4273" s="87">
        <f>SUMIFS('Climate Data'!$H$7:$H$366,'Climate Data'!$A$7:$A$366,Estimator!$B$4,'Climate Data'!$B$7:$B$366,C4273)</f>
        <v>6.806451612903226</v>
      </c>
      <c r="J4273" s="86">
        <f>SUMIFS('Wind Proxy'!$H$8:$H$19,'Wind Proxy'!$A$8:$A$19,Estimator!$B$4,'Wind Proxy'!$B$8:$B$19,C4273)</f>
        <v>0</v>
      </c>
    </row>
    <row r="4274" spans="1:10" ht="14.4">
      <c r="A4274" s="84">
        <v>49925</v>
      </c>
      <c r="B4274" s="85">
        <v>2036</v>
      </c>
      <c r="C4274" s="85">
        <v>9</v>
      </c>
      <c r="D4274" s="85" t="s">
        <v>73</v>
      </c>
      <c r="E4274" s="85">
        <v>7</v>
      </c>
      <c r="F4274" s="85">
        <v>7</v>
      </c>
      <c r="G4274" s="85">
        <f>--(F4274&lt;=Estimator!$B$7)</f>
        <v>0</v>
      </c>
      <c r="H4274" s="86">
        <f>SUMIFS('Climate Data'!$G$7:$G$366,'Climate Data'!$A$7:$A$366,Estimator!$B$4,'Climate Data'!$B$7:$B$366,C4274)</f>
        <v>0.20666666666666667</v>
      </c>
      <c r="I4274" s="87">
        <f>SUMIFS('Climate Data'!$H$7:$H$366,'Climate Data'!$A$7:$A$366,Estimator!$B$4,'Climate Data'!$B$7:$B$366,C4274)</f>
        <v>6.806451612903226</v>
      </c>
      <c r="J4274" s="86">
        <f>SUMIFS('Wind Proxy'!$H$8:$H$19,'Wind Proxy'!$A$8:$A$19,Estimator!$B$4,'Wind Proxy'!$B$8:$B$19,C4274)</f>
        <v>0</v>
      </c>
    </row>
    <row r="4275" spans="1:10" ht="14.4">
      <c r="A4275" s="84">
        <v>49926</v>
      </c>
      <c r="B4275" s="85">
        <v>2036</v>
      </c>
      <c r="C4275" s="85">
        <v>9</v>
      </c>
      <c r="D4275" s="85" t="s">
        <v>73</v>
      </c>
      <c r="E4275" s="85">
        <v>8</v>
      </c>
      <c r="F4275" s="85">
        <v>1</v>
      </c>
      <c r="G4275" s="85">
        <f>--(F4275&lt;=Estimator!$B$7)</f>
        <v>1</v>
      </c>
      <c r="H4275" s="86">
        <f>SUMIFS('Climate Data'!$G$7:$G$366,'Climate Data'!$A$7:$A$366,Estimator!$B$4,'Climate Data'!$B$7:$B$366,C4275)</f>
        <v>0.20666666666666667</v>
      </c>
      <c r="I4275" s="87">
        <f>SUMIFS('Climate Data'!$H$7:$H$366,'Climate Data'!$A$7:$A$366,Estimator!$B$4,'Climate Data'!$B$7:$B$366,C4275)</f>
        <v>6.806451612903226</v>
      </c>
      <c r="J4275" s="86">
        <f>SUMIFS('Wind Proxy'!$H$8:$H$19,'Wind Proxy'!$A$8:$A$19,Estimator!$B$4,'Wind Proxy'!$B$8:$B$19,C4275)</f>
        <v>0</v>
      </c>
    </row>
    <row r="4276" spans="1:10" ht="14.4">
      <c r="A4276" s="84">
        <v>49927</v>
      </c>
      <c r="B4276" s="85">
        <v>2036</v>
      </c>
      <c r="C4276" s="85">
        <v>9</v>
      </c>
      <c r="D4276" s="85" t="s">
        <v>73</v>
      </c>
      <c r="E4276" s="85">
        <v>9</v>
      </c>
      <c r="F4276" s="85">
        <v>2</v>
      </c>
      <c r="G4276" s="85">
        <f>--(F4276&lt;=Estimator!$B$7)</f>
        <v>1</v>
      </c>
      <c r="H4276" s="86">
        <f>SUMIFS('Climate Data'!$G$7:$G$366,'Climate Data'!$A$7:$A$366,Estimator!$B$4,'Climate Data'!$B$7:$B$366,C4276)</f>
        <v>0.20666666666666667</v>
      </c>
      <c r="I4276" s="87">
        <f>SUMIFS('Climate Data'!$H$7:$H$366,'Climate Data'!$A$7:$A$366,Estimator!$B$4,'Climate Data'!$B$7:$B$366,C4276)</f>
        <v>6.806451612903226</v>
      </c>
      <c r="J4276" s="86">
        <f>SUMIFS('Wind Proxy'!$H$8:$H$19,'Wind Proxy'!$A$8:$A$19,Estimator!$B$4,'Wind Proxy'!$B$8:$B$19,C4276)</f>
        <v>0</v>
      </c>
    </row>
    <row r="4277" spans="1:10" ht="14.4">
      <c r="A4277" s="84">
        <v>49928</v>
      </c>
      <c r="B4277" s="85">
        <v>2036</v>
      </c>
      <c r="C4277" s="85">
        <v>9</v>
      </c>
      <c r="D4277" s="85" t="s">
        <v>73</v>
      </c>
      <c r="E4277" s="85">
        <v>10</v>
      </c>
      <c r="F4277" s="85">
        <v>3</v>
      </c>
      <c r="G4277" s="85">
        <f>--(F4277&lt;=Estimator!$B$7)</f>
        <v>1</v>
      </c>
      <c r="H4277" s="86">
        <f>SUMIFS('Climate Data'!$G$7:$G$366,'Climate Data'!$A$7:$A$366,Estimator!$B$4,'Climate Data'!$B$7:$B$366,C4277)</f>
        <v>0.20666666666666667</v>
      </c>
      <c r="I4277" s="87">
        <f>SUMIFS('Climate Data'!$H$7:$H$366,'Climate Data'!$A$7:$A$366,Estimator!$B$4,'Climate Data'!$B$7:$B$366,C4277)</f>
        <v>6.806451612903226</v>
      </c>
      <c r="J4277" s="86">
        <f>SUMIFS('Wind Proxy'!$H$8:$H$19,'Wind Proxy'!$A$8:$A$19,Estimator!$B$4,'Wind Proxy'!$B$8:$B$19,C4277)</f>
        <v>0</v>
      </c>
    </row>
    <row r="4278" spans="1:10" ht="14.4">
      <c r="A4278" s="84">
        <v>49929</v>
      </c>
      <c r="B4278" s="85">
        <v>2036</v>
      </c>
      <c r="C4278" s="85">
        <v>9</v>
      </c>
      <c r="D4278" s="85" t="s">
        <v>73</v>
      </c>
      <c r="E4278" s="85">
        <v>11</v>
      </c>
      <c r="F4278" s="85">
        <v>4</v>
      </c>
      <c r="G4278" s="85">
        <f>--(F4278&lt;=Estimator!$B$7)</f>
        <v>1</v>
      </c>
      <c r="H4278" s="86">
        <f>SUMIFS('Climate Data'!$G$7:$G$366,'Climate Data'!$A$7:$A$366,Estimator!$B$4,'Climate Data'!$B$7:$B$366,C4278)</f>
        <v>0.20666666666666667</v>
      </c>
      <c r="I4278" s="87">
        <f>SUMIFS('Climate Data'!$H$7:$H$366,'Climate Data'!$A$7:$A$366,Estimator!$B$4,'Climate Data'!$B$7:$B$366,C4278)</f>
        <v>6.806451612903226</v>
      </c>
      <c r="J4278" s="86">
        <f>SUMIFS('Wind Proxy'!$H$8:$H$19,'Wind Proxy'!$A$8:$A$19,Estimator!$B$4,'Wind Proxy'!$B$8:$B$19,C4278)</f>
        <v>0</v>
      </c>
    </row>
    <row r="4279" spans="1:10" ht="14.4">
      <c r="A4279" s="84">
        <v>49930</v>
      </c>
      <c r="B4279" s="85">
        <v>2036</v>
      </c>
      <c r="C4279" s="85">
        <v>9</v>
      </c>
      <c r="D4279" s="85" t="s">
        <v>73</v>
      </c>
      <c r="E4279" s="85">
        <v>12</v>
      </c>
      <c r="F4279" s="85">
        <v>5</v>
      </c>
      <c r="G4279" s="85">
        <f>--(F4279&lt;=Estimator!$B$7)</f>
        <v>1</v>
      </c>
      <c r="H4279" s="86">
        <f>SUMIFS('Climate Data'!$G$7:$G$366,'Climate Data'!$A$7:$A$366,Estimator!$B$4,'Climate Data'!$B$7:$B$366,C4279)</f>
        <v>0.20666666666666667</v>
      </c>
      <c r="I4279" s="87">
        <f>SUMIFS('Climate Data'!$H$7:$H$366,'Climate Data'!$A$7:$A$366,Estimator!$B$4,'Climate Data'!$B$7:$B$366,C4279)</f>
        <v>6.806451612903226</v>
      </c>
      <c r="J4279" s="86">
        <f>SUMIFS('Wind Proxy'!$H$8:$H$19,'Wind Proxy'!$A$8:$A$19,Estimator!$B$4,'Wind Proxy'!$B$8:$B$19,C4279)</f>
        <v>0</v>
      </c>
    </row>
    <row r="4280" spans="1:10" ht="14.4">
      <c r="A4280" s="84">
        <v>49931</v>
      </c>
      <c r="B4280" s="85">
        <v>2036</v>
      </c>
      <c r="C4280" s="85">
        <v>9</v>
      </c>
      <c r="D4280" s="85" t="s">
        <v>73</v>
      </c>
      <c r="E4280" s="85">
        <v>13</v>
      </c>
      <c r="F4280" s="85">
        <v>6</v>
      </c>
      <c r="G4280" s="85">
        <f>--(F4280&lt;=Estimator!$B$7)</f>
        <v>0</v>
      </c>
      <c r="H4280" s="86">
        <f>SUMIFS('Climate Data'!$G$7:$G$366,'Climate Data'!$A$7:$A$366,Estimator!$B$4,'Climate Data'!$B$7:$B$366,C4280)</f>
        <v>0.20666666666666667</v>
      </c>
      <c r="I4280" s="87">
        <f>SUMIFS('Climate Data'!$H$7:$H$366,'Climate Data'!$A$7:$A$366,Estimator!$B$4,'Climate Data'!$B$7:$B$366,C4280)</f>
        <v>6.806451612903226</v>
      </c>
      <c r="J4280" s="86">
        <f>SUMIFS('Wind Proxy'!$H$8:$H$19,'Wind Proxy'!$A$8:$A$19,Estimator!$B$4,'Wind Proxy'!$B$8:$B$19,C4280)</f>
        <v>0</v>
      </c>
    </row>
    <row r="4281" spans="1:10" ht="14.4">
      <c r="A4281" s="84">
        <v>49932</v>
      </c>
      <c r="B4281" s="85">
        <v>2036</v>
      </c>
      <c r="C4281" s="85">
        <v>9</v>
      </c>
      <c r="D4281" s="85" t="s">
        <v>73</v>
      </c>
      <c r="E4281" s="85">
        <v>14</v>
      </c>
      <c r="F4281" s="85">
        <v>7</v>
      </c>
      <c r="G4281" s="85">
        <f>--(F4281&lt;=Estimator!$B$7)</f>
        <v>0</v>
      </c>
      <c r="H4281" s="86">
        <f>SUMIFS('Climate Data'!$G$7:$G$366,'Climate Data'!$A$7:$A$366,Estimator!$B$4,'Climate Data'!$B$7:$B$366,C4281)</f>
        <v>0.20666666666666667</v>
      </c>
      <c r="I4281" s="87">
        <f>SUMIFS('Climate Data'!$H$7:$H$366,'Climate Data'!$A$7:$A$366,Estimator!$B$4,'Climate Data'!$B$7:$B$366,C4281)</f>
        <v>6.806451612903226</v>
      </c>
      <c r="J4281" s="86">
        <f>SUMIFS('Wind Proxy'!$H$8:$H$19,'Wind Proxy'!$A$8:$A$19,Estimator!$B$4,'Wind Proxy'!$B$8:$B$19,C4281)</f>
        <v>0</v>
      </c>
    </row>
    <row r="4282" spans="1:10" ht="14.4">
      <c r="A4282" s="84">
        <v>49933</v>
      </c>
      <c r="B4282" s="85">
        <v>2036</v>
      </c>
      <c r="C4282" s="85">
        <v>9</v>
      </c>
      <c r="D4282" s="85" t="s">
        <v>73</v>
      </c>
      <c r="E4282" s="85">
        <v>15</v>
      </c>
      <c r="F4282" s="85">
        <v>1</v>
      </c>
      <c r="G4282" s="85">
        <f>--(F4282&lt;=Estimator!$B$7)</f>
        <v>1</v>
      </c>
      <c r="H4282" s="86">
        <f>SUMIFS('Climate Data'!$G$7:$G$366,'Climate Data'!$A$7:$A$366,Estimator!$B$4,'Climate Data'!$B$7:$B$366,C4282)</f>
        <v>0.20666666666666667</v>
      </c>
      <c r="I4282" s="87">
        <f>SUMIFS('Climate Data'!$H$7:$H$366,'Climate Data'!$A$7:$A$366,Estimator!$B$4,'Climate Data'!$B$7:$B$366,C4282)</f>
        <v>6.806451612903226</v>
      </c>
      <c r="J4282" s="86">
        <f>SUMIFS('Wind Proxy'!$H$8:$H$19,'Wind Proxy'!$A$8:$A$19,Estimator!$B$4,'Wind Proxy'!$B$8:$B$19,C4282)</f>
        <v>0</v>
      </c>
    </row>
    <row r="4283" spans="1:10" ht="14.4">
      <c r="A4283" s="84">
        <v>49934</v>
      </c>
      <c r="B4283" s="85">
        <v>2036</v>
      </c>
      <c r="C4283" s="85">
        <v>9</v>
      </c>
      <c r="D4283" s="85" t="s">
        <v>73</v>
      </c>
      <c r="E4283" s="85">
        <v>16</v>
      </c>
      <c r="F4283" s="85">
        <v>2</v>
      </c>
      <c r="G4283" s="85">
        <f>--(F4283&lt;=Estimator!$B$7)</f>
        <v>1</v>
      </c>
      <c r="H4283" s="86">
        <f>SUMIFS('Climate Data'!$G$7:$G$366,'Climate Data'!$A$7:$A$366,Estimator!$B$4,'Climate Data'!$B$7:$B$366,C4283)</f>
        <v>0.20666666666666667</v>
      </c>
      <c r="I4283" s="87">
        <f>SUMIFS('Climate Data'!$H$7:$H$366,'Climate Data'!$A$7:$A$366,Estimator!$B$4,'Climate Data'!$B$7:$B$366,C4283)</f>
        <v>6.806451612903226</v>
      </c>
      <c r="J4283" s="86">
        <f>SUMIFS('Wind Proxy'!$H$8:$H$19,'Wind Proxy'!$A$8:$A$19,Estimator!$B$4,'Wind Proxy'!$B$8:$B$19,C4283)</f>
        <v>0</v>
      </c>
    </row>
    <row r="4284" spans="1:10" ht="14.4">
      <c r="A4284" s="84">
        <v>49935</v>
      </c>
      <c r="B4284" s="85">
        <v>2036</v>
      </c>
      <c r="C4284" s="85">
        <v>9</v>
      </c>
      <c r="D4284" s="85" t="s">
        <v>73</v>
      </c>
      <c r="E4284" s="85">
        <v>17</v>
      </c>
      <c r="F4284" s="85">
        <v>3</v>
      </c>
      <c r="G4284" s="85">
        <f>--(F4284&lt;=Estimator!$B$7)</f>
        <v>1</v>
      </c>
      <c r="H4284" s="86">
        <f>SUMIFS('Climate Data'!$G$7:$G$366,'Climate Data'!$A$7:$A$366,Estimator!$B$4,'Climate Data'!$B$7:$B$366,C4284)</f>
        <v>0.20666666666666667</v>
      </c>
      <c r="I4284" s="87">
        <f>SUMIFS('Climate Data'!$H$7:$H$366,'Climate Data'!$A$7:$A$366,Estimator!$B$4,'Climate Data'!$B$7:$B$366,C4284)</f>
        <v>6.806451612903226</v>
      </c>
      <c r="J4284" s="86">
        <f>SUMIFS('Wind Proxy'!$H$8:$H$19,'Wind Proxy'!$A$8:$A$19,Estimator!$B$4,'Wind Proxy'!$B$8:$B$19,C4284)</f>
        <v>0</v>
      </c>
    </row>
    <row r="4285" spans="1:10" ht="14.4">
      <c r="A4285" s="84">
        <v>49936</v>
      </c>
      <c r="B4285" s="85">
        <v>2036</v>
      </c>
      <c r="C4285" s="85">
        <v>9</v>
      </c>
      <c r="D4285" s="85" t="s">
        <v>73</v>
      </c>
      <c r="E4285" s="85">
        <v>18</v>
      </c>
      <c r="F4285" s="85">
        <v>4</v>
      </c>
      <c r="G4285" s="85">
        <f>--(F4285&lt;=Estimator!$B$7)</f>
        <v>1</v>
      </c>
      <c r="H4285" s="86">
        <f>SUMIFS('Climate Data'!$G$7:$G$366,'Climate Data'!$A$7:$A$366,Estimator!$B$4,'Climate Data'!$B$7:$B$366,C4285)</f>
        <v>0.20666666666666667</v>
      </c>
      <c r="I4285" s="87">
        <f>SUMIFS('Climate Data'!$H$7:$H$366,'Climate Data'!$A$7:$A$366,Estimator!$B$4,'Climate Data'!$B$7:$B$366,C4285)</f>
        <v>6.806451612903226</v>
      </c>
      <c r="J4285" s="86">
        <f>SUMIFS('Wind Proxy'!$H$8:$H$19,'Wind Proxy'!$A$8:$A$19,Estimator!$B$4,'Wind Proxy'!$B$8:$B$19,C4285)</f>
        <v>0</v>
      </c>
    </row>
    <row r="4286" spans="1:10" ht="14.4">
      <c r="A4286" s="84">
        <v>49937</v>
      </c>
      <c r="B4286" s="85">
        <v>2036</v>
      </c>
      <c r="C4286" s="85">
        <v>9</v>
      </c>
      <c r="D4286" s="85" t="s">
        <v>73</v>
      </c>
      <c r="E4286" s="85">
        <v>19</v>
      </c>
      <c r="F4286" s="85">
        <v>5</v>
      </c>
      <c r="G4286" s="85">
        <f>--(F4286&lt;=Estimator!$B$7)</f>
        <v>1</v>
      </c>
      <c r="H4286" s="86">
        <f>SUMIFS('Climate Data'!$G$7:$G$366,'Climate Data'!$A$7:$A$366,Estimator!$B$4,'Climate Data'!$B$7:$B$366,C4286)</f>
        <v>0.20666666666666667</v>
      </c>
      <c r="I4286" s="87">
        <f>SUMIFS('Climate Data'!$H$7:$H$366,'Climate Data'!$A$7:$A$366,Estimator!$B$4,'Climate Data'!$B$7:$B$366,C4286)</f>
        <v>6.806451612903226</v>
      </c>
      <c r="J4286" s="86">
        <f>SUMIFS('Wind Proxy'!$H$8:$H$19,'Wind Proxy'!$A$8:$A$19,Estimator!$B$4,'Wind Proxy'!$B$8:$B$19,C4286)</f>
        <v>0</v>
      </c>
    </row>
    <row r="4287" spans="1:10" ht="14.4">
      <c r="A4287" s="84">
        <v>49938</v>
      </c>
      <c r="B4287" s="85">
        <v>2036</v>
      </c>
      <c r="C4287" s="85">
        <v>9</v>
      </c>
      <c r="D4287" s="85" t="s">
        <v>73</v>
      </c>
      <c r="E4287" s="85">
        <v>20</v>
      </c>
      <c r="F4287" s="85">
        <v>6</v>
      </c>
      <c r="G4287" s="85">
        <f>--(F4287&lt;=Estimator!$B$7)</f>
        <v>0</v>
      </c>
      <c r="H4287" s="86">
        <f>SUMIFS('Climate Data'!$G$7:$G$366,'Climate Data'!$A$7:$A$366,Estimator!$B$4,'Climate Data'!$B$7:$B$366,C4287)</f>
        <v>0.20666666666666667</v>
      </c>
      <c r="I4287" s="87">
        <f>SUMIFS('Climate Data'!$H$7:$H$366,'Climate Data'!$A$7:$A$366,Estimator!$B$4,'Climate Data'!$B$7:$B$366,C4287)</f>
        <v>6.806451612903226</v>
      </c>
      <c r="J4287" s="86">
        <f>SUMIFS('Wind Proxy'!$H$8:$H$19,'Wind Proxy'!$A$8:$A$19,Estimator!$B$4,'Wind Proxy'!$B$8:$B$19,C4287)</f>
        <v>0</v>
      </c>
    </row>
    <row r="4288" spans="1:10" ht="14.4">
      <c r="A4288" s="84">
        <v>49939</v>
      </c>
      <c r="B4288" s="85">
        <v>2036</v>
      </c>
      <c r="C4288" s="85">
        <v>9</v>
      </c>
      <c r="D4288" s="85" t="s">
        <v>73</v>
      </c>
      <c r="E4288" s="85">
        <v>21</v>
      </c>
      <c r="F4288" s="85">
        <v>7</v>
      </c>
      <c r="G4288" s="85">
        <f>--(F4288&lt;=Estimator!$B$7)</f>
        <v>0</v>
      </c>
      <c r="H4288" s="86">
        <f>SUMIFS('Climate Data'!$G$7:$G$366,'Climate Data'!$A$7:$A$366,Estimator!$B$4,'Climate Data'!$B$7:$B$366,C4288)</f>
        <v>0.20666666666666667</v>
      </c>
      <c r="I4288" s="87">
        <f>SUMIFS('Climate Data'!$H$7:$H$366,'Climate Data'!$A$7:$A$366,Estimator!$B$4,'Climate Data'!$B$7:$B$366,C4288)</f>
        <v>6.806451612903226</v>
      </c>
      <c r="J4288" s="86">
        <f>SUMIFS('Wind Proxy'!$H$8:$H$19,'Wind Proxy'!$A$8:$A$19,Estimator!$B$4,'Wind Proxy'!$B$8:$B$19,C4288)</f>
        <v>0</v>
      </c>
    </row>
    <row r="4289" spans="1:10" ht="14.4">
      <c r="A4289" s="84">
        <v>49940</v>
      </c>
      <c r="B4289" s="85">
        <v>2036</v>
      </c>
      <c r="C4289" s="85">
        <v>9</v>
      </c>
      <c r="D4289" s="85" t="s">
        <v>73</v>
      </c>
      <c r="E4289" s="85">
        <v>22</v>
      </c>
      <c r="F4289" s="85">
        <v>1</v>
      </c>
      <c r="G4289" s="85">
        <f>--(F4289&lt;=Estimator!$B$7)</f>
        <v>1</v>
      </c>
      <c r="H4289" s="86">
        <f>SUMIFS('Climate Data'!$G$7:$G$366,'Climate Data'!$A$7:$A$366,Estimator!$B$4,'Climate Data'!$B$7:$B$366,C4289)</f>
        <v>0.20666666666666667</v>
      </c>
      <c r="I4289" s="87">
        <f>SUMIFS('Climate Data'!$H$7:$H$366,'Climate Data'!$A$7:$A$366,Estimator!$B$4,'Climate Data'!$B$7:$B$366,C4289)</f>
        <v>6.806451612903226</v>
      </c>
      <c r="J4289" s="86">
        <f>SUMIFS('Wind Proxy'!$H$8:$H$19,'Wind Proxy'!$A$8:$A$19,Estimator!$B$4,'Wind Proxy'!$B$8:$B$19,C4289)</f>
        <v>0</v>
      </c>
    </row>
    <row r="4290" spans="1:10" ht="14.4">
      <c r="A4290" s="84">
        <v>49941</v>
      </c>
      <c r="B4290" s="85">
        <v>2036</v>
      </c>
      <c r="C4290" s="85">
        <v>9</v>
      </c>
      <c r="D4290" s="85" t="s">
        <v>73</v>
      </c>
      <c r="E4290" s="85">
        <v>23</v>
      </c>
      <c r="F4290" s="85">
        <v>2</v>
      </c>
      <c r="G4290" s="85">
        <f>--(F4290&lt;=Estimator!$B$7)</f>
        <v>1</v>
      </c>
      <c r="H4290" s="86">
        <f>SUMIFS('Climate Data'!$G$7:$G$366,'Climate Data'!$A$7:$A$366,Estimator!$B$4,'Climate Data'!$B$7:$B$366,C4290)</f>
        <v>0.20666666666666667</v>
      </c>
      <c r="I4290" s="87">
        <f>SUMIFS('Climate Data'!$H$7:$H$366,'Climate Data'!$A$7:$A$366,Estimator!$B$4,'Climate Data'!$B$7:$B$366,C4290)</f>
        <v>6.806451612903226</v>
      </c>
      <c r="J4290" s="86">
        <f>SUMIFS('Wind Proxy'!$H$8:$H$19,'Wind Proxy'!$A$8:$A$19,Estimator!$B$4,'Wind Proxy'!$B$8:$B$19,C4290)</f>
        <v>0</v>
      </c>
    </row>
    <row r="4291" spans="1:10" ht="14.4">
      <c r="A4291" s="84">
        <v>49942</v>
      </c>
      <c r="B4291" s="85">
        <v>2036</v>
      </c>
      <c r="C4291" s="85">
        <v>9</v>
      </c>
      <c r="D4291" s="85" t="s">
        <v>73</v>
      </c>
      <c r="E4291" s="85">
        <v>24</v>
      </c>
      <c r="F4291" s="85">
        <v>3</v>
      </c>
      <c r="G4291" s="85">
        <f>--(F4291&lt;=Estimator!$B$7)</f>
        <v>1</v>
      </c>
      <c r="H4291" s="86">
        <f>SUMIFS('Climate Data'!$G$7:$G$366,'Climate Data'!$A$7:$A$366,Estimator!$B$4,'Climate Data'!$B$7:$B$366,C4291)</f>
        <v>0.20666666666666667</v>
      </c>
      <c r="I4291" s="87">
        <f>SUMIFS('Climate Data'!$H$7:$H$366,'Climate Data'!$A$7:$A$366,Estimator!$B$4,'Climate Data'!$B$7:$B$366,C4291)</f>
        <v>6.806451612903226</v>
      </c>
      <c r="J4291" s="86">
        <f>SUMIFS('Wind Proxy'!$H$8:$H$19,'Wind Proxy'!$A$8:$A$19,Estimator!$B$4,'Wind Proxy'!$B$8:$B$19,C4291)</f>
        <v>0</v>
      </c>
    </row>
    <row r="4292" spans="1:10" ht="14.4">
      <c r="A4292" s="84">
        <v>49943</v>
      </c>
      <c r="B4292" s="85">
        <v>2036</v>
      </c>
      <c r="C4292" s="85">
        <v>9</v>
      </c>
      <c r="D4292" s="85" t="s">
        <v>73</v>
      </c>
      <c r="E4292" s="85">
        <v>25</v>
      </c>
      <c r="F4292" s="85">
        <v>4</v>
      </c>
      <c r="G4292" s="85">
        <f>--(F4292&lt;=Estimator!$B$7)</f>
        <v>1</v>
      </c>
      <c r="H4292" s="86">
        <f>SUMIFS('Climate Data'!$G$7:$G$366,'Climate Data'!$A$7:$A$366,Estimator!$B$4,'Climate Data'!$B$7:$B$366,C4292)</f>
        <v>0.20666666666666667</v>
      </c>
      <c r="I4292" s="87">
        <f>SUMIFS('Climate Data'!$H$7:$H$366,'Climate Data'!$A$7:$A$366,Estimator!$B$4,'Climate Data'!$B$7:$B$366,C4292)</f>
        <v>6.806451612903226</v>
      </c>
      <c r="J4292" s="86">
        <f>SUMIFS('Wind Proxy'!$H$8:$H$19,'Wind Proxy'!$A$8:$A$19,Estimator!$B$4,'Wind Proxy'!$B$8:$B$19,C4292)</f>
        <v>0</v>
      </c>
    </row>
    <row r="4293" spans="1:10" ht="14.4">
      <c r="A4293" s="84">
        <v>49944</v>
      </c>
      <c r="B4293" s="85">
        <v>2036</v>
      </c>
      <c r="C4293" s="85">
        <v>9</v>
      </c>
      <c r="D4293" s="85" t="s">
        <v>73</v>
      </c>
      <c r="E4293" s="85">
        <v>26</v>
      </c>
      <c r="F4293" s="85">
        <v>5</v>
      </c>
      <c r="G4293" s="85">
        <f>--(F4293&lt;=Estimator!$B$7)</f>
        <v>1</v>
      </c>
      <c r="H4293" s="86">
        <f>SUMIFS('Climate Data'!$G$7:$G$366,'Climate Data'!$A$7:$A$366,Estimator!$B$4,'Climate Data'!$B$7:$B$366,C4293)</f>
        <v>0.20666666666666667</v>
      </c>
      <c r="I4293" s="87">
        <f>SUMIFS('Climate Data'!$H$7:$H$366,'Climate Data'!$A$7:$A$366,Estimator!$B$4,'Climate Data'!$B$7:$B$366,C4293)</f>
        <v>6.806451612903226</v>
      </c>
      <c r="J4293" s="86">
        <f>SUMIFS('Wind Proxy'!$H$8:$H$19,'Wind Proxy'!$A$8:$A$19,Estimator!$B$4,'Wind Proxy'!$B$8:$B$19,C4293)</f>
        <v>0</v>
      </c>
    </row>
    <row r="4294" spans="1:10" ht="14.4">
      <c r="A4294" s="84">
        <v>49945</v>
      </c>
      <c r="B4294" s="85">
        <v>2036</v>
      </c>
      <c r="C4294" s="85">
        <v>9</v>
      </c>
      <c r="D4294" s="85" t="s">
        <v>73</v>
      </c>
      <c r="E4294" s="85">
        <v>27</v>
      </c>
      <c r="F4294" s="85">
        <v>6</v>
      </c>
      <c r="G4294" s="85">
        <f>--(F4294&lt;=Estimator!$B$7)</f>
        <v>0</v>
      </c>
      <c r="H4294" s="86">
        <f>SUMIFS('Climate Data'!$G$7:$G$366,'Climate Data'!$A$7:$A$366,Estimator!$B$4,'Climate Data'!$B$7:$B$366,C4294)</f>
        <v>0.20666666666666667</v>
      </c>
      <c r="I4294" s="87">
        <f>SUMIFS('Climate Data'!$H$7:$H$366,'Climate Data'!$A$7:$A$366,Estimator!$B$4,'Climate Data'!$B$7:$B$366,C4294)</f>
        <v>6.806451612903226</v>
      </c>
      <c r="J4294" s="86">
        <f>SUMIFS('Wind Proxy'!$H$8:$H$19,'Wind Proxy'!$A$8:$A$19,Estimator!$B$4,'Wind Proxy'!$B$8:$B$19,C4294)</f>
        <v>0</v>
      </c>
    </row>
    <row r="4295" spans="1:10" ht="14.4">
      <c r="A4295" s="84">
        <v>49946</v>
      </c>
      <c r="B4295" s="85">
        <v>2036</v>
      </c>
      <c r="C4295" s="85">
        <v>9</v>
      </c>
      <c r="D4295" s="85" t="s">
        <v>73</v>
      </c>
      <c r="E4295" s="85">
        <v>28</v>
      </c>
      <c r="F4295" s="85">
        <v>7</v>
      </c>
      <c r="G4295" s="85">
        <f>--(F4295&lt;=Estimator!$B$7)</f>
        <v>0</v>
      </c>
      <c r="H4295" s="86">
        <f>SUMIFS('Climate Data'!$G$7:$G$366,'Climate Data'!$A$7:$A$366,Estimator!$B$4,'Climate Data'!$B$7:$B$366,C4295)</f>
        <v>0.20666666666666667</v>
      </c>
      <c r="I4295" s="87">
        <f>SUMIFS('Climate Data'!$H$7:$H$366,'Climate Data'!$A$7:$A$366,Estimator!$B$4,'Climate Data'!$B$7:$B$366,C4295)</f>
        <v>6.806451612903226</v>
      </c>
      <c r="J4295" s="86">
        <f>SUMIFS('Wind Proxy'!$H$8:$H$19,'Wind Proxy'!$A$8:$A$19,Estimator!$B$4,'Wind Proxy'!$B$8:$B$19,C4295)</f>
        <v>0</v>
      </c>
    </row>
    <row r="4296" spans="1:10" ht="14.4">
      <c r="A4296" s="84">
        <v>49947</v>
      </c>
      <c r="B4296" s="85">
        <v>2036</v>
      </c>
      <c r="C4296" s="85">
        <v>9</v>
      </c>
      <c r="D4296" s="85" t="s">
        <v>73</v>
      </c>
      <c r="E4296" s="85">
        <v>29</v>
      </c>
      <c r="F4296" s="85">
        <v>1</v>
      </c>
      <c r="G4296" s="85">
        <f>--(F4296&lt;=Estimator!$B$7)</f>
        <v>1</v>
      </c>
      <c r="H4296" s="86">
        <f>SUMIFS('Climate Data'!$G$7:$G$366,'Climate Data'!$A$7:$A$366,Estimator!$B$4,'Climate Data'!$B$7:$B$366,C4296)</f>
        <v>0.20666666666666667</v>
      </c>
      <c r="I4296" s="87">
        <f>SUMIFS('Climate Data'!$H$7:$H$366,'Climate Data'!$A$7:$A$366,Estimator!$B$4,'Climate Data'!$B$7:$B$366,C4296)</f>
        <v>6.806451612903226</v>
      </c>
      <c r="J4296" s="86">
        <f>SUMIFS('Wind Proxy'!$H$8:$H$19,'Wind Proxy'!$A$8:$A$19,Estimator!$B$4,'Wind Proxy'!$B$8:$B$19,C4296)</f>
        <v>0</v>
      </c>
    </row>
    <row r="4297" spans="1:10" ht="14.4">
      <c r="A4297" s="84">
        <v>49948</v>
      </c>
      <c r="B4297" s="85">
        <v>2036</v>
      </c>
      <c r="C4297" s="85">
        <v>9</v>
      </c>
      <c r="D4297" s="85" t="s">
        <v>73</v>
      </c>
      <c r="E4297" s="85">
        <v>30</v>
      </c>
      <c r="F4297" s="85">
        <v>2</v>
      </c>
      <c r="G4297" s="85">
        <f>--(F4297&lt;=Estimator!$B$7)</f>
        <v>1</v>
      </c>
      <c r="H4297" s="86">
        <f>SUMIFS('Climate Data'!$G$7:$G$366,'Climate Data'!$A$7:$A$366,Estimator!$B$4,'Climate Data'!$B$7:$B$366,C4297)</f>
        <v>0.20666666666666667</v>
      </c>
      <c r="I4297" s="87">
        <f>SUMIFS('Climate Data'!$H$7:$H$366,'Climate Data'!$A$7:$A$366,Estimator!$B$4,'Climate Data'!$B$7:$B$366,C4297)</f>
        <v>6.806451612903226</v>
      </c>
      <c r="J4297" s="86">
        <f>SUMIFS('Wind Proxy'!$H$8:$H$19,'Wind Proxy'!$A$8:$A$19,Estimator!$B$4,'Wind Proxy'!$B$8:$B$19,C4297)</f>
        <v>0</v>
      </c>
    </row>
    <row r="4298" spans="1:10" ht="14.4">
      <c r="A4298" s="84">
        <v>49949</v>
      </c>
      <c r="B4298" s="85">
        <v>2036</v>
      </c>
      <c r="C4298" s="85">
        <v>10</v>
      </c>
      <c r="D4298" s="85" t="s">
        <v>75</v>
      </c>
      <c r="E4298" s="85">
        <v>1</v>
      </c>
      <c r="F4298" s="85">
        <v>3</v>
      </c>
      <c r="G4298" s="85">
        <f>--(F4298&lt;=Estimator!$B$7)</f>
        <v>1</v>
      </c>
      <c r="H4298" s="86">
        <f>SUMIFS('Climate Data'!$G$7:$G$366,'Climate Data'!$A$7:$A$366,Estimator!$B$4,'Climate Data'!$B$7:$B$366,C4298)</f>
        <v>0.23225806451612904</v>
      </c>
      <c r="I4298" s="87">
        <f>SUMIFS('Climate Data'!$H$7:$H$366,'Climate Data'!$A$7:$A$366,Estimator!$B$4,'Climate Data'!$B$7:$B$366,C4298)</f>
        <v>6.8194444444444446</v>
      </c>
      <c r="J4298" s="86">
        <f>SUMIFS('Wind Proxy'!$H$8:$H$19,'Wind Proxy'!$A$8:$A$19,Estimator!$B$4,'Wind Proxy'!$B$8:$B$19,C4298)</f>
        <v>0</v>
      </c>
    </row>
    <row r="4299" spans="1:10" ht="14.4">
      <c r="A4299" s="84">
        <v>49950</v>
      </c>
      <c r="B4299" s="85">
        <v>2036</v>
      </c>
      <c r="C4299" s="85">
        <v>10</v>
      </c>
      <c r="D4299" s="85" t="s">
        <v>75</v>
      </c>
      <c r="E4299" s="85">
        <v>2</v>
      </c>
      <c r="F4299" s="85">
        <v>4</v>
      </c>
      <c r="G4299" s="85">
        <f>--(F4299&lt;=Estimator!$B$7)</f>
        <v>1</v>
      </c>
      <c r="H4299" s="86">
        <f>SUMIFS('Climate Data'!$G$7:$G$366,'Climate Data'!$A$7:$A$366,Estimator!$B$4,'Climate Data'!$B$7:$B$366,C4299)</f>
        <v>0.23225806451612904</v>
      </c>
      <c r="I4299" s="87">
        <f>SUMIFS('Climate Data'!$H$7:$H$366,'Climate Data'!$A$7:$A$366,Estimator!$B$4,'Climate Data'!$B$7:$B$366,C4299)</f>
        <v>6.8194444444444446</v>
      </c>
      <c r="J4299" s="86">
        <f>SUMIFS('Wind Proxy'!$H$8:$H$19,'Wind Proxy'!$A$8:$A$19,Estimator!$B$4,'Wind Proxy'!$B$8:$B$19,C4299)</f>
        <v>0</v>
      </c>
    </row>
    <row r="4300" spans="1:10" ht="14.4">
      <c r="A4300" s="84">
        <v>49951</v>
      </c>
      <c r="B4300" s="85">
        <v>2036</v>
      </c>
      <c r="C4300" s="85">
        <v>10</v>
      </c>
      <c r="D4300" s="85" t="s">
        <v>75</v>
      </c>
      <c r="E4300" s="85">
        <v>3</v>
      </c>
      <c r="F4300" s="85">
        <v>5</v>
      </c>
      <c r="G4300" s="85">
        <f>--(F4300&lt;=Estimator!$B$7)</f>
        <v>1</v>
      </c>
      <c r="H4300" s="86">
        <f>SUMIFS('Climate Data'!$G$7:$G$366,'Climate Data'!$A$7:$A$366,Estimator!$B$4,'Climate Data'!$B$7:$B$366,C4300)</f>
        <v>0.23225806451612904</v>
      </c>
      <c r="I4300" s="87">
        <f>SUMIFS('Climate Data'!$H$7:$H$366,'Climate Data'!$A$7:$A$366,Estimator!$B$4,'Climate Data'!$B$7:$B$366,C4300)</f>
        <v>6.8194444444444446</v>
      </c>
      <c r="J4300" s="86">
        <f>SUMIFS('Wind Proxy'!$H$8:$H$19,'Wind Proxy'!$A$8:$A$19,Estimator!$B$4,'Wind Proxy'!$B$8:$B$19,C4300)</f>
        <v>0</v>
      </c>
    </row>
    <row r="4301" spans="1:10" ht="14.4">
      <c r="A4301" s="84">
        <v>49952</v>
      </c>
      <c r="B4301" s="85">
        <v>2036</v>
      </c>
      <c r="C4301" s="85">
        <v>10</v>
      </c>
      <c r="D4301" s="85" t="s">
        <v>75</v>
      </c>
      <c r="E4301" s="85">
        <v>4</v>
      </c>
      <c r="F4301" s="85">
        <v>6</v>
      </c>
      <c r="G4301" s="85">
        <f>--(F4301&lt;=Estimator!$B$7)</f>
        <v>0</v>
      </c>
      <c r="H4301" s="86">
        <f>SUMIFS('Climate Data'!$G$7:$G$366,'Climate Data'!$A$7:$A$366,Estimator!$B$4,'Climate Data'!$B$7:$B$366,C4301)</f>
        <v>0.23225806451612904</v>
      </c>
      <c r="I4301" s="87">
        <f>SUMIFS('Climate Data'!$H$7:$H$366,'Climate Data'!$A$7:$A$366,Estimator!$B$4,'Climate Data'!$B$7:$B$366,C4301)</f>
        <v>6.8194444444444446</v>
      </c>
      <c r="J4301" s="86">
        <f>SUMIFS('Wind Proxy'!$H$8:$H$19,'Wind Proxy'!$A$8:$A$19,Estimator!$B$4,'Wind Proxy'!$B$8:$B$19,C4301)</f>
        <v>0</v>
      </c>
    </row>
    <row r="4302" spans="1:10" ht="14.4">
      <c r="A4302" s="84">
        <v>49953</v>
      </c>
      <c r="B4302" s="85">
        <v>2036</v>
      </c>
      <c r="C4302" s="85">
        <v>10</v>
      </c>
      <c r="D4302" s="85" t="s">
        <v>75</v>
      </c>
      <c r="E4302" s="85">
        <v>5</v>
      </c>
      <c r="F4302" s="85">
        <v>7</v>
      </c>
      <c r="G4302" s="85">
        <f>--(F4302&lt;=Estimator!$B$7)</f>
        <v>0</v>
      </c>
      <c r="H4302" s="86">
        <f>SUMIFS('Climate Data'!$G$7:$G$366,'Climate Data'!$A$7:$A$366,Estimator!$B$4,'Climate Data'!$B$7:$B$366,C4302)</f>
        <v>0.23225806451612904</v>
      </c>
      <c r="I4302" s="87">
        <f>SUMIFS('Climate Data'!$H$7:$H$366,'Climate Data'!$A$7:$A$366,Estimator!$B$4,'Climate Data'!$B$7:$B$366,C4302)</f>
        <v>6.8194444444444446</v>
      </c>
      <c r="J4302" s="86">
        <f>SUMIFS('Wind Proxy'!$H$8:$H$19,'Wind Proxy'!$A$8:$A$19,Estimator!$B$4,'Wind Proxy'!$B$8:$B$19,C4302)</f>
        <v>0</v>
      </c>
    </row>
    <row r="4303" spans="1:10" ht="14.4">
      <c r="A4303" s="84">
        <v>49954</v>
      </c>
      <c r="B4303" s="85">
        <v>2036</v>
      </c>
      <c r="C4303" s="85">
        <v>10</v>
      </c>
      <c r="D4303" s="85" t="s">
        <v>75</v>
      </c>
      <c r="E4303" s="85">
        <v>6</v>
      </c>
      <c r="F4303" s="85">
        <v>1</v>
      </c>
      <c r="G4303" s="85">
        <f>--(F4303&lt;=Estimator!$B$7)</f>
        <v>1</v>
      </c>
      <c r="H4303" s="86">
        <f>SUMIFS('Climate Data'!$G$7:$G$366,'Climate Data'!$A$7:$A$366,Estimator!$B$4,'Climate Data'!$B$7:$B$366,C4303)</f>
        <v>0.23225806451612904</v>
      </c>
      <c r="I4303" s="87">
        <f>SUMIFS('Climate Data'!$H$7:$H$366,'Climate Data'!$A$7:$A$366,Estimator!$B$4,'Climate Data'!$B$7:$B$366,C4303)</f>
        <v>6.8194444444444446</v>
      </c>
      <c r="J4303" s="86">
        <f>SUMIFS('Wind Proxy'!$H$8:$H$19,'Wind Proxy'!$A$8:$A$19,Estimator!$B$4,'Wind Proxy'!$B$8:$B$19,C4303)</f>
        <v>0</v>
      </c>
    </row>
    <row r="4304" spans="1:10" ht="14.4">
      <c r="A4304" s="84">
        <v>49955</v>
      </c>
      <c r="B4304" s="85">
        <v>2036</v>
      </c>
      <c r="C4304" s="85">
        <v>10</v>
      </c>
      <c r="D4304" s="85" t="s">
        <v>75</v>
      </c>
      <c r="E4304" s="85">
        <v>7</v>
      </c>
      <c r="F4304" s="85">
        <v>2</v>
      </c>
      <c r="G4304" s="85">
        <f>--(F4304&lt;=Estimator!$B$7)</f>
        <v>1</v>
      </c>
      <c r="H4304" s="86">
        <f>SUMIFS('Climate Data'!$G$7:$G$366,'Climate Data'!$A$7:$A$366,Estimator!$B$4,'Climate Data'!$B$7:$B$366,C4304)</f>
        <v>0.23225806451612904</v>
      </c>
      <c r="I4304" s="87">
        <f>SUMIFS('Climate Data'!$H$7:$H$366,'Climate Data'!$A$7:$A$366,Estimator!$B$4,'Climate Data'!$B$7:$B$366,C4304)</f>
        <v>6.8194444444444446</v>
      </c>
      <c r="J4304" s="86">
        <f>SUMIFS('Wind Proxy'!$H$8:$H$19,'Wind Proxy'!$A$8:$A$19,Estimator!$B$4,'Wind Proxy'!$B$8:$B$19,C4304)</f>
        <v>0</v>
      </c>
    </row>
    <row r="4305" spans="1:10" ht="14.4">
      <c r="A4305" s="84">
        <v>49956</v>
      </c>
      <c r="B4305" s="85">
        <v>2036</v>
      </c>
      <c r="C4305" s="85">
        <v>10</v>
      </c>
      <c r="D4305" s="85" t="s">
        <v>75</v>
      </c>
      <c r="E4305" s="85">
        <v>8</v>
      </c>
      <c r="F4305" s="85">
        <v>3</v>
      </c>
      <c r="G4305" s="85">
        <f>--(F4305&lt;=Estimator!$B$7)</f>
        <v>1</v>
      </c>
      <c r="H4305" s="86">
        <f>SUMIFS('Climate Data'!$G$7:$G$366,'Climate Data'!$A$7:$A$366,Estimator!$B$4,'Climate Data'!$B$7:$B$366,C4305)</f>
        <v>0.23225806451612904</v>
      </c>
      <c r="I4305" s="87">
        <f>SUMIFS('Climate Data'!$H$7:$H$366,'Climate Data'!$A$7:$A$366,Estimator!$B$4,'Climate Data'!$B$7:$B$366,C4305)</f>
        <v>6.8194444444444446</v>
      </c>
      <c r="J4305" s="86">
        <f>SUMIFS('Wind Proxy'!$H$8:$H$19,'Wind Proxy'!$A$8:$A$19,Estimator!$B$4,'Wind Proxy'!$B$8:$B$19,C4305)</f>
        <v>0</v>
      </c>
    </row>
    <row r="4306" spans="1:10" ht="14.4">
      <c r="A4306" s="84">
        <v>49957</v>
      </c>
      <c r="B4306" s="85">
        <v>2036</v>
      </c>
      <c r="C4306" s="85">
        <v>10</v>
      </c>
      <c r="D4306" s="85" t="s">
        <v>75</v>
      </c>
      <c r="E4306" s="85">
        <v>9</v>
      </c>
      <c r="F4306" s="85">
        <v>4</v>
      </c>
      <c r="G4306" s="85">
        <f>--(F4306&lt;=Estimator!$B$7)</f>
        <v>1</v>
      </c>
      <c r="H4306" s="86">
        <f>SUMIFS('Climate Data'!$G$7:$G$366,'Climate Data'!$A$7:$A$366,Estimator!$B$4,'Climate Data'!$B$7:$B$366,C4306)</f>
        <v>0.23225806451612904</v>
      </c>
      <c r="I4306" s="87">
        <f>SUMIFS('Climate Data'!$H$7:$H$366,'Climate Data'!$A$7:$A$366,Estimator!$B$4,'Climate Data'!$B$7:$B$366,C4306)</f>
        <v>6.8194444444444446</v>
      </c>
      <c r="J4306" s="86">
        <f>SUMIFS('Wind Proxy'!$H$8:$H$19,'Wind Proxy'!$A$8:$A$19,Estimator!$B$4,'Wind Proxy'!$B$8:$B$19,C4306)</f>
        <v>0</v>
      </c>
    </row>
    <row r="4307" spans="1:10" ht="14.4">
      <c r="A4307" s="84">
        <v>49958</v>
      </c>
      <c r="B4307" s="85">
        <v>2036</v>
      </c>
      <c r="C4307" s="85">
        <v>10</v>
      </c>
      <c r="D4307" s="85" t="s">
        <v>75</v>
      </c>
      <c r="E4307" s="85">
        <v>10</v>
      </c>
      <c r="F4307" s="85">
        <v>5</v>
      </c>
      <c r="G4307" s="85">
        <f>--(F4307&lt;=Estimator!$B$7)</f>
        <v>1</v>
      </c>
      <c r="H4307" s="86">
        <f>SUMIFS('Climate Data'!$G$7:$G$366,'Climate Data'!$A$7:$A$366,Estimator!$B$4,'Climate Data'!$B$7:$B$366,C4307)</f>
        <v>0.23225806451612904</v>
      </c>
      <c r="I4307" s="87">
        <f>SUMIFS('Climate Data'!$H$7:$H$366,'Climate Data'!$A$7:$A$366,Estimator!$B$4,'Climate Data'!$B$7:$B$366,C4307)</f>
        <v>6.8194444444444446</v>
      </c>
      <c r="J4307" s="86">
        <f>SUMIFS('Wind Proxy'!$H$8:$H$19,'Wind Proxy'!$A$8:$A$19,Estimator!$B$4,'Wind Proxy'!$B$8:$B$19,C4307)</f>
        <v>0</v>
      </c>
    </row>
    <row r="4308" spans="1:10" ht="14.4">
      <c r="A4308" s="84">
        <v>49959</v>
      </c>
      <c r="B4308" s="85">
        <v>2036</v>
      </c>
      <c r="C4308" s="85">
        <v>10</v>
      </c>
      <c r="D4308" s="85" t="s">
        <v>75</v>
      </c>
      <c r="E4308" s="85">
        <v>11</v>
      </c>
      <c r="F4308" s="85">
        <v>6</v>
      </c>
      <c r="G4308" s="85">
        <f>--(F4308&lt;=Estimator!$B$7)</f>
        <v>0</v>
      </c>
      <c r="H4308" s="86">
        <f>SUMIFS('Climate Data'!$G$7:$G$366,'Climate Data'!$A$7:$A$366,Estimator!$B$4,'Climate Data'!$B$7:$B$366,C4308)</f>
        <v>0.23225806451612904</v>
      </c>
      <c r="I4308" s="87">
        <f>SUMIFS('Climate Data'!$H$7:$H$366,'Climate Data'!$A$7:$A$366,Estimator!$B$4,'Climate Data'!$B$7:$B$366,C4308)</f>
        <v>6.8194444444444446</v>
      </c>
      <c r="J4308" s="86">
        <f>SUMIFS('Wind Proxy'!$H$8:$H$19,'Wind Proxy'!$A$8:$A$19,Estimator!$B$4,'Wind Proxy'!$B$8:$B$19,C4308)</f>
        <v>0</v>
      </c>
    </row>
    <row r="4309" spans="1:10" ht="14.4">
      <c r="A4309" s="84">
        <v>49960</v>
      </c>
      <c r="B4309" s="85">
        <v>2036</v>
      </c>
      <c r="C4309" s="85">
        <v>10</v>
      </c>
      <c r="D4309" s="85" t="s">
        <v>75</v>
      </c>
      <c r="E4309" s="85">
        <v>12</v>
      </c>
      <c r="F4309" s="85">
        <v>7</v>
      </c>
      <c r="G4309" s="85">
        <f>--(F4309&lt;=Estimator!$B$7)</f>
        <v>0</v>
      </c>
      <c r="H4309" s="86">
        <f>SUMIFS('Climate Data'!$G$7:$G$366,'Climate Data'!$A$7:$A$366,Estimator!$B$4,'Climate Data'!$B$7:$B$366,C4309)</f>
        <v>0.23225806451612904</v>
      </c>
      <c r="I4309" s="87">
        <f>SUMIFS('Climate Data'!$H$7:$H$366,'Climate Data'!$A$7:$A$366,Estimator!$B$4,'Climate Data'!$B$7:$B$366,C4309)</f>
        <v>6.8194444444444446</v>
      </c>
      <c r="J4309" s="86">
        <f>SUMIFS('Wind Proxy'!$H$8:$H$19,'Wind Proxy'!$A$8:$A$19,Estimator!$B$4,'Wind Proxy'!$B$8:$B$19,C4309)</f>
        <v>0</v>
      </c>
    </row>
    <row r="4310" spans="1:10" ht="14.4">
      <c r="A4310" s="84">
        <v>49961</v>
      </c>
      <c r="B4310" s="85">
        <v>2036</v>
      </c>
      <c r="C4310" s="85">
        <v>10</v>
      </c>
      <c r="D4310" s="85" t="s">
        <v>75</v>
      </c>
      <c r="E4310" s="85">
        <v>13</v>
      </c>
      <c r="F4310" s="85">
        <v>1</v>
      </c>
      <c r="G4310" s="85">
        <f>--(F4310&lt;=Estimator!$B$7)</f>
        <v>1</v>
      </c>
      <c r="H4310" s="86">
        <f>SUMIFS('Climate Data'!$G$7:$G$366,'Climate Data'!$A$7:$A$366,Estimator!$B$4,'Climate Data'!$B$7:$B$366,C4310)</f>
        <v>0.23225806451612904</v>
      </c>
      <c r="I4310" s="87">
        <f>SUMIFS('Climate Data'!$H$7:$H$366,'Climate Data'!$A$7:$A$366,Estimator!$B$4,'Climate Data'!$B$7:$B$366,C4310)</f>
        <v>6.8194444444444446</v>
      </c>
      <c r="J4310" s="86">
        <f>SUMIFS('Wind Proxy'!$H$8:$H$19,'Wind Proxy'!$A$8:$A$19,Estimator!$B$4,'Wind Proxy'!$B$8:$B$19,C4310)</f>
        <v>0</v>
      </c>
    </row>
    <row r="4311" spans="1:10" ht="14.4">
      <c r="A4311" s="84">
        <v>49962</v>
      </c>
      <c r="B4311" s="85">
        <v>2036</v>
      </c>
      <c r="C4311" s="85">
        <v>10</v>
      </c>
      <c r="D4311" s="85" t="s">
        <v>75</v>
      </c>
      <c r="E4311" s="85">
        <v>14</v>
      </c>
      <c r="F4311" s="85">
        <v>2</v>
      </c>
      <c r="G4311" s="85">
        <f>--(F4311&lt;=Estimator!$B$7)</f>
        <v>1</v>
      </c>
      <c r="H4311" s="86">
        <f>SUMIFS('Climate Data'!$G$7:$G$366,'Climate Data'!$A$7:$A$366,Estimator!$B$4,'Climate Data'!$B$7:$B$366,C4311)</f>
        <v>0.23225806451612904</v>
      </c>
      <c r="I4311" s="87">
        <f>SUMIFS('Climate Data'!$H$7:$H$366,'Climate Data'!$A$7:$A$366,Estimator!$B$4,'Climate Data'!$B$7:$B$366,C4311)</f>
        <v>6.8194444444444446</v>
      </c>
      <c r="J4311" s="86">
        <f>SUMIFS('Wind Proxy'!$H$8:$H$19,'Wind Proxy'!$A$8:$A$19,Estimator!$B$4,'Wind Proxy'!$B$8:$B$19,C4311)</f>
        <v>0</v>
      </c>
    </row>
    <row r="4312" spans="1:10" ht="14.4">
      <c r="A4312" s="84">
        <v>49963</v>
      </c>
      <c r="B4312" s="85">
        <v>2036</v>
      </c>
      <c r="C4312" s="85">
        <v>10</v>
      </c>
      <c r="D4312" s="85" t="s">
        <v>75</v>
      </c>
      <c r="E4312" s="85">
        <v>15</v>
      </c>
      <c r="F4312" s="85">
        <v>3</v>
      </c>
      <c r="G4312" s="85">
        <f>--(F4312&lt;=Estimator!$B$7)</f>
        <v>1</v>
      </c>
      <c r="H4312" s="86">
        <f>SUMIFS('Climate Data'!$G$7:$G$366,'Climate Data'!$A$7:$A$366,Estimator!$B$4,'Climate Data'!$B$7:$B$366,C4312)</f>
        <v>0.23225806451612904</v>
      </c>
      <c r="I4312" s="87">
        <f>SUMIFS('Climate Data'!$H$7:$H$366,'Climate Data'!$A$7:$A$366,Estimator!$B$4,'Climate Data'!$B$7:$B$366,C4312)</f>
        <v>6.8194444444444446</v>
      </c>
      <c r="J4312" s="86">
        <f>SUMIFS('Wind Proxy'!$H$8:$H$19,'Wind Proxy'!$A$8:$A$19,Estimator!$B$4,'Wind Proxy'!$B$8:$B$19,C4312)</f>
        <v>0</v>
      </c>
    </row>
    <row r="4313" spans="1:10" ht="14.4">
      <c r="A4313" s="84">
        <v>49964</v>
      </c>
      <c r="B4313" s="85">
        <v>2036</v>
      </c>
      <c r="C4313" s="85">
        <v>10</v>
      </c>
      <c r="D4313" s="85" t="s">
        <v>75</v>
      </c>
      <c r="E4313" s="85">
        <v>16</v>
      </c>
      <c r="F4313" s="85">
        <v>4</v>
      </c>
      <c r="G4313" s="85">
        <f>--(F4313&lt;=Estimator!$B$7)</f>
        <v>1</v>
      </c>
      <c r="H4313" s="86">
        <f>SUMIFS('Climate Data'!$G$7:$G$366,'Climate Data'!$A$7:$A$366,Estimator!$B$4,'Climate Data'!$B$7:$B$366,C4313)</f>
        <v>0.23225806451612904</v>
      </c>
      <c r="I4313" s="87">
        <f>SUMIFS('Climate Data'!$H$7:$H$366,'Climate Data'!$A$7:$A$366,Estimator!$B$4,'Climate Data'!$B$7:$B$366,C4313)</f>
        <v>6.8194444444444446</v>
      </c>
      <c r="J4313" s="86">
        <f>SUMIFS('Wind Proxy'!$H$8:$H$19,'Wind Proxy'!$A$8:$A$19,Estimator!$B$4,'Wind Proxy'!$B$8:$B$19,C4313)</f>
        <v>0</v>
      </c>
    </row>
    <row r="4314" spans="1:10" ht="14.4">
      <c r="A4314" s="84">
        <v>49965</v>
      </c>
      <c r="B4314" s="85">
        <v>2036</v>
      </c>
      <c r="C4314" s="85">
        <v>10</v>
      </c>
      <c r="D4314" s="85" t="s">
        <v>75</v>
      </c>
      <c r="E4314" s="85">
        <v>17</v>
      </c>
      <c r="F4314" s="85">
        <v>5</v>
      </c>
      <c r="G4314" s="85">
        <f>--(F4314&lt;=Estimator!$B$7)</f>
        <v>1</v>
      </c>
      <c r="H4314" s="86">
        <f>SUMIFS('Climate Data'!$G$7:$G$366,'Climate Data'!$A$7:$A$366,Estimator!$B$4,'Climate Data'!$B$7:$B$366,C4314)</f>
        <v>0.23225806451612904</v>
      </c>
      <c r="I4314" s="87">
        <f>SUMIFS('Climate Data'!$H$7:$H$366,'Climate Data'!$A$7:$A$366,Estimator!$B$4,'Climate Data'!$B$7:$B$366,C4314)</f>
        <v>6.8194444444444446</v>
      </c>
      <c r="J4314" s="86">
        <f>SUMIFS('Wind Proxy'!$H$8:$H$19,'Wind Proxy'!$A$8:$A$19,Estimator!$B$4,'Wind Proxy'!$B$8:$B$19,C4314)</f>
        <v>0</v>
      </c>
    </row>
    <row r="4315" spans="1:10" ht="14.4">
      <c r="A4315" s="84">
        <v>49966</v>
      </c>
      <c r="B4315" s="85">
        <v>2036</v>
      </c>
      <c r="C4315" s="85">
        <v>10</v>
      </c>
      <c r="D4315" s="85" t="s">
        <v>75</v>
      </c>
      <c r="E4315" s="85">
        <v>18</v>
      </c>
      <c r="F4315" s="85">
        <v>6</v>
      </c>
      <c r="G4315" s="85">
        <f>--(F4315&lt;=Estimator!$B$7)</f>
        <v>0</v>
      </c>
      <c r="H4315" s="86">
        <f>SUMIFS('Climate Data'!$G$7:$G$366,'Climate Data'!$A$7:$A$366,Estimator!$B$4,'Climate Data'!$B$7:$B$366,C4315)</f>
        <v>0.23225806451612904</v>
      </c>
      <c r="I4315" s="87">
        <f>SUMIFS('Climate Data'!$H$7:$H$366,'Climate Data'!$A$7:$A$366,Estimator!$B$4,'Climate Data'!$B$7:$B$366,C4315)</f>
        <v>6.8194444444444446</v>
      </c>
      <c r="J4315" s="86">
        <f>SUMIFS('Wind Proxy'!$H$8:$H$19,'Wind Proxy'!$A$8:$A$19,Estimator!$B$4,'Wind Proxy'!$B$8:$B$19,C4315)</f>
        <v>0</v>
      </c>
    </row>
    <row r="4316" spans="1:10" ht="14.4">
      <c r="A4316" s="84">
        <v>49967</v>
      </c>
      <c r="B4316" s="85">
        <v>2036</v>
      </c>
      <c r="C4316" s="85">
        <v>10</v>
      </c>
      <c r="D4316" s="85" t="s">
        <v>75</v>
      </c>
      <c r="E4316" s="85">
        <v>19</v>
      </c>
      <c r="F4316" s="85">
        <v>7</v>
      </c>
      <c r="G4316" s="85">
        <f>--(F4316&lt;=Estimator!$B$7)</f>
        <v>0</v>
      </c>
      <c r="H4316" s="86">
        <f>SUMIFS('Climate Data'!$G$7:$G$366,'Climate Data'!$A$7:$A$366,Estimator!$B$4,'Climate Data'!$B$7:$B$366,C4316)</f>
        <v>0.23225806451612904</v>
      </c>
      <c r="I4316" s="87">
        <f>SUMIFS('Climate Data'!$H$7:$H$366,'Climate Data'!$A$7:$A$366,Estimator!$B$4,'Climate Data'!$B$7:$B$366,C4316)</f>
        <v>6.8194444444444446</v>
      </c>
      <c r="J4316" s="86">
        <f>SUMIFS('Wind Proxy'!$H$8:$H$19,'Wind Proxy'!$A$8:$A$19,Estimator!$B$4,'Wind Proxy'!$B$8:$B$19,C4316)</f>
        <v>0</v>
      </c>
    </row>
    <row r="4317" spans="1:10" ht="14.4">
      <c r="A4317" s="84">
        <v>49968</v>
      </c>
      <c r="B4317" s="85">
        <v>2036</v>
      </c>
      <c r="C4317" s="85">
        <v>10</v>
      </c>
      <c r="D4317" s="85" t="s">
        <v>75</v>
      </c>
      <c r="E4317" s="85">
        <v>20</v>
      </c>
      <c r="F4317" s="85">
        <v>1</v>
      </c>
      <c r="G4317" s="85">
        <f>--(F4317&lt;=Estimator!$B$7)</f>
        <v>1</v>
      </c>
      <c r="H4317" s="86">
        <f>SUMIFS('Climate Data'!$G$7:$G$366,'Climate Data'!$A$7:$A$366,Estimator!$B$4,'Climate Data'!$B$7:$B$366,C4317)</f>
        <v>0.23225806451612904</v>
      </c>
      <c r="I4317" s="87">
        <f>SUMIFS('Climate Data'!$H$7:$H$366,'Climate Data'!$A$7:$A$366,Estimator!$B$4,'Climate Data'!$B$7:$B$366,C4317)</f>
        <v>6.8194444444444446</v>
      </c>
      <c r="J4317" s="86">
        <f>SUMIFS('Wind Proxy'!$H$8:$H$19,'Wind Proxy'!$A$8:$A$19,Estimator!$B$4,'Wind Proxy'!$B$8:$B$19,C4317)</f>
        <v>0</v>
      </c>
    </row>
    <row r="4318" spans="1:10" ht="14.4">
      <c r="A4318" s="84">
        <v>49969</v>
      </c>
      <c r="B4318" s="85">
        <v>2036</v>
      </c>
      <c r="C4318" s="85">
        <v>10</v>
      </c>
      <c r="D4318" s="85" t="s">
        <v>75</v>
      </c>
      <c r="E4318" s="85">
        <v>21</v>
      </c>
      <c r="F4318" s="85">
        <v>2</v>
      </c>
      <c r="G4318" s="85">
        <f>--(F4318&lt;=Estimator!$B$7)</f>
        <v>1</v>
      </c>
      <c r="H4318" s="86">
        <f>SUMIFS('Climate Data'!$G$7:$G$366,'Climate Data'!$A$7:$A$366,Estimator!$B$4,'Climate Data'!$B$7:$B$366,C4318)</f>
        <v>0.23225806451612904</v>
      </c>
      <c r="I4318" s="87">
        <f>SUMIFS('Climate Data'!$H$7:$H$366,'Climate Data'!$A$7:$A$366,Estimator!$B$4,'Climate Data'!$B$7:$B$366,C4318)</f>
        <v>6.8194444444444446</v>
      </c>
      <c r="J4318" s="86">
        <f>SUMIFS('Wind Proxy'!$H$8:$H$19,'Wind Proxy'!$A$8:$A$19,Estimator!$B$4,'Wind Proxy'!$B$8:$B$19,C4318)</f>
        <v>0</v>
      </c>
    </row>
    <row r="4319" spans="1:10" ht="14.4">
      <c r="A4319" s="84">
        <v>49970</v>
      </c>
      <c r="B4319" s="85">
        <v>2036</v>
      </c>
      <c r="C4319" s="85">
        <v>10</v>
      </c>
      <c r="D4319" s="85" t="s">
        <v>75</v>
      </c>
      <c r="E4319" s="85">
        <v>22</v>
      </c>
      <c r="F4319" s="85">
        <v>3</v>
      </c>
      <c r="G4319" s="85">
        <f>--(F4319&lt;=Estimator!$B$7)</f>
        <v>1</v>
      </c>
      <c r="H4319" s="86">
        <f>SUMIFS('Climate Data'!$G$7:$G$366,'Climate Data'!$A$7:$A$366,Estimator!$B$4,'Climate Data'!$B$7:$B$366,C4319)</f>
        <v>0.23225806451612904</v>
      </c>
      <c r="I4319" s="87">
        <f>SUMIFS('Climate Data'!$H$7:$H$366,'Climate Data'!$A$7:$A$366,Estimator!$B$4,'Climate Data'!$B$7:$B$366,C4319)</f>
        <v>6.8194444444444446</v>
      </c>
      <c r="J4319" s="86">
        <f>SUMIFS('Wind Proxy'!$H$8:$H$19,'Wind Proxy'!$A$8:$A$19,Estimator!$B$4,'Wind Proxy'!$B$8:$B$19,C4319)</f>
        <v>0</v>
      </c>
    </row>
    <row r="4320" spans="1:10" ht="14.4">
      <c r="A4320" s="84">
        <v>49971</v>
      </c>
      <c r="B4320" s="85">
        <v>2036</v>
      </c>
      <c r="C4320" s="85">
        <v>10</v>
      </c>
      <c r="D4320" s="85" t="s">
        <v>75</v>
      </c>
      <c r="E4320" s="85">
        <v>23</v>
      </c>
      <c r="F4320" s="85">
        <v>4</v>
      </c>
      <c r="G4320" s="85">
        <f>--(F4320&lt;=Estimator!$B$7)</f>
        <v>1</v>
      </c>
      <c r="H4320" s="86">
        <f>SUMIFS('Climate Data'!$G$7:$G$366,'Climate Data'!$A$7:$A$366,Estimator!$B$4,'Climate Data'!$B$7:$B$366,C4320)</f>
        <v>0.23225806451612904</v>
      </c>
      <c r="I4320" s="87">
        <f>SUMIFS('Climate Data'!$H$7:$H$366,'Climate Data'!$A$7:$A$366,Estimator!$B$4,'Climate Data'!$B$7:$B$366,C4320)</f>
        <v>6.8194444444444446</v>
      </c>
      <c r="J4320" s="86">
        <f>SUMIFS('Wind Proxy'!$H$8:$H$19,'Wind Proxy'!$A$8:$A$19,Estimator!$B$4,'Wind Proxy'!$B$8:$B$19,C4320)</f>
        <v>0</v>
      </c>
    </row>
    <row r="4321" spans="1:10" ht="14.4">
      <c r="A4321" s="84">
        <v>49972</v>
      </c>
      <c r="B4321" s="85">
        <v>2036</v>
      </c>
      <c r="C4321" s="85">
        <v>10</v>
      </c>
      <c r="D4321" s="85" t="s">
        <v>75</v>
      </c>
      <c r="E4321" s="85">
        <v>24</v>
      </c>
      <c r="F4321" s="85">
        <v>5</v>
      </c>
      <c r="G4321" s="85">
        <f>--(F4321&lt;=Estimator!$B$7)</f>
        <v>1</v>
      </c>
      <c r="H4321" s="86">
        <f>SUMIFS('Climate Data'!$G$7:$G$366,'Climate Data'!$A$7:$A$366,Estimator!$B$4,'Climate Data'!$B$7:$B$366,C4321)</f>
        <v>0.23225806451612904</v>
      </c>
      <c r="I4321" s="87">
        <f>SUMIFS('Climate Data'!$H$7:$H$366,'Climate Data'!$A$7:$A$366,Estimator!$B$4,'Climate Data'!$B$7:$B$366,C4321)</f>
        <v>6.8194444444444446</v>
      </c>
      <c r="J4321" s="86">
        <f>SUMIFS('Wind Proxy'!$H$8:$H$19,'Wind Proxy'!$A$8:$A$19,Estimator!$B$4,'Wind Proxy'!$B$8:$B$19,C4321)</f>
        <v>0</v>
      </c>
    </row>
    <row r="4322" spans="1:10" ht="14.4">
      <c r="A4322" s="84">
        <v>49973</v>
      </c>
      <c r="B4322" s="85">
        <v>2036</v>
      </c>
      <c r="C4322" s="85">
        <v>10</v>
      </c>
      <c r="D4322" s="85" t="s">
        <v>75</v>
      </c>
      <c r="E4322" s="85">
        <v>25</v>
      </c>
      <c r="F4322" s="85">
        <v>6</v>
      </c>
      <c r="G4322" s="85">
        <f>--(F4322&lt;=Estimator!$B$7)</f>
        <v>0</v>
      </c>
      <c r="H4322" s="86">
        <f>SUMIFS('Climate Data'!$G$7:$G$366,'Climate Data'!$A$7:$A$366,Estimator!$B$4,'Climate Data'!$B$7:$B$366,C4322)</f>
        <v>0.23225806451612904</v>
      </c>
      <c r="I4322" s="87">
        <f>SUMIFS('Climate Data'!$H$7:$H$366,'Climate Data'!$A$7:$A$366,Estimator!$B$4,'Climate Data'!$B$7:$B$366,C4322)</f>
        <v>6.8194444444444446</v>
      </c>
      <c r="J4322" s="86">
        <f>SUMIFS('Wind Proxy'!$H$8:$H$19,'Wind Proxy'!$A$8:$A$19,Estimator!$B$4,'Wind Proxy'!$B$8:$B$19,C4322)</f>
        <v>0</v>
      </c>
    </row>
    <row r="4323" spans="1:10" ht="14.4">
      <c r="A4323" s="84">
        <v>49974</v>
      </c>
      <c r="B4323" s="85">
        <v>2036</v>
      </c>
      <c r="C4323" s="85">
        <v>10</v>
      </c>
      <c r="D4323" s="85" t="s">
        <v>75</v>
      </c>
      <c r="E4323" s="85">
        <v>26</v>
      </c>
      <c r="F4323" s="85">
        <v>7</v>
      </c>
      <c r="G4323" s="85">
        <f>--(F4323&lt;=Estimator!$B$7)</f>
        <v>0</v>
      </c>
      <c r="H4323" s="86">
        <f>SUMIFS('Climate Data'!$G$7:$G$366,'Climate Data'!$A$7:$A$366,Estimator!$B$4,'Climate Data'!$B$7:$B$366,C4323)</f>
        <v>0.23225806451612904</v>
      </c>
      <c r="I4323" s="87">
        <f>SUMIFS('Climate Data'!$H$7:$H$366,'Climate Data'!$A$7:$A$366,Estimator!$B$4,'Climate Data'!$B$7:$B$366,C4323)</f>
        <v>6.8194444444444446</v>
      </c>
      <c r="J4323" s="86">
        <f>SUMIFS('Wind Proxy'!$H$8:$H$19,'Wind Proxy'!$A$8:$A$19,Estimator!$B$4,'Wind Proxy'!$B$8:$B$19,C4323)</f>
        <v>0</v>
      </c>
    </row>
    <row r="4324" spans="1:10" ht="14.4">
      <c r="A4324" s="84">
        <v>49975</v>
      </c>
      <c r="B4324" s="85">
        <v>2036</v>
      </c>
      <c r="C4324" s="85">
        <v>10</v>
      </c>
      <c r="D4324" s="85" t="s">
        <v>75</v>
      </c>
      <c r="E4324" s="85">
        <v>27</v>
      </c>
      <c r="F4324" s="85">
        <v>1</v>
      </c>
      <c r="G4324" s="85">
        <f>--(F4324&lt;=Estimator!$B$7)</f>
        <v>1</v>
      </c>
      <c r="H4324" s="86">
        <f>SUMIFS('Climate Data'!$G$7:$G$366,'Climate Data'!$A$7:$A$366,Estimator!$B$4,'Climate Data'!$B$7:$B$366,C4324)</f>
        <v>0.23225806451612904</v>
      </c>
      <c r="I4324" s="87">
        <f>SUMIFS('Climate Data'!$H$7:$H$366,'Climate Data'!$A$7:$A$366,Estimator!$B$4,'Climate Data'!$B$7:$B$366,C4324)</f>
        <v>6.8194444444444446</v>
      </c>
      <c r="J4324" s="86">
        <f>SUMIFS('Wind Proxy'!$H$8:$H$19,'Wind Proxy'!$A$8:$A$19,Estimator!$B$4,'Wind Proxy'!$B$8:$B$19,C4324)</f>
        <v>0</v>
      </c>
    </row>
    <row r="4325" spans="1:10" ht="14.4">
      <c r="A4325" s="84">
        <v>49976</v>
      </c>
      <c r="B4325" s="85">
        <v>2036</v>
      </c>
      <c r="C4325" s="85">
        <v>10</v>
      </c>
      <c r="D4325" s="85" t="s">
        <v>75</v>
      </c>
      <c r="E4325" s="85">
        <v>28</v>
      </c>
      <c r="F4325" s="85">
        <v>2</v>
      </c>
      <c r="G4325" s="85">
        <f>--(F4325&lt;=Estimator!$B$7)</f>
        <v>1</v>
      </c>
      <c r="H4325" s="86">
        <f>SUMIFS('Climate Data'!$G$7:$G$366,'Climate Data'!$A$7:$A$366,Estimator!$B$4,'Climate Data'!$B$7:$B$366,C4325)</f>
        <v>0.23225806451612904</v>
      </c>
      <c r="I4325" s="87">
        <f>SUMIFS('Climate Data'!$H$7:$H$366,'Climate Data'!$A$7:$A$366,Estimator!$B$4,'Climate Data'!$B$7:$B$366,C4325)</f>
        <v>6.8194444444444446</v>
      </c>
      <c r="J4325" s="86">
        <f>SUMIFS('Wind Proxy'!$H$8:$H$19,'Wind Proxy'!$A$8:$A$19,Estimator!$B$4,'Wind Proxy'!$B$8:$B$19,C4325)</f>
        <v>0</v>
      </c>
    </row>
    <row r="4326" spans="1:10" ht="14.4">
      <c r="A4326" s="84">
        <v>49977</v>
      </c>
      <c r="B4326" s="85">
        <v>2036</v>
      </c>
      <c r="C4326" s="85">
        <v>10</v>
      </c>
      <c r="D4326" s="85" t="s">
        <v>75</v>
      </c>
      <c r="E4326" s="85">
        <v>29</v>
      </c>
      <c r="F4326" s="85">
        <v>3</v>
      </c>
      <c r="G4326" s="85">
        <f>--(F4326&lt;=Estimator!$B$7)</f>
        <v>1</v>
      </c>
      <c r="H4326" s="86">
        <f>SUMIFS('Climate Data'!$G$7:$G$366,'Climate Data'!$A$7:$A$366,Estimator!$B$4,'Climate Data'!$B$7:$B$366,C4326)</f>
        <v>0.23225806451612904</v>
      </c>
      <c r="I4326" s="87">
        <f>SUMIFS('Climate Data'!$H$7:$H$366,'Climate Data'!$A$7:$A$366,Estimator!$B$4,'Climate Data'!$B$7:$B$366,C4326)</f>
        <v>6.8194444444444446</v>
      </c>
      <c r="J4326" s="86">
        <f>SUMIFS('Wind Proxy'!$H$8:$H$19,'Wind Proxy'!$A$8:$A$19,Estimator!$B$4,'Wind Proxy'!$B$8:$B$19,C4326)</f>
        <v>0</v>
      </c>
    </row>
    <row r="4327" spans="1:10" ht="14.4">
      <c r="A4327" s="84">
        <v>49978</v>
      </c>
      <c r="B4327" s="85">
        <v>2036</v>
      </c>
      <c r="C4327" s="85">
        <v>10</v>
      </c>
      <c r="D4327" s="85" t="s">
        <v>75</v>
      </c>
      <c r="E4327" s="85">
        <v>30</v>
      </c>
      <c r="F4327" s="85">
        <v>4</v>
      </c>
      <c r="G4327" s="85">
        <f>--(F4327&lt;=Estimator!$B$7)</f>
        <v>1</v>
      </c>
      <c r="H4327" s="86">
        <f>SUMIFS('Climate Data'!$G$7:$G$366,'Climate Data'!$A$7:$A$366,Estimator!$B$4,'Climate Data'!$B$7:$B$366,C4327)</f>
        <v>0.23225806451612904</v>
      </c>
      <c r="I4327" s="87">
        <f>SUMIFS('Climate Data'!$H$7:$H$366,'Climate Data'!$A$7:$A$366,Estimator!$B$4,'Climate Data'!$B$7:$B$366,C4327)</f>
        <v>6.8194444444444446</v>
      </c>
      <c r="J4327" s="86">
        <f>SUMIFS('Wind Proxy'!$H$8:$H$19,'Wind Proxy'!$A$8:$A$19,Estimator!$B$4,'Wind Proxy'!$B$8:$B$19,C4327)</f>
        <v>0</v>
      </c>
    </row>
    <row r="4328" spans="1:10" ht="14.4">
      <c r="A4328" s="84">
        <v>49979</v>
      </c>
      <c r="B4328" s="85">
        <v>2036</v>
      </c>
      <c r="C4328" s="85">
        <v>10</v>
      </c>
      <c r="D4328" s="85" t="s">
        <v>75</v>
      </c>
      <c r="E4328" s="85">
        <v>31</v>
      </c>
      <c r="F4328" s="85">
        <v>5</v>
      </c>
      <c r="G4328" s="85">
        <f>--(F4328&lt;=Estimator!$B$7)</f>
        <v>1</v>
      </c>
      <c r="H4328" s="86">
        <f>SUMIFS('Climate Data'!$G$7:$G$366,'Climate Data'!$A$7:$A$366,Estimator!$B$4,'Climate Data'!$B$7:$B$366,C4328)</f>
        <v>0.23225806451612904</v>
      </c>
      <c r="I4328" s="87">
        <f>SUMIFS('Climate Data'!$H$7:$H$366,'Climate Data'!$A$7:$A$366,Estimator!$B$4,'Climate Data'!$B$7:$B$366,C4328)</f>
        <v>6.8194444444444446</v>
      </c>
      <c r="J4328" s="86">
        <f>SUMIFS('Wind Proxy'!$H$8:$H$19,'Wind Proxy'!$A$8:$A$19,Estimator!$B$4,'Wind Proxy'!$B$8:$B$19,C4328)</f>
        <v>0</v>
      </c>
    </row>
    <row r="4329" spans="1:10" ht="14.4">
      <c r="A4329" s="84">
        <v>49980</v>
      </c>
      <c r="B4329" s="85">
        <v>2036</v>
      </c>
      <c r="C4329" s="85">
        <v>11</v>
      </c>
      <c r="D4329" s="85" t="s">
        <v>76</v>
      </c>
      <c r="E4329" s="85">
        <v>1</v>
      </c>
      <c r="F4329" s="85">
        <v>6</v>
      </c>
      <c r="G4329" s="85">
        <f>--(F4329&lt;=Estimator!$B$7)</f>
        <v>0</v>
      </c>
      <c r="H4329" s="86">
        <f>SUMIFS('Climate Data'!$G$7:$G$366,'Climate Data'!$A$7:$A$366,Estimator!$B$4,'Climate Data'!$B$7:$B$366,C4329)</f>
        <v>0.23333333333333334</v>
      </c>
      <c r="I4329" s="87">
        <f>SUMIFS('Climate Data'!$H$7:$H$366,'Climate Data'!$A$7:$A$366,Estimator!$B$4,'Climate Data'!$B$7:$B$366,C4329)</f>
        <v>6.4428571428571431</v>
      </c>
      <c r="J4329" s="86">
        <f>SUMIFS('Wind Proxy'!$H$8:$H$19,'Wind Proxy'!$A$8:$A$19,Estimator!$B$4,'Wind Proxy'!$B$8:$B$19,C4329)</f>
        <v>0</v>
      </c>
    </row>
    <row r="4330" spans="1:10" ht="14.4">
      <c r="A4330" s="84">
        <v>49981</v>
      </c>
      <c r="B4330" s="85">
        <v>2036</v>
      </c>
      <c r="C4330" s="85">
        <v>11</v>
      </c>
      <c r="D4330" s="85" t="s">
        <v>76</v>
      </c>
      <c r="E4330" s="85">
        <v>2</v>
      </c>
      <c r="F4330" s="85">
        <v>7</v>
      </c>
      <c r="G4330" s="85">
        <f>--(F4330&lt;=Estimator!$B$7)</f>
        <v>0</v>
      </c>
      <c r="H4330" s="86">
        <f>SUMIFS('Climate Data'!$G$7:$G$366,'Climate Data'!$A$7:$A$366,Estimator!$B$4,'Climate Data'!$B$7:$B$366,C4330)</f>
        <v>0.23333333333333334</v>
      </c>
      <c r="I4330" s="87">
        <f>SUMIFS('Climate Data'!$H$7:$H$366,'Climate Data'!$A$7:$A$366,Estimator!$B$4,'Climate Data'!$B$7:$B$366,C4330)</f>
        <v>6.4428571428571431</v>
      </c>
      <c r="J4330" s="86">
        <f>SUMIFS('Wind Proxy'!$H$8:$H$19,'Wind Proxy'!$A$8:$A$19,Estimator!$B$4,'Wind Proxy'!$B$8:$B$19,C4330)</f>
        <v>0</v>
      </c>
    </row>
    <row r="4331" spans="1:10" ht="14.4">
      <c r="A4331" s="84">
        <v>49982</v>
      </c>
      <c r="B4331" s="85">
        <v>2036</v>
      </c>
      <c r="C4331" s="85">
        <v>11</v>
      </c>
      <c r="D4331" s="85" t="s">
        <v>76</v>
      </c>
      <c r="E4331" s="85">
        <v>3</v>
      </c>
      <c r="F4331" s="85">
        <v>1</v>
      </c>
      <c r="G4331" s="85">
        <f>--(F4331&lt;=Estimator!$B$7)</f>
        <v>1</v>
      </c>
      <c r="H4331" s="86">
        <f>SUMIFS('Climate Data'!$G$7:$G$366,'Climate Data'!$A$7:$A$366,Estimator!$B$4,'Climate Data'!$B$7:$B$366,C4331)</f>
        <v>0.23333333333333334</v>
      </c>
      <c r="I4331" s="87">
        <f>SUMIFS('Climate Data'!$H$7:$H$366,'Climate Data'!$A$7:$A$366,Estimator!$B$4,'Climate Data'!$B$7:$B$366,C4331)</f>
        <v>6.4428571428571431</v>
      </c>
      <c r="J4331" s="86">
        <f>SUMIFS('Wind Proxy'!$H$8:$H$19,'Wind Proxy'!$A$8:$A$19,Estimator!$B$4,'Wind Proxy'!$B$8:$B$19,C4331)</f>
        <v>0</v>
      </c>
    </row>
    <row r="4332" spans="1:10" ht="14.4">
      <c r="A4332" s="84">
        <v>49983</v>
      </c>
      <c r="B4332" s="85">
        <v>2036</v>
      </c>
      <c r="C4332" s="85">
        <v>11</v>
      </c>
      <c r="D4332" s="85" t="s">
        <v>76</v>
      </c>
      <c r="E4332" s="85">
        <v>4</v>
      </c>
      <c r="F4332" s="85">
        <v>2</v>
      </c>
      <c r="G4332" s="85">
        <f>--(F4332&lt;=Estimator!$B$7)</f>
        <v>1</v>
      </c>
      <c r="H4332" s="86">
        <f>SUMIFS('Climate Data'!$G$7:$G$366,'Climate Data'!$A$7:$A$366,Estimator!$B$4,'Climate Data'!$B$7:$B$366,C4332)</f>
        <v>0.23333333333333334</v>
      </c>
      <c r="I4332" s="87">
        <f>SUMIFS('Climate Data'!$H$7:$H$366,'Climate Data'!$A$7:$A$366,Estimator!$B$4,'Climate Data'!$B$7:$B$366,C4332)</f>
        <v>6.4428571428571431</v>
      </c>
      <c r="J4332" s="86">
        <f>SUMIFS('Wind Proxy'!$H$8:$H$19,'Wind Proxy'!$A$8:$A$19,Estimator!$B$4,'Wind Proxy'!$B$8:$B$19,C4332)</f>
        <v>0</v>
      </c>
    </row>
    <row r="4333" spans="1:10" ht="14.4">
      <c r="A4333" s="84">
        <v>49984</v>
      </c>
      <c r="B4333" s="85">
        <v>2036</v>
      </c>
      <c r="C4333" s="85">
        <v>11</v>
      </c>
      <c r="D4333" s="85" t="s">
        <v>76</v>
      </c>
      <c r="E4333" s="85">
        <v>5</v>
      </c>
      <c r="F4333" s="85">
        <v>3</v>
      </c>
      <c r="G4333" s="85">
        <f>--(F4333&lt;=Estimator!$B$7)</f>
        <v>1</v>
      </c>
      <c r="H4333" s="86">
        <f>SUMIFS('Climate Data'!$G$7:$G$366,'Climate Data'!$A$7:$A$366,Estimator!$B$4,'Climate Data'!$B$7:$B$366,C4333)</f>
        <v>0.23333333333333334</v>
      </c>
      <c r="I4333" s="87">
        <f>SUMIFS('Climate Data'!$H$7:$H$366,'Climate Data'!$A$7:$A$366,Estimator!$B$4,'Climate Data'!$B$7:$B$366,C4333)</f>
        <v>6.4428571428571431</v>
      </c>
      <c r="J4333" s="86">
        <f>SUMIFS('Wind Proxy'!$H$8:$H$19,'Wind Proxy'!$A$8:$A$19,Estimator!$B$4,'Wind Proxy'!$B$8:$B$19,C4333)</f>
        <v>0</v>
      </c>
    </row>
    <row r="4334" spans="1:10" ht="14.4">
      <c r="A4334" s="84">
        <v>49985</v>
      </c>
      <c r="B4334" s="85">
        <v>2036</v>
      </c>
      <c r="C4334" s="85">
        <v>11</v>
      </c>
      <c r="D4334" s="85" t="s">
        <v>76</v>
      </c>
      <c r="E4334" s="85">
        <v>6</v>
      </c>
      <c r="F4334" s="85">
        <v>4</v>
      </c>
      <c r="G4334" s="85">
        <f>--(F4334&lt;=Estimator!$B$7)</f>
        <v>1</v>
      </c>
      <c r="H4334" s="86">
        <f>SUMIFS('Climate Data'!$G$7:$G$366,'Climate Data'!$A$7:$A$366,Estimator!$B$4,'Climate Data'!$B$7:$B$366,C4334)</f>
        <v>0.23333333333333334</v>
      </c>
      <c r="I4334" s="87">
        <f>SUMIFS('Climate Data'!$H$7:$H$366,'Climate Data'!$A$7:$A$366,Estimator!$B$4,'Climate Data'!$B$7:$B$366,C4334)</f>
        <v>6.4428571428571431</v>
      </c>
      <c r="J4334" s="86">
        <f>SUMIFS('Wind Proxy'!$H$8:$H$19,'Wind Proxy'!$A$8:$A$19,Estimator!$B$4,'Wind Proxy'!$B$8:$B$19,C4334)</f>
        <v>0</v>
      </c>
    </row>
    <row r="4335" spans="1:10" ht="14.4">
      <c r="A4335" s="84">
        <v>49986</v>
      </c>
      <c r="B4335" s="85">
        <v>2036</v>
      </c>
      <c r="C4335" s="85">
        <v>11</v>
      </c>
      <c r="D4335" s="85" t="s">
        <v>76</v>
      </c>
      <c r="E4335" s="85">
        <v>7</v>
      </c>
      <c r="F4335" s="85">
        <v>5</v>
      </c>
      <c r="G4335" s="85">
        <f>--(F4335&lt;=Estimator!$B$7)</f>
        <v>1</v>
      </c>
      <c r="H4335" s="86">
        <f>SUMIFS('Climate Data'!$G$7:$G$366,'Climate Data'!$A$7:$A$366,Estimator!$B$4,'Climate Data'!$B$7:$B$366,C4335)</f>
        <v>0.23333333333333334</v>
      </c>
      <c r="I4335" s="87">
        <f>SUMIFS('Climate Data'!$H$7:$H$366,'Climate Data'!$A$7:$A$366,Estimator!$B$4,'Climate Data'!$B$7:$B$366,C4335)</f>
        <v>6.4428571428571431</v>
      </c>
      <c r="J4335" s="86">
        <f>SUMIFS('Wind Proxy'!$H$8:$H$19,'Wind Proxy'!$A$8:$A$19,Estimator!$B$4,'Wind Proxy'!$B$8:$B$19,C4335)</f>
        <v>0</v>
      </c>
    </row>
    <row r="4336" spans="1:10" ht="14.4">
      <c r="A4336" s="84">
        <v>49987</v>
      </c>
      <c r="B4336" s="85">
        <v>2036</v>
      </c>
      <c r="C4336" s="85">
        <v>11</v>
      </c>
      <c r="D4336" s="85" t="s">
        <v>76</v>
      </c>
      <c r="E4336" s="85">
        <v>8</v>
      </c>
      <c r="F4336" s="85">
        <v>6</v>
      </c>
      <c r="G4336" s="85">
        <f>--(F4336&lt;=Estimator!$B$7)</f>
        <v>0</v>
      </c>
      <c r="H4336" s="86">
        <f>SUMIFS('Climate Data'!$G$7:$G$366,'Climate Data'!$A$7:$A$366,Estimator!$B$4,'Climate Data'!$B$7:$B$366,C4336)</f>
        <v>0.23333333333333334</v>
      </c>
      <c r="I4336" s="87">
        <f>SUMIFS('Climate Data'!$H$7:$H$366,'Climate Data'!$A$7:$A$366,Estimator!$B$4,'Climate Data'!$B$7:$B$366,C4336)</f>
        <v>6.4428571428571431</v>
      </c>
      <c r="J4336" s="86">
        <f>SUMIFS('Wind Proxy'!$H$8:$H$19,'Wind Proxy'!$A$8:$A$19,Estimator!$B$4,'Wind Proxy'!$B$8:$B$19,C4336)</f>
        <v>0</v>
      </c>
    </row>
    <row r="4337" spans="1:10" ht="14.4">
      <c r="A4337" s="84">
        <v>49988</v>
      </c>
      <c r="B4337" s="85">
        <v>2036</v>
      </c>
      <c r="C4337" s="85">
        <v>11</v>
      </c>
      <c r="D4337" s="85" t="s">
        <v>76</v>
      </c>
      <c r="E4337" s="85">
        <v>9</v>
      </c>
      <c r="F4337" s="85">
        <v>7</v>
      </c>
      <c r="G4337" s="85">
        <f>--(F4337&lt;=Estimator!$B$7)</f>
        <v>0</v>
      </c>
      <c r="H4337" s="86">
        <f>SUMIFS('Climate Data'!$G$7:$G$366,'Climate Data'!$A$7:$A$366,Estimator!$B$4,'Climate Data'!$B$7:$B$366,C4337)</f>
        <v>0.23333333333333334</v>
      </c>
      <c r="I4337" s="87">
        <f>SUMIFS('Climate Data'!$H$7:$H$366,'Climate Data'!$A$7:$A$366,Estimator!$B$4,'Climate Data'!$B$7:$B$366,C4337)</f>
        <v>6.4428571428571431</v>
      </c>
      <c r="J4337" s="86">
        <f>SUMIFS('Wind Proxy'!$H$8:$H$19,'Wind Proxy'!$A$8:$A$19,Estimator!$B$4,'Wind Proxy'!$B$8:$B$19,C4337)</f>
        <v>0</v>
      </c>
    </row>
    <row r="4338" spans="1:10" ht="14.4">
      <c r="A4338" s="84">
        <v>49989</v>
      </c>
      <c r="B4338" s="85">
        <v>2036</v>
      </c>
      <c r="C4338" s="85">
        <v>11</v>
      </c>
      <c r="D4338" s="85" t="s">
        <v>76</v>
      </c>
      <c r="E4338" s="85">
        <v>10</v>
      </c>
      <c r="F4338" s="85">
        <v>1</v>
      </c>
      <c r="G4338" s="85">
        <f>--(F4338&lt;=Estimator!$B$7)</f>
        <v>1</v>
      </c>
      <c r="H4338" s="86">
        <f>SUMIFS('Climate Data'!$G$7:$G$366,'Climate Data'!$A$7:$A$366,Estimator!$B$4,'Climate Data'!$B$7:$B$366,C4338)</f>
        <v>0.23333333333333334</v>
      </c>
      <c r="I4338" s="87">
        <f>SUMIFS('Climate Data'!$H$7:$H$366,'Climate Data'!$A$7:$A$366,Estimator!$B$4,'Climate Data'!$B$7:$B$366,C4338)</f>
        <v>6.4428571428571431</v>
      </c>
      <c r="J4338" s="86">
        <f>SUMIFS('Wind Proxy'!$H$8:$H$19,'Wind Proxy'!$A$8:$A$19,Estimator!$B$4,'Wind Proxy'!$B$8:$B$19,C4338)</f>
        <v>0</v>
      </c>
    </row>
    <row r="4339" spans="1:10" ht="14.4">
      <c r="A4339" s="84">
        <v>49990</v>
      </c>
      <c r="B4339" s="85">
        <v>2036</v>
      </c>
      <c r="C4339" s="85">
        <v>11</v>
      </c>
      <c r="D4339" s="85" t="s">
        <v>76</v>
      </c>
      <c r="E4339" s="85">
        <v>11</v>
      </c>
      <c r="F4339" s="85">
        <v>2</v>
      </c>
      <c r="G4339" s="85">
        <f>--(F4339&lt;=Estimator!$B$7)</f>
        <v>1</v>
      </c>
      <c r="H4339" s="86">
        <f>SUMIFS('Climate Data'!$G$7:$G$366,'Climate Data'!$A$7:$A$366,Estimator!$B$4,'Climate Data'!$B$7:$B$366,C4339)</f>
        <v>0.23333333333333334</v>
      </c>
      <c r="I4339" s="87">
        <f>SUMIFS('Climate Data'!$H$7:$H$366,'Climate Data'!$A$7:$A$366,Estimator!$B$4,'Climate Data'!$B$7:$B$366,C4339)</f>
        <v>6.4428571428571431</v>
      </c>
      <c r="J4339" s="86">
        <f>SUMIFS('Wind Proxy'!$H$8:$H$19,'Wind Proxy'!$A$8:$A$19,Estimator!$B$4,'Wind Proxy'!$B$8:$B$19,C4339)</f>
        <v>0</v>
      </c>
    </row>
    <row r="4340" spans="1:10" ht="14.4">
      <c r="A4340" s="84">
        <v>49991</v>
      </c>
      <c r="B4340" s="85">
        <v>2036</v>
      </c>
      <c r="C4340" s="85">
        <v>11</v>
      </c>
      <c r="D4340" s="85" t="s">
        <v>76</v>
      </c>
      <c r="E4340" s="85">
        <v>12</v>
      </c>
      <c r="F4340" s="85">
        <v>3</v>
      </c>
      <c r="G4340" s="85">
        <f>--(F4340&lt;=Estimator!$B$7)</f>
        <v>1</v>
      </c>
      <c r="H4340" s="86">
        <f>SUMIFS('Climate Data'!$G$7:$G$366,'Climate Data'!$A$7:$A$366,Estimator!$B$4,'Climate Data'!$B$7:$B$366,C4340)</f>
        <v>0.23333333333333334</v>
      </c>
      <c r="I4340" s="87">
        <f>SUMIFS('Climate Data'!$H$7:$H$366,'Climate Data'!$A$7:$A$366,Estimator!$B$4,'Climate Data'!$B$7:$B$366,C4340)</f>
        <v>6.4428571428571431</v>
      </c>
      <c r="J4340" s="86">
        <f>SUMIFS('Wind Proxy'!$H$8:$H$19,'Wind Proxy'!$A$8:$A$19,Estimator!$B$4,'Wind Proxy'!$B$8:$B$19,C4340)</f>
        <v>0</v>
      </c>
    </row>
    <row r="4341" spans="1:10" ht="14.4">
      <c r="A4341" s="84">
        <v>49992</v>
      </c>
      <c r="B4341" s="85">
        <v>2036</v>
      </c>
      <c r="C4341" s="85">
        <v>11</v>
      </c>
      <c r="D4341" s="85" t="s">
        <v>76</v>
      </c>
      <c r="E4341" s="85">
        <v>13</v>
      </c>
      <c r="F4341" s="85">
        <v>4</v>
      </c>
      <c r="G4341" s="85">
        <f>--(F4341&lt;=Estimator!$B$7)</f>
        <v>1</v>
      </c>
      <c r="H4341" s="86">
        <f>SUMIFS('Climate Data'!$G$7:$G$366,'Climate Data'!$A$7:$A$366,Estimator!$B$4,'Climate Data'!$B$7:$B$366,C4341)</f>
        <v>0.23333333333333334</v>
      </c>
      <c r="I4341" s="87">
        <f>SUMIFS('Climate Data'!$H$7:$H$366,'Climate Data'!$A$7:$A$366,Estimator!$B$4,'Climate Data'!$B$7:$B$366,C4341)</f>
        <v>6.4428571428571431</v>
      </c>
      <c r="J4341" s="86">
        <f>SUMIFS('Wind Proxy'!$H$8:$H$19,'Wind Proxy'!$A$8:$A$19,Estimator!$B$4,'Wind Proxy'!$B$8:$B$19,C4341)</f>
        <v>0</v>
      </c>
    </row>
    <row r="4342" spans="1:10" ht="14.4">
      <c r="A4342" s="84">
        <v>49993</v>
      </c>
      <c r="B4342" s="85">
        <v>2036</v>
      </c>
      <c r="C4342" s="85">
        <v>11</v>
      </c>
      <c r="D4342" s="85" t="s">
        <v>76</v>
      </c>
      <c r="E4342" s="85">
        <v>14</v>
      </c>
      <c r="F4342" s="85">
        <v>5</v>
      </c>
      <c r="G4342" s="85">
        <f>--(F4342&lt;=Estimator!$B$7)</f>
        <v>1</v>
      </c>
      <c r="H4342" s="86">
        <f>SUMIFS('Climate Data'!$G$7:$G$366,'Climate Data'!$A$7:$A$366,Estimator!$B$4,'Climate Data'!$B$7:$B$366,C4342)</f>
        <v>0.23333333333333334</v>
      </c>
      <c r="I4342" s="87">
        <f>SUMIFS('Climate Data'!$H$7:$H$366,'Climate Data'!$A$7:$A$366,Estimator!$B$4,'Climate Data'!$B$7:$B$366,C4342)</f>
        <v>6.4428571428571431</v>
      </c>
      <c r="J4342" s="86">
        <f>SUMIFS('Wind Proxy'!$H$8:$H$19,'Wind Proxy'!$A$8:$A$19,Estimator!$B$4,'Wind Proxy'!$B$8:$B$19,C4342)</f>
        <v>0</v>
      </c>
    </row>
    <row r="4343" spans="1:10" ht="14.4">
      <c r="A4343" s="84">
        <v>49994</v>
      </c>
      <c r="B4343" s="85">
        <v>2036</v>
      </c>
      <c r="C4343" s="85">
        <v>11</v>
      </c>
      <c r="D4343" s="85" t="s">
        <v>76</v>
      </c>
      <c r="E4343" s="85">
        <v>15</v>
      </c>
      <c r="F4343" s="85">
        <v>6</v>
      </c>
      <c r="G4343" s="85">
        <f>--(F4343&lt;=Estimator!$B$7)</f>
        <v>0</v>
      </c>
      <c r="H4343" s="86">
        <f>SUMIFS('Climate Data'!$G$7:$G$366,'Climate Data'!$A$7:$A$366,Estimator!$B$4,'Climate Data'!$B$7:$B$366,C4343)</f>
        <v>0.23333333333333334</v>
      </c>
      <c r="I4343" s="87">
        <f>SUMIFS('Climate Data'!$H$7:$H$366,'Climate Data'!$A$7:$A$366,Estimator!$B$4,'Climate Data'!$B$7:$B$366,C4343)</f>
        <v>6.4428571428571431</v>
      </c>
      <c r="J4343" s="86">
        <f>SUMIFS('Wind Proxy'!$H$8:$H$19,'Wind Proxy'!$A$8:$A$19,Estimator!$B$4,'Wind Proxy'!$B$8:$B$19,C4343)</f>
        <v>0</v>
      </c>
    </row>
    <row r="4344" spans="1:10" ht="14.4">
      <c r="A4344" s="84">
        <v>49995</v>
      </c>
      <c r="B4344" s="85">
        <v>2036</v>
      </c>
      <c r="C4344" s="85">
        <v>11</v>
      </c>
      <c r="D4344" s="85" t="s">
        <v>76</v>
      </c>
      <c r="E4344" s="85">
        <v>16</v>
      </c>
      <c r="F4344" s="85">
        <v>7</v>
      </c>
      <c r="G4344" s="85">
        <f>--(F4344&lt;=Estimator!$B$7)</f>
        <v>0</v>
      </c>
      <c r="H4344" s="86">
        <f>SUMIFS('Climate Data'!$G$7:$G$366,'Climate Data'!$A$7:$A$366,Estimator!$B$4,'Climate Data'!$B$7:$B$366,C4344)</f>
        <v>0.23333333333333334</v>
      </c>
      <c r="I4344" s="87">
        <f>SUMIFS('Climate Data'!$H$7:$H$366,'Climate Data'!$A$7:$A$366,Estimator!$B$4,'Climate Data'!$B$7:$B$366,C4344)</f>
        <v>6.4428571428571431</v>
      </c>
      <c r="J4344" s="86">
        <f>SUMIFS('Wind Proxy'!$H$8:$H$19,'Wind Proxy'!$A$8:$A$19,Estimator!$B$4,'Wind Proxy'!$B$8:$B$19,C4344)</f>
        <v>0</v>
      </c>
    </row>
    <row r="4345" spans="1:10" ht="14.4">
      <c r="A4345" s="84">
        <v>49996</v>
      </c>
      <c r="B4345" s="85">
        <v>2036</v>
      </c>
      <c r="C4345" s="85">
        <v>11</v>
      </c>
      <c r="D4345" s="85" t="s">
        <v>76</v>
      </c>
      <c r="E4345" s="85">
        <v>17</v>
      </c>
      <c r="F4345" s="85">
        <v>1</v>
      </c>
      <c r="G4345" s="85">
        <f>--(F4345&lt;=Estimator!$B$7)</f>
        <v>1</v>
      </c>
      <c r="H4345" s="86">
        <f>SUMIFS('Climate Data'!$G$7:$G$366,'Climate Data'!$A$7:$A$366,Estimator!$B$4,'Climate Data'!$B$7:$B$366,C4345)</f>
        <v>0.23333333333333334</v>
      </c>
      <c r="I4345" s="87">
        <f>SUMIFS('Climate Data'!$H$7:$H$366,'Climate Data'!$A$7:$A$366,Estimator!$B$4,'Climate Data'!$B$7:$B$366,C4345)</f>
        <v>6.4428571428571431</v>
      </c>
      <c r="J4345" s="86">
        <f>SUMIFS('Wind Proxy'!$H$8:$H$19,'Wind Proxy'!$A$8:$A$19,Estimator!$B$4,'Wind Proxy'!$B$8:$B$19,C4345)</f>
        <v>0</v>
      </c>
    </row>
    <row r="4346" spans="1:10" ht="14.4">
      <c r="A4346" s="84">
        <v>49997</v>
      </c>
      <c r="B4346" s="85">
        <v>2036</v>
      </c>
      <c r="C4346" s="85">
        <v>11</v>
      </c>
      <c r="D4346" s="85" t="s">
        <v>76</v>
      </c>
      <c r="E4346" s="85">
        <v>18</v>
      </c>
      <c r="F4346" s="85">
        <v>2</v>
      </c>
      <c r="G4346" s="85">
        <f>--(F4346&lt;=Estimator!$B$7)</f>
        <v>1</v>
      </c>
      <c r="H4346" s="86">
        <f>SUMIFS('Climate Data'!$G$7:$G$366,'Climate Data'!$A$7:$A$366,Estimator!$B$4,'Climate Data'!$B$7:$B$366,C4346)</f>
        <v>0.23333333333333334</v>
      </c>
      <c r="I4346" s="87">
        <f>SUMIFS('Climate Data'!$H$7:$H$366,'Climate Data'!$A$7:$A$366,Estimator!$B$4,'Climate Data'!$B$7:$B$366,C4346)</f>
        <v>6.4428571428571431</v>
      </c>
      <c r="J4346" s="86">
        <f>SUMIFS('Wind Proxy'!$H$8:$H$19,'Wind Proxy'!$A$8:$A$19,Estimator!$B$4,'Wind Proxy'!$B$8:$B$19,C4346)</f>
        <v>0</v>
      </c>
    </row>
    <row r="4347" spans="1:10" ht="14.4">
      <c r="A4347" s="84">
        <v>49998</v>
      </c>
      <c r="B4347" s="85">
        <v>2036</v>
      </c>
      <c r="C4347" s="85">
        <v>11</v>
      </c>
      <c r="D4347" s="85" t="s">
        <v>76</v>
      </c>
      <c r="E4347" s="85">
        <v>19</v>
      </c>
      <c r="F4347" s="85">
        <v>3</v>
      </c>
      <c r="G4347" s="85">
        <f>--(F4347&lt;=Estimator!$B$7)</f>
        <v>1</v>
      </c>
      <c r="H4347" s="86">
        <f>SUMIFS('Climate Data'!$G$7:$G$366,'Climate Data'!$A$7:$A$366,Estimator!$B$4,'Climate Data'!$B$7:$B$366,C4347)</f>
        <v>0.23333333333333334</v>
      </c>
      <c r="I4347" s="87">
        <f>SUMIFS('Climate Data'!$H$7:$H$366,'Climate Data'!$A$7:$A$366,Estimator!$B$4,'Climate Data'!$B$7:$B$366,C4347)</f>
        <v>6.4428571428571431</v>
      </c>
      <c r="J4347" s="86">
        <f>SUMIFS('Wind Proxy'!$H$8:$H$19,'Wind Proxy'!$A$8:$A$19,Estimator!$B$4,'Wind Proxy'!$B$8:$B$19,C4347)</f>
        <v>0</v>
      </c>
    </row>
    <row r="4348" spans="1:10" ht="14.4">
      <c r="A4348" s="84">
        <v>49999</v>
      </c>
      <c r="B4348" s="85">
        <v>2036</v>
      </c>
      <c r="C4348" s="85">
        <v>11</v>
      </c>
      <c r="D4348" s="85" t="s">
        <v>76</v>
      </c>
      <c r="E4348" s="85">
        <v>20</v>
      </c>
      <c r="F4348" s="85">
        <v>4</v>
      </c>
      <c r="G4348" s="85">
        <f>--(F4348&lt;=Estimator!$B$7)</f>
        <v>1</v>
      </c>
      <c r="H4348" s="86">
        <f>SUMIFS('Climate Data'!$G$7:$G$366,'Climate Data'!$A$7:$A$366,Estimator!$B$4,'Climate Data'!$B$7:$B$366,C4348)</f>
        <v>0.23333333333333334</v>
      </c>
      <c r="I4348" s="87">
        <f>SUMIFS('Climate Data'!$H$7:$H$366,'Climate Data'!$A$7:$A$366,Estimator!$B$4,'Climate Data'!$B$7:$B$366,C4348)</f>
        <v>6.4428571428571431</v>
      </c>
      <c r="J4348" s="86">
        <f>SUMIFS('Wind Proxy'!$H$8:$H$19,'Wind Proxy'!$A$8:$A$19,Estimator!$B$4,'Wind Proxy'!$B$8:$B$19,C4348)</f>
        <v>0</v>
      </c>
    </row>
    <row r="4349" spans="1:10" ht="14.4">
      <c r="A4349" s="84">
        <v>50000</v>
      </c>
      <c r="B4349" s="85">
        <v>2036</v>
      </c>
      <c r="C4349" s="85">
        <v>11</v>
      </c>
      <c r="D4349" s="85" t="s">
        <v>76</v>
      </c>
      <c r="E4349" s="85">
        <v>21</v>
      </c>
      <c r="F4349" s="85">
        <v>5</v>
      </c>
      <c r="G4349" s="85">
        <f>--(F4349&lt;=Estimator!$B$7)</f>
        <v>1</v>
      </c>
      <c r="H4349" s="86">
        <f>SUMIFS('Climate Data'!$G$7:$G$366,'Climate Data'!$A$7:$A$366,Estimator!$B$4,'Climate Data'!$B$7:$B$366,C4349)</f>
        <v>0.23333333333333334</v>
      </c>
      <c r="I4349" s="87">
        <f>SUMIFS('Climate Data'!$H$7:$H$366,'Climate Data'!$A$7:$A$366,Estimator!$B$4,'Climate Data'!$B$7:$B$366,C4349)</f>
        <v>6.4428571428571431</v>
      </c>
      <c r="J4349" s="86">
        <f>SUMIFS('Wind Proxy'!$H$8:$H$19,'Wind Proxy'!$A$8:$A$19,Estimator!$B$4,'Wind Proxy'!$B$8:$B$19,C4349)</f>
        <v>0</v>
      </c>
    </row>
    <row r="4350" spans="1:10" ht="14.4">
      <c r="A4350" s="84">
        <v>50001</v>
      </c>
      <c r="B4350" s="85">
        <v>2036</v>
      </c>
      <c r="C4350" s="85">
        <v>11</v>
      </c>
      <c r="D4350" s="85" t="s">
        <v>76</v>
      </c>
      <c r="E4350" s="85">
        <v>22</v>
      </c>
      <c r="F4350" s="85">
        <v>6</v>
      </c>
      <c r="G4350" s="85">
        <f>--(F4350&lt;=Estimator!$B$7)</f>
        <v>0</v>
      </c>
      <c r="H4350" s="86">
        <f>SUMIFS('Climate Data'!$G$7:$G$366,'Climate Data'!$A$7:$A$366,Estimator!$B$4,'Climate Data'!$B$7:$B$366,C4350)</f>
        <v>0.23333333333333334</v>
      </c>
      <c r="I4350" s="87">
        <f>SUMIFS('Climate Data'!$H$7:$H$366,'Climate Data'!$A$7:$A$366,Estimator!$B$4,'Climate Data'!$B$7:$B$366,C4350)</f>
        <v>6.4428571428571431</v>
      </c>
      <c r="J4350" s="86">
        <f>SUMIFS('Wind Proxy'!$H$8:$H$19,'Wind Proxy'!$A$8:$A$19,Estimator!$B$4,'Wind Proxy'!$B$8:$B$19,C4350)</f>
        <v>0</v>
      </c>
    </row>
    <row r="4351" spans="1:10" ht="14.4">
      <c r="A4351" s="84">
        <v>50002</v>
      </c>
      <c r="B4351" s="85">
        <v>2036</v>
      </c>
      <c r="C4351" s="85">
        <v>11</v>
      </c>
      <c r="D4351" s="85" t="s">
        <v>76</v>
      </c>
      <c r="E4351" s="85">
        <v>23</v>
      </c>
      <c r="F4351" s="85">
        <v>7</v>
      </c>
      <c r="G4351" s="85">
        <f>--(F4351&lt;=Estimator!$B$7)</f>
        <v>0</v>
      </c>
      <c r="H4351" s="86">
        <f>SUMIFS('Climate Data'!$G$7:$G$366,'Climate Data'!$A$7:$A$366,Estimator!$B$4,'Climate Data'!$B$7:$B$366,C4351)</f>
        <v>0.23333333333333334</v>
      </c>
      <c r="I4351" s="87">
        <f>SUMIFS('Climate Data'!$H$7:$H$366,'Climate Data'!$A$7:$A$366,Estimator!$B$4,'Climate Data'!$B$7:$B$366,C4351)</f>
        <v>6.4428571428571431</v>
      </c>
      <c r="J4351" s="86">
        <f>SUMIFS('Wind Proxy'!$H$8:$H$19,'Wind Proxy'!$A$8:$A$19,Estimator!$B$4,'Wind Proxy'!$B$8:$B$19,C4351)</f>
        <v>0</v>
      </c>
    </row>
    <row r="4352" spans="1:10" ht="14.4">
      <c r="A4352" s="84">
        <v>50003</v>
      </c>
      <c r="B4352" s="85">
        <v>2036</v>
      </c>
      <c r="C4352" s="85">
        <v>11</v>
      </c>
      <c r="D4352" s="85" t="s">
        <v>76</v>
      </c>
      <c r="E4352" s="85">
        <v>24</v>
      </c>
      <c r="F4352" s="85">
        <v>1</v>
      </c>
      <c r="G4352" s="85">
        <f>--(F4352&lt;=Estimator!$B$7)</f>
        <v>1</v>
      </c>
      <c r="H4352" s="86">
        <f>SUMIFS('Climate Data'!$G$7:$G$366,'Climate Data'!$A$7:$A$366,Estimator!$B$4,'Climate Data'!$B$7:$B$366,C4352)</f>
        <v>0.23333333333333334</v>
      </c>
      <c r="I4352" s="87">
        <f>SUMIFS('Climate Data'!$H$7:$H$366,'Climate Data'!$A$7:$A$366,Estimator!$B$4,'Climate Data'!$B$7:$B$366,C4352)</f>
        <v>6.4428571428571431</v>
      </c>
      <c r="J4352" s="86">
        <f>SUMIFS('Wind Proxy'!$H$8:$H$19,'Wind Proxy'!$A$8:$A$19,Estimator!$B$4,'Wind Proxy'!$B$8:$B$19,C4352)</f>
        <v>0</v>
      </c>
    </row>
    <row r="4353" spans="1:10" ht="14.4">
      <c r="A4353" s="84">
        <v>50004</v>
      </c>
      <c r="B4353" s="85">
        <v>2036</v>
      </c>
      <c r="C4353" s="85">
        <v>11</v>
      </c>
      <c r="D4353" s="85" t="s">
        <v>76</v>
      </c>
      <c r="E4353" s="85">
        <v>25</v>
      </c>
      <c r="F4353" s="85">
        <v>2</v>
      </c>
      <c r="G4353" s="85">
        <f>--(F4353&lt;=Estimator!$B$7)</f>
        <v>1</v>
      </c>
      <c r="H4353" s="86">
        <f>SUMIFS('Climate Data'!$G$7:$G$366,'Climate Data'!$A$7:$A$366,Estimator!$B$4,'Climate Data'!$B$7:$B$366,C4353)</f>
        <v>0.23333333333333334</v>
      </c>
      <c r="I4353" s="87">
        <f>SUMIFS('Climate Data'!$H$7:$H$366,'Climate Data'!$A$7:$A$366,Estimator!$B$4,'Climate Data'!$B$7:$B$366,C4353)</f>
        <v>6.4428571428571431</v>
      </c>
      <c r="J4353" s="86">
        <f>SUMIFS('Wind Proxy'!$H$8:$H$19,'Wind Proxy'!$A$8:$A$19,Estimator!$B$4,'Wind Proxy'!$B$8:$B$19,C4353)</f>
        <v>0</v>
      </c>
    </row>
    <row r="4354" spans="1:10" ht="14.4">
      <c r="A4354" s="84">
        <v>50005</v>
      </c>
      <c r="B4354" s="85">
        <v>2036</v>
      </c>
      <c r="C4354" s="85">
        <v>11</v>
      </c>
      <c r="D4354" s="85" t="s">
        <v>76</v>
      </c>
      <c r="E4354" s="85">
        <v>26</v>
      </c>
      <c r="F4354" s="85">
        <v>3</v>
      </c>
      <c r="G4354" s="85">
        <f>--(F4354&lt;=Estimator!$B$7)</f>
        <v>1</v>
      </c>
      <c r="H4354" s="86">
        <f>SUMIFS('Climate Data'!$G$7:$G$366,'Climate Data'!$A$7:$A$366,Estimator!$B$4,'Climate Data'!$B$7:$B$366,C4354)</f>
        <v>0.23333333333333334</v>
      </c>
      <c r="I4354" s="87">
        <f>SUMIFS('Climate Data'!$H$7:$H$366,'Climate Data'!$A$7:$A$366,Estimator!$B$4,'Climate Data'!$B$7:$B$366,C4354)</f>
        <v>6.4428571428571431</v>
      </c>
      <c r="J4354" s="86">
        <f>SUMIFS('Wind Proxy'!$H$8:$H$19,'Wind Proxy'!$A$8:$A$19,Estimator!$B$4,'Wind Proxy'!$B$8:$B$19,C4354)</f>
        <v>0</v>
      </c>
    </row>
    <row r="4355" spans="1:10" ht="14.4">
      <c r="A4355" s="84">
        <v>50006</v>
      </c>
      <c r="B4355" s="85">
        <v>2036</v>
      </c>
      <c r="C4355" s="85">
        <v>11</v>
      </c>
      <c r="D4355" s="85" t="s">
        <v>76</v>
      </c>
      <c r="E4355" s="85">
        <v>27</v>
      </c>
      <c r="F4355" s="85">
        <v>4</v>
      </c>
      <c r="G4355" s="85">
        <f>--(F4355&lt;=Estimator!$B$7)</f>
        <v>1</v>
      </c>
      <c r="H4355" s="86">
        <f>SUMIFS('Climate Data'!$G$7:$G$366,'Climate Data'!$A$7:$A$366,Estimator!$B$4,'Climate Data'!$B$7:$B$366,C4355)</f>
        <v>0.23333333333333334</v>
      </c>
      <c r="I4355" s="87">
        <f>SUMIFS('Climate Data'!$H$7:$H$366,'Climate Data'!$A$7:$A$366,Estimator!$B$4,'Climate Data'!$B$7:$B$366,C4355)</f>
        <v>6.4428571428571431</v>
      </c>
      <c r="J4355" s="86">
        <f>SUMIFS('Wind Proxy'!$H$8:$H$19,'Wind Proxy'!$A$8:$A$19,Estimator!$B$4,'Wind Proxy'!$B$8:$B$19,C4355)</f>
        <v>0</v>
      </c>
    </row>
    <row r="4356" spans="1:10" ht="14.4">
      <c r="A4356" s="84">
        <v>50007</v>
      </c>
      <c r="B4356" s="85">
        <v>2036</v>
      </c>
      <c r="C4356" s="85">
        <v>11</v>
      </c>
      <c r="D4356" s="85" t="s">
        <v>76</v>
      </c>
      <c r="E4356" s="85">
        <v>28</v>
      </c>
      <c r="F4356" s="85">
        <v>5</v>
      </c>
      <c r="G4356" s="85">
        <f>--(F4356&lt;=Estimator!$B$7)</f>
        <v>1</v>
      </c>
      <c r="H4356" s="86">
        <f>SUMIFS('Climate Data'!$G$7:$G$366,'Climate Data'!$A$7:$A$366,Estimator!$B$4,'Climate Data'!$B$7:$B$366,C4356)</f>
        <v>0.23333333333333334</v>
      </c>
      <c r="I4356" s="87">
        <f>SUMIFS('Climate Data'!$H$7:$H$366,'Climate Data'!$A$7:$A$366,Estimator!$B$4,'Climate Data'!$B$7:$B$366,C4356)</f>
        <v>6.4428571428571431</v>
      </c>
      <c r="J4356" s="86">
        <f>SUMIFS('Wind Proxy'!$H$8:$H$19,'Wind Proxy'!$A$8:$A$19,Estimator!$B$4,'Wind Proxy'!$B$8:$B$19,C4356)</f>
        <v>0</v>
      </c>
    </row>
    <row r="4357" spans="1:10" ht="14.4">
      <c r="A4357" s="84">
        <v>50008</v>
      </c>
      <c r="B4357" s="85">
        <v>2036</v>
      </c>
      <c r="C4357" s="85">
        <v>11</v>
      </c>
      <c r="D4357" s="85" t="s">
        <v>76</v>
      </c>
      <c r="E4357" s="85">
        <v>29</v>
      </c>
      <c r="F4357" s="85">
        <v>6</v>
      </c>
      <c r="G4357" s="85">
        <f>--(F4357&lt;=Estimator!$B$7)</f>
        <v>0</v>
      </c>
      <c r="H4357" s="86">
        <f>SUMIFS('Climate Data'!$G$7:$G$366,'Climate Data'!$A$7:$A$366,Estimator!$B$4,'Climate Data'!$B$7:$B$366,C4357)</f>
        <v>0.23333333333333334</v>
      </c>
      <c r="I4357" s="87">
        <f>SUMIFS('Climate Data'!$H$7:$H$366,'Climate Data'!$A$7:$A$366,Estimator!$B$4,'Climate Data'!$B$7:$B$366,C4357)</f>
        <v>6.4428571428571431</v>
      </c>
      <c r="J4357" s="86">
        <f>SUMIFS('Wind Proxy'!$H$8:$H$19,'Wind Proxy'!$A$8:$A$19,Estimator!$B$4,'Wind Proxy'!$B$8:$B$19,C4357)</f>
        <v>0</v>
      </c>
    </row>
    <row r="4358" spans="1:10" ht="14.4">
      <c r="A4358" s="84">
        <v>50009</v>
      </c>
      <c r="B4358" s="85">
        <v>2036</v>
      </c>
      <c r="C4358" s="85">
        <v>11</v>
      </c>
      <c r="D4358" s="85" t="s">
        <v>76</v>
      </c>
      <c r="E4358" s="85">
        <v>30</v>
      </c>
      <c r="F4358" s="85">
        <v>7</v>
      </c>
      <c r="G4358" s="85">
        <f>--(F4358&lt;=Estimator!$B$7)</f>
        <v>0</v>
      </c>
      <c r="H4358" s="86">
        <f>SUMIFS('Climate Data'!$G$7:$G$366,'Climate Data'!$A$7:$A$366,Estimator!$B$4,'Climate Data'!$B$7:$B$366,C4358)</f>
        <v>0.23333333333333334</v>
      </c>
      <c r="I4358" s="87">
        <f>SUMIFS('Climate Data'!$H$7:$H$366,'Climate Data'!$A$7:$A$366,Estimator!$B$4,'Climate Data'!$B$7:$B$366,C4358)</f>
        <v>6.4428571428571431</v>
      </c>
      <c r="J4358" s="86">
        <f>SUMIFS('Wind Proxy'!$H$8:$H$19,'Wind Proxy'!$A$8:$A$19,Estimator!$B$4,'Wind Proxy'!$B$8:$B$19,C4358)</f>
        <v>0</v>
      </c>
    </row>
    <row r="4359" spans="1:10" ht="14.4">
      <c r="A4359" s="84">
        <v>50010</v>
      </c>
      <c r="B4359" s="85">
        <v>2036</v>
      </c>
      <c r="C4359" s="85">
        <v>12</v>
      </c>
      <c r="D4359" s="85" t="s">
        <v>77</v>
      </c>
      <c r="E4359" s="85">
        <v>1</v>
      </c>
      <c r="F4359" s="85">
        <v>1</v>
      </c>
      <c r="G4359" s="85">
        <f>--(F4359&lt;=Estimator!$B$7)</f>
        <v>1</v>
      </c>
      <c r="H4359" s="86">
        <f>SUMIFS('Climate Data'!$G$7:$G$366,'Climate Data'!$A$7:$A$366,Estimator!$B$4,'Climate Data'!$B$7:$B$366,C4359)</f>
        <v>0.22688172043010751</v>
      </c>
      <c r="I4359" s="87">
        <f>SUMIFS('Climate Data'!$H$7:$H$366,'Climate Data'!$A$7:$A$366,Estimator!$B$4,'Climate Data'!$B$7:$B$366,C4359)</f>
        <v>6.7962085308056865</v>
      </c>
      <c r="J4359" s="86">
        <f>SUMIFS('Wind Proxy'!$H$8:$H$19,'Wind Proxy'!$A$8:$A$19,Estimator!$B$4,'Wind Proxy'!$B$8:$B$19,C4359)</f>
        <v>0</v>
      </c>
    </row>
    <row r="4360" spans="1:10" ht="14.4">
      <c r="A4360" s="84">
        <v>50011</v>
      </c>
      <c r="B4360" s="85">
        <v>2036</v>
      </c>
      <c r="C4360" s="85">
        <v>12</v>
      </c>
      <c r="D4360" s="85" t="s">
        <v>77</v>
      </c>
      <c r="E4360" s="85">
        <v>2</v>
      </c>
      <c r="F4360" s="85">
        <v>2</v>
      </c>
      <c r="G4360" s="85">
        <f>--(F4360&lt;=Estimator!$B$7)</f>
        <v>1</v>
      </c>
      <c r="H4360" s="86">
        <f>SUMIFS('Climate Data'!$G$7:$G$366,'Climate Data'!$A$7:$A$366,Estimator!$B$4,'Climate Data'!$B$7:$B$366,C4360)</f>
        <v>0.22688172043010751</v>
      </c>
      <c r="I4360" s="87">
        <f>SUMIFS('Climate Data'!$H$7:$H$366,'Climate Data'!$A$7:$A$366,Estimator!$B$4,'Climate Data'!$B$7:$B$366,C4360)</f>
        <v>6.7962085308056865</v>
      </c>
      <c r="J4360" s="86">
        <f>SUMIFS('Wind Proxy'!$H$8:$H$19,'Wind Proxy'!$A$8:$A$19,Estimator!$B$4,'Wind Proxy'!$B$8:$B$19,C4360)</f>
        <v>0</v>
      </c>
    </row>
    <row r="4361" spans="1:10" ht="14.4">
      <c r="A4361" s="84">
        <v>50012</v>
      </c>
      <c r="B4361" s="85">
        <v>2036</v>
      </c>
      <c r="C4361" s="85">
        <v>12</v>
      </c>
      <c r="D4361" s="85" t="s">
        <v>77</v>
      </c>
      <c r="E4361" s="85">
        <v>3</v>
      </c>
      <c r="F4361" s="85">
        <v>3</v>
      </c>
      <c r="G4361" s="85">
        <f>--(F4361&lt;=Estimator!$B$7)</f>
        <v>1</v>
      </c>
      <c r="H4361" s="86">
        <f>SUMIFS('Climate Data'!$G$7:$G$366,'Climate Data'!$A$7:$A$366,Estimator!$B$4,'Climate Data'!$B$7:$B$366,C4361)</f>
        <v>0.22688172043010751</v>
      </c>
      <c r="I4361" s="87">
        <f>SUMIFS('Climate Data'!$H$7:$H$366,'Climate Data'!$A$7:$A$366,Estimator!$B$4,'Climate Data'!$B$7:$B$366,C4361)</f>
        <v>6.7962085308056865</v>
      </c>
      <c r="J4361" s="86">
        <f>SUMIFS('Wind Proxy'!$H$8:$H$19,'Wind Proxy'!$A$8:$A$19,Estimator!$B$4,'Wind Proxy'!$B$8:$B$19,C4361)</f>
        <v>0</v>
      </c>
    </row>
    <row r="4362" spans="1:10" ht="14.4">
      <c r="A4362" s="84">
        <v>50013</v>
      </c>
      <c r="B4362" s="85">
        <v>2036</v>
      </c>
      <c r="C4362" s="85">
        <v>12</v>
      </c>
      <c r="D4362" s="85" t="s">
        <v>77</v>
      </c>
      <c r="E4362" s="85">
        <v>4</v>
      </c>
      <c r="F4362" s="85">
        <v>4</v>
      </c>
      <c r="G4362" s="85">
        <f>--(F4362&lt;=Estimator!$B$7)</f>
        <v>1</v>
      </c>
      <c r="H4362" s="86">
        <f>SUMIFS('Climate Data'!$G$7:$G$366,'Climate Data'!$A$7:$A$366,Estimator!$B$4,'Climate Data'!$B$7:$B$366,C4362)</f>
        <v>0.22688172043010751</v>
      </c>
      <c r="I4362" s="87">
        <f>SUMIFS('Climate Data'!$H$7:$H$366,'Climate Data'!$A$7:$A$366,Estimator!$B$4,'Climate Data'!$B$7:$B$366,C4362)</f>
        <v>6.7962085308056865</v>
      </c>
      <c r="J4362" s="86">
        <f>SUMIFS('Wind Proxy'!$H$8:$H$19,'Wind Proxy'!$A$8:$A$19,Estimator!$B$4,'Wind Proxy'!$B$8:$B$19,C4362)</f>
        <v>0</v>
      </c>
    </row>
    <row r="4363" spans="1:10" ht="14.4">
      <c r="A4363" s="84">
        <v>50014</v>
      </c>
      <c r="B4363" s="85">
        <v>2036</v>
      </c>
      <c r="C4363" s="85">
        <v>12</v>
      </c>
      <c r="D4363" s="85" t="s">
        <v>77</v>
      </c>
      <c r="E4363" s="85">
        <v>5</v>
      </c>
      <c r="F4363" s="85">
        <v>5</v>
      </c>
      <c r="G4363" s="85">
        <f>--(F4363&lt;=Estimator!$B$7)</f>
        <v>1</v>
      </c>
      <c r="H4363" s="86">
        <f>SUMIFS('Climate Data'!$G$7:$G$366,'Climate Data'!$A$7:$A$366,Estimator!$B$4,'Climate Data'!$B$7:$B$366,C4363)</f>
        <v>0.22688172043010751</v>
      </c>
      <c r="I4363" s="87">
        <f>SUMIFS('Climate Data'!$H$7:$H$366,'Climate Data'!$A$7:$A$366,Estimator!$B$4,'Climate Data'!$B$7:$B$366,C4363)</f>
        <v>6.7962085308056865</v>
      </c>
      <c r="J4363" s="86">
        <f>SUMIFS('Wind Proxy'!$H$8:$H$19,'Wind Proxy'!$A$8:$A$19,Estimator!$B$4,'Wind Proxy'!$B$8:$B$19,C4363)</f>
        <v>0</v>
      </c>
    </row>
    <row r="4364" spans="1:10" ht="14.4">
      <c r="A4364" s="84">
        <v>50015</v>
      </c>
      <c r="B4364" s="85">
        <v>2036</v>
      </c>
      <c r="C4364" s="85">
        <v>12</v>
      </c>
      <c r="D4364" s="85" t="s">
        <v>77</v>
      </c>
      <c r="E4364" s="85">
        <v>6</v>
      </c>
      <c r="F4364" s="85">
        <v>6</v>
      </c>
      <c r="G4364" s="85">
        <f>--(F4364&lt;=Estimator!$B$7)</f>
        <v>0</v>
      </c>
      <c r="H4364" s="86">
        <f>SUMIFS('Climate Data'!$G$7:$G$366,'Climate Data'!$A$7:$A$366,Estimator!$B$4,'Climate Data'!$B$7:$B$366,C4364)</f>
        <v>0.22688172043010751</v>
      </c>
      <c r="I4364" s="87">
        <f>SUMIFS('Climate Data'!$H$7:$H$366,'Climate Data'!$A$7:$A$366,Estimator!$B$4,'Climate Data'!$B$7:$B$366,C4364)</f>
        <v>6.7962085308056865</v>
      </c>
      <c r="J4364" s="86">
        <f>SUMIFS('Wind Proxy'!$H$8:$H$19,'Wind Proxy'!$A$8:$A$19,Estimator!$B$4,'Wind Proxy'!$B$8:$B$19,C4364)</f>
        <v>0</v>
      </c>
    </row>
    <row r="4365" spans="1:10" ht="14.4">
      <c r="A4365" s="84">
        <v>50016</v>
      </c>
      <c r="B4365" s="85">
        <v>2036</v>
      </c>
      <c r="C4365" s="85">
        <v>12</v>
      </c>
      <c r="D4365" s="85" t="s">
        <v>77</v>
      </c>
      <c r="E4365" s="85">
        <v>7</v>
      </c>
      <c r="F4365" s="85">
        <v>7</v>
      </c>
      <c r="G4365" s="85">
        <f>--(F4365&lt;=Estimator!$B$7)</f>
        <v>0</v>
      </c>
      <c r="H4365" s="86">
        <f>SUMIFS('Climate Data'!$G$7:$G$366,'Climate Data'!$A$7:$A$366,Estimator!$B$4,'Climate Data'!$B$7:$B$366,C4365)</f>
        <v>0.22688172043010751</v>
      </c>
      <c r="I4365" s="87">
        <f>SUMIFS('Climate Data'!$H$7:$H$366,'Climate Data'!$A$7:$A$366,Estimator!$B$4,'Climate Data'!$B$7:$B$366,C4365)</f>
        <v>6.7962085308056865</v>
      </c>
      <c r="J4365" s="86">
        <f>SUMIFS('Wind Proxy'!$H$8:$H$19,'Wind Proxy'!$A$8:$A$19,Estimator!$B$4,'Wind Proxy'!$B$8:$B$19,C4365)</f>
        <v>0</v>
      </c>
    </row>
    <row r="4366" spans="1:10" ht="14.4">
      <c r="A4366" s="84">
        <v>50017</v>
      </c>
      <c r="B4366" s="85">
        <v>2036</v>
      </c>
      <c r="C4366" s="85">
        <v>12</v>
      </c>
      <c r="D4366" s="85" t="s">
        <v>77</v>
      </c>
      <c r="E4366" s="85">
        <v>8</v>
      </c>
      <c r="F4366" s="85">
        <v>1</v>
      </c>
      <c r="G4366" s="85">
        <f>--(F4366&lt;=Estimator!$B$7)</f>
        <v>1</v>
      </c>
      <c r="H4366" s="86">
        <f>SUMIFS('Climate Data'!$G$7:$G$366,'Climate Data'!$A$7:$A$366,Estimator!$B$4,'Climate Data'!$B$7:$B$366,C4366)</f>
        <v>0.22688172043010751</v>
      </c>
      <c r="I4366" s="87">
        <f>SUMIFS('Climate Data'!$H$7:$H$366,'Climate Data'!$A$7:$A$366,Estimator!$B$4,'Climate Data'!$B$7:$B$366,C4366)</f>
        <v>6.7962085308056865</v>
      </c>
      <c r="J4366" s="86">
        <f>SUMIFS('Wind Proxy'!$H$8:$H$19,'Wind Proxy'!$A$8:$A$19,Estimator!$B$4,'Wind Proxy'!$B$8:$B$19,C4366)</f>
        <v>0</v>
      </c>
    </row>
    <row r="4367" spans="1:10" ht="14.4">
      <c r="A4367" s="84">
        <v>50018</v>
      </c>
      <c r="B4367" s="85">
        <v>2036</v>
      </c>
      <c r="C4367" s="85">
        <v>12</v>
      </c>
      <c r="D4367" s="85" t="s">
        <v>77</v>
      </c>
      <c r="E4367" s="85">
        <v>9</v>
      </c>
      <c r="F4367" s="85">
        <v>2</v>
      </c>
      <c r="G4367" s="85">
        <f>--(F4367&lt;=Estimator!$B$7)</f>
        <v>1</v>
      </c>
      <c r="H4367" s="86">
        <f>SUMIFS('Climate Data'!$G$7:$G$366,'Climate Data'!$A$7:$A$366,Estimator!$B$4,'Climate Data'!$B$7:$B$366,C4367)</f>
        <v>0.22688172043010751</v>
      </c>
      <c r="I4367" s="87">
        <f>SUMIFS('Climate Data'!$H$7:$H$366,'Climate Data'!$A$7:$A$366,Estimator!$B$4,'Climate Data'!$B$7:$B$366,C4367)</f>
        <v>6.7962085308056865</v>
      </c>
      <c r="J4367" s="86">
        <f>SUMIFS('Wind Proxy'!$H$8:$H$19,'Wind Proxy'!$A$8:$A$19,Estimator!$B$4,'Wind Proxy'!$B$8:$B$19,C4367)</f>
        <v>0</v>
      </c>
    </row>
    <row r="4368" spans="1:10" ht="14.4">
      <c r="A4368" s="84">
        <v>50019</v>
      </c>
      <c r="B4368" s="85">
        <v>2036</v>
      </c>
      <c r="C4368" s="85">
        <v>12</v>
      </c>
      <c r="D4368" s="85" t="s">
        <v>77</v>
      </c>
      <c r="E4368" s="85">
        <v>10</v>
      </c>
      <c r="F4368" s="85">
        <v>3</v>
      </c>
      <c r="G4368" s="85">
        <f>--(F4368&lt;=Estimator!$B$7)</f>
        <v>1</v>
      </c>
      <c r="H4368" s="86">
        <f>SUMIFS('Climate Data'!$G$7:$G$366,'Climate Data'!$A$7:$A$366,Estimator!$B$4,'Climate Data'!$B$7:$B$366,C4368)</f>
        <v>0.22688172043010751</v>
      </c>
      <c r="I4368" s="87">
        <f>SUMIFS('Climate Data'!$H$7:$H$366,'Climate Data'!$A$7:$A$366,Estimator!$B$4,'Climate Data'!$B$7:$B$366,C4368)</f>
        <v>6.7962085308056865</v>
      </c>
      <c r="J4368" s="86">
        <f>SUMIFS('Wind Proxy'!$H$8:$H$19,'Wind Proxy'!$A$8:$A$19,Estimator!$B$4,'Wind Proxy'!$B$8:$B$19,C4368)</f>
        <v>0</v>
      </c>
    </row>
    <row r="4369" spans="1:10" ht="14.4">
      <c r="A4369" s="84">
        <v>50020</v>
      </c>
      <c r="B4369" s="85">
        <v>2036</v>
      </c>
      <c r="C4369" s="85">
        <v>12</v>
      </c>
      <c r="D4369" s="85" t="s">
        <v>77</v>
      </c>
      <c r="E4369" s="85">
        <v>11</v>
      </c>
      <c r="F4369" s="85">
        <v>4</v>
      </c>
      <c r="G4369" s="85">
        <f>--(F4369&lt;=Estimator!$B$7)</f>
        <v>1</v>
      </c>
      <c r="H4369" s="86">
        <f>SUMIFS('Climate Data'!$G$7:$G$366,'Climate Data'!$A$7:$A$366,Estimator!$B$4,'Climate Data'!$B$7:$B$366,C4369)</f>
        <v>0.22688172043010751</v>
      </c>
      <c r="I4369" s="87">
        <f>SUMIFS('Climate Data'!$H$7:$H$366,'Climate Data'!$A$7:$A$366,Estimator!$B$4,'Climate Data'!$B$7:$B$366,C4369)</f>
        <v>6.7962085308056865</v>
      </c>
      <c r="J4369" s="86">
        <f>SUMIFS('Wind Proxy'!$H$8:$H$19,'Wind Proxy'!$A$8:$A$19,Estimator!$B$4,'Wind Proxy'!$B$8:$B$19,C4369)</f>
        <v>0</v>
      </c>
    </row>
    <row r="4370" spans="1:10" ht="14.4">
      <c r="A4370" s="84">
        <v>50021</v>
      </c>
      <c r="B4370" s="85">
        <v>2036</v>
      </c>
      <c r="C4370" s="85">
        <v>12</v>
      </c>
      <c r="D4370" s="85" t="s">
        <v>77</v>
      </c>
      <c r="E4370" s="85">
        <v>12</v>
      </c>
      <c r="F4370" s="85">
        <v>5</v>
      </c>
      <c r="G4370" s="85">
        <f>--(F4370&lt;=Estimator!$B$7)</f>
        <v>1</v>
      </c>
      <c r="H4370" s="86">
        <f>SUMIFS('Climate Data'!$G$7:$G$366,'Climate Data'!$A$7:$A$366,Estimator!$B$4,'Climate Data'!$B$7:$B$366,C4370)</f>
        <v>0.22688172043010751</v>
      </c>
      <c r="I4370" s="87">
        <f>SUMIFS('Climate Data'!$H$7:$H$366,'Climate Data'!$A$7:$A$366,Estimator!$B$4,'Climate Data'!$B$7:$B$366,C4370)</f>
        <v>6.7962085308056865</v>
      </c>
      <c r="J4370" s="86">
        <f>SUMIFS('Wind Proxy'!$H$8:$H$19,'Wind Proxy'!$A$8:$A$19,Estimator!$B$4,'Wind Proxy'!$B$8:$B$19,C4370)</f>
        <v>0</v>
      </c>
    </row>
    <row r="4371" spans="1:10" ht="14.4">
      <c r="A4371" s="84">
        <v>50022</v>
      </c>
      <c r="B4371" s="85">
        <v>2036</v>
      </c>
      <c r="C4371" s="85">
        <v>12</v>
      </c>
      <c r="D4371" s="85" t="s">
        <v>77</v>
      </c>
      <c r="E4371" s="85">
        <v>13</v>
      </c>
      <c r="F4371" s="85">
        <v>6</v>
      </c>
      <c r="G4371" s="85">
        <f>--(F4371&lt;=Estimator!$B$7)</f>
        <v>0</v>
      </c>
      <c r="H4371" s="86">
        <f>SUMIFS('Climate Data'!$G$7:$G$366,'Climate Data'!$A$7:$A$366,Estimator!$B$4,'Climate Data'!$B$7:$B$366,C4371)</f>
        <v>0.22688172043010751</v>
      </c>
      <c r="I4371" s="87">
        <f>SUMIFS('Climate Data'!$H$7:$H$366,'Climate Data'!$A$7:$A$366,Estimator!$B$4,'Climate Data'!$B$7:$B$366,C4371)</f>
        <v>6.7962085308056865</v>
      </c>
      <c r="J4371" s="86">
        <f>SUMIFS('Wind Proxy'!$H$8:$H$19,'Wind Proxy'!$A$8:$A$19,Estimator!$B$4,'Wind Proxy'!$B$8:$B$19,C4371)</f>
        <v>0</v>
      </c>
    </row>
    <row r="4372" spans="1:10" ht="14.4">
      <c r="A4372" s="84">
        <v>50023</v>
      </c>
      <c r="B4372" s="85">
        <v>2036</v>
      </c>
      <c r="C4372" s="85">
        <v>12</v>
      </c>
      <c r="D4372" s="85" t="s">
        <v>77</v>
      </c>
      <c r="E4372" s="85">
        <v>14</v>
      </c>
      <c r="F4372" s="85">
        <v>7</v>
      </c>
      <c r="G4372" s="85">
        <f>--(F4372&lt;=Estimator!$B$7)</f>
        <v>0</v>
      </c>
      <c r="H4372" s="86">
        <f>SUMIFS('Climate Data'!$G$7:$G$366,'Climate Data'!$A$7:$A$366,Estimator!$B$4,'Climate Data'!$B$7:$B$366,C4372)</f>
        <v>0.22688172043010751</v>
      </c>
      <c r="I4372" s="87">
        <f>SUMIFS('Climate Data'!$H$7:$H$366,'Climate Data'!$A$7:$A$366,Estimator!$B$4,'Climate Data'!$B$7:$B$366,C4372)</f>
        <v>6.7962085308056865</v>
      </c>
      <c r="J4372" s="86">
        <f>SUMIFS('Wind Proxy'!$H$8:$H$19,'Wind Proxy'!$A$8:$A$19,Estimator!$B$4,'Wind Proxy'!$B$8:$B$19,C4372)</f>
        <v>0</v>
      </c>
    </row>
    <row r="4373" spans="1:10" ht="14.4">
      <c r="A4373" s="84">
        <v>50024</v>
      </c>
      <c r="B4373" s="85">
        <v>2036</v>
      </c>
      <c r="C4373" s="85">
        <v>12</v>
      </c>
      <c r="D4373" s="85" t="s">
        <v>77</v>
      </c>
      <c r="E4373" s="85">
        <v>15</v>
      </c>
      <c r="F4373" s="85">
        <v>1</v>
      </c>
      <c r="G4373" s="85">
        <f>--(F4373&lt;=Estimator!$B$7)</f>
        <v>1</v>
      </c>
      <c r="H4373" s="86">
        <f>SUMIFS('Climate Data'!$G$7:$G$366,'Climate Data'!$A$7:$A$366,Estimator!$B$4,'Climate Data'!$B$7:$B$366,C4373)</f>
        <v>0.22688172043010751</v>
      </c>
      <c r="I4373" s="87">
        <f>SUMIFS('Climate Data'!$H$7:$H$366,'Climate Data'!$A$7:$A$366,Estimator!$B$4,'Climate Data'!$B$7:$B$366,C4373)</f>
        <v>6.7962085308056865</v>
      </c>
      <c r="J4373" s="86">
        <f>SUMIFS('Wind Proxy'!$H$8:$H$19,'Wind Proxy'!$A$8:$A$19,Estimator!$B$4,'Wind Proxy'!$B$8:$B$19,C4373)</f>
        <v>0</v>
      </c>
    </row>
    <row r="4374" spans="1:10" ht="14.4">
      <c r="A4374" s="84">
        <v>50025</v>
      </c>
      <c r="B4374" s="85">
        <v>2036</v>
      </c>
      <c r="C4374" s="85">
        <v>12</v>
      </c>
      <c r="D4374" s="85" t="s">
        <v>77</v>
      </c>
      <c r="E4374" s="85">
        <v>16</v>
      </c>
      <c r="F4374" s="85">
        <v>2</v>
      </c>
      <c r="G4374" s="85">
        <f>--(F4374&lt;=Estimator!$B$7)</f>
        <v>1</v>
      </c>
      <c r="H4374" s="86">
        <f>SUMIFS('Climate Data'!$G$7:$G$366,'Climate Data'!$A$7:$A$366,Estimator!$B$4,'Climate Data'!$B$7:$B$366,C4374)</f>
        <v>0.22688172043010751</v>
      </c>
      <c r="I4374" s="87">
        <f>SUMIFS('Climate Data'!$H$7:$H$366,'Climate Data'!$A$7:$A$366,Estimator!$B$4,'Climate Data'!$B$7:$B$366,C4374)</f>
        <v>6.7962085308056865</v>
      </c>
      <c r="J4374" s="86">
        <f>SUMIFS('Wind Proxy'!$H$8:$H$19,'Wind Proxy'!$A$8:$A$19,Estimator!$B$4,'Wind Proxy'!$B$8:$B$19,C4374)</f>
        <v>0</v>
      </c>
    </row>
    <row r="4375" spans="1:10" ht="14.4">
      <c r="A4375" s="84">
        <v>50026</v>
      </c>
      <c r="B4375" s="85">
        <v>2036</v>
      </c>
      <c r="C4375" s="85">
        <v>12</v>
      </c>
      <c r="D4375" s="85" t="s">
        <v>77</v>
      </c>
      <c r="E4375" s="85">
        <v>17</v>
      </c>
      <c r="F4375" s="85">
        <v>3</v>
      </c>
      <c r="G4375" s="85">
        <f>--(F4375&lt;=Estimator!$B$7)</f>
        <v>1</v>
      </c>
      <c r="H4375" s="86">
        <f>SUMIFS('Climate Data'!$G$7:$G$366,'Climate Data'!$A$7:$A$366,Estimator!$B$4,'Climate Data'!$B$7:$B$366,C4375)</f>
        <v>0.22688172043010751</v>
      </c>
      <c r="I4375" s="87">
        <f>SUMIFS('Climate Data'!$H$7:$H$366,'Climate Data'!$A$7:$A$366,Estimator!$B$4,'Climate Data'!$B$7:$B$366,C4375)</f>
        <v>6.7962085308056865</v>
      </c>
      <c r="J4375" s="86">
        <f>SUMIFS('Wind Proxy'!$H$8:$H$19,'Wind Proxy'!$A$8:$A$19,Estimator!$B$4,'Wind Proxy'!$B$8:$B$19,C4375)</f>
        <v>0</v>
      </c>
    </row>
    <row r="4376" spans="1:10" ht="14.4">
      <c r="A4376" s="84">
        <v>50027</v>
      </c>
      <c r="B4376" s="85">
        <v>2036</v>
      </c>
      <c r="C4376" s="85">
        <v>12</v>
      </c>
      <c r="D4376" s="85" t="s">
        <v>77</v>
      </c>
      <c r="E4376" s="85">
        <v>18</v>
      </c>
      <c r="F4376" s="85">
        <v>4</v>
      </c>
      <c r="G4376" s="85">
        <f>--(F4376&lt;=Estimator!$B$7)</f>
        <v>1</v>
      </c>
      <c r="H4376" s="86">
        <f>SUMIFS('Climate Data'!$G$7:$G$366,'Climate Data'!$A$7:$A$366,Estimator!$B$4,'Climate Data'!$B$7:$B$366,C4376)</f>
        <v>0.22688172043010751</v>
      </c>
      <c r="I4376" s="87">
        <f>SUMIFS('Climate Data'!$H$7:$H$366,'Climate Data'!$A$7:$A$366,Estimator!$B$4,'Climate Data'!$B$7:$B$366,C4376)</f>
        <v>6.7962085308056865</v>
      </c>
      <c r="J4376" s="86">
        <f>SUMIFS('Wind Proxy'!$H$8:$H$19,'Wind Proxy'!$A$8:$A$19,Estimator!$B$4,'Wind Proxy'!$B$8:$B$19,C4376)</f>
        <v>0</v>
      </c>
    </row>
    <row r="4377" spans="1:10" ht="14.4">
      <c r="A4377" s="84">
        <v>50028</v>
      </c>
      <c r="B4377" s="85">
        <v>2036</v>
      </c>
      <c r="C4377" s="85">
        <v>12</v>
      </c>
      <c r="D4377" s="85" t="s">
        <v>77</v>
      </c>
      <c r="E4377" s="85">
        <v>19</v>
      </c>
      <c r="F4377" s="85">
        <v>5</v>
      </c>
      <c r="G4377" s="85">
        <f>--(F4377&lt;=Estimator!$B$7)</f>
        <v>1</v>
      </c>
      <c r="H4377" s="86">
        <f>SUMIFS('Climate Data'!$G$7:$G$366,'Climate Data'!$A$7:$A$366,Estimator!$B$4,'Climate Data'!$B$7:$B$366,C4377)</f>
        <v>0.22688172043010751</v>
      </c>
      <c r="I4377" s="87">
        <f>SUMIFS('Climate Data'!$H$7:$H$366,'Climate Data'!$A$7:$A$366,Estimator!$B$4,'Climate Data'!$B$7:$B$366,C4377)</f>
        <v>6.7962085308056865</v>
      </c>
      <c r="J4377" s="86">
        <f>SUMIFS('Wind Proxy'!$H$8:$H$19,'Wind Proxy'!$A$8:$A$19,Estimator!$B$4,'Wind Proxy'!$B$8:$B$19,C4377)</f>
        <v>0</v>
      </c>
    </row>
    <row r="4378" spans="1:10" ht="14.4">
      <c r="A4378" s="84">
        <v>50029</v>
      </c>
      <c r="B4378" s="85">
        <v>2036</v>
      </c>
      <c r="C4378" s="85">
        <v>12</v>
      </c>
      <c r="D4378" s="85" t="s">
        <v>77</v>
      </c>
      <c r="E4378" s="85">
        <v>20</v>
      </c>
      <c r="F4378" s="85">
        <v>6</v>
      </c>
      <c r="G4378" s="85">
        <f>--(F4378&lt;=Estimator!$B$7)</f>
        <v>0</v>
      </c>
      <c r="H4378" s="86">
        <f>SUMIFS('Climate Data'!$G$7:$G$366,'Climate Data'!$A$7:$A$366,Estimator!$B$4,'Climate Data'!$B$7:$B$366,C4378)</f>
        <v>0.22688172043010751</v>
      </c>
      <c r="I4378" s="87">
        <f>SUMIFS('Climate Data'!$H$7:$H$366,'Climate Data'!$A$7:$A$366,Estimator!$B$4,'Climate Data'!$B$7:$B$366,C4378)</f>
        <v>6.7962085308056865</v>
      </c>
      <c r="J4378" s="86">
        <f>SUMIFS('Wind Proxy'!$H$8:$H$19,'Wind Proxy'!$A$8:$A$19,Estimator!$B$4,'Wind Proxy'!$B$8:$B$19,C4378)</f>
        <v>0</v>
      </c>
    </row>
    <row r="4379" spans="1:10" ht="14.4">
      <c r="A4379" s="84">
        <v>50030</v>
      </c>
      <c r="B4379" s="85">
        <v>2036</v>
      </c>
      <c r="C4379" s="85">
        <v>12</v>
      </c>
      <c r="D4379" s="85" t="s">
        <v>77</v>
      </c>
      <c r="E4379" s="85">
        <v>21</v>
      </c>
      <c r="F4379" s="85">
        <v>7</v>
      </c>
      <c r="G4379" s="85">
        <f>--(F4379&lt;=Estimator!$B$7)</f>
        <v>0</v>
      </c>
      <c r="H4379" s="86">
        <f>SUMIFS('Climate Data'!$G$7:$G$366,'Climate Data'!$A$7:$A$366,Estimator!$B$4,'Climate Data'!$B$7:$B$366,C4379)</f>
        <v>0.22688172043010751</v>
      </c>
      <c r="I4379" s="87">
        <f>SUMIFS('Climate Data'!$H$7:$H$366,'Climate Data'!$A$7:$A$366,Estimator!$B$4,'Climate Data'!$B$7:$B$366,C4379)</f>
        <v>6.7962085308056865</v>
      </c>
      <c r="J4379" s="86">
        <f>SUMIFS('Wind Proxy'!$H$8:$H$19,'Wind Proxy'!$A$8:$A$19,Estimator!$B$4,'Wind Proxy'!$B$8:$B$19,C4379)</f>
        <v>0</v>
      </c>
    </row>
    <row r="4380" spans="1:10" ht="14.4">
      <c r="A4380" s="84">
        <v>50031</v>
      </c>
      <c r="B4380" s="85">
        <v>2036</v>
      </c>
      <c r="C4380" s="85">
        <v>12</v>
      </c>
      <c r="D4380" s="85" t="s">
        <v>77</v>
      </c>
      <c r="E4380" s="85">
        <v>22</v>
      </c>
      <c r="F4380" s="85">
        <v>1</v>
      </c>
      <c r="G4380" s="85">
        <f>--(F4380&lt;=Estimator!$B$7)</f>
        <v>1</v>
      </c>
      <c r="H4380" s="86">
        <f>SUMIFS('Climate Data'!$G$7:$G$366,'Climate Data'!$A$7:$A$366,Estimator!$B$4,'Climate Data'!$B$7:$B$366,C4380)</f>
        <v>0.22688172043010751</v>
      </c>
      <c r="I4380" s="87">
        <f>SUMIFS('Climate Data'!$H$7:$H$366,'Climate Data'!$A$7:$A$366,Estimator!$B$4,'Climate Data'!$B$7:$B$366,C4380)</f>
        <v>6.7962085308056865</v>
      </c>
      <c r="J4380" s="86">
        <f>SUMIFS('Wind Proxy'!$H$8:$H$19,'Wind Proxy'!$A$8:$A$19,Estimator!$B$4,'Wind Proxy'!$B$8:$B$19,C4380)</f>
        <v>0</v>
      </c>
    </row>
    <row r="4381" spans="1:10" ht="14.4">
      <c r="A4381" s="84">
        <v>50032</v>
      </c>
      <c r="B4381" s="85">
        <v>2036</v>
      </c>
      <c r="C4381" s="85">
        <v>12</v>
      </c>
      <c r="D4381" s="85" t="s">
        <v>77</v>
      </c>
      <c r="E4381" s="85">
        <v>23</v>
      </c>
      <c r="F4381" s="85">
        <v>2</v>
      </c>
      <c r="G4381" s="85">
        <f>--(F4381&lt;=Estimator!$B$7)</f>
        <v>1</v>
      </c>
      <c r="H4381" s="86">
        <f>SUMIFS('Climate Data'!$G$7:$G$366,'Climate Data'!$A$7:$A$366,Estimator!$B$4,'Climate Data'!$B$7:$B$366,C4381)</f>
        <v>0.22688172043010751</v>
      </c>
      <c r="I4381" s="87">
        <f>SUMIFS('Climate Data'!$H$7:$H$366,'Climate Data'!$A$7:$A$366,Estimator!$B$4,'Climate Data'!$B$7:$B$366,C4381)</f>
        <v>6.7962085308056865</v>
      </c>
      <c r="J4381" s="86">
        <f>SUMIFS('Wind Proxy'!$H$8:$H$19,'Wind Proxy'!$A$8:$A$19,Estimator!$B$4,'Wind Proxy'!$B$8:$B$19,C4381)</f>
        <v>0</v>
      </c>
    </row>
    <row r="4382" spans="1:10" ht="14.4">
      <c r="A4382" s="84">
        <v>50033</v>
      </c>
      <c r="B4382" s="85">
        <v>2036</v>
      </c>
      <c r="C4382" s="85">
        <v>12</v>
      </c>
      <c r="D4382" s="85" t="s">
        <v>77</v>
      </c>
      <c r="E4382" s="85">
        <v>24</v>
      </c>
      <c r="F4382" s="85">
        <v>3</v>
      </c>
      <c r="G4382" s="85">
        <f>--(F4382&lt;=Estimator!$B$7)</f>
        <v>1</v>
      </c>
      <c r="H4382" s="86">
        <f>SUMIFS('Climate Data'!$G$7:$G$366,'Climate Data'!$A$7:$A$366,Estimator!$B$4,'Climate Data'!$B$7:$B$366,C4382)</f>
        <v>0.22688172043010751</v>
      </c>
      <c r="I4382" s="87">
        <f>SUMIFS('Climate Data'!$H$7:$H$366,'Climate Data'!$A$7:$A$366,Estimator!$B$4,'Climate Data'!$B$7:$B$366,C4382)</f>
        <v>6.7962085308056865</v>
      </c>
      <c r="J4382" s="86">
        <f>SUMIFS('Wind Proxy'!$H$8:$H$19,'Wind Proxy'!$A$8:$A$19,Estimator!$B$4,'Wind Proxy'!$B$8:$B$19,C4382)</f>
        <v>0</v>
      </c>
    </row>
    <row r="4383" spans="1:10" ht="14.4">
      <c r="A4383" s="84">
        <v>50034</v>
      </c>
      <c r="B4383" s="85">
        <v>2036</v>
      </c>
      <c r="C4383" s="85">
        <v>12</v>
      </c>
      <c r="D4383" s="85" t="s">
        <v>77</v>
      </c>
      <c r="E4383" s="85">
        <v>25</v>
      </c>
      <c r="F4383" s="85">
        <v>4</v>
      </c>
      <c r="G4383" s="85">
        <f>--(F4383&lt;=Estimator!$B$7)</f>
        <v>1</v>
      </c>
      <c r="H4383" s="86">
        <f>SUMIFS('Climate Data'!$G$7:$G$366,'Climate Data'!$A$7:$A$366,Estimator!$B$4,'Climate Data'!$B$7:$B$366,C4383)</f>
        <v>0.22688172043010751</v>
      </c>
      <c r="I4383" s="87">
        <f>SUMIFS('Climate Data'!$H$7:$H$366,'Climate Data'!$A$7:$A$366,Estimator!$B$4,'Climate Data'!$B$7:$B$366,C4383)</f>
        <v>6.7962085308056865</v>
      </c>
      <c r="J4383" s="86">
        <f>SUMIFS('Wind Proxy'!$H$8:$H$19,'Wind Proxy'!$A$8:$A$19,Estimator!$B$4,'Wind Proxy'!$B$8:$B$19,C4383)</f>
        <v>0</v>
      </c>
    </row>
    <row r="4384" spans="1:10" ht="14.4">
      <c r="A4384" s="84">
        <v>50035</v>
      </c>
      <c r="B4384" s="85">
        <v>2036</v>
      </c>
      <c r="C4384" s="85">
        <v>12</v>
      </c>
      <c r="D4384" s="85" t="s">
        <v>77</v>
      </c>
      <c r="E4384" s="85">
        <v>26</v>
      </c>
      <c r="F4384" s="85">
        <v>5</v>
      </c>
      <c r="G4384" s="85">
        <f>--(F4384&lt;=Estimator!$B$7)</f>
        <v>1</v>
      </c>
      <c r="H4384" s="86">
        <f>SUMIFS('Climate Data'!$G$7:$G$366,'Climate Data'!$A$7:$A$366,Estimator!$B$4,'Climate Data'!$B$7:$B$366,C4384)</f>
        <v>0.22688172043010751</v>
      </c>
      <c r="I4384" s="87">
        <f>SUMIFS('Climate Data'!$H$7:$H$366,'Climate Data'!$A$7:$A$366,Estimator!$B$4,'Climate Data'!$B$7:$B$366,C4384)</f>
        <v>6.7962085308056865</v>
      </c>
      <c r="J4384" s="86">
        <f>SUMIFS('Wind Proxy'!$H$8:$H$19,'Wind Proxy'!$A$8:$A$19,Estimator!$B$4,'Wind Proxy'!$B$8:$B$19,C4384)</f>
        <v>0</v>
      </c>
    </row>
    <row r="4385" spans="1:10" ht="14.4">
      <c r="A4385" s="84">
        <v>50036</v>
      </c>
      <c r="B4385" s="85">
        <v>2036</v>
      </c>
      <c r="C4385" s="85">
        <v>12</v>
      </c>
      <c r="D4385" s="85" t="s">
        <v>77</v>
      </c>
      <c r="E4385" s="85">
        <v>27</v>
      </c>
      <c r="F4385" s="85">
        <v>6</v>
      </c>
      <c r="G4385" s="85">
        <f>--(F4385&lt;=Estimator!$B$7)</f>
        <v>0</v>
      </c>
      <c r="H4385" s="86">
        <f>SUMIFS('Climate Data'!$G$7:$G$366,'Climate Data'!$A$7:$A$366,Estimator!$B$4,'Climate Data'!$B$7:$B$366,C4385)</f>
        <v>0.22688172043010751</v>
      </c>
      <c r="I4385" s="87">
        <f>SUMIFS('Climate Data'!$H$7:$H$366,'Climate Data'!$A$7:$A$366,Estimator!$B$4,'Climate Data'!$B$7:$B$366,C4385)</f>
        <v>6.7962085308056865</v>
      </c>
      <c r="J4385" s="86">
        <f>SUMIFS('Wind Proxy'!$H$8:$H$19,'Wind Proxy'!$A$8:$A$19,Estimator!$B$4,'Wind Proxy'!$B$8:$B$19,C4385)</f>
        <v>0</v>
      </c>
    </row>
    <row r="4386" spans="1:10" ht="14.4">
      <c r="A4386" s="84">
        <v>50037</v>
      </c>
      <c r="B4386" s="85">
        <v>2036</v>
      </c>
      <c r="C4386" s="85">
        <v>12</v>
      </c>
      <c r="D4386" s="85" t="s">
        <v>77</v>
      </c>
      <c r="E4386" s="85">
        <v>28</v>
      </c>
      <c r="F4386" s="85">
        <v>7</v>
      </c>
      <c r="G4386" s="85">
        <f>--(F4386&lt;=Estimator!$B$7)</f>
        <v>0</v>
      </c>
      <c r="H4386" s="86">
        <f>SUMIFS('Climate Data'!$G$7:$G$366,'Climate Data'!$A$7:$A$366,Estimator!$B$4,'Climate Data'!$B$7:$B$366,C4386)</f>
        <v>0.22688172043010751</v>
      </c>
      <c r="I4386" s="87">
        <f>SUMIFS('Climate Data'!$H$7:$H$366,'Climate Data'!$A$7:$A$366,Estimator!$B$4,'Climate Data'!$B$7:$B$366,C4386)</f>
        <v>6.7962085308056865</v>
      </c>
      <c r="J4386" s="86">
        <f>SUMIFS('Wind Proxy'!$H$8:$H$19,'Wind Proxy'!$A$8:$A$19,Estimator!$B$4,'Wind Proxy'!$B$8:$B$19,C4386)</f>
        <v>0</v>
      </c>
    </row>
    <row r="4387" spans="1:10" ht="14.4">
      <c r="A4387" s="84">
        <v>50038</v>
      </c>
      <c r="B4387" s="85">
        <v>2036</v>
      </c>
      <c r="C4387" s="85">
        <v>12</v>
      </c>
      <c r="D4387" s="85" t="s">
        <v>77</v>
      </c>
      <c r="E4387" s="85">
        <v>29</v>
      </c>
      <c r="F4387" s="85">
        <v>1</v>
      </c>
      <c r="G4387" s="85">
        <f>--(F4387&lt;=Estimator!$B$7)</f>
        <v>1</v>
      </c>
      <c r="H4387" s="86">
        <f>SUMIFS('Climate Data'!$G$7:$G$366,'Climate Data'!$A$7:$A$366,Estimator!$B$4,'Climate Data'!$B$7:$B$366,C4387)</f>
        <v>0.22688172043010751</v>
      </c>
      <c r="I4387" s="87">
        <f>SUMIFS('Climate Data'!$H$7:$H$366,'Climate Data'!$A$7:$A$366,Estimator!$B$4,'Climate Data'!$B$7:$B$366,C4387)</f>
        <v>6.7962085308056865</v>
      </c>
      <c r="J4387" s="86">
        <f>SUMIFS('Wind Proxy'!$H$8:$H$19,'Wind Proxy'!$A$8:$A$19,Estimator!$B$4,'Wind Proxy'!$B$8:$B$19,C4387)</f>
        <v>0</v>
      </c>
    </row>
    <row r="4388" spans="1:10" ht="14.4">
      <c r="A4388" s="84">
        <v>50039</v>
      </c>
      <c r="B4388" s="85">
        <v>2036</v>
      </c>
      <c r="C4388" s="85">
        <v>12</v>
      </c>
      <c r="D4388" s="85" t="s">
        <v>77</v>
      </c>
      <c r="E4388" s="85">
        <v>30</v>
      </c>
      <c r="F4388" s="85">
        <v>2</v>
      </c>
      <c r="G4388" s="85">
        <f>--(F4388&lt;=Estimator!$B$7)</f>
        <v>1</v>
      </c>
      <c r="H4388" s="86">
        <f>SUMIFS('Climate Data'!$G$7:$G$366,'Climate Data'!$A$7:$A$366,Estimator!$B$4,'Climate Data'!$B$7:$B$366,C4388)</f>
        <v>0.22688172043010751</v>
      </c>
      <c r="I4388" s="87">
        <f>SUMIFS('Climate Data'!$H$7:$H$366,'Climate Data'!$A$7:$A$366,Estimator!$B$4,'Climate Data'!$B$7:$B$366,C4388)</f>
        <v>6.7962085308056865</v>
      </c>
      <c r="J4388" s="86">
        <f>SUMIFS('Wind Proxy'!$H$8:$H$19,'Wind Proxy'!$A$8:$A$19,Estimator!$B$4,'Wind Proxy'!$B$8:$B$19,C4388)</f>
        <v>0</v>
      </c>
    </row>
    <row r="4389" spans="1:10" ht="14.4">
      <c r="A4389" s="84">
        <v>50040</v>
      </c>
      <c r="B4389" s="85">
        <v>2036</v>
      </c>
      <c r="C4389" s="85">
        <v>12</v>
      </c>
      <c r="D4389" s="85" t="s">
        <v>77</v>
      </c>
      <c r="E4389" s="85">
        <v>31</v>
      </c>
      <c r="F4389" s="85">
        <v>3</v>
      </c>
      <c r="G4389" s="85">
        <f>--(F4389&lt;=Estimator!$B$7)</f>
        <v>1</v>
      </c>
      <c r="H4389" s="86">
        <f>SUMIFS('Climate Data'!$G$7:$G$366,'Climate Data'!$A$7:$A$366,Estimator!$B$4,'Climate Data'!$B$7:$B$366,C4389)</f>
        <v>0.22688172043010751</v>
      </c>
      <c r="I4389" s="87">
        <f>SUMIFS('Climate Data'!$H$7:$H$366,'Climate Data'!$A$7:$A$366,Estimator!$B$4,'Climate Data'!$B$7:$B$366,C4389)</f>
        <v>6.7962085308056865</v>
      </c>
      <c r="J4389" s="86">
        <f>SUMIFS('Wind Proxy'!$H$8:$H$19,'Wind Proxy'!$A$8:$A$19,Estimator!$B$4,'Wind Proxy'!$B$8:$B$19,C4389)</f>
        <v>0</v>
      </c>
    </row>
    <row r="4390" spans="1:10" ht="14.4">
      <c r="A4390" s="84">
        <v>50041</v>
      </c>
      <c r="B4390" s="85">
        <v>2037</v>
      </c>
      <c r="C4390" s="85">
        <v>1</v>
      </c>
      <c r="D4390" s="85" t="s">
        <v>55</v>
      </c>
      <c r="E4390" s="85">
        <v>1</v>
      </c>
      <c r="F4390" s="85">
        <v>4</v>
      </c>
      <c r="G4390" s="85">
        <f>--(F4390&lt;=Estimator!$B$7)</f>
        <v>1</v>
      </c>
      <c r="H4390" s="86">
        <f>SUMIFS('Climate Data'!$G$7:$G$366,'Climate Data'!$A$7:$A$366,Estimator!$B$4,'Climate Data'!$B$7:$B$366,C4390)</f>
        <v>0.19462365591397848</v>
      </c>
      <c r="I4390" s="87">
        <f>SUMIFS('Climate Data'!$H$7:$H$366,'Climate Data'!$A$7:$A$366,Estimator!$B$4,'Climate Data'!$B$7:$B$366,C4390)</f>
        <v>7.027624309392265</v>
      </c>
      <c r="J4390" s="86">
        <f>SUMIFS('Wind Proxy'!$H$8:$H$19,'Wind Proxy'!$A$8:$A$19,Estimator!$B$4,'Wind Proxy'!$B$8:$B$19,C4390)</f>
        <v>0</v>
      </c>
    </row>
    <row r="4391" spans="1:10" ht="14.4">
      <c r="A4391" s="84">
        <v>50042</v>
      </c>
      <c r="B4391" s="85">
        <v>2037</v>
      </c>
      <c r="C4391" s="85">
        <v>1</v>
      </c>
      <c r="D4391" s="85" t="s">
        <v>55</v>
      </c>
      <c r="E4391" s="85">
        <v>2</v>
      </c>
      <c r="F4391" s="85">
        <v>5</v>
      </c>
      <c r="G4391" s="85">
        <f>--(F4391&lt;=Estimator!$B$7)</f>
        <v>1</v>
      </c>
      <c r="H4391" s="86">
        <f>SUMIFS('Climate Data'!$G$7:$G$366,'Climate Data'!$A$7:$A$366,Estimator!$B$4,'Climate Data'!$B$7:$B$366,C4391)</f>
        <v>0.19462365591397848</v>
      </c>
      <c r="I4391" s="87">
        <f>SUMIFS('Climate Data'!$H$7:$H$366,'Climate Data'!$A$7:$A$366,Estimator!$B$4,'Climate Data'!$B$7:$B$366,C4391)</f>
        <v>7.027624309392265</v>
      </c>
      <c r="J4391" s="86">
        <f>SUMIFS('Wind Proxy'!$H$8:$H$19,'Wind Proxy'!$A$8:$A$19,Estimator!$B$4,'Wind Proxy'!$B$8:$B$19,C4391)</f>
        <v>0</v>
      </c>
    </row>
    <row r="4392" spans="1:10" ht="14.4">
      <c r="A4392" s="84">
        <v>50043</v>
      </c>
      <c r="B4392" s="85">
        <v>2037</v>
      </c>
      <c r="C4392" s="85">
        <v>1</v>
      </c>
      <c r="D4392" s="85" t="s">
        <v>55</v>
      </c>
      <c r="E4392" s="85">
        <v>3</v>
      </c>
      <c r="F4392" s="85">
        <v>6</v>
      </c>
      <c r="G4392" s="85">
        <f>--(F4392&lt;=Estimator!$B$7)</f>
        <v>0</v>
      </c>
      <c r="H4392" s="86">
        <f>SUMIFS('Climate Data'!$G$7:$G$366,'Climate Data'!$A$7:$A$366,Estimator!$B$4,'Climate Data'!$B$7:$B$366,C4392)</f>
        <v>0.19462365591397848</v>
      </c>
      <c r="I4392" s="87">
        <f>SUMIFS('Climate Data'!$H$7:$H$366,'Climate Data'!$A$7:$A$366,Estimator!$B$4,'Climate Data'!$B$7:$B$366,C4392)</f>
        <v>7.027624309392265</v>
      </c>
      <c r="J4392" s="86">
        <f>SUMIFS('Wind Proxy'!$H$8:$H$19,'Wind Proxy'!$A$8:$A$19,Estimator!$B$4,'Wind Proxy'!$B$8:$B$19,C4392)</f>
        <v>0</v>
      </c>
    </row>
    <row r="4393" spans="1:10" ht="14.4">
      <c r="A4393" s="84">
        <v>50044</v>
      </c>
      <c r="B4393" s="85">
        <v>2037</v>
      </c>
      <c r="C4393" s="85">
        <v>1</v>
      </c>
      <c r="D4393" s="85" t="s">
        <v>55</v>
      </c>
      <c r="E4393" s="85">
        <v>4</v>
      </c>
      <c r="F4393" s="85">
        <v>7</v>
      </c>
      <c r="G4393" s="85">
        <f>--(F4393&lt;=Estimator!$B$7)</f>
        <v>0</v>
      </c>
      <c r="H4393" s="86">
        <f>SUMIFS('Climate Data'!$G$7:$G$366,'Climate Data'!$A$7:$A$366,Estimator!$B$4,'Climate Data'!$B$7:$B$366,C4393)</f>
        <v>0.19462365591397848</v>
      </c>
      <c r="I4393" s="87">
        <f>SUMIFS('Climate Data'!$H$7:$H$366,'Climate Data'!$A$7:$A$366,Estimator!$B$4,'Climate Data'!$B$7:$B$366,C4393)</f>
        <v>7.027624309392265</v>
      </c>
      <c r="J4393" s="86">
        <f>SUMIFS('Wind Proxy'!$H$8:$H$19,'Wind Proxy'!$A$8:$A$19,Estimator!$B$4,'Wind Proxy'!$B$8:$B$19,C4393)</f>
        <v>0</v>
      </c>
    </row>
    <row r="4394" spans="1:10" ht="14.4">
      <c r="A4394" s="84">
        <v>50045</v>
      </c>
      <c r="B4394" s="85">
        <v>2037</v>
      </c>
      <c r="C4394" s="85">
        <v>1</v>
      </c>
      <c r="D4394" s="85" t="s">
        <v>55</v>
      </c>
      <c r="E4394" s="85">
        <v>5</v>
      </c>
      <c r="F4394" s="85">
        <v>1</v>
      </c>
      <c r="G4394" s="85">
        <f>--(F4394&lt;=Estimator!$B$7)</f>
        <v>1</v>
      </c>
      <c r="H4394" s="86">
        <f>SUMIFS('Climate Data'!$G$7:$G$366,'Climate Data'!$A$7:$A$366,Estimator!$B$4,'Climate Data'!$B$7:$B$366,C4394)</f>
        <v>0.19462365591397848</v>
      </c>
      <c r="I4394" s="87">
        <f>SUMIFS('Climate Data'!$H$7:$H$366,'Climate Data'!$A$7:$A$366,Estimator!$B$4,'Climate Data'!$B$7:$B$366,C4394)</f>
        <v>7.027624309392265</v>
      </c>
      <c r="J4394" s="86">
        <f>SUMIFS('Wind Proxy'!$H$8:$H$19,'Wind Proxy'!$A$8:$A$19,Estimator!$B$4,'Wind Proxy'!$B$8:$B$19,C4394)</f>
        <v>0</v>
      </c>
    </row>
    <row r="4395" spans="1:10" ht="14.4">
      <c r="A4395" s="84">
        <v>50046</v>
      </c>
      <c r="B4395" s="85">
        <v>2037</v>
      </c>
      <c r="C4395" s="85">
        <v>1</v>
      </c>
      <c r="D4395" s="85" t="s">
        <v>55</v>
      </c>
      <c r="E4395" s="85">
        <v>6</v>
      </c>
      <c r="F4395" s="85">
        <v>2</v>
      </c>
      <c r="G4395" s="85">
        <f>--(F4395&lt;=Estimator!$B$7)</f>
        <v>1</v>
      </c>
      <c r="H4395" s="86">
        <f>SUMIFS('Climate Data'!$G$7:$G$366,'Climate Data'!$A$7:$A$366,Estimator!$B$4,'Climate Data'!$B$7:$B$366,C4395)</f>
        <v>0.19462365591397848</v>
      </c>
      <c r="I4395" s="87">
        <f>SUMIFS('Climate Data'!$H$7:$H$366,'Climate Data'!$A$7:$A$366,Estimator!$B$4,'Climate Data'!$B$7:$B$366,C4395)</f>
        <v>7.027624309392265</v>
      </c>
      <c r="J4395" s="86">
        <f>SUMIFS('Wind Proxy'!$H$8:$H$19,'Wind Proxy'!$A$8:$A$19,Estimator!$B$4,'Wind Proxy'!$B$8:$B$19,C4395)</f>
        <v>0</v>
      </c>
    </row>
    <row r="4396" spans="1:10" ht="14.4">
      <c r="A4396" s="84">
        <v>50047</v>
      </c>
      <c r="B4396" s="85">
        <v>2037</v>
      </c>
      <c r="C4396" s="85">
        <v>1</v>
      </c>
      <c r="D4396" s="85" t="s">
        <v>55</v>
      </c>
      <c r="E4396" s="85">
        <v>7</v>
      </c>
      <c r="F4396" s="85">
        <v>3</v>
      </c>
      <c r="G4396" s="85">
        <f>--(F4396&lt;=Estimator!$B$7)</f>
        <v>1</v>
      </c>
      <c r="H4396" s="86">
        <f>SUMIFS('Climate Data'!$G$7:$G$366,'Climate Data'!$A$7:$A$366,Estimator!$B$4,'Climate Data'!$B$7:$B$366,C4396)</f>
        <v>0.19462365591397848</v>
      </c>
      <c r="I4396" s="87">
        <f>SUMIFS('Climate Data'!$H$7:$H$366,'Climate Data'!$A$7:$A$366,Estimator!$B$4,'Climate Data'!$B$7:$B$366,C4396)</f>
        <v>7.027624309392265</v>
      </c>
      <c r="J4396" s="86">
        <f>SUMIFS('Wind Proxy'!$H$8:$H$19,'Wind Proxy'!$A$8:$A$19,Estimator!$B$4,'Wind Proxy'!$B$8:$B$19,C4396)</f>
        <v>0</v>
      </c>
    </row>
    <row r="4397" spans="1:10" ht="14.4">
      <c r="A4397" s="84">
        <v>50048</v>
      </c>
      <c r="B4397" s="85">
        <v>2037</v>
      </c>
      <c r="C4397" s="85">
        <v>1</v>
      </c>
      <c r="D4397" s="85" t="s">
        <v>55</v>
      </c>
      <c r="E4397" s="85">
        <v>8</v>
      </c>
      <c r="F4397" s="85">
        <v>4</v>
      </c>
      <c r="G4397" s="85">
        <f>--(F4397&lt;=Estimator!$B$7)</f>
        <v>1</v>
      </c>
      <c r="H4397" s="86">
        <f>SUMIFS('Climate Data'!$G$7:$G$366,'Climate Data'!$A$7:$A$366,Estimator!$B$4,'Climate Data'!$B$7:$B$366,C4397)</f>
        <v>0.19462365591397848</v>
      </c>
      <c r="I4397" s="87">
        <f>SUMIFS('Climate Data'!$H$7:$H$366,'Climate Data'!$A$7:$A$366,Estimator!$B$4,'Climate Data'!$B$7:$B$366,C4397)</f>
        <v>7.027624309392265</v>
      </c>
      <c r="J4397" s="86">
        <f>SUMIFS('Wind Proxy'!$H$8:$H$19,'Wind Proxy'!$A$8:$A$19,Estimator!$B$4,'Wind Proxy'!$B$8:$B$19,C4397)</f>
        <v>0</v>
      </c>
    </row>
    <row r="4398" spans="1:10" ht="14.4">
      <c r="A4398" s="84">
        <v>50049</v>
      </c>
      <c r="B4398" s="85">
        <v>2037</v>
      </c>
      <c r="C4398" s="85">
        <v>1</v>
      </c>
      <c r="D4398" s="85" t="s">
        <v>55</v>
      </c>
      <c r="E4398" s="85">
        <v>9</v>
      </c>
      <c r="F4398" s="85">
        <v>5</v>
      </c>
      <c r="G4398" s="85">
        <f>--(F4398&lt;=Estimator!$B$7)</f>
        <v>1</v>
      </c>
      <c r="H4398" s="86">
        <f>SUMIFS('Climate Data'!$G$7:$G$366,'Climate Data'!$A$7:$A$366,Estimator!$B$4,'Climate Data'!$B$7:$B$366,C4398)</f>
        <v>0.19462365591397848</v>
      </c>
      <c r="I4398" s="87">
        <f>SUMIFS('Climate Data'!$H$7:$H$366,'Climate Data'!$A$7:$A$366,Estimator!$B$4,'Climate Data'!$B$7:$B$366,C4398)</f>
        <v>7.027624309392265</v>
      </c>
      <c r="J4398" s="86">
        <f>SUMIFS('Wind Proxy'!$H$8:$H$19,'Wind Proxy'!$A$8:$A$19,Estimator!$B$4,'Wind Proxy'!$B$8:$B$19,C4398)</f>
        <v>0</v>
      </c>
    </row>
    <row r="4399" spans="1:10" ht="14.4">
      <c r="A4399" s="84">
        <v>50050</v>
      </c>
      <c r="B4399" s="85">
        <v>2037</v>
      </c>
      <c r="C4399" s="85">
        <v>1</v>
      </c>
      <c r="D4399" s="85" t="s">
        <v>55</v>
      </c>
      <c r="E4399" s="85">
        <v>10</v>
      </c>
      <c r="F4399" s="85">
        <v>6</v>
      </c>
      <c r="G4399" s="85">
        <f>--(F4399&lt;=Estimator!$B$7)</f>
        <v>0</v>
      </c>
      <c r="H4399" s="86">
        <f>SUMIFS('Climate Data'!$G$7:$G$366,'Climate Data'!$A$7:$A$366,Estimator!$B$4,'Climate Data'!$B$7:$B$366,C4399)</f>
        <v>0.19462365591397848</v>
      </c>
      <c r="I4399" s="87">
        <f>SUMIFS('Climate Data'!$H$7:$H$366,'Climate Data'!$A$7:$A$366,Estimator!$B$4,'Climate Data'!$B$7:$B$366,C4399)</f>
        <v>7.027624309392265</v>
      </c>
      <c r="J4399" s="86">
        <f>SUMIFS('Wind Proxy'!$H$8:$H$19,'Wind Proxy'!$A$8:$A$19,Estimator!$B$4,'Wind Proxy'!$B$8:$B$19,C4399)</f>
        <v>0</v>
      </c>
    </row>
    <row r="4400" spans="1:10" ht="14.4">
      <c r="A4400" s="84">
        <v>50051</v>
      </c>
      <c r="B4400" s="85">
        <v>2037</v>
      </c>
      <c r="C4400" s="85">
        <v>1</v>
      </c>
      <c r="D4400" s="85" t="s">
        <v>55</v>
      </c>
      <c r="E4400" s="85">
        <v>11</v>
      </c>
      <c r="F4400" s="85">
        <v>7</v>
      </c>
      <c r="G4400" s="85">
        <f>--(F4400&lt;=Estimator!$B$7)</f>
        <v>0</v>
      </c>
      <c r="H4400" s="86">
        <f>SUMIFS('Climate Data'!$G$7:$G$366,'Climate Data'!$A$7:$A$366,Estimator!$B$4,'Climate Data'!$B$7:$B$366,C4400)</f>
        <v>0.19462365591397848</v>
      </c>
      <c r="I4400" s="87">
        <f>SUMIFS('Climate Data'!$H$7:$H$366,'Climate Data'!$A$7:$A$366,Estimator!$B$4,'Climate Data'!$B$7:$B$366,C4400)</f>
        <v>7.027624309392265</v>
      </c>
      <c r="J4400" s="86">
        <f>SUMIFS('Wind Proxy'!$H$8:$H$19,'Wind Proxy'!$A$8:$A$19,Estimator!$B$4,'Wind Proxy'!$B$8:$B$19,C4400)</f>
        <v>0</v>
      </c>
    </row>
    <row r="4401" spans="1:10" ht="14.4">
      <c r="A4401" s="84">
        <v>50052</v>
      </c>
      <c r="B4401" s="85">
        <v>2037</v>
      </c>
      <c r="C4401" s="85">
        <v>1</v>
      </c>
      <c r="D4401" s="85" t="s">
        <v>55</v>
      </c>
      <c r="E4401" s="85">
        <v>12</v>
      </c>
      <c r="F4401" s="85">
        <v>1</v>
      </c>
      <c r="G4401" s="85">
        <f>--(F4401&lt;=Estimator!$B$7)</f>
        <v>1</v>
      </c>
      <c r="H4401" s="86">
        <f>SUMIFS('Climate Data'!$G$7:$G$366,'Climate Data'!$A$7:$A$366,Estimator!$B$4,'Climate Data'!$B$7:$B$366,C4401)</f>
        <v>0.19462365591397848</v>
      </c>
      <c r="I4401" s="87">
        <f>SUMIFS('Climate Data'!$H$7:$H$366,'Climate Data'!$A$7:$A$366,Estimator!$B$4,'Climate Data'!$B$7:$B$366,C4401)</f>
        <v>7.027624309392265</v>
      </c>
      <c r="J4401" s="86">
        <f>SUMIFS('Wind Proxy'!$H$8:$H$19,'Wind Proxy'!$A$8:$A$19,Estimator!$B$4,'Wind Proxy'!$B$8:$B$19,C4401)</f>
        <v>0</v>
      </c>
    </row>
    <row r="4402" spans="1:10" ht="14.4">
      <c r="A4402" s="84">
        <v>50053</v>
      </c>
      <c r="B4402" s="85">
        <v>2037</v>
      </c>
      <c r="C4402" s="85">
        <v>1</v>
      </c>
      <c r="D4402" s="85" t="s">
        <v>55</v>
      </c>
      <c r="E4402" s="85">
        <v>13</v>
      </c>
      <c r="F4402" s="85">
        <v>2</v>
      </c>
      <c r="G4402" s="85">
        <f>--(F4402&lt;=Estimator!$B$7)</f>
        <v>1</v>
      </c>
      <c r="H4402" s="86">
        <f>SUMIFS('Climate Data'!$G$7:$G$366,'Climate Data'!$A$7:$A$366,Estimator!$B$4,'Climate Data'!$B$7:$B$366,C4402)</f>
        <v>0.19462365591397848</v>
      </c>
      <c r="I4402" s="87">
        <f>SUMIFS('Climate Data'!$H$7:$H$366,'Climate Data'!$A$7:$A$366,Estimator!$B$4,'Climate Data'!$B$7:$B$366,C4402)</f>
        <v>7.027624309392265</v>
      </c>
      <c r="J4402" s="86">
        <f>SUMIFS('Wind Proxy'!$H$8:$H$19,'Wind Proxy'!$A$8:$A$19,Estimator!$B$4,'Wind Proxy'!$B$8:$B$19,C4402)</f>
        <v>0</v>
      </c>
    </row>
    <row r="4403" spans="1:10" ht="14.4">
      <c r="A4403" s="84">
        <v>50054</v>
      </c>
      <c r="B4403" s="85">
        <v>2037</v>
      </c>
      <c r="C4403" s="85">
        <v>1</v>
      </c>
      <c r="D4403" s="85" t="s">
        <v>55</v>
      </c>
      <c r="E4403" s="85">
        <v>14</v>
      </c>
      <c r="F4403" s="85">
        <v>3</v>
      </c>
      <c r="G4403" s="85">
        <f>--(F4403&lt;=Estimator!$B$7)</f>
        <v>1</v>
      </c>
      <c r="H4403" s="86">
        <f>SUMIFS('Climate Data'!$G$7:$G$366,'Climate Data'!$A$7:$A$366,Estimator!$B$4,'Climate Data'!$B$7:$B$366,C4403)</f>
        <v>0.19462365591397848</v>
      </c>
      <c r="I4403" s="87">
        <f>SUMIFS('Climate Data'!$H$7:$H$366,'Climate Data'!$A$7:$A$366,Estimator!$B$4,'Climate Data'!$B$7:$B$366,C4403)</f>
        <v>7.027624309392265</v>
      </c>
      <c r="J4403" s="86">
        <f>SUMIFS('Wind Proxy'!$H$8:$H$19,'Wind Proxy'!$A$8:$A$19,Estimator!$B$4,'Wind Proxy'!$B$8:$B$19,C4403)</f>
        <v>0</v>
      </c>
    </row>
    <row r="4404" spans="1:10" ht="14.4">
      <c r="A4404" s="84">
        <v>50055</v>
      </c>
      <c r="B4404" s="85">
        <v>2037</v>
      </c>
      <c r="C4404" s="85">
        <v>1</v>
      </c>
      <c r="D4404" s="85" t="s">
        <v>55</v>
      </c>
      <c r="E4404" s="85">
        <v>15</v>
      </c>
      <c r="F4404" s="85">
        <v>4</v>
      </c>
      <c r="G4404" s="85">
        <f>--(F4404&lt;=Estimator!$B$7)</f>
        <v>1</v>
      </c>
      <c r="H4404" s="86">
        <f>SUMIFS('Climate Data'!$G$7:$G$366,'Climate Data'!$A$7:$A$366,Estimator!$B$4,'Climate Data'!$B$7:$B$366,C4404)</f>
        <v>0.19462365591397848</v>
      </c>
      <c r="I4404" s="87">
        <f>SUMIFS('Climate Data'!$H$7:$H$366,'Climate Data'!$A$7:$A$366,Estimator!$B$4,'Climate Data'!$B$7:$B$366,C4404)</f>
        <v>7.027624309392265</v>
      </c>
      <c r="J4404" s="86">
        <f>SUMIFS('Wind Proxy'!$H$8:$H$19,'Wind Proxy'!$A$8:$A$19,Estimator!$B$4,'Wind Proxy'!$B$8:$B$19,C4404)</f>
        <v>0</v>
      </c>
    </row>
    <row r="4405" spans="1:10" ht="14.4">
      <c r="A4405" s="84">
        <v>50056</v>
      </c>
      <c r="B4405" s="85">
        <v>2037</v>
      </c>
      <c r="C4405" s="85">
        <v>1</v>
      </c>
      <c r="D4405" s="85" t="s">
        <v>55</v>
      </c>
      <c r="E4405" s="85">
        <v>16</v>
      </c>
      <c r="F4405" s="85">
        <v>5</v>
      </c>
      <c r="G4405" s="85">
        <f>--(F4405&lt;=Estimator!$B$7)</f>
        <v>1</v>
      </c>
      <c r="H4405" s="86">
        <f>SUMIFS('Climate Data'!$G$7:$G$366,'Climate Data'!$A$7:$A$366,Estimator!$B$4,'Climate Data'!$B$7:$B$366,C4405)</f>
        <v>0.19462365591397848</v>
      </c>
      <c r="I4405" s="87">
        <f>SUMIFS('Climate Data'!$H$7:$H$366,'Climate Data'!$A$7:$A$366,Estimator!$B$4,'Climate Data'!$B$7:$B$366,C4405)</f>
        <v>7.027624309392265</v>
      </c>
      <c r="J4405" s="86">
        <f>SUMIFS('Wind Proxy'!$H$8:$H$19,'Wind Proxy'!$A$8:$A$19,Estimator!$B$4,'Wind Proxy'!$B$8:$B$19,C4405)</f>
        <v>0</v>
      </c>
    </row>
    <row r="4406" spans="1:10" ht="14.4">
      <c r="A4406" s="84">
        <v>50057</v>
      </c>
      <c r="B4406" s="85">
        <v>2037</v>
      </c>
      <c r="C4406" s="85">
        <v>1</v>
      </c>
      <c r="D4406" s="85" t="s">
        <v>55</v>
      </c>
      <c r="E4406" s="85">
        <v>17</v>
      </c>
      <c r="F4406" s="85">
        <v>6</v>
      </c>
      <c r="G4406" s="85">
        <f>--(F4406&lt;=Estimator!$B$7)</f>
        <v>0</v>
      </c>
      <c r="H4406" s="86">
        <f>SUMIFS('Climate Data'!$G$7:$G$366,'Climate Data'!$A$7:$A$366,Estimator!$B$4,'Climate Data'!$B$7:$B$366,C4406)</f>
        <v>0.19462365591397848</v>
      </c>
      <c r="I4406" s="87">
        <f>SUMIFS('Climate Data'!$H$7:$H$366,'Climate Data'!$A$7:$A$366,Estimator!$B$4,'Climate Data'!$B$7:$B$366,C4406)</f>
        <v>7.027624309392265</v>
      </c>
      <c r="J4406" s="86">
        <f>SUMIFS('Wind Proxy'!$H$8:$H$19,'Wind Proxy'!$A$8:$A$19,Estimator!$B$4,'Wind Proxy'!$B$8:$B$19,C4406)</f>
        <v>0</v>
      </c>
    </row>
    <row r="4407" spans="1:10" ht="14.4">
      <c r="A4407" s="84">
        <v>50058</v>
      </c>
      <c r="B4407" s="85">
        <v>2037</v>
      </c>
      <c r="C4407" s="85">
        <v>1</v>
      </c>
      <c r="D4407" s="85" t="s">
        <v>55</v>
      </c>
      <c r="E4407" s="85">
        <v>18</v>
      </c>
      <c r="F4407" s="85">
        <v>7</v>
      </c>
      <c r="G4407" s="85">
        <f>--(F4407&lt;=Estimator!$B$7)</f>
        <v>0</v>
      </c>
      <c r="H4407" s="86">
        <f>SUMIFS('Climate Data'!$G$7:$G$366,'Climate Data'!$A$7:$A$366,Estimator!$B$4,'Climate Data'!$B$7:$B$366,C4407)</f>
        <v>0.19462365591397848</v>
      </c>
      <c r="I4407" s="87">
        <f>SUMIFS('Climate Data'!$H$7:$H$366,'Climate Data'!$A$7:$A$366,Estimator!$B$4,'Climate Data'!$B$7:$B$366,C4407)</f>
        <v>7.027624309392265</v>
      </c>
      <c r="J4407" s="86">
        <f>SUMIFS('Wind Proxy'!$H$8:$H$19,'Wind Proxy'!$A$8:$A$19,Estimator!$B$4,'Wind Proxy'!$B$8:$B$19,C4407)</f>
        <v>0</v>
      </c>
    </row>
    <row r="4408" spans="1:10" ht="14.4">
      <c r="A4408" s="84">
        <v>50059</v>
      </c>
      <c r="B4408" s="85">
        <v>2037</v>
      </c>
      <c r="C4408" s="85">
        <v>1</v>
      </c>
      <c r="D4408" s="85" t="s">
        <v>55</v>
      </c>
      <c r="E4408" s="85">
        <v>19</v>
      </c>
      <c r="F4408" s="85">
        <v>1</v>
      </c>
      <c r="G4408" s="85">
        <f>--(F4408&lt;=Estimator!$B$7)</f>
        <v>1</v>
      </c>
      <c r="H4408" s="86">
        <f>SUMIFS('Climate Data'!$G$7:$G$366,'Climate Data'!$A$7:$A$366,Estimator!$B$4,'Climate Data'!$B$7:$B$366,C4408)</f>
        <v>0.19462365591397848</v>
      </c>
      <c r="I4408" s="87">
        <f>SUMIFS('Climate Data'!$H$7:$H$366,'Climate Data'!$A$7:$A$366,Estimator!$B$4,'Climate Data'!$B$7:$B$366,C4408)</f>
        <v>7.027624309392265</v>
      </c>
      <c r="J4408" s="86">
        <f>SUMIFS('Wind Proxy'!$H$8:$H$19,'Wind Proxy'!$A$8:$A$19,Estimator!$B$4,'Wind Proxy'!$B$8:$B$19,C4408)</f>
        <v>0</v>
      </c>
    </row>
    <row r="4409" spans="1:10" ht="14.4">
      <c r="A4409" s="84">
        <v>50060</v>
      </c>
      <c r="B4409" s="85">
        <v>2037</v>
      </c>
      <c r="C4409" s="85">
        <v>1</v>
      </c>
      <c r="D4409" s="85" t="s">
        <v>55</v>
      </c>
      <c r="E4409" s="85">
        <v>20</v>
      </c>
      <c r="F4409" s="85">
        <v>2</v>
      </c>
      <c r="G4409" s="85">
        <f>--(F4409&lt;=Estimator!$B$7)</f>
        <v>1</v>
      </c>
      <c r="H4409" s="86">
        <f>SUMIFS('Climate Data'!$G$7:$G$366,'Climate Data'!$A$7:$A$366,Estimator!$B$4,'Climate Data'!$B$7:$B$366,C4409)</f>
        <v>0.19462365591397848</v>
      </c>
      <c r="I4409" s="87">
        <f>SUMIFS('Climate Data'!$H$7:$H$366,'Climate Data'!$A$7:$A$366,Estimator!$B$4,'Climate Data'!$B$7:$B$366,C4409)</f>
        <v>7.027624309392265</v>
      </c>
      <c r="J4409" s="86">
        <f>SUMIFS('Wind Proxy'!$H$8:$H$19,'Wind Proxy'!$A$8:$A$19,Estimator!$B$4,'Wind Proxy'!$B$8:$B$19,C4409)</f>
        <v>0</v>
      </c>
    </row>
    <row r="4410" spans="1:10" ht="14.4">
      <c r="A4410" s="84">
        <v>50061</v>
      </c>
      <c r="B4410" s="85">
        <v>2037</v>
      </c>
      <c r="C4410" s="85">
        <v>1</v>
      </c>
      <c r="D4410" s="85" t="s">
        <v>55</v>
      </c>
      <c r="E4410" s="85">
        <v>21</v>
      </c>
      <c r="F4410" s="85">
        <v>3</v>
      </c>
      <c r="G4410" s="85">
        <f>--(F4410&lt;=Estimator!$B$7)</f>
        <v>1</v>
      </c>
      <c r="H4410" s="86">
        <f>SUMIFS('Climate Data'!$G$7:$G$366,'Climate Data'!$A$7:$A$366,Estimator!$B$4,'Climate Data'!$B$7:$B$366,C4410)</f>
        <v>0.19462365591397848</v>
      </c>
      <c r="I4410" s="87">
        <f>SUMIFS('Climate Data'!$H$7:$H$366,'Climate Data'!$A$7:$A$366,Estimator!$B$4,'Climate Data'!$B$7:$B$366,C4410)</f>
        <v>7.027624309392265</v>
      </c>
      <c r="J4410" s="86">
        <f>SUMIFS('Wind Proxy'!$H$8:$H$19,'Wind Proxy'!$A$8:$A$19,Estimator!$B$4,'Wind Proxy'!$B$8:$B$19,C4410)</f>
        <v>0</v>
      </c>
    </row>
    <row r="4411" spans="1:10" ht="14.4">
      <c r="A4411" s="84">
        <v>50062</v>
      </c>
      <c r="B4411" s="85">
        <v>2037</v>
      </c>
      <c r="C4411" s="85">
        <v>1</v>
      </c>
      <c r="D4411" s="85" t="s">
        <v>55</v>
      </c>
      <c r="E4411" s="85">
        <v>22</v>
      </c>
      <c r="F4411" s="85">
        <v>4</v>
      </c>
      <c r="G4411" s="85">
        <f>--(F4411&lt;=Estimator!$B$7)</f>
        <v>1</v>
      </c>
      <c r="H4411" s="86">
        <f>SUMIFS('Climate Data'!$G$7:$G$366,'Climate Data'!$A$7:$A$366,Estimator!$B$4,'Climate Data'!$B$7:$B$366,C4411)</f>
        <v>0.19462365591397848</v>
      </c>
      <c r="I4411" s="87">
        <f>SUMIFS('Climate Data'!$H$7:$H$366,'Climate Data'!$A$7:$A$366,Estimator!$B$4,'Climate Data'!$B$7:$B$366,C4411)</f>
        <v>7.027624309392265</v>
      </c>
      <c r="J4411" s="86">
        <f>SUMIFS('Wind Proxy'!$H$8:$H$19,'Wind Proxy'!$A$8:$A$19,Estimator!$B$4,'Wind Proxy'!$B$8:$B$19,C4411)</f>
        <v>0</v>
      </c>
    </row>
    <row r="4412" spans="1:10" ht="14.4">
      <c r="A4412" s="84">
        <v>50063</v>
      </c>
      <c r="B4412" s="85">
        <v>2037</v>
      </c>
      <c r="C4412" s="85">
        <v>1</v>
      </c>
      <c r="D4412" s="85" t="s">
        <v>55</v>
      </c>
      <c r="E4412" s="85">
        <v>23</v>
      </c>
      <c r="F4412" s="85">
        <v>5</v>
      </c>
      <c r="G4412" s="85">
        <f>--(F4412&lt;=Estimator!$B$7)</f>
        <v>1</v>
      </c>
      <c r="H4412" s="86">
        <f>SUMIFS('Climate Data'!$G$7:$G$366,'Climate Data'!$A$7:$A$366,Estimator!$B$4,'Climate Data'!$B$7:$B$366,C4412)</f>
        <v>0.19462365591397848</v>
      </c>
      <c r="I4412" s="87">
        <f>SUMIFS('Climate Data'!$H$7:$H$366,'Climate Data'!$A$7:$A$366,Estimator!$B$4,'Climate Data'!$B$7:$B$366,C4412)</f>
        <v>7.027624309392265</v>
      </c>
      <c r="J4412" s="86">
        <f>SUMIFS('Wind Proxy'!$H$8:$H$19,'Wind Proxy'!$A$8:$A$19,Estimator!$B$4,'Wind Proxy'!$B$8:$B$19,C4412)</f>
        <v>0</v>
      </c>
    </row>
    <row r="4413" spans="1:10" ht="14.4">
      <c r="A4413" s="84">
        <v>50064</v>
      </c>
      <c r="B4413" s="85">
        <v>2037</v>
      </c>
      <c r="C4413" s="85">
        <v>1</v>
      </c>
      <c r="D4413" s="85" t="s">
        <v>55</v>
      </c>
      <c r="E4413" s="85">
        <v>24</v>
      </c>
      <c r="F4413" s="85">
        <v>6</v>
      </c>
      <c r="G4413" s="85">
        <f>--(F4413&lt;=Estimator!$B$7)</f>
        <v>0</v>
      </c>
      <c r="H4413" s="86">
        <f>SUMIFS('Climate Data'!$G$7:$G$366,'Climate Data'!$A$7:$A$366,Estimator!$B$4,'Climate Data'!$B$7:$B$366,C4413)</f>
        <v>0.19462365591397848</v>
      </c>
      <c r="I4413" s="87">
        <f>SUMIFS('Climate Data'!$H$7:$H$366,'Climate Data'!$A$7:$A$366,Estimator!$B$4,'Climate Data'!$B$7:$B$366,C4413)</f>
        <v>7.027624309392265</v>
      </c>
      <c r="J4413" s="86">
        <f>SUMIFS('Wind Proxy'!$H$8:$H$19,'Wind Proxy'!$A$8:$A$19,Estimator!$B$4,'Wind Proxy'!$B$8:$B$19,C4413)</f>
        <v>0</v>
      </c>
    </row>
    <row r="4414" spans="1:10" ht="14.4">
      <c r="A4414" s="84">
        <v>50065</v>
      </c>
      <c r="B4414" s="85">
        <v>2037</v>
      </c>
      <c r="C4414" s="85">
        <v>1</v>
      </c>
      <c r="D4414" s="85" t="s">
        <v>55</v>
      </c>
      <c r="E4414" s="85">
        <v>25</v>
      </c>
      <c r="F4414" s="85">
        <v>7</v>
      </c>
      <c r="G4414" s="85">
        <f>--(F4414&lt;=Estimator!$B$7)</f>
        <v>0</v>
      </c>
      <c r="H4414" s="86">
        <f>SUMIFS('Climate Data'!$G$7:$G$366,'Climate Data'!$A$7:$A$366,Estimator!$B$4,'Climate Data'!$B$7:$B$366,C4414)</f>
        <v>0.19462365591397848</v>
      </c>
      <c r="I4414" s="87">
        <f>SUMIFS('Climate Data'!$H$7:$H$366,'Climate Data'!$A$7:$A$366,Estimator!$B$4,'Climate Data'!$B$7:$B$366,C4414)</f>
        <v>7.027624309392265</v>
      </c>
      <c r="J4414" s="86">
        <f>SUMIFS('Wind Proxy'!$H$8:$H$19,'Wind Proxy'!$A$8:$A$19,Estimator!$B$4,'Wind Proxy'!$B$8:$B$19,C4414)</f>
        <v>0</v>
      </c>
    </row>
    <row r="4415" spans="1:10" ht="14.4">
      <c r="A4415" s="84">
        <v>50066</v>
      </c>
      <c r="B4415" s="85">
        <v>2037</v>
      </c>
      <c r="C4415" s="85">
        <v>1</v>
      </c>
      <c r="D4415" s="85" t="s">
        <v>55</v>
      </c>
      <c r="E4415" s="85">
        <v>26</v>
      </c>
      <c r="F4415" s="85">
        <v>1</v>
      </c>
      <c r="G4415" s="85">
        <f>--(F4415&lt;=Estimator!$B$7)</f>
        <v>1</v>
      </c>
      <c r="H4415" s="86">
        <f>SUMIFS('Climate Data'!$G$7:$G$366,'Climate Data'!$A$7:$A$366,Estimator!$B$4,'Climate Data'!$B$7:$B$366,C4415)</f>
        <v>0.19462365591397848</v>
      </c>
      <c r="I4415" s="87">
        <f>SUMIFS('Climate Data'!$H$7:$H$366,'Climate Data'!$A$7:$A$366,Estimator!$B$4,'Climate Data'!$B$7:$B$366,C4415)</f>
        <v>7.027624309392265</v>
      </c>
      <c r="J4415" s="86">
        <f>SUMIFS('Wind Proxy'!$H$8:$H$19,'Wind Proxy'!$A$8:$A$19,Estimator!$B$4,'Wind Proxy'!$B$8:$B$19,C4415)</f>
        <v>0</v>
      </c>
    </row>
    <row r="4416" spans="1:10" ht="14.4">
      <c r="A4416" s="84">
        <v>50067</v>
      </c>
      <c r="B4416" s="85">
        <v>2037</v>
      </c>
      <c r="C4416" s="85">
        <v>1</v>
      </c>
      <c r="D4416" s="85" t="s">
        <v>55</v>
      </c>
      <c r="E4416" s="85">
        <v>27</v>
      </c>
      <c r="F4416" s="85">
        <v>2</v>
      </c>
      <c r="G4416" s="85">
        <f>--(F4416&lt;=Estimator!$B$7)</f>
        <v>1</v>
      </c>
      <c r="H4416" s="86">
        <f>SUMIFS('Climate Data'!$G$7:$G$366,'Climate Data'!$A$7:$A$366,Estimator!$B$4,'Climate Data'!$B$7:$B$366,C4416)</f>
        <v>0.19462365591397848</v>
      </c>
      <c r="I4416" s="87">
        <f>SUMIFS('Climate Data'!$H$7:$H$366,'Climate Data'!$A$7:$A$366,Estimator!$B$4,'Climate Data'!$B$7:$B$366,C4416)</f>
        <v>7.027624309392265</v>
      </c>
      <c r="J4416" s="86">
        <f>SUMIFS('Wind Proxy'!$H$8:$H$19,'Wind Proxy'!$A$8:$A$19,Estimator!$B$4,'Wind Proxy'!$B$8:$B$19,C4416)</f>
        <v>0</v>
      </c>
    </row>
    <row r="4417" spans="1:10" ht="14.4">
      <c r="A4417" s="84">
        <v>50068</v>
      </c>
      <c r="B4417" s="85">
        <v>2037</v>
      </c>
      <c r="C4417" s="85">
        <v>1</v>
      </c>
      <c r="D4417" s="85" t="s">
        <v>55</v>
      </c>
      <c r="E4417" s="85">
        <v>28</v>
      </c>
      <c r="F4417" s="85">
        <v>3</v>
      </c>
      <c r="G4417" s="85">
        <f>--(F4417&lt;=Estimator!$B$7)</f>
        <v>1</v>
      </c>
      <c r="H4417" s="86">
        <f>SUMIFS('Climate Data'!$G$7:$G$366,'Climate Data'!$A$7:$A$366,Estimator!$B$4,'Climate Data'!$B$7:$B$366,C4417)</f>
        <v>0.19462365591397848</v>
      </c>
      <c r="I4417" s="87">
        <f>SUMIFS('Climate Data'!$H$7:$H$366,'Climate Data'!$A$7:$A$366,Estimator!$B$4,'Climate Data'!$B$7:$B$366,C4417)</f>
        <v>7.027624309392265</v>
      </c>
      <c r="J4417" s="86">
        <f>SUMIFS('Wind Proxy'!$H$8:$H$19,'Wind Proxy'!$A$8:$A$19,Estimator!$B$4,'Wind Proxy'!$B$8:$B$19,C4417)</f>
        <v>0</v>
      </c>
    </row>
    <row r="4418" spans="1:10" ht="14.4">
      <c r="A4418" s="84">
        <v>50069</v>
      </c>
      <c r="B4418" s="85">
        <v>2037</v>
      </c>
      <c r="C4418" s="85">
        <v>1</v>
      </c>
      <c r="D4418" s="85" t="s">
        <v>55</v>
      </c>
      <c r="E4418" s="85">
        <v>29</v>
      </c>
      <c r="F4418" s="85">
        <v>4</v>
      </c>
      <c r="G4418" s="85">
        <f>--(F4418&lt;=Estimator!$B$7)</f>
        <v>1</v>
      </c>
      <c r="H4418" s="86">
        <f>SUMIFS('Climate Data'!$G$7:$G$366,'Climate Data'!$A$7:$A$366,Estimator!$B$4,'Climate Data'!$B$7:$B$366,C4418)</f>
        <v>0.19462365591397848</v>
      </c>
      <c r="I4418" s="87">
        <f>SUMIFS('Climate Data'!$H$7:$H$366,'Climate Data'!$A$7:$A$366,Estimator!$B$4,'Climate Data'!$B$7:$B$366,C4418)</f>
        <v>7.027624309392265</v>
      </c>
      <c r="J4418" s="86">
        <f>SUMIFS('Wind Proxy'!$H$8:$H$19,'Wind Proxy'!$A$8:$A$19,Estimator!$B$4,'Wind Proxy'!$B$8:$B$19,C4418)</f>
        <v>0</v>
      </c>
    </row>
    <row r="4419" spans="1:10" ht="14.4">
      <c r="A4419" s="84">
        <v>50070</v>
      </c>
      <c r="B4419" s="85">
        <v>2037</v>
      </c>
      <c r="C4419" s="85">
        <v>1</v>
      </c>
      <c r="D4419" s="85" t="s">
        <v>55</v>
      </c>
      <c r="E4419" s="85">
        <v>30</v>
      </c>
      <c r="F4419" s="85">
        <v>5</v>
      </c>
      <c r="G4419" s="85">
        <f>--(F4419&lt;=Estimator!$B$7)</f>
        <v>1</v>
      </c>
      <c r="H4419" s="86">
        <f>SUMIFS('Climate Data'!$G$7:$G$366,'Climate Data'!$A$7:$A$366,Estimator!$B$4,'Climate Data'!$B$7:$B$366,C4419)</f>
        <v>0.19462365591397848</v>
      </c>
      <c r="I4419" s="87">
        <f>SUMIFS('Climate Data'!$H$7:$H$366,'Climate Data'!$A$7:$A$366,Estimator!$B$4,'Climate Data'!$B$7:$B$366,C4419)</f>
        <v>7.027624309392265</v>
      </c>
      <c r="J4419" s="86">
        <f>SUMIFS('Wind Proxy'!$H$8:$H$19,'Wind Proxy'!$A$8:$A$19,Estimator!$B$4,'Wind Proxy'!$B$8:$B$19,C4419)</f>
        <v>0</v>
      </c>
    </row>
    <row r="4420" spans="1:10" ht="14.4">
      <c r="A4420" s="84">
        <v>50071</v>
      </c>
      <c r="B4420" s="85">
        <v>2037</v>
      </c>
      <c r="C4420" s="85">
        <v>1</v>
      </c>
      <c r="D4420" s="85" t="s">
        <v>55</v>
      </c>
      <c r="E4420" s="85">
        <v>31</v>
      </c>
      <c r="F4420" s="85">
        <v>6</v>
      </c>
      <c r="G4420" s="85">
        <f>--(F4420&lt;=Estimator!$B$7)</f>
        <v>0</v>
      </c>
      <c r="H4420" s="86">
        <f>SUMIFS('Climate Data'!$G$7:$G$366,'Climate Data'!$A$7:$A$366,Estimator!$B$4,'Climate Data'!$B$7:$B$366,C4420)</f>
        <v>0.19462365591397848</v>
      </c>
      <c r="I4420" s="87">
        <f>SUMIFS('Climate Data'!$H$7:$H$366,'Climate Data'!$A$7:$A$366,Estimator!$B$4,'Climate Data'!$B$7:$B$366,C4420)</f>
        <v>7.027624309392265</v>
      </c>
      <c r="J4420" s="86">
        <f>SUMIFS('Wind Proxy'!$H$8:$H$19,'Wind Proxy'!$A$8:$A$19,Estimator!$B$4,'Wind Proxy'!$B$8:$B$19,C4420)</f>
        <v>0</v>
      </c>
    </row>
    <row r="4421" spans="1:10" ht="14.4">
      <c r="A4421" s="84">
        <v>50072</v>
      </c>
      <c r="B4421" s="85">
        <v>2037</v>
      </c>
      <c r="C4421" s="85">
        <v>2</v>
      </c>
      <c r="D4421" s="85" t="s">
        <v>58</v>
      </c>
      <c r="E4421" s="85">
        <v>1</v>
      </c>
      <c r="F4421" s="85">
        <v>7</v>
      </c>
      <c r="G4421" s="85">
        <f>--(F4421&lt;=Estimator!$B$7)</f>
        <v>0</v>
      </c>
      <c r="H4421" s="86">
        <f>SUMIFS('Climate Data'!$G$7:$G$366,'Climate Data'!$A$7:$A$366,Estimator!$B$4,'Climate Data'!$B$7:$B$366,C4421)</f>
        <v>0.18867924528301885</v>
      </c>
      <c r="I4421" s="87">
        <f>SUMIFS('Climate Data'!$H$7:$H$366,'Climate Data'!$A$7:$A$366,Estimator!$B$4,'Climate Data'!$B$7:$B$366,C4421)</f>
        <v>7.4624999999999995</v>
      </c>
      <c r="J4421" s="86">
        <f>SUMIFS('Wind Proxy'!$H$8:$H$19,'Wind Proxy'!$A$8:$A$19,Estimator!$B$4,'Wind Proxy'!$B$8:$B$19,C4421)</f>
        <v>0</v>
      </c>
    </row>
    <row r="4422" spans="1:10" ht="14.4">
      <c r="A4422" s="84">
        <v>50073</v>
      </c>
      <c r="B4422" s="85">
        <v>2037</v>
      </c>
      <c r="C4422" s="85">
        <v>2</v>
      </c>
      <c r="D4422" s="85" t="s">
        <v>58</v>
      </c>
      <c r="E4422" s="85">
        <v>2</v>
      </c>
      <c r="F4422" s="85">
        <v>1</v>
      </c>
      <c r="G4422" s="85">
        <f>--(F4422&lt;=Estimator!$B$7)</f>
        <v>1</v>
      </c>
      <c r="H4422" s="86">
        <f>SUMIFS('Climate Data'!$G$7:$G$366,'Climate Data'!$A$7:$A$366,Estimator!$B$4,'Climate Data'!$B$7:$B$366,C4422)</f>
        <v>0.18867924528301885</v>
      </c>
      <c r="I4422" s="87">
        <f>SUMIFS('Climate Data'!$H$7:$H$366,'Climate Data'!$A$7:$A$366,Estimator!$B$4,'Climate Data'!$B$7:$B$366,C4422)</f>
        <v>7.4624999999999995</v>
      </c>
      <c r="J4422" s="86">
        <f>SUMIFS('Wind Proxy'!$H$8:$H$19,'Wind Proxy'!$A$8:$A$19,Estimator!$B$4,'Wind Proxy'!$B$8:$B$19,C4422)</f>
        <v>0</v>
      </c>
    </row>
    <row r="4423" spans="1:10" ht="14.4">
      <c r="A4423" s="84">
        <v>50074</v>
      </c>
      <c r="B4423" s="85">
        <v>2037</v>
      </c>
      <c r="C4423" s="85">
        <v>2</v>
      </c>
      <c r="D4423" s="85" t="s">
        <v>58</v>
      </c>
      <c r="E4423" s="85">
        <v>3</v>
      </c>
      <c r="F4423" s="85">
        <v>2</v>
      </c>
      <c r="G4423" s="85">
        <f>--(F4423&lt;=Estimator!$B$7)</f>
        <v>1</v>
      </c>
      <c r="H4423" s="86">
        <f>SUMIFS('Climate Data'!$G$7:$G$366,'Climate Data'!$A$7:$A$366,Estimator!$B$4,'Climate Data'!$B$7:$B$366,C4423)</f>
        <v>0.18867924528301885</v>
      </c>
      <c r="I4423" s="87">
        <f>SUMIFS('Climate Data'!$H$7:$H$366,'Climate Data'!$A$7:$A$366,Estimator!$B$4,'Climate Data'!$B$7:$B$366,C4423)</f>
        <v>7.4624999999999995</v>
      </c>
      <c r="J4423" s="86">
        <f>SUMIFS('Wind Proxy'!$H$8:$H$19,'Wind Proxy'!$A$8:$A$19,Estimator!$B$4,'Wind Proxy'!$B$8:$B$19,C4423)</f>
        <v>0</v>
      </c>
    </row>
    <row r="4424" spans="1:10" ht="14.4">
      <c r="A4424" s="84">
        <v>50075</v>
      </c>
      <c r="B4424" s="85">
        <v>2037</v>
      </c>
      <c r="C4424" s="85">
        <v>2</v>
      </c>
      <c r="D4424" s="85" t="s">
        <v>58</v>
      </c>
      <c r="E4424" s="85">
        <v>4</v>
      </c>
      <c r="F4424" s="85">
        <v>3</v>
      </c>
      <c r="G4424" s="85">
        <f>--(F4424&lt;=Estimator!$B$7)</f>
        <v>1</v>
      </c>
      <c r="H4424" s="86">
        <f>SUMIFS('Climate Data'!$G$7:$G$366,'Climate Data'!$A$7:$A$366,Estimator!$B$4,'Climate Data'!$B$7:$B$366,C4424)</f>
        <v>0.18867924528301885</v>
      </c>
      <c r="I4424" s="87">
        <f>SUMIFS('Climate Data'!$H$7:$H$366,'Climate Data'!$A$7:$A$366,Estimator!$B$4,'Climate Data'!$B$7:$B$366,C4424)</f>
        <v>7.4624999999999995</v>
      </c>
      <c r="J4424" s="86">
        <f>SUMIFS('Wind Proxy'!$H$8:$H$19,'Wind Proxy'!$A$8:$A$19,Estimator!$B$4,'Wind Proxy'!$B$8:$B$19,C4424)</f>
        <v>0</v>
      </c>
    </row>
    <row r="4425" spans="1:10" ht="14.4">
      <c r="A4425" s="84">
        <v>50076</v>
      </c>
      <c r="B4425" s="85">
        <v>2037</v>
      </c>
      <c r="C4425" s="85">
        <v>2</v>
      </c>
      <c r="D4425" s="85" t="s">
        <v>58</v>
      </c>
      <c r="E4425" s="85">
        <v>5</v>
      </c>
      <c r="F4425" s="85">
        <v>4</v>
      </c>
      <c r="G4425" s="85">
        <f>--(F4425&lt;=Estimator!$B$7)</f>
        <v>1</v>
      </c>
      <c r="H4425" s="86">
        <f>SUMIFS('Climate Data'!$G$7:$G$366,'Climate Data'!$A$7:$A$366,Estimator!$B$4,'Climate Data'!$B$7:$B$366,C4425)</f>
        <v>0.18867924528301885</v>
      </c>
      <c r="I4425" s="87">
        <f>SUMIFS('Climate Data'!$H$7:$H$366,'Climate Data'!$A$7:$A$366,Estimator!$B$4,'Climate Data'!$B$7:$B$366,C4425)</f>
        <v>7.4624999999999995</v>
      </c>
      <c r="J4425" s="86">
        <f>SUMIFS('Wind Proxy'!$H$8:$H$19,'Wind Proxy'!$A$8:$A$19,Estimator!$B$4,'Wind Proxy'!$B$8:$B$19,C4425)</f>
        <v>0</v>
      </c>
    </row>
    <row r="4426" spans="1:10" ht="14.4">
      <c r="A4426" s="84">
        <v>50077</v>
      </c>
      <c r="B4426" s="85">
        <v>2037</v>
      </c>
      <c r="C4426" s="85">
        <v>2</v>
      </c>
      <c r="D4426" s="85" t="s">
        <v>58</v>
      </c>
      <c r="E4426" s="85">
        <v>6</v>
      </c>
      <c r="F4426" s="85">
        <v>5</v>
      </c>
      <c r="G4426" s="85">
        <f>--(F4426&lt;=Estimator!$B$7)</f>
        <v>1</v>
      </c>
      <c r="H4426" s="86">
        <f>SUMIFS('Climate Data'!$G$7:$G$366,'Climate Data'!$A$7:$A$366,Estimator!$B$4,'Climate Data'!$B$7:$B$366,C4426)</f>
        <v>0.18867924528301885</v>
      </c>
      <c r="I4426" s="87">
        <f>SUMIFS('Climate Data'!$H$7:$H$366,'Climate Data'!$A$7:$A$366,Estimator!$B$4,'Climate Data'!$B$7:$B$366,C4426)</f>
        <v>7.4624999999999995</v>
      </c>
      <c r="J4426" s="86">
        <f>SUMIFS('Wind Proxy'!$H$8:$H$19,'Wind Proxy'!$A$8:$A$19,Estimator!$B$4,'Wind Proxy'!$B$8:$B$19,C4426)</f>
        <v>0</v>
      </c>
    </row>
    <row r="4427" spans="1:10" ht="14.4">
      <c r="A4427" s="84">
        <v>50078</v>
      </c>
      <c r="B4427" s="85">
        <v>2037</v>
      </c>
      <c r="C4427" s="85">
        <v>2</v>
      </c>
      <c r="D4427" s="85" t="s">
        <v>58</v>
      </c>
      <c r="E4427" s="85">
        <v>7</v>
      </c>
      <c r="F4427" s="85">
        <v>6</v>
      </c>
      <c r="G4427" s="85">
        <f>--(F4427&lt;=Estimator!$B$7)</f>
        <v>0</v>
      </c>
      <c r="H4427" s="86">
        <f>SUMIFS('Climate Data'!$G$7:$G$366,'Climate Data'!$A$7:$A$366,Estimator!$B$4,'Climate Data'!$B$7:$B$366,C4427)</f>
        <v>0.18867924528301885</v>
      </c>
      <c r="I4427" s="87">
        <f>SUMIFS('Climate Data'!$H$7:$H$366,'Climate Data'!$A$7:$A$366,Estimator!$B$4,'Climate Data'!$B$7:$B$366,C4427)</f>
        <v>7.4624999999999995</v>
      </c>
      <c r="J4427" s="86">
        <f>SUMIFS('Wind Proxy'!$H$8:$H$19,'Wind Proxy'!$A$8:$A$19,Estimator!$B$4,'Wind Proxy'!$B$8:$B$19,C4427)</f>
        <v>0</v>
      </c>
    </row>
    <row r="4428" spans="1:10" ht="14.4">
      <c r="A4428" s="84">
        <v>50079</v>
      </c>
      <c r="B4428" s="85">
        <v>2037</v>
      </c>
      <c r="C4428" s="85">
        <v>2</v>
      </c>
      <c r="D4428" s="85" t="s">
        <v>58</v>
      </c>
      <c r="E4428" s="85">
        <v>8</v>
      </c>
      <c r="F4428" s="85">
        <v>7</v>
      </c>
      <c r="G4428" s="85">
        <f>--(F4428&lt;=Estimator!$B$7)</f>
        <v>0</v>
      </c>
      <c r="H4428" s="86">
        <f>SUMIFS('Climate Data'!$G$7:$G$366,'Climate Data'!$A$7:$A$366,Estimator!$B$4,'Climate Data'!$B$7:$B$366,C4428)</f>
        <v>0.18867924528301885</v>
      </c>
      <c r="I4428" s="87">
        <f>SUMIFS('Climate Data'!$H$7:$H$366,'Climate Data'!$A$7:$A$366,Estimator!$B$4,'Climate Data'!$B$7:$B$366,C4428)</f>
        <v>7.4624999999999995</v>
      </c>
      <c r="J4428" s="86">
        <f>SUMIFS('Wind Proxy'!$H$8:$H$19,'Wind Proxy'!$A$8:$A$19,Estimator!$B$4,'Wind Proxy'!$B$8:$B$19,C4428)</f>
        <v>0</v>
      </c>
    </row>
    <row r="4429" spans="1:10" ht="14.4">
      <c r="A4429" s="84">
        <v>50080</v>
      </c>
      <c r="B4429" s="85">
        <v>2037</v>
      </c>
      <c r="C4429" s="85">
        <v>2</v>
      </c>
      <c r="D4429" s="85" t="s">
        <v>58</v>
      </c>
      <c r="E4429" s="85">
        <v>9</v>
      </c>
      <c r="F4429" s="85">
        <v>1</v>
      </c>
      <c r="G4429" s="85">
        <f>--(F4429&lt;=Estimator!$B$7)</f>
        <v>1</v>
      </c>
      <c r="H4429" s="86">
        <f>SUMIFS('Climate Data'!$G$7:$G$366,'Climate Data'!$A$7:$A$366,Estimator!$B$4,'Climate Data'!$B$7:$B$366,C4429)</f>
        <v>0.18867924528301885</v>
      </c>
      <c r="I4429" s="87">
        <f>SUMIFS('Climate Data'!$H$7:$H$366,'Climate Data'!$A$7:$A$366,Estimator!$B$4,'Climate Data'!$B$7:$B$366,C4429)</f>
        <v>7.4624999999999995</v>
      </c>
      <c r="J4429" s="86">
        <f>SUMIFS('Wind Proxy'!$H$8:$H$19,'Wind Proxy'!$A$8:$A$19,Estimator!$B$4,'Wind Proxy'!$B$8:$B$19,C4429)</f>
        <v>0</v>
      </c>
    </row>
    <row r="4430" spans="1:10" ht="14.4">
      <c r="A4430" s="84">
        <v>50081</v>
      </c>
      <c r="B4430" s="85">
        <v>2037</v>
      </c>
      <c r="C4430" s="85">
        <v>2</v>
      </c>
      <c r="D4430" s="85" t="s">
        <v>58</v>
      </c>
      <c r="E4430" s="85">
        <v>10</v>
      </c>
      <c r="F4430" s="85">
        <v>2</v>
      </c>
      <c r="G4430" s="85">
        <f>--(F4430&lt;=Estimator!$B$7)</f>
        <v>1</v>
      </c>
      <c r="H4430" s="86">
        <f>SUMIFS('Climate Data'!$G$7:$G$366,'Climate Data'!$A$7:$A$366,Estimator!$B$4,'Climate Data'!$B$7:$B$366,C4430)</f>
        <v>0.18867924528301885</v>
      </c>
      <c r="I4430" s="87">
        <f>SUMIFS('Climate Data'!$H$7:$H$366,'Climate Data'!$A$7:$A$366,Estimator!$B$4,'Climate Data'!$B$7:$B$366,C4430)</f>
        <v>7.4624999999999995</v>
      </c>
      <c r="J4430" s="86">
        <f>SUMIFS('Wind Proxy'!$H$8:$H$19,'Wind Proxy'!$A$8:$A$19,Estimator!$B$4,'Wind Proxy'!$B$8:$B$19,C4430)</f>
        <v>0</v>
      </c>
    </row>
    <row r="4431" spans="1:10" ht="14.4">
      <c r="A4431" s="84">
        <v>50082</v>
      </c>
      <c r="B4431" s="85">
        <v>2037</v>
      </c>
      <c r="C4431" s="85">
        <v>2</v>
      </c>
      <c r="D4431" s="85" t="s">
        <v>58</v>
      </c>
      <c r="E4431" s="85">
        <v>11</v>
      </c>
      <c r="F4431" s="85">
        <v>3</v>
      </c>
      <c r="G4431" s="85">
        <f>--(F4431&lt;=Estimator!$B$7)</f>
        <v>1</v>
      </c>
      <c r="H4431" s="86">
        <f>SUMIFS('Climate Data'!$G$7:$G$366,'Climate Data'!$A$7:$A$366,Estimator!$B$4,'Climate Data'!$B$7:$B$366,C4431)</f>
        <v>0.18867924528301885</v>
      </c>
      <c r="I4431" s="87">
        <f>SUMIFS('Climate Data'!$H$7:$H$366,'Climate Data'!$A$7:$A$366,Estimator!$B$4,'Climate Data'!$B$7:$B$366,C4431)</f>
        <v>7.4624999999999995</v>
      </c>
      <c r="J4431" s="86">
        <f>SUMIFS('Wind Proxy'!$H$8:$H$19,'Wind Proxy'!$A$8:$A$19,Estimator!$B$4,'Wind Proxy'!$B$8:$B$19,C4431)</f>
        <v>0</v>
      </c>
    </row>
    <row r="4432" spans="1:10" ht="14.4">
      <c r="A4432" s="84">
        <v>50083</v>
      </c>
      <c r="B4432" s="85">
        <v>2037</v>
      </c>
      <c r="C4432" s="85">
        <v>2</v>
      </c>
      <c r="D4432" s="85" t="s">
        <v>58</v>
      </c>
      <c r="E4432" s="85">
        <v>12</v>
      </c>
      <c r="F4432" s="85">
        <v>4</v>
      </c>
      <c r="G4432" s="85">
        <f>--(F4432&lt;=Estimator!$B$7)</f>
        <v>1</v>
      </c>
      <c r="H4432" s="86">
        <f>SUMIFS('Climate Data'!$G$7:$G$366,'Climate Data'!$A$7:$A$366,Estimator!$B$4,'Climate Data'!$B$7:$B$366,C4432)</f>
        <v>0.18867924528301885</v>
      </c>
      <c r="I4432" s="87">
        <f>SUMIFS('Climate Data'!$H$7:$H$366,'Climate Data'!$A$7:$A$366,Estimator!$B$4,'Climate Data'!$B$7:$B$366,C4432)</f>
        <v>7.4624999999999995</v>
      </c>
      <c r="J4432" s="86">
        <f>SUMIFS('Wind Proxy'!$H$8:$H$19,'Wind Proxy'!$A$8:$A$19,Estimator!$B$4,'Wind Proxy'!$B$8:$B$19,C4432)</f>
        <v>0</v>
      </c>
    </row>
    <row r="4433" spans="1:10" ht="14.4">
      <c r="A4433" s="84">
        <v>50084</v>
      </c>
      <c r="B4433" s="85">
        <v>2037</v>
      </c>
      <c r="C4433" s="85">
        <v>2</v>
      </c>
      <c r="D4433" s="85" t="s">
        <v>58</v>
      </c>
      <c r="E4433" s="85">
        <v>13</v>
      </c>
      <c r="F4433" s="85">
        <v>5</v>
      </c>
      <c r="G4433" s="85">
        <f>--(F4433&lt;=Estimator!$B$7)</f>
        <v>1</v>
      </c>
      <c r="H4433" s="86">
        <f>SUMIFS('Climate Data'!$G$7:$G$366,'Climate Data'!$A$7:$A$366,Estimator!$B$4,'Climate Data'!$B$7:$B$366,C4433)</f>
        <v>0.18867924528301885</v>
      </c>
      <c r="I4433" s="87">
        <f>SUMIFS('Climate Data'!$H$7:$H$366,'Climate Data'!$A$7:$A$366,Estimator!$B$4,'Climate Data'!$B$7:$B$366,C4433)</f>
        <v>7.4624999999999995</v>
      </c>
      <c r="J4433" s="86">
        <f>SUMIFS('Wind Proxy'!$H$8:$H$19,'Wind Proxy'!$A$8:$A$19,Estimator!$B$4,'Wind Proxy'!$B$8:$B$19,C4433)</f>
        <v>0</v>
      </c>
    </row>
    <row r="4434" spans="1:10" ht="14.4">
      <c r="A4434" s="84">
        <v>50085</v>
      </c>
      <c r="B4434" s="85">
        <v>2037</v>
      </c>
      <c r="C4434" s="85">
        <v>2</v>
      </c>
      <c r="D4434" s="85" t="s">
        <v>58</v>
      </c>
      <c r="E4434" s="85">
        <v>14</v>
      </c>
      <c r="F4434" s="85">
        <v>6</v>
      </c>
      <c r="G4434" s="85">
        <f>--(F4434&lt;=Estimator!$B$7)</f>
        <v>0</v>
      </c>
      <c r="H4434" s="86">
        <f>SUMIFS('Climate Data'!$G$7:$G$366,'Climate Data'!$A$7:$A$366,Estimator!$B$4,'Climate Data'!$B$7:$B$366,C4434)</f>
        <v>0.18867924528301885</v>
      </c>
      <c r="I4434" s="87">
        <f>SUMIFS('Climate Data'!$H$7:$H$366,'Climate Data'!$A$7:$A$366,Estimator!$B$4,'Climate Data'!$B$7:$B$366,C4434)</f>
        <v>7.4624999999999995</v>
      </c>
      <c r="J4434" s="86">
        <f>SUMIFS('Wind Proxy'!$H$8:$H$19,'Wind Proxy'!$A$8:$A$19,Estimator!$B$4,'Wind Proxy'!$B$8:$B$19,C4434)</f>
        <v>0</v>
      </c>
    </row>
    <row r="4435" spans="1:10" ht="14.4">
      <c r="A4435" s="84">
        <v>50086</v>
      </c>
      <c r="B4435" s="85">
        <v>2037</v>
      </c>
      <c r="C4435" s="85">
        <v>2</v>
      </c>
      <c r="D4435" s="85" t="s">
        <v>58</v>
      </c>
      <c r="E4435" s="85">
        <v>15</v>
      </c>
      <c r="F4435" s="85">
        <v>7</v>
      </c>
      <c r="G4435" s="85">
        <f>--(F4435&lt;=Estimator!$B$7)</f>
        <v>0</v>
      </c>
      <c r="H4435" s="86">
        <f>SUMIFS('Climate Data'!$G$7:$G$366,'Climate Data'!$A$7:$A$366,Estimator!$B$4,'Climate Data'!$B$7:$B$366,C4435)</f>
        <v>0.18867924528301885</v>
      </c>
      <c r="I4435" s="87">
        <f>SUMIFS('Climate Data'!$H$7:$H$366,'Climate Data'!$A$7:$A$366,Estimator!$B$4,'Climate Data'!$B$7:$B$366,C4435)</f>
        <v>7.4624999999999995</v>
      </c>
      <c r="J4435" s="86">
        <f>SUMIFS('Wind Proxy'!$H$8:$H$19,'Wind Proxy'!$A$8:$A$19,Estimator!$B$4,'Wind Proxy'!$B$8:$B$19,C4435)</f>
        <v>0</v>
      </c>
    </row>
    <row r="4436" spans="1:10" ht="14.4">
      <c r="A4436" s="84">
        <v>50087</v>
      </c>
      <c r="B4436" s="85">
        <v>2037</v>
      </c>
      <c r="C4436" s="85">
        <v>2</v>
      </c>
      <c r="D4436" s="85" t="s">
        <v>58</v>
      </c>
      <c r="E4436" s="85">
        <v>16</v>
      </c>
      <c r="F4436" s="85">
        <v>1</v>
      </c>
      <c r="G4436" s="85">
        <f>--(F4436&lt;=Estimator!$B$7)</f>
        <v>1</v>
      </c>
      <c r="H4436" s="86">
        <f>SUMIFS('Climate Data'!$G$7:$G$366,'Climate Data'!$A$7:$A$366,Estimator!$B$4,'Climate Data'!$B$7:$B$366,C4436)</f>
        <v>0.18867924528301885</v>
      </c>
      <c r="I4436" s="87">
        <f>SUMIFS('Climate Data'!$H$7:$H$366,'Climate Data'!$A$7:$A$366,Estimator!$B$4,'Climate Data'!$B$7:$B$366,C4436)</f>
        <v>7.4624999999999995</v>
      </c>
      <c r="J4436" s="86">
        <f>SUMIFS('Wind Proxy'!$H$8:$H$19,'Wind Proxy'!$A$8:$A$19,Estimator!$B$4,'Wind Proxy'!$B$8:$B$19,C4436)</f>
        <v>0</v>
      </c>
    </row>
    <row r="4437" spans="1:10" ht="14.4">
      <c r="A4437" s="84">
        <v>50088</v>
      </c>
      <c r="B4437" s="85">
        <v>2037</v>
      </c>
      <c r="C4437" s="85">
        <v>2</v>
      </c>
      <c r="D4437" s="85" t="s">
        <v>58</v>
      </c>
      <c r="E4437" s="85">
        <v>17</v>
      </c>
      <c r="F4437" s="85">
        <v>2</v>
      </c>
      <c r="G4437" s="85">
        <f>--(F4437&lt;=Estimator!$B$7)</f>
        <v>1</v>
      </c>
      <c r="H4437" s="86">
        <f>SUMIFS('Climate Data'!$G$7:$G$366,'Climate Data'!$A$7:$A$366,Estimator!$B$4,'Climate Data'!$B$7:$B$366,C4437)</f>
        <v>0.18867924528301885</v>
      </c>
      <c r="I4437" s="87">
        <f>SUMIFS('Climate Data'!$H$7:$H$366,'Climate Data'!$A$7:$A$366,Estimator!$B$4,'Climate Data'!$B$7:$B$366,C4437)</f>
        <v>7.4624999999999995</v>
      </c>
      <c r="J4437" s="86">
        <f>SUMIFS('Wind Proxy'!$H$8:$H$19,'Wind Proxy'!$A$8:$A$19,Estimator!$B$4,'Wind Proxy'!$B$8:$B$19,C4437)</f>
        <v>0</v>
      </c>
    </row>
    <row r="4438" spans="1:10" ht="14.4">
      <c r="A4438" s="84">
        <v>50089</v>
      </c>
      <c r="B4438" s="85">
        <v>2037</v>
      </c>
      <c r="C4438" s="85">
        <v>2</v>
      </c>
      <c r="D4438" s="85" t="s">
        <v>58</v>
      </c>
      <c r="E4438" s="85">
        <v>18</v>
      </c>
      <c r="F4438" s="85">
        <v>3</v>
      </c>
      <c r="G4438" s="85">
        <f>--(F4438&lt;=Estimator!$B$7)</f>
        <v>1</v>
      </c>
      <c r="H4438" s="86">
        <f>SUMIFS('Climate Data'!$G$7:$G$366,'Climate Data'!$A$7:$A$366,Estimator!$B$4,'Climate Data'!$B$7:$B$366,C4438)</f>
        <v>0.18867924528301885</v>
      </c>
      <c r="I4438" s="87">
        <f>SUMIFS('Climate Data'!$H$7:$H$366,'Climate Data'!$A$7:$A$366,Estimator!$B$4,'Climate Data'!$B$7:$B$366,C4438)</f>
        <v>7.4624999999999995</v>
      </c>
      <c r="J4438" s="86">
        <f>SUMIFS('Wind Proxy'!$H$8:$H$19,'Wind Proxy'!$A$8:$A$19,Estimator!$B$4,'Wind Proxy'!$B$8:$B$19,C4438)</f>
        <v>0</v>
      </c>
    </row>
    <row r="4439" spans="1:10" ht="14.4">
      <c r="A4439" s="84">
        <v>50090</v>
      </c>
      <c r="B4439" s="85">
        <v>2037</v>
      </c>
      <c r="C4439" s="85">
        <v>2</v>
      </c>
      <c r="D4439" s="85" t="s">
        <v>58</v>
      </c>
      <c r="E4439" s="85">
        <v>19</v>
      </c>
      <c r="F4439" s="85">
        <v>4</v>
      </c>
      <c r="G4439" s="85">
        <f>--(F4439&lt;=Estimator!$B$7)</f>
        <v>1</v>
      </c>
      <c r="H4439" s="86">
        <f>SUMIFS('Climate Data'!$G$7:$G$366,'Climate Data'!$A$7:$A$366,Estimator!$B$4,'Climate Data'!$B$7:$B$366,C4439)</f>
        <v>0.18867924528301885</v>
      </c>
      <c r="I4439" s="87">
        <f>SUMIFS('Climate Data'!$H$7:$H$366,'Climate Data'!$A$7:$A$366,Estimator!$B$4,'Climate Data'!$B$7:$B$366,C4439)</f>
        <v>7.4624999999999995</v>
      </c>
      <c r="J4439" s="86">
        <f>SUMIFS('Wind Proxy'!$H$8:$H$19,'Wind Proxy'!$A$8:$A$19,Estimator!$B$4,'Wind Proxy'!$B$8:$B$19,C4439)</f>
        <v>0</v>
      </c>
    </row>
    <row r="4440" spans="1:10" ht="14.4">
      <c r="A4440" s="84">
        <v>50091</v>
      </c>
      <c r="B4440" s="85">
        <v>2037</v>
      </c>
      <c r="C4440" s="85">
        <v>2</v>
      </c>
      <c r="D4440" s="85" t="s">
        <v>58</v>
      </c>
      <c r="E4440" s="85">
        <v>20</v>
      </c>
      <c r="F4440" s="85">
        <v>5</v>
      </c>
      <c r="G4440" s="85">
        <f>--(F4440&lt;=Estimator!$B$7)</f>
        <v>1</v>
      </c>
      <c r="H4440" s="86">
        <f>SUMIFS('Climate Data'!$G$7:$G$366,'Climate Data'!$A$7:$A$366,Estimator!$B$4,'Climate Data'!$B$7:$B$366,C4440)</f>
        <v>0.18867924528301885</v>
      </c>
      <c r="I4440" s="87">
        <f>SUMIFS('Climate Data'!$H$7:$H$366,'Climate Data'!$A$7:$A$366,Estimator!$B$4,'Climate Data'!$B$7:$B$366,C4440)</f>
        <v>7.4624999999999995</v>
      </c>
      <c r="J4440" s="86">
        <f>SUMIFS('Wind Proxy'!$H$8:$H$19,'Wind Proxy'!$A$8:$A$19,Estimator!$B$4,'Wind Proxy'!$B$8:$B$19,C4440)</f>
        <v>0</v>
      </c>
    </row>
    <row r="4441" spans="1:10" ht="14.4">
      <c r="A4441" s="84">
        <v>50092</v>
      </c>
      <c r="B4441" s="85">
        <v>2037</v>
      </c>
      <c r="C4441" s="85">
        <v>2</v>
      </c>
      <c r="D4441" s="85" t="s">
        <v>58</v>
      </c>
      <c r="E4441" s="85">
        <v>21</v>
      </c>
      <c r="F4441" s="85">
        <v>6</v>
      </c>
      <c r="G4441" s="85">
        <f>--(F4441&lt;=Estimator!$B$7)</f>
        <v>0</v>
      </c>
      <c r="H4441" s="86">
        <f>SUMIFS('Climate Data'!$G$7:$G$366,'Climate Data'!$A$7:$A$366,Estimator!$B$4,'Climate Data'!$B$7:$B$366,C4441)</f>
        <v>0.18867924528301885</v>
      </c>
      <c r="I4441" s="87">
        <f>SUMIFS('Climate Data'!$H$7:$H$366,'Climate Data'!$A$7:$A$366,Estimator!$B$4,'Climate Data'!$B$7:$B$366,C4441)</f>
        <v>7.4624999999999995</v>
      </c>
      <c r="J4441" s="86">
        <f>SUMIFS('Wind Proxy'!$H$8:$H$19,'Wind Proxy'!$A$8:$A$19,Estimator!$B$4,'Wind Proxy'!$B$8:$B$19,C4441)</f>
        <v>0</v>
      </c>
    </row>
    <row r="4442" spans="1:10" ht="14.4">
      <c r="A4442" s="84">
        <v>50093</v>
      </c>
      <c r="B4442" s="85">
        <v>2037</v>
      </c>
      <c r="C4442" s="85">
        <v>2</v>
      </c>
      <c r="D4442" s="85" t="s">
        <v>58</v>
      </c>
      <c r="E4442" s="85">
        <v>22</v>
      </c>
      <c r="F4442" s="85">
        <v>7</v>
      </c>
      <c r="G4442" s="85">
        <f>--(F4442&lt;=Estimator!$B$7)</f>
        <v>0</v>
      </c>
      <c r="H4442" s="86">
        <f>SUMIFS('Climate Data'!$G$7:$G$366,'Climate Data'!$A$7:$A$366,Estimator!$B$4,'Climate Data'!$B$7:$B$366,C4442)</f>
        <v>0.18867924528301885</v>
      </c>
      <c r="I4442" s="87">
        <f>SUMIFS('Climate Data'!$H$7:$H$366,'Climate Data'!$A$7:$A$366,Estimator!$B$4,'Climate Data'!$B$7:$B$366,C4442)</f>
        <v>7.4624999999999995</v>
      </c>
      <c r="J4442" s="86">
        <f>SUMIFS('Wind Proxy'!$H$8:$H$19,'Wind Proxy'!$A$8:$A$19,Estimator!$B$4,'Wind Proxy'!$B$8:$B$19,C4442)</f>
        <v>0</v>
      </c>
    </row>
    <row r="4443" spans="1:10" ht="14.4">
      <c r="A4443" s="84">
        <v>50094</v>
      </c>
      <c r="B4443" s="85">
        <v>2037</v>
      </c>
      <c r="C4443" s="85">
        <v>2</v>
      </c>
      <c r="D4443" s="85" t="s">
        <v>58</v>
      </c>
      <c r="E4443" s="85">
        <v>23</v>
      </c>
      <c r="F4443" s="85">
        <v>1</v>
      </c>
      <c r="G4443" s="85">
        <f>--(F4443&lt;=Estimator!$B$7)</f>
        <v>1</v>
      </c>
      <c r="H4443" s="86">
        <f>SUMIFS('Climate Data'!$G$7:$G$366,'Climate Data'!$A$7:$A$366,Estimator!$B$4,'Climate Data'!$B$7:$B$366,C4443)</f>
        <v>0.18867924528301885</v>
      </c>
      <c r="I4443" s="87">
        <f>SUMIFS('Climate Data'!$H$7:$H$366,'Climate Data'!$A$7:$A$366,Estimator!$B$4,'Climate Data'!$B$7:$B$366,C4443)</f>
        <v>7.4624999999999995</v>
      </c>
      <c r="J4443" s="86">
        <f>SUMIFS('Wind Proxy'!$H$8:$H$19,'Wind Proxy'!$A$8:$A$19,Estimator!$B$4,'Wind Proxy'!$B$8:$B$19,C4443)</f>
        <v>0</v>
      </c>
    </row>
    <row r="4444" spans="1:10" ht="14.4">
      <c r="A4444" s="84">
        <v>50095</v>
      </c>
      <c r="B4444" s="85">
        <v>2037</v>
      </c>
      <c r="C4444" s="85">
        <v>2</v>
      </c>
      <c r="D4444" s="85" t="s">
        <v>58</v>
      </c>
      <c r="E4444" s="85">
        <v>24</v>
      </c>
      <c r="F4444" s="85">
        <v>2</v>
      </c>
      <c r="G4444" s="85">
        <f>--(F4444&lt;=Estimator!$B$7)</f>
        <v>1</v>
      </c>
      <c r="H4444" s="86">
        <f>SUMIFS('Climate Data'!$G$7:$G$366,'Climate Data'!$A$7:$A$366,Estimator!$B$4,'Climate Data'!$B$7:$B$366,C4444)</f>
        <v>0.18867924528301885</v>
      </c>
      <c r="I4444" s="87">
        <f>SUMIFS('Climate Data'!$H$7:$H$366,'Climate Data'!$A$7:$A$366,Estimator!$B$4,'Climate Data'!$B$7:$B$366,C4444)</f>
        <v>7.4624999999999995</v>
      </c>
      <c r="J4444" s="86">
        <f>SUMIFS('Wind Proxy'!$H$8:$H$19,'Wind Proxy'!$A$8:$A$19,Estimator!$B$4,'Wind Proxy'!$B$8:$B$19,C4444)</f>
        <v>0</v>
      </c>
    </row>
    <row r="4445" spans="1:10" ht="14.4">
      <c r="A4445" s="84">
        <v>50096</v>
      </c>
      <c r="B4445" s="85">
        <v>2037</v>
      </c>
      <c r="C4445" s="85">
        <v>2</v>
      </c>
      <c r="D4445" s="85" t="s">
        <v>58</v>
      </c>
      <c r="E4445" s="85">
        <v>25</v>
      </c>
      <c r="F4445" s="85">
        <v>3</v>
      </c>
      <c r="G4445" s="85">
        <f>--(F4445&lt;=Estimator!$B$7)</f>
        <v>1</v>
      </c>
      <c r="H4445" s="86">
        <f>SUMIFS('Climate Data'!$G$7:$G$366,'Climate Data'!$A$7:$A$366,Estimator!$B$4,'Climate Data'!$B$7:$B$366,C4445)</f>
        <v>0.18867924528301885</v>
      </c>
      <c r="I4445" s="87">
        <f>SUMIFS('Climate Data'!$H$7:$H$366,'Climate Data'!$A$7:$A$366,Estimator!$B$4,'Climate Data'!$B$7:$B$366,C4445)</f>
        <v>7.4624999999999995</v>
      </c>
      <c r="J4445" s="86">
        <f>SUMIFS('Wind Proxy'!$H$8:$H$19,'Wind Proxy'!$A$8:$A$19,Estimator!$B$4,'Wind Proxy'!$B$8:$B$19,C4445)</f>
        <v>0</v>
      </c>
    </row>
    <row r="4446" spans="1:10" ht="14.4">
      <c r="A4446" s="84">
        <v>50097</v>
      </c>
      <c r="B4446" s="85">
        <v>2037</v>
      </c>
      <c r="C4446" s="85">
        <v>2</v>
      </c>
      <c r="D4446" s="85" t="s">
        <v>58</v>
      </c>
      <c r="E4446" s="85">
        <v>26</v>
      </c>
      <c r="F4446" s="85">
        <v>4</v>
      </c>
      <c r="G4446" s="85">
        <f>--(F4446&lt;=Estimator!$B$7)</f>
        <v>1</v>
      </c>
      <c r="H4446" s="86">
        <f>SUMIFS('Climate Data'!$G$7:$G$366,'Climate Data'!$A$7:$A$366,Estimator!$B$4,'Climate Data'!$B$7:$B$366,C4446)</f>
        <v>0.18867924528301885</v>
      </c>
      <c r="I4446" s="87">
        <f>SUMIFS('Climate Data'!$H$7:$H$366,'Climate Data'!$A$7:$A$366,Estimator!$B$4,'Climate Data'!$B$7:$B$366,C4446)</f>
        <v>7.4624999999999995</v>
      </c>
      <c r="J4446" s="86">
        <f>SUMIFS('Wind Proxy'!$H$8:$H$19,'Wind Proxy'!$A$8:$A$19,Estimator!$B$4,'Wind Proxy'!$B$8:$B$19,C4446)</f>
        <v>0</v>
      </c>
    </row>
    <row r="4447" spans="1:10" ht="14.4">
      <c r="A4447" s="84">
        <v>50098</v>
      </c>
      <c r="B4447" s="85">
        <v>2037</v>
      </c>
      <c r="C4447" s="85">
        <v>2</v>
      </c>
      <c r="D4447" s="85" t="s">
        <v>58</v>
      </c>
      <c r="E4447" s="85">
        <v>27</v>
      </c>
      <c r="F4447" s="85">
        <v>5</v>
      </c>
      <c r="G4447" s="85">
        <f>--(F4447&lt;=Estimator!$B$7)</f>
        <v>1</v>
      </c>
      <c r="H4447" s="86">
        <f>SUMIFS('Climate Data'!$G$7:$G$366,'Climate Data'!$A$7:$A$366,Estimator!$B$4,'Climate Data'!$B$7:$B$366,C4447)</f>
        <v>0.18867924528301885</v>
      </c>
      <c r="I4447" s="87">
        <f>SUMIFS('Climate Data'!$H$7:$H$366,'Climate Data'!$A$7:$A$366,Estimator!$B$4,'Climate Data'!$B$7:$B$366,C4447)</f>
        <v>7.4624999999999995</v>
      </c>
      <c r="J4447" s="86">
        <f>SUMIFS('Wind Proxy'!$H$8:$H$19,'Wind Proxy'!$A$8:$A$19,Estimator!$B$4,'Wind Proxy'!$B$8:$B$19,C4447)</f>
        <v>0</v>
      </c>
    </row>
    <row r="4448" spans="1:10" ht="14.4">
      <c r="A4448" s="84">
        <v>50099</v>
      </c>
      <c r="B4448" s="85">
        <v>2037</v>
      </c>
      <c r="C4448" s="85">
        <v>2</v>
      </c>
      <c r="D4448" s="85" t="s">
        <v>58</v>
      </c>
      <c r="E4448" s="85">
        <v>28</v>
      </c>
      <c r="F4448" s="85">
        <v>6</v>
      </c>
      <c r="G4448" s="85">
        <f>--(F4448&lt;=Estimator!$B$7)</f>
        <v>0</v>
      </c>
      <c r="H4448" s="86">
        <f>SUMIFS('Climate Data'!$G$7:$G$366,'Climate Data'!$A$7:$A$366,Estimator!$B$4,'Climate Data'!$B$7:$B$366,C4448)</f>
        <v>0.18867924528301885</v>
      </c>
      <c r="I4448" s="87">
        <f>SUMIFS('Climate Data'!$H$7:$H$366,'Climate Data'!$A$7:$A$366,Estimator!$B$4,'Climate Data'!$B$7:$B$366,C4448)</f>
        <v>7.4624999999999995</v>
      </c>
      <c r="J4448" s="86">
        <f>SUMIFS('Wind Proxy'!$H$8:$H$19,'Wind Proxy'!$A$8:$A$19,Estimator!$B$4,'Wind Proxy'!$B$8:$B$19,C4448)</f>
        <v>0</v>
      </c>
    </row>
    <row r="4449" spans="1:10" ht="14.4">
      <c r="A4449" s="84">
        <v>50100</v>
      </c>
      <c r="B4449" s="85">
        <v>2037</v>
      </c>
      <c r="C4449" s="85">
        <v>3</v>
      </c>
      <c r="D4449" s="85" t="s">
        <v>60</v>
      </c>
      <c r="E4449" s="85">
        <v>1</v>
      </c>
      <c r="F4449" s="85">
        <v>7</v>
      </c>
      <c r="G4449" s="85">
        <f>--(F4449&lt;=Estimator!$B$7)</f>
        <v>0</v>
      </c>
      <c r="H4449" s="86">
        <f>SUMIFS('Climate Data'!$G$7:$G$366,'Climate Data'!$A$7:$A$366,Estimator!$B$4,'Climate Data'!$B$7:$B$366,C4449)</f>
        <v>0.18494623655913978</v>
      </c>
      <c r="I4449" s="87">
        <f>SUMIFS('Climate Data'!$H$7:$H$366,'Climate Data'!$A$7:$A$366,Estimator!$B$4,'Climate Data'!$B$7:$B$366,C4449)</f>
        <v>7.8662790697674421</v>
      </c>
      <c r="J4449" s="86">
        <f>SUMIFS('Wind Proxy'!$H$8:$H$19,'Wind Proxy'!$A$8:$A$19,Estimator!$B$4,'Wind Proxy'!$B$8:$B$19,C4449)</f>
        <v>0</v>
      </c>
    </row>
    <row r="4450" spans="1:10" ht="14.4">
      <c r="A4450" s="84">
        <v>50101</v>
      </c>
      <c r="B4450" s="85">
        <v>2037</v>
      </c>
      <c r="C4450" s="85">
        <v>3</v>
      </c>
      <c r="D4450" s="85" t="s">
        <v>60</v>
      </c>
      <c r="E4450" s="85">
        <v>2</v>
      </c>
      <c r="F4450" s="85">
        <v>1</v>
      </c>
      <c r="G4450" s="85">
        <f>--(F4450&lt;=Estimator!$B$7)</f>
        <v>1</v>
      </c>
      <c r="H4450" s="86">
        <f>SUMIFS('Climate Data'!$G$7:$G$366,'Climate Data'!$A$7:$A$366,Estimator!$B$4,'Climate Data'!$B$7:$B$366,C4450)</f>
        <v>0.18494623655913978</v>
      </c>
      <c r="I4450" s="87">
        <f>SUMIFS('Climate Data'!$H$7:$H$366,'Climate Data'!$A$7:$A$366,Estimator!$B$4,'Climate Data'!$B$7:$B$366,C4450)</f>
        <v>7.8662790697674421</v>
      </c>
      <c r="J4450" s="86">
        <f>SUMIFS('Wind Proxy'!$H$8:$H$19,'Wind Proxy'!$A$8:$A$19,Estimator!$B$4,'Wind Proxy'!$B$8:$B$19,C4450)</f>
        <v>0</v>
      </c>
    </row>
    <row r="4451" spans="1:10" ht="14.4">
      <c r="A4451" s="84">
        <v>50102</v>
      </c>
      <c r="B4451" s="85">
        <v>2037</v>
      </c>
      <c r="C4451" s="85">
        <v>3</v>
      </c>
      <c r="D4451" s="85" t="s">
        <v>60</v>
      </c>
      <c r="E4451" s="85">
        <v>3</v>
      </c>
      <c r="F4451" s="85">
        <v>2</v>
      </c>
      <c r="G4451" s="85">
        <f>--(F4451&lt;=Estimator!$B$7)</f>
        <v>1</v>
      </c>
      <c r="H4451" s="86">
        <f>SUMIFS('Climate Data'!$G$7:$G$366,'Climate Data'!$A$7:$A$366,Estimator!$B$4,'Climate Data'!$B$7:$B$366,C4451)</f>
        <v>0.18494623655913978</v>
      </c>
      <c r="I4451" s="87">
        <f>SUMIFS('Climate Data'!$H$7:$H$366,'Climate Data'!$A$7:$A$366,Estimator!$B$4,'Climate Data'!$B$7:$B$366,C4451)</f>
        <v>7.8662790697674421</v>
      </c>
      <c r="J4451" s="86">
        <f>SUMIFS('Wind Proxy'!$H$8:$H$19,'Wind Proxy'!$A$8:$A$19,Estimator!$B$4,'Wind Proxy'!$B$8:$B$19,C4451)</f>
        <v>0</v>
      </c>
    </row>
    <row r="4452" spans="1:10" ht="14.4">
      <c r="A4452" s="84">
        <v>50103</v>
      </c>
      <c r="B4452" s="85">
        <v>2037</v>
      </c>
      <c r="C4452" s="85">
        <v>3</v>
      </c>
      <c r="D4452" s="85" t="s">
        <v>60</v>
      </c>
      <c r="E4452" s="85">
        <v>4</v>
      </c>
      <c r="F4452" s="85">
        <v>3</v>
      </c>
      <c r="G4452" s="85">
        <f>--(F4452&lt;=Estimator!$B$7)</f>
        <v>1</v>
      </c>
      <c r="H4452" s="86">
        <f>SUMIFS('Climate Data'!$G$7:$G$366,'Climate Data'!$A$7:$A$366,Estimator!$B$4,'Climate Data'!$B$7:$B$366,C4452)</f>
        <v>0.18494623655913978</v>
      </c>
      <c r="I4452" s="87">
        <f>SUMIFS('Climate Data'!$H$7:$H$366,'Climate Data'!$A$7:$A$366,Estimator!$B$4,'Climate Data'!$B$7:$B$366,C4452)</f>
        <v>7.8662790697674421</v>
      </c>
      <c r="J4452" s="86">
        <f>SUMIFS('Wind Proxy'!$H$8:$H$19,'Wind Proxy'!$A$8:$A$19,Estimator!$B$4,'Wind Proxy'!$B$8:$B$19,C4452)</f>
        <v>0</v>
      </c>
    </row>
    <row r="4453" spans="1:10" ht="14.4">
      <c r="A4453" s="84">
        <v>50104</v>
      </c>
      <c r="B4453" s="85">
        <v>2037</v>
      </c>
      <c r="C4453" s="85">
        <v>3</v>
      </c>
      <c r="D4453" s="85" t="s">
        <v>60</v>
      </c>
      <c r="E4453" s="85">
        <v>5</v>
      </c>
      <c r="F4453" s="85">
        <v>4</v>
      </c>
      <c r="G4453" s="85">
        <f>--(F4453&lt;=Estimator!$B$7)</f>
        <v>1</v>
      </c>
      <c r="H4453" s="86">
        <f>SUMIFS('Climate Data'!$G$7:$G$366,'Climate Data'!$A$7:$A$366,Estimator!$B$4,'Climate Data'!$B$7:$B$366,C4453)</f>
        <v>0.18494623655913978</v>
      </c>
      <c r="I4453" s="87">
        <f>SUMIFS('Climate Data'!$H$7:$H$366,'Climate Data'!$A$7:$A$366,Estimator!$B$4,'Climate Data'!$B$7:$B$366,C4453)</f>
        <v>7.8662790697674421</v>
      </c>
      <c r="J4453" s="86">
        <f>SUMIFS('Wind Proxy'!$H$8:$H$19,'Wind Proxy'!$A$8:$A$19,Estimator!$B$4,'Wind Proxy'!$B$8:$B$19,C4453)</f>
        <v>0</v>
      </c>
    </row>
    <row r="4454" spans="1:10" ht="14.4">
      <c r="A4454" s="84">
        <v>50105</v>
      </c>
      <c r="B4454" s="85">
        <v>2037</v>
      </c>
      <c r="C4454" s="85">
        <v>3</v>
      </c>
      <c r="D4454" s="85" t="s">
        <v>60</v>
      </c>
      <c r="E4454" s="85">
        <v>6</v>
      </c>
      <c r="F4454" s="85">
        <v>5</v>
      </c>
      <c r="G4454" s="85">
        <f>--(F4454&lt;=Estimator!$B$7)</f>
        <v>1</v>
      </c>
      <c r="H4454" s="86">
        <f>SUMIFS('Climate Data'!$G$7:$G$366,'Climate Data'!$A$7:$A$366,Estimator!$B$4,'Climate Data'!$B$7:$B$366,C4454)</f>
        <v>0.18494623655913978</v>
      </c>
      <c r="I4454" s="87">
        <f>SUMIFS('Climate Data'!$H$7:$H$366,'Climate Data'!$A$7:$A$366,Estimator!$B$4,'Climate Data'!$B$7:$B$366,C4454)</f>
        <v>7.8662790697674421</v>
      </c>
      <c r="J4454" s="86">
        <f>SUMIFS('Wind Proxy'!$H$8:$H$19,'Wind Proxy'!$A$8:$A$19,Estimator!$B$4,'Wind Proxy'!$B$8:$B$19,C4454)</f>
        <v>0</v>
      </c>
    </row>
    <row r="4455" spans="1:10" ht="14.4">
      <c r="A4455" s="84">
        <v>50106</v>
      </c>
      <c r="B4455" s="85">
        <v>2037</v>
      </c>
      <c r="C4455" s="85">
        <v>3</v>
      </c>
      <c r="D4455" s="85" t="s">
        <v>60</v>
      </c>
      <c r="E4455" s="85">
        <v>7</v>
      </c>
      <c r="F4455" s="85">
        <v>6</v>
      </c>
      <c r="G4455" s="85">
        <f>--(F4455&lt;=Estimator!$B$7)</f>
        <v>0</v>
      </c>
      <c r="H4455" s="86">
        <f>SUMIFS('Climate Data'!$G$7:$G$366,'Climate Data'!$A$7:$A$366,Estimator!$B$4,'Climate Data'!$B$7:$B$366,C4455)</f>
        <v>0.18494623655913978</v>
      </c>
      <c r="I4455" s="87">
        <f>SUMIFS('Climate Data'!$H$7:$H$366,'Climate Data'!$A$7:$A$366,Estimator!$B$4,'Climate Data'!$B$7:$B$366,C4455)</f>
        <v>7.8662790697674421</v>
      </c>
      <c r="J4455" s="86">
        <f>SUMIFS('Wind Proxy'!$H$8:$H$19,'Wind Proxy'!$A$8:$A$19,Estimator!$B$4,'Wind Proxy'!$B$8:$B$19,C4455)</f>
        <v>0</v>
      </c>
    </row>
    <row r="4456" spans="1:10" ht="14.4">
      <c r="A4456" s="84">
        <v>50107</v>
      </c>
      <c r="B4456" s="85">
        <v>2037</v>
      </c>
      <c r="C4456" s="85">
        <v>3</v>
      </c>
      <c r="D4456" s="85" t="s">
        <v>60</v>
      </c>
      <c r="E4456" s="85">
        <v>8</v>
      </c>
      <c r="F4456" s="85">
        <v>7</v>
      </c>
      <c r="G4456" s="85">
        <f>--(F4456&lt;=Estimator!$B$7)</f>
        <v>0</v>
      </c>
      <c r="H4456" s="86">
        <f>SUMIFS('Climate Data'!$G$7:$G$366,'Climate Data'!$A$7:$A$366,Estimator!$B$4,'Climate Data'!$B$7:$B$366,C4456)</f>
        <v>0.18494623655913978</v>
      </c>
      <c r="I4456" s="87">
        <f>SUMIFS('Climate Data'!$H$7:$H$366,'Climate Data'!$A$7:$A$366,Estimator!$B$4,'Climate Data'!$B$7:$B$366,C4456)</f>
        <v>7.8662790697674421</v>
      </c>
      <c r="J4456" s="86">
        <f>SUMIFS('Wind Proxy'!$H$8:$H$19,'Wind Proxy'!$A$8:$A$19,Estimator!$B$4,'Wind Proxy'!$B$8:$B$19,C4456)</f>
        <v>0</v>
      </c>
    </row>
    <row r="4457" spans="1:10" ht="14.4">
      <c r="A4457" s="84">
        <v>50108</v>
      </c>
      <c r="B4457" s="85">
        <v>2037</v>
      </c>
      <c r="C4457" s="85">
        <v>3</v>
      </c>
      <c r="D4457" s="85" t="s">
        <v>60</v>
      </c>
      <c r="E4457" s="85">
        <v>9</v>
      </c>
      <c r="F4457" s="85">
        <v>1</v>
      </c>
      <c r="G4457" s="85">
        <f>--(F4457&lt;=Estimator!$B$7)</f>
        <v>1</v>
      </c>
      <c r="H4457" s="86">
        <f>SUMIFS('Climate Data'!$G$7:$G$366,'Climate Data'!$A$7:$A$366,Estimator!$B$4,'Climate Data'!$B$7:$B$366,C4457)</f>
        <v>0.18494623655913978</v>
      </c>
      <c r="I4457" s="87">
        <f>SUMIFS('Climate Data'!$H$7:$H$366,'Climate Data'!$A$7:$A$366,Estimator!$B$4,'Climate Data'!$B$7:$B$366,C4457)</f>
        <v>7.8662790697674421</v>
      </c>
      <c r="J4457" s="86">
        <f>SUMIFS('Wind Proxy'!$H$8:$H$19,'Wind Proxy'!$A$8:$A$19,Estimator!$B$4,'Wind Proxy'!$B$8:$B$19,C4457)</f>
        <v>0</v>
      </c>
    </row>
    <row r="4458" spans="1:10" ht="14.4">
      <c r="A4458" s="84">
        <v>50109</v>
      </c>
      <c r="B4458" s="85">
        <v>2037</v>
      </c>
      <c r="C4458" s="85">
        <v>3</v>
      </c>
      <c r="D4458" s="85" t="s">
        <v>60</v>
      </c>
      <c r="E4458" s="85">
        <v>10</v>
      </c>
      <c r="F4458" s="85">
        <v>2</v>
      </c>
      <c r="G4458" s="85">
        <f>--(F4458&lt;=Estimator!$B$7)</f>
        <v>1</v>
      </c>
      <c r="H4458" s="86">
        <f>SUMIFS('Climate Data'!$G$7:$G$366,'Climate Data'!$A$7:$A$366,Estimator!$B$4,'Climate Data'!$B$7:$B$366,C4458)</f>
        <v>0.18494623655913978</v>
      </c>
      <c r="I4458" s="87">
        <f>SUMIFS('Climate Data'!$H$7:$H$366,'Climate Data'!$A$7:$A$366,Estimator!$B$4,'Climate Data'!$B$7:$B$366,C4458)</f>
        <v>7.8662790697674421</v>
      </c>
      <c r="J4458" s="86">
        <f>SUMIFS('Wind Proxy'!$H$8:$H$19,'Wind Proxy'!$A$8:$A$19,Estimator!$B$4,'Wind Proxy'!$B$8:$B$19,C4458)</f>
        <v>0</v>
      </c>
    </row>
    <row r="4459" spans="1:10" ht="14.4">
      <c r="A4459" s="84">
        <v>50110</v>
      </c>
      <c r="B4459" s="85">
        <v>2037</v>
      </c>
      <c r="C4459" s="85">
        <v>3</v>
      </c>
      <c r="D4459" s="85" t="s">
        <v>60</v>
      </c>
      <c r="E4459" s="85">
        <v>11</v>
      </c>
      <c r="F4459" s="85">
        <v>3</v>
      </c>
      <c r="G4459" s="85">
        <f>--(F4459&lt;=Estimator!$B$7)</f>
        <v>1</v>
      </c>
      <c r="H4459" s="86">
        <f>SUMIFS('Climate Data'!$G$7:$G$366,'Climate Data'!$A$7:$A$366,Estimator!$B$4,'Climate Data'!$B$7:$B$366,C4459)</f>
        <v>0.18494623655913978</v>
      </c>
      <c r="I4459" s="87">
        <f>SUMIFS('Climate Data'!$H$7:$H$366,'Climate Data'!$A$7:$A$366,Estimator!$B$4,'Climate Data'!$B$7:$B$366,C4459)</f>
        <v>7.8662790697674421</v>
      </c>
      <c r="J4459" s="86">
        <f>SUMIFS('Wind Proxy'!$H$8:$H$19,'Wind Proxy'!$A$8:$A$19,Estimator!$B$4,'Wind Proxy'!$B$8:$B$19,C4459)</f>
        <v>0</v>
      </c>
    </row>
    <row r="4460" spans="1:10" ht="14.4">
      <c r="A4460" s="84">
        <v>50111</v>
      </c>
      <c r="B4460" s="85">
        <v>2037</v>
      </c>
      <c r="C4460" s="85">
        <v>3</v>
      </c>
      <c r="D4460" s="85" t="s">
        <v>60</v>
      </c>
      <c r="E4460" s="85">
        <v>12</v>
      </c>
      <c r="F4460" s="85">
        <v>4</v>
      </c>
      <c r="G4460" s="85">
        <f>--(F4460&lt;=Estimator!$B$7)</f>
        <v>1</v>
      </c>
      <c r="H4460" s="86">
        <f>SUMIFS('Climate Data'!$G$7:$G$366,'Climate Data'!$A$7:$A$366,Estimator!$B$4,'Climate Data'!$B$7:$B$366,C4460)</f>
        <v>0.18494623655913978</v>
      </c>
      <c r="I4460" s="87">
        <f>SUMIFS('Climate Data'!$H$7:$H$366,'Climate Data'!$A$7:$A$366,Estimator!$B$4,'Climate Data'!$B$7:$B$366,C4460)</f>
        <v>7.8662790697674421</v>
      </c>
      <c r="J4460" s="86">
        <f>SUMIFS('Wind Proxy'!$H$8:$H$19,'Wind Proxy'!$A$8:$A$19,Estimator!$B$4,'Wind Proxy'!$B$8:$B$19,C4460)</f>
        <v>0</v>
      </c>
    </row>
    <row r="4461" spans="1:10" ht="14.4">
      <c r="A4461" s="84">
        <v>50112</v>
      </c>
      <c r="B4461" s="85">
        <v>2037</v>
      </c>
      <c r="C4461" s="85">
        <v>3</v>
      </c>
      <c r="D4461" s="85" t="s">
        <v>60</v>
      </c>
      <c r="E4461" s="85">
        <v>13</v>
      </c>
      <c r="F4461" s="85">
        <v>5</v>
      </c>
      <c r="G4461" s="85">
        <f>--(F4461&lt;=Estimator!$B$7)</f>
        <v>1</v>
      </c>
      <c r="H4461" s="86">
        <f>SUMIFS('Climate Data'!$G$7:$G$366,'Climate Data'!$A$7:$A$366,Estimator!$B$4,'Climate Data'!$B$7:$B$366,C4461)</f>
        <v>0.18494623655913978</v>
      </c>
      <c r="I4461" s="87">
        <f>SUMIFS('Climate Data'!$H$7:$H$366,'Climate Data'!$A$7:$A$366,Estimator!$B$4,'Climate Data'!$B$7:$B$366,C4461)</f>
        <v>7.8662790697674421</v>
      </c>
      <c r="J4461" s="86">
        <f>SUMIFS('Wind Proxy'!$H$8:$H$19,'Wind Proxy'!$A$8:$A$19,Estimator!$B$4,'Wind Proxy'!$B$8:$B$19,C4461)</f>
        <v>0</v>
      </c>
    </row>
    <row r="4462" spans="1:10" ht="14.4">
      <c r="A4462" s="84">
        <v>50113</v>
      </c>
      <c r="B4462" s="85">
        <v>2037</v>
      </c>
      <c r="C4462" s="85">
        <v>3</v>
      </c>
      <c r="D4462" s="85" t="s">
        <v>60</v>
      </c>
      <c r="E4462" s="85">
        <v>14</v>
      </c>
      <c r="F4462" s="85">
        <v>6</v>
      </c>
      <c r="G4462" s="85">
        <f>--(F4462&lt;=Estimator!$B$7)</f>
        <v>0</v>
      </c>
      <c r="H4462" s="86">
        <f>SUMIFS('Climate Data'!$G$7:$G$366,'Climate Data'!$A$7:$A$366,Estimator!$B$4,'Climate Data'!$B$7:$B$366,C4462)</f>
        <v>0.18494623655913978</v>
      </c>
      <c r="I4462" s="87">
        <f>SUMIFS('Climate Data'!$H$7:$H$366,'Climate Data'!$A$7:$A$366,Estimator!$B$4,'Climate Data'!$B$7:$B$366,C4462)</f>
        <v>7.8662790697674421</v>
      </c>
      <c r="J4462" s="86">
        <f>SUMIFS('Wind Proxy'!$H$8:$H$19,'Wind Proxy'!$A$8:$A$19,Estimator!$B$4,'Wind Proxy'!$B$8:$B$19,C4462)</f>
        <v>0</v>
      </c>
    </row>
    <row r="4463" spans="1:10" ht="14.4">
      <c r="A4463" s="84">
        <v>50114</v>
      </c>
      <c r="B4463" s="85">
        <v>2037</v>
      </c>
      <c r="C4463" s="85">
        <v>3</v>
      </c>
      <c r="D4463" s="85" t="s">
        <v>60</v>
      </c>
      <c r="E4463" s="85">
        <v>15</v>
      </c>
      <c r="F4463" s="85">
        <v>7</v>
      </c>
      <c r="G4463" s="85">
        <f>--(F4463&lt;=Estimator!$B$7)</f>
        <v>0</v>
      </c>
      <c r="H4463" s="86">
        <f>SUMIFS('Climate Data'!$G$7:$G$366,'Climate Data'!$A$7:$A$366,Estimator!$B$4,'Climate Data'!$B$7:$B$366,C4463)</f>
        <v>0.18494623655913978</v>
      </c>
      <c r="I4463" s="87">
        <f>SUMIFS('Climate Data'!$H$7:$H$366,'Climate Data'!$A$7:$A$366,Estimator!$B$4,'Climate Data'!$B$7:$B$366,C4463)</f>
        <v>7.8662790697674421</v>
      </c>
      <c r="J4463" s="86">
        <f>SUMIFS('Wind Proxy'!$H$8:$H$19,'Wind Proxy'!$A$8:$A$19,Estimator!$B$4,'Wind Proxy'!$B$8:$B$19,C4463)</f>
        <v>0</v>
      </c>
    </row>
    <row r="4464" spans="1:10" ht="14.4">
      <c r="A4464" s="84">
        <v>50115</v>
      </c>
      <c r="B4464" s="85">
        <v>2037</v>
      </c>
      <c r="C4464" s="85">
        <v>3</v>
      </c>
      <c r="D4464" s="85" t="s">
        <v>60</v>
      </c>
      <c r="E4464" s="85">
        <v>16</v>
      </c>
      <c r="F4464" s="85">
        <v>1</v>
      </c>
      <c r="G4464" s="85">
        <f>--(F4464&lt;=Estimator!$B$7)</f>
        <v>1</v>
      </c>
      <c r="H4464" s="86">
        <f>SUMIFS('Climate Data'!$G$7:$G$366,'Climate Data'!$A$7:$A$366,Estimator!$B$4,'Climate Data'!$B$7:$B$366,C4464)</f>
        <v>0.18494623655913978</v>
      </c>
      <c r="I4464" s="87">
        <f>SUMIFS('Climate Data'!$H$7:$H$366,'Climate Data'!$A$7:$A$366,Estimator!$B$4,'Climate Data'!$B$7:$B$366,C4464)</f>
        <v>7.8662790697674421</v>
      </c>
      <c r="J4464" s="86">
        <f>SUMIFS('Wind Proxy'!$H$8:$H$19,'Wind Proxy'!$A$8:$A$19,Estimator!$B$4,'Wind Proxy'!$B$8:$B$19,C4464)</f>
        <v>0</v>
      </c>
    </row>
    <row r="4465" spans="1:10" ht="14.4">
      <c r="A4465" s="84">
        <v>50116</v>
      </c>
      <c r="B4465" s="85">
        <v>2037</v>
      </c>
      <c r="C4465" s="85">
        <v>3</v>
      </c>
      <c r="D4465" s="85" t="s">
        <v>60</v>
      </c>
      <c r="E4465" s="85">
        <v>17</v>
      </c>
      <c r="F4465" s="85">
        <v>2</v>
      </c>
      <c r="G4465" s="85">
        <f>--(F4465&lt;=Estimator!$B$7)</f>
        <v>1</v>
      </c>
      <c r="H4465" s="86">
        <f>SUMIFS('Climate Data'!$G$7:$G$366,'Climate Data'!$A$7:$A$366,Estimator!$B$4,'Climate Data'!$B$7:$B$366,C4465)</f>
        <v>0.18494623655913978</v>
      </c>
      <c r="I4465" s="87">
        <f>SUMIFS('Climate Data'!$H$7:$H$366,'Climate Data'!$A$7:$A$366,Estimator!$B$4,'Climate Data'!$B$7:$B$366,C4465)</f>
        <v>7.8662790697674421</v>
      </c>
      <c r="J4465" s="86">
        <f>SUMIFS('Wind Proxy'!$H$8:$H$19,'Wind Proxy'!$A$8:$A$19,Estimator!$B$4,'Wind Proxy'!$B$8:$B$19,C4465)</f>
        <v>0</v>
      </c>
    </row>
    <row r="4466" spans="1:10" ht="14.4">
      <c r="A4466" s="84">
        <v>50117</v>
      </c>
      <c r="B4466" s="85">
        <v>2037</v>
      </c>
      <c r="C4466" s="85">
        <v>3</v>
      </c>
      <c r="D4466" s="85" t="s">
        <v>60</v>
      </c>
      <c r="E4466" s="85">
        <v>18</v>
      </c>
      <c r="F4466" s="85">
        <v>3</v>
      </c>
      <c r="G4466" s="85">
        <f>--(F4466&lt;=Estimator!$B$7)</f>
        <v>1</v>
      </c>
      <c r="H4466" s="86">
        <f>SUMIFS('Climate Data'!$G$7:$G$366,'Climate Data'!$A$7:$A$366,Estimator!$B$4,'Climate Data'!$B$7:$B$366,C4466)</f>
        <v>0.18494623655913978</v>
      </c>
      <c r="I4466" s="87">
        <f>SUMIFS('Climate Data'!$H$7:$H$366,'Climate Data'!$A$7:$A$366,Estimator!$B$4,'Climate Data'!$B$7:$B$366,C4466)</f>
        <v>7.8662790697674421</v>
      </c>
      <c r="J4466" s="86">
        <f>SUMIFS('Wind Proxy'!$H$8:$H$19,'Wind Proxy'!$A$8:$A$19,Estimator!$B$4,'Wind Proxy'!$B$8:$B$19,C4466)</f>
        <v>0</v>
      </c>
    </row>
    <row r="4467" spans="1:10" ht="14.4">
      <c r="A4467" s="84">
        <v>50118</v>
      </c>
      <c r="B4467" s="85">
        <v>2037</v>
      </c>
      <c r="C4467" s="85">
        <v>3</v>
      </c>
      <c r="D4467" s="85" t="s">
        <v>60</v>
      </c>
      <c r="E4467" s="85">
        <v>19</v>
      </c>
      <c r="F4467" s="85">
        <v>4</v>
      </c>
      <c r="G4467" s="85">
        <f>--(F4467&lt;=Estimator!$B$7)</f>
        <v>1</v>
      </c>
      <c r="H4467" s="86">
        <f>SUMIFS('Climate Data'!$G$7:$G$366,'Climate Data'!$A$7:$A$366,Estimator!$B$4,'Climate Data'!$B$7:$B$366,C4467)</f>
        <v>0.18494623655913978</v>
      </c>
      <c r="I4467" s="87">
        <f>SUMIFS('Climate Data'!$H$7:$H$366,'Climate Data'!$A$7:$A$366,Estimator!$B$4,'Climate Data'!$B$7:$B$366,C4467)</f>
        <v>7.8662790697674421</v>
      </c>
      <c r="J4467" s="86">
        <f>SUMIFS('Wind Proxy'!$H$8:$H$19,'Wind Proxy'!$A$8:$A$19,Estimator!$B$4,'Wind Proxy'!$B$8:$B$19,C4467)</f>
        <v>0</v>
      </c>
    </row>
    <row r="4468" spans="1:10" ht="14.4">
      <c r="A4468" s="84">
        <v>50119</v>
      </c>
      <c r="B4468" s="85">
        <v>2037</v>
      </c>
      <c r="C4468" s="85">
        <v>3</v>
      </c>
      <c r="D4468" s="85" t="s">
        <v>60</v>
      </c>
      <c r="E4468" s="85">
        <v>20</v>
      </c>
      <c r="F4468" s="85">
        <v>5</v>
      </c>
      <c r="G4468" s="85">
        <f>--(F4468&lt;=Estimator!$B$7)</f>
        <v>1</v>
      </c>
      <c r="H4468" s="86">
        <f>SUMIFS('Climate Data'!$G$7:$G$366,'Climate Data'!$A$7:$A$366,Estimator!$B$4,'Climate Data'!$B$7:$B$366,C4468)</f>
        <v>0.18494623655913978</v>
      </c>
      <c r="I4468" s="87">
        <f>SUMIFS('Climate Data'!$H$7:$H$366,'Climate Data'!$A$7:$A$366,Estimator!$B$4,'Climate Data'!$B$7:$B$366,C4468)</f>
        <v>7.8662790697674421</v>
      </c>
      <c r="J4468" s="86">
        <f>SUMIFS('Wind Proxy'!$H$8:$H$19,'Wind Proxy'!$A$8:$A$19,Estimator!$B$4,'Wind Proxy'!$B$8:$B$19,C4468)</f>
        <v>0</v>
      </c>
    </row>
    <row r="4469" spans="1:10" ht="14.4">
      <c r="A4469" s="84">
        <v>50120</v>
      </c>
      <c r="B4469" s="85">
        <v>2037</v>
      </c>
      <c r="C4469" s="85">
        <v>3</v>
      </c>
      <c r="D4469" s="85" t="s">
        <v>60</v>
      </c>
      <c r="E4469" s="85">
        <v>21</v>
      </c>
      <c r="F4469" s="85">
        <v>6</v>
      </c>
      <c r="G4469" s="85">
        <f>--(F4469&lt;=Estimator!$B$7)</f>
        <v>0</v>
      </c>
      <c r="H4469" s="86">
        <f>SUMIFS('Climate Data'!$G$7:$G$366,'Climate Data'!$A$7:$A$366,Estimator!$B$4,'Climate Data'!$B$7:$B$366,C4469)</f>
        <v>0.18494623655913978</v>
      </c>
      <c r="I4469" s="87">
        <f>SUMIFS('Climate Data'!$H$7:$H$366,'Climate Data'!$A$7:$A$366,Estimator!$B$4,'Climate Data'!$B$7:$B$366,C4469)</f>
        <v>7.8662790697674421</v>
      </c>
      <c r="J4469" s="86">
        <f>SUMIFS('Wind Proxy'!$H$8:$H$19,'Wind Proxy'!$A$8:$A$19,Estimator!$B$4,'Wind Proxy'!$B$8:$B$19,C4469)</f>
        <v>0</v>
      </c>
    </row>
    <row r="4470" spans="1:10" ht="14.4">
      <c r="A4470" s="84">
        <v>50121</v>
      </c>
      <c r="B4470" s="85">
        <v>2037</v>
      </c>
      <c r="C4470" s="85">
        <v>3</v>
      </c>
      <c r="D4470" s="85" t="s">
        <v>60</v>
      </c>
      <c r="E4470" s="85">
        <v>22</v>
      </c>
      <c r="F4470" s="85">
        <v>7</v>
      </c>
      <c r="G4470" s="85">
        <f>--(F4470&lt;=Estimator!$B$7)</f>
        <v>0</v>
      </c>
      <c r="H4470" s="86">
        <f>SUMIFS('Climate Data'!$G$7:$G$366,'Climate Data'!$A$7:$A$366,Estimator!$B$4,'Climate Data'!$B$7:$B$366,C4470)</f>
        <v>0.18494623655913978</v>
      </c>
      <c r="I4470" s="87">
        <f>SUMIFS('Climate Data'!$H$7:$H$366,'Climate Data'!$A$7:$A$366,Estimator!$B$4,'Climate Data'!$B$7:$B$366,C4470)</f>
        <v>7.8662790697674421</v>
      </c>
      <c r="J4470" s="86">
        <f>SUMIFS('Wind Proxy'!$H$8:$H$19,'Wind Proxy'!$A$8:$A$19,Estimator!$B$4,'Wind Proxy'!$B$8:$B$19,C4470)</f>
        <v>0</v>
      </c>
    </row>
    <row r="4471" spans="1:10" ht="14.4">
      <c r="A4471" s="84">
        <v>50122</v>
      </c>
      <c r="B4471" s="85">
        <v>2037</v>
      </c>
      <c r="C4471" s="85">
        <v>3</v>
      </c>
      <c r="D4471" s="85" t="s">
        <v>60</v>
      </c>
      <c r="E4471" s="85">
        <v>23</v>
      </c>
      <c r="F4471" s="85">
        <v>1</v>
      </c>
      <c r="G4471" s="85">
        <f>--(F4471&lt;=Estimator!$B$7)</f>
        <v>1</v>
      </c>
      <c r="H4471" s="86">
        <f>SUMIFS('Climate Data'!$G$7:$G$366,'Climate Data'!$A$7:$A$366,Estimator!$B$4,'Climate Data'!$B$7:$B$366,C4471)</f>
        <v>0.18494623655913978</v>
      </c>
      <c r="I4471" s="87">
        <f>SUMIFS('Climate Data'!$H$7:$H$366,'Climate Data'!$A$7:$A$366,Estimator!$B$4,'Climate Data'!$B$7:$B$366,C4471)</f>
        <v>7.8662790697674421</v>
      </c>
      <c r="J4471" s="86">
        <f>SUMIFS('Wind Proxy'!$H$8:$H$19,'Wind Proxy'!$A$8:$A$19,Estimator!$B$4,'Wind Proxy'!$B$8:$B$19,C4471)</f>
        <v>0</v>
      </c>
    </row>
    <row r="4472" spans="1:10" ht="14.4">
      <c r="A4472" s="84">
        <v>50123</v>
      </c>
      <c r="B4472" s="85">
        <v>2037</v>
      </c>
      <c r="C4472" s="85">
        <v>3</v>
      </c>
      <c r="D4472" s="85" t="s">
        <v>60</v>
      </c>
      <c r="E4472" s="85">
        <v>24</v>
      </c>
      <c r="F4472" s="85">
        <v>2</v>
      </c>
      <c r="G4472" s="85">
        <f>--(F4472&lt;=Estimator!$B$7)</f>
        <v>1</v>
      </c>
      <c r="H4472" s="86">
        <f>SUMIFS('Climate Data'!$G$7:$G$366,'Climate Data'!$A$7:$A$366,Estimator!$B$4,'Climate Data'!$B$7:$B$366,C4472)</f>
        <v>0.18494623655913978</v>
      </c>
      <c r="I4472" s="87">
        <f>SUMIFS('Climate Data'!$H$7:$H$366,'Climate Data'!$A$7:$A$366,Estimator!$B$4,'Climate Data'!$B$7:$B$366,C4472)</f>
        <v>7.8662790697674421</v>
      </c>
      <c r="J4472" s="86">
        <f>SUMIFS('Wind Proxy'!$H$8:$H$19,'Wind Proxy'!$A$8:$A$19,Estimator!$B$4,'Wind Proxy'!$B$8:$B$19,C4472)</f>
        <v>0</v>
      </c>
    </row>
    <row r="4473" spans="1:10" ht="14.4">
      <c r="A4473" s="84">
        <v>50124</v>
      </c>
      <c r="B4473" s="85">
        <v>2037</v>
      </c>
      <c r="C4473" s="85">
        <v>3</v>
      </c>
      <c r="D4473" s="85" t="s">
        <v>60</v>
      </c>
      <c r="E4473" s="85">
        <v>25</v>
      </c>
      <c r="F4473" s="85">
        <v>3</v>
      </c>
      <c r="G4473" s="85">
        <f>--(F4473&lt;=Estimator!$B$7)</f>
        <v>1</v>
      </c>
      <c r="H4473" s="86">
        <f>SUMIFS('Climate Data'!$G$7:$G$366,'Climate Data'!$A$7:$A$366,Estimator!$B$4,'Climate Data'!$B$7:$B$366,C4473)</f>
        <v>0.18494623655913978</v>
      </c>
      <c r="I4473" s="87">
        <f>SUMIFS('Climate Data'!$H$7:$H$366,'Climate Data'!$A$7:$A$366,Estimator!$B$4,'Climate Data'!$B$7:$B$366,C4473)</f>
        <v>7.8662790697674421</v>
      </c>
      <c r="J4473" s="86">
        <f>SUMIFS('Wind Proxy'!$H$8:$H$19,'Wind Proxy'!$A$8:$A$19,Estimator!$B$4,'Wind Proxy'!$B$8:$B$19,C4473)</f>
        <v>0</v>
      </c>
    </row>
    <row r="4474" spans="1:10" ht="14.4">
      <c r="A4474" s="84">
        <v>50125</v>
      </c>
      <c r="B4474" s="85">
        <v>2037</v>
      </c>
      <c r="C4474" s="85">
        <v>3</v>
      </c>
      <c r="D4474" s="85" t="s">
        <v>60</v>
      </c>
      <c r="E4474" s="85">
        <v>26</v>
      </c>
      <c r="F4474" s="85">
        <v>4</v>
      </c>
      <c r="G4474" s="85">
        <f>--(F4474&lt;=Estimator!$B$7)</f>
        <v>1</v>
      </c>
      <c r="H4474" s="86">
        <f>SUMIFS('Climate Data'!$G$7:$G$366,'Climate Data'!$A$7:$A$366,Estimator!$B$4,'Climate Data'!$B$7:$B$366,C4474)</f>
        <v>0.18494623655913978</v>
      </c>
      <c r="I4474" s="87">
        <f>SUMIFS('Climate Data'!$H$7:$H$366,'Climate Data'!$A$7:$A$366,Estimator!$B$4,'Climate Data'!$B$7:$B$366,C4474)</f>
        <v>7.8662790697674421</v>
      </c>
      <c r="J4474" s="86">
        <f>SUMIFS('Wind Proxy'!$H$8:$H$19,'Wind Proxy'!$A$8:$A$19,Estimator!$B$4,'Wind Proxy'!$B$8:$B$19,C4474)</f>
        <v>0</v>
      </c>
    </row>
    <row r="4475" spans="1:10" ht="14.4">
      <c r="A4475" s="84">
        <v>50126</v>
      </c>
      <c r="B4475" s="85">
        <v>2037</v>
      </c>
      <c r="C4475" s="85">
        <v>3</v>
      </c>
      <c r="D4475" s="85" t="s">
        <v>60</v>
      </c>
      <c r="E4475" s="85">
        <v>27</v>
      </c>
      <c r="F4475" s="85">
        <v>5</v>
      </c>
      <c r="G4475" s="85">
        <f>--(F4475&lt;=Estimator!$B$7)</f>
        <v>1</v>
      </c>
      <c r="H4475" s="86">
        <f>SUMIFS('Climate Data'!$G$7:$G$366,'Climate Data'!$A$7:$A$366,Estimator!$B$4,'Climate Data'!$B$7:$B$366,C4475)</f>
        <v>0.18494623655913978</v>
      </c>
      <c r="I4475" s="87">
        <f>SUMIFS('Climate Data'!$H$7:$H$366,'Climate Data'!$A$7:$A$366,Estimator!$B$4,'Climate Data'!$B$7:$B$366,C4475)</f>
        <v>7.8662790697674421</v>
      </c>
      <c r="J4475" s="86">
        <f>SUMIFS('Wind Proxy'!$H$8:$H$19,'Wind Proxy'!$A$8:$A$19,Estimator!$B$4,'Wind Proxy'!$B$8:$B$19,C4475)</f>
        <v>0</v>
      </c>
    </row>
    <row r="4476" spans="1:10" ht="14.4">
      <c r="A4476" s="84">
        <v>50127</v>
      </c>
      <c r="B4476" s="85">
        <v>2037</v>
      </c>
      <c r="C4476" s="85">
        <v>3</v>
      </c>
      <c r="D4476" s="85" t="s">
        <v>60</v>
      </c>
      <c r="E4476" s="85">
        <v>28</v>
      </c>
      <c r="F4476" s="85">
        <v>6</v>
      </c>
      <c r="G4476" s="85">
        <f>--(F4476&lt;=Estimator!$B$7)</f>
        <v>0</v>
      </c>
      <c r="H4476" s="86">
        <f>SUMIFS('Climate Data'!$G$7:$G$366,'Climate Data'!$A$7:$A$366,Estimator!$B$4,'Climate Data'!$B$7:$B$366,C4476)</f>
        <v>0.18494623655913978</v>
      </c>
      <c r="I4476" s="87">
        <f>SUMIFS('Climate Data'!$H$7:$H$366,'Climate Data'!$A$7:$A$366,Estimator!$B$4,'Climate Data'!$B$7:$B$366,C4476)</f>
        <v>7.8662790697674421</v>
      </c>
      <c r="J4476" s="86">
        <f>SUMIFS('Wind Proxy'!$H$8:$H$19,'Wind Proxy'!$A$8:$A$19,Estimator!$B$4,'Wind Proxy'!$B$8:$B$19,C4476)</f>
        <v>0</v>
      </c>
    </row>
    <row r="4477" spans="1:10" ht="14.4">
      <c r="A4477" s="84">
        <v>50128</v>
      </c>
      <c r="B4477" s="85">
        <v>2037</v>
      </c>
      <c r="C4477" s="85">
        <v>3</v>
      </c>
      <c r="D4477" s="85" t="s">
        <v>60</v>
      </c>
      <c r="E4477" s="85">
        <v>29</v>
      </c>
      <c r="F4477" s="85">
        <v>7</v>
      </c>
      <c r="G4477" s="85">
        <f>--(F4477&lt;=Estimator!$B$7)</f>
        <v>0</v>
      </c>
      <c r="H4477" s="86">
        <f>SUMIFS('Climate Data'!$G$7:$G$366,'Climate Data'!$A$7:$A$366,Estimator!$B$4,'Climate Data'!$B$7:$B$366,C4477)</f>
        <v>0.18494623655913978</v>
      </c>
      <c r="I4477" s="87">
        <f>SUMIFS('Climate Data'!$H$7:$H$366,'Climate Data'!$A$7:$A$366,Estimator!$B$4,'Climate Data'!$B$7:$B$366,C4477)</f>
        <v>7.8662790697674421</v>
      </c>
      <c r="J4477" s="86">
        <f>SUMIFS('Wind Proxy'!$H$8:$H$19,'Wind Proxy'!$A$8:$A$19,Estimator!$B$4,'Wind Proxy'!$B$8:$B$19,C4477)</f>
        <v>0</v>
      </c>
    </row>
    <row r="4478" spans="1:10" ht="14.4">
      <c r="A4478" s="84">
        <v>50129</v>
      </c>
      <c r="B4478" s="85">
        <v>2037</v>
      </c>
      <c r="C4478" s="85">
        <v>3</v>
      </c>
      <c r="D4478" s="85" t="s">
        <v>60</v>
      </c>
      <c r="E4478" s="85">
        <v>30</v>
      </c>
      <c r="F4478" s="85">
        <v>1</v>
      </c>
      <c r="G4478" s="85">
        <f>--(F4478&lt;=Estimator!$B$7)</f>
        <v>1</v>
      </c>
      <c r="H4478" s="86">
        <f>SUMIFS('Climate Data'!$G$7:$G$366,'Climate Data'!$A$7:$A$366,Estimator!$B$4,'Climate Data'!$B$7:$B$366,C4478)</f>
        <v>0.18494623655913978</v>
      </c>
      <c r="I4478" s="87">
        <f>SUMIFS('Climate Data'!$H$7:$H$366,'Climate Data'!$A$7:$A$366,Estimator!$B$4,'Climate Data'!$B$7:$B$366,C4478)</f>
        <v>7.8662790697674421</v>
      </c>
      <c r="J4478" s="86">
        <f>SUMIFS('Wind Proxy'!$H$8:$H$19,'Wind Proxy'!$A$8:$A$19,Estimator!$B$4,'Wind Proxy'!$B$8:$B$19,C4478)</f>
        <v>0</v>
      </c>
    </row>
    <row r="4479" spans="1:10" ht="14.4">
      <c r="A4479" s="84">
        <v>50130</v>
      </c>
      <c r="B4479" s="85">
        <v>2037</v>
      </c>
      <c r="C4479" s="85">
        <v>3</v>
      </c>
      <c r="D4479" s="85" t="s">
        <v>60</v>
      </c>
      <c r="E4479" s="85">
        <v>31</v>
      </c>
      <c r="F4479" s="85">
        <v>2</v>
      </c>
      <c r="G4479" s="85">
        <f>--(F4479&lt;=Estimator!$B$7)</f>
        <v>1</v>
      </c>
      <c r="H4479" s="86">
        <f>SUMIFS('Climate Data'!$G$7:$G$366,'Climate Data'!$A$7:$A$366,Estimator!$B$4,'Climate Data'!$B$7:$B$366,C4479)</f>
        <v>0.18494623655913978</v>
      </c>
      <c r="I4479" s="87">
        <f>SUMIFS('Climate Data'!$H$7:$H$366,'Climate Data'!$A$7:$A$366,Estimator!$B$4,'Climate Data'!$B$7:$B$366,C4479)</f>
        <v>7.8662790697674421</v>
      </c>
      <c r="J4479" s="86">
        <f>SUMIFS('Wind Proxy'!$H$8:$H$19,'Wind Proxy'!$A$8:$A$19,Estimator!$B$4,'Wind Proxy'!$B$8:$B$19,C4479)</f>
        <v>0</v>
      </c>
    </row>
    <row r="4480" spans="1:10" ht="14.4">
      <c r="A4480" s="84">
        <v>50131</v>
      </c>
      <c r="B4480" s="85">
        <v>2037</v>
      </c>
      <c r="C4480" s="85">
        <v>4</v>
      </c>
      <c r="D4480" s="85" t="s">
        <v>62</v>
      </c>
      <c r="E4480" s="85">
        <v>1</v>
      </c>
      <c r="F4480" s="85">
        <v>3</v>
      </c>
      <c r="G4480" s="85">
        <f>--(F4480&lt;=Estimator!$B$7)</f>
        <v>1</v>
      </c>
      <c r="H4480" s="86">
        <f>SUMIFS('Climate Data'!$G$7:$G$366,'Climate Data'!$A$7:$A$366,Estimator!$B$4,'Climate Data'!$B$7:$B$366,C4480)</f>
        <v>0.25555555555555559</v>
      </c>
      <c r="I4480" s="87">
        <f>SUMIFS('Climate Data'!$H$7:$H$366,'Climate Data'!$A$7:$A$366,Estimator!$B$4,'Climate Data'!$B$7:$B$366,C4480)</f>
        <v>7.5</v>
      </c>
      <c r="J4480" s="86">
        <f>SUMIFS('Wind Proxy'!$H$8:$H$19,'Wind Proxy'!$A$8:$A$19,Estimator!$B$4,'Wind Proxy'!$B$8:$B$19,C4480)</f>
        <v>0</v>
      </c>
    </row>
    <row r="4481" spans="1:10" ht="14.4">
      <c r="A4481" s="84">
        <v>50132</v>
      </c>
      <c r="B4481" s="85">
        <v>2037</v>
      </c>
      <c r="C4481" s="85">
        <v>4</v>
      </c>
      <c r="D4481" s="85" t="s">
        <v>62</v>
      </c>
      <c r="E4481" s="85">
        <v>2</v>
      </c>
      <c r="F4481" s="85">
        <v>4</v>
      </c>
      <c r="G4481" s="85">
        <f>--(F4481&lt;=Estimator!$B$7)</f>
        <v>1</v>
      </c>
      <c r="H4481" s="86">
        <f>SUMIFS('Climate Data'!$G$7:$G$366,'Climate Data'!$A$7:$A$366,Estimator!$B$4,'Climate Data'!$B$7:$B$366,C4481)</f>
        <v>0.25555555555555559</v>
      </c>
      <c r="I4481" s="87">
        <f>SUMIFS('Climate Data'!$H$7:$H$366,'Climate Data'!$A$7:$A$366,Estimator!$B$4,'Climate Data'!$B$7:$B$366,C4481)</f>
        <v>7.5</v>
      </c>
      <c r="J4481" s="86">
        <f>SUMIFS('Wind Proxy'!$H$8:$H$19,'Wind Proxy'!$A$8:$A$19,Estimator!$B$4,'Wind Proxy'!$B$8:$B$19,C4481)</f>
        <v>0</v>
      </c>
    </row>
    <row r="4482" spans="1:10" ht="14.4">
      <c r="A4482" s="84">
        <v>50133</v>
      </c>
      <c r="B4482" s="85">
        <v>2037</v>
      </c>
      <c r="C4482" s="85">
        <v>4</v>
      </c>
      <c r="D4482" s="85" t="s">
        <v>62</v>
      </c>
      <c r="E4482" s="85">
        <v>3</v>
      </c>
      <c r="F4482" s="85">
        <v>5</v>
      </c>
      <c r="G4482" s="85">
        <f>--(F4482&lt;=Estimator!$B$7)</f>
        <v>1</v>
      </c>
      <c r="H4482" s="86">
        <f>SUMIFS('Climate Data'!$G$7:$G$366,'Climate Data'!$A$7:$A$366,Estimator!$B$4,'Climate Data'!$B$7:$B$366,C4482)</f>
        <v>0.25555555555555559</v>
      </c>
      <c r="I4482" s="87">
        <f>SUMIFS('Climate Data'!$H$7:$H$366,'Climate Data'!$A$7:$A$366,Estimator!$B$4,'Climate Data'!$B$7:$B$366,C4482)</f>
        <v>7.5</v>
      </c>
      <c r="J4482" s="86">
        <f>SUMIFS('Wind Proxy'!$H$8:$H$19,'Wind Proxy'!$A$8:$A$19,Estimator!$B$4,'Wind Proxy'!$B$8:$B$19,C4482)</f>
        <v>0</v>
      </c>
    </row>
    <row r="4483" spans="1:10" ht="14.4">
      <c r="A4483" s="84">
        <v>50134</v>
      </c>
      <c r="B4483" s="85">
        <v>2037</v>
      </c>
      <c r="C4483" s="85">
        <v>4</v>
      </c>
      <c r="D4483" s="85" t="s">
        <v>62</v>
      </c>
      <c r="E4483" s="85">
        <v>4</v>
      </c>
      <c r="F4483" s="85">
        <v>6</v>
      </c>
      <c r="G4483" s="85">
        <f>--(F4483&lt;=Estimator!$B$7)</f>
        <v>0</v>
      </c>
      <c r="H4483" s="86">
        <f>SUMIFS('Climate Data'!$G$7:$G$366,'Climate Data'!$A$7:$A$366,Estimator!$B$4,'Climate Data'!$B$7:$B$366,C4483)</f>
        <v>0.25555555555555559</v>
      </c>
      <c r="I4483" s="87">
        <f>SUMIFS('Climate Data'!$H$7:$H$366,'Climate Data'!$A$7:$A$366,Estimator!$B$4,'Climate Data'!$B$7:$B$366,C4483)</f>
        <v>7.5</v>
      </c>
      <c r="J4483" s="86">
        <f>SUMIFS('Wind Proxy'!$H$8:$H$19,'Wind Proxy'!$A$8:$A$19,Estimator!$B$4,'Wind Proxy'!$B$8:$B$19,C4483)</f>
        <v>0</v>
      </c>
    </row>
    <row r="4484" spans="1:10" ht="14.4">
      <c r="A4484" s="84">
        <v>50135</v>
      </c>
      <c r="B4484" s="85">
        <v>2037</v>
      </c>
      <c r="C4484" s="85">
        <v>4</v>
      </c>
      <c r="D4484" s="85" t="s">
        <v>62</v>
      </c>
      <c r="E4484" s="85">
        <v>5</v>
      </c>
      <c r="F4484" s="85">
        <v>7</v>
      </c>
      <c r="G4484" s="85">
        <f>--(F4484&lt;=Estimator!$B$7)</f>
        <v>0</v>
      </c>
      <c r="H4484" s="86">
        <f>SUMIFS('Climate Data'!$G$7:$G$366,'Climate Data'!$A$7:$A$366,Estimator!$B$4,'Climate Data'!$B$7:$B$366,C4484)</f>
        <v>0.25555555555555559</v>
      </c>
      <c r="I4484" s="87">
        <f>SUMIFS('Climate Data'!$H$7:$H$366,'Climate Data'!$A$7:$A$366,Estimator!$B$4,'Climate Data'!$B$7:$B$366,C4484)</f>
        <v>7.5</v>
      </c>
      <c r="J4484" s="86">
        <f>SUMIFS('Wind Proxy'!$H$8:$H$19,'Wind Proxy'!$A$8:$A$19,Estimator!$B$4,'Wind Proxy'!$B$8:$B$19,C4484)</f>
        <v>0</v>
      </c>
    </row>
    <row r="4485" spans="1:10" ht="14.4">
      <c r="A4485" s="84">
        <v>50136</v>
      </c>
      <c r="B4485" s="85">
        <v>2037</v>
      </c>
      <c r="C4485" s="85">
        <v>4</v>
      </c>
      <c r="D4485" s="85" t="s">
        <v>62</v>
      </c>
      <c r="E4485" s="85">
        <v>6</v>
      </c>
      <c r="F4485" s="85">
        <v>1</v>
      </c>
      <c r="G4485" s="85">
        <f>--(F4485&lt;=Estimator!$B$7)</f>
        <v>1</v>
      </c>
      <c r="H4485" s="86">
        <f>SUMIFS('Climate Data'!$G$7:$G$366,'Climate Data'!$A$7:$A$366,Estimator!$B$4,'Climate Data'!$B$7:$B$366,C4485)</f>
        <v>0.25555555555555559</v>
      </c>
      <c r="I4485" s="87">
        <f>SUMIFS('Climate Data'!$H$7:$H$366,'Climate Data'!$A$7:$A$366,Estimator!$B$4,'Climate Data'!$B$7:$B$366,C4485)</f>
        <v>7.5</v>
      </c>
      <c r="J4485" s="86">
        <f>SUMIFS('Wind Proxy'!$H$8:$H$19,'Wind Proxy'!$A$8:$A$19,Estimator!$B$4,'Wind Proxy'!$B$8:$B$19,C4485)</f>
        <v>0</v>
      </c>
    </row>
    <row r="4486" spans="1:10" ht="14.4">
      <c r="A4486" s="84">
        <v>50137</v>
      </c>
      <c r="B4486" s="85">
        <v>2037</v>
      </c>
      <c r="C4486" s="85">
        <v>4</v>
      </c>
      <c r="D4486" s="85" t="s">
        <v>62</v>
      </c>
      <c r="E4486" s="85">
        <v>7</v>
      </c>
      <c r="F4486" s="85">
        <v>2</v>
      </c>
      <c r="G4486" s="85">
        <f>--(F4486&lt;=Estimator!$B$7)</f>
        <v>1</v>
      </c>
      <c r="H4486" s="86">
        <f>SUMIFS('Climate Data'!$G$7:$G$366,'Climate Data'!$A$7:$A$366,Estimator!$B$4,'Climate Data'!$B$7:$B$366,C4486)</f>
        <v>0.25555555555555559</v>
      </c>
      <c r="I4486" s="87">
        <f>SUMIFS('Climate Data'!$H$7:$H$366,'Climate Data'!$A$7:$A$366,Estimator!$B$4,'Climate Data'!$B$7:$B$366,C4486)</f>
        <v>7.5</v>
      </c>
      <c r="J4486" s="86">
        <f>SUMIFS('Wind Proxy'!$H$8:$H$19,'Wind Proxy'!$A$8:$A$19,Estimator!$B$4,'Wind Proxy'!$B$8:$B$19,C4486)</f>
        <v>0</v>
      </c>
    </row>
    <row r="4487" spans="1:10" ht="14.4">
      <c r="A4487" s="84">
        <v>50138</v>
      </c>
      <c r="B4487" s="85">
        <v>2037</v>
      </c>
      <c r="C4487" s="85">
        <v>4</v>
      </c>
      <c r="D4487" s="85" t="s">
        <v>62</v>
      </c>
      <c r="E4487" s="85">
        <v>8</v>
      </c>
      <c r="F4487" s="85">
        <v>3</v>
      </c>
      <c r="G4487" s="85">
        <f>--(F4487&lt;=Estimator!$B$7)</f>
        <v>1</v>
      </c>
      <c r="H4487" s="86">
        <f>SUMIFS('Climate Data'!$G$7:$G$366,'Climate Data'!$A$7:$A$366,Estimator!$B$4,'Climate Data'!$B$7:$B$366,C4487)</f>
        <v>0.25555555555555559</v>
      </c>
      <c r="I4487" s="87">
        <f>SUMIFS('Climate Data'!$H$7:$H$366,'Climate Data'!$A$7:$A$366,Estimator!$B$4,'Climate Data'!$B$7:$B$366,C4487)</f>
        <v>7.5</v>
      </c>
      <c r="J4487" s="86">
        <f>SUMIFS('Wind Proxy'!$H$8:$H$19,'Wind Proxy'!$A$8:$A$19,Estimator!$B$4,'Wind Proxy'!$B$8:$B$19,C4487)</f>
        <v>0</v>
      </c>
    </row>
    <row r="4488" spans="1:10" ht="14.4">
      <c r="A4488" s="84">
        <v>50139</v>
      </c>
      <c r="B4488" s="85">
        <v>2037</v>
      </c>
      <c r="C4488" s="85">
        <v>4</v>
      </c>
      <c r="D4488" s="85" t="s">
        <v>62</v>
      </c>
      <c r="E4488" s="85">
        <v>9</v>
      </c>
      <c r="F4488" s="85">
        <v>4</v>
      </c>
      <c r="G4488" s="85">
        <f>--(F4488&lt;=Estimator!$B$7)</f>
        <v>1</v>
      </c>
      <c r="H4488" s="86">
        <f>SUMIFS('Climate Data'!$G$7:$G$366,'Climate Data'!$A$7:$A$366,Estimator!$B$4,'Climate Data'!$B$7:$B$366,C4488)</f>
        <v>0.25555555555555559</v>
      </c>
      <c r="I4488" s="87">
        <f>SUMIFS('Climate Data'!$H$7:$H$366,'Climate Data'!$A$7:$A$366,Estimator!$B$4,'Climate Data'!$B$7:$B$366,C4488)</f>
        <v>7.5</v>
      </c>
      <c r="J4488" s="86">
        <f>SUMIFS('Wind Proxy'!$H$8:$H$19,'Wind Proxy'!$A$8:$A$19,Estimator!$B$4,'Wind Proxy'!$B$8:$B$19,C4488)</f>
        <v>0</v>
      </c>
    </row>
    <row r="4489" spans="1:10" ht="14.4">
      <c r="A4489" s="84">
        <v>50140</v>
      </c>
      <c r="B4489" s="85">
        <v>2037</v>
      </c>
      <c r="C4489" s="85">
        <v>4</v>
      </c>
      <c r="D4489" s="85" t="s">
        <v>62</v>
      </c>
      <c r="E4489" s="85">
        <v>10</v>
      </c>
      <c r="F4489" s="85">
        <v>5</v>
      </c>
      <c r="G4489" s="85">
        <f>--(F4489&lt;=Estimator!$B$7)</f>
        <v>1</v>
      </c>
      <c r="H4489" s="86">
        <f>SUMIFS('Climate Data'!$G$7:$G$366,'Climate Data'!$A$7:$A$366,Estimator!$B$4,'Climate Data'!$B$7:$B$366,C4489)</f>
        <v>0.25555555555555559</v>
      </c>
      <c r="I4489" s="87">
        <f>SUMIFS('Climate Data'!$H$7:$H$366,'Climate Data'!$A$7:$A$366,Estimator!$B$4,'Climate Data'!$B$7:$B$366,C4489)</f>
        <v>7.5</v>
      </c>
      <c r="J4489" s="86">
        <f>SUMIFS('Wind Proxy'!$H$8:$H$19,'Wind Proxy'!$A$8:$A$19,Estimator!$B$4,'Wind Proxy'!$B$8:$B$19,C4489)</f>
        <v>0</v>
      </c>
    </row>
    <row r="4490" spans="1:10" ht="14.4">
      <c r="A4490" s="84">
        <v>50141</v>
      </c>
      <c r="B4490" s="85">
        <v>2037</v>
      </c>
      <c r="C4490" s="85">
        <v>4</v>
      </c>
      <c r="D4490" s="85" t="s">
        <v>62</v>
      </c>
      <c r="E4490" s="85">
        <v>11</v>
      </c>
      <c r="F4490" s="85">
        <v>6</v>
      </c>
      <c r="G4490" s="85">
        <f>--(F4490&lt;=Estimator!$B$7)</f>
        <v>0</v>
      </c>
      <c r="H4490" s="86">
        <f>SUMIFS('Climate Data'!$G$7:$G$366,'Climate Data'!$A$7:$A$366,Estimator!$B$4,'Climate Data'!$B$7:$B$366,C4490)</f>
        <v>0.25555555555555559</v>
      </c>
      <c r="I4490" s="87">
        <f>SUMIFS('Climate Data'!$H$7:$H$366,'Climate Data'!$A$7:$A$366,Estimator!$B$4,'Climate Data'!$B$7:$B$366,C4490)</f>
        <v>7.5</v>
      </c>
      <c r="J4490" s="86">
        <f>SUMIFS('Wind Proxy'!$H$8:$H$19,'Wind Proxy'!$A$8:$A$19,Estimator!$B$4,'Wind Proxy'!$B$8:$B$19,C4490)</f>
        <v>0</v>
      </c>
    </row>
    <row r="4491" spans="1:10" ht="14.4">
      <c r="A4491" s="84">
        <v>50142</v>
      </c>
      <c r="B4491" s="85">
        <v>2037</v>
      </c>
      <c r="C4491" s="85">
        <v>4</v>
      </c>
      <c r="D4491" s="85" t="s">
        <v>62</v>
      </c>
      <c r="E4491" s="85">
        <v>12</v>
      </c>
      <c r="F4491" s="85">
        <v>7</v>
      </c>
      <c r="G4491" s="85">
        <f>--(F4491&lt;=Estimator!$B$7)</f>
        <v>0</v>
      </c>
      <c r="H4491" s="86">
        <f>SUMIFS('Climate Data'!$G$7:$G$366,'Climate Data'!$A$7:$A$366,Estimator!$B$4,'Climate Data'!$B$7:$B$366,C4491)</f>
        <v>0.25555555555555559</v>
      </c>
      <c r="I4491" s="87">
        <f>SUMIFS('Climate Data'!$H$7:$H$366,'Climate Data'!$A$7:$A$366,Estimator!$B$4,'Climate Data'!$B$7:$B$366,C4491)</f>
        <v>7.5</v>
      </c>
      <c r="J4491" s="86">
        <f>SUMIFS('Wind Proxy'!$H$8:$H$19,'Wind Proxy'!$A$8:$A$19,Estimator!$B$4,'Wind Proxy'!$B$8:$B$19,C4491)</f>
        <v>0</v>
      </c>
    </row>
    <row r="4492" spans="1:10" ht="14.4">
      <c r="A4492" s="84">
        <v>50143</v>
      </c>
      <c r="B4492" s="85">
        <v>2037</v>
      </c>
      <c r="C4492" s="85">
        <v>4</v>
      </c>
      <c r="D4492" s="85" t="s">
        <v>62</v>
      </c>
      <c r="E4492" s="85">
        <v>13</v>
      </c>
      <c r="F4492" s="85">
        <v>1</v>
      </c>
      <c r="G4492" s="85">
        <f>--(F4492&lt;=Estimator!$B$7)</f>
        <v>1</v>
      </c>
      <c r="H4492" s="86">
        <f>SUMIFS('Climate Data'!$G$7:$G$366,'Climate Data'!$A$7:$A$366,Estimator!$B$4,'Climate Data'!$B$7:$B$366,C4492)</f>
        <v>0.25555555555555559</v>
      </c>
      <c r="I4492" s="87">
        <f>SUMIFS('Climate Data'!$H$7:$H$366,'Climate Data'!$A$7:$A$366,Estimator!$B$4,'Climate Data'!$B$7:$B$366,C4492)</f>
        <v>7.5</v>
      </c>
      <c r="J4492" s="86">
        <f>SUMIFS('Wind Proxy'!$H$8:$H$19,'Wind Proxy'!$A$8:$A$19,Estimator!$B$4,'Wind Proxy'!$B$8:$B$19,C4492)</f>
        <v>0</v>
      </c>
    </row>
    <row r="4493" spans="1:10" ht="14.4">
      <c r="A4493" s="84">
        <v>50144</v>
      </c>
      <c r="B4493" s="85">
        <v>2037</v>
      </c>
      <c r="C4493" s="85">
        <v>4</v>
      </c>
      <c r="D4493" s="85" t="s">
        <v>62</v>
      </c>
      <c r="E4493" s="85">
        <v>14</v>
      </c>
      <c r="F4493" s="85">
        <v>2</v>
      </c>
      <c r="G4493" s="85">
        <f>--(F4493&lt;=Estimator!$B$7)</f>
        <v>1</v>
      </c>
      <c r="H4493" s="86">
        <f>SUMIFS('Climate Data'!$G$7:$G$366,'Climate Data'!$A$7:$A$366,Estimator!$B$4,'Climate Data'!$B$7:$B$366,C4493)</f>
        <v>0.25555555555555559</v>
      </c>
      <c r="I4493" s="87">
        <f>SUMIFS('Climate Data'!$H$7:$H$366,'Climate Data'!$A$7:$A$366,Estimator!$B$4,'Climate Data'!$B$7:$B$366,C4493)</f>
        <v>7.5</v>
      </c>
      <c r="J4493" s="86">
        <f>SUMIFS('Wind Proxy'!$H$8:$H$19,'Wind Proxy'!$A$8:$A$19,Estimator!$B$4,'Wind Proxy'!$B$8:$B$19,C4493)</f>
        <v>0</v>
      </c>
    </row>
    <row r="4494" spans="1:10" ht="14.4">
      <c r="A4494" s="84">
        <v>50145</v>
      </c>
      <c r="B4494" s="85">
        <v>2037</v>
      </c>
      <c r="C4494" s="85">
        <v>4</v>
      </c>
      <c r="D4494" s="85" t="s">
        <v>62</v>
      </c>
      <c r="E4494" s="85">
        <v>15</v>
      </c>
      <c r="F4494" s="85">
        <v>3</v>
      </c>
      <c r="G4494" s="85">
        <f>--(F4494&lt;=Estimator!$B$7)</f>
        <v>1</v>
      </c>
      <c r="H4494" s="86">
        <f>SUMIFS('Climate Data'!$G$7:$G$366,'Climate Data'!$A$7:$A$366,Estimator!$B$4,'Climate Data'!$B$7:$B$366,C4494)</f>
        <v>0.25555555555555559</v>
      </c>
      <c r="I4494" s="87">
        <f>SUMIFS('Climate Data'!$H$7:$H$366,'Climate Data'!$A$7:$A$366,Estimator!$B$4,'Climate Data'!$B$7:$B$366,C4494)</f>
        <v>7.5</v>
      </c>
      <c r="J4494" s="86">
        <f>SUMIFS('Wind Proxy'!$H$8:$H$19,'Wind Proxy'!$A$8:$A$19,Estimator!$B$4,'Wind Proxy'!$B$8:$B$19,C4494)</f>
        <v>0</v>
      </c>
    </row>
    <row r="4495" spans="1:10" ht="14.4">
      <c r="A4495" s="84">
        <v>50146</v>
      </c>
      <c r="B4495" s="85">
        <v>2037</v>
      </c>
      <c r="C4495" s="85">
        <v>4</v>
      </c>
      <c r="D4495" s="85" t="s">
        <v>62</v>
      </c>
      <c r="E4495" s="85">
        <v>16</v>
      </c>
      <c r="F4495" s="85">
        <v>4</v>
      </c>
      <c r="G4495" s="85">
        <f>--(F4495&lt;=Estimator!$B$7)</f>
        <v>1</v>
      </c>
      <c r="H4495" s="86">
        <f>SUMIFS('Climate Data'!$G$7:$G$366,'Climate Data'!$A$7:$A$366,Estimator!$B$4,'Climate Data'!$B$7:$B$366,C4495)</f>
        <v>0.25555555555555559</v>
      </c>
      <c r="I4495" s="87">
        <f>SUMIFS('Climate Data'!$H$7:$H$366,'Climate Data'!$A$7:$A$366,Estimator!$B$4,'Climate Data'!$B$7:$B$366,C4495)</f>
        <v>7.5</v>
      </c>
      <c r="J4495" s="86">
        <f>SUMIFS('Wind Proxy'!$H$8:$H$19,'Wind Proxy'!$A$8:$A$19,Estimator!$B$4,'Wind Proxy'!$B$8:$B$19,C4495)</f>
        <v>0</v>
      </c>
    </row>
    <row r="4496" spans="1:10" ht="14.4">
      <c r="A4496" s="84">
        <v>50147</v>
      </c>
      <c r="B4496" s="85">
        <v>2037</v>
      </c>
      <c r="C4496" s="85">
        <v>4</v>
      </c>
      <c r="D4496" s="85" t="s">
        <v>62</v>
      </c>
      <c r="E4496" s="85">
        <v>17</v>
      </c>
      <c r="F4496" s="85">
        <v>5</v>
      </c>
      <c r="G4496" s="85">
        <f>--(F4496&lt;=Estimator!$B$7)</f>
        <v>1</v>
      </c>
      <c r="H4496" s="86">
        <f>SUMIFS('Climate Data'!$G$7:$G$366,'Climate Data'!$A$7:$A$366,Estimator!$B$4,'Climate Data'!$B$7:$B$366,C4496)</f>
        <v>0.25555555555555559</v>
      </c>
      <c r="I4496" s="87">
        <f>SUMIFS('Climate Data'!$H$7:$H$366,'Climate Data'!$A$7:$A$366,Estimator!$B$4,'Climate Data'!$B$7:$B$366,C4496)</f>
        <v>7.5</v>
      </c>
      <c r="J4496" s="86">
        <f>SUMIFS('Wind Proxy'!$H$8:$H$19,'Wind Proxy'!$A$8:$A$19,Estimator!$B$4,'Wind Proxy'!$B$8:$B$19,C4496)</f>
        <v>0</v>
      </c>
    </row>
    <row r="4497" spans="1:10" ht="14.4">
      <c r="A4497" s="84">
        <v>50148</v>
      </c>
      <c r="B4497" s="85">
        <v>2037</v>
      </c>
      <c r="C4497" s="85">
        <v>4</v>
      </c>
      <c r="D4497" s="85" t="s">
        <v>62</v>
      </c>
      <c r="E4497" s="85">
        <v>18</v>
      </c>
      <c r="F4497" s="85">
        <v>6</v>
      </c>
      <c r="G4497" s="85">
        <f>--(F4497&lt;=Estimator!$B$7)</f>
        <v>0</v>
      </c>
      <c r="H4497" s="86">
        <f>SUMIFS('Climate Data'!$G$7:$G$366,'Climate Data'!$A$7:$A$366,Estimator!$B$4,'Climate Data'!$B$7:$B$366,C4497)</f>
        <v>0.25555555555555559</v>
      </c>
      <c r="I4497" s="87">
        <f>SUMIFS('Climate Data'!$H$7:$H$366,'Climate Data'!$A$7:$A$366,Estimator!$B$4,'Climate Data'!$B$7:$B$366,C4497)</f>
        <v>7.5</v>
      </c>
      <c r="J4497" s="86">
        <f>SUMIFS('Wind Proxy'!$H$8:$H$19,'Wind Proxy'!$A$8:$A$19,Estimator!$B$4,'Wind Proxy'!$B$8:$B$19,C4497)</f>
        <v>0</v>
      </c>
    </row>
    <row r="4498" spans="1:10" ht="14.4">
      <c r="A4498" s="84">
        <v>50149</v>
      </c>
      <c r="B4498" s="85">
        <v>2037</v>
      </c>
      <c r="C4498" s="85">
        <v>4</v>
      </c>
      <c r="D4498" s="85" t="s">
        <v>62</v>
      </c>
      <c r="E4498" s="85">
        <v>19</v>
      </c>
      <c r="F4498" s="85">
        <v>7</v>
      </c>
      <c r="G4498" s="85">
        <f>--(F4498&lt;=Estimator!$B$7)</f>
        <v>0</v>
      </c>
      <c r="H4498" s="86">
        <f>SUMIFS('Climate Data'!$G$7:$G$366,'Climate Data'!$A$7:$A$366,Estimator!$B$4,'Climate Data'!$B$7:$B$366,C4498)</f>
        <v>0.25555555555555559</v>
      </c>
      <c r="I4498" s="87">
        <f>SUMIFS('Climate Data'!$H$7:$H$366,'Climate Data'!$A$7:$A$366,Estimator!$B$4,'Climate Data'!$B$7:$B$366,C4498)</f>
        <v>7.5</v>
      </c>
      <c r="J4498" s="86">
        <f>SUMIFS('Wind Proxy'!$H$8:$H$19,'Wind Proxy'!$A$8:$A$19,Estimator!$B$4,'Wind Proxy'!$B$8:$B$19,C4498)</f>
        <v>0</v>
      </c>
    </row>
    <row r="4499" spans="1:10" ht="14.4">
      <c r="A4499" s="84">
        <v>50150</v>
      </c>
      <c r="B4499" s="85">
        <v>2037</v>
      </c>
      <c r="C4499" s="85">
        <v>4</v>
      </c>
      <c r="D4499" s="85" t="s">
        <v>62</v>
      </c>
      <c r="E4499" s="85">
        <v>20</v>
      </c>
      <c r="F4499" s="85">
        <v>1</v>
      </c>
      <c r="G4499" s="85">
        <f>--(F4499&lt;=Estimator!$B$7)</f>
        <v>1</v>
      </c>
      <c r="H4499" s="86">
        <f>SUMIFS('Climate Data'!$G$7:$G$366,'Climate Data'!$A$7:$A$366,Estimator!$B$4,'Climate Data'!$B$7:$B$366,C4499)</f>
        <v>0.25555555555555559</v>
      </c>
      <c r="I4499" s="87">
        <f>SUMIFS('Climate Data'!$H$7:$H$366,'Climate Data'!$A$7:$A$366,Estimator!$B$4,'Climate Data'!$B$7:$B$366,C4499)</f>
        <v>7.5</v>
      </c>
      <c r="J4499" s="86">
        <f>SUMIFS('Wind Proxy'!$H$8:$H$19,'Wind Proxy'!$A$8:$A$19,Estimator!$B$4,'Wind Proxy'!$B$8:$B$19,C4499)</f>
        <v>0</v>
      </c>
    </row>
    <row r="4500" spans="1:10" ht="14.4">
      <c r="A4500" s="84">
        <v>50151</v>
      </c>
      <c r="B4500" s="85">
        <v>2037</v>
      </c>
      <c r="C4500" s="85">
        <v>4</v>
      </c>
      <c r="D4500" s="85" t="s">
        <v>62</v>
      </c>
      <c r="E4500" s="85">
        <v>21</v>
      </c>
      <c r="F4500" s="85">
        <v>2</v>
      </c>
      <c r="G4500" s="85">
        <f>--(F4500&lt;=Estimator!$B$7)</f>
        <v>1</v>
      </c>
      <c r="H4500" s="86">
        <f>SUMIFS('Climate Data'!$G$7:$G$366,'Climate Data'!$A$7:$A$366,Estimator!$B$4,'Climate Data'!$B$7:$B$366,C4500)</f>
        <v>0.25555555555555559</v>
      </c>
      <c r="I4500" s="87">
        <f>SUMIFS('Climate Data'!$H$7:$H$366,'Climate Data'!$A$7:$A$366,Estimator!$B$4,'Climate Data'!$B$7:$B$366,C4500)</f>
        <v>7.5</v>
      </c>
      <c r="J4500" s="86">
        <f>SUMIFS('Wind Proxy'!$H$8:$H$19,'Wind Proxy'!$A$8:$A$19,Estimator!$B$4,'Wind Proxy'!$B$8:$B$19,C4500)</f>
        <v>0</v>
      </c>
    </row>
    <row r="4501" spans="1:10" ht="14.4">
      <c r="A4501" s="84">
        <v>50152</v>
      </c>
      <c r="B4501" s="85">
        <v>2037</v>
      </c>
      <c r="C4501" s="85">
        <v>4</v>
      </c>
      <c r="D4501" s="85" t="s">
        <v>62</v>
      </c>
      <c r="E4501" s="85">
        <v>22</v>
      </c>
      <c r="F4501" s="85">
        <v>3</v>
      </c>
      <c r="G4501" s="85">
        <f>--(F4501&lt;=Estimator!$B$7)</f>
        <v>1</v>
      </c>
      <c r="H4501" s="86">
        <f>SUMIFS('Climate Data'!$G$7:$G$366,'Climate Data'!$A$7:$A$366,Estimator!$B$4,'Climate Data'!$B$7:$B$366,C4501)</f>
        <v>0.25555555555555559</v>
      </c>
      <c r="I4501" s="87">
        <f>SUMIFS('Climate Data'!$H$7:$H$366,'Climate Data'!$A$7:$A$366,Estimator!$B$4,'Climate Data'!$B$7:$B$366,C4501)</f>
        <v>7.5</v>
      </c>
      <c r="J4501" s="86">
        <f>SUMIFS('Wind Proxy'!$H$8:$H$19,'Wind Proxy'!$A$8:$A$19,Estimator!$B$4,'Wind Proxy'!$B$8:$B$19,C4501)</f>
        <v>0</v>
      </c>
    </row>
    <row r="4502" spans="1:10" ht="14.4">
      <c r="A4502" s="84">
        <v>50153</v>
      </c>
      <c r="B4502" s="85">
        <v>2037</v>
      </c>
      <c r="C4502" s="85">
        <v>4</v>
      </c>
      <c r="D4502" s="85" t="s">
        <v>62</v>
      </c>
      <c r="E4502" s="85">
        <v>23</v>
      </c>
      <c r="F4502" s="85">
        <v>4</v>
      </c>
      <c r="G4502" s="85">
        <f>--(F4502&lt;=Estimator!$B$7)</f>
        <v>1</v>
      </c>
      <c r="H4502" s="86">
        <f>SUMIFS('Climate Data'!$G$7:$G$366,'Climate Data'!$A$7:$A$366,Estimator!$B$4,'Climate Data'!$B$7:$B$366,C4502)</f>
        <v>0.25555555555555559</v>
      </c>
      <c r="I4502" s="87">
        <f>SUMIFS('Climate Data'!$H$7:$H$366,'Climate Data'!$A$7:$A$366,Estimator!$B$4,'Climate Data'!$B$7:$B$366,C4502)</f>
        <v>7.5</v>
      </c>
      <c r="J4502" s="86">
        <f>SUMIFS('Wind Proxy'!$H$8:$H$19,'Wind Proxy'!$A$8:$A$19,Estimator!$B$4,'Wind Proxy'!$B$8:$B$19,C4502)</f>
        <v>0</v>
      </c>
    </row>
    <row r="4503" spans="1:10" ht="14.4">
      <c r="A4503" s="84">
        <v>50154</v>
      </c>
      <c r="B4503" s="85">
        <v>2037</v>
      </c>
      <c r="C4503" s="85">
        <v>4</v>
      </c>
      <c r="D4503" s="85" t="s">
        <v>62</v>
      </c>
      <c r="E4503" s="85">
        <v>24</v>
      </c>
      <c r="F4503" s="85">
        <v>5</v>
      </c>
      <c r="G4503" s="85">
        <f>--(F4503&lt;=Estimator!$B$7)</f>
        <v>1</v>
      </c>
      <c r="H4503" s="86">
        <f>SUMIFS('Climate Data'!$G$7:$G$366,'Climate Data'!$A$7:$A$366,Estimator!$B$4,'Climate Data'!$B$7:$B$366,C4503)</f>
        <v>0.25555555555555559</v>
      </c>
      <c r="I4503" s="87">
        <f>SUMIFS('Climate Data'!$H$7:$H$366,'Climate Data'!$A$7:$A$366,Estimator!$B$4,'Climate Data'!$B$7:$B$366,C4503)</f>
        <v>7.5</v>
      </c>
      <c r="J4503" s="86">
        <f>SUMIFS('Wind Proxy'!$H$8:$H$19,'Wind Proxy'!$A$8:$A$19,Estimator!$B$4,'Wind Proxy'!$B$8:$B$19,C4503)</f>
        <v>0</v>
      </c>
    </row>
    <row r="4504" spans="1:10" ht="14.4">
      <c r="A4504" s="84">
        <v>50155</v>
      </c>
      <c r="B4504" s="85">
        <v>2037</v>
      </c>
      <c r="C4504" s="85">
        <v>4</v>
      </c>
      <c r="D4504" s="85" t="s">
        <v>62</v>
      </c>
      <c r="E4504" s="85">
        <v>25</v>
      </c>
      <c r="F4504" s="85">
        <v>6</v>
      </c>
      <c r="G4504" s="85">
        <f>--(F4504&lt;=Estimator!$B$7)</f>
        <v>0</v>
      </c>
      <c r="H4504" s="86">
        <f>SUMIFS('Climate Data'!$G$7:$G$366,'Climate Data'!$A$7:$A$366,Estimator!$B$4,'Climate Data'!$B$7:$B$366,C4504)</f>
        <v>0.25555555555555559</v>
      </c>
      <c r="I4504" s="87">
        <f>SUMIFS('Climate Data'!$H$7:$H$366,'Climate Data'!$A$7:$A$366,Estimator!$B$4,'Climate Data'!$B$7:$B$366,C4504)</f>
        <v>7.5</v>
      </c>
      <c r="J4504" s="86">
        <f>SUMIFS('Wind Proxy'!$H$8:$H$19,'Wind Proxy'!$A$8:$A$19,Estimator!$B$4,'Wind Proxy'!$B$8:$B$19,C4504)</f>
        <v>0</v>
      </c>
    </row>
    <row r="4505" spans="1:10" ht="14.4">
      <c r="A4505" s="84">
        <v>50156</v>
      </c>
      <c r="B4505" s="85">
        <v>2037</v>
      </c>
      <c r="C4505" s="85">
        <v>4</v>
      </c>
      <c r="D4505" s="85" t="s">
        <v>62</v>
      </c>
      <c r="E4505" s="85">
        <v>26</v>
      </c>
      <c r="F4505" s="85">
        <v>7</v>
      </c>
      <c r="G4505" s="85">
        <f>--(F4505&lt;=Estimator!$B$7)</f>
        <v>0</v>
      </c>
      <c r="H4505" s="86">
        <f>SUMIFS('Climate Data'!$G$7:$G$366,'Climate Data'!$A$7:$A$366,Estimator!$B$4,'Climate Data'!$B$7:$B$366,C4505)</f>
        <v>0.25555555555555559</v>
      </c>
      <c r="I4505" s="87">
        <f>SUMIFS('Climate Data'!$H$7:$H$366,'Climate Data'!$A$7:$A$366,Estimator!$B$4,'Climate Data'!$B$7:$B$366,C4505)</f>
        <v>7.5</v>
      </c>
      <c r="J4505" s="86">
        <f>SUMIFS('Wind Proxy'!$H$8:$H$19,'Wind Proxy'!$A$8:$A$19,Estimator!$B$4,'Wind Proxy'!$B$8:$B$19,C4505)</f>
        <v>0</v>
      </c>
    </row>
    <row r="4506" spans="1:10" ht="14.4">
      <c r="A4506" s="84">
        <v>50157</v>
      </c>
      <c r="B4506" s="85">
        <v>2037</v>
      </c>
      <c r="C4506" s="85">
        <v>4</v>
      </c>
      <c r="D4506" s="85" t="s">
        <v>62</v>
      </c>
      <c r="E4506" s="85">
        <v>27</v>
      </c>
      <c r="F4506" s="85">
        <v>1</v>
      </c>
      <c r="G4506" s="85">
        <f>--(F4506&lt;=Estimator!$B$7)</f>
        <v>1</v>
      </c>
      <c r="H4506" s="86">
        <f>SUMIFS('Climate Data'!$G$7:$G$366,'Climate Data'!$A$7:$A$366,Estimator!$B$4,'Climate Data'!$B$7:$B$366,C4506)</f>
        <v>0.25555555555555559</v>
      </c>
      <c r="I4506" s="87">
        <f>SUMIFS('Climate Data'!$H$7:$H$366,'Climate Data'!$A$7:$A$366,Estimator!$B$4,'Climate Data'!$B$7:$B$366,C4506)</f>
        <v>7.5</v>
      </c>
      <c r="J4506" s="86">
        <f>SUMIFS('Wind Proxy'!$H$8:$H$19,'Wind Proxy'!$A$8:$A$19,Estimator!$B$4,'Wind Proxy'!$B$8:$B$19,C4506)</f>
        <v>0</v>
      </c>
    </row>
    <row r="4507" spans="1:10" ht="14.4">
      <c r="A4507" s="84">
        <v>50158</v>
      </c>
      <c r="B4507" s="85">
        <v>2037</v>
      </c>
      <c r="C4507" s="85">
        <v>4</v>
      </c>
      <c r="D4507" s="85" t="s">
        <v>62</v>
      </c>
      <c r="E4507" s="85">
        <v>28</v>
      </c>
      <c r="F4507" s="85">
        <v>2</v>
      </c>
      <c r="G4507" s="85">
        <f>--(F4507&lt;=Estimator!$B$7)</f>
        <v>1</v>
      </c>
      <c r="H4507" s="86">
        <f>SUMIFS('Climate Data'!$G$7:$G$366,'Climate Data'!$A$7:$A$366,Estimator!$B$4,'Climate Data'!$B$7:$B$366,C4507)</f>
        <v>0.25555555555555559</v>
      </c>
      <c r="I4507" s="87">
        <f>SUMIFS('Climate Data'!$H$7:$H$366,'Climate Data'!$A$7:$A$366,Estimator!$B$4,'Climate Data'!$B$7:$B$366,C4507)</f>
        <v>7.5</v>
      </c>
      <c r="J4507" s="86">
        <f>SUMIFS('Wind Proxy'!$H$8:$H$19,'Wind Proxy'!$A$8:$A$19,Estimator!$B$4,'Wind Proxy'!$B$8:$B$19,C4507)</f>
        <v>0</v>
      </c>
    </row>
    <row r="4508" spans="1:10" ht="14.4">
      <c r="A4508" s="84">
        <v>50159</v>
      </c>
      <c r="B4508" s="85">
        <v>2037</v>
      </c>
      <c r="C4508" s="85">
        <v>4</v>
      </c>
      <c r="D4508" s="85" t="s">
        <v>62</v>
      </c>
      <c r="E4508" s="85">
        <v>29</v>
      </c>
      <c r="F4508" s="85">
        <v>3</v>
      </c>
      <c r="G4508" s="85">
        <f>--(F4508&lt;=Estimator!$B$7)</f>
        <v>1</v>
      </c>
      <c r="H4508" s="86">
        <f>SUMIFS('Climate Data'!$G$7:$G$366,'Climate Data'!$A$7:$A$366,Estimator!$B$4,'Climate Data'!$B$7:$B$366,C4508)</f>
        <v>0.25555555555555559</v>
      </c>
      <c r="I4508" s="87">
        <f>SUMIFS('Climate Data'!$H$7:$H$366,'Climate Data'!$A$7:$A$366,Estimator!$B$4,'Climate Data'!$B$7:$B$366,C4508)</f>
        <v>7.5</v>
      </c>
      <c r="J4508" s="86">
        <f>SUMIFS('Wind Proxy'!$H$8:$H$19,'Wind Proxy'!$A$8:$A$19,Estimator!$B$4,'Wind Proxy'!$B$8:$B$19,C4508)</f>
        <v>0</v>
      </c>
    </row>
    <row r="4509" spans="1:10" ht="14.4">
      <c r="A4509" s="84">
        <v>50160</v>
      </c>
      <c r="B4509" s="85">
        <v>2037</v>
      </c>
      <c r="C4509" s="85">
        <v>4</v>
      </c>
      <c r="D4509" s="85" t="s">
        <v>62</v>
      </c>
      <c r="E4509" s="85">
        <v>30</v>
      </c>
      <c r="F4509" s="85">
        <v>4</v>
      </c>
      <c r="G4509" s="85">
        <f>--(F4509&lt;=Estimator!$B$7)</f>
        <v>1</v>
      </c>
      <c r="H4509" s="86">
        <f>SUMIFS('Climate Data'!$G$7:$G$366,'Climate Data'!$A$7:$A$366,Estimator!$B$4,'Climate Data'!$B$7:$B$366,C4509)</f>
        <v>0.25555555555555559</v>
      </c>
      <c r="I4509" s="87">
        <f>SUMIFS('Climate Data'!$H$7:$H$366,'Climate Data'!$A$7:$A$366,Estimator!$B$4,'Climate Data'!$B$7:$B$366,C4509)</f>
        <v>7.5</v>
      </c>
      <c r="J4509" s="86">
        <f>SUMIFS('Wind Proxy'!$H$8:$H$19,'Wind Proxy'!$A$8:$A$19,Estimator!$B$4,'Wind Proxy'!$B$8:$B$19,C4509)</f>
        <v>0</v>
      </c>
    </row>
    <row r="4510" spans="1:10" ht="14.4">
      <c r="A4510" s="84">
        <v>50161</v>
      </c>
      <c r="B4510" s="85">
        <v>2037</v>
      </c>
      <c r="C4510" s="85">
        <v>5</v>
      </c>
      <c r="D4510" s="85" t="s">
        <v>65</v>
      </c>
      <c r="E4510" s="85">
        <v>1</v>
      </c>
      <c r="F4510" s="85">
        <v>5</v>
      </c>
      <c r="G4510" s="85">
        <f>--(F4510&lt;=Estimator!$B$7)</f>
        <v>1</v>
      </c>
      <c r="H4510" s="86">
        <f>SUMIFS('Climate Data'!$G$7:$G$366,'Climate Data'!$A$7:$A$366,Estimator!$B$4,'Climate Data'!$B$7:$B$366,C4510)</f>
        <v>0.23010752688172045</v>
      </c>
      <c r="I4510" s="87">
        <f>SUMIFS('Climate Data'!$H$7:$H$366,'Climate Data'!$A$7:$A$366,Estimator!$B$4,'Climate Data'!$B$7:$B$366,C4510)</f>
        <v>8.1448598130841123</v>
      </c>
      <c r="J4510" s="86">
        <f>SUMIFS('Wind Proxy'!$H$8:$H$19,'Wind Proxy'!$A$8:$A$19,Estimator!$B$4,'Wind Proxy'!$B$8:$B$19,C4510)</f>
        <v>0</v>
      </c>
    </row>
    <row r="4511" spans="1:10" ht="14.4">
      <c r="A4511" s="84">
        <v>50162</v>
      </c>
      <c r="B4511" s="85">
        <v>2037</v>
      </c>
      <c r="C4511" s="85">
        <v>5</v>
      </c>
      <c r="D4511" s="85" t="s">
        <v>65</v>
      </c>
      <c r="E4511" s="85">
        <v>2</v>
      </c>
      <c r="F4511" s="85">
        <v>6</v>
      </c>
      <c r="G4511" s="85">
        <f>--(F4511&lt;=Estimator!$B$7)</f>
        <v>0</v>
      </c>
      <c r="H4511" s="86">
        <f>SUMIFS('Climate Data'!$G$7:$G$366,'Climate Data'!$A$7:$A$366,Estimator!$B$4,'Climate Data'!$B$7:$B$366,C4511)</f>
        <v>0.23010752688172045</v>
      </c>
      <c r="I4511" s="87">
        <f>SUMIFS('Climate Data'!$H$7:$H$366,'Climate Data'!$A$7:$A$366,Estimator!$B$4,'Climate Data'!$B$7:$B$366,C4511)</f>
        <v>8.1448598130841123</v>
      </c>
      <c r="J4511" s="86">
        <f>SUMIFS('Wind Proxy'!$H$8:$H$19,'Wind Proxy'!$A$8:$A$19,Estimator!$B$4,'Wind Proxy'!$B$8:$B$19,C4511)</f>
        <v>0</v>
      </c>
    </row>
    <row r="4512" spans="1:10" ht="14.4">
      <c r="A4512" s="84">
        <v>50163</v>
      </c>
      <c r="B4512" s="85">
        <v>2037</v>
      </c>
      <c r="C4512" s="85">
        <v>5</v>
      </c>
      <c r="D4512" s="85" t="s">
        <v>65</v>
      </c>
      <c r="E4512" s="85">
        <v>3</v>
      </c>
      <c r="F4512" s="85">
        <v>7</v>
      </c>
      <c r="G4512" s="85">
        <f>--(F4512&lt;=Estimator!$B$7)</f>
        <v>0</v>
      </c>
      <c r="H4512" s="86">
        <f>SUMIFS('Climate Data'!$G$7:$G$366,'Climate Data'!$A$7:$A$366,Estimator!$B$4,'Climate Data'!$B$7:$B$366,C4512)</f>
        <v>0.23010752688172045</v>
      </c>
      <c r="I4512" s="87">
        <f>SUMIFS('Climate Data'!$H$7:$H$366,'Climate Data'!$A$7:$A$366,Estimator!$B$4,'Climate Data'!$B$7:$B$366,C4512)</f>
        <v>8.1448598130841123</v>
      </c>
      <c r="J4512" s="86">
        <f>SUMIFS('Wind Proxy'!$H$8:$H$19,'Wind Proxy'!$A$8:$A$19,Estimator!$B$4,'Wind Proxy'!$B$8:$B$19,C4512)</f>
        <v>0</v>
      </c>
    </row>
    <row r="4513" spans="1:10" ht="14.4">
      <c r="A4513" s="84">
        <v>50164</v>
      </c>
      <c r="B4513" s="85">
        <v>2037</v>
      </c>
      <c r="C4513" s="85">
        <v>5</v>
      </c>
      <c r="D4513" s="85" t="s">
        <v>65</v>
      </c>
      <c r="E4513" s="85">
        <v>4</v>
      </c>
      <c r="F4513" s="85">
        <v>1</v>
      </c>
      <c r="G4513" s="85">
        <f>--(F4513&lt;=Estimator!$B$7)</f>
        <v>1</v>
      </c>
      <c r="H4513" s="86">
        <f>SUMIFS('Climate Data'!$G$7:$G$366,'Climate Data'!$A$7:$A$366,Estimator!$B$4,'Climate Data'!$B$7:$B$366,C4513)</f>
        <v>0.23010752688172045</v>
      </c>
      <c r="I4513" s="87">
        <f>SUMIFS('Climate Data'!$H$7:$H$366,'Climate Data'!$A$7:$A$366,Estimator!$B$4,'Climate Data'!$B$7:$B$366,C4513)</f>
        <v>8.1448598130841123</v>
      </c>
      <c r="J4513" s="86">
        <f>SUMIFS('Wind Proxy'!$H$8:$H$19,'Wind Proxy'!$A$8:$A$19,Estimator!$B$4,'Wind Proxy'!$B$8:$B$19,C4513)</f>
        <v>0</v>
      </c>
    </row>
    <row r="4514" spans="1:10" ht="14.4">
      <c r="A4514" s="84">
        <v>50165</v>
      </c>
      <c r="B4514" s="85">
        <v>2037</v>
      </c>
      <c r="C4514" s="85">
        <v>5</v>
      </c>
      <c r="D4514" s="85" t="s">
        <v>65</v>
      </c>
      <c r="E4514" s="85">
        <v>5</v>
      </c>
      <c r="F4514" s="85">
        <v>2</v>
      </c>
      <c r="G4514" s="85">
        <f>--(F4514&lt;=Estimator!$B$7)</f>
        <v>1</v>
      </c>
      <c r="H4514" s="86">
        <f>SUMIFS('Climate Data'!$G$7:$G$366,'Climate Data'!$A$7:$A$366,Estimator!$B$4,'Climate Data'!$B$7:$B$366,C4514)</f>
        <v>0.23010752688172045</v>
      </c>
      <c r="I4514" s="87">
        <f>SUMIFS('Climate Data'!$H$7:$H$366,'Climate Data'!$A$7:$A$366,Estimator!$B$4,'Climate Data'!$B$7:$B$366,C4514)</f>
        <v>8.1448598130841123</v>
      </c>
      <c r="J4514" s="86">
        <f>SUMIFS('Wind Proxy'!$H$8:$H$19,'Wind Proxy'!$A$8:$A$19,Estimator!$B$4,'Wind Proxy'!$B$8:$B$19,C4514)</f>
        <v>0</v>
      </c>
    </row>
    <row r="4515" spans="1:10" ht="14.4">
      <c r="A4515" s="84">
        <v>50166</v>
      </c>
      <c r="B4515" s="85">
        <v>2037</v>
      </c>
      <c r="C4515" s="85">
        <v>5</v>
      </c>
      <c r="D4515" s="85" t="s">
        <v>65</v>
      </c>
      <c r="E4515" s="85">
        <v>6</v>
      </c>
      <c r="F4515" s="85">
        <v>3</v>
      </c>
      <c r="G4515" s="85">
        <f>--(F4515&lt;=Estimator!$B$7)</f>
        <v>1</v>
      </c>
      <c r="H4515" s="86">
        <f>SUMIFS('Climate Data'!$G$7:$G$366,'Climate Data'!$A$7:$A$366,Estimator!$B$4,'Climate Data'!$B$7:$B$366,C4515)</f>
        <v>0.23010752688172045</v>
      </c>
      <c r="I4515" s="87">
        <f>SUMIFS('Climate Data'!$H$7:$H$366,'Climate Data'!$A$7:$A$366,Estimator!$B$4,'Climate Data'!$B$7:$B$366,C4515)</f>
        <v>8.1448598130841123</v>
      </c>
      <c r="J4515" s="86">
        <f>SUMIFS('Wind Proxy'!$H$8:$H$19,'Wind Proxy'!$A$8:$A$19,Estimator!$B$4,'Wind Proxy'!$B$8:$B$19,C4515)</f>
        <v>0</v>
      </c>
    </row>
    <row r="4516" spans="1:10" ht="14.4">
      <c r="A4516" s="84">
        <v>50167</v>
      </c>
      <c r="B4516" s="85">
        <v>2037</v>
      </c>
      <c r="C4516" s="85">
        <v>5</v>
      </c>
      <c r="D4516" s="85" t="s">
        <v>65</v>
      </c>
      <c r="E4516" s="85">
        <v>7</v>
      </c>
      <c r="F4516" s="85">
        <v>4</v>
      </c>
      <c r="G4516" s="85">
        <f>--(F4516&lt;=Estimator!$B$7)</f>
        <v>1</v>
      </c>
      <c r="H4516" s="86">
        <f>SUMIFS('Climate Data'!$G$7:$G$366,'Climate Data'!$A$7:$A$366,Estimator!$B$4,'Climate Data'!$B$7:$B$366,C4516)</f>
        <v>0.23010752688172045</v>
      </c>
      <c r="I4516" s="87">
        <f>SUMIFS('Climate Data'!$H$7:$H$366,'Climate Data'!$A$7:$A$366,Estimator!$B$4,'Climate Data'!$B$7:$B$366,C4516)</f>
        <v>8.1448598130841123</v>
      </c>
      <c r="J4516" s="86">
        <f>SUMIFS('Wind Proxy'!$H$8:$H$19,'Wind Proxy'!$A$8:$A$19,Estimator!$B$4,'Wind Proxy'!$B$8:$B$19,C4516)</f>
        <v>0</v>
      </c>
    </row>
    <row r="4517" spans="1:10" ht="14.4">
      <c r="A4517" s="84">
        <v>50168</v>
      </c>
      <c r="B4517" s="85">
        <v>2037</v>
      </c>
      <c r="C4517" s="85">
        <v>5</v>
      </c>
      <c r="D4517" s="85" t="s">
        <v>65</v>
      </c>
      <c r="E4517" s="85">
        <v>8</v>
      </c>
      <c r="F4517" s="85">
        <v>5</v>
      </c>
      <c r="G4517" s="85">
        <f>--(F4517&lt;=Estimator!$B$7)</f>
        <v>1</v>
      </c>
      <c r="H4517" s="86">
        <f>SUMIFS('Climate Data'!$G$7:$G$366,'Climate Data'!$A$7:$A$366,Estimator!$B$4,'Climate Data'!$B$7:$B$366,C4517)</f>
        <v>0.23010752688172045</v>
      </c>
      <c r="I4517" s="87">
        <f>SUMIFS('Climate Data'!$H$7:$H$366,'Climate Data'!$A$7:$A$366,Estimator!$B$4,'Climate Data'!$B$7:$B$366,C4517)</f>
        <v>8.1448598130841123</v>
      </c>
      <c r="J4517" s="86">
        <f>SUMIFS('Wind Proxy'!$H$8:$H$19,'Wind Proxy'!$A$8:$A$19,Estimator!$B$4,'Wind Proxy'!$B$8:$B$19,C4517)</f>
        <v>0</v>
      </c>
    </row>
    <row r="4518" spans="1:10" ht="14.4">
      <c r="A4518" s="84">
        <v>50169</v>
      </c>
      <c r="B4518" s="85">
        <v>2037</v>
      </c>
      <c r="C4518" s="85">
        <v>5</v>
      </c>
      <c r="D4518" s="85" t="s">
        <v>65</v>
      </c>
      <c r="E4518" s="85">
        <v>9</v>
      </c>
      <c r="F4518" s="85">
        <v>6</v>
      </c>
      <c r="G4518" s="85">
        <f>--(F4518&lt;=Estimator!$B$7)</f>
        <v>0</v>
      </c>
      <c r="H4518" s="86">
        <f>SUMIFS('Climate Data'!$G$7:$G$366,'Climate Data'!$A$7:$A$366,Estimator!$B$4,'Climate Data'!$B$7:$B$366,C4518)</f>
        <v>0.23010752688172045</v>
      </c>
      <c r="I4518" s="87">
        <f>SUMIFS('Climate Data'!$H$7:$H$366,'Climate Data'!$A$7:$A$366,Estimator!$B$4,'Climate Data'!$B$7:$B$366,C4518)</f>
        <v>8.1448598130841123</v>
      </c>
      <c r="J4518" s="86">
        <f>SUMIFS('Wind Proxy'!$H$8:$H$19,'Wind Proxy'!$A$8:$A$19,Estimator!$B$4,'Wind Proxy'!$B$8:$B$19,C4518)</f>
        <v>0</v>
      </c>
    </row>
    <row r="4519" spans="1:10" ht="14.4">
      <c r="A4519" s="84">
        <v>50170</v>
      </c>
      <c r="B4519" s="85">
        <v>2037</v>
      </c>
      <c r="C4519" s="85">
        <v>5</v>
      </c>
      <c r="D4519" s="85" t="s">
        <v>65</v>
      </c>
      <c r="E4519" s="85">
        <v>10</v>
      </c>
      <c r="F4519" s="85">
        <v>7</v>
      </c>
      <c r="G4519" s="85">
        <f>--(F4519&lt;=Estimator!$B$7)</f>
        <v>0</v>
      </c>
      <c r="H4519" s="86">
        <f>SUMIFS('Climate Data'!$G$7:$G$366,'Climate Data'!$A$7:$A$366,Estimator!$B$4,'Climate Data'!$B$7:$B$366,C4519)</f>
        <v>0.23010752688172045</v>
      </c>
      <c r="I4519" s="87">
        <f>SUMIFS('Climate Data'!$H$7:$H$366,'Climate Data'!$A$7:$A$366,Estimator!$B$4,'Climate Data'!$B$7:$B$366,C4519)</f>
        <v>8.1448598130841123</v>
      </c>
      <c r="J4519" s="86">
        <f>SUMIFS('Wind Proxy'!$H$8:$H$19,'Wind Proxy'!$A$8:$A$19,Estimator!$B$4,'Wind Proxy'!$B$8:$B$19,C4519)</f>
        <v>0</v>
      </c>
    </row>
    <row r="4520" spans="1:10" ht="14.4">
      <c r="A4520" s="84">
        <v>50171</v>
      </c>
      <c r="B4520" s="85">
        <v>2037</v>
      </c>
      <c r="C4520" s="85">
        <v>5</v>
      </c>
      <c r="D4520" s="85" t="s">
        <v>65</v>
      </c>
      <c r="E4520" s="85">
        <v>11</v>
      </c>
      <c r="F4520" s="85">
        <v>1</v>
      </c>
      <c r="G4520" s="85">
        <f>--(F4520&lt;=Estimator!$B$7)</f>
        <v>1</v>
      </c>
      <c r="H4520" s="86">
        <f>SUMIFS('Climate Data'!$G$7:$G$366,'Climate Data'!$A$7:$A$366,Estimator!$B$4,'Climate Data'!$B$7:$B$366,C4520)</f>
        <v>0.23010752688172045</v>
      </c>
      <c r="I4520" s="87">
        <f>SUMIFS('Climate Data'!$H$7:$H$366,'Climate Data'!$A$7:$A$366,Estimator!$B$4,'Climate Data'!$B$7:$B$366,C4520)</f>
        <v>8.1448598130841123</v>
      </c>
      <c r="J4520" s="86">
        <f>SUMIFS('Wind Proxy'!$H$8:$H$19,'Wind Proxy'!$A$8:$A$19,Estimator!$B$4,'Wind Proxy'!$B$8:$B$19,C4520)</f>
        <v>0</v>
      </c>
    </row>
    <row r="4521" spans="1:10" ht="14.4">
      <c r="A4521" s="84">
        <v>50172</v>
      </c>
      <c r="B4521" s="85">
        <v>2037</v>
      </c>
      <c r="C4521" s="85">
        <v>5</v>
      </c>
      <c r="D4521" s="85" t="s">
        <v>65</v>
      </c>
      <c r="E4521" s="85">
        <v>12</v>
      </c>
      <c r="F4521" s="85">
        <v>2</v>
      </c>
      <c r="G4521" s="85">
        <f>--(F4521&lt;=Estimator!$B$7)</f>
        <v>1</v>
      </c>
      <c r="H4521" s="86">
        <f>SUMIFS('Climate Data'!$G$7:$G$366,'Climate Data'!$A$7:$A$366,Estimator!$B$4,'Climate Data'!$B$7:$B$366,C4521)</f>
        <v>0.23010752688172045</v>
      </c>
      <c r="I4521" s="87">
        <f>SUMIFS('Climate Data'!$H$7:$H$366,'Climate Data'!$A$7:$A$366,Estimator!$B$4,'Climate Data'!$B$7:$B$366,C4521)</f>
        <v>8.1448598130841123</v>
      </c>
      <c r="J4521" s="86">
        <f>SUMIFS('Wind Proxy'!$H$8:$H$19,'Wind Proxy'!$A$8:$A$19,Estimator!$B$4,'Wind Proxy'!$B$8:$B$19,C4521)</f>
        <v>0</v>
      </c>
    </row>
    <row r="4522" spans="1:10" ht="14.4">
      <c r="A4522" s="84">
        <v>50173</v>
      </c>
      <c r="B4522" s="85">
        <v>2037</v>
      </c>
      <c r="C4522" s="85">
        <v>5</v>
      </c>
      <c r="D4522" s="85" t="s">
        <v>65</v>
      </c>
      <c r="E4522" s="85">
        <v>13</v>
      </c>
      <c r="F4522" s="85">
        <v>3</v>
      </c>
      <c r="G4522" s="85">
        <f>--(F4522&lt;=Estimator!$B$7)</f>
        <v>1</v>
      </c>
      <c r="H4522" s="86">
        <f>SUMIFS('Climate Data'!$G$7:$G$366,'Climate Data'!$A$7:$A$366,Estimator!$B$4,'Climate Data'!$B$7:$B$366,C4522)</f>
        <v>0.23010752688172045</v>
      </c>
      <c r="I4522" s="87">
        <f>SUMIFS('Climate Data'!$H$7:$H$366,'Climate Data'!$A$7:$A$366,Estimator!$B$4,'Climate Data'!$B$7:$B$366,C4522)</f>
        <v>8.1448598130841123</v>
      </c>
      <c r="J4522" s="86">
        <f>SUMIFS('Wind Proxy'!$H$8:$H$19,'Wind Proxy'!$A$8:$A$19,Estimator!$B$4,'Wind Proxy'!$B$8:$B$19,C4522)</f>
        <v>0</v>
      </c>
    </row>
    <row r="4523" spans="1:10" ht="14.4">
      <c r="A4523" s="84">
        <v>50174</v>
      </c>
      <c r="B4523" s="85">
        <v>2037</v>
      </c>
      <c r="C4523" s="85">
        <v>5</v>
      </c>
      <c r="D4523" s="85" t="s">
        <v>65</v>
      </c>
      <c r="E4523" s="85">
        <v>14</v>
      </c>
      <c r="F4523" s="85">
        <v>4</v>
      </c>
      <c r="G4523" s="85">
        <f>--(F4523&lt;=Estimator!$B$7)</f>
        <v>1</v>
      </c>
      <c r="H4523" s="86">
        <f>SUMIFS('Climate Data'!$G$7:$G$366,'Climate Data'!$A$7:$A$366,Estimator!$B$4,'Climate Data'!$B$7:$B$366,C4523)</f>
        <v>0.23010752688172045</v>
      </c>
      <c r="I4523" s="87">
        <f>SUMIFS('Climate Data'!$H$7:$H$366,'Climate Data'!$A$7:$A$366,Estimator!$B$4,'Climate Data'!$B$7:$B$366,C4523)</f>
        <v>8.1448598130841123</v>
      </c>
      <c r="J4523" s="86">
        <f>SUMIFS('Wind Proxy'!$H$8:$H$19,'Wind Proxy'!$A$8:$A$19,Estimator!$B$4,'Wind Proxy'!$B$8:$B$19,C4523)</f>
        <v>0</v>
      </c>
    </row>
    <row r="4524" spans="1:10" ht="14.4">
      <c r="A4524" s="84">
        <v>50175</v>
      </c>
      <c r="B4524" s="85">
        <v>2037</v>
      </c>
      <c r="C4524" s="85">
        <v>5</v>
      </c>
      <c r="D4524" s="85" t="s">
        <v>65</v>
      </c>
      <c r="E4524" s="85">
        <v>15</v>
      </c>
      <c r="F4524" s="85">
        <v>5</v>
      </c>
      <c r="G4524" s="85">
        <f>--(F4524&lt;=Estimator!$B$7)</f>
        <v>1</v>
      </c>
      <c r="H4524" s="86">
        <f>SUMIFS('Climate Data'!$G$7:$G$366,'Climate Data'!$A$7:$A$366,Estimator!$B$4,'Climate Data'!$B$7:$B$366,C4524)</f>
        <v>0.23010752688172045</v>
      </c>
      <c r="I4524" s="87">
        <f>SUMIFS('Climate Data'!$H$7:$H$366,'Climate Data'!$A$7:$A$366,Estimator!$B$4,'Climate Data'!$B$7:$B$366,C4524)</f>
        <v>8.1448598130841123</v>
      </c>
      <c r="J4524" s="86">
        <f>SUMIFS('Wind Proxy'!$H$8:$H$19,'Wind Proxy'!$A$8:$A$19,Estimator!$B$4,'Wind Proxy'!$B$8:$B$19,C4524)</f>
        <v>0</v>
      </c>
    </row>
    <row r="4525" spans="1:10" ht="14.4">
      <c r="A4525" s="84">
        <v>50176</v>
      </c>
      <c r="B4525" s="85">
        <v>2037</v>
      </c>
      <c r="C4525" s="85">
        <v>5</v>
      </c>
      <c r="D4525" s="85" t="s">
        <v>65</v>
      </c>
      <c r="E4525" s="85">
        <v>16</v>
      </c>
      <c r="F4525" s="85">
        <v>6</v>
      </c>
      <c r="G4525" s="85">
        <f>--(F4525&lt;=Estimator!$B$7)</f>
        <v>0</v>
      </c>
      <c r="H4525" s="86">
        <f>SUMIFS('Climate Data'!$G$7:$G$366,'Climate Data'!$A$7:$A$366,Estimator!$B$4,'Climate Data'!$B$7:$B$366,C4525)</f>
        <v>0.23010752688172045</v>
      </c>
      <c r="I4525" s="87">
        <f>SUMIFS('Climate Data'!$H$7:$H$366,'Climate Data'!$A$7:$A$366,Estimator!$B$4,'Climate Data'!$B$7:$B$366,C4525)</f>
        <v>8.1448598130841123</v>
      </c>
      <c r="J4525" s="86">
        <f>SUMIFS('Wind Proxy'!$H$8:$H$19,'Wind Proxy'!$A$8:$A$19,Estimator!$B$4,'Wind Proxy'!$B$8:$B$19,C4525)</f>
        <v>0</v>
      </c>
    </row>
    <row r="4526" spans="1:10" ht="14.4">
      <c r="A4526" s="84">
        <v>50177</v>
      </c>
      <c r="B4526" s="85">
        <v>2037</v>
      </c>
      <c r="C4526" s="85">
        <v>5</v>
      </c>
      <c r="D4526" s="85" t="s">
        <v>65</v>
      </c>
      <c r="E4526" s="85">
        <v>17</v>
      </c>
      <c r="F4526" s="85">
        <v>7</v>
      </c>
      <c r="G4526" s="85">
        <f>--(F4526&lt;=Estimator!$B$7)</f>
        <v>0</v>
      </c>
      <c r="H4526" s="86">
        <f>SUMIFS('Climate Data'!$G$7:$G$366,'Climate Data'!$A$7:$A$366,Estimator!$B$4,'Climate Data'!$B$7:$B$366,C4526)</f>
        <v>0.23010752688172045</v>
      </c>
      <c r="I4526" s="87">
        <f>SUMIFS('Climate Data'!$H$7:$H$366,'Climate Data'!$A$7:$A$366,Estimator!$B$4,'Climate Data'!$B$7:$B$366,C4526)</f>
        <v>8.1448598130841123</v>
      </c>
      <c r="J4526" s="86">
        <f>SUMIFS('Wind Proxy'!$H$8:$H$19,'Wind Proxy'!$A$8:$A$19,Estimator!$B$4,'Wind Proxy'!$B$8:$B$19,C4526)</f>
        <v>0</v>
      </c>
    </row>
    <row r="4527" spans="1:10" ht="14.4">
      <c r="A4527" s="84">
        <v>50178</v>
      </c>
      <c r="B4527" s="85">
        <v>2037</v>
      </c>
      <c r="C4527" s="85">
        <v>5</v>
      </c>
      <c r="D4527" s="85" t="s">
        <v>65</v>
      </c>
      <c r="E4527" s="85">
        <v>18</v>
      </c>
      <c r="F4527" s="85">
        <v>1</v>
      </c>
      <c r="G4527" s="85">
        <f>--(F4527&lt;=Estimator!$B$7)</f>
        <v>1</v>
      </c>
      <c r="H4527" s="86">
        <f>SUMIFS('Climate Data'!$G$7:$G$366,'Climate Data'!$A$7:$A$366,Estimator!$B$4,'Climate Data'!$B$7:$B$366,C4527)</f>
        <v>0.23010752688172045</v>
      </c>
      <c r="I4527" s="87">
        <f>SUMIFS('Climate Data'!$H$7:$H$366,'Climate Data'!$A$7:$A$366,Estimator!$B$4,'Climate Data'!$B$7:$B$366,C4527)</f>
        <v>8.1448598130841123</v>
      </c>
      <c r="J4527" s="86">
        <f>SUMIFS('Wind Proxy'!$H$8:$H$19,'Wind Proxy'!$A$8:$A$19,Estimator!$B$4,'Wind Proxy'!$B$8:$B$19,C4527)</f>
        <v>0</v>
      </c>
    </row>
    <row r="4528" spans="1:10" ht="14.4">
      <c r="A4528" s="84">
        <v>50179</v>
      </c>
      <c r="B4528" s="85">
        <v>2037</v>
      </c>
      <c r="C4528" s="85">
        <v>5</v>
      </c>
      <c r="D4528" s="85" t="s">
        <v>65</v>
      </c>
      <c r="E4528" s="85">
        <v>19</v>
      </c>
      <c r="F4528" s="85">
        <v>2</v>
      </c>
      <c r="G4528" s="85">
        <f>--(F4528&lt;=Estimator!$B$7)</f>
        <v>1</v>
      </c>
      <c r="H4528" s="86">
        <f>SUMIFS('Climate Data'!$G$7:$G$366,'Climate Data'!$A$7:$A$366,Estimator!$B$4,'Climate Data'!$B$7:$B$366,C4528)</f>
        <v>0.23010752688172045</v>
      </c>
      <c r="I4528" s="87">
        <f>SUMIFS('Climate Data'!$H$7:$H$366,'Climate Data'!$A$7:$A$366,Estimator!$B$4,'Climate Data'!$B$7:$B$366,C4528)</f>
        <v>8.1448598130841123</v>
      </c>
      <c r="J4528" s="86">
        <f>SUMIFS('Wind Proxy'!$H$8:$H$19,'Wind Proxy'!$A$8:$A$19,Estimator!$B$4,'Wind Proxy'!$B$8:$B$19,C4528)</f>
        <v>0</v>
      </c>
    </row>
    <row r="4529" spans="1:10" ht="14.4">
      <c r="A4529" s="84">
        <v>50180</v>
      </c>
      <c r="B4529" s="85">
        <v>2037</v>
      </c>
      <c r="C4529" s="85">
        <v>5</v>
      </c>
      <c r="D4529" s="85" t="s">
        <v>65</v>
      </c>
      <c r="E4529" s="85">
        <v>20</v>
      </c>
      <c r="F4529" s="85">
        <v>3</v>
      </c>
      <c r="G4529" s="85">
        <f>--(F4529&lt;=Estimator!$B$7)</f>
        <v>1</v>
      </c>
      <c r="H4529" s="86">
        <f>SUMIFS('Climate Data'!$G$7:$G$366,'Climate Data'!$A$7:$A$366,Estimator!$B$4,'Climate Data'!$B$7:$B$366,C4529)</f>
        <v>0.23010752688172045</v>
      </c>
      <c r="I4529" s="87">
        <f>SUMIFS('Climate Data'!$H$7:$H$366,'Climate Data'!$A$7:$A$366,Estimator!$B$4,'Climate Data'!$B$7:$B$366,C4529)</f>
        <v>8.1448598130841123</v>
      </c>
      <c r="J4529" s="86">
        <f>SUMIFS('Wind Proxy'!$H$8:$H$19,'Wind Proxy'!$A$8:$A$19,Estimator!$B$4,'Wind Proxy'!$B$8:$B$19,C4529)</f>
        <v>0</v>
      </c>
    </row>
    <row r="4530" spans="1:10" ht="14.4">
      <c r="A4530" s="84">
        <v>50181</v>
      </c>
      <c r="B4530" s="85">
        <v>2037</v>
      </c>
      <c r="C4530" s="85">
        <v>5</v>
      </c>
      <c r="D4530" s="85" t="s">
        <v>65</v>
      </c>
      <c r="E4530" s="85">
        <v>21</v>
      </c>
      <c r="F4530" s="85">
        <v>4</v>
      </c>
      <c r="G4530" s="85">
        <f>--(F4530&lt;=Estimator!$B$7)</f>
        <v>1</v>
      </c>
      <c r="H4530" s="86">
        <f>SUMIFS('Climate Data'!$G$7:$G$366,'Climate Data'!$A$7:$A$366,Estimator!$B$4,'Climate Data'!$B$7:$B$366,C4530)</f>
        <v>0.23010752688172045</v>
      </c>
      <c r="I4530" s="87">
        <f>SUMIFS('Climate Data'!$H$7:$H$366,'Climate Data'!$A$7:$A$366,Estimator!$B$4,'Climate Data'!$B$7:$B$366,C4530)</f>
        <v>8.1448598130841123</v>
      </c>
      <c r="J4530" s="86">
        <f>SUMIFS('Wind Proxy'!$H$8:$H$19,'Wind Proxy'!$A$8:$A$19,Estimator!$B$4,'Wind Proxy'!$B$8:$B$19,C4530)</f>
        <v>0</v>
      </c>
    </row>
    <row r="4531" spans="1:10" ht="14.4">
      <c r="A4531" s="84">
        <v>50182</v>
      </c>
      <c r="B4531" s="85">
        <v>2037</v>
      </c>
      <c r="C4531" s="85">
        <v>5</v>
      </c>
      <c r="D4531" s="85" t="s">
        <v>65</v>
      </c>
      <c r="E4531" s="85">
        <v>22</v>
      </c>
      <c r="F4531" s="85">
        <v>5</v>
      </c>
      <c r="G4531" s="85">
        <f>--(F4531&lt;=Estimator!$B$7)</f>
        <v>1</v>
      </c>
      <c r="H4531" s="86">
        <f>SUMIFS('Climate Data'!$G$7:$G$366,'Climate Data'!$A$7:$A$366,Estimator!$B$4,'Climate Data'!$B$7:$B$366,C4531)</f>
        <v>0.23010752688172045</v>
      </c>
      <c r="I4531" s="87">
        <f>SUMIFS('Climate Data'!$H$7:$H$366,'Climate Data'!$A$7:$A$366,Estimator!$B$4,'Climate Data'!$B$7:$B$366,C4531)</f>
        <v>8.1448598130841123</v>
      </c>
      <c r="J4531" s="86">
        <f>SUMIFS('Wind Proxy'!$H$8:$H$19,'Wind Proxy'!$A$8:$A$19,Estimator!$B$4,'Wind Proxy'!$B$8:$B$19,C4531)</f>
        <v>0</v>
      </c>
    </row>
    <row r="4532" spans="1:10" ht="14.4">
      <c r="A4532" s="84">
        <v>50183</v>
      </c>
      <c r="B4532" s="85">
        <v>2037</v>
      </c>
      <c r="C4532" s="85">
        <v>5</v>
      </c>
      <c r="D4532" s="85" t="s">
        <v>65</v>
      </c>
      <c r="E4532" s="85">
        <v>23</v>
      </c>
      <c r="F4532" s="85">
        <v>6</v>
      </c>
      <c r="G4532" s="85">
        <f>--(F4532&lt;=Estimator!$B$7)</f>
        <v>0</v>
      </c>
      <c r="H4532" s="86">
        <f>SUMIFS('Climate Data'!$G$7:$G$366,'Climate Data'!$A$7:$A$366,Estimator!$B$4,'Climate Data'!$B$7:$B$366,C4532)</f>
        <v>0.23010752688172045</v>
      </c>
      <c r="I4532" s="87">
        <f>SUMIFS('Climate Data'!$H$7:$H$366,'Climate Data'!$A$7:$A$366,Estimator!$B$4,'Climate Data'!$B$7:$B$366,C4532)</f>
        <v>8.1448598130841123</v>
      </c>
      <c r="J4532" s="86">
        <f>SUMIFS('Wind Proxy'!$H$8:$H$19,'Wind Proxy'!$A$8:$A$19,Estimator!$B$4,'Wind Proxy'!$B$8:$B$19,C4532)</f>
        <v>0</v>
      </c>
    </row>
    <row r="4533" spans="1:10" ht="14.4">
      <c r="A4533" s="84">
        <v>50184</v>
      </c>
      <c r="B4533" s="85">
        <v>2037</v>
      </c>
      <c r="C4533" s="85">
        <v>5</v>
      </c>
      <c r="D4533" s="85" t="s">
        <v>65</v>
      </c>
      <c r="E4533" s="85">
        <v>24</v>
      </c>
      <c r="F4533" s="85">
        <v>7</v>
      </c>
      <c r="G4533" s="85">
        <f>--(F4533&lt;=Estimator!$B$7)</f>
        <v>0</v>
      </c>
      <c r="H4533" s="86">
        <f>SUMIFS('Climate Data'!$G$7:$G$366,'Climate Data'!$A$7:$A$366,Estimator!$B$4,'Climate Data'!$B$7:$B$366,C4533)</f>
        <v>0.23010752688172045</v>
      </c>
      <c r="I4533" s="87">
        <f>SUMIFS('Climate Data'!$H$7:$H$366,'Climate Data'!$A$7:$A$366,Estimator!$B$4,'Climate Data'!$B$7:$B$366,C4533)</f>
        <v>8.1448598130841123</v>
      </c>
      <c r="J4533" s="86">
        <f>SUMIFS('Wind Proxy'!$H$8:$H$19,'Wind Proxy'!$A$8:$A$19,Estimator!$B$4,'Wind Proxy'!$B$8:$B$19,C4533)</f>
        <v>0</v>
      </c>
    </row>
    <row r="4534" spans="1:10" ht="14.4">
      <c r="A4534" s="84">
        <v>50185</v>
      </c>
      <c r="B4534" s="85">
        <v>2037</v>
      </c>
      <c r="C4534" s="85">
        <v>5</v>
      </c>
      <c r="D4534" s="85" t="s">
        <v>65</v>
      </c>
      <c r="E4534" s="85">
        <v>25</v>
      </c>
      <c r="F4534" s="85">
        <v>1</v>
      </c>
      <c r="G4534" s="85">
        <f>--(F4534&lt;=Estimator!$B$7)</f>
        <v>1</v>
      </c>
      <c r="H4534" s="86">
        <f>SUMIFS('Climate Data'!$G$7:$G$366,'Climate Data'!$A$7:$A$366,Estimator!$B$4,'Climate Data'!$B$7:$B$366,C4534)</f>
        <v>0.23010752688172045</v>
      </c>
      <c r="I4534" s="87">
        <f>SUMIFS('Climate Data'!$H$7:$H$366,'Climate Data'!$A$7:$A$366,Estimator!$B$4,'Climate Data'!$B$7:$B$366,C4534)</f>
        <v>8.1448598130841123</v>
      </c>
      <c r="J4534" s="86">
        <f>SUMIFS('Wind Proxy'!$H$8:$H$19,'Wind Proxy'!$A$8:$A$19,Estimator!$B$4,'Wind Proxy'!$B$8:$B$19,C4534)</f>
        <v>0</v>
      </c>
    </row>
    <row r="4535" spans="1:10" ht="14.4">
      <c r="A4535" s="84">
        <v>50186</v>
      </c>
      <c r="B4535" s="85">
        <v>2037</v>
      </c>
      <c r="C4535" s="85">
        <v>5</v>
      </c>
      <c r="D4535" s="85" t="s">
        <v>65</v>
      </c>
      <c r="E4535" s="85">
        <v>26</v>
      </c>
      <c r="F4535" s="85">
        <v>2</v>
      </c>
      <c r="G4535" s="85">
        <f>--(F4535&lt;=Estimator!$B$7)</f>
        <v>1</v>
      </c>
      <c r="H4535" s="86">
        <f>SUMIFS('Climate Data'!$G$7:$G$366,'Climate Data'!$A$7:$A$366,Estimator!$B$4,'Climate Data'!$B$7:$B$366,C4535)</f>
        <v>0.23010752688172045</v>
      </c>
      <c r="I4535" s="87">
        <f>SUMIFS('Climate Data'!$H$7:$H$366,'Climate Data'!$A$7:$A$366,Estimator!$B$4,'Climate Data'!$B$7:$B$366,C4535)</f>
        <v>8.1448598130841123</v>
      </c>
      <c r="J4535" s="86">
        <f>SUMIFS('Wind Proxy'!$H$8:$H$19,'Wind Proxy'!$A$8:$A$19,Estimator!$B$4,'Wind Proxy'!$B$8:$B$19,C4535)</f>
        <v>0</v>
      </c>
    </row>
    <row r="4536" spans="1:10" ht="14.4">
      <c r="A4536" s="84">
        <v>50187</v>
      </c>
      <c r="B4536" s="85">
        <v>2037</v>
      </c>
      <c r="C4536" s="85">
        <v>5</v>
      </c>
      <c r="D4536" s="85" t="s">
        <v>65</v>
      </c>
      <c r="E4536" s="85">
        <v>27</v>
      </c>
      <c r="F4536" s="85">
        <v>3</v>
      </c>
      <c r="G4536" s="85">
        <f>--(F4536&lt;=Estimator!$B$7)</f>
        <v>1</v>
      </c>
      <c r="H4536" s="86">
        <f>SUMIFS('Climate Data'!$G$7:$G$366,'Climate Data'!$A$7:$A$366,Estimator!$B$4,'Climate Data'!$B$7:$B$366,C4536)</f>
        <v>0.23010752688172045</v>
      </c>
      <c r="I4536" s="87">
        <f>SUMIFS('Climate Data'!$H$7:$H$366,'Climate Data'!$A$7:$A$366,Estimator!$B$4,'Climate Data'!$B$7:$B$366,C4536)</f>
        <v>8.1448598130841123</v>
      </c>
      <c r="J4536" s="86">
        <f>SUMIFS('Wind Proxy'!$H$8:$H$19,'Wind Proxy'!$A$8:$A$19,Estimator!$B$4,'Wind Proxy'!$B$8:$B$19,C4536)</f>
        <v>0</v>
      </c>
    </row>
    <row r="4537" spans="1:10" ht="14.4">
      <c r="A4537" s="84">
        <v>50188</v>
      </c>
      <c r="B4537" s="85">
        <v>2037</v>
      </c>
      <c r="C4537" s="85">
        <v>5</v>
      </c>
      <c r="D4537" s="85" t="s">
        <v>65</v>
      </c>
      <c r="E4537" s="85">
        <v>28</v>
      </c>
      <c r="F4537" s="85">
        <v>4</v>
      </c>
      <c r="G4537" s="85">
        <f>--(F4537&lt;=Estimator!$B$7)</f>
        <v>1</v>
      </c>
      <c r="H4537" s="86">
        <f>SUMIFS('Climate Data'!$G$7:$G$366,'Climate Data'!$A$7:$A$366,Estimator!$B$4,'Climate Data'!$B$7:$B$366,C4537)</f>
        <v>0.23010752688172045</v>
      </c>
      <c r="I4537" s="87">
        <f>SUMIFS('Climate Data'!$H$7:$H$366,'Climate Data'!$A$7:$A$366,Estimator!$B$4,'Climate Data'!$B$7:$B$366,C4537)</f>
        <v>8.1448598130841123</v>
      </c>
      <c r="J4537" s="86">
        <f>SUMIFS('Wind Proxy'!$H$8:$H$19,'Wind Proxy'!$A$8:$A$19,Estimator!$B$4,'Wind Proxy'!$B$8:$B$19,C4537)</f>
        <v>0</v>
      </c>
    </row>
    <row r="4538" spans="1:10" ht="14.4">
      <c r="A4538" s="84">
        <v>50189</v>
      </c>
      <c r="B4538" s="85">
        <v>2037</v>
      </c>
      <c r="C4538" s="85">
        <v>5</v>
      </c>
      <c r="D4538" s="85" t="s">
        <v>65</v>
      </c>
      <c r="E4538" s="85">
        <v>29</v>
      </c>
      <c r="F4538" s="85">
        <v>5</v>
      </c>
      <c r="G4538" s="85">
        <f>--(F4538&lt;=Estimator!$B$7)</f>
        <v>1</v>
      </c>
      <c r="H4538" s="86">
        <f>SUMIFS('Climate Data'!$G$7:$G$366,'Climate Data'!$A$7:$A$366,Estimator!$B$4,'Climate Data'!$B$7:$B$366,C4538)</f>
        <v>0.23010752688172045</v>
      </c>
      <c r="I4538" s="87">
        <f>SUMIFS('Climate Data'!$H$7:$H$366,'Climate Data'!$A$7:$A$366,Estimator!$B$4,'Climate Data'!$B$7:$B$366,C4538)</f>
        <v>8.1448598130841123</v>
      </c>
      <c r="J4538" s="86">
        <f>SUMIFS('Wind Proxy'!$H$8:$H$19,'Wind Proxy'!$A$8:$A$19,Estimator!$B$4,'Wind Proxy'!$B$8:$B$19,C4538)</f>
        <v>0</v>
      </c>
    </row>
    <row r="4539" spans="1:10" ht="14.4">
      <c r="A4539" s="84">
        <v>50190</v>
      </c>
      <c r="B4539" s="85">
        <v>2037</v>
      </c>
      <c r="C4539" s="85">
        <v>5</v>
      </c>
      <c r="D4539" s="85" t="s">
        <v>65</v>
      </c>
      <c r="E4539" s="85">
        <v>30</v>
      </c>
      <c r="F4539" s="85">
        <v>6</v>
      </c>
      <c r="G4539" s="85">
        <f>--(F4539&lt;=Estimator!$B$7)</f>
        <v>0</v>
      </c>
      <c r="H4539" s="86">
        <f>SUMIFS('Climate Data'!$G$7:$G$366,'Climate Data'!$A$7:$A$366,Estimator!$B$4,'Climate Data'!$B$7:$B$366,C4539)</f>
        <v>0.23010752688172045</v>
      </c>
      <c r="I4539" s="87">
        <f>SUMIFS('Climate Data'!$H$7:$H$366,'Climate Data'!$A$7:$A$366,Estimator!$B$4,'Climate Data'!$B$7:$B$366,C4539)</f>
        <v>8.1448598130841123</v>
      </c>
      <c r="J4539" s="86">
        <f>SUMIFS('Wind Proxy'!$H$8:$H$19,'Wind Proxy'!$A$8:$A$19,Estimator!$B$4,'Wind Proxy'!$B$8:$B$19,C4539)</f>
        <v>0</v>
      </c>
    </row>
    <row r="4540" spans="1:10" ht="14.4">
      <c r="A4540" s="84">
        <v>50191</v>
      </c>
      <c r="B4540" s="85">
        <v>2037</v>
      </c>
      <c r="C4540" s="85">
        <v>5</v>
      </c>
      <c r="D4540" s="85" t="s">
        <v>65</v>
      </c>
      <c r="E4540" s="85">
        <v>31</v>
      </c>
      <c r="F4540" s="85">
        <v>7</v>
      </c>
      <c r="G4540" s="85">
        <f>--(F4540&lt;=Estimator!$B$7)</f>
        <v>0</v>
      </c>
      <c r="H4540" s="86">
        <f>SUMIFS('Climate Data'!$G$7:$G$366,'Climate Data'!$A$7:$A$366,Estimator!$B$4,'Climate Data'!$B$7:$B$366,C4540)</f>
        <v>0.23010752688172045</v>
      </c>
      <c r="I4540" s="87">
        <f>SUMIFS('Climate Data'!$H$7:$H$366,'Climate Data'!$A$7:$A$366,Estimator!$B$4,'Climate Data'!$B$7:$B$366,C4540)</f>
        <v>8.1448598130841123</v>
      </c>
      <c r="J4540" s="86">
        <f>SUMIFS('Wind Proxy'!$H$8:$H$19,'Wind Proxy'!$A$8:$A$19,Estimator!$B$4,'Wind Proxy'!$B$8:$B$19,C4540)</f>
        <v>0</v>
      </c>
    </row>
    <row r="4541" spans="1:10" ht="14.4">
      <c r="A4541" s="84">
        <v>50192</v>
      </c>
      <c r="B4541" s="85">
        <v>2037</v>
      </c>
      <c r="C4541" s="85">
        <v>6</v>
      </c>
      <c r="D4541" s="85" t="s">
        <v>68</v>
      </c>
      <c r="E4541" s="85">
        <v>1</v>
      </c>
      <c r="F4541" s="85">
        <v>1</v>
      </c>
      <c r="G4541" s="85">
        <f>--(F4541&lt;=Estimator!$B$7)</f>
        <v>1</v>
      </c>
      <c r="H4541" s="86">
        <f>SUMIFS('Climate Data'!$G$7:$G$366,'Climate Data'!$A$7:$A$366,Estimator!$B$4,'Climate Data'!$B$7:$B$366,C4541)</f>
        <v>0.28666666666666668</v>
      </c>
      <c r="I4541" s="87">
        <f>SUMIFS('Climate Data'!$H$7:$H$366,'Climate Data'!$A$7:$A$366,Estimator!$B$4,'Climate Data'!$B$7:$B$366,C4541)</f>
        <v>7.941860465116279</v>
      </c>
      <c r="J4541" s="86">
        <f>SUMIFS('Wind Proxy'!$H$8:$H$19,'Wind Proxy'!$A$8:$A$19,Estimator!$B$4,'Wind Proxy'!$B$8:$B$19,C4541)</f>
        <v>0</v>
      </c>
    </row>
    <row r="4542" spans="1:10" ht="14.4">
      <c r="A4542" s="84">
        <v>50193</v>
      </c>
      <c r="B4542" s="85">
        <v>2037</v>
      </c>
      <c r="C4542" s="85">
        <v>6</v>
      </c>
      <c r="D4542" s="85" t="s">
        <v>68</v>
      </c>
      <c r="E4542" s="85">
        <v>2</v>
      </c>
      <c r="F4542" s="85">
        <v>2</v>
      </c>
      <c r="G4542" s="85">
        <f>--(F4542&lt;=Estimator!$B$7)</f>
        <v>1</v>
      </c>
      <c r="H4542" s="86">
        <f>SUMIFS('Climate Data'!$G$7:$G$366,'Climate Data'!$A$7:$A$366,Estimator!$B$4,'Climate Data'!$B$7:$B$366,C4542)</f>
        <v>0.28666666666666668</v>
      </c>
      <c r="I4542" s="87">
        <f>SUMIFS('Climate Data'!$H$7:$H$366,'Climate Data'!$A$7:$A$366,Estimator!$B$4,'Climate Data'!$B$7:$B$366,C4542)</f>
        <v>7.941860465116279</v>
      </c>
      <c r="J4542" s="86">
        <f>SUMIFS('Wind Proxy'!$H$8:$H$19,'Wind Proxy'!$A$8:$A$19,Estimator!$B$4,'Wind Proxy'!$B$8:$B$19,C4542)</f>
        <v>0</v>
      </c>
    </row>
    <row r="4543" spans="1:10" ht="14.4">
      <c r="A4543" s="84">
        <v>50194</v>
      </c>
      <c r="B4543" s="85">
        <v>2037</v>
      </c>
      <c r="C4543" s="85">
        <v>6</v>
      </c>
      <c r="D4543" s="85" t="s">
        <v>68</v>
      </c>
      <c r="E4543" s="85">
        <v>3</v>
      </c>
      <c r="F4543" s="85">
        <v>3</v>
      </c>
      <c r="G4543" s="85">
        <f>--(F4543&lt;=Estimator!$B$7)</f>
        <v>1</v>
      </c>
      <c r="H4543" s="86">
        <f>SUMIFS('Climate Data'!$G$7:$G$366,'Climate Data'!$A$7:$A$366,Estimator!$B$4,'Climate Data'!$B$7:$B$366,C4543)</f>
        <v>0.28666666666666668</v>
      </c>
      <c r="I4543" s="87">
        <f>SUMIFS('Climate Data'!$H$7:$H$366,'Climate Data'!$A$7:$A$366,Estimator!$B$4,'Climate Data'!$B$7:$B$366,C4543)</f>
        <v>7.941860465116279</v>
      </c>
      <c r="J4543" s="86">
        <f>SUMIFS('Wind Proxy'!$H$8:$H$19,'Wind Proxy'!$A$8:$A$19,Estimator!$B$4,'Wind Proxy'!$B$8:$B$19,C4543)</f>
        <v>0</v>
      </c>
    </row>
    <row r="4544" spans="1:10" ht="14.4">
      <c r="A4544" s="84">
        <v>50195</v>
      </c>
      <c r="B4544" s="85">
        <v>2037</v>
      </c>
      <c r="C4544" s="85">
        <v>6</v>
      </c>
      <c r="D4544" s="85" t="s">
        <v>68</v>
      </c>
      <c r="E4544" s="85">
        <v>4</v>
      </c>
      <c r="F4544" s="85">
        <v>4</v>
      </c>
      <c r="G4544" s="85">
        <f>--(F4544&lt;=Estimator!$B$7)</f>
        <v>1</v>
      </c>
      <c r="H4544" s="86">
        <f>SUMIFS('Climate Data'!$G$7:$G$366,'Climate Data'!$A$7:$A$366,Estimator!$B$4,'Climate Data'!$B$7:$B$366,C4544)</f>
        <v>0.28666666666666668</v>
      </c>
      <c r="I4544" s="87">
        <f>SUMIFS('Climate Data'!$H$7:$H$366,'Climate Data'!$A$7:$A$366,Estimator!$B$4,'Climate Data'!$B$7:$B$366,C4544)</f>
        <v>7.941860465116279</v>
      </c>
      <c r="J4544" s="86">
        <f>SUMIFS('Wind Proxy'!$H$8:$H$19,'Wind Proxy'!$A$8:$A$19,Estimator!$B$4,'Wind Proxy'!$B$8:$B$19,C4544)</f>
        <v>0</v>
      </c>
    </row>
    <row r="4545" spans="1:10" ht="14.4">
      <c r="A4545" s="84">
        <v>50196</v>
      </c>
      <c r="B4545" s="85">
        <v>2037</v>
      </c>
      <c r="C4545" s="85">
        <v>6</v>
      </c>
      <c r="D4545" s="85" t="s">
        <v>68</v>
      </c>
      <c r="E4545" s="85">
        <v>5</v>
      </c>
      <c r="F4545" s="85">
        <v>5</v>
      </c>
      <c r="G4545" s="85">
        <f>--(F4545&lt;=Estimator!$B$7)</f>
        <v>1</v>
      </c>
      <c r="H4545" s="86">
        <f>SUMIFS('Climate Data'!$G$7:$G$366,'Climate Data'!$A$7:$A$366,Estimator!$B$4,'Climate Data'!$B$7:$B$366,C4545)</f>
        <v>0.28666666666666668</v>
      </c>
      <c r="I4545" s="87">
        <f>SUMIFS('Climate Data'!$H$7:$H$366,'Climate Data'!$A$7:$A$366,Estimator!$B$4,'Climate Data'!$B$7:$B$366,C4545)</f>
        <v>7.941860465116279</v>
      </c>
      <c r="J4545" s="86">
        <f>SUMIFS('Wind Proxy'!$H$8:$H$19,'Wind Proxy'!$A$8:$A$19,Estimator!$B$4,'Wind Proxy'!$B$8:$B$19,C4545)</f>
        <v>0</v>
      </c>
    </row>
    <row r="4546" spans="1:10" ht="14.4">
      <c r="A4546" s="84">
        <v>50197</v>
      </c>
      <c r="B4546" s="85">
        <v>2037</v>
      </c>
      <c r="C4546" s="85">
        <v>6</v>
      </c>
      <c r="D4546" s="85" t="s">
        <v>68</v>
      </c>
      <c r="E4546" s="85">
        <v>6</v>
      </c>
      <c r="F4546" s="85">
        <v>6</v>
      </c>
      <c r="G4546" s="85">
        <f>--(F4546&lt;=Estimator!$B$7)</f>
        <v>0</v>
      </c>
      <c r="H4546" s="86">
        <f>SUMIFS('Climate Data'!$G$7:$G$366,'Climate Data'!$A$7:$A$366,Estimator!$B$4,'Climate Data'!$B$7:$B$366,C4546)</f>
        <v>0.28666666666666668</v>
      </c>
      <c r="I4546" s="87">
        <f>SUMIFS('Climate Data'!$H$7:$H$366,'Climate Data'!$A$7:$A$366,Estimator!$B$4,'Climate Data'!$B$7:$B$366,C4546)</f>
        <v>7.941860465116279</v>
      </c>
      <c r="J4546" s="86">
        <f>SUMIFS('Wind Proxy'!$H$8:$H$19,'Wind Proxy'!$A$8:$A$19,Estimator!$B$4,'Wind Proxy'!$B$8:$B$19,C4546)</f>
        <v>0</v>
      </c>
    </row>
    <row r="4547" spans="1:10" ht="14.4">
      <c r="A4547" s="84">
        <v>50198</v>
      </c>
      <c r="B4547" s="85">
        <v>2037</v>
      </c>
      <c r="C4547" s="85">
        <v>6</v>
      </c>
      <c r="D4547" s="85" t="s">
        <v>68</v>
      </c>
      <c r="E4547" s="85">
        <v>7</v>
      </c>
      <c r="F4547" s="85">
        <v>7</v>
      </c>
      <c r="G4547" s="85">
        <f>--(F4547&lt;=Estimator!$B$7)</f>
        <v>0</v>
      </c>
      <c r="H4547" s="86">
        <f>SUMIFS('Climate Data'!$G$7:$G$366,'Climate Data'!$A$7:$A$366,Estimator!$B$4,'Climate Data'!$B$7:$B$366,C4547)</f>
        <v>0.28666666666666668</v>
      </c>
      <c r="I4547" s="87">
        <f>SUMIFS('Climate Data'!$H$7:$H$366,'Climate Data'!$A$7:$A$366,Estimator!$B$4,'Climate Data'!$B$7:$B$366,C4547)</f>
        <v>7.941860465116279</v>
      </c>
      <c r="J4547" s="86">
        <f>SUMIFS('Wind Proxy'!$H$8:$H$19,'Wind Proxy'!$A$8:$A$19,Estimator!$B$4,'Wind Proxy'!$B$8:$B$19,C4547)</f>
        <v>0</v>
      </c>
    </row>
    <row r="4548" spans="1:10" ht="14.4">
      <c r="A4548" s="84">
        <v>50199</v>
      </c>
      <c r="B4548" s="85">
        <v>2037</v>
      </c>
      <c r="C4548" s="85">
        <v>6</v>
      </c>
      <c r="D4548" s="85" t="s">
        <v>68</v>
      </c>
      <c r="E4548" s="85">
        <v>8</v>
      </c>
      <c r="F4548" s="85">
        <v>1</v>
      </c>
      <c r="G4548" s="85">
        <f>--(F4548&lt;=Estimator!$B$7)</f>
        <v>1</v>
      </c>
      <c r="H4548" s="86">
        <f>SUMIFS('Climate Data'!$G$7:$G$366,'Climate Data'!$A$7:$A$366,Estimator!$B$4,'Climate Data'!$B$7:$B$366,C4548)</f>
        <v>0.28666666666666668</v>
      </c>
      <c r="I4548" s="87">
        <f>SUMIFS('Climate Data'!$H$7:$H$366,'Climate Data'!$A$7:$A$366,Estimator!$B$4,'Climate Data'!$B$7:$B$366,C4548)</f>
        <v>7.941860465116279</v>
      </c>
      <c r="J4548" s="86">
        <f>SUMIFS('Wind Proxy'!$H$8:$H$19,'Wind Proxy'!$A$8:$A$19,Estimator!$B$4,'Wind Proxy'!$B$8:$B$19,C4548)</f>
        <v>0</v>
      </c>
    </row>
    <row r="4549" spans="1:10" ht="14.4">
      <c r="A4549" s="84">
        <v>50200</v>
      </c>
      <c r="B4549" s="85">
        <v>2037</v>
      </c>
      <c r="C4549" s="85">
        <v>6</v>
      </c>
      <c r="D4549" s="85" t="s">
        <v>68</v>
      </c>
      <c r="E4549" s="85">
        <v>9</v>
      </c>
      <c r="F4549" s="85">
        <v>2</v>
      </c>
      <c r="G4549" s="85">
        <f>--(F4549&lt;=Estimator!$B$7)</f>
        <v>1</v>
      </c>
      <c r="H4549" s="86">
        <f>SUMIFS('Climate Data'!$G$7:$G$366,'Climate Data'!$A$7:$A$366,Estimator!$B$4,'Climate Data'!$B$7:$B$366,C4549)</f>
        <v>0.28666666666666668</v>
      </c>
      <c r="I4549" s="87">
        <f>SUMIFS('Climate Data'!$H$7:$H$366,'Climate Data'!$A$7:$A$366,Estimator!$B$4,'Climate Data'!$B$7:$B$366,C4549)</f>
        <v>7.941860465116279</v>
      </c>
      <c r="J4549" s="86">
        <f>SUMIFS('Wind Proxy'!$H$8:$H$19,'Wind Proxy'!$A$8:$A$19,Estimator!$B$4,'Wind Proxy'!$B$8:$B$19,C4549)</f>
        <v>0</v>
      </c>
    </row>
    <row r="4550" spans="1:10" ht="14.4">
      <c r="A4550" s="84">
        <v>50201</v>
      </c>
      <c r="B4550" s="85">
        <v>2037</v>
      </c>
      <c r="C4550" s="85">
        <v>6</v>
      </c>
      <c r="D4550" s="85" t="s">
        <v>68</v>
      </c>
      <c r="E4550" s="85">
        <v>10</v>
      </c>
      <c r="F4550" s="85">
        <v>3</v>
      </c>
      <c r="G4550" s="85">
        <f>--(F4550&lt;=Estimator!$B$7)</f>
        <v>1</v>
      </c>
      <c r="H4550" s="86">
        <f>SUMIFS('Climate Data'!$G$7:$G$366,'Climate Data'!$A$7:$A$366,Estimator!$B$4,'Climate Data'!$B$7:$B$366,C4550)</f>
        <v>0.28666666666666668</v>
      </c>
      <c r="I4550" s="87">
        <f>SUMIFS('Climate Data'!$H$7:$H$366,'Climate Data'!$A$7:$A$366,Estimator!$B$4,'Climate Data'!$B$7:$B$366,C4550)</f>
        <v>7.941860465116279</v>
      </c>
      <c r="J4550" s="86">
        <f>SUMIFS('Wind Proxy'!$H$8:$H$19,'Wind Proxy'!$A$8:$A$19,Estimator!$B$4,'Wind Proxy'!$B$8:$B$19,C4550)</f>
        <v>0</v>
      </c>
    </row>
    <row r="4551" spans="1:10" ht="14.4">
      <c r="A4551" s="84">
        <v>50202</v>
      </c>
      <c r="B4551" s="85">
        <v>2037</v>
      </c>
      <c r="C4551" s="85">
        <v>6</v>
      </c>
      <c r="D4551" s="85" t="s">
        <v>68</v>
      </c>
      <c r="E4551" s="85">
        <v>11</v>
      </c>
      <c r="F4551" s="85">
        <v>4</v>
      </c>
      <c r="G4551" s="85">
        <f>--(F4551&lt;=Estimator!$B$7)</f>
        <v>1</v>
      </c>
      <c r="H4551" s="86">
        <f>SUMIFS('Climate Data'!$G$7:$G$366,'Climate Data'!$A$7:$A$366,Estimator!$B$4,'Climate Data'!$B$7:$B$366,C4551)</f>
        <v>0.28666666666666668</v>
      </c>
      <c r="I4551" s="87">
        <f>SUMIFS('Climate Data'!$H$7:$H$366,'Climate Data'!$A$7:$A$366,Estimator!$B$4,'Climate Data'!$B$7:$B$366,C4551)</f>
        <v>7.941860465116279</v>
      </c>
      <c r="J4551" s="86">
        <f>SUMIFS('Wind Proxy'!$H$8:$H$19,'Wind Proxy'!$A$8:$A$19,Estimator!$B$4,'Wind Proxy'!$B$8:$B$19,C4551)</f>
        <v>0</v>
      </c>
    </row>
    <row r="4552" spans="1:10" ht="14.4">
      <c r="A4552" s="84">
        <v>50203</v>
      </c>
      <c r="B4552" s="85">
        <v>2037</v>
      </c>
      <c r="C4552" s="85">
        <v>6</v>
      </c>
      <c r="D4552" s="85" t="s">
        <v>68</v>
      </c>
      <c r="E4552" s="85">
        <v>12</v>
      </c>
      <c r="F4552" s="85">
        <v>5</v>
      </c>
      <c r="G4552" s="85">
        <f>--(F4552&lt;=Estimator!$B$7)</f>
        <v>1</v>
      </c>
      <c r="H4552" s="86">
        <f>SUMIFS('Climate Data'!$G$7:$G$366,'Climate Data'!$A$7:$A$366,Estimator!$B$4,'Climate Data'!$B$7:$B$366,C4552)</f>
        <v>0.28666666666666668</v>
      </c>
      <c r="I4552" s="87">
        <f>SUMIFS('Climate Data'!$H$7:$H$366,'Climate Data'!$A$7:$A$366,Estimator!$B$4,'Climate Data'!$B$7:$B$366,C4552)</f>
        <v>7.941860465116279</v>
      </c>
      <c r="J4552" s="86">
        <f>SUMIFS('Wind Proxy'!$H$8:$H$19,'Wind Proxy'!$A$8:$A$19,Estimator!$B$4,'Wind Proxy'!$B$8:$B$19,C4552)</f>
        <v>0</v>
      </c>
    </row>
    <row r="4553" spans="1:10" ht="14.4">
      <c r="A4553" s="84">
        <v>50204</v>
      </c>
      <c r="B4553" s="85">
        <v>2037</v>
      </c>
      <c r="C4553" s="85">
        <v>6</v>
      </c>
      <c r="D4553" s="85" t="s">
        <v>68</v>
      </c>
      <c r="E4553" s="85">
        <v>13</v>
      </c>
      <c r="F4553" s="85">
        <v>6</v>
      </c>
      <c r="G4553" s="85">
        <f>--(F4553&lt;=Estimator!$B$7)</f>
        <v>0</v>
      </c>
      <c r="H4553" s="86">
        <f>SUMIFS('Climate Data'!$G$7:$G$366,'Climate Data'!$A$7:$A$366,Estimator!$B$4,'Climate Data'!$B$7:$B$366,C4553)</f>
        <v>0.28666666666666668</v>
      </c>
      <c r="I4553" s="87">
        <f>SUMIFS('Climate Data'!$H$7:$H$366,'Climate Data'!$A$7:$A$366,Estimator!$B$4,'Climate Data'!$B$7:$B$366,C4553)</f>
        <v>7.941860465116279</v>
      </c>
      <c r="J4553" s="86">
        <f>SUMIFS('Wind Proxy'!$H$8:$H$19,'Wind Proxy'!$A$8:$A$19,Estimator!$B$4,'Wind Proxy'!$B$8:$B$19,C4553)</f>
        <v>0</v>
      </c>
    </row>
    <row r="4554" spans="1:10" ht="14.4">
      <c r="A4554" s="84">
        <v>50205</v>
      </c>
      <c r="B4554" s="85">
        <v>2037</v>
      </c>
      <c r="C4554" s="85">
        <v>6</v>
      </c>
      <c r="D4554" s="85" t="s">
        <v>68</v>
      </c>
      <c r="E4554" s="85">
        <v>14</v>
      </c>
      <c r="F4554" s="85">
        <v>7</v>
      </c>
      <c r="G4554" s="85">
        <f>--(F4554&lt;=Estimator!$B$7)</f>
        <v>0</v>
      </c>
      <c r="H4554" s="86">
        <f>SUMIFS('Climate Data'!$G$7:$G$366,'Climate Data'!$A$7:$A$366,Estimator!$B$4,'Climate Data'!$B$7:$B$366,C4554)</f>
        <v>0.28666666666666668</v>
      </c>
      <c r="I4554" s="87">
        <f>SUMIFS('Climate Data'!$H$7:$H$366,'Climate Data'!$A$7:$A$366,Estimator!$B$4,'Climate Data'!$B$7:$B$366,C4554)</f>
        <v>7.941860465116279</v>
      </c>
      <c r="J4554" s="86">
        <f>SUMIFS('Wind Proxy'!$H$8:$H$19,'Wind Proxy'!$A$8:$A$19,Estimator!$B$4,'Wind Proxy'!$B$8:$B$19,C4554)</f>
        <v>0</v>
      </c>
    </row>
    <row r="4555" spans="1:10" ht="14.4">
      <c r="A4555" s="84">
        <v>50206</v>
      </c>
      <c r="B4555" s="85">
        <v>2037</v>
      </c>
      <c r="C4555" s="85">
        <v>6</v>
      </c>
      <c r="D4555" s="85" t="s">
        <v>68</v>
      </c>
      <c r="E4555" s="85">
        <v>15</v>
      </c>
      <c r="F4555" s="85">
        <v>1</v>
      </c>
      <c r="G4555" s="85">
        <f>--(F4555&lt;=Estimator!$B$7)</f>
        <v>1</v>
      </c>
      <c r="H4555" s="86">
        <f>SUMIFS('Climate Data'!$G$7:$G$366,'Climate Data'!$A$7:$A$366,Estimator!$B$4,'Climate Data'!$B$7:$B$366,C4555)</f>
        <v>0.28666666666666668</v>
      </c>
      <c r="I4555" s="87">
        <f>SUMIFS('Climate Data'!$H$7:$H$366,'Climate Data'!$A$7:$A$366,Estimator!$B$4,'Climate Data'!$B$7:$B$366,C4555)</f>
        <v>7.941860465116279</v>
      </c>
      <c r="J4555" s="86">
        <f>SUMIFS('Wind Proxy'!$H$8:$H$19,'Wind Proxy'!$A$8:$A$19,Estimator!$B$4,'Wind Proxy'!$B$8:$B$19,C4555)</f>
        <v>0</v>
      </c>
    </row>
    <row r="4556" spans="1:10" ht="14.4">
      <c r="A4556" s="84">
        <v>50207</v>
      </c>
      <c r="B4556" s="85">
        <v>2037</v>
      </c>
      <c r="C4556" s="85">
        <v>6</v>
      </c>
      <c r="D4556" s="85" t="s">
        <v>68</v>
      </c>
      <c r="E4556" s="85">
        <v>16</v>
      </c>
      <c r="F4556" s="85">
        <v>2</v>
      </c>
      <c r="G4556" s="85">
        <f>--(F4556&lt;=Estimator!$B$7)</f>
        <v>1</v>
      </c>
      <c r="H4556" s="86">
        <f>SUMIFS('Climate Data'!$G$7:$G$366,'Climate Data'!$A$7:$A$366,Estimator!$B$4,'Climate Data'!$B$7:$B$366,C4556)</f>
        <v>0.28666666666666668</v>
      </c>
      <c r="I4556" s="87">
        <f>SUMIFS('Climate Data'!$H$7:$H$366,'Climate Data'!$A$7:$A$366,Estimator!$B$4,'Climate Data'!$B$7:$B$366,C4556)</f>
        <v>7.941860465116279</v>
      </c>
      <c r="J4556" s="86">
        <f>SUMIFS('Wind Proxy'!$H$8:$H$19,'Wind Proxy'!$A$8:$A$19,Estimator!$B$4,'Wind Proxy'!$B$8:$B$19,C4556)</f>
        <v>0</v>
      </c>
    </row>
    <row r="4557" spans="1:10" ht="14.4">
      <c r="A4557" s="84">
        <v>50208</v>
      </c>
      <c r="B4557" s="85">
        <v>2037</v>
      </c>
      <c r="C4557" s="85">
        <v>6</v>
      </c>
      <c r="D4557" s="85" t="s">
        <v>68</v>
      </c>
      <c r="E4557" s="85">
        <v>17</v>
      </c>
      <c r="F4557" s="85">
        <v>3</v>
      </c>
      <c r="G4557" s="85">
        <f>--(F4557&lt;=Estimator!$B$7)</f>
        <v>1</v>
      </c>
      <c r="H4557" s="86">
        <f>SUMIFS('Climate Data'!$G$7:$G$366,'Climate Data'!$A$7:$A$366,Estimator!$B$4,'Climate Data'!$B$7:$B$366,C4557)</f>
        <v>0.28666666666666668</v>
      </c>
      <c r="I4557" s="87">
        <f>SUMIFS('Climate Data'!$H$7:$H$366,'Climate Data'!$A$7:$A$366,Estimator!$B$4,'Climate Data'!$B$7:$B$366,C4557)</f>
        <v>7.941860465116279</v>
      </c>
      <c r="J4557" s="86">
        <f>SUMIFS('Wind Proxy'!$H$8:$H$19,'Wind Proxy'!$A$8:$A$19,Estimator!$B$4,'Wind Proxy'!$B$8:$B$19,C4557)</f>
        <v>0</v>
      </c>
    </row>
    <row r="4558" spans="1:10" ht="14.4">
      <c r="A4558" s="84">
        <v>50209</v>
      </c>
      <c r="B4558" s="85">
        <v>2037</v>
      </c>
      <c r="C4558" s="85">
        <v>6</v>
      </c>
      <c r="D4558" s="85" t="s">
        <v>68</v>
      </c>
      <c r="E4558" s="85">
        <v>18</v>
      </c>
      <c r="F4558" s="85">
        <v>4</v>
      </c>
      <c r="G4558" s="85">
        <f>--(F4558&lt;=Estimator!$B$7)</f>
        <v>1</v>
      </c>
      <c r="H4558" s="86">
        <f>SUMIFS('Climate Data'!$G$7:$G$366,'Climate Data'!$A$7:$A$366,Estimator!$B$4,'Climate Data'!$B$7:$B$366,C4558)</f>
        <v>0.28666666666666668</v>
      </c>
      <c r="I4558" s="87">
        <f>SUMIFS('Climate Data'!$H$7:$H$366,'Climate Data'!$A$7:$A$366,Estimator!$B$4,'Climate Data'!$B$7:$B$366,C4558)</f>
        <v>7.941860465116279</v>
      </c>
      <c r="J4558" s="86">
        <f>SUMIFS('Wind Proxy'!$H$8:$H$19,'Wind Proxy'!$A$8:$A$19,Estimator!$B$4,'Wind Proxy'!$B$8:$B$19,C4558)</f>
        <v>0</v>
      </c>
    </row>
    <row r="4559" spans="1:10" ht="14.4">
      <c r="A4559" s="84">
        <v>50210</v>
      </c>
      <c r="B4559" s="85">
        <v>2037</v>
      </c>
      <c r="C4559" s="85">
        <v>6</v>
      </c>
      <c r="D4559" s="85" t="s">
        <v>68</v>
      </c>
      <c r="E4559" s="85">
        <v>19</v>
      </c>
      <c r="F4559" s="85">
        <v>5</v>
      </c>
      <c r="G4559" s="85">
        <f>--(F4559&lt;=Estimator!$B$7)</f>
        <v>1</v>
      </c>
      <c r="H4559" s="86">
        <f>SUMIFS('Climate Data'!$G$7:$G$366,'Climate Data'!$A$7:$A$366,Estimator!$B$4,'Climate Data'!$B$7:$B$366,C4559)</f>
        <v>0.28666666666666668</v>
      </c>
      <c r="I4559" s="87">
        <f>SUMIFS('Climate Data'!$H$7:$H$366,'Climate Data'!$A$7:$A$366,Estimator!$B$4,'Climate Data'!$B$7:$B$366,C4559)</f>
        <v>7.941860465116279</v>
      </c>
      <c r="J4559" s="86">
        <f>SUMIFS('Wind Proxy'!$H$8:$H$19,'Wind Proxy'!$A$8:$A$19,Estimator!$B$4,'Wind Proxy'!$B$8:$B$19,C4559)</f>
        <v>0</v>
      </c>
    </row>
    <row r="4560" spans="1:10" ht="14.4">
      <c r="A4560" s="84">
        <v>50211</v>
      </c>
      <c r="B4560" s="85">
        <v>2037</v>
      </c>
      <c r="C4560" s="85">
        <v>6</v>
      </c>
      <c r="D4560" s="85" t="s">
        <v>68</v>
      </c>
      <c r="E4560" s="85">
        <v>20</v>
      </c>
      <c r="F4560" s="85">
        <v>6</v>
      </c>
      <c r="G4560" s="85">
        <f>--(F4560&lt;=Estimator!$B$7)</f>
        <v>0</v>
      </c>
      <c r="H4560" s="86">
        <f>SUMIFS('Climate Data'!$G$7:$G$366,'Climate Data'!$A$7:$A$366,Estimator!$B$4,'Climate Data'!$B$7:$B$366,C4560)</f>
        <v>0.28666666666666668</v>
      </c>
      <c r="I4560" s="87">
        <f>SUMIFS('Climate Data'!$H$7:$H$366,'Climate Data'!$A$7:$A$366,Estimator!$B$4,'Climate Data'!$B$7:$B$366,C4560)</f>
        <v>7.941860465116279</v>
      </c>
      <c r="J4560" s="86">
        <f>SUMIFS('Wind Proxy'!$H$8:$H$19,'Wind Proxy'!$A$8:$A$19,Estimator!$B$4,'Wind Proxy'!$B$8:$B$19,C4560)</f>
        <v>0</v>
      </c>
    </row>
    <row r="4561" spans="1:10" ht="14.4">
      <c r="A4561" s="84">
        <v>50212</v>
      </c>
      <c r="B4561" s="85">
        <v>2037</v>
      </c>
      <c r="C4561" s="85">
        <v>6</v>
      </c>
      <c r="D4561" s="85" t="s">
        <v>68</v>
      </c>
      <c r="E4561" s="85">
        <v>21</v>
      </c>
      <c r="F4561" s="85">
        <v>7</v>
      </c>
      <c r="G4561" s="85">
        <f>--(F4561&lt;=Estimator!$B$7)</f>
        <v>0</v>
      </c>
      <c r="H4561" s="86">
        <f>SUMIFS('Climate Data'!$G$7:$G$366,'Climate Data'!$A$7:$A$366,Estimator!$B$4,'Climate Data'!$B$7:$B$366,C4561)</f>
        <v>0.28666666666666668</v>
      </c>
      <c r="I4561" s="87">
        <f>SUMIFS('Climate Data'!$H$7:$H$366,'Climate Data'!$A$7:$A$366,Estimator!$B$4,'Climate Data'!$B$7:$B$366,C4561)</f>
        <v>7.941860465116279</v>
      </c>
      <c r="J4561" s="86">
        <f>SUMIFS('Wind Proxy'!$H$8:$H$19,'Wind Proxy'!$A$8:$A$19,Estimator!$B$4,'Wind Proxy'!$B$8:$B$19,C4561)</f>
        <v>0</v>
      </c>
    </row>
    <row r="4562" spans="1:10" ht="14.4">
      <c r="A4562" s="84">
        <v>50213</v>
      </c>
      <c r="B4562" s="85">
        <v>2037</v>
      </c>
      <c r="C4562" s="85">
        <v>6</v>
      </c>
      <c r="D4562" s="85" t="s">
        <v>68</v>
      </c>
      <c r="E4562" s="85">
        <v>22</v>
      </c>
      <c r="F4562" s="85">
        <v>1</v>
      </c>
      <c r="G4562" s="85">
        <f>--(F4562&lt;=Estimator!$B$7)</f>
        <v>1</v>
      </c>
      <c r="H4562" s="86">
        <f>SUMIFS('Climate Data'!$G$7:$G$366,'Climate Data'!$A$7:$A$366,Estimator!$B$4,'Climate Data'!$B$7:$B$366,C4562)</f>
        <v>0.28666666666666668</v>
      </c>
      <c r="I4562" s="87">
        <f>SUMIFS('Climate Data'!$H$7:$H$366,'Climate Data'!$A$7:$A$366,Estimator!$B$4,'Climate Data'!$B$7:$B$366,C4562)</f>
        <v>7.941860465116279</v>
      </c>
      <c r="J4562" s="86">
        <f>SUMIFS('Wind Proxy'!$H$8:$H$19,'Wind Proxy'!$A$8:$A$19,Estimator!$B$4,'Wind Proxy'!$B$8:$B$19,C4562)</f>
        <v>0</v>
      </c>
    </row>
    <row r="4563" spans="1:10" ht="14.4">
      <c r="A4563" s="84">
        <v>50214</v>
      </c>
      <c r="B4563" s="85">
        <v>2037</v>
      </c>
      <c r="C4563" s="85">
        <v>6</v>
      </c>
      <c r="D4563" s="85" t="s">
        <v>68</v>
      </c>
      <c r="E4563" s="85">
        <v>23</v>
      </c>
      <c r="F4563" s="85">
        <v>2</v>
      </c>
      <c r="G4563" s="85">
        <f>--(F4563&lt;=Estimator!$B$7)</f>
        <v>1</v>
      </c>
      <c r="H4563" s="86">
        <f>SUMIFS('Climate Data'!$G$7:$G$366,'Climate Data'!$A$7:$A$366,Estimator!$B$4,'Climate Data'!$B$7:$B$366,C4563)</f>
        <v>0.28666666666666668</v>
      </c>
      <c r="I4563" s="87">
        <f>SUMIFS('Climate Data'!$H$7:$H$366,'Climate Data'!$A$7:$A$366,Estimator!$B$4,'Climate Data'!$B$7:$B$366,C4563)</f>
        <v>7.941860465116279</v>
      </c>
      <c r="J4563" s="86">
        <f>SUMIFS('Wind Proxy'!$H$8:$H$19,'Wind Proxy'!$A$8:$A$19,Estimator!$B$4,'Wind Proxy'!$B$8:$B$19,C4563)</f>
        <v>0</v>
      </c>
    </row>
    <row r="4564" spans="1:10" ht="14.4">
      <c r="A4564" s="84">
        <v>50215</v>
      </c>
      <c r="B4564" s="85">
        <v>2037</v>
      </c>
      <c r="C4564" s="85">
        <v>6</v>
      </c>
      <c r="D4564" s="85" t="s">
        <v>68</v>
      </c>
      <c r="E4564" s="85">
        <v>24</v>
      </c>
      <c r="F4564" s="85">
        <v>3</v>
      </c>
      <c r="G4564" s="85">
        <f>--(F4564&lt;=Estimator!$B$7)</f>
        <v>1</v>
      </c>
      <c r="H4564" s="86">
        <f>SUMIFS('Climate Data'!$G$7:$G$366,'Climate Data'!$A$7:$A$366,Estimator!$B$4,'Climate Data'!$B$7:$B$366,C4564)</f>
        <v>0.28666666666666668</v>
      </c>
      <c r="I4564" s="87">
        <f>SUMIFS('Climate Data'!$H$7:$H$366,'Climate Data'!$A$7:$A$366,Estimator!$B$4,'Climate Data'!$B$7:$B$366,C4564)</f>
        <v>7.941860465116279</v>
      </c>
      <c r="J4564" s="86">
        <f>SUMIFS('Wind Proxy'!$H$8:$H$19,'Wind Proxy'!$A$8:$A$19,Estimator!$B$4,'Wind Proxy'!$B$8:$B$19,C4564)</f>
        <v>0</v>
      </c>
    </row>
    <row r="4565" spans="1:10" ht="14.4">
      <c r="A4565" s="84">
        <v>50216</v>
      </c>
      <c r="B4565" s="85">
        <v>2037</v>
      </c>
      <c r="C4565" s="85">
        <v>6</v>
      </c>
      <c r="D4565" s="85" t="s">
        <v>68</v>
      </c>
      <c r="E4565" s="85">
        <v>25</v>
      </c>
      <c r="F4565" s="85">
        <v>4</v>
      </c>
      <c r="G4565" s="85">
        <f>--(F4565&lt;=Estimator!$B$7)</f>
        <v>1</v>
      </c>
      <c r="H4565" s="86">
        <f>SUMIFS('Climate Data'!$G$7:$G$366,'Climate Data'!$A$7:$A$366,Estimator!$B$4,'Climate Data'!$B$7:$B$366,C4565)</f>
        <v>0.28666666666666668</v>
      </c>
      <c r="I4565" s="87">
        <f>SUMIFS('Climate Data'!$H$7:$H$366,'Climate Data'!$A$7:$A$366,Estimator!$B$4,'Climate Data'!$B$7:$B$366,C4565)</f>
        <v>7.941860465116279</v>
      </c>
      <c r="J4565" s="86">
        <f>SUMIFS('Wind Proxy'!$H$8:$H$19,'Wind Proxy'!$A$8:$A$19,Estimator!$B$4,'Wind Proxy'!$B$8:$B$19,C4565)</f>
        <v>0</v>
      </c>
    </row>
    <row r="4566" spans="1:10" ht="14.4">
      <c r="A4566" s="84">
        <v>50217</v>
      </c>
      <c r="B4566" s="85">
        <v>2037</v>
      </c>
      <c r="C4566" s="85">
        <v>6</v>
      </c>
      <c r="D4566" s="85" t="s">
        <v>68</v>
      </c>
      <c r="E4566" s="85">
        <v>26</v>
      </c>
      <c r="F4566" s="85">
        <v>5</v>
      </c>
      <c r="G4566" s="85">
        <f>--(F4566&lt;=Estimator!$B$7)</f>
        <v>1</v>
      </c>
      <c r="H4566" s="86">
        <f>SUMIFS('Climate Data'!$G$7:$G$366,'Climate Data'!$A$7:$A$366,Estimator!$B$4,'Climate Data'!$B$7:$B$366,C4566)</f>
        <v>0.28666666666666668</v>
      </c>
      <c r="I4566" s="87">
        <f>SUMIFS('Climate Data'!$H$7:$H$366,'Climate Data'!$A$7:$A$366,Estimator!$B$4,'Climate Data'!$B$7:$B$366,C4566)</f>
        <v>7.941860465116279</v>
      </c>
      <c r="J4566" s="86">
        <f>SUMIFS('Wind Proxy'!$H$8:$H$19,'Wind Proxy'!$A$8:$A$19,Estimator!$B$4,'Wind Proxy'!$B$8:$B$19,C4566)</f>
        <v>0</v>
      </c>
    </row>
    <row r="4567" spans="1:10" ht="14.4">
      <c r="A4567" s="84">
        <v>50218</v>
      </c>
      <c r="B4567" s="85">
        <v>2037</v>
      </c>
      <c r="C4567" s="85">
        <v>6</v>
      </c>
      <c r="D4567" s="85" t="s">
        <v>68</v>
      </c>
      <c r="E4567" s="85">
        <v>27</v>
      </c>
      <c r="F4567" s="85">
        <v>6</v>
      </c>
      <c r="G4567" s="85">
        <f>--(F4567&lt;=Estimator!$B$7)</f>
        <v>0</v>
      </c>
      <c r="H4567" s="86">
        <f>SUMIFS('Climate Data'!$G$7:$G$366,'Climate Data'!$A$7:$A$366,Estimator!$B$4,'Climate Data'!$B$7:$B$366,C4567)</f>
        <v>0.28666666666666668</v>
      </c>
      <c r="I4567" s="87">
        <f>SUMIFS('Climate Data'!$H$7:$H$366,'Climate Data'!$A$7:$A$366,Estimator!$B$4,'Climate Data'!$B$7:$B$366,C4567)</f>
        <v>7.941860465116279</v>
      </c>
      <c r="J4567" s="86">
        <f>SUMIFS('Wind Proxy'!$H$8:$H$19,'Wind Proxy'!$A$8:$A$19,Estimator!$B$4,'Wind Proxy'!$B$8:$B$19,C4567)</f>
        <v>0</v>
      </c>
    </row>
    <row r="4568" spans="1:10" ht="14.4">
      <c r="A4568" s="84">
        <v>50219</v>
      </c>
      <c r="B4568" s="85">
        <v>2037</v>
      </c>
      <c r="C4568" s="85">
        <v>6</v>
      </c>
      <c r="D4568" s="85" t="s">
        <v>68</v>
      </c>
      <c r="E4568" s="85">
        <v>28</v>
      </c>
      <c r="F4568" s="85">
        <v>7</v>
      </c>
      <c r="G4568" s="85">
        <f>--(F4568&lt;=Estimator!$B$7)</f>
        <v>0</v>
      </c>
      <c r="H4568" s="86">
        <f>SUMIFS('Climate Data'!$G$7:$G$366,'Climate Data'!$A$7:$A$366,Estimator!$B$4,'Climate Data'!$B$7:$B$366,C4568)</f>
        <v>0.28666666666666668</v>
      </c>
      <c r="I4568" s="87">
        <f>SUMIFS('Climate Data'!$H$7:$H$366,'Climate Data'!$A$7:$A$366,Estimator!$B$4,'Climate Data'!$B$7:$B$366,C4568)</f>
        <v>7.941860465116279</v>
      </c>
      <c r="J4568" s="86">
        <f>SUMIFS('Wind Proxy'!$H$8:$H$19,'Wind Proxy'!$A$8:$A$19,Estimator!$B$4,'Wind Proxy'!$B$8:$B$19,C4568)</f>
        <v>0</v>
      </c>
    </row>
    <row r="4569" spans="1:10" ht="14.4">
      <c r="A4569" s="84">
        <v>50220</v>
      </c>
      <c r="B4569" s="85">
        <v>2037</v>
      </c>
      <c r="C4569" s="85">
        <v>6</v>
      </c>
      <c r="D4569" s="85" t="s">
        <v>68</v>
      </c>
      <c r="E4569" s="85">
        <v>29</v>
      </c>
      <c r="F4569" s="85">
        <v>1</v>
      </c>
      <c r="G4569" s="85">
        <f>--(F4569&lt;=Estimator!$B$7)</f>
        <v>1</v>
      </c>
      <c r="H4569" s="86">
        <f>SUMIFS('Climate Data'!$G$7:$G$366,'Climate Data'!$A$7:$A$366,Estimator!$B$4,'Climate Data'!$B$7:$B$366,C4569)</f>
        <v>0.28666666666666668</v>
      </c>
      <c r="I4569" s="87">
        <f>SUMIFS('Climate Data'!$H$7:$H$366,'Climate Data'!$A$7:$A$366,Estimator!$B$4,'Climate Data'!$B$7:$B$366,C4569)</f>
        <v>7.941860465116279</v>
      </c>
      <c r="J4569" s="86">
        <f>SUMIFS('Wind Proxy'!$H$8:$H$19,'Wind Proxy'!$A$8:$A$19,Estimator!$B$4,'Wind Proxy'!$B$8:$B$19,C4569)</f>
        <v>0</v>
      </c>
    </row>
    <row r="4570" spans="1:10" ht="14.4">
      <c r="A4570" s="84">
        <v>50221</v>
      </c>
      <c r="B4570" s="85">
        <v>2037</v>
      </c>
      <c r="C4570" s="85">
        <v>6</v>
      </c>
      <c r="D4570" s="85" t="s">
        <v>68</v>
      </c>
      <c r="E4570" s="85">
        <v>30</v>
      </c>
      <c r="F4570" s="85">
        <v>2</v>
      </c>
      <c r="G4570" s="85">
        <f>--(F4570&lt;=Estimator!$B$7)</f>
        <v>1</v>
      </c>
      <c r="H4570" s="86">
        <f>SUMIFS('Climate Data'!$G$7:$G$366,'Climate Data'!$A$7:$A$366,Estimator!$B$4,'Climate Data'!$B$7:$B$366,C4570)</f>
        <v>0.28666666666666668</v>
      </c>
      <c r="I4570" s="87">
        <f>SUMIFS('Climate Data'!$H$7:$H$366,'Climate Data'!$A$7:$A$366,Estimator!$B$4,'Climate Data'!$B$7:$B$366,C4570)</f>
        <v>7.941860465116279</v>
      </c>
      <c r="J4570" s="86">
        <f>SUMIFS('Wind Proxy'!$H$8:$H$19,'Wind Proxy'!$A$8:$A$19,Estimator!$B$4,'Wind Proxy'!$B$8:$B$19,C4570)</f>
        <v>0</v>
      </c>
    </row>
    <row r="4571" spans="1:10" ht="14.4">
      <c r="A4571" s="84">
        <v>50222</v>
      </c>
      <c r="B4571" s="85">
        <v>2037</v>
      </c>
      <c r="C4571" s="85">
        <v>7</v>
      </c>
      <c r="D4571" s="85" t="s">
        <v>69</v>
      </c>
      <c r="E4571" s="85">
        <v>1</v>
      </c>
      <c r="F4571" s="85">
        <v>3</v>
      </c>
      <c r="G4571" s="85">
        <f>--(F4571&lt;=Estimator!$B$7)</f>
        <v>1</v>
      </c>
      <c r="H4571" s="86">
        <f>SUMIFS('Climate Data'!$G$7:$G$366,'Climate Data'!$A$7:$A$366,Estimator!$B$4,'Climate Data'!$B$7:$B$366,C4571)</f>
        <v>0.24731182795698925</v>
      </c>
      <c r="I4571" s="87">
        <f>SUMIFS('Climate Data'!$H$7:$H$366,'Climate Data'!$A$7:$A$366,Estimator!$B$4,'Climate Data'!$B$7:$B$366,C4571)</f>
        <v>8.3739130434782609</v>
      </c>
      <c r="J4571" s="86">
        <f>SUMIFS('Wind Proxy'!$H$8:$H$19,'Wind Proxy'!$A$8:$A$19,Estimator!$B$4,'Wind Proxy'!$B$8:$B$19,C4571)</f>
        <v>0</v>
      </c>
    </row>
    <row r="4572" spans="1:10" ht="14.4">
      <c r="A4572" s="84">
        <v>50223</v>
      </c>
      <c r="B4572" s="85">
        <v>2037</v>
      </c>
      <c r="C4572" s="85">
        <v>7</v>
      </c>
      <c r="D4572" s="85" t="s">
        <v>69</v>
      </c>
      <c r="E4572" s="85">
        <v>2</v>
      </c>
      <c r="F4572" s="85">
        <v>4</v>
      </c>
      <c r="G4572" s="85">
        <f>--(F4572&lt;=Estimator!$B$7)</f>
        <v>1</v>
      </c>
      <c r="H4572" s="86">
        <f>SUMIFS('Climate Data'!$G$7:$G$366,'Climate Data'!$A$7:$A$366,Estimator!$B$4,'Climate Data'!$B$7:$B$366,C4572)</f>
        <v>0.24731182795698925</v>
      </c>
      <c r="I4572" s="87">
        <f>SUMIFS('Climate Data'!$H$7:$H$366,'Climate Data'!$A$7:$A$366,Estimator!$B$4,'Climate Data'!$B$7:$B$366,C4572)</f>
        <v>8.3739130434782609</v>
      </c>
      <c r="J4572" s="86">
        <f>SUMIFS('Wind Proxy'!$H$8:$H$19,'Wind Proxy'!$A$8:$A$19,Estimator!$B$4,'Wind Proxy'!$B$8:$B$19,C4572)</f>
        <v>0</v>
      </c>
    </row>
    <row r="4573" spans="1:10" ht="14.4">
      <c r="A4573" s="84">
        <v>50224</v>
      </c>
      <c r="B4573" s="85">
        <v>2037</v>
      </c>
      <c r="C4573" s="85">
        <v>7</v>
      </c>
      <c r="D4573" s="85" t="s">
        <v>69</v>
      </c>
      <c r="E4573" s="85">
        <v>3</v>
      </c>
      <c r="F4573" s="85">
        <v>5</v>
      </c>
      <c r="G4573" s="85">
        <f>--(F4573&lt;=Estimator!$B$7)</f>
        <v>1</v>
      </c>
      <c r="H4573" s="86">
        <f>SUMIFS('Climate Data'!$G$7:$G$366,'Climate Data'!$A$7:$A$366,Estimator!$B$4,'Climate Data'!$B$7:$B$366,C4573)</f>
        <v>0.24731182795698925</v>
      </c>
      <c r="I4573" s="87">
        <f>SUMIFS('Climate Data'!$H$7:$H$366,'Climate Data'!$A$7:$A$366,Estimator!$B$4,'Climate Data'!$B$7:$B$366,C4573)</f>
        <v>8.3739130434782609</v>
      </c>
      <c r="J4573" s="86">
        <f>SUMIFS('Wind Proxy'!$H$8:$H$19,'Wind Proxy'!$A$8:$A$19,Estimator!$B$4,'Wind Proxy'!$B$8:$B$19,C4573)</f>
        <v>0</v>
      </c>
    </row>
    <row r="4574" spans="1:10" ht="14.4">
      <c r="A4574" s="84">
        <v>50225</v>
      </c>
      <c r="B4574" s="85">
        <v>2037</v>
      </c>
      <c r="C4574" s="85">
        <v>7</v>
      </c>
      <c r="D4574" s="85" t="s">
        <v>69</v>
      </c>
      <c r="E4574" s="85">
        <v>4</v>
      </c>
      <c r="F4574" s="85">
        <v>6</v>
      </c>
      <c r="G4574" s="85">
        <f>--(F4574&lt;=Estimator!$B$7)</f>
        <v>0</v>
      </c>
      <c r="H4574" s="86">
        <f>SUMIFS('Climate Data'!$G$7:$G$366,'Climate Data'!$A$7:$A$366,Estimator!$B$4,'Climate Data'!$B$7:$B$366,C4574)</f>
        <v>0.24731182795698925</v>
      </c>
      <c r="I4574" s="87">
        <f>SUMIFS('Climate Data'!$H$7:$H$366,'Climate Data'!$A$7:$A$366,Estimator!$B$4,'Climate Data'!$B$7:$B$366,C4574)</f>
        <v>8.3739130434782609</v>
      </c>
      <c r="J4574" s="86">
        <f>SUMIFS('Wind Proxy'!$H$8:$H$19,'Wind Proxy'!$A$8:$A$19,Estimator!$B$4,'Wind Proxy'!$B$8:$B$19,C4574)</f>
        <v>0</v>
      </c>
    </row>
    <row r="4575" spans="1:10" ht="14.4">
      <c r="A4575" s="84">
        <v>50226</v>
      </c>
      <c r="B4575" s="85">
        <v>2037</v>
      </c>
      <c r="C4575" s="85">
        <v>7</v>
      </c>
      <c r="D4575" s="85" t="s">
        <v>69</v>
      </c>
      <c r="E4575" s="85">
        <v>5</v>
      </c>
      <c r="F4575" s="85">
        <v>7</v>
      </c>
      <c r="G4575" s="85">
        <f>--(F4575&lt;=Estimator!$B$7)</f>
        <v>0</v>
      </c>
      <c r="H4575" s="86">
        <f>SUMIFS('Climate Data'!$G$7:$G$366,'Climate Data'!$A$7:$A$366,Estimator!$B$4,'Climate Data'!$B$7:$B$366,C4575)</f>
        <v>0.24731182795698925</v>
      </c>
      <c r="I4575" s="87">
        <f>SUMIFS('Climate Data'!$H$7:$H$366,'Climate Data'!$A$7:$A$366,Estimator!$B$4,'Climate Data'!$B$7:$B$366,C4575)</f>
        <v>8.3739130434782609</v>
      </c>
      <c r="J4575" s="86">
        <f>SUMIFS('Wind Proxy'!$H$8:$H$19,'Wind Proxy'!$A$8:$A$19,Estimator!$B$4,'Wind Proxy'!$B$8:$B$19,C4575)</f>
        <v>0</v>
      </c>
    </row>
    <row r="4576" spans="1:10" ht="14.4">
      <c r="A4576" s="84">
        <v>50227</v>
      </c>
      <c r="B4576" s="85">
        <v>2037</v>
      </c>
      <c r="C4576" s="85">
        <v>7</v>
      </c>
      <c r="D4576" s="85" t="s">
        <v>69</v>
      </c>
      <c r="E4576" s="85">
        <v>6</v>
      </c>
      <c r="F4576" s="85">
        <v>1</v>
      </c>
      <c r="G4576" s="85">
        <f>--(F4576&lt;=Estimator!$B$7)</f>
        <v>1</v>
      </c>
      <c r="H4576" s="86">
        <f>SUMIFS('Climate Data'!$G$7:$G$366,'Climate Data'!$A$7:$A$366,Estimator!$B$4,'Climate Data'!$B$7:$B$366,C4576)</f>
        <v>0.24731182795698925</v>
      </c>
      <c r="I4576" s="87">
        <f>SUMIFS('Climate Data'!$H$7:$H$366,'Climate Data'!$A$7:$A$366,Estimator!$B$4,'Climate Data'!$B$7:$B$366,C4576)</f>
        <v>8.3739130434782609</v>
      </c>
      <c r="J4576" s="86">
        <f>SUMIFS('Wind Proxy'!$H$8:$H$19,'Wind Proxy'!$A$8:$A$19,Estimator!$B$4,'Wind Proxy'!$B$8:$B$19,C4576)</f>
        <v>0</v>
      </c>
    </row>
    <row r="4577" spans="1:10" ht="14.4">
      <c r="A4577" s="84">
        <v>50228</v>
      </c>
      <c r="B4577" s="85">
        <v>2037</v>
      </c>
      <c r="C4577" s="85">
        <v>7</v>
      </c>
      <c r="D4577" s="85" t="s">
        <v>69</v>
      </c>
      <c r="E4577" s="85">
        <v>7</v>
      </c>
      <c r="F4577" s="85">
        <v>2</v>
      </c>
      <c r="G4577" s="85">
        <f>--(F4577&lt;=Estimator!$B$7)</f>
        <v>1</v>
      </c>
      <c r="H4577" s="86">
        <f>SUMIFS('Climate Data'!$G$7:$G$366,'Climate Data'!$A$7:$A$366,Estimator!$B$4,'Climate Data'!$B$7:$B$366,C4577)</f>
        <v>0.24731182795698925</v>
      </c>
      <c r="I4577" s="87">
        <f>SUMIFS('Climate Data'!$H$7:$H$366,'Climate Data'!$A$7:$A$366,Estimator!$B$4,'Climate Data'!$B$7:$B$366,C4577)</f>
        <v>8.3739130434782609</v>
      </c>
      <c r="J4577" s="86">
        <f>SUMIFS('Wind Proxy'!$H$8:$H$19,'Wind Proxy'!$A$8:$A$19,Estimator!$B$4,'Wind Proxy'!$B$8:$B$19,C4577)</f>
        <v>0</v>
      </c>
    </row>
    <row r="4578" spans="1:10" ht="14.4">
      <c r="A4578" s="84">
        <v>50229</v>
      </c>
      <c r="B4578" s="85">
        <v>2037</v>
      </c>
      <c r="C4578" s="85">
        <v>7</v>
      </c>
      <c r="D4578" s="85" t="s">
        <v>69</v>
      </c>
      <c r="E4578" s="85">
        <v>8</v>
      </c>
      <c r="F4578" s="85">
        <v>3</v>
      </c>
      <c r="G4578" s="85">
        <f>--(F4578&lt;=Estimator!$B$7)</f>
        <v>1</v>
      </c>
      <c r="H4578" s="86">
        <f>SUMIFS('Climate Data'!$G$7:$G$366,'Climate Data'!$A$7:$A$366,Estimator!$B$4,'Climate Data'!$B$7:$B$366,C4578)</f>
        <v>0.24731182795698925</v>
      </c>
      <c r="I4578" s="87">
        <f>SUMIFS('Climate Data'!$H$7:$H$366,'Climate Data'!$A$7:$A$366,Estimator!$B$4,'Climate Data'!$B$7:$B$366,C4578)</f>
        <v>8.3739130434782609</v>
      </c>
      <c r="J4578" s="86">
        <f>SUMIFS('Wind Proxy'!$H$8:$H$19,'Wind Proxy'!$A$8:$A$19,Estimator!$B$4,'Wind Proxy'!$B$8:$B$19,C4578)</f>
        <v>0</v>
      </c>
    </row>
    <row r="4579" spans="1:10" ht="14.4">
      <c r="A4579" s="84">
        <v>50230</v>
      </c>
      <c r="B4579" s="85">
        <v>2037</v>
      </c>
      <c r="C4579" s="85">
        <v>7</v>
      </c>
      <c r="D4579" s="85" t="s">
        <v>69</v>
      </c>
      <c r="E4579" s="85">
        <v>9</v>
      </c>
      <c r="F4579" s="85">
        <v>4</v>
      </c>
      <c r="G4579" s="85">
        <f>--(F4579&lt;=Estimator!$B$7)</f>
        <v>1</v>
      </c>
      <c r="H4579" s="86">
        <f>SUMIFS('Climate Data'!$G$7:$G$366,'Climate Data'!$A$7:$A$366,Estimator!$B$4,'Climate Data'!$B$7:$B$366,C4579)</f>
        <v>0.24731182795698925</v>
      </c>
      <c r="I4579" s="87">
        <f>SUMIFS('Climate Data'!$H$7:$H$366,'Climate Data'!$A$7:$A$366,Estimator!$B$4,'Climate Data'!$B$7:$B$366,C4579)</f>
        <v>8.3739130434782609</v>
      </c>
      <c r="J4579" s="86">
        <f>SUMIFS('Wind Proxy'!$H$8:$H$19,'Wind Proxy'!$A$8:$A$19,Estimator!$B$4,'Wind Proxy'!$B$8:$B$19,C4579)</f>
        <v>0</v>
      </c>
    </row>
    <row r="4580" spans="1:10" ht="14.4">
      <c r="A4580" s="84">
        <v>50231</v>
      </c>
      <c r="B4580" s="85">
        <v>2037</v>
      </c>
      <c r="C4580" s="85">
        <v>7</v>
      </c>
      <c r="D4580" s="85" t="s">
        <v>69</v>
      </c>
      <c r="E4580" s="85">
        <v>10</v>
      </c>
      <c r="F4580" s="85">
        <v>5</v>
      </c>
      <c r="G4580" s="85">
        <f>--(F4580&lt;=Estimator!$B$7)</f>
        <v>1</v>
      </c>
      <c r="H4580" s="86">
        <f>SUMIFS('Climate Data'!$G$7:$G$366,'Climate Data'!$A$7:$A$366,Estimator!$B$4,'Climate Data'!$B$7:$B$366,C4580)</f>
        <v>0.24731182795698925</v>
      </c>
      <c r="I4580" s="87">
        <f>SUMIFS('Climate Data'!$H$7:$H$366,'Climate Data'!$A$7:$A$366,Estimator!$B$4,'Climate Data'!$B$7:$B$366,C4580)</f>
        <v>8.3739130434782609</v>
      </c>
      <c r="J4580" s="86">
        <f>SUMIFS('Wind Proxy'!$H$8:$H$19,'Wind Proxy'!$A$8:$A$19,Estimator!$B$4,'Wind Proxy'!$B$8:$B$19,C4580)</f>
        <v>0</v>
      </c>
    </row>
    <row r="4581" spans="1:10" ht="14.4">
      <c r="A4581" s="84">
        <v>50232</v>
      </c>
      <c r="B4581" s="85">
        <v>2037</v>
      </c>
      <c r="C4581" s="85">
        <v>7</v>
      </c>
      <c r="D4581" s="85" t="s">
        <v>69</v>
      </c>
      <c r="E4581" s="85">
        <v>11</v>
      </c>
      <c r="F4581" s="85">
        <v>6</v>
      </c>
      <c r="G4581" s="85">
        <f>--(F4581&lt;=Estimator!$B$7)</f>
        <v>0</v>
      </c>
      <c r="H4581" s="86">
        <f>SUMIFS('Climate Data'!$G$7:$G$366,'Climate Data'!$A$7:$A$366,Estimator!$B$4,'Climate Data'!$B$7:$B$366,C4581)</f>
        <v>0.24731182795698925</v>
      </c>
      <c r="I4581" s="87">
        <f>SUMIFS('Climate Data'!$H$7:$H$366,'Climate Data'!$A$7:$A$366,Estimator!$B$4,'Climate Data'!$B$7:$B$366,C4581)</f>
        <v>8.3739130434782609</v>
      </c>
      <c r="J4581" s="86">
        <f>SUMIFS('Wind Proxy'!$H$8:$H$19,'Wind Proxy'!$A$8:$A$19,Estimator!$B$4,'Wind Proxy'!$B$8:$B$19,C4581)</f>
        <v>0</v>
      </c>
    </row>
    <row r="4582" spans="1:10" ht="14.4">
      <c r="A4582" s="84">
        <v>50233</v>
      </c>
      <c r="B4582" s="85">
        <v>2037</v>
      </c>
      <c r="C4582" s="85">
        <v>7</v>
      </c>
      <c r="D4582" s="85" t="s">
        <v>69</v>
      </c>
      <c r="E4582" s="85">
        <v>12</v>
      </c>
      <c r="F4582" s="85">
        <v>7</v>
      </c>
      <c r="G4582" s="85">
        <f>--(F4582&lt;=Estimator!$B$7)</f>
        <v>0</v>
      </c>
      <c r="H4582" s="86">
        <f>SUMIFS('Climate Data'!$G$7:$G$366,'Climate Data'!$A$7:$A$366,Estimator!$B$4,'Climate Data'!$B$7:$B$366,C4582)</f>
        <v>0.24731182795698925</v>
      </c>
      <c r="I4582" s="87">
        <f>SUMIFS('Climate Data'!$H$7:$H$366,'Climate Data'!$A$7:$A$366,Estimator!$B$4,'Climate Data'!$B$7:$B$366,C4582)</f>
        <v>8.3739130434782609</v>
      </c>
      <c r="J4582" s="86">
        <f>SUMIFS('Wind Proxy'!$H$8:$H$19,'Wind Proxy'!$A$8:$A$19,Estimator!$B$4,'Wind Proxy'!$B$8:$B$19,C4582)</f>
        <v>0</v>
      </c>
    </row>
    <row r="4583" spans="1:10" ht="14.4">
      <c r="A4583" s="84">
        <v>50234</v>
      </c>
      <c r="B4583" s="85">
        <v>2037</v>
      </c>
      <c r="C4583" s="85">
        <v>7</v>
      </c>
      <c r="D4583" s="85" t="s">
        <v>69</v>
      </c>
      <c r="E4583" s="85">
        <v>13</v>
      </c>
      <c r="F4583" s="85">
        <v>1</v>
      </c>
      <c r="G4583" s="85">
        <f>--(F4583&lt;=Estimator!$B$7)</f>
        <v>1</v>
      </c>
      <c r="H4583" s="86">
        <f>SUMIFS('Climate Data'!$G$7:$G$366,'Climate Data'!$A$7:$A$366,Estimator!$B$4,'Climate Data'!$B$7:$B$366,C4583)</f>
        <v>0.24731182795698925</v>
      </c>
      <c r="I4583" s="87">
        <f>SUMIFS('Climate Data'!$H$7:$H$366,'Climate Data'!$A$7:$A$366,Estimator!$B$4,'Climate Data'!$B$7:$B$366,C4583)</f>
        <v>8.3739130434782609</v>
      </c>
      <c r="J4583" s="86">
        <f>SUMIFS('Wind Proxy'!$H$8:$H$19,'Wind Proxy'!$A$8:$A$19,Estimator!$B$4,'Wind Proxy'!$B$8:$B$19,C4583)</f>
        <v>0</v>
      </c>
    </row>
    <row r="4584" spans="1:10" ht="14.4">
      <c r="A4584" s="84">
        <v>50235</v>
      </c>
      <c r="B4584" s="85">
        <v>2037</v>
      </c>
      <c r="C4584" s="85">
        <v>7</v>
      </c>
      <c r="D4584" s="85" t="s">
        <v>69</v>
      </c>
      <c r="E4584" s="85">
        <v>14</v>
      </c>
      <c r="F4584" s="85">
        <v>2</v>
      </c>
      <c r="G4584" s="85">
        <f>--(F4584&lt;=Estimator!$B$7)</f>
        <v>1</v>
      </c>
      <c r="H4584" s="86">
        <f>SUMIFS('Climate Data'!$G$7:$G$366,'Climate Data'!$A$7:$A$366,Estimator!$B$4,'Climate Data'!$B$7:$B$366,C4584)</f>
        <v>0.24731182795698925</v>
      </c>
      <c r="I4584" s="87">
        <f>SUMIFS('Climate Data'!$H$7:$H$366,'Climate Data'!$A$7:$A$366,Estimator!$B$4,'Climate Data'!$B$7:$B$366,C4584)</f>
        <v>8.3739130434782609</v>
      </c>
      <c r="J4584" s="86">
        <f>SUMIFS('Wind Proxy'!$H$8:$H$19,'Wind Proxy'!$A$8:$A$19,Estimator!$B$4,'Wind Proxy'!$B$8:$B$19,C4584)</f>
        <v>0</v>
      </c>
    </row>
    <row r="4585" spans="1:10" ht="14.4">
      <c r="A4585" s="84">
        <v>50236</v>
      </c>
      <c r="B4585" s="85">
        <v>2037</v>
      </c>
      <c r="C4585" s="85">
        <v>7</v>
      </c>
      <c r="D4585" s="85" t="s">
        <v>69</v>
      </c>
      <c r="E4585" s="85">
        <v>15</v>
      </c>
      <c r="F4585" s="85">
        <v>3</v>
      </c>
      <c r="G4585" s="85">
        <f>--(F4585&lt;=Estimator!$B$7)</f>
        <v>1</v>
      </c>
      <c r="H4585" s="86">
        <f>SUMIFS('Climate Data'!$G$7:$G$366,'Climate Data'!$A$7:$A$366,Estimator!$B$4,'Climate Data'!$B$7:$B$366,C4585)</f>
        <v>0.24731182795698925</v>
      </c>
      <c r="I4585" s="87">
        <f>SUMIFS('Climate Data'!$H$7:$H$366,'Climate Data'!$A$7:$A$366,Estimator!$B$4,'Climate Data'!$B$7:$B$366,C4585)</f>
        <v>8.3739130434782609</v>
      </c>
      <c r="J4585" s="86">
        <f>SUMIFS('Wind Proxy'!$H$8:$H$19,'Wind Proxy'!$A$8:$A$19,Estimator!$B$4,'Wind Proxy'!$B$8:$B$19,C4585)</f>
        <v>0</v>
      </c>
    </row>
    <row r="4586" spans="1:10" ht="14.4">
      <c r="A4586" s="84">
        <v>50237</v>
      </c>
      <c r="B4586" s="85">
        <v>2037</v>
      </c>
      <c r="C4586" s="85">
        <v>7</v>
      </c>
      <c r="D4586" s="85" t="s">
        <v>69</v>
      </c>
      <c r="E4586" s="85">
        <v>16</v>
      </c>
      <c r="F4586" s="85">
        <v>4</v>
      </c>
      <c r="G4586" s="85">
        <f>--(F4586&lt;=Estimator!$B$7)</f>
        <v>1</v>
      </c>
      <c r="H4586" s="86">
        <f>SUMIFS('Climate Data'!$G$7:$G$366,'Climate Data'!$A$7:$A$366,Estimator!$B$4,'Climate Data'!$B$7:$B$366,C4586)</f>
        <v>0.24731182795698925</v>
      </c>
      <c r="I4586" s="87">
        <f>SUMIFS('Climate Data'!$H$7:$H$366,'Climate Data'!$A$7:$A$366,Estimator!$B$4,'Climate Data'!$B$7:$B$366,C4586)</f>
        <v>8.3739130434782609</v>
      </c>
      <c r="J4586" s="86">
        <f>SUMIFS('Wind Proxy'!$H$8:$H$19,'Wind Proxy'!$A$8:$A$19,Estimator!$B$4,'Wind Proxy'!$B$8:$B$19,C4586)</f>
        <v>0</v>
      </c>
    </row>
    <row r="4587" spans="1:10" ht="14.4">
      <c r="A4587" s="84">
        <v>50238</v>
      </c>
      <c r="B4587" s="85">
        <v>2037</v>
      </c>
      <c r="C4587" s="85">
        <v>7</v>
      </c>
      <c r="D4587" s="85" t="s">
        <v>69</v>
      </c>
      <c r="E4587" s="85">
        <v>17</v>
      </c>
      <c r="F4587" s="85">
        <v>5</v>
      </c>
      <c r="G4587" s="85">
        <f>--(F4587&lt;=Estimator!$B$7)</f>
        <v>1</v>
      </c>
      <c r="H4587" s="86">
        <f>SUMIFS('Climate Data'!$G$7:$G$366,'Climate Data'!$A$7:$A$366,Estimator!$B$4,'Climate Data'!$B$7:$B$366,C4587)</f>
        <v>0.24731182795698925</v>
      </c>
      <c r="I4587" s="87">
        <f>SUMIFS('Climate Data'!$H$7:$H$366,'Climate Data'!$A$7:$A$366,Estimator!$B$4,'Climate Data'!$B$7:$B$366,C4587)</f>
        <v>8.3739130434782609</v>
      </c>
      <c r="J4587" s="86">
        <f>SUMIFS('Wind Proxy'!$H$8:$H$19,'Wind Proxy'!$A$8:$A$19,Estimator!$B$4,'Wind Proxy'!$B$8:$B$19,C4587)</f>
        <v>0</v>
      </c>
    </row>
    <row r="4588" spans="1:10" ht="14.4">
      <c r="A4588" s="84">
        <v>50239</v>
      </c>
      <c r="B4588" s="85">
        <v>2037</v>
      </c>
      <c r="C4588" s="85">
        <v>7</v>
      </c>
      <c r="D4588" s="85" t="s">
        <v>69</v>
      </c>
      <c r="E4588" s="85">
        <v>18</v>
      </c>
      <c r="F4588" s="85">
        <v>6</v>
      </c>
      <c r="G4588" s="85">
        <f>--(F4588&lt;=Estimator!$B$7)</f>
        <v>0</v>
      </c>
      <c r="H4588" s="86">
        <f>SUMIFS('Climate Data'!$G$7:$G$366,'Climate Data'!$A$7:$A$366,Estimator!$B$4,'Climate Data'!$B$7:$B$366,C4588)</f>
        <v>0.24731182795698925</v>
      </c>
      <c r="I4588" s="87">
        <f>SUMIFS('Climate Data'!$H$7:$H$366,'Climate Data'!$A$7:$A$366,Estimator!$B$4,'Climate Data'!$B$7:$B$366,C4588)</f>
        <v>8.3739130434782609</v>
      </c>
      <c r="J4588" s="86">
        <f>SUMIFS('Wind Proxy'!$H$8:$H$19,'Wind Proxy'!$A$8:$A$19,Estimator!$B$4,'Wind Proxy'!$B$8:$B$19,C4588)</f>
        <v>0</v>
      </c>
    </row>
    <row r="4589" spans="1:10" ht="14.4">
      <c r="A4589" s="84">
        <v>50240</v>
      </c>
      <c r="B4589" s="85">
        <v>2037</v>
      </c>
      <c r="C4589" s="85">
        <v>7</v>
      </c>
      <c r="D4589" s="85" t="s">
        <v>69</v>
      </c>
      <c r="E4589" s="85">
        <v>19</v>
      </c>
      <c r="F4589" s="85">
        <v>7</v>
      </c>
      <c r="G4589" s="85">
        <f>--(F4589&lt;=Estimator!$B$7)</f>
        <v>0</v>
      </c>
      <c r="H4589" s="86">
        <f>SUMIFS('Climate Data'!$G$7:$G$366,'Climate Data'!$A$7:$A$366,Estimator!$B$4,'Climate Data'!$B$7:$B$366,C4589)</f>
        <v>0.24731182795698925</v>
      </c>
      <c r="I4589" s="87">
        <f>SUMIFS('Climate Data'!$H$7:$H$366,'Climate Data'!$A$7:$A$366,Estimator!$B$4,'Climate Data'!$B$7:$B$366,C4589)</f>
        <v>8.3739130434782609</v>
      </c>
      <c r="J4589" s="86">
        <f>SUMIFS('Wind Proxy'!$H$8:$H$19,'Wind Proxy'!$A$8:$A$19,Estimator!$B$4,'Wind Proxy'!$B$8:$B$19,C4589)</f>
        <v>0</v>
      </c>
    </row>
    <row r="4590" spans="1:10" ht="14.4">
      <c r="A4590" s="84">
        <v>50241</v>
      </c>
      <c r="B4590" s="85">
        <v>2037</v>
      </c>
      <c r="C4590" s="85">
        <v>7</v>
      </c>
      <c r="D4590" s="85" t="s">
        <v>69</v>
      </c>
      <c r="E4590" s="85">
        <v>20</v>
      </c>
      <c r="F4590" s="85">
        <v>1</v>
      </c>
      <c r="G4590" s="85">
        <f>--(F4590&lt;=Estimator!$B$7)</f>
        <v>1</v>
      </c>
      <c r="H4590" s="86">
        <f>SUMIFS('Climate Data'!$G$7:$G$366,'Climate Data'!$A$7:$A$366,Estimator!$B$4,'Climate Data'!$B$7:$B$366,C4590)</f>
        <v>0.24731182795698925</v>
      </c>
      <c r="I4590" s="87">
        <f>SUMIFS('Climate Data'!$H$7:$H$366,'Climate Data'!$A$7:$A$366,Estimator!$B$4,'Climate Data'!$B$7:$B$366,C4590)</f>
        <v>8.3739130434782609</v>
      </c>
      <c r="J4590" s="86">
        <f>SUMIFS('Wind Proxy'!$H$8:$H$19,'Wind Proxy'!$A$8:$A$19,Estimator!$B$4,'Wind Proxy'!$B$8:$B$19,C4590)</f>
        <v>0</v>
      </c>
    </row>
    <row r="4591" spans="1:10" ht="14.4">
      <c r="A4591" s="84">
        <v>50242</v>
      </c>
      <c r="B4591" s="85">
        <v>2037</v>
      </c>
      <c r="C4591" s="85">
        <v>7</v>
      </c>
      <c r="D4591" s="85" t="s">
        <v>69</v>
      </c>
      <c r="E4591" s="85">
        <v>21</v>
      </c>
      <c r="F4591" s="85">
        <v>2</v>
      </c>
      <c r="G4591" s="85">
        <f>--(F4591&lt;=Estimator!$B$7)</f>
        <v>1</v>
      </c>
      <c r="H4591" s="86">
        <f>SUMIFS('Climate Data'!$G$7:$G$366,'Climate Data'!$A$7:$A$366,Estimator!$B$4,'Climate Data'!$B$7:$B$366,C4591)</f>
        <v>0.24731182795698925</v>
      </c>
      <c r="I4591" s="87">
        <f>SUMIFS('Climate Data'!$H$7:$H$366,'Climate Data'!$A$7:$A$366,Estimator!$B$4,'Climate Data'!$B$7:$B$366,C4591)</f>
        <v>8.3739130434782609</v>
      </c>
      <c r="J4591" s="86">
        <f>SUMIFS('Wind Proxy'!$H$8:$H$19,'Wind Proxy'!$A$8:$A$19,Estimator!$B$4,'Wind Proxy'!$B$8:$B$19,C4591)</f>
        <v>0</v>
      </c>
    </row>
    <row r="4592" spans="1:10" ht="14.4">
      <c r="A4592" s="84">
        <v>50243</v>
      </c>
      <c r="B4592" s="85">
        <v>2037</v>
      </c>
      <c r="C4592" s="85">
        <v>7</v>
      </c>
      <c r="D4592" s="85" t="s">
        <v>69</v>
      </c>
      <c r="E4592" s="85">
        <v>22</v>
      </c>
      <c r="F4592" s="85">
        <v>3</v>
      </c>
      <c r="G4592" s="85">
        <f>--(F4592&lt;=Estimator!$B$7)</f>
        <v>1</v>
      </c>
      <c r="H4592" s="86">
        <f>SUMIFS('Climate Data'!$G$7:$G$366,'Climate Data'!$A$7:$A$366,Estimator!$B$4,'Climate Data'!$B$7:$B$366,C4592)</f>
        <v>0.24731182795698925</v>
      </c>
      <c r="I4592" s="87">
        <f>SUMIFS('Climate Data'!$H$7:$H$366,'Climate Data'!$A$7:$A$366,Estimator!$B$4,'Climate Data'!$B$7:$B$366,C4592)</f>
        <v>8.3739130434782609</v>
      </c>
      <c r="J4592" s="86">
        <f>SUMIFS('Wind Proxy'!$H$8:$H$19,'Wind Proxy'!$A$8:$A$19,Estimator!$B$4,'Wind Proxy'!$B$8:$B$19,C4592)</f>
        <v>0</v>
      </c>
    </row>
    <row r="4593" spans="1:10" ht="14.4">
      <c r="A4593" s="84">
        <v>50244</v>
      </c>
      <c r="B4593" s="85">
        <v>2037</v>
      </c>
      <c r="C4593" s="85">
        <v>7</v>
      </c>
      <c r="D4593" s="85" t="s">
        <v>69</v>
      </c>
      <c r="E4593" s="85">
        <v>23</v>
      </c>
      <c r="F4593" s="85">
        <v>4</v>
      </c>
      <c r="G4593" s="85">
        <f>--(F4593&lt;=Estimator!$B$7)</f>
        <v>1</v>
      </c>
      <c r="H4593" s="86">
        <f>SUMIFS('Climate Data'!$G$7:$G$366,'Climate Data'!$A$7:$A$366,Estimator!$B$4,'Climate Data'!$B$7:$B$366,C4593)</f>
        <v>0.24731182795698925</v>
      </c>
      <c r="I4593" s="87">
        <f>SUMIFS('Climate Data'!$H$7:$H$366,'Climate Data'!$A$7:$A$366,Estimator!$B$4,'Climate Data'!$B$7:$B$366,C4593)</f>
        <v>8.3739130434782609</v>
      </c>
      <c r="J4593" s="86">
        <f>SUMIFS('Wind Proxy'!$H$8:$H$19,'Wind Proxy'!$A$8:$A$19,Estimator!$B$4,'Wind Proxy'!$B$8:$B$19,C4593)</f>
        <v>0</v>
      </c>
    </row>
    <row r="4594" spans="1:10" ht="14.4">
      <c r="A4594" s="84">
        <v>50245</v>
      </c>
      <c r="B4594" s="85">
        <v>2037</v>
      </c>
      <c r="C4594" s="85">
        <v>7</v>
      </c>
      <c r="D4594" s="85" t="s">
        <v>69</v>
      </c>
      <c r="E4594" s="85">
        <v>24</v>
      </c>
      <c r="F4594" s="85">
        <v>5</v>
      </c>
      <c r="G4594" s="85">
        <f>--(F4594&lt;=Estimator!$B$7)</f>
        <v>1</v>
      </c>
      <c r="H4594" s="86">
        <f>SUMIFS('Climate Data'!$G$7:$G$366,'Climate Data'!$A$7:$A$366,Estimator!$B$4,'Climate Data'!$B$7:$B$366,C4594)</f>
        <v>0.24731182795698925</v>
      </c>
      <c r="I4594" s="87">
        <f>SUMIFS('Climate Data'!$H$7:$H$366,'Climate Data'!$A$7:$A$366,Estimator!$B$4,'Climate Data'!$B$7:$B$366,C4594)</f>
        <v>8.3739130434782609</v>
      </c>
      <c r="J4594" s="86">
        <f>SUMIFS('Wind Proxy'!$H$8:$H$19,'Wind Proxy'!$A$8:$A$19,Estimator!$B$4,'Wind Proxy'!$B$8:$B$19,C4594)</f>
        <v>0</v>
      </c>
    </row>
    <row r="4595" spans="1:10" ht="14.4">
      <c r="A4595" s="84">
        <v>50246</v>
      </c>
      <c r="B4595" s="85">
        <v>2037</v>
      </c>
      <c r="C4595" s="85">
        <v>7</v>
      </c>
      <c r="D4595" s="85" t="s">
        <v>69</v>
      </c>
      <c r="E4595" s="85">
        <v>25</v>
      </c>
      <c r="F4595" s="85">
        <v>6</v>
      </c>
      <c r="G4595" s="85">
        <f>--(F4595&lt;=Estimator!$B$7)</f>
        <v>0</v>
      </c>
      <c r="H4595" s="86">
        <f>SUMIFS('Climate Data'!$G$7:$G$366,'Climate Data'!$A$7:$A$366,Estimator!$B$4,'Climate Data'!$B$7:$B$366,C4595)</f>
        <v>0.24731182795698925</v>
      </c>
      <c r="I4595" s="87">
        <f>SUMIFS('Climate Data'!$H$7:$H$366,'Climate Data'!$A$7:$A$366,Estimator!$B$4,'Climate Data'!$B$7:$B$366,C4595)</f>
        <v>8.3739130434782609</v>
      </c>
      <c r="J4595" s="86">
        <f>SUMIFS('Wind Proxy'!$H$8:$H$19,'Wind Proxy'!$A$8:$A$19,Estimator!$B$4,'Wind Proxy'!$B$8:$B$19,C4595)</f>
        <v>0</v>
      </c>
    </row>
    <row r="4596" spans="1:10" ht="14.4">
      <c r="A4596" s="84">
        <v>50247</v>
      </c>
      <c r="B4596" s="85">
        <v>2037</v>
      </c>
      <c r="C4596" s="85">
        <v>7</v>
      </c>
      <c r="D4596" s="85" t="s">
        <v>69</v>
      </c>
      <c r="E4596" s="85">
        <v>26</v>
      </c>
      <c r="F4596" s="85">
        <v>7</v>
      </c>
      <c r="G4596" s="85">
        <f>--(F4596&lt;=Estimator!$B$7)</f>
        <v>0</v>
      </c>
      <c r="H4596" s="86">
        <f>SUMIFS('Climate Data'!$G$7:$G$366,'Climate Data'!$A$7:$A$366,Estimator!$B$4,'Climate Data'!$B$7:$B$366,C4596)</f>
        <v>0.24731182795698925</v>
      </c>
      <c r="I4596" s="87">
        <f>SUMIFS('Climate Data'!$H$7:$H$366,'Climate Data'!$A$7:$A$366,Estimator!$B$4,'Climate Data'!$B$7:$B$366,C4596)</f>
        <v>8.3739130434782609</v>
      </c>
      <c r="J4596" s="86">
        <f>SUMIFS('Wind Proxy'!$H$8:$H$19,'Wind Proxy'!$A$8:$A$19,Estimator!$B$4,'Wind Proxy'!$B$8:$B$19,C4596)</f>
        <v>0</v>
      </c>
    </row>
    <row r="4597" spans="1:10" ht="14.4">
      <c r="A4597" s="84">
        <v>50248</v>
      </c>
      <c r="B4597" s="85">
        <v>2037</v>
      </c>
      <c r="C4597" s="85">
        <v>7</v>
      </c>
      <c r="D4597" s="85" t="s">
        <v>69</v>
      </c>
      <c r="E4597" s="85">
        <v>27</v>
      </c>
      <c r="F4597" s="85">
        <v>1</v>
      </c>
      <c r="G4597" s="85">
        <f>--(F4597&lt;=Estimator!$B$7)</f>
        <v>1</v>
      </c>
      <c r="H4597" s="86">
        <f>SUMIFS('Climate Data'!$G$7:$G$366,'Climate Data'!$A$7:$A$366,Estimator!$B$4,'Climate Data'!$B$7:$B$366,C4597)</f>
        <v>0.24731182795698925</v>
      </c>
      <c r="I4597" s="87">
        <f>SUMIFS('Climate Data'!$H$7:$H$366,'Climate Data'!$A$7:$A$366,Estimator!$B$4,'Climate Data'!$B$7:$B$366,C4597)</f>
        <v>8.3739130434782609</v>
      </c>
      <c r="J4597" s="86">
        <f>SUMIFS('Wind Proxy'!$H$8:$H$19,'Wind Proxy'!$A$8:$A$19,Estimator!$B$4,'Wind Proxy'!$B$8:$B$19,C4597)</f>
        <v>0</v>
      </c>
    </row>
    <row r="4598" spans="1:10" ht="14.4">
      <c r="A4598" s="84">
        <v>50249</v>
      </c>
      <c r="B4598" s="85">
        <v>2037</v>
      </c>
      <c r="C4598" s="85">
        <v>7</v>
      </c>
      <c r="D4598" s="85" t="s">
        <v>69</v>
      </c>
      <c r="E4598" s="85">
        <v>28</v>
      </c>
      <c r="F4598" s="85">
        <v>2</v>
      </c>
      <c r="G4598" s="85">
        <f>--(F4598&lt;=Estimator!$B$7)</f>
        <v>1</v>
      </c>
      <c r="H4598" s="86">
        <f>SUMIFS('Climate Data'!$G$7:$G$366,'Climate Data'!$A$7:$A$366,Estimator!$B$4,'Climate Data'!$B$7:$B$366,C4598)</f>
        <v>0.24731182795698925</v>
      </c>
      <c r="I4598" s="87">
        <f>SUMIFS('Climate Data'!$H$7:$H$366,'Climate Data'!$A$7:$A$366,Estimator!$B$4,'Climate Data'!$B$7:$B$366,C4598)</f>
        <v>8.3739130434782609</v>
      </c>
      <c r="J4598" s="86">
        <f>SUMIFS('Wind Proxy'!$H$8:$H$19,'Wind Proxy'!$A$8:$A$19,Estimator!$B$4,'Wind Proxy'!$B$8:$B$19,C4598)</f>
        <v>0</v>
      </c>
    </row>
    <row r="4599" spans="1:10" ht="14.4">
      <c r="A4599" s="84">
        <v>50250</v>
      </c>
      <c r="B4599" s="85">
        <v>2037</v>
      </c>
      <c r="C4599" s="85">
        <v>7</v>
      </c>
      <c r="D4599" s="85" t="s">
        <v>69</v>
      </c>
      <c r="E4599" s="85">
        <v>29</v>
      </c>
      <c r="F4599" s="85">
        <v>3</v>
      </c>
      <c r="G4599" s="85">
        <f>--(F4599&lt;=Estimator!$B$7)</f>
        <v>1</v>
      </c>
      <c r="H4599" s="86">
        <f>SUMIFS('Climate Data'!$G$7:$G$366,'Climate Data'!$A$7:$A$366,Estimator!$B$4,'Climate Data'!$B$7:$B$366,C4599)</f>
        <v>0.24731182795698925</v>
      </c>
      <c r="I4599" s="87">
        <f>SUMIFS('Climate Data'!$H$7:$H$366,'Climate Data'!$A$7:$A$366,Estimator!$B$4,'Climate Data'!$B$7:$B$366,C4599)</f>
        <v>8.3739130434782609</v>
      </c>
      <c r="J4599" s="86">
        <f>SUMIFS('Wind Proxy'!$H$8:$H$19,'Wind Proxy'!$A$8:$A$19,Estimator!$B$4,'Wind Proxy'!$B$8:$B$19,C4599)</f>
        <v>0</v>
      </c>
    </row>
    <row r="4600" spans="1:10" ht="14.4">
      <c r="A4600" s="84">
        <v>50251</v>
      </c>
      <c r="B4600" s="85">
        <v>2037</v>
      </c>
      <c r="C4600" s="85">
        <v>7</v>
      </c>
      <c r="D4600" s="85" t="s">
        <v>69</v>
      </c>
      <c r="E4600" s="85">
        <v>30</v>
      </c>
      <c r="F4600" s="85">
        <v>4</v>
      </c>
      <c r="G4600" s="85">
        <f>--(F4600&lt;=Estimator!$B$7)</f>
        <v>1</v>
      </c>
      <c r="H4600" s="86">
        <f>SUMIFS('Climate Data'!$G$7:$G$366,'Climate Data'!$A$7:$A$366,Estimator!$B$4,'Climate Data'!$B$7:$B$366,C4600)</f>
        <v>0.24731182795698925</v>
      </c>
      <c r="I4600" s="87">
        <f>SUMIFS('Climate Data'!$H$7:$H$366,'Climate Data'!$A$7:$A$366,Estimator!$B$4,'Climate Data'!$B$7:$B$366,C4600)</f>
        <v>8.3739130434782609</v>
      </c>
      <c r="J4600" s="86">
        <f>SUMIFS('Wind Proxy'!$H$8:$H$19,'Wind Proxy'!$A$8:$A$19,Estimator!$B$4,'Wind Proxy'!$B$8:$B$19,C4600)</f>
        <v>0</v>
      </c>
    </row>
    <row r="4601" spans="1:10" ht="14.4">
      <c r="A4601" s="84">
        <v>50252</v>
      </c>
      <c r="B4601" s="85">
        <v>2037</v>
      </c>
      <c r="C4601" s="85">
        <v>7</v>
      </c>
      <c r="D4601" s="85" t="s">
        <v>69</v>
      </c>
      <c r="E4601" s="85">
        <v>31</v>
      </c>
      <c r="F4601" s="85">
        <v>5</v>
      </c>
      <c r="G4601" s="85">
        <f>--(F4601&lt;=Estimator!$B$7)</f>
        <v>1</v>
      </c>
      <c r="H4601" s="86">
        <f>SUMIFS('Climate Data'!$G$7:$G$366,'Climate Data'!$A$7:$A$366,Estimator!$B$4,'Climate Data'!$B$7:$B$366,C4601)</f>
        <v>0.24731182795698925</v>
      </c>
      <c r="I4601" s="87">
        <f>SUMIFS('Climate Data'!$H$7:$H$366,'Climate Data'!$A$7:$A$366,Estimator!$B$4,'Climate Data'!$B$7:$B$366,C4601)</f>
        <v>8.3739130434782609</v>
      </c>
      <c r="J4601" s="86">
        <f>SUMIFS('Wind Proxy'!$H$8:$H$19,'Wind Proxy'!$A$8:$A$19,Estimator!$B$4,'Wind Proxy'!$B$8:$B$19,C4601)</f>
        <v>0</v>
      </c>
    </row>
    <row r="4602" spans="1:10" ht="14.4">
      <c r="A4602" s="84">
        <v>50253</v>
      </c>
      <c r="B4602" s="85">
        <v>2037</v>
      </c>
      <c r="C4602" s="85">
        <v>8</v>
      </c>
      <c r="D4602" s="85" t="s">
        <v>71</v>
      </c>
      <c r="E4602" s="85">
        <v>1</v>
      </c>
      <c r="F4602" s="85">
        <v>6</v>
      </c>
      <c r="G4602" s="85">
        <f>--(F4602&lt;=Estimator!$B$7)</f>
        <v>0</v>
      </c>
      <c r="H4602" s="86">
        <f>SUMIFS('Climate Data'!$G$7:$G$366,'Climate Data'!$A$7:$A$366,Estimator!$B$4,'Climate Data'!$B$7:$B$366,C4602)</f>
        <v>0.23548387096774193</v>
      </c>
      <c r="I4602" s="87">
        <f>SUMIFS('Climate Data'!$H$7:$H$366,'Climate Data'!$A$7:$A$366,Estimator!$B$4,'Climate Data'!$B$7:$B$366,C4602)</f>
        <v>7.9589041095890414</v>
      </c>
      <c r="J4602" s="86">
        <f>SUMIFS('Wind Proxy'!$H$8:$H$19,'Wind Proxy'!$A$8:$A$19,Estimator!$B$4,'Wind Proxy'!$B$8:$B$19,C4602)</f>
        <v>0</v>
      </c>
    </row>
    <row r="4603" spans="1:10" ht="14.4">
      <c r="A4603" s="84">
        <v>50254</v>
      </c>
      <c r="B4603" s="85">
        <v>2037</v>
      </c>
      <c r="C4603" s="85">
        <v>8</v>
      </c>
      <c r="D4603" s="85" t="s">
        <v>71</v>
      </c>
      <c r="E4603" s="85">
        <v>2</v>
      </c>
      <c r="F4603" s="85">
        <v>7</v>
      </c>
      <c r="G4603" s="85">
        <f>--(F4603&lt;=Estimator!$B$7)</f>
        <v>0</v>
      </c>
      <c r="H4603" s="86">
        <f>SUMIFS('Climate Data'!$G$7:$G$366,'Climate Data'!$A$7:$A$366,Estimator!$B$4,'Climate Data'!$B$7:$B$366,C4603)</f>
        <v>0.23548387096774193</v>
      </c>
      <c r="I4603" s="87">
        <f>SUMIFS('Climate Data'!$H$7:$H$366,'Climate Data'!$A$7:$A$366,Estimator!$B$4,'Climate Data'!$B$7:$B$366,C4603)</f>
        <v>7.9589041095890414</v>
      </c>
      <c r="J4603" s="86">
        <f>SUMIFS('Wind Proxy'!$H$8:$H$19,'Wind Proxy'!$A$8:$A$19,Estimator!$B$4,'Wind Proxy'!$B$8:$B$19,C4603)</f>
        <v>0</v>
      </c>
    </row>
    <row r="4604" spans="1:10" ht="14.4">
      <c r="A4604" s="84">
        <v>50255</v>
      </c>
      <c r="B4604" s="85">
        <v>2037</v>
      </c>
      <c r="C4604" s="85">
        <v>8</v>
      </c>
      <c r="D4604" s="85" t="s">
        <v>71</v>
      </c>
      <c r="E4604" s="85">
        <v>3</v>
      </c>
      <c r="F4604" s="85">
        <v>1</v>
      </c>
      <c r="G4604" s="85">
        <f>--(F4604&lt;=Estimator!$B$7)</f>
        <v>1</v>
      </c>
      <c r="H4604" s="86">
        <f>SUMIFS('Climate Data'!$G$7:$G$366,'Climate Data'!$A$7:$A$366,Estimator!$B$4,'Climate Data'!$B$7:$B$366,C4604)</f>
        <v>0.23548387096774193</v>
      </c>
      <c r="I4604" s="87">
        <f>SUMIFS('Climate Data'!$H$7:$H$366,'Climate Data'!$A$7:$A$366,Estimator!$B$4,'Climate Data'!$B$7:$B$366,C4604)</f>
        <v>7.9589041095890414</v>
      </c>
      <c r="J4604" s="86">
        <f>SUMIFS('Wind Proxy'!$H$8:$H$19,'Wind Proxy'!$A$8:$A$19,Estimator!$B$4,'Wind Proxy'!$B$8:$B$19,C4604)</f>
        <v>0</v>
      </c>
    </row>
    <row r="4605" spans="1:10" ht="14.4">
      <c r="A4605" s="84">
        <v>50256</v>
      </c>
      <c r="B4605" s="85">
        <v>2037</v>
      </c>
      <c r="C4605" s="85">
        <v>8</v>
      </c>
      <c r="D4605" s="85" t="s">
        <v>71</v>
      </c>
      <c r="E4605" s="85">
        <v>4</v>
      </c>
      <c r="F4605" s="85">
        <v>2</v>
      </c>
      <c r="G4605" s="85">
        <f>--(F4605&lt;=Estimator!$B$7)</f>
        <v>1</v>
      </c>
      <c r="H4605" s="86">
        <f>SUMIFS('Climate Data'!$G$7:$G$366,'Climate Data'!$A$7:$A$366,Estimator!$B$4,'Climate Data'!$B$7:$B$366,C4605)</f>
        <v>0.23548387096774193</v>
      </c>
      <c r="I4605" s="87">
        <f>SUMIFS('Climate Data'!$H$7:$H$366,'Climate Data'!$A$7:$A$366,Estimator!$B$4,'Climate Data'!$B$7:$B$366,C4605)</f>
        <v>7.9589041095890414</v>
      </c>
      <c r="J4605" s="86">
        <f>SUMIFS('Wind Proxy'!$H$8:$H$19,'Wind Proxy'!$A$8:$A$19,Estimator!$B$4,'Wind Proxy'!$B$8:$B$19,C4605)</f>
        <v>0</v>
      </c>
    </row>
    <row r="4606" spans="1:10" ht="14.4">
      <c r="A4606" s="84">
        <v>50257</v>
      </c>
      <c r="B4606" s="85">
        <v>2037</v>
      </c>
      <c r="C4606" s="85">
        <v>8</v>
      </c>
      <c r="D4606" s="85" t="s">
        <v>71</v>
      </c>
      <c r="E4606" s="85">
        <v>5</v>
      </c>
      <c r="F4606" s="85">
        <v>3</v>
      </c>
      <c r="G4606" s="85">
        <f>--(F4606&lt;=Estimator!$B$7)</f>
        <v>1</v>
      </c>
      <c r="H4606" s="86">
        <f>SUMIFS('Climate Data'!$G$7:$G$366,'Climate Data'!$A$7:$A$366,Estimator!$B$4,'Climate Data'!$B$7:$B$366,C4606)</f>
        <v>0.23548387096774193</v>
      </c>
      <c r="I4606" s="87">
        <f>SUMIFS('Climate Data'!$H$7:$H$366,'Climate Data'!$A$7:$A$366,Estimator!$B$4,'Climate Data'!$B$7:$B$366,C4606)</f>
        <v>7.9589041095890414</v>
      </c>
      <c r="J4606" s="86">
        <f>SUMIFS('Wind Proxy'!$H$8:$H$19,'Wind Proxy'!$A$8:$A$19,Estimator!$B$4,'Wind Proxy'!$B$8:$B$19,C4606)</f>
        <v>0</v>
      </c>
    </row>
    <row r="4607" spans="1:10" ht="14.4">
      <c r="A4607" s="84">
        <v>50258</v>
      </c>
      <c r="B4607" s="85">
        <v>2037</v>
      </c>
      <c r="C4607" s="85">
        <v>8</v>
      </c>
      <c r="D4607" s="85" t="s">
        <v>71</v>
      </c>
      <c r="E4607" s="85">
        <v>6</v>
      </c>
      <c r="F4607" s="85">
        <v>4</v>
      </c>
      <c r="G4607" s="85">
        <f>--(F4607&lt;=Estimator!$B$7)</f>
        <v>1</v>
      </c>
      <c r="H4607" s="86">
        <f>SUMIFS('Climate Data'!$G$7:$G$366,'Climate Data'!$A$7:$A$366,Estimator!$B$4,'Climate Data'!$B$7:$B$366,C4607)</f>
        <v>0.23548387096774193</v>
      </c>
      <c r="I4607" s="87">
        <f>SUMIFS('Climate Data'!$H$7:$H$366,'Climate Data'!$A$7:$A$366,Estimator!$B$4,'Climate Data'!$B$7:$B$366,C4607)</f>
        <v>7.9589041095890414</v>
      </c>
      <c r="J4607" s="86">
        <f>SUMIFS('Wind Proxy'!$H$8:$H$19,'Wind Proxy'!$A$8:$A$19,Estimator!$B$4,'Wind Proxy'!$B$8:$B$19,C4607)</f>
        <v>0</v>
      </c>
    </row>
    <row r="4608" spans="1:10" ht="14.4">
      <c r="A4608" s="84">
        <v>50259</v>
      </c>
      <c r="B4608" s="85">
        <v>2037</v>
      </c>
      <c r="C4608" s="85">
        <v>8</v>
      </c>
      <c r="D4608" s="85" t="s">
        <v>71</v>
      </c>
      <c r="E4608" s="85">
        <v>7</v>
      </c>
      <c r="F4608" s="85">
        <v>5</v>
      </c>
      <c r="G4608" s="85">
        <f>--(F4608&lt;=Estimator!$B$7)</f>
        <v>1</v>
      </c>
      <c r="H4608" s="86">
        <f>SUMIFS('Climate Data'!$G$7:$G$366,'Climate Data'!$A$7:$A$366,Estimator!$B$4,'Climate Data'!$B$7:$B$366,C4608)</f>
        <v>0.23548387096774193</v>
      </c>
      <c r="I4608" s="87">
        <f>SUMIFS('Climate Data'!$H$7:$H$366,'Climate Data'!$A$7:$A$366,Estimator!$B$4,'Climate Data'!$B$7:$B$366,C4608)</f>
        <v>7.9589041095890414</v>
      </c>
      <c r="J4608" s="86">
        <f>SUMIFS('Wind Proxy'!$H$8:$H$19,'Wind Proxy'!$A$8:$A$19,Estimator!$B$4,'Wind Proxy'!$B$8:$B$19,C4608)</f>
        <v>0</v>
      </c>
    </row>
    <row r="4609" spans="1:10" ht="14.4">
      <c r="A4609" s="84">
        <v>50260</v>
      </c>
      <c r="B4609" s="85">
        <v>2037</v>
      </c>
      <c r="C4609" s="85">
        <v>8</v>
      </c>
      <c r="D4609" s="85" t="s">
        <v>71</v>
      </c>
      <c r="E4609" s="85">
        <v>8</v>
      </c>
      <c r="F4609" s="85">
        <v>6</v>
      </c>
      <c r="G4609" s="85">
        <f>--(F4609&lt;=Estimator!$B$7)</f>
        <v>0</v>
      </c>
      <c r="H4609" s="86">
        <f>SUMIFS('Climate Data'!$G$7:$G$366,'Climate Data'!$A$7:$A$366,Estimator!$B$4,'Climate Data'!$B$7:$B$366,C4609)</f>
        <v>0.23548387096774193</v>
      </c>
      <c r="I4609" s="87">
        <f>SUMIFS('Climate Data'!$H$7:$H$366,'Climate Data'!$A$7:$A$366,Estimator!$B$4,'Climate Data'!$B$7:$B$366,C4609)</f>
        <v>7.9589041095890414</v>
      </c>
      <c r="J4609" s="86">
        <f>SUMIFS('Wind Proxy'!$H$8:$H$19,'Wind Proxy'!$A$8:$A$19,Estimator!$B$4,'Wind Proxy'!$B$8:$B$19,C4609)</f>
        <v>0</v>
      </c>
    </row>
    <row r="4610" spans="1:10" ht="14.4">
      <c r="A4610" s="84">
        <v>50261</v>
      </c>
      <c r="B4610" s="85">
        <v>2037</v>
      </c>
      <c r="C4610" s="85">
        <v>8</v>
      </c>
      <c r="D4610" s="85" t="s">
        <v>71</v>
      </c>
      <c r="E4610" s="85">
        <v>9</v>
      </c>
      <c r="F4610" s="85">
        <v>7</v>
      </c>
      <c r="G4610" s="85">
        <f>--(F4610&lt;=Estimator!$B$7)</f>
        <v>0</v>
      </c>
      <c r="H4610" s="86">
        <f>SUMIFS('Climate Data'!$G$7:$G$366,'Climate Data'!$A$7:$A$366,Estimator!$B$4,'Climate Data'!$B$7:$B$366,C4610)</f>
        <v>0.23548387096774193</v>
      </c>
      <c r="I4610" s="87">
        <f>SUMIFS('Climate Data'!$H$7:$H$366,'Climate Data'!$A$7:$A$366,Estimator!$B$4,'Climate Data'!$B$7:$B$366,C4610)</f>
        <v>7.9589041095890414</v>
      </c>
      <c r="J4610" s="86">
        <f>SUMIFS('Wind Proxy'!$H$8:$H$19,'Wind Proxy'!$A$8:$A$19,Estimator!$B$4,'Wind Proxy'!$B$8:$B$19,C4610)</f>
        <v>0</v>
      </c>
    </row>
    <row r="4611" spans="1:10" ht="14.4">
      <c r="A4611" s="84">
        <v>50262</v>
      </c>
      <c r="B4611" s="85">
        <v>2037</v>
      </c>
      <c r="C4611" s="85">
        <v>8</v>
      </c>
      <c r="D4611" s="85" t="s">
        <v>71</v>
      </c>
      <c r="E4611" s="85">
        <v>10</v>
      </c>
      <c r="F4611" s="85">
        <v>1</v>
      </c>
      <c r="G4611" s="85">
        <f>--(F4611&lt;=Estimator!$B$7)</f>
        <v>1</v>
      </c>
      <c r="H4611" s="86">
        <f>SUMIFS('Climate Data'!$G$7:$G$366,'Climate Data'!$A$7:$A$366,Estimator!$B$4,'Climate Data'!$B$7:$B$366,C4611)</f>
        <v>0.23548387096774193</v>
      </c>
      <c r="I4611" s="87">
        <f>SUMIFS('Climate Data'!$H$7:$H$366,'Climate Data'!$A$7:$A$366,Estimator!$B$4,'Climate Data'!$B$7:$B$366,C4611)</f>
        <v>7.9589041095890414</v>
      </c>
      <c r="J4611" s="86">
        <f>SUMIFS('Wind Proxy'!$H$8:$H$19,'Wind Proxy'!$A$8:$A$19,Estimator!$B$4,'Wind Proxy'!$B$8:$B$19,C4611)</f>
        <v>0</v>
      </c>
    </row>
    <row r="4612" spans="1:10" ht="14.4">
      <c r="A4612" s="84">
        <v>50263</v>
      </c>
      <c r="B4612" s="85">
        <v>2037</v>
      </c>
      <c r="C4612" s="85">
        <v>8</v>
      </c>
      <c r="D4612" s="85" t="s">
        <v>71</v>
      </c>
      <c r="E4612" s="85">
        <v>11</v>
      </c>
      <c r="F4612" s="85">
        <v>2</v>
      </c>
      <c r="G4612" s="85">
        <f>--(F4612&lt;=Estimator!$B$7)</f>
        <v>1</v>
      </c>
      <c r="H4612" s="86">
        <f>SUMIFS('Climate Data'!$G$7:$G$366,'Climate Data'!$A$7:$A$366,Estimator!$B$4,'Climate Data'!$B$7:$B$366,C4612)</f>
        <v>0.23548387096774193</v>
      </c>
      <c r="I4612" s="87">
        <f>SUMIFS('Climate Data'!$H$7:$H$366,'Climate Data'!$A$7:$A$366,Estimator!$B$4,'Climate Data'!$B$7:$B$366,C4612)</f>
        <v>7.9589041095890414</v>
      </c>
      <c r="J4612" s="86">
        <f>SUMIFS('Wind Proxy'!$H$8:$H$19,'Wind Proxy'!$A$8:$A$19,Estimator!$B$4,'Wind Proxy'!$B$8:$B$19,C4612)</f>
        <v>0</v>
      </c>
    </row>
    <row r="4613" spans="1:10" ht="14.4">
      <c r="A4613" s="84">
        <v>50264</v>
      </c>
      <c r="B4613" s="85">
        <v>2037</v>
      </c>
      <c r="C4613" s="85">
        <v>8</v>
      </c>
      <c r="D4613" s="85" t="s">
        <v>71</v>
      </c>
      <c r="E4613" s="85">
        <v>12</v>
      </c>
      <c r="F4613" s="85">
        <v>3</v>
      </c>
      <c r="G4613" s="85">
        <f>--(F4613&lt;=Estimator!$B$7)</f>
        <v>1</v>
      </c>
      <c r="H4613" s="86">
        <f>SUMIFS('Climate Data'!$G$7:$G$366,'Climate Data'!$A$7:$A$366,Estimator!$B$4,'Climate Data'!$B$7:$B$366,C4613)</f>
        <v>0.23548387096774193</v>
      </c>
      <c r="I4613" s="87">
        <f>SUMIFS('Climate Data'!$H$7:$H$366,'Climate Data'!$A$7:$A$366,Estimator!$B$4,'Climate Data'!$B$7:$B$366,C4613)</f>
        <v>7.9589041095890414</v>
      </c>
      <c r="J4613" s="86">
        <f>SUMIFS('Wind Proxy'!$H$8:$H$19,'Wind Proxy'!$A$8:$A$19,Estimator!$B$4,'Wind Proxy'!$B$8:$B$19,C4613)</f>
        <v>0</v>
      </c>
    </row>
    <row r="4614" spans="1:10" ht="14.4">
      <c r="A4614" s="84">
        <v>50265</v>
      </c>
      <c r="B4614" s="85">
        <v>2037</v>
      </c>
      <c r="C4614" s="85">
        <v>8</v>
      </c>
      <c r="D4614" s="85" t="s">
        <v>71</v>
      </c>
      <c r="E4614" s="85">
        <v>13</v>
      </c>
      <c r="F4614" s="85">
        <v>4</v>
      </c>
      <c r="G4614" s="85">
        <f>--(F4614&lt;=Estimator!$B$7)</f>
        <v>1</v>
      </c>
      <c r="H4614" s="86">
        <f>SUMIFS('Climate Data'!$G$7:$G$366,'Climate Data'!$A$7:$A$366,Estimator!$B$4,'Climate Data'!$B$7:$B$366,C4614)</f>
        <v>0.23548387096774193</v>
      </c>
      <c r="I4614" s="87">
        <f>SUMIFS('Climate Data'!$H$7:$H$366,'Climate Data'!$A$7:$A$366,Estimator!$B$4,'Climate Data'!$B$7:$B$366,C4614)</f>
        <v>7.9589041095890414</v>
      </c>
      <c r="J4614" s="86">
        <f>SUMIFS('Wind Proxy'!$H$8:$H$19,'Wind Proxy'!$A$8:$A$19,Estimator!$B$4,'Wind Proxy'!$B$8:$B$19,C4614)</f>
        <v>0</v>
      </c>
    </row>
    <row r="4615" spans="1:10" ht="14.4">
      <c r="A4615" s="84">
        <v>50266</v>
      </c>
      <c r="B4615" s="85">
        <v>2037</v>
      </c>
      <c r="C4615" s="85">
        <v>8</v>
      </c>
      <c r="D4615" s="85" t="s">
        <v>71</v>
      </c>
      <c r="E4615" s="85">
        <v>14</v>
      </c>
      <c r="F4615" s="85">
        <v>5</v>
      </c>
      <c r="G4615" s="85">
        <f>--(F4615&lt;=Estimator!$B$7)</f>
        <v>1</v>
      </c>
      <c r="H4615" s="86">
        <f>SUMIFS('Climate Data'!$G$7:$G$366,'Climate Data'!$A$7:$A$366,Estimator!$B$4,'Climate Data'!$B$7:$B$366,C4615)</f>
        <v>0.23548387096774193</v>
      </c>
      <c r="I4615" s="87">
        <f>SUMIFS('Climate Data'!$H$7:$H$366,'Climate Data'!$A$7:$A$366,Estimator!$B$4,'Climate Data'!$B$7:$B$366,C4615)</f>
        <v>7.9589041095890414</v>
      </c>
      <c r="J4615" s="86">
        <f>SUMIFS('Wind Proxy'!$H$8:$H$19,'Wind Proxy'!$A$8:$A$19,Estimator!$B$4,'Wind Proxy'!$B$8:$B$19,C4615)</f>
        <v>0</v>
      </c>
    </row>
    <row r="4616" spans="1:10" ht="14.4">
      <c r="A4616" s="84">
        <v>50267</v>
      </c>
      <c r="B4616" s="85">
        <v>2037</v>
      </c>
      <c r="C4616" s="85">
        <v>8</v>
      </c>
      <c r="D4616" s="85" t="s">
        <v>71</v>
      </c>
      <c r="E4616" s="85">
        <v>15</v>
      </c>
      <c r="F4616" s="85">
        <v>6</v>
      </c>
      <c r="G4616" s="85">
        <f>--(F4616&lt;=Estimator!$B$7)</f>
        <v>0</v>
      </c>
      <c r="H4616" s="86">
        <f>SUMIFS('Climate Data'!$G$7:$G$366,'Climate Data'!$A$7:$A$366,Estimator!$B$4,'Climate Data'!$B$7:$B$366,C4616)</f>
        <v>0.23548387096774193</v>
      </c>
      <c r="I4616" s="87">
        <f>SUMIFS('Climate Data'!$H$7:$H$366,'Climate Data'!$A$7:$A$366,Estimator!$B$4,'Climate Data'!$B$7:$B$366,C4616)</f>
        <v>7.9589041095890414</v>
      </c>
      <c r="J4616" s="86">
        <f>SUMIFS('Wind Proxy'!$H$8:$H$19,'Wind Proxy'!$A$8:$A$19,Estimator!$B$4,'Wind Proxy'!$B$8:$B$19,C4616)</f>
        <v>0</v>
      </c>
    </row>
    <row r="4617" spans="1:10" ht="14.4">
      <c r="A4617" s="84">
        <v>50268</v>
      </c>
      <c r="B4617" s="85">
        <v>2037</v>
      </c>
      <c r="C4617" s="85">
        <v>8</v>
      </c>
      <c r="D4617" s="85" t="s">
        <v>71</v>
      </c>
      <c r="E4617" s="85">
        <v>16</v>
      </c>
      <c r="F4617" s="85">
        <v>7</v>
      </c>
      <c r="G4617" s="85">
        <f>--(F4617&lt;=Estimator!$B$7)</f>
        <v>0</v>
      </c>
      <c r="H4617" s="86">
        <f>SUMIFS('Climate Data'!$G$7:$G$366,'Climate Data'!$A$7:$A$366,Estimator!$B$4,'Climate Data'!$B$7:$B$366,C4617)</f>
        <v>0.23548387096774193</v>
      </c>
      <c r="I4617" s="87">
        <f>SUMIFS('Climate Data'!$H$7:$H$366,'Climate Data'!$A$7:$A$366,Estimator!$B$4,'Climate Data'!$B$7:$B$366,C4617)</f>
        <v>7.9589041095890414</v>
      </c>
      <c r="J4617" s="86">
        <f>SUMIFS('Wind Proxy'!$H$8:$H$19,'Wind Proxy'!$A$8:$A$19,Estimator!$B$4,'Wind Proxy'!$B$8:$B$19,C4617)</f>
        <v>0</v>
      </c>
    </row>
    <row r="4618" spans="1:10" ht="14.4">
      <c r="A4618" s="84">
        <v>50269</v>
      </c>
      <c r="B4618" s="85">
        <v>2037</v>
      </c>
      <c r="C4618" s="85">
        <v>8</v>
      </c>
      <c r="D4618" s="85" t="s">
        <v>71</v>
      </c>
      <c r="E4618" s="85">
        <v>17</v>
      </c>
      <c r="F4618" s="85">
        <v>1</v>
      </c>
      <c r="G4618" s="85">
        <f>--(F4618&lt;=Estimator!$B$7)</f>
        <v>1</v>
      </c>
      <c r="H4618" s="86">
        <f>SUMIFS('Climate Data'!$G$7:$G$366,'Climate Data'!$A$7:$A$366,Estimator!$B$4,'Climate Data'!$B$7:$B$366,C4618)</f>
        <v>0.23548387096774193</v>
      </c>
      <c r="I4618" s="87">
        <f>SUMIFS('Climate Data'!$H$7:$H$366,'Climate Data'!$A$7:$A$366,Estimator!$B$4,'Climate Data'!$B$7:$B$366,C4618)</f>
        <v>7.9589041095890414</v>
      </c>
      <c r="J4618" s="86">
        <f>SUMIFS('Wind Proxy'!$H$8:$H$19,'Wind Proxy'!$A$8:$A$19,Estimator!$B$4,'Wind Proxy'!$B$8:$B$19,C4618)</f>
        <v>0</v>
      </c>
    </row>
    <row r="4619" spans="1:10" ht="14.4">
      <c r="A4619" s="84">
        <v>50270</v>
      </c>
      <c r="B4619" s="85">
        <v>2037</v>
      </c>
      <c r="C4619" s="85">
        <v>8</v>
      </c>
      <c r="D4619" s="85" t="s">
        <v>71</v>
      </c>
      <c r="E4619" s="85">
        <v>18</v>
      </c>
      <c r="F4619" s="85">
        <v>2</v>
      </c>
      <c r="G4619" s="85">
        <f>--(F4619&lt;=Estimator!$B$7)</f>
        <v>1</v>
      </c>
      <c r="H4619" s="86">
        <f>SUMIFS('Climate Data'!$G$7:$G$366,'Climate Data'!$A$7:$A$366,Estimator!$B$4,'Climate Data'!$B$7:$B$366,C4619)</f>
        <v>0.23548387096774193</v>
      </c>
      <c r="I4619" s="87">
        <f>SUMIFS('Climate Data'!$H$7:$H$366,'Climate Data'!$A$7:$A$366,Estimator!$B$4,'Climate Data'!$B$7:$B$366,C4619)</f>
        <v>7.9589041095890414</v>
      </c>
      <c r="J4619" s="86">
        <f>SUMIFS('Wind Proxy'!$H$8:$H$19,'Wind Proxy'!$A$8:$A$19,Estimator!$B$4,'Wind Proxy'!$B$8:$B$19,C4619)</f>
        <v>0</v>
      </c>
    </row>
    <row r="4620" spans="1:10" ht="14.4">
      <c r="A4620" s="84">
        <v>50271</v>
      </c>
      <c r="B4620" s="85">
        <v>2037</v>
      </c>
      <c r="C4620" s="85">
        <v>8</v>
      </c>
      <c r="D4620" s="85" t="s">
        <v>71</v>
      </c>
      <c r="E4620" s="85">
        <v>19</v>
      </c>
      <c r="F4620" s="85">
        <v>3</v>
      </c>
      <c r="G4620" s="85">
        <f>--(F4620&lt;=Estimator!$B$7)</f>
        <v>1</v>
      </c>
      <c r="H4620" s="86">
        <f>SUMIFS('Climate Data'!$G$7:$G$366,'Climate Data'!$A$7:$A$366,Estimator!$B$4,'Climate Data'!$B$7:$B$366,C4620)</f>
        <v>0.23548387096774193</v>
      </c>
      <c r="I4620" s="87">
        <f>SUMIFS('Climate Data'!$H$7:$H$366,'Climate Data'!$A$7:$A$366,Estimator!$B$4,'Climate Data'!$B$7:$B$366,C4620)</f>
        <v>7.9589041095890414</v>
      </c>
      <c r="J4620" s="86">
        <f>SUMIFS('Wind Proxy'!$H$8:$H$19,'Wind Proxy'!$A$8:$A$19,Estimator!$B$4,'Wind Proxy'!$B$8:$B$19,C4620)</f>
        <v>0</v>
      </c>
    </row>
    <row r="4621" spans="1:10" ht="14.4">
      <c r="A4621" s="84">
        <v>50272</v>
      </c>
      <c r="B4621" s="85">
        <v>2037</v>
      </c>
      <c r="C4621" s="85">
        <v>8</v>
      </c>
      <c r="D4621" s="85" t="s">
        <v>71</v>
      </c>
      <c r="E4621" s="85">
        <v>20</v>
      </c>
      <c r="F4621" s="85">
        <v>4</v>
      </c>
      <c r="G4621" s="85">
        <f>--(F4621&lt;=Estimator!$B$7)</f>
        <v>1</v>
      </c>
      <c r="H4621" s="86">
        <f>SUMIFS('Climate Data'!$G$7:$G$366,'Climate Data'!$A$7:$A$366,Estimator!$B$4,'Climate Data'!$B$7:$B$366,C4621)</f>
        <v>0.23548387096774193</v>
      </c>
      <c r="I4621" s="87">
        <f>SUMIFS('Climate Data'!$H$7:$H$366,'Climate Data'!$A$7:$A$366,Estimator!$B$4,'Climate Data'!$B$7:$B$366,C4621)</f>
        <v>7.9589041095890414</v>
      </c>
      <c r="J4621" s="86">
        <f>SUMIFS('Wind Proxy'!$H$8:$H$19,'Wind Proxy'!$A$8:$A$19,Estimator!$B$4,'Wind Proxy'!$B$8:$B$19,C4621)</f>
        <v>0</v>
      </c>
    </row>
    <row r="4622" spans="1:10" ht="14.4">
      <c r="A4622" s="84">
        <v>50273</v>
      </c>
      <c r="B4622" s="85">
        <v>2037</v>
      </c>
      <c r="C4622" s="85">
        <v>8</v>
      </c>
      <c r="D4622" s="85" t="s">
        <v>71</v>
      </c>
      <c r="E4622" s="85">
        <v>21</v>
      </c>
      <c r="F4622" s="85">
        <v>5</v>
      </c>
      <c r="G4622" s="85">
        <f>--(F4622&lt;=Estimator!$B$7)</f>
        <v>1</v>
      </c>
      <c r="H4622" s="86">
        <f>SUMIFS('Climate Data'!$G$7:$G$366,'Climate Data'!$A$7:$A$366,Estimator!$B$4,'Climate Data'!$B$7:$B$366,C4622)</f>
        <v>0.23548387096774193</v>
      </c>
      <c r="I4622" s="87">
        <f>SUMIFS('Climate Data'!$H$7:$H$366,'Climate Data'!$A$7:$A$366,Estimator!$B$4,'Climate Data'!$B$7:$B$366,C4622)</f>
        <v>7.9589041095890414</v>
      </c>
      <c r="J4622" s="86">
        <f>SUMIFS('Wind Proxy'!$H$8:$H$19,'Wind Proxy'!$A$8:$A$19,Estimator!$B$4,'Wind Proxy'!$B$8:$B$19,C4622)</f>
        <v>0</v>
      </c>
    </row>
    <row r="4623" spans="1:10" ht="14.4">
      <c r="A4623" s="84">
        <v>50274</v>
      </c>
      <c r="B4623" s="85">
        <v>2037</v>
      </c>
      <c r="C4623" s="85">
        <v>8</v>
      </c>
      <c r="D4623" s="85" t="s">
        <v>71</v>
      </c>
      <c r="E4623" s="85">
        <v>22</v>
      </c>
      <c r="F4623" s="85">
        <v>6</v>
      </c>
      <c r="G4623" s="85">
        <f>--(F4623&lt;=Estimator!$B$7)</f>
        <v>0</v>
      </c>
      <c r="H4623" s="86">
        <f>SUMIFS('Climate Data'!$G$7:$G$366,'Climate Data'!$A$7:$A$366,Estimator!$B$4,'Climate Data'!$B$7:$B$366,C4623)</f>
        <v>0.23548387096774193</v>
      </c>
      <c r="I4623" s="87">
        <f>SUMIFS('Climate Data'!$H$7:$H$366,'Climate Data'!$A$7:$A$366,Estimator!$B$4,'Climate Data'!$B$7:$B$366,C4623)</f>
        <v>7.9589041095890414</v>
      </c>
      <c r="J4623" s="86">
        <f>SUMIFS('Wind Proxy'!$H$8:$H$19,'Wind Proxy'!$A$8:$A$19,Estimator!$B$4,'Wind Proxy'!$B$8:$B$19,C4623)</f>
        <v>0</v>
      </c>
    </row>
    <row r="4624" spans="1:10" ht="14.4">
      <c r="A4624" s="84">
        <v>50275</v>
      </c>
      <c r="B4624" s="85">
        <v>2037</v>
      </c>
      <c r="C4624" s="85">
        <v>8</v>
      </c>
      <c r="D4624" s="85" t="s">
        <v>71</v>
      </c>
      <c r="E4624" s="85">
        <v>23</v>
      </c>
      <c r="F4624" s="85">
        <v>7</v>
      </c>
      <c r="G4624" s="85">
        <f>--(F4624&lt;=Estimator!$B$7)</f>
        <v>0</v>
      </c>
      <c r="H4624" s="86">
        <f>SUMIFS('Climate Data'!$G$7:$G$366,'Climate Data'!$A$7:$A$366,Estimator!$B$4,'Climate Data'!$B$7:$B$366,C4624)</f>
        <v>0.23548387096774193</v>
      </c>
      <c r="I4624" s="87">
        <f>SUMIFS('Climate Data'!$H$7:$H$366,'Climate Data'!$A$7:$A$366,Estimator!$B$4,'Climate Data'!$B$7:$B$366,C4624)</f>
        <v>7.9589041095890414</v>
      </c>
      <c r="J4624" s="86">
        <f>SUMIFS('Wind Proxy'!$H$8:$H$19,'Wind Proxy'!$A$8:$A$19,Estimator!$B$4,'Wind Proxy'!$B$8:$B$19,C4624)</f>
        <v>0</v>
      </c>
    </row>
    <row r="4625" spans="1:10" ht="14.4">
      <c r="A4625" s="84">
        <v>50276</v>
      </c>
      <c r="B4625" s="85">
        <v>2037</v>
      </c>
      <c r="C4625" s="85">
        <v>8</v>
      </c>
      <c r="D4625" s="85" t="s">
        <v>71</v>
      </c>
      <c r="E4625" s="85">
        <v>24</v>
      </c>
      <c r="F4625" s="85">
        <v>1</v>
      </c>
      <c r="G4625" s="85">
        <f>--(F4625&lt;=Estimator!$B$7)</f>
        <v>1</v>
      </c>
      <c r="H4625" s="86">
        <f>SUMIFS('Climate Data'!$G$7:$G$366,'Climate Data'!$A$7:$A$366,Estimator!$B$4,'Climate Data'!$B$7:$B$366,C4625)</f>
        <v>0.23548387096774193</v>
      </c>
      <c r="I4625" s="87">
        <f>SUMIFS('Climate Data'!$H$7:$H$366,'Climate Data'!$A$7:$A$366,Estimator!$B$4,'Climate Data'!$B$7:$B$366,C4625)</f>
        <v>7.9589041095890414</v>
      </c>
      <c r="J4625" s="86">
        <f>SUMIFS('Wind Proxy'!$H$8:$H$19,'Wind Proxy'!$A$8:$A$19,Estimator!$B$4,'Wind Proxy'!$B$8:$B$19,C4625)</f>
        <v>0</v>
      </c>
    </row>
    <row r="4626" spans="1:10" ht="14.4">
      <c r="A4626" s="84">
        <v>50277</v>
      </c>
      <c r="B4626" s="85">
        <v>2037</v>
      </c>
      <c r="C4626" s="85">
        <v>8</v>
      </c>
      <c r="D4626" s="85" t="s">
        <v>71</v>
      </c>
      <c r="E4626" s="85">
        <v>25</v>
      </c>
      <c r="F4626" s="85">
        <v>2</v>
      </c>
      <c r="G4626" s="85">
        <f>--(F4626&lt;=Estimator!$B$7)</f>
        <v>1</v>
      </c>
      <c r="H4626" s="86">
        <f>SUMIFS('Climate Data'!$G$7:$G$366,'Climate Data'!$A$7:$A$366,Estimator!$B$4,'Climate Data'!$B$7:$B$366,C4626)</f>
        <v>0.23548387096774193</v>
      </c>
      <c r="I4626" s="87">
        <f>SUMIFS('Climate Data'!$H$7:$H$366,'Climate Data'!$A$7:$A$366,Estimator!$B$4,'Climate Data'!$B$7:$B$366,C4626)</f>
        <v>7.9589041095890414</v>
      </c>
      <c r="J4626" s="86">
        <f>SUMIFS('Wind Proxy'!$H$8:$H$19,'Wind Proxy'!$A$8:$A$19,Estimator!$B$4,'Wind Proxy'!$B$8:$B$19,C4626)</f>
        <v>0</v>
      </c>
    </row>
    <row r="4627" spans="1:10" ht="14.4">
      <c r="A4627" s="84">
        <v>50278</v>
      </c>
      <c r="B4627" s="85">
        <v>2037</v>
      </c>
      <c r="C4627" s="85">
        <v>8</v>
      </c>
      <c r="D4627" s="85" t="s">
        <v>71</v>
      </c>
      <c r="E4627" s="85">
        <v>26</v>
      </c>
      <c r="F4627" s="85">
        <v>3</v>
      </c>
      <c r="G4627" s="85">
        <f>--(F4627&lt;=Estimator!$B$7)</f>
        <v>1</v>
      </c>
      <c r="H4627" s="86">
        <f>SUMIFS('Climate Data'!$G$7:$G$366,'Climate Data'!$A$7:$A$366,Estimator!$B$4,'Climate Data'!$B$7:$B$366,C4627)</f>
        <v>0.23548387096774193</v>
      </c>
      <c r="I4627" s="87">
        <f>SUMIFS('Climate Data'!$H$7:$H$366,'Climate Data'!$A$7:$A$366,Estimator!$B$4,'Climate Data'!$B$7:$B$366,C4627)</f>
        <v>7.9589041095890414</v>
      </c>
      <c r="J4627" s="86">
        <f>SUMIFS('Wind Proxy'!$H$8:$H$19,'Wind Proxy'!$A$8:$A$19,Estimator!$B$4,'Wind Proxy'!$B$8:$B$19,C4627)</f>
        <v>0</v>
      </c>
    </row>
    <row r="4628" spans="1:10" ht="14.4">
      <c r="A4628" s="84">
        <v>50279</v>
      </c>
      <c r="B4628" s="85">
        <v>2037</v>
      </c>
      <c r="C4628" s="85">
        <v>8</v>
      </c>
      <c r="D4628" s="85" t="s">
        <v>71</v>
      </c>
      <c r="E4628" s="85">
        <v>27</v>
      </c>
      <c r="F4628" s="85">
        <v>4</v>
      </c>
      <c r="G4628" s="85">
        <f>--(F4628&lt;=Estimator!$B$7)</f>
        <v>1</v>
      </c>
      <c r="H4628" s="86">
        <f>SUMIFS('Climate Data'!$G$7:$G$366,'Climate Data'!$A$7:$A$366,Estimator!$B$4,'Climate Data'!$B$7:$B$366,C4628)</f>
        <v>0.23548387096774193</v>
      </c>
      <c r="I4628" s="87">
        <f>SUMIFS('Climate Data'!$H$7:$H$366,'Climate Data'!$A$7:$A$366,Estimator!$B$4,'Climate Data'!$B$7:$B$366,C4628)</f>
        <v>7.9589041095890414</v>
      </c>
      <c r="J4628" s="86">
        <f>SUMIFS('Wind Proxy'!$H$8:$H$19,'Wind Proxy'!$A$8:$A$19,Estimator!$B$4,'Wind Proxy'!$B$8:$B$19,C4628)</f>
        <v>0</v>
      </c>
    </row>
    <row r="4629" spans="1:10" ht="14.4">
      <c r="A4629" s="84">
        <v>50280</v>
      </c>
      <c r="B4629" s="85">
        <v>2037</v>
      </c>
      <c r="C4629" s="85">
        <v>8</v>
      </c>
      <c r="D4629" s="85" t="s">
        <v>71</v>
      </c>
      <c r="E4629" s="85">
        <v>28</v>
      </c>
      <c r="F4629" s="85">
        <v>5</v>
      </c>
      <c r="G4629" s="85">
        <f>--(F4629&lt;=Estimator!$B$7)</f>
        <v>1</v>
      </c>
      <c r="H4629" s="86">
        <f>SUMIFS('Climate Data'!$G$7:$G$366,'Climate Data'!$A$7:$A$366,Estimator!$B$4,'Climate Data'!$B$7:$B$366,C4629)</f>
        <v>0.23548387096774193</v>
      </c>
      <c r="I4629" s="87">
        <f>SUMIFS('Climate Data'!$H$7:$H$366,'Climate Data'!$A$7:$A$366,Estimator!$B$4,'Climate Data'!$B$7:$B$366,C4629)</f>
        <v>7.9589041095890414</v>
      </c>
      <c r="J4629" s="86">
        <f>SUMIFS('Wind Proxy'!$H$8:$H$19,'Wind Proxy'!$A$8:$A$19,Estimator!$B$4,'Wind Proxy'!$B$8:$B$19,C4629)</f>
        <v>0</v>
      </c>
    </row>
    <row r="4630" spans="1:10" ht="14.4">
      <c r="A4630" s="84">
        <v>50281</v>
      </c>
      <c r="B4630" s="85">
        <v>2037</v>
      </c>
      <c r="C4630" s="85">
        <v>8</v>
      </c>
      <c r="D4630" s="85" t="s">
        <v>71</v>
      </c>
      <c r="E4630" s="85">
        <v>29</v>
      </c>
      <c r="F4630" s="85">
        <v>6</v>
      </c>
      <c r="G4630" s="85">
        <f>--(F4630&lt;=Estimator!$B$7)</f>
        <v>0</v>
      </c>
      <c r="H4630" s="86">
        <f>SUMIFS('Climate Data'!$G$7:$G$366,'Climate Data'!$A$7:$A$366,Estimator!$B$4,'Climate Data'!$B$7:$B$366,C4630)</f>
        <v>0.23548387096774193</v>
      </c>
      <c r="I4630" s="87">
        <f>SUMIFS('Climate Data'!$H$7:$H$366,'Climate Data'!$A$7:$A$366,Estimator!$B$4,'Climate Data'!$B$7:$B$366,C4630)</f>
        <v>7.9589041095890414</v>
      </c>
      <c r="J4630" s="86">
        <f>SUMIFS('Wind Proxy'!$H$8:$H$19,'Wind Proxy'!$A$8:$A$19,Estimator!$B$4,'Wind Proxy'!$B$8:$B$19,C4630)</f>
        <v>0</v>
      </c>
    </row>
    <row r="4631" spans="1:10" ht="14.4">
      <c r="A4631" s="84">
        <v>50282</v>
      </c>
      <c r="B4631" s="85">
        <v>2037</v>
      </c>
      <c r="C4631" s="85">
        <v>8</v>
      </c>
      <c r="D4631" s="85" t="s">
        <v>71</v>
      </c>
      <c r="E4631" s="85">
        <v>30</v>
      </c>
      <c r="F4631" s="85">
        <v>7</v>
      </c>
      <c r="G4631" s="85">
        <f>--(F4631&lt;=Estimator!$B$7)</f>
        <v>0</v>
      </c>
      <c r="H4631" s="86">
        <f>SUMIFS('Climate Data'!$G$7:$G$366,'Climate Data'!$A$7:$A$366,Estimator!$B$4,'Climate Data'!$B$7:$B$366,C4631)</f>
        <v>0.23548387096774193</v>
      </c>
      <c r="I4631" s="87">
        <f>SUMIFS('Climate Data'!$H$7:$H$366,'Climate Data'!$A$7:$A$366,Estimator!$B$4,'Climate Data'!$B$7:$B$366,C4631)</f>
        <v>7.9589041095890414</v>
      </c>
      <c r="J4631" s="86">
        <f>SUMIFS('Wind Proxy'!$H$8:$H$19,'Wind Proxy'!$A$8:$A$19,Estimator!$B$4,'Wind Proxy'!$B$8:$B$19,C4631)</f>
        <v>0</v>
      </c>
    </row>
    <row r="4632" spans="1:10" ht="14.4">
      <c r="A4632" s="84">
        <v>50283</v>
      </c>
      <c r="B4632" s="85">
        <v>2037</v>
      </c>
      <c r="C4632" s="85">
        <v>8</v>
      </c>
      <c r="D4632" s="85" t="s">
        <v>71</v>
      </c>
      <c r="E4632" s="85">
        <v>31</v>
      </c>
      <c r="F4632" s="85">
        <v>1</v>
      </c>
      <c r="G4632" s="85">
        <f>--(F4632&lt;=Estimator!$B$7)</f>
        <v>1</v>
      </c>
      <c r="H4632" s="86">
        <f>SUMIFS('Climate Data'!$G$7:$G$366,'Climate Data'!$A$7:$A$366,Estimator!$B$4,'Climate Data'!$B$7:$B$366,C4632)</f>
        <v>0.23548387096774193</v>
      </c>
      <c r="I4632" s="87">
        <f>SUMIFS('Climate Data'!$H$7:$H$366,'Climate Data'!$A$7:$A$366,Estimator!$B$4,'Climate Data'!$B$7:$B$366,C4632)</f>
        <v>7.9589041095890414</v>
      </c>
      <c r="J4632" s="86">
        <f>SUMIFS('Wind Proxy'!$H$8:$H$19,'Wind Proxy'!$A$8:$A$19,Estimator!$B$4,'Wind Proxy'!$B$8:$B$19,C4632)</f>
        <v>0</v>
      </c>
    </row>
    <row r="4633" spans="1:10" ht="14.4">
      <c r="A4633" s="84">
        <v>50284</v>
      </c>
      <c r="B4633" s="85">
        <v>2037</v>
      </c>
      <c r="C4633" s="85">
        <v>9</v>
      </c>
      <c r="D4633" s="85" t="s">
        <v>73</v>
      </c>
      <c r="E4633" s="85">
        <v>1</v>
      </c>
      <c r="F4633" s="85">
        <v>2</v>
      </c>
      <c r="G4633" s="85">
        <f>--(F4633&lt;=Estimator!$B$7)</f>
        <v>1</v>
      </c>
      <c r="H4633" s="86">
        <f>SUMIFS('Climate Data'!$G$7:$G$366,'Climate Data'!$A$7:$A$366,Estimator!$B$4,'Climate Data'!$B$7:$B$366,C4633)</f>
        <v>0.20666666666666667</v>
      </c>
      <c r="I4633" s="87">
        <f>SUMIFS('Climate Data'!$H$7:$H$366,'Climate Data'!$A$7:$A$366,Estimator!$B$4,'Climate Data'!$B$7:$B$366,C4633)</f>
        <v>6.806451612903226</v>
      </c>
      <c r="J4633" s="86">
        <f>SUMIFS('Wind Proxy'!$H$8:$H$19,'Wind Proxy'!$A$8:$A$19,Estimator!$B$4,'Wind Proxy'!$B$8:$B$19,C4633)</f>
        <v>0</v>
      </c>
    </row>
    <row r="4634" spans="1:10" ht="14.4">
      <c r="A4634" s="84">
        <v>50285</v>
      </c>
      <c r="B4634" s="85">
        <v>2037</v>
      </c>
      <c r="C4634" s="85">
        <v>9</v>
      </c>
      <c r="D4634" s="85" t="s">
        <v>73</v>
      </c>
      <c r="E4634" s="85">
        <v>2</v>
      </c>
      <c r="F4634" s="85">
        <v>3</v>
      </c>
      <c r="G4634" s="85">
        <f>--(F4634&lt;=Estimator!$B$7)</f>
        <v>1</v>
      </c>
      <c r="H4634" s="86">
        <f>SUMIFS('Climate Data'!$G$7:$G$366,'Climate Data'!$A$7:$A$366,Estimator!$B$4,'Climate Data'!$B$7:$B$366,C4634)</f>
        <v>0.20666666666666667</v>
      </c>
      <c r="I4634" s="87">
        <f>SUMIFS('Climate Data'!$H$7:$H$366,'Climate Data'!$A$7:$A$366,Estimator!$B$4,'Climate Data'!$B$7:$B$366,C4634)</f>
        <v>6.806451612903226</v>
      </c>
      <c r="J4634" s="86">
        <f>SUMIFS('Wind Proxy'!$H$8:$H$19,'Wind Proxy'!$A$8:$A$19,Estimator!$B$4,'Wind Proxy'!$B$8:$B$19,C4634)</f>
        <v>0</v>
      </c>
    </row>
    <row r="4635" spans="1:10" ht="14.4">
      <c r="A4635" s="84">
        <v>50286</v>
      </c>
      <c r="B4635" s="85">
        <v>2037</v>
      </c>
      <c r="C4635" s="85">
        <v>9</v>
      </c>
      <c r="D4635" s="85" t="s">
        <v>73</v>
      </c>
      <c r="E4635" s="85">
        <v>3</v>
      </c>
      <c r="F4635" s="85">
        <v>4</v>
      </c>
      <c r="G4635" s="85">
        <f>--(F4635&lt;=Estimator!$B$7)</f>
        <v>1</v>
      </c>
      <c r="H4635" s="86">
        <f>SUMIFS('Climate Data'!$G$7:$G$366,'Climate Data'!$A$7:$A$366,Estimator!$B$4,'Climate Data'!$B$7:$B$366,C4635)</f>
        <v>0.20666666666666667</v>
      </c>
      <c r="I4635" s="87">
        <f>SUMIFS('Climate Data'!$H$7:$H$366,'Climate Data'!$A$7:$A$366,Estimator!$B$4,'Climate Data'!$B$7:$B$366,C4635)</f>
        <v>6.806451612903226</v>
      </c>
      <c r="J4635" s="86">
        <f>SUMIFS('Wind Proxy'!$H$8:$H$19,'Wind Proxy'!$A$8:$A$19,Estimator!$B$4,'Wind Proxy'!$B$8:$B$19,C4635)</f>
        <v>0</v>
      </c>
    </row>
    <row r="4636" spans="1:10" ht="14.4">
      <c r="A4636" s="84">
        <v>50287</v>
      </c>
      <c r="B4636" s="85">
        <v>2037</v>
      </c>
      <c r="C4636" s="85">
        <v>9</v>
      </c>
      <c r="D4636" s="85" t="s">
        <v>73</v>
      </c>
      <c r="E4636" s="85">
        <v>4</v>
      </c>
      <c r="F4636" s="85">
        <v>5</v>
      </c>
      <c r="G4636" s="85">
        <f>--(F4636&lt;=Estimator!$B$7)</f>
        <v>1</v>
      </c>
      <c r="H4636" s="86">
        <f>SUMIFS('Climate Data'!$G$7:$G$366,'Climate Data'!$A$7:$A$366,Estimator!$B$4,'Climate Data'!$B$7:$B$366,C4636)</f>
        <v>0.20666666666666667</v>
      </c>
      <c r="I4636" s="87">
        <f>SUMIFS('Climate Data'!$H$7:$H$366,'Climate Data'!$A$7:$A$366,Estimator!$B$4,'Climate Data'!$B$7:$B$366,C4636)</f>
        <v>6.806451612903226</v>
      </c>
      <c r="J4636" s="86">
        <f>SUMIFS('Wind Proxy'!$H$8:$H$19,'Wind Proxy'!$A$8:$A$19,Estimator!$B$4,'Wind Proxy'!$B$8:$B$19,C4636)</f>
        <v>0</v>
      </c>
    </row>
    <row r="4637" spans="1:10" ht="14.4">
      <c r="A4637" s="84">
        <v>50288</v>
      </c>
      <c r="B4637" s="85">
        <v>2037</v>
      </c>
      <c r="C4637" s="85">
        <v>9</v>
      </c>
      <c r="D4637" s="85" t="s">
        <v>73</v>
      </c>
      <c r="E4637" s="85">
        <v>5</v>
      </c>
      <c r="F4637" s="85">
        <v>6</v>
      </c>
      <c r="G4637" s="85">
        <f>--(F4637&lt;=Estimator!$B$7)</f>
        <v>0</v>
      </c>
      <c r="H4637" s="86">
        <f>SUMIFS('Climate Data'!$G$7:$G$366,'Climate Data'!$A$7:$A$366,Estimator!$B$4,'Climate Data'!$B$7:$B$366,C4637)</f>
        <v>0.20666666666666667</v>
      </c>
      <c r="I4637" s="87">
        <f>SUMIFS('Climate Data'!$H$7:$H$366,'Climate Data'!$A$7:$A$366,Estimator!$B$4,'Climate Data'!$B$7:$B$366,C4637)</f>
        <v>6.806451612903226</v>
      </c>
      <c r="J4637" s="86">
        <f>SUMIFS('Wind Proxy'!$H$8:$H$19,'Wind Proxy'!$A$8:$A$19,Estimator!$B$4,'Wind Proxy'!$B$8:$B$19,C4637)</f>
        <v>0</v>
      </c>
    </row>
    <row r="4638" spans="1:10" ht="14.4">
      <c r="A4638" s="84">
        <v>50289</v>
      </c>
      <c r="B4638" s="85">
        <v>2037</v>
      </c>
      <c r="C4638" s="85">
        <v>9</v>
      </c>
      <c r="D4638" s="85" t="s">
        <v>73</v>
      </c>
      <c r="E4638" s="85">
        <v>6</v>
      </c>
      <c r="F4638" s="85">
        <v>7</v>
      </c>
      <c r="G4638" s="85">
        <f>--(F4638&lt;=Estimator!$B$7)</f>
        <v>0</v>
      </c>
      <c r="H4638" s="86">
        <f>SUMIFS('Climate Data'!$G$7:$G$366,'Climate Data'!$A$7:$A$366,Estimator!$B$4,'Climate Data'!$B$7:$B$366,C4638)</f>
        <v>0.20666666666666667</v>
      </c>
      <c r="I4638" s="87">
        <f>SUMIFS('Climate Data'!$H$7:$H$366,'Climate Data'!$A$7:$A$366,Estimator!$B$4,'Climate Data'!$B$7:$B$366,C4638)</f>
        <v>6.806451612903226</v>
      </c>
      <c r="J4638" s="86">
        <f>SUMIFS('Wind Proxy'!$H$8:$H$19,'Wind Proxy'!$A$8:$A$19,Estimator!$B$4,'Wind Proxy'!$B$8:$B$19,C4638)</f>
        <v>0</v>
      </c>
    </row>
    <row r="4639" spans="1:10" ht="14.4">
      <c r="A4639" s="84">
        <v>50290</v>
      </c>
      <c r="B4639" s="85">
        <v>2037</v>
      </c>
      <c r="C4639" s="85">
        <v>9</v>
      </c>
      <c r="D4639" s="85" t="s">
        <v>73</v>
      </c>
      <c r="E4639" s="85">
        <v>7</v>
      </c>
      <c r="F4639" s="85">
        <v>1</v>
      </c>
      <c r="G4639" s="85">
        <f>--(F4639&lt;=Estimator!$B$7)</f>
        <v>1</v>
      </c>
      <c r="H4639" s="86">
        <f>SUMIFS('Climate Data'!$G$7:$G$366,'Climate Data'!$A$7:$A$366,Estimator!$B$4,'Climate Data'!$B$7:$B$366,C4639)</f>
        <v>0.20666666666666667</v>
      </c>
      <c r="I4639" s="87">
        <f>SUMIFS('Climate Data'!$H$7:$H$366,'Climate Data'!$A$7:$A$366,Estimator!$B$4,'Climate Data'!$B$7:$B$366,C4639)</f>
        <v>6.806451612903226</v>
      </c>
      <c r="J4639" s="86">
        <f>SUMIFS('Wind Proxy'!$H$8:$H$19,'Wind Proxy'!$A$8:$A$19,Estimator!$B$4,'Wind Proxy'!$B$8:$B$19,C4639)</f>
        <v>0</v>
      </c>
    </row>
    <row r="4640" spans="1:10" ht="14.4">
      <c r="A4640" s="84">
        <v>50291</v>
      </c>
      <c r="B4640" s="85">
        <v>2037</v>
      </c>
      <c r="C4640" s="85">
        <v>9</v>
      </c>
      <c r="D4640" s="85" t="s">
        <v>73</v>
      </c>
      <c r="E4640" s="85">
        <v>8</v>
      </c>
      <c r="F4640" s="85">
        <v>2</v>
      </c>
      <c r="G4640" s="85">
        <f>--(F4640&lt;=Estimator!$B$7)</f>
        <v>1</v>
      </c>
      <c r="H4640" s="86">
        <f>SUMIFS('Climate Data'!$G$7:$G$366,'Climate Data'!$A$7:$A$366,Estimator!$B$4,'Climate Data'!$B$7:$B$366,C4640)</f>
        <v>0.20666666666666667</v>
      </c>
      <c r="I4640" s="87">
        <f>SUMIFS('Climate Data'!$H$7:$H$366,'Climate Data'!$A$7:$A$366,Estimator!$B$4,'Climate Data'!$B$7:$B$366,C4640)</f>
        <v>6.806451612903226</v>
      </c>
      <c r="J4640" s="86">
        <f>SUMIFS('Wind Proxy'!$H$8:$H$19,'Wind Proxy'!$A$8:$A$19,Estimator!$B$4,'Wind Proxy'!$B$8:$B$19,C4640)</f>
        <v>0</v>
      </c>
    </row>
    <row r="4641" spans="1:10" ht="14.4">
      <c r="A4641" s="84">
        <v>50292</v>
      </c>
      <c r="B4641" s="85">
        <v>2037</v>
      </c>
      <c r="C4641" s="85">
        <v>9</v>
      </c>
      <c r="D4641" s="85" t="s">
        <v>73</v>
      </c>
      <c r="E4641" s="85">
        <v>9</v>
      </c>
      <c r="F4641" s="85">
        <v>3</v>
      </c>
      <c r="G4641" s="85">
        <f>--(F4641&lt;=Estimator!$B$7)</f>
        <v>1</v>
      </c>
      <c r="H4641" s="86">
        <f>SUMIFS('Climate Data'!$G$7:$G$366,'Climate Data'!$A$7:$A$366,Estimator!$B$4,'Climate Data'!$B$7:$B$366,C4641)</f>
        <v>0.20666666666666667</v>
      </c>
      <c r="I4641" s="87">
        <f>SUMIFS('Climate Data'!$H$7:$H$366,'Climate Data'!$A$7:$A$366,Estimator!$B$4,'Climate Data'!$B$7:$B$366,C4641)</f>
        <v>6.806451612903226</v>
      </c>
      <c r="J4641" s="86">
        <f>SUMIFS('Wind Proxy'!$H$8:$H$19,'Wind Proxy'!$A$8:$A$19,Estimator!$B$4,'Wind Proxy'!$B$8:$B$19,C4641)</f>
        <v>0</v>
      </c>
    </row>
    <row r="4642" spans="1:10" ht="14.4">
      <c r="A4642" s="84">
        <v>50293</v>
      </c>
      <c r="B4642" s="85">
        <v>2037</v>
      </c>
      <c r="C4642" s="85">
        <v>9</v>
      </c>
      <c r="D4642" s="85" t="s">
        <v>73</v>
      </c>
      <c r="E4642" s="85">
        <v>10</v>
      </c>
      <c r="F4642" s="85">
        <v>4</v>
      </c>
      <c r="G4642" s="85">
        <f>--(F4642&lt;=Estimator!$B$7)</f>
        <v>1</v>
      </c>
      <c r="H4642" s="86">
        <f>SUMIFS('Climate Data'!$G$7:$G$366,'Climate Data'!$A$7:$A$366,Estimator!$B$4,'Climate Data'!$B$7:$B$366,C4642)</f>
        <v>0.20666666666666667</v>
      </c>
      <c r="I4642" s="87">
        <f>SUMIFS('Climate Data'!$H$7:$H$366,'Climate Data'!$A$7:$A$366,Estimator!$B$4,'Climate Data'!$B$7:$B$366,C4642)</f>
        <v>6.806451612903226</v>
      </c>
      <c r="J4642" s="86">
        <f>SUMIFS('Wind Proxy'!$H$8:$H$19,'Wind Proxy'!$A$8:$A$19,Estimator!$B$4,'Wind Proxy'!$B$8:$B$19,C4642)</f>
        <v>0</v>
      </c>
    </row>
    <row r="4643" spans="1:10" ht="14.4">
      <c r="A4643" s="84">
        <v>50294</v>
      </c>
      <c r="B4643" s="85">
        <v>2037</v>
      </c>
      <c r="C4643" s="85">
        <v>9</v>
      </c>
      <c r="D4643" s="85" t="s">
        <v>73</v>
      </c>
      <c r="E4643" s="85">
        <v>11</v>
      </c>
      <c r="F4643" s="85">
        <v>5</v>
      </c>
      <c r="G4643" s="85">
        <f>--(F4643&lt;=Estimator!$B$7)</f>
        <v>1</v>
      </c>
      <c r="H4643" s="86">
        <f>SUMIFS('Climate Data'!$G$7:$G$366,'Climate Data'!$A$7:$A$366,Estimator!$B$4,'Climate Data'!$B$7:$B$366,C4643)</f>
        <v>0.20666666666666667</v>
      </c>
      <c r="I4643" s="87">
        <f>SUMIFS('Climate Data'!$H$7:$H$366,'Climate Data'!$A$7:$A$366,Estimator!$B$4,'Climate Data'!$B$7:$B$366,C4643)</f>
        <v>6.806451612903226</v>
      </c>
      <c r="J4643" s="86">
        <f>SUMIFS('Wind Proxy'!$H$8:$H$19,'Wind Proxy'!$A$8:$A$19,Estimator!$B$4,'Wind Proxy'!$B$8:$B$19,C4643)</f>
        <v>0</v>
      </c>
    </row>
    <row r="4644" spans="1:10" ht="14.4">
      <c r="A4644" s="84">
        <v>50295</v>
      </c>
      <c r="B4644" s="85">
        <v>2037</v>
      </c>
      <c r="C4644" s="85">
        <v>9</v>
      </c>
      <c r="D4644" s="85" t="s">
        <v>73</v>
      </c>
      <c r="E4644" s="85">
        <v>12</v>
      </c>
      <c r="F4644" s="85">
        <v>6</v>
      </c>
      <c r="G4644" s="85">
        <f>--(F4644&lt;=Estimator!$B$7)</f>
        <v>0</v>
      </c>
      <c r="H4644" s="86">
        <f>SUMIFS('Climate Data'!$G$7:$G$366,'Climate Data'!$A$7:$A$366,Estimator!$B$4,'Climate Data'!$B$7:$B$366,C4644)</f>
        <v>0.20666666666666667</v>
      </c>
      <c r="I4644" s="87">
        <f>SUMIFS('Climate Data'!$H$7:$H$366,'Climate Data'!$A$7:$A$366,Estimator!$B$4,'Climate Data'!$B$7:$B$366,C4644)</f>
        <v>6.806451612903226</v>
      </c>
      <c r="J4644" s="86">
        <f>SUMIFS('Wind Proxy'!$H$8:$H$19,'Wind Proxy'!$A$8:$A$19,Estimator!$B$4,'Wind Proxy'!$B$8:$B$19,C4644)</f>
        <v>0</v>
      </c>
    </row>
    <row r="4645" spans="1:10" ht="14.4">
      <c r="A4645" s="84">
        <v>50296</v>
      </c>
      <c r="B4645" s="85">
        <v>2037</v>
      </c>
      <c r="C4645" s="85">
        <v>9</v>
      </c>
      <c r="D4645" s="85" t="s">
        <v>73</v>
      </c>
      <c r="E4645" s="85">
        <v>13</v>
      </c>
      <c r="F4645" s="85">
        <v>7</v>
      </c>
      <c r="G4645" s="85">
        <f>--(F4645&lt;=Estimator!$B$7)</f>
        <v>0</v>
      </c>
      <c r="H4645" s="86">
        <f>SUMIFS('Climate Data'!$G$7:$G$366,'Climate Data'!$A$7:$A$366,Estimator!$B$4,'Climate Data'!$B$7:$B$366,C4645)</f>
        <v>0.20666666666666667</v>
      </c>
      <c r="I4645" s="87">
        <f>SUMIFS('Climate Data'!$H$7:$H$366,'Climate Data'!$A$7:$A$366,Estimator!$B$4,'Climate Data'!$B$7:$B$366,C4645)</f>
        <v>6.806451612903226</v>
      </c>
      <c r="J4645" s="86">
        <f>SUMIFS('Wind Proxy'!$H$8:$H$19,'Wind Proxy'!$A$8:$A$19,Estimator!$B$4,'Wind Proxy'!$B$8:$B$19,C4645)</f>
        <v>0</v>
      </c>
    </row>
    <row r="4646" spans="1:10" ht="14.4">
      <c r="A4646" s="84">
        <v>50297</v>
      </c>
      <c r="B4646" s="85">
        <v>2037</v>
      </c>
      <c r="C4646" s="85">
        <v>9</v>
      </c>
      <c r="D4646" s="85" t="s">
        <v>73</v>
      </c>
      <c r="E4646" s="85">
        <v>14</v>
      </c>
      <c r="F4646" s="85">
        <v>1</v>
      </c>
      <c r="G4646" s="85">
        <f>--(F4646&lt;=Estimator!$B$7)</f>
        <v>1</v>
      </c>
      <c r="H4646" s="86">
        <f>SUMIFS('Climate Data'!$G$7:$G$366,'Climate Data'!$A$7:$A$366,Estimator!$B$4,'Climate Data'!$B$7:$B$366,C4646)</f>
        <v>0.20666666666666667</v>
      </c>
      <c r="I4646" s="87">
        <f>SUMIFS('Climate Data'!$H$7:$H$366,'Climate Data'!$A$7:$A$366,Estimator!$B$4,'Climate Data'!$B$7:$B$366,C4646)</f>
        <v>6.806451612903226</v>
      </c>
      <c r="J4646" s="86">
        <f>SUMIFS('Wind Proxy'!$H$8:$H$19,'Wind Proxy'!$A$8:$A$19,Estimator!$B$4,'Wind Proxy'!$B$8:$B$19,C4646)</f>
        <v>0</v>
      </c>
    </row>
    <row r="4647" spans="1:10" ht="14.4">
      <c r="A4647" s="84">
        <v>50298</v>
      </c>
      <c r="B4647" s="85">
        <v>2037</v>
      </c>
      <c r="C4647" s="85">
        <v>9</v>
      </c>
      <c r="D4647" s="85" t="s">
        <v>73</v>
      </c>
      <c r="E4647" s="85">
        <v>15</v>
      </c>
      <c r="F4647" s="85">
        <v>2</v>
      </c>
      <c r="G4647" s="85">
        <f>--(F4647&lt;=Estimator!$B$7)</f>
        <v>1</v>
      </c>
      <c r="H4647" s="86">
        <f>SUMIFS('Climate Data'!$G$7:$G$366,'Climate Data'!$A$7:$A$366,Estimator!$B$4,'Climate Data'!$B$7:$B$366,C4647)</f>
        <v>0.20666666666666667</v>
      </c>
      <c r="I4647" s="87">
        <f>SUMIFS('Climate Data'!$H$7:$H$366,'Climate Data'!$A$7:$A$366,Estimator!$B$4,'Climate Data'!$B$7:$B$366,C4647)</f>
        <v>6.806451612903226</v>
      </c>
      <c r="J4647" s="86">
        <f>SUMIFS('Wind Proxy'!$H$8:$H$19,'Wind Proxy'!$A$8:$A$19,Estimator!$B$4,'Wind Proxy'!$B$8:$B$19,C4647)</f>
        <v>0</v>
      </c>
    </row>
    <row r="4648" spans="1:10" ht="14.4">
      <c r="A4648" s="84">
        <v>50299</v>
      </c>
      <c r="B4648" s="85">
        <v>2037</v>
      </c>
      <c r="C4648" s="85">
        <v>9</v>
      </c>
      <c r="D4648" s="85" t="s">
        <v>73</v>
      </c>
      <c r="E4648" s="85">
        <v>16</v>
      </c>
      <c r="F4648" s="85">
        <v>3</v>
      </c>
      <c r="G4648" s="85">
        <f>--(F4648&lt;=Estimator!$B$7)</f>
        <v>1</v>
      </c>
      <c r="H4648" s="86">
        <f>SUMIFS('Climate Data'!$G$7:$G$366,'Climate Data'!$A$7:$A$366,Estimator!$B$4,'Climate Data'!$B$7:$B$366,C4648)</f>
        <v>0.20666666666666667</v>
      </c>
      <c r="I4648" s="87">
        <f>SUMIFS('Climate Data'!$H$7:$H$366,'Climate Data'!$A$7:$A$366,Estimator!$B$4,'Climate Data'!$B$7:$B$366,C4648)</f>
        <v>6.806451612903226</v>
      </c>
      <c r="J4648" s="86">
        <f>SUMIFS('Wind Proxy'!$H$8:$H$19,'Wind Proxy'!$A$8:$A$19,Estimator!$B$4,'Wind Proxy'!$B$8:$B$19,C4648)</f>
        <v>0</v>
      </c>
    </row>
    <row r="4649" spans="1:10" ht="14.4">
      <c r="A4649" s="84">
        <v>50300</v>
      </c>
      <c r="B4649" s="85">
        <v>2037</v>
      </c>
      <c r="C4649" s="85">
        <v>9</v>
      </c>
      <c r="D4649" s="85" t="s">
        <v>73</v>
      </c>
      <c r="E4649" s="85">
        <v>17</v>
      </c>
      <c r="F4649" s="85">
        <v>4</v>
      </c>
      <c r="G4649" s="85">
        <f>--(F4649&lt;=Estimator!$B$7)</f>
        <v>1</v>
      </c>
      <c r="H4649" s="86">
        <f>SUMIFS('Climate Data'!$G$7:$G$366,'Climate Data'!$A$7:$A$366,Estimator!$B$4,'Climate Data'!$B$7:$B$366,C4649)</f>
        <v>0.20666666666666667</v>
      </c>
      <c r="I4649" s="87">
        <f>SUMIFS('Climate Data'!$H$7:$H$366,'Climate Data'!$A$7:$A$366,Estimator!$B$4,'Climate Data'!$B$7:$B$366,C4649)</f>
        <v>6.806451612903226</v>
      </c>
      <c r="J4649" s="86">
        <f>SUMIFS('Wind Proxy'!$H$8:$H$19,'Wind Proxy'!$A$8:$A$19,Estimator!$B$4,'Wind Proxy'!$B$8:$B$19,C4649)</f>
        <v>0</v>
      </c>
    </row>
    <row r="4650" spans="1:10" ht="14.4">
      <c r="A4650" s="84">
        <v>50301</v>
      </c>
      <c r="B4650" s="85">
        <v>2037</v>
      </c>
      <c r="C4650" s="85">
        <v>9</v>
      </c>
      <c r="D4650" s="85" t="s">
        <v>73</v>
      </c>
      <c r="E4650" s="85">
        <v>18</v>
      </c>
      <c r="F4650" s="85">
        <v>5</v>
      </c>
      <c r="G4650" s="85">
        <f>--(F4650&lt;=Estimator!$B$7)</f>
        <v>1</v>
      </c>
      <c r="H4650" s="86">
        <f>SUMIFS('Climate Data'!$G$7:$G$366,'Climate Data'!$A$7:$A$366,Estimator!$B$4,'Climate Data'!$B$7:$B$366,C4650)</f>
        <v>0.20666666666666667</v>
      </c>
      <c r="I4650" s="87">
        <f>SUMIFS('Climate Data'!$H$7:$H$366,'Climate Data'!$A$7:$A$366,Estimator!$B$4,'Climate Data'!$B$7:$B$366,C4650)</f>
        <v>6.806451612903226</v>
      </c>
      <c r="J4650" s="86">
        <f>SUMIFS('Wind Proxy'!$H$8:$H$19,'Wind Proxy'!$A$8:$A$19,Estimator!$B$4,'Wind Proxy'!$B$8:$B$19,C4650)</f>
        <v>0</v>
      </c>
    </row>
    <row r="4651" spans="1:10" ht="14.4">
      <c r="A4651" s="84">
        <v>50302</v>
      </c>
      <c r="B4651" s="85">
        <v>2037</v>
      </c>
      <c r="C4651" s="85">
        <v>9</v>
      </c>
      <c r="D4651" s="85" t="s">
        <v>73</v>
      </c>
      <c r="E4651" s="85">
        <v>19</v>
      </c>
      <c r="F4651" s="85">
        <v>6</v>
      </c>
      <c r="G4651" s="85">
        <f>--(F4651&lt;=Estimator!$B$7)</f>
        <v>0</v>
      </c>
      <c r="H4651" s="86">
        <f>SUMIFS('Climate Data'!$G$7:$G$366,'Climate Data'!$A$7:$A$366,Estimator!$B$4,'Climate Data'!$B$7:$B$366,C4651)</f>
        <v>0.20666666666666667</v>
      </c>
      <c r="I4651" s="87">
        <f>SUMIFS('Climate Data'!$H$7:$H$366,'Climate Data'!$A$7:$A$366,Estimator!$B$4,'Climate Data'!$B$7:$B$366,C4651)</f>
        <v>6.806451612903226</v>
      </c>
      <c r="J4651" s="86">
        <f>SUMIFS('Wind Proxy'!$H$8:$H$19,'Wind Proxy'!$A$8:$A$19,Estimator!$B$4,'Wind Proxy'!$B$8:$B$19,C4651)</f>
        <v>0</v>
      </c>
    </row>
    <row r="4652" spans="1:10" ht="14.4">
      <c r="A4652" s="84">
        <v>50303</v>
      </c>
      <c r="B4652" s="85">
        <v>2037</v>
      </c>
      <c r="C4652" s="85">
        <v>9</v>
      </c>
      <c r="D4652" s="85" t="s">
        <v>73</v>
      </c>
      <c r="E4652" s="85">
        <v>20</v>
      </c>
      <c r="F4652" s="85">
        <v>7</v>
      </c>
      <c r="G4652" s="85">
        <f>--(F4652&lt;=Estimator!$B$7)</f>
        <v>0</v>
      </c>
      <c r="H4652" s="86">
        <f>SUMIFS('Climate Data'!$G$7:$G$366,'Climate Data'!$A$7:$A$366,Estimator!$B$4,'Climate Data'!$B$7:$B$366,C4652)</f>
        <v>0.20666666666666667</v>
      </c>
      <c r="I4652" s="87">
        <f>SUMIFS('Climate Data'!$H$7:$H$366,'Climate Data'!$A$7:$A$366,Estimator!$B$4,'Climate Data'!$B$7:$B$366,C4652)</f>
        <v>6.806451612903226</v>
      </c>
      <c r="J4652" s="86">
        <f>SUMIFS('Wind Proxy'!$H$8:$H$19,'Wind Proxy'!$A$8:$A$19,Estimator!$B$4,'Wind Proxy'!$B$8:$B$19,C4652)</f>
        <v>0</v>
      </c>
    </row>
    <row r="4653" spans="1:10" ht="14.4">
      <c r="A4653" s="84">
        <v>50304</v>
      </c>
      <c r="B4653" s="85">
        <v>2037</v>
      </c>
      <c r="C4653" s="85">
        <v>9</v>
      </c>
      <c r="D4653" s="85" t="s">
        <v>73</v>
      </c>
      <c r="E4653" s="85">
        <v>21</v>
      </c>
      <c r="F4653" s="85">
        <v>1</v>
      </c>
      <c r="G4653" s="85">
        <f>--(F4653&lt;=Estimator!$B$7)</f>
        <v>1</v>
      </c>
      <c r="H4653" s="86">
        <f>SUMIFS('Climate Data'!$G$7:$G$366,'Climate Data'!$A$7:$A$366,Estimator!$B$4,'Climate Data'!$B$7:$B$366,C4653)</f>
        <v>0.20666666666666667</v>
      </c>
      <c r="I4653" s="87">
        <f>SUMIFS('Climate Data'!$H$7:$H$366,'Climate Data'!$A$7:$A$366,Estimator!$B$4,'Climate Data'!$B$7:$B$366,C4653)</f>
        <v>6.806451612903226</v>
      </c>
      <c r="J4653" s="86">
        <f>SUMIFS('Wind Proxy'!$H$8:$H$19,'Wind Proxy'!$A$8:$A$19,Estimator!$B$4,'Wind Proxy'!$B$8:$B$19,C4653)</f>
        <v>0</v>
      </c>
    </row>
    <row r="4654" spans="1:10" ht="14.4">
      <c r="A4654" s="84">
        <v>50305</v>
      </c>
      <c r="B4654" s="85">
        <v>2037</v>
      </c>
      <c r="C4654" s="85">
        <v>9</v>
      </c>
      <c r="D4654" s="85" t="s">
        <v>73</v>
      </c>
      <c r="E4654" s="85">
        <v>22</v>
      </c>
      <c r="F4654" s="85">
        <v>2</v>
      </c>
      <c r="G4654" s="85">
        <f>--(F4654&lt;=Estimator!$B$7)</f>
        <v>1</v>
      </c>
      <c r="H4654" s="86">
        <f>SUMIFS('Climate Data'!$G$7:$G$366,'Climate Data'!$A$7:$A$366,Estimator!$B$4,'Climate Data'!$B$7:$B$366,C4654)</f>
        <v>0.20666666666666667</v>
      </c>
      <c r="I4654" s="87">
        <f>SUMIFS('Climate Data'!$H$7:$H$366,'Climate Data'!$A$7:$A$366,Estimator!$B$4,'Climate Data'!$B$7:$B$366,C4654)</f>
        <v>6.806451612903226</v>
      </c>
      <c r="J4654" s="86">
        <f>SUMIFS('Wind Proxy'!$H$8:$H$19,'Wind Proxy'!$A$8:$A$19,Estimator!$B$4,'Wind Proxy'!$B$8:$B$19,C4654)</f>
        <v>0</v>
      </c>
    </row>
    <row r="4655" spans="1:10" ht="14.4">
      <c r="A4655" s="84">
        <v>50306</v>
      </c>
      <c r="B4655" s="85">
        <v>2037</v>
      </c>
      <c r="C4655" s="85">
        <v>9</v>
      </c>
      <c r="D4655" s="85" t="s">
        <v>73</v>
      </c>
      <c r="E4655" s="85">
        <v>23</v>
      </c>
      <c r="F4655" s="85">
        <v>3</v>
      </c>
      <c r="G4655" s="85">
        <f>--(F4655&lt;=Estimator!$B$7)</f>
        <v>1</v>
      </c>
      <c r="H4655" s="86">
        <f>SUMIFS('Climate Data'!$G$7:$G$366,'Climate Data'!$A$7:$A$366,Estimator!$B$4,'Climate Data'!$B$7:$B$366,C4655)</f>
        <v>0.20666666666666667</v>
      </c>
      <c r="I4655" s="87">
        <f>SUMIFS('Climate Data'!$H$7:$H$366,'Climate Data'!$A$7:$A$366,Estimator!$B$4,'Climate Data'!$B$7:$B$366,C4655)</f>
        <v>6.806451612903226</v>
      </c>
      <c r="J4655" s="86">
        <f>SUMIFS('Wind Proxy'!$H$8:$H$19,'Wind Proxy'!$A$8:$A$19,Estimator!$B$4,'Wind Proxy'!$B$8:$B$19,C4655)</f>
        <v>0</v>
      </c>
    </row>
    <row r="4656" spans="1:10" ht="14.4">
      <c r="A4656" s="84">
        <v>50307</v>
      </c>
      <c r="B4656" s="85">
        <v>2037</v>
      </c>
      <c r="C4656" s="85">
        <v>9</v>
      </c>
      <c r="D4656" s="85" t="s">
        <v>73</v>
      </c>
      <c r="E4656" s="85">
        <v>24</v>
      </c>
      <c r="F4656" s="85">
        <v>4</v>
      </c>
      <c r="G4656" s="85">
        <f>--(F4656&lt;=Estimator!$B$7)</f>
        <v>1</v>
      </c>
      <c r="H4656" s="86">
        <f>SUMIFS('Climate Data'!$G$7:$G$366,'Climate Data'!$A$7:$A$366,Estimator!$B$4,'Climate Data'!$B$7:$B$366,C4656)</f>
        <v>0.20666666666666667</v>
      </c>
      <c r="I4656" s="87">
        <f>SUMIFS('Climate Data'!$H$7:$H$366,'Climate Data'!$A$7:$A$366,Estimator!$B$4,'Climate Data'!$B$7:$B$366,C4656)</f>
        <v>6.806451612903226</v>
      </c>
      <c r="J4656" s="86">
        <f>SUMIFS('Wind Proxy'!$H$8:$H$19,'Wind Proxy'!$A$8:$A$19,Estimator!$B$4,'Wind Proxy'!$B$8:$B$19,C4656)</f>
        <v>0</v>
      </c>
    </row>
    <row r="4657" spans="1:10" ht="14.4">
      <c r="A4657" s="84">
        <v>50308</v>
      </c>
      <c r="B4657" s="85">
        <v>2037</v>
      </c>
      <c r="C4657" s="85">
        <v>9</v>
      </c>
      <c r="D4657" s="85" t="s">
        <v>73</v>
      </c>
      <c r="E4657" s="85">
        <v>25</v>
      </c>
      <c r="F4657" s="85">
        <v>5</v>
      </c>
      <c r="G4657" s="85">
        <f>--(F4657&lt;=Estimator!$B$7)</f>
        <v>1</v>
      </c>
      <c r="H4657" s="86">
        <f>SUMIFS('Climate Data'!$G$7:$G$366,'Climate Data'!$A$7:$A$366,Estimator!$B$4,'Climate Data'!$B$7:$B$366,C4657)</f>
        <v>0.20666666666666667</v>
      </c>
      <c r="I4657" s="87">
        <f>SUMIFS('Climate Data'!$H$7:$H$366,'Climate Data'!$A$7:$A$366,Estimator!$B$4,'Climate Data'!$B$7:$B$366,C4657)</f>
        <v>6.806451612903226</v>
      </c>
      <c r="J4657" s="86">
        <f>SUMIFS('Wind Proxy'!$H$8:$H$19,'Wind Proxy'!$A$8:$A$19,Estimator!$B$4,'Wind Proxy'!$B$8:$B$19,C4657)</f>
        <v>0</v>
      </c>
    </row>
    <row r="4658" spans="1:10" ht="14.4">
      <c r="A4658" s="84">
        <v>50309</v>
      </c>
      <c r="B4658" s="85">
        <v>2037</v>
      </c>
      <c r="C4658" s="85">
        <v>9</v>
      </c>
      <c r="D4658" s="85" t="s">
        <v>73</v>
      </c>
      <c r="E4658" s="85">
        <v>26</v>
      </c>
      <c r="F4658" s="85">
        <v>6</v>
      </c>
      <c r="G4658" s="85">
        <f>--(F4658&lt;=Estimator!$B$7)</f>
        <v>0</v>
      </c>
      <c r="H4658" s="86">
        <f>SUMIFS('Climate Data'!$G$7:$G$366,'Climate Data'!$A$7:$A$366,Estimator!$B$4,'Climate Data'!$B$7:$B$366,C4658)</f>
        <v>0.20666666666666667</v>
      </c>
      <c r="I4658" s="87">
        <f>SUMIFS('Climate Data'!$H$7:$H$366,'Climate Data'!$A$7:$A$366,Estimator!$B$4,'Climate Data'!$B$7:$B$366,C4658)</f>
        <v>6.806451612903226</v>
      </c>
      <c r="J4658" s="86">
        <f>SUMIFS('Wind Proxy'!$H$8:$H$19,'Wind Proxy'!$A$8:$A$19,Estimator!$B$4,'Wind Proxy'!$B$8:$B$19,C4658)</f>
        <v>0</v>
      </c>
    </row>
    <row r="4659" spans="1:10" ht="14.4">
      <c r="A4659" s="84">
        <v>50310</v>
      </c>
      <c r="B4659" s="85">
        <v>2037</v>
      </c>
      <c r="C4659" s="85">
        <v>9</v>
      </c>
      <c r="D4659" s="85" t="s">
        <v>73</v>
      </c>
      <c r="E4659" s="85">
        <v>27</v>
      </c>
      <c r="F4659" s="85">
        <v>7</v>
      </c>
      <c r="G4659" s="85">
        <f>--(F4659&lt;=Estimator!$B$7)</f>
        <v>0</v>
      </c>
      <c r="H4659" s="86">
        <f>SUMIFS('Climate Data'!$G$7:$G$366,'Climate Data'!$A$7:$A$366,Estimator!$B$4,'Climate Data'!$B$7:$B$366,C4659)</f>
        <v>0.20666666666666667</v>
      </c>
      <c r="I4659" s="87">
        <f>SUMIFS('Climate Data'!$H$7:$H$366,'Climate Data'!$A$7:$A$366,Estimator!$B$4,'Climate Data'!$B$7:$B$366,C4659)</f>
        <v>6.806451612903226</v>
      </c>
      <c r="J4659" s="86">
        <f>SUMIFS('Wind Proxy'!$H$8:$H$19,'Wind Proxy'!$A$8:$A$19,Estimator!$B$4,'Wind Proxy'!$B$8:$B$19,C4659)</f>
        <v>0</v>
      </c>
    </row>
    <row r="4660" spans="1:10" ht="14.4">
      <c r="A4660" s="84">
        <v>50311</v>
      </c>
      <c r="B4660" s="85">
        <v>2037</v>
      </c>
      <c r="C4660" s="85">
        <v>9</v>
      </c>
      <c r="D4660" s="85" t="s">
        <v>73</v>
      </c>
      <c r="E4660" s="85">
        <v>28</v>
      </c>
      <c r="F4660" s="85">
        <v>1</v>
      </c>
      <c r="G4660" s="85">
        <f>--(F4660&lt;=Estimator!$B$7)</f>
        <v>1</v>
      </c>
      <c r="H4660" s="86">
        <f>SUMIFS('Climate Data'!$G$7:$G$366,'Climate Data'!$A$7:$A$366,Estimator!$B$4,'Climate Data'!$B$7:$B$366,C4660)</f>
        <v>0.20666666666666667</v>
      </c>
      <c r="I4660" s="87">
        <f>SUMIFS('Climate Data'!$H$7:$H$366,'Climate Data'!$A$7:$A$366,Estimator!$B$4,'Climate Data'!$B$7:$B$366,C4660)</f>
        <v>6.806451612903226</v>
      </c>
      <c r="J4660" s="86">
        <f>SUMIFS('Wind Proxy'!$H$8:$H$19,'Wind Proxy'!$A$8:$A$19,Estimator!$B$4,'Wind Proxy'!$B$8:$B$19,C4660)</f>
        <v>0</v>
      </c>
    </row>
    <row r="4661" spans="1:10" ht="14.4">
      <c r="A4661" s="84">
        <v>50312</v>
      </c>
      <c r="B4661" s="85">
        <v>2037</v>
      </c>
      <c r="C4661" s="85">
        <v>9</v>
      </c>
      <c r="D4661" s="85" t="s">
        <v>73</v>
      </c>
      <c r="E4661" s="85">
        <v>29</v>
      </c>
      <c r="F4661" s="85">
        <v>2</v>
      </c>
      <c r="G4661" s="85">
        <f>--(F4661&lt;=Estimator!$B$7)</f>
        <v>1</v>
      </c>
      <c r="H4661" s="86">
        <f>SUMIFS('Climate Data'!$G$7:$G$366,'Climate Data'!$A$7:$A$366,Estimator!$B$4,'Climate Data'!$B$7:$B$366,C4661)</f>
        <v>0.20666666666666667</v>
      </c>
      <c r="I4661" s="87">
        <f>SUMIFS('Climate Data'!$H$7:$H$366,'Climate Data'!$A$7:$A$366,Estimator!$B$4,'Climate Data'!$B$7:$B$366,C4661)</f>
        <v>6.806451612903226</v>
      </c>
      <c r="J4661" s="86">
        <f>SUMIFS('Wind Proxy'!$H$8:$H$19,'Wind Proxy'!$A$8:$A$19,Estimator!$B$4,'Wind Proxy'!$B$8:$B$19,C4661)</f>
        <v>0</v>
      </c>
    </row>
    <row r="4662" spans="1:10" ht="14.4">
      <c r="A4662" s="84">
        <v>50313</v>
      </c>
      <c r="B4662" s="85">
        <v>2037</v>
      </c>
      <c r="C4662" s="85">
        <v>9</v>
      </c>
      <c r="D4662" s="85" t="s">
        <v>73</v>
      </c>
      <c r="E4662" s="85">
        <v>30</v>
      </c>
      <c r="F4662" s="85">
        <v>3</v>
      </c>
      <c r="G4662" s="85">
        <f>--(F4662&lt;=Estimator!$B$7)</f>
        <v>1</v>
      </c>
      <c r="H4662" s="86">
        <f>SUMIFS('Climate Data'!$G$7:$G$366,'Climate Data'!$A$7:$A$366,Estimator!$B$4,'Climate Data'!$B$7:$B$366,C4662)</f>
        <v>0.20666666666666667</v>
      </c>
      <c r="I4662" s="87">
        <f>SUMIFS('Climate Data'!$H$7:$H$366,'Climate Data'!$A$7:$A$366,Estimator!$B$4,'Climate Data'!$B$7:$B$366,C4662)</f>
        <v>6.806451612903226</v>
      </c>
      <c r="J4662" s="86">
        <f>SUMIFS('Wind Proxy'!$H$8:$H$19,'Wind Proxy'!$A$8:$A$19,Estimator!$B$4,'Wind Proxy'!$B$8:$B$19,C4662)</f>
        <v>0</v>
      </c>
    </row>
    <row r="4663" spans="1:10" ht="14.4">
      <c r="A4663" s="84">
        <v>50314</v>
      </c>
      <c r="B4663" s="85">
        <v>2037</v>
      </c>
      <c r="C4663" s="85">
        <v>10</v>
      </c>
      <c r="D4663" s="85" t="s">
        <v>75</v>
      </c>
      <c r="E4663" s="85">
        <v>1</v>
      </c>
      <c r="F4663" s="85">
        <v>4</v>
      </c>
      <c r="G4663" s="85">
        <f>--(F4663&lt;=Estimator!$B$7)</f>
        <v>1</v>
      </c>
      <c r="H4663" s="86">
        <f>SUMIFS('Climate Data'!$G$7:$G$366,'Climate Data'!$A$7:$A$366,Estimator!$B$4,'Climate Data'!$B$7:$B$366,C4663)</f>
        <v>0.23225806451612904</v>
      </c>
      <c r="I4663" s="87">
        <f>SUMIFS('Climate Data'!$H$7:$H$366,'Climate Data'!$A$7:$A$366,Estimator!$B$4,'Climate Data'!$B$7:$B$366,C4663)</f>
        <v>6.8194444444444446</v>
      </c>
      <c r="J4663" s="86">
        <f>SUMIFS('Wind Proxy'!$H$8:$H$19,'Wind Proxy'!$A$8:$A$19,Estimator!$B$4,'Wind Proxy'!$B$8:$B$19,C4663)</f>
        <v>0</v>
      </c>
    </row>
    <row r="4664" spans="1:10" ht="14.4">
      <c r="A4664" s="84">
        <v>50315</v>
      </c>
      <c r="B4664" s="85">
        <v>2037</v>
      </c>
      <c r="C4664" s="85">
        <v>10</v>
      </c>
      <c r="D4664" s="85" t="s">
        <v>75</v>
      </c>
      <c r="E4664" s="85">
        <v>2</v>
      </c>
      <c r="F4664" s="85">
        <v>5</v>
      </c>
      <c r="G4664" s="85">
        <f>--(F4664&lt;=Estimator!$B$7)</f>
        <v>1</v>
      </c>
      <c r="H4664" s="86">
        <f>SUMIFS('Climate Data'!$G$7:$G$366,'Climate Data'!$A$7:$A$366,Estimator!$B$4,'Climate Data'!$B$7:$B$366,C4664)</f>
        <v>0.23225806451612904</v>
      </c>
      <c r="I4664" s="87">
        <f>SUMIFS('Climate Data'!$H$7:$H$366,'Climate Data'!$A$7:$A$366,Estimator!$B$4,'Climate Data'!$B$7:$B$366,C4664)</f>
        <v>6.8194444444444446</v>
      </c>
      <c r="J4664" s="86">
        <f>SUMIFS('Wind Proxy'!$H$8:$H$19,'Wind Proxy'!$A$8:$A$19,Estimator!$B$4,'Wind Proxy'!$B$8:$B$19,C4664)</f>
        <v>0</v>
      </c>
    </row>
    <row r="4665" spans="1:10" ht="14.4">
      <c r="A4665" s="84">
        <v>50316</v>
      </c>
      <c r="B4665" s="85">
        <v>2037</v>
      </c>
      <c r="C4665" s="85">
        <v>10</v>
      </c>
      <c r="D4665" s="85" t="s">
        <v>75</v>
      </c>
      <c r="E4665" s="85">
        <v>3</v>
      </c>
      <c r="F4665" s="85">
        <v>6</v>
      </c>
      <c r="G4665" s="85">
        <f>--(F4665&lt;=Estimator!$B$7)</f>
        <v>0</v>
      </c>
      <c r="H4665" s="86">
        <f>SUMIFS('Climate Data'!$G$7:$G$366,'Climate Data'!$A$7:$A$366,Estimator!$B$4,'Climate Data'!$B$7:$B$366,C4665)</f>
        <v>0.23225806451612904</v>
      </c>
      <c r="I4665" s="87">
        <f>SUMIFS('Climate Data'!$H$7:$H$366,'Climate Data'!$A$7:$A$366,Estimator!$B$4,'Climate Data'!$B$7:$B$366,C4665)</f>
        <v>6.8194444444444446</v>
      </c>
      <c r="J4665" s="86">
        <f>SUMIFS('Wind Proxy'!$H$8:$H$19,'Wind Proxy'!$A$8:$A$19,Estimator!$B$4,'Wind Proxy'!$B$8:$B$19,C4665)</f>
        <v>0</v>
      </c>
    </row>
    <row r="4666" spans="1:10" ht="14.4">
      <c r="A4666" s="84">
        <v>50317</v>
      </c>
      <c r="B4666" s="85">
        <v>2037</v>
      </c>
      <c r="C4666" s="85">
        <v>10</v>
      </c>
      <c r="D4666" s="85" t="s">
        <v>75</v>
      </c>
      <c r="E4666" s="85">
        <v>4</v>
      </c>
      <c r="F4666" s="85">
        <v>7</v>
      </c>
      <c r="G4666" s="85">
        <f>--(F4666&lt;=Estimator!$B$7)</f>
        <v>0</v>
      </c>
      <c r="H4666" s="86">
        <f>SUMIFS('Climate Data'!$G$7:$G$366,'Climate Data'!$A$7:$A$366,Estimator!$B$4,'Climate Data'!$B$7:$B$366,C4666)</f>
        <v>0.23225806451612904</v>
      </c>
      <c r="I4666" s="87">
        <f>SUMIFS('Climate Data'!$H$7:$H$366,'Climate Data'!$A$7:$A$366,Estimator!$B$4,'Climate Data'!$B$7:$B$366,C4666)</f>
        <v>6.8194444444444446</v>
      </c>
      <c r="J4666" s="86">
        <f>SUMIFS('Wind Proxy'!$H$8:$H$19,'Wind Proxy'!$A$8:$A$19,Estimator!$B$4,'Wind Proxy'!$B$8:$B$19,C4666)</f>
        <v>0</v>
      </c>
    </row>
    <row r="4667" spans="1:10" ht="14.4">
      <c r="A4667" s="84">
        <v>50318</v>
      </c>
      <c r="B4667" s="85">
        <v>2037</v>
      </c>
      <c r="C4667" s="85">
        <v>10</v>
      </c>
      <c r="D4667" s="85" t="s">
        <v>75</v>
      </c>
      <c r="E4667" s="85">
        <v>5</v>
      </c>
      <c r="F4667" s="85">
        <v>1</v>
      </c>
      <c r="G4667" s="85">
        <f>--(F4667&lt;=Estimator!$B$7)</f>
        <v>1</v>
      </c>
      <c r="H4667" s="86">
        <f>SUMIFS('Climate Data'!$G$7:$G$366,'Climate Data'!$A$7:$A$366,Estimator!$B$4,'Climate Data'!$B$7:$B$366,C4667)</f>
        <v>0.23225806451612904</v>
      </c>
      <c r="I4667" s="87">
        <f>SUMIFS('Climate Data'!$H$7:$H$366,'Climate Data'!$A$7:$A$366,Estimator!$B$4,'Climate Data'!$B$7:$B$366,C4667)</f>
        <v>6.8194444444444446</v>
      </c>
      <c r="J4667" s="86">
        <f>SUMIFS('Wind Proxy'!$H$8:$H$19,'Wind Proxy'!$A$8:$A$19,Estimator!$B$4,'Wind Proxy'!$B$8:$B$19,C4667)</f>
        <v>0</v>
      </c>
    </row>
    <row r="4668" spans="1:10" ht="14.4">
      <c r="A4668" s="84">
        <v>50319</v>
      </c>
      <c r="B4668" s="85">
        <v>2037</v>
      </c>
      <c r="C4668" s="85">
        <v>10</v>
      </c>
      <c r="D4668" s="85" t="s">
        <v>75</v>
      </c>
      <c r="E4668" s="85">
        <v>6</v>
      </c>
      <c r="F4668" s="85">
        <v>2</v>
      </c>
      <c r="G4668" s="85">
        <f>--(F4668&lt;=Estimator!$B$7)</f>
        <v>1</v>
      </c>
      <c r="H4668" s="86">
        <f>SUMIFS('Climate Data'!$G$7:$G$366,'Climate Data'!$A$7:$A$366,Estimator!$B$4,'Climate Data'!$B$7:$B$366,C4668)</f>
        <v>0.23225806451612904</v>
      </c>
      <c r="I4668" s="87">
        <f>SUMIFS('Climate Data'!$H$7:$H$366,'Climate Data'!$A$7:$A$366,Estimator!$B$4,'Climate Data'!$B$7:$B$366,C4668)</f>
        <v>6.8194444444444446</v>
      </c>
      <c r="J4668" s="86">
        <f>SUMIFS('Wind Proxy'!$H$8:$H$19,'Wind Proxy'!$A$8:$A$19,Estimator!$B$4,'Wind Proxy'!$B$8:$B$19,C4668)</f>
        <v>0</v>
      </c>
    </row>
    <row r="4669" spans="1:10" ht="14.4">
      <c r="A4669" s="84">
        <v>50320</v>
      </c>
      <c r="B4669" s="85">
        <v>2037</v>
      </c>
      <c r="C4669" s="85">
        <v>10</v>
      </c>
      <c r="D4669" s="85" t="s">
        <v>75</v>
      </c>
      <c r="E4669" s="85">
        <v>7</v>
      </c>
      <c r="F4669" s="85">
        <v>3</v>
      </c>
      <c r="G4669" s="85">
        <f>--(F4669&lt;=Estimator!$B$7)</f>
        <v>1</v>
      </c>
      <c r="H4669" s="86">
        <f>SUMIFS('Climate Data'!$G$7:$G$366,'Climate Data'!$A$7:$A$366,Estimator!$B$4,'Climate Data'!$B$7:$B$366,C4669)</f>
        <v>0.23225806451612904</v>
      </c>
      <c r="I4669" s="87">
        <f>SUMIFS('Climate Data'!$H$7:$H$366,'Climate Data'!$A$7:$A$366,Estimator!$B$4,'Climate Data'!$B$7:$B$366,C4669)</f>
        <v>6.8194444444444446</v>
      </c>
      <c r="J4669" s="86">
        <f>SUMIFS('Wind Proxy'!$H$8:$H$19,'Wind Proxy'!$A$8:$A$19,Estimator!$B$4,'Wind Proxy'!$B$8:$B$19,C4669)</f>
        <v>0</v>
      </c>
    </row>
    <row r="4670" spans="1:10" ht="14.4">
      <c r="A4670" s="84">
        <v>50321</v>
      </c>
      <c r="B4670" s="85">
        <v>2037</v>
      </c>
      <c r="C4670" s="85">
        <v>10</v>
      </c>
      <c r="D4670" s="85" t="s">
        <v>75</v>
      </c>
      <c r="E4670" s="85">
        <v>8</v>
      </c>
      <c r="F4670" s="85">
        <v>4</v>
      </c>
      <c r="G4670" s="85">
        <f>--(F4670&lt;=Estimator!$B$7)</f>
        <v>1</v>
      </c>
      <c r="H4670" s="86">
        <f>SUMIFS('Climate Data'!$G$7:$G$366,'Climate Data'!$A$7:$A$366,Estimator!$B$4,'Climate Data'!$B$7:$B$366,C4670)</f>
        <v>0.23225806451612904</v>
      </c>
      <c r="I4670" s="87">
        <f>SUMIFS('Climate Data'!$H$7:$H$366,'Climate Data'!$A$7:$A$366,Estimator!$B$4,'Climate Data'!$B$7:$B$366,C4670)</f>
        <v>6.8194444444444446</v>
      </c>
      <c r="J4670" s="86">
        <f>SUMIFS('Wind Proxy'!$H$8:$H$19,'Wind Proxy'!$A$8:$A$19,Estimator!$B$4,'Wind Proxy'!$B$8:$B$19,C4670)</f>
        <v>0</v>
      </c>
    </row>
    <row r="4671" spans="1:10" ht="14.4">
      <c r="A4671" s="84">
        <v>50322</v>
      </c>
      <c r="B4671" s="85">
        <v>2037</v>
      </c>
      <c r="C4671" s="85">
        <v>10</v>
      </c>
      <c r="D4671" s="85" t="s">
        <v>75</v>
      </c>
      <c r="E4671" s="85">
        <v>9</v>
      </c>
      <c r="F4671" s="85">
        <v>5</v>
      </c>
      <c r="G4671" s="85">
        <f>--(F4671&lt;=Estimator!$B$7)</f>
        <v>1</v>
      </c>
      <c r="H4671" s="86">
        <f>SUMIFS('Climate Data'!$G$7:$G$366,'Climate Data'!$A$7:$A$366,Estimator!$B$4,'Climate Data'!$B$7:$B$366,C4671)</f>
        <v>0.23225806451612904</v>
      </c>
      <c r="I4671" s="87">
        <f>SUMIFS('Climate Data'!$H$7:$H$366,'Climate Data'!$A$7:$A$366,Estimator!$B$4,'Climate Data'!$B$7:$B$366,C4671)</f>
        <v>6.8194444444444446</v>
      </c>
      <c r="J4671" s="86">
        <f>SUMIFS('Wind Proxy'!$H$8:$H$19,'Wind Proxy'!$A$8:$A$19,Estimator!$B$4,'Wind Proxy'!$B$8:$B$19,C4671)</f>
        <v>0</v>
      </c>
    </row>
    <row r="4672" spans="1:10" ht="14.4">
      <c r="A4672" s="84">
        <v>50323</v>
      </c>
      <c r="B4672" s="85">
        <v>2037</v>
      </c>
      <c r="C4672" s="85">
        <v>10</v>
      </c>
      <c r="D4672" s="85" t="s">
        <v>75</v>
      </c>
      <c r="E4672" s="85">
        <v>10</v>
      </c>
      <c r="F4672" s="85">
        <v>6</v>
      </c>
      <c r="G4672" s="85">
        <f>--(F4672&lt;=Estimator!$B$7)</f>
        <v>0</v>
      </c>
      <c r="H4672" s="86">
        <f>SUMIFS('Climate Data'!$G$7:$G$366,'Climate Data'!$A$7:$A$366,Estimator!$B$4,'Climate Data'!$B$7:$B$366,C4672)</f>
        <v>0.23225806451612904</v>
      </c>
      <c r="I4672" s="87">
        <f>SUMIFS('Climate Data'!$H$7:$H$366,'Climate Data'!$A$7:$A$366,Estimator!$B$4,'Climate Data'!$B$7:$B$366,C4672)</f>
        <v>6.8194444444444446</v>
      </c>
      <c r="J4672" s="86">
        <f>SUMIFS('Wind Proxy'!$H$8:$H$19,'Wind Proxy'!$A$8:$A$19,Estimator!$B$4,'Wind Proxy'!$B$8:$B$19,C4672)</f>
        <v>0</v>
      </c>
    </row>
    <row r="4673" spans="1:10" ht="14.4">
      <c r="A4673" s="84">
        <v>50324</v>
      </c>
      <c r="B4673" s="85">
        <v>2037</v>
      </c>
      <c r="C4673" s="85">
        <v>10</v>
      </c>
      <c r="D4673" s="85" t="s">
        <v>75</v>
      </c>
      <c r="E4673" s="85">
        <v>11</v>
      </c>
      <c r="F4673" s="85">
        <v>7</v>
      </c>
      <c r="G4673" s="85">
        <f>--(F4673&lt;=Estimator!$B$7)</f>
        <v>0</v>
      </c>
      <c r="H4673" s="86">
        <f>SUMIFS('Climate Data'!$G$7:$G$366,'Climate Data'!$A$7:$A$366,Estimator!$B$4,'Climate Data'!$B$7:$B$366,C4673)</f>
        <v>0.23225806451612904</v>
      </c>
      <c r="I4673" s="87">
        <f>SUMIFS('Climate Data'!$H$7:$H$366,'Climate Data'!$A$7:$A$366,Estimator!$B$4,'Climate Data'!$B$7:$B$366,C4673)</f>
        <v>6.8194444444444446</v>
      </c>
      <c r="J4673" s="86">
        <f>SUMIFS('Wind Proxy'!$H$8:$H$19,'Wind Proxy'!$A$8:$A$19,Estimator!$B$4,'Wind Proxy'!$B$8:$B$19,C4673)</f>
        <v>0</v>
      </c>
    </row>
    <row r="4674" spans="1:10" ht="14.4">
      <c r="A4674" s="84">
        <v>50325</v>
      </c>
      <c r="B4674" s="85">
        <v>2037</v>
      </c>
      <c r="C4674" s="85">
        <v>10</v>
      </c>
      <c r="D4674" s="85" t="s">
        <v>75</v>
      </c>
      <c r="E4674" s="85">
        <v>12</v>
      </c>
      <c r="F4674" s="85">
        <v>1</v>
      </c>
      <c r="G4674" s="85">
        <f>--(F4674&lt;=Estimator!$B$7)</f>
        <v>1</v>
      </c>
      <c r="H4674" s="86">
        <f>SUMIFS('Climate Data'!$G$7:$G$366,'Climate Data'!$A$7:$A$366,Estimator!$B$4,'Climate Data'!$B$7:$B$366,C4674)</f>
        <v>0.23225806451612904</v>
      </c>
      <c r="I4674" s="87">
        <f>SUMIFS('Climate Data'!$H$7:$H$366,'Climate Data'!$A$7:$A$366,Estimator!$B$4,'Climate Data'!$B$7:$B$366,C4674)</f>
        <v>6.8194444444444446</v>
      </c>
      <c r="J4674" s="86">
        <f>SUMIFS('Wind Proxy'!$H$8:$H$19,'Wind Proxy'!$A$8:$A$19,Estimator!$B$4,'Wind Proxy'!$B$8:$B$19,C4674)</f>
        <v>0</v>
      </c>
    </row>
    <row r="4675" spans="1:10" ht="14.4">
      <c r="A4675" s="84">
        <v>50326</v>
      </c>
      <c r="B4675" s="85">
        <v>2037</v>
      </c>
      <c r="C4675" s="85">
        <v>10</v>
      </c>
      <c r="D4675" s="85" t="s">
        <v>75</v>
      </c>
      <c r="E4675" s="85">
        <v>13</v>
      </c>
      <c r="F4675" s="85">
        <v>2</v>
      </c>
      <c r="G4675" s="85">
        <f>--(F4675&lt;=Estimator!$B$7)</f>
        <v>1</v>
      </c>
      <c r="H4675" s="86">
        <f>SUMIFS('Climate Data'!$G$7:$G$366,'Climate Data'!$A$7:$A$366,Estimator!$B$4,'Climate Data'!$B$7:$B$366,C4675)</f>
        <v>0.23225806451612904</v>
      </c>
      <c r="I4675" s="87">
        <f>SUMIFS('Climate Data'!$H$7:$H$366,'Climate Data'!$A$7:$A$366,Estimator!$B$4,'Climate Data'!$B$7:$B$366,C4675)</f>
        <v>6.8194444444444446</v>
      </c>
      <c r="J4675" s="86">
        <f>SUMIFS('Wind Proxy'!$H$8:$H$19,'Wind Proxy'!$A$8:$A$19,Estimator!$B$4,'Wind Proxy'!$B$8:$B$19,C4675)</f>
        <v>0</v>
      </c>
    </row>
    <row r="4676" spans="1:10" ht="14.4">
      <c r="A4676" s="84">
        <v>50327</v>
      </c>
      <c r="B4676" s="85">
        <v>2037</v>
      </c>
      <c r="C4676" s="85">
        <v>10</v>
      </c>
      <c r="D4676" s="85" t="s">
        <v>75</v>
      </c>
      <c r="E4676" s="85">
        <v>14</v>
      </c>
      <c r="F4676" s="85">
        <v>3</v>
      </c>
      <c r="G4676" s="85">
        <f>--(F4676&lt;=Estimator!$B$7)</f>
        <v>1</v>
      </c>
      <c r="H4676" s="86">
        <f>SUMIFS('Climate Data'!$G$7:$G$366,'Climate Data'!$A$7:$A$366,Estimator!$B$4,'Climate Data'!$B$7:$B$366,C4676)</f>
        <v>0.23225806451612904</v>
      </c>
      <c r="I4676" s="87">
        <f>SUMIFS('Climate Data'!$H$7:$H$366,'Climate Data'!$A$7:$A$366,Estimator!$B$4,'Climate Data'!$B$7:$B$366,C4676)</f>
        <v>6.8194444444444446</v>
      </c>
      <c r="J4676" s="86">
        <f>SUMIFS('Wind Proxy'!$H$8:$H$19,'Wind Proxy'!$A$8:$A$19,Estimator!$B$4,'Wind Proxy'!$B$8:$B$19,C4676)</f>
        <v>0</v>
      </c>
    </row>
    <row r="4677" spans="1:10" ht="14.4">
      <c r="A4677" s="84">
        <v>50328</v>
      </c>
      <c r="B4677" s="85">
        <v>2037</v>
      </c>
      <c r="C4677" s="85">
        <v>10</v>
      </c>
      <c r="D4677" s="85" t="s">
        <v>75</v>
      </c>
      <c r="E4677" s="85">
        <v>15</v>
      </c>
      <c r="F4677" s="85">
        <v>4</v>
      </c>
      <c r="G4677" s="85">
        <f>--(F4677&lt;=Estimator!$B$7)</f>
        <v>1</v>
      </c>
      <c r="H4677" s="86">
        <f>SUMIFS('Climate Data'!$G$7:$G$366,'Climate Data'!$A$7:$A$366,Estimator!$B$4,'Climate Data'!$B$7:$B$366,C4677)</f>
        <v>0.23225806451612904</v>
      </c>
      <c r="I4677" s="87">
        <f>SUMIFS('Climate Data'!$H$7:$H$366,'Climate Data'!$A$7:$A$366,Estimator!$B$4,'Climate Data'!$B$7:$B$366,C4677)</f>
        <v>6.8194444444444446</v>
      </c>
      <c r="J4677" s="86">
        <f>SUMIFS('Wind Proxy'!$H$8:$H$19,'Wind Proxy'!$A$8:$A$19,Estimator!$B$4,'Wind Proxy'!$B$8:$B$19,C4677)</f>
        <v>0</v>
      </c>
    </row>
    <row r="4678" spans="1:10" ht="14.4">
      <c r="A4678" s="84">
        <v>50329</v>
      </c>
      <c r="B4678" s="85">
        <v>2037</v>
      </c>
      <c r="C4678" s="85">
        <v>10</v>
      </c>
      <c r="D4678" s="85" t="s">
        <v>75</v>
      </c>
      <c r="E4678" s="85">
        <v>16</v>
      </c>
      <c r="F4678" s="85">
        <v>5</v>
      </c>
      <c r="G4678" s="85">
        <f>--(F4678&lt;=Estimator!$B$7)</f>
        <v>1</v>
      </c>
      <c r="H4678" s="86">
        <f>SUMIFS('Climate Data'!$G$7:$G$366,'Climate Data'!$A$7:$A$366,Estimator!$B$4,'Climate Data'!$B$7:$B$366,C4678)</f>
        <v>0.23225806451612904</v>
      </c>
      <c r="I4678" s="87">
        <f>SUMIFS('Climate Data'!$H$7:$H$366,'Climate Data'!$A$7:$A$366,Estimator!$B$4,'Climate Data'!$B$7:$B$366,C4678)</f>
        <v>6.8194444444444446</v>
      </c>
      <c r="J4678" s="86">
        <f>SUMIFS('Wind Proxy'!$H$8:$H$19,'Wind Proxy'!$A$8:$A$19,Estimator!$B$4,'Wind Proxy'!$B$8:$B$19,C4678)</f>
        <v>0</v>
      </c>
    </row>
    <row r="4679" spans="1:10" ht="14.4">
      <c r="A4679" s="84">
        <v>50330</v>
      </c>
      <c r="B4679" s="85">
        <v>2037</v>
      </c>
      <c r="C4679" s="85">
        <v>10</v>
      </c>
      <c r="D4679" s="85" t="s">
        <v>75</v>
      </c>
      <c r="E4679" s="85">
        <v>17</v>
      </c>
      <c r="F4679" s="85">
        <v>6</v>
      </c>
      <c r="G4679" s="85">
        <f>--(F4679&lt;=Estimator!$B$7)</f>
        <v>0</v>
      </c>
      <c r="H4679" s="86">
        <f>SUMIFS('Climate Data'!$G$7:$G$366,'Climate Data'!$A$7:$A$366,Estimator!$B$4,'Climate Data'!$B$7:$B$366,C4679)</f>
        <v>0.23225806451612904</v>
      </c>
      <c r="I4679" s="87">
        <f>SUMIFS('Climate Data'!$H$7:$H$366,'Climate Data'!$A$7:$A$366,Estimator!$B$4,'Climate Data'!$B$7:$B$366,C4679)</f>
        <v>6.8194444444444446</v>
      </c>
      <c r="J4679" s="86">
        <f>SUMIFS('Wind Proxy'!$H$8:$H$19,'Wind Proxy'!$A$8:$A$19,Estimator!$B$4,'Wind Proxy'!$B$8:$B$19,C4679)</f>
        <v>0</v>
      </c>
    </row>
    <row r="4680" spans="1:10" ht="14.4">
      <c r="A4680" s="84">
        <v>50331</v>
      </c>
      <c r="B4680" s="85">
        <v>2037</v>
      </c>
      <c r="C4680" s="85">
        <v>10</v>
      </c>
      <c r="D4680" s="85" t="s">
        <v>75</v>
      </c>
      <c r="E4680" s="85">
        <v>18</v>
      </c>
      <c r="F4680" s="85">
        <v>7</v>
      </c>
      <c r="G4680" s="85">
        <f>--(F4680&lt;=Estimator!$B$7)</f>
        <v>0</v>
      </c>
      <c r="H4680" s="86">
        <f>SUMIFS('Climate Data'!$G$7:$G$366,'Climate Data'!$A$7:$A$366,Estimator!$B$4,'Climate Data'!$B$7:$B$366,C4680)</f>
        <v>0.23225806451612904</v>
      </c>
      <c r="I4680" s="87">
        <f>SUMIFS('Climate Data'!$H$7:$H$366,'Climate Data'!$A$7:$A$366,Estimator!$B$4,'Climate Data'!$B$7:$B$366,C4680)</f>
        <v>6.8194444444444446</v>
      </c>
      <c r="J4680" s="86">
        <f>SUMIFS('Wind Proxy'!$H$8:$H$19,'Wind Proxy'!$A$8:$A$19,Estimator!$B$4,'Wind Proxy'!$B$8:$B$19,C4680)</f>
        <v>0</v>
      </c>
    </row>
    <row r="4681" spans="1:10" ht="14.4">
      <c r="A4681" s="84">
        <v>50332</v>
      </c>
      <c r="B4681" s="85">
        <v>2037</v>
      </c>
      <c r="C4681" s="85">
        <v>10</v>
      </c>
      <c r="D4681" s="85" t="s">
        <v>75</v>
      </c>
      <c r="E4681" s="85">
        <v>19</v>
      </c>
      <c r="F4681" s="85">
        <v>1</v>
      </c>
      <c r="G4681" s="85">
        <f>--(F4681&lt;=Estimator!$B$7)</f>
        <v>1</v>
      </c>
      <c r="H4681" s="86">
        <f>SUMIFS('Climate Data'!$G$7:$G$366,'Climate Data'!$A$7:$A$366,Estimator!$B$4,'Climate Data'!$B$7:$B$366,C4681)</f>
        <v>0.23225806451612904</v>
      </c>
      <c r="I4681" s="87">
        <f>SUMIFS('Climate Data'!$H$7:$H$366,'Climate Data'!$A$7:$A$366,Estimator!$B$4,'Climate Data'!$B$7:$B$366,C4681)</f>
        <v>6.8194444444444446</v>
      </c>
      <c r="J4681" s="86">
        <f>SUMIFS('Wind Proxy'!$H$8:$H$19,'Wind Proxy'!$A$8:$A$19,Estimator!$B$4,'Wind Proxy'!$B$8:$B$19,C4681)</f>
        <v>0</v>
      </c>
    </row>
    <row r="4682" spans="1:10" ht="14.4">
      <c r="A4682" s="84">
        <v>50333</v>
      </c>
      <c r="B4682" s="85">
        <v>2037</v>
      </c>
      <c r="C4682" s="85">
        <v>10</v>
      </c>
      <c r="D4682" s="85" t="s">
        <v>75</v>
      </c>
      <c r="E4682" s="85">
        <v>20</v>
      </c>
      <c r="F4682" s="85">
        <v>2</v>
      </c>
      <c r="G4682" s="85">
        <f>--(F4682&lt;=Estimator!$B$7)</f>
        <v>1</v>
      </c>
      <c r="H4682" s="86">
        <f>SUMIFS('Climate Data'!$G$7:$G$366,'Climate Data'!$A$7:$A$366,Estimator!$B$4,'Climate Data'!$B$7:$B$366,C4682)</f>
        <v>0.23225806451612904</v>
      </c>
      <c r="I4682" s="87">
        <f>SUMIFS('Climate Data'!$H$7:$H$366,'Climate Data'!$A$7:$A$366,Estimator!$B$4,'Climate Data'!$B$7:$B$366,C4682)</f>
        <v>6.8194444444444446</v>
      </c>
      <c r="J4682" s="86">
        <f>SUMIFS('Wind Proxy'!$H$8:$H$19,'Wind Proxy'!$A$8:$A$19,Estimator!$B$4,'Wind Proxy'!$B$8:$B$19,C4682)</f>
        <v>0</v>
      </c>
    </row>
    <row r="4683" spans="1:10" ht="14.4">
      <c r="A4683" s="84">
        <v>50334</v>
      </c>
      <c r="B4683" s="85">
        <v>2037</v>
      </c>
      <c r="C4683" s="85">
        <v>10</v>
      </c>
      <c r="D4683" s="85" t="s">
        <v>75</v>
      </c>
      <c r="E4683" s="85">
        <v>21</v>
      </c>
      <c r="F4683" s="85">
        <v>3</v>
      </c>
      <c r="G4683" s="85">
        <f>--(F4683&lt;=Estimator!$B$7)</f>
        <v>1</v>
      </c>
      <c r="H4683" s="86">
        <f>SUMIFS('Climate Data'!$G$7:$G$366,'Climate Data'!$A$7:$A$366,Estimator!$B$4,'Climate Data'!$B$7:$B$366,C4683)</f>
        <v>0.23225806451612904</v>
      </c>
      <c r="I4683" s="87">
        <f>SUMIFS('Climate Data'!$H$7:$H$366,'Climate Data'!$A$7:$A$366,Estimator!$B$4,'Climate Data'!$B$7:$B$366,C4683)</f>
        <v>6.8194444444444446</v>
      </c>
      <c r="J4683" s="86">
        <f>SUMIFS('Wind Proxy'!$H$8:$H$19,'Wind Proxy'!$A$8:$A$19,Estimator!$B$4,'Wind Proxy'!$B$8:$B$19,C4683)</f>
        <v>0</v>
      </c>
    </row>
    <row r="4684" spans="1:10" ht="14.4">
      <c r="A4684" s="84">
        <v>50335</v>
      </c>
      <c r="B4684" s="85">
        <v>2037</v>
      </c>
      <c r="C4684" s="85">
        <v>10</v>
      </c>
      <c r="D4684" s="85" t="s">
        <v>75</v>
      </c>
      <c r="E4684" s="85">
        <v>22</v>
      </c>
      <c r="F4684" s="85">
        <v>4</v>
      </c>
      <c r="G4684" s="85">
        <f>--(F4684&lt;=Estimator!$B$7)</f>
        <v>1</v>
      </c>
      <c r="H4684" s="86">
        <f>SUMIFS('Climate Data'!$G$7:$G$366,'Climate Data'!$A$7:$A$366,Estimator!$B$4,'Climate Data'!$B$7:$B$366,C4684)</f>
        <v>0.23225806451612904</v>
      </c>
      <c r="I4684" s="87">
        <f>SUMIFS('Climate Data'!$H$7:$H$366,'Climate Data'!$A$7:$A$366,Estimator!$B$4,'Climate Data'!$B$7:$B$366,C4684)</f>
        <v>6.8194444444444446</v>
      </c>
      <c r="J4684" s="86">
        <f>SUMIFS('Wind Proxy'!$H$8:$H$19,'Wind Proxy'!$A$8:$A$19,Estimator!$B$4,'Wind Proxy'!$B$8:$B$19,C4684)</f>
        <v>0</v>
      </c>
    </row>
    <row r="4685" spans="1:10" ht="14.4">
      <c r="A4685" s="84">
        <v>50336</v>
      </c>
      <c r="B4685" s="85">
        <v>2037</v>
      </c>
      <c r="C4685" s="85">
        <v>10</v>
      </c>
      <c r="D4685" s="85" t="s">
        <v>75</v>
      </c>
      <c r="E4685" s="85">
        <v>23</v>
      </c>
      <c r="F4685" s="85">
        <v>5</v>
      </c>
      <c r="G4685" s="85">
        <f>--(F4685&lt;=Estimator!$B$7)</f>
        <v>1</v>
      </c>
      <c r="H4685" s="86">
        <f>SUMIFS('Climate Data'!$G$7:$G$366,'Climate Data'!$A$7:$A$366,Estimator!$B$4,'Climate Data'!$B$7:$B$366,C4685)</f>
        <v>0.23225806451612904</v>
      </c>
      <c r="I4685" s="87">
        <f>SUMIFS('Climate Data'!$H$7:$H$366,'Climate Data'!$A$7:$A$366,Estimator!$B$4,'Climate Data'!$B$7:$B$366,C4685)</f>
        <v>6.8194444444444446</v>
      </c>
      <c r="J4685" s="86">
        <f>SUMIFS('Wind Proxy'!$H$8:$H$19,'Wind Proxy'!$A$8:$A$19,Estimator!$B$4,'Wind Proxy'!$B$8:$B$19,C4685)</f>
        <v>0</v>
      </c>
    </row>
    <row r="4686" spans="1:10" ht="14.4">
      <c r="A4686" s="84">
        <v>50337</v>
      </c>
      <c r="B4686" s="85">
        <v>2037</v>
      </c>
      <c r="C4686" s="85">
        <v>10</v>
      </c>
      <c r="D4686" s="85" t="s">
        <v>75</v>
      </c>
      <c r="E4686" s="85">
        <v>24</v>
      </c>
      <c r="F4686" s="85">
        <v>6</v>
      </c>
      <c r="G4686" s="85">
        <f>--(F4686&lt;=Estimator!$B$7)</f>
        <v>0</v>
      </c>
      <c r="H4686" s="86">
        <f>SUMIFS('Climate Data'!$G$7:$G$366,'Climate Data'!$A$7:$A$366,Estimator!$B$4,'Climate Data'!$B$7:$B$366,C4686)</f>
        <v>0.23225806451612904</v>
      </c>
      <c r="I4686" s="87">
        <f>SUMIFS('Climate Data'!$H$7:$H$366,'Climate Data'!$A$7:$A$366,Estimator!$B$4,'Climate Data'!$B$7:$B$366,C4686)</f>
        <v>6.8194444444444446</v>
      </c>
      <c r="J4686" s="86">
        <f>SUMIFS('Wind Proxy'!$H$8:$H$19,'Wind Proxy'!$A$8:$A$19,Estimator!$B$4,'Wind Proxy'!$B$8:$B$19,C4686)</f>
        <v>0</v>
      </c>
    </row>
    <row r="4687" spans="1:10" ht="14.4">
      <c r="A4687" s="84">
        <v>50338</v>
      </c>
      <c r="B4687" s="85">
        <v>2037</v>
      </c>
      <c r="C4687" s="85">
        <v>10</v>
      </c>
      <c r="D4687" s="85" t="s">
        <v>75</v>
      </c>
      <c r="E4687" s="85">
        <v>25</v>
      </c>
      <c r="F4687" s="85">
        <v>7</v>
      </c>
      <c r="G4687" s="85">
        <f>--(F4687&lt;=Estimator!$B$7)</f>
        <v>0</v>
      </c>
      <c r="H4687" s="86">
        <f>SUMIFS('Climate Data'!$G$7:$G$366,'Climate Data'!$A$7:$A$366,Estimator!$B$4,'Climate Data'!$B$7:$B$366,C4687)</f>
        <v>0.23225806451612904</v>
      </c>
      <c r="I4687" s="87">
        <f>SUMIFS('Climate Data'!$H$7:$H$366,'Climate Data'!$A$7:$A$366,Estimator!$B$4,'Climate Data'!$B$7:$B$366,C4687)</f>
        <v>6.8194444444444446</v>
      </c>
      <c r="J4687" s="86">
        <f>SUMIFS('Wind Proxy'!$H$8:$H$19,'Wind Proxy'!$A$8:$A$19,Estimator!$B$4,'Wind Proxy'!$B$8:$B$19,C4687)</f>
        <v>0</v>
      </c>
    </row>
    <row r="4688" spans="1:10" ht="14.4">
      <c r="A4688" s="84">
        <v>50339</v>
      </c>
      <c r="B4688" s="85">
        <v>2037</v>
      </c>
      <c r="C4688" s="85">
        <v>10</v>
      </c>
      <c r="D4688" s="85" t="s">
        <v>75</v>
      </c>
      <c r="E4688" s="85">
        <v>26</v>
      </c>
      <c r="F4688" s="85">
        <v>1</v>
      </c>
      <c r="G4688" s="85">
        <f>--(F4688&lt;=Estimator!$B$7)</f>
        <v>1</v>
      </c>
      <c r="H4688" s="86">
        <f>SUMIFS('Climate Data'!$G$7:$G$366,'Climate Data'!$A$7:$A$366,Estimator!$B$4,'Climate Data'!$B$7:$B$366,C4688)</f>
        <v>0.23225806451612904</v>
      </c>
      <c r="I4688" s="87">
        <f>SUMIFS('Climate Data'!$H$7:$H$366,'Climate Data'!$A$7:$A$366,Estimator!$B$4,'Climate Data'!$B$7:$B$366,C4688)</f>
        <v>6.8194444444444446</v>
      </c>
      <c r="J4688" s="86">
        <f>SUMIFS('Wind Proxy'!$H$8:$H$19,'Wind Proxy'!$A$8:$A$19,Estimator!$B$4,'Wind Proxy'!$B$8:$B$19,C4688)</f>
        <v>0</v>
      </c>
    </row>
    <row r="4689" spans="1:10" ht="14.4">
      <c r="A4689" s="84">
        <v>50340</v>
      </c>
      <c r="B4689" s="85">
        <v>2037</v>
      </c>
      <c r="C4689" s="85">
        <v>10</v>
      </c>
      <c r="D4689" s="85" t="s">
        <v>75</v>
      </c>
      <c r="E4689" s="85">
        <v>27</v>
      </c>
      <c r="F4689" s="85">
        <v>2</v>
      </c>
      <c r="G4689" s="85">
        <f>--(F4689&lt;=Estimator!$B$7)</f>
        <v>1</v>
      </c>
      <c r="H4689" s="86">
        <f>SUMIFS('Climate Data'!$G$7:$G$366,'Climate Data'!$A$7:$A$366,Estimator!$B$4,'Climate Data'!$B$7:$B$366,C4689)</f>
        <v>0.23225806451612904</v>
      </c>
      <c r="I4689" s="87">
        <f>SUMIFS('Climate Data'!$H$7:$H$366,'Climate Data'!$A$7:$A$366,Estimator!$B$4,'Climate Data'!$B$7:$B$366,C4689)</f>
        <v>6.8194444444444446</v>
      </c>
      <c r="J4689" s="86">
        <f>SUMIFS('Wind Proxy'!$H$8:$H$19,'Wind Proxy'!$A$8:$A$19,Estimator!$B$4,'Wind Proxy'!$B$8:$B$19,C4689)</f>
        <v>0</v>
      </c>
    </row>
    <row r="4690" spans="1:10" ht="14.4">
      <c r="A4690" s="84">
        <v>50341</v>
      </c>
      <c r="B4690" s="85">
        <v>2037</v>
      </c>
      <c r="C4690" s="85">
        <v>10</v>
      </c>
      <c r="D4690" s="85" t="s">
        <v>75</v>
      </c>
      <c r="E4690" s="85">
        <v>28</v>
      </c>
      <c r="F4690" s="85">
        <v>3</v>
      </c>
      <c r="G4690" s="85">
        <f>--(F4690&lt;=Estimator!$B$7)</f>
        <v>1</v>
      </c>
      <c r="H4690" s="86">
        <f>SUMIFS('Climate Data'!$G$7:$G$366,'Climate Data'!$A$7:$A$366,Estimator!$B$4,'Climate Data'!$B$7:$B$366,C4690)</f>
        <v>0.23225806451612904</v>
      </c>
      <c r="I4690" s="87">
        <f>SUMIFS('Climate Data'!$H$7:$H$366,'Climate Data'!$A$7:$A$366,Estimator!$B$4,'Climate Data'!$B$7:$B$366,C4690)</f>
        <v>6.8194444444444446</v>
      </c>
      <c r="J4690" s="86">
        <f>SUMIFS('Wind Proxy'!$H$8:$H$19,'Wind Proxy'!$A$8:$A$19,Estimator!$B$4,'Wind Proxy'!$B$8:$B$19,C4690)</f>
        <v>0</v>
      </c>
    </row>
    <row r="4691" spans="1:10" ht="14.4">
      <c r="A4691" s="84">
        <v>50342</v>
      </c>
      <c r="B4691" s="85">
        <v>2037</v>
      </c>
      <c r="C4691" s="85">
        <v>10</v>
      </c>
      <c r="D4691" s="85" t="s">
        <v>75</v>
      </c>
      <c r="E4691" s="85">
        <v>29</v>
      </c>
      <c r="F4691" s="85">
        <v>4</v>
      </c>
      <c r="G4691" s="85">
        <f>--(F4691&lt;=Estimator!$B$7)</f>
        <v>1</v>
      </c>
      <c r="H4691" s="86">
        <f>SUMIFS('Climate Data'!$G$7:$G$366,'Climate Data'!$A$7:$A$366,Estimator!$B$4,'Climate Data'!$B$7:$B$366,C4691)</f>
        <v>0.23225806451612904</v>
      </c>
      <c r="I4691" s="87">
        <f>SUMIFS('Climate Data'!$H$7:$H$366,'Climate Data'!$A$7:$A$366,Estimator!$B$4,'Climate Data'!$B$7:$B$366,C4691)</f>
        <v>6.8194444444444446</v>
      </c>
      <c r="J4691" s="86">
        <f>SUMIFS('Wind Proxy'!$H$8:$H$19,'Wind Proxy'!$A$8:$A$19,Estimator!$B$4,'Wind Proxy'!$B$8:$B$19,C4691)</f>
        <v>0</v>
      </c>
    </row>
    <row r="4692" spans="1:10" ht="14.4">
      <c r="A4692" s="84">
        <v>50343</v>
      </c>
      <c r="B4692" s="85">
        <v>2037</v>
      </c>
      <c r="C4692" s="85">
        <v>10</v>
      </c>
      <c r="D4692" s="85" t="s">
        <v>75</v>
      </c>
      <c r="E4692" s="85">
        <v>30</v>
      </c>
      <c r="F4692" s="85">
        <v>5</v>
      </c>
      <c r="G4692" s="85">
        <f>--(F4692&lt;=Estimator!$B$7)</f>
        <v>1</v>
      </c>
      <c r="H4692" s="86">
        <f>SUMIFS('Climate Data'!$G$7:$G$366,'Climate Data'!$A$7:$A$366,Estimator!$B$4,'Climate Data'!$B$7:$B$366,C4692)</f>
        <v>0.23225806451612904</v>
      </c>
      <c r="I4692" s="87">
        <f>SUMIFS('Climate Data'!$H$7:$H$366,'Climate Data'!$A$7:$A$366,Estimator!$B$4,'Climate Data'!$B$7:$B$366,C4692)</f>
        <v>6.8194444444444446</v>
      </c>
      <c r="J4692" s="86">
        <f>SUMIFS('Wind Proxy'!$H$8:$H$19,'Wind Proxy'!$A$8:$A$19,Estimator!$B$4,'Wind Proxy'!$B$8:$B$19,C4692)</f>
        <v>0</v>
      </c>
    </row>
    <row r="4693" spans="1:10" ht="14.4">
      <c r="A4693" s="84">
        <v>50344</v>
      </c>
      <c r="B4693" s="85">
        <v>2037</v>
      </c>
      <c r="C4693" s="85">
        <v>10</v>
      </c>
      <c r="D4693" s="85" t="s">
        <v>75</v>
      </c>
      <c r="E4693" s="85">
        <v>31</v>
      </c>
      <c r="F4693" s="85">
        <v>6</v>
      </c>
      <c r="G4693" s="85">
        <f>--(F4693&lt;=Estimator!$B$7)</f>
        <v>0</v>
      </c>
      <c r="H4693" s="86">
        <f>SUMIFS('Climate Data'!$G$7:$G$366,'Climate Data'!$A$7:$A$366,Estimator!$B$4,'Climate Data'!$B$7:$B$366,C4693)</f>
        <v>0.23225806451612904</v>
      </c>
      <c r="I4693" s="87">
        <f>SUMIFS('Climate Data'!$H$7:$H$366,'Climate Data'!$A$7:$A$366,Estimator!$B$4,'Climate Data'!$B$7:$B$366,C4693)</f>
        <v>6.8194444444444446</v>
      </c>
      <c r="J4693" s="86">
        <f>SUMIFS('Wind Proxy'!$H$8:$H$19,'Wind Proxy'!$A$8:$A$19,Estimator!$B$4,'Wind Proxy'!$B$8:$B$19,C4693)</f>
        <v>0</v>
      </c>
    </row>
    <row r="4694" spans="1:10" ht="14.4">
      <c r="A4694" s="84">
        <v>50345</v>
      </c>
      <c r="B4694" s="85">
        <v>2037</v>
      </c>
      <c r="C4694" s="85">
        <v>11</v>
      </c>
      <c r="D4694" s="85" t="s">
        <v>76</v>
      </c>
      <c r="E4694" s="85">
        <v>1</v>
      </c>
      <c r="F4694" s="85">
        <v>7</v>
      </c>
      <c r="G4694" s="85">
        <f>--(F4694&lt;=Estimator!$B$7)</f>
        <v>0</v>
      </c>
      <c r="H4694" s="86">
        <f>SUMIFS('Climate Data'!$G$7:$G$366,'Climate Data'!$A$7:$A$366,Estimator!$B$4,'Climate Data'!$B$7:$B$366,C4694)</f>
        <v>0.23333333333333334</v>
      </c>
      <c r="I4694" s="87">
        <f>SUMIFS('Climate Data'!$H$7:$H$366,'Climate Data'!$A$7:$A$366,Estimator!$B$4,'Climate Data'!$B$7:$B$366,C4694)</f>
        <v>6.4428571428571431</v>
      </c>
      <c r="J4694" s="86">
        <f>SUMIFS('Wind Proxy'!$H$8:$H$19,'Wind Proxy'!$A$8:$A$19,Estimator!$B$4,'Wind Proxy'!$B$8:$B$19,C4694)</f>
        <v>0</v>
      </c>
    </row>
    <row r="4695" spans="1:10" ht="14.4">
      <c r="A4695" s="84">
        <v>50346</v>
      </c>
      <c r="B4695" s="85">
        <v>2037</v>
      </c>
      <c r="C4695" s="85">
        <v>11</v>
      </c>
      <c r="D4695" s="85" t="s">
        <v>76</v>
      </c>
      <c r="E4695" s="85">
        <v>2</v>
      </c>
      <c r="F4695" s="85">
        <v>1</v>
      </c>
      <c r="G4695" s="85">
        <f>--(F4695&lt;=Estimator!$B$7)</f>
        <v>1</v>
      </c>
      <c r="H4695" s="86">
        <f>SUMIFS('Climate Data'!$G$7:$G$366,'Climate Data'!$A$7:$A$366,Estimator!$B$4,'Climate Data'!$B$7:$B$366,C4695)</f>
        <v>0.23333333333333334</v>
      </c>
      <c r="I4695" s="87">
        <f>SUMIFS('Climate Data'!$H$7:$H$366,'Climate Data'!$A$7:$A$366,Estimator!$B$4,'Climate Data'!$B$7:$B$366,C4695)</f>
        <v>6.4428571428571431</v>
      </c>
      <c r="J4695" s="86">
        <f>SUMIFS('Wind Proxy'!$H$8:$H$19,'Wind Proxy'!$A$8:$A$19,Estimator!$B$4,'Wind Proxy'!$B$8:$B$19,C4695)</f>
        <v>0</v>
      </c>
    </row>
    <row r="4696" spans="1:10" ht="14.4">
      <c r="A4696" s="84">
        <v>50347</v>
      </c>
      <c r="B4696" s="85">
        <v>2037</v>
      </c>
      <c r="C4696" s="85">
        <v>11</v>
      </c>
      <c r="D4696" s="85" t="s">
        <v>76</v>
      </c>
      <c r="E4696" s="85">
        <v>3</v>
      </c>
      <c r="F4696" s="85">
        <v>2</v>
      </c>
      <c r="G4696" s="85">
        <f>--(F4696&lt;=Estimator!$B$7)</f>
        <v>1</v>
      </c>
      <c r="H4696" s="86">
        <f>SUMIFS('Climate Data'!$G$7:$G$366,'Climate Data'!$A$7:$A$366,Estimator!$B$4,'Climate Data'!$B$7:$B$366,C4696)</f>
        <v>0.23333333333333334</v>
      </c>
      <c r="I4696" s="87">
        <f>SUMIFS('Climate Data'!$H$7:$H$366,'Climate Data'!$A$7:$A$366,Estimator!$B$4,'Climate Data'!$B$7:$B$366,C4696)</f>
        <v>6.4428571428571431</v>
      </c>
      <c r="J4696" s="86">
        <f>SUMIFS('Wind Proxy'!$H$8:$H$19,'Wind Proxy'!$A$8:$A$19,Estimator!$B$4,'Wind Proxy'!$B$8:$B$19,C4696)</f>
        <v>0</v>
      </c>
    </row>
    <row r="4697" spans="1:10" ht="14.4">
      <c r="A4697" s="84">
        <v>50348</v>
      </c>
      <c r="B4697" s="85">
        <v>2037</v>
      </c>
      <c r="C4697" s="85">
        <v>11</v>
      </c>
      <c r="D4697" s="85" t="s">
        <v>76</v>
      </c>
      <c r="E4697" s="85">
        <v>4</v>
      </c>
      <c r="F4697" s="85">
        <v>3</v>
      </c>
      <c r="G4697" s="85">
        <f>--(F4697&lt;=Estimator!$B$7)</f>
        <v>1</v>
      </c>
      <c r="H4697" s="86">
        <f>SUMIFS('Climate Data'!$G$7:$G$366,'Climate Data'!$A$7:$A$366,Estimator!$B$4,'Climate Data'!$B$7:$B$366,C4697)</f>
        <v>0.23333333333333334</v>
      </c>
      <c r="I4697" s="87">
        <f>SUMIFS('Climate Data'!$H$7:$H$366,'Climate Data'!$A$7:$A$366,Estimator!$B$4,'Climate Data'!$B$7:$B$366,C4697)</f>
        <v>6.4428571428571431</v>
      </c>
      <c r="J4697" s="86">
        <f>SUMIFS('Wind Proxy'!$H$8:$H$19,'Wind Proxy'!$A$8:$A$19,Estimator!$B$4,'Wind Proxy'!$B$8:$B$19,C4697)</f>
        <v>0</v>
      </c>
    </row>
    <row r="4698" spans="1:10" ht="14.4">
      <c r="A4698" s="84">
        <v>50349</v>
      </c>
      <c r="B4698" s="85">
        <v>2037</v>
      </c>
      <c r="C4698" s="85">
        <v>11</v>
      </c>
      <c r="D4698" s="85" t="s">
        <v>76</v>
      </c>
      <c r="E4698" s="85">
        <v>5</v>
      </c>
      <c r="F4698" s="85">
        <v>4</v>
      </c>
      <c r="G4698" s="85">
        <f>--(F4698&lt;=Estimator!$B$7)</f>
        <v>1</v>
      </c>
      <c r="H4698" s="86">
        <f>SUMIFS('Climate Data'!$G$7:$G$366,'Climate Data'!$A$7:$A$366,Estimator!$B$4,'Climate Data'!$B$7:$B$366,C4698)</f>
        <v>0.23333333333333334</v>
      </c>
      <c r="I4698" s="87">
        <f>SUMIFS('Climate Data'!$H$7:$H$366,'Climate Data'!$A$7:$A$366,Estimator!$B$4,'Climate Data'!$B$7:$B$366,C4698)</f>
        <v>6.4428571428571431</v>
      </c>
      <c r="J4698" s="86">
        <f>SUMIFS('Wind Proxy'!$H$8:$H$19,'Wind Proxy'!$A$8:$A$19,Estimator!$B$4,'Wind Proxy'!$B$8:$B$19,C4698)</f>
        <v>0</v>
      </c>
    </row>
    <row r="4699" spans="1:10" ht="14.4">
      <c r="A4699" s="84">
        <v>50350</v>
      </c>
      <c r="B4699" s="85">
        <v>2037</v>
      </c>
      <c r="C4699" s="85">
        <v>11</v>
      </c>
      <c r="D4699" s="85" t="s">
        <v>76</v>
      </c>
      <c r="E4699" s="85">
        <v>6</v>
      </c>
      <c r="F4699" s="85">
        <v>5</v>
      </c>
      <c r="G4699" s="85">
        <f>--(F4699&lt;=Estimator!$B$7)</f>
        <v>1</v>
      </c>
      <c r="H4699" s="86">
        <f>SUMIFS('Climate Data'!$G$7:$G$366,'Climate Data'!$A$7:$A$366,Estimator!$B$4,'Climate Data'!$B$7:$B$366,C4699)</f>
        <v>0.23333333333333334</v>
      </c>
      <c r="I4699" s="87">
        <f>SUMIFS('Climate Data'!$H$7:$H$366,'Climate Data'!$A$7:$A$366,Estimator!$B$4,'Climate Data'!$B$7:$B$366,C4699)</f>
        <v>6.4428571428571431</v>
      </c>
      <c r="J4699" s="86">
        <f>SUMIFS('Wind Proxy'!$H$8:$H$19,'Wind Proxy'!$A$8:$A$19,Estimator!$B$4,'Wind Proxy'!$B$8:$B$19,C4699)</f>
        <v>0</v>
      </c>
    </row>
    <row r="4700" spans="1:10" ht="14.4">
      <c r="A4700" s="84">
        <v>50351</v>
      </c>
      <c r="B4700" s="85">
        <v>2037</v>
      </c>
      <c r="C4700" s="85">
        <v>11</v>
      </c>
      <c r="D4700" s="85" t="s">
        <v>76</v>
      </c>
      <c r="E4700" s="85">
        <v>7</v>
      </c>
      <c r="F4700" s="85">
        <v>6</v>
      </c>
      <c r="G4700" s="85">
        <f>--(F4700&lt;=Estimator!$B$7)</f>
        <v>0</v>
      </c>
      <c r="H4700" s="86">
        <f>SUMIFS('Climate Data'!$G$7:$G$366,'Climate Data'!$A$7:$A$366,Estimator!$B$4,'Climate Data'!$B$7:$B$366,C4700)</f>
        <v>0.23333333333333334</v>
      </c>
      <c r="I4700" s="87">
        <f>SUMIFS('Climate Data'!$H$7:$H$366,'Climate Data'!$A$7:$A$366,Estimator!$B$4,'Climate Data'!$B$7:$B$366,C4700)</f>
        <v>6.4428571428571431</v>
      </c>
      <c r="J4700" s="86">
        <f>SUMIFS('Wind Proxy'!$H$8:$H$19,'Wind Proxy'!$A$8:$A$19,Estimator!$B$4,'Wind Proxy'!$B$8:$B$19,C4700)</f>
        <v>0</v>
      </c>
    </row>
    <row r="4701" spans="1:10" ht="14.4">
      <c r="A4701" s="84">
        <v>50352</v>
      </c>
      <c r="B4701" s="85">
        <v>2037</v>
      </c>
      <c r="C4701" s="85">
        <v>11</v>
      </c>
      <c r="D4701" s="85" t="s">
        <v>76</v>
      </c>
      <c r="E4701" s="85">
        <v>8</v>
      </c>
      <c r="F4701" s="85">
        <v>7</v>
      </c>
      <c r="G4701" s="85">
        <f>--(F4701&lt;=Estimator!$B$7)</f>
        <v>0</v>
      </c>
      <c r="H4701" s="86">
        <f>SUMIFS('Climate Data'!$G$7:$G$366,'Climate Data'!$A$7:$A$366,Estimator!$B$4,'Climate Data'!$B$7:$B$366,C4701)</f>
        <v>0.23333333333333334</v>
      </c>
      <c r="I4701" s="87">
        <f>SUMIFS('Climate Data'!$H$7:$H$366,'Climate Data'!$A$7:$A$366,Estimator!$B$4,'Climate Data'!$B$7:$B$366,C4701)</f>
        <v>6.4428571428571431</v>
      </c>
      <c r="J4701" s="86">
        <f>SUMIFS('Wind Proxy'!$H$8:$H$19,'Wind Proxy'!$A$8:$A$19,Estimator!$B$4,'Wind Proxy'!$B$8:$B$19,C4701)</f>
        <v>0</v>
      </c>
    </row>
    <row r="4702" spans="1:10" ht="14.4">
      <c r="A4702" s="84">
        <v>50353</v>
      </c>
      <c r="B4702" s="85">
        <v>2037</v>
      </c>
      <c r="C4702" s="85">
        <v>11</v>
      </c>
      <c r="D4702" s="85" t="s">
        <v>76</v>
      </c>
      <c r="E4702" s="85">
        <v>9</v>
      </c>
      <c r="F4702" s="85">
        <v>1</v>
      </c>
      <c r="G4702" s="85">
        <f>--(F4702&lt;=Estimator!$B$7)</f>
        <v>1</v>
      </c>
      <c r="H4702" s="86">
        <f>SUMIFS('Climate Data'!$G$7:$G$366,'Climate Data'!$A$7:$A$366,Estimator!$B$4,'Climate Data'!$B$7:$B$366,C4702)</f>
        <v>0.23333333333333334</v>
      </c>
      <c r="I4702" s="87">
        <f>SUMIFS('Climate Data'!$H$7:$H$366,'Climate Data'!$A$7:$A$366,Estimator!$B$4,'Climate Data'!$B$7:$B$366,C4702)</f>
        <v>6.4428571428571431</v>
      </c>
      <c r="J4702" s="86">
        <f>SUMIFS('Wind Proxy'!$H$8:$H$19,'Wind Proxy'!$A$8:$A$19,Estimator!$B$4,'Wind Proxy'!$B$8:$B$19,C4702)</f>
        <v>0</v>
      </c>
    </row>
    <row r="4703" spans="1:10" ht="14.4">
      <c r="A4703" s="84">
        <v>50354</v>
      </c>
      <c r="B4703" s="85">
        <v>2037</v>
      </c>
      <c r="C4703" s="85">
        <v>11</v>
      </c>
      <c r="D4703" s="85" t="s">
        <v>76</v>
      </c>
      <c r="E4703" s="85">
        <v>10</v>
      </c>
      <c r="F4703" s="85">
        <v>2</v>
      </c>
      <c r="G4703" s="85">
        <f>--(F4703&lt;=Estimator!$B$7)</f>
        <v>1</v>
      </c>
      <c r="H4703" s="86">
        <f>SUMIFS('Climate Data'!$G$7:$G$366,'Climate Data'!$A$7:$A$366,Estimator!$B$4,'Climate Data'!$B$7:$B$366,C4703)</f>
        <v>0.23333333333333334</v>
      </c>
      <c r="I4703" s="87">
        <f>SUMIFS('Climate Data'!$H$7:$H$366,'Climate Data'!$A$7:$A$366,Estimator!$B$4,'Climate Data'!$B$7:$B$366,C4703)</f>
        <v>6.4428571428571431</v>
      </c>
      <c r="J4703" s="86">
        <f>SUMIFS('Wind Proxy'!$H$8:$H$19,'Wind Proxy'!$A$8:$A$19,Estimator!$B$4,'Wind Proxy'!$B$8:$B$19,C4703)</f>
        <v>0</v>
      </c>
    </row>
    <row r="4704" spans="1:10" ht="14.4">
      <c r="A4704" s="84">
        <v>50355</v>
      </c>
      <c r="B4704" s="85">
        <v>2037</v>
      </c>
      <c r="C4704" s="85">
        <v>11</v>
      </c>
      <c r="D4704" s="85" t="s">
        <v>76</v>
      </c>
      <c r="E4704" s="85">
        <v>11</v>
      </c>
      <c r="F4704" s="85">
        <v>3</v>
      </c>
      <c r="G4704" s="85">
        <f>--(F4704&lt;=Estimator!$B$7)</f>
        <v>1</v>
      </c>
      <c r="H4704" s="86">
        <f>SUMIFS('Climate Data'!$G$7:$G$366,'Climate Data'!$A$7:$A$366,Estimator!$B$4,'Climate Data'!$B$7:$B$366,C4704)</f>
        <v>0.23333333333333334</v>
      </c>
      <c r="I4704" s="87">
        <f>SUMIFS('Climate Data'!$H$7:$H$366,'Climate Data'!$A$7:$A$366,Estimator!$B$4,'Climate Data'!$B$7:$B$366,C4704)</f>
        <v>6.4428571428571431</v>
      </c>
      <c r="J4704" s="86">
        <f>SUMIFS('Wind Proxy'!$H$8:$H$19,'Wind Proxy'!$A$8:$A$19,Estimator!$B$4,'Wind Proxy'!$B$8:$B$19,C4704)</f>
        <v>0</v>
      </c>
    </row>
    <row r="4705" spans="1:10" ht="14.4">
      <c r="A4705" s="84">
        <v>50356</v>
      </c>
      <c r="B4705" s="85">
        <v>2037</v>
      </c>
      <c r="C4705" s="85">
        <v>11</v>
      </c>
      <c r="D4705" s="85" t="s">
        <v>76</v>
      </c>
      <c r="E4705" s="85">
        <v>12</v>
      </c>
      <c r="F4705" s="85">
        <v>4</v>
      </c>
      <c r="G4705" s="85">
        <f>--(F4705&lt;=Estimator!$B$7)</f>
        <v>1</v>
      </c>
      <c r="H4705" s="86">
        <f>SUMIFS('Climate Data'!$G$7:$G$366,'Climate Data'!$A$7:$A$366,Estimator!$B$4,'Climate Data'!$B$7:$B$366,C4705)</f>
        <v>0.23333333333333334</v>
      </c>
      <c r="I4705" s="87">
        <f>SUMIFS('Climate Data'!$H$7:$H$366,'Climate Data'!$A$7:$A$366,Estimator!$B$4,'Climate Data'!$B$7:$B$366,C4705)</f>
        <v>6.4428571428571431</v>
      </c>
      <c r="J4705" s="86">
        <f>SUMIFS('Wind Proxy'!$H$8:$H$19,'Wind Proxy'!$A$8:$A$19,Estimator!$B$4,'Wind Proxy'!$B$8:$B$19,C4705)</f>
        <v>0</v>
      </c>
    </row>
    <row r="4706" spans="1:10" ht="14.4">
      <c r="A4706" s="84">
        <v>50357</v>
      </c>
      <c r="B4706" s="85">
        <v>2037</v>
      </c>
      <c r="C4706" s="85">
        <v>11</v>
      </c>
      <c r="D4706" s="85" t="s">
        <v>76</v>
      </c>
      <c r="E4706" s="85">
        <v>13</v>
      </c>
      <c r="F4706" s="85">
        <v>5</v>
      </c>
      <c r="G4706" s="85">
        <f>--(F4706&lt;=Estimator!$B$7)</f>
        <v>1</v>
      </c>
      <c r="H4706" s="86">
        <f>SUMIFS('Climate Data'!$G$7:$G$366,'Climate Data'!$A$7:$A$366,Estimator!$B$4,'Climate Data'!$B$7:$B$366,C4706)</f>
        <v>0.23333333333333334</v>
      </c>
      <c r="I4706" s="87">
        <f>SUMIFS('Climate Data'!$H$7:$H$366,'Climate Data'!$A$7:$A$366,Estimator!$B$4,'Climate Data'!$B$7:$B$366,C4706)</f>
        <v>6.4428571428571431</v>
      </c>
      <c r="J4706" s="86">
        <f>SUMIFS('Wind Proxy'!$H$8:$H$19,'Wind Proxy'!$A$8:$A$19,Estimator!$B$4,'Wind Proxy'!$B$8:$B$19,C4706)</f>
        <v>0</v>
      </c>
    </row>
    <row r="4707" spans="1:10" ht="14.4">
      <c r="A4707" s="84">
        <v>50358</v>
      </c>
      <c r="B4707" s="85">
        <v>2037</v>
      </c>
      <c r="C4707" s="85">
        <v>11</v>
      </c>
      <c r="D4707" s="85" t="s">
        <v>76</v>
      </c>
      <c r="E4707" s="85">
        <v>14</v>
      </c>
      <c r="F4707" s="85">
        <v>6</v>
      </c>
      <c r="G4707" s="85">
        <f>--(F4707&lt;=Estimator!$B$7)</f>
        <v>0</v>
      </c>
      <c r="H4707" s="86">
        <f>SUMIFS('Climate Data'!$G$7:$G$366,'Climate Data'!$A$7:$A$366,Estimator!$B$4,'Climate Data'!$B$7:$B$366,C4707)</f>
        <v>0.23333333333333334</v>
      </c>
      <c r="I4707" s="87">
        <f>SUMIFS('Climate Data'!$H$7:$H$366,'Climate Data'!$A$7:$A$366,Estimator!$B$4,'Climate Data'!$B$7:$B$366,C4707)</f>
        <v>6.4428571428571431</v>
      </c>
      <c r="J4707" s="86">
        <f>SUMIFS('Wind Proxy'!$H$8:$H$19,'Wind Proxy'!$A$8:$A$19,Estimator!$B$4,'Wind Proxy'!$B$8:$B$19,C4707)</f>
        <v>0</v>
      </c>
    </row>
    <row r="4708" spans="1:10" ht="14.4">
      <c r="A4708" s="84">
        <v>50359</v>
      </c>
      <c r="B4708" s="85">
        <v>2037</v>
      </c>
      <c r="C4708" s="85">
        <v>11</v>
      </c>
      <c r="D4708" s="85" t="s">
        <v>76</v>
      </c>
      <c r="E4708" s="85">
        <v>15</v>
      </c>
      <c r="F4708" s="85">
        <v>7</v>
      </c>
      <c r="G4708" s="85">
        <f>--(F4708&lt;=Estimator!$B$7)</f>
        <v>0</v>
      </c>
      <c r="H4708" s="86">
        <f>SUMIFS('Climate Data'!$G$7:$G$366,'Climate Data'!$A$7:$A$366,Estimator!$B$4,'Climate Data'!$B$7:$B$366,C4708)</f>
        <v>0.23333333333333334</v>
      </c>
      <c r="I4708" s="87">
        <f>SUMIFS('Climate Data'!$H$7:$H$366,'Climate Data'!$A$7:$A$366,Estimator!$B$4,'Climate Data'!$B$7:$B$366,C4708)</f>
        <v>6.4428571428571431</v>
      </c>
      <c r="J4708" s="86">
        <f>SUMIFS('Wind Proxy'!$H$8:$H$19,'Wind Proxy'!$A$8:$A$19,Estimator!$B$4,'Wind Proxy'!$B$8:$B$19,C4708)</f>
        <v>0</v>
      </c>
    </row>
    <row r="4709" spans="1:10" ht="14.4">
      <c r="A4709" s="84">
        <v>50360</v>
      </c>
      <c r="B4709" s="85">
        <v>2037</v>
      </c>
      <c r="C4709" s="85">
        <v>11</v>
      </c>
      <c r="D4709" s="85" t="s">
        <v>76</v>
      </c>
      <c r="E4709" s="85">
        <v>16</v>
      </c>
      <c r="F4709" s="85">
        <v>1</v>
      </c>
      <c r="G4709" s="85">
        <f>--(F4709&lt;=Estimator!$B$7)</f>
        <v>1</v>
      </c>
      <c r="H4709" s="86">
        <f>SUMIFS('Climate Data'!$G$7:$G$366,'Climate Data'!$A$7:$A$366,Estimator!$B$4,'Climate Data'!$B$7:$B$366,C4709)</f>
        <v>0.23333333333333334</v>
      </c>
      <c r="I4709" s="87">
        <f>SUMIFS('Climate Data'!$H$7:$H$366,'Climate Data'!$A$7:$A$366,Estimator!$B$4,'Climate Data'!$B$7:$B$366,C4709)</f>
        <v>6.4428571428571431</v>
      </c>
      <c r="J4709" s="86">
        <f>SUMIFS('Wind Proxy'!$H$8:$H$19,'Wind Proxy'!$A$8:$A$19,Estimator!$B$4,'Wind Proxy'!$B$8:$B$19,C4709)</f>
        <v>0</v>
      </c>
    </row>
    <row r="4710" spans="1:10" ht="14.4">
      <c r="A4710" s="84">
        <v>50361</v>
      </c>
      <c r="B4710" s="85">
        <v>2037</v>
      </c>
      <c r="C4710" s="85">
        <v>11</v>
      </c>
      <c r="D4710" s="85" t="s">
        <v>76</v>
      </c>
      <c r="E4710" s="85">
        <v>17</v>
      </c>
      <c r="F4710" s="85">
        <v>2</v>
      </c>
      <c r="G4710" s="85">
        <f>--(F4710&lt;=Estimator!$B$7)</f>
        <v>1</v>
      </c>
      <c r="H4710" s="86">
        <f>SUMIFS('Climate Data'!$G$7:$G$366,'Climate Data'!$A$7:$A$366,Estimator!$B$4,'Climate Data'!$B$7:$B$366,C4710)</f>
        <v>0.23333333333333334</v>
      </c>
      <c r="I4710" s="87">
        <f>SUMIFS('Climate Data'!$H$7:$H$366,'Climate Data'!$A$7:$A$366,Estimator!$B$4,'Climate Data'!$B$7:$B$366,C4710)</f>
        <v>6.4428571428571431</v>
      </c>
      <c r="J4710" s="86">
        <f>SUMIFS('Wind Proxy'!$H$8:$H$19,'Wind Proxy'!$A$8:$A$19,Estimator!$B$4,'Wind Proxy'!$B$8:$B$19,C4710)</f>
        <v>0</v>
      </c>
    </row>
    <row r="4711" spans="1:10" ht="14.4">
      <c r="A4711" s="84">
        <v>50362</v>
      </c>
      <c r="B4711" s="85">
        <v>2037</v>
      </c>
      <c r="C4711" s="85">
        <v>11</v>
      </c>
      <c r="D4711" s="85" t="s">
        <v>76</v>
      </c>
      <c r="E4711" s="85">
        <v>18</v>
      </c>
      <c r="F4711" s="85">
        <v>3</v>
      </c>
      <c r="G4711" s="85">
        <f>--(F4711&lt;=Estimator!$B$7)</f>
        <v>1</v>
      </c>
      <c r="H4711" s="86">
        <f>SUMIFS('Climate Data'!$G$7:$G$366,'Climate Data'!$A$7:$A$366,Estimator!$B$4,'Climate Data'!$B$7:$B$366,C4711)</f>
        <v>0.23333333333333334</v>
      </c>
      <c r="I4711" s="87">
        <f>SUMIFS('Climate Data'!$H$7:$H$366,'Climate Data'!$A$7:$A$366,Estimator!$B$4,'Climate Data'!$B$7:$B$366,C4711)</f>
        <v>6.4428571428571431</v>
      </c>
      <c r="J4711" s="86">
        <f>SUMIFS('Wind Proxy'!$H$8:$H$19,'Wind Proxy'!$A$8:$A$19,Estimator!$B$4,'Wind Proxy'!$B$8:$B$19,C4711)</f>
        <v>0</v>
      </c>
    </row>
    <row r="4712" spans="1:10" ht="14.4">
      <c r="A4712" s="84">
        <v>50363</v>
      </c>
      <c r="B4712" s="85">
        <v>2037</v>
      </c>
      <c r="C4712" s="85">
        <v>11</v>
      </c>
      <c r="D4712" s="85" t="s">
        <v>76</v>
      </c>
      <c r="E4712" s="85">
        <v>19</v>
      </c>
      <c r="F4712" s="85">
        <v>4</v>
      </c>
      <c r="G4712" s="85">
        <f>--(F4712&lt;=Estimator!$B$7)</f>
        <v>1</v>
      </c>
      <c r="H4712" s="86">
        <f>SUMIFS('Climate Data'!$G$7:$G$366,'Climate Data'!$A$7:$A$366,Estimator!$B$4,'Climate Data'!$B$7:$B$366,C4712)</f>
        <v>0.23333333333333334</v>
      </c>
      <c r="I4712" s="87">
        <f>SUMIFS('Climate Data'!$H$7:$H$366,'Climate Data'!$A$7:$A$366,Estimator!$B$4,'Climate Data'!$B$7:$B$366,C4712)</f>
        <v>6.4428571428571431</v>
      </c>
      <c r="J4712" s="86">
        <f>SUMIFS('Wind Proxy'!$H$8:$H$19,'Wind Proxy'!$A$8:$A$19,Estimator!$B$4,'Wind Proxy'!$B$8:$B$19,C4712)</f>
        <v>0</v>
      </c>
    </row>
    <row r="4713" spans="1:10" ht="14.4">
      <c r="A4713" s="84">
        <v>50364</v>
      </c>
      <c r="B4713" s="85">
        <v>2037</v>
      </c>
      <c r="C4713" s="85">
        <v>11</v>
      </c>
      <c r="D4713" s="85" t="s">
        <v>76</v>
      </c>
      <c r="E4713" s="85">
        <v>20</v>
      </c>
      <c r="F4713" s="85">
        <v>5</v>
      </c>
      <c r="G4713" s="85">
        <f>--(F4713&lt;=Estimator!$B$7)</f>
        <v>1</v>
      </c>
      <c r="H4713" s="86">
        <f>SUMIFS('Climate Data'!$G$7:$G$366,'Climate Data'!$A$7:$A$366,Estimator!$B$4,'Climate Data'!$B$7:$B$366,C4713)</f>
        <v>0.23333333333333334</v>
      </c>
      <c r="I4713" s="87">
        <f>SUMIFS('Climate Data'!$H$7:$H$366,'Climate Data'!$A$7:$A$366,Estimator!$B$4,'Climate Data'!$B$7:$B$366,C4713)</f>
        <v>6.4428571428571431</v>
      </c>
      <c r="J4713" s="86">
        <f>SUMIFS('Wind Proxy'!$H$8:$H$19,'Wind Proxy'!$A$8:$A$19,Estimator!$B$4,'Wind Proxy'!$B$8:$B$19,C4713)</f>
        <v>0</v>
      </c>
    </row>
    <row r="4714" spans="1:10" ht="14.4">
      <c r="A4714" s="84">
        <v>50365</v>
      </c>
      <c r="B4714" s="85">
        <v>2037</v>
      </c>
      <c r="C4714" s="85">
        <v>11</v>
      </c>
      <c r="D4714" s="85" t="s">
        <v>76</v>
      </c>
      <c r="E4714" s="85">
        <v>21</v>
      </c>
      <c r="F4714" s="85">
        <v>6</v>
      </c>
      <c r="G4714" s="85">
        <f>--(F4714&lt;=Estimator!$B$7)</f>
        <v>0</v>
      </c>
      <c r="H4714" s="86">
        <f>SUMIFS('Climate Data'!$G$7:$G$366,'Climate Data'!$A$7:$A$366,Estimator!$B$4,'Climate Data'!$B$7:$B$366,C4714)</f>
        <v>0.23333333333333334</v>
      </c>
      <c r="I4714" s="87">
        <f>SUMIFS('Climate Data'!$H$7:$H$366,'Climate Data'!$A$7:$A$366,Estimator!$B$4,'Climate Data'!$B$7:$B$366,C4714)</f>
        <v>6.4428571428571431</v>
      </c>
      <c r="J4714" s="86">
        <f>SUMIFS('Wind Proxy'!$H$8:$H$19,'Wind Proxy'!$A$8:$A$19,Estimator!$B$4,'Wind Proxy'!$B$8:$B$19,C4714)</f>
        <v>0</v>
      </c>
    </row>
    <row r="4715" spans="1:10" ht="14.4">
      <c r="A4715" s="84">
        <v>50366</v>
      </c>
      <c r="B4715" s="85">
        <v>2037</v>
      </c>
      <c r="C4715" s="85">
        <v>11</v>
      </c>
      <c r="D4715" s="85" t="s">
        <v>76</v>
      </c>
      <c r="E4715" s="85">
        <v>22</v>
      </c>
      <c r="F4715" s="85">
        <v>7</v>
      </c>
      <c r="G4715" s="85">
        <f>--(F4715&lt;=Estimator!$B$7)</f>
        <v>0</v>
      </c>
      <c r="H4715" s="86">
        <f>SUMIFS('Climate Data'!$G$7:$G$366,'Climate Data'!$A$7:$A$366,Estimator!$B$4,'Climate Data'!$B$7:$B$366,C4715)</f>
        <v>0.23333333333333334</v>
      </c>
      <c r="I4715" s="87">
        <f>SUMIFS('Climate Data'!$H$7:$H$366,'Climate Data'!$A$7:$A$366,Estimator!$B$4,'Climate Data'!$B$7:$B$366,C4715)</f>
        <v>6.4428571428571431</v>
      </c>
      <c r="J4715" s="86">
        <f>SUMIFS('Wind Proxy'!$H$8:$H$19,'Wind Proxy'!$A$8:$A$19,Estimator!$B$4,'Wind Proxy'!$B$8:$B$19,C4715)</f>
        <v>0</v>
      </c>
    </row>
    <row r="4716" spans="1:10" ht="14.4">
      <c r="A4716" s="84">
        <v>50367</v>
      </c>
      <c r="B4716" s="85">
        <v>2037</v>
      </c>
      <c r="C4716" s="85">
        <v>11</v>
      </c>
      <c r="D4716" s="85" t="s">
        <v>76</v>
      </c>
      <c r="E4716" s="85">
        <v>23</v>
      </c>
      <c r="F4716" s="85">
        <v>1</v>
      </c>
      <c r="G4716" s="85">
        <f>--(F4716&lt;=Estimator!$B$7)</f>
        <v>1</v>
      </c>
      <c r="H4716" s="86">
        <f>SUMIFS('Climate Data'!$G$7:$G$366,'Climate Data'!$A$7:$A$366,Estimator!$B$4,'Climate Data'!$B$7:$B$366,C4716)</f>
        <v>0.23333333333333334</v>
      </c>
      <c r="I4716" s="87">
        <f>SUMIFS('Climate Data'!$H$7:$H$366,'Climate Data'!$A$7:$A$366,Estimator!$B$4,'Climate Data'!$B$7:$B$366,C4716)</f>
        <v>6.4428571428571431</v>
      </c>
      <c r="J4716" s="86">
        <f>SUMIFS('Wind Proxy'!$H$8:$H$19,'Wind Proxy'!$A$8:$A$19,Estimator!$B$4,'Wind Proxy'!$B$8:$B$19,C4716)</f>
        <v>0</v>
      </c>
    </row>
    <row r="4717" spans="1:10" ht="14.4">
      <c r="A4717" s="84">
        <v>50368</v>
      </c>
      <c r="B4717" s="85">
        <v>2037</v>
      </c>
      <c r="C4717" s="85">
        <v>11</v>
      </c>
      <c r="D4717" s="85" t="s">
        <v>76</v>
      </c>
      <c r="E4717" s="85">
        <v>24</v>
      </c>
      <c r="F4717" s="85">
        <v>2</v>
      </c>
      <c r="G4717" s="85">
        <f>--(F4717&lt;=Estimator!$B$7)</f>
        <v>1</v>
      </c>
      <c r="H4717" s="86">
        <f>SUMIFS('Climate Data'!$G$7:$G$366,'Climate Data'!$A$7:$A$366,Estimator!$B$4,'Climate Data'!$B$7:$B$366,C4717)</f>
        <v>0.23333333333333334</v>
      </c>
      <c r="I4717" s="87">
        <f>SUMIFS('Climate Data'!$H$7:$H$366,'Climate Data'!$A$7:$A$366,Estimator!$B$4,'Climate Data'!$B$7:$B$366,C4717)</f>
        <v>6.4428571428571431</v>
      </c>
      <c r="J4717" s="86">
        <f>SUMIFS('Wind Proxy'!$H$8:$H$19,'Wind Proxy'!$A$8:$A$19,Estimator!$B$4,'Wind Proxy'!$B$8:$B$19,C4717)</f>
        <v>0</v>
      </c>
    </row>
    <row r="4718" spans="1:10" ht="14.4">
      <c r="A4718" s="84">
        <v>50369</v>
      </c>
      <c r="B4718" s="85">
        <v>2037</v>
      </c>
      <c r="C4718" s="85">
        <v>11</v>
      </c>
      <c r="D4718" s="85" t="s">
        <v>76</v>
      </c>
      <c r="E4718" s="85">
        <v>25</v>
      </c>
      <c r="F4718" s="85">
        <v>3</v>
      </c>
      <c r="G4718" s="85">
        <f>--(F4718&lt;=Estimator!$B$7)</f>
        <v>1</v>
      </c>
      <c r="H4718" s="86">
        <f>SUMIFS('Climate Data'!$G$7:$G$366,'Climate Data'!$A$7:$A$366,Estimator!$B$4,'Climate Data'!$B$7:$B$366,C4718)</f>
        <v>0.23333333333333334</v>
      </c>
      <c r="I4718" s="87">
        <f>SUMIFS('Climate Data'!$H$7:$H$366,'Climate Data'!$A$7:$A$366,Estimator!$B$4,'Climate Data'!$B$7:$B$366,C4718)</f>
        <v>6.4428571428571431</v>
      </c>
      <c r="J4718" s="86">
        <f>SUMIFS('Wind Proxy'!$H$8:$H$19,'Wind Proxy'!$A$8:$A$19,Estimator!$B$4,'Wind Proxy'!$B$8:$B$19,C4718)</f>
        <v>0</v>
      </c>
    </row>
    <row r="4719" spans="1:10" ht="14.4">
      <c r="A4719" s="84">
        <v>50370</v>
      </c>
      <c r="B4719" s="85">
        <v>2037</v>
      </c>
      <c r="C4719" s="85">
        <v>11</v>
      </c>
      <c r="D4719" s="85" t="s">
        <v>76</v>
      </c>
      <c r="E4719" s="85">
        <v>26</v>
      </c>
      <c r="F4719" s="85">
        <v>4</v>
      </c>
      <c r="G4719" s="85">
        <f>--(F4719&lt;=Estimator!$B$7)</f>
        <v>1</v>
      </c>
      <c r="H4719" s="86">
        <f>SUMIFS('Climate Data'!$G$7:$G$366,'Climate Data'!$A$7:$A$366,Estimator!$B$4,'Climate Data'!$B$7:$B$366,C4719)</f>
        <v>0.23333333333333334</v>
      </c>
      <c r="I4719" s="87">
        <f>SUMIFS('Climate Data'!$H$7:$H$366,'Climate Data'!$A$7:$A$366,Estimator!$B$4,'Climate Data'!$B$7:$B$366,C4719)</f>
        <v>6.4428571428571431</v>
      </c>
      <c r="J4719" s="86">
        <f>SUMIFS('Wind Proxy'!$H$8:$H$19,'Wind Proxy'!$A$8:$A$19,Estimator!$B$4,'Wind Proxy'!$B$8:$B$19,C4719)</f>
        <v>0</v>
      </c>
    </row>
    <row r="4720" spans="1:10" ht="14.4">
      <c r="A4720" s="84">
        <v>50371</v>
      </c>
      <c r="B4720" s="85">
        <v>2037</v>
      </c>
      <c r="C4720" s="85">
        <v>11</v>
      </c>
      <c r="D4720" s="85" t="s">
        <v>76</v>
      </c>
      <c r="E4720" s="85">
        <v>27</v>
      </c>
      <c r="F4720" s="85">
        <v>5</v>
      </c>
      <c r="G4720" s="85">
        <f>--(F4720&lt;=Estimator!$B$7)</f>
        <v>1</v>
      </c>
      <c r="H4720" s="86">
        <f>SUMIFS('Climate Data'!$G$7:$G$366,'Climate Data'!$A$7:$A$366,Estimator!$B$4,'Climate Data'!$B$7:$B$366,C4720)</f>
        <v>0.23333333333333334</v>
      </c>
      <c r="I4720" s="87">
        <f>SUMIFS('Climate Data'!$H$7:$H$366,'Climate Data'!$A$7:$A$366,Estimator!$B$4,'Climate Data'!$B$7:$B$366,C4720)</f>
        <v>6.4428571428571431</v>
      </c>
      <c r="J4720" s="86">
        <f>SUMIFS('Wind Proxy'!$H$8:$H$19,'Wind Proxy'!$A$8:$A$19,Estimator!$B$4,'Wind Proxy'!$B$8:$B$19,C4720)</f>
        <v>0</v>
      </c>
    </row>
    <row r="4721" spans="1:10" ht="14.4">
      <c r="A4721" s="84">
        <v>50372</v>
      </c>
      <c r="B4721" s="85">
        <v>2037</v>
      </c>
      <c r="C4721" s="85">
        <v>11</v>
      </c>
      <c r="D4721" s="85" t="s">
        <v>76</v>
      </c>
      <c r="E4721" s="85">
        <v>28</v>
      </c>
      <c r="F4721" s="85">
        <v>6</v>
      </c>
      <c r="G4721" s="85">
        <f>--(F4721&lt;=Estimator!$B$7)</f>
        <v>0</v>
      </c>
      <c r="H4721" s="86">
        <f>SUMIFS('Climate Data'!$G$7:$G$366,'Climate Data'!$A$7:$A$366,Estimator!$B$4,'Climate Data'!$B$7:$B$366,C4721)</f>
        <v>0.23333333333333334</v>
      </c>
      <c r="I4721" s="87">
        <f>SUMIFS('Climate Data'!$H$7:$H$366,'Climate Data'!$A$7:$A$366,Estimator!$B$4,'Climate Data'!$B$7:$B$366,C4721)</f>
        <v>6.4428571428571431</v>
      </c>
      <c r="J4721" s="86">
        <f>SUMIFS('Wind Proxy'!$H$8:$H$19,'Wind Proxy'!$A$8:$A$19,Estimator!$B$4,'Wind Proxy'!$B$8:$B$19,C4721)</f>
        <v>0</v>
      </c>
    </row>
    <row r="4722" spans="1:10" ht="14.4">
      <c r="A4722" s="84">
        <v>50373</v>
      </c>
      <c r="B4722" s="85">
        <v>2037</v>
      </c>
      <c r="C4722" s="85">
        <v>11</v>
      </c>
      <c r="D4722" s="85" t="s">
        <v>76</v>
      </c>
      <c r="E4722" s="85">
        <v>29</v>
      </c>
      <c r="F4722" s="85">
        <v>7</v>
      </c>
      <c r="G4722" s="85">
        <f>--(F4722&lt;=Estimator!$B$7)</f>
        <v>0</v>
      </c>
      <c r="H4722" s="86">
        <f>SUMIFS('Climate Data'!$G$7:$G$366,'Climate Data'!$A$7:$A$366,Estimator!$B$4,'Climate Data'!$B$7:$B$366,C4722)</f>
        <v>0.23333333333333334</v>
      </c>
      <c r="I4722" s="87">
        <f>SUMIFS('Climate Data'!$H$7:$H$366,'Climate Data'!$A$7:$A$366,Estimator!$B$4,'Climate Data'!$B$7:$B$366,C4722)</f>
        <v>6.4428571428571431</v>
      </c>
      <c r="J4722" s="86">
        <f>SUMIFS('Wind Proxy'!$H$8:$H$19,'Wind Proxy'!$A$8:$A$19,Estimator!$B$4,'Wind Proxy'!$B$8:$B$19,C4722)</f>
        <v>0</v>
      </c>
    </row>
    <row r="4723" spans="1:10" ht="14.4">
      <c r="A4723" s="84">
        <v>50374</v>
      </c>
      <c r="B4723" s="85">
        <v>2037</v>
      </c>
      <c r="C4723" s="85">
        <v>11</v>
      </c>
      <c r="D4723" s="85" t="s">
        <v>76</v>
      </c>
      <c r="E4723" s="85">
        <v>30</v>
      </c>
      <c r="F4723" s="85">
        <v>1</v>
      </c>
      <c r="G4723" s="85">
        <f>--(F4723&lt;=Estimator!$B$7)</f>
        <v>1</v>
      </c>
      <c r="H4723" s="86">
        <f>SUMIFS('Climate Data'!$G$7:$G$366,'Climate Data'!$A$7:$A$366,Estimator!$B$4,'Climate Data'!$B$7:$B$366,C4723)</f>
        <v>0.23333333333333334</v>
      </c>
      <c r="I4723" s="87">
        <f>SUMIFS('Climate Data'!$H$7:$H$366,'Climate Data'!$A$7:$A$366,Estimator!$B$4,'Climate Data'!$B$7:$B$366,C4723)</f>
        <v>6.4428571428571431</v>
      </c>
      <c r="J4723" s="86">
        <f>SUMIFS('Wind Proxy'!$H$8:$H$19,'Wind Proxy'!$A$8:$A$19,Estimator!$B$4,'Wind Proxy'!$B$8:$B$19,C4723)</f>
        <v>0</v>
      </c>
    </row>
    <row r="4724" spans="1:10" ht="14.4">
      <c r="A4724" s="84">
        <v>50375</v>
      </c>
      <c r="B4724" s="85">
        <v>2037</v>
      </c>
      <c r="C4724" s="85">
        <v>12</v>
      </c>
      <c r="D4724" s="85" t="s">
        <v>77</v>
      </c>
      <c r="E4724" s="85">
        <v>1</v>
      </c>
      <c r="F4724" s="85">
        <v>2</v>
      </c>
      <c r="G4724" s="85">
        <f>--(F4724&lt;=Estimator!$B$7)</f>
        <v>1</v>
      </c>
      <c r="H4724" s="86">
        <f>SUMIFS('Climate Data'!$G$7:$G$366,'Climate Data'!$A$7:$A$366,Estimator!$B$4,'Climate Data'!$B$7:$B$366,C4724)</f>
        <v>0.22688172043010751</v>
      </c>
      <c r="I4724" s="87">
        <f>SUMIFS('Climate Data'!$H$7:$H$366,'Climate Data'!$A$7:$A$366,Estimator!$B$4,'Climate Data'!$B$7:$B$366,C4724)</f>
        <v>6.7962085308056865</v>
      </c>
      <c r="J4724" s="86">
        <f>SUMIFS('Wind Proxy'!$H$8:$H$19,'Wind Proxy'!$A$8:$A$19,Estimator!$B$4,'Wind Proxy'!$B$8:$B$19,C4724)</f>
        <v>0</v>
      </c>
    </row>
    <row r="4725" spans="1:10" ht="14.4">
      <c r="A4725" s="84">
        <v>50376</v>
      </c>
      <c r="B4725" s="85">
        <v>2037</v>
      </c>
      <c r="C4725" s="85">
        <v>12</v>
      </c>
      <c r="D4725" s="85" t="s">
        <v>77</v>
      </c>
      <c r="E4725" s="85">
        <v>2</v>
      </c>
      <c r="F4725" s="85">
        <v>3</v>
      </c>
      <c r="G4725" s="85">
        <f>--(F4725&lt;=Estimator!$B$7)</f>
        <v>1</v>
      </c>
      <c r="H4725" s="86">
        <f>SUMIFS('Climate Data'!$G$7:$G$366,'Climate Data'!$A$7:$A$366,Estimator!$B$4,'Climate Data'!$B$7:$B$366,C4725)</f>
        <v>0.22688172043010751</v>
      </c>
      <c r="I4725" s="87">
        <f>SUMIFS('Climate Data'!$H$7:$H$366,'Climate Data'!$A$7:$A$366,Estimator!$B$4,'Climate Data'!$B$7:$B$366,C4725)</f>
        <v>6.7962085308056865</v>
      </c>
      <c r="J4725" s="86">
        <f>SUMIFS('Wind Proxy'!$H$8:$H$19,'Wind Proxy'!$A$8:$A$19,Estimator!$B$4,'Wind Proxy'!$B$8:$B$19,C4725)</f>
        <v>0</v>
      </c>
    </row>
    <row r="4726" spans="1:10" ht="14.4">
      <c r="A4726" s="84">
        <v>50377</v>
      </c>
      <c r="B4726" s="85">
        <v>2037</v>
      </c>
      <c r="C4726" s="85">
        <v>12</v>
      </c>
      <c r="D4726" s="85" t="s">
        <v>77</v>
      </c>
      <c r="E4726" s="85">
        <v>3</v>
      </c>
      <c r="F4726" s="85">
        <v>4</v>
      </c>
      <c r="G4726" s="85">
        <f>--(F4726&lt;=Estimator!$B$7)</f>
        <v>1</v>
      </c>
      <c r="H4726" s="86">
        <f>SUMIFS('Climate Data'!$G$7:$G$366,'Climate Data'!$A$7:$A$366,Estimator!$B$4,'Climate Data'!$B$7:$B$366,C4726)</f>
        <v>0.22688172043010751</v>
      </c>
      <c r="I4726" s="87">
        <f>SUMIFS('Climate Data'!$H$7:$H$366,'Climate Data'!$A$7:$A$366,Estimator!$B$4,'Climate Data'!$B$7:$B$366,C4726)</f>
        <v>6.7962085308056865</v>
      </c>
      <c r="J4726" s="86">
        <f>SUMIFS('Wind Proxy'!$H$8:$H$19,'Wind Proxy'!$A$8:$A$19,Estimator!$B$4,'Wind Proxy'!$B$8:$B$19,C4726)</f>
        <v>0</v>
      </c>
    </row>
    <row r="4727" spans="1:10" ht="14.4">
      <c r="A4727" s="84">
        <v>50378</v>
      </c>
      <c r="B4727" s="85">
        <v>2037</v>
      </c>
      <c r="C4727" s="85">
        <v>12</v>
      </c>
      <c r="D4727" s="85" t="s">
        <v>77</v>
      </c>
      <c r="E4727" s="85">
        <v>4</v>
      </c>
      <c r="F4727" s="85">
        <v>5</v>
      </c>
      <c r="G4727" s="85">
        <f>--(F4727&lt;=Estimator!$B$7)</f>
        <v>1</v>
      </c>
      <c r="H4727" s="86">
        <f>SUMIFS('Climate Data'!$G$7:$G$366,'Climate Data'!$A$7:$A$366,Estimator!$B$4,'Climate Data'!$B$7:$B$366,C4727)</f>
        <v>0.22688172043010751</v>
      </c>
      <c r="I4727" s="87">
        <f>SUMIFS('Climate Data'!$H$7:$H$366,'Climate Data'!$A$7:$A$366,Estimator!$B$4,'Climate Data'!$B$7:$B$366,C4727)</f>
        <v>6.7962085308056865</v>
      </c>
      <c r="J4727" s="86">
        <f>SUMIFS('Wind Proxy'!$H$8:$H$19,'Wind Proxy'!$A$8:$A$19,Estimator!$B$4,'Wind Proxy'!$B$8:$B$19,C4727)</f>
        <v>0</v>
      </c>
    </row>
    <row r="4728" spans="1:10" ht="14.4">
      <c r="A4728" s="84">
        <v>50379</v>
      </c>
      <c r="B4728" s="85">
        <v>2037</v>
      </c>
      <c r="C4728" s="85">
        <v>12</v>
      </c>
      <c r="D4728" s="85" t="s">
        <v>77</v>
      </c>
      <c r="E4728" s="85">
        <v>5</v>
      </c>
      <c r="F4728" s="85">
        <v>6</v>
      </c>
      <c r="G4728" s="85">
        <f>--(F4728&lt;=Estimator!$B$7)</f>
        <v>0</v>
      </c>
      <c r="H4728" s="86">
        <f>SUMIFS('Climate Data'!$G$7:$G$366,'Climate Data'!$A$7:$A$366,Estimator!$B$4,'Climate Data'!$B$7:$B$366,C4728)</f>
        <v>0.22688172043010751</v>
      </c>
      <c r="I4728" s="87">
        <f>SUMIFS('Climate Data'!$H$7:$H$366,'Climate Data'!$A$7:$A$366,Estimator!$B$4,'Climate Data'!$B$7:$B$366,C4728)</f>
        <v>6.7962085308056865</v>
      </c>
      <c r="J4728" s="86">
        <f>SUMIFS('Wind Proxy'!$H$8:$H$19,'Wind Proxy'!$A$8:$A$19,Estimator!$B$4,'Wind Proxy'!$B$8:$B$19,C4728)</f>
        <v>0</v>
      </c>
    </row>
    <row r="4729" spans="1:10" ht="14.4">
      <c r="A4729" s="84">
        <v>50380</v>
      </c>
      <c r="B4729" s="85">
        <v>2037</v>
      </c>
      <c r="C4729" s="85">
        <v>12</v>
      </c>
      <c r="D4729" s="85" t="s">
        <v>77</v>
      </c>
      <c r="E4729" s="85">
        <v>6</v>
      </c>
      <c r="F4729" s="85">
        <v>7</v>
      </c>
      <c r="G4729" s="85">
        <f>--(F4729&lt;=Estimator!$B$7)</f>
        <v>0</v>
      </c>
      <c r="H4729" s="86">
        <f>SUMIFS('Climate Data'!$G$7:$G$366,'Climate Data'!$A$7:$A$366,Estimator!$B$4,'Climate Data'!$B$7:$B$366,C4729)</f>
        <v>0.22688172043010751</v>
      </c>
      <c r="I4729" s="87">
        <f>SUMIFS('Climate Data'!$H$7:$H$366,'Climate Data'!$A$7:$A$366,Estimator!$B$4,'Climate Data'!$B$7:$B$366,C4729)</f>
        <v>6.7962085308056865</v>
      </c>
      <c r="J4729" s="86">
        <f>SUMIFS('Wind Proxy'!$H$8:$H$19,'Wind Proxy'!$A$8:$A$19,Estimator!$B$4,'Wind Proxy'!$B$8:$B$19,C4729)</f>
        <v>0</v>
      </c>
    </row>
    <row r="4730" spans="1:10" ht="14.4">
      <c r="A4730" s="84">
        <v>50381</v>
      </c>
      <c r="B4730" s="85">
        <v>2037</v>
      </c>
      <c r="C4730" s="85">
        <v>12</v>
      </c>
      <c r="D4730" s="85" t="s">
        <v>77</v>
      </c>
      <c r="E4730" s="85">
        <v>7</v>
      </c>
      <c r="F4730" s="85">
        <v>1</v>
      </c>
      <c r="G4730" s="85">
        <f>--(F4730&lt;=Estimator!$B$7)</f>
        <v>1</v>
      </c>
      <c r="H4730" s="86">
        <f>SUMIFS('Climate Data'!$G$7:$G$366,'Climate Data'!$A$7:$A$366,Estimator!$B$4,'Climate Data'!$B$7:$B$366,C4730)</f>
        <v>0.22688172043010751</v>
      </c>
      <c r="I4730" s="87">
        <f>SUMIFS('Climate Data'!$H$7:$H$366,'Climate Data'!$A$7:$A$366,Estimator!$B$4,'Climate Data'!$B$7:$B$366,C4730)</f>
        <v>6.7962085308056865</v>
      </c>
      <c r="J4730" s="86">
        <f>SUMIFS('Wind Proxy'!$H$8:$H$19,'Wind Proxy'!$A$8:$A$19,Estimator!$B$4,'Wind Proxy'!$B$8:$B$19,C4730)</f>
        <v>0</v>
      </c>
    </row>
    <row r="4731" spans="1:10" ht="14.4">
      <c r="A4731" s="84">
        <v>50382</v>
      </c>
      <c r="B4731" s="85">
        <v>2037</v>
      </c>
      <c r="C4731" s="85">
        <v>12</v>
      </c>
      <c r="D4731" s="85" t="s">
        <v>77</v>
      </c>
      <c r="E4731" s="85">
        <v>8</v>
      </c>
      <c r="F4731" s="85">
        <v>2</v>
      </c>
      <c r="G4731" s="85">
        <f>--(F4731&lt;=Estimator!$B$7)</f>
        <v>1</v>
      </c>
      <c r="H4731" s="86">
        <f>SUMIFS('Climate Data'!$G$7:$G$366,'Climate Data'!$A$7:$A$366,Estimator!$B$4,'Climate Data'!$B$7:$B$366,C4731)</f>
        <v>0.22688172043010751</v>
      </c>
      <c r="I4731" s="87">
        <f>SUMIFS('Climate Data'!$H$7:$H$366,'Climate Data'!$A$7:$A$366,Estimator!$B$4,'Climate Data'!$B$7:$B$366,C4731)</f>
        <v>6.7962085308056865</v>
      </c>
      <c r="J4731" s="86">
        <f>SUMIFS('Wind Proxy'!$H$8:$H$19,'Wind Proxy'!$A$8:$A$19,Estimator!$B$4,'Wind Proxy'!$B$8:$B$19,C4731)</f>
        <v>0</v>
      </c>
    </row>
    <row r="4732" spans="1:10" ht="14.4">
      <c r="A4732" s="84">
        <v>50383</v>
      </c>
      <c r="B4732" s="85">
        <v>2037</v>
      </c>
      <c r="C4732" s="85">
        <v>12</v>
      </c>
      <c r="D4732" s="85" t="s">
        <v>77</v>
      </c>
      <c r="E4732" s="85">
        <v>9</v>
      </c>
      <c r="F4732" s="85">
        <v>3</v>
      </c>
      <c r="G4732" s="85">
        <f>--(F4732&lt;=Estimator!$B$7)</f>
        <v>1</v>
      </c>
      <c r="H4732" s="86">
        <f>SUMIFS('Climate Data'!$G$7:$G$366,'Climate Data'!$A$7:$A$366,Estimator!$B$4,'Climate Data'!$B$7:$B$366,C4732)</f>
        <v>0.22688172043010751</v>
      </c>
      <c r="I4732" s="87">
        <f>SUMIFS('Climate Data'!$H$7:$H$366,'Climate Data'!$A$7:$A$366,Estimator!$B$4,'Climate Data'!$B$7:$B$366,C4732)</f>
        <v>6.7962085308056865</v>
      </c>
      <c r="J4732" s="86">
        <f>SUMIFS('Wind Proxy'!$H$8:$H$19,'Wind Proxy'!$A$8:$A$19,Estimator!$B$4,'Wind Proxy'!$B$8:$B$19,C4732)</f>
        <v>0</v>
      </c>
    </row>
    <row r="4733" spans="1:10" ht="14.4">
      <c r="A4733" s="84">
        <v>50384</v>
      </c>
      <c r="B4733" s="85">
        <v>2037</v>
      </c>
      <c r="C4733" s="85">
        <v>12</v>
      </c>
      <c r="D4733" s="85" t="s">
        <v>77</v>
      </c>
      <c r="E4733" s="85">
        <v>10</v>
      </c>
      <c r="F4733" s="85">
        <v>4</v>
      </c>
      <c r="G4733" s="85">
        <f>--(F4733&lt;=Estimator!$B$7)</f>
        <v>1</v>
      </c>
      <c r="H4733" s="86">
        <f>SUMIFS('Climate Data'!$G$7:$G$366,'Climate Data'!$A$7:$A$366,Estimator!$B$4,'Climate Data'!$B$7:$B$366,C4733)</f>
        <v>0.22688172043010751</v>
      </c>
      <c r="I4733" s="87">
        <f>SUMIFS('Climate Data'!$H$7:$H$366,'Climate Data'!$A$7:$A$366,Estimator!$B$4,'Climate Data'!$B$7:$B$366,C4733)</f>
        <v>6.7962085308056865</v>
      </c>
      <c r="J4733" s="86">
        <f>SUMIFS('Wind Proxy'!$H$8:$H$19,'Wind Proxy'!$A$8:$A$19,Estimator!$B$4,'Wind Proxy'!$B$8:$B$19,C4733)</f>
        <v>0</v>
      </c>
    </row>
    <row r="4734" spans="1:10" ht="14.4">
      <c r="A4734" s="84">
        <v>50385</v>
      </c>
      <c r="B4734" s="85">
        <v>2037</v>
      </c>
      <c r="C4734" s="85">
        <v>12</v>
      </c>
      <c r="D4734" s="85" t="s">
        <v>77</v>
      </c>
      <c r="E4734" s="85">
        <v>11</v>
      </c>
      <c r="F4734" s="85">
        <v>5</v>
      </c>
      <c r="G4734" s="85">
        <f>--(F4734&lt;=Estimator!$B$7)</f>
        <v>1</v>
      </c>
      <c r="H4734" s="86">
        <f>SUMIFS('Climate Data'!$G$7:$G$366,'Climate Data'!$A$7:$A$366,Estimator!$B$4,'Climate Data'!$B$7:$B$366,C4734)</f>
        <v>0.22688172043010751</v>
      </c>
      <c r="I4734" s="87">
        <f>SUMIFS('Climate Data'!$H$7:$H$366,'Climate Data'!$A$7:$A$366,Estimator!$B$4,'Climate Data'!$B$7:$B$366,C4734)</f>
        <v>6.7962085308056865</v>
      </c>
      <c r="J4734" s="86">
        <f>SUMIFS('Wind Proxy'!$H$8:$H$19,'Wind Proxy'!$A$8:$A$19,Estimator!$B$4,'Wind Proxy'!$B$8:$B$19,C4734)</f>
        <v>0</v>
      </c>
    </row>
    <row r="4735" spans="1:10" ht="14.4">
      <c r="A4735" s="84">
        <v>50386</v>
      </c>
      <c r="B4735" s="85">
        <v>2037</v>
      </c>
      <c r="C4735" s="85">
        <v>12</v>
      </c>
      <c r="D4735" s="85" t="s">
        <v>77</v>
      </c>
      <c r="E4735" s="85">
        <v>12</v>
      </c>
      <c r="F4735" s="85">
        <v>6</v>
      </c>
      <c r="G4735" s="85">
        <f>--(F4735&lt;=Estimator!$B$7)</f>
        <v>0</v>
      </c>
      <c r="H4735" s="86">
        <f>SUMIFS('Climate Data'!$G$7:$G$366,'Climate Data'!$A$7:$A$366,Estimator!$B$4,'Climate Data'!$B$7:$B$366,C4735)</f>
        <v>0.22688172043010751</v>
      </c>
      <c r="I4735" s="87">
        <f>SUMIFS('Climate Data'!$H$7:$H$366,'Climate Data'!$A$7:$A$366,Estimator!$B$4,'Climate Data'!$B$7:$B$366,C4735)</f>
        <v>6.7962085308056865</v>
      </c>
      <c r="J4735" s="86">
        <f>SUMIFS('Wind Proxy'!$H$8:$H$19,'Wind Proxy'!$A$8:$A$19,Estimator!$B$4,'Wind Proxy'!$B$8:$B$19,C4735)</f>
        <v>0</v>
      </c>
    </row>
    <row r="4736" spans="1:10" ht="14.4">
      <c r="A4736" s="84">
        <v>50387</v>
      </c>
      <c r="B4736" s="85">
        <v>2037</v>
      </c>
      <c r="C4736" s="85">
        <v>12</v>
      </c>
      <c r="D4736" s="85" t="s">
        <v>77</v>
      </c>
      <c r="E4736" s="85">
        <v>13</v>
      </c>
      <c r="F4736" s="85">
        <v>7</v>
      </c>
      <c r="G4736" s="85">
        <f>--(F4736&lt;=Estimator!$B$7)</f>
        <v>0</v>
      </c>
      <c r="H4736" s="86">
        <f>SUMIFS('Climate Data'!$G$7:$G$366,'Climate Data'!$A$7:$A$366,Estimator!$B$4,'Climate Data'!$B$7:$B$366,C4736)</f>
        <v>0.22688172043010751</v>
      </c>
      <c r="I4736" s="87">
        <f>SUMIFS('Climate Data'!$H$7:$H$366,'Climate Data'!$A$7:$A$366,Estimator!$B$4,'Climate Data'!$B$7:$B$366,C4736)</f>
        <v>6.7962085308056865</v>
      </c>
      <c r="J4736" s="86">
        <f>SUMIFS('Wind Proxy'!$H$8:$H$19,'Wind Proxy'!$A$8:$A$19,Estimator!$B$4,'Wind Proxy'!$B$8:$B$19,C4736)</f>
        <v>0</v>
      </c>
    </row>
    <row r="4737" spans="1:10" ht="14.4">
      <c r="A4737" s="84">
        <v>50388</v>
      </c>
      <c r="B4737" s="85">
        <v>2037</v>
      </c>
      <c r="C4737" s="85">
        <v>12</v>
      </c>
      <c r="D4737" s="85" t="s">
        <v>77</v>
      </c>
      <c r="E4737" s="85">
        <v>14</v>
      </c>
      <c r="F4737" s="85">
        <v>1</v>
      </c>
      <c r="G4737" s="85">
        <f>--(F4737&lt;=Estimator!$B$7)</f>
        <v>1</v>
      </c>
      <c r="H4737" s="86">
        <f>SUMIFS('Climate Data'!$G$7:$G$366,'Climate Data'!$A$7:$A$366,Estimator!$B$4,'Climate Data'!$B$7:$B$366,C4737)</f>
        <v>0.22688172043010751</v>
      </c>
      <c r="I4737" s="87">
        <f>SUMIFS('Climate Data'!$H$7:$H$366,'Climate Data'!$A$7:$A$366,Estimator!$B$4,'Climate Data'!$B$7:$B$366,C4737)</f>
        <v>6.7962085308056865</v>
      </c>
      <c r="J4737" s="86">
        <f>SUMIFS('Wind Proxy'!$H$8:$H$19,'Wind Proxy'!$A$8:$A$19,Estimator!$B$4,'Wind Proxy'!$B$8:$B$19,C4737)</f>
        <v>0</v>
      </c>
    </row>
    <row r="4738" spans="1:10" ht="14.4">
      <c r="A4738" s="84">
        <v>50389</v>
      </c>
      <c r="B4738" s="85">
        <v>2037</v>
      </c>
      <c r="C4738" s="85">
        <v>12</v>
      </c>
      <c r="D4738" s="85" t="s">
        <v>77</v>
      </c>
      <c r="E4738" s="85">
        <v>15</v>
      </c>
      <c r="F4738" s="85">
        <v>2</v>
      </c>
      <c r="G4738" s="85">
        <f>--(F4738&lt;=Estimator!$B$7)</f>
        <v>1</v>
      </c>
      <c r="H4738" s="86">
        <f>SUMIFS('Climate Data'!$G$7:$G$366,'Climate Data'!$A$7:$A$366,Estimator!$B$4,'Climate Data'!$B$7:$B$366,C4738)</f>
        <v>0.22688172043010751</v>
      </c>
      <c r="I4738" s="87">
        <f>SUMIFS('Climate Data'!$H$7:$H$366,'Climate Data'!$A$7:$A$366,Estimator!$B$4,'Climate Data'!$B$7:$B$366,C4738)</f>
        <v>6.7962085308056865</v>
      </c>
      <c r="J4738" s="86">
        <f>SUMIFS('Wind Proxy'!$H$8:$H$19,'Wind Proxy'!$A$8:$A$19,Estimator!$B$4,'Wind Proxy'!$B$8:$B$19,C4738)</f>
        <v>0</v>
      </c>
    </row>
    <row r="4739" spans="1:10" ht="14.4">
      <c r="A4739" s="84">
        <v>50390</v>
      </c>
      <c r="B4739" s="85">
        <v>2037</v>
      </c>
      <c r="C4739" s="85">
        <v>12</v>
      </c>
      <c r="D4739" s="85" t="s">
        <v>77</v>
      </c>
      <c r="E4739" s="85">
        <v>16</v>
      </c>
      <c r="F4739" s="85">
        <v>3</v>
      </c>
      <c r="G4739" s="85">
        <f>--(F4739&lt;=Estimator!$B$7)</f>
        <v>1</v>
      </c>
      <c r="H4739" s="86">
        <f>SUMIFS('Climate Data'!$G$7:$G$366,'Climate Data'!$A$7:$A$366,Estimator!$B$4,'Climate Data'!$B$7:$B$366,C4739)</f>
        <v>0.22688172043010751</v>
      </c>
      <c r="I4739" s="87">
        <f>SUMIFS('Climate Data'!$H$7:$H$366,'Climate Data'!$A$7:$A$366,Estimator!$B$4,'Climate Data'!$B$7:$B$366,C4739)</f>
        <v>6.7962085308056865</v>
      </c>
      <c r="J4739" s="86">
        <f>SUMIFS('Wind Proxy'!$H$8:$H$19,'Wind Proxy'!$A$8:$A$19,Estimator!$B$4,'Wind Proxy'!$B$8:$B$19,C4739)</f>
        <v>0</v>
      </c>
    </row>
    <row r="4740" spans="1:10" ht="14.4">
      <c r="A4740" s="84">
        <v>50391</v>
      </c>
      <c r="B4740" s="85">
        <v>2037</v>
      </c>
      <c r="C4740" s="85">
        <v>12</v>
      </c>
      <c r="D4740" s="85" t="s">
        <v>77</v>
      </c>
      <c r="E4740" s="85">
        <v>17</v>
      </c>
      <c r="F4740" s="85">
        <v>4</v>
      </c>
      <c r="G4740" s="85">
        <f>--(F4740&lt;=Estimator!$B$7)</f>
        <v>1</v>
      </c>
      <c r="H4740" s="86">
        <f>SUMIFS('Climate Data'!$G$7:$G$366,'Climate Data'!$A$7:$A$366,Estimator!$B$4,'Climate Data'!$B$7:$B$366,C4740)</f>
        <v>0.22688172043010751</v>
      </c>
      <c r="I4740" s="87">
        <f>SUMIFS('Climate Data'!$H$7:$H$366,'Climate Data'!$A$7:$A$366,Estimator!$B$4,'Climate Data'!$B$7:$B$366,C4740)</f>
        <v>6.7962085308056865</v>
      </c>
      <c r="J4740" s="86">
        <f>SUMIFS('Wind Proxy'!$H$8:$H$19,'Wind Proxy'!$A$8:$A$19,Estimator!$B$4,'Wind Proxy'!$B$8:$B$19,C4740)</f>
        <v>0</v>
      </c>
    </row>
    <row r="4741" spans="1:10" ht="14.4">
      <c r="A4741" s="84">
        <v>50392</v>
      </c>
      <c r="B4741" s="85">
        <v>2037</v>
      </c>
      <c r="C4741" s="85">
        <v>12</v>
      </c>
      <c r="D4741" s="85" t="s">
        <v>77</v>
      </c>
      <c r="E4741" s="85">
        <v>18</v>
      </c>
      <c r="F4741" s="85">
        <v>5</v>
      </c>
      <c r="G4741" s="85">
        <f>--(F4741&lt;=Estimator!$B$7)</f>
        <v>1</v>
      </c>
      <c r="H4741" s="86">
        <f>SUMIFS('Climate Data'!$G$7:$G$366,'Climate Data'!$A$7:$A$366,Estimator!$B$4,'Climate Data'!$B$7:$B$366,C4741)</f>
        <v>0.22688172043010751</v>
      </c>
      <c r="I4741" s="87">
        <f>SUMIFS('Climate Data'!$H$7:$H$366,'Climate Data'!$A$7:$A$366,Estimator!$B$4,'Climate Data'!$B$7:$B$366,C4741)</f>
        <v>6.7962085308056865</v>
      </c>
      <c r="J4741" s="86">
        <f>SUMIFS('Wind Proxy'!$H$8:$H$19,'Wind Proxy'!$A$8:$A$19,Estimator!$B$4,'Wind Proxy'!$B$8:$B$19,C4741)</f>
        <v>0</v>
      </c>
    </row>
    <row r="4742" spans="1:10" ht="14.4">
      <c r="A4742" s="84">
        <v>50393</v>
      </c>
      <c r="B4742" s="85">
        <v>2037</v>
      </c>
      <c r="C4742" s="85">
        <v>12</v>
      </c>
      <c r="D4742" s="85" t="s">
        <v>77</v>
      </c>
      <c r="E4742" s="85">
        <v>19</v>
      </c>
      <c r="F4742" s="85">
        <v>6</v>
      </c>
      <c r="G4742" s="85">
        <f>--(F4742&lt;=Estimator!$B$7)</f>
        <v>0</v>
      </c>
      <c r="H4742" s="86">
        <f>SUMIFS('Climate Data'!$G$7:$G$366,'Climate Data'!$A$7:$A$366,Estimator!$B$4,'Climate Data'!$B$7:$B$366,C4742)</f>
        <v>0.22688172043010751</v>
      </c>
      <c r="I4742" s="87">
        <f>SUMIFS('Climate Data'!$H$7:$H$366,'Climate Data'!$A$7:$A$366,Estimator!$B$4,'Climate Data'!$B$7:$B$366,C4742)</f>
        <v>6.7962085308056865</v>
      </c>
      <c r="J4742" s="86">
        <f>SUMIFS('Wind Proxy'!$H$8:$H$19,'Wind Proxy'!$A$8:$A$19,Estimator!$B$4,'Wind Proxy'!$B$8:$B$19,C4742)</f>
        <v>0</v>
      </c>
    </row>
    <row r="4743" spans="1:10" ht="14.4">
      <c r="A4743" s="84">
        <v>50394</v>
      </c>
      <c r="B4743" s="85">
        <v>2037</v>
      </c>
      <c r="C4743" s="85">
        <v>12</v>
      </c>
      <c r="D4743" s="85" t="s">
        <v>77</v>
      </c>
      <c r="E4743" s="85">
        <v>20</v>
      </c>
      <c r="F4743" s="85">
        <v>7</v>
      </c>
      <c r="G4743" s="85">
        <f>--(F4743&lt;=Estimator!$B$7)</f>
        <v>0</v>
      </c>
      <c r="H4743" s="86">
        <f>SUMIFS('Climate Data'!$G$7:$G$366,'Climate Data'!$A$7:$A$366,Estimator!$B$4,'Climate Data'!$B$7:$B$366,C4743)</f>
        <v>0.22688172043010751</v>
      </c>
      <c r="I4743" s="87">
        <f>SUMIFS('Climate Data'!$H$7:$H$366,'Climate Data'!$A$7:$A$366,Estimator!$B$4,'Climate Data'!$B$7:$B$366,C4743)</f>
        <v>6.7962085308056865</v>
      </c>
      <c r="J4743" s="86">
        <f>SUMIFS('Wind Proxy'!$H$8:$H$19,'Wind Proxy'!$A$8:$A$19,Estimator!$B$4,'Wind Proxy'!$B$8:$B$19,C4743)</f>
        <v>0</v>
      </c>
    </row>
    <row r="4744" spans="1:10" ht="14.4">
      <c r="A4744" s="84">
        <v>50395</v>
      </c>
      <c r="B4744" s="85">
        <v>2037</v>
      </c>
      <c r="C4744" s="85">
        <v>12</v>
      </c>
      <c r="D4744" s="85" t="s">
        <v>77</v>
      </c>
      <c r="E4744" s="85">
        <v>21</v>
      </c>
      <c r="F4744" s="85">
        <v>1</v>
      </c>
      <c r="G4744" s="85">
        <f>--(F4744&lt;=Estimator!$B$7)</f>
        <v>1</v>
      </c>
      <c r="H4744" s="86">
        <f>SUMIFS('Climate Data'!$G$7:$G$366,'Climate Data'!$A$7:$A$366,Estimator!$B$4,'Climate Data'!$B$7:$B$366,C4744)</f>
        <v>0.22688172043010751</v>
      </c>
      <c r="I4744" s="87">
        <f>SUMIFS('Climate Data'!$H$7:$H$366,'Climate Data'!$A$7:$A$366,Estimator!$B$4,'Climate Data'!$B$7:$B$366,C4744)</f>
        <v>6.7962085308056865</v>
      </c>
      <c r="J4744" s="86">
        <f>SUMIFS('Wind Proxy'!$H$8:$H$19,'Wind Proxy'!$A$8:$A$19,Estimator!$B$4,'Wind Proxy'!$B$8:$B$19,C4744)</f>
        <v>0</v>
      </c>
    </row>
    <row r="4745" spans="1:10" ht="14.4">
      <c r="A4745" s="84">
        <v>50396</v>
      </c>
      <c r="B4745" s="85">
        <v>2037</v>
      </c>
      <c r="C4745" s="85">
        <v>12</v>
      </c>
      <c r="D4745" s="85" t="s">
        <v>77</v>
      </c>
      <c r="E4745" s="85">
        <v>22</v>
      </c>
      <c r="F4745" s="85">
        <v>2</v>
      </c>
      <c r="G4745" s="85">
        <f>--(F4745&lt;=Estimator!$B$7)</f>
        <v>1</v>
      </c>
      <c r="H4745" s="86">
        <f>SUMIFS('Climate Data'!$G$7:$G$366,'Climate Data'!$A$7:$A$366,Estimator!$B$4,'Climate Data'!$B$7:$B$366,C4745)</f>
        <v>0.22688172043010751</v>
      </c>
      <c r="I4745" s="87">
        <f>SUMIFS('Climate Data'!$H$7:$H$366,'Climate Data'!$A$7:$A$366,Estimator!$B$4,'Climate Data'!$B$7:$B$366,C4745)</f>
        <v>6.7962085308056865</v>
      </c>
      <c r="J4745" s="86">
        <f>SUMIFS('Wind Proxy'!$H$8:$H$19,'Wind Proxy'!$A$8:$A$19,Estimator!$B$4,'Wind Proxy'!$B$8:$B$19,C4745)</f>
        <v>0</v>
      </c>
    </row>
    <row r="4746" spans="1:10" ht="14.4">
      <c r="A4746" s="84">
        <v>50397</v>
      </c>
      <c r="B4746" s="85">
        <v>2037</v>
      </c>
      <c r="C4746" s="85">
        <v>12</v>
      </c>
      <c r="D4746" s="85" t="s">
        <v>77</v>
      </c>
      <c r="E4746" s="85">
        <v>23</v>
      </c>
      <c r="F4746" s="85">
        <v>3</v>
      </c>
      <c r="G4746" s="85">
        <f>--(F4746&lt;=Estimator!$B$7)</f>
        <v>1</v>
      </c>
      <c r="H4746" s="86">
        <f>SUMIFS('Climate Data'!$G$7:$G$366,'Climate Data'!$A$7:$A$366,Estimator!$B$4,'Climate Data'!$B$7:$B$366,C4746)</f>
        <v>0.22688172043010751</v>
      </c>
      <c r="I4746" s="87">
        <f>SUMIFS('Climate Data'!$H$7:$H$366,'Climate Data'!$A$7:$A$366,Estimator!$B$4,'Climate Data'!$B$7:$B$366,C4746)</f>
        <v>6.7962085308056865</v>
      </c>
      <c r="J4746" s="86">
        <f>SUMIFS('Wind Proxy'!$H$8:$H$19,'Wind Proxy'!$A$8:$A$19,Estimator!$B$4,'Wind Proxy'!$B$8:$B$19,C4746)</f>
        <v>0</v>
      </c>
    </row>
    <row r="4747" spans="1:10" ht="14.4">
      <c r="A4747" s="84">
        <v>50398</v>
      </c>
      <c r="B4747" s="85">
        <v>2037</v>
      </c>
      <c r="C4747" s="85">
        <v>12</v>
      </c>
      <c r="D4747" s="85" t="s">
        <v>77</v>
      </c>
      <c r="E4747" s="85">
        <v>24</v>
      </c>
      <c r="F4747" s="85">
        <v>4</v>
      </c>
      <c r="G4747" s="85">
        <f>--(F4747&lt;=Estimator!$B$7)</f>
        <v>1</v>
      </c>
      <c r="H4747" s="86">
        <f>SUMIFS('Climate Data'!$G$7:$G$366,'Climate Data'!$A$7:$A$366,Estimator!$B$4,'Climate Data'!$B$7:$B$366,C4747)</f>
        <v>0.22688172043010751</v>
      </c>
      <c r="I4747" s="87">
        <f>SUMIFS('Climate Data'!$H$7:$H$366,'Climate Data'!$A$7:$A$366,Estimator!$B$4,'Climate Data'!$B$7:$B$366,C4747)</f>
        <v>6.7962085308056865</v>
      </c>
      <c r="J4747" s="86">
        <f>SUMIFS('Wind Proxy'!$H$8:$H$19,'Wind Proxy'!$A$8:$A$19,Estimator!$B$4,'Wind Proxy'!$B$8:$B$19,C4747)</f>
        <v>0</v>
      </c>
    </row>
    <row r="4748" spans="1:10" ht="14.4">
      <c r="A4748" s="84">
        <v>50399</v>
      </c>
      <c r="B4748" s="85">
        <v>2037</v>
      </c>
      <c r="C4748" s="85">
        <v>12</v>
      </c>
      <c r="D4748" s="85" t="s">
        <v>77</v>
      </c>
      <c r="E4748" s="85">
        <v>25</v>
      </c>
      <c r="F4748" s="85">
        <v>5</v>
      </c>
      <c r="G4748" s="85">
        <f>--(F4748&lt;=Estimator!$B$7)</f>
        <v>1</v>
      </c>
      <c r="H4748" s="86">
        <f>SUMIFS('Climate Data'!$G$7:$G$366,'Climate Data'!$A$7:$A$366,Estimator!$B$4,'Climate Data'!$B$7:$B$366,C4748)</f>
        <v>0.22688172043010751</v>
      </c>
      <c r="I4748" s="87">
        <f>SUMIFS('Climate Data'!$H$7:$H$366,'Climate Data'!$A$7:$A$366,Estimator!$B$4,'Climate Data'!$B$7:$B$366,C4748)</f>
        <v>6.7962085308056865</v>
      </c>
      <c r="J4748" s="86">
        <f>SUMIFS('Wind Proxy'!$H$8:$H$19,'Wind Proxy'!$A$8:$A$19,Estimator!$B$4,'Wind Proxy'!$B$8:$B$19,C4748)</f>
        <v>0</v>
      </c>
    </row>
    <row r="4749" spans="1:10" ht="14.4">
      <c r="A4749" s="84">
        <v>50400</v>
      </c>
      <c r="B4749" s="85">
        <v>2037</v>
      </c>
      <c r="C4749" s="85">
        <v>12</v>
      </c>
      <c r="D4749" s="85" t="s">
        <v>77</v>
      </c>
      <c r="E4749" s="85">
        <v>26</v>
      </c>
      <c r="F4749" s="85">
        <v>6</v>
      </c>
      <c r="G4749" s="85">
        <f>--(F4749&lt;=Estimator!$B$7)</f>
        <v>0</v>
      </c>
      <c r="H4749" s="86">
        <f>SUMIFS('Climate Data'!$G$7:$G$366,'Climate Data'!$A$7:$A$366,Estimator!$B$4,'Climate Data'!$B$7:$B$366,C4749)</f>
        <v>0.22688172043010751</v>
      </c>
      <c r="I4749" s="87">
        <f>SUMIFS('Climate Data'!$H$7:$H$366,'Climate Data'!$A$7:$A$366,Estimator!$B$4,'Climate Data'!$B$7:$B$366,C4749)</f>
        <v>6.7962085308056865</v>
      </c>
      <c r="J4749" s="86">
        <f>SUMIFS('Wind Proxy'!$H$8:$H$19,'Wind Proxy'!$A$8:$A$19,Estimator!$B$4,'Wind Proxy'!$B$8:$B$19,C4749)</f>
        <v>0</v>
      </c>
    </row>
    <row r="4750" spans="1:10" ht="14.4">
      <c r="A4750" s="84">
        <v>50401</v>
      </c>
      <c r="B4750" s="85">
        <v>2037</v>
      </c>
      <c r="C4750" s="85">
        <v>12</v>
      </c>
      <c r="D4750" s="85" t="s">
        <v>77</v>
      </c>
      <c r="E4750" s="85">
        <v>27</v>
      </c>
      <c r="F4750" s="85">
        <v>7</v>
      </c>
      <c r="G4750" s="85">
        <f>--(F4750&lt;=Estimator!$B$7)</f>
        <v>0</v>
      </c>
      <c r="H4750" s="86">
        <f>SUMIFS('Climate Data'!$G$7:$G$366,'Climate Data'!$A$7:$A$366,Estimator!$B$4,'Climate Data'!$B$7:$B$366,C4750)</f>
        <v>0.22688172043010751</v>
      </c>
      <c r="I4750" s="87">
        <f>SUMIFS('Climate Data'!$H$7:$H$366,'Climate Data'!$A$7:$A$366,Estimator!$B$4,'Climate Data'!$B$7:$B$366,C4750)</f>
        <v>6.7962085308056865</v>
      </c>
      <c r="J4750" s="86">
        <f>SUMIFS('Wind Proxy'!$H$8:$H$19,'Wind Proxy'!$A$8:$A$19,Estimator!$B$4,'Wind Proxy'!$B$8:$B$19,C4750)</f>
        <v>0</v>
      </c>
    </row>
    <row r="4751" spans="1:10" ht="14.4">
      <c r="A4751" s="84">
        <v>50402</v>
      </c>
      <c r="B4751" s="85">
        <v>2037</v>
      </c>
      <c r="C4751" s="85">
        <v>12</v>
      </c>
      <c r="D4751" s="85" t="s">
        <v>77</v>
      </c>
      <c r="E4751" s="85">
        <v>28</v>
      </c>
      <c r="F4751" s="85">
        <v>1</v>
      </c>
      <c r="G4751" s="85">
        <f>--(F4751&lt;=Estimator!$B$7)</f>
        <v>1</v>
      </c>
      <c r="H4751" s="86">
        <f>SUMIFS('Climate Data'!$G$7:$G$366,'Climate Data'!$A$7:$A$366,Estimator!$B$4,'Climate Data'!$B$7:$B$366,C4751)</f>
        <v>0.22688172043010751</v>
      </c>
      <c r="I4751" s="87">
        <f>SUMIFS('Climate Data'!$H$7:$H$366,'Climate Data'!$A$7:$A$366,Estimator!$B$4,'Climate Data'!$B$7:$B$366,C4751)</f>
        <v>6.7962085308056865</v>
      </c>
      <c r="J4751" s="86">
        <f>SUMIFS('Wind Proxy'!$H$8:$H$19,'Wind Proxy'!$A$8:$A$19,Estimator!$B$4,'Wind Proxy'!$B$8:$B$19,C4751)</f>
        <v>0</v>
      </c>
    </row>
    <row r="4752" spans="1:10" ht="14.4">
      <c r="A4752" s="84">
        <v>50403</v>
      </c>
      <c r="B4752" s="85">
        <v>2037</v>
      </c>
      <c r="C4752" s="85">
        <v>12</v>
      </c>
      <c r="D4752" s="85" t="s">
        <v>77</v>
      </c>
      <c r="E4752" s="85">
        <v>29</v>
      </c>
      <c r="F4752" s="85">
        <v>2</v>
      </c>
      <c r="G4752" s="85">
        <f>--(F4752&lt;=Estimator!$B$7)</f>
        <v>1</v>
      </c>
      <c r="H4752" s="86">
        <f>SUMIFS('Climate Data'!$G$7:$G$366,'Climate Data'!$A$7:$A$366,Estimator!$B$4,'Climate Data'!$B$7:$B$366,C4752)</f>
        <v>0.22688172043010751</v>
      </c>
      <c r="I4752" s="87">
        <f>SUMIFS('Climate Data'!$H$7:$H$366,'Climate Data'!$A$7:$A$366,Estimator!$B$4,'Climate Data'!$B$7:$B$366,C4752)</f>
        <v>6.7962085308056865</v>
      </c>
      <c r="J4752" s="86">
        <f>SUMIFS('Wind Proxy'!$H$8:$H$19,'Wind Proxy'!$A$8:$A$19,Estimator!$B$4,'Wind Proxy'!$B$8:$B$19,C4752)</f>
        <v>0</v>
      </c>
    </row>
    <row r="4753" spans="1:10" ht="14.4">
      <c r="A4753" s="84">
        <v>50404</v>
      </c>
      <c r="B4753" s="85">
        <v>2037</v>
      </c>
      <c r="C4753" s="85">
        <v>12</v>
      </c>
      <c r="D4753" s="85" t="s">
        <v>77</v>
      </c>
      <c r="E4753" s="85">
        <v>30</v>
      </c>
      <c r="F4753" s="85">
        <v>3</v>
      </c>
      <c r="G4753" s="85">
        <f>--(F4753&lt;=Estimator!$B$7)</f>
        <v>1</v>
      </c>
      <c r="H4753" s="86">
        <f>SUMIFS('Climate Data'!$G$7:$G$366,'Climate Data'!$A$7:$A$366,Estimator!$B$4,'Climate Data'!$B$7:$B$366,C4753)</f>
        <v>0.22688172043010751</v>
      </c>
      <c r="I4753" s="87">
        <f>SUMIFS('Climate Data'!$H$7:$H$366,'Climate Data'!$A$7:$A$366,Estimator!$B$4,'Climate Data'!$B$7:$B$366,C4753)</f>
        <v>6.7962085308056865</v>
      </c>
      <c r="J4753" s="86">
        <f>SUMIFS('Wind Proxy'!$H$8:$H$19,'Wind Proxy'!$A$8:$A$19,Estimator!$B$4,'Wind Proxy'!$B$8:$B$19,C4753)</f>
        <v>0</v>
      </c>
    </row>
    <row r="4754" spans="1:10" ht="14.4">
      <c r="A4754" s="84">
        <v>50405</v>
      </c>
      <c r="B4754" s="85">
        <v>2037</v>
      </c>
      <c r="C4754" s="85">
        <v>12</v>
      </c>
      <c r="D4754" s="85" t="s">
        <v>77</v>
      </c>
      <c r="E4754" s="85">
        <v>31</v>
      </c>
      <c r="F4754" s="85">
        <v>4</v>
      </c>
      <c r="G4754" s="85">
        <f>--(F4754&lt;=Estimator!$B$7)</f>
        <v>1</v>
      </c>
      <c r="H4754" s="86">
        <f>SUMIFS('Climate Data'!$G$7:$G$366,'Climate Data'!$A$7:$A$366,Estimator!$B$4,'Climate Data'!$B$7:$B$366,C4754)</f>
        <v>0.22688172043010751</v>
      </c>
      <c r="I4754" s="87">
        <f>SUMIFS('Climate Data'!$H$7:$H$366,'Climate Data'!$A$7:$A$366,Estimator!$B$4,'Climate Data'!$B$7:$B$366,C4754)</f>
        <v>6.7962085308056865</v>
      </c>
      <c r="J4754" s="86">
        <f>SUMIFS('Wind Proxy'!$H$8:$H$19,'Wind Proxy'!$A$8:$A$19,Estimator!$B$4,'Wind Proxy'!$B$8:$B$19,C4754)</f>
        <v>0</v>
      </c>
    </row>
    <row r="4755" spans="1:10" ht="14.4">
      <c r="A4755" s="84">
        <v>50406</v>
      </c>
      <c r="B4755" s="85">
        <v>2038</v>
      </c>
      <c r="C4755" s="85">
        <v>1</v>
      </c>
      <c r="D4755" s="85" t="s">
        <v>55</v>
      </c>
      <c r="E4755" s="85">
        <v>1</v>
      </c>
      <c r="F4755" s="85">
        <v>5</v>
      </c>
      <c r="G4755" s="85">
        <f>--(F4755&lt;=Estimator!$B$7)</f>
        <v>1</v>
      </c>
      <c r="H4755" s="86">
        <f>SUMIFS('Climate Data'!$G$7:$G$366,'Climate Data'!$A$7:$A$366,Estimator!$B$4,'Climate Data'!$B$7:$B$366,C4755)</f>
        <v>0.19462365591397848</v>
      </c>
      <c r="I4755" s="87">
        <f>SUMIFS('Climate Data'!$H$7:$H$366,'Climate Data'!$A$7:$A$366,Estimator!$B$4,'Climate Data'!$B$7:$B$366,C4755)</f>
        <v>7.027624309392265</v>
      </c>
      <c r="J4755" s="86">
        <f>SUMIFS('Wind Proxy'!$H$8:$H$19,'Wind Proxy'!$A$8:$A$19,Estimator!$B$4,'Wind Proxy'!$B$8:$B$19,C4755)</f>
        <v>0</v>
      </c>
    </row>
    <row r="4756" spans="1:10" ht="14.4">
      <c r="A4756" s="84">
        <v>50407</v>
      </c>
      <c r="B4756" s="85">
        <v>2038</v>
      </c>
      <c r="C4756" s="85">
        <v>1</v>
      </c>
      <c r="D4756" s="85" t="s">
        <v>55</v>
      </c>
      <c r="E4756" s="85">
        <v>2</v>
      </c>
      <c r="F4756" s="85">
        <v>6</v>
      </c>
      <c r="G4756" s="85">
        <f>--(F4756&lt;=Estimator!$B$7)</f>
        <v>0</v>
      </c>
      <c r="H4756" s="86">
        <f>SUMIFS('Climate Data'!$G$7:$G$366,'Climate Data'!$A$7:$A$366,Estimator!$B$4,'Climate Data'!$B$7:$B$366,C4756)</f>
        <v>0.19462365591397848</v>
      </c>
      <c r="I4756" s="87">
        <f>SUMIFS('Climate Data'!$H$7:$H$366,'Climate Data'!$A$7:$A$366,Estimator!$B$4,'Climate Data'!$B$7:$B$366,C4756)</f>
        <v>7.027624309392265</v>
      </c>
      <c r="J4756" s="86">
        <f>SUMIFS('Wind Proxy'!$H$8:$H$19,'Wind Proxy'!$A$8:$A$19,Estimator!$B$4,'Wind Proxy'!$B$8:$B$19,C4756)</f>
        <v>0</v>
      </c>
    </row>
    <row r="4757" spans="1:10" ht="14.4">
      <c r="A4757" s="84">
        <v>50408</v>
      </c>
      <c r="B4757" s="85">
        <v>2038</v>
      </c>
      <c r="C4757" s="85">
        <v>1</v>
      </c>
      <c r="D4757" s="85" t="s">
        <v>55</v>
      </c>
      <c r="E4757" s="85">
        <v>3</v>
      </c>
      <c r="F4757" s="85">
        <v>7</v>
      </c>
      <c r="G4757" s="85">
        <f>--(F4757&lt;=Estimator!$B$7)</f>
        <v>0</v>
      </c>
      <c r="H4757" s="86">
        <f>SUMIFS('Climate Data'!$G$7:$G$366,'Climate Data'!$A$7:$A$366,Estimator!$B$4,'Climate Data'!$B$7:$B$366,C4757)</f>
        <v>0.19462365591397848</v>
      </c>
      <c r="I4757" s="87">
        <f>SUMIFS('Climate Data'!$H$7:$H$366,'Climate Data'!$A$7:$A$366,Estimator!$B$4,'Climate Data'!$B$7:$B$366,C4757)</f>
        <v>7.027624309392265</v>
      </c>
      <c r="J4757" s="86">
        <f>SUMIFS('Wind Proxy'!$H$8:$H$19,'Wind Proxy'!$A$8:$A$19,Estimator!$B$4,'Wind Proxy'!$B$8:$B$19,C4757)</f>
        <v>0</v>
      </c>
    </row>
    <row r="4758" spans="1:10" ht="14.4">
      <c r="A4758" s="84">
        <v>50409</v>
      </c>
      <c r="B4758" s="85">
        <v>2038</v>
      </c>
      <c r="C4758" s="85">
        <v>1</v>
      </c>
      <c r="D4758" s="85" t="s">
        <v>55</v>
      </c>
      <c r="E4758" s="85">
        <v>4</v>
      </c>
      <c r="F4758" s="85">
        <v>1</v>
      </c>
      <c r="G4758" s="85">
        <f>--(F4758&lt;=Estimator!$B$7)</f>
        <v>1</v>
      </c>
      <c r="H4758" s="86">
        <f>SUMIFS('Climate Data'!$G$7:$G$366,'Climate Data'!$A$7:$A$366,Estimator!$B$4,'Climate Data'!$B$7:$B$366,C4758)</f>
        <v>0.19462365591397848</v>
      </c>
      <c r="I4758" s="87">
        <f>SUMIFS('Climate Data'!$H$7:$H$366,'Climate Data'!$A$7:$A$366,Estimator!$B$4,'Climate Data'!$B$7:$B$366,C4758)</f>
        <v>7.027624309392265</v>
      </c>
      <c r="J4758" s="86">
        <f>SUMIFS('Wind Proxy'!$H$8:$H$19,'Wind Proxy'!$A$8:$A$19,Estimator!$B$4,'Wind Proxy'!$B$8:$B$19,C4758)</f>
        <v>0</v>
      </c>
    </row>
    <row r="4759" spans="1:10" ht="14.4">
      <c r="A4759" s="84">
        <v>50410</v>
      </c>
      <c r="B4759" s="85">
        <v>2038</v>
      </c>
      <c r="C4759" s="85">
        <v>1</v>
      </c>
      <c r="D4759" s="85" t="s">
        <v>55</v>
      </c>
      <c r="E4759" s="85">
        <v>5</v>
      </c>
      <c r="F4759" s="85">
        <v>2</v>
      </c>
      <c r="G4759" s="85">
        <f>--(F4759&lt;=Estimator!$B$7)</f>
        <v>1</v>
      </c>
      <c r="H4759" s="86">
        <f>SUMIFS('Climate Data'!$G$7:$G$366,'Climate Data'!$A$7:$A$366,Estimator!$B$4,'Climate Data'!$B$7:$B$366,C4759)</f>
        <v>0.19462365591397848</v>
      </c>
      <c r="I4759" s="87">
        <f>SUMIFS('Climate Data'!$H$7:$H$366,'Climate Data'!$A$7:$A$366,Estimator!$B$4,'Climate Data'!$B$7:$B$366,C4759)</f>
        <v>7.027624309392265</v>
      </c>
      <c r="J4759" s="86">
        <f>SUMIFS('Wind Proxy'!$H$8:$H$19,'Wind Proxy'!$A$8:$A$19,Estimator!$B$4,'Wind Proxy'!$B$8:$B$19,C4759)</f>
        <v>0</v>
      </c>
    </row>
    <row r="4760" spans="1:10" ht="14.4">
      <c r="A4760" s="84">
        <v>50411</v>
      </c>
      <c r="B4760" s="85">
        <v>2038</v>
      </c>
      <c r="C4760" s="85">
        <v>1</v>
      </c>
      <c r="D4760" s="85" t="s">
        <v>55</v>
      </c>
      <c r="E4760" s="85">
        <v>6</v>
      </c>
      <c r="F4760" s="85">
        <v>3</v>
      </c>
      <c r="G4760" s="85">
        <f>--(F4760&lt;=Estimator!$B$7)</f>
        <v>1</v>
      </c>
      <c r="H4760" s="86">
        <f>SUMIFS('Climate Data'!$G$7:$G$366,'Climate Data'!$A$7:$A$366,Estimator!$B$4,'Climate Data'!$B$7:$B$366,C4760)</f>
        <v>0.19462365591397848</v>
      </c>
      <c r="I4760" s="87">
        <f>SUMIFS('Climate Data'!$H$7:$H$366,'Climate Data'!$A$7:$A$366,Estimator!$B$4,'Climate Data'!$B$7:$B$366,C4760)</f>
        <v>7.027624309392265</v>
      </c>
      <c r="J4760" s="86">
        <f>SUMIFS('Wind Proxy'!$H$8:$H$19,'Wind Proxy'!$A$8:$A$19,Estimator!$B$4,'Wind Proxy'!$B$8:$B$19,C4760)</f>
        <v>0</v>
      </c>
    </row>
    <row r="4761" spans="1:10" ht="14.4">
      <c r="A4761" s="84">
        <v>50412</v>
      </c>
      <c r="B4761" s="85">
        <v>2038</v>
      </c>
      <c r="C4761" s="85">
        <v>1</v>
      </c>
      <c r="D4761" s="85" t="s">
        <v>55</v>
      </c>
      <c r="E4761" s="85">
        <v>7</v>
      </c>
      <c r="F4761" s="85">
        <v>4</v>
      </c>
      <c r="G4761" s="85">
        <f>--(F4761&lt;=Estimator!$B$7)</f>
        <v>1</v>
      </c>
      <c r="H4761" s="86">
        <f>SUMIFS('Climate Data'!$G$7:$G$366,'Climate Data'!$A$7:$A$366,Estimator!$B$4,'Climate Data'!$B$7:$B$366,C4761)</f>
        <v>0.19462365591397848</v>
      </c>
      <c r="I4761" s="87">
        <f>SUMIFS('Climate Data'!$H$7:$H$366,'Climate Data'!$A$7:$A$366,Estimator!$B$4,'Climate Data'!$B$7:$B$366,C4761)</f>
        <v>7.027624309392265</v>
      </c>
      <c r="J4761" s="86">
        <f>SUMIFS('Wind Proxy'!$H$8:$H$19,'Wind Proxy'!$A$8:$A$19,Estimator!$B$4,'Wind Proxy'!$B$8:$B$19,C4761)</f>
        <v>0</v>
      </c>
    </row>
    <row r="4762" spans="1:10" ht="14.4">
      <c r="A4762" s="84">
        <v>50413</v>
      </c>
      <c r="B4762" s="85">
        <v>2038</v>
      </c>
      <c r="C4762" s="85">
        <v>1</v>
      </c>
      <c r="D4762" s="85" t="s">
        <v>55</v>
      </c>
      <c r="E4762" s="85">
        <v>8</v>
      </c>
      <c r="F4762" s="85">
        <v>5</v>
      </c>
      <c r="G4762" s="85">
        <f>--(F4762&lt;=Estimator!$B$7)</f>
        <v>1</v>
      </c>
      <c r="H4762" s="86">
        <f>SUMIFS('Climate Data'!$G$7:$G$366,'Climate Data'!$A$7:$A$366,Estimator!$B$4,'Climate Data'!$B$7:$B$366,C4762)</f>
        <v>0.19462365591397848</v>
      </c>
      <c r="I4762" s="87">
        <f>SUMIFS('Climate Data'!$H$7:$H$366,'Climate Data'!$A$7:$A$366,Estimator!$B$4,'Climate Data'!$B$7:$B$366,C4762)</f>
        <v>7.027624309392265</v>
      </c>
      <c r="J4762" s="86">
        <f>SUMIFS('Wind Proxy'!$H$8:$H$19,'Wind Proxy'!$A$8:$A$19,Estimator!$B$4,'Wind Proxy'!$B$8:$B$19,C4762)</f>
        <v>0</v>
      </c>
    </row>
    <row r="4763" spans="1:10" ht="14.4">
      <c r="A4763" s="84">
        <v>50414</v>
      </c>
      <c r="B4763" s="85">
        <v>2038</v>
      </c>
      <c r="C4763" s="85">
        <v>1</v>
      </c>
      <c r="D4763" s="85" t="s">
        <v>55</v>
      </c>
      <c r="E4763" s="85">
        <v>9</v>
      </c>
      <c r="F4763" s="85">
        <v>6</v>
      </c>
      <c r="G4763" s="85">
        <f>--(F4763&lt;=Estimator!$B$7)</f>
        <v>0</v>
      </c>
      <c r="H4763" s="86">
        <f>SUMIFS('Climate Data'!$G$7:$G$366,'Climate Data'!$A$7:$A$366,Estimator!$B$4,'Climate Data'!$B$7:$B$366,C4763)</f>
        <v>0.19462365591397848</v>
      </c>
      <c r="I4763" s="87">
        <f>SUMIFS('Climate Data'!$H$7:$H$366,'Climate Data'!$A$7:$A$366,Estimator!$B$4,'Climate Data'!$B$7:$B$366,C4763)</f>
        <v>7.027624309392265</v>
      </c>
      <c r="J4763" s="86">
        <f>SUMIFS('Wind Proxy'!$H$8:$H$19,'Wind Proxy'!$A$8:$A$19,Estimator!$B$4,'Wind Proxy'!$B$8:$B$19,C4763)</f>
        <v>0</v>
      </c>
    </row>
    <row r="4764" spans="1:10" ht="14.4">
      <c r="A4764" s="84">
        <v>50415</v>
      </c>
      <c r="B4764" s="85">
        <v>2038</v>
      </c>
      <c r="C4764" s="85">
        <v>1</v>
      </c>
      <c r="D4764" s="85" t="s">
        <v>55</v>
      </c>
      <c r="E4764" s="85">
        <v>10</v>
      </c>
      <c r="F4764" s="85">
        <v>7</v>
      </c>
      <c r="G4764" s="85">
        <f>--(F4764&lt;=Estimator!$B$7)</f>
        <v>0</v>
      </c>
      <c r="H4764" s="86">
        <f>SUMIFS('Climate Data'!$G$7:$G$366,'Climate Data'!$A$7:$A$366,Estimator!$B$4,'Climate Data'!$B$7:$B$366,C4764)</f>
        <v>0.19462365591397848</v>
      </c>
      <c r="I4764" s="87">
        <f>SUMIFS('Climate Data'!$H$7:$H$366,'Climate Data'!$A$7:$A$366,Estimator!$B$4,'Climate Data'!$B$7:$B$366,C4764)</f>
        <v>7.027624309392265</v>
      </c>
      <c r="J4764" s="86">
        <f>SUMIFS('Wind Proxy'!$H$8:$H$19,'Wind Proxy'!$A$8:$A$19,Estimator!$B$4,'Wind Proxy'!$B$8:$B$19,C4764)</f>
        <v>0</v>
      </c>
    </row>
    <row r="4765" spans="1:10" ht="14.4">
      <c r="A4765" s="84">
        <v>50416</v>
      </c>
      <c r="B4765" s="85">
        <v>2038</v>
      </c>
      <c r="C4765" s="85">
        <v>1</v>
      </c>
      <c r="D4765" s="85" t="s">
        <v>55</v>
      </c>
      <c r="E4765" s="85">
        <v>11</v>
      </c>
      <c r="F4765" s="85">
        <v>1</v>
      </c>
      <c r="G4765" s="85">
        <f>--(F4765&lt;=Estimator!$B$7)</f>
        <v>1</v>
      </c>
      <c r="H4765" s="86">
        <f>SUMIFS('Climate Data'!$G$7:$G$366,'Climate Data'!$A$7:$A$366,Estimator!$B$4,'Climate Data'!$B$7:$B$366,C4765)</f>
        <v>0.19462365591397848</v>
      </c>
      <c r="I4765" s="87">
        <f>SUMIFS('Climate Data'!$H$7:$H$366,'Climate Data'!$A$7:$A$366,Estimator!$B$4,'Climate Data'!$B$7:$B$366,C4765)</f>
        <v>7.027624309392265</v>
      </c>
      <c r="J4765" s="86">
        <f>SUMIFS('Wind Proxy'!$H$8:$H$19,'Wind Proxy'!$A$8:$A$19,Estimator!$B$4,'Wind Proxy'!$B$8:$B$19,C4765)</f>
        <v>0</v>
      </c>
    </row>
    <row r="4766" spans="1:10" ht="14.4">
      <c r="A4766" s="84">
        <v>50417</v>
      </c>
      <c r="B4766" s="85">
        <v>2038</v>
      </c>
      <c r="C4766" s="85">
        <v>1</v>
      </c>
      <c r="D4766" s="85" t="s">
        <v>55</v>
      </c>
      <c r="E4766" s="85">
        <v>12</v>
      </c>
      <c r="F4766" s="85">
        <v>2</v>
      </c>
      <c r="G4766" s="85">
        <f>--(F4766&lt;=Estimator!$B$7)</f>
        <v>1</v>
      </c>
      <c r="H4766" s="86">
        <f>SUMIFS('Climate Data'!$G$7:$G$366,'Climate Data'!$A$7:$A$366,Estimator!$B$4,'Climate Data'!$B$7:$B$366,C4766)</f>
        <v>0.19462365591397848</v>
      </c>
      <c r="I4766" s="87">
        <f>SUMIFS('Climate Data'!$H$7:$H$366,'Climate Data'!$A$7:$A$366,Estimator!$B$4,'Climate Data'!$B$7:$B$366,C4766)</f>
        <v>7.027624309392265</v>
      </c>
      <c r="J4766" s="86">
        <f>SUMIFS('Wind Proxy'!$H$8:$H$19,'Wind Proxy'!$A$8:$A$19,Estimator!$B$4,'Wind Proxy'!$B$8:$B$19,C4766)</f>
        <v>0</v>
      </c>
    </row>
    <row r="4767" spans="1:10" ht="14.4">
      <c r="A4767" s="84">
        <v>50418</v>
      </c>
      <c r="B4767" s="85">
        <v>2038</v>
      </c>
      <c r="C4767" s="85">
        <v>1</v>
      </c>
      <c r="D4767" s="85" t="s">
        <v>55</v>
      </c>
      <c r="E4767" s="85">
        <v>13</v>
      </c>
      <c r="F4767" s="85">
        <v>3</v>
      </c>
      <c r="G4767" s="85">
        <f>--(F4767&lt;=Estimator!$B$7)</f>
        <v>1</v>
      </c>
      <c r="H4767" s="86">
        <f>SUMIFS('Climate Data'!$G$7:$G$366,'Climate Data'!$A$7:$A$366,Estimator!$B$4,'Climate Data'!$B$7:$B$366,C4767)</f>
        <v>0.19462365591397848</v>
      </c>
      <c r="I4767" s="87">
        <f>SUMIFS('Climate Data'!$H$7:$H$366,'Climate Data'!$A$7:$A$366,Estimator!$B$4,'Climate Data'!$B$7:$B$366,C4767)</f>
        <v>7.027624309392265</v>
      </c>
      <c r="J4767" s="86">
        <f>SUMIFS('Wind Proxy'!$H$8:$H$19,'Wind Proxy'!$A$8:$A$19,Estimator!$B$4,'Wind Proxy'!$B$8:$B$19,C4767)</f>
        <v>0</v>
      </c>
    </row>
    <row r="4768" spans="1:10" ht="14.4">
      <c r="A4768" s="84">
        <v>50419</v>
      </c>
      <c r="B4768" s="85">
        <v>2038</v>
      </c>
      <c r="C4768" s="85">
        <v>1</v>
      </c>
      <c r="D4768" s="85" t="s">
        <v>55</v>
      </c>
      <c r="E4768" s="85">
        <v>14</v>
      </c>
      <c r="F4768" s="85">
        <v>4</v>
      </c>
      <c r="G4768" s="85">
        <f>--(F4768&lt;=Estimator!$B$7)</f>
        <v>1</v>
      </c>
      <c r="H4768" s="86">
        <f>SUMIFS('Climate Data'!$G$7:$G$366,'Climate Data'!$A$7:$A$366,Estimator!$B$4,'Climate Data'!$B$7:$B$366,C4768)</f>
        <v>0.19462365591397848</v>
      </c>
      <c r="I4768" s="87">
        <f>SUMIFS('Climate Data'!$H$7:$H$366,'Climate Data'!$A$7:$A$366,Estimator!$B$4,'Climate Data'!$B$7:$B$366,C4768)</f>
        <v>7.027624309392265</v>
      </c>
      <c r="J4768" s="86">
        <f>SUMIFS('Wind Proxy'!$H$8:$H$19,'Wind Proxy'!$A$8:$A$19,Estimator!$B$4,'Wind Proxy'!$B$8:$B$19,C4768)</f>
        <v>0</v>
      </c>
    </row>
    <row r="4769" spans="1:10" ht="14.4">
      <c r="A4769" s="84">
        <v>50420</v>
      </c>
      <c r="B4769" s="85">
        <v>2038</v>
      </c>
      <c r="C4769" s="85">
        <v>1</v>
      </c>
      <c r="D4769" s="85" t="s">
        <v>55</v>
      </c>
      <c r="E4769" s="85">
        <v>15</v>
      </c>
      <c r="F4769" s="85">
        <v>5</v>
      </c>
      <c r="G4769" s="85">
        <f>--(F4769&lt;=Estimator!$B$7)</f>
        <v>1</v>
      </c>
      <c r="H4769" s="86">
        <f>SUMIFS('Climate Data'!$G$7:$G$366,'Climate Data'!$A$7:$A$366,Estimator!$B$4,'Climate Data'!$B$7:$B$366,C4769)</f>
        <v>0.19462365591397848</v>
      </c>
      <c r="I4769" s="87">
        <f>SUMIFS('Climate Data'!$H$7:$H$366,'Climate Data'!$A$7:$A$366,Estimator!$B$4,'Climate Data'!$B$7:$B$366,C4769)</f>
        <v>7.027624309392265</v>
      </c>
      <c r="J4769" s="86">
        <f>SUMIFS('Wind Proxy'!$H$8:$H$19,'Wind Proxy'!$A$8:$A$19,Estimator!$B$4,'Wind Proxy'!$B$8:$B$19,C4769)</f>
        <v>0</v>
      </c>
    </row>
    <row r="4770" spans="1:10" ht="14.4">
      <c r="A4770" s="84">
        <v>50421</v>
      </c>
      <c r="B4770" s="85">
        <v>2038</v>
      </c>
      <c r="C4770" s="85">
        <v>1</v>
      </c>
      <c r="D4770" s="85" t="s">
        <v>55</v>
      </c>
      <c r="E4770" s="85">
        <v>16</v>
      </c>
      <c r="F4770" s="85">
        <v>6</v>
      </c>
      <c r="G4770" s="85">
        <f>--(F4770&lt;=Estimator!$B$7)</f>
        <v>0</v>
      </c>
      <c r="H4770" s="86">
        <f>SUMIFS('Climate Data'!$G$7:$G$366,'Climate Data'!$A$7:$A$366,Estimator!$B$4,'Climate Data'!$B$7:$B$366,C4770)</f>
        <v>0.19462365591397848</v>
      </c>
      <c r="I4770" s="87">
        <f>SUMIFS('Climate Data'!$H$7:$H$366,'Climate Data'!$A$7:$A$366,Estimator!$B$4,'Climate Data'!$B$7:$B$366,C4770)</f>
        <v>7.027624309392265</v>
      </c>
      <c r="J4770" s="86">
        <f>SUMIFS('Wind Proxy'!$H$8:$H$19,'Wind Proxy'!$A$8:$A$19,Estimator!$B$4,'Wind Proxy'!$B$8:$B$19,C4770)</f>
        <v>0</v>
      </c>
    </row>
    <row r="4771" spans="1:10" ht="14.4">
      <c r="A4771" s="84">
        <v>50422</v>
      </c>
      <c r="B4771" s="85">
        <v>2038</v>
      </c>
      <c r="C4771" s="85">
        <v>1</v>
      </c>
      <c r="D4771" s="85" t="s">
        <v>55</v>
      </c>
      <c r="E4771" s="85">
        <v>17</v>
      </c>
      <c r="F4771" s="85">
        <v>7</v>
      </c>
      <c r="G4771" s="85">
        <f>--(F4771&lt;=Estimator!$B$7)</f>
        <v>0</v>
      </c>
      <c r="H4771" s="86">
        <f>SUMIFS('Climate Data'!$G$7:$G$366,'Climate Data'!$A$7:$A$366,Estimator!$B$4,'Climate Data'!$B$7:$B$366,C4771)</f>
        <v>0.19462365591397848</v>
      </c>
      <c r="I4771" s="87">
        <f>SUMIFS('Climate Data'!$H$7:$H$366,'Climate Data'!$A$7:$A$366,Estimator!$B$4,'Climate Data'!$B$7:$B$366,C4771)</f>
        <v>7.027624309392265</v>
      </c>
      <c r="J4771" s="86">
        <f>SUMIFS('Wind Proxy'!$H$8:$H$19,'Wind Proxy'!$A$8:$A$19,Estimator!$B$4,'Wind Proxy'!$B$8:$B$19,C4771)</f>
        <v>0</v>
      </c>
    </row>
    <row r="4772" spans="1:10" ht="14.4">
      <c r="A4772" s="84">
        <v>50423</v>
      </c>
      <c r="B4772" s="85">
        <v>2038</v>
      </c>
      <c r="C4772" s="85">
        <v>1</v>
      </c>
      <c r="D4772" s="85" t="s">
        <v>55</v>
      </c>
      <c r="E4772" s="85">
        <v>18</v>
      </c>
      <c r="F4772" s="85">
        <v>1</v>
      </c>
      <c r="G4772" s="85">
        <f>--(F4772&lt;=Estimator!$B$7)</f>
        <v>1</v>
      </c>
      <c r="H4772" s="86">
        <f>SUMIFS('Climate Data'!$G$7:$G$366,'Climate Data'!$A$7:$A$366,Estimator!$B$4,'Climate Data'!$B$7:$B$366,C4772)</f>
        <v>0.19462365591397848</v>
      </c>
      <c r="I4772" s="87">
        <f>SUMIFS('Climate Data'!$H$7:$H$366,'Climate Data'!$A$7:$A$366,Estimator!$B$4,'Climate Data'!$B$7:$B$366,C4772)</f>
        <v>7.027624309392265</v>
      </c>
      <c r="J4772" s="86">
        <f>SUMIFS('Wind Proxy'!$H$8:$H$19,'Wind Proxy'!$A$8:$A$19,Estimator!$B$4,'Wind Proxy'!$B$8:$B$19,C4772)</f>
        <v>0</v>
      </c>
    </row>
    <row r="4773" spans="1:10" ht="14.4">
      <c r="A4773" s="84">
        <v>50424</v>
      </c>
      <c r="B4773" s="85">
        <v>2038</v>
      </c>
      <c r="C4773" s="85">
        <v>1</v>
      </c>
      <c r="D4773" s="85" t="s">
        <v>55</v>
      </c>
      <c r="E4773" s="85">
        <v>19</v>
      </c>
      <c r="F4773" s="85">
        <v>2</v>
      </c>
      <c r="G4773" s="85">
        <f>--(F4773&lt;=Estimator!$B$7)</f>
        <v>1</v>
      </c>
      <c r="H4773" s="86">
        <f>SUMIFS('Climate Data'!$G$7:$G$366,'Climate Data'!$A$7:$A$366,Estimator!$B$4,'Climate Data'!$B$7:$B$366,C4773)</f>
        <v>0.19462365591397848</v>
      </c>
      <c r="I4773" s="87">
        <f>SUMIFS('Climate Data'!$H$7:$H$366,'Climate Data'!$A$7:$A$366,Estimator!$B$4,'Climate Data'!$B$7:$B$366,C4773)</f>
        <v>7.027624309392265</v>
      </c>
      <c r="J4773" s="86">
        <f>SUMIFS('Wind Proxy'!$H$8:$H$19,'Wind Proxy'!$A$8:$A$19,Estimator!$B$4,'Wind Proxy'!$B$8:$B$19,C4773)</f>
        <v>0</v>
      </c>
    </row>
    <row r="4774" spans="1:10" ht="14.4">
      <c r="A4774" s="84">
        <v>50425</v>
      </c>
      <c r="B4774" s="85">
        <v>2038</v>
      </c>
      <c r="C4774" s="85">
        <v>1</v>
      </c>
      <c r="D4774" s="85" t="s">
        <v>55</v>
      </c>
      <c r="E4774" s="85">
        <v>20</v>
      </c>
      <c r="F4774" s="85">
        <v>3</v>
      </c>
      <c r="G4774" s="85">
        <f>--(F4774&lt;=Estimator!$B$7)</f>
        <v>1</v>
      </c>
      <c r="H4774" s="86">
        <f>SUMIFS('Climate Data'!$G$7:$G$366,'Climate Data'!$A$7:$A$366,Estimator!$B$4,'Climate Data'!$B$7:$B$366,C4774)</f>
        <v>0.19462365591397848</v>
      </c>
      <c r="I4774" s="87">
        <f>SUMIFS('Climate Data'!$H$7:$H$366,'Climate Data'!$A$7:$A$366,Estimator!$B$4,'Climate Data'!$B$7:$B$366,C4774)</f>
        <v>7.027624309392265</v>
      </c>
      <c r="J4774" s="86">
        <f>SUMIFS('Wind Proxy'!$H$8:$H$19,'Wind Proxy'!$A$8:$A$19,Estimator!$B$4,'Wind Proxy'!$B$8:$B$19,C4774)</f>
        <v>0</v>
      </c>
    </row>
    <row r="4775" spans="1:10" ht="14.4">
      <c r="A4775" s="84">
        <v>50426</v>
      </c>
      <c r="B4775" s="85">
        <v>2038</v>
      </c>
      <c r="C4775" s="85">
        <v>1</v>
      </c>
      <c r="D4775" s="85" t="s">
        <v>55</v>
      </c>
      <c r="E4775" s="85">
        <v>21</v>
      </c>
      <c r="F4775" s="85">
        <v>4</v>
      </c>
      <c r="G4775" s="85">
        <f>--(F4775&lt;=Estimator!$B$7)</f>
        <v>1</v>
      </c>
      <c r="H4775" s="86">
        <f>SUMIFS('Climate Data'!$G$7:$G$366,'Climate Data'!$A$7:$A$366,Estimator!$B$4,'Climate Data'!$B$7:$B$366,C4775)</f>
        <v>0.19462365591397848</v>
      </c>
      <c r="I4775" s="87">
        <f>SUMIFS('Climate Data'!$H$7:$H$366,'Climate Data'!$A$7:$A$366,Estimator!$B$4,'Climate Data'!$B$7:$B$366,C4775)</f>
        <v>7.027624309392265</v>
      </c>
      <c r="J4775" s="86">
        <f>SUMIFS('Wind Proxy'!$H$8:$H$19,'Wind Proxy'!$A$8:$A$19,Estimator!$B$4,'Wind Proxy'!$B$8:$B$19,C4775)</f>
        <v>0</v>
      </c>
    </row>
    <row r="4776" spans="1:10" ht="14.4">
      <c r="A4776" s="84">
        <v>50427</v>
      </c>
      <c r="B4776" s="85">
        <v>2038</v>
      </c>
      <c r="C4776" s="85">
        <v>1</v>
      </c>
      <c r="D4776" s="85" t="s">
        <v>55</v>
      </c>
      <c r="E4776" s="85">
        <v>22</v>
      </c>
      <c r="F4776" s="85">
        <v>5</v>
      </c>
      <c r="G4776" s="85">
        <f>--(F4776&lt;=Estimator!$B$7)</f>
        <v>1</v>
      </c>
      <c r="H4776" s="86">
        <f>SUMIFS('Climate Data'!$G$7:$G$366,'Climate Data'!$A$7:$A$366,Estimator!$B$4,'Climate Data'!$B$7:$B$366,C4776)</f>
        <v>0.19462365591397848</v>
      </c>
      <c r="I4776" s="87">
        <f>SUMIFS('Climate Data'!$H$7:$H$366,'Climate Data'!$A$7:$A$366,Estimator!$B$4,'Climate Data'!$B$7:$B$366,C4776)</f>
        <v>7.027624309392265</v>
      </c>
      <c r="J4776" s="86">
        <f>SUMIFS('Wind Proxy'!$H$8:$H$19,'Wind Proxy'!$A$8:$A$19,Estimator!$B$4,'Wind Proxy'!$B$8:$B$19,C4776)</f>
        <v>0</v>
      </c>
    </row>
    <row r="4777" spans="1:10" ht="14.4">
      <c r="A4777" s="84">
        <v>50428</v>
      </c>
      <c r="B4777" s="85">
        <v>2038</v>
      </c>
      <c r="C4777" s="85">
        <v>1</v>
      </c>
      <c r="D4777" s="85" t="s">
        <v>55</v>
      </c>
      <c r="E4777" s="85">
        <v>23</v>
      </c>
      <c r="F4777" s="85">
        <v>6</v>
      </c>
      <c r="G4777" s="85">
        <f>--(F4777&lt;=Estimator!$B$7)</f>
        <v>0</v>
      </c>
      <c r="H4777" s="86">
        <f>SUMIFS('Climate Data'!$G$7:$G$366,'Climate Data'!$A$7:$A$366,Estimator!$B$4,'Climate Data'!$B$7:$B$366,C4777)</f>
        <v>0.19462365591397848</v>
      </c>
      <c r="I4777" s="87">
        <f>SUMIFS('Climate Data'!$H$7:$H$366,'Climate Data'!$A$7:$A$366,Estimator!$B$4,'Climate Data'!$B$7:$B$366,C4777)</f>
        <v>7.027624309392265</v>
      </c>
      <c r="J4777" s="86">
        <f>SUMIFS('Wind Proxy'!$H$8:$H$19,'Wind Proxy'!$A$8:$A$19,Estimator!$B$4,'Wind Proxy'!$B$8:$B$19,C4777)</f>
        <v>0</v>
      </c>
    </row>
    <row r="4778" spans="1:10" ht="14.4">
      <c r="A4778" s="84">
        <v>50429</v>
      </c>
      <c r="B4778" s="85">
        <v>2038</v>
      </c>
      <c r="C4778" s="85">
        <v>1</v>
      </c>
      <c r="D4778" s="85" t="s">
        <v>55</v>
      </c>
      <c r="E4778" s="85">
        <v>24</v>
      </c>
      <c r="F4778" s="85">
        <v>7</v>
      </c>
      <c r="G4778" s="85">
        <f>--(F4778&lt;=Estimator!$B$7)</f>
        <v>0</v>
      </c>
      <c r="H4778" s="86">
        <f>SUMIFS('Climate Data'!$G$7:$G$366,'Climate Data'!$A$7:$A$366,Estimator!$B$4,'Climate Data'!$B$7:$B$366,C4778)</f>
        <v>0.19462365591397848</v>
      </c>
      <c r="I4778" s="87">
        <f>SUMIFS('Climate Data'!$H$7:$H$366,'Climate Data'!$A$7:$A$366,Estimator!$B$4,'Climate Data'!$B$7:$B$366,C4778)</f>
        <v>7.027624309392265</v>
      </c>
      <c r="J4778" s="86">
        <f>SUMIFS('Wind Proxy'!$H$8:$H$19,'Wind Proxy'!$A$8:$A$19,Estimator!$B$4,'Wind Proxy'!$B$8:$B$19,C4778)</f>
        <v>0</v>
      </c>
    </row>
    <row r="4779" spans="1:10" ht="14.4">
      <c r="A4779" s="84">
        <v>50430</v>
      </c>
      <c r="B4779" s="85">
        <v>2038</v>
      </c>
      <c r="C4779" s="85">
        <v>1</v>
      </c>
      <c r="D4779" s="85" t="s">
        <v>55</v>
      </c>
      <c r="E4779" s="85">
        <v>25</v>
      </c>
      <c r="F4779" s="85">
        <v>1</v>
      </c>
      <c r="G4779" s="85">
        <f>--(F4779&lt;=Estimator!$B$7)</f>
        <v>1</v>
      </c>
      <c r="H4779" s="86">
        <f>SUMIFS('Climate Data'!$G$7:$G$366,'Climate Data'!$A$7:$A$366,Estimator!$B$4,'Climate Data'!$B$7:$B$366,C4779)</f>
        <v>0.19462365591397848</v>
      </c>
      <c r="I4779" s="87">
        <f>SUMIFS('Climate Data'!$H$7:$H$366,'Climate Data'!$A$7:$A$366,Estimator!$B$4,'Climate Data'!$B$7:$B$366,C4779)</f>
        <v>7.027624309392265</v>
      </c>
      <c r="J4779" s="86">
        <f>SUMIFS('Wind Proxy'!$H$8:$H$19,'Wind Proxy'!$A$8:$A$19,Estimator!$B$4,'Wind Proxy'!$B$8:$B$19,C4779)</f>
        <v>0</v>
      </c>
    </row>
    <row r="4780" spans="1:10" ht="14.4">
      <c r="A4780" s="84">
        <v>50431</v>
      </c>
      <c r="B4780" s="85">
        <v>2038</v>
      </c>
      <c r="C4780" s="85">
        <v>1</v>
      </c>
      <c r="D4780" s="85" t="s">
        <v>55</v>
      </c>
      <c r="E4780" s="85">
        <v>26</v>
      </c>
      <c r="F4780" s="85">
        <v>2</v>
      </c>
      <c r="G4780" s="85">
        <f>--(F4780&lt;=Estimator!$B$7)</f>
        <v>1</v>
      </c>
      <c r="H4780" s="86">
        <f>SUMIFS('Climate Data'!$G$7:$G$366,'Climate Data'!$A$7:$A$366,Estimator!$B$4,'Climate Data'!$B$7:$B$366,C4780)</f>
        <v>0.19462365591397848</v>
      </c>
      <c r="I4780" s="87">
        <f>SUMIFS('Climate Data'!$H$7:$H$366,'Climate Data'!$A$7:$A$366,Estimator!$B$4,'Climate Data'!$B$7:$B$366,C4780)</f>
        <v>7.027624309392265</v>
      </c>
      <c r="J4780" s="86">
        <f>SUMIFS('Wind Proxy'!$H$8:$H$19,'Wind Proxy'!$A$8:$A$19,Estimator!$B$4,'Wind Proxy'!$B$8:$B$19,C4780)</f>
        <v>0</v>
      </c>
    </row>
    <row r="4781" spans="1:10" ht="14.4">
      <c r="A4781" s="84">
        <v>50432</v>
      </c>
      <c r="B4781" s="85">
        <v>2038</v>
      </c>
      <c r="C4781" s="85">
        <v>1</v>
      </c>
      <c r="D4781" s="85" t="s">
        <v>55</v>
      </c>
      <c r="E4781" s="85">
        <v>27</v>
      </c>
      <c r="F4781" s="85">
        <v>3</v>
      </c>
      <c r="G4781" s="85">
        <f>--(F4781&lt;=Estimator!$B$7)</f>
        <v>1</v>
      </c>
      <c r="H4781" s="86">
        <f>SUMIFS('Climate Data'!$G$7:$G$366,'Climate Data'!$A$7:$A$366,Estimator!$B$4,'Climate Data'!$B$7:$B$366,C4781)</f>
        <v>0.19462365591397848</v>
      </c>
      <c r="I4781" s="87">
        <f>SUMIFS('Climate Data'!$H$7:$H$366,'Climate Data'!$A$7:$A$366,Estimator!$B$4,'Climate Data'!$B$7:$B$366,C4781)</f>
        <v>7.027624309392265</v>
      </c>
      <c r="J4781" s="86">
        <f>SUMIFS('Wind Proxy'!$H$8:$H$19,'Wind Proxy'!$A$8:$A$19,Estimator!$B$4,'Wind Proxy'!$B$8:$B$19,C4781)</f>
        <v>0</v>
      </c>
    </row>
    <row r="4782" spans="1:10" ht="14.4">
      <c r="A4782" s="84">
        <v>50433</v>
      </c>
      <c r="B4782" s="85">
        <v>2038</v>
      </c>
      <c r="C4782" s="85">
        <v>1</v>
      </c>
      <c r="D4782" s="85" t="s">
        <v>55</v>
      </c>
      <c r="E4782" s="85">
        <v>28</v>
      </c>
      <c r="F4782" s="85">
        <v>4</v>
      </c>
      <c r="G4782" s="85">
        <f>--(F4782&lt;=Estimator!$B$7)</f>
        <v>1</v>
      </c>
      <c r="H4782" s="86">
        <f>SUMIFS('Climate Data'!$G$7:$G$366,'Climate Data'!$A$7:$A$366,Estimator!$B$4,'Climate Data'!$B$7:$B$366,C4782)</f>
        <v>0.19462365591397848</v>
      </c>
      <c r="I4782" s="87">
        <f>SUMIFS('Climate Data'!$H$7:$H$366,'Climate Data'!$A$7:$A$366,Estimator!$B$4,'Climate Data'!$B$7:$B$366,C4782)</f>
        <v>7.027624309392265</v>
      </c>
      <c r="J4782" s="86">
        <f>SUMIFS('Wind Proxy'!$H$8:$H$19,'Wind Proxy'!$A$8:$A$19,Estimator!$B$4,'Wind Proxy'!$B$8:$B$19,C4782)</f>
        <v>0</v>
      </c>
    </row>
    <row r="4783" spans="1:10" ht="14.4">
      <c r="A4783" s="84">
        <v>50434</v>
      </c>
      <c r="B4783" s="85">
        <v>2038</v>
      </c>
      <c r="C4783" s="85">
        <v>1</v>
      </c>
      <c r="D4783" s="85" t="s">
        <v>55</v>
      </c>
      <c r="E4783" s="85">
        <v>29</v>
      </c>
      <c r="F4783" s="85">
        <v>5</v>
      </c>
      <c r="G4783" s="85">
        <f>--(F4783&lt;=Estimator!$B$7)</f>
        <v>1</v>
      </c>
      <c r="H4783" s="86">
        <f>SUMIFS('Climate Data'!$G$7:$G$366,'Climate Data'!$A$7:$A$366,Estimator!$B$4,'Climate Data'!$B$7:$B$366,C4783)</f>
        <v>0.19462365591397848</v>
      </c>
      <c r="I4783" s="87">
        <f>SUMIFS('Climate Data'!$H$7:$H$366,'Climate Data'!$A$7:$A$366,Estimator!$B$4,'Climate Data'!$B$7:$B$366,C4783)</f>
        <v>7.027624309392265</v>
      </c>
      <c r="J4783" s="86">
        <f>SUMIFS('Wind Proxy'!$H$8:$H$19,'Wind Proxy'!$A$8:$A$19,Estimator!$B$4,'Wind Proxy'!$B$8:$B$19,C4783)</f>
        <v>0</v>
      </c>
    </row>
    <row r="4784" spans="1:10" ht="14.4">
      <c r="A4784" s="84">
        <v>50435</v>
      </c>
      <c r="B4784" s="85">
        <v>2038</v>
      </c>
      <c r="C4784" s="85">
        <v>1</v>
      </c>
      <c r="D4784" s="85" t="s">
        <v>55</v>
      </c>
      <c r="E4784" s="85">
        <v>30</v>
      </c>
      <c r="F4784" s="85">
        <v>6</v>
      </c>
      <c r="G4784" s="85">
        <f>--(F4784&lt;=Estimator!$B$7)</f>
        <v>0</v>
      </c>
      <c r="H4784" s="86">
        <f>SUMIFS('Climate Data'!$G$7:$G$366,'Climate Data'!$A$7:$A$366,Estimator!$B$4,'Climate Data'!$B$7:$B$366,C4784)</f>
        <v>0.19462365591397848</v>
      </c>
      <c r="I4784" s="87">
        <f>SUMIFS('Climate Data'!$H$7:$H$366,'Climate Data'!$A$7:$A$366,Estimator!$B$4,'Climate Data'!$B$7:$B$366,C4784)</f>
        <v>7.027624309392265</v>
      </c>
      <c r="J4784" s="86">
        <f>SUMIFS('Wind Proxy'!$H$8:$H$19,'Wind Proxy'!$A$8:$A$19,Estimator!$B$4,'Wind Proxy'!$B$8:$B$19,C4784)</f>
        <v>0</v>
      </c>
    </row>
    <row r="4785" spans="1:10" ht="14.4">
      <c r="A4785" s="84">
        <v>50436</v>
      </c>
      <c r="B4785" s="85">
        <v>2038</v>
      </c>
      <c r="C4785" s="85">
        <v>1</v>
      </c>
      <c r="D4785" s="85" t="s">
        <v>55</v>
      </c>
      <c r="E4785" s="85">
        <v>31</v>
      </c>
      <c r="F4785" s="85">
        <v>7</v>
      </c>
      <c r="G4785" s="85">
        <f>--(F4785&lt;=Estimator!$B$7)</f>
        <v>0</v>
      </c>
      <c r="H4785" s="86">
        <f>SUMIFS('Climate Data'!$G$7:$G$366,'Climate Data'!$A$7:$A$366,Estimator!$B$4,'Climate Data'!$B$7:$B$366,C4785)</f>
        <v>0.19462365591397848</v>
      </c>
      <c r="I4785" s="87">
        <f>SUMIFS('Climate Data'!$H$7:$H$366,'Climate Data'!$A$7:$A$366,Estimator!$B$4,'Climate Data'!$B$7:$B$366,C4785)</f>
        <v>7.027624309392265</v>
      </c>
      <c r="J4785" s="86">
        <f>SUMIFS('Wind Proxy'!$H$8:$H$19,'Wind Proxy'!$A$8:$A$19,Estimator!$B$4,'Wind Proxy'!$B$8:$B$19,C4785)</f>
        <v>0</v>
      </c>
    </row>
    <row r="4786" spans="1:10" ht="14.4">
      <c r="A4786" s="84">
        <v>50437</v>
      </c>
      <c r="B4786" s="85">
        <v>2038</v>
      </c>
      <c r="C4786" s="85">
        <v>2</v>
      </c>
      <c r="D4786" s="85" t="s">
        <v>58</v>
      </c>
      <c r="E4786" s="85">
        <v>1</v>
      </c>
      <c r="F4786" s="85">
        <v>1</v>
      </c>
      <c r="G4786" s="85">
        <f>--(F4786&lt;=Estimator!$B$7)</f>
        <v>1</v>
      </c>
      <c r="H4786" s="86">
        <f>SUMIFS('Climate Data'!$G$7:$G$366,'Climate Data'!$A$7:$A$366,Estimator!$B$4,'Climate Data'!$B$7:$B$366,C4786)</f>
        <v>0.18867924528301885</v>
      </c>
      <c r="I4786" s="87">
        <f>SUMIFS('Climate Data'!$H$7:$H$366,'Climate Data'!$A$7:$A$366,Estimator!$B$4,'Climate Data'!$B$7:$B$366,C4786)</f>
        <v>7.4624999999999995</v>
      </c>
      <c r="J4786" s="86">
        <f>SUMIFS('Wind Proxy'!$H$8:$H$19,'Wind Proxy'!$A$8:$A$19,Estimator!$B$4,'Wind Proxy'!$B$8:$B$19,C4786)</f>
        <v>0</v>
      </c>
    </row>
    <row r="4787" spans="1:10" ht="14.4">
      <c r="A4787" s="84">
        <v>50438</v>
      </c>
      <c r="B4787" s="85">
        <v>2038</v>
      </c>
      <c r="C4787" s="85">
        <v>2</v>
      </c>
      <c r="D4787" s="85" t="s">
        <v>58</v>
      </c>
      <c r="E4787" s="85">
        <v>2</v>
      </c>
      <c r="F4787" s="85">
        <v>2</v>
      </c>
      <c r="G4787" s="85">
        <f>--(F4787&lt;=Estimator!$B$7)</f>
        <v>1</v>
      </c>
      <c r="H4787" s="86">
        <f>SUMIFS('Climate Data'!$G$7:$G$366,'Climate Data'!$A$7:$A$366,Estimator!$B$4,'Climate Data'!$B$7:$B$366,C4787)</f>
        <v>0.18867924528301885</v>
      </c>
      <c r="I4787" s="87">
        <f>SUMIFS('Climate Data'!$H$7:$H$366,'Climate Data'!$A$7:$A$366,Estimator!$B$4,'Climate Data'!$B$7:$B$366,C4787)</f>
        <v>7.4624999999999995</v>
      </c>
      <c r="J4787" s="86">
        <f>SUMIFS('Wind Proxy'!$H$8:$H$19,'Wind Proxy'!$A$8:$A$19,Estimator!$B$4,'Wind Proxy'!$B$8:$B$19,C4787)</f>
        <v>0</v>
      </c>
    </row>
    <row r="4788" spans="1:10" ht="14.4">
      <c r="A4788" s="84">
        <v>50439</v>
      </c>
      <c r="B4788" s="85">
        <v>2038</v>
      </c>
      <c r="C4788" s="85">
        <v>2</v>
      </c>
      <c r="D4788" s="85" t="s">
        <v>58</v>
      </c>
      <c r="E4788" s="85">
        <v>3</v>
      </c>
      <c r="F4788" s="85">
        <v>3</v>
      </c>
      <c r="G4788" s="85">
        <f>--(F4788&lt;=Estimator!$B$7)</f>
        <v>1</v>
      </c>
      <c r="H4788" s="86">
        <f>SUMIFS('Climate Data'!$G$7:$G$366,'Climate Data'!$A$7:$A$366,Estimator!$B$4,'Climate Data'!$B$7:$B$366,C4788)</f>
        <v>0.18867924528301885</v>
      </c>
      <c r="I4788" s="87">
        <f>SUMIFS('Climate Data'!$H$7:$H$366,'Climate Data'!$A$7:$A$366,Estimator!$B$4,'Climate Data'!$B$7:$B$366,C4788)</f>
        <v>7.4624999999999995</v>
      </c>
      <c r="J4788" s="86">
        <f>SUMIFS('Wind Proxy'!$H$8:$H$19,'Wind Proxy'!$A$8:$A$19,Estimator!$B$4,'Wind Proxy'!$B$8:$B$19,C4788)</f>
        <v>0</v>
      </c>
    </row>
    <row r="4789" spans="1:10" ht="14.4">
      <c r="A4789" s="84">
        <v>50440</v>
      </c>
      <c r="B4789" s="85">
        <v>2038</v>
      </c>
      <c r="C4789" s="85">
        <v>2</v>
      </c>
      <c r="D4789" s="85" t="s">
        <v>58</v>
      </c>
      <c r="E4789" s="85">
        <v>4</v>
      </c>
      <c r="F4789" s="85">
        <v>4</v>
      </c>
      <c r="G4789" s="85">
        <f>--(F4789&lt;=Estimator!$B$7)</f>
        <v>1</v>
      </c>
      <c r="H4789" s="86">
        <f>SUMIFS('Climate Data'!$G$7:$G$366,'Climate Data'!$A$7:$A$366,Estimator!$B$4,'Climate Data'!$B$7:$B$366,C4789)</f>
        <v>0.18867924528301885</v>
      </c>
      <c r="I4789" s="87">
        <f>SUMIFS('Climate Data'!$H$7:$H$366,'Climate Data'!$A$7:$A$366,Estimator!$B$4,'Climate Data'!$B$7:$B$366,C4789)</f>
        <v>7.4624999999999995</v>
      </c>
      <c r="J4789" s="86">
        <f>SUMIFS('Wind Proxy'!$H$8:$H$19,'Wind Proxy'!$A$8:$A$19,Estimator!$B$4,'Wind Proxy'!$B$8:$B$19,C4789)</f>
        <v>0</v>
      </c>
    </row>
    <row r="4790" spans="1:10" ht="14.4">
      <c r="A4790" s="84">
        <v>50441</v>
      </c>
      <c r="B4790" s="85">
        <v>2038</v>
      </c>
      <c r="C4790" s="85">
        <v>2</v>
      </c>
      <c r="D4790" s="85" t="s">
        <v>58</v>
      </c>
      <c r="E4790" s="85">
        <v>5</v>
      </c>
      <c r="F4790" s="85">
        <v>5</v>
      </c>
      <c r="G4790" s="85">
        <f>--(F4790&lt;=Estimator!$B$7)</f>
        <v>1</v>
      </c>
      <c r="H4790" s="86">
        <f>SUMIFS('Climate Data'!$G$7:$G$366,'Climate Data'!$A$7:$A$366,Estimator!$B$4,'Climate Data'!$B$7:$B$366,C4790)</f>
        <v>0.18867924528301885</v>
      </c>
      <c r="I4790" s="87">
        <f>SUMIFS('Climate Data'!$H$7:$H$366,'Climate Data'!$A$7:$A$366,Estimator!$B$4,'Climate Data'!$B$7:$B$366,C4790)</f>
        <v>7.4624999999999995</v>
      </c>
      <c r="J4790" s="86">
        <f>SUMIFS('Wind Proxy'!$H$8:$H$19,'Wind Proxy'!$A$8:$A$19,Estimator!$B$4,'Wind Proxy'!$B$8:$B$19,C4790)</f>
        <v>0</v>
      </c>
    </row>
    <row r="4791" spans="1:10" ht="14.4">
      <c r="A4791" s="84">
        <v>50442</v>
      </c>
      <c r="B4791" s="85">
        <v>2038</v>
      </c>
      <c r="C4791" s="85">
        <v>2</v>
      </c>
      <c r="D4791" s="85" t="s">
        <v>58</v>
      </c>
      <c r="E4791" s="85">
        <v>6</v>
      </c>
      <c r="F4791" s="85">
        <v>6</v>
      </c>
      <c r="G4791" s="85">
        <f>--(F4791&lt;=Estimator!$B$7)</f>
        <v>0</v>
      </c>
      <c r="H4791" s="86">
        <f>SUMIFS('Climate Data'!$G$7:$G$366,'Climate Data'!$A$7:$A$366,Estimator!$B$4,'Climate Data'!$B$7:$B$366,C4791)</f>
        <v>0.18867924528301885</v>
      </c>
      <c r="I4791" s="87">
        <f>SUMIFS('Climate Data'!$H$7:$H$366,'Climate Data'!$A$7:$A$366,Estimator!$B$4,'Climate Data'!$B$7:$B$366,C4791)</f>
        <v>7.4624999999999995</v>
      </c>
      <c r="J4791" s="86">
        <f>SUMIFS('Wind Proxy'!$H$8:$H$19,'Wind Proxy'!$A$8:$A$19,Estimator!$B$4,'Wind Proxy'!$B$8:$B$19,C4791)</f>
        <v>0</v>
      </c>
    </row>
    <row r="4792" spans="1:10" ht="14.4">
      <c r="A4792" s="84">
        <v>50443</v>
      </c>
      <c r="B4792" s="85">
        <v>2038</v>
      </c>
      <c r="C4792" s="85">
        <v>2</v>
      </c>
      <c r="D4792" s="85" t="s">
        <v>58</v>
      </c>
      <c r="E4792" s="85">
        <v>7</v>
      </c>
      <c r="F4792" s="85">
        <v>7</v>
      </c>
      <c r="G4792" s="85">
        <f>--(F4792&lt;=Estimator!$B$7)</f>
        <v>0</v>
      </c>
      <c r="H4792" s="86">
        <f>SUMIFS('Climate Data'!$G$7:$G$366,'Climate Data'!$A$7:$A$366,Estimator!$B$4,'Climate Data'!$B$7:$B$366,C4792)</f>
        <v>0.18867924528301885</v>
      </c>
      <c r="I4792" s="87">
        <f>SUMIFS('Climate Data'!$H$7:$H$366,'Climate Data'!$A$7:$A$366,Estimator!$B$4,'Climate Data'!$B$7:$B$366,C4792)</f>
        <v>7.4624999999999995</v>
      </c>
      <c r="J4792" s="86">
        <f>SUMIFS('Wind Proxy'!$H$8:$H$19,'Wind Proxy'!$A$8:$A$19,Estimator!$B$4,'Wind Proxy'!$B$8:$B$19,C4792)</f>
        <v>0</v>
      </c>
    </row>
    <row r="4793" spans="1:10" ht="14.4">
      <c r="A4793" s="84">
        <v>50444</v>
      </c>
      <c r="B4793" s="85">
        <v>2038</v>
      </c>
      <c r="C4793" s="85">
        <v>2</v>
      </c>
      <c r="D4793" s="85" t="s">
        <v>58</v>
      </c>
      <c r="E4793" s="85">
        <v>8</v>
      </c>
      <c r="F4793" s="85">
        <v>1</v>
      </c>
      <c r="G4793" s="85">
        <f>--(F4793&lt;=Estimator!$B$7)</f>
        <v>1</v>
      </c>
      <c r="H4793" s="86">
        <f>SUMIFS('Climate Data'!$G$7:$G$366,'Climate Data'!$A$7:$A$366,Estimator!$B$4,'Climate Data'!$B$7:$B$366,C4793)</f>
        <v>0.18867924528301885</v>
      </c>
      <c r="I4793" s="87">
        <f>SUMIFS('Climate Data'!$H$7:$H$366,'Climate Data'!$A$7:$A$366,Estimator!$B$4,'Climate Data'!$B$7:$B$366,C4793)</f>
        <v>7.4624999999999995</v>
      </c>
      <c r="J4793" s="86">
        <f>SUMIFS('Wind Proxy'!$H$8:$H$19,'Wind Proxy'!$A$8:$A$19,Estimator!$B$4,'Wind Proxy'!$B$8:$B$19,C4793)</f>
        <v>0</v>
      </c>
    </row>
    <row r="4794" spans="1:10" ht="14.4">
      <c r="A4794" s="84">
        <v>50445</v>
      </c>
      <c r="B4794" s="85">
        <v>2038</v>
      </c>
      <c r="C4794" s="85">
        <v>2</v>
      </c>
      <c r="D4794" s="85" t="s">
        <v>58</v>
      </c>
      <c r="E4794" s="85">
        <v>9</v>
      </c>
      <c r="F4794" s="85">
        <v>2</v>
      </c>
      <c r="G4794" s="85">
        <f>--(F4794&lt;=Estimator!$B$7)</f>
        <v>1</v>
      </c>
      <c r="H4794" s="86">
        <f>SUMIFS('Climate Data'!$G$7:$G$366,'Climate Data'!$A$7:$A$366,Estimator!$B$4,'Climate Data'!$B$7:$B$366,C4794)</f>
        <v>0.18867924528301885</v>
      </c>
      <c r="I4794" s="87">
        <f>SUMIFS('Climate Data'!$H$7:$H$366,'Climate Data'!$A$7:$A$366,Estimator!$B$4,'Climate Data'!$B$7:$B$366,C4794)</f>
        <v>7.4624999999999995</v>
      </c>
      <c r="J4794" s="86">
        <f>SUMIFS('Wind Proxy'!$H$8:$H$19,'Wind Proxy'!$A$8:$A$19,Estimator!$B$4,'Wind Proxy'!$B$8:$B$19,C4794)</f>
        <v>0</v>
      </c>
    </row>
    <row r="4795" spans="1:10" ht="14.4">
      <c r="A4795" s="84">
        <v>50446</v>
      </c>
      <c r="B4795" s="85">
        <v>2038</v>
      </c>
      <c r="C4795" s="85">
        <v>2</v>
      </c>
      <c r="D4795" s="85" t="s">
        <v>58</v>
      </c>
      <c r="E4795" s="85">
        <v>10</v>
      </c>
      <c r="F4795" s="85">
        <v>3</v>
      </c>
      <c r="G4795" s="85">
        <f>--(F4795&lt;=Estimator!$B$7)</f>
        <v>1</v>
      </c>
      <c r="H4795" s="86">
        <f>SUMIFS('Climate Data'!$G$7:$G$366,'Climate Data'!$A$7:$A$366,Estimator!$B$4,'Climate Data'!$B$7:$B$366,C4795)</f>
        <v>0.18867924528301885</v>
      </c>
      <c r="I4795" s="87">
        <f>SUMIFS('Climate Data'!$H$7:$H$366,'Climate Data'!$A$7:$A$366,Estimator!$B$4,'Climate Data'!$B$7:$B$366,C4795)</f>
        <v>7.4624999999999995</v>
      </c>
      <c r="J4795" s="86">
        <f>SUMIFS('Wind Proxy'!$H$8:$H$19,'Wind Proxy'!$A$8:$A$19,Estimator!$B$4,'Wind Proxy'!$B$8:$B$19,C4795)</f>
        <v>0</v>
      </c>
    </row>
    <row r="4796" spans="1:10" ht="14.4">
      <c r="A4796" s="84">
        <v>50447</v>
      </c>
      <c r="B4796" s="85">
        <v>2038</v>
      </c>
      <c r="C4796" s="85">
        <v>2</v>
      </c>
      <c r="D4796" s="85" t="s">
        <v>58</v>
      </c>
      <c r="E4796" s="85">
        <v>11</v>
      </c>
      <c r="F4796" s="85">
        <v>4</v>
      </c>
      <c r="G4796" s="85">
        <f>--(F4796&lt;=Estimator!$B$7)</f>
        <v>1</v>
      </c>
      <c r="H4796" s="86">
        <f>SUMIFS('Climate Data'!$G$7:$G$366,'Climate Data'!$A$7:$A$366,Estimator!$B$4,'Climate Data'!$B$7:$B$366,C4796)</f>
        <v>0.18867924528301885</v>
      </c>
      <c r="I4796" s="87">
        <f>SUMIFS('Climate Data'!$H$7:$H$366,'Climate Data'!$A$7:$A$366,Estimator!$B$4,'Climate Data'!$B$7:$B$366,C4796)</f>
        <v>7.4624999999999995</v>
      </c>
      <c r="J4796" s="86">
        <f>SUMIFS('Wind Proxy'!$H$8:$H$19,'Wind Proxy'!$A$8:$A$19,Estimator!$B$4,'Wind Proxy'!$B$8:$B$19,C4796)</f>
        <v>0</v>
      </c>
    </row>
    <row r="4797" spans="1:10" ht="14.4">
      <c r="A4797" s="84">
        <v>50448</v>
      </c>
      <c r="B4797" s="85">
        <v>2038</v>
      </c>
      <c r="C4797" s="85">
        <v>2</v>
      </c>
      <c r="D4797" s="85" t="s">
        <v>58</v>
      </c>
      <c r="E4797" s="85">
        <v>12</v>
      </c>
      <c r="F4797" s="85">
        <v>5</v>
      </c>
      <c r="G4797" s="85">
        <f>--(F4797&lt;=Estimator!$B$7)</f>
        <v>1</v>
      </c>
      <c r="H4797" s="86">
        <f>SUMIFS('Climate Data'!$G$7:$G$366,'Climate Data'!$A$7:$A$366,Estimator!$B$4,'Climate Data'!$B$7:$B$366,C4797)</f>
        <v>0.18867924528301885</v>
      </c>
      <c r="I4797" s="87">
        <f>SUMIFS('Climate Data'!$H$7:$H$366,'Climate Data'!$A$7:$A$366,Estimator!$B$4,'Climate Data'!$B$7:$B$366,C4797)</f>
        <v>7.4624999999999995</v>
      </c>
      <c r="J4797" s="86">
        <f>SUMIFS('Wind Proxy'!$H$8:$H$19,'Wind Proxy'!$A$8:$A$19,Estimator!$B$4,'Wind Proxy'!$B$8:$B$19,C4797)</f>
        <v>0</v>
      </c>
    </row>
    <row r="4798" spans="1:10" ht="14.4">
      <c r="A4798" s="84">
        <v>50449</v>
      </c>
      <c r="B4798" s="85">
        <v>2038</v>
      </c>
      <c r="C4798" s="85">
        <v>2</v>
      </c>
      <c r="D4798" s="85" t="s">
        <v>58</v>
      </c>
      <c r="E4798" s="85">
        <v>13</v>
      </c>
      <c r="F4798" s="85">
        <v>6</v>
      </c>
      <c r="G4798" s="85">
        <f>--(F4798&lt;=Estimator!$B$7)</f>
        <v>0</v>
      </c>
      <c r="H4798" s="86">
        <f>SUMIFS('Climate Data'!$G$7:$G$366,'Climate Data'!$A$7:$A$366,Estimator!$B$4,'Climate Data'!$B$7:$B$366,C4798)</f>
        <v>0.18867924528301885</v>
      </c>
      <c r="I4798" s="87">
        <f>SUMIFS('Climate Data'!$H$7:$H$366,'Climate Data'!$A$7:$A$366,Estimator!$B$4,'Climate Data'!$B$7:$B$366,C4798)</f>
        <v>7.4624999999999995</v>
      </c>
      <c r="J4798" s="86">
        <f>SUMIFS('Wind Proxy'!$H$8:$H$19,'Wind Proxy'!$A$8:$A$19,Estimator!$B$4,'Wind Proxy'!$B$8:$B$19,C4798)</f>
        <v>0</v>
      </c>
    </row>
    <row r="4799" spans="1:10" ht="14.4">
      <c r="A4799" s="84">
        <v>50450</v>
      </c>
      <c r="B4799" s="85">
        <v>2038</v>
      </c>
      <c r="C4799" s="85">
        <v>2</v>
      </c>
      <c r="D4799" s="85" t="s">
        <v>58</v>
      </c>
      <c r="E4799" s="85">
        <v>14</v>
      </c>
      <c r="F4799" s="85">
        <v>7</v>
      </c>
      <c r="G4799" s="85">
        <f>--(F4799&lt;=Estimator!$B$7)</f>
        <v>0</v>
      </c>
      <c r="H4799" s="86">
        <f>SUMIFS('Climate Data'!$G$7:$G$366,'Climate Data'!$A$7:$A$366,Estimator!$B$4,'Climate Data'!$B$7:$B$366,C4799)</f>
        <v>0.18867924528301885</v>
      </c>
      <c r="I4799" s="87">
        <f>SUMIFS('Climate Data'!$H$7:$H$366,'Climate Data'!$A$7:$A$366,Estimator!$B$4,'Climate Data'!$B$7:$B$366,C4799)</f>
        <v>7.4624999999999995</v>
      </c>
      <c r="J4799" s="86">
        <f>SUMIFS('Wind Proxy'!$H$8:$H$19,'Wind Proxy'!$A$8:$A$19,Estimator!$B$4,'Wind Proxy'!$B$8:$B$19,C4799)</f>
        <v>0</v>
      </c>
    </row>
    <row r="4800" spans="1:10" ht="14.4">
      <c r="A4800" s="84">
        <v>50451</v>
      </c>
      <c r="B4800" s="85">
        <v>2038</v>
      </c>
      <c r="C4800" s="85">
        <v>2</v>
      </c>
      <c r="D4800" s="85" t="s">
        <v>58</v>
      </c>
      <c r="E4800" s="85">
        <v>15</v>
      </c>
      <c r="F4800" s="85">
        <v>1</v>
      </c>
      <c r="G4800" s="85">
        <f>--(F4800&lt;=Estimator!$B$7)</f>
        <v>1</v>
      </c>
      <c r="H4800" s="86">
        <f>SUMIFS('Climate Data'!$G$7:$G$366,'Climate Data'!$A$7:$A$366,Estimator!$B$4,'Climate Data'!$B$7:$B$366,C4800)</f>
        <v>0.18867924528301885</v>
      </c>
      <c r="I4800" s="87">
        <f>SUMIFS('Climate Data'!$H$7:$H$366,'Climate Data'!$A$7:$A$366,Estimator!$B$4,'Climate Data'!$B$7:$B$366,C4800)</f>
        <v>7.4624999999999995</v>
      </c>
      <c r="J4800" s="86">
        <f>SUMIFS('Wind Proxy'!$H$8:$H$19,'Wind Proxy'!$A$8:$A$19,Estimator!$B$4,'Wind Proxy'!$B$8:$B$19,C4800)</f>
        <v>0</v>
      </c>
    </row>
    <row r="4801" spans="1:10" ht="14.4">
      <c r="A4801" s="84">
        <v>50452</v>
      </c>
      <c r="B4801" s="85">
        <v>2038</v>
      </c>
      <c r="C4801" s="85">
        <v>2</v>
      </c>
      <c r="D4801" s="85" t="s">
        <v>58</v>
      </c>
      <c r="E4801" s="85">
        <v>16</v>
      </c>
      <c r="F4801" s="85">
        <v>2</v>
      </c>
      <c r="G4801" s="85">
        <f>--(F4801&lt;=Estimator!$B$7)</f>
        <v>1</v>
      </c>
      <c r="H4801" s="86">
        <f>SUMIFS('Climate Data'!$G$7:$G$366,'Climate Data'!$A$7:$A$366,Estimator!$B$4,'Climate Data'!$B$7:$B$366,C4801)</f>
        <v>0.18867924528301885</v>
      </c>
      <c r="I4801" s="87">
        <f>SUMIFS('Climate Data'!$H$7:$H$366,'Climate Data'!$A$7:$A$366,Estimator!$B$4,'Climate Data'!$B$7:$B$366,C4801)</f>
        <v>7.4624999999999995</v>
      </c>
      <c r="J4801" s="86">
        <f>SUMIFS('Wind Proxy'!$H$8:$H$19,'Wind Proxy'!$A$8:$A$19,Estimator!$B$4,'Wind Proxy'!$B$8:$B$19,C4801)</f>
        <v>0</v>
      </c>
    </row>
    <row r="4802" spans="1:10" ht="14.4">
      <c r="A4802" s="84">
        <v>50453</v>
      </c>
      <c r="B4802" s="85">
        <v>2038</v>
      </c>
      <c r="C4802" s="85">
        <v>2</v>
      </c>
      <c r="D4802" s="85" t="s">
        <v>58</v>
      </c>
      <c r="E4802" s="85">
        <v>17</v>
      </c>
      <c r="F4802" s="85">
        <v>3</v>
      </c>
      <c r="G4802" s="85">
        <f>--(F4802&lt;=Estimator!$B$7)</f>
        <v>1</v>
      </c>
      <c r="H4802" s="86">
        <f>SUMIFS('Climate Data'!$G$7:$G$366,'Climate Data'!$A$7:$A$366,Estimator!$B$4,'Climate Data'!$B$7:$B$366,C4802)</f>
        <v>0.18867924528301885</v>
      </c>
      <c r="I4802" s="87">
        <f>SUMIFS('Climate Data'!$H$7:$H$366,'Climate Data'!$A$7:$A$366,Estimator!$B$4,'Climate Data'!$B$7:$B$366,C4802)</f>
        <v>7.4624999999999995</v>
      </c>
      <c r="J4802" s="86">
        <f>SUMIFS('Wind Proxy'!$H$8:$H$19,'Wind Proxy'!$A$8:$A$19,Estimator!$B$4,'Wind Proxy'!$B$8:$B$19,C4802)</f>
        <v>0</v>
      </c>
    </row>
    <row r="4803" spans="1:10" ht="14.4">
      <c r="A4803" s="84">
        <v>50454</v>
      </c>
      <c r="B4803" s="85">
        <v>2038</v>
      </c>
      <c r="C4803" s="85">
        <v>2</v>
      </c>
      <c r="D4803" s="85" t="s">
        <v>58</v>
      </c>
      <c r="E4803" s="85">
        <v>18</v>
      </c>
      <c r="F4803" s="85">
        <v>4</v>
      </c>
      <c r="G4803" s="85">
        <f>--(F4803&lt;=Estimator!$B$7)</f>
        <v>1</v>
      </c>
      <c r="H4803" s="86">
        <f>SUMIFS('Climate Data'!$G$7:$G$366,'Climate Data'!$A$7:$A$366,Estimator!$B$4,'Climate Data'!$B$7:$B$366,C4803)</f>
        <v>0.18867924528301885</v>
      </c>
      <c r="I4803" s="87">
        <f>SUMIFS('Climate Data'!$H$7:$H$366,'Climate Data'!$A$7:$A$366,Estimator!$B$4,'Climate Data'!$B$7:$B$366,C4803)</f>
        <v>7.4624999999999995</v>
      </c>
      <c r="J4803" s="86">
        <f>SUMIFS('Wind Proxy'!$H$8:$H$19,'Wind Proxy'!$A$8:$A$19,Estimator!$B$4,'Wind Proxy'!$B$8:$B$19,C4803)</f>
        <v>0</v>
      </c>
    </row>
    <row r="4804" spans="1:10" ht="14.4">
      <c r="A4804" s="84">
        <v>50455</v>
      </c>
      <c r="B4804" s="85">
        <v>2038</v>
      </c>
      <c r="C4804" s="85">
        <v>2</v>
      </c>
      <c r="D4804" s="85" t="s">
        <v>58</v>
      </c>
      <c r="E4804" s="85">
        <v>19</v>
      </c>
      <c r="F4804" s="85">
        <v>5</v>
      </c>
      <c r="G4804" s="85">
        <f>--(F4804&lt;=Estimator!$B$7)</f>
        <v>1</v>
      </c>
      <c r="H4804" s="86">
        <f>SUMIFS('Climate Data'!$G$7:$G$366,'Climate Data'!$A$7:$A$366,Estimator!$B$4,'Climate Data'!$B$7:$B$366,C4804)</f>
        <v>0.18867924528301885</v>
      </c>
      <c r="I4804" s="87">
        <f>SUMIFS('Climate Data'!$H$7:$H$366,'Climate Data'!$A$7:$A$366,Estimator!$B$4,'Climate Data'!$B$7:$B$366,C4804)</f>
        <v>7.4624999999999995</v>
      </c>
      <c r="J4804" s="86">
        <f>SUMIFS('Wind Proxy'!$H$8:$H$19,'Wind Proxy'!$A$8:$A$19,Estimator!$B$4,'Wind Proxy'!$B$8:$B$19,C4804)</f>
        <v>0</v>
      </c>
    </row>
    <row r="4805" spans="1:10" ht="14.4">
      <c r="A4805" s="84">
        <v>50456</v>
      </c>
      <c r="B4805" s="85">
        <v>2038</v>
      </c>
      <c r="C4805" s="85">
        <v>2</v>
      </c>
      <c r="D4805" s="85" t="s">
        <v>58</v>
      </c>
      <c r="E4805" s="85">
        <v>20</v>
      </c>
      <c r="F4805" s="85">
        <v>6</v>
      </c>
      <c r="G4805" s="85">
        <f>--(F4805&lt;=Estimator!$B$7)</f>
        <v>0</v>
      </c>
      <c r="H4805" s="86">
        <f>SUMIFS('Climate Data'!$G$7:$G$366,'Climate Data'!$A$7:$A$366,Estimator!$B$4,'Climate Data'!$B$7:$B$366,C4805)</f>
        <v>0.18867924528301885</v>
      </c>
      <c r="I4805" s="87">
        <f>SUMIFS('Climate Data'!$H$7:$H$366,'Climate Data'!$A$7:$A$366,Estimator!$B$4,'Climate Data'!$B$7:$B$366,C4805)</f>
        <v>7.4624999999999995</v>
      </c>
      <c r="J4805" s="86">
        <f>SUMIFS('Wind Proxy'!$H$8:$H$19,'Wind Proxy'!$A$8:$A$19,Estimator!$B$4,'Wind Proxy'!$B$8:$B$19,C4805)</f>
        <v>0</v>
      </c>
    </row>
    <row r="4806" spans="1:10" ht="14.4">
      <c r="A4806" s="84">
        <v>50457</v>
      </c>
      <c r="B4806" s="85">
        <v>2038</v>
      </c>
      <c r="C4806" s="85">
        <v>2</v>
      </c>
      <c r="D4806" s="85" t="s">
        <v>58</v>
      </c>
      <c r="E4806" s="85">
        <v>21</v>
      </c>
      <c r="F4806" s="85">
        <v>7</v>
      </c>
      <c r="G4806" s="85">
        <f>--(F4806&lt;=Estimator!$B$7)</f>
        <v>0</v>
      </c>
      <c r="H4806" s="86">
        <f>SUMIFS('Climate Data'!$G$7:$G$366,'Climate Data'!$A$7:$A$366,Estimator!$B$4,'Climate Data'!$B$7:$B$366,C4806)</f>
        <v>0.18867924528301885</v>
      </c>
      <c r="I4806" s="87">
        <f>SUMIFS('Climate Data'!$H$7:$H$366,'Climate Data'!$A$7:$A$366,Estimator!$B$4,'Climate Data'!$B$7:$B$366,C4806)</f>
        <v>7.4624999999999995</v>
      </c>
      <c r="J4806" s="86">
        <f>SUMIFS('Wind Proxy'!$H$8:$H$19,'Wind Proxy'!$A$8:$A$19,Estimator!$B$4,'Wind Proxy'!$B$8:$B$19,C4806)</f>
        <v>0</v>
      </c>
    </row>
    <row r="4807" spans="1:10" ht="14.4">
      <c r="A4807" s="84">
        <v>50458</v>
      </c>
      <c r="B4807" s="85">
        <v>2038</v>
      </c>
      <c r="C4807" s="85">
        <v>2</v>
      </c>
      <c r="D4807" s="85" t="s">
        <v>58</v>
      </c>
      <c r="E4807" s="85">
        <v>22</v>
      </c>
      <c r="F4807" s="85">
        <v>1</v>
      </c>
      <c r="G4807" s="85">
        <f>--(F4807&lt;=Estimator!$B$7)</f>
        <v>1</v>
      </c>
      <c r="H4807" s="86">
        <f>SUMIFS('Climate Data'!$G$7:$G$366,'Climate Data'!$A$7:$A$366,Estimator!$B$4,'Climate Data'!$B$7:$B$366,C4807)</f>
        <v>0.18867924528301885</v>
      </c>
      <c r="I4807" s="87">
        <f>SUMIFS('Climate Data'!$H$7:$H$366,'Climate Data'!$A$7:$A$366,Estimator!$B$4,'Climate Data'!$B$7:$B$366,C4807)</f>
        <v>7.4624999999999995</v>
      </c>
      <c r="J4807" s="86">
        <f>SUMIFS('Wind Proxy'!$H$8:$H$19,'Wind Proxy'!$A$8:$A$19,Estimator!$B$4,'Wind Proxy'!$B$8:$B$19,C4807)</f>
        <v>0</v>
      </c>
    </row>
    <row r="4808" spans="1:10" ht="14.4">
      <c r="A4808" s="84">
        <v>50459</v>
      </c>
      <c r="B4808" s="85">
        <v>2038</v>
      </c>
      <c r="C4808" s="85">
        <v>2</v>
      </c>
      <c r="D4808" s="85" t="s">
        <v>58</v>
      </c>
      <c r="E4808" s="85">
        <v>23</v>
      </c>
      <c r="F4808" s="85">
        <v>2</v>
      </c>
      <c r="G4808" s="85">
        <f>--(F4808&lt;=Estimator!$B$7)</f>
        <v>1</v>
      </c>
      <c r="H4808" s="86">
        <f>SUMIFS('Climate Data'!$G$7:$G$366,'Climate Data'!$A$7:$A$366,Estimator!$B$4,'Climate Data'!$B$7:$B$366,C4808)</f>
        <v>0.18867924528301885</v>
      </c>
      <c r="I4808" s="87">
        <f>SUMIFS('Climate Data'!$H$7:$H$366,'Climate Data'!$A$7:$A$366,Estimator!$B$4,'Climate Data'!$B$7:$B$366,C4808)</f>
        <v>7.4624999999999995</v>
      </c>
      <c r="J4808" s="86">
        <f>SUMIFS('Wind Proxy'!$H$8:$H$19,'Wind Proxy'!$A$8:$A$19,Estimator!$B$4,'Wind Proxy'!$B$8:$B$19,C4808)</f>
        <v>0</v>
      </c>
    </row>
    <row r="4809" spans="1:10" ht="14.4">
      <c r="A4809" s="84">
        <v>50460</v>
      </c>
      <c r="B4809" s="85">
        <v>2038</v>
      </c>
      <c r="C4809" s="85">
        <v>2</v>
      </c>
      <c r="D4809" s="85" t="s">
        <v>58</v>
      </c>
      <c r="E4809" s="85">
        <v>24</v>
      </c>
      <c r="F4809" s="85">
        <v>3</v>
      </c>
      <c r="G4809" s="85">
        <f>--(F4809&lt;=Estimator!$B$7)</f>
        <v>1</v>
      </c>
      <c r="H4809" s="86">
        <f>SUMIFS('Climate Data'!$G$7:$G$366,'Climate Data'!$A$7:$A$366,Estimator!$B$4,'Climate Data'!$B$7:$B$366,C4809)</f>
        <v>0.18867924528301885</v>
      </c>
      <c r="I4809" s="87">
        <f>SUMIFS('Climate Data'!$H$7:$H$366,'Climate Data'!$A$7:$A$366,Estimator!$B$4,'Climate Data'!$B$7:$B$366,C4809)</f>
        <v>7.4624999999999995</v>
      </c>
      <c r="J4809" s="86">
        <f>SUMIFS('Wind Proxy'!$H$8:$H$19,'Wind Proxy'!$A$8:$A$19,Estimator!$B$4,'Wind Proxy'!$B$8:$B$19,C4809)</f>
        <v>0</v>
      </c>
    </row>
    <row r="4810" spans="1:10" ht="14.4">
      <c r="A4810" s="84">
        <v>50461</v>
      </c>
      <c r="B4810" s="85">
        <v>2038</v>
      </c>
      <c r="C4810" s="85">
        <v>2</v>
      </c>
      <c r="D4810" s="85" t="s">
        <v>58</v>
      </c>
      <c r="E4810" s="85">
        <v>25</v>
      </c>
      <c r="F4810" s="85">
        <v>4</v>
      </c>
      <c r="G4810" s="85">
        <f>--(F4810&lt;=Estimator!$B$7)</f>
        <v>1</v>
      </c>
      <c r="H4810" s="86">
        <f>SUMIFS('Climate Data'!$G$7:$G$366,'Climate Data'!$A$7:$A$366,Estimator!$B$4,'Climate Data'!$B$7:$B$366,C4810)</f>
        <v>0.18867924528301885</v>
      </c>
      <c r="I4810" s="87">
        <f>SUMIFS('Climate Data'!$H$7:$H$366,'Climate Data'!$A$7:$A$366,Estimator!$B$4,'Climate Data'!$B$7:$B$366,C4810)</f>
        <v>7.4624999999999995</v>
      </c>
      <c r="J4810" s="86">
        <f>SUMIFS('Wind Proxy'!$H$8:$H$19,'Wind Proxy'!$A$8:$A$19,Estimator!$B$4,'Wind Proxy'!$B$8:$B$19,C4810)</f>
        <v>0</v>
      </c>
    </row>
    <row r="4811" spans="1:10" ht="14.4">
      <c r="A4811" s="84">
        <v>50462</v>
      </c>
      <c r="B4811" s="85">
        <v>2038</v>
      </c>
      <c r="C4811" s="85">
        <v>2</v>
      </c>
      <c r="D4811" s="85" t="s">
        <v>58</v>
      </c>
      <c r="E4811" s="85">
        <v>26</v>
      </c>
      <c r="F4811" s="85">
        <v>5</v>
      </c>
      <c r="G4811" s="85">
        <f>--(F4811&lt;=Estimator!$B$7)</f>
        <v>1</v>
      </c>
      <c r="H4811" s="86">
        <f>SUMIFS('Climate Data'!$G$7:$G$366,'Climate Data'!$A$7:$A$366,Estimator!$B$4,'Climate Data'!$B$7:$B$366,C4811)</f>
        <v>0.18867924528301885</v>
      </c>
      <c r="I4811" s="87">
        <f>SUMIFS('Climate Data'!$H$7:$H$366,'Climate Data'!$A$7:$A$366,Estimator!$B$4,'Climate Data'!$B$7:$B$366,C4811)</f>
        <v>7.4624999999999995</v>
      </c>
      <c r="J4811" s="86">
        <f>SUMIFS('Wind Proxy'!$H$8:$H$19,'Wind Proxy'!$A$8:$A$19,Estimator!$B$4,'Wind Proxy'!$B$8:$B$19,C4811)</f>
        <v>0</v>
      </c>
    </row>
    <row r="4812" spans="1:10" ht="14.4">
      <c r="A4812" s="84">
        <v>50463</v>
      </c>
      <c r="B4812" s="85">
        <v>2038</v>
      </c>
      <c r="C4812" s="85">
        <v>2</v>
      </c>
      <c r="D4812" s="85" t="s">
        <v>58</v>
      </c>
      <c r="E4812" s="85">
        <v>27</v>
      </c>
      <c r="F4812" s="85">
        <v>6</v>
      </c>
      <c r="G4812" s="85">
        <f>--(F4812&lt;=Estimator!$B$7)</f>
        <v>0</v>
      </c>
      <c r="H4812" s="86">
        <f>SUMIFS('Climate Data'!$G$7:$G$366,'Climate Data'!$A$7:$A$366,Estimator!$B$4,'Climate Data'!$B$7:$B$366,C4812)</f>
        <v>0.18867924528301885</v>
      </c>
      <c r="I4812" s="87">
        <f>SUMIFS('Climate Data'!$H$7:$H$366,'Climate Data'!$A$7:$A$366,Estimator!$B$4,'Climate Data'!$B$7:$B$366,C4812)</f>
        <v>7.4624999999999995</v>
      </c>
      <c r="J4812" s="86">
        <f>SUMIFS('Wind Proxy'!$H$8:$H$19,'Wind Proxy'!$A$8:$A$19,Estimator!$B$4,'Wind Proxy'!$B$8:$B$19,C4812)</f>
        <v>0</v>
      </c>
    </row>
    <row r="4813" spans="1:10" ht="14.4">
      <c r="A4813" s="84">
        <v>50464</v>
      </c>
      <c r="B4813" s="85">
        <v>2038</v>
      </c>
      <c r="C4813" s="85">
        <v>2</v>
      </c>
      <c r="D4813" s="85" t="s">
        <v>58</v>
      </c>
      <c r="E4813" s="85">
        <v>28</v>
      </c>
      <c r="F4813" s="85">
        <v>7</v>
      </c>
      <c r="G4813" s="85">
        <f>--(F4813&lt;=Estimator!$B$7)</f>
        <v>0</v>
      </c>
      <c r="H4813" s="86">
        <f>SUMIFS('Climate Data'!$G$7:$G$366,'Climate Data'!$A$7:$A$366,Estimator!$B$4,'Climate Data'!$B$7:$B$366,C4813)</f>
        <v>0.18867924528301885</v>
      </c>
      <c r="I4813" s="87">
        <f>SUMIFS('Climate Data'!$H$7:$H$366,'Climate Data'!$A$7:$A$366,Estimator!$B$4,'Climate Data'!$B$7:$B$366,C4813)</f>
        <v>7.4624999999999995</v>
      </c>
      <c r="J4813" s="86">
        <f>SUMIFS('Wind Proxy'!$H$8:$H$19,'Wind Proxy'!$A$8:$A$19,Estimator!$B$4,'Wind Proxy'!$B$8:$B$19,C4813)</f>
        <v>0</v>
      </c>
    </row>
    <row r="4814" spans="1:10" ht="14.4">
      <c r="A4814" s="84">
        <v>50465</v>
      </c>
      <c r="B4814" s="85">
        <v>2038</v>
      </c>
      <c r="C4814" s="85">
        <v>3</v>
      </c>
      <c r="D4814" s="85" t="s">
        <v>60</v>
      </c>
      <c r="E4814" s="85">
        <v>1</v>
      </c>
      <c r="F4814" s="85">
        <v>1</v>
      </c>
      <c r="G4814" s="85">
        <f>--(F4814&lt;=Estimator!$B$7)</f>
        <v>1</v>
      </c>
      <c r="H4814" s="86">
        <f>SUMIFS('Climate Data'!$G$7:$G$366,'Climate Data'!$A$7:$A$366,Estimator!$B$4,'Climate Data'!$B$7:$B$366,C4814)</f>
        <v>0.18494623655913978</v>
      </c>
      <c r="I4814" s="87">
        <f>SUMIFS('Climate Data'!$H$7:$H$366,'Climate Data'!$A$7:$A$366,Estimator!$B$4,'Climate Data'!$B$7:$B$366,C4814)</f>
        <v>7.8662790697674421</v>
      </c>
      <c r="J4814" s="86">
        <f>SUMIFS('Wind Proxy'!$H$8:$H$19,'Wind Proxy'!$A$8:$A$19,Estimator!$B$4,'Wind Proxy'!$B$8:$B$19,C4814)</f>
        <v>0</v>
      </c>
    </row>
    <row r="4815" spans="1:10" ht="14.4">
      <c r="A4815" s="84">
        <v>50466</v>
      </c>
      <c r="B4815" s="85">
        <v>2038</v>
      </c>
      <c r="C4815" s="85">
        <v>3</v>
      </c>
      <c r="D4815" s="85" t="s">
        <v>60</v>
      </c>
      <c r="E4815" s="85">
        <v>2</v>
      </c>
      <c r="F4815" s="85">
        <v>2</v>
      </c>
      <c r="G4815" s="85">
        <f>--(F4815&lt;=Estimator!$B$7)</f>
        <v>1</v>
      </c>
      <c r="H4815" s="86">
        <f>SUMIFS('Climate Data'!$G$7:$G$366,'Climate Data'!$A$7:$A$366,Estimator!$B$4,'Climate Data'!$B$7:$B$366,C4815)</f>
        <v>0.18494623655913978</v>
      </c>
      <c r="I4815" s="87">
        <f>SUMIFS('Climate Data'!$H$7:$H$366,'Climate Data'!$A$7:$A$366,Estimator!$B$4,'Climate Data'!$B$7:$B$366,C4815)</f>
        <v>7.8662790697674421</v>
      </c>
      <c r="J4815" s="86">
        <f>SUMIFS('Wind Proxy'!$H$8:$H$19,'Wind Proxy'!$A$8:$A$19,Estimator!$B$4,'Wind Proxy'!$B$8:$B$19,C4815)</f>
        <v>0</v>
      </c>
    </row>
    <row r="4816" spans="1:10" ht="14.4">
      <c r="A4816" s="84">
        <v>50467</v>
      </c>
      <c r="B4816" s="85">
        <v>2038</v>
      </c>
      <c r="C4816" s="85">
        <v>3</v>
      </c>
      <c r="D4816" s="85" t="s">
        <v>60</v>
      </c>
      <c r="E4816" s="85">
        <v>3</v>
      </c>
      <c r="F4816" s="85">
        <v>3</v>
      </c>
      <c r="G4816" s="85">
        <f>--(F4816&lt;=Estimator!$B$7)</f>
        <v>1</v>
      </c>
      <c r="H4816" s="86">
        <f>SUMIFS('Climate Data'!$G$7:$G$366,'Climate Data'!$A$7:$A$366,Estimator!$B$4,'Climate Data'!$B$7:$B$366,C4816)</f>
        <v>0.18494623655913978</v>
      </c>
      <c r="I4816" s="87">
        <f>SUMIFS('Climate Data'!$H$7:$H$366,'Climate Data'!$A$7:$A$366,Estimator!$B$4,'Climate Data'!$B$7:$B$366,C4816)</f>
        <v>7.8662790697674421</v>
      </c>
      <c r="J4816" s="86">
        <f>SUMIFS('Wind Proxy'!$H$8:$H$19,'Wind Proxy'!$A$8:$A$19,Estimator!$B$4,'Wind Proxy'!$B$8:$B$19,C4816)</f>
        <v>0</v>
      </c>
    </row>
    <row r="4817" spans="1:10" ht="14.4">
      <c r="A4817" s="84">
        <v>50468</v>
      </c>
      <c r="B4817" s="85">
        <v>2038</v>
      </c>
      <c r="C4817" s="85">
        <v>3</v>
      </c>
      <c r="D4817" s="85" t="s">
        <v>60</v>
      </c>
      <c r="E4817" s="85">
        <v>4</v>
      </c>
      <c r="F4817" s="85">
        <v>4</v>
      </c>
      <c r="G4817" s="85">
        <f>--(F4817&lt;=Estimator!$B$7)</f>
        <v>1</v>
      </c>
      <c r="H4817" s="86">
        <f>SUMIFS('Climate Data'!$G$7:$G$366,'Climate Data'!$A$7:$A$366,Estimator!$B$4,'Climate Data'!$B$7:$B$366,C4817)</f>
        <v>0.18494623655913978</v>
      </c>
      <c r="I4817" s="87">
        <f>SUMIFS('Climate Data'!$H$7:$H$366,'Climate Data'!$A$7:$A$366,Estimator!$B$4,'Climate Data'!$B$7:$B$366,C4817)</f>
        <v>7.8662790697674421</v>
      </c>
      <c r="J4817" s="86">
        <f>SUMIFS('Wind Proxy'!$H$8:$H$19,'Wind Proxy'!$A$8:$A$19,Estimator!$B$4,'Wind Proxy'!$B$8:$B$19,C4817)</f>
        <v>0</v>
      </c>
    </row>
    <row r="4818" spans="1:10" ht="14.4">
      <c r="A4818" s="84">
        <v>50469</v>
      </c>
      <c r="B4818" s="85">
        <v>2038</v>
      </c>
      <c r="C4818" s="85">
        <v>3</v>
      </c>
      <c r="D4818" s="85" t="s">
        <v>60</v>
      </c>
      <c r="E4818" s="85">
        <v>5</v>
      </c>
      <c r="F4818" s="85">
        <v>5</v>
      </c>
      <c r="G4818" s="85">
        <f>--(F4818&lt;=Estimator!$B$7)</f>
        <v>1</v>
      </c>
      <c r="H4818" s="86">
        <f>SUMIFS('Climate Data'!$G$7:$G$366,'Climate Data'!$A$7:$A$366,Estimator!$B$4,'Climate Data'!$B$7:$B$366,C4818)</f>
        <v>0.18494623655913978</v>
      </c>
      <c r="I4818" s="87">
        <f>SUMIFS('Climate Data'!$H$7:$H$366,'Climate Data'!$A$7:$A$366,Estimator!$B$4,'Climate Data'!$B$7:$B$366,C4818)</f>
        <v>7.8662790697674421</v>
      </c>
      <c r="J4818" s="86">
        <f>SUMIFS('Wind Proxy'!$H$8:$H$19,'Wind Proxy'!$A$8:$A$19,Estimator!$B$4,'Wind Proxy'!$B$8:$B$19,C4818)</f>
        <v>0</v>
      </c>
    </row>
    <row r="4819" spans="1:10" ht="14.4">
      <c r="A4819" s="84">
        <v>50470</v>
      </c>
      <c r="B4819" s="85">
        <v>2038</v>
      </c>
      <c r="C4819" s="85">
        <v>3</v>
      </c>
      <c r="D4819" s="85" t="s">
        <v>60</v>
      </c>
      <c r="E4819" s="85">
        <v>6</v>
      </c>
      <c r="F4819" s="85">
        <v>6</v>
      </c>
      <c r="G4819" s="85">
        <f>--(F4819&lt;=Estimator!$B$7)</f>
        <v>0</v>
      </c>
      <c r="H4819" s="86">
        <f>SUMIFS('Climate Data'!$G$7:$G$366,'Climate Data'!$A$7:$A$366,Estimator!$B$4,'Climate Data'!$B$7:$B$366,C4819)</f>
        <v>0.18494623655913978</v>
      </c>
      <c r="I4819" s="87">
        <f>SUMIFS('Climate Data'!$H$7:$H$366,'Climate Data'!$A$7:$A$366,Estimator!$B$4,'Climate Data'!$B$7:$B$366,C4819)</f>
        <v>7.8662790697674421</v>
      </c>
      <c r="J4819" s="86">
        <f>SUMIFS('Wind Proxy'!$H$8:$H$19,'Wind Proxy'!$A$8:$A$19,Estimator!$B$4,'Wind Proxy'!$B$8:$B$19,C4819)</f>
        <v>0</v>
      </c>
    </row>
    <row r="4820" spans="1:10" ht="14.4">
      <c r="A4820" s="84">
        <v>50471</v>
      </c>
      <c r="B4820" s="85">
        <v>2038</v>
      </c>
      <c r="C4820" s="85">
        <v>3</v>
      </c>
      <c r="D4820" s="85" t="s">
        <v>60</v>
      </c>
      <c r="E4820" s="85">
        <v>7</v>
      </c>
      <c r="F4820" s="85">
        <v>7</v>
      </c>
      <c r="G4820" s="85">
        <f>--(F4820&lt;=Estimator!$B$7)</f>
        <v>0</v>
      </c>
      <c r="H4820" s="86">
        <f>SUMIFS('Climate Data'!$G$7:$G$366,'Climate Data'!$A$7:$A$366,Estimator!$B$4,'Climate Data'!$B$7:$B$366,C4820)</f>
        <v>0.18494623655913978</v>
      </c>
      <c r="I4820" s="87">
        <f>SUMIFS('Climate Data'!$H$7:$H$366,'Climate Data'!$A$7:$A$366,Estimator!$B$4,'Climate Data'!$B$7:$B$366,C4820)</f>
        <v>7.8662790697674421</v>
      </c>
      <c r="J4820" s="86">
        <f>SUMIFS('Wind Proxy'!$H$8:$H$19,'Wind Proxy'!$A$8:$A$19,Estimator!$B$4,'Wind Proxy'!$B$8:$B$19,C4820)</f>
        <v>0</v>
      </c>
    </row>
    <row r="4821" spans="1:10" ht="14.4">
      <c r="A4821" s="84">
        <v>50472</v>
      </c>
      <c r="B4821" s="85">
        <v>2038</v>
      </c>
      <c r="C4821" s="85">
        <v>3</v>
      </c>
      <c r="D4821" s="85" t="s">
        <v>60</v>
      </c>
      <c r="E4821" s="85">
        <v>8</v>
      </c>
      <c r="F4821" s="85">
        <v>1</v>
      </c>
      <c r="G4821" s="85">
        <f>--(F4821&lt;=Estimator!$B$7)</f>
        <v>1</v>
      </c>
      <c r="H4821" s="86">
        <f>SUMIFS('Climate Data'!$G$7:$G$366,'Climate Data'!$A$7:$A$366,Estimator!$B$4,'Climate Data'!$B$7:$B$366,C4821)</f>
        <v>0.18494623655913978</v>
      </c>
      <c r="I4821" s="87">
        <f>SUMIFS('Climate Data'!$H$7:$H$366,'Climate Data'!$A$7:$A$366,Estimator!$B$4,'Climate Data'!$B$7:$B$366,C4821)</f>
        <v>7.8662790697674421</v>
      </c>
      <c r="J4821" s="86">
        <f>SUMIFS('Wind Proxy'!$H$8:$H$19,'Wind Proxy'!$A$8:$A$19,Estimator!$B$4,'Wind Proxy'!$B$8:$B$19,C4821)</f>
        <v>0</v>
      </c>
    </row>
    <row r="4822" spans="1:10" ht="14.4">
      <c r="A4822" s="84">
        <v>50473</v>
      </c>
      <c r="B4822" s="85">
        <v>2038</v>
      </c>
      <c r="C4822" s="85">
        <v>3</v>
      </c>
      <c r="D4822" s="85" t="s">
        <v>60</v>
      </c>
      <c r="E4822" s="85">
        <v>9</v>
      </c>
      <c r="F4822" s="85">
        <v>2</v>
      </c>
      <c r="G4822" s="85">
        <f>--(F4822&lt;=Estimator!$B$7)</f>
        <v>1</v>
      </c>
      <c r="H4822" s="86">
        <f>SUMIFS('Climate Data'!$G$7:$G$366,'Climate Data'!$A$7:$A$366,Estimator!$B$4,'Climate Data'!$B$7:$B$366,C4822)</f>
        <v>0.18494623655913978</v>
      </c>
      <c r="I4822" s="87">
        <f>SUMIFS('Climate Data'!$H$7:$H$366,'Climate Data'!$A$7:$A$366,Estimator!$B$4,'Climate Data'!$B$7:$B$366,C4822)</f>
        <v>7.8662790697674421</v>
      </c>
      <c r="J4822" s="86">
        <f>SUMIFS('Wind Proxy'!$H$8:$H$19,'Wind Proxy'!$A$8:$A$19,Estimator!$B$4,'Wind Proxy'!$B$8:$B$19,C4822)</f>
        <v>0</v>
      </c>
    </row>
    <row r="4823" spans="1:10" ht="14.4">
      <c r="A4823" s="84">
        <v>50474</v>
      </c>
      <c r="B4823" s="85">
        <v>2038</v>
      </c>
      <c r="C4823" s="85">
        <v>3</v>
      </c>
      <c r="D4823" s="85" t="s">
        <v>60</v>
      </c>
      <c r="E4823" s="85">
        <v>10</v>
      </c>
      <c r="F4823" s="85">
        <v>3</v>
      </c>
      <c r="G4823" s="85">
        <f>--(F4823&lt;=Estimator!$B$7)</f>
        <v>1</v>
      </c>
      <c r="H4823" s="86">
        <f>SUMIFS('Climate Data'!$G$7:$G$366,'Climate Data'!$A$7:$A$366,Estimator!$B$4,'Climate Data'!$B$7:$B$366,C4823)</f>
        <v>0.18494623655913978</v>
      </c>
      <c r="I4823" s="87">
        <f>SUMIFS('Climate Data'!$H$7:$H$366,'Climate Data'!$A$7:$A$366,Estimator!$B$4,'Climate Data'!$B$7:$B$366,C4823)</f>
        <v>7.8662790697674421</v>
      </c>
      <c r="J4823" s="86">
        <f>SUMIFS('Wind Proxy'!$H$8:$H$19,'Wind Proxy'!$A$8:$A$19,Estimator!$B$4,'Wind Proxy'!$B$8:$B$19,C4823)</f>
        <v>0</v>
      </c>
    </row>
    <row r="4824" spans="1:10" ht="14.4">
      <c r="A4824" s="84">
        <v>50475</v>
      </c>
      <c r="B4824" s="85">
        <v>2038</v>
      </c>
      <c r="C4824" s="85">
        <v>3</v>
      </c>
      <c r="D4824" s="85" t="s">
        <v>60</v>
      </c>
      <c r="E4824" s="85">
        <v>11</v>
      </c>
      <c r="F4824" s="85">
        <v>4</v>
      </c>
      <c r="G4824" s="85">
        <f>--(F4824&lt;=Estimator!$B$7)</f>
        <v>1</v>
      </c>
      <c r="H4824" s="86">
        <f>SUMIFS('Climate Data'!$G$7:$G$366,'Climate Data'!$A$7:$A$366,Estimator!$B$4,'Climate Data'!$B$7:$B$366,C4824)</f>
        <v>0.18494623655913978</v>
      </c>
      <c r="I4824" s="87">
        <f>SUMIFS('Climate Data'!$H$7:$H$366,'Climate Data'!$A$7:$A$366,Estimator!$B$4,'Climate Data'!$B$7:$B$366,C4824)</f>
        <v>7.8662790697674421</v>
      </c>
      <c r="J4824" s="86">
        <f>SUMIFS('Wind Proxy'!$H$8:$H$19,'Wind Proxy'!$A$8:$A$19,Estimator!$B$4,'Wind Proxy'!$B$8:$B$19,C4824)</f>
        <v>0</v>
      </c>
    </row>
    <row r="4825" spans="1:10" ht="14.4">
      <c r="A4825" s="84">
        <v>50476</v>
      </c>
      <c r="B4825" s="85">
        <v>2038</v>
      </c>
      <c r="C4825" s="85">
        <v>3</v>
      </c>
      <c r="D4825" s="85" t="s">
        <v>60</v>
      </c>
      <c r="E4825" s="85">
        <v>12</v>
      </c>
      <c r="F4825" s="85">
        <v>5</v>
      </c>
      <c r="G4825" s="85">
        <f>--(F4825&lt;=Estimator!$B$7)</f>
        <v>1</v>
      </c>
      <c r="H4825" s="86">
        <f>SUMIFS('Climate Data'!$G$7:$G$366,'Climate Data'!$A$7:$A$366,Estimator!$B$4,'Climate Data'!$B$7:$B$366,C4825)</f>
        <v>0.18494623655913978</v>
      </c>
      <c r="I4825" s="87">
        <f>SUMIFS('Climate Data'!$H$7:$H$366,'Climate Data'!$A$7:$A$366,Estimator!$B$4,'Climate Data'!$B$7:$B$366,C4825)</f>
        <v>7.8662790697674421</v>
      </c>
      <c r="J4825" s="86">
        <f>SUMIFS('Wind Proxy'!$H$8:$H$19,'Wind Proxy'!$A$8:$A$19,Estimator!$B$4,'Wind Proxy'!$B$8:$B$19,C4825)</f>
        <v>0</v>
      </c>
    </row>
    <row r="4826" spans="1:10" ht="14.4">
      <c r="A4826" s="84">
        <v>50477</v>
      </c>
      <c r="B4826" s="85">
        <v>2038</v>
      </c>
      <c r="C4826" s="85">
        <v>3</v>
      </c>
      <c r="D4826" s="85" t="s">
        <v>60</v>
      </c>
      <c r="E4826" s="85">
        <v>13</v>
      </c>
      <c r="F4826" s="85">
        <v>6</v>
      </c>
      <c r="G4826" s="85">
        <f>--(F4826&lt;=Estimator!$B$7)</f>
        <v>0</v>
      </c>
      <c r="H4826" s="86">
        <f>SUMIFS('Climate Data'!$G$7:$G$366,'Climate Data'!$A$7:$A$366,Estimator!$B$4,'Climate Data'!$B$7:$B$366,C4826)</f>
        <v>0.18494623655913978</v>
      </c>
      <c r="I4826" s="87">
        <f>SUMIFS('Climate Data'!$H$7:$H$366,'Climate Data'!$A$7:$A$366,Estimator!$B$4,'Climate Data'!$B$7:$B$366,C4826)</f>
        <v>7.8662790697674421</v>
      </c>
      <c r="J4826" s="86">
        <f>SUMIFS('Wind Proxy'!$H$8:$H$19,'Wind Proxy'!$A$8:$A$19,Estimator!$B$4,'Wind Proxy'!$B$8:$B$19,C4826)</f>
        <v>0</v>
      </c>
    </row>
    <row r="4827" spans="1:10" ht="14.4">
      <c r="A4827" s="84">
        <v>50478</v>
      </c>
      <c r="B4827" s="85">
        <v>2038</v>
      </c>
      <c r="C4827" s="85">
        <v>3</v>
      </c>
      <c r="D4827" s="85" t="s">
        <v>60</v>
      </c>
      <c r="E4827" s="85">
        <v>14</v>
      </c>
      <c r="F4827" s="85">
        <v>7</v>
      </c>
      <c r="G4827" s="85">
        <f>--(F4827&lt;=Estimator!$B$7)</f>
        <v>0</v>
      </c>
      <c r="H4827" s="86">
        <f>SUMIFS('Climate Data'!$G$7:$G$366,'Climate Data'!$A$7:$A$366,Estimator!$B$4,'Climate Data'!$B$7:$B$366,C4827)</f>
        <v>0.18494623655913978</v>
      </c>
      <c r="I4827" s="87">
        <f>SUMIFS('Climate Data'!$H$7:$H$366,'Climate Data'!$A$7:$A$366,Estimator!$B$4,'Climate Data'!$B$7:$B$366,C4827)</f>
        <v>7.8662790697674421</v>
      </c>
      <c r="J4827" s="86">
        <f>SUMIFS('Wind Proxy'!$H$8:$H$19,'Wind Proxy'!$A$8:$A$19,Estimator!$B$4,'Wind Proxy'!$B$8:$B$19,C4827)</f>
        <v>0</v>
      </c>
    </row>
    <row r="4828" spans="1:10" ht="14.4">
      <c r="A4828" s="84">
        <v>50479</v>
      </c>
      <c r="B4828" s="85">
        <v>2038</v>
      </c>
      <c r="C4828" s="85">
        <v>3</v>
      </c>
      <c r="D4828" s="85" t="s">
        <v>60</v>
      </c>
      <c r="E4828" s="85">
        <v>15</v>
      </c>
      <c r="F4828" s="85">
        <v>1</v>
      </c>
      <c r="G4828" s="85">
        <f>--(F4828&lt;=Estimator!$B$7)</f>
        <v>1</v>
      </c>
      <c r="H4828" s="86">
        <f>SUMIFS('Climate Data'!$G$7:$G$366,'Climate Data'!$A$7:$A$366,Estimator!$B$4,'Climate Data'!$B$7:$B$366,C4828)</f>
        <v>0.18494623655913978</v>
      </c>
      <c r="I4828" s="87">
        <f>SUMIFS('Climate Data'!$H$7:$H$366,'Climate Data'!$A$7:$A$366,Estimator!$B$4,'Climate Data'!$B$7:$B$366,C4828)</f>
        <v>7.8662790697674421</v>
      </c>
      <c r="J4828" s="86">
        <f>SUMIFS('Wind Proxy'!$H$8:$H$19,'Wind Proxy'!$A$8:$A$19,Estimator!$B$4,'Wind Proxy'!$B$8:$B$19,C4828)</f>
        <v>0</v>
      </c>
    </row>
    <row r="4829" spans="1:10" ht="14.4">
      <c r="A4829" s="84">
        <v>50480</v>
      </c>
      <c r="B4829" s="85">
        <v>2038</v>
      </c>
      <c r="C4829" s="85">
        <v>3</v>
      </c>
      <c r="D4829" s="85" t="s">
        <v>60</v>
      </c>
      <c r="E4829" s="85">
        <v>16</v>
      </c>
      <c r="F4829" s="85">
        <v>2</v>
      </c>
      <c r="G4829" s="85">
        <f>--(F4829&lt;=Estimator!$B$7)</f>
        <v>1</v>
      </c>
      <c r="H4829" s="86">
        <f>SUMIFS('Climate Data'!$G$7:$G$366,'Climate Data'!$A$7:$A$366,Estimator!$B$4,'Climate Data'!$B$7:$B$366,C4829)</f>
        <v>0.18494623655913978</v>
      </c>
      <c r="I4829" s="87">
        <f>SUMIFS('Climate Data'!$H$7:$H$366,'Climate Data'!$A$7:$A$366,Estimator!$B$4,'Climate Data'!$B$7:$B$366,C4829)</f>
        <v>7.8662790697674421</v>
      </c>
      <c r="J4829" s="86">
        <f>SUMIFS('Wind Proxy'!$H$8:$H$19,'Wind Proxy'!$A$8:$A$19,Estimator!$B$4,'Wind Proxy'!$B$8:$B$19,C4829)</f>
        <v>0</v>
      </c>
    </row>
    <row r="4830" spans="1:10" ht="14.4">
      <c r="A4830" s="84">
        <v>50481</v>
      </c>
      <c r="B4830" s="85">
        <v>2038</v>
      </c>
      <c r="C4830" s="85">
        <v>3</v>
      </c>
      <c r="D4830" s="85" t="s">
        <v>60</v>
      </c>
      <c r="E4830" s="85">
        <v>17</v>
      </c>
      <c r="F4830" s="85">
        <v>3</v>
      </c>
      <c r="G4830" s="85">
        <f>--(F4830&lt;=Estimator!$B$7)</f>
        <v>1</v>
      </c>
      <c r="H4830" s="86">
        <f>SUMIFS('Climate Data'!$G$7:$G$366,'Climate Data'!$A$7:$A$366,Estimator!$B$4,'Climate Data'!$B$7:$B$366,C4830)</f>
        <v>0.18494623655913978</v>
      </c>
      <c r="I4830" s="87">
        <f>SUMIFS('Climate Data'!$H$7:$H$366,'Climate Data'!$A$7:$A$366,Estimator!$B$4,'Climate Data'!$B$7:$B$366,C4830)</f>
        <v>7.8662790697674421</v>
      </c>
      <c r="J4830" s="86">
        <f>SUMIFS('Wind Proxy'!$H$8:$H$19,'Wind Proxy'!$A$8:$A$19,Estimator!$B$4,'Wind Proxy'!$B$8:$B$19,C4830)</f>
        <v>0</v>
      </c>
    </row>
    <row r="4831" spans="1:10" ht="14.4">
      <c r="A4831" s="84">
        <v>50482</v>
      </c>
      <c r="B4831" s="85">
        <v>2038</v>
      </c>
      <c r="C4831" s="85">
        <v>3</v>
      </c>
      <c r="D4831" s="85" t="s">
        <v>60</v>
      </c>
      <c r="E4831" s="85">
        <v>18</v>
      </c>
      <c r="F4831" s="85">
        <v>4</v>
      </c>
      <c r="G4831" s="85">
        <f>--(F4831&lt;=Estimator!$B$7)</f>
        <v>1</v>
      </c>
      <c r="H4831" s="86">
        <f>SUMIFS('Climate Data'!$G$7:$G$366,'Climate Data'!$A$7:$A$366,Estimator!$B$4,'Climate Data'!$B$7:$B$366,C4831)</f>
        <v>0.18494623655913978</v>
      </c>
      <c r="I4831" s="87">
        <f>SUMIFS('Climate Data'!$H$7:$H$366,'Climate Data'!$A$7:$A$366,Estimator!$B$4,'Climate Data'!$B$7:$B$366,C4831)</f>
        <v>7.8662790697674421</v>
      </c>
      <c r="J4831" s="86">
        <f>SUMIFS('Wind Proxy'!$H$8:$H$19,'Wind Proxy'!$A$8:$A$19,Estimator!$B$4,'Wind Proxy'!$B$8:$B$19,C4831)</f>
        <v>0</v>
      </c>
    </row>
    <row r="4832" spans="1:10" ht="14.4">
      <c r="A4832" s="84">
        <v>50483</v>
      </c>
      <c r="B4832" s="85">
        <v>2038</v>
      </c>
      <c r="C4832" s="85">
        <v>3</v>
      </c>
      <c r="D4832" s="85" t="s">
        <v>60</v>
      </c>
      <c r="E4832" s="85">
        <v>19</v>
      </c>
      <c r="F4832" s="85">
        <v>5</v>
      </c>
      <c r="G4832" s="85">
        <f>--(F4832&lt;=Estimator!$B$7)</f>
        <v>1</v>
      </c>
      <c r="H4832" s="86">
        <f>SUMIFS('Climate Data'!$G$7:$G$366,'Climate Data'!$A$7:$A$366,Estimator!$B$4,'Climate Data'!$B$7:$B$366,C4832)</f>
        <v>0.18494623655913978</v>
      </c>
      <c r="I4832" s="87">
        <f>SUMIFS('Climate Data'!$H$7:$H$366,'Climate Data'!$A$7:$A$366,Estimator!$B$4,'Climate Data'!$B$7:$B$366,C4832)</f>
        <v>7.8662790697674421</v>
      </c>
      <c r="J4832" s="86">
        <f>SUMIFS('Wind Proxy'!$H$8:$H$19,'Wind Proxy'!$A$8:$A$19,Estimator!$B$4,'Wind Proxy'!$B$8:$B$19,C4832)</f>
        <v>0</v>
      </c>
    </row>
    <row r="4833" spans="1:10" ht="14.4">
      <c r="A4833" s="84">
        <v>50484</v>
      </c>
      <c r="B4833" s="85">
        <v>2038</v>
      </c>
      <c r="C4833" s="85">
        <v>3</v>
      </c>
      <c r="D4833" s="85" t="s">
        <v>60</v>
      </c>
      <c r="E4833" s="85">
        <v>20</v>
      </c>
      <c r="F4833" s="85">
        <v>6</v>
      </c>
      <c r="G4833" s="85">
        <f>--(F4833&lt;=Estimator!$B$7)</f>
        <v>0</v>
      </c>
      <c r="H4833" s="86">
        <f>SUMIFS('Climate Data'!$G$7:$G$366,'Climate Data'!$A$7:$A$366,Estimator!$B$4,'Climate Data'!$B$7:$B$366,C4833)</f>
        <v>0.18494623655913978</v>
      </c>
      <c r="I4833" s="87">
        <f>SUMIFS('Climate Data'!$H$7:$H$366,'Climate Data'!$A$7:$A$366,Estimator!$B$4,'Climate Data'!$B$7:$B$366,C4833)</f>
        <v>7.8662790697674421</v>
      </c>
      <c r="J4833" s="86">
        <f>SUMIFS('Wind Proxy'!$H$8:$H$19,'Wind Proxy'!$A$8:$A$19,Estimator!$B$4,'Wind Proxy'!$B$8:$B$19,C4833)</f>
        <v>0</v>
      </c>
    </row>
    <row r="4834" spans="1:10" ht="14.4">
      <c r="A4834" s="84">
        <v>50485</v>
      </c>
      <c r="B4834" s="85">
        <v>2038</v>
      </c>
      <c r="C4834" s="85">
        <v>3</v>
      </c>
      <c r="D4834" s="85" t="s">
        <v>60</v>
      </c>
      <c r="E4834" s="85">
        <v>21</v>
      </c>
      <c r="F4834" s="85">
        <v>7</v>
      </c>
      <c r="G4834" s="85">
        <f>--(F4834&lt;=Estimator!$B$7)</f>
        <v>0</v>
      </c>
      <c r="H4834" s="86">
        <f>SUMIFS('Climate Data'!$G$7:$G$366,'Climate Data'!$A$7:$A$366,Estimator!$B$4,'Climate Data'!$B$7:$B$366,C4834)</f>
        <v>0.18494623655913978</v>
      </c>
      <c r="I4834" s="87">
        <f>SUMIFS('Climate Data'!$H$7:$H$366,'Climate Data'!$A$7:$A$366,Estimator!$B$4,'Climate Data'!$B$7:$B$366,C4834)</f>
        <v>7.8662790697674421</v>
      </c>
      <c r="J4834" s="86">
        <f>SUMIFS('Wind Proxy'!$H$8:$H$19,'Wind Proxy'!$A$8:$A$19,Estimator!$B$4,'Wind Proxy'!$B$8:$B$19,C4834)</f>
        <v>0</v>
      </c>
    </row>
    <row r="4835" spans="1:10" ht="14.4">
      <c r="A4835" s="84">
        <v>50486</v>
      </c>
      <c r="B4835" s="85">
        <v>2038</v>
      </c>
      <c r="C4835" s="85">
        <v>3</v>
      </c>
      <c r="D4835" s="85" t="s">
        <v>60</v>
      </c>
      <c r="E4835" s="85">
        <v>22</v>
      </c>
      <c r="F4835" s="85">
        <v>1</v>
      </c>
      <c r="G4835" s="85">
        <f>--(F4835&lt;=Estimator!$B$7)</f>
        <v>1</v>
      </c>
      <c r="H4835" s="86">
        <f>SUMIFS('Climate Data'!$G$7:$G$366,'Climate Data'!$A$7:$A$366,Estimator!$B$4,'Climate Data'!$B$7:$B$366,C4835)</f>
        <v>0.18494623655913978</v>
      </c>
      <c r="I4835" s="87">
        <f>SUMIFS('Climate Data'!$H$7:$H$366,'Climate Data'!$A$7:$A$366,Estimator!$B$4,'Climate Data'!$B$7:$B$366,C4835)</f>
        <v>7.8662790697674421</v>
      </c>
      <c r="J4835" s="86">
        <f>SUMIFS('Wind Proxy'!$H$8:$H$19,'Wind Proxy'!$A$8:$A$19,Estimator!$B$4,'Wind Proxy'!$B$8:$B$19,C4835)</f>
        <v>0</v>
      </c>
    </row>
    <row r="4836" spans="1:10" ht="14.4">
      <c r="A4836" s="84">
        <v>50487</v>
      </c>
      <c r="B4836" s="85">
        <v>2038</v>
      </c>
      <c r="C4836" s="85">
        <v>3</v>
      </c>
      <c r="D4836" s="85" t="s">
        <v>60</v>
      </c>
      <c r="E4836" s="85">
        <v>23</v>
      </c>
      <c r="F4836" s="85">
        <v>2</v>
      </c>
      <c r="G4836" s="85">
        <f>--(F4836&lt;=Estimator!$B$7)</f>
        <v>1</v>
      </c>
      <c r="H4836" s="86">
        <f>SUMIFS('Climate Data'!$G$7:$G$366,'Climate Data'!$A$7:$A$366,Estimator!$B$4,'Climate Data'!$B$7:$B$366,C4836)</f>
        <v>0.18494623655913978</v>
      </c>
      <c r="I4836" s="87">
        <f>SUMIFS('Climate Data'!$H$7:$H$366,'Climate Data'!$A$7:$A$366,Estimator!$B$4,'Climate Data'!$B$7:$B$366,C4836)</f>
        <v>7.8662790697674421</v>
      </c>
      <c r="J4836" s="86">
        <f>SUMIFS('Wind Proxy'!$H$8:$H$19,'Wind Proxy'!$A$8:$A$19,Estimator!$B$4,'Wind Proxy'!$B$8:$B$19,C4836)</f>
        <v>0</v>
      </c>
    </row>
    <row r="4837" spans="1:10" ht="14.4">
      <c r="A4837" s="84">
        <v>50488</v>
      </c>
      <c r="B4837" s="85">
        <v>2038</v>
      </c>
      <c r="C4837" s="85">
        <v>3</v>
      </c>
      <c r="D4837" s="85" t="s">
        <v>60</v>
      </c>
      <c r="E4837" s="85">
        <v>24</v>
      </c>
      <c r="F4837" s="85">
        <v>3</v>
      </c>
      <c r="G4837" s="85">
        <f>--(F4837&lt;=Estimator!$B$7)</f>
        <v>1</v>
      </c>
      <c r="H4837" s="86">
        <f>SUMIFS('Climate Data'!$G$7:$G$366,'Climate Data'!$A$7:$A$366,Estimator!$B$4,'Climate Data'!$B$7:$B$366,C4837)</f>
        <v>0.18494623655913978</v>
      </c>
      <c r="I4837" s="87">
        <f>SUMIFS('Climate Data'!$H$7:$H$366,'Climate Data'!$A$7:$A$366,Estimator!$B$4,'Climate Data'!$B$7:$B$366,C4837)</f>
        <v>7.8662790697674421</v>
      </c>
      <c r="J4837" s="86">
        <f>SUMIFS('Wind Proxy'!$H$8:$H$19,'Wind Proxy'!$A$8:$A$19,Estimator!$B$4,'Wind Proxy'!$B$8:$B$19,C4837)</f>
        <v>0</v>
      </c>
    </row>
    <row r="4838" spans="1:10" ht="14.4">
      <c r="A4838" s="84">
        <v>50489</v>
      </c>
      <c r="B4838" s="85">
        <v>2038</v>
      </c>
      <c r="C4838" s="85">
        <v>3</v>
      </c>
      <c r="D4838" s="85" t="s">
        <v>60</v>
      </c>
      <c r="E4838" s="85">
        <v>25</v>
      </c>
      <c r="F4838" s="85">
        <v>4</v>
      </c>
      <c r="G4838" s="85">
        <f>--(F4838&lt;=Estimator!$B$7)</f>
        <v>1</v>
      </c>
      <c r="H4838" s="86">
        <f>SUMIFS('Climate Data'!$G$7:$G$366,'Climate Data'!$A$7:$A$366,Estimator!$B$4,'Climate Data'!$B$7:$B$366,C4838)</f>
        <v>0.18494623655913978</v>
      </c>
      <c r="I4838" s="87">
        <f>SUMIFS('Climate Data'!$H$7:$H$366,'Climate Data'!$A$7:$A$366,Estimator!$B$4,'Climate Data'!$B$7:$B$366,C4838)</f>
        <v>7.8662790697674421</v>
      </c>
      <c r="J4838" s="86">
        <f>SUMIFS('Wind Proxy'!$H$8:$H$19,'Wind Proxy'!$A$8:$A$19,Estimator!$B$4,'Wind Proxy'!$B$8:$B$19,C4838)</f>
        <v>0</v>
      </c>
    </row>
    <row r="4839" spans="1:10" ht="14.4">
      <c r="A4839" s="84">
        <v>50490</v>
      </c>
      <c r="B4839" s="85">
        <v>2038</v>
      </c>
      <c r="C4839" s="85">
        <v>3</v>
      </c>
      <c r="D4839" s="85" t="s">
        <v>60</v>
      </c>
      <c r="E4839" s="85">
        <v>26</v>
      </c>
      <c r="F4839" s="85">
        <v>5</v>
      </c>
      <c r="G4839" s="85">
        <f>--(F4839&lt;=Estimator!$B$7)</f>
        <v>1</v>
      </c>
      <c r="H4839" s="86">
        <f>SUMIFS('Climate Data'!$G$7:$G$366,'Climate Data'!$A$7:$A$366,Estimator!$B$4,'Climate Data'!$B$7:$B$366,C4839)</f>
        <v>0.18494623655913978</v>
      </c>
      <c r="I4839" s="87">
        <f>SUMIFS('Climate Data'!$H$7:$H$366,'Climate Data'!$A$7:$A$366,Estimator!$B$4,'Climate Data'!$B$7:$B$366,C4839)</f>
        <v>7.8662790697674421</v>
      </c>
      <c r="J4839" s="86">
        <f>SUMIFS('Wind Proxy'!$H$8:$H$19,'Wind Proxy'!$A$8:$A$19,Estimator!$B$4,'Wind Proxy'!$B$8:$B$19,C4839)</f>
        <v>0</v>
      </c>
    </row>
    <row r="4840" spans="1:10" ht="14.4">
      <c r="A4840" s="84">
        <v>50491</v>
      </c>
      <c r="B4840" s="85">
        <v>2038</v>
      </c>
      <c r="C4840" s="85">
        <v>3</v>
      </c>
      <c r="D4840" s="85" t="s">
        <v>60</v>
      </c>
      <c r="E4840" s="85">
        <v>27</v>
      </c>
      <c r="F4840" s="85">
        <v>6</v>
      </c>
      <c r="G4840" s="85">
        <f>--(F4840&lt;=Estimator!$B$7)</f>
        <v>0</v>
      </c>
      <c r="H4840" s="86">
        <f>SUMIFS('Climate Data'!$G$7:$G$366,'Climate Data'!$A$7:$A$366,Estimator!$B$4,'Climate Data'!$B$7:$B$366,C4840)</f>
        <v>0.18494623655913978</v>
      </c>
      <c r="I4840" s="87">
        <f>SUMIFS('Climate Data'!$H$7:$H$366,'Climate Data'!$A$7:$A$366,Estimator!$B$4,'Climate Data'!$B$7:$B$366,C4840)</f>
        <v>7.8662790697674421</v>
      </c>
      <c r="J4840" s="86">
        <f>SUMIFS('Wind Proxy'!$H$8:$H$19,'Wind Proxy'!$A$8:$A$19,Estimator!$B$4,'Wind Proxy'!$B$8:$B$19,C4840)</f>
        <v>0</v>
      </c>
    </row>
    <row r="4841" spans="1:10" ht="14.4">
      <c r="A4841" s="84">
        <v>50492</v>
      </c>
      <c r="B4841" s="85">
        <v>2038</v>
      </c>
      <c r="C4841" s="85">
        <v>3</v>
      </c>
      <c r="D4841" s="85" t="s">
        <v>60</v>
      </c>
      <c r="E4841" s="85">
        <v>28</v>
      </c>
      <c r="F4841" s="85">
        <v>7</v>
      </c>
      <c r="G4841" s="85">
        <f>--(F4841&lt;=Estimator!$B$7)</f>
        <v>0</v>
      </c>
      <c r="H4841" s="86">
        <f>SUMIFS('Climate Data'!$G$7:$G$366,'Climate Data'!$A$7:$A$366,Estimator!$B$4,'Climate Data'!$B$7:$B$366,C4841)</f>
        <v>0.18494623655913978</v>
      </c>
      <c r="I4841" s="87">
        <f>SUMIFS('Climate Data'!$H$7:$H$366,'Climate Data'!$A$7:$A$366,Estimator!$B$4,'Climate Data'!$B$7:$B$366,C4841)</f>
        <v>7.8662790697674421</v>
      </c>
      <c r="J4841" s="86">
        <f>SUMIFS('Wind Proxy'!$H$8:$H$19,'Wind Proxy'!$A$8:$A$19,Estimator!$B$4,'Wind Proxy'!$B$8:$B$19,C4841)</f>
        <v>0</v>
      </c>
    </row>
    <row r="4842" spans="1:10" ht="14.4">
      <c r="A4842" s="84">
        <v>50493</v>
      </c>
      <c r="B4842" s="85">
        <v>2038</v>
      </c>
      <c r="C4842" s="85">
        <v>3</v>
      </c>
      <c r="D4842" s="85" t="s">
        <v>60</v>
      </c>
      <c r="E4842" s="85">
        <v>29</v>
      </c>
      <c r="F4842" s="85">
        <v>1</v>
      </c>
      <c r="G4842" s="85">
        <f>--(F4842&lt;=Estimator!$B$7)</f>
        <v>1</v>
      </c>
      <c r="H4842" s="86">
        <f>SUMIFS('Climate Data'!$G$7:$G$366,'Climate Data'!$A$7:$A$366,Estimator!$B$4,'Climate Data'!$B$7:$B$366,C4842)</f>
        <v>0.18494623655913978</v>
      </c>
      <c r="I4842" s="87">
        <f>SUMIFS('Climate Data'!$H$7:$H$366,'Climate Data'!$A$7:$A$366,Estimator!$B$4,'Climate Data'!$B$7:$B$366,C4842)</f>
        <v>7.8662790697674421</v>
      </c>
      <c r="J4842" s="86">
        <f>SUMIFS('Wind Proxy'!$H$8:$H$19,'Wind Proxy'!$A$8:$A$19,Estimator!$B$4,'Wind Proxy'!$B$8:$B$19,C4842)</f>
        <v>0</v>
      </c>
    </row>
    <row r="4843" spans="1:10" ht="14.4">
      <c r="A4843" s="84">
        <v>50494</v>
      </c>
      <c r="B4843" s="85">
        <v>2038</v>
      </c>
      <c r="C4843" s="85">
        <v>3</v>
      </c>
      <c r="D4843" s="85" t="s">
        <v>60</v>
      </c>
      <c r="E4843" s="85">
        <v>30</v>
      </c>
      <c r="F4843" s="85">
        <v>2</v>
      </c>
      <c r="G4843" s="85">
        <f>--(F4843&lt;=Estimator!$B$7)</f>
        <v>1</v>
      </c>
      <c r="H4843" s="86">
        <f>SUMIFS('Climate Data'!$G$7:$G$366,'Climate Data'!$A$7:$A$366,Estimator!$B$4,'Climate Data'!$B$7:$B$366,C4843)</f>
        <v>0.18494623655913978</v>
      </c>
      <c r="I4843" s="87">
        <f>SUMIFS('Climate Data'!$H$7:$H$366,'Climate Data'!$A$7:$A$366,Estimator!$B$4,'Climate Data'!$B$7:$B$366,C4843)</f>
        <v>7.8662790697674421</v>
      </c>
      <c r="J4843" s="86">
        <f>SUMIFS('Wind Proxy'!$H$8:$H$19,'Wind Proxy'!$A$8:$A$19,Estimator!$B$4,'Wind Proxy'!$B$8:$B$19,C4843)</f>
        <v>0</v>
      </c>
    </row>
    <row r="4844" spans="1:10" ht="14.4">
      <c r="A4844" s="84">
        <v>50495</v>
      </c>
      <c r="B4844" s="85">
        <v>2038</v>
      </c>
      <c r="C4844" s="85">
        <v>3</v>
      </c>
      <c r="D4844" s="85" t="s">
        <v>60</v>
      </c>
      <c r="E4844" s="85">
        <v>31</v>
      </c>
      <c r="F4844" s="85">
        <v>3</v>
      </c>
      <c r="G4844" s="85">
        <f>--(F4844&lt;=Estimator!$B$7)</f>
        <v>1</v>
      </c>
      <c r="H4844" s="86">
        <f>SUMIFS('Climate Data'!$G$7:$G$366,'Climate Data'!$A$7:$A$366,Estimator!$B$4,'Climate Data'!$B$7:$B$366,C4844)</f>
        <v>0.18494623655913978</v>
      </c>
      <c r="I4844" s="87">
        <f>SUMIFS('Climate Data'!$H$7:$H$366,'Climate Data'!$A$7:$A$366,Estimator!$B$4,'Climate Data'!$B$7:$B$366,C4844)</f>
        <v>7.8662790697674421</v>
      </c>
      <c r="J4844" s="86">
        <f>SUMIFS('Wind Proxy'!$H$8:$H$19,'Wind Proxy'!$A$8:$A$19,Estimator!$B$4,'Wind Proxy'!$B$8:$B$19,C4844)</f>
        <v>0</v>
      </c>
    </row>
    <row r="4845" spans="1:10" ht="14.4">
      <c r="A4845" s="84">
        <v>50496</v>
      </c>
      <c r="B4845" s="85">
        <v>2038</v>
      </c>
      <c r="C4845" s="85">
        <v>4</v>
      </c>
      <c r="D4845" s="85" t="s">
        <v>62</v>
      </c>
      <c r="E4845" s="85">
        <v>1</v>
      </c>
      <c r="F4845" s="85">
        <v>4</v>
      </c>
      <c r="G4845" s="85">
        <f>--(F4845&lt;=Estimator!$B$7)</f>
        <v>1</v>
      </c>
      <c r="H4845" s="86">
        <f>SUMIFS('Climate Data'!$G$7:$G$366,'Climate Data'!$A$7:$A$366,Estimator!$B$4,'Climate Data'!$B$7:$B$366,C4845)</f>
        <v>0.25555555555555559</v>
      </c>
      <c r="I4845" s="87">
        <f>SUMIFS('Climate Data'!$H$7:$H$366,'Climate Data'!$A$7:$A$366,Estimator!$B$4,'Climate Data'!$B$7:$B$366,C4845)</f>
        <v>7.5</v>
      </c>
      <c r="J4845" s="86">
        <f>SUMIFS('Wind Proxy'!$H$8:$H$19,'Wind Proxy'!$A$8:$A$19,Estimator!$B$4,'Wind Proxy'!$B$8:$B$19,C4845)</f>
        <v>0</v>
      </c>
    </row>
    <row r="4846" spans="1:10" ht="14.4">
      <c r="A4846" s="84">
        <v>50497</v>
      </c>
      <c r="B4846" s="85">
        <v>2038</v>
      </c>
      <c r="C4846" s="85">
        <v>4</v>
      </c>
      <c r="D4846" s="85" t="s">
        <v>62</v>
      </c>
      <c r="E4846" s="85">
        <v>2</v>
      </c>
      <c r="F4846" s="85">
        <v>5</v>
      </c>
      <c r="G4846" s="85">
        <f>--(F4846&lt;=Estimator!$B$7)</f>
        <v>1</v>
      </c>
      <c r="H4846" s="86">
        <f>SUMIFS('Climate Data'!$G$7:$G$366,'Climate Data'!$A$7:$A$366,Estimator!$B$4,'Climate Data'!$B$7:$B$366,C4846)</f>
        <v>0.25555555555555559</v>
      </c>
      <c r="I4846" s="87">
        <f>SUMIFS('Climate Data'!$H$7:$H$366,'Climate Data'!$A$7:$A$366,Estimator!$B$4,'Climate Data'!$B$7:$B$366,C4846)</f>
        <v>7.5</v>
      </c>
      <c r="J4846" s="86">
        <f>SUMIFS('Wind Proxy'!$H$8:$H$19,'Wind Proxy'!$A$8:$A$19,Estimator!$B$4,'Wind Proxy'!$B$8:$B$19,C4846)</f>
        <v>0</v>
      </c>
    </row>
    <row r="4847" spans="1:10" ht="14.4">
      <c r="A4847" s="84">
        <v>50498</v>
      </c>
      <c r="B4847" s="85">
        <v>2038</v>
      </c>
      <c r="C4847" s="85">
        <v>4</v>
      </c>
      <c r="D4847" s="85" t="s">
        <v>62</v>
      </c>
      <c r="E4847" s="85">
        <v>3</v>
      </c>
      <c r="F4847" s="85">
        <v>6</v>
      </c>
      <c r="G4847" s="85">
        <f>--(F4847&lt;=Estimator!$B$7)</f>
        <v>0</v>
      </c>
      <c r="H4847" s="86">
        <f>SUMIFS('Climate Data'!$G$7:$G$366,'Climate Data'!$A$7:$A$366,Estimator!$B$4,'Climate Data'!$B$7:$B$366,C4847)</f>
        <v>0.25555555555555559</v>
      </c>
      <c r="I4847" s="87">
        <f>SUMIFS('Climate Data'!$H$7:$H$366,'Climate Data'!$A$7:$A$366,Estimator!$B$4,'Climate Data'!$B$7:$B$366,C4847)</f>
        <v>7.5</v>
      </c>
      <c r="J4847" s="86">
        <f>SUMIFS('Wind Proxy'!$H$8:$H$19,'Wind Proxy'!$A$8:$A$19,Estimator!$B$4,'Wind Proxy'!$B$8:$B$19,C4847)</f>
        <v>0</v>
      </c>
    </row>
    <row r="4848" spans="1:10" ht="14.4">
      <c r="A4848" s="84">
        <v>50499</v>
      </c>
      <c r="B4848" s="85">
        <v>2038</v>
      </c>
      <c r="C4848" s="85">
        <v>4</v>
      </c>
      <c r="D4848" s="85" t="s">
        <v>62</v>
      </c>
      <c r="E4848" s="85">
        <v>4</v>
      </c>
      <c r="F4848" s="85">
        <v>7</v>
      </c>
      <c r="G4848" s="85">
        <f>--(F4848&lt;=Estimator!$B$7)</f>
        <v>0</v>
      </c>
      <c r="H4848" s="86">
        <f>SUMIFS('Climate Data'!$G$7:$G$366,'Climate Data'!$A$7:$A$366,Estimator!$B$4,'Climate Data'!$B$7:$B$366,C4848)</f>
        <v>0.25555555555555559</v>
      </c>
      <c r="I4848" s="87">
        <f>SUMIFS('Climate Data'!$H$7:$H$366,'Climate Data'!$A$7:$A$366,Estimator!$B$4,'Climate Data'!$B$7:$B$366,C4848)</f>
        <v>7.5</v>
      </c>
      <c r="J4848" s="86">
        <f>SUMIFS('Wind Proxy'!$H$8:$H$19,'Wind Proxy'!$A$8:$A$19,Estimator!$B$4,'Wind Proxy'!$B$8:$B$19,C4848)</f>
        <v>0</v>
      </c>
    </row>
    <row r="4849" spans="1:10" ht="14.4">
      <c r="A4849" s="84">
        <v>50500</v>
      </c>
      <c r="B4849" s="85">
        <v>2038</v>
      </c>
      <c r="C4849" s="85">
        <v>4</v>
      </c>
      <c r="D4849" s="85" t="s">
        <v>62</v>
      </c>
      <c r="E4849" s="85">
        <v>5</v>
      </c>
      <c r="F4849" s="85">
        <v>1</v>
      </c>
      <c r="G4849" s="85">
        <f>--(F4849&lt;=Estimator!$B$7)</f>
        <v>1</v>
      </c>
      <c r="H4849" s="86">
        <f>SUMIFS('Climate Data'!$G$7:$G$366,'Climate Data'!$A$7:$A$366,Estimator!$B$4,'Climate Data'!$B$7:$B$366,C4849)</f>
        <v>0.25555555555555559</v>
      </c>
      <c r="I4849" s="87">
        <f>SUMIFS('Climate Data'!$H$7:$H$366,'Climate Data'!$A$7:$A$366,Estimator!$B$4,'Climate Data'!$B$7:$B$366,C4849)</f>
        <v>7.5</v>
      </c>
      <c r="J4849" s="86">
        <f>SUMIFS('Wind Proxy'!$H$8:$H$19,'Wind Proxy'!$A$8:$A$19,Estimator!$B$4,'Wind Proxy'!$B$8:$B$19,C4849)</f>
        <v>0</v>
      </c>
    </row>
    <row r="4850" spans="1:10" ht="14.4">
      <c r="A4850" s="84">
        <v>50501</v>
      </c>
      <c r="B4850" s="85">
        <v>2038</v>
      </c>
      <c r="C4850" s="85">
        <v>4</v>
      </c>
      <c r="D4850" s="85" t="s">
        <v>62</v>
      </c>
      <c r="E4850" s="85">
        <v>6</v>
      </c>
      <c r="F4850" s="85">
        <v>2</v>
      </c>
      <c r="G4850" s="85">
        <f>--(F4850&lt;=Estimator!$B$7)</f>
        <v>1</v>
      </c>
      <c r="H4850" s="86">
        <f>SUMIFS('Climate Data'!$G$7:$G$366,'Climate Data'!$A$7:$A$366,Estimator!$B$4,'Climate Data'!$B$7:$B$366,C4850)</f>
        <v>0.25555555555555559</v>
      </c>
      <c r="I4850" s="87">
        <f>SUMIFS('Climate Data'!$H$7:$H$366,'Climate Data'!$A$7:$A$366,Estimator!$B$4,'Climate Data'!$B$7:$B$366,C4850)</f>
        <v>7.5</v>
      </c>
      <c r="J4850" s="86">
        <f>SUMIFS('Wind Proxy'!$H$8:$H$19,'Wind Proxy'!$A$8:$A$19,Estimator!$B$4,'Wind Proxy'!$B$8:$B$19,C4850)</f>
        <v>0</v>
      </c>
    </row>
    <row r="4851" spans="1:10" ht="14.4">
      <c r="A4851" s="84">
        <v>50502</v>
      </c>
      <c r="B4851" s="85">
        <v>2038</v>
      </c>
      <c r="C4851" s="85">
        <v>4</v>
      </c>
      <c r="D4851" s="85" t="s">
        <v>62</v>
      </c>
      <c r="E4851" s="85">
        <v>7</v>
      </c>
      <c r="F4851" s="85">
        <v>3</v>
      </c>
      <c r="G4851" s="85">
        <f>--(F4851&lt;=Estimator!$B$7)</f>
        <v>1</v>
      </c>
      <c r="H4851" s="86">
        <f>SUMIFS('Climate Data'!$G$7:$G$366,'Climate Data'!$A$7:$A$366,Estimator!$B$4,'Climate Data'!$B$7:$B$366,C4851)</f>
        <v>0.25555555555555559</v>
      </c>
      <c r="I4851" s="87">
        <f>SUMIFS('Climate Data'!$H$7:$H$366,'Climate Data'!$A$7:$A$366,Estimator!$B$4,'Climate Data'!$B$7:$B$366,C4851)</f>
        <v>7.5</v>
      </c>
      <c r="J4851" s="86">
        <f>SUMIFS('Wind Proxy'!$H$8:$H$19,'Wind Proxy'!$A$8:$A$19,Estimator!$B$4,'Wind Proxy'!$B$8:$B$19,C4851)</f>
        <v>0</v>
      </c>
    </row>
    <row r="4852" spans="1:10" ht="14.4">
      <c r="A4852" s="84">
        <v>50503</v>
      </c>
      <c r="B4852" s="85">
        <v>2038</v>
      </c>
      <c r="C4852" s="85">
        <v>4</v>
      </c>
      <c r="D4852" s="85" t="s">
        <v>62</v>
      </c>
      <c r="E4852" s="85">
        <v>8</v>
      </c>
      <c r="F4852" s="85">
        <v>4</v>
      </c>
      <c r="G4852" s="85">
        <f>--(F4852&lt;=Estimator!$B$7)</f>
        <v>1</v>
      </c>
      <c r="H4852" s="86">
        <f>SUMIFS('Climate Data'!$G$7:$G$366,'Climate Data'!$A$7:$A$366,Estimator!$B$4,'Climate Data'!$B$7:$B$366,C4852)</f>
        <v>0.25555555555555559</v>
      </c>
      <c r="I4852" s="87">
        <f>SUMIFS('Climate Data'!$H$7:$H$366,'Climate Data'!$A$7:$A$366,Estimator!$B$4,'Climate Data'!$B$7:$B$366,C4852)</f>
        <v>7.5</v>
      </c>
      <c r="J4852" s="86">
        <f>SUMIFS('Wind Proxy'!$H$8:$H$19,'Wind Proxy'!$A$8:$A$19,Estimator!$B$4,'Wind Proxy'!$B$8:$B$19,C4852)</f>
        <v>0</v>
      </c>
    </row>
    <row r="4853" spans="1:10" ht="14.4">
      <c r="A4853" s="84">
        <v>50504</v>
      </c>
      <c r="B4853" s="85">
        <v>2038</v>
      </c>
      <c r="C4853" s="85">
        <v>4</v>
      </c>
      <c r="D4853" s="85" t="s">
        <v>62</v>
      </c>
      <c r="E4853" s="85">
        <v>9</v>
      </c>
      <c r="F4853" s="85">
        <v>5</v>
      </c>
      <c r="G4853" s="85">
        <f>--(F4853&lt;=Estimator!$B$7)</f>
        <v>1</v>
      </c>
      <c r="H4853" s="86">
        <f>SUMIFS('Climate Data'!$G$7:$G$366,'Climate Data'!$A$7:$A$366,Estimator!$B$4,'Climate Data'!$B$7:$B$366,C4853)</f>
        <v>0.25555555555555559</v>
      </c>
      <c r="I4853" s="87">
        <f>SUMIFS('Climate Data'!$H$7:$H$366,'Climate Data'!$A$7:$A$366,Estimator!$B$4,'Climate Data'!$B$7:$B$366,C4853)</f>
        <v>7.5</v>
      </c>
      <c r="J4853" s="86">
        <f>SUMIFS('Wind Proxy'!$H$8:$H$19,'Wind Proxy'!$A$8:$A$19,Estimator!$B$4,'Wind Proxy'!$B$8:$B$19,C4853)</f>
        <v>0</v>
      </c>
    </row>
    <row r="4854" spans="1:10" ht="14.4">
      <c r="A4854" s="84">
        <v>50505</v>
      </c>
      <c r="B4854" s="85">
        <v>2038</v>
      </c>
      <c r="C4854" s="85">
        <v>4</v>
      </c>
      <c r="D4854" s="85" t="s">
        <v>62</v>
      </c>
      <c r="E4854" s="85">
        <v>10</v>
      </c>
      <c r="F4854" s="85">
        <v>6</v>
      </c>
      <c r="G4854" s="85">
        <f>--(F4854&lt;=Estimator!$B$7)</f>
        <v>0</v>
      </c>
      <c r="H4854" s="86">
        <f>SUMIFS('Climate Data'!$G$7:$G$366,'Climate Data'!$A$7:$A$366,Estimator!$B$4,'Climate Data'!$B$7:$B$366,C4854)</f>
        <v>0.25555555555555559</v>
      </c>
      <c r="I4854" s="87">
        <f>SUMIFS('Climate Data'!$H$7:$H$366,'Climate Data'!$A$7:$A$366,Estimator!$B$4,'Climate Data'!$B$7:$B$366,C4854)</f>
        <v>7.5</v>
      </c>
      <c r="J4854" s="86">
        <f>SUMIFS('Wind Proxy'!$H$8:$H$19,'Wind Proxy'!$A$8:$A$19,Estimator!$B$4,'Wind Proxy'!$B$8:$B$19,C4854)</f>
        <v>0</v>
      </c>
    </row>
    <row r="4855" spans="1:10" ht="14.4">
      <c r="A4855" s="84">
        <v>50506</v>
      </c>
      <c r="B4855" s="85">
        <v>2038</v>
      </c>
      <c r="C4855" s="85">
        <v>4</v>
      </c>
      <c r="D4855" s="85" t="s">
        <v>62</v>
      </c>
      <c r="E4855" s="85">
        <v>11</v>
      </c>
      <c r="F4855" s="85">
        <v>7</v>
      </c>
      <c r="G4855" s="85">
        <f>--(F4855&lt;=Estimator!$B$7)</f>
        <v>0</v>
      </c>
      <c r="H4855" s="86">
        <f>SUMIFS('Climate Data'!$G$7:$G$366,'Climate Data'!$A$7:$A$366,Estimator!$B$4,'Climate Data'!$B$7:$B$366,C4855)</f>
        <v>0.25555555555555559</v>
      </c>
      <c r="I4855" s="87">
        <f>SUMIFS('Climate Data'!$H$7:$H$366,'Climate Data'!$A$7:$A$366,Estimator!$B$4,'Climate Data'!$B$7:$B$366,C4855)</f>
        <v>7.5</v>
      </c>
      <c r="J4855" s="86">
        <f>SUMIFS('Wind Proxy'!$H$8:$H$19,'Wind Proxy'!$A$8:$A$19,Estimator!$B$4,'Wind Proxy'!$B$8:$B$19,C4855)</f>
        <v>0</v>
      </c>
    </row>
    <row r="4856" spans="1:10" ht="14.4">
      <c r="A4856" s="84">
        <v>50507</v>
      </c>
      <c r="B4856" s="85">
        <v>2038</v>
      </c>
      <c r="C4856" s="85">
        <v>4</v>
      </c>
      <c r="D4856" s="85" t="s">
        <v>62</v>
      </c>
      <c r="E4856" s="85">
        <v>12</v>
      </c>
      <c r="F4856" s="85">
        <v>1</v>
      </c>
      <c r="G4856" s="85">
        <f>--(F4856&lt;=Estimator!$B$7)</f>
        <v>1</v>
      </c>
      <c r="H4856" s="86">
        <f>SUMIFS('Climate Data'!$G$7:$G$366,'Climate Data'!$A$7:$A$366,Estimator!$B$4,'Climate Data'!$B$7:$B$366,C4856)</f>
        <v>0.25555555555555559</v>
      </c>
      <c r="I4856" s="87">
        <f>SUMIFS('Climate Data'!$H$7:$H$366,'Climate Data'!$A$7:$A$366,Estimator!$B$4,'Climate Data'!$B$7:$B$366,C4856)</f>
        <v>7.5</v>
      </c>
      <c r="J4856" s="86">
        <f>SUMIFS('Wind Proxy'!$H$8:$H$19,'Wind Proxy'!$A$8:$A$19,Estimator!$B$4,'Wind Proxy'!$B$8:$B$19,C4856)</f>
        <v>0</v>
      </c>
    </row>
    <row r="4857" spans="1:10" ht="14.4">
      <c r="A4857" s="84">
        <v>50508</v>
      </c>
      <c r="B4857" s="85">
        <v>2038</v>
      </c>
      <c r="C4857" s="85">
        <v>4</v>
      </c>
      <c r="D4857" s="85" t="s">
        <v>62</v>
      </c>
      <c r="E4857" s="85">
        <v>13</v>
      </c>
      <c r="F4857" s="85">
        <v>2</v>
      </c>
      <c r="G4857" s="85">
        <f>--(F4857&lt;=Estimator!$B$7)</f>
        <v>1</v>
      </c>
      <c r="H4857" s="86">
        <f>SUMIFS('Climate Data'!$G$7:$G$366,'Climate Data'!$A$7:$A$366,Estimator!$B$4,'Climate Data'!$B$7:$B$366,C4857)</f>
        <v>0.25555555555555559</v>
      </c>
      <c r="I4857" s="87">
        <f>SUMIFS('Climate Data'!$H$7:$H$366,'Climate Data'!$A$7:$A$366,Estimator!$B$4,'Climate Data'!$B$7:$B$366,C4857)</f>
        <v>7.5</v>
      </c>
      <c r="J4857" s="86">
        <f>SUMIFS('Wind Proxy'!$H$8:$H$19,'Wind Proxy'!$A$8:$A$19,Estimator!$B$4,'Wind Proxy'!$B$8:$B$19,C4857)</f>
        <v>0</v>
      </c>
    </row>
    <row r="4858" spans="1:10" ht="14.4">
      <c r="A4858" s="84">
        <v>50509</v>
      </c>
      <c r="B4858" s="85">
        <v>2038</v>
      </c>
      <c r="C4858" s="85">
        <v>4</v>
      </c>
      <c r="D4858" s="85" t="s">
        <v>62</v>
      </c>
      <c r="E4858" s="85">
        <v>14</v>
      </c>
      <c r="F4858" s="85">
        <v>3</v>
      </c>
      <c r="G4858" s="85">
        <f>--(F4858&lt;=Estimator!$B$7)</f>
        <v>1</v>
      </c>
      <c r="H4858" s="86">
        <f>SUMIFS('Climate Data'!$G$7:$G$366,'Climate Data'!$A$7:$A$366,Estimator!$B$4,'Climate Data'!$B$7:$B$366,C4858)</f>
        <v>0.25555555555555559</v>
      </c>
      <c r="I4858" s="87">
        <f>SUMIFS('Climate Data'!$H$7:$H$366,'Climate Data'!$A$7:$A$366,Estimator!$B$4,'Climate Data'!$B$7:$B$366,C4858)</f>
        <v>7.5</v>
      </c>
      <c r="J4858" s="86">
        <f>SUMIFS('Wind Proxy'!$H$8:$H$19,'Wind Proxy'!$A$8:$A$19,Estimator!$B$4,'Wind Proxy'!$B$8:$B$19,C4858)</f>
        <v>0</v>
      </c>
    </row>
    <row r="4859" spans="1:10" ht="14.4">
      <c r="A4859" s="84">
        <v>50510</v>
      </c>
      <c r="B4859" s="85">
        <v>2038</v>
      </c>
      <c r="C4859" s="85">
        <v>4</v>
      </c>
      <c r="D4859" s="85" t="s">
        <v>62</v>
      </c>
      <c r="E4859" s="85">
        <v>15</v>
      </c>
      <c r="F4859" s="85">
        <v>4</v>
      </c>
      <c r="G4859" s="85">
        <f>--(F4859&lt;=Estimator!$B$7)</f>
        <v>1</v>
      </c>
      <c r="H4859" s="86">
        <f>SUMIFS('Climate Data'!$G$7:$G$366,'Climate Data'!$A$7:$A$366,Estimator!$B$4,'Climate Data'!$B$7:$B$366,C4859)</f>
        <v>0.25555555555555559</v>
      </c>
      <c r="I4859" s="87">
        <f>SUMIFS('Climate Data'!$H$7:$H$366,'Climate Data'!$A$7:$A$366,Estimator!$B$4,'Climate Data'!$B$7:$B$366,C4859)</f>
        <v>7.5</v>
      </c>
      <c r="J4859" s="86">
        <f>SUMIFS('Wind Proxy'!$H$8:$H$19,'Wind Proxy'!$A$8:$A$19,Estimator!$B$4,'Wind Proxy'!$B$8:$B$19,C4859)</f>
        <v>0</v>
      </c>
    </row>
    <row r="4860" spans="1:10" ht="14.4">
      <c r="A4860" s="84">
        <v>50511</v>
      </c>
      <c r="B4860" s="85">
        <v>2038</v>
      </c>
      <c r="C4860" s="85">
        <v>4</v>
      </c>
      <c r="D4860" s="85" t="s">
        <v>62</v>
      </c>
      <c r="E4860" s="85">
        <v>16</v>
      </c>
      <c r="F4860" s="85">
        <v>5</v>
      </c>
      <c r="G4860" s="85">
        <f>--(F4860&lt;=Estimator!$B$7)</f>
        <v>1</v>
      </c>
      <c r="H4860" s="86">
        <f>SUMIFS('Climate Data'!$G$7:$G$366,'Climate Data'!$A$7:$A$366,Estimator!$B$4,'Climate Data'!$B$7:$B$366,C4860)</f>
        <v>0.25555555555555559</v>
      </c>
      <c r="I4860" s="87">
        <f>SUMIFS('Climate Data'!$H$7:$H$366,'Climate Data'!$A$7:$A$366,Estimator!$B$4,'Climate Data'!$B$7:$B$366,C4860)</f>
        <v>7.5</v>
      </c>
      <c r="J4860" s="86">
        <f>SUMIFS('Wind Proxy'!$H$8:$H$19,'Wind Proxy'!$A$8:$A$19,Estimator!$B$4,'Wind Proxy'!$B$8:$B$19,C4860)</f>
        <v>0</v>
      </c>
    </row>
    <row r="4861" spans="1:10" ht="14.4">
      <c r="A4861" s="84">
        <v>50512</v>
      </c>
      <c r="B4861" s="85">
        <v>2038</v>
      </c>
      <c r="C4861" s="85">
        <v>4</v>
      </c>
      <c r="D4861" s="85" t="s">
        <v>62</v>
      </c>
      <c r="E4861" s="85">
        <v>17</v>
      </c>
      <c r="F4861" s="85">
        <v>6</v>
      </c>
      <c r="G4861" s="85">
        <f>--(F4861&lt;=Estimator!$B$7)</f>
        <v>0</v>
      </c>
      <c r="H4861" s="86">
        <f>SUMIFS('Climate Data'!$G$7:$G$366,'Climate Data'!$A$7:$A$366,Estimator!$B$4,'Climate Data'!$B$7:$B$366,C4861)</f>
        <v>0.25555555555555559</v>
      </c>
      <c r="I4861" s="87">
        <f>SUMIFS('Climate Data'!$H$7:$H$366,'Climate Data'!$A$7:$A$366,Estimator!$B$4,'Climate Data'!$B$7:$B$366,C4861)</f>
        <v>7.5</v>
      </c>
      <c r="J4861" s="86">
        <f>SUMIFS('Wind Proxy'!$H$8:$H$19,'Wind Proxy'!$A$8:$A$19,Estimator!$B$4,'Wind Proxy'!$B$8:$B$19,C4861)</f>
        <v>0</v>
      </c>
    </row>
    <row r="4862" spans="1:10" ht="14.4">
      <c r="A4862" s="84">
        <v>50513</v>
      </c>
      <c r="B4862" s="85">
        <v>2038</v>
      </c>
      <c r="C4862" s="85">
        <v>4</v>
      </c>
      <c r="D4862" s="85" t="s">
        <v>62</v>
      </c>
      <c r="E4862" s="85">
        <v>18</v>
      </c>
      <c r="F4862" s="85">
        <v>7</v>
      </c>
      <c r="G4862" s="85">
        <f>--(F4862&lt;=Estimator!$B$7)</f>
        <v>0</v>
      </c>
      <c r="H4862" s="86">
        <f>SUMIFS('Climate Data'!$G$7:$G$366,'Climate Data'!$A$7:$A$366,Estimator!$B$4,'Climate Data'!$B$7:$B$366,C4862)</f>
        <v>0.25555555555555559</v>
      </c>
      <c r="I4862" s="87">
        <f>SUMIFS('Climate Data'!$H$7:$H$366,'Climate Data'!$A$7:$A$366,Estimator!$B$4,'Climate Data'!$B$7:$B$366,C4862)</f>
        <v>7.5</v>
      </c>
      <c r="J4862" s="86">
        <f>SUMIFS('Wind Proxy'!$H$8:$H$19,'Wind Proxy'!$A$8:$A$19,Estimator!$B$4,'Wind Proxy'!$B$8:$B$19,C4862)</f>
        <v>0</v>
      </c>
    </row>
    <row r="4863" spans="1:10" ht="14.4">
      <c r="A4863" s="84">
        <v>50514</v>
      </c>
      <c r="B4863" s="85">
        <v>2038</v>
      </c>
      <c r="C4863" s="85">
        <v>4</v>
      </c>
      <c r="D4863" s="85" t="s">
        <v>62</v>
      </c>
      <c r="E4863" s="85">
        <v>19</v>
      </c>
      <c r="F4863" s="85">
        <v>1</v>
      </c>
      <c r="G4863" s="85">
        <f>--(F4863&lt;=Estimator!$B$7)</f>
        <v>1</v>
      </c>
      <c r="H4863" s="86">
        <f>SUMIFS('Climate Data'!$G$7:$G$366,'Climate Data'!$A$7:$A$366,Estimator!$B$4,'Climate Data'!$B$7:$B$366,C4863)</f>
        <v>0.25555555555555559</v>
      </c>
      <c r="I4863" s="87">
        <f>SUMIFS('Climate Data'!$H$7:$H$366,'Climate Data'!$A$7:$A$366,Estimator!$B$4,'Climate Data'!$B$7:$B$366,C4863)</f>
        <v>7.5</v>
      </c>
      <c r="J4863" s="86">
        <f>SUMIFS('Wind Proxy'!$H$8:$H$19,'Wind Proxy'!$A$8:$A$19,Estimator!$B$4,'Wind Proxy'!$B$8:$B$19,C4863)</f>
        <v>0</v>
      </c>
    </row>
    <row r="4864" spans="1:10" ht="14.4">
      <c r="A4864" s="84">
        <v>50515</v>
      </c>
      <c r="B4864" s="85">
        <v>2038</v>
      </c>
      <c r="C4864" s="85">
        <v>4</v>
      </c>
      <c r="D4864" s="85" t="s">
        <v>62</v>
      </c>
      <c r="E4864" s="85">
        <v>20</v>
      </c>
      <c r="F4864" s="85">
        <v>2</v>
      </c>
      <c r="G4864" s="85">
        <f>--(F4864&lt;=Estimator!$B$7)</f>
        <v>1</v>
      </c>
      <c r="H4864" s="86">
        <f>SUMIFS('Climate Data'!$G$7:$G$366,'Climate Data'!$A$7:$A$366,Estimator!$B$4,'Climate Data'!$B$7:$B$366,C4864)</f>
        <v>0.25555555555555559</v>
      </c>
      <c r="I4864" s="87">
        <f>SUMIFS('Climate Data'!$H$7:$H$366,'Climate Data'!$A$7:$A$366,Estimator!$B$4,'Climate Data'!$B$7:$B$366,C4864)</f>
        <v>7.5</v>
      </c>
      <c r="J4864" s="86">
        <f>SUMIFS('Wind Proxy'!$H$8:$H$19,'Wind Proxy'!$A$8:$A$19,Estimator!$B$4,'Wind Proxy'!$B$8:$B$19,C4864)</f>
        <v>0</v>
      </c>
    </row>
    <row r="4865" spans="1:10" ht="14.4">
      <c r="A4865" s="84">
        <v>50516</v>
      </c>
      <c r="B4865" s="85">
        <v>2038</v>
      </c>
      <c r="C4865" s="85">
        <v>4</v>
      </c>
      <c r="D4865" s="85" t="s">
        <v>62</v>
      </c>
      <c r="E4865" s="85">
        <v>21</v>
      </c>
      <c r="F4865" s="85">
        <v>3</v>
      </c>
      <c r="G4865" s="85">
        <f>--(F4865&lt;=Estimator!$B$7)</f>
        <v>1</v>
      </c>
      <c r="H4865" s="86">
        <f>SUMIFS('Climate Data'!$G$7:$G$366,'Climate Data'!$A$7:$A$366,Estimator!$B$4,'Climate Data'!$B$7:$B$366,C4865)</f>
        <v>0.25555555555555559</v>
      </c>
      <c r="I4865" s="87">
        <f>SUMIFS('Climate Data'!$H$7:$H$366,'Climate Data'!$A$7:$A$366,Estimator!$B$4,'Climate Data'!$B$7:$B$366,C4865)</f>
        <v>7.5</v>
      </c>
      <c r="J4865" s="86">
        <f>SUMIFS('Wind Proxy'!$H$8:$H$19,'Wind Proxy'!$A$8:$A$19,Estimator!$B$4,'Wind Proxy'!$B$8:$B$19,C4865)</f>
        <v>0</v>
      </c>
    </row>
    <row r="4866" spans="1:10" ht="14.4">
      <c r="A4866" s="84">
        <v>50517</v>
      </c>
      <c r="B4866" s="85">
        <v>2038</v>
      </c>
      <c r="C4866" s="85">
        <v>4</v>
      </c>
      <c r="D4866" s="85" t="s">
        <v>62</v>
      </c>
      <c r="E4866" s="85">
        <v>22</v>
      </c>
      <c r="F4866" s="85">
        <v>4</v>
      </c>
      <c r="G4866" s="85">
        <f>--(F4866&lt;=Estimator!$B$7)</f>
        <v>1</v>
      </c>
      <c r="H4866" s="86">
        <f>SUMIFS('Climate Data'!$G$7:$G$366,'Climate Data'!$A$7:$A$366,Estimator!$B$4,'Climate Data'!$B$7:$B$366,C4866)</f>
        <v>0.25555555555555559</v>
      </c>
      <c r="I4866" s="87">
        <f>SUMIFS('Climate Data'!$H$7:$H$366,'Climate Data'!$A$7:$A$366,Estimator!$B$4,'Climate Data'!$B$7:$B$366,C4866)</f>
        <v>7.5</v>
      </c>
      <c r="J4866" s="86">
        <f>SUMIFS('Wind Proxy'!$H$8:$H$19,'Wind Proxy'!$A$8:$A$19,Estimator!$B$4,'Wind Proxy'!$B$8:$B$19,C4866)</f>
        <v>0</v>
      </c>
    </row>
    <row r="4867" spans="1:10" ht="14.4">
      <c r="A4867" s="84">
        <v>50518</v>
      </c>
      <c r="B4867" s="85">
        <v>2038</v>
      </c>
      <c r="C4867" s="85">
        <v>4</v>
      </c>
      <c r="D4867" s="85" t="s">
        <v>62</v>
      </c>
      <c r="E4867" s="85">
        <v>23</v>
      </c>
      <c r="F4867" s="85">
        <v>5</v>
      </c>
      <c r="G4867" s="85">
        <f>--(F4867&lt;=Estimator!$B$7)</f>
        <v>1</v>
      </c>
      <c r="H4867" s="86">
        <f>SUMIFS('Climate Data'!$G$7:$G$366,'Climate Data'!$A$7:$A$366,Estimator!$B$4,'Climate Data'!$B$7:$B$366,C4867)</f>
        <v>0.25555555555555559</v>
      </c>
      <c r="I4867" s="87">
        <f>SUMIFS('Climate Data'!$H$7:$H$366,'Climate Data'!$A$7:$A$366,Estimator!$B$4,'Climate Data'!$B$7:$B$366,C4867)</f>
        <v>7.5</v>
      </c>
      <c r="J4867" s="86">
        <f>SUMIFS('Wind Proxy'!$H$8:$H$19,'Wind Proxy'!$A$8:$A$19,Estimator!$B$4,'Wind Proxy'!$B$8:$B$19,C4867)</f>
        <v>0</v>
      </c>
    </row>
    <row r="4868" spans="1:10" ht="14.4">
      <c r="A4868" s="84">
        <v>50519</v>
      </c>
      <c r="B4868" s="85">
        <v>2038</v>
      </c>
      <c r="C4868" s="85">
        <v>4</v>
      </c>
      <c r="D4868" s="85" t="s">
        <v>62</v>
      </c>
      <c r="E4868" s="85">
        <v>24</v>
      </c>
      <c r="F4868" s="85">
        <v>6</v>
      </c>
      <c r="G4868" s="85">
        <f>--(F4868&lt;=Estimator!$B$7)</f>
        <v>0</v>
      </c>
      <c r="H4868" s="86">
        <f>SUMIFS('Climate Data'!$G$7:$G$366,'Climate Data'!$A$7:$A$366,Estimator!$B$4,'Climate Data'!$B$7:$B$366,C4868)</f>
        <v>0.25555555555555559</v>
      </c>
      <c r="I4868" s="87">
        <f>SUMIFS('Climate Data'!$H$7:$H$366,'Climate Data'!$A$7:$A$366,Estimator!$B$4,'Climate Data'!$B$7:$B$366,C4868)</f>
        <v>7.5</v>
      </c>
      <c r="J4868" s="86">
        <f>SUMIFS('Wind Proxy'!$H$8:$H$19,'Wind Proxy'!$A$8:$A$19,Estimator!$B$4,'Wind Proxy'!$B$8:$B$19,C4868)</f>
        <v>0</v>
      </c>
    </row>
    <row r="4869" spans="1:10" ht="14.4">
      <c r="A4869" s="84">
        <v>50520</v>
      </c>
      <c r="B4869" s="85">
        <v>2038</v>
      </c>
      <c r="C4869" s="85">
        <v>4</v>
      </c>
      <c r="D4869" s="85" t="s">
        <v>62</v>
      </c>
      <c r="E4869" s="85">
        <v>25</v>
      </c>
      <c r="F4869" s="85">
        <v>7</v>
      </c>
      <c r="G4869" s="85">
        <f>--(F4869&lt;=Estimator!$B$7)</f>
        <v>0</v>
      </c>
      <c r="H4869" s="86">
        <f>SUMIFS('Climate Data'!$G$7:$G$366,'Climate Data'!$A$7:$A$366,Estimator!$B$4,'Climate Data'!$B$7:$B$366,C4869)</f>
        <v>0.25555555555555559</v>
      </c>
      <c r="I4869" s="87">
        <f>SUMIFS('Climate Data'!$H$7:$H$366,'Climate Data'!$A$7:$A$366,Estimator!$B$4,'Climate Data'!$B$7:$B$366,C4869)</f>
        <v>7.5</v>
      </c>
      <c r="J4869" s="86">
        <f>SUMIFS('Wind Proxy'!$H$8:$H$19,'Wind Proxy'!$A$8:$A$19,Estimator!$B$4,'Wind Proxy'!$B$8:$B$19,C4869)</f>
        <v>0</v>
      </c>
    </row>
    <row r="4870" spans="1:10" ht="14.4">
      <c r="A4870" s="84">
        <v>50521</v>
      </c>
      <c r="B4870" s="85">
        <v>2038</v>
      </c>
      <c r="C4870" s="85">
        <v>4</v>
      </c>
      <c r="D4870" s="85" t="s">
        <v>62</v>
      </c>
      <c r="E4870" s="85">
        <v>26</v>
      </c>
      <c r="F4870" s="85">
        <v>1</v>
      </c>
      <c r="G4870" s="85">
        <f>--(F4870&lt;=Estimator!$B$7)</f>
        <v>1</v>
      </c>
      <c r="H4870" s="86">
        <f>SUMIFS('Climate Data'!$G$7:$G$366,'Climate Data'!$A$7:$A$366,Estimator!$B$4,'Climate Data'!$B$7:$B$366,C4870)</f>
        <v>0.25555555555555559</v>
      </c>
      <c r="I4870" s="87">
        <f>SUMIFS('Climate Data'!$H$7:$H$366,'Climate Data'!$A$7:$A$366,Estimator!$B$4,'Climate Data'!$B$7:$B$366,C4870)</f>
        <v>7.5</v>
      </c>
      <c r="J4870" s="86">
        <f>SUMIFS('Wind Proxy'!$H$8:$H$19,'Wind Proxy'!$A$8:$A$19,Estimator!$B$4,'Wind Proxy'!$B$8:$B$19,C4870)</f>
        <v>0</v>
      </c>
    </row>
    <row r="4871" spans="1:10" ht="14.4">
      <c r="A4871" s="84">
        <v>50522</v>
      </c>
      <c r="B4871" s="85">
        <v>2038</v>
      </c>
      <c r="C4871" s="85">
        <v>4</v>
      </c>
      <c r="D4871" s="85" t="s">
        <v>62</v>
      </c>
      <c r="E4871" s="85">
        <v>27</v>
      </c>
      <c r="F4871" s="85">
        <v>2</v>
      </c>
      <c r="G4871" s="85">
        <f>--(F4871&lt;=Estimator!$B$7)</f>
        <v>1</v>
      </c>
      <c r="H4871" s="86">
        <f>SUMIFS('Climate Data'!$G$7:$G$366,'Climate Data'!$A$7:$A$366,Estimator!$B$4,'Climate Data'!$B$7:$B$366,C4871)</f>
        <v>0.25555555555555559</v>
      </c>
      <c r="I4871" s="87">
        <f>SUMIFS('Climate Data'!$H$7:$H$366,'Climate Data'!$A$7:$A$366,Estimator!$B$4,'Climate Data'!$B$7:$B$366,C4871)</f>
        <v>7.5</v>
      </c>
      <c r="J4871" s="86">
        <f>SUMIFS('Wind Proxy'!$H$8:$H$19,'Wind Proxy'!$A$8:$A$19,Estimator!$B$4,'Wind Proxy'!$B$8:$B$19,C4871)</f>
        <v>0</v>
      </c>
    </row>
    <row r="4872" spans="1:10" ht="14.4">
      <c r="A4872" s="84">
        <v>50523</v>
      </c>
      <c r="B4872" s="85">
        <v>2038</v>
      </c>
      <c r="C4872" s="85">
        <v>4</v>
      </c>
      <c r="D4872" s="85" t="s">
        <v>62</v>
      </c>
      <c r="E4872" s="85">
        <v>28</v>
      </c>
      <c r="F4872" s="85">
        <v>3</v>
      </c>
      <c r="G4872" s="85">
        <f>--(F4872&lt;=Estimator!$B$7)</f>
        <v>1</v>
      </c>
      <c r="H4872" s="86">
        <f>SUMIFS('Climate Data'!$G$7:$G$366,'Climate Data'!$A$7:$A$366,Estimator!$B$4,'Climate Data'!$B$7:$B$366,C4872)</f>
        <v>0.25555555555555559</v>
      </c>
      <c r="I4872" s="87">
        <f>SUMIFS('Climate Data'!$H$7:$H$366,'Climate Data'!$A$7:$A$366,Estimator!$B$4,'Climate Data'!$B$7:$B$366,C4872)</f>
        <v>7.5</v>
      </c>
      <c r="J4872" s="86">
        <f>SUMIFS('Wind Proxy'!$H$8:$H$19,'Wind Proxy'!$A$8:$A$19,Estimator!$B$4,'Wind Proxy'!$B$8:$B$19,C4872)</f>
        <v>0</v>
      </c>
    </row>
    <row r="4873" spans="1:10" ht="14.4">
      <c r="A4873" s="84">
        <v>50524</v>
      </c>
      <c r="B4873" s="85">
        <v>2038</v>
      </c>
      <c r="C4873" s="85">
        <v>4</v>
      </c>
      <c r="D4873" s="85" t="s">
        <v>62</v>
      </c>
      <c r="E4873" s="85">
        <v>29</v>
      </c>
      <c r="F4873" s="85">
        <v>4</v>
      </c>
      <c r="G4873" s="85">
        <f>--(F4873&lt;=Estimator!$B$7)</f>
        <v>1</v>
      </c>
      <c r="H4873" s="86">
        <f>SUMIFS('Climate Data'!$G$7:$G$366,'Climate Data'!$A$7:$A$366,Estimator!$B$4,'Climate Data'!$B$7:$B$366,C4873)</f>
        <v>0.25555555555555559</v>
      </c>
      <c r="I4873" s="87">
        <f>SUMIFS('Climate Data'!$H$7:$H$366,'Climate Data'!$A$7:$A$366,Estimator!$B$4,'Climate Data'!$B$7:$B$366,C4873)</f>
        <v>7.5</v>
      </c>
      <c r="J4873" s="86">
        <f>SUMIFS('Wind Proxy'!$H$8:$H$19,'Wind Proxy'!$A$8:$A$19,Estimator!$B$4,'Wind Proxy'!$B$8:$B$19,C4873)</f>
        <v>0</v>
      </c>
    </row>
    <row r="4874" spans="1:10" ht="14.4">
      <c r="A4874" s="84">
        <v>50525</v>
      </c>
      <c r="B4874" s="85">
        <v>2038</v>
      </c>
      <c r="C4874" s="85">
        <v>4</v>
      </c>
      <c r="D4874" s="85" t="s">
        <v>62</v>
      </c>
      <c r="E4874" s="85">
        <v>30</v>
      </c>
      <c r="F4874" s="85">
        <v>5</v>
      </c>
      <c r="G4874" s="85">
        <f>--(F4874&lt;=Estimator!$B$7)</f>
        <v>1</v>
      </c>
      <c r="H4874" s="86">
        <f>SUMIFS('Climate Data'!$G$7:$G$366,'Climate Data'!$A$7:$A$366,Estimator!$B$4,'Climate Data'!$B$7:$B$366,C4874)</f>
        <v>0.25555555555555559</v>
      </c>
      <c r="I4874" s="87">
        <f>SUMIFS('Climate Data'!$H$7:$H$366,'Climate Data'!$A$7:$A$366,Estimator!$B$4,'Climate Data'!$B$7:$B$366,C4874)</f>
        <v>7.5</v>
      </c>
      <c r="J4874" s="86">
        <f>SUMIFS('Wind Proxy'!$H$8:$H$19,'Wind Proxy'!$A$8:$A$19,Estimator!$B$4,'Wind Proxy'!$B$8:$B$19,C4874)</f>
        <v>0</v>
      </c>
    </row>
    <row r="4875" spans="1:10" ht="14.4">
      <c r="A4875" s="84">
        <v>50526</v>
      </c>
      <c r="B4875" s="85">
        <v>2038</v>
      </c>
      <c r="C4875" s="85">
        <v>5</v>
      </c>
      <c r="D4875" s="85" t="s">
        <v>65</v>
      </c>
      <c r="E4875" s="85">
        <v>1</v>
      </c>
      <c r="F4875" s="85">
        <v>6</v>
      </c>
      <c r="G4875" s="85">
        <f>--(F4875&lt;=Estimator!$B$7)</f>
        <v>0</v>
      </c>
      <c r="H4875" s="86">
        <f>SUMIFS('Climate Data'!$G$7:$G$366,'Climate Data'!$A$7:$A$366,Estimator!$B$4,'Climate Data'!$B$7:$B$366,C4875)</f>
        <v>0.23010752688172045</v>
      </c>
      <c r="I4875" s="87">
        <f>SUMIFS('Climate Data'!$H$7:$H$366,'Climate Data'!$A$7:$A$366,Estimator!$B$4,'Climate Data'!$B$7:$B$366,C4875)</f>
        <v>8.1448598130841123</v>
      </c>
      <c r="J4875" s="86">
        <f>SUMIFS('Wind Proxy'!$H$8:$H$19,'Wind Proxy'!$A$8:$A$19,Estimator!$B$4,'Wind Proxy'!$B$8:$B$19,C4875)</f>
        <v>0</v>
      </c>
    </row>
    <row r="4876" spans="1:10" ht="14.4">
      <c r="A4876" s="84">
        <v>50527</v>
      </c>
      <c r="B4876" s="85">
        <v>2038</v>
      </c>
      <c r="C4876" s="85">
        <v>5</v>
      </c>
      <c r="D4876" s="85" t="s">
        <v>65</v>
      </c>
      <c r="E4876" s="85">
        <v>2</v>
      </c>
      <c r="F4876" s="85">
        <v>7</v>
      </c>
      <c r="G4876" s="85">
        <f>--(F4876&lt;=Estimator!$B$7)</f>
        <v>0</v>
      </c>
      <c r="H4876" s="86">
        <f>SUMIFS('Climate Data'!$G$7:$G$366,'Climate Data'!$A$7:$A$366,Estimator!$B$4,'Climate Data'!$B$7:$B$366,C4876)</f>
        <v>0.23010752688172045</v>
      </c>
      <c r="I4876" s="87">
        <f>SUMIFS('Climate Data'!$H$7:$H$366,'Climate Data'!$A$7:$A$366,Estimator!$B$4,'Climate Data'!$B$7:$B$366,C4876)</f>
        <v>8.1448598130841123</v>
      </c>
      <c r="J4876" s="86">
        <f>SUMIFS('Wind Proxy'!$H$8:$H$19,'Wind Proxy'!$A$8:$A$19,Estimator!$B$4,'Wind Proxy'!$B$8:$B$19,C4876)</f>
        <v>0</v>
      </c>
    </row>
    <row r="4877" spans="1:10" ht="14.4">
      <c r="A4877" s="84">
        <v>50528</v>
      </c>
      <c r="B4877" s="85">
        <v>2038</v>
      </c>
      <c r="C4877" s="85">
        <v>5</v>
      </c>
      <c r="D4877" s="85" t="s">
        <v>65</v>
      </c>
      <c r="E4877" s="85">
        <v>3</v>
      </c>
      <c r="F4877" s="85">
        <v>1</v>
      </c>
      <c r="G4877" s="85">
        <f>--(F4877&lt;=Estimator!$B$7)</f>
        <v>1</v>
      </c>
      <c r="H4877" s="86">
        <f>SUMIFS('Climate Data'!$G$7:$G$366,'Climate Data'!$A$7:$A$366,Estimator!$B$4,'Climate Data'!$B$7:$B$366,C4877)</f>
        <v>0.23010752688172045</v>
      </c>
      <c r="I4877" s="87">
        <f>SUMIFS('Climate Data'!$H$7:$H$366,'Climate Data'!$A$7:$A$366,Estimator!$B$4,'Climate Data'!$B$7:$B$366,C4877)</f>
        <v>8.1448598130841123</v>
      </c>
      <c r="J4877" s="86">
        <f>SUMIFS('Wind Proxy'!$H$8:$H$19,'Wind Proxy'!$A$8:$A$19,Estimator!$B$4,'Wind Proxy'!$B$8:$B$19,C4877)</f>
        <v>0</v>
      </c>
    </row>
    <row r="4878" spans="1:10" ht="14.4">
      <c r="A4878" s="84">
        <v>50529</v>
      </c>
      <c r="B4878" s="85">
        <v>2038</v>
      </c>
      <c r="C4878" s="85">
        <v>5</v>
      </c>
      <c r="D4878" s="85" t="s">
        <v>65</v>
      </c>
      <c r="E4878" s="85">
        <v>4</v>
      </c>
      <c r="F4878" s="85">
        <v>2</v>
      </c>
      <c r="G4878" s="85">
        <f>--(F4878&lt;=Estimator!$B$7)</f>
        <v>1</v>
      </c>
      <c r="H4878" s="86">
        <f>SUMIFS('Climate Data'!$G$7:$G$366,'Climate Data'!$A$7:$A$366,Estimator!$B$4,'Climate Data'!$B$7:$B$366,C4878)</f>
        <v>0.23010752688172045</v>
      </c>
      <c r="I4878" s="87">
        <f>SUMIFS('Climate Data'!$H$7:$H$366,'Climate Data'!$A$7:$A$366,Estimator!$B$4,'Climate Data'!$B$7:$B$366,C4878)</f>
        <v>8.1448598130841123</v>
      </c>
      <c r="J4878" s="86">
        <f>SUMIFS('Wind Proxy'!$H$8:$H$19,'Wind Proxy'!$A$8:$A$19,Estimator!$B$4,'Wind Proxy'!$B$8:$B$19,C4878)</f>
        <v>0</v>
      </c>
    </row>
    <row r="4879" spans="1:10" ht="14.4">
      <c r="A4879" s="84">
        <v>50530</v>
      </c>
      <c r="B4879" s="85">
        <v>2038</v>
      </c>
      <c r="C4879" s="85">
        <v>5</v>
      </c>
      <c r="D4879" s="85" t="s">
        <v>65</v>
      </c>
      <c r="E4879" s="85">
        <v>5</v>
      </c>
      <c r="F4879" s="85">
        <v>3</v>
      </c>
      <c r="G4879" s="85">
        <f>--(F4879&lt;=Estimator!$B$7)</f>
        <v>1</v>
      </c>
      <c r="H4879" s="86">
        <f>SUMIFS('Climate Data'!$G$7:$G$366,'Climate Data'!$A$7:$A$366,Estimator!$B$4,'Climate Data'!$B$7:$B$366,C4879)</f>
        <v>0.23010752688172045</v>
      </c>
      <c r="I4879" s="87">
        <f>SUMIFS('Climate Data'!$H$7:$H$366,'Climate Data'!$A$7:$A$366,Estimator!$B$4,'Climate Data'!$B$7:$B$366,C4879)</f>
        <v>8.1448598130841123</v>
      </c>
      <c r="J4879" s="86">
        <f>SUMIFS('Wind Proxy'!$H$8:$H$19,'Wind Proxy'!$A$8:$A$19,Estimator!$B$4,'Wind Proxy'!$B$8:$B$19,C4879)</f>
        <v>0</v>
      </c>
    </row>
    <row r="4880" spans="1:10" ht="14.4">
      <c r="A4880" s="84">
        <v>50531</v>
      </c>
      <c r="B4880" s="85">
        <v>2038</v>
      </c>
      <c r="C4880" s="85">
        <v>5</v>
      </c>
      <c r="D4880" s="85" t="s">
        <v>65</v>
      </c>
      <c r="E4880" s="85">
        <v>6</v>
      </c>
      <c r="F4880" s="85">
        <v>4</v>
      </c>
      <c r="G4880" s="85">
        <f>--(F4880&lt;=Estimator!$B$7)</f>
        <v>1</v>
      </c>
      <c r="H4880" s="86">
        <f>SUMIFS('Climate Data'!$G$7:$G$366,'Climate Data'!$A$7:$A$366,Estimator!$B$4,'Climate Data'!$B$7:$B$366,C4880)</f>
        <v>0.23010752688172045</v>
      </c>
      <c r="I4880" s="87">
        <f>SUMIFS('Climate Data'!$H$7:$H$366,'Climate Data'!$A$7:$A$366,Estimator!$B$4,'Climate Data'!$B$7:$B$366,C4880)</f>
        <v>8.1448598130841123</v>
      </c>
      <c r="J4880" s="86">
        <f>SUMIFS('Wind Proxy'!$H$8:$H$19,'Wind Proxy'!$A$8:$A$19,Estimator!$B$4,'Wind Proxy'!$B$8:$B$19,C4880)</f>
        <v>0</v>
      </c>
    </row>
    <row r="4881" spans="1:10" ht="14.4">
      <c r="A4881" s="84">
        <v>50532</v>
      </c>
      <c r="B4881" s="85">
        <v>2038</v>
      </c>
      <c r="C4881" s="85">
        <v>5</v>
      </c>
      <c r="D4881" s="85" t="s">
        <v>65</v>
      </c>
      <c r="E4881" s="85">
        <v>7</v>
      </c>
      <c r="F4881" s="85">
        <v>5</v>
      </c>
      <c r="G4881" s="85">
        <f>--(F4881&lt;=Estimator!$B$7)</f>
        <v>1</v>
      </c>
      <c r="H4881" s="86">
        <f>SUMIFS('Climate Data'!$G$7:$G$366,'Climate Data'!$A$7:$A$366,Estimator!$B$4,'Climate Data'!$B$7:$B$366,C4881)</f>
        <v>0.23010752688172045</v>
      </c>
      <c r="I4881" s="87">
        <f>SUMIFS('Climate Data'!$H$7:$H$366,'Climate Data'!$A$7:$A$366,Estimator!$B$4,'Climate Data'!$B$7:$B$366,C4881)</f>
        <v>8.1448598130841123</v>
      </c>
      <c r="J4881" s="86">
        <f>SUMIFS('Wind Proxy'!$H$8:$H$19,'Wind Proxy'!$A$8:$A$19,Estimator!$B$4,'Wind Proxy'!$B$8:$B$19,C4881)</f>
        <v>0</v>
      </c>
    </row>
    <row r="4882" spans="1:10" ht="14.4">
      <c r="A4882" s="84">
        <v>50533</v>
      </c>
      <c r="B4882" s="85">
        <v>2038</v>
      </c>
      <c r="C4882" s="85">
        <v>5</v>
      </c>
      <c r="D4882" s="85" t="s">
        <v>65</v>
      </c>
      <c r="E4882" s="85">
        <v>8</v>
      </c>
      <c r="F4882" s="85">
        <v>6</v>
      </c>
      <c r="G4882" s="85">
        <f>--(F4882&lt;=Estimator!$B$7)</f>
        <v>0</v>
      </c>
      <c r="H4882" s="86">
        <f>SUMIFS('Climate Data'!$G$7:$G$366,'Climate Data'!$A$7:$A$366,Estimator!$B$4,'Climate Data'!$B$7:$B$366,C4882)</f>
        <v>0.23010752688172045</v>
      </c>
      <c r="I4882" s="87">
        <f>SUMIFS('Climate Data'!$H$7:$H$366,'Climate Data'!$A$7:$A$366,Estimator!$B$4,'Climate Data'!$B$7:$B$366,C4882)</f>
        <v>8.1448598130841123</v>
      </c>
      <c r="J4882" s="86">
        <f>SUMIFS('Wind Proxy'!$H$8:$H$19,'Wind Proxy'!$A$8:$A$19,Estimator!$B$4,'Wind Proxy'!$B$8:$B$19,C4882)</f>
        <v>0</v>
      </c>
    </row>
    <row r="4883" spans="1:10" ht="14.4">
      <c r="A4883" s="84">
        <v>50534</v>
      </c>
      <c r="B4883" s="85">
        <v>2038</v>
      </c>
      <c r="C4883" s="85">
        <v>5</v>
      </c>
      <c r="D4883" s="85" t="s">
        <v>65</v>
      </c>
      <c r="E4883" s="85">
        <v>9</v>
      </c>
      <c r="F4883" s="85">
        <v>7</v>
      </c>
      <c r="G4883" s="85">
        <f>--(F4883&lt;=Estimator!$B$7)</f>
        <v>0</v>
      </c>
      <c r="H4883" s="86">
        <f>SUMIFS('Climate Data'!$G$7:$G$366,'Climate Data'!$A$7:$A$366,Estimator!$B$4,'Climate Data'!$B$7:$B$366,C4883)</f>
        <v>0.23010752688172045</v>
      </c>
      <c r="I4883" s="87">
        <f>SUMIFS('Climate Data'!$H$7:$H$366,'Climate Data'!$A$7:$A$366,Estimator!$B$4,'Climate Data'!$B$7:$B$366,C4883)</f>
        <v>8.1448598130841123</v>
      </c>
      <c r="J4883" s="86">
        <f>SUMIFS('Wind Proxy'!$H$8:$H$19,'Wind Proxy'!$A$8:$A$19,Estimator!$B$4,'Wind Proxy'!$B$8:$B$19,C4883)</f>
        <v>0</v>
      </c>
    </row>
    <row r="4884" spans="1:10" ht="14.4">
      <c r="A4884" s="84">
        <v>50535</v>
      </c>
      <c r="B4884" s="85">
        <v>2038</v>
      </c>
      <c r="C4884" s="85">
        <v>5</v>
      </c>
      <c r="D4884" s="85" t="s">
        <v>65</v>
      </c>
      <c r="E4884" s="85">
        <v>10</v>
      </c>
      <c r="F4884" s="85">
        <v>1</v>
      </c>
      <c r="G4884" s="85">
        <f>--(F4884&lt;=Estimator!$B$7)</f>
        <v>1</v>
      </c>
      <c r="H4884" s="86">
        <f>SUMIFS('Climate Data'!$G$7:$G$366,'Climate Data'!$A$7:$A$366,Estimator!$B$4,'Climate Data'!$B$7:$B$366,C4884)</f>
        <v>0.23010752688172045</v>
      </c>
      <c r="I4884" s="87">
        <f>SUMIFS('Climate Data'!$H$7:$H$366,'Climate Data'!$A$7:$A$366,Estimator!$B$4,'Climate Data'!$B$7:$B$366,C4884)</f>
        <v>8.1448598130841123</v>
      </c>
      <c r="J4884" s="86">
        <f>SUMIFS('Wind Proxy'!$H$8:$H$19,'Wind Proxy'!$A$8:$A$19,Estimator!$B$4,'Wind Proxy'!$B$8:$B$19,C4884)</f>
        <v>0</v>
      </c>
    </row>
    <row r="4885" spans="1:10" ht="14.4">
      <c r="A4885" s="84">
        <v>50536</v>
      </c>
      <c r="B4885" s="85">
        <v>2038</v>
      </c>
      <c r="C4885" s="85">
        <v>5</v>
      </c>
      <c r="D4885" s="85" t="s">
        <v>65</v>
      </c>
      <c r="E4885" s="85">
        <v>11</v>
      </c>
      <c r="F4885" s="85">
        <v>2</v>
      </c>
      <c r="G4885" s="85">
        <f>--(F4885&lt;=Estimator!$B$7)</f>
        <v>1</v>
      </c>
      <c r="H4885" s="86">
        <f>SUMIFS('Climate Data'!$G$7:$G$366,'Climate Data'!$A$7:$A$366,Estimator!$B$4,'Climate Data'!$B$7:$B$366,C4885)</f>
        <v>0.23010752688172045</v>
      </c>
      <c r="I4885" s="87">
        <f>SUMIFS('Climate Data'!$H$7:$H$366,'Climate Data'!$A$7:$A$366,Estimator!$B$4,'Climate Data'!$B$7:$B$366,C4885)</f>
        <v>8.1448598130841123</v>
      </c>
      <c r="J4885" s="86">
        <f>SUMIFS('Wind Proxy'!$H$8:$H$19,'Wind Proxy'!$A$8:$A$19,Estimator!$B$4,'Wind Proxy'!$B$8:$B$19,C4885)</f>
        <v>0</v>
      </c>
    </row>
    <row r="4886" spans="1:10" ht="14.4">
      <c r="A4886" s="84">
        <v>50537</v>
      </c>
      <c r="B4886" s="85">
        <v>2038</v>
      </c>
      <c r="C4886" s="85">
        <v>5</v>
      </c>
      <c r="D4886" s="85" t="s">
        <v>65</v>
      </c>
      <c r="E4886" s="85">
        <v>12</v>
      </c>
      <c r="F4886" s="85">
        <v>3</v>
      </c>
      <c r="G4886" s="85">
        <f>--(F4886&lt;=Estimator!$B$7)</f>
        <v>1</v>
      </c>
      <c r="H4886" s="86">
        <f>SUMIFS('Climate Data'!$G$7:$G$366,'Climate Data'!$A$7:$A$366,Estimator!$B$4,'Climate Data'!$B$7:$B$366,C4886)</f>
        <v>0.23010752688172045</v>
      </c>
      <c r="I4886" s="87">
        <f>SUMIFS('Climate Data'!$H$7:$H$366,'Climate Data'!$A$7:$A$366,Estimator!$B$4,'Climate Data'!$B$7:$B$366,C4886)</f>
        <v>8.1448598130841123</v>
      </c>
      <c r="J4886" s="86">
        <f>SUMIFS('Wind Proxy'!$H$8:$H$19,'Wind Proxy'!$A$8:$A$19,Estimator!$B$4,'Wind Proxy'!$B$8:$B$19,C4886)</f>
        <v>0</v>
      </c>
    </row>
    <row r="4887" spans="1:10" ht="14.4">
      <c r="A4887" s="84">
        <v>50538</v>
      </c>
      <c r="B4887" s="85">
        <v>2038</v>
      </c>
      <c r="C4887" s="85">
        <v>5</v>
      </c>
      <c r="D4887" s="85" t="s">
        <v>65</v>
      </c>
      <c r="E4887" s="85">
        <v>13</v>
      </c>
      <c r="F4887" s="85">
        <v>4</v>
      </c>
      <c r="G4887" s="85">
        <f>--(F4887&lt;=Estimator!$B$7)</f>
        <v>1</v>
      </c>
      <c r="H4887" s="86">
        <f>SUMIFS('Climate Data'!$G$7:$G$366,'Climate Data'!$A$7:$A$366,Estimator!$B$4,'Climate Data'!$B$7:$B$366,C4887)</f>
        <v>0.23010752688172045</v>
      </c>
      <c r="I4887" s="87">
        <f>SUMIFS('Climate Data'!$H$7:$H$366,'Climate Data'!$A$7:$A$366,Estimator!$B$4,'Climate Data'!$B$7:$B$366,C4887)</f>
        <v>8.1448598130841123</v>
      </c>
      <c r="J4887" s="86">
        <f>SUMIFS('Wind Proxy'!$H$8:$H$19,'Wind Proxy'!$A$8:$A$19,Estimator!$B$4,'Wind Proxy'!$B$8:$B$19,C4887)</f>
        <v>0</v>
      </c>
    </row>
    <row r="4888" spans="1:10" ht="14.4">
      <c r="A4888" s="84">
        <v>50539</v>
      </c>
      <c r="B4888" s="85">
        <v>2038</v>
      </c>
      <c r="C4888" s="85">
        <v>5</v>
      </c>
      <c r="D4888" s="85" t="s">
        <v>65</v>
      </c>
      <c r="E4888" s="85">
        <v>14</v>
      </c>
      <c r="F4888" s="85">
        <v>5</v>
      </c>
      <c r="G4888" s="85">
        <f>--(F4888&lt;=Estimator!$B$7)</f>
        <v>1</v>
      </c>
      <c r="H4888" s="86">
        <f>SUMIFS('Climate Data'!$G$7:$G$366,'Climate Data'!$A$7:$A$366,Estimator!$B$4,'Climate Data'!$B$7:$B$366,C4888)</f>
        <v>0.23010752688172045</v>
      </c>
      <c r="I4888" s="87">
        <f>SUMIFS('Climate Data'!$H$7:$H$366,'Climate Data'!$A$7:$A$366,Estimator!$B$4,'Climate Data'!$B$7:$B$366,C4888)</f>
        <v>8.1448598130841123</v>
      </c>
      <c r="J4888" s="86">
        <f>SUMIFS('Wind Proxy'!$H$8:$H$19,'Wind Proxy'!$A$8:$A$19,Estimator!$B$4,'Wind Proxy'!$B$8:$B$19,C4888)</f>
        <v>0</v>
      </c>
    </row>
    <row r="4889" spans="1:10" ht="14.4">
      <c r="A4889" s="84">
        <v>50540</v>
      </c>
      <c r="B4889" s="85">
        <v>2038</v>
      </c>
      <c r="C4889" s="85">
        <v>5</v>
      </c>
      <c r="D4889" s="85" t="s">
        <v>65</v>
      </c>
      <c r="E4889" s="85">
        <v>15</v>
      </c>
      <c r="F4889" s="85">
        <v>6</v>
      </c>
      <c r="G4889" s="85">
        <f>--(F4889&lt;=Estimator!$B$7)</f>
        <v>0</v>
      </c>
      <c r="H4889" s="86">
        <f>SUMIFS('Climate Data'!$G$7:$G$366,'Climate Data'!$A$7:$A$366,Estimator!$B$4,'Climate Data'!$B$7:$B$366,C4889)</f>
        <v>0.23010752688172045</v>
      </c>
      <c r="I4889" s="87">
        <f>SUMIFS('Climate Data'!$H$7:$H$366,'Climate Data'!$A$7:$A$366,Estimator!$B$4,'Climate Data'!$B$7:$B$366,C4889)</f>
        <v>8.1448598130841123</v>
      </c>
      <c r="J4889" s="86">
        <f>SUMIFS('Wind Proxy'!$H$8:$H$19,'Wind Proxy'!$A$8:$A$19,Estimator!$B$4,'Wind Proxy'!$B$8:$B$19,C4889)</f>
        <v>0</v>
      </c>
    </row>
    <row r="4890" spans="1:10" ht="14.4">
      <c r="A4890" s="84">
        <v>50541</v>
      </c>
      <c r="B4890" s="85">
        <v>2038</v>
      </c>
      <c r="C4890" s="85">
        <v>5</v>
      </c>
      <c r="D4890" s="85" t="s">
        <v>65</v>
      </c>
      <c r="E4890" s="85">
        <v>16</v>
      </c>
      <c r="F4890" s="85">
        <v>7</v>
      </c>
      <c r="G4890" s="85">
        <f>--(F4890&lt;=Estimator!$B$7)</f>
        <v>0</v>
      </c>
      <c r="H4890" s="86">
        <f>SUMIFS('Climate Data'!$G$7:$G$366,'Climate Data'!$A$7:$A$366,Estimator!$B$4,'Climate Data'!$B$7:$B$366,C4890)</f>
        <v>0.23010752688172045</v>
      </c>
      <c r="I4890" s="87">
        <f>SUMIFS('Climate Data'!$H$7:$H$366,'Climate Data'!$A$7:$A$366,Estimator!$B$4,'Climate Data'!$B$7:$B$366,C4890)</f>
        <v>8.1448598130841123</v>
      </c>
      <c r="J4890" s="86">
        <f>SUMIFS('Wind Proxy'!$H$8:$H$19,'Wind Proxy'!$A$8:$A$19,Estimator!$B$4,'Wind Proxy'!$B$8:$B$19,C4890)</f>
        <v>0</v>
      </c>
    </row>
    <row r="4891" spans="1:10" ht="14.4">
      <c r="A4891" s="84">
        <v>50542</v>
      </c>
      <c r="B4891" s="85">
        <v>2038</v>
      </c>
      <c r="C4891" s="85">
        <v>5</v>
      </c>
      <c r="D4891" s="85" t="s">
        <v>65</v>
      </c>
      <c r="E4891" s="85">
        <v>17</v>
      </c>
      <c r="F4891" s="85">
        <v>1</v>
      </c>
      <c r="G4891" s="85">
        <f>--(F4891&lt;=Estimator!$B$7)</f>
        <v>1</v>
      </c>
      <c r="H4891" s="86">
        <f>SUMIFS('Climate Data'!$G$7:$G$366,'Climate Data'!$A$7:$A$366,Estimator!$B$4,'Climate Data'!$B$7:$B$366,C4891)</f>
        <v>0.23010752688172045</v>
      </c>
      <c r="I4891" s="87">
        <f>SUMIFS('Climate Data'!$H$7:$H$366,'Climate Data'!$A$7:$A$366,Estimator!$B$4,'Climate Data'!$B$7:$B$366,C4891)</f>
        <v>8.1448598130841123</v>
      </c>
      <c r="J4891" s="86">
        <f>SUMIFS('Wind Proxy'!$H$8:$H$19,'Wind Proxy'!$A$8:$A$19,Estimator!$B$4,'Wind Proxy'!$B$8:$B$19,C4891)</f>
        <v>0</v>
      </c>
    </row>
    <row r="4892" spans="1:10" ht="14.4">
      <c r="A4892" s="84">
        <v>50543</v>
      </c>
      <c r="B4892" s="85">
        <v>2038</v>
      </c>
      <c r="C4892" s="85">
        <v>5</v>
      </c>
      <c r="D4892" s="85" t="s">
        <v>65</v>
      </c>
      <c r="E4892" s="85">
        <v>18</v>
      </c>
      <c r="F4892" s="85">
        <v>2</v>
      </c>
      <c r="G4892" s="85">
        <f>--(F4892&lt;=Estimator!$B$7)</f>
        <v>1</v>
      </c>
      <c r="H4892" s="86">
        <f>SUMIFS('Climate Data'!$G$7:$G$366,'Climate Data'!$A$7:$A$366,Estimator!$B$4,'Climate Data'!$B$7:$B$366,C4892)</f>
        <v>0.23010752688172045</v>
      </c>
      <c r="I4892" s="87">
        <f>SUMIFS('Climate Data'!$H$7:$H$366,'Climate Data'!$A$7:$A$366,Estimator!$B$4,'Climate Data'!$B$7:$B$366,C4892)</f>
        <v>8.1448598130841123</v>
      </c>
      <c r="J4892" s="86">
        <f>SUMIFS('Wind Proxy'!$H$8:$H$19,'Wind Proxy'!$A$8:$A$19,Estimator!$B$4,'Wind Proxy'!$B$8:$B$19,C4892)</f>
        <v>0</v>
      </c>
    </row>
    <row r="4893" spans="1:10" ht="14.4">
      <c r="A4893" s="84">
        <v>50544</v>
      </c>
      <c r="B4893" s="85">
        <v>2038</v>
      </c>
      <c r="C4893" s="85">
        <v>5</v>
      </c>
      <c r="D4893" s="85" t="s">
        <v>65</v>
      </c>
      <c r="E4893" s="85">
        <v>19</v>
      </c>
      <c r="F4893" s="85">
        <v>3</v>
      </c>
      <c r="G4893" s="85">
        <f>--(F4893&lt;=Estimator!$B$7)</f>
        <v>1</v>
      </c>
      <c r="H4893" s="86">
        <f>SUMIFS('Climate Data'!$G$7:$G$366,'Climate Data'!$A$7:$A$366,Estimator!$B$4,'Climate Data'!$B$7:$B$366,C4893)</f>
        <v>0.23010752688172045</v>
      </c>
      <c r="I4893" s="87">
        <f>SUMIFS('Climate Data'!$H$7:$H$366,'Climate Data'!$A$7:$A$366,Estimator!$B$4,'Climate Data'!$B$7:$B$366,C4893)</f>
        <v>8.1448598130841123</v>
      </c>
      <c r="J4893" s="86">
        <f>SUMIFS('Wind Proxy'!$H$8:$H$19,'Wind Proxy'!$A$8:$A$19,Estimator!$B$4,'Wind Proxy'!$B$8:$B$19,C4893)</f>
        <v>0</v>
      </c>
    </row>
    <row r="4894" spans="1:10" ht="14.4">
      <c r="A4894" s="84">
        <v>50545</v>
      </c>
      <c r="B4894" s="85">
        <v>2038</v>
      </c>
      <c r="C4894" s="85">
        <v>5</v>
      </c>
      <c r="D4894" s="85" t="s">
        <v>65</v>
      </c>
      <c r="E4894" s="85">
        <v>20</v>
      </c>
      <c r="F4894" s="85">
        <v>4</v>
      </c>
      <c r="G4894" s="85">
        <f>--(F4894&lt;=Estimator!$B$7)</f>
        <v>1</v>
      </c>
      <c r="H4894" s="86">
        <f>SUMIFS('Climate Data'!$G$7:$G$366,'Climate Data'!$A$7:$A$366,Estimator!$B$4,'Climate Data'!$B$7:$B$366,C4894)</f>
        <v>0.23010752688172045</v>
      </c>
      <c r="I4894" s="87">
        <f>SUMIFS('Climate Data'!$H$7:$H$366,'Climate Data'!$A$7:$A$366,Estimator!$B$4,'Climate Data'!$B$7:$B$366,C4894)</f>
        <v>8.1448598130841123</v>
      </c>
      <c r="J4894" s="86">
        <f>SUMIFS('Wind Proxy'!$H$8:$H$19,'Wind Proxy'!$A$8:$A$19,Estimator!$B$4,'Wind Proxy'!$B$8:$B$19,C4894)</f>
        <v>0</v>
      </c>
    </row>
    <row r="4895" spans="1:10" ht="14.4">
      <c r="A4895" s="84">
        <v>50546</v>
      </c>
      <c r="B4895" s="85">
        <v>2038</v>
      </c>
      <c r="C4895" s="85">
        <v>5</v>
      </c>
      <c r="D4895" s="85" t="s">
        <v>65</v>
      </c>
      <c r="E4895" s="85">
        <v>21</v>
      </c>
      <c r="F4895" s="85">
        <v>5</v>
      </c>
      <c r="G4895" s="85">
        <f>--(F4895&lt;=Estimator!$B$7)</f>
        <v>1</v>
      </c>
      <c r="H4895" s="86">
        <f>SUMIFS('Climate Data'!$G$7:$G$366,'Climate Data'!$A$7:$A$366,Estimator!$B$4,'Climate Data'!$B$7:$B$366,C4895)</f>
        <v>0.23010752688172045</v>
      </c>
      <c r="I4895" s="87">
        <f>SUMIFS('Climate Data'!$H$7:$H$366,'Climate Data'!$A$7:$A$366,Estimator!$B$4,'Climate Data'!$B$7:$B$366,C4895)</f>
        <v>8.1448598130841123</v>
      </c>
      <c r="J4895" s="86">
        <f>SUMIFS('Wind Proxy'!$H$8:$H$19,'Wind Proxy'!$A$8:$A$19,Estimator!$B$4,'Wind Proxy'!$B$8:$B$19,C4895)</f>
        <v>0</v>
      </c>
    </row>
    <row r="4896" spans="1:10" ht="14.4">
      <c r="A4896" s="84">
        <v>50547</v>
      </c>
      <c r="B4896" s="85">
        <v>2038</v>
      </c>
      <c r="C4896" s="85">
        <v>5</v>
      </c>
      <c r="D4896" s="85" t="s">
        <v>65</v>
      </c>
      <c r="E4896" s="85">
        <v>22</v>
      </c>
      <c r="F4896" s="85">
        <v>6</v>
      </c>
      <c r="G4896" s="85">
        <f>--(F4896&lt;=Estimator!$B$7)</f>
        <v>0</v>
      </c>
      <c r="H4896" s="86">
        <f>SUMIFS('Climate Data'!$G$7:$G$366,'Climate Data'!$A$7:$A$366,Estimator!$B$4,'Climate Data'!$B$7:$B$366,C4896)</f>
        <v>0.23010752688172045</v>
      </c>
      <c r="I4896" s="87">
        <f>SUMIFS('Climate Data'!$H$7:$H$366,'Climate Data'!$A$7:$A$366,Estimator!$B$4,'Climate Data'!$B$7:$B$366,C4896)</f>
        <v>8.1448598130841123</v>
      </c>
      <c r="J4896" s="86">
        <f>SUMIFS('Wind Proxy'!$H$8:$H$19,'Wind Proxy'!$A$8:$A$19,Estimator!$B$4,'Wind Proxy'!$B$8:$B$19,C4896)</f>
        <v>0</v>
      </c>
    </row>
    <row r="4897" spans="1:10" ht="14.4">
      <c r="A4897" s="84">
        <v>50548</v>
      </c>
      <c r="B4897" s="85">
        <v>2038</v>
      </c>
      <c r="C4897" s="85">
        <v>5</v>
      </c>
      <c r="D4897" s="85" t="s">
        <v>65</v>
      </c>
      <c r="E4897" s="85">
        <v>23</v>
      </c>
      <c r="F4897" s="85">
        <v>7</v>
      </c>
      <c r="G4897" s="85">
        <f>--(F4897&lt;=Estimator!$B$7)</f>
        <v>0</v>
      </c>
      <c r="H4897" s="86">
        <f>SUMIFS('Climate Data'!$G$7:$G$366,'Climate Data'!$A$7:$A$366,Estimator!$B$4,'Climate Data'!$B$7:$B$366,C4897)</f>
        <v>0.23010752688172045</v>
      </c>
      <c r="I4897" s="87">
        <f>SUMIFS('Climate Data'!$H$7:$H$366,'Climate Data'!$A$7:$A$366,Estimator!$B$4,'Climate Data'!$B$7:$B$366,C4897)</f>
        <v>8.1448598130841123</v>
      </c>
      <c r="J4897" s="86">
        <f>SUMIFS('Wind Proxy'!$H$8:$H$19,'Wind Proxy'!$A$8:$A$19,Estimator!$B$4,'Wind Proxy'!$B$8:$B$19,C4897)</f>
        <v>0</v>
      </c>
    </row>
    <row r="4898" spans="1:10" ht="14.4">
      <c r="A4898" s="84">
        <v>50549</v>
      </c>
      <c r="B4898" s="85">
        <v>2038</v>
      </c>
      <c r="C4898" s="85">
        <v>5</v>
      </c>
      <c r="D4898" s="85" t="s">
        <v>65</v>
      </c>
      <c r="E4898" s="85">
        <v>24</v>
      </c>
      <c r="F4898" s="85">
        <v>1</v>
      </c>
      <c r="G4898" s="85">
        <f>--(F4898&lt;=Estimator!$B$7)</f>
        <v>1</v>
      </c>
      <c r="H4898" s="86">
        <f>SUMIFS('Climate Data'!$G$7:$G$366,'Climate Data'!$A$7:$A$366,Estimator!$B$4,'Climate Data'!$B$7:$B$366,C4898)</f>
        <v>0.23010752688172045</v>
      </c>
      <c r="I4898" s="87">
        <f>SUMIFS('Climate Data'!$H$7:$H$366,'Climate Data'!$A$7:$A$366,Estimator!$B$4,'Climate Data'!$B$7:$B$366,C4898)</f>
        <v>8.1448598130841123</v>
      </c>
      <c r="J4898" s="86">
        <f>SUMIFS('Wind Proxy'!$H$8:$H$19,'Wind Proxy'!$A$8:$A$19,Estimator!$B$4,'Wind Proxy'!$B$8:$B$19,C4898)</f>
        <v>0</v>
      </c>
    </row>
    <row r="4899" spans="1:10" ht="14.4">
      <c r="A4899" s="84">
        <v>50550</v>
      </c>
      <c r="B4899" s="85">
        <v>2038</v>
      </c>
      <c r="C4899" s="85">
        <v>5</v>
      </c>
      <c r="D4899" s="85" t="s">
        <v>65</v>
      </c>
      <c r="E4899" s="85">
        <v>25</v>
      </c>
      <c r="F4899" s="85">
        <v>2</v>
      </c>
      <c r="G4899" s="85">
        <f>--(F4899&lt;=Estimator!$B$7)</f>
        <v>1</v>
      </c>
      <c r="H4899" s="86">
        <f>SUMIFS('Climate Data'!$G$7:$G$366,'Climate Data'!$A$7:$A$366,Estimator!$B$4,'Climate Data'!$B$7:$B$366,C4899)</f>
        <v>0.23010752688172045</v>
      </c>
      <c r="I4899" s="87">
        <f>SUMIFS('Climate Data'!$H$7:$H$366,'Climate Data'!$A$7:$A$366,Estimator!$B$4,'Climate Data'!$B$7:$B$366,C4899)</f>
        <v>8.1448598130841123</v>
      </c>
      <c r="J4899" s="86">
        <f>SUMIFS('Wind Proxy'!$H$8:$H$19,'Wind Proxy'!$A$8:$A$19,Estimator!$B$4,'Wind Proxy'!$B$8:$B$19,C4899)</f>
        <v>0</v>
      </c>
    </row>
    <row r="4900" spans="1:10" ht="14.4">
      <c r="A4900" s="84">
        <v>50551</v>
      </c>
      <c r="B4900" s="85">
        <v>2038</v>
      </c>
      <c r="C4900" s="85">
        <v>5</v>
      </c>
      <c r="D4900" s="85" t="s">
        <v>65</v>
      </c>
      <c r="E4900" s="85">
        <v>26</v>
      </c>
      <c r="F4900" s="85">
        <v>3</v>
      </c>
      <c r="G4900" s="85">
        <f>--(F4900&lt;=Estimator!$B$7)</f>
        <v>1</v>
      </c>
      <c r="H4900" s="86">
        <f>SUMIFS('Climate Data'!$G$7:$G$366,'Climate Data'!$A$7:$A$366,Estimator!$B$4,'Climate Data'!$B$7:$B$366,C4900)</f>
        <v>0.23010752688172045</v>
      </c>
      <c r="I4900" s="87">
        <f>SUMIFS('Climate Data'!$H$7:$H$366,'Climate Data'!$A$7:$A$366,Estimator!$B$4,'Climate Data'!$B$7:$B$366,C4900)</f>
        <v>8.1448598130841123</v>
      </c>
      <c r="J4900" s="86">
        <f>SUMIFS('Wind Proxy'!$H$8:$H$19,'Wind Proxy'!$A$8:$A$19,Estimator!$B$4,'Wind Proxy'!$B$8:$B$19,C4900)</f>
        <v>0</v>
      </c>
    </row>
    <row r="4901" spans="1:10" ht="14.4">
      <c r="A4901" s="84">
        <v>50552</v>
      </c>
      <c r="B4901" s="85">
        <v>2038</v>
      </c>
      <c r="C4901" s="85">
        <v>5</v>
      </c>
      <c r="D4901" s="85" t="s">
        <v>65</v>
      </c>
      <c r="E4901" s="85">
        <v>27</v>
      </c>
      <c r="F4901" s="85">
        <v>4</v>
      </c>
      <c r="G4901" s="85">
        <f>--(F4901&lt;=Estimator!$B$7)</f>
        <v>1</v>
      </c>
      <c r="H4901" s="86">
        <f>SUMIFS('Climate Data'!$G$7:$G$366,'Climate Data'!$A$7:$A$366,Estimator!$B$4,'Climate Data'!$B$7:$B$366,C4901)</f>
        <v>0.23010752688172045</v>
      </c>
      <c r="I4901" s="87">
        <f>SUMIFS('Climate Data'!$H$7:$H$366,'Climate Data'!$A$7:$A$366,Estimator!$B$4,'Climate Data'!$B$7:$B$366,C4901)</f>
        <v>8.1448598130841123</v>
      </c>
      <c r="J4901" s="86">
        <f>SUMIFS('Wind Proxy'!$H$8:$H$19,'Wind Proxy'!$A$8:$A$19,Estimator!$B$4,'Wind Proxy'!$B$8:$B$19,C4901)</f>
        <v>0</v>
      </c>
    </row>
    <row r="4902" spans="1:10" ht="14.4">
      <c r="A4902" s="84">
        <v>50553</v>
      </c>
      <c r="B4902" s="85">
        <v>2038</v>
      </c>
      <c r="C4902" s="85">
        <v>5</v>
      </c>
      <c r="D4902" s="85" t="s">
        <v>65</v>
      </c>
      <c r="E4902" s="85">
        <v>28</v>
      </c>
      <c r="F4902" s="85">
        <v>5</v>
      </c>
      <c r="G4902" s="85">
        <f>--(F4902&lt;=Estimator!$B$7)</f>
        <v>1</v>
      </c>
      <c r="H4902" s="86">
        <f>SUMIFS('Climate Data'!$G$7:$G$366,'Climate Data'!$A$7:$A$366,Estimator!$B$4,'Climate Data'!$B$7:$B$366,C4902)</f>
        <v>0.23010752688172045</v>
      </c>
      <c r="I4902" s="87">
        <f>SUMIFS('Climate Data'!$H$7:$H$366,'Climate Data'!$A$7:$A$366,Estimator!$B$4,'Climate Data'!$B$7:$B$366,C4902)</f>
        <v>8.1448598130841123</v>
      </c>
      <c r="J4902" s="86">
        <f>SUMIFS('Wind Proxy'!$H$8:$H$19,'Wind Proxy'!$A$8:$A$19,Estimator!$B$4,'Wind Proxy'!$B$8:$B$19,C4902)</f>
        <v>0</v>
      </c>
    </row>
    <row r="4903" spans="1:10" ht="14.4">
      <c r="A4903" s="84">
        <v>50554</v>
      </c>
      <c r="B4903" s="85">
        <v>2038</v>
      </c>
      <c r="C4903" s="85">
        <v>5</v>
      </c>
      <c r="D4903" s="85" t="s">
        <v>65</v>
      </c>
      <c r="E4903" s="85">
        <v>29</v>
      </c>
      <c r="F4903" s="85">
        <v>6</v>
      </c>
      <c r="G4903" s="85">
        <f>--(F4903&lt;=Estimator!$B$7)</f>
        <v>0</v>
      </c>
      <c r="H4903" s="86">
        <f>SUMIFS('Climate Data'!$G$7:$G$366,'Climate Data'!$A$7:$A$366,Estimator!$B$4,'Climate Data'!$B$7:$B$366,C4903)</f>
        <v>0.23010752688172045</v>
      </c>
      <c r="I4903" s="87">
        <f>SUMIFS('Climate Data'!$H$7:$H$366,'Climate Data'!$A$7:$A$366,Estimator!$B$4,'Climate Data'!$B$7:$B$366,C4903)</f>
        <v>8.1448598130841123</v>
      </c>
      <c r="J4903" s="86">
        <f>SUMIFS('Wind Proxy'!$H$8:$H$19,'Wind Proxy'!$A$8:$A$19,Estimator!$B$4,'Wind Proxy'!$B$8:$B$19,C4903)</f>
        <v>0</v>
      </c>
    </row>
    <row r="4904" spans="1:10" ht="14.4">
      <c r="A4904" s="84">
        <v>50555</v>
      </c>
      <c r="B4904" s="85">
        <v>2038</v>
      </c>
      <c r="C4904" s="85">
        <v>5</v>
      </c>
      <c r="D4904" s="85" t="s">
        <v>65</v>
      </c>
      <c r="E4904" s="85">
        <v>30</v>
      </c>
      <c r="F4904" s="85">
        <v>7</v>
      </c>
      <c r="G4904" s="85">
        <f>--(F4904&lt;=Estimator!$B$7)</f>
        <v>0</v>
      </c>
      <c r="H4904" s="86">
        <f>SUMIFS('Climate Data'!$G$7:$G$366,'Climate Data'!$A$7:$A$366,Estimator!$B$4,'Climate Data'!$B$7:$B$366,C4904)</f>
        <v>0.23010752688172045</v>
      </c>
      <c r="I4904" s="87">
        <f>SUMIFS('Climate Data'!$H$7:$H$366,'Climate Data'!$A$7:$A$366,Estimator!$B$4,'Climate Data'!$B$7:$B$366,C4904)</f>
        <v>8.1448598130841123</v>
      </c>
      <c r="J4904" s="86">
        <f>SUMIFS('Wind Proxy'!$H$8:$H$19,'Wind Proxy'!$A$8:$A$19,Estimator!$B$4,'Wind Proxy'!$B$8:$B$19,C4904)</f>
        <v>0</v>
      </c>
    </row>
    <row r="4905" spans="1:10" ht="14.4">
      <c r="A4905" s="84">
        <v>50556</v>
      </c>
      <c r="B4905" s="85">
        <v>2038</v>
      </c>
      <c r="C4905" s="85">
        <v>5</v>
      </c>
      <c r="D4905" s="85" t="s">
        <v>65</v>
      </c>
      <c r="E4905" s="85">
        <v>31</v>
      </c>
      <c r="F4905" s="85">
        <v>1</v>
      </c>
      <c r="G4905" s="85">
        <f>--(F4905&lt;=Estimator!$B$7)</f>
        <v>1</v>
      </c>
      <c r="H4905" s="86">
        <f>SUMIFS('Climate Data'!$G$7:$G$366,'Climate Data'!$A$7:$A$366,Estimator!$B$4,'Climate Data'!$B$7:$B$366,C4905)</f>
        <v>0.23010752688172045</v>
      </c>
      <c r="I4905" s="87">
        <f>SUMIFS('Climate Data'!$H$7:$H$366,'Climate Data'!$A$7:$A$366,Estimator!$B$4,'Climate Data'!$B$7:$B$366,C4905)</f>
        <v>8.1448598130841123</v>
      </c>
      <c r="J4905" s="86">
        <f>SUMIFS('Wind Proxy'!$H$8:$H$19,'Wind Proxy'!$A$8:$A$19,Estimator!$B$4,'Wind Proxy'!$B$8:$B$19,C4905)</f>
        <v>0</v>
      </c>
    </row>
    <row r="4906" spans="1:10" ht="14.4">
      <c r="A4906" s="84">
        <v>50557</v>
      </c>
      <c r="B4906" s="85">
        <v>2038</v>
      </c>
      <c r="C4906" s="85">
        <v>6</v>
      </c>
      <c r="D4906" s="85" t="s">
        <v>68</v>
      </c>
      <c r="E4906" s="85">
        <v>1</v>
      </c>
      <c r="F4906" s="85">
        <v>2</v>
      </c>
      <c r="G4906" s="85">
        <f>--(F4906&lt;=Estimator!$B$7)</f>
        <v>1</v>
      </c>
      <c r="H4906" s="86">
        <f>SUMIFS('Climate Data'!$G$7:$G$366,'Climate Data'!$A$7:$A$366,Estimator!$B$4,'Climate Data'!$B$7:$B$366,C4906)</f>
        <v>0.28666666666666668</v>
      </c>
      <c r="I4906" s="87">
        <f>SUMIFS('Climate Data'!$H$7:$H$366,'Climate Data'!$A$7:$A$366,Estimator!$B$4,'Climate Data'!$B$7:$B$366,C4906)</f>
        <v>7.941860465116279</v>
      </c>
      <c r="J4906" s="86">
        <f>SUMIFS('Wind Proxy'!$H$8:$H$19,'Wind Proxy'!$A$8:$A$19,Estimator!$B$4,'Wind Proxy'!$B$8:$B$19,C4906)</f>
        <v>0</v>
      </c>
    </row>
    <row r="4907" spans="1:10" ht="14.4">
      <c r="A4907" s="84">
        <v>50558</v>
      </c>
      <c r="B4907" s="85">
        <v>2038</v>
      </c>
      <c r="C4907" s="85">
        <v>6</v>
      </c>
      <c r="D4907" s="85" t="s">
        <v>68</v>
      </c>
      <c r="E4907" s="85">
        <v>2</v>
      </c>
      <c r="F4907" s="85">
        <v>3</v>
      </c>
      <c r="G4907" s="85">
        <f>--(F4907&lt;=Estimator!$B$7)</f>
        <v>1</v>
      </c>
      <c r="H4907" s="86">
        <f>SUMIFS('Climate Data'!$G$7:$G$366,'Climate Data'!$A$7:$A$366,Estimator!$B$4,'Climate Data'!$B$7:$B$366,C4907)</f>
        <v>0.28666666666666668</v>
      </c>
      <c r="I4907" s="87">
        <f>SUMIFS('Climate Data'!$H$7:$H$366,'Climate Data'!$A$7:$A$366,Estimator!$B$4,'Climate Data'!$B$7:$B$366,C4907)</f>
        <v>7.941860465116279</v>
      </c>
      <c r="J4907" s="86">
        <f>SUMIFS('Wind Proxy'!$H$8:$H$19,'Wind Proxy'!$A$8:$A$19,Estimator!$B$4,'Wind Proxy'!$B$8:$B$19,C4907)</f>
        <v>0</v>
      </c>
    </row>
    <row r="4908" spans="1:10" ht="14.4">
      <c r="A4908" s="84">
        <v>50559</v>
      </c>
      <c r="B4908" s="85">
        <v>2038</v>
      </c>
      <c r="C4908" s="85">
        <v>6</v>
      </c>
      <c r="D4908" s="85" t="s">
        <v>68</v>
      </c>
      <c r="E4908" s="85">
        <v>3</v>
      </c>
      <c r="F4908" s="85">
        <v>4</v>
      </c>
      <c r="G4908" s="85">
        <f>--(F4908&lt;=Estimator!$B$7)</f>
        <v>1</v>
      </c>
      <c r="H4908" s="86">
        <f>SUMIFS('Climate Data'!$G$7:$G$366,'Climate Data'!$A$7:$A$366,Estimator!$B$4,'Climate Data'!$B$7:$B$366,C4908)</f>
        <v>0.28666666666666668</v>
      </c>
      <c r="I4908" s="87">
        <f>SUMIFS('Climate Data'!$H$7:$H$366,'Climate Data'!$A$7:$A$366,Estimator!$B$4,'Climate Data'!$B$7:$B$366,C4908)</f>
        <v>7.941860465116279</v>
      </c>
      <c r="J4908" s="86">
        <f>SUMIFS('Wind Proxy'!$H$8:$H$19,'Wind Proxy'!$A$8:$A$19,Estimator!$B$4,'Wind Proxy'!$B$8:$B$19,C4908)</f>
        <v>0</v>
      </c>
    </row>
    <row r="4909" spans="1:10" ht="14.4">
      <c r="A4909" s="84">
        <v>50560</v>
      </c>
      <c r="B4909" s="85">
        <v>2038</v>
      </c>
      <c r="C4909" s="85">
        <v>6</v>
      </c>
      <c r="D4909" s="85" t="s">
        <v>68</v>
      </c>
      <c r="E4909" s="85">
        <v>4</v>
      </c>
      <c r="F4909" s="85">
        <v>5</v>
      </c>
      <c r="G4909" s="85">
        <f>--(F4909&lt;=Estimator!$B$7)</f>
        <v>1</v>
      </c>
      <c r="H4909" s="86">
        <f>SUMIFS('Climate Data'!$G$7:$G$366,'Climate Data'!$A$7:$A$366,Estimator!$B$4,'Climate Data'!$B$7:$B$366,C4909)</f>
        <v>0.28666666666666668</v>
      </c>
      <c r="I4909" s="87">
        <f>SUMIFS('Climate Data'!$H$7:$H$366,'Climate Data'!$A$7:$A$366,Estimator!$B$4,'Climate Data'!$B$7:$B$366,C4909)</f>
        <v>7.941860465116279</v>
      </c>
      <c r="J4909" s="86">
        <f>SUMIFS('Wind Proxy'!$H$8:$H$19,'Wind Proxy'!$A$8:$A$19,Estimator!$B$4,'Wind Proxy'!$B$8:$B$19,C4909)</f>
        <v>0</v>
      </c>
    </row>
    <row r="4910" spans="1:10" ht="14.4">
      <c r="A4910" s="84">
        <v>50561</v>
      </c>
      <c r="B4910" s="85">
        <v>2038</v>
      </c>
      <c r="C4910" s="85">
        <v>6</v>
      </c>
      <c r="D4910" s="85" t="s">
        <v>68</v>
      </c>
      <c r="E4910" s="85">
        <v>5</v>
      </c>
      <c r="F4910" s="85">
        <v>6</v>
      </c>
      <c r="G4910" s="85">
        <f>--(F4910&lt;=Estimator!$B$7)</f>
        <v>0</v>
      </c>
      <c r="H4910" s="86">
        <f>SUMIFS('Climate Data'!$G$7:$G$366,'Climate Data'!$A$7:$A$366,Estimator!$B$4,'Climate Data'!$B$7:$B$366,C4910)</f>
        <v>0.28666666666666668</v>
      </c>
      <c r="I4910" s="87">
        <f>SUMIFS('Climate Data'!$H$7:$H$366,'Climate Data'!$A$7:$A$366,Estimator!$B$4,'Climate Data'!$B$7:$B$366,C4910)</f>
        <v>7.941860465116279</v>
      </c>
      <c r="J4910" s="86">
        <f>SUMIFS('Wind Proxy'!$H$8:$H$19,'Wind Proxy'!$A$8:$A$19,Estimator!$B$4,'Wind Proxy'!$B$8:$B$19,C4910)</f>
        <v>0</v>
      </c>
    </row>
    <row r="4911" spans="1:10" ht="14.4">
      <c r="A4911" s="84">
        <v>50562</v>
      </c>
      <c r="B4911" s="85">
        <v>2038</v>
      </c>
      <c r="C4911" s="85">
        <v>6</v>
      </c>
      <c r="D4911" s="85" t="s">
        <v>68</v>
      </c>
      <c r="E4911" s="85">
        <v>6</v>
      </c>
      <c r="F4911" s="85">
        <v>7</v>
      </c>
      <c r="G4911" s="85">
        <f>--(F4911&lt;=Estimator!$B$7)</f>
        <v>0</v>
      </c>
      <c r="H4911" s="86">
        <f>SUMIFS('Climate Data'!$G$7:$G$366,'Climate Data'!$A$7:$A$366,Estimator!$B$4,'Climate Data'!$B$7:$B$366,C4911)</f>
        <v>0.28666666666666668</v>
      </c>
      <c r="I4911" s="87">
        <f>SUMIFS('Climate Data'!$H$7:$H$366,'Climate Data'!$A$7:$A$366,Estimator!$B$4,'Climate Data'!$B$7:$B$366,C4911)</f>
        <v>7.941860465116279</v>
      </c>
      <c r="J4911" s="86">
        <f>SUMIFS('Wind Proxy'!$H$8:$H$19,'Wind Proxy'!$A$8:$A$19,Estimator!$B$4,'Wind Proxy'!$B$8:$B$19,C4911)</f>
        <v>0</v>
      </c>
    </row>
    <row r="4912" spans="1:10" ht="14.4">
      <c r="A4912" s="84">
        <v>50563</v>
      </c>
      <c r="B4912" s="85">
        <v>2038</v>
      </c>
      <c r="C4912" s="85">
        <v>6</v>
      </c>
      <c r="D4912" s="85" t="s">
        <v>68</v>
      </c>
      <c r="E4912" s="85">
        <v>7</v>
      </c>
      <c r="F4912" s="85">
        <v>1</v>
      </c>
      <c r="G4912" s="85">
        <f>--(F4912&lt;=Estimator!$B$7)</f>
        <v>1</v>
      </c>
      <c r="H4912" s="86">
        <f>SUMIFS('Climate Data'!$G$7:$G$366,'Climate Data'!$A$7:$A$366,Estimator!$B$4,'Climate Data'!$B$7:$B$366,C4912)</f>
        <v>0.28666666666666668</v>
      </c>
      <c r="I4912" s="87">
        <f>SUMIFS('Climate Data'!$H$7:$H$366,'Climate Data'!$A$7:$A$366,Estimator!$B$4,'Climate Data'!$B$7:$B$366,C4912)</f>
        <v>7.941860465116279</v>
      </c>
      <c r="J4912" s="86">
        <f>SUMIFS('Wind Proxy'!$H$8:$H$19,'Wind Proxy'!$A$8:$A$19,Estimator!$B$4,'Wind Proxy'!$B$8:$B$19,C4912)</f>
        <v>0</v>
      </c>
    </row>
    <row r="4913" spans="1:10" ht="14.4">
      <c r="A4913" s="84">
        <v>50564</v>
      </c>
      <c r="B4913" s="85">
        <v>2038</v>
      </c>
      <c r="C4913" s="85">
        <v>6</v>
      </c>
      <c r="D4913" s="85" t="s">
        <v>68</v>
      </c>
      <c r="E4913" s="85">
        <v>8</v>
      </c>
      <c r="F4913" s="85">
        <v>2</v>
      </c>
      <c r="G4913" s="85">
        <f>--(F4913&lt;=Estimator!$B$7)</f>
        <v>1</v>
      </c>
      <c r="H4913" s="86">
        <f>SUMIFS('Climate Data'!$G$7:$G$366,'Climate Data'!$A$7:$A$366,Estimator!$B$4,'Climate Data'!$B$7:$B$366,C4913)</f>
        <v>0.28666666666666668</v>
      </c>
      <c r="I4913" s="87">
        <f>SUMIFS('Climate Data'!$H$7:$H$366,'Climate Data'!$A$7:$A$366,Estimator!$B$4,'Climate Data'!$B$7:$B$366,C4913)</f>
        <v>7.941860465116279</v>
      </c>
      <c r="J4913" s="86">
        <f>SUMIFS('Wind Proxy'!$H$8:$H$19,'Wind Proxy'!$A$8:$A$19,Estimator!$B$4,'Wind Proxy'!$B$8:$B$19,C4913)</f>
        <v>0</v>
      </c>
    </row>
    <row r="4914" spans="1:10" ht="14.4">
      <c r="A4914" s="84">
        <v>50565</v>
      </c>
      <c r="B4914" s="85">
        <v>2038</v>
      </c>
      <c r="C4914" s="85">
        <v>6</v>
      </c>
      <c r="D4914" s="85" t="s">
        <v>68</v>
      </c>
      <c r="E4914" s="85">
        <v>9</v>
      </c>
      <c r="F4914" s="85">
        <v>3</v>
      </c>
      <c r="G4914" s="85">
        <f>--(F4914&lt;=Estimator!$B$7)</f>
        <v>1</v>
      </c>
      <c r="H4914" s="86">
        <f>SUMIFS('Climate Data'!$G$7:$G$366,'Climate Data'!$A$7:$A$366,Estimator!$B$4,'Climate Data'!$B$7:$B$366,C4914)</f>
        <v>0.28666666666666668</v>
      </c>
      <c r="I4914" s="87">
        <f>SUMIFS('Climate Data'!$H$7:$H$366,'Climate Data'!$A$7:$A$366,Estimator!$B$4,'Climate Data'!$B$7:$B$366,C4914)</f>
        <v>7.941860465116279</v>
      </c>
      <c r="J4914" s="86">
        <f>SUMIFS('Wind Proxy'!$H$8:$H$19,'Wind Proxy'!$A$8:$A$19,Estimator!$B$4,'Wind Proxy'!$B$8:$B$19,C4914)</f>
        <v>0</v>
      </c>
    </row>
    <row r="4915" spans="1:10" ht="14.4">
      <c r="A4915" s="84">
        <v>50566</v>
      </c>
      <c r="B4915" s="85">
        <v>2038</v>
      </c>
      <c r="C4915" s="85">
        <v>6</v>
      </c>
      <c r="D4915" s="85" t="s">
        <v>68</v>
      </c>
      <c r="E4915" s="85">
        <v>10</v>
      </c>
      <c r="F4915" s="85">
        <v>4</v>
      </c>
      <c r="G4915" s="85">
        <f>--(F4915&lt;=Estimator!$B$7)</f>
        <v>1</v>
      </c>
      <c r="H4915" s="86">
        <f>SUMIFS('Climate Data'!$G$7:$G$366,'Climate Data'!$A$7:$A$366,Estimator!$B$4,'Climate Data'!$B$7:$B$366,C4915)</f>
        <v>0.28666666666666668</v>
      </c>
      <c r="I4915" s="87">
        <f>SUMIFS('Climate Data'!$H$7:$H$366,'Climate Data'!$A$7:$A$366,Estimator!$B$4,'Climate Data'!$B$7:$B$366,C4915)</f>
        <v>7.941860465116279</v>
      </c>
      <c r="J4915" s="86">
        <f>SUMIFS('Wind Proxy'!$H$8:$H$19,'Wind Proxy'!$A$8:$A$19,Estimator!$B$4,'Wind Proxy'!$B$8:$B$19,C4915)</f>
        <v>0</v>
      </c>
    </row>
    <row r="4916" spans="1:10" ht="14.4">
      <c r="A4916" s="84">
        <v>50567</v>
      </c>
      <c r="B4916" s="85">
        <v>2038</v>
      </c>
      <c r="C4916" s="85">
        <v>6</v>
      </c>
      <c r="D4916" s="85" t="s">
        <v>68</v>
      </c>
      <c r="E4916" s="85">
        <v>11</v>
      </c>
      <c r="F4916" s="85">
        <v>5</v>
      </c>
      <c r="G4916" s="85">
        <f>--(F4916&lt;=Estimator!$B$7)</f>
        <v>1</v>
      </c>
      <c r="H4916" s="86">
        <f>SUMIFS('Climate Data'!$G$7:$G$366,'Climate Data'!$A$7:$A$366,Estimator!$B$4,'Climate Data'!$B$7:$B$366,C4916)</f>
        <v>0.28666666666666668</v>
      </c>
      <c r="I4916" s="87">
        <f>SUMIFS('Climate Data'!$H$7:$H$366,'Climate Data'!$A$7:$A$366,Estimator!$B$4,'Climate Data'!$B$7:$B$366,C4916)</f>
        <v>7.941860465116279</v>
      </c>
      <c r="J4916" s="86">
        <f>SUMIFS('Wind Proxy'!$H$8:$H$19,'Wind Proxy'!$A$8:$A$19,Estimator!$B$4,'Wind Proxy'!$B$8:$B$19,C4916)</f>
        <v>0</v>
      </c>
    </row>
    <row r="4917" spans="1:10" ht="14.4">
      <c r="A4917" s="84">
        <v>50568</v>
      </c>
      <c r="B4917" s="85">
        <v>2038</v>
      </c>
      <c r="C4917" s="85">
        <v>6</v>
      </c>
      <c r="D4917" s="85" t="s">
        <v>68</v>
      </c>
      <c r="E4917" s="85">
        <v>12</v>
      </c>
      <c r="F4917" s="85">
        <v>6</v>
      </c>
      <c r="G4917" s="85">
        <f>--(F4917&lt;=Estimator!$B$7)</f>
        <v>0</v>
      </c>
      <c r="H4917" s="86">
        <f>SUMIFS('Climate Data'!$G$7:$G$366,'Climate Data'!$A$7:$A$366,Estimator!$B$4,'Climate Data'!$B$7:$B$366,C4917)</f>
        <v>0.28666666666666668</v>
      </c>
      <c r="I4917" s="87">
        <f>SUMIFS('Climate Data'!$H$7:$H$366,'Climate Data'!$A$7:$A$366,Estimator!$B$4,'Climate Data'!$B$7:$B$366,C4917)</f>
        <v>7.941860465116279</v>
      </c>
      <c r="J4917" s="86">
        <f>SUMIFS('Wind Proxy'!$H$8:$H$19,'Wind Proxy'!$A$8:$A$19,Estimator!$B$4,'Wind Proxy'!$B$8:$B$19,C4917)</f>
        <v>0</v>
      </c>
    </row>
    <row r="4918" spans="1:10" ht="14.4">
      <c r="A4918" s="84">
        <v>50569</v>
      </c>
      <c r="B4918" s="85">
        <v>2038</v>
      </c>
      <c r="C4918" s="85">
        <v>6</v>
      </c>
      <c r="D4918" s="85" t="s">
        <v>68</v>
      </c>
      <c r="E4918" s="85">
        <v>13</v>
      </c>
      <c r="F4918" s="85">
        <v>7</v>
      </c>
      <c r="G4918" s="85">
        <f>--(F4918&lt;=Estimator!$B$7)</f>
        <v>0</v>
      </c>
      <c r="H4918" s="86">
        <f>SUMIFS('Climate Data'!$G$7:$G$366,'Climate Data'!$A$7:$A$366,Estimator!$B$4,'Climate Data'!$B$7:$B$366,C4918)</f>
        <v>0.28666666666666668</v>
      </c>
      <c r="I4918" s="87">
        <f>SUMIFS('Climate Data'!$H$7:$H$366,'Climate Data'!$A$7:$A$366,Estimator!$B$4,'Climate Data'!$B$7:$B$366,C4918)</f>
        <v>7.941860465116279</v>
      </c>
      <c r="J4918" s="86">
        <f>SUMIFS('Wind Proxy'!$H$8:$H$19,'Wind Proxy'!$A$8:$A$19,Estimator!$B$4,'Wind Proxy'!$B$8:$B$19,C4918)</f>
        <v>0</v>
      </c>
    </row>
    <row r="4919" spans="1:10" ht="14.4">
      <c r="A4919" s="84">
        <v>50570</v>
      </c>
      <c r="B4919" s="85">
        <v>2038</v>
      </c>
      <c r="C4919" s="85">
        <v>6</v>
      </c>
      <c r="D4919" s="85" t="s">
        <v>68</v>
      </c>
      <c r="E4919" s="85">
        <v>14</v>
      </c>
      <c r="F4919" s="85">
        <v>1</v>
      </c>
      <c r="G4919" s="85">
        <f>--(F4919&lt;=Estimator!$B$7)</f>
        <v>1</v>
      </c>
      <c r="H4919" s="86">
        <f>SUMIFS('Climate Data'!$G$7:$G$366,'Climate Data'!$A$7:$A$366,Estimator!$B$4,'Climate Data'!$B$7:$B$366,C4919)</f>
        <v>0.28666666666666668</v>
      </c>
      <c r="I4919" s="87">
        <f>SUMIFS('Climate Data'!$H$7:$H$366,'Climate Data'!$A$7:$A$366,Estimator!$B$4,'Climate Data'!$B$7:$B$366,C4919)</f>
        <v>7.941860465116279</v>
      </c>
      <c r="J4919" s="86">
        <f>SUMIFS('Wind Proxy'!$H$8:$H$19,'Wind Proxy'!$A$8:$A$19,Estimator!$B$4,'Wind Proxy'!$B$8:$B$19,C4919)</f>
        <v>0</v>
      </c>
    </row>
    <row r="4920" spans="1:10" ht="14.4">
      <c r="A4920" s="84">
        <v>50571</v>
      </c>
      <c r="B4920" s="85">
        <v>2038</v>
      </c>
      <c r="C4920" s="85">
        <v>6</v>
      </c>
      <c r="D4920" s="85" t="s">
        <v>68</v>
      </c>
      <c r="E4920" s="85">
        <v>15</v>
      </c>
      <c r="F4920" s="85">
        <v>2</v>
      </c>
      <c r="G4920" s="85">
        <f>--(F4920&lt;=Estimator!$B$7)</f>
        <v>1</v>
      </c>
      <c r="H4920" s="86">
        <f>SUMIFS('Climate Data'!$G$7:$G$366,'Climate Data'!$A$7:$A$366,Estimator!$B$4,'Climate Data'!$B$7:$B$366,C4920)</f>
        <v>0.28666666666666668</v>
      </c>
      <c r="I4920" s="87">
        <f>SUMIFS('Climate Data'!$H$7:$H$366,'Climate Data'!$A$7:$A$366,Estimator!$B$4,'Climate Data'!$B$7:$B$366,C4920)</f>
        <v>7.941860465116279</v>
      </c>
      <c r="J4920" s="86">
        <f>SUMIFS('Wind Proxy'!$H$8:$H$19,'Wind Proxy'!$A$8:$A$19,Estimator!$B$4,'Wind Proxy'!$B$8:$B$19,C4920)</f>
        <v>0</v>
      </c>
    </row>
    <row r="4921" spans="1:10" ht="14.4">
      <c r="A4921" s="84">
        <v>50572</v>
      </c>
      <c r="B4921" s="85">
        <v>2038</v>
      </c>
      <c r="C4921" s="85">
        <v>6</v>
      </c>
      <c r="D4921" s="85" t="s">
        <v>68</v>
      </c>
      <c r="E4921" s="85">
        <v>16</v>
      </c>
      <c r="F4921" s="85">
        <v>3</v>
      </c>
      <c r="G4921" s="85">
        <f>--(F4921&lt;=Estimator!$B$7)</f>
        <v>1</v>
      </c>
      <c r="H4921" s="86">
        <f>SUMIFS('Climate Data'!$G$7:$G$366,'Climate Data'!$A$7:$A$366,Estimator!$B$4,'Climate Data'!$B$7:$B$366,C4921)</f>
        <v>0.28666666666666668</v>
      </c>
      <c r="I4921" s="87">
        <f>SUMIFS('Climate Data'!$H$7:$H$366,'Climate Data'!$A$7:$A$366,Estimator!$B$4,'Climate Data'!$B$7:$B$366,C4921)</f>
        <v>7.941860465116279</v>
      </c>
      <c r="J4921" s="86">
        <f>SUMIFS('Wind Proxy'!$H$8:$H$19,'Wind Proxy'!$A$8:$A$19,Estimator!$B$4,'Wind Proxy'!$B$8:$B$19,C4921)</f>
        <v>0</v>
      </c>
    </row>
    <row r="4922" spans="1:10" ht="14.4">
      <c r="A4922" s="84">
        <v>50573</v>
      </c>
      <c r="B4922" s="85">
        <v>2038</v>
      </c>
      <c r="C4922" s="85">
        <v>6</v>
      </c>
      <c r="D4922" s="85" t="s">
        <v>68</v>
      </c>
      <c r="E4922" s="85">
        <v>17</v>
      </c>
      <c r="F4922" s="85">
        <v>4</v>
      </c>
      <c r="G4922" s="85">
        <f>--(F4922&lt;=Estimator!$B$7)</f>
        <v>1</v>
      </c>
      <c r="H4922" s="86">
        <f>SUMIFS('Climate Data'!$G$7:$G$366,'Climate Data'!$A$7:$A$366,Estimator!$B$4,'Climate Data'!$B$7:$B$366,C4922)</f>
        <v>0.28666666666666668</v>
      </c>
      <c r="I4922" s="87">
        <f>SUMIFS('Climate Data'!$H$7:$H$366,'Climate Data'!$A$7:$A$366,Estimator!$B$4,'Climate Data'!$B$7:$B$366,C4922)</f>
        <v>7.941860465116279</v>
      </c>
      <c r="J4922" s="86">
        <f>SUMIFS('Wind Proxy'!$H$8:$H$19,'Wind Proxy'!$A$8:$A$19,Estimator!$B$4,'Wind Proxy'!$B$8:$B$19,C4922)</f>
        <v>0</v>
      </c>
    </row>
    <row r="4923" spans="1:10" ht="14.4">
      <c r="A4923" s="84">
        <v>50574</v>
      </c>
      <c r="B4923" s="85">
        <v>2038</v>
      </c>
      <c r="C4923" s="85">
        <v>6</v>
      </c>
      <c r="D4923" s="85" t="s">
        <v>68</v>
      </c>
      <c r="E4923" s="85">
        <v>18</v>
      </c>
      <c r="F4923" s="85">
        <v>5</v>
      </c>
      <c r="G4923" s="85">
        <f>--(F4923&lt;=Estimator!$B$7)</f>
        <v>1</v>
      </c>
      <c r="H4923" s="86">
        <f>SUMIFS('Climate Data'!$G$7:$G$366,'Climate Data'!$A$7:$A$366,Estimator!$B$4,'Climate Data'!$B$7:$B$366,C4923)</f>
        <v>0.28666666666666668</v>
      </c>
      <c r="I4923" s="87">
        <f>SUMIFS('Climate Data'!$H$7:$H$366,'Climate Data'!$A$7:$A$366,Estimator!$B$4,'Climate Data'!$B$7:$B$366,C4923)</f>
        <v>7.941860465116279</v>
      </c>
      <c r="J4923" s="86">
        <f>SUMIFS('Wind Proxy'!$H$8:$H$19,'Wind Proxy'!$A$8:$A$19,Estimator!$B$4,'Wind Proxy'!$B$8:$B$19,C4923)</f>
        <v>0</v>
      </c>
    </row>
    <row r="4924" spans="1:10" ht="14.4">
      <c r="A4924" s="84">
        <v>50575</v>
      </c>
      <c r="B4924" s="85">
        <v>2038</v>
      </c>
      <c r="C4924" s="85">
        <v>6</v>
      </c>
      <c r="D4924" s="85" t="s">
        <v>68</v>
      </c>
      <c r="E4924" s="85">
        <v>19</v>
      </c>
      <c r="F4924" s="85">
        <v>6</v>
      </c>
      <c r="G4924" s="85">
        <f>--(F4924&lt;=Estimator!$B$7)</f>
        <v>0</v>
      </c>
      <c r="H4924" s="86">
        <f>SUMIFS('Climate Data'!$G$7:$G$366,'Climate Data'!$A$7:$A$366,Estimator!$B$4,'Climate Data'!$B$7:$B$366,C4924)</f>
        <v>0.28666666666666668</v>
      </c>
      <c r="I4924" s="87">
        <f>SUMIFS('Climate Data'!$H$7:$H$366,'Climate Data'!$A$7:$A$366,Estimator!$B$4,'Climate Data'!$B$7:$B$366,C4924)</f>
        <v>7.941860465116279</v>
      </c>
      <c r="J4924" s="86">
        <f>SUMIFS('Wind Proxy'!$H$8:$H$19,'Wind Proxy'!$A$8:$A$19,Estimator!$B$4,'Wind Proxy'!$B$8:$B$19,C4924)</f>
        <v>0</v>
      </c>
    </row>
    <row r="4925" spans="1:10" ht="14.4">
      <c r="A4925" s="84">
        <v>50576</v>
      </c>
      <c r="B4925" s="85">
        <v>2038</v>
      </c>
      <c r="C4925" s="85">
        <v>6</v>
      </c>
      <c r="D4925" s="85" t="s">
        <v>68</v>
      </c>
      <c r="E4925" s="85">
        <v>20</v>
      </c>
      <c r="F4925" s="85">
        <v>7</v>
      </c>
      <c r="G4925" s="85">
        <f>--(F4925&lt;=Estimator!$B$7)</f>
        <v>0</v>
      </c>
      <c r="H4925" s="86">
        <f>SUMIFS('Climate Data'!$G$7:$G$366,'Climate Data'!$A$7:$A$366,Estimator!$B$4,'Climate Data'!$B$7:$B$366,C4925)</f>
        <v>0.28666666666666668</v>
      </c>
      <c r="I4925" s="87">
        <f>SUMIFS('Climate Data'!$H$7:$H$366,'Climate Data'!$A$7:$A$366,Estimator!$B$4,'Climate Data'!$B$7:$B$366,C4925)</f>
        <v>7.941860465116279</v>
      </c>
      <c r="J4925" s="86">
        <f>SUMIFS('Wind Proxy'!$H$8:$H$19,'Wind Proxy'!$A$8:$A$19,Estimator!$B$4,'Wind Proxy'!$B$8:$B$19,C4925)</f>
        <v>0</v>
      </c>
    </row>
    <row r="4926" spans="1:10" ht="14.4">
      <c r="A4926" s="84">
        <v>50577</v>
      </c>
      <c r="B4926" s="85">
        <v>2038</v>
      </c>
      <c r="C4926" s="85">
        <v>6</v>
      </c>
      <c r="D4926" s="85" t="s">
        <v>68</v>
      </c>
      <c r="E4926" s="85">
        <v>21</v>
      </c>
      <c r="F4926" s="85">
        <v>1</v>
      </c>
      <c r="G4926" s="85">
        <f>--(F4926&lt;=Estimator!$B$7)</f>
        <v>1</v>
      </c>
      <c r="H4926" s="86">
        <f>SUMIFS('Climate Data'!$G$7:$G$366,'Climate Data'!$A$7:$A$366,Estimator!$B$4,'Climate Data'!$B$7:$B$366,C4926)</f>
        <v>0.28666666666666668</v>
      </c>
      <c r="I4926" s="87">
        <f>SUMIFS('Climate Data'!$H$7:$H$366,'Climate Data'!$A$7:$A$366,Estimator!$B$4,'Climate Data'!$B$7:$B$366,C4926)</f>
        <v>7.941860465116279</v>
      </c>
      <c r="J4926" s="86">
        <f>SUMIFS('Wind Proxy'!$H$8:$H$19,'Wind Proxy'!$A$8:$A$19,Estimator!$B$4,'Wind Proxy'!$B$8:$B$19,C4926)</f>
        <v>0</v>
      </c>
    </row>
    <row r="4927" spans="1:10" ht="14.4">
      <c r="A4927" s="84">
        <v>50578</v>
      </c>
      <c r="B4927" s="85">
        <v>2038</v>
      </c>
      <c r="C4927" s="85">
        <v>6</v>
      </c>
      <c r="D4927" s="85" t="s">
        <v>68</v>
      </c>
      <c r="E4927" s="85">
        <v>22</v>
      </c>
      <c r="F4927" s="85">
        <v>2</v>
      </c>
      <c r="G4927" s="85">
        <f>--(F4927&lt;=Estimator!$B$7)</f>
        <v>1</v>
      </c>
      <c r="H4927" s="86">
        <f>SUMIFS('Climate Data'!$G$7:$G$366,'Climate Data'!$A$7:$A$366,Estimator!$B$4,'Climate Data'!$B$7:$B$366,C4927)</f>
        <v>0.28666666666666668</v>
      </c>
      <c r="I4927" s="87">
        <f>SUMIFS('Climate Data'!$H$7:$H$366,'Climate Data'!$A$7:$A$366,Estimator!$B$4,'Climate Data'!$B$7:$B$366,C4927)</f>
        <v>7.941860465116279</v>
      </c>
      <c r="J4927" s="86">
        <f>SUMIFS('Wind Proxy'!$H$8:$H$19,'Wind Proxy'!$A$8:$A$19,Estimator!$B$4,'Wind Proxy'!$B$8:$B$19,C4927)</f>
        <v>0</v>
      </c>
    </row>
    <row r="4928" spans="1:10" ht="14.4">
      <c r="A4928" s="84">
        <v>50579</v>
      </c>
      <c r="B4928" s="85">
        <v>2038</v>
      </c>
      <c r="C4928" s="85">
        <v>6</v>
      </c>
      <c r="D4928" s="85" t="s">
        <v>68</v>
      </c>
      <c r="E4928" s="85">
        <v>23</v>
      </c>
      <c r="F4928" s="85">
        <v>3</v>
      </c>
      <c r="G4928" s="85">
        <f>--(F4928&lt;=Estimator!$B$7)</f>
        <v>1</v>
      </c>
      <c r="H4928" s="86">
        <f>SUMIFS('Climate Data'!$G$7:$G$366,'Climate Data'!$A$7:$A$366,Estimator!$B$4,'Climate Data'!$B$7:$B$366,C4928)</f>
        <v>0.28666666666666668</v>
      </c>
      <c r="I4928" s="87">
        <f>SUMIFS('Climate Data'!$H$7:$H$366,'Climate Data'!$A$7:$A$366,Estimator!$B$4,'Climate Data'!$B$7:$B$366,C4928)</f>
        <v>7.941860465116279</v>
      </c>
      <c r="J4928" s="86">
        <f>SUMIFS('Wind Proxy'!$H$8:$H$19,'Wind Proxy'!$A$8:$A$19,Estimator!$B$4,'Wind Proxy'!$B$8:$B$19,C4928)</f>
        <v>0</v>
      </c>
    </row>
    <row r="4929" spans="1:10" ht="14.4">
      <c r="A4929" s="84">
        <v>50580</v>
      </c>
      <c r="B4929" s="85">
        <v>2038</v>
      </c>
      <c r="C4929" s="85">
        <v>6</v>
      </c>
      <c r="D4929" s="85" t="s">
        <v>68</v>
      </c>
      <c r="E4929" s="85">
        <v>24</v>
      </c>
      <c r="F4929" s="85">
        <v>4</v>
      </c>
      <c r="G4929" s="85">
        <f>--(F4929&lt;=Estimator!$B$7)</f>
        <v>1</v>
      </c>
      <c r="H4929" s="86">
        <f>SUMIFS('Climate Data'!$G$7:$G$366,'Climate Data'!$A$7:$A$366,Estimator!$B$4,'Climate Data'!$B$7:$B$366,C4929)</f>
        <v>0.28666666666666668</v>
      </c>
      <c r="I4929" s="87">
        <f>SUMIFS('Climate Data'!$H$7:$H$366,'Climate Data'!$A$7:$A$366,Estimator!$B$4,'Climate Data'!$B$7:$B$366,C4929)</f>
        <v>7.941860465116279</v>
      </c>
      <c r="J4929" s="86">
        <f>SUMIFS('Wind Proxy'!$H$8:$H$19,'Wind Proxy'!$A$8:$A$19,Estimator!$B$4,'Wind Proxy'!$B$8:$B$19,C4929)</f>
        <v>0</v>
      </c>
    </row>
    <row r="4930" spans="1:10" ht="14.4">
      <c r="A4930" s="84">
        <v>50581</v>
      </c>
      <c r="B4930" s="85">
        <v>2038</v>
      </c>
      <c r="C4930" s="85">
        <v>6</v>
      </c>
      <c r="D4930" s="85" t="s">
        <v>68</v>
      </c>
      <c r="E4930" s="85">
        <v>25</v>
      </c>
      <c r="F4930" s="85">
        <v>5</v>
      </c>
      <c r="G4930" s="85">
        <f>--(F4930&lt;=Estimator!$B$7)</f>
        <v>1</v>
      </c>
      <c r="H4930" s="86">
        <f>SUMIFS('Climate Data'!$G$7:$G$366,'Climate Data'!$A$7:$A$366,Estimator!$B$4,'Climate Data'!$B$7:$B$366,C4930)</f>
        <v>0.28666666666666668</v>
      </c>
      <c r="I4930" s="87">
        <f>SUMIFS('Climate Data'!$H$7:$H$366,'Climate Data'!$A$7:$A$366,Estimator!$B$4,'Climate Data'!$B$7:$B$366,C4930)</f>
        <v>7.941860465116279</v>
      </c>
      <c r="J4930" s="86">
        <f>SUMIFS('Wind Proxy'!$H$8:$H$19,'Wind Proxy'!$A$8:$A$19,Estimator!$B$4,'Wind Proxy'!$B$8:$B$19,C4930)</f>
        <v>0</v>
      </c>
    </row>
    <row r="4931" spans="1:10" ht="14.4">
      <c r="A4931" s="84">
        <v>50582</v>
      </c>
      <c r="B4931" s="85">
        <v>2038</v>
      </c>
      <c r="C4931" s="85">
        <v>6</v>
      </c>
      <c r="D4931" s="85" t="s">
        <v>68</v>
      </c>
      <c r="E4931" s="85">
        <v>26</v>
      </c>
      <c r="F4931" s="85">
        <v>6</v>
      </c>
      <c r="G4931" s="85">
        <f>--(F4931&lt;=Estimator!$B$7)</f>
        <v>0</v>
      </c>
      <c r="H4931" s="86">
        <f>SUMIFS('Climate Data'!$G$7:$G$366,'Climate Data'!$A$7:$A$366,Estimator!$B$4,'Climate Data'!$B$7:$B$366,C4931)</f>
        <v>0.28666666666666668</v>
      </c>
      <c r="I4931" s="87">
        <f>SUMIFS('Climate Data'!$H$7:$H$366,'Climate Data'!$A$7:$A$366,Estimator!$B$4,'Climate Data'!$B$7:$B$366,C4931)</f>
        <v>7.941860465116279</v>
      </c>
      <c r="J4931" s="86">
        <f>SUMIFS('Wind Proxy'!$H$8:$H$19,'Wind Proxy'!$A$8:$A$19,Estimator!$B$4,'Wind Proxy'!$B$8:$B$19,C4931)</f>
        <v>0</v>
      </c>
    </row>
    <row r="4932" spans="1:10" ht="14.4">
      <c r="A4932" s="84">
        <v>50583</v>
      </c>
      <c r="B4932" s="85">
        <v>2038</v>
      </c>
      <c r="C4932" s="85">
        <v>6</v>
      </c>
      <c r="D4932" s="85" t="s">
        <v>68</v>
      </c>
      <c r="E4932" s="85">
        <v>27</v>
      </c>
      <c r="F4932" s="85">
        <v>7</v>
      </c>
      <c r="G4932" s="85">
        <f>--(F4932&lt;=Estimator!$B$7)</f>
        <v>0</v>
      </c>
      <c r="H4932" s="86">
        <f>SUMIFS('Climate Data'!$G$7:$G$366,'Climate Data'!$A$7:$A$366,Estimator!$B$4,'Climate Data'!$B$7:$B$366,C4932)</f>
        <v>0.28666666666666668</v>
      </c>
      <c r="I4932" s="87">
        <f>SUMIFS('Climate Data'!$H$7:$H$366,'Climate Data'!$A$7:$A$366,Estimator!$B$4,'Climate Data'!$B$7:$B$366,C4932)</f>
        <v>7.941860465116279</v>
      </c>
      <c r="J4932" s="86">
        <f>SUMIFS('Wind Proxy'!$H$8:$H$19,'Wind Proxy'!$A$8:$A$19,Estimator!$B$4,'Wind Proxy'!$B$8:$B$19,C4932)</f>
        <v>0</v>
      </c>
    </row>
    <row r="4933" spans="1:10" ht="14.4">
      <c r="A4933" s="84">
        <v>50584</v>
      </c>
      <c r="B4933" s="85">
        <v>2038</v>
      </c>
      <c r="C4933" s="85">
        <v>6</v>
      </c>
      <c r="D4933" s="85" t="s">
        <v>68</v>
      </c>
      <c r="E4933" s="85">
        <v>28</v>
      </c>
      <c r="F4933" s="85">
        <v>1</v>
      </c>
      <c r="G4933" s="85">
        <f>--(F4933&lt;=Estimator!$B$7)</f>
        <v>1</v>
      </c>
      <c r="H4933" s="86">
        <f>SUMIFS('Climate Data'!$G$7:$G$366,'Climate Data'!$A$7:$A$366,Estimator!$B$4,'Climate Data'!$B$7:$B$366,C4933)</f>
        <v>0.28666666666666668</v>
      </c>
      <c r="I4933" s="87">
        <f>SUMIFS('Climate Data'!$H$7:$H$366,'Climate Data'!$A$7:$A$366,Estimator!$B$4,'Climate Data'!$B$7:$B$366,C4933)</f>
        <v>7.941860465116279</v>
      </c>
      <c r="J4933" s="86">
        <f>SUMIFS('Wind Proxy'!$H$8:$H$19,'Wind Proxy'!$A$8:$A$19,Estimator!$B$4,'Wind Proxy'!$B$8:$B$19,C4933)</f>
        <v>0</v>
      </c>
    </row>
    <row r="4934" spans="1:10" ht="14.4">
      <c r="A4934" s="84">
        <v>50585</v>
      </c>
      <c r="B4934" s="85">
        <v>2038</v>
      </c>
      <c r="C4934" s="85">
        <v>6</v>
      </c>
      <c r="D4934" s="85" t="s">
        <v>68</v>
      </c>
      <c r="E4934" s="85">
        <v>29</v>
      </c>
      <c r="F4934" s="85">
        <v>2</v>
      </c>
      <c r="G4934" s="85">
        <f>--(F4934&lt;=Estimator!$B$7)</f>
        <v>1</v>
      </c>
      <c r="H4934" s="86">
        <f>SUMIFS('Climate Data'!$G$7:$G$366,'Climate Data'!$A$7:$A$366,Estimator!$B$4,'Climate Data'!$B$7:$B$366,C4934)</f>
        <v>0.28666666666666668</v>
      </c>
      <c r="I4934" s="87">
        <f>SUMIFS('Climate Data'!$H$7:$H$366,'Climate Data'!$A$7:$A$366,Estimator!$B$4,'Climate Data'!$B$7:$B$366,C4934)</f>
        <v>7.941860465116279</v>
      </c>
      <c r="J4934" s="86">
        <f>SUMIFS('Wind Proxy'!$H$8:$H$19,'Wind Proxy'!$A$8:$A$19,Estimator!$B$4,'Wind Proxy'!$B$8:$B$19,C4934)</f>
        <v>0</v>
      </c>
    </row>
    <row r="4935" spans="1:10" ht="14.4">
      <c r="A4935" s="84">
        <v>50586</v>
      </c>
      <c r="B4935" s="85">
        <v>2038</v>
      </c>
      <c r="C4935" s="85">
        <v>6</v>
      </c>
      <c r="D4935" s="85" t="s">
        <v>68</v>
      </c>
      <c r="E4935" s="85">
        <v>30</v>
      </c>
      <c r="F4935" s="85">
        <v>3</v>
      </c>
      <c r="G4935" s="85">
        <f>--(F4935&lt;=Estimator!$B$7)</f>
        <v>1</v>
      </c>
      <c r="H4935" s="86">
        <f>SUMIFS('Climate Data'!$G$7:$G$366,'Climate Data'!$A$7:$A$366,Estimator!$B$4,'Climate Data'!$B$7:$B$366,C4935)</f>
        <v>0.28666666666666668</v>
      </c>
      <c r="I4935" s="87">
        <f>SUMIFS('Climate Data'!$H$7:$H$366,'Climate Data'!$A$7:$A$366,Estimator!$B$4,'Climate Data'!$B$7:$B$366,C4935)</f>
        <v>7.941860465116279</v>
      </c>
      <c r="J4935" s="86">
        <f>SUMIFS('Wind Proxy'!$H$8:$H$19,'Wind Proxy'!$A$8:$A$19,Estimator!$B$4,'Wind Proxy'!$B$8:$B$19,C4935)</f>
        <v>0</v>
      </c>
    </row>
    <row r="4936" spans="1:10" ht="14.4">
      <c r="A4936" s="84">
        <v>50587</v>
      </c>
      <c r="B4936" s="85">
        <v>2038</v>
      </c>
      <c r="C4936" s="85">
        <v>7</v>
      </c>
      <c r="D4936" s="85" t="s">
        <v>69</v>
      </c>
      <c r="E4936" s="85">
        <v>1</v>
      </c>
      <c r="F4936" s="85">
        <v>4</v>
      </c>
      <c r="G4936" s="85">
        <f>--(F4936&lt;=Estimator!$B$7)</f>
        <v>1</v>
      </c>
      <c r="H4936" s="86">
        <f>SUMIFS('Climate Data'!$G$7:$G$366,'Climate Data'!$A$7:$A$366,Estimator!$B$4,'Climate Data'!$B$7:$B$366,C4936)</f>
        <v>0.24731182795698925</v>
      </c>
      <c r="I4936" s="87">
        <f>SUMIFS('Climate Data'!$H$7:$H$366,'Climate Data'!$A$7:$A$366,Estimator!$B$4,'Climate Data'!$B$7:$B$366,C4936)</f>
        <v>8.3739130434782609</v>
      </c>
      <c r="J4936" s="86">
        <f>SUMIFS('Wind Proxy'!$H$8:$H$19,'Wind Proxy'!$A$8:$A$19,Estimator!$B$4,'Wind Proxy'!$B$8:$B$19,C4936)</f>
        <v>0</v>
      </c>
    </row>
    <row r="4937" spans="1:10" ht="14.4">
      <c r="A4937" s="84">
        <v>50588</v>
      </c>
      <c r="B4937" s="85">
        <v>2038</v>
      </c>
      <c r="C4937" s="85">
        <v>7</v>
      </c>
      <c r="D4937" s="85" t="s">
        <v>69</v>
      </c>
      <c r="E4937" s="85">
        <v>2</v>
      </c>
      <c r="F4937" s="85">
        <v>5</v>
      </c>
      <c r="G4937" s="85">
        <f>--(F4937&lt;=Estimator!$B$7)</f>
        <v>1</v>
      </c>
      <c r="H4937" s="86">
        <f>SUMIFS('Climate Data'!$G$7:$G$366,'Climate Data'!$A$7:$A$366,Estimator!$B$4,'Climate Data'!$B$7:$B$366,C4937)</f>
        <v>0.24731182795698925</v>
      </c>
      <c r="I4937" s="87">
        <f>SUMIFS('Climate Data'!$H$7:$H$366,'Climate Data'!$A$7:$A$366,Estimator!$B$4,'Climate Data'!$B$7:$B$366,C4937)</f>
        <v>8.3739130434782609</v>
      </c>
      <c r="J4937" s="86">
        <f>SUMIFS('Wind Proxy'!$H$8:$H$19,'Wind Proxy'!$A$8:$A$19,Estimator!$B$4,'Wind Proxy'!$B$8:$B$19,C4937)</f>
        <v>0</v>
      </c>
    </row>
    <row r="4938" spans="1:10" ht="14.4">
      <c r="A4938" s="84">
        <v>50589</v>
      </c>
      <c r="B4938" s="85">
        <v>2038</v>
      </c>
      <c r="C4938" s="85">
        <v>7</v>
      </c>
      <c r="D4938" s="85" t="s">
        <v>69</v>
      </c>
      <c r="E4938" s="85">
        <v>3</v>
      </c>
      <c r="F4938" s="85">
        <v>6</v>
      </c>
      <c r="G4938" s="85">
        <f>--(F4938&lt;=Estimator!$B$7)</f>
        <v>0</v>
      </c>
      <c r="H4938" s="86">
        <f>SUMIFS('Climate Data'!$G$7:$G$366,'Climate Data'!$A$7:$A$366,Estimator!$B$4,'Climate Data'!$B$7:$B$366,C4938)</f>
        <v>0.24731182795698925</v>
      </c>
      <c r="I4938" s="87">
        <f>SUMIFS('Climate Data'!$H$7:$H$366,'Climate Data'!$A$7:$A$366,Estimator!$B$4,'Climate Data'!$B$7:$B$366,C4938)</f>
        <v>8.3739130434782609</v>
      </c>
      <c r="J4938" s="86">
        <f>SUMIFS('Wind Proxy'!$H$8:$H$19,'Wind Proxy'!$A$8:$A$19,Estimator!$B$4,'Wind Proxy'!$B$8:$B$19,C4938)</f>
        <v>0</v>
      </c>
    </row>
    <row r="4939" spans="1:10" ht="14.4">
      <c r="A4939" s="84">
        <v>50590</v>
      </c>
      <c r="B4939" s="85">
        <v>2038</v>
      </c>
      <c r="C4939" s="85">
        <v>7</v>
      </c>
      <c r="D4939" s="85" t="s">
        <v>69</v>
      </c>
      <c r="E4939" s="85">
        <v>4</v>
      </c>
      <c r="F4939" s="85">
        <v>7</v>
      </c>
      <c r="G4939" s="85">
        <f>--(F4939&lt;=Estimator!$B$7)</f>
        <v>0</v>
      </c>
      <c r="H4939" s="86">
        <f>SUMIFS('Climate Data'!$G$7:$G$366,'Climate Data'!$A$7:$A$366,Estimator!$B$4,'Climate Data'!$B$7:$B$366,C4939)</f>
        <v>0.24731182795698925</v>
      </c>
      <c r="I4939" s="87">
        <f>SUMIFS('Climate Data'!$H$7:$H$366,'Climate Data'!$A$7:$A$366,Estimator!$B$4,'Climate Data'!$B$7:$B$366,C4939)</f>
        <v>8.3739130434782609</v>
      </c>
      <c r="J4939" s="86">
        <f>SUMIFS('Wind Proxy'!$H$8:$H$19,'Wind Proxy'!$A$8:$A$19,Estimator!$B$4,'Wind Proxy'!$B$8:$B$19,C4939)</f>
        <v>0</v>
      </c>
    </row>
    <row r="4940" spans="1:10" ht="14.4">
      <c r="A4940" s="84">
        <v>50591</v>
      </c>
      <c r="B4940" s="85">
        <v>2038</v>
      </c>
      <c r="C4940" s="85">
        <v>7</v>
      </c>
      <c r="D4940" s="85" t="s">
        <v>69</v>
      </c>
      <c r="E4940" s="85">
        <v>5</v>
      </c>
      <c r="F4940" s="85">
        <v>1</v>
      </c>
      <c r="G4940" s="85">
        <f>--(F4940&lt;=Estimator!$B$7)</f>
        <v>1</v>
      </c>
      <c r="H4940" s="86">
        <f>SUMIFS('Climate Data'!$G$7:$G$366,'Climate Data'!$A$7:$A$366,Estimator!$B$4,'Climate Data'!$B$7:$B$366,C4940)</f>
        <v>0.24731182795698925</v>
      </c>
      <c r="I4940" s="87">
        <f>SUMIFS('Climate Data'!$H$7:$H$366,'Climate Data'!$A$7:$A$366,Estimator!$B$4,'Climate Data'!$B$7:$B$366,C4940)</f>
        <v>8.3739130434782609</v>
      </c>
      <c r="J4940" s="86">
        <f>SUMIFS('Wind Proxy'!$H$8:$H$19,'Wind Proxy'!$A$8:$A$19,Estimator!$B$4,'Wind Proxy'!$B$8:$B$19,C4940)</f>
        <v>0</v>
      </c>
    </row>
    <row r="4941" spans="1:10" ht="14.4">
      <c r="A4941" s="84">
        <v>50592</v>
      </c>
      <c r="B4941" s="85">
        <v>2038</v>
      </c>
      <c r="C4941" s="85">
        <v>7</v>
      </c>
      <c r="D4941" s="85" t="s">
        <v>69</v>
      </c>
      <c r="E4941" s="85">
        <v>6</v>
      </c>
      <c r="F4941" s="85">
        <v>2</v>
      </c>
      <c r="G4941" s="85">
        <f>--(F4941&lt;=Estimator!$B$7)</f>
        <v>1</v>
      </c>
      <c r="H4941" s="86">
        <f>SUMIFS('Climate Data'!$G$7:$G$366,'Climate Data'!$A$7:$A$366,Estimator!$B$4,'Climate Data'!$B$7:$B$366,C4941)</f>
        <v>0.24731182795698925</v>
      </c>
      <c r="I4941" s="87">
        <f>SUMIFS('Climate Data'!$H$7:$H$366,'Climate Data'!$A$7:$A$366,Estimator!$B$4,'Climate Data'!$B$7:$B$366,C4941)</f>
        <v>8.3739130434782609</v>
      </c>
      <c r="J4941" s="86">
        <f>SUMIFS('Wind Proxy'!$H$8:$H$19,'Wind Proxy'!$A$8:$A$19,Estimator!$B$4,'Wind Proxy'!$B$8:$B$19,C4941)</f>
        <v>0</v>
      </c>
    </row>
    <row r="4942" spans="1:10" ht="14.4">
      <c r="A4942" s="84">
        <v>50593</v>
      </c>
      <c r="B4942" s="85">
        <v>2038</v>
      </c>
      <c r="C4942" s="85">
        <v>7</v>
      </c>
      <c r="D4942" s="85" t="s">
        <v>69</v>
      </c>
      <c r="E4942" s="85">
        <v>7</v>
      </c>
      <c r="F4942" s="85">
        <v>3</v>
      </c>
      <c r="G4942" s="85">
        <f>--(F4942&lt;=Estimator!$B$7)</f>
        <v>1</v>
      </c>
      <c r="H4942" s="86">
        <f>SUMIFS('Climate Data'!$G$7:$G$366,'Climate Data'!$A$7:$A$366,Estimator!$B$4,'Climate Data'!$B$7:$B$366,C4942)</f>
        <v>0.24731182795698925</v>
      </c>
      <c r="I4942" s="87">
        <f>SUMIFS('Climate Data'!$H$7:$H$366,'Climate Data'!$A$7:$A$366,Estimator!$B$4,'Climate Data'!$B$7:$B$366,C4942)</f>
        <v>8.3739130434782609</v>
      </c>
      <c r="J4942" s="86">
        <f>SUMIFS('Wind Proxy'!$H$8:$H$19,'Wind Proxy'!$A$8:$A$19,Estimator!$B$4,'Wind Proxy'!$B$8:$B$19,C4942)</f>
        <v>0</v>
      </c>
    </row>
    <row r="4943" spans="1:10" ht="14.4">
      <c r="A4943" s="84">
        <v>50594</v>
      </c>
      <c r="B4943" s="85">
        <v>2038</v>
      </c>
      <c r="C4943" s="85">
        <v>7</v>
      </c>
      <c r="D4943" s="85" t="s">
        <v>69</v>
      </c>
      <c r="E4943" s="85">
        <v>8</v>
      </c>
      <c r="F4943" s="85">
        <v>4</v>
      </c>
      <c r="G4943" s="85">
        <f>--(F4943&lt;=Estimator!$B$7)</f>
        <v>1</v>
      </c>
      <c r="H4943" s="86">
        <f>SUMIFS('Climate Data'!$G$7:$G$366,'Climate Data'!$A$7:$A$366,Estimator!$B$4,'Climate Data'!$B$7:$B$366,C4943)</f>
        <v>0.24731182795698925</v>
      </c>
      <c r="I4943" s="87">
        <f>SUMIFS('Climate Data'!$H$7:$H$366,'Climate Data'!$A$7:$A$366,Estimator!$B$4,'Climate Data'!$B$7:$B$366,C4943)</f>
        <v>8.3739130434782609</v>
      </c>
      <c r="J4943" s="86">
        <f>SUMIFS('Wind Proxy'!$H$8:$H$19,'Wind Proxy'!$A$8:$A$19,Estimator!$B$4,'Wind Proxy'!$B$8:$B$19,C4943)</f>
        <v>0</v>
      </c>
    </row>
    <row r="4944" spans="1:10" ht="14.4">
      <c r="A4944" s="84">
        <v>50595</v>
      </c>
      <c r="B4944" s="85">
        <v>2038</v>
      </c>
      <c r="C4944" s="85">
        <v>7</v>
      </c>
      <c r="D4944" s="85" t="s">
        <v>69</v>
      </c>
      <c r="E4944" s="85">
        <v>9</v>
      </c>
      <c r="F4944" s="85">
        <v>5</v>
      </c>
      <c r="G4944" s="85">
        <f>--(F4944&lt;=Estimator!$B$7)</f>
        <v>1</v>
      </c>
      <c r="H4944" s="86">
        <f>SUMIFS('Climate Data'!$G$7:$G$366,'Climate Data'!$A$7:$A$366,Estimator!$B$4,'Climate Data'!$B$7:$B$366,C4944)</f>
        <v>0.24731182795698925</v>
      </c>
      <c r="I4944" s="87">
        <f>SUMIFS('Climate Data'!$H$7:$H$366,'Climate Data'!$A$7:$A$366,Estimator!$B$4,'Climate Data'!$B$7:$B$366,C4944)</f>
        <v>8.3739130434782609</v>
      </c>
      <c r="J4944" s="86">
        <f>SUMIFS('Wind Proxy'!$H$8:$H$19,'Wind Proxy'!$A$8:$A$19,Estimator!$B$4,'Wind Proxy'!$B$8:$B$19,C4944)</f>
        <v>0</v>
      </c>
    </row>
    <row r="4945" spans="1:10" ht="14.4">
      <c r="A4945" s="84">
        <v>50596</v>
      </c>
      <c r="B4945" s="85">
        <v>2038</v>
      </c>
      <c r="C4945" s="85">
        <v>7</v>
      </c>
      <c r="D4945" s="85" t="s">
        <v>69</v>
      </c>
      <c r="E4945" s="85">
        <v>10</v>
      </c>
      <c r="F4945" s="85">
        <v>6</v>
      </c>
      <c r="G4945" s="85">
        <f>--(F4945&lt;=Estimator!$B$7)</f>
        <v>0</v>
      </c>
      <c r="H4945" s="86">
        <f>SUMIFS('Climate Data'!$G$7:$G$366,'Climate Data'!$A$7:$A$366,Estimator!$B$4,'Climate Data'!$B$7:$B$366,C4945)</f>
        <v>0.24731182795698925</v>
      </c>
      <c r="I4945" s="87">
        <f>SUMIFS('Climate Data'!$H$7:$H$366,'Climate Data'!$A$7:$A$366,Estimator!$B$4,'Climate Data'!$B$7:$B$366,C4945)</f>
        <v>8.3739130434782609</v>
      </c>
      <c r="J4945" s="86">
        <f>SUMIFS('Wind Proxy'!$H$8:$H$19,'Wind Proxy'!$A$8:$A$19,Estimator!$B$4,'Wind Proxy'!$B$8:$B$19,C4945)</f>
        <v>0</v>
      </c>
    </row>
    <row r="4946" spans="1:10" ht="14.4">
      <c r="A4946" s="84">
        <v>50597</v>
      </c>
      <c r="B4946" s="85">
        <v>2038</v>
      </c>
      <c r="C4946" s="85">
        <v>7</v>
      </c>
      <c r="D4946" s="85" t="s">
        <v>69</v>
      </c>
      <c r="E4946" s="85">
        <v>11</v>
      </c>
      <c r="F4946" s="85">
        <v>7</v>
      </c>
      <c r="G4946" s="85">
        <f>--(F4946&lt;=Estimator!$B$7)</f>
        <v>0</v>
      </c>
      <c r="H4946" s="86">
        <f>SUMIFS('Climate Data'!$G$7:$G$366,'Climate Data'!$A$7:$A$366,Estimator!$B$4,'Climate Data'!$B$7:$B$366,C4946)</f>
        <v>0.24731182795698925</v>
      </c>
      <c r="I4946" s="87">
        <f>SUMIFS('Climate Data'!$H$7:$H$366,'Climate Data'!$A$7:$A$366,Estimator!$B$4,'Climate Data'!$B$7:$B$366,C4946)</f>
        <v>8.3739130434782609</v>
      </c>
      <c r="J4946" s="86">
        <f>SUMIFS('Wind Proxy'!$H$8:$H$19,'Wind Proxy'!$A$8:$A$19,Estimator!$B$4,'Wind Proxy'!$B$8:$B$19,C4946)</f>
        <v>0</v>
      </c>
    </row>
    <row r="4947" spans="1:10" ht="14.4">
      <c r="A4947" s="84">
        <v>50598</v>
      </c>
      <c r="B4947" s="85">
        <v>2038</v>
      </c>
      <c r="C4947" s="85">
        <v>7</v>
      </c>
      <c r="D4947" s="85" t="s">
        <v>69</v>
      </c>
      <c r="E4947" s="85">
        <v>12</v>
      </c>
      <c r="F4947" s="85">
        <v>1</v>
      </c>
      <c r="G4947" s="85">
        <f>--(F4947&lt;=Estimator!$B$7)</f>
        <v>1</v>
      </c>
      <c r="H4947" s="86">
        <f>SUMIFS('Climate Data'!$G$7:$G$366,'Climate Data'!$A$7:$A$366,Estimator!$B$4,'Climate Data'!$B$7:$B$366,C4947)</f>
        <v>0.24731182795698925</v>
      </c>
      <c r="I4947" s="87">
        <f>SUMIFS('Climate Data'!$H$7:$H$366,'Climate Data'!$A$7:$A$366,Estimator!$B$4,'Climate Data'!$B$7:$B$366,C4947)</f>
        <v>8.3739130434782609</v>
      </c>
      <c r="J4947" s="86">
        <f>SUMIFS('Wind Proxy'!$H$8:$H$19,'Wind Proxy'!$A$8:$A$19,Estimator!$B$4,'Wind Proxy'!$B$8:$B$19,C4947)</f>
        <v>0</v>
      </c>
    </row>
    <row r="4948" spans="1:10" ht="14.4">
      <c r="A4948" s="84">
        <v>50599</v>
      </c>
      <c r="B4948" s="85">
        <v>2038</v>
      </c>
      <c r="C4948" s="85">
        <v>7</v>
      </c>
      <c r="D4948" s="85" t="s">
        <v>69</v>
      </c>
      <c r="E4948" s="85">
        <v>13</v>
      </c>
      <c r="F4948" s="85">
        <v>2</v>
      </c>
      <c r="G4948" s="85">
        <f>--(F4948&lt;=Estimator!$B$7)</f>
        <v>1</v>
      </c>
      <c r="H4948" s="86">
        <f>SUMIFS('Climate Data'!$G$7:$G$366,'Climate Data'!$A$7:$A$366,Estimator!$B$4,'Climate Data'!$B$7:$B$366,C4948)</f>
        <v>0.24731182795698925</v>
      </c>
      <c r="I4948" s="87">
        <f>SUMIFS('Climate Data'!$H$7:$H$366,'Climate Data'!$A$7:$A$366,Estimator!$B$4,'Climate Data'!$B$7:$B$366,C4948)</f>
        <v>8.3739130434782609</v>
      </c>
      <c r="J4948" s="86">
        <f>SUMIFS('Wind Proxy'!$H$8:$H$19,'Wind Proxy'!$A$8:$A$19,Estimator!$B$4,'Wind Proxy'!$B$8:$B$19,C4948)</f>
        <v>0</v>
      </c>
    </row>
    <row r="4949" spans="1:10" ht="14.4">
      <c r="A4949" s="84">
        <v>50600</v>
      </c>
      <c r="B4949" s="85">
        <v>2038</v>
      </c>
      <c r="C4949" s="85">
        <v>7</v>
      </c>
      <c r="D4949" s="85" t="s">
        <v>69</v>
      </c>
      <c r="E4949" s="85">
        <v>14</v>
      </c>
      <c r="F4949" s="85">
        <v>3</v>
      </c>
      <c r="G4949" s="85">
        <f>--(F4949&lt;=Estimator!$B$7)</f>
        <v>1</v>
      </c>
      <c r="H4949" s="86">
        <f>SUMIFS('Climate Data'!$G$7:$G$366,'Climate Data'!$A$7:$A$366,Estimator!$B$4,'Climate Data'!$B$7:$B$366,C4949)</f>
        <v>0.24731182795698925</v>
      </c>
      <c r="I4949" s="87">
        <f>SUMIFS('Climate Data'!$H$7:$H$366,'Climate Data'!$A$7:$A$366,Estimator!$B$4,'Climate Data'!$B$7:$B$366,C4949)</f>
        <v>8.3739130434782609</v>
      </c>
      <c r="J4949" s="86">
        <f>SUMIFS('Wind Proxy'!$H$8:$H$19,'Wind Proxy'!$A$8:$A$19,Estimator!$B$4,'Wind Proxy'!$B$8:$B$19,C4949)</f>
        <v>0</v>
      </c>
    </row>
    <row r="4950" spans="1:10" ht="14.4">
      <c r="A4950" s="84">
        <v>50601</v>
      </c>
      <c r="B4950" s="85">
        <v>2038</v>
      </c>
      <c r="C4950" s="85">
        <v>7</v>
      </c>
      <c r="D4950" s="85" t="s">
        <v>69</v>
      </c>
      <c r="E4950" s="85">
        <v>15</v>
      </c>
      <c r="F4950" s="85">
        <v>4</v>
      </c>
      <c r="G4950" s="85">
        <f>--(F4950&lt;=Estimator!$B$7)</f>
        <v>1</v>
      </c>
      <c r="H4950" s="86">
        <f>SUMIFS('Climate Data'!$G$7:$G$366,'Climate Data'!$A$7:$A$366,Estimator!$B$4,'Climate Data'!$B$7:$B$366,C4950)</f>
        <v>0.24731182795698925</v>
      </c>
      <c r="I4950" s="87">
        <f>SUMIFS('Climate Data'!$H$7:$H$366,'Climate Data'!$A$7:$A$366,Estimator!$B$4,'Climate Data'!$B$7:$B$366,C4950)</f>
        <v>8.3739130434782609</v>
      </c>
      <c r="J4950" s="86">
        <f>SUMIFS('Wind Proxy'!$H$8:$H$19,'Wind Proxy'!$A$8:$A$19,Estimator!$B$4,'Wind Proxy'!$B$8:$B$19,C4950)</f>
        <v>0</v>
      </c>
    </row>
    <row r="4951" spans="1:10" ht="14.4">
      <c r="A4951" s="84">
        <v>50602</v>
      </c>
      <c r="B4951" s="85">
        <v>2038</v>
      </c>
      <c r="C4951" s="85">
        <v>7</v>
      </c>
      <c r="D4951" s="85" t="s">
        <v>69</v>
      </c>
      <c r="E4951" s="85">
        <v>16</v>
      </c>
      <c r="F4951" s="85">
        <v>5</v>
      </c>
      <c r="G4951" s="85">
        <f>--(F4951&lt;=Estimator!$B$7)</f>
        <v>1</v>
      </c>
      <c r="H4951" s="86">
        <f>SUMIFS('Climate Data'!$G$7:$G$366,'Climate Data'!$A$7:$A$366,Estimator!$B$4,'Climate Data'!$B$7:$B$366,C4951)</f>
        <v>0.24731182795698925</v>
      </c>
      <c r="I4951" s="87">
        <f>SUMIFS('Climate Data'!$H$7:$H$366,'Climate Data'!$A$7:$A$366,Estimator!$B$4,'Climate Data'!$B$7:$B$366,C4951)</f>
        <v>8.3739130434782609</v>
      </c>
      <c r="J4951" s="86">
        <f>SUMIFS('Wind Proxy'!$H$8:$H$19,'Wind Proxy'!$A$8:$A$19,Estimator!$B$4,'Wind Proxy'!$B$8:$B$19,C4951)</f>
        <v>0</v>
      </c>
    </row>
    <row r="4952" spans="1:10" ht="14.4">
      <c r="A4952" s="84">
        <v>50603</v>
      </c>
      <c r="B4952" s="85">
        <v>2038</v>
      </c>
      <c r="C4952" s="85">
        <v>7</v>
      </c>
      <c r="D4952" s="85" t="s">
        <v>69</v>
      </c>
      <c r="E4952" s="85">
        <v>17</v>
      </c>
      <c r="F4952" s="85">
        <v>6</v>
      </c>
      <c r="G4952" s="85">
        <f>--(F4952&lt;=Estimator!$B$7)</f>
        <v>0</v>
      </c>
      <c r="H4952" s="86">
        <f>SUMIFS('Climate Data'!$G$7:$G$366,'Climate Data'!$A$7:$A$366,Estimator!$B$4,'Climate Data'!$B$7:$B$366,C4952)</f>
        <v>0.24731182795698925</v>
      </c>
      <c r="I4952" s="87">
        <f>SUMIFS('Climate Data'!$H$7:$H$366,'Climate Data'!$A$7:$A$366,Estimator!$B$4,'Climate Data'!$B$7:$B$366,C4952)</f>
        <v>8.3739130434782609</v>
      </c>
      <c r="J4952" s="86">
        <f>SUMIFS('Wind Proxy'!$H$8:$H$19,'Wind Proxy'!$A$8:$A$19,Estimator!$B$4,'Wind Proxy'!$B$8:$B$19,C4952)</f>
        <v>0</v>
      </c>
    </row>
    <row r="4953" spans="1:10" ht="14.4">
      <c r="A4953" s="84">
        <v>50604</v>
      </c>
      <c r="B4953" s="85">
        <v>2038</v>
      </c>
      <c r="C4953" s="85">
        <v>7</v>
      </c>
      <c r="D4953" s="85" t="s">
        <v>69</v>
      </c>
      <c r="E4953" s="85">
        <v>18</v>
      </c>
      <c r="F4953" s="85">
        <v>7</v>
      </c>
      <c r="G4953" s="85">
        <f>--(F4953&lt;=Estimator!$B$7)</f>
        <v>0</v>
      </c>
      <c r="H4953" s="86">
        <f>SUMIFS('Climate Data'!$G$7:$G$366,'Climate Data'!$A$7:$A$366,Estimator!$B$4,'Climate Data'!$B$7:$B$366,C4953)</f>
        <v>0.24731182795698925</v>
      </c>
      <c r="I4953" s="87">
        <f>SUMIFS('Climate Data'!$H$7:$H$366,'Climate Data'!$A$7:$A$366,Estimator!$B$4,'Climate Data'!$B$7:$B$366,C4953)</f>
        <v>8.3739130434782609</v>
      </c>
      <c r="J4953" s="86">
        <f>SUMIFS('Wind Proxy'!$H$8:$H$19,'Wind Proxy'!$A$8:$A$19,Estimator!$B$4,'Wind Proxy'!$B$8:$B$19,C4953)</f>
        <v>0</v>
      </c>
    </row>
    <row r="4954" spans="1:10" ht="14.4">
      <c r="A4954" s="84">
        <v>50605</v>
      </c>
      <c r="B4954" s="85">
        <v>2038</v>
      </c>
      <c r="C4954" s="85">
        <v>7</v>
      </c>
      <c r="D4954" s="85" t="s">
        <v>69</v>
      </c>
      <c r="E4954" s="85">
        <v>19</v>
      </c>
      <c r="F4954" s="85">
        <v>1</v>
      </c>
      <c r="G4954" s="85">
        <f>--(F4954&lt;=Estimator!$B$7)</f>
        <v>1</v>
      </c>
      <c r="H4954" s="86">
        <f>SUMIFS('Climate Data'!$G$7:$G$366,'Climate Data'!$A$7:$A$366,Estimator!$B$4,'Climate Data'!$B$7:$B$366,C4954)</f>
        <v>0.24731182795698925</v>
      </c>
      <c r="I4954" s="87">
        <f>SUMIFS('Climate Data'!$H$7:$H$366,'Climate Data'!$A$7:$A$366,Estimator!$B$4,'Climate Data'!$B$7:$B$366,C4954)</f>
        <v>8.3739130434782609</v>
      </c>
      <c r="J4954" s="86">
        <f>SUMIFS('Wind Proxy'!$H$8:$H$19,'Wind Proxy'!$A$8:$A$19,Estimator!$B$4,'Wind Proxy'!$B$8:$B$19,C4954)</f>
        <v>0</v>
      </c>
    </row>
    <row r="4955" spans="1:10" ht="14.4">
      <c r="A4955" s="84">
        <v>50606</v>
      </c>
      <c r="B4955" s="85">
        <v>2038</v>
      </c>
      <c r="C4955" s="85">
        <v>7</v>
      </c>
      <c r="D4955" s="85" t="s">
        <v>69</v>
      </c>
      <c r="E4955" s="85">
        <v>20</v>
      </c>
      <c r="F4955" s="85">
        <v>2</v>
      </c>
      <c r="G4955" s="85">
        <f>--(F4955&lt;=Estimator!$B$7)</f>
        <v>1</v>
      </c>
      <c r="H4955" s="86">
        <f>SUMIFS('Climate Data'!$G$7:$G$366,'Climate Data'!$A$7:$A$366,Estimator!$B$4,'Climate Data'!$B$7:$B$366,C4955)</f>
        <v>0.24731182795698925</v>
      </c>
      <c r="I4955" s="87">
        <f>SUMIFS('Climate Data'!$H$7:$H$366,'Climate Data'!$A$7:$A$366,Estimator!$B$4,'Climate Data'!$B$7:$B$366,C4955)</f>
        <v>8.3739130434782609</v>
      </c>
      <c r="J4955" s="86">
        <f>SUMIFS('Wind Proxy'!$H$8:$H$19,'Wind Proxy'!$A$8:$A$19,Estimator!$B$4,'Wind Proxy'!$B$8:$B$19,C4955)</f>
        <v>0</v>
      </c>
    </row>
    <row r="4956" spans="1:10" ht="14.4">
      <c r="A4956" s="84">
        <v>50607</v>
      </c>
      <c r="B4956" s="85">
        <v>2038</v>
      </c>
      <c r="C4956" s="85">
        <v>7</v>
      </c>
      <c r="D4956" s="85" t="s">
        <v>69</v>
      </c>
      <c r="E4956" s="85">
        <v>21</v>
      </c>
      <c r="F4956" s="85">
        <v>3</v>
      </c>
      <c r="G4956" s="85">
        <f>--(F4956&lt;=Estimator!$B$7)</f>
        <v>1</v>
      </c>
      <c r="H4956" s="86">
        <f>SUMIFS('Climate Data'!$G$7:$G$366,'Climate Data'!$A$7:$A$366,Estimator!$B$4,'Climate Data'!$B$7:$B$366,C4956)</f>
        <v>0.24731182795698925</v>
      </c>
      <c r="I4956" s="87">
        <f>SUMIFS('Climate Data'!$H$7:$H$366,'Climate Data'!$A$7:$A$366,Estimator!$B$4,'Climate Data'!$B$7:$B$366,C4956)</f>
        <v>8.3739130434782609</v>
      </c>
      <c r="J4956" s="86">
        <f>SUMIFS('Wind Proxy'!$H$8:$H$19,'Wind Proxy'!$A$8:$A$19,Estimator!$B$4,'Wind Proxy'!$B$8:$B$19,C4956)</f>
        <v>0</v>
      </c>
    </row>
    <row r="4957" spans="1:10" ht="14.4">
      <c r="A4957" s="84">
        <v>50608</v>
      </c>
      <c r="B4957" s="85">
        <v>2038</v>
      </c>
      <c r="C4957" s="85">
        <v>7</v>
      </c>
      <c r="D4957" s="85" t="s">
        <v>69</v>
      </c>
      <c r="E4957" s="85">
        <v>22</v>
      </c>
      <c r="F4957" s="85">
        <v>4</v>
      </c>
      <c r="G4957" s="85">
        <f>--(F4957&lt;=Estimator!$B$7)</f>
        <v>1</v>
      </c>
      <c r="H4957" s="86">
        <f>SUMIFS('Climate Data'!$G$7:$G$366,'Climate Data'!$A$7:$A$366,Estimator!$B$4,'Climate Data'!$B$7:$B$366,C4957)</f>
        <v>0.24731182795698925</v>
      </c>
      <c r="I4957" s="87">
        <f>SUMIFS('Climate Data'!$H$7:$H$366,'Climate Data'!$A$7:$A$366,Estimator!$B$4,'Climate Data'!$B$7:$B$366,C4957)</f>
        <v>8.3739130434782609</v>
      </c>
      <c r="J4957" s="86">
        <f>SUMIFS('Wind Proxy'!$H$8:$H$19,'Wind Proxy'!$A$8:$A$19,Estimator!$B$4,'Wind Proxy'!$B$8:$B$19,C4957)</f>
        <v>0</v>
      </c>
    </row>
    <row r="4958" spans="1:10" ht="14.4">
      <c r="A4958" s="84">
        <v>50609</v>
      </c>
      <c r="B4958" s="85">
        <v>2038</v>
      </c>
      <c r="C4958" s="85">
        <v>7</v>
      </c>
      <c r="D4958" s="85" t="s">
        <v>69</v>
      </c>
      <c r="E4958" s="85">
        <v>23</v>
      </c>
      <c r="F4958" s="85">
        <v>5</v>
      </c>
      <c r="G4958" s="85">
        <f>--(F4958&lt;=Estimator!$B$7)</f>
        <v>1</v>
      </c>
      <c r="H4958" s="86">
        <f>SUMIFS('Climate Data'!$G$7:$G$366,'Climate Data'!$A$7:$A$366,Estimator!$B$4,'Climate Data'!$B$7:$B$366,C4958)</f>
        <v>0.24731182795698925</v>
      </c>
      <c r="I4958" s="87">
        <f>SUMIFS('Climate Data'!$H$7:$H$366,'Climate Data'!$A$7:$A$366,Estimator!$B$4,'Climate Data'!$B$7:$B$366,C4958)</f>
        <v>8.3739130434782609</v>
      </c>
      <c r="J4958" s="86">
        <f>SUMIFS('Wind Proxy'!$H$8:$H$19,'Wind Proxy'!$A$8:$A$19,Estimator!$B$4,'Wind Proxy'!$B$8:$B$19,C4958)</f>
        <v>0</v>
      </c>
    </row>
    <row r="4959" spans="1:10" ht="14.4">
      <c r="A4959" s="84">
        <v>50610</v>
      </c>
      <c r="B4959" s="85">
        <v>2038</v>
      </c>
      <c r="C4959" s="85">
        <v>7</v>
      </c>
      <c r="D4959" s="85" t="s">
        <v>69</v>
      </c>
      <c r="E4959" s="85">
        <v>24</v>
      </c>
      <c r="F4959" s="85">
        <v>6</v>
      </c>
      <c r="G4959" s="85">
        <f>--(F4959&lt;=Estimator!$B$7)</f>
        <v>0</v>
      </c>
      <c r="H4959" s="86">
        <f>SUMIFS('Climate Data'!$G$7:$G$366,'Climate Data'!$A$7:$A$366,Estimator!$B$4,'Climate Data'!$B$7:$B$366,C4959)</f>
        <v>0.24731182795698925</v>
      </c>
      <c r="I4959" s="87">
        <f>SUMIFS('Climate Data'!$H$7:$H$366,'Climate Data'!$A$7:$A$366,Estimator!$B$4,'Climate Data'!$B$7:$B$366,C4959)</f>
        <v>8.3739130434782609</v>
      </c>
      <c r="J4959" s="86">
        <f>SUMIFS('Wind Proxy'!$H$8:$H$19,'Wind Proxy'!$A$8:$A$19,Estimator!$B$4,'Wind Proxy'!$B$8:$B$19,C4959)</f>
        <v>0</v>
      </c>
    </row>
    <row r="4960" spans="1:10" ht="14.4">
      <c r="A4960" s="84">
        <v>50611</v>
      </c>
      <c r="B4960" s="85">
        <v>2038</v>
      </c>
      <c r="C4960" s="85">
        <v>7</v>
      </c>
      <c r="D4960" s="85" t="s">
        <v>69</v>
      </c>
      <c r="E4960" s="85">
        <v>25</v>
      </c>
      <c r="F4960" s="85">
        <v>7</v>
      </c>
      <c r="G4960" s="85">
        <f>--(F4960&lt;=Estimator!$B$7)</f>
        <v>0</v>
      </c>
      <c r="H4960" s="86">
        <f>SUMIFS('Climate Data'!$G$7:$G$366,'Climate Data'!$A$7:$A$366,Estimator!$B$4,'Climate Data'!$B$7:$B$366,C4960)</f>
        <v>0.24731182795698925</v>
      </c>
      <c r="I4960" s="87">
        <f>SUMIFS('Climate Data'!$H$7:$H$366,'Climate Data'!$A$7:$A$366,Estimator!$B$4,'Climate Data'!$B$7:$B$366,C4960)</f>
        <v>8.3739130434782609</v>
      </c>
      <c r="J4960" s="86">
        <f>SUMIFS('Wind Proxy'!$H$8:$H$19,'Wind Proxy'!$A$8:$A$19,Estimator!$B$4,'Wind Proxy'!$B$8:$B$19,C4960)</f>
        <v>0</v>
      </c>
    </row>
    <row r="4961" spans="1:10" ht="14.4">
      <c r="A4961" s="84">
        <v>50612</v>
      </c>
      <c r="B4961" s="85">
        <v>2038</v>
      </c>
      <c r="C4961" s="85">
        <v>7</v>
      </c>
      <c r="D4961" s="85" t="s">
        <v>69</v>
      </c>
      <c r="E4961" s="85">
        <v>26</v>
      </c>
      <c r="F4961" s="85">
        <v>1</v>
      </c>
      <c r="G4961" s="85">
        <f>--(F4961&lt;=Estimator!$B$7)</f>
        <v>1</v>
      </c>
      <c r="H4961" s="86">
        <f>SUMIFS('Climate Data'!$G$7:$G$366,'Climate Data'!$A$7:$A$366,Estimator!$B$4,'Climate Data'!$B$7:$B$366,C4961)</f>
        <v>0.24731182795698925</v>
      </c>
      <c r="I4961" s="87">
        <f>SUMIFS('Climate Data'!$H$7:$H$366,'Climate Data'!$A$7:$A$366,Estimator!$B$4,'Climate Data'!$B$7:$B$366,C4961)</f>
        <v>8.3739130434782609</v>
      </c>
      <c r="J4961" s="86">
        <f>SUMIFS('Wind Proxy'!$H$8:$H$19,'Wind Proxy'!$A$8:$A$19,Estimator!$B$4,'Wind Proxy'!$B$8:$B$19,C4961)</f>
        <v>0</v>
      </c>
    </row>
    <row r="4962" spans="1:10" ht="14.4">
      <c r="A4962" s="84">
        <v>50613</v>
      </c>
      <c r="B4962" s="85">
        <v>2038</v>
      </c>
      <c r="C4962" s="85">
        <v>7</v>
      </c>
      <c r="D4962" s="85" t="s">
        <v>69</v>
      </c>
      <c r="E4962" s="85">
        <v>27</v>
      </c>
      <c r="F4962" s="85">
        <v>2</v>
      </c>
      <c r="G4962" s="85">
        <f>--(F4962&lt;=Estimator!$B$7)</f>
        <v>1</v>
      </c>
      <c r="H4962" s="86">
        <f>SUMIFS('Climate Data'!$G$7:$G$366,'Climate Data'!$A$7:$A$366,Estimator!$B$4,'Climate Data'!$B$7:$B$366,C4962)</f>
        <v>0.24731182795698925</v>
      </c>
      <c r="I4962" s="87">
        <f>SUMIFS('Climate Data'!$H$7:$H$366,'Climate Data'!$A$7:$A$366,Estimator!$B$4,'Climate Data'!$B$7:$B$366,C4962)</f>
        <v>8.3739130434782609</v>
      </c>
      <c r="J4962" s="86">
        <f>SUMIFS('Wind Proxy'!$H$8:$H$19,'Wind Proxy'!$A$8:$A$19,Estimator!$B$4,'Wind Proxy'!$B$8:$B$19,C4962)</f>
        <v>0</v>
      </c>
    </row>
    <row r="4963" spans="1:10" ht="14.4">
      <c r="A4963" s="84">
        <v>50614</v>
      </c>
      <c r="B4963" s="85">
        <v>2038</v>
      </c>
      <c r="C4963" s="85">
        <v>7</v>
      </c>
      <c r="D4963" s="85" t="s">
        <v>69</v>
      </c>
      <c r="E4963" s="85">
        <v>28</v>
      </c>
      <c r="F4963" s="85">
        <v>3</v>
      </c>
      <c r="G4963" s="85">
        <f>--(F4963&lt;=Estimator!$B$7)</f>
        <v>1</v>
      </c>
      <c r="H4963" s="86">
        <f>SUMIFS('Climate Data'!$G$7:$G$366,'Climate Data'!$A$7:$A$366,Estimator!$B$4,'Climate Data'!$B$7:$B$366,C4963)</f>
        <v>0.24731182795698925</v>
      </c>
      <c r="I4963" s="87">
        <f>SUMIFS('Climate Data'!$H$7:$H$366,'Climate Data'!$A$7:$A$366,Estimator!$B$4,'Climate Data'!$B$7:$B$366,C4963)</f>
        <v>8.3739130434782609</v>
      </c>
      <c r="J4963" s="86">
        <f>SUMIFS('Wind Proxy'!$H$8:$H$19,'Wind Proxy'!$A$8:$A$19,Estimator!$B$4,'Wind Proxy'!$B$8:$B$19,C4963)</f>
        <v>0</v>
      </c>
    </row>
    <row r="4964" spans="1:10" ht="14.4">
      <c r="A4964" s="84">
        <v>50615</v>
      </c>
      <c r="B4964" s="85">
        <v>2038</v>
      </c>
      <c r="C4964" s="85">
        <v>7</v>
      </c>
      <c r="D4964" s="85" t="s">
        <v>69</v>
      </c>
      <c r="E4964" s="85">
        <v>29</v>
      </c>
      <c r="F4964" s="85">
        <v>4</v>
      </c>
      <c r="G4964" s="85">
        <f>--(F4964&lt;=Estimator!$B$7)</f>
        <v>1</v>
      </c>
      <c r="H4964" s="86">
        <f>SUMIFS('Climate Data'!$G$7:$G$366,'Climate Data'!$A$7:$A$366,Estimator!$B$4,'Climate Data'!$B$7:$B$366,C4964)</f>
        <v>0.24731182795698925</v>
      </c>
      <c r="I4964" s="87">
        <f>SUMIFS('Climate Data'!$H$7:$H$366,'Climate Data'!$A$7:$A$366,Estimator!$B$4,'Climate Data'!$B$7:$B$366,C4964)</f>
        <v>8.3739130434782609</v>
      </c>
      <c r="J4964" s="86">
        <f>SUMIFS('Wind Proxy'!$H$8:$H$19,'Wind Proxy'!$A$8:$A$19,Estimator!$B$4,'Wind Proxy'!$B$8:$B$19,C4964)</f>
        <v>0</v>
      </c>
    </row>
    <row r="4965" spans="1:10" ht="14.4">
      <c r="A4965" s="84">
        <v>50616</v>
      </c>
      <c r="B4965" s="85">
        <v>2038</v>
      </c>
      <c r="C4965" s="85">
        <v>7</v>
      </c>
      <c r="D4965" s="85" t="s">
        <v>69</v>
      </c>
      <c r="E4965" s="85">
        <v>30</v>
      </c>
      <c r="F4965" s="85">
        <v>5</v>
      </c>
      <c r="G4965" s="85">
        <f>--(F4965&lt;=Estimator!$B$7)</f>
        <v>1</v>
      </c>
      <c r="H4965" s="86">
        <f>SUMIFS('Climate Data'!$G$7:$G$366,'Climate Data'!$A$7:$A$366,Estimator!$B$4,'Climate Data'!$B$7:$B$366,C4965)</f>
        <v>0.24731182795698925</v>
      </c>
      <c r="I4965" s="87">
        <f>SUMIFS('Climate Data'!$H$7:$H$366,'Climate Data'!$A$7:$A$366,Estimator!$B$4,'Climate Data'!$B$7:$B$366,C4965)</f>
        <v>8.3739130434782609</v>
      </c>
      <c r="J4965" s="86">
        <f>SUMIFS('Wind Proxy'!$H$8:$H$19,'Wind Proxy'!$A$8:$A$19,Estimator!$B$4,'Wind Proxy'!$B$8:$B$19,C4965)</f>
        <v>0</v>
      </c>
    </row>
    <row r="4966" spans="1:10" ht="14.4">
      <c r="A4966" s="84">
        <v>50617</v>
      </c>
      <c r="B4966" s="85">
        <v>2038</v>
      </c>
      <c r="C4966" s="85">
        <v>7</v>
      </c>
      <c r="D4966" s="85" t="s">
        <v>69</v>
      </c>
      <c r="E4966" s="85">
        <v>31</v>
      </c>
      <c r="F4966" s="85">
        <v>6</v>
      </c>
      <c r="G4966" s="85">
        <f>--(F4966&lt;=Estimator!$B$7)</f>
        <v>0</v>
      </c>
      <c r="H4966" s="86">
        <f>SUMIFS('Climate Data'!$G$7:$G$366,'Climate Data'!$A$7:$A$366,Estimator!$B$4,'Climate Data'!$B$7:$B$366,C4966)</f>
        <v>0.24731182795698925</v>
      </c>
      <c r="I4966" s="87">
        <f>SUMIFS('Climate Data'!$H$7:$H$366,'Climate Data'!$A$7:$A$366,Estimator!$B$4,'Climate Data'!$B$7:$B$366,C4966)</f>
        <v>8.3739130434782609</v>
      </c>
      <c r="J4966" s="86">
        <f>SUMIFS('Wind Proxy'!$H$8:$H$19,'Wind Proxy'!$A$8:$A$19,Estimator!$B$4,'Wind Proxy'!$B$8:$B$19,C4966)</f>
        <v>0</v>
      </c>
    </row>
    <row r="4967" spans="1:10" ht="14.4">
      <c r="A4967" s="84">
        <v>50618</v>
      </c>
      <c r="B4967" s="85">
        <v>2038</v>
      </c>
      <c r="C4967" s="85">
        <v>8</v>
      </c>
      <c r="D4967" s="85" t="s">
        <v>71</v>
      </c>
      <c r="E4967" s="85">
        <v>1</v>
      </c>
      <c r="F4967" s="85">
        <v>7</v>
      </c>
      <c r="G4967" s="85">
        <f>--(F4967&lt;=Estimator!$B$7)</f>
        <v>0</v>
      </c>
      <c r="H4967" s="86">
        <f>SUMIFS('Climate Data'!$G$7:$G$366,'Climate Data'!$A$7:$A$366,Estimator!$B$4,'Climate Data'!$B$7:$B$366,C4967)</f>
        <v>0.23548387096774193</v>
      </c>
      <c r="I4967" s="87">
        <f>SUMIFS('Climate Data'!$H$7:$H$366,'Climate Data'!$A$7:$A$366,Estimator!$B$4,'Climate Data'!$B$7:$B$366,C4967)</f>
        <v>7.9589041095890414</v>
      </c>
      <c r="J4967" s="86">
        <f>SUMIFS('Wind Proxy'!$H$8:$H$19,'Wind Proxy'!$A$8:$A$19,Estimator!$B$4,'Wind Proxy'!$B$8:$B$19,C4967)</f>
        <v>0</v>
      </c>
    </row>
    <row r="4968" spans="1:10" ht="14.4">
      <c r="A4968" s="84">
        <v>50619</v>
      </c>
      <c r="B4968" s="85">
        <v>2038</v>
      </c>
      <c r="C4968" s="85">
        <v>8</v>
      </c>
      <c r="D4968" s="85" t="s">
        <v>71</v>
      </c>
      <c r="E4968" s="85">
        <v>2</v>
      </c>
      <c r="F4968" s="85">
        <v>1</v>
      </c>
      <c r="G4968" s="85">
        <f>--(F4968&lt;=Estimator!$B$7)</f>
        <v>1</v>
      </c>
      <c r="H4968" s="86">
        <f>SUMIFS('Climate Data'!$G$7:$G$366,'Climate Data'!$A$7:$A$366,Estimator!$B$4,'Climate Data'!$B$7:$B$366,C4968)</f>
        <v>0.23548387096774193</v>
      </c>
      <c r="I4968" s="87">
        <f>SUMIFS('Climate Data'!$H$7:$H$366,'Climate Data'!$A$7:$A$366,Estimator!$B$4,'Climate Data'!$B$7:$B$366,C4968)</f>
        <v>7.9589041095890414</v>
      </c>
      <c r="J4968" s="86">
        <f>SUMIFS('Wind Proxy'!$H$8:$H$19,'Wind Proxy'!$A$8:$A$19,Estimator!$B$4,'Wind Proxy'!$B$8:$B$19,C4968)</f>
        <v>0</v>
      </c>
    </row>
    <row r="4969" spans="1:10" ht="14.4">
      <c r="A4969" s="84">
        <v>50620</v>
      </c>
      <c r="B4969" s="85">
        <v>2038</v>
      </c>
      <c r="C4969" s="85">
        <v>8</v>
      </c>
      <c r="D4969" s="85" t="s">
        <v>71</v>
      </c>
      <c r="E4969" s="85">
        <v>3</v>
      </c>
      <c r="F4969" s="85">
        <v>2</v>
      </c>
      <c r="G4969" s="85">
        <f>--(F4969&lt;=Estimator!$B$7)</f>
        <v>1</v>
      </c>
      <c r="H4969" s="86">
        <f>SUMIFS('Climate Data'!$G$7:$G$366,'Climate Data'!$A$7:$A$366,Estimator!$B$4,'Climate Data'!$B$7:$B$366,C4969)</f>
        <v>0.23548387096774193</v>
      </c>
      <c r="I4969" s="87">
        <f>SUMIFS('Climate Data'!$H$7:$H$366,'Climate Data'!$A$7:$A$366,Estimator!$B$4,'Climate Data'!$B$7:$B$366,C4969)</f>
        <v>7.9589041095890414</v>
      </c>
      <c r="J4969" s="86">
        <f>SUMIFS('Wind Proxy'!$H$8:$H$19,'Wind Proxy'!$A$8:$A$19,Estimator!$B$4,'Wind Proxy'!$B$8:$B$19,C4969)</f>
        <v>0</v>
      </c>
    </row>
    <row r="4970" spans="1:10" ht="14.4">
      <c r="A4970" s="84">
        <v>50621</v>
      </c>
      <c r="B4970" s="85">
        <v>2038</v>
      </c>
      <c r="C4970" s="85">
        <v>8</v>
      </c>
      <c r="D4970" s="85" t="s">
        <v>71</v>
      </c>
      <c r="E4970" s="85">
        <v>4</v>
      </c>
      <c r="F4970" s="85">
        <v>3</v>
      </c>
      <c r="G4970" s="85">
        <f>--(F4970&lt;=Estimator!$B$7)</f>
        <v>1</v>
      </c>
      <c r="H4970" s="86">
        <f>SUMIFS('Climate Data'!$G$7:$G$366,'Climate Data'!$A$7:$A$366,Estimator!$B$4,'Climate Data'!$B$7:$B$366,C4970)</f>
        <v>0.23548387096774193</v>
      </c>
      <c r="I4970" s="87">
        <f>SUMIFS('Climate Data'!$H$7:$H$366,'Climate Data'!$A$7:$A$366,Estimator!$B$4,'Climate Data'!$B$7:$B$366,C4970)</f>
        <v>7.9589041095890414</v>
      </c>
      <c r="J4970" s="86">
        <f>SUMIFS('Wind Proxy'!$H$8:$H$19,'Wind Proxy'!$A$8:$A$19,Estimator!$B$4,'Wind Proxy'!$B$8:$B$19,C4970)</f>
        <v>0</v>
      </c>
    </row>
    <row r="4971" spans="1:10" ht="14.4">
      <c r="A4971" s="84">
        <v>50622</v>
      </c>
      <c r="B4971" s="85">
        <v>2038</v>
      </c>
      <c r="C4971" s="85">
        <v>8</v>
      </c>
      <c r="D4971" s="85" t="s">
        <v>71</v>
      </c>
      <c r="E4971" s="85">
        <v>5</v>
      </c>
      <c r="F4971" s="85">
        <v>4</v>
      </c>
      <c r="G4971" s="85">
        <f>--(F4971&lt;=Estimator!$B$7)</f>
        <v>1</v>
      </c>
      <c r="H4971" s="86">
        <f>SUMIFS('Climate Data'!$G$7:$G$366,'Climate Data'!$A$7:$A$366,Estimator!$B$4,'Climate Data'!$B$7:$B$366,C4971)</f>
        <v>0.23548387096774193</v>
      </c>
      <c r="I4971" s="87">
        <f>SUMIFS('Climate Data'!$H$7:$H$366,'Climate Data'!$A$7:$A$366,Estimator!$B$4,'Climate Data'!$B$7:$B$366,C4971)</f>
        <v>7.9589041095890414</v>
      </c>
      <c r="J4971" s="86">
        <f>SUMIFS('Wind Proxy'!$H$8:$H$19,'Wind Proxy'!$A$8:$A$19,Estimator!$B$4,'Wind Proxy'!$B$8:$B$19,C4971)</f>
        <v>0</v>
      </c>
    </row>
    <row r="4972" spans="1:10" ht="14.4">
      <c r="A4972" s="84">
        <v>50623</v>
      </c>
      <c r="B4972" s="85">
        <v>2038</v>
      </c>
      <c r="C4972" s="85">
        <v>8</v>
      </c>
      <c r="D4972" s="85" t="s">
        <v>71</v>
      </c>
      <c r="E4972" s="85">
        <v>6</v>
      </c>
      <c r="F4972" s="85">
        <v>5</v>
      </c>
      <c r="G4972" s="85">
        <f>--(F4972&lt;=Estimator!$B$7)</f>
        <v>1</v>
      </c>
      <c r="H4972" s="86">
        <f>SUMIFS('Climate Data'!$G$7:$G$366,'Climate Data'!$A$7:$A$366,Estimator!$B$4,'Climate Data'!$B$7:$B$366,C4972)</f>
        <v>0.23548387096774193</v>
      </c>
      <c r="I4972" s="87">
        <f>SUMIFS('Climate Data'!$H$7:$H$366,'Climate Data'!$A$7:$A$366,Estimator!$B$4,'Climate Data'!$B$7:$B$366,C4972)</f>
        <v>7.9589041095890414</v>
      </c>
      <c r="J4972" s="86">
        <f>SUMIFS('Wind Proxy'!$H$8:$H$19,'Wind Proxy'!$A$8:$A$19,Estimator!$B$4,'Wind Proxy'!$B$8:$B$19,C4972)</f>
        <v>0</v>
      </c>
    </row>
    <row r="4973" spans="1:10" ht="14.4">
      <c r="A4973" s="84">
        <v>50624</v>
      </c>
      <c r="B4973" s="85">
        <v>2038</v>
      </c>
      <c r="C4973" s="85">
        <v>8</v>
      </c>
      <c r="D4973" s="85" t="s">
        <v>71</v>
      </c>
      <c r="E4973" s="85">
        <v>7</v>
      </c>
      <c r="F4973" s="85">
        <v>6</v>
      </c>
      <c r="G4973" s="85">
        <f>--(F4973&lt;=Estimator!$B$7)</f>
        <v>0</v>
      </c>
      <c r="H4973" s="86">
        <f>SUMIFS('Climate Data'!$G$7:$G$366,'Climate Data'!$A$7:$A$366,Estimator!$B$4,'Climate Data'!$B$7:$B$366,C4973)</f>
        <v>0.23548387096774193</v>
      </c>
      <c r="I4973" s="87">
        <f>SUMIFS('Climate Data'!$H$7:$H$366,'Climate Data'!$A$7:$A$366,Estimator!$B$4,'Climate Data'!$B$7:$B$366,C4973)</f>
        <v>7.9589041095890414</v>
      </c>
      <c r="J4973" s="86">
        <f>SUMIFS('Wind Proxy'!$H$8:$H$19,'Wind Proxy'!$A$8:$A$19,Estimator!$B$4,'Wind Proxy'!$B$8:$B$19,C4973)</f>
        <v>0</v>
      </c>
    </row>
    <row r="4974" spans="1:10" ht="14.4">
      <c r="A4974" s="84">
        <v>50625</v>
      </c>
      <c r="B4974" s="85">
        <v>2038</v>
      </c>
      <c r="C4974" s="85">
        <v>8</v>
      </c>
      <c r="D4974" s="85" t="s">
        <v>71</v>
      </c>
      <c r="E4974" s="85">
        <v>8</v>
      </c>
      <c r="F4974" s="85">
        <v>7</v>
      </c>
      <c r="G4974" s="85">
        <f>--(F4974&lt;=Estimator!$B$7)</f>
        <v>0</v>
      </c>
      <c r="H4974" s="86">
        <f>SUMIFS('Climate Data'!$G$7:$G$366,'Climate Data'!$A$7:$A$366,Estimator!$B$4,'Climate Data'!$B$7:$B$366,C4974)</f>
        <v>0.23548387096774193</v>
      </c>
      <c r="I4974" s="87">
        <f>SUMIFS('Climate Data'!$H$7:$H$366,'Climate Data'!$A$7:$A$366,Estimator!$B$4,'Climate Data'!$B$7:$B$366,C4974)</f>
        <v>7.9589041095890414</v>
      </c>
      <c r="J4974" s="86">
        <f>SUMIFS('Wind Proxy'!$H$8:$H$19,'Wind Proxy'!$A$8:$A$19,Estimator!$B$4,'Wind Proxy'!$B$8:$B$19,C4974)</f>
        <v>0</v>
      </c>
    </row>
    <row r="4975" spans="1:10" ht="14.4">
      <c r="A4975" s="84">
        <v>50626</v>
      </c>
      <c r="B4975" s="85">
        <v>2038</v>
      </c>
      <c r="C4975" s="85">
        <v>8</v>
      </c>
      <c r="D4975" s="85" t="s">
        <v>71</v>
      </c>
      <c r="E4975" s="85">
        <v>9</v>
      </c>
      <c r="F4975" s="85">
        <v>1</v>
      </c>
      <c r="G4975" s="85">
        <f>--(F4975&lt;=Estimator!$B$7)</f>
        <v>1</v>
      </c>
      <c r="H4975" s="86">
        <f>SUMIFS('Climate Data'!$G$7:$G$366,'Climate Data'!$A$7:$A$366,Estimator!$B$4,'Climate Data'!$B$7:$B$366,C4975)</f>
        <v>0.23548387096774193</v>
      </c>
      <c r="I4975" s="87">
        <f>SUMIFS('Climate Data'!$H$7:$H$366,'Climate Data'!$A$7:$A$366,Estimator!$B$4,'Climate Data'!$B$7:$B$366,C4975)</f>
        <v>7.9589041095890414</v>
      </c>
      <c r="J4975" s="86">
        <f>SUMIFS('Wind Proxy'!$H$8:$H$19,'Wind Proxy'!$A$8:$A$19,Estimator!$B$4,'Wind Proxy'!$B$8:$B$19,C4975)</f>
        <v>0</v>
      </c>
    </row>
    <row r="4976" spans="1:10" ht="14.4">
      <c r="A4976" s="84">
        <v>50627</v>
      </c>
      <c r="B4976" s="85">
        <v>2038</v>
      </c>
      <c r="C4976" s="85">
        <v>8</v>
      </c>
      <c r="D4976" s="85" t="s">
        <v>71</v>
      </c>
      <c r="E4976" s="85">
        <v>10</v>
      </c>
      <c r="F4976" s="85">
        <v>2</v>
      </c>
      <c r="G4976" s="85">
        <f>--(F4976&lt;=Estimator!$B$7)</f>
        <v>1</v>
      </c>
      <c r="H4976" s="86">
        <f>SUMIFS('Climate Data'!$G$7:$G$366,'Climate Data'!$A$7:$A$366,Estimator!$B$4,'Climate Data'!$B$7:$B$366,C4976)</f>
        <v>0.23548387096774193</v>
      </c>
      <c r="I4976" s="87">
        <f>SUMIFS('Climate Data'!$H$7:$H$366,'Climate Data'!$A$7:$A$366,Estimator!$B$4,'Climate Data'!$B$7:$B$366,C4976)</f>
        <v>7.9589041095890414</v>
      </c>
      <c r="J4976" s="86">
        <f>SUMIFS('Wind Proxy'!$H$8:$H$19,'Wind Proxy'!$A$8:$A$19,Estimator!$B$4,'Wind Proxy'!$B$8:$B$19,C4976)</f>
        <v>0</v>
      </c>
    </row>
    <row r="4977" spans="1:10" ht="14.4">
      <c r="A4977" s="84">
        <v>50628</v>
      </c>
      <c r="B4977" s="85">
        <v>2038</v>
      </c>
      <c r="C4977" s="85">
        <v>8</v>
      </c>
      <c r="D4977" s="85" t="s">
        <v>71</v>
      </c>
      <c r="E4977" s="85">
        <v>11</v>
      </c>
      <c r="F4977" s="85">
        <v>3</v>
      </c>
      <c r="G4977" s="85">
        <f>--(F4977&lt;=Estimator!$B$7)</f>
        <v>1</v>
      </c>
      <c r="H4977" s="86">
        <f>SUMIFS('Climate Data'!$G$7:$G$366,'Climate Data'!$A$7:$A$366,Estimator!$B$4,'Climate Data'!$B$7:$B$366,C4977)</f>
        <v>0.23548387096774193</v>
      </c>
      <c r="I4977" s="87">
        <f>SUMIFS('Climate Data'!$H$7:$H$366,'Climate Data'!$A$7:$A$366,Estimator!$B$4,'Climate Data'!$B$7:$B$366,C4977)</f>
        <v>7.9589041095890414</v>
      </c>
      <c r="J4977" s="86">
        <f>SUMIFS('Wind Proxy'!$H$8:$H$19,'Wind Proxy'!$A$8:$A$19,Estimator!$B$4,'Wind Proxy'!$B$8:$B$19,C4977)</f>
        <v>0</v>
      </c>
    </row>
    <row r="4978" spans="1:10" ht="14.4">
      <c r="A4978" s="84">
        <v>50629</v>
      </c>
      <c r="B4978" s="85">
        <v>2038</v>
      </c>
      <c r="C4978" s="85">
        <v>8</v>
      </c>
      <c r="D4978" s="85" t="s">
        <v>71</v>
      </c>
      <c r="E4978" s="85">
        <v>12</v>
      </c>
      <c r="F4978" s="85">
        <v>4</v>
      </c>
      <c r="G4978" s="85">
        <f>--(F4978&lt;=Estimator!$B$7)</f>
        <v>1</v>
      </c>
      <c r="H4978" s="86">
        <f>SUMIFS('Climate Data'!$G$7:$G$366,'Climate Data'!$A$7:$A$366,Estimator!$B$4,'Climate Data'!$B$7:$B$366,C4978)</f>
        <v>0.23548387096774193</v>
      </c>
      <c r="I4978" s="87">
        <f>SUMIFS('Climate Data'!$H$7:$H$366,'Climate Data'!$A$7:$A$366,Estimator!$B$4,'Climate Data'!$B$7:$B$366,C4978)</f>
        <v>7.9589041095890414</v>
      </c>
      <c r="J4978" s="86">
        <f>SUMIFS('Wind Proxy'!$H$8:$H$19,'Wind Proxy'!$A$8:$A$19,Estimator!$B$4,'Wind Proxy'!$B$8:$B$19,C4978)</f>
        <v>0</v>
      </c>
    </row>
    <row r="4979" spans="1:10" ht="14.4">
      <c r="A4979" s="84">
        <v>50630</v>
      </c>
      <c r="B4979" s="85">
        <v>2038</v>
      </c>
      <c r="C4979" s="85">
        <v>8</v>
      </c>
      <c r="D4979" s="85" t="s">
        <v>71</v>
      </c>
      <c r="E4979" s="85">
        <v>13</v>
      </c>
      <c r="F4979" s="85">
        <v>5</v>
      </c>
      <c r="G4979" s="85">
        <f>--(F4979&lt;=Estimator!$B$7)</f>
        <v>1</v>
      </c>
      <c r="H4979" s="86">
        <f>SUMIFS('Climate Data'!$G$7:$G$366,'Climate Data'!$A$7:$A$366,Estimator!$B$4,'Climate Data'!$B$7:$B$366,C4979)</f>
        <v>0.23548387096774193</v>
      </c>
      <c r="I4979" s="87">
        <f>SUMIFS('Climate Data'!$H$7:$H$366,'Climate Data'!$A$7:$A$366,Estimator!$B$4,'Climate Data'!$B$7:$B$366,C4979)</f>
        <v>7.9589041095890414</v>
      </c>
      <c r="J4979" s="86">
        <f>SUMIFS('Wind Proxy'!$H$8:$H$19,'Wind Proxy'!$A$8:$A$19,Estimator!$B$4,'Wind Proxy'!$B$8:$B$19,C4979)</f>
        <v>0</v>
      </c>
    </row>
    <row r="4980" spans="1:10" ht="14.4">
      <c r="A4980" s="84">
        <v>50631</v>
      </c>
      <c r="B4980" s="85">
        <v>2038</v>
      </c>
      <c r="C4980" s="85">
        <v>8</v>
      </c>
      <c r="D4980" s="85" t="s">
        <v>71</v>
      </c>
      <c r="E4980" s="85">
        <v>14</v>
      </c>
      <c r="F4980" s="85">
        <v>6</v>
      </c>
      <c r="G4980" s="85">
        <f>--(F4980&lt;=Estimator!$B$7)</f>
        <v>0</v>
      </c>
      <c r="H4980" s="86">
        <f>SUMIFS('Climate Data'!$G$7:$G$366,'Climate Data'!$A$7:$A$366,Estimator!$B$4,'Climate Data'!$B$7:$B$366,C4980)</f>
        <v>0.23548387096774193</v>
      </c>
      <c r="I4980" s="87">
        <f>SUMIFS('Climate Data'!$H$7:$H$366,'Climate Data'!$A$7:$A$366,Estimator!$B$4,'Climate Data'!$B$7:$B$366,C4980)</f>
        <v>7.9589041095890414</v>
      </c>
      <c r="J4980" s="86">
        <f>SUMIFS('Wind Proxy'!$H$8:$H$19,'Wind Proxy'!$A$8:$A$19,Estimator!$B$4,'Wind Proxy'!$B$8:$B$19,C4980)</f>
        <v>0</v>
      </c>
    </row>
    <row r="4981" spans="1:10" ht="14.4">
      <c r="A4981" s="84">
        <v>50632</v>
      </c>
      <c r="B4981" s="85">
        <v>2038</v>
      </c>
      <c r="C4981" s="85">
        <v>8</v>
      </c>
      <c r="D4981" s="85" t="s">
        <v>71</v>
      </c>
      <c r="E4981" s="85">
        <v>15</v>
      </c>
      <c r="F4981" s="85">
        <v>7</v>
      </c>
      <c r="G4981" s="85">
        <f>--(F4981&lt;=Estimator!$B$7)</f>
        <v>0</v>
      </c>
      <c r="H4981" s="86">
        <f>SUMIFS('Climate Data'!$G$7:$G$366,'Climate Data'!$A$7:$A$366,Estimator!$B$4,'Climate Data'!$B$7:$B$366,C4981)</f>
        <v>0.23548387096774193</v>
      </c>
      <c r="I4981" s="87">
        <f>SUMIFS('Climate Data'!$H$7:$H$366,'Climate Data'!$A$7:$A$366,Estimator!$B$4,'Climate Data'!$B$7:$B$366,C4981)</f>
        <v>7.9589041095890414</v>
      </c>
      <c r="J4981" s="86">
        <f>SUMIFS('Wind Proxy'!$H$8:$H$19,'Wind Proxy'!$A$8:$A$19,Estimator!$B$4,'Wind Proxy'!$B$8:$B$19,C4981)</f>
        <v>0</v>
      </c>
    </row>
    <row r="4982" spans="1:10" ht="14.4">
      <c r="A4982" s="84">
        <v>50633</v>
      </c>
      <c r="B4982" s="85">
        <v>2038</v>
      </c>
      <c r="C4982" s="85">
        <v>8</v>
      </c>
      <c r="D4982" s="85" t="s">
        <v>71</v>
      </c>
      <c r="E4982" s="85">
        <v>16</v>
      </c>
      <c r="F4982" s="85">
        <v>1</v>
      </c>
      <c r="G4982" s="85">
        <f>--(F4982&lt;=Estimator!$B$7)</f>
        <v>1</v>
      </c>
      <c r="H4982" s="86">
        <f>SUMIFS('Climate Data'!$G$7:$G$366,'Climate Data'!$A$7:$A$366,Estimator!$B$4,'Climate Data'!$B$7:$B$366,C4982)</f>
        <v>0.23548387096774193</v>
      </c>
      <c r="I4982" s="87">
        <f>SUMIFS('Climate Data'!$H$7:$H$366,'Climate Data'!$A$7:$A$366,Estimator!$B$4,'Climate Data'!$B$7:$B$366,C4982)</f>
        <v>7.9589041095890414</v>
      </c>
      <c r="J4982" s="86">
        <f>SUMIFS('Wind Proxy'!$H$8:$H$19,'Wind Proxy'!$A$8:$A$19,Estimator!$B$4,'Wind Proxy'!$B$8:$B$19,C4982)</f>
        <v>0</v>
      </c>
    </row>
    <row r="4983" spans="1:10" ht="14.4">
      <c r="A4983" s="84">
        <v>50634</v>
      </c>
      <c r="B4983" s="85">
        <v>2038</v>
      </c>
      <c r="C4983" s="85">
        <v>8</v>
      </c>
      <c r="D4983" s="85" t="s">
        <v>71</v>
      </c>
      <c r="E4983" s="85">
        <v>17</v>
      </c>
      <c r="F4983" s="85">
        <v>2</v>
      </c>
      <c r="G4983" s="85">
        <f>--(F4983&lt;=Estimator!$B$7)</f>
        <v>1</v>
      </c>
      <c r="H4983" s="86">
        <f>SUMIFS('Climate Data'!$G$7:$G$366,'Climate Data'!$A$7:$A$366,Estimator!$B$4,'Climate Data'!$B$7:$B$366,C4983)</f>
        <v>0.23548387096774193</v>
      </c>
      <c r="I4983" s="87">
        <f>SUMIFS('Climate Data'!$H$7:$H$366,'Climate Data'!$A$7:$A$366,Estimator!$B$4,'Climate Data'!$B$7:$B$366,C4983)</f>
        <v>7.9589041095890414</v>
      </c>
      <c r="J4983" s="86">
        <f>SUMIFS('Wind Proxy'!$H$8:$H$19,'Wind Proxy'!$A$8:$A$19,Estimator!$B$4,'Wind Proxy'!$B$8:$B$19,C4983)</f>
        <v>0</v>
      </c>
    </row>
    <row r="4984" spans="1:10" ht="14.4">
      <c r="A4984" s="84">
        <v>50635</v>
      </c>
      <c r="B4984" s="85">
        <v>2038</v>
      </c>
      <c r="C4984" s="85">
        <v>8</v>
      </c>
      <c r="D4984" s="85" t="s">
        <v>71</v>
      </c>
      <c r="E4984" s="85">
        <v>18</v>
      </c>
      <c r="F4984" s="85">
        <v>3</v>
      </c>
      <c r="G4984" s="85">
        <f>--(F4984&lt;=Estimator!$B$7)</f>
        <v>1</v>
      </c>
      <c r="H4984" s="86">
        <f>SUMIFS('Climate Data'!$G$7:$G$366,'Climate Data'!$A$7:$A$366,Estimator!$B$4,'Climate Data'!$B$7:$B$366,C4984)</f>
        <v>0.23548387096774193</v>
      </c>
      <c r="I4984" s="87">
        <f>SUMIFS('Climate Data'!$H$7:$H$366,'Climate Data'!$A$7:$A$366,Estimator!$B$4,'Climate Data'!$B$7:$B$366,C4984)</f>
        <v>7.9589041095890414</v>
      </c>
      <c r="J4984" s="86">
        <f>SUMIFS('Wind Proxy'!$H$8:$H$19,'Wind Proxy'!$A$8:$A$19,Estimator!$B$4,'Wind Proxy'!$B$8:$B$19,C4984)</f>
        <v>0</v>
      </c>
    </row>
    <row r="4985" spans="1:10" ht="14.4">
      <c r="A4985" s="84">
        <v>50636</v>
      </c>
      <c r="B4985" s="85">
        <v>2038</v>
      </c>
      <c r="C4985" s="85">
        <v>8</v>
      </c>
      <c r="D4985" s="85" t="s">
        <v>71</v>
      </c>
      <c r="E4985" s="85">
        <v>19</v>
      </c>
      <c r="F4985" s="85">
        <v>4</v>
      </c>
      <c r="G4985" s="85">
        <f>--(F4985&lt;=Estimator!$B$7)</f>
        <v>1</v>
      </c>
      <c r="H4985" s="86">
        <f>SUMIFS('Climate Data'!$G$7:$G$366,'Climate Data'!$A$7:$A$366,Estimator!$B$4,'Climate Data'!$B$7:$B$366,C4985)</f>
        <v>0.23548387096774193</v>
      </c>
      <c r="I4985" s="87">
        <f>SUMIFS('Climate Data'!$H$7:$H$366,'Climate Data'!$A$7:$A$366,Estimator!$B$4,'Climate Data'!$B$7:$B$366,C4985)</f>
        <v>7.9589041095890414</v>
      </c>
      <c r="J4985" s="86">
        <f>SUMIFS('Wind Proxy'!$H$8:$H$19,'Wind Proxy'!$A$8:$A$19,Estimator!$B$4,'Wind Proxy'!$B$8:$B$19,C4985)</f>
        <v>0</v>
      </c>
    </row>
    <row r="4986" spans="1:10" ht="14.4">
      <c r="A4986" s="84">
        <v>50637</v>
      </c>
      <c r="B4986" s="85">
        <v>2038</v>
      </c>
      <c r="C4986" s="85">
        <v>8</v>
      </c>
      <c r="D4986" s="85" t="s">
        <v>71</v>
      </c>
      <c r="E4986" s="85">
        <v>20</v>
      </c>
      <c r="F4986" s="85">
        <v>5</v>
      </c>
      <c r="G4986" s="85">
        <f>--(F4986&lt;=Estimator!$B$7)</f>
        <v>1</v>
      </c>
      <c r="H4986" s="86">
        <f>SUMIFS('Climate Data'!$G$7:$G$366,'Climate Data'!$A$7:$A$366,Estimator!$B$4,'Climate Data'!$B$7:$B$366,C4986)</f>
        <v>0.23548387096774193</v>
      </c>
      <c r="I4986" s="87">
        <f>SUMIFS('Climate Data'!$H$7:$H$366,'Climate Data'!$A$7:$A$366,Estimator!$B$4,'Climate Data'!$B$7:$B$366,C4986)</f>
        <v>7.9589041095890414</v>
      </c>
      <c r="J4986" s="86">
        <f>SUMIFS('Wind Proxy'!$H$8:$H$19,'Wind Proxy'!$A$8:$A$19,Estimator!$B$4,'Wind Proxy'!$B$8:$B$19,C4986)</f>
        <v>0</v>
      </c>
    </row>
    <row r="4987" spans="1:10" ht="14.4">
      <c r="A4987" s="84">
        <v>50638</v>
      </c>
      <c r="B4987" s="85">
        <v>2038</v>
      </c>
      <c r="C4987" s="85">
        <v>8</v>
      </c>
      <c r="D4987" s="85" t="s">
        <v>71</v>
      </c>
      <c r="E4987" s="85">
        <v>21</v>
      </c>
      <c r="F4987" s="85">
        <v>6</v>
      </c>
      <c r="G4987" s="85">
        <f>--(F4987&lt;=Estimator!$B$7)</f>
        <v>0</v>
      </c>
      <c r="H4987" s="86">
        <f>SUMIFS('Climate Data'!$G$7:$G$366,'Climate Data'!$A$7:$A$366,Estimator!$B$4,'Climate Data'!$B$7:$B$366,C4987)</f>
        <v>0.23548387096774193</v>
      </c>
      <c r="I4987" s="87">
        <f>SUMIFS('Climate Data'!$H$7:$H$366,'Climate Data'!$A$7:$A$366,Estimator!$B$4,'Climate Data'!$B$7:$B$366,C4987)</f>
        <v>7.9589041095890414</v>
      </c>
      <c r="J4987" s="86">
        <f>SUMIFS('Wind Proxy'!$H$8:$H$19,'Wind Proxy'!$A$8:$A$19,Estimator!$B$4,'Wind Proxy'!$B$8:$B$19,C4987)</f>
        <v>0</v>
      </c>
    </row>
    <row r="4988" spans="1:10" ht="14.4">
      <c r="A4988" s="84">
        <v>50639</v>
      </c>
      <c r="B4988" s="85">
        <v>2038</v>
      </c>
      <c r="C4988" s="85">
        <v>8</v>
      </c>
      <c r="D4988" s="85" t="s">
        <v>71</v>
      </c>
      <c r="E4988" s="85">
        <v>22</v>
      </c>
      <c r="F4988" s="85">
        <v>7</v>
      </c>
      <c r="G4988" s="85">
        <f>--(F4988&lt;=Estimator!$B$7)</f>
        <v>0</v>
      </c>
      <c r="H4988" s="86">
        <f>SUMIFS('Climate Data'!$G$7:$G$366,'Climate Data'!$A$7:$A$366,Estimator!$B$4,'Climate Data'!$B$7:$B$366,C4988)</f>
        <v>0.23548387096774193</v>
      </c>
      <c r="I4988" s="87">
        <f>SUMIFS('Climate Data'!$H$7:$H$366,'Climate Data'!$A$7:$A$366,Estimator!$B$4,'Climate Data'!$B$7:$B$366,C4988)</f>
        <v>7.9589041095890414</v>
      </c>
      <c r="J4988" s="86">
        <f>SUMIFS('Wind Proxy'!$H$8:$H$19,'Wind Proxy'!$A$8:$A$19,Estimator!$B$4,'Wind Proxy'!$B$8:$B$19,C4988)</f>
        <v>0</v>
      </c>
    </row>
    <row r="4989" spans="1:10" ht="14.4">
      <c r="A4989" s="84">
        <v>50640</v>
      </c>
      <c r="B4989" s="85">
        <v>2038</v>
      </c>
      <c r="C4989" s="85">
        <v>8</v>
      </c>
      <c r="D4989" s="85" t="s">
        <v>71</v>
      </c>
      <c r="E4989" s="85">
        <v>23</v>
      </c>
      <c r="F4989" s="85">
        <v>1</v>
      </c>
      <c r="G4989" s="85">
        <f>--(F4989&lt;=Estimator!$B$7)</f>
        <v>1</v>
      </c>
      <c r="H4989" s="86">
        <f>SUMIFS('Climate Data'!$G$7:$G$366,'Climate Data'!$A$7:$A$366,Estimator!$B$4,'Climate Data'!$B$7:$B$366,C4989)</f>
        <v>0.23548387096774193</v>
      </c>
      <c r="I4989" s="87">
        <f>SUMIFS('Climate Data'!$H$7:$H$366,'Climate Data'!$A$7:$A$366,Estimator!$B$4,'Climate Data'!$B$7:$B$366,C4989)</f>
        <v>7.9589041095890414</v>
      </c>
      <c r="J4989" s="86">
        <f>SUMIFS('Wind Proxy'!$H$8:$H$19,'Wind Proxy'!$A$8:$A$19,Estimator!$B$4,'Wind Proxy'!$B$8:$B$19,C4989)</f>
        <v>0</v>
      </c>
    </row>
    <row r="4990" spans="1:10" ht="14.4">
      <c r="A4990" s="84">
        <v>50641</v>
      </c>
      <c r="B4990" s="85">
        <v>2038</v>
      </c>
      <c r="C4990" s="85">
        <v>8</v>
      </c>
      <c r="D4990" s="85" t="s">
        <v>71</v>
      </c>
      <c r="E4990" s="85">
        <v>24</v>
      </c>
      <c r="F4990" s="85">
        <v>2</v>
      </c>
      <c r="G4990" s="85">
        <f>--(F4990&lt;=Estimator!$B$7)</f>
        <v>1</v>
      </c>
      <c r="H4990" s="86">
        <f>SUMIFS('Climate Data'!$G$7:$G$366,'Climate Data'!$A$7:$A$366,Estimator!$B$4,'Climate Data'!$B$7:$B$366,C4990)</f>
        <v>0.23548387096774193</v>
      </c>
      <c r="I4990" s="87">
        <f>SUMIFS('Climate Data'!$H$7:$H$366,'Climate Data'!$A$7:$A$366,Estimator!$B$4,'Climate Data'!$B$7:$B$366,C4990)</f>
        <v>7.9589041095890414</v>
      </c>
      <c r="J4990" s="86">
        <f>SUMIFS('Wind Proxy'!$H$8:$H$19,'Wind Proxy'!$A$8:$A$19,Estimator!$B$4,'Wind Proxy'!$B$8:$B$19,C4990)</f>
        <v>0</v>
      </c>
    </row>
    <row r="4991" spans="1:10" ht="14.4">
      <c r="A4991" s="84">
        <v>50642</v>
      </c>
      <c r="B4991" s="85">
        <v>2038</v>
      </c>
      <c r="C4991" s="85">
        <v>8</v>
      </c>
      <c r="D4991" s="85" t="s">
        <v>71</v>
      </c>
      <c r="E4991" s="85">
        <v>25</v>
      </c>
      <c r="F4991" s="85">
        <v>3</v>
      </c>
      <c r="G4991" s="85">
        <f>--(F4991&lt;=Estimator!$B$7)</f>
        <v>1</v>
      </c>
      <c r="H4991" s="86">
        <f>SUMIFS('Climate Data'!$G$7:$G$366,'Climate Data'!$A$7:$A$366,Estimator!$B$4,'Climate Data'!$B$7:$B$366,C4991)</f>
        <v>0.23548387096774193</v>
      </c>
      <c r="I4991" s="87">
        <f>SUMIFS('Climate Data'!$H$7:$H$366,'Climate Data'!$A$7:$A$366,Estimator!$B$4,'Climate Data'!$B$7:$B$366,C4991)</f>
        <v>7.9589041095890414</v>
      </c>
      <c r="J4991" s="86">
        <f>SUMIFS('Wind Proxy'!$H$8:$H$19,'Wind Proxy'!$A$8:$A$19,Estimator!$B$4,'Wind Proxy'!$B$8:$B$19,C4991)</f>
        <v>0</v>
      </c>
    </row>
    <row r="4992" spans="1:10" ht="14.4">
      <c r="A4992" s="84">
        <v>50643</v>
      </c>
      <c r="B4992" s="85">
        <v>2038</v>
      </c>
      <c r="C4992" s="85">
        <v>8</v>
      </c>
      <c r="D4992" s="85" t="s">
        <v>71</v>
      </c>
      <c r="E4992" s="85">
        <v>26</v>
      </c>
      <c r="F4992" s="85">
        <v>4</v>
      </c>
      <c r="G4992" s="85">
        <f>--(F4992&lt;=Estimator!$B$7)</f>
        <v>1</v>
      </c>
      <c r="H4992" s="86">
        <f>SUMIFS('Climate Data'!$G$7:$G$366,'Climate Data'!$A$7:$A$366,Estimator!$B$4,'Climate Data'!$B$7:$B$366,C4992)</f>
        <v>0.23548387096774193</v>
      </c>
      <c r="I4992" s="87">
        <f>SUMIFS('Climate Data'!$H$7:$H$366,'Climate Data'!$A$7:$A$366,Estimator!$B$4,'Climate Data'!$B$7:$B$366,C4992)</f>
        <v>7.9589041095890414</v>
      </c>
      <c r="J4992" s="86">
        <f>SUMIFS('Wind Proxy'!$H$8:$H$19,'Wind Proxy'!$A$8:$A$19,Estimator!$B$4,'Wind Proxy'!$B$8:$B$19,C4992)</f>
        <v>0</v>
      </c>
    </row>
    <row r="4993" spans="1:10" ht="14.4">
      <c r="A4993" s="84">
        <v>50644</v>
      </c>
      <c r="B4993" s="85">
        <v>2038</v>
      </c>
      <c r="C4993" s="85">
        <v>8</v>
      </c>
      <c r="D4993" s="85" t="s">
        <v>71</v>
      </c>
      <c r="E4993" s="85">
        <v>27</v>
      </c>
      <c r="F4993" s="85">
        <v>5</v>
      </c>
      <c r="G4993" s="85">
        <f>--(F4993&lt;=Estimator!$B$7)</f>
        <v>1</v>
      </c>
      <c r="H4993" s="86">
        <f>SUMIFS('Climate Data'!$G$7:$G$366,'Climate Data'!$A$7:$A$366,Estimator!$B$4,'Climate Data'!$B$7:$B$366,C4993)</f>
        <v>0.23548387096774193</v>
      </c>
      <c r="I4993" s="87">
        <f>SUMIFS('Climate Data'!$H$7:$H$366,'Climate Data'!$A$7:$A$366,Estimator!$B$4,'Climate Data'!$B$7:$B$366,C4993)</f>
        <v>7.9589041095890414</v>
      </c>
      <c r="J4993" s="86">
        <f>SUMIFS('Wind Proxy'!$H$8:$H$19,'Wind Proxy'!$A$8:$A$19,Estimator!$B$4,'Wind Proxy'!$B$8:$B$19,C4993)</f>
        <v>0</v>
      </c>
    </row>
    <row r="4994" spans="1:10" ht="14.4">
      <c r="A4994" s="84">
        <v>50645</v>
      </c>
      <c r="B4994" s="85">
        <v>2038</v>
      </c>
      <c r="C4994" s="85">
        <v>8</v>
      </c>
      <c r="D4994" s="85" t="s">
        <v>71</v>
      </c>
      <c r="E4994" s="85">
        <v>28</v>
      </c>
      <c r="F4994" s="85">
        <v>6</v>
      </c>
      <c r="G4994" s="85">
        <f>--(F4994&lt;=Estimator!$B$7)</f>
        <v>0</v>
      </c>
      <c r="H4994" s="86">
        <f>SUMIFS('Climate Data'!$G$7:$G$366,'Climate Data'!$A$7:$A$366,Estimator!$B$4,'Climate Data'!$B$7:$B$366,C4994)</f>
        <v>0.23548387096774193</v>
      </c>
      <c r="I4994" s="87">
        <f>SUMIFS('Climate Data'!$H$7:$H$366,'Climate Data'!$A$7:$A$366,Estimator!$B$4,'Climate Data'!$B$7:$B$366,C4994)</f>
        <v>7.9589041095890414</v>
      </c>
      <c r="J4994" s="86">
        <f>SUMIFS('Wind Proxy'!$H$8:$H$19,'Wind Proxy'!$A$8:$A$19,Estimator!$B$4,'Wind Proxy'!$B$8:$B$19,C4994)</f>
        <v>0</v>
      </c>
    </row>
    <row r="4995" spans="1:10" ht="14.4">
      <c r="A4995" s="84">
        <v>50646</v>
      </c>
      <c r="B4995" s="85">
        <v>2038</v>
      </c>
      <c r="C4995" s="85">
        <v>8</v>
      </c>
      <c r="D4995" s="85" t="s">
        <v>71</v>
      </c>
      <c r="E4995" s="85">
        <v>29</v>
      </c>
      <c r="F4995" s="85">
        <v>7</v>
      </c>
      <c r="G4995" s="85">
        <f>--(F4995&lt;=Estimator!$B$7)</f>
        <v>0</v>
      </c>
      <c r="H4995" s="86">
        <f>SUMIFS('Climate Data'!$G$7:$G$366,'Climate Data'!$A$7:$A$366,Estimator!$B$4,'Climate Data'!$B$7:$B$366,C4995)</f>
        <v>0.23548387096774193</v>
      </c>
      <c r="I4995" s="87">
        <f>SUMIFS('Climate Data'!$H$7:$H$366,'Climate Data'!$A$7:$A$366,Estimator!$B$4,'Climate Data'!$B$7:$B$366,C4995)</f>
        <v>7.9589041095890414</v>
      </c>
      <c r="J4995" s="86">
        <f>SUMIFS('Wind Proxy'!$H$8:$H$19,'Wind Proxy'!$A$8:$A$19,Estimator!$B$4,'Wind Proxy'!$B$8:$B$19,C4995)</f>
        <v>0</v>
      </c>
    </row>
    <row r="4996" spans="1:10" ht="14.4">
      <c r="A4996" s="84">
        <v>50647</v>
      </c>
      <c r="B4996" s="85">
        <v>2038</v>
      </c>
      <c r="C4996" s="85">
        <v>8</v>
      </c>
      <c r="D4996" s="85" t="s">
        <v>71</v>
      </c>
      <c r="E4996" s="85">
        <v>30</v>
      </c>
      <c r="F4996" s="85">
        <v>1</v>
      </c>
      <c r="G4996" s="85">
        <f>--(F4996&lt;=Estimator!$B$7)</f>
        <v>1</v>
      </c>
      <c r="H4996" s="86">
        <f>SUMIFS('Climate Data'!$G$7:$G$366,'Climate Data'!$A$7:$A$366,Estimator!$B$4,'Climate Data'!$B$7:$B$366,C4996)</f>
        <v>0.23548387096774193</v>
      </c>
      <c r="I4996" s="87">
        <f>SUMIFS('Climate Data'!$H$7:$H$366,'Climate Data'!$A$7:$A$366,Estimator!$B$4,'Climate Data'!$B$7:$B$366,C4996)</f>
        <v>7.9589041095890414</v>
      </c>
      <c r="J4996" s="86">
        <f>SUMIFS('Wind Proxy'!$H$8:$H$19,'Wind Proxy'!$A$8:$A$19,Estimator!$B$4,'Wind Proxy'!$B$8:$B$19,C4996)</f>
        <v>0</v>
      </c>
    </row>
    <row r="4997" spans="1:10" ht="14.4">
      <c r="A4997" s="84">
        <v>50648</v>
      </c>
      <c r="B4997" s="85">
        <v>2038</v>
      </c>
      <c r="C4997" s="85">
        <v>8</v>
      </c>
      <c r="D4997" s="85" t="s">
        <v>71</v>
      </c>
      <c r="E4997" s="85">
        <v>31</v>
      </c>
      <c r="F4997" s="85">
        <v>2</v>
      </c>
      <c r="G4997" s="85">
        <f>--(F4997&lt;=Estimator!$B$7)</f>
        <v>1</v>
      </c>
      <c r="H4997" s="86">
        <f>SUMIFS('Climate Data'!$G$7:$G$366,'Climate Data'!$A$7:$A$366,Estimator!$B$4,'Climate Data'!$B$7:$B$366,C4997)</f>
        <v>0.23548387096774193</v>
      </c>
      <c r="I4997" s="87">
        <f>SUMIFS('Climate Data'!$H$7:$H$366,'Climate Data'!$A$7:$A$366,Estimator!$B$4,'Climate Data'!$B$7:$B$366,C4997)</f>
        <v>7.9589041095890414</v>
      </c>
      <c r="J4997" s="86">
        <f>SUMIFS('Wind Proxy'!$H$8:$H$19,'Wind Proxy'!$A$8:$A$19,Estimator!$B$4,'Wind Proxy'!$B$8:$B$19,C4997)</f>
        <v>0</v>
      </c>
    </row>
    <row r="4998" spans="1:10" ht="14.4">
      <c r="A4998" s="84">
        <v>50649</v>
      </c>
      <c r="B4998" s="85">
        <v>2038</v>
      </c>
      <c r="C4998" s="85">
        <v>9</v>
      </c>
      <c r="D4998" s="85" t="s">
        <v>73</v>
      </c>
      <c r="E4998" s="85">
        <v>1</v>
      </c>
      <c r="F4998" s="85">
        <v>3</v>
      </c>
      <c r="G4998" s="85">
        <f>--(F4998&lt;=Estimator!$B$7)</f>
        <v>1</v>
      </c>
      <c r="H4998" s="86">
        <f>SUMIFS('Climate Data'!$G$7:$G$366,'Climate Data'!$A$7:$A$366,Estimator!$B$4,'Climate Data'!$B$7:$B$366,C4998)</f>
        <v>0.20666666666666667</v>
      </c>
      <c r="I4998" s="87">
        <f>SUMIFS('Climate Data'!$H$7:$H$366,'Climate Data'!$A$7:$A$366,Estimator!$B$4,'Climate Data'!$B$7:$B$366,C4998)</f>
        <v>6.806451612903226</v>
      </c>
      <c r="J4998" s="86">
        <f>SUMIFS('Wind Proxy'!$H$8:$H$19,'Wind Proxy'!$A$8:$A$19,Estimator!$B$4,'Wind Proxy'!$B$8:$B$19,C4998)</f>
        <v>0</v>
      </c>
    </row>
    <row r="4999" spans="1:10" ht="14.4">
      <c r="A4999" s="84">
        <v>50650</v>
      </c>
      <c r="B4999" s="85">
        <v>2038</v>
      </c>
      <c r="C4999" s="85">
        <v>9</v>
      </c>
      <c r="D4999" s="85" t="s">
        <v>73</v>
      </c>
      <c r="E4999" s="85">
        <v>2</v>
      </c>
      <c r="F4999" s="85">
        <v>4</v>
      </c>
      <c r="G4999" s="85">
        <f>--(F4999&lt;=Estimator!$B$7)</f>
        <v>1</v>
      </c>
      <c r="H4999" s="86">
        <f>SUMIFS('Climate Data'!$G$7:$G$366,'Climate Data'!$A$7:$A$366,Estimator!$B$4,'Climate Data'!$B$7:$B$366,C4999)</f>
        <v>0.20666666666666667</v>
      </c>
      <c r="I4999" s="87">
        <f>SUMIFS('Climate Data'!$H$7:$H$366,'Climate Data'!$A$7:$A$366,Estimator!$B$4,'Climate Data'!$B$7:$B$366,C4999)</f>
        <v>6.806451612903226</v>
      </c>
      <c r="J4999" s="86">
        <f>SUMIFS('Wind Proxy'!$H$8:$H$19,'Wind Proxy'!$A$8:$A$19,Estimator!$B$4,'Wind Proxy'!$B$8:$B$19,C4999)</f>
        <v>0</v>
      </c>
    </row>
    <row r="5000" spans="1:10" ht="14.4">
      <c r="A5000" s="84">
        <v>50651</v>
      </c>
      <c r="B5000" s="85">
        <v>2038</v>
      </c>
      <c r="C5000" s="85">
        <v>9</v>
      </c>
      <c r="D5000" s="85" t="s">
        <v>73</v>
      </c>
      <c r="E5000" s="85">
        <v>3</v>
      </c>
      <c r="F5000" s="85">
        <v>5</v>
      </c>
      <c r="G5000" s="85">
        <f>--(F5000&lt;=Estimator!$B$7)</f>
        <v>1</v>
      </c>
      <c r="H5000" s="86">
        <f>SUMIFS('Climate Data'!$G$7:$G$366,'Climate Data'!$A$7:$A$366,Estimator!$B$4,'Climate Data'!$B$7:$B$366,C5000)</f>
        <v>0.20666666666666667</v>
      </c>
      <c r="I5000" s="87">
        <f>SUMIFS('Climate Data'!$H$7:$H$366,'Climate Data'!$A$7:$A$366,Estimator!$B$4,'Climate Data'!$B$7:$B$366,C5000)</f>
        <v>6.806451612903226</v>
      </c>
      <c r="J5000" s="86">
        <f>SUMIFS('Wind Proxy'!$H$8:$H$19,'Wind Proxy'!$A$8:$A$19,Estimator!$B$4,'Wind Proxy'!$B$8:$B$19,C5000)</f>
        <v>0</v>
      </c>
    </row>
    <row r="5001" spans="1:10" ht="14.4">
      <c r="A5001" s="84">
        <v>50652</v>
      </c>
      <c r="B5001" s="85">
        <v>2038</v>
      </c>
      <c r="C5001" s="85">
        <v>9</v>
      </c>
      <c r="D5001" s="85" t="s">
        <v>73</v>
      </c>
      <c r="E5001" s="85">
        <v>4</v>
      </c>
      <c r="F5001" s="85">
        <v>6</v>
      </c>
      <c r="G5001" s="85">
        <f>--(F5001&lt;=Estimator!$B$7)</f>
        <v>0</v>
      </c>
      <c r="H5001" s="86">
        <f>SUMIFS('Climate Data'!$G$7:$G$366,'Climate Data'!$A$7:$A$366,Estimator!$B$4,'Climate Data'!$B$7:$B$366,C5001)</f>
        <v>0.20666666666666667</v>
      </c>
      <c r="I5001" s="87">
        <f>SUMIFS('Climate Data'!$H$7:$H$366,'Climate Data'!$A$7:$A$366,Estimator!$B$4,'Climate Data'!$B$7:$B$366,C5001)</f>
        <v>6.806451612903226</v>
      </c>
      <c r="J5001" s="86">
        <f>SUMIFS('Wind Proxy'!$H$8:$H$19,'Wind Proxy'!$A$8:$A$19,Estimator!$B$4,'Wind Proxy'!$B$8:$B$19,C5001)</f>
        <v>0</v>
      </c>
    </row>
    <row r="5002" spans="1:10" ht="14.4">
      <c r="A5002" s="84">
        <v>50653</v>
      </c>
      <c r="B5002" s="85">
        <v>2038</v>
      </c>
      <c r="C5002" s="85">
        <v>9</v>
      </c>
      <c r="D5002" s="85" t="s">
        <v>73</v>
      </c>
      <c r="E5002" s="85">
        <v>5</v>
      </c>
      <c r="F5002" s="85">
        <v>7</v>
      </c>
      <c r="G5002" s="85">
        <f>--(F5002&lt;=Estimator!$B$7)</f>
        <v>0</v>
      </c>
      <c r="H5002" s="86">
        <f>SUMIFS('Climate Data'!$G$7:$G$366,'Climate Data'!$A$7:$A$366,Estimator!$B$4,'Climate Data'!$B$7:$B$366,C5002)</f>
        <v>0.20666666666666667</v>
      </c>
      <c r="I5002" s="87">
        <f>SUMIFS('Climate Data'!$H$7:$H$366,'Climate Data'!$A$7:$A$366,Estimator!$B$4,'Climate Data'!$B$7:$B$366,C5002)</f>
        <v>6.806451612903226</v>
      </c>
      <c r="J5002" s="86">
        <f>SUMIFS('Wind Proxy'!$H$8:$H$19,'Wind Proxy'!$A$8:$A$19,Estimator!$B$4,'Wind Proxy'!$B$8:$B$19,C5002)</f>
        <v>0</v>
      </c>
    </row>
    <row r="5003" spans="1:10" ht="14.4">
      <c r="A5003" s="84">
        <v>50654</v>
      </c>
      <c r="B5003" s="85">
        <v>2038</v>
      </c>
      <c r="C5003" s="85">
        <v>9</v>
      </c>
      <c r="D5003" s="85" t="s">
        <v>73</v>
      </c>
      <c r="E5003" s="85">
        <v>6</v>
      </c>
      <c r="F5003" s="85">
        <v>1</v>
      </c>
      <c r="G5003" s="85">
        <f>--(F5003&lt;=Estimator!$B$7)</f>
        <v>1</v>
      </c>
      <c r="H5003" s="86">
        <f>SUMIFS('Climate Data'!$G$7:$G$366,'Climate Data'!$A$7:$A$366,Estimator!$B$4,'Climate Data'!$B$7:$B$366,C5003)</f>
        <v>0.20666666666666667</v>
      </c>
      <c r="I5003" s="87">
        <f>SUMIFS('Climate Data'!$H$7:$H$366,'Climate Data'!$A$7:$A$366,Estimator!$B$4,'Climate Data'!$B$7:$B$366,C5003)</f>
        <v>6.806451612903226</v>
      </c>
      <c r="J5003" s="86">
        <f>SUMIFS('Wind Proxy'!$H$8:$H$19,'Wind Proxy'!$A$8:$A$19,Estimator!$B$4,'Wind Proxy'!$B$8:$B$19,C5003)</f>
        <v>0</v>
      </c>
    </row>
    <row r="5004" spans="1:10" ht="14.4">
      <c r="A5004" s="84">
        <v>50655</v>
      </c>
      <c r="B5004" s="85">
        <v>2038</v>
      </c>
      <c r="C5004" s="85">
        <v>9</v>
      </c>
      <c r="D5004" s="85" t="s">
        <v>73</v>
      </c>
      <c r="E5004" s="85">
        <v>7</v>
      </c>
      <c r="F5004" s="85">
        <v>2</v>
      </c>
      <c r="G5004" s="85">
        <f>--(F5004&lt;=Estimator!$B$7)</f>
        <v>1</v>
      </c>
      <c r="H5004" s="86">
        <f>SUMIFS('Climate Data'!$G$7:$G$366,'Climate Data'!$A$7:$A$366,Estimator!$B$4,'Climate Data'!$B$7:$B$366,C5004)</f>
        <v>0.20666666666666667</v>
      </c>
      <c r="I5004" s="87">
        <f>SUMIFS('Climate Data'!$H$7:$H$366,'Climate Data'!$A$7:$A$366,Estimator!$B$4,'Climate Data'!$B$7:$B$366,C5004)</f>
        <v>6.806451612903226</v>
      </c>
      <c r="J5004" s="86">
        <f>SUMIFS('Wind Proxy'!$H$8:$H$19,'Wind Proxy'!$A$8:$A$19,Estimator!$B$4,'Wind Proxy'!$B$8:$B$19,C5004)</f>
        <v>0</v>
      </c>
    </row>
    <row r="5005" spans="1:10" ht="14.4">
      <c r="A5005" s="84">
        <v>50656</v>
      </c>
      <c r="B5005" s="85">
        <v>2038</v>
      </c>
      <c r="C5005" s="85">
        <v>9</v>
      </c>
      <c r="D5005" s="85" t="s">
        <v>73</v>
      </c>
      <c r="E5005" s="85">
        <v>8</v>
      </c>
      <c r="F5005" s="85">
        <v>3</v>
      </c>
      <c r="G5005" s="85">
        <f>--(F5005&lt;=Estimator!$B$7)</f>
        <v>1</v>
      </c>
      <c r="H5005" s="86">
        <f>SUMIFS('Climate Data'!$G$7:$G$366,'Climate Data'!$A$7:$A$366,Estimator!$B$4,'Climate Data'!$B$7:$B$366,C5005)</f>
        <v>0.20666666666666667</v>
      </c>
      <c r="I5005" s="87">
        <f>SUMIFS('Climate Data'!$H$7:$H$366,'Climate Data'!$A$7:$A$366,Estimator!$B$4,'Climate Data'!$B$7:$B$366,C5005)</f>
        <v>6.806451612903226</v>
      </c>
      <c r="J5005" s="86">
        <f>SUMIFS('Wind Proxy'!$H$8:$H$19,'Wind Proxy'!$A$8:$A$19,Estimator!$B$4,'Wind Proxy'!$B$8:$B$19,C5005)</f>
        <v>0</v>
      </c>
    </row>
    <row r="5006" spans="1:10" ht="14.4">
      <c r="A5006" s="84">
        <v>50657</v>
      </c>
      <c r="B5006" s="85">
        <v>2038</v>
      </c>
      <c r="C5006" s="85">
        <v>9</v>
      </c>
      <c r="D5006" s="85" t="s">
        <v>73</v>
      </c>
      <c r="E5006" s="85">
        <v>9</v>
      </c>
      <c r="F5006" s="85">
        <v>4</v>
      </c>
      <c r="G5006" s="85">
        <f>--(F5006&lt;=Estimator!$B$7)</f>
        <v>1</v>
      </c>
      <c r="H5006" s="86">
        <f>SUMIFS('Climate Data'!$G$7:$G$366,'Climate Data'!$A$7:$A$366,Estimator!$B$4,'Climate Data'!$B$7:$B$366,C5006)</f>
        <v>0.20666666666666667</v>
      </c>
      <c r="I5006" s="87">
        <f>SUMIFS('Climate Data'!$H$7:$H$366,'Climate Data'!$A$7:$A$366,Estimator!$B$4,'Climate Data'!$B$7:$B$366,C5006)</f>
        <v>6.806451612903226</v>
      </c>
      <c r="J5006" s="86">
        <f>SUMIFS('Wind Proxy'!$H$8:$H$19,'Wind Proxy'!$A$8:$A$19,Estimator!$B$4,'Wind Proxy'!$B$8:$B$19,C5006)</f>
        <v>0</v>
      </c>
    </row>
    <row r="5007" spans="1:10" ht="14.4">
      <c r="A5007" s="84">
        <v>50658</v>
      </c>
      <c r="B5007" s="85">
        <v>2038</v>
      </c>
      <c r="C5007" s="85">
        <v>9</v>
      </c>
      <c r="D5007" s="85" t="s">
        <v>73</v>
      </c>
      <c r="E5007" s="85">
        <v>10</v>
      </c>
      <c r="F5007" s="85">
        <v>5</v>
      </c>
      <c r="G5007" s="85">
        <f>--(F5007&lt;=Estimator!$B$7)</f>
        <v>1</v>
      </c>
      <c r="H5007" s="86">
        <f>SUMIFS('Climate Data'!$G$7:$G$366,'Climate Data'!$A$7:$A$366,Estimator!$B$4,'Climate Data'!$B$7:$B$366,C5007)</f>
        <v>0.20666666666666667</v>
      </c>
      <c r="I5007" s="87">
        <f>SUMIFS('Climate Data'!$H$7:$H$366,'Climate Data'!$A$7:$A$366,Estimator!$B$4,'Climate Data'!$B$7:$B$366,C5007)</f>
        <v>6.806451612903226</v>
      </c>
      <c r="J5007" s="86">
        <f>SUMIFS('Wind Proxy'!$H$8:$H$19,'Wind Proxy'!$A$8:$A$19,Estimator!$B$4,'Wind Proxy'!$B$8:$B$19,C5007)</f>
        <v>0</v>
      </c>
    </row>
    <row r="5008" spans="1:10" ht="14.4">
      <c r="A5008" s="84">
        <v>50659</v>
      </c>
      <c r="B5008" s="85">
        <v>2038</v>
      </c>
      <c r="C5008" s="85">
        <v>9</v>
      </c>
      <c r="D5008" s="85" t="s">
        <v>73</v>
      </c>
      <c r="E5008" s="85">
        <v>11</v>
      </c>
      <c r="F5008" s="85">
        <v>6</v>
      </c>
      <c r="G5008" s="85">
        <f>--(F5008&lt;=Estimator!$B$7)</f>
        <v>0</v>
      </c>
      <c r="H5008" s="86">
        <f>SUMIFS('Climate Data'!$G$7:$G$366,'Climate Data'!$A$7:$A$366,Estimator!$B$4,'Climate Data'!$B$7:$B$366,C5008)</f>
        <v>0.20666666666666667</v>
      </c>
      <c r="I5008" s="87">
        <f>SUMIFS('Climate Data'!$H$7:$H$366,'Climate Data'!$A$7:$A$366,Estimator!$B$4,'Climate Data'!$B$7:$B$366,C5008)</f>
        <v>6.806451612903226</v>
      </c>
      <c r="J5008" s="86">
        <f>SUMIFS('Wind Proxy'!$H$8:$H$19,'Wind Proxy'!$A$8:$A$19,Estimator!$B$4,'Wind Proxy'!$B$8:$B$19,C5008)</f>
        <v>0</v>
      </c>
    </row>
    <row r="5009" spans="1:10" ht="14.4">
      <c r="A5009" s="84">
        <v>50660</v>
      </c>
      <c r="B5009" s="85">
        <v>2038</v>
      </c>
      <c r="C5009" s="85">
        <v>9</v>
      </c>
      <c r="D5009" s="85" t="s">
        <v>73</v>
      </c>
      <c r="E5009" s="85">
        <v>12</v>
      </c>
      <c r="F5009" s="85">
        <v>7</v>
      </c>
      <c r="G5009" s="85">
        <f>--(F5009&lt;=Estimator!$B$7)</f>
        <v>0</v>
      </c>
      <c r="H5009" s="86">
        <f>SUMIFS('Climate Data'!$G$7:$G$366,'Climate Data'!$A$7:$A$366,Estimator!$B$4,'Climate Data'!$B$7:$B$366,C5009)</f>
        <v>0.20666666666666667</v>
      </c>
      <c r="I5009" s="87">
        <f>SUMIFS('Climate Data'!$H$7:$H$366,'Climate Data'!$A$7:$A$366,Estimator!$B$4,'Climate Data'!$B$7:$B$366,C5009)</f>
        <v>6.806451612903226</v>
      </c>
      <c r="J5009" s="86">
        <f>SUMIFS('Wind Proxy'!$H$8:$H$19,'Wind Proxy'!$A$8:$A$19,Estimator!$B$4,'Wind Proxy'!$B$8:$B$19,C5009)</f>
        <v>0</v>
      </c>
    </row>
    <row r="5010" spans="1:10" ht="14.4">
      <c r="A5010" s="84">
        <v>50661</v>
      </c>
      <c r="B5010" s="85">
        <v>2038</v>
      </c>
      <c r="C5010" s="85">
        <v>9</v>
      </c>
      <c r="D5010" s="85" t="s">
        <v>73</v>
      </c>
      <c r="E5010" s="85">
        <v>13</v>
      </c>
      <c r="F5010" s="85">
        <v>1</v>
      </c>
      <c r="G5010" s="85">
        <f>--(F5010&lt;=Estimator!$B$7)</f>
        <v>1</v>
      </c>
      <c r="H5010" s="86">
        <f>SUMIFS('Climate Data'!$G$7:$G$366,'Climate Data'!$A$7:$A$366,Estimator!$B$4,'Climate Data'!$B$7:$B$366,C5010)</f>
        <v>0.20666666666666667</v>
      </c>
      <c r="I5010" s="87">
        <f>SUMIFS('Climate Data'!$H$7:$H$366,'Climate Data'!$A$7:$A$366,Estimator!$B$4,'Climate Data'!$B$7:$B$366,C5010)</f>
        <v>6.806451612903226</v>
      </c>
      <c r="J5010" s="86">
        <f>SUMIFS('Wind Proxy'!$H$8:$H$19,'Wind Proxy'!$A$8:$A$19,Estimator!$B$4,'Wind Proxy'!$B$8:$B$19,C5010)</f>
        <v>0</v>
      </c>
    </row>
    <row r="5011" spans="1:10" ht="14.4">
      <c r="A5011" s="84">
        <v>50662</v>
      </c>
      <c r="B5011" s="85">
        <v>2038</v>
      </c>
      <c r="C5011" s="85">
        <v>9</v>
      </c>
      <c r="D5011" s="85" t="s">
        <v>73</v>
      </c>
      <c r="E5011" s="85">
        <v>14</v>
      </c>
      <c r="F5011" s="85">
        <v>2</v>
      </c>
      <c r="G5011" s="85">
        <f>--(F5011&lt;=Estimator!$B$7)</f>
        <v>1</v>
      </c>
      <c r="H5011" s="86">
        <f>SUMIFS('Climate Data'!$G$7:$G$366,'Climate Data'!$A$7:$A$366,Estimator!$B$4,'Climate Data'!$B$7:$B$366,C5011)</f>
        <v>0.20666666666666667</v>
      </c>
      <c r="I5011" s="87">
        <f>SUMIFS('Climate Data'!$H$7:$H$366,'Climate Data'!$A$7:$A$366,Estimator!$B$4,'Climate Data'!$B$7:$B$366,C5011)</f>
        <v>6.806451612903226</v>
      </c>
      <c r="J5011" s="86">
        <f>SUMIFS('Wind Proxy'!$H$8:$H$19,'Wind Proxy'!$A$8:$A$19,Estimator!$B$4,'Wind Proxy'!$B$8:$B$19,C5011)</f>
        <v>0</v>
      </c>
    </row>
    <row r="5012" spans="1:10" ht="14.4">
      <c r="A5012" s="84">
        <v>50663</v>
      </c>
      <c r="B5012" s="85">
        <v>2038</v>
      </c>
      <c r="C5012" s="85">
        <v>9</v>
      </c>
      <c r="D5012" s="85" t="s">
        <v>73</v>
      </c>
      <c r="E5012" s="85">
        <v>15</v>
      </c>
      <c r="F5012" s="85">
        <v>3</v>
      </c>
      <c r="G5012" s="85">
        <f>--(F5012&lt;=Estimator!$B$7)</f>
        <v>1</v>
      </c>
      <c r="H5012" s="86">
        <f>SUMIFS('Climate Data'!$G$7:$G$366,'Climate Data'!$A$7:$A$366,Estimator!$B$4,'Climate Data'!$B$7:$B$366,C5012)</f>
        <v>0.20666666666666667</v>
      </c>
      <c r="I5012" s="87">
        <f>SUMIFS('Climate Data'!$H$7:$H$366,'Climate Data'!$A$7:$A$366,Estimator!$B$4,'Climate Data'!$B$7:$B$366,C5012)</f>
        <v>6.806451612903226</v>
      </c>
      <c r="J5012" s="86">
        <f>SUMIFS('Wind Proxy'!$H$8:$H$19,'Wind Proxy'!$A$8:$A$19,Estimator!$B$4,'Wind Proxy'!$B$8:$B$19,C5012)</f>
        <v>0</v>
      </c>
    </row>
    <row r="5013" spans="1:10" ht="14.4">
      <c r="A5013" s="84">
        <v>50664</v>
      </c>
      <c r="B5013" s="85">
        <v>2038</v>
      </c>
      <c r="C5013" s="85">
        <v>9</v>
      </c>
      <c r="D5013" s="85" t="s">
        <v>73</v>
      </c>
      <c r="E5013" s="85">
        <v>16</v>
      </c>
      <c r="F5013" s="85">
        <v>4</v>
      </c>
      <c r="G5013" s="85">
        <f>--(F5013&lt;=Estimator!$B$7)</f>
        <v>1</v>
      </c>
      <c r="H5013" s="86">
        <f>SUMIFS('Climate Data'!$G$7:$G$366,'Climate Data'!$A$7:$A$366,Estimator!$B$4,'Climate Data'!$B$7:$B$366,C5013)</f>
        <v>0.20666666666666667</v>
      </c>
      <c r="I5013" s="87">
        <f>SUMIFS('Climate Data'!$H$7:$H$366,'Climate Data'!$A$7:$A$366,Estimator!$B$4,'Climate Data'!$B$7:$B$366,C5013)</f>
        <v>6.806451612903226</v>
      </c>
      <c r="J5013" s="86">
        <f>SUMIFS('Wind Proxy'!$H$8:$H$19,'Wind Proxy'!$A$8:$A$19,Estimator!$B$4,'Wind Proxy'!$B$8:$B$19,C5013)</f>
        <v>0</v>
      </c>
    </row>
    <row r="5014" spans="1:10" ht="14.4">
      <c r="A5014" s="84">
        <v>50665</v>
      </c>
      <c r="B5014" s="85">
        <v>2038</v>
      </c>
      <c r="C5014" s="85">
        <v>9</v>
      </c>
      <c r="D5014" s="85" t="s">
        <v>73</v>
      </c>
      <c r="E5014" s="85">
        <v>17</v>
      </c>
      <c r="F5014" s="85">
        <v>5</v>
      </c>
      <c r="G5014" s="85">
        <f>--(F5014&lt;=Estimator!$B$7)</f>
        <v>1</v>
      </c>
      <c r="H5014" s="86">
        <f>SUMIFS('Climate Data'!$G$7:$G$366,'Climate Data'!$A$7:$A$366,Estimator!$B$4,'Climate Data'!$B$7:$B$366,C5014)</f>
        <v>0.20666666666666667</v>
      </c>
      <c r="I5014" s="87">
        <f>SUMIFS('Climate Data'!$H$7:$H$366,'Climate Data'!$A$7:$A$366,Estimator!$B$4,'Climate Data'!$B$7:$B$366,C5014)</f>
        <v>6.806451612903226</v>
      </c>
      <c r="J5014" s="86">
        <f>SUMIFS('Wind Proxy'!$H$8:$H$19,'Wind Proxy'!$A$8:$A$19,Estimator!$B$4,'Wind Proxy'!$B$8:$B$19,C5014)</f>
        <v>0</v>
      </c>
    </row>
    <row r="5015" spans="1:10" ht="14.4">
      <c r="A5015" s="84">
        <v>50666</v>
      </c>
      <c r="B5015" s="85">
        <v>2038</v>
      </c>
      <c r="C5015" s="85">
        <v>9</v>
      </c>
      <c r="D5015" s="85" t="s">
        <v>73</v>
      </c>
      <c r="E5015" s="85">
        <v>18</v>
      </c>
      <c r="F5015" s="85">
        <v>6</v>
      </c>
      <c r="G5015" s="85">
        <f>--(F5015&lt;=Estimator!$B$7)</f>
        <v>0</v>
      </c>
      <c r="H5015" s="86">
        <f>SUMIFS('Climate Data'!$G$7:$G$366,'Climate Data'!$A$7:$A$366,Estimator!$B$4,'Climate Data'!$B$7:$B$366,C5015)</f>
        <v>0.20666666666666667</v>
      </c>
      <c r="I5015" s="87">
        <f>SUMIFS('Climate Data'!$H$7:$H$366,'Climate Data'!$A$7:$A$366,Estimator!$B$4,'Climate Data'!$B$7:$B$366,C5015)</f>
        <v>6.806451612903226</v>
      </c>
      <c r="J5015" s="86">
        <f>SUMIFS('Wind Proxy'!$H$8:$H$19,'Wind Proxy'!$A$8:$A$19,Estimator!$B$4,'Wind Proxy'!$B$8:$B$19,C5015)</f>
        <v>0</v>
      </c>
    </row>
    <row r="5016" spans="1:10" ht="14.4">
      <c r="A5016" s="84">
        <v>50667</v>
      </c>
      <c r="B5016" s="85">
        <v>2038</v>
      </c>
      <c r="C5016" s="85">
        <v>9</v>
      </c>
      <c r="D5016" s="85" t="s">
        <v>73</v>
      </c>
      <c r="E5016" s="85">
        <v>19</v>
      </c>
      <c r="F5016" s="85">
        <v>7</v>
      </c>
      <c r="G5016" s="85">
        <f>--(F5016&lt;=Estimator!$B$7)</f>
        <v>0</v>
      </c>
      <c r="H5016" s="86">
        <f>SUMIFS('Climate Data'!$G$7:$G$366,'Climate Data'!$A$7:$A$366,Estimator!$B$4,'Climate Data'!$B$7:$B$366,C5016)</f>
        <v>0.20666666666666667</v>
      </c>
      <c r="I5016" s="87">
        <f>SUMIFS('Climate Data'!$H$7:$H$366,'Climate Data'!$A$7:$A$366,Estimator!$B$4,'Climate Data'!$B$7:$B$366,C5016)</f>
        <v>6.806451612903226</v>
      </c>
      <c r="J5016" s="86">
        <f>SUMIFS('Wind Proxy'!$H$8:$H$19,'Wind Proxy'!$A$8:$A$19,Estimator!$B$4,'Wind Proxy'!$B$8:$B$19,C5016)</f>
        <v>0</v>
      </c>
    </row>
    <row r="5017" spans="1:10" ht="14.4">
      <c r="A5017" s="84">
        <v>50668</v>
      </c>
      <c r="B5017" s="85">
        <v>2038</v>
      </c>
      <c r="C5017" s="85">
        <v>9</v>
      </c>
      <c r="D5017" s="85" t="s">
        <v>73</v>
      </c>
      <c r="E5017" s="85">
        <v>20</v>
      </c>
      <c r="F5017" s="85">
        <v>1</v>
      </c>
      <c r="G5017" s="85">
        <f>--(F5017&lt;=Estimator!$B$7)</f>
        <v>1</v>
      </c>
      <c r="H5017" s="86">
        <f>SUMIFS('Climate Data'!$G$7:$G$366,'Climate Data'!$A$7:$A$366,Estimator!$B$4,'Climate Data'!$B$7:$B$366,C5017)</f>
        <v>0.20666666666666667</v>
      </c>
      <c r="I5017" s="87">
        <f>SUMIFS('Climate Data'!$H$7:$H$366,'Climate Data'!$A$7:$A$366,Estimator!$B$4,'Climate Data'!$B$7:$B$366,C5017)</f>
        <v>6.806451612903226</v>
      </c>
      <c r="J5017" s="86">
        <f>SUMIFS('Wind Proxy'!$H$8:$H$19,'Wind Proxy'!$A$8:$A$19,Estimator!$B$4,'Wind Proxy'!$B$8:$B$19,C5017)</f>
        <v>0</v>
      </c>
    </row>
    <row r="5018" spans="1:10" ht="14.4">
      <c r="A5018" s="84">
        <v>50669</v>
      </c>
      <c r="B5018" s="85">
        <v>2038</v>
      </c>
      <c r="C5018" s="85">
        <v>9</v>
      </c>
      <c r="D5018" s="85" t="s">
        <v>73</v>
      </c>
      <c r="E5018" s="85">
        <v>21</v>
      </c>
      <c r="F5018" s="85">
        <v>2</v>
      </c>
      <c r="G5018" s="85">
        <f>--(F5018&lt;=Estimator!$B$7)</f>
        <v>1</v>
      </c>
      <c r="H5018" s="86">
        <f>SUMIFS('Climate Data'!$G$7:$G$366,'Climate Data'!$A$7:$A$366,Estimator!$B$4,'Climate Data'!$B$7:$B$366,C5018)</f>
        <v>0.20666666666666667</v>
      </c>
      <c r="I5018" s="87">
        <f>SUMIFS('Climate Data'!$H$7:$H$366,'Climate Data'!$A$7:$A$366,Estimator!$B$4,'Climate Data'!$B$7:$B$366,C5018)</f>
        <v>6.806451612903226</v>
      </c>
      <c r="J5018" s="86">
        <f>SUMIFS('Wind Proxy'!$H$8:$H$19,'Wind Proxy'!$A$8:$A$19,Estimator!$B$4,'Wind Proxy'!$B$8:$B$19,C5018)</f>
        <v>0</v>
      </c>
    </row>
    <row r="5019" spans="1:10" ht="14.4">
      <c r="A5019" s="84">
        <v>50670</v>
      </c>
      <c r="B5019" s="85">
        <v>2038</v>
      </c>
      <c r="C5019" s="85">
        <v>9</v>
      </c>
      <c r="D5019" s="85" t="s">
        <v>73</v>
      </c>
      <c r="E5019" s="85">
        <v>22</v>
      </c>
      <c r="F5019" s="85">
        <v>3</v>
      </c>
      <c r="G5019" s="85">
        <f>--(F5019&lt;=Estimator!$B$7)</f>
        <v>1</v>
      </c>
      <c r="H5019" s="86">
        <f>SUMIFS('Climate Data'!$G$7:$G$366,'Climate Data'!$A$7:$A$366,Estimator!$B$4,'Climate Data'!$B$7:$B$366,C5019)</f>
        <v>0.20666666666666667</v>
      </c>
      <c r="I5019" s="87">
        <f>SUMIFS('Climate Data'!$H$7:$H$366,'Climate Data'!$A$7:$A$366,Estimator!$B$4,'Climate Data'!$B$7:$B$366,C5019)</f>
        <v>6.806451612903226</v>
      </c>
      <c r="J5019" s="86">
        <f>SUMIFS('Wind Proxy'!$H$8:$H$19,'Wind Proxy'!$A$8:$A$19,Estimator!$B$4,'Wind Proxy'!$B$8:$B$19,C5019)</f>
        <v>0</v>
      </c>
    </row>
    <row r="5020" spans="1:10" ht="14.4">
      <c r="A5020" s="84">
        <v>50671</v>
      </c>
      <c r="B5020" s="85">
        <v>2038</v>
      </c>
      <c r="C5020" s="85">
        <v>9</v>
      </c>
      <c r="D5020" s="85" t="s">
        <v>73</v>
      </c>
      <c r="E5020" s="85">
        <v>23</v>
      </c>
      <c r="F5020" s="85">
        <v>4</v>
      </c>
      <c r="G5020" s="85">
        <f>--(F5020&lt;=Estimator!$B$7)</f>
        <v>1</v>
      </c>
      <c r="H5020" s="86">
        <f>SUMIFS('Climate Data'!$G$7:$G$366,'Climate Data'!$A$7:$A$366,Estimator!$B$4,'Climate Data'!$B$7:$B$366,C5020)</f>
        <v>0.20666666666666667</v>
      </c>
      <c r="I5020" s="87">
        <f>SUMIFS('Climate Data'!$H$7:$H$366,'Climate Data'!$A$7:$A$366,Estimator!$B$4,'Climate Data'!$B$7:$B$366,C5020)</f>
        <v>6.806451612903226</v>
      </c>
      <c r="J5020" s="86">
        <f>SUMIFS('Wind Proxy'!$H$8:$H$19,'Wind Proxy'!$A$8:$A$19,Estimator!$B$4,'Wind Proxy'!$B$8:$B$19,C5020)</f>
        <v>0</v>
      </c>
    </row>
    <row r="5021" spans="1:10" ht="14.4">
      <c r="A5021" s="84">
        <v>50672</v>
      </c>
      <c r="B5021" s="85">
        <v>2038</v>
      </c>
      <c r="C5021" s="85">
        <v>9</v>
      </c>
      <c r="D5021" s="85" t="s">
        <v>73</v>
      </c>
      <c r="E5021" s="85">
        <v>24</v>
      </c>
      <c r="F5021" s="85">
        <v>5</v>
      </c>
      <c r="G5021" s="85">
        <f>--(F5021&lt;=Estimator!$B$7)</f>
        <v>1</v>
      </c>
      <c r="H5021" s="86">
        <f>SUMIFS('Climate Data'!$G$7:$G$366,'Climate Data'!$A$7:$A$366,Estimator!$B$4,'Climate Data'!$B$7:$B$366,C5021)</f>
        <v>0.20666666666666667</v>
      </c>
      <c r="I5021" s="87">
        <f>SUMIFS('Climate Data'!$H$7:$H$366,'Climate Data'!$A$7:$A$366,Estimator!$B$4,'Climate Data'!$B$7:$B$366,C5021)</f>
        <v>6.806451612903226</v>
      </c>
      <c r="J5021" s="86">
        <f>SUMIFS('Wind Proxy'!$H$8:$H$19,'Wind Proxy'!$A$8:$A$19,Estimator!$B$4,'Wind Proxy'!$B$8:$B$19,C5021)</f>
        <v>0</v>
      </c>
    </row>
    <row r="5022" spans="1:10" ht="14.4">
      <c r="A5022" s="84">
        <v>50673</v>
      </c>
      <c r="B5022" s="85">
        <v>2038</v>
      </c>
      <c r="C5022" s="85">
        <v>9</v>
      </c>
      <c r="D5022" s="85" t="s">
        <v>73</v>
      </c>
      <c r="E5022" s="85">
        <v>25</v>
      </c>
      <c r="F5022" s="85">
        <v>6</v>
      </c>
      <c r="G5022" s="85">
        <f>--(F5022&lt;=Estimator!$B$7)</f>
        <v>0</v>
      </c>
      <c r="H5022" s="86">
        <f>SUMIFS('Climate Data'!$G$7:$G$366,'Climate Data'!$A$7:$A$366,Estimator!$B$4,'Climate Data'!$B$7:$B$366,C5022)</f>
        <v>0.20666666666666667</v>
      </c>
      <c r="I5022" s="87">
        <f>SUMIFS('Climate Data'!$H$7:$H$366,'Climate Data'!$A$7:$A$366,Estimator!$B$4,'Climate Data'!$B$7:$B$366,C5022)</f>
        <v>6.806451612903226</v>
      </c>
      <c r="J5022" s="86">
        <f>SUMIFS('Wind Proxy'!$H$8:$H$19,'Wind Proxy'!$A$8:$A$19,Estimator!$B$4,'Wind Proxy'!$B$8:$B$19,C5022)</f>
        <v>0</v>
      </c>
    </row>
    <row r="5023" spans="1:10" ht="14.4">
      <c r="A5023" s="84">
        <v>50674</v>
      </c>
      <c r="B5023" s="85">
        <v>2038</v>
      </c>
      <c r="C5023" s="85">
        <v>9</v>
      </c>
      <c r="D5023" s="85" t="s">
        <v>73</v>
      </c>
      <c r="E5023" s="85">
        <v>26</v>
      </c>
      <c r="F5023" s="85">
        <v>7</v>
      </c>
      <c r="G5023" s="85">
        <f>--(F5023&lt;=Estimator!$B$7)</f>
        <v>0</v>
      </c>
      <c r="H5023" s="86">
        <f>SUMIFS('Climate Data'!$G$7:$G$366,'Climate Data'!$A$7:$A$366,Estimator!$B$4,'Climate Data'!$B$7:$B$366,C5023)</f>
        <v>0.20666666666666667</v>
      </c>
      <c r="I5023" s="87">
        <f>SUMIFS('Climate Data'!$H$7:$H$366,'Climate Data'!$A$7:$A$366,Estimator!$B$4,'Climate Data'!$B$7:$B$366,C5023)</f>
        <v>6.806451612903226</v>
      </c>
      <c r="J5023" s="86">
        <f>SUMIFS('Wind Proxy'!$H$8:$H$19,'Wind Proxy'!$A$8:$A$19,Estimator!$B$4,'Wind Proxy'!$B$8:$B$19,C5023)</f>
        <v>0</v>
      </c>
    </row>
    <row r="5024" spans="1:10" ht="14.4">
      <c r="A5024" s="84">
        <v>50675</v>
      </c>
      <c r="B5024" s="85">
        <v>2038</v>
      </c>
      <c r="C5024" s="85">
        <v>9</v>
      </c>
      <c r="D5024" s="85" t="s">
        <v>73</v>
      </c>
      <c r="E5024" s="85">
        <v>27</v>
      </c>
      <c r="F5024" s="85">
        <v>1</v>
      </c>
      <c r="G5024" s="85">
        <f>--(F5024&lt;=Estimator!$B$7)</f>
        <v>1</v>
      </c>
      <c r="H5024" s="86">
        <f>SUMIFS('Climate Data'!$G$7:$G$366,'Climate Data'!$A$7:$A$366,Estimator!$B$4,'Climate Data'!$B$7:$B$366,C5024)</f>
        <v>0.20666666666666667</v>
      </c>
      <c r="I5024" s="87">
        <f>SUMIFS('Climate Data'!$H$7:$H$366,'Climate Data'!$A$7:$A$366,Estimator!$B$4,'Climate Data'!$B$7:$B$366,C5024)</f>
        <v>6.806451612903226</v>
      </c>
      <c r="J5024" s="86">
        <f>SUMIFS('Wind Proxy'!$H$8:$H$19,'Wind Proxy'!$A$8:$A$19,Estimator!$B$4,'Wind Proxy'!$B$8:$B$19,C5024)</f>
        <v>0</v>
      </c>
    </row>
    <row r="5025" spans="1:10" ht="14.4">
      <c r="A5025" s="84">
        <v>50676</v>
      </c>
      <c r="B5025" s="85">
        <v>2038</v>
      </c>
      <c r="C5025" s="85">
        <v>9</v>
      </c>
      <c r="D5025" s="85" t="s">
        <v>73</v>
      </c>
      <c r="E5025" s="85">
        <v>28</v>
      </c>
      <c r="F5025" s="85">
        <v>2</v>
      </c>
      <c r="G5025" s="85">
        <f>--(F5025&lt;=Estimator!$B$7)</f>
        <v>1</v>
      </c>
      <c r="H5025" s="86">
        <f>SUMIFS('Climate Data'!$G$7:$G$366,'Climate Data'!$A$7:$A$366,Estimator!$B$4,'Climate Data'!$B$7:$B$366,C5025)</f>
        <v>0.20666666666666667</v>
      </c>
      <c r="I5025" s="87">
        <f>SUMIFS('Climate Data'!$H$7:$H$366,'Climate Data'!$A$7:$A$366,Estimator!$B$4,'Climate Data'!$B$7:$B$366,C5025)</f>
        <v>6.806451612903226</v>
      </c>
      <c r="J5025" s="86">
        <f>SUMIFS('Wind Proxy'!$H$8:$H$19,'Wind Proxy'!$A$8:$A$19,Estimator!$B$4,'Wind Proxy'!$B$8:$B$19,C5025)</f>
        <v>0</v>
      </c>
    </row>
    <row r="5026" spans="1:10" ht="14.4">
      <c r="A5026" s="84">
        <v>50677</v>
      </c>
      <c r="B5026" s="85">
        <v>2038</v>
      </c>
      <c r="C5026" s="85">
        <v>9</v>
      </c>
      <c r="D5026" s="85" t="s">
        <v>73</v>
      </c>
      <c r="E5026" s="85">
        <v>29</v>
      </c>
      <c r="F5026" s="85">
        <v>3</v>
      </c>
      <c r="G5026" s="85">
        <f>--(F5026&lt;=Estimator!$B$7)</f>
        <v>1</v>
      </c>
      <c r="H5026" s="86">
        <f>SUMIFS('Climate Data'!$G$7:$G$366,'Climate Data'!$A$7:$A$366,Estimator!$B$4,'Climate Data'!$B$7:$B$366,C5026)</f>
        <v>0.20666666666666667</v>
      </c>
      <c r="I5026" s="87">
        <f>SUMIFS('Climate Data'!$H$7:$H$366,'Climate Data'!$A$7:$A$366,Estimator!$B$4,'Climate Data'!$B$7:$B$366,C5026)</f>
        <v>6.806451612903226</v>
      </c>
      <c r="J5026" s="86">
        <f>SUMIFS('Wind Proxy'!$H$8:$H$19,'Wind Proxy'!$A$8:$A$19,Estimator!$B$4,'Wind Proxy'!$B$8:$B$19,C5026)</f>
        <v>0</v>
      </c>
    </row>
    <row r="5027" spans="1:10" ht="14.4">
      <c r="A5027" s="84">
        <v>50678</v>
      </c>
      <c r="B5027" s="85">
        <v>2038</v>
      </c>
      <c r="C5027" s="85">
        <v>9</v>
      </c>
      <c r="D5027" s="85" t="s">
        <v>73</v>
      </c>
      <c r="E5027" s="85">
        <v>30</v>
      </c>
      <c r="F5027" s="85">
        <v>4</v>
      </c>
      <c r="G5027" s="85">
        <f>--(F5027&lt;=Estimator!$B$7)</f>
        <v>1</v>
      </c>
      <c r="H5027" s="86">
        <f>SUMIFS('Climate Data'!$G$7:$G$366,'Climate Data'!$A$7:$A$366,Estimator!$B$4,'Climate Data'!$B$7:$B$366,C5027)</f>
        <v>0.20666666666666667</v>
      </c>
      <c r="I5027" s="87">
        <f>SUMIFS('Climate Data'!$H$7:$H$366,'Climate Data'!$A$7:$A$366,Estimator!$B$4,'Climate Data'!$B$7:$B$366,C5027)</f>
        <v>6.806451612903226</v>
      </c>
      <c r="J5027" s="86">
        <f>SUMIFS('Wind Proxy'!$H$8:$H$19,'Wind Proxy'!$A$8:$A$19,Estimator!$B$4,'Wind Proxy'!$B$8:$B$19,C5027)</f>
        <v>0</v>
      </c>
    </row>
    <row r="5028" spans="1:10" ht="14.4">
      <c r="A5028" s="84">
        <v>50679</v>
      </c>
      <c r="B5028" s="85">
        <v>2038</v>
      </c>
      <c r="C5028" s="85">
        <v>10</v>
      </c>
      <c r="D5028" s="85" t="s">
        <v>75</v>
      </c>
      <c r="E5028" s="85">
        <v>1</v>
      </c>
      <c r="F5028" s="85">
        <v>5</v>
      </c>
      <c r="G5028" s="85">
        <f>--(F5028&lt;=Estimator!$B$7)</f>
        <v>1</v>
      </c>
      <c r="H5028" s="86">
        <f>SUMIFS('Climate Data'!$G$7:$G$366,'Climate Data'!$A$7:$A$366,Estimator!$B$4,'Climate Data'!$B$7:$B$366,C5028)</f>
        <v>0.23225806451612904</v>
      </c>
      <c r="I5028" s="87">
        <f>SUMIFS('Climate Data'!$H$7:$H$366,'Climate Data'!$A$7:$A$366,Estimator!$B$4,'Climate Data'!$B$7:$B$366,C5028)</f>
        <v>6.8194444444444446</v>
      </c>
      <c r="J5028" s="86">
        <f>SUMIFS('Wind Proxy'!$H$8:$H$19,'Wind Proxy'!$A$8:$A$19,Estimator!$B$4,'Wind Proxy'!$B$8:$B$19,C5028)</f>
        <v>0</v>
      </c>
    </row>
    <row r="5029" spans="1:10" ht="14.4">
      <c r="A5029" s="84">
        <v>50680</v>
      </c>
      <c r="B5029" s="85">
        <v>2038</v>
      </c>
      <c r="C5029" s="85">
        <v>10</v>
      </c>
      <c r="D5029" s="85" t="s">
        <v>75</v>
      </c>
      <c r="E5029" s="85">
        <v>2</v>
      </c>
      <c r="F5029" s="85">
        <v>6</v>
      </c>
      <c r="G5029" s="85">
        <f>--(F5029&lt;=Estimator!$B$7)</f>
        <v>0</v>
      </c>
      <c r="H5029" s="86">
        <f>SUMIFS('Climate Data'!$G$7:$G$366,'Climate Data'!$A$7:$A$366,Estimator!$B$4,'Climate Data'!$B$7:$B$366,C5029)</f>
        <v>0.23225806451612904</v>
      </c>
      <c r="I5029" s="87">
        <f>SUMIFS('Climate Data'!$H$7:$H$366,'Climate Data'!$A$7:$A$366,Estimator!$B$4,'Climate Data'!$B$7:$B$366,C5029)</f>
        <v>6.8194444444444446</v>
      </c>
      <c r="J5029" s="86">
        <f>SUMIFS('Wind Proxy'!$H$8:$H$19,'Wind Proxy'!$A$8:$A$19,Estimator!$B$4,'Wind Proxy'!$B$8:$B$19,C5029)</f>
        <v>0</v>
      </c>
    </row>
    <row r="5030" spans="1:10" ht="14.4">
      <c r="A5030" s="84">
        <v>50681</v>
      </c>
      <c r="B5030" s="85">
        <v>2038</v>
      </c>
      <c r="C5030" s="85">
        <v>10</v>
      </c>
      <c r="D5030" s="85" t="s">
        <v>75</v>
      </c>
      <c r="E5030" s="85">
        <v>3</v>
      </c>
      <c r="F5030" s="85">
        <v>7</v>
      </c>
      <c r="G5030" s="85">
        <f>--(F5030&lt;=Estimator!$B$7)</f>
        <v>0</v>
      </c>
      <c r="H5030" s="86">
        <f>SUMIFS('Climate Data'!$G$7:$G$366,'Climate Data'!$A$7:$A$366,Estimator!$B$4,'Climate Data'!$B$7:$B$366,C5030)</f>
        <v>0.23225806451612904</v>
      </c>
      <c r="I5030" s="87">
        <f>SUMIFS('Climate Data'!$H$7:$H$366,'Climate Data'!$A$7:$A$366,Estimator!$B$4,'Climate Data'!$B$7:$B$366,C5030)</f>
        <v>6.8194444444444446</v>
      </c>
      <c r="J5030" s="86">
        <f>SUMIFS('Wind Proxy'!$H$8:$H$19,'Wind Proxy'!$A$8:$A$19,Estimator!$B$4,'Wind Proxy'!$B$8:$B$19,C5030)</f>
        <v>0</v>
      </c>
    </row>
    <row r="5031" spans="1:10" ht="14.4">
      <c r="A5031" s="84">
        <v>50682</v>
      </c>
      <c r="B5031" s="85">
        <v>2038</v>
      </c>
      <c r="C5031" s="85">
        <v>10</v>
      </c>
      <c r="D5031" s="85" t="s">
        <v>75</v>
      </c>
      <c r="E5031" s="85">
        <v>4</v>
      </c>
      <c r="F5031" s="85">
        <v>1</v>
      </c>
      <c r="G5031" s="85">
        <f>--(F5031&lt;=Estimator!$B$7)</f>
        <v>1</v>
      </c>
      <c r="H5031" s="86">
        <f>SUMIFS('Climate Data'!$G$7:$G$366,'Climate Data'!$A$7:$A$366,Estimator!$B$4,'Climate Data'!$B$7:$B$366,C5031)</f>
        <v>0.23225806451612904</v>
      </c>
      <c r="I5031" s="87">
        <f>SUMIFS('Climate Data'!$H$7:$H$366,'Climate Data'!$A$7:$A$366,Estimator!$B$4,'Climate Data'!$B$7:$B$366,C5031)</f>
        <v>6.8194444444444446</v>
      </c>
      <c r="J5031" s="86">
        <f>SUMIFS('Wind Proxy'!$H$8:$H$19,'Wind Proxy'!$A$8:$A$19,Estimator!$B$4,'Wind Proxy'!$B$8:$B$19,C5031)</f>
        <v>0</v>
      </c>
    </row>
    <row r="5032" spans="1:10" ht="14.4">
      <c r="A5032" s="84">
        <v>50683</v>
      </c>
      <c r="B5032" s="85">
        <v>2038</v>
      </c>
      <c r="C5032" s="85">
        <v>10</v>
      </c>
      <c r="D5032" s="85" t="s">
        <v>75</v>
      </c>
      <c r="E5032" s="85">
        <v>5</v>
      </c>
      <c r="F5032" s="85">
        <v>2</v>
      </c>
      <c r="G5032" s="85">
        <f>--(F5032&lt;=Estimator!$B$7)</f>
        <v>1</v>
      </c>
      <c r="H5032" s="86">
        <f>SUMIFS('Climate Data'!$G$7:$G$366,'Climate Data'!$A$7:$A$366,Estimator!$B$4,'Climate Data'!$B$7:$B$366,C5032)</f>
        <v>0.23225806451612904</v>
      </c>
      <c r="I5032" s="87">
        <f>SUMIFS('Climate Data'!$H$7:$H$366,'Climate Data'!$A$7:$A$366,Estimator!$B$4,'Climate Data'!$B$7:$B$366,C5032)</f>
        <v>6.8194444444444446</v>
      </c>
      <c r="J5032" s="86">
        <f>SUMIFS('Wind Proxy'!$H$8:$H$19,'Wind Proxy'!$A$8:$A$19,Estimator!$B$4,'Wind Proxy'!$B$8:$B$19,C5032)</f>
        <v>0</v>
      </c>
    </row>
    <row r="5033" spans="1:10" ht="14.4">
      <c r="A5033" s="84">
        <v>50684</v>
      </c>
      <c r="B5033" s="85">
        <v>2038</v>
      </c>
      <c r="C5033" s="85">
        <v>10</v>
      </c>
      <c r="D5033" s="85" t="s">
        <v>75</v>
      </c>
      <c r="E5033" s="85">
        <v>6</v>
      </c>
      <c r="F5033" s="85">
        <v>3</v>
      </c>
      <c r="G5033" s="85">
        <f>--(F5033&lt;=Estimator!$B$7)</f>
        <v>1</v>
      </c>
      <c r="H5033" s="86">
        <f>SUMIFS('Climate Data'!$G$7:$G$366,'Climate Data'!$A$7:$A$366,Estimator!$B$4,'Climate Data'!$B$7:$B$366,C5033)</f>
        <v>0.23225806451612904</v>
      </c>
      <c r="I5033" s="87">
        <f>SUMIFS('Climate Data'!$H$7:$H$366,'Climate Data'!$A$7:$A$366,Estimator!$B$4,'Climate Data'!$B$7:$B$366,C5033)</f>
        <v>6.8194444444444446</v>
      </c>
      <c r="J5033" s="86">
        <f>SUMIFS('Wind Proxy'!$H$8:$H$19,'Wind Proxy'!$A$8:$A$19,Estimator!$B$4,'Wind Proxy'!$B$8:$B$19,C5033)</f>
        <v>0</v>
      </c>
    </row>
    <row r="5034" spans="1:10" ht="14.4">
      <c r="A5034" s="84">
        <v>50685</v>
      </c>
      <c r="B5034" s="85">
        <v>2038</v>
      </c>
      <c r="C5034" s="85">
        <v>10</v>
      </c>
      <c r="D5034" s="85" t="s">
        <v>75</v>
      </c>
      <c r="E5034" s="85">
        <v>7</v>
      </c>
      <c r="F5034" s="85">
        <v>4</v>
      </c>
      <c r="G5034" s="85">
        <f>--(F5034&lt;=Estimator!$B$7)</f>
        <v>1</v>
      </c>
      <c r="H5034" s="86">
        <f>SUMIFS('Climate Data'!$G$7:$G$366,'Climate Data'!$A$7:$A$366,Estimator!$B$4,'Climate Data'!$B$7:$B$366,C5034)</f>
        <v>0.23225806451612904</v>
      </c>
      <c r="I5034" s="87">
        <f>SUMIFS('Climate Data'!$H$7:$H$366,'Climate Data'!$A$7:$A$366,Estimator!$B$4,'Climate Data'!$B$7:$B$366,C5034)</f>
        <v>6.8194444444444446</v>
      </c>
      <c r="J5034" s="86">
        <f>SUMIFS('Wind Proxy'!$H$8:$H$19,'Wind Proxy'!$A$8:$A$19,Estimator!$B$4,'Wind Proxy'!$B$8:$B$19,C5034)</f>
        <v>0</v>
      </c>
    </row>
    <row r="5035" spans="1:10" ht="14.4">
      <c r="A5035" s="84">
        <v>50686</v>
      </c>
      <c r="B5035" s="85">
        <v>2038</v>
      </c>
      <c r="C5035" s="85">
        <v>10</v>
      </c>
      <c r="D5035" s="85" t="s">
        <v>75</v>
      </c>
      <c r="E5035" s="85">
        <v>8</v>
      </c>
      <c r="F5035" s="85">
        <v>5</v>
      </c>
      <c r="G5035" s="85">
        <f>--(F5035&lt;=Estimator!$B$7)</f>
        <v>1</v>
      </c>
      <c r="H5035" s="86">
        <f>SUMIFS('Climate Data'!$G$7:$G$366,'Climate Data'!$A$7:$A$366,Estimator!$B$4,'Climate Data'!$B$7:$B$366,C5035)</f>
        <v>0.23225806451612904</v>
      </c>
      <c r="I5035" s="87">
        <f>SUMIFS('Climate Data'!$H$7:$H$366,'Climate Data'!$A$7:$A$366,Estimator!$B$4,'Climate Data'!$B$7:$B$366,C5035)</f>
        <v>6.8194444444444446</v>
      </c>
      <c r="J5035" s="86">
        <f>SUMIFS('Wind Proxy'!$H$8:$H$19,'Wind Proxy'!$A$8:$A$19,Estimator!$B$4,'Wind Proxy'!$B$8:$B$19,C5035)</f>
        <v>0</v>
      </c>
    </row>
    <row r="5036" spans="1:10" ht="14.4">
      <c r="A5036" s="84">
        <v>50687</v>
      </c>
      <c r="B5036" s="85">
        <v>2038</v>
      </c>
      <c r="C5036" s="85">
        <v>10</v>
      </c>
      <c r="D5036" s="85" t="s">
        <v>75</v>
      </c>
      <c r="E5036" s="85">
        <v>9</v>
      </c>
      <c r="F5036" s="85">
        <v>6</v>
      </c>
      <c r="G5036" s="85">
        <f>--(F5036&lt;=Estimator!$B$7)</f>
        <v>0</v>
      </c>
      <c r="H5036" s="86">
        <f>SUMIFS('Climate Data'!$G$7:$G$366,'Climate Data'!$A$7:$A$366,Estimator!$B$4,'Climate Data'!$B$7:$B$366,C5036)</f>
        <v>0.23225806451612904</v>
      </c>
      <c r="I5036" s="87">
        <f>SUMIFS('Climate Data'!$H$7:$H$366,'Climate Data'!$A$7:$A$366,Estimator!$B$4,'Climate Data'!$B$7:$B$366,C5036)</f>
        <v>6.8194444444444446</v>
      </c>
      <c r="J5036" s="86">
        <f>SUMIFS('Wind Proxy'!$H$8:$H$19,'Wind Proxy'!$A$8:$A$19,Estimator!$B$4,'Wind Proxy'!$B$8:$B$19,C5036)</f>
        <v>0</v>
      </c>
    </row>
    <row r="5037" spans="1:10" ht="14.4">
      <c r="A5037" s="84">
        <v>50688</v>
      </c>
      <c r="B5037" s="85">
        <v>2038</v>
      </c>
      <c r="C5037" s="85">
        <v>10</v>
      </c>
      <c r="D5037" s="85" t="s">
        <v>75</v>
      </c>
      <c r="E5037" s="85">
        <v>10</v>
      </c>
      <c r="F5037" s="85">
        <v>7</v>
      </c>
      <c r="G5037" s="85">
        <f>--(F5037&lt;=Estimator!$B$7)</f>
        <v>0</v>
      </c>
      <c r="H5037" s="86">
        <f>SUMIFS('Climate Data'!$G$7:$G$366,'Climate Data'!$A$7:$A$366,Estimator!$B$4,'Climate Data'!$B$7:$B$366,C5037)</f>
        <v>0.23225806451612904</v>
      </c>
      <c r="I5037" s="87">
        <f>SUMIFS('Climate Data'!$H$7:$H$366,'Climate Data'!$A$7:$A$366,Estimator!$B$4,'Climate Data'!$B$7:$B$366,C5037)</f>
        <v>6.8194444444444446</v>
      </c>
      <c r="J5037" s="86">
        <f>SUMIFS('Wind Proxy'!$H$8:$H$19,'Wind Proxy'!$A$8:$A$19,Estimator!$B$4,'Wind Proxy'!$B$8:$B$19,C5037)</f>
        <v>0</v>
      </c>
    </row>
    <row r="5038" spans="1:10" ht="14.4">
      <c r="A5038" s="84">
        <v>50689</v>
      </c>
      <c r="B5038" s="85">
        <v>2038</v>
      </c>
      <c r="C5038" s="85">
        <v>10</v>
      </c>
      <c r="D5038" s="85" t="s">
        <v>75</v>
      </c>
      <c r="E5038" s="85">
        <v>11</v>
      </c>
      <c r="F5038" s="85">
        <v>1</v>
      </c>
      <c r="G5038" s="85">
        <f>--(F5038&lt;=Estimator!$B$7)</f>
        <v>1</v>
      </c>
      <c r="H5038" s="86">
        <f>SUMIFS('Climate Data'!$G$7:$G$366,'Climate Data'!$A$7:$A$366,Estimator!$B$4,'Climate Data'!$B$7:$B$366,C5038)</f>
        <v>0.23225806451612904</v>
      </c>
      <c r="I5038" s="87">
        <f>SUMIFS('Climate Data'!$H$7:$H$366,'Climate Data'!$A$7:$A$366,Estimator!$B$4,'Climate Data'!$B$7:$B$366,C5038)</f>
        <v>6.8194444444444446</v>
      </c>
      <c r="J5038" s="86">
        <f>SUMIFS('Wind Proxy'!$H$8:$H$19,'Wind Proxy'!$A$8:$A$19,Estimator!$B$4,'Wind Proxy'!$B$8:$B$19,C5038)</f>
        <v>0</v>
      </c>
    </row>
    <row r="5039" spans="1:10" ht="14.4">
      <c r="A5039" s="84">
        <v>50690</v>
      </c>
      <c r="B5039" s="85">
        <v>2038</v>
      </c>
      <c r="C5039" s="85">
        <v>10</v>
      </c>
      <c r="D5039" s="85" t="s">
        <v>75</v>
      </c>
      <c r="E5039" s="85">
        <v>12</v>
      </c>
      <c r="F5039" s="85">
        <v>2</v>
      </c>
      <c r="G5039" s="85">
        <f>--(F5039&lt;=Estimator!$B$7)</f>
        <v>1</v>
      </c>
      <c r="H5039" s="86">
        <f>SUMIFS('Climate Data'!$G$7:$G$366,'Climate Data'!$A$7:$A$366,Estimator!$B$4,'Climate Data'!$B$7:$B$366,C5039)</f>
        <v>0.23225806451612904</v>
      </c>
      <c r="I5039" s="87">
        <f>SUMIFS('Climate Data'!$H$7:$H$366,'Climate Data'!$A$7:$A$366,Estimator!$B$4,'Climate Data'!$B$7:$B$366,C5039)</f>
        <v>6.8194444444444446</v>
      </c>
      <c r="J5039" s="86">
        <f>SUMIFS('Wind Proxy'!$H$8:$H$19,'Wind Proxy'!$A$8:$A$19,Estimator!$B$4,'Wind Proxy'!$B$8:$B$19,C5039)</f>
        <v>0</v>
      </c>
    </row>
    <row r="5040" spans="1:10" ht="14.4">
      <c r="A5040" s="84">
        <v>50691</v>
      </c>
      <c r="B5040" s="85">
        <v>2038</v>
      </c>
      <c r="C5040" s="85">
        <v>10</v>
      </c>
      <c r="D5040" s="85" t="s">
        <v>75</v>
      </c>
      <c r="E5040" s="85">
        <v>13</v>
      </c>
      <c r="F5040" s="85">
        <v>3</v>
      </c>
      <c r="G5040" s="85">
        <f>--(F5040&lt;=Estimator!$B$7)</f>
        <v>1</v>
      </c>
      <c r="H5040" s="86">
        <f>SUMIFS('Climate Data'!$G$7:$G$366,'Climate Data'!$A$7:$A$366,Estimator!$B$4,'Climate Data'!$B$7:$B$366,C5040)</f>
        <v>0.23225806451612904</v>
      </c>
      <c r="I5040" s="87">
        <f>SUMIFS('Climate Data'!$H$7:$H$366,'Climate Data'!$A$7:$A$366,Estimator!$B$4,'Climate Data'!$B$7:$B$366,C5040)</f>
        <v>6.8194444444444446</v>
      </c>
      <c r="J5040" s="86">
        <f>SUMIFS('Wind Proxy'!$H$8:$H$19,'Wind Proxy'!$A$8:$A$19,Estimator!$B$4,'Wind Proxy'!$B$8:$B$19,C5040)</f>
        <v>0</v>
      </c>
    </row>
    <row r="5041" spans="1:10" ht="14.4">
      <c r="A5041" s="84">
        <v>50692</v>
      </c>
      <c r="B5041" s="85">
        <v>2038</v>
      </c>
      <c r="C5041" s="85">
        <v>10</v>
      </c>
      <c r="D5041" s="85" t="s">
        <v>75</v>
      </c>
      <c r="E5041" s="85">
        <v>14</v>
      </c>
      <c r="F5041" s="85">
        <v>4</v>
      </c>
      <c r="G5041" s="85">
        <f>--(F5041&lt;=Estimator!$B$7)</f>
        <v>1</v>
      </c>
      <c r="H5041" s="86">
        <f>SUMIFS('Climate Data'!$G$7:$G$366,'Climate Data'!$A$7:$A$366,Estimator!$B$4,'Climate Data'!$B$7:$B$366,C5041)</f>
        <v>0.23225806451612904</v>
      </c>
      <c r="I5041" s="87">
        <f>SUMIFS('Climate Data'!$H$7:$H$366,'Climate Data'!$A$7:$A$366,Estimator!$B$4,'Climate Data'!$B$7:$B$366,C5041)</f>
        <v>6.8194444444444446</v>
      </c>
      <c r="J5041" s="86">
        <f>SUMIFS('Wind Proxy'!$H$8:$H$19,'Wind Proxy'!$A$8:$A$19,Estimator!$B$4,'Wind Proxy'!$B$8:$B$19,C5041)</f>
        <v>0</v>
      </c>
    </row>
    <row r="5042" spans="1:10" ht="14.4">
      <c r="A5042" s="84">
        <v>50693</v>
      </c>
      <c r="B5042" s="85">
        <v>2038</v>
      </c>
      <c r="C5042" s="85">
        <v>10</v>
      </c>
      <c r="D5042" s="85" t="s">
        <v>75</v>
      </c>
      <c r="E5042" s="85">
        <v>15</v>
      </c>
      <c r="F5042" s="85">
        <v>5</v>
      </c>
      <c r="G5042" s="85">
        <f>--(F5042&lt;=Estimator!$B$7)</f>
        <v>1</v>
      </c>
      <c r="H5042" s="86">
        <f>SUMIFS('Climate Data'!$G$7:$G$366,'Climate Data'!$A$7:$A$366,Estimator!$B$4,'Climate Data'!$B$7:$B$366,C5042)</f>
        <v>0.23225806451612904</v>
      </c>
      <c r="I5042" s="87">
        <f>SUMIFS('Climate Data'!$H$7:$H$366,'Climate Data'!$A$7:$A$366,Estimator!$B$4,'Climate Data'!$B$7:$B$366,C5042)</f>
        <v>6.8194444444444446</v>
      </c>
      <c r="J5042" s="86">
        <f>SUMIFS('Wind Proxy'!$H$8:$H$19,'Wind Proxy'!$A$8:$A$19,Estimator!$B$4,'Wind Proxy'!$B$8:$B$19,C5042)</f>
        <v>0</v>
      </c>
    </row>
    <row r="5043" spans="1:10" ht="14.4">
      <c r="A5043" s="84">
        <v>50694</v>
      </c>
      <c r="B5043" s="85">
        <v>2038</v>
      </c>
      <c r="C5043" s="85">
        <v>10</v>
      </c>
      <c r="D5043" s="85" t="s">
        <v>75</v>
      </c>
      <c r="E5043" s="85">
        <v>16</v>
      </c>
      <c r="F5043" s="85">
        <v>6</v>
      </c>
      <c r="G5043" s="85">
        <f>--(F5043&lt;=Estimator!$B$7)</f>
        <v>0</v>
      </c>
      <c r="H5043" s="86">
        <f>SUMIFS('Climate Data'!$G$7:$G$366,'Climate Data'!$A$7:$A$366,Estimator!$B$4,'Climate Data'!$B$7:$B$366,C5043)</f>
        <v>0.23225806451612904</v>
      </c>
      <c r="I5043" s="87">
        <f>SUMIFS('Climate Data'!$H$7:$H$366,'Climate Data'!$A$7:$A$366,Estimator!$B$4,'Climate Data'!$B$7:$B$366,C5043)</f>
        <v>6.8194444444444446</v>
      </c>
      <c r="J5043" s="86">
        <f>SUMIFS('Wind Proxy'!$H$8:$H$19,'Wind Proxy'!$A$8:$A$19,Estimator!$B$4,'Wind Proxy'!$B$8:$B$19,C5043)</f>
        <v>0</v>
      </c>
    </row>
    <row r="5044" spans="1:10" ht="14.4">
      <c r="A5044" s="84">
        <v>50695</v>
      </c>
      <c r="B5044" s="85">
        <v>2038</v>
      </c>
      <c r="C5044" s="85">
        <v>10</v>
      </c>
      <c r="D5044" s="85" t="s">
        <v>75</v>
      </c>
      <c r="E5044" s="85">
        <v>17</v>
      </c>
      <c r="F5044" s="85">
        <v>7</v>
      </c>
      <c r="G5044" s="85">
        <f>--(F5044&lt;=Estimator!$B$7)</f>
        <v>0</v>
      </c>
      <c r="H5044" s="86">
        <f>SUMIFS('Climate Data'!$G$7:$G$366,'Climate Data'!$A$7:$A$366,Estimator!$B$4,'Climate Data'!$B$7:$B$366,C5044)</f>
        <v>0.23225806451612904</v>
      </c>
      <c r="I5044" s="87">
        <f>SUMIFS('Climate Data'!$H$7:$H$366,'Climate Data'!$A$7:$A$366,Estimator!$B$4,'Climate Data'!$B$7:$B$366,C5044)</f>
        <v>6.8194444444444446</v>
      </c>
      <c r="J5044" s="86">
        <f>SUMIFS('Wind Proxy'!$H$8:$H$19,'Wind Proxy'!$A$8:$A$19,Estimator!$B$4,'Wind Proxy'!$B$8:$B$19,C5044)</f>
        <v>0</v>
      </c>
    </row>
    <row r="5045" spans="1:10" ht="14.4">
      <c r="A5045" s="84">
        <v>50696</v>
      </c>
      <c r="B5045" s="85">
        <v>2038</v>
      </c>
      <c r="C5045" s="85">
        <v>10</v>
      </c>
      <c r="D5045" s="85" t="s">
        <v>75</v>
      </c>
      <c r="E5045" s="85">
        <v>18</v>
      </c>
      <c r="F5045" s="85">
        <v>1</v>
      </c>
      <c r="G5045" s="85">
        <f>--(F5045&lt;=Estimator!$B$7)</f>
        <v>1</v>
      </c>
      <c r="H5045" s="86">
        <f>SUMIFS('Climate Data'!$G$7:$G$366,'Climate Data'!$A$7:$A$366,Estimator!$B$4,'Climate Data'!$B$7:$B$366,C5045)</f>
        <v>0.23225806451612904</v>
      </c>
      <c r="I5045" s="87">
        <f>SUMIFS('Climate Data'!$H$7:$H$366,'Climate Data'!$A$7:$A$366,Estimator!$B$4,'Climate Data'!$B$7:$B$366,C5045)</f>
        <v>6.8194444444444446</v>
      </c>
      <c r="J5045" s="86">
        <f>SUMIFS('Wind Proxy'!$H$8:$H$19,'Wind Proxy'!$A$8:$A$19,Estimator!$B$4,'Wind Proxy'!$B$8:$B$19,C5045)</f>
        <v>0</v>
      </c>
    </row>
    <row r="5046" spans="1:10" ht="14.4">
      <c r="A5046" s="84">
        <v>50697</v>
      </c>
      <c r="B5046" s="85">
        <v>2038</v>
      </c>
      <c r="C5046" s="85">
        <v>10</v>
      </c>
      <c r="D5046" s="85" t="s">
        <v>75</v>
      </c>
      <c r="E5046" s="85">
        <v>19</v>
      </c>
      <c r="F5046" s="85">
        <v>2</v>
      </c>
      <c r="G5046" s="85">
        <f>--(F5046&lt;=Estimator!$B$7)</f>
        <v>1</v>
      </c>
      <c r="H5046" s="86">
        <f>SUMIFS('Climate Data'!$G$7:$G$366,'Climate Data'!$A$7:$A$366,Estimator!$B$4,'Climate Data'!$B$7:$B$366,C5046)</f>
        <v>0.23225806451612904</v>
      </c>
      <c r="I5046" s="87">
        <f>SUMIFS('Climate Data'!$H$7:$H$366,'Climate Data'!$A$7:$A$366,Estimator!$B$4,'Climate Data'!$B$7:$B$366,C5046)</f>
        <v>6.8194444444444446</v>
      </c>
      <c r="J5046" s="86">
        <f>SUMIFS('Wind Proxy'!$H$8:$H$19,'Wind Proxy'!$A$8:$A$19,Estimator!$B$4,'Wind Proxy'!$B$8:$B$19,C5046)</f>
        <v>0</v>
      </c>
    </row>
    <row r="5047" spans="1:10" ht="14.4">
      <c r="A5047" s="84">
        <v>50698</v>
      </c>
      <c r="B5047" s="85">
        <v>2038</v>
      </c>
      <c r="C5047" s="85">
        <v>10</v>
      </c>
      <c r="D5047" s="85" t="s">
        <v>75</v>
      </c>
      <c r="E5047" s="85">
        <v>20</v>
      </c>
      <c r="F5047" s="85">
        <v>3</v>
      </c>
      <c r="G5047" s="85">
        <f>--(F5047&lt;=Estimator!$B$7)</f>
        <v>1</v>
      </c>
      <c r="H5047" s="86">
        <f>SUMIFS('Climate Data'!$G$7:$G$366,'Climate Data'!$A$7:$A$366,Estimator!$B$4,'Climate Data'!$B$7:$B$366,C5047)</f>
        <v>0.23225806451612904</v>
      </c>
      <c r="I5047" s="87">
        <f>SUMIFS('Climate Data'!$H$7:$H$366,'Climate Data'!$A$7:$A$366,Estimator!$B$4,'Climate Data'!$B$7:$B$366,C5047)</f>
        <v>6.8194444444444446</v>
      </c>
      <c r="J5047" s="86">
        <f>SUMIFS('Wind Proxy'!$H$8:$H$19,'Wind Proxy'!$A$8:$A$19,Estimator!$B$4,'Wind Proxy'!$B$8:$B$19,C5047)</f>
        <v>0</v>
      </c>
    </row>
    <row r="5048" spans="1:10" ht="14.4">
      <c r="A5048" s="84">
        <v>50699</v>
      </c>
      <c r="B5048" s="85">
        <v>2038</v>
      </c>
      <c r="C5048" s="85">
        <v>10</v>
      </c>
      <c r="D5048" s="85" t="s">
        <v>75</v>
      </c>
      <c r="E5048" s="85">
        <v>21</v>
      </c>
      <c r="F5048" s="85">
        <v>4</v>
      </c>
      <c r="G5048" s="85">
        <f>--(F5048&lt;=Estimator!$B$7)</f>
        <v>1</v>
      </c>
      <c r="H5048" s="86">
        <f>SUMIFS('Climate Data'!$G$7:$G$366,'Climate Data'!$A$7:$A$366,Estimator!$B$4,'Climate Data'!$B$7:$B$366,C5048)</f>
        <v>0.23225806451612904</v>
      </c>
      <c r="I5048" s="87">
        <f>SUMIFS('Climate Data'!$H$7:$H$366,'Climate Data'!$A$7:$A$366,Estimator!$B$4,'Climate Data'!$B$7:$B$366,C5048)</f>
        <v>6.8194444444444446</v>
      </c>
      <c r="J5048" s="86">
        <f>SUMIFS('Wind Proxy'!$H$8:$H$19,'Wind Proxy'!$A$8:$A$19,Estimator!$B$4,'Wind Proxy'!$B$8:$B$19,C5048)</f>
        <v>0</v>
      </c>
    </row>
    <row r="5049" spans="1:10" ht="14.4">
      <c r="A5049" s="84">
        <v>50700</v>
      </c>
      <c r="B5049" s="85">
        <v>2038</v>
      </c>
      <c r="C5049" s="85">
        <v>10</v>
      </c>
      <c r="D5049" s="85" t="s">
        <v>75</v>
      </c>
      <c r="E5049" s="85">
        <v>22</v>
      </c>
      <c r="F5049" s="85">
        <v>5</v>
      </c>
      <c r="G5049" s="85">
        <f>--(F5049&lt;=Estimator!$B$7)</f>
        <v>1</v>
      </c>
      <c r="H5049" s="86">
        <f>SUMIFS('Climate Data'!$G$7:$G$366,'Climate Data'!$A$7:$A$366,Estimator!$B$4,'Climate Data'!$B$7:$B$366,C5049)</f>
        <v>0.23225806451612904</v>
      </c>
      <c r="I5049" s="87">
        <f>SUMIFS('Climate Data'!$H$7:$H$366,'Climate Data'!$A$7:$A$366,Estimator!$B$4,'Climate Data'!$B$7:$B$366,C5049)</f>
        <v>6.8194444444444446</v>
      </c>
      <c r="J5049" s="86">
        <f>SUMIFS('Wind Proxy'!$H$8:$H$19,'Wind Proxy'!$A$8:$A$19,Estimator!$B$4,'Wind Proxy'!$B$8:$B$19,C5049)</f>
        <v>0</v>
      </c>
    </row>
    <row r="5050" spans="1:10" ht="14.4">
      <c r="A5050" s="84">
        <v>50701</v>
      </c>
      <c r="B5050" s="85">
        <v>2038</v>
      </c>
      <c r="C5050" s="85">
        <v>10</v>
      </c>
      <c r="D5050" s="85" t="s">
        <v>75</v>
      </c>
      <c r="E5050" s="85">
        <v>23</v>
      </c>
      <c r="F5050" s="85">
        <v>6</v>
      </c>
      <c r="G5050" s="85">
        <f>--(F5050&lt;=Estimator!$B$7)</f>
        <v>0</v>
      </c>
      <c r="H5050" s="86">
        <f>SUMIFS('Climate Data'!$G$7:$G$366,'Climate Data'!$A$7:$A$366,Estimator!$B$4,'Climate Data'!$B$7:$B$366,C5050)</f>
        <v>0.23225806451612904</v>
      </c>
      <c r="I5050" s="87">
        <f>SUMIFS('Climate Data'!$H$7:$H$366,'Climate Data'!$A$7:$A$366,Estimator!$B$4,'Climate Data'!$B$7:$B$366,C5050)</f>
        <v>6.8194444444444446</v>
      </c>
      <c r="J5050" s="86">
        <f>SUMIFS('Wind Proxy'!$H$8:$H$19,'Wind Proxy'!$A$8:$A$19,Estimator!$B$4,'Wind Proxy'!$B$8:$B$19,C5050)</f>
        <v>0</v>
      </c>
    </row>
    <row r="5051" spans="1:10" ht="14.4">
      <c r="A5051" s="84">
        <v>50702</v>
      </c>
      <c r="B5051" s="85">
        <v>2038</v>
      </c>
      <c r="C5051" s="85">
        <v>10</v>
      </c>
      <c r="D5051" s="85" t="s">
        <v>75</v>
      </c>
      <c r="E5051" s="85">
        <v>24</v>
      </c>
      <c r="F5051" s="85">
        <v>7</v>
      </c>
      <c r="G5051" s="85">
        <f>--(F5051&lt;=Estimator!$B$7)</f>
        <v>0</v>
      </c>
      <c r="H5051" s="86">
        <f>SUMIFS('Climate Data'!$G$7:$G$366,'Climate Data'!$A$7:$A$366,Estimator!$B$4,'Climate Data'!$B$7:$B$366,C5051)</f>
        <v>0.23225806451612904</v>
      </c>
      <c r="I5051" s="87">
        <f>SUMIFS('Climate Data'!$H$7:$H$366,'Climate Data'!$A$7:$A$366,Estimator!$B$4,'Climate Data'!$B$7:$B$366,C5051)</f>
        <v>6.8194444444444446</v>
      </c>
      <c r="J5051" s="86">
        <f>SUMIFS('Wind Proxy'!$H$8:$H$19,'Wind Proxy'!$A$8:$A$19,Estimator!$B$4,'Wind Proxy'!$B$8:$B$19,C5051)</f>
        <v>0</v>
      </c>
    </row>
    <row r="5052" spans="1:10" ht="14.4">
      <c r="A5052" s="84">
        <v>50703</v>
      </c>
      <c r="B5052" s="85">
        <v>2038</v>
      </c>
      <c r="C5052" s="85">
        <v>10</v>
      </c>
      <c r="D5052" s="85" t="s">
        <v>75</v>
      </c>
      <c r="E5052" s="85">
        <v>25</v>
      </c>
      <c r="F5052" s="85">
        <v>1</v>
      </c>
      <c r="G5052" s="85">
        <f>--(F5052&lt;=Estimator!$B$7)</f>
        <v>1</v>
      </c>
      <c r="H5052" s="86">
        <f>SUMIFS('Climate Data'!$G$7:$G$366,'Climate Data'!$A$7:$A$366,Estimator!$B$4,'Climate Data'!$B$7:$B$366,C5052)</f>
        <v>0.23225806451612904</v>
      </c>
      <c r="I5052" s="87">
        <f>SUMIFS('Climate Data'!$H$7:$H$366,'Climate Data'!$A$7:$A$366,Estimator!$B$4,'Climate Data'!$B$7:$B$366,C5052)</f>
        <v>6.8194444444444446</v>
      </c>
      <c r="J5052" s="86">
        <f>SUMIFS('Wind Proxy'!$H$8:$H$19,'Wind Proxy'!$A$8:$A$19,Estimator!$B$4,'Wind Proxy'!$B$8:$B$19,C5052)</f>
        <v>0</v>
      </c>
    </row>
    <row r="5053" spans="1:10" ht="14.4">
      <c r="A5053" s="84">
        <v>50704</v>
      </c>
      <c r="B5053" s="85">
        <v>2038</v>
      </c>
      <c r="C5053" s="85">
        <v>10</v>
      </c>
      <c r="D5053" s="85" t="s">
        <v>75</v>
      </c>
      <c r="E5053" s="85">
        <v>26</v>
      </c>
      <c r="F5053" s="85">
        <v>2</v>
      </c>
      <c r="G5053" s="85">
        <f>--(F5053&lt;=Estimator!$B$7)</f>
        <v>1</v>
      </c>
      <c r="H5053" s="86">
        <f>SUMIFS('Climate Data'!$G$7:$G$366,'Climate Data'!$A$7:$A$366,Estimator!$B$4,'Climate Data'!$B$7:$B$366,C5053)</f>
        <v>0.23225806451612904</v>
      </c>
      <c r="I5053" s="87">
        <f>SUMIFS('Climate Data'!$H$7:$H$366,'Climate Data'!$A$7:$A$366,Estimator!$B$4,'Climate Data'!$B$7:$B$366,C5053)</f>
        <v>6.8194444444444446</v>
      </c>
      <c r="J5053" s="86">
        <f>SUMIFS('Wind Proxy'!$H$8:$H$19,'Wind Proxy'!$A$8:$A$19,Estimator!$B$4,'Wind Proxy'!$B$8:$B$19,C5053)</f>
        <v>0</v>
      </c>
    </row>
    <row r="5054" spans="1:10" ht="14.4">
      <c r="A5054" s="84">
        <v>50705</v>
      </c>
      <c r="B5054" s="85">
        <v>2038</v>
      </c>
      <c r="C5054" s="85">
        <v>10</v>
      </c>
      <c r="D5054" s="85" t="s">
        <v>75</v>
      </c>
      <c r="E5054" s="85">
        <v>27</v>
      </c>
      <c r="F5054" s="85">
        <v>3</v>
      </c>
      <c r="G5054" s="85">
        <f>--(F5054&lt;=Estimator!$B$7)</f>
        <v>1</v>
      </c>
      <c r="H5054" s="86">
        <f>SUMIFS('Climate Data'!$G$7:$G$366,'Climate Data'!$A$7:$A$366,Estimator!$B$4,'Climate Data'!$B$7:$B$366,C5054)</f>
        <v>0.23225806451612904</v>
      </c>
      <c r="I5054" s="87">
        <f>SUMIFS('Climate Data'!$H$7:$H$366,'Climate Data'!$A$7:$A$366,Estimator!$B$4,'Climate Data'!$B$7:$B$366,C5054)</f>
        <v>6.8194444444444446</v>
      </c>
      <c r="J5054" s="86">
        <f>SUMIFS('Wind Proxy'!$H$8:$H$19,'Wind Proxy'!$A$8:$A$19,Estimator!$B$4,'Wind Proxy'!$B$8:$B$19,C5054)</f>
        <v>0</v>
      </c>
    </row>
    <row r="5055" spans="1:10" ht="14.4">
      <c r="A5055" s="84">
        <v>50706</v>
      </c>
      <c r="B5055" s="85">
        <v>2038</v>
      </c>
      <c r="C5055" s="85">
        <v>10</v>
      </c>
      <c r="D5055" s="85" t="s">
        <v>75</v>
      </c>
      <c r="E5055" s="85">
        <v>28</v>
      </c>
      <c r="F5055" s="85">
        <v>4</v>
      </c>
      <c r="G5055" s="85">
        <f>--(F5055&lt;=Estimator!$B$7)</f>
        <v>1</v>
      </c>
      <c r="H5055" s="86">
        <f>SUMIFS('Climate Data'!$G$7:$G$366,'Climate Data'!$A$7:$A$366,Estimator!$B$4,'Climate Data'!$B$7:$B$366,C5055)</f>
        <v>0.23225806451612904</v>
      </c>
      <c r="I5055" s="87">
        <f>SUMIFS('Climate Data'!$H$7:$H$366,'Climate Data'!$A$7:$A$366,Estimator!$B$4,'Climate Data'!$B$7:$B$366,C5055)</f>
        <v>6.8194444444444446</v>
      </c>
      <c r="J5055" s="86">
        <f>SUMIFS('Wind Proxy'!$H$8:$H$19,'Wind Proxy'!$A$8:$A$19,Estimator!$B$4,'Wind Proxy'!$B$8:$B$19,C5055)</f>
        <v>0</v>
      </c>
    </row>
    <row r="5056" spans="1:10" ht="14.4">
      <c r="A5056" s="84">
        <v>50707</v>
      </c>
      <c r="B5056" s="85">
        <v>2038</v>
      </c>
      <c r="C5056" s="85">
        <v>10</v>
      </c>
      <c r="D5056" s="85" t="s">
        <v>75</v>
      </c>
      <c r="E5056" s="85">
        <v>29</v>
      </c>
      <c r="F5056" s="85">
        <v>5</v>
      </c>
      <c r="G5056" s="85">
        <f>--(F5056&lt;=Estimator!$B$7)</f>
        <v>1</v>
      </c>
      <c r="H5056" s="86">
        <f>SUMIFS('Climate Data'!$G$7:$G$366,'Climate Data'!$A$7:$A$366,Estimator!$B$4,'Climate Data'!$B$7:$B$366,C5056)</f>
        <v>0.23225806451612904</v>
      </c>
      <c r="I5056" s="87">
        <f>SUMIFS('Climate Data'!$H$7:$H$366,'Climate Data'!$A$7:$A$366,Estimator!$B$4,'Climate Data'!$B$7:$B$366,C5056)</f>
        <v>6.8194444444444446</v>
      </c>
      <c r="J5056" s="86">
        <f>SUMIFS('Wind Proxy'!$H$8:$H$19,'Wind Proxy'!$A$8:$A$19,Estimator!$B$4,'Wind Proxy'!$B$8:$B$19,C5056)</f>
        <v>0</v>
      </c>
    </row>
    <row r="5057" spans="1:10" ht="14.4">
      <c r="A5057" s="84">
        <v>50708</v>
      </c>
      <c r="B5057" s="85">
        <v>2038</v>
      </c>
      <c r="C5057" s="85">
        <v>10</v>
      </c>
      <c r="D5057" s="85" t="s">
        <v>75</v>
      </c>
      <c r="E5057" s="85">
        <v>30</v>
      </c>
      <c r="F5057" s="85">
        <v>6</v>
      </c>
      <c r="G5057" s="85">
        <f>--(F5057&lt;=Estimator!$B$7)</f>
        <v>0</v>
      </c>
      <c r="H5057" s="86">
        <f>SUMIFS('Climate Data'!$G$7:$G$366,'Climate Data'!$A$7:$A$366,Estimator!$B$4,'Climate Data'!$B$7:$B$366,C5057)</f>
        <v>0.23225806451612904</v>
      </c>
      <c r="I5057" s="87">
        <f>SUMIFS('Climate Data'!$H$7:$H$366,'Climate Data'!$A$7:$A$366,Estimator!$B$4,'Climate Data'!$B$7:$B$366,C5057)</f>
        <v>6.8194444444444446</v>
      </c>
      <c r="J5057" s="86">
        <f>SUMIFS('Wind Proxy'!$H$8:$H$19,'Wind Proxy'!$A$8:$A$19,Estimator!$B$4,'Wind Proxy'!$B$8:$B$19,C5057)</f>
        <v>0</v>
      </c>
    </row>
    <row r="5058" spans="1:10" ht="14.4">
      <c r="A5058" s="84">
        <v>50709</v>
      </c>
      <c r="B5058" s="85">
        <v>2038</v>
      </c>
      <c r="C5058" s="85">
        <v>10</v>
      </c>
      <c r="D5058" s="85" t="s">
        <v>75</v>
      </c>
      <c r="E5058" s="85">
        <v>31</v>
      </c>
      <c r="F5058" s="85">
        <v>7</v>
      </c>
      <c r="G5058" s="85">
        <f>--(F5058&lt;=Estimator!$B$7)</f>
        <v>0</v>
      </c>
      <c r="H5058" s="86">
        <f>SUMIFS('Climate Data'!$G$7:$G$366,'Climate Data'!$A$7:$A$366,Estimator!$B$4,'Climate Data'!$B$7:$B$366,C5058)</f>
        <v>0.23225806451612904</v>
      </c>
      <c r="I5058" s="87">
        <f>SUMIFS('Climate Data'!$H$7:$H$366,'Climate Data'!$A$7:$A$366,Estimator!$B$4,'Climate Data'!$B$7:$B$366,C5058)</f>
        <v>6.8194444444444446</v>
      </c>
      <c r="J5058" s="86">
        <f>SUMIFS('Wind Proxy'!$H$8:$H$19,'Wind Proxy'!$A$8:$A$19,Estimator!$B$4,'Wind Proxy'!$B$8:$B$19,C5058)</f>
        <v>0</v>
      </c>
    </row>
    <row r="5059" spans="1:10" ht="14.4">
      <c r="A5059" s="84">
        <v>50710</v>
      </c>
      <c r="B5059" s="85">
        <v>2038</v>
      </c>
      <c r="C5059" s="85">
        <v>11</v>
      </c>
      <c r="D5059" s="85" t="s">
        <v>76</v>
      </c>
      <c r="E5059" s="85">
        <v>1</v>
      </c>
      <c r="F5059" s="85">
        <v>1</v>
      </c>
      <c r="G5059" s="85">
        <f>--(F5059&lt;=Estimator!$B$7)</f>
        <v>1</v>
      </c>
      <c r="H5059" s="86">
        <f>SUMIFS('Climate Data'!$G$7:$G$366,'Climate Data'!$A$7:$A$366,Estimator!$B$4,'Climate Data'!$B$7:$B$366,C5059)</f>
        <v>0.23333333333333334</v>
      </c>
      <c r="I5059" s="87">
        <f>SUMIFS('Climate Data'!$H$7:$H$366,'Climate Data'!$A$7:$A$366,Estimator!$B$4,'Climate Data'!$B$7:$B$366,C5059)</f>
        <v>6.4428571428571431</v>
      </c>
      <c r="J5059" s="86">
        <f>SUMIFS('Wind Proxy'!$H$8:$H$19,'Wind Proxy'!$A$8:$A$19,Estimator!$B$4,'Wind Proxy'!$B$8:$B$19,C5059)</f>
        <v>0</v>
      </c>
    </row>
    <row r="5060" spans="1:10" ht="14.4">
      <c r="A5060" s="84">
        <v>50711</v>
      </c>
      <c r="B5060" s="85">
        <v>2038</v>
      </c>
      <c r="C5060" s="85">
        <v>11</v>
      </c>
      <c r="D5060" s="85" t="s">
        <v>76</v>
      </c>
      <c r="E5060" s="85">
        <v>2</v>
      </c>
      <c r="F5060" s="85">
        <v>2</v>
      </c>
      <c r="G5060" s="85">
        <f>--(F5060&lt;=Estimator!$B$7)</f>
        <v>1</v>
      </c>
      <c r="H5060" s="86">
        <f>SUMIFS('Climate Data'!$G$7:$G$366,'Climate Data'!$A$7:$A$366,Estimator!$B$4,'Climate Data'!$B$7:$B$366,C5060)</f>
        <v>0.23333333333333334</v>
      </c>
      <c r="I5060" s="87">
        <f>SUMIFS('Climate Data'!$H$7:$H$366,'Climate Data'!$A$7:$A$366,Estimator!$B$4,'Climate Data'!$B$7:$B$366,C5060)</f>
        <v>6.4428571428571431</v>
      </c>
      <c r="J5060" s="86">
        <f>SUMIFS('Wind Proxy'!$H$8:$H$19,'Wind Proxy'!$A$8:$A$19,Estimator!$B$4,'Wind Proxy'!$B$8:$B$19,C5060)</f>
        <v>0</v>
      </c>
    </row>
    <row r="5061" spans="1:10" ht="14.4">
      <c r="A5061" s="84">
        <v>50712</v>
      </c>
      <c r="B5061" s="85">
        <v>2038</v>
      </c>
      <c r="C5061" s="85">
        <v>11</v>
      </c>
      <c r="D5061" s="85" t="s">
        <v>76</v>
      </c>
      <c r="E5061" s="85">
        <v>3</v>
      </c>
      <c r="F5061" s="85">
        <v>3</v>
      </c>
      <c r="G5061" s="85">
        <f>--(F5061&lt;=Estimator!$B$7)</f>
        <v>1</v>
      </c>
      <c r="H5061" s="86">
        <f>SUMIFS('Climate Data'!$G$7:$G$366,'Climate Data'!$A$7:$A$366,Estimator!$B$4,'Climate Data'!$B$7:$B$366,C5061)</f>
        <v>0.23333333333333334</v>
      </c>
      <c r="I5061" s="87">
        <f>SUMIFS('Climate Data'!$H$7:$H$366,'Climate Data'!$A$7:$A$366,Estimator!$B$4,'Climate Data'!$B$7:$B$366,C5061)</f>
        <v>6.4428571428571431</v>
      </c>
      <c r="J5061" s="86">
        <f>SUMIFS('Wind Proxy'!$H$8:$H$19,'Wind Proxy'!$A$8:$A$19,Estimator!$B$4,'Wind Proxy'!$B$8:$B$19,C5061)</f>
        <v>0</v>
      </c>
    </row>
    <row r="5062" spans="1:10" ht="14.4">
      <c r="A5062" s="84">
        <v>50713</v>
      </c>
      <c r="B5062" s="85">
        <v>2038</v>
      </c>
      <c r="C5062" s="85">
        <v>11</v>
      </c>
      <c r="D5062" s="85" t="s">
        <v>76</v>
      </c>
      <c r="E5062" s="85">
        <v>4</v>
      </c>
      <c r="F5062" s="85">
        <v>4</v>
      </c>
      <c r="G5062" s="85">
        <f>--(F5062&lt;=Estimator!$B$7)</f>
        <v>1</v>
      </c>
      <c r="H5062" s="86">
        <f>SUMIFS('Climate Data'!$G$7:$G$366,'Climate Data'!$A$7:$A$366,Estimator!$B$4,'Climate Data'!$B$7:$B$366,C5062)</f>
        <v>0.23333333333333334</v>
      </c>
      <c r="I5062" s="87">
        <f>SUMIFS('Climate Data'!$H$7:$H$366,'Climate Data'!$A$7:$A$366,Estimator!$B$4,'Climate Data'!$B$7:$B$366,C5062)</f>
        <v>6.4428571428571431</v>
      </c>
      <c r="J5062" s="86">
        <f>SUMIFS('Wind Proxy'!$H$8:$H$19,'Wind Proxy'!$A$8:$A$19,Estimator!$B$4,'Wind Proxy'!$B$8:$B$19,C5062)</f>
        <v>0</v>
      </c>
    </row>
    <row r="5063" spans="1:10" ht="14.4">
      <c r="A5063" s="84">
        <v>50714</v>
      </c>
      <c r="B5063" s="85">
        <v>2038</v>
      </c>
      <c r="C5063" s="85">
        <v>11</v>
      </c>
      <c r="D5063" s="85" t="s">
        <v>76</v>
      </c>
      <c r="E5063" s="85">
        <v>5</v>
      </c>
      <c r="F5063" s="85">
        <v>5</v>
      </c>
      <c r="G5063" s="85">
        <f>--(F5063&lt;=Estimator!$B$7)</f>
        <v>1</v>
      </c>
      <c r="H5063" s="86">
        <f>SUMIFS('Climate Data'!$G$7:$G$366,'Climate Data'!$A$7:$A$366,Estimator!$B$4,'Climate Data'!$B$7:$B$366,C5063)</f>
        <v>0.23333333333333334</v>
      </c>
      <c r="I5063" s="87">
        <f>SUMIFS('Climate Data'!$H$7:$H$366,'Climate Data'!$A$7:$A$366,Estimator!$B$4,'Climate Data'!$B$7:$B$366,C5063)</f>
        <v>6.4428571428571431</v>
      </c>
      <c r="J5063" s="86">
        <f>SUMIFS('Wind Proxy'!$H$8:$H$19,'Wind Proxy'!$A$8:$A$19,Estimator!$B$4,'Wind Proxy'!$B$8:$B$19,C5063)</f>
        <v>0</v>
      </c>
    </row>
    <row r="5064" spans="1:10" ht="14.4">
      <c r="A5064" s="84">
        <v>50715</v>
      </c>
      <c r="B5064" s="85">
        <v>2038</v>
      </c>
      <c r="C5064" s="85">
        <v>11</v>
      </c>
      <c r="D5064" s="85" t="s">
        <v>76</v>
      </c>
      <c r="E5064" s="85">
        <v>6</v>
      </c>
      <c r="F5064" s="85">
        <v>6</v>
      </c>
      <c r="G5064" s="85">
        <f>--(F5064&lt;=Estimator!$B$7)</f>
        <v>0</v>
      </c>
      <c r="H5064" s="86">
        <f>SUMIFS('Climate Data'!$G$7:$G$366,'Climate Data'!$A$7:$A$366,Estimator!$B$4,'Climate Data'!$B$7:$B$366,C5064)</f>
        <v>0.23333333333333334</v>
      </c>
      <c r="I5064" s="87">
        <f>SUMIFS('Climate Data'!$H$7:$H$366,'Climate Data'!$A$7:$A$366,Estimator!$B$4,'Climate Data'!$B$7:$B$366,C5064)</f>
        <v>6.4428571428571431</v>
      </c>
      <c r="J5064" s="86">
        <f>SUMIFS('Wind Proxy'!$H$8:$H$19,'Wind Proxy'!$A$8:$A$19,Estimator!$B$4,'Wind Proxy'!$B$8:$B$19,C5064)</f>
        <v>0</v>
      </c>
    </row>
    <row r="5065" spans="1:10" ht="14.4">
      <c r="A5065" s="84">
        <v>50716</v>
      </c>
      <c r="B5065" s="85">
        <v>2038</v>
      </c>
      <c r="C5065" s="85">
        <v>11</v>
      </c>
      <c r="D5065" s="85" t="s">
        <v>76</v>
      </c>
      <c r="E5065" s="85">
        <v>7</v>
      </c>
      <c r="F5065" s="85">
        <v>7</v>
      </c>
      <c r="G5065" s="85">
        <f>--(F5065&lt;=Estimator!$B$7)</f>
        <v>0</v>
      </c>
      <c r="H5065" s="86">
        <f>SUMIFS('Climate Data'!$G$7:$G$366,'Climate Data'!$A$7:$A$366,Estimator!$B$4,'Climate Data'!$B$7:$B$366,C5065)</f>
        <v>0.23333333333333334</v>
      </c>
      <c r="I5065" s="87">
        <f>SUMIFS('Climate Data'!$H$7:$H$366,'Climate Data'!$A$7:$A$366,Estimator!$B$4,'Climate Data'!$B$7:$B$366,C5065)</f>
        <v>6.4428571428571431</v>
      </c>
      <c r="J5065" s="86">
        <f>SUMIFS('Wind Proxy'!$H$8:$H$19,'Wind Proxy'!$A$8:$A$19,Estimator!$B$4,'Wind Proxy'!$B$8:$B$19,C5065)</f>
        <v>0</v>
      </c>
    </row>
    <row r="5066" spans="1:10" ht="14.4">
      <c r="A5066" s="84">
        <v>50717</v>
      </c>
      <c r="B5066" s="85">
        <v>2038</v>
      </c>
      <c r="C5066" s="85">
        <v>11</v>
      </c>
      <c r="D5066" s="85" t="s">
        <v>76</v>
      </c>
      <c r="E5066" s="85">
        <v>8</v>
      </c>
      <c r="F5066" s="85">
        <v>1</v>
      </c>
      <c r="G5066" s="85">
        <f>--(F5066&lt;=Estimator!$B$7)</f>
        <v>1</v>
      </c>
      <c r="H5066" s="86">
        <f>SUMIFS('Climate Data'!$G$7:$G$366,'Climate Data'!$A$7:$A$366,Estimator!$B$4,'Climate Data'!$B$7:$B$366,C5066)</f>
        <v>0.23333333333333334</v>
      </c>
      <c r="I5066" s="87">
        <f>SUMIFS('Climate Data'!$H$7:$H$366,'Climate Data'!$A$7:$A$366,Estimator!$B$4,'Climate Data'!$B$7:$B$366,C5066)</f>
        <v>6.4428571428571431</v>
      </c>
      <c r="J5066" s="86">
        <f>SUMIFS('Wind Proxy'!$H$8:$H$19,'Wind Proxy'!$A$8:$A$19,Estimator!$B$4,'Wind Proxy'!$B$8:$B$19,C5066)</f>
        <v>0</v>
      </c>
    </row>
    <row r="5067" spans="1:10" ht="14.4">
      <c r="A5067" s="84">
        <v>50718</v>
      </c>
      <c r="B5067" s="85">
        <v>2038</v>
      </c>
      <c r="C5067" s="85">
        <v>11</v>
      </c>
      <c r="D5067" s="85" t="s">
        <v>76</v>
      </c>
      <c r="E5067" s="85">
        <v>9</v>
      </c>
      <c r="F5067" s="85">
        <v>2</v>
      </c>
      <c r="G5067" s="85">
        <f>--(F5067&lt;=Estimator!$B$7)</f>
        <v>1</v>
      </c>
      <c r="H5067" s="86">
        <f>SUMIFS('Climate Data'!$G$7:$G$366,'Climate Data'!$A$7:$A$366,Estimator!$B$4,'Climate Data'!$B$7:$B$366,C5067)</f>
        <v>0.23333333333333334</v>
      </c>
      <c r="I5067" s="87">
        <f>SUMIFS('Climate Data'!$H$7:$H$366,'Climate Data'!$A$7:$A$366,Estimator!$B$4,'Climate Data'!$B$7:$B$366,C5067)</f>
        <v>6.4428571428571431</v>
      </c>
      <c r="J5067" s="86">
        <f>SUMIFS('Wind Proxy'!$H$8:$H$19,'Wind Proxy'!$A$8:$A$19,Estimator!$B$4,'Wind Proxy'!$B$8:$B$19,C5067)</f>
        <v>0</v>
      </c>
    </row>
    <row r="5068" spans="1:10" ht="14.4">
      <c r="A5068" s="84">
        <v>50719</v>
      </c>
      <c r="B5068" s="85">
        <v>2038</v>
      </c>
      <c r="C5068" s="85">
        <v>11</v>
      </c>
      <c r="D5068" s="85" t="s">
        <v>76</v>
      </c>
      <c r="E5068" s="85">
        <v>10</v>
      </c>
      <c r="F5068" s="85">
        <v>3</v>
      </c>
      <c r="G5068" s="85">
        <f>--(F5068&lt;=Estimator!$B$7)</f>
        <v>1</v>
      </c>
      <c r="H5068" s="86">
        <f>SUMIFS('Climate Data'!$G$7:$G$366,'Climate Data'!$A$7:$A$366,Estimator!$B$4,'Climate Data'!$B$7:$B$366,C5068)</f>
        <v>0.23333333333333334</v>
      </c>
      <c r="I5068" s="87">
        <f>SUMIFS('Climate Data'!$H$7:$H$366,'Climate Data'!$A$7:$A$366,Estimator!$B$4,'Climate Data'!$B$7:$B$366,C5068)</f>
        <v>6.4428571428571431</v>
      </c>
      <c r="J5068" s="86">
        <f>SUMIFS('Wind Proxy'!$H$8:$H$19,'Wind Proxy'!$A$8:$A$19,Estimator!$B$4,'Wind Proxy'!$B$8:$B$19,C5068)</f>
        <v>0</v>
      </c>
    </row>
    <row r="5069" spans="1:10" ht="14.4">
      <c r="A5069" s="84">
        <v>50720</v>
      </c>
      <c r="B5069" s="85">
        <v>2038</v>
      </c>
      <c r="C5069" s="85">
        <v>11</v>
      </c>
      <c r="D5069" s="85" t="s">
        <v>76</v>
      </c>
      <c r="E5069" s="85">
        <v>11</v>
      </c>
      <c r="F5069" s="85">
        <v>4</v>
      </c>
      <c r="G5069" s="85">
        <f>--(F5069&lt;=Estimator!$B$7)</f>
        <v>1</v>
      </c>
      <c r="H5069" s="86">
        <f>SUMIFS('Climate Data'!$G$7:$G$366,'Climate Data'!$A$7:$A$366,Estimator!$B$4,'Climate Data'!$B$7:$B$366,C5069)</f>
        <v>0.23333333333333334</v>
      </c>
      <c r="I5069" s="87">
        <f>SUMIFS('Climate Data'!$H$7:$H$366,'Climate Data'!$A$7:$A$366,Estimator!$B$4,'Climate Data'!$B$7:$B$366,C5069)</f>
        <v>6.4428571428571431</v>
      </c>
      <c r="J5069" s="86">
        <f>SUMIFS('Wind Proxy'!$H$8:$H$19,'Wind Proxy'!$A$8:$A$19,Estimator!$B$4,'Wind Proxy'!$B$8:$B$19,C5069)</f>
        <v>0</v>
      </c>
    </row>
    <row r="5070" spans="1:10" ht="14.4">
      <c r="A5070" s="84">
        <v>50721</v>
      </c>
      <c r="B5070" s="85">
        <v>2038</v>
      </c>
      <c r="C5070" s="85">
        <v>11</v>
      </c>
      <c r="D5070" s="85" t="s">
        <v>76</v>
      </c>
      <c r="E5070" s="85">
        <v>12</v>
      </c>
      <c r="F5070" s="85">
        <v>5</v>
      </c>
      <c r="G5070" s="85">
        <f>--(F5070&lt;=Estimator!$B$7)</f>
        <v>1</v>
      </c>
      <c r="H5070" s="86">
        <f>SUMIFS('Climate Data'!$G$7:$G$366,'Climate Data'!$A$7:$A$366,Estimator!$B$4,'Climate Data'!$B$7:$B$366,C5070)</f>
        <v>0.23333333333333334</v>
      </c>
      <c r="I5070" s="87">
        <f>SUMIFS('Climate Data'!$H$7:$H$366,'Climate Data'!$A$7:$A$366,Estimator!$B$4,'Climate Data'!$B$7:$B$366,C5070)</f>
        <v>6.4428571428571431</v>
      </c>
      <c r="J5070" s="86">
        <f>SUMIFS('Wind Proxy'!$H$8:$H$19,'Wind Proxy'!$A$8:$A$19,Estimator!$B$4,'Wind Proxy'!$B$8:$B$19,C5070)</f>
        <v>0</v>
      </c>
    </row>
    <row r="5071" spans="1:10" ht="14.4">
      <c r="A5071" s="84">
        <v>50722</v>
      </c>
      <c r="B5071" s="85">
        <v>2038</v>
      </c>
      <c r="C5071" s="85">
        <v>11</v>
      </c>
      <c r="D5071" s="85" t="s">
        <v>76</v>
      </c>
      <c r="E5071" s="85">
        <v>13</v>
      </c>
      <c r="F5071" s="85">
        <v>6</v>
      </c>
      <c r="G5071" s="85">
        <f>--(F5071&lt;=Estimator!$B$7)</f>
        <v>0</v>
      </c>
      <c r="H5071" s="86">
        <f>SUMIFS('Climate Data'!$G$7:$G$366,'Climate Data'!$A$7:$A$366,Estimator!$B$4,'Climate Data'!$B$7:$B$366,C5071)</f>
        <v>0.23333333333333334</v>
      </c>
      <c r="I5071" s="87">
        <f>SUMIFS('Climate Data'!$H$7:$H$366,'Climate Data'!$A$7:$A$366,Estimator!$B$4,'Climate Data'!$B$7:$B$366,C5071)</f>
        <v>6.4428571428571431</v>
      </c>
      <c r="J5071" s="86">
        <f>SUMIFS('Wind Proxy'!$H$8:$H$19,'Wind Proxy'!$A$8:$A$19,Estimator!$B$4,'Wind Proxy'!$B$8:$B$19,C5071)</f>
        <v>0</v>
      </c>
    </row>
    <row r="5072" spans="1:10" ht="14.4">
      <c r="A5072" s="84">
        <v>50723</v>
      </c>
      <c r="B5072" s="85">
        <v>2038</v>
      </c>
      <c r="C5072" s="85">
        <v>11</v>
      </c>
      <c r="D5072" s="85" t="s">
        <v>76</v>
      </c>
      <c r="E5072" s="85">
        <v>14</v>
      </c>
      <c r="F5072" s="85">
        <v>7</v>
      </c>
      <c r="G5072" s="85">
        <f>--(F5072&lt;=Estimator!$B$7)</f>
        <v>0</v>
      </c>
      <c r="H5072" s="86">
        <f>SUMIFS('Climate Data'!$G$7:$G$366,'Climate Data'!$A$7:$A$366,Estimator!$B$4,'Climate Data'!$B$7:$B$366,C5072)</f>
        <v>0.23333333333333334</v>
      </c>
      <c r="I5072" s="87">
        <f>SUMIFS('Climate Data'!$H$7:$H$366,'Climate Data'!$A$7:$A$366,Estimator!$B$4,'Climate Data'!$B$7:$B$366,C5072)</f>
        <v>6.4428571428571431</v>
      </c>
      <c r="J5072" s="86">
        <f>SUMIFS('Wind Proxy'!$H$8:$H$19,'Wind Proxy'!$A$8:$A$19,Estimator!$B$4,'Wind Proxy'!$B$8:$B$19,C5072)</f>
        <v>0</v>
      </c>
    </row>
    <row r="5073" spans="1:10" ht="14.4">
      <c r="A5073" s="84">
        <v>50724</v>
      </c>
      <c r="B5073" s="85">
        <v>2038</v>
      </c>
      <c r="C5073" s="85">
        <v>11</v>
      </c>
      <c r="D5073" s="85" t="s">
        <v>76</v>
      </c>
      <c r="E5073" s="85">
        <v>15</v>
      </c>
      <c r="F5073" s="85">
        <v>1</v>
      </c>
      <c r="G5073" s="85">
        <f>--(F5073&lt;=Estimator!$B$7)</f>
        <v>1</v>
      </c>
      <c r="H5073" s="86">
        <f>SUMIFS('Climate Data'!$G$7:$G$366,'Climate Data'!$A$7:$A$366,Estimator!$B$4,'Climate Data'!$B$7:$B$366,C5073)</f>
        <v>0.23333333333333334</v>
      </c>
      <c r="I5073" s="87">
        <f>SUMIFS('Climate Data'!$H$7:$H$366,'Climate Data'!$A$7:$A$366,Estimator!$B$4,'Climate Data'!$B$7:$B$366,C5073)</f>
        <v>6.4428571428571431</v>
      </c>
      <c r="J5073" s="86">
        <f>SUMIFS('Wind Proxy'!$H$8:$H$19,'Wind Proxy'!$A$8:$A$19,Estimator!$B$4,'Wind Proxy'!$B$8:$B$19,C5073)</f>
        <v>0</v>
      </c>
    </row>
    <row r="5074" spans="1:10" ht="14.4">
      <c r="A5074" s="84">
        <v>50725</v>
      </c>
      <c r="B5074" s="85">
        <v>2038</v>
      </c>
      <c r="C5074" s="85">
        <v>11</v>
      </c>
      <c r="D5074" s="85" t="s">
        <v>76</v>
      </c>
      <c r="E5074" s="85">
        <v>16</v>
      </c>
      <c r="F5074" s="85">
        <v>2</v>
      </c>
      <c r="G5074" s="85">
        <f>--(F5074&lt;=Estimator!$B$7)</f>
        <v>1</v>
      </c>
      <c r="H5074" s="86">
        <f>SUMIFS('Climate Data'!$G$7:$G$366,'Climate Data'!$A$7:$A$366,Estimator!$B$4,'Climate Data'!$B$7:$B$366,C5074)</f>
        <v>0.23333333333333334</v>
      </c>
      <c r="I5074" s="87">
        <f>SUMIFS('Climate Data'!$H$7:$H$366,'Climate Data'!$A$7:$A$366,Estimator!$B$4,'Climate Data'!$B$7:$B$366,C5074)</f>
        <v>6.4428571428571431</v>
      </c>
      <c r="J5074" s="86">
        <f>SUMIFS('Wind Proxy'!$H$8:$H$19,'Wind Proxy'!$A$8:$A$19,Estimator!$B$4,'Wind Proxy'!$B$8:$B$19,C5074)</f>
        <v>0</v>
      </c>
    </row>
    <row r="5075" spans="1:10" ht="14.4">
      <c r="A5075" s="84">
        <v>50726</v>
      </c>
      <c r="B5075" s="85">
        <v>2038</v>
      </c>
      <c r="C5075" s="85">
        <v>11</v>
      </c>
      <c r="D5075" s="85" t="s">
        <v>76</v>
      </c>
      <c r="E5075" s="85">
        <v>17</v>
      </c>
      <c r="F5075" s="85">
        <v>3</v>
      </c>
      <c r="G5075" s="85">
        <f>--(F5075&lt;=Estimator!$B$7)</f>
        <v>1</v>
      </c>
      <c r="H5075" s="86">
        <f>SUMIFS('Climate Data'!$G$7:$G$366,'Climate Data'!$A$7:$A$366,Estimator!$B$4,'Climate Data'!$B$7:$B$366,C5075)</f>
        <v>0.23333333333333334</v>
      </c>
      <c r="I5075" s="87">
        <f>SUMIFS('Climate Data'!$H$7:$H$366,'Climate Data'!$A$7:$A$366,Estimator!$B$4,'Climate Data'!$B$7:$B$366,C5075)</f>
        <v>6.4428571428571431</v>
      </c>
      <c r="J5075" s="86">
        <f>SUMIFS('Wind Proxy'!$H$8:$H$19,'Wind Proxy'!$A$8:$A$19,Estimator!$B$4,'Wind Proxy'!$B$8:$B$19,C5075)</f>
        <v>0</v>
      </c>
    </row>
    <row r="5076" spans="1:10" ht="14.4">
      <c r="A5076" s="84">
        <v>50727</v>
      </c>
      <c r="B5076" s="85">
        <v>2038</v>
      </c>
      <c r="C5076" s="85">
        <v>11</v>
      </c>
      <c r="D5076" s="85" t="s">
        <v>76</v>
      </c>
      <c r="E5076" s="85">
        <v>18</v>
      </c>
      <c r="F5076" s="85">
        <v>4</v>
      </c>
      <c r="G5076" s="85">
        <f>--(F5076&lt;=Estimator!$B$7)</f>
        <v>1</v>
      </c>
      <c r="H5076" s="86">
        <f>SUMIFS('Climate Data'!$G$7:$G$366,'Climate Data'!$A$7:$A$366,Estimator!$B$4,'Climate Data'!$B$7:$B$366,C5076)</f>
        <v>0.23333333333333334</v>
      </c>
      <c r="I5076" s="87">
        <f>SUMIFS('Climate Data'!$H$7:$H$366,'Climate Data'!$A$7:$A$366,Estimator!$B$4,'Climate Data'!$B$7:$B$366,C5076)</f>
        <v>6.4428571428571431</v>
      </c>
      <c r="J5076" s="86">
        <f>SUMIFS('Wind Proxy'!$H$8:$H$19,'Wind Proxy'!$A$8:$A$19,Estimator!$B$4,'Wind Proxy'!$B$8:$B$19,C5076)</f>
        <v>0</v>
      </c>
    </row>
    <row r="5077" spans="1:10" ht="14.4">
      <c r="A5077" s="84">
        <v>50728</v>
      </c>
      <c r="B5077" s="85">
        <v>2038</v>
      </c>
      <c r="C5077" s="85">
        <v>11</v>
      </c>
      <c r="D5077" s="85" t="s">
        <v>76</v>
      </c>
      <c r="E5077" s="85">
        <v>19</v>
      </c>
      <c r="F5077" s="85">
        <v>5</v>
      </c>
      <c r="G5077" s="85">
        <f>--(F5077&lt;=Estimator!$B$7)</f>
        <v>1</v>
      </c>
      <c r="H5077" s="86">
        <f>SUMIFS('Climate Data'!$G$7:$G$366,'Climate Data'!$A$7:$A$366,Estimator!$B$4,'Climate Data'!$B$7:$B$366,C5077)</f>
        <v>0.23333333333333334</v>
      </c>
      <c r="I5077" s="87">
        <f>SUMIFS('Climate Data'!$H$7:$H$366,'Climate Data'!$A$7:$A$366,Estimator!$B$4,'Climate Data'!$B$7:$B$366,C5077)</f>
        <v>6.4428571428571431</v>
      </c>
      <c r="J5077" s="86">
        <f>SUMIFS('Wind Proxy'!$H$8:$H$19,'Wind Proxy'!$A$8:$A$19,Estimator!$B$4,'Wind Proxy'!$B$8:$B$19,C5077)</f>
        <v>0</v>
      </c>
    </row>
    <row r="5078" spans="1:10" ht="14.4">
      <c r="A5078" s="84">
        <v>50729</v>
      </c>
      <c r="B5078" s="85">
        <v>2038</v>
      </c>
      <c r="C5078" s="85">
        <v>11</v>
      </c>
      <c r="D5078" s="85" t="s">
        <v>76</v>
      </c>
      <c r="E5078" s="85">
        <v>20</v>
      </c>
      <c r="F5078" s="85">
        <v>6</v>
      </c>
      <c r="G5078" s="85">
        <f>--(F5078&lt;=Estimator!$B$7)</f>
        <v>0</v>
      </c>
      <c r="H5078" s="86">
        <f>SUMIFS('Climate Data'!$G$7:$G$366,'Climate Data'!$A$7:$A$366,Estimator!$B$4,'Climate Data'!$B$7:$B$366,C5078)</f>
        <v>0.23333333333333334</v>
      </c>
      <c r="I5078" s="87">
        <f>SUMIFS('Climate Data'!$H$7:$H$366,'Climate Data'!$A$7:$A$366,Estimator!$B$4,'Climate Data'!$B$7:$B$366,C5078)</f>
        <v>6.4428571428571431</v>
      </c>
      <c r="J5078" s="86">
        <f>SUMIFS('Wind Proxy'!$H$8:$H$19,'Wind Proxy'!$A$8:$A$19,Estimator!$B$4,'Wind Proxy'!$B$8:$B$19,C5078)</f>
        <v>0</v>
      </c>
    </row>
    <row r="5079" spans="1:10" ht="14.4">
      <c r="A5079" s="84">
        <v>50730</v>
      </c>
      <c r="B5079" s="85">
        <v>2038</v>
      </c>
      <c r="C5079" s="85">
        <v>11</v>
      </c>
      <c r="D5079" s="85" t="s">
        <v>76</v>
      </c>
      <c r="E5079" s="85">
        <v>21</v>
      </c>
      <c r="F5079" s="85">
        <v>7</v>
      </c>
      <c r="G5079" s="85">
        <f>--(F5079&lt;=Estimator!$B$7)</f>
        <v>0</v>
      </c>
      <c r="H5079" s="86">
        <f>SUMIFS('Climate Data'!$G$7:$G$366,'Climate Data'!$A$7:$A$366,Estimator!$B$4,'Climate Data'!$B$7:$B$366,C5079)</f>
        <v>0.23333333333333334</v>
      </c>
      <c r="I5079" s="87">
        <f>SUMIFS('Climate Data'!$H$7:$H$366,'Climate Data'!$A$7:$A$366,Estimator!$B$4,'Climate Data'!$B$7:$B$366,C5079)</f>
        <v>6.4428571428571431</v>
      </c>
      <c r="J5079" s="86">
        <f>SUMIFS('Wind Proxy'!$H$8:$H$19,'Wind Proxy'!$A$8:$A$19,Estimator!$B$4,'Wind Proxy'!$B$8:$B$19,C5079)</f>
        <v>0</v>
      </c>
    </row>
    <row r="5080" spans="1:10" ht="14.4">
      <c r="A5080" s="84">
        <v>50731</v>
      </c>
      <c r="B5080" s="85">
        <v>2038</v>
      </c>
      <c r="C5080" s="85">
        <v>11</v>
      </c>
      <c r="D5080" s="85" t="s">
        <v>76</v>
      </c>
      <c r="E5080" s="85">
        <v>22</v>
      </c>
      <c r="F5080" s="85">
        <v>1</v>
      </c>
      <c r="G5080" s="85">
        <f>--(F5080&lt;=Estimator!$B$7)</f>
        <v>1</v>
      </c>
      <c r="H5080" s="86">
        <f>SUMIFS('Climate Data'!$G$7:$G$366,'Climate Data'!$A$7:$A$366,Estimator!$B$4,'Climate Data'!$B$7:$B$366,C5080)</f>
        <v>0.23333333333333334</v>
      </c>
      <c r="I5080" s="87">
        <f>SUMIFS('Climate Data'!$H$7:$H$366,'Climate Data'!$A$7:$A$366,Estimator!$B$4,'Climate Data'!$B$7:$B$366,C5080)</f>
        <v>6.4428571428571431</v>
      </c>
      <c r="J5080" s="86">
        <f>SUMIFS('Wind Proxy'!$H$8:$H$19,'Wind Proxy'!$A$8:$A$19,Estimator!$B$4,'Wind Proxy'!$B$8:$B$19,C5080)</f>
        <v>0</v>
      </c>
    </row>
    <row r="5081" spans="1:10" ht="14.4">
      <c r="A5081" s="84">
        <v>50732</v>
      </c>
      <c r="B5081" s="85">
        <v>2038</v>
      </c>
      <c r="C5081" s="85">
        <v>11</v>
      </c>
      <c r="D5081" s="85" t="s">
        <v>76</v>
      </c>
      <c r="E5081" s="85">
        <v>23</v>
      </c>
      <c r="F5081" s="85">
        <v>2</v>
      </c>
      <c r="G5081" s="85">
        <f>--(F5081&lt;=Estimator!$B$7)</f>
        <v>1</v>
      </c>
      <c r="H5081" s="86">
        <f>SUMIFS('Climate Data'!$G$7:$G$366,'Climate Data'!$A$7:$A$366,Estimator!$B$4,'Climate Data'!$B$7:$B$366,C5081)</f>
        <v>0.23333333333333334</v>
      </c>
      <c r="I5081" s="87">
        <f>SUMIFS('Climate Data'!$H$7:$H$366,'Climate Data'!$A$7:$A$366,Estimator!$B$4,'Climate Data'!$B$7:$B$366,C5081)</f>
        <v>6.4428571428571431</v>
      </c>
      <c r="J5081" s="86">
        <f>SUMIFS('Wind Proxy'!$H$8:$H$19,'Wind Proxy'!$A$8:$A$19,Estimator!$B$4,'Wind Proxy'!$B$8:$B$19,C5081)</f>
        <v>0</v>
      </c>
    </row>
    <row r="5082" spans="1:10" ht="14.4">
      <c r="A5082" s="84">
        <v>50733</v>
      </c>
      <c r="B5082" s="85">
        <v>2038</v>
      </c>
      <c r="C5082" s="85">
        <v>11</v>
      </c>
      <c r="D5082" s="85" t="s">
        <v>76</v>
      </c>
      <c r="E5082" s="85">
        <v>24</v>
      </c>
      <c r="F5082" s="85">
        <v>3</v>
      </c>
      <c r="G5082" s="85">
        <f>--(F5082&lt;=Estimator!$B$7)</f>
        <v>1</v>
      </c>
      <c r="H5082" s="86">
        <f>SUMIFS('Climate Data'!$G$7:$G$366,'Climate Data'!$A$7:$A$366,Estimator!$B$4,'Climate Data'!$B$7:$B$366,C5082)</f>
        <v>0.23333333333333334</v>
      </c>
      <c r="I5082" s="87">
        <f>SUMIFS('Climate Data'!$H$7:$H$366,'Climate Data'!$A$7:$A$366,Estimator!$B$4,'Climate Data'!$B$7:$B$366,C5082)</f>
        <v>6.4428571428571431</v>
      </c>
      <c r="J5082" s="86">
        <f>SUMIFS('Wind Proxy'!$H$8:$H$19,'Wind Proxy'!$A$8:$A$19,Estimator!$B$4,'Wind Proxy'!$B$8:$B$19,C5082)</f>
        <v>0</v>
      </c>
    </row>
    <row r="5083" spans="1:10" ht="14.4">
      <c r="A5083" s="84">
        <v>50734</v>
      </c>
      <c r="B5083" s="85">
        <v>2038</v>
      </c>
      <c r="C5083" s="85">
        <v>11</v>
      </c>
      <c r="D5083" s="85" t="s">
        <v>76</v>
      </c>
      <c r="E5083" s="85">
        <v>25</v>
      </c>
      <c r="F5083" s="85">
        <v>4</v>
      </c>
      <c r="G5083" s="85">
        <f>--(F5083&lt;=Estimator!$B$7)</f>
        <v>1</v>
      </c>
      <c r="H5083" s="86">
        <f>SUMIFS('Climate Data'!$G$7:$G$366,'Climate Data'!$A$7:$A$366,Estimator!$B$4,'Climate Data'!$B$7:$B$366,C5083)</f>
        <v>0.23333333333333334</v>
      </c>
      <c r="I5083" s="87">
        <f>SUMIFS('Climate Data'!$H$7:$H$366,'Climate Data'!$A$7:$A$366,Estimator!$B$4,'Climate Data'!$B$7:$B$366,C5083)</f>
        <v>6.4428571428571431</v>
      </c>
      <c r="J5083" s="86">
        <f>SUMIFS('Wind Proxy'!$H$8:$H$19,'Wind Proxy'!$A$8:$A$19,Estimator!$B$4,'Wind Proxy'!$B$8:$B$19,C5083)</f>
        <v>0</v>
      </c>
    </row>
    <row r="5084" spans="1:10" ht="14.4">
      <c r="A5084" s="84">
        <v>50735</v>
      </c>
      <c r="B5084" s="85">
        <v>2038</v>
      </c>
      <c r="C5084" s="85">
        <v>11</v>
      </c>
      <c r="D5084" s="85" t="s">
        <v>76</v>
      </c>
      <c r="E5084" s="85">
        <v>26</v>
      </c>
      <c r="F5084" s="85">
        <v>5</v>
      </c>
      <c r="G5084" s="85">
        <f>--(F5084&lt;=Estimator!$B$7)</f>
        <v>1</v>
      </c>
      <c r="H5084" s="86">
        <f>SUMIFS('Climate Data'!$G$7:$G$366,'Climate Data'!$A$7:$A$366,Estimator!$B$4,'Climate Data'!$B$7:$B$366,C5084)</f>
        <v>0.23333333333333334</v>
      </c>
      <c r="I5084" s="87">
        <f>SUMIFS('Climate Data'!$H$7:$H$366,'Climate Data'!$A$7:$A$366,Estimator!$B$4,'Climate Data'!$B$7:$B$366,C5084)</f>
        <v>6.4428571428571431</v>
      </c>
      <c r="J5084" s="86">
        <f>SUMIFS('Wind Proxy'!$H$8:$H$19,'Wind Proxy'!$A$8:$A$19,Estimator!$B$4,'Wind Proxy'!$B$8:$B$19,C5084)</f>
        <v>0</v>
      </c>
    </row>
    <row r="5085" spans="1:10" ht="14.4">
      <c r="A5085" s="84">
        <v>50736</v>
      </c>
      <c r="B5085" s="85">
        <v>2038</v>
      </c>
      <c r="C5085" s="85">
        <v>11</v>
      </c>
      <c r="D5085" s="85" t="s">
        <v>76</v>
      </c>
      <c r="E5085" s="85">
        <v>27</v>
      </c>
      <c r="F5085" s="85">
        <v>6</v>
      </c>
      <c r="G5085" s="85">
        <f>--(F5085&lt;=Estimator!$B$7)</f>
        <v>0</v>
      </c>
      <c r="H5085" s="86">
        <f>SUMIFS('Climate Data'!$G$7:$G$366,'Climate Data'!$A$7:$A$366,Estimator!$B$4,'Climate Data'!$B$7:$B$366,C5085)</f>
        <v>0.23333333333333334</v>
      </c>
      <c r="I5085" s="87">
        <f>SUMIFS('Climate Data'!$H$7:$H$366,'Climate Data'!$A$7:$A$366,Estimator!$B$4,'Climate Data'!$B$7:$B$366,C5085)</f>
        <v>6.4428571428571431</v>
      </c>
      <c r="J5085" s="86">
        <f>SUMIFS('Wind Proxy'!$H$8:$H$19,'Wind Proxy'!$A$8:$A$19,Estimator!$B$4,'Wind Proxy'!$B$8:$B$19,C5085)</f>
        <v>0</v>
      </c>
    </row>
    <row r="5086" spans="1:10" ht="14.4">
      <c r="A5086" s="84">
        <v>50737</v>
      </c>
      <c r="B5086" s="85">
        <v>2038</v>
      </c>
      <c r="C5086" s="85">
        <v>11</v>
      </c>
      <c r="D5086" s="85" t="s">
        <v>76</v>
      </c>
      <c r="E5086" s="85">
        <v>28</v>
      </c>
      <c r="F5086" s="85">
        <v>7</v>
      </c>
      <c r="G5086" s="85">
        <f>--(F5086&lt;=Estimator!$B$7)</f>
        <v>0</v>
      </c>
      <c r="H5086" s="86">
        <f>SUMIFS('Climate Data'!$G$7:$G$366,'Climate Data'!$A$7:$A$366,Estimator!$B$4,'Climate Data'!$B$7:$B$366,C5086)</f>
        <v>0.23333333333333334</v>
      </c>
      <c r="I5086" s="87">
        <f>SUMIFS('Climate Data'!$H$7:$H$366,'Climate Data'!$A$7:$A$366,Estimator!$B$4,'Climate Data'!$B$7:$B$366,C5086)</f>
        <v>6.4428571428571431</v>
      </c>
      <c r="J5086" s="86">
        <f>SUMIFS('Wind Proxy'!$H$8:$H$19,'Wind Proxy'!$A$8:$A$19,Estimator!$B$4,'Wind Proxy'!$B$8:$B$19,C5086)</f>
        <v>0</v>
      </c>
    </row>
    <row r="5087" spans="1:10" ht="14.4">
      <c r="A5087" s="84">
        <v>50738</v>
      </c>
      <c r="B5087" s="85">
        <v>2038</v>
      </c>
      <c r="C5087" s="85">
        <v>11</v>
      </c>
      <c r="D5087" s="85" t="s">
        <v>76</v>
      </c>
      <c r="E5087" s="85">
        <v>29</v>
      </c>
      <c r="F5087" s="85">
        <v>1</v>
      </c>
      <c r="G5087" s="85">
        <f>--(F5087&lt;=Estimator!$B$7)</f>
        <v>1</v>
      </c>
      <c r="H5087" s="86">
        <f>SUMIFS('Climate Data'!$G$7:$G$366,'Climate Data'!$A$7:$A$366,Estimator!$B$4,'Climate Data'!$B$7:$B$366,C5087)</f>
        <v>0.23333333333333334</v>
      </c>
      <c r="I5087" s="87">
        <f>SUMIFS('Climate Data'!$H$7:$H$366,'Climate Data'!$A$7:$A$366,Estimator!$B$4,'Climate Data'!$B$7:$B$366,C5087)</f>
        <v>6.4428571428571431</v>
      </c>
      <c r="J5087" s="86">
        <f>SUMIFS('Wind Proxy'!$H$8:$H$19,'Wind Proxy'!$A$8:$A$19,Estimator!$B$4,'Wind Proxy'!$B$8:$B$19,C5087)</f>
        <v>0</v>
      </c>
    </row>
    <row r="5088" spans="1:10" ht="14.4">
      <c r="A5088" s="84">
        <v>50739</v>
      </c>
      <c r="B5088" s="85">
        <v>2038</v>
      </c>
      <c r="C5088" s="85">
        <v>11</v>
      </c>
      <c r="D5088" s="85" t="s">
        <v>76</v>
      </c>
      <c r="E5088" s="85">
        <v>30</v>
      </c>
      <c r="F5088" s="85">
        <v>2</v>
      </c>
      <c r="G5088" s="85">
        <f>--(F5088&lt;=Estimator!$B$7)</f>
        <v>1</v>
      </c>
      <c r="H5088" s="86">
        <f>SUMIFS('Climate Data'!$G$7:$G$366,'Climate Data'!$A$7:$A$366,Estimator!$B$4,'Climate Data'!$B$7:$B$366,C5088)</f>
        <v>0.23333333333333334</v>
      </c>
      <c r="I5088" s="87">
        <f>SUMIFS('Climate Data'!$H$7:$H$366,'Climate Data'!$A$7:$A$366,Estimator!$B$4,'Climate Data'!$B$7:$B$366,C5088)</f>
        <v>6.4428571428571431</v>
      </c>
      <c r="J5088" s="86">
        <f>SUMIFS('Wind Proxy'!$H$8:$H$19,'Wind Proxy'!$A$8:$A$19,Estimator!$B$4,'Wind Proxy'!$B$8:$B$19,C5088)</f>
        <v>0</v>
      </c>
    </row>
    <row r="5089" spans="1:10" ht="14.4">
      <c r="A5089" s="84">
        <v>50740</v>
      </c>
      <c r="B5089" s="85">
        <v>2038</v>
      </c>
      <c r="C5089" s="85">
        <v>12</v>
      </c>
      <c r="D5089" s="85" t="s">
        <v>77</v>
      </c>
      <c r="E5089" s="85">
        <v>1</v>
      </c>
      <c r="F5089" s="85">
        <v>3</v>
      </c>
      <c r="G5089" s="85">
        <f>--(F5089&lt;=Estimator!$B$7)</f>
        <v>1</v>
      </c>
      <c r="H5089" s="86">
        <f>SUMIFS('Climate Data'!$G$7:$G$366,'Climate Data'!$A$7:$A$366,Estimator!$B$4,'Climate Data'!$B$7:$B$366,C5089)</f>
        <v>0.22688172043010751</v>
      </c>
      <c r="I5089" s="87">
        <f>SUMIFS('Climate Data'!$H$7:$H$366,'Climate Data'!$A$7:$A$366,Estimator!$B$4,'Climate Data'!$B$7:$B$366,C5089)</f>
        <v>6.7962085308056865</v>
      </c>
      <c r="J5089" s="86">
        <f>SUMIFS('Wind Proxy'!$H$8:$H$19,'Wind Proxy'!$A$8:$A$19,Estimator!$B$4,'Wind Proxy'!$B$8:$B$19,C5089)</f>
        <v>0</v>
      </c>
    </row>
    <row r="5090" spans="1:10" ht="14.4">
      <c r="A5090" s="84">
        <v>50741</v>
      </c>
      <c r="B5090" s="85">
        <v>2038</v>
      </c>
      <c r="C5090" s="85">
        <v>12</v>
      </c>
      <c r="D5090" s="85" t="s">
        <v>77</v>
      </c>
      <c r="E5090" s="85">
        <v>2</v>
      </c>
      <c r="F5090" s="85">
        <v>4</v>
      </c>
      <c r="G5090" s="85">
        <f>--(F5090&lt;=Estimator!$B$7)</f>
        <v>1</v>
      </c>
      <c r="H5090" s="86">
        <f>SUMIFS('Climate Data'!$G$7:$G$366,'Climate Data'!$A$7:$A$366,Estimator!$B$4,'Climate Data'!$B$7:$B$366,C5090)</f>
        <v>0.22688172043010751</v>
      </c>
      <c r="I5090" s="87">
        <f>SUMIFS('Climate Data'!$H$7:$H$366,'Climate Data'!$A$7:$A$366,Estimator!$B$4,'Climate Data'!$B$7:$B$366,C5090)</f>
        <v>6.7962085308056865</v>
      </c>
      <c r="J5090" s="86">
        <f>SUMIFS('Wind Proxy'!$H$8:$H$19,'Wind Proxy'!$A$8:$A$19,Estimator!$B$4,'Wind Proxy'!$B$8:$B$19,C5090)</f>
        <v>0</v>
      </c>
    </row>
    <row r="5091" spans="1:10" ht="14.4">
      <c r="A5091" s="84">
        <v>50742</v>
      </c>
      <c r="B5091" s="85">
        <v>2038</v>
      </c>
      <c r="C5091" s="85">
        <v>12</v>
      </c>
      <c r="D5091" s="85" t="s">
        <v>77</v>
      </c>
      <c r="E5091" s="85">
        <v>3</v>
      </c>
      <c r="F5091" s="85">
        <v>5</v>
      </c>
      <c r="G5091" s="85">
        <f>--(F5091&lt;=Estimator!$B$7)</f>
        <v>1</v>
      </c>
      <c r="H5091" s="86">
        <f>SUMIFS('Climate Data'!$G$7:$G$366,'Climate Data'!$A$7:$A$366,Estimator!$B$4,'Climate Data'!$B$7:$B$366,C5091)</f>
        <v>0.22688172043010751</v>
      </c>
      <c r="I5091" s="87">
        <f>SUMIFS('Climate Data'!$H$7:$H$366,'Climate Data'!$A$7:$A$366,Estimator!$B$4,'Climate Data'!$B$7:$B$366,C5091)</f>
        <v>6.7962085308056865</v>
      </c>
      <c r="J5091" s="86">
        <f>SUMIFS('Wind Proxy'!$H$8:$H$19,'Wind Proxy'!$A$8:$A$19,Estimator!$B$4,'Wind Proxy'!$B$8:$B$19,C5091)</f>
        <v>0</v>
      </c>
    </row>
    <row r="5092" spans="1:10" ht="14.4">
      <c r="A5092" s="84">
        <v>50743</v>
      </c>
      <c r="B5092" s="85">
        <v>2038</v>
      </c>
      <c r="C5092" s="85">
        <v>12</v>
      </c>
      <c r="D5092" s="85" t="s">
        <v>77</v>
      </c>
      <c r="E5092" s="85">
        <v>4</v>
      </c>
      <c r="F5092" s="85">
        <v>6</v>
      </c>
      <c r="G5092" s="85">
        <f>--(F5092&lt;=Estimator!$B$7)</f>
        <v>0</v>
      </c>
      <c r="H5092" s="86">
        <f>SUMIFS('Climate Data'!$G$7:$G$366,'Climate Data'!$A$7:$A$366,Estimator!$B$4,'Climate Data'!$B$7:$B$366,C5092)</f>
        <v>0.22688172043010751</v>
      </c>
      <c r="I5092" s="87">
        <f>SUMIFS('Climate Data'!$H$7:$H$366,'Climate Data'!$A$7:$A$366,Estimator!$B$4,'Climate Data'!$B$7:$B$366,C5092)</f>
        <v>6.7962085308056865</v>
      </c>
      <c r="J5092" s="86">
        <f>SUMIFS('Wind Proxy'!$H$8:$H$19,'Wind Proxy'!$A$8:$A$19,Estimator!$B$4,'Wind Proxy'!$B$8:$B$19,C5092)</f>
        <v>0</v>
      </c>
    </row>
    <row r="5093" spans="1:10" ht="14.4">
      <c r="A5093" s="84">
        <v>50744</v>
      </c>
      <c r="B5093" s="85">
        <v>2038</v>
      </c>
      <c r="C5093" s="85">
        <v>12</v>
      </c>
      <c r="D5093" s="85" t="s">
        <v>77</v>
      </c>
      <c r="E5093" s="85">
        <v>5</v>
      </c>
      <c r="F5093" s="85">
        <v>7</v>
      </c>
      <c r="G5093" s="85">
        <f>--(F5093&lt;=Estimator!$B$7)</f>
        <v>0</v>
      </c>
      <c r="H5093" s="86">
        <f>SUMIFS('Climate Data'!$G$7:$G$366,'Climate Data'!$A$7:$A$366,Estimator!$B$4,'Climate Data'!$B$7:$B$366,C5093)</f>
        <v>0.22688172043010751</v>
      </c>
      <c r="I5093" s="87">
        <f>SUMIFS('Climate Data'!$H$7:$H$366,'Climate Data'!$A$7:$A$366,Estimator!$B$4,'Climate Data'!$B$7:$B$366,C5093)</f>
        <v>6.7962085308056865</v>
      </c>
      <c r="J5093" s="86">
        <f>SUMIFS('Wind Proxy'!$H$8:$H$19,'Wind Proxy'!$A$8:$A$19,Estimator!$B$4,'Wind Proxy'!$B$8:$B$19,C5093)</f>
        <v>0</v>
      </c>
    </row>
    <row r="5094" spans="1:10" ht="14.4">
      <c r="A5094" s="84">
        <v>50745</v>
      </c>
      <c r="B5094" s="85">
        <v>2038</v>
      </c>
      <c r="C5094" s="85">
        <v>12</v>
      </c>
      <c r="D5094" s="85" t="s">
        <v>77</v>
      </c>
      <c r="E5094" s="85">
        <v>6</v>
      </c>
      <c r="F5094" s="85">
        <v>1</v>
      </c>
      <c r="G5094" s="85">
        <f>--(F5094&lt;=Estimator!$B$7)</f>
        <v>1</v>
      </c>
      <c r="H5094" s="86">
        <f>SUMIFS('Climate Data'!$G$7:$G$366,'Climate Data'!$A$7:$A$366,Estimator!$B$4,'Climate Data'!$B$7:$B$366,C5094)</f>
        <v>0.22688172043010751</v>
      </c>
      <c r="I5094" s="87">
        <f>SUMIFS('Climate Data'!$H$7:$H$366,'Climate Data'!$A$7:$A$366,Estimator!$B$4,'Climate Data'!$B$7:$B$366,C5094)</f>
        <v>6.7962085308056865</v>
      </c>
      <c r="J5094" s="86">
        <f>SUMIFS('Wind Proxy'!$H$8:$H$19,'Wind Proxy'!$A$8:$A$19,Estimator!$B$4,'Wind Proxy'!$B$8:$B$19,C5094)</f>
        <v>0</v>
      </c>
    </row>
    <row r="5095" spans="1:10" ht="14.4">
      <c r="A5095" s="84">
        <v>50746</v>
      </c>
      <c r="B5095" s="85">
        <v>2038</v>
      </c>
      <c r="C5095" s="85">
        <v>12</v>
      </c>
      <c r="D5095" s="85" t="s">
        <v>77</v>
      </c>
      <c r="E5095" s="85">
        <v>7</v>
      </c>
      <c r="F5095" s="85">
        <v>2</v>
      </c>
      <c r="G5095" s="85">
        <f>--(F5095&lt;=Estimator!$B$7)</f>
        <v>1</v>
      </c>
      <c r="H5095" s="86">
        <f>SUMIFS('Climate Data'!$G$7:$G$366,'Climate Data'!$A$7:$A$366,Estimator!$B$4,'Climate Data'!$B$7:$B$366,C5095)</f>
        <v>0.22688172043010751</v>
      </c>
      <c r="I5095" s="87">
        <f>SUMIFS('Climate Data'!$H$7:$H$366,'Climate Data'!$A$7:$A$366,Estimator!$B$4,'Climate Data'!$B$7:$B$366,C5095)</f>
        <v>6.7962085308056865</v>
      </c>
      <c r="J5095" s="86">
        <f>SUMIFS('Wind Proxy'!$H$8:$H$19,'Wind Proxy'!$A$8:$A$19,Estimator!$B$4,'Wind Proxy'!$B$8:$B$19,C5095)</f>
        <v>0</v>
      </c>
    </row>
    <row r="5096" spans="1:10" ht="14.4">
      <c r="A5096" s="84">
        <v>50747</v>
      </c>
      <c r="B5096" s="85">
        <v>2038</v>
      </c>
      <c r="C5096" s="85">
        <v>12</v>
      </c>
      <c r="D5096" s="85" t="s">
        <v>77</v>
      </c>
      <c r="E5096" s="85">
        <v>8</v>
      </c>
      <c r="F5096" s="85">
        <v>3</v>
      </c>
      <c r="G5096" s="85">
        <f>--(F5096&lt;=Estimator!$B$7)</f>
        <v>1</v>
      </c>
      <c r="H5096" s="86">
        <f>SUMIFS('Climate Data'!$G$7:$G$366,'Climate Data'!$A$7:$A$366,Estimator!$B$4,'Climate Data'!$B$7:$B$366,C5096)</f>
        <v>0.22688172043010751</v>
      </c>
      <c r="I5096" s="87">
        <f>SUMIFS('Climate Data'!$H$7:$H$366,'Climate Data'!$A$7:$A$366,Estimator!$B$4,'Climate Data'!$B$7:$B$366,C5096)</f>
        <v>6.7962085308056865</v>
      </c>
      <c r="J5096" s="86">
        <f>SUMIFS('Wind Proxy'!$H$8:$H$19,'Wind Proxy'!$A$8:$A$19,Estimator!$B$4,'Wind Proxy'!$B$8:$B$19,C5096)</f>
        <v>0</v>
      </c>
    </row>
    <row r="5097" spans="1:10" ht="14.4">
      <c r="A5097" s="84">
        <v>50748</v>
      </c>
      <c r="B5097" s="85">
        <v>2038</v>
      </c>
      <c r="C5097" s="85">
        <v>12</v>
      </c>
      <c r="D5097" s="85" t="s">
        <v>77</v>
      </c>
      <c r="E5097" s="85">
        <v>9</v>
      </c>
      <c r="F5097" s="85">
        <v>4</v>
      </c>
      <c r="G5097" s="85">
        <f>--(F5097&lt;=Estimator!$B$7)</f>
        <v>1</v>
      </c>
      <c r="H5097" s="86">
        <f>SUMIFS('Climate Data'!$G$7:$G$366,'Climate Data'!$A$7:$A$366,Estimator!$B$4,'Climate Data'!$B$7:$B$366,C5097)</f>
        <v>0.22688172043010751</v>
      </c>
      <c r="I5097" s="87">
        <f>SUMIFS('Climate Data'!$H$7:$H$366,'Climate Data'!$A$7:$A$366,Estimator!$B$4,'Climate Data'!$B$7:$B$366,C5097)</f>
        <v>6.7962085308056865</v>
      </c>
      <c r="J5097" s="86">
        <f>SUMIFS('Wind Proxy'!$H$8:$H$19,'Wind Proxy'!$A$8:$A$19,Estimator!$B$4,'Wind Proxy'!$B$8:$B$19,C5097)</f>
        <v>0</v>
      </c>
    </row>
    <row r="5098" spans="1:10" ht="14.4">
      <c r="A5098" s="84">
        <v>50749</v>
      </c>
      <c r="B5098" s="85">
        <v>2038</v>
      </c>
      <c r="C5098" s="85">
        <v>12</v>
      </c>
      <c r="D5098" s="85" t="s">
        <v>77</v>
      </c>
      <c r="E5098" s="85">
        <v>10</v>
      </c>
      <c r="F5098" s="85">
        <v>5</v>
      </c>
      <c r="G5098" s="85">
        <f>--(F5098&lt;=Estimator!$B$7)</f>
        <v>1</v>
      </c>
      <c r="H5098" s="86">
        <f>SUMIFS('Climate Data'!$G$7:$G$366,'Climate Data'!$A$7:$A$366,Estimator!$B$4,'Climate Data'!$B$7:$B$366,C5098)</f>
        <v>0.22688172043010751</v>
      </c>
      <c r="I5098" s="87">
        <f>SUMIFS('Climate Data'!$H$7:$H$366,'Climate Data'!$A$7:$A$366,Estimator!$B$4,'Climate Data'!$B$7:$B$366,C5098)</f>
        <v>6.7962085308056865</v>
      </c>
      <c r="J5098" s="86">
        <f>SUMIFS('Wind Proxy'!$H$8:$H$19,'Wind Proxy'!$A$8:$A$19,Estimator!$B$4,'Wind Proxy'!$B$8:$B$19,C5098)</f>
        <v>0</v>
      </c>
    </row>
    <row r="5099" spans="1:10" ht="14.4">
      <c r="A5099" s="84">
        <v>50750</v>
      </c>
      <c r="B5099" s="85">
        <v>2038</v>
      </c>
      <c r="C5099" s="85">
        <v>12</v>
      </c>
      <c r="D5099" s="85" t="s">
        <v>77</v>
      </c>
      <c r="E5099" s="85">
        <v>11</v>
      </c>
      <c r="F5099" s="85">
        <v>6</v>
      </c>
      <c r="G5099" s="85">
        <f>--(F5099&lt;=Estimator!$B$7)</f>
        <v>0</v>
      </c>
      <c r="H5099" s="86">
        <f>SUMIFS('Climate Data'!$G$7:$G$366,'Climate Data'!$A$7:$A$366,Estimator!$B$4,'Climate Data'!$B$7:$B$366,C5099)</f>
        <v>0.22688172043010751</v>
      </c>
      <c r="I5099" s="87">
        <f>SUMIFS('Climate Data'!$H$7:$H$366,'Climate Data'!$A$7:$A$366,Estimator!$B$4,'Climate Data'!$B$7:$B$366,C5099)</f>
        <v>6.7962085308056865</v>
      </c>
      <c r="J5099" s="86">
        <f>SUMIFS('Wind Proxy'!$H$8:$H$19,'Wind Proxy'!$A$8:$A$19,Estimator!$B$4,'Wind Proxy'!$B$8:$B$19,C5099)</f>
        <v>0</v>
      </c>
    </row>
    <row r="5100" spans="1:10" ht="14.4">
      <c r="A5100" s="84">
        <v>50751</v>
      </c>
      <c r="B5100" s="85">
        <v>2038</v>
      </c>
      <c r="C5100" s="85">
        <v>12</v>
      </c>
      <c r="D5100" s="85" t="s">
        <v>77</v>
      </c>
      <c r="E5100" s="85">
        <v>12</v>
      </c>
      <c r="F5100" s="85">
        <v>7</v>
      </c>
      <c r="G5100" s="85">
        <f>--(F5100&lt;=Estimator!$B$7)</f>
        <v>0</v>
      </c>
      <c r="H5100" s="86">
        <f>SUMIFS('Climate Data'!$G$7:$G$366,'Climate Data'!$A$7:$A$366,Estimator!$B$4,'Climate Data'!$B$7:$B$366,C5100)</f>
        <v>0.22688172043010751</v>
      </c>
      <c r="I5100" s="87">
        <f>SUMIFS('Climate Data'!$H$7:$H$366,'Climate Data'!$A$7:$A$366,Estimator!$B$4,'Climate Data'!$B$7:$B$366,C5100)</f>
        <v>6.7962085308056865</v>
      </c>
      <c r="J5100" s="86">
        <f>SUMIFS('Wind Proxy'!$H$8:$H$19,'Wind Proxy'!$A$8:$A$19,Estimator!$B$4,'Wind Proxy'!$B$8:$B$19,C5100)</f>
        <v>0</v>
      </c>
    </row>
    <row r="5101" spans="1:10" ht="14.4">
      <c r="A5101" s="84">
        <v>50752</v>
      </c>
      <c r="B5101" s="85">
        <v>2038</v>
      </c>
      <c r="C5101" s="85">
        <v>12</v>
      </c>
      <c r="D5101" s="85" t="s">
        <v>77</v>
      </c>
      <c r="E5101" s="85">
        <v>13</v>
      </c>
      <c r="F5101" s="85">
        <v>1</v>
      </c>
      <c r="G5101" s="85">
        <f>--(F5101&lt;=Estimator!$B$7)</f>
        <v>1</v>
      </c>
      <c r="H5101" s="86">
        <f>SUMIFS('Climate Data'!$G$7:$G$366,'Climate Data'!$A$7:$A$366,Estimator!$B$4,'Climate Data'!$B$7:$B$366,C5101)</f>
        <v>0.22688172043010751</v>
      </c>
      <c r="I5101" s="87">
        <f>SUMIFS('Climate Data'!$H$7:$H$366,'Climate Data'!$A$7:$A$366,Estimator!$B$4,'Climate Data'!$B$7:$B$366,C5101)</f>
        <v>6.7962085308056865</v>
      </c>
      <c r="J5101" s="86">
        <f>SUMIFS('Wind Proxy'!$H$8:$H$19,'Wind Proxy'!$A$8:$A$19,Estimator!$B$4,'Wind Proxy'!$B$8:$B$19,C5101)</f>
        <v>0</v>
      </c>
    </row>
    <row r="5102" spans="1:10" ht="14.4">
      <c r="A5102" s="84">
        <v>50753</v>
      </c>
      <c r="B5102" s="85">
        <v>2038</v>
      </c>
      <c r="C5102" s="85">
        <v>12</v>
      </c>
      <c r="D5102" s="85" t="s">
        <v>77</v>
      </c>
      <c r="E5102" s="85">
        <v>14</v>
      </c>
      <c r="F5102" s="85">
        <v>2</v>
      </c>
      <c r="G5102" s="85">
        <f>--(F5102&lt;=Estimator!$B$7)</f>
        <v>1</v>
      </c>
      <c r="H5102" s="86">
        <f>SUMIFS('Climate Data'!$G$7:$G$366,'Climate Data'!$A$7:$A$366,Estimator!$B$4,'Climate Data'!$B$7:$B$366,C5102)</f>
        <v>0.22688172043010751</v>
      </c>
      <c r="I5102" s="87">
        <f>SUMIFS('Climate Data'!$H$7:$H$366,'Climate Data'!$A$7:$A$366,Estimator!$B$4,'Climate Data'!$B$7:$B$366,C5102)</f>
        <v>6.7962085308056865</v>
      </c>
      <c r="J5102" s="86">
        <f>SUMIFS('Wind Proxy'!$H$8:$H$19,'Wind Proxy'!$A$8:$A$19,Estimator!$B$4,'Wind Proxy'!$B$8:$B$19,C5102)</f>
        <v>0</v>
      </c>
    </row>
    <row r="5103" spans="1:10" ht="14.4">
      <c r="A5103" s="84">
        <v>50754</v>
      </c>
      <c r="B5103" s="85">
        <v>2038</v>
      </c>
      <c r="C5103" s="85">
        <v>12</v>
      </c>
      <c r="D5103" s="85" t="s">
        <v>77</v>
      </c>
      <c r="E5103" s="85">
        <v>15</v>
      </c>
      <c r="F5103" s="85">
        <v>3</v>
      </c>
      <c r="G5103" s="85">
        <f>--(F5103&lt;=Estimator!$B$7)</f>
        <v>1</v>
      </c>
      <c r="H5103" s="86">
        <f>SUMIFS('Climate Data'!$G$7:$G$366,'Climate Data'!$A$7:$A$366,Estimator!$B$4,'Climate Data'!$B$7:$B$366,C5103)</f>
        <v>0.22688172043010751</v>
      </c>
      <c r="I5103" s="87">
        <f>SUMIFS('Climate Data'!$H$7:$H$366,'Climate Data'!$A$7:$A$366,Estimator!$B$4,'Climate Data'!$B$7:$B$366,C5103)</f>
        <v>6.7962085308056865</v>
      </c>
      <c r="J5103" s="86">
        <f>SUMIFS('Wind Proxy'!$H$8:$H$19,'Wind Proxy'!$A$8:$A$19,Estimator!$B$4,'Wind Proxy'!$B$8:$B$19,C5103)</f>
        <v>0</v>
      </c>
    </row>
    <row r="5104" spans="1:10" ht="14.4">
      <c r="A5104" s="84">
        <v>50755</v>
      </c>
      <c r="B5104" s="85">
        <v>2038</v>
      </c>
      <c r="C5104" s="85">
        <v>12</v>
      </c>
      <c r="D5104" s="85" t="s">
        <v>77</v>
      </c>
      <c r="E5104" s="85">
        <v>16</v>
      </c>
      <c r="F5104" s="85">
        <v>4</v>
      </c>
      <c r="G5104" s="85">
        <f>--(F5104&lt;=Estimator!$B$7)</f>
        <v>1</v>
      </c>
      <c r="H5104" s="86">
        <f>SUMIFS('Climate Data'!$G$7:$G$366,'Climate Data'!$A$7:$A$366,Estimator!$B$4,'Climate Data'!$B$7:$B$366,C5104)</f>
        <v>0.22688172043010751</v>
      </c>
      <c r="I5104" s="87">
        <f>SUMIFS('Climate Data'!$H$7:$H$366,'Climate Data'!$A$7:$A$366,Estimator!$B$4,'Climate Data'!$B$7:$B$366,C5104)</f>
        <v>6.7962085308056865</v>
      </c>
      <c r="J5104" s="86">
        <f>SUMIFS('Wind Proxy'!$H$8:$H$19,'Wind Proxy'!$A$8:$A$19,Estimator!$B$4,'Wind Proxy'!$B$8:$B$19,C5104)</f>
        <v>0</v>
      </c>
    </row>
    <row r="5105" spans="1:10" ht="14.4">
      <c r="A5105" s="84">
        <v>50756</v>
      </c>
      <c r="B5105" s="85">
        <v>2038</v>
      </c>
      <c r="C5105" s="85">
        <v>12</v>
      </c>
      <c r="D5105" s="85" t="s">
        <v>77</v>
      </c>
      <c r="E5105" s="85">
        <v>17</v>
      </c>
      <c r="F5105" s="85">
        <v>5</v>
      </c>
      <c r="G5105" s="85">
        <f>--(F5105&lt;=Estimator!$B$7)</f>
        <v>1</v>
      </c>
      <c r="H5105" s="86">
        <f>SUMIFS('Climate Data'!$G$7:$G$366,'Climate Data'!$A$7:$A$366,Estimator!$B$4,'Climate Data'!$B$7:$B$366,C5105)</f>
        <v>0.22688172043010751</v>
      </c>
      <c r="I5105" s="87">
        <f>SUMIFS('Climate Data'!$H$7:$H$366,'Climate Data'!$A$7:$A$366,Estimator!$B$4,'Climate Data'!$B$7:$B$366,C5105)</f>
        <v>6.7962085308056865</v>
      </c>
      <c r="J5105" s="86">
        <f>SUMIFS('Wind Proxy'!$H$8:$H$19,'Wind Proxy'!$A$8:$A$19,Estimator!$B$4,'Wind Proxy'!$B$8:$B$19,C5105)</f>
        <v>0</v>
      </c>
    </row>
    <row r="5106" spans="1:10" ht="14.4">
      <c r="A5106" s="84">
        <v>50757</v>
      </c>
      <c r="B5106" s="85">
        <v>2038</v>
      </c>
      <c r="C5106" s="85">
        <v>12</v>
      </c>
      <c r="D5106" s="85" t="s">
        <v>77</v>
      </c>
      <c r="E5106" s="85">
        <v>18</v>
      </c>
      <c r="F5106" s="85">
        <v>6</v>
      </c>
      <c r="G5106" s="85">
        <f>--(F5106&lt;=Estimator!$B$7)</f>
        <v>0</v>
      </c>
      <c r="H5106" s="86">
        <f>SUMIFS('Climate Data'!$G$7:$G$366,'Climate Data'!$A$7:$A$366,Estimator!$B$4,'Climate Data'!$B$7:$B$366,C5106)</f>
        <v>0.22688172043010751</v>
      </c>
      <c r="I5106" s="87">
        <f>SUMIFS('Climate Data'!$H$7:$H$366,'Climate Data'!$A$7:$A$366,Estimator!$B$4,'Climate Data'!$B$7:$B$366,C5106)</f>
        <v>6.7962085308056865</v>
      </c>
      <c r="J5106" s="86">
        <f>SUMIFS('Wind Proxy'!$H$8:$H$19,'Wind Proxy'!$A$8:$A$19,Estimator!$B$4,'Wind Proxy'!$B$8:$B$19,C5106)</f>
        <v>0</v>
      </c>
    </row>
    <row r="5107" spans="1:10" ht="14.4">
      <c r="A5107" s="84">
        <v>50758</v>
      </c>
      <c r="B5107" s="85">
        <v>2038</v>
      </c>
      <c r="C5107" s="85">
        <v>12</v>
      </c>
      <c r="D5107" s="85" t="s">
        <v>77</v>
      </c>
      <c r="E5107" s="85">
        <v>19</v>
      </c>
      <c r="F5107" s="85">
        <v>7</v>
      </c>
      <c r="G5107" s="85">
        <f>--(F5107&lt;=Estimator!$B$7)</f>
        <v>0</v>
      </c>
      <c r="H5107" s="86">
        <f>SUMIFS('Climate Data'!$G$7:$G$366,'Climate Data'!$A$7:$A$366,Estimator!$B$4,'Climate Data'!$B$7:$B$366,C5107)</f>
        <v>0.22688172043010751</v>
      </c>
      <c r="I5107" s="87">
        <f>SUMIFS('Climate Data'!$H$7:$H$366,'Climate Data'!$A$7:$A$366,Estimator!$B$4,'Climate Data'!$B$7:$B$366,C5107)</f>
        <v>6.7962085308056865</v>
      </c>
      <c r="J5107" s="86">
        <f>SUMIFS('Wind Proxy'!$H$8:$H$19,'Wind Proxy'!$A$8:$A$19,Estimator!$B$4,'Wind Proxy'!$B$8:$B$19,C5107)</f>
        <v>0</v>
      </c>
    </row>
    <row r="5108" spans="1:10" ht="14.4">
      <c r="A5108" s="84">
        <v>50759</v>
      </c>
      <c r="B5108" s="85">
        <v>2038</v>
      </c>
      <c r="C5108" s="85">
        <v>12</v>
      </c>
      <c r="D5108" s="85" t="s">
        <v>77</v>
      </c>
      <c r="E5108" s="85">
        <v>20</v>
      </c>
      <c r="F5108" s="85">
        <v>1</v>
      </c>
      <c r="G5108" s="85">
        <f>--(F5108&lt;=Estimator!$B$7)</f>
        <v>1</v>
      </c>
      <c r="H5108" s="86">
        <f>SUMIFS('Climate Data'!$G$7:$G$366,'Climate Data'!$A$7:$A$366,Estimator!$B$4,'Climate Data'!$B$7:$B$366,C5108)</f>
        <v>0.22688172043010751</v>
      </c>
      <c r="I5108" s="87">
        <f>SUMIFS('Climate Data'!$H$7:$H$366,'Climate Data'!$A$7:$A$366,Estimator!$B$4,'Climate Data'!$B$7:$B$366,C5108)</f>
        <v>6.7962085308056865</v>
      </c>
      <c r="J5108" s="86">
        <f>SUMIFS('Wind Proxy'!$H$8:$H$19,'Wind Proxy'!$A$8:$A$19,Estimator!$B$4,'Wind Proxy'!$B$8:$B$19,C5108)</f>
        <v>0</v>
      </c>
    </row>
    <row r="5109" spans="1:10" ht="14.4">
      <c r="A5109" s="84">
        <v>50760</v>
      </c>
      <c r="B5109" s="85">
        <v>2038</v>
      </c>
      <c r="C5109" s="85">
        <v>12</v>
      </c>
      <c r="D5109" s="85" t="s">
        <v>77</v>
      </c>
      <c r="E5109" s="85">
        <v>21</v>
      </c>
      <c r="F5109" s="85">
        <v>2</v>
      </c>
      <c r="G5109" s="85">
        <f>--(F5109&lt;=Estimator!$B$7)</f>
        <v>1</v>
      </c>
      <c r="H5109" s="86">
        <f>SUMIFS('Climate Data'!$G$7:$G$366,'Climate Data'!$A$7:$A$366,Estimator!$B$4,'Climate Data'!$B$7:$B$366,C5109)</f>
        <v>0.22688172043010751</v>
      </c>
      <c r="I5109" s="87">
        <f>SUMIFS('Climate Data'!$H$7:$H$366,'Climate Data'!$A$7:$A$366,Estimator!$B$4,'Climate Data'!$B$7:$B$366,C5109)</f>
        <v>6.7962085308056865</v>
      </c>
      <c r="J5109" s="86">
        <f>SUMIFS('Wind Proxy'!$H$8:$H$19,'Wind Proxy'!$A$8:$A$19,Estimator!$B$4,'Wind Proxy'!$B$8:$B$19,C5109)</f>
        <v>0</v>
      </c>
    </row>
    <row r="5110" spans="1:10" ht="14.4">
      <c r="A5110" s="84">
        <v>50761</v>
      </c>
      <c r="B5110" s="85">
        <v>2038</v>
      </c>
      <c r="C5110" s="85">
        <v>12</v>
      </c>
      <c r="D5110" s="85" t="s">
        <v>77</v>
      </c>
      <c r="E5110" s="85">
        <v>22</v>
      </c>
      <c r="F5110" s="85">
        <v>3</v>
      </c>
      <c r="G5110" s="85">
        <f>--(F5110&lt;=Estimator!$B$7)</f>
        <v>1</v>
      </c>
      <c r="H5110" s="86">
        <f>SUMIFS('Climate Data'!$G$7:$G$366,'Climate Data'!$A$7:$A$366,Estimator!$B$4,'Climate Data'!$B$7:$B$366,C5110)</f>
        <v>0.22688172043010751</v>
      </c>
      <c r="I5110" s="87">
        <f>SUMIFS('Climate Data'!$H$7:$H$366,'Climate Data'!$A$7:$A$366,Estimator!$B$4,'Climate Data'!$B$7:$B$366,C5110)</f>
        <v>6.7962085308056865</v>
      </c>
      <c r="J5110" s="86">
        <f>SUMIFS('Wind Proxy'!$H$8:$H$19,'Wind Proxy'!$A$8:$A$19,Estimator!$B$4,'Wind Proxy'!$B$8:$B$19,C5110)</f>
        <v>0</v>
      </c>
    </row>
    <row r="5111" spans="1:10" ht="14.4">
      <c r="A5111" s="84">
        <v>50762</v>
      </c>
      <c r="B5111" s="85">
        <v>2038</v>
      </c>
      <c r="C5111" s="85">
        <v>12</v>
      </c>
      <c r="D5111" s="85" t="s">
        <v>77</v>
      </c>
      <c r="E5111" s="85">
        <v>23</v>
      </c>
      <c r="F5111" s="85">
        <v>4</v>
      </c>
      <c r="G5111" s="85">
        <f>--(F5111&lt;=Estimator!$B$7)</f>
        <v>1</v>
      </c>
      <c r="H5111" s="86">
        <f>SUMIFS('Climate Data'!$G$7:$G$366,'Climate Data'!$A$7:$A$366,Estimator!$B$4,'Climate Data'!$B$7:$B$366,C5111)</f>
        <v>0.22688172043010751</v>
      </c>
      <c r="I5111" s="87">
        <f>SUMIFS('Climate Data'!$H$7:$H$366,'Climate Data'!$A$7:$A$366,Estimator!$B$4,'Climate Data'!$B$7:$B$366,C5111)</f>
        <v>6.7962085308056865</v>
      </c>
      <c r="J5111" s="86">
        <f>SUMIFS('Wind Proxy'!$H$8:$H$19,'Wind Proxy'!$A$8:$A$19,Estimator!$B$4,'Wind Proxy'!$B$8:$B$19,C5111)</f>
        <v>0</v>
      </c>
    </row>
    <row r="5112" spans="1:10" ht="14.4">
      <c r="A5112" s="84">
        <v>50763</v>
      </c>
      <c r="B5112" s="85">
        <v>2038</v>
      </c>
      <c r="C5112" s="85">
        <v>12</v>
      </c>
      <c r="D5112" s="85" t="s">
        <v>77</v>
      </c>
      <c r="E5112" s="85">
        <v>24</v>
      </c>
      <c r="F5112" s="85">
        <v>5</v>
      </c>
      <c r="G5112" s="85">
        <f>--(F5112&lt;=Estimator!$B$7)</f>
        <v>1</v>
      </c>
      <c r="H5112" s="86">
        <f>SUMIFS('Climate Data'!$G$7:$G$366,'Climate Data'!$A$7:$A$366,Estimator!$B$4,'Climate Data'!$B$7:$B$366,C5112)</f>
        <v>0.22688172043010751</v>
      </c>
      <c r="I5112" s="87">
        <f>SUMIFS('Climate Data'!$H$7:$H$366,'Climate Data'!$A$7:$A$366,Estimator!$B$4,'Climate Data'!$B$7:$B$366,C5112)</f>
        <v>6.7962085308056865</v>
      </c>
      <c r="J5112" s="86">
        <f>SUMIFS('Wind Proxy'!$H$8:$H$19,'Wind Proxy'!$A$8:$A$19,Estimator!$B$4,'Wind Proxy'!$B$8:$B$19,C5112)</f>
        <v>0</v>
      </c>
    </row>
    <row r="5113" spans="1:10" ht="14.4">
      <c r="A5113" s="84">
        <v>50764</v>
      </c>
      <c r="B5113" s="85">
        <v>2038</v>
      </c>
      <c r="C5113" s="85">
        <v>12</v>
      </c>
      <c r="D5113" s="85" t="s">
        <v>77</v>
      </c>
      <c r="E5113" s="85">
        <v>25</v>
      </c>
      <c r="F5113" s="85">
        <v>6</v>
      </c>
      <c r="G5113" s="85">
        <f>--(F5113&lt;=Estimator!$B$7)</f>
        <v>0</v>
      </c>
      <c r="H5113" s="86">
        <f>SUMIFS('Climate Data'!$G$7:$G$366,'Climate Data'!$A$7:$A$366,Estimator!$B$4,'Climate Data'!$B$7:$B$366,C5113)</f>
        <v>0.22688172043010751</v>
      </c>
      <c r="I5113" s="87">
        <f>SUMIFS('Climate Data'!$H$7:$H$366,'Climate Data'!$A$7:$A$366,Estimator!$B$4,'Climate Data'!$B$7:$B$366,C5113)</f>
        <v>6.7962085308056865</v>
      </c>
      <c r="J5113" s="86">
        <f>SUMIFS('Wind Proxy'!$H$8:$H$19,'Wind Proxy'!$A$8:$A$19,Estimator!$B$4,'Wind Proxy'!$B$8:$B$19,C5113)</f>
        <v>0</v>
      </c>
    </row>
    <row r="5114" spans="1:10" ht="14.4">
      <c r="A5114" s="84">
        <v>50765</v>
      </c>
      <c r="B5114" s="85">
        <v>2038</v>
      </c>
      <c r="C5114" s="85">
        <v>12</v>
      </c>
      <c r="D5114" s="85" t="s">
        <v>77</v>
      </c>
      <c r="E5114" s="85">
        <v>26</v>
      </c>
      <c r="F5114" s="85">
        <v>7</v>
      </c>
      <c r="G5114" s="85">
        <f>--(F5114&lt;=Estimator!$B$7)</f>
        <v>0</v>
      </c>
      <c r="H5114" s="86">
        <f>SUMIFS('Climate Data'!$G$7:$G$366,'Climate Data'!$A$7:$A$366,Estimator!$B$4,'Climate Data'!$B$7:$B$366,C5114)</f>
        <v>0.22688172043010751</v>
      </c>
      <c r="I5114" s="87">
        <f>SUMIFS('Climate Data'!$H$7:$H$366,'Climate Data'!$A$7:$A$366,Estimator!$B$4,'Climate Data'!$B$7:$B$366,C5114)</f>
        <v>6.7962085308056865</v>
      </c>
      <c r="J5114" s="86">
        <f>SUMIFS('Wind Proxy'!$H$8:$H$19,'Wind Proxy'!$A$8:$A$19,Estimator!$B$4,'Wind Proxy'!$B$8:$B$19,C5114)</f>
        <v>0</v>
      </c>
    </row>
    <row r="5115" spans="1:10" ht="14.4">
      <c r="A5115" s="84">
        <v>50766</v>
      </c>
      <c r="B5115" s="85">
        <v>2038</v>
      </c>
      <c r="C5115" s="85">
        <v>12</v>
      </c>
      <c r="D5115" s="85" t="s">
        <v>77</v>
      </c>
      <c r="E5115" s="85">
        <v>27</v>
      </c>
      <c r="F5115" s="85">
        <v>1</v>
      </c>
      <c r="G5115" s="85">
        <f>--(F5115&lt;=Estimator!$B$7)</f>
        <v>1</v>
      </c>
      <c r="H5115" s="86">
        <f>SUMIFS('Climate Data'!$G$7:$G$366,'Climate Data'!$A$7:$A$366,Estimator!$B$4,'Climate Data'!$B$7:$B$366,C5115)</f>
        <v>0.22688172043010751</v>
      </c>
      <c r="I5115" s="87">
        <f>SUMIFS('Climate Data'!$H$7:$H$366,'Climate Data'!$A$7:$A$366,Estimator!$B$4,'Climate Data'!$B$7:$B$366,C5115)</f>
        <v>6.7962085308056865</v>
      </c>
      <c r="J5115" s="86">
        <f>SUMIFS('Wind Proxy'!$H$8:$H$19,'Wind Proxy'!$A$8:$A$19,Estimator!$B$4,'Wind Proxy'!$B$8:$B$19,C5115)</f>
        <v>0</v>
      </c>
    </row>
    <row r="5116" spans="1:10" ht="14.4">
      <c r="A5116" s="84">
        <v>50767</v>
      </c>
      <c r="B5116" s="85">
        <v>2038</v>
      </c>
      <c r="C5116" s="85">
        <v>12</v>
      </c>
      <c r="D5116" s="85" t="s">
        <v>77</v>
      </c>
      <c r="E5116" s="85">
        <v>28</v>
      </c>
      <c r="F5116" s="85">
        <v>2</v>
      </c>
      <c r="G5116" s="85">
        <f>--(F5116&lt;=Estimator!$B$7)</f>
        <v>1</v>
      </c>
      <c r="H5116" s="86">
        <f>SUMIFS('Climate Data'!$G$7:$G$366,'Climate Data'!$A$7:$A$366,Estimator!$B$4,'Climate Data'!$B$7:$B$366,C5116)</f>
        <v>0.22688172043010751</v>
      </c>
      <c r="I5116" s="87">
        <f>SUMIFS('Climate Data'!$H$7:$H$366,'Climate Data'!$A$7:$A$366,Estimator!$B$4,'Climate Data'!$B$7:$B$366,C5116)</f>
        <v>6.7962085308056865</v>
      </c>
      <c r="J5116" s="86">
        <f>SUMIFS('Wind Proxy'!$H$8:$H$19,'Wind Proxy'!$A$8:$A$19,Estimator!$B$4,'Wind Proxy'!$B$8:$B$19,C5116)</f>
        <v>0</v>
      </c>
    </row>
    <row r="5117" spans="1:10" ht="14.4">
      <c r="A5117" s="84">
        <v>50768</v>
      </c>
      <c r="B5117" s="85">
        <v>2038</v>
      </c>
      <c r="C5117" s="85">
        <v>12</v>
      </c>
      <c r="D5117" s="85" t="s">
        <v>77</v>
      </c>
      <c r="E5117" s="85">
        <v>29</v>
      </c>
      <c r="F5117" s="85">
        <v>3</v>
      </c>
      <c r="G5117" s="85">
        <f>--(F5117&lt;=Estimator!$B$7)</f>
        <v>1</v>
      </c>
      <c r="H5117" s="86">
        <f>SUMIFS('Climate Data'!$G$7:$G$366,'Climate Data'!$A$7:$A$366,Estimator!$B$4,'Climate Data'!$B$7:$B$366,C5117)</f>
        <v>0.22688172043010751</v>
      </c>
      <c r="I5117" s="87">
        <f>SUMIFS('Climate Data'!$H$7:$H$366,'Climate Data'!$A$7:$A$366,Estimator!$B$4,'Climate Data'!$B$7:$B$366,C5117)</f>
        <v>6.7962085308056865</v>
      </c>
      <c r="J5117" s="86">
        <f>SUMIFS('Wind Proxy'!$H$8:$H$19,'Wind Proxy'!$A$8:$A$19,Estimator!$B$4,'Wind Proxy'!$B$8:$B$19,C5117)</f>
        <v>0</v>
      </c>
    </row>
    <row r="5118" spans="1:10" ht="14.4">
      <c r="A5118" s="84">
        <v>50769</v>
      </c>
      <c r="B5118" s="85">
        <v>2038</v>
      </c>
      <c r="C5118" s="85">
        <v>12</v>
      </c>
      <c r="D5118" s="85" t="s">
        <v>77</v>
      </c>
      <c r="E5118" s="85">
        <v>30</v>
      </c>
      <c r="F5118" s="85">
        <v>4</v>
      </c>
      <c r="G5118" s="85">
        <f>--(F5118&lt;=Estimator!$B$7)</f>
        <v>1</v>
      </c>
      <c r="H5118" s="86">
        <f>SUMIFS('Climate Data'!$G$7:$G$366,'Climate Data'!$A$7:$A$366,Estimator!$B$4,'Climate Data'!$B$7:$B$366,C5118)</f>
        <v>0.22688172043010751</v>
      </c>
      <c r="I5118" s="87">
        <f>SUMIFS('Climate Data'!$H$7:$H$366,'Climate Data'!$A$7:$A$366,Estimator!$B$4,'Climate Data'!$B$7:$B$366,C5118)</f>
        <v>6.7962085308056865</v>
      </c>
      <c r="J5118" s="86">
        <f>SUMIFS('Wind Proxy'!$H$8:$H$19,'Wind Proxy'!$A$8:$A$19,Estimator!$B$4,'Wind Proxy'!$B$8:$B$19,C5118)</f>
        <v>0</v>
      </c>
    </row>
    <row r="5119" spans="1:10" ht="14.4">
      <c r="A5119" s="84">
        <v>50770</v>
      </c>
      <c r="B5119" s="85">
        <v>2038</v>
      </c>
      <c r="C5119" s="85">
        <v>12</v>
      </c>
      <c r="D5119" s="85" t="s">
        <v>77</v>
      </c>
      <c r="E5119" s="85">
        <v>31</v>
      </c>
      <c r="F5119" s="85">
        <v>5</v>
      </c>
      <c r="G5119" s="85">
        <f>--(F5119&lt;=Estimator!$B$7)</f>
        <v>1</v>
      </c>
      <c r="H5119" s="86">
        <f>SUMIFS('Climate Data'!$G$7:$G$366,'Climate Data'!$A$7:$A$366,Estimator!$B$4,'Climate Data'!$B$7:$B$366,C5119)</f>
        <v>0.22688172043010751</v>
      </c>
      <c r="I5119" s="87">
        <f>SUMIFS('Climate Data'!$H$7:$H$366,'Climate Data'!$A$7:$A$366,Estimator!$B$4,'Climate Data'!$B$7:$B$366,C5119)</f>
        <v>6.7962085308056865</v>
      </c>
      <c r="J5119" s="86">
        <f>SUMIFS('Wind Proxy'!$H$8:$H$19,'Wind Proxy'!$A$8:$A$19,Estimator!$B$4,'Wind Proxy'!$B$8:$B$19,C5119)</f>
        <v>0</v>
      </c>
    </row>
    <row r="5120" spans="1:10" ht="14.4">
      <c r="A5120" s="84">
        <v>50771</v>
      </c>
      <c r="B5120" s="85">
        <v>2039</v>
      </c>
      <c r="C5120" s="85">
        <v>1</v>
      </c>
      <c r="D5120" s="85" t="s">
        <v>55</v>
      </c>
      <c r="E5120" s="85">
        <v>1</v>
      </c>
      <c r="F5120" s="85">
        <v>6</v>
      </c>
      <c r="G5120" s="85">
        <f>--(F5120&lt;=Estimator!$B$7)</f>
        <v>0</v>
      </c>
      <c r="H5120" s="86">
        <f>SUMIFS('Climate Data'!$G$7:$G$366,'Climate Data'!$A$7:$A$366,Estimator!$B$4,'Climate Data'!$B$7:$B$366,C5120)</f>
        <v>0.19462365591397848</v>
      </c>
      <c r="I5120" s="87">
        <f>SUMIFS('Climate Data'!$H$7:$H$366,'Climate Data'!$A$7:$A$366,Estimator!$B$4,'Climate Data'!$B$7:$B$366,C5120)</f>
        <v>7.027624309392265</v>
      </c>
      <c r="J5120" s="86">
        <f>SUMIFS('Wind Proxy'!$H$8:$H$19,'Wind Proxy'!$A$8:$A$19,Estimator!$B$4,'Wind Proxy'!$B$8:$B$19,C5120)</f>
        <v>0</v>
      </c>
    </row>
    <row r="5121" spans="1:10" ht="14.4">
      <c r="A5121" s="84">
        <v>50772</v>
      </c>
      <c r="B5121" s="85">
        <v>2039</v>
      </c>
      <c r="C5121" s="85">
        <v>1</v>
      </c>
      <c r="D5121" s="85" t="s">
        <v>55</v>
      </c>
      <c r="E5121" s="85">
        <v>2</v>
      </c>
      <c r="F5121" s="85">
        <v>7</v>
      </c>
      <c r="G5121" s="85">
        <f>--(F5121&lt;=Estimator!$B$7)</f>
        <v>0</v>
      </c>
      <c r="H5121" s="86">
        <f>SUMIFS('Climate Data'!$G$7:$G$366,'Climate Data'!$A$7:$A$366,Estimator!$B$4,'Climate Data'!$B$7:$B$366,C5121)</f>
        <v>0.19462365591397848</v>
      </c>
      <c r="I5121" s="87">
        <f>SUMIFS('Climate Data'!$H$7:$H$366,'Climate Data'!$A$7:$A$366,Estimator!$B$4,'Climate Data'!$B$7:$B$366,C5121)</f>
        <v>7.027624309392265</v>
      </c>
      <c r="J5121" s="86">
        <f>SUMIFS('Wind Proxy'!$H$8:$H$19,'Wind Proxy'!$A$8:$A$19,Estimator!$B$4,'Wind Proxy'!$B$8:$B$19,C5121)</f>
        <v>0</v>
      </c>
    </row>
    <row r="5122" spans="1:10" ht="14.4">
      <c r="A5122" s="84">
        <v>50773</v>
      </c>
      <c r="B5122" s="85">
        <v>2039</v>
      </c>
      <c r="C5122" s="85">
        <v>1</v>
      </c>
      <c r="D5122" s="85" t="s">
        <v>55</v>
      </c>
      <c r="E5122" s="85">
        <v>3</v>
      </c>
      <c r="F5122" s="85">
        <v>1</v>
      </c>
      <c r="G5122" s="85">
        <f>--(F5122&lt;=Estimator!$B$7)</f>
        <v>1</v>
      </c>
      <c r="H5122" s="86">
        <f>SUMIFS('Climate Data'!$G$7:$G$366,'Climate Data'!$A$7:$A$366,Estimator!$B$4,'Climate Data'!$B$7:$B$366,C5122)</f>
        <v>0.19462365591397848</v>
      </c>
      <c r="I5122" s="87">
        <f>SUMIFS('Climate Data'!$H$7:$H$366,'Climate Data'!$A$7:$A$366,Estimator!$B$4,'Climate Data'!$B$7:$B$366,C5122)</f>
        <v>7.027624309392265</v>
      </c>
      <c r="J5122" s="86">
        <f>SUMIFS('Wind Proxy'!$H$8:$H$19,'Wind Proxy'!$A$8:$A$19,Estimator!$B$4,'Wind Proxy'!$B$8:$B$19,C5122)</f>
        <v>0</v>
      </c>
    </row>
    <row r="5123" spans="1:10" ht="14.4">
      <c r="A5123" s="84">
        <v>50774</v>
      </c>
      <c r="B5123" s="85">
        <v>2039</v>
      </c>
      <c r="C5123" s="85">
        <v>1</v>
      </c>
      <c r="D5123" s="85" t="s">
        <v>55</v>
      </c>
      <c r="E5123" s="85">
        <v>4</v>
      </c>
      <c r="F5123" s="85">
        <v>2</v>
      </c>
      <c r="G5123" s="85">
        <f>--(F5123&lt;=Estimator!$B$7)</f>
        <v>1</v>
      </c>
      <c r="H5123" s="86">
        <f>SUMIFS('Climate Data'!$G$7:$G$366,'Climate Data'!$A$7:$A$366,Estimator!$B$4,'Climate Data'!$B$7:$B$366,C5123)</f>
        <v>0.19462365591397848</v>
      </c>
      <c r="I5123" s="87">
        <f>SUMIFS('Climate Data'!$H$7:$H$366,'Climate Data'!$A$7:$A$366,Estimator!$B$4,'Climate Data'!$B$7:$B$366,C5123)</f>
        <v>7.027624309392265</v>
      </c>
      <c r="J5123" s="86">
        <f>SUMIFS('Wind Proxy'!$H$8:$H$19,'Wind Proxy'!$A$8:$A$19,Estimator!$B$4,'Wind Proxy'!$B$8:$B$19,C5123)</f>
        <v>0</v>
      </c>
    </row>
    <row r="5124" spans="1:10" ht="14.4">
      <c r="A5124" s="84">
        <v>50775</v>
      </c>
      <c r="B5124" s="85">
        <v>2039</v>
      </c>
      <c r="C5124" s="85">
        <v>1</v>
      </c>
      <c r="D5124" s="85" t="s">
        <v>55</v>
      </c>
      <c r="E5124" s="85">
        <v>5</v>
      </c>
      <c r="F5124" s="85">
        <v>3</v>
      </c>
      <c r="G5124" s="85">
        <f>--(F5124&lt;=Estimator!$B$7)</f>
        <v>1</v>
      </c>
      <c r="H5124" s="86">
        <f>SUMIFS('Climate Data'!$G$7:$G$366,'Climate Data'!$A$7:$A$366,Estimator!$B$4,'Climate Data'!$B$7:$B$366,C5124)</f>
        <v>0.19462365591397848</v>
      </c>
      <c r="I5124" s="87">
        <f>SUMIFS('Climate Data'!$H$7:$H$366,'Climate Data'!$A$7:$A$366,Estimator!$B$4,'Climate Data'!$B$7:$B$366,C5124)</f>
        <v>7.027624309392265</v>
      </c>
      <c r="J5124" s="86">
        <f>SUMIFS('Wind Proxy'!$H$8:$H$19,'Wind Proxy'!$A$8:$A$19,Estimator!$B$4,'Wind Proxy'!$B$8:$B$19,C5124)</f>
        <v>0</v>
      </c>
    </row>
    <row r="5125" spans="1:10" ht="14.4">
      <c r="A5125" s="84">
        <v>50776</v>
      </c>
      <c r="B5125" s="85">
        <v>2039</v>
      </c>
      <c r="C5125" s="85">
        <v>1</v>
      </c>
      <c r="D5125" s="85" t="s">
        <v>55</v>
      </c>
      <c r="E5125" s="85">
        <v>6</v>
      </c>
      <c r="F5125" s="85">
        <v>4</v>
      </c>
      <c r="G5125" s="85">
        <f>--(F5125&lt;=Estimator!$B$7)</f>
        <v>1</v>
      </c>
      <c r="H5125" s="86">
        <f>SUMIFS('Climate Data'!$G$7:$G$366,'Climate Data'!$A$7:$A$366,Estimator!$B$4,'Climate Data'!$B$7:$B$366,C5125)</f>
        <v>0.19462365591397848</v>
      </c>
      <c r="I5125" s="87">
        <f>SUMIFS('Climate Data'!$H$7:$H$366,'Climate Data'!$A$7:$A$366,Estimator!$B$4,'Climate Data'!$B$7:$B$366,C5125)</f>
        <v>7.027624309392265</v>
      </c>
      <c r="J5125" s="86">
        <f>SUMIFS('Wind Proxy'!$H$8:$H$19,'Wind Proxy'!$A$8:$A$19,Estimator!$B$4,'Wind Proxy'!$B$8:$B$19,C5125)</f>
        <v>0</v>
      </c>
    </row>
    <row r="5126" spans="1:10" ht="14.4">
      <c r="A5126" s="84">
        <v>50777</v>
      </c>
      <c r="B5126" s="85">
        <v>2039</v>
      </c>
      <c r="C5126" s="85">
        <v>1</v>
      </c>
      <c r="D5126" s="85" t="s">
        <v>55</v>
      </c>
      <c r="E5126" s="85">
        <v>7</v>
      </c>
      <c r="F5126" s="85">
        <v>5</v>
      </c>
      <c r="G5126" s="85">
        <f>--(F5126&lt;=Estimator!$B$7)</f>
        <v>1</v>
      </c>
      <c r="H5126" s="86">
        <f>SUMIFS('Climate Data'!$G$7:$G$366,'Climate Data'!$A$7:$A$366,Estimator!$B$4,'Climate Data'!$B$7:$B$366,C5126)</f>
        <v>0.19462365591397848</v>
      </c>
      <c r="I5126" s="87">
        <f>SUMIFS('Climate Data'!$H$7:$H$366,'Climate Data'!$A$7:$A$366,Estimator!$B$4,'Climate Data'!$B$7:$B$366,C5126)</f>
        <v>7.027624309392265</v>
      </c>
      <c r="J5126" s="86">
        <f>SUMIFS('Wind Proxy'!$H$8:$H$19,'Wind Proxy'!$A$8:$A$19,Estimator!$B$4,'Wind Proxy'!$B$8:$B$19,C5126)</f>
        <v>0</v>
      </c>
    </row>
    <row r="5127" spans="1:10" ht="14.4">
      <c r="A5127" s="84">
        <v>50778</v>
      </c>
      <c r="B5127" s="85">
        <v>2039</v>
      </c>
      <c r="C5127" s="85">
        <v>1</v>
      </c>
      <c r="D5127" s="85" t="s">
        <v>55</v>
      </c>
      <c r="E5127" s="85">
        <v>8</v>
      </c>
      <c r="F5127" s="85">
        <v>6</v>
      </c>
      <c r="G5127" s="85">
        <f>--(F5127&lt;=Estimator!$B$7)</f>
        <v>0</v>
      </c>
      <c r="H5127" s="86">
        <f>SUMIFS('Climate Data'!$G$7:$G$366,'Climate Data'!$A$7:$A$366,Estimator!$B$4,'Climate Data'!$B$7:$B$366,C5127)</f>
        <v>0.19462365591397848</v>
      </c>
      <c r="I5127" s="87">
        <f>SUMIFS('Climate Data'!$H$7:$H$366,'Climate Data'!$A$7:$A$366,Estimator!$B$4,'Climate Data'!$B$7:$B$366,C5127)</f>
        <v>7.027624309392265</v>
      </c>
      <c r="J5127" s="86">
        <f>SUMIFS('Wind Proxy'!$H$8:$H$19,'Wind Proxy'!$A$8:$A$19,Estimator!$B$4,'Wind Proxy'!$B$8:$B$19,C5127)</f>
        <v>0</v>
      </c>
    </row>
    <row r="5128" spans="1:10" ht="14.4">
      <c r="A5128" s="84">
        <v>50779</v>
      </c>
      <c r="B5128" s="85">
        <v>2039</v>
      </c>
      <c r="C5128" s="85">
        <v>1</v>
      </c>
      <c r="D5128" s="85" t="s">
        <v>55</v>
      </c>
      <c r="E5128" s="85">
        <v>9</v>
      </c>
      <c r="F5128" s="85">
        <v>7</v>
      </c>
      <c r="G5128" s="85">
        <f>--(F5128&lt;=Estimator!$B$7)</f>
        <v>0</v>
      </c>
      <c r="H5128" s="86">
        <f>SUMIFS('Climate Data'!$G$7:$G$366,'Climate Data'!$A$7:$A$366,Estimator!$B$4,'Climate Data'!$B$7:$B$366,C5128)</f>
        <v>0.19462365591397848</v>
      </c>
      <c r="I5128" s="87">
        <f>SUMIFS('Climate Data'!$H$7:$H$366,'Climate Data'!$A$7:$A$366,Estimator!$B$4,'Climate Data'!$B$7:$B$366,C5128)</f>
        <v>7.027624309392265</v>
      </c>
      <c r="J5128" s="86">
        <f>SUMIFS('Wind Proxy'!$H$8:$H$19,'Wind Proxy'!$A$8:$A$19,Estimator!$B$4,'Wind Proxy'!$B$8:$B$19,C5128)</f>
        <v>0</v>
      </c>
    </row>
    <row r="5129" spans="1:10" ht="14.4">
      <c r="A5129" s="84">
        <v>50780</v>
      </c>
      <c r="B5129" s="85">
        <v>2039</v>
      </c>
      <c r="C5129" s="85">
        <v>1</v>
      </c>
      <c r="D5129" s="85" t="s">
        <v>55</v>
      </c>
      <c r="E5129" s="85">
        <v>10</v>
      </c>
      <c r="F5129" s="85">
        <v>1</v>
      </c>
      <c r="G5129" s="85">
        <f>--(F5129&lt;=Estimator!$B$7)</f>
        <v>1</v>
      </c>
      <c r="H5129" s="86">
        <f>SUMIFS('Climate Data'!$G$7:$G$366,'Climate Data'!$A$7:$A$366,Estimator!$B$4,'Climate Data'!$B$7:$B$366,C5129)</f>
        <v>0.19462365591397848</v>
      </c>
      <c r="I5129" s="87">
        <f>SUMIFS('Climate Data'!$H$7:$H$366,'Climate Data'!$A$7:$A$366,Estimator!$B$4,'Climate Data'!$B$7:$B$366,C5129)</f>
        <v>7.027624309392265</v>
      </c>
      <c r="J5129" s="86">
        <f>SUMIFS('Wind Proxy'!$H$8:$H$19,'Wind Proxy'!$A$8:$A$19,Estimator!$B$4,'Wind Proxy'!$B$8:$B$19,C5129)</f>
        <v>0</v>
      </c>
    </row>
    <row r="5130" spans="1:10" ht="14.4">
      <c r="A5130" s="84">
        <v>50781</v>
      </c>
      <c r="B5130" s="85">
        <v>2039</v>
      </c>
      <c r="C5130" s="85">
        <v>1</v>
      </c>
      <c r="D5130" s="85" t="s">
        <v>55</v>
      </c>
      <c r="E5130" s="85">
        <v>11</v>
      </c>
      <c r="F5130" s="85">
        <v>2</v>
      </c>
      <c r="G5130" s="85">
        <f>--(F5130&lt;=Estimator!$B$7)</f>
        <v>1</v>
      </c>
      <c r="H5130" s="86">
        <f>SUMIFS('Climate Data'!$G$7:$G$366,'Climate Data'!$A$7:$A$366,Estimator!$B$4,'Climate Data'!$B$7:$B$366,C5130)</f>
        <v>0.19462365591397848</v>
      </c>
      <c r="I5130" s="87">
        <f>SUMIFS('Climate Data'!$H$7:$H$366,'Climate Data'!$A$7:$A$366,Estimator!$B$4,'Climate Data'!$B$7:$B$366,C5130)</f>
        <v>7.027624309392265</v>
      </c>
      <c r="J5130" s="86">
        <f>SUMIFS('Wind Proxy'!$H$8:$H$19,'Wind Proxy'!$A$8:$A$19,Estimator!$B$4,'Wind Proxy'!$B$8:$B$19,C5130)</f>
        <v>0</v>
      </c>
    </row>
    <row r="5131" spans="1:10" ht="14.4">
      <c r="A5131" s="84">
        <v>50782</v>
      </c>
      <c r="B5131" s="85">
        <v>2039</v>
      </c>
      <c r="C5131" s="85">
        <v>1</v>
      </c>
      <c r="D5131" s="85" t="s">
        <v>55</v>
      </c>
      <c r="E5131" s="85">
        <v>12</v>
      </c>
      <c r="F5131" s="85">
        <v>3</v>
      </c>
      <c r="G5131" s="85">
        <f>--(F5131&lt;=Estimator!$B$7)</f>
        <v>1</v>
      </c>
      <c r="H5131" s="86">
        <f>SUMIFS('Climate Data'!$G$7:$G$366,'Climate Data'!$A$7:$A$366,Estimator!$B$4,'Climate Data'!$B$7:$B$366,C5131)</f>
        <v>0.19462365591397848</v>
      </c>
      <c r="I5131" s="87">
        <f>SUMIFS('Climate Data'!$H$7:$H$366,'Climate Data'!$A$7:$A$366,Estimator!$B$4,'Climate Data'!$B$7:$B$366,C5131)</f>
        <v>7.027624309392265</v>
      </c>
      <c r="J5131" s="86">
        <f>SUMIFS('Wind Proxy'!$H$8:$H$19,'Wind Proxy'!$A$8:$A$19,Estimator!$B$4,'Wind Proxy'!$B$8:$B$19,C5131)</f>
        <v>0</v>
      </c>
    </row>
    <row r="5132" spans="1:10" ht="14.4">
      <c r="A5132" s="84">
        <v>50783</v>
      </c>
      <c r="B5132" s="85">
        <v>2039</v>
      </c>
      <c r="C5132" s="85">
        <v>1</v>
      </c>
      <c r="D5132" s="85" t="s">
        <v>55</v>
      </c>
      <c r="E5132" s="85">
        <v>13</v>
      </c>
      <c r="F5132" s="85">
        <v>4</v>
      </c>
      <c r="G5132" s="85">
        <f>--(F5132&lt;=Estimator!$B$7)</f>
        <v>1</v>
      </c>
      <c r="H5132" s="86">
        <f>SUMIFS('Climate Data'!$G$7:$G$366,'Climate Data'!$A$7:$A$366,Estimator!$B$4,'Climate Data'!$B$7:$B$366,C5132)</f>
        <v>0.19462365591397848</v>
      </c>
      <c r="I5132" s="87">
        <f>SUMIFS('Climate Data'!$H$7:$H$366,'Climate Data'!$A$7:$A$366,Estimator!$B$4,'Climate Data'!$B$7:$B$366,C5132)</f>
        <v>7.027624309392265</v>
      </c>
      <c r="J5132" s="86">
        <f>SUMIFS('Wind Proxy'!$H$8:$H$19,'Wind Proxy'!$A$8:$A$19,Estimator!$B$4,'Wind Proxy'!$B$8:$B$19,C5132)</f>
        <v>0</v>
      </c>
    </row>
    <row r="5133" spans="1:10" ht="14.4">
      <c r="A5133" s="84">
        <v>50784</v>
      </c>
      <c r="B5133" s="85">
        <v>2039</v>
      </c>
      <c r="C5133" s="85">
        <v>1</v>
      </c>
      <c r="D5133" s="85" t="s">
        <v>55</v>
      </c>
      <c r="E5133" s="85">
        <v>14</v>
      </c>
      <c r="F5133" s="85">
        <v>5</v>
      </c>
      <c r="G5133" s="85">
        <f>--(F5133&lt;=Estimator!$B$7)</f>
        <v>1</v>
      </c>
      <c r="H5133" s="86">
        <f>SUMIFS('Climate Data'!$G$7:$G$366,'Climate Data'!$A$7:$A$366,Estimator!$B$4,'Climate Data'!$B$7:$B$366,C5133)</f>
        <v>0.19462365591397848</v>
      </c>
      <c r="I5133" s="87">
        <f>SUMIFS('Climate Data'!$H$7:$H$366,'Climate Data'!$A$7:$A$366,Estimator!$B$4,'Climate Data'!$B$7:$B$366,C5133)</f>
        <v>7.027624309392265</v>
      </c>
      <c r="J5133" s="86">
        <f>SUMIFS('Wind Proxy'!$H$8:$H$19,'Wind Proxy'!$A$8:$A$19,Estimator!$B$4,'Wind Proxy'!$B$8:$B$19,C5133)</f>
        <v>0</v>
      </c>
    </row>
    <row r="5134" spans="1:10" ht="14.4">
      <c r="A5134" s="84">
        <v>50785</v>
      </c>
      <c r="B5134" s="85">
        <v>2039</v>
      </c>
      <c r="C5134" s="85">
        <v>1</v>
      </c>
      <c r="D5134" s="85" t="s">
        <v>55</v>
      </c>
      <c r="E5134" s="85">
        <v>15</v>
      </c>
      <c r="F5134" s="85">
        <v>6</v>
      </c>
      <c r="G5134" s="85">
        <f>--(F5134&lt;=Estimator!$B$7)</f>
        <v>0</v>
      </c>
      <c r="H5134" s="86">
        <f>SUMIFS('Climate Data'!$G$7:$G$366,'Climate Data'!$A$7:$A$366,Estimator!$B$4,'Climate Data'!$B$7:$B$366,C5134)</f>
        <v>0.19462365591397848</v>
      </c>
      <c r="I5134" s="87">
        <f>SUMIFS('Climate Data'!$H$7:$H$366,'Climate Data'!$A$7:$A$366,Estimator!$B$4,'Climate Data'!$B$7:$B$366,C5134)</f>
        <v>7.027624309392265</v>
      </c>
      <c r="J5134" s="86">
        <f>SUMIFS('Wind Proxy'!$H$8:$H$19,'Wind Proxy'!$A$8:$A$19,Estimator!$B$4,'Wind Proxy'!$B$8:$B$19,C5134)</f>
        <v>0</v>
      </c>
    </row>
    <row r="5135" spans="1:10" ht="14.4">
      <c r="A5135" s="84">
        <v>50786</v>
      </c>
      <c r="B5135" s="85">
        <v>2039</v>
      </c>
      <c r="C5135" s="85">
        <v>1</v>
      </c>
      <c r="D5135" s="85" t="s">
        <v>55</v>
      </c>
      <c r="E5135" s="85">
        <v>16</v>
      </c>
      <c r="F5135" s="85">
        <v>7</v>
      </c>
      <c r="G5135" s="85">
        <f>--(F5135&lt;=Estimator!$B$7)</f>
        <v>0</v>
      </c>
      <c r="H5135" s="86">
        <f>SUMIFS('Climate Data'!$G$7:$G$366,'Climate Data'!$A$7:$A$366,Estimator!$B$4,'Climate Data'!$B$7:$B$366,C5135)</f>
        <v>0.19462365591397848</v>
      </c>
      <c r="I5135" s="87">
        <f>SUMIFS('Climate Data'!$H$7:$H$366,'Climate Data'!$A$7:$A$366,Estimator!$B$4,'Climate Data'!$B$7:$B$366,C5135)</f>
        <v>7.027624309392265</v>
      </c>
      <c r="J5135" s="86">
        <f>SUMIFS('Wind Proxy'!$H$8:$H$19,'Wind Proxy'!$A$8:$A$19,Estimator!$B$4,'Wind Proxy'!$B$8:$B$19,C5135)</f>
        <v>0</v>
      </c>
    </row>
    <row r="5136" spans="1:10" ht="14.4">
      <c r="A5136" s="84">
        <v>50787</v>
      </c>
      <c r="B5136" s="85">
        <v>2039</v>
      </c>
      <c r="C5136" s="85">
        <v>1</v>
      </c>
      <c r="D5136" s="85" t="s">
        <v>55</v>
      </c>
      <c r="E5136" s="85">
        <v>17</v>
      </c>
      <c r="F5136" s="85">
        <v>1</v>
      </c>
      <c r="G5136" s="85">
        <f>--(F5136&lt;=Estimator!$B$7)</f>
        <v>1</v>
      </c>
      <c r="H5136" s="86">
        <f>SUMIFS('Climate Data'!$G$7:$G$366,'Climate Data'!$A$7:$A$366,Estimator!$B$4,'Climate Data'!$B$7:$B$366,C5136)</f>
        <v>0.19462365591397848</v>
      </c>
      <c r="I5136" s="87">
        <f>SUMIFS('Climate Data'!$H$7:$H$366,'Climate Data'!$A$7:$A$366,Estimator!$B$4,'Climate Data'!$B$7:$B$366,C5136)</f>
        <v>7.027624309392265</v>
      </c>
      <c r="J5136" s="86">
        <f>SUMIFS('Wind Proxy'!$H$8:$H$19,'Wind Proxy'!$A$8:$A$19,Estimator!$B$4,'Wind Proxy'!$B$8:$B$19,C5136)</f>
        <v>0</v>
      </c>
    </row>
    <row r="5137" spans="1:10" ht="14.4">
      <c r="A5137" s="84">
        <v>50788</v>
      </c>
      <c r="B5137" s="85">
        <v>2039</v>
      </c>
      <c r="C5137" s="85">
        <v>1</v>
      </c>
      <c r="D5137" s="85" t="s">
        <v>55</v>
      </c>
      <c r="E5137" s="85">
        <v>18</v>
      </c>
      <c r="F5137" s="85">
        <v>2</v>
      </c>
      <c r="G5137" s="85">
        <f>--(F5137&lt;=Estimator!$B$7)</f>
        <v>1</v>
      </c>
      <c r="H5137" s="86">
        <f>SUMIFS('Climate Data'!$G$7:$G$366,'Climate Data'!$A$7:$A$366,Estimator!$B$4,'Climate Data'!$B$7:$B$366,C5137)</f>
        <v>0.19462365591397848</v>
      </c>
      <c r="I5137" s="87">
        <f>SUMIFS('Climate Data'!$H$7:$H$366,'Climate Data'!$A$7:$A$366,Estimator!$B$4,'Climate Data'!$B$7:$B$366,C5137)</f>
        <v>7.027624309392265</v>
      </c>
      <c r="J5137" s="86">
        <f>SUMIFS('Wind Proxy'!$H$8:$H$19,'Wind Proxy'!$A$8:$A$19,Estimator!$B$4,'Wind Proxy'!$B$8:$B$19,C5137)</f>
        <v>0</v>
      </c>
    </row>
    <row r="5138" spans="1:10" ht="14.4">
      <c r="A5138" s="84">
        <v>50789</v>
      </c>
      <c r="B5138" s="85">
        <v>2039</v>
      </c>
      <c r="C5138" s="85">
        <v>1</v>
      </c>
      <c r="D5138" s="85" t="s">
        <v>55</v>
      </c>
      <c r="E5138" s="85">
        <v>19</v>
      </c>
      <c r="F5138" s="85">
        <v>3</v>
      </c>
      <c r="G5138" s="85">
        <f>--(F5138&lt;=Estimator!$B$7)</f>
        <v>1</v>
      </c>
      <c r="H5138" s="86">
        <f>SUMIFS('Climate Data'!$G$7:$G$366,'Climate Data'!$A$7:$A$366,Estimator!$B$4,'Climate Data'!$B$7:$B$366,C5138)</f>
        <v>0.19462365591397848</v>
      </c>
      <c r="I5138" s="87">
        <f>SUMIFS('Climate Data'!$H$7:$H$366,'Climate Data'!$A$7:$A$366,Estimator!$B$4,'Climate Data'!$B$7:$B$366,C5138)</f>
        <v>7.027624309392265</v>
      </c>
      <c r="J5138" s="86">
        <f>SUMIFS('Wind Proxy'!$H$8:$H$19,'Wind Proxy'!$A$8:$A$19,Estimator!$B$4,'Wind Proxy'!$B$8:$B$19,C5138)</f>
        <v>0</v>
      </c>
    </row>
    <row r="5139" spans="1:10" ht="14.4">
      <c r="A5139" s="84">
        <v>50790</v>
      </c>
      <c r="B5139" s="85">
        <v>2039</v>
      </c>
      <c r="C5139" s="85">
        <v>1</v>
      </c>
      <c r="D5139" s="85" t="s">
        <v>55</v>
      </c>
      <c r="E5139" s="85">
        <v>20</v>
      </c>
      <c r="F5139" s="85">
        <v>4</v>
      </c>
      <c r="G5139" s="85">
        <f>--(F5139&lt;=Estimator!$B$7)</f>
        <v>1</v>
      </c>
      <c r="H5139" s="86">
        <f>SUMIFS('Climate Data'!$G$7:$G$366,'Climate Data'!$A$7:$A$366,Estimator!$B$4,'Climate Data'!$B$7:$B$366,C5139)</f>
        <v>0.19462365591397848</v>
      </c>
      <c r="I5139" s="87">
        <f>SUMIFS('Climate Data'!$H$7:$H$366,'Climate Data'!$A$7:$A$366,Estimator!$B$4,'Climate Data'!$B$7:$B$366,C5139)</f>
        <v>7.027624309392265</v>
      </c>
      <c r="J5139" s="86">
        <f>SUMIFS('Wind Proxy'!$H$8:$H$19,'Wind Proxy'!$A$8:$A$19,Estimator!$B$4,'Wind Proxy'!$B$8:$B$19,C5139)</f>
        <v>0</v>
      </c>
    </row>
    <row r="5140" spans="1:10" ht="14.4">
      <c r="A5140" s="84">
        <v>50791</v>
      </c>
      <c r="B5140" s="85">
        <v>2039</v>
      </c>
      <c r="C5140" s="85">
        <v>1</v>
      </c>
      <c r="D5140" s="85" t="s">
        <v>55</v>
      </c>
      <c r="E5140" s="85">
        <v>21</v>
      </c>
      <c r="F5140" s="85">
        <v>5</v>
      </c>
      <c r="G5140" s="85">
        <f>--(F5140&lt;=Estimator!$B$7)</f>
        <v>1</v>
      </c>
      <c r="H5140" s="86">
        <f>SUMIFS('Climate Data'!$G$7:$G$366,'Climate Data'!$A$7:$A$366,Estimator!$B$4,'Climate Data'!$B$7:$B$366,C5140)</f>
        <v>0.19462365591397848</v>
      </c>
      <c r="I5140" s="87">
        <f>SUMIFS('Climate Data'!$H$7:$H$366,'Climate Data'!$A$7:$A$366,Estimator!$B$4,'Climate Data'!$B$7:$B$366,C5140)</f>
        <v>7.027624309392265</v>
      </c>
      <c r="J5140" s="86">
        <f>SUMIFS('Wind Proxy'!$H$8:$H$19,'Wind Proxy'!$A$8:$A$19,Estimator!$B$4,'Wind Proxy'!$B$8:$B$19,C5140)</f>
        <v>0</v>
      </c>
    </row>
    <row r="5141" spans="1:10" ht="14.4">
      <c r="A5141" s="84">
        <v>50792</v>
      </c>
      <c r="B5141" s="85">
        <v>2039</v>
      </c>
      <c r="C5141" s="85">
        <v>1</v>
      </c>
      <c r="D5141" s="85" t="s">
        <v>55</v>
      </c>
      <c r="E5141" s="85">
        <v>22</v>
      </c>
      <c r="F5141" s="85">
        <v>6</v>
      </c>
      <c r="G5141" s="85">
        <f>--(F5141&lt;=Estimator!$B$7)</f>
        <v>0</v>
      </c>
      <c r="H5141" s="86">
        <f>SUMIFS('Climate Data'!$G$7:$G$366,'Climate Data'!$A$7:$A$366,Estimator!$B$4,'Climate Data'!$B$7:$B$366,C5141)</f>
        <v>0.19462365591397848</v>
      </c>
      <c r="I5141" s="87">
        <f>SUMIFS('Climate Data'!$H$7:$H$366,'Climate Data'!$A$7:$A$366,Estimator!$B$4,'Climate Data'!$B$7:$B$366,C5141)</f>
        <v>7.027624309392265</v>
      </c>
      <c r="J5141" s="86">
        <f>SUMIFS('Wind Proxy'!$H$8:$H$19,'Wind Proxy'!$A$8:$A$19,Estimator!$B$4,'Wind Proxy'!$B$8:$B$19,C5141)</f>
        <v>0</v>
      </c>
    </row>
    <row r="5142" spans="1:10" ht="14.4">
      <c r="A5142" s="84">
        <v>50793</v>
      </c>
      <c r="B5142" s="85">
        <v>2039</v>
      </c>
      <c r="C5142" s="85">
        <v>1</v>
      </c>
      <c r="D5142" s="85" t="s">
        <v>55</v>
      </c>
      <c r="E5142" s="85">
        <v>23</v>
      </c>
      <c r="F5142" s="85">
        <v>7</v>
      </c>
      <c r="G5142" s="85">
        <f>--(F5142&lt;=Estimator!$B$7)</f>
        <v>0</v>
      </c>
      <c r="H5142" s="86">
        <f>SUMIFS('Climate Data'!$G$7:$G$366,'Climate Data'!$A$7:$A$366,Estimator!$B$4,'Climate Data'!$B$7:$B$366,C5142)</f>
        <v>0.19462365591397848</v>
      </c>
      <c r="I5142" s="87">
        <f>SUMIFS('Climate Data'!$H$7:$H$366,'Climate Data'!$A$7:$A$366,Estimator!$B$4,'Climate Data'!$B$7:$B$366,C5142)</f>
        <v>7.027624309392265</v>
      </c>
      <c r="J5142" s="86">
        <f>SUMIFS('Wind Proxy'!$H$8:$H$19,'Wind Proxy'!$A$8:$A$19,Estimator!$B$4,'Wind Proxy'!$B$8:$B$19,C5142)</f>
        <v>0</v>
      </c>
    </row>
    <row r="5143" spans="1:10" ht="14.4">
      <c r="A5143" s="84">
        <v>50794</v>
      </c>
      <c r="B5143" s="85">
        <v>2039</v>
      </c>
      <c r="C5143" s="85">
        <v>1</v>
      </c>
      <c r="D5143" s="85" t="s">
        <v>55</v>
      </c>
      <c r="E5143" s="85">
        <v>24</v>
      </c>
      <c r="F5143" s="85">
        <v>1</v>
      </c>
      <c r="G5143" s="85">
        <f>--(F5143&lt;=Estimator!$B$7)</f>
        <v>1</v>
      </c>
      <c r="H5143" s="86">
        <f>SUMIFS('Climate Data'!$G$7:$G$366,'Climate Data'!$A$7:$A$366,Estimator!$B$4,'Climate Data'!$B$7:$B$366,C5143)</f>
        <v>0.19462365591397848</v>
      </c>
      <c r="I5143" s="87">
        <f>SUMIFS('Climate Data'!$H$7:$H$366,'Climate Data'!$A$7:$A$366,Estimator!$B$4,'Climate Data'!$B$7:$B$366,C5143)</f>
        <v>7.027624309392265</v>
      </c>
      <c r="J5143" s="86">
        <f>SUMIFS('Wind Proxy'!$H$8:$H$19,'Wind Proxy'!$A$8:$A$19,Estimator!$B$4,'Wind Proxy'!$B$8:$B$19,C5143)</f>
        <v>0</v>
      </c>
    </row>
    <row r="5144" spans="1:10" ht="14.4">
      <c r="A5144" s="84">
        <v>50795</v>
      </c>
      <c r="B5144" s="85">
        <v>2039</v>
      </c>
      <c r="C5144" s="85">
        <v>1</v>
      </c>
      <c r="D5144" s="85" t="s">
        <v>55</v>
      </c>
      <c r="E5144" s="85">
        <v>25</v>
      </c>
      <c r="F5144" s="85">
        <v>2</v>
      </c>
      <c r="G5144" s="85">
        <f>--(F5144&lt;=Estimator!$B$7)</f>
        <v>1</v>
      </c>
      <c r="H5144" s="86">
        <f>SUMIFS('Climate Data'!$G$7:$G$366,'Climate Data'!$A$7:$A$366,Estimator!$B$4,'Climate Data'!$B$7:$B$366,C5144)</f>
        <v>0.19462365591397848</v>
      </c>
      <c r="I5144" s="87">
        <f>SUMIFS('Climate Data'!$H$7:$H$366,'Climate Data'!$A$7:$A$366,Estimator!$B$4,'Climate Data'!$B$7:$B$366,C5144)</f>
        <v>7.027624309392265</v>
      </c>
      <c r="J5144" s="86">
        <f>SUMIFS('Wind Proxy'!$H$8:$H$19,'Wind Proxy'!$A$8:$A$19,Estimator!$B$4,'Wind Proxy'!$B$8:$B$19,C5144)</f>
        <v>0</v>
      </c>
    </row>
    <row r="5145" spans="1:10" ht="14.4">
      <c r="A5145" s="84">
        <v>50796</v>
      </c>
      <c r="B5145" s="85">
        <v>2039</v>
      </c>
      <c r="C5145" s="85">
        <v>1</v>
      </c>
      <c r="D5145" s="85" t="s">
        <v>55</v>
      </c>
      <c r="E5145" s="85">
        <v>26</v>
      </c>
      <c r="F5145" s="85">
        <v>3</v>
      </c>
      <c r="G5145" s="85">
        <f>--(F5145&lt;=Estimator!$B$7)</f>
        <v>1</v>
      </c>
      <c r="H5145" s="86">
        <f>SUMIFS('Climate Data'!$G$7:$G$366,'Climate Data'!$A$7:$A$366,Estimator!$B$4,'Climate Data'!$B$7:$B$366,C5145)</f>
        <v>0.19462365591397848</v>
      </c>
      <c r="I5145" s="87">
        <f>SUMIFS('Climate Data'!$H$7:$H$366,'Climate Data'!$A$7:$A$366,Estimator!$B$4,'Climate Data'!$B$7:$B$366,C5145)</f>
        <v>7.027624309392265</v>
      </c>
      <c r="J5145" s="86">
        <f>SUMIFS('Wind Proxy'!$H$8:$H$19,'Wind Proxy'!$A$8:$A$19,Estimator!$B$4,'Wind Proxy'!$B$8:$B$19,C5145)</f>
        <v>0</v>
      </c>
    </row>
    <row r="5146" spans="1:10" ht="14.4">
      <c r="A5146" s="84">
        <v>50797</v>
      </c>
      <c r="B5146" s="85">
        <v>2039</v>
      </c>
      <c r="C5146" s="85">
        <v>1</v>
      </c>
      <c r="D5146" s="85" t="s">
        <v>55</v>
      </c>
      <c r="E5146" s="85">
        <v>27</v>
      </c>
      <c r="F5146" s="85">
        <v>4</v>
      </c>
      <c r="G5146" s="85">
        <f>--(F5146&lt;=Estimator!$B$7)</f>
        <v>1</v>
      </c>
      <c r="H5146" s="86">
        <f>SUMIFS('Climate Data'!$G$7:$G$366,'Climate Data'!$A$7:$A$366,Estimator!$B$4,'Climate Data'!$B$7:$B$366,C5146)</f>
        <v>0.19462365591397848</v>
      </c>
      <c r="I5146" s="87">
        <f>SUMIFS('Climate Data'!$H$7:$H$366,'Climate Data'!$A$7:$A$366,Estimator!$B$4,'Climate Data'!$B$7:$B$366,C5146)</f>
        <v>7.027624309392265</v>
      </c>
      <c r="J5146" s="86">
        <f>SUMIFS('Wind Proxy'!$H$8:$H$19,'Wind Proxy'!$A$8:$A$19,Estimator!$B$4,'Wind Proxy'!$B$8:$B$19,C5146)</f>
        <v>0</v>
      </c>
    </row>
    <row r="5147" spans="1:10" ht="14.4">
      <c r="A5147" s="84">
        <v>50798</v>
      </c>
      <c r="B5147" s="85">
        <v>2039</v>
      </c>
      <c r="C5147" s="85">
        <v>1</v>
      </c>
      <c r="D5147" s="85" t="s">
        <v>55</v>
      </c>
      <c r="E5147" s="85">
        <v>28</v>
      </c>
      <c r="F5147" s="85">
        <v>5</v>
      </c>
      <c r="G5147" s="85">
        <f>--(F5147&lt;=Estimator!$B$7)</f>
        <v>1</v>
      </c>
      <c r="H5147" s="86">
        <f>SUMIFS('Climate Data'!$G$7:$G$366,'Climate Data'!$A$7:$A$366,Estimator!$B$4,'Climate Data'!$B$7:$B$366,C5147)</f>
        <v>0.19462365591397848</v>
      </c>
      <c r="I5147" s="87">
        <f>SUMIFS('Climate Data'!$H$7:$H$366,'Climate Data'!$A$7:$A$366,Estimator!$B$4,'Climate Data'!$B$7:$B$366,C5147)</f>
        <v>7.027624309392265</v>
      </c>
      <c r="J5147" s="86">
        <f>SUMIFS('Wind Proxy'!$H$8:$H$19,'Wind Proxy'!$A$8:$A$19,Estimator!$B$4,'Wind Proxy'!$B$8:$B$19,C5147)</f>
        <v>0</v>
      </c>
    </row>
    <row r="5148" spans="1:10" ht="14.4">
      <c r="A5148" s="84">
        <v>50799</v>
      </c>
      <c r="B5148" s="85">
        <v>2039</v>
      </c>
      <c r="C5148" s="85">
        <v>1</v>
      </c>
      <c r="D5148" s="85" t="s">
        <v>55</v>
      </c>
      <c r="E5148" s="85">
        <v>29</v>
      </c>
      <c r="F5148" s="85">
        <v>6</v>
      </c>
      <c r="G5148" s="85">
        <f>--(F5148&lt;=Estimator!$B$7)</f>
        <v>0</v>
      </c>
      <c r="H5148" s="86">
        <f>SUMIFS('Climate Data'!$G$7:$G$366,'Climate Data'!$A$7:$A$366,Estimator!$B$4,'Climate Data'!$B$7:$B$366,C5148)</f>
        <v>0.19462365591397848</v>
      </c>
      <c r="I5148" s="87">
        <f>SUMIFS('Climate Data'!$H$7:$H$366,'Climate Data'!$A$7:$A$366,Estimator!$B$4,'Climate Data'!$B$7:$B$366,C5148)</f>
        <v>7.027624309392265</v>
      </c>
      <c r="J5148" s="86">
        <f>SUMIFS('Wind Proxy'!$H$8:$H$19,'Wind Proxy'!$A$8:$A$19,Estimator!$B$4,'Wind Proxy'!$B$8:$B$19,C5148)</f>
        <v>0</v>
      </c>
    </row>
    <row r="5149" spans="1:10" ht="14.4">
      <c r="A5149" s="84">
        <v>50800</v>
      </c>
      <c r="B5149" s="85">
        <v>2039</v>
      </c>
      <c r="C5149" s="85">
        <v>1</v>
      </c>
      <c r="D5149" s="85" t="s">
        <v>55</v>
      </c>
      <c r="E5149" s="85">
        <v>30</v>
      </c>
      <c r="F5149" s="85">
        <v>7</v>
      </c>
      <c r="G5149" s="85">
        <f>--(F5149&lt;=Estimator!$B$7)</f>
        <v>0</v>
      </c>
      <c r="H5149" s="86">
        <f>SUMIFS('Climate Data'!$G$7:$G$366,'Climate Data'!$A$7:$A$366,Estimator!$B$4,'Climate Data'!$B$7:$B$366,C5149)</f>
        <v>0.19462365591397848</v>
      </c>
      <c r="I5149" s="87">
        <f>SUMIFS('Climate Data'!$H$7:$H$366,'Climate Data'!$A$7:$A$366,Estimator!$B$4,'Climate Data'!$B$7:$B$366,C5149)</f>
        <v>7.027624309392265</v>
      </c>
      <c r="J5149" s="86">
        <f>SUMIFS('Wind Proxy'!$H$8:$H$19,'Wind Proxy'!$A$8:$A$19,Estimator!$B$4,'Wind Proxy'!$B$8:$B$19,C5149)</f>
        <v>0</v>
      </c>
    </row>
    <row r="5150" spans="1:10" ht="14.4">
      <c r="A5150" s="84">
        <v>50801</v>
      </c>
      <c r="B5150" s="85">
        <v>2039</v>
      </c>
      <c r="C5150" s="85">
        <v>1</v>
      </c>
      <c r="D5150" s="85" t="s">
        <v>55</v>
      </c>
      <c r="E5150" s="85">
        <v>31</v>
      </c>
      <c r="F5150" s="85">
        <v>1</v>
      </c>
      <c r="G5150" s="85">
        <f>--(F5150&lt;=Estimator!$B$7)</f>
        <v>1</v>
      </c>
      <c r="H5150" s="86">
        <f>SUMIFS('Climate Data'!$G$7:$G$366,'Climate Data'!$A$7:$A$366,Estimator!$B$4,'Climate Data'!$B$7:$B$366,C5150)</f>
        <v>0.19462365591397848</v>
      </c>
      <c r="I5150" s="87">
        <f>SUMIFS('Climate Data'!$H$7:$H$366,'Climate Data'!$A$7:$A$366,Estimator!$B$4,'Climate Data'!$B$7:$B$366,C5150)</f>
        <v>7.027624309392265</v>
      </c>
      <c r="J5150" s="86">
        <f>SUMIFS('Wind Proxy'!$H$8:$H$19,'Wind Proxy'!$A$8:$A$19,Estimator!$B$4,'Wind Proxy'!$B$8:$B$19,C5150)</f>
        <v>0</v>
      </c>
    </row>
    <row r="5151" spans="1:10" ht="14.4">
      <c r="A5151" s="84">
        <v>50802</v>
      </c>
      <c r="B5151" s="85">
        <v>2039</v>
      </c>
      <c r="C5151" s="85">
        <v>2</v>
      </c>
      <c r="D5151" s="85" t="s">
        <v>58</v>
      </c>
      <c r="E5151" s="85">
        <v>1</v>
      </c>
      <c r="F5151" s="85">
        <v>2</v>
      </c>
      <c r="G5151" s="85">
        <f>--(F5151&lt;=Estimator!$B$7)</f>
        <v>1</v>
      </c>
      <c r="H5151" s="86">
        <f>SUMIFS('Climate Data'!$G$7:$G$366,'Climate Data'!$A$7:$A$366,Estimator!$B$4,'Climate Data'!$B$7:$B$366,C5151)</f>
        <v>0.18867924528301885</v>
      </c>
      <c r="I5151" s="87">
        <f>SUMIFS('Climate Data'!$H$7:$H$366,'Climate Data'!$A$7:$A$366,Estimator!$B$4,'Climate Data'!$B$7:$B$366,C5151)</f>
        <v>7.4624999999999995</v>
      </c>
      <c r="J5151" s="86">
        <f>SUMIFS('Wind Proxy'!$H$8:$H$19,'Wind Proxy'!$A$8:$A$19,Estimator!$B$4,'Wind Proxy'!$B$8:$B$19,C5151)</f>
        <v>0</v>
      </c>
    </row>
    <row r="5152" spans="1:10" ht="14.4">
      <c r="A5152" s="84">
        <v>50803</v>
      </c>
      <c r="B5152" s="85">
        <v>2039</v>
      </c>
      <c r="C5152" s="85">
        <v>2</v>
      </c>
      <c r="D5152" s="85" t="s">
        <v>58</v>
      </c>
      <c r="E5152" s="85">
        <v>2</v>
      </c>
      <c r="F5152" s="85">
        <v>3</v>
      </c>
      <c r="G5152" s="85">
        <f>--(F5152&lt;=Estimator!$B$7)</f>
        <v>1</v>
      </c>
      <c r="H5152" s="86">
        <f>SUMIFS('Climate Data'!$G$7:$G$366,'Climate Data'!$A$7:$A$366,Estimator!$B$4,'Climate Data'!$B$7:$B$366,C5152)</f>
        <v>0.18867924528301885</v>
      </c>
      <c r="I5152" s="87">
        <f>SUMIFS('Climate Data'!$H$7:$H$366,'Climate Data'!$A$7:$A$366,Estimator!$B$4,'Climate Data'!$B$7:$B$366,C5152)</f>
        <v>7.4624999999999995</v>
      </c>
      <c r="J5152" s="86">
        <f>SUMIFS('Wind Proxy'!$H$8:$H$19,'Wind Proxy'!$A$8:$A$19,Estimator!$B$4,'Wind Proxy'!$B$8:$B$19,C5152)</f>
        <v>0</v>
      </c>
    </row>
    <row r="5153" spans="1:10" ht="14.4">
      <c r="A5153" s="84">
        <v>50804</v>
      </c>
      <c r="B5153" s="85">
        <v>2039</v>
      </c>
      <c r="C5153" s="85">
        <v>2</v>
      </c>
      <c r="D5153" s="85" t="s">
        <v>58</v>
      </c>
      <c r="E5153" s="85">
        <v>3</v>
      </c>
      <c r="F5153" s="85">
        <v>4</v>
      </c>
      <c r="G5153" s="85">
        <f>--(F5153&lt;=Estimator!$B$7)</f>
        <v>1</v>
      </c>
      <c r="H5153" s="86">
        <f>SUMIFS('Climate Data'!$G$7:$G$366,'Climate Data'!$A$7:$A$366,Estimator!$B$4,'Climate Data'!$B$7:$B$366,C5153)</f>
        <v>0.18867924528301885</v>
      </c>
      <c r="I5153" s="87">
        <f>SUMIFS('Climate Data'!$H$7:$H$366,'Climate Data'!$A$7:$A$366,Estimator!$B$4,'Climate Data'!$B$7:$B$366,C5153)</f>
        <v>7.4624999999999995</v>
      </c>
      <c r="J5153" s="86">
        <f>SUMIFS('Wind Proxy'!$H$8:$H$19,'Wind Proxy'!$A$8:$A$19,Estimator!$B$4,'Wind Proxy'!$B$8:$B$19,C5153)</f>
        <v>0</v>
      </c>
    </row>
    <row r="5154" spans="1:10" ht="14.4">
      <c r="A5154" s="84">
        <v>50805</v>
      </c>
      <c r="B5154" s="85">
        <v>2039</v>
      </c>
      <c r="C5154" s="85">
        <v>2</v>
      </c>
      <c r="D5154" s="85" t="s">
        <v>58</v>
      </c>
      <c r="E5154" s="85">
        <v>4</v>
      </c>
      <c r="F5154" s="85">
        <v>5</v>
      </c>
      <c r="G5154" s="85">
        <f>--(F5154&lt;=Estimator!$B$7)</f>
        <v>1</v>
      </c>
      <c r="H5154" s="86">
        <f>SUMIFS('Climate Data'!$G$7:$G$366,'Climate Data'!$A$7:$A$366,Estimator!$B$4,'Climate Data'!$B$7:$B$366,C5154)</f>
        <v>0.18867924528301885</v>
      </c>
      <c r="I5154" s="87">
        <f>SUMIFS('Climate Data'!$H$7:$H$366,'Climate Data'!$A$7:$A$366,Estimator!$B$4,'Climate Data'!$B$7:$B$366,C5154)</f>
        <v>7.4624999999999995</v>
      </c>
      <c r="J5154" s="86">
        <f>SUMIFS('Wind Proxy'!$H$8:$H$19,'Wind Proxy'!$A$8:$A$19,Estimator!$B$4,'Wind Proxy'!$B$8:$B$19,C5154)</f>
        <v>0</v>
      </c>
    </row>
    <row r="5155" spans="1:10" ht="14.4">
      <c r="A5155" s="84">
        <v>50806</v>
      </c>
      <c r="B5155" s="85">
        <v>2039</v>
      </c>
      <c r="C5155" s="85">
        <v>2</v>
      </c>
      <c r="D5155" s="85" t="s">
        <v>58</v>
      </c>
      <c r="E5155" s="85">
        <v>5</v>
      </c>
      <c r="F5155" s="85">
        <v>6</v>
      </c>
      <c r="G5155" s="85">
        <f>--(F5155&lt;=Estimator!$B$7)</f>
        <v>0</v>
      </c>
      <c r="H5155" s="86">
        <f>SUMIFS('Climate Data'!$G$7:$G$366,'Climate Data'!$A$7:$A$366,Estimator!$B$4,'Climate Data'!$B$7:$B$366,C5155)</f>
        <v>0.18867924528301885</v>
      </c>
      <c r="I5155" s="87">
        <f>SUMIFS('Climate Data'!$H$7:$H$366,'Climate Data'!$A$7:$A$366,Estimator!$B$4,'Climate Data'!$B$7:$B$366,C5155)</f>
        <v>7.4624999999999995</v>
      </c>
      <c r="J5155" s="86">
        <f>SUMIFS('Wind Proxy'!$H$8:$H$19,'Wind Proxy'!$A$8:$A$19,Estimator!$B$4,'Wind Proxy'!$B$8:$B$19,C5155)</f>
        <v>0</v>
      </c>
    </row>
    <row r="5156" spans="1:10" ht="14.4">
      <c r="A5156" s="84">
        <v>50807</v>
      </c>
      <c r="B5156" s="85">
        <v>2039</v>
      </c>
      <c r="C5156" s="85">
        <v>2</v>
      </c>
      <c r="D5156" s="85" t="s">
        <v>58</v>
      </c>
      <c r="E5156" s="85">
        <v>6</v>
      </c>
      <c r="F5156" s="85">
        <v>7</v>
      </c>
      <c r="G5156" s="85">
        <f>--(F5156&lt;=Estimator!$B$7)</f>
        <v>0</v>
      </c>
      <c r="H5156" s="86">
        <f>SUMIFS('Climate Data'!$G$7:$G$366,'Climate Data'!$A$7:$A$366,Estimator!$B$4,'Climate Data'!$B$7:$B$366,C5156)</f>
        <v>0.18867924528301885</v>
      </c>
      <c r="I5156" s="87">
        <f>SUMIFS('Climate Data'!$H$7:$H$366,'Climate Data'!$A$7:$A$366,Estimator!$B$4,'Climate Data'!$B$7:$B$366,C5156)</f>
        <v>7.4624999999999995</v>
      </c>
      <c r="J5156" s="86">
        <f>SUMIFS('Wind Proxy'!$H$8:$H$19,'Wind Proxy'!$A$8:$A$19,Estimator!$B$4,'Wind Proxy'!$B$8:$B$19,C5156)</f>
        <v>0</v>
      </c>
    </row>
    <row r="5157" spans="1:10" ht="14.4">
      <c r="A5157" s="84">
        <v>50808</v>
      </c>
      <c r="B5157" s="85">
        <v>2039</v>
      </c>
      <c r="C5157" s="85">
        <v>2</v>
      </c>
      <c r="D5157" s="85" t="s">
        <v>58</v>
      </c>
      <c r="E5157" s="85">
        <v>7</v>
      </c>
      <c r="F5157" s="85">
        <v>1</v>
      </c>
      <c r="G5157" s="85">
        <f>--(F5157&lt;=Estimator!$B$7)</f>
        <v>1</v>
      </c>
      <c r="H5157" s="86">
        <f>SUMIFS('Climate Data'!$G$7:$G$366,'Climate Data'!$A$7:$A$366,Estimator!$B$4,'Climate Data'!$B$7:$B$366,C5157)</f>
        <v>0.18867924528301885</v>
      </c>
      <c r="I5157" s="87">
        <f>SUMIFS('Climate Data'!$H$7:$H$366,'Climate Data'!$A$7:$A$366,Estimator!$B$4,'Climate Data'!$B$7:$B$366,C5157)</f>
        <v>7.4624999999999995</v>
      </c>
      <c r="J5157" s="86">
        <f>SUMIFS('Wind Proxy'!$H$8:$H$19,'Wind Proxy'!$A$8:$A$19,Estimator!$B$4,'Wind Proxy'!$B$8:$B$19,C5157)</f>
        <v>0</v>
      </c>
    </row>
    <row r="5158" spans="1:10" ht="14.4">
      <c r="A5158" s="84">
        <v>50809</v>
      </c>
      <c r="B5158" s="85">
        <v>2039</v>
      </c>
      <c r="C5158" s="85">
        <v>2</v>
      </c>
      <c r="D5158" s="85" t="s">
        <v>58</v>
      </c>
      <c r="E5158" s="85">
        <v>8</v>
      </c>
      <c r="F5158" s="85">
        <v>2</v>
      </c>
      <c r="G5158" s="85">
        <f>--(F5158&lt;=Estimator!$B$7)</f>
        <v>1</v>
      </c>
      <c r="H5158" s="86">
        <f>SUMIFS('Climate Data'!$G$7:$G$366,'Climate Data'!$A$7:$A$366,Estimator!$B$4,'Climate Data'!$B$7:$B$366,C5158)</f>
        <v>0.18867924528301885</v>
      </c>
      <c r="I5158" s="87">
        <f>SUMIFS('Climate Data'!$H$7:$H$366,'Climate Data'!$A$7:$A$366,Estimator!$B$4,'Climate Data'!$B$7:$B$366,C5158)</f>
        <v>7.4624999999999995</v>
      </c>
      <c r="J5158" s="86">
        <f>SUMIFS('Wind Proxy'!$H$8:$H$19,'Wind Proxy'!$A$8:$A$19,Estimator!$B$4,'Wind Proxy'!$B$8:$B$19,C5158)</f>
        <v>0</v>
      </c>
    </row>
    <row r="5159" spans="1:10" ht="14.4">
      <c r="A5159" s="84">
        <v>50810</v>
      </c>
      <c r="B5159" s="85">
        <v>2039</v>
      </c>
      <c r="C5159" s="85">
        <v>2</v>
      </c>
      <c r="D5159" s="85" t="s">
        <v>58</v>
      </c>
      <c r="E5159" s="85">
        <v>9</v>
      </c>
      <c r="F5159" s="85">
        <v>3</v>
      </c>
      <c r="G5159" s="85">
        <f>--(F5159&lt;=Estimator!$B$7)</f>
        <v>1</v>
      </c>
      <c r="H5159" s="86">
        <f>SUMIFS('Climate Data'!$G$7:$G$366,'Climate Data'!$A$7:$A$366,Estimator!$B$4,'Climate Data'!$B$7:$B$366,C5159)</f>
        <v>0.18867924528301885</v>
      </c>
      <c r="I5159" s="87">
        <f>SUMIFS('Climate Data'!$H$7:$H$366,'Climate Data'!$A$7:$A$366,Estimator!$B$4,'Climate Data'!$B$7:$B$366,C5159)</f>
        <v>7.4624999999999995</v>
      </c>
      <c r="J5159" s="86">
        <f>SUMIFS('Wind Proxy'!$H$8:$H$19,'Wind Proxy'!$A$8:$A$19,Estimator!$B$4,'Wind Proxy'!$B$8:$B$19,C5159)</f>
        <v>0</v>
      </c>
    </row>
    <row r="5160" spans="1:10" ht="14.4">
      <c r="A5160" s="84">
        <v>50811</v>
      </c>
      <c r="B5160" s="85">
        <v>2039</v>
      </c>
      <c r="C5160" s="85">
        <v>2</v>
      </c>
      <c r="D5160" s="85" t="s">
        <v>58</v>
      </c>
      <c r="E5160" s="85">
        <v>10</v>
      </c>
      <c r="F5160" s="85">
        <v>4</v>
      </c>
      <c r="G5160" s="85">
        <f>--(F5160&lt;=Estimator!$B$7)</f>
        <v>1</v>
      </c>
      <c r="H5160" s="86">
        <f>SUMIFS('Climate Data'!$G$7:$G$366,'Climate Data'!$A$7:$A$366,Estimator!$B$4,'Climate Data'!$B$7:$B$366,C5160)</f>
        <v>0.18867924528301885</v>
      </c>
      <c r="I5160" s="87">
        <f>SUMIFS('Climate Data'!$H$7:$H$366,'Climate Data'!$A$7:$A$366,Estimator!$B$4,'Climate Data'!$B$7:$B$366,C5160)</f>
        <v>7.4624999999999995</v>
      </c>
      <c r="J5160" s="86">
        <f>SUMIFS('Wind Proxy'!$H$8:$H$19,'Wind Proxy'!$A$8:$A$19,Estimator!$B$4,'Wind Proxy'!$B$8:$B$19,C5160)</f>
        <v>0</v>
      </c>
    </row>
    <row r="5161" spans="1:10" ht="14.4">
      <c r="A5161" s="84">
        <v>50812</v>
      </c>
      <c r="B5161" s="85">
        <v>2039</v>
      </c>
      <c r="C5161" s="85">
        <v>2</v>
      </c>
      <c r="D5161" s="85" t="s">
        <v>58</v>
      </c>
      <c r="E5161" s="85">
        <v>11</v>
      </c>
      <c r="F5161" s="85">
        <v>5</v>
      </c>
      <c r="G5161" s="85">
        <f>--(F5161&lt;=Estimator!$B$7)</f>
        <v>1</v>
      </c>
      <c r="H5161" s="86">
        <f>SUMIFS('Climate Data'!$G$7:$G$366,'Climate Data'!$A$7:$A$366,Estimator!$B$4,'Climate Data'!$B$7:$B$366,C5161)</f>
        <v>0.18867924528301885</v>
      </c>
      <c r="I5161" s="87">
        <f>SUMIFS('Climate Data'!$H$7:$H$366,'Climate Data'!$A$7:$A$366,Estimator!$B$4,'Climate Data'!$B$7:$B$366,C5161)</f>
        <v>7.4624999999999995</v>
      </c>
      <c r="J5161" s="86">
        <f>SUMIFS('Wind Proxy'!$H$8:$H$19,'Wind Proxy'!$A$8:$A$19,Estimator!$B$4,'Wind Proxy'!$B$8:$B$19,C5161)</f>
        <v>0</v>
      </c>
    </row>
    <row r="5162" spans="1:10" ht="14.4">
      <c r="A5162" s="84">
        <v>50813</v>
      </c>
      <c r="B5162" s="85">
        <v>2039</v>
      </c>
      <c r="C5162" s="85">
        <v>2</v>
      </c>
      <c r="D5162" s="85" t="s">
        <v>58</v>
      </c>
      <c r="E5162" s="85">
        <v>12</v>
      </c>
      <c r="F5162" s="85">
        <v>6</v>
      </c>
      <c r="G5162" s="85">
        <f>--(F5162&lt;=Estimator!$B$7)</f>
        <v>0</v>
      </c>
      <c r="H5162" s="86">
        <f>SUMIFS('Climate Data'!$G$7:$G$366,'Climate Data'!$A$7:$A$366,Estimator!$B$4,'Climate Data'!$B$7:$B$366,C5162)</f>
        <v>0.18867924528301885</v>
      </c>
      <c r="I5162" s="87">
        <f>SUMIFS('Climate Data'!$H$7:$H$366,'Climate Data'!$A$7:$A$366,Estimator!$B$4,'Climate Data'!$B$7:$B$366,C5162)</f>
        <v>7.4624999999999995</v>
      </c>
      <c r="J5162" s="86">
        <f>SUMIFS('Wind Proxy'!$H$8:$H$19,'Wind Proxy'!$A$8:$A$19,Estimator!$B$4,'Wind Proxy'!$B$8:$B$19,C5162)</f>
        <v>0</v>
      </c>
    </row>
    <row r="5163" spans="1:10" ht="14.4">
      <c r="A5163" s="84">
        <v>50814</v>
      </c>
      <c r="B5163" s="85">
        <v>2039</v>
      </c>
      <c r="C5163" s="85">
        <v>2</v>
      </c>
      <c r="D5163" s="85" t="s">
        <v>58</v>
      </c>
      <c r="E5163" s="85">
        <v>13</v>
      </c>
      <c r="F5163" s="85">
        <v>7</v>
      </c>
      <c r="G5163" s="85">
        <f>--(F5163&lt;=Estimator!$B$7)</f>
        <v>0</v>
      </c>
      <c r="H5163" s="86">
        <f>SUMIFS('Climate Data'!$G$7:$G$366,'Climate Data'!$A$7:$A$366,Estimator!$B$4,'Climate Data'!$B$7:$B$366,C5163)</f>
        <v>0.18867924528301885</v>
      </c>
      <c r="I5163" s="87">
        <f>SUMIFS('Climate Data'!$H$7:$H$366,'Climate Data'!$A$7:$A$366,Estimator!$B$4,'Climate Data'!$B$7:$B$366,C5163)</f>
        <v>7.4624999999999995</v>
      </c>
      <c r="J5163" s="86">
        <f>SUMIFS('Wind Proxy'!$H$8:$H$19,'Wind Proxy'!$A$8:$A$19,Estimator!$B$4,'Wind Proxy'!$B$8:$B$19,C5163)</f>
        <v>0</v>
      </c>
    </row>
    <row r="5164" spans="1:10" ht="14.4">
      <c r="A5164" s="84">
        <v>50815</v>
      </c>
      <c r="B5164" s="85">
        <v>2039</v>
      </c>
      <c r="C5164" s="85">
        <v>2</v>
      </c>
      <c r="D5164" s="85" t="s">
        <v>58</v>
      </c>
      <c r="E5164" s="85">
        <v>14</v>
      </c>
      <c r="F5164" s="85">
        <v>1</v>
      </c>
      <c r="G5164" s="85">
        <f>--(F5164&lt;=Estimator!$B$7)</f>
        <v>1</v>
      </c>
      <c r="H5164" s="86">
        <f>SUMIFS('Climate Data'!$G$7:$G$366,'Climate Data'!$A$7:$A$366,Estimator!$B$4,'Climate Data'!$B$7:$B$366,C5164)</f>
        <v>0.18867924528301885</v>
      </c>
      <c r="I5164" s="87">
        <f>SUMIFS('Climate Data'!$H$7:$H$366,'Climate Data'!$A$7:$A$366,Estimator!$B$4,'Climate Data'!$B$7:$B$366,C5164)</f>
        <v>7.4624999999999995</v>
      </c>
      <c r="J5164" s="86">
        <f>SUMIFS('Wind Proxy'!$H$8:$H$19,'Wind Proxy'!$A$8:$A$19,Estimator!$B$4,'Wind Proxy'!$B$8:$B$19,C5164)</f>
        <v>0</v>
      </c>
    </row>
    <row r="5165" spans="1:10" ht="14.4">
      <c r="A5165" s="84">
        <v>50816</v>
      </c>
      <c r="B5165" s="85">
        <v>2039</v>
      </c>
      <c r="C5165" s="85">
        <v>2</v>
      </c>
      <c r="D5165" s="85" t="s">
        <v>58</v>
      </c>
      <c r="E5165" s="85">
        <v>15</v>
      </c>
      <c r="F5165" s="85">
        <v>2</v>
      </c>
      <c r="G5165" s="85">
        <f>--(F5165&lt;=Estimator!$B$7)</f>
        <v>1</v>
      </c>
      <c r="H5165" s="86">
        <f>SUMIFS('Climate Data'!$G$7:$G$366,'Climate Data'!$A$7:$A$366,Estimator!$B$4,'Climate Data'!$B$7:$B$366,C5165)</f>
        <v>0.18867924528301885</v>
      </c>
      <c r="I5165" s="87">
        <f>SUMIFS('Climate Data'!$H$7:$H$366,'Climate Data'!$A$7:$A$366,Estimator!$B$4,'Climate Data'!$B$7:$B$366,C5165)</f>
        <v>7.4624999999999995</v>
      </c>
      <c r="J5165" s="86">
        <f>SUMIFS('Wind Proxy'!$H$8:$H$19,'Wind Proxy'!$A$8:$A$19,Estimator!$B$4,'Wind Proxy'!$B$8:$B$19,C5165)</f>
        <v>0</v>
      </c>
    </row>
    <row r="5166" spans="1:10" ht="14.4">
      <c r="A5166" s="84">
        <v>50817</v>
      </c>
      <c r="B5166" s="85">
        <v>2039</v>
      </c>
      <c r="C5166" s="85">
        <v>2</v>
      </c>
      <c r="D5166" s="85" t="s">
        <v>58</v>
      </c>
      <c r="E5166" s="85">
        <v>16</v>
      </c>
      <c r="F5166" s="85">
        <v>3</v>
      </c>
      <c r="G5166" s="85">
        <f>--(F5166&lt;=Estimator!$B$7)</f>
        <v>1</v>
      </c>
      <c r="H5166" s="86">
        <f>SUMIFS('Climate Data'!$G$7:$G$366,'Climate Data'!$A$7:$A$366,Estimator!$B$4,'Climate Data'!$B$7:$B$366,C5166)</f>
        <v>0.18867924528301885</v>
      </c>
      <c r="I5166" s="87">
        <f>SUMIFS('Climate Data'!$H$7:$H$366,'Climate Data'!$A$7:$A$366,Estimator!$B$4,'Climate Data'!$B$7:$B$366,C5166)</f>
        <v>7.4624999999999995</v>
      </c>
      <c r="J5166" s="86">
        <f>SUMIFS('Wind Proxy'!$H$8:$H$19,'Wind Proxy'!$A$8:$A$19,Estimator!$B$4,'Wind Proxy'!$B$8:$B$19,C5166)</f>
        <v>0</v>
      </c>
    </row>
    <row r="5167" spans="1:10" ht="14.4">
      <c r="A5167" s="84">
        <v>50818</v>
      </c>
      <c r="B5167" s="85">
        <v>2039</v>
      </c>
      <c r="C5167" s="85">
        <v>2</v>
      </c>
      <c r="D5167" s="85" t="s">
        <v>58</v>
      </c>
      <c r="E5167" s="85">
        <v>17</v>
      </c>
      <c r="F5167" s="85">
        <v>4</v>
      </c>
      <c r="G5167" s="85">
        <f>--(F5167&lt;=Estimator!$B$7)</f>
        <v>1</v>
      </c>
      <c r="H5167" s="86">
        <f>SUMIFS('Climate Data'!$G$7:$G$366,'Climate Data'!$A$7:$A$366,Estimator!$B$4,'Climate Data'!$B$7:$B$366,C5167)</f>
        <v>0.18867924528301885</v>
      </c>
      <c r="I5167" s="87">
        <f>SUMIFS('Climate Data'!$H$7:$H$366,'Climate Data'!$A$7:$A$366,Estimator!$B$4,'Climate Data'!$B$7:$B$366,C5167)</f>
        <v>7.4624999999999995</v>
      </c>
      <c r="J5167" s="86">
        <f>SUMIFS('Wind Proxy'!$H$8:$H$19,'Wind Proxy'!$A$8:$A$19,Estimator!$B$4,'Wind Proxy'!$B$8:$B$19,C5167)</f>
        <v>0</v>
      </c>
    </row>
    <row r="5168" spans="1:10" ht="14.4">
      <c r="A5168" s="84">
        <v>50819</v>
      </c>
      <c r="B5168" s="85">
        <v>2039</v>
      </c>
      <c r="C5168" s="85">
        <v>2</v>
      </c>
      <c r="D5168" s="85" t="s">
        <v>58</v>
      </c>
      <c r="E5168" s="85">
        <v>18</v>
      </c>
      <c r="F5168" s="85">
        <v>5</v>
      </c>
      <c r="G5168" s="85">
        <f>--(F5168&lt;=Estimator!$B$7)</f>
        <v>1</v>
      </c>
      <c r="H5168" s="86">
        <f>SUMIFS('Climate Data'!$G$7:$G$366,'Climate Data'!$A$7:$A$366,Estimator!$B$4,'Climate Data'!$B$7:$B$366,C5168)</f>
        <v>0.18867924528301885</v>
      </c>
      <c r="I5168" s="87">
        <f>SUMIFS('Climate Data'!$H$7:$H$366,'Climate Data'!$A$7:$A$366,Estimator!$B$4,'Climate Data'!$B$7:$B$366,C5168)</f>
        <v>7.4624999999999995</v>
      </c>
      <c r="J5168" s="86">
        <f>SUMIFS('Wind Proxy'!$H$8:$H$19,'Wind Proxy'!$A$8:$A$19,Estimator!$B$4,'Wind Proxy'!$B$8:$B$19,C5168)</f>
        <v>0</v>
      </c>
    </row>
    <row r="5169" spans="1:10" ht="14.4">
      <c r="A5169" s="84">
        <v>50820</v>
      </c>
      <c r="B5169" s="85">
        <v>2039</v>
      </c>
      <c r="C5169" s="85">
        <v>2</v>
      </c>
      <c r="D5169" s="85" t="s">
        <v>58</v>
      </c>
      <c r="E5169" s="85">
        <v>19</v>
      </c>
      <c r="F5169" s="85">
        <v>6</v>
      </c>
      <c r="G5169" s="85">
        <f>--(F5169&lt;=Estimator!$B$7)</f>
        <v>0</v>
      </c>
      <c r="H5169" s="86">
        <f>SUMIFS('Climate Data'!$G$7:$G$366,'Climate Data'!$A$7:$A$366,Estimator!$B$4,'Climate Data'!$B$7:$B$366,C5169)</f>
        <v>0.18867924528301885</v>
      </c>
      <c r="I5169" s="87">
        <f>SUMIFS('Climate Data'!$H$7:$H$366,'Climate Data'!$A$7:$A$366,Estimator!$B$4,'Climate Data'!$B$7:$B$366,C5169)</f>
        <v>7.4624999999999995</v>
      </c>
      <c r="J5169" s="86">
        <f>SUMIFS('Wind Proxy'!$H$8:$H$19,'Wind Proxy'!$A$8:$A$19,Estimator!$B$4,'Wind Proxy'!$B$8:$B$19,C5169)</f>
        <v>0</v>
      </c>
    </row>
    <row r="5170" spans="1:10" ht="14.4">
      <c r="A5170" s="84">
        <v>50821</v>
      </c>
      <c r="B5170" s="85">
        <v>2039</v>
      </c>
      <c r="C5170" s="85">
        <v>2</v>
      </c>
      <c r="D5170" s="85" t="s">
        <v>58</v>
      </c>
      <c r="E5170" s="85">
        <v>20</v>
      </c>
      <c r="F5170" s="85">
        <v>7</v>
      </c>
      <c r="G5170" s="85">
        <f>--(F5170&lt;=Estimator!$B$7)</f>
        <v>0</v>
      </c>
      <c r="H5170" s="86">
        <f>SUMIFS('Climate Data'!$G$7:$G$366,'Climate Data'!$A$7:$A$366,Estimator!$B$4,'Climate Data'!$B$7:$B$366,C5170)</f>
        <v>0.18867924528301885</v>
      </c>
      <c r="I5170" s="87">
        <f>SUMIFS('Climate Data'!$H$7:$H$366,'Climate Data'!$A$7:$A$366,Estimator!$B$4,'Climate Data'!$B$7:$B$366,C5170)</f>
        <v>7.4624999999999995</v>
      </c>
      <c r="J5170" s="86">
        <f>SUMIFS('Wind Proxy'!$H$8:$H$19,'Wind Proxy'!$A$8:$A$19,Estimator!$B$4,'Wind Proxy'!$B$8:$B$19,C5170)</f>
        <v>0</v>
      </c>
    </row>
    <row r="5171" spans="1:10" ht="14.4">
      <c r="A5171" s="84">
        <v>50822</v>
      </c>
      <c r="B5171" s="85">
        <v>2039</v>
      </c>
      <c r="C5171" s="85">
        <v>2</v>
      </c>
      <c r="D5171" s="85" t="s">
        <v>58</v>
      </c>
      <c r="E5171" s="85">
        <v>21</v>
      </c>
      <c r="F5171" s="85">
        <v>1</v>
      </c>
      <c r="G5171" s="85">
        <f>--(F5171&lt;=Estimator!$B$7)</f>
        <v>1</v>
      </c>
      <c r="H5171" s="86">
        <f>SUMIFS('Climate Data'!$G$7:$G$366,'Climate Data'!$A$7:$A$366,Estimator!$B$4,'Climate Data'!$B$7:$B$366,C5171)</f>
        <v>0.18867924528301885</v>
      </c>
      <c r="I5171" s="87">
        <f>SUMIFS('Climate Data'!$H$7:$H$366,'Climate Data'!$A$7:$A$366,Estimator!$B$4,'Climate Data'!$B$7:$B$366,C5171)</f>
        <v>7.4624999999999995</v>
      </c>
      <c r="J5171" s="86">
        <f>SUMIFS('Wind Proxy'!$H$8:$H$19,'Wind Proxy'!$A$8:$A$19,Estimator!$B$4,'Wind Proxy'!$B$8:$B$19,C5171)</f>
        <v>0</v>
      </c>
    </row>
    <row r="5172" spans="1:10" ht="14.4">
      <c r="A5172" s="84">
        <v>50823</v>
      </c>
      <c r="B5172" s="85">
        <v>2039</v>
      </c>
      <c r="C5172" s="85">
        <v>2</v>
      </c>
      <c r="D5172" s="85" t="s">
        <v>58</v>
      </c>
      <c r="E5172" s="85">
        <v>22</v>
      </c>
      <c r="F5172" s="85">
        <v>2</v>
      </c>
      <c r="G5172" s="85">
        <f>--(F5172&lt;=Estimator!$B$7)</f>
        <v>1</v>
      </c>
      <c r="H5172" s="86">
        <f>SUMIFS('Climate Data'!$G$7:$G$366,'Climate Data'!$A$7:$A$366,Estimator!$B$4,'Climate Data'!$B$7:$B$366,C5172)</f>
        <v>0.18867924528301885</v>
      </c>
      <c r="I5172" s="87">
        <f>SUMIFS('Climate Data'!$H$7:$H$366,'Climate Data'!$A$7:$A$366,Estimator!$B$4,'Climate Data'!$B$7:$B$366,C5172)</f>
        <v>7.4624999999999995</v>
      </c>
      <c r="J5172" s="86">
        <f>SUMIFS('Wind Proxy'!$H$8:$H$19,'Wind Proxy'!$A$8:$A$19,Estimator!$B$4,'Wind Proxy'!$B$8:$B$19,C5172)</f>
        <v>0</v>
      </c>
    </row>
    <row r="5173" spans="1:10" ht="14.4">
      <c r="A5173" s="84">
        <v>50824</v>
      </c>
      <c r="B5173" s="85">
        <v>2039</v>
      </c>
      <c r="C5173" s="85">
        <v>2</v>
      </c>
      <c r="D5173" s="85" t="s">
        <v>58</v>
      </c>
      <c r="E5173" s="85">
        <v>23</v>
      </c>
      <c r="F5173" s="85">
        <v>3</v>
      </c>
      <c r="G5173" s="85">
        <f>--(F5173&lt;=Estimator!$B$7)</f>
        <v>1</v>
      </c>
      <c r="H5173" s="86">
        <f>SUMIFS('Climate Data'!$G$7:$G$366,'Climate Data'!$A$7:$A$366,Estimator!$B$4,'Climate Data'!$B$7:$B$366,C5173)</f>
        <v>0.18867924528301885</v>
      </c>
      <c r="I5173" s="87">
        <f>SUMIFS('Climate Data'!$H$7:$H$366,'Climate Data'!$A$7:$A$366,Estimator!$B$4,'Climate Data'!$B$7:$B$366,C5173)</f>
        <v>7.4624999999999995</v>
      </c>
      <c r="J5173" s="86">
        <f>SUMIFS('Wind Proxy'!$H$8:$H$19,'Wind Proxy'!$A$8:$A$19,Estimator!$B$4,'Wind Proxy'!$B$8:$B$19,C5173)</f>
        <v>0</v>
      </c>
    </row>
    <row r="5174" spans="1:10" ht="14.4">
      <c r="A5174" s="84">
        <v>50825</v>
      </c>
      <c r="B5174" s="85">
        <v>2039</v>
      </c>
      <c r="C5174" s="85">
        <v>2</v>
      </c>
      <c r="D5174" s="85" t="s">
        <v>58</v>
      </c>
      <c r="E5174" s="85">
        <v>24</v>
      </c>
      <c r="F5174" s="85">
        <v>4</v>
      </c>
      <c r="G5174" s="85">
        <f>--(F5174&lt;=Estimator!$B$7)</f>
        <v>1</v>
      </c>
      <c r="H5174" s="86">
        <f>SUMIFS('Climate Data'!$G$7:$G$366,'Climate Data'!$A$7:$A$366,Estimator!$B$4,'Climate Data'!$B$7:$B$366,C5174)</f>
        <v>0.18867924528301885</v>
      </c>
      <c r="I5174" s="87">
        <f>SUMIFS('Climate Data'!$H$7:$H$366,'Climate Data'!$A$7:$A$366,Estimator!$B$4,'Climate Data'!$B$7:$B$366,C5174)</f>
        <v>7.4624999999999995</v>
      </c>
      <c r="J5174" s="86">
        <f>SUMIFS('Wind Proxy'!$H$8:$H$19,'Wind Proxy'!$A$8:$A$19,Estimator!$B$4,'Wind Proxy'!$B$8:$B$19,C5174)</f>
        <v>0</v>
      </c>
    </row>
    <row r="5175" spans="1:10" ht="14.4">
      <c r="A5175" s="84">
        <v>50826</v>
      </c>
      <c r="B5175" s="85">
        <v>2039</v>
      </c>
      <c r="C5175" s="85">
        <v>2</v>
      </c>
      <c r="D5175" s="85" t="s">
        <v>58</v>
      </c>
      <c r="E5175" s="85">
        <v>25</v>
      </c>
      <c r="F5175" s="85">
        <v>5</v>
      </c>
      <c r="G5175" s="85">
        <f>--(F5175&lt;=Estimator!$B$7)</f>
        <v>1</v>
      </c>
      <c r="H5175" s="86">
        <f>SUMIFS('Climate Data'!$G$7:$G$366,'Climate Data'!$A$7:$A$366,Estimator!$B$4,'Climate Data'!$B$7:$B$366,C5175)</f>
        <v>0.18867924528301885</v>
      </c>
      <c r="I5175" s="87">
        <f>SUMIFS('Climate Data'!$H$7:$H$366,'Climate Data'!$A$7:$A$366,Estimator!$B$4,'Climate Data'!$B$7:$B$366,C5175)</f>
        <v>7.4624999999999995</v>
      </c>
      <c r="J5175" s="86">
        <f>SUMIFS('Wind Proxy'!$H$8:$H$19,'Wind Proxy'!$A$8:$A$19,Estimator!$B$4,'Wind Proxy'!$B$8:$B$19,C5175)</f>
        <v>0</v>
      </c>
    </row>
    <row r="5176" spans="1:10" ht="14.4">
      <c r="A5176" s="84">
        <v>50827</v>
      </c>
      <c r="B5176" s="85">
        <v>2039</v>
      </c>
      <c r="C5176" s="85">
        <v>2</v>
      </c>
      <c r="D5176" s="85" t="s">
        <v>58</v>
      </c>
      <c r="E5176" s="85">
        <v>26</v>
      </c>
      <c r="F5176" s="85">
        <v>6</v>
      </c>
      <c r="G5176" s="85">
        <f>--(F5176&lt;=Estimator!$B$7)</f>
        <v>0</v>
      </c>
      <c r="H5176" s="86">
        <f>SUMIFS('Climate Data'!$G$7:$G$366,'Climate Data'!$A$7:$A$366,Estimator!$B$4,'Climate Data'!$B$7:$B$366,C5176)</f>
        <v>0.18867924528301885</v>
      </c>
      <c r="I5176" s="87">
        <f>SUMIFS('Climate Data'!$H$7:$H$366,'Climate Data'!$A$7:$A$366,Estimator!$B$4,'Climate Data'!$B$7:$B$366,C5176)</f>
        <v>7.4624999999999995</v>
      </c>
      <c r="J5176" s="86">
        <f>SUMIFS('Wind Proxy'!$H$8:$H$19,'Wind Proxy'!$A$8:$A$19,Estimator!$B$4,'Wind Proxy'!$B$8:$B$19,C5176)</f>
        <v>0</v>
      </c>
    </row>
    <row r="5177" spans="1:10" ht="14.4">
      <c r="A5177" s="84">
        <v>50828</v>
      </c>
      <c r="B5177" s="85">
        <v>2039</v>
      </c>
      <c r="C5177" s="85">
        <v>2</v>
      </c>
      <c r="D5177" s="85" t="s">
        <v>58</v>
      </c>
      <c r="E5177" s="85">
        <v>27</v>
      </c>
      <c r="F5177" s="85">
        <v>7</v>
      </c>
      <c r="G5177" s="85">
        <f>--(F5177&lt;=Estimator!$B$7)</f>
        <v>0</v>
      </c>
      <c r="H5177" s="86">
        <f>SUMIFS('Climate Data'!$G$7:$G$366,'Climate Data'!$A$7:$A$366,Estimator!$B$4,'Climate Data'!$B$7:$B$366,C5177)</f>
        <v>0.18867924528301885</v>
      </c>
      <c r="I5177" s="87">
        <f>SUMIFS('Climate Data'!$H$7:$H$366,'Climate Data'!$A$7:$A$366,Estimator!$B$4,'Climate Data'!$B$7:$B$366,C5177)</f>
        <v>7.4624999999999995</v>
      </c>
      <c r="J5177" s="86">
        <f>SUMIFS('Wind Proxy'!$H$8:$H$19,'Wind Proxy'!$A$8:$A$19,Estimator!$B$4,'Wind Proxy'!$B$8:$B$19,C5177)</f>
        <v>0</v>
      </c>
    </row>
    <row r="5178" spans="1:10" ht="14.4">
      <c r="A5178" s="84">
        <v>50829</v>
      </c>
      <c r="B5178" s="85">
        <v>2039</v>
      </c>
      <c r="C5178" s="85">
        <v>2</v>
      </c>
      <c r="D5178" s="85" t="s">
        <v>58</v>
      </c>
      <c r="E5178" s="85">
        <v>28</v>
      </c>
      <c r="F5178" s="85">
        <v>1</v>
      </c>
      <c r="G5178" s="85">
        <f>--(F5178&lt;=Estimator!$B$7)</f>
        <v>1</v>
      </c>
      <c r="H5178" s="86">
        <f>SUMIFS('Climate Data'!$G$7:$G$366,'Climate Data'!$A$7:$A$366,Estimator!$B$4,'Climate Data'!$B$7:$B$366,C5178)</f>
        <v>0.18867924528301885</v>
      </c>
      <c r="I5178" s="87">
        <f>SUMIFS('Climate Data'!$H$7:$H$366,'Climate Data'!$A$7:$A$366,Estimator!$B$4,'Climate Data'!$B$7:$B$366,C5178)</f>
        <v>7.4624999999999995</v>
      </c>
      <c r="J5178" s="86">
        <f>SUMIFS('Wind Proxy'!$H$8:$H$19,'Wind Proxy'!$A$8:$A$19,Estimator!$B$4,'Wind Proxy'!$B$8:$B$19,C5178)</f>
        <v>0</v>
      </c>
    </row>
    <row r="5179" spans="1:10" ht="14.4">
      <c r="A5179" s="84">
        <v>50830</v>
      </c>
      <c r="B5179" s="85">
        <v>2039</v>
      </c>
      <c r="C5179" s="85">
        <v>3</v>
      </c>
      <c r="D5179" s="85" t="s">
        <v>60</v>
      </c>
      <c r="E5179" s="85">
        <v>1</v>
      </c>
      <c r="F5179" s="85">
        <v>2</v>
      </c>
      <c r="G5179" s="85">
        <f>--(F5179&lt;=Estimator!$B$7)</f>
        <v>1</v>
      </c>
      <c r="H5179" s="86">
        <f>SUMIFS('Climate Data'!$G$7:$G$366,'Climate Data'!$A$7:$A$366,Estimator!$B$4,'Climate Data'!$B$7:$B$366,C5179)</f>
        <v>0.18494623655913978</v>
      </c>
      <c r="I5179" s="87">
        <f>SUMIFS('Climate Data'!$H$7:$H$366,'Climate Data'!$A$7:$A$366,Estimator!$B$4,'Climate Data'!$B$7:$B$366,C5179)</f>
        <v>7.8662790697674421</v>
      </c>
      <c r="J5179" s="86">
        <f>SUMIFS('Wind Proxy'!$H$8:$H$19,'Wind Proxy'!$A$8:$A$19,Estimator!$B$4,'Wind Proxy'!$B$8:$B$19,C5179)</f>
        <v>0</v>
      </c>
    </row>
    <row r="5180" spans="1:10" ht="14.4">
      <c r="A5180" s="84">
        <v>50831</v>
      </c>
      <c r="B5180" s="85">
        <v>2039</v>
      </c>
      <c r="C5180" s="85">
        <v>3</v>
      </c>
      <c r="D5180" s="85" t="s">
        <v>60</v>
      </c>
      <c r="E5180" s="85">
        <v>2</v>
      </c>
      <c r="F5180" s="85">
        <v>3</v>
      </c>
      <c r="G5180" s="85">
        <f>--(F5180&lt;=Estimator!$B$7)</f>
        <v>1</v>
      </c>
      <c r="H5180" s="86">
        <f>SUMIFS('Climate Data'!$G$7:$G$366,'Climate Data'!$A$7:$A$366,Estimator!$B$4,'Climate Data'!$B$7:$B$366,C5180)</f>
        <v>0.18494623655913978</v>
      </c>
      <c r="I5180" s="87">
        <f>SUMIFS('Climate Data'!$H$7:$H$366,'Climate Data'!$A$7:$A$366,Estimator!$B$4,'Climate Data'!$B$7:$B$366,C5180)</f>
        <v>7.8662790697674421</v>
      </c>
      <c r="J5180" s="86">
        <f>SUMIFS('Wind Proxy'!$H$8:$H$19,'Wind Proxy'!$A$8:$A$19,Estimator!$B$4,'Wind Proxy'!$B$8:$B$19,C5180)</f>
        <v>0</v>
      </c>
    </row>
    <row r="5181" spans="1:10" ht="14.4">
      <c r="A5181" s="84">
        <v>50832</v>
      </c>
      <c r="B5181" s="85">
        <v>2039</v>
      </c>
      <c r="C5181" s="85">
        <v>3</v>
      </c>
      <c r="D5181" s="85" t="s">
        <v>60</v>
      </c>
      <c r="E5181" s="85">
        <v>3</v>
      </c>
      <c r="F5181" s="85">
        <v>4</v>
      </c>
      <c r="G5181" s="85">
        <f>--(F5181&lt;=Estimator!$B$7)</f>
        <v>1</v>
      </c>
      <c r="H5181" s="86">
        <f>SUMIFS('Climate Data'!$G$7:$G$366,'Climate Data'!$A$7:$A$366,Estimator!$B$4,'Climate Data'!$B$7:$B$366,C5181)</f>
        <v>0.18494623655913978</v>
      </c>
      <c r="I5181" s="87">
        <f>SUMIFS('Climate Data'!$H$7:$H$366,'Climate Data'!$A$7:$A$366,Estimator!$B$4,'Climate Data'!$B$7:$B$366,C5181)</f>
        <v>7.8662790697674421</v>
      </c>
      <c r="J5181" s="86">
        <f>SUMIFS('Wind Proxy'!$H$8:$H$19,'Wind Proxy'!$A$8:$A$19,Estimator!$B$4,'Wind Proxy'!$B$8:$B$19,C5181)</f>
        <v>0</v>
      </c>
    </row>
    <row r="5182" spans="1:10" ht="14.4">
      <c r="A5182" s="84">
        <v>50833</v>
      </c>
      <c r="B5182" s="85">
        <v>2039</v>
      </c>
      <c r="C5182" s="85">
        <v>3</v>
      </c>
      <c r="D5182" s="85" t="s">
        <v>60</v>
      </c>
      <c r="E5182" s="85">
        <v>4</v>
      </c>
      <c r="F5182" s="85">
        <v>5</v>
      </c>
      <c r="G5182" s="85">
        <f>--(F5182&lt;=Estimator!$B$7)</f>
        <v>1</v>
      </c>
      <c r="H5182" s="86">
        <f>SUMIFS('Climate Data'!$G$7:$G$366,'Climate Data'!$A$7:$A$366,Estimator!$B$4,'Climate Data'!$B$7:$B$366,C5182)</f>
        <v>0.18494623655913978</v>
      </c>
      <c r="I5182" s="87">
        <f>SUMIFS('Climate Data'!$H$7:$H$366,'Climate Data'!$A$7:$A$366,Estimator!$B$4,'Climate Data'!$B$7:$B$366,C5182)</f>
        <v>7.8662790697674421</v>
      </c>
      <c r="J5182" s="86">
        <f>SUMIFS('Wind Proxy'!$H$8:$H$19,'Wind Proxy'!$A$8:$A$19,Estimator!$B$4,'Wind Proxy'!$B$8:$B$19,C5182)</f>
        <v>0</v>
      </c>
    </row>
    <row r="5183" spans="1:10" ht="14.4">
      <c r="A5183" s="84">
        <v>50834</v>
      </c>
      <c r="B5183" s="85">
        <v>2039</v>
      </c>
      <c r="C5183" s="85">
        <v>3</v>
      </c>
      <c r="D5183" s="85" t="s">
        <v>60</v>
      </c>
      <c r="E5183" s="85">
        <v>5</v>
      </c>
      <c r="F5183" s="85">
        <v>6</v>
      </c>
      <c r="G5183" s="85">
        <f>--(F5183&lt;=Estimator!$B$7)</f>
        <v>0</v>
      </c>
      <c r="H5183" s="86">
        <f>SUMIFS('Climate Data'!$G$7:$G$366,'Climate Data'!$A$7:$A$366,Estimator!$B$4,'Climate Data'!$B$7:$B$366,C5183)</f>
        <v>0.18494623655913978</v>
      </c>
      <c r="I5183" s="87">
        <f>SUMIFS('Climate Data'!$H$7:$H$366,'Climate Data'!$A$7:$A$366,Estimator!$B$4,'Climate Data'!$B$7:$B$366,C5183)</f>
        <v>7.8662790697674421</v>
      </c>
      <c r="J5183" s="86">
        <f>SUMIFS('Wind Proxy'!$H$8:$H$19,'Wind Proxy'!$A$8:$A$19,Estimator!$B$4,'Wind Proxy'!$B$8:$B$19,C5183)</f>
        <v>0</v>
      </c>
    </row>
    <row r="5184" spans="1:10" ht="14.4">
      <c r="A5184" s="84">
        <v>50835</v>
      </c>
      <c r="B5184" s="85">
        <v>2039</v>
      </c>
      <c r="C5184" s="85">
        <v>3</v>
      </c>
      <c r="D5184" s="85" t="s">
        <v>60</v>
      </c>
      <c r="E5184" s="85">
        <v>6</v>
      </c>
      <c r="F5184" s="85">
        <v>7</v>
      </c>
      <c r="G5184" s="85">
        <f>--(F5184&lt;=Estimator!$B$7)</f>
        <v>0</v>
      </c>
      <c r="H5184" s="86">
        <f>SUMIFS('Climate Data'!$G$7:$G$366,'Climate Data'!$A$7:$A$366,Estimator!$B$4,'Climate Data'!$B$7:$B$366,C5184)</f>
        <v>0.18494623655913978</v>
      </c>
      <c r="I5184" s="87">
        <f>SUMIFS('Climate Data'!$H$7:$H$366,'Climate Data'!$A$7:$A$366,Estimator!$B$4,'Climate Data'!$B$7:$B$366,C5184)</f>
        <v>7.8662790697674421</v>
      </c>
      <c r="J5184" s="86">
        <f>SUMIFS('Wind Proxy'!$H$8:$H$19,'Wind Proxy'!$A$8:$A$19,Estimator!$B$4,'Wind Proxy'!$B$8:$B$19,C5184)</f>
        <v>0</v>
      </c>
    </row>
    <row r="5185" spans="1:10" ht="14.4">
      <c r="A5185" s="84">
        <v>50836</v>
      </c>
      <c r="B5185" s="85">
        <v>2039</v>
      </c>
      <c r="C5185" s="85">
        <v>3</v>
      </c>
      <c r="D5185" s="85" t="s">
        <v>60</v>
      </c>
      <c r="E5185" s="85">
        <v>7</v>
      </c>
      <c r="F5185" s="85">
        <v>1</v>
      </c>
      <c r="G5185" s="85">
        <f>--(F5185&lt;=Estimator!$B$7)</f>
        <v>1</v>
      </c>
      <c r="H5185" s="86">
        <f>SUMIFS('Climate Data'!$G$7:$G$366,'Climate Data'!$A$7:$A$366,Estimator!$B$4,'Climate Data'!$B$7:$B$366,C5185)</f>
        <v>0.18494623655913978</v>
      </c>
      <c r="I5185" s="87">
        <f>SUMIFS('Climate Data'!$H$7:$H$366,'Climate Data'!$A$7:$A$366,Estimator!$B$4,'Climate Data'!$B$7:$B$366,C5185)</f>
        <v>7.8662790697674421</v>
      </c>
      <c r="J5185" s="86">
        <f>SUMIFS('Wind Proxy'!$H$8:$H$19,'Wind Proxy'!$A$8:$A$19,Estimator!$B$4,'Wind Proxy'!$B$8:$B$19,C5185)</f>
        <v>0</v>
      </c>
    </row>
    <row r="5186" spans="1:10" ht="14.4">
      <c r="A5186" s="84">
        <v>50837</v>
      </c>
      <c r="B5186" s="85">
        <v>2039</v>
      </c>
      <c r="C5186" s="85">
        <v>3</v>
      </c>
      <c r="D5186" s="85" t="s">
        <v>60</v>
      </c>
      <c r="E5186" s="85">
        <v>8</v>
      </c>
      <c r="F5186" s="85">
        <v>2</v>
      </c>
      <c r="G5186" s="85">
        <f>--(F5186&lt;=Estimator!$B$7)</f>
        <v>1</v>
      </c>
      <c r="H5186" s="86">
        <f>SUMIFS('Climate Data'!$G$7:$G$366,'Climate Data'!$A$7:$A$366,Estimator!$B$4,'Climate Data'!$B$7:$B$366,C5186)</f>
        <v>0.18494623655913978</v>
      </c>
      <c r="I5186" s="87">
        <f>SUMIFS('Climate Data'!$H$7:$H$366,'Climate Data'!$A$7:$A$366,Estimator!$B$4,'Climate Data'!$B$7:$B$366,C5186)</f>
        <v>7.8662790697674421</v>
      </c>
      <c r="J5186" s="86">
        <f>SUMIFS('Wind Proxy'!$H$8:$H$19,'Wind Proxy'!$A$8:$A$19,Estimator!$B$4,'Wind Proxy'!$B$8:$B$19,C5186)</f>
        <v>0</v>
      </c>
    </row>
    <row r="5187" spans="1:10" ht="14.4">
      <c r="A5187" s="84">
        <v>50838</v>
      </c>
      <c r="B5187" s="85">
        <v>2039</v>
      </c>
      <c r="C5187" s="85">
        <v>3</v>
      </c>
      <c r="D5187" s="85" t="s">
        <v>60</v>
      </c>
      <c r="E5187" s="85">
        <v>9</v>
      </c>
      <c r="F5187" s="85">
        <v>3</v>
      </c>
      <c r="G5187" s="85">
        <f>--(F5187&lt;=Estimator!$B$7)</f>
        <v>1</v>
      </c>
      <c r="H5187" s="86">
        <f>SUMIFS('Climate Data'!$G$7:$G$366,'Climate Data'!$A$7:$A$366,Estimator!$B$4,'Climate Data'!$B$7:$B$366,C5187)</f>
        <v>0.18494623655913978</v>
      </c>
      <c r="I5187" s="87">
        <f>SUMIFS('Climate Data'!$H$7:$H$366,'Climate Data'!$A$7:$A$366,Estimator!$B$4,'Climate Data'!$B$7:$B$366,C5187)</f>
        <v>7.8662790697674421</v>
      </c>
      <c r="J5187" s="86">
        <f>SUMIFS('Wind Proxy'!$H$8:$H$19,'Wind Proxy'!$A$8:$A$19,Estimator!$B$4,'Wind Proxy'!$B$8:$B$19,C5187)</f>
        <v>0</v>
      </c>
    </row>
    <row r="5188" spans="1:10" ht="14.4">
      <c r="A5188" s="84">
        <v>50839</v>
      </c>
      <c r="B5188" s="85">
        <v>2039</v>
      </c>
      <c r="C5188" s="85">
        <v>3</v>
      </c>
      <c r="D5188" s="85" t="s">
        <v>60</v>
      </c>
      <c r="E5188" s="85">
        <v>10</v>
      </c>
      <c r="F5188" s="85">
        <v>4</v>
      </c>
      <c r="G5188" s="85">
        <f>--(F5188&lt;=Estimator!$B$7)</f>
        <v>1</v>
      </c>
      <c r="H5188" s="86">
        <f>SUMIFS('Climate Data'!$G$7:$G$366,'Climate Data'!$A$7:$A$366,Estimator!$B$4,'Climate Data'!$B$7:$B$366,C5188)</f>
        <v>0.18494623655913978</v>
      </c>
      <c r="I5188" s="87">
        <f>SUMIFS('Climate Data'!$H$7:$H$366,'Climate Data'!$A$7:$A$366,Estimator!$B$4,'Climate Data'!$B$7:$B$366,C5188)</f>
        <v>7.8662790697674421</v>
      </c>
      <c r="J5188" s="86">
        <f>SUMIFS('Wind Proxy'!$H$8:$H$19,'Wind Proxy'!$A$8:$A$19,Estimator!$B$4,'Wind Proxy'!$B$8:$B$19,C5188)</f>
        <v>0</v>
      </c>
    </row>
    <row r="5189" spans="1:10" ht="14.4">
      <c r="A5189" s="84">
        <v>50840</v>
      </c>
      <c r="B5189" s="85">
        <v>2039</v>
      </c>
      <c r="C5189" s="85">
        <v>3</v>
      </c>
      <c r="D5189" s="85" t="s">
        <v>60</v>
      </c>
      <c r="E5189" s="85">
        <v>11</v>
      </c>
      <c r="F5189" s="85">
        <v>5</v>
      </c>
      <c r="G5189" s="85">
        <f>--(F5189&lt;=Estimator!$B$7)</f>
        <v>1</v>
      </c>
      <c r="H5189" s="86">
        <f>SUMIFS('Climate Data'!$G$7:$G$366,'Climate Data'!$A$7:$A$366,Estimator!$B$4,'Climate Data'!$B$7:$B$366,C5189)</f>
        <v>0.18494623655913978</v>
      </c>
      <c r="I5189" s="87">
        <f>SUMIFS('Climate Data'!$H$7:$H$366,'Climate Data'!$A$7:$A$366,Estimator!$B$4,'Climate Data'!$B$7:$B$366,C5189)</f>
        <v>7.8662790697674421</v>
      </c>
      <c r="J5189" s="86">
        <f>SUMIFS('Wind Proxy'!$H$8:$H$19,'Wind Proxy'!$A$8:$A$19,Estimator!$B$4,'Wind Proxy'!$B$8:$B$19,C5189)</f>
        <v>0</v>
      </c>
    </row>
    <row r="5190" spans="1:10" ht="14.4">
      <c r="A5190" s="84">
        <v>50841</v>
      </c>
      <c r="B5190" s="85">
        <v>2039</v>
      </c>
      <c r="C5190" s="85">
        <v>3</v>
      </c>
      <c r="D5190" s="85" t="s">
        <v>60</v>
      </c>
      <c r="E5190" s="85">
        <v>12</v>
      </c>
      <c r="F5190" s="85">
        <v>6</v>
      </c>
      <c r="G5190" s="85">
        <f>--(F5190&lt;=Estimator!$B$7)</f>
        <v>0</v>
      </c>
      <c r="H5190" s="86">
        <f>SUMIFS('Climate Data'!$G$7:$G$366,'Climate Data'!$A$7:$A$366,Estimator!$B$4,'Climate Data'!$B$7:$B$366,C5190)</f>
        <v>0.18494623655913978</v>
      </c>
      <c r="I5190" s="87">
        <f>SUMIFS('Climate Data'!$H$7:$H$366,'Climate Data'!$A$7:$A$366,Estimator!$B$4,'Climate Data'!$B$7:$B$366,C5190)</f>
        <v>7.8662790697674421</v>
      </c>
      <c r="J5190" s="86">
        <f>SUMIFS('Wind Proxy'!$H$8:$H$19,'Wind Proxy'!$A$8:$A$19,Estimator!$B$4,'Wind Proxy'!$B$8:$B$19,C5190)</f>
        <v>0</v>
      </c>
    </row>
    <row r="5191" spans="1:10" ht="14.4">
      <c r="A5191" s="84">
        <v>50842</v>
      </c>
      <c r="B5191" s="85">
        <v>2039</v>
      </c>
      <c r="C5191" s="85">
        <v>3</v>
      </c>
      <c r="D5191" s="85" t="s">
        <v>60</v>
      </c>
      <c r="E5191" s="85">
        <v>13</v>
      </c>
      <c r="F5191" s="85">
        <v>7</v>
      </c>
      <c r="G5191" s="85">
        <f>--(F5191&lt;=Estimator!$B$7)</f>
        <v>0</v>
      </c>
      <c r="H5191" s="86">
        <f>SUMIFS('Climate Data'!$G$7:$G$366,'Climate Data'!$A$7:$A$366,Estimator!$B$4,'Climate Data'!$B$7:$B$366,C5191)</f>
        <v>0.18494623655913978</v>
      </c>
      <c r="I5191" s="87">
        <f>SUMIFS('Climate Data'!$H$7:$H$366,'Climate Data'!$A$7:$A$366,Estimator!$B$4,'Climate Data'!$B$7:$B$366,C5191)</f>
        <v>7.8662790697674421</v>
      </c>
      <c r="J5191" s="86">
        <f>SUMIFS('Wind Proxy'!$H$8:$H$19,'Wind Proxy'!$A$8:$A$19,Estimator!$B$4,'Wind Proxy'!$B$8:$B$19,C5191)</f>
        <v>0</v>
      </c>
    </row>
    <row r="5192" spans="1:10" ht="14.4">
      <c r="A5192" s="84">
        <v>50843</v>
      </c>
      <c r="B5192" s="85">
        <v>2039</v>
      </c>
      <c r="C5192" s="85">
        <v>3</v>
      </c>
      <c r="D5192" s="85" t="s">
        <v>60</v>
      </c>
      <c r="E5192" s="85">
        <v>14</v>
      </c>
      <c r="F5192" s="85">
        <v>1</v>
      </c>
      <c r="G5192" s="85">
        <f>--(F5192&lt;=Estimator!$B$7)</f>
        <v>1</v>
      </c>
      <c r="H5192" s="86">
        <f>SUMIFS('Climate Data'!$G$7:$G$366,'Climate Data'!$A$7:$A$366,Estimator!$B$4,'Climate Data'!$B$7:$B$366,C5192)</f>
        <v>0.18494623655913978</v>
      </c>
      <c r="I5192" s="87">
        <f>SUMIFS('Climate Data'!$H$7:$H$366,'Climate Data'!$A$7:$A$366,Estimator!$B$4,'Climate Data'!$B$7:$B$366,C5192)</f>
        <v>7.8662790697674421</v>
      </c>
      <c r="J5192" s="86">
        <f>SUMIFS('Wind Proxy'!$H$8:$H$19,'Wind Proxy'!$A$8:$A$19,Estimator!$B$4,'Wind Proxy'!$B$8:$B$19,C5192)</f>
        <v>0</v>
      </c>
    </row>
    <row r="5193" spans="1:10" ht="14.4">
      <c r="A5193" s="84">
        <v>50844</v>
      </c>
      <c r="B5193" s="85">
        <v>2039</v>
      </c>
      <c r="C5193" s="85">
        <v>3</v>
      </c>
      <c r="D5193" s="85" t="s">
        <v>60</v>
      </c>
      <c r="E5193" s="85">
        <v>15</v>
      </c>
      <c r="F5193" s="85">
        <v>2</v>
      </c>
      <c r="G5193" s="85">
        <f>--(F5193&lt;=Estimator!$B$7)</f>
        <v>1</v>
      </c>
      <c r="H5193" s="86">
        <f>SUMIFS('Climate Data'!$G$7:$G$366,'Climate Data'!$A$7:$A$366,Estimator!$B$4,'Climate Data'!$B$7:$B$366,C5193)</f>
        <v>0.18494623655913978</v>
      </c>
      <c r="I5193" s="87">
        <f>SUMIFS('Climate Data'!$H$7:$H$366,'Climate Data'!$A$7:$A$366,Estimator!$B$4,'Climate Data'!$B$7:$B$366,C5193)</f>
        <v>7.8662790697674421</v>
      </c>
      <c r="J5193" s="86">
        <f>SUMIFS('Wind Proxy'!$H$8:$H$19,'Wind Proxy'!$A$8:$A$19,Estimator!$B$4,'Wind Proxy'!$B$8:$B$19,C5193)</f>
        <v>0</v>
      </c>
    </row>
    <row r="5194" spans="1:10" ht="14.4">
      <c r="A5194" s="84">
        <v>50845</v>
      </c>
      <c r="B5194" s="85">
        <v>2039</v>
      </c>
      <c r="C5194" s="85">
        <v>3</v>
      </c>
      <c r="D5194" s="85" t="s">
        <v>60</v>
      </c>
      <c r="E5194" s="85">
        <v>16</v>
      </c>
      <c r="F5194" s="85">
        <v>3</v>
      </c>
      <c r="G5194" s="85">
        <f>--(F5194&lt;=Estimator!$B$7)</f>
        <v>1</v>
      </c>
      <c r="H5194" s="86">
        <f>SUMIFS('Climate Data'!$G$7:$G$366,'Climate Data'!$A$7:$A$366,Estimator!$B$4,'Climate Data'!$B$7:$B$366,C5194)</f>
        <v>0.18494623655913978</v>
      </c>
      <c r="I5194" s="87">
        <f>SUMIFS('Climate Data'!$H$7:$H$366,'Climate Data'!$A$7:$A$366,Estimator!$B$4,'Climate Data'!$B$7:$B$366,C5194)</f>
        <v>7.8662790697674421</v>
      </c>
      <c r="J5194" s="86">
        <f>SUMIFS('Wind Proxy'!$H$8:$H$19,'Wind Proxy'!$A$8:$A$19,Estimator!$B$4,'Wind Proxy'!$B$8:$B$19,C5194)</f>
        <v>0</v>
      </c>
    </row>
    <row r="5195" spans="1:10" ht="14.4">
      <c r="A5195" s="84">
        <v>50846</v>
      </c>
      <c r="B5195" s="85">
        <v>2039</v>
      </c>
      <c r="C5195" s="85">
        <v>3</v>
      </c>
      <c r="D5195" s="85" t="s">
        <v>60</v>
      </c>
      <c r="E5195" s="85">
        <v>17</v>
      </c>
      <c r="F5195" s="85">
        <v>4</v>
      </c>
      <c r="G5195" s="85">
        <f>--(F5195&lt;=Estimator!$B$7)</f>
        <v>1</v>
      </c>
      <c r="H5195" s="86">
        <f>SUMIFS('Climate Data'!$G$7:$G$366,'Climate Data'!$A$7:$A$366,Estimator!$B$4,'Climate Data'!$B$7:$B$366,C5195)</f>
        <v>0.18494623655913978</v>
      </c>
      <c r="I5195" s="87">
        <f>SUMIFS('Climate Data'!$H$7:$H$366,'Climate Data'!$A$7:$A$366,Estimator!$B$4,'Climate Data'!$B$7:$B$366,C5195)</f>
        <v>7.8662790697674421</v>
      </c>
      <c r="J5195" s="86">
        <f>SUMIFS('Wind Proxy'!$H$8:$H$19,'Wind Proxy'!$A$8:$A$19,Estimator!$B$4,'Wind Proxy'!$B$8:$B$19,C5195)</f>
        <v>0</v>
      </c>
    </row>
    <row r="5196" spans="1:10" ht="14.4">
      <c r="A5196" s="84">
        <v>50847</v>
      </c>
      <c r="B5196" s="85">
        <v>2039</v>
      </c>
      <c r="C5196" s="85">
        <v>3</v>
      </c>
      <c r="D5196" s="85" t="s">
        <v>60</v>
      </c>
      <c r="E5196" s="85">
        <v>18</v>
      </c>
      <c r="F5196" s="85">
        <v>5</v>
      </c>
      <c r="G5196" s="85">
        <f>--(F5196&lt;=Estimator!$B$7)</f>
        <v>1</v>
      </c>
      <c r="H5196" s="86">
        <f>SUMIFS('Climate Data'!$G$7:$G$366,'Climate Data'!$A$7:$A$366,Estimator!$B$4,'Climate Data'!$B$7:$B$366,C5196)</f>
        <v>0.18494623655913978</v>
      </c>
      <c r="I5196" s="87">
        <f>SUMIFS('Climate Data'!$H$7:$H$366,'Climate Data'!$A$7:$A$366,Estimator!$B$4,'Climate Data'!$B$7:$B$366,C5196)</f>
        <v>7.8662790697674421</v>
      </c>
      <c r="J5196" s="86">
        <f>SUMIFS('Wind Proxy'!$H$8:$H$19,'Wind Proxy'!$A$8:$A$19,Estimator!$B$4,'Wind Proxy'!$B$8:$B$19,C5196)</f>
        <v>0</v>
      </c>
    </row>
    <row r="5197" spans="1:10" ht="14.4">
      <c r="A5197" s="84">
        <v>50848</v>
      </c>
      <c r="B5197" s="85">
        <v>2039</v>
      </c>
      <c r="C5197" s="85">
        <v>3</v>
      </c>
      <c r="D5197" s="85" t="s">
        <v>60</v>
      </c>
      <c r="E5197" s="85">
        <v>19</v>
      </c>
      <c r="F5197" s="85">
        <v>6</v>
      </c>
      <c r="G5197" s="85">
        <f>--(F5197&lt;=Estimator!$B$7)</f>
        <v>0</v>
      </c>
      <c r="H5197" s="86">
        <f>SUMIFS('Climate Data'!$G$7:$G$366,'Climate Data'!$A$7:$A$366,Estimator!$B$4,'Climate Data'!$B$7:$B$366,C5197)</f>
        <v>0.18494623655913978</v>
      </c>
      <c r="I5197" s="87">
        <f>SUMIFS('Climate Data'!$H$7:$H$366,'Climate Data'!$A$7:$A$366,Estimator!$B$4,'Climate Data'!$B$7:$B$366,C5197)</f>
        <v>7.8662790697674421</v>
      </c>
      <c r="J5197" s="86">
        <f>SUMIFS('Wind Proxy'!$H$8:$H$19,'Wind Proxy'!$A$8:$A$19,Estimator!$B$4,'Wind Proxy'!$B$8:$B$19,C5197)</f>
        <v>0</v>
      </c>
    </row>
    <row r="5198" spans="1:10" ht="14.4">
      <c r="A5198" s="84">
        <v>50849</v>
      </c>
      <c r="B5198" s="85">
        <v>2039</v>
      </c>
      <c r="C5198" s="85">
        <v>3</v>
      </c>
      <c r="D5198" s="85" t="s">
        <v>60</v>
      </c>
      <c r="E5198" s="85">
        <v>20</v>
      </c>
      <c r="F5198" s="85">
        <v>7</v>
      </c>
      <c r="G5198" s="85">
        <f>--(F5198&lt;=Estimator!$B$7)</f>
        <v>0</v>
      </c>
      <c r="H5198" s="86">
        <f>SUMIFS('Climate Data'!$G$7:$G$366,'Climate Data'!$A$7:$A$366,Estimator!$B$4,'Climate Data'!$B$7:$B$366,C5198)</f>
        <v>0.18494623655913978</v>
      </c>
      <c r="I5198" s="87">
        <f>SUMIFS('Climate Data'!$H$7:$H$366,'Climate Data'!$A$7:$A$366,Estimator!$B$4,'Climate Data'!$B$7:$B$366,C5198)</f>
        <v>7.8662790697674421</v>
      </c>
      <c r="J5198" s="86">
        <f>SUMIFS('Wind Proxy'!$H$8:$H$19,'Wind Proxy'!$A$8:$A$19,Estimator!$B$4,'Wind Proxy'!$B$8:$B$19,C5198)</f>
        <v>0</v>
      </c>
    </row>
    <row r="5199" spans="1:10" ht="14.4">
      <c r="A5199" s="84">
        <v>50850</v>
      </c>
      <c r="B5199" s="85">
        <v>2039</v>
      </c>
      <c r="C5199" s="85">
        <v>3</v>
      </c>
      <c r="D5199" s="85" t="s">
        <v>60</v>
      </c>
      <c r="E5199" s="85">
        <v>21</v>
      </c>
      <c r="F5199" s="85">
        <v>1</v>
      </c>
      <c r="G5199" s="85">
        <f>--(F5199&lt;=Estimator!$B$7)</f>
        <v>1</v>
      </c>
      <c r="H5199" s="86">
        <f>SUMIFS('Climate Data'!$G$7:$G$366,'Climate Data'!$A$7:$A$366,Estimator!$B$4,'Climate Data'!$B$7:$B$366,C5199)</f>
        <v>0.18494623655913978</v>
      </c>
      <c r="I5199" s="87">
        <f>SUMIFS('Climate Data'!$H$7:$H$366,'Climate Data'!$A$7:$A$366,Estimator!$B$4,'Climate Data'!$B$7:$B$366,C5199)</f>
        <v>7.8662790697674421</v>
      </c>
      <c r="J5199" s="86">
        <f>SUMIFS('Wind Proxy'!$H$8:$H$19,'Wind Proxy'!$A$8:$A$19,Estimator!$B$4,'Wind Proxy'!$B$8:$B$19,C5199)</f>
        <v>0</v>
      </c>
    </row>
    <row r="5200" spans="1:10" ht="14.4">
      <c r="A5200" s="84">
        <v>50851</v>
      </c>
      <c r="B5200" s="85">
        <v>2039</v>
      </c>
      <c r="C5200" s="85">
        <v>3</v>
      </c>
      <c r="D5200" s="85" t="s">
        <v>60</v>
      </c>
      <c r="E5200" s="85">
        <v>22</v>
      </c>
      <c r="F5200" s="85">
        <v>2</v>
      </c>
      <c r="G5200" s="85">
        <f>--(F5200&lt;=Estimator!$B$7)</f>
        <v>1</v>
      </c>
      <c r="H5200" s="86">
        <f>SUMIFS('Climate Data'!$G$7:$G$366,'Climate Data'!$A$7:$A$366,Estimator!$B$4,'Climate Data'!$B$7:$B$366,C5200)</f>
        <v>0.18494623655913978</v>
      </c>
      <c r="I5200" s="87">
        <f>SUMIFS('Climate Data'!$H$7:$H$366,'Climate Data'!$A$7:$A$366,Estimator!$B$4,'Climate Data'!$B$7:$B$366,C5200)</f>
        <v>7.8662790697674421</v>
      </c>
      <c r="J5200" s="86">
        <f>SUMIFS('Wind Proxy'!$H$8:$H$19,'Wind Proxy'!$A$8:$A$19,Estimator!$B$4,'Wind Proxy'!$B$8:$B$19,C5200)</f>
        <v>0</v>
      </c>
    </row>
    <row r="5201" spans="1:10" ht="14.4">
      <c r="A5201" s="84">
        <v>50852</v>
      </c>
      <c r="B5201" s="85">
        <v>2039</v>
      </c>
      <c r="C5201" s="85">
        <v>3</v>
      </c>
      <c r="D5201" s="85" t="s">
        <v>60</v>
      </c>
      <c r="E5201" s="85">
        <v>23</v>
      </c>
      <c r="F5201" s="85">
        <v>3</v>
      </c>
      <c r="G5201" s="85">
        <f>--(F5201&lt;=Estimator!$B$7)</f>
        <v>1</v>
      </c>
      <c r="H5201" s="86">
        <f>SUMIFS('Climate Data'!$G$7:$G$366,'Climate Data'!$A$7:$A$366,Estimator!$B$4,'Climate Data'!$B$7:$B$366,C5201)</f>
        <v>0.18494623655913978</v>
      </c>
      <c r="I5201" s="87">
        <f>SUMIFS('Climate Data'!$H$7:$H$366,'Climate Data'!$A$7:$A$366,Estimator!$B$4,'Climate Data'!$B$7:$B$366,C5201)</f>
        <v>7.8662790697674421</v>
      </c>
      <c r="J5201" s="86">
        <f>SUMIFS('Wind Proxy'!$H$8:$H$19,'Wind Proxy'!$A$8:$A$19,Estimator!$B$4,'Wind Proxy'!$B$8:$B$19,C5201)</f>
        <v>0</v>
      </c>
    </row>
    <row r="5202" spans="1:10" ht="14.4">
      <c r="A5202" s="84">
        <v>50853</v>
      </c>
      <c r="B5202" s="85">
        <v>2039</v>
      </c>
      <c r="C5202" s="85">
        <v>3</v>
      </c>
      <c r="D5202" s="85" t="s">
        <v>60</v>
      </c>
      <c r="E5202" s="85">
        <v>24</v>
      </c>
      <c r="F5202" s="85">
        <v>4</v>
      </c>
      <c r="G5202" s="85">
        <f>--(F5202&lt;=Estimator!$B$7)</f>
        <v>1</v>
      </c>
      <c r="H5202" s="86">
        <f>SUMIFS('Climate Data'!$G$7:$G$366,'Climate Data'!$A$7:$A$366,Estimator!$B$4,'Climate Data'!$B$7:$B$366,C5202)</f>
        <v>0.18494623655913978</v>
      </c>
      <c r="I5202" s="87">
        <f>SUMIFS('Climate Data'!$H$7:$H$366,'Climate Data'!$A$7:$A$366,Estimator!$B$4,'Climate Data'!$B$7:$B$366,C5202)</f>
        <v>7.8662790697674421</v>
      </c>
      <c r="J5202" s="86">
        <f>SUMIFS('Wind Proxy'!$H$8:$H$19,'Wind Proxy'!$A$8:$A$19,Estimator!$B$4,'Wind Proxy'!$B$8:$B$19,C5202)</f>
        <v>0</v>
      </c>
    </row>
    <row r="5203" spans="1:10" ht="14.4">
      <c r="A5203" s="84">
        <v>50854</v>
      </c>
      <c r="B5203" s="85">
        <v>2039</v>
      </c>
      <c r="C5203" s="85">
        <v>3</v>
      </c>
      <c r="D5203" s="85" t="s">
        <v>60</v>
      </c>
      <c r="E5203" s="85">
        <v>25</v>
      </c>
      <c r="F5203" s="85">
        <v>5</v>
      </c>
      <c r="G5203" s="85">
        <f>--(F5203&lt;=Estimator!$B$7)</f>
        <v>1</v>
      </c>
      <c r="H5203" s="86">
        <f>SUMIFS('Climate Data'!$G$7:$G$366,'Climate Data'!$A$7:$A$366,Estimator!$B$4,'Climate Data'!$B$7:$B$366,C5203)</f>
        <v>0.18494623655913978</v>
      </c>
      <c r="I5203" s="87">
        <f>SUMIFS('Climate Data'!$H$7:$H$366,'Climate Data'!$A$7:$A$366,Estimator!$B$4,'Climate Data'!$B$7:$B$366,C5203)</f>
        <v>7.8662790697674421</v>
      </c>
      <c r="J5203" s="86">
        <f>SUMIFS('Wind Proxy'!$H$8:$H$19,'Wind Proxy'!$A$8:$A$19,Estimator!$B$4,'Wind Proxy'!$B$8:$B$19,C5203)</f>
        <v>0</v>
      </c>
    </row>
    <row r="5204" spans="1:10" ht="14.4">
      <c r="A5204" s="84">
        <v>50855</v>
      </c>
      <c r="B5204" s="85">
        <v>2039</v>
      </c>
      <c r="C5204" s="85">
        <v>3</v>
      </c>
      <c r="D5204" s="85" t="s">
        <v>60</v>
      </c>
      <c r="E5204" s="85">
        <v>26</v>
      </c>
      <c r="F5204" s="85">
        <v>6</v>
      </c>
      <c r="G5204" s="85">
        <f>--(F5204&lt;=Estimator!$B$7)</f>
        <v>0</v>
      </c>
      <c r="H5204" s="86">
        <f>SUMIFS('Climate Data'!$G$7:$G$366,'Climate Data'!$A$7:$A$366,Estimator!$B$4,'Climate Data'!$B$7:$B$366,C5204)</f>
        <v>0.18494623655913978</v>
      </c>
      <c r="I5204" s="87">
        <f>SUMIFS('Climate Data'!$H$7:$H$366,'Climate Data'!$A$7:$A$366,Estimator!$B$4,'Climate Data'!$B$7:$B$366,C5204)</f>
        <v>7.8662790697674421</v>
      </c>
      <c r="J5204" s="86">
        <f>SUMIFS('Wind Proxy'!$H$8:$H$19,'Wind Proxy'!$A$8:$A$19,Estimator!$B$4,'Wind Proxy'!$B$8:$B$19,C5204)</f>
        <v>0</v>
      </c>
    </row>
    <row r="5205" spans="1:10" ht="14.4">
      <c r="A5205" s="84">
        <v>50856</v>
      </c>
      <c r="B5205" s="85">
        <v>2039</v>
      </c>
      <c r="C5205" s="85">
        <v>3</v>
      </c>
      <c r="D5205" s="85" t="s">
        <v>60</v>
      </c>
      <c r="E5205" s="85">
        <v>27</v>
      </c>
      <c r="F5205" s="85">
        <v>7</v>
      </c>
      <c r="G5205" s="85">
        <f>--(F5205&lt;=Estimator!$B$7)</f>
        <v>0</v>
      </c>
      <c r="H5205" s="86">
        <f>SUMIFS('Climate Data'!$G$7:$G$366,'Climate Data'!$A$7:$A$366,Estimator!$B$4,'Climate Data'!$B$7:$B$366,C5205)</f>
        <v>0.18494623655913978</v>
      </c>
      <c r="I5205" s="87">
        <f>SUMIFS('Climate Data'!$H$7:$H$366,'Climate Data'!$A$7:$A$366,Estimator!$B$4,'Climate Data'!$B$7:$B$366,C5205)</f>
        <v>7.8662790697674421</v>
      </c>
      <c r="J5205" s="86">
        <f>SUMIFS('Wind Proxy'!$H$8:$H$19,'Wind Proxy'!$A$8:$A$19,Estimator!$B$4,'Wind Proxy'!$B$8:$B$19,C5205)</f>
        <v>0</v>
      </c>
    </row>
    <row r="5206" spans="1:10" ht="14.4">
      <c r="A5206" s="84">
        <v>50857</v>
      </c>
      <c r="B5206" s="85">
        <v>2039</v>
      </c>
      <c r="C5206" s="85">
        <v>3</v>
      </c>
      <c r="D5206" s="85" t="s">
        <v>60</v>
      </c>
      <c r="E5206" s="85">
        <v>28</v>
      </c>
      <c r="F5206" s="85">
        <v>1</v>
      </c>
      <c r="G5206" s="85">
        <f>--(F5206&lt;=Estimator!$B$7)</f>
        <v>1</v>
      </c>
      <c r="H5206" s="86">
        <f>SUMIFS('Climate Data'!$G$7:$G$366,'Climate Data'!$A$7:$A$366,Estimator!$B$4,'Climate Data'!$B$7:$B$366,C5206)</f>
        <v>0.18494623655913978</v>
      </c>
      <c r="I5206" s="87">
        <f>SUMIFS('Climate Data'!$H$7:$H$366,'Climate Data'!$A$7:$A$366,Estimator!$B$4,'Climate Data'!$B$7:$B$366,C5206)</f>
        <v>7.8662790697674421</v>
      </c>
      <c r="J5206" s="86">
        <f>SUMIFS('Wind Proxy'!$H$8:$H$19,'Wind Proxy'!$A$8:$A$19,Estimator!$B$4,'Wind Proxy'!$B$8:$B$19,C5206)</f>
        <v>0</v>
      </c>
    </row>
    <row r="5207" spans="1:10" ht="14.4">
      <c r="A5207" s="84">
        <v>50858</v>
      </c>
      <c r="B5207" s="85">
        <v>2039</v>
      </c>
      <c r="C5207" s="85">
        <v>3</v>
      </c>
      <c r="D5207" s="85" t="s">
        <v>60</v>
      </c>
      <c r="E5207" s="85">
        <v>29</v>
      </c>
      <c r="F5207" s="85">
        <v>2</v>
      </c>
      <c r="G5207" s="85">
        <f>--(F5207&lt;=Estimator!$B$7)</f>
        <v>1</v>
      </c>
      <c r="H5207" s="86">
        <f>SUMIFS('Climate Data'!$G$7:$G$366,'Climate Data'!$A$7:$A$366,Estimator!$B$4,'Climate Data'!$B$7:$B$366,C5207)</f>
        <v>0.18494623655913978</v>
      </c>
      <c r="I5207" s="87">
        <f>SUMIFS('Climate Data'!$H$7:$H$366,'Climate Data'!$A$7:$A$366,Estimator!$B$4,'Climate Data'!$B$7:$B$366,C5207)</f>
        <v>7.8662790697674421</v>
      </c>
      <c r="J5207" s="86">
        <f>SUMIFS('Wind Proxy'!$H$8:$H$19,'Wind Proxy'!$A$8:$A$19,Estimator!$B$4,'Wind Proxy'!$B$8:$B$19,C5207)</f>
        <v>0</v>
      </c>
    </row>
    <row r="5208" spans="1:10" ht="14.4">
      <c r="A5208" s="84">
        <v>50859</v>
      </c>
      <c r="B5208" s="85">
        <v>2039</v>
      </c>
      <c r="C5208" s="85">
        <v>3</v>
      </c>
      <c r="D5208" s="85" t="s">
        <v>60</v>
      </c>
      <c r="E5208" s="85">
        <v>30</v>
      </c>
      <c r="F5208" s="85">
        <v>3</v>
      </c>
      <c r="G5208" s="85">
        <f>--(F5208&lt;=Estimator!$B$7)</f>
        <v>1</v>
      </c>
      <c r="H5208" s="86">
        <f>SUMIFS('Climate Data'!$G$7:$G$366,'Climate Data'!$A$7:$A$366,Estimator!$B$4,'Climate Data'!$B$7:$B$366,C5208)</f>
        <v>0.18494623655913978</v>
      </c>
      <c r="I5208" s="87">
        <f>SUMIFS('Climate Data'!$H$7:$H$366,'Climate Data'!$A$7:$A$366,Estimator!$B$4,'Climate Data'!$B$7:$B$366,C5208)</f>
        <v>7.8662790697674421</v>
      </c>
      <c r="J5208" s="86">
        <f>SUMIFS('Wind Proxy'!$H$8:$H$19,'Wind Proxy'!$A$8:$A$19,Estimator!$B$4,'Wind Proxy'!$B$8:$B$19,C5208)</f>
        <v>0</v>
      </c>
    </row>
    <row r="5209" spans="1:10" ht="14.4">
      <c r="A5209" s="84">
        <v>50860</v>
      </c>
      <c r="B5209" s="85">
        <v>2039</v>
      </c>
      <c r="C5209" s="85">
        <v>3</v>
      </c>
      <c r="D5209" s="85" t="s">
        <v>60</v>
      </c>
      <c r="E5209" s="85">
        <v>31</v>
      </c>
      <c r="F5209" s="85">
        <v>4</v>
      </c>
      <c r="G5209" s="85">
        <f>--(F5209&lt;=Estimator!$B$7)</f>
        <v>1</v>
      </c>
      <c r="H5209" s="86">
        <f>SUMIFS('Climate Data'!$G$7:$G$366,'Climate Data'!$A$7:$A$366,Estimator!$B$4,'Climate Data'!$B$7:$B$366,C5209)</f>
        <v>0.18494623655913978</v>
      </c>
      <c r="I5209" s="87">
        <f>SUMIFS('Climate Data'!$H$7:$H$366,'Climate Data'!$A$7:$A$366,Estimator!$B$4,'Climate Data'!$B$7:$B$366,C5209)</f>
        <v>7.8662790697674421</v>
      </c>
      <c r="J5209" s="86">
        <f>SUMIFS('Wind Proxy'!$H$8:$H$19,'Wind Proxy'!$A$8:$A$19,Estimator!$B$4,'Wind Proxy'!$B$8:$B$19,C5209)</f>
        <v>0</v>
      </c>
    </row>
    <row r="5210" spans="1:10" ht="14.4">
      <c r="A5210" s="84">
        <v>50861</v>
      </c>
      <c r="B5210" s="85">
        <v>2039</v>
      </c>
      <c r="C5210" s="85">
        <v>4</v>
      </c>
      <c r="D5210" s="85" t="s">
        <v>62</v>
      </c>
      <c r="E5210" s="85">
        <v>1</v>
      </c>
      <c r="F5210" s="85">
        <v>5</v>
      </c>
      <c r="G5210" s="85">
        <f>--(F5210&lt;=Estimator!$B$7)</f>
        <v>1</v>
      </c>
      <c r="H5210" s="86">
        <f>SUMIFS('Climate Data'!$G$7:$G$366,'Climate Data'!$A$7:$A$366,Estimator!$B$4,'Climate Data'!$B$7:$B$366,C5210)</f>
        <v>0.25555555555555559</v>
      </c>
      <c r="I5210" s="87">
        <f>SUMIFS('Climate Data'!$H$7:$H$366,'Climate Data'!$A$7:$A$366,Estimator!$B$4,'Climate Data'!$B$7:$B$366,C5210)</f>
        <v>7.5</v>
      </c>
      <c r="J5210" s="86">
        <f>SUMIFS('Wind Proxy'!$H$8:$H$19,'Wind Proxy'!$A$8:$A$19,Estimator!$B$4,'Wind Proxy'!$B$8:$B$19,C5210)</f>
        <v>0</v>
      </c>
    </row>
    <row r="5211" spans="1:10" ht="14.4">
      <c r="A5211" s="84">
        <v>50862</v>
      </c>
      <c r="B5211" s="85">
        <v>2039</v>
      </c>
      <c r="C5211" s="85">
        <v>4</v>
      </c>
      <c r="D5211" s="85" t="s">
        <v>62</v>
      </c>
      <c r="E5211" s="85">
        <v>2</v>
      </c>
      <c r="F5211" s="85">
        <v>6</v>
      </c>
      <c r="G5211" s="85">
        <f>--(F5211&lt;=Estimator!$B$7)</f>
        <v>0</v>
      </c>
      <c r="H5211" s="86">
        <f>SUMIFS('Climate Data'!$G$7:$G$366,'Climate Data'!$A$7:$A$366,Estimator!$B$4,'Climate Data'!$B$7:$B$366,C5211)</f>
        <v>0.25555555555555559</v>
      </c>
      <c r="I5211" s="87">
        <f>SUMIFS('Climate Data'!$H$7:$H$366,'Climate Data'!$A$7:$A$366,Estimator!$B$4,'Climate Data'!$B$7:$B$366,C5211)</f>
        <v>7.5</v>
      </c>
      <c r="J5211" s="86">
        <f>SUMIFS('Wind Proxy'!$H$8:$H$19,'Wind Proxy'!$A$8:$A$19,Estimator!$B$4,'Wind Proxy'!$B$8:$B$19,C5211)</f>
        <v>0</v>
      </c>
    </row>
    <row r="5212" spans="1:10" ht="14.4">
      <c r="A5212" s="84">
        <v>50863</v>
      </c>
      <c r="B5212" s="85">
        <v>2039</v>
      </c>
      <c r="C5212" s="85">
        <v>4</v>
      </c>
      <c r="D5212" s="85" t="s">
        <v>62</v>
      </c>
      <c r="E5212" s="85">
        <v>3</v>
      </c>
      <c r="F5212" s="85">
        <v>7</v>
      </c>
      <c r="G5212" s="85">
        <f>--(F5212&lt;=Estimator!$B$7)</f>
        <v>0</v>
      </c>
      <c r="H5212" s="86">
        <f>SUMIFS('Climate Data'!$G$7:$G$366,'Climate Data'!$A$7:$A$366,Estimator!$B$4,'Climate Data'!$B$7:$B$366,C5212)</f>
        <v>0.25555555555555559</v>
      </c>
      <c r="I5212" s="87">
        <f>SUMIFS('Climate Data'!$H$7:$H$366,'Climate Data'!$A$7:$A$366,Estimator!$B$4,'Climate Data'!$B$7:$B$366,C5212)</f>
        <v>7.5</v>
      </c>
      <c r="J5212" s="86">
        <f>SUMIFS('Wind Proxy'!$H$8:$H$19,'Wind Proxy'!$A$8:$A$19,Estimator!$B$4,'Wind Proxy'!$B$8:$B$19,C5212)</f>
        <v>0</v>
      </c>
    </row>
    <row r="5213" spans="1:10" ht="14.4">
      <c r="A5213" s="84">
        <v>50864</v>
      </c>
      <c r="B5213" s="85">
        <v>2039</v>
      </c>
      <c r="C5213" s="85">
        <v>4</v>
      </c>
      <c r="D5213" s="85" t="s">
        <v>62</v>
      </c>
      <c r="E5213" s="85">
        <v>4</v>
      </c>
      <c r="F5213" s="85">
        <v>1</v>
      </c>
      <c r="G5213" s="85">
        <f>--(F5213&lt;=Estimator!$B$7)</f>
        <v>1</v>
      </c>
      <c r="H5213" s="86">
        <f>SUMIFS('Climate Data'!$G$7:$G$366,'Climate Data'!$A$7:$A$366,Estimator!$B$4,'Climate Data'!$B$7:$B$366,C5213)</f>
        <v>0.25555555555555559</v>
      </c>
      <c r="I5213" s="87">
        <f>SUMIFS('Climate Data'!$H$7:$H$366,'Climate Data'!$A$7:$A$366,Estimator!$B$4,'Climate Data'!$B$7:$B$366,C5213)</f>
        <v>7.5</v>
      </c>
      <c r="J5213" s="86">
        <f>SUMIFS('Wind Proxy'!$H$8:$H$19,'Wind Proxy'!$A$8:$A$19,Estimator!$B$4,'Wind Proxy'!$B$8:$B$19,C5213)</f>
        <v>0</v>
      </c>
    </row>
    <row r="5214" spans="1:10" ht="14.4">
      <c r="A5214" s="84">
        <v>50865</v>
      </c>
      <c r="B5214" s="85">
        <v>2039</v>
      </c>
      <c r="C5214" s="85">
        <v>4</v>
      </c>
      <c r="D5214" s="85" t="s">
        <v>62</v>
      </c>
      <c r="E5214" s="85">
        <v>5</v>
      </c>
      <c r="F5214" s="85">
        <v>2</v>
      </c>
      <c r="G5214" s="85">
        <f>--(F5214&lt;=Estimator!$B$7)</f>
        <v>1</v>
      </c>
      <c r="H5214" s="86">
        <f>SUMIFS('Climate Data'!$G$7:$G$366,'Climate Data'!$A$7:$A$366,Estimator!$B$4,'Climate Data'!$B$7:$B$366,C5214)</f>
        <v>0.25555555555555559</v>
      </c>
      <c r="I5214" s="87">
        <f>SUMIFS('Climate Data'!$H$7:$H$366,'Climate Data'!$A$7:$A$366,Estimator!$B$4,'Climate Data'!$B$7:$B$366,C5214)</f>
        <v>7.5</v>
      </c>
      <c r="J5214" s="86">
        <f>SUMIFS('Wind Proxy'!$H$8:$H$19,'Wind Proxy'!$A$8:$A$19,Estimator!$B$4,'Wind Proxy'!$B$8:$B$19,C5214)</f>
        <v>0</v>
      </c>
    </row>
    <row r="5215" spans="1:10" ht="14.4">
      <c r="A5215" s="84">
        <v>50866</v>
      </c>
      <c r="B5215" s="85">
        <v>2039</v>
      </c>
      <c r="C5215" s="85">
        <v>4</v>
      </c>
      <c r="D5215" s="85" t="s">
        <v>62</v>
      </c>
      <c r="E5215" s="85">
        <v>6</v>
      </c>
      <c r="F5215" s="85">
        <v>3</v>
      </c>
      <c r="G5215" s="85">
        <f>--(F5215&lt;=Estimator!$B$7)</f>
        <v>1</v>
      </c>
      <c r="H5215" s="86">
        <f>SUMIFS('Climate Data'!$G$7:$G$366,'Climate Data'!$A$7:$A$366,Estimator!$B$4,'Climate Data'!$B$7:$B$366,C5215)</f>
        <v>0.25555555555555559</v>
      </c>
      <c r="I5215" s="87">
        <f>SUMIFS('Climate Data'!$H$7:$H$366,'Climate Data'!$A$7:$A$366,Estimator!$B$4,'Climate Data'!$B$7:$B$366,C5215)</f>
        <v>7.5</v>
      </c>
      <c r="J5215" s="86">
        <f>SUMIFS('Wind Proxy'!$H$8:$H$19,'Wind Proxy'!$A$8:$A$19,Estimator!$B$4,'Wind Proxy'!$B$8:$B$19,C5215)</f>
        <v>0</v>
      </c>
    </row>
    <row r="5216" spans="1:10" ht="14.4">
      <c r="A5216" s="84">
        <v>50867</v>
      </c>
      <c r="B5216" s="85">
        <v>2039</v>
      </c>
      <c r="C5216" s="85">
        <v>4</v>
      </c>
      <c r="D5216" s="85" t="s">
        <v>62</v>
      </c>
      <c r="E5216" s="85">
        <v>7</v>
      </c>
      <c r="F5216" s="85">
        <v>4</v>
      </c>
      <c r="G5216" s="85">
        <f>--(F5216&lt;=Estimator!$B$7)</f>
        <v>1</v>
      </c>
      <c r="H5216" s="86">
        <f>SUMIFS('Climate Data'!$G$7:$G$366,'Climate Data'!$A$7:$A$366,Estimator!$B$4,'Climate Data'!$B$7:$B$366,C5216)</f>
        <v>0.25555555555555559</v>
      </c>
      <c r="I5216" s="87">
        <f>SUMIFS('Climate Data'!$H$7:$H$366,'Climate Data'!$A$7:$A$366,Estimator!$B$4,'Climate Data'!$B$7:$B$366,C5216)</f>
        <v>7.5</v>
      </c>
      <c r="J5216" s="86">
        <f>SUMIFS('Wind Proxy'!$H$8:$H$19,'Wind Proxy'!$A$8:$A$19,Estimator!$B$4,'Wind Proxy'!$B$8:$B$19,C5216)</f>
        <v>0</v>
      </c>
    </row>
    <row r="5217" spans="1:10" ht="14.4">
      <c r="A5217" s="84">
        <v>50868</v>
      </c>
      <c r="B5217" s="85">
        <v>2039</v>
      </c>
      <c r="C5217" s="85">
        <v>4</v>
      </c>
      <c r="D5217" s="85" t="s">
        <v>62</v>
      </c>
      <c r="E5217" s="85">
        <v>8</v>
      </c>
      <c r="F5217" s="85">
        <v>5</v>
      </c>
      <c r="G5217" s="85">
        <f>--(F5217&lt;=Estimator!$B$7)</f>
        <v>1</v>
      </c>
      <c r="H5217" s="86">
        <f>SUMIFS('Climate Data'!$G$7:$G$366,'Climate Data'!$A$7:$A$366,Estimator!$B$4,'Climate Data'!$B$7:$B$366,C5217)</f>
        <v>0.25555555555555559</v>
      </c>
      <c r="I5217" s="87">
        <f>SUMIFS('Climate Data'!$H$7:$H$366,'Climate Data'!$A$7:$A$366,Estimator!$B$4,'Climate Data'!$B$7:$B$366,C5217)</f>
        <v>7.5</v>
      </c>
      <c r="J5217" s="86">
        <f>SUMIFS('Wind Proxy'!$H$8:$H$19,'Wind Proxy'!$A$8:$A$19,Estimator!$B$4,'Wind Proxy'!$B$8:$B$19,C5217)</f>
        <v>0</v>
      </c>
    </row>
    <row r="5218" spans="1:10" ht="14.4">
      <c r="A5218" s="84">
        <v>50869</v>
      </c>
      <c r="B5218" s="85">
        <v>2039</v>
      </c>
      <c r="C5218" s="85">
        <v>4</v>
      </c>
      <c r="D5218" s="85" t="s">
        <v>62</v>
      </c>
      <c r="E5218" s="85">
        <v>9</v>
      </c>
      <c r="F5218" s="85">
        <v>6</v>
      </c>
      <c r="G5218" s="85">
        <f>--(F5218&lt;=Estimator!$B$7)</f>
        <v>0</v>
      </c>
      <c r="H5218" s="86">
        <f>SUMIFS('Climate Data'!$G$7:$G$366,'Climate Data'!$A$7:$A$366,Estimator!$B$4,'Climate Data'!$B$7:$B$366,C5218)</f>
        <v>0.25555555555555559</v>
      </c>
      <c r="I5218" s="87">
        <f>SUMIFS('Climate Data'!$H$7:$H$366,'Climate Data'!$A$7:$A$366,Estimator!$B$4,'Climate Data'!$B$7:$B$366,C5218)</f>
        <v>7.5</v>
      </c>
      <c r="J5218" s="86">
        <f>SUMIFS('Wind Proxy'!$H$8:$H$19,'Wind Proxy'!$A$8:$A$19,Estimator!$B$4,'Wind Proxy'!$B$8:$B$19,C5218)</f>
        <v>0</v>
      </c>
    </row>
    <row r="5219" spans="1:10" ht="14.4">
      <c r="A5219" s="84">
        <v>50870</v>
      </c>
      <c r="B5219" s="85">
        <v>2039</v>
      </c>
      <c r="C5219" s="85">
        <v>4</v>
      </c>
      <c r="D5219" s="85" t="s">
        <v>62</v>
      </c>
      <c r="E5219" s="85">
        <v>10</v>
      </c>
      <c r="F5219" s="85">
        <v>7</v>
      </c>
      <c r="G5219" s="85">
        <f>--(F5219&lt;=Estimator!$B$7)</f>
        <v>0</v>
      </c>
      <c r="H5219" s="86">
        <f>SUMIFS('Climate Data'!$G$7:$G$366,'Climate Data'!$A$7:$A$366,Estimator!$B$4,'Climate Data'!$B$7:$B$366,C5219)</f>
        <v>0.25555555555555559</v>
      </c>
      <c r="I5219" s="87">
        <f>SUMIFS('Climate Data'!$H$7:$H$366,'Climate Data'!$A$7:$A$366,Estimator!$B$4,'Climate Data'!$B$7:$B$366,C5219)</f>
        <v>7.5</v>
      </c>
      <c r="J5219" s="86">
        <f>SUMIFS('Wind Proxy'!$H$8:$H$19,'Wind Proxy'!$A$8:$A$19,Estimator!$B$4,'Wind Proxy'!$B$8:$B$19,C5219)</f>
        <v>0</v>
      </c>
    </row>
    <row r="5220" spans="1:10" ht="14.4">
      <c r="A5220" s="84">
        <v>50871</v>
      </c>
      <c r="B5220" s="85">
        <v>2039</v>
      </c>
      <c r="C5220" s="85">
        <v>4</v>
      </c>
      <c r="D5220" s="85" t="s">
        <v>62</v>
      </c>
      <c r="E5220" s="85">
        <v>11</v>
      </c>
      <c r="F5220" s="85">
        <v>1</v>
      </c>
      <c r="G5220" s="85">
        <f>--(F5220&lt;=Estimator!$B$7)</f>
        <v>1</v>
      </c>
      <c r="H5220" s="86">
        <f>SUMIFS('Climate Data'!$G$7:$G$366,'Climate Data'!$A$7:$A$366,Estimator!$B$4,'Climate Data'!$B$7:$B$366,C5220)</f>
        <v>0.25555555555555559</v>
      </c>
      <c r="I5220" s="87">
        <f>SUMIFS('Climate Data'!$H$7:$H$366,'Climate Data'!$A$7:$A$366,Estimator!$B$4,'Climate Data'!$B$7:$B$366,C5220)</f>
        <v>7.5</v>
      </c>
      <c r="J5220" s="86">
        <f>SUMIFS('Wind Proxy'!$H$8:$H$19,'Wind Proxy'!$A$8:$A$19,Estimator!$B$4,'Wind Proxy'!$B$8:$B$19,C5220)</f>
        <v>0</v>
      </c>
    </row>
    <row r="5221" spans="1:10" ht="14.4">
      <c r="A5221" s="84">
        <v>50872</v>
      </c>
      <c r="B5221" s="85">
        <v>2039</v>
      </c>
      <c r="C5221" s="85">
        <v>4</v>
      </c>
      <c r="D5221" s="85" t="s">
        <v>62</v>
      </c>
      <c r="E5221" s="85">
        <v>12</v>
      </c>
      <c r="F5221" s="85">
        <v>2</v>
      </c>
      <c r="G5221" s="85">
        <f>--(F5221&lt;=Estimator!$B$7)</f>
        <v>1</v>
      </c>
      <c r="H5221" s="86">
        <f>SUMIFS('Climate Data'!$G$7:$G$366,'Climate Data'!$A$7:$A$366,Estimator!$B$4,'Climate Data'!$B$7:$B$366,C5221)</f>
        <v>0.25555555555555559</v>
      </c>
      <c r="I5221" s="87">
        <f>SUMIFS('Climate Data'!$H$7:$H$366,'Climate Data'!$A$7:$A$366,Estimator!$B$4,'Climate Data'!$B$7:$B$366,C5221)</f>
        <v>7.5</v>
      </c>
      <c r="J5221" s="86">
        <f>SUMIFS('Wind Proxy'!$H$8:$H$19,'Wind Proxy'!$A$8:$A$19,Estimator!$B$4,'Wind Proxy'!$B$8:$B$19,C5221)</f>
        <v>0</v>
      </c>
    </row>
    <row r="5222" spans="1:10" ht="14.4">
      <c r="A5222" s="84">
        <v>50873</v>
      </c>
      <c r="B5222" s="85">
        <v>2039</v>
      </c>
      <c r="C5222" s="85">
        <v>4</v>
      </c>
      <c r="D5222" s="85" t="s">
        <v>62</v>
      </c>
      <c r="E5222" s="85">
        <v>13</v>
      </c>
      <c r="F5222" s="85">
        <v>3</v>
      </c>
      <c r="G5222" s="85">
        <f>--(F5222&lt;=Estimator!$B$7)</f>
        <v>1</v>
      </c>
      <c r="H5222" s="86">
        <f>SUMIFS('Climate Data'!$G$7:$G$366,'Climate Data'!$A$7:$A$366,Estimator!$B$4,'Climate Data'!$B$7:$B$366,C5222)</f>
        <v>0.25555555555555559</v>
      </c>
      <c r="I5222" s="87">
        <f>SUMIFS('Climate Data'!$H$7:$H$366,'Climate Data'!$A$7:$A$366,Estimator!$B$4,'Climate Data'!$B$7:$B$366,C5222)</f>
        <v>7.5</v>
      </c>
      <c r="J5222" s="86">
        <f>SUMIFS('Wind Proxy'!$H$8:$H$19,'Wind Proxy'!$A$8:$A$19,Estimator!$B$4,'Wind Proxy'!$B$8:$B$19,C5222)</f>
        <v>0</v>
      </c>
    </row>
    <row r="5223" spans="1:10" ht="14.4">
      <c r="A5223" s="84">
        <v>50874</v>
      </c>
      <c r="B5223" s="85">
        <v>2039</v>
      </c>
      <c r="C5223" s="85">
        <v>4</v>
      </c>
      <c r="D5223" s="85" t="s">
        <v>62</v>
      </c>
      <c r="E5223" s="85">
        <v>14</v>
      </c>
      <c r="F5223" s="85">
        <v>4</v>
      </c>
      <c r="G5223" s="85">
        <f>--(F5223&lt;=Estimator!$B$7)</f>
        <v>1</v>
      </c>
      <c r="H5223" s="86">
        <f>SUMIFS('Climate Data'!$G$7:$G$366,'Climate Data'!$A$7:$A$366,Estimator!$B$4,'Climate Data'!$B$7:$B$366,C5223)</f>
        <v>0.25555555555555559</v>
      </c>
      <c r="I5223" s="87">
        <f>SUMIFS('Climate Data'!$H$7:$H$366,'Climate Data'!$A$7:$A$366,Estimator!$B$4,'Climate Data'!$B$7:$B$366,C5223)</f>
        <v>7.5</v>
      </c>
      <c r="J5223" s="86">
        <f>SUMIFS('Wind Proxy'!$H$8:$H$19,'Wind Proxy'!$A$8:$A$19,Estimator!$B$4,'Wind Proxy'!$B$8:$B$19,C5223)</f>
        <v>0</v>
      </c>
    </row>
    <row r="5224" spans="1:10" ht="14.4">
      <c r="A5224" s="84">
        <v>50875</v>
      </c>
      <c r="B5224" s="85">
        <v>2039</v>
      </c>
      <c r="C5224" s="85">
        <v>4</v>
      </c>
      <c r="D5224" s="85" t="s">
        <v>62</v>
      </c>
      <c r="E5224" s="85">
        <v>15</v>
      </c>
      <c r="F5224" s="85">
        <v>5</v>
      </c>
      <c r="G5224" s="85">
        <f>--(F5224&lt;=Estimator!$B$7)</f>
        <v>1</v>
      </c>
      <c r="H5224" s="86">
        <f>SUMIFS('Climate Data'!$G$7:$G$366,'Climate Data'!$A$7:$A$366,Estimator!$B$4,'Climate Data'!$B$7:$B$366,C5224)</f>
        <v>0.25555555555555559</v>
      </c>
      <c r="I5224" s="87">
        <f>SUMIFS('Climate Data'!$H$7:$H$366,'Climate Data'!$A$7:$A$366,Estimator!$B$4,'Climate Data'!$B$7:$B$366,C5224)</f>
        <v>7.5</v>
      </c>
      <c r="J5224" s="86">
        <f>SUMIFS('Wind Proxy'!$H$8:$H$19,'Wind Proxy'!$A$8:$A$19,Estimator!$B$4,'Wind Proxy'!$B$8:$B$19,C5224)</f>
        <v>0</v>
      </c>
    </row>
    <row r="5225" spans="1:10" ht="14.4">
      <c r="A5225" s="84">
        <v>50876</v>
      </c>
      <c r="B5225" s="85">
        <v>2039</v>
      </c>
      <c r="C5225" s="85">
        <v>4</v>
      </c>
      <c r="D5225" s="85" t="s">
        <v>62</v>
      </c>
      <c r="E5225" s="85">
        <v>16</v>
      </c>
      <c r="F5225" s="85">
        <v>6</v>
      </c>
      <c r="G5225" s="85">
        <f>--(F5225&lt;=Estimator!$B$7)</f>
        <v>0</v>
      </c>
      <c r="H5225" s="86">
        <f>SUMIFS('Climate Data'!$G$7:$G$366,'Climate Data'!$A$7:$A$366,Estimator!$B$4,'Climate Data'!$B$7:$B$366,C5225)</f>
        <v>0.25555555555555559</v>
      </c>
      <c r="I5225" s="87">
        <f>SUMIFS('Climate Data'!$H$7:$H$366,'Climate Data'!$A$7:$A$366,Estimator!$B$4,'Climate Data'!$B$7:$B$366,C5225)</f>
        <v>7.5</v>
      </c>
      <c r="J5225" s="86">
        <f>SUMIFS('Wind Proxy'!$H$8:$H$19,'Wind Proxy'!$A$8:$A$19,Estimator!$B$4,'Wind Proxy'!$B$8:$B$19,C5225)</f>
        <v>0</v>
      </c>
    </row>
    <row r="5226" spans="1:10" ht="14.4">
      <c r="A5226" s="84">
        <v>50877</v>
      </c>
      <c r="B5226" s="85">
        <v>2039</v>
      </c>
      <c r="C5226" s="85">
        <v>4</v>
      </c>
      <c r="D5226" s="85" t="s">
        <v>62</v>
      </c>
      <c r="E5226" s="85">
        <v>17</v>
      </c>
      <c r="F5226" s="85">
        <v>7</v>
      </c>
      <c r="G5226" s="85">
        <f>--(F5226&lt;=Estimator!$B$7)</f>
        <v>0</v>
      </c>
      <c r="H5226" s="86">
        <f>SUMIFS('Climate Data'!$G$7:$G$366,'Climate Data'!$A$7:$A$366,Estimator!$B$4,'Climate Data'!$B$7:$B$366,C5226)</f>
        <v>0.25555555555555559</v>
      </c>
      <c r="I5226" s="87">
        <f>SUMIFS('Climate Data'!$H$7:$H$366,'Climate Data'!$A$7:$A$366,Estimator!$B$4,'Climate Data'!$B$7:$B$366,C5226)</f>
        <v>7.5</v>
      </c>
      <c r="J5226" s="86">
        <f>SUMIFS('Wind Proxy'!$H$8:$H$19,'Wind Proxy'!$A$8:$A$19,Estimator!$B$4,'Wind Proxy'!$B$8:$B$19,C5226)</f>
        <v>0</v>
      </c>
    </row>
    <row r="5227" spans="1:10" ht="14.4">
      <c r="A5227" s="84">
        <v>50878</v>
      </c>
      <c r="B5227" s="85">
        <v>2039</v>
      </c>
      <c r="C5227" s="85">
        <v>4</v>
      </c>
      <c r="D5227" s="85" t="s">
        <v>62</v>
      </c>
      <c r="E5227" s="85">
        <v>18</v>
      </c>
      <c r="F5227" s="85">
        <v>1</v>
      </c>
      <c r="G5227" s="85">
        <f>--(F5227&lt;=Estimator!$B$7)</f>
        <v>1</v>
      </c>
      <c r="H5227" s="86">
        <f>SUMIFS('Climate Data'!$G$7:$G$366,'Climate Data'!$A$7:$A$366,Estimator!$B$4,'Climate Data'!$B$7:$B$366,C5227)</f>
        <v>0.25555555555555559</v>
      </c>
      <c r="I5227" s="87">
        <f>SUMIFS('Climate Data'!$H$7:$H$366,'Climate Data'!$A$7:$A$366,Estimator!$B$4,'Climate Data'!$B$7:$B$366,C5227)</f>
        <v>7.5</v>
      </c>
      <c r="J5227" s="86">
        <f>SUMIFS('Wind Proxy'!$H$8:$H$19,'Wind Proxy'!$A$8:$A$19,Estimator!$B$4,'Wind Proxy'!$B$8:$B$19,C5227)</f>
        <v>0</v>
      </c>
    </row>
    <row r="5228" spans="1:10" ht="14.4">
      <c r="A5228" s="84">
        <v>50879</v>
      </c>
      <c r="B5228" s="85">
        <v>2039</v>
      </c>
      <c r="C5228" s="85">
        <v>4</v>
      </c>
      <c r="D5228" s="85" t="s">
        <v>62</v>
      </c>
      <c r="E5228" s="85">
        <v>19</v>
      </c>
      <c r="F5228" s="85">
        <v>2</v>
      </c>
      <c r="G5228" s="85">
        <f>--(F5228&lt;=Estimator!$B$7)</f>
        <v>1</v>
      </c>
      <c r="H5228" s="86">
        <f>SUMIFS('Climate Data'!$G$7:$G$366,'Climate Data'!$A$7:$A$366,Estimator!$B$4,'Climate Data'!$B$7:$B$366,C5228)</f>
        <v>0.25555555555555559</v>
      </c>
      <c r="I5228" s="87">
        <f>SUMIFS('Climate Data'!$H$7:$H$366,'Climate Data'!$A$7:$A$366,Estimator!$B$4,'Climate Data'!$B$7:$B$366,C5228)</f>
        <v>7.5</v>
      </c>
      <c r="J5228" s="86">
        <f>SUMIFS('Wind Proxy'!$H$8:$H$19,'Wind Proxy'!$A$8:$A$19,Estimator!$B$4,'Wind Proxy'!$B$8:$B$19,C5228)</f>
        <v>0</v>
      </c>
    </row>
    <row r="5229" spans="1:10" ht="14.4">
      <c r="A5229" s="84">
        <v>50880</v>
      </c>
      <c r="B5229" s="85">
        <v>2039</v>
      </c>
      <c r="C5229" s="85">
        <v>4</v>
      </c>
      <c r="D5229" s="85" t="s">
        <v>62</v>
      </c>
      <c r="E5229" s="85">
        <v>20</v>
      </c>
      <c r="F5229" s="85">
        <v>3</v>
      </c>
      <c r="G5229" s="85">
        <f>--(F5229&lt;=Estimator!$B$7)</f>
        <v>1</v>
      </c>
      <c r="H5229" s="86">
        <f>SUMIFS('Climate Data'!$G$7:$G$366,'Climate Data'!$A$7:$A$366,Estimator!$B$4,'Climate Data'!$B$7:$B$366,C5229)</f>
        <v>0.25555555555555559</v>
      </c>
      <c r="I5229" s="87">
        <f>SUMIFS('Climate Data'!$H$7:$H$366,'Climate Data'!$A$7:$A$366,Estimator!$B$4,'Climate Data'!$B$7:$B$366,C5229)</f>
        <v>7.5</v>
      </c>
      <c r="J5229" s="86">
        <f>SUMIFS('Wind Proxy'!$H$8:$H$19,'Wind Proxy'!$A$8:$A$19,Estimator!$B$4,'Wind Proxy'!$B$8:$B$19,C5229)</f>
        <v>0</v>
      </c>
    </row>
    <row r="5230" spans="1:10" ht="14.4">
      <c r="A5230" s="84">
        <v>50881</v>
      </c>
      <c r="B5230" s="85">
        <v>2039</v>
      </c>
      <c r="C5230" s="85">
        <v>4</v>
      </c>
      <c r="D5230" s="85" t="s">
        <v>62</v>
      </c>
      <c r="E5230" s="85">
        <v>21</v>
      </c>
      <c r="F5230" s="85">
        <v>4</v>
      </c>
      <c r="G5230" s="85">
        <f>--(F5230&lt;=Estimator!$B$7)</f>
        <v>1</v>
      </c>
      <c r="H5230" s="86">
        <f>SUMIFS('Climate Data'!$G$7:$G$366,'Climate Data'!$A$7:$A$366,Estimator!$B$4,'Climate Data'!$B$7:$B$366,C5230)</f>
        <v>0.25555555555555559</v>
      </c>
      <c r="I5230" s="87">
        <f>SUMIFS('Climate Data'!$H$7:$H$366,'Climate Data'!$A$7:$A$366,Estimator!$B$4,'Climate Data'!$B$7:$B$366,C5230)</f>
        <v>7.5</v>
      </c>
      <c r="J5230" s="86">
        <f>SUMIFS('Wind Proxy'!$H$8:$H$19,'Wind Proxy'!$A$8:$A$19,Estimator!$B$4,'Wind Proxy'!$B$8:$B$19,C5230)</f>
        <v>0</v>
      </c>
    </row>
    <row r="5231" spans="1:10" ht="14.4">
      <c r="A5231" s="84">
        <v>50882</v>
      </c>
      <c r="B5231" s="85">
        <v>2039</v>
      </c>
      <c r="C5231" s="85">
        <v>4</v>
      </c>
      <c r="D5231" s="85" t="s">
        <v>62</v>
      </c>
      <c r="E5231" s="85">
        <v>22</v>
      </c>
      <c r="F5231" s="85">
        <v>5</v>
      </c>
      <c r="G5231" s="85">
        <f>--(F5231&lt;=Estimator!$B$7)</f>
        <v>1</v>
      </c>
      <c r="H5231" s="86">
        <f>SUMIFS('Climate Data'!$G$7:$G$366,'Climate Data'!$A$7:$A$366,Estimator!$B$4,'Climate Data'!$B$7:$B$366,C5231)</f>
        <v>0.25555555555555559</v>
      </c>
      <c r="I5231" s="87">
        <f>SUMIFS('Climate Data'!$H$7:$H$366,'Climate Data'!$A$7:$A$366,Estimator!$B$4,'Climate Data'!$B$7:$B$366,C5231)</f>
        <v>7.5</v>
      </c>
      <c r="J5231" s="86">
        <f>SUMIFS('Wind Proxy'!$H$8:$H$19,'Wind Proxy'!$A$8:$A$19,Estimator!$B$4,'Wind Proxy'!$B$8:$B$19,C5231)</f>
        <v>0</v>
      </c>
    </row>
    <row r="5232" spans="1:10" ht="14.4">
      <c r="A5232" s="84">
        <v>50883</v>
      </c>
      <c r="B5232" s="85">
        <v>2039</v>
      </c>
      <c r="C5232" s="85">
        <v>4</v>
      </c>
      <c r="D5232" s="85" t="s">
        <v>62</v>
      </c>
      <c r="E5232" s="85">
        <v>23</v>
      </c>
      <c r="F5232" s="85">
        <v>6</v>
      </c>
      <c r="G5232" s="85">
        <f>--(F5232&lt;=Estimator!$B$7)</f>
        <v>0</v>
      </c>
      <c r="H5232" s="86">
        <f>SUMIFS('Climate Data'!$G$7:$G$366,'Climate Data'!$A$7:$A$366,Estimator!$B$4,'Climate Data'!$B$7:$B$366,C5232)</f>
        <v>0.25555555555555559</v>
      </c>
      <c r="I5232" s="87">
        <f>SUMIFS('Climate Data'!$H$7:$H$366,'Climate Data'!$A$7:$A$366,Estimator!$B$4,'Climate Data'!$B$7:$B$366,C5232)</f>
        <v>7.5</v>
      </c>
      <c r="J5232" s="86">
        <f>SUMIFS('Wind Proxy'!$H$8:$H$19,'Wind Proxy'!$A$8:$A$19,Estimator!$B$4,'Wind Proxy'!$B$8:$B$19,C5232)</f>
        <v>0</v>
      </c>
    </row>
    <row r="5233" spans="1:10" ht="14.4">
      <c r="A5233" s="84">
        <v>50884</v>
      </c>
      <c r="B5233" s="85">
        <v>2039</v>
      </c>
      <c r="C5233" s="85">
        <v>4</v>
      </c>
      <c r="D5233" s="85" t="s">
        <v>62</v>
      </c>
      <c r="E5233" s="85">
        <v>24</v>
      </c>
      <c r="F5233" s="85">
        <v>7</v>
      </c>
      <c r="G5233" s="85">
        <f>--(F5233&lt;=Estimator!$B$7)</f>
        <v>0</v>
      </c>
      <c r="H5233" s="86">
        <f>SUMIFS('Climate Data'!$G$7:$G$366,'Climate Data'!$A$7:$A$366,Estimator!$B$4,'Climate Data'!$B$7:$B$366,C5233)</f>
        <v>0.25555555555555559</v>
      </c>
      <c r="I5233" s="87">
        <f>SUMIFS('Climate Data'!$H$7:$H$366,'Climate Data'!$A$7:$A$366,Estimator!$B$4,'Climate Data'!$B$7:$B$366,C5233)</f>
        <v>7.5</v>
      </c>
      <c r="J5233" s="86">
        <f>SUMIFS('Wind Proxy'!$H$8:$H$19,'Wind Proxy'!$A$8:$A$19,Estimator!$B$4,'Wind Proxy'!$B$8:$B$19,C5233)</f>
        <v>0</v>
      </c>
    </row>
    <row r="5234" spans="1:10" ht="14.4">
      <c r="A5234" s="84">
        <v>50885</v>
      </c>
      <c r="B5234" s="85">
        <v>2039</v>
      </c>
      <c r="C5234" s="85">
        <v>4</v>
      </c>
      <c r="D5234" s="85" t="s">
        <v>62</v>
      </c>
      <c r="E5234" s="85">
        <v>25</v>
      </c>
      <c r="F5234" s="85">
        <v>1</v>
      </c>
      <c r="G5234" s="85">
        <f>--(F5234&lt;=Estimator!$B$7)</f>
        <v>1</v>
      </c>
      <c r="H5234" s="86">
        <f>SUMIFS('Climate Data'!$G$7:$G$366,'Climate Data'!$A$7:$A$366,Estimator!$B$4,'Climate Data'!$B$7:$B$366,C5234)</f>
        <v>0.25555555555555559</v>
      </c>
      <c r="I5234" s="87">
        <f>SUMIFS('Climate Data'!$H$7:$H$366,'Climate Data'!$A$7:$A$366,Estimator!$B$4,'Climate Data'!$B$7:$B$366,C5234)</f>
        <v>7.5</v>
      </c>
      <c r="J5234" s="86">
        <f>SUMIFS('Wind Proxy'!$H$8:$H$19,'Wind Proxy'!$A$8:$A$19,Estimator!$B$4,'Wind Proxy'!$B$8:$B$19,C5234)</f>
        <v>0</v>
      </c>
    </row>
    <row r="5235" spans="1:10" ht="14.4">
      <c r="A5235" s="84">
        <v>50886</v>
      </c>
      <c r="B5235" s="85">
        <v>2039</v>
      </c>
      <c r="C5235" s="85">
        <v>4</v>
      </c>
      <c r="D5235" s="85" t="s">
        <v>62</v>
      </c>
      <c r="E5235" s="85">
        <v>26</v>
      </c>
      <c r="F5235" s="85">
        <v>2</v>
      </c>
      <c r="G5235" s="85">
        <f>--(F5235&lt;=Estimator!$B$7)</f>
        <v>1</v>
      </c>
      <c r="H5235" s="86">
        <f>SUMIFS('Climate Data'!$G$7:$G$366,'Climate Data'!$A$7:$A$366,Estimator!$B$4,'Climate Data'!$B$7:$B$366,C5235)</f>
        <v>0.25555555555555559</v>
      </c>
      <c r="I5235" s="87">
        <f>SUMIFS('Climate Data'!$H$7:$H$366,'Climate Data'!$A$7:$A$366,Estimator!$B$4,'Climate Data'!$B$7:$B$366,C5235)</f>
        <v>7.5</v>
      </c>
      <c r="J5235" s="86">
        <f>SUMIFS('Wind Proxy'!$H$8:$H$19,'Wind Proxy'!$A$8:$A$19,Estimator!$B$4,'Wind Proxy'!$B$8:$B$19,C5235)</f>
        <v>0</v>
      </c>
    </row>
    <row r="5236" spans="1:10" ht="14.4">
      <c r="A5236" s="84">
        <v>50887</v>
      </c>
      <c r="B5236" s="85">
        <v>2039</v>
      </c>
      <c r="C5236" s="85">
        <v>4</v>
      </c>
      <c r="D5236" s="85" t="s">
        <v>62</v>
      </c>
      <c r="E5236" s="85">
        <v>27</v>
      </c>
      <c r="F5236" s="85">
        <v>3</v>
      </c>
      <c r="G5236" s="85">
        <f>--(F5236&lt;=Estimator!$B$7)</f>
        <v>1</v>
      </c>
      <c r="H5236" s="86">
        <f>SUMIFS('Climate Data'!$G$7:$G$366,'Climate Data'!$A$7:$A$366,Estimator!$B$4,'Climate Data'!$B$7:$B$366,C5236)</f>
        <v>0.25555555555555559</v>
      </c>
      <c r="I5236" s="87">
        <f>SUMIFS('Climate Data'!$H$7:$H$366,'Climate Data'!$A$7:$A$366,Estimator!$B$4,'Climate Data'!$B$7:$B$366,C5236)</f>
        <v>7.5</v>
      </c>
      <c r="J5236" s="86">
        <f>SUMIFS('Wind Proxy'!$H$8:$H$19,'Wind Proxy'!$A$8:$A$19,Estimator!$B$4,'Wind Proxy'!$B$8:$B$19,C5236)</f>
        <v>0</v>
      </c>
    </row>
    <row r="5237" spans="1:10" ht="14.4">
      <c r="A5237" s="84">
        <v>50888</v>
      </c>
      <c r="B5237" s="85">
        <v>2039</v>
      </c>
      <c r="C5237" s="85">
        <v>4</v>
      </c>
      <c r="D5237" s="85" t="s">
        <v>62</v>
      </c>
      <c r="E5237" s="85">
        <v>28</v>
      </c>
      <c r="F5237" s="85">
        <v>4</v>
      </c>
      <c r="G5237" s="85">
        <f>--(F5237&lt;=Estimator!$B$7)</f>
        <v>1</v>
      </c>
      <c r="H5237" s="86">
        <f>SUMIFS('Climate Data'!$G$7:$G$366,'Climate Data'!$A$7:$A$366,Estimator!$B$4,'Climate Data'!$B$7:$B$366,C5237)</f>
        <v>0.25555555555555559</v>
      </c>
      <c r="I5237" s="87">
        <f>SUMIFS('Climate Data'!$H$7:$H$366,'Climate Data'!$A$7:$A$366,Estimator!$B$4,'Climate Data'!$B$7:$B$366,C5237)</f>
        <v>7.5</v>
      </c>
      <c r="J5237" s="86">
        <f>SUMIFS('Wind Proxy'!$H$8:$H$19,'Wind Proxy'!$A$8:$A$19,Estimator!$B$4,'Wind Proxy'!$B$8:$B$19,C5237)</f>
        <v>0</v>
      </c>
    </row>
    <row r="5238" spans="1:10" ht="14.4">
      <c r="A5238" s="84">
        <v>50889</v>
      </c>
      <c r="B5238" s="85">
        <v>2039</v>
      </c>
      <c r="C5238" s="85">
        <v>4</v>
      </c>
      <c r="D5238" s="85" t="s">
        <v>62</v>
      </c>
      <c r="E5238" s="85">
        <v>29</v>
      </c>
      <c r="F5238" s="85">
        <v>5</v>
      </c>
      <c r="G5238" s="85">
        <f>--(F5238&lt;=Estimator!$B$7)</f>
        <v>1</v>
      </c>
      <c r="H5238" s="86">
        <f>SUMIFS('Climate Data'!$G$7:$G$366,'Climate Data'!$A$7:$A$366,Estimator!$B$4,'Climate Data'!$B$7:$B$366,C5238)</f>
        <v>0.25555555555555559</v>
      </c>
      <c r="I5238" s="87">
        <f>SUMIFS('Climate Data'!$H$7:$H$366,'Climate Data'!$A$7:$A$366,Estimator!$B$4,'Climate Data'!$B$7:$B$366,C5238)</f>
        <v>7.5</v>
      </c>
      <c r="J5238" s="86">
        <f>SUMIFS('Wind Proxy'!$H$8:$H$19,'Wind Proxy'!$A$8:$A$19,Estimator!$B$4,'Wind Proxy'!$B$8:$B$19,C5238)</f>
        <v>0</v>
      </c>
    </row>
    <row r="5239" spans="1:10" ht="14.4">
      <c r="A5239" s="84">
        <v>50890</v>
      </c>
      <c r="B5239" s="85">
        <v>2039</v>
      </c>
      <c r="C5239" s="85">
        <v>4</v>
      </c>
      <c r="D5239" s="85" t="s">
        <v>62</v>
      </c>
      <c r="E5239" s="85">
        <v>30</v>
      </c>
      <c r="F5239" s="85">
        <v>6</v>
      </c>
      <c r="G5239" s="85">
        <f>--(F5239&lt;=Estimator!$B$7)</f>
        <v>0</v>
      </c>
      <c r="H5239" s="86">
        <f>SUMIFS('Climate Data'!$G$7:$G$366,'Climate Data'!$A$7:$A$366,Estimator!$B$4,'Climate Data'!$B$7:$B$366,C5239)</f>
        <v>0.25555555555555559</v>
      </c>
      <c r="I5239" s="87">
        <f>SUMIFS('Climate Data'!$H$7:$H$366,'Climate Data'!$A$7:$A$366,Estimator!$B$4,'Climate Data'!$B$7:$B$366,C5239)</f>
        <v>7.5</v>
      </c>
      <c r="J5239" s="86">
        <f>SUMIFS('Wind Proxy'!$H$8:$H$19,'Wind Proxy'!$A$8:$A$19,Estimator!$B$4,'Wind Proxy'!$B$8:$B$19,C5239)</f>
        <v>0</v>
      </c>
    </row>
    <row r="5240" spans="1:10" ht="14.4">
      <c r="A5240" s="84">
        <v>50891</v>
      </c>
      <c r="B5240" s="85">
        <v>2039</v>
      </c>
      <c r="C5240" s="85">
        <v>5</v>
      </c>
      <c r="D5240" s="85" t="s">
        <v>65</v>
      </c>
      <c r="E5240" s="85">
        <v>1</v>
      </c>
      <c r="F5240" s="85">
        <v>7</v>
      </c>
      <c r="G5240" s="85">
        <f>--(F5240&lt;=Estimator!$B$7)</f>
        <v>0</v>
      </c>
      <c r="H5240" s="86">
        <f>SUMIFS('Climate Data'!$G$7:$G$366,'Climate Data'!$A$7:$A$366,Estimator!$B$4,'Climate Data'!$B$7:$B$366,C5240)</f>
        <v>0.23010752688172045</v>
      </c>
      <c r="I5240" s="87">
        <f>SUMIFS('Climate Data'!$H$7:$H$366,'Climate Data'!$A$7:$A$366,Estimator!$B$4,'Climate Data'!$B$7:$B$366,C5240)</f>
        <v>8.1448598130841123</v>
      </c>
      <c r="J5240" s="86">
        <f>SUMIFS('Wind Proxy'!$H$8:$H$19,'Wind Proxy'!$A$8:$A$19,Estimator!$B$4,'Wind Proxy'!$B$8:$B$19,C5240)</f>
        <v>0</v>
      </c>
    </row>
    <row r="5241" spans="1:10" ht="14.4">
      <c r="A5241" s="84">
        <v>50892</v>
      </c>
      <c r="B5241" s="85">
        <v>2039</v>
      </c>
      <c r="C5241" s="85">
        <v>5</v>
      </c>
      <c r="D5241" s="85" t="s">
        <v>65</v>
      </c>
      <c r="E5241" s="85">
        <v>2</v>
      </c>
      <c r="F5241" s="85">
        <v>1</v>
      </c>
      <c r="G5241" s="85">
        <f>--(F5241&lt;=Estimator!$B$7)</f>
        <v>1</v>
      </c>
      <c r="H5241" s="86">
        <f>SUMIFS('Climate Data'!$G$7:$G$366,'Climate Data'!$A$7:$A$366,Estimator!$B$4,'Climate Data'!$B$7:$B$366,C5241)</f>
        <v>0.23010752688172045</v>
      </c>
      <c r="I5241" s="87">
        <f>SUMIFS('Climate Data'!$H$7:$H$366,'Climate Data'!$A$7:$A$366,Estimator!$B$4,'Climate Data'!$B$7:$B$366,C5241)</f>
        <v>8.1448598130841123</v>
      </c>
      <c r="J5241" s="86">
        <f>SUMIFS('Wind Proxy'!$H$8:$H$19,'Wind Proxy'!$A$8:$A$19,Estimator!$B$4,'Wind Proxy'!$B$8:$B$19,C5241)</f>
        <v>0</v>
      </c>
    </row>
    <row r="5242" spans="1:10" ht="14.4">
      <c r="A5242" s="84">
        <v>50893</v>
      </c>
      <c r="B5242" s="85">
        <v>2039</v>
      </c>
      <c r="C5242" s="85">
        <v>5</v>
      </c>
      <c r="D5242" s="85" t="s">
        <v>65</v>
      </c>
      <c r="E5242" s="85">
        <v>3</v>
      </c>
      <c r="F5242" s="85">
        <v>2</v>
      </c>
      <c r="G5242" s="85">
        <f>--(F5242&lt;=Estimator!$B$7)</f>
        <v>1</v>
      </c>
      <c r="H5242" s="86">
        <f>SUMIFS('Climate Data'!$G$7:$G$366,'Climate Data'!$A$7:$A$366,Estimator!$B$4,'Climate Data'!$B$7:$B$366,C5242)</f>
        <v>0.23010752688172045</v>
      </c>
      <c r="I5242" s="87">
        <f>SUMIFS('Climate Data'!$H$7:$H$366,'Climate Data'!$A$7:$A$366,Estimator!$B$4,'Climate Data'!$B$7:$B$366,C5242)</f>
        <v>8.1448598130841123</v>
      </c>
      <c r="J5242" s="86">
        <f>SUMIFS('Wind Proxy'!$H$8:$H$19,'Wind Proxy'!$A$8:$A$19,Estimator!$B$4,'Wind Proxy'!$B$8:$B$19,C5242)</f>
        <v>0</v>
      </c>
    </row>
    <row r="5243" spans="1:10" ht="14.4">
      <c r="A5243" s="84">
        <v>50894</v>
      </c>
      <c r="B5243" s="85">
        <v>2039</v>
      </c>
      <c r="C5243" s="85">
        <v>5</v>
      </c>
      <c r="D5243" s="85" t="s">
        <v>65</v>
      </c>
      <c r="E5243" s="85">
        <v>4</v>
      </c>
      <c r="F5243" s="85">
        <v>3</v>
      </c>
      <c r="G5243" s="85">
        <f>--(F5243&lt;=Estimator!$B$7)</f>
        <v>1</v>
      </c>
      <c r="H5243" s="86">
        <f>SUMIFS('Climate Data'!$G$7:$G$366,'Climate Data'!$A$7:$A$366,Estimator!$B$4,'Climate Data'!$B$7:$B$366,C5243)</f>
        <v>0.23010752688172045</v>
      </c>
      <c r="I5243" s="87">
        <f>SUMIFS('Climate Data'!$H$7:$H$366,'Climate Data'!$A$7:$A$366,Estimator!$B$4,'Climate Data'!$B$7:$B$366,C5243)</f>
        <v>8.1448598130841123</v>
      </c>
      <c r="J5243" s="86">
        <f>SUMIFS('Wind Proxy'!$H$8:$H$19,'Wind Proxy'!$A$8:$A$19,Estimator!$B$4,'Wind Proxy'!$B$8:$B$19,C5243)</f>
        <v>0</v>
      </c>
    </row>
    <row r="5244" spans="1:10" ht="14.4">
      <c r="A5244" s="84">
        <v>50895</v>
      </c>
      <c r="B5244" s="85">
        <v>2039</v>
      </c>
      <c r="C5244" s="85">
        <v>5</v>
      </c>
      <c r="D5244" s="85" t="s">
        <v>65</v>
      </c>
      <c r="E5244" s="85">
        <v>5</v>
      </c>
      <c r="F5244" s="85">
        <v>4</v>
      </c>
      <c r="G5244" s="85">
        <f>--(F5244&lt;=Estimator!$B$7)</f>
        <v>1</v>
      </c>
      <c r="H5244" s="86">
        <f>SUMIFS('Climate Data'!$G$7:$G$366,'Climate Data'!$A$7:$A$366,Estimator!$B$4,'Climate Data'!$B$7:$B$366,C5244)</f>
        <v>0.23010752688172045</v>
      </c>
      <c r="I5244" s="87">
        <f>SUMIFS('Climate Data'!$H$7:$H$366,'Climate Data'!$A$7:$A$366,Estimator!$B$4,'Climate Data'!$B$7:$B$366,C5244)</f>
        <v>8.1448598130841123</v>
      </c>
      <c r="J5244" s="86">
        <f>SUMIFS('Wind Proxy'!$H$8:$H$19,'Wind Proxy'!$A$8:$A$19,Estimator!$B$4,'Wind Proxy'!$B$8:$B$19,C5244)</f>
        <v>0</v>
      </c>
    </row>
    <row r="5245" spans="1:10" ht="14.4">
      <c r="A5245" s="84">
        <v>50896</v>
      </c>
      <c r="B5245" s="85">
        <v>2039</v>
      </c>
      <c r="C5245" s="85">
        <v>5</v>
      </c>
      <c r="D5245" s="85" t="s">
        <v>65</v>
      </c>
      <c r="E5245" s="85">
        <v>6</v>
      </c>
      <c r="F5245" s="85">
        <v>5</v>
      </c>
      <c r="G5245" s="85">
        <f>--(F5245&lt;=Estimator!$B$7)</f>
        <v>1</v>
      </c>
      <c r="H5245" s="86">
        <f>SUMIFS('Climate Data'!$G$7:$G$366,'Climate Data'!$A$7:$A$366,Estimator!$B$4,'Climate Data'!$B$7:$B$366,C5245)</f>
        <v>0.23010752688172045</v>
      </c>
      <c r="I5245" s="87">
        <f>SUMIFS('Climate Data'!$H$7:$H$366,'Climate Data'!$A$7:$A$366,Estimator!$B$4,'Climate Data'!$B$7:$B$366,C5245)</f>
        <v>8.1448598130841123</v>
      </c>
      <c r="J5245" s="86">
        <f>SUMIFS('Wind Proxy'!$H$8:$H$19,'Wind Proxy'!$A$8:$A$19,Estimator!$B$4,'Wind Proxy'!$B$8:$B$19,C5245)</f>
        <v>0</v>
      </c>
    </row>
    <row r="5246" spans="1:10" ht="14.4">
      <c r="A5246" s="84">
        <v>50897</v>
      </c>
      <c r="B5246" s="85">
        <v>2039</v>
      </c>
      <c r="C5246" s="85">
        <v>5</v>
      </c>
      <c r="D5246" s="85" t="s">
        <v>65</v>
      </c>
      <c r="E5246" s="85">
        <v>7</v>
      </c>
      <c r="F5246" s="85">
        <v>6</v>
      </c>
      <c r="G5246" s="85">
        <f>--(F5246&lt;=Estimator!$B$7)</f>
        <v>0</v>
      </c>
      <c r="H5246" s="86">
        <f>SUMIFS('Climate Data'!$G$7:$G$366,'Climate Data'!$A$7:$A$366,Estimator!$B$4,'Climate Data'!$B$7:$B$366,C5246)</f>
        <v>0.23010752688172045</v>
      </c>
      <c r="I5246" s="87">
        <f>SUMIFS('Climate Data'!$H$7:$H$366,'Climate Data'!$A$7:$A$366,Estimator!$B$4,'Climate Data'!$B$7:$B$366,C5246)</f>
        <v>8.1448598130841123</v>
      </c>
      <c r="J5246" s="86">
        <f>SUMIFS('Wind Proxy'!$H$8:$H$19,'Wind Proxy'!$A$8:$A$19,Estimator!$B$4,'Wind Proxy'!$B$8:$B$19,C5246)</f>
        <v>0</v>
      </c>
    </row>
    <row r="5247" spans="1:10" ht="14.4">
      <c r="A5247" s="84">
        <v>50898</v>
      </c>
      <c r="B5247" s="85">
        <v>2039</v>
      </c>
      <c r="C5247" s="85">
        <v>5</v>
      </c>
      <c r="D5247" s="85" t="s">
        <v>65</v>
      </c>
      <c r="E5247" s="85">
        <v>8</v>
      </c>
      <c r="F5247" s="85">
        <v>7</v>
      </c>
      <c r="G5247" s="85">
        <f>--(F5247&lt;=Estimator!$B$7)</f>
        <v>0</v>
      </c>
      <c r="H5247" s="86">
        <f>SUMIFS('Climate Data'!$G$7:$G$366,'Climate Data'!$A$7:$A$366,Estimator!$B$4,'Climate Data'!$B$7:$B$366,C5247)</f>
        <v>0.23010752688172045</v>
      </c>
      <c r="I5247" s="87">
        <f>SUMIFS('Climate Data'!$H$7:$H$366,'Climate Data'!$A$7:$A$366,Estimator!$B$4,'Climate Data'!$B$7:$B$366,C5247)</f>
        <v>8.1448598130841123</v>
      </c>
      <c r="J5247" s="86">
        <f>SUMIFS('Wind Proxy'!$H$8:$H$19,'Wind Proxy'!$A$8:$A$19,Estimator!$B$4,'Wind Proxy'!$B$8:$B$19,C5247)</f>
        <v>0</v>
      </c>
    </row>
    <row r="5248" spans="1:10" ht="14.4">
      <c r="A5248" s="84">
        <v>50899</v>
      </c>
      <c r="B5248" s="85">
        <v>2039</v>
      </c>
      <c r="C5248" s="85">
        <v>5</v>
      </c>
      <c r="D5248" s="85" t="s">
        <v>65</v>
      </c>
      <c r="E5248" s="85">
        <v>9</v>
      </c>
      <c r="F5248" s="85">
        <v>1</v>
      </c>
      <c r="G5248" s="85">
        <f>--(F5248&lt;=Estimator!$B$7)</f>
        <v>1</v>
      </c>
      <c r="H5248" s="86">
        <f>SUMIFS('Climate Data'!$G$7:$G$366,'Climate Data'!$A$7:$A$366,Estimator!$B$4,'Climate Data'!$B$7:$B$366,C5248)</f>
        <v>0.23010752688172045</v>
      </c>
      <c r="I5248" s="87">
        <f>SUMIFS('Climate Data'!$H$7:$H$366,'Climate Data'!$A$7:$A$366,Estimator!$B$4,'Climate Data'!$B$7:$B$366,C5248)</f>
        <v>8.1448598130841123</v>
      </c>
      <c r="J5248" s="86">
        <f>SUMIFS('Wind Proxy'!$H$8:$H$19,'Wind Proxy'!$A$8:$A$19,Estimator!$B$4,'Wind Proxy'!$B$8:$B$19,C5248)</f>
        <v>0</v>
      </c>
    </row>
    <row r="5249" spans="1:10" ht="14.4">
      <c r="A5249" s="84">
        <v>50900</v>
      </c>
      <c r="B5249" s="85">
        <v>2039</v>
      </c>
      <c r="C5249" s="85">
        <v>5</v>
      </c>
      <c r="D5249" s="85" t="s">
        <v>65</v>
      </c>
      <c r="E5249" s="85">
        <v>10</v>
      </c>
      <c r="F5249" s="85">
        <v>2</v>
      </c>
      <c r="G5249" s="85">
        <f>--(F5249&lt;=Estimator!$B$7)</f>
        <v>1</v>
      </c>
      <c r="H5249" s="86">
        <f>SUMIFS('Climate Data'!$G$7:$G$366,'Climate Data'!$A$7:$A$366,Estimator!$B$4,'Climate Data'!$B$7:$B$366,C5249)</f>
        <v>0.23010752688172045</v>
      </c>
      <c r="I5249" s="87">
        <f>SUMIFS('Climate Data'!$H$7:$H$366,'Climate Data'!$A$7:$A$366,Estimator!$B$4,'Climate Data'!$B$7:$B$366,C5249)</f>
        <v>8.1448598130841123</v>
      </c>
      <c r="J5249" s="86">
        <f>SUMIFS('Wind Proxy'!$H$8:$H$19,'Wind Proxy'!$A$8:$A$19,Estimator!$B$4,'Wind Proxy'!$B$8:$B$19,C5249)</f>
        <v>0</v>
      </c>
    </row>
    <row r="5250" spans="1:10" ht="14.4">
      <c r="A5250" s="84">
        <v>50901</v>
      </c>
      <c r="B5250" s="85">
        <v>2039</v>
      </c>
      <c r="C5250" s="85">
        <v>5</v>
      </c>
      <c r="D5250" s="85" t="s">
        <v>65</v>
      </c>
      <c r="E5250" s="85">
        <v>11</v>
      </c>
      <c r="F5250" s="85">
        <v>3</v>
      </c>
      <c r="G5250" s="85">
        <f>--(F5250&lt;=Estimator!$B$7)</f>
        <v>1</v>
      </c>
      <c r="H5250" s="86">
        <f>SUMIFS('Climate Data'!$G$7:$G$366,'Climate Data'!$A$7:$A$366,Estimator!$B$4,'Climate Data'!$B$7:$B$366,C5250)</f>
        <v>0.23010752688172045</v>
      </c>
      <c r="I5250" s="87">
        <f>SUMIFS('Climate Data'!$H$7:$H$366,'Climate Data'!$A$7:$A$366,Estimator!$B$4,'Climate Data'!$B$7:$B$366,C5250)</f>
        <v>8.1448598130841123</v>
      </c>
      <c r="J5250" s="86">
        <f>SUMIFS('Wind Proxy'!$H$8:$H$19,'Wind Proxy'!$A$8:$A$19,Estimator!$B$4,'Wind Proxy'!$B$8:$B$19,C5250)</f>
        <v>0</v>
      </c>
    </row>
    <row r="5251" spans="1:10" ht="14.4">
      <c r="A5251" s="84">
        <v>50902</v>
      </c>
      <c r="B5251" s="85">
        <v>2039</v>
      </c>
      <c r="C5251" s="85">
        <v>5</v>
      </c>
      <c r="D5251" s="85" t="s">
        <v>65</v>
      </c>
      <c r="E5251" s="85">
        <v>12</v>
      </c>
      <c r="F5251" s="85">
        <v>4</v>
      </c>
      <c r="G5251" s="85">
        <f>--(F5251&lt;=Estimator!$B$7)</f>
        <v>1</v>
      </c>
      <c r="H5251" s="86">
        <f>SUMIFS('Climate Data'!$G$7:$G$366,'Climate Data'!$A$7:$A$366,Estimator!$B$4,'Climate Data'!$B$7:$B$366,C5251)</f>
        <v>0.23010752688172045</v>
      </c>
      <c r="I5251" s="87">
        <f>SUMIFS('Climate Data'!$H$7:$H$366,'Climate Data'!$A$7:$A$366,Estimator!$B$4,'Climate Data'!$B$7:$B$366,C5251)</f>
        <v>8.1448598130841123</v>
      </c>
      <c r="J5251" s="86">
        <f>SUMIFS('Wind Proxy'!$H$8:$H$19,'Wind Proxy'!$A$8:$A$19,Estimator!$B$4,'Wind Proxy'!$B$8:$B$19,C5251)</f>
        <v>0</v>
      </c>
    </row>
    <row r="5252" spans="1:10" ht="14.4">
      <c r="A5252" s="84">
        <v>50903</v>
      </c>
      <c r="B5252" s="85">
        <v>2039</v>
      </c>
      <c r="C5252" s="85">
        <v>5</v>
      </c>
      <c r="D5252" s="85" t="s">
        <v>65</v>
      </c>
      <c r="E5252" s="85">
        <v>13</v>
      </c>
      <c r="F5252" s="85">
        <v>5</v>
      </c>
      <c r="G5252" s="85">
        <f>--(F5252&lt;=Estimator!$B$7)</f>
        <v>1</v>
      </c>
      <c r="H5252" s="86">
        <f>SUMIFS('Climate Data'!$G$7:$G$366,'Climate Data'!$A$7:$A$366,Estimator!$B$4,'Climate Data'!$B$7:$B$366,C5252)</f>
        <v>0.23010752688172045</v>
      </c>
      <c r="I5252" s="87">
        <f>SUMIFS('Climate Data'!$H$7:$H$366,'Climate Data'!$A$7:$A$366,Estimator!$B$4,'Climate Data'!$B$7:$B$366,C5252)</f>
        <v>8.1448598130841123</v>
      </c>
      <c r="J5252" s="86">
        <f>SUMIFS('Wind Proxy'!$H$8:$H$19,'Wind Proxy'!$A$8:$A$19,Estimator!$B$4,'Wind Proxy'!$B$8:$B$19,C5252)</f>
        <v>0</v>
      </c>
    </row>
    <row r="5253" spans="1:10" ht="14.4">
      <c r="A5253" s="84">
        <v>50904</v>
      </c>
      <c r="B5253" s="85">
        <v>2039</v>
      </c>
      <c r="C5253" s="85">
        <v>5</v>
      </c>
      <c r="D5253" s="85" t="s">
        <v>65</v>
      </c>
      <c r="E5253" s="85">
        <v>14</v>
      </c>
      <c r="F5253" s="85">
        <v>6</v>
      </c>
      <c r="G5253" s="85">
        <f>--(F5253&lt;=Estimator!$B$7)</f>
        <v>0</v>
      </c>
      <c r="H5253" s="86">
        <f>SUMIFS('Climate Data'!$G$7:$G$366,'Climate Data'!$A$7:$A$366,Estimator!$B$4,'Climate Data'!$B$7:$B$366,C5253)</f>
        <v>0.23010752688172045</v>
      </c>
      <c r="I5253" s="87">
        <f>SUMIFS('Climate Data'!$H$7:$H$366,'Climate Data'!$A$7:$A$366,Estimator!$B$4,'Climate Data'!$B$7:$B$366,C5253)</f>
        <v>8.1448598130841123</v>
      </c>
      <c r="J5253" s="86">
        <f>SUMIFS('Wind Proxy'!$H$8:$H$19,'Wind Proxy'!$A$8:$A$19,Estimator!$B$4,'Wind Proxy'!$B$8:$B$19,C5253)</f>
        <v>0</v>
      </c>
    </row>
    <row r="5254" spans="1:10" ht="14.4">
      <c r="A5254" s="84">
        <v>50905</v>
      </c>
      <c r="B5254" s="85">
        <v>2039</v>
      </c>
      <c r="C5254" s="85">
        <v>5</v>
      </c>
      <c r="D5254" s="85" t="s">
        <v>65</v>
      </c>
      <c r="E5254" s="85">
        <v>15</v>
      </c>
      <c r="F5254" s="85">
        <v>7</v>
      </c>
      <c r="G5254" s="85">
        <f>--(F5254&lt;=Estimator!$B$7)</f>
        <v>0</v>
      </c>
      <c r="H5254" s="86">
        <f>SUMIFS('Climate Data'!$G$7:$G$366,'Climate Data'!$A$7:$A$366,Estimator!$B$4,'Climate Data'!$B$7:$B$366,C5254)</f>
        <v>0.23010752688172045</v>
      </c>
      <c r="I5254" s="87">
        <f>SUMIFS('Climate Data'!$H$7:$H$366,'Climate Data'!$A$7:$A$366,Estimator!$B$4,'Climate Data'!$B$7:$B$366,C5254)</f>
        <v>8.1448598130841123</v>
      </c>
      <c r="J5254" s="86">
        <f>SUMIFS('Wind Proxy'!$H$8:$H$19,'Wind Proxy'!$A$8:$A$19,Estimator!$B$4,'Wind Proxy'!$B$8:$B$19,C5254)</f>
        <v>0</v>
      </c>
    </row>
    <row r="5255" spans="1:10" ht="14.4">
      <c r="A5255" s="84">
        <v>50906</v>
      </c>
      <c r="B5255" s="85">
        <v>2039</v>
      </c>
      <c r="C5255" s="85">
        <v>5</v>
      </c>
      <c r="D5255" s="85" t="s">
        <v>65</v>
      </c>
      <c r="E5255" s="85">
        <v>16</v>
      </c>
      <c r="F5255" s="85">
        <v>1</v>
      </c>
      <c r="G5255" s="85">
        <f>--(F5255&lt;=Estimator!$B$7)</f>
        <v>1</v>
      </c>
      <c r="H5255" s="86">
        <f>SUMIFS('Climate Data'!$G$7:$G$366,'Climate Data'!$A$7:$A$366,Estimator!$B$4,'Climate Data'!$B$7:$B$366,C5255)</f>
        <v>0.23010752688172045</v>
      </c>
      <c r="I5255" s="87">
        <f>SUMIFS('Climate Data'!$H$7:$H$366,'Climate Data'!$A$7:$A$366,Estimator!$B$4,'Climate Data'!$B$7:$B$366,C5255)</f>
        <v>8.1448598130841123</v>
      </c>
      <c r="J5255" s="86">
        <f>SUMIFS('Wind Proxy'!$H$8:$H$19,'Wind Proxy'!$A$8:$A$19,Estimator!$B$4,'Wind Proxy'!$B$8:$B$19,C5255)</f>
        <v>0</v>
      </c>
    </row>
    <row r="5256" spans="1:10" ht="14.4">
      <c r="A5256" s="84">
        <v>50907</v>
      </c>
      <c r="B5256" s="85">
        <v>2039</v>
      </c>
      <c r="C5256" s="85">
        <v>5</v>
      </c>
      <c r="D5256" s="85" t="s">
        <v>65</v>
      </c>
      <c r="E5256" s="85">
        <v>17</v>
      </c>
      <c r="F5256" s="85">
        <v>2</v>
      </c>
      <c r="G5256" s="85">
        <f>--(F5256&lt;=Estimator!$B$7)</f>
        <v>1</v>
      </c>
      <c r="H5256" s="86">
        <f>SUMIFS('Climate Data'!$G$7:$G$366,'Climate Data'!$A$7:$A$366,Estimator!$B$4,'Climate Data'!$B$7:$B$366,C5256)</f>
        <v>0.23010752688172045</v>
      </c>
      <c r="I5256" s="87">
        <f>SUMIFS('Climate Data'!$H$7:$H$366,'Climate Data'!$A$7:$A$366,Estimator!$B$4,'Climate Data'!$B$7:$B$366,C5256)</f>
        <v>8.1448598130841123</v>
      </c>
      <c r="J5256" s="86">
        <f>SUMIFS('Wind Proxy'!$H$8:$H$19,'Wind Proxy'!$A$8:$A$19,Estimator!$B$4,'Wind Proxy'!$B$8:$B$19,C5256)</f>
        <v>0</v>
      </c>
    </row>
    <row r="5257" spans="1:10" ht="14.4">
      <c r="A5257" s="84">
        <v>50908</v>
      </c>
      <c r="B5257" s="85">
        <v>2039</v>
      </c>
      <c r="C5257" s="85">
        <v>5</v>
      </c>
      <c r="D5257" s="85" t="s">
        <v>65</v>
      </c>
      <c r="E5257" s="85">
        <v>18</v>
      </c>
      <c r="F5257" s="85">
        <v>3</v>
      </c>
      <c r="G5257" s="85">
        <f>--(F5257&lt;=Estimator!$B$7)</f>
        <v>1</v>
      </c>
      <c r="H5257" s="86">
        <f>SUMIFS('Climate Data'!$G$7:$G$366,'Climate Data'!$A$7:$A$366,Estimator!$B$4,'Climate Data'!$B$7:$B$366,C5257)</f>
        <v>0.23010752688172045</v>
      </c>
      <c r="I5257" s="87">
        <f>SUMIFS('Climate Data'!$H$7:$H$366,'Climate Data'!$A$7:$A$366,Estimator!$B$4,'Climate Data'!$B$7:$B$366,C5257)</f>
        <v>8.1448598130841123</v>
      </c>
      <c r="J5257" s="86">
        <f>SUMIFS('Wind Proxy'!$H$8:$H$19,'Wind Proxy'!$A$8:$A$19,Estimator!$B$4,'Wind Proxy'!$B$8:$B$19,C5257)</f>
        <v>0</v>
      </c>
    </row>
    <row r="5258" spans="1:10" ht="14.4">
      <c r="A5258" s="84">
        <v>50909</v>
      </c>
      <c r="B5258" s="85">
        <v>2039</v>
      </c>
      <c r="C5258" s="85">
        <v>5</v>
      </c>
      <c r="D5258" s="85" t="s">
        <v>65</v>
      </c>
      <c r="E5258" s="85">
        <v>19</v>
      </c>
      <c r="F5258" s="85">
        <v>4</v>
      </c>
      <c r="G5258" s="85">
        <f>--(F5258&lt;=Estimator!$B$7)</f>
        <v>1</v>
      </c>
      <c r="H5258" s="86">
        <f>SUMIFS('Climate Data'!$G$7:$G$366,'Climate Data'!$A$7:$A$366,Estimator!$B$4,'Climate Data'!$B$7:$B$366,C5258)</f>
        <v>0.23010752688172045</v>
      </c>
      <c r="I5258" s="87">
        <f>SUMIFS('Climate Data'!$H$7:$H$366,'Climate Data'!$A$7:$A$366,Estimator!$B$4,'Climate Data'!$B$7:$B$366,C5258)</f>
        <v>8.1448598130841123</v>
      </c>
      <c r="J5258" s="86">
        <f>SUMIFS('Wind Proxy'!$H$8:$H$19,'Wind Proxy'!$A$8:$A$19,Estimator!$B$4,'Wind Proxy'!$B$8:$B$19,C5258)</f>
        <v>0</v>
      </c>
    </row>
    <row r="5259" spans="1:10" ht="14.4">
      <c r="A5259" s="84">
        <v>50910</v>
      </c>
      <c r="B5259" s="85">
        <v>2039</v>
      </c>
      <c r="C5259" s="85">
        <v>5</v>
      </c>
      <c r="D5259" s="85" t="s">
        <v>65</v>
      </c>
      <c r="E5259" s="85">
        <v>20</v>
      </c>
      <c r="F5259" s="85">
        <v>5</v>
      </c>
      <c r="G5259" s="85">
        <f>--(F5259&lt;=Estimator!$B$7)</f>
        <v>1</v>
      </c>
      <c r="H5259" s="86">
        <f>SUMIFS('Climate Data'!$G$7:$G$366,'Climate Data'!$A$7:$A$366,Estimator!$B$4,'Climate Data'!$B$7:$B$366,C5259)</f>
        <v>0.23010752688172045</v>
      </c>
      <c r="I5259" s="87">
        <f>SUMIFS('Climate Data'!$H$7:$H$366,'Climate Data'!$A$7:$A$366,Estimator!$B$4,'Climate Data'!$B$7:$B$366,C5259)</f>
        <v>8.1448598130841123</v>
      </c>
      <c r="J5259" s="86">
        <f>SUMIFS('Wind Proxy'!$H$8:$H$19,'Wind Proxy'!$A$8:$A$19,Estimator!$B$4,'Wind Proxy'!$B$8:$B$19,C5259)</f>
        <v>0</v>
      </c>
    </row>
    <row r="5260" spans="1:10" ht="14.4">
      <c r="A5260" s="84">
        <v>50911</v>
      </c>
      <c r="B5260" s="85">
        <v>2039</v>
      </c>
      <c r="C5260" s="85">
        <v>5</v>
      </c>
      <c r="D5260" s="85" t="s">
        <v>65</v>
      </c>
      <c r="E5260" s="85">
        <v>21</v>
      </c>
      <c r="F5260" s="85">
        <v>6</v>
      </c>
      <c r="G5260" s="85">
        <f>--(F5260&lt;=Estimator!$B$7)</f>
        <v>0</v>
      </c>
      <c r="H5260" s="86">
        <f>SUMIFS('Climate Data'!$G$7:$G$366,'Climate Data'!$A$7:$A$366,Estimator!$B$4,'Climate Data'!$B$7:$B$366,C5260)</f>
        <v>0.23010752688172045</v>
      </c>
      <c r="I5260" s="87">
        <f>SUMIFS('Climate Data'!$H$7:$H$366,'Climate Data'!$A$7:$A$366,Estimator!$B$4,'Climate Data'!$B$7:$B$366,C5260)</f>
        <v>8.1448598130841123</v>
      </c>
      <c r="J5260" s="86">
        <f>SUMIFS('Wind Proxy'!$H$8:$H$19,'Wind Proxy'!$A$8:$A$19,Estimator!$B$4,'Wind Proxy'!$B$8:$B$19,C5260)</f>
        <v>0</v>
      </c>
    </row>
    <row r="5261" spans="1:10" ht="14.4">
      <c r="A5261" s="84">
        <v>50912</v>
      </c>
      <c r="B5261" s="85">
        <v>2039</v>
      </c>
      <c r="C5261" s="85">
        <v>5</v>
      </c>
      <c r="D5261" s="85" t="s">
        <v>65</v>
      </c>
      <c r="E5261" s="85">
        <v>22</v>
      </c>
      <c r="F5261" s="85">
        <v>7</v>
      </c>
      <c r="G5261" s="85">
        <f>--(F5261&lt;=Estimator!$B$7)</f>
        <v>0</v>
      </c>
      <c r="H5261" s="86">
        <f>SUMIFS('Climate Data'!$G$7:$G$366,'Climate Data'!$A$7:$A$366,Estimator!$B$4,'Climate Data'!$B$7:$B$366,C5261)</f>
        <v>0.23010752688172045</v>
      </c>
      <c r="I5261" s="87">
        <f>SUMIFS('Climate Data'!$H$7:$H$366,'Climate Data'!$A$7:$A$366,Estimator!$B$4,'Climate Data'!$B$7:$B$366,C5261)</f>
        <v>8.1448598130841123</v>
      </c>
      <c r="J5261" s="86">
        <f>SUMIFS('Wind Proxy'!$H$8:$H$19,'Wind Proxy'!$A$8:$A$19,Estimator!$B$4,'Wind Proxy'!$B$8:$B$19,C5261)</f>
        <v>0</v>
      </c>
    </row>
    <row r="5262" spans="1:10" ht="14.4">
      <c r="A5262" s="84">
        <v>50913</v>
      </c>
      <c r="B5262" s="85">
        <v>2039</v>
      </c>
      <c r="C5262" s="85">
        <v>5</v>
      </c>
      <c r="D5262" s="85" t="s">
        <v>65</v>
      </c>
      <c r="E5262" s="85">
        <v>23</v>
      </c>
      <c r="F5262" s="85">
        <v>1</v>
      </c>
      <c r="G5262" s="85">
        <f>--(F5262&lt;=Estimator!$B$7)</f>
        <v>1</v>
      </c>
      <c r="H5262" s="86">
        <f>SUMIFS('Climate Data'!$G$7:$G$366,'Climate Data'!$A$7:$A$366,Estimator!$B$4,'Climate Data'!$B$7:$B$366,C5262)</f>
        <v>0.23010752688172045</v>
      </c>
      <c r="I5262" s="87">
        <f>SUMIFS('Climate Data'!$H$7:$H$366,'Climate Data'!$A$7:$A$366,Estimator!$B$4,'Climate Data'!$B$7:$B$366,C5262)</f>
        <v>8.1448598130841123</v>
      </c>
      <c r="J5262" s="86">
        <f>SUMIFS('Wind Proxy'!$H$8:$H$19,'Wind Proxy'!$A$8:$A$19,Estimator!$B$4,'Wind Proxy'!$B$8:$B$19,C5262)</f>
        <v>0</v>
      </c>
    </row>
    <row r="5263" spans="1:10" ht="14.4">
      <c r="A5263" s="84">
        <v>50914</v>
      </c>
      <c r="B5263" s="85">
        <v>2039</v>
      </c>
      <c r="C5263" s="85">
        <v>5</v>
      </c>
      <c r="D5263" s="85" t="s">
        <v>65</v>
      </c>
      <c r="E5263" s="85">
        <v>24</v>
      </c>
      <c r="F5263" s="85">
        <v>2</v>
      </c>
      <c r="G5263" s="85">
        <f>--(F5263&lt;=Estimator!$B$7)</f>
        <v>1</v>
      </c>
      <c r="H5263" s="86">
        <f>SUMIFS('Climate Data'!$G$7:$G$366,'Climate Data'!$A$7:$A$366,Estimator!$B$4,'Climate Data'!$B$7:$B$366,C5263)</f>
        <v>0.23010752688172045</v>
      </c>
      <c r="I5263" s="87">
        <f>SUMIFS('Climate Data'!$H$7:$H$366,'Climate Data'!$A$7:$A$366,Estimator!$B$4,'Climate Data'!$B$7:$B$366,C5263)</f>
        <v>8.1448598130841123</v>
      </c>
      <c r="J5263" s="86">
        <f>SUMIFS('Wind Proxy'!$H$8:$H$19,'Wind Proxy'!$A$8:$A$19,Estimator!$B$4,'Wind Proxy'!$B$8:$B$19,C5263)</f>
        <v>0</v>
      </c>
    </row>
    <row r="5264" spans="1:10" ht="14.4">
      <c r="A5264" s="84">
        <v>50915</v>
      </c>
      <c r="B5264" s="85">
        <v>2039</v>
      </c>
      <c r="C5264" s="85">
        <v>5</v>
      </c>
      <c r="D5264" s="85" t="s">
        <v>65</v>
      </c>
      <c r="E5264" s="85">
        <v>25</v>
      </c>
      <c r="F5264" s="85">
        <v>3</v>
      </c>
      <c r="G5264" s="85">
        <f>--(F5264&lt;=Estimator!$B$7)</f>
        <v>1</v>
      </c>
      <c r="H5264" s="86">
        <f>SUMIFS('Climate Data'!$G$7:$G$366,'Climate Data'!$A$7:$A$366,Estimator!$B$4,'Climate Data'!$B$7:$B$366,C5264)</f>
        <v>0.23010752688172045</v>
      </c>
      <c r="I5264" s="87">
        <f>SUMIFS('Climate Data'!$H$7:$H$366,'Climate Data'!$A$7:$A$366,Estimator!$B$4,'Climate Data'!$B$7:$B$366,C5264)</f>
        <v>8.1448598130841123</v>
      </c>
      <c r="J5264" s="86">
        <f>SUMIFS('Wind Proxy'!$H$8:$H$19,'Wind Proxy'!$A$8:$A$19,Estimator!$B$4,'Wind Proxy'!$B$8:$B$19,C5264)</f>
        <v>0</v>
      </c>
    </row>
    <row r="5265" spans="1:10" ht="14.4">
      <c r="A5265" s="84">
        <v>50916</v>
      </c>
      <c r="B5265" s="85">
        <v>2039</v>
      </c>
      <c r="C5265" s="85">
        <v>5</v>
      </c>
      <c r="D5265" s="85" t="s">
        <v>65</v>
      </c>
      <c r="E5265" s="85">
        <v>26</v>
      </c>
      <c r="F5265" s="85">
        <v>4</v>
      </c>
      <c r="G5265" s="85">
        <f>--(F5265&lt;=Estimator!$B$7)</f>
        <v>1</v>
      </c>
      <c r="H5265" s="86">
        <f>SUMIFS('Climate Data'!$G$7:$G$366,'Climate Data'!$A$7:$A$366,Estimator!$B$4,'Climate Data'!$B$7:$B$366,C5265)</f>
        <v>0.23010752688172045</v>
      </c>
      <c r="I5265" s="87">
        <f>SUMIFS('Climate Data'!$H$7:$H$366,'Climate Data'!$A$7:$A$366,Estimator!$B$4,'Climate Data'!$B$7:$B$366,C5265)</f>
        <v>8.1448598130841123</v>
      </c>
      <c r="J5265" s="86">
        <f>SUMIFS('Wind Proxy'!$H$8:$H$19,'Wind Proxy'!$A$8:$A$19,Estimator!$B$4,'Wind Proxy'!$B$8:$B$19,C5265)</f>
        <v>0</v>
      </c>
    </row>
    <row r="5266" spans="1:10" ht="14.4">
      <c r="A5266" s="84">
        <v>50917</v>
      </c>
      <c r="B5266" s="85">
        <v>2039</v>
      </c>
      <c r="C5266" s="85">
        <v>5</v>
      </c>
      <c r="D5266" s="85" t="s">
        <v>65</v>
      </c>
      <c r="E5266" s="85">
        <v>27</v>
      </c>
      <c r="F5266" s="85">
        <v>5</v>
      </c>
      <c r="G5266" s="85">
        <f>--(F5266&lt;=Estimator!$B$7)</f>
        <v>1</v>
      </c>
      <c r="H5266" s="86">
        <f>SUMIFS('Climate Data'!$G$7:$G$366,'Climate Data'!$A$7:$A$366,Estimator!$B$4,'Climate Data'!$B$7:$B$366,C5266)</f>
        <v>0.23010752688172045</v>
      </c>
      <c r="I5266" s="87">
        <f>SUMIFS('Climate Data'!$H$7:$H$366,'Climate Data'!$A$7:$A$366,Estimator!$B$4,'Climate Data'!$B$7:$B$366,C5266)</f>
        <v>8.1448598130841123</v>
      </c>
      <c r="J5266" s="86">
        <f>SUMIFS('Wind Proxy'!$H$8:$H$19,'Wind Proxy'!$A$8:$A$19,Estimator!$B$4,'Wind Proxy'!$B$8:$B$19,C5266)</f>
        <v>0</v>
      </c>
    </row>
    <row r="5267" spans="1:10" ht="14.4">
      <c r="A5267" s="84">
        <v>50918</v>
      </c>
      <c r="B5267" s="85">
        <v>2039</v>
      </c>
      <c r="C5267" s="85">
        <v>5</v>
      </c>
      <c r="D5267" s="85" t="s">
        <v>65</v>
      </c>
      <c r="E5267" s="85">
        <v>28</v>
      </c>
      <c r="F5267" s="85">
        <v>6</v>
      </c>
      <c r="G5267" s="85">
        <f>--(F5267&lt;=Estimator!$B$7)</f>
        <v>0</v>
      </c>
      <c r="H5267" s="86">
        <f>SUMIFS('Climate Data'!$G$7:$G$366,'Climate Data'!$A$7:$A$366,Estimator!$B$4,'Climate Data'!$B$7:$B$366,C5267)</f>
        <v>0.23010752688172045</v>
      </c>
      <c r="I5267" s="87">
        <f>SUMIFS('Climate Data'!$H$7:$H$366,'Climate Data'!$A$7:$A$366,Estimator!$B$4,'Climate Data'!$B$7:$B$366,C5267)</f>
        <v>8.1448598130841123</v>
      </c>
      <c r="J5267" s="86">
        <f>SUMIFS('Wind Proxy'!$H$8:$H$19,'Wind Proxy'!$A$8:$A$19,Estimator!$B$4,'Wind Proxy'!$B$8:$B$19,C5267)</f>
        <v>0</v>
      </c>
    </row>
    <row r="5268" spans="1:10" ht="14.4">
      <c r="A5268" s="84">
        <v>50919</v>
      </c>
      <c r="B5268" s="85">
        <v>2039</v>
      </c>
      <c r="C5268" s="85">
        <v>5</v>
      </c>
      <c r="D5268" s="85" t="s">
        <v>65</v>
      </c>
      <c r="E5268" s="85">
        <v>29</v>
      </c>
      <c r="F5268" s="85">
        <v>7</v>
      </c>
      <c r="G5268" s="85">
        <f>--(F5268&lt;=Estimator!$B$7)</f>
        <v>0</v>
      </c>
      <c r="H5268" s="86">
        <f>SUMIFS('Climate Data'!$G$7:$G$366,'Climate Data'!$A$7:$A$366,Estimator!$B$4,'Climate Data'!$B$7:$B$366,C5268)</f>
        <v>0.23010752688172045</v>
      </c>
      <c r="I5268" s="87">
        <f>SUMIFS('Climate Data'!$H$7:$H$366,'Climate Data'!$A$7:$A$366,Estimator!$B$4,'Climate Data'!$B$7:$B$366,C5268)</f>
        <v>8.1448598130841123</v>
      </c>
      <c r="J5268" s="86">
        <f>SUMIFS('Wind Proxy'!$H$8:$H$19,'Wind Proxy'!$A$8:$A$19,Estimator!$B$4,'Wind Proxy'!$B$8:$B$19,C5268)</f>
        <v>0</v>
      </c>
    </row>
    <row r="5269" spans="1:10" ht="14.4">
      <c r="A5269" s="84">
        <v>50920</v>
      </c>
      <c r="B5269" s="85">
        <v>2039</v>
      </c>
      <c r="C5269" s="85">
        <v>5</v>
      </c>
      <c r="D5269" s="85" t="s">
        <v>65</v>
      </c>
      <c r="E5269" s="85">
        <v>30</v>
      </c>
      <c r="F5269" s="85">
        <v>1</v>
      </c>
      <c r="G5269" s="85">
        <f>--(F5269&lt;=Estimator!$B$7)</f>
        <v>1</v>
      </c>
      <c r="H5269" s="86">
        <f>SUMIFS('Climate Data'!$G$7:$G$366,'Climate Data'!$A$7:$A$366,Estimator!$B$4,'Climate Data'!$B$7:$B$366,C5269)</f>
        <v>0.23010752688172045</v>
      </c>
      <c r="I5269" s="87">
        <f>SUMIFS('Climate Data'!$H$7:$H$366,'Climate Data'!$A$7:$A$366,Estimator!$B$4,'Climate Data'!$B$7:$B$366,C5269)</f>
        <v>8.1448598130841123</v>
      </c>
      <c r="J5269" s="86">
        <f>SUMIFS('Wind Proxy'!$H$8:$H$19,'Wind Proxy'!$A$8:$A$19,Estimator!$B$4,'Wind Proxy'!$B$8:$B$19,C5269)</f>
        <v>0</v>
      </c>
    </row>
    <row r="5270" spans="1:10" ht="14.4">
      <c r="A5270" s="84">
        <v>50921</v>
      </c>
      <c r="B5270" s="85">
        <v>2039</v>
      </c>
      <c r="C5270" s="85">
        <v>5</v>
      </c>
      <c r="D5270" s="85" t="s">
        <v>65</v>
      </c>
      <c r="E5270" s="85">
        <v>31</v>
      </c>
      <c r="F5270" s="85">
        <v>2</v>
      </c>
      <c r="G5270" s="85">
        <f>--(F5270&lt;=Estimator!$B$7)</f>
        <v>1</v>
      </c>
      <c r="H5270" s="86">
        <f>SUMIFS('Climate Data'!$G$7:$G$366,'Climate Data'!$A$7:$A$366,Estimator!$B$4,'Climate Data'!$B$7:$B$366,C5270)</f>
        <v>0.23010752688172045</v>
      </c>
      <c r="I5270" s="87">
        <f>SUMIFS('Climate Data'!$H$7:$H$366,'Climate Data'!$A$7:$A$366,Estimator!$B$4,'Climate Data'!$B$7:$B$366,C5270)</f>
        <v>8.1448598130841123</v>
      </c>
      <c r="J5270" s="86">
        <f>SUMIFS('Wind Proxy'!$H$8:$H$19,'Wind Proxy'!$A$8:$A$19,Estimator!$B$4,'Wind Proxy'!$B$8:$B$19,C5270)</f>
        <v>0</v>
      </c>
    </row>
    <row r="5271" spans="1:10" ht="14.4">
      <c r="A5271" s="84">
        <v>50922</v>
      </c>
      <c r="B5271" s="85">
        <v>2039</v>
      </c>
      <c r="C5271" s="85">
        <v>6</v>
      </c>
      <c r="D5271" s="85" t="s">
        <v>68</v>
      </c>
      <c r="E5271" s="85">
        <v>1</v>
      </c>
      <c r="F5271" s="85">
        <v>3</v>
      </c>
      <c r="G5271" s="85">
        <f>--(F5271&lt;=Estimator!$B$7)</f>
        <v>1</v>
      </c>
      <c r="H5271" s="86">
        <f>SUMIFS('Climate Data'!$G$7:$G$366,'Climate Data'!$A$7:$A$366,Estimator!$B$4,'Climate Data'!$B$7:$B$366,C5271)</f>
        <v>0.28666666666666668</v>
      </c>
      <c r="I5271" s="87">
        <f>SUMIFS('Climate Data'!$H$7:$H$366,'Climate Data'!$A$7:$A$366,Estimator!$B$4,'Climate Data'!$B$7:$B$366,C5271)</f>
        <v>7.941860465116279</v>
      </c>
      <c r="J5271" s="86">
        <f>SUMIFS('Wind Proxy'!$H$8:$H$19,'Wind Proxy'!$A$8:$A$19,Estimator!$B$4,'Wind Proxy'!$B$8:$B$19,C5271)</f>
        <v>0</v>
      </c>
    </row>
    <row r="5272" spans="1:10" ht="14.4">
      <c r="A5272" s="84">
        <v>50923</v>
      </c>
      <c r="B5272" s="85">
        <v>2039</v>
      </c>
      <c r="C5272" s="85">
        <v>6</v>
      </c>
      <c r="D5272" s="85" t="s">
        <v>68</v>
      </c>
      <c r="E5272" s="85">
        <v>2</v>
      </c>
      <c r="F5272" s="85">
        <v>4</v>
      </c>
      <c r="G5272" s="85">
        <f>--(F5272&lt;=Estimator!$B$7)</f>
        <v>1</v>
      </c>
      <c r="H5272" s="86">
        <f>SUMIFS('Climate Data'!$G$7:$G$366,'Climate Data'!$A$7:$A$366,Estimator!$B$4,'Climate Data'!$B$7:$B$366,C5272)</f>
        <v>0.28666666666666668</v>
      </c>
      <c r="I5272" s="87">
        <f>SUMIFS('Climate Data'!$H$7:$H$366,'Climate Data'!$A$7:$A$366,Estimator!$B$4,'Climate Data'!$B$7:$B$366,C5272)</f>
        <v>7.941860465116279</v>
      </c>
      <c r="J5272" s="86">
        <f>SUMIFS('Wind Proxy'!$H$8:$H$19,'Wind Proxy'!$A$8:$A$19,Estimator!$B$4,'Wind Proxy'!$B$8:$B$19,C5272)</f>
        <v>0</v>
      </c>
    </row>
    <row r="5273" spans="1:10" ht="14.4">
      <c r="A5273" s="84">
        <v>50924</v>
      </c>
      <c r="B5273" s="85">
        <v>2039</v>
      </c>
      <c r="C5273" s="85">
        <v>6</v>
      </c>
      <c r="D5273" s="85" t="s">
        <v>68</v>
      </c>
      <c r="E5273" s="85">
        <v>3</v>
      </c>
      <c r="F5273" s="85">
        <v>5</v>
      </c>
      <c r="G5273" s="85">
        <f>--(F5273&lt;=Estimator!$B$7)</f>
        <v>1</v>
      </c>
      <c r="H5273" s="86">
        <f>SUMIFS('Climate Data'!$G$7:$G$366,'Climate Data'!$A$7:$A$366,Estimator!$B$4,'Climate Data'!$B$7:$B$366,C5273)</f>
        <v>0.28666666666666668</v>
      </c>
      <c r="I5273" s="87">
        <f>SUMIFS('Climate Data'!$H$7:$H$366,'Climate Data'!$A$7:$A$366,Estimator!$B$4,'Climate Data'!$B$7:$B$366,C5273)</f>
        <v>7.941860465116279</v>
      </c>
      <c r="J5273" s="86">
        <f>SUMIFS('Wind Proxy'!$H$8:$H$19,'Wind Proxy'!$A$8:$A$19,Estimator!$B$4,'Wind Proxy'!$B$8:$B$19,C5273)</f>
        <v>0</v>
      </c>
    </row>
    <row r="5274" spans="1:10" ht="14.4">
      <c r="A5274" s="84">
        <v>50925</v>
      </c>
      <c r="B5274" s="85">
        <v>2039</v>
      </c>
      <c r="C5274" s="85">
        <v>6</v>
      </c>
      <c r="D5274" s="85" t="s">
        <v>68</v>
      </c>
      <c r="E5274" s="85">
        <v>4</v>
      </c>
      <c r="F5274" s="85">
        <v>6</v>
      </c>
      <c r="G5274" s="85">
        <f>--(F5274&lt;=Estimator!$B$7)</f>
        <v>0</v>
      </c>
      <c r="H5274" s="86">
        <f>SUMIFS('Climate Data'!$G$7:$G$366,'Climate Data'!$A$7:$A$366,Estimator!$B$4,'Climate Data'!$B$7:$B$366,C5274)</f>
        <v>0.28666666666666668</v>
      </c>
      <c r="I5274" s="87">
        <f>SUMIFS('Climate Data'!$H$7:$H$366,'Climate Data'!$A$7:$A$366,Estimator!$B$4,'Climate Data'!$B$7:$B$366,C5274)</f>
        <v>7.941860465116279</v>
      </c>
      <c r="J5274" s="86">
        <f>SUMIFS('Wind Proxy'!$H$8:$H$19,'Wind Proxy'!$A$8:$A$19,Estimator!$B$4,'Wind Proxy'!$B$8:$B$19,C5274)</f>
        <v>0</v>
      </c>
    </row>
    <row r="5275" spans="1:10" ht="14.4">
      <c r="A5275" s="84">
        <v>50926</v>
      </c>
      <c r="B5275" s="85">
        <v>2039</v>
      </c>
      <c r="C5275" s="85">
        <v>6</v>
      </c>
      <c r="D5275" s="85" t="s">
        <v>68</v>
      </c>
      <c r="E5275" s="85">
        <v>5</v>
      </c>
      <c r="F5275" s="85">
        <v>7</v>
      </c>
      <c r="G5275" s="85">
        <f>--(F5275&lt;=Estimator!$B$7)</f>
        <v>0</v>
      </c>
      <c r="H5275" s="86">
        <f>SUMIFS('Climate Data'!$G$7:$G$366,'Climate Data'!$A$7:$A$366,Estimator!$B$4,'Climate Data'!$B$7:$B$366,C5275)</f>
        <v>0.28666666666666668</v>
      </c>
      <c r="I5275" s="87">
        <f>SUMIFS('Climate Data'!$H$7:$H$366,'Climate Data'!$A$7:$A$366,Estimator!$B$4,'Climate Data'!$B$7:$B$366,C5275)</f>
        <v>7.941860465116279</v>
      </c>
      <c r="J5275" s="86">
        <f>SUMIFS('Wind Proxy'!$H$8:$H$19,'Wind Proxy'!$A$8:$A$19,Estimator!$B$4,'Wind Proxy'!$B$8:$B$19,C5275)</f>
        <v>0</v>
      </c>
    </row>
    <row r="5276" spans="1:10" ht="14.4">
      <c r="A5276" s="84">
        <v>50927</v>
      </c>
      <c r="B5276" s="85">
        <v>2039</v>
      </c>
      <c r="C5276" s="85">
        <v>6</v>
      </c>
      <c r="D5276" s="85" t="s">
        <v>68</v>
      </c>
      <c r="E5276" s="85">
        <v>6</v>
      </c>
      <c r="F5276" s="85">
        <v>1</v>
      </c>
      <c r="G5276" s="85">
        <f>--(F5276&lt;=Estimator!$B$7)</f>
        <v>1</v>
      </c>
      <c r="H5276" s="86">
        <f>SUMIFS('Climate Data'!$G$7:$G$366,'Climate Data'!$A$7:$A$366,Estimator!$B$4,'Climate Data'!$B$7:$B$366,C5276)</f>
        <v>0.28666666666666668</v>
      </c>
      <c r="I5276" s="87">
        <f>SUMIFS('Climate Data'!$H$7:$H$366,'Climate Data'!$A$7:$A$366,Estimator!$B$4,'Climate Data'!$B$7:$B$366,C5276)</f>
        <v>7.941860465116279</v>
      </c>
      <c r="J5276" s="86">
        <f>SUMIFS('Wind Proxy'!$H$8:$H$19,'Wind Proxy'!$A$8:$A$19,Estimator!$B$4,'Wind Proxy'!$B$8:$B$19,C5276)</f>
        <v>0</v>
      </c>
    </row>
    <row r="5277" spans="1:10" ht="14.4">
      <c r="A5277" s="84">
        <v>50928</v>
      </c>
      <c r="B5277" s="85">
        <v>2039</v>
      </c>
      <c r="C5277" s="85">
        <v>6</v>
      </c>
      <c r="D5277" s="85" t="s">
        <v>68</v>
      </c>
      <c r="E5277" s="85">
        <v>7</v>
      </c>
      <c r="F5277" s="85">
        <v>2</v>
      </c>
      <c r="G5277" s="85">
        <f>--(F5277&lt;=Estimator!$B$7)</f>
        <v>1</v>
      </c>
      <c r="H5277" s="86">
        <f>SUMIFS('Climate Data'!$G$7:$G$366,'Climate Data'!$A$7:$A$366,Estimator!$B$4,'Climate Data'!$B$7:$B$366,C5277)</f>
        <v>0.28666666666666668</v>
      </c>
      <c r="I5277" s="87">
        <f>SUMIFS('Climate Data'!$H$7:$H$366,'Climate Data'!$A$7:$A$366,Estimator!$B$4,'Climate Data'!$B$7:$B$366,C5277)</f>
        <v>7.941860465116279</v>
      </c>
      <c r="J5277" s="86">
        <f>SUMIFS('Wind Proxy'!$H$8:$H$19,'Wind Proxy'!$A$8:$A$19,Estimator!$B$4,'Wind Proxy'!$B$8:$B$19,C5277)</f>
        <v>0</v>
      </c>
    </row>
    <row r="5278" spans="1:10" ht="14.4">
      <c r="A5278" s="84">
        <v>50929</v>
      </c>
      <c r="B5278" s="85">
        <v>2039</v>
      </c>
      <c r="C5278" s="85">
        <v>6</v>
      </c>
      <c r="D5278" s="85" t="s">
        <v>68</v>
      </c>
      <c r="E5278" s="85">
        <v>8</v>
      </c>
      <c r="F5278" s="85">
        <v>3</v>
      </c>
      <c r="G5278" s="85">
        <f>--(F5278&lt;=Estimator!$B$7)</f>
        <v>1</v>
      </c>
      <c r="H5278" s="86">
        <f>SUMIFS('Climate Data'!$G$7:$G$366,'Climate Data'!$A$7:$A$366,Estimator!$B$4,'Climate Data'!$B$7:$B$366,C5278)</f>
        <v>0.28666666666666668</v>
      </c>
      <c r="I5278" s="87">
        <f>SUMIFS('Climate Data'!$H$7:$H$366,'Climate Data'!$A$7:$A$366,Estimator!$B$4,'Climate Data'!$B$7:$B$366,C5278)</f>
        <v>7.941860465116279</v>
      </c>
      <c r="J5278" s="86">
        <f>SUMIFS('Wind Proxy'!$H$8:$H$19,'Wind Proxy'!$A$8:$A$19,Estimator!$B$4,'Wind Proxy'!$B$8:$B$19,C5278)</f>
        <v>0</v>
      </c>
    </row>
    <row r="5279" spans="1:10" ht="14.4">
      <c r="A5279" s="84">
        <v>50930</v>
      </c>
      <c r="B5279" s="85">
        <v>2039</v>
      </c>
      <c r="C5279" s="85">
        <v>6</v>
      </c>
      <c r="D5279" s="85" t="s">
        <v>68</v>
      </c>
      <c r="E5279" s="85">
        <v>9</v>
      </c>
      <c r="F5279" s="85">
        <v>4</v>
      </c>
      <c r="G5279" s="85">
        <f>--(F5279&lt;=Estimator!$B$7)</f>
        <v>1</v>
      </c>
      <c r="H5279" s="86">
        <f>SUMIFS('Climate Data'!$G$7:$G$366,'Climate Data'!$A$7:$A$366,Estimator!$B$4,'Climate Data'!$B$7:$B$366,C5279)</f>
        <v>0.28666666666666668</v>
      </c>
      <c r="I5279" s="87">
        <f>SUMIFS('Climate Data'!$H$7:$H$366,'Climate Data'!$A$7:$A$366,Estimator!$B$4,'Climate Data'!$B$7:$B$366,C5279)</f>
        <v>7.941860465116279</v>
      </c>
      <c r="J5279" s="86">
        <f>SUMIFS('Wind Proxy'!$H$8:$H$19,'Wind Proxy'!$A$8:$A$19,Estimator!$B$4,'Wind Proxy'!$B$8:$B$19,C5279)</f>
        <v>0</v>
      </c>
    </row>
    <row r="5280" spans="1:10" ht="14.4">
      <c r="A5280" s="84">
        <v>50931</v>
      </c>
      <c r="B5280" s="85">
        <v>2039</v>
      </c>
      <c r="C5280" s="85">
        <v>6</v>
      </c>
      <c r="D5280" s="85" t="s">
        <v>68</v>
      </c>
      <c r="E5280" s="85">
        <v>10</v>
      </c>
      <c r="F5280" s="85">
        <v>5</v>
      </c>
      <c r="G5280" s="85">
        <f>--(F5280&lt;=Estimator!$B$7)</f>
        <v>1</v>
      </c>
      <c r="H5280" s="86">
        <f>SUMIFS('Climate Data'!$G$7:$G$366,'Climate Data'!$A$7:$A$366,Estimator!$B$4,'Climate Data'!$B$7:$B$366,C5280)</f>
        <v>0.28666666666666668</v>
      </c>
      <c r="I5280" s="87">
        <f>SUMIFS('Climate Data'!$H$7:$H$366,'Climate Data'!$A$7:$A$366,Estimator!$B$4,'Climate Data'!$B$7:$B$366,C5280)</f>
        <v>7.941860465116279</v>
      </c>
      <c r="J5280" s="86">
        <f>SUMIFS('Wind Proxy'!$H$8:$H$19,'Wind Proxy'!$A$8:$A$19,Estimator!$B$4,'Wind Proxy'!$B$8:$B$19,C5280)</f>
        <v>0</v>
      </c>
    </row>
    <row r="5281" spans="1:10" ht="14.4">
      <c r="A5281" s="84">
        <v>50932</v>
      </c>
      <c r="B5281" s="85">
        <v>2039</v>
      </c>
      <c r="C5281" s="85">
        <v>6</v>
      </c>
      <c r="D5281" s="85" t="s">
        <v>68</v>
      </c>
      <c r="E5281" s="85">
        <v>11</v>
      </c>
      <c r="F5281" s="85">
        <v>6</v>
      </c>
      <c r="G5281" s="85">
        <f>--(F5281&lt;=Estimator!$B$7)</f>
        <v>0</v>
      </c>
      <c r="H5281" s="86">
        <f>SUMIFS('Climate Data'!$G$7:$G$366,'Climate Data'!$A$7:$A$366,Estimator!$B$4,'Climate Data'!$B$7:$B$366,C5281)</f>
        <v>0.28666666666666668</v>
      </c>
      <c r="I5281" s="87">
        <f>SUMIFS('Climate Data'!$H$7:$H$366,'Climate Data'!$A$7:$A$366,Estimator!$B$4,'Climate Data'!$B$7:$B$366,C5281)</f>
        <v>7.941860465116279</v>
      </c>
      <c r="J5281" s="86">
        <f>SUMIFS('Wind Proxy'!$H$8:$H$19,'Wind Proxy'!$A$8:$A$19,Estimator!$B$4,'Wind Proxy'!$B$8:$B$19,C5281)</f>
        <v>0</v>
      </c>
    </row>
    <row r="5282" spans="1:10" ht="14.4">
      <c r="A5282" s="84">
        <v>50933</v>
      </c>
      <c r="B5282" s="85">
        <v>2039</v>
      </c>
      <c r="C5282" s="85">
        <v>6</v>
      </c>
      <c r="D5282" s="85" t="s">
        <v>68</v>
      </c>
      <c r="E5282" s="85">
        <v>12</v>
      </c>
      <c r="F5282" s="85">
        <v>7</v>
      </c>
      <c r="G5282" s="85">
        <f>--(F5282&lt;=Estimator!$B$7)</f>
        <v>0</v>
      </c>
      <c r="H5282" s="86">
        <f>SUMIFS('Climate Data'!$G$7:$G$366,'Climate Data'!$A$7:$A$366,Estimator!$B$4,'Climate Data'!$B$7:$B$366,C5282)</f>
        <v>0.28666666666666668</v>
      </c>
      <c r="I5282" s="87">
        <f>SUMIFS('Climate Data'!$H$7:$H$366,'Climate Data'!$A$7:$A$366,Estimator!$B$4,'Climate Data'!$B$7:$B$366,C5282)</f>
        <v>7.941860465116279</v>
      </c>
      <c r="J5282" s="86">
        <f>SUMIFS('Wind Proxy'!$H$8:$H$19,'Wind Proxy'!$A$8:$A$19,Estimator!$B$4,'Wind Proxy'!$B$8:$B$19,C5282)</f>
        <v>0</v>
      </c>
    </row>
    <row r="5283" spans="1:10" ht="14.4">
      <c r="A5283" s="84">
        <v>50934</v>
      </c>
      <c r="B5283" s="85">
        <v>2039</v>
      </c>
      <c r="C5283" s="85">
        <v>6</v>
      </c>
      <c r="D5283" s="85" t="s">
        <v>68</v>
      </c>
      <c r="E5283" s="85">
        <v>13</v>
      </c>
      <c r="F5283" s="85">
        <v>1</v>
      </c>
      <c r="G5283" s="85">
        <f>--(F5283&lt;=Estimator!$B$7)</f>
        <v>1</v>
      </c>
      <c r="H5283" s="86">
        <f>SUMIFS('Climate Data'!$G$7:$G$366,'Climate Data'!$A$7:$A$366,Estimator!$B$4,'Climate Data'!$B$7:$B$366,C5283)</f>
        <v>0.28666666666666668</v>
      </c>
      <c r="I5283" s="87">
        <f>SUMIFS('Climate Data'!$H$7:$H$366,'Climate Data'!$A$7:$A$366,Estimator!$B$4,'Climate Data'!$B$7:$B$366,C5283)</f>
        <v>7.941860465116279</v>
      </c>
      <c r="J5283" s="86">
        <f>SUMIFS('Wind Proxy'!$H$8:$H$19,'Wind Proxy'!$A$8:$A$19,Estimator!$B$4,'Wind Proxy'!$B$8:$B$19,C5283)</f>
        <v>0</v>
      </c>
    </row>
    <row r="5284" spans="1:10" ht="14.4">
      <c r="A5284" s="84">
        <v>50935</v>
      </c>
      <c r="B5284" s="85">
        <v>2039</v>
      </c>
      <c r="C5284" s="85">
        <v>6</v>
      </c>
      <c r="D5284" s="85" t="s">
        <v>68</v>
      </c>
      <c r="E5284" s="85">
        <v>14</v>
      </c>
      <c r="F5284" s="85">
        <v>2</v>
      </c>
      <c r="G5284" s="85">
        <f>--(F5284&lt;=Estimator!$B$7)</f>
        <v>1</v>
      </c>
      <c r="H5284" s="86">
        <f>SUMIFS('Climate Data'!$G$7:$G$366,'Climate Data'!$A$7:$A$366,Estimator!$B$4,'Climate Data'!$B$7:$B$366,C5284)</f>
        <v>0.28666666666666668</v>
      </c>
      <c r="I5284" s="87">
        <f>SUMIFS('Climate Data'!$H$7:$H$366,'Climate Data'!$A$7:$A$366,Estimator!$B$4,'Climate Data'!$B$7:$B$366,C5284)</f>
        <v>7.941860465116279</v>
      </c>
      <c r="J5284" s="86">
        <f>SUMIFS('Wind Proxy'!$H$8:$H$19,'Wind Proxy'!$A$8:$A$19,Estimator!$B$4,'Wind Proxy'!$B$8:$B$19,C5284)</f>
        <v>0</v>
      </c>
    </row>
    <row r="5285" spans="1:10" ht="14.4">
      <c r="A5285" s="84">
        <v>50936</v>
      </c>
      <c r="B5285" s="85">
        <v>2039</v>
      </c>
      <c r="C5285" s="85">
        <v>6</v>
      </c>
      <c r="D5285" s="85" t="s">
        <v>68</v>
      </c>
      <c r="E5285" s="85">
        <v>15</v>
      </c>
      <c r="F5285" s="85">
        <v>3</v>
      </c>
      <c r="G5285" s="85">
        <f>--(F5285&lt;=Estimator!$B$7)</f>
        <v>1</v>
      </c>
      <c r="H5285" s="86">
        <f>SUMIFS('Climate Data'!$G$7:$G$366,'Climate Data'!$A$7:$A$366,Estimator!$B$4,'Climate Data'!$B$7:$B$366,C5285)</f>
        <v>0.28666666666666668</v>
      </c>
      <c r="I5285" s="87">
        <f>SUMIFS('Climate Data'!$H$7:$H$366,'Climate Data'!$A$7:$A$366,Estimator!$B$4,'Climate Data'!$B$7:$B$366,C5285)</f>
        <v>7.941860465116279</v>
      </c>
      <c r="J5285" s="86">
        <f>SUMIFS('Wind Proxy'!$H$8:$H$19,'Wind Proxy'!$A$8:$A$19,Estimator!$B$4,'Wind Proxy'!$B$8:$B$19,C5285)</f>
        <v>0</v>
      </c>
    </row>
    <row r="5286" spans="1:10" ht="14.4">
      <c r="A5286" s="84">
        <v>50937</v>
      </c>
      <c r="B5286" s="85">
        <v>2039</v>
      </c>
      <c r="C5286" s="85">
        <v>6</v>
      </c>
      <c r="D5286" s="85" t="s">
        <v>68</v>
      </c>
      <c r="E5286" s="85">
        <v>16</v>
      </c>
      <c r="F5286" s="85">
        <v>4</v>
      </c>
      <c r="G5286" s="85">
        <f>--(F5286&lt;=Estimator!$B$7)</f>
        <v>1</v>
      </c>
      <c r="H5286" s="86">
        <f>SUMIFS('Climate Data'!$G$7:$G$366,'Climate Data'!$A$7:$A$366,Estimator!$B$4,'Climate Data'!$B$7:$B$366,C5286)</f>
        <v>0.28666666666666668</v>
      </c>
      <c r="I5286" s="87">
        <f>SUMIFS('Climate Data'!$H$7:$H$366,'Climate Data'!$A$7:$A$366,Estimator!$B$4,'Climate Data'!$B$7:$B$366,C5286)</f>
        <v>7.941860465116279</v>
      </c>
      <c r="J5286" s="86">
        <f>SUMIFS('Wind Proxy'!$H$8:$H$19,'Wind Proxy'!$A$8:$A$19,Estimator!$B$4,'Wind Proxy'!$B$8:$B$19,C5286)</f>
        <v>0</v>
      </c>
    </row>
    <row r="5287" spans="1:10" ht="14.4">
      <c r="A5287" s="84">
        <v>50938</v>
      </c>
      <c r="B5287" s="85">
        <v>2039</v>
      </c>
      <c r="C5287" s="85">
        <v>6</v>
      </c>
      <c r="D5287" s="85" t="s">
        <v>68</v>
      </c>
      <c r="E5287" s="85">
        <v>17</v>
      </c>
      <c r="F5287" s="85">
        <v>5</v>
      </c>
      <c r="G5287" s="85">
        <f>--(F5287&lt;=Estimator!$B$7)</f>
        <v>1</v>
      </c>
      <c r="H5287" s="86">
        <f>SUMIFS('Climate Data'!$G$7:$G$366,'Climate Data'!$A$7:$A$366,Estimator!$B$4,'Climate Data'!$B$7:$B$366,C5287)</f>
        <v>0.28666666666666668</v>
      </c>
      <c r="I5287" s="87">
        <f>SUMIFS('Climate Data'!$H$7:$H$366,'Climate Data'!$A$7:$A$366,Estimator!$B$4,'Climate Data'!$B$7:$B$366,C5287)</f>
        <v>7.941860465116279</v>
      </c>
      <c r="J5287" s="86">
        <f>SUMIFS('Wind Proxy'!$H$8:$H$19,'Wind Proxy'!$A$8:$A$19,Estimator!$B$4,'Wind Proxy'!$B$8:$B$19,C5287)</f>
        <v>0</v>
      </c>
    </row>
    <row r="5288" spans="1:10" ht="14.4">
      <c r="A5288" s="84">
        <v>50939</v>
      </c>
      <c r="B5288" s="85">
        <v>2039</v>
      </c>
      <c r="C5288" s="85">
        <v>6</v>
      </c>
      <c r="D5288" s="85" t="s">
        <v>68</v>
      </c>
      <c r="E5288" s="85">
        <v>18</v>
      </c>
      <c r="F5288" s="85">
        <v>6</v>
      </c>
      <c r="G5288" s="85">
        <f>--(F5288&lt;=Estimator!$B$7)</f>
        <v>0</v>
      </c>
      <c r="H5288" s="86">
        <f>SUMIFS('Climate Data'!$G$7:$G$366,'Climate Data'!$A$7:$A$366,Estimator!$B$4,'Climate Data'!$B$7:$B$366,C5288)</f>
        <v>0.28666666666666668</v>
      </c>
      <c r="I5288" s="87">
        <f>SUMIFS('Climate Data'!$H$7:$H$366,'Climate Data'!$A$7:$A$366,Estimator!$B$4,'Climate Data'!$B$7:$B$366,C5288)</f>
        <v>7.941860465116279</v>
      </c>
      <c r="J5288" s="86">
        <f>SUMIFS('Wind Proxy'!$H$8:$H$19,'Wind Proxy'!$A$8:$A$19,Estimator!$B$4,'Wind Proxy'!$B$8:$B$19,C5288)</f>
        <v>0</v>
      </c>
    </row>
    <row r="5289" spans="1:10" ht="14.4">
      <c r="A5289" s="84">
        <v>50940</v>
      </c>
      <c r="B5289" s="85">
        <v>2039</v>
      </c>
      <c r="C5289" s="85">
        <v>6</v>
      </c>
      <c r="D5289" s="85" t="s">
        <v>68</v>
      </c>
      <c r="E5289" s="85">
        <v>19</v>
      </c>
      <c r="F5289" s="85">
        <v>7</v>
      </c>
      <c r="G5289" s="85">
        <f>--(F5289&lt;=Estimator!$B$7)</f>
        <v>0</v>
      </c>
      <c r="H5289" s="86">
        <f>SUMIFS('Climate Data'!$G$7:$G$366,'Climate Data'!$A$7:$A$366,Estimator!$B$4,'Climate Data'!$B$7:$B$366,C5289)</f>
        <v>0.28666666666666668</v>
      </c>
      <c r="I5289" s="87">
        <f>SUMIFS('Climate Data'!$H$7:$H$366,'Climate Data'!$A$7:$A$366,Estimator!$B$4,'Climate Data'!$B$7:$B$366,C5289)</f>
        <v>7.941860465116279</v>
      </c>
      <c r="J5289" s="86">
        <f>SUMIFS('Wind Proxy'!$H$8:$H$19,'Wind Proxy'!$A$8:$A$19,Estimator!$B$4,'Wind Proxy'!$B$8:$B$19,C5289)</f>
        <v>0</v>
      </c>
    </row>
    <row r="5290" spans="1:10" ht="14.4">
      <c r="A5290" s="84">
        <v>50941</v>
      </c>
      <c r="B5290" s="85">
        <v>2039</v>
      </c>
      <c r="C5290" s="85">
        <v>6</v>
      </c>
      <c r="D5290" s="85" t="s">
        <v>68</v>
      </c>
      <c r="E5290" s="85">
        <v>20</v>
      </c>
      <c r="F5290" s="85">
        <v>1</v>
      </c>
      <c r="G5290" s="85">
        <f>--(F5290&lt;=Estimator!$B$7)</f>
        <v>1</v>
      </c>
      <c r="H5290" s="86">
        <f>SUMIFS('Climate Data'!$G$7:$G$366,'Climate Data'!$A$7:$A$366,Estimator!$B$4,'Climate Data'!$B$7:$B$366,C5290)</f>
        <v>0.28666666666666668</v>
      </c>
      <c r="I5290" s="87">
        <f>SUMIFS('Climate Data'!$H$7:$H$366,'Climate Data'!$A$7:$A$366,Estimator!$B$4,'Climate Data'!$B$7:$B$366,C5290)</f>
        <v>7.941860465116279</v>
      </c>
      <c r="J5290" s="86">
        <f>SUMIFS('Wind Proxy'!$H$8:$H$19,'Wind Proxy'!$A$8:$A$19,Estimator!$B$4,'Wind Proxy'!$B$8:$B$19,C5290)</f>
        <v>0</v>
      </c>
    </row>
    <row r="5291" spans="1:10" ht="14.4">
      <c r="A5291" s="84">
        <v>50942</v>
      </c>
      <c r="B5291" s="85">
        <v>2039</v>
      </c>
      <c r="C5291" s="85">
        <v>6</v>
      </c>
      <c r="D5291" s="85" t="s">
        <v>68</v>
      </c>
      <c r="E5291" s="85">
        <v>21</v>
      </c>
      <c r="F5291" s="85">
        <v>2</v>
      </c>
      <c r="G5291" s="85">
        <f>--(F5291&lt;=Estimator!$B$7)</f>
        <v>1</v>
      </c>
      <c r="H5291" s="86">
        <f>SUMIFS('Climate Data'!$G$7:$G$366,'Climate Data'!$A$7:$A$366,Estimator!$B$4,'Climate Data'!$B$7:$B$366,C5291)</f>
        <v>0.28666666666666668</v>
      </c>
      <c r="I5291" s="87">
        <f>SUMIFS('Climate Data'!$H$7:$H$366,'Climate Data'!$A$7:$A$366,Estimator!$B$4,'Climate Data'!$B$7:$B$366,C5291)</f>
        <v>7.941860465116279</v>
      </c>
      <c r="J5291" s="86">
        <f>SUMIFS('Wind Proxy'!$H$8:$H$19,'Wind Proxy'!$A$8:$A$19,Estimator!$B$4,'Wind Proxy'!$B$8:$B$19,C5291)</f>
        <v>0</v>
      </c>
    </row>
    <row r="5292" spans="1:10" ht="14.4">
      <c r="A5292" s="84">
        <v>50943</v>
      </c>
      <c r="B5292" s="85">
        <v>2039</v>
      </c>
      <c r="C5292" s="85">
        <v>6</v>
      </c>
      <c r="D5292" s="85" t="s">
        <v>68</v>
      </c>
      <c r="E5292" s="85">
        <v>22</v>
      </c>
      <c r="F5292" s="85">
        <v>3</v>
      </c>
      <c r="G5292" s="85">
        <f>--(F5292&lt;=Estimator!$B$7)</f>
        <v>1</v>
      </c>
      <c r="H5292" s="86">
        <f>SUMIFS('Climate Data'!$G$7:$G$366,'Climate Data'!$A$7:$A$366,Estimator!$B$4,'Climate Data'!$B$7:$B$366,C5292)</f>
        <v>0.28666666666666668</v>
      </c>
      <c r="I5292" s="87">
        <f>SUMIFS('Climate Data'!$H$7:$H$366,'Climate Data'!$A$7:$A$366,Estimator!$B$4,'Climate Data'!$B$7:$B$366,C5292)</f>
        <v>7.941860465116279</v>
      </c>
      <c r="J5292" s="86">
        <f>SUMIFS('Wind Proxy'!$H$8:$H$19,'Wind Proxy'!$A$8:$A$19,Estimator!$B$4,'Wind Proxy'!$B$8:$B$19,C5292)</f>
        <v>0</v>
      </c>
    </row>
    <row r="5293" spans="1:10" ht="14.4">
      <c r="A5293" s="84">
        <v>50944</v>
      </c>
      <c r="B5293" s="85">
        <v>2039</v>
      </c>
      <c r="C5293" s="85">
        <v>6</v>
      </c>
      <c r="D5293" s="85" t="s">
        <v>68</v>
      </c>
      <c r="E5293" s="85">
        <v>23</v>
      </c>
      <c r="F5293" s="85">
        <v>4</v>
      </c>
      <c r="G5293" s="85">
        <f>--(F5293&lt;=Estimator!$B$7)</f>
        <v>1</v>
      </c>
      <c r="H5293" s="86">
        <f>SUMIFS('Climate Data'!$G$7:$G$366,'Climate Data'!$A$7:$A$366,Estimator!$B$4,'Climate Data'!$B$7:$B$366,C5293)</f>
        <v>0.28666666666666668</v>
      </c>
      <c r="I5293" s="87">
        <f>SUMIFS('Climate Data'!$H$7:$H$366,'Climate Data'!$A$7:$A$366,Estimator!$B$4,'Climate Data'!$B$7:$B$366,C5293)</f>
        <v>7.941860465116279</v>
      </c>
      <c r="J5293" s="86">
        <f>SUMIFS('Wind Proxy'!$H$8:$H$19,'Wind Proxy'!$A$8:$A$19,Estimator!$B$4,'Wind Proxy'!$B$8:$B$19,C5293)</f>
        <v>0</v>
      </c>
    </row>
    <row r="5294" spans="1:10" ht="14.4">
      <c r="A5294" s="84">
        <v>50945</v>
      </c>
      <c r="B5294" s="85">
        <v>2039</v>
      </c>
      <c r="C5294" s="85">
        <v>6</v>
      </c>
      <c r="D5294" s="85" t="s">
        <v>68</v>
      </c>
      <c r="E5294" s="85">
        <v>24</v>
      </c>
      <c r="F5294" s="85">
        <v>5</v>
      </c>
      <c r="G5294" s="85">
        <f>--(F5294&lt;=Estimator!$B$7)</f>
        <v>1</v>
      </c>
      <c r="H5294" s="86">
        <f>SUMIFS('Climate Data'!$G$7:$G$366,'Climate Data'!$A$7:$A$366,Estimator!$B$4,'Climate Data'!$B$7:$B$366,C5294)</f>
        <v>0.28666666666666668</v>
      </c>
      <c r="I5294" s="87">
        <f>SUMIFS('Climate Data'!$H$7:$H$366,'Climate Data'!$A$7:$A$366,Estimator!$B$4,'Climate Data'!$B$7:$B$366,C5294)</f>
        <v>7.941860465116279</v>
      </c>
      <c r="J5294" s="86">
        <f>SUMIFS('Wind Proxy'!$H$8:$H$19,'Wind Proxy'!$A$8:$A$19,Estimator!$B$4,'Wind Proxy'!$B$8:$B$19,C5294)</f>
        <v>0</v>
      </c>
    </row>
    <row r="5295" spans="1:10" ht="14.4">
      <c r="A5295" s="84">
        <v>50946</v>
      </c>
      <c r="B5295" s="85">
        <v>2039</v>
      </c>
      <c r="C5295" s="85">
        <v>6</v>
      </c>
      <c r="D5295" s="85" t="s">
        <v>68</v>
      </c>
      <c r="E5295" s="85">
        <v>25</v>
      </c>
      <c r="F5295" s="85">
        <v>6</v>
      </c>
      <c r="G5295" s="85">
        <f>--(F5295&lt;=Estimator!$B$7)</f>
        <v>0</v>
      </c>
      <c r="H5295" s="86">
        <f>SUMIFS('Climate Data'!$G$7:$G$366,'Climate Data'!$A$7:$A$366,Estimator!$B$4,'Climate Data'!$B$7:$B$366,C5295)</f>
        <v>0.28666666666666668</v>
      </c>
      <c r="I5295" s="87">
        <f>SUMIFS('Climate Data'!$H$7:$H$366,'Climate Data'!$A$7:$A$366,Estimator!$B$4,'Climate Data'!$B$7:$B$366,C5295)</f>
        <v>7.941860465116279</v>
      </c>
      <c r="J5295" s="86">
        <f>SUMIFS('Wind Proxy'!$H$8:$H$19,'Wind Proxy'!$A$8:$A$19,Estimator!$B$4,'Wind Proxy'!$B$8:$B$19,C5295)</f>
        <v>0</v>
      </c>
    </row>
    <row r="5296" spans="1:10" ht="14.4">
      <c r="A5296" s="84">
        <v>50947</v>
      </c>
      <c r="B5296" s="85">
        <v>2039</v>
      </c>
      <c r="C5296" s="85">
        <v>6</v>
      </c>
      <c r="D5296" s="85" t="s">
        <v>68</v>
      </c>
      <c r="E5296" s="85">
        <v>26</v>
      </c>
      <c r="F5296" s="85">
        <v>7</v>
      </c>
      <c r="G5296" s="85">
        <f>--(F5296&lt;=Estimator!$B$7)</f>
        <v>0</v>
      </c>
      <c r="H5296" s="86">
        <f>SUMIFS('Climate Data'!$G$7:$G$366,'Climate Data'!$A$7:$A$366,Estimator!$B$4,'Climate Data'!$B$7:$B$366,C5296)</f>
        <v>0.28666666666666668</v>
      </c>
      <c r="I5296" s="87">
        <f>SUMIFS('Climate Data'!$H$7:$H$366,'Climate Data'!$A$7:$A$366,Estimator!$B$4,'Climate Data'!$B$7:$B$366,C5296)</f>
        <v>7.941860465116279</v>
      </c>
      <c r="J5296" s="86">
        <f>SUMIFS('Wind Proxy'!$H$8:$H$19,'Wind Proxy'!$A$8:$A$19,Estimator!$B$4,'Wind Proxy'!$B$8:$B$19,C5296)</f>
        <v>0</v>
      </c>
    </row>
    <row r="5297" spans="1:10" ht="14.4">
      <c r="A5297" s="84">
        <v>50948</v>
      </c>
      <c r="B5297" s="85">
        <v>2039</v>
      </c>
      <c r="C5297" s="85">
        <v>6</v>
      </c>
      <c r="D5297" s="85" t="s">
        <v>68</v>
      </c>
      <c r="E5297" s="85">
        <v>27</v>
      </c>
      <c r="F5297" s="85">
        <v>1</v>
      </c>
      <c r="G5297" s="85">
        <f>--(F5297&lt;=Estimator!$B$7)</f>
        <v>1</v>
      </c>
      <c r="H5297" s="86">
        <f>SUMIFS('Climate Data'!$G$7:$G$366,'Climate Data'!$A$7:$A$366,Estimator!$B$4,'Climate Data'!$B$7:$B$366,C5297)</f>
        <v>0.28666666666666668</v>
      </c>
      <c r="I5297" s="87">
        <f>SUMIFS('Climate Data'!$H$7:$H$366,'Climate Data'!$A$7:$A$366,Estimator!$B$4,'Climate Data'!$B$7:$B$366,C5297)</f>
        <v>7.941860465116279</v>
      </c>
      <c r="J5297" s="86">
        <f>SUMIFS('Wind Proxy'!$H$8:$H$19,'Wind Proxy'!$A$8:$A$19,Estimator!$B$4,'Wind Proxy'!$B$8:$B$19,C5297)</f>
        <v>0</v>
      </c>
    </row>
    <row r="5298" spans="1:10" ht="14.4">
      <c r="A5298" s="84">
        <v>50949</v>
      </c>
      <c r="B5298" s="85">
        <v>2039</v>
      </c>
      <c r="C5298" s="85">
        <v>6</v>
      </c>
      <c r="D5298" s="85" t="s">
        <v>68</v>
      </c>
      <c r="E5298" s="85">
        <v>28</v>
      </c>
      <c r="F5298" s="85">
        <v>2</v>
      </c>
      <c r="G5298" s="85">
        <f>--(F5298&lt;=Estimator!$B$7)</f>
        <v>1</v>
      </c>
      <c r="H5298" s="86">
        <f>SUMIFS('Climate Data'!$G$7:$G$366,'Climate Data'!$A$7:$A$366,Estimator!$B$4,'Climate Data'!$B$7:$B$366,C5298)</f>
        <v>0.28666666666666668</v>
      </c>
      <c r="I5298" s="87">
        <f>SUMIFS('Climate Data'!$H$7:$H$366,'Climate Data'!$A$7:$A$366,Estimator!$B$4,'Climate Data'!$B$7:$B$366,C5298)</f>
        <v>7.941860465116279</v>
      </c>
      <c r="J5298" s="86">
        <f>SUMIFS('Wind Proxy'!$H$8:$H$19,'Wind Proxy'!$A$8:$A$19,Estimator!$B$4,'Wind Proxy'!$B$8:$B$19,C5298)</f>
        <v>0</v>
      </c>
    </row>
    <row r="5299" spans="1:10" ht="14.4">
      <c r="A5299" s="84">
        <v>50950</v>
      </c>
      <c r="B5299" s="85">
        <v>2039</v>
      </c>
      <c r="C5299" s="85">
        <v>6</v>
      </c>
      <c r="D5299" s="85" t="s">
        <v>68</v>
      </c>
      <c r="E5299" s="85">
        <v>29</v>
      </c>
      <c r="F5299" s="85">
        <v>3</v>
      </c>
      <c r="G5299" s="85">
        <f>--(F5299&lt;=Estimator!$B$7)</f>
        <v>1</v>
      </c>
      <c r="H5299" s="86">
        <f>SUMIFS('Climate Data'!$G$7:$G$366,'Climate Data'!$A$7:$A$366,Estimator!$B$4,'Climate Data'!$B$7:$B$366,C5299)</f>
        <v>0.28666666666666668</v>
      </c>
      <c r="I5299" s="87">
        <f>SUMIFS('Climate Data'!$H$7:$H$366,'Climate Data'!$A$7:$A$366,Estimator!$B$4,'Climate Data'!$B$7:$B$366,C5299)</f>
        <v>7.941860465116279</v>
      </c>
      <c r="J5299" s="86">
        <f>SUMIFS('Wind Proxy'!$H$8:$H$19,'Wind Proxy'!$A$8:$A$19,Estimator!$B$4,'Wind Proxy'!$B$8:$B$19,C5299)</f>
        <v>0</v>
      </c>
    </row>
    <row r="5300" spans="1:10" ht="14.4">
      <c r="A5300" s="84">
        <v>50951</v>
      </c>
      <c r="B5300" s="85">
        <v>2039</v>
      </c>
      <c r="C5300" s="85">
        <v>6</v>
      </c>
      <c r="D5300" s="85" t="s">
        <v>68</v>
      </c>
      <c r="E5300" s="85">
        <v>30</v>
      </c>
      <c r="F5300" s="85">
        <v>4</v>
      </c>
      <c r="G5300" s="85">
        <f>--(F5300&lt;=Estimator!$B$7)</f>
        <v>1</v>
      </c>
      <c r="H5300" s="86">
        <f>SUMIFS('Climate Data'!$G$7:$G$366,'Climate Data'!$A$7:$A$366,Estimator!$B$4,'Climate Data'!$B$7:$B$366,C5300)</f>
        <v>0.28666666666666668</v>
      </c>
      <c r="I5300" s="87">
        <f>SUMIFS('Climate Data'!$H$7:$H$366,'Climate Data'!$A$7:$A$366,Estimator!$B$4,'Climate Data'!$B$7:$B$366,C5300)</f>
        <v>7.941860465116279</v>
      </c>
      <c r="J5300" s="86">
        <f>SUMIFS('Wind Proxy'!$H$8:$H$19,'Wind Proxy'!$A$8:$A$19,Estimator!$B$4,'Wind Proxy'!$B$8:$B$19,C5300)</f>
        <v>0</v>
      </c>
    </row>
    <row r="5301" spans="1:10" ht="14.4">
      <c r="A5301" s="84">
        <v>50952</v>
      </c>
      <c r="B5301" s="85">
        <v>2039</v>
      </c>
      <c r="C5301" s="85">
        <v>7</v>
      </c>
      <c r="D5301" s="85" t="s">
        <v>69</v>
      </c>
      <c r="E5301" s="85">
        <v>1</v>
      </c>
      <c r="F5301" s="85">
        <v>5</v>
      </c>
      <c r="G5301" s="85">
        <f>--(F5301&lt;=Estimator!$B$7)</f>
        <v>1</v>
      </c>
      <c r="H5301" s="86">
        <f>SUMIFS('Climate Data'!$G$7:$G$366,'Climate Data'!$A$7:$A$366,Estimator!$B$4,'Climate Data'!$B$7:$B$366,C5301)</f>
        <v>0.24731182795698925</v>
      </c>
      <c r="I5301" s="87">
        <f>SUMIFS('Climate Data'!$H$7:$H$366,'Climate Data'!$A$7:$A$366,Estimator!$B$4,'Climate Data'!$B$7:$B$366,C5301)</f>
        <v>8.3739130434782609</v>
      </c>
      <c r="J5301" s="86">
        <f>SUMIFS('Wind Proxy'!$H$8:$H$19,'Wind Proxy'!$A$8:$A$19,Estimator!$B$4,'Wind Proxy'!$B$8:$B$19,C5301)</f>
        <v>0</v>
      </c>
    </row>
    <row r="5302" spans="1:10" ht="14.4">
      <c r="A5302" s="84">
        <v>50953</v>
      </c>
      <c r="B5302" s="85">
        <v>2039</v>
      </c>
      <c r="C5302" s="85">
        <v>7</v>
      </c>
      <c r="D5302" s="85" t="s">
        <v>69</v>
      </c>
      <c r="E5302" s="85">
        <v>2</v>
      </c>
      <c r="F5302" s="85">
        <v>6</v>
      </c>
      <c r="G5302" s="85">
        <f>--(F5302&lt;=Estimator!$B$7)</f>
        <v>0</v>
      </c>
      <c r="H5302" s="86">
        <f>SUMIFS('Climate Data'!$G$7:$G$366,'Climate Data'!$A$7:$A$366,Estimator!$B$4,'Climate Data'!$B$7:$B$366,C5302)</f>
        <v>0.24731182795698925</v>
      </c>
      <c r="I5302" s="87">
        <f>SUMIFS('Climate Data'!$H$7:$H$366,'Climate Data'!$A$7:$A$366,Estimator!$B$4,'Climate Data'!$B$7:$B$366,C5302)</f>
        <v>8.3739130434782609</v>
      </c>
      <c r="J5302" s="86">
        <f>SUMIFS('Wind Proxy'!$H$8:$H$19,'Wind Proxy'!$A$8:$A$19,Estimator!$B$4,'Wind Proxy'!$B$8:$B$19,C5302)</f>
        <v>0</v>
      </c>
    </row>
    <row r="5303" spans="1:10" ht="14.4">
      <c r="A5303" s="84">
        <v>50954</v>
      </c>
      <c r="B5303" s="85">
        <v>2039</v>
      </c>
      <c r="C5303" s="85">
        <v>7</v>
      </c>
      <c r="D5303" s="85" t="s">
        <v>69</v>
      </c>
      <c r="E5303" s="85">
        <v>3</v>
      </c>
      <c r="F5303" s="85">
        <v>7</v>
      </c>
      <c r="G5303" s="85">
        <f>--(F5303&lt;=Estimator!$B$7)</f>
        <v>0</v>
      </c>
      <c r="H5303" s="86">
        <f>SUMIFS('Climate Data'!$G$7:$G$366,'Climate Data'!$A$7:$A$366,Estimator!$B$4,'Climate Data'!$B$7:$B$366,C5303)</f>
        <v>0.24731182795698925</v>
      </c>
      <c r="I5303" s="87">
        <f>SUMIFS('Climate Data'!$H$7:$H$366,'Climate Data'!$A$7:$A$366,Estimator!$B$4,'Climate Data'!$B$7:$B$366,C5303)</f>
        <v>8.3739130434782609</v>
      </c>
      <c r="J5303" s="86">
        <f>SUMIFS('Wind Proxy'!$H$8:$H$19,'Wind Proxy'!$A$8:$A$19,Estimator!$B$4,'Wind Proxy'!$B$8:$B$19,C5303)</f>
        <v>0</v>
      </c>
    </row>
    <row r="5304" spans="1:10" ht="14.4">
      <c r="A5304" s="84">
        <v>50955</v>
      </c>
      <c r="B5304" s="85">
        <v>2039</v>
      </c>
      <c r="C5304" s="85">
        <v>7</v>
      </c>
      <c r="D5304" s="85" t="s">
        <v>69</v>
      </c>
      <c r="E5304" s="85">
        <v>4</v>
      </c>
      <c r="F5304" s="85">
        <v>1</v>
      </c>
      <c r="G5304" s="85">
        <f>--(F5304&lt;=Estimator!$B$7)</f>
        <v>1</v>
      </c>
      <c r="H5304" s="86">
        <f>SUMIFS('Climate Data'!$G$7:$G$366,'Climate Data'!$A$7:$A$366,Estimator!$B$4,'Climate Data'!$B$7:$B$366,C5304)</f>
        <v>0.24731182795698925</v>
      </c>
      <c r="I5304" s="87">
        <f>SUMIFS('Climate Data'!$H$7:$H$366,'Climate Data'!$A$7:$A$366,Estimator!$B$4,'Climate Data'!$B$7:$B$366,C5304)</f>
        <v>8.3739130434782609</v>
      </c>
      <c r="J5304" s="86">
        <f>SUMIFS('Wind Proxy'!$H$8:$H$19,'Wind Proxy'!$A$8:$A$19,Estimator!$B$4,'Wind Proxy'!$B$8:$B$19,C5304)</f>
        <v>0</v>
      </c>
    </row>
    <row r="5305" spans="1:10" ht="14.4">
      <c r="A5305" s="84">
        <v>50956</v>
      </c>
      <c r="B5305" s="85">
        <v>2039</v>
      </c>
      <c r="C5305" s="85">
        <v>7</v>
      </c>
      <c r="D5305" s="85" t="s">
        <v>69</v>
      </c>
      <c r="E5305" s="85">
        <v>5</v>
      </c>
      <c r="F5305" s="85">
        <v>2</v>
      </c>
      <c r="G5305" s="85">
        <f>--(F5305&lt;=Estimator!$B$7)</f>
        <v>1</v>
      </c>
      <c r="H5305" s="86">
        <f>SUMIFS('Climate Data'!$G$7:$G$366,'Climate Data'!$A$7:$A$366,Estimator!$B$4,'Climate Data'!$B$7:$B$366,C5305)</f>
        <v>0.24731182795698925</v>
      </c>
      <c r="I5305" s="87">
        <f>SUMIFS('Climate Data'!$H$7:$H$366,'Climate Data'!$A$7:$A$366,Estimator!$B$4,'Climate Data'!$B$7:$B$366,C5305)</f>
        <v>8.3739130434782609</v>
      </c>
      <c r="J5305" s="86">
        <f>SUMIFS('Wind Proxy'!$H$8:$H$19,'Wind Proxy'!$A$8:$A$19,Estimator!$B$4,'Wind Proxy'!$B$8:$B$19,C5305)</f>
        <v>0</v>
      </c>
    </row>
    <row r="5306" spans="1:10" ht="14.4">
      <c r="A5306" s="84">
        <v>50957</v>
      </c>
      <c r="B5306" s="85">
        <v>2039</v>
      </c>
      <c r="C5306" s="85">
        <v>7</v>
      </c>
      <c r="D5306" s="85" t="s">
        <v>69</v>
      </c>
      <c r="E5306" s="85">
        <v>6</v>
      </c>
      <c r="F5306" s="85">
        <v>3</v>
      </c>
      <c r="G5306" s="85">
        <f>--(F5306&lt;=Estimator!$B$7)</f>
        <v>1</v>
      </c>
      <c r="H5306" s="86">
        <f>SUMIFS('Climate Data'!$G$7:$G$366,'Climate Data'!$A$7:$A$366,Estimator!$B$4,'Climate Data'!$B$7:$B$366,C5306)</f>
        <v>0.24731182795698925</v>
      </c>
      <c r="I5306" s="87">
        <f>SUMIFS('Climate Data'!$H$7:$H$366,'Climate Data'!$A$7:$A$366,Estimator!$B$4,'Climate Data'!$B$7:$B$366,C5306)</f>
        <v>8.3739130434782609</v>
      </c>
      <c r="J5306" s="86">
        <f>SUMIFS('Wind Proxy'!$H$8:$H$19,'Wind Proxy'!$A$8:$A$19,Estimator!$B$4,'Wind Proxy'!$B$8:$B$19,C5306)</f>
        <v>0</v>
      </c>
    </row>
    <row r="5307" spans="1:10" ht="14.4">
      <c r="A5307" s="84">
        <v>50958</v>
      </c>
      <c r="B5307" s="85">
        <v>2039</v>
      </c>
      <c r="C5307" s="85">
        <v>7</v>
      </c>
      <c r="D5307" s="85" t="s">
        <v>69</v>
      </c>
      <c r="E5307" s="85">
        <v>7</v>
      </c>
      <c r="F5307" s="85">
        <v>4</v>
      </c>
      <c r="G5307" s="85">
        <f>--(F5307&lt;=Estimator!$B$7)</f>
        <v>1</v>
      </c>
      <c r="H5307" s="86">
        <f>SUMIFS('Climate Data'!$G$7:$G$366,'Climate Data'!$A$7:$A$366,Estimator!$B$4,'Climate Data'!$B$7:$B$366,C5307)</f>
        <v>0.24731182795698925</v>
      </c>
      <c r="I5307" s="87">
        <f>SUMIFS('Climate Data'!$H$7:$H$366,'Climate Data'!$A$7:$A$366,Estimator!$B$4,'Climate Data'!$B$7:$B$366,C5307)</f>
        <v>8.3739130434782609</v>
      </c>
      <c r="J5307" s="86">
        <f>SUMIFS('Wind Proxy'!$H$8:$H$19,'Wind Proxy'!$A$8:$A$19,Estimator!$B$4,'Wind Proxy'!$B$8:$B$19,C5307)</f>
        <v>0</v>
      </c>
    </row>
    <row r="5308" spans="1:10" ht="14.4">
      <c r="A5308" s="84">
        <v>50959</v>
      </c>
      <c r="B5308" s="85">
        <v>2039</v>
      </c>
      <c r="C5308" s="85">
        <v>7</v>
      </c>
      <c r="D5308" s="85" t="s">
        <v>69</v>
      </c>
      <c r="E5308" s="85">
        <v>8</v>
      </c>
      <c r="F5308" s="85">
        <v>5</v>
      </c>
      <c r="G5308" s="85">
        <f>--(F5308&lt;=Estimator!$B$7)</f>
        <v>1</v>
      </c>
      <c r="H5308" s="86">
        <f>SUMIFS('Climate Data'!$G$7:$G$366,'Climate Data'!$A$7:$A$366,Estimator!$B$4,'Climate Data'!$B$7:$B$366,C5308)</f>
        <v>0.24731182795698925</v>
      </c>
      <c r="I5308" s="87">
        <f>SUMIFS('Climate Data'!$H$7:$H$366,'Climate Data'!$A$7:$A$366,Estimator!$B$4,'Climate Data'!$B$7:$B$366,C5308)</f>
        <v>8.3739130434782609</v>
      </c>
      <c r="J5308" s="86">
        <f>SUMIFS('Wind Proxy'!$H$8:$H$19,'Wind Proxy'!$A$8:$A$19,Estimator!$B$4,'Wind Proxy'!$B$8:$B$19,C5308)</f>
        <v>0</v>
      </c>
    </row>
    <row r="5309" spans="1:10" ht="14.4">
      <c r="A5309" s="84">
        <v>50960</v>
      </c>
      <c r="B5309" s="85">
        <v>2039</v>
      </c>
      <c r="C5309" s="85">
        <v>7</v>
      </c>
      <c r="D5309" s="85" t="s">
        <v>69</v>
      </c>
      <c r="E5309" s="85">
        <v>9</v>
      </c>
      <c r="F5309" s="85">
        <v>6</v>
      </c>
      <c r="G5309" s="85">
        <f>--(F5309&lt;=Estimator!$B$7)</f>
        <v>0</v>
      </c>
      <c r="H5309" s="86">
        <f>SUMIFS('Climate Data'!$G$7:$G$366,'Climate Data'!$A$7:$A$366,Estimator!$B$4,'Climate Data'!$B$7:$B$366,C5309)</f>
        <v>0.24731182795698925</v>
      </c>
      <c r="I5309" s="87">
        <f>SUMIFS('Climate Data'!$H$7:$H$366,'Climate Data'!$A$7:$A$366,Estimator!$B$4,'Climate Data'!$B$7:$B$366,C5309)</f>
        <v>8.3739130434782609</v>
      </c>
      <c r="J5309" s="86">
        <f>SUMIFS('Wind Proxy'!$H$8:$H$19,'Wind Proxy'!$A$8:$A$19,Estimator!$B$4,'Wind Proxy'!$B$8:$B$19,C5309)</f>
        <v>0</v>
      </c>
    </row>
    <row r="5310" spans="1:10" ht="14.4">
      <c r="A5310" s="84">
        <v>50961</v>
      </c>
      <c r="B5310" s="85">
        <v>2039</v>
      </c>
      <c r="C5310" s="85">
        <v>7</v>
      </c>
      <c r="D5310" s="85" t="s">
        <v>69</v>
      </c>
      <c r="E5310" s="85">
        <v>10</v>
      </c>
      <c r="F5310" s="85">
        <v>7</v>
      </c>
      <c r="G5310" s="85">
        <f>--(F5310&lt;=Estimator!$B$7)</f>
        <v>0</v>
      </c>
      <c r="H5310" s="86">
        <f>SUMIFS('Climate Data'!$G$7:$G$366,'Climate Data'!$A$7:$A$366,Estimator!$B$4,'Climate Data'!$B$7:$B$366,C5310)</f>
        <v>0.24731182795698925</v>
      </c>
      <c r="I5310" s="87">
        <f>SUMIFS('Climate Data'!$H$7:$H$366,'Climate Data'!$A$7:$A$366,Estimator!$B$4,'Climate Data'!$B$7:$B$366,C5310)</f>
        <v>8.3739130434782609</v>
      </c>
      <c r="J5310" s="86">
        <f>SUMIFS('Wind Proxy'!$H$8:$H$19,'Wind Proxy'!$A$8:$A$19,Estimator!$B$4,'Wind Proxy'!$B$8:$B$19,C5310)</f>
        <v>0</v>
      </c>
    </row>
    <row r="5311" spans="1:10" ht="14.4">
      <c r="A5311" s="84">
        <v>50962</v>
      </c>
      <c r="B5311" s="85">
        <v>2039</v>
      </c>
      <c r="C5311" s="85">
        <v>7</v>
      </c>
      <c r="D5311" s="85" t="s">
        <v>69</v>
      </c>
      <c r="E5311" s="85">
        <v>11</v>
      </c>
      <c r="F5311" s="85">
        <v>1</v>
      </c>
      <c r="G5311" s="85">
        <f>--(F5311&lt;=Estimator!$B$7)</f>
        <v>1</v>
      </c>
      <c r="H5311" s="86">
        <f>SUMIFS('Climate Data'!$G$7:$G$366,'Climate Data'!$A$7:$A$366,Estimator!$B$4,'Climate Data'!$B$7:$B$366,C5311)</f>
        <v>0.24731182795698925</v>
      </c>
      <c r="I5311" s="87">
        <f>SUMIFS('Climate Data'!$H$7:$H$366,'Climate Data'!$A$7:$A$366,Estimator!$B$4,'Climate Data'!$B$7:$B$366,C5311)</f>
        <v>8.3739130434782609</v>
      </c>
      <c r="J5311" s="86">
        <f>SUMIFS('Wind Proxy'!$H$8:$H$19,'Wind Proxy'!$A$8:$A$19,Estimator!$B$4,'Wind Proxy'!$B$8:$B$19,C5311)</f>
        <v>0</v>
      </c>
    </row>
    <row r="5312" spans="1:10" ht="14.4">
      <c r="A5312" s="84">
        <v>50963</v>
      </c>
      <c r="B5312" s="85">
        <v>2039</v>
      </c>
      <c r="C5312" s="85">
        <v>7</v>
      </c>
      <c r="D5312" s="85" t="s">
        <v>69</v>
      </c>
      <c r="E5312" s="85">
        <v>12</v>
      </c>
      <c r="F5312" s="85">
        <v>2</v>
      </c>
      <c r="G5312" s="85">
        <f>--(F5312&lt;=Estimator!$B$7)</f>
        <v>1</v>
      </c>
      <c r="H5312" s="86">
        <f>SUMIFS('Climate Data'!$G$7:$G$366,'Climate Data'!$A$7:$A$366,Estimator!$B$4,'Climate Data'!$B$7:$B$366,C5312)</f>
        <v>0.24731182795698925</v>
      </c>
      <c r="I5312" s="87">
        <f>SUMIFS('Climate Data'!$H$7:$H$366,'Climate Data'!$A$7:$A$366,Estimator!$B$4,'Climate Data'!$B$7:$B$366,C5312)</f>
        <v>8.3739130434782609</v>
      </c>
      <c r="J5312" s="86">
        <f>SUMIFS('Wind Proxy'!$H$8:$H$19,'Wind Proxy'!$A$8:$A$19,Estimator!$B$4,'Wind Proxy'!$B$8:$B$19,C5312)</f>
        <v>0</v>
      </c>
    </row>
    <row r="5313" spans="1:10" ht="14.4">
      <c r="A5313" s="84">
        <v>50964</v>
      </c>
      <c r="B5313" s="85">
        <v>2039</v>
      </c>
      <c r="C5313" s="85">
        <v>7</v>
      </c>
      <c r="D5313" s="85" t="s">
        <v>69</v>
      </c>
      <c r="E5313" s="85">
        <v>13</v>
      </c>
      <c r="F5313" s="85">
        <v>3</v>
      </c>
      <c r="G5313" s="85">
        <f>--(F5313&lt;=Estimator!$B$7)</f>
        <v>1</v>
      </c>
      <c r="H5313" s="86">
        <f>SUMIFS('Climate Data'!$G$7:$G$366,'Climate Data'!$A$7:$A$366,Estimator!$B$4,'Climate Data'!$B$7:$B$366,C5313)</f>
        <v>0.24731182795698925</v>
      </c>
      <c r="I5313" s="87">
        <f>SUMIFS('Climate Data'!$H$7:$H$366,'Climate Data'!$A$7:$A$366,Estimator!$B$4,'Climate Data'!$B$7:$B$366,C5313)</f>
        <v>8.3739130434782609</v>
      </c>
      <c r="J5313" s="86">
        <f>SUMIFS('Wind Proxy'!$H$8:$H$19,'Wind Proxy'!$A$8:$A$19,Estimator!$B$4,'Wind Proxy'!$B$8:$B$19,C5313)</f>
        <v>0</v>
      </c>
    </row>
    <row r="5314" spans="1:10" ht="14.4">
      <c r="A5314" s="84">
        <v>50965</v>
      </c>
      <c r="B5314" s="85">
        <v>2039</v>
      </c>
      <c r="C5314" s="85">
        <v>7</v>
      </c>
      <c r="D5314" s="85" t="s">
        <v>69</v>
      </c>
      <c r="E5314" s="85">
        <v>14</v>
      </c>
      <c r="F5314" s="85">
        <v>4</v>
      </c>
      <c r="G5314" s="85">
        <f>--(F5314&lt;=Estimator!$B$7)</f>
        <v>1</v>
      </c>
      <c r="H5314" s="86">
        <f>SUMIFS('Climate Data'!$G$7:$G$366,'Climate Data'!$A$7:$A$366,Estimator!$B$4,'Climate Data'!$B$7:$B$366,C5314)</f>
        <v>0.24731182795698925</v>
      </c>
      <c r="I5314" s="87">
        <f>SUMIFS('Climate Data'!$H$7:$H$366,'Climate Data'!$A$7:$A$366,Estimator!$B$4,'Climate Data'!$B$7:$B$366,C5314)</f>
        <v>8.3739130434782609</v>
      </c>
      <c r="J5314" s="86">
        <f>SUMIFS('Wind Proxy'!$H$8:$H$19,'Wind Proxy'!$A$8:$A$19,Estimator!$B$4,'Wind Proxy'!$B$8:$B$19,C5314)</f>
        <v>0</v>
      </c>
    </row>
    <row r="5315" spans="1:10" ht="14.4">
      <c r="A5315" s="84">
        <v>50966</v>
      </c>
      <c r="B5315" s="85">
        <v>2039</v>
      </c>
      <c r="C5315" s="85">
        <v>7</v>
      </c>
      <c r="D5315" s="85" t="s">
        <v>69</v>
      </c>
      <c r="E5315" s="85">
        <v>15</v>
      </c>
      <c r="F5315" s="85">
        <v>5</v>
      </c>
      <c r="G5315" s="85">
        <f>--(F5315&lt;=Estimator!$B$7)</f>
        <v>1</v>
      </c>
      <c r="H5315" s="86">
        <f>SUMIFS('Climate Data'!$G$7:$G$366,'Climate Data'!$A$7:$A$366,Estimator!$B$4,'Climate Data'!$B$7:$B$366,C5315)</f>
        <v>0.24731182795698925</v>
      </c>
      <c r="I5315" s="87">
        <f>SUMIFS('Climate Data'!$H$7:$H$366,'Climate Data'!$A$7:$A$366,Estimator!$B$4,'Climate Data'!$B$7:$B$366,C5315)</f>
        <v>8.3739130434782609</v>
      </c>
      <c r="J5315" s="86">
        <f>SUMIFS('Wind Proxy'!$H$8:$H$19,'Wind Proxy'!$A$8:$A$19,Estimator!$B$4,'Wind Proxy'!$B$8:$B$19,C5315)</f>
        <v>0</v>
      </c>
    </row>
    <row r="5316" spans="1:10" ht="14.4">
      <c r="A5316" s="84">
        <v>50967</v>
      </c>
      <c r="B5316" s="85">
        <v>2039</v>
      </c>
      <c r="C5316" s="85">
        <v>7</v>
      </c>
      <c r="D5316" s="85" t="s">
        <v>69</v>
      </c>
      <c r="E5316" s="85">
        <v>16</v>
      </c>
      <c r="F5316" s="85">
        <v>6</v>
      </c>
      <c r="G5316" s="85">
        <f>--(F5316&lt;=Estimator!$B$7)</f>
        <v>0</v>
      </c>
      <c r="H5316" s="86">
        <f>SUMIFS('Climate Data'!$G$7:$G$366,'Climate Data'!$A$7:$A$366,Estimator!$B$4,'Climate Data'!$B$7:$B$366,C5316)</f>
        <v>0.24731182795698925</v>
      </c>
      <c r="I5316" s="87">
        <f>SUMIFS('Climate Data'!$H$7:$H$366,'Climate Data'!$A$7:$A$366,Estimator!$B$4,'Climate Data'!$B$7:$B$366,C5316)</f>
        <v>8.3739130434782609</v>
      </c>
      <c r="J5316" s="86">
        <f>SUMIFS('Wind Proxy'!$H$8:$H$19,'Wind Proxy'!$A$8:$A$19,Estimator!$B$4,'Wind Proxy'!$B$8:$B$19,C5316)</f>
        <v>0</v>
      </c>
    </row>
    <row r="5317" spans="1:10" ht="14.4">
      <c r="A5317" s="84">
        <v>50968</v>
      </c>
      <c r="B5317" s="85">
        <v>2039</v>
      </c>
      <c r="C5317" s="85">
        <v>7</v>
      </c>
      <c r="D5317" s="85" t="s">
        <v>69</v>
      </c>
      <c r="E5317" s="85">
        <v>17</v>
      </c>
      <c r="F5317" s="85">
        <v>7</v>
      </c>
      <c r="G5317" s="85">
        <f>--(F5317&lt;=Estimator!$B$7)</f>
        <v>0</v>
      </c>
      <c r="H5317" s="86">
        <f>SUMIFS('Climate Data'!$G$7:$G$366,'Climate Data'!$A$7:$A$366,Estimator!$B$4,'Climate Data'!$B$7:$B$366,C5317)</f>
        <v>0.24731182795698925</v>
      </c>
      <c r="I5317" s="87">
        <f>SUMIFS('Climate Data'!$H$7:$H$366,'Climate Data'!$A$7:$A$366,Estimator!$B$4,'Climate Data'!$B$7:$B$366,C5317)</f>
        <v>8.3739130434782609</v>
      </c>
      <c r="J5317" s="86">
        <f>SUMIFS('Wind Proxy'!$H$8:$H$19,'Wind Proxy'!$A$8:$A$19,Estimator!$B$4,'Wind Proxy'!$B$8:$B$19,C5317)</f>
        <v>0</v>
      </c>
    </row>
    <row r="5318" spans="1:10" ht="14.4">
      <c r="A5318" s="84">
        <v>50969</v>
      </c>
      <c r="B5318" s="85">
        <v>2039</v>
      </c>
      <c r="C5318" s="85">
        <v>7</v>
      </c>
      <c r="D5318" s="85" t="s">
        <v>69</v>
      </c>
      <c r="E5318" s="85">
        <v>18</v>
      </c>
      <c r="F5318" s="85">
        <v>1</v>
      </c>
      <c r="G5318" s="85">
        <f>--(F5318&lt;=Estimator!$B$7)</f>
        <v>1</v>
      </c>
      <c r="H5318" s="86">
        <f>SUMIFS('Climate Data'!$G$7:$G$366,'Climate Data'!$A$7:$A$366,Estimator!$B$4,'Climate Data'!$B$7:$B$366,C5318)</f>
        <v>0.24731182795698925</v>
      </c>
      <c r="I5318" s="87">
        <f>SUMIFS('Climate Data'!$H$7:$H$366,'Climate Data'!$A$7:$A$366,Estimator!$B$4,'Climate Data'!$B$7:$B$366,C5318)</f>
        <v>8.3739130434782609</v>
      </c>
      <c r="J5318" s="86">
        <f>SUMIFS('Wind Proxy'!$H$8:$H$19,'Wind Proxy'!$A$8:$A$19,Estimator!$B$4,'Wind Proxy'!$B$8:$B$19,C5318)</f>
        <v>0</v>
      </c>
    </row>
    <row r="5319" spans="1:10" ht="14.4">
      <c r="A5319" s="84">
        <v>50970</v>
      </c>
      <c r="B5319" s="85">
        <v>2039</v>
      </c>
      <c r="C5319" s="85">
        <v>7</v>
      </c>
      <c r="D5319" s="85" t="s">
        <v>69</v>
      </c>
      <c r="E5319" s="85">
        <v>19</v>
      </c>
      <c r="F5319" s="85">
        <v>2</v>
      </c>
      <c r="G5319" s="85">
        <f>--(F5319&lt;=Estimator!$B$7)</f>
        <v>1</v>
      </c>
      <c r="H5319" s="86">
        <f>SUMIFS('Climate Data'!$G$7:$G$366,'Climate Data'!$A$7:$A$366,Estimator!$B$4,'Climate Data'!$B$7:$B$366,C5319)</f>
        <v>0.24731182795698925</v>
      </c>
      <c r="I5319" s="87">
        <f>SUMIFS('Climate Data'!$H$7:$H$366,'Climate Data'!$A$7:$A$366,Estimator!$B$4,'Climate Data'!$B$7:$B$366,C5319)</f>
        <v>8.3739130434782609</v>
      </c>
      <c r="J5319" s="86">
        <f>SUMIFS('Wind Proxy'!$H$8:$H$19,'Wind Proxy'!$A$8:$A$19,Estimator!$B$4,'Wind Proxy'!$B$8:$B$19,C5319)</f>
        <v>0</v>
      </c>
    </row>
    <row r="5320" spans="1:10" ht="14.4">
      <c r="A5320" s="84">
        <v>50971</v>
      </c>
      <c r="B5320" s="85">
        <v>2039</v>
      </c>
      <c r="C5320" s="85">
        <v>7</v>
      </c>
      <c r="D5320" s="85" t="s">
        <v>69</v>
      </c>
      <c r="E5320" s="85">
        <v>20</v>
      </c>
      <c r="F5320" s="85">
        <v>3</v>
      </c>
      <c r="G5320" s="85">
        <f>--(F5320&lt;=Estimator!$B$7)</f>
        <v>1</v>
      </c>
      <c r="H5320" s="86">
        <f>SUMIFS('Climate Data'!$G$7:$G$366,'Climate Data'!$A$7:$A$366,Estimator!$B$4,'Climate Data'!$B$7:$B$366,C5320)</f>
        <v>0.24731182795698925</v>
      </c>
      <c r="I5320" s="87">
        <f>SUMIFS('Climate Data'!$H$7:$H$366,'Climate Data'!$A$7:$A$366,Estimator!$B$4,'Climate Data'!$B$7:$B$366,C5320)</f>
        <v>8.3739130434782609</v>
      </c>
      <c r="J5320" s="86">
        <f>SUMIFS('Wind Proxy'!$H$8:$H$19,'Wind Proxy'!$A$8:$A$19,Estimator!$B$4,'Wind Proxy'!$B$8:$B$19,C5320)</f>
        <v>0</v>
      </c>
    </row>
    <row r="5321" spans="1:10" ht="14.4">
      <c r="A5321" s="84">
        <v>50972</v>
      </c>
      <c r="B5321" s="85">
        <v>2039</v>
      </c>
      <c r="C5321" s="85">
        <v>7</v>
      </c>
      <c r="D5321" s="85" t="s">
        <v>69</v>
      </c>
      <c r="E5321" s="85">
        <v>21</v>
      </c>
      <c r="F5321" s="85">
        <v>4</v>
      </c>
      <c r="G5321" s="85">
        <f>--(F5321&lt;=Estimator!$B$7)</f>
        <v>1</v>
      </c>
      <c r="H5321" s="86">
        <f>SUMIFS('Climate Data'!$G$7:$G$366,'Climate Data'!$A$7:$A$366,Estimator!$B$4,'Climate Data'!$B$7:$B$366,C5321)</f>
        <v>0.24731182795698925</v>
      </c>
      <c r="I5321" s="87">
        <f>SUMIFS('Climate Data'!$H$7:$H$366,'Climate Data'!$A$7:$A$366,Estimator!$B$4,'Climate Data'!$B$7:$B$366,C5321)</f>
        <v>8.3739130434782609</v>
      </c>
      <c r="J5321" s="86">
        <f>SUMIFS('Wind Proxy'!$H$8:$H$19,'Wind Proxy'!$A$8:$A$19,Estimator!$B$4,'Wind Proxy'!$B$8:$B$19,C5321)</f>
        <v>0</v>
      </c>
    </row>
    <row r="5322" spans="1:10" ht="14.4">
      <c r="A5322" s="84">
        <v>50973</v>
      </c>
      <c r="B5322" s="85">
        <v>2039</v>
      </c>
      <c r="C5322" s="85">
        <v>7</v>
      </c>
      <c r="D5322" s="85" t="s">
        <v>69</v>
      </c>
      <c r="E5322" s="85">
        <v>22</v>
      </c>
      <c r="F5322" s="85">
        <v>5</v>
      </c>
      <c r="G5322" s="85">
        <f>--(F5322&lt;=Estimator!$B$7)</f>
        <v>1</v>
      </c>
      <c r="H5322" s="86">
        <f>SUMIFS('Climate Data'!$G$7:$G$366,'Climate Data'!$A$7:$A$366,Estimator!$B$4,'Climate Data'!$B$7:$B$366,C5322)</f>
        <v>0.24731182795698925</v>
      </c>
      <c r="I5322" s="87">
        <f>SUMIFS('Climate Data'!$H$7:$H$366,'Climate Data'!$A$7:$A$366,Estimator!$B$4,'Climate Data'!$B$7:$B$366,C5322)</f>
        <v>8.3739130434782609</v>
      </c>
      <c r="J5322" s="86">
        <f>SUMIFS('Wind Proxy'!$H$8:$H$19,'Wind Proxy'!$A$8:$A$19,Estimator!$B$4,'Wind Proxy'!$B$8:$B$19,C5322)</f>
        <v>0</v>
      </c>
    </row>
    <row r="5323" spans="1:10" ht="14.4">
      <c r="A5323" s="84">
        <v>50974</v>
      </c>
      <c r="B5323" s="85">
        <v>2039</v>
      </c>
      <c r="C5323" s="85">
        <v>7</v>
      </c>
      <c r="D5323" s="85" t="s">
        <v>69</v>
      </c>
      <c r="E5323" s="85">
        <v>23</v>
      </c>
      <c r="F5323" s="85">
        <v>6</v>
      </c>
      <c r="G5323" s="85">
        <f>--(F5323&lt;=Estimator!$B$7)</f>
        <v>0</v>
      </c>
      <c r="H5323" s="86">
        <f>SUMIFS('Climate Data'!$G$7:$G$366,'Climate Data'!$A$7:$A$366,Estimator!$B$4,'Climate Data'!$B$7:$B$366,C5323)</f>
        <v>0.24731182795698925</v>
      </c>
      <c r="I5323" s="87">
        <f>SUMIFS('Climate Data'!$H$7:$H$366,'Climate Data'!$A$7:$A$366,Estimator!$B$4,'Climate Data'!$B$7:$B$366,C5323)</f>
        <v>8.3739130434782609</v>
      </c>
      <c r="J5323" s="86">
        <f>SUMIFS('Wind Proxy'!$H$8:$H$19,'Wind Proxy'!$A$8:$A$19,Estimator!$B$4,'Wind Proxy'!$B$8:$B$19,C5323)</f>
        <v>0</v>
      </c>
    </row>
    <row r="5324" spans="1:10" ht="14.4">
      <c r="A5324" s="84">
        <v>50975</v>
      </c>
      <c r="B5324" s="85">
        <v>2039</v>
      </c>
      <c r="C5324" s="85">
        <v>7</v>
      </c>
      <c r="D5324" s="85" t="s">
        <v>69</v>
      </c>
      <c r="E5324" s="85">
        <v>24</v>
      </c>
      <c r="F5324" s="85">
        <v>7</v>
      </c>
      <c r="G5324" s="85">
        <f>--(F5324&lt;=Estimator!$B$7)</f>
        <v>0</v>
      </c>
      <c r="H5324" s="86">
        <f>SUMIFS('Climate Data'!$G$7:$G$366,'Climate Data'!$A$7:$A$366,Estimator!$B$4,'Climate Data'!$B$7:$B$366,C5324)</f>
        <v>0.24731182795698925</v>
      </c>
      <c r="I5324" s="87">
        <f>SUMIFS('Climate Data'!$H$7:$H$366,'Climate Data'!$A$7:$A$366,Estimator!$B$4,'Climate Data'!$B$7:$B$366,C5324)</f>
        <v>8.3739130434782609</v>
      </c>
      <c r="J5324" s="86">
        <f>SUMIFS('Wind Proxy'!$H$8:$H$19,'Wind Proxy'!$A$8:$A$19,Estimator!$B$4,'Wind Proxy'!$B$8:$B$19,C5324)</f>
        <v>0</v>
      </c>
    </row>
    <row r="5325" spans="1:10" ht="14.4">
      <c r="A5325" s="84">
        <v>50976</v>
      </c>
      <c r="B5325" s="85">
        <v>2039</v>
      </c>
      <c r="C5325" s="85">
        <v>7</v>
      </c>
      <c r="D5325" s="85" t="s">
        <v>69</v>
      </c>
      <c r="E5325" s="85">
        <v>25</v>
      </c>
      <c r="F5325" s="85">
        <v>1</v>
      </c>
      <c r="G5325" s="85">
        <f>--(F5325&lt;=Estimator!$B$7)</f>
        <v>1</v>
      </c>
      <c r="H5325" s="86">
        <f>SUMIFS('Climate Data'!$G$7:$G$366,'Climate Data'!$A$7:$A$366,Estimator!$B$4,'Climate Data'!$B$7:$B$366,C5325)</f>
        <v>0.24731182795698925</v>
      </c>
      <c r="I5325" s="87">
        <f>SUMIFS('Climate Data'!$H$7:$H$366,'Climate Data'!$A$7:$A$366,Estimator!$B$4,'Climate Data'!$B$7:$B$366,C5325)</f>
        <v>8.3739130434782609</v>
      </c>
      <c r="J5325" s="86">
        <f>SUMIFS('Wind Proxy'!$H$8:$H$19,'Wind Proxy'!$A$8:$A$19,Estimator!$B$4,'Wind Proxy'!$B$8:$B$19,C5325)</f>
        <v>0</v>
      </c>
    </row>
    <row r="5326" spans="1:10" ht="14.4">
      <c r="A5326" s="84">
        <v>50977</v>
      </c>
      <c r="B5326" s="85">
        <v>2039</v>
      </c>
      <c r="C5326" s="85">
        <v>7</v>
      </c>
      <c r="D5326" s="85" t="s">
        <v>69</v>
      </c>
      <c r="E5326" s="85">
        <v>26</v>
      </c>
      <c r="F5326" s="85">
        <v>2</v>
      </c>
      <c r="G5326" s="85">
        <f>--(F5326&lt;=Estimator!$B$7)</f>
        <v>1</v>
      </c>
      <c r="H5326" s="86">
        <f>SUMIFS('Climate Data'!$G$7:$G$366,'Climate Data'!$A$7:$A$366,Estimator!$B$4,'Climate Data'!$B$7:$B$366,C5326)</f>
        <v>0.24731182795698925</v>
      </c>
      <c r="I5326" s="87">
        <f>SUMIFS('Climate Data'!$H$7:$H$366,'Climate Data'!$A$7:$A$366,Estimator!$B$4,'Climate Data'!$B$7:$B$366,C5326)</f>
        <v>8.3739130434782609</v>
      </c>
      <c r="J5326" s="86">
        <f>SUMIFS('Wind Proxy'!$H$8:$H$19,'Wind Proxy'!$A$8:$A$19,Estimator!$B$4,'Wind Proxy'!$B$8:$B$19,C5326)</f>
        <v>0</v>
      </c>
    </row>
    <row r="5327" spans="1:10" ht="14.4">
      <c r="A5327" s="84">
        <v>50978</v>
      </c>
      <c r="B5327" s="85">
        <v>2039</v>
      </c>
      <c r="C5327" s="85">
        <v>7</v>
      </c>
      <c r="D5327" s="85" t="s">
        <v>69</v>
      </c>
      <c r="E5327" s="85">
        <v>27</v>
      </c>
      <c r="F5327" s="85">
        <v>3</v>
      </c>
      <c r="G5327" s="85">
        <f>--(F5327&lt;=Estimator!$B$7)</f>
        <v>1</v>
      </c>
      <c r="H5327" s="86">
        <f>SUMIFS('Climate Data'!$G$7:$G$366,'Climate Data'!$A$7:$A$366,Estimator!$B$4,'Climate Data'!$B$7:$B$366,C5327)</f>
        <v>0.24731182795698925</v>
      </c>
      <c r="I5327" s="87">
        <f>SUMIFS('Climate Data'!$H$7:$H$366,'Climate Data'!$A$7:$A$366,Estimator!$B$4,'Climate Data'!$B$7:$B$366,C5327)</f>
        <v>8.3739130434782609</v>
      </c>
      <c r="J5327" s="86">
        <f>SUMIFS('Wind Proxy'!$H$8:$H$19,'Wind Proxy'!$A$8:$A$19,Estimator!$B$4,'Wind Proxy'!$B$8:$B$19,C5327)</f>
        <v>0</v>
      </c>
    </row>
    <row r="5328" spans="1:10" ht="14.4">
      <c r="A5328" s="84">
        <v>50979</v>
      </c>
      <c r="B5328" s="85">
        <v>2039</v>
      </c>
      <c r="C5328" s="85">
        <v>7</v>
      </c>
      <c r="D5328" s="85" t="s">
        <v>69</v>
      </c>
      <c r="E5328" s="85">
        <v>28</v>
      </c>
      <c r="F5328" s="85">
        <v>4</v>
      </c>
      <c r="G5328" s="85">
        <f>--(F5328&lt;=Estimator!$B$7)</f>
        <v>1</v>
      </c>
      <c r="H5328" s="86">
        <f>SUMIFS('Climate Data'!$G$7:$G$366,'Climate Data'!$A$7:$A$366,Estimator!$B$4,'Climate Data'!$B$7:$B$366,C5328)</f>
        <v>0.24731182795698925</v>
      </c>
      <c r="I5328" s="87">
        <f>SUMIFS('Climate Data'!$H$7:$H$366,'Climate Data'!$A$7:$A$366,Estimator!$B$4,'Climate Data'!$B$7:$B$366,C5328)</f>
        <v>8.3739130434782609</v>
      </c>
      <c r="J5328" s="86">
        <f>SUMIFS('Wind Proxy'!$H$8:$H$19,'Wind Proxy'!$A$8:$A$19,Estimator!$B$4,'Wind Proxy'!$B$8:$B$19,C5328)</f>
        <v>0</v>
      </c>
    </row>
    <row r="5329" spans="1:10" ht="14.4">
      <c r="A5329" s="84">
        <v>50980</v>
      </c>
      <c r="B5329" s="85">
        <v>2039</v>
      </c>
      <c r="C5329" s="85">
        <v>7</v>
      </c>
      <c r="D5329" s="85" t="s">
        <v>69</v>
      </c>
      <c r="E5329" s="85">
        <v>29</v>
      </c>
      <c r="F5329" s="85">
        <v>5</v>
      </c>
      <c r="G5329" s="85">
        <f>--(F5329&lt;=Estimator!$B$7)</f>
        <v>1</v>
      </c>
      <c r="H5329" s="86">
        <f>SUMIFS('Climate Data'!$G$7:$G$366,'Climate Data'!$A$7:$A$366,Estimator!$B$4,'Climate Data'!$B$7:$B$366,C5329)</f>
        <v>0.24731182795698925</v>
      </c>
      <c r="I5329" s="87">
        <f>SUMIFS('Climate Data'!$H$7:$H$366,'Climate Data'!$A$7:$A$366,Estimator!$B$4,'Climate Data'!$B$7:$B$366,C5329)</f>
        <v>8.3739130434782609</v>
      </c>
      <c r="J5329" s="86">
        <f>SUMIFS('Wind Proxy'!$H$8:$H$19,'Wind Proxy'!$A$8:$A$19,Estimator!$B$4,'Wind Proxy'!$B$8:$B$19,C5329)</f>
        <v>0</v>
      </c>
    </row>
    <row r="5330" spans="1:10" ht="14.4">
      <c r="A5330" s="84">
        <v>50981</v>
      </c>
      <c r="B5330" s="85">
        <v>2039</v>
      </c>
      <c r="C5330" s="85">
        <v>7</v>
      </c>
      <c r="D5330" s="85" t="s">
        <v>69</v>
      </c>
      <c r="E5330" s="85">
        <v>30</v>
      </c>
      <c r="F5330" s="85">
        <v>6</v>
      </c>
      <c r="G5330" s="85">
        <f>--(F5330&lt;=Estimator!$B$7)</f>
        <v>0</v>
      </c>
      <c r="H5330" s="86">
        <f>SUMIFS('Climate Data'!$G$7:$G$366,'Climate Data'!$A$7:$A$366,Estimator!$B$4,'Climate Data'!$B$7:$B$366,C5330)</f>
        <v>0.24731182795698925</v>
      </c>
      <c r="I5330" s="87">
        <f>SUMIFS('Climate Data'!$H$7:$H$366,'Climate Data'!$A$7:$A$366,Estimator!$B$4,'Climate Data'!$B$7:$B$366,C5330)</f>
        <v>8.3739130434782609</v>
      </c>
      <c r="J5330" s="86">
        <f>SUMIFS('Wind Proxy'!$H$8:$H$19,'Wind Proxy'!$A$8:$A$19,Estimator!$B$4,'Wind Proxy'!$B$8:$B$19,C5330)</f>
        <v>0</v>
      </c>
    </row>
    <row r="5331" spans="1:10" ht="14.4">
      <c r="A5331" s="84">
        <v>50982</v>
      </c>
      <c r="B5331" s="85">
        <v>2039</v>
      </c>
      <c r="C5331" s="85">
        <v>7</v>
      </c>
      <c r="D5331" s="85" t="s">
        <v>69</v>
      </c>
      <c r="E5331" s="85">
        <v>31</v>
      </c>
      <c r="F5331" s="85">
        <v>7</v>
      </c>
      <c r="G5331" s="85">
        <f>--(F5331&lt;=Estimator!$B$7)</f>
        <v>0</v>
      </c>
      <c r="H5331" s="86">
        <f>SUMIFS('Climate Data'!$G$7:$G$366,'Climate Data'!$A$7:$A$366,Estimator!$B$4,'Climate Data'!$B$7:$B$366,C5331)</f>
        <v>0.24731182795698925</v>
      </c>
      <c r="I5331" s="87">
        <f>SUMIFS('Climate Data'!$H$7:$H$366,'Climate Data'!$A$7:$A$366,Estimator!$B$4,'Climate Data'!$B$7:$B$366,C5331)</f>
        <v>8.3739130434782609</v>
      </c>
      <c r="J5331" s="86">
        <f>SUMIFS('Wind Proxy'!$H$8:$H$19,'Wind Proxy'!$A$8:$A$19,Estimator!$B$4,'Wind Proxy'!$B$8:$B$19,C5331)</f>
        <v>0</v>
      </c>
    </row>
    <row r="5332" spans="1:10" ht="14.4">
      <c r="A5332" s="84">
        <v>50983</v>
      </c>
      <c r="B5332" s="85">
        <v>2039</v>
      </c>
      <c r="C5332" s="85">
        <v>8</v>
      </c>
      <c r="D5332" s="85" t="s">
        <v>71</v>
      </c>
      <c r="E5332" s="85">
        <v>1</v>
      </c>
      <c r="F5332" s="85">
        <v>1</v>
      </c>
      <c r="G5332" s="85">
        <f>--(F5332&lt;=Estimator!$B$7)</f>
        <v>1</v>
      </c>
      <c r="H5332" s="86">
        <f>SUMIFS('Climate Data'!$G$7:$G$366,'Climate Data'!$A$7:$A$366,Estimator!$B$4,'Climate Data'!$B$7:$B$366,C5332)</f>
        <v>0.23548387096774193</v>
      </c>
      <c r="I5332" s="87">
        <f>SUMIFS('Climate Data'!$H$7:$H$366,'Climate Data'!$A$7:$A$366,Estimator!$B$4,'Climate Data'!$B$7:$B$366,C5332)</f>
        <v>7.9589041095890414</v>
      </c>
      <c r="J5332" s="86">
        <f>SUMIFS('Wind Proxy'!$H$8:$H$19,'Wind Proxy'!$A$8:$A$19,Estimator!$B$4,'Wind Proxy'!$B$8:$B$19,C5332)</f>
        <v>0</v>
      </c>
    </row>
    <row r="5333" spans="1:10" ht="14.4">
      <c r="A5333" s="84">
        <v>50984</v>
      </c>
      <c r="B5333" s="85">
        <v>2039</v>
      </c>
      <c r="C5333" s="85">
        <v>8</v>
      </c>
      <c r="D5333" s="85" t="s">
        <v>71</v>
      </c>
      <c r="E5333" s="85">
        <v>2</v>
      </c>
      <c r="F5333" s="85">
        <v>2</v>
      </c>
      <c r="G5333" s="85">
        <f>--(F5333&lt;=Estimator!$B$7)</f>
        <v>1</v>
      </c>
      <c r="H5333" s="86">
        <f>SUMIFS('Climate Data'!$G$7:$G$366,'Climate Data'!$A$7:$A$366,Estimator!$B$4,'Climate Data'!$B$7:$B$366,C5333)</f>
        <v>0.23548387096774193</v>
      </c>
      <c r="I5333" s="87">
        <f>SUMIFS('Climate Data'!$H$7:$H$366,'Climate Data'!$A$7:$A$366,Estimator!$B$4,'Climate Data'!$B$7:$B$366,C5333)</f>
        <v>7.9589041095890414</v>
      </c>
      <c r="J5333" s="86">
        <f>SUMIFS('Wind Proxy'!$H$8:$H$19,'Wind Proxy'!$A$8:$A$19,Estimator!$B$4,'Wind Proxy'!$B$8:$B$19,C5333)</f>
        <v>0</v>
      </c>
    </row>
    <row r="5334" spans="1:10" ht="14.4">
      <c r="A5334" s="84">
        <v>50985</v>
      </c>
      <c r="B5334" s="85">
        <v>2039</v>
      </c>
      <c r="C5334" s="85">
        <v>8</v>
      </c>
      <c r="D5334" s="85" t="s">
        <v>71</v>
      </c>
      <c r="E5334" s="85">
        <v>3</v>
      </c>
      <c r="F5334" s="85">
        <v>3</v>
      </c>
      <c r="G5334" s="85">
        <f>--(F5334&lt;=Estimator!$B$7)</f>
        <v>1</v>
      </c>
      <c r="H5334" s="86">
        <f>SUMIFS('Climate Data'!$G$7:$G$366,'Climate Data'!$A$7:$A$366,Estimator!$B$4,'Climate Data'!$B$7:$B$366,C5334)</f>
        <v>0.23548387096774193</v>
      </c>
      <c r="I5334" s="87">
        <f>SUMIFS('Climate Data'!$H$7:$H$366,'Climate Data'!$A$7:$A$366,Estimator!$B$4,'Climate Data'!$B$7:$B$366,C5334)</f>
        <v>7.9589041095890414</v>
      </c>
      <c r="J5334" s="86">
        <f>SUMIFS('Wind Proxy'!$H$8:$H$19,'Wind Proxy'!$A$8:$A$19,Estimator!$B$4,'Wind Proxy'!$B$8:$B$19,C5334)</f>
        <v>0</v>
      </c>
    </row>
    <row r="5335" spans="1:10" ht="14.4">
      <c r="A5335" s="84">
        <v>50986</v>
      </c>
      <c r="B5335" s="85">
        <v>2039</v>
      </c>
      <c r="C5335" s="85">
        <v>8</v>
      </c>
      <c r="D5335" s="85" t="s">
        <v>71</v>
      </c>
      <c r="E5335" s="85">
        <v>4</v>
      </c>
      <c r="F5335" s="85">
        <v>4</v>
      </c>
      <c r="G5335" s="85">
        <f>--(F5335&lt;=Estimator!$B$7)</f>
        <v>1</v>
      </c>
      <c r="H5335" s="86">
        <f>SUMIFS('Climate Data'!$G$7:$G$366,'Climate Data'!$A$7:$A$366,Estimator!$B$4,'Climate Data'!$B$7:$B$366,C5335)</f>
        <v>0.23548387096774193</v>
      </c>
      <c r="I5335" s="87">
        <f>SUMIFS('Climate Data'!$H$7:$H$366,'Climate Data'!$A$7:$A$366,Estimator!$B$4,'Climate Data'!$B$7:$B$366,C5335)</f>
        <v>7.9589041095890414</v>
      </c>
      <c r="J5335" s="86">
        <f>SUMIFS('Wind Proxy'!$H$8:$H$19,'Wind Proxy'!$A$8:$A$19,Estimator!$B$4,'Wind Proxy'!$B$8:$B$19,C5335)</f>
        <v>0</v>
      </c>
    </row>
    <row r="5336" spans="1:10" ht="14.4">
      <c r="A5336" s="84">
        <v>50987</v>
      </c>
      <c r="B5336" s="85">
        <v>2039</v>
      </c>
      <c r="C5336" s="85">
        <v>8</v>
      </c>
      <c r="D5336" s="85" t="s">
        <v>71</v>
      </c>
      <c r="E5336" s="85">
        <v>5</v>
      </c>
      <c r="F5336" s="85">
        <v>5</v>
      </c>
      <c r="G5336" s="85">
        <f>--(F5336&lt;=Estimator!$B$7)</f>
        <v>1</v>
      </c>
      <c r="H5336" s="86">
        <f>SUMIFS('Climate Data'!$G$7:$G$366,'Climate Data'!$A$7:$A$366,Estimator!$B$4,'Climate Data'!$B$7:$B$366,C5336)</f>
        <v>0.23548387096774193</v>
      </c>
      <c r="I5336" s="87">
        <f>SUMIFS('Climate Data'!$H$7:$H$366,'Climate Data'!$A$7:$A$366,Estimator!$B$4,'Climate Data'!$B$7:$B$366,C5336)</f>
        <v>7.9589041095890414</v>
      </c>
      <c r="J5336" s="86">
        <f>SUMIFS('Wind Proxy'!$H$8:$H$19,'Wind Proxy'!$A$8:$A$19,Estimator!$B$4,'Wind Proxy'!$B$8:$B$19,C5336)</f>
        <v>0</v>
      </c>
    </row>
    <row r="5337" spans="1:10" ht="14.4">
      <c r="A5337" s="84">
        <v>50988</v>
      </c>
      <c r="B5337" s="85">
        <v>2039</v>
      </c>
      <c r="C5337" s="85">
        <v>8</v>
      </c>
      <c r="D5337" s="85" t="s">
        <v>71</v>
      </c>
      <c r="E5337" s="85">
        <v>6</v>
      </c>
      <c r="F5337" s="85">
        <v>6</v>
      </c>
      <c r="G5337" s="85">
        <f>--(F5337&lt;=Estimator!$B$7)</f>
        <v>0</v>
      </c>
      <c r="H5337" s="86">
        <f>SUMIFS('Climate Data'!$G$7:$G$366,'Climate Data'!$A$7:$A$366,Estimator!$B$4,'Climate Data'!$B$7:$B$366,C5337)</f>
        <v>0.23548387096774193</v>
      </c>
      <c r="I5337" s="87">
        <f>SUMIFS('Climate Data'!$H$7:$H$366,'Climate Data'!$A$7:$A$366,Estimator!$B$4,'Climate Data'!$B$7:$B$366,C5337)</f>
        <v>7.9589041095890414</v>
      </c>
      <c r="J5337" s="86">
        <f>SUMIFS('Wind Proxy'!$H$8:$H$19,'Wind Proxy'!$A$8:$A$19,Estimator!$B$4,'Wind Proxy'!$B$8:$B$19,C5337)</f>
        <v>0</v>
      </c>
    </row>
    <row r="5338" spans="1:10" ht="14.4">
      <c r="A5338" s="84">
        <v>50989</v>
      </c>
      <c r="B5338" s="85">
        <v>2039</v>
      </c>
      <c r="C5338" s="85">
        <v>8</v>
      </c>
      <c r="D5338" s="85" t="s">
        <v>71</v>
      </c>
      <c r="E5338" s="85">
        <v>7</v>
      </c>
      <c r="F5338" s="85">
        <v>7</v>
      </c>
      <c r="G5338" s="85">
        <f>--(F5338&lt;=Estimator!$B$7)</f>
        <v>0</v>
      </c>
      <c r="H5338" s="86">
        <f>SUMIFS('Climate Data'!$G$7:$G$366,'Climate Data'!$A$7:$A$366,Estimator!$B$4,'Climate Data'!$B$7:$B$366,C5338)</f>
        <v>0.23548387096774193</v>
      </c>
      <c r="I5338" s="87">
        <f>SUMIFS('Climate Data'!$H$7:$H$366,'Climate Data'!$A$7:$A$366,Estimator!$B$4,'Climate Data'!$B$7:$B$366,C5338)</f>
        <v>7.9589041095890414</v>
      </c>
      <c r="J5338" s="86">
        <f>SUMIFS('Wind Proxy'!$H$8:$H$19,'Wind Proxy'!$A$8:$A$19,Estimator!$B$4,'Wind Proxy'!$B$8:$B$19,C5338)</f>
        <v>0</v>
      </c>
    </row>
    <row r="5339" spans="1:10" ht="14.4">
      <c r="A5339" s="84">
        <v>50990</v>
      </c>
      <c r="B5339" s="85">
        <v>2039</v>
      </c>
      <c r="C5339" s="85">
        <v>8</v>
      </c>
      <c r="D5339" s="85" t="s">
        <v>71</v>
      </c>
      <c r="E5339" s="85">
        <v>8</v>
      </c>
      <c r="F5339" s="85">
        <v>1</v>
      </c>
      <c r="G5339" s="85">
        <f>--(F5339&lt;=Estimator!$B$7)</f>
        <v>1</v>
      </c>
      <c r="H5339" s="86">
        <f>SUMIFS('Climate Data'!$G$7:$G$366,'Climate Data'!$A$7:$A$366,Estimator!$B$4,'Climate Data'!$B$7:$B$366,C5339)</f>
        <v>0.23548387096774193</v>
      </c>
      <c r="I5339" s="87">
        <f>SUMIFS('Climate Data'!$H$7:$H$366,'Climate Data'!$A$7:$A$366,Estimator!$B$4,'Climate Data'!$B$7:$B$366,C5339)</f>
        <v>7.9589041095890414</v>
      </c>
      <c r="J5339" s="86">
        <f>SUMIFS('Wind Proxy'!$H$8:$H$19,'Wind Proxy'!$A$8:$A$19,Estimator!$B$4,'Wind Proxy'!$B$8:$B$19,C5339)</f>
        <v>0</v>
      </c>
    </row>
    <row r="5340" spans="1:10" ht="14.4">
      <c r="A5340" s="84">
        <v>50991</v>
      </c>
      <c r="B5340" s="85">
        <v>2039</v>
      </c>
      <c r="C5340" s="85">
        <v>8</v>
      </c>
      <c r="D5340" s="85" t="s">
        <v>71</v>
      </c>
      <c r="E5340" s="85">
        <v>9</v>
      </c>
      <c r="F5340" s="85">
        <v>2</v>
      </c>
      <c r="G5340" s="85">
        <f>--(F5340&lt;=Estimator!$B$7)</f>
        <v>1</v>
      </c>
      <c r="H5340" s="86">
        <f>SUMIFS('Climate Data'!$G$7:$G$366,'Climate Data'!$A$7:$A$366,Estimator!$B$4,'Climate Data'!$B$7:$B$366,C5340)</f>
        <v>0.23548387096774193</v>
      </c>
      <c r="I5340" s="87">
        <f>SUMIFS('Climate Data'!$H$7:$H$366,'Climate Data'!$A$7:$A$366,Estimator!$B$4,'Climate Data'!$B$7:$B$366,C5340)</f>
        <v>7.9589041095890414</v>
      </c>
      <c r="J5340" s="86">
        <f>SUMIFS('Wind Proxy'!$H$8:$H$19,'Wind Proxy'!$A$8:$A$19,Estimator!$B$4,'Wind Proxy'!$B$8:$B$19,C5340)</f>
        <v>0</v>
      </c>
    </row>
    <row r="5341" spans="1:10" ht="14.4">
      <c r="A5341" s="84">
        <v>50992</v>
      </c>
      <c r="B5341" s="85">
        <v>2039</v>
      </c>
      <c r="C5341" s="85">
        <v>8</v>
      </c>
      <c r="D5341" s="85" t="s">
        <v>71</v>
      </c>
      <c r="E5341" s="85">
        <v>10</v>
      </c>
      <c r="F5341" s="85">
        <v>3</v>
      </c>
      <c r="G5341" s="85">
        <f>--(F5341&lt;=Estimator!$B$7)</f>
        <v>1</v>
      </c>
      <c r="H5341" s="86">
        <f>SUMIFS('Climate Data'!$G$7:$G$366,'Climate Data'!$A$7:$A$366,Estimator!$B$4,'Climate Data'!$B$7:$B$366,C5341)</f>
        <v>0.23548387096774193</v>
      </c>
      <c r="I5341" s="87">
        <f>SUMIFS('Climate Data'!$H$7:$H$366,'Climate Data'!$A$7:$A$366,Estimator!$B$4,'Climate Data'!$B$7:$B$366,C5341)</f>
        <v>7.9589041095890414</v>
      </c>
      <c r="J5341" s="86">
        <f>SUMIFS('Wind Proxy'!$H$8:$H$19,'Wind Proxy'!$A$8:$A$19,Estimator!$B$4,'Wind Proxy'!$B$8:$B$19,C5341)</f>
        <v>0</v>
      </c>
    </row>
    <row r="5342" spans="1:10" ht="14.4">
      <c r="A5342" s="84">
        <v>50993</v>
      </c>
      <c r="B5342" s="85">
        <v>2039</v>
      </c>
      <c r="C5342" s="85">
        <v>8</v>
      </c>
      <c r="D5342" s="85" t="s">
        <v>71</v>
      </c>
      <c r="E5342" s="85">
        <v>11</v>
      </c>
      <c r="F5342" s="85">
        <v>4</v>
      </c>
      <c r="G5342" s="85">
        <f>--(F5342&lt;=Estimator!$B$7)</f>
        <v>1</v>
      </c>
      <c r="H5342" s="86">
        <f>SUMIFS('Climate Data'!$G$7:$G$366,'Climate Data'!$A$7:$A$366,Estimator!$B$4,'Climate Data'!$B$7:$B$366,C5342)</f>
        <v>0.23548387096774193</v>
      </c>
      <c r="I5342" s="87">
        <f>SUMIFS('Climate Data'!$H$7:$H$366,'Climate Data'!$A$7:$A$366,Estimator!$B$4,'Climate Data'!$B$7:$B$366,C5342)</f>
        <v>7.9589041095890414</v>
      </c>
      <c r="J5342" s="86">
        <f>SUMIFS('Wind Proxy'!$H$8:$H$19,'Wind Proxy'!$A$8:$A$19,Estimator!$B$4,'Wind Proxy'!$B$8:$B$19,C5342)</f>
        <v>0</v>
      </c>
    </row>
    <row r="5343" spans="1:10" ht="14.4">
      <c r="A5343" s="84">
        <v>50994</v>
      </c>
      <c r="B5343" s="85">
        <v>2039</v>
      </c>
      <c r="C5343" s="85">
        <v>8</v>
      </c>
      <c r="D5343" s="85" t="s">
        <v>71</v>
      </c>
      <c r="E5343" s="85">
        <v>12</v>
      </c>
      <c r="F5343" s="85">
        <v>5</v>
      </c>
      <c r="G5343" s="85">
        <f>--(F5343&lt;=Estimator!$B$7)</f>
        <v>1</v>
      </c>
      <c r="H5343" s="86">
        <f>SUMIFS('Climate Data'!$G$7:$G$366,'Climate Data'!$A$7:$A$366,Estimator!$B$4,'Climate Data'!$B$7:$B$366,C5343)</f>
        <v>0.23548387096774193</v>
      </c>
      <c r="I5343" s="87">
        <f>SUMIFS('Climate Data'!$H$7:$H$366,'Climate Data'!$A$7:$A$366,Estimator!$B$4,'Climate Data'!$B$7:$B$366,C5343)</f>
        <v>7.9589041095890414</v>
      </c>
      <c r="J5343" s="86">
        <f>SUMIFS('Wind Proxy'!$H$8:$H$19,'Wind Proxy'!$A$8:$A$19,Estimator!$B$4,'Wind Proxy'!$B$8:$B$19,C5343)</f>
        <v>0</v>
      </c>
    </row>
    <row r="5344" spans="1:10" ht="14.4">
      <c r="A5344" s="84">
        <v>50995</v>
      </c>
      <c r="B5344" s="85">
        <v>2039</v>
      </c>
      <c r="C5344" s="85">
        <v>8</v>
      </c>
      <c r="D5344" s="85" t="s">
        <v>71</v>
      </c>
      <c r="E5344" s="85">
        <v>13</v>
      </c>
      <c r="F5344" s="85">
        <v>6</v>
      </c>
      <c r="G5344" s="85">
        <f>--(F5344&lt;=Estimator!$B$7)</f>
        <v>0</v>
      </c>
      <c r="H5344" s="86">
        <f>SUMIFS('Climate Data'!$G$7:$G$366,'Climate Data'!$A$7:$A$366,Estimator!$B$4,'Climate Data'!$B$7:$B$366,C5344)</f>
        <v>0.23548387096774193</v>
      </c>
      <c r="I5344" s="87">
        <f>SUMIFS('Climate Data'!$H$7:$H$366,'Climate Data'!$A$7:$A$366,Estimator!$B$4,'Climate Data'!$B$7:$B$366,C5344)</f>
        <v>7.9589041095890414</v>
      </c>
      <c r="J5344" s="86">
        <f>SUMIFS('Wind Proxy'!$H$8:$H$19,'Wind Proxy'!$A$8:$A$19,Estimator!$B$4,'Wind Proxy'!$B$8:$B$19,C5344)</f>
        <v>0</v>
      </c>
    </row>
    <row r="5345" spans="1:10" ht="14.4">
      <c r="A5345" s="84">
        <v>50996</v>
      </c>
      <c r="B5345" s="85">
        <v>2039</v>
      </c>
      <c r="C5345" s="85">
        <v>8</v>
      </c>
      <c r="D5345" s="85" t="s">
        <v>71</v>
      </c>
      <c r="E5345" s="85">
        <v>14</v>
      </c>
      <c r="F5345" s="85">
        <v>7</v>
      </c>
      <c r="G5345" s="85">
        <f>--(F5345&lt;=Estimator!$B$7)</f>
        <v>0</v>
      </c>
      <c r="H5345" s="86">
        <f>SUMIFS('Climate Data'!$G$7:$G$366,'Climate Data'!$A$7:$A$366,Estimator!$B$4,'Climate Data'!$B$7:$B$366,C5345)</f>
        <v>0.23548387096774193</v>
      </c>
      <c r="I5345" s="87">
        <f>SUMIFS('Climate Data'!$H$7:$H$366,'Climate Data'!$A$7:$A$366,Estimator!$B$4,'Climate Data'!$B$7:$B$366,C5345)</f>
        <v>7.9589041095890414</v>
      </c>
      <c r="J5345" s="86">
        <f>SUMIFS('Wind Proxy'!$H$8:$H$19,'Wind Proxy'!$A$8:$A$19,Estimator!$B$4,'Wind Proxy'!$B$8:$B$19,C5345)</f>
        <v>0</v>
      </c>
    </row>
    <row r="5346" spans="1:10" ht="14.4">
      <c r="A5346" s="84">
        <v>50997</v>
      </c>
      <c r="B5346" s="85">
        <v>2039</v>
      </c>
      <c r="C5346" s="85">
        <v>8</v>
      </c>
      <c r="D5346" s="85" t="s">
        <v>71</v>
      </c>
      <c r="E5346" s="85">
        <v>15</v>
      </c>
      <c r="F5346" s="85">
        <v>1</v>
      </c>
      <c r="G5346" s="85">
        <f>--(F5346&lt;=Estimator!$B$7)</f>
        <v>1</v>
      </c>
      <c r="H5346" s="86">
        <f>SUMIFS('Climate Data'!$G$7:$G$366,'Climate Data'!$A$7:$A$366,Estimator!$B$4,'Climate Data'!$B$7:$B$366,C5346)</f>
        <v>0.23548387096774193</v>
      </c>
      <c r="I5346" s="87">
        <f>SUMIFS('Climate Data'!$H$7:$H$366,'Climate Data'!$A$7:$A$366,Estimator!$B$4,'Climate Data'!$B$7:$B$366,C5346)</f>
        <v>7.9589041095890414</v>
      </c>
      <c r="J5346" s="86">
        <f>SUMIFS('Wind Proxy'!$H$8:$H$19,'Wind Proxy'!$A$8:$A$19,Estimator!$B$4,'Wind Proxy'!$B$8:$B$19,C5346)</f>
        <v>0</v>
      </c>
    </row>
    <row r="5347" spans="1:10" ht="14.4">
      <c r="A5347" s="84">
        <v>50998</v>
      </c>
      <c r="B5347" s="85">
        <v>2039</v>
      </c>
      <c r="C5347" s="85">
        <v>8</v>
      </c>
      <c r="D5347" s="85" t="s">
        <v>71</v>
      </c>
      <c r="E5347" s="85">
        <v>16</v>
      </c>
      <c r="F5347" s="85">
        <v>2</v>
      </c>
      <c r="G5347" s="85">
        <f>--(F5347&lt;=Estimator!$B$7)</f>
        <v>1</v>
      </c>
      <c r="H5347" s="86">
        <f>SUMIFS('Climate Data'!$G$7:$G$366,'Climate Data'!$A$7:$A$366,Estimator!$B$4,'Climate Data'!$B$7:$B$366,C5347)</f>
        <v>0.23548387096774193</v>
      </c>
      <c r="I5347" s="87">
        <f>SUMIFS('Climate Data'!$H$7:$H$366,'Climate Data'!$A$7:$A$366,Estimator!$B$4,'Climate Data'!$B$7:$B$366,C5347)</f>
        <v>7.9589041095890414</v>
      </c>
      <c r="J5347" s="86">
        <f>SUMIFS('Wind Proxy'!$H$8:$H$19,'Wind Proxy'!$A$8:$A$19,Estimator!$B$4,'Wind Proxy'!$B$8:$B$19,C5347)</f>
        <v>0</v>
      </c>
    </row>
    <row r="5348" spans="1:10" ht="14.4">
      <c r="A5348" s="84">
        <v>50999</v>
      </c>
      <c r="B5348" s="85">
        <v>2039</v>
      </c>
      <c r="C5348" s="85">
        <v>8</v>
      </c>
      <c r="D5348" s="85" t="s">
        <v>71</v>
      </c>
      <c r="E5348" s="85">
        <v>17</v>
      </c>
      <c r="F5348" s="85">
        <v>3</v>
      </c>
      <c r="G5348" s="85">
        <f>--(F5348&lt;=Estimator!$B$7)</f>
        <v>1</v>
      </c>
      <c r="H5348" s="86">
        <f>SUMIFS('Climate Data'!$G$7:$G$366,'Climate Data'!$A$7:$A$366,Estimator!$B$4,'Climate Data'!$B$7:$B$366,C5348)</f>
        <v>0.23548387096774193</v>
      </c>
      <c r="I5348" s="87">
        <f>SUMIFS('Climate Data'!$H$7:$H$366,'Climate Data'!$A$7:$A$366,Estimator!$B$4,'Climate Data'!$B$7:$B$366,C5348)</f>
        <v>7.9589041095890414</v>
      </c>
      <c r="J5348" s="86">
        <f>SUMIFS('Wind Proxy'!$H$8:$H$19,'Wind Proxy'!$A$8:$A$19,Estimator!$B$4,'Wind Proxy'!$B$8:$B$19,C5348)</f>
        <v>0</v>
      </c>
    </row>
    <row r="5349" spans="1:10" ht="14.4">
      <c r="A5349" s="84">
        <v>51000</v>
      </c>
      <c r="B5349" s="85">
        <v>2039</v>
      </c>
      <c r="C5349" s="85">
        <v>8</v>
      </c>
      <c r="D5349" s="85" t="s">
        <v>71</v>
      </c>
      <c r="E5349" s="85">
        <v>18</v>
      </c>
      <c r="F5349" s="85">
        <v>4</v>
      </c>
      <c r="G5349" s="85">
        <f>--(F5349&lt;=Estimator!$B$7)</f>
        <v>1</v>
      </c>
      <c r="H5349" s="86">
        <f>SUMIFS('Climate Data'!$G$7:$G$366,'Climate Data'!$A$7:$A$366,Estimator!$B$4,'Climate Data'!$B$7:$B$366,C5349)</f>
        <v>0.23548387096774193</v>
      </c>
      <c r="I5349" s="87">
        <f>SUMIFS('Climate Data'!$H$7:$H$366,'Climate Data'!$A$7:$A$366,Estimator!$B$4,'Climate Data'!$B$7:$B$366,C5349)</f>
        <v>7.9589041095890414</v>
      </c>
      <c r="J5349" s="86">
        <f>SUMIFS('Wind Proxy'!$H$8:$H$19,'Wind Proxy'!$A$8:$A$19,Estimator!$B$4,'Wind Proxy'!$B$8:$B$19,C5349)</f>
        <v>0</v>
      </c>
    </row>
    <row r="5350" spans="1:10" ht="14.4">
      <c r="A5350" s="84">
        <v>51001</v>
      </c>
      <c r="B5350" s="85">
        <v>2039</v>
      </c>
      <c r="C5350" s="85">
        <v>8</v>
      </c>
      <c r="D5350" s="85" t="s">
        <v>71</v>
      </c>
      <c r="E5350" s="85">
        <v>19</v>
      </c>
      <c r="F5350" s="85">
        <v>5</v>
      </c>
      <c r="G5350" s="85">
        <f>--(F5350&lt;=Estimator!$B$7)</f>
        <v>1</v>
      </c>
      <c r="H5350" s="86">
        <f>SUMIFS('Climate Data'!$G$7:$G$366,'Climate Data'!$A$7:$A$366,Estimator!$B$4,'Climate Data'!$B$7:$B$366,C5350)</f>
        <v>0.23548387096774193</v>
      </c>
      <c r="I5350" s="87">
        <f>SUMIFS('Climate Data'!$H$7:$H$366,'Climate Data'!$A$7:$A$366,Estimator!$B$4,'Climate Data'!$B$7:$B$366,C5350)</f>
        <v>7.9589041095890414</v>
      </c>
      <c r="J5350" s="86">
        <f>SUMIFS('Wind Proxy'!$H$8:$H$19,'Wind Proxy'!$A$8:$A$19,Estimator!$B$4,'Wind Proxy'!$B$8:$B$19,C5350)</f>
        <v>0</v>
      </c>
    </row>
    <row r="5351" spans="1:10" ht="14.4">
      <c r="A5351" s="84">
        <v>51002</v>
      </c>
      <c r="B5351" s="85">
        <v>2039</v>
      </c>
      <c r="C5351" s="85">
        <v>8</v>
      </c>
      <c r="D5351" s="85" t="s">
        <v>71</v>
      </c>
      <c r="E5351" s="85">
        <v>20</v>
      </c>
      <c r="F5351" s="85">
        <v>6</v>
      </c>
      <c r="G5351" s="85">
        <f>--(F5351&lt;=Estimator!$B$7)</f>
        <v>0</v>
      </c>
      <c r="H5351" s="86">
        <f>SUMIFS('Climate Data'!$G$7:$G$366,'Climate Data'!$A$7:$A$366,Estimator!$B$4,'Climate Data'!$B$7:$B$366,C5351)</f>
        <v>0.23548387096774193</v>
      </c>
      <c r="I5351" s="87">
        <f>SUMIFS('Climate Data'!$H$7:$H$366,'Climate Data'!$A$7:$A$366,Estimator!$B$4,'Climate Data'!$B$7:$B$366,C5351)</f>
        <v>7.9589041095890414</v>
      </c>
      <c r="J5351" s="86">
        <f>SUMIFS('Wind Proxy'!$H$8:$H$19,'Wind Proxy'!$A$8:$A$19,Estimator!$B$4,'Wind Proxy'!$B$8:$B$19,C5351)</f>
        <v>0</v>
      </c>
    </row>
    <row r="5352" spans="1:10" ht="14.4">
      <c r="A5352" s="84">
        <v>51003</v>
      </c>
      <c r="B5352" s="85">
        <v>2039</v>
      </c>
      <c r="C5352" s="85">
        <v>8</v>
      </c>
      <c r="D5352" s="85" t="s">
        <v>71</v>
      </c>
      <c r="E5352" s="85">
        <v>21</v>
      </c>
      <c r="F5352" s="85">
        <v>7</v>
      </c>
      <c r="G5352" s="85">
        <f>--(F5352&lt;=Estimator!$B$7)</f>
        <v>0</v>
      </c>
      <c r="H5352" s="86">
        <f>SUMIFS('Climate Data'!$G$7:$G$366,'Climate Data'!$A$7:$A$366,Estimator!$B$4,'Climate Data'!$B$7:$B$366,C5352)</f>
        <v>0.23548387096774193</v>
      </c>
      <c r="I5352" s="87">
        <f>SUMIFS('Climate Data'!$H$7:$H$366,'Climate Data'!$A$7:$A$366,Estimator!$B$4,'Climate Data'!$B$7:$B$366,C5352)</f>
        <v>7.9589041095890414</v>
      </c>
      <c r="J5352" s="86">
        <f>SUMIFS('Wind Proxy'!$H$8:$H$19,'Wind Proxy'!$A$8:$A$19,Estimator!$B$4,'Wind Proxy'!$B$8:$B$19,C5352)</f>
        <v>0</v>
      </c>
    </row>
    <row r="5353" spans="1:10" ht="14.4">
      <c r="A5353" s="84">
        <v>51004</v>
      </c>
      <c r="B5353" s="85">
        <v>2039</v>
      </c>
      <c r="C5353" s="85">
        <v>8</v>
      </c>
      <c r="D5353" s="85" t="s">
        <v>71</v>
      </c>
      <c r="E5353" s="85">
        <v>22</v>
      </c>
      <c r="F5353" s="85">
        <v>1</v>
      </c>
      <c r="G5353" s="85">
        <f>--(F5353&lt;=Estimator!$B$7)</f>
        <v>1</v>
      </c>
      <c r="H5353" s="86">
        <f>SUMIFS('Climate Data'!$G$7:$G$366,'Climate Data'!$A$7:$A$366,Estimator!$B$4,'Climate Data'!$B$7:$B$366,C5353)</f>
        <v>0.23548387096774193</v>
      </c>
      <c r="I5353" s="87">
        <f>SUMIFS('Climate Data'!$H$7:$H$366,'Climate Data'!$A$7:$A$366,Estimator!$B$4,'Climate Data'!$B$7:$B$366,C5353)</f>
        <v>7.9589041095890414</v>
      </c>
      <c r="J5353" s="86">
        <f>SUMIFS('Wind Proxy'!$H$8:$H$19,'Wind Proxy'!$A$8:$A$19,Estimator!$B$4,'Wind Proxy'!$B$8:$B$19,C5353)</f>
        <v>0</v>
      </c>
    </row>
    <row r="5354" spans="1:10" ht="14.4">
      <c r="A5354" s="84">
        <v>51005</v>
      </c>
      <c r="B5354" s="85">
        <v>2039</v>
      </c>
      <c r="C5354" s="85">
        <v>8</v>
      </c>
      <c r="D5354" s="85" t="s">
        <v>71</v>
      </c>
      <c r="E5354" s="85">
        <v>23</v>
      </c>
      <c r="F5354" s="85">
        <v>2</v>
      </c>
      <c r="G5354" s="85">
        <f>--(F5354&lt;=Estimator!$B$7)</f>
        <v>1</v>
      </c>
      <c r="H5354" s="86">
        <f>SUMIFS('Climate Data'!$G$7:$G$366,'Climate Data'!$A$7:$A$366,Estimator!$B$4,'Climate Data'!$B$7:$B$366,C5354)</f>
        <v>0.23548387096774193</v>
      </c>
      <c r="I5354" s="87">
        <f>SUMIFS('Climate Data'!$H$7:$H$366,'Climate Data'!$A$7:$A$366,Estimator!$B$4,'Climate Data'!$B$7:$B$366,C5354)</f>
        <v>7.9589041095890414</v>
      </c>
      <c r="J5354" s="86">
        <f>SUMIFS('Wind Proxy'!$H$8:$H$19,'Wind Proxy'!$A$8:$A$19,Estimator!$B$4,'Wind Proxy'!$B$8:$B$19,C5354)</f>
        <v>0</v>
      </c>
    </row>
    <row r="5355" spans="1:10" ht="14.4">
      <c r="A5355" s="84">
        <v>51006</v>
      </c>
      <c r="B5355" s="85">
        <v>2039</v>
      </c>
      <c r="C5355" s="85">
        <v>8</v>
      </c>
      <c r="D5355" s="85" t="s">
        <v>71</v>
      </c>
      <c r="E5355" s="85">
        <v>24</v>
      </c>
      <c r="F5355" s="85">
        <v>3</v>
      </c>
      <c r="G5355" s="85">
        <f>--(F5355&lt;=Estimator!$B$7)</f>
        <v>1</v>
      </c>
      <c r="H5355" s="86">
        <f>SUMIFS('Climate Data'!$G$7:$G$366,'Climate Data'!$A$7:$A$366,Estimator!$B$4,'Climate Data'!$B$7:$B$366,C5355)</f>
        <v>0.23548387096774193</v>
      </c>
      <c r="I5355" s="87">
        <f>SUMIFS('Climate Data'!$H$7:$H$366,'Climate Data'!$A$7:$A$366,Estimator!$B$4,'Climate Data'!$B$7:$B$366,C5355)</f>
        <v>7.9589041095890414</v>
      </c>
      <c r="J5355" s="86">
        <f>SUMIFS('Wind Proxy'!$H$8:$H$19,'Wind Proxy'!$A$8:$A$19,Estimator!$B$4,'Wind Proxy'!$B$8:$B$19,C5355)</f>
        <v>0</v>
      </c>
    </row>
    <row r="5356" spans="1:10" ht="14.4">
      <c r="A5356" s="84">
        <v>51007</v>
      </c>
      <c r="B5356" s="85">
        <v>2039</v>
      </c>
      <c r="C5356" s="85">
        <v>8</v>
      </c>
      <c r="D5356" s="85" t="s">
        <v>71</v>
      </c>
      <c r="E5356" s="85">
        <v>25</v>
      </c>
      <c r="F5356" s="85">
        <v>4</v>
      </c>
      <c r="G5356" s="85">
        <f>--(F5356&lt;=Estimator!$B$7)</f>
        <v>1</v>
      </c>
      <c r="H5356" s="86">
        <f>SUMIFS('Climate Data'!$G$7:$G$366,'Climate Data'!$A$7:$A$366,Estimator!$B$4,'Climate Data'!$B$7:$B$366,C5356)</f>
        <v>0.23548387096774193</v>
      </c>
      <c r="I5356" s="87">
        <f>SUMIFS('Climate Data'!$H$7:$H$366,'Climate Data'!$A$7:$A$366,Estimator!$B$4,'Climate Data'!$B$7:$B$366,C5356)</f>
        <v>7.9589041095890414</v>
      </c>
      <c r="J5356" s="86">
        <f>SUMIFS('Wind Proxy'!$H$8:$H$19,'Wind Proxy'!$A$8:$A$19,Estimator!$B$4,'Wind Proxy'!$B$8:$B$19,C5356)</f>
        <v>0</v>
      </c>
    </row>
    <row r="5357" spans="1:10" ht="14.4">
      <c r="A5357" s="84">
        <v>51008</v>
      </c>
      <c r="B5357" s="85">
        <v>2039</v>
      </c>
      <c r="C5357" s="85">
        <v>8</v>
      </c>
      <c r="D5357" s="85" t="s">
        <v>71</v>
      </c>
      <c r="E5357" s="85">
        <v>26</v>
      </c>
      <c r="F5357" s="85">
        <v>5</v>
      </c>
      <c r="G5357" s="85">
        <f>--(F5357&lt;=Estimator!$B$7)</f>
        <v>1</v>
      </c>
      <c r="H5357" s="86">
        <f>SUMIFS('Climate Data'!$G$7:$G$366,'Climate Data'!$A$7:$A$366,Estimator!$B$4,'Climate Data'!$B$7:$B$366,C5357)</f>
        <v>0.23548387096774193</v>
      </c>
      <c r="I5357" s="87">
        <f>SUMIFS('Climate Data'!$H$7:$H$366,'Climate Data'!$A$7:$A$366,Estimator!$B$4,'Climate Data'!$B$7:$B$366,C5357)</f>
        <v>7.9589041095890414</v>
      </c>
      <c r="J5357" s="86">
        <f>SUMIFS('Wind Proxy'!$H$8:$H$19,'Wind Proxy'!$A$8:$A$19,Estimator!$B$4,'Wind Proxy'!$B$8:$B$19,C5357)</f>
        <v>0</v>
      </c>
    </row>
    <row r="5358" spans="1:10" ht="14.4">
      <c r="A5358" s="84">
        <v>51009</v>
      </c>
      <c r="B5358" s="85">
        <v>2039</v>
      </c>
      <c r="C5358" s="85">
        <v>8</v>
      </c>
      <c r="D5358" s="85" t="s">
        <v>71</v>
      </c>
      <c r="E5358" s="85">
        <v>27</v>
      </c>
      <c r="F5358" s="85">
        <v>6</v>
      </c>
      <c r="G5358" s="85">
        <f>--(F5358&lt;=Estimator!$B$7)</f>
        <v>0</v>
      </c>
      <c r="H5358" s="86">
        <f>SUMIFS('Climate Data'!$G$7:$G$366,'Climate Data'!$A$7:$A$366,Estimator!$B$4,'Climate Data'!$B$7:$B$366,C5358)</f>
        <v>0.23548387096774193</v>
      </c>
      <c r="I5358" s="87">
        <f>SUMIFS('Climate Data'!$H$7:$H$366,'Climate Data'!$A$7:$A$366,Estimator!$B$4,'Climate Data'!$B$7:$B$366,C5358)</f>
        <v>7.9589041095890414</v>
      </c>
      <c r="J5358" s="86">
        <f>SUMIFS('Wind Proxy'!$H$8:$H$19,'Wind Proxy'!$A$8:$A$19,Estimator!$B$4,'Wind Proxy'!$B$8:$B$19,C5358)</f>
        <v>0</v>
      </c>
    </row>
    <row r="5359" spans="1:10" ht="14.4">
      <c r="A5359" s="84">
        <v>51010</v>
      </c>
      <c r="B5359" s="85">
        <v>2039</v>
      </c>
      <c r="C5359" s="85">
        <v>8</v>
      </c>
      <c r="D5359" s="85" t="s">
        <v>71</v>
      </c>
      <c r="E5359" s="85">
        <v>28</v>
      </c>
      <c r="F5359" s="85">
        <v>7</v>
      </c>
      <c r="G5359" s="85">
        <f>--(F5359&lt;=Estimator!$B$7)</f>
        <v>0</v>
      </c>
      <c r="H5359" s="86">
        <f>SUMIFS('Climate Data'!$G$7:$G$366,'Climate Data'!$A$7:$A$366,Estimator!$B$4,'Climate Data'!$B$7:$B$366,C5359)</f>
        <v>0.23548387096774193</v>
      </c>
      <c r="I5359" s="87">
        <f>SUMIFS('Climate Data'!$H$7:$H$366,'Climate Data'!$A$7:$A$366,Estimator!$B$4,'Climate Data'!$B$7:$B$366,C5359)</f>
        <v>7.9589041095890414</v>
      </c>
      <c r="J5359" s="86">
        <f>SUMIFS('Wind Proxy'!$H$8:$H$19,'Wind Proxy'!$A$8:$A$19,Estimator!$B$4,'Wind Proxy'!$B$8:$B$19,C5359)</f>
        <v>0</v>
      </c>
    </row>
    <row r="5360" spans="1:10" ht="14.4">
      <c r="A5360" s="84">
        <v>51011</v>
      </c>
      <c r="B5360" s="85">
        <v>2039</v>
      </c>
      <c r="C5360" s="85">
        <v>8</v>
      </c>
      <c r="D5360" s="85" t="s">
        <v>71</v>
      </c>
      <c r="E5360" s="85">
        <v>29</v>
      </c>
      <c r="F5360" s="85">
        <v>1</v>
      </c>
      <c r="G5360" s="85">
        <f>--(F5360&lt;=Estimator!$B$7)</f>
        <v>1</v>
      </c>
      <c r="H5360" s="86">
        <f>SUMIFS('Climate Data'!$G$7:$G$366,'Climate Data'!$A$7:$A$366,Estimator!$B$4,'Climate Data'!$B$7:$B$366,C5360)</f>
        <v>0.23548387096774193</v>
      </c>
      <c r="I5360" s="87">
        <f>SUMIFS('Climate Data'!$H$7:$H$366,'Climate Data'!$A$7:$A$366,Estimator!$B$4,'Climate Data'!$B$7:$B$366,C5360)</f>
        <v>7.9589041095890414</v>
      </c>
      <c r="J5360" s="86">
        <f>SUMIFS('Wind Proxy'!$H$8:$H$19,'Wind Proxy'!$A$8:$A$19,Estimator!$B$4,'Wind Proxy'!$B$8:$B$19,C5360)</f>
        <v>0</v>
      </c>
    </row>
    <row r="5361" spans="1:10" ht="14.4">
      <c r="A5361" s="84">
        <v>51012</v>
      </c>
      <c r="B5361" s="85">
        <v>2039</v>
      </c>
      <c r="C5361" s="85">
        <v>8</v>
      </c>
      <c r="D5361" s="85" t="s">
        <v>71</v>
      </c>
      <c r="E5361" s="85">
        <v>30</v>
      </c>
      <c r="F5361" s="85">
        <v>2</v>
      </c>
      <c r="G5361" s="85">
        <f>--(F5361&lt;=Estimator!$B$7)</f>
        <v>1</v>
      </c>
      <c r="H5361" s="86">
        <f>SUMIFS('Climate Data'!$G$7:$G$366,'Climate Data'!$A$7:$A$366,Estimator!$B$4,'Climate Data'!$B$7:$B$366,C5361)</f>
        <v>0.23548387096774193</v>
      </c>
      <c r="I5361" s="87">
        <f>SUMIFS('Climate Data'!$H$7:$H$366,'Climate Data'!$A$7:$A$366,Estimator!$B$4,'Climate Data'!$B$7:$B$366,C5361)</f>
        <v>7.9589041095890414</v>
      </c>
      <c r="J5361" s="86">
        <f>SUMIFS('Wind Proxy'!$H$8:$H$19,'Wind Proxy'!$A$8:$A$19,Estimator!$B$4,'Wind Proxy'!$B$8:$B$19,C5361)</f>
        <v>0</v>
      </c>
    </row>
    <row r="5362" spans="1:10" ht="14.4">
      <c r="A5362" s="84">
        <v>51013</v>
      </c>
      <c r="B5362" s="85">
        <v>2039</v>
      </c>
      <c r="C5362" s="85">
        <v>8</v>
      </c>
      <c r="D5362" s="85" t="s">
        <v>71</v>
      </c>
      <c r="E5362" s="85">
        <v>31</v>
      </c>
      <c r="F5362" s="85">
        <v>3</v>
      </c>
      <c r="G5362" s="85">
        <f>--(F5362&lt;=Estimator!$B$7)</f>
        <v>1</v>
      </c>
      <c r="H5362" s="86">
        <f>SUMIFS('Climate Data'!$G$7:$G$366,'Climate Data'!$A$7:$A$366,Estimator!$B$4,'Climate Data'!$B$7:$B$366,C5362)</f>
        <v>0.23548387096774193</v>
      </c>
      <c r="I5362" s="87">
        <f>SUMIFS('Climate Data'!$H$7:$H$366,'Climate Data'!$A$7:$A$366,Estimator!$B$4,'Climate Data'!$B$7:$B$366,C5362)</f>
        <v>7.9589041095890414</v>
      </c>
      <c r="J5362" s="86">
        <f>SUMIFS('Wind Proxy'!$H$8:$H$19,'Wind Proxy'!$A$8:$A$19,Estimator!$B$4,'Wind Proxy'!$B$8:$B$19,C5362)</f>
        <v>0</v>
      </c>
    </row>
    <row r="5363" spans="1:10" ht="14.4">
      <c r="A5363" s="84">
        <v>51014</v>
      </c>
      <c r="B5363" s="85">
        <v>2039</v>
      </c>
      <c r="C5363" s="85">
        <v>9</v>
      </c>
      <c r="D5363" s="85" t="s">
        <v>73</v>
      </c>
      <c r="E5363" s="85">
        <v>1</v>
      </c>
      <c r="F5363" s="85">
        <v>4</v>
      </c>
      <c r="G5363" s="85">
        <f>--(F5363&lt;=Estimator!$B$7)</f>
        <v>1</v>
      </c>
      <c r="H5363" s="86">
        <f>SUMIFS('Climate Data'!$G$7:$G$366,'Climate Data'!$A$7:$A$366,Estimator!$B$4,'Climate Data'!$B$7:$B$366,C5363)</f>
        <v>0.20666666666666667</v>
      </c>
      <c r="I5363" s="87">
        <f>SUMIFS('Climate Data'!$H$7:$H$366,'Climate Data'!$A$7:$A$366,Estimator!$B$4,'Climate Data'!$B$7:$B$366,C5363)</f>
        <v>6.806451612903226</v>
      </c>
      <c r="J5363" s="86">
        <f>SUMIFS('Wind Proxy'!$H$8:$H$19,'Wind Proxy'!$A$8:$A$19,Estimator!$B$4,'Wind Proxy'!$B$8:$B$19,C5363)</f>
        <v>0</v>
      </c>
    </row>
    <row r="5364" spans="1:10" ht="14.4">
      <c r="A5364" s="84">
        <v>51015</v>
      </c>
      <c r="B5364" s="85">
        <v>2039</v>
      </c>
      <c r="C5364" s="85">
        <v>9</v>
      </c>
      <c r="D5364" s="85" t="s">
        <v>73</v>
      </c>
      <c r="E5364" s="85">
        <v>2</v>
      </c>
      <c r="F5364" s="85">
        <v>5</v>
      </c>
      <c r="G5364" s="85">
        <f>--(F5364&lt;=Estimator!$B$7)</f>
        <v>1</v>
      </c>
      <c r="H5364" s="86">
        <f>SUMIFS('Climate Data'!$G$7:$G$366,'Climate Data'!$A$7:$A$366,Estimator!$B$4,'Climate Data'!$B$7:$B$366,C5364)</f>
        <v>0.20666666666666667</v>
      </c>
      <c r="I5364" s="87">
        <f>SUMIFS('Climate Data'!$H$7:$H$366,'Climate Data'!$A$7:$A$366,Estimator!$B$4,'Climate Data'!$B$7:$B$366,C5364)</f>
        <v>6.806451612903226</v>
      </c>
      <c r="J5364" s="86">
        <f>SUMIFS('Wind Proxy'!$H$8:$H$19,'Wind Proxy'!$A$8:$A$19,Estimator!$B$4,'Wind Proxy'!$B$8:$B$19,C5364)</f>
        <v>0</v>
      </c>
    </row>
    <row r="5365" spans="1:10" ht="14.4">
      <c r="A5365" s="84">
        <v>51016</v>
      </c>
      <c r="B5365" s="85">
        <v>2039</v>
      </c>
      <c r="C5365" s="85">
        <v>9</v>
      </c>
      <c r="D5365" s="85" t="s">
        <v>73</v>
      </c>
      <c r="E5365" s="85">
        <v>3</v>
      </c>
      <c r="F5365" s="85">
        <v>6</v>
      </c>
      <c r="G5365" s="85">
        <f>--(F5365&lt;=Estimator!$B$7)</f>
        <v>0</v>
      </c>
      <c r="H5365" s="86">
        <f>SUMIFS('Climate Data'!$G$7:$G$366,'Climate Data'!$A$7:$A$366,Estimator!$B$4,'Climate Data'!$B$7:$B$366,C5365)</f>
        <v>0.20666666666666667</v>
      </c>
      <c r="I5365" s="87">
        <f>SUMIFS('Climate Data'!$H$7:$H$366,'Climate Data'!$A$7:$A$366,Estimator!$B$4,'Climate Data'!$B$7:$B$366,C5365)</f>
        <v>6.806451612903226</v>
      </c>
      <c r="J5365" s="86">
        <f>SUMIFS('Wind Proxy'!$H$8:$H$19,'Wind Proxy'!$A$8:$A$19,Estimator!$B$4,'Wind Proxy'!$B$8:$B$19,C5365)</f>
        <v>0</v>
      </c>
    </row>
    <row r="5366" spans="1:10" ht="14.4">
      <c r="A5366" s="84">
        <v>51017</v>
      </c>
      <c r="B5366" s="85">
        <v>2039</v>
      </c>
      <c r="C5366" s="85">
        <v>9</v>
      </c>
      <c r="D5366" s="85" t="s">
        <v>73</v>
      </c>
      <c r="E5366" s="85">
        <v>4</v>
      </c>
      <c r="F5366" s="85">
        <v>7</v>
      </c>
      <c r="G5366" s="85">
        <f>--(F5366&lt;=Estimator!$B$7)</f>
        <v>0</v>
      </c>
      <c r="H5366" s="86">
        <f>SUMIFS('Climate Data'!$G$7:$G$366,'Climate Data'!$A$7:$A$366,Estimator!$B$4,'Climate Data'!$B$7:$B$366,C5366)</f>
        <v>0.20666666666666667</v>
      </c>
      <c r="I5366" s="87">
        <f>SUMIFS('Climate Data'!$H$7:$H$366,'Climate Data'!$A$7:$A$366,Estimator!$B$4,'Climate Data'!$B$7:$B$366,C5366)</f>
        <v>6.806451612903226</v>
      </c>
      <c r="J5366" s="86">
        <f>SUMIFS('Wind Proxy'!$H$8:$H$19,'Wind Proxy'!$A$8:$A$19,Estimator!$B$4,'Wind Proxy'!$B$8:$B$19,C5366)</f>
        <v>0</v>
      </c>
    </row>
    <row r="5367" spans="1:10" ht="14.4">
      <c r="A5367" s="84">
        <v>51018</v>
      </c>
      <c r="B5367" s="85">
        <v>2039</v>
      </c>
      <c r="C5367" s="85">
        <v>9</v>
      </c>
      <c r="D5367" s="85" t="s">
        <v>73</v>
      </c>
      <c r="E5367" s="85">
        <v>5</v>
      </c>
      <c r="F5367" s="85">
        <v>1</v>
      </c>
      <c r="G5367" s="85">
        <f>--(F5367&lt;=Estimator!$B$7)</f>
        <v>1</v>
      </c>
      <c r="H5367" s="86">
        <f>SUMIFS('Climate Data'!$G$7:$G$366,'Climate Data'!$A$7:$A$366,Estimator!$B$4,'Climate Data'!$B$7:$B$366,C5367)</f>
        <v>0.20666666666666667</v>
      </c>
      <c r="I5367" s="87">
        <f>SUMIFS('Climate Data'!$H$7:$H$366,'Climate Data'!$A$7:$A$366,Estimator!$B$4,'Climate Data'!$B$7:$B$366,C5367)</f>
        <v>6.806451612903226</v>
      </c>
      <c r="J5367" s="86">
        <f>SUMIFS('Wind Proxy'!$H$8:$H$19,'Wind Proxy'!$A$8:$A$19,Estimator!$B$4,'Wind Proxy'!$B$8:$B$19,C5367)</f>
        <v>0</v>
      </c>
    </row>
    <row r="5368" spans="1:10" ht="14.4">
      <c r="A5368" s="84">
        <v>51019</v>
      </c>
      <c r="B5368" s="85">
        <v>2039</v>
      </c>
      <c r="C5368" s="85">
        <v>9</v>
      </c>
      <c r="D5368" s="85" t="s">
        <v>73</v>
      </c>
      <c r="E5368" s="85">
        <v>6</v>
      </c>
      <c r="F5368" s="85">
        <v>2</v>
      </c>
      <c r="G5368" s="85">
        <f>--(F5368&lt;=Estimator!$B$7)</f>
        <v>1</v>
      </c>
      <c r="H5368" s="86">
        <f>SUMIFS('Climate Data'!$G$7:$G$366,'Climate Data'!$A$7:$A$366,Estimator!$B$4,'Climate Data'!$B$7:$B$366,C5368)</f>
        <v>0.20666666666666667</v>
      </c>
      <c r="I5368" s="87">
        <f>SUMIFS('Climate Data'!$H$7:$H$366,'Climate Data'!$A$7:$A$366,Estimator!$B$4,'Climate Data'!$B$7:$B$366,C5368)</f>
        <v>6.806451612903226</v>
      </c>
      <c r="J5368" s="86">
        <f>SUMIFS('Wind Proxy'!$H$8:$H$19,'Wind Proxy'!$A$8:$A$19,Estimator!$B$4,'Wind Proxy'!$B$8:$B$19,C5368)</f>
        <v>0</v>
      </c>
    </row>
    <row r="5369" spans="1:10" ht="14.4">
      <c r="A5369" s="84">
        <v>51020</v>
      </c>
      <c r="B5369" s="85">
        <v>2039</v>
      </c>
      <c r="C5369" s="85">
        <v>9</v>
      </c>
      <c r="D5369" s="85" t="s">
        <v>73</v>
      </c>
      <c r="E5369" s="85">
        <v>7</v>
      </c>
      <c r="F5369" s="85">
        <v>3</v>
      </c>
      <c r="G5369" s="85">
        <f>--(F5369&lt;=Estimator!$B$7)</f>
        <v>1</v>
      </c>
      <c r="H5369" s="86">
        <f>SUMIFS('Climate Data'!$G$7:$G$366,'Climate Data'!$A$7:$A$366,Estimator!$B$4,'Climate Data'!$B$7:$B$366,C5369)</f>
        <v>0.20666666666666667</v>
      </c>
      <c r="I5369" s="87">
        <f>SUMIFS('Climate Data'!$H$7:$H$366,'Climate Data'!$A$7:$A$366,Estimator!$B$4,'Climate Data'!$B$7:$B$366,C5369)</f>
        <v>6.806451612903226</v>
      </c>
      <c r="J5369" s="86">
        <f>SUMIFS('Wind Proxy'!$H$8:$H$19,'Wind Proxy'!$A$8:$A$19,Estimator!$B$4,'Wind Proxy'!$B$8:$B$19,C5369)</f>
        <v>0</v>
      </c>
    </row>
    <row r="5370" spans="1:10" ht="14.4">
      <c r="A5370" s="84">
        <v>51021</v>
      </c>
      <c r="B5370" s="85">
        <v>2039</v>
      </c>
      <c r="C5370" s="85">
        <v>9</v>
      </c>
      <c r="D5370" s="85" t="s">
        <v>73</v>
      </c>
      <c r="E5370" s="85">
        <v>8</v>
      </c>
      <c r="F5370" s="85">
        <v>4</v>
      </c>
      <c r="G5370" s="85">
        <f>--(F5370&lt;=Estimator!$B$7)</f>
        <v>1</v>
      </c>
      <c r="H5370" s="86">
        <f>SUMIFS('Climate Data'!$G$7:$G$366,'Climate Data'!$A$7:$A$366,Estimator!$B$4,'Climate Data'!$B$7:$B$366,C5370)</f>
        <v>0.20666666666666667</v>
      </c>
      <c r="I5370" s="87">
        <f>SUMIFS('Climate Data'!$H$7:$H$366,'Climate Data'!$A$7:$A$366,Estimator!$B$4,'Climate Data'!$B$7:$B$366,C5370)</f>
        <v>6.806451612903226</v>
      </c>
      <c r="J5370" s="86">
        <f>SUMIFS('Wind Proxy'!$H$8:$H$19,'Wind Proxy'!$A$8:$A$19,Estimator!$B$4,'Wind Proxy'!$B$8:$B$19,C5370)</f>
        <v>0</v>
      </c>
    </row>
    <row r="5371" spans="1:10" ht="14.4">
      <c r="A5371" s="84">
        <v>51022</v>
      </c>
      <c r="B5371" s="85">
        <v>2039</v>
      </c>
      <c r="C5371" s="85">
        <v>9</v>
      </c>
      <c r="D5371" s="85" t="s">
        <v>73</v>
      </c>
      <c r="E5371" s="85">
        <v>9</v>
      </c>
      <c r="F5371" s="85">
        <v>5</v>
      </c>
      <c r="G5371" s="85">
        <f>--(F5371&lt;=Estimator!$B$7)</f>
        <v>1</v>
      </c>
      <c r="H5371" s="86">
        <f>SUMIFS('Climate Data'!$G$7:$G$366,'Climate Data'!$A$7:$A$366,Estimator!$B$4,'Climate Data'!$B$7:$B$366,C5371)</f>
        <v>0.20666666666666667</v>
      </c>
      <c r="I5371" s="87">
        <f>SUMIFS('Climate Data'!$H$7:$H$366,'Climate Data'!$A$7:$A$366,Estimator!$B$4,'Climate Data'!$B$7:$B$366,C5371)</f>
        <v>6.806451612903226</v>
      </c>
      <c r="J5371" s="86">
        <f>SUMIFS('Wind Proxy'!$H$8:$H$19,'Wind Proxy'!$A$8:$A$19,Estimator!$B$4,'Wind Proxy'!$B$8:$B$19,C5371)</f>
        <v>0</v>
      </c>
    </row>
    <row r="5372" spans="1:10" ht="14.4">
      <c r="A5372" s="84">
        <v>51023</v>
      </c>
      <c r="B5372" s="85">
        <v>2039</v>
      </c>
      <c r="C5372" s="85">
        <v>9</v>
      </c>
      <c r="D5372" s="85" t="s">
        <v>73</v>
      </c>
      <c r="E5372" s="85">
        <v>10</v>
      </c>
      <c r="F5372" s="85">
        <v>6</v>
      </c>
      <c r="G5372" s="85">
        <f>--(F5372&lt;=Estimator!$B$7)</f>
        <v>0</v>
      </c>
      <c r="H5372" s="86">
        <f>SUMIFS('Climate Data'!$G$7:$G$366,'Climate Data'!$A$7:$A$366,Estimator!$B$4,'Climate Data'!$B$7:$B$366,C5372)</f>
        <v>0.20666666666666667</v>
      </c>
      <c r="I5372" s="87">
        <f>SUMIFS('Climate Data'!$H$7:$H$366,'Climate Data'!$A$7:$A$366,Estimator!$B$4,'Climate Data'!$B$7:$B$366,C5372)</f>
        <v>6.806451612903226</v>
      </c>
      <c r="J5372" s="86">
        <f>SUMIFS('Wind Proxy'!$H$8:$H$19,'Wind Proxy'!$A$8:$A$19,Estimator!$B$4,'Wind Proxy'!$B$8:$B$19,C5372)</f>
        <v>0</v>
      </c>
    </row>
    <row r="5373" spans="1:10" ht="14.4">
      <c r="A5373" s="84">
        <v>51024</v>
      </c>
      <c r="B5373" s="85">
        <v>2039</v>
      </c>
      <c r="C5373" s="85">
        <v>9</v>
      </c>
      <c r="D5373" s="85" t="s">
        <v>73</v>
      </c>
      <c r="E5373" s="85">
        <v>11</v>
      </c>
      <c r="F5373" s="85">
        <v>7</v>
      </c>
      <c r="G5373" s="85">
        <f>--(F5373&lt;=Estimator!$B$7)</f>
        <v>0</v>
      </c>
      <c r="H5373" s="86">
        <f>SUMIFS('Climate Data'!$G$7:$G$366,'Climate Data'!$A$7:$A$366,Estimator!$B$4,'Climate Data'!$B$7:$B$366,C5373)</f>
        <v>0.20666666666666667</v>
      </c>
      <c r="I5373" s="87">
        <f>SUMIFS('Climate Data'!$H$7:$H$366,'Climate Data'!$A$7:$A$366,Estimator!$B$4,'Climate Data'!$B$7:$B$366,C5373)</f>
        <v>6.806451612903226</v>
      </c>
      <c r="J5373" s="86">
        <f>SUMIFS('Wind Proxy'!$H$8:$H$19,'Wind Proxy'!$A$8:$A$19,Estimator!$B$4,'Wind Proxy'!$B$8:$B$19,C5373)</f>
        <v>0</v>
      </c>
    </row>
    <row r="5374" spans="1:10" ht="14.4">
      <c r="A5374" s="84">
        <v>51025</v>
      </c>
      <c r="B5374" s="85">
        <v>2039</v>
      </c>
      <c r="C5374" s="85">
        <v>9</v>
      </c>
      <c r="D5374" s="85" t="s">
        <v>73</v>
      </c>
      <c r="E5374" s="85">
        <v>12</v>
      </c>
      <c r="F5374" s="85">
        <v>1</v>
      </c>
      <c r="G5374" s="85">
        <f>--(F5374&lt;=Estimator!$B$7)</f>
        <v>1</v>
      </c>
      <c r="H5374" s="86">
        <f>SUMIFS('Climate Data'!$G$7:$G$366,'Climate Data'!$A$7:$A$366,Estimator!$B$4,'Climate Data'!$B$7:$B$366,C5374)</f>
        <v>0.20666666666666667</v>
      </c>
      <c r="I5374" s="87">
        <f>SUMIFS('Climate Data'!$H$7:$H$366,'Climate Data'!$A$7:$A$366,Estimator!$B$4,'Climate Data'!$B$7:$B$366,C5374)</f>
        <v>6.806451612903226</v>
      </c>
      <c r="J5374" s="86">
        <f>SUMIFS('Wind Proxy'!$H$8:$H$19,'Wind Proxy'!$A$8:$A$19,Estimator!$B$4,'Wind Proxy'!$B$8:$B$19,C5374)</f>
        <v>0</v>
      </c>
    </row>
    <row r="5375" spans="1:10" ht="14.4">
      <c r="A5375" s="84">
        <v>51026</v>
      </c>
      <c r="B5375" s="85">
        <v>2039</v>
      </c>
      <c r="C5375" s="85">
        <v>9</v>
      </c>
      <c r="D5375" s="85" t="s">
        <v>73</v>
      </c>
      <c r="E5375" s="85">
        <v>13</v>
      </c>
      <c r="F5375" s="85">
        <v>2</v>
      </c>
      <c r="G5375" s="85">
        <f>--(F5375&lt;=Estimator!$B$7)</f>
        <v>1</v>
      </c>
      <c r="H5375" s="86">
        <f>SUMIFS('Climate Data'!$G$7:$G$366,'Climate Data'!$A$7:$A$366,Estimator!$B$4,'Climate Data'!$B$7:$B$366,C5375)</f>
        <v>0.20666666666666667</v>
      </c>
      <c r="I5375" s="87">
        <f>SUMIFS('Climate Data'!$H$7:$H$366,'Climate Data'!$A$7:$A$366,Estimator!$B$4,'Climate Data'!$B$7:$B$366,C5375)</f>
        <v>6.806451612903226</v>
      </c>
      <c r="J5375" s="86">
        <f>SUMIFS('Wind Proxy'!$H$8:$H$19,'Wind Proxy'!$A$8:$A$19,Estimator!$B$4,'Wind Proxy'!$B$8:$B$19,C5375)</f>
        <v>0</v>
      </c>
    </row>
    <row r="5376" spans="1:10" ht="14.4">
      <c r="A5376" s="84">
        <v>51027</v>
      </c>
      <c r="B5376" s="85">
        <v>2039</v>
      </c>
      <c r="C5376" s="85">
        <v>9</v>
      </c>
      <c r="D5376" s="85" t="s">
        <v>73</v>
      </c>
      <c r="E5376" s="85">
        <v>14</v>
      </c>
      <c r="F5376" s="85">
        <v>3</v>
      </c>
      <c r="G5376" s="85">
        <f>--(F5376&lt;=Estimator!$B$7)</f>
        <v>1</v>
      </c>
      <c r="H5376" s="86">
        <f>SUMIFS('Climate Data'!$G$7:$G$366,'Climate Data'!$A$7:$A$366,Estimator!$B$4,'Climate Data'!$B$7:$B$366,C5376)</f>
        <v>0.20666666666666667</v>
      </c>
      <c r="I5376" s="87">
        <f>SUMIFS('Climate Data'!$H$7:$H$366,'Climate Data'!$A$7:$A$366,Estimator!$B$4,'Climate Data'!$B$7:$B$366,C5376)</f>
        <v>6.806451612903226</v>
      </c>
      <c r="J5376" s="86">
        <f>SUMIFS('Wind Proxy'!$H$8:$H$19,'Wind Proxy'!$A$8:$A$19,Estimator!$B$4,'Wind Proxy'!$B$8:$B$19,C5376)</f>
        <v>0</v>
      </c>
    </row>
    <row r="5377" spans="1:10" ht="14.4">
      <c r="A5377" s="84">
        <v>51028</v>
      </c>
      <c r="B5377" s="85">
        <v>2039</v>
      </c>
      <c r="C5377" s="85">
        <v>9</v>
      </c>
      <c r="D5377" s="85" t="s">
        <v>73</v>
      </c>
      <c r="E5377" s="85">
        <v>15</v>
      </c>
      <c r="F5377" s="85">
        <v>4</v>
      </c>
      <c r="G5377" s="85">
        <f>--(F5377&lt;=Estimator!$B$7)</f>
        <v>1</v>
      </c>
      <c r="H5377" s="86">
        <f>SUMIFS('Climate Data'!$G$7:$G$366,'Climate Data'!$A$7:$A$366,Estimator!$B$4,'Climate Data'!$B$7:$B$366,C5377)</f>
        <v>0.20666666666666667</v>
      </c>
      <c r="I5377" s="87">
        <f>SUMIFS('Climate Data'!$H$7:$H$366,'Climate Data'!$A$7:$A$366,Estimator!$B$4,'Climate Data'!$B$7:$B$366,C5377)</f>
        <v>6.806451612903226</v>
      </c>
      <c r="J5377" s="86">
        <f>SUMIFS('Wind Proxy'!$H$8:$H$19,'Wind Proxy'!$A$8:$A$19,Estimator!$B$4,'Wind Proxy'!$B$8:$B$19,C5377)</f>
        <v>0</v>
      </c>
    </row>
    <row r="5378" spans="1:10" ht="14.4">
      <c r="A5378" s="84">
        <v>51029</v>
      </c>
      <c r="B5378" s="85">
        <v>2039</v>
      </c>
      <c r="C5378" s="85">
        <v>9</v>
      </c>
      <c r="D5378" s="85" t="s">
        <v>73</v>
      </c>
      <c r="E5378" s="85">
        <v>16</v>
      </c>
      <c r="F5378" s="85">
        <v>5</v>
      </c>
      <c r="G5378" s="85">
        <f>--(F5378&lt;=Estimator!$B$7)</f>
        <v>1</v>
      </c>
      <c r="H5378" s="86">
        <f>SUMIFS('Climate Data'!$G$7:$G$366,'Climate Data'!$A$7:$A$366,Estimator!$B$4,'Climate Data'!$B$7:$B$366,C5378)</f>
        <v>0.20666666666666667</v>
      </c>
      <c r="I5378" s="87">
        <f>SUMIFS('Climate Data'!$H$7:$H$366,'Climate Data'!$A$7:$A$366,Estimator!$B$4,'Climate Data'!$B$7:$B$366,C5378)</f>
        <v>6.806451612903226</v>
      </c>
      <c r="J5378" s="86">
        <f>SUMIFS('Wind Proxy'!$H$8:$H$19,'Wind Proxy'!$A$8:$A$19,Estimator!$B$4,'Wind Proxy'!$B$8:$B$19,C5378)</f>
        <v>0</v>
      </c>
    </row>
    <row r="5379" spans="1:10" ht="14.4">
      <c r="A5379" s="84">
        <v>51030</v>
      </c>
      <c r="B5379" s="85">
        <v>2039</v>
      </c>
      <c r="C5379" s="85">
        <v>9</v>
      </c>
      <c r="D5379" s="85" t="s">
        <v>73</v>
      </c>
      <c r="E5379" s="85">
        <v>17</v>
      </c>
      <c r="F5379" s="85">
        <v>6</v>
      </c>
      <c r="G5379" s="85">
        <f>--(F5379&lt;=Estimator!$B$7)</f>
        <v>0</v>
      </c>
      <c r="H5379" s="86">
        <f>SUMIFS('Climate Data'!$G$7:$G$366,'Climate Data'!$A$7:$A$366,Estimator!$B$4,'Climate Data'!$B$7:$B$366,C5379)</f>
        <v>0.20666666666666667</v>
      </c>
      <c r="I5379" s="87">
        <f>SUMIFS('Climate Data'!$H$7:$H$366,'Climate Data'!$A$7:$A$366,Estimator!$B$4,'Climate Data'!$B$7:$B$366,C5379)</f>
        <v>6.806451612903226</v>
      </c>
      <c r="J5379" s="86">
        <f>SUMIFS('Wind Proxy'!$H$8:$H$19,'Wind Proxy'!$A$8:$A$19,Estimator!$B$4,'Wind Proxy'!$B$8:$B$19,C5379)</f>
        <v>0</v>
      </c>
    </row>
    <row r="5380" spans="1:10" ht="14.4">
      <c r="A5380" s="84">
        <v>51031</v>
      </c>
      <c r="B5380" s="85">
        <v>2039</v>
      </c>
      <c r="C5380" s="85">
        <v>9</v>
      </c>
      <c r="D5380" s="85" t="s">
        <v>73</v>
      </c>
      <c r="E5380" s="85">
        <v>18</v>
      </c>
      <c r="F5380" s="85">
        <v>7</v>
      </c>
      <c r="G5380" s="85">
        <f>--(F5380&lt;=Estimator!$B$7)</f>
        <v>0</v>
      </c>
      <c r="H5380" s="86">
        <f>SUMIFS('Climate Data'!$G$7:$G$366,'Climate Data'!$A$7:$A$366,Estimator!$B$4,'Climate Data'!$B$7:$B$366,C5380)</f>
        <v>0.20666666666666667</v>
      </c>
      <c r="I5380" s="87">
        <f>SUMIFS('Climate Data'!$H$7:$H$366,'Climate Data'!$A$7:$A$366,Estimator!$B$4,'Climate Data'!$B$7:$B$366,C5380)</f>
        <v>6.806451612903226</v>
      </c>
      <c r="J5380" s="86">
        <f>SUMIFS('Wind Proxy'!$H$8:$H$19,'Wind Proxy'!$A$8:$A$19,Estimator!$B$4,'Wind Proxy'!$B$8:$B$19,C5380)</f>
        <v>0</v>
      </c>
    </row>
    <row r="5381" spans="1:10" ht="14.4">
      <c r="A5381" s="84">
        <v>51032</v>
      </c>
      <c r="B5381" s="85">
        <v>2039</v>
      </c>
      <c r="C5381" s="85">
        <v>9</v>
      </c>
      <c r="D5381" s="85" t="s">
        <v>73</v>
      </c>
      <c r="E5381" s="85">
        <v>19</v>
      </c>
      <c r="F5381" s="85">
        <v>1</v>
      </c>
      <c r="G5381" s="85">
        <f>--(F5381&lt;=Estimator!$B$7)</f>
        <v>1</v>
      </c>
      <c r="H5381" s="86">
        <f>SUMIFS('Climate Data'!$G$7:$G$366,'Climate Data'!$A$7:$A$366,Estimator!$B$4,'Climate Data'!$B$7:$B$366,C5381)</f>
        <v>0.20666666666666667</v>
      </c>
      <c r="I5381" s="87">
        <f>SUMIFS('Climate Data'!$H$7:$H$366,'Climate Data'!$A$7:$A$366,Estimator!$B$4,'Climate Data'!$B$7:$B$366,C5381)</f>
        <v>6.806451612903226</v>
      </c>
      <c r="J5381" s="86">
        <f>SUMIFS('Wind Proxy'!$H$8:$H$19,'Wind Proxy'!$A$8:$A$19,Estimator!$B$4,'Wind Proxy'!$B$8:$B$19,C5381)</f>
        <v>0</v>
      </c>
    </row>
    <row r="5382" spans="1:10" ht="14.4">
      <c r="A5382" s="84">
        <v>51033</v>
      </c>
      <c r="B5382" s="85">
        <v>2039</v>
      </c>
      <c r="C5382" s="85">
        <v>9</v>
      </c>
      <c r="D5382" s="85" t="s">
        <v>73</v>
      </c>
      <c r="E5382" s="85">
        <v>20</v>
      </c>
      <c r="F5382" s="85">
        <v>2</v>
      </c>
      <c r="G5382" s="85">
        <f>--(F5382&lt;=Estimator!$B$7)</f>
        <v>1</v>
      </c>
      <c r="H5382" s="86">
        <f>SUMIFS('Climate Data'!$G$7:$G$366,'Climate Data'!$A$7:$A$366,Estimator!$B$4,'Climate Data'!$B$7:$B$366,C5382)</f>
        <v>0.20666666666666667</v>
      </c>
      <c r="I5382" s="87">
        <f>SUMIFS('Climate Data'!$H$7:$H$366,'Climate Data'!$A$7:$A$366,Estimator!$B$4,'Climate Data'!$B$7:$B$366,C5382)</f>
        <v>6.806451612903226</v>
      </c>
      <c r="J5382" s="86">
        <f>SUMIFS('Wind Proxy'!$H$8:$H$19,'Wind Proxy'!$A$8:$A$19,Estimator!$B$4,'Wind Proxy'!$B$8:$B$19,C5382)</f>
        <v>0</v>
      </c>
    </row>
    <row r="5383" spans="1:10" ht="14.4">
      <c r="A5383" s="84">
        <v>51034</v>
      </c>
      <c r="B5383" s="85">
        <v>2039</v>
      </c>
      <c r="C5383" s="85">
        <v>9</v>
      </c>
      <c r="D5383" s="85" t="s">
        <v>73</v>
      </c>
      <c r="E5383" s="85">
        <v>21</v>
      </c>
      <c r="F5383" s="85">
        <v>3</v>
      </c>
      <c r="G5383" s="85">
        <f>--(F5383&lt;=Estimator!$B$7)</f>
        <v>1</v>
      </c>
      <c r="H5383" s="86">
        <f>SUMIFS('Climate Data'!$G$7:$G$366,'Climate Data'!$A$7:$A$366,Estimator!$B$4,'Climate Data'!$B$7:$B$366,C5383)</f>
        <v>0.20666666666666667</v>
      </c>
      <c r="I5383" s="87">
        <f>SUMIFS('Climate Data'!$H$7:$H$366,'Climate Data'!$A$7:$A$366,Estimator!$B$4,'Climate Data'!$B$7:$B$366,C5383)</f>
        <v>6.806451612903226</v>
      </c>
      <c r="J5383" s="86">
        <f>SUMIFS('Wind Proxy'!$H$8:$H$19,'Wind Proxy'!$A$8:$A$19,Estimator!$B$4,'Wind Proxy'!$B$8:$B$19,C5383)</f>
        <v>0</v>
      </c>
    </row>
    <row r="5384" spans="1:10" ht="14.4">
      <c r="A5384" s="84">
        <v>51035</v>
      </c>
      <c r="B5384" s="85">
        <v>2039</v>
      </c>
      <c r="C5384" s="85">
        <v>9</v>
      </c>
      <c r="D5384" s="85" t="s">
        <v>73</v>
      </c>
      <c r="E5384" s="85">
        <v>22</v>
      </c>
      <c r="F5384" s="85">
        <v>4</v>
      </c>
      <c r="G5384" s="85">
        <f>--(F5384&lt;=Estimator!$B$7)</f>
        <v>1</v>
      </c>
      <c r="H5384" s="86">
        <f>SUMIFS('Climate Data'!$G$7:$G$366,'Climate Data'!$A$7:$A$366,Estimator!$B$4,'Climate Data'!$B$7:$B$366,C5384)</f>
        <v>0.20666666666666667</v>
      </c>
      <c r="I5384" s="87">
        <f>SUMIFS('Climate Data'!$H$7:$H$366,'Climate Data'!$A$7:$A$366,Estimator!$B$4,'Climate Data'!$B$7:$B$366,C5384)</f>
        <v>6.806451612903226</v>
      </c>
      <c r="J5384" s="86">
        <f>SUMIFS('Wind Proxy'!$H$8:$H$19,'Wind Proxy'!$A$8:$A$19,Estimator!$B$4,'Wind Proxy'!$B$8:$B$19,C5384)</f>
        <v>0</v>
      </c>
    </row>
    <row r="5385" spans="1:10" ht="14.4">
      <c r="A5385" s="84">
        <v>51036</v>
      </c>
      <c r="B5385" s="85">
        <v>2039</v>
      </c>
      <c r="C5385" s="85">
        <v>9</v>
      </c>
      <c r="D5385" s="85" t="s">
        <v>73</v>
      </c>
      <c r="E5385" s="85">
        <v>23</v>
      </c>
      <c r="F5385" s="85">
        <v>5</v>
      </c>
      <c r="G5385" s="85">
        <f>--(F5385&lt;=Estimator!$B$7)</f>
        <v>1</v>
      </c>
      <c r="H5385" s="86">
        <f>SUMIFS('Climate Data'!$G$7:$G$366,'Climate Data'!$A$7:$A$366,Estimator!$B$4,'Climate Data'!$B$7:$B$366,C5385)</f>
        <v>0.20666666666666667</v>
      </c>
      <c r="I5385" s="87">
        <f>SUMIFS('Climate Data'!$H$7:$H$366,'Climate Data'!$A$7:$A$366,Estimator!$B$4,'Climate Data'!$B$7:$B$366,C5385)</f>
        <v>6.806451612903226</v>
      </c>
      <c r="J5385" s="86">
        <f>SUMIFS('Wind Proxy'!$H$8:$H$19,'Wind Proxy'!$A$8:$A$19,Estimator!$B$4,'Wind Proxy'!$B$8:$B$19,C5385)</f>
        <v>0</v>
      </c>
    </row>
    <row r="5386" spans="1:10" ht="14.4">
      <c r="A5386" s="84">
        <v>51037</v>
      </c>
      <c r="B5386" s="85">
        <v>2039</v>
      </c>
      <c r="C5386" s="85">
        <v>9</v>
      </c>
      <c r="D5386" s="85" t="s">
        <v>73</v>
      </c>
      <c r="E5386" s="85">
        <v>24</v>
      </c>
      <c r="F5386" s="85">
        <v>6</v>
      </c>
      <c r="G5386" s="85">
        <f>--(F5386&lt;=Estimator!$B$7)</f>
        <v>0</v>
      </c>
      <c r="H5386" s="86">
        <f>SUMIFS('Climate Data'!$G$7:$G$366,'Climate Data'!$A$7:$A$366,Estimator!$B$4,'Climate Data'!$B$7:$B$366,C5386)</f>
        <v>0.20666666666666667</v>
      </c>
      <c r="I5386" s="87">
        <f>SUMIFS('Climate Data'!$H$7:$H$366,'Climate Data'!$A$7:$A$366,Estimator!$B$4,'Climate Data'!$B$7:$B$366,C5386)</f>
        <v>6.806451612903226</v>
      </c>
      <c r="J5386" s="86">
        <f>SUMIFS('Wind Proxy'!$H$8:$H$19,'Wind Proxy'!$A$8:$A$19,Estimator!$B$4,'Wind Proxy'!$B$8:$B$19,C5386)</f>
        <v>0</v>
      </c>
    </row>
    <row r="5387" spans="1:10" ht="14.4">
      <c r="A5387" s="84">
        <v>51038</v>
      </c>
      <c r="B5387" s="85">
        <v>2039</v>
      </c>
      <c r="C5387" s="85">
        <v>9</v>
      </c>
      <c r="D5387" s="85" t="s">
        <v>73</v>
      </c>
      <c r="E5387" s="85">
        <v>25</v>
      </c>
      <c r="F5387" s="85">
        <v>7</v>
      </c>
      <c r="G5387" s="85">
        <f>--(F5387&lt;=Estimator!$B$7)</f>
        <v>0</v>
      </c>
      <c r="H5387" s="86">
        <f>SUMIFS('Climate Data'!$G$7:$G$366,'Climate Data'!$A$7:$A$366,Estimator!$B$4,'Climate Data'!$B$7:$B$366,C5387)</f>
        <v>0.20666666666666667</v>
      </c>
      <c r="I5387" s="87">
        <f>SUMIFS('Climate Data'!$H$7:$H$366,'Climate Data'!$A$7:$A$366,Estimator!$B$4,'Climate Data'!$B$7:$B$366,C5387)</f>
        <v>6.806451612903226</v>
      </c>
      <c r="J5387" s="86">
        <f>SUMIFS('Wind Proxy'!$H$8:$H$19,'Wind Proxy'!$A$8:$A$19,Estimator!$B$4,'Wind Proxy'!$B$8:$B$19,C5387)</f>
        <v>0</v>
      </c>
    </row>
    <row r="5388" spans="1:10" ht="14.4">
      <c r="A5388" s="84">
        <v>51039</v>
      </c>
      <c r="B5388" s="85">
        <v>2039</v>
      </c>
      <c r="C5388" s="85">
        <v>9</v>
      </c>
      <c r="D5388" s="85" t="s">
        <v>73</v>
      </c>
      <c r="E5388" s="85">
        <v>26</v>
      </c>
      <c r="F5388" s="85">
        <v>1</v>
      </c>
      <c r="G5388" s="85">
        <f>--(F5388&lt;=Estimator!$B$7)</f>
        <v>1</v>
      </c>
      <c r="H5388" s="86">
        <f>SUMIFS('Climate Data'!$G$7:$G$366,'Climate Data'!$A$7:$A$366,Estimator!$B$4,'Climate Data'!$B$7:$B$366,C5388)</f>
        <v>0.20666666666666667</v>
      </c>
      <c r="I5388" s="87">
        <f>SUMIFS('Climate Data'!$H$7:$H$366,'Climate Data'!$A$7:$A$366,Estimator!$B$4,'Climate Data'!$B$7:$B$366,C5388)</f>
        <v>6.806451612903226</v>
      </c>
      <c r="J5388" s="86">
        <f>SUMIFS('Wind Proxy'!$H$8:$H$19,'Wind Proxy'!$A$8:$A$19,Estimator!$B$4,'Wind Proxy'!$B$8:$B$19,C5388)</f>
        <v>0</v>
      </c>
    </row>
    <row r="5389" spans="1:10" ht="14.4">
      <c r="A5389" s="84">
        <v>51040</v>
      </c>
      <c r="B5389" s="85">
        <v>2039</v>
      </c>
      <c r="C5389" s="85">
        <v>9</v>
      </c>
      <c r="D5389" s="85" t="s">
        <v>73</v>
      </c>
      <c r="E5389" s="85">
        <v>27</v>
      </c>
      <c r="F5389" s="85">
        <v>2</v>
      </c>
      <c r="G5389" s="85">
        <f>--(F5389&lt;=Estimator!$B$7)</f>
        <v>1</v>
      </c>
      <c r="H5389" s="86">
        <f>SUMIFS('Climate Data'!$G$7:$G$366,'Climate Data'!$A$7:$A$366,Estimator!$B$4,'Climate Data'!$B$7:$B$366,C5389)</f>
        <v>0.20666666666666667</v>
      </c>
      <c r="I5389" s="87">
        <f>SUMIFS('Climate Data'!$H$7:$H$366,'Climate Data'!$A$7:$A$366,Estimator!$B$4,'Climate Data'!$B$7:$B$366,C5389)</f>
        <v>6.806451612903226</v>
      </c>
      <c r="J5389" s="86">
        <f>SUMIFS('Wind Proxy'!$H$8:$H$19,'Wind Proxy'!$A$8:$A$19,Estimator!$B$4,'Wind Proxy'!$B$8:$B$19,C5389)</f>
        <v>0</v>
      </c>
    </row>
    <row r="5390" spans="1:10" ht="14.4">
      <c r="A5390" s="84">
        <v>51041</v>
      </c>
      <c r="B5390" s="85">
        <v>2039</v>
      </c>
      <c r="C5390" s="85">
        <v>9</v>
      </c>
      <c r="D5390" s="85" t="s">
        <v>73</v>
      </c>
      <c r="E5390" s="85">
        <v>28</v>
      </c>
      <c r="F5390" s="85">
        <v>3</v>
      </c>
      <c r="G5390" s="85">
        <f>--(F5390&lt;=Estimator!$B$7)</f>
        <v>1</v>
      </c>
      <c r="H5390" s="86">
        <f>SUMIFS('Climate Data'!$G$7:$G$366,'Climate Data'!$A$7:$A$366,Estimator!$B$4,'Climate Data'!$B$7:$B$366,C5390)</f>
        <v>0.20666666666666667</v>
      </c>
      <c r="I5390" s="87">
        <f>SUMIFS('Climate Data'!$H$7:$H$366,'Climate Data'!$A$7:$A$366,Estimator!$B$4,'Climate Data'!$B$7:$B$366,C5390)</f>
        <v>6.806451612903226</v>
      </c>
      <c r="J5390" s="86">
        <f>SUMIFS('Wind Proxy'!$H$8:$H$19,'Wind Proxy'!$A$8:$A$19,Estimator!$B$4,'Wind Proxy'!$B$8:$B$19,C5390)</f>
        <v>0</v>
      </c>
    </row>
    <row r="5391" spans="1:10" ht="14.4">
      <c r="A5391" s="84">
        <v>51042</v>
      </c>
      <c r="B5391" s="85">
        <v>2039</v>
      </c>
      <c r="C5391" s="85">
        <v>9</v>
      </c>
      <c r="D5391" s="85" t="s">
        <v>73</v>
      </c>
      <c r="E5391" s="85">
        <v>29</v>
      </c>
      <c r="F5391" s="85">
        <v>4</v>
      </c>
      <c r="G5391" s="85">
        <f>--(F5391&lt;=Estimator!$B$7)</f>
        <v>1</v>
      </c>
      <c r="H5391" s="86">
        <f>SUMIFS('Climate Data'!$G$7:$G$366,'Climate Data'!$A$7:$A$366,Estimator!$B$4,'Climate Data'!$B$7:$B$366,C5391)</f>
        <v>0.20666666666666667</v>
      </c>
      <c r="I5391" s="87">
        <f>SUMIFS('Climate Data'!$H$7:$H$366,'Climate Data'!$A$7:$A$366,Estimator!$B$4,'Climate Data'!$B$7:$B$366,C5391)</f>
        <v>6.806451612903226</v>
      </c>
      <c r="J5391" s="86">
        <f>SUMIFS('Wind Proxy'!$H$8:$H$19,'Wind Proxy'!$A$8:$A$19,Estimator!$B$4,'Wind Proxy'!$B$8:$B$19,C5391)</f>
        <v>0</v>
      </c>
    </row>
    <row r="5392" spans="1:10" ht="14.4">
      <c r="A5392" s="84">
        <v>51043</v>
      </c>
      <c r="B5392" s="85">
        <v>2039</v>
      </c>
      <c r="C5392" s="85">
        <v>9</v>
      </c>
      <c r="D5392" s="85" t="s">
        <v>73</v>
      </c>
      <c r="E5392" s="85">
        <v>30</v>
      </c>
      <c r="F5392" s="85">
        <v>5</v>
      </c>
      <c r="G5392" s="85">
        <f>--(F5392&lt;=Estimator!$B$7)</f>
        <v>1</v>
      </c>
      <c r="H5392" s="86">
        <f>SUMIFS('Climate Data'!$G$7:$G$366,'Climate Data'!$A$7:$A$366,Estimator!$B$4,'Climate Data'!$B$7:$B$366,C5392)</f>
        <v>0.20666666666666667</v>
      </c>
      <c r="I5392" s="87">
        <f>SUMIFS('Climate Data'!$H$7:$H$366,'Climate Data'!$A$7:$A$366,Estimator!$B$4,'Climate Data'!$B$7:$B$366,C5392)</f>
        <v>6.806451612903226</v>
      </c>
      <c r="J5392" s="86">
        <f>SUMIFS('Wind Proxy'!$H$8:$H$19,'Wind Proxy'!$A$8:$A$19,Estimator!$B$4,'Wind Proxy'!$B$8:$B$19,C5392)</f>
        <v>0</v>
      </c>
    </row>
    <row r="5393" spans="1:10" ht="14.4">
      <c r="A5393" s="84">
        <v>51044</v>
      </c>
      <c r="B5393" s="85">
        <v>2039</v>
      </c>
      <c r="C5393" s="85">
        <v>10</v>
      </c>
      <c r="D5393" s="85" t="s">
        <v>75</v>
      </c>
      <c r="E5393" s="85">
        <v>1</v>
      </c>
      <c r="F5393" s="85">
        <v>6</v>
      </c>
      <c r="G5393" s="85">
        <f>--(F5393&lt;=Estimator!$B$7)</f>
        <v>0</v>
      </c>
      <c r="H5393" s="86">
        <f>SUMIFS('Climate Data'!$G$7:$G$366,'Climate Data'!$A$7:$A$366,Estimator!$B$4,'Climate Data'!$B$7:$B$366,C5393)</f>
        <v>0.23225806451612904</v>
      </c>
      <c r="I5393" s="87">
        <f>SUMIFS('Climate Data'!$H$7:$H$366,'Climate Data'!$A$7:$A$366,Estimator!$B$4,'Climate Data'!$B$7:$B$366,C5393)</f>
        <v>6.8194444444444446</v>
      </c>
      <c r="J5393" s="86">
        <f>SUMIFS('Wind Proxy'!$H$8:$H$19,'Wind Proxy'!$A$8:$A$19,Estimator!$B$4,'Wind Proxy'!$B$8:$B$19,C5393)</f>
        <v>0</v>
      </c>
    </row>
    <row r="5394" spans="1:10" ht="14.4">
      <c r="A5394" s="84">
        <v>51045</v>
      </c>
      <c r="B5394" s="85">
        <v>2039</v>
      </c>
      <c r="C5394" s="85">
        <v>10</v>
      </c>
      <c r="D5394" s="85" t="s">
        <v>75</v>
      </c>
      <c r="E5394" s="85">
        <v>2</v>
      </c>
      <c r="F5394" s="85">
        <v>7</v>
      </c>
      <c r="G5394" s="85">
        <f>--(F5394&lt;=Estimator!$B$7)</f>
        <v>0</v>
      </c>
      <c r="H5394" s="86">
        <f>SUMIFS('Climate Data'!$G$7:$G$366,'Climate Data'!$A$7:$A$366,Estimator!$B$4,'Climate Data'!$B$7:$B$366,C5394)</f>
        <v>0.23225806451612904</v>
      </c>
      <c r="I5394" s="87">
        <f>SUMIFS('Climate Data'!$H$7:$H$366,'Climate Data'!$A$7:$A$366,Estimator!$B$4,'Climate Data'!$B$7:$B$366,C5394)</f>
        <v>6.8194444444444446</v>
      </c>
      <c r="J5394" s="86">
        <f>SUMIFS('Wind Proxy'!$H$8:$H$19,'Wind Proxy'!$A$8:$A$19,Estimator!$B$4,'Wind Proxy'!$B$8:$B$19,C5394)</f>
        <v>0</v>
      </c>
    </row>
    <row r="5395" spans="1:10" ht="14.4">
      <c r="A5395" s="84">
        <v>51046</v>
      </c>
      <c r="B5395" s="85">
        <v>2039</v>
      </c>
      <c r="C5395" s="85">
        <v>10</v>
      </c>
      <c r="D5395" s="85" t="s">
        <v>75</v>
      </c>
      <c r="E5395" s="85">
        <v>3</v>
      </c>
      <c r="F5395" s="85">
        <v>1</v>
      </c>
      <c r="G5395" s="85">
        <f>--(F5395&lt;=Estimator!$B$7)</f>
        <v>1</v>
      </c>
      <c r="H5395" s="86">
        <f>SUMIFS('Climate Data'!$G$7:$G$366,'Climate Data'!$A$7:$A$366,Estimator!$B$4,'Climate Data'!$B$7:$B$366,C5395)</f>
        <v>0.23225806451612904</v>
      </c>
      <c r="I5395" s="87">
        <f>SUMIFS('Climate Data'!$H$7:$H$366,'Climate Data'!$A$7:$A$366,Estimator!$B$4,'Climate Data'!$B$7:$B$366,C5395)</f>
        <v>6.8194444444444446</v>
      </c>
      <c r="J5395" s="86">
        <f>SUMIFS('Wind Proxy'!$H$8:$H$19,'Wind Proxy'!$A$8:$A$19,Estimator!$B$4,'Wind Proxy'!$B$8:$B$19,C5395)</f>
        <v>0</v>
      </c>
    </row>
    <row r="5396" spans="1:10" ht="14.4">
      <c r="A5396" s="84">
        <v>51047</v>
      </c>
      <c r="B5396" s="85">
        <v>2039</v>
      </c>
      <c r="C5396" s="85">
        <v>10</v>
      </c>
      <c r="D5396" s="85" t="s">
        <v>75</v>
      </c>
      <c r="E5396" s="85">
        <v>4</v>
      </c>
      <c r="F5396" s="85">
        <v>2</v>
      </c>
      <c r="G5396" s="85">
        <f>--(F5396&lt;=Estimator!$B$7)</f>
        <v>1</v>
      </c>
      <c r="H5396" s="86">
        <f>SUMIFS('Climate Data'!$G$7:$G$366,'Climate Data'!$A$7:$A$366,Estimator!$B$4,'Climate Data'!$B$7:$B$366,C5396)</f>
        <v>0.23225806451612904</v>
      </c>
      <c r="I5396" s="87">
        <f>SUMIFS('Climate Data'!$H$7:$H$366,'Climate Data'!$A$7:$A$366,Estimator!$B$4,'Climate Data'!$B$7:$B$366,C5396)</f>
        <v>6.8194444444444446</v>
      </c>
      <c r="J5396" s="86">
        <f>SUMIFS('Wind Proxy'!$H$8:$H$19,'Wind Proxy'!$A$8:$A$19,Estimator!$B$4,'Wind Proxy'!$B$8:$B$19,C5396)</f>
        <v>0</v>
      </c>
    </row>
    <row r="5397" spans="1:10" ht="14.4">
      <c r="A5397" s="84">
        <v>51048</v>
      </c>
      <c r="B5397" s="85">
        <v>2039</v>
      </c>
      <c r="C5397" s="85">
        <v>10</v>
      </c>
      <c r="D5397" s="85" t="s">
        <v>75</v>
      </c>
      <c r="E5397" s="85">
        <v>5</v>
      </c>
      <c r="F5397" s="85">
        <v>3</v>
      </c>
      <c r="G5397" s="85">
        <f>--(F5397&lt;=Estimator!$B$7)</f>
        <v>1</v>
      </c>
      <c r="H5397" s="86">
        <f>SUMIFS('Climate Data'!$G$7:$G$366,'Climate Data'!$A$7:$A$366,Estimator!$B$4,'Climate Data'!$B$7:$B$366,C5397)</f>
        <v>0.23225806451612904</v>
      </c>
      <c r="I5397" s="87">
        <f>SUMIFS('Climate Data'!$H$7:$H$366,'Climate Data'!$A$7:$A$366,Estimator!$B$4,'Climate Data'!$B$7:$B$366,C5397)</f>
        <v>6.8194444444444446</v>
      </c>
      <c r="J5397" s="86">
        <f>SUMIFS('Wind Proxy'!$H$8:$H$19,'Wind Proxy'!$A$8:$A$19,Estimator!$B$4,'Wind Proxy'!$B$8:$B$19,C5397)</f>
        <v>0</v>
      </c>
    </row>
    <row r="5398" spans="1:10" ht="14.4">
      <c r="A5398" s="84">
        <v>51049</v>
      </c>
      <c r="B5398" s="85">
        <v>2039</v>
      </c>
      <c r="C5398" s="85">
        <v>10</v>
      </c>
      <c r="D5398" s="85" t="s">
        <v>75</v>
      </c>
      <c r="E5398" s="85">
        <v>6</v>
      </c>
      <c r="F5398" s="85">
        <v>4</v>
      </c>
      <c r="G5398" s="85">
        <f>--(F5398&lt;=Estimator!$B$7)</f>
        <v>1</v>
      </c>
      <c r="H5398" s="86">
        <f>SUMIFS('Climate Data'!$G$7:$G$366,'Climate Data'!$A$7:$A$366,Estimator!$B$4,'Climate Data'!$B$7:$B$366,C5398)</f>
        <v>0.23225806451612904</v>
      </c>
      <c r="I5398" s="87">
        <f>SUMIFS('Climate Data'!$H$7:$H$366,'Climate Data'!$A$7:$A$366,Estimator!$B$4,'Climate Data'!$B$7:$B$366,C5398)</f>
        <v>6.8194444444444446</v>
      </c>
      <c r="J5398" s="86">
        <f>SUMIFS('Wind Proxy'!$H$8:$H$19,'Wind Proxy'!$A$8:$A$19,Estimator!$B$4,'Wind Proxy'!$B$8:$B$19,C5398)</f>
        <v>0</v>
      </c>
    </row>
    <row r="5399" spans="1:10" ht="14.4">
      <c r="A5399" s="84">
        <v>51050</v>
      </c>
      <c r="B5399" s="85">
        <v>2039</v>
      </c>
      <c r="C5399" s="85">
        <v>10</v>
      </c>
      <c r="D5399" s="85" t="s">
        <v>75</v>
      </c>
      <c r="E5399" s="85">
        <v>7</v>
      </c>
      <c r="F5399" s="85">
        <v>5</v>
      </c>
      <c r="G5399" s="85">
        <f>--(F5399&lt;=Estimator!$B$7)</f>
        <v>1</v>
      </c>
      <c r="H5399" s="86">
        <f>SUMIFS('Climate Data'!$G$7:$G$366,'Climate Data'!$A$7:$A$366,Estimator!$B$4,'Climate Data'!$B$7:$B$366,C5399)</f>
        <v>0.23225806451612904</v>
      </c>
      <c r="I5399" s="87">
        <f>SUMIFS('Climate Data'!$H$7:$H$366,'Climate Data'!$A$7:$A$366,Estimator!$B$4,'Climate Data'!$B$7:$B$366,C5399)</f>
        <v>6.8194444444444446</v>
      </c>
      <c r="J5399" s="86">
        <f>SUMIFS('Wind Proxy'!$H$8:$H$19,'Wind Proxy'!$A$8:$A$19,Estimator!$B$4,'Wind Proxy'!$B$8:$B$19,C5399)</f>
        <v>0</v>
      </c>
    </row>
    <row r="5400" spans="1:10" ht="14.4">
      <c r="A5400" s="84">
        <v>51051</v>
      </c>
      <c r="B5400" s="85">
        <v>2039</v>
      </c>
      <c r="C5400" s="85">
        <v>10</v>
      </c>
      <c r="D5400" s="85" t="s">
        <v>75</v>
      </c>
      <c r="E5400" s="85">
        <v>8</v>
      </c>
      <c r="F5400" s="85">
        <v>6</v>
      </c>
      <c r="G5400" s="85">
        <f>--(F5400&lt;=Estimator!$B$7)</f>
        <v>0</v>
      </c>
      <c r="H5400" s="86">
        <f>SUMIFS('Climate Data'!$G$7:$G$366,'Climate Data'!$A$7:$A$366,Estimator!$B$4,'Climate Data'!$B$7:$B$366,C5400)</f>
        <v>0.23225806451612904</v>
      </c>
      <c r="I5400" s="87">
        <f>SUMIFS('Climate Data'!$H$7:$H$366,'Climate Data'!$A$7:$A$366,Estimator!$B$4,'Climate Data'!$B$7:$B$366,C5400)</f>
        <v>6.8194444444444446</v>
      </c>
      <c r="J5400" s="86">
        <f>SUMIFS('Wind Proxy'!$H$8:$H$19,'Wind Proxy'!$A$8:$A$19,Estimator!$B$4,'Wind Proxy'!$B$8:$B$19,C5400)</f>
        <v>0</v>
      </c>
    </row>
    <row r="5401" spans="1:10" ht="14.4">
      <c r="A5401" s="84">
        <v>51052</v>
      </c>
      <c r="B5401" s="85">
        <v>2039</v>
      </c>
      <c r="C5401" s="85">
        <v>10</v>
      </c>
      <c r="D5401" s="85" t="s">
        <v>75</v>
      </c>
      <c r="E5401" s="85">
        <v>9</v>
      </c>
      <c r="F5401" s="85">
        <v>7</v>
      </c>
      <c r="G5401" s="85">
        <f>--(F5401&lt;=Estimator!$B$7)</f>
        <v>0</v>
      </c>
      <c r="H5401" s="86">
        <f>SUMIFS('Climate Data'!$G$7:$G$366,'Climate Data'!$A$7:$A$366,Estimator!$B$4,'Climate Data'!$B$7:$B$366,C5401)</f>
        <v>0.23225806451612904</v>
      </c>
      <c r="I5401" s="87">
        <f>SUMIFS('Climate Data'!$H$7:$H$366,'Climate Data'!$A$7:$A$366,Estimator!$B$4,'Climate Data'!$B$7:$B$366,C5401)</f>
        <v>6.8194444444444446</v>
      </c>
      <c r="J5401" s="86">
        <f>SUMIFS('Wind Proxy'!$H$8:$H$19,'Wind Proxy'!$A$8:$A$19,Estimator!$B$4,'Wind Proxy'!$B$8:$B$19,C5401)</f>
        <v>0</v>
      </c>
    </row>
    <row r="5402" spans="1:10" ht="14.4">
      <c r="A5402" s="84">
        <v>51053</v>
      </c>
      <c r="B5402" s="85">
        <v>2039</v>
      </c>
      <c r="C5402" s="85">
        <v>10</v>
      </c>
      <c r="D5402" s="85" t="s">
        <v>75</v>
      </c>
      <c r="E5402" s="85">
        <v>10</v>
      </c>
      <c r="F5402" s="85">
        <v>1</v>
      </c>
      <c r="G5402" s="85">
        <f>--(F5402&lt;=Estimator!$B$7)</f>
        <v>1</v>
      </c>
      <c r="H5402" s="86">
        <f>SUMIFS('Climate Data'!$G$7:$G$366,'Climate Data'!$A$7:$A$366,Estimator!$B$4,'Climate Data'!$B$7:$B$366,C5402)</f>
        <v>0.23225806451612904</v>
      </c>
      <c r="I5402" s="87">
        <f>SUMIFS('Climate Data'!$H$7:$H$366,'Climate Data'!$A$7:$A$366,Estimator!$B$4,'Climate Data'!$B$7:$B$366,C5402)</f>
        <v>6.8194444444444446</v>
      </c>
      <c r="J5402" s="86">
        <f>SUMIFS('Wind Proxy'!$H$8:$H$19,'Wind Proxy'!$A$8:$A$19,Estimator!$B$4,'Wind Proxy'!$B$8:$B$19,C5402)</f>
        <v>0</v>
      </c>
    </row>
    <row r="5403" spans="1:10" ht="14.4">
      <c r="A5403" s="84">
        <v>51054</v>
      </c>
      <c r="B5403" s="85">
        <v>2039</v>
      </c>
      <c r="C5403" s="85">
        <v>10</v>
      </c>
      <c r="D5403" s="85" t="s">
        <v>75</v>
      </c>
      <c r="E5403" s="85">
        <v>11</v>
      </c>
      <c r="F5403" s="85">
        <v>2</v>
      </c>
      <c r="G5403" s="85">
        <f>--(F5403&lt;=Estimator!$B$7)</f>
        <v>1</v>
      </c>
      <c r="H5403" s="86">
        <f>SUMIFS('Climate Data'!$G$7:$G$366,'Climate Data'!$A$7:$A$366,Estimator!$B$4,'Climate Data'!$B$7:$B$366,C5403)</f>
        <v>0.23225806451612904</v>
      </c>
      <c r="I5403" s="87">
        <f>SUMIFS('Climate Data'!$H$7:$H$366,'Climate Data'!$A$7:$A$366,Estimator!$B$4,'Climate Data'!$B$7:$B$366,C5403)</f>
        <v>6.8194444444444446</v>
      </c>
      <c r="J5403" s="86">
        <f>SUMIFS('Wind Proxy'!$H$8:$H$19,'Wind Proxy'!$A$8:$A$19,Estimator!$B$4,'Wind Proxy'!$B$8:$B$19,C5403)</f>
        <v>0</v>
      </c>
    </row>
    <row r="5404" spans="1:10" ht="14.4">
      <c r="A5404" s="84">
        <v>51055</v>
      </c>
      <c r="B5404" s="85">
        <v>2039</v>
      </c>
      <c r="C5404" s="85">
        <v>10</v>
      </c>
      <c r="D5404" s="85" t="s">
        <v>75</v>
      </c>
      <c r="E5404" s="85">
        <v>12</v>
      </c>
      <c r="F5404" s="85">
        <v>3</v>
      </c>
      <c r="G5404" s="85">
        <f>--(F5404&lt;=Estimator!$B$7)</f>
        <v>1</v>
      </c>
      <c r="H5404" s="86">
        <f>SUMIFS('Climate Data'!$G$7:$G$366,'Climate Data'!$A$7:$A$366,Estimator!$B$4,'Climate Data'!$B$7:$B$366,C5404)</f>
        <v>0.23225806451612904</v>
      </c>
      <c r="I5404" s="87">
        <f>SUMIFS('Climate Data'!$H$7:$H$366,'Climate Data'!$A$7:$A$366,Estimator!$B$4,'Climate Data'!$B$7:$B$366,C5404)</f>
        <v>6.8194444444444446</v>
      </c>
      <c r="J5404" s="86">
        <f>SUMIFS('Wind Proxy'!$H$8:$H$19,'Wind Proxy'!$A$8:$A$19,Estimator!$B$4,'Wind Proxy'!$B$8:$B$19,C5404)</f>
        <v>0</v>
      </c>
    </row>
    <row r="5405" spans="1:10" ht="14.4">
      <c r="A5405" s="84">
        <v>51056</v>
      </c>
      <c r="B5405" s="85">
        <v>2039</v>
      </c>
      <c r="C5405" s="85">
        <v>10</v>
      </c>
      <c r="D5405" s="85" t="s">
        <v>75</v>
      </c>
      <c r="E5405" s="85">
        <v>13</v>
      </c>
      <c r="F5405" s="85">
        <v>4</v>
      </c>
      <c r="G5405" s="85">
        <f>--(F5405&lt;=Estimator!$B$7)</f>
        <v>1</v>
      </c>
      <c r="H5405" s="86">
        <f>SUMIFS('Climate Data'!$G$7:$G$366,'Climate Data'!$A$7:$A$366,Estimator!$B$4,'Climate Data'!$B$7:$B$366,C5405)</f>
        <v>0.23225806451612904</v>
      </c>
      <c r="I5405" s="87">
        <f>SUMIFS('Climate Data'!$H$7:$H$366,'Climate Data'!$A$7:$A$366,Estimator!$B$4,'Climate Data'!$B$7:$B$366,C5405)</f>
        <v>6.8194444444444446</v>
      </c>
      <c r="J5405" s="86">
        <f>SUMIFS('Wind Proxy'!$H$8:$H$19,'Wind Proxy'!$A$8:$A$19,Estimator!$B$4,'Wind Proxy'!$B$8:$B$19,C5405)</f>
        <v>0</v>
      </c>
    </row>
    <row r="5406" spans="1:10" ht="14.4">
      <c r="A5406" s="84">
        <v>51057</v>
      </c>
      <c r="B5406" s="85">
        <v>2039</v>
      </c>
      <c r="C5406" s="85">
        <v>10</v>
      </c>
      <c r="D5406" s="85" t="s">
        <v>75</v>
      </c>
      <c r="E5406" s="85">
        <v>14</v>
      </c>
      <c r="F5406" s="85">
        <v>5</v>
      </c>
      <c r="G5406" s="85">
        <f>--(F5406&lt;=Estimator!$B$7)</f>
        <v>1</v>
      </c>
      <c r="H5406" s="86">
        <f>SUMIFS('Climate Data'!$G$7:$G$366,'Climate Data'!$A$7:$A$366,Estimator!$B$4,'Climate Data'!$B$7:$B$366,C5406)</f>
        <v>0.23225806451612904</v>
      </c>
      <c r="I5406" s="87">
        <f>SUMIFS('Climate Data'!$H$7:$H$366,'Climate Data'!$A$7:$A$366,Estimator!$B$4,'Climate Data'!$B$7:$B$366,C5406)</f>
        <v>6.8194444444444446</v>
      </c>
      <c r="J5406" s="86">
        <f>SUMIFS('Wind Proxy'!$H$8:$H$19,'Wind Proxy'!$A$8:$A$19,Estimator!$B$4,'Wind Proxy'!$B$8:$B$19,C5406)</f>
        <v>0</v>
      </c>
    </row>
    <row r="5407" spans="1:10" ht="14.4">
      <c r="A5407" s="84">
        <v>51058</v>
      </c>
      <c r="B5407" s="85">
        <v>2039</v>
      </c>
      <c r="C5407" s="85">
        <v>10</v>
      </c>
      <c r="D5407" s="85" t="s">
        <v>75</v>
      </c>
      <c r="E5407" s="85">
        <v>15</v>
      </c>
      <c r="F5407" s="85">
        <v>6</v>
      </c>
      <c r="G5407" s="85">
        <f>--(F5407&lt;=Estimator!$B$7)</f>
        <v>0</v>
      </c>
      <c r="H5407" s="86">
        <f>SUMIFS('Climate Data'!$G$7:$G$366,'Climate Data'!$A$7:$A$366,Estimator!$B$4,'Climate Data'!$B$7:$B$366,C5407)</f>
        <v>0.23225806451612904</v>
      </c>
      <c r="I5407" s="87">
        <f>SUMIFS('Climate Data'!$H$7:$H$366,'Climate Data'!$A$7:$A$366,Estimator!$B$4,'Climate Data'!$B$7:$B$366,C5407)</f>
        <v>6.8194444444444446</v>
      </c>
      <c r="J5407" s="86">
        <f>SUMIFS('Wind Proxy'!$H$8:$H$19,'Wind Proxy'!$A$8:$A$19,Estimator!$B$4,'Wind Proxy'!$B$8:$B$19,C5407)</f>
        <v>0</v>
      </c>
    </row>
    <row r="5408" spans="1:10" ht="14.4">
      <c r="A5408" s="84">
        <v>51059</v>
      </c>
      <c r="B5408" s="85">
        <v>2039</v>
      </c>
      <c r="C5408" s="85">
        <v>10</v>
      </c>
      <c r="D5408" s="85" t="s">
        <v>75</v>
      </c>
      <c r="E5408" s="85">
        <v>16</v>
      </c>
      <c r="F5408" s="85">
        <v>7</v>
      </c>
      <c r="G5408" s="85">
        <f>--(F5408&lt;=Estimator!$B$7)</f>
        <v>0</v>
      </c>
      <c r="H5408" s="86">
        <f>SUMIFS('Climate Data'!$G$7:$G$366,'Climate Data'!$A$7:$A$366,Estimator!$B$4,'Climate Data'!$B$7:$B$366,C5408)</f>
        <v>0.23225806451612904</v>
      </c>
      <c r="I5408" s="87">
        <f>SUMIFS('Climate Data'!$H$7:$H$366,'Climate Data'!$A$7:$A$366,Estimator!$B$4,'Climate Data'!$B$7:$B$366,C5408)</f>
        <v>6.8194444444444446</v>
      </c>
      <c r="J5408" s="86">
        <f>SUMIFS('Wind Proxy'!$H$8:$H$19,'Wind Proxy'!$A$8:$A$19,Estimator!$B$4,'Wind Proxy'!$B$8:$B$19,C5408)</f>
        <v>0</v>
      </c>
    </row>
    <row r="5409" spans="1:10" ht="14.4">
      <c r="A5409" s="84">
        <v>51060</v>
      </c>
      <c r="B5409" s="85">
        <v>2039</v>
      </c>
      <c r="C5409" s="85">
        <v>10</v>
      </c>
      <c r="D5409" s="85" t="s">
        <v>75</v>
      </c>
      <c r="E5409" s="85">
        <v>17</v>
      </c>
      <c r="F5409" s="85">
        <v>1</v>
      </c>
      <c r="G5409" s="85">
        <f>--(F5409&lt;=Estimator!$B$7)</f>
        <v>1</v>
      </c>
      <c r="H5409" s="86">
        <f>SUMIFS('Climate Data'!$G$7:$G$366,'Climate Data'!$A$7:$A$366,Estimator!$B$4,'Climate Data'!$B$7:$B$366,C5409)</f>
        <v>0.23225806451612904</v>
      </c>
      <c r="I5409" s="87">
        <f>SUMIFS('Climate Data'!$H$7:$H$366,'Climate Data'!$A$7:$A$366,Estimator!$B$4,'Climate Data'!$B$7:$B$366,C5409)</f>
        <v>6.8194444444444446</v>
      </c>
      <c r="J5409" s="86">
        <f>SUMIFS('Wind Proxy'!$H$8:$H$19,'Wind Proxy'!$A$8:$A$19,Estimator!$B$4,'Wind Proxy'!$B$8:$B$19,C5409)</f>
        <v>0</v>
      </c>
    </row>
    <row r="5410" spans="1:10" ht="14.4">
      <c r="A5410" s="84">
        <v>51061</v>
      </c>
      <c r="B5410" s="85">
        <v>2039</v>
      </c>
      <c r="C5410" s="85">
        <v>10</v>
      </c>
      <c r="D5410" s="85" t="s">
        <v>75</v>
      </c>
      <c r="E5410" s="85">
        <v>18</v>
      </c>
      <c r="F5410" s="85">
        <v>2</v>
      </c>
      <c r="G5410" s="85">
        <f>--(F5410&lt;=Estimator!$B$7)</f>
        <v>1</v>
      </c>
      <c r="H5410" s="86">
        <f>SUMIFS('Climate Data'!$G$7:$G$366,'Climate Data'!$A$7:$A$366,Estimator!$B$4,'Climate Data'!$B$7:$B$366,C5410)</f>
        <v>0.23225806451612904</v>
      </c>
      <c r="I5410" s="87">
        <f>SUMIFS('Climate Data'!$H$7:$H$366,'Climate Data'!$A$7:$A$366,Estimator!$B$4,'Climate Data'!$B$7:$B$366,C5410)</f>
        <v>6.8194444444444446</v>
      </c>
      <c r="J5410" s="86">
        <f>SUMIFS('Wind Proxy'!$H$8:$H$19,'Wind Proxy'!$A$8:$A$19,Estimator!$B$4,'Wind Proxy'!$B$8:$B$19,C5410)</f>
        <v>0</v>
      </c>
    </row>
    <row r="5411" spans="1:10" ht="14.4">
      <c r="A5411" s="84">
        <v>51062</v>
      </c>
      <c r="B5411" s="85">
        <v>2039</v>
      </c>
      <c r="C5411" s="85">
        <v>10</v>
      </c>
      <c r="D5411" s="85" t="s">
        <v>75</v>
      </c>
      <c r="E5411" s="85">
        <v>19</v>
      </c>
      <c r="F5411" s="85">
        <v>3</v>
      </c>
      <c r="G5411" s="85">
        <f>--(F5411&lt;=Estimator!$B$7)</f>
        <v>1</v>
      </c>
      <c r="H5411" s="86">
        <f>SUMIFS('Climate Data'!$G$7:$G$366,'Climate Data'!$A$7:$A$366,Estimator!$B$4,'Climate Data'!$B$7:$B$366,C5411)</f>
        <v>0.23225806451612904</v>
      </c>
      <c r="I5411" s="87">
        <f>SUMIFS('Climate Data'!$H$7:$H$366,'Climate Data'!$A$7:$A$366,Estimator!$B$4,'Climate Data'!$B$7:$B$366,C5411)</f>
        <v>6.8194444444444446</v>
      </c>
      <c r="J5411" s="86">
        <f>SUMIFS('Wind Proxy'!$H$8:$H$19,'Wind Proxy'!$A$8:$A$19,Estimator!$B$4,'Wind Proxy'!$B$8:$B$19,C5411)</f>
        <v>0</v>
      </c>
    </row>
    <row r="5412" spans="1:10" ht="14.4">
      <c r="A5412" s="84">
        <v>51063</v>
      </c>
      <c r="B5412" s="85">
        <v>2039</v>
      </c>
      <c r="C5412" s="85">
        <v>10</v>
      </c>
      <c r="D5412" s="85" t="s">
        <v>75</v>
      </c>
      <c r="E5412" s="85">
        <v>20</v>
      </c>
      <c r="F5412" s="85">
        <v>4</v>
      </c>
      <c r="G5412" s="85">
        <f>--(F5412&lt;=Estimator!$B$7)</f>
        <v>1</v>
      </c>
      <c r="H5412" s="86">
        <f>SUMIFS('Climate Data'!$G$7:$G$366,'Climate Data'!$A$7:$A$366,Estimator!$B$4,'Climate Data'!$B$7:$B$366,C5412)</f>
        <v>0.23225806451612904</v>
      </c>
      <c r="I5412" s="87">
        <f>SUMIFS('Climate Data'!$H$7:$H$366,'Climate Data'!$A$7:$A$366,Estimator!$B$4,'Climate Data'!$B$7:$B$366,C5412)</f>
        <v>6.8194444444444446</v>
      </c>
      <c r="J5412" s="86">
        <f>SUMIFS('Wind Proxy'!$H$8:$H$19,'Wind Proxy'!$A$8:$A$19,Estimator!$B$4,'Wind Proxy'!$B$8:$B$19,C5412)</f>
        <v>0</v>
      </c>
    </row>
    <row r="5413" spans="1:10" ht="14.4">
      <c r="A5413" s="84">
        <v>51064</v>
      </c>
      <c r="B5413" s="85">
        <v>2039</v>
      </c>
      <c r="C5413" s="85">
        <v>10</v>
      </c>
      <c r="D5413" s="85" t="s">
        <v>75</v>
      </c>
      <c r="E5413" s="85">
        <v>21</v>
      </c>
      <c r="F5413" s="85">
        <v>5</v>
      </c>
      <c r="G5413" s="85">
        <f>--(F5413&lt;=Estimator!$B$7)</f>
        <v>1</v>
      </c>
      <c r="H5413" s="86">
        <f>SUMIFS('Climate Data'!$G$7:$G$366,'Climate Data'!$A$7:$A$366,Estimator!$B$4,'Climate Data'!$B$7:$B$366,C5413)</f>
        <v>0.23225806451612904</v>
      </c>
      <c r="I5413" s="87">
        <f>SUMIFS('Climate Data'!$H$7:$H$366,'Climate Data'!$A$7:$A$366,Estimator!$B$4,'Climate Data'!$B$7:$B$366,C5413)</f>
        <v>6.8194444444444446</v>
      </c>
      <c r="J5413" s="86">
        <f>SUMIFS('Wind Proxy'!$H$8:$H$19,'Wind Proxy'!$A$8:$A$19,Estimator!$B$4,'Wind Proxy'!$B$8:$B$19,C5413)</f>
        <v>0</v>
      </c>
    </row>
    <row r="5414" spans="1:10" ht="14.4">
      <c r="A5414" s="84">
        <v>51065</v>
      </c>
      <c r="B5414" s="85">
        <v>2039</v>
      </c>
      <c r="C5414" s="85">
        <v>10</v>
      </c>
      <c r="D5414" s="85" t="s">
        <v>75</v>
      </c>
      <c r="E5414" s="85">
        <v>22</v>
      </c>
      <c r="F5414" s="85">
        <v>6</v>
      </c>
      <c r="G5414" s="85">
        <f>--(F5414&lt;=Estimator!$B$7)</f>
        <v>0</v>
      </c>
      <c r="H5414" s="86">
        <f>SUMIFS('Climate Data'!$G$7:$G$366,'Climate Data'!$A$7:$A$366,Estimator!$B$4,'Climate Data'!$B$7:$B$366,C5414)</f>
        <v>0.23225806451612904</v>
      </c>
      <c r="I5414" s="87">
        <f>SUMIFS('Climate Data'!$H$7:$H$366,'Climate Data'!$A$7:$A$366,Estimator!$B$4,'Climate Data'!$B$7:$B$366,C5414)</f>
        <v>6.8194444444444446</v>
      </c>
      <c r="J5414" s="86">
        <f>SUMIFS('Wind Proxy'!$H$8:$H$19,'Wind Proxy'!$A$8:$A$19,Estimator!$B$4,'Wind Proxy'!$B$8:$B$19,C5414)</f>
        <v>0</v>
      </c>
    </row>
    <row r="5415" spans="1:10" ht="14.4">
      <c r="A5415" s="84">
        <v>51066</v>
      </c>
      <c r="B5415" s="85">
        <v>2039</v>
      </c>
      <c r="C5415" s="85">
        <v>10</v>
      </c>
      <c r="D5415" s="85" t="s">
        <v>75</v>
      </c>
      <c r="E5415" s="85">
        <v>23</v>
      </c>
      <c r="F5415" s="85">
        <v>7</v>
      </c>
      <c r="G5415" s="85">
        <f>--(F5415&lt;=Estimator!$B$7)</f>
        <v>0</v>
      </c>
      <c r="H5415" s="86">
        <f>SUMIFS('Climate Data'!$G$7:$G$366,'Climate Data'!$A$7:$A$366,Estimator!$B$4,'Climate Data'!$B$7:$B$366,C5415)</f>
        <v>0.23225806451612904</v>
      </c>
      <c r="I5415" s="87">
        <f>SUMIFS('Climate Data'!$H$7:$H$366,'Climate Data'!$A$7:$A$366,Estimator!$B$4,'Climate Data'!$B$7:$B$366,C5415)</f>
        <v>6.8194444444444446</v>
      </c>
      <c r="J5415" s="86">
        <f>SUMIFS('Wind Proxy'!$H$8:$H$19,'Wind Proxy'!$A$8:$A$19,Estimator!$B$4,'Wind Proxy'!$B$8:$B$19,C5415)</f>
        <v>0</v>
      </c>
    </row>
    <row r="5416" spans="1:10" ht="14.4">
      <c r="A5416" s="84">
        <v>51067</v>
      </c>
      <c r="B5416" s="85">
        <v>2039</v>
      </c>
      <c r="C5416" s="85">
        <v>10</v>
      </c>
      <c r="D5416" s="85" t="s">
        <v>75</v>
      </c>
      <c r="E5416" s="85">
        <v>24</v>
      </c>
      <c r="F5416" s="85">
        <v>1</v>
      </c>
      <c r="G5416" s="85">
        <f>--(F5416&lt;=Estimator!$B$7)</f>
        <v>1</v>
      </c>
      <c r="H5416" s="86">
        <f>SUMIFS('Climate Data'!$G$7:$G$366,'Climate Data'!$A$7:$A$366,Estimator!$B$4,'Climate Data'!$B$7:$B$366,C5416)</f>
        <v>0.23225806451612904</v>
      </c>
      <c r="I5416" s="87">
        <f>SUMIFS('Climate Data'!$H$7:$H$366,'Climate Data'!$A$7:$A$366,Estimator!$B$4,'Climate Data'!$B$7:$B$366,C5416)</f>
        <v>6.8194444444444446</v>
      </c>
      <c r="J5416" s="86">
        <f>SUMIFS('Wind Proxy'!$H$8:$H$19,'Wind Proxy'!$A$8:$A$19,Estimator!$B$4,'Wind Proxy'!$B$8:$B$19,C5416)</f>
        <v>0</v>
      </c>
    </row>
    <row r="5417" spans="1:10" ht="14.4">
      <c r="A5417" s="84">
        <v>51068</v>
      </c>
      <c r="B5417" s="85">
        <v>2039</v>
      </c>
      <c r="C5417" s="85">
        <v>10</v>
      </c>
      <c r="D5417" s="85" t="s">
        <v>75</v>
      </c>
      <c r="E5417" s="85">
        <v>25</v>
      </c>
      <c r="F5417" s="85">
        <v>2</v>
      </c>
      <c r="G5417" s="85">
        <f>--(F5417&lt;=Estimator!$B$7)</f>
        <v>1</v>
      </c>
      <c r="H5417" s="86">
        <f>SUMIFS('Climate Data'!$G$7:$G$366,'Climate Data'!$A$7:$A$366,Estimator!$B$4,'Climate Data'!$B$7:$B$366,C5417)</f>
        <v>0.23225806451612904</v>
      </c>
      <c r="I5417" s="87">
        <f>SUMIFS('Climate Data'!$H$7:$H$366,'Climate Data'!$A$7:$A$366,Estimator!$B$4,'Climate Data'!$B$7:$B$366,C5417)</f>
        <v>6.8194444444444446</v>
      </c>
      <c r="J5417" s="86">
        <f>SUMIFS('Wind Proxy'!$H$8:$H$19,'Wind Proxy'!$A$8:$A$19,Estimator!$B$4,'Wind Proxy'!$B$8:$B$19,C5417)</f>
        <v>0</v>
      </c>
    </row>
    <row r="5418" spans="1:10" ht="14.4">
      <c r="A5418" s="84">
        <v>51069</v>
      </c>
      <c r="B5418" s="85">
        <v>2039</v>
      </c>
      <c r="C5418" s="85">
        <v>10</v>
      </c>
      <c r="D5418" s="85" t="s">
        <v>75</v>
      </c>
      <c r="E5418" s="85">
        <v>26</v>
      </c>
      <c r="F5418" s="85">
        <v>3</v>
      </c>
      <c r="G5418" s="85">
        <f>--(F5418&lt;=Estimator!$B$7)</f>
        <v>1</v>
      </c>
      <c r="H5418" s="86">
        <f>SUMIFS('Climate Data'!$G$7:$G$366,'Climate Data'!$A$7:$A$366,Estimator!$B$4,'Climate Data'!$B$7:$B$366,C5418)</f>
        <v>0.23225806451612904</v>
      </c>
      <c r="I5418" s="87">
        <f>SUMIFS('Climate Data'!$H$7:$H$366,'Climate Data'!$A$7:$A$366,Estimator!$B$4,'Climate Data'!$B$7:$B$366,C5418)</f>
        <v>6.8194444444444446</v>
      </c>
      <c r="J5418" s="86">
        <f>SUMIFS('Wind Proxy'!$H$8:$H$19,'Wind Proxy'!$A$8:$A$19,Estimator!$B$4,'Wind Proxy'!$B$8:$B$19,C5418)</f>
        <v>0</v>
      </c>
    </row>
    <row r="5419" spans="1:10" ht="14.4">
      <c r="A5419" s="84">
        <v>51070</v>
      </c>
      <c r="B5419" s="85">
        <v>2039</v>
      </c>
      <c r="C5419" s="85">
        <v>10</v>
      </c>
      <c r="D5419" s="85" t="s">
        <v>75</v>
      </c>
      <c r="E5419" s="85">
        <v>27</v>
      </c>
      <c r="F5419" s="85">
        <v>4</v>
      </c>
      <c r="G5419" s="85">
        <f>--(F5419&lt;=Estimator!$B$7)</f>
        <v>1</v>
      </c>
      <c r="H5419" s="86">
        <f>SUMIFS('Climate Data'!$G$7:$G$366,'Climate Data'!$A$7:$A$366,Estimator!$B$4,'Climate Data'!$B$7:$B$366,C5419)</f>
        <v>0.23225806451612904</v>
      </c>
      <c r="I5419" s="87">
        <f>SUMIFS('Climate Data'!$H$7:$H$366,'Climate Data'!$A$7:$A$366,Estimator!$B$4,'Climate Data'!$B$7:$B$366,C5419)</f>
        <v>6.8194444444444446</v>
      </c>
      <c r="J5419" s="86">
        <f>SUMIFS('Wind Proxy'!$H$8:$H$19,'Wind Proxy'!$A$8:$A$19,Estimator!$B$4,'Wind Proxy'!$B$8:$B$19,C5419)</f>
        <v>0</v>
      </c>
    </row>
    <row r="5420" spans="1:10" ht="14.4">
      <c r="A5420" s="84">
        <v>51071</v>
      </c>
      <c r="B5420" s="85">
        <v>2039</v>
      </c>
      <c r="C5420" s="85">
        <v>10</v>
      </c>
      <c r="D5420" s="85" t="s">
        <v>75</v>
      </c>
      <c r="E5420" s="85">
        <v>28</v>
      </c>
      <c r="F5420" s="85">
        <v>5</v>
      </c>
      <c r="G5420" s="85">
        <f>--(F5420&lt;=Estimator!$B$7)</f>
        <v>1</v>
      </c>
      <c r="H5420" s="86">
        <f>SUMIFS('Climate Data'!$G$7:$G$366,'Climate Data'!$A$7:$A$366,Estimator!$B$4,'Climate Data'!$B$7:$B$366,C5420)</f>
        <v>0.23225806451612904</v>
      </c>
      <c r="I5420" s="87">
        <f>SUMIFS('Climate Data'!$H$7:$H$366,'Climate Data'!$A$7:$A$366,Estimator!$B$4,'Climate Data'!$B$7:$B$366,C5420)</f>
        <v>6.8194444444444446</v>
      </c>
      <c r="J5420" s="86">
        <f>SUMIFS('Wind Proxy'!$H$8:$H$19,'Wind Proxy'!$A$8:$A$19,Estimator!$B$4,'Wind Proxy'!$B$8:$B$19,C5420)</f>
        <v>0</v>
      </c>
    </row>
    <row r="5421" spans="1:10" ht="14.4">
      <c r="A5421" s="84">
        <v>51072</v>
      </c>
      <c r="B5421" s="85">
        <v>2039</v>
      </c>
      <c r="C5421" s="85">
        <v>10</v>
      </c>
      <c r="D5421" s="85" t="s">
        <v>75</v>
      </c>
      <c r="E5421" s="85">
        <v>29</v>
      </c>
      <c r="F5421" s="85">
        <v>6</v>
      </c>
      <c r="G5421" s="85">
        <f>--(F5421&lt;=Estimator!$B$7)</f>
        <v>0</v>
      </c>
      <c r="H5421" s="86">
        <f>SUMIFS('Climate Data'!$G$7:$G$366,'Climate Data'!$A$7:$A$366,Estimator!$B$4,'Climate Data'!$B$7:$B$366,C5421)</f>
        <v>0.23225806451612904</v>
      </c>
      <c r="I5421" s="87">
        <f>SUMIFS('Climate Data'!$H$7:$H$366,'Climate Data'!$A$7:$A$366,Estimator!$B$4,'Climate Data'!$B$7:$B$366,C5421)</f>
        <v>6.8194444444444446</v>
      </c>
      <c r="J5421" s="86">
        <f>SUMIFS('Wind Proxy'!$H$8:$H$19,'Wind Proxy'!$A$8:$A$19,Estimator!$B$4,'Wind Proxy'!$B$8:$B$19,C5421)</f>
        <v>0</v>
      </c>
    </row>
    <row r="5422" spans="1:10" ht="14.4">
      <c r="A5422" s="84">
        <v>51073</v>
      </c>
      <c r="B5422" s="85">
        <v>2039</v>
      </c>
      <c r="C5422" s="85">
        <v>10</v>
      </c>
      <c r="D5422" s="85" t="s">
        <v>75</v>
      </c>
      <c r="E5422" s="85">
        <v>30</v>
      </c>
      <c r="F5422" s="85">
        <v>7</v>
      </c>
      <c r="G5422" s="85">
        <f>--(F5422&lt;=Estimator!$B$7)</f>
        <v>0</v>
      </c>
      <c r="H5422" s="86">
        <f>SUMIFS('Climate Data'!$G$7:$G$366,'Climate Data'!$A$7:$A$366,Estimator!$B$4,'Climate Data'!$B$7:$B$366,C5422)</f>
        <v>0.23225806451612904</v>
      </c>
      <c r="I5422" s="87">
        <f>SUMIFS('Climate Data'!$H$7:$H$366,'Climate Data'!$A$7:$A$366,Estimator!$B$4,'Climate Data'!$B$7:$B$366,C5422)</f>
        <v>6.8194444444444446</v>
      </c>
      <c r="J5422" s="86">
        <f>SUMIFS('Wind Proxy'!$H$8:$H$19,'Wind Proxy'!$A$8:$A$19,Estimator!$B$4,'Wind Proxy'!$B$8:$B$19,C5422)</f>
        <v>0</v>
      </c>
    </row>
    <row r="5423" spans="1:10" ht="14.4">
      <c r="A5423" s="84">
        <v>51074</v>
      </c>
      <c r="B5423" s="85">
        <v>2039</v>
      </c>
      <c r="C5423" s="85">
        <v>10</v>
      </c>
      <c r="D5423" s="85" t="s">
        <v>75</v>
      </c>
      <c r="E5423" s="85">
        <v>31</v>
      </c>
      <c r="F5423" s="85">
        <v>1</v>
      </c>
      <c r="G5423" s="85">
        <f>--(F5423&lt;=Estimator!$B$7)</f>
        <v>1</v>
      </c>
      <c r="H5423" s="86">
        <f>SUMIFS('Climate Data'!$G$7:$G$366,'Climate Data'!$A$7:$A$366,Estimator!$B$4,'Climate Data'!$B$7:$B$366,C5423)</f>
        <v>0.23225806451612904</v>
      </c>
      <c r="I5423" s="87">
        <f>SUMIFS('Climate Data'!$H$7:$H$366,'Climate Data'!$A$7:$A$366,Estimator!$B$4,'Climate Data'!$B$7:$B$366,C5423)</f>
        <v>6.8194444444444446</v>
      </c>
      <c r="J5423" s="86">
        <f>SUMIFS('Wind Proxy'!$H$8:$H$19,'Wind Proxy'!$A$8:$A$19,Estimator!$B$4,'Wind Proxy'!$B$8:$B$19,C5423)</f>
        <v>0</v>
      </c>
    </row>
    <row r="5424" spans="1:10" ht="14.4">
      <c r="A5424" s="84">
        <v>51075</v>
      </c>
      <c r="B5424" s="85">
        <v>2039</v>
      </c>
      <c r="C5424" s="85">
        <v>11</v>
      </c>
      <c r="D5424" s="85" t="s">
        <v>76</v>
      </c>
      <c r="E5424" s="85">
        <v>1</v>
      </c>
      <c r="F5424" s="85">
        <v>2</v>
      </c>
      <c r="G5424" s="85">
        <f>--(F5424&lt;=Estimator!$B$7)</f>
        <v>1</v>
      </c>
      <c r="H5424" s="86">
        <f>SUMIFS('Climate Data'!$G$7:$G$366,'Climate Data'!$A$7:$A$366,Estimator!$B$4,'Climate Data'!$B$7:$B$366,C5424)</f>
        <v>0.23333333333333334</v>
      </c>
      <c r="I5424" s="87">
        <f>SUMIFS('Climate Data'!$H$7:$H$366,'Climate Data'!$A$7:$A$366,Estimator!$B$4,'Climate Data'!$B$7:$B$366,C5424)</f>
        <v>6.4428571428571431</v>
      </c>
      <c r="J5424" s="86">
        <f>SUMIFS('Wind Proxy'!$H$8:$H$19,'Wind Proxy'!$A$8:$A$19,Estimator!$B$4,'Wind Proxy'!$B$8:$B$19,C5424)</f>
        <v>0</v>
      </c>
    </row>
    <row r="5425" spans="1:10" ht="14.4">
      <c r="A5425" s="84">
        <v>51076</v>
      </c>
      <c r="B5425" s="85">
        <v>2039</v>
      </c>
      <c r="C5425" s="85">
        <v>11</v>
      </c>
      <c r="D5425" s="85" t="s">
        <v>76</v>
      </c>
      <c r="E5425" s="85">
        <v>2</v>
      </c>
      <c r="F5425" s="85">
        <v>3</v>
      </c>
      <c r="G5425" s="85">
        <f>--(F5425&lt;=Estimator!$B$7)</f>
        <v>1</v>
      </c>
      <c r="H5425" s="86">
        <f>SUMIFS('Climate Data'!$G$7:$G$366,'Climate Data'!$A$7:$A$366,Estimator!$B$4,'Climate Data'!$B$7:$B$366,C5425)</f>
        <v>0.23333333333333334</v>
      </c>
      <c r="I5425" s="87">
        <f>SUMIFS('Climate Data'!$H$7:$H$366,'Climate Data'!$A$7:$A$366,Estimator!$B$4,'Climate Data'!$B$7:$B$366,C5425)</f>
        <v>6.4428571428571431</v>
      </c>
      <c r="J5425" s="86">
        <f>SUMIFS('Wind Proxy'!$H$8:$H$19,'Wind Proxy'!$A$8:$A$19,Estimator!$B$4,'Wind Proxy'!$B$8:$B$19,C5425)</f>
        <v>0</v>
      </c>
    </row>
    <row r="5426" spans="1:10" ht="14.4">
      <c r="A5426" s="84">
        <v>51077</v>
      </c>
      <c r="B5426" s="85">
        <v>2039</v>
      </c>
      <c r="C5426" s="85">
        <v>11</v>
      </c>
      <c r="D5426" s="85" t="s">
        <v>76</v>
      </c>
      <c r="E5426" s="85">
        <v>3</v>
      </c>
      <c r="F5426" s="85">
        <v>4</v>
      </c>
      <c r="G5426" s="85">
        <f>--(F5426&lt;=Estimator!$B$7)</f>
        <v>1</v>
      </c>
      <c r="H5426" s="86">
        <f>SUMIFS('Climate Data'!$G$7:$G$366,'Climate Data'!$A$7:$A$366,Estimator!$B$4,'Climate Data'!$B$7:$B$366,C5426)</f>
        <v>0.23333333333333334</v>
      </c>
      <c r="I5426" s="87">
        <f>SUMIFS('Climate Data'!$H$7:$H$366,'Climate Data'!$A$7:$A$366,Estimator!$B$4,'Climate Data'!$B$7:$B$366,C5426)</f>
        <v>6.4428571428571431</v>
      </c>
      <c r="J5426" s="86">
        <f>SUMIFS('Wind Proxy'!$H$8:$H$19,'Wind Proxy'!$A$8:$A$19,Estimator!$B$4,'Wind Proxy'!$B$8:$B$19,C5426)</f>
        <v>0</v>
      </c>
    </row>
    <row r="5427" spans="1:10" ht="14.4">
      <c r="A5427" s="84">
        <v>51078</v>
      </c>
      <c r="B5427" s="85">
        <v>2039</v>
      </c>
      <c r="C5427" s="85">
        <v>11</v>
      </c>
      <c r="D5427" s="85" t="s">
        <v>76</v>
      </c>
      <c r="E5427" s="85">
        <v>4</v>
      </c>
      <c r="F5427" s="85">
        <v>5</v>
      </c>
      <c r="G5427" s="85">
        <f>--(F5427&lt;=Estimator!$B$7)</f>
        <v>1</v>
      </c>
      <c r="H5427" s="86">
        <f>SUMIFS('Climate Data'!$G$7:$G$366,'Climate Data'!$A$7:$A$366,Estimator!$B$4,'Climate Data'!$B$7:$B$366,C5427)</f>
        <v>0.23333333333333334</v>
      </c>
      <c r="I5427" s="87">
        <f>SUMIFS('Climate Data'!$H$7:$H$366,'Climate Data'!$A$7:$A$366,Estimator!$B$4,'Climate Data'!$B$7:$B$366,C5427)</f>
        <v>6.4428571428571431</v>
      </c>
      <c r="J5427" s="86">
        <f>SUMIFS('Wind Proxy'!$H$8:$H$19,'Wind Proxy'!$A$8:$A$19,Estimator!$B$4,'Wind Proxy'!$B$8:$B$19,C5427)</f>
        <v>0</v>
      </c>
    </row>
    <row r="5428" spans="1:10" ht="14.4">
      <c r="A5428" s="84">
        <v>51079</v>
      </c>
      <c r="B5428" s="85">
        <v>2039</v>
      </c>
      <c r="C5428" s="85">
        <v>11</v>
      </c>
      <c r="D5428" s="85" t="s">
        <v>76</v>
      </c>
      <c r="E5428" s="85">
        <v>5</v>
      </c>
      <c r="F5428" s="85">
        <v>6</v>
      </c>
      <c r="G5428" s="85">
        <f>--(F5428&lt;=Estimator!$B$7)</f>
        <v>0</v>
      </c>
      <c r="H5428" s="86">
        <f>SUMIFS('Climate Data'!$G$7:$G$366,'Climate Data'!$A$7:$A$366,Estimator!$B$4,'Climate Data'!$B$7:$B$366,C5428)</f>
        <v>0.23333333333333334</v>
      </c>
      <c r="I5428" s="87">
        <f>SUMIFS('Climate Data'!$H$7:$H$366,'Climate Data'!$A$7:$A$366,Estimator!$B$4,'Climate Data'!$B$7:$B$366,C5428)</f>
        <v>6.4428571428571431</v>
      </c>
      <c r="J5428" s="86">
        <f>SUMIFS('Wind Proxy'!$H$8:$H$19,'Wind Proxy'!$A$8:$A$19,Estimator!$B$4,'Wind Proxy'!$B$8:$B$19,C5428)</f>
        <v>0</v>
      </c>
    </row>
    <row r="5429" spans="1:10" ht="14.4">
      <c r="A5429" s="84">
        <v>51080</v>
      </c>
      <c r="B5429" s="85">
        <v>2039</v>
      </c>
      <c r="C5429" s="85">
        <v>11</v>
      </c>
      <c r="D5429" s="85" t="s">
        <v>76</v>
      </c>
      <c r="E5429" s="85">
        <v>6</v>
      </c>
      <c r="F5429" s="85">
        <v>7</v>
      </c>
      <c r="G5429" s="85">
        <f>--(F5429&lt;=Estimator!$B$7)</f>
        <v>0</v>
      </c>
      <c r="H5429" s="86">
        <f>SUMIFS('Climate Data'!$G$7:$G$366,'Climate Data'!$A$7:$A$366,Estimator!$B$4,'Climate Data'!$B$7:$B$366,C5429)</f>
        <v>0.23333333333333334</v>
      </c>
      <c r="I5429" s="87">
        <f>SUMIFS('Climate Data'!$H$7:$H$366,'Climate Data'!$A$7:$A$366,Estimator!$B$4,'Climate Data'!$B$7:$B$366,C5429)</f>
        <v>6.4428571428571431</v>
      </c>
      <c r="J5429" s="86">
        <f>SUMIFS('Wind Proxy'!$H$8:$H$19,'Wind Proxy'!$A$8:$A$19,Estimator!$B$4,'Wind Proxy'!$B$8:$B$19,C5429)</f>
        <v>0</v>
      </c>
    </row>
    <row r="5430" spans="1:10" ht="14.4">
      <c r="A5430" s="84">
        <v>51081</v>
      </c>
      <c r="B5430" s="85">
        <v>2039</v>
      </c>
      <c r="C5430" s="85">
        <v>11</v>
      </c>
      <c r="D5430" s="85" t="s">
        <v>76</v>
      </c>
      <c r="E5430" s="85">
        <v>7</v>
      </c>
      <c r="F5430" s="85">
        <v>1</v>
      </c>
      <c r="G5430" s="85">
        <f>--(F5430&lt;=Estimator!$B$7)</f>
        <v>1</v>
      </c>
      <c r="H5430" s="86">
        <f>SUMIFS('Climate Data'!$G$7:$G$366,'Climate Data'!$A$7:$A$366,Estimator!$B$4,'Climate Data'!$B$7:$B$366,C5430)</f>
        <v>0.23333333333333334</v>
      </c>
      <c r="I5430" s="87">
        <f>SUMIFS('Climate Data'!$H$7:$H$366,'Climate Data'!$A$7:$A$366,Estimator!$B$4,'Climate Data'!$B$7:$B$366,C5430)</f>
        <v>6.4428571428571431</v>
      </c>
      <c r="J5430" s="86">
        <f>SUMIFS('Wind Proxy'!$H$8:$H$19,'Wind Proxy'!$A$8:$A$19,Estimator!$B$4,'Wind Proxy'!$B$8:$B$19,C5430)</f>
        <v>0</v>
      </c>
    </row>
    <row r="5431" spans="1:10" ht="14.4">
      <c r="A5431" s="84">
        <v>51082</v>
      </c>
      <c r="B5431" s="85">
        <v>2039</v>
      </c>
      <c r="C5431" s="85">
        <v>11</v>
      </c>
      <c r="D5431" s="85" t="s">
        <v>76</v>
      </c>
      <c r="E5431" s="85">
        <v>8</v>
      </c>
      <c r="F5431" s="85">
        <v>2</v>
      </c>
      <c r="G5431" s="85">
        <f>--(F5431&lt;=Estimator!$B$7)</f>
        <v>1</v>
      </c>
      <c r="H5431" s="86">
        <f>SUMIFS('Climate Data'!$G$7:$G$366,'Climate Data'!$A$7:$A$366,Estimator!$B$4,'Climate Data'!$B$7:$B$366,C5431)</f>
        <v>0.23333333333333334</v>
      </c>
      <c r="I5431" s="87">
        <f>SUMIFS('Climate Data'!$H$7:$H$366,'Climate Data'!$A$7:$A$366,Estimator!$B$4,'Climate Data'!$B$7:$B$366,C5431)</f>
        <v>6.4428571428571431</v>
      </c>
      <c r="J5431" s="86">
        <f>SUMIFS('Wind Proxy'!$H$8:$H$19,'Wind Proxy'!$A$8:$A$19,Estimator!$B$4,'Wind Proxy'!$B$8:$B$19,C5431)</f>
        <v>0</v>
      </c>
    </row>
    <row r="5432" spans="1:10" ht="14.4">
      <c r="A5432" s="84">
        <v>51083</v>
      </c>
      <c r="B5432" s="85">
        <v>2039</v>
      </c>
      <c r="C5432" s="85">
        <v>11</v>
      </c>
      <c r="D5432" s="85" t="s">
        <v>76</v>
      </c>
      <c r="E5432" s="85">
        <v>9</v>
      </c>
      <c r="F5432" s="85">
        <v>3</v>
      </c>
      <c r="G5432" s="85">
        <f>--(F5432&lt;=Estimator!$B$7)</f>
        <v>1</v>
      </c>
      <c r="H5432" s="86">
        <f>SUMIFS('Climate Data'!$G$7:$G$366,'Climate Data'!$A$7:$A$366,Estimator!$B$4,'Climate Data'!$B$7:$B$366,C5432)</f>
        <v>0.23333333333333334</v>
      </c>
      <c r="I5432" s="87">
        <f>SUMIFS('Climate Data'!$H$7:$H$366,'Climate Data'!$A$7:$A$366,Estimator!$B$4,'Climate Data'!$B$7:$B$366,C5432)</f>
        <v>6.4428571428571431</v>
      </c>
      <c r="J5432" s="86">
        <f>SUMIFS('Wind Proxy'!$H$8:$H$19,'Wind Proxy'!$A$8:$A$19,Estimator!$B$4,'Wind Proxy'!$B$8:$B$19,C5432)</f>
        <v>0</v>
      </c>
    </row>
    <row r="5433" spans="1:10" ht="14.4">
      <c r="A5433" s="84">
        <v>51084</v>
      </c>
      <c r="B5433" s="85">
        <v>2039</v>
      </c>
      <c r="C5433" s="85">
        <v>11</v>
      </c>
      <c r="D5433" s="85" t="s">
        <v>76</v>
      </c>
      <c r="E5433" s="85">
        <v>10</v>
      </c>
      <c r="F5433" s="85">
        <v>4</v>
      </c>
      <c r="G5433" s="85">
        <f>--(F5433&lt;=Estimator!$B$7)</f>
        <v>1</v>
      </c>
      <c r="H5433" s="86">
        <f>SUMIFS('Climate Data'!$G$7:$G$366,'Climate Data'!$A$7:$A$366,Estimator!$B$4,'Climate Data'!$B$7:$B$366,C5433)</f>
        <v>0.23333333333333334</v>
      </c>
      <c r="I5433" s="87">
        <f>SUMIFS('Climate Data'!$H$7:$H$366,'Climate Data'!$A$7:$A$366,Estimator!$B$4,'Climate Data'!$B$7:$B$366,C5433)</f>
        <v>6.4428571428571431</v>
      </c>
      <c r="J5433" s="86">
        <f>SUMIFS('Wind Proxy'!$H$8:$H$19,'Wind Proxy'!$A$8:$A$19,Estimator!$B$4,'Wind Proxy'!$B$8:$B$19,C5433)</f>
        <v>0</v>
      </c>
    </row>
    <row r="5434" spans="1:10" ht="14.4">
      <c r="A5434" s="84">
        <v>51085</v>
      </c>
      <c r="B5434" s="85">
        <v>2039</v>
      </c>
      <c r="C5434" s="85">
        <v>11</v>
      </c>
      <c r="D5434" s="85" t="s">
        <v>76</v>
      </c>
      <c r="E5434" s="85">
        <v>11</v>
      </c>
      <c r="F5434" s="85">
        <v>5</v>
      </c>
      <c r="G5434" s="85">
        <f>--(F5434&lt;=Estimator!$B$7)</f>
        <v>1</v>
      </c>
      <c r="H5434" s="86">
        <f>SUMIFS('Climate Data'!$G$7:$G$366,'Climate Data'!$A$7:$A$366,Estimator!$B$4,'Climate Data'!$B$7:$B$366,C5434)</f>
        <v>0.23333333333333334</v>
      </c>
      <c r="I5434" s="87">
        <f>SUMIFS('Climate Data'!$H$7:$H$366,'Climate Data'!$A$7:$A$366,Estimator!$B$4,'Climate Data'!$B$7:$B$366,C5434)</f>
        <v>6.4428571428571431</v>
      </c>
      <c r="J5434" s="86">
        <f>SUMIFS('Wind Proxy'!$H$8:$H$19,'Wind Proxy'!$A$8:$A$19,Estimator!$B$4,'Wind Proxy'!$B$8:$B$19,C5434)</f>
        <v>0</v>
      </c>
    </row>
    <row r="5435" spans="1:10" ht="14.4">
      <c r="A5435" s="84">
        <v>51086</v>
      </c>
      <c r="B5435" s="85">
        <v>2039</v>
      </c>
      <c r="C5435" s="85">
        <v>11</v>
      </c>
      <c r="D5435" s="85" t="s">
        <v>76</v>
      </c>
      <c r="E5435" s="85">
        <v>12</v>
      </c>
      <c r="F5435" s="85">
        <v>6</v>
      </c>
      <c r="G5435" s="85">
        <f>--(F5435&lt;=Estimator!$B$7)</f>
        <v>0</v>
      </c>
      <c r="H5435" s="86">
        <f>SUMIFS('Climate Data'!$G$7:$G$366,'Climate Data'!$A$7:$A$366,Estimator!$B$4,'Climate Data'!$B$7:$B$366,C5435)</f>
        <v>0.23333333333333334</v>
      </c>
      <c r="I5435" s="87">
        <f>SUMIFS('Climate Data'!$H$7:$H$366,'Climate Data'!$A$7:$A$366,Estimator!$B$4,'Climate Data'!$B$7:$B$366,C5435)</f>
        <v>6.4428571428571431</v>
      </c>
      <c r="J5435" s="86">
        <f>SUMIFS('Wind Proxy'!$H$8:$H$19,'Wind Proxy'!$A$8:$A$19,Estimator!$B$4,'Wind Proxy'!$B$8:$B$19,C5435)</f>
        <v>0</v>
      </c>
    </row>
    <row r="5436" spans="1:10" ht="14.4">
      <c r="A5436" s="84">
        <v>51087</v>
      </c>
      <c r="B5436" s="85">
        <v>2039</v>
      </c>
      <c r="C5436" s="85">
        <v>11</v>
      </c>
      <c r="D5436" s="85" t="s">
        <v>76</v>
      </c>
      <c r="E5436" s="85">
        <v>13</v>
      </c>
      <c r="F5436" s="85">
        <v>7</v>
      </c>
      <c r="G5436" s="85">
        <f>--(F5436&lt;=Estimator!$B$7)</f>
        <v>0</v>
      </c>
      <c r="H5436" s="86">
        <f>SUMIFS('Climate Data'!$G$7:$G$366,'Climate Data'!$A$7:$A$366,Estimator!$B$4,'Climate Data'!$B$7:$B$366,C5436)</f>
        <v>0.23333333333333334</v>
      </c>
      <c r="I5436" s="87">
        <f>SUMIFS('Climate Data'!$H$7:$H$366,'Climate Data'!$A$7:$A$366,Estimator!$B$4,'Climate Data'!$B$7:$B$366,C5436)</f>
        <v>6.4428571428571431</v>
      </c>
      <c r="J5436" s="86">
        <f>SUMIFS('Wind Proxy'!$H$8:$H$19,'Wind Proxy'!$A$8:$A$19,Estimator!$B$4,'Wind Proxy'!$B$8:$B$19,C5436)</f>
        <v>0</v>
      </c>
    </row>
    <row r="5437" spans="1:10" ht="14.4">
      <c r="A5437" s="84">
        <v>51088</v>
      </c>
      <c r="B5437" s="85">
        <v>2039</v>
      </c>
      <c r="C5437" s="85">
        <v>11</v>
      </c>
      <c r="D5437" s="85" t="s">
        <v>76</v>
      </c>
      <c r="E5437" s="85">
        <v>14</v>
      </c>
      <c r="F5437" s="85">
        <v>1</v>
      </c>
      <c r="G5437" s="85">
        <f>--(F5437&lt;=Estimator!$B$7)</f>
        <v>1</v>
      </c>
      <c r="H5437" s="86">
        <f>SUMIFS('Climate Data'!$G$7:$G$366,'Climate Data'!$A$7:$A$366,Estimator!$B$4,'Climate Data'!$B$7:$B$366,C5437)</f>
        <v>0.23333333333333334</v>
      </c>
      <c r="I5437" s="87">
        <f>SUMIFS('Climate Data'!$H$7:$H$366,'Climate Data'!$A$7:$A$366,Estimator!$B$4,'Climate Data'!$B$7:$B$366,C5437)</f>
        <v>6.4428571428571431</v>
      </c>
      <c r="J5437" s="86">
        <f>SUMIFS('Wind Proxy'!$H$8:$H$19,'Wind Proxy'!$A$8:$A$19,Estimator!$B$4,'Wind Proxy'!$B$8:$B$19,C5437)</f>
        <v>0</v>
      </c>
    </row>
    <row r="5438" spans="1:10" ht="14.4">
      <c r="A5438" s="84">
        <v>51089</v>
      </c>
      <c r="B5438" s="85">
        <v>2039</v>
      </c>
      <c r="C5438" s="85">
        <v>11</v>
      </c>
      <c r="D5438" s="85" t="s">
        <v>76</v>
      </c>
      <c r="E5438" s="85">
        <v>15</v>
      </c>
      <c r="F5438" s="85">
        <v>2</v>
      </c>
      <c r="G5438" s="85">
        <f>--(F5438&lt;=Estimator!$B$7)</f>
        <v>1</v>
      </c>
      <c r="H5438" s="86">
        <f>SUMIFS('Climate Data'!$G$7:$G$366,'Climate Data'!$A$7:$A$366,Estimator!$B$4,'Climate Data'!$B$7:$B$366,C5438)</f>
        <v>0.23333333333333334</v>
      </c>
      <c r="I5438" s="87">
        <f>SUMIFS('Climate Data'!$H$7:$H$366,'Climate Data'!$A$7:$A$366,Estimator!$B$4,'Climate Data'!$B$7:$B$366,C5438)</f>
        <v>6.4428571428571431</v>
      </c>
      <c r="J5438" s="86">
        <f>SUMIFS('Wind Proxy'!$H$8:$H$19,'Wind Proxy'!$A$8:$A$19,Estimator!$B$4,'Wind Proxy'!$B$8:$B$19,C5438)</f>
        <v>0</v>
      </c>
    </row>
    <row r="5439" spans="1:10" ht="14.4">
      <c r="A5439" s="84">
        <v>51090</v>
      </c>
      <c r="B5439" s="85">
        <v>2039</v>
      </c>
      <c r="C5439" s="85">
        <v>11</v>
      </c>
      <c r="D5439" s="85" t="s">
        <v>76</v>
      </c>
      <c r="E5439" s="85">
        <v>16</v>
      </c>
      <c r="F5439" s="85">
        <v>3</v>
      </c>
      <c r="G5439" s="85">
        <f>--(F5439&lt;=Estimator!$B$7)</f>
        <v>1</v>
      </c>
      <c r="H5439" s="86">
        <f>SUMIFS('Climate Data'!$G$7:$G$366,'Climate Data'!$A$7:$A$366,Estimator!$B$4,'Climate Data'!$B$7:$B$366,C5439)</f>
        <v>0.23333333333333334</v>
      </c>
      <c r="I5439" s="87">
        <f>SUMIFS('Climate Data'!$H$7:$H$366,'Climate Data'!$A$7:$A$366,Estimator!$B$4,'Climate Data'!$B$7:$B$366,C5439)</f>
        <v>6.4428571428571431</v>
      </c>
      <c r="J5439" s="86">
        <f>SUMIFS('Wind Proxy'!$H$8:$H$19,'Wind Proxy'!$A$8:$A$19,Estimator!$B$4,'Wind Proxy'!$B$8:$B$19,C5439)</f>
        <v>0</v>
      </c>
    </row>
    <row r="5440" spans="1:10" ht="14.4">
      <c r="A5440" s="84">
        <v>51091</v>
      </c>
      <c r="B5440" s="85">
        <v>2039</v>
      </c>
      <c r="C5440" s="85">
        <v>11</v>
      </c>
      <c r="D5440" s="85" t="s">
        <v>76</v>
      </c>
      <c r="E5440" s="85">
        <v>17</v>
      </c>
      <c r="F5440" s="85">
        <v>4</v>
      </c>
      <c r="G5440" s="85">
        <f>--(F5440&lt;=Estimator!$B$7)</f>
        <v>1</v>
      </c>
      <c r="H5440" s="86">
        <f>SUMIFS('Climate Data'!$G$7:$G$366,'Climate Data'!$A$7:$A$366,Estimator!$B$4,'Climate Data'!$B$7:$B$366,C5440)</f>
        <v>0.23333333333333334</v>
      </c>
      <c r="I5440" s="87">
        <f>SUMIFS('Climate Data'!$H$7:$H$366,'Climate Data'!$A$7:$A$366,Estimator!$B$4,'Climate Data'!$B$7:$B$366,C5440)</f>
        <v>6.4428571428571431</v>
      </c>
      <c r="J5440" s="86">
        <f>SUMIFS('Wind Proxy'!$H$8:$H$19,'Wind Proxy'!$A$8:$A$19,Estimator!$B$4,'Wind Proxy'!$B$8:$B$19,C5440)</f>
        <v>0</v>
      </c>
    </row>
    <row r="5441" spans="1:10" ht="14.4">
      <c r="A5441" s="84">
        <v>51092</v>
      </c>
      <c r="B5441" s="85">
        <v>2039</v>
      </c>
      <c r="C5441" s="85">
        <v>11</v>
      </c>
      <c r="D5441" s="85" t="s">
        <v>76</v>
      </c>
      <c r="E5441" s="85">
        <v>18</v>
      </c>
      <c r="F5441" s="85">
        <v>5</v>
      </c>
      <c r="G5441" s="85">
        <f>--(F5441&lt;=Estimator!$B$7)</f>
        <v>1</v>
      </c>
      <c r="H5441" s="86">
        <f>SUMIFS('Climate Data'!$G$7:$G$366,'Climate Data'!$A$7:$A$366,Estimator!$B$4,'Climate Data'!$B$7:$B$366,C5441)</f>
        <v>0.23333333333333334</v>
      </c>
      <c r="I5441" s="87">
        <f>SUMIFS('Climate Data'!$H$7:$H$366,'Climate Data'!$A$7:$A$366,Estimator!$B$4,'Climate Data'!$B$7:$B$366,C5441)</f>
        <v>6.4428571428571431</v>
      </c>
      <c r="J5441" s="86">
        <f>SUMIFS('Wind Proxy'!$H$8:$H$19,'Wind Proxy'!$A$8:$A$19,Estimator!$B$4,'Wind Proxy'!$B$8:$B$19,C5441)</f>
        <v>0</v>
      </c>
    </row>
    <row r="5442" spans="1:10" ht="14.4">
      <c r="A5442" s="84">
        <v>51093</v>
      </c>
      <c r="B5442" s="85">
        <v>2039</v>
      </c>
      <c r="C5442" s="85">
        <v>11</v>
      </c>
      <c r="D5442" s="85" t="s">
        <v>76</v>
      </c>
      <c r="E5442" s="85">
        <v>19</v>
      </c>
      <c r="F5442" s="85">
        <v>6</v>
      </c>
      <c r="G5442" s="85">
        <f>--(F5442&lt;=Estimator!$B$7)</f>
        <v>0</v>
      </c>
      <c r="H5442" s="86">
        <f>SUMIFS('Climate Data'!$G$7:$G$366,'Climate Data'!$A$7:$A$366,Estimator!$B$4,'Climate Data'!$B$7:$B$366,C5442)</f>
        <v>0.23333333333333334</v>
      </c>
      <c r="I5442" s="87">
        <f>SUMIFS('Climate Data'!$H$7:$H$366,'Climate Data'!$A$7:$A$366,Estimator!$B$4,'Climate Data'!$B$7:$B$366,C5442)</f>
        <v>6.4428571428571431</v>
      </c>
      <c r="J5442" s="86">
        <f>SUMIFS('Wind Proxy'!$H$8:$H$19,'Wind Proxy'!$A$8:$A$19,Estimator!$B$4,'Wind Proxy'!$B$8:$B$19,C5442)</f>
        <v>0</v>
      </c>
    </row>
    <row r="5443" spans="1:10" ht="14.4">
      <c r="A5443" s="84">
        <v>51094</v>
      </c>
      <c r="B5443" s="85">
        <v>2039</v>
      </c>
      <c r="C5443" s="85">
        <v>11</v>
      </c>
      <c r="D5443" s="85" t="s">
        <v>76</v>
      </c>
      <c r="E5443" s="85">
        <v>20</v>
      </c>
      <c r="F5443" s="85">
        <v>7</v>
      </c>
      <c r="G5443" s="85">
        <f>--(F5443&lt;=Estimator!$B$7)</f>
        <v>0</v>
      </c>
      <c r="H5443" s="86">
        <f>SUMIFS('Climate Data'!$G$7:$G$366,'Climate Data'!$A$7:$A$366,Estimator!$B$4,'Climate Data'!$B$7:$B$366,C5443)</f>
        <v>0.23333333333333334</v>
      </c>
      <c r="I5443" s="87">
        <f>SUMIFS('Climate Data'!$H$7:$H$366,'Climate Data'!$A$7:$A$366,Estimator!$B$4,'Climate Data'!$B$7:$B$366,C5443)</f>
        <v>6.4428571428571431</v>
      </c>
      <c r="J5443" s="86">
        <f>SUMIFS('Wind Proxy'!$H$8:$H$19,'Wind Proxy'!$A$8:$A$19,Estimator!$B$4,'Wind Proxy'!$B$8:$B$19,C5443)</f>
        <v>0</v>
      </c>
    </row>
    <row r="5444" spans="1:10" ht="14.4">
      <c r="A5444" s="84">
        <v>51095</v>
      </c>
      <c r="B5444" s="85">
        <v>2039</v>
      </c>
      <c r="C5444" s="85">
        <v>11</v>
      </c>
      <c r="D5444" s="85" t="s">
        <v>76</v>
      </c>
      <c r="E5444" s="85">
        <v>21</v>
      </c>
      <c r="F5444" s="85">
        <v>1</v>
      </c>
      <c r="G5444" s="85">
        <f>--(F5444&lt;=Estimator!$B$7)</f>
        <v>1</v>
      </c>
      <c r="H5444" s="86">
        <f>SUMIFS('Climate Data'!$G$7:$G$366,'Climate Data'!$A$7:$A$366,Estimator!$B$4,'Climate Data'!$B$7:$B$366,C5444)</f>
        <v>0.23333333333333334</v>
      </c>
      <c r="I5444" s="87">
        <f>SUMIFS('Climate Data'!$H$7:$H$366,'Climate Data'!$A$7:$A$366,Estimator!$B$4,'Climate Data'!$B$7:$B$366,C5444)</f>
        <v>6.4428571428571431</v>
      </c>
      <c r="J5444" s="86">
        <f>SUMIFS('Wind Proxy'!$H$8:$H$19,'Wind Proxy'!$A$8:$A$19,Estimator!$B$4,'Wind Proxy'!$B$8:$B$19,C5444)</f>
        <v>0</v>
      </c>
    </row>
    <row r="5445" spans="1:10" ht="14.4">
      <c r="A5445" s="84">
        <v>51096</v>
      </c>
      <c r="B5445" s="85">
        <v>2039</v>
      </c>
      <c r="C5445" s="85">
        <v>11</v>
      </c>
      <c r="D5445" s="85" t="s">
        <v>76</v>
      </c>
      <c r="E5445" s="85">
        <v>22</v>
      </c>
      <c r="F5445" s="85">
        <v>2</v>
      </c>
      <c r="G5445" s="85">
        <f>--(F5445&lt;=Estimator!$B$7)</f>
        <v>1</v>
      </c>
      <c r="H5445" s="86">
        <f>SUMIFS('Climate Data'!$G$7:$G$366,'Climate Data'!$A$7:$A$366,Estimator!$B$4,'Climate Data'!$B$7:$B$366,C5445)</f>
        <v>0.23333333333333334</v>
      </c>
      <c r="I5445" s="87">
        <f>SUMIFS('Climate Data'!$H$7:$H$366,'Climate Data'!$A$7:$A$366,Estimator!$B$4,'Climate Data'!$B$7:$B$366,C5445)</f>
        <v>6.4428571428571431</v>
      </c>
      <c r="J5445" s="86">
        <f>SUMIFS('Wind Proxy'!$H$8:$H$19,'Wind Proxy'!$A$8:$A$19,Estimator!$B$4,'Wind Proxy'!$B$8:$B$19,C5445)</f>
        <v>0</v>
      </c>
    </row>
    <row r="5446" spans="1:10" ht="14.4">
      <c r="A5446" s="84">
        <v>51097</v>
      </c>
      <c r="B5446" s="85">
        <v>2039</v>
      </c>
      <c r="C5446" s="85">
        <v>11</v>
      </c>
      <c r="D5446" s="85" t="s">
        <v>76</v>
      </c>
      <c r="E5446" s="85">
        <v>23</v>
      </c>
      <c r="F5446" s="85">
        <v>3</v>
      </c>
      <c r="G5446" s="85">
        <f>--(F5446&lt;=Estimator!$B$7)</f>
        <v>1</v>
      </c>
      <c r="H5446" s="86">
        <f>SUMIFS('Climate Data'!$G$7:$G$366,'Climate Data'!$A$7:$A$366,Estimator!$B$4,'Climate Data'!$B$7:$B$366,C5446)</f>
        <v>0.23333333333333334</v>
      </c>
      <c r="I5446" s="87">
        <f>SUMIFS('Climate Data'!$H$7:$H$366,'Climate Data'!$A$7:$A$366,Estimator!$B$4,'Climate Data'!$B$7:$B$366,C5446)</f>
        <v>6.4428571428571431</v>
      </c>
      <c r="J5446" s="86">
        <f>SUMIFS('Wind Proxy'!$H$8:$H$19,'Wind Proxy'!$A$8:$A$19,Estimator!$B$4,'Wind Proxy'!$B$8:$B$19,C5446)</f>
        <v>0</v>
      </c>
    </row>
    <row r="5447" spans="1:10" ht="14.4">
      <c r="A5447" s="84">
        <v>51098</v>
      </c>
      <c r="B5447" s="85">
        <v>2039</v>
      </c>
      <c r="C5447" s="85">
        <v>11</v>
      </c>
      <c r="D5447" s="85" t="s">
        <v>76</v>
      </c>
      <c r="E5447" s="85">
        <v>24</v>
      </c>
      <c r="F5447" s="85">
        <v>4</v>
      </c>
      <c r="G5447" s="85">
        <f>--(F5447&lt;=Estimator!$B$7)</f>
        <v>1</v>
      </c>
      <c r="H5447" s="86">
        <f>SUMIFS('Climate Data'!$G$7:$G$366,'Climate Data'!$A$7:$A$366,Estimator!$B$4,'Climate Data'!$B$7:$B$366,C5447)</f>
        <v>0.23333333333333334</v>
      </c>
      <c r="I5447" s="87">
        <f>SUMIFS('Climate Data'!$H$7:$H$366,'Climate Data'!$A$7:$A$366,Estimator!$B$4,'Climate Data'!$B$7:$B$366,C5447)</f>
        <v>6.4428571428571431</v>
      </c>
      <c r="J5447" s="86">
        <f>SUMIFS('Wind Proxy'!$H$8:$H$19,'Wind Proxy'!$A$8:$A$19,Estimator!$B$4,'Wind Proxy'!$B$8:$B$19,C5447)</f>
        <v>0</v>
      </c>
    </row>
    <row r="5448" spans="1:10" ht="14.4">
      <c r="A5448" s="84">
        <v>51099</v>
      </c>
      <c r="B5448" s="85">
        <v>2039</v>
      </c>
      <c r="C5448" s="85">
        <v>11</v>
      </c>
      <c r="D5448" s="85" t="s">
        <v>76</v>
      </c>
      <c r="E5448" s="85">
        <v>25</v>
      </c>
      <c r="F5448" s="85">
        <v>5</v>
      </c>
      <c r="G5448" s="85">
        <f>--(F5448&lt;=Estimator!$B$7)</f>
        <v>1</v>
      </c>
      <c r="H5448" s="86">
        <f>SUMIFS('Climate Data'!$G$7:$G$366,'Climate Data'!$A$7:$A$366,Estimator!$B$4,'Climate Data'!$B$7:$B$366,C5448)</f>
        <v>0.23333333333333334</v>
      </c>
      <c r="I5448" s="87">
        <f>SUMIFS('Climate Data'!$H$7:$H$366,'Climate Data'!$A$7:$A$366,Estimator!$B$4,'Climate Data'!$B$7:$B$366,C5448)</f>
        <v>6.4428571428571431</v>
      </c>
      <c r="J5448" s="86">
        <f>SUMIFS('Wind Proxy'!$H$8:$H$19,'Wind Proxy'!$A$8:$A$19,Estimator!$B$4,'Wind Proxy'!$B$8:$B$19,C5448)</f>
        <v>0</v>
      </c>
    </row>
    <row r="5449" spans="1:10" ht="14.4">
      <c r="A5449" s="84">
        <v>51100</v>
      </c>
      <c r="B5449" s="85">
        <v>2039</v>
      </c>
      <c r="C5449" s="85">
        <v>11</v>
      </c>
      <c r="D5449" s="85" t="s">
        <v>76</v>
      </c>
      <c r="E5449" s="85">
        <v>26</v>
      </c>
      <c r="F5449" s="85">
        <v>6</v>
      </c>
      <c r="G5449" s="85">
        <f>--(F5449&lt;=Estimator!$B$7)</f>
        <v>0</v>
      </c>
      <c r="H5449" s="86">
        <f>SUMIFS('Climate Data'!$G$7:$G$366,'Climate Data'!$A$7:$A$366,Estimator!$B$4,'Climate Data'!$B$7:$B$366,C5449)</f>
        <v>0.23333333333333334</v>
      </c>
      <c r="I5449" s="87">
        <f>SUMIFS('Climate Data'!$H$7:$H$366,'Climate Data'!$A$7:$A$366,Estimator!$B$4,'Climate Data'!$B$7:$B$366,C5449)</f>
        <v>6.4428571428571431</v>
      </c>
      <c r="J5449" s="86">
        <f>SUMIFS('Wind Proxy'!$H$8:$H$19,'Wind Proxy'!$A$8:$A$19,Estimator!$B$4,'Wind Proxy'!$B$8:$B$19,C5449)</f>
        <v>0</v>
      </c>
    </row>
    <row r="5450" spans="1:10" ht="14.4">
      <c r="A5450" s="84">
        <v>51101</v>
      </c>
      <c r="B5450" s="85">
        <v>2039</v>
      </c>
      <c r="C5450" s="85">
        <v>11</v>
      </c>
      <c r="D5450" s="85" t="s">
        <v>76</v>
      </c>
      <c r="E5450" s="85">
        <v>27</v>
      </c>
      <c r="F5450" s="85">
        <v>7</v>
      </c>
      <c r="G5450" s="85">
        <f>--(F5450&lt;=Estimator!$B$7)</f>
        <v>0</v>
      </c>
      <c r="H5450" s="86">
        <f>SUMIFS('Climate Data'!$G$7:$G$366,'Climate Data'!$A$7:$A$366,Estimator!$B$4,'Climate Data'!$B$7:$B$366,C5450)</f>
        <v>0.23333333333333334</v>
      </c>
      <c r="I5450" s="87">
        <f>SUMIFS('Climate Data'!$H$7:$H$366,'Climate Data'!$A$7:$A$366,Estimator!$B$4,'Climate Data'!$B$7:$B$366,C5450)</f>
        <v>6.4428571428571431</v>
      </c>
      <c r="J5450" s="86">
        <f>SUMIFS('Wind Proxy'!$H$8:$H$19,'Wind Proxy'!$A$8:$A$19,Estimator!$B$4,'Wind Proxy'!$B$8:$B$19,C5450)</f>
        <v>0</v>
      </c>
    </row>
    <row r="5451" spans="1:10" ht="14.4">
      <c r="A5451" s="84">
        <v>51102</v>
      </c>
      <c r="B5451" s="85">
        <v>2039</v>
      </c>
      <c r="C5451" s="85">
        <v>11</v>
      </c>
      <c r="D5451" s="85" t="s">
        <v>76</v>
      </c>
      <c r="E5451" s="85">
        <v>28</v>
      </c>
      <c r="F5451" s="85">
        <v>1</v>
      </c>
      <c r="G5451" s="85">
        <f>--(F5451&lt;=Estimator!$B$7)</f>
        <v>1</v>
      </c>
      <c r="H5451" s="86">
        <f>SUMIFS('Climate Data'!$G$7:$G$366,'Climate Data'!$A$7:$A$366,Estimator!$B$4,'Climate Data'!$B$7:$B$366,C5451)</f>
        <v>0.23333333333333334</v>
      </c>
      <c r="I5451" s="87">
        <f>SUMIFS('Climate Data'!$H$7:$H$366,'Climate Data'!$A$7:$A$366,Estimator!$B$4,'Climate Data'!$B$7:$B$366,C5451)</f>
        <v>6.4428571428571431</v>
      </c>
      <c r="J5451" s="86">
        <f>SUMIFS('Wind Proxy'!$H$8:$H$19,'Wind Proxy'!$A$8:$A$19,Estimator!$B$4,'Wind Proxy'!$B$8:$B$19,C5451)</f>
        <v>0</v>
      </c>
    </row>
    <row r="5452" spans="1:10" ht="14.4">
      <c r="A5452" s="84">
        <v>51103</v>
      </c>
      <c r="B5452" s="85">
        <v>2039</v>
      </c>
      <c r="C5452" s="85">
        <v>11</v>
      </c>
      <c r="D5452" s="85" t="s">
        <v>76</v>
      </c>
      <c r="E5452" s="85">
        <v>29</v>
      </c>
      <c r="F5452" s="85">
        <v>2</v>
      </c>
      <c r="G5452" s="85">
        <f>--(F5452&lt;=Estimator!$B$7)</f>
        <v>1</v>
      </c>
      <c r="H5452" s="86">
        <f>SUMIFS('Climate Data'!$G$7:$G$366,'Climate Data'!$A$7:$A$366,Estimator!$B$4,'Climate Data'!$B$7:$B$366,C5452)</f>
        <v>0.23333333333333334</v>
      </c>
      <c r="I5452" s="87">
        <f>SUMIFS('Climate Data'!$H$7:$H$366,'Climate Data'!$A$7:$A$366,Estimator!$B$4,'Climate Data'!$B$7:$B$366,C5452)</f>
        <v>6.4428571428571431</v>
      </c>
      <c r="J5452" s="86">
        <f>SUMIFS('Wind Proxy'!$H$8:$H$19,'Wind Proxy'!$A$8:$A$19,Estimator!$B$4,'Wind Proxy'!$B$8:$B$19,C5452)</f>
        <v>0</v>
      </c>
    </row>
    <row r="5453" spans="1:10" ht="14.4">
      <c r="A5453" s="84">
        <v>51104</v>
      </c>
      <c r="B5453" s="85">
        <v>2039</v>
      </c>
      <c r="C5453" s="85">
        <v>11</v>
      </c>
      <c r="D5453" s="85" t="s">
        <v>76</v>
      </c>
      <c r="E5453" s="85">
        <v>30</v>
      </c>
      <c r="F5453" s="85">
        <v>3</v>
      </c>
      <c r="G5453" s="85">
        <f>--(F5453&lt;=Estimator!$B$7)</f>
        <v>1</v>
      </c>
      <c r="H5453" s="86">
        <f>SUMIFS('Climate Data'!$G$7:$G$366,'Climate Data'!$A$7:$A$366,Estimator!$B$4,'Climate Data'!$B$7:$B$366,C5453)</f>
        <v>0.23333333333333334</v>
      </c>
      <c r="I5453" s="87">
        <f>SUMIFS('Climate Data'!$H$7:$H$366,'Climate Data'!$A$7:$A$366,Estimator!$B$4,'Climate Data'!$B$7:$B$366,C5453)</f>
        <v>6.4428571428571431</v>
      </c>
      <c r="J5453" s="86">
        <f>SUMIFS('Wind Proxy'!$H$8:$H$19,'Wind Proxy'!$A$8:$A$19,Estimator!$B$4,'Wind Proxy'!$B$8:$B$19,C5453)</f>
        <v>0</v>
      </c>
    </row>
    <row r="5454" spans="1:10" ht="14.4">
      <c r="A5454" s="84">
        <v>51105</v>
      </c>
      <c r="B5454" s="85">
        <v>2039</v>
      </c>
      <c r="C5454" s="85">
        <v>12</v>
      </c>
      <c r="D5454" s="85" t="s">
        <v>77</v>
      </c>
      <c r="E5454" s="85">
        <v>1</v>
      </c>
      <c r="F5454" s="85">
        <v>4</v>
      </c>
      <c r="G5454" s="85">
        <f>--(F5454&lt;=Estimator!$B$7)</f>
        <v>1</v>
      </c>
      <c r="H5454" s="86">
        <f>SUMIFS('Climate Data'!$G$7:$G$366,'Climate Data'!$A$7:$A$366,Estimator!$B$4,'Climate Data'!$B$7:$B$366,C5454)</f>
        <v>0.22688172043010751</v>
      </c>
      <c r="I5454" s="87">
        <f>SUMIFS('Climate Data'!$H$7:$H$366,'Climate Data'!$A$7:$A$366,Estimator!$B$4,'Climate Data'!$B$7:$B$366,C5454)</f>
        <v>6.7962085308056865</v>
      </c>
      <c r="J5454" s="86">
        <f>SUMIFS('Wind Proxy'!$H$8:$H$19,'Wind Proxy'!$A$8:$A$19,Estimator!$B$4,'Wind Proxy'!$B$8:$B$19,C5454)</f>
        <v>0</v>
      </c>
    </row>
    <row r="5455" spans="1:10" ht="14.4">
      <c r="A5455" s="84">
        <v>51106</v>
      </c>
      <c r="B5455" s="85">
        <v>2039</v>
      </c>
      <c r="C5455" s="85">
        <v>12</v>
      </c>
      <c r="D5455" s="85" t="s">
        <v>77</v>
      </c>
      <c r="E5455" s="85">
        <v>2</v>
      </c>
      <c r="F5455" s="85">
        <v>5</v>
      </c>
      <c r="G5455" s="85">
        <f>--(F5455&lt;=Estimator!$B$7)</f>
        <v>1</v>
      </c>
      <c r="H5455" s="86">
        <f>SUMIFS('Climate Data'!$G$7:$G$366,'Climate Data'!$A$7:$A$366,Estimator!$B$4,'Climate Data'!$B$7:$B$366,C5455)</f>
        <v>0.22688172043010751</v>
      </c>
      <c r="I5455" s="87">
        <f>SUMIFS('Climate Data'!$H$7:$H$366,'Climate Data'!$A$7:$A$366,Estimator!$B$4,'Climate Data'!$B$7:$B$366,C5455)</f>
        <v>6.7962085308056865</v>
      </c>
      <c r="J5455" s="86">
        <f>SUMIFS('Wind Proxy'!$H$8:$H$19,'Wind Proxy'!$A$8:$A$19,Estimator!$B$4,'Wind Proxy'!$B$8:$B$19,C5455)</f>
        <v>0</v>
      </c>
    </row>
    <row r="5456" spans="1:10" ht="14.4">
      <c r="A5456" s="84">
        <v>51107</v>
      </c>
      <c r="B5456" s="85">
        <v>2039</v>
      </c>
      <c r="C5456" s="85">
        <v>12</v>
      </c>
      <c r="D5456" s="85" t="s">
        <v>77</v>
      </c>
      <c r="E5456" s="85">
        <v>3</v>
      </c>
      <c r="F5456" s="85">
        <v>6</v>
      </c>
      <c r="G5456" s="85">
        <f>--(F5456&lt;=Estimator!$B$7)</f>
        <v>0</v>
      </c>
      <c r="H5456" s="86">
        <f>SUMIFS('Climate Data'!$G$7:$G$366,'Climate Data'!$A$7:$A$366,Estimator!$B$4,'Climate Data'!$B$7:$B$366,C5456)</f>
        <v>0.22688172043010751</v>
      </c>
      <c r="I5456" s="87">
        <f>SUMIFS('Climate Data'!$H$7:$H$366,'Climate Data'!$A$7:$A$366,Estimator!$B$4,'Climate Data'!$B$7:$B$366,C5456)</f>
        <v>6.7962085308056865</v>
      </c>
      <c r="J5456" s="86">
        <f>SUMIFS('Wind Proxy'!$H$8:$H$19,'Wind Proxy'!$A$8:$A$19,Estimator!$B$4,'Wind Proxy'!$B$8:$B$19,C5456)</f>
        <v>0</v>
      </c>
    </row>
    <row r="5457" spans="1:10" ht="14.4">
      <c r="A5457" s="84">
        <v>51108</v>
      </c>
      <c r="B5457" s="85">
        <v>2039</v>
      </c>
      <c r="C5457" s="85">
        <v>12</v>
      </c>
      <c r="D5457" s="85" t="s">
        <v>77</v>
      </c>
      <c r="E5457" s="85">
        <v>4</v>
      </c>
      <c r="F5457" s="85">
        <v>7</v>
      </c>
      <c r="G5457" s="85">
        <f>--(F5457&lt;=Estimator!$B$7)</f>
        <v>0</v>
      </c>
      <c r="H5457" s="86">
        <f>SUMIFS('Climate Data'!$G$7:$G$366,'Climate Data'!$A$7:$A$366,Estimator!$B$4,'Climate Data'!$B$7:$B$366,C5457)</f>
        <v>0.22688172043010751</v>
      </c>
      <c r="I5457" s="87">
        <f>SUMIFS('Climate Data'!$H$7:$H$366,'Climate Data'!$A$7:$A$366,Estimator!$B$4,'Climate Data'!$B$7:$B$366,C5457)</f>
        <v>6.7962085308056865</v>
      </c>
      <c r="J5457" s="86">
        <f>SUMIFS('Wind Proxy'!$H$8:$H$19,'Wind Proxy'!$A$8:$A$19,Estimator!$B$4,'Wind Proxy'!$B$8:$B$19,C5457)</f>
        <v>0</v>
      </c>
    </row>
    <row r="5458" spans="1:10" ht="14.4">
      <c r="A5458" s="84">
        <v>51109</v>
      </c>
      <c r="B5458" s="85">
        <v>2039</v>
      </c>
      <c r="C5458" s="85">
        <v>12</v>
      </c>
      <c r="D5458" s="85" t="s">
        <v>77</v>
      </c>
      <c r="E5458" s="85">
        <v>5</v>
      </c>
      <c r="F5458" s="85">
        <v>1</v>
      </c>
      <c r="G5458" s="85">
        <f>--(F5458&lt;=Estimator!$B$7)</f>
        <v>1</v>
      </c>
      <c r="H5458" s="86">
        <f>SUMIFS('Climate Data'!$G$7:$G$366,'Climate Data'!$A$7:$A$366,Estimator!$B$4,'Climate Data'!$B$7:$B$366,C5458)</f>
        <v>0.22688172043010751</v>
      </c>
      <c r="I5458" s="87">
        <f>SUMIFS('Climate Data'!$H$7:$H$366,'Climate Data'!$A$7:$A$366,Estimator!$B$4,'Climate Data'!$B$7:$B$366,C5458)</f>
        <v>6.7962085308056865</v>
      </c>
      <c r="J5458" s="86">
        <f>SUMIFS('Wind Proxy'!$H$8:$H$19,'Wind Proxy'!$A$8:$A$19,Estimator!$B$4,'Wind Proxy'!$B$8:$B$19,C5458)</f>
        <v>0</v>
      </c>
    </row>
    <row r="5459" spans="1:10" ht="14.4">
      <c r="A5459" s="84">
        <v>51110</v>
      </c>
      <c r="B5459" s="85">
        <v>2039</v>
      </c>
      <c r="C5459" s="85">
        <v>12</v>
      </c>
      <c r="D5459" s="85" t="s">
        <v>77</v>
      </c>
      <c r="E5459" s="85">
        <v>6</v>
      </c>
      <c r="F5459" s="85">
        <v>2</v>
      </c>
      <c r="G5459" s="85">
        <f>--(F5459&lt;=Estimator!$B$7)</f>
        <v>1</v>
      </c>
      <c r="H5459" s="86">
        <f>SUMIFS('Climate Data'!$G$7:$G$366,'Climate Data'!$A$7:$A$366,Estimator!$B$4,'Climate Data'!$B$7:$B$366,C5459)</f>
        <v>0.22688172043010751</v>
      </c>
      <c r="I5459" s="87">
        <f>SUMIFS('Climate Data'!$H$7:$H$366,'Climate Data'!$A$7:$A$366,Estimator!$B$4,'Climate Data'!$B$7:$B$366,C5459)</f>
        <v>6.7962085308056865</v>
      </c>
      <c r="J5459" s="86">
        <f>SUMIFS('Wind Proxy'!$H$8:$H$19,'Wind Proxy'!$A$8:$A$19,Estimator!$B$4,'Wind Proxy'!$B$8:$B$19,C5459)</f>
        <v>0</v>
      </c>
    </row>
    <row r="5460" spans="1:10" ht="14.4">
      <c r="A5460" s="84">
        <v>51111</v>
      </c>
      <c r="B5460" s="85">
        <v>2039</v>
      </c>
      <c r="C5460" s="85">
        <v>12</v>
      </c>
      <c r="D5460" s="85" t="s">
        <v>77</v>
      </c>
      <c r="E5460" s="85">
        <v>7</v>
      </c>
      <c r="F5460" s="85">
        <v>3</v>
      </c>
      <c r="G5460" s="85">
        <f>--(F5460&lt;=Estimator!$B$7)</f>
        <v>1</v>
      </c>
      <c r="H5460" s="86">
        <f>SUMIFS('Climate Data'!$G$7:$G$366,'Climate Data'!$A$7:$A$366,Estimator!$B$4,'Climate Data'!$B$7:$B$366,C5460)</f>
        <v>0.22688172043010751</v>
      </c>
      <c r="I5460" s="87">
        <f>SUMIFS('Climate Data'!$H$7:$H$366,'Climate Data'!$A$7:$A$366,Estimator!$B$4,'Climate Data'!$B$7:$B$366,C5460)</f>
        <v>6.7962085308056865</v>
      </c>
      <c r="J5460" s="86">
        <f>SUMIFS('Wind Proxy'!$H$8:$H$19,'Wind Proxy'!$A$8:$A$19,Estimator!$B$4,'Wind Proxy'!$B$8:$B$19,C5460)</f>
        <v>0</v>
      </c>
    </row>
    <row r="5461" spans="1:10" ht="14.4">
      <c r="A5461" s="84">
        <v>51112</v>
      </c>
      <c r="B5461" s="85">
        <v>2039</v>
      </c>
      <c r="C5461" s="85">
        <v>12</v>
      </c>
      <c r="D5461" s="85" t="s">
        <v>77</v>
      </c>
      <c r="E5461" s="85">
        <v>8</v>
      </c>
      <c r="F5461" s="85">
        <v>4</v>
      </c>
      <c r="G5461" s="85">
        <f>--(F5461&lt;=Estimator!$B$7)</f>
        <v>1</v>
      </c>
      <c r="H5461" s="86">
        <f>SUMIFS('Climate Data'!$G$7:$G$366,'Climate Data'!$A$7:$A$366,Estimator!$B$4,'Climate Data'!$B$7:$B$366,C5461)</f>
        <v>0.22688172043010751</v>
      </c>
      <c r="I5461" s="87">
        <f>SUMIFS('Climate Data'!$H$7:$H$366,'Climate Data'!$A$7:$A$366,Estimator!$B$4,'Climate Data'!$B$7:$B$366,C5461)</f>
        <v>6.7962085308056865</v>
      </c>
      <c r="J5461" s="86">
        <f>SUMIFS('Wind Proxy'!$H$8:$H$19,'Wind Proxy'!$A$8:$A$19,Estimator!$B$4,'Wind Proxy'!$B$8:$B$19,C5461)</f>
        <v>0</v>
      </c>
    </row>
    <row r="5462" spans="1:10" ht="14.4">
      <c r="A5462" s="84">
        <v>51113</v>
      </c>
      <c r="B5462" s="85">
        <v>2039</v>
      </c>
      <c r="C5462" s="85">
        <v>12</v>
      </c>
      <c r="D5462" s="85" t="s">
        <v>77</v>
      </c>
      <c r="E5462" s="85">
        <v>9</v>
      </c>
      <c r="F5462" s="85">
        <v>5</v>
      </c>
      <c r="G5462" s="85">
        <f>--(F5462&lt;=Estimator!$B$7)</f>
        <v>1</v>
      </c>
      <c r="H5462" s="86">
        <f>SUMIFS('Climate Data'!$G$7:$G$366,'Climate Data'!$A$7:$A$366,Estimator!$B$4,'Climate Data'!$B$7:$B$366,C5462)</f>
        <v>0.22688172043010751</v>
      </c>
      <c r="I5462" s="87">
        <f>SUMIFS('Climate Data'!$H$7:$H$366,'Climate Data'!$A$7:$A$366,Estimator!$B$4,'Climate Data'!$B$7:$B$366,C5462)</f>
        <v>6.7962085308056865</v>
      </c>
      <c r="J5462" s="86">
        <f>SUMIFS('Wind Proxy'!$H$8:$H$19,'Wind Proxy'!$A$8:$A$19,Estimator!$B$4,'Wind Proxy'!$B$8:$B$19,C5462)</f>
        <v>0</v>
      </c>
    </row>
    <row r="5463" spans="1:10" ht="14.4">
      <c r="A5463" s="84">
        <v>51114</v>
      </c>
      <c r="B5463" s="85">
        <v>2039</v>
      </c>
      <c r="C5463" s="85">
        <v>12</v>
      </c>
      <c r="D5463" s="85" t="s">
        <v>77</v>
      </c>
      <c r="E5463" s="85">
        <v>10</v>
      </c>
      <c r="F5463" s="85">
        <v>6</v>
      </c>
      <c r="G5463" s="85">
        <f>--(F5463&lt;=Estimator!$B$7)</f>
        <v>0</v>
      </c>
      <c r="H5463" s="86">
        <f>SUMIFS('Climate Data'!$G$7:$G$366,'Climate Data'!$A$7:$A$366,Estimator!$B$4,'Climate Data'!$B$7:$B$366,C5463)</f>
        <v>0.22688172043010751</v>
      </c>
      <c r="I5463" s="87">
        <f>SUMIFS('Climate Data'!$H$7:$H$366,'Climate Data'!$A$7:$A$366,Estimator!$B$4,'Climate Data'!$B$7:$B$366,C5463)</f>
        <v>6.7962085308056865</v>
      </c>
      <c r="J5463" s="86">
        <f>SUMIFS('Wind Proxy'!$H$8:$H$19,'Wind Proxy'!$A$8:$A$19,Estimator!$B$4,'Wind Proxy'!$B$8:$B$19,C5463)</f>
        <v>0</v>
      </c>
    </row>
    <row r="5464" spans="1:10" ht="14.4">
      <c r="A5464" s="84">
        <v>51115</v>
      </c>
      <c r="B5464" s="85">
        <v>2039</v>
      </c>
      <c r="C5464" s="85">
        <v>12</v>
      </c>
      <c r="D5464" s="85" t="s">
        <v>77</v>
      </c>
      <c r="E5464" s="85">
        <v>11</v>
      </c>
      <c r="F5464" s="85">
        <v>7</v>
      </c>
      <c r="G5464" s="85">
        <f>--(F5464&lt;=Estimator!$B$7)</f>
        <v>0</v>
      </c>
      <c r="H5464" s="86">
        <f>SUMIFS('Climate Data'!$G$7:$G$366,'Climate Data'!$A$7:$A$366,Estimator!$B$4,'Climate Data'!$B$7:$B$366,C5464)</f>
        <v>0.22688172043010751</v>
      </c>
      <c r="I5464" s="87">
        <f>SUMIFS('Climate Data'!$H$7:$H$366,'Climate Data'!$A$7:$A$366,Estimator!$B$4,'Climate Data'!$B$7:$B$366,C5464)</f>
        <v>6.7962085308056865</v>
      </c>
      <c r="J5464" s="86">
        <f>SUMIFS('Wind Proxy'!$H$8:$H$19,'Wind Proxy'!$A$8:$A$19,Estimator!$B$4,'Wind Proxy'!$B$8:$B$19,C5464)</f>
        <v>0</v>
      </c>
    </row>
    <row r="5465" spans="1:10" ht="14.4">
      <c r="A5465" s="84">
        <v>51116</v>
      </c>
      <c r="B5465" s="85">
        <v>2039</v>
      </c>
      <c r="C5465" s="85">
        <v>12</v>
      </c>
      <c r="D5465" s="85" t="s">
        <v>77</v>
      </c>
      <c r="E5465" s="85">
        <v>12</v>
      </c>
      <c r="F5465" s="85">
        <v>1</v>
      </c>
      <c r="G5465" s="85">
        <f>--(F5465&lt;=Estimator!$B$7)</f>
        <v>1</v>
      </c>
      <c r="H5465" s="86">
        <f>SUMIFS('Climate Data'!$G$7:$G$366,'Climate Data'!$A$7:$A$366,Estimator!$B$4,'Climate Data'!$B$7:$B$366,C5465)</f>
        <v>0.22688172043010751</v>
      </c>
      <c r="I5465" s="87">
        <f>SUMIFS('Climate Data'!$H$7:$H$366,'Climate Data'!$A$7:$A$366,Estimator!$B$4,'Climate Data'!$B$7:$B$366,C5465)</f>
        <v>6.7962085308056865</v>
      </c>
      <c r="J5465" s="86">
        <f>SUMIFS('Wind Proxy'!$H$8:$H$19,'Wind Proxy'!$A$8:$A$19,Estimator!$B$4,'Wind Proxy'!$B$8:$B$19,C5465)</f>
        <v>0</v>
      </c>
    </row>
    <row r="5466" spans="1:10" ht="14.4">
      <c r="A5466" s="84">
        <v>51117</v>
      </c>
      <c r="B5466" s="85">
        <v>2039</v>
      </c>
      <c r="C5466" s="85">
        <v>12</v>
      </c>
      <c r="D5466" s="85" t="s">
        <v>77</v>
      </c>
      <c r="E5466" s="85">
        <v>13</v>
      </c>
      <c r="F5466" s="85">
        <v>2</v>
      </c>
      <c r="G5466" s="85">
        <f>--(F5466&lt;=Estimator!$B$7)</f>
        <v>1</v>
      </c>
      <c r="H5466" s="86">
        <f>SUMIFS('Climate Data'!$G$7:$G$366,'Climate Data'!$A$7:$A$366,Estimator!$B$4,'Climate Data'!$B$7:$B$366,C5466)</f>
        <v>0.22688172043010751</v>
      </c>
      <c r="I5466" s="87">
        <f>SUMIFS('Climate Data'!$H$7:$H$366,'Climate Data'!$A$7:$A$366,Estimator!$B$4,'Climate Data'!$B$7:$B$366,C5466)</f>
        <v>6.7962085308056865</v>
      </c>
      <c r="J5466" s="86">
        <f>SUMIFS('Wind Proxy'!$H$8:$H$19,'Wind Proxy'!$A$8:$A$19,Estimator!$B$4,'Wind Proxy'!$B$8:$B$19,C5466)</f>
        <v>0</v>
      </c>
    </row>
    <row r="5467" spans="1:10" ht="14.4">
      <c r="A5467" s="84">
        <v>51118</v>
      </c>
      <c r="B5467" s="85">
        <v>2039</v>
      </c>
      <c r="C5467" s="85">
        <v>12</v>
      </c>
      <c r="D5467" s="85" t="s">
        <v>77</v>
      </c>
      <c r="E5467" s="85">
        <v>14</v>
      </c>
      <c r="F5467" s="85">
        <v>3</v>
      </c>
      <c r="G5467" s="85">
        <f>--(F5467&lt;=Estimator!$B$7)</f>
        <v>1</v>
      </c>
      <c r="H5467" s="86">
        <f>SUMIFS('Climate Data'!$G$7:$G$366,'Climate Data'!$A$7:$A$366,Estimator!$B$4,'Climate Data'!$B$7:$B$366,C5467)</f>
        <v>0.22688172043010751</v>
      </c>
      <c r="I5467" s="87">
        <f>SUMIFS('Climate Data'!$H$7:$H$366,'Climate Data'!$A$7:$A$366,Estimator!$B$4,'Climate Data'!$B$7:$B$366,C5467)</f>
        <v>6.7962085308056865</v>
      </c>
      <c r="J5467" s="86">
        <f>SUMIFS('Wind Proxy'!$H$8:$H$19,'Wind Proxy'!$A$8:$A$19,Estimator!$B$4,'Wind Proxy'!$B$8:$B$19,C5467)</f>
        <v>0</v>
      </c>
    </row>
    <row r="5468" spans="1:10" ht="14.4">
      <c r="A5468" s="84">
        <v>51119</v>
      </c>
      <c r="B5468" s="85">
        <v>2039</v>
      </c>
      <c r="C5468" s="85">
        <v>12</v>
      </c>
      <c r="D5468" s="85" t="s">
        <v>77</v>
      </c>
      <c r="E5468" s="85">
        <v>15</v>
      </c>
      <c r="F5468" s="85">
        <v>4</v>
      </c>
      <c r="G5468" s="85">
        <f>--(F5468&lt;=Estimator!$B$7)</f>
        <v>1</v>
      </c>
      <c r="H5468" s="86">
        <f>SUMIFS('Climate Data'!$G$7:$G$366,'Climate Data'!$A$7:$A$366,Estimator!$B$4,'Climate Data'!$B$7:$B$366,C5468)</f>
        <v>0.22688172043010751</v>
      </c>
      <c r="I5468" s="87">
        <f>SUMIFS('Climate Data'!$H$7:$H$366,'Climate Data'!$A$7:$A$366,Estimator!$B$4,'Climate Data'!$B$7:$B$366,C5468)</f>
        <v>6.7962085308056865</v>
      </c>
      <c r="J5468" s="86">
        <f>SUMIFS('Wind Proxy'!$H$8:$H$19,'Wind Proxy'!$A$8:$A$19,Estimator!$B$4,'Wind Proxy'!$B$8:$B$19,C5468)</f>
        <v>0</v>
      </c>
    </row>
    <row r="5469" spans="1:10" ht="14.4">
      <c r="A5469" s="84">
        <v>51120</v>
      </c>
      <c r="B5469" s="85">
        <v>2039</v>
      </c>
      <c r="C5469" s="85">
        <v>12</v>
      </c>
      <c r="D5469" s="85" t="s">
        <v>77</v>
      </c>
      <c r="E5469" s="85">
        <v>16</v>
      </c>
      <c r="F5469" s="85">
        <v>5</v>
      </c>
      <c r="G5469" s="85">
        <f>--(F5469&lt;=Estimator!$B$7)</f>
        <v>1</v>
      </c>
      <c r="H5469" s="86">
        <f>SUMIFS('Climate Data'!$G$7:$G$366,'Climate Data'!$A$7:$A$366,Estimator!$B$4,'Climate Data'!$B$7:$B$366,C5469)</f>
        <v>0.22688172043010751</v>
      </c>
      <c r="I5469" s="87">
        <f>SUMIFS('Climate Data'!$H$7:$H$366,'Climate Data'!$A$7:$A$366,Estimator!$B$4,'Climate Data'!$B$7:$B$366,C5469)</f>
        <v>6.7962085308056865</v>
      </c>
      <c r="J5469" s="86">
        <f>SUMIFS('Wind Proxy'!$H$8:$H$19,'Wind Proxy'!$A$8:$A$19,Estimator!$B$4,'Wind Proxy'!$B$8:$B$19,C5469)</f>
        <v>0</v>
      </c>
    </row>
    <row r="5470" spans="1:10" ht="14.4">
      <c r="A5470" s="84">
        <v>51121</v>
      </c>
      <c r="B5470" s="85">
        <v>2039</v>
      </c>
      <c r="C5470" s="85">
        <v>12</v>
      </c>
      <c r="D5470" s="85" t="s">
        <v>77</v>
      </c>
      <c r="E5470" s="85">
        <v>17</v>
      </c>
      <c r="F5470" s="85">
        <v>6</v>
      </c>
      <c r="G5470" s="85">
        <f>--(F5470&lt;=Estimator!$B$7)</f>
        <v>0</v>
      </c>
      <c r="H5470" s="86">
        <f>SUMIFS('Climate Data'!$G$7:$G$366,'Climate Data'!$A$7:$A$366,Estimator!$B$4,'Climate Data'!$B$7:$B$366,C5470)</f>
        <v>0.22688172043010751</v>
      </c>
      <c r="I5470" s="87">
        <f>SUMIFS('Climate Data'!$H$7:$H$366,'Climate Data'!$A$7:$A$366,Estimator!$B$4,'Climate Data'!$B$7:$B$366,C5470)</f>
        <v>6.7962085308056865</v>
      </c>
      <c r="J5470" s="86">
        <f>SUMIFS('Wind Proxy'!$H$8:$H$19,'Wind Proxy'!$A$8:$A$19,Estimator!$B$4,'Wind Proxy'!$B$8:$B$19,C5470)</f>
        <v>0</v>
      </c>
    </row>
    <row r="5471" spans="1:10" ht="14.4">
      <c r="A5471" s="84">
        <v>51122</v>
      </c>
      <c r="B5471" s="85">
        <v>2039</v>
      </c>
      <c r="C5471" s="85">
        <v>12</v>
      </c>
      <c r="D5471" s="85" t="s">
        <v>77</v>
      </c>
      <c r="E5471" s="85">
        <v>18</v>
      </c>
      <c r="F5471" s="85">
        <v>7</v>
      </c>
      <c r="G5471" s="85">
        <f>--(F5471&lt;=Estimator!$B$7)</f>
        <v>0</v>
      </c>
      <c r="H5471" s="86">
        <f>SUMIFS('Climate Data'!$G$7:$G$366,'Climate Data'!$A$7:$A$366,Estimator!$B$4,'Climate Data'!$B$7:$B$366,C5471)</f>
        <v>0.22688172043010751</v>
      </c>
      <c r="I5471" s="87">
        <f>SUMIFS('Climate Data'!$H$7:$H$366,'Climate Data'!$A$7:$A$366,Estimator!$B$4,'Climate Data'!$B$7:$B$366,C5471)</f>
        <v>6.7962085308056865</v>
      </c>
      <c r="J5471" s="86">
        <f>SUMIFS('Wind Proxy'!$H$8:$H$19,'Wind Proxy'!$A$8:$A$19,Estimator!$B$4,'Wind Proxy'!$B$8:$B$19,C5471)</f>
        <v>0</v>
      </c>
    </row>
    <row r="5472" spans="1:10" ht="14.4">
      <c r="A5472" s="84">
        <v>51123</v>
      </c>
      <c r="B5472" s="85">
        <v>2039</v>
      </c>
      <c r="C5472" s="85">
        <v>12</v>
      </c>
      <c r="D5472" s="85" t="s">
        <v>77</v>
      </c>
      <c r="E5472" s="85">
        <v>19</v>
      </c>
      <c r="F5472" s="85">
        <v>1</v>
      </c>
      <c r="G5472" s="85">
        <f>--(F5472&lt;=Estimator!$B$7)</f>
        <v>1</v>
      </c>
      <c r="H5472" s="86">
        <f>SUMIFS('Climate Data'!$G$7:$G$366,'Climate Data'!$A$7:$A$366,Estimator!$B$4,'Climate Data'!$B$7:$B$366,C5472)</f>
        <v>0.22688172043010751</v>
      </c>
      <c r="I5472" s="87">
        <f>SUMIFS('Climate Data'!$H$7:$H$366,'Climate Data'!$A$7:$A$366,Estimator!$B$4,'Climate Data'!$B$7:$B$366,C5472)</f>
        <v>6.7962085308056865</v>
      </c>
      <c r="J5472" s="86">
        <f>SUMIFS('Wind Proxy'!$H$8:$H$19,'Wind Proxy'!$A$8:$A$19,Estimator!$B$4,'Wind Proxy'!$B$8:$B$19,C5472)</f>
        <v>0</v>
      </c>
    </row>
    <row r="5473" spans="1:10" ht="14.4">
      <c r="A5473" s="84">
        <v>51124</v>
      </c>
      <c r="B5473" s="85">
        <v>2039</v>
      </c>
      <c r="C5473" s="85">
        <v>12</v>
      </c>
      <c r="D5473" s="85" t="s">
        <v>77</v>
      </c>
      <c r="E5473" s="85">
        <v>20</v>
      </c>
      <c r="F5473" s="85">
        <v>2</v>
      </c>
      <c r="G5473" s="85">
        <f>--(F5473&lt;=Estimator!$B$7)</f>
        <v>1</v>
      </c>
      <c r="H5473" s="86">
        <f>SUMIFS('Climate Data'!$G$7:$G$366,'Climate Data'!$A$7:$A$366,Estimator!$B$4,'Climate Data'!$B$7:$B$366,C5473)</f>
        <v>0.22688172043010751</v>
      </c>
      <c r="I5473" s="87">
        <f>SUMIFS('Climate Data'!$H$7:$H$366,'Climate Data'!$A$7:$A$366,Estimator!$B$4,'Climate Data'!$B$7:$B$366,C5473)</f>
        <v>6.7962085308056865</v>
      </c>
      <c r="J5473" s="86">
        <f>SUMIFS('Wind Proxy'!$H$8:$H$19,'Wind Proxy'!$A$8:$A$19,Estimator!$B$4,'Wind Proxy'!$B$8:$B$19,C5473)</f>
        <v>0</v>
      </c>
    </row>
    <row r="5474" spans="1:10" ht="14.4">
      <c r="A5474" s="84">
        <v>51125</v>
      </c>
      <c r="B5474" s="85">
        <v>2039</v>
      </c>
      <c r="C5474" s="85">
        <v>12</v>
      </c>
      <c r="D5474" s="85" t="s">
        <v>77</v>
      </c>
      <c r="E5474" s="85">
        <v>21</v>
      </c>
      <c r="F5474" s="85">
        <v>3</v>
      </c>
      <c r="G5474" s="85">
        <f>--(F5474&lt;=Estimator!$B$7)</f>
        <v>1</v>
      </c>
      <c r="H5474" s="86">
        <f>SUMIFS('Climate Data'!$G$7:$G$366,'Climate Data'!$A$7:$A$366,Estimator!$B$4,'Climate Data'!$B$7:$B$366,C5474)</f>
        <v>0.22688172043010751</v>
      </c>
      <c r="I5474" s="87">
        <f>SUMIFS('Climate Data'!$H$7:$H$366,'Climate Data'!$A$7:$A$366,Estimator!$B$4,'Climate Data'!$B$7:$B$366,C5474)</f>
        <v>6.7962085308056865</v>
      </c>
      <c r="J5474" s="86">
        <f>SUMIFS('Wind Proxy'!$H$8:$H$19,'Wind Proxy'!$A$8:$A$19,Estimator!$B$4,'Wind Proxy'!$B$8:$B$19,C5474)</f>
        <v>0</v>
      </c>
    </row>
    <row r="5475" spans="1:10" ht="14.4">
      <c r="A5475" s="84">
        <v>51126</v>
      </c>
      <c r="B5475" s="85">
        <v>2039</v>
      </c>
      <c r="C5475" s="85">
        <v>12</v>
      </c>
      <c r="D5475" s="85" t="s">
        <v>77</v>
      </c>
      <c r="E5475" s="85">
        <v>22</v>
      </c>
      <c r="F5475" s="85">
        <v>4</v>
      </c>
      <c r="G5475" s="85">
        <f>--(F5475&lt;=Estimator!$B$7)</f>
        <v>1</v>
      </c>
      <c r="H5475" s="86">
        <f>SUMIFS('Climate Data'!$G$7:$G$366,'Climate Data'!$A$7:$A$366,Estimator!$B$4,'Climate Data'!$B$7:$B$366,C5475)</f>
        <v>0.22688172043010751</v>
      </c>
      <c r="I5475" s="87">
        <f>SUMIFS('Climate Data'!$H$7:$H$366,'Climate Data'!$A$7:$A$366,Estimator!$B$4,'Climate Data'!$B$7:$B$366,C5475)</f>
        <v>6.7962085308056865</v>
      </c>
      <c r="J5475" s="86">
        <f>SUMIFS('Wind Proxy'!$H$8:$H$19,'Wind Proxy'!$A$8:$A$19,Estimator!$B$4,'Wind Proxy'!$B$8:$B$19,C5475)</f>
        <v>0</v>
      </c>
    </row>
    <row r="5476" spans="1:10" ht="14.4">
      <c r="A5476" s="84">
        <v>51127</v>
      </c>
      <c r="B5476" s="85">
        <v>2039</v>
      </c>
      <c r="C5476" s="85">
        <v>12</v>
      </c>
      <c r="D5476" s="85" t="s">
        <v>77</v>
      </c>
      <c r="E5476" s="85">
        <v>23</v>
      </c>
      <c r="F5476" s="85">
        <v>5</v>
      </c>
      <c r="G5476" s="85">
        <f>--(F5476&lt;=Estimator!$B$7)</f>
        <v>1</v>
      </c>
      <c r="H5476" s="86">
        <f>SUMIFS('Climate Data'!$G$7:$G$366,'Climate Data'!$A$7:$A$366,Estimator!$B$4,'Climate Data'!$B$7:$B$366,C5476)</f>
        <v>0.22688172043010751</v>
      </c>
      <c r="I5476" s="87">
        <f>SUMIFS('Climate Data'!$H$7:$H$366,'Climate Data'!$A$7:$A$366,Estimator!$B$4,'Climate Data'!$B$7:$B$366,C5476)</f>
        <v>6.7962085308056865</v>
      </c>
      <c r="J5476" s="86">
        <f>SUMIFS('Wind Proxy'!$H$8:$H$19,'Wind Proxy'!$A$8:$A$19,Estimator!$B$4,'Wind Proxy'!$B$8:$B$19,C5476)</f>
        <v>0</v>
      </c>
    </row>
    <row r="5477" spans="1:10" ht="14.4">
      <c r="A5477" s="84">
        <v>51128</v>
      </c>
      <c r="B5477" s="85">
        <v>2039</v>
      </c>
      <c r="C5477" s="85">
        <v>12</v>
      </c>
      <c r="D5477" s="85" t="s">
        <v>77</v>
      </c>
      <c r="E5477" s="85">
        <v>24</v>
      </c>
      <c r="F5477" s="85">
        <v>6</v>
      </c>
      <c r="G5477" s="85">
        <f>--(F5477&lt;=Estimator!$B$7)</f>
        <v>0</v>
      </c>
      <c r="H5477" s="86">
        <f>SUMIFS('Climate Data'!$G$7:$G$366,'Climate Data'!$A$7:$A$366,Estimator!$B$4,'Climate Data'!$B$7:$B$366,C5477)</f>
        <v>0.22688172043010751</v>
      </c>
      <c r="I5477" s="87">
        <f>SUMIFS('Climate Data'!$H$7:$H$366,'Climate Data'!$A$7:$A$366,Estimator!$B$4,'Climate Data'!$B$7:$B$366,C5477)</f>
        <v>6.7962085308056865</v>
      </c>
      <c r="J5477" s="86">
        <f>SUMIFS('Wind Proxy'!$H$8:$H$19,'Wind Proxy'!$A$8:$A$19,Estimator!$B$4,'Wind Proxy'!$B$8:$B$19,C5477)</f>
        <v>0</v>
      </c>
    </row>
    <row r="5478" spans="1:10" ht="14.4">
      <c r="A5478" s="84">
        <v>51129</v>
      </c>
      <c r="B5478" s="85">
        <v>2039</v>
      </c>
      <c r="C5478" s="85">
        <v>12</v>
      </c>
      <c r="D5478" s="85" t="s">
        <v>77</v>
      </c>
      <c r="E5478" s="85">
        <v>25</v>
      </c>
      <c r="F5478" s="85">
        <v>7</v>
      </c>
      <c r="G5478" s="85">
        <f>--(F5478&lt;=Estimator!$B$7)</f>
        <v>0</v>
      </c>
      <c r="H5478" s="86">
        <f>SUMIFS('Climate Data'!$G$7:$G$366,'Climate Data'!$A$7:$A$366,Estimator!$B$4,'Climate Data'!$B$7:$B$366,C5478)</f>
        <v>0.22688172043010751</v>
      </c>
      <c r="I5478" s="87">
        <f>SUMIFS('Climate Data'!$H$7:$H$366,'Climate Data'!$A$7:$A$366,Estimator!$B$4,'Climate Data'!$B$7:$B$366,C5478)</f>
        <v>6.7962085308056865</v>
      </c>
      <c r="J5478" s="86">
        <f>SUMIFS('Wind Proxy'!$H$8:$H$19,'Wind Proxy'!$A$8:$A$19,Estimator!$B$4,'Wind Proxy'!$B$8:$B$19,C5478)</f>
        <v>0</v>
      </c>
    </row>
    <row r="5479" spans="1:10" ht="14.4">
      <c r="A5479" s="84">
        <v>51130</v>
      </c>
      <c r="B5479" s="85">
        <v>2039</v>
      </c>
      <c r="C5479" s="85">
        <v>12</v>
      </c>
      <c r="D5479" s="85" t="s">
        <v>77</v>
      </c>
      <c r="E5479" s="85">
        <v>26</v>
      </c>
      <c r="F5479" s="85">
        <v>1</v>
      </c>
      <c r="G5479" s="85">
        <f>--(F5479&lt;=Estimator!$B$7)</f>
        <v>1</v>
      </c>
      <c r="H5479" s="86">
        <f>SUMIFS('Climate Data'!$G$7:$G$366,'Climate Data'!$A$7:$A$366,Estimator!$B$4,'Climate Data'!$B$7:$B$366,C5479)</f>
        <v>0.22688172043010751</v>
      </c>
      <c r="I5479" s="87">
        <f>SUMIFS('Climate Data'!$H$7:$H$366,'Climate Data'!$A$7:$A$366,Estimator!$B$4,'Climate Data'!$B$7:$B$366,C5479)</f>
        <v>6.7962085308056865</v>
      </c>
      <c r="J5479" s="86">
        <f>SUMIFS('Wind Proxy'!$H$8:$H$19,'Wind Proxy'!$A$8:$A$19,Estimator!$B$4,'Wind Proxy'!$B$8:$B$19,C5479)</f>
        <v>0</v>
      </c>
    </row>
    <row r="5480" spans="1:10" ht="14.4">
      <c r="A5480" s="84">
        <v>51131</v>
      </c>
      <c r="B5480" s="85">
        <v>2039</v>
      </c>
      <c r="C5480" s="85">
        <v>12</v>
      </c>
      <c r="D5480" s="85" t="s">
        <v>77</v>
      </c>
      <c r="E5480" s="85">
        <v>27</v>
      </c>
      <c r="F5480" s="85">
        <v>2</v>
      </c>
      <c r="G5480" s="85">
        <f>--(F5480&lt;=Estimator!$B$7)</f>
        <v>1</v>
      </c>
      <c r="H5480" s="86">
        <f>SUMIFS('Climate Data'!$G$7:$G$366,'Climate Data'!$A$7:$A$366,Estimator!$B$4,'Climate Data'!$B$7:$B$366,C5480)</f>
        <v>0.22688172043010751</v>
      </c>
      <c r="I5480" s="87">
        <f>SUMIFS('Climate Data'!$H$7:$H$366,'Climate Data'!$A$7:$A$366,Estimator!$B$4,'Climate Data'!$B$7:$B$366,C5480)</f>
        <v>6.7962085308056865</v>
      </c>
      <c r="J5480" s="86">
        <f>SUMIFS('Wind Proxy'!$H$8:$H$19,'Wind Proxy'!$A$8:$A$19,Estimator!$B$4,'Wind Proxy'!$B$8:$B$19,C5480)</f>
        <v>0</v>
      </c>
    </row>
    <row r="5481" spans="1:10" ht="14.4">
      <c r="A5481" s="84">
        <v>51132</v>
      </c>
      <c r="B5481" s="85">
        <v>2039</v>
      </c>
      <c r="C5481" s="85">
        <v>12</v>
      </c>
      <c r="D5481" s="85" t="s">
        <v>77</v>
      </c>
      <c r="E5481" s="85">
        <v>28</v>
      </c>
      <c r="F5481" s="85">
        <v>3</v>
      </c>
      <c r="G5481" s="85">
        <f>--(F5481&lt;=Estimator!$B$7)</f>
        <v>1</v>
      </c>
      <c r="H5481" s="86">
        <f>SUMIFS('Climate Data'!$G$7:$G$366,'Climate Data'!$A$7:$A$366,Estimator!$B$4,'Climate Data'!$B$7:$B$366,C5481)</f>
        <v>0.22688172043010751</v>
      </c>
      <c r="I5481" s="87">
        <f>SUMIFS('Climate Data'!$H$7:$H$366,'Climate Data'!$A$7:$A$366,Estimator!$B$4,'Climate Data'!$B$7:$B$366,C5481)</f>
        <v>6.7962085308056865</v>
      </c>
      <c r="J5481" s="86">
        <f>SUMIFS('Wind Proxy'!$H$8:$H$19,'Wind Proxy'!$A$8:$A$19,Estimator!$B$4,'Wind Proxy'!$B$8:$B$19,C5481)</f>
        <v>0</v>
      </c>
    </row>
    <row r="5482" spans="1:10" ht="14.4">
      <c r="A5482" s="84">
        <v>51133</v>
      </c>
      <c r="B5482" s="85">
        <v>2039</v>
      </c>
      <c r="C5482" s="85">
        <v>12</v>
      </c>
      <c r="D5482" s="85" t="s">
        <v>77</v>
      </c>
      <c r="E5482" s="85">
        <v>29</v>
      </c>
      <c r="F5482" s="85">
        <v>4</v>
      </c>
      <c r="G5482" s="85">
        <f>--(F5482&lt;=Estimator!$B$7)</f>
        <v>1</v>
      </c>
      <c r="H5482" s="86">
        <f>SUMIFS('Climate Data'!$G$7:$G$366,'Climate Data'!$A$7:$A$366,Estimator!$B$4,'Climate Data'!$B$7:$B$366,C5482)</f>
        <v>0.22688172043010751</v>
      </c>
      <c r="I5482" s="87">
        <f>SUMIFS('Climate Data'!$H$7:$H$366,'Climate Data'!$A$7:$A$366,Estimator!$B$4,'Climate Data'!$B$7:$B$366,C5482)</f>
        <v>6.7962085308056865</v>
      </c>
      <c r="J5482" s="86">
        <f>SUMIFS('Wind Proxy'!$H$8:$H$19,'Wind Proxy'!$A$8:$A$19,Estimator!$B$4,'Wind Proxy'!$B$8:$B$19,C5482)</f>
        <v>0</v>
      </c>
    </row>
    <row r="5483" spans="1:10" ht="14.4">
      <c r="A5483" s="84">
        <v>51134</v>
      </c>
      <c r="B5483" s="85">
        <v>2039</v>
      </c>
      <c r="C5483" s="85">
        <v>12</v>
      </c>
      <c r="D5483" s="85" t="s">
        <v>77</v>
      </c>
      <c r="E5483" s="85">
        <v>30</v>
      </c>
      <c r="F5483" s="85">
        <v>5</v>
      </c>
      <c r="G5483" s="85">
        <f>--(F5483&lt;=Estimator!$B$7)</f>
        <v>1</v>
      </c>
      <c r="H5483" s="86">
        <f>SUMIFS('Climate Data'!$G$7:$G$366,'Climate Data'!$A$7:$A$366,Estimator!$B$4,'Climate Data'!$B$7:$B$366,C5483)</f>
        <v>0.22688172043010751</v>
      </c>
      <c r="I5483" s="87">
        <f>SUMIFS('Climate Data'!$H$7:$H$366,'Climate Data'!$A$7:$A$366,Estimator!$B$4,'Climate Data'!$B$7:$B$366,C5483)</f>
        <v>6.7962085308056865</v>
      </c>
      <c r="J5483" s="86">
        <f>SUMIFS('Wind Proxy'!$H$8:$H$19,'Wind Proxy'!$A$8:$A$19,Estimator!$B$4,'Wind Proxy'!$B$8:$B$19,C5483)</f>
        <v>0</v>
      </c>
    </row>
    <row r="5484" spans="1:10" ht="14.4">
      <c r="A5484" s="84">
        <v>51135</v>
      </c>
      <c r="B5484" s="85">
        <v>2039</v>
      </c>
      <c r="C5484" s="85">
        <v>12</v>
      </c>
      <c r="D5484" s="85" t="s">
        <v>77</v>
      </c>
      <c r="E5484" s="85">
        <v>31</v>
      </c>
      <c r="F5484" s="85">
        <v>6</v>
      </c>
      <c r="G5484" s="85">
        <f>--(F5484&lt;=Estimator!$B$7)</f>
        <v>0</v>
      </c>
      <c r="H5484" s="86">
        <f>SUMIFS('Climate Data'!$G$7:$G$366,'Climate Data'!$A$7:$A$366,Estimator!$B$4,'Climate Data'!$B$7:$B$366,C5484)</f>
        <v>0.22688172043010751</v>
      </c>
      <c r="I5484" s="87">
        <f>SUMIFS('Climate Data'!$H$7:$H$366,'Climate Data'!$A$7:$A$366,Estimator!$B$4,'Climate Data'!$B$7:$B$366,C5484)</f>
        <v>6.7962085308056865</v>
      </c>
      <c r="J5484" s="86">
        <f>SUMIFS('Wind Proxy'!$H$8:$H$19,'Wind Proxy'!$A$8:$A$19,Estimator!$B$4,'Wind Proxy'!$B$8:$B$19,C5484)</f>
        <v>0</v>
      </c>
    </row>
    <row r="5485" spans="1:10" ht="14.4">
      <c r="A5485" s="84">
        <v>51136</v>
      </c>
      <c r="B5485" s="85">
        <v>2040</v>
      </c>
      <c r="C5485" s="85">
        <v>1</v>
      </c>
      <c r="D5485" s="85" t="s">
        <v>55</v>
      </c>
      <c r="E5485" s="85">
        <v>1</v>
      </c>
      <c r="F5485" s="85">
        <v>7</v>
      </c>
      <c r="G5485" s="85">
        <f>--(F5485&lt;=Estimator!$B$7)</f>
        <v>0</v>
      </c>
      <c r="H5485" s="86">
        <f>SUMIFS('Climate Data'!$G$7:$G$366,'Climate Data'!$A$7:$A$366,Estimator!$B$4,'Climate Data'!$B$7:$B$366,C5485)</f>
        <v>0.19462365591397848</v>
      </c>
      <c r="I5485" s="87">
        <f>SUMIFS('Climate Data'!$H$7:$H$366,'Climate Data'!$A$7:$A$366,Estimator!$B$4,'Climate Data'!$B$7:$B$366,C5485)</f>
        <v>7.027624309392265</v>
      </c>
      <c r="J5485" s="86">
        <f>SUMIFS('Wind Proxy'!$H$8:$H$19,'Wind Proxy'!$A$8:$A$19,Estimator!$B$4,'Wind Proxy'!$B$8:$B$19,C5485)</f>
        <v>0</v>
      </c>
    </row>
    <row r="5486" spans="1:10" ht="14.4">
      <c r="A5486" s="84">
        <v>51137</v>
      </c>
      <c r="B5486" s="85">
        <v>2040</v>
      </c>
      <c r="C5486" s="85">
        <v>1</v>
      </c>
      <c r="D5486" s="85" t="s">
        <v>55</v>
      </c>
      <c r="E5486" s="85">
        <v>2</v>
      </c>
      <c r="F5486" s="85">
        <v>1</v>
      </c>
      <c r="G5486" s="85">
        <f>--(F5486&lt;=Estimator!$B$7)</f>
        <v>1</v>
      </c>
      <c r="H5486" s="86">
        <f>SUMIFS('Climate Data'!$G$7:$G$366,'Climate Data'!$A$7:$A$366,Estimator!$B$4,'Climate Data'!$B$7:$B$366,C5486)</f>
        <v>0.19462365591397848</v>
      </c>
      <c r="I5486" s="87">
        <f>SUMIFS('Climate Data'!$H$7:$H$366,'Climate Data'!$A$7:$A$366,Estimator!$B$4,'Climate Data'!$B$7:$B$366,C5486)</f>
        <v>7.027624309392265</v>
      </c>
      <c r="J5486" s="86">
        <f>SUMIFS('Wind Proxy'!$H$8:$H$19,'Wind Proxy'!$A$8:$A$19,Estimator!$B$4,'Wind Proxy'!$B$8:$B$19,C5486)</f>
        <v>0</v>
      </c>
    </row>
    <row r="5487" spans="1:10" ht="14.4">
      <c r="A5487" s="84">
        <v>51138</v>
      </c>
      <c r="B5487" s="85">
        <v>2040</v>
      </c>
      <c r="C5487" s="85">
        <v>1</v>
      </c>
      <c r="D5487" s="85" t="s">
        <v>55</v>
      </c>
      <c r="E5487" s="85">
        <v>3</v>
      </c>
      <c r="F5487" s="85">
        <v>2</v>
      </c>
      <c r="G5487" s="85">
        <f>--(F5487&lt;=Estimator!$B$7)</f>
        <v>1</v>
      </c>
      <c r="H5487" s="86">
        <f>SUMIFS('Climate Data'!$G$7:$G$366,'Climate Data'!$A$7:$A$366,Estimator!$B$4,'Climate Data'!$B$7:$B$366,C5487)</f>
        <v>0.19462365591397848</v>
      </c>
      <c r="I5487" s="87">
        <f>SUMIFS('Climate Data'!$H$7:$H$366,'Climate Data'!$A$7:$A$366,Estimator!$B$4,'Climate Data'!$B$7:$B$366,C5487)</f>
        <v>7.027624309392265</v>
      </c>
      <c r="J5487" s="86">
        <f>SUMIFS('Wind Proxy'!$H$8:$H$19,'Wind Proxy'!$A$8:$A$19,Estimator!$B$4,'Wind Proxy'!$B$8:$B$19,C5487)</f>
        <v>0</v>
      </c>
    </row>
    <row r="5488" spans="1:10" ht="14.4">
      <c r="A5488" s="84">
        <v>51139</v>
      </c>
      <c r="B5488" s="85">
        <v>2040</v>
      </c>
      <c r="C5488" s="85">
        <v>1</v>
      </c>
      <c r="D5488" s="85" t="s">
        <v>55</v>
      </c>
      <c r="E5488" s="85">
        <v>4</v>
      </c>
      <c r="F5488" s="85">
        <v>3</v>
      </c>
      <c r="G5488" s="85">
        <f>--(F5488&lt;=Estimator!$B$7)</f>
        <v>1</v>
      </c>
      <c r="H5488" s="86">
        <f>SUMIFS('Climate Data'!$G$7:$G$366,'Climate Data'!$A$7:$A$366,Estimator!$B$4,'Climate Data'!$B$7:$B$366,C5488)</f>
        <v>0.19462365591397848</v>
      </c>
      <c r="I5488" s="87">
        <f>SUMIFS('Climate Data'!$H$7:$H$366,'Climate Data'!$A$7:$A$366,Estimator!$B$4,'Climate Data'!$B$7:$B$366,C5488)</f>
        <v>7.027624309392265</v>
      </c>
      <c r="J5488" s="86">
        <f>SUMIFS('Wind Proxy'!$H$8:$H$19,'Wind Proxy'!$A$8:$A$19,Estimator!$B$4,'Wind Proxy'!$B$8:$B$19,C5488)</f>
        <v>0</v>
      </c>
    </row>
    <row r="5489" spans="1:10" ht="14.4">
      <c r="A5489" s="84">
        <v>51140</v>
      </c>
      <c r="B5489" s="85">
        <v>2040</v>
      </c>
      <c r="C5489" s="85">
        <v>1</v>
      </c>
      <c r="D5489" s="85" t="s">
        <v>55</v>
      </c>
      <c r="E5489" s="85">
        <v>5</v>
      </c>
      <c r="F5489" s="85">
        <v>4</v>
      </c>
      <c r="G5489" s="85">
        <f>--(F5489&lt;=Estimator!$B$7)</f>
        <v>1</v>
      </c>
      <c r="H5489" s="86">
        <f>SUMIFS('Climate Data'!$G$7:$G$366,'Climate Data'!$A$7:$A$366,Estimator!$B$4,'Climate Data'!$B$7:$B$366,C5489)</f>
        <v>0.19462365591397848</v>
      </c>
      <c r="I5489" s="87">
        <f>SUMIFS('Climate Data'!$H$7:$H$366,'Climate Data'!$A$7:$A$366,Estimator!$B$4,'Climate Data'!$B$7:$B$366,C5489)</f>
        <v>7.027624309392265</v>
      </c>
      <c r="J5489" s="86">
        <f>SUMIFS('Wind Proxy'!$H$8:$H$19,'Wind Proxy'!$A$8:$A$19,Estimator!$B$4,'Wind Proxy'!$B$8:$B$19,C5489)</f>
        <v>0</v>
      </c>
    </row>
    <row r="5490" spans="1:10" ht="14.4">
      <c r="A5490" s="84">
        <v>51141</v>
      </c>
      <c r="B5490" s="85">
        <v>2040</v>
      </c>
      <c r="C5490" s="85">
        <v>1</v>
      </c>
      <c r="D5490" s="85" t="s">
        <v>55</v>
      </c>
      <c r="E5490" s="85">
        <v>6</v>
      </c>
      <c r="F5490" s="85">
        <v>5</v>
      </c>
      <c r="G5490" s="85">
        <f>--(F5490&lt;=Estimator!$B$7)</f>
        <v>1</v>
      </c>
      <c r="H5490" s="86">
        <f>SUMIFS('Climate Data'!$G$7:$G$366,'Climate Data'!$A$7:$A$366,Estimator!$B$4,'Climate Data'!$B$7:$B$366,C5490)</f>
        <v>0.19462365591397848</v>
      </c>
      <c r="I5490" s="87">
        <f>SUMIFS('Climate Data'!$H$7:$H$366,'Climate Data'!$A$7:$A$366,Estimator!$B$4,'Climate Data'!$B$7:$B$366,C5490)</f>
        <v>7.027624309392265</v>
      </c>
      <c r="J5490" s="86">
        <f>SUMIFS('Wind Proxy'!$H$8:$H$19,'Wind Proxy'!$A$8:$A$19,Estimator!$B$4,'Wind Proxy'!$B$8:$B$19,C5490)</f>
        <v>0</v>
      </c>
    </row>
    <row r="5491" spans="1:10" ht="14.4">
      <c r="A5491" s="84">
        <v>51142</v>
      </c>
      <c r="B5491" s="85">
        <v>2040</v>
      </c>
      <c r="C5491" s="85">
        <v>1</v>
      </c>
      <c r="D5491" s="85" t="s">
        <v>55</v>
      </c>
      <c r="E5491" s="85">
        <v>7</v>
      </c>
      <c r="F5491" s="85">
        <v>6</v>
      </c>
      <c r="G5491" s="85">
        <f>--(F5491&lt;=Estimator!$B$7)</f>
        <v>0</v>
      </c>
      <c r="H5491" s="86">
        <f>SUMIFS('Climate Data'!$G$7:$G$366,'Climate Data'!$A$7:$A$366,Estimator!$B$4,'Climate Data'!$B$7:$B$366,C5491)</f>
        <v>0.19462365591397848</v>
      </c>
      <c r="I5491" s="87">
        <f>SUMIFS('Climate Data'!$H$7:$H$366,'Climate Data'!$A$7:$A$366,Estimator!$B$4,'Climate Data'!$B$7:$B$366,C5491)</f>
        <v>7.027624309392265</v>
      </c>
      <c r="J5491" s="86">
        <f>SUMIFS('Wind Proxy'!$H$8:$H$19,'Wind Proxy'!$A$8:$A$19,Estimator!$B$4,'Wind Proxy'!$B$8:$B$19,C5491)</f>
        <v>0</v>
      </c>
    </row>
    <row r="5492" spans="1:10" ht="14.4">
      <c r="A5492" s="84">
        <v>51143</v>
      </c>
      <c r="B5492" s="85">
        <v>2040</v>
      </c>
      <c r="C5492" s="85">
        <v>1</v>
      </c>
      <c r="D5492" s="85" t="s">
        <v>55</v>
      </c>
      <c r="E5492" s="85">
        <v>8</v>
      </c>
      <c r="F5492" s="85">
        <v>7</v>
      </c>
      <c r="G5492" s="85">
        <f>--(F5492&lt;=Estimator!$B$7)</f>
        <v>0</v>
      </c>
      <c r="H5492" s="86">
        <f>SUMIFS('Climate Data'!$G$7:$G$366,'Climate Data'!$A$7:$A$366,Estimator!$B$4,'Climate Data'!$B$7:$B$366,C5492)</f>
        <v>0.19462365591397848</v>
      </c>
      <c r="I5492" s="87">
        <f>SUMIFS('Climate Data'!$H$7:$H$366,'Climate Data'!$A$7:$A$366,Estimator!$B$4,'Climate Data'!$B$7:$B$366,C5492)</f>
        <v>7.027624309392265</v>
      </c>
      <c r="J5492" s="86">
        <f>SUMIFS('Wind Proxy'!$H$8:$H$19,'Wind Proxy'!$A$8:$A$19,Estimator!$B$4,'Wind Proxy'!$B$8:$B$19,C5492)</f>
        <v>0</v>
      </c>
    </row>
    <row r="5493" spans="1:10" ht="14.4">
      <c r="A5493" s="84">
        <v>51144</v>
      </c>
      <c r="B5493" s="85">
        <v>2040</v>
      </c>
      <c r="C5493" s="85">
        <v>1</v>
      </c>
      <c r="D5493" s="85" t="s">
        <v>55</v>
      </c>
      <c r="E5493" s="85">
        <v>9</v>
      </c>
      <c r="F5493" s="85">
        <v>1</v>
      </c>
      <c r="G5493" s="85">
        <f>--(F5493&lt;=Estimator!$B$7)</f>
        <v>1</v>
      </c>
      <c r="H5493" s="86">
        <f>SUMIFS('Climate Data'!$G$7:$G$366,'Climate Data'!$A$7:$A$366,Estimator!$B$4,'Climate Data'!$B$7:$B$366,C5493)</f>
        <v>0.19462365591397848</v>
      </c>
      <c r="I5493" s="87">
        <f>SUMIFS('Climate Data'!$H$7:$H$366,'Climate Data'!$A$7:$A$366,Estimator!$B$4,'Climate Data'!$B$7:$B$366,C5493)</f>
        <v>7.027624309392265</v>
      </c>
      <c r="J5493" s="86">
        <f>SUMIFS('Wind Proxy'!$H$8:$H$19,'Wind Proxy'!$A$8:$A$19,Estimator!$B$4,'Wind Proxy'!$B$8:$B$19,C5493)</f>
        <v>0</v>
      </c>
    </row>
    <row r="5494" spans="1:10" ht="14.4">
      <c r="A5494" s="84">
        <v>51145</v>
      </c>
      <c r="B5494" s="85">
        <v>2040</v>
      </c>
      <c r="C5494" s="85">
        <v>1</v>
      </c>
      <c r="D5494" s="85" t="s">
        <v>55</v>
      </c>
      <c r="E5494" s="85">
        <v>10</v>
      </c>
      <c r="F5494" s="85">
        <v>2</v>
      </c>
      <c r="G5494" s="85">
        <f>--(F5494&lt;=Estimator!$B$7)</f>
        <v>1</v>
      </c>
      <c r="H5494" s="86">
        <f>SUMIFS('Climate Data'!$G$7:$G$366,'Climate Data'!$A$7:$A$366,Estimator!$B$4,'Climate Data'!$B$7:$B$366,C5494)</f>
        <v>0.19462365591397848</v>
      </c>
      <c r="I5494" s="87">
        <f>SUMIFS('Climate Data'!$H$7:$H$366,'Climate Data'!$A$7:$A$366,Estimator!$B$4,'Climate Data'!$B$7:$B$366,C5494)</f>
        <v>7.027624309392265</v>
      </c>
      <c r="J5494" s="86">
        <f>SUMIFS('Wind Proxy'!$H$8:$H$19,'Wind Proxy'!$A$8:$A$19,Estimator!$B$4,'Wind Proxy'!$B$8:$B$19,C5494)</f>
        <v>0</v>
      </c>
    </row>
    <row r="5495" spans="1:10" ht="14.4">
      <c r="A5495" s="84">
        <v>51146</v>
      </c>
      <c r="B5495" s="85">
        <v>2040</v>
      </c>
      <c r="C5495" s="85">
        <v>1</v>
      </c>
      <c r="D5495" s="85" t="s">
        <v>55</v>
      </c>
      <c r="E5495" s="85">
        <v>11</v>
      </c>
      <c r="F5495" s="85">
        <v>3</v>
      </c>
      <c r="G5495" s="85">
        <f>--(F5495&lt;=Estimator!$B$7)</f>
        <v>1</v>
      </c>
      <c r="H5495" s="86">
        <f>SUMIFS('Climate Data'!$G$7:$G$366,'Climate Data'!$A$7:$A$366,Estimator!$B$4,'Climate Data'!$B$7:$B$366,C5495)</f>
        <v>0.19462365591397848</v>
      </c>
      <c r="I5495" s="87">
        <f>SUMIFS('Climate Data'!$H$7:$H$366,'Climate Data'!$A$7:$A$366,Estimator!$B$4,'Climate Data'!$B$7:$B$366,C5495)</f>
        <v>7.027624309392265</v>
      </c>
      <c r="J5495" s="86">
        <f>SUMIFS('Wind Proxy'!$H$8:$H$19,'Wind Proxy'!$A$8:$A$19,Estimator!$B$4,'Wind Proxy'!$B$8:$B$19,C5495)</f>
        <v>0</v>
      </c>
    </row>
    <row r="5496" spans="1:10" ht="14.4">
      <c r="A5496" s="84">
        <v>51147</v>
      </c>
      <c r="B5496" s="85">
        <v>2040</v>
      </c>
      <c r="C5496" s="85">
        <v>1</v>
      </c>
      <c r="D5496" s="85" t="s">
        <v>55</v>
      </c>
      <c r="E5496" s="85">
        <v>12</v>
      </c>
      <c r="F5496" s="85">
        <v>4</v>
      </c>
      <c r="G5496" s="85">
        <f>--(F5496&lt;=Estimator!$B$7)</f>
        <v>1</v>
      </c>
      <c r="H5496" s="86">
        <f>SUMIFS('Climate Data'!$G$7:$G$366,'Climate Data'!$A$7:$A$366,Estimator!$B$4,'Climate Data'!$B$7:$B$366,C5496)</f>
        <v>0.19462365591397848</v>
      </c>
      <c r="I5496" s="87">
        <f>SUMIFS('Climate Data'!$H$7:$H$366,'Climate Data'!$A$7:$A$366,Estimator!$B$4,'Climate Data'!$B$7:$B$366,C5496)</f>
        <v>7.027624309392265</v>
      </c>
      <c r="J5496" s="86">
        <f>SUMIFS('Wind Proxy'!$H$8:$H$19,'Wind Proxy'!$A$8:$A$19,Estimator!$B$4,'Wind Proxy'!$B$8:$B$19,C5496)</f>
        <v>0</v>
      </c>
    </row>
    <row r="5497" spans="1:10" ht="14.4">
      <c r="A5497" s="84">
        <v>51148</v>
      </c>
      <c r="B5497" s="85">
        <v>2040</v>
      </c>
      <c r="C5497" s="85">
        <v>1</v>
      </c>
      <c r="D5497" s="85" t="s">
        <v>55</v>
      </c>
      <c r="E5497" s="85">
        <v>13</v>
      </c>
      <c r="F5497" s="85">
        <v>5</v>
      </c>
      <c r="G5497" s="85">
        <f>--(F5497&lt;=Estimator!$B$7)</f>
        <v>1</v>
      </c>
      <c r="H5497" s="86">
        <f>SUMIFS('Climate Data'!$G$7:$G$366,'Climate Data'!$A$7:$A$366,Estimator!$B$4,'Climate Data'!$B$7:$B$366,C5497)</f>
        <v>0.19462365591397848</v>
      </c>
      <c r="I5497" s="87">
        <f>SUMIFS('Climate Data'!$H$7:$H$366,'Climate Data'!$A$7:$A$366,Estimator!$B$4,'Climate Data'!$B$7:$B$366,C5497)</f>
        <v>7.027624309392265</v>
      </c>
      <c r="J5497" s="86">
        <f>SUMIFS('Wind Proxy'!$H$8:$H$19,'Wind Proxy'!$A$8:$A$19,Estimator!$B$4,'Wind Proxy'!$B$8:$B$19,C5497)</f>
        <v>0</v>
      </c>
    </row>
    <row r="5498" spans="1:10" ht="14.4">
      <c r="A5498" s="84">
        <v>51149</v>
      </c>
      <c r="B5498" s="85">
        <v>2040</v>
      </c>
      <c r="C5498" s="85">
        <v>1</v>
      </c>
      <c r="D5498" s="85" t="s">
        <v>55</v>
      </c>
      <c r="E5498" s="85">
        <v>14</v>
      </c>
      <c r="F5498" s="85">
        <v>6</v>
      </c>
      <c r="G5498" s="85">
        <f>--(F5498&lt;=Estimator!$B$7)</f>
        <v>0</v>
      </c>
      <c r="H5498" s="86">
        <f>SUMIFS('Climate Data'!$G$7:$G$366,'Climate Data'!$A$7:$A$366,Estimator!$B$4,'Climate Data'!$B$7:$B$366,C5498)</f>
        <v>0.19462365591397848</v>
      </c>
      <c r="I5498" s="87">
        <f>SUMIFS('Climate Data'!$H$7:$H$366,'Climate Data'!$A$7:$A$366,Estimator!$B$4,'Climate Data'!$B$7:$B$366,C5498)</f>
        <v>7.027624309392265</v>
      </c>
      <c r="J5498" s="86">
        <f>SUMIFS('Wind Proxy'!$H$8:$H$19,'Wind Proxy'!$A$8:$A$19,Estimator!$B$4,'Wind Proxy'!$B$8:$B$19,C5498)</f>
        <v>0</v>
      </c>
    </row>
    <row r="5499" spans="1:10" ht="14.4">
      <c r="A5499" s="84">
        <v>51150</v>
      </c>
      <c r="B5499" s="85">
        <v>2040</v>
      </c>
      <c r="C5499" s="85">
        <v>1</v>
      </c>
      <c r="D5499" s="85" t="s">
        <v>55</v>
      </c>
      <c r="E5499" s="85">
        <v>15</v>
      </c>
      <c r="F5499" s="85">
        <v>7</v>
      </c>
      <c r="G5499" s="85">
        <f>--(F5499&lt;=Estimator!$B$7)</f>
        <v>0</v>
      </c>
      <c r="H5499" s="86">
        <f>SUMIFS('Climate Data'!$G$7:$G$366,'Climate Data'!$A$7:$A$366,Estimator!$B$4,'Climate Data'!$B$7:$B$366,C5499)</f>
        <v>0.19462365591397848</v>
      </c>
      <c r="I5499" s="87">
        <f>SUMIFS('Climate Data'!$H$7:$H$366,'Climate Data'!$A$7:$A$366,Estimator!$B$4,'Climate Data'!$B$7:$B$366,C5499)</f>
        <v>7.027624309392265</v>
      </c>
      <c r="J5499" s="86">
        <f>SUMIFS('Wind Proxy'!$H$8:$H$19,'Wind Proxy'!$A$8:$A$19,Estimator!$B$4,'Wind Proxy'!$B$8:$B$19,C5499)</f>
        <v>0</v>
      </c>
    </row>
    <row r="5500" spans="1:10" ht="14.4">
      <c r="A5500" s="84">
        <v>51151</v>
      </c>
      <c r="B5500" s="85">
        <v>2040</v>
      </c>
      <c r="C5500" s="85">
        <v>1</v>
      </c>
      <c r="D5500" s="85" t="s">
        <v>55</v>
      </c>
      <c r="E5500" s="85">
        <v>16</v>
      </c>
      <c r="F5500" s="85">
        <v>1</v>
      </c>
      <c r="G5500" s="85">
        <f>--(F5500&lt;=Estimator!$B$7)</f>
        <v>1</v>
      </c>
      <c r="H5500" s="86">
        <f>SUMIFS('Climate Data'!$G$7:$G$366,'Climate Data'!$A$7:$A$366,Estimator!$B$4,'Climate Data'!$B$7:$B$366,C5500)</f>
        <v>0.19462365591397848</v>
      </c>
      <c r="I5500" s="87">
        <f>SUMIFS('Climate Data'!$H$7:$H$366,'Climate Data'!$A$7:$A$366,Estimator!$B$4,'Climate Data'!$B$7:$B$366,C5500)</f>
        <v>7.027624309392265</v>
      </c>
      <c r="J5500" s="86">
        <f>SUMIFS('Wind Proxy'!$H$8:$H$19,'Wind Proxy'!$A$8:$A$19,Estimator!$B$4,'Wind Proxy'!$B$8:$B$19,C5500)</f>
        <v>0</v>
      </c>
    </row>
    <row r="5501" spans="1:10" ht="14.4">
      <c r="A5501" s="84">
        <v>51152</v>
      </c>
      <c r="B5501" s="85">
        <v>2040</v>
      </c>
      <c r="C5501" s="85">
        <v>1</v>
      </c>
      <c r="D5501" s="85" t="s">
        <v>55</v>
      </c>
      <c r="E5501" s="85">
        <v>17</v>
      </c>
      <c r="F5501" s="85">
        <v>2</v>
      </c>
      <c r="G5501" s="85">
        <f>--(F5501&lt;=Estimator!$B$7)</f>
        <v>1</v>
      </c>
      <c r="H5501" s="86">
        <f>SUMIFS('Climate Data'!$G$7:$G$366,'Climate Data'!$A$7:$A$366,Estimator!$B$4,'Climate Data'!$B$7:$B$366,C5501)</f>
        <v>0.19462365591397848</v>
      </c>
      <c r="I5501" s="87">
        <f>SUMIFS('Climate Data'!$H$7:$H$366,'Climate Data'!$A$7:$A$366,Estimator!$B$4,'Climate Data'!$B$7:$B$366,C5501)</f>
        <v>7.027624309392265</v>
      </c>
      <c r="J5501" s="86">
        <f>SUMIFS('Wind Proxy'!$H$8:$H$19,'Wind Proxy'!$A$8:$A$19,Estimator!$B$4,'Wind Proxy'!$B$8:$B$19,C5501)</f>
        <v>0</v>
      </c>
    </row>
    <row r="5502" spans="1:10" ht="14.4">
      <c r="A5502" s="84">
        <v>51153</v>
      </c>
      <c r="B5502" s="85">
        <v>2040</v>
      </c>
      <c r="C5502" s="85">
        <v>1</v>
      </c>
      <c r="D5502" s="85" t="s">
        <v>55</v>
      </c>
      <c r="E5502" s="85">
        <v>18</v>
      </c>
      <c r="F5502" s="85">
        <v>3</v>
      </c>
      <c r="G5502" s="85">
        <f>--(F5502&lt;=Estimator!$B$7)</f>
        <v>1</v>
      </c>
      <c r="H5502" s="86">
        <f>SUMIFS('Climate Data'!$G$7:$G$366,'Climate Data'!$A$7:$A$366,Estimator!$B$4,'Climate Data'!$B$7:$B$366,C5502)</f>
        <v>0.19462365591397848</v>
      </c>
      <c r="I5502" s="87">
        <f>SUMIFS('Climate Data'!$H$7:$H$366,'Climate Data'!$A$7:$A$366,Estimator!$B$4,'Climate Data'!$B$7:$B$366,C5502)</f>
        <v>7.027624309392265</v>
      </c>
      <c r="J5502" s="86">
        <f>SUMIFS('Wind Proxy'!$H$8:$H$19,'Wind Proxy'!$A$8:$A$19,Estimator!$B$4,'Wind Proxy'!$B$8:$B$19,C5502)</f>
        <v>0</v>
      </c>
    </row>
    <row r="5503" spans="1:10" ht="14.4">
      <c r="A5503" s="84">
        <v>51154</v>
      </c>
      <c r="B5503" s="85">
        <v>2040</v>
      </c>
      <c r="C5503" s="85">
        <v>1</v>
      </c>
      <c r="D5503" s="85" t="s">
        <v>55</v>
      </c>
      <c r="E5503" s="85">
        <v>19</v>
      </c>
      <c r="F5503" s="85">
        <v>4</v>
      </c>
      <c r="G5503" s="85">
        <f>--(F5503&lt;=Estimator!$B$7)</f>
        <v>1</v>
      </c>
      <c r="H5503" s="86">
        <f>SUMIFS('Climate Data'!$G$7:$G$366,'Climate Data'!$A$7:$A$366,Estimator!$B$4,'Climate Data'!$B$7:$B$366,C5503)</f>
        <v>0.19462365591397848</v>
      </c>
      <c r="I5503" s="87">
        <f>SUMIFS('Climate Data'!$H$7:$H$366,'Climate Data'!$A$7:$A$366,Estimator!$B$4,'Climate Data'!$B$7:$B$366,C5503)</f>
        <v>7.027624309392265</v>
      </c>
      <c r="J5503" s="86">
        <f>SUMIFS('Wind Proxy'!$H$8:$H$19,'Wind Proxy'!$A$8:$A$19,Estimator!$B$4,'Wind Proxy'!$B$8:$B$19,C5503)</f>
        <v>0</v>
      </c>
    </row>
    <row r="5504" spans="1:10" ht="14.4">
      <c r="A5504" s="84">
        <v>51155</v>
      </c>
      <c r="B5504" s="85">
        <v>2040</v>
      </c>
      <c r="C5504" s="85">
        <v>1</v>
      </c>
      <c r="D5504" s="85" t="s">
        <v>55</v>
      </c>
      <c r="E5504" s="85">
        <v>20</v>
      </c>
      <c r="F5504" s="85">
        <v>5</v>
      </c>
      <c r="G5504" s="85">
        <f>--(F5504&lt;=Estimator!$B$7)</f>
        <v>1</v>
      </c>
      <c r="H5504" s="86">
        <f>SUMIFS('Climate Data'!$G$7:$G$366,'Climate Data'!$A$7:$A$366,Estimator!$B$4,'Climate Data'!$B$7:$B$366,C5504)</f>
        <v>0.19462365591397848</v>
      </c>
      <c r="I5504" s="87">
        <f>SUMIFS('Climate Data'!$H$7:$H$366,'Climate Data'!$A$7:$A$366,Estimator!$B$4,'Climate Data'!$B$7:$B$366,C5504)</f>
        <v>7.027624309392265</v>
      </c>
      <c r="J5504" s="86">
        <f>SUMIFS('Wind Proxy'!$H$8:$H$19,'Wind Proxy'!$A$8:$A$19,Estimator!$B$4,'Wind Proxy'!$B$8:$B$19,C5504)</f>
        <v>0</v>
      </c>
    </row>
    <row r="5505" spans="1:10" ht="14.4">
      <c r="A5505" s="84">
        <v>51156</v>
      </c>
      <c r="B5505" s="85">
        <v>2040</v>
      </c>
      <c r="C5505" s="85">
        <v>1</v>
      </c>
      <c r="D5505" s="85" t="s">
        <v>55</v>
      </c>
      <c r="E5505" s="85">
        <v>21</v>
      </c>
      <c r="F5505" s="85">
        <v>6</v>
      </c>
      <c r="G5505" s="85">
        <f>--(F5505&lt;=Estimator!$B$7)</f>
        <v>0</v>
      </c>
      <c r="H5505" s="86">
        <f>SUMIFS('Climate Data'!$G$7:$G$366,'Climate Data'!$A$7:$A$366,Estimator!$B$4,'Climate Data'!$B$7:$B$366,C5505)</f>
        <v>0.19462365591397848</v>
      </c>
      <c r="I5505" s="87">
        <f>SUMIFS('Climate Data'!$H$7:$H$366,'Climate Data'!$A$7:$A$366,Estimator!$B$4,'Climate Data'!$B$7:$B$366,C5505)</f>
        <v>7.027624309392265</v>
      </c>
      <c r="J5505" s="86">
        <f>SUMIFS('Wind Proxy'!$H$8:$H$19,'Wind Proxy'!$A$8:$A$19,Estimator!$B$4,'Wind Proxy'!$B$8:$B$19,C5505)</f>
        <v>0</v>
      </c>
    </row>
    <row r="5506" spans="1:10" ht="14.4">
      <c r="A5506" s="84">
        <v>51157</v>
      </c>
      <c r="B5506" s="85">
        <v>2040</v>
      </c>
      <c r="C5506" s="85">
        <v>1</v>
      </c>
      <c r="D5506" s="85" t="s">
        <v>55</v>
      </c>
      <c r="E5506" s="85">
        <v>22</v>
      </c>
      <c r="F5506" s="85">
        <v>7</v>
      </c>
      <c r="G5506" s="85">
        <f>--(F5506&lt;=Estimator!$B$7)</f>
        <v>0</v>
      </c>
      <c r="H5506" s="86">
        <f>SUMIFS('Climate Data'!$G$7:$G$366,'Climate Data'!$A$7:$A$366,Estimator!$B$4,'Climate Data'!$B$7:$B$366,C5506)</f>
        <v>0.19462365591397848</v>
      </c>
      <c r="I5506" s="87">
        <f>SUMIFS('Climate Data'!$H$7:$H$366,'Climate Data'!$A$7:$A$366,Estimator!$B$4,'Climate Data'!$B$7:$B$366,C5506)</f>
        <v>7.027624309392265</v>
      </c>
      <c r="J5506" s="86">
        <f>SUMIFS('Wind Proxy'!$H$8:$H$19,'Wind Proxy'!$A$8:$A$19,Estimator!$B$4,'Wind Proxy'!$B$8:$B$19,C5506)</f>
        <v>0</v>
      </c>
    </row>
    <row r="5507" spans="1:10" ht="14.4">
      <c r="A5507" s="84">
        <v>51158</v>
      </c>
      <c r="B5507" s="85">
        <v>2040</v>
      </c>
      <c r="C5507" s="85">
        <v>1</v>
      </c>
      <c r="D5507" s="85" t="s">
        <v>55</v>
      </c>
      <c r="E5507" s="85">
        <v>23</v>
      </c>
      <c r="F5507" s="85">
        <v>1</v>
      </c>
      <c r="G5507" s="85">
        <f>--(F5507&lt;=Estimator!$B$7)</f>
        <v>1</v>
      </c>
      <c r="H5507" s="86">
        <f>SUMIFS('Climate Data'!$G$7:$G$366,'Climate Data'!$A$7:$A$366,Estimator!$B$4,'Climate Data'!$B$7:$B$366,C5507)</f>
        <v>0.19462365591397848</v>
      </c>
      <c r="I5507" s="87">
        <f>SUMIFS('Climate Data'!$H$7:$H$366,'Climate Data'!$A$7:$A$366,Estimator!$B$4,'Climate Data'!$B$7:$B$366,C5507)</f>
        <v>7.027624309392265</v>
      </c>
      <c r="J5507" s="86">
        <f>SUMIFS('Wind Proxy'!$H$8:$H$19,'Wind Proxy'!$A$8:$A$19,Estimator!$B$4,'Wind Proxy'!$B$8:$B$19,C5507)</f>
        <v>0</v>
      </c>
    </row>
    <row r="5508" spans="1:10" ht="14.4">
      <c r="A5508" s="84">
        <v>51159</v>
      </c>
      <c r="B5508" s="85">
        <v>2040</v>
      </c>
      <c r="C5508" s="85">
        <v>1</v>
      </c>
      <c r="D5508" s="85" t="s">
        <v>55</v>
      </c>
      <c r="E5508" s="85">
        <v>24</v>
      </c>
      <c r="F5508" s="85">
        <v>2</v>
      </c>
      <c r="G5508" s="85">
        <f>--(F5508&lt;=Estimator!$B$7)</f>
        <v>1</v>
      </c>
      <c r="H5508" s="86">
        <f>SUMIFS('Climate Data'!$G$7:$G$366,'Climate Data'!$A$7:$A$366,Estimator!$B$4,'Climate Data'!$B$7:$B$366,C5508)</f>
        <v>0.19462365591397848</v>
      </c>
      <c r="I5508" s="87">
        <f>SUMIFS('Climate Data'!$H$7:$H$366,'Climate Data'!$A$7:$A$366,Estimator!$B$4,'Climate Data'!$B$7:$B$366,C5508)</f>
        <v>7.027624309392265</v>
      </c>
      <c r="J5508" s="86">
        <f>SUMIFS('Wind Proxy'!$H$8:$H$19,'Wind Proxy'!$A$8:$A$19,Estimator!$B$4,'Wind Proxy'!$B$8:$B$19,C5508)</f>
        <v>0</v>
      </c>
    </row>
    <row r="5509" spans="1:10" ht="14.4">
      <c r="A5509" s="84">
        <v>51160</v>
      </c>
      <c r="B5509" s="85">
        <v>2040</v>
      </c>
      <c r="C5509" s="85">
        <v>1</v>
      </c>
      <c r="D5509" s="85" t="s">
        <v>55</v>
      </c>
      <c r="E5509" s="85">
        <v>25</v>
      </c>
      <c r="F5509" s="85">
        <v>3</v>
      </c>
      <c r="G5509" s="85">
        <f>--(F5509&lt;=Estimator!$B$7)</f>
        <v>1</v>
      </c>
      <c r="H5509" s="86">
        <f>SUMIFS('Climate Data'!$G$7:$G$366,'Climate Data'!$A$7:$A$366,Estimator!$B$4,'Climate Data'!$B$7:$B$366,C5509)</f>
        <v>0.19462365591397848</v>
      </c>
      <c r="I5509" s="87">
        <f>SUMIFS('Climate Data'!$H$7:$H$366,'Climate Data'!$A$7:$A$366,Estimator!$B$4,'Climate Data'!$B$7:$B$366,C5509)</f>
        <v>7.027624309392265</v>
      </c>
      <c r="J5509" s="86">
        <f>SUMIFS('Wind Proxy'!$H$8:$H$19,'Wind Proxy'!$A$8:$A$19,Estimator!$B$4,'Wind Proxy'!$B$8:$B$19,C5509)</f>
        <v>0</v>
      </c>
    </row>
    <row r="5510" spans="1:10" ht="14.4">
      <c r="A5510" s="84">
        <v>51161</v>
      </c>
      <c r="B5510" s="85">
        <v>2040</v>
      </c>
      <c r="C5510" s="85">
        <v>1</v>
      </c>
      <c r="D5510" s="85" t="s">
        <v>55</v>
      </c>
      <c r="E5510" s="85">
        <v>26</v>
      </c>
      <c r="F5510" s="85">
        <v>4</v>
      </c>
      <c r="G5510" s="85">
        <f>--(F5510&lt;=Estimator!$B$7)</f>
        <v>1</v>
      </c>
      <c r="H5510" s="86">
        <f>SUMIFS('Climate Data'!$G$7:$G$366,'Climate Data'!$A$7:$A$366,Estimator!$B$4,'Climate Data'!$B$7:$B$366,C5510)</f>
        <v>0.19462365591397848</v>
      </c>
      <c r="I5510" s="87">
        <f>SUMIFS('Climate Data'!$H$7:$H$366,'Climate Data'!$A$7:$A$366,Estimator!$B$4,'Climate Data'!$B$7:$B$366,C5510)</f>
        <v>7.027624309392265</v>
      </c>
      <c r="J5510" s="86">
        <f>SUMIFS('Wind Proxy'!$H$8:$H$19,'Wind Proxy'!$A$8:$A$19,Estimator!$B$4,'Wind Proxy'!$B$8:$B$19,C5510)</f>
        <v>0</v>
      </c>
    </row>
    <row r="5511" spans="1:10" ht="14.4">
      <c r="A5511" s="84">
        <v>51162</v>
      </c>
      <c r="B5511" s="85">
        <v>2040</v>
      </c>
      <c r="C5511" s="85">
        <v>1</v>
      </c>
      <c r="D5511" s="85" t="s">
        <v>55</v>
      </c>
      <c r="E5511" s="85">
        <v>27</v>
      </c>
      <c r="F5511" s="85">
        <v>5</v>
      </c>
      <c r="G5511" s="85">
        <f>--(F5511&lt;=Estimator!$B$7)</f>
        <v>1</v>
      </c>
      <c r="H5511" s="86">
        <f>SUMIFS('Climate Data'!$G$7:$G$366,'Climate Data'!$A$7:$A$366,Estimator!$B$4,'Climate Data'!$B$7:$B$366,C5511)</f>
        <v>0.19462365591397848</v>
      </c>
      <c r="I5511" s="87">
        <f>SUMIFS('Climate Data'!$H$7:$H$366,'Climate Data'!$A$7:$A$366,Estimator!$B$4,'Climate Data'!$B$7:$B$366,C5511)</f>
        <v>7.027624309392265</v>
      </c>
      <c r="J5511" s="86">
        <f>SUMIFS('Wind Proxy'!$H$8:$H$19,'Wind Proxy'!$A$8:$A$19,Estimator!$B$4,'Wind Proxy'!$B$8:$B$19,C5511)</f>
        <v>0</v>
      </c>
    </row>
    <row r="5512" spans="1:10" ht="14.4">
      <c r="A5512" s="84">
        <v>51163</v>
      </c>
      <c r="B5512" s="85">
        <v>2040</v>
      </c>
      <c r="C5512" s="85">
        <v>1</v>
      </c>
      <c r="D5512" s="85" t="s">
        <v>55</v>
      </c>
      <c r="E5512" s="85">
        <v>28</v>
      </c>
      <c r="F5512" s="85">
        <v>6</v>
      </c>
      <c r="G5512" s="85">
        <f>--(F5512&lt;=Estimator!$B$7)</f>
        <v>0</v>
      </c>
      <c r="H5512" s="86">
        <f>SUMIFS('Climate Data'!$G$7:$G$366,'Climate Data'!$A$7:$A$366,Estimator!$B$4,'Climate Data'!$B$7:$B$366,C5512)</f>
        <v>0.19462365591397848</v>
      </c>
      <c r="I5512" s="87">
        <f>SUMIFS('Climate Data'!$H$7:$H$366,'Climate Data'!$A$7:$A$366,Estimator!$B$4,'Climate Data'!$B$7:$B$366,C5512)</f>
        <v>7.027624309392265</v>
      </c>
      <c r="J5512" s="86">
        <f>SUMIFS('Wind Proxy'!$H$8:$H$19,'Wind Proxy'!$A$8:$A$19,Estimator!$B$4,'Wind Proxy'!$B$8:$B$19,C5512)</f>
        <v>0</v>
      </c>
    </row>
    <row r="5513" spans="1:10" ht="14.4">
      <c r="A5513" s="84">
        <v>51164</v>
      </c>
      <c r="B5513" s="85">
        <v>2040</v>
      </c>
      <c r="C5513" s="85">
        <v>1</v>
      </c>
      <c r="D5513" s="85" t="s">
        <v>55</v>
      </c>
      <c r="E5513" s="85">
        <v>29</v>
      </c>
      <c r="F5513" s="85">
        <v>7</v>
      </c>
      <c r="G5513" s="85">
        <f>--(F5513&lt;=Estimator!$B$7)</f>
        <v>0</v>
      </c>
      <c r="H5513" s="86">
        <f>SUMIFS('Climate Data'!$G$7:$G$366,'Climate Data'!$A$7:$A$366,Estimator!$B$4,'Climate Data'!$B$7:$B$366,C5513)</f>
        <v>0.19462365591397848</v>
      </c>
      <c r="I5513" s="87">
        <f>SUMIFS('Climate Data'!$H$7:$H$366,'Climate Data'!$A$7:$A$366,Estimator!$B$4,'Climate Data'!$B$7:$B$366,C5513)</f>
        <v>7.027624309392265</v>
      </c>
      <c r="J5513" s="86">
        <f>SUMIFS('Wind Proxy'!$H$8:$H$19,'Wind Proxy'!$A$8:$A$19,Estimator!$B$4,'Wind Proxy'!$B$8:$B$19,C5513)</f>
        <v>0</v>
      </c>
    </row>
    <row r="5514" spans="1:10" ht="14.4">
      <c r="A5514" s="84">
        <v>51165</v>
      </c>
      <c r="B5514" s="85">
        <v>2040</v>
      </c>
      <c r="C5514" s="85">
        <v>1</v>
      </c>
      <c r="D5514" s="85" t="s">
        <v>55</v>
      </c>
      <c r="E5514" s="85">
        <v>30</v>
      </c>
      <c r="F5514" s="85">
        <v>1</v>
      </c>
      <c r="G5514" s="85">
        <f>--(F5514&lt;=Estimator!$B$7)</f>
        <v>1</v>
      </c>
      <c r="H5514" s="86">
        <f>SUMIFS('Climate Data'!$G$7:$G$366,'Climate Data'!$A$7:$A$366,Estimator!$B$4,'Climate Data'!$B$7:$B$366,C5514)</f>
        <v>0.19462365591397848</v>
      </c>
      <c r="I5514" s="87">
        <f>SUMIFS('Climate Data'!$H$7:$H$366,'Climate Data'!$A$7:$A$366,Estimator!$B$4,'Climate Data'!$B$7:$B$366,C5514)</f>
        <v>7.027624309392265</v>
      </c>
      <c r="J5514" s="86">
        <f>SUMIFS('Wind Proxy'!$H$8:$H$19,'Wind Proxy'!$A$8:$A$19,Estimator!$B$4,'Wind Proxy'!$B$8:$B$19,C5514)</f>
        <v>0</v>
      </c>
    </row>
    <row r="5515" spans="1:10" ht="14.4">
      <c r="A5515" s="84">
        <v>51166</v>
      </c>
      <c r="B5515" s="85">
        <v>2040</v>
      </c>
      <c r="C5515" s="85">
        <v>1</v>
      </c>
      <c r="D5515" s="85" t="s">
        <v>55</v>
      </c>
      <c r="E5515" s="85">
        <v>31</v>
      </c>
      <c r="F5515" s="85">
        <v>2</v>
      </c>
      <c r="G5515" s="85">
        <f>--(F5515&lt;=Estimator!$B$7)</f>
        <v>1</v>
      </c>
      <c r="H5515" s="86">
        <f>SUMIFS('Climate Data'!$G$7:$G$366,'Climate Data'!$A$7:$A$366,Estimator!$B$4,'Climate Data'!$B$7:$B$366,C5515)</f>
        <v>0.19462365591397848</v>
      </c>
      <c r="I5515" s="87">
        <f>SUMIFS('Climate Data'!$H$7:$H$366,'Climate Data'!$A$7:$A$366,Estimator!$B$4,'Climate Data'!$B$7:$B$366,C5515)</f>
        <v>7.027624309392265</v>
      </c>
      <c r="J5515" s="86">
        <f>SUMIFS('Wind Proxy'!$H$8:$H$19,'Wind Proxy'!$A$8:$A$19,Estimator!$B$4,'Wind Proxy'!$B$8:$B$19,C5515)</f>
        <v>0</v>
      </c>
    </row>
    <row r="5516" spans="1:10" ht="14.4">
      <c r="A5516" s="84">
        <v>51167</v>
      </c>
      <c r="B5516" s="85">
        <v>2040</v>
      </c>
      <c r="C5516" s="85">
        <v>2</v>
      </c>
      <c r="D5516" s="85" t="s">
        <v>58</v>
      </c>
      <c r="E5516" s="85">
        <v>1</v>
      </c>
      <c r="F5516" s="85">
        <v>3</v>
      </c>
      <c r="G5516" s="85">
        <f>--(F5516&lt;=Estimator!$B$7)</f>
        <v>1</v>
      </c>
      <c r="H5516" s="86">
        <f>SUMIFS('Climate Data'!$G$7:$G$366,'Climate Data'!$A$7:$A$366,Estimator!$B$4,'Climate Data'!$B$7:$B$366,C5516)</f>
        <v>0.18867924528301885</v>
      </c>
      <c r="I5516" s="87">
        <f>SUMIFS('Climate Data'!$H$7:$H$366,'Climate Data'!$A$7:$A$366,Estimator!$B$4,'Climate Data'!$B$7:$B$366,C5516)</f>
        <v>7.4624999999999995</v>
      </c>
      <c r="J5516" s="86">
        <f>SUMIFS('Wind Proxy'!$H$8:$H$19,'Wind Proxy'!$A$8:$A$19,Estimator!$B$4,'Wind Proxy'!$B$8:$B$19,C5516)</f>
        <v>0</v>
      </c>
    </row>
    <row r="5517" spans="1:10" ht="14.4">
      <c r="A5517" s="84">
        <v>51168</v>
      </c>
      <c r="B5517" s="85">
        <v>2040</v>
      </c>
      <c r="C5517" s="85">
        <v>2</v>
      </c>
      <c r="D5517" s="85" t="s">
        <v>58</v>
      </c>
      <c r="E5517" s="85">
        <v>2</v>
      </c>
      <c r="F5517" s="85">
        <v>4</v>
      </c>
      <c r="G5517" s="85">
        <f>--(F5517&lt;=Estimator!$B$7)</f>
        <v>1</v>
      </c>
      <c r="H5517" s="86">
        <f>SUMIFS('Climate Data'!$G$7:$G$366,'Climate Data'!$A$7:$A$366,Estimator!$B$4,'Climate Data'!$B$7:$B$366,C5517)</f>
        <v>0.18867924528301885</v>
      </c>
      <c r="I5517" s="87">
        <f>SUMIFS('Climate Data'!$H$7:$H$366,'Climate Data'!$A$7:$A$366,Estimator!$B$4,'Climate Data'!$B$7:$B$366,C5517)</f>
        <v>7.4624999999999995</v>
      </c>
      <c r="J5517" s="86">
        <f>SUMIFS('Wind Proxy'!$H$8:$H$19,'Wind Proxy'!$A$8:$A$19,Estimator!$B$4,'Wind Proxy'!$B$8:$B$19,C5517)</f>
        <v>0</v>
      </c>
    </row>
    <row r="5518" spans="1:10" ht="14.4">
      <c r="A5518" s="84">
        <v>51169</v>
      </c>
      <c r="B5518" s="85">
        <v>2040</v>
      </c>
      <c r="C5518" s="85">
        <v>2</v>
      </c>
      <c r="D5518" s="85" t="s">
        <v>58</v>
      </c>
      <c r="E5518" s="85">
        <v>3</v>
      </c>
      <c r="F5518" s="85">
        <v>5</v>
      </c>
      <c r="G5518" s="85">
        <f>--(F5518&lt;=Estimator!$B$7)</f>
        <v>1</v>
      </c>
      <c r="H5518" s="86">
        <f>SUMIFS('Climate Data'!$G$7:$G$366,'Climate Data'!$A$7:$A$366,Estimator!$B$4,'Climate Data'!$B$7:$B$366,C5518)</f>
        <v>0.18867924528301885</v>
      </c>
      <c r="I5518" s="87">
        <f>SUMIFS('Climate Data'!$H$7:$H$366,'Climate Data'!$A$7:$A$366,Estimator!$B$4,'Climate Data'!$B$7:$B$366,C5518)</f>
        <v>7.4624999999999995</v>
      </c>
      <c r="J5518" s="86">
        <f>SUMIFS('Wind Proxy'!$H$8:$H$19,'Wind Proxy'!$A$8:$A$19,Estimator!$B$4,'Wind Proxy'!$B$8:$B$19,C5518)</f>
        <v>0</v>
      </c>
    </row>
    <row r="5519" spans="1:10" ht="14.4">
      <c r="A5519" s="84">
        <v>51170</v>
      </c>
      <c r="B5519" s="85">
        <v>2040</v>
      </c>
      <c r="C5519" s="85">
        <v>2</v>
      </c>
      <c r="D5519" s="85" t="s">
        <v>58</v>
      </c>
      <c r="E5519" s="85">
        <v>4</v>
      </c>
      <c r="F5519" s="85">
        <v>6</v>
      </c>
      <c r="G5519" s="85">
        <f>--(F5519&lt;=Estimator!$B$7)</f>
        <v>0</v>
      </c>
      <c r="H5519" s="86">
        <f>SUMIFS('Climate Data'!$G$7:$G$366,'Climate Data'!$A$7:$A$366,Estimator!$B$4,'Climate Data'!$B$7:$B$366,C5519)</f>
        <v>0.18867924528301885</v>
      </c>
      <c r="I5519" s="87">
        <f>SUMIFS('Climate Data'!$H$7:$H$366,'Climate Data'!$A$7:$A$366,Estimator!$B$4,'Climate Data'!$B$7:$B$366,C5519)</f>
        <v>7.4624999999999995</v>
      </c>
      <c r="J5519" s="86">
        <f>SUMIFS('Wind Proxy'!$H$8:$H$19,'Wind Proxy'!$A$8:$A$19,Estimator!$B$4,'Wind Proxy'!$B$8:$B$19,C5519)</f>
        <v>0</v>
      </c>
    </row>
    <row r="5520" spans="1:10" ht="14.4">
      <c r="A5520" s="84">
        <v>51171</v>
      </c>
      <c r="B5520" s="85">
        <v>2040</v>
      </c>
      <c r="C5520" s="85">
        <v>2</v>
      </c>
      <c r="D5520" s="85" t="s">
        <v>58</v>
      </c>
      <c r="E5520" s="85">
        <v>5</v>
      </c>
      <c r="F5520" s="85">
        <v>7</v>
      </c>
      <c r="G5520" s="85">
        <f>--(F5520&lt;=Estimator!$B$7)</f>
        <v>0</v>
      </c>
      <c r="H5520" s="86">
        <f>SUMIFS('Climate Data'!$G$7:$G$366,'Climate Data'!$A$7:$A$366,Estimator!$B$4,'Climate Data'!$B$7:$B$366,C5520)</f>
        <v>0.18867924528301885</v>
      </c>
      <c r="I5520" s="87">
        <f>SUMIFS('Climate Data'!$H$7:$H$366,'Climate Data'!$A$7:$A$366,Estimator!$B$4,'Climate Data'!$B$7:$B$366,C5520)</f>
        <v>7.4624999999999995</v>
      </c>
      <c r="J5520" s="86">
        <f>SUMIFS('Wind Proxy'!$H$8:$H$19,'Wind Proxy'!$A$8:$A$19,Estimator!$B$4,'Wind Proxy'!$B$8:$B$19,C5520)</f>
        <v>0</v>
      </c>
    </row>
    <row r="5521" spans="1:10" ht="14.4">
      <c r="A5521" s="84">
        <v>51172</v>
      </c>
      <c r="B5521" s="85">
        <v>2040</v>
      </c>
      <c r="C5521" s="85">
        <v>2</v>
      </c>
      <c r="D5521" s="85" t="s">
        <v>58</v>
      </c>
      <c r="E5521" s="85">
        <v>6</v>
      </c>
      <c r="F5521" s="85">
        <v>1</v>
      </c>
      <c r="G5521" s="85">
        <f>--(F5521&lt;=Estimator!$B$7)</f>
        <v>1</v>
      </c>
      <c r="H5521" s="86">
        <f>SUMIFS('Climate Data'!$G$7:$G$366,'Climate Data'!$A$7:$A$366,Estimator!$B$4,'Climate Data'!$B$7:$B$366,C5521)</f>
        <v>0.18867924528301885</v>
      </c>
      <c r="I5521" s="87">
        <f>SUMIFS('Climate Data'!$H$7:$H$366,'Climate Data'!$A$7:$A$366,Estimator!$B$4,'Climate Data'!$B$7:$B$366,C5521)</f>
        <v>7.4624999999999995</v>
      </c>
      <c r="J5521" s="86">
        <f>SUMIFS('Wind Proxy'!$H$8:$H$19,'Wind Proxy'!$A$8:$A$19,Estimator!$B$4,'Wind Proxy'!$B$8:$B$19,C5521)</f>
        <v>0</v>
      </c>
    </row>
    <row r="5522" spans="1:10" ht="14.4">
      <c r="A5522" s="84">
        <v>51173</v>
      </c>
      <c r="B5522" s="85">
        <v>2040</v>
      </c>
      <c r="C5522" s="85">
        <v>2</v>
      </c>
      <c r="D5522" s="85" t="s">
        <v>58</v>
      </c>
      <c r="E5522" s="85">
        <v>7</v>
      </c>
      <c r="F5522" s="85">
        <v>2</v>
      </c>
      <c r="G5522" s="85">
        <f>--(F5522&lt;=Estimator!$B$7)</f>
        <v>1</v>
      </c>
      <c r="H5522" s="86">
        <f>SUMIFS('Climate Data'!$G$7:$G$366,'Climate Data'!$A$7:$A$366,Estimator!$B$4,'Climate Data'!$B$7:$B$366,C5522)</f>
        <v>0.18867924528301885</v>
      </c>
      <c r="I5522" s="87">
        <f>SUMIFS('Climate Data'!$H$7:$H$366,'Climate Data'!$A$7:$A$366,Estimator!$B$4,'Climate Data'!$B$7:$B$366,C5522)</f>
        <v>7.4624999999999995</v>
      </c>
      <c r="J5522" s="86">
        <f>SUMIFS('Wind Proxy'!$H$8:$H$19,'Wind Proxy'!$A$8:$A$19,Estimator!$B$4,'Wind Proxy'!$B$8:$B$19,C5522)</f>
        <v>0</v>
      </c>
    </row>
    <row r="5523" spans="1:10" ht="14.4">
      <c r="A5523" s="84">
        <v>51174</v>
      </c>
      <c r="B5523" s="85">
        <v>2040</v>
      </c>
      <c r="C5523" s="85">
        <v>2</v>
      </c>
      <c r="D5523" s="85" t="s">
        <v>58</v>
      </c>
      <c r="E5523" s="85">
        <v>8</v>
      </c>
      <c r="F5523" s="85">
        <v>3</v>
      </c>
      <c r="G5523" s="85">
        <f>--(F5523&lt;=Estimator!$B$7)</f>
        <v>1</v>
      </c>
      <c r="H5523" s="86">
        <f>SUMIFS('Climate Data'!$G$7:$G$366,'Climate Data'!$A$7:$A$366,Estimator!$B$4,'Climate Data'!$B$7:$B$366,C5523)</f>
        <v>0.18867924528301885</v>
      </c>
      <c r="I5523" s="87">
        <f>SUMIFS('Climate Data'!$H$7:$H$366,'Climate Data'!$A$7:$A$366,Estimator!$B$4,'Climate Data'!$B$7:$B$366,C5523)</f>
        <v>7.4624999999999995</v>
      </c>
      <c r="J5523" s="86">
        <f>SUMIFS('Wind Proxy'!$H$8:$H$19,'Wind Proxy'!$A$8:$A$19,Estimator!$B$4,'Wind Proxy'!$B$8:$B$19,C5523)</f>
        <v>0</v>
      </c>
    </row>
    <row r="5524" spans="1:10" ht="14.4">
      <c r="A5524" s="84">
        <v>51175</v>
      </c>
      <c r="B5524" s="85">
        <v>2040</v>
      </c>
      <c r="C5524" s="85">
        <v>2</v>
      </c>
      <c r="D5524" s="85" t="s">
        <v>58</v>
      </c>
      <c r="E5524" s="85">
        <v>9</v>
      </c>
      <c r="F5524" s="85">
        <v>4</v>
      </c>
      <c r="G5524" s="85">
        <f>--(F5524&lt;=Estimator!$B$7)</f>
        <v>1</v>
      </c>
      <c r="H5524" s="86">
        <f>SUMIFS('Climate Data'!$G$7:$G$366,'Climate Data'!$A$7:$A$366,Estimator!$B$4,'Climate Data'!$B$7:$B$366,C5524)</f>
        <v>0.18867924528301885</v>
      </c>
      <c r="I5524" s="87">
        <f>SUMIFS('Climate Data'!$H$7:$H$366,'Climate Data'!$A$7:$A$366,Estimator!$B$4,'Climate Data'!$B$7:$B$366,C5524)</f>
        <v>7.4624999999999995</v>
      </c>
      <c r="J5524" s="86">
        <f>SUMIFS('Wind Proxy'!$H$8:$H$19,'Wind Proxy'!$A$8:$A$19,Estimator!$B$4,'Wind Proxy'!$B$8:$B$19,C5524)</f>
        <v>0</v>
      </c>
    </row>
    <row r="5525" spans="1:10" ht="14.4">
      <c r="A5525" s="84">
        <v>51176</v>
      </c>
      <c r="B5525" s="85">
        <v>2040</v>
      </c>
      <c r="C5525" s="85">
        <v>2</v>
      </c>
      <c r="D5525" s="85" t="s">
        <v>58</v>
      </c>
      <c r="E5525" s="85">
        <v>10</v>
      </c>
      <c r="F5525" s="85">
        <v>5</v>
      </c>
      <c r="G5525" s="85">
        <f>--(F5525&lt;=Estimator!$B$7)</f>
        <v>1</v>
      </c>
      <c r="H5525" s="86">
        <f>SUMIFS('Climate Data'!$G$7:$G$366,'Climate Data'!$A$7:$A$366,Estimator!$B$4,'Climate Data'!$B$7:$B$366,C5525)</f>
        <v>0.18867924528301885</v>
      </c>
      <c r="I5525" s="87">
        <f>SUMIFS('Climate Data'!$H$7:$H$366,'Climate Data'!$A$7:$A$366,Estimator!$B$4,'Climate Data'!$B$7:$B$366,C5525)</f>
        <v>7.4624999999999995</v>
      </c>
      <c r="J5525" s="86">
        <f>SUMIFS('Wind Proxy'!$H$8:$H$19,'Wind Proxy'!$A$8:$A$19,Estimator!$B$4,'Wind Proxy'!$B$8:$B$19,C5525)</f>
        <v>0</v>
      </c>
    </row>
    <row r="5526" spans="1:10" ht="14.4">
      <c r="A5526" s="84">
        <v>51177</v>
      </c>
      <c r="B5526" s="85">
        <v>2040</v>
      </c>
      <c r="C5526" s="85">
        <v>2</v>
      </c>
      <c r="D5526" s="85" t="s">
        <v>58</v>
      </c>
      <c r="E5526" s="85">
        <v>11</v>
      </c>
      <c r="F5526" s="85">
        <v>6</v>
      </c>
      <c r="G5526" s="85">
        <f>--(F5526&lt;=Estimator!$B$7)</f>
        <v>0</v>
      </c>
      <c r="H5526" s="86">
        <f>SUMIFS('Climate Data'!$G$7:$G$366,'Climate Data'!$A$7:$A$366,Estimator!$B$4,'Climate Data'!$B$7:$B$366,C5526)</f>
        <v>0.18867924528301885</v>
      </c>
      <c r="I5526" s="87">
        <f>SUMIFS('Climate Data'!$H$7:$H$366,'Climate Data'!$A$7:$A$366,Estimator!$B$4,'Climate Data'!$B$7:$B$366,C5526)</f>
        <v>7.4624999999999995</v>
      </c>
      <c r="J5526" s="86">
        <f>SUMIFS('Wind Proxy'!$H$8:$H$19,'Wind Proxy'!$A$8:$A$19,Estimator!$B$4,'Wind Proxy'!$B$8:$B$19,C5526)</f>
        <v>0</v>
      </c>
    </row>
    <row r="5527" spans="1:10" ht="14.4">
      <c r="A5527" s="84">
        <v>51178</v>
      </c>
      <c r="B5527" s="85">
        <v>2040</v>
      </c>
      <c r="C5527" s="85">
        <v>2</v>
      </c>
      <c r="D5527" s="85" t="s">
        <v>58</v>
      </c>
      <c r="E5527" s="85">
        <v>12</v>
      </c>
      <c r="F5527" s="85">
        <v>7</v>
      </c>
      <c r="G5527" s="85">
        <f>--(F5527&lt;=Estimator!$B$7)</f>
        <v>0</v>
      </c>
      <c r="H5527" s="86">
        <f>SUMIFS('Climate Data'!$G$7:$G$366,'Climate Data'!$A$7:$A$366,Estimator!$B$4,'Climate Data'!$B$7:$B$366,C5527)</f>
        <v>0.18867924528301885</v>
      </c>
      <c r="I5527" s="87">
        <f>SUMIFS('Climate Data'!$H$7:$H$366,'Climate Data'!$A$7:$A$366,Estimator!$B$4,'Climate Data'!$B$7:$B$366,C5527)</f>
        <v>7.4624999999999995</v>
      </c>
      <c r="J5527" s="86">
        <f>SUMIFS('Wind Proxy'!$H$8:$H$19,'Wind Proxy'!$A$8:$A$19,Estimator!$B$4,'Wind Proxy'!$B$8:$B$19,C5527)</f>
        <v>0</v>
      </c>
    </row>
    <row r="5528" spans="1:10" ht="14.4">
      <c r="A5528" s="84">
        <v>51179</v>
      </c>
      <c r="B5528" s="85">
        <v>2040</v>
      </c>
      <c r="C5528" s="85">
        <v>2</v>
      </c>
      <c r="D5528" s="85" t="s">
        <v>58</v>
      </c>
      <c r="E5528" s="85">
        <v>13</v>
      </c>
      <c r="F5528" s="85">
        <v>1</v>
      </c>
      <c r="G5528" s="85">
        <f>--(F5528&lt;=Estimator!$B$7)</f>
        <v>1</v>
      </c>
      <c r="H5528" s="86">
        <f>SUMIFS('Climate Data'!$G$7:$G$366,'Climate Data'!$A$7:$A$366,Estimator!$B$4,'Climate Data'!$B$7:$B$366,C5528)</f>
        <v>0.18867924528301885</v>
      </c>
      <c r="I5528" s="87">
        <f>SUMIFS('Climate Data'!$H$7:$H$366,'Climate Data'!$A$7:$A$366,Estimator!$B$4,'Climate Data'!$B$7:$B$366,C5528)</f>
        <v>7.4624999999999995</v>
      </c>
      <c r="J5528" s="86">
        <f>SUMIFS('Wind Proxy'!$H$8:$H$19,'Wind Proxy'!$A$8:$A$19,Estimator!$B$4,'Wind Proxy'!$B$8:$B$19,C5528)</f>
        <v>0</v>
      </c>
    </row>
    <row r="5529" spans="1:10" ht="14.4">
      <c r="A5529" s="84">
        <v>51180</v>
      </c>
      <c r="B5529" s="85">
        <v>2040</v>
      </c>
      <c r="C5529" s="85">
        <v>2</v>
      </c>
      <c r="D5529" s="85" t="s">
        <v>58</v>
      </c>
      <c r="E5529" s="85">
        <v>14</v>
      </c>
      <c r="F5529" s="85">
        <v>2</v>
      </c>
      <c r="G5529" s="85">
        <f>--(F5529&lt;=Estimator!$B$7)</f>
        <v>1</v>
      </c>
      <c r="H5529" s="86">
        <f>SUMIFS('Climate Data'!$G$7:$G$366,'Climate Data'!$A$7:$A$366,Estimator!$B$4,'Climate Data'!$B$7:$B$366,C5529)</f>
        <v>0.18867924528301885</v>
      </c>
      <c r="I5529" s="87">
        <f>SUMIFS('Climate Data'!$H$7:$H$366,'Climate Data'!$A$7:$A$366,Estimator!$B$4,'Climate Data'!$B$7:$B$366,C5529)</f>
        <v>7.4624999999999995</v>
      </c>
      <c r="J5529" s="86">
        <f>SUMIFS('Wind Proxy'!$H$8:$H$19,'Wind Proxy'!$A$8:$A$19,Estimator!$B$4,'Wind Proxy'!$B$8:$B$19,C5529)</f>
        <v>0</v>
      </c>
    </row>
    <row r="5530" spans="1:10" ht="14.4">
      <c r="A5530" s="84">
        <v>51181</v>
      </c>
      <c r="B5530" s="85">
        <v>2040</v>
      </c>
      <c r="C5530" s="85">
        <v>2</v>
      </c>
      <c r="D5530" s="85" t="s">
        <v>58</v>
      </c>
      <c r="E5530" s="85">
        <v>15</v>
      </c>
      <c r="F5530" s="85">
        <v>3</v>
      </c>
      <c r="G5530" s="85">
        <f>--(F5530&lt;=Estimator!$B$7)</f>
        <v>1</v>
      </c>
      <c r="H5530" s="86">
        <f>SUMIFS('Climate Data'!$G$7:$G$366,'Climate Data'!$A$7:$A$366,Estimator!$B$4,'Climate Data'!$B$7:$B$366,C5530)</f>
        <v>0.18867924528301885</v>
      </c>
      <c r="I5530" s="87">
        <f>SUMIFS('Climate Data'!$H$7:$H$366,'Climate Data'!$A$7:$A$366,Estimator!$B$4,'Climate Data'!$B$7:$B$366,C5530)</f>
        <v>7.4624999999999995</v>
      </c>
      <c r="J5530" s="86">
        <f>SUMIFS('Wind Proxy'!$H$8:$H$19,'Wind Proxy'!$A$8:$A$19,Estimator!$B$4,'Wind Proxy'!$B$8:$B$19,C5530)</f>
        <v>0</v>
      </c>
    </row>
    <row r="5531" spans="1:10" ht="14.4">
      <c r="A5531" s="84">
        <v>51182</v>
      </c>
      <c r="B5531" s="85">
        <v>2040</v>
      </c>
      <c r="C5531" s="85">
        <v>2</v>
      </c>
      <c r="D5531" s="85" t="s">
        <v>58</v>
      </c>
      <c r="E5531" s="85">
        <v>16</v>
      </c>
      <c r="F5531" s="85">
        <v>4</v>
      </c>
      <c r="G5531" s="85">
        <f>--(F5531&lt;=Estimator!$B$7)</f>
        <v>1</v>
      </c>
      <c r="H5531" s="86">
        <f>SUMIFS('Climate Data'!$G$7:$G$366,'Climate Data'!$A$7:$A$366,Estimator!$B$4,'Climate Data'!$B$7:$B$366,C5531)</f>
        <v>0.18867924528301885</v>
      </c>
      <c r="I5531" s="87">
        <f>SUMIFS('Climate Data'!$H$7:$H$366,'Climate Data'!$A$7:$A$366,Estimator!$B$4,'Climate Data'!$B$7:$B$366,C5531)</f>
        <v>7.4624999999999995</v>
      </c>
      <c r="J5531" s="86">
        <f>SUMIFS('Wind Proxy'!$H$8:$H$19,'Wind Proxy'!$A$8:$A$19,Estimator!$B$4,'Wind Proxy'!$B$8:$B$19,C5531)</f>
        <v>0</v>
      </c>
    </row>
    <row r="5532" spans="1:10" ht="14.4">
      <c r="A5532" s="84">
        <v>51183</v>
      </c>
      <c r="B5532" s="85">
        <v>2040</v>
      </c>
      <c r="C5532" s="85">
        <v>2</v>
      </c>
      <c r="D5532" s="85" t="s">
        <v>58</v>
      </c>
      <c r="E5532" s="85">
        <v>17</v>
      </c>
      <c r="F5532" s="85">
        <v>5</v>
      </c>
      <c r="G5532" s="85">
        <f>--(F5532&lt;=Estimator!$B$7)</f>
        <v>1</v>
      </c>
      <c r="H5532" s="86">
        <f>SUMIFS('Climate Data'!$G$7:$G$366,'Climate Data'!$A$7:$A$366,Estimator!$B$4,'Climate Data'!$B$7:$B$366,C5532)</f>
        <v>0.18867924528301885</v>
      </c>
      <c r="I5532" s="87">
        <f>SUMIFS('Climate Data'!$H$7:$H$366,'Climate Data'!$A$7:$A$366,Estimator!$B$4,'Climate Data'!$B$7:$B$366,C5532)</f>
        <v>7.4624999999999995</v>
      </c>
      <c r="J5532" s="86">
        <f>SUMIFS('Wind Proxy'!$H$8:$H$19,'Wind Proxy'!$A$8:$A$19,Estimator!$B$4,'Wind Proxy'!$B$8:$B$19,C5532)</f>
        <v>0</v>
      </c>
    </row>
    <row r="5533" spans="1:10" ht="14.4">
      <c r="A5533" s="84">
        <v>51184</v>
      </c>
      <c r="B5533" s="85">
        <v>2040</v>
      </c>
      <c r="C5533" s="85">
        <v>2</v>
      </c>
      <c r="D5533" s="85" t="s">
        <v>58</v>
      </c>
      <c r="E5533" s="85">
        <v>18</v>
      </c>
      <c r="F5533" s="85">
        <v>6</v>
      </c>
      <c r="G5533" s="85">
        <f>--(F5533&lt;=Estimator!$B$7)</f>
        <v>0</v>
      </c>
      <c r="H5533" s="86">
        <f>SUMIFS('Climate Data'!$G$7:$G$366,'Climate Data'!$A$7:$A$366,Estimator!$B$4,'Climate Data'!$B$7:$B$366,C5533)</f>
        <v>0.18867924528301885</v>
      </c>
      <c r="I5533" s="87">
        <f>SUMIFS('Climate Data'!$H$7:$H$366,'Climate Data'!$A$7:$A$366,Estimator!$B$4,'Climate Data'!$B$7:$B$366,C5533)</f>
        <v>7.4624999999999995</v>
      </c>
      <c r="J5533" s="86">
        <f>SUMIFS('Wind Proxy'!$H$8:$H$19,'Wind Proxy'!$A$8:$A$19,Estimator!$B$4,'Wind Proxy'!$B$8:$B$19,C5533)</f>
        <v>0</v>
      </c>
    </row>
    <row r="5534" spans="1:10" ht="14.4">
      <c r="A5534" s="84">
        <v>51185</v>
      </c>
      <c r="B5534" s="85">
        <v>2040</v>
      </c>
      <c r="C5534" s="85">
        <v>2</v>
      </c>
      <c r="D5534" s="85" t="s">
        <v>58</v>
      </c>
      <c r="E5534" s="85">
        <v>19</v>
      </c>
      <c r="F5534" s="85">
        <v>7</v>
      </c>
      <c r="G5534" s="85">
        <f>--(F5534&lt;=Estimator!$B$7)</f>
        <v>0</v>
      </c>
      <c r="H5534" s="86">
        <f>SUMIFS('Climate Data'!$G$7:$G$366,'Climate Data'!$A$7:$A$366,Estimator!$B$4,'Climate Data'!$B$7:$B$366,C5534)</f>
        <v>0.18867924528301885</v>
      </c>
      <c r="I5534" s="87">
        <f>SUMIFS('Climate Data'!$H$7:$H$366,'Climate Data'!$A$7:$A$366,Estimator!$B$4,'Climate Data'!$B$7:$B$366,C5534)</f>
        <v>7.4624999999999995</v>
      </c>
      <c r="J5534" s="86">
        <f>SUMIFS('Wind Proxy'!$H$8:$H$19,'Wind Proxy'!$A$8:$A$19,Estimator!$B$4,'Wind Proxy'!$B$8:$B$19,C5534)</f>
        <v>0</v>
      </c>
    </row>
    <row r="5535" spans="1:10" ht="14.4">
      <c r="A5535" s="84">
        <v>51186</v>
      </c>
      <c r="B5535" s="85">
        <v>2040</v>
      </c>
      <c r="C5535" s="85">
        <v>2</v>
      </c>
      <c r="D5535" s="85" t="s">
        <v>58</v>
      </c>
      <c r="E5535" s="85">
        <v>20</v>
      </c>
      <c r="F5535" s="85">
        <v>1</v>
      </c>
      <c r="G5535" s="85">
        <f>--(F5535&lt;=Estimator!$B$7)</f>
        <v>1</v>
      </c>
      <c r="H5535" s="86">
        <f>SUMIFS('Climate Data'!$G$7:$G$366,'Climate Data'!$A$7:$A$366,Estimator!$B$4,'Climate Data'!$B$7:$B$366,C5535)</f>
        <v>0.18867924528301885</v>
      </c>
      <c r="I5535" s="87">
        <f>SUMIFS('Climate Data'!$H$7:$H$366,'Climate Data'!$A$7:$A$366,Estimator!$B$4,'Climate Data'!$B$7:$B$366,C5535)</f>
        <v>7.4624999999999995</v>
      </c>
      <c r="J5535" s="86">
        <f>SUMIFS('Wind Proxy'!$H$8:$H$19,'Wind Proxy'!$A$8:$A$19,Estimator!$B$4,'Wind Proxy'!$B$8:$B$19,C5535)</f>
        <v>0</v>
      </c>
    </row>
    <row r="5536" spans="1:10" ht="14.4">
      <c r="A5536" s="84">
        <v>51187</v>
      </c>
      <c r="B5536" s="85">
        <v>2040</v>
      </c>
      <c r="C5536" s="85">
        <v>2</v>
      </c>
      <c r="D5536" s="85" t="s">
        <v>58</v>
      </c>
      <c r="E5536" s="85">
        <v>21</v>
      </c>
      <c r="F5536" s="85">
        <v>2</v>
      </c>
      <c r="G5536" s="85">
        <f>--(F5536&lt;=Estimator!$B$7)</f>
        <v>1</v>
      </c>
      <c r="H5536" s="86">
        <f>SUMIFS('Climate Data'!$G$7:$G$366,'Climate Data'!$A$7:$A$366,Estimator!$B$4,'Climate Data'!$B$7:$B$366,C5536)</f>
        <v>0.18867924528301885</v>
      </c>
      <c r="I5536" s="87">
        <f>SUMIFS('Climate Data'!$H$7:$H$366,'Climate Data'!$A$7:$A$366,Estimator!$B$4,'Climate Data'!$B$7:$B$366,C5536)</f>
        <v>7.4624999999999995</v>
      </c>
      <c r="J5536" s="86">
        <f>SUMIFS('Wind Proxy'!$H$8:$H$19,'Wind Proxy'!$A$8:$A$19,Estimator!$B$4,'Wind Proxy'!$B$8:$B$19,C5536)</f>
        <v>0</v>
      </c>
    </row>
    <row r="5537" spans="1:10" ht="14.4">
      <c r="A5537" s="84">
        <v>51188</v>
      </c>
      <c r="B5537" s="85">
        <v>2040</v>
      </c>
      <c r="C5537" s="85">
        <v>2</v>
      </c>
      <c r="D5537" s="85" t="s">
        <v>58</v>
      </c>
      <c r="E5537" s="85">
        <v>22</v>
      </c>
      <c r="F5537" s="85">
        <v>3</v>
      </c>
      <c r="G5537" s="85">
        <f>--(F5537&lt;=Estimator!$B$7)</f>
        <v>1</v>
      </c>
      <c r="H5537" s="86">
        <f>SUMIFS('Climate Data'!$G$7:$G$366,'Climate Data'!$A$7:$A$366,Estimator!$B$4,'Climate Data'!$B$7:$B$366,C5537)</f>
        <v>0.18867924528301885</v>
      </c>
      <c r="I5537" s="87">
        <f>SUMIFS('Climate Data'!$H$7:$H$366,'Climate Data'!$A$7:$A$366,Estimator!$B$4,'Climate Data'!$B$7:$B$366,C5537)</f>
        <v>7.4624999999999995</v>
      </c>
      <c r="J5537" s="86">
        <f>SUMIFS('Wind Proxy'!$H$8:$H$19,'Wind Proxy'!$A$8:$A$19,Estimator!$B$4,'Wind Proxy'!$B$8:$B$19,C5537)</f>
        <v>0</v>
      </c>
    </row>
    <row r="5538" spans="1:10" ht="14.4">
      <c r="A5538" s="84">
        <v>51189</v>
      </c>
      <c r="B5538" s="85">
        <v>2040</v>
      </c>
      <c r="C5538" s="85">
        <v>2</v>
      </c>
      <c r="D5538" s="85" t="s">
        <v>58</v>
      </c>
      <c r="E5538" s="85">
        <v>23</v>
      </c>
      <c r="F5538" s="85">
        <v>4</v>
      </c>
      <c r="G5538" s="85">
        <f>--(F5538&lt;=Estimator!$B$7)</f>
        <v>1</v>
      </c>
      <c r="H5538" s="86">
        <f>SUMIFS('Climate Data'!$G$7:$G$366,'Climate Data'!$A$7:$A$366,Estimator!$B$4,'Climate Data'!$B$7:$B$366,C5538)</f>
        <v>0.18867924528301885</v>
      </c>
      <c r="I5538" s="87">
        <f>SUMIFS('Climate Data'!$H$7:$H$366,'Climate Data'!$A$7:$A$366,Estimator!$B$4,'Climate Data'!$B$7:$B$366,C5538)</f>
        <v>7.4624999999999995</v>
      </c>
      <c r="J5538" s="86">
        <f>SUMIFS('Wind Proxy'!$H$8:$H$19,'Wind Proxy'!$A$8:$A$19,Estimator!$B$4,'Wind Proxy'!$B$8:$B$19,C5538)</f>
        <v>0</v>
      </c>
    </row>
    <row r="5539" spans="1:10" ht="14.4">
      <c r="A5539" s="84">
        <v>51190</v>
      </c>
      <c r="B5539" s="85">
        <v>2040</v>
      </c>
      <c r="C5539" s="85">
        <v>2</v>
      </c>
      <c r="D5539" s="85" t="s">
        <v>58</v>
      </c>
      <c r="E5539" s="85">
        <v>24</v>
      </c>
      <c r="F5539" s="85">
        <v>5</v>
      </c>
      <c r="G5539" s="85">
        <f>--(F5539&lt;=Estimator!$B$7)</f>
        <v>1</v>
      </c>
      <c r="H5539" s="86">
        <f>SUMIFS('Climate Data'!$G$7:$G$366,'Climate Data'!$A$7:$A$366,Estimator!$B$4,'Climate Data'!$B$7:$B$366,C5539)</f>
        <v>0.18867924528301885</v>
      </c>
      <c r="I5539" s="87">
        <f>SUMIFS('Climate Data'!$H$7:$H$366,'Climate Data'!$A$7:$A$366,Estimator!$B$4,'Climate Data'!$B$7:$B$366,C5539)</f>
        <v>7.4624999999999995</v>
      </c>
      <c r="J5539" s="86">
        <f>SUMIFS('Wind Proxy'!$H$8:$H$19,'Wind Proxy'!$A$8:$A$19,Estimator!$B$4,'Wind Proxy'!$B$8:$B$19,C5539)</f>
        <v>0</v>
      </c>
    </row>
    <row r="5540" spans="1:10" ht="14.4">
      <c r="A5540" s="84">
        <v>51191</v>
      </c>
      <c r="B5540" s="85">
        <v>2040</v>
      </c>
      <c r="C5540" s="85">
        <v>2</v>
      </c>
      <c r="D5540" s="85" t="s">
        <v>58</v>
      </c>
      <c r="E5540" s="85">
        <v>25</v>
      </c>
      <c r="F5540" s="85">
        <v>6</v>
      </c>
      <c r="G5540" s="85">
        <f>--(F5540&lt;=Estimator!$B$7)</f>
        <v>0</v>
      </c>
      <c r="H5540" s="86">
        <f>SUMIFS('Climate Data'!$G$7:$G$366,'Climate Data'!$A$7:$A$366,Estimator!$B$4,'Climate Data'!$B$7:$B$366,C5540)</f>
        <v>0.18867924528301885</v>
      </c>
      <c r="I5540" s="87">
        <f>SUMIFS('Climate Data'!$H$7:$H$366,'Climate Data'!$A$7:$A$366,Estimator!$B$4,'Climate Data'!$B$7:$B$366,C5540)</f>
        <v>7.4624999999999995</v>
      </c>
      <c r="J5540" s="86">
        <f>SUMIFS('Wind Proxy'!$H$8:$H$19,'Wind Proxy'!$A$8:$A$19,Estimator!$B$4,'Wind Proxy'!$B$8:$B$19,C5540)</f>
        <v>0</v>
      </c>
    </row>
    <row r="5541" spans="1:10" ht="14.4">
      <c r="A5541" s="84">
        <v>51192</v>
      </c>
      <c r="B5541" s="85">
        <v>2040</v>
      </c>
      <c r="C5541" s="85">
        <v>2</v>
      </c>
      <c r="D5541" s="85" t="s">
        <v>58</v>
      </c>
      <c r="E5541" s="85">
        <v>26</v>
      </c>
      <c r="F5541" s="85">
        <v>7</v>
      </c>
      <c r="G5541" s="85">
        <f>--(F5541&lt;=Estimator!$B$7)</f>
        <v>0</v>
      </c>
      <c r="H5541" s="86">
        <f>SUMIFS('Climate Data'!$G$7:$G$366,'Climate Data'!$A$7:$A$366,Estimator!$B$4,'Climate Data'!$B$7:$B$366,C5541)</f>
        <v>0.18867924528301885</v>
      </c>
      <c r="I5541" s="87">
        <f>SUMIFS('Climate Data'!$H$7:$H$366,'Climate Data'!$A$7:$A$366,Estimator!$B$4,'Climate Data'!$B$7:$B$366,C5541)</f>
        <v>7.4624999999999995</v>
      </c>
      <c r="J5541" s="86">
        <f>SUMIFS('Wind Proxy'!$H$8:$H$19,'Wind Proxy'!$A$8:$A$19,Estimator!$B$4,'Wind Proxy'!$B$8:$B$19,C5541)</f>
        <v>0</v>
      </c>
    </row>
    <row r="5542" spans="1:10" ht="14.4">
      <c r="A5542" s="84">
        <v>51193</v>
      </c>
      <c r="B5542" s="85">
        <v>2040</v>
      </c>
      <c r="C5542" s="85">
        <v>2</v>
      </c>
      <c r="D5542" s="85" t="s">
        <v>58</v>
      </c>
      <c r="E5542" s="85">
        <v>27</v>
      </c>
      <c r="F5542" s="85">
        <v>1</v>
      </c>
      <c r="G5542" s="85">
        <f>--(F5542&lt;=Estimator!$B$7)</f>
        <v>1</v>
      </c>
      <c r="H5542" s="86">
        <f>SUMIFS('Climate Data'!$G$7:$G$366,'Climate Data'!$A$7:$A$366,Estimator!$B$4,'Climate Data'!$B$7:$B$366,C5542)</f>
        <v>0.18867924528301885</v>
      </c>
      <c r="I5542" s="87">
        <f>SUMIFS('Climate Data'!$H$7:$H$366,'Climate Data'!$A$7:$A$366,Estimator!$B$4,'Climate Data'!$B$7:$B$366,C5542)</f>
        <v>7.4624999999999995</v>
      </c>
      <c r="J5542" s="86">
        <f>SUMIFS('Wind Proxy'!$H$8:$H$19,'Wind Proxy'!$A$8:$A$19,Estimator!$B$4,'Wind Proxy'!$B$8:$B$19,C5542)</f>
        <v>0</v>
      </c>
    </row>
    <row r="5543" spans="1:10" ht="14.4">
      <c r="A5543" s="84">
        <v>51194</v>
      </c>
      <c r="B5543" s="85">
        <v>2040</v>
      </c>
      <c r="C5543" s="85">
        <v>2</v>
      </c>
      <c r="D5543" s="85" t="s">
        <v>58</v>
      </c>
      <c r="E5543" s="85">
        <v>28</v>
      </c>
      <c r="F5543" s="85">
        <v>2</v>
      </c>
      <c r="G5543" s="85">
        <f>--(F5543&lt;=Estimator!$B$7)</f>
        <v>1</v>
      </c>
      <c r="H5543" s="86">
        <f>SUMIFS('Climate Data'!$G$7:$G$366,'Climate Data'!$A$7:$A$366,Estimator!$B$4,'Climate Data'!$B$7:$B$366,C5543)</f>
        <v>0.18867924528301885</v>
      </c>
      <c r="I5543" s="87">
        <f>SUMIFS('Climate Data'!$H$7:$H$366,'Climate Data'!$A$7:$A$366,Estimator!$B$4,'Climate Data'!$B$7:$B$366,C5543)</f>
        <v>7.4624999999999995</v>
      </c>
      <c r="J5543" s="86">
        <f>SUMIFS('Wind Proxy'!$H$8:$H$19,'Wind Proxy'!$A$8:$A$19,Estimator!$B$4,'Wind Proxy'!$B$8:$B$19,C5543)</f>
        <v>0</v>
      </c>
    </row>
    <row r="5544" spans="1:10" ht="14.4">
      <c r="A5544" s="84">
        <v>51195</v>
      </c>
      <c r="B5544" s="85">
        <v>2040</v>
      </c>
      <c r="C5544" s="85">
        <v>2</v>
      </c>
      <c r="D5544" s="85" t="s">
        <v>58</v>
      </c>
      <c r="E5544" s="85">
        <v>29</v>
      </c>
      <c r="F5544" s="85">
        <v>3</v>
      </c>
      <c r="G5544" s="85">
        <f>--(F5544&lt;=Estimator!$B$7)</f>
        <v>1</v>
      </c>
      <c r="H5544" s="86">
        <f>SUMIFS('Climate Data'!$G$7:$G$366,'Climate Data'!$A$7:$A$366,Estimator!$B$4,'Climate Data'!$B$7:$B$366,C5544)</f>
        <v>0.18867924528301885</v>
      </c>
      <c r="I5544" s="87">
        <f>SUMIFS('Climate Data'!$H$7:$H$366,'Climate Data'!$A$7:$A$366,Estimator!$B$4,'Climate Data'!$B$7:$B$366,C5544)</f>
        <v>7.4624999999999995</v>
      </c>
      <c r="J5544" s="86">
        <f>SUMIFS('Wind Proxy'!$H$8:$H$19,'Wind Proxy'!$A$8:$A$19,Estimator!$B$4,'Wind Proxy'!$B$8:$B$19,C5544)</f>
        <v>0</v>
      </c>
    </row>
    <row r="5545" spans="1:10" ht="14.4">
      <c r="A5545" s="84">
        <v>51196</v>
      </c>
      <c r="B5545" s="85">
        <v>2040</v>
      </c>
      <c r="C5545" s="85">
        <v>3</v>
      </c>
      <c r="D5545" s="85" t="s">
        <v>60</v>
      </c>
      <c r="E5545" s="85">
        <v>1</v>
      </c>
      <c r="F5545" s="85">
        <v>4</v>
      </c>
      <c r="G5545" s="85">
        <f>--(F5545&lt;=Estimator!$B$7)</f>
        <v>1</v>
      </c>
      <c r="H5545" s="86">
        <f>SUMIFS('Climate Data'!$G$7:$G$366,'Climate Data'!$A$7:$A$366,Estimator!$B$4,'Climate Data'!$B$7:$B$366,C5545)</f>
        <v>0.18494623655913978</v>
      </c>
      <c r="I5545" s="87">
        <f>SUMIFS('Climate Data'!$H$7:$H$366,'Climate Data'!$A$7:$A$366,Estimator!$B$4,'Climate Data'!$B$7:$B$366,C5545)</f>
        <v>7.8662790697674421</v>
      </c>
      <c r="J5545" s="86">
        <f>SUMIFS('Wind Proxy'!$H$8:$H$19,'Wind Proxy'!$A$8:$A$19,Estimator!$B$4,'Wind Proxy'!$B$8:$B$19,C5545)</f>
        <v>0</v>
      </c>
    </row>
    <row r="5546" spans="1:10" ht="14.4">
      <c r="A5546" s="84">
        <v>51197</v>
      </c>
      <c r="B5546" s="85">
        <v>2040</v>
      </c>
      <c r="C5546" s="85">
        <v>3</v>
      </c>
      <c r="D5546" s="85" t="s">
        <v>60</v>
      </c>
      <c r="E5546" s="85">
        <v>2</v>
      </c>
      <c r="F5546" s="85">
        <v>5</v>
      </c>
      <c r="G5546" s="85">
        <f>--(F5546&lt;=Estimator!$B$7)</f>
        <v>1</v>
      </c>
      <c r="H5546" s="86">
        <f>SUMIFS('Climate Data'!$G$7:$G$366,'Climate Data'!$A$7:$A$366,Estimator!$B$4,'Climate Data'!$B$7:$B$366,C5546)</f>
        <v>0.18494623655913978</v>
      </c>
      <c r="I5546" s="87">
        <f>SUMIFS('Climate Data'!$H$7:$H$366,'Climate Data'!$A$7:$A$366,Estimator!$B$4,'Climate Data'!$B$7:$B$366,C5546)</f>
        <v>7.8662790697674421</v>
      </c>
      <c r="J5546" s="86">
        <f>SUMIFS('Wind Proxy'!$H$8:$H$19,'Wind Proxy'!$A$8:$A$19,Estimator!$B$4,'Wind Proxy'!$B$8:$B$19,C5546)</f>
        <v>0</v>
      </c>
    </row>
    <row r="5547" spans="1:10" ht="14.4">
      <c r="A5547" s="84">
        <v>51198</v>
      </c>
      <c r="B5547" s="85">
        <v>2040</v>
      </c>
      <c r="C5547" s="85">
        <v>3</v>
      </c>
      <c r="D5547" s="85" t="s">
        <v>60</v>
      </c>
      <c r="E5547" s="85">
        <v>3</v>
      </c>
      <c r="F5547" s="85">
        <v>6</v>
      </c>
      <c r="G5547" s="85">
        <f>--(F5547&lt;=Estimator!$B$7)</f>
        <v>0</v>
      </c>
      <c r="H5547" s="86">
        <f>SUMIFS('Climate Data'!$G$7:$G$366,'Climate Data'!$A$7:$A$366,Estimator!$B$4,'Climate Data'!$B$7:$B$366,C5547)</f>
        <v>0.18494623655913978</v>
      </c>
      <c r="I5547" s="87">
        <f>SUMIFS('Climate Data'!$H$7:$H$366,'Climate Data'!$A$7:$A$366,Estimator!$B$4,'Climate Data'!$B$7:$B$366,C5547)</f>
        <v>7.8662790697674421</v>
      </c>
      <c r="J5547" s="86">
        <f>SUMIFS('Wind Proxy'!$H$8:$H$19,'Wind Proxy'!$A$8:$A$19,Estimator!$B$4,'Wind Proxy'!$B$8:$B$19,C5547)</f>
        <v>0</v>
      </c>
    </row>
    <row r="5548" spans="1:10" ht="14.4">
      <c r="A5548" s="84">
        <v>51199</v>
      </c>
      <c r="B5548" s="85">
        <v>2040</v>
      </c>
      <c r="C5548" s="85">
        <v>3</v>
      </c>
      <c r="D5548" s="85" t="s">
        <v>60</v>
      </c>
      <c r="E5548" s="85">
        <v>4</v>
      </c>
      <c r="F5548" s="85">
        <v>7</v>
      </c>
      <c r="G5548" s="85">
        <f>--(F5548&lt;=Estimator!$B$7)</f>
        <v>0</v>
      </c>
      <c r="H5548" s="86">
        <f>SUMIFS('Climate Data'!$G$7:$G$366,'Climate Data'!$A$7:$A$366,Estimator!$B$4,'Climate Data'!$B$7:$B$366,C5548)</f>
        <v>0.18494623655913978</v>
      </c>
      <c r="I5548" s="87">
        <f>SUMIFS('Climate Data'!$H$7:$H$366,'Climate Data'!$A$7:$A$366,Estimator!$B$4,'Climate Data'!$B$7:$B$366,C5548)</f>
        <v>7.8662790697674421</v>
      </c>
      <c r="J5548" s="86">
        <f>SUMIFS('Wind Proxy'!$H$8:$H$19,'Wind Proxy'!$A$8:$A$19,Estimator!$B$4,'Wind Proxy'!$B$8:$B$19,C5548)</f>
        <v>0</v>
      </c>
    </row>
    <row r="5549" spans="1:10" ht="14.4">
      <c r="A5549" s="84">
        <v>51200</v>
      </c>
      <c r="B5549" s="85">
        <v>2040</v>
      </c>
      <c r="C5549" s="85">
        <v>3</v>
      </c>
      <c r="D5549" s="85" t="s">
        <v>60</v>
      </c>
      <c r="E5549" s="85">
        <v>5</v>
      </c>
      <c r="F5549" s="85">
        <v>1</v>
      </c>
      <c r="G5549" s="85">
        <f>--(F5549&lt;=Estimator!$B$7)</f>
        <v>1</v>
      </c>
      <c r="H5549" s="86">
        <f>SUMIFS('Climate Data'!$G$7:$G$366,'Climate Data'!$A$7:$A$366,Estimator!$B$4,'Climate Data'!$B$7:$B$366,C5549)</f>
        <v>0.18494623655913978</v>
      </c>
      <c r="I5549" s="87">
        <f>SUMIFS('Climate Data'!$H$7:$H$366,'Climate Data'!$A$7:$A$366,Estimator!$B$4,'Climate Data'!$B$7:$B$366,C5549)</f>
        <v>7.8662790697674421</v>
      </c>
      <c r="J5549" s="86">
        <f>SUMIFS('Wind Proxy'!$H$8:$H$19,'Wind Proxy'!$A$8:$A$19,Estimator!$B$4,'Wind Proxy'!$B$8:$B$19,C5549)</f>
        <v>0</v>
      </c>
    </row>
    <row r="5550" spans="1:10" ht="14.4">
      <c r="A5550" s="84">
        <v>51201</v>
      </c>
      <c r="B5550" s="85">
        <v>2040</v>
      </c>
      <c r="C5550" s="85">
        <v>3</v>
      </c>
      <c r="D5550" s="85" t="s">
        <v>60</v>
      </c>
      <c r="E5550" s="85">
        <v>6</v>
      </c>
      <c r="F5550" s="85">
        <v>2</v>
      </c>
      <c r="G5550" s="85">
        <f>--(F5550&lt;=Estimator!$B$7)</f>
        <v>1</v>
      </c>
      <c r="H5550" s="86">
        <f>SUMIFS('Climate Data'!$G$7:$G$366,'Climate Data'!$A$7:$A$366,Estimator!$B$4,'Climate Data'!$B$7:$B$366,C5550)</f>
        <v>0.18494623655913978</v>
      </c>
      <c r="I5550" s="87">
        <f>SUMIFS('Climate Data'!$H$7:$H$366,'Climate Data'!$A$7:$A$366,Estimator!$B$4,'Climate Data'!$B$7:$B$366,C5550)</f>
        <v>7.8662790697674421</v>
      </c>
      <c r="J5550" s="86">
        <f>SUMIFS('Wind Proxy'!$H$8:$H$19,'Wind Proxy'!$A$8:$A$19,Estimator!$B$4,'Wind Proxy'!$B$8:$B$19,C5550)</f>
        <v>0</v>
      </c>
    </row>
    <row r="5551" spans="1:10" ht="14.4">
      <c r="A5551" s="84">
        <v>51202</v>
      </c>
      <c r="B5551" s="85">
        <v>2040</v>
      </c>
      <c r="C5551" s="85">
        <v>3</v>
      </c>
      <c r="D5551" s="85" t="s">
        <v>60</v>
      </c>
      <c r="E5551" s="85">
        <v>7</v>
      </c>
      <c r="F5551" s="85">
        <v>3</v>
      </c>
      <c r="G5551" s="85">
        <f>--(F5551&lt;=Estimator!$B$7)</f>
        <v>1</v>
      </c>
      <c r="H5551" s="86">
        <f>SUMIFS('Climate Data'!$G$7:$G$366,'Climate Data'!$A$7:$A$366,Estimator!$B$4,'Climate Data'!$B$7:$B$366,C5551)</f>
        <v>0.18494623655913978</v>
      </c>
      <c r="I5551" s="87">
        <f>SUMIFS('Climate Data'!$H$7:$H$366,'Climate Data'!$A$7:$A$366,Estimator!$B$4,'Climate Data'!$B$7:$B$366,C5551)</f>
        <v>7.8662790697674421</v>
      </c>
      <c r="J5551" s="86">
        <f>SUMIFS('Wind Proxy'!$H$8:$H$19,'Wind Proxy'!$A$8:$A$19,Estimator!$B$4,'Wind Proxy'!$B$8:$B$19,C5551)</f>
        <v>0</v>
      </c>
    </row>
    <row r="5552" spans="1:10" ht="14.4">
      <c r="A5552" s="84">
        <v>51203</v>
      </c>
      <c r="B5552" s="85">
        <v>2040</v>
      </c>
      <c r="C5552" s="85">
        <v>3</v>
      </c>
      <c r="D5552" s="85" t="s">
        <v>60</v>
      </c>
      <c r="E5552" s="85">
        <v>8</v>
      </c>
      <c r="F5552" s="85">
        <v>4</v>
      </c>
      <c r="G5552" s="85">
        <f>--(F5552&lt;=Estimator!$B$7)</f>
        <v>1</v>
      </c>
      <c r="H5552" s="86">
        <f>SUMIFS('Climate Data'!$G$7:$G$366,'Climate Data'!$A$7:$A$366,Estimator!$B$4,'Climate Data'!$B$7:$B$366,C5552)</f>
        <v>0.18494623655913978</v>
      </c>
      <c r="I5552" s="87">
        <f>SUMIFS('Climate Data'!$H$7:$H$366,'Climate Data'!$A$7:$A$366,Estimator!$B$4,'Climate Data'!$B$7:$B$366,C5552)</f>
        <v>7.8662790697674421</v>
      </c>
      <c r="J5552" s="86">
        <f>SUMIFS('Wind Proxy'!$H$8:$H$19,'Wind Proxy'!$A$8:$A$19,Estimator!$B$4,'Wind Proxy'!$B$8:$B$19,C5552)</f>
        <v>0</v>
      </c>
    </row>
    <row r="5553" spans="1:10" ht="14.4">
      <c r="A5553" s="84">
        <v>51204</v>
      </c>
      <c r="B5553" s="85">
        <v>2040</v>
      </c>
      <c r="C5553" s="85">
        <v>3</v>
      </c>
      <c r="D5553" s="85" t="s">
        <v>60</v>
      </c>
      <c r="E5553" s="85">
        <v>9</v>
      </c>
      <c r="F5553" s="85">
        <v>5</v>
      </c>
      <c r="G5553" s="85">
        <f>--(F5553&lt;=Estimator!$B$7)</f>
        <v>1</v>
      </c>
      <c r="H5553" s="86">
        <f>SUMIFS('Climate Data'!$G$7:$G$366,'Climate Data'!$A$7:$A$366,Estimator!$B$4,'Climate Data'!$B$7:$B$366,C5553)</f>
        <v>0.18494623655913978</v>
      </c>
      <c r="I5553" s="87">
        <f>SUMIFS('Climate Data'!$H$7:$H$366,'Climate Data'!$A$7:$A$366,Estimator!$B$4,'Climate Data'!$B$7:$B$366,C5553)</f>
        <v>7.8662790697674421</v>
      </c>
      <c r="J5553" s="86">
        <f>SUMIFS('Wind Proxy'!$H$8:$H$19,'Wind Proxy'!$A$8:$A$19,Estimator!$B$4,'Wind Proxy'!$B$8:$B$19,C5553)</f>
        <v>0</v>
      </c>
    </row>
    <row r="5554" spans="1:10" ht="14.4">
      <c r="A5554" s="84">
        <v>51205</v>
      </c>
      <c r="B5554" s="85">
        <v>2040</v>
      </c>
      <c r="C5554" s="85">
        <v>3</v>
      </c>
      <c r="D5554" s="85" t="s">
        <v>60</v>
      </c>
      <c r="E5554" s="85">
        <v>10</v>
      </c>
      <c r="F5554" s="85">
        <v>6</v>
      </c>
      <c r="G5554" s="85">
        <f>--(F5554&lt;=Estimator!$B$7)</f>
        <v>0</v>
      </c>
      <c r="H5554" s="86">
        <f>SUMIFS('Climate Data'!$G$7:$G$366,'Climate Data'!$A$7:$A$366,Estimator!$B$4,'Climate Data'!$B$7:$B$366,C5554)</f>
        <v>0.18494623655913978</v>
      </c>
      <c r="I5554" s="87">
        <f>SUMIFS('Climate Data'!$H$7:$H$366,'Climate Data'!$A$7:$A$366,Estimator!$B$4,'Climate Data'!$B$7:$B$366,C5554)</f>
        <v>7.8662790697674421</v>
      </c>
      <c r="J5554" s="86">
        <f>SUMIFS('Wind Proxy'!$H$8:$H$19,'Wind Proxy'!$A$8:$A$19,Estimator!$B$4,'Wind Proxy'!$B$8:$B$19,C5554)</f>
        <v>0</v>
      </c>
    </row>
    <row r="5555" spans="1:10" ht="14.4">
      <c r="A5555" s="84">
        <v>51206</v>
      </c>
      <c r="B5555" s="85">
        <v>2040</v>
      </c>
      <c r="C5555" s="85">
        <v>3</v>
      </c>
      <c r="D5555" s="85" t="s">
        <v>60</v>
      </c>
      <c r="E5555" s="85">
        <v>11</v>
      </c>
      <c r="F5555" s="85">
        <v>7</v>
      </c>
      <c r="G5555" s="85">
        <f>--(F5555&lt;=Estimator!$B$7)</f>
        <v>0</v>
      </c>
      <c r="H5555" s="86">
        <f>SUMIFS('Climate Data'!$G$7:$G$366,'Climate Data'!$A$7:$A$366,Estimator!$B$4,'Climate Data'!$B$7:$B$366,C5555)</f>
        <v>0.18494623655913978</v>
      </c>
      <c r="I5555" s="87">
        <f>SUMIFS('Climate Data'!$H$7:$H$366,'Climate Data'!$A$7:$A$366,Estimator!$B$4,'Climate Data'!$B$7:$B$366,C5555)</f>
        <v>7.8662790697674421</v>
      </c>
      <c r="J5555" s="86">
        <f>SUMIFS('Wind Proxy'!$H$8:$H$19,'Wind Proxy'!$A$8:$A$19,Estimator!$B$4,'Wind Proxy'!$B$8:$B$19,C5555)</f>
        <v>0</v>
      </c>
    </row>
    <row r="5556" spans="1:10" ht="14.4">
      <c r="A5556" s="84">
        <v>51207</v>
      </c>
      <c r="B5556" s="85">
        <v>2040</v>
      </c>
      <c r="C5556" s="85">
        <v>3</v>
      </c>
      <c r="D5556" s="85" t="s">
        <v>60</v>
      </c>
      <c r="E5556" s="85">
        <v>12</v>
      </c>
      <c r="F5556" s="85">
        <v>1</v>
      </c>
      <c r="G5556" s="85">
        <f>--(F5556&lt;=Estimator!$B$7)</f>
        <v>1</v>
      </c>
      <c r="H5556" s="86">
        <f>SUMIFS('Climate Data'!$G$7:$G$366,'Climate Data'!$A$7:$A$366,Estimator!$B$4,'Climate Data'!$B$7:$B$366,C5556)</f>
        <v>0.18494623655913978</v>
      </c>
      <c r="I5556" s="87">
        <f>SUMIFS('Climate Data'!$H$7:$H$366,'Climate Data'!$A$7:$A$366,Estimator!$B$4,'Climate Data'!$B$7:$B$366,C5556)</f>
        <v>7.8662790697674421</v>
      </c>
      <c r="J5556" s="86">
        <f>SUMIFS('Wind Proxy'!$H$8:$H$19,'Wind Proxy'!$A$8:$A$19,Estimator!$B$4,'Wind Proxy'!$B$8:$B$19,C5556)</f>
        <v>0</v>
      </c>
    </row>
    <row r="5557" spans="1:10" ht="14.4">
      <c r="A5557" s="84">
        <v>51208</v>
      </c>
      <c r="B5557" s="85">
        <v>2040</v>
      </c>
      <c r="C5557" s="85">
        <v>3</v>
      </c>
      <c r="D5557" s="85" t="s">
        <v>60</v>
      </c>
      <c r="E5557" s="85">
        <v>13</v>
      </c>
      <c r="F5557" s="85">
        <v>2</v>
      </c>
      <c r="G5557" s="85">
        <f>--(F5557&lt;=Estimator!$B$7)</f>
        <v>1</v>
      </c>
      <c r="H5557" s="86">
        <f>SUMIFS('Climate Data'!$G$7:$G$366,'Climate Data'!$A$7:$A$366,Estimator!$B$4,'Climate Data'!$B$7:$B$366,C5557)</f>
        <v>0.18494623655913978</v>
      </c>
      <c r="I5557" s="87">
        <f>SUMIFS('Climate Data'!$H$7:$H$366,'Climate Data'!$A$7:$A$366,Estimator!$B$4,'Climate Data'!$B$7:$B$366,C5557)</f>
        <v>7.8662790697674421</v>
      </c>
      <c r="J5557" s="86">
        <f>SUMIFS('Wind Proxy'!$H$8:$H$19,'Wind Proxy'!$A$8:$A$19,Estimator!$B$4,'Wind Proxy'!$B$8:$B$19,C5557)</f>
        <v>0</v>
      </c>
    </row>
    <row r="5558" spans="1:10" ht="14.4">
      <c r="A5558" s="84">
        <v>51209</v>
      </c>
      <c r="B5558" s="85">
        <v>2040</v>
      </c>
      <c r="C5558" s="85">
        <v>3</v>
      </c>
      <c r="D5558" s="85" t="s">
        <v>60</v>
      </c>
      <c r="E5558" s="85">
        <v>14</v>
      </c>
      <c r="F5558" s="85">
        <v>3</v>
      </c>
      <c r="G5558" s="85">
        <f>--(F5558&lt;=Estimator!$B$7)</f>
        <v>1</v>
      </c>
      <c r="H5558" s="86">
        <f>SUMIFS('Climate Data'!$G$7:$G$366,'Climate Data'!$A$7:$A$366,Estimator!$B$4,'Climate Data'!$B$7:$B$366,C5558)</f>
        <v>0.18494623655913978</v>
      </c>
      <c r="I5558" s="87">
        <f>SUMIFS('Climate Data'!$H$7:$H$366,'Climate Data'!$A$7:$A$366,Estimator!$B$4,'Climate Data'!$B$7:$B$366,C5558)</f>
        <v>7.8662790697674421</v>
      </c>
      <c r="J5558" s="86">
        <f>SUMIFS('Wind Proxy'!$H$8:$H$19,'Wind Proxy'!$A$8:$A$19,Estimator!$B$4,'Wind Proxy'!$B$8:$B$19,C5558)</f>
        <v>0</v>
      </c>
    </row>
    <row r="5559" spans="1:10" ht="14.4">
      <c r="A5559" s="84">
        <v>51210</v>
      </c>
      <c r="B5559" s="85">
        <v>2040</v>
      </c>
      <c r="C5559" s="85">
        <v>3</v>
      </c>
      <c r="D5559" s="85" t="s">
        <v>60</v>
      </c>
      <c r="E5559" s="85">
        <v>15</v>
      </c>
      <c r="F5559" s="85">
        <v>4</v>
      </c>
      <c r="G5559" s="85">
        <f>--(F5559&lt;=Estimator!$B$7)</f>
        <v>1</v>
      </c>
      <c r="H5559" s="86">
        <f>SUMIFS('Climate Data'!$G$7:$G$366,'Climate Data'!$A$7:$A$366,Estimator!$B$4,'Climate Data'!$B$7:$B$366,C5559)</f>
        <v>0.18494623655913978</v>
      </c>
      <c r="I5559" s="87">
        <f>SUMIFS('Climate Data'!$H$7:$H$366,'Climate Data'!$A$7:$A$366,Estimator!$B$4,'Climate Data'!$B$7:$B$366,C5559)</f>
        <v>7.8662790697674421</v>
      </c>
      <c r="J5559" s="86">
        <f>SUMIFS('Wind Proxy'!$H$8:$H$19,'Wind Proxy'!$A$8:$A$19,Estimator!$B$4,'Wind Proxy'!$B$8:$B$19,C5559)</f>
        <v>0</v>
      </c>
    </row>
    <row r="5560" spans="1:10" ht="14.4">
      <c r="A5560" s="84">
        <v>51211</v>
      </c>
      <c r="B5560" s="85">
        <v>2040</v>
      </c>
      <c r="C5560" s="85">
        <v>3</v>
      </c>
      <c r="D5560" s="85" t="s">
        <v>60</v>
      </c>
      <c r="E5560" s="85">
        <v>16</v>
      </c>
      <c r="F5560" s="85">
        <v>5</v>
      </c>
      <c r="G5560" s="85">
        <f>--(F5560&lt;=Estimator!$B$7)</f>
        <v>1</v>
      </c>
      <c r="H5560" s="86">
        <f>SUMIFS('Climate Data'!$G$7:$G$366,'Climate Data'!$A$7:$A$366,Estimator!$B$4,'Climate Data'!$B$7:$B$366,C5560)</f>
        <v>0.18494623655913978</v>
      </c>
      <c r="I5560" s="87">
        <f>SUMIFS('Climate Data'!$H$7:$H$366,'Climate Data'!$A$7:$A$366,Estimator!$B$4,'Climate Data'!$B$7:$B$366,C5560)</f>
        <v>7.8662790697674421</v>
      </c>
      <c r="J5560" s="86">
        <f>SUMIFS('Wind Proxy'!$H$8:$H$19,'Wind Proxy'!$A$8:$A$19,Estimator!$B$4,'Wind Proxy'!$B$8:$B$19,C5560)</f>
        <v>0</v>
      </c>
    </row>
    <row r="5561" spans="1:10" ht="14.4">
      <c r="A5561" s="84">
        <v>51212</v>
      </c>
      <c r="B5561" s="85">
        <v>2040</v>
      </c>
      <c r="C5561" s="85">
        <v>3</v>
      </c>
      <c r="D5561" s="85" t="s">
        <v>60</v>
      </c>
      <c r="E5561" s="85">
        <v>17</v>
      </c>
      <c r="F5561" s="85">
        <v>6</v>
      </c>
      <c r="G5561" s="85">
        <f>--(F5561&lt;=Estimator!$B$7)</f>
        <v>0</v>
      </c>
      <c r="H5561" s="86">
        <f>SUMIFS('Climate Data'!$G$7:$G$366,'Climate Data'!$A$7:$A$366,Estimator!$B$4,'Climate Data'!$B$7:$B$366,C5561)</f>
        <v>0.18494623655913978</v>
      </c>
      <c r="I5561" s="87">
        <f>SUMIFS('Climate Data'!$H$7:$H$366,'Climate Data'!$A$7:$A$366,Estimator!$B$4,'Climate Data'!$B$7:$B$366,C5561)</f>
        <v>7.8662790697674421</v>
      </c>
      <c r="J5561" s="86">
        <f>SUMIFS('Wind Proxy'!$H$8:$H$19,'Wind Proxy'!$A$8:$A$19,Estimator!$B$4,'Wind Proxy'!$B$8:$B$19,C5561)</f>
        <v>0</v>
      </c>
    </row>
    <row r="5562" spans="1:10" ht="14.4">
      <c r="A5562" s="84">
        <v>51213</v>
      </c>
      <c r="B5562" s="85">
        <v>2040</v>
      </c>
      <c r="C5562" s="85">
        <v>3</v>
      </c>
      <c r="D5562" s="85" t="s">
        <v>60</v>
      </c>
      <c r="E5562" s="85">
        <v>18</v>
      </c>
      <c r="F5562" s="85">
        <v>7</v>
      </c>
      <c r="G5562" s="85">
        <f>--(F5562&lt;=Estimator!$B$7)</f>
        <v>0</v>
      </c>
      <c r="H5562" s="86">
        <f>SUMIFS('Climate Data'!$G$7:$G$366,'Climate Data'!$A$7:$A$366,Estimator!$B$4,'Climate Data'!$B$7:$B$366,C5562)</f>
        <v>0.18494623655913978</v>
      </c>
      <c r="I5562" s="87">
        <f>SUMIFS('Climate Data'!$H$7:$H$366,'Climate Data'!$A$7:$A$366,Estimator!$B$4,'Climate Data'!$B$7:$B$366,C5562)</f>
        <v>7.8662790697674421</v>
      </c>
      <c r="J5562" s="86">
        <f>SUMIFS('Wind Proxy'!$H$8:$H$19,'Wind Proxy'!$A$8:$A$19,Estimator!$B$4,'Wind Proxy'!$B$8:$B$19,C5562)</f>
        <v>0</v>
      </c>
    </row>
    <row r="5563" spans="1:10" ht="14.4">
      <c r="A5563" s="84">
        <v>51214</v>
      </c>
      <c r="B5563" s="85">
        <v>2040</v>
      </c>
      <c r="C5563" s="85">
        <v>3</v>
      </c>
      <c r="D5563" s="85" t="s">
        <v>60</v>
      </c>
      <c r="E5563" s="85">
        <v>19</v>
      </c>
      <c r="F5563" s="85">
        <v>1</v>
      </c>
      <c r="G5563" s="85">
        <f>--(F5563&lt;=Estimator!$B$7)</f>
        <v>1</v>
      </c>
      <c r="H5563" s="86">
        <f>SUMIFS('Climate Data'!$G$7:$G$366,'Climate Data'!$A$7:$A$366,Estimator!$B$4,'Climate Data'!$B$7:$B$366,C5563)</f>
        <v>0.18494623655913978</v>
      </c>
      <c r="I5563" s="87">
        <f>SUMIFS('Climate Data'!$H$7:$H$366,'Climate Data'!$A$7:$A$366,Estimator!$B$4,'Climate Data'!$B$7:$B$366,C5563)</f>
        <v>7.8662790697674421</v>
      </c>
      <c r="J5563" s="86">
        <f>SUMIFS('Wind Proxy'!$H$8:$H$19,'Wind Proxy'!$A$8:$A$19,Estimator!$B$4,'Wind Proxy'!$B$8:$B$19,C5563)</f>
        <v>0</v>
      </c>
    </row>
    <row r="5564" spans="1:10" ht="14.4">
      <c r="A5564" s="84">
        <v>51215</v>
      </c>
      <c r="B5564" s="85">
        <v>2040</v>
      </c>
      <c r="C5564" s="85">
        <v>3</v>
      </c>
      <c r="D5564" s="85" t="s">
        <v>60</v>
      </c>
      <c r="E5564" s="85">
        <v>20</v>
      </c>
      <c r="F5564" s="85">
        <v>2</v>
      </c>
      <c r="G5564" s="85">
        <f>--(F5564&lt;=Estimator!$B$7)</f>
        <v>1</v>
      </c>
      <c r="H5564" s="86">
        <f>SUMIFS('Climate Data'!$G$7:$G$366,'Climate Data'!$A$7:$A$366,Estimator!$B$4,'Climate Data'!$B$7:$B$366,C5564)</f>
        <v>0.18494623655913978</v>
      </c>
      <c r="I5564" s="87">
        <f>SUMIFS('Climate Data'!$H$7:$H$366,'Climate Data'!$A$7:$A$366,Estimator!$B$4,'Climate Data'!$B$7:$B$366,C5564)</f>
        <v>7.8662790697674421</v>
      </c>
      <c r="J5564" s="86">
        <f>SUMIFS('Wind Proxy'!$H$8:$H$19,'Wind Proxy'!$A$8:$A$19,Estimator!$B$4,'Wind Proxy'!$B$8:$B$19,C5564)</f>
        <v>0</v>
      </c>
    </row>
    <row r="5565" spans="1:10" ht="14.4">
      <c r="A5565" s="84">
        <v>51216</v>
      </c>
      <c r="B5565" s="85">
        <v>2040</v>
      </c>
      <c r="C5565" s="85">
        <v>3</v>
      </c>
      <c r="D5565" s="85" t="s">
        <v>60</v>
      </c>
      <c r="E5565" s="85">
        <v>21</v>
      </c>
      <c r="F5565" s="85">
        <v>3</v>
      </c>
      <c r="G5565" s="85">
        <f>--(F5565&lt;=Estimator!$B$7)</f>
        <v>1</v>
      </c>
      <c r="H5565" s="86">
        <f>SUMIFS('Climate Data'!$G$7:$G$366,'Climate Data'!$A$7:$A$366,Estimator!$B$4,'Climate Data'!$B$7:$B$366,C5565)</f>
        <v>0.18494623655913978</v>
      </c>
      <c r="I5565" s="87">
        <f>SUMIFS('Climate Data'!$H$7:$H$366,'Climate Data'!$A$7:$A$366,Estimator!$B$4,'Climate Data'!$B$7:$B$366,C5565)</f>
        <v>7.8662790697674421</v>
      </c>
      <c r="J5565" s="86">
        <f>SUMIFS('Wind Proxy'!$H$8:$H$19,'Wind Proxy'!$A$8:$A$19,Estimator!$B$4,'Wind Proxy'!$B$8:$B$19,C5565)</f>
        <v>0</v>
      </c>
    </row>
    <row r="5566" spans="1:10" ht="14.4">
      <c r="A5566" s="84">
        <v>51217</v>
      </c>
      <c r="B5566" s="85">
        <v>2040</v>
      </c>
      <c r="C5566" s="85">
        <v>3</v>
      </c>
      <c r="D5566" s="85" t="s">
        <v>60</v>
      </c>
      <c r="E5566" s="85">
        <v>22</v>
      </c>
      <c r="F5566" s="85">
        <v>4</v>
      </c>
      <c r="G5566" s="85">
        <f>--(F5566&lt;=Estimator!$B$7)</f>
        <v>1</v>
      </c>
      <c r="H5566" s="86">
        <f>SUMIFS('Climate Data'!$G$7:$G$366,'Climate Data'!$A$7:$A$366,Estimator!$B$4,'Climate Data'!$B$7:$B$366,C5566)</f>
        <v>0.18494623655913978</v>
      </c>
      <c r="I5566" s="87">
        <f>SUMIFS('Climate Data'!$H$7:$H$366,'Climate Data'!$A$7:$A$366,Estimator!$B$4,'Climate Data'!$B$7:$B$366,C5566)</f>
        <v>7.8662790697674421</v>
      </c>
      <c r="J5566" s="86">
        <f>SUMIFS('Wind Proxy'!$H$8:$H$19,'Wind Proxy'!$A$8:$A$19,Estimator!$B$4,'Wind Proxy'!$B$8:$B$19,C5566)</f>
        <v>0</v>
      </c>
    </row>
    <row r="5567" spans="1:10" ht="14.4">
      <c r="A5567" s="84">
        <v>51218</v>
      </c>
      <c r="B5567" s="85">
        <v>2040</v>
      </c>
      <c r="C5567" s="85">
        <v>3</v>
      </c>
      <c r="D5567" s="85" t="s">
        <v>60</v>
      </c>
      <c r="E5567" s="85">
        <v>23</v>
      </c>
      <c r="F5567" s="85">
        <v>5</v>
      </c>
      <c r="G5567" s="85">
        <f>--(F5567&lt;=Estimator!$B$7)</f>
        <v>1</v>
      </c>
      <c r="H5567" s="86">
        <f>SUMIFS('Climate Data'!$G$7:$G$366,'Climate Data'!$A$7:$A$366,Estimator!$B$4,'Climate Data'!$B$7:$B$366,C5567)</f>
        <v>0.18494623655913978</v>
      </c>
      <c r="I5567" s="87">
        <f>SUMIFS('Climate Data'!$H$7:$H$366,'Climate Data'!$A$7:$A$366,Estimator!$B$4,'Climate Data'!$B$7:$B$366,C5567)</f>
        <v>7.8662790697674421</v>
      </c>
      <c r="J5567" s="86">
        <f>SUMIFS('Wind Proxy'!$H$8:$H$19,'Wind Proxy'!$A$8:$A$19,Estimator!$B$4,'Wind Proxy'!$B$8:$B$19,C5567)</f>
        <v>0</v>
      </c>
    </row>
    <row r="5568" spans="1:10" ht="14.4">
      <c r="A5568" s="84">
        <v>51219</v>
      </c>
      <c r="B5568" s="85">
        <v>2040</v>
      </c>
      <c r="C5568" s="85">
        <v>3</v>
      </c>
      <c r="D5568" s="85" t="s">
        <v>60</v>
      </c>
      <c r="E5568" s="85">
        <v>24</v>
      </c>
      <c r="F5568" s="85">
        <v>6</v>
      </c>
      <c r="G5568" s="85">
        <f>--(F5568&lt;=Estimator!$B$7)</f>
        <v>0</v>
      </c>
      <c r="H5568" s="86">
        <f>SUMIFS('Climate Data'!$G$7:$G$366,'Climate Data'!$A$7:$A$366,Estimator!$B$4,'Climate Data'!$B$7:$B$366,C5568)</f>
        <v>0.18494623655913978</v>
      </c>
      <c r="I5568" s="87">
        <f>SUMIFS('Climate Data'!$H$7:$H$366,'Climate Data'!$A$7:$A$366,Estimator!$B$4,'Climate Data'!$B$7:$B$366,C5568)</f>
        <v>7.8662790697674421</v>
      </c>
      <c r="J5568" s="86">
        <f>SUMIFS('Wind Proxy'!$H$8:$H$19,'Wind Proxy'!$A$8:$A$19,Estimator!$B$4,'Wind Proxy'!$B$8:$B$19,C5568)</f>
        <v>0</v>
      </c>
    </row>
    <row r="5569" spans="1:10" ht="14.4">
      <c r="A5569" s="84">
        <v>51220</v>
      </c>
      <c r="B5569" s="85">
        <v>2040</v>
      </c>
      <c r="C5569" s="85">
        <v>3</v>
      </c>
      <c r="D5569" s="85" t="s">
        <v>60</v>
      </c>
      <c r="E5569" s="85">
        <v>25</v>
      </c>
      <c r="F5569" s="85">
        <v>7</v>
      </c>
      <c r="G5569" s="85">
        <f>--(F5569&lt;=Estimator!$B$7)</f>
        <v>0</v>
      </c>
      <c r="H5569" s="86">
        <f>SUMIFS('Climate Data'!$G$7:$G$366,'Climate Data'!$A$7:$A$366,Estimator!$B$4,'Climate Data'!$B$7:$B$366,C5569)</f>
        <v>0.18494623655913978</v>
      </c>
      <c r="I5569" s="87">
        <f>SUMIFS('Climate Data'!$H$7:$H$366,'Climate Data'!$A$7:$A$366,Estimator!$B$4,'Climate Data'!$B$7:$B$366,C5569)</f>
        <v>7.8662790697674421</v>
      </c>
      <c r="J5569" s="86">
        <f>SUMIFS('Wind Proxy'!$H$8:$H$19,'Wind Proxy'!$A$8:$A$19,Estimator!$B$4,'Wind Proxy'!$B$8:$B$19,C5569)</f>
        <v>0</v>
      </c>
    </row>
    <row r="5570" spans="1:10" ht="14.4">
      <c r="A5570" s="84">
        <v>51221</v>
      </c>
      <c r="B5570" s="85">
        <v>2040</v>
      </c>
      <c r="C5570" s="85">
        <v>3</v>
      </c>
      <c r="D5570" s="85" t="s">
        <v>60</v>
      </c>
      <c r="E5570" s="85">
        <v>26</v>
      </c>
      <c r="F5570" s="85">
        <v>1</v>
      </c>
      <c r="G5570" s="85">
        <f>--(F5570&lt;=Estimator!$B$7)</f>
        <v>1</v>
      </c>
      <c r="H5570" s="86">
        <f>SUMIFS('Climate Data'!$G$7:$G$366,'Climate Data'!$A$7:$A$366,Estimator!$B$4,'Climate Data'!$B$7:$B$366,C5570)</f>
        <v>0.18494623655913978</v>
      </c>
      <c r="I5570" s="87">
        <f>SUMIFS('Climate Data'!$H$7:$H$366,'Climate Data'!$A$7:$A$366,Estimator!$B$4,'Climate Data'!$B$7:$B$366,C5570)</f>
        <v>7.8662790697674421</v>
      </c>
      <c r="J5570" s="86">
        <f>SUMIFS('Wind Proxy'!$H$8:$H$19,'Wind Proxy'!$A$8:$A$19,Estimator!$B$4,'Wind Proxy'!$B$8:$B$19,C5570)</f>
        <v>0</v>
      </c>
    </row>
    <row r="5571" spans="1:10" ht="14.4">
      <c r="A5571" s="84">
        <v>51222</v>
      </c>
      <c r="B5571" s="85">
        <v>2040</v>
      </c>
      <c r="C5571" s="85">
        <v>3</v>
      </c>
      <c r="D5571" s="85" t="s">
        <v>60</v>
      </c>
      <c r="E5571" s="85">
        <v>27</v>
      </c>
      <c r="F5571" s="85">
        <v>2</v>
      </c>
      <c r="G5571" s="85">
        <f>--(F5571&lt;=Estimator!$B$7)</f>
        <v>1</v>
      </c>
      <c r="H5571" s="86">
        <f>SUMIFS('Climate Data'!$G$7:$G$366,'Climate Data'!$A$7:$A$366,Estimator!$B$4,'Climate Data'!$B$7:$B$366,C5571)</f>
        <v>0.18494623655913978</v>
      </c>
      <c r="I5571" s="87">
        <f>SUMIFS('Climate Data'!$H$7:$H$366,'Climate Data'!$A$7:$A$366,Estimator!$B$4,'Climate Data'!$B$7:$B$366,C5571)</f>
        <v>7.8662790697674421</v>
      </c>
      <c r="J5571" s="86">
        <f>SUMIFS('Wind Proxy'!$H$8:$H$19,'Wind Proxy'!$A$8:$A$19,Estimator!$B$4,'Wind Proxy'!$B$8:$B$19,C5571)</f>
        <v>0</v>
      </c>
    </row>
    <row r="5572" spans="1:10" ht="14.4">
      <c r="A5572" s="84">
        <v>51223</v>
      </c>
      <c r="B5572" s="85">
        <v>2040</v>
      </c>
      <c r="C5572" s="85">
        <v>3</v>
      </c>
      <c r="D5572" s="85" t="s">
        <v>60</v>
      </c>
      <c r="E5572" s="85">
        <v>28</v>
      </c>
      <c r="F5572" s="85">
        <v>3</v>
      </c>
      <c r="G5572" s="85">
        <f>--(F5572&lt;=Estimator!$B$7)</f>
        <v>1</v>
      </c>
      <c r="H5572" s="86">
        <f>SUMIFS('Climate Data'!$G$7:$G$366,'Climate Data'!$A$7:$A$366,Estimator!$B$4,'Climate Data'!$B$7:$B$366,C5572)</f>
        <v>0.18494623655913978</v>
      </c>
      <c r="I5572" s="87">
        <f>SUMIFS('Climate Data'!$H$7:$H$366,'Climate Data'!$A$7:$A$366,Estimator!$B$4,'Climate Data'!$B$7:$B$366,C5572)</f>
        <v>7.8662790697674421</v>
      </c>
      <c r="J5572" s="86">
        <f>SUMIFS('Wind Proxy'!$H$8:$H$19,'Wind Proxy'!$A$8:$A$19,Estimator!$B$4,'Wind Proxy'!$B$8:$B$19,C5572)</f>
        <v>0</v>
      </c>
    </row>
    <row r="5573" spans="1:10" ht="14.4">
      <c r="A5573" s="84">
        <v>51224</v>
      </c>
      <c r="B5573" s="85">
        <v>2040</v>
      </c>
      <c r="C5573" s="85">
        <v>3</v>
      </c>
      <c r="D5573" s="85" t="s">
        <v>60</v>
      </c>
      <c r="E5573" s="85">
        <v>29</v>
      </c>
      <c r="F5573" s="85">
        <v>4</v>
      </c>
      <c r="G5573" s="85">
        <f>--(F5573&lt;=Estimator!$B$7)</f>
        <v>1</v>
      </c>
      <c r="H5573" s="86">
        <f>SUMIFS('Climate Data'!$G$7:$G$366,'Climate Data'!$A$7:$A$366,Estimator!$B$4,'Climate Data'!$B$7:$B$366,C5573)</f>
        <v>0.18494623655913978</v>
      </c>
      <c r="I5573" s="87">
        <f>SUMIFS('Climate Data'!$H$7:$H$366,'Climate Data'!$A$7:$A$366,Estimator!$B$4,'Climate Data'!$B$7:$B$366,C5573)</f>
        <v>7.8662790697674421</v>
      </c>
      <c r="J5573" s="86">
        <f>SUMIFS('Wind Proxy'!$H$8:$H$19,'Wind Proxy'!$A$8:$A$19,Estimator!$B$4,'Wind Proxy'!$B$8:$B$19,C5573)</f>
        <v>0</v>
      </c>
    </row>
    <row r="5574" spans="1:10" ht="14.4">
      <c r="A5574" s="84">
        <v>51225</v>
      </c>
      <c r="B5574" s="85">
        <v>2040</v>
      </c>
      <c r="C5574" s="85">
        <v>3</v>
      </c>
      <c r="D5574" s="85" t="s">
        <v>60</v>
      </c>
      <c r="E5574" s="85">
        <v>30</v>
      </c>
      <c r="F5574" s="85">
        <v>5</v>
      </c>
      <c r="G5574" s="85">
        <f>--(F5574&lt;=Estimator!$B$7)</f>
        <v>1</v>
      </c>
      <c r="H5574" s="86">
        <f>SUMIFS('Climate Data'!$G$7:$G$366,'Climate Data'!$A$7:$A$366,Estimator!$B$4,'Climate Data'!$B$7:$B$366,C5574)</f>
        <v>0.18494623655913978</v>
      </c>
      <c r="I5574" s="87">
        <f>SUMIFS('Climate Data'!$H$7:$H$366,'Climate Data'!$A$7:$A$366,Estimator!$B$4,'Climate Data'!$B$7:$B$366,C5574)</f>
        <v>7.8662790697674421</v>
      </c>
      <c r="J5574" s="86">
        <f>SUMIFS('Wind Proxy'!$H$8:$H$19,'Wind Proxy'!$A$8:$A$19,Estimator!$B$4,'Wind Proxy'!$B$8:$B$19,C5574)</f>
        <v>0</v>
      </c>
    </row>
    <row r="5575" spans="1:10" ht="14.4">
      <c r="A5575" s="84">
        <v>51226</v>
      </c>
      <c r="B5575" s="85">
        <v>2040</v>
      </c>
      <c r="C5575" s="85">
        <v>3</v>
      </c>
      <c r="D5575" s="85" t="s">
        <v>60</v>
      </c>
      <c r="E5575" s="85">
        <v>31</v>
      </c>
      <c r="F5575" s="85">
        <v>6</v>
      </c>
      <c r="G5575" s="85">
        <f>--(F5575&lt;=Estimator!$B$7)</f>
        <v>0</v>
      </c>
      <c r="H5575" s="86">
        <f>SUMIFS('Climate Data'!$G$7:$G$366,'Climate Data'!$A$7:$A$366,Estimator!$B$4,'Climate Data'!$B$7:$B$366,C5575)</f>
        <v>0.18494623655913978</v>
      </c>
      <c r="I5575" s="87">
        <f>SUMIFS('Climate Data'!$H$7:$H$366,'Climate Data'!$A$7:$A$366,Estimator!$B$4,'Climate Data'!$B$7:$B$366,C5575)</f>
        <v>7.8662790697674421</v>
      </c>
      <c r="J5575" s="86">
        <f>SUMIFS('Wind Proxy'!$H$8:$H$19,'Wind Proxy'!$A$8:$A$19,Estimator!$B$4,'Wind Proxy'!$B$8:$B$19,C5575)</f>
        <v>0</v>
      </c>
    </row>
    <row r="5576" spans="1:10" ht="14.4">
      <c r="A5576" s="84">
        <v>51227</v>
      </c>
      <c r="B5576" s="85">
        <v>2040</v>
      </c>
      <c r="C5576" s="85">
        <v>4</v>
      </c>
      <c r="D5576" s="85" t="s">
        <v>62</v>
      </c>
      <c r="E5576" s="85">
        <v>1</v>
      </c>
      <c r="F5576" s="85">
        <v>7</v>
      </c>
      <c r="G5576" s="85">
        <f>--(F5576&lt;=Estimator!$B$7)</f>
        <v>0</v>
      </c>
      <c r="H5576" s="86">
        <f>SUMIFS('Climate Data'!$G$7:$G$366,'Climate Data'!$A$7:$A$366,Estimator!$B$4,'Climate Data'!$B$7:$B$366,C5576)</f>
        <v>0.25555555555555559</v>
      </c>
      <c r="I5576" s="87">
        <f>SUMIFS('Climate Data'!$H$7:$H$366,'Climate Data'!$A$7:$A$366,Estimator!$B$4,'Climate Data'!$B$7:$B$366,C5576)</f>
        <v>7.5</v>
      </c>
      <c r="J5576" s="86">
        <f>SUMIFS('Wind Proxy'!$H$8:$H$19,'Wind Proxy'!$A$8:$A$19,Estimator!$B$4,'Wind Proxy'!$B$8:$B$19,C5576)</f>
        <v>0</v>
      </c>
    </row>
    <row r="5577" spans="1:10" ht="14.4">
      <c r="A5577" s="84">
        <v>51228</v>
      </c>
      <c r="B5577" s="85">
        <v>2040</v>
      </c>
      <c r="C5577" s="85">
        <v>4</v>
      </c>
      <c r="D5577" s="85" t="s">
        <v>62</v>
      </c>
      <c r="E5577" s="85">
        <v>2</v>
      </c>
      <c r="F5577" s="85">
        <v>1</v>
      </c>
      <c r="G5577" s="85">
        <f>--(F5577&lt;=Estimator!$B$7)</f>
        <v>1</v>
      </c>
      <c r="H5577" s="86">
        <f>SUMIFS('Climate Data'!$G$7:$G$366,'Climate Data'!$A$7:$A$366,Estimator!$B$4,'Climate Data'!$B$7:$B$366,C5577)</f>
        <v>0.25555555555555559</v>
      </c>
      <c r="I5577" s="87">
        <f>SUMIFS('Climate Data'!$H$7:$H$366,'Climate Data'!$A$7:$A$366,Estimator!$B$4,'Climate Data'!$B$7:$B$366,C5577)</f>
        <v>7.5</v>
      </c>
      <c r="J5577" s="86">
        <f>SUMIFS('Wind Proxy'!$H$8:$H$19,'Wind Proxy'!$A$8:$A$19,Estimator!$B$4,'Wind Proxy'!$B$8:$B$19,C5577)</f>
        <v>0</v>
      </c>
    </row>
    <row r="5578" spans="1:10" ht="14.4">
      <c r="A5578" s="84">
        <v>51229</v>
      </c>
      <c r="B5578" s="85">
        <v>2040</v>
      </c>
      <c r="C5578" s="85">
        <v>4</v>
      </c>
      <c r="D5578" s="85" t="s">
        <v>62</v>
      </c>
      <c r="E5578" s="85">
        <v>3</v>
      </c>
      <c r="F5578" s="85">
        <v>2</v>
      </c>
      <c r="G5578" s="85">
        <f>--(F5578&lt;=Estimator!$B$7)</f>
        <v>1</v>
      </c>
      <c r="H5578" s="86">
        <f>SUMIFS('Climate Data'!$G$7:$G$366,'Climate Data'!$A$7:$A$366,Estimator!$B$4,'Climate Data'!$B$7:$B$366,C5578)</f>
        <v>0.25555555555555559</v>
      </c>
      <c r="I5578" s="87">
        <f>SUMIFS('Climate Data'!$H$7:$H$366,'Climate Data'!$A$7:$A$366,Estimator!$B$4,'Climate Data'!$B$7:$B$366,C5578)</f>
        <v>7.5</v>
      </c>
      <c r="J5578" s="86">
        <f>SUMIFS('Wind Proxy'!$H$8:$H$19,'Wind Proxy'!$A$8:$A$19,Estimator!$B$4,'Wind Proxy'!$B$8:$B$19,C5578)</f>
        <v>0</v>
      </c>
    </row>
    <row r="5579" spans="1:10" ht="14.4">
      <c r="A5579" s="84">
        <v>51230</v>
      </c>
      <c r="B5579" s="85">
        <v>2040</v>
      </c>
      <c r="C5579" s="85">
        <v>4</v>
      </c>
      <c r="D5579" s="85" t="s">
        <v>62</v>
      </c>
      <c r="E5579" s="85">
        <v>4</v>
      </c>
      <c r="F5579" s="85">
        <v>3</v>
      </c>
      <c r="G5579" s="85">
        <f>--(F5579&lt;=Estimator!$B$7)</f>
        <v>1</v>
      </c>
      <c r="H5579" s="86">
        <f>SUMIFS('Climate Data'!$G$7:$G$366,'Climate Data'!$A$7:$A$366,Estimator!$B$4,'Climate Data'!$B$7:$B$366,C5579)</f>
        <v>0.25555555555555559</v>
      </c>
      <c r="I5579" s="87">
        <f>SUMIFS('Climate Data'!$H$7:$H$366,'Climate Data'!$A$7:$A$366,Estimator!$B$4,'Climate Data'!$B$7:$B$366,C5579)</f>
        <v>7.5</v>
      </c>
      <c r="J5579" s="86">
        <f>SUMIFS('Wind Proxy'!$H$8:$H$19,'Wind Proxy'!$A$8:$A$19,Estimator!$B$4,'Wind Proxy'!$B$8:$B$19,C5579)</f>
        <v>0</v>
      </c>
    </row>
    <row r="5580" spans="1:10" ht="14.4">
      <c r="A5580" s="84">
        <v>51231</v>
      </c>
      <c r="B5580" s="85">
        <v>2040</v>
      </c>
      <c r="C5580" s="85">
        <v>4</v>
      </c>
      <c r="D5580" s="85" t="s">
        <v>62</v>
      </c>
      <c r="E5580" s="85">
        <v>5</v>
      </c>
      <c r="F5580" s="85">
        <v>4</v>
      </c>
      <c r="G5580" s="85">
        <f>--(F5580&lt;=Estimator!$B$7)</f>
        <v>1</v>
      </c>
      <c r="H5580" s="86">
        <f>SUMIFS('Climate Data'!$G$7:$G$366,'Climate Data'!$A$7:$A$366,Estimator!$B$4,'Climate Data'!$B$7:$B$366,C5580)</f>
        <v>0.25555555555555559</v>
      </c>
      <c r="I5580" s="87">
        <f>SUMIFS('Climate Data'!$H$7:$H$366,'Climate Data'!$A$7:$A$366,Estimator!$B$4,'Climate Data'!$B$7:$B$366,C5580)</f>
        <v>7.5</v>
      </c>
      <c r="J5580" s="86">
        <f>SUMIFS('Wind Proxy'!$H$8:$H$19,'Wind Proxy'!$A$8:$A$19,Estimator!$B$4,'Wind Proxy'!$B$8:$B$19,C5580)</f>
        <v>0</v>
      </c>
    </row>
    <row r="5581" spans="1:10" ht="14.4">
      <c r="A5581" s="84">
        <v>51232</v>
      </c>
      <c r="B5581" s="85">
        <v>2040</v>
      </c>
      <c r="C5581" s="85">
        <v>4</v>
      </c>
      <c r="D5581" s="85" t="s">
        <v>62</v>
      </c>
      <c r="E5581" s="85">
        <v>6</v>
      </c>
      <c r="F5581" s="85">
        <v>5</v>
      </c>
      <c r="G5581" s="85">
        <f>--(F5581&lt;=Estimator!$B$7)</f>
        <v>1</v>
      </c>
      <c r="H5581" s="86">
        <f>SUMIFS('Climate Data'!$G$7:$G$366,'Climate Data'!$A$7:$A$366,Estimator!$B$4,'Climate Data'!$B$7:$B$366,C5581)</f>
        <v>0.25555555555555559</v>
      </c>
      <c r="I5581" s="87">
        <f>SUMIFS('Climate Data'!$H$7:$H$366,'Climate Data'!$A$7:$A$366,Estimator!$B$4,'Climate Data'!$B$7:$B$366,C5581)</f>
        <v>7.5</v>
      </c>
      <c r="J5581" s="86">
        <f>SUMIFS('Wind Proxy'!$H$8:$H$19,'Wind Proxy'!$A$8:$A$19,Estimator!$B$4,'Wind Proxy'!$B$8:$B$19,C5581)</f>
        <v>0</v>
      </c>
    </row>
    <row r="5582" spans="1:10" ht="14.4">
      <c r="A5582" s="84">
        <v>51233</v>
      </c>
      <c r="B5582" s="85">
        <v>2040</v>
      </c>
      <c r="C5582" s="85">
        <v>4</v>
      </c>
      <c r="D5582" s="85" t="s">
        <v>62</v>
      </c>
      <c r="E5582" s="85">
        <v>7</v>
      </c>
      <c r="F5582" s="85">
        <v>6</v>
      </c>
      <c r="G5582" s="85">
        <f>--(F5582&lt;=Estimator!$B$7)</f>
        <v>0</v>
      </c>
      <c r="H5582" s="86">
        <f>SUMIFS('Climate Data'!$G$7:$G$366,'Climate Data'!$A$7:$A$366,Estimator!$B$4,'Climate Data'!$B$7:$B$366,C5582)</f>
        <v>0.25555555555555559</v>
      </c>
      <c r="I5582" s="87">
        <f>SUMIFS('Climate Data'!$H$7:$H$366,'Climate Data'!$A$7:$A$366,Estimator!$B$4,'Climate Data'!$B$7:$B$366,C5582)</f>
        <v>7.5</v>
      </c>
      <c r="J5582" s="86">
        <f>SUMIFS('Wind Proxy'!$H$8:$H$19,'Wind Proxy'!$A$8:$A$19,Estimator!$B$4,'Wind Proxy'!$B$8:$B$19,C5582)</f>
        <v>0</v>
      </c>
    </row>
    <row r="5583" spans="1:10" ht="14.4">
      <c r="A5583" s="84">
        <v>51234</v>
      </c>
      <c r="B5583" s="85">
        <v>2040</v>
      </c>
      <c r="C5583" s="85">
        <v>4</v>
      </c>
      <c r="D5583" s="85" t="s">
        <v>62</v>
      </c>
      <c r="E5583" s="85">
        <v>8</v>
      </c>
      <c r="F5583" s="85">
        <v>7</v>
      </c>
      <c r="G5583" s="85">
        <f>--(F5583&lt;=Estimator!$B$7)</f>
        <v>0</v>
      </c>
      <c r="H5583" s="86">
        <f>SUMIFS('Climate Data'!$G$7:$G$366,'Climate Data'!$A$7:$A$366,Estimator!$B$4,'Climate Data'!$B$7:$B$366,C5583)</f>
        <v>0.25555555555555559</v>
      </c>
      <c r="I5583" s="87">
        <f>SUMIFS('Climate Data'!$H$7:$H$366,'Climate Data'!$A$7:$A$366,Estimator!$B$4,'Climate Data'!$B$7:$B$366,C5583)</f>
        <v>7.5</v>
      </c>
      <c r="J5583" s="86">
        <f>SUMIFS('Wind Proxy'!$H$8:$H$19,'Wind Proxy'!$A$8:$A$19,Estimator!$B$4,'Wind Proxy'!$B$8:$B$19,C5583)</f>
        <v>0</v>
      </c>
    </row>
    <row r="5584" spans="1:10" ht="14.4">
      <c r="A5584" s="84">
        <v>51235</v>
      </c>
      <c r="B5584" s="85">
        <v>2040</v>
      </c>
      <c r="C5584" s="85">
        <v>4</v>
      </c>
      <c r="D5584" s="85" t="s">
        <v>62</v>
      </c>
      <c r="E5584" s="85">
        <v>9</v>
      </c>
      <c r="F5584" s="85">
        <v>1</v>
      </c>
      <c r="G5584" s="85">
        <f>--(F5584&lt;=Estimator!$B$7)</f>
        <v>1</v>
      </c>
      <c r="H5584" s="86">
        <f>SUMIFS('Climate Data'!$G$7:$G$366,'Climate Data'!$A$7:$A$366,Estimator!$B$4,'Climate Data'!$B$7:$B$366,C5584)</f>
        <v>0.25555555555555559</v>
      </c>
      <c r="I5584" s="87">
        <f>SUMIFS('Climate Data'!$H$7:$H$366,'Climate Data'!$A$7:$A$366,Estimator!$B$4,'Climate Data'!$B$7:$B$366,C5584)</f>
        <v>7.5</v>
      </c>
      <c r="J5584" s="86">
        <f>SUMIFS('Wind Proxy'!$H$8:$H$19,'Wind Proxy'!$A$8:$A$19,Estimator!$B$4,'Wind Proxy'!$B$8:$B$19,C5584)</f>
        <v>0</v>
      </c>
    </row>
    <row r="5585" spans="1:10" ht="14.4">
      <c r="A5585" s="84">
        <v>51236</v>
      </c>
      <c r="B5585" s="85">
        <v>2040</v>
      </c>
      <c r="C5585" s="85">
        <v>4</v>
      </c>
      <c r="D5585" s="85" t="s">
        <v>62</v>
      </c>
      <c r="E5585" s="85">
        <v>10</v>
      </c>
      <c r="F5585" s="85">
        <v>2</v>
      </c>
      <c r="G5585" s="85">
        <f>--(F5585&lt;=Estimator!$B$7)</f>
        <v>1</v>
      </c>
      <c r="H5585" s="86">
        <f>SUMIFS('Climate Data'!$G$7:$G$366,'Climate Data'!$A$7:$A$366,Estimator!$B$4,'Climate Data'!$B$7:$B$366,C5585)</f>
        <v>0.25555555555555559</v>
      </c>
      <c r="I5585" s="87">
        <f>SUMIFS('Climate Data'!$H$7:$H$366,'Climate Data'!$A$7:$A$366,Estimator!$B$4,'Climate Data'!$B$7:$B$366,C5585)</f>
        <v>7.5</v>
      </c>
      <c r="J5585" s="86">
        <f>SUMIFS('Wind Proxy'!$H$8:$H$19,'Wind Proxy'!$A$8:$A$19,Estimator!$B$4,'Wind Proxy'!$B$8:$B$19,C5585)</f>
        <v>0</v>
      </c>
    </row>
    <row r="5586" spans="1:10" ht="14.4">
      <c r="A5586" s="84">
        <v>51237</v>
      </c>
      <c r="B5586" s="85">
        <v>2040</v>
      </c>
      <c r="C5586" s="85">
        <v>4</v>
      </c>
      <c r="D5586" s="85" t="s">
        <v>62</v>
      </c>
      <c r="E5586" s="85">
        <v>11</v>
      </c>
      <c r="F5586" s="85">
        <v>3</v>
      </c>
      <c r="G5586" s="85">
        <f>--(F5586&lt;=Estimator!$B$7)</f>
        <v>1</v>
      </c>
      <c r="H5586" s="86">
        <f>SUMIFS('Climate Data'!$G$7:$G$366,'Climate Data'!$A$7:$A$366,Estimator!$B$4,'Climate Data'!$B$7:$B$366,C5586)</f>
        <v>0.25555555555555559</v>
      </c>
      <c r="I5586" s="87">
        <f>SUMIFS('Climate Data'!$H$7:$H$366,'Climate Data'!$A$7:$A$366,Estimator!$B$4,'Climate Data'!$B$7:$B$366,C5586)</f>
        <v>7.5</v>
      </c>
      <c r="J5586" s="86">
        <f>SUMIFS('Wind Proxy'!$H$8:$H$19,'Wind Proxy'!$A$8:$A$19,Estimator!$B$4,'Wind Proxy'!$B$8:$B$19,C5586)</f>
        <v>0</v>
      </c>
    </row>
    <row r="5587" spans="1:10" ht="14.4">
      <c r="A5587" s="84">
        <v>51238</v>
      </c>
      <c r="B5587" s="85">
        <v>2040</v>
      </c>
      <c r="C5587" s="85">
        <v>4</v>
      </c>
      <c r="D5587" s="85" t="s">
        <v>62</v>
      </c>
      <c r="E5587" s="85">
        <v>12</v>
      </c>
      <c r="F5587" s="85">
        <v>4</v>
      </c>
      <c r="G5587" s="85">
        <f>--(F5587&lt;=Estimator!$B$7)</f>
        <v>1</v>
      </c>
      <c r="H5587" s="86">
        <f>SUMIFS('Climate Data'!$G$7:$G$366,'Climate Data'!$A$7:$A$366,Estimator!$B$4,'Climate Data'!$B$7:$B$366,C5587)</f>
        <v>0.25555555555555559</v>
      </c>
      <c r="I5587" s="87">
        <f>SUMIFS('Climate Data'!$H$7:$H$366,'Climate Data'!$A$7:$A$366,Estimator!$B$4,'Climate Data'!$B$7:$B$366,C5587)</f>
        <v>7.5</v>
      </c>
      <c r="J5587" s="86">
        <f>SUMIFS('Wind Proxy'!$H$8:$H$19,'Wind Proxy'!$A$8:$A$19,Estimator!$B$4,'Wind Proxy'!$B$8:$B$19,C5587)</f>
        <v>0</v>
      </c>
    </row>
    <row r="5588" spans="1:10" ht="14.4">
      <c r="A5588" s="84">
        <v>51239</v>
      </c>
      <c r="B5588" s="85">
        <v>2040</v>
      </c>
      <c r="C5588" s="85">
        <v>4</v>
      </c>
      <c r="D5588" s="85" t="s">
        <v>62</v>
      </c>
      <c r="E5588" s="85">
        <v>13</v>
      </c>
      <c r="F5588" s="85">
        <v>5</v>
      </c>
      <c r="G5588" s="85">
        <f>--(F5588&lt;=Estimator!$B$7)</f>
        <v>1</v>
      </c>
      <c r="H5588" s="86">
        <f>SUMIFS('Climate Data'!$G$7:$G$366,'Climate Data'!$A$7:$A$366,Estimator!$B$4,'Climate Data'!$B$7:$B$366,C5588)</f>
        <v>0.25555555555555559</v>
      </c>
      <c r="I5588" s="87">
        <f>SUMIFS('Climate Data'!$H$7:$H$366,'Climate Data'!$A$7:$A$366,Estimator!$B$4,'Climate Data'!$B$7:$B$366,C5588)</f>
        <v>7.5</v>
      </c>
      <c r="J5588" s="86">
        <f>SUMIFS('Wind Proxy'!$H$8:$H$19,'Wind Proxy'!$A$8:$A$19,Estimator!$B$4,'Wind Proxy'!$B$8:$B$19,C5588)</f>
        <v>0</v>
      </c>
    </row>
    <row r="5589" spans="1:10" ht="14.4">
      <c r="A5589" s="84">
        <v>51240</v>
      </c>
      <c r="B5589" s="85">
        <v>2040</v>
      </c>
      <c r="C5589" s="85">
        <v>4</v>
      </c>
      <c r="D5589" s="85" t="s">
        <v>62</v>
      </c>
      <c r="E5589" s="85">
        <v>14</v>
      </c>
      <c r="F5589" s="85">
        <v>6</v>
      </c>
      <c r="G5589" s="85">
        <f>--(F5589&lt;=Estimator!$B$7)</f>
        <v>0</v>
      </c>
      <c r="H5589" s="86">
        <f>SUMIFS('Climate Data'!$G$7:$G$366,'Climate Data'!$A$7:$A$366,Estimator!$B$4,'Climate Data'!$B$7:$B$366,C5589)</f>
        <v>0.25555555555555559</v>
      </c>
      <c r="I5589" s="87">
        <f>SUMIFS('Climate Data'!$H$7:$H$366,'Climate Data'!$A$7:$A$366,Estimator!$B$4,'Climate Data'!$B$7:$B$366,C5589)</f>
        <v>7.5</v>
      </c>
      <c r="J5589" s="86">
        <f>SUMIFS('Wind Proxy'!$H$8:$H$19,'Wind Proxy'!$A$8:$A$19,Estimator!$B$4,'Wind Proxy'!$B$8:$B$19,C5589)</f>
        <v>0</v>
      </c>
    </row>
    <row r="5590" spans="1:10" ht="14.4">
      <c r="A5590" s="84">
        <v>51241</v>
      </c>
      <c r="B5590" s="85">
        <v>2040</v>
      </c>
      <c r="C5590" s="85">
        <v>4</v>
      </c>
      <c r="D5590" s="85" t="s">
        <v>62</v>
      </c>
      <c r="E5590" s="85">
        <v>15</v>
      </c>
      <c r="F5590" s="85">
        <v>7</v>
      </c>
      <c r="G5590" s="85">
        <f>--(F5590&lt;=Estimator!$B$7)</f>
        <v>0</v>
      </c>
      <c r="H5590" s="86">
        <f>SUMIFS('Climate Data'!$G$7:$G$366,'Climate Data'!$A$7:$A$366,Estimator!$B$4,'Climate Data'!$B$7:$B$366,C5590)</f>
        <v>0.25555555555555559</v>
      </c>
      <c r="I5590" s="87">
        <f>SUMIFS('Climate Data'!$H$7:$H$366,'Climate Data'!$A$7:$A$366,Estimator!$B$4,'Climate Data'!$B$7:$B$366,C5590)</f>
        <v>7.5</v>
      </c>
      <c r="J5590" s="86">
        <f>SUMIFS('Wind Proxy'!$H$8:$H$19,'Wind Proxy'!$A$8:$A$19,Estimator!$B$4,'Wind Proxy'!$B$8:$B$19,C5590)</f>
        <v>0</v>
      </c>
    </row>
    <row r="5591" spans="1:10" ht="14.4">
      <c r="A5591" s="84">
        <v>51242</v>
      </c>
      <c r="B5591" s="85">
        <v>2040</v>
      </c>
      <c r="C5591" s="85">
        <v>4</v>
      </c>
      <c r="D5591" s="85" t="s">
        <v>62</v>
      </c>
      <c r="E5591" s="85">
        <v>16</v>
      </c>
      <c r="F5591" s="85">
        <v>1</v>
      </c>
      <c r="G5591" s="85">
        <f>--(F5591&lt;=Estimator!$B$7)</f>
        <v>1</v>
      </c>
      <c r="H5591" s="86">
        <f>SUMIFS('Climate Data'!$G$7:$G$366,'Climate Data'!$A$7:$A$366,Estimator!$B$4,'Climate Data'!$B$7:$B$366,C5591)</f>
        <v>0.25555555555555559</v>
      </c>
      <c r="I5591" s="87">
        <f>SUMIFS('Climate Data'!$H$7:$H$366,'Climate Data'!$A$7:$A$366,Estimator!$B$4,'Climate Data'!$B$7:$B$366,C5591)</f>
        <v>7.5</v>
      </c>
      <c r="J5591" s="86">
        <f>SUMIFS('Wind Proxy'!$H$8:$H$19,'Wind Proxy'!$A$8:$A$19,Estimator!$B$4,'Wind Proxy'!$B$8:$B$19,C5591)</f>
        <v>0</v>
      </c>
    </row>
    <row r="5592" spans="1:10" ht="14.4">
      <c r="A5592" s="84">
        <v>51243</v>
      </c>
      <c r="B5592" s="85">
        <v>2040</v>
      </c>
      <c r="C5592" s="85">
        <v>4</v>
      </c>
      <c r="D5592" s="85" t="s">
        <v>62</v>
      </c>
      <c r="E5592" s="85">
        <v>17</v>
      </c>
      <c r="F5592" s="85">
        <v>2</v>
      </c>
      <c r="G5592" s="85">
        <f>--(F5592&lt;=Estimator!$B$7)</f>
        <v>1</v>
      </c>
      <c r="H5592" s="86">
        <f>SUMIFS('Climate Data'!$G$7:$G$366,'Climate Data'!$A$7:$A$366,Estimator!$B$4,'Climate Data'!$B$7:$B$366,C5592)</f>
        <v>0.25555555555555559</v>
      </c>
      <c r="I5592" s="87">
        <f>SUMIFS('Climate Data'!$H$7:$H$366,'Climate Data'!$A$7:$A$366,Estimator!$B$4,'Climate Data'!$B$7:$B$366,C5592)</f>
        <v>7.5</v>
      </c>
      <c r="J5592" s="86">
        <f>SUMIFS('Wind Proxy'!$H$8:$H$19,'Wind Proxy'!$A$8:$A$19,Estimator!$B$4,'Wind Proxy'!$B$8:$B$19,C5592)</f>
        <v>0</v>
      </c>
    </row>
    <row r="5593" spans="1:10" ht="14.4">
      <c r="A5593" s="84">
        <v>51244</v>
      </c>
      <c r="B5593" s="85">
        <v>2040</v>
      </c>
      <c r="C5593" s="85">
        <v>4</v>
      </c>
      <c r="D5593" s="85" t="s">
        <v>62</v>
      </c>
      <c r="E5593" s="85">
        <v>18</v>
      </c>
      <c r="F5593" s="85">
        <v>3</v>
      </c>
      <c r="G5593" s="85">
        <f>--(F5593&lt;=Estimator!$B$7)</f>
        <v>1</v>
      </c>
      <c r="H5593" s="86">
        <f>SUMIFS('Climate Data'!$G$7:$G$366,'Climate Data'!$A$7:$A$366,Estimator!$B$4,'Climate Data'!$B$7:$B$366,C5593)</f>
        <v>0.25555555555555559</v>
      </c>
      <c r="I5593" s="87">
        <f>SUMIFS('Climate Data'!$H$7:$H$366,'Climate Data'!$A$7:$A$366,Estimator!$B$4,'Climate Data'!$B$7:$B$366,C5593)</f>
        <v>7.5</v>
      </c>
      <c r="J5593" s="86">
        <f>SUMIFS('Wind Proxy'!$H$8:$H$19,'Wind Proxy'!$A$8:$A$19,Estimator!$B$4,'Wind Proxy'!$B$8:$B$19,C5593)</f>
        <v>0</v>
      </c>
    </row>
    <row r="5594" spans="1:10" ht="14.4">
      <c r="A5594" s="84">
        <v>51245</v>
      </c>
      <c r="B5594" s="85">
        <v>2040</v>
      </c>
      <c r="C5594" s="85">
        <v>4</v>
      </c>
      <c r="D5594" s="85" t="s">
        <v>62</v>
      </c>
      <c r="E5594" s="85">
        <v>19</v>
      </c>
      <c r="F5594" s="85">
        <v>4</v>
      </c>
      <c r="G5594" s="85">
        <f>--(F5594&lt;=Estimator!$B$7)</f>
        <v>1</v>
      </c>
      <c r="H5594" s="86">
        <f>SUMIFS('Climate Data'!$G$7:$G$366,'Climate Data'!$A$7:$A$366,Estimator!$B$4,'Climate Data'!$B$7:$B$366,C5594)</f>
        <v>0.25555555555555559</v>
      </c>
      <c r="I5594" s="87">
        <f>SUMIFS('Climate Data'!$H$7:$H$366,'Climate Data'!$A$7:$A$366,Estimator!$B$4,'Climate Data'!$B$7:$B$366,C5594)</f>
        <v>7.5</v>
      </c>
      <c r="J5594" s="86">
        <f>SUMIFS('Wind Proxy'!$H$8:$H$19,'Wind Proxy'!$A$8:$A$19,Estimator!$B$4,'Wind Proxy'!$B$8:$B$19,C5594)</f>
        <v>0</v>
      </c>
    </row>
    <row r="5595" spans="1:10" ht="14.4">
      <c r="A5595" s="84">
        <v>51246</v>
      </c>
      <c r="B5595" s="85">
        <v>2040</v>
      </c>
      <c r="C5595" s="85">
        <v>4</v>
      </c>
      <c r="D5595" s="85" t="s">
        <v>62</v>
      </c>
      <c r="E5595" s="85">
        <v>20</v>
      </c>
      <c r="F5595" s="85">
        <v>5</v>
      </c>
      <c r="G5595" s="85">
        <f>--(F5595&lt;=Estimator!$B$7)</f>
        <v>1</v>
      </c>
      <c r="H5595" s="86">
        <f>SUMIFS('Climate Data'!$G$7:$G$366,'Climate Data'!$A$7:$A$366,Estimator!$B$4,'Climate Data'!$B$7:$B$366,C5595)</f>
        <v>0.25555555555555559</v>
      </c>
      <c r="I5595" s="87">
        <f>SUMIFS('Climate Data'!$H$7:$H$366,'Climate Data'!$A$7:$A$366,Estimator!$B$4,'Climate Data'!$B$7:$B$366,C5595)</f>
        <v>7.5</v>
      </c>
      <c r="J5595" s="86">
        <f>SUMIFS('Wind Proxy'!$H$8:$H$19,'Wind Proxy'!$A$8:$A$19,Estimator!$B$4,'Wind Proxy'!$B$8:$B$19,C5595)</f>
        <v>0</v>
      </c>
    </row>
    <row r="5596" spans="1:10" ht="14.4">
      <c r="A5596" s="84">
        <v>51247</v>
      </c>
      <c r="B5596" s="85">
        <v>2040</v>
      </c>
      <c r="C5596" s="85">
        <v>4</v>
      </c>
      <c r="D5596" s="85" t="s">
        <v>62</v>
      </c>
      <c r="E5596" s="85">
        <v>21</v>
      </c>
      <c r="F5596" s="85">
        <v>6</v>
      </c>
      <c r="G5596" s="85">
        <f>--(F5596&lt;=Estimator!$B$7)</f>
        <v>0</v>
      </c>
      <c r="H5596" s="86">
        <f>SUMIFS('Climate Data'!$G$7:$G$366,'Climate Data'!$A$7:$A$366,Estimator!$B$4,'Climate Data'!$B$7:$B$366,C5596)</f>
        <v>0.25555555555555559</v>
      </c>
      <c r="I5596" s="87">
        <f>SUMIFS('Climate Data'!$H$7:$H$366,'Climate Data'!$A$7:$A$366,Estimator!$B$4,'Climate Data'!$B$7:$B$366,C5596)</f>
        <v>7.5</v>
      </c>
      <c r="J5596" s="86">
        <f>SUMIFS('Wind Proxy'!$H$8:$H$19,'Wind Proxy'!$A$8:$A$19,Estimator!$B$4,'Wind Proxy'!$B$8:$B$19,C5596)</f>
        <v>0</v>
      </c>
    </row>
    <row r="5597" spans="1:10" ht="14.4">
      <c r="A5597" s="84">
        <v>51248</v>
      </c>
      <c r="B5597" s="85">
        <v>2040</v>
      </c>
      <c r="C5597" s="85">
        <v>4</v>
      </c>
      <c r="D5597" s="85" t="s">
        <v>62</v>
      </c>
      <c r="E5597" s="85">
        <v>22</v>
      </c>
      <c r="F5597" s="85">
        <v>7</v>
      </c>
      <c r="G5597" s="85">
        <f>--(F5597&lt;=Estimator!$B$7)</f>
        <v>0</v>
      </c>
      <c r="H5597" s="86">
        <f>SUMIFS('Climate Data'!$G$7:$G$366,'Climate Data'!$A$7:$A$366,Estimator!$B$4,'Climate Data'!$B$7:$B$366,C5597)</f>
        <v>0.25555555555555559</v>
      </c>
      <c r="I5597" s="87">
        <f>SUMIFS('Climate Data'!$H$7:$H$366,'Climate Data'!$A$7:$A$366,Estimator!$B$4,'Climate Data'!$B$7:$B$366,C5597)</f>
        <v>7.5</v>
      </c>
      <c r="J5597" s="86">
        <f>SUMIFS('Wind Proxy'!$H$8:$H$19,'Wind Proxy'!$A$8:$A$19,Estimator!$B$4,'Wind Proxy'!$B$8:$B$19,C5597)</f>
        <v>0</v>
      </c>
    </row>
    <row r="5598" spans="1:10" ht="14.4">
      <c r="A5598" s="84">
        <v>51249</v>
      </c>
      <c r="B5598" s="85">
        <v>2040</v>
      </c>
      <c r="C5598" s="85">
        <v>4</v>
      </c>
      <c r="D5598" s="85" t="s">
        <v>62</v>
      </c>
      <c r="E5598" s="85">
        <v>23</v>
      </c>
      <c r="F5598" s="85">
        <v>1</v>
      </c>
      <c r="G5598" s="85">
        <f>--(F5598&lt;=Estimator!$B$7)</f>
        <v>1</v>
      </c>
      <c r="H5598" s="86">
        <f>SUMIFS('Climate Data'!$G$7:$G$366,'Climate Data'!$A$7:$A$366,Estimator!$B$4,'Climate Data'!$B$7:$B$366,C5598)</f>
        <v>0.25555555555555559</v>
      </c>
      <c r="I5598" s="87">
        <f>SUMIFS('Climate Data'!$H$7:$H$366,'Climate Data'!$A$7:$A$366,Estimator!$B$4,'Climate Data'!$B$7:$B$366,C5598)</f>
        <v>7.5</v>
      </c>
      <c r="J5598" s="86">
        <f>SUMIFS('Wind Proxy'!$H$8:$H$19,'Wind Proxy'!$A$8:$A$19,Estimator!$B$4,'Wind Proxy'!$B$8:$B$19,C5598)</f>
        <v>0</v>
      </c>
    </row>
    <row r="5599" spans="1:10" ht="14.4">
      <c r="A5599" s="84">
        <v>51250</v>
      </c>
      <c r="B5599" s="85">
        <v>2040</v>
      </c>
      <c r="C5599" s="85">
        <v>4</v>
      </c>
      <c r="D5599" s="85" t="s">
        <v>62</v>
      </c>
      <c r="E5599" s="85">
        <v>24</v>
      </c>
      <c r="F5599" s="85">
        <v>2</v>
      </c>
      <c r="G5599" s="85">
        <f>--(F5599&lt;=Estimator!$B$7)</f>
        <v>1</v>
      </c>
      <c r="H5599" s="86">
        <f>SUMIFS('Climate Data'!$G$7:$G$366,'Climate Data'!$A$7:$A$366,Estimator!$B$4,'Climate Data'!$B$7:$B$366,C5599)</f>
        <v>0.25555555555555559</v>
      </c>
      <c r="I5599" s="87">
        <f>SUMIFS('Climate Data'!$H$7:$H$366,'Climate Data'!$A$7:$A$366,Estimator!$B$4,'Climate Data'!$B$7:$B$366,C5599)</f>
        <v>7.5</v>
      </c>
      <c r="J5599" s="86">
        <f>SUMIFS('Wind Proxy'!$H$8:$H$19,'Wind Proxy'!$A$8:$A$19,Estimator!$B$4,'Wind Proxy'!$B$8:$B$19,C5599)</f>
        <v>0</v>
      </c>
    </row>
    <row r="5600" spans="1:10" ht="14.4">
      <c r="A5600" s="84">
        <v>51251</v>
      </c>
      <c r="B5600" s="85">
        <v>2040</v>
      </c>
      <c r="C5600" s="85">
        <v>4</v>
      </c>
      <c r="D5600" s="85" t="s">
        <v>62</v>
      </c>
      <c r="E5600" s="85">
        <v>25</v>
      </c>
      <c r="F5600" s="85">
        <v>3</v>
      </c>
      <c r="G5600" s="85">
        <f>--(F5600&lt;=Estimator!$B$7)</f>
        <v>1</v>
      </c>
      <c r="H5600" s="86">
        <f>SUMIFS('Climate Data'!$G$7:$G$366,'Climate Data'!$A$7:$A$366,Estimator!$B$4,'Climate Data'!$B$7:$B$366,C5600)</f>
        <v>0.25555555555555559</v>
      </c>
      <c r="I5600" s="87">
        <f>SUMIFS('Climate Data'!$H$7:$H$366,'Climate Data'!$A$7:$A$366,Estimator!$B$4,'Climate Data'!$B$7:$B$366,C5600)</f>
        <v>7.5</v>
      </c>
      <c r="J5600" s="86">
        <f>SUMIFS('Wind Proxy'!$H$8:$H$19,'Wind Proxy'!$A$8:$A$19,Estimator!$B$4,'Wind Proxy'!$B$8:$B$19,C5600)</f>
        <v>0</v>
      </c>
    </row>
    <row r="5601" spans="1:10" ht="14.4">
      <c r="A5601" s="84">
        <v>51252</v>
      </c>
      <c r="B5601" s="85">
        <v>2040</v>
      </c>
      <c r="C5601" s="85">
        <v>4</v>
      </c>
      <c r="D5601" s="85" t="s">
        <v>62</v>
      </c>
      <c r="E5601" s="85">
        <v>26</v>
      </c>
      <c r="F5601" s="85">
        <v>4</v>
      </c>
      <c r="G5601" s="85">
        <f>--(F5601&lt;=Estimator!$B$7)</f>
        <v>1</v>
      </c>
      <c r="H5601" s="86">
        <f>SUMIFS('Climate Data'!$G$7:$G$366,'Climate Data'!$A$7:$A$366,Estimator!$B$4,'Climate Data'!$B$7:$B$366,C5601)</f>
        <v>0.25555555555555559</v>
      </c>
      <c r="I5601" s="87">
        <f>SUMIFS('Climate Data'!$H$7:$H$366,'Climate Data'!$A$7:$A$366,Estimator!$B$4,'Climate Data'!$B$7:$B$366,C5601)</f>
        <v>7.5</v>
      </c>
      <c r="J5601" s="86">
        <f>SUMIFS('Wind Proxy'!$H$8:$H$19,'Wind Proxy'!$A$8:$A$19,Estimator!$B$4,'Wind Proxy'!$B$8:$B$19,C5601)</f>
        <v>0</v>
      </c>
    </row>
    <row r="5602" spans="1:10" ht="14.4">
      <c r="A5602" s="84">
        <v>51253</v>
      </c>
      <c r="B5602" s="85">
        <v>2040</v>
      </c>
      <c r="C5602" s="85">
        <v>4</v>
      </c>
      <c r="D5602" s="85" t="s">
        <v>62</v>
      </c>
      <c r="E5602" s="85">
        <v>27</v>
      </c>
      <c r="F5602" s="85">
        <v>5</v>
      </c>
      <c r="G5602" s="85">
        <f>--(F5602&lt;=Estimator!$B$7)</f>
        <v>1</v>
      </c>
      <c r="H5602" s="86">
        <f>SUMIFS('Climate Data'!$G$7:$G$366,'Climate Data'!$A$7:$A$366,Estimator!$B$4,'Climate Data'!$B$7:$B$366,C5602)</f>
        <v>0.25555555555555559</v>
      </c>
      <c r="I5602" s="87">
        <f>SUMIFS('Climate Data'!$H$7:$H$366,'Climate Data'!$A$7:$A$366,Estimator!$B$4,'Climate Data'!$B$7:$B$366,C5602)</f>
        <v>7.5</v>
      </c>
      <c r="J5602" s="86">
        <f>SUMIFS('Wind Proxy'!$H$8:$H$19,'Wind Proxy'!$A$8:$A$19,Estimator!$B$4,'Wind Proxy'!$B$8:$B$19,C5602)</f>
        <v>0</v>
      </c>
    </row>
    <row r="5603" spans="1:10" ht="14.4">
      <c r="A5603" s="84">
        <v>51254</v>
      </c>
      <c r="B5603" s="85">
        <v>2040</v>
      </c>
      <c r="C5603" s="85">
        <v>4</v>
      </c>
      <c r="D5603" s="85" t="s">
        <v>62</v>
      </c>
      <c r="E5603" s="85">
        <v>28</v>
      </c>
      <c r="F5603" s="85">
        <v>6</v>
      </c>
      <c r="G5603" s="85">
        <f>--(F5603&lt;=Estimator!$B$7)</f>
        <v>0</v>
      </c>
      <c r="H5603" s="86">
        <f>SUMIFS('Climate Data'!$G$7:$G$366,'Climate Data'!$A$7:$A$366,Estimator!$B$4,'Climate Data'!$B$7:$B$366,C5603)</f>
        <v>0.25555555555555559</v>
      </c>
      <c r="I5603" s="87">
        <f>SUMIFS('Climate Data'!$H$7:$H$366,'Climate Data'!$A$7:$A$366,Estimator!$B$4,'Climate Data'!$B$7:$B$366,C5603)</f>
        <v>7.5</v>
      </c>
      <c r="J5603" s="86">
        <f>SUMIFS('Wind Proxy'!$H$8:$H$19,'Wind Proxy'!$A$8:$A$19,Estimator!$B$4,'Wind Proxy'!$B$8:$B$19,C5603)</f>
        <v>0</v>
      </c>
    </row>
    <row r="5604" spans="1:10" ht="14.4">
      <c r="A5604" s="84">
        <v>51255</v>
      </c>
      <c r="B5604" s="85">
        <v>2040</v>
      </c>
      <c r="C5604" s="85">
        <v>4</v>
      </c>
      <c r="D5604" s="85" t="s">
        <v>62</v>
      </c>
      <c r="E5604" s="85">
        <v>29</v>
      </c>
      <c r="F5604" s="85">
        <v>7</v>
      </c>
      <c r="G5604" s="85">
        <f>--(F5604&lt;=Estimator!$B$7)</f>
        <v>0</v>
      </c>
      <c r="H5604" s="86">
        <f>SUMIFS('Climate Data'!$G$7:$G$366,'Climate Data'!$A$7:$A$366,Estimator!$B$4,'Climate Data'!$B$7:$B$366,C5604)</f>
        <v>0.25555555555555559</v>
      </c>
      <c r="I5604" s="87">
        <f>SUMIFS('Climate Data'!$H$7:$H$366,'Climate Data'!$A$7:$A$366,Estimator!$B$4,'Climate Data'!$B$7:$B$366,C5604)</f>
        <v>7.5</v>
      </c>
      <c r="J5604" s="86">
        <f>SUMIFS('Wind Proxy'!$H$8:$H$19,'Wind Proxy'!$A$8:$A$19,Estimator!$B$4,'Wind Proxy'!$B$8:$B$19,C5604)</f>
        <v>0</v>
      </c>
    </row>
    <row r="5605" spans="1:10" ht="14.4">
      <c r="A5605" s="84">
        <v>51256</v>
      </c>
      <c r="B5605" s="85">
        <v>2040</v>
      </c>
      <c r="C5605" s="85">
        <v>4</v>
      </c>
      <c r="D5605" s="85" t="s">
        <v>62</v>
      </c>
      <c r="E5605" s="85">
        <v>30</v>
      </c>
      <c r="F5605" s="85">
        <v>1</v>
      </c>
      <c r="G5605" s="85">
        <f>--(F5605&lt;=Estimator!$B$7)</f>
        <v>1</v>
      </c>
      <c r="H5605" s="86">
        <f>SUMIFS('Climate Data'!$G$7:$G$366,'Climate Data'!$A$7:$A$366,Estimator!$B$4,'Climate Data'!$B$7:$B$366,C5605)</f>
        <v>0.25555555555555559</v>
      </c>
      <c r="I5605" s="87">
        <f>SUMIFS('Climate Data'!$H$7:$H$366,'Climate Data'!$A$7:$A$366,Estimator!$B$4,'Climate Data'!$B$7:$B$366,C5605)</f>
        <v>7.5</v>
      </c>
      <c r="J5605" s="86">
        <f>SUMIFS('Wind Proxy'!$H$8:$H$19,'Wind Proxy'!$A$8:$A$19,Estimator!$B$4,'Wind Proxy'!$B$8:$B$19,C5605)</f>
        <v>0</v>
      </c>
    </row>
    <row r="5606" spans="1:10" ht="14.4">
      <c r="A5606" s="84">
        <v>51257</v>
      </c>
      <c r="B5606" s="85">
        <v>2040</v>
      </c>
      <c r="C5606" s="85">
        <v>5</v>
      </c>
      <c r="D5606" s="85" t="s">
        <v>65</v>
      </c>
      <c r="E5606" s="85">
        <v>1</v>
      </c>
      <c r="F5606" s="85">
        <v>2</v>
      </c>
      <c r="G5606" s="85">
        <f>--(F5606&lt;=Estimator!$B$7)</f>
        <v>1</v>
      </c>
      <c r="H5606" s="86">
        <f>SUMIFS('Climate Data'!$G$7:$G$366,'Climate Data'!$A$7:$A$366,Estimator!$B$4,'Climate Data'!$B$7:$B$366,C5606)</f>
        <v>0.23010752688172045</v>
      </c>
      <c r="I5606" s="87">
        <f>SUMIFS('Climate Data'!$H$7:$H$366,'Climate Data'!$A$7:$A$366,Estimator!$B$4,'Climate Data'!$B$7:$B$366,C5606)</f>
        <v>8.1448598130841123</v>
      </c>
      <c r="J5606" s="86">
        <f>SUMIFS('Wind Proxy'!$H$8:$H$19,'Wind Proxy'!$A$8:$A$19,Estimator!$B$4,'Wind Proxy'!$B$8:$B$19,C5606)</f>
        <v>0</v>
      </c>
    </row>
    <row r="5607" spans="1:10" ht="14.4">
      <c r="A5607" s="84">
        <v>51258</v>
      </c>
      <c r="B5607" s="85">
        <v>2040</v>
      </c>
      <c r="C5607" s="85">
        <v>5</v>
      </c>
      <c r="D5607" s="85" t="s">
        <v>65</v>
      </c>
      <c r="E5607" s="85">
        <v>2</v>
      </c>
      <c r="F5607" s="85">
        <v>3</v>
      </c>
      <c r="G5607" s="85">
        <f>--(F5607&lt;=Estimator!$B$7)</f>
        <v>1</v>
      </c>
      <c r="H5607" s="86">
        <f>SUMIFS('Climate Data'!$G$7:$G$366,'Climate Data'!$A$7:$A$366,Estimator!$B$4,'Climate Data'!$B$7:$B$366,C5607)</f>
        <v>0.23010752688172045</v>
      </c>
      <c r="I5607" s="87">
        <f>SUMIFS('Climate Data'!$H$7:$H$366,'Climate Data'!$A$7:$A$366,Estimator!$B$4,'Climate Data'!$B$7:$B$366,C5607)</f>
        <v>8.1448598130841123</v>
      </c>
      <c r="J5607" s="86">
        <f>SUMIFS('Wind Proxy'!$H$8:$H$19,'Wind Proxy'!$A$8:$A$19,Estimator!$B$4,'Wind Proxy'!$B$8:$B$19,C5607)</f>
        <v>0</v>
      </c>
    </row>
    <row r="5608" spans="1:10" ht="14.4">
      <c r="A5608" s="84">
        <v>51259</v>
      </c>
      <c r="B5608" s="85">
        <v>2040</v>
      </c>
      <c r="C5608" s="85">
        <v>5</v>
      </c>
      <c r="D5608" s="85" t="s">
        <v>65</v>
      </c>
      <c r="E5608" s="85">
        <v>3</v>
      </c>
      <c r="F5608" s="85">
        <v>4</v>
      </c>
      <c r="G5608" s="85">
        <f>--(F5608&lt;=Estimator!$B$7)</f>
        <v>1</v>
      </c>
      <c r="H5608" s="86">
        <f>SUMIFS('Climate Data'!$G$7:$G$366,'Climate Data'!$A$7:$A$366,Estimator!$B$4,'Climate Data'!$B$7:$B$366,C5608)</f>
        <v>0.23010752688172045</v>
      </c>
      <c r="I5608" s="87">
        <f>SUMIFS('Climate Data'!$H$7:$H$366,'Climate Data'!$A$7:$A$366,Estimator!$B$4,'Climate Data'!$B$7:$B$366,C5608)</f>
        <v>8.1448598130841123</v>
      </c>
      <c r="J5608" s="86">
        <f>SUMIFS('Wind Proxy'!$H$8:$H$19,'Wind Proxy'!$A$8:$A$19,Estimator!$B$4,'Wind Proxy'!$B$8:$B$19,C5608)</f>
        <v>0</v>
      </c>
    </row>
    <row r="5609" spans="1:10" ht="14.4">
      <c r="A5609" s="84">
        <v>51260</v>
      </c>
      <c r="B5609" s="85">
        <v>2040</v>
      </c>
      <c r="C5609" s="85">
        <v>5</v>
      </c>
      <c r="D5609" s="85" t="s">
        <v>65</v>
      </c>
      <c r="E5609" s="85">
        <v>4</v>
      </c>
      <c r="F5609" s="85">
        <v>5</v>
      </c>
      <c r="G5609" s="85">
        <f>--(F5609&lt;=Estimator!$B$7)</f>
        <v>1</v>
      </c>
      <c r="H5609" s="86">
        <f>SUMIFS('Climate Data'!$G$7:$G$366,'Climate Data'!$A$7:$A$366,Estimator!$B$4,'Climate Data'!$B$7:$B$366,C5609)</f>
        <v>0.23010752688172045</v>
      </c>
      <c r="I5609" s="87">
        <f>SUMIFS('Climate Data'!$H$7:$H$366,'Climate Data'!$A$7:$A$366,Estimator!$B$4,'Climate Data'!$B$7:$B$366,C5609)</f>
        <v>8.1448598130841123</v>
      </c>
      <c r="J5609" s="86">
        <f>SUMIFS('Wind Proxy'!$H$8:$H$19,'Wind Proxy'!$A$8:$A$19,Estimator!$B$4,'Wind Proxy'!$B$8:$B$19,C5609)</f>
        <v>0</v>
      </c>
    </row>
    <row r="5610" spans="1:10" ht="14.4">
      <c r="A5610" s="84">
        <v>51261</v>
      </c>
      <c r="B5610" s="85">
        <v>2040</v>
      </c>
      <c r="C5610" s="85">
        <v>5</v>
      </c>
      <c r="D5610" s="85" t="s">
        <v>65</v>
      </c>
      <c r="E5610" s="85">
        <v>5</v>
      </c>
      <c r="F5610" s="85">
        <v>6</v>
      </c>
      <c r="G5610" s="85">
        <f>--(F5610&lt;=Estimator!$B$7)</f>
        <v>0</v>
      </c>
      <c r="H5610" s="86">
        <f>SUMIFS('Climate Data'!$G$7:$G$366,'Climate Data'!$A$7:$A$366,Estimator!$B$4,'Climate Data'!$B$7:$B$366,C5610)</f>
        <v>0.23010752688172045</v>
      </c>
      <c r="I5610" s="87">
        <f>SUMIFS('Climate Data'!$H$7:$H$366,'Climate Data'!$A$7:$A$366,Estimator!$B$4,'Climate Data'!$B$7:$B$366,C5610)</f>
        <v>8.1448598130841123</v>
      </c>
      <c r="J5610" s="86">
        <f>SUMIFS('Wind Proxy'!$H$8:$H$19,'Wind Proxy'!$A$8:$A$19,Estimator!$B$4,'Wind Proxy'!$B$8:$B$19,C5610)</f>
        <v>0</v>
      </c>
    </row>
    <row r="5611" spans="1:10" ht="14.4">
      <c r="A5611" s="84">
        <v>51262</v>
      </c>
      <c r="B5611" s="85">
        <v>2040</v>
      </c>
      <c r="C5611" s="85">
        <v>5</v>
      </c>
      <c r="D5611" s="85" t="s">
        <v>65</v>
      </c>
      <c r="E5611" s="85">
        <v>6</v>
      </c>
      <c r="F5611" s="85">
        <v>7</v>
      </c>
      <c r="G5611" s="85">
        <f>--(F5611&lt;=Estimator!$B$7)</f>
        <v>0</v>
      </c>
      <c r="H5611" s="86">
        <f>SUMIFS('Climate Data'!$G$7:$G$366,'Climate Data'!$A$7:$A$366,Estimator!$B$4,'Climate Data'!$B$7:$B$366,C5611)</f>
        <v>0.23010752688172045</v>
      </c>
      <c r="I5611" s="87">
        <f>SUMIFS('Climate Data'!$H$7:$H$366,'Climate Data'!$A$7:$A$366,Estimator!$B$4,'Climate Data'!$B$7:$B$366,C5611)</f>
        <v>8.1448598130841123</v>
      </c>
      <c r="J5611" s="86">
        <f>SUMIFS('Wind Proxy'!$H$8:$H$19,'Wind Proxy'!$A$8:$A$19,Estimator!$B$4,'Wind Proxy'!$B$8:$B$19,C5611)</f>
        <v>0</v>
      </c>
    </row>
    <row r="5612" spans="1:10" ht="14.4">
      <c r="A5612" s="84">
        <v>51263</v>
      </c>
      <c r="B5612" s="85">
        <v>2040</v>
      </c>
      <c r="C5612" s="85">
        <v>5</v>
      </c>
      <c r="D5612" s="85" t="s">
        <v>65</v>
      </c>
      <c r="E5612" s="85">
        <v>7</v>
      </c>
      <c r="F5612" s="85">
        <v>1</v>
      </c>
      <c r="G5612" s="85">
        <f>--(F5612&lt;=Estimator!$B$7)</f>
        <v>1</v>
      </c>
      <c r="H5612" s="86">
        <f>SUMIFS('Climate Data'!$G$7:$G$366,'Climate Data'!$A$7:$A$366,Estimator!$B$4,'Climate Data'!$B$7:$B$366,C5612)</f>
        <v>0.23010752688172045</v>
      </c>
      <c r="I5612" s="87">
        <f>SUMIFS('Climate Data'!$H$7:$H$366,'Climate Data'!$A$7:$A$366,Estimator!$B$4,'Climate Data'!$B$7:$B$366,C5612)</f>
        <v>8.1448598130841123</v>
      </c>
      <c r="J5612" s="86">
        <f>SUMIFS('Wind Proxy'!$H$8:$H$19,'Wind Proxy'!$A$8:$A$19,Estimator!$B$4,'Wind Proxy'!$B$8:$B$19,C5612)</f>
        <v>0</v>
      </c>
    </row>
    <row r="5613" spans="1:10" ht="14.4">
      <c r="A5613" s="84">
        <v>51264</v>
      </c>
      <c r="B5613" s="85">
        <v>2040</v>
      </c>
      <c r="C5613" s="85">
        <v>5</v>
      </c>
      <c r="D5613" s="85" t="s">
        <v>65</v>
      </c>
      <c r="E5613" s="85">
        <v>8</v>
      </c>
      <c r="F5613" s="85">
        <v>2</v>
      </c>
      <c r="G5613" s="85">
        <f>--(F5613&lt;=Estimator!$B$7)</f>
        <v>1</v>
      </c>
      <c r="H5613" s="86">
        <f>SUMIFS('Climate Data'!$G$7:$G$366,'Climate Data'!$A$7:$A$366,Estimator!$B$4,'Climate Data'!$B$7:$B$366,C5613)</f>
        <v>0.23010752688172045</v>
      </c>
      <c r="I5613" s="87">
        <f>SUMIFS('Climate Data'!$H$7:$H$366,'Climate Data'!$A$7:$A$366,Estimator!$B$4,'Climate Data'!$B$7:$B$366,C5613)</f>
        <v>8.1448598130841123</v>
      </c>
      <c r="J5613" s="86">
        <f>SUMIFS('Wind Proxy'!$H$8:$H$19,'Wind Proxy'!$A$8:$A$19,Estimator!$B$4,'Wind Proxy'!$B$8:$B$19,C5613)</f>
        <v>0</v>
      </c>
    </row>
    <row r="5614" spans="1:10" ht="14.4">
      <c r="A5614" s="84">
        <v>51265</v>
      </c>
      <c r="B5614" s="85">
        <v>2040</v>
      </c>
      <c r="C5614" s="85">
        <v>5</v>
      </c>
      <c r="D5614" s="85" t="s">
        <v>65</v>
      </c>
      <c r="E5614" s="85">
        <v>9</v>
      </c>
      <c r="F5614" s="85">
        <v>3</v>
      </c>
      <c r="G5614" s="85">
        <f>--(F5614&lt;=Estimator!$B$7)</f>
        <v>1</v>
      </c>
      <c r="H5614" s="86">
        <f>SUMIFS('Climate Data'!$G$7:$G$366,'Climate Data'!$A$7:$A$366,Estimator!$B$4,'Climate Data'!$B$7:$B$366,C5614)</f>
        <v>0.23010752688172045</v>
      </c>
      <c r="I5614" s="87">
        <f>SUMIFS('Climate Data'!$H$7:$H$366,'Climate Data'!$A$7:$A$366,Estimator!$B$4,'Climate Data'!$B$7:$B$366,C5614)</f>
        <v>8.1448598130841123</v>
      </c>
      <c r="J5614" s="86">
        <f>SUMIFS('Wind Proxy'!$H$8:$H$19,'Wind Proxy'!$A$8:$A$19,Estimator!$B$4,'Wind Proxy'!$B$8:$B$19,C5614)</f>
        <v>0</v>
      </c>
    </row>
    <row r="5615" spans="1:10" ht="14.4">
      <c r="A5615" s="84">
        <v>51266</v>
      </c>
      <c r="B5615" s="85">
        <v>2040</v>
      </c>
      <c r="C5615" s="85">
        <v>5</v>
      </c>
      <c r="D5615" s="85" t="s">
        <v>65</v>
      </c>
      <c r="E5615" s="85">
        <v>10</v>
      </c>
      <c r="F5615" s="85">
        <v>4</v>
      </c>
      <c r="G5615" s="85">
        <f>--(F5615&lt;=Estimator!$B$7)</f>
        <v>1</v>
      </c>
      <c r="H5615" s="86">
        <f>SUMIFS('Climate Data'!$G$7:$G$366,'Climate Data'!$A$7:$A$366,Estimator!$B$4,'Climate Data'!$B$7:$B$366,C5615)</f>
        <v>0.23010752688172045</v>
      </c>
      <c r="I5615" s="87">
        <f>SUMIFS('Climate Data'!$H$7:$H$366,'Climate Data'!$A$7:$A$366,Estimator!$B$4,'Climate Data'!$B$7:$B$366,C5615)</f>
        <v>8.1448598130841123</v>
      </c>
      <c r="J5615" s="86">
        <f>SUMIFS('Wind Proxy'!$H$8:$H$19,'Wind Proxy'!$A$8:$A$19,Estimator!$B$4,'Wind Proxy'!$B$8:$B$19,C5615)</f>
        <v>0</v>
      </c>
    </row>
    <row r="5616" spans="1:10" ht="14.4">
      <c r="A5616" s="84">
        <v>51267</v>
      </c>
      <c r="B5616" s="85">
        <v>2040</v>
      </c>
      <c r="C5616" s="85">
        <v>5</v>
      </c>
      <c r="D5616" s="85" t="s">
        <v>65</v>
      </c>
      <c r="E5616" s="85">
        <v>11</v>
      </c>
      <c r="F5616" s="85">
        <v>5</v>
      </c>
      <c r="G5616" s="85">
        <f>--(F5616&lt;=Estimator!$B$7)</f>
        <v>1</v>
      </c>
      <c r="H5616" s="86">
        <f>SUMIFS('Climate Data'!$G$7:$G$366,'Climate Data'!$A$7:$A$366,Estimator!$B$4,'Climate Data'!$B$7:$B$366,C5616)</f>
        <v>0.23010752688172045</v>
      </c>
      <c r="I5616" s="87">
        <f>SUMIFS('Climate Data'!$H$7:$H$366,'Climate Data'!$A$7:$A$366,Estimator!$B$4,'Climate Data'!$B$7:$B$366,C5616)</f>
        <v>8.1448598130841123</v>
      </c>
      <c r="J5616" s="86">
        <f>SUMIFS('Wind Proxy'!$H$8:$H$19,'Wind Proxy'!$A$8:$A$19,Estimator!$B$4,'Wind Proxy'!$B$8:$B$19,C5616)</f>
        <v>0</v>
      </c>
    </row>
    <row r="5617" spans="1:10" ht="14.4">
      <c r="A5617" s="84">
        <v>51268</v>
      </c>
      <c r="B5617" s="85">
        <v>2040</v>
      </c>
      <c r="C5617" s="85">
        <v>5</v>
      </c>
      <c r="D5617" s="85" t="s">
        <v>65</v>
      </c>
      <c r="E5617" s="85">
        <v>12</v>
      </c>
      <c r="F5617" s="85">
        <v>6</v>
      </c>
      <c r="G5617" s="85">
        <f>--(F5617&lt;=Estimator!$B$7)</f>
        <v>0</v>
      </c>
      <c r="H5617" s="86">
        <f>SUMIFS('Climate Data'!$G$7:$G$366,'Climate Data'!$A$7:$A$366,Estimator!$B$4,'Climate Data'!$B$7:$B$366,C5617)</f>
        <v>0.23010752688172045</v>
      </c>
      <c r="I5617" s="87">
        <f>SUMIFS('Climate Data'!$H$7:$H$366,'Climate Data'!$A$7:$A$366,Estimator!$B$4,'Climate Data'!$B$7:$B$366,C5617)</f>
        <v>8.1448598130841123</v>
      </c>
      <c r="J5617" s="86">
        <f>SUMIFS('Wind Proxy'!$H$8:$H$19,'Wind Proxy'!$A$8:$A$19,Estimator!$B$4,'Wind Proxy'!$B$8:$B$19,C5617)</f>
        <v>0</v>
      </c>
    </row>
    <row r="5618" spans="1:10" ht="14.4">
      <c r="A5618" s="84">
        <v>51269</v>
      </c>
      <c r="B5618" s="85">
        <v>2040</v>
      </c>
      <c r="C5618" s="85">
        <v>5</v>
      </c>
      <c r="D5618" s="85" t="s">
        <v>65</v>
      </c>
      <c r="E5618" s="85">
        <v>13</v>
      </c>
      <c r="F5618" s="85">
        <v>7</v>
      </c>
      <c r="G5618" s="85">
        <f>--(F5618&lt;=Estimator!$B$7)</f>
        <v>0</v>
      </c>
      <c r="H5618" s="86">
        <f>SUMIFS('Climate Data'!$G$7:$G$366,'Climate Data'!$A$7:$A$366,Estimator!$B$4,'Climate Data'!$B$7:$B$366,C5618)</f>
        <v>0.23010752688172045</v>
      </c>
      <c r="I5618" s="87">
        <f>SUMIFS('Climate Data'!$H$7:$H$366,'Climate Data'!$A$7:$A$366,Estimator!$B$4,'Climate Data'!$B$7:$B$366,C5618)</f>
        <v>8.1448598130841123</v>
      </c>
      <c r="J5618" s="86">
        <f>SUMIFS('Wind Proxy'!$H$8:$H$19,'Wind Proxy'!$A$8:$A$19,Estimator!$B$4,'Wind Proxy'!$B$8:$B$19,C5618)</f>
        <v>0</v>
      </c>
    </row>
    <row r="5619" spans="1:10" ht="14.4">
      <c r="A5619" s="84">
        <v>51270</v>
      </c>
      <c r="B5619" s="85">
        <v>2040</v>
      </c>
      <c r="C5619" s="85">
        <v>5</v>
      </c>
      <c r="D5619" s="85" t="s">
        <v>65</v>
      </c>
      <c r="E5619" s="85">
        <v>14</v>
      </c>
      <c r="F5619" s="85">
        <v>1</v>
      </c>
      <c r="G5619" s="85">
        <f>--(F5619&lt;=Estimator!$B$7)</f>
        <v>1</v>
      </c>
      <c r="H5619" s="86">
        <f>SUMIFS('Climate Data'!$G$7:$G$366,'Climate Data'!$A$7:$A$366,Estimator!$B$4,'Climate Data'!$B$7:$B$366,C5619)</f>
        <v>0.23010752688172045</v>
      </c>
      <c r="I5619" s="87">
        <f>SUMIFS('Climate Data'!$H$7:$H$366,'Climate Data'!$A$7:$A$366,Estimator!$B$4,'Climate Data'!$B$7:$B$366,C5619)</f>
        <v>8.1448598130841123</v>
      </c>
      <c r="J5619" s="86">
        <f>SUMIFS('Wind Proxy'!$H$8:$H$19,'Wind Proxy'!$A$8:$A$19,Estimator!$B$4,'Wind Proxy'!$B$8:$B$19,C5619)</f>
        <v>0</v>
      </c>
    </row>
    <row r="5620" spans="1:10" ht="14.4">
      <c r="A5620" s="84">
        <v>51271</v>
      </c>
      <c r="B5620" s="85">
        <v>2040</v>
      </c>
      <c r="C5620" s="85">
        <v>5</v>
      </c>
      <c r="D5620" s="85" t="s">
        <v>65</v>
      </c>
      <c r="E5620" s="85">
        <v>15</v>
      </c>
      <c r="F5620" s="85">
        <v>2</v>
      </c>
      <c r="G5620" s="85">
        <f>--(F5620&lt;=Estimator!$B$7)</f>
        <v>1</v>
      </c>
      <c r="H5620" s="86">
        <f>SUMIFS('Climate Data'!$G$7:$G$366,'Climate Data'!$A$7:$A$366,Estimator!$B$4,'Climate Data'!$B$7:$B$366,C5620)</f>
        <v>0.23010752688172045</v>
      </c>
      <c r="I5620" s="87">
        <f>SUMIFS('Climate Data'!$H$7:$H$366,'Climate Data'!$A$7:$A$366,Estimator!$B$4,'Climate Data'!$B$7:$B$366,C5620)</f>
        <v>8.1448598130841123</v>
      </c>
      <c r="J5620" s="86">
        <f>SUMIFS('Wind Proxy'!$H$8:$H$19,'Wind Proxy'!$A$8:$A$19,Estimator!$B$4,'Wind Proxy'!$B$8:$B$19,C5620)</f>
        <v>0</v>
      </c>
    </row>
    <row r="5621" spans="1:10" ht="14.4">
      <c r="A5621" s="84">
        <v>51272</v>
      </c>
      <c r="B5621" s="85">
        <v>2040</v>
      </c>
      <c r="C5621" s="85">
        <v>5</v>
      </c>
      <c r="D5621" s="85" t="s">
        <v>65</v>
      </c>
      <c r="E5621" s="85">
        <v>16</v>
      </c>
      <c r="F5621" s="85">
        <v>3</v>
      </c>
      <c r="G5621" s="85">
        <f>--(F5621&lt;=Estimator!$B$7)</f>
        <v>1</v>
      </c>
      <c r="H5621" s="86">
        <f>SUMIFS('Climate Data'!$G$7:$G$366,'Climate Data'!$A$7:$A$366,Estimator!$B$4,'Climate Data'!$B$7:$B$366,C5621)</f>
        <v>0.23010752688172045</v>
      </c>
      <c r="I5621" s="87">
        <f>SUMIFS('Climate Data'!$H$7:$H$366,'Climate Data'!$A$7:$A$366,Estimator!$B$4,'Climate Data'!$B$7:$B$366,C5621)</f>
        <v>8.1448598130841123</v>
      </c>
      <c r="J5621" s="86">
        <f>SUMIFS('Wind Proxy'!$H$8:$H$19,'Wind Proxy'!$A$8:$A$19,Estimator!$B$4,'Wind Proxy'!$B$8:$B$19,C5621)</f>
        <v>0</v>
      </c>
    </row>
    <row r="5622" spans="1:10" ht="14.4">
      <c r="A5622" s="84">
        <v>51273</v>
      </c>
      <c r="B5622" s="85">
        <v>2040</v>
      </c>
      <c r="C5622" s="85">
        <v>5</v>
      </c>
      <c r="D5622" s="85" t="s">
        <v>65</v>
      </c>
      <c r="E5622" s="85">
        <v>17</v>
      </c>
      <c r="F5622" s="85">
        <v>4</v>
      </c>
      <c r="G5622" s="85">
        <f>--(F5622&lt;=Estimator!$B$7)</f>
        <v>1</v>
      </c>
      <c r="H5622" s="86">
        <f>SUMIFS('Climate Data'!$G$7:$G$366,'Climate Data'!$A$7:$A$366,Estimator!$B$4,'Climate Data'!$B$7:$B$366,C5622)</f>
        <v>0.23010752688172045</v>
      </c>
      <c r="I5622" s="87">
        <f>SUMIFS('Climate Data'!$H$7:$H$366,'Climate Data'!$A$7:$A$366,Estimator!$B$4,'Climate Data'!$B$7:$B$366,C5622)</f>
        <v>8.1448598130841123</v>
      </c>
      <c r="J5622" s="86">
        <f>SUMIFS('Wind Proxy'!$H$8:$H$19,'Wind Proxy'!$A$8:$A$19,Estimator!$B$4,'Wind Proxy'!$B$8:$B$19,C5622)</f>
        <v>0</v>
      </c>
    </row>
    <row r="5623" spans="1:10" ht="14.4">
      <c r="A5623" s="84">
        <v>51274</v>
      </c>
      <c r="B5623" s="85">
        <v>2040</v>
      </c>
      <c r="C5623" s="85">
        <v>5</v>
      </c>
      <c r="D5623" s="85" t="s">
        <v>65</v>
      </c>
      <c r="E5623" s="85">
        <v>18</v>
      </c>
      <c r="F5623" s="85">
        <v>5</v>
      </c>
      <c r="G5623" s="85">
        <f>--(F5623&lt;=Estimator!$B$7)</f>
        <v>1</v>
      </c>
      <c r="H5623" s="86">
        <f>SUMIFS('Climate Data'!$G$7:$G$366,'Climate Data'!$A$7:$A$366,Estimator!$B$4,'Climate Data'!$B$7:$B$366,C5623)</f>
        <v>0.23010752688172045</v>
      </c>
      <c r="I5623" s="87">
        <f>SUMIFS('Climate Data'!$H$7:$H$366,'Climate Data'!$A$7:$A$366,Estimator!$B$4,'Climate Data'!$B$7:$B$366,C5623)</f>
        <v>8.1448598130841123</v>
      </c>
      <c r="J5623" s="86">
        <f>SUMIFS('Wind Proxy'!$H$8:$H$19,'Wind Proxy'!$A$8:$A$19,Estimator!$B$4,'Wind Proxy'!$B$8:$B$19,C5623)</f>
        <v>0</v>
      </c>
    </row>
    <row r="5624" spans="1:10" ht="14.4">
      <c r="A5624" s="84">
        <v>51275</v>
      </c>
      <c r="B5624" s="85">
        <v>2040</v>
      </c>
      <c r="C5624" s="85">
        <v>5</v>
      </c>
      <c r="D5624" s="85" t="s">
        <v>65</v>
      </c>
      <c r="E5624" s="85">
        <v>19</v>
      </c>
      <c r="F5624" s="85">
        <v>6</v>
      </c>
      <c r="G5624" s="85">
        <f>--(F5624&lt;=Estimator!$B$7)</f>
        <v>0</v>
      </c>
      <c r="H5624" s="86">
        <f>SUMIFS('Climate Data'!$G$7:$G$366,'Climate Data'!$A$7:$A$366,Estimator!$B$4,'Climate Data'!$B$7:$B$366,C5624)</f>
        <v>0.23010752688172045</v>
      </c>
      <c r="I5624" s="87">
        <f>SUMIFS('Climate Data'!$H$7:$H$366,'Climate Data'!$A$7:$A$366,Estimator!$B$4,'Climate Data'!$B$7:$B$366,C5624)</f>
        <v>8.1448598130841123</v>
      </c>
      <c r="J5624" s="86">
        <f>SUMIFS('Wind Proxy'!$H$8:$H$19,'Wind Proxy'!$A$8:$A$19,Estimator!$B$4,'Wind Proxy'!$B$8:$B$19,C5624)</f>
        <v>0</v>
      </c>
    </row>
    <row r="5625" spans="1:10" ht="14.4">
      <c r="A5625" s="84">
        <v>51276</v>
      </c>
      <c r="B5625" s="85">
        <v>2040</v>
      </c>
      <c r="C5625" s="85">
        <v>5</v>
      </c>
      <c r="D5625" s="85" t="s">
        <v>65</v>
      </c>
      <c r="E5625" s="85">
        <v>20</v>
      </c>
      <c r="F5625" s="85">
        <v>7</v>
      </c>
      <c r="G5625" s="85">
        <f>--(F5625&lt;=Estimator!$B$7)</f>
        <v>0</v>
      </c>
      <c r="H5625" s="86">
        <f>SUMIFS('Climate Data'!$G$7:$G$366,'Climate Data'!$A$7:$A$366,Estimator!$B$4,'Climate Data'!$B$7:$B$366,C5625)</f>
        <v>0.23010752688172045</v>
      </c>
      <c r="I5625" s="87">
        <f>SUMIFS('Climate Data'!$H$7:$H$366,'Climate Data'!$A$7:$A$366,Estimator!$B$4,'Climate Data'!$B$7:$B$366,C5625)</f>
        <v>8.1448598130841123</v>
      </c>
      <c r="J5625" s="86">
        <f>SUMIFS('Wind Proxy'!$H$8:$H$19,'Wind Proxy'!$A$8:$A$19,Estimator!$B$4,'Wind Proxy'!$B$8:$B$19,C5625)</f>
        <v>0</v>
      </c>
    </row>
    <row r="5626" spans="1:10" ht="14.4">
      <c r="A5626" s="84">
        <v>51277</v>
      </c>
      <c r="B5626" s="85">
        <v>2040</v>
      </c>
      <c r="C5626" s="85">
        <v>5</v>
      </c>
      <c r="D5626" s="85" t="s">
        <v>65</v>
      </c>
      <c r="E5626" s="85">
        <v>21</v>
      </c>
      <c r="F5626" s="85">
        <v>1</v>
      </c>
      <c r="G5626" s="85">
        <f>--(F5626&lt;=Estimator!$B$7)</f>
        <v>1</v>
      </c>
      <c r="H5626" s="86">
        <f>SUMIFS('Climate Data'!$G$7:$G$366,'Climate Data'!$A$7:$A$366,Estimator!$B$4,'Climate Data'!$B$7:$B$366,C5626)</f>
        <v>0.23010752688172045</v>
      </c>
      <c r="I5626" s="87">
        <f>SUMIFS('Climate Data'!$H$7:$H$366,'Climate Data'!$A$7:$A$366,Estimator!$B$4,'Climate Data'!$B$7:$B$366,C5626)</f>
        <v>8.1448598130841123</v>
      </c>
      <c r="J5626" s="86">
        <f>SUMIFS('Wind Proxy'!$H$8:$H$19,'Wind Proxy'!$A$8:$A$19,Estimator!$B$4,'Wind Proxy'!$B$8:$B$19,C5626)</f>
        <v>0</v>
      </c>
    </row>
    <row r="5627" spans="1:10" ht="14.4">
      <c r="A5627" s="84">
        <v>51278</v>
      </c>
      <c r="B5627" s="85">
        <v>2040</v>
      </c>
      <c r="C5627" s="85">
        <v>5</v>
      </c>
      <c r="D5627" s="85" t="s">
        <v>65</v>
      </c>
      <c r="E5627" s="85">
        <v>22</v>
      </c>
      <c r="F5627" s="85">
        <v>2</v>
      </c>
      <c r="G5627" s="85">
        <f>--(F5627&lt;=Estimator!$B$7)</f>
        <v>1</v>
      </c>
      <c r="H5627" s="86">
        <f>SUMIFS('Climate Data'!$G$7:$G$366,'Climate Data'!$A$7:$A$366,Estimator!$B$4,'Climate Data'!$B$7:$B$366,C5627)</f>
        <v>0.23010752688172045</v>
      </c>
      <c r="I5627" s="87">
        <f>SUMIFS('Climate Data'!$H$7:$H$366,'Climate Data'!$A$7:$A$366,Estimator!$B$4,'Climate Data'!$B$7:$B$366,C5627)</f>
        <v>8.1448598130841123</v>
      </c>
      <c r="J5627" s="86">
        <f>SUMIFS('Wind Proxy'!$H$8:$H$19,'Wind Proxy'!$A$8:$A$19,Estimator!$B$4,'Wind Proxy'!$B$8:$B$19,C5627)</f>
        <v>0</v>
      </c>
    </row>
    <row r="5628" spans="1:10" ht="14.4">
      <c r="A5628" s="84">
        <v>51279</v>
      </c>
      <c r="B5628" s="85">
        <v>2040</v>
      </c>
      <c r="C5628" s="85">
        <v>5</v>
      </c>
      <c r="D5628" s="85" t="s">
        <v>65</v>
      </c>
      <c r="E5628" s="85">
        <v>23</v>
      </c>
      <c r="F5628" s="85">
        <v>3</v>
      </c>
      <c r="G5628" s="85">
        <f>--(F5628&lt;=Estimator!$B$7)</f>
        <v>1</v>
      </c>
      <c r="H5628" s="86">
        <f>SUMIFS('Climate Data'!$G$7:$G$366,'Climate Data'!$A$7:$A$366,Estimator!$B$4,'Climate Data'!$B$7:$B$366,C5628)</f>
        <v>0.23010752688172045</v>
      </c>
      <c r="I5628" s="87">
        <f>SUMIFS('Climate Data'!$H$7:$H$366,'Climate Data'!$A$7:$A$366,Estimator!$B$4,'Climate Data'!$B$7:$B$366,C5628)</f>
        <v>8.1448598130841123</v>
      </c>
      <c r="J5628" s="86">
        <f>SUMIFS('Wind Proxy'!$H$8:$H$19,'Wind Proxy'!$A$8:$A$19,Estimator!$B$4,'Wind Proxy'!$B$8:$B$19,C5628)</f>
        <v>0</v>
      </c>
    </row>
    <row r="5629" spans="1:10" ht="14.4">
      <c r="A5629" s="84">
        <v>51280</v>
      </c>
      <c r="B5629" s="85">
        <v>2040</v>
      </c>
      <c r="C5629" s="85">
        <v>5</v>
      </c>
      <c r="D5629" s="85" t="s">
        <v>65</v>
      </c>
      <c r="E5629" s="85">
        <v>24</v>
      </c>
      <c r="F5629" s="85">
        <v>4</v>
      </c>
      <c r="G5629" s="85">
        <f>--(F5629&lt;=Estimator!$B$7)</f>
        <v>1</v>
      </c>
      <c r="H5629" s="86">
        <f>SUMIFS('Climate Data'!$G$7:$G$366,'Climate Data'!$A$7:$A$366,Estimator!$B$4,'Climate Data'!$B$7:$B$366,C5629)</f>
        <v>0.23010752688172045</v>
      </c>
      <c r="I5629" s="87">
        <f>SUMIFS('Climate Data'!$H$7:$H$366,'Climate Data'!$A$7:$A$366,Estimator!$B$4,'Climate Data'!$B$7:$B$366,C5629)</f>
        <v>8.1448598130841123</v>
      </c>
      <c r="J5629" s="86">
        <f>SUMIFS('Wind Proxy'!$H$8:$H$19,'Wind Proxy'!$A$8:$A$19,Estimator!$B$4,'Wind Proxy'!$B$8:$B$19,C5629)</f>
        <v>0</v>
      </c>
    </row>
    <row r="5630" spans="1:10" ht="14.4">
      <c r="A5630" s="84">
        <v>51281</v>
      </c>
      <c r="B5630" s="85">
        <v>2040</v>
      </c>
      <c r="C5630" s="85">
        <v>5</v>
      </c>
      <c r="D5630" s="85" t="s">
        <v>65</v>
      </c>
      <c r="E5630" s="85">
        <v>25</v>
      </c>
      <c r="F5630" s="85">
        <v>5</v>
      </c>
      <c r="G5630" s="85">
        <f>--(F5630&lt;=Estimator!$B$7)</f>
        <v>1</v>
      </c>
      <c r="H5630" s="86">
        <f>SUMIFS('Climate Data'!$G$7:$G$366,'Climate Data'!$A$7:$A$366,Estimator!$B$4,'Climate Data'!$B$7:$B$366,C5630)</f>
        <v>0.23010752688172045</v>
      </c>
      <c r="I5630" s="87">
        <f>SUMIFS('Climate Data'!$H$7:$H$366,'Climate Data'!$A$7:$A$366,Estimator!$B$4,'Climate Data'!$B$7:$B$366,C5630)</f>
        <v>8.1448598130841123</v>
      </c>
      <c r="J5630" s="86">
        <f>SUMIFS('Wind Proxy'!$H$8:$H$19,'Wind Proxy'!$A$8:$A$19,Estimator!$B$4,'Wind Proxy'!$B$8:$B$19,C5630)</f>
        <v>0</v>
      </c>
    </row>
    <row r="5631" spans="1:10" ht="14.4">
      <c r="A5631" s="84">
        <v>51282</v>
      </c>
      <c r="B5631" s="85">
        <v>2040</v>
      </c>
      <c r="C5631" s="85">
        <v>5</v>
      </c>
      <c r="D5631" s="85" t="s">
        <v>65</v>
      </c>
      <c r="E5631" s="85">
        <v>26</v>
      </c>
      <c r="F5631" s="85">
        <v>6</v>
      </c>
      <c r="G5631" s="85">
        <f>--(F5631&lt;=Estimator!$B$7)</f>
        <v>0</v>
      </c>
      <c r="H5631" s="86">
        <f>SUMIFS('Climate Data'!$G$7:$G$366,'Climate Data'!$A$7:$A$366,Estimator!$B$4,'Climate Data'!$B$7:$B$366,C5631)</f>
        <v>0.23010752688172045</v>
      </c>
      <c r="I5631" s="87">
        <f>SUMIFS('Climate Data'!$H$7:$H$366,'Climate Data'!$A$7:$A$366,Estimator!$B$4,'Climate Data'!$B$7:$B$366,C5631)</f>
        <v>8.1448598130841123</v>
      </c>
      <c r="J5631" s="86">
        <f>SUMIFS('Wind Proxy'!$H$8:$H$19,'Wind Proxy'!$A$8:$A$19,Estimator!$B$4,'Wind Proxy'!$B$8:$B$19,C5631)</f>
        <v>0</v>
      </c>
    </row>
    <row r="5632" spans="1:10" ht="14.4">
      <c r="A5632" s="84">
        <v>51283</v>
      </c>
      <c r="B5632" s="85">
        <v>2040</v>
      </c>
      <c r="C5632" s="85">
        <v>5</v>
      </c>
      <c r="D5632" s="85" t="s">
        <v>65</v>
      </c>
      <c r="E5632" s="85">
        <v>27</v>
      </c>
      <c r="F5632" s="85">
        <v>7</v>
      </c>
      <c r="G5632" s="85">
        <f>--(F5632&lt;=Estimator!$B$7)</f>
        <v>0</v>
      </c>
      <c r="H5632" s="86">
        <f>SUMIFS('Climate Data'!$G$7:$G$366,'Climate Data'!$A$7:$A$366,Estimator!$B$4,'Climate Data'!$B$7:$B$366,C5632)</f>
        <v>0.23010752688172045</v>
      </c>
      <c r="I5632" s="87">
        <f>SUMIFS('Climate Data'!$H$7:$H$366,'Climate Data'!$A$7:$A$366,Estimator!$B$4,'Climate Data'!$B$7:$B$366,C5632)</f>
        <v>8.1448598130841123</v>
      </c>
      <c r="J5632" s="86">
        <f>SUMIFS('Wind Proxy'!$H$8:$H$19,'Wind Proxy'!$A$8:$A$19,Estimator!$B$4,'Wind Proxy'!$B$8:$B$19,C5632)</f>
        <v>0</v>
      </c>
    </row>
    <row r="5633" spans="1:10" ht="14.4">
      <c r="A5633" s="84">
        <v>51284</v>
      </c>
      <c r="B5633" s="85">
        <v>2040</v>
      </c>
      <c r="C5633" s="85">
        <v>5</v>
      </c>
      <c r="D5633" s="85" t="s">
        <v>65</v>
      </c>
      <c r="E5633" s="85">
        <v>28</v>
      </c>
      <c r="F5633" s="85">
        <v>1</v>
      </c>
      <c r="G5633" s="85">
        <f>--(F5633&lt;=Estimator!$B$7)</f>
        <v>1</v>
      </c>
      <c r="H5633" s="86">
        <f>SUMIFS('Climate Data'!$G$7:$G$366,'Climate Data'!$A$7:$A$366,Estimator!$B$4,'Climate Data'!$B$7:$B$366,C5633)</f>
        <v>0.23010752688172045</v>
      </c>
      <c r="I5633" s="87">
        <f>SUMIFS('Climate Data'!$H$7:$H$366,'Climate Data'!$A$7:$A$366,Estimator!$B$4,'Climate Data'!$B$7:$B$366,C5633)</f>
        <v>8.1448598130841123</v>
      </c>
      <c r="J5633" s="86">
        <f>SUMIFS('Wind Proxy'!$H$8:$H$19,'Wind Proxy'!$A$8:$A$19,Estimator!$B$4,'Wind Proxy'!$B$8:$B$19,C5633)</f>
        <v>0</v>
      </c>
    </row>
    <row r="5634" spans="1:10" ht="14.4">
      <c r="A5634" s="84">
        <v>51285</v>
      </c>
      <c r="B5634" s="85">
        <v>2040</v>
      </c>
      <c r="C5634" s="85">
        <v>5</v>
      </c>
      <c r="D5634" s="85" t="s">
        <v>65</v>
      </c>
      <c r="E5634" s="85">
        <v>29</v>
      </c>
      <c r="F5634" s="85">
        <v>2</v>
      </c>
      <c r="G5634" s="85">
        <f>--(F5634&lt;=Estimator!$B$7)</f>
        <v>1</v>
      </c>
      <c r="H5634" s="86">
        <f>SUMIFS('Climate Data'!$G$7:$G$366,'Climate Data'!$A$7:$A$366,Estimator!$B$4,'Climate Data'!$B$7:$B$366,C5634)</f>
        <v>0.23010752688172045</v>
      </c>
      <c r="I5634" s="87">
        <f>SUMIFS('Climate Data'!$H$7:$H$366,'Climate Data'!$A$7:$A$366,Estimator!$B$4,'Climate Data'!$B$7:$B$366,C5634)</f>
        <v>8.1448598130841123</v>
      </c>
      <c r="J5634" s="86">
        <f>SUMIFS('Wind Proxy'!$H$8:$H$19,'Wind Proxy'!$A$8:$A$19,Estimator!$B$4,'Wind Proxy'!$B$8:$B$19,C5634)</f>
        <v>0</v>
      </c>
    </row>
    <row r="5635" spans="1:10" ht="14.4">
      <c r="A5635" s="84">
        <v>51286</v>
      </c>
      <c r="B5635" s="85">
        <v>2040</v>
      </c>
      <c r="C5635" s="85">
        <v>5</v>
      </c>
      <c r="D5635" s="85" t="s">
        <v>65</v>
      </c>
      <c r="E5635" s="85">
        <v>30</v>
      </c>
      <c r="F5635" s="85">
        <v>3</v>
      </c>
      <c r="G5635" s="85">
        <f>--(F5635&lt;=Estimator!$B$7)</f>
        <v>1</v>
      </c>
      <c r="H5635" s="86">
        <f>SUMIFS('Climate Data'!$G$7:$G$366,'Climate Data'!$A$7:$A$366,Estimator!$B$4,'Climate Data'!$B$7:$B$366,C5635)</f>
        <v>0.23010752688172045</v>
      </c>
      <c r="I5635" s="87">
        <f>SUMIFS('Climate Data'!$H$7:$H$366,'Climate Data'!$A$7:$A$366,Estimator!$B$4,'Climate Data'!$B$7:$B$366,C5635)</f>
        <v>8.1448598130841123</v>
      </c>
      <c r="J5635" s="86">
        <f>SUMIFS('Wind Proxy'!$H$8:$H$19,'Wind Proxy'!$A$8:$A$19,Estimator!$B$4,'Wind Proxy'!$B$8:$B$19,C5635)</f>
        <v>0</v>
      </c>
    </row>
    <row r="5636" spans="1:10" ht="14.4">
      <c r="A5636" s="84">
        <v>51287</v>
      </c>
      <c r="B5636" s="85">
        <v>2040</v>
      </c>
      <c r="C5636" s="85">
        <v>5</v>
      </c>
      <c r="D5636" s="85" t="s">
        <v>65</v>
      </c>
      <c r="E5636" s="85">
        <v>31</v>
      </c>
      <c r="F5636" s="85">
        <v>4</v>
      </c>
      <c r="G5636" s="85">
        <f>--(F5636&lt;=Estimator!$B$7)</f>
        <v>1</v>
      </c>
      <c r="H5636" s="86">
        <f>SUMIFS('Climate Data'!$G$7:$G$366,'Climate Data'!$A$7:$A$366,Estimator!$B$4,'Climate Data'!$B$7:$B$366,C5636)</f>
        <v>0.23010752688172045</v>
      </c>
      <c r="I5636" s="87">
        <f>SUMIFS('Climate Data'!$H$7:$H$366,'Climate Data'!$A$7:$A$366,Estimator!$B$4,'Climate Data'!$B$7:$B$366,C5636)</f>
        <v>8.1448598130841123</v>
      </c>
      <c r="J5636" s="86">
        <f>SUMIFS('Wind Proxy'!$H$8:$H$19,'Wind Proxy'!$A$8:$A$19,Estimator!$B$4,'Wind Proxy'!$B$8:$B$19,C5636)</f>
        <v>0</v>
      </c>
    </row>
    <row r="5637" spans="1:10" ht="14.4">
      <c r="A5637" s="84">
        <v>51288</v>
      </c>
      <c r="B5637" s="85">
        <v>2040</v>
      </c>
      <c r="C5637" s="85">
        <v>6</v>
      </c>
      <c r="D5637" s="85" t="s">
        <v>68</v>
      </c>
      <c r="E5637" s="85">
        <v>1</v>
      </c>
      <c r="F5637" s="85">
        <v>5</v>
      </c>
      <c r="G5637" s="85">
        <f>--(F5637&lt;=Estimator!$B$7)</f>
        <v>1</v>
      </c>
      <c r="H5637" s="86">
        <f>SUMIFS('Climate Data'!$G$7:$G$366,'Climate Data'!$A$7:$A$366,Estimator!$B$4,'Climate Data'!$B$7:$B$366,C5637)</f>
        <v>0.28666666666666668</v>
      </c>
      <c r="I5637" s="87">
        <f>SUMIFS('Climate Data'!$H$7:$H$366,'Climate Data'!$A$7:$A$366,Estimator!$B$4,'Climate Data'!$B$7:$B$366,C5637)</f>
        <v>7.941860465116279</v>
      </c>
      <c r="J5637" s="86">
        <f>SUMIFS('Wind Proxy'!$H$8:$H$19,'Wind Proxy'!$A$8:$A$19,Estimator!$B$4,'Wind Proxy'!$B$8:$B$19,C5637)</f>
        <v>0</v>
      </c>
    </row>
    <row r="5638" spans="1:10" ht="14.4">
      <c r="A5638" s="84">
        <v>51289</v>
      </c>
      <c r="B5638" s="85">
        <v>2040</v>
      </c>
      <c r="C5638" s="85">
        <v>6</v>
      </c>
      <c r="D5638" s="85" t="s">
        <v>68</v>
      </c>
      <c r="E5638" s="85">
        <v>2</v>
      </c>
      <c r="F5638" s="85">
        <v>6</v>
      </c>
      <c r="G5638" s="85">
        <f>--(F5638&lt;=Estimator!$B$7)</f>
        <v>0</v>
      </c>
      <c r="H5638" s="86">
        <f>SUMIFS('Climate Data'!$G$7:$G$366,'Climate Data'!$A$7:$A$366,Estimator!$B$4,'Climate Data'!$B$7:$B$366,C5638)</f>
        <v>0.28666666666666668</v>
      </c>
      <c r="I5638" s="87">
        <f>SUMIFS('Climate Data'!$H$7:$H$366,'Climate Data'!$A$7:$A$366,Estimator!$B$4,'Climate Data'!$B$7:$B$366,C5638)</f>
        <v>7.941860465116279</v>
      </c>
      <c r="J5638" s="86">
        <f>SUMIFS('Wind Proxy'!$H$8:$H$19,'Wind Proxy'!$A$8:$A$19,Estimator!$B$4,'Wind Proxy'!$B$8:$B$19,C5638)</f>
        <v>0</v>
      </c>
    </row>
    <row r="5639" spans="1:10" ht="14.4">
      <c r="A5639" s="84">
        <v>51290</v>
      </c>
      <c r="B5639" s="85">
        <v>2040</v>
      </c>
      <c r="C5639" s="85">
        <v>6</v>
      </c>
      <c r="D5639" s="85" t="s">
        <v>68</v>
      </c>
      <c r="E5639" s="85">
        <v>3</v>
      </c>
      <c r="F5639" s="85">
        <v>7</v>
      </c>
      <c r="G5639" s="85">
        <f>--(F5639&lt;=Estimator!$B$7)</f>
        <v>0</v>
      </c>
      <c r="H5639" s="86">
        <f>SUMIFS('Climate Data'!$G$7:$G$366,'Climate Data'!$A$7:$A$366,Estimator!$B$4,'Climate Data'!$B$7:$B$366,C5639)</f>
        <v>0.28666666666666668</v>
      </c>
      <c r="I5639" s="87">
        <f>SUMIFS('Climate Data'!$H$7:$H$366,'Climate Data'!$A$7:$A$366,Estimator!$B$4,'Climate Data'!$B$7:$B$366,C5639)</f>
        <v>7.941860465116279</v>
      </c>
      <c r="J5639" s="86">
        <f>SUMIFS('Wind Proxy'!$H$8:$H$19,'Wind Proxy'!$A$8:$A$19,Estimator!$B$4,'Wind Proxy'!$B$8:$B$19,C5639)</f>
        <v>0</v>
      </c>
    </row>
    <row r="5640" spans="1:10" ht="14.4">
      <c r="A5640" s="84">
        <v>51291</v>
      </c>
      <c r="B5640" s="85">
        <v>2040</v>
      </c>
      <c r="C5640" s="85">
        <v>6</v>
      </c>
      <c r="D5640" s="85" t="s">
        <v>68</v>
      </c>
      <c r="E5640" s="85">
        <v>4</v>
      </c>
      <c r="F5640" s="85">
        <v>1</v>
      </c>
      <c r="G5640" s="85">
        <f>--(F5640&lt;=Estimator!$B$7)</f>
        <v>1</v>
      </c>
      <c r="H5640" s="86">
        <f>SUMIFS('Climate Data'!$G$7:$G$366,'Climate Data'!$A$7:$A$366,Estimator!$B$4,'Climate Data'!$B$7:$B$366,C5640)</f>
        <v>0.28666666666666668</v>
      </c>
      <c r="I5640" s="87">
        <f>SUMIFS('Climate Data'!$H$7:$H$366,'Climate Data'!$A$7:$A$366,Estimator!$B$4,'Climate Data'!$B$7:$B$366,C5640)</f>
        <v>7.941860465116279</v>
      </c>
      <c r="J5640" s="86">
        <f>SUMIFS('Wind Proxy'!$H$8:$H$19,'Wind Proxy'!$A$8:$A$19,Estimator!$B$4,'Wind Proxy'!$B$8:$B$19,C5640)</f>
        <v>0</v>
      </c>
    </row>
    <row r="5641" spans="1:10" ht="14.4">
      <c r="A5641" s="84">
        <v>51292</v>
      </c>
      <c r="B5641" s="85">
        <v>2040</v>
      </c>
      <c r="C5641" s="85">
        <v>6</v>
      </c>
      <c r="D5641" s="85" t="s">
        <v>68</v>
      </c>
      <c r="E5641" s="85">
        <v>5</v>
      </c>
      <c r="F5641" s="85">
        <v>2</v>
      </c>
      <c r="G5641" s="85">
        <f>--(F5641&lt;=Estimator!$B$7)</f>
        <v>1</v>
      </c>
      <c r="H5641" s="86">
        <f>SUMIFS('Climate Data'!$G$7:$G$366,'Climate Data'!$A$7:$A$366,Estimator!$B$4,'Climate Data'!$B$7:$B$366,C5641)</f>
        <v>0.28666666666666668</v>
      </c>
      <c r="I5641" s="87">
        <f>SUMIFS('Climate Data'!$H$7:$H$366,'Climate Data'!$A$7:$A$366,Estimator!$B$4,'Climate Data'!$B$7:$B$366,C5641)</f>
        <v>7.941860465116279</v>
      </c>
      <c r="J5641" s="86">
        <f>SUMIFS('Wind Proxy'!$H$8:$H$19,'Wind Proxy'!$A$8:$A$19,Estimator!$B$4,'Wind Proxy'!$B$8:$B$19,C5641)</f>
        <v>0</v>
      </c>
    </row>
    <row r="5642" spans="1:10" ht="14.4">
      <c r="A5642" s="84">
        <v>51293</v>
      </c>
      <c r="B5642" s="85">
        <v>2040</v>
      </c>
      <c r="C5642" s="85">
        <v>6</v>
      </c>
      <c r="D5642" s="85" t="s">
        <v>68</v>
      </c>
      <c r="E5642" s="85">
        <v>6</v>
      </c>
      <c r="F5642" s="85">
        <v>3</v>
      </c>
      <c r="G5642" s="85">
        <f>--(F5642&lt;=Estimator!$B$7)</f>
        <v>1</v>
      </c>
      <c r="H5642" s="86">
        <f>SUMIFS('Climate Data'!$G$7:$G$366,'Climate Data'!$A$7:$A$366,Estimator!$B$4,'Climate Data'!$B$7:$B$366,C5642)</f>
        <v>0.28666666666666668</v>
      </c>
      <c r="I5642" s="87">
        <f>SUMIFS('Climate Data'!$H$7:$H$366,'Climate Data'!$A$7:$A$366,Estimator!$B$4,'Climate Data'!$B$7:$B$366,C5642)</f>
        <v>7.941860465116279</v>
      </c>
      <c r="J5642" s="86">
        <f>SUMIFS('Wind Proxy'!$H$8:$H$19,'Wind Proxy'!$A$8:$A$19,Estimator!$B$4,'Wind Proxy'!$B$8:$B$19,C5642)</f>
        <v>0</v>
      </c>
    </row>
    <row r="5643" spans="1:10" ht="14.4">
      <c r="A5643" s="84">
        <v>51294</v>
      </c>
      <c r="B5643" s="85">
        <v>2040</v>
      </c>
      <c r="C5643" s="85">
        <v>6</v>
      </c>
      <c r="D5643" s="85" t="s">
        <v>68</v>
      </c>
      <c r="E5643" s="85">
        <v>7</v>
      </c>
      <c r="F5643" s="85">
        <v>4</v>
      </c>
      <c r="G5643" s="85">
        <f>--(F5643&lt;=Estimator!$B$7)</f>
        <v>1</v>
      </c>
      <c r="H5643" s="86">
        <f>SUMIFS('Climate Data'!$G$7:$G$366,'Climate Data'!$A$7:$A$366,Estimator!$B$4,'Climate Data'!$B$7:$B$366,C5643)</f>
        <v>0.28666666666666668</v>
      </c>
      <c r="I5643" s="87">
        <f>SUMIFS('Climate Data'!$H$7:$H$366,'Climate Data'!$A$7:$A$366,Estimator!$B$4,'Climate Data'!$B$7:$B$366,C5643)</f>
        <v>7.941860465116279</v>
      </c>
      <c r="J5643" s="86">
        <f>SUMIFS('Wind Proxy'!$H$8:$H$19,'Wind Proxy'!$A$8:$A$19,Estimator!$B$4,'Wind Proxy'!$B$8:$B$19,C5643)</f>
        <v>0</v>
      </c>
    </row>
    <row r="5644" spans="1:10" ht="14.4">
      <c r="A5644" s="84">
        <v>51295</v>
      </c>
      <c r="B5644" s="85">
        <v>2040</v>
      </c>
      <c r="C5644" s="85">
        <v>6</v>
      </c>
      <c r="D5644" s="85" t="s">
        <v>68</v>
      </c>
      <c r="E5644" s="85">
        <v>8</v>
      </c>
      <c r="F5644" s="85">
        <v>5</v>
      </c>
      <c r="G5644" s="85">
        <f>--(F5644&lt;=Estimator!$B$7)</f>
        <v>1</v>
      </c>
      <c r="H5644" s="86">
        <f>SUMIFS('Climate Data'!$G$7:$G$366,'Climate Data'!$A$7:$A$366,Estimator!$B$4,'Climate Data'!$B$7:$B$366,C5644)</f>
        <v>0.28666666666666668</v>
      </c>
      <c r="I5644" s="87">
        <f>SUMIFS('Climate Data'!$H$7:$H$366,'Climate Data'!$A$7:$A$366,Estimator!$B$4,'Climate Data'!$B$7:$B$366,C5644)</f>
        <v>7.941860465116279</v>
      </c>
      <c r="J5644" s="86">
        <f>SUMIFS('Wind Proxy'!$H$8:$H$19,'Wind Proxy'!$A$8:$A$19,Estimator!$B$4,'Wind Proxy'!$B$8:$B$19,C5644)</f>
        <v>0</v>
      </c>
    </row>
    <row r="5645" spans="1:10" ht="14.4">
      <c r="A5645" s="84">
        <v>51296</v>
      </c>
      <c r="B5645" s="85">
        <v>2040</v>
      </c>
      <c r="C5645" s="85">
        <v>6</v>
      </c>
      <c r="D5645" s="85" t="s">
        <v>68</v>
      </c>
      <c r="E5645" s="85">
        <v>9</v>
      </c>
      <c r="F5645" s="85">
        <v>6</v>
      </c>
      <c r="G5645" s="85">
        <f>--(F5645&lt;=Estimator!$B$7)</f>
        <v>0</v>
      </c>
      <c r="H5645" s="86">
        <f>SUMIFS('Climate Data'!$G$7:$G$366,'Climate Data'!$A$7:$A$366,Estimator!$B$4,'Climate Data'!$B$7:$B$366,C5645)</f>
        <v>0.28666666666666668</v>
      </c>
      <c r="I5645" s="87">
        <f>SUMIFS('Climate Data'!$H$7:$H$366,'Climate Data'!$A$7:$A$366,Estimator!$B$4,'Climate Data'!$B$7:$B$366,C5645)</f>
        <v>7.941860465116279</v>
      </c>
      <c r="J5645" s="86">
        <f>SUMIFS('Wind Proxy'!$H$8:$H$19,'Wind Proxy'!$A$8:$A$19,Estimator!$B$4,'Wind Proxy'!$B$8:$B$19,C5645)</f>
        <v>0</v>
      </c>
    </row>
    <row r="5646" spans="1:10" ht="14.4">
      <c r="A5646" s="84">
        <v>51297</v>
      </c>
      <c r="B5646" s="85">
        <v>2040</v>
      </c>
      <c r="C5646" s="85">
        <v>6</v>
      </c>
      <c r="D5646" s="85" t="s">
        <v>68</v>
      </c>
      <c r="E5646" s="85">
        <v>10</v>
      </c>
      <c r="F5646" s="85">
        <v>7</v>
      </c>
      <c r="G5646" s="85">
        <f>--(F5646&lt;=Estimator!$B$7)</f>
        <v>0</v>
      </c>
      <c r="H5646" s="86">
        <f>SUMIFS('Climate Data'!$G$7:$G$366,'Climate Data'!$A$7:$A$366,Estimator!$B$4,'Climate Data'!$B$7:$B$366,C5646)</f>
        <v>0.28666666666666668</v>
      </c>
      <c r="I5646" s="87">
        <f>SUMIFS('Climate Data'!$H$7:$H$366,'Climate Data'!$A$7:$A$366,Estimator!$B$4,'Climate Data'!$B$7:$B$366,C5646)</f>
        <v>7.941860465116279</v>
      </c>
      <c r="J5646" s="86">
        <f>SUMIFS('Wind Proxy'!$H$8:$H$19,'Wind Proxy'!$A$8:$A$19,Estimator!$B$4,'Wind Proxy'!$B$8:$B$19,C5646)</f>
        <v>0</v>
      </c>
    </row>
    <row r="5647" spans="1:10" ht="14.4">
      <c r="A5647" s="84">
        <v>51298</v>
      </c>
      <c r="B5647" s="85">
        <v>2040</v>
      </c>
      <c r="C5647" s="85">
        <v>6</v>
      </c>
      <c r="D5647" s="85" t="s">
        <v>68</v>
      </c>
      <c r="E5647" s="85">
        <v>11</v>
      </c>
      <c r="F5647" s="85">
        <v>1</v>
      </c>
      <c r="G5647" s="85">
        <f>--(F5647&lt;=Estimator!$B$7)</f>
        <v>1</v>
      </c>
      <c r="H5647" s="86">
        <f>SUMIFS('Climate Data'!$G$7:$G$366,'Climate Data'!$A$7:$A$366,Estimator!$B$4,'Climate Data'!$B$7:$B$366,C5647)</f>
        <v>0.28666666666666668</v>
      </c>
      <c r="I5647" s="87">
        <f>SUMIFS('Climate Data'!$H$7:$H$366,'Climate Data'!$A$7:$A$366,Estimator!$B$4,'Climate Data'!$B$7:$B$366,C5647)</f>
        <v>7.941860465116279</v>
      </c>
      <c r="J5647" s="86">
        <f>SUMIFS('Wind Proxy'!$H$8:$H$19,'Wind Proxy'!$A$8:$A$19,Estimator!$B$4,'Wind Proxy'!$B$8:$B$19,C5647)</f>
        <v>0</v>
      </c>
    </row>
    <row r="5648" spans="1:10" ht="14.4">
      <c r="A5648" s="84">
        <v>51299</v>
      </c>
      <c r="B5648" s="85">
        <v>2040</v>
      </c>
      <c r="C5648" s="85">
        <v>6</v>
      </c>
      <c r="D5648" s="85" t="s">
        <v>68</v>
      </c>
      <c r="E5648" s="85">
        <v>12</v>
      </c>
      <c r="F5648" s="85">
        <v>2</v>
      </c>
      <c r="G5648" s="85">
        <f>--(F5648&lt;=Estimator!$B$7)</f>
        <v>1</v>
      </c>
      <c r="H5648" s="86">
        <f>SUMIFS('Climate Data'!$G$7:$G$366,'Climate Data'!$A$7:$A$366,Estimator!$B$4,'Climate Data'!$B$7:$B$366,C5648)</f>
        <v>0.28666666666666668</v>
      </c>
      <c r="I5648" s="87">
        <f>SUMIFS('Climate Data'!$H$7:$H$366,'Climate Data'!$A$7:$A$366,Estimator!$B$4,'Climate Data'!$B$7:$B$366,C5648)</f>
        <v>7.941860465116279</v>
      </c>
      <c r="J5648" s="86">
        <f>SUMIFS('Wind Proxy'!$H$8:$H$19,'Wind Proxy'!$A$8:$A$19,Estimator!$B$4,'Wind Proxy'!$B$8:$B$19,C5648)</f>
        <v>0</v>
      </c>
    </row>
    <row r="5649" spans="1:10" ht="14.4">
      <c r="A5649" s="84">
        <v>51300</v>
      </c>
      <c r="B5649" s="85">
        <v>2040</v>
      </c>
      <c r="C5649" s="85">
        <v>6</v>
      </c>
      <c r="D5649" s="85" t="s">
        <v>68</v>
      </c>
      <c r="E5649" s="85">
        <v>13</v>
      </c>
      <c r="F5649" s="85">
        <v>3</v>
      </c>
      <c r="G5649" s="85">
        <f>--(F5649&lt;=Estimator!$B$7)</f>
        <v>1</v>
      </c>
      <c r="H5649" s="86">
        <f>SUMIFS('Climate Data'!$G$7:$G$366,'Climate Data'!$A$7:$A$366,Estimator!$B$4,'Climate Data'!$B$7:$B$366,C5649)</f>
        <v>0.28666666666666668</v>
      </c>
      <c r="I5649" s="87">
        <f>SUMIFS('Climate Data'!$H$7:$H$366,'Climate Data'!$A$7:$A$366,Estimator!$B$4,'Climate Data'!$B$7:$B$366,C5649)</f>
        <v>7.941860465116279</v>
      </c>
      <c r="J5649" s="86">
        <f>SUMIFS('Wind Proxy'!$H$8:$H$19,'Wind Proxy'!$A$8:$A$19,Estimator!$B$4,'Wind Proxy'!$B$8:$B$19,C5649)</f>
        <v>0</v>
      </c>
    </row>
    <row r="5650" spans="1:10" ht="14.4">
      <c r="A5650" s="84">
        <v>51301</v>
      </c>
      <c r="B5650" s="85">
        <v>2040</v>
      </c>
      <c r="C5650" s="85">
        <v>6</v>
      </c>
      <c r="D5650" s="85" t="s">
        <v>68</v>
      </c>
      <c r="E5650" s="85">
        <v>14</v>
      </c>
      <c r="F5650" s="85">
        <v>4</v>
      </c>
      <c r="G5650" s="85">
        <f>--(F5650&lt;=Estimator!$B$7)</f>
        <v>1</v>
      </c>
      <c r="H5650" s="86">
        <f>SUMIFS('Climate Data'!$G$7:$G$366,'Climate Data'!$A$7:$A$366,Estimator!$B$4,'Climate Data'!$B$7:$B$366,C5650)</f>
        <v>0.28666666666666668</v>
      </c>
      <c r="I5650" s="87">
        <f>SUMIFS('Climate Data'!$H$7:$H$366,'Climate Data'!$A$7:$A$366,Estimator!$B$4,'Climate Data'!$B$7:$B$366,C5650)</f>
        <v>7.941860465116279</v>
      </c>
      <c r="J5650" s="86">
        <f>SUMIFS('Wind Proxy'!$H$8:$H$19,'Wind Proxy'!$A$8:$A$19,Estimator!$B$4,'Wind Proxy'!$B$8:$B$19,C5650)</f>
        <v>0</v>
      </c>
    </row>
    <row r="5651" spans="1:10" ht="14.4">
      <c r="A5651" s="84">
        <v>51302</v>
      </c>
      <c r="B5651" s="85">
        <v>2040</v>
      </c>
      <c r="C5651" s="85">
        <v>6</v>
      </c>
      <c r="D5651" s="85" t="s">
        <v>68</v>
      </c>
      <c r="E5651" s="85">
        <v>15</v>
      </c>
      <c r="F5651" s="85">
        <v>5</v>
      </c>
      <c r="G5651" s="85">
        <f>--(F5651&lt;=Estimator!$B$7)</f>
        <v>1</v>
      </c>
      <c r="H5651" s="86">
        <f>SUMIFS('Climate Data'!$G$7:$G$366,'Climate Data'!$A$7:$A$366,Estimator!$B$4,'Climate Data'!$B$7:$B$366,C5651)</f>
        <v>0.28666666666666668</v>
      </c>
      <c r="I5651" s="87">
        <f>SUMIFS('Climate Data'!$H$7:$H$366,'Climate Data'!$A$7:$A$366,Estimator!$B$4,'Climate Data'!$B$7:$B$366,C5651)</f>
        <v>7.941860465116279</v>
      </c>
      <c r="J5651" s="86">
        <f>SUMIFS('Wind Proxy'!$H$8:$H$19,'Wind Proxy'!$A$8:$A$19,Estimator!$B$4,'Wind Proxy'!$B$8:$B$19,C5651)</f>
        <v>0</v>
      </c>
    </row>
    <row r="5652" spans="1:10" ht="14.4">
      <c r="A5652" s="84">
        <v>51303</v>
      </c>
      <c r="B5652" s="85">
        <v>2040</v>
      </c>
      <c r="C5652" s="85">
        <v>6</v>
      </c>
      <c r="D5652" s="85" t="s">
        <v>68</v>
      </c>
      <c r="E5652" s="85">
        <v>16</v>
      </c>
      <c r="F5652" s="85">
        <v>6</v>
      </c>
      <c r="G5652" s="85">
        <f>--(F5652&lt;=Estimator!$B$7)</f>
        <v>0</v>
      </c>
      <c r="H5652" s="86">
        <f>SUMIFS('Climate Data'!$G$7:$G$366,'Climate Data'!$A$7:$A$366,Estimator!$B$4,'Climate Data'!$B$7:$B$366,C5652)</f>
        <v>0.28666666666666668</v>
      </c>
      <c r="I5652" s="87">
        <f>SUMIFS('Climate Data'!$H$7:$H$366,'Climate Data'!$A$7:$A$366,Estimator!$B$4,'Climate Data'!$B$7:$B$366,C5652)</f>
        <v>7.941860465116279</v>
      </c>
      <c r="J5652" s="86">
        <f>SUMIFS('Wind Proxy'!$H$8:$H$19,'Wind Proxy'!$A$8:$A$19,Estimator!$B$4,'Wind Proxy'!$B$8:$B$19,C5652)</f>
        <v>0</v>
      </c>
    </row>
    <row r="5653" spans="1:10" ht="14.4">
      <c r="A5653" s="84">
        <v>51304</v>
      </c>
      <c r="B5653" s="85">
        <v>2040</v>
      </c>
      <c r="C5653" s="85">
        <v>6</v>
      </c>
      <c r="D5653" s="85" t="s">
        <v>68</v>
      </c>
      <c r="E5653" s="85">
        <v>17</v>
      </c>
      <c r="F5653" s="85">
        <v>7</v>
      </c>
      <c r="G5653" s="85">
        <f>--(F5653&lt;=Estimator!$B$7)</f>
        <v>0</v>
      </c>
      <c r="H5653" s="86">
        <f>SUMIFS('Climate Data'!$G$7:$G$366,'Climate Data'!$A$7:$A$366,Estimator!$B$4,'Climate Data'!$B$7:$B$366,C5653)</f>
        <v>0.28666666666666668</v>
      </c>
      <c r="I5653" s="87">
        <f>SUMIFS('Climate Data'!$H$7:$H$366,'Climate Data'!$A$7:$A$366,Estimator!$B$4,'Climate Data'!$B$7:$B$366,C5653)</f>
        <v>7.941860465116279</v>
      </c>
      <c r="J5653" s="86">
        <f>SUMIFS('Wind Proxy'!$H$8:$H$19,'Wind Proxy'!$A$8:$A$19,Estimator!$B$4,'Wind Proxy'!$B$8:$B$19,C5653)</f>
        <v>0</v>
      </c>
    </row>
    <row r="5654" spans="1:10" ht="14.4">
      <c r="A5654" s="84">
        <v>51305</v>
      </c>
      <c r="B5654" s="85">
        <v>2040</v>
      </c>
      <c r="C5654" s="85">
        <v>6</v>
      </c>
      <c r="D5654" s="85" t="s">
        <v>68</v>
      </c>
      <c r="E5654" s="85">
        <v>18</v>
      </c>
      <c r="F5654" s="85">
        <v>1</v>
      </c>
      <c r="G5654" s="85">
        <f>--(F5654&lt;=Estimator!$B$7)</f>
        <v>1</v>
      </c>
      <c r="H5654" s="86">
        <f>SUMIFS('Climate Data'!$G$7:$G$366,'Climate Data'!$A$7:$A$366,Estimator!$B$4,'Climate Data'!$B$7:$B$366,C5654)</f>
        <v>0.28666666666666668</v>
      </c>
      <c r="I5654" s="87">
        <f>SUMIFS('Climate Data'!$H$7:$H$366,'Climate Data'!$A$7:$A$366,Estimator!$B$4,'Climate Data'!$B$7:$B$366,C5654)</f>
        <v>7.941860465116279</v>
      </c>
      <c r="J5654" s="86">
        <f>SUMIFS('Wind Proxy'!$H$8:$H$19,'Wind Proxy'!$A$8:$A$19,Estimator!$B$4,'Wind Proxy'!$B$8:$B$19,C5654)</f>
        <v>0</v>
      </c>
    </row>
    <row r="5655" spans="1:10" ht="14.4">
      <c r="A5655" s="84">
        <v>51306</v>
      </c>
      <c r="B5655" s="85">
        <v>2040</v>
      </c>
      <c r="C5655" s="85">
        <v>6</v>
      </c>
      <c r="D5655" s="85" t="s">
        <v>68</v>
      </c>
      <c r="E5655" s="85">
        <v>19</v>
      </c>
      <c r="F5655" s="85">
        <v>2</v>
      </c>
      <c r="G5655" s="85">
        <f>--(F5655&lt;=Estimator!$B$7)</f>
        <v>1</v>
      </c>
      <c r="H5655" s="86">
        <f>SUMIFS('Climate Data'!$G$7:$G$366,'Climate Data'!$A$7:$A$366,Estimator!$B$4,'Climate Data'!$B$7:$B$366,C5655)</f>
        <v>0.28666666666666668</v>
      </c>
      <c r="I5655" s="87">
        <f>SUMIFS('Climate Data'!$H$7:$H$366,'Climate Data'!$A$7:$A$366,Estimator!$B$4,'Climate Data'!$B$7:$B$366,C5655)</f>
        <v>7.941860465116279</v>
      </c>
      <c r="J5655" s="86">
        <f>SUMIFS('Wind Proxy'!$H$8:$H$19,'Wind Proxy'!$A$8:$A$19,Estimator!$B$4,'Wind Proxy'!$B$8:$B$19,C5655)</f>
        <v>0</v>
      </c>
    </row>
    <row r="5656" spans="1:10" ht="14.4">
      <c r="A5656" s="84">
        <v>51307</v>
      </c>
      <c r="B5656" s="85">
        <v>2040</v>
      </c>
      <c r="C5656" s="85">
        <v>6</v>
      </c>
      <c r="D5656" s="85" t="s">
        <v>68</v>
      </c>
      <c r="E5656" s="85">
        <v>20</v>
      </c>
      <c r="F5656" s="85">
        <v>3</v>
      </c>
      <c r="G5656" s="85">
        <f>--(F5656&lt;=Estimator!$B$7)</f>
        <v>1</v>
      </c>
      <c r="H5656" s="86">
        <f>SUMIFS('Climate Data'!$G$7:$G$366,'Climate Data'!$A$7:$A$366,Estimator!$B$4,'Climate Data'!$B$7:$B$366,C5656)</f>
        <v>0.28666666666666668</v>
      </c>
      <c r="I5656" s="87">
        <f>SUMIFS('Climate Data'!$H$7:$H$366,'Climate Data'!$A$7:$A$366,Estimator!$B$4,'Climate Data'!$B$7:$B$366,C5656)</f>
        <v>7.941860465116279</v>
      </c>
      <c r="J5656" s="86">
        <f>SUMIFS('Wind Proxy'!$H$8:$H$19,'Wind Proxy'!$A$8:$A$19,Estimator!$B$4,'Wind Proxy'!$B$8:$B$19,C5656)</f>
        <v>0</v>
      </c>
    </row>
    <row r="5657" spans="1:10" ht="14.4">
      <c r="A5657" s="84">
        <v>51308</v>
      </c>
      <c r="B5657" s="85">
        <v>2040</v>
      </c>
      <c r="C5657" s="85">
        <v>6</v>
      </c>
      <c r="D5657" s="85" t="s">
        <v>68</v>
      </c>
      <c r="E5657" s="85">
        <v>21</v>
      </c>
      <c r="F5657" s="85">
        <v>4</v>
      </c>
      <c r="G5657" s="85">
        <f>--(F5657&lt;=Estimator!$B$7)</f>
        <v>1</v>
      </c>
      <c r="H5657" s="86">
        <f>SUMIFS('Climate Data'!$G$7:$G$366,'Climate Data'!$A$7:$A$366,Estimator!$B$4,'Climate Data'!$B$7:$B$366,C5657)</f>
        <v>0.28666666666666668</v>
      </c>
      <c r="I5657" s="87">
        <f>SUMIFS('Climate Data'!$H$7:$H$366,'Climate Data'!$A$7:$A$366,Estimator!$B$4,'Climate Data'!$B$7:$B$366,C5657)</f>
        <v>7.941860465116279</v>
      </c>
      <c r="J5657" s="86">
        <f>SUMIFS('Wind Proxy'!$H$8:$H$19,'Wind Proxy'!$A$8:$A$19,Estimator!$B$4,'Wind Proxy'!$B$8:$B$19,C5657)</f>
        <v>0</v>
      </c>
    </row>
    <row r="5658" spans="1:10" ht="14.4">
      <c r="A5658" s="84">
        <v>51309</v>
      </c>
      <c r="B5658" s="85">
        <v>2040</v>
      </c>
      <c r="C5658" s="85">
        <v>6</v>
      </c>
      <c r="D5658" s="85" t="s">
        <v>68</v>
      </c>
      <c r="E5658" s="85">
        <v>22</v>
      </c>
      <c r="F5658" s="85">
        <v>5</v>
      </c>
      <c r="G5658" s="85">
        <f>--(F5658&lt;=Estimator!$B$7)</f>
        <v>1</v>
      </c>
      <c r="H5658" s="86">
        <f>SUMIFS('Climate Data'!$G$7:$G$366,'Climate Data'!$A$7:$A$366,Estimator!$B$4,'Climate Data'!$B$7:$B$366,C5658)</f>
        <v>0.28666666666666668</v>
      </c>
      <c r="I5658" s="87">
        <f>SUMIFS('Climate Data'!$H$7:$H$366,'Climate Data'!$A$7:$A$366,Estimator!$B$4,'Climate Data'!$B$7:$B$366,C5658)</f>
        <v>7.941860465116279</v>
      </c>
      <c r="J5658" s="86">
        <f>SUMIFS('Wind Proxy'!$H$8:$H$19,'Wind Proxy'!$A$8:$A$19,Estimator!$B$4,'Wind Proxy'!$B$8:$B$19,C5658)</f>
        <v>0</v>
      </c>
    </row>
    <row r="5659" spans="1:10" ht="14.4">
      <c r="A5659" s="84">
        <v>51310</v>
      </c>
      <c r="B5659" s="85">
        <v>2040</v>
      </c>
      <c r="C5659" s="85">
        <v>6</v>
      </c>
      <c r="D5659" s="85" t="s">
        <v>68</v>
      </c>
      <c r="E5659" s="85">
        <v>23</v>
      </c>
      <c r="F5659" s="85">
        <v>6</v>
      </c>
      <c r="G5659" s="85">
        <f>--(F5659&lt;=Estimator!$B$7)</f>
        <v>0</v>
      </c>
      <c r="H5659" s="86">
        <f>SUMIFS('Climate Data'!$G$7:$G$366,'Climate Data'!$A$7:$A$366,Estimator!$B$4,'Climate Data'!$B$7:$B$366,C5659)</f>
        <v>0.28666666666666668</v>
      </c>
      <c r="I5659" s="87">
        <f>SUMIFS('Climate Data'!$H$7:$H$366,'Climate Data'!$A$7:$A$366,Estimator!$B$4,'Climate Data'!$B$7:$B$366,C5659)</f>
        <v>7.941860465116279</v>
      </c>
      <c r="J5659" s="86">
        <f>SUMIFS('Wind Proxy'!$H$8:$H$19,'Wind Proxy'!$A$8:$A$19,Estimator!$B$4,'Wind Proxy'!$B$8:$B$19,C5659)</f>
        <v>0</v>
      </c>
    </row>
    <row r="5660" spans="1:10" ht="14.4">
      <c r="A5660" s="84">
        <v>51311</v>
      </c>
      <c r="B5660" s="85">
        <v>2040</v>
      </c>
      <c r="C5660" s="85">
        <v>6</v>
      </c>
      <c r="D5660" s="85" t="s">
        <v>68</v>
      </c>
      <c r="E5660" s="85">
        <v>24</v>
      </c>
      <c r="F5660" s="85">
        <v>7</v>
      </c>
      <c r="G5660" s="85">
        <f>--(F5660&lt;=Estimator!$B$7)</f>
        <v>0</v>
      </c>
      <c r="H5660" s="86">
        <f>SUMIFS('Climate Data'!$G$7:$G$366,'Climate Data'!$A$7:$A$366,Estimator!$B$4,'Climate Data'!$B$7:$B$366,C5660)</f>
        <v>0.28666666666666668</v>
      </c>
      <c r="I5660" s="87">
        <f>SUMIFS('Climate Data'!$H$7:$H$366,'Climate Data'!$A$7:$A$366,Estimator!$B$4,'Climate Data'!$B$7:$B$366,C5660)</f>
        <v>7.941860465116279</v>
      </c>
      <c r="J5660" s="86">
        <f>SUMIFS('Wind Proxy'!$H$8:$H$19,'Wind Proxy'!$A$8:$A$19,Estimator!$B$4,'Wind Proxy'!$B$8:$B$19,C5660)</f>
        <v>0</v>
      </c>
    </row>
    <row r="5661" spans="1:10" ht="14.4">
      <c r="A5661" s="84">
        <v>51312</v>
      </c>
      <c r="B5661" s="85">
        <v>2040</v>
      </c>
      <c r="C5661" s="85">
        <v>6</v>
      </c>
      <c r="D5661" s="85" t="s">
        <v>68</v>
      </c>
      <c r="E5661" s="85">
        <v>25</v>
      </c>
      <c r="F5661" s="85">
        <v>1</v>
      </c>
      <c r="G5661" s="85">
        <f>--(F5661&lt;=Estimator!$B$7)</f>
        <v>1</v>
      </c>
      <c r="H5661" s="86">
        <f>SUMIFS('Climate Data'!$G$7:$G$366,'Climate Data'!$A$7:$A$366,Estimator!$B$4,'Climate Data'!$B$7:$B$366,C5661)</f>
        <v>0.28666666666666668</v>
      </c>
      <c r="I5661" s="87">
        <f>SUMIFS('Climate Data'!$H$7:$H$366,'Climate Data'!$A$7:$A$366,Estimator!$B$4,'Climate Data'!$B$7:$B$366,C5661)</f>
        <v>7.941860465116279</v>
      </c>
      <c r="J5661" s="86">
        <f>SUMIFS('Wind Proxy'!$H$8:$H$19,'Wind Proxy'!$A$8:$A$19,Estimator!$B$4,'Wind Proxy'!$B$8:$B$19,C5661)</f>
        <v>0</v>
      </c>
    </row>
    <row r="5662" spans="1:10" ht="14.4">
      <c r="A5662" s="84">
        <v>51313</v>
      </c>
      <c r="B5662" s="85">
        <v>2040</v>
      </c>
      <c r="C5662" s="85">
        <v>6</v>
      </c>
      <c r="D5662" s="85" t="s">
        <v>68</v>
      </c>
      <c r="E5662" s="85">
        <v>26</v>
      </c>
      <c r="F5662" s="85">
        <v>2</v>
      </c>
      <c r="G5662" s="85">
        <f>--(F5662&lt;=Estimator!$B$7)</f>
        <v>1</v>
      </c>
      <c r="H5662" s="86">
        <f>SUMIFS('Climate Data'!$G$7:$G$366,'Climate Data'!$A$7:$A$366,Estimator!$B$4,'Climate Data'!$B$7:$B$366,C5662)</f>
        <v>0.28666666666666668</v>
      </c>
      <c r="I5662" s="87">
        <f>SUMIFS('Climate Data'!$H$7:$H$366,'Climate Data'!$A$7:$A$366,Estimator!$B$4,'Climate Data'!$B$7:$B$366,C5662)</f>
        <v>7.941860465116279</v>
      </c>
      <c r="J5662" s="86">
        <f>SUMIFS('Wind Proxy'!$H$8:$H$19,'Wind Proxy'!$A$8:$A$19,Estimator!$B$4,'Wind Proxy'!$B$8:$B$19,C5662)</f>
        <v>0</v>
      </c>
    </row>
    <row r="5663" spans="1:10" ht="14.4">
      <c r="A5663" s="84">
        <v>51314</v>
      </c>
      <c r="B5663" s="85">
        <v>2040</v>
      </c>
      <c r="C5663" s="85">
        <v>6</v>
      </c>
      <c r="D5663" s="85" t="s">
        <v>68</v>
      </c>
      <c r="E5663" s="85">
        <v>27</v>
      </c>
      <c r="F5663" s="85">
        <v>3</v>
      </c>
      <c r="G5663" s="85">
        <f>--(F5663&lt;=Estimator!$B$7)</f>
        <v>1</v>
      </c>
      <c r="H5663" s="86">
        <f>SUMIFS('Climate Data'!$G$7:$G$366,'Climate Data'!$A$7:$A$366,Estimator!$B$4,'Climate Data'!$B$7:$B$366,C5663)</f>
        <v>0.28666666666666668</v>
      </c>
      <c r="I5663" s="87">
        <f>SUMIFS('Climate Data'!$H$7:$H$366,'Climate Data'!$A$7:$A$366,Estimator!$B$4,'Climate Data'!$B$7:$B$366,C5663)</f>
        <v>7.941860465116279</v>
      </c>
      <c r="J5663" s="86">
        <f>SUMIFS('Wind Proxy'!$H$8:$H$19,'Wind Proxy'!$A$8:$A$19,Estimator!$B$4,'Wind Proxy'!$B$8:$B$19,C5663)</f>
        <v>0</v>
      </c>
    </row>
    <row r="5664" spans="1:10" ht="14.4">
      <c r="A5664" s="84">
        <v>51315</v>
      </c>
      <c r="B5664" s="85">
        <v>2040</v>
      </c>
      <c r="C5664" s="85">
        <v>6</v>
      </c>
      <c r="D5664" s="85" t="s">
        <v>68</v>
      </c>
      <c r="E5664" s="85">
        <v>28</v>
      </c>
      <c r="F5664" s="85">
        <v>4</v>
      </c>
      <c r="G5664" s="85">
        <f>--(F5664&lt;=Estimator!$B$7)</f>
        <v>1</v>
      </c>
      <c r="H5664" s="86">
        <f>SUMIFS('Climate Data'!$G$7:$G$366,'Climate Data'!$A$7:$A$366,Estimator!$B$4,'Climate Data'!$B$7:$B$366,C5664)</f>
        <v>0.28666666666666668</v>
      </c>
      <c r="I5664" s="87">
        <f>SUMIFS('Climate Data'!$H$7:$H$366,'Climate Data'!$A$7:$A$366,Estimator!$B$4,'Climate Data'!$B$7:$B$366,C5664)</f>
        <v>7.941860465116279</v>
      </c>
      <c r="J5664" s="86">
        <f>SUMIFS('Wind Proxy'!$H$8:$H$19,'Wind Proxy'!$A$8:$A$19,Estimator!$B$4,'Wind Proxy'!$B$8:$B$19,C5664)</f>
        <v>0</v>
      </c>
    </row>
    <row r="5665" spans="1:10" ht="14.4">
      <c r="A5665" s="84">
        <v>51316</v>
      </c>
      <c r="B5665" s="85">
        <v>2040</v>
      </c>
      <c r="C5665" s="85">
        <v>6</v>
      </c>
      <c r="D5665" s="85" t="s">
        <v>68</v>
      </c>
      <c r="E5665" s="85">
        <v>29</v>
      </c>
      <c r="F5665" s="85">
        <v>5</v>
      </c>
      <c r="G5665" s="85">
        <f>--(F5665&lt;=Estimator!$B$7)</f>
        <v>1</v>
      </c>
      <c r="H5665" s="86">
        <f>SUMIFS('Climate Data'!$G$7:$G$366,'Climate Data'!$A$7:$A$366,Estimator!$B$4,'Climate Data'!$B$7:$B$366,C5665)</f>
        <v>0.28666666666666668</v>
      </c>
      <c r="I5665" s="87">
        <f>SUMIFS('Climate Data'!$H$7:$H$366,'Climate Data'!$A$7:$A$366,Estimator!$B$4,'Climate Data'!$B$7:$B$366,C5665)</f>
        <v>7.941860465116279</v>
      </c>
      <c r="J5665" s="86">
        <f>SUMIFS('Wind Proxy'!$H$8:$H$19,'Wind Proxy'!$A$8:$A$19,Estimator!$B$4,'Wind Proxy'!$B$8:$B$19,C5665)</f>
        <v>0</v>
      </c>
    </row>
    <row r="5666" spans="1:10" ht="14.4">
      <c r="A5666" s="84">
        <v>51317</v>
      </c>
      <c r="B5666" s="85">
        <v>2040</v>
      </c>
      <c r="C5666" s="85">
        <v>6</v>
      </c>
      <c r="D5666" s="85" t="s">
        <v>68</v>
      </c>
      <c r="E5666" s="85">
        <v>30</v>
      </c>
      <c r="F5666" s="85">
        <v>6</v>
      </c>
      <c r="G5666" s="85">
        <f>--(F5666&lt;=Estimator!$B$7)</f>
        <v>0</v>
      </c>
      <c r="H5666" s="86">
        <f>SUMIFS('Climate Data'!$G$7:$G$366,'Climate Data'!$A$7:$A$366,Estimator!$B$4,'Climate Data'!$B$7:$B$366,C5666)</f>
        <v>0.28666666666666668</v>
      </c>
      <c r="I5666" s="87">
        <f>SUMIFS('Climate Data'!$H$7:$H$366,'Climate Data'!$A$7:$A$366,Estimator!$B$4,'Climate Data'!$B$7:$B$366,C5666)</f>
        <v>7.941860465116279</v>
      </c>
      <c r="J5666" s="86">
        <f>SUMIFS('Wind Proxy'!$H$8:$H$19,'Wind Proxy'!$A$8:$A$19,Estimator!$B$4,'Wind Proxy'!$B$8:$B$19,C5666)</f>
        <v>0</v>
      </c>
    </row>
    <row r="5667" spans="1:10" ht="14.4">
      <c r="A5667" s="84">
        <v>51318</v>
      </c>
      <c r="B5667" s="85">
        <v>2040</v>
      </c>
      <c r="C5667" s="85">
        <v>7</v>
      </c>
      <c r="D5667" s="85" t="s">
        <v>69</v>
      </c>
      <c r="E5667" s="85">
        <v>1</v>
      </c>
      <c r="F5667" s="85">
        <v>7</v>
      </c>
      <c r="G5667" s="85">
        <f>--(F5667&lt;=Estimator!$B$7)</f>
        <v>0</v>
      </c>
      <c r="H5667" s="86">
        <f>SUMIFS('Climate Data'!$G$7:$G$366,'Climate Data'!$A$7:$A$366,Estimator!$B$4,'Climate Data'!$B$7:$B$366,C5667)</f>
        <v>0.24731182795698925</v>
      </c>
      <c r="I5667" s="87">
        <f>SUMIFS('Climate Data'!$H$7:$H$366,'Climate Data'!$A$7:$A$366,Estimator!$B$4,'Climate Data'!$B$7:$B$366,C5667)</f>
        <v>8.3739130434782609</v>
      </c>
      <c r="J5667" s="86">
        <f>SUMIFS('Wind Proxy'!$H$8:$H$19,'Wind Proxy'!$A$8:$A$19,Estimator!$B$4,'Wind Proxy'!$B$8:$B$19,C5667)</f>
        <v>0</v>
      </c>
    </row>
    <row r="5668" spans="1:10" ht="14.4">
      <c r="A5668" s="84">
        <v>51319</v>
      </c>
      <c r="B5668" s="85">
        <v>2040</v>
      </c>
      <c r="C5668" s="85">
        <v>7</v>
      </c>
      <c r="D5668" s="85" t="s">
        <v>69</v>
      </c>
      <c r="E5668" s="85">
        <v>2</v>
      </c>
      <c r="F5668" s="85">
        <v>1</v>
      </c>
      <c r="G5668" s="85">
        <f>--(F5668&lt;=Estimator!$B$7)</f>
        <v>1</v>
      </c>
      <c r="H5668" s="86">
        <f>SUMIFS('Climate Data'!$G$7:$G$366,'Climate Data'!$A$7:$A$366,Estimator!$B$4,'Climate Data'!$B$7:$B$366,C5668)</f>
        <v>0.24731182795698925</v>
      </c>
      <c r="I5668" s="87">
        <f>SUMIFS('Climate Data'!$H$7:$H$366,'Climate Data'!$A$7:$A$366,Estimator!$B$4,'Climate Data'!$B$7:$B$366,C5668)</f>
        <v>8.3739130434782609</v>
      </c>
      <c r="J5668" s="86">
        <f>SUMIFS('Wind Proxy'!$H$8:$H$19,'Wind Proxy'!$A$8:$A$19,Estimator!$B$4,'Wind Proxy'!$B$8:$B$19,C5668)</f>
        <v>0</v>
      </c>
    </row>
    <row r="5669" spans="1:10" ht="14.4">
      <c r="A5669" s="84">
        <v>51320</v>
      </c>
      <c r="B5669" s="85">
        <v>2040</v>
      </c>
      <c r="C5669" s="85">
        <v>7</v>
      </c>
      <c r="D5669" s="85" t="s">
        <v>69</v>
      </c>
      <c r="E5669" s="85">
        <v>3</v>
      </c>
      <c r="F5669" s="85">
        <v>2</v>
      </c>
      <c r="G5669" s="85">
        <f>--(F5669&lt;=Estimator!$B$7)</f>
        <v>1</v>
      </c>
      <c r="H5669" s="86">
        <f>SUMIFS('Climate Data'!$G$7:$G$366,'Climate Data'!$A$7:$A$366,Estimator!$B$4,'Climate Data'!$B$7:$B$366,C5669)</f>
        <v>0.24731182795698925</v>
      </c>
      <c r="I5669" s="87">
        <f>SUMIFS('Climate Data'!$H$7:$H$366,'Climate Data'!$A$7:$A$366,Estimator!$B$4,'Climate Data'!$B$7:$B$366,C5669)</f>
        <v>8.3739130434782609</v>
      </c>
      <c r="J5669" s="86">
        <f>SUMIFS('Wind Proxy'!$H$8:$H$19,'Wind Proxy'!$A$8:$A$19,Estimator!$B$4,'Wind Proxy'!$B$8:$B$19,C5669)</f>
        <v>0</v>
      </c>
    </row>
    <row r="5670" spans="1:10" ht="14.4">
      <c r="A5670" s="84">
        <v>51321</v>
      </c>
      <c r="B5670" s="85">
        <v>2040</v>
      </c>
      <c r="C5670" s="85">
        <v>7</v>
      </c>
      <c r="D5670" s="85" t="s">
        <v>69</v>
      </c>
      <c r="E5670" s="85">
        <v>4</v>
      </c>
      <c r="F5670" s="85">
        <v>3</v>
      </c>
      <c r="G5670" s="85">
        <f>--(F5670&lt;=Estimator!$B$7)</f>
        <v>1</v>
      </c>
      <c r="H5670" s="86">
        <f>SUMIFS('Climate Data'!$G$7:$G$366,'Climate Data'!$A$7:$A$366,Estimator!$B$4,'Climate Data'!$B$7:$B$366,C5670)</f>
        <v>0.24731182795698925</v>
      </c>
      <c r="I5670" s="87">
        <f>SUMIFS('Climate Data'!$H$7:$H$366,'Climate Data'!$A$7:$A$366,Estimator!$B$4,'Climate Data'!$B$7:$B$366,C5670)</f>
        <v>8.3739130434782609</v>
      </c>
      <c r="J5670" s="86">
        <f>SUMIFS('Wind Proxy'!$H$8:$H$19,'Wind Proxy'!$A$8:$A$19,Estimator!$B$4,'Wind Proxy'!$B$8:$B$19,C5670)</f>
        <v>0</v>
      </c>
    </row>
    <row r="5671" spans="1:10" ht="14.4">
      <c r="A5671" s="84">
        <v>51322</v>
      </c>
      <c r="B5671" s="85">
        <v>2040</v>
      </c>
      <c r="C5671" s="85">
        <v>7</v>
      </c>
      <c r="D5671" s="85" t="s">
        <v>69</v>
      </c>
      <c r="E5671" s="85">
        <v>5</v>
      </c>
      <c r="F5671" s="85">
        <v>4</v>
      </c>
      <c r="G5671" s="85">
        <f>--(F5671&lt;=Estimator!$B$7)</f>
        <v>1</v>
      </c>
      <c r="H5671" s="86">
        <f>SUMIFS('Climate Data'!$G$7:$G$366,'Climate Data'!$A$7:$A$366,Estimator!$B$4,'Climate Data'!$B$7:$B$366,C5671)</f>
        <v>0.24731182795698925</v>
      </c>
      <c r="I5671" s="87">
        <f>SUMIFS('Climate Data'!$H$7:$H$366,'Climate Data'!$A$7:$A$366,Estimator!$B$4,'Climate Data'!$B$7:$B$366,C5671)</f>
        <v>8.3739130434782609</v>
      </c>
      <c r="J5671" s="86">
        <f>SUMIFS('Wind Proxy'!$H$8:$H$19,'Wind Proxy'!$A$8:$A$19,Estimator!$B$4,'Wind Proxy'!$B$8:$B$19,C5671)</f>
        <v>0</v>
      </c>
    </row>
    <row r="5672" spans="1:10" ht="14.4">
      <c r="A5672" s="84">
        <v>51323</v>
      </c>
      <c r="B5672" s="85">
        <v>2040</v>
      </c>
      <c r="C5672" s="85">
        <v>7</v>
      </c>
      <c r="D5672" s="85" t="s">
        <v>69</v>
      </c>
      <c r="E5672" s="85">
        <v>6</v>
      </c>
      <c r="F5672" s="85">
        <v>5</v>
      </c>
      <c r="G5672" s="85">
        <f>--(F5672&lt;=Estimator!$B$7)</f>
        <v>1</v>
      </c>
      <c r="H5672" s="86">
        <f>SUMIFS('Climate Data'!$G$7:$G$366,'Climate Data'!$A$7:$A$366,Estimator!$B$4,'Climate Data'!$B$7:$B$366,C5672)</f>
        <v>0.24731182795698925</v>
      </c>
      <c r="I5672" s="87">
        <f>SUMIFS('Climate Data'!$H$7:$H$366,'Climate Data'!$A$7:$A$366,Estimator!$B$4,'Climate Data'!$B$7:$B$366,C5672)</f>
        <v>8.3739130434782609</v>
      </c>
      <c r="J5672" s="86">
        <f>SUMIFS('Wind Proxy'!$H$8:$H$19,'Wind Proxy'!$A$8:$A$19,Estimator!$B$4,'Wind Proxy'!$B$8:$B$19,C5672)</f>
        <v>0</v>
      </c>
    </row>
    <row r="5673" spans="1:10" ht="14.4">
      <c r="A5673" s="84">
        <v>51324</v>
      </c>
      <c r="B5673" s="85">
        <v>2040</v>
      </c>
      <c r="C5673" s="85">
        <v>7</v>
      </c>
      <c r="D5673" s="85" t="s">
        <v>69</v>
      </c>
      <c r="E5673" s="85">
        <v>7</v>
      </c>
      <c r="F5673" s="85">
        <v>6</v>
      </c>
      <c r="G5673" s="85">
        <f>--(F5673&lt;=Estimator!$B$7)</f>
        <v>0</v>
      </c>
      <c r="H5673" s="86">
        <f>SUMIFS('Climate Data'!$G$7:$G$366,'Climate Data'!$A$7:$A$366,Estimator!$B$4,'Climate Data'!$B$7:$B$366,C5673)</f>
        <v>0.24731182795698925</v>
      </c>
      <c r="I5673" s="87">
        <f>SUMIFS('Climate Data'!$H$7:$H$366,'Climate Data'!$A$7:$A$366,Estimator!$B$4,'Climate Data'!$B$7:$B$366,C5673)</f>
        <v>8.3739130434782609</v>
      </c>
      <c r="J5673" s="86">
        <f>SUMIFS('Wind Proxy'!$H$8:$H$19,'Wind Proxy'!$A$8:$A$19,Estimator!$B$4,'Wind Proxy'!$B$8:$B$19,C5673)</f>
        <v>0</v>
      </c>
    </row>
    <row r="5674" spans="1:10" ht="14.4">
      <c r="A5674" s="84">
        <v>51325</v>
      </c>
      <c r="B5674" s="85">
        <v>2040</v>
      </c>
      <c r="C5674" s="85">
        <v>7</v>
      </c>
      <c r="D5674" s="85" t="s">
        <v>69</v>
      </c>
      <c r="E5674" s="85">
        <v>8</v>
      </c>
      <c r="F5674" s="85">
        <v>7</v>
      </c>
      <c r="G5674" s="85">
        <f>--(F5674&lt;=Estimator!$B$7)</f>
        <v>0</v>
      </c>
      <c r="H5674" s="86">
        <f>SUMIFS('Climate Data'!$G$7:$G$366,'Climate Data'!$A$7:$A$366,Estimator!$B$4,'Climate Data'!$B$7:$B$366,C5674)</f>
        <v>0.24731182795698925</v>
      </c>
      <c r="I5674" s="87">
        <f>SUMIFS('Climate Data'!$H$7:$H$366,'Climate Data'!$A$7:$A$366,Estimator!$B$4,'Climate Data'!$B$7:$B$366,C5674)</f>
        <v>8.3739130434782609</v>
      </c>
      <c r="J5674" s="86">
        <f>SUMIFS('Wind Proxy'!$H$8:$H$19,'Wind Proxy'!$A$8:$A$19,Estimator!$B$4,'Wind Proxy'!$B$8:$B$19,C5674)</f>
        <v>0</v>
      </c>
    </row>
    <row r="5675" spans="1:10" ht="14.4">
      <c r="A5675" s="84">
        <v>51326</v>
      </c>
      <c r="B5675" s="85">
        <v>2040</v>
      </c>
      <c r="C5675" s="85">
        <v>7</v>
      </c>
      <c r="D5675" s="85" t="s">
        <v>69</v>
      </c>
      <c r="E5675" s="85">
        <v>9</v>
      </c>
      <c r="F5675" s="85">
        <v>1</v>
      </c>
      <c r="G5675" s="85">
        <f>--(F5675&lt;=Estimator!$B$7)</f>
        <v>1</v>
      </c>
      <c r="H5675" s="86">
        <f>SUMIFS('Climate Data'!$G$7:$G$366,'Climate Data'!$A$7:$A$366,Estimator!$B$4,'Climate Data'!$B$7:$B$366,C5675)</f>
        <v>0.24731182795698925</v>
      </c>
      <c r="I5675" s="87">
        <f>SUMIFS('Climate Data'!$H$7:$H$366,'Climate Data'!$A$7:$A$366,Estimator!$B$4,'Climate Data'!$B$7:$B$366,C5675)</f>
        <v>8.3739130434782609</v>
      </c>
      <c r="J5675" s="86">
        <f>SUMIFS('Wind Proxy'!$H$8:$H$19,'Wind Proxy'!$A$8:$A$19,Estimator!$B$4,'Wind Proxy'!$B$8:$B$19,C5675)</f>
        <v>0</v>
      </c>
    </row>
    <row r="5676" spans="1:10" ht="14.4">
      <c r="A5676" s="84">
        <v>51327</v>
      </c>
      <c r="B5676" s="85">
        <v>2040</v>
      </c>
      <c r="C5676" s="85">
        <v>7</v>
      </c>
      <c r="D5676" s="85" t="s">
        <v>69</v>
      </c>
      <c r="E5676" s="85">
        <v>10</v>
      </c>
      <c r="F5676" s="85">
        <v>2</v>
      </c>
      <c r="G5676" s="85">
        <f>--(F5676&lt;=Estimator!$B$7)</f>
        <v>1</v>
      </c>
      <c r="H5676" s="86">
        <f>SUMIFS('Climate Data'!$G$7:$G$366,'Climate Data'!$A$7:$A$366,Estimator!$B$4,'Climate Data'!$B$7:$B$366,C5676)</f>
        <v>0.24731182795698925</v>
      </c>
      <c r="I5676" s="87">
        <f>SUMIFS('Climate Data'!$H$7:$H$366,'Climate Data'!$A$7:$A$366,Estimator!$B$4,'Climate Data'!$B$7:$B$366,C5676)</f>
        <v>8.3739130434782609</v>
      </c>
      <c r="J5676" s="86">
        <f>SUMIFS('Wind Proxy'!$H$8:$H$19,'Wind Proxy'!$A$8:$A$19,Estimator!$B$4,'Wind Proxy'!$B$8:$B$19,C5676)</f>
        <v>0</v>
      </c>
    </row>
    <row r="5677" spans="1:10" ht="14.4">
      <c r="A5677" s="84">
        <v>51328</v>
      </c>
      <c r="B5677" s="85">
        <v>2040</v>
      </c>
      <c r="C5677" s="85">
        <v>7</v>
      </c>
      <c r="D5677" s="85" t="s">
        <v>69</v>
      </c>
      <c r="E5677" s="85">
        <v>11</v>
      </c>
      <c r="F5677" s="85">
        <v>3</v>
      </c>
      <c r="G5677" s="85">
        <f>--(F5677&lt;=Estimator!$B$7)</f>
        <v>1</v>
      </c>
      <c r="H5677" s="86">
        <f>SUMIFS('Climate Data'!$G$7:$G$366,'Climate Data'!$A$7:$A$366,Estimator!$B$4,'Climate Data'!$B$7:$B$366,C5677)</f>
        <v>0.24731182795698925</v>
      </c>
      <c r="I5677" s="87">
        <f>SUMIFS('Climate Data'!$H$7:$H$366,'Climate Data'!$A$7:$A$366,Estimator!$B$4,'Climate Data'!$B$7:$B$366,C5677)</f>
        <v>8.3739130434782609</v>
      </c>
      <c r="J5677" s="86">
        <f>SUMIFS('Wind Proxy'!$H$8:$H$19,'Wind Proxy'!$A$8:$A$19,Estimator!$B$4,'Wind Proxy'!$B$8:$B$19,C5677)</f>
        <v>0</v>
      </c>
    </row>
    <row r="5678" spans="1:10" ht="14.4">
      <c r="A5678" s="84">
        <v>51329</v>
      </c>
      <c r="B5678" s="85">
        <v>2040</v>
      </c>
      <c r="C5678" s="85">
        <v>7</v>
      </c>
      <c r="D5678" s="85" t="s">
        <v>69</v>
      </c>
      <c r="E5678" s="85">
        <v>12</v>
      </c>
      <c r="F5678" s="85">
        <v>4</v>
      </c>
      <c r="G5678" s="85">
        <f>--(F5678&lt;=Estimator!$B$7)</f>
        <v>1</v>
      </c>
      <c r="H5678" s="86">
        <f>SUMIFS('Climate Data'!$G$7:$G$366,'Climate Data'!$A$7:$A$366,Estimator!$B$4,'Climate Data'!$B$7:$B$366,C5678)</f>
        <v>0.24731182795698925</v>
      </c>
      <c r="I5678" s="87">
        <f>SUMIFS('Climate Data'!$H$7:$H$366,'Climate Data'!$A$7:$A$366,Estimator!$B$4,'Climate Data'!$B$7:$B$366,C5678)</f>
        <v>8.3739130434782609</v>
      </c>
      <c r="J5678" s="86">
        <f>SUMIFS('Wind Proxy'!$H$8:$H$19,'Wind Proxy'!$A$8:$A$19,Estimator!$B$4,'Wind Proxy'!$B$8:$B$19,C5678)</f>
        <v>0</v>
      </c>
    </row>
    <row r="5679" spans="1:10" ht="14.4">
      <c r="A5679" s="84">
        <v>51330</v>
      </c>
      <c r="B5679" s="85">
        <v>2040</v>
      </c>
      <c r="C5679" s="85">
        <v>7</v>
      </c>
      <c r="D5679" s="85" t="s">
        <v>69</v>
      </c>
      <c r="E5679" s="85">
        <v>13</v>
      </c>
      <c r="F5679" s="85">
        <v>5</v>
      </c>
      <c r="G5679" s="85">
        <f>--(F5679&lt;=Estimator!$B$7)</f>
        <v>1</v>
      </c>
      <c r="H5679" s="86">
        <f>SUMIFS('Climate Data'!$G$7:$G$366,'Climate Data'!$A$7:$A$366,Estimator!$B$4,'Climate Data'!$B$7:$B$366,C5679)</f>
        <v>0.24731182795698925</v>
      </c>
      <c r="I5679" s="87">
        <f>SUMIFS('Climate Data'!$H$7:$H$366,'Climate Data'!$A$7:$A$366,Estimator!$B$4,'Climate Data'!$B$7:$B$366,C5679)</f>
        <v>8.3739130434782609</v>
      </c>
      <c r="J5679" s="86">
        <f>SUMIFS('Wind Proxy'!$H$8:$H$19,'Wind Proxy'!$A$8:$A$19,Estimator!$B$4,'Wind Proxy'!$B$8:$B$19,C5679)</f>
        <v>0</v>
      </c>
    </row>
    <row r="5680" spans="1:10" ht="14.4">
      <c r="A5680" s="84">
        <v>51331</v>
      </c>
      <c r="B5680" s="85">
        <v>2040</v>
      </c>
      <c r="C5680" s="85">
        <v>7</v>
      </c>
      <c r="D5680" s="85" t="s">
        <v>69</v>
      </c>
      <c r="E5680" s="85">
        <v>14</v>
      </c>
      <c r="F5680" s="85">
        <v>6</v>
      </c>
      <c r="G5680" s="85">
        <f>--(F5680&lt;=Estimator!$B$7)</f>
        <v>0</v>
      </c>
      <c r="H5680" s="86">
        <f>SUMIFS('Climate Data'!$G$7:$G$366,'Climate Data'!$A$7:$A$366,Estimator!$B$4,'Climate Data'!$B$7:$B$366,C5680)</f>
        <v>0.24731182795698925</v>
      </c>
      <c r="I5680" s="87">
        <f>SUMIFS('Climate Data'!$H$7:$H$366,'Climate Data'!$A$7:$A$366,Estimator!$B$4,'Climate Data'!$B$7:$B$366,C5680)</f>
        <v>8.3739130434782609</v>
      </c>
      <c r="J5680" s="86">
        <f>SUMIFS('Wind Proxy'!$H$8:$H$19,'Wind Proxy'!$A$8:$A$19,Estimator!$B$4,'Wind Proxy'!$B$8:$B$19,C5680)</f>
        <v>0</v>
      </c>
    </row>
    <row r="5681" spans="1:10" ht="14.4">
      <c r="A5681" s="84">
        <v>51332</v>
      </c>
      <c r="B5681" s="85">
        <v>2040</v>
      </c>
      <c r="C5681" s="85">
        <v>7</v>
      </c>
      <c r="D5681" s="85" t="s">
        <v>69</v>
      </c>
      <c r="E5681" s="85">
        <v>15</v>
      </c>
      <c r="F5681" s="85">
        <v>7</v>
      </c>
      <c r="G5681" s="85">
        <f>--(F5681&lt;=Estimator!$B$7)</f>
        <v>0</v>
      </c>
      <c r="H5681" s="86">
        <f>SUMIFS('Climate Data'!$G$7:$G$366,'Climate Data'!$A$7:$A$366,Estimator!$B$4,'Climate Data'!$B$7:$B$366,C5681)</f>
        <v>0.24731182795698925</v>
      </c>
      <c r="I5681" s="87">
        <f>SUMIFS('Climate Data'!$H$7:$H$366,'Climate Data'!$A$7:$A$366,Estimator!$B$4,'Climate Data'!$B$7:$B$366,C5681)</f>
        <v>8.3739130434782609</v>
      </c>
      <c r="J5681" s="86">
        <f>SUMIFS('Wind Proxy'!$H$8:$H$19,'Wind Proxy'!$A$8:$A$19,Estimator!$B$4,'Wind Proxy'!$B$8:$B$19,C5681)</f>
        <v>0</v>
      </c>
    </row>
    <row r="5682" spans="1:10" ht="14.4">
      <c r="A5682" s="84">
        <v>51333</v>
      </c>
      <c r="B5682" s="85">
        <v>2040</v>
      </c>
      <c r="C5682" s="85">
        <v>7</v>
      </c>
      <c r="D5682" s="85" t="s">
        <v>69</v>
      </c>
      <c r="E5682" s="85">
        <v>16</v>
      </c>
      <c r="F5682" s="85">
        <v>1</v>
      </c>
      <c r="G5682" s="85">
        <f>--(F5682&lt;=Estimator!$B$7)</f>
        <v>1</v>
      </c>
      <c r="H5682" s="86">
        <f>SUMIFS('Climate Data'!$G$7:$G$366,'Climate Data'!$A$7:$A$366,Estimator!$B$4,'Climate Data'!$B$7:$B$366,C5682)</f>
        <v>0.24731182795698925</v>
      </c>
      <c r="I5682" s="87">
        <f>SUMIFS('Climate Data'!$H$7:$H$366,'Climate Data'!$A$7:$A$366,Estimator!$B$4,'Climate Data'!$B$7:$B$366,C5682)</f>
        <v>8.3739130434782609</v>
      </c>
      <c r="J5682" s="86">
        <f>SUMIFS('Wind Proxy'!$H$8:$H$19,'Wind Proxy'!$A$8:$A$19,Estimator!$B$4,'Wind Proxy'!$B$8:$B$19,C5682)</f>
        <v>0</v>
      </c>
    </row>
    <row r="5683" spans="1:10" ht="14.4">
      <c r="A5683" s="84">
        <v>51334</v>
      </c>
      <c r="B5683" s="85">
        <v>2040</v>
      </c>
      <c r="C5683" s="85">
        <v>7</v>
      </c>
      <c r="D5683" s="85" t="s">
        <v>69</v>
      </c>
      <c r="E5683" s="85">
        <v>17</v>
      </c>
      <c r="F5683" s="85">
        <v>2</v>
      </c>
      <c r="G5683" s="85">
        <f>--(F5683&lt;=Estimator!$B$7)</f>
        <v>1</v>
      </c>
      <c r="H5683" s="86">
        <f>SUMIFS('Climate Data'!$G$7:$G$366,'Climate Data'!$A$7:$A$366,Estimator!$B$4,'Climate Data'!$B$7:$B$366,C5683)</f>
        <v>0.24731182795698925</v>
      </c>
      <c r="I5683" s="87">
        <f>SUMIFS('Climate Data'!$H$7:$H$366,'Climate Data'!$A$7:$A$366,Estimator!$B$4,'Climate Data'!$B$7:$B$366,C5683)</f>
        <v>8.3739130434782609</v>
      </c>
      <c r="J5683" s="86">
        <f>SUMIFS('Wind Proxy'!$H$8:$H$19,'Wind Proxy'!$A$8:$A$19,Estimator!$B$4,'Wind Proxy'!$B$8:$B$19,C5683)</f>
        <v>0</v>
      </c>
    </row>
    <row r="5684" spans="1:10" ht="14.4">
      <c r="A5684" s="84">
        <v>51335</v>
      </c>
      <c r="B5684" s="85">
        <v>2040</v>
      </c>
      <c r="C5684" s="85">
        <v>7</v>
      </c>
      <c r="D5684" s="85" t="s">
        <v>69</v>
      </c>
      <c r="E5684" s="85">
        <v>18</v>
      </c>
      <c r="F5684" s="85">
        <v>3</v>
      </c>
      <c r="G5684" s="85">
        <f>--(F5684&lt;=Estimator!$B$7)</f>
        <v>1</v>
      </c>
      <c r="H5684" s="86">
        <f>SUMIFS('Climate Data'!$G$7:$G$366,'Climate Data'!$A$7:$A$366,Estimator!$B$4,'Climate Data'!$B$7:$B$366,C5684)</f>
        <v>0.24731182795698925</v>
      </c>
      <c r="I5684" s="87">
        <f>SUMIFS('Climate Data'!$H$7:$H$366,'Climate Data'!$A$7:$A$366,Estimator!$B$4,'Climate Data'!$B$7:$B$366,C5684)</f>
        <v>8.3739130434782609</v>
      </c>
      <c r="J5684" s="86">
        <f>SUMIFS('Wind Proxy'!$H$8:$H$19,'Wind Proxy'!$A$8:$A$19,Estimator!$B$4,'Wind Proxy'!$B$8:$B$19,C5684)</f>
        <v>0</v>
      </c>
    </row>
    <row r="5685" spans="1:10" ht="14.4">
      <c r="A5685" s="84">
        <v>51336</v>
      </c>
      <c r="B5685" s="85">
        <v>2040</v>
      </c>
      <c r="C5685" s="85">
        <v>7</v>
      </c>
      <c r="D5685" s="85" t="s">
        <v>69</v>
      </c>
      <c r="E5685" s="85">
        <v>19</v>
      </c>
      <c r="F5685" s="85">
        <v>4</v>
      </c>
      <c r="G5685" s="85">
        <f>--(F5685&lt;=Estimator!$B$7)</f>
        <v>1</v>
      </c>
      <c r="H5685" s="86">
        <f>SUMIFS('Climate Data'!$G$7:$G$366,'Climate Data'!$A$7:$A$366,Estimator!$B$4,'Climate Data'!$B$7:$B$366,C5685)</f>
        <v>0.24731182795698925</v>
      </c>
      <c r="I5685" s="87">
        <f>SUMIFS('Climate Data'!$H$7:$H$366,'Climate Data'!$A$7:$A$366,Estimator!$B$4,'Climate Data'!$B$7:$B$366,C5685)</f>
        <v>8.3739130434782609</v>
      </c>
      <c r="J5685" s="86">
        <f>SUMIFS('Wind Proxy'!$H$8:$H$19,'Wind Proxy'!$A$8:$A$19,Estimator!$B$4,'Wind Proxy'!$B$8:$B$19,C5685)</f>
        <v>0</v>
      </c>
    </row>
    <row r="5686" spans="1:10" ht="14.4">
      <c r="A5686" s="84">
        <v>51337</v>
      </c>
      <c r="B5686" s="85">
        <v>2040</v>
      </c>
      <c r="C5686" s="85">
        <v>7</v>
      </c>
      <c r="D5686" s="85" t="s">
        <v>69</v>
      </c>
      <c r="E5686" s="85">
        <v>20</v>
      </c>
      <c r="F5686" s="85">
        <v>5</v>
      </c>
      <c r="G5686" s="85">
        <f>--(F5686&lt;=Estimator!$B$7)</f>
        <v>1</v>
      </c>
      <c r="H5686" s="86">
        <f>SUMIFS('Climate Data'!$G$7:$G$366,'Climate Data'!$A$7:$A$366,Estimator!$B$4,'Climate Data'!$B$7:$B$366,C5686)</f>
        <v>0.24731182795698925</v>
      </c>
      <c r="I5686" s="87">
        <f>SUMIFS('Climate Data'!$H$7:$H$366,'Climate Data'!$A$7:$A$366,Estimator!$B$4,'Climate Data'!$B$7:$B$366,C5686)</f>
        <v>8.3739130434782609</v>
      </c>
      <c r="J5686" s="86">
        <f>SUMIFS('Wind Proxy'!$H$8:$H$19,'Wind Proxy'!$A$8:$A$19,Estimator!$B$4,'Wind Proxy'!$B$8:$B$19,C5686)</f>
        <v>0</v>
      </c>
    </row>
    <row r="5687" spans="1:10" ht="14.4">
      <c r="A5687" s="84">
        <v>51338</v>
      </c>
      <c r="B5687" s="85">
        <v>2040</v>
      </c>
      <c r="C5687" s="85">
        <v>7</v>
      </c>
      <c r="D5687" s="85" t="s">
        <v>69</v>
      </c>
      <c r="E5687" s="85">
        <v>21</v>
      </c>
      <c r="F5687" s="85">
        <v>6</v>
      </c>
      <c r="G5687" s="85">
        <f>--(F5687&lt;=Estimator!$B$7)</f>
        <v>0</v>
      </c>
      <c r="H5687" s="86">
        <f>SUMIFS('Climate Data'!$G$7:$G$366,'Climate Data'!$A$7:$A$366,Estimator!$B$4,'Climate Data'!$B$7:$B$366,C5687)</f>
        <v>0.24731182795698925</v>
      </c>
      <c r="I5687" s="87">
        <f>SUMIFS('Climate Data'!$H$7:$H$366,'Climate Data'!$A$7:$A$366,Estimator!$B$4,'Climate Data'!$B$7:$B$366,C5687)</f>
        <v>8.3739130434782609</v>
      </c>
      <c r="J5687" s="86">
        <f>SUMIFS('Wind Proxy'!$H$8:$H$19,'Wind Proxy'!$A$8:$A$19,Estimator!$B$4,'Wind Proxy'!$B$8:$B$19,C5687)</f>
        <v>0</v>
      </c>
    </row>
    <row r="5688" spans="1:10" ht="14.4">
      <c r="A5688" s="84">
        <v>51339</v>
      </c>
      <c r="B5688" s="85">
        <v>2040</v>
      </c>
      <c r="C5688" s="85">
        <v>7</v>
      </c>
      <c r="D5688" s="85" t="s">
        <v>69</v>
      </c>
      <c r="E5688" s="85">
        <v>22</v>
      </c>
      <c r="F5688" s="85">
        <v>7</v>
      </c>
      <c r="G5688" s="85">
        <f>--(F5688&lt;=Estimator!$B$7)</f>
        <v>0</v>
      </c>
      <c r="H5688" s="86">
        <f>SUMIFS('Climate Data'!$G$7:$G$366,'Climate Data'!$A$7:$A$366,Estimator!$B$4,'Climate Data'!$B$7:$B$366,C5688)</f>
        <v>0.24731182795698925</v>
      </c>
      <c r="I5688" s="87">
        <f>SUMIFS('Climate Data'!$H$7:$H$366,'Climate Data'!$A$7:$A$366,Estimator!$B$4,'Climate Data'!$B$7:$B$366,C5688)</f>
        <v>8.3739130434782609</v>
      </c>
      <c r="J5688" s="86">
        <f>SUMIFS('Wind Proxy'!$H$8:$H$19,'Wind Proxy'!$A$8:$A$19,Estimator!$B$4,'Wind Proxy'!$B$8:$B$19,C5688)</f>
        <v>0</v>
      </c>
    </row>
    <row r="5689" spans="1:10" ht="14.4">
      <c r="A5689" s="84">
        <v>51340</v>
      </c>
      <c r="B5689" s="85">
        <v>2040</v>
      </c>
      <c r="C5689" s="85">
        <v>7</v>
      </c>
      <c r="D5689" s="85" t="s">
        <v>69</v>
      </c>
      <c r="E5689" s="85">
        <v>23</v>
      </c>
      <c r="F5689" s="85">
        <v>1</v>
      </c>
      <c r="G5689" s="85">
        <f>--(F5689&lt;=Estimator!$B$7)</f>
        <v>1</v>
      </c>
      <c r="H5689" s="86">
        <f>SUMIFS('Climate Data'!$G$7:$G$366,'Climate Data'!$A$7:$A$366,Estimator!$B$4,'Climate Data'!$B$7:$B$366,C5689)</f>
        <v>0.24731182795698925</v>
      </c>
      <c r="I5689" s="87">
        <f>SUMIFS('Climate Data'!$H$7:$H$366,'Climate Data'!$A$7:$A$366,Estimator!$B$4,'Climate Data'!$B$7:$B$366,C5689)</f>
        <v>8.3739130434782609</v>
      </c>
      <c r="J5689" s="86">
        <f>SUMIFS('Wind Proxy'!$H$8:$H$19,'Wind Proxy'!$A$8:$A$19,Estimator!$B$4,'Wind Proxy'!$B$8:$B$19,C5689)</f>
        <v>0</v>
      </c>
    </row>
    <row r="5690" spans="1:10" ht="14.4">
      <c r="A5690" s="84">
        <v>51341</v>
      </c>
      <c r="B5690" s="85">
        <v>2040</v>
      </c>
      <c r="C5690" s="85">
        <v>7</v>
      </c>
      <c r="D5690" s="85" t="s">
        <v>69</v>
      </c>
      <c r="E5690" s="85">
        <v>24</v>
      </c>
      <c r="F5690" s="85">
        <v>2</v>
      </c>
      <c r="G5690" s="85">
        <f>--(F5690&lt;=Estimator!$B$7)</f>
        <v>1</v>
      </c>
      <c r="H5690" s="86">
        <f>SUMIFS('Climate Data'!$G$7:$G$366,'Climate Data'!$A$7:$A$366,Estimator!$B$4,'Climate Data'!$B$7:$B$366,C5690)</f>
        <v>0.24731182795698925</v>
      </c>
      <c r="I5690" s="87">
        <f>SUMIFS('Climate Data'!$H$7:$H$366,'Climate Data'!$A$7:$A$366,Estimator!$B$4,'Climate Data'!$B$7:$B$366,C5690)</f>
        <v>8.3739130434782609</v>
      </c>
      <c r="J5690" s="86">
        <f>SUMIFS('Wind Proxy'!$H$8:$H$19,'Wind Proxy'!$A$8:$A$19,Estimator!$B$4,'Wind Proxy'!$B$8:$B$19,C5690)</f>
        <v>0</v>
      </c>
    </row>
    <row r="5691" spans="1:10" ht="14.4">
      <c r="A5691" s="84">
        <v>51342</v>
      </c>
      <c r="B5691" s="85">
        <v>2040</v>
      </c>
      <c r="C5691" s="85">
        <v>7</v>
      </c>
      <c r="D5691" s="85" t="s">
        <v>69</v>
      </c>
      <c r="E5691" s="85">
        <v>25</v>
      </c>
      <c r="F5691" s="85">
        <v>3</v>
      </c>
      <c r="G5691" s="85">
        <f>--(F5691&lt;=Estimator!$B$7)</f>
        <v>1</v>
      </c>
      <c r="H5691" s="86">
        <f>SUMIFS('Climate Data'!$G$7:$G$366,'Climate Data'!$A$7:$A$366,Estimator!$B$4,'Climate Data'!$B$7:$B$366,C5691)</f>
        <v>0.24731182795698925</v>
      </c>
      <c r="I5691" s="87">
        <f>SUMIFS('Climate Data'!$H$7:$H$366,'Climate Data'!$A$7:$A$366,Estimator!$B$4,'Climate Data'!$B$7:$B$366,C5691)</f>
        <v>8.3739130434782609</v>
      </c>
      <c r="J5691" s="86">
        <f>SUMIFS('Wind Proxy'!$H$8:$H$19,'Wind Proxy'!$A$8:$A$19,Estimator!$B$4,'Wind Proxy'!$B$8:$B$19,C5691)</f>
        <v>0</v>
      </c>
    </row>
    <row r="5692" spans="1:10" ht="14.4">
      <c r="A5692" s="84">
        <v>51343</v>
      </c>
      <c r="B5692" s="85">
        <v>2040</v>
      </c>
      <c r="C5692" s="85">
        <v>7</v>
      </c>
      <c r="D5692" s="85" t="s">
        <v>69</v>
      </c>
      <c r="E5692" s="85">
        <v>26</v>
      </c>
      <c r="F5692" s="85">
        <v>4</v>
      </c>
      <c r="G5692" s="85">
        <f>--(F5692&lt;=Estimator!$B$7)</f>
        <v>1</v>
      </c>
      <c r="H5692" s="86">
        <f>SUMIFS('Climate Data'!$G$7:$G$366,'Climate Data'!$A$7:$A$366,Estimator!$B$4,'Climate Data'!$B$7:$B$366,C5692)</f>
        <v>0.24731182795698925</v>
      </c>
      <c r="I5692" s="87">
        <f>SUMIFS('Climate Data'!$H$7:$H$366,'Climate Data'!$A$7:$A$366,Estimator!$B$4,'Climate Data'!$B$7:$B$366,C5692)</f>
        <v>8.3739130434782609</v>
      </c>
      <c r="J5692" s="86">
        <f>SUMIFS('Wind Proxy'!$H$8:$H$19,'Wind Proxy'!$A$8:$A$19,Estimator!$B$4,'Wind Proxy'!$B$8:$B$19,C5692)</f>
        <v>0</v>
      </c>
    </row>
    <row r="5693" spans="1:10" ht="14.4">
      <c r="A5693" s="84">
        <v>51344</v>
      </c>
      <c r="B5693" s="85">
        <v>2040</v>
      </c>
      <c r="C5693" s="85">
        <v>7</v>
      </c>
      <c r="D5693" s="85" t="s">
        <v>69</v>
      </c>
      <c r="E5693" s="85">
        <v>27</v>
      </c>
      <c r="F5693" s="85">
        <v>5</v>
      </c>
      <c r="G5693" s="85">
        <f>--(F5693&lt;=Estimator!$B$7)</f>
        <v>1</v>
      </c>
      <c r="H5693" s="86">
        <f>SUMIFS('Climate Data'!$G$7:$G$366,'Climate Data'!$A$7:$A$366,Estimator!$B$4,'Climate Data'!$B$7:$B$366,C5693)</f>
        <v>0.24731182795698925</v>
      </c>
      <c r="I5693" s="87">
        <f>SUMIFS('Climate Data'!$H$7:$H$366,'Climate Data'!$A$7:$A$366,Estimator!$B$4,'Climate Data'!$B$7:$B$366,C5693)</f>
        <v>8.3739130434782609</v>
      </c>
      <c r="J5693" s="86">
        <f>SUMIFS('Wind Proxy'!$H$8:$H$19,'Wind Proxy'!$A$8:$A$19,Estimator!$B$4,'Wind Proxy'!$B$8:$B$19,C5693)</f>
        <v>0</v>
      </c>
    </row>
    <row r="5694" spans="1:10" ht="14.4">
      <c r="A5694" s="84">
        <v>51345</v>
      </c>
      <c r="B5694" s="85">
        <v>2040</v>
      </c>
      <c r="C5694" s="85">
        <v>7</v>
      </c>
      <c r="D5694" s="85" t="s">
        <v>69</v>
      </c>
      <c r="E5694" s="85">
        <v>28</v>
      </c>
      <c r="F5694" s="85">
        <v>6</v>
      </c>
      <c r="G5694" s="85">
        <f>--(F5694&lt;=Estimator!$B$7)</f>
        <v>0</v>
      </c>
      <c r="H5694" s="86">
        <f>SUMIFS('Climate Data'!$G$7:$G$366,'Climate Data'!$A$7:$A$366,Estimator!$B$4,'Climate Data'!$B$7:$B$366,C5694)</f>
        <v>0.24731182795698925</v>
      </c>
      <c r="I5694" s="87">
        <f>SUMIFS('Climate Data'!$H$7:$H$366,'Climate Data'!$A$7:$A$366,Estimator!$B$4,'Climate Data'!$B$7:$B$366,C5694)</f>
        <v>8.3739130434782609</v>
      </c>
      <c r="J5694" s="86">
        <f>SUMIFS('Wind Proxy'!$H$8:$H$19,'Wind Proxy'!$A$8:$A$19,Estimator!$B$4,'Wind Proxy'!$B$8:$B$19,C5694)</f>
        <v>0</v>
      </c>
    </row>
    <row r="5695" spans="1:10" ht="14.4">
      <c r="A5695" s="84">
        <v>51346</v>
      </c>
      <c r="B5695" s="85">
        <v>2040</v>
      </c>
      <c r="C5695" s="85">
        <v>7</v>
      </c>
      <c r="D5695" s="85" t="s">
        <v>69</v>
      </c>
      <c r="E5695" s="85">
        <v>29</v>
      </c>
      <c r="F5695" s="85">
        <v>7</v>
      </c>
      <c r="G5695" s="85">
        <f>--(F5695&lt;=Estimator!$B$7)</f>
        <v>0</v>
      </c>
      <c r="H5695" s="86">
        <f>SUMIFS('Climate Data'!$G$7:$G$366,'Climate Data'!$A$7:$A$366,Estimator!$B$4,'Climate Data'!$B$7:$B$366,C5695)</f>
        <v>0.24731182795698925</v>
      </c>
      <c r="I5695" s="87">
        <f>SUMIFS('Climate Data'!$H$7:$H$366,'Climate Data'!$A$7:$A$366,Estimator!$B$4,'Climate Data'!$B$7:$B$366,C5695)</f>
        <v>8.3739130434782609</v>
      </c>
      <c r="J5695" s="86">
        <f>SUMIFS('Wind Proxy'!$H$8:$H$19,'Wind Proxy'!$A$8:$A$19,Estimator!$B$4,'Wind Proxy'!$B$8:$B$19,C5695)</f>
        <v>0</v>
      </c>
    </row>
    <row r="5696" spans="1:10" ht="14.4">
      <c r="A5696" s="84">
        <v>51347</v>
      </c>
      <c r="B5696" s="85">
        <v>2040</v>
      </c>
      <c r="C5696" s="85">
        <v>7</v>
      </c>
      <c r="D5696" s="85" t="s">
        <v>69</v>
      </c>
      <c r="E5696" s="85">
        <v>30</v>
      </c>
      <c r="F5696" s="85">
        <v>1</v>
      </c>
      <c r="G5696" s="85">
        <f>--(F5696&lt;=Estimator!$B$7)</f>
        <v>1</v>
      </c>
      <c r="H5696" s="86">
        <f>SUMIFS('Climate Data'!$G$7:$G$366,'Climate Data'!$A$7:$A$366,Estimator!$B$4,'Climate Data'!$B$7:$B$366,C5696)</f>
        <v>0.24731182795698925</v>
      </c>
      <c r="I5696" s="87">
        <f>SUMIFS('Climate Data'!$H$7:$H$366,'Climate Data'!$A$7:$A$366,Estimator!$B$4,'Climate Data'!$B$7:$B$366,C5696)</f>
        <v>8.3739130434782609</v>
      </c>
      <c r="J5696" s="86">
        <f>SUMIFS('Wind Proxy'!$H$8:$H$19,'Wind Proxy'!$A$8:$A$19,Estimator!$B$4,'Wind Proxy'!$B$8:$B$19,C5696)</f>
        <v>0</v>
      </c>
    </row>
    <row r="5697" spans="1:10" ht="14.4">
      <c r="A5697" s="84">
        <v>51348</v>
      </c>
      <c r="B5697" s="85">
        <v>2040</v>
      </c>
      <c r="C5697" s="85">
        <v>7</v>
      </c>
      <c r="D5697" s="85" t="s">
        <v>69</v>
      </c>
      <c r="E5697" s="85">
        <v>31</v>
      </c>
      <c r="F5697" s="85">
        <v>2</v>
      </c>
      <c r="G5697" s="85">
        <f>--(F5697&lt;=Estimator!$B$7)</f>
        <v>1</v>
      </c>
      <c r="H5697" s="86">
        <f>SUMIFS('Climate Data'!$G$7:$G$366,'Climate Data'!$A$7:$A$366,Estimator!$B$4,'Climate Data'!$B$7:$B$366,C5697)</f>
        <v>0.24731182795698925</v>
      </c>
      <c r="I5697" s="87">
        <f>SUMIFS('Climate Data'!$H$7:$H$366,'Climate Data'!$A$7:$A$366,Estimator!$B$4,'Climate Data'!$B$7:$B$366,C5697)</f>
        <v>8.3739130434782609</v>
      </c>
      <c r="J5697" s="86">
        <f>SUMIFS('Wind Proxy'!$H$8:$H$19,'Wind Proxy'!$A$8:$A$19,Estimator!$B$4,'Wind Proxy'!$B$8:$B$19,C5697)</f>
        <v>0</v>
      </c>
    </row>
    <row r="5698" spans="1:10" ht="14.4">
      <c r="A5698" s="84">
        <v>51349</v>
      </c>
      <c r="B5698" s="85">
        <v>2040</v>
      </c>
      <c r="C5698" s="85">
        <v>8</v>
      </c>
      <c r="D5698" s="85" t="s">
        <v>71</v>
      </c>
      <c r="E5698" s="85">
        <v>1</v>
      </c>
      <c r="F5698" s="85">
        <v>3</v>
      </c>
      <c r="G5698" s="85">
        <f>--(F5698&lt;=Estimator!$B$7)</f>
        <v>1</v>
      </c>
      <c r="H5698" s="86">
        <f>SUMIFS('Climate Data'!$G$7:$G$366,'Climate Data'!$A$7:$A$366,Estimator!$B$4,'Climate Data'!$B$7:$B$366,C5698)</f>
        <v>0.23548387096774193</v>
      </c>
      <c r="I5698" s="87">
        <f>SUMIFS('Climate Data'!$H$7:$H$366,'Climate Data'!$A$7:$A$366,Estimator!$B$4,'Climate Data'!$B$7:$B$366,C5698)</f>
        <v>7.9589041095890414</v>
      </c>
      <c r="J5698" s="86">
        <f>SUMIFS('Wind Proxy'!$H$8:$H$19,'Wind Proxy'!$A$8:$A$19,Estimator!$B$4,'Wind Proxy'!$B$8:$B$19,C5698)</f>
        <v>0</v>
      </c>
    </row>
    <row r="5699" spans="1:10" ht="14.4">
      <c r="A5699" s="84">
        <v>51350</v>
      </c>
      <c r="B5699" s="85">
        <v>2040</v>
      </c>
      <c r="C5699" s="85">
        <v>8</v>
      </c>
      <c r="D5699" s="85" t="s">
        <v>71</v>
      </c>
      <c r="E5699" s="85">
        <v>2</v>
      </c>
      <c r="F5699" s="85">
        <v>4</v>
      </c>
      <c r="G5699" s="85">
        <f>--(F5699&lt;=Estimator!$B$7)</f>
        <v>1</v>
      </c>
      <c r="H5699" s="86">
        <f>SUMIFS('Climate Data'!$G$7:$G$366,'Climate Data'!$A$7:$A$366,Estimator!$B$4,'Climate Data'!$B$7:$B$366,C5699)</f>
        <v>0.23548387096774193</v>
      </c>
      <c r="I5699" s="87">
        <f>SUMIFS('Climate Data'!$H$7:$H$366,'Climate Data'!$A$7:$A$366,Estimator!$B$4,'Climate Data'!$B$7:$B$366,C5699)</f>
        <v>7.9589041095890414</v>
      </c>
      <c r="J5699" s="86">
        <f>SUMIFS('Wind Proxy'!$H$8:$H$19,'Wind Proxy'!$A$8:$A$19,Estimator!$B$4,'Wind Proxy'!$B$8:$B$19,C5699)</f>
        <v>0</v>
      </c>
    </row>
    <row r="5700" spans="1:10" ht="14.4">
      <c r="A5700" s="84">
        <v>51351</v>
      </c>
      <c r="B5700" s="85">
        <v>2040</v>
      </c>
      <c r="C5700" s="85">
        <v>8</v>
      </c>
      <c r="D5700" s="85" t="s">
        <v>71</v>
      </c>
      <c r="E5700" s="85">
        <v>3</v>
      </c>
      <c r="F5700" s="85">
        <v>5</v>
      </c>
      <c r="G5700" s="85">
        <f>--(F5700&lt;=Estimator!$B$7)</f>
        <v>1</v>
      </c>
      <c r="H5700" s="86">
        <f>SUMIFS('Climate Data'!$G$7:$G$366,'Climate Data'!$A$7:$A$366,Estimator!$B$4,'Climate Data'!$B$7:$B$366,C5700)</f>
        <v>0.23548387096774193</v>
      </c>
      <c r="I5700" s="87">
        <f>SUMIFS('Climate Data'!$H$7:$H$366,'Climate Data'!$A$7:$A$366,Estimator!$B$4,'Climate Data'!$B$7:$B$366,C5700)</f>
        <v>7.9589041095890414</v>
      </c>
      <c r="J5700" s="86">
        <f>SUMIFS('Wind Proxy'!$H$8:$H$19,'Wind Proxy'!$A$8:$A$19,Estimator!$B$4,'Wind Proxy'!$B$8:$B$19,C5700)</f>
        <v>0</v>
      </c>
    </row>
    <row r="5701" spans="1:10" ht="14.4">
      <c r="A5701" s="84">
        <v>51352</v>
      </c>
      <c r="B5701" s="85">
        <v>2040</v>
      </c>
      <c r="C5701" s="85">
        <v>8</v>
      </c>
      <c r="D5701" s="85" t="s">
        <v>71</v>
      </c>
      <c r="E5701" s="85">
        <v>4</v>
      </c>
      <c r="F5701" s="85">
        <v>6</v>
      </c>
      <c r="G5701" s="85">
        <f>--(F5701&lt;=Estimator!$B$7)</f>
        <v>0</v>
      </c>
      <c r="H5701" s="86">
        <f>SUMIFS('Climate Data'!$G$7:$G$366,'Climate Data'!$A$7:$A$366,Estimator!$B$4,'Climate Data'!$B$7:$B$366,C5701)</f>
        <v>0.23548387096774193</v>
      </c>
      <c r="I5701" s="87">
        <f>SUMIFS('Climate Data'!$H$7:$H$366,'Climate Data'!$A$7:$A$366,Estimator!$B$4,'Climate Data'!$B$7:$B$366,C5701)</f>
        <v>7.9589041095890414</v>
      </c>
      <c r="J5701" s="86">
        <f>SUMIFS('Wind Proxy'!$H$8:$H$19,'Wind Proxy'!$A$8:$A$19,Estimator!$B$4,'Wind Proxy'!$B$8:$B$19,C5701)</f>
        <v>0</v>
      </c>
    </row>
    <row r="5702" spans="1:10" ht="14.4">
      <c r="A5702" s="84">
        <v>51353</v>
      </c>
      <c r="B5702" s="85">
        <v>2040</v>
      </c>
      <c r="C5702" s="85">
        <v>8</v>
      </c>
      <c r="D5702" s="85" t="s">
        <v>71</v>
      </c>
      <c r="E5702" s="85">
        <v>5</v>
      </c>
      <c r="F5702" s="85">
        <v>7</v>
      </c>
      <c r="G5702" s="85">
        <f>--(F5702&lt;=Estimator!$B$7)</f>
        <v>0</v>
      </c>
      <c r="H5702" s="86">
        <f>SUMIFS('Climate Data'!$G$7:$G$366,'Climate Data'!$A$7:$A$366,Estimator!$B$4,'Climate Data'!$B$7:$B$366,C5702)</f>
        <v>0.23548387096774193</v>
      </c>
      <c r="I5702" s="87">
        <f>SUMIFS('Climate Data'!$H$7:$H$366,'Climate Data'!$A$7:$A$366,Estimator!$B$4,'Climate Data'!$B$7:$B$366,C5702)</f>
        <v>7.9589041095890414</v>
      </c>
      <c r="J5702" s="86">
        <f>SUMIFS('Wind Proxy'!$H$8:$H$19,'Wind Proxy'!$A$8:$A$19,Estimator!$B$4,'Wind Proxy'!$B$8:$B$19,C5702)</f>
        <v>0</v>
      </c>
    </row>
    <row r="5703" spans="1:10" ht="14.4">
      <c r="A5703" s="84">
        <v>51354</v>
      </c>
      <c r="B5703" s="85">
        <v>2040</v>
      </c>
      <c r="C5703" s="85">
        <v>8</v>
      </c>
      <c r="D5703" s="85" t="s">
        <v>71</v>
      </c>
      <c r="E5703" s="85">
        <v>6</v>
      </c>
      <c r="F5703" s="85">
        <v>1</v>
      </c>
      <c r="G5703" s="85">
        <f>--(F5703&lt;=Estimator!$B$7)</f>
        <v>1</v>
      </c>
      <c r="H5703" s="86">
        <f>SUMIFS('Climate Data'!$G$7:$G$366,'Climate Data'!$A$7:$A$366,Estimator!$B$4,'Climate Data'!$B$7:$B$366,C5703)</f>
        <v>0.23548387096774193</v>
      </c>
      <c r="I5703" s="87">
        <f>SUMIFS('Climate Data'!$H$7:$H$366,'Climate Data'!$A$7:$A$366,Estimator!$B$4,'Climate Data'!$B$7:$B$366,C5703)</f>
        <v>7.9589041095890414</v>
      </c>
      <c r="J5703" s="86">
        <f>SUMIFS('Wind Proxy'!$H$8:$H$19,'Wind Proxy'!$A$8:$A$19,Estimator!$B$4,'Wind Proxy'!$B$8:$B$19,C5703)</f>
        <v>0</v>
      </c>
    </row>
    <row r="5704" spans="1:10" ht="14.4">
      <c r="A5704" s="84">
        <v>51355</v>
      </c>
      <c r="B5704" s="85">
        <v>2040</v>
      </c>
      <c r="C5704" s="85">
        <v>8</v>
      </c>
      <c r="D5704" s="85" t="s">
        <v>71</v>
      </c>
      <c r="E5704" s="85">
        <v>7</v>
      </c>
      <c r="F5704" s="85">
        <v>2</v>
      </c>
      <c r="G5704" s="85">
        <f>--(F5704&lt;=Estimator!$B$7)</f>
        <v>1</v>
      </c>
      <c r="H5704" s="86">
        <f>SUMIFS('Climate Data'!$G$7:$G$366,'Climate Data'!$A$7:$A$366,Estimator!$B$4,'Climate Data'!$B$7:$B$366,C5704)</f>
        <v>0.23548387096774193</v>
      </c>
      <c r="I5704" s="87">
        <f>SUMIFS('Climate Data'!$H$7:$H$366,'Climate Data'!$A$7:$A$366,Estimator!$B$4,'Climate Data'!$B$7:$B$366,C5704)</f>
        <v>7.9589041095890414</v>
      </c>
      <c r="J5704" s="86">
        <f>SUMIFS('Wind Proxy'!$H$8:$H$19,'Wind Proxy'!$A$8:$A$19,Estimator!$B$4,'Wind Proxy'!$B$8:$B$19,C5704)</f>
        <v>0</v>
      </c>
    </row>
    <row r="5705" spans="1:10" ht="14.4">
      <c r="A5705" s="84">
        <v>51356</v>
      </c>
      <c r="B5705" s="85">
        <v>2040</v>
      </c>
      <c r="C5705" s="85">
        <v>8</v>
      </c>
      <c r="D5705" s="85" t="s">
        <v>71</v>
      </c>
      <c r="E5705" s="85">
        <v>8</v>
      </c>
      <c r="F5705" s="85">
        <v>3</v>
      </c>
      <c r="G5705" s="85">
        <f>--(F5705&lt;=Estimator!$B$7)</f>
        <v>1</v>
      </c>
      <c r="H5705" s="86">
        <f>SUMIFS('Climate Data'!$G$7:$G$366,'Climate Data'!$A$7:$A$366,Estimator!$B$4,'Climate Data'!$B$7:$B$366,C5705)</f>
        <v>0.23548387096774193</v>
      </c>
      <c r="I5705" s="87">
        <f>SUMIFS('Climate Data'!$H$7:$H$366,'Climate Data'!$A$7:$A$366,Estimator!$B$4,'Climate Data'!$B$7:$B$366,C5705)</f>
        <v>7.9589041095890414</v>
      </c>
      <c r="J5705" s="86">
        <f>SUMIFS('Wind Proxy'!$H$8:$H$19,'Wind Proxy'!$A$8:$A$19,Estimator!$B$4,'Wind Proxy'!$B$8:$B$19,C5705)</f>
        <v>0</v>
      </c>
    </row>
    <row r="5706" spans="1:10" ht="14.4">
      <c r="A5706" s="84">
        <v>51357</v>
      </c>
      <c r="B5706" s="85">
        <v>2040</v>
      </c>
      <c r="C5706" s="85">
        <v>8</v>
      </c>
      <c r="D5706" s="85" t="s">
        <v>71</v>
      </c>
      <c r="E5706" s="85">
        <v>9</v>
      </c>
      <c r="F5706" s="85">
        <v>4</v>
      </c>
      <c r="G5706" s="85">
        <f>--(F5706&lt;=Estimator!$B$7)</f>
        <v>1</v>
      </c>
      <c r="H5706" s="86">
        <f>SUMIFS('Climate Data'!$G$7:$G$366,'Climate Data'!$A$7:$A$366,Estimator!$B$4,'Climate Data'!$B$7:$B$366,C5706)</f>
        <v>0.23548387096774193</v>
      </c>
      <c r="I5706" s="87">
        <f>SUMIFS('Climate Data'!$H$7:$H$366,'Climate Data'!$A$7:$A$366,Estimator!$B$4,'Climate Data'!$B$7:$B$366,C5706)</f>
        <v>7.9589041095890414</v>
      </c>
      <c r="J5706" s="86">
        <f>SUMIFS('Wind Proxy'!$H$8:$H$19,'Wind Proxy'!$A$8:$A$19,Estimator!$B$4,'Wind Proxy'!$B$8:$B$19,C5706)</f>
        <v>0</v>
      </c>
    </row>
    <row r="5707" spans="1:10" ht="14.4">
      <c r="A5707" s="84">
        <v>51358</v>
      </c>
      <c r="B5707" s="85">
        <v>2040</v>
      </c>
      <c r="C5707" s="85">
        <v>8</v>
      </c>
      <c r="D5707" s="85" t="s">
        <v>71</v>
      </c>
      <c r="E5707" s="85">
        <v>10</v>
      </c>
      <c r="F5707" s="85">
        <v>5</v>
      </c>
      <c r="G5707" s="85">
        <f>--(F5707&lt;=Estimator!$B$7)</f>
        <v>1</v>
      </c>
      <c r="H5707" s="86">
        <f>SUMIFS('Climate Data'!$G$7:$G$366,'Climate Data'!$A$7:$A$366,Estimator!$B$4,'Climate Data'!$B$7:$B$366,C5707)</f>
        <v>0.23548387096774193</v>
      </c>
      <c r="I5707" s="87">
        <f>SUMIFS('Climate Data'!$H$7:$H$366,'Climate Data'!$A$7:$A$366,Estimator!$B$4,'Climate Data'!$B$7:$B$366,C5707)</f>
        <v>7.9589041095890414</v>
      </c>
      <c r="J5707" s="86">
        <f>SUMIFS('Wind Proxy'!$H$8:$H$19,'Wind Proxy'!$A$8:$A$19,Estimator!$B$4,'Wind Proxy'!$B$8:$B$19,C5707)</f>
        <v>0</v>
      </c>
    </row>
    <row r="5708" spans="1:10" ht="14.4">
      <c r="A5708" s="84">
        <v>51359</v>
      </c>
      <c r="B5708" s="85">
        <v>2040</v>
      </c>
      <c r="C5708" s="85">
        <v>8</v>
      </c>
      <c r="D5708" s="85" t="s">
        <v>71</v>
      </c>
      <c r="E5708" s="85">
        <v>11</v>
      </c>
      <c r="F5708" s="85">
        <v>6</v>
      </c>
      <c r="G5708" s="85">
        <f>--(F5708&lt;=Estimator!$B$7)</f>
        <v>0</v>
      </c>
      <c r="H5708" s="86">
        <f>SUMIFS('Climate Data'!$G$7:$G$366,'Climate Data'!$A$7:$A$366,Estimator!$B$4,'Climate Data'!$B$7:$B$366,C5708)</f>
        <v>0.23548387096774193</v>
      </c>
      <c r="I5708" s="87">
        <f>SUMIFS('Climate Data'!$H$7:$H$366,'Climate Data'!$A$7:$A$366,Estimator!$B$4,'Climate Data'!$B$7:$B$366,C5708)</f>
        <v>7.9589041095890414</v>
      </c>
      <c r="J5708" s="86">
        <f>SUMIFS('Wind Proxy'!$H$8:$H$19,'Wind Proxy'!$A$8:$A$19,Estimator!$B$4,'Wind Proxy'!$B$8:$B$19,C5708)</f>
        <v>0</v>
      </c>
    </row>
    <row r="5709" spans="1:10" ht="14.4">
      <c r="A5709" s="84">
        <v>51360</v>
      </c>
      <c r="B5709" s="85">
        <v>2040</v>
      </c>
      <c r="C5709" s="85">
        <v>8</v>
      </c>
      <c r="D5709" s="85" t="s">
        <v>71</v>
      </c>
      <c r="E5709" s="85">
        <v>12</v>
      </c>
      <c r="F5709" s="85">
        <v>7</v>
      </c>
      <c r="G5709" s="85">
        <f>--(F5709&lt;=Estimator!$B$7)</f>
        <v>0</v>
      </c>
      <c r="H5709" s="86">
        <f>SUMIFS('Climate Data'!$G$7:$G$366,'Climate Data'!$A$7:$A$366,Estimator!$B$4,'Climate Data'!$B$7:$B$366,C5709)</f>
        <v>0.23548387096774193</v>
      </c>
      <c r="I5709" s="87">
        <f>SUMIFS('Climate Data'!$H$7:$H$366,'Climate Data'!$A$7:$A$366,Estimator!$B$4,'Climate Data'!$B$7:$B$366,C5709)</f>
        <v>7.9589041095890414</v>
      </c>
      <c r="J5709" s="86">
        <f>SUMIFS('Wind Proxy'!$H$8:$H$19,'Wind Proxy'!$A$8:$A$19,Estimator!$B$4,'Wind Proxy'!$B$8:$B$19,C5709)</f>
        <v>0</v>
      </c>
    </row>
    <row r="5710" spans="1:10" ht="14.4">
      <c r="A5710" s="84">
        <v>51361</v>
      </c>
      <c r="B5710" s="85">
        <v>2040</v>
      </c>
      <c r="C5710" s="85">
        <v>8</v>
      </c>
      <c r="D5710" s="85" t="s">
        <v>71</v>
      </c>
      <c r="E5710" s="85">
        <v>13</v>
      </c>
      <c r="F5710" s="85">
        <v>1</v>
      </c>
      <c r="G5710" s="85">
        <f>--(F5710&lt;=Estimator!$B$7)</f>
        <v>1</v>
      </c>
      <c r="H5710" s="86">
        <f>SUMIFS('Climate Data'!$G$7:$G$366,'Climate Data'!$A$7:$A$366,Estimator!$B$4,'Climate Data'!$B$7:$B$366,C5710)</f>
        <v>0.23548387096774193</v>
      </c>
      <c r="I5710" s="87">
        <f>SUMIFS('Climate Data'!$H$7:$H$366,'Climate Data'!$A$7:$A$366,Estimator!$B$4,'Climate Data'!$B$7:$B$366,C5710)</f>
        <v>7.9589041095890414</v>
      </c>
      <c r="J5710" s="86">
        <f>SUMIFS('Wind Proxy'!$H$8:$H$19,'Wind Proxy'!$A$8:$A$19,Estimator!$B$4,'Wind Proxy'!$B$8:$B$19,C5710)</f>
        <v>0</v>
      </c>
    </row>
    <row r="5711" spans="1:10" ht="14.4">
      <c r="A5711" s="84">
        <v>51362</v>
      </c>
      <c r="B5711" s="85">
        <v>2040</v>
      </c>
      <c r="C5711" s="85">
        <v>8</v>
      </c>
      <c r="D5711" s="85" t="s">
        <v>71</v>
      </c>
      <c r="E5711" s="85">
        <v>14</v>
      </c>
      <c r="F5711" s="85">
        <v>2</v>
      </c>
      <c r="G5711" s="85">
        <f>--(F5711&lt;=Estimator!$B$7)</f>
        <v>1</v>
      </c>
      <c r="H5711" s="86">
        <f>SUMIFS('Climate Data'!$G$7:$G$366,'Climate Data'!$A$7:$A$366,Estimator!$B$4,'Climate Data'!$B$7:$B$366,C5711)</f>
        <v>0.23548387096774193</v>
      </c>
      <c r="I5711" s="87">
        <f>SUMIFS('Climate Data'!$H$7:$H$366,'Climate Data'!$A$7:$A$366,Estimator!$B$4,'Climate Data'!$B$7:$B$366,C5711)</f>
        <v>7.9589041095890414</v>
      </c>
      <c r="J5711" s="86">
        <f>SUMIFS('Wind Proxy'!$H$8:$H$19,'Wind Proxy'!$A$8:$A$19,Estimator!$B$4,'Wind Proxy'!$B$8:$B$19,C5711)</f>
        <v>0</v>
      </c>
    </row>
    <row r="5712" spans="1:10" ht="14.4">
      <c r="A5712" s="84">
        <v>51363</v>
      </c>
      <c r="B5712" s="85">
        <v>2040</v>
      </c>
      <c r="C5712" s="85">
        <v>8</v>
      </c>
      <c r="D5712" s="85" t="s">
        <v>71</v>
      </c>
      <c r="E5712" s="85">
        <v>15</v>
      </c>
      <c r="F5712" s="85">
        <v>3</v>
      </c>
      <c r="G5712" s="85">
        <f>--(F5712&lt;=Estimator!$B$7)</f>
        <v>1</v>
      </c>
      <c r="H5712" s="86">
        <f>SUMIFS('Climate Data'!$G$7:$G$366,'Climate Data'!$A$7:$A$366,Estimator!$B$4,'Climate Data'!$B$7:$B$366,C5712)</f>
        <v>0.23548387096774193</v>
      </c>
      <c r="I5712" s="87">
        <f>SUMIFS('Climate Data'!$H$7:$H$366,'Climate Data'!$A$7:$A$366,Estimator!$B$4,'Climate Data'!$B$7:$B$366,C5712)</f>
        <v>7.9589041095890414</v>
      </c>
      <c r="J5712" s="86">
        <f>SUMIFS('Wind Proxy'!$H$8:$H$19,'Wind Proxy'!$A$8:$A$19,Estimator!$B$4,'Wind Proxy'!$B$8:$B$19,C5712)</f>
        <v>0</v>
      </c>
    </row>
    <row r="5713" spans="1:10" ht="14.4">
      <c r="A5713" s="84">
        <v>51364</v>
      </c>
      <c r="B5713" s="85">
        <v>2040</v>
      </c>
      <c r="C5713" s="85">
        <v>8</v>
      </c>
      <c r="D5713" s="85" t="s">
        <v>71</v>
      </c>
      <c r="E5713" s="85">
        <v>16</v>
      </c>
      <c r="F5713" s="85">
        <v>4</v>
      </c>
      <c r="G5713" s="85">
        <f>--(F5713&lt;=Estimator!$B$7)</f>
        <v>1</v>
      </c>
      <c r="H5713" s="86">
        <f>SUMIFS('Climate Data'!$G$7:$G$366,'Climate Data'!$A$7:$A$366,Estimator!$B$4,'Climate Data'!$B$7:$B$366,C5713)</f>
        <v>0.23548387096774193</v>
      </c>
      <c r="I5713" s="87">
        <f>SUMIFS('Climate Data'!$H$7:$H$366,'Climate Data'!$A$7:$A$366,Estimator!$B$4,'Climate Data'!$B$7:$B$366,C5713)</f>
        <v>7.9589041095890414</v>
      </c>
      <c r="J5713" s="86">
        <f>SUMIFS('Wind Proxy'!$H$8:$H$19,'Wind Proxy'!$A$8:$A$19,Estimator!$B$4,'Wind Proxy'!$B$8:$B$19,C5713)</f>
        <v>0</v>
      </c>
    </row>
    <row r="5714" spans="1:10" ht="14.4">
      <c r="A5714" s="84">
        <v>51365</v>
      </c>
      <c r="B5714" s="85">
        <v>2040</v>
      </c>
      <c r="C5714" s="85">
        <v>8</v>
      </c>
      <c r="D5714" s="85" t="s">
        <v>71</v>
      </c>
      <c r="E5714" s="85">
        <v>17</v>
      </c>
      <c r="F5714" s="85">
        <v>5</v>
      </c>
      <c r="G5714" s="85">
        <f>--(F5714&lt;=Estimator!$B$7)</f>
        <v>1</v>
      </c>
      <c r="H5714" s="86">
        <f>SUMIFS('Climate Data'!$G$7:$G$366,'Climate Data'!$A$7:$A$366,Estimator!$B$4,'Climate Data'!$B$7:$B$366,C5714)</f>
        <v>0.23548387096774193</v>
      </c>
      <c r="I5714" s="87">
        <f>SUMIFS('Climate Data'!$H$7:$H$366,'Climate Data'!$A$7:$A$366,Estimator!$B$4,'Climate Data'!$B$7:$B$366,C5714)</f>
        <v>7.9589041095890414</v>
      </c>
      <c r="J5714" s="86">
        <f>SUMIFS('Wind Proxy'!$H$8:$H$19,'Wind Proxy'!$A$8:$A$19,Estimator!$B$4,'Wind Proxy'!$B$8:$B$19,C5714)</f>
        <v>0</v>
      </c>
    </row>
    <row r="5715" spans="1:10" ht="14.4">
      <c r="A5715" s="84">
        <v>51366</v>
      </c>
      <c r="B5715" s="85">
        <v>2040</v>
      </c>
      <c r="C5715" s="85">
        <v>8</v>
      </c>
      <c r="D5715" s="85" t="s">
        <v>71</v>
      </c>
      <c r="E5715" s="85">
        <v>18</v>
      </c>
      <c r="F5715" s="85">
        <v>6</v>
      </c>
      <c r="G5715" s="85">
        <f>--(F5715&lt;=Estimator!$B$7)</f>
        <v>0</v>
      </c>
      <c r="H5715" s="86">
        <f>SUMIFS('Climate Data'!$G$7:$G$366,'Climate Data'!$A$7:$A$366,Estimator!$B$4,'Climate Data'!$B$7:$B$366,C5715)</f>
        <v>0.23548387096774193</v>
      </c>
      <c r="I5715" s="87">
        <f>SUMIFS('Climate Data'!$H$7:$H$366,'Climate Data'!$A$7:$A$366,Estimator!$B$4,'Climate Data'!$B$7:$B$366,C5715)</f>
        <v>7.9589041095890414</v>
      </c>
      <c r="J5715" s="86">
        <f>SUMIFS('Wind Proxy'!$H$8:$H$19,'Wind Proxy'!$A$8:$A$19,Estimator!$B$4,'Wind Proxy'!$B$8:$B$19,C5715)</f>
        <v>0</v>
      </c>
    </row>
    <row r="5716" spans="1:10" ht="14.4">
      <c r="A5716" s="84">
        <v>51367</v>
      </c>
      <c r="B5716" s="85">
        <v>2040</v>
      </c>
      <c r="C5716" s="85">
        <v>8</v>
      </c>
      <c r="D5716" s="85" t="s">
        <v>71</v>
      </c>
      <c r="E5716" s="85">
        <v>19</v>
      </c>
      <c r="F5716" s="85">
        <v>7</v>
      </c>
      <c r="G5716" s="85">
        <f>--(F5716&lt;=Estimator!$B$7)</f>
        <v>0</v>
      </c>
      <c r="H5716" s="86">
        <f>SUMIFS('Climate Data'!$G$7:$G$366,'Climate Data'!$A$7:$A$366,Estimator!$B$4,'Climate Data'!$B$7:$B$366,C5716)</f>
        <v>0.23548387096774193</v>
      </c>
      <c r="I5716" s="87">
        <f>SUMIFS('Climate Data'!$H$7:$H$366,'Climate Data'!$A$7:$A$366,Estimator!$B$4,'Climate Data'!$B$7:$B$366,C5716)</f>
        <v>7.9589041095890414</v>
      </c>
      <c r="J5716" s="86">
        <f>SUMIFS('Wind Proxy'!$H$8:$H$19,'Wind Proxy'!$A$8:$A$19,Estimator!$B$4,'Wind Proxy'!$B$8:$B$19,C5716)</f>
        <v>0</v>
      </c>
    </row>
    <row r="5717" spans="1:10" ht="14.4">
      <c r="A5717" s="84">
        <v>51368</v>
      </c>
      <c r="B5717" s="85">
        <v>2040</v>
      </c>
      <c r="C5717" s="85">
        <v>8</v>
      </c>
      <c r="D5717" s="85" t="s">
        <v>71</v>
      </c>
      <c r="E5717" s="85">
        <v>20</v>
      </c>
      <c r="F5717" s="85">
        <v>1</v>
      </c>
      <c r="G5717" s="85">
        <f>--(F5717&lt;=Estimator!$B$7)</f>
        <v>1</v>
      </c>
      <c r="H5717" s="86">
        <f>SUMIFS('Climate Data'!$G$7:$G$366,'Climate Data'!$A$7:$A$366,Estimator!$B$4,'Climate Data'!$B$7:$B$366,C5717)</f>
        <v>0.23548387096774193</v>
      </c>
      <c r="I5717" s="87">
        <f>SUMIFS('Climate Data'!$H$7:$H$366,'Climate Data'!$A$7:$A$366,Estimator!$B$4,'Climate Data'!$B$7:$B$366,C5717)</f>
        <v>7.9589041095890414</v>
      </c>
      <c r="J5717" s="86">
        <f>SUMIFS('Wind Proxy'!$H$8:$H$19,'Wind Proxy'!$A$8:$A$19,Estimator!$B$4,'Wind Proxy'!$B$8:$B$19,C5717)</f>
        <v>0</v>
      </c>
    </row>
    <row r="5718" spans="1:10" ht="14.4">
      <c r="A5718" s="84">
        <v>51369</v>
      </c>
      <c r="B5718" s="85">
        <v>2040</v>
      </c>
      <c r="C5718" s="85">
        <v>8</v>
      </c>
      <c r="D5718" s="85" t="s">
        <v>71</v>
      </c>
      <c r="E5718" s="85">
        <v>21</v>
      </c>
      <c r="F5718" s="85">
        <v>2</v>
      </c>
      <c r="G5718" s="85">
        <f>--(F5718&lt;=Estimator!$B$7)</f>
        <v>1</v>
      </c>
      <c r="H5718" s="86">
        <f>SUMIFS('Climate Data'!$G$7:$G$366,'Climate Data'!$A$7:$A$366,Estimator!$B$4,'Climate Data'!$B$7:$B$366,C5718)</f>
        <v>0.23548387096774193</v>
      </c>
      <c r="I5718" s="87">
        <f>SUMIFS('Climate Data'!$H$7:$H$366,'Climate Data'!$A$7:$A$366,Estimator!$B$4,'Climate Data'!$B$7:$B$366,C5718)</f>
        <v>7.9589041095890414</v>
      </c>
      <c r="J5718" s="86">
        <f>SUMIFS('Wind Proxy'!$H$8:$H$19,'Wind Proxy'!$A$8:$A$19,Estimator!$B$4,'Wind Proxy'!$B$8:$B$19,C5718)</f>
        <v>0</v>
      </c>
    </row>
    <row r="5719" spans="1:10" ht="14.4">
      <c r="A5719" s="84">
        <v>51370</v>
      </c>
      <c r="B5719" s="85">
        <v>2040</v>
      </c>
      <c r="C5719" s="85">
        <v>8</v>
      </c>
      <c r="D5719" s="85" t="s">
        <v>71</v>
      </c>
      <c r="E5719" s="85">
        <v>22</v>
      </c>
      <c r="F5719" s="85">
        <v>3</v>
      </c>
      <c r="G5719" s="85">
        <f>--(F5719&lt;=Estimator!$B$7)</f>
        <v>1</v>
      </c>
      <c r="H5719" s="86">
        <f>SUMIFS('Climate Data'!$G$7:$G$366,'Climate Data'!$A$7:$A$366,Estimator!$B$4,'Climate Data'!$B$7:$B$366,C5719)</f>
        <v>0.23548387096774193</v>
      </c>
      <c r="I5719" s="87">
        <f>SUMIFS('Climate Data'!$H$7:$H$366,'Climate Data'!$A$7:$A$366,Estimator!$B$4,'Climate Data'!$B$7:$B$366,C5719)</f>
        <v>7.9589041095890414</v>
      </c>
      <c r="J5719" s="86">
        <f>SUMIFS('Wind Proxy'!$H$8:$H$19,'Wind Proxy'!$A$8:$A$19,Estimator!$B$4,'Wind Proxy'!$B$8:$B$19,C5719)</f>
        <v>0</v>
      </c>
    </row>
    <row r="5720" spans="1:10" ht="14.4">
      <c r="A5720" s="84">
        <v>51371</v>
      </c>
      <c r="B5720" s="85">
        <v>2040</v>
      </c>
      <c r="C5720" s="85">
        <v>8</v>
      </c>
      <c r="D5720" s="85" t="s">
        <v>71</v>
      </c>
      <c r="E5720" s="85">
        <v>23</v>
      </c>
      <c r="F5720" s="85">
        <v>4</v>
      </c>
      <c r="G5720" s="85">
        <f>--(F5720&lt;=Estimator!$B$7)</f>
        <v>1</v>
      </c>
      <c r="H5720" s="86">
        <f>SUMIFS('Climate Data'!$G$7:$G$366,'Climate Data'!$A$7:$A$366,Estimator!$B$4,'Climate Data'!$B$7:$B$366,C5720)</f>
        <v>0.23548387096774193</v>
      </c>
      <c r="I5720" s="87">
        <f>SUMIFS('Climate Data'!$H$7:$H$366,'Climate Data'!$A$7:$A$366,Estimator!$B$4,'Climate Data'!$B$7:$B$366,C5720)</f>
        <v>7.9589041095890414</v>
      </c>
      <c r="J5720" s="86">
        <f>SUMIFS('Wind Proxy'!$H$8:$H$19,'Wind Proxy'!$A$8:$A$19,Estimator!$B$4,'Wind Proxy'!$B$8:$B$19,C5720)</f>
        <v>0</v>
      </c>
    </row>
    <row r="5721" spans="1:10" ht="14.4">
      <c r="A5721" s="84">
        <v>51372</v>
      </c>
      <c r="B5721" s="85">
        <v>2040</v>
      </c>
      <c r="C5721" s="85">
        <v>8</v>
      </c>
      <c r="D5721" s="85" t="s">
        <v>71</v>
      </c>
      <c r="E5721" s="85">
        <v>24</v>
      </c>
      <c r="F5721" s="85">
        <v>5</v>
      </c>
      <c r="G5721" s="85">
        <f>--(F5721&lt;=Estimator!$B$7)</f>
        <v>1</v>
      </c>
      <c r="H5721" s="86">
        <f>SUMIFS('Climate Data'!$G$7:$G$366,'Climate Data'!$A$7:$A$366,Estimator!$B$4,'Climate Data'!$B$7:$B$366,C5721)</f>
        <v>0.23548387096774193</v>
      </c>
      <c r="I5721" s="87">
        <f>SUMIFS('Climate Data'!$H$7:$H$366,'Climate Data'!$A$7:$A$366,Estimator!$B$4,'Climate Data'!$B$7:$B$366,C5721)</f>
        <v>7.9589041095890414</v>
      </c>
      <c r="J5721" s="86">
        <f>SUMIFS('Wind Proxy'!$H$8:$H$19,'Wind Proxy'!$A$8:$A$19,Estimator!$B$4,'Wind Proxy'!$B$8:$B$19,C5721)</f>
        <v>0</v>
      </c>
    </row>
    <row r="5722" spans="1:10" ht="14.4">
      <c r="A5722" s="84">
        <v>51373</v>
      </c>
      <c r="B5722" s="85">
        <v>2040</v>
      </c>
      <c r="C5722" s="85">
        <v>8</v>
      </c>
      <c r="D5722" s="85" t="s">
        <v>71</v>
      </c>
      <c r="E5722" s="85">
        <v>25</v>
      </c>
      <c r="F5722" s="85">
        <v>6</v>
      </c>
      <c r="G5722" s="85">
        <f>--(F5722&lt;=Estimator!$B$7)</f>
        <v>0</v>
      </c>
      <c r="H5722" s="86">
        <f>SUMIFS('Climate Data'!$G$7:$G$366,'Climate Data'!$A$7:$A$366,Estimator!$B$4,'Climate Data'!$B$7:$B$366,C5722)</f>
        <v>0.23548387096774193</v>
      </c>
      <c r="I5722" s="87">
        <f>SUMIFS('Climate Data'!$H$7:$H$366,'Climate Data'!$A$7:$A$366,Estimator!$B$4,'Climate Data'!$B$7:$B$366,C5722)</f>
        <v>7.9589041095890414</v>
      </c>
      <c r="J5722" s="86">
        <f>SUMIFS('Wind Proxy'!$H$8:$H$19,'Wind Proxy'!$A$8:$A$19,Estimator!$B$4,'Wind Proxy'!$B$8:$B$19,C5722)</f>
        <v>0</v>
      </c>
    </row>
    <row r="5723" spans="1:10" ht="14.4">
      <c r="A5723" s="84">
        <v>51374</v>
      </c>
      <c r="B5723" s="85">
        <v>2040</v>
      </c>
      <c r="C5723" s="85">
        <v>8</v>
      </c>
      <c r="D5723" s="85" t="s">
        <v>71</v>
      </c>
      <c r="E5723" s="85">
        <v>26</v>
      </c>
      <c r="F5723" s="85">
        <v>7</v>
      </c>
      <c r="G5723" s="85">
        <f>--(F5723&lt;=Estimator!$B$7)</f>
        <v>0</v>
      </c>
      <c r="H5723" s="86">
        <f>SUMIFS('Climate Data'!$G$7:$G$366,'Climate Data'!$A$7:$A$366,Estimator!$B$4,'Climate Data'!$B$7:$B$366,C5723)</f>
        <v>0.23548387096774193</v>
      </c>
      <c r="I5723" s="87">
        <f>SUMIFS('Climate Data'!$H$7:$H$366,'Climate Data'!$A$7:$A$366,Estimator!$B$4,'Climate Data'!$B$7:$B$366,C5723)</f>
        <v>7.9589041095890414</v>
      </c>
      <c r="J5723" s="86">
        <f>SUMIFS('Wind Proxy'!$H$8:$H$19,'Wind Proxy'!$A$8:$A$19,Estimator!$B$4,'Wind Proxy'!$B$8:$B$19,C5723)</f>
        <v>0</v>
      </c>
    </row>
    <row r="5724" spans="1:10" ht="14.4">
      <c r="A5724" s="84">
        <v>51375</v>
      </c>
      <c r="B5724" s="85">
        <v>2040</v>
      </c>
      <c r="C5724" s="85">
        <v>8</v>
      </c>
      <c r="D5724" s="85" t="s">
        <v>71</v>
      </c>
      <c r="E5724" s="85">
        <v>27</v>
      </c>
      <c r="F5724" s="85">
        <v>1</v>
      </c>
      <c r="G5724" s="85">
        <f>--(F5724&lt;=Estimator!$B$7)</f>
        <v>1</v>
      </c>
      <c r="H5724" s="86">
        <f>SUMIFS('Climate Data'!$G$7:$G$366,'Climate Data'!$A$7:$A$366,Estimator!$B$4,'Climate Data'!$B$7:$B$366,C5724)</f>
        <v>0.23548387096774193</v>
      </c>
      <c r="I5724" s="87">
        <f>SUMIFS('Climate Data'!$H$7:$H$366,'Climate Data'!$A$7:$A$366,Estimator!$B$4,'Climate Data'!$B$7:$B$366,C5724)</f>
        <v>7.9589041095890414</v>
      </c>
      <c r="J5724" s="86">
        <f>SUMIFS('Wind Proxy'!$H$8:$H$19,'Wind Proxy'!$A$8:$A$19,Estimator!$B$4,'Wind Proxy'!$B$8:$B$19,C5724)</f>
        <v>0</v>
      </c>
    </row>
    <row r="5725" spans="1:10" ht="14.4">
      <c r="A5725" s="84">
        <v>51376</v>
      </c>
      <c r="B5725" s="85">
        <v>2040</v>
      </c>
      <c r="C5725" s="85">
        <v>8</v>
      </c>
      <c r="D5725" s="85" t="s">
        <v>71</v>
      </c>
      <c r="E5725" s="85">
        <v>28</v>
      </c>
      <c r="F5725" s="85">
        <v>2</v>
      </c>
      <c r="G5725" s="85">
        <f>--(F5725&lt;=Estimator!$B$7)</f>
        <v>1</v>
      </c>
      <c r="H5725" s="86">
        <f>SUMIFS('Climate Data'!$G$7:$G$366,'Climate Data'!$A$7:$A$366,Estimator!$B$4,'Climate Data'!$B$7:$B$366,C5725)</f>
        <v>0.23548387096774193</v>
      </c>
      <c r="I5725" s="87">
        <f>SUMIFS('Climate Data'!$H$7:$H$366,'Climate Data'!$A$7:$A$366,Estimator!$B$4,'Climate Data'!$B$7:$B$366,C5725)</f>
        <v>7.9589041095890414</v>
      </c>
      <c r="J5725" s="86">
        <f>SUMIFS('Wind Proxy'!$H$8:$H$19,'Wind Proxy'!$A$8:$A$19,Estimator!$B$4,'Wind Proxy'!$B$8:$B$19,C5725)</f>
        <v>0</v>
      </c>
    </row>
    <row r="5726" spans="1:10" ht="14.4">
      <c r="A5726" s="84">
        <v>51377</v>
      </c>
      <c r="B5726" s="85">
        <v>2040</v>
      </c>
      <c r="C5726" s="85">
        <v>8</v>
      </c>
      <c r="D5726" s="85" t="s">
        <v>71</v>
      </c>
      <c r="E5726" s="85">
        <v>29</v>
      </c>
      <c r="F5726" s="85">
        <v>3</v>
      </c>
      <c r="G5726" s="85">
        <f>--(F5726&lt;=Estimator!$B$7)</f>
        <v>1</v>
      </c>
      <c r="H5726" s="86">
        <f>SUMIFS('Climate Data'!$G$7:$G$366,'Climate Data'!$A$7:$A$366,Estimator!$B$4,'Climate Data'!$B$7:$B$366,C5726)</f>
        <v>0.23548387096774193</v>
      </c>
      <c r="I5726" s="87">
        <f>SUMIFS('Climate Data'!$H$7:$H$366,'Climate Data'!$A$7:$A$366,Estimator!$B$4,'Climate Data'!$B$7:$B$366,C5726)</f>
        <v>7.9589041095890414</v>
      </c>
      <c r="J5726" s="86">
        <f>SUMIFS('Wind Proxy'!$H$8:$H$19,'Wind Proxy'!$A$8:$A$19,Estimator!$B$4,'Wind Proxy'!$B$8:$B$19,C5726)</f>
        <v>0</v>
      </c>
    </row>
    <row r="5727" spans="1:10" ht="14.4">
      <c r="A5727" s="84">
        <v>51378</v>
      </c>
      <c r="B5727" s="85">
        <v>2040</v>
      </c>
      <c r="C5727" s="85">
        <v>8</v>
      </c>
      <c r="D5727" s="85" t="s">
        <v>71</v>
      </c>
      <c r="E5727" s="85">
        <v>30</v>
      </c>
      <c r="F5727" s="85">
        <v>4</v>
      </c>
      <c r="G5727" s="85">
        <f>--(F5727&lt;=Estimator!$B$7)</f>
        <v>1</v>
      </c>
      <c r="H5727" s="86">
        <f>SUMIFS('Climate Data'!$G$7:$G$366,'Climate Data'!$A$7:$A$366,Estimator!$B$4,'Climate Data'!$B$7:$B$366,C5727)</f>
        <v>0.23548387096774193</v>
      </c>
      <c r="I5727" s="87">
        <f>SUMIFS('Climate Data'!$H$7:$H$366,'Climate Data'!$A$7:$A$366,Estimator!$B$4,'Climate Data'!$B$7:$B$366,C5727)</f>
        <v>7.9589041095890414</v>
      </c>
      <c r="J5727" s="86">
        <f>SUMIFS('Wind Proxy'!$H$8:$H$19,'Wind Proxy'!$A$8:$A$19,Estimator!$B$4,'Wind Proxy'!$B$8:$B$19,C5727)</f>
        <v>0</v>
      </c>
    </row>
    <row r="5728" spans="1:10" ht="14.4">
      <c r="A5728" s="84">
        <v>51379</v>
      </c>
      <c r="B5728" s="85">
        <v>2040</v>
      </c>
      <c r="C5728" s="85">
        <v>8</v>
      </c>
      <c r="D5728" s="85" t="s">
        <v>71</v>
      </c>
      <c r="E5728" s="85">
        <v>31</v>
      </c>
      <c r="F5728" s="85">
        <v>5</v>
      </c>
      <c r="G5728" s="85">
        <f>--(F5728&lt;=Estimator!$B$7)</f>
        <v>1</v>
      </c>
      <c r="H5728" s="86">
        <f>SUMIFS('Climate Data'!$G$7:$G$366,'Climate Data'!$A$7:$A$366,Estimator!$B$4,'Climate Data'!$B$7:$B$366,C5728)</f>
        <v>0.23548387096774193</v>
      </c>
      <c r="I5728" s="87">
        <f>SUMIFS('Climate Data'!$H$7:$H$366,'Climate Data'!$A$7:$A$366,Estimator!$B$4,'Climate Data'!$B$7:$B$366,C5728)</f>
        <v>7.9589041095890414</v>
      </c>
      <c r="J5728" s="86">
        <f>SUMIFS('Wind Proxy'!$H$8:$H$19,'Wind Proxy'!$A$8:$A$19,Estimator!$B$4,'Wind Proxy'!$B$8:$B$19,C5728)</f>
        <v>0</v>
      </c>
    </row>
    <row r="5729" spans="1:10" ht="14.4">
      <c r="A5729" s="84">
        <v>51380</v>
      </c>
      <c r="B5729" s="85">
        <v>2040</v>
      </c>
      <c r="C5729" s="85">
        <v>9</v>
      </c>
      <c r="D5729" s="85" t="s">
        <v>73</v>
      </c>
      <c r="E5729" s="85">
        <v>1</v>
      </c>
      <c r="F5729" s="85">
        <v>6</v>
      </c>
      <c r="G5729" s="85">
        <f>--(F5729&lt;=Estimator!$B$7)</f>
        <v>0</v>
      </c>
      <c r="H5729" s="86">
        <f>SUMIFS('Climate Data'!$G$7:$G$366,'Climate Data'!$A$7:$A$366,Estimator!$B$4,'Climate Data'!$B$7:$B$366,C5729)</f>
        <v>0.20666666666666667</v>
      </c>
      <c r="I5729" s="87">
        <f>SUMIFS('Climate Data'!$H$7:$H$366,'Climate Data'!$A$7:$A$366,Estimator!$B$4,'Climate Data'!$B$7:$B$366,C5729)</f>
        <v>6.806451612903226</v>
      </c>
      <c r="J5729" s="86">
        <f>SUMIFS('Wind Proxy'!$H$8:$H$19,'Wind Proxy'!$A$8:$A$19,Estimator!$B$4,'Wind Proxy'!$B$8:$B$19,C5729)</f>
        <v>0</v>
      </c>
    </row>
    <row r="5730" spans="1:10" ht="14.4">
      <c r="A5730" s="84">
        <v>51381</v>
      </c>
      <c r="B5730" s="85">
        <v>2040</v>
      </c>
      <c r="C5730" s="85">
        <v>9</v>
      </c>
      <c r="D5730" s="85" t="s">
        <v>73</v>
      </c>
      <c r="E5730" s="85">
        <v>2</v>
      </c>
      <c r="F5730" s="85">
        <v>7</v>
      </c>
      <c r="G5730" s="85">
        <f>--(F5730&lt;=Estimator!$B$7)</f>
        <v>0</v>
      </c>
      <c r="H5730" s="86">
        <f>SUMIFS('Climate Data'!$G$7:$G$366,'Climate Data'!$A$7:$A$366,Estimator!$B$4,'Climate Data'!$B$7:$B$366,C5730)</f>
        <v>0.20666666666666667</v>
      </c>
      <c r="I5730" s="87">
        <f>SUMIFS('Climate Data'!$H$7:$H$366,'Climate Data'!$A$7:$A$366,Estimator!$B$4,'Climate Data'!$B$7:$B$366,C5730)</f>
        <v>6.806451612903226</v>
      </c>
      <c r="J5730" s="86">
        <f>SUMIFS('Wind Proxy'!$H$8:$H$19,'Wind Proxy'!$A$8:$A$19,Estimator!$B$4,'Wind Proxy'!$B$8:$B$19,C5730)</f>
        <v>0</v>
      </c>
    </row>
    <row r="5731" spans="1:10" ht="14.4">
      <c r="A5731" s="84">
        <v>51382</v>
      </c>
      <c r="B5731" s="85">
        <v>2040</v>
      </c>
      <c r="C5731" s="85">
        <v>9</v>
      </c>
      <c r="D5731" s="85" t="s">
        <v>73</v>
      </c>
      <c r="E5731" s="85">
        <v>3</v>
      </c>
      <c r="F5731" s="85">
        <v>1</v>
      </c>
      <c r="G5731" s="85">
        <f>--(F5731&lt;=Estimator!$B$7)</f>
        <v>1</v>
      </c>
      <c r="H5731" s="86">
        <f>SUMIFS('Climate Data'!$G$7:$G$366,'Climate Data'!$A$7:$A$366,Estimator!$B$4,'Climate Data'!$B$7:$B$366,C5731)</f>
        <v>0.20666666666666667</v>
      </c>
      <c r="I5731" s="87">
        <f>SUMIFS('Climate Data'!$H$7:$H$366,'Climate Data'!$A$7:$A$366,Estimator!$B$4,'Climate Data'!$B$7:$B$366,C5731)</f>
        <v>6.806451612903226</v>
      </c>
      <c r="J5731" s="86">
        <f>SUMIFS('Wind Proxy'!$H$8:$H$19,'Wind Proxy'!$A$8:$A$19,Estimator!$B$4,'Wind Proxy'!$B$8:$B$19,C5731)</f>
        <v>0</v>
      </c>
    </row>
    <row r="5732" spans="1:10" ht="14.4">
      <c r="A5732" s="84">
        <v>51383</v>
      </c>
      <c r="B5732" s="85">
        <v>2040</v>
      </c>
      <c r="C5732" s="85">
        <v>9</v>
      </c>
      <c r="D5732" s="85" t="s">
        <v>73</v>
      </c>
      <c r="E5732" s="85">
        <v>4</v>
      </c>
      <c r="F5732" s="85">
        <v>2</v>
      </c>
      <c r="G5732" s="85">
        <f>--(F5732&lt;=Estimator!$B$7)</f>
        <v>1</v>
      </c>
      <c r="H5732" s="86">
        <f>SUMIFS('Climate Data'!$G$7:$G$366,'Climate Data'!$A$7:$A$366,Estimator!$B$4,'Climate Data'!$B$7:$B$366,C5732)</f>
        <v>0.20666666666666667</v>
      </c>
      <c r="I5732" s="87">
        <f>SUMIFS('Climate Data'!$H$7:$H$366,'Climate Data'!$A$7:$A$366,Estimator!$B$4,'Climate Data'!$B$7:$B$366,C5732)</f>
        <v>6.806451612903226</v>
      </c>
      <c r="J5732" s="86">
        <f>SUMIFS('Wind Proxy'!$H$8:$H$19,'Wind Proxy'!$A$8:$A$19,Estimator!$B$4,'Wind Proxy'!$B$8:$B$19,C5732)</f>
        <v>0</v>
      </c>
    </row>
    <row r="5733" spans="1:10" ht="14.4">
      <c r="A5733" s="84">
        <v>51384</v>
      </c>
      <c r="B5733" s="85">
        <v>2040</v>
      </c>
      <c r="C5733" s="85">
        <v>9</v>
      </c>
      <c r="D5733" s="85" t="s">
        <v>73</v>
      </c>
      <c r="E5733" s="85">
        <v>5</v>
      </c>
      <c r="F5733" s="85">
        <v>3</v>
      </c>
      <c r="G5733" s="85">
        <f>--(F5733&lt;=Estimator!$B$7)</f>
        <v>1</v>
      </c>
      <c r="H5733" s="86">
        <f>SUMIFS('Climate Data'!$G$7:$G$366,'Climate Data'!$A$7:$A$366,Estimator!$B$4,'Climate Data'!$B$7:$B$366,C5733)</f>
        <v>0.20666666666666667</v>
      </c>
      <c r="I5733" s="87">
        <f>SUMIFS('Climate Data'!$H$7:$H$366,'Climate Data'!$A$7:$A$366,Estimator!$B$4,'Climate Data'!$B$7:$B$366,C5733)</f>
        <v>6.806451612903226</v>
      </c>
      <c r="J5733" s="86">
        <f>SUMIFS('Wind Proxy'!$H$8:$H$19,'Wind Proxy'!$A$8:$A$19,Estimator!$B$4,'Wind Proxy'!$B$8:$B$19,C5733)</f>
        <v>0</v>
      </c>
    </row>
    <row r="5734" spans="1:10" ht="14.4">
      <c r="A5734" s="84">
        <v>51385</v>
      </c>
      <c r="B5734" s="85">
        <v>2040</v>
      </c>
      <c r="C5734" s="85">
        <v>9</v>
      </c>
      <c r="D5734" s="85" t="s">
        <v>73</v>
      </c>
      <c r="E5734" s="85">
        <v>6</v>
      </c>
      <c r="F5734" s="85">
        <v>4</v>
      </c>
      <c r="G5734" s="85">
        <f>--(F5734&lt;=Estimator!$B$7)</f>
        <v>1</v>
      </c>
      <c r="H5734" s="86">
        <f>SUMIFS('Climate Data'!$G$7:$G$366,'Climate Data'!$A$7:$A$366,Estimator!$B$4,'Climate Data'!$B$7:$B$366,C5734)</f>
        <v>0.20666666666666667</v>
      </c>
      <c r="I5734" s="87">
        <f>SUMIFS('Climate Data'!$H$7:$H$366,'Climate Data'!$A$7:$A$366,Estimator!$B$4,'Climate Data'!$B$7:$B$366,C5734)</f>
        <v>6.806451612903226</v>
      </c>
      <c r="J5734" s="86">
        <f>SUMIFS('Wind Proxy'!$H$8:$H$19,'Wind Proxy'!$A$8:$A$19,Estimator!$B$4,'Wind Proxy'!$B$8:$B$19,C5734)</f>
        <v>0</v>
      </c>
    </row>
    <row r="5735" spans="1:10" ht="14.4">
      <c r="A5735" s="84">
        <v>51386</v>
      </c>
      <c r="B5735" s="85">
        <v>2040</v>
      </c>
      <c r="C5735" s="85">
        <v>9</v>
      </c>
      <c r="D5735" s="85" t="s">
        <v>73</v>
      </c>
      <c r="E5735" s="85">
        <v>7</v>
      </c>
      <c r="F5735" s="85">
        <v>5</v>
      </c>
      <c r="G5735" s="85">
        <f>--(F5735&lt;=Estimator!$B$7)</f>
        <v>1</v>
      </c>
      <c r="H5735" s="86">
        <f>SUMIFS('Climate Data'!$G$7:$G$366,'Climate Data'!$A$7:$A$366,Estimator!$B$4,'Climate Data'!$B$7:$B$366,C5735)</f>
        <v>0.20666666666666667</v>
      </c>
      <c r="I5735" s="87">
        <f>SUMIFS('Climate Data'!$H$7:$H$366,'Climate Data'!$A$7:$A$366,Estimator!$B$4,'Climate Data'!$B$7:$B$366,C5735)</f>
        <v>6.806451612903226</v>
      </c>
      <c r="J5735" s="86">
        <f>SUMIFS('Wind Proxy'!$H$8:$H$19,'Wind Proxy'!$A$8:$A$19,Estimator!$B$4,'Wind Proxy'!$B$8:$B$19,C5735)</f>
        <v>0</v>
      </c>
    </row>
    <row r="5736" spans="1:10" ht="14.4">
      <c r="A5736" s="84">
        <v>51387</v>
      </c>
      <c r="B5736" s="85">
        <v>2040</v>
      </c>
      <c r="C5736" s="85">
        <v>9</v>
      </c>
      <c r="D5736" s="85" t="s">
        <v>73</v>
      </c>
      <c r="E5736" s="85">
        <v>8</v>
      </c>
      <c r="F5736" s="85">
        <v>6</v>
      </c>
      <c r="G5736" s="85">
        <f>--(F5736&lt;=Estimator!$B$7)</f>
        <v>0</v>
      </c>
      <c r="H5736" s="86">
        <f>SUMIFS('Climate Data'!$G$7:$G$366,'Climate Data'!$A$7:$A$366,Estimator!$B$4,'Climate Data'!$B$7:$B$366,C5736)</f>
        <v>0.20666666666666667</v>
      </c>
      <c r="I5736" s="87">
        <f>SUMIFS('Climate Data'!$H$7:$H$366,'Climate Data'!$A$7:$A$366,Estimator!$B$4,'Climate Data'!$B$7:$B$366,C5736)</f>
        <v>6.806451612903226</v>
      </c>
      <c r="J5736" s="86">
        <f>SUMIFS('Wind Proxy'!$H$8:$H$19,'Wind Proxy'!$A$8:$A$19,Estimator!$B$4,'Wind Proxy'!$B$8:$B$19,C5736)</f>
        <v>0</v>
      </c>
    </row>
    <row r="5737" spans="1:10" ht="14.4">
      <c r="A5737" s="84">
        <v>51388</v>
      </c>
      <c r="B5737" s="85">
        <v>2040</v>
      </c>
      <c r="C5737" s="85">
        <v>9</v>
      </c>
      <c r="D5737" s="85" t="s">
        <v>73</v>
      </c>
      <c r="E5737" s="85">
        <v>9</v>
      </c>
      <c r="F5737" s="85">
        <v>7</v>
      </c>
      <c r="G5737" s="85">
        <f>--(F5737&lt;=Estimator!$B$7)</f>
        <v>0</v>
      </c>
      <c r="H5737" s="86">
        <f>SUMIFS('Climate Data'!$G$7:$G$366,'Climate Data'!$A$7:$A$366,Estimator!$B$4,'Climate Data'!$B$7:$B$366,C5737)</f>
        <v>0.20666666666666667</v>
      </c>
      <c r="I5737" s="87">
        <f>SUMIFS('Climate Data'!$H$7:$H$366,'Climate Data'!$A$7:$A$366,Estimator!$B$4,'Climate Data'!$B$7:$B$366,C5737)</f>
        <v>6.806451612903226</v>
      </c>
      <c r="J5737" s="86">
        <f>SUMIFS('Wind Proxy'!$H$8:$H$19,'Wind Proxy'!$A$8:$A$19,Estimator!$B$4,'Wind Proxy'!$B$8:$B$19,C5737)</f>
        <v>0</v>
      </c>
    </row>
    <row r="5738" spans="1:10" ht="14.4">
      <c r="A5738" s="84">
        <v>51389</v>
      </c>
      <c r="B5738" s="85">
        <v>2040</v>
      </c>
      <c r="C5738" s="85">
        <v>9</v>
      </c>
      <c r="D5738" s="85" t="s">
        <v>73</v>
      </c>
      <c r="E5738" s="85">
        <v>10</v>
      </c>
      <c r="F5738" s="85">
        <v>1</v>
      </c>
      <c r="G5738" s="85">
        <f>--(F5738&lt;=Estimator!$B$7)</f>
        <v>1</v>
      </c>
      <c r="H5738" s="86">
        <f>SUMIFS('Climate Data'!$G$7:$G$366,'Climate Data'!$A$7:$A$366,Estimator!$B$4,'Climate Data'!$B$7:$B$366,C5738)</f>
        <v>0.20666666666666667</v>
      </c>
      <c r="I5738" s="87">
        <f>SUMIFS('Climate Data'!$H$7:$H$366,'Climate Data'!$A$7:$A$366,Estimator!$B$4,'Climate Data'!$B$7:$B$366,C5738)</f>
        <v>6.806451612903226</v>
      </c>
      <c r="J5738" s="86">
        <f>SUMIFS('Wind Proxy'!$H$8:$H$19,'Wind Proxy'!$A$8:$A$19,Estimator!$B$4,'Wind Proxy'!$B$8:$B$19,C5738)</f>
        <v>0</v>
      </c>
    </row>
    <row r="5739" spans="1:10" ht="14.4">
      <c r="A5739" s="84">
        <v>51390</v>
      </c>
      <c r="B5739" s="85">
        <v>2040</v>
      </c>
      <c r="C5739" s="85">
        <v>9</v>
      </c>
      <c r="D5739" s="85" t="s">
        <v>73</v>
      </c>
      <c r="E5739" s="85">
        <v>11</v>
      </c>
      <c r="F5739" s="85">
        <v>2</v>
      </c>
      <c r="G5739" s="85">
        <f>--(F5739&lt;=Estimator!$B$7)</f>
        <v>1</v>
      </c>
      <c r="H5739" s="86">
        <f>SUMIFS('Climate Data'!$G$7:$G$366,'Climate Data'!$A$7:$A$366,Estimator!$B$4,'Climate Data'!$B$7:$B$366,C5739)</f>
        <v>0.20666666666666667</v>
      </c>
      <c r="I5739" s="87">
        <f>SUMIFS('Climate Data'!$H$7:$H$366,'Climate Data'!$A$7:$A$366,Estimator!$B$4,'Climate Data'!$B$7:$B$366,C5739)</f>
        <v>6.806451612903226</v>
      </c>
      <c r="J5739" s="86">
        <f>SUMIFS('Wind Proxy'!$H$8:$H$19,'Wind Proxy'!$A$8:$A$19,Estimator!$B$4,'Wind Proxy'!$B$8:$B$19,C5739)</f>
        <v>0</v>
      </c>
    </row>
    <row r="5740" spans="1:10" ht="14.4">
      <c r="A5740" s="84">
        <v>51391</v>
      </c>
      <c r="B5740" s="85">
        <v>2040</v>
      </c>
      <c r="C5740" s="85">
        <v>9</v>
      </c>
      <c r="D5740" s="85" t="s">
        <v>73</v>
      </c>
      <c r="E5740" s="85">
        <v>12</v>
      </c>
      <c r="F5740" s="85">
        <v>3</v>
      </c>
      <c r="G5740" s="85">
        <f>--(F5740&lt;=Estimator!$B$7)</f>
        <v>1</v>
      </c>
      <c r="H5740" s="86">
        <f>SUMIFS('Climate Data'!$G$7:$G$366,'Climate Data'!$A$7:$A$366,Estimator!$B$4,'Climate Data'!$B$7:$B$366,C5740)</f>
        <v>0.20666666666666667</v>
      </c>
      <c r="I5740" s="87">
        <f>SUMIFS('Climate Data'!$H$7:$H$366,'Climate Data'!$A$7:$A$366,Estimator!$B$4,'Climate Data'!$B$7:$B$366,C5740)</f>
        <v>6.806451612903226</v>
      </c>
      <c r="J5740" s="86">
        <f>SUMIFS('Wind Proxy'!$H$8:$H$19,'Wind Proxy'!$A$8:$A$19,Estimator!$B$4,'Wind Proxy'!$B$8:$B$19,C5740)</f>
        <v>0</v>
      </c>
    </row>
    <row r="5741" spans="1:10" ht="14.4">
      <c r="A5741" s="84">
        <v>51392</v>
      </c>
      <c r="B5741" s="85">
        <v>2040</v>
      </c>
      <c r="C5741" s="85">
        <v>9</v>
      </c>
      <c r="D5741" s="85" t="s">
        <v>73</v>
      </c>
      <c r="E5741" s="85">
        <v>13</v>
      </c>
      <c r="F5741" s="85">
        <v>4</v>
      </c>
      <c r="G5741" s="85">
        <f>--(F5741&lt;=Estimator!$B$7)</f>
        <v>1</v>
      </c>
      <c r="H5741" s="86">
        <f>SUMIFS('Climate Data'!$G$7:$G$366,'Climate Data'!$A$7:$A$366,Estimator!$B$4,'Climate Data'!$B$7:$B$366,C5741)</f>
        <v>0.20666666666666667</v>
      </c>
      <c r="I5741" s="87">
        <f>SUMIFS('Climate Data'!$H$7:$H$366,'Climate Data'!$A$7:$A$366,Estimator!$B$4,'Climate Data'!$B$7:$B$366,C5741)</f>
        <v>6.806451612903226</v>
      </c>
      <c r="J5741" s="86">
        <f>SUMIFS('Wind Proxy'!$H$8:$H$19,'Wind Proxy'!$A$8:$A$19,Estimator!$B$4,'Wind Proxy'!$B$8:$B$19,C5741)</f>
        <v>0</v>
      </c>
    </row>
    <row r="5742" spans="1:10" ht="14.4">
      <c r="A5742" s="84">
        <v>51393</v>
      </c>
      <c r="B5742" s="85">
        <v>2040</v>
      </c>
      <c r="C5742" s="85">
        <v>9</v>
      </c>
      <c r="D5742" s="85" t="s">
        <v>73</v>
      </c>
      <c r="E5742" s="85">
        <v>14</v>
      </c>
      <c r="F5742" s="85">
        <v>5</v>
      </c>
      <c r="G5742" s="85">
        <f>--(F5742&lt;=Estimator!$B$7)</f>
        <v>1</v>
      </c>
      <c r="H5742" s="86">
        <f>SUMIFS('Climate Data'!$G$7:$G$366,'Climate Data'!$A$7:$A$366,Estimator!$B$4,'Climate Data'!$B$7:$B$366,C5742)</f>
        <v>0.20666666666666667</v>
      </c>
      <c r="I5742" s="87">
        <f>SUMIFS('Climate Data'!$H$7:$H$366,'Climate Data'!$A$7:$A$366,Estimator!$B$4,'Climate Data'!$B$7:$B$366,C5742)</f>
        <v>6.806451612903226</v>
      </c>
      <c r="J5742" s="86">
        <f>SUMIFS('Wind Proxy'!$H$8:$H$19,'Wind Proxy'!$A$8:$A$19,Estimator!$B$4,'Wind Proxy'!$B$8:$B$19,C5742)</f>
        <v>0</v>
      </c>
    </row>
    <row r="5743" spans="1:10" ht="14.4">
      <c r="A5743" s="84">
        <v>51394</v>
      </c>
      <c r="B5743" s="85">
        <v>2040</v>
      </c>
      <c r="C5743" s="85">
        <v>9</v>
      </c>
      <c r="D5743" s="85" t="s">
        <v>73</v>
      </c>
      <c r="E5743" s="85">
        <v>15</v>
      </c>
      <c r="F5743" s="85">
        <v>6</v>
      </c>
      <c r="G5743" s="85">
        <f>--(F5743&lt;=Estimator!$B$7)</f>
        <v>0</v>
      </c>
      <c r="H5743" s="86">
        <f>SUMIFS('Climate Data'!$G$7:$G$366,'Climate Data'!$A$7:$A$366,Estimator!$B$4,'Climate Data'!$B$7:$B$366,C5743)</f>
        <v>0.20666666666666667</v>
      </c>
      <c r="I5743" s="87">
        <f>SUMIFS('Climate Data'!$H$7:$H$366,'Climate Data'!$A$7:$A$366,Estimator!$B$4,'Climate Data'!$B$7:$B$366,C5743)</f>
        <v>6.806451612903226</v>
      </c>
      <c r="J5743" s="86">
        <f>SUMIFS('Wind Proxy'!$H$8:$H$19,'Wind Proxy'!$A$8:$A$19,Estimator!$B$4,'Wind Proxy'!$B$8:$B$19,C5743)</f>
        <v>0</v>
      </c>
    </row>
    <row r="5744" spans="1:10" ht="14.4">
      <c r="A5744" s="84">
        <v>51395</v>
      </c>
      <c r="B5744" s="85">
        <v>2040</v>
      </c>
      <c r="C5744" s="85">
        <v>9</v>
      </c>
      <c r="D5744" s="85" t="s">
        <v>73</v>
      </c>
      <c r="E5744" s="85">
        <v>16</v>
      </c>
      <c r="F5744" s="85">
        <v>7</v>
      </c>
      <c r="G5744" s="85">
        <f>--(F5744&lt;=Estimator!$B$7)</f>
        <v>0</v>
      </c>
      <c r="H5744" s="86">
        <f>SUMIFS('Climate Data'!$G$7:$G$366,'Climate Data'!$A$7:$A$366,Estimator!$B$4,'Climate Data'!$B$7:$B$366,C5744)</f>
        <v>0.20666666666666667</v>
      </c>
      <c r="I5744" s="87">
        <f>SUMIFS('Climate Data'!$H$7:$H$366,'Climate Data'!$A$7:$A$366,Estimator!$B$4,'Climate Data'!$B$7:$B$366,C5744)</f>
        <v>6.806451612903226</v>
      </c>
      <c r="J5744" s="86">
        <f>SUMIFS('Wind Proxy'!$H$8:$H$19,'Wind Proxy'!$A$8:$A$19,Estimator!$B$4,'Wind Proxy'!$B$8:$B$19,C5744)</f>
        <v>0</v>
      </c>
    </row>
    <row r="5745" spans="1:10" ht="14.4">
      <c r="A5745" s="84">
        <v>51396</v>
      </c>
      <c r="B5745" s="85">
        <v>2040</v>
      </c>
      <c r="C5745" s="85">
        <v>9</v>
      </c>
      <c r="D5745" s="85" t="s">
        <v>73</v>
      </c>
      <c r="E5745" s="85">
        <v>17</v>
      </c>
      <c r="F5745" s="85">
        <v>1</v>
      </c>
      <c r="G5745" s="85">
        <f>--(F5745&lt;=Estimator!$B$7)</f>
        <v>1</v>
      </c>
      <c r="H5745" s="86">
        <f>SUMIFS('Climate Data'!$G$7:$G$366,'Climate Data'!$A$7:$A$366,Estimator!$B$4,'Climate Data'!$B$7:$B$366,C5745)</f>
        <v>0.20666666666666667</v>
      </c>
      <c r="I5745" s="87">
        <f>SUMIFS('Climate Data'!$H$7:$H$366,'Climate Data'!$A$7:$A$366,Estimator!$B$4,'Climate Data'!$B$7:$B$366,C5745)</f>
        <v>6.806451612903226</v>
      </c>
      <c r="J5745" s="86">
        <f>SUMIFS('Wind Proxy'!$H$8:$H$19,'Wind Proxy'!$A$8:$A$19,Estimator!$B$4,'Wind Proxy'!$B$8:$B$19,C5745)</f>
        <v>0</v>
      </c>
    </row>
    <row r="5746" spans="1:10" ht="14.4">
      <c r="A5746" s="84">
        <v>51397</v>
      </c>
      <c r="B5746" s="85">
        <v>2040</v>
      </c>
      <c r="C5746" s="85">
        <v>9</v>
      </c>
      <c r="D5746" s="85" t="s">
        <v>73</v>
      </c>
      <c r="E5746" s="85">
        <v>18</v>
      </c>
      <c r="F5746" s="85">
        <v>2</v>
      </c>
      <c r="G5746" s="85">
        <f>--(F5746&lt;=Estimator!$B$7)</f>
        <v>1</v>
      </c>
      <c r="H5746" s="86">
        <f>SUMIFS('Climate Data'!$G$7:$G$366,'Climate Data'!$A$7:$A$366,Estimator!$B$4,'Climate Data'!$B$7:$B$366,C5746)</f>
        <v>0.20666666666666667</v>
      </c>
      <c r="I5746" s="87">
        <f>SUMIFS('Climate Data'!$H$7:$H$366,'Climate Data'!$A$7:$A$366,Estimator!$B$4,'Climate Data'!$B$7:$B$366,C5746)</f>
        <v>6.806451612903226</v>
      </c>
      <c r="J5746" s="86">
        <f>SUMIFS('Wind Proxy'!$H$8:$H$19,'Wind Proxy'!$A$8:$A$19,Estimator!$B$4,'Wind Proxy'!$B$8:$B$19,C5746)</f>
        <v>0</v>
      </c>
    </row>
    <row r="5747" spans="1:10" ht="14.4">
      <c r="A5747" s="84">
        <v>51398</v>
      </c>
      <c r="B5747" s="85">
        <v>2040</v>
      </c>
      <c r="C5747" s="85">
        <v>9</v>
      </c>
      <c r="D5747" s="85" t="s">
        <v>73</v>
      </c>
      <c r="E5747" s="85">
        <v>19</v>
      </c>
      <c r="F5747" s="85">
        <v>3</v>
      </c>
      <c r="G5747" s="85">
        <f>--(F5747&lt;=Estimator!$B$7)</f>
        <v>1</v>
      </c>
      <c r="H5747" s="86">
        <f>SUMIFS('Climate Data'!$G$7:$G$366,'Climate Data'!$A$7:$A$366,Estimator!$B$4,'Climate Data'!$B$7:$B$366,C5747)</f>
        <v>0.20666666666666667</v>
      </c>
      <c r="I5747" s="87">
        <f>SUMIFS('Climate Data'!$H$7:$H$366,'Climate Data'!$A$7:$A$366,Estimator!$B$4,'Climate Data'!$B$7:$B$366,C5747)</f>
        <v>6.806451612903226</v>
      </c>
      <c r="J5747" s="86">
        <f>SUMIFS('Wind Proxy'!$H$8:$H$19,'Wind Proxy'!$A$8:$A$19,Estimator!$B$4,'Wind Proxy'!$B$8:$B$19,C5747)</f>
        <v>0</v>
      </c>
    </row>
    <row r="5748" spans="1:10" ht="14.4">
      <c r="A5748" s="84">
        <v>51399</v>
      </c>
      <c r="B5748" s="85">
        <v>2040</v>
      </c>
      <c r="C5748" s="85">
        <v>9</v>
      </c>
      <c r="D5748" s="85" t="s">
        <v>73</v>
      </c>
      <c r="E5748" s="85">
        <v>20</v>
      </c>
      <c r="F5748" s="85">
        <v>4</v>
      </c>
      <c r="G5748" s="85">
        <f>--(F5748&lt;=Estimator!$B$7)</f>
        <v>1</v>
      </c>
      <c r="H5748" s="86">
        <f>SUMIFS('Climate Data'!$G$7:$G$366,'Climate Data'!$A$7:$A$366,Estimator!$B$4,'Climate Data'!$B$7:$B$366,C5748)</f>
        <v>0.20666666666666667</v>
      </c>
      <c r="I5748" s="87">
        <f>SUMIFS('Climate Data'!$H$7:$H$366,'Climate Data'!$A$7:$A$366,Estimator!$B$4,'Climate Data'!$B$7:$B$366,C5748)</f>
        <v>6.806451612903226</v>
      </c>
      <c r="J5748" s="86">
        <f>SUMIFS('Wind Proxy'!$H$8:$H$19,'Wind Proxy'!$A$8:$A$19,Estimator!$B$4,'Wind Proxy'!$B$8:$B$19,C5748)</f>
        <v>0</v>
      </c>
    </row>
    <row r="5749" spans="1:10" ht="14.4">
      <c r="A5749" s="84">
        <v>51400</v>
      </c>
      <c r="B5749" s="85">
        <v>2040</v>
      </c>
      <c r="C5749" s="85">
        <v>9</v>
      </c>
      <c r="D5749" s="85" t="s">
        <v>73</v>
      </c>
      <c r="E5749" s="85">
        <v>21</v>
      </c>
      <c r="F5749" s="85">
        <v>5</v>
      </c>
      <c r="G5749" s="85">
        <f>--(F5749&lt;=Estimator!$B$7)</f>
        <v>1</v>
      </c>
      <c r="H5749" s="86">
        <f>SUMIFS('Climate Data'!$G$7:$G$366,'Climate Data'!$A$7:$A$366,Estimator!$B$4,'Climate Data'!$B$7:$B$366,C5749)</f>
        <v>0.20666666666666667</v>
      </c>
      <c r="I5749" s="87">
        <f>SUMIFS('Climate Data'!$H$7:$H$366,'Climate Data'!$A$7:$A$366,Estimator!$B$4,'Climate Data'!$B$7:$B$366,C5749)</f>
        <v>6.806451612903226</v>
      </c>
      <c r="J5749" s="86">
        <f>SUMIFS('Wind Proxy'!$H$8:$H$19,'Wind Proxy'!$A$8:$A$19,Estimator!$B$4,'Wind Proxy'!$B$8:$B$19,C5749)</f>
        <v>0</v>
      </c>
    </row>
    <row r="5750" spans="1:10" ht="14.4">
      <c r="A5750" s="84">
        <v>51401</v>
      </c>
      <c r="B5750" s="85">
        <v>2040</v>
      </c>
      <c r="C5750" s="85">
        <v>9</v>
      </c>
      <c r="D5750" s="85" t="s">
        <v>73</v>
      </c>
      <c r="E5750" s="85">
        <v>22</v>
      </c>
      <c r="F5750" s="85">
        <v>6</v>
      </c>
      <c r="G5750" s="85">
        <f>--(F5750&lt;=Estimator!$B$7)</f>
        <v>0</v>
      </c>
      <c r="H5750" s="86">
        <f>SUMIFS('Climate Data'!$G$7:$G$366,'Climate Data'!$A$7:$A$366,Estimator!$B$4,'Climate Data'!$B$7:$B$366,C5750)</f>
        <v>0.20666666666666667</v>
      </c>
      <c r="I5750" s="87">
        <f>SUMIFS('Climate Data'!$H$7:$H$366,'Climate Data'!$A$7:$A$366,Estimator!$B$4,'Climate Data'!$B$7:$B$366,C5750)</f>
        <v>6.806451612903226</v>
      </c>
      <c r="J5750" s="86">
        <f>SUMIFS('Wind Proxy'!$H$8:$H$19,'Wind Proxy'!$A$8:$A$19,Estimator!$B$4,'Wind Proxy'!$B$8:$B$19,C5750)</f>
        <v>0</v>
      </c>
    </row>
    <row r="5751" spans="1:10" ht="14.4">
      <c r="A5751" s="84">
        <v>51402</v>
      </c>
      <c r="B5751" s="85">
        <v>2040</v>
      </c>
      <c r="C5751" s="85">
        <v>9</v>
      </c>
      <c r="D5751" s="85" t="s">
        <v>73</v>
      </c>
      <c r="E5751" s="85">
        <v>23</v>
      </c>
      <c r="F5751" s="85">
        <v>7</v>
      </c>
      <c r="G5751" s="85">
        <f>--(F5751&lt;=Estimator!$B$7)</f>
        <v>0</v>
      </c>
      <c r="H5751" s="86">
        <f>SUMIFS('Climate Data'!$G$7:$G$366,'Climate Data'!$A$7:$A$366,Estimator!$B$4,'Climate Data'!$B$7:$B$366,C5751)</f>
        <v>0.20666666666666667</v>
      </c>
      <c r="I5751" s="87">
        <f>SUMIFS('Climate Data'!$H$7:$H$366,'Climate Data'!$A$7:$A$366,Estimator!$B$4,'Climate Data'!$B$7:$B$366,C5751)</f>
        <v>6.806451612903226</v>
      </c>
      <c r="J5751" s="86">
        <f>SUMIFS('Wind Proxy'!$H$8:$H$19,'Wind Proxy'!$A$8:$A$19,Estimator!$B$4,'Wind Proxy'!$B$8:$B$19,C5751)</f>
        <v>0</v>
      </c>
    </row>
    <row r="5752" spans="1:10" ht="14.4">
      <c r="A5752" s="84">
        <v>51403</v>
      </c>
      <c r="B5752" s="85">
        <v>2040</v>
      </c>
      <c r="C5752" s="85">
        <v>9</v>
      </c>
      <c r="D5752" s="85" t="s">
        <v>73</v>
      </c>
      <c r="E5752" s="85">
        <v>24</v>
      </c>
      <c r="F5752" s="85">
        <v>1</v>
      </c>
      <c r="G5752" s="85">
        <f>--(F5752&lt;=Estimator!$B$7)</f>
        <v>1</v>
      </c>
      <c r="H5752" s="86">
        <f>SUMIFS('Climate Data'!$G$7:$G$366,'Climate Data'!$A$7:$A$366,Estimator!$B$4,'Climate Data'!$B$7:$B$366,C5752)</f>
        <v>0.20666666666666667</v>
      </c>
      <c r="I5752" s="87">
        <f>SUMIFS('Climate Data'!$H$7:$H$366,'Climate Data'!$A$7:$A$366,Estimator!$B$4,'Climate Data'!$B$7:$B$366,C5752)</f>
        <v>6.806451612903226</v>
      </c>
      <c r="J5752" s="86">
        <f>SUMIFS('Wind Proxy'!$H$8:$H$19,'Wind Proxy'!$A$8:$A$19,Estimator!$B$4,'Wind Proxy'!$B$8:$B$19,C5752)</f>
        <v>0</v>
      </c>
    </row>
    <row r="5753" spans="1:10" ht="14.4">
      <c r="A5753" s="84">
        <v>51404</v>
      </c>
      <c r="B5753" s="85">
        <v>2040</v>
      </c>
      <c r="C5753" s="85">
        <v>9</v>
      </c>
      <c r="D5753" s="85" t="s">
        <v>73</v>
      </c>
      <c r="E5753" s="85">
        <v>25</v>
      </c>
      <c r="F5753" s="85">
        <v>2</v>
      </c>
      <c r="G5753" s="85">
        <f>--(F5753&lt;=Estimator!$B$7)</f>
        <v>1</v>
      </c>
      <c r="H5753" s="86">
        <f>SUMIFS('Climate Data'!$G$7:$G$366,'Climate Data'!$A$7:$A$366,Estimator!$B$4,'Climate Data'!$B$7:$B$366,C5753)</f>
        <v>0.20666666666666667</v>
      </c>
      <c r="I5753" s="87">
        <f>SUMIFS('Climate Data'!$H$7:$H$366,'Climate Data'!$A$7:$A$366,Estimator!$B$4,'Climate Data'!$B$7:$B$366,C5753)</f>
        <v>6.806451612903226</v>
      </c>
      <c r="J5753" s="86">
        <f>SUMIFS('Wind Proxy'!$H$8:$H$19,'Wind Proxy'!$A$8:$A$19,Estimator!$B$4,'Wind Proxy'!$B$8:$B$19,C5753)</f>
        <v>0</v>
      </c>
    </row>
    <row r="5754" spans="1:10" ht="14.4">
      <c r="A5754" s="84">
        <v>51405</v>
      </c>
      <c r="B5754" s="85">
        <v>2040</v>
      </c>
      <c r="C5754" s="85">
        <v>9</v>
      </c>
      <c r="D5754" s="85" t="s">
        <v>73</v>
      </c>
      <c r="E5754" s="85">
        <v>26</v>
      </c>
      <c r="F5754" s="85">
        <v>3</v>
      </c>
      <c r="G5754" s="85">
        <f>--(F5754&lt;=Estimator!$B$7)</f>
        <v>1</v>
      </c>
      <c r="H5754" s="86">
        <f>SUMIFS('Climate Data'!$G$7:$G$366,'Climate Data'!$A$7:$A$366,Estimator!$B$4,'Climate Data'!$B$7:$B$366,C5754)</f>
        <v>0.20666666666666667</v>
      </c>
      <c r="I5754" s="87">
        <f>SUMIFS('Climate Data'!$H$7:$H$366,'Climate Data'!$A$7:$A$366,Estimator!$B$4,'Climate Data'!$B$7:$B$366,C5754)</f>
        <v>6.806451612903226</v>
      </c>
      <c r="J5754" s="86">
        <f>SUMIFS('Wind Proxy'!$H$8:$H$19,'Wind Proxy'!$A$8:$A$19,Estimator!$B$4,'Wind Proxy'!$B$8:$B$19,C5754)</f>
        <v>0</v>
      </c>
    </row>
    <row r="5755" spans="1:10" ht="14.4">
      <c r="A5755" s="84">
        <v>51406</v>
      </c>
      <c r="B5755" s="85">
        <v>2040</v>
      </c>
      <c r="C5755" s="85">
        <v>9</v>
      </c>
      <c r="D5755" s="85" t="s">
        <v>73</v>
      </c>
      <c r="E5755" s="85">
        <v>27</v>
      </c>
      <c r="F5755" s="85">
        <v>4</v>
      </c>
      <c r="G5755" s="85">
        <f>--(F5755&lt;=Estimator!$B$7)</f>
        <v>1</v>
      </c>
      <c r="H5755" s="86">
        <f>SUMIFS('Climate Data'!$G$7:$G$366,'Climate Data'!$A$7:$A$366,Estimator!$B$4,'Climate Data'!$B$7:$B$366,C5755)</f>
        <v>0.20666666666666667</v>
      </c>
      <c r="I5755" s="87">
        <f>SUMIFS('Climate Data'!$H$7:$H$366,'Climate Data'!$A$7:$A$366,Estimator!$B$4,'Climate Data'!$B$7:$B$366,C5755)</f>
        <v>6.806451612903226</v>
      </c>
      <c r="J5755" s="86">
        <f>SUMIFS('Wind Proxy'!$H$8:$H$19,'Wind Proxy'!$A$8:$A$19,Estimator!$B$4,'Wind Proxy'!$B$8:$B$19,C5755)</f>
        <v>0</v>
      </c>
    </row>
    <row r="5756" spans="1:10" ht="14.4">
      <c r="A5756" s="84">
        <v>51407</v>
      </c>
      <c r="B5756" s="85">
        <v>2040</v>
      </c>
      <c r="C5756" s="85">
        <v>9</v>
      </c>
      <c r="D5756" s="85" t="s">
        <v>73</v>
      </c>
      <c r="E5756" s="85">
        <v>28</v>
      </c>
      <c r="F5756" s="85">
        <v>5</v>
      </c>
      <c r="G5756" s="85">
        <f>--(F5756&lt;=Estimator!$B$7)</f>
        <v>1</v>
      </c>
      <c r="H5756" s="86">
        <f>SUMIFS('Climate Data'!$G$7:$G$366,'Climate Data'!$A$7:$A$366,Estimator!$B$4,'Climate Data'!$B$7:$B$366,C5756)</f>
        <v>0.20666666666666667</v>
      </c>
      <c r="I5756" s="87">
        <f>SUMIFS('Climate Data'!$H$7:$H$366,'Climate Data'!$A$7:$A$366,Estimator!$B$4,'Climate Data'!$B$7:$B$366,C5756)</f>
        <v>6.806451612903226</v>
      </c>
      <c r="J5756" s="86">
        <f>SUMIFS('Wind Proxy'!$H$8:$H$19,'Wind Proxy'!$A$8:$A$19,Estimator!$B$4,'Wind Proxy'!$B$8:$B$19,C5756)</f>
        <v>0</v>
      </c>
    </row>
    <row r="5757" spans="1:10" ht="14.4">
      <c r="A5757" s="84">
        <v>51408</v>
      </c>
      <c r="B5757" s="85">
        <v>2040</v>
      </c>
      <c r="C5757" s="85">
        <v>9</v>
      </c>
      <c r="D5757" s="85" t="s">
        <v>73</v>
      </c>
      <c r="E5757" s="85">
        <v>29</v>
      </c>
      <c r="F5757" s="85">
        <v>6</v>
      </c>
      <c r="G5757" s="85">
        <f>--(F5757&lt;=Estimator!$B$7)</f>
        <v>0</v>
      </c>
      <c r="H5757" s="86">
        <f>SUMIFS('Climate Data'!$G$7:$G$366,'Climate Data'!$A$7:$A$366,Estimator!$B$4,'Climate Data'!$B$7:$B$366,C5757)</f>
        <v>0.20666666666666667</v>
      </c>
      <c r="I5757" s="87">
        <f>SUMIFS('Climate Data'!$H$7:$H$366,'Climate Data'!$A$7:$A$366,Estimator!$B$4,'Climate Data'!$B$7:$B$366,C5757)</f>
        <v>6.806451612903226</v>
      </c>
      <c r="J5757" s="86">
        <f>SUMIFS('Wind Proxy'!$H$8:$H$19,'Wind Proxy'!$A$8:$A$19,Estimator!$B$4,'Wind Proxy'!$B$8:$B$19,C5757)</f>
        <v>0</v>
      </c>
    </row>
    <row r="5758" spans="1:10" ht="14.4">
      <c r="A5758" s="84">
        <v>51409</v>
      </c>
      <c r="B5758" s="85">
        <v>2040</v>
      </c>
      <c r="C5758" s="85">
        <v>9</v>
      </c>
      <c r="D5758" s="85" t="s">
        <v>73</v>
      </c>
      <c r="E5758" s="85">
        <v>30</v>
      </c>
      <c r="F5758" s="85">
        <v>7</v>
      </c>
      <c r="G5758" s="85">
        <f>--(F5758&lt;=Estimator!$B$7)</f>
        <v>0</v>
      </c>
      <c r="H5758" s="86">
        <f>SUMIFS('Climate Data'!$G$7:$G$366,'Climate Data'!$A$7:$A$366,Estimator!$B$4,'Climate Data'!$B$7:$B$366,C5758)</f>
        <v>0.20666666666666667</v>
      </c>
      <c r="I5758" s="87">
        <f>SUMIFS('Climate Data'!$H$7:$H$366,'Climate Data'!$A$7:$A$366,Estimator!$B$4,'Climate Data'!$B$7:$B$366,C5758)</f>
        <v>6.806451612903226</v>
      </c>
      <c r="J5758" s="86">
        <f>SUMIFS('Wind Proxy'!$H$8:$H$19,'Wind Proxy'!$A$8:$A$19,Estimator!$B$4,'Wind Proxy'!$B$8:$B$19,C5758)</f>
        <v>0</v>
      </c>
    </row>
    <row r="5759" spans="1:10" ht="14.4">
      <c r="A5759" s="84">
        <v>51410</v>
      </c>
      <c r="B5759" s="85">
        <v>2040</v>
      </c>
      <c r="C5759" s="85">
        <v>10</v>
      </c>
      <c r="D5759" s="85" t="s">
        <v>75</v>
      </c>
      <c r="E5759" s="85">
        <v>1</v>
      </c>
      <c r="F5759" s="85">
        <v>1</v>
      </c>
      <c r="G5759" s="85">
        <f>--(F5759&lt;=Estimator!$B$7)</f>
        <v>1</v>
      </c>
      <c r="H5759" s="86">
        <f>SUMIFS('Climate Data'!$G$7:$G$366,'Climate Data'!$A$7:$A$366,Estimator!$B$4,'Climate Data'!$B$7:$B$366,C5759)</f>
        <v>0.23225806451612904</v>
      </c>
      <c r="I5759" s="87">
        <f>SUMIFS('Climate Data'!$H$7:$H$366,'Climate Data'!$A$7:$A$366,Estimator!$B$4,'Climate Data'!$B$7:$B$366,C5759)</f>
        <v>6.8194444444444446</v>
      </c>
      <c r="J5759" s="86">
        <f>SUMIFS('Wind Proxy'!$H$8:$H$19,'Wind Proxy'!$A$8:$A$19,Estimator!$B$4,'Wind Proxy'!$B$8:$B$19,C5759)</f>
        <v>0</v>
      </c>
    </row>
    <row r="5760" spans="1:10" ht="14.4">
      <c r="A5760" s="84">
        <v>51411</v>
      </c>
      <c r="B5760" s="85">
        <v>2040</v>
      </c>
      <c r="C5760" s="85">
        <v>10</v>
      </c>
      <c r="D5760" s="85" t="s">
        <v>75</v>
      </c>
      <c r="E5760" s="85">
        <v>2</v>
      </c>
      <c r="F5760" s="85">
        <v>2</v>
      </c>
      <c r="G5760" s="85">
        <f>--(F5760&lt;=Estimator!$B$7)</f>
        <v>1</v>
      </c>
      <c r="H5760" s="86">
        <f>SUMIFS('Climate Data'!$G$7:$G$366,'Climate Data'!$A$7:$A$366,Estimator!$B$4,'Climate Data'!$B$7:$B$366,C5760)</f>
        <v>0.23225806451612904</v>
      </c>
      <c r="I5760" s="87">
        <f>SUMIFS('Climate Data'!$H$7:$H$366,'Climate Data'!$A$7:$A$366,Estimator!$B$4,'Climate Data'!$B$7:$B$366,C5760)</f>
        <v>6.8194444444444446</v>
      </c>
      <c r="J5760" s="86">
        <f>SUMIFS('Wind Proxy'!$H$8:$H$19,'Wind Proxy'!$A$8:$A$19,Estimator!$B$4,'Wind Proxy'!$B$8:$B$19,C5760)</f>
        <v>0</v>
      </c>
    </row>
    <row r="5761" spans="1:10" ht="14.4">
      <c r="A5761" s="84">
        <v>51412</v>
      </c>
      <c r="B5761" s="85">
        <v>2040</v>
      </c>
      <c r="C5761" s="85">
        <v>10</v>
      </c>
      <c r="D5761" s="85" t="s">
        <v>75</v>
      </c>
      <c r="E5761" s="85">
        <v>3</v>
      </c>
      <c r="F5761" s="85">
        <v>3</v>
      </c>
      <c r="G5761" s="85">
        <f>--(F5761&lt;=Estimator!$B$7)</f>
        <v>1</v>
      </c>
      <c r="H5761" s="86">
        <f>SUMIFS('Climate Data'!$G$7:$G$366,'Climate Data'!$A$7:$A$366,Estimator!$B$4,'Climate Data'!$B$7:$B$366,C5761)</f>
        <v>0.23225806451612904</v>
      </c>
      <c r="I5761" s="87">
        <f>SUMIFS('Climate Data'!$H$7:$H$366,'Climate Data'!$A$7:$A$366,Estimator!$B$4,'Climate Data'!$B$7:$B$366,C5761)</f>
        <v>6.8194444444444446</v>
      </c>
      <c r="J5761" s="86">
        <f>SUMIFS('Wind Proxy'!$H$8:$H$19,'Wind Proxy'!$A$8:$A$19,Estimator!$B$4,'Wind Proxy'!$B$8:$B$19,C5761)</f>
        <v>0</v>
      </c>
    </row>
    <row r="5762" spans="1:10" ht="14.4">
      <c r="A5762" s="84">
        <v>51413</v>
      </c>
      <c r="B5762" s="85">
        <v>2040</v>
      </c>
      <c r="C5762" s="85">
        <v>10</v>
      </c>
      <c r="D5762" s="85" t="s">
        <v>75</v>
      </c>
      <c r="E5762" s="85">
        <v>4</v>
      </c>
      <c r="F5762" s="85">
        <v>4</v>
      </c>
      <c r="G5762" s="85">
        <f>--(F5762&lt;=Estimator!$B$7)</f>
        <v>1</v>
      </c>
      <c r="H5762" s="86">
        <f>SUMIFS('Climate Data'!$G$7:$G$366,'Climate Data'!$A$7:$A$366,Estimator!$B$4,'Climate Data'!$B$7:$B$366,C5762)</f>
        <v>0.23225806451612904</v>
      </c>
      <c r="I5762" s="87">
        <f>SUMIFS('Climate Data'!$H$7:$H$366,'Climate Data'!$A$7:$A$366,Estimator!$B$4,'Climate Data'!$B$7:$B$366,C5762)</f>
        <v>6.8194444444444446</v>
      </c>
      <c r="J5762" s="86">
        <f>SUMIFS('Wind Proxy'!$H$8:$H$19,'Wind Proxy'!$A$8:$A$19,Estimator!$B$4,'Wind Proxy'!$B$8:$B$19,C5762)</f>
        <v>0</v>
      </c>
    </row>
    <row r="5763" spans="1:10" ht="14.4">
      <c r="A5763" s="84">
        <v>51414</v>
      </c>
      <c r="B5763" s="85">
        <v>2040</v>
      </c>
      <c r="C5763" s="85">
        <v>10</v>
      </c>
      <c r="D5763" s="85" t="s">
        <v>75</v>
      </c>
      <c r="E5763" s="85">
        <v>5</v>
      </c>
      <c r="F5763" s="85">
        <v>5</v>
      </c>
      <c r="G5763" s="85">
        <f>--(F5763&lt;=Estimator!$B$7)</f>
        <v>1</v>
      </c>
      <c r="H5763" s="86">
        <f>SUMIFS('Climate Data'!$G$7:$G$366,'Climate Data'!$A$7:$A$366,Estimator!$B$4,'Climate Data'!$B$7:$B$366,C5763)</f>
        <v>0.23225806451612904</v>
      </c>
      <c r="I5763" s="87">
        <f>SUMIFS('Climate Data'!$H$7:$H$366,'Climate Data'!$A$7:$A$366,Estimator!$B$4,'Climate Data'!$B$7:$B$366,C5763)</f>
        <v>6.8194444444444446</v>
      </c>
      <c r="J5763" s="86">
        <f>SUMIFS('Wind Proxy'!$H$8:$H$19,'Wind Proxy'!$A$8:$A$19,Estimator!$B$4,'Wind Proxy'!$B$8:$B$19,C5763)</f>
        <v>0</v>
      </c>
    </row>
    <row r="5764" spans="1:10" ht="14.4">
      <c r="A5764" s="84">
        <v>51415</v>
      </c>
      <c r="B5764" s="85">
        <v>2040</v>
      </c>
      <c r="C5764" s="85">
        <v>10</v>
      </c>
      <c r="D5764" s="85" t="s">
        <v>75</v>
      </c>
      <c r="E5764" s="85">
        <v>6</v>
      </c>
      <c r="F5764" s="85">
        <v>6</v>
      </c>
      <c r="G5764" s="85">
        <f>--(F5764&lt;=Estimator!$B$7)</f>
        <v>0</v>
      </c>
      <c r="H5764" s="86">
        <f>SUMIFS('Climate Data'!$G$7:$G$366,'Climate Data'!$A$7:$A$366,Estimator!$B$4,'Climate Data'!$B$7:$B$366,C5764)</f>
        <v>0.23225806451612904</v>
      </c>
      <c r="I5764" s="87">
        <f>SUMIFS('Climate Data'!$H$7:$H$366,'Climate Data'!$A$7:$A$366,Estimator!$B$4,'Climate Data'!$B$7:$B$366,C5764)</f>
        <v>6.8194444444444446</v>
      </c>
      <c r="J5764" s="86">
        <f>SUMIFS('Wind Proxy'!$H$8:$H$19,'Wind Proxy'!$A$8:$A$19,Estimator!$B$4,'Wind Proxy'!$B$8:$B$19,C5764)</f>
        <v>0</v>
      </c>
    </row>
    <row r="5765" spans="1:10" ht="14.4">
      <c r="A5765" s="84">
        <v>51416</v>
      </c>
      <c r="B5765" s="85">
        <v>2040</v>
      </c>
      <c r="C5765" s="85">
        <v>10</v>
      </c>
      <c r="D5765" s="85" t="s">
        <v>75</v>
      </c>
      <c r="E5765" s="85">
        <v>7</v>
      </c>
      <c r="F5765" s="85">
        <v>7</v>
      </c>
      <c r="G5765" s="85">
        <f>--(F5765&lt;=Estimator!$B$7)</f>
        <v>0</v>
      </c>
      <c r="H5765" s="86">
        <f>SUMIFS('Climate Data'!$G$7:$G$366,'Climate Data'!$A$7:$A$366,Estimator!$B$4,'Climate Data'!$B$7:$B$366,C5765)</f>
        <v>0.23225806451612904</v>
      </c>
      <c r="I5765" s="87">
        <f>SUMIFS('Climate Data'!$H$7:$H$366,'Climate Data'!$A$7:$A$366,Estimator!$B$4,'Climate Data'!$B$7:$B$366,C5765)</f>
        <v>6.8194444444444446</v>
      </c>
      <c r="J5765" s="86">
        <f>SUMIFS('Wind Proxy'!$H$8:$H$19,'Wind Proxy'!$A$8:$A$19,Estimator!$B$4,'Wind Proxy'!$B$8:$B$19,C5765)</f>
        <v>0</v>
      </c>
    </row>
    <row r="5766" spans="1:10" ht="14.4">
      <c r="A5766" s="84">
        <v>51417</v>
      </c>
      <c r="B5766" s="85">
        <v>2040</v>
      </c>
      <c r="C5766" s="85">
        <v>10</v>
      </c>
      <c r="D5766" s="85" t="s">
        <v>75</v>
      </c>
      <c r="E5766" s="85">
        <v>8</v>
      </c>
      <c r="F5766" s="85">
        <v>1</v>
      </c>
      <c r="G5766" s="85">
        <f>--(F5766&lt;=Estimator!$B$7)</f>
        <v>1</v>
      </c>
      <c r="H5766" s="86">
        <f>SUMIFS('Climate Data'!$G$7:$G$366,'Climate Data'!$A$7:$A$366,Estimator!$B$4,'Climate Data'!$B$7:$B$366,C5766)</f>
        <v>0.23225806451612904</v>
      </c>
      <c r="I5766" s="87">
        <f>SUMIFS('Climate Data'!$H$7:$H$366,'Climate Data'!$A$7:$A$366,Estimator!$B$4,'Climate Data'!$B$7:$B$366,C5766)</f>
        <v>6.8194444444444446</v>
      </c>
      <c r="J5766" s="86">
        <f>SUMIFS('Wind Proxy'!$H$8:$H$19,'Wind Proxy'!$A$8:$A$19,Estimator!$B$4,'Wind Proxy'!$B$8:$B$19,C5766)</f>
        <v>0</v>
      </c>
    </row>
    <row r="5767" spans="1:10" ht="14.4">
      <c r="A5767" s="84">
        <v>51418</v>
      </c>
      <c r="B5767" s="85">
        <v>2040</v>
      </c>
      <c r="C5767" s="85">
        <v>10</v>
      </c>
      <c r="D5767" s="85" t="s">
        <v>75</v>
      </c>
      <c r="E5767" s="85">
        <v>9</v>
      </c>
      <c r="F5767" s="85">
        <v>2</v>
      </c>
      <c r="G5767" s="85">
        <f>--(F5767&lt;=Estimator!$B$7)</f>
        <v>1</v>
      </c>
      <c r="H5767" s="86">
        <f>SUMIFS('Climate Data'!$G$7:$G$366,'Climate Data'!$A$7:$A$366,Estimator!$B$4,'Climate Data'!$B$7:$B$366,C5767)</f>
        <v>0.23225806451612904</v>
      </c>
      <c r="I5767" s="87">
        <f>SUMIFS('Climate Data'!$H$7:$H$366,'Climate Data'!$A$7:$A$366,Estimator!$B$4,'Climate Data'!$B$7:$B$366,C5767)</f>
        <v>6.8194444444444446</v>
      </c>
      <c r="J5767" s="86">
        <f>SUMIFS('Wind Proxy'!$H$8:$H$19,'Wind Proxy'!$A$8:$A$19,Estimator!$B$4,'Wind Proxy'!$B$8:$B$19,C5767)</f>
        <v>0</v>
      </c>
    </row>
    <row r="5768" spans="1:10" ht="14.4">
      <c r="A5768" s="84">
        <v>51419</v>
      </c>
      <c r="B5768" s="85">
        <v>2040</v>
      </c>
      <c r="C5768" s="85">
        <v>10</v>
      </c>
      <c r="D5768" s="85" t="s">
        <v>75</v>
      </c>
      <c r="E5768" s="85">
        <v>10</v>
      </c>
      <c r="F5768" s="85">
        <v>3</v>
      </c>
      <c r="G5768" s="85">
        <f>--(F5768&lt;=Estimator!$B$7)</f>
        <v>1</v>
      </c>
      <c r="H5768" s="86">
        <f>SUMIFS('Climate Data'!$G$7:$G$366,'Climate Data'!$A$7:$A$366,Estimator!$B$4,'Climate Data'!$B$7:$B$366,C5768)</f>
        <v>0.23225806451612904</v>
      </c>
      <c r="I5768" s="87">
        <f>SUMIFS('Climate Data'!$H$7:$H$366,'Climate Data'!$A$7:$A$366,Estimator!$B$4,'Climate Data'!$B$7:$B$366,C5768)</f>
        <v>6.8194444444444446</v>
      </c>
      <c r="J5768" s="86">
        <f>SUMIFS('Wind Proxy'!$H$8:$H$19,'Wind Proxy'!$A$8:$A$19,Estimator!$B$4,'Wind Proxy'!$B$8:$B$19,C5768)</f>
        <v>0</v>
      </c>
    </row>
    <row r="5769" spans="1:10" ht="14.4">
      <c r="A5769" s="84">
        <v>51420</v>
      </c>
      <c r="B5769" s="85">
        <v>2040</v>
      </c>
      <c r="C5769" s="85">
        <v>10</v>
      </c>
      <c r="D5769" s="85" t="s">
        <v>75</v>
      </c>
      <c r="E5769" s="85">
        <v>11</v>
      </c>
      <c r="F5769" s="85">
        <v>4</v>
      </c>
      <c r="G5769" s="85">
        <f>--(F5769&lt;=Estimator!$B$7)</f>
        <v>1</v>
      </c>
      <c r="H5769" s="86">
        <f>SUMIFS('Climate Data'!$G$7:$G$366,'Climate Data'!$A$7:$A$366,Estimator!$B$4,'Climate Data'!$B$7:$B$366,C5769)</f>
        <v>0.23225806451612904</v>
      </c>
      <c r="I5769" s="87">
        <f>SUMIFS('Climate Data'!$H$7:$H$366,'Climate Data'!$A$7:$A$366,Estimator!$B$4,'Climate Data'!$B$7:$B$366,C5769)</f>
        <v>6.8194444444444446</v>
      </c>
      <c r="J5769" s="86">
        <f>SUMIFS('Wind Proxy'!$H$8:$H$19,'Wind Proxy'!$A$8:$A$19,Estimator!$B$4,'Wind Proxy'!$B$8:$B$19,C5769)</f>
        <v>0</v>
      </c>
    </row>
    <row r="5770" spans="1:10" ht="14.4">
      <c r="A5770" s="84">
        <v>51421</v>
      </c>
      <c r="B5770" s="85">
        <v>2040</v>
      </c>
      <c r="C5770" s="85">
        <v>10</v>
      </c>
      <c r="D5770" s="85" t="s">
        <v>75</v>
      </c>
      <c r="E5770" s="85">
        <v>12</v>
      </c>
      <c r="F5770" s="85">
        <v>5</v>
      </c>
      <c r="G5770" s="85">
        <f>--(F5770&lt;=Estimator!$B$7)</f>
        <v>1</v>
      </c>
      <c r="H5770" s="86">
        <f>SUMIFS('Climate Data'!$G$7:$G$366,'Climate Data'!$A$7:$A$366,Estimator!$B$4,'Climate Data'!$B$7:$B$366,C5770)</f>
        <v>0.23225806451612904</v>
      </c>
      <c r="I5770" s="87">
        <f>SUMIFS('Climate Data'!$H$7:$H$366,'Climate Data'!$A$7:$A$366,Estimator!$B$4,'Climate Data'!$B$7:$B$366,C5770)</f>
        <v>6.8194444444444446</v>
      </c>
      <c r="J5770" s="86">
        <f>SUMIFS('Wind Proxy'!$H$8:$H$19,'Wind Proxy'!$A$8:$A$19,Estimator!$B$4,'Wind Proxy'!$B$8:$B$19,C5770)</f>
        <v>0</v>
      </c>
    </row>
    <row r="5771" spans="1:10" ht="14.4">
      <c r="A5771" s="84">
        <v>51422</v>
      </c>
      <c r="B5771" s="85">
        <v>2040</v>
      </c>
      <c r="C5771" s="85">
        <v>10</v>
      </c>
      <c r="D5771" s="85" t="s">
        <v>75</v>
      </c>
      <c r="E5771" s="85">
        <v>13</v>
      </c>
      <c r="F5771" s="85">
        <v>6</v>
      </c>
      <c r="G5771" s="85">
        <f>--(F5771&lt;=Estimator!$B$7)</f>
        <v>0</v>
      </c>
      <c r="H5771" s="86">
        <f>SUMIFS('Climate Data'!$G$7:$G$366,'Climate Data'!$A$7:$A$366,Estimator!$B$4,'Climate Data'!$B$7:$B$366,C5771)</f>
        <v>0.23225806451612904</v>
      </c>
      <c r="I5771" s="87">
        <f>SUMIFS('Climate Data'!$H$7:$H$366,'Climate Data'!$A$7:$A$366,Estimator!$B$4,'Climate Data'!$B$7:$B$366,C5771)</f>
        <v>6.8194444444444446</v>
      </c>
      <c r="J5771" s="86">
        <f>SUMIFS('Wind Proxy'!$H$8:$H$19,'Wind Proxy'!$A$8:$A$19,Estimator!$B$4,'Wind Proxy'!$B$8:$B$19,C5771)</f>
        <v>0</v>
      </c>
    </row>
    <row r="5772" spans="1:10" ht="14.4">
      <c r="A5772" s="84">
        <v>51423</v>
      </c>
      <c r="B5772" s="85">
        <v>2040</v>
      </c>
      <c r="C5772" s="85">
        <v>10</v>
      </c>
      <c r="D5772" s="85" t="s">
        <v>75</v>
      </c>
      <c r="E5772" s="85">
        <v>14</v>
      </c>
      <c r="F5772" s="85">
        <v>7</v>
      </c>
      <c r="G5772" s="85">
        <f>--(F5772&lt;=Estimator!$B$7)</f>
        <v>0</v>
      </c>
      <c r="H5772" s="86">
        <f>SUMIFS('Climate Data'!$G$7:$G$366,'Climate Data'!$A$7:$A$366,Estimator!$B$4,'Climate Data'!$B$7:$B$366,C5772)</f>
        <v>0.23225806451612904</v>
      </c>
      <c r="I5772" s="87">
        <f>SUMIFS('Climate Data'!$H$7:$H$366,'Climate Data'!$A$7:$A$366,Estimator!$B$4,'Climate Data'!$B$7:$B$366,C5772)</f>
        <v>6.8194444444444446</v>
      </c>
      <c r="J5772" s="86">
        <f>SUMIFS('Wind Proxy'!$H$8:$H$19,'Wind Proxy'!$A$8:$A$19,Estimator!$B$4,'Wind Proxy'!$B$8:$B$19,C5772)</f>
        <v>0</v>
      </c>
    </row>
    <row r="5773" spans="1:10" ht="14.4">
      <c r="A5773" s="84">
        <v>51424</v>
      </c>
      <c r="B5773" s="85">
        <v>2040</v>
      </c>
      <c r="C5773" s="85">
        <v>10</v>
      </c>
      <c r="D5773" s="85" t="s">
        <v>75</v>
      </c>
      <c r="E5773" s="85">
        <v>15</v>
      </c>
      <c r="F5773" s="85">
        <v>1</v>
      </c>
      <c r="G5773" s="85">
        <f>--(F5773&lt;=Estimator!$B$7)</f>
        <v>1</v>
      </c>
      <c r="H5773" s="86">
        <f>SUMIFS('Climate Data'!$G$7:$G$366,'Climate Data'!$A$7:$A$366,Estimator!$B$4,'Climate Data'!$B$7:$B$366,C5773)</f>
        <v>0.23225806451612904</v>
      </c>
      <c r="I5773" s="87">
        <f>SUMIFS('Climate Data'!$H$7:$H$366,'Climate Data'!$A$7:$A$366,Estimator!$B$4,'Climate Data'!$B$7:$B$366,C5773)</f>
        <v>6.8194444444444446</v>
      </c>
      <c r="J5773" s="86">
        <f>SUMIFS('Wind Proxy'!$H$8:$H$19,'Wind Proxy'!$A$8:$A$19,Estimator!$B$4,'Wind Proxy'!$B$8:$B$19,C5773)</f>
        <v>0</v>
      </c>
    </row>
    <row r="5774" spans="1:10" ht="14.4">
      <c r="A5774" s="84">
        <v>51425</v>
      </c>
      <c r="B5774" s="85">
        <v>2040</v>
      </c>
      <c r="C5774" s="85">
        <v>10</v>
      </c>
      <c r="D5774" s="85" t="s">
        <v>75</v>
      </c>
      <c r="E5774" s="85">
        <v>16</v>
      </c>
      <c r="F5774" s="85">
        <v>2</v>
      </c>
      <c r="G5774" s="85">
        <f>--(F5774&lt;=Estimator!$B$7)</f>
        <v>1</v>
      </c>
      <c r="H5774" s="86">
        <f>SUMIFS('Climate Data'!$G$7:$G$366,'Climate Data'!$A$7:$A$366,Estimator!$B$4,'Climate Data'!$B$7:$B$366,C5774)</f>
        <v>0.23225806451612904</v>
      </c>
      <c r="I5774" s="87">
        <f>SUMIFS('Climate Data'!$H$7:$H$366,'Climate Data'!$A$7:$A$366,Estimator!$B$4,'Climate Data'!$B$7:$B$366,C5774)</f>
        <v>6.8194444444444446</v>
      </c>
      <c r="J5774" s="86">
        <f>SUMIFS('Wind Proxy'!$H$8:$H$19,'Wind Proxy'!$A$8:$A$19,Estimator!$B$4,'Wind Proxy'!$B$8:$B$19,C5774)</f>
        <v>0</v>
      </c>
    </row>
    <row r="5775" spans="1:10" ht="14.4">
      <c r="A5775" s="84">
        <v>51426</v>
      </c>
      <c r="B5775" s="85">
        <v>2040</v>
      </c>
      <c r="C5775" s="85">
        <v>10</v>
      </c>
      <c r="D5775" s="85" t="s">
        <v>75</v>
      </c>
      <c r="E5775" s="85">
        <v>17</v>
      </c>
      <c r="F5775" s="85">
        <v>3</v>
      </c>
      <c r="G5775" s="85">
        <f>--(F5775&lt;=Estimator!$B$7)</f>
        <v>1</v>
      </c>
      <c r="H5775" s="86">
        <f>SUMIFS('Climate Data'!$G$7:$G$366,'Climate Data'!$A$7:$A$366,Estimator!$B$4,'Climate Data'!$B$7:$B$366,C5775)</f>
        <v>0.23225806451612904</v>
      </c>
      <c r="I5775" s="87">
        <f>SUMIFS('Climate Data'!$H$7:$H$366,'Climate Data'!$A$7:$A$366,Estimator!$B$4,'Climate Data'!$B$7:$B$366,C5775)</f>
        <v>6.8194444444444446</v>
      </c>
      <c r="J5775" s="86">
        <f>SUMIFS('Wind Proxy'!$H$8:$H$19,'Wind Proxy'!$A$8:$A$19,Estimator!$B$4,'Wind Proxy'!$B$8:$B$19,C5775)</f>
        <v>0</v>
      </c>
    </row>
    <row r="5776" spans="1:10" ht="14.4">
      <c r="A5776" s="84">
        <v>51427</v>
      </c>
      <c r="B5776" s="85">
        <v>2040</v>
      </c>
      <c r="C5776" s="85">
        <v>10</v>
      </c>
      <c r="D5776" s="85" t="s">
        <v>75</v>
      </c>
      <c r="E5776" s="85">
        <v>18</v>
      </c>
      <c r="F5776" s="85">
        <v>4</v>
      </c>
      <c r="G5776" s="85">
        <f>--(F5776&lt;=Estimator!$B$7)</f>
        <v>1</v>
      </c>
      <c r="H5776" s="86">
        <f>SUMIFS('Climate Data'!$G$7:$G$366,'Climate Data'!$A$7:$A$366,Estimator!$B$4,'Climate Data'!$B$7:$B$366,C5776)</f>
        <v>0.23225806451612904</v>
      </c>
      <c r="I5776" s="87">
        <f>SUMIFS('Climate Data'!$H$7:$H$366,'Climate Data'!$A$7:$A$366,Estimator!$B$4,'Climate Data'!$B$7:$B$366,C5776)</f>
        <v>6.8194444444444446</v>
      </c>
      <c r="J5776" s="86">
        <f>SUMIFS('Wind Proxy'!$H$8:$H$19,'Wind Proxy'!$A$8:$A$19,Estimator!$B$4,'Wind Proxy'!$B$8:$B$19,C5776)</f>
        <v>0</v>
      </c>
    </row>
    <row r="5777" spans="1:10" ht="14.4">
      <c r="A5777" s="84">
        <v>51428</v>
      </c>
      <c r="B5777" s="85">
        <v>2040</v>
      </c>
      <c r="C5777" s="85">
        <v>10</v>
      </c>
      <c r="D5777" s="85" t="s">
        <v>75</v>
      </c>
      <c r="E5777" s="85">
        <v>19</v>
      </c>
      <c r="F5777" s="85">
        <v>5</v>
      </c>
      <c r="G5777" s="85">
        <f>--(F5777&lt;=Estimator!$B$7)</f>
        <v>1</v>
      </c>
      <c r="H5777" s="86">
        <f>SUMIFS('Climate Data'!$G$7:$G$366,'Climate Data'!$A$7:$A$366,Estimator!$B$4,'Climate Data'!$B$7:$B$366,C5777)</f>
        <v>0.23225806451612904</v>
      </c>
      <c r="I5777" s="87">
        <f>SUMIFS('Climate Data'!$H$7:$H$366,'Climate Data'!$A$7:$A$366,Estimator!$B$4,'Climate Data'!$B$7:$B$366,C5777)</f>
        <v>6.8194444444444446</v>
      </c>
      <c r="J5777" s="86">
        <f>SUMIFS('Wind Proxy'!$H$8:$H$19,'Wind Proxy'!$A$8:$A$19,Estimator!$B$4,'Wind Proxy'!$B$8:$B$19,C5777)</f>
        <v>0</v>
      </c>
    </row>
    <row r="5778" spans="1:10" ht="14.4">
      <c r="A5778" s="84">
        <v>51429</v>
      </c>
      <c r="B5778" s="85">
        <v>2040</v>
      </c>
      <c r="C5778" s="85">
        <v>10</v>
      </c>
      <c r="D5778" s="85" t="s">
        <v>75</v>
      </c>
      <c r="E5778" s="85">
        <v>20</v>
      </c>
      <c r="F5778" s="85">
        <v>6</v>
      </c>
      <c r="G5778" s="85">
        <f>--(F5778&lt;=Estimator!$B$7)</f>
        <v>0</v>
      </c>
      <c r="H5778" s="86">
        <f>SUMIFS('Climate Data'!$G$7:$G$366,'Climate Data'!$A$7:$A$366,Estimator!$B$4,'Climate Data'!$B$7:$B$366,C5778)</f>
        <v>0.23225806451612904</v>
      </c>
      <c r="I5778" s="87">
        <f>SUMIFS('Climate Data'!$H$7:$H$366,'Climate Data'!$A$7:$A$366,Estimator!$B$4,'Climate Data'!$B$7:$B$366,C5778)</f>
        <v>6.8194444444444446</v>
      </c>
      <c r="J5778" s="86">
        <f>SUMIFS('Wind Proxy'!$H$8:$H$19,'Wind Proxy'!$A$8:$A$19,Estimator!$B$4,'Wind Proxy'!$B$8:$B$19,C5778)</f>
        <v>0</v>
      </c>
    </row>
    <row r="5779" spans="1:10" ht="14.4">
      <c r="A5779" s="84">
        <v>51430</v>
      </c>
      <c r="B5779" s="85">
        <v>2040</v>
      </c>
      <c r="C5779" s="85">
        <v>10</v>
      </c>
      <c r="D5779" s="85" t="s">
        <v>75</v>
      </c>
      <c r="E5779" s="85">
        <v>21</v>
      </c>
      <c r="F5779" s="85">
        <v>7</v>
      </c>
      <c r="G5779" s="85">
        <f>--(F5779&lt;=Estimator!$B$7)</f>
        <v>0</v>
      </c>
      <c r="H5779" s="86">
        <f>SUMIFS('Climate Data'!$G$7:$G$366,'Climate Data'!$A$7:$A$366,Estimator!$B$4,'Climate Data'!$B$7:$B$366,C5779)</f>
        <v>0.23225806451612904</v>
      </c>
      <c r="I5779" s="87">
        <f>SUMIFS('Climate Data'!$H$7:$H$366,'Climate Data'!$A$7:$A$366,Estimator!$B$4,'Climate Data'!$B$7:$B$366,C5779)</f>
        <v>6.8194444444444446</v>
      </c>
      <c r="J5779" s="86">
        <f>SUMIFS('Wind Proxy'!$H$8:$H$19,'Wind Proxy'!$A$8:$A$19,Estimator!$B$4,'Wind Proxy'!$B$8:$B$19,C5779)</f>
        <v>0</v>
      </c>
    </row>
    <row r="5780" spans="1:10" ht="14.4">
      <c r="A5780" s="84">
        <v>51431</v>
      </c>
      <c r="B5780" s="85">
        <v>2040</v>
      </c>
      <c r="C5780" s="85">
        <v>10</v>
      </c>
      <c r="D5780" s="85" t="s">
        <v>75</v>
      </c>
      <c r="E5780" s="85">
        <v>22</v>
      </c>
      <c r="F5780" s="85">
        <v>1</v>
      </c>
      <c r="G5780" s="85">
        <f>--(F5780&lt;=Estimator!$B$7)</f>
        <v>1</v>
      </c>
      <c r="H5780" s="86">
        <f>SUMIFS('Climate Data'!$G$7:$G$366,'Climate Data'!$A$7:$A$366,Estimator!$B$4,'Climate Data'!$B$7:$B$366,C5780)</f>
        <v>0.23225806451612904</v>
      </c>
      <c r="I5780" s="87">
        <f>SUMIFS('Climate Data'!$H$7:$H$366,'Climate Data'!$A$7:$A$366,Estimator!$B$4,'Climate Data'!$B$7:$B$366,C5780)</f>
        <v>6.8194444444444446</v>
      </c>
      <c r="J5780" s="86">
        <f>SUMIFS('Wind Proxy'!$H$8:$H$19,'Wind Proxy'!$A$8:$A$19,Estimator!$B$4,'Wind Proxy'!$B$8:$B$19,C5780)</f>
        <v>0</v>
      </c>
    </row>
    <row r="5781" spans="1:10" ht="14.4">
      <c r="A5781" s="84">
        <v>51432</v>
      </c>
      <c r="B5781" s="85">
        <v>2040</v>
      </c>
      <c r="C5781" s="85">
        <v>10</v>
      </c>
      <c r="D5781" s="85" t="s">
        <v>75</v>
      </c>
      <c r="E5781" s="85">
        <v>23</v>
      </c>
      <c r="F5781" s="85">
        <v>2</v>
      </c>
      <c r="G5781" s="85">
        <f>--(F5781&lt;=Estimator!$B$7)</f>
        <v>1</v>
      </c>
      <c r="H5781" s="86">
        <f>SUMIFS('Climate Data'!$G$7:$G$366,'Climate Data'!$A$7:$A$366,Estimator!$B$4,'Climate Data'!$B$7:$B$366,C5781)</f>
        <v>0.23225806451612904</v>
      </c>
      <c r="I5781" s="87">
        <f>SUMIFS('Climate Data'!$H$7:$H$366,'Climate Data'!$A$7:$A$366,Estimator!$B$4,'Climate Data'!$B$7:$B$366,C5781)</f>
        <v>6.8194444444444446</v>
      </c>
      <c r="J5781" s="86">
        <f>SUMIFS('Wind Proxy'!$H$8:$H$19,'Wind Proxy'!$A$8:$A$19,Estimator!$B$4,'Wind Proxy'!$B$8:$B$19,C5781)</f>
        <v>0</v>
      </c>
    </row>
    <row r="5782" spans="1:10" ht="14.4">
      <c r="A5782" s="84">
        <v>51433</v>
      </c>
      <c r="B5782" s="85">
        <v>2040</v>
      </c>
      <c r="C5782" s="85">
        <v>10</v>
      </c>
      <c r="D5782" s="85" t="s">
        <v>75</v>
      </c>
      <c r="E5782" s="85">
        <v>24</v>
      </c>
      <c r="F5782" s="85">
        <v>3</v>
      </c>
      <c r="G5782" s="85">
        <f>--(F5782&lt;=Estimator!$B$7)</f>
        <v>1</v>
      </c>
      <c r="H5782" s="86">
        <f>SUMIFS('Climate Data'!$G$7:$G$366,'Climate Data'!$A$7:$A$366,Estimator!$B$4,'Climate Data'!$B$7:$B$366,C5782)</f>
        <v>0.23225806451612904</v>
      </c>
      <c r="I5782" s="87">
        <f>SUMIFS('Climate Data'!$H$7:$H$366,'Climate Data'!$A$7:$A$366,Estimator!$B$4,'Climate Data'!$B$7:$B$366,C5782)</f>
        <v>6.8194444444444446</v>
      </c>
      <c r="J5782" s="86">
        <f>SUMIFS('Wind Proxy'!$H$8:$H$19,'Wind Proxy'!$A$8:$A$19,Estimator!$B$4,'Wind Proxy'!$B$8:$B$19,C5782)</f>
        <v>0</v>
      </c>
    </row>
    <row r="5783" spans="1:10" ht="14.4">
      <c r="A5783" s="84">
        <v>51434</v>
      </c>
      <c r="B5783" s="85">
        <v>2040</v>
      </c>
      <c r="C5783" s="85">
        <v>10</v>
      </c>
      <c r="D5783" s="85" t="s">
        <v>75</v>
      </c>
      <c r="E5783" s="85">
        <v>25</v>
      </c>
      <c r="F5783" s="85">
        <v>4</v>
      </c>
      <c r="G5783" s="85">
        <f>--(F5783&lt;=Estimator!$B$7)</f>
        <v>1</v>
      </c>
      <c r="H5783" s="86">
        <f>SUMIFS('Climate Data'!$G$7:$G$366,'Climate Data'!$A$7:$A$366,Estimator!$B$4,'Climate Data'!$B$7:$B$366,C5783)</f>
        <v>0.23225806451612904</v>
      </c>
      <c r="I5783" s="87">
        <f>SUMIFS('Climate Data'!$H$7:$H$366,'Climate Data'!$A$7:$A$366,Estimator!$B$4,'Climate Data'!$B$7:$B$366,C5783)</f>
        <v>6.8194444444444446</v>
      </c>
      <c r="J5783" s="86">
        <f>SUMIFS('Wind Proxy'!$H$8:$H$19,'Wind Proxy'!$A$8:$A$19,Estimator!$B$4,'Wind Proxy'!$B$8:$B$19,C5783)</f>
        <v>0</v>
      </c>
    </row>
    <row r="5784" spans="1:10" ht="14.4">
      <c r="A5784" s="84">
        <v>51435</v>
      </c>
      <c r="B5784" s="85">
        <v>2040</v>
      </c>
      <c r="C5784" s="85">
        <v>10</v>
      </c>
      <c r="D5784" s="85" t="s">
        <v>75</v>
      </c>
      <c r="E5784" s="85">
        <v>26</v>
      </c>
      <c r="F5784" s="85">
        <v>5</v>
      </c>
      <c r="G5784" s="85">
        <f>--(F5784&lt;=Estimator!$B$7)</f>
        <v>1</v>
      </c>
      <c r="H5784" s="86">
        <f>SUMIFS('Climate Data'!$G$7:$G$366,'Climate Data'!$A$7:$A$366,Estimator!$B$4,'Climate Data'!$B$7:$B$366,C5784)</f>
        <v>0.23225806451612904</v>
      </c>
      <c r="I5784" s="87">
        <f>SUMIFS('Climate Data'!$H$7:$H$366,'Climate Data'!$A$7:$A$366,Estimator!$B$4,'Climate Data'!$B$7:$B$366,C5784)</f>
        <v>6.8194444444444446</v>
      </c>
      <c r="J5784" s="86">
        <f>SUMIFS('Wind Proxy'!$H$8:$H$19,'Wind Proxy'!$A$8:$A$19,Estimator!$B$4,'Wind Proxy'!$B$8:$B$19,C5784)</f>
        <v>0</v>
      </c>
    </row>
    <row r="5785" spans="1:10" ht="14.4">
      <c r="A5785" s="84">
        <v>51436</v>
      </c>
      <c r="B5785" s="85">
        <v>2040</v>
      </c>
      <c r="C5785" s="85">
        <v>10</v>
      </c>
      <c r="D5785" s="85" t="s">
        <v>75</v>
      </c>
      <c r="E5785" s="85">
        <v>27</v>
      </c>
      <c r="F5785" s="85">
        <v>6</v>
      </c>
      <c r="G5785" s="85">
        <f>--(F5785&lt;=Estimator!$B$7)</f>
        <v>0</v>
      </c>
      <c r="H5785" s="86">
        <f>SUMIFS('Climate Data'!$G$7:$G$366,'Climate Data'!$A$7:$A$366,Estimator!$B$4,'Climate Data'!$B$7:$B$366,C5785)</f>
        <v>0.23225806451612904</v>
      </c>
      <c r="I5785" s="87">
        <f>SUMIFS('Climate Data'!$H$7:$H$366,'Climate Data'!$A$7:$A$366,Estimator!$B$4,'Climate Data'!$B$7:$B$366,C5785)</f>
        <v>6.8194444444444446</v>
      </c>
      <c r="J5785" s="86">
        <f>SUMIFS('Wind Proxy'!$H$8:$H$19,'Wind Proxy'!$A$8:$A$19,Estimator!$B$4,'Wind Proxy'!$B$8:$B$19,C5785)</f>
        <v>0</v>
      </c>
    </row>
    <row r="5786" spans="1:10" ht="14.4">
      <c r="A5786" s="84">
        <v>51437</v>
      </c>
      <c r="B5786" s="85">
        <v>2040</v>
      </c>
      <c r="C5786" s="85">
        <v>10</v>
      </c>
      <c r="D5786" s="85" t="s">
        <v>75</v>
      </c>
      <c r="E5786" s="85">
        <v>28</v>
      </c>
      <c r="F5786" s="85">
        <v>7</v>
      </c>
      <c r="G5786" s="85">
        <f>--(F5786&lt;=Estimator!$B$7)</f>
        <v>0</v>
      </c>
      <c r="H5786" s="86">
        <f>SUMIFS('Climate Data'!$G$7:$G$366,'Climate Data'!$A$7:$A$366,Estimator!$B$4,'Climate Data'!$B$7:$B$366,C5786)</f>
        <v>0.23225806451612904</v>
      </c>
      <c r="I5786" s="87">
        <f>SUMIFS('Climate Data'!$H$7:$H$366,'Climate Data'!$A$7:$A$366,Estimator!$B$4,'Climate Data'!$B$7:$B$366,C5786)</f>
        <v>6.8194444444444446</v>
      </c>
      <c r="J5786" s="86">
        <f>SUMIFS('Wind Proxy'!$H$8:$H$19,'Wind Proxy'!$A$8:$A$19,Estimator!$B$4,'Wind Proxy'!$B$8:$B$19,C5786)</f>
        <v>0</v>
      </c>
    </row>
    <row r="5787" spans="1:10" ht="14.4">
      <c r="A5787" s="84">
        <v>51438</v>
      </c>
      <c r="B5787" s="85">
        <v>2040</v>
      </c>
      <c r="C5787" s="85">
        <v>10</v>
      </c>
      <c r="D5787" s="85" t="s">
        <v>75</v>
      </c>
      <c r="E5787" s="85">
        <v>29</v>
      </c>
      <c r="F5787" s="85">
        <v>1</v>
      </c>
      <c r="G5787" s="85">
        <f>--(F5787&lt;=Estimator!$B$7)</f>
        <v>1</v>
      </c>
      <c r="H5787" s="86">
        <f>SUMIFS('Climate Data'!$G$7:$G$366,'Climate Data'!$A$7:$A$366,Estimator!$B$4,'Climate Data'!$B$7:$B$366,C5787)</f>
        <v>0.23225806451612904</v>
      </c>
      <c r="I5787" s="87">
        <f>SUMIFS('Climate Data'!$H$7:$H$366,'Climate Data'!$A$7:$A$366,Estimator!$B$4,'Climate Data'!$B$7:$B$366,C5787)</f>
        <v>6.8194444444444446</v>
      </c>
      <c r="J5787" s="86">
        <f>SUMIFS('Wind Proxy'!$H$8:$H$19,'Wind Proxy'!$A$8:$A$19,Estimator!$B$4,'Wind Proxy'!$B$8:$B$19,C5787)</f>
        <v>0</v>
      </c>
    </row>
    <row r="5788" spans="1:10" ht="14.4">
      <c r="A5788" s="84">
        <v>51439</v>
      </c>
      <c r="B5788" s="85">
        <v>2040</v>
      </c>
      <c r="C5788" s="85">
        <v>10</v>
      </c>
      <c r="D5788" s="85" t="s">
        <v>75</v>
      </c>
      <c r="E5788" s="85">
        <v>30</v>
      </c>
      <c r="F5788" s="85">
        <v>2</v>
      </c>
      <c r="G5788" s="85">
        <f>--(F5788&lt;=Estimator!$B$7)</f>
        <v>1</v>
      </c>
      <c r="H5788" s="86">
        <f>SUMIFS('Climate Data'!$G$7:$G$366,'Climate Data'!$A$7:$A$366,Estimator!$B$4,'Climate Data'!$B$7:$B$366,C5788)</f>
        <v>0.23225806451612904</v>
      </c>
      <c r="I5788" s="87">
        <f>SUMIFS('Climate Data'!$H$7:$H$366,'Climate Data'!$A$7:$A$366,Estimator!$B$4,'Climate Data'!$B$7:$B$366,C5788)</f>
        <v>6.8194444444444446</v>
      </c>
      <c r="J5788" s="86">
        <f>SUMIFS('Wind Proxy'!$H$8:$H$19,'Wind Proxy'!$A$8:$A$19,Estimator!$B$4,'Wind Proxy'!$B$8:$B$19,C5788)</f>
        <v>0</v>
      </c>
    </row>
    <row r="5789" spans="1:10" ht="14.4">
      <c r="A5789" s="84">
        <v>51440</v>
      </c>
      <c r="B5789" s="85">
        <v>2040</v>
      </c>
      <c r="C5789" s="85">
        <v>10</v>
      </c>
      <c r="D5789" s="85" t="s">
        <v>75</v>
      </c>
      <c r="E5789" s="85">
        <v>31</v>
      </c>
      <c r="F5789" s="85">
        <v>3</v>
      </c>
      <c r="G5789" s="85">
        <f>--(F5789&lt;=Estimator!$B$7)</f>
        <v>1</v>
      </c>
      <c r="H5789" s="86">
        <f>SUMIFS('Climate Data'!$G$7:$G$366,'Climate Data'!$A$7:$A$366,Estimator!$B$4,'Climate Data'!$B$7:$B$366,C5789)</f>
        <v>0.23225806451612904</v>
      </c>
      <c r="I5789" s="87">
        <f>SUMIFS('Climate Data'!$H$7:$H$366,'Climate Data'!$A$7:$A$366,Estimator!$B$4,'Climate Data'!$B$7:$B$366,C5789)</f>
        <v>6.8194444444444446</v>
      </c>
      <c r="J5789" s="86">
        <f>SUMIFS('Wind Proxy'!$H$8:$H$19,'Wind Proxy'!$A$8:$A$19,Estimator!$B$4,'Wind Proxy'!$B$8:$B$19,C5789)</f>
        <v>0</v>
      </c>
    </row>
    <row r="5790" spans="1:10" ht="14.4">
      <c r="A5790" s="84">
        <v>51441</v>
      </c>
      <c r="B5790" s="85">
        <v>2040</v>
      </c>
      <c r="C5790" s="85">
        <v>11</v>
      </c>
      <c r="D5790" s="85" t="s">
        <v>76</v>
      </c>
      <c r="E5790" s="85">
        <v>1</v>
      </c>
      <c r="F5790" s="85">
        <v>4</v>
      </c>
      <c r="G5790" s="85">
        <f>--(F5790&lt;=Estimator!$B$7)</f>
        <v>1</v>
      </c>
      <c r="H5790" s="86">
        <f>SUMIFS('Climate Data'!$G$7:$G$366,'Climate Data'!$A$7:$A$366,Estimator!$B$4,'Climate Data'!$B$7:$B$366,C5790)</f>
        <v>0.23333333333333334</v>
      </c>
      <c r="I5790" s="87">
        <f>SUMIFS('Climate Data'!$H$7:$H$366,'Climate Data'!$A$7:$A$366,Estimator!$B$4,'Climate Data'!$B$7:$B$366,C5790)</f>
        <v>6.4428571428571431</v>
      </c>
      <c r="J5790" s="86">
        <f>SUMIFS('Wind Proxy'!$H$8:$H$19,'Wind Proxy'!$A$8:$A$19,Estimator!$B$4,'Wind Proxy'!$B$8:$B$19,C5790)</f>
        <v>0</v>
      </c>
    </row>
    <row r="5791" spans="1:10" ht="14.4">
      <c r="A5791" s="84">
        <v>51442</v>
      </c>
      <c r="B5791" s="85">
        <v>2040</v>
      </c>
      <c r="C5791" s="85">
        <v>11</v>
      </c>
      <c r="D5791" s="85" t="s">
        <v>76</v>
      </c>
      <c r="E5791" s="85">
        <v>2</v>
      </c>
      <c r="F5791" s="85">
        <v>5</v>
      </c>
      <c r="G5791" s="85">
        <f>--(F5791&lt;=Estimator!$B$7)</f>
        <v>1</v>
      </c>
      <c r="H5791" s="86">
        <f>SUMIFS('Climate Data'!$G$7:$G$366,'Climate Data'!$A$7:$A$366,Estimator!$B$4,'Climate Data'!$B$7:$B$366,C5791)</f>
        <v>0.23333333333333334</v>
      </c>
      <c r="I5791" s="87">
        <f>SUMIFS('Climate Data'!$H$7:$H$366,'Climate Data'!$A$7:$A$366,Estimator!$B$4,'Climate Data'!$B$7:$B$366,C5791)</f>
        <v>6.4428571428571431</v>
      </c>
      <c r="J5791" s="86">
        <f>SUMIFS('Wind Proxy'!$H$8:$H$19,'Wind Proxy'!$A$8:$A$19,Estimator!$B$4,'Wind Proxy'!$B$8:$B$19,C5791)</f>
        <v>0</v>
      </c>
    </row>
    <row r="5792" spans="1:10" ht="14.4">
      <c r="A5792" s="84">
        <v>51443</v>
      </c>
      <c r="B5792" s="85">
        <v>2040</v>
      </c>
      <c r="C5792" s="85">
        <v>11</v>
      </c>
      <c r="D5792" s="85" t="s">
        <v>76</v>
      </c>
      <c r="E5792" s="85">
        <v>3</v>
      </c>
      <c r="F5792" s="85">
        <v>6</v>
      </c>
      <c r="G5792" s="85">
        <f>--(F5792&lt;=Estimator!$B$7)</f>
        <v>0</v>
      </c>
      <c r="H5792" s="86">
        <f>SUMIFS('Climate Data'!$G$7:$G$366,'Climate Data'!$A$7:$A$366,Estimator!$B$4,'Climate Data'!$B$7:$B$366,C5792)</f>
        <v>0.23333333333333334</v>
      </c>
      <c r="I5792" s="87">
        <f>SUMIFS('Climate Data'!$H$7:$H$366,'Climate Data'!$A$7:$A$366,Estimator!$B$4,'Climate Data'!$B$7:$B$366,C5792)</f>
        <v>6.4428571428571431</v>
      </c>
      <c r="J5792" s="86">
        <f>SUMIFS('Wind Proxy'!$H$8:$H$19,'Wind Proxy'!$A$8:$A$19,Estimator!$B$4,'Wind Proxy'!$B$8:$B$19,C5792)</f>
        <v>0</v>
      </c>
    </row>
    <row r="5793" spans="1:10" ht="14.4">
      <c r="A5793" s="84">
        <v>51444</v>
      </c>
      <c r="B5793" s="85">
        <v>2040</v>
      </c>
      <c r="C5793" s="85">
        <v>11</v>
      </c>
      <c r="D5793" s="85" t="s">
        <v>76</v>
      </c>
      <c r="E5793" s="85">
        <v>4</v>
      </c>
      <c r="F5793" s="85">
        <v>7</v>
      </c>
      <c r="G5793" s="85">
        <f>--(F5793&lt;=Estimator!$B$7)</f>
        <v>0</v>
      </c>
      <c r="H5793" s="86">
        <f>SUMIFS('Climate Data'!$G$7:$G$366,'Climate Data'!$A$7:$A$366,Estimator!$B$4,'Climate Data'!$B$7:$B$366,C5793)</f>
        <v>0.23333333333333334</v>
      </c>
      <c r="I5793" s="87">
        <f>SUMIFS('Climate Data'!$H$7:$H$366,'Climate Data'!$A$7:$A$366,Estimator!$B$4,'Climate Data'!$B$7:$B$366,C5793)</f>
        <v>6.4428571428571431</v>
      </c>
      <c r="J5793" s="86">
        <f>SUMIFS('Wind Proxy'!$H$8:$H$19,'Wind Proxy'!$A$8:$A$19,Estimator!$B$4,'Wind Proxy'!$B$8:$B$19,C5793)</f>
        <v>0</v>
      </c>
    </row>
    <row r="5794" spans="1:10" ht="14.4">
      <c r="A5794" s="84">
        <v>51445</v>
      </c>
      <c r="B5794" s="85">
        <v>2040</v>
      </c>
      <c r="C5794" s="85">
        <v>11</v>
      </c>
      <c r="D5794" s="85" t="s">
        <v>76</v>
      </c>
      <c r="E5794" s="85">
        <v>5</v>
      </c>
      <c r="F5794" s="85">
        <v>1</v>
      </c>
      <c r="G5794" s="85">
        <f>--(F5794&lt;=Estimator!$B$7)</f>
        <v>1</v>
      </c>
      <c r="H5794" s="86">
        <f>SUMIFS('Climate Data'!$G$7:$G$366,'Climate Data'!$A$7:$A$366,Estimator!$B$4,'Climate Data'!$B$7:$B$366,C5794)</f>
        <v>0.23333333333333334</v>
      </c>
      <c r="I5794" s="87">
        <f>SUMIFS('Climate Data'!$H$7:$H$366,'Climate Data'!$A$7:$A$366,Estimator!$B$4,'Climate Data'!$B$7:$B$366,C5794)</f>
        <v>6.4428571428571431</v>
      </c>
      <c r="J5794" s="86">
        <f>SUMIFS('Wind Proxy'!$H$8:$H$19,'Wind Proxy'!$A$8:$A$19,Estimator!$B$4,'Wind Proxy'!$B$8:$B$19,C5794)</f>
        <v>0</v>
      </c>
    </row>
    <row r="5795" spans="1:10" ht="14.4">
      <c r="A5795" s="84">
        <v>51446</v>
      </c>
      <c r="B5795" s="85">
        <v>2040</v>
      </c>
      <c r="C5795" s="85">
        <v>11</v>
      </c>
      <c r="D5795" s="85" t="s">
        <v>76</v>
      </c>
      <c r="E5795" s="85">
        <v>6</v>
      </c>
      <c r="F5795" s="85">
        <v>2</v>
      </c>
      <c r="G5795" s="85">
        <f>--(F5795&lt;=Estimator!$B$7)</f>
        <v>1</v>
      </c>
      <c r="H5795" s="86">
        <f>SUMIFS('Climate Data'!$G$7:$G$366,'Climate Data'!$A$7:$A$366,Estimator!$B$4,'Climate Data'!$B$7:$B$366,C5795)</f>
        <v>0.23333333333333334</v>
      </c>
      <c r="I5795" s="87">
        <f>SUMIFS('Climate Data'!$H$7:$H$366,'Climate Data'!$A$7:$A$366,Estimator!$B$4,'Climate Data'!$B$7:$B$366,C5795)</f>
        <v>6.4428571428571431</v>
      </c>
      <c r="J5795" s="86">
        <f>SUMIFS('Wind Proxy'!$H$8:$H$19,'Wind Proxy'!$A$8:$A$19,Estimator!$B$4,'Wind Proxy'!$B$8:$B$19,C5795)</f>
        <v>0</v>
      </c>
    </row>
    <row r="5796" spans="1:10" ht="14.4">
      <c r="A5796" s="84">
        <v>51447</v>
      </c>
      <c r="B5796" s="85">
        <v>2040</v>
      </c>
      <c r="C5796" s="85">
        <v>11</v>
      </c>
      <c r="D5796" s="85" t="s">
        <v>76</v>
      </c>
      <c r="E5796" s="85">
        <v>7</v>
      </c>
      <c r="F5796" s="85">
        <v>3</v>
      </c>
      <c r="G5796" s="85">
        <f>--(F5796&lt;=Estimator!$B$7)</f>
        <v>1</v>
      </c>
      <c r="H5796" s="86">
        <f>SUMIFS('Climate Data'!$G$7:$G$366,'Climate Data'!$A$7:$A$366,Estimator!$B$4,'Climate Data'!$B$7:$B$366,C5796)</f>
        <v>0.23333333333333334</v>
      </c>
      <c r="I5796" s="87">
        <f>SUMIFS('Climate Data'!$H$7:$H$366,'Climate Data'!$A$7:$A$366,Estimator!$B$4,'Climate Data'!$B$7:$B$366,C5796)</f>
        <v>6.4428571428571431</v>
      </c>
      <c r="J5796" s="86">
        <f>SUMIFS('Wind Proxy'!$H$8:$H$19,'Wind Proxy'!$A$8:$A$19,Estimator!$B$4,'Wind Proxy'!$B$8:$B$19,C5796)</f>
        <v>0</v>
      </c>
    </row>
    <row r="5797" spans="1:10" ht="14.4">
      <c r="A5797" s="84">
        <v>51448</v>
      </c>
      <c r="B5797" s="85">
        <v>2040</v>
      </c>
      <c r="C5797" s="85">
        <v>11</v>
      </c>
      <c r="D5797" s="85" t="s">
        <v>76</v>
      </c>
      <c r="E5797" s="85">
        <v>8</v>
      </c>
      <c r="F5797" s="85">
        <v>4</v>
      </c>
      <c r="G5797" s="85">
        <f>--(F5797&lt;=Estimator!$B$7)</f>
        <v>1</v>
      </c>
      <c r="H5797" s="86">
        <f>SUMIFS('Climate Data'!$G$7:$G$366,'Climate Data'!$A$7:$A$366,Estimator!$B$4,'Climate Data'!$B$7:$B$366,C5797)</f>
        <v>0.23333333333333334</v>
      </c>
      <c r="I5797" s="87">
        <f>SUMIFS('Climate Data'!$H$7:$H$366,'Climate Data'!$A$7:$A$366,Estimator!$B$4,'Climate Data'!$B$7:$B$366,C5797)</f>
        <v>6.4428571428571431</v>
      </c>
      <c r="J5797" s="86">
        <f>SUMIFS('Wind Proxy'!$H$8:$H$19,'Wind Proxy'!$A$8:$A$19,Estimator!$B$4,'Wind Proxy'!$B$8:$B$19,C5797)</f>
        <v>0</v>
      </c>
    </row>
    <row r="5798" spans="1:10" ht="14.4">
      <c r="A5798" s="84">
        <v>51449</v>
      </c>
      <c r="B5798" s="85">
        <v>2040</v>
      </c>
      <c r="C5798" s="85">
        <v>11</v>
      </c>
      <c r="D5798" s="85" t="s">
        <v>76</v>
      </c>
      <c r="E5798" s="85">
        <v>9</v>
      </c>
      <c r="F5798" s="85">
        <v>5</v>
      </c>
      <c r="G5798" s="85">
        <f>--(F5798&lt;=Estimator!$B$7)</f>
        <v>1</v>
      </c>
      <c r="H5798" s="86">
        <f>SUMIFS('Climate Data'!$G$7:$G$366,'Climate Data'!$A$7:$A$366,Estimator!$B$4,'Climate Data'!$B$7:$B$366,C5798)</f>
        <v>0.23333333333333334</v>
      </c>
      <c r="I5798" s="87">
        <f>SUMIFS('Climate Data'!$H$7:$H$366,'Climate Data'!$A$7:$A$366,Estimator!$B$4,'Climate Data'!$B$7:$B$366,C5798)</f>
        <v>6.4428571428571431</v>
      </c>
      <c r="J5798" s="86">
        <f>SUMIFS('Wind Proxy'!$H$8:$H$19,'Wind Proxy'!$A$8:$A$19,Estimator!$B$4,'Wind Proxy'!$B$8:$B$19,C5798)</f>
        <v>0</v>
      </c>
    </row>
    <row r="5799" spans="1:10" ht="14.4">
      <c r="A5799" s="84">
        <v>51450</v>
      </c>
      <c r="B5799" s="85">
        <v>2040</v>
      </c>
      <c r="C5799" s="85">
        <v>11</v>
      </c>
      <c r="D5799" s="85" t="s">
        <v>76</v>
      </c>
      <c r="E5799" s="85">
        <v>10</v>
      </c>
      <c r="F5799" s="85">
        <v>6</v>
      </c>
      <c r="G5799" s="85">
        <f>--(F5799&lt;=Estimator!$B$7)</f>
        <v>0</v>
      </c>
      <c r="H5799" s="86">
        <f>SUMIFS('Climate Data'!$G$7:$G$366,'Climate Data'!$A$7:$A$366,Estimator!$B$4,'Climate Data'!$B$7:$B$366,C5799)</f>
        <v>0.23333333333333334</v>
      </c>
      <c r="I5799" s="87">
        <f>SUMIFS('Climate Data'!$H$7:$H$366,'Climate Data'!$A$7:$A$366,Estimator!$B$4,'Climate Data'!$B$7:$B$366,C5799)</f>
        <v>6.4428571428571431</v>
      </c>
      <c r="J5799" s="86">
        <f>SUMIFS('Wind Proxy'!$H$8:$H$19,'Wind Proxy'!$A$8:$A$19,Estimator!$B$4,'Wind Proxy'!$B$8:$B$19,C5799)</f>
        <v>0</v>
      </c>
    </row>
    <row r="5800" spans="1:10" ht="14.4">
      <c r="A5800" s="84">
        <v>51451</v>
      </c>
      <c r="B5800" s="85">
        <v>2040</v>
      </c>
      <c r="C5800" s="85">
        <v>11</v>
      </c>
      <c r="D5800" s="85" t="s">
        <v>76</v>
      </c>
      <c r="E5800" s="85">
        <v>11</v>
      </c>
      <c r="F5800" s="85">
        <v>7</v>
      </c>
      <c r="G5800" s="85">
        <f>--(F5800&lt;=Estimator!$B$7)</f>
        <v>0</v>
      </c>
      <c r="H5800" s="86">
        <f>SUMIFS('Climate Data'!$G$7:$G$366,'Climate Data'!$A$7:$A$366,Estimator!$B$4,'Climate Data'!$B$7:$B$366,C5800)</f>
        <v>0.23333333333333334</v>
      </c>
      <c r="I5800" s="87">
        <f>SUMIFS('Climate Data'!$H$7:$H$366,'Climate Data'!$A$7:$A$366,Estimator!$B$4,'Climate Data'!$B$7:$B$366,C5800)</f>
        <v>6.4428571428571431</v>
      </c>
      <c r="J5800" s="86">
        <f>SUMIFS('Wind Proxy'!$H$8:$H$19,'Wind Proxy'!$A$8:$A$19,Estimator!$B$4,'Wind Proxy'!$B$8:$B$19,C5800)</f>
        <v>0</v>
      </c>
    </row>
    <row r="5801" spans="1:10" ht="14.4">
      <c r="A5801" s="84">
        <v>51452</v>
      </c>
      <c r="B5801" s="85">
        <v>2040</v>
      </c>
      <c r="C5801" s="85">
        <v>11</v>
      </c>
      <c r="D5801" s="85" t="s">
        <v>76</v>
      </c>
      <c r="E5801" s="85">
        <v>12</v>
      </c>
      <c r="F5801" s="85">
        <v>1</v>
      </c>
      <c r="G5801" s="85">
        <f>--(F5801&lt;=Estimator!$B$7)</f>
        <v>1</v>
      </c>
      <c r="H5801" s="86">
        <f>SUMIFS('Climate Data'!$G$7:$G$366,'Climate Data'!$A$7:$A$366,Estimator!$B$4,'Climate Data'!$B$7:$B$366,C5801)</f>
        <v>0.23333333333333334</v>
      </c>
      <c r="I5801" s="87">
        <f>SUMIFS('Climate Data'!$H$7:$H$366,'Climate Data'!$A$7:$A$366,Estimator!$B$4,'Climate Data'!$B$7:$B$366,C5801)</f>
        <v>6.4428571428571431</v>
      </c>
      <c r="J5801" s="86">
        <f>SUMIFS('Wind Proxy'!$H$8:$H$19,'Wind Proxy'!$A$8:$A$19,Estimator!$B$4,'Wind Proxy'!$B$8:$B$19,C5801)</f>
        <v>0</v>
      </c>
    </row>
    <row r="5802" spans="1:10" ht="14.4">
      <c r="A5802" s="84">
        <v>51453</v>
      </c>
      <c r="B5802" s="85">
        <v>2040</v>
      </c>
      <c r="C5802" s="85">
        <v>11</v>
      </c>
      <c r="D5802" s="85" t="s">
        <v>76</v>
      </c>
      <c r="E5802" s="85">
        <v>13</v>
      </c>
      <c r="F5802" s="85">
        <v>2</v>
      </c>
      <c r="G5802" s="85">
        <f>--(F5802&lt;=Estimator!$B$7)</f>
        <v>1</v>
      </c>
      <c r="H5802" s="86">
        <f>SUMIFS('Climate Data'!$G$7:$G$366,'Climate Data'!$A$7:$A$366,Estimator!$B$4,'Climate Data'!$B$7:$B$366,C5802)</f>
        <v>0.23333333333333334</v>
      </c>
      <c r="I5802" s="87">
        <f>SUMIFS('Climate Data'!$H$7:$H$366,'Climate Data'!$A$7:$A$366,Estimator!$B$4,'Climate Data'!$B$7:$B$366,C5802)</f>
        <v>6.4428571428571431</v>
      </c>
      <c r="J5802" s="86">
        <f>SUMIFS('Wind Proxy'!$H$8:$H$19,'Wind Proxy'!$A$8:$A$19,Estimator!$B$4,'Wind Proxy'!$B$8:$B$19,C5802)</f>
        <v>0</v>
      </c>
    </row>
    <row r="5803" spans="1:10" ht="14.4">
      <c r="A5803" s="84">
        <v>51454</v>
      </c>
      <c r="B5803" s="85">
        <v>2040</v>
      </c>
      <c r="C5803" s="85">
        <v>11</v>
      </c>
      <c r="D5803" s="85" t="s">
        <v>76</v>
      </c>
      <c r="E5803" s="85">
        <v>14</v>
      </c>
      <c r="F5803" s="85">
        <v>3</v>
      </c>
      <c r="G5803" s="85">
        <f>--(F5803&lt;=Estimator!$B$7)</f>
        <v>1</v>
      </c>
      <c r="H5803" s="86">
        <f>SUMIFS('Climate Data'!$G$7:$G$366,'Climate Data'!$A$7:$A$366,Estimator!$B$4,'Climate Data'!$B$7:$B$366,C5803)</f>
        <v>0.23333333333333334</v>
      </c>
      <c r="I5803" s="87">
        <f>SUMIFS('Climate Data'!$H$7:$H$366,'Climate Data'!$A$7:$A$366,Estimator!$B$4,'Climate Data'!$B$7:$B$366,C5803)</f>
        <v>6.4428571428571431</v>
      </c>
      <c r="J5803" s="86">
        <f>SUMIFS('Wind Proxy'!$H$8:$H$19,'Wind Proxy'!$A$8:$A$19,Estimator!$B$4,'Wind Proxy'!$B$8:$B$19,C5803)</f>
        <v>0</v>
      </c>
    </row>
    <row r="5804" spans="1:10" ht="14.4">
      <c r="A5804" s="84">
        <v>51455</v>
      </c>
      <c r="B5804" s="85">
        <v>2040</v>
      </c>
      <c r="C5804" s="85">
        <v>11</v>
      </c>
      <c r="D5804" s="85" t="s">
        <v>76</v>
      </c>
      <c r="E5804" s="85">
        <v>15</v>
      </c>
      <c r="F5804" s="85">
        <v>4</v>
      </c>
      <c r="G5804" s="85">
        <f>--(F5804&lt;=Estimator!$B$7)</f>
        <v>1</v>
      </c>
      <c r="H5804" s="86">
        <f>SUMIFS('Climate Data'!$G$7:$G$366,'Climate Data'!$A$7:$A$366,Estimator!$B$4,'Climate Data'!$B$7:$B$366,C5804)</f>
        <v>0.23333333333333334</v>
      </c>
      <c r="I5804" s="87">
        <f>SUMIFS('Climate Data'!$H$7:$H$366,'Climate Data'!$A$7:$A$366,Estimator!$B$4,'Climate Data'!$B$7:$B$366,C5804)</f>
        <v>6.4428571428571431</v>
      </c>
      <c r="J5804" s="86">
        <f>SUMIFS('Wind Proxy'!$H$8:$H$19,'Wind Proxy'!$A$8:$A$19,Estimator!$B$4,'Wind Proxy'!$B$8:$B$19,C5804)</f>
        <v>0</v>
      </c>
    </row>
    <row r="5805" spans="1:10" ht="14.4">
      <c r="A5805" s="84">
        <v>51456</v>
      </c>
      <c r="B5805" s="85">
        <v>2040</v>
      </c>
      <c r="C5805" s="85">
        <v>11</v>
      </c>
      <c r="D5805" s="85" t="s">
        <v>76</v>
      </c>
      <c r="E5805" s="85">
        <v>16</v>
      </c>
      <c r="F5805" s="85">
        <v>5</v>
      </c>
      <c r="G5805" s="85">
        <f>--(F5805&lt;=Estimator!$B$7)</f>
        <v>1</v>
      </c>
      <c r="H5805" s="86">
        <f>SUMIFS('Climate Data'!$G$7:$G$366,'Climate Data'!$A$7:$A$366,Estimator!$B$4,'Climate Data'!$B$7:$B$366,C5805)</f>
        <v>0.23333333333333334</v>
      </c>
      <c r="I5805" s="87">
        <f>SUMIFS('Climate Data'!$H$7:$H$366,'Climate Data'!$A$7:$A$366,Estimator!$B$4,'Climate Data'!$B$7:$B$366,C5805)</f>
        <v>6.4428571428571431</v>
      </c>
      <c r="J5805" s="86">
        <f>SUMIFS('Wind Proxy'!$H$8:$H$19,'Wind Proxy'!$A$8:$A$19,Estimator!$B$4,'Wind Proxy'!$B$8:$B$19,C5805)</f>
        <v>0</v>
      </c>
    </row>
    <row r="5806" spans="1:10" ht="14.4">
      <c r="A5806" s="84">
        <v>51457</v>
      </c>
      <c r="B5806" s="85">
        <v>2040</v>
      </c>
      <c r="C5806" s="85">
        <v>11</v>
      </c>
      <c r="D5806" s="85" t="s">
        <v>76</v>
      </c>
      <c r="E5806" s="85">
        <v>17</v>
      </c>
      <c r="F5806" s="85">
        <v>6</v>
      </c>
      <c r="G5806" s="85">
        <f>--(F5806&lt;=Estimator!$B$7)</f>
        <v>0</v>
      </c>
      <c r="H5806" s="86">
        <f>SUMIFS('Climate Data'!$G$7:$G$366,'Climate Data'!$A$7:$A$366,Estimator!$B$4,'Climate Data'!$B$7:$B$366,C5806)</f>
        <v>0.23333333333333334</v>
      </c>
      <c r="I5806" s="87">
        <f>SUMIFS('Climate Data'!$H$7:$H$366,'Climate Data'!$A$7:$A$366,Estimator!$B$4,'Climate Data'!$B$7:$B$366,C5806)</f>
        <v>6.4428571428571431</v>
      </c>
      <c r="J5806" s="86">
        <f>SUMIFS('Wind Proxy'!$H$8:$H$19,'Wind Proxy'!$A$8:$A$19,Estimator!$B$4,'Wind Proxy'!$B$8:$B$19,C5806)</f>
        <v>0</v>
      </c>
    </row>
    <row r="5807" spans="1:10" ht="14.4">
      <c r="A5807" s="84">
        <v>51458</v>
      </c>
      <c r="B5807" s="85">
        <v>2040</v>
      </c>
      <c r="C5807" s="85">
        <v>11</v>
      </c>
      <c r="D5807" s="85" t="s">
        <v>76</v>
      </c>
      <c r="E5807" s="85">
        <v>18</v>
      </c>
      <c r="F5807" s="85">
        <v>7</v>
      </c>
      <c r="G5807" s="85">
        <f>--(F5807&lt;=Estimator!$B$7)</f>
        <v>0</v>
      </c>
      <c r="H5807" s="86">
        <f>SUMIFS('Climate Data'!$G$7:$G$366,'Climate Data'!$A$7:$A$366,Estimator!$B$4,'Climate Data'!$B$7:$B$366,C5807)</f>
        <v>0.23333333333333334</v>
      </c>
      <c r="I5807" s="87">
        <f>SUMIFS('Climate Data'!$H$7:$H$366,'Climate Data'!$A$7:$A$366,Estimator!$B$4,'Climate Data'!$B$7:$B$366,C5807)</f>
        <v>6.4428571428571431</v>
      </c>
      <c r="J5807" s="86">
        <f>SUMIFS('Wind Proxy'!$H$8:$H$19,'Wind Proxy'!$A$8:$A$19,Estimator!$B$4,'Wind Proxy'!$B$8:$B$19,C5807)</f>
        <v>0</v>
      </c>
    </row>
    <row r="5808" spans="1:10" ht="14.4">
      <c r="A5808" s="84">
        <v>51459</v>
      </c>
      <c r="B5808" s="85">
        <v>2040</v>
      </c>
      <c r="C5808" s="85">
        <v>11</v>
      </c>
      <c r="D5808" s="85" t="s">
        <v>76</v>
      </c>
      <c r="E5808" s="85">
        <v>19</v>
      </c>
      <c r="F5808" s="85">
        <v>1</v>
      </c>
      <c r="G5808" s="85">
        <f>--(F5808&lt;=Estimator!$B$7)</f>
        <v>1</v>
      </c>
      <c r="H5808" s="86">
        <f>SUMIFS('Climate Data'!$G$7:$G$366,'Climate Data'!$A$7:$A$366,Estimator!$B$4,'Climate Data'!$B$7:$B$366,C5808)</f>
        <v>0.23333333333333334</v>
      </c>
      <c r="I5808" s="87">
        <f>SUMIFS('Climate Data'!$H$7:$H$366,'Climate Data'!$A$7:$A$366,Estimator!$B$4,'Climate Data'!$B$7:$B$366,C5808)</f>
        <v>6.4428571428571431</v>
      </c>
      <c r="J5808" s="86">
        <f>SUMIFS('Wind Proxy'!$H$8:$H$19,'Wind Proxy'!$A$8:$A$19,Estimator!$B$4,'Wind Proxy'!$B$8:$B$19,C5808)</f>
        <v>0</v>
      </c>
    </row>
    <row r="5809" spans="1:10" ht="14.4">
      <c r="A5809" s="84">
        <v>51460</v>
      </c>
      <c r="B5809" s="85">
        <v>2040</v>
      </c>
      <c r="C5809" s="85">
        <v>11</v>
      </c>
      <c r="D5809" s="85" t="s">
        <v>76</v>
      </c>
      <c r="E5809" s="85">
        <v>20</v>
      </c>
      <c r="F5809" s="85">
        <v>2</v>
      </c>
      <c r="G5809" s="85">
        <f>--(F5809&lt;=Estimator!$B$7)</f>
        <v>1</v>
      </c>
      <c r="H5809" s="86">
        <f>SUMIFS('Climate Data'!$G$7:$G$366,'Climate Data'!$A$7:$A$366,Estimator!$B$4,'Climate Data'!$B$7:$B$366,C5809)</f>
        <v>0.23333333333333334</v>
      </c>
      <c r="I5809" s="87">
        <f>SUMIFS('Climate Data'!$H$7:$H$366,'Climate Data'!$A$7:$A$366,Estimator!$B$4,'Climate Data'!$B$7:$B$366,C5809)</f>
        <v>6.4428571428571431</v>
      </c>
      <c r="J5809" s="86">
        <f>SUMIFS('Wind Proxy'!$H$8:$H$19,'Wind Proxy'!$A$8:$A$19,Estimator!$B$4,'Wind Proxy'!$B$8:$B$19,C5809)</f>
        <v>0</v>
      </c>
    </row>
    <row r="5810" spans="1:10" ht="14.4">
      <c r="A5810" s="84">
        <v>51461</v>
      </c>
      <c r="B5810" s="85">
        <v>2040</v>
      </c>
      <c r="C5810" s="85">
        <v>11</v>
      </c>
      <c r="D5810" s="85" t="s">
        <v>76</v>
      </c>
      <c r="E5810" s="85">
        <v>21</v>
      </c>
      <c r="F5810" s="85">
        <v>3</v>
      </c>
      <c r="G5810" s="85">
        <f>--(F5810&lt;=Estimator!$B$7)</f>
        <v>1</v>
      </c>
      <c r="H5810" s="86">
        <f>SUMIFS('Climate Data'!$G$7:$G$366,'Climate Data'!$A$7:$A$366,Estimator!$B$4,'Climate Data'!$B$7:$B$366,C5810)</f>
        <v>0.23333333333333334</v>
      </c>
      <c r="I5810" s="87">
        <f>SUMIFS('Climate Data'!$H$7:$H$366,'Climate Data'!$A$7:$A$366,Estimator!$B$4,'Climate Data'!$B$7:$B$366,C5810)</f>
        <v>6.4428571428571431</v>
      </c>
      <c r="J5810" s="86">
        <f>SUMIFS('Wind Proxy'!$H$8:$H$19,'Wind Proxy'!$A$8:$A$19,Estimator!$B$4,'Wind Proxy'!$B$8:$B$19,C5810)</f>
        <v>0</v>
      </c>
    </row>
    <row r="5811" spans="1:10" ht="14.4">
      <c r="A5811" s="84">
        <v>51462</v>
      </c>
      <c r="B5811" s="85">
        <v>2040</v>
      </c>
      <c r="C5811" s="85">
        <v>11</v>
      </c>
      <c r="D5811" s="85" t="s">
        <v>76</v>
      </c>
      <c r="E5811" s="85">
        <v>22</v>
      </c>
      <c r="F5811" s="85">
        <v>4</v>
      </c>
      <c r="G5811" s="85">
        <f>--(F5811&lt;=Estimator!$B$7)</f>
        <v>1</v>
      </c>
      <c r="H5811" s="86">
        <f>SUMIFS('Climate Data'!$G$7:$G$366,'Climate Data'!$A$7:$A$366,Estimator!$B$4,'Climate Data'!$B$7:$B$366,C5811)</f>
        <v>0.23333333333333334</v>
      </c>
      <c r="I5811" s="87">
        <f>SUMIFS('Climate Data'!$H$7:$H$366,'Climate Data'!$A$7:$A$366,Estimator!$B$4,'Climate Data'!$B$7:$B$366,C5811)</f>
        <v>6.4428571428571431</v>
      </c>
      <c r="J5811" s="86">
        <f>SUMIFS('Wind Proxy'!$H$8:$H$19,'Wind Proxy'!$A$8:$A$19,Estimator!$B$4,'Wind Proxy'!$B$8:$B$19,C5811)</f>
        <v>0</v>
      </c>
    </row>
    <row r="5812" spans="1:10" ht="14.4">
      <c r="A5812" s="84">
        <v>51463</v>
      </c>
      <c r="B5812" s="85">
        <v>2040</v>
      </c>
      <c r="C5812" s="85">
        <v>11</v>
      </c>
      <c r="D5812" s="85" t="s">
        <v>76</v>
      </c>
      <c r="E5812" s="85">
        <v>23</v>
      </c>
      <c r="F5812" s="85">
        <v>5</v>
      </c>
      <c r="G5812" s="85">
        <f>--(F5812&lt;=Estimator!$B$7)</f>
        <v>1</v>
      </c>
      <c r="H5812" s="86">
        <f>SUMIFS('Climate Data'!$G$7:$G$366,'Climate Data'!$A$7:$A$366,Estimator!$B$4,'Climate Data'!$B$7:$B$366,C5812)</f>
        <v>0.23333333333333334</v>
      </c>
      <c r="I5812" s="87">
        <f>SUMIFS('Climate Data'!$H$7:$H$366,'Climate Data'!$A$7:$A$366,Estimator!$B$4,'Climate Data'!$B$7:$B$366,C5812)</f>
        <v>6.4428571428571431</v>
      </c>
      <c r="J5812" s="86">
        <f>SUMIFS('Wind Proxy'!$H$8:$H$19,'Wind Proxy'!$A$8:$A$19,Estimator!$B$4,'Wind Proxy'!$B$8:$B$19,C5812)</f>
        <v>0</v>
      </c>
    </row>
    <row r="5813" spans="1:10" ht="14.4">
      <c r="A5813" s="84">
        <v>51464</v>
      </c>
      <c r="B5813" s="85">
        <v>2040</v>
      </c>
      <c r="C5813" s="85">
        <v>11</v>
      </c>
      <c r="D5813" s="85" t="s">
        <v>76</v>
      </c>
      <c r="E5813" s="85">
        <v>24</v>
      </c>
      <c r="F5813" s="85">
        <v>6</v>
      </c>
      <c r="G5813" s="85">
        <f>--(F5813&lt;=Estimator!$B$7)</f>
        <v>0</v>
      </c>
      <c r="H5813" s="86">
        <f>SUMIFS('Climate Data'!$G$7:$G$366,'Climate Data'!$A$7:$A$366,Estimator!$B$4,'Climate Data'!$B$7:$B$366,C5813)</f>
        <v>0.23333333333333334</v>
      </c>
      <c r="I5813" s="87">
        <f>SUMIFS('Climate Data'!$H$7:$H$366,'Climate Data'!$A$7:$A$366,Estimator!$B$4,'Climate Data'!$B$7:$B$366,C5813)</f>
        <v>6.4428571428571431</v>
      </c>
      <c r="J5813" s="86">
        <f>SUMIFS('Wind Proxy'!$H$8:$H$19,'Wind Proxy'!$A$8:$A$19,Estimator!$B$4,'Wind Proxy'!$B$8:$B$19,C5813)</f>
        <v>0</v>
      </c>
    </row>
    <row r="5814" spans="1:10" ht="14.4">
      <c r="A5814" s="84">
        <v>51465</v>
      </c>
      <c r="B5814" s="85">
        <v>2040</v>
      </c>
      <c r="C5814" s="85">
        <v>11</v>
      </c>
      <c r="D5814" s="85" t="s">
        <v>76</v>
      </c>
      <c r="E5814" s="85">
        <v>25</v>
      </c>
      <c r="F5814" s="85">
        <v>7</v>
      </c>
      <c r="G5814" s="85">
        <f>--(F5814&lt;=Estimator!$B$7)</f>
        <v>0</v>
      </c>
      <c r="H5814" s="86">
        <f>SUMIFS('Climate Data'!$G$7:$G$366,'Climate Data'!$A$7:$A$366,Estimator!$B$4,'Climate Data'!$B$7:$B$366,C5814)</f>
        <v>0.23333333333333334</v>
      </c>
      <c r="I5814" s="87">
        <f>SUMIFS('Climate Data'!$H$7:$H$366,'Climate Data'!$A$7:$A$366,Estimator!$B$4,'Climate Data'!$B$7:$B$366,C5814)</f>
        <v>6.4428571428571431</v>
      </c>
      <c r="J5814" s="86">
        <f>SUMIFS('Wind Proxy'!$H$8:$H$19,'Wind Proxy'!$A$8:$A$19,Estimator!$B$4,'Wind Proxy'!$B$8:$B$19,C5814)</f>
        <v>0</v>
      </c>
    </row>
    <row r="5815" spans="1:10" ht="14.4">
      <c r="A5815" s="84">
        <v>51466</v>
      </c>
      <c r="B5815" s="85">
        <v>2040</v>
      </c>
      <c r="C5815" s="85">
        <v>11</v>
      </c>
      <c r="D5815" s="85" t="s">
        <v>76</v>
      </c>
      <c r="E5815" s="85">
        <v>26</v>
      </c>
      <c r="F5815" s="85">
        <v>1</v>
      </c>
      <c r="G5815" s="85">
        <f>--(F5815&lt;=Estimator!$B$7)</f>
        <v>1</v>
      </c>
      <c r="H5815" s="86">
        <f>SUMIFS('Climate Data'!$G$7:$G$366,'Climate Data'!$A$7:$A$366,Estimator!$B$4,'Climate Data'!$B$7:$B$366,C5815)</f>
        <v>0.23333333333333334</v>
      </c>
      <c r="I5815" s="87">
        <f>SUMIFS('Climate Data'!$H$7:$H$366,'Climate Data'!$A$7:$A$366,Estimator!$B$4,'Climate Data'!$B$7:$B$366,C5815)</f>
        <v>6.4428571428571431</v>
      </c>
      <c r="J5815" s="86">
        <f>SUMIFS('Wind Proxy'!$H$8:$H$19,'Wind Proxy'!$A$8:$A$19,Estimator!$B$4,'Wind Proxy'!$B$8:$B$19,C5815)</f>
        <v>0</v>
      </c>
    </row>
    <row r="5816" spans="1:10" ht="14.4">
      <c r="A5816" s="84">
        <v>51467</v>
      </c>
      <c r="B5816" s="85">
        <v>2040</v>
      </c>
      <c r="C5816" s="85">
        <v>11</v>
      </c>
      <c r="D5816" s="85" t="s">
        <v>76</v>
      </c>
      <c r="E5816" s="85">
        <v>27</v>
      </c>
      <c r="F5816" s="85">
        <v>2</v>
      </c>
      <c r="G5816" s="85">
        <f>--(F5816&lt;=Estimator!$B$7)</f>
        <v>1</v>
      </c>
      <c r="H5816" s="86">
        <f>SUMIFS('Climate Data'!$G$7:$G$366,'Climate Data'!$A$7:$A$366,Estimator!$B$4,'Climate Data'!$B$7:$B$366,C5816)</f>
        <v>0.23333333333333334</v>
      </c>
      <c r="I5816" s="87">
        <f>SUMIFS('Climate Data'!$H$7:$H$366,'Climate Data'!$A$7:$A$366,Estimator!$B$4,'Climate Data'!$B$7:$B$366,C5816)</f>
        <v>6.4428571428571431</v>
      </c>
      <c r="J5816" s="86">
        <f>SUMIFS('Wind Proxy'!$H$8:$H$19,'Wind Proxy'!$A$8:$A$19,Estimator!$B$4,'Wind Proxy'!$B$8:$B$19,C5816)</f>
        <v>0</v>
      </c>
    </row>
    <row r="5817" spans="1:10" ht="14.4">
      <c r="A5817" s="84">
        <v>51468</v>
      </c>
      <c r="B5817" s="85">
        <v>2040</v>
      </c>
      <c r="C5817" s="85">
        <v>11</v>
      </c>
      <c r="D5817" s="85" t="s">
        <v>76</v>
      </c>
      <c r="E5817" s="85">
        <v>28</v>
      </c>
      <c r="F5817" s="85">
        <v>3</v>
      </c>
      <c r="G5817" s="85">
        <f>--(F5817&lt;=Estimator!$B$7)</f>
        <v>1</v>
      </c>
      <c r="H5817" s="86">
        <f>SUMIFS('Climate Data'!$G$7:$G$366,'Climate Data'!$A$7:$A$366,Estimator!$B$4,'Climate Data'!$B$7:$B$366,C5817)</f>
        <v>0.23333333333333334</v>
      </c>
      <c r="I5817" s="87">
        <f>SUMIFS('Climate Data'!$H$7:$H$366,'Climate Data'!$A$7:$A$366,Estimator!$B$4,'Climate Data'!$B$7:$B$366,C5817)</f>
        <v>6.4428571428571431</v>
      </c>
      <c r="J5817" s="86">
        <f>SUMIFS('Wind Proxy'!$H$8:$H$19,'Wind Proxy'!$A$8:$A$19,Estimator!$B$4,'Wind Proxy'!$B$8:$B$19,C5817)</f>
        <v>0</v>
      </c>
    </row>
    <row r="5818" spans="1:10" ht="14.4">
      <c r="A5818" s="84">
        <v>51469</v>
      </c>
      <c r="B5818" s="85">
        <v>2040</v>
      </c>
      <c r="C5818" s="85">
        <v>11</v>
      </c>
      <c r="D5818" s="85" t="s">
        <v>76</v>
      </c>
      <c r="E5818" s="85">
        <v>29</v>
      </c>
      <c r="F5818" s="85">
        <v>4</v>
      </c>
      <c r="G5818" s="85">
        <f>--(F5818&lt;=Estimator!$B$7)</f>
        <v>1</v>
      </c>
      <c r="H5818" s="86">
        <f>SUMIFS('Climate Data'!$G$7:$G$366,'Climate Data'!$A$7:$A$366,Estimator!$B$4,'Climate Data'!$B$7:$B$366,C5818)</f>
        <v>0.23333333333333334</v>
      </c>
      <c r="I5818" s="87">
        <f>SUMIFS('Climate Data'!$H$7:$H$366,'Climate Data'!$A$7:$A$366,Estimator!$B$4,'Climate Data'!$B$7:$B$366,C5818)</f>
        <v>6.4428571428571431</v>
      </c>
      <c r="J5818" s="86">
        <f>SUMIFS('Wind Proxy'!$H$8:$H$19,'Wind Proxy'!$A$8:$A$19,Estimator!$B$4,'Wind Proxy'!$B$8:$B$19,C5818)</f>
        <v>0</v>
      </c>
    </row>
    <row r="5819" spans="1:10" ht="14.4">
      <c r="A5819" s="84">
        <v>51470</v>
      </c>
      <c r="B5819" s="85">
        <v>2040</v>
      </c>
      <c r="C5819" s="85">
        <v>11</v>
      </c>
      <c r="D5819" s="85" t="s">
        <v>76</v>
      </c>
      <c r="E5819" s="85">
        <v>30</v>
      </c>
      <c r="F5819" s="85">
        <v>5</v>
      </c>
      <c r="G5819" s="85">
        <f>--(F5819&lt;=Estimator!$B$7)</f>
        <v>1</v>
      </c>
      <c r="H5819" s="86">
        <f>SUMIFS('Climate Data'!$G$7:$G$366,'Climate Data'!$A$7:$A$366,Estimator!$B$4,'Climate Data'!$B$7:$B$366,C5819)</f>
        <v>0.23333333333333334</v>
      </c>
      <c r="I5819" s="87">
        <f>SUMIFS('Climate Data'!$H$7:$H$366,'Climate Data'!$A$7:$A$366,Estimator!$B$4,'Climate Data'!$B$7:$B$366,C5819)</f>
        <v>6.4428571428571431</v>
      </c>
      <c r="J5819" s="86">
        <f>SUMIFS('Wind Proxy'!$H$8:$H$19,'Wind Proxy'!$A$8:$A$19,Estimator!$B$4,'Wind Proxy'!$B$8:$B$19,C5819)</f>
        <v>0</v>
      </c>
    </row>
    <row r="5820" spans="1:10" ht="14.4">
      <c r="A5820" s="84">
        <v>51471</v>
      </c>
      <c r="B5820" s="85">
        <v>2040</v>
      </c>
      <c r="C5820" s="85">
        <v>12</v>
      </c>
      <c r="D5820" s="85" t="s">
        <v>77</v>
      </c>
      <c r="E5820" s="85">
        <v>1</v>
      </c>
      <c r="F5820" s="85">
        <v>6</v>
      </c>
      <c r="G5820" s="85">
        <f>--(F5820&lt;=Estimator!$B$7)</f>
        <v>0</v>
      </c>
      <c r="H5820" s="86">
        <f>SUMIFS('Climate Data'!$G$7:$G$366,'Climate Data'!$A$7:$A$366,Estimator!$B$4,'Climate Data'!$B$7:$B$366,C5820)</f>
        <v>0.22688172043010751</v>
      </c>
      <c r="I5820" s="87">
        <f>SUMIFS('Climate Data'!$H$7:$H$366,'Climate Data'!$A$7:$A$366,Estimator!$B$4,'Climate Data'!$B$7:$B$366,C5820)</f>
        <v>6.7962085308056865</v>
      </c>
      <c r="J5820" s="86">
        <f>SUMIFS('Wind Proxy'!$H$8:$H$19,'Wind Proxy'!$A$8:$A$19,Estimator!$B$4,'Wind Proxy'!$B$8:$B$19,C5820)</f>
        <v>0</v>
      </c>
    </row>
    <row r="5821" spans="1:10" ht="14.4">
      <c r="A5821" s="84">
        <v>51472</v>
      </c>
      <c r="B5821" s="85">
        <v>2040</v>
      </c>
      <c r="C5821" s="85">
        <v>12</v>
      </c>
      <c r="D5821" s="85" t="s">
        <v>77</v>
      </c>
      <c r="E5821" s="85">
        <v>2</v>
      </c>
      <c r="F5821" s="85">
        <v>7</v>
      </c>
      <c r="G5821" s="85">
        <f>--(F5821&lt;=Estimator!$B$7)</f>
        <v>0</v>
      </c>
      <c r="H5821" s="86">
        <f>SUMIFS('Climate Data'!$G$7:$G$366,'Climate Data'!$A$7:$A$366,Estimator!$B$4,'Climate Data'!$B$7:$B$366,C5821)</f>
        <v>0.22688172043010751</v>
      </c>
      <c r="I5821" s="87">
        <f>SUMIFS('Climate Data'!$H$7:$H$366,'Climate Data'!$A$7:$A$366,Estimator!$B$4,'Climate Data'!$B$7:$B$366,C5821)</f>
        <v>6.7962085308056865</v>
      </c>
      <c r="J5821" s="86">
        <f>SUMIFS('Wind Proxy'!$H$8:$H$19,'Wind Proxy'!$A$8:$A$19,Estimator!$B$4,'Wind Proxy'!$B$8:$B$19,C5821)</f>
        <v>0</v>
      </c>
    </row>
    <row r="5822" spans="1:10" ht="14.4">
      <c r="A5822" s="84">
        <v>51473</v>
      </c>
      <c r="B5822" s="85">
        <v>2040</v>
      </c>
      <c r="C5822" s="85">
        <v>12</v>
      </c>
      <c r="D5822" s="85" t="s">
        <v>77</v>
      </c>
      <c r="E5822" s="85">
        <v>3</v>
      </c>
      <c r="F5822" s="85">
        <v>1</v>
      </c>
      <c r="G5822" s="85">
        <f>--(F5822&lt;=Estimator!$B$7)</f>
        <v>1</v>
      </c>
      <c r="H5822" s="86">
        <f>SUMIFS('Climate Data'!$G$7:$G$366,'Climate Data'!$A$7:$A$366,Estimator!$B$4,'Climate Data'!$B$7:$B$366,C5822)</f>
        <v>0.22688172043010751</v>
      </c>
      <c r="I5822" s="87">
        <f>SUMIFS('Climate Data'!$H$7:$H$366,'Climate Data'!$A$7:$A$366,Estimator!$B$4,'Climate Data'!$B$7:$B$366,C5822)</f>
        <v>6.7962085308056865</v>
      </c>
      <c r="J5822" s="86">
        <f>SUMIFS('Wind Proxy'!$H$8:$H$19,'Wind Proxy'!$A$8:$A$19,Estimator!$B$4,'Wind Proxy'!$B$8:$B$19,C5822)</f>
        <v>0</v>
      </c>
    </row>
    <row r="5823" spans="1:10" ht="14.4">
      <c r="A5823" s="84">
        <v>51474</v>
      </c>
      <c r="B5823" s="85">
        <v>2040</v>
      </c>
      <c r="C5823" s="85">
        <v>12</v>
      </c>
      <c r="D5823" s="85" t="s">
        <v>77</v>
      </c>
      <c r="E5823" s="85">
        <v>4</v>
      </c>
      <c r="F5823" s="85">
        <v>2</v>
      </c>
      <c r="G5823" s="85">
        <f>--(F5823&lt;=Estimator!$B$7)</f>
        <v>1</v>
      </c>
      <c r="H5823" s="86">
        <f>SUMIFS('Climate Data'!$G$7:$G$366,'Climate Data'!$A$7:$A$366,Estimator!$B$4,'Climate Data'!$B$7:$B$366,C5823)</f>
        <v>0.22688172043010751</v>
      </c>
      <c r="I5823" s="87">
        <f>SUMIFS('Climate Data'!$H$7:$H$366,'Climate Data'!$A$7:$A$366,Estimator!$B$4,'Climate Data'!$B$7:$B$366,C5823)</f>
        <v>6.7962085308056865</v>
      </c>
      <c r="J5823" s="86">
        <f>SUMIFS('Wind Proxy'!$H$8:$H$19,'Wind Proxy'!$A$8:$A$19,Estimator!$B$4,'Wind Proxy'!$B$8:$B$19,C5823)</f>
        <v>0</v>
      </c>
    </row>
    <row r="5824" spans="1:10" ht="14.4">
      <c r="A5824" s="84">
        <v>51475</v>
      </c>
      <c r="B5824" s="85">
        <v>2040</v>
      </c>
      <c r="C5824" s="85">
        <v>12</v>
      </c>
      <c r="D5824" s="85" t="s">
        <v>77</v>
      </c>
      <c r="E5824" s="85">
        <v>5</v>
      </c>
      <c r="F5824" s="85">
        <v>3</v>
      </c>
      <c r="G5824" s="85">
        <f>--(F5824&lt;=Estimator!$B$7)</f>
        <v>1</v>
      </c>
      <c r="H5824" s="86">
        <f>SUMIFS('Climate Data'!$G$7:$G$366,'Climate Data'!$A$7:$A$366,Estimator!$B$4,'Climate Data'!$B$7:$B$366,C5824)</f>
        <v>0.22688172043010751</v>
      </c>
      <c r="I5824" s="87">
        <f>SUMIFS('Climate Data'!$H$7:$H$366,'Climate Data'!$A$7:$A$366,Estimator!$B$4,'Climate Data'!$B$7:$B$366,C5824)</f>
        <v>6.7962085308056865</v>
      </c>
      <c r="J5824" s="86">
        <f>SUMIFS('Wind Proxy'!$H$8:$H$19,'Wind Proxy'!$A$8:$A$19,Estimator!$B$4,'Wind Proxy'!$B$8:$B$19,C5824)</f>
        <v>0</v>
      </c>
    </row>
    <row r="5825" spans="1:10" ht="14.4">
      <c r="A5825" s="84">
        <v>51476</v>
      </c>
      <c r="B5825" s="85">
        <v>2040</v>
      </c>
      <c r="C5825" s="85">
        <v>12</v>
      </c>
      <c r="D5825" s="85" t="s">
        <v>77</v>
      </c>
      <c r="E5825" s="85">
        <v>6</v>
      </c>
      <c r="F5825" s="85">
        <v>4</v>
      </c>
      <c r="G5825" s="85">
        <f>--(F5825&lt;=Estimator!$B$7)</f>
        <v>1</v>
      </c>
      <c r="H5825" s="86">
        <f>SUMIFS('Climate Data'!$G$7:$G$366,'Climate Data'!$A$7:$A$366,Estimator!$B$4,'Climate Data'!$B$7:$B$366,C5825)</f>
        <v>0.22688172043010751</v>
      </c>
      <c r="I5825" s="87">
        <f>SUMIFS('Climate Data'!$H$7:$H$366,'Climate Data'!$A$7:$A$366,Estimator!$B$4,'Climate Data'!$B$7:$B$366,C5825)</f>
        <v>6.7962085308056865</v>
      </c>
      <c r="J5825" s="86">
        <f>SUMIFS('Wind Proxy'!$H$8:$H$19,'Wind Proxy'!$A$8:$A$19,Estimator!$B$4,'Wind Proxy'!$B$8:$B$19,C5825)</f>
        <v>0</v>
      </c>
    </row>
    <row r="5826" spans="1:10" ht="14.4">
      <c r="A5826" s="84">
        <v>51477</v>
      </c>
      <c r="B5826" s="85">
        <v>2040</v>
      </c>
      <c r="C5826" s="85">
        <v>12</v>
      </c>
      <c r="D5826" s="85" t="s">
        <v>77</v>
      </c>
      <c r="E5826" s="85">
        <v>7</v>
      </c>
      <c r="F5826" s="85">
        <v>5</v>
      </c>
      <c r="G5826" s="85">
        <f>--(F5826&lt;=Estimator!$B$7)</f>
        <v>1</v>
      </c>
      <c r="H5826" s="86">
        <f>SUMIFS('Climate Data'!$G$7:$G$366,'Climate Data'!$A$7:$A$366,Estimator!$B$4,'Climate Data'!$B$7:$B$366,C5826)</f>
        <v>0.22688172043010751</v>
      </c>
      <c r="I5826" s="87">
        <f>SUMIFS('Climate Data'!$H$7:$H$366,'Climate Data'!$A$7:$A$366,Estimator!$B$4,'Climate Data'!$B$7:$B$366,C5826)</f>
        <v>6.7962085308056865</v>
      </c>
      <c r="J5826" s="86">
        <f>SUMIFS('Wind Proxy'!$H$8:$H$19,'Wind Proxy'!$A$8:$A$19,Estimator!$B$4,'Wind Proxy'!$B$8:$B$19,C5826)</f>
        <v>0</v>
      </c>
    </row>
    <row r="5827" spans="1:10" ht="14.4">
      <c r="A5827" s="84">
        <v>51478</v>
      </c>
      <c r="B5827" s="85">
        <v>2040</v>
      </c>
      <c r="C5827" s="85">
        <v>12</v>
      </c>
      <c r="D5827" s="85" t="s">
        <v>77</v>
      </c>
      <c r="E5827" s="85">
        <v>8</v>
      </c>
      <c r="F5827" s="85">
        <v>6</v>
      </c>
      <c r="G5827" s="85">
        <f>--(F5827&lt;=Estimator!$B$7)</f>
        <v>0</v>
      </c>
      <c r="H5827" s="86">
        <f>SUMIFS('Climate Data'!$G$7:$G$366,'Climate Data'!$A$7:$A$366,Estimator!$B$4,'Climate Data'!$B$7:$B$366,C5827)</f>
        <v>0.22688172043010751</v>
      </c>
      <c r="I5827" s="87">
        <f>SUMIFS('Climate Data'!$H$7:$H$366,'Climate Data'!$A$7:$A$366,Estimator!$B$4,'Climate Data'!$B$7:$B$366,C5827)</f>
        <v>6.7962085308056865</v>
      </c>
      <c r="J5827" s="86">
        <f>SUMIFS('Wind Proxy'!$H$8:$H$19,'Wind Proxy'!$A$8:$A$19,Estimator!$B$4,'Wind Proxy'!$B$8:$B$19,C5827)</f>
        <v>0</v>
      </c>
    </row>
    <row r="5828" spans="1:10" ht="14.4">
      <c r="A5828" s="84">
        <v>51479</v>
      </c>
      <c r="B5828" s="85">
        <v>2040</v>
      </c>
      <c r="C5828" s="85">
        <v>12</v>
      </c>
      <c r="D5828" s="85" t="s">
        <v>77</v>
      </c>
      <c r="E5828" s="85">
        <v>9</v>
      </c>
      <c r="F5828" s="85">
        <v>7</v>
      </c>
      <c r="G5828" s="85">
        <f>--(F5828&lt;=Estimator!$B$7)</f>
        <v>0</v>
      </c>
      <c r="H5828" s="86">
        <f>SUMIFS('Climate Data'!$G$7:$G$366,'Climate Data'!$A$7:$A$366,Estimator!$B$4,'Climate Data'!$B$7:$B$366,C5828)</f>
        <v>0.22688172043010751</v>
      </c>
      <c r="I5828" s="87">
        <f>SUMIFS('Climate Data'!$H$7:$H$366,'Climate Data'!$A$7:$A$366,Estimator!$B$4,'Climate Data'!$B$7:$B$366,C5828)</f>
        <v>6.7962085308056865</v>
      </c>
      <c r="J5828" s="86">
        <f>SUMIFS('Wind Proxy'!$H$8:$H$19,'Wind Proxy'!$A$8:$A$19,Estimator!$B$4,'Wind Proxy'!$B$8:$B$19,C5828)</f>
        <v>0</v>
      </c>
    </row>
    <row r="5829" spans="1:10" ht="14.4">
      <c r="A5829" s="84">
        <v>51480</v>
      </c>
      <c r="B5829" s="85">
        <v>2040</v>
      </c>
      <c r="C5829" s="85">
        <v>12</v>
      </c>
      <c r="D5829" s="85" t="s">
        <v>77</v>
      </c>
      <c r="E5829" s="85">
        <v>10</v>
      </c>
      <c r="F5829" s="85">
        <v>1</v>
      </c>
      <c r="G5829" s="85">
        <f>--(F5829&lt;=Estimator!$B$7)</f>
        <v>1</v>
      </c>
      <c r="H5829" s="86">
        <f>SUMIFS('Climate Data'!$G$7:$G$366,'Climate Data'!$A$7:$A$366,Estimator!$B$4,'Climate Data'!$B$7:$B$366,C5829)</f>
        <v>0.22688172043010751</v>
      </c>
      <c r="I5829" s="87">
        <f>SUMIFS('Climate Data'!$H$7:$H$366,'Climate Data'!$A$7:$A$366,Estimator!$B$4,'Climate Data'!$B$7:$B$366,C5829)</f>
        <v>6.7962085308056865</v>
      </c>
      <c r="J5829" s="86">
        <f>SUMIFS('Wind Proxy'!$H$8:$H$19,'Wind Proxy'!$A$8:$A$19,Estimator!$B$4,'Wind Proxy'!$B$8:$B$19,C5829)</f>
        <v>0</v>
      </c>
    </row>
    <row r="5830" spans="1:10" ht="14.4">
      <c r="A5830" s="84">
        <v>51481</v>
      </c>
      <c r="B5830" s="85">
        <v>2040</v>
      </c>
      <c r="C5830" s="85">
        <v>12</v>
      </c>
      <c r="D5830" s="85" t="s">
        <v>77</v>
      </c>
      <c r="E5830" s="85">
        <v>11</v>
      </c>
      <c r="F5830" s="85">
        <v>2</v>
      </c>
      <c r="G5830" s="85">
        <f>--(F5830&lt;=Estimator!$B$7)</f>
        <v>1</v>
      </c>
      <c r="H5830" s="86">
        <f>SUMIFS('Climate Data'!$G$7:$G$366,'Climate Data'!$A$7:$A$366,Estimator!$B$4,'Climate Data'!$B$7:$B$366,C5830)</f>
        <v>0.22688172043010751</v>
      </c>
      <c r="I5830" s="87">
        <f>SUMIFS('Climate Data'!$H$7:$H$366,'Climate Data'!$A$7:$A$366,Estimator!$B$4,'Climate Data'!$B$7:$B$366,C5830)</f>
        <v>6.7962085308056865</v>
      </c>
      <c r="J5830" s="86">
        <f>SUMIFS('Wind Proxy'!$H$8:$H$19,'Wind Proxy'!$A$8:$A$19,Estimator!$B$4,'Wind Proxy'!$B$8:$B$19,C5830)</f>
        <v>0</v>
      </c>
    </row>
    <row r="5831" spans="1:10" ht="14.4">
      <c r="A5831" s="84">
        <v>51482</v>
      </c>
      <c r="B5831" s="85">
        <v>2040</v>
      </c>
      <c r="C5831" s="85">
        <v>12</v>
      </c>
      <c r="D5831" s="85" t="s">
        <v>77</v>
      </c>
      <c r="E5831" s="85">
        <v>12</v>
      </c>
      <c r="F5831" s="85">
        <v>3</v>
      </c>
      <c r="G5831" s="85">
        <f>--(F5831&lt;=Estimator!$B$7)</f>
        <v>1</v>
      </c>
      <c r="H5831" s="86">
        <f>SUMIFS('Climate Data'!$G$7:$G$366,'Climate Data'!$A$7:$A$366,Estimator!$B$4,'Climate Data'!$B$7:$B$366,C5831)</f>
        <v>0.22688172043010751</v>
      </c>
      <c r="I5831" s="87">
        <f>SUMIFS('Climate Data'!$H$7:$H$366,'Climate Data'!$A$7:$A$366,Estimator!$B$4,'Climate Data'!$B$7:$B$366,C5831)</f>
        <v>6.7962085308056865</v>
      </c>
      <c r="J5831" s="86">
        <f>SUMIFS('Wind Proxy'!$H$8:$H$19,'Wind Proxy'!$A$8:$A$19,Estimator!$B$4,'Wind Proxy'!$B$8:$B$19,C5831)</f>
        <v>0</v>
      </c>
    </row>
    <row r="5832" spans="1:10" ht="14.4">
      <c r="A5832" s="84">
        <v>51483</v>
      </c>
      <c r="B5832" s="85">
        <v>2040</v>
      </c>
      <c r="C5832" s="85">
        <v>12</v>
      </c>
      <c r="D5832" s="85" t="s">
        <v>77</v>
      </c>
      <c r="E5832" s="85">
        <v>13</v>
      </c>
      <c r="F5832" s="85">
        <v>4</v>
      </c>
      <c r="G5832" s="85">
        <f>--(F5832&lt;=Estimator!$B$7)</f>
        <v>1</v>
      </c>
      <c r="H5832" s="86">
        <f>SUMIFS('Climate Data'!$G$7:$G$366,'Climate Data'!$A$7:$A$366,Estimator!$B$4,'Climate Data'!$B$7:$B$366,C5832)</f>
        <v>0.22688172043010751</v>
      </c>
      <c r="I5832" s="87">
        <f>SUMIFS('Climate Data'!$H$7:$H$366,'Climate Data'!$A$7:$A$366,Estimator!$B$4,'Climate Data'!$B$7:$B$366,C5832)</f>
        <v>6.7962085308056865</v>
      </c>
      <c r="J5832" s="86">
        <f>SUMIFS('Wind Proxy'!$H$8:$H$19,'Wind Proxy'!$A$8:$A$19,Estimator!$B$4,'Wind Proxy'!$B$8:$B$19,C5832)</f>
        <v>0</v>
      </c>
    </row>
    <row r="5833" spans="1:10" ht="14.4">
      <c r="A5833" s="84">
        <v>51484</v>
      </c>
      <c r="B5833" s="85">
        <v>2040</v>
      </c>
      <c r="C5833" s="85">
        <v>12</v>
      </c>
      <c r="D5833" s="85" t="s">
        <v>77</v>
      </c>
      <c r="E5833" s="85">
        <v>14</v>
      </c>
      <c r="F5833" s="85">
        <v>5</v>
      </c>
      <c r="G5833" s="85">
        <f>--(F5833&lt;=Estimator!$B$7)</f>
        <v>1</v>
      </c>
      <c r="H5833" s="86">
        <f>SUMIFS('Climate Data'!$G$7:$G$366,'Climate Data'!$A$7:$A$366,Estimator!$B$4,'Climate Data'!$B$7:$B$366,C5833)</f>
        <v>0.22688172043010751</v>
      </c>
      <c r="I5833" s="87">
        <f>SUMIFS('Climate Data'!$H$7:$H$366,'Climate Data'!$A$7:$A$366,Estimator!$B$4,'Climate Data'!$B$7:$B$366,C5833)</f>
        <v>6.7962085308056865</v>
      </c>
      <c r="J5833" s="86">
        <f>SUMIFS('Wind Proxy'!$H$8:$H$19,'Wind Proxy'!$A$8:$A$19,Estimator!$B$4,'Wind Proxy'!$B$8:$B$19,C5833)</f>
        <v>0</v>
      </c>
    </row>
    <row r="5834" spans="1:10" ht="14.4">
      <c r="A5834" s="84">
        <v>51485</v>
      </c>
      <c r="B5834" s="85">
        <v>2040</v>
      </c>
      <c r="C5834" s="85">
        <v>12</v>
      </c>
      <c r="D5834" s="85" t="s">
        <v>77</v>
      </c>
      <c r="E5834" s="85">
        <v>15</v>
      </c>
      <c r="F5834" s="85">
        <v>6</v>
      </c>
      <c r="G5834" s="85">
        <f>--(F5834&lt;=Estimator!$B$7)</f>
        <v>0</v>
      </c>
      <c r="H5834" s="86">
        <f>SUMIFS('Climate Data'!$G$7:$G$366,'Climate Data'!$A$7:$A$366,Estimator!$B$4,'Climate Data'!$B$7:$B$366,C5834)</f>
        <v>0.22688172043010751</v>
      </c>
      <c r="I5834" s="87">
        <f>SUMIFS('Climate Data'!$H$7:$H$366,'Climate Data'!$A$7:$A$366,Estimator!$B$4,'Climate Data'!$B$7:$B$366,C5834)</f>
        <v>6.7962085308056865</v>
      </c>
      <c r="J5834" s="86">
        <f>SUMIFS('Wind Proxy'!$H$8:$H$19,'Wind Proxy'!$A$8:$A$19,Estimator!$B$4,'Wind Proxy'!$B$8:$B$19,C5834)</f>
        <v>0</v>
      </c>
    </row>
    <row r="5835" spans="1:10" ht="14.4">
      <c r="A5835" s="84">
        <v>51486</v>
      </c>
      <c r="B5835" s="85">
        <v>2040</v>
      </c>
      <c r="C5835" s="85">
        <v>12</v>
      </c>
      <c r="D5835" s="85" t="s">
        <v>77</v>
      </c>
      <c r="E5835" s="85">
        <v>16</v>
      </c>
      <c r="F5835" s="85">
        <v>7</v>
      </c>
      <c r="G5835" s="85">
        <f>--(F5835&lt;=Estimator!$B$7)</f>
        <v>0</v>
      </c>
      <c r="H5835" s="86">
        <f>SUMIFS('Climate Data'!$G$7:$G$366,'Climate Data'!$A$7:$A$366,Estimator!$B$4,'Climate Data'!$B$7:$B$366,C5835)</f>
        <v>0.22688172043010751</v>
      </c>
      <c r="I5835" s="87">
        <f>SUMIFS('Climate Data'!$H$7:$H$366,'Climate Data'!$A$7:$A$366,Estimator!$B$4,'Climate Data'!$B$7:$B$366,C5835)</f>
        <v>6.7962085308056865</v>
      </c>
      <c r="J5835" s="86">
        <f>SUMIFS('Wind Proxy'!$H$8:$H$19,'Wind Proxy'!$A$8:$A$19,Estimator!$B$4,'Wind Proxy'!$B$8:$B$19,C5835)</f>
        <v>0</v>
      </c>
    </row>
    <row r="5836" spans="1:10" ht="14.4">
      <c r="A5836" s="84">
        <v>51487</v>
      </c>
      <c r="B5836" s="85">
        <v>2040</v>
      </c>
      <c r="C5836" s="85">
        <v>12</v>
      </c>
      <c r="D5836" s="85" t="s">
        <v>77</v>
      </c>
      <c r="E5836" s="85">
        <v>17</v>
      </c>
      <c r="F5836" s="85">
        <v>1</v>
      </c>
      <c r="G5836" s="85">
        <f>--(F5836&lt;=Estimator!$B$7)</f>
        <v>1</v>
      </c>
      <c r="H5836" s="86">
        <f>SUMIFS('Climate Data'!$G$7:$G$366,'Climate Data'!$A$7:$A$366,Estimator!$B$4,'Climate Data'!$B$7:$B$366,C5836)</f>
        <v>0.22688172043010751</v>
      </c>
      <c r="I5836" s="87">
        <f>SUMIFS('Climate Data'!$H$7:$H$366,'Climate Data'!$A$7:$A$366,Estimator!$B$4,'Climate Data'!$B$7:$B$366,C5836)</f>
        <v>6.7962085308056865</v>
      </c>
      <c r="J5836" s="86">
        <f>SUMIFS('Wind Proxy'!$H$8:$H$19,'Wind Proxy'!$A$8:$A$19,Estimator!$B$4,'Wind Proxy'!$B$8:$B$19,C5836)</f>
        <v>0</v>
      </c>
    </row>
    <row r="5837" spans="1:10" ht="14.4">
      <c r="A5837" s="84">
        <v>51488</v>
      </c>
      <c r="B5837" s="85">
        <v>2040</v>
      </c>
      <c r="C5837" s="85">
        <v>12</v>
      </c>
      <c r="D5837" s="85" t="s">
        <v>77</v>
      </c>
      <c r="E5837" s="85">
        <v>18</v>
      </c>
      <c r="F5837" s="85">
        <v>2</v>
      </c>
      <c r="G5837" s="85">
        <f>--(F5837&lt;=Estimator!$B$7)</f>
        <v>1</v>
      </c>
      <c r="H5837" s="86">
        <f>SUMIFS('Climate Data'!$G$7:$G$366,'Climate Data'!$A$7:$A$366,Estimator!$B$4,'Climate Data'!$B$7:$B$366,C5837)</f>
        <v>0.22688172043010751</v>
      </c>
      <c r="I5837" s="87">
        <f>SUMIFS('Climate Data'!$H$7:$H$366,'Climate Data'!$A$7:$A$366,Estimator!$B$4,'Climate Data'!$B$7:$B$366,C5837)</f>
        <v>6.7962085308056865</v>
      </c>
      <c r="J5837" s="86">
        <f>SUMIFS('Wind Proxy'!$H$8:$H$19,'Wind Proxy'!$A$8:$A$19,Estimator!$B$4,'Wind Proxy'!$B$8:$B$19,C5837)</f>
        <v>0</v>
      </c>
    </row>
    <row r="5838" spans="1:10" ht="14.4">
      <c r="A5838" s="84">
        <v>51489</v>
      </c>
      <c r="B5838" s="85">
        <v>2040</v>
      </c>
      <c r="C5838" s="85">
        <v>12</v>
      </c>
      <c r="D5838" s="85" t="s">
        <v>77</v>
      </c>
      <c r="E5838" s="85">
        <v>19</v>
      </c>
      <c r="F5838" s="85">
        <v>3</v>
      </c>
      <c r="G5838" s="85">
        <f>--(F5838&lt;=Estimator!$B$7)</f>
        <v>1</v>
      </c>
      <c r="H5838" s="86">
        <f>SUMIFS('Climate Data'!$G$7:$G$366,'Climate Data'!$A$7:$A$366,Estimator!$B$4,'Climate Data'!$B$7:$B$366,C5838)</f>
        <v>0.22688172043010751</v>
      </c>
      <c r="I5838" s="87">
        <f>SUMIFS('Climate Data'!$H$7:$H$366,'Climate Data'!$A$7:$A$366,Estimator!$B$4,'Climate Data'!$B$7:$B$366,C5838)</f>
        <v>6.7962085308056865</v>
      </c>
      <c r="J5838" s="86">
        <f>SUMIFS('Wind Proxy'!$H$8:$H$19,'Wind Proxy'!$A$8:$A$19,Estimator!$B$4,'Wind Proxy'!$B$8:$B$19,C5838)</f>
        <v>0</v>
      </c>
    </row>
    <row r="5839" spans="1:10" ht="14.4">
      <c r="A5839" s="84">
        <v>51490</v>
      </c>
      <c r="B5839" s="85">
        <v>2040</v>
      </c>
      <c r="C5839" s="85">
        <v>12</v>
      </c>
      <c r="D5839" s="85" t="s">
        <v>77</v>
      </c>
      <c r="E5839" s="85">
        <v>20</v>
      </c>
      <c r="F5839" s="85">
        <v>4</v>
      </c>
      <c r="G5839" s="85">
        <f>--(F5839&lt;=Estimator!$B$7)</f>
        <v>1</v>
      </c>
      <c r="H5839" s="86">
        <f>SUMIFS('Climate Data'!$G$7:$G$366,'Climate Data'!$A$7:$A$366,Estimator!$B$4,'Climate Data'!$B$7:$B$366,C5839)</f>
        <v>0.22688172043010751</v>
      </c>
      <c r="I5839" s="87">
        <f>SUMIFS('Climate Data'!$H$7:$H$366,'Climate Data'!$A$7:$A$366,Estimator!$B$4,'Climate Data'!$B$7:$B$366,C5839)</f>
        <v>6.7962085308056865</v>
      </c>
      <c r="J5839" s="86">
        <f>SUMIFS('Wind Proxy'!$H$8:$H$19,'Wind Proxy'!$A$8:$A$19,Estimator!$B$4,'Wind Proxy'!$B$8:$B$19,C5839)</f>
        <v>0</v>
      </c>
    </row>
    <row r="5840" spans="1:10" ht="14.4">
      <c r="A5840" s="84">
        <v>51491</v>
      </c>
      <c r="B5840" s="85">
        <v>2040</v>
      </c>
      <c r="C5840" s="85">
        <v>12</v>
      </c>
      <c r="D5840" s="85" t="s">
        <v>77</v>
      </c>
      <c r="E5840" s="85">
        <v>21</v>
      </c>
      <c r="F5840" s="85">
        <v>5</v>
      </c>
      <c r="G5840" s="85">
        <f>--(F5840&lt;=Estimator!$B$7)</f>
        <v>1</v>
      </c>
      <c r="H5840" s="86">
        <f>SUMIFS('Climate Data'!$G$7:$G$366,'Climate Data'!$A$7:$A$366,Estimator!$B$4,'Climate Data'!$B$7:$B$366,C5840)</f>
        <v>0.22688172043010751</v>
      </c>
      <c r="I5840" s="87">
        <f>SUMIFS('Climate Data'!$H$7:$H$366,'Climate Data'!$A$7:$A$366,Estimator!$B$4,'Climate Data'!$B$7:$B$366,C5840)</f>
        <v>6.7962085308056865</v>
      </c>
      <c r="J5840" s="86">
        <f>SUMIFS('Wind Proxy'!$H$8:$H$19,'Wind Proxy'!$A$8:$A$19,Estimator!$B$4,'Wind Proxy'!$B$8:$B$19,C5840)</f>
        <v>0</v>
      </c>
    </row>
    <row r="5841" spans="1:10" ht="14.4">
      <c r="A5841" s="84">
        <v>51492</v>
      </c>
      <c r="B5841" s="85">
        <v>2040</v>
      </c>
      <c r="C5841" s="85">
        <v>12</v>
      </c>
      <c r="D5841" s="85" t="s">
        <v>77</v>
      </c>
      <c r="E5841" s="85">
        <v>22</v>
      </c>
      <c r="F5841" s="85">
        <v>6</v>
      </c>
      <c r="G5841" s="85">
        <f>--(F5841&lt;=Estimator!$B$7)</f>
        <v>0</v>
      </c>
      <c r="H5841" s="86">
        <f>SUMIFS('Climate Data'!$G$7:$G$366,'Climate Data'!$A$7:$A$366,Estimator!$B$4,'Climate Data'!$B$7:$B$366,C5841)</f>
        <v>0.22688172043010751</v>
      </c>
      <c r="I5841" s="87">
        <f>SUMIFS('Climate Data'!$H$7:$H$366,'Climate Data'!$A$7:$A$366,Estimator!$B$4,'Climate Data'!$B$7:$B$366,C5841)</f>
        <v>6.7962085308056865</v>
      </c>
      <c r="J5841" s="86">
        <f>SUMIFS('Wind Proxy'!$H$8:$H$19,'Wind Proxy'!$A$8:$A$19,Estimator!$B$4,'Wind Proxy'!$B$8:$B$19,C5841)</f>
        <v>0</v>
      </c>
    </row>
    <row r="5842" spans="1:10" ht="14.4">
      <c r="A5842" s="84">
        <v>51493</v>
      </c>
      <c r="B5842" s="85">
        <v>2040</v>
      </c>
      <c r="C5842" s="85">
        <v>12</v>
      </c>
      <c r="D5842" s="85" t="s">
        <v>77</v>
      </c>
      <c r="E5842" s="85">
        <v>23</v>
      </c>
      <c r="F5842" s="85">
        <v>7</v>
      </c>
      <c r="G5842" s="85">
        <f>--(F5842&lt;=Estimator!$B$7)</f>
        <v>0</v>
      </c>
      <c r="H5842" s="86">
        <f>SUMIFS('Climate Data'!$G$7:$G$366,'Climate Data'!$A$7:$A$366,Estimator!$B$4,'Climate Data'!$B$7:$B$366,C5842)</f>
        <v>0.22688172043010751</v>
      </c>
      <c r="I5842" s="87">
        <f>SUMIFS('Climate Data'!$H$7:$H$366,'Climate Data'!$A$7:$A$366,Estimator!$B$4,'Climate Data'!$B$7:$B$366,C5842)</f>
        <v>6.7962085308056865</v>
      </c>
      <c r="J5842" s="86">
        <f>SUMIFS('Wind Proxy'!$H$8:$H$19,'Wind Proxy'!$A$8:$A$19,Estimator!$B$4,'Wind Proxy'!$B$8:$B$19,C5842)</f>
        <v>0</v>
      </c>
    </row>
    <row r="5843" spans="1:10" ht="14.4">
      <c r="A5843" s="84">
        <v>51494</v>
      </c>
      <c r="B5843" s="85">
        <v>2040</v>
      </c>
      <c r="C5843" s="85">
        <v>12</v>
      </c>
      <c r="D5843" s="85" t="s">
        <v>77</v>
      </c>
      <c r="E5843" s="85">
        <v>24</v>
      </c>
      <c r="F5843" s="85">
        <v>1</v>
      </c>
      <c r="G5843" s="85">
        <f>--(F5843&lt;=Estimator!$B$7)</f>
        <v>1</v>
      </c>
      <c r="H5843" s="86">
        <f>SUMIFS('Climate Data'!$G$7:$G$366,'Climate Data'!$A$7:$A$366,Estimator!$B$4,'Climate Data'!$B$7:$B$366,C5843)</f>
        <v>0.22688172043010751</v>
      </c>
      <c r="I5843" s="87">
        <f>SUMIFS('Climate Data'!$H$7:$H$366,'Climate Data'!$A$7:$A$366,Estimator!$B$4,'Climate Data'!$B$7:$B$366,C5843)</f>
        <v>6.7962085308056865</v>
      </c>
      <c r="J5843" s="86">
        <f>SUMIFS('Wind Proxy'!$H$8:$H$19,'Wind Proxy'!$A$8:$A$19,Estimator!$B$4,'Wind Proxy'!$B$8:$B$19,C5843)</f>
        <v>0</v>
      </c>
    </row>
    <row r="5844" spans="1:10" ht="14.4">
      <c r="A5844" s="84">
        <v>51495</v>
      </c>
      <c r="B5844" s="85">
        <v>2040</v>
      </c>
      <c r="C5844" s="85">
        <v>12</v>
      </c>
      <c r="D5844" s="85" t="s">
        <v>77</v>
      </c>
      <c r="E5844" s="85">
        <v>25</v>
      </c>
      <c r="F5844" s="85">
        <v>2</v>
      </c>
      <c r="G5844" s="85">
        <f>--(F5844&lt;=Estimator!$B$7)</f>
        <v>1</v>
      </c>
      <c r="H5844" s="86">
        <f>SUMIFS('Climate Data'!$G$7:$G$366,'Climate Data'!$A$7:$A$366,Estimator!$B$4,'Climate Data'!$B$7:$B$366,C5844)</f>
        <v>0.22688172043010751</v>
      </c>
      <c r="I5844" s="87">
        <f>SUMIFS('Climate Data'!$H$7:$H$366,'Climate Data'!$A$7:$A$366,Estimator!$B$4,'Climate Data'!$B$7:$B$366,C5844)</f>
        <v>6.7962085308056865</v>
      </c>
      <c r="J5844" s="86">
        <f>SUMIFS('Wind Proxy'!$H$8:$H$19,'Wind Proxy'!$A$8:$A$19,Estimator!$B$4,'Wind Proxy'!$B$8:$B$19,C5844)</f>
        <v>0</v>
      </c>
    </row>
    <row r="5845" spans="1:10" ht="14.4">
      <c r="A5845" s="84">
        <v>51496</v>
      </c>
      <c r="B5845" s="85">
        <v>2040</v>
      </c>
      <c r="C5845" s="85">
        <v>12</v>
      </c>
      <c r="D5845" s="85" t="s">
        <v>77</v>
      </c>
      <c r="E5845" s="85">
        <v>26</v>
      </c>
      <c r="F5845" s="85">
        <v>3</v>
      </c>
      <c r="G5845" s="85">
        <f>--(F5845&lt;=Estimator!$B$7)</f>
        <v>1</v>
      </c>
      <c r="H5845" s="86">
        <f>SUMIFS('Climate Data'!$G$7:$G$366,'Climate Data'!$A$7:$A$366,Estimator!$B$4,'Climate Data'!$B$7:$B$366,C5845)</f>
        <v>0.22688172043010751</v>
      </c>
      <c r="I5845" s="87">
        <f>SUMIFS('Climate Data'!$H$7:$H$366,'Climate Data'!$A$7:$A$366,Estimator!$B$4,'Climate Data'!$B$7:$B$366,C5845)</f>
        <v>6.7962085308056865</v>
      </c>
      <c r="J5845" s="86">
        <f>SUMIFS('Wind Proxy'!$H$8:$H$19,'Wind Proxy'!$A$8:$A$19,Estimator!$B$4,'Wind Proxy'!$B$8:$B$19,C5845)</f>
        <v>0</v>
      </c>
    </row>
    <row r="5846" spans="1:10" ht="14.4">
      <c r="A5846" s="84">
        <v>51497</v>
      </c>
      <c r="B5846" s="85">
        <v>2040</v>
      </c>
      <c r="C5846" s="85">
        <v>12</v>
      </c>
      <c r="D5846" s="85" t="s">
        <v>77</v>
      </c>
      <c r="E5846" s="85">
        <v>27</v>
      </c>
      <c r="F5846" s="85">
        <v>4</v>
      </c>
      <c r="G5846" s="85">
        <f>--(F5846&lt;=Estimator!$B$7)</f>
        <v>1</v>
      </c>
      <c r="H5846" s="86">
        <f>SUMIFS('Climate Data'!$G$7:$G$366,'Climate Data'!$A$7:$A$366,Estimator!$B$4,'Climate Data'!$B$7:$B$366,C5846)</f>
        <v>0.22688172043010751</v>
      </c>
      <c r="I5846" s="87">
        <f>SUMIFS('Climate Data'!$H$7:$H$366,'Climate Data'!$A$7:$A$366,Estimator!$B$4,'Climate Data'!$B$7:$B$366,C5846)</f>
        <v>6.7962085308056865</v>
      </c>
      <c r="J5846" s="86">
        <f>SUMIFS('Wind Proxy'!$H$8:$H$19,'Wind Proxy'!$A$8:$A$19,Estimator!$B$4,'Wind Proxy'!$B$8:$B$19,C5846)</f>
        <v>0</v>
      </c>
    </row>
    <row r="5847" spans="1:10" ht="14.4">
      <c r="A5847" s="84">
        <v>51498</v>
      </c>
      <c r="B5847" s="85">
        <v>2040</v>
      </c>
      <c r="C5847" s="85">
        <v>12</v>
      </c>
      <c r="D5847" s="85" t="s">
        <v>77</v>
      </c>
      <c r="E5847" s="85">
        <v>28</v>
      </c>
      <c r="F5847" s="85">
        <v>5</v>
      </c>
      <c r="G5847" s="85">
        <f>--(F5847&lt;=Estimator!$B$7)</f>
        <v>1</v>
      </c>
      <c r="H5847" s="86">
        <f>SUMIFS('Climate Data'!$G$7:$G$366,'Climate Data'!$A$7:$A$366,Estimator!$B$4,'Climate Data'!$B$7:$B$366,C5847)</f>
        <v>0.22688172043010751</v>
      </c>
      <c r="I5847" s="87">
        <f>SUMIFS('Climate Data'!$H$7:$H$366,'Climate Data'!$A$7:$A$366,Estimator!$B$4,'Climate Data'!$B$7:$B$366,C5847)</f>
        <v>6.7962085308056865</v>
      </c>
      <c r="J5847" s="86">
        <f>SUMIFS('Wind Proxy'!$H$8:$H$19,'Wind Proxy'!$A$8:$A$19,Estimator!$B$4,'Wind Proxy'!$B$8:$B$19,C5847)</f>
        <v>0</v>
      </c>
    </row>
    <row r="5848" spans="1:10" ht="14.4">
      <c r="A5848" s="84">
        <v>51499</v>
      </c>
      <c r="B5848" s="85">
        <v>2040</v>
      </c>
      <c r="C5848" s="85">
        <v>12</v>
      </c>
      <c r="D5848" s="85" t="s">
        <v>77</v>
      </c>
      <c r="E5848" s="85">
        <v>29</v>
      </c>
      <c r="F5848" s="85">
        <v>6</v>
      </c>
      <c r="G5848" s="85">
        <f>--(F5848&lt;=Estimator!$B$7)</f>
        <v>0</v>
      </c>
      <c r="H5848" s="86">
        <f>SUMIFS('Climate Data'!$G$7:$G$366,'Climate Data'!$A$7:$A$366,Estimator!$B$4,'Climate Data'!$B$7:$B$366,C5848)</f>
        <v>0.22688172043010751</v>
      </c>
      <c r="I5848" s="87">
        <f>SUMIFS('Climate Data'!$H$7:$H$366,'Climate Data'!$A$7:$A$366,Estimator!$B$4,'Climate Data'!$B$7:$B$366,C5848)</f>
        <v>6.7962085308056865</v>
      </c>
      <c r="J5848" s="86">
        <f>SUMIFS('Wind Proxy'!$H$8:$H$19,'Wind Proxy'!$A$8:$A$19,Estimator!$B$4,'Wind Proxy'!$B$8:$B$19,C5848)</f>
        <v>0</v>
      </c>
    </row>
    <row r="5849" spans="1:10" ht="14.4">
      <c r="A5849" s="84">
        <v>51500</v>
      </c>
      <c r="B5849" s="85">
        <v>2040</v>
      </c>
      <c r="C5849" s="85">
        <v>12</v>
      </c>
      <c r="D5849" s="85" t="s">
        <v>77</v>
      </c>
      <c r="E5849" s="85">
        <v>30</v>
      </c>
      <c r="F5849" s="85">
        <v>7</v>
      </c>
      <c r="G5849" s="85">
        <f>--(F5849&lt;=Estimator!$B$7)</f>
        <v>0</v>
      </c>
      <c r="H5849" s="86">
        <f>SUMIFS('Climate Data'!$G$7:$G$366,'Climate Data'!$A$7:$A$366,Estimator!$B$4,'Climate Data'!$B$7:$B$366,C5849)</f>
        <v>0.22688172043010751</v>
      </c>
      <c r="I5849" s="87">
        <f>SUMIFS('Climate Data'!$H$7:$H$366,'Climate Data'!$A$7:$A$366,Estimator!$B$4,'Climate Data'!$B$7:$B$366,C5849)</f>
        <v>6.7962085308056865</v>
      </c>
      <c r="J5849" s="86">
        <f>SUMIFS('Wind Proxy'!$H$8:$H$19,'Wind Proxy'!$A$8:$A$19,Estimator!$B$4,'Wind Proxy'!$B$8:$B$19,C5849)</f>
        <v>0</v>
      </c>
    </row>
    <row r="5850" spans="1:10" ht="14.4">
      <c r="A5850" s="84">
        <v>51501</v>
      </c>
      <c r="B5850" s="85">
        <v>2040</v>
      </c>
      <c r="C5850" s="85">
        <v>12</v>
      </c>
      <c r="D5850" s="85" t="s">
        <v>77</v>
      </c>
      <c r="E5850" s="85">
        <v>31</v>
      </c>
      <c r="F5850" s="85">
        <v>1</v>
      </c>
      <c r="G5850" s="85">
        <f>--(F5850&lt;=Estimator!$B$7)</f>
        <v>1</v>
      </c>
      <c r="H5850" s="86">
        <f>SUMIFS('Climate Data'!$G$7:$G$366,'Climate Data'!$A$7:$A$366,Estimator!$B$4,'Climate Data'!$B$7:$B$366,C5850)</f>
        <v>0.22688172043010751</v>
      </c>
      <c r="I5850" s="87">
        <f>SUMIFS('Climate Data'!$H$7:$H$366,'Climate Data'!$A$7:$A$366,Estimator!$B$4,'Climate Data'!$B$7:$B$366,C5850)</f>
        <v>6.7962085308056865</v>
      </c>
      <c r="J5850" s="86">
        <f>SUMIFS('Wind Proxy'!$H$8:$H$19,'Wind Proxy'!$A$8:$A$19,Estimator!$B$4,'Wind Proxy'!$B$8:$B$19,C5850)</f>
        <v>0</v>
      </c>
    </row>
  </sheetData>
  <mergeCells count="2">
    <mergeCell ref="A1:J1"/>
    <mergeCell ref="A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Estimator</vt:lpstr>
      <vt:lpstr>Activity Allowances</vt:lpstr>
      <vt:lpstr>Task Library</vt:lpstr>
      <vt:lpstr>Climate Data</vt:lpstr>
      <vt:lpstr>Station Register</vt:lpstr>
      <vt:lpstr>Wind Proxy</vt:lpstr>
      <vt:lpstr>Weather Log</vt:lpstr>
      <vt:lpstr>Calibration Summary</vt:lpstr>
      <vt:lpstr>Calculation Audit</vt:lpstr>
      <vt:lpstr>Source Register</vt:lpstr>
      <vt:lpstr>Date 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 Jones</cp:lastModifiedBy>
  <dcterms:modified xsi:type="dcterms:W3CDTF">2026-08-15T04:24:40Z</dcterms:modified>
</cp:coreProperties>
</file>