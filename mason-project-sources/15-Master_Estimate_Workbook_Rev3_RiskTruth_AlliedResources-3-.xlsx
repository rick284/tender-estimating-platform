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xr:revisionPtr revIDLastSave="0" documentId="8_{81550009-C899-B241-A3F0-8C986844CD82}" xr6:coauthVersionLast="47" xr6:coauthVersionMax="47" xr10:uidLastSave="{00000000-0000-0000-0000-000000000000}"/>
  <bookViews>
    <workbookView xWindow="0" yWindow="0" windowWidth="0" windowHeight="0" xr2:uid="{00000000-000D-0000-FFFF-FFFF00000000}"/>
  </bookViews>
  <sheets>
    <sheet name="Cover &amp; Instructions" sheetId="1" r:id="rId1"/>
    <sheet name="Summary" sheetId="4" r:id="rId2"/>
    <sheet name="Tender Build-Up" sheetId="5" r:id="rId3"/>
    <sheet name="Commercial Inputs" sheetId="6" r:id="rId4"/>
    <sheet name="QS Takeoff" sheetId="8" r:id="rId5"/>
    <sheet name="Stage Cashflow" sheetId="22" r:id="rId6"/>
    <sheet name="Resource Rate Library" sheetId="34" r:id="rId7"/>
    <sheet name="Resource Build-Up" sheetId="35" r:id="rId8"/>
    <sheet name="Rate Verification" sheetId="36" r:id="rId9"/>
    <sheet name="Programme Export" sheetId="37" r:id="rId10"/>
    <sheet name="Weather Risk" sheetId="38" r:id="rId11"/>
    <sheet name="Risk Truth" sheetId="39" r:id="rId1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7" i="35" l="1"/>
  <c r="AN8" i="35"/>
  <c r="AN9" i="35"/>
  <c r="AN10" i="35"/>
  <c r="AN11" i="35"/>
  <c r="AN12" i="35"/>
  <c r="AN13" i="35"/>
  <c r="AN14" i="35"/>
  <c r="AN15" i="35"/>
  <c r="AN16" i="35"/>
  <c r="AN17" i="35"/>
  <c r="AN18" i="35"/>
  <c r="AN19" i="35"/>
  <c r="AN20" i="35"/>
  <c r="AN21" i="35"/>
  <c r="AN22" i="35"/>
  <c r="AN23" i="35"/>
  <c r="AN24" i="35"/>
  <c r="AN25" i="35"/>
  <c r="AN26" i="35"/>
  <c r="AN27" i="35"/>
  <c r="AN28" i="35"/>
  <c r="AN29" i="35"/>
  <c r="AN30" i="35"/>
  <c r="AN31" i="35"/>
  <c r="AN32" i="35"/>
  <c r="AN33" i="35"/>
  <c r="AN34" i="35"/>
  <c r="AN35" i="35"/>
  <c r="AN36" i="35"/>
  <c r="AN37" i="35"/>
  <c r="AN38" i="35"/>
  <c r="AN39" i="35"/>
  <c r="AN40" i="35"/>
  <c r="AN41" i="35"/>
  <c r="AN42" i="35"/>
  <c r="AN43" i="35"/>
  <c r="AN44" i="35"/>
  <c r="AN45" i="35"/>
  <c r="AN46" i="35"/>
  <c r="AN47" i="35"/>
  <c r="AN48" i="35"/>
  <c r="AN49" i="35"/>
  <c r="AN50" i="35"/>
  <c r="AN51" i="35"/>
  <c r="AN52" i="35"/>
  <c r="AN53" i="35"/>
  <c r="AN54" i="35"/>
  <c r="AN55" i="35"/>
  <c r="AN56" i="35"/>
  <c r="AN57" i="35"/>
  <c r="AN58" i="35"/>
  <c r="AN59" i="35"/>
  <c r="AN60" i="35"/>
  <c r="AN61" i="35"/>
  <c r="AN62" i="35"/>
  <c r="AN63" i="35"/>
  <c r="AN64" i="35"/>
  <c r="AN65" i="35"/>
  <c r="AN66" i="35"/>
  <c r="AN67" i="35"/>
  <c r="AN68" i="35"/>
  <c r="AN69" i="35"/>
  <c r="AN70" i="35"/>
  <c r="AN71" i="35"/>
  <c r="AN72" i="35"/>
  <c r="AN73" i="35"/>
  <c r="AN74" i="35"/>
  <c r="AN75" i="35"/>
  <c r="AN76" i="35"/>
  <c r="AN77" i="35"/>
  <c r="AN78" i="35"/>
  <c r="AN79" i="35"/>
  <c r="AN80" i="35"/>
  <c r="AN81" i="35"/>
  <c r="AN82" i="35"/>
  <c r="AN83" i="35"/>
  <c r="AN84" i="35"/>
  <c r="AN85" i="35"/>
  <c r="AN86" i="35"/>
  <c r="AN87" i="35"/>
  <c r="AN88" i="35"/>
  <c r="AN89" i="35"/>
  <c r="AN90" i="35"/>
  <c r="AN91" i="35"/>
  <c r="AN92" i="35"/>
  <c r="AN93" i="35"/>
  <c r="AN94" i="35"/>
  <c r="AN95" i="35"/>
  <c r="AN96" i="35"/>
  <c r="AN97" i="35"/>
  <c r="AN98" i="35"/>
  <c r="AN99" i="35"/>
  <c r="AN100" i="35"/>
  <c r="AN101" i="35"/>
  <c r="AN102" i="35"/>
  <c r="AN103" i="35"/>
  <c r="AN104" i="35"/>
  <c r="AN105" i="35"/>
  <c r="AN106" i="35"/>
  <c r="AN107" i="35"/>
  <c r="AN108" i="35"/>
  <c r="AN109" i="35"/>
  <c r="AN110" i="35"/>
  <c r="AN111" i="35"/>
  <c r="AN112" i="35"/>
  <c r="AN113" i="35"/>
  <c r="AN114" i="35"/>
  <c r="AN115" i="35"/>
  <c r="AN116" i="35"/>
  <c r="AN117" i="35"/>
  <c r="AN118" i="35"/>
  <c r="AN119" i="35"/>
  <c r="AN120" i="35"/>
  <c r="AN121" i="35"/>
  <c r="AN122" i="35"/>
  <c r="AN123" i="35"/>
  <c r="AN124" i="35"/>
  <c r="AN125" i="35"/>
  <c r="AN126" i="35"/>
  <c r="AN127" i="35"/>
  <c r="AN128" i="35"/>
  <c r="AN129" i="35"/>
  <c r="AN130" i="35"/>
  <c r="AN131" i="35"/>
  <c r="AN132" i="35"/>
  <c r="AN133" i="35"/>
  <c r="AN134" i="35"/>
  <c r="AN135" i="35"/>
  <c r="AN136" i="35"/>
  <c r="AN137" i="35"/>
  <c r="AN138" i="35"/>
  <c r="AN139" i="35"/>
  <c r="AN140" i="35"/>
  <c r="AN141" i="35"/>
  <c r="AN142" i="35"/>
  <c r="AN143" i="35"/>
  <c r="AN144" i="35"/>
  <c r="AN145" i="35"/>
  <c r="AN146" i="35"/>
  <c r="AN147" i="35"/>
  <c r="AN148" i="35"/>
  <c r="AN149" i="35"/>
  <c r="AN150" i="35"/>
  <c r="AN151" i="35"/>
  <c r="AN152" i="35"/>
  <c r="AN153" i="35"/>
  <c r="AN154" i="35"/>
  <c r="AN155" i="35"/>
  <c r="AN156" i="35"/>
  <c r="AN157" i="35"/>
  <c r="AN158" i="35"/>
  <c r="AN159" i="35"/>
  <c r="AN160" i="35"/>
  <c r="AN161" i="35"/>
  <c r="AN162" i="35"/>
  <c r="AN163" i="35"/>
  <c r="AN164" i="35"/>
  <c r="AN165" i="35"/>
  <c r="AN166" i="35"/>
  <c r="AN167" i="35"/>
  <c r="AN168" i="35"/>
  <c r="AN169" i="35"/>
  <c r="AN170" i="35"/>
  <c r="AN171" i="35"/>
  <c r="AN172" i="35"/>
  <c r="AN173" i="35"/>
  <c r="AN174" i="35"/>
  <c r="AN175" i="35"/>
  <c r="AN176" i="35"/>
  <c r="AN177" i="35"/>
  <c r="AN178" i="35"/>
  <c r="AN179" i="35"/>
  <c r="AN180" i="35"/>
  <c r="AN181" i="35"/>
  <c r="AN182" i="35"/>
  <c r="AN183" i="35"/>
  <c r="AN184" i="35"/>
  <c r="AN185" i="35"/>
  <c r="AN186" i="35"/>
  <c r="AN187" i="35"/>
  <c r="AN188" i="35"/>
  <c r="AN189" i="35"/>
  <c r="AN190" i="35"/>
  <c r="AN191" i="35"/>
  <c r="AN192" i="35"/>
  <c r="AN193" i="35"/>
  <c r="AN194" i="35"/>
  <c r="AN195" i="35"/>
  <c r="AN196" i="35"/>
  <c r="AN197" i="35"/>
  <c r="AN198" i="35"/>
  <c r="AN199" i="35"/>
  <c r="AN200" i="35"/>
  <c r="AN201" i="35"/>
  <c r="AN202" i="35"/>
  <c r="AN203" i="35"/>
  <c r="AN204" i="35"/>
  <c r="AN205" i="35"/>
  <c r="AN206" i="35"/>
  <c r="AN207" i="35"/>
  <c r="AN208" i="35"/>
  <c r="AN209" i="35"/>
  <c r="AN210" i="35"/>
  <c r="AN211" i="35"/>
  <c r="AN212" i="35"/>
  <c r="AN213" i="35"/>
  <c r="AN214" i="35"/>
  <c r="AN215" i="35"/>
  <c r="AN216" i="35"/>
  <c r="AN217" i="35"/>
  <c r="AN218" i="35"/>
  <c r="AN219" i="35"/>
  <c r="AN220" i="35"/>
  <c r="AN221" i="35"/>
  <c r="AN222" i="35"/>
  <c r="AN223" i="35"/>
  <c r="AN224" i="35"/>
  <c r="AN225" i="35"/>
  <c r="AN226" i="35"/>
  <c r="AN227" i="35"/>
  <c r="AN228" i="35"/>
  <c r="AN229" i="35"/>
  <c r="AN230" i="35"/>
  <c r="AN231" i="35"/>
  <c r="AN232" i="35"/>
  <c r="AN233" i="35"/>
  <c r="AN234" i="35"/>
  <c r="AN235" i="35"/>
  <c r="AN236" i="35"/>
  <c r="AN237" i="35"/>
  <c r="AN238" i="35"/>
  <c r="AN239" i="35"/>
  <c r="AN240" i="35"/>
  <c r="AN241" i="35"/>
  <c r="AN242" i="35"/>
  <c r="AN243" i="35"/>
  <c r="AN244" i="35"/>
  <c r="AN245" i="35"/>
  <c r="AN246" i="35"/>
  <c r="AN247" i="35"/>
  <c r="AN248" i="35"/>
  <c r="AN249" i="35"/>
  <c r="AN250" i="35"/>
  <c r="AN251" i="35"/>
  <c r="AN252" i="35"/>
  <c r="AN253" i="35"/>
  <c r="AN254" i="35"/>
  <c r="AN255" i="35"/>
  <c r="AN256" i="35"/>
  <c r="AN257" i="35"/>
  <c r="AN258" i="35"/>
  <c r="AN259" i="35"/>
  <c r="AN260" i="35"/>
  <c r="AN261" i="35"/>
  <c r="AN262" i="35"/>
  <c r="AN263" i="35"/>
  <c r="AN264" i="35"/>
  <c r="AN265" i="35"/>
  <c r="AN266" i="35"/>
  <c r="AN267" i="35"/>
  <c r="AN268" i="35"/>
  <c r="AN269" i="35"/>
  <c r="AN270" i="35"/>
  <c r="AN271" i="35"/>
  <c r="AN272" i="35"/>
  <c r="AN273" i="35"/>
  <c r="AN274" i="35"/>
  <c r="AN275" i="35"/>
  <c r="AN276" i="35"/>
  <c r="AN277" i="35"/>
  <c r="AN278" i="35"/>
  <c r="AN279" i="35"/>
  <c r="AN280" i="35"/>
  <c r="AN281" i="35"/>
  <c r="AN282" i="35"/>
  <c r="AN283" i="35"/>
  <c r="AN284" i="35"/>
  <c r="AN285" i="35"/>
  <c r="AN286" i="35"/>
  <c r="AN287" i="35"/>
  <c r="AN288" i="35"/>
  <c r="AN289" i="35"/>
  <c r="AN290" i="35"/>
  <c r="AN291" i="35"/>
  <c r="AN292" i="35"/>
  <c r="AN293" i="35"/>
  <c r="AN294" i="35"/>
  <c r="AN295" i="35"/>
  <c r="AN296" i="35"/>
  <c r="AN297" i="35"/>
  <c r="AN298" i="35"/>
  <c r="AN299" i="35"/>
  <c r="AN300" i="35"/>
  <c r="AN301" i="35"/>
  <c r="AN302" i="35"/>
  <c r="AN303" i="35"/>
  <c r="AN304" i="35"/>
  <c r="AN305" i="35"/>
  <c r="AN306" i="35"/>
  <c r="B12" i="38"/>
  <c r="B34" i="38"/>
  <c r="K7" i="35"/>
  <c r="M7" i="35"/>
  <c r="D7" i="37"/>
  <c r="J7" i="37"/>
  <c r="K7" i="37"/>
  <c r="M7" i="37"/>
  <c r="K8" i="35"/>
  <c r="M8" i="35"/>
  <c r="D8" i="37"/>
  <c r="J8" i="37"/>
  <c r="K8" i="37"/>
  <c r="M8" i="37"/>
  <c r="K9" i="35"/>
  <c r="M9" i="35"/>
  <c r="D9" i="37"/>
  <c r="J9" i="37"/>
  <c r="K9" i="37"/>
  <c r="M9" i="37"/>
  <c r="K10" i="35"/>
  <c r="M10" i="35"/>
  <c r="D10" i="37"/>
  <c r="J10" i="37"/>
  <c r="K10" i="37"/>
  <c r="M10" i="37"/>
  <c r="K11" i="35"/>
  <c r="M11" i="35"/>
  <c r="D11" i="37"/>
  <c r="J11" i="37"/>
  <c r="K11" i="37"/>
  <c r="M11" i="37"/>
  <c r="K12" i="35"/>
  <c r="M12" i="35"/>
  <c r="D12" i="37"/>
  <c r="J12" i="37"/>
  <c r="K12" i="37"/>
  <c r="M12" i="37"/>
  <c r="K13" i="35"/>
  <c r="M13" i="35"/>
  <c r="D13" i="37"/>
  <c r="J13" i="37"/>
  <c r="K13" i="37"/>
  <c r="M13" i="37"/>
  <c r="K14" i="35"/>
  <c r="M14" i="35"/>
  <c r="D14" i="37"/>
  <c r="J14" i="37"/>
  <c r="K14" i="37"/>
  <c r="M14" i="37"/>
  <c r="K15" i="35"/>
  <c r="M15" i="35"/>
  <c r="D15" i="37"/>
  <c r="J15" i="37"/>
  <c r="K15" i="37"/>
  <c r="M15" i="37"/>
  <c r="K16" i="35"/>
  <c r="M16" i="35"/>
  <c r="D16" i="37"/>
  <c r="J16" i="37"/>
  <c r="K16" i="37"/>
  <c r="M16" i="37"/>
  <c r="K17" i="35"/>
  <c r="M17" i="35"/>
  <c r="D17" i="37"/>
  <c r="J17" i="37"/>
  <c r="K17" i="37"/>
  <c r="M17" i="37"/>
  <c r="K18" i="35"/>
  <c r="M18" i="35"/>
  <c r="D18" i="37"/>
  <c r="J18" i="37"/>
  <c r="K18" i="37"/>
  <c r="M18" i="37"/>
  <c r="K19" i="35"/>
  <c r="M19" i="35"/>
  <c r="D19" i="37"/>
  <c r="J19" i="37"/>
  <c r="K19" i="37"/>
  <c r="M19" i="37"/>
  <c r="K20" i="35"/>
  <c r="M20" i="35"/>
  <c r="D20" i="37"/>
  <c r="J20" i="37"/>
  <c r="K20" i="37"/>
  <c r="M20" i="37"/>
  <c r="K21" i="35"/>
  <c r="M21" i="35"/>
  <c r="D21" i="37"/>
  <c r="J21" i="37"/>
  <c r="K21" i="37"/>
  <c r="M21" i="37"/>
  <c r="K22" i="35"/>
  <c r="M22" i="35"/>
  <c r="D22" i="37"/>
  <c r="J22" i="37"/>
  <c r="K22" i="37"/>
  <c r="M22" i="37"/>
  <c r="K23" i="35"/>
  <c r="M23" i="35"/>
  <c r="D23" i="37"/>
  <c r="J23" i="37"/>
  <c r="K23" i="37"/>
  <c r="M23" i="37"/>
  <c r="K24" i="35"/>
  <c r="M24" i="35"/>
  <c r="D24" i="37"/>
  <c r="J24" i="37"/>
  <c r="K24" i="37"/>
  <c r="M24" i="37"/>
  <c r="K25" i="35"/>
  <c r="M25" i="35"/>
  <c r="D25" i="37"/>
  <c r="J25" i="37"/>
  <c r="K25" i="37"/>
  <c r="M25" i="37"/>
  <c r="K26" i="35"/>
  <c r="M26" i="35"/>
  <c r="D26" i="37"/>
  <c r="J26" i="37"/>
  <c r="K26" i="37"/>
  <c r="M26" i="37"/>
  <c r="K27" i="35"/>
  <c r="M27" i="35"/>
  <c r="D27" i="37"/>
  <c r="J27" i="37"/>
  <c r="K27" i="37"/>
  <c r="M27" i="37"/>
  <c r="K28" i="35"/>
  <c r="M28" i="35"/>
  <c r="D28" i="37"/>
  <c r="J28" i="37"/>
  <c r="K28" i="37"/>
  <c r="M28" i="37"/>
  <c r="K29" i="35"/>
  <c r="M29" i="35"/>
  <c r="D29" i="37"/>
  <c r="J29" i="37"/>
  <c r="K29" i="37"/>
  <c r="M29" i="37"/>
  <c r="K30" i="35"/>
  <c r="M30" i="35"/>
  <c r="D30" i="37"/>
  <c r="J30" i="37"/>
  <c r="K30" i="37"/>
  <c r="M30" i="37"/>
  <c r="K31" i="35"/>
  <c r="M31" i="35"/>
  <c r="D31" i="37"/>
  <c r="J31" i="37"/>
  <c r="K31" i="37"/>
  <c r="M31" i="37"/>
  <c r="K32" i="35"/>
  <c r="M32" i="35"/>
  <c r="D32" i="37"/>
  <c r="J32" i="37"/>
  <c r="K32" i="37"/>
  <c r="M32" i="37"/>
  <c r="K33" i="35"/>
  <c r="M33" i="35"/>
  <c r="D33" i="37"/>
  <c r="J33" i="37"/>
  <c r="K33" i="37"/>
  <c r="M33" i="37"/>
  <c r="K34" i="35"/>
  <c r="M34" i="35"/>
  <c r="D34" i="37"/>
  <c r="J34" i="37"/>
  <c r="K34" i="37"/>
  <c r="M34" i="37"/>
  <c r="K35" i="35"/>
  <c r="M35" i="35"/>
  <c r="D35" i="37"/>
  <c r="J35" i="37"/>
  <c r="K35" i="37"/>
  <c r="M35" i="37"/>
  <c r="K36" i="35"/>
  <c r="M36" i="35"/>
  <c r="D36" i="37"/>
  <c r="J36" i="37"/>
  <c r="K36" i="37"/>
  <c r="M36" i="37"/>
  <c r="K37" i="35"/>
  <c r="M37" i="35"/>
  <c r="D37" i="37"/>
  <c r="J37" i="37"/>
  <c r="K37" i="37"/>
  <c r="M37" i="37"/>
  <c r="K38" i="35"/>
  <c r="M38" i="35"/>
  <c r="D38" i="37"/>
  <c r="J38" i="37"/>
  <c r="K38" i="37"/>
  <c r="M38" i="37"/>
  <c r="K39" i="35"/>
  <c r="M39" i="35"/>
  <c r="D39" i="37"/>
  <c r="J39" i="37"/>
  <c r="K39" i="37"/>
  <c r="M39" i="37"/>
  <c r="K40" i="35"/>
  <c r="M40" i="35"/>
  <c r="D40" i="37"/>
  <c r="J40" i="37"/>
  <c r="K40" i="37"/>
  <c r="M40" i="37"/>
  <c r="K41" i="35"/>
  <c r="M41" i="35"/>
  <c r="D41" i="37"/>
  <c r="J41" i="37"/>
  <c r="K41" i="37"/>
  <c r="M41" i="37"/>
  <c r="K42" i="35"/>
  <c r="M42" i="35"/>
  <c r="D42" i="37"/>
  <c r="J42" i="37"/>
  <c r="K42" i="37"/>
  <c r="M42" i="37"/>
  <c r="K43" i="35"/>
  <c r="M43" i="35"/>
  <c r="D43" i="37"/>
  <c r="J43" i="37"/>
  <c r="K43" i="37"/>
  <c r="M43" i="37"/>
  <c r="K44" i="35"/>
  <c r="M44" i="35"/>
  <c r="D44" i="37"/>
  <c r="J44" i="37"/>
  <c r="K44" i="37"/>
  <c r="M44" i="37"/>
  <c r="K45" i="35"/>
  <c r="M45" i="35"/>
  <c r="D45" i="37"/>
  <c r="J45" i="37"/>
  <c r="K45" i="37"/>
  <c r="M45" i="37"/>
  <c r="K46" i="35"/>
  <c r="M46" i="35"/>
  <c r="D46" i="37"/>
  <c r="J46" i="37"/>
  <c r="K46" i="37"/>
  <c r="M46" i="37"/>
  <c r="K47" i="35"/>
  <c r="M47" i="35"/>
  <c r="D47" i="37"/>
  <c r="J47" i="37"/>
  <c r="K47" i="37"/>
  <c r="M47" i="37"/>
  <c r="K48" i="35"/>
  <c r="M48" i="35"/>
  <c r="D48" i="37"/>
  <c r="J48" i="37"/>
  <c r="K48" i="37"/>
  <c r="M48" i="37"/>
  <c r="K49" i="35"/>
  <c r="M49" i="35"/>
  <c r="D49" i="37"/>
  <c r="J49" i="37"/>
  <c r="K49" i="37"/>
  <c r="M49" i="37"/>
  <c r="K50" i="35"/>
  <c r="M50" i="35"/>
  <c r="D50" i="37"/>
  <c r="J50" i="37"/>
  <c r="K50" i="37"/>
  <c r="M50" i="37"/>
  <c r="K51" i="35"/>
  <c r="M51" i="35"/>
  <c r="D51" i="37"/>
  <c r="J51" i="37"/>
  <c r="K51" i="37"/>
  <c r="M51" i="37"/>
  <c r="K52" i="35"/>
  <c r="M52" i="35"/>
  <c r="D52" i="37"/>
  <c r="J52" i="37"/>
  <c r="K52" i="37"/>
  <c r="M52" i="37"/>
  <c r="K53" i="35"/>
  <c r="M53" i="35"/>
  <c r="D53" i="37"/>
  <c r="J53" i="37"/>
  <c r="K53" i="37"/>
  <c r="M53" i="37"/>
  <c r="K54" i="35"/>
  <c r="M54" i="35"/>
  <c r="D54" i="37"/>
  <c r="J54" i="37"/>
  <c r="K54" i="37"/>
  <c r="M54" i="37"/>
  <c r="K55" i="35"/>
  <c r="M55" i="35"/>
  <c r="D55" i="37"/>
  <c r="J55" i="37"/>
  <c r="K55" i="37"/>
  <c r="M55" i="37"/>
  <c r="K56" i="35"/>
  <c r="M56" i="35"/>
  <c r="D56" i="37"/>
  <c r="J56" i="37"/>
  <c r="K56" i="37"/>
  <c r="M56" i="37"/>
  <c r="K57" i="35"/>
  <c r="M57" i="35"/>
  <c r="D57" i="37"/>
  <c r="J57" i="37"/>
  <c r="K57" i="37"/>
  <c r="M57" i="37"/>
  <c r="K58" i="35"/>
  <c r="M58" i="35"/>
  <c r="D58" i="37"/>
  <c r="J58" i="37"/>
  <c r="K58" i="37"/>
  <c r="M58" i="37"/>
  <c r="K59" i="35"/>
  <c r="M59" i="35"/>
  <c r="D59" i="37"/>
  <c r="J59" i="37"/>
  <c r="K59" i="37"/>
  <c r="M59" i="37"/>
  <c r="K60" i="35"/>
  <c r="M60" i="35"/>
  <c r="D60" i="37"/>
  <c r="J60" i="37"/>
  <c r="K60" i="37"/>
  <c r="M60" i="37"/>
  <c r="K61" i="35"/>
  <c r="M61" i="35"/>
  <c r="D61" i="37"/>
  <c r="J61" i="37"/>
  <c r="K61" i="37"/>
  <c r="M61" i="37"/>
  <c r="K62" i="35"/>
  <c r="M62" i="35"/>
  <c r="D62" i="37"/>
  <c r="J62" i="37"/>
  <c r="K62" i="37"/>
  <c r="M62" i="37"/>
  <c r="K63" i="35"/>
  <c r="M63" i="35"/>
  <c r="D63" i="37"/>
  <c r="J63" i="37"/>
  <c r="K63" i="37"/>
  <c r="M63" i="37"/>
  <c r="K64" i="35"/>
  <c r="M64" i="35"/>
  <c r="D64" i="37"/>
  <c r="J64" i="37"/>
  <c r="K64" i="37"/>
  <c r="M64" i="37"/>
  <c r="K65" i="35"/>
  <c r="M65" i="35"/>
  <c r="D65" i="37"/>
  <c r="J65" i="37"/>
  <c r="K65" i="37"/>
  <c r="M65" i="37"/>
  <c r="K66" i="35"/>
  <c r="M66" i="35"/>
  <c r="D66" i="37"/>
  <c r="J66" i="37"/>
  <c r="K66" i="37"/>
  <c r="M66" i="37"/>
  <c r="K67" i="35"/>
  <c r="M67" i="35"/>
  <c r="D67" i="37"/>
  <c r="J67" i="37"/>
  <c r="K67" i="37"/>
  <c r="M67" i="37"/>
  <c r="K68" i="35"/>
  <c r="M68" i="35"/>
  <c r="D68" i="37"/>
  <c r="J68" i="37"/>
  <c r="K68" i="37"/>
  <c r="M68" i="37"/>
  <c r="K69" i="35"/>
  <c r="M69" i="35"/>
  <c r="D69" i="37"/>
  <c r="J69" i="37"/>
  <c r="K69" i="37"/>
  <c r="M69" i="37"/>
  <c r="K70" i="35"/>
  <c r="M70" i="35"/>
  <c r="D70" i="37"/>
  <c r="J70" i="37"/>
  <c r="K70" i="37"/>
  <c r="M70" i="37"/>
  <c r="K71" i="35"/>
  <c r="M71" i="35"/>
  <c r="D71" i="37"/>
  <c r="J71" i="37"/>
  <c r="K71" i="37"/>
  <c r="M71" i="37"/>
  <c r="K72" i="35"/>
  <c r="M72" i="35"/>
  <c r="D72" i="37"/>
  <c r="J72" i="37"/>
  <c r="K72" i="37"/>
  <c r="M72" i="37"/>
  <c r="K73" i="35"/>
  <c r="M73" i="35"/>
  <c r="D73" i="37"/>
  <c r="J73" i="37"/>
  <c r="K73" i="37"/>
  <c r="M73" i="37"/>
  <c r="K74" i="35"/>
  <c r="M74" i="35"/>
  <c r="D74" i="37"/>
  <c r="J74" i="37"/>
  <c r="K74" i="37"/>
  <c r="M74" i="37"/>
  <c r="K75" i="35"/>
  <c r="M75" i="35"/>
  <c r="D75" i="37"/>
  <c r="J75" i="37"/>
  <c r="K75" i="37"/>
  <c r="M75" i="37"/>
  <c r="K76" i="35"/>
  <c r="M76" i="35"/>
  <c r="D76" i="37"/>
  <c r="J76" i="37"/>
  <c r="K76" i="37"/>
  <c r="M76" i="37"/>
  <c r="K77" i="35"/>
  <c r="M77" i="35"/>
  <c r="D77" i="37"/>
  <c r="J77" i="37"/>
  <c r="K77" i="37"/>
  <c r="M77" i="37"/>
  <c r="B8" i="38"/>
  <c r="B13" i="38"/>
  <c r="B35" i="38"/>
  <c r="B15" i="38"/>
  <c r="B14" i="38"/>
  <c r="B36" i="38"/>
  <c r="B37" i="38"/>
  <c r="B38" i="38"/>
  <c r="B40" i="38"/>
  <c r="O61" i="39"/>
  <c r="X61" i="39"/>
  <c r="Z61" i="39"/>
  <c r="T61" i="39"/>
  <c r="N61" i="39"/>
  <c r="G61" i="39"/>
  <c r="X60" i="39"/>
  <c r="Z60" i="39"/>
  <c r="T60" i="39"/>
  <c r="N60" i="39"/>
  <c r="X59" i="39"/>
  <c r="Z59" i="39"/>
  <c r="T59" i="39"/>
  <c r="N59" i="39"/>
  <c r="X58" i="39"/>
  <c r="Z58" i="39"/>
  <c r="T58" i="39"/>
  <c r="N58" i="39"/>
  <c r="X57" i="39"/>
  <c r="Z57" i="39"/>
  <c r="T57" i="39"/>
  <c r="N57" i="39"/>
  <c r="X56" i="39"/>
  <c r="Z56" i="39"/>
  <c r="T56" i="39"/>
  <c r="N56" i="39"/>
  <c r="X55" i="39"/>
  <c r="Z55" i="39"/>
  <c r="T55" i="39"/>
  <c r="N55" i="39"/>
  <c r="X54" i="39"/>
  <c r="Z54" i="39"/>
  <c r="T54" i="39"/>
  <c r="N54" i="39"/>
  <c r="X53" i="39"/>
  <c r="Z53" i="39"/>
  <c r="T53" i="39"/>
  <c r="N53" i="39"/>
  <c r="X52" i="39"/>
  <c r="Z52" i="39"/>
  <c r="T52" i="39"/>
  <c r="N52" i="39"/>
  <c r="X51" i="39"/>
  <c r="Z51" i="39"/>
  <c r="T51" i="39"/>
  <c r="N51" i="39"/>
  <c r="X50" i="39"/>
  <c r="Z50" i="39"/>
  <c r="T50" i="39"/>
  <c r="N50" i="39"/>
  <c r="X49" i="39"/>
  <c r="Z49" i="39"/>
  <c r="T49" i="39"/>
  <c r="N49" i="39"/>
  <c r="X48" i="39"/>
  <c r="Z48" i="39"/>
  <c r="T48" i="39"/>
  <c r="N48" i="39"/>
  <c r="X47" i="39"/>
  <c r="Z47" i="39"/>
  <c r="T47" i="39"/>
  <c r="N47" i="39"/>
  <c r="X46" i="39"/>
  <c r="Z46" i="39"/>
  <c r="T46" i="39"/>
  <c r="N46" i="39"/>
  <c r="X45" i="39"/>
  <c r="Z45" i="39"/>
  <c r="T45" i="39"/>
  <c r="N45" i="39"/>
  <c r="X44" i="39"/>
  <c r="Z44" i="39"/>
  <c r="T44" i="39"/>
  <c r="N44" i="39"/>
  <c r="X43" i="39"/>
  <c r="Z43" i="39"/>
  <c r="T43" i="39"/>
  <c r="N43" i="39"/>
  <c r="X42" i="39"/>
  <c r="Z42" i="39"/>
  <c r="T42" i="39"/>
  <c r="N42" i="39"/>
  <c r="X41" i="39"/>
  <c r="Z41" i="39"/>
  <c r="T41" i="39"/>
  <c r="N41" i="39"/>
  <c r="K36" i="39"/>
  <c r="K35" i="39"/>
  <c r="K34" i="39"/>
  <c r="K33" i="39"/>
  <c r="K32" i="39"/>
  <c r="K31" i="39"/>
  <c r="K30" i="39"/>
  <c r="K29" i="39"/>
  <c r="K28" i="39"/>
  <c r="K27" i="39"/>
  <c r="K26" i="39"/>
  <c r="K25" i="39"/>
  <c r="G3" i="8"/>
  <c r="G4" i="8"/>
  <c r="G5" i="8"/>
  <c r="G6" i="8"/>
  <c r="G7" i="8"/>
  <c r="G8" i="8"/>
  <c r="G9" i="8"/>
  <c r="G10" i="8"/>
  <c r="G11" i="8"/>
  <c r="G12" i="8"/>
  <c r="B10" i="5"/>
  <c r="G13" i="8"/>
  <c r="G14" i="8"/>
  <c r="G15" i="8"/>
  <c r="G16" i="8"/>
  <c r="G17" i="8"/>
  <c r="G18" i="8"/>
  <c r="G19" i="8"/>
  <c r="G20" i="8"/>
  <c r="B11" i="5"/>
  <c r="G21" i="8"/>
  <c r="G22" i="8"/>
  <c r="G23" i="8"/>
  <c r="G24" i="8"/>
  <c r="G25" i="8"/>
  <c r="G26" i="8"/>
  <c r="G27" i="8"/>
  <c r="G28" i="8"/>
  <c r="G29" i="8"/>
  <c r="G30" i="8"/>
  <c r="B12" i="5"/>
  <c r="G31" i="8"/>
  <c r="G32" i="8"/>
  <c r="G33" i="8"/>
  <c r="G34" i="8"/>
  <c r="G35" i="8"/>
  <c r="G36" i="8"/>
  <c r="G37" i="8"/>
  <c r="G38" i="8"/>
  <c r="G39" i="8"/>
  <c r="B13" i="5"/>
  <c r="G40" i="8"/>
  <c r="G41" i="8"/>
  <c r="G42" i="8"/>
  <c r="G43" i="8"/>
  <c r="G44" i="8"/>
  <c r="G45" i="8"/>
  <c r="G46" i="8"/>
  <c r="B14" i="5"/>
  <c r="G47" i="8"/>
  <c r="G48" i="8"/>
  <c r="G49" i="8"/>
  <c r="G50" i="8"/>
  <c r="G51" i="8"/>
  <c r="G52" i="8"/>
  <c r="B15" i="5"/>
  <c r="G53" i="8"/>
  <c r="G54" i="8"/>
  <c r="G55" i="8"/>
  <c r="G56" i="8"/>
  <c r="G57" i="8"/>
  <c r="G58" i="8"/>
  <c r="G59" i="8"/>
  <c r="G60" i="8"/>
  <c r="G61" i="8"/>
  <c r="B16" i="5"/>
  <c r="G62" i="8"/>
  <c r="G63" i="8"/>
  <c r="G64" i="8"/>
  <c r="G65" i="8"/>
  <c r="G66" i="8"/>
  <c r="G67" i="8"/>
  <c r="B17" i="5"/>
  <c r="G68" i="8"/>
  <c r="G69" i="8"/>
  <c r="B18" i="5"/>
  <c r="G70" i="8"/>
  <c r="G71" i="8"/>
  <c r="G72" i="8"/>
  <c r="G73" i="8"/>
  <c r="B19" i="5"/>
  <c r="B20" i="5"/>
  <c r="B9" i="39"/>
  <c r="B12" i="39"/>
  <c r="L5" i="6"/>
  <c r="B23" i="5"/>
  <c r="B10" i="39"/>
  <c r="B13" i="39"/>
  <c r="L6" i="6"/>
  <c r="B24" i="5"/>
  <c r="B25" i="5"/>
  <c r="B26" i="5"/>
  <c r="B27" i="5"/>
  <c r="B28" i="5"/>
  <c r="B29" i="5"/>
  <c r="B30" i="5"/>
  <c r="B31" i="5"/>
  <c r="L14" i="6"/>
  <c r="B32" i="5"/>
  <c r="B33" i="5"/>
  <c r="B34" i="5"/>
  <c r="B35" i="5"/>
  <c r="B36" i="5"/>
  <c r="B37" i="5"/>
  <c r="B38" i="5"/>
  <c r="B39" i="5"/>
  <c r="B40" i="5"/>
  <c r="B42" i="5"/>
  <c r="B43" i="5"/>
  <c r="B44" i="5"/>
  <c r="B45" i="5"/>
  <c r="B46" i="5"/>
  <c r="B47" i="5"/>
  <c r="B6" i="39"/>
  <c r="J5" i="39"/>
  <c r="J6" i="39"/>
  <c r="J7" i="39"/>
  <c r="J8" i="39"/>
  <c r="J9" i="39"/>
  <c r="J10" i="39"/>
  <c r="B11" i="39"/>
  <c r="B22" i="39"/>
  <c r="B21" i="39"/>
  <c r="B20" i="39"/>
  <c r="I7" i="37"/>
  <c r="H7" i="37"/>
  <c r="T7" i="37"/>
  <c r="U7" i="37"/>
  <c r="I8" i="37"/>
  <c r="H8" i="37"/>
  <c r="T8" i="37"/>
  <c r="U8" i="37"/>
  <c r="I9" i="37"/>
  <c r="H9" i="37"/>
  <c r="T9" i="37"/>
  <c r="U9" i="37"/>
  <c r="I10" i="37"/>
  <c r="H10" i="37"/>
  <c r="T10" i="37"/>
  <c r="U10" i="37"/>
  <c r="I11" i="37"/>
  <c r="H11" i="37"/>
  <c r="T11" i="37"/>
  <c r="U11" i="37"/>
  <c r="I12" i="37"/>
  <c r="H12" i="37"/>
  <c r="T12" i="37"/>
  <c r="U12" i="37"/>
  <c r="I13" i="37"/>
  <c r="H13" i="37"/>
  <c r="T13" i="37"/>
  <c r="U13" i="37"/>
  <c r="I14" i="37"/>
  <c r="H14" i="37"/>
  <c r="T14" i="37"/>
  <c r="U14" i="37"/>
  <c r="I15" i="37"/>
  <c r="H15" i="37"/>
  <c r="T15" i="37"/>
  <c r="U15" i="37"/>
  <c r="I16" i="37"/>
  <c r="H16" i="37"/>
  <c r="T16" i="37"/>
  <c r="U16" i="37"/>
  <c r="I17" i="37"/>
  <c r="H17" i="37"/>
  <c r="T17" i="37"/>
  <c r="U17" i="37"/>
  <c r="I18" i="37"/>
  <c r="H18" i="37"/>
  <c r="T18" i="37"/>
  <c r="U18" i="37"/>
  <c r="I19" i="37"/>
  <c r="H19" i="37"/>
  <c r="T19" i="37"/>
  <c r="U19" i="37"/>
  <c r="I20" i="37"/>
  <c r="H20" i="37"/>
  <c r="T20" i="37"/>
  <c r="U20" i="37"/>
  <c r="I21" i="37"/>
  <c r="H21" i="37"/>
  <c r="T21" i="37"/>
  <c r="U21" i="37"/>
  <c r="I22" i="37"/>
  <c r="H22" i="37"/>
  <c r="T22" i="37"/>
  <c r="U22" i="37"/>
  <c r="I23" i="37"/>
  <c r="H23" i="37"/>
  <c r="T23" i="37"/>
  <c r="U23" i="37"/>
  <c r="I24" i="37"/>
  <c r="H24" i="37"/>
  <c r="T24" i="37"/>
  <c r="U24" i="37"/>
  <c r="I25" i="37"/>
  <c r="H25" i="37"/>
  <c r="T25" i="37"/>
  <c r="U25" i="37"/>
  <c r="I26" i="37"/>
  <c r="H26" i="37"/>
  <c r="T26" i="37"/>
  <c r="U26" i="37"/>
  <c r="I27" i="37"/>
  <c r="H27" i="37"/>
  <c r="T27" i="37"/>
  <c r="U27" i="37"/>
  <c r="I28" i="37"/>
  <c r="H28" i="37"/>
  <c r="T28" i="37"/>
  <c r="U28" i="37"/>
  <c r="I29" i="37"/>
  <c r="H29" i="37"/>
  <c r="T29" i="37"/>
  <c r="U29" i="37"/>
  <c r="I30" i="37"/>
  <c r="H30" i="37"/>
  <c r="T30" i="37"/>
  <c r="U30" i="37"/>
  <c r="I31" i="37"/>
  <c r="H31" i="37"/>
  <c r="T31" i="37"/>
  <c r="U31" i="37"/>
  <c r="I32" i="37"/>
  <c r="H32" i="37"/>
  <c r="T32" i="37"/>
  <c r="U32" i="37"/>
  <c r="I33" i="37"/>
  <c r="H33" i="37"/>
  <c r="T33" i="37"/>
  <c r="U33" i="37"/>
  <c r="I34" i="37"/>
  <c r="H34" i="37"/>
  <c r="T34" i="37"/>
  <c r="U34" i="37"/>
  <c r="I35" i="37"/>
  <c r="H35" i="37"/>
  <c r="T35" i="37"/>
  <c r="U35" i="37"/>
  <c r="I36" i="37"/>
  <c r="H36" i="37"/>
  <c r="T36" i="37"/>
  <c r="U36" i="37"/>
  <c r="I37" i="37"/>
  <c r="H37" i="37"/>
  <c r="T37" i="37"/>
  <c r="U37" i="37"/>
  <c r="I38" i="37"/>
  <c r="H38" i="37"/>
  <c r="T38" i="37"/>
  <c r="U38" i="37"/>
  <c r="I39" i="37"/>
  <c r="H39" i="37"/>
  <c r="T39" i="37"/>
  <c r="U39" i="37"/>
  <c r="I40" i="37"/>
  <c r="H40" i="37"/>
  <c r="T40" i="37"/>
  <c r="U40" i="37"/>
  <c r="I41" i="37"/>
  <c r="H41" i="37"/>
  <c r="T41" i="37"/>
  <c r="U41" i="37"/>
  <c r="I42" i="37"/>
  <c r="H42" i="37"/>
  <c r="T42" i="37"/>
  <c r="U42" i="37"/>
  <c r="I43" i="37"/>
  <c r="H43" i="37"/>
  <c r="T43" i="37"/>
  <c r="U43" i="37"/>
  <c r="I44" i="37"/>
  <c r="H44" i="37"/>
  <c r="T44" i="37"/>
  <c r="U44" i="37"/>
  <c r="I45" i="37"/>
  <c r="H45" i="37"/>
  <c r="T45" i="37"/>
  <c r="U45" i="37"/>
  <c r="I46" i="37"/>
  <c r="H46" i="37"/>
  <c r="T46" i="37"/>
  <c r="U46" i="37"/>
  <c r="I47" i="37"/>
  <c r="H47" i="37"/>
  <c r="T47" i="37"/>
  <c r="U47" i="37"/>
  <c r="I48" i="37"/>
  <c r="H48" i="37"/>
  <c r="T48" i="37"/>
  <c r="U48" i="37"/>
  <c r="I49" i="37"/>
  <c r="H49" i="37"/>
  <c r="T49" i="37"/>
  <c r="U49" i="37"/>
  <c r="I50" i="37"/>
  <c r="H50" i="37"/>
  <c r="T50" i="37"/>
  <c r="U50" i="37"/>
  <c r="I51" i="37"/>
  <c r="H51" i="37"/>
  <c r="T51" i="37"/>
  <c r="U51" i="37"/>
  <c r="I52" i="37"/>
  <c r="H52" i="37"/>
  <c r="T52" i="37"/>
  <c r="U52" i="37"/>
  <c r="I53" i="37"/>
  <c r="H53" i="37"/>
  <c r="T53" i="37"/>
  <c r="U53" i="37"/>
  <c r="I54" i="37"/>
  <c r="H54" i="37"/>
  <c r="T54" i="37"/>
  <c r="U54" i="37"/>
  <c r="I55" i="37"/>
  <c r="H55" i="37"/>
  <c r="T55" i="37"/>
  <c r="U55" i="37"/>
  <c r="I56" i="37"/>
  <c r="H56" i="37"/>
  <c r="T56" i="37"/>
  <c r="U56" i="37"/>
  <c r="I57" i="37"/>
  <c r="H57" i="37"/>
  <c r="T57" i="37"/>
  <c r="U57" i="37"/>
  <c r="I58" i="37"/>
  <c r="H58" i="37"/>
  <c r="T58" i="37"/>
  <c r="U58" i="37"/>
  <c r="I59" i="37"/>
  <c r="H59" i="37"/>
  <c r="T59" i="37"/>
  <c r="U59" i="37"/>
  <c r="I60" i="37"/>
  <c r="H60" i="37"/>
  <c r="T60" i="37"/>
  <c r="U60" i="37"/>
  <c r="I61" i="37"/>
  <c r="H61" i="37"/>
  <c r="T61" i="37"/>
  <c r="U61" i="37"/>
  <c r="I62" i="37"/>
  <c r="H62" i="37"/>
  <c r="T62" i="37"/>
  <c r="U62" i="37"/>
  <c r="I63" i="37"/>
  <c r="H63" i="37"/>
  <c r="T63" i="37"/>
  <c r="U63" i="37"/>
  <c r="I64" i="37"/>
  <c r="H64" i="37"/>
  <c r="T64" i="37"/>
  <c r="U64" i="37"/>
  <c r="I65" i="37"/>
  <c r="H65" i="37"/>
  <c r="T65" i="37"/>
  <c r="U65" i="37"/>
  <c r="I66" i="37"/>
  <c r="H66" i="37"/>
  <c r="T66" i="37"/>
  <c r="U66" i="37"/>
  <c r="I67" i="37"/>
  <c r="H67" i="37"/>
  <c r="T67" i="37"/>
  <c r="U67" i="37"/>
  <c r="I68" i="37"/>
  <c r="H68" i="37"/>
  <c r="T68" i="37"/>
  <c r="U68" i="37"/>
  <c r="I69" i="37"/>
  <c r="H69" i="37"/>
  <c r="T69" i="37"/>
  <c r="U69" i="37"/>
  <c r="I70" i="37"/>
  <c r="H70" i="37"/>
  <c r="T70" i="37"/>
  <c r="U70" i="37"/>
  <c r="I71" i="37"/>
  <c r="H71" i="37"/>
  <c r="T71" i="37"/>
  <c r="U71" i="37"/>
  <c r="I72" i="37"/>
  <c r="H72" i="37"/>
  <c r="T72" i="37"/>
  <c r="U72" i="37"/>
  <c r="I73" i="37"/>
  <c r="H73" i="37"/>
  <c r="T73" i="37"/>
  <c r="U73" i="37"/>
  <c r="I74" i="37"/>
  <c r="H74" i="37"/>
  <c r="T74" i="37"/>
  <c r="U74" i="37"/>
  <c r="I75" i="37"/>
  <c r="H75" i="37"/>
  <c r="T75" i="37"/>
  <c r="U75" i="37"/>
  <c r="I76" i="37"/>
  <c r="H76" i="37"/>
  <c r="T76" i="37"/>
  <c r="U76" i="37"/>
  <c r="I77" i="37"/>
  <c r="H77" i="37"/>
  <c r="T77" i="37"/>
  <c r="U77" i="37"/>
  <c r="B19" i="39"/>
  <c r="B18" i="39"/>
  <c r="B17" i="39"/>
  <c r="B16" i="39"/>
  <c r="B15" i="39"/>
  <c r="B14" i="39"/>
  <c r="B11" i="38"/>
  <c r="B47" i="38"/>
  <c r="B48" i="38"/>
  <c r="B45" i="38"/>
  <c r="B46" i="38"/>
  <c r="B43" i="38"/>
  <c r="B41" i="38"/>
  <c r="B39" i="38"/>
  <c r="B31" i="38"/>
  <c r="B25" i="38"/>
  <c r="E23" i="38"/>
  <c r="E22" i="38"/>
  <c r="E21" i="38"/>
  <c r="E20" i="38"/>
  <c r="E19" i="38"/>
  <c r="B10" i="38"/>
  <c r="B5" i="38"/>
  <c r="N77" i="37"/>
  <c r="G77" i="37"/>
  <c r="F77" i="37"/>
  <c r="E77" i="37"/>
  <c r="C77" i="37"/>
  <c r="N76" i="37"/>
  <c r="G76" i="37"/>
  <c r="F76" i="37"/>
  <c r="E76" i="37"/>
  <c r="C76" i="37"/>
  <c r="N75" i="37"/>
  <c r="G75" i="37"/>
  <c r="F75" i="37"/>
  <c r="E75" i="37"/>
  <c r="C75" i="37"/>
  <c r="N74" i="37"/>
  <c r="G74" i="37"/>
  <c r="F74" i="37"/>
  <c r="E74" i="37"/>
  <c r="C74" i="37"/>
  <c r="N73" i="37"/>
  <c r="G73" i="37"/>
  <c r="F73" i="37"/>
  <c r="E73" i="37"/>
  <c r="C73" i="37"/>
  <c r="N72" i="37"/>
  <c r="G72" i="37"/>
  <c r="F72" i="37"/>
  <c r="E72" i="37"/>
  <c r="C72" i="37"/>
  <c r="N71" i="37"/>
  <c r="G71" i="37"/>
  <c r="F71" i="37"/>
  <c r="E71" i="37"/>
  <c r="C71" i="37"/>
  <c r="N70" i="37"/>
  <c r="G70" i="37"/>
  <c r="F70" i="37"/>
  <c r="E70" i="37"/>
  <c r="C70" i="37"/>
  <c r="N69" i="37"/>
  <c r="G69" i="37"/>
  <c r="F69" i="37"/>
  <c r="E69" i="37"/>
  <c r="C69" i="37"/>
  <c r="N68" i="37"/>
  <c r="G68" i="37"/>
  <c r="F68" i="37"/>
  <c r="E68" i="37"/>
  <c r="C68" i="37"/>
  <c r="N67" i="37"/>
  <c r="G67" i="37"/>
  <c r="F67" i="37"/>
  <c r="E67" i="37"/>
  <c r="C67" i="37"/>
  <c r="N66" i="37"/>
  <c r="G66" i="37"/>
  <c r="F66" i="37"/>
  <c r="E66" i="37"/>
  <c r="C66" i="37"/>
  <c r="N65" i="37"/>
  <c r="G65" i="37"/>
  <c r="F65" i="37"/>
  <c r="E65" i="37"/>
  <c r="C65" i="37"/>
  <c r="N64" i="37"/>
  <c r="G64" i="37"/>
  <c r="F64" i="37"/>
  <c r="E64" i="37"/>
  <c r="C64" i="37"/>
  <c r="N63" i="37"/>
  <c r="G63" i="37"/>
  <c r="F63" i="37"/>
  <c r="E63" i="37"/>
  <c r="C63" i="37"/>
  <c r="N62" i="37"/>
  <c r="G62" i="37"/>
  <c r="F62" i="37"/>
  <c r="E62" i="37"/>
  <c r="C62" i="37"/>
  <c r="N61" i="37"/>
  <c r="G61" i="37"/>
  <c r="F61" i="37"/>
  <c r="E61" i="37"/>
  <c r="C61" i="37"/>
  <c r="N60" i="37"/>
  <c r="G60" i="37"/>
  <c r="F60" i="37"/>
  <c r="E60" i="37"/>
  <c r="C60" i="37"/>
  <c r="N59" i="37"/>
  <c r="G59" i="37"/>
  <c r="F59" i="37"/>
  <c r="E59" i="37"/>
  <c r="C59" i="37"/>
  <c r="N58" i="37"/>
  <c r="G58" i="37"/>
  <c r="F58" i="37"/>
  <c r="E58" i="37"/>
  <c r="C58" i="37"/>
  <c r="N57" i="37"/>
  <c r="G57" i="37"/>
  <c r="F57" i="37"/>
  <c r="E57" i="37"/>
  <c r="C57" i="37"/>
  <c r="N56" i="37"/>
  <c r="G56" i="37"/>
  <c r="F56" i="37"/>
  <c r="E56" i="37"/>
  <c r="C56" i="37"/>
  <c r="N55" i="37"/>
  <c r="G55" i="37"/>
  <c r="F55" i="37"/>
  <c r="E55" i="37"/>
  <c r="C55" i="37"/>
  <c r="N54" i="37"/>
  <c r="G54" i="37"/>
  <c r="F54" i="37"/>
  <c r="E54" i="37"/>
  <c r="C54" i="37"/>
  <c r="N53" i="37"/>
  <c r="G53" i="37"/>
  <c r="F53" i="37"/>
  <c r="E53" i="37"/>
  <c r="C53" i="37"/>
  <c r="N52" i="37"/>
  <c r="G52" i="37"/>
  <c r="F52" i="37"/>
  <c r="E52" i="37"/>
  <c r="C52" i="37"/>
  <c r="N51" i="37"/>
  <c r="G51" i="37"/>
  <c r="F51" i="37"/>
  <c r="E51" i="37"/>
  <c r="C51" i="37"/>
  <c r="N50" i="37"/>
  <c r="G50" i="37"/>
  <c r="F50" i="37"/>
  <c r="E50" i="37"/>
  <c r="C50" i="37"/>
  <c r="N49" i="37"/>
  <c r="G49" i="37"/>
  <c r="F49" i="37"/>
  <c r="E49" i="37"/>
  <c r="C49" i="37"/>
  <c r="N48" i="37"/>
  <c r="G48" i="37"/>
  <c r="F48" i="37"/>
  <c r="E48" i="37"/>
  <c r="C48" i="37"/>
  <c r="N47" i="37"/>
  <c r="G47" i="37"/>
  <c r="F47" i="37"/>
  <c r="E47" i="37"/>
  <c r="C47" i="37"/>
  <c r="N46" i="37"/>
  <c r="G46" i="37"/>
  <c r="F46" i="37"/>
  <c r="E46" i="37"/>
  <c r="C46" i="37"/>
  <c r="N45" i="37"/>
  <c r="G45" i="37"/>
  <c r="F45" i="37"/>
  <c r="E45" i="37"/>
  <c r="C45" i="37"/>
  <c r="N44" i="37"/>
  <c r="G44" i="37"/>
  <c r="F44" i="37"/>
  <c r="E44" i="37"/>
  <c r="C44" i="37"/>
  <c r="N43" i="37"/>
  <c r="G43" i="37"/>
  <c r="F43" i="37"/>
  <c r="E43" i="37"/>
  <c r="C43" i="37"/>
  <c r="N42" i="37"/>
  <c r="G42" i="37"/>
  <c r="F42" i="37"/>
  <c r="E42" i="37"/>
  <c r="C42" i="37"/>
  <c r="N41" i="37"/>
  <c r="G41" i="37"/>
  <c r="F41" i="37"/>
  <c r="E41" i="37"/>
  <c r="C41" i="37"/>
  <c r="N40" i="37"/>
  <c r="G40" i="37"/>
  <c r="F40" i="37"/>
  <c r="E40" i="37"/>
  <c r="C40" i="37"/>
  <c r="N39" i="37"/>
  <c r="G39" i="37"/>
  <c r="F39" i="37"/>
  <c r="E39" i="37"/>
  <c r="C39" i="37"/>
  <c r="N38" i="37"/>
  <c r="G38" i="37"/>
  <c r="F38" i="37"/>
  <c r="E38" i="37"/>
  <c r="C38" i="37"/>
  <c r="N37" i="37"/>
  <c r="G37" i="37"/>
  <c r="F37" i="37"/>
  <c r="E37" i="37"/>
  <c r="C37" i="37"/>
  <c r="N36" i="37"/>
  <c r="G36" i="37"/>
  <c r="F36" i="37"/>
  <c r="E36" i="37"/>
  <c r="C36" i="37"/>
  <c r="N35" i="37"/>
  <c r="G35" i="37"/>
  <c r="F35" i="37"/>
  <c r="E35" i="37"/>
  <c r="C35" i="37"/>
  <c r="N34" i="37"/>
  <c r="G34" i="37"/>
  <c r="F34" i="37"/>
  <c r="E34" i="37"/>
  <c r="C34" i="37"/>
  <c r="N33" i="37"/>
  <c r="G33" i="37"/>
  <c r="F33" i="37"/>
  <c r="E33" i="37"/>
  <c r="C33" i="37"/>
  <c r="N32" i="37"/>
  <c r="G32" i="37"/>
  <c r="F32" i="37"/>
  <c r="E32" i="37"/>
  <c r="C32" i="37"/>
  <c r="N31" i="37"/>
  <c r="G31" i="37"/>
  <c r="F31" i="37"/>
  <c r="E31" i="37"/>
  <c r="C31" i="37"/>
  <c r="N30" i="37"/>
  <c r="G30" i="37"/>
  <c r="F30" i="37"/>
  <c r="E30" i="37"/>
  <c r="C30" i="37"/>
  <c r="N29" i="37"/>
  <c r="G29" i="37"/>
  <c r="F29" i="37"/>
  <c r="E29" i="37"/>
  <c r="C29" i="37"/>
  <c r="N28" i="37"/>
  <c r="G28" i="37"/>
  <c r="F28" i="37"/>
  <c r="E28" i="37"/>
  <c r="C28" i="37"/>
  <c r="N27" i="37"/>
  <c r="G27" i="37"/>
  <c r="F27" i="37"/>
  <c r="E27" i="37"/>
  <c r="C27" i="37"/>
  <c r="N26" i="37"/>
  <c r="G26" i="37"/>
  <c r="F26" i="37"/>
  <c r="E26" i="37"/>
  <c r="C26" i="37"/>
  <c r="N25" i="37"/>
  <c r="G25" i="37"/>
  <c r="F25" i="37"/>
  <c r="E25" i="37"/>
  <c r="C25" i="37"/>
  <c r="N24" i="37"/>
  <c r="G24" i="37"/>
  <c r="F24" i="37"/>
  <c r="E24" i="37"/>
  <c r="C24" i="37"/>
  <c r="N23" i="37"/>
  <c r="G23" i="37"/>
  <c r="F23" i="37"/>
  <c r="E23" i="37"/>
  <c r="C23" i="37"/>
  <c r="N22" i="37"/>
  <c r="G22" i="37"/>
  <c r="F22" i="37"/>
  <c r="E22" i="37"/>
  <c r="C22" i="37"/>
  <c r="N21" i="37"/>
  <c r="G21" i="37"/>
  <c r="F21" i="37"/>
  <c r="E21" i="37"/>
  <c r="C21" i="37"/>
  <c r="N20" i="37"/>
  <c r="G20" i="37"/>
  <c r="F20" i="37"/>
  <c r="E20" i="37"/>
  <c r="C20" i="37"/>
  <c r="N19" i="37"/>
  <c r="G19" i="37"/>
  <c r="F19" i="37"/>
  <c r="E19" i="37"/>
  <c r="C19" i="37"/>
  <c r="N18" i="37"/>
  <c r="G18" i="37"/>
  <c r="F18" i="37"/>
  <c r="E18" i="37"/>
  <c r="C18" i="37"/>
  <c r="N17" i="37"/>
  <c r="G17" i="37"/>
  <c r="F17" i="37"/>
  <c r="E17" i="37"/>
  <c r="C17" i="37"/>
  <c r="N16" i="37"/>
  <c r="G16" i="37"/>
  <c r="F16" i="37"/>
  <c r="E16" i="37"/>
  <c r="C16" i="37"/>
  <c r="N15" i="37"/>
  <c r="G15" i="37"/>
  <c r="F15" i="37"/>
  <c r="E15" i="37"/>
  <c r="C15" i="37"/>
  <c r="N14" i="37"/>
  <c r="G14" i="37"/>
  <c r="F14" i="37"/>
  <c r="E14" i="37"/>
  <c r="C14" i="37"/>
  <c r="N13" i="37"/>
  <c r="G13" i="37"/>
  <c r="F13" i="37"/>
  <c r="E13" i="37"/>
  <c r="C13" i="37"/>
  <c r="N12" i="37"/>
  <c r="G12" i="37"/>
  <c r="F12" i="37"/>
  <c r="E12" i="37"/>
  <c r="C12" i="37"/>
  <c r="N11" i="37"/>
  <c r="G11" i="37"/>
  <c r="F11" i="37"/>
  <c r="E11" i="37"/>
  <c r="C11" i="37"/>
  <c r="N10" i="37"/>
  <c r="G10" i="37"/>
  <c r="F10" i="37"/>
  <c r="E10" i="37"/>
  <c r="C10" i="37"/>
  <c r="N9" i="37"/>
  <c r="G9" i="37"/>
  <c r="F9" i="37"/>
  <c r="E9" i="37"/>
  <c r="C9" i="37"/>
  <c r="N8" i="37"/>
  <c r="G8" i="37"/>
  <c r="F8" i="37"/>
  <c r="E8" i="37"/>
  <c r="C8" i="37"/>
  <c r="N7" i="37"/>
  <c r="G7" i="37"/>
  <c r="F7" i="37"/>
  <c r="E7" i="37"/>
  <c r="C7" i="37"/>
  <c r="V136" i="36"/>
  <c r="S136" i="36"/>
  <c r="R136" i="36"/>
  <c r="Q136" i="36"/>
  <c r="Z135" i="35"/>
  <c r="J136" i="36"/>
  <c r="W135" i="35"/>
  <c r="Y135" i="35"/>
  <c r="I136" i="36"/>
  <c r="T135" i="35"/>
  <c r="H136" i="36"/>
  <c r="Q135" i="35"/>
  <c r="G136" i="36"/>
  <c r="F136" i="36"/>
  <c r="E136" i="36"/>
  <c r="C135" i="35"/>
  <c r="D136" i="36"/>
  <c r="C136" i="36"/>
  <c r="A135" i="35"/>
  <c r="B136" i="36"/>
  <c r="V135" i="36"/>
  <c r="S135" i="36"/>
  <c r="R135" i="36"/>
  <c r="Q135" i="36"/>
  <c r="Z134" i="35"/>
  <c r="J135" i="36"/>
  <c r="W134" i="35"/>
  <c r="Y134" i="35"/>
  <c r="I135" i="36"/>
  <c r="T134" i="35"/>
  <c r="H135" i="36"/>
  <c r="Q134" i="35"/>
  <c r="G135" i="36"/>
  <c r="F135" i="36"/>
  <c r="E135" i="36"/>
  <c r="C134" i="35"/>
  <c r="D135" i="36"/>
  <c r="C135" i="36"/>
  <c r="A134" i="35"/>
  <c r="B135" i="36"/>
  <c r="V134" i="36"/>
  <c r="S134" i="36"/>
  <c r="R134" i="36"/>
  <c r="Q134" i="36"/>
  <c r="Z133" i="35"/>
  <c r="J134" i="36"/>
  <c r="W133" i="35"/>
  <c r="Y133" i="35"/>
  <c r="I134" i="36"/>
  <c r="T133" i="35"/>
  <c r="H134" i="36"/>
  <c r="Q133" i="35"/>
  <c r="G134" i="36"/>
  <c r="F134" i="36"/>
  <c r="E134" i="36"/>
  <c r="C133" i="35"/>
  <c r="D134" i="36"/>
  <c r="C134" i="36"/>
  <c r="A133" i="35"/>
  <c r="B134" i="36"/>
  <c r="V133" i="36"/>
  <c r="S133" i="36"/>
  <c r="R133" i="36"/>
  <c r="Q133" i="36"/>
  <c r="Z132" i="35"/>
  <c r="J133" i="36"/>
  <c r="W132" i="35"/>
  <c r="Y132" i="35"/>
  <c r="I133" i="36"/>
  <c r="T132" i="35"/>
  <c r="H133" i="36"/>
  <c r="Q132" i="35"/>
  <c r="G133" i="36"/>
  <c r="F133" i="36"/>
  <c r="E133" i="36"/>
  <c r="C132" i="35"/>
  <c r="D133" i="36"/>
  <c r="C133" i="36"/>
  <c r="A132" i="35"/>
  <c r="B133" i="36"/>
  <c r="V132" i="36"/>
  <c r="S132" i="36"/>
  <c r="R132" i="36"/>
  <c r="Q132" i="36"/>
  <c r="Z131" i="35"/>
  <c r="J132" i="36"/>
  <c r="W131" i="35"/>
  <c r="Y131" i="35"/>
  <c r="I132" i="36"/>
  <c r="T131" i="35"/>
  <c r="H132" i="36"/>
  <c r="Q131" i="35"/>
  <c r="G132" i="36"/>
  <c r="F132" i="36"/>
  <c r="E132" i="36"/>
  <c r="C131" i="35"/>
  <c r="D132" i="36"/>
  <c r="C132" i="36"/>
  <c r="A131" i="35"/>
  <c r="B132" i="36"/>
  <c r="V131" i="36"/>
  <c r="S131" i="36"/>
  <c r="R131" i="36"/>
  <c r="Q131" i="36"/>
  <c r="Z130" i="35"/>
  <c r="J131" i="36"/>
  <c r="W130" i="35"/>
  <c r="Y130" i="35"/>
  <c r="I131" i="36"/>
  <c r="T130" i="35"/>
  <c r="H131" i="36"/>
  <c r="Q130" i="35"/>
  <c r="G131" i="36"/>
  <c r="F131" i="36"/>
  <c r="E131" i="36"/>
  <c r="C130" i="35"/>
  <c r="D131" i="36"/>
  <c r="C131" i="36"/>
  <c r="A130" i="35"/>
  <c r="B131" i="36"/>
  <c r="V130" i="36"/>
  <c r="S130" i="36"/>
  <c r="R130" i="36"/>
  <c r="Q130" i="36"/>
  <c r="Z129" i="35"/>
  <c r="J130" i="36"/>
  <c r="W129" i="35"/>
  <c r="Y129" i="35"/>
  <c r="I130" i="36"/>
  <c r="T129" i="35"/>
  <c r="H130" i="36"/>
  <c r="Q129" i="35"/>
  <c r="G130" i="36"/>
  <c r="F130" i="36"/>
  <c r="E130" i="36"/>
  <c r="C129" i="35"/>
  <c r="D130" i="36"/>
  <c r="C130" i="36"/>
  <c r="A129" i="35"/>
  <c r="B130" i="36"/>
  <c r="V129" i="36"/>
  <c r="S129" i="36"/>
  <c r="R129" i="36"/>
  <c r="Q129" i="36"/>
  <c r="Z128" i="35"/>
  <c r="J129" i="36"/>
  <c r="W128" i="35"/>
  <c r="Y128" i="35"/>
  <c r="I129" i="36"/>
  <c r="T128" i="35"/>
  <c r="H129" i="36"/>
  <c r="Q128" i="35"/>
  <c r="G129" i="36"/>
  <c r="F129" i="36"/>
  <c r="E129" i="36"/>
  <c r="C128" i="35"/>
  <c r="D129" i="36"/>
  <c r="C129" i="36"/>
  <c r="A128" i="35"/>
  <c r="B129" i="36"/>
  <c r="V128" i="36"/>
  <c r="S128" i="36"/>
  <c r="R128" i="36"/>
  <c r="Q128" i="36"/>
  <c r="Z127" i="35"/>
  <c r="J128" i="36"/>
  <c r="W127" i="35"/>
  <c r="Y127" i="35"/>
  <c r="I128" i="36"/>
  <c r="T127" i="35"/>
  <c r="H128" i="36"/>
  <c r="Q127" i="35"/>
  <c r="G128" i="36"/>
  <c r="F128" i="36"/>
  <c r="E128" i="36"/>
  <c r="C127" i="35"/>
  <c r="D128" i="36"/>
  <c r="C128" i="36"/>
  <c r="A127" i="35"/>
  <c r="B128" i="36"/>
  <c r="V127" i="36"/>
  <c r="S127" i="36"/>
  <c r="R127" i="36"/>
  <c r="Q127" i="36"/>
  <c r="Z126" i="35"/>
  <c r="J127" i="36"/>
  <c r="W126" i="35"/>
  <c r="Y126" i="35"/>
  <c r="I127" i="36"/>
  <c r="T126" i="35"/>
  <c r="H127" i="36"/>
  <c r="Q126" i="35"/>
  <c r="G127" i="36"/>
  <c r="F127" i="36"/>
  <c r="E127" i="36"/>
  <c r="C126" i="35"/>
  <c r="D127" i="36"/>
  <c r="C127" i="36"/>
  <c r="A126" i="35"/>
  <c r="B127" i="36"/>
  <c r="V126" i="36"/>
  <c r="S126" i="36"/>
  <c r="R126" i="36"/>
  <c r="Q126" i="36"/>
  <c r="Z125" i="35"/>
  <c r="J126" i="36"/>
  <c r="W125" i="35"/>
  <c r="Y125" i="35"/>
  <c r="I126" i="36"/>
  <c r="T125" i="35"/>
  <c r="H126" i="36"/>
  <c r="Q125" i="35"/>
  <c r="G126" i="36"/>
  <c r="F126" i="36"/>
  <c r="E126" i="36"/>
  <c r="C125" i="35"/>
  <c r="D126" i="36"/>
  <c r="C126" i="36"/>
  <c r="A125" i="35"/>
  <c r="B126" i="36"/>
  <c r="V125" i="36"/>
  <c r="S125" i="36"/>
  <c r="R125" i="36"/>
  <c r="Q125" i="36"/>
  <c r="Z124" i="35"/>
  <c r="J125" i="36"/>
  <c r="W124" i="35"/>
  <c r="Y124" i="35"/>
  <c r="I125" i="36"/>
  <c r="T124" i="35"/>
  <c r="H125" i="36"/>
  <c r="Q124" i="35"/>
  <c r="G125" i="36"/>
  <c r="F125" i="36"/>
  <c r="E125" i="36"/>
  <c r="C124" i="35"/>
  <c r="D125" i="36"/>
  <c r="C125" i="36"/>
  <c r="A124" i="35"/>
  <c r="B125" i="36"/>
  <c r="V124" i="36"/>
  <c r="S124" i="36"/>
  <c r="R124" i="36"/>
  <c r="Q124" i="36"/>
  <c r="Z123" i="35"/>
  <c r="J124" i="36"/>
  <c r="W123" i="35"/>
  <c r="Y123" i="35"/>
  <c r="I124" i="36"/>
  <c r="T123" i="35"/>
  <c r="H124" i="36"/>
  <c r="Q123" i="35"/>
  <c r="G124" i="36"/>
  <c r="F124" i="36"/>
  <c r="E124" i="36"/>
  <c r="C123" i="35"/>
  <c r="D124" i="36"/>
  <c r="C124" i="36"/>
  <c r="A123" i="35"/>
  <c r="B124" i="36"/>
  <c r="V123" i="36"/>
  <c r="S123" i="36"/>
  <c r="R123" i="36"/>
  <c r="Q123" i="36"/>
  <c r="Z122" i="35"/>
  <c r="J123" i="36"/>
  <c r="W122" i="35"/>
  <c r="Y122" i="35"/>
  <c r="I123" i="36"/>
  <c r="T122" i="35"/>
  <c r="H123" i="36"/>
  <c r="Q122" i="35"/>
  <c r="G123" i="36"/>
  <c r="F123" i="36"/>
  <c r="E123" i="36"/>
  <c r="C122" i="35"/>
  <c r="D123" i="36"/>
  <c r="C123" i="36"/>
  <c r="A122" i="35"/>
  <c r="B123" i="36"/>
  <c r="V122" i="36"/>
  <c r="S122" i="36"/>
  <c r="R122" i="36"/>
  <c r="Q122" i="36"/>
  <c r="Z121" i="35"/>
  <c r="J122" i="36"/>
  <c r="W121" i="35"/>
  <c r="Y121" i="35"/>
  <c r="I122" i="36"/>
  <c r="T121" i="35"/>
  <c r="H122" i="36"/>
  <c r="Q121" i="35"/>
  <c r="G122" i="36"/>
  <c r="F122" i="36"/>
  <c r="E122" i="36"/>
  <c r="C121" i="35"/>
  <c r="D122" i="36"/>
  <c r="C122" i="36"/>
  <c r="A121" i="35"/>
  <c r="B122" i="36"/>
  <c r="V121" i="36"/>
  <c r="S121" i="36"/>
  <c r="R121" i="36"/>
  <c r="Q121" i="36"/>
  <c r="Z120" i="35"/>
  <c r="J121" i="36"/>
  <c r="W120" i="35"/>
  <c r="Y120" i="35"/>
  <c r="I121" i="36"/>
  <c r="T120" i="35"/>
  <c r="H121" i="36"/>
  <c r="Q120" i="35"/>
  <c r="G121" i="36"/>
  <c r="F121" i="36"/>
  <c r="E121" i="36"/>
  <c r="C120" i="35"/>
  <c r="D121" i="36"/>
  <c r="C121" i="36"/>
  <c r="A120" i="35"/>
  <c r="B121" i="36"/>
  <c r="V120" i="36"/>
  <c r="S120" i="36"/>
  <c r="R120" i="36"/>
  <c r="Q120" i="36"/>
  <c r="Z119" i="35"/>
  <c r="J120" i="36"/>
  <c r="W119" i="35"/>
  <c r="Y119" i="35"/>
  <c r="I120" i="36"/>
  <c r="T119" i="35"/>
  <c r="H120" i="36"/>
  <c r="Q119" i="35"/>
  <c r="G120" i="36"/>
  <c r="F120" i="36"/>
  <c r="E120" i="36"/>
  <c r="C119" i="35"/>
  <c r="D120" i="36"/>
  <c r="C120" i="36"/>
  <c r="A119" i="35"/>
  <c r="B120" i="36"/>
  <c r="V119" i="36"/>
  <c r="S119" i="36"/>
  <c r="R119" i="36"/>
  <c r="Q119" i="36"/>
  <c r="Z118" i="35"/>
  <c r="J119" i="36"/>
  <c r="W118" i="35"/>
  <c r="Y118" i="35"/>
  <c r="I119" i="36"/>
  <c r="T118" i="35"/>
  <c r="H119" i="36"/>
  <c r="Q118" i="35"/>
  <c r="G119" i="36"/>
  <c r="F119" i="36"/>
  <c r="E119" i="36"/>
  <c r="C118" i="35"/>
  <c r="D119" i="36"/>
  <c r="C119" i="36"/>
  <c r="A118" i="35"/>
  <c r="B119" i="36"/>
  <c r="V118" i="36"/>
  <c r="S118" i="36"/>
  <c r="R118" i="36"/>
  <c r="Q118" i="36"/>
  <c r="Z117" i="35"/>
  <c r="J118" i="36"/>
  <c r="W117" i="35"/>
  <c r="Y117" i="35"/>
  <c r="I118" i="36"/>
  <c r="T117" i="35"/>
  <c r="H118" i="36"/>
  <c r="Q117" i="35"/>
  <c r="G118" i="36"/>
  <c r="F118" i="36"/>
  <c r="E118" i="36"/>
  <c r="C117" i="35"/>
  <c r="D118" i="36"/>
  <c r="C118" i="36"/>
  <c r="A117" i="35"/>
  <c r="B118" i="36"/>
  <c r="V117" i="36"/>
  <c r="S117" i="36"/>
  <c r="R117" i="36"/>
  <c r="Q117" i="36"/>
  <c r="Z116" i="35"/>
  <c r="J117" i="36"/>
  <c r="W116" i="35"/>
  <c r="Y116" i="35"/>
  <c r="I117" i="36"/>
  <c r="T116" i="35"/>
  <c r="H117" i="36"/>
  <c r="Q116" i="35"/>
  <c r="G117" i="36"/>
  <c r="F117" i="36"/>
  <c r="E117" i="36"/>
  <c r="C116" i="35"/>
  <c r="D117" i="36"/>
  <c r="C117" i="36"/>
  <c r="A116" i="35"/>
  <c r="B117" i="36"/>
  <c r="V116" i="36"/>
  <c r="S116" i="36"/>
  <c r="R116" i="36"/>
  <c r="Q116" i="36"/>
  <c r="Z115" i="35"/>
  <c r="J116" i="36"/>
  <c r="W115" i="35"/>
  <c r="Y115" i="35"/>
  <c r="I116" i="36"/>
  <c r="T115" i="35"/>
  <c r="H116" i="36"/>
  <c r="Q115" i="35"/>
  <c r="G116" i="36"/>
  <c r="F116" i="36"/>
  <c r="E116" i="36"/>
  <c r="C115" i="35"/>
  <c r="D116" i="36"/>
  <c r="C116" i="36"/>
  <c r="A115" i="35"/>
  <c r="B116" i="36"/>
  <c r="V115" i="36"/>
  <c r="S115" i="36"/>
  <c r="R115" i="36"/>
  <c r="Q115" i="36"/>
  <c r="Z114" i="35"/>
  <c r="J115" i="36"/>
  <c r="W114" i="35"/>
  <c r="Y114" i="35"/>
  <c r="I115" i="36"/>
  <c r="T114" i="35"/>
  <c r="H115" i="36"/>
  <c r="Q114" i="35"/>
  <c r="G115" i="36"/>
  <c r="F115" i="36"/>
  <c r="E115" i="36"/>
  <c r="C114" i="35"/>
  <c r="D115" i="36"/>
  <c r="C115" i="36"/>
  <c r="A114" i="35"/>
  <c r="B115" i="36"/>
  <c r="V114" i="36"/>
  <c r="S114" i="36"/>
  <c r="R114" i="36"/>
  <c r="Q114" i="36"/>
  <c r="Z113" i="35"/>
  <c r="J114" i="36"/>
  <c r="W113" i="35"/>
  <c r="Y113" i="35"/>
  <c r="I114" i="36"/>
  <c r="T113" i="35"/>
  <c r="H114" i="36"/>
  <c r="Q113" i="35"/>
  <c r="G114" i="36"/>
  <c r="F114" i="36"/>
  <c r="E114" i="36"/>
  <c r="C113" i="35"/>
  <c r="D114" i="36"/>
  <c r="C114" i="36"/>
  <c r="A113" i="35"/>
  <c r="B114" i="36"/>
  <c r="V113" i="36"/>
  <c r="S113" i="36"/>
  <c r="R113" i="36"/>
  <c r="Q113" i="36"/>
  <c r="Z112" i="35"/>
  <c r="J113" i="36"/>
  <c r="W112" i="35"/>
  <c r="Y112" i="35"/>
  <c r="I113" i="36"/>
  <c r="T112" i="35"/>
  <c r="H113" i="36"/>
  <c r="Q112" i="35"/>
  <c r="G113" i="36"/>
  <c r="F113" i="36"/>
  <c r="E113" i="36"/>
  <c r="C112" i="35"/>
  <c r="D113" i="36"/>
  <c r="C113" i="36"/>
  <c r="A112" i="35"/>
  <c r="B113" i="36"/>
  <c r="V112" i="36"/>
  <c r="S112" i="36"/>
  <c r="R112" i="36"/>
  <c r="Q112" i="36"/>
  <c r="Z111" i="35"/>
  <c r="J112" i="36"/>
  <c r="W111" i="35"/>
  <c r="Y111" i="35"/>
  <c r="I112" i="36"/>
  <c r="T111" i="35"/>
  <c r="H112" i="36"/>
  <c r="Q111" i="35"/>
  <c r="G112" i="36"/>
  <c r="F112" i="36"/>
  <c r="E112" i="36"/>
  <c r="C111" i="35"/>
  <c r="D112" i="36"/>
  <c r="C112" i="36"/>
  <c r="A111" i="35"/>
  <c r="B112" i="36"/>
  <c r="V111" i="36"/>
  <c r="S111" i="36"/>
  <c r="R111" i="36"/>
  <c r="Q111" i="36"/>
  <c r="Z110" i="35"/>
  <c r="J111" i="36"/>
  <c r="W110" i="35"/>
  <c r="Y110" i="35"/>
  <c r="I111" i="36"/>
  <c r="T110" i="35"/>
  <c r="H111" i="36"/>
  <c r="Q110" i="35"/>
  <c r="G111" i="36"/>
  <c r="F111" i="36"/>
  <c r="E111" i="36"/>
  <c r="C110" i="35"/>
  <c r="D111" i="36"/>
  <c r="C111" i="36"/>
  <c r="A110" i="35"/>
  <c r="B111" i="36"/>
  <c r="V110" i="36"/>
  <c r="S110" i="36"/>
  <c r="R110" i="36"/>
  <c r="Q110" i="36"/>
  <c r="Z109" i="35"/>
  <c r="J110" i="36"/>
  <c r="W109" i="35"/>
  <c r="Y109" i="35"/>
  <c r="I110" i="36"/>
  <c r="T109" i="35"/>
  <c r="H110" i="36"/>
  <c r="Q109" i="35"/>
  <c r="G110" i="36"/>
  <c r="F110" i="36"/>
  <c r="E110" i="36"/>
  <c r="C109" i="35"/>
  <c r="D110" i="36"/>
  <c r="C110" i="36"/>
  <c r="A109" i="35"/>
  <c r="B110" i="36"/>
  <c r="V109" i="36"/>
  <c r="S109" i="36"/>
  <c r="R109" i="36"/>
  <c r="Q109" i="36"/>
  <c r="Z108" i="35"/>
  <c r="J109" i="36"/>
  <c r="W108" i="35"/>
  <c r="Y108" i="35"/>
  <c r="I109" i="36"/>
  <c r="T108" i="35"/>
  <c r="H109" i="36"/>
  <c r="Q108" i="35"/>
  <c r="G109" i="36"/>
  <c r="F109" i="36"/>
  <c r="E109" i="36"/>
  <c r="C108" i="35"/>
  <c r="D109" i="36"/>
  <c r="C109" i="36"/>
  <c r="A108" i="35"/>
  <c r="B109" i="36"/>
  <c r="V108" i="36"/>
  <c r="S108" i="36"/>
  <c r="R108" i="36"/>
  <c r="Q108" i="36"/>
  <c r="Z107" i="35"/>
  <c r="J108" i="36"/>
  <c r="W107" i="35"/>
  <c r="Y107" i="35"/>
  <c r="I108" i="36"/>
  <c r="T107" i="35"/>
  <c r="H108" i="36"/>
  <c r="Q107" i="35"/>
  <c r="G108" i="36"/>
  <c r="F108" i="36"/>
  <c r="E108" i="36"/>
  <c r="C107" i="35"/>
  <c r="D108" i="36"/>
  <c r="C108" i="36"/>
  <c r="A107" i="35"/>
  <c r="B108" i="36"/>
  <c r="V107" i="36"/>
  <c r="S107" i="36"/>
  <c r="R107" i="36"/>
  <c r="Q107" i="36"/>
  <c r="Z106" i="35"/>
  <c r="J107" i="36"/>
  <c r="W106" i="35"/>
  <c r="Y106" i="35"/>
  <c r="I107" i="36"/>
  <c r="T106" i="35"/>
  <c r="H107" i="36"/>
  <c r="Q106" i="35"/>
  <c r="G107" i="36"/>
  <c r="F107" i="36"/>
  <c r="E107" i="36"/>
  <c r="C106" i="35"/>
  <c r="D107" i="36"/>
  <c r="C107" i="36"/>
  <c r="A106" i="35"/>
  <c r="B107" i="36"/>
  <c r="V106" i="36"/>
  <c r="S106" i="36"/>
  <c r="R106" i="36"/>
  <c r="Q106" i="36"/>
  <c r="Z105" i="35"/>
  <c r="J106" i="36"/>
  <c r="W105" i="35"/>
  <c r="Y105" i="35"/>
  <c r="I106" i="36"/>
  <c r="T105" i="35"/>
  <c r="H106" i="36"/>
  <c r="Q105" i="35"/>
  <c r="G106" i="36"/>
  <c r="F106" i="36"/>
  <c r="E106" i="36"/>
  <c r="C105" i="35"/>
  <c r="D106" i="36"/>
  <c r="C106" i="36"/>
  <c r="A105" i="35"/>
  <c r="B106" i="36"/>
  <c r="V105" i="36"/>
  <c r="S105" i="36"/>
  <c r="R105" i="36"/>
  <c r="Q105" i="36"/>
  <c r="Z104" i="35"/>
  <c r="J105" i="36"/>
  <c r="W104" i="35"/>
  <c r="Y104" i="35"/>
  <c r="I105" i="36"/>
  <c r="T104" i="35"/>
  <c r="H105" i="36"/>
  <c r="Q104" i="35"/>
  <c r="G105" i="36"/>
  <c r="F105" i="36"/>
  <c r="E105" i="36"/>
  <c r="C104" i="35"/>
  <c r="D105" i="36"/>
  <c r="C105" i="36"/>
  <c r="A104" i="35"/>
  <c r="B105" i="36"/>
  <c r="V104" i="36"/>
  <c r="S104" i="36"/>
  <c r="R104" i="36"/>
  <c r="Q104" i="36"/>
  <c r="Z103" i="35"/>
  <c r="J104" i="36"/>
  <c r="W103" i="35"/>
  <c r="Y103" i="35"/>
  <c r="I104" i="36"/>
  <c r="T103" i="35"/>
  <c r="H104" i="36"/>
  <c r="Q103" i="35"/>
  <c r="G104" i="36"/>
  <c r="F104" i="36"/>
  <c r="E104" i="36"/>
  <c r="C103" i="35"/>
  <c r="D104" i="36"/>
  <c r="C104" i="36"/>
  <c r="A103" i="35"/>
  <c r="B104" i="36"/>
  <c r="V103" i="36"/>
  <c r="S103" i="36"/>
  <c r="R103" i="36"/>
  <c r="Q103" i="36"/>
  <c r="Z102" i="35"/>
  <c r="J103" i="36"/>
  <c r="W102" i="35"/>
  <c r="Y102" i="35"/>
  <c r="I103" i="36"/>
  <c r="T102" i="35"/>
  <c r="H103" i="36"/>
  <c r="Q102" i="35"/>
  <c r="G103" i="36"/>
  <c r="F103" i="36"/>
  <c r="E103" i="36"/>
  <c r="C102" i="35"/>
  <c r="D103" i="36"/>
  <c r="C103" i="36"/>
  <c r="A102" i="35"/>
  <c r="B103" i="36"/>
  <c r="V102" i="36"/>
  <c r="S102" i="36"/>
  <c r="R102" i="36"/>
  <c r="Q102" i="36"/>
  <c r="Z101" i="35"/>
  <c r="J102" i="36"/>
  <c r="W101" i="35"/>
  <c r="Y101" i="35"/>
  <c r="I102" i="36"/>
  <c r="T101" i="35"/>
  <c r="H102" i="36"/>
  <c r="Q101" i="35"/>
  <c r="G102" i="36"/>
  <c r="F102" i="36"/>
  <c r="E102" i="36"/>
  <c r="C101" i="35"/>
  <c r="D102" i="36"/>
  <c r="C102" i="36"/>
  <c r="A101" i="35"/>
  <c r="B102" i="36"/>
  <c r="V101" i="36"/>
  <c r="S101" i="36"/>
  <c r="R101" i="36"/>
  <c r="Q101" i="36"/>
  <c r="Z100" i="35"/>
  <c r="J101" i="36"/>
  <c r="W100" i="35"/>
  <c r="Y100" i="35"/>
  <c r="I101" i="36"/>
  <c r="T100" i="35"/>
  <c r="H101" i="36"/>
  <c r="Q100" i="35"/>
  <c r="G101" i="36"/>
  <c r="F101" i="36"/>
  <c r="E101" i="36"/>
  <c r="C100" i="35"/>
  <c r="D101" i="36"/>
  <c r="C101" i="36"/>
  <c r="A100" i="35"/>
  <c r="B101" i="36"/>
  <c r="V100" i="36"/>
  <c r="S100" i="36"/>
  <c r="R100" i="36"/>
  <c r="Q100" i="36"/>
  <c r="Z99" i="35"/>
  <c r="J100" i="36"/>
  <c r="W99" i="35"/>
  <c r="Y99" i="35"/>
  <c r="I100" i="36"/>
  <c r="T99" i="35"/>
  <c r="H100" i="36"/>
  <c r="Q99" i="35"/>
  <c r="G100" i="36"/>
  <c r="F100" i="36"/>
  <c r="E100" i="36"/>
  <c r="C99" i="35"/>
  <c r="D100" i="36"/>
  <c r="C100" i="36"/>
  <c r="A99" i="35"/>
  <c r="B100" i="36"/>
  <c r="V99" i="36"/>
  <c r="S99" i="36"/>
  <c r="R99" i="36"/>
  <c r="Q99" i="36"/>
  <c r="Z98" i="35"/>
  <c r="J99" i="36"/>
  <c r="W98" i="35"/>
  <c r="Y98" i="35"/>
  <c r="I99" i="36"/>
  <c r="T98" i="35"/>
  <c r="H99" i="36"/>
  <c r="Q98" i="35"/>
  <c r="G99" i="36"/>
  <c r="F99" i="36"/>
  <c r="E99" i="36"/>
  <c r="C98" i="35"/>
  <c r="D99" i="36"/>
  <c r="C99" i="36"/>
  <c r="A98" i="35"/>
  <c r="B99" i="36"/>
  <c r="V98" i="36"/>
  <c r="S98" i="36"/>
  <c r="R98" i="36"/>
  <c r="Q98" i="36"/>
  <c r="Z97" i="35"/>
  <c r="J98" i="36"/>
  <c r="W97" i="35"/>
  <c r="Y97" i="35"/>
  <c r="I98" i="36"/>
  <c r="T97" i="35"/>
  <c r="H98" i="36"/>
  <c r="Q97" i="35"/>
  <c r="G98" i="36"/>
  <c r="F98" i="36"/>
  <c r="E98" i="36"/>
  <c r="C97" i="35"/>
  <c r="D98" i="36"/>
  <c r="C98" i="36"/>
  <c r="A97" i="35"/>
  <c r="B98" i="36"/>
  <c r="V97" i="36"/>
  <c r="S97" i="36"/>
  <c r="R97" i="36"/>
  <c r="Q97" i="36"/>
  <c r="Z96" i="35"/>
  <c r="J97" i="36"/>
  <c r="W96" i="35"/>
  <c r="Y96" i="35"/>
  <c r="I97" i="36"/>
  <c r="T96" i="35"/>
  <c r="H97" i="36"/>
  <c r="Q96" i="35"/>
  <c r="G97" i="36"/>
  <c r="F97" i="36"/>
  <c r="E97" i="36"/>
  <c r="C96" i="35"/>
  <c r="D97" i="36"/>
  <c r="C97" i="36"/>
  <c r="A96" i="35"/>
  <c r="B97" i="36"/>
  <c r="V96" i="36"/>
  <c r="S96" i="36"/>
  <c r="R96" i="36"/>
  <c r="Q96" i="36"/>
  <c r="Z95" i="35"/>
  <c r="J96" i="36"/>
  <c r="W95" i="35"/>
  <c r="Y95" i="35"/>
  <c r="I96" i="36"/>
  <c r="T95" i="35"/>
  <c r="H96" i="36"/>
  <c r="Q95" i="35"/>
  <c r="G96" i="36"/>
  <c r="F96" i="36"/>
  <c r="E96" i="36"/>
  <c r="C95" i="35"/>
  <c r="D96" i="36"/>
  <c r="C96" i="36"/>
  <c r="A95" i="35"/>
  <c r="B96" i="36"/>
  <c r="V95" i="36"/>
  <c r="S95" i="36"/>
  <c r="R95" i="36"/>
  <c r="Q95" i="36"/>
  <c r="Z94" i="35"/>
  <c r="J95" i="36"/>
  <c r="W94" i="35"/>
  <c r="Y94" i="35"/>
  <c r="I95" i="36"/>
  <c r="T94" i="35"/>
  <c r="H95" i="36"/>
  <c r="Q94" i="35"/>
  <c r="G95" i="36"/>
  <c r="F95" i="36"/>
  <c r="E95" i="36"/>
  <c r="C94" i="35"/>
  <c r="D95" i="36"/>
  <c r="C95" i="36"/>
  <c r="A94" i="35"/>
  <c r="B95" i="36"/>
  <c r="V94" i="36"/>
  <c r="S94" i="36"/>
  <c r="R94" i="36"/>
  <c r="Q94" i="36"/>
  <c r="Z93" i="35"/>
  <c r="J94" i="36"/>
  <c r="W93" i="35"/>
  <c r="Y93" i="35"/>
  <c r="I94" i="36"/>
  <c r="T93" i="35"/>
  <c r="H94" i="36"/>
  <c r="Q93" i="35"/>
  <c r="G94" i="36"/>
  <c r="F94" i="36"/>
  <c r="E94" i="36"/>
  <c r="C93" i="35"/>
  <c r="D94" i="36"/>
  <c r="C94" i="36"/>
  <c r="A93" i="35"/>
  <c r="B94" i="36"/>
  <c r="V93" i="36"/>
  <c r="S93" i="36"/>
  <c r="R93" i="36"/>
  <c r="Q93" i="36"/>
  <c r="Z92" i="35"/>
  <c r="J93" i="36"/>
  <c r="W92" i="35"/>
  <c r="Y92" i="35"/>
  <c r="I93" i="36"/>
  <c r="T92" i="35"/>
  <c r="H93" i="36"/>
  <c r="Q92" i="35"/>
  <c r="G93" i="36"/>
  <c r="F93" i="36"/>
  <c r="E93" i="36"/>
  <c r="C92" i="35"/>
  <c r="D93" i="36"/>
  <c r="C93" i="36"/>
  <c r="A92" i="35"/>
  <c r="B93" i="36"/>
  <c r="V92" i="36"/>
  <c r="S92" i="36"/>
  <c r="R92" i="36"/>
  <c r="Q92" i="36"/>
  <c r="Z91" i="35"/>
  <c r="J92" i="36"/>
  <c r="W91" i="35"/>
  <c r="Y91" i="35"/>
  <c r="I92" i="36"/>
  <c r="T91" i="35"/>
  <c r="H92" i="36"/>
  <c r="Q91" i="35"/>
  <c r="G92" i="36"/>
  <c r="F92" i="36"/>
  <c r="E92" i="36"/>
  <c r="C91" i="35"/>
  <c r="D92" i="36"/>
  <c r="C92" i="36"/>
  <c r="A91" i="35"/>
  <c r="B92" i="36"/>
  <c r="V91" i="36"/>
  <c r="S91" i="36"/>
  <c r="R91" i="36"/>
  <c r="Q91" i="36"/>
  <c r="Z90" i="35"/>
  <c r="J91" i="36"/>
  <c r="W90" i="35"/>
  <c r="Y90" i="35"/>
  <c r="I91" i="36"/>
  <c r="T90" i="35"/>
  <c r="H91" i="36"/>
  <c r="Q90" i="35"/>
  <c r="G91" i="36"/>
  <c r="F91" i="36"/>
  <c r="E91" i="36"/>
  <c r="C90" i="35"/>
  <c r="D91" i="36"/>
  <c r="C91" i="36"/>
  <c r="A90" i="35"/>
  <c r="B91" i="36"/>
  <c r="V90" i="36"/>
  <c r="S90" i="36"/>
  <c r="R90" i="36"/>
  <c r="Q90" i="36"/>
  <c r="Z89" i="35"/>
  <c r="J90" i="36"/>
  <c r="W89" i="35"/>
  <c r="Y89" i="35"/>
  <c r="I90" i="36"/>
  <c r="T89" i="35"/>
  <c r="H90" i="36"/>
  <c r="Q89" i="35"/>
  <c r="G90" i="36"/>
  <c r="F90" i="36"/>
  <c r="E90" i="36"/>
  <c r="C89" i="35"/>
  <c r="D90" i="36"/>
  <c r="C90" i="36"/>
  <c r="A89" i="35"/>
  <c r="B90" i="36"/>
  <c r="V89" i="36"/>
  <c r="S89" i="36"/>
  <c r="R89" i="36"/>
  <c r="Q89" i="36"/>
  <c r="Z88" i="35"/>
  <c r="J89" i="36"/>
  <c r="W88" i="35"/>
  <c r="Y88" i="35"/>
  <c r="I89" i="36"/>
  <c r="T88" i="35"/>
  <c r="H89" i="36"/>
  <c r="Q88" i="35"/>
  <c r="G89" i="36"/>
  <c r="F89" i="36"/>
  <c r="E89" i="36"/>
  <c r="C88" i="35"/>
  <c r="D89" i="36"/>
  <c r="C89" i="36"/>
  <c r="A88" i="35"/>
  <c r="B89" i="36"/>
  <c r="V88" i="36"/>
  <c r="S88" i="36"/>
  <c r="R88" i="36"/>
  <c r="Q88" i="36"/>
  <c r="Z87" i="35"/>
  <c r="J88" i="36"/>
  <c r="W87" i="35"/>
  <c r="Y87" i="35"/>
  <c r="I88" i="36"/>
  <c r="T87" i="35"/>
  <c r="H88" i="36"/>
  <c r="Q87" i="35"/>
  <c r="G88" i="36"/>
  <c r="F88" i="36"/>
  <c r="E88" i="36"/>
  <c r="C87" i="35"/>
  <c r="D88" i="36"/>
  <c r="C88" i="36"/>
  <c r="A87" i="35"/>
  <c r="B88" i="36"/>
  <c r="V87" i="36"/>
  <c r="S87" i="36"/>
  <c r="R87" i="36"/>
  <c r="Q87" i="36"/>
  <c r="Z86" i="35"/>
  <c r="J87" i="36"/>
  <c r="W86" i="35"/>
  <c r="Y86" i="35"/>
  <c r="I87" i="36"/>
  <c r="T86" i="35"/>
  <c r="H87" i="36"/>
  <c r="Q86" i="35"/>
  <c r="G87" i="36"/>
  <c r="F87" i="36"/>
  <c r="E87" i="36"/>
  <c r="C86" i="35"/>
  <c r="D87" i="36"/>
  <c r="C87" i="36"/>
  <c r="A86" i="35"/>
  <c r="B87" i="36"/>
  <c r="V86" i="36"/>
  <c r="S86" i="36"/>
  <c r="R86" i="36"/>
  <c r="Q86" i="36"/>
  <c r="Z85" i="35"/>
  <c r="J86" i="36"/>
  <c r="W85" i="35"/>
  <c r="Y85" i="35"/>
  <c r="I86" i="36"/>
  <c r="T85" i="35"/>
  <c r="H86" i="36"/>
  <c r="Q85" i="35"/>
  <c r="G86" i="36"/>
  <c r="F86" i="36"/>
  <c r="E86" i="36"/>
  <c r="C85" i="35"/>
  <c r="D86" i="36"/>
  <c r="C86" i="36"/>
  <c r="A85" i="35"/>
  <c r="B86" i="36"/>
  <c r="V85" i="36"/>
  <c r="S85" i="36"/>
  <c r="R85" i="36"/>
  <c r="Q85" i="36"/>
  <c r="Z84" i="35"/>
  <c r="J85" i="36"/>
  <c r="W84" i="35"/>
  <c r="Y84" i="35"/>
  <c r="I85" i="36"/>
  <c r="T84" i="35"/>
  <c r="H85" i="36"/>
  <c r="Q84" i="35"/>
  <c r="G85" i="36"/>
  <c r="F85" i="36"/>
  <c r="E85" i="36"/>
  <c r="C84" i="35"/>
  <c r="D85" i="36"/>
  <c r="C85" i="36"/>
  <c r="A84" i="35"/>
  <c r="B85" i="36"/>
  <c r="V84" i="36"/>
  <c r="S84" i="36"/>
  <c r="R84" i="36"/>
  <c r="Q84" i="36"/>
  <c r="Z83" i="35"/>
  <c r="J84" i="36"/>
  <c r="W83" i="35"/>
  <c r="Y83" i="35"/>
  <c r="I84" i="36"/>
  <c r="T83" i="35"/>
  <c r="H84" i="36"/>
  <c r="Q83" i="35"/>
  <c r="G84" i="36"/>
  <c r="F84" i="36"/>
  <c r="E84" i="36"/>
  <c r="C83" i="35"/>
  <c r="D84" i="36"/>
  <c r="C84" i="36"/>
  <c r="A83" i="35"/>
  <c r="B84" i="36"/>
  <c r="V83" i="36"/>
  <c r="S83" i="36"/>
  <c r="R83" i="36"/>
  <c r="Q83" i="36"/>
  <c r="Z82" i="35"/>
  <c r="J83" i="36"/>
  <c r="W82" i="35"/>
  <c r="Y82" i="35"/>
  <c r="I83" i="36"/>
  <c r="T82" i="35"/>
  <c r="H83" i="36"/>
  <c r="Q82" i="35"/>
  <c r="G83" i="36"/>
  <c r="F83" i="36"/>
  <c r="E83" i="36"/>
  <c r="C82" i="35"/>
  <c r="D83" i="36"/>
  <c r="C83" i="36"/>
  <c r="A82" i="35"/>
  <c r="B83" i="36"/>
  <c r="V82" i="36"/>
  <c r="S82" i="36"/>
  <c r="R82" i="36"/>
  <c r="Q82" i="36"/>
  <c r="Z81" i="35"/>
  <c r="J82" i="36"/>
  <c r="W81" i="35"/>
  <c r="Y81" i="35"/>
  <c r="I82" i="36"/>
  <c r="T81" i="35"/>
  <c r="H82" i="36"/>
  <c r="Q81" i="35"/>
  <c r="G82" i="36"/>
  <c r="F82" i="36"/>
  <c r="E82" i="36"/>
  <c r="C81" i="35"/>
  <c r="D82" i="36"/>
  <c r="C82" i="36"/>
  <c r="A81" i="35"/>
  <c r="B82" i="36"/>
  <c r="V81" i="36"/>
  <c r="S81" i="36"/>
  <c r="R81" i="36"/>
  <c r="Q81" i="36"/>
  <c r="Z80" i="35"/>
  <c r="J81" i="36"/>
  <c r="W80" i="35"/>
  <c r="Y80" i="35"/>
  <c r="I81" i="36"/>
  <c r="T80" i="35"/>
  <c r="H81" i="36"/>
  <c r="Q80" i="35"/>
  <c r="G81" i="36"/>
  <c r="F81" i="36"/>
  <c r="E81" i="36"/>
  <c r="C80" i="35"/>
  <c r="D81" i="36"/>
  <c r="C81" i="36"/>
  <c r="A80" i="35"/>
  <c r="B81" i="36"/>
  <c r="V80" i="36"/>
  <c r="S80" i="36"/>
  <c r="R80" i="36"/>
  <c r="Q80" i="36"/>
  <c r="Z79" i="35"/>
  <c r="J80" i="36"/>
  <c r="W79" i="35"/>
  <c r="Y79" i="35"/>
  <c r="I80" i="36"/>
  <c r="T79" i="35"/>
  <c r="H80" i="36"/>
  <c r="Q79" i="35"/>
  <c r="G80" i="36"/>
  <c r="F80" i="36"/>
  <c r="E80" i="36"/>
  <c r="C79" i="35"/>
  <c r="D80" i="36"/>
  <c r="C80" i="36"/>
  <c r="A79" i="35"/>
  <c r="B80" i="36"/>
  <c r="V79" i="36"/>
  <c r="S79" i="36"/>
  <c r="R79" i="36"/>
  <c r="Q79" i="36"/>
  <c r="Z78" i="35"/>
  <c r="J79" i="36"/>
  <c r="W78" i="35"/>
  <c r="Y78" i="35"/>
  <c r="I79" i="36"/>
  <c r="T78" i="35"/>
  <c r="H79" i="36"/>
  <c r="Q78" i="35"/>
  <c r="G79" i="36"/>
  <c r="F79" i="36"/>
  <c r="E79" i="36"/>
  <c r="C78" i="35"/>
  <c r="D79" i="36"/>
  <c r="C79" i="36"/>
  <c r="A78" i="35"/>
  <c r="B79" i="36"/>
  <c r="V78" i="36"/>
  <c r="S78" i="36"/>
  <c r="R78" i="36"/>
  <c r="Q78" i="36"/>
  <c r="Z77" i="35"/>
  <c r="J78" i="36"/>
  <c r="W77" i="35"/>
  <c r="Y77" i="35"/>
  <c r="I78" i="36"/>
  <c r="T77" i="35"/>
  <c r="H78" i="36"/>
  <c r="Q77" i="35"/>
  <c r="G78" i="36"/>
  <c r="F78" i="36"/>
  <c r="E78" i="36"/>
  <c r="C77" i="35"/>
  <c r="D78" i="36"/>
  <c r="C78" i="36"/>
  <c r="A77" i="35"/>
  <c r="B78" i="36"/>
  <c r="V77" i="36"/>
  <c r="S77" i="36"/>
  <c r="R77" i="36"/>
  <c r="Q77" i="36"/>
  <c r="Z76" i="35"/>
  <c r="J77" i="36"/>
  <c r="W76" i="35"/>
  <c r="Y76" i="35"/>
  <c r="I77" i="36"/>
  <c r="T76" i="35"/>
  <c r="H77" i="36"/>
  <c r="Q76" i="35"/>
  <c r="G77" i="36"/>
  <c r="F77" i="36"/>
  <c r="E77" i="36"/>
  <c r="C76" i="35"/>
  <c r="D77" i="36"/>
  <c r="C77" i="36"/>
  <c r="A76" i="35"/>
  <c r="B77" i="36"/>
  <c r="V76" i="36"/>
  <c r="S76" i="36"/>
  <c r="R76" i="36"/>
  <c r="Q76" i="36"/>
  <c r="Z75" i="35"/>
  <c r="J76" i="36"/>
  <c r="W75" i="35"/>
  <c r="Y75" i="35"/>
  <c r="I76" i="36"/>
  <c r="T75" i="35"/>
  <c r="H76" i="36"/>
  <c r="Q75" i="35"/>
  <c r="G76" i="36"/>
  <c r="F76" i="36"/>
  <c r="E76" i="36"/>
  <c r="C75" i="35"/>
  <c r="D76" i="36"/>
  <c r="C76" i="36"/>
  <c r="A75" i="35"/>
  <c r="B76" i="36"/>
  <c r="V75" i="36"/>
  <c r="S75" i="36"/>
  <c r="R75" i="36"/>
  <c r="Q75" i="36"/>
  <c r="Z74" i="35"/>
  <c r="J75" i="36"/>
  <c r="W74" i="35"/>
  <c r="Y74" i="35"/>
  <c r="I75" i="36"/>
  <c r="T74" i="35"/>
  <c r="H75" i="36"/>
  <c r="Q74" i="35"/>
  <c r="G75" i="36"/>
  <c r="F75" i="36"/>
  <c r="E75" i="36"/>
  <c r="C74" i="35"/>
  <c r="D75" i="36"/>
  <c r="C75" i="36"/>
  <c r="A74" i="35"/>
  <c r="B75" i="36"/>
  <c r="V74" i="36"/>
  <c r="S74" i="36"/>
  <c r="R74" i="36"/>
  <c r="Q74" i="36"/>
  <c r="Z73" i="35"/>
  <c r="J74" i="36"/>
  <c r="W73" i="35"/>
  <c r="Y73" i="35"/>
  <c r="I74" i="36"/>
  <c r="T73" i="35"/>
  <c r="H74" i="36"/>
  <c r="Q73" i="35"/>
  <c r="G74" i="36"/>
  <c r="F74" i="36"/>
  <c r="E74" i="36"/>
  <c r="C73" i="35"/>
  <c r="D74" i="36"/>
  <c r="C74" i="36"/>
  <c r="A73" i="35"/>
  <c r="B74" i="36"/>
  <c r="V73" i="36"/>
  <c r="S73" i="36"/>
  <c r="R73" i="36"/>
  <c r="Q73" i="36"/>
  <c r="Z72" i="35"/>
  <c r="J73" i="36"/>
  <c r="W72" i="35"/>
  <c r="Y72" i="35"/>
  <c r="I73" i="36"/>
  <c r="T72" i="35"/>
  <c r="H73" i="36"/>
  <c r="Q72" i="35"/>
  <c r="G73" i="36"/>
  <c r="F73" i="36"/>
  <c r="E73" i="36"/>
  <c r="C72" i="35"/>
  <c r="D73" i="36"/>
  <c r="C73" i="36"/>
  <c r="A72" i="35"/>
  <c r="B73" i="36"/>
  <c r="V72" i="36"/>
  <c r="S72" i="36"/>
  <c r="R72" i="36"/>
  <c r="Q72" i="36"/>
  <c r="Z71" i="35"/>
  <c r="J72" i="36"/>
  <c r="W71" i="35"/>
  <c r="Y71" i="35"/>
  <c r="I72" i="36"/>
  <c r="T71" i="35"/>
  <c r="H72" i="36"/>
  <c r="Q71" i="35"/>
  <c r="G72" i="36"/>
  <c r="F72" i="36"/>
  <c r="E72" i="36"/>
  <c r="C71" i="35"/>
  <c r="D72" i="36"/>
  <c r="C72" i="36"/>
  <c r="A71" i="35"/>
  <c r="B72" i="36"/>
  <c r="V71" i="36"/>
  <c r="S71" i="36"/>
  <c r="R71" i="36"/>
  <c r="Q71" i="36"/>
  <c r="Z70" i="35"/>
  <c r="J71" i="36"/>
  <c r="W70" i="35"/>
  <c r="Y70" i="35"/>
  <c r="I71" i="36"/>
  <c r="T70" i="35"/>
  <c r="H71" i="36"/>
  <c r="Q70" i="35"/>
  <c r="G71" i="36"/>
  <c r="F71" i="36"/>
  <c r="E71" i="36"/>
  <c r="C70" i="35"/>
  <c r="D71" i="36"/>
  <c r="C71" i="36"/>
  <c r="A70" i="35"/>
  <c r="B71" i="36"/>
  <c r="V70" i="36"/>
  <c r="S70" i="36"/>
  <c r="R70" i="36"/>
  <c r="Q70" i="36"/>
  <c r="Z69" i="35"/>
  <c r="J70" i="36"/>
  <c r="W69" i="35"/>
  <c r="Y69" i="35"/>
  <c r="I70" i="36"/>
  <c r="T69" i="35"/>
  <c r="H70" i="36"/>
  <c r="Q69" i="35"/>
  <c r="G70" i="36"/>
  <c r="F70" i="36"/>
  <c r="E70" i="36"/>
  <c r="C69" i="35"/>
  <c r="D70" i="36"/>
  <c r="C70" i="36"/>
  <c r="A69" i="35"/>
  <c r="B70" i="36"/>
  <c r="V69" i="36"/>
  <c r="S69" i="36"/>
  <c r="R69" i="36"/>
  <c r="Q69" i="36"/>
  <c r="Z68" i="35"/>
  <c r="J69" i="36"/>
  <c r="W68" i="35"/>
  <c r="Y68" i="35"/>
  <c r="I69" i="36"/>
  <c r="T68" i="35"/>
  <c r="H69" i="36"/>
  <c r="Q68" i="35"/>
  <c r="G69" i="36"/>
  <c r="F69" i="36"/>
  <c r="E69" i="36"/>
  <c r="C68" i="35"/>
  <c r="D69" i="36"/>
  <c r="C69" i="36"/>
  <c r="A68" i="35"/>
  <c r="B69" i="36"/>
  <c r="V68" i="36"/>
  <c r="S68" i="36"/>
  <c r="R68" i="36"/>
  <c r="Q68" i="36"/>
  <c r="Z67" i="35"/>
  <c r="J68" i="36"/>
  <c r="W67" i="35"/>
  <c r="Y67" i="35"/>
  <c r="I68" i="36"/>
  <c r="T67" i="35"/>
  <c r="H68" i="36"/>
  <c r="Q67" i="35"/>
  <c r="G68" i="36"/>
  <c r="F68" i="36"/>
  <c r="E68" i="36"/>
  <c r="C67" i="35"/>
  <c r="D68" i="36"/>
  <c r="C68" i="36"/>
  <c r="A67" i="35"/>
  <c r="B68" i="36"/>
  <c r="V67" i="36"/>
  <c r="S67" i="36"/>
  <c r="R67" i="36"/>
  <c r="Q67" i="36"/>
  <c r="Z66" i="35"/>
  <c r="J67" i="36"/>
  <c r="W66" i="35"/>
  <c r="Y66" i="35"/>
  <c r="I67" i="36"/>
  <c r="T66" i="35"/>
  <c r="H67" i="36"/>
  <c r="Q66" i="35"/>
  <c r="G67" i="36"/>
  <c r="F67" i="36"/>
  <c r="E67" i="36"/>
  <c r="C66" i="35"/>
  <c r="D67" i="36"/>
  <c r="C67" i="36"/>
  <c r="A66" i="35"/>
  <c r="B67" i="36"/>
  <c r="V66" i="36"/>
  <c r="S66" i="36"/>
  <c r="R66" i="36"/>
  <c r="Q66" i="36"/>
  <c r="Z65" i="35"/>
  <c r="J66" i="36"/>
  <c r="W65" i="35"/>
  <c r="Y65" i="35"/>
  <c r="I66" i="36"/>
  <c r="T65" i="35"/>
  <c r="H66" i="36"/>
  <c r="Q65" i="35"/>
  <c r="G66" i="36"/>
  <c r="F66" i="36"/>
  <c r="E66" i="36"/>
  <c r="C65" i="35"/>
  <c r="D66" i="36"/>
  <c r="C66" i="36"/>
  <c r="A65" i="35"/>
  <c r="B66" i="36"/>
  <c r="V65" i="36"/>
  <c r="S65" i="36"/>
  <c r="R65" i="36"/>
  <c r="Q65" i="36"/>
  <c r="Z64" i="35"/>
  <c r="J65" i="36"/>
  <c r="W64" i="35"/>
  <c r="Y64" i="35"/>
  <c r="I65" i="36"/>
  <c r="T64" i="35"/>
  <c r="H65" i="36"/>
  <c r="Q64" i="35"/>
  <c r="G65" i="36"/>
  <c r="F65" i="36"/>
  <c r="E65" i="36"/>
  <c r="C64" i="35"/>
  <c r="D65" i="36"/>
  <c r="C65" i="36"/>
  <c r="A64" i="35"/>
  <c r="B65" i="36"/>
  <c r="V64" i="36"/>
  <c r="S64" i="36"/>
  <c r="R64" i="36"/>
  <c r="Q64" i="36"/>
  <c r="Z63" i="35"/>
  <c r="J64" i="36"/>
  <c r="W63" i="35"/>
  <c r="Y63" i="35"/>
  <c r="I64" i="36"/>
  <c r="T63" i="35"/>
  <c r="H64" i="36"/>
  <c r="Q63" i="35"/>
  <c r="G64" i="36"/>
  <c r="F64" i="36"/>
  <c r="E64" i="36"/>
  <c r="C63" i="35"/>
  <c r="D64" i="36"/>
  <c r="C64" i="36"/>
  <c r="A63" i="35"/>
  <c r="B64" i="36"/>
  <c r="V63" i="36"/>
  <c r="S63" i="36"/>
  <c r="R63" i="36"/>
  <c r="Q63" i="36"/>
  <c r="Z62" i="35"/>
  <c r="J63" i="36"/>
  <c r="W62" i="35"/>
  <c r="Y62" i="35"/>
  <c r="I63" i="36"/>
  <c r="T62" i="35"/>
  <c r="H63" i="36"/>
  <c r="Q62" i="35"/>
  <c r="G63" i="36"/>
  <c r="F63" i="36"/>
  <c r="E63" i="36"/>
  <c r="C62" i="35"/>
  <c r="D63" i="36"/>
  <c r="C63" i="36"/>
  <c r="A62" i="35"/>
  <c r="B63" i="36"/>
  <c r="V62" i="36"/>
  <c r="S62" i="36"/>
  <c r="R62" i="36"/>
  <c r="Q62" i="36"/>
  <c r="Z61" i="35"/>
  <c r="J62" i="36"/>
  <c r="W61" i="35"/>
  <c r="Y61" i="35"/>
  <c r="I62" i="36"/>
  <c r="T61" i="35"/>
  <c r="H62" i="36"/>
  <c r="Q61" i="35"/>
  <c r="G62" i="36"/>
  <c r="F62" i="36"/>
  <c r="E62" i="36"/>
  <c r="C61" i="35"/>
  <c r="D62" i="36"/>
  <c r="C62" i="36"/>
  <c r="A61" i="35"/>
  <c r="B62" i="36"/>
  <c r="V61" i="36"/>
  <c r="S61" i="36"/>
  <c r="R61" i="36"/>
  <c r="Q61" i="36"/>
  <c r="Z60" i="35"/>
  <c r="J61" i="36"/>
  <c r="W60" i="35"/>
  <c r="Y60" i="35"/>
  <c r="I61" i="36"/>
  <c r="T60" i="35"/>
  <c r="H61" i="36"/>
  <c r="Q60" i="35"/>
  <c r="G61" i="36"/>
  <c r="F61" i="36"/>
  <c r="E61" i="36"/>
  <c r="C60" i="35"/>
  <c r="D61" i="36"/>
  <c r="C61" i="36"/>
  <c r="A60" i="35"/>
  <c r="B61" i="36"/>
  <c r="V60" i="36"/>
  <c r="S60" i="36"/>
  <c r="R60" i="36"/>
  <c r="Q60" i="36"/>
  <c r="Z59" i="35"/>
  <c r="J60" i="36"/>
  <c r="W59" i="35"/>
  <c r="Y59" i="35"/>
  <c r="I60" i="36"/>
  <c r="T59" i="35"/>
  <c r="H60" i="36"/>
  <c r="Q59" i="35"/>
  <c r="G60" i="36"/>
  <c r="F60" i="36"/>
  <c r="E60" i="36"/>
  <c r="C59" i="35"/>
  <c r="D60" i="36"/>
  <c r="C60" i="36"/>
  <c r="A59" i="35"/>
  <c r="B60" i="36"/>
  <c r="V59" i="36"/>
  <c r="S59" i="36"/>
  <c r="R59" i="36"/>
  <c r="Q59" i="36"/>
  <c r="Z58" i="35"/>
  <c r="J59" i="36"/>
  <c r="W58" i="35"/>
  <c r="Y58" i="35"/>
  <c r="I59" i="36"/>
  <c r="T58" i="35"/>
  <c r="H59" i="36"/>
  <c r="Q58" i="35"/>
  <c r="G59" i="36"/>
  <c r="F59" i="36"/>
  <c r="E59" i="36"/>
  <c r="C58" i="35"/>
  <c r="D59" i="36"/>
  <c r="C59" i="36"/>
  <c r="A58" i="35"/>
  <c r="B59" i="36"/>
  <c r="V58" i="36"/>
  <c r="S58" i="36"/>
  <c r="R58" i="36"/>
  <c r="Q58" i="36"/>
  <c r="Z57" i="35"/>
  <c r="J58" i="36"/>
  <c r="W57" i="35"/>
  <c r="Y57" i="35"/>
  <c r="I58" i="36"/>
  <c r="T57" i="35"/>
  <c r="H58" i="36"/>
  <c r="Q57" i="35"/>
  <c r="G58" i="36"/>
  <c r="F58" i="36"/>
  <c r="E58" i="36"/>
  <c r="C57" i="35"/>
  <c r="D58" i="36"/>
  <c r="C58" i="36"/>
  <c r="A57" i="35"/>
  <c r="B58" i="36"/>
  <c r="V57" i="36"/>
  <c r="S57" i="36"/>
  <c r="R57" i="36"/>
  <c r="Q57" i="36"/>
  <c r="Z56" i="35"/>
  <c r="J57" i="36"/>
  <c r="W56" i="35"/>
  <c r="Y56" i="35"/>
  <c r="I57" i="36"/>
  <c r="T56" i="35"/>
  <c r="H57" i="36"/>
  <c r="Q56" i="35"/>
  <c r="G57" i="36"/>
  <c r="F57" i="36"/>
  <c r="E57" i="36"/>
  <c r="C56" i="35"/>
  <c r="D57" i="36"/>
  <c r="C57" i="36"/>
  <c r="A56" i="35"/>
  <c r="B57" i="36"/>
  <c r="V56" i="36"/>
  <c r="S56" i="36"/>
  <c r="R56" i="36"/>
  <c r="Q56" i="36"/>
  <c r="Z55" i="35"/>
  <c r="J56" i="36"/>
  <c r="W55" i="35"/>
  <c r="Y55" i="35"/>
  <c r="I56" i="36"/>
  <c r="T55" i="35"/>
  <c r="H56" i="36"/>
  <c r="Q55" i="35"/>
  <c r="G56" i="36"/>
  <c r="F56" i="36"/>
  <c r="E56" i="36"/>
  <c r="C55" i="35"/>
  <c r="D56" i="36"/>
  <c r="C56" i="36"/>
  <c r="A55" i="35"/>
  <c r="B56" i="36"/>
  <c r="V55" i="36"/>
  <c r="S55" i="36"/>
  <c r="R55" i="36"/>
  <c r="Q55" i="36"/>
  <c r="Z54" i="35"/>
  <c r="J55" i="36"/>
  <c r="W54" i="35"/>
  <c r="Y54" i="35"/>
  <c r="I55" i="36"/>
  <c r="T54" i="35"/>
  <c r="H55" i="36"/>
  <c r="Q54" i="35"/>
  <c r="G55" i="36"/>
  <c r="F55" i="36"/>
  <c r="E55" i="36"/>
  <c r="C54" i="35"/>
  <c r="D55" i="36"/>
  <c r="C55" i="36"/>
  <c r="A54" i="35"/>
  <c r="B55" i="36"/>
  <c r="V54" i="36"/>
  <c r="S54" i="36"/>
  <c r="R54" i="36"/>
  <c r="Q54" i="36"/>
  <c r="Z53" i="35"/>
  <c r="J54" i="36"/>
  <c r="W53" i="35"/>
  <c r="Y53" i="35"/>
  <c r="I54" i="36"/>
  <c r="T53" i="35"/>
  <c r="H54" i="36"/>
  <c r="Q53" i="35"/>
  <c r="G54" i="36"/>
  <c r="F54" i="36"/>
  <c r="E54" i="36"/>
  <c r="C53" i="35"/>
  <c r="D54" i="36"/>
  <c r="C54" i="36"/>
  <c r="A53" i="35"/>
  <c r="B54" i="36"/>
  <c r="V53" i="36"/>
  <c r="S53" i="36"/>
  <c r="R53" i="36"/>
  <c r="Q53" i="36"/>
  <c r="Z52" i="35"/>
  <c r="J53" i="36"/>
  <c r="W52" i="35"/>
  <c r="Y52" i="35"/>
  <c r="I53" i="36"/>
  <c r="T52" i="35"/>
  <c r="H53" i="36"/>
  <c r="Q52" i="35"/>
  <c r="G53" i="36"/>
  <c r="F53" i="36"/>
  <c r="E53" i="36"/>
  <c r="C52" i="35"/>
  <c r="D53" i="36"/>
  <c r="C53" i="36"/>
  <c r="A52" i="35"/>
  <c r="B53" i="36"/>
  <c r="V52" i="36"/>
  <c r="S52" i="36"/>
  <c r="R52" i="36"/>
  <c r="Q52" i="36"/>
  <c r="Z51" i="35"/>
  <c r="J52" i="36"/>
  <c r="W51" i="35"/>
  <c r="Y51" i="35"/>
  <c r="I52" i="36"/>
  <c r="T51" i="35"/>
  <c r="H52" i="36"/>
  <c r="Q51" i="35"/>
  <c r="G52" i="36"/>
  <c r="F52" i="36"/>
  <c r="E52" i="36"/>
  <c r="C51" i="35"/>
  <c r="D52" i="36"/>
  <c r="C52" i="36"/>
  <c r="A51" i="35"/>
  <c r="B52" i="36"/>
  <c r="V51" i="36"/>
  <c r="S51" i="36"/>
  <c r="R51" i="36"/>
  <c r="Q51" i="36"/>
  <c r="Z50" i="35"/>
  <c r="J51" i="36"/>
  <c r="W50" i="35"/>
  <c r="Y50" i="35"/>
  <c r="I51" i="36"/>
  <c r="T50" i="35"/>
  <c r="H51" i="36"/>
  <c r="Q50" i="35"/>
  <c r="G51" i="36"/>
  <c r="F51" i="36"/>
  <c r="E51" i="36"/>
  <c r="C50" i="35"/>
  <c r="D51" i="36"/>
  <c r="C51" i="36"/>
  <c r="A50" i="35"/>
  <c r="B51" i="36"/>
  <c r="V50" i="36"/>
  <c r="S50" i="36"/>
  <c r="R50" i="36"/>
  <c r="Q50" i="36"/>
  <c r="Z49" i="35"/>
  <c r="J50" i="36"/>
  <c r="W49" i="35"/>
  <c r="Y49" i="35"/>
  <c r="I50" i="36"/>
  <c r="T49" i="35"/>
  <c r="H50" i="36"/>
  <c r="Q49" i="35"/>
  <c r="G50" i="36"/>
  <c r="F50" i="36"/>
  <c r="E50" i="36"/>
  <c r="C49" i="35"/>
  <c r="D50" i="36"/>
  <c r="C50" i="36"/>
  <c r="A49" i="35"/>
  <c r="B50" i="36"/>
  <c r="V49" i="36"/>
  <c r="S49" i="36"/>
  <c r="R49" i="36"/>
  <c r="Q49" i="36"/>
  <c r="Z48" i="35"/>
  <c r="J49" i="36"/>
  <c r="W48" i="35"/>
  <c r="Y48" i="35"/>
  <c r="I49" i="36"/>
  <c r="T48" i="35"/>
  <c r="H49" i="36"/>
  <c r="Q48" i="35"/>
  <c r="G49" i="36"/>
  <c r="F49" i="36"/>
  <c r="E49" i="36"/>
  <c r="C48" i="35"/>
  <c r="D49" i="36"/>
  <c r="C49" i="36"/>
  <c r="A48" i="35"/>
  <c r="B49" i="36"/>
  <c r="V48" i="36"/>
  <c r="S48" i="36"/>
  <c r="R48" i="36"/>
  <c r="Q48" i="36"/>
  <c r="Z47" i="35"/>
  <c r="J48" i="36"/>
  <c r="W47" i="35"/>
  <c r="Y47" i="35"/>
  <c r="I48" i="36"/>
  <c r="T47" i="35"/>
  <c r="H48" i="36"/>
  <c r="Q47" i="35"/>
  <c r="G48" i="36"/>
  <c r="F48" i="36"/>
  <c r="E48" i="36"/>
  <c r="C47" i="35"/>
  <c r="D48" i="36"/>
  <c r="C48" i="36"/>
  <c r="A47" i="35"/>
  <c r="B48" i="36"/>
  <c r="V47" i="36"/>
  <c r="S47" i="36"/>
  <c r="R47" i="36"/>
  <c r="Q47" i="36"/>
  <c r="Z46" i="35"/>
  <c r="J47" i="36"/>
  <c r="W46" i="35"/>
  <c r="Y46" i="35"/>
  <c r="I47" i="36"/>
  <c r="T46" i="35"/>
  <c r="H47" i="36"/>
  <c r="Q46" i="35"/>
  <c r="G47" i="36"/>
  <c r="F47" i="36"/>
  <c r="E47" i="36"/>
  <c r="C46" i="35"/>
  <c r="D47" i="36"/>
  <c r="C47" i="36"/>
  <c r="A46" i="35"/>
  <c r="B47" i="36"/>
  <c r="V46" i="36"/>
  <c r="S46" i="36"/>
  <c r="R46" i="36"/>
  <c r="Q46" i="36"/>
  <c r="Z45" i="35"/>
  <c r="J46" i="36"/>
  <c r="W45" i="35"/>
  <c r="Y45" i="35"/>
  <c r="I46" i="36"/>
  <c r="T45" i="35"/>
  <c r="H46" i="36"/>
  <c r="Q45" i="35"/>
  <c r="G46" i="36"/>
  <c r="F46" i="36"/>
  <c r="E46" i="36"/>
  <c r="C45" i="35"/>
  <c r="D46" i="36"/>
  <c r="C46" i="36"/>
  <c r="A45" i="35"/>
  <c r="B46" i="36"/>
  <c r="V45" i="36"/>
  <c r="S45" i="36"/>
  <c r="R45" i="36"/>
  <c r="Q45" i="36"/>
  <c r="Z44" i="35"/>
  <c r="J45" i="36"/>
  <c r="W44" i="35"/>
  <c r="Y44" i="35"/>
  <c r="I45" i="36"/>
  <c r="T44" i="35"/>
  <c r="H45" i="36"/>
  <c r="Q44" i="35"/>
  <c r="G45" i="36"/>
  <c r="F45" i="36"/>
  <c r="E45" i="36"/>
  <c r="C44" i="35"/>
  <c r="D45" i="36"/>
  <c r="C45" i="36"/>
  <c r="A44" i="35"/>
  <c r="B45" i="36"/>
  <c r="V44" i="36"/>
  <c r="S44" i="36"/>
  <c r="R44" i="36"/>
  <c r="Q44" i="36"/>
  <c r="Z43" i="35"/>
  <c r="J44" i="36"/>
  <c r="W43" i="35"/>
  <c r="Y43" i="35"/>
  <c r="I44" i="36"/>
  <c r="T43" i="35"/>
  <c r="H44" i="36"/>
  <c r="Q43" i="35"/>
  <c r="G44" i="36"/>
  <c r="F44" i="36"/>
  <c r="E44" i="36"/>
  <c r="C43" i="35"/>
  <c r="D44" i="36"/>
  <c r="C44" i="36"/>
  <c r="A43" i="35"/>
  <c r="B44" i="36"/>
  <c r="V43" i="36"/>
  <c r="S43" i="36"/>
  <c r="R43" i="36"/>
  <c r="Q43" i="36"/>
  <c r="Z42" i="35"/>
  <c r="J43" i="36"/>
  <c r="W42" i="35"/>
  <c r="Y42" i="35"/>
  <c r="I43" i="36"/>
  <c r="T42" i="35"/>
  <c r="H43" i="36"/>
  <c r="Q42" i="35"/>
  <c r="G43" i="36"/>
  <c r="F43" i="36"/>
  <c r="E43" i="36"/>
  <c r="C42" i="35"/>
  <c r="D43" i="36"/>
  <c r="C43" i="36"/>
  <c r="A42" i="35"/>
  <c r="B43" i="36"/>
  <c r="V42" i="36"/>
  <c r="S42" i="36"/>
  <c r="R42" i="36"/>
  <c r="Q42" i="36"/>
  <c r="Z41" i="35"/>
  <c r="J42" i="36"/>
  <c r="W41" i="35"/>
  <c r="Y41" i="35"/>
  <c r="I42" i="36"/>
  <c r="T41" i="35"/>
  <c r="H42" i="36"/>
  <c r="Q41" i="35"/>
  <c r="G42" i="36"/>
  <c r="F42" i="36"/>
  <c r="E42" i="36"/>
  <c r="C41" i="35"/>
  <c r="D42" i="36"/>
  <c r="C42" i="36"/>
  <c r="A41" i="35"/>
  <c r="B42" i="36"/>
  <c r="V41" i="36"/>
  <c r="S41" i="36"/>
  <c r="R41" i="36"/>
  <c r="Q41" i="36"/>
  <c r="Z40" i="35"/>
  <c r="J41" i="36"/>
  <c r="W40" i="35"/>
  <c r="Y40" i="35"/>
  <c r="I41" i="36"/>
  <c r="T40" i="35"/>
  <c r="H41" i="36"/>
  <c r="Q40" i="35"/>
  <c r="G41" i="36"/>
  <c r="F41" i="36"/>
  <c r="E41" i="36"/>
  <c r="C40" i="35"/>
  <c r="D41" i="36"/>
  <c r="C41" i="36"/>
  <c r="A40" i="35"/>
  <c r="B41" i="36"/>
  <c r="V40" i="36"/>
  <c r="S40" i="36"/>
  <c r="R40" i="36"/>
  <c r="Q40" i="36"/>
  <c r="Z39" i="35"/>
  <c r="J40" i="36"/>
  <c r="W39" i="35"/>
  <c r="Y39" i="35"/>
  <c r="I40" i="36"/>
  <c r="T39" i="35"/>
  <c r="H40" i="36"/>
  <c r="Q39" i="35"/>
  <c r="G40" i="36"/>
  <c r="F40" i="36"/>
  <c r="E40" i="36"/>
  <c r="C39" i="35"/>
  <c r="D40" i="36"/>
  <c r="C40" i="36"/>
  <c r="A39" i="35"/>
  <c r="B40" i="36"/>
  <c r="V39" i="36"/>
  <c r="S39" i="36"/>
  <c r="R39" i="36"/>
  <c r="Q39" i="36"/>
  <c r="Z38" i="35"/>
  <c r="J39" i="36"/>
  <c r="W38" i="35"/>
  <c r="Y38" i="35"/>
  <c r="I39" i="36"/>
  <c r="T38" i="35"/>
  <c r="H39" i="36"/>
  <c r="Q38" i="35"/>
  <c r="G39" i="36"/>
  <c r="F39" i="36"/>
  <c r="E39" i="36"/>
  <c r="C38" i="35"/>
  <c r="D39" i="36"/>
  <c r="C39" i="36"/>
  <c r="A38" i="35"/>
  <c r="B39" i="36"/>
  <c r="V38" i="36"/>
  <c r="S38" i="36"/>
  <c r="R38" i="36"/>
  <c r="Q38" i="36"/>
  <c r="Z37" i="35"/>
  <c r="J38" i="36"/>
  <c r="W37" i="35"/>
  <c r="Y37" i="35"/>
  <c r="I38" i="36"/>
  <c r="T37" i="35"/>
  <c r="H38" i="36"/>
  <c r="Q37" i="35"/>
  <c r="G38" i="36"/>
  <c r="F38" i="36"/>
  <c r="E38" i="36"/>
  <c r="C37" i="35"/>
  <c r="D38" i="36"/>
  <c r="C38" i="36"/>
  <c r="A37" i="35"/>
  <c r="B38" i="36"/>
  <c r="V37" i="36"/>
  <c r="S37" i="36"/>
  <c r="R37" i="36"/>
  <c r="Q37" i="36"/>
  <c r="Z36" i="35"/>
  <c r="J37" i="36"/>
  <c r="W36" i="35"/>
  <c r="Y36" i="35"/>
  <c r="I37" i="36"/>
  <c r="T36" i="35"/>
  <c r="H37" i="36"/>
  <c r="Q36" i="35"/>
  <c r="G37" i="36"/>
  <c r="F37" i="36"/>
  <c r="E37" i="36"/>
  <c r="C36" i="35"/>
  <c r="D37" i="36"/>
  <c r="C37" i="36"/>
  <c r="A36" i="35"/>
  <c r="B37" i="36"/>
  <c r="V36" i="36"/>
  <c r="S36" i="36"/>
  <c r="R36" i="36"/>
  <c r="Q36" i="36"/>
  <c r="Z35" i="35"/>
  <c r="J36" i="36"/>
  <c r="W35" i="35"/>
  <c r="Y35" i="35"/>
  <c r="I36" i="36"/>
  <c r="T35" i="35"/>
  <c r="H36" i="36"/>
  <c r="Q35" i="35"/>
  <c r="G36" i="36"/>
  <c r="F36" i="36"/>
  <c r="E36" i="36"/>
  <c r="C35" i="35"/>
  <c r="D36" i="36"/>
  <c r="C36" i="36"/>
  <c r="A35" i="35"/>
  <c r="B36" i="36"/>
  <c r="V35" i="36"/>
  <c r="S35" i="36"/>
  <c r="R35" i="36"/>
  <c r="Q35" i="36"/>
  <c r="Z34" i="35"/>
  <c r="J35" i="36"/>
  <c r="W34" i="35"/>
  <c r="Y34" i="35"/>
  <c r="I35" i="36"/>
  <c r="T34" i="35"/>
  <c r="H35" i="36"/>
  <c r="Q34" i="35"/>
  <c r="G35" i="36"/>
  <c r="F35" i="36"/>
  <c r="E35" i="36"/>
  <c r="C34" i="35"/>
  <c r="D35" i="36"/>
  <c r="C35" i="36"/>
  <c r="A34" i="35"/>
  <c r="B35" i="36"/>
  <c r="V34" i="36"/>
  <c r="S34" i="36"/>
  <c r="R34" i="36"/>
  <c r="Q34" i="36"/>
  <c r="Z33" i="35"/>
  <c r="J34" i="36"/>
  <c r="W33" i="35"/>
  <c r="Y33" i="35"/>
  <c r="I34" i="36"/>
  <c r="T33" i="35"/>
  <c r="H34" i="36"/>
  <c r="Q33" i="35"/>
  <c r="G34" i="36"/>
  <c r="F34" i="36"/>
  <c r="E34" i="36"/>
  <c r="C33" i="35"/>
  <c r="D34" i="36"/>
  <c r="C34" i="36"/>
  <c r="A33" i="35"/>
  <c r="B34" i="36"/>
  <c r="V33" i="36"/>
  <c r="S33" i="36"/>
  <c r="R33" i="36"/>
  <c r="Q33" i="36"/>
  <c r="Z32" i="35"/>
  <c r="J33" i="36"/>
  <c r="W32" i="35"/>
  <c r="Y32" i="35"/>
  <c r="I33" i="36"/>
  <c r="T32" i="35"/>
  <c r="H33" i="36"/>
  <c r="Q32" i="35"/>
  <c r="G33" i="36"/>
  <c r="F33" i="36"/>
  <c r="E33" i="36"/>
  <c r="C32" i="35"/>
  <c r="D33" i="36"/>
  <c r="C33" i="36"/>
  <c r="A32" i="35"/>
  <c r="B33" i="36"/>
  <c r="V32" i="36"/>
  <c r="S32" i="36"/>
  <c r="R32" i="36"/>
  <c r="Q32" i="36"/>
  <c r="Z31" i="35"/>
  <c r="J32" i="36"/>
  <c r="W31" i="35"/>
  <c r="Y31" i="35"/>
  <c r="I32" i="36"/>
  <c r="T31" i="35"/>
  <c r="H32" i="36"/>
  <c r="Q31" i="35"/>
  <c r="G32" i="36"/>
  <c r="F32" i="36"/>
  <c r="E32" i="36"/>
  <c r="C31" i="35"/>
  <c r="D32" i="36"/>
  <c r="C32" i="36"/>
  <c r="A31" i="35"/>
  <c r="B32" i="36"/>
  <c r="V31" i="36"/>
  <c r="S31" i="36"/>
  <c r="R31" i="36"/>
  <c r="Q31" i="36"/>
  <c r="Z30" i="35"/>
  <c r="J31" i="36"/>
  <c r="W30" i="35"/>
  <c r="Y30" i="35"/>
  <c r="I31" i="36"/>
  <c r="T30" i="35"/>
  <c r="H31" i="36"/>
  <c r="Q30" i="35"/>
  <c r="G31" i="36"/>
  <c r="F31" i="36"/>
  <c r="E31" i="36"/>
  <c r="C30" i="35"/>
  <c r="D31" i="36"/>
  <c r="C31" i="36"/>
  <c r="A30" i="35"/>
  <c r="B31" i="36"/>
  <c r="V30" i="36"/>
  <c r="S30" i="36"/>
  <c r="R30" i="36"/>
  <c r="Q30" i="36"/>
  <c r="Z29" i="35"/>
  <c r="J30" i="36"/>
  <c r="W29" i="35"/>
  <c r="Y29" i="35"/>
  <c r="I30" i="36"/>
  <c r="T29" i="35"/>
  <c r="H30" i="36"/>
  <c r="Q29" i="35"/>
  <c r="G30" i="36"/>
  <c r="F30" i="36"/>
  <c r="E30" i="36"/>
  <c r="C29" i="35"/>
  <c r="D30" i="36"/>
  <c r="C30" i="36"/>
  <c r="A29" i="35"/>
  <c r="B30" i="36"/>
  <c r="V29" i="36"/>
  <c r="S29" i="36"/>
  <c r="R29" i="36"/>
  <c r="Q29" i="36"/>
  <c r="Z28" i="35"/>
  <c r="J29" i="36"/>
  <c r="W28" i="35"/>
  <c r="Y28" i="35"/>
  <c r="I29" i="36"/>
  <c r="T28" i="35"/>
  <c r="H29" i="36"/>
  <c r="Q28" i="35"/>
  <c r="G29" i="36"/>
  <c r="F29" i="36"/>
  <c r="E29" i="36"/>
  <c r="C28" i="35"/>
  <c r="D29" i="36"/>
  <c r="C29" i="36"/>
  <c r="A28" i="35"/>
  <c r="B29" i="36"/>
  <c r="V28" i="36"/>
  <c r="S28" i="36"/>
  <c r="R28" i="36"/>
  <c r="Q28" i="36"/>
  <c r="Z27" i="35"/>
  <c r="J28" i="36"/>
  <c r="W27" i="35"/>
  <c r="Y27" i="35"/>
  <c r="I28" i="36"/>
  <c r="T27" i="35"/>
  <c r="H28" i="36"/>
  <c r="Q27" i="35"/>
  <c r="G28" i="36"/>
  <c r="F28" i="36"/>
  <c r="E28" i="36"/>
  <c r="C27" i="35"/>
  <c r="D28" i="36"/>
  <c r="C28" i="36"/>
  <c r="A27" i="35"/>
  <c r="B28" i="36"/>
  <c r="V27" i="36"/>
  <c r="S27" i="36"/>
  <c r="R27" i="36"/>
  <c r="Q27" i="36"/>
  <c r="Z26" i="35"/>
  <c r="J27" i="36"/>
  <c r="W26" i="35"/>
  <c r="Y26" i="35"/>
  <c r="I27" i="36"/>
  <c r="T26" i="35"/>
  <c r="H27" i="36"/>
  <c r="Q26" i="35"/>
  <c r="G27" i="36"/>
  <c r="F27" i="36"/>
  <c r="E27" i="36"/>
  <c r="C26" i="35"/>
  <c r="D27" i="36"/>
  <c r="C27" i="36"/>
  <c r="A26" i="35"/>
  <c r="B27" i="36"/>
  <c r="V26" i="36"/>
  <c r="S26" i="36"/>
  <c r="R26" i="36"/>
  <c r="Q26" i="36"/>
  <c r="Z25" i="35"/>
  <c r="J26" i="36"/>
  <c r="W25" i="35"/>
  <c r="Y25" i="35"/>
  <c r="I26" i="36"/>
  <c r="T25" i="35"/>
  <c r="H26" i="36"/>
  <c r="Q25" i="35"/>
  <c r="G26" i="36"/>
  <c r="F26" i="36"/>
  <c r="E26" i="36"/>
  <c r="C25" i="35"/>
  <c r="D26" i="36"/>
  <c r="C26" i="36"/>
  <c r="A25" i="35"/>
  <c r="B26" i="36"/>
  <c r="V25" i="36"/>
  <c r="S25" i="36"/>
  <c r="R25" i="36"/>
  <c r="Q25" i="36"/>
  <c r="Z24" i="35"/>
  <c r="J25" i="36"/>
  <c r="W24" i="35"/>
  <c r="Y24" i="35"/>
  <c r="I25" i="36"/>
  <c r="T24" i="35"/>
  <c r="H25" i="36"/>
  <c r="Q24" i="35"/>
  <c r="G25" i="36"/>
  <c r="F25" i="36"/>
  <c r="E25" i="36"/>
  <c r="C24" i="35"/>
  <c r="D25" i="36"/>
  <c r="C25" i="36"/>
  <c r="A24" i="35"/>
  <c r="B25" i="36"/>
  <c r="V24" i="36"/>
  <c r="S24" i="36"/>
  <c r="R24" i="36"/>
  <c r="Q24" i="36"/>
  <c r="Z23" i="35"/>
  <c r="J24" i="36"/>
  <c r="W23" i="35"/>
  <c r="Y23" i="35"/>
  <c r="I24" i="36"/>
  <c r="T23" i="35"/>
  <c r="H24" i="36"/>
  <c r="Q23" i="35"/>
  <c r="G24" i="36"/>
  <c r="F24" i="36"/>
  <c r="E24" i="36"/>
  <c r="C23" i="35"/>
  <c r="D24" i="36"/>
  <c r="C24" i="36"/>
  <c r="A23" i="35"/>
  <c r="B24" i="36"/>
  <c r="V23" i="36"/>
  <c r="S23" i="36"/>
  <c r="R23" i="36"/>
  <c r="Q23" i="36"/>
  <c r="Z22" i="35"/>
  <c r="J23" i="36"/>
  <c r="W22" i="35"/>
  <c r="Y22" i="35"/>
  <c r="I23" i="36"/>
  <c r="T22" i="35"/>
  <c r="H23" i="36"/>
  <c r="Q22" i="35"/>
  <c r="G23" i="36"/>
  <c r="F23" i="36"/>
  <c r="E23" i="36"/>
  <c r="C22" i="35"/>
  <c r="D23" i="36"/>
  <c r="C23" i="36"/>
  <c r="A22" i="35"/>
  <c r="B23" i="36"/>
  <c r="V22" i="36"/>
  <c r="S22" i="36"/>
  <c r="R22" i="36"/>
  <c r="Q22" i="36"/>
  <c r="Z21" i="35"/>
  <c r="J22" i="36"/>
  <c r="W21" i="35"/>
  <c r="Y21" i="35"/>
  <c r="I22" i="36"/>
  <c r="T21" i="35"/>
  <c r="H22" i="36"/>
  <c r="Q21" i="35"/>
  <c r="G22" i="36"/>
  <c r="F22" i="36"/>
  <c r="E22" i="36"/>
  <c r="C21" i="35"/>
  <c r="D22" i="36"/>
  <c r="C22" i="36"/>
  <c r="A21" i="35"/>
  <c r="B22" i="36"/>
  <c r="V21" i="36"/>
  <c r="S21" i="36"/>
  <c r="R21" i="36"/>
  <c r="Q21" i="36"/>
  <c r="Z20" i="35"/>
  <c r="J21" i="36"/>
  <c r="W20" i="35"/>
  <c r="Y20" i="35"/>
  <c r="I21" i="36"/>
  <c r="T20" i="35"/>
  <c r="H21" i="36"/>
  <c r="Q20" i="35"/>
  <c r="G21" i="36"/>
  <c r="F21" i="36"/>
  <c r="E21" i="36"/>
  <c r="C20" i="35"/>
  <c r="D21" i="36"/>
  <c r="C21" i="36"/>
  <c r="A20" i="35"/>
  <c r="B21" i="36"/>
  <c r="V20" i="36"/>
  <c r="S20" i="36"/>
  <c r="R20" i="36"/>
  <c r="Q20" i="36"/>
  <c r="Z19" i="35"/>
  <c r="J20" i="36"/>
  <c r="W19" i="35"/>
  <c r="Y19" i="35"/>
  <c r="I20" i="36"/>
  <c r="T19" i="35"/>
  <c r="H20" i="36"/>
  <c r="Q19" i="35"/>
  <c r="G20" i="36"/>
  <c r="F20" i="36"/>
  <c r="E20" i="36"/>
  <c r="C19" i="35"/>
  <c r="D20" i="36"/>
  <c r="C20" i="36"/>
  <c r="A19" i="35"/>
  <c r="B20" i="36"/>
  <c r="V19" i="36"/>
  <c r="S19" i="36"/>
  <c r="R19" i="36"/>
  <c r="Q19" i="36"/>
  <c r="Z18" i="35"/>
  <c r="J19" i="36"/>
  <c r="W18" i="35"/>
  <c r="Y18" i="35"/>
  <c r="I19" i="36"/>
  <c r="T18" i="35"/>
  <c r="H19" i="36"/>
  <c r="Q18" i="35"/>
  <c r="G19" i="36"/>
  <c r="F19" i="36"/>
  <c r="E19" i="36"/>
  <c r="C18" i="35"/>
  <c r="D19" i="36"/>
  <c r="C19" i="36"/>
  <c r="A18" i="35"/>
  <c r="B19" i="36"/>
  <c r="V18" i="36"/>
  <c r="S18" i="36"/>
  <c r="R18" i="36"/>
  <c r="Q18" i="36"/>
  <c r="Z17" i="35"/>
  <c r="J18" i="36"/>
  <c r="W17" i="35"/>
  <c r="Y17" i="35"/>
  <c r="I18" i="36"/>
  <c r="T17" i="35"/>
  <c r="H18" i="36"/>
  <c r="Q17" i="35"/>
  <c r="G18" i="36"/>
  <c r="F18" i="36"/>
  <c r="E18" i="36"/>
  <c r="C17" i="35"/>
  <c r="D18" i="36"/>
  <c r="C18" i="36"/>
  <c r="A17" i="35"/>
  <c r="B18" i="36"/>
  <c r="V17" i="36"/>
  <c r="S17" i="36"/>
  <c r="R17" i="36"/>
  <c r="Q17" i="36"/>
  <c r="Z16" i="35"/>
  <c r="J17" i="36"/>
  <c r="W16" i="35"/>
  <c r="Y16" i="35"/>
  <c r="I17" i="36"/>
  <c r="T16" i="35"/>
  <c r="H17" i="36"/>
  <c r="Q16" i="35"/>
  <c r="G17" i="36"/>
  <c r="F17" i="36"/>
  <c r="E17" i="36"/>
  <c r="C16" i="35"/>
  <c r="D17" i="36"/>
  <c r="C17" i="36"/>
  <c r="A16" i="35"/>
  <c r="B17" i="36"/>
  <c r="V16" i="36"/>
  <c r="S16" i="36"/>
  <c r="R16" i="36"/>
  <c r="Q16" i="36"/>
  <c r="Z15" i="35"/>
  <c r="J16" i="36"/>
  <c r="W15" i="35"/>
  <c r="Y15" i="35"/>
  <c r="I16" i="36"/>
  <c r="T15" i="35"/>
  <c r="H16" i="36"/>
  <c r="Q15" i="35"/>
  <c r="G16" i="36"/>
  <c r="F16" i="36"/>
  <c r="E16" i="36"/>
  <c r="C15" i="35"/>
  <c r="D16" i="36"/>
  <c r="C16" i="36"/>
  <c r="A15" i="35"/>
  <c r="B16" i="36"/>
  <c r="V15" i="36"/>
  <c r="S15" i="36"/>
  <c r="R15" i="36"/>
  <c r="Q15" i="36"/>
  <c r="Z14" i="35"/>
  <c r="J15" i="36"/>
  <c r="W14" i="35"/>
  <c r="Y14" i="35"/>
  <c r="I15" i="36"/>
  <c r="T14" i="35"/>
  <c r="H15" i="36"/>
  <c r="Q14" i="35"/>
  <c r="G15" i="36"/>
  <c r="F15" i="36"/>
  <c r="E15" i="36"/>
  <c r="C14" i="35"/>
  <c r="D15" i="36"/>
  <c r="C15" i="36"/>
  <c r="A14" i="35"/>
  <c r="B15" i="36"/>
  <c r="V14" i="36"/>
  <c r="S14" i="36"/>
  <c r="R14" i="36"/>
  <c r="Q14" i="36"/>
  <c r="Z13" i="35"/>
  <c r="J14" i="36"/>
  <c r="W13" i="35"/>
  <c r="Y13" i="35"/>
  <c r="I14" i="36"/>
  <c r="T13" i="35"/>
  <c r="H14" i="36"/>
  <c r="Q13" i="35"/>
  <c r="G14" i="36"/>
  <c r="F14" i="36"/>
  <c r="E14" i="36"/>
  <c r="C13" i="35"/>
  <c r="D14" i="36"/>
  <c r="C14" i="36"/>
  <c r="A13" i="35"/>
  <c r="B14" i="36"/>
  <c r="V13" i="36"/>
  <c r="S13" i="36"/>
  <c r="R13" i="36"/>
  <c r="Q13" i="36"/>
  <c r="Z12" i="35"/>
  <c r="J13" i="36"/>
  <c r="W12" i="35"/>
  <c r="Y12" i="35"/>
  <c r="I13" i="36"/>
  <c r="T12" i="35"/>
  <c r="H13" i="36"/>
  <c r="Q12" i="35"/>
  <c r="G13" i="36"/>
  <c r="F13" i="36"/>
  <c r="E13" i="36"/>
  <c r="C12" i="35"/>
  <c r="D13" i="36"/>
  <c r="C13" i="36"/>
  <c r="A12" i="35"/>
  <c r="B13" i="36"/>
  <c r="V12" i="36"/>
  <c r="S12" i="36"/>
  <c r="R12" i="36"/>
  <c r="Q12" i="36"/>
  <c r="Z11" i="35"/>
  <c r="J12" i="36"/>
  <c r="W11" i="35"/>
  <c r="Y11" i="35"/>
  <c r="I12" i="36"/>
  <c r="T11" i="35"/>
  <c r="H12" i="36"/>
  <c r="Q11" i="35"/>
  <c r="G12" i="36"/>
  <c r="F12" i="36"/>
  <c r="E12" i="36"/>
  <c r="C11" i="35"/>
  <c r="D12" i="36"/>
  <c r="C12" i="36"/>
  <c r="A11" i="35"/>
  <c r="B12" i="36"/>
  <c r="V11" i="36"/>
  <c r="S11" i="36"/>
  <c r="R11" i="36"/>
  <c r="Q11" i="36"/>
  <c r="Z10" i="35"/>
  <c r="J11" i="36"/>
  <c r="W10" i="35"/>
  <c r="Y10" i="35"/>
  <c r="I11" i="36"/>
  <c r="T10" i="35"/>
  <c r="H11" i="36"/>
  <c r="Q10" i="35"/>
  <c r="G11" i="36"/>
  <c r="F11" i="36"/>
  <c r="E11" i="36"/>
  <c r="C10" i="35"/>
  <c r="D11" i="36"/>
  <c r="C11" i="36"/>
  <c r="A10" i="35"/>
  <c r="B11" i="36"/>
  <c r="V10" i="36"/>
  <c r="S10" i="36"/>
  <c r="R10" i="36"/>
  <c r="Q10" i="36"/>
  <c r="Z9" i="35"/>
  <c r="J10" i="36"/>
  <c r="W9" i="35"/>
  <c r="Y9" i="35"/>
  <c r="I10" i="36"/>
  <c r="T9" i="35"/>
  <c r="H10" i="36"/>
  <c r="Q9" i="35"/>
  <c r="G10" i="36"/>
  <c r="F10" i="36"/>
  <c r="E10" i="36"/>
  <c r="C9" i="35"/>
  <c r="D10" i="36"/>
  <c r="C10" i="36"/>
  <c r="A9" i="35"/>
  <c r="B10" i="36"/>
  <c r="V9" i="36"/>
  <c r="S9" i="36"/>
  <c r="R9" i="36"/>
  <c r="Q9" i="36"/>
  <c r="Z8" i="35"/>
  <c r="J9" i="36"/>
  <c r="W8" i="35"/>
  <c r="Y8" i="35"/>
  <c r="I9" i="36"/>
  <c r="T8" i="35"/>
  <c r="H9" i="36"/>
  <c r="Q8" i="35"/>
  <c r="G9" i="36"/>
  <c r="F9" i="36"/>
  <c r="E9" i="36"/>
  <c r="C8" i="35"/>
  <c r="D9" i="36"/>
  <c r="C9" i="36"/>
  <c r="A8" i="35"/>
  <c r="B9" i="36"/>
  <c r="V8" i="36"/>
  <c r="S8" i="36"/>
  <c r="R8" i="36"/>
  <c r="Q8" i="36"/>
  <c r="Z7" i="35"/>
  <c r="J8" i="36"/>
  <c r="W7" i="35"/>
  <c r="Y7" i="35"/>
  <c r="I8" i="36"/>
  <c r="T7" i="35"/>
  <c r="H8" i="36"/>
  <c r="Q7" i="35"/>
  <c r="G8" i="36"/>
  <c r="F8" i="36"/>
  <c r="E8" i="36"/>
  <c r="C7" i="35"/>
  <c r="D8" i="36"/>
  <c r="C8" i="36"/>
  <c r="A7" i="35"/>
  <c r="B8" i="36"/>
  <c r="C5" i="36"/>
  <c r="B5" i="36"/>
  <c r="G4" i="36"/>
  <c r="F4" i="36"/>
  <c r="C4" i="36"/>
  <c r="B4" i="36"/>
  <c r="AI306" i="35"/>
  <c r="AE306" i="35"/>
  <c r="AD306" i="35"/>
  <c r="AA306" i="35"/>
  <c r="Z306" i="35"/>
  <c r="W306" i="35"/>
  <c r="Y306" i="35"/>
  <c r="T306" i="35"/>
  <c r="Q306" i="35"/>
  <c r="K306" i="35"/>
  <c r="M306" i="35"/>
  <c r="G306" i="35"/>
  <c r="F306" i="35"/>
  <c r="E306" i="35"/>
  <c r="D306" i="35"/>
  <c r="C306" i="35"/>
  <c r="A306" i="35"/>
  <c r="AI305" i="35"/>
  <c r="AE305" i="35"/>
  <c r="AD305" i="35"/>
  <c r="AA305" i="35"/>
  <c r="Z305" i="35"/>
  <c r="W305" i="35"/>
  <c r="Y305" i="35"/>
  <c r="T305" i="35"/>
  <c r="Q305" i="35"/>
  <c r="K305" i="35"/>
  <c r="M305" i="35"/>
  <c r="G305" i="35"/>
  <c r="F305" i="35"/>
  <c r="E305" i="35"/>
  <c r="D305" i="35"/>
  <c r="C305" i="35"/>
  <c r="A305" i="35"/>
  <c r="AI304" i="35"/>
  <c r="AE304" i="35"/>
  <c r="AD304" i="35"/>
  <c r="AA304" i="35"/>
  <c r="Z304" i="35"/>
  <c r="W304" i="35"/>
  <c r="Y304" i="35"/>
  <c r="T304" i="35"/>
  <c r="Q304" i="35"/>
  <c r="K304" i="35"/>
  <c r="M304" i="35"/>
  <c r="G304" i="35"/>
  <c r="F304" i="35"/>
  <c r="E304" i="35"/>
  <c r="D304" i="35"/>
  <c r="C304" i="35"/>
  <c r="A304" i="35"/>
  <c r="AI303" i="35"/>
  <c r="AE303" i="35"/>
  <c r="AD303" i="35"/>
  <c r="AA303" i="35"/>
  <c r="Z303" i="35"/>
  <c r="W303" i="35"/>
  <c r="Y303" i="35"/>
  <c r="T303" i="35"/>
  <c r="Q303" i="35"/>
  <c r="K303" i="35"/>
  <c r="M303" i="35"/>
  <c r="G303" i="35"/>
  <c r="F303" i="35"/>
  <c r="E303" i="35"/>
  <c r="D303" i="35"/>
  <c r="C303" i="35"/>
  <c r="A303" i="35"/>
  <c r="AI302" i="35"/>
  <c r="AE302" i="35"/>
  <c r="AD302" i="35"/>
  <c r="AA302" i="35"/>
  <c r="Z302" i="35"/>
  <c r="W302" i="35"/>
  <c r="Y302" i="35"/>
  <c r="T302" i="35"/>
  <c r="Q302" i="35"/>
  <c r="K302" i="35"/>
  <c r="M302" i="35"/>
  <c r="G302" i="35"/>
  <c r="F302" i="35"/>
  <c r="E302" i="35"/>
  <c r="D302" i="35"/>
  <c r="C302" i="35"/>
  <c r="A302" i="35"/>
  <c r="AI301" i="35"/>
  <c r="AE301" i="35"/>
  <c r="AD301" i="35"/>
  <c r="AA301" i="35"/>
  <c r="Z301" i="35"/>
  <c r="W301" i="35"/>
  <c r="Y301" i="35"/>
  <c r="T301" i="35"/>
  <c r="Q301" i="35"/>
  <c r="K301" i="35"/>
  <c r="M301" i="35"/>
  <c r="G301" i="35"/>
  <c r="F301" i="35"/>
  <c r="E301" i="35"/>
  <c r="D301" i="35"/>
  <c r="C301" i="35"/>
  <c r="A301" i="35"/>
  <c r="AI300" i="35"/>
  <c r="AE300" i="35"/>
  <c r="AD300" i="35"/>
  <c r="AA300" i="35"/>
  <c r="Z300" i="35"/>
  <c r="W300" i="35"/>
  <c r="Y300" i="35"/>
  <c r="T300" i="35"/>
  <c r="Q300" i="35"/>
  <c r="K300" i="35"/>
  <c r="M300" i="35"/>
  <c r="G300" i="35"/>
  <c r="F300" i="35"/>
  <c r="E300" i="35"/>
  <c r="D300" i="35"/>
  <c r="C300" i="35"/>
  <c r="A300" i="35"/>
  <c r="AI299" i="35"/>
  <c r="AE299" i="35"/>
  <c r="AD299" i="35"/>
  <c r="AA299" i="35"/>
  <c r="Z299" i="35"/>
  <c r="W299" i="35"/>
  <c r="Y299" i="35"/>
  <c r="T299" i="35"/>
  <c r="Q299" i="35"/>
  <c r="K299" i="35"/>
  <c r="M299" i="35"/>
  <c r="G299" i="35"/>
  <c r="F299" i="35"/>
  <c r="E299" i="35"/>
  <c r="D299" i="35"/>
  <c r="C299" i="35"/>
  <c r="A299" i="35"/>
  <c r="AI298" i="35"/>
  <c r="AE298" i="35"/>
  <c r="AD298" i="35"/>
  <c r="AA298" i="35"/>
  <c r="Z298" i="35"/>
  <c r="W298" i="35"/>
  <c r="Y298" i="35"/>
  <c r="T298" i="35"/>
  <c r="Q298" i="35"/>
  <c r="K298" i="35"/>
  <c r="M298" i="35"/>
  <c r="G298" i="35"/>
  <c r="F298" i="35"/>
  <c r="E298" i="35"/>
  <c r="D298" i="35"/>
  <c r="C298" i="35"/>
  <c r="A298" i="35"/>
  <c r="AI297" i="35"/>
  <c r="AE297" i="35"/>
  <c r="AD297" i="35"/>
  <c r="AA297" i="35"/>
  <c r="Z297" i="35"/>
  <c r="W297" i="35"/>
  <c r="Y297" i="35"/>
  <c r="T297" i="35"/>
  <c r="Q297" i="35"/>
  <c r="K297" i="35"/>
  <c r="M297" i="35"/>
  <c r="G297" i="35"/>
  <c r="F297" i="35"/>
  <c r="E297" i="35"/>
  <c r="D297" i="35"/>
  <c r="C297" i="35"/>
  <c r="A297" i="35"/>
  <c r="AI296" i="35"/>
  <c r="AE296" i="35"/>
  <c r="AD296" i="35"/>
  <c r="AA296" i="35"/>
  <c r="Z296" i="35"/>
  <c r="W296" i="35"/>
  <c r="Y296" i="35"/>
  <c r="T296" i="35"/>
  <c r="Q296" i="35"/>
  <c r="K296" i="35"/>
  <c r="M296" i="35"/>
  <c r="G296" i="35"/>
  <c r="F296" i="35"/>
  <c r="E296" i="35"/>
  <c r="D296" i="35"/>
  <c r="C296" i="35"/>
  <c r="A296" i="35"/>
  <c r="AI295" i="35"/>
  <c r="AE295" i="35"/>
  <c r="AD295" i="35"/>
  <c r="AA295" i="35"/>
  <c r="Z295" i="35"/>
  <c r="W295" i="35"/>
  <c r="Y295" i="35"/>
  <c r="T295" i="35"/>
  <c r="Q295" i="35"/>
  <c r="K295" i="35"/>
  <c r="M295" i="35"/>
  <c r="G295" i="35"/>
  <c r="F295" i="35"/>
  <c r="E295" i="35"/>
  <c r="D295" i="35"/>
  <c r="C295" i="35"/>
  <c r="A295" i="35"/>
  <c r="AI294" i="35"/>
  <c r="AE294" i="35"/>
  <c r="AD294" i="35"/>
  <c r="AA294" i="35"/>
  <c r="Z294" i="35"/>
  <c r="W294" i="35"/>
  <c r="Y294" i="35"/>
  <c r="T294" i="35"/>
  <c r="Q294" i="35"/>
  <c r="K294" i="35"/>
  <c r="M294" i="35"/>
  <c r="G294" i="35"/>
  <c r="F294" i="35"/>
  <c r="E294" i="35"/>
  <c r="D294" i="35"/>
  <c r="C294" i="35"/>
  <c r="A294" i="35"/>
  <c r="AI293" i="35"/>
  <c r="AE293" i="35"/>
  <c r="AD293" i="35"/>
  <c r="AA293" i="35"/>
  <c r="Z293" i="35"/>
  <c r="W293" i="35"/>
  <c r="Y293" i="35"/>
  <c r="T293" i="35"/>
  <c r="Q293" i="35"/>
  <c r="K293" i="35"/>
  <c r="M293" i="35"/>
  <c r="G293" i="35"/>
  <c r="F293" i="35"/>
  <c r="E293" i="35"/>
  <c r="D293" i="35"/>
  <c r="C293" i="35"/>
  <c r="A293" i="35"/>
  <c r="AI292" i="35"/>
  <c r="AE292" i="35"/>
  <c r="AD292" i="35"/>
  <c r="AA292" i="35"/>
  <c r="Z292" i="35"/>
  <c r="W292" i="35"/>
  <c r="Y292" i="35"/>
  <c r="T292" i="35"/>
  <c r="Q292" i="35"/>
  <c r="K292" i="35"/>
  <c r="M292" i="35"/>
  <c r="G292" i="35"/>
  <c r="F292" i="35"/>
  <c r="E292" i="35"/>
  <c r="D292" i="35"/>
  <c r="C292" i="35"/>
  <c r="A292" i="35"/>
  <c r="AI291" i="35"/>
  <c r="AE291" i="35"/>
  <c r="AD291" i="35"/>
  <c r="AA291" i="35"/>
  <c r="Z291" i="35"/>
  <c r="W291" i="35"/>
  <c r="Y291" i="35"/>
  <c r="T291" i="35"/>
  <c r="Q291" i="35"/>
  <c r="K291" i="35"/>
  <c r="M291" i="35"/>
  <c r="G291" i="35"/>
  <c r="F291" i="35"/>
  <c r="E291" i="35"/>
  <c r="D291" i="35"/>
  <c r="C291" i="35"/>
  <c r="A291" i="35"/>
  <c r="AI290" i="35"/>
  <c r="AE290" i="35"/>
  <c r="AD290" i="35"/>
  <c r="AA290" i="35"/>
  <c r="Z290" i="35"/>
  <c r="W290" i="35"/>
  <c r="Y290" i="35"/>
  <c r="T290" i="35"/>
  <c r="Q290" i="35"/>
  <c r="K290" i="35"/>
  <c r="M290" i="35"/>
  <c r="G290" i="35"/>
  <c r="F290" i="35"/>
  <c r="E290" i="35"/>
  <c r="D290" i="35"/>
  <c r="C290" i="35"/>
  <c r="A290" i="35"/>
  <c r="AI289" i="35"/>
  <c r="AE289" i="35"/>
  <c r="AD289" i="35"/>
  <c r="AA289" i="35"/>
  <c r="Z289" i="35"/>
  <c r="W289" i="35"/>
  <c r="Y289" i="35"/>
  <c r="T289" i="35"/>
  <c r="Q289" i="35"/>
  <c r="K289" i="35"/>
  <c r="M289" i="35"/>
  <c r="G289" i="35"/>
  <c r="F289" i="35"/>
  <c r="E289" i="35"/>
  <c r="D289" i="35"/>
  <c r="C289" i="35"/>
  <c r="A289" i="35"/>
  <c r="AI288" i="35"/>
  <c r="AE288" i="35"/>
  <c r="AD288" i="35"/>
  <c r="AA288" i="35"/>
  <c r="Z288" i="35"/>
  <c r="W288" i="35"/>
  <c r="Y288" i="35"/>
  <c r="T288" i="35"/>
  <c r="Q288" i="35"/>
  <c r="K288" i="35"/>
  <c r="M288" i="35"/>
  <c r="G288" i="35"/>
  <c r="F288" i="35"/>
  <c r="E288" i="35"/>
  <c r="D288" i="35"/>
  <c r="C288" i="35"/>
  <c r="A288" i="35"/>
  <c r="AI287" i="35"/>
  <c r="AE287" i="35"/>
  <c r="AD287" i="35"/>
  <c r="AA287" i="35"/>
  <c r="Z287" i="35"/>
  <c r="W287" i="35"/>
  <c r="Y287" i="35"/>
  <c r="T287" i="35"/>
  <c r="Q287" i="35"/>
  <c r="K287" i="35"/>
  <c r="M287" i="35"/>
  <c r="G287" i="35"/>
  <c r="F287" i="35"/>
  <c r="E287" i="35"/>
  <c r="D287" i="35"/>
  <c r="C287" i="35"/>
  <c r="A287" i="35"/>
  <c r="AI286" i="35"/>
  <c r="AE286" i="35"/>
  <c r="AD286" i="35"/>
  <c r="AA286" i="35"/>
  <c r="Z286" i="35"/>
  <c r="W286" i="35"/>
  <c r="Y286" i="35"/>
  <c r="T286" i="35"/>
  <c r="Q286" i="35"/>
  <c r="K286" i="35"/>
  <c r="M286" i="35"/>
  <c r="G286" i="35"/>
  <c r="F286" i="35"/>
  <c r="E286" i="35"/>
  <c r="D286" i="35"/>
  <c r="C286" i="35"/>
  <c r="A286" i="35"/>
  <c r="AI285" i="35"/>
  <c r="AE285" i="35"/>
  <c r="AD285" i="35"/>
  <c r="AA285" i="35"/>
  <c r="Z285" i="35"/>
  <c r="W285" i="35"/>
  <c r="Y285" i="35"/>
  <c r="T285" i="35"/>
  <c r="Q285" i="35"/>
  <c r="K285" i="35"/>
  <c r="M285" i="35"/>
  <c r="G285" i="35"/>
  <c r="F285" i="35"/>
  <c r="E285" i="35"/>
  <c r="D285" i="35"/>
  <c r="C285" i="35"/>
  <c r="A285" i="35"/>
  <c r="AI284" i="35"/>
  <c r="AE284" i="35"/>
  <c r="AD284" i="35"/>
  <c r="AA284" i="35"/>
  <c r="Z284" i="35"/>
  <c r="W284" i="35"/>
  <c r="Y284" i="35"/>
  <c r="T284" i="35"/>
  <c r="Q284" i="35"/>
  <c r="K284" i="35"/>
  <c r="M284" i="35"/>
  <c r="G284" i="35"/>
  <c r="F284" i="35"/>
  <c r="E284" i="35"/>
  <c r="D284" i="35"/>
  <c r="C284" i="35"/>
  <c r="A284" i="35"/>
  <c r="AI283" i="35"/>
  <c r="AE283" i="35"/>
  <c r="AD283" i="35"/>
  <c r="AA283" i="35"/>
  <c r="Z283" i="35"/>
  <c r="W283" i="35"/>
  <c r="Y283" i="35"/>
  <c r="T283" i="35"/>
  <c r="Q283" i="35"/>
  <c r="K283" i="35"/>
  <c r="M283" i="35"/>
  <c r="G283" i="35"/>
  <c r="F283" i="35"/>
  <c r="E283" i="35"/>
  <c r="D283" i="35"/>
  <c r="C283" i="35"/>
  <c r="A283" i="35"/>
  <c r="AI282" i="35"/>
  <c r="AE282" i="35"/>
  <c r="AD282" i="35"/>
  <c r="AA282" i="35"/>
  <c r="Z282" i="35"/>
  <c r="W282" i="35"/>
  <c r="Y282" i="35"/>
  <c r="T282" i="35"/>
  <c r="Q282" i="35"/>
  <c r="K282" i="35"/>
  <c r="M282" i="35"/>
  <c r="G282" i="35"/>
  <c r="F282" i="35"/>
  <c r="E282" i="35"/>
  <c r="D282" i="35"/>
  <c r="C282" i="35"/>
  <c r="A282" i="35"/>
  <c r="AI281" i="35"/>
  <c r="AE281" i="35"/>
  <c r="AD281" i="35"/>
  <c r="AA281" i="35"/>
  <c r="Z281" i="35"/>
  <c r="W281" i="35"/>
  <c r="Y281" i="35"/>
  <c r="T281" i="35"/>
  <c r="Q281" i="35"/>
  <c r="K281" i="35"/>
  <c r="M281" i="35"/>
  <c r="G281" i="35"/>
  <c r="F281" i="35"/>
  <c r="E281" i="35"/>
  <c r="D281" i="35"/>
  <c r="C281" i="35"/>
  <c r="A281" i="35"/>
  <c r="AI280" i="35"/>
  <c r="AE280" i="35"/>
  <c r="AD280" i="35"/>
  <c r="AA280" i="35"/>
  <c r="Z280" i="35"/>
  <c r="W280" i="35"/>
  <c r="Y280" i="35"/>
  <c r="T280" i="35"/>
  <c r="Q280" i="35"/>
  <c r="K280" i="35"/>
  <c r="M280" i="35"/>
  <c r="G280" i="35"/>
  <c r="F280" i="35"/>
  <c r="E280" i="35"/>
  <c r="D280" i="35"/>
  <c r="C280" i="35"/>
  <c r="A280" i="35"/>
  <c r="AI279" i="35"/>
  <c r="AE279" i="35"/>
  <c r="AD279" i="35"/>
  <c r="AA279" i="35"/>
  <c r="Z279" i="35"/>
  <c r="W279" i="35"/>
  <c r="Y279" i="35"/>
  <c r="T279" i="35"/>
  <c r="Q279" i="35"/>
  <c r="K279" i="35"/>
  <c r="M279" i="35"/>
  <c r="G279" i="35"/>
  <c r="F279" i="35"/>
  <c r="E279" i="35"/>
  <c r="D279" i="35"/>
  <c r="C279" i="35"/>
  <c r="A279" i="35"/>
  <c r="AI278" i="35"/>
  <c r="AE278" i="35"/>
  <c r="AD278" i="35"/>
  <c r="AA278" i="35"/>
  <c r="Z278" i="35"/>
  <c r="W278" i="35"/>
  <c r="Y278" i="35"/>
  <c r="T278" i="35"/>
  <c r="Q278" i="35"/>
  <c r="K278" i="35"/>
  <c r="M278" i="35"/>
  <c r="G278" i="35"/>
  <c r="F278" i="35"/>
  <c r="E278" i="35"/>
  <c r="D278" i="35"/>
  <c r="C278" i="35"/>
  <c r="A278" i="35"/>
  <c r="AI277" i="35"/>
  <c r="AE277" i="35"/>
  <c r="AD277" i="35"/>
  <c r="AA277" i="35"/>
  <c r="Z277" i="35"/>
  <c r="W277" i="35"/>
  <c r="Y277" i="35"/>
  <c r="T277" i="35"/>
  <c r="Q277" i="35"/>
  <c r="K277" i="35"/>
  <c r="M277" i="35"/>
  <c r="G277" i="35"/>
  <c r="F277" i="35"/>
  <c r="E277" i="35"/>
  <c r="D277" i="35"/>
  <c r="C277" i="35"/>
  <c r="A277" i="35"/>
  <c r="AI276" i="35"/>
  <c r="AE276" i="35"/>
  <c r="AD276" i="35"/>
  <c r="AA276" i="35"/>
  <c r="Z276" i="35"/>
  <c r="W276" i="35"/>
  <c r="Y276" i="35"/>
  <c r="T276" i="35"/>
  <c r="Q276" i="35"/>
  <c r="K276" i="35"/>
  <c r="M276" i="35"/>
  <c r="G276" i="35"/>
  <c r="F276" i="35"/>
  <c r="E276" i="35"/>
  <c r="D276" i="35"/>
  <c r="C276" i="35"/>
  <c r="A276" i="35"/>
  <c r="AI275" i="35"/>
  <c r="AE275" i="35"/>
  <c r="AD275" i="35"/>
  <c r="AA275" i="35"/>
  <c r="Z275" i="35"/>
  <c r="W275" i="35"/>
  <c r="Y275" i="35"/>
  <c r="T275" i="35"/>
  <c r="Q275" i="35"/>
  <c r="K275" i="35"/>
  <c r="M275" i="35"/>
  <c r="G275" i="35"/>
  <c r="F275" i="35"/>
  <c r="E275" i="35"/>
  <c r="D275" i="35"/>
  <c r="C275" i="35"/>
  <c r="A275" i="35"/>
  <c r="AI274" i="35"/>
  <c r="AE274" i="35"/>
  <c r="AD274" i="35"/>
  <c r="AA274" i="35"/>
  <c r="Z274" i="35"/>
  <c r="W274" i="35"/>
  <c r="Y274" i="35"/>
  <c r="T274" i="35"/>
  <c r="Q274" i="35"/>
  <c r="K274" i="35"/>
  <c r="M274" i="35"/>
  <c r="G274" i="35"/>
  <c r="F274" i="35"/>
  <c r="E274" i="35"/>
  <c r="D274" i="35"/>
  <c r="C274" i="35"/>
  <c r="A274" i="35"/>
  <c r="AI273" i="35"/>
  <c r="AE273" i="35"/>
  <c r="AD273" i="35"/>
  <c r="AA273" i="35"/>
  <c r="Z273" i="35"/>
  <c r="W273" i="35"/>
  <c r="Y273" i="35"/>
  <c r="T273" i="35"/>
  <c r="Q273" i="35"/>
  <c r="K273" i="35"/>
  <c r="M273" i="35"/>
  <c r="G273" i="35"/>
  <c r="F273" i="35"/>
  <c r="E273" i="35"/>
  <c r="D273" i="35"/>
  <c r="C273" i="35"/>
  <c r="A273" i="35"/>
  <c r="AI272" i="35"/>
  <c r="AE272" i="35"/>
  <c r="AD272" i="35"/>
  <c r="AA272" i="35"/>
  <c r="Z272" i="35"/>
  <c r="W272" i="35"/>
  <c r="Y272" i="35"/>
  <c r="T272" i="35"/>
  <c r="Q272" i="35"/>
  <c r="K272" i="35"/>
  <c r="M272" i="35"/>
  <c r="G272" i="35"/>
  <c r="F272" i="35"/>
  <c r="E272" i="35"/>
  <c r="D272" i="35"/>
  <c r="C272" i="35"/>
  <c r="A272" i="35"/>
  <c r="AI271" i="35"/>
  <c r="AE271" i="35"/>
  <c r="AD271" i="35"/>
  <c r="AA271" i="35"/>
  <c r="Z271" i="35"/>
  <c r="W271" i="35"/>
  <c r="Y271" i="35"/>
  <c r="T271" i="35"/>
  <c r="Q271" i="35"/>
  <c r="K271" i="35"/>
  <c r="M271" i="35"/>
  <c r="G271" i="35"/>
  <c r="F271" i="35"/>
  <c r="E271" i="35"/>
  <c r="D271" i="35"/>
  <c r="C271" i="35"/>
  <c r="A271" i="35"/>
  <c r="AI270" i="35"/>
  <c r="AE270" i="35"/>
  <c r="AD270" i="35"/>
  <c r="AA270" i="35"/>
  <c r="Z270" i="35"/>
  <c r="W270" i="35"/>
  <c r="Y270" i="35"/>
  <c r="T270" i="35"/>
  <c r="Q270" i="35"/>
  <c r="K270" i="35"/>
  <c r="M270" i="35"/>
  <c r="G270" i="35"/>
  <c r="F270" i="35"/>
  <c r="E270" i="35"/>
  <c r="D270" i="35"/>
  <c r="C270" i="35"/>
  <c r="A270" i="35"/>
  <c r="AI269" i="35"/>
  <c r="AE269" i="35"/>
  <c r="AD269" i="35"/>
  <c r="AA269" i="35"/>
  <c r="Z269" i="35"/>
  <c r="W269" i="35"/>
  <c r="Y269" i="35"/>
  <c r="T269" i="35"/>
  <c r="Q269" i="35"/>
  <c r="K269" i="35"/>
  <c r="M269" i="35"/>
  <c r="G269" i="35"/>
  <c r="F269" i="35"/>
  <c r="E269" i="35"/>
  <c r="D269" i="35"/>
  <c r="C269" i="35"/>
  <c r="A269" i="35"/>
  <c r="AI268" i="35"/>
  <c r="AE268" i="35"/>
  <c r="AD268" i="35"/>
  <c r="AA268" i="35"/>
  <c r="Z268" i="35"/>
  <c r="W268" i="35"/>
  <c r="Y268" i="35"/>
  <c r="T268" i="35"/>
  <c r="Q268" i="35"/>
  <c r="K268" i="35"/>
  <c r="M268" i="35"/>
  <c r="G268" i="35"/>
  <c r="F268" i="35"/>
  <c r="E268" i="35"/>
  <c r="D268" i="35"/>
  <c r="C268" i="35"/>
  <c r="A268" i="35"/>
  <c r="AI267" i="35"/>
  <c r="AE267" i="35"/>
  <c r="AD267" i="35"/>
  <c r="AA267" i="35"/>
  <c r="Z267" i="35"/>
  <c r="W267" i="35"/>
  <c r="Y267" i="35"/>
  <c r="T267" i="35"/>
  <c r="Q267" i="35"/>
  <c r="K267" i="35"/>
  <c r="M267" i="35"/>
  <c r="G267" i="35"/>
  <c r="F267" i="35"/>
  <c r="E267" i="35"/>
  <c r="D267" i="35"/>
  <c r="C267" i="35"/>
  <c r="A267" i="35"/>
  <c r="AI266" i="35"/>
  <c r="AE266" i="35"/>
  <c r="AD266" i="35"/>
  <c r="AA266" i="35"/>
  <c r="Z266" i="35"/>
  <c r="W266" i="35"/>
  <c r="Y266" i="35"/>
  <c r="T266" i="35"/>
  <c r="Q266" i="35"/>
  <c r="K266" i="35"/>
  <c r="M266" i="35"/>
  <c r="G266" i="35"/>
  <c r="F266" i="35"/>
  <c r="E266" i="35"/>
  <c r="D266" i="35"/>
  <c r="C266" i="35"/>
  <c r="A266" i="35"/>
  <c r="AI265" i="35"/>
  <c r="AE265" i="35"/>
  <c r="AD265" i="35"/>
  <c r="AA265" i="35"/>
  <c r="Z265" i="35"/>
  <c r="W265" i="35"/>
  <c r="Y265" i="35"/>
  <c r="T265" i="35"/>
  <c r="Q265" i="35"/>
  <c r="K265" i="35"/>
  <c r="M265" i="35"/>
  <c r="G265" i="35"/>
  <c r="F265" i="35"/>
  <c r="E265" i="35"/>
  <c r="D265" i="35"/>
  <c r="C265" i="35"/>
  <c r="A265" i="35"/>
  <c r="AI264" i="35"/>
  <c r="AE264" i="35"/>
  <c r="AD264" i="35"/>
  <c r="AA264" i="35"/>
  <c r="Z264" i="35"/>
  <c r="W264" i="35"/>
  <c r="Y264" i="35"/>
  <c r="T264" i="35"/>
  <c r="Q264" i="35"/>
  <c r="K264" i="35"/>
  <c r="M264" i="35"/>
  <c r="G264" i="35"/>
  <c r="F264" i="35"/>
  <c r="E264" i="35"/>
  <c r="D264" i="35"/>
  <c r="C264" i="35"/>
  <c r="A264" i="35"/>
  <c r="AI263" i="35"/>
  <c r="AE263" i="35"/>
  <c r="AD263" i="35"/>
  <c r="AA263" i="35"/>
  <c r="Z263" i="35"/>
  <c r="W263" i="35"/>
  <c r="Y263" i="35"/>
  <c r="T263" i="35"/>
  <c r="Q263" i="35"/>
  <c r="K263" i="35"/>
  <c r="M263" i="35"/>
  <c r="G263" i="35"/>
  <c r="F263" i="35"/>
  <c r="E263" i="35"/>
  <c r="D263" i="35"/>
  <c r="C263" i="35"/>
  <c r="A263" i="35"/>
  <c r="AI262" i="35"/>
  <c r="AE262" i="35"/>
  <c r="AD262" i="35"/>
  <c r="AA262" i="35"/>
  <c r="Z262" i="35"/>
  <c r="W262" i="35"/>
  <c r="Y262" i="35"/>
  <c r="T262" i="35"/>
  <c r="Q262" i="35"/>
  <c r="K262" i="35"/>
  <c r="M262" i="35"/>
  <c r="G262" i="35"/>
  <c r="F262" i="35"/>
  <c r="E262" i="35"/>
  <c r="D262" i="35"/>
  <c r="C262" i="35"/>
  <c r="A262" i="35"/>
  <c r="AI261" i="35"/>
  <c r="AE261" i="35"/>
  <c r="AD261" i="35"/>
  <c r="AA261" i="35"/>
  <c r="Z261" i="35"/>
  <c r="W261" i="35"/>
  <c r="Y261" i="35"/>
  <c r="T261" i="35"/>
  <c r="Q261" i="35"/>
  <c r="K261" i="35"/>
  <c r="M261" i="35"/>
  <c r="G261" i="35"/>
  <c r="F261" i="35"/>
  <c r="E261" i="35"/>
  <c r="D261" i="35"/>
  <c r="C261" i="35"/>
  <c r="A261" i="35"/>
  <c r="AI260" i="35"/>
  <c r="AE260" i="35"/>
  <c r="AD260" i="35"/>
  <c r="AA260" i="35"/>
  <c r="Z260" i="35"/>
  <c r="W260" i="35"/>
  <c r="Y260" i="35"/>
  <c r="T260" i="35"/>
  <c r="Q260" i="35"/>
  <c r="K260" i="35"/>
  <c r="M260" i="35"/>
  <c r="G260" i="35"/>
  <c r="F260" i="35"/>
  <c r="E260" i="35"/>
  <c r="D260" i="35"/>
  <c r="C260" i="35"/>
  <c r="A260" i="35"/>
  <c r="AI259" i="35"/>
  <c r="AE259" i="35"/>
  <c r="AD259" i="35"/>
  <c r="AA259" i="35"/>
  <c r="Z259" i="35"/>
  <c r="W259" i="35"/>
  <c r="Y259" i="35"/>
  <c r="T259" i="35"/>
  <c r="Q259" i="35"/>
  <c r="K259" i="35"/>
  <c r="M259" i="35"/>
  <c r="G259" i="35"/>
  <c r="F259" i="35"/>
  <c r="E259" i="35"/>
  <c r="D259" i="35"/>
  <c r="C259" i="35"/>
  <c r="A259" i="35"/>
  <c r="AI258" i="35"/>
  <c r="AE258" i="35"/>
  <c r="AD258" i="35"/>
  <c r="AA258" i="35"/>
  <c r="Z258" i="35"/>
  <c r="W258" i="35"/>
  <c r="Y258" i="35"/>
  <c r="T258" i="35"/>
  <c r="Q258" i="35"/>
  <c r="K258" i="35"/>
  <c r="M258" i="35"/>
  <c r="G258" i="35"/>
  <c r="F258" i="35"/>
  <c r="E258" i="35"/>
  <c r="D258" i="35"/>
  <c r="C258" i="35"/>
  <c r="A258" i="35"/>
  <c r="AI257" i="35"/>
  <c r="AE257" i="35"/>
  <c r="AD257" i="35"/>
  <c r="AA257" i="35"/>
  <c r="Z257" i="35"/>
  <c r="W257" i="35"/>
  <c r="Y257" i="35"/>
  <c r="T257" i="35"/>
  <c r="Q257" i="35"/>
  <c r="K257" i="35"/>
  <c r="M257" i="35"/>
  <c r="G257" i="35"/>
  <c r="F257" i="35"/>
  <c r="E257" i="35"/>
  <c r="D257" i="35"/>
  <c r="C257" i="35"/>
  <c r="A257" i="35"/>
  <c r="AI256" i="35"/>
  <c r="AE256" i="35"/>
  <c r="AD256" i="35"/>
  <c r="AA256" i="35"/>
  <c r="Z256" i="35"/>
  <c r="W256" i="35"/>
  <c r="Y256" i="35"/>
  <c r="T256" i="35"/>
  <c r="Q256" i="35"/>
  <c r="K256" i="35"/>
  <c r="M256" i="35"/>
  <c r="G256" i="35"/>
  <c r="F256" i="35"/>
  <c r="E256" i="35"/>
  <c r="D256" i="35"/>
  <c r="C256" i="35"/>
  <c r="A256" i="35"/>
  <c r="AI255" i="35"/>
  <c r="AE255" i="35"/>
  <c r="AD255" i="35"/>
  <c r="AA255" i="35"/>
  <c r="Z255" i="35"/>
  <c r="W255" i="35"/>
  <c r="Y255" i="35"/>
  <c r="T255" i="35"/>
  <c r="Q255" i="35"/>
  <c r="K255" i="35"/>
  <c r="M255" i="35"/>
  <c r="G255" i="35"/>
  <c r="F255" i="35"/>
  <c r="E255" i="35"/>
  <c r="D255" i="35"/>
  <c r="C255" i="35"/>
  <c r="A255" i="35"/>
  <c r="AI254" i="35"/>
  <c r="AE254" i="35"/>
  <c r="AD254" i="35"/>
  <c r="AA254" i="35"/>
  <c r="Z254" i="35"/>
  <c r="W254" i="35"/>
  <c r="Y254" i="35"/>
  <c r="T254" i="35"/>
  <c r="Q254" i="35"/>
  <c r="K254" i="35"/>
  <c r="M254" i="35"/>
  <c r="G254" i="35"/>
  <c r="F254" i="35"/>
  <c r="E254" i="35"/>
  <c r="D254" i="35"/>
  <c r="C254" i="35"/>
  <c r="A254" i="35"/>
  <c r="AI253" i="35"/>
  <c r="AE253" i="35"/>
  <c r="AD253" i="35"/>
  <c r="AA253" i="35"/>
  <c r="Z253" i="35"/>
  <c r="W253" i="35"/>
  <c r="Y253" i="35"/>
  <c r="T253" i="35"/>
  <c r="Q253" i="35"/>
  <c r="K253" i="35"/>
  <c r="M253" i="35"/>
  <c r="G253" i="35"/>
  <c r="F253" i="35"/>
  <c r="E253" i="35"/>
  <c r="D253" i="35"/>
  <c r="C253" i="35"/>
  <c r="A253" i="35"/>
  <c r="AI252" i="35"/>
  <c r="AE252" i="35"/>
  <c r="AD252" i="35"/>
  <c r="AA252" i="35"/>
  <c r="Z252" i="35"/>
  <c r="W252" i="35"/>
  <c r="Y252" i="35"/>
  <c r="T252" i="35"/>
  <c r="Q252" i="35"/>
  <c r="K252" i="35"/>
  <c r="M252" i="35"/>
  <c r="G252" i="35"/>
  <c r="F252" i="35"/>
  <c r="E252" i="35"/>
  <c r="D252" i="35"/>
  <c r="C252" i="35"/>
  <c r="A252" i="35"/>
  <c r="AI251" i="35"/>
  <c r="AE251" i="35"/>
  <c r="AD251" i="35"/>
  <c r="AA251" i="35"/>
  <c r="Z251" i="35"/>
  <c r="W251" i="35"/>
  <c r="Y251" i="35"/>
  <c r="T251" i="35"/>
  <c r="Q251" i="35"/>
  <c r="K251" i="35"/>
  <c r="M251" i="35"/>
  <c r="G251" i="35"/>
  <c r="F251" i="35"/>
  <c r="E251" i="35"/>
  <c r="D251" i="35"/>
  <c r="C251" i="35"/>
  <c r="A251" i="35"/>
  <c r="AI250" i="35"/>
  <c r="AE250" i="35"/>
  <c r="AD250" i="35"/>
  <c r="AA250" i="35"/>
  <c r="Z250" i="35"/>
  <c r="W250" i="35"/>
  <c r="Y250" i="35"/>
  <c r="T250" i="35"/>
  <c r="Q250" i="35"/>
  <c r="K250" i="35"/>
  <c r="M250" i="35"/>
  <c r="G250" i="35"/>
  <c r="F250" i="35"/>
  <c r="E250" i="35"/>
  <c r="D250" i="35"/>
  <c r="C250" i="35"/>
  <c r="A250" i="35"/>
  <c r="AI249" i="35"/>
  <c r="AE249" i="35"/>
  <c r="AD249" i="35"/>
  <c r="AA249" i="35"/>
  <c r="Z249" i="35"/>
  <c r="W249" i="35"/>
  <c r="Y249" i="35"/>
  <c r="T249" i="35"/>
  <c r="Q249" i="35"/>
  <c r="K249" i="35"/>
  <c r="M249" i="35"/>
  <c r="G249" i="35"/>
  <c r="F249" i="35"/>
  <c r="E249" i="35"/>
  <c r="D249" i="35"/>
  <c r="C249" i="35"/>
  <c r="A249" i="35"/>
  <c r="AI248" i="35"/>
  <c r="AE248" i="35"/>
  <c r="AD248" i="35"/>
  <c r="AA248" i="35"/>
  <c r="Z248" i="35"/>
  <c r="W248" i="35"/>
  <c r="Y248" i="35"/>
  <c r="T248" i="35"/>
  <c r="Q248" i="35"/>
  <c r="K248" i="35"/>
  <c r="M248" i="35"/>
  <c r="G248" i="35"/>
  <c r="F248" i="35"/>
  <c r="E248" i="35"/>
  <c r="D248" i="35"/>
  <c r="C248" i="35"/>
  <c r="A248" i="35"/>
  <c r="AI247" i="35"/>
  <c r="AE247" i="35"/>
  <c r="AD247" i="35"/>
  <c r="AA247" i="35"/>
  <c r="Z247" i="35"/>
  <c r="W247" i="35"/>
  <c r="Y247" i="35"/>
  <c r="T247" i="35"/>
  <c r="Q247" i="35"/>
  <c r="K247" i="35"/>
  <c r="M247" i="35"/>
  <c r="G247" i="35"/>
  <c r="F247" i="35"/>
  <c r="E247" i="35"/>
  <c r="D247" i="35"/>
  <c r="C247" i="35"/>
  <c r="A247" i="35"/>
  <c r="AI246" i="35"/>
  <c r="AE246" i="35"/>
  <c r="AD246" i="35"/>
  <c r="AA246" i="35"/>
  <c r="Z246" i="35"/>
  <c r="W246" i="35"/>
  <c r="Y246" i="35"/>
  <c r="T246" i="35"/>
  <c r="Q246" i="35"/>
  <c r="K246" i="35"/>
  <c r="M246" i="35"/>
  <c r="G246" i="35"/>
  <c r="F246" i="35"/>
  <c r="E246" i="35"/>
  <c r="D246" i="35"/>
  <c r="C246" i="35"/>
  <c r="A246" i="35"/>
  <c r="AI245" i="35"/>
  <c r="AE245" i="35"/>
  <c r="AD245" i="35"/>
  <c r="AA245" i="35"/>
  <c r="Z245" i="35"/>
  <c r="W245" i="35"/>
  <c r="Y245" i="35"/>
  <c r="T245" i="35"/>
  <c r="Q245" i="35"/>
  <c r="K245" i="35"/>
  <c r="M245" i="35"/>
  <c r="G245" i="35"/>
  <c r="F245" i="35"/>
  <c r="E245" i="35"/>
  <c r="D245" i="35"/>
  <c r="C245" i="35"/>
  <c r="A245" i="35"/>
  <c r="AI244" i="35"/>
  <c r="AE244" i="35"/>
  <c r="AD244" i="35"/>
  <c r="AA244" i="35"/>
  <c r="Z244" i="35"/>
  <c r="W244" i="35"/>
  <c r="Y244" i="35"/>
  <c r="T244" i="35"/>
  <c r="Q244" i="35"/>
  <c r="K244" i="35"/>
  <c r="M244" i="35"/>
  <c r="G244" i="35"/>
  <c r="F244" i="35"/>
  <c r="E244" i="35"/>
  <c r="D244" i="35"/>
  <c r="C244" i="35"/>
  <c r="A244" i="35"/>
  <c r="AI243" i="35"/>
  <c r="AE243" i="35"/>
  <c r="AD243" i="35"/>
  <c r="AA243" i="35"/>
  <c r="Z243" i="35"/>
  <c r="W243" i="35"/>
  <c r="Y243" i="35"/>
  <c r="T243" i="35"/>
  <c r="Q243" i="35"/>
  <c r="K243" i="35"/>
  <c r="M243" i="35"/>
  <c r="G243" i="35"/>
  <c r="F243" i="35"/>
  <c r="E243" i="35"/>
  <c r="D243" i="35"/>
  <c r="C243" i="35"/>
  <c r="A243" i="35"/>
  <c r="AI242" i="35"/>
  <c r="AE242" i="35"/>
  <c r="AD242" i="35"/>
  <c r="AA242" i="35"/>
  <c r="Z242" i="35"/>
  <c r="W242" i="35"/>
  <c r="Y242" i="35"/>
  <c r="T242" i="35"/>
  <c r="Q242" i="35"/>
  <c r="K242" i="35"/>
  <c r="M242" i="35"/>
  <c r="G242" i="35"/>
  <c r="F242" i="35"/>
  <c r="E242" i="35"/>
  <c r="D242" i="35"/>
  <c r="C242" i="35"/>
  <c r="A242" i="35"/>
  <c r="AI241" i="35"/>
  <c r="AE241" i="35"/>
  <c r="AD241" i="35"/>
  <c r="AA241" i="35"/>
  <c r="Z241" i="35"/>
  <c r="W241" i="35"/>
  <c r="Y241" i="35"/>
  <c r="T241" i="35"/>
  <c r="Q241" i="35"/>
  <c r="K241" i="35"/>
  <c r="M241" i="35"/>
  <c r="G241" i="35"/>
  <c r="F241" i="35"/>
  <c r="E241" i="35"/>
  <c r="D241" i="35"/>
  <c r="C241" i="35"/>
  <c r="A241" i="35"/>
  <c r="AI240" i="35"/>
  <c r="AE240" i="35"/>
  <c r="AD240" i="35"/>
  <c r="AA240" i="35"/>
  <c r="Z240" i="35"/>
  <c r="W240" i="35"/>
  <c r="Y240" i="35"/>
  <c r="T240" i="35"/>
  <c r="Q240" i="35"/>
  <c r="K240" i="35"/>
  <c r="M240" i="35"/>
  <c r="G240" i="35"/>
  <c r="F240" i="35"/>
  <c r="E240" i="35"/>
  <c r="D240" i="35"/>
  <c r="C240" i="35"/>
  <c r="A240" i="35"/>
  <c r="AI239" i="35"/>
  <c r="AE239" i="35"/>
  <c r="AD239" i="35"/>
  <c r="AA239" i="35"/>
  <c r="Z239" i="35"/>
  <c r="W239" i="35"/>
  <c r="Y239" i="35"/>
  <c r="T239" i="35"/>
  <c r="Q239" i="35"/>
  <c r="K239" i="35"/>
  <c r="M239" i="35"/>
  <c r="G239" i="35"/>
  <c r="F239" i="35"/>
  <c r="E239" i="35"/>
  <c r="D239" i="35"/>
  <c r="C239" i="35"/>
  <c r="A239" i="35"/>
  <c r="AI238" i="35"/>
  <c r="AE238" i="35"/>
  <c r="AD238" i="35"/>
  <c r="AA238" i="35"/>
  <c r="Z238" i="35"/>
  <c r="W238" i="35"/>
  <c r="Y238" i="35"/>
  <c r="T238" i="35"/>
  <c r="Q238" i="35"/>
  <c r="K238" i="35"/>
  <c r="M238" i="35"/>
  <c r="G238" i="35"/>
  <c r="F238" i="35"/>
  <c r="E238" i="35"/>
  <c r="D238" i="35"/>
  <c r="C238" i="35"/>
  <c r="A238" i="35"/>
  <c r="AI237" i="35"/>
  <c r="AE237" i="35"/>
  <c r="AD237" i="35"/>
  <c r="AA237" i="35"/>
  <c r="Z237" i="35"/>
  <c r="W237" i="35"/>
  <c r="Y237" i="35"/>
  <c r="T237" i="35"/>
  <c r="Q237" i="35"/>
  <c r="K237" i="35"/>
  <c r="M237" i="35"/>
  <c r="G237" i="35"/>
  <c r="F237" i="35"/>
  <c r="E237" i="35"/>
  <c r="D237" i="35"/>
  <c r="C237" i="35"/>
  <c r="A237" i="35"/>
  <c r="AI236" i="35"/>
  <c r="AE236" i="35"/>
  <c r="AD236" i="35"/>
  <c r="AA236" i="35"/>
  <c r="Z236" i="35"/>
  <c r="W236" i="35"/>
  <c r="Y236" i="35"/>
  <c r="T236" i="35"/>
  <c r="Q236" i="35"/>
  <c r="K236" i="35"/>
  <c r="M236" i="35"/>
  <c r="G236" i="35"/>
  <c r="F236" i="35"/>
  <c r="E236" i="35"/>
  <c r="D236" i="35"/>
  <c r="C236" i="35"/>
  <c r="A236" i="35"/>
  <c r="AI235" i="35"/>
  <c r="AE235" i="35"/>
  <c r="AD235" i="35"/>
  <c r="AA235" i="35"/>
  <c r="Z235" i="35"/>
  <c r="W235" i="35"/>
  <c r="Y235" i="35"/>
  <c r="T235" i="35"/>
  <c r="Q235" i="35"/>
  <c r="K235" i="35"/>
  <c r="M235" i="35"/>
  <c r="G235" i="35"/>
  <c r="F235" i="35"/>
  <c r="E235" i="35"/>
  <c r="D235" i="35"/>
  <c r="C235" i="35"/>
  <c r="A235" i="35"/>
  <c r="AI234" i="35"/>
  <c r="AE234" i="35"/>
  <c r="AD234" i="35"/>
  <c r="AA234" i="35"/>
  <c r="Z234" i="35"/>
  <c r="W234" i="35"/>
  <c r="Y234" i="35"/>
  <c r="T234" i="35"/>
  <c r="Q234" i="35"/>
  <c r="K234" i="35"/>
  <c r="M234" i="35"/>
  <c r="G234" i="35"/>
  <c r="F234" i="35"/>
  <c r="E234" i="35"/>
  <c r="D234" i="35"/>
  <c r="C234" i="35"/>
  <c r="A234" i="35"/>
  <c r="AI233" i="35"/>
  <c r="AE233" i="35"/>
  <c r="AD233" i="35"/>
  <c r="AA233" i="35"/>
  <c r="Z233" i="35"/>
  <c r="W233" i="35"/>
  <c r="Y233" i="35"/>
  <c r="T233" i="35"/>
  <c r="Q233" i="35"/>
  <c r="K233" i="35"/>
  <c r="M233" i="35"/>
  <c r="G233" i="35"/>
  <c r="F233" i="35"/>
  <c r="E233" i="35"/>
  <c r="D233" i="35"/>
  <c r="C233" i="35"/>
  <c r="A233" i="35"/>
  <c r="AI232" i="35"/>
  <c r="AE232" i="35"/>
  <c r="AD232" i="35"/>
  <c r="AA232" i="35"/>
  <c r="Z232" i="35"/>
  <c r="W232" i="35"/>
  <c r="Y232" i="35"/>
  <c r="T232" i="35"/>
  <c r="Q232" i="35"/>
  <c r="K232" i="35"/>
  <c r="M232" i="35"/>
  <c r="G232" i="35"/>
  <c r="F232" i="35"/>
  <c r="E232" i="35"/>
  <c r="D232" i="35"/>
  <c r="C232" i="35"/>
  <c r="A232" i="35"/>
  <c r="AI231" i="35"/>
  <c r="AE231" i="35"/>
  <c r="AD231" i="35"/>
  <c r="AA231" i="35"/>
  <c r="Z231" i="35"/>
  <c r="W231" i="35"/>
  <c r="Y231" i="35"/>
  <c r="T231" i="35"/>
  <c r="Q231" i="35"/>
  <c r="K231" i="35"/>
  <c r="M231" i="35"/>
  <c r="G231" i="35"/>
  <c r="F231" i="35"/>
  <c r="E231" i="35"/>
  <c r="D231" i="35"/>
  <c r="C231" i="35"/>
  <c r="A231" i="35"/>
  <c r="AI230" i="35"/>
  <c r="AE230" i="35"/>
  <c r="AD230" i="35"/>
  <c r="AA230" i="35"/>
  <c r="Z230" i="35"/>
  <c r="W230" i="35"/>
  <c r="Y230" i="35"/>
  <c r="T230" i="35"/>
  <c r="Q230" i="35"/>
  <c r="K230" i="35"/>
  <c r="M230" i="35"/>
  <c r="G230" i="35"/>
  <c r="F230" i="35"/>
  <c r="E230" i="35"/>
  <c r="D230" i="35"/>
  <c r="C230" i="35"/>
  <c r="A230" i="35"/>
  <c r="AI229" i="35"/>
  <c r="AE229" i="35"/>
  <c r="AD229" i="35"/>
  <c r="AA229" i="35"/>
  <c r="Z229" i="35"/>
  <c r="W229" i="35"/>
  <c r="Y229" i="35"/>
  <c r="T229" i="35"/>
  <c r="Q229" i="35"/>
  <c r="K229" i="35"/>
  <c r="M229" i="35"/>
  <c r="G229" i="35"/>
  <c r="F229" i="35"/>
  <c r="E229" i="35"/>
  <c r="D229" i="35"/>
  <c r="C229" i="35"/>
  <c r="A229" i="35"/>
  <c r="AI228" i="35"/>
  <c r="AE228" i="35"/>
  <c r="AD228" i="35"/>
  <c r="AA228" i="35"/>
  <c r="Z228" i="35"/>
  <c r="W228" i="35"/>
  <c r="Y228" i="35"/>
  <c r="T228" i="35"/>
  <c r="Q228" i="35"/>
  <c r="K228" i="35"/>
  <c r="M228" i="35"/>
  <c r="G228" i="35"/>
  <c r="F228" i="35"/>
  <c r="E228" i="35"/>
  <c r="D228" i="35"/>
  <c r="C228" i="35"/>
  <c r="A228" i="35"/>
  <c r="AI227" i="35"/>
  <c r="AE227" i="35"/>
  <c r="AD227" i="35"/>
  <c r="AA227" i="35"/>
  <c r="Z227" i="35"/>
  <c r="W227" i="35"/>
  <c r="Y227" i="35"/>
  <c r="T227" i="35"/>
  <c r="Q227" i="35"/>
  <c r="K227" i="35"/>
  <c r="M227" i="35"/>
  <c r="G227" i="35"/>
  <c r="F227" i="35"/>
  <c r="E227" i="35"/>
  <c r="D227" i="35"/>
  <c r="C227" i="35"/>
  <c r="A227" i="35"/>
  <c r="AI226" i="35"/>
  <c r="AE226" i="35"/>
  <c r="AD226" i="35"/>
  <c r="AA226" i="35"/>
  <c r="Z226" i="35"/>
  <c r="W226" i="35"/>
  <c r="Y226" i="35"/>
  <c r="T226" i="35"/>
  <c r="Q226" i="35"/>
  <c r="K226" i="35"/>
  <c r="M226" i="35"/>
  <c r="G226" i="35"/>
  <c r="F226" i="35"/>
  <c r="E226" i="35"/>
  <c r="D226" i="35"/>
  <c r="C226" i="35"/>
  <c r="A226" i="35"/>
  <c r="AI225" i="35"/>
  <c r="AE225" i="35"/>
  <c r="AD225" i="35"/>
  <c r="AA225" i="35"/>
  <c r="Z225" i="35"/>
  <c r="W225" i="35"/>
  <c r="Y225" i="35"/>
  <c r="T225" i="35"/>
  <c r="Q225" i="35"/>
  <c r="K225" i="35"/>
  <c r="M225" i="35"/>
  <c r="G225" i="35"/>
  <c r="F225" i="35"/>
  <c r="E225" i="35"/>
  <c r="D225" i="35"/>
  <c r="C225" i="35"/>
  <c r="A225" i="35"/>
  <c r="AI224" i="35"/>
  <c r="AE224" i="35"/>
  <c r="AD224" i="35"/>
  <c r="AA224" i="35"/>
  <c r="Z224" i="35"/>
  <c r="W224" i="35"/>
  <c r="Y224" i="35"/>
  <c r="T224" i="35"/>
  <c r="Q224" i="35"/>
  <c r="K224" i="35"/>
  <c r="M224" i="35"/>
  <c r="G224" i="35"/>
  <c r="F224" i="35"/>
  <c r="E224" i="35"/>
  <c r="D224" i="35"/>
  <c r="C224" i="35"/>
  <c r="A224" i="35"/>
  <c r="AI223" i="35"/>
  <c r="AE223" i="35"/>
  <c r="AD223" i="35"/>
  <c r="AA223" i="35"/>
  <c r="Z223" i="35"/>
  <c r="W223" i="35"/>
  <c r="Y223" i="35"/>
  <c r="T223" i="35"/>
  <c r="Q223" i="35"/>
  <c r="K223" i="35"/>
  <c r="M223" i="35"/>
  <c r="G223" i="35"/>
  <c r="F223" i="35"/>
  <c r="E223" i="35"/>
  <c r="D223" i="35"/>
  <c r="C223" i="35"/>
  <c r="A223" i="35"/>
  <c r="AI222" i="35"/>
  <c r="AE222" i="35"/>
  <c r="AD222" i="35"/>
  <c r="AA222" i="35"/>
  <c r="Z222" i="35"/>
  <c r="W222" i="35"/>
  <c r="Y222" i="35"/>
  <c r="T222" i="35"/>
  <c r="Q222" i="35"/>
  <c r="K222" i="35"/>
  <c r="M222" i="35"/>
  <c r="G222" i="35"/>
  <c r="F222" i="35"/>
  <c r="E222" i="35"/>
  <c r="D222" i="35"/>
  <c r="C222" i="35"/>
  <c r="A222" i="35"/>
  <c r="AI221" i="35"/>
  <c r="AE221" i="35"/>
  <c r="AD221" i="35"/>
  <c r="AA221" i="35"/>
  <c r="Z221" i="35"/>
  <c r="W221" i="35"/>
  <c r="Y221" i="35"/>
  <c r="T221" i="35"/>
  <c r="Q221" i="35"/>
  <c r="K221" i="35"/>
  <c r="M221" i="35"/>
  <c r="G221" i="35"/>
  <c r="F221" i="35"/>
  <c r="E221" i="35"/>
  <c r="D221" i="35"/>
  <c r="C221" i="35"/>
  <c r="A221" i="35"/>
  <c r="AI220" i="35"/>
  <c r="AE220" i="35"/>
  <c r="AD220" i="35"/>
  <c r="AA220" i="35"/>
  <c r="Z220" i="35"/>
  <c r="W220" i="35"/>
  <c r="Y220" i="35"/>
  <c r="T220" i="35"/>
  <c r="Q220" i="35"/>
  <c r="K220" i="35"/>
  <c r="M220" i="35"/>
  <c r="G220" i="35"/>
  <c r="F220" i="35"/>
  <c r="E220" i="35"/>
  <c r="D220" i="35"/>
  <c r="C220" i="35"/>
  <c r="A220" i="35"/>
  <c r="AI219" i="35"/>
  <c r="AE219" i="35"/>
  <c r="AD219" i="35"/>
  <c r="AA219" i="35"/>
  <c r="Z219" i="35"/>
  <c r="W219" i="35"/>
  <c r="Y219" i="35"/>
  <c r="T219" i="35"/>
  <c r="Q219" i="35"/>
  <c r="K219" i="35"/>
  <c r="M219" i="35"/>
  <c r="G219" i="35"/>
  <c r="F219" i="35"/>
  <c r="E219" i="35"/>
  <c r="D219" i="35"/>
  <c r="C219" i="35"/>
  <c r="A219" i="35"/>
  <c r="AI218" i="35"/>
  <c r="AE218" i="35"/>
  <c r="AD218" i="35"/>
  <c r="AA218" i="35"/>
  <c r="Z218" i="35"/>
  <c r="W218" i="35"/>
  <c r="Y218" i="35"/>
  <c r="T218" i="35"/>
  <c r="Q218" i="35"/>
  <c r="K218" i="35"/>
  <c r="M218" i="35"/>
  <c r="G218" i="35"/>
  <c r="F218" i="35"/>
  <c r="E218" i="35"/>
  <c r="D218" i="35"/>
  <c r="C218" i="35"/>
  <c r="A218" i="35"/>
  <c r="AI217" i="35"/>
  <c r="AE217" i="35"/>
  <c r="AD217" i="35"/>
  <c r="AA217" i="35"/>
  <c r="Z217" i="35"/>
  <c r="W217" i="35"/>
  <c r="Y217" i="35"/>
  <c r="T217" i="35"/>
  <c r="Q217" i="35"/>
  <c r="K217" i="35"/>
  <c r="M217" i="35"/>
  <c r="G217" i="35"/>
  <c r="F217" i="35"/>
  <c r="E217" i="35"/>
  <c r="D217" i="35"/>
  <c r="C217" i="35"/>
  <c r="A217" i="35"/>
  <c r="AI216" i="35"/>
  <c r="AE216" i="35"/>
  <c r="AD216" i="35"/>
  <c r="AA216" i="35"/>
  <c r="Z216" i="35"/>
  <c r="W216" i="35"/>
  <c r="Y216" i="35"/>
  <c r="T216" i="35"/>
  <c r="Q216" i="35"/>
  <c r="K216" i="35"/>
  <c r="M216" i="35"/>
  <c r="G216" i="35"/>
  <c r="F216" i="35"/>
  <c r="E216" i="35"/>
  <c r="D216" i="35"/>
  <c r="C216" i="35"/>
  <c r="A216" i="35"/>
  <c r="AI215" i="35"/>
  <c r="AE215" i="35"/>
  <c r="AD215" i="35"/>
  <c r="AA215" i="35"/>
  <c r="Z215" i="35"/>
  <c r="W215" i="35"/>
  <c r="Y215" i="35"/>
  <c r="T215" i="35"/>
  <c r="Q215" i="35"/>
  <c r="K215" i="35"/>
  <c r="M215" i="35"/>
  <c r="G215" i="35"/>
  <c r="F215" i="35"/>
  <c r="E215" i="35"/>
  <c r="D215" i="35"/>
  <c r="C215" i="35"/>
  <c r="A215" i="35"/>
  <c r="AI214" i="35"/>
  <c r="AE214" i="35"/>
  <c r="AD214" i="35"/>
  <c r="AA214" i="35"/>
  <c r="Z214" i="35"/>
  <c r="W214" i="35"/>
  <c r="Y214" i="35"/>
  <c r="T214" i="35"/>
  <c r="Q214" i="35"/>
  <c r="K214" i="35"/>
  <c r="M214" i="35"/>
  <c r="G214" i="35"/>
  <c r="F214" i="35"/>
  <c r="E214" i="35"/>
  <c r="D214" i="35"/>
  <c r="C214" i="35"/>
  <c r="A214" i="35"/>
  <c r="AI213" i="35"/>
  <c r="AE213" i="35"/>
  <c r="AD213" i="35"/>
  <c r="AA213" i="35"/>
  <c r="Z213" i="35"/>
  <c r="W213" i="35"/>
  <c r="Y213" i="35"/>
  <c r="T213" i="35"/>
  <c r="Q213" i="35"/>
  <c r="K213" i="35"/>
  <c r="M213" i="35"/>
  <c r="G213" i="35"/>
  <c r="F213" i="35"/>
  <c r="E213" i="35"/>
  <c r="D213" i="35"/>
  <c r="C213" i="35"/>
  <c r="A213" i="35"/>
  <c r="AI212" i="35"/>
  <c r="AE212" i="35"/>
  <c r="AD212" i="35"/>
  <c r="AA212" i="35"/>
  <c r="Z212" i="35"/>
  <c r="W212" i="35"/>
  <c r="Y212" i="35"/>
  <c r="T212" i="35"/>
  <c r="Q212" i="35"/>
  <c r="K212" i="35"/>
  <c r="M212" i="35"/>
  <c r="G212" i="35"/>
  <c r="F212" i="35"/>
  <c r="E212" i="35"/>
  <c r="D212" i="35"/>
  <c r="C212" i="35"/>
  <c r="A212" i="35"/>
  <c r="AI211" i="35"/>
  <c r="AE211" i="35"/>
  <c r="AD211" i="35"/>
  <c r="AA211" i="35"/>
  <c r="Z211" i="35"/>
  <c r="W211" i="35"/>
  <c r="Y211" i="35"/>
  <c r="T211" i="35"/>
  <c r="Q211" i="35"/>
  <c r="K211" i="35"/>
  <c r="M211" i="35"/>
  <c r="G211" i="35"/>
  <c r="F211" i="35"/>
  <c r="E211" i="35"/>
  <c r="D211" i="35"/>
  <c r="C211" i="35"/>
  <c r="A211" i="35"/>
  <c r="AI210" i="35"/>
  <c r="AE210" i="35"/>
  <c r="AD210" i="35"/>
  <c r="AA210" i="35"/>
  <c r="Z210" i="35"/>
  <c r="W210" i="35"/>
  <c r="Y210" i="35"/>
  <c r="T210" i="35"/>
  <c r="Q210" i="35"/>
  <c r="K210" i="35"/>
  <c r="M210" i="35"/>
  <c r="G210" i="35"/>
  <c r="F210" i="35"/>
  <c r="E210" i="35"/>
  <c r="D210" i="35"/>
  <c r="C210" i="35"/>
  <c r="A210" i="35"/>
  <c r="AI209" i="35"/>
  <c r="AE209" i="35"/>
  <c r="AD209" i="35"/>
  <c r="AA209" i="35"/>
  <c r="Z209" i="35"/>
  <c r="W209" i="35"/>
  <c r="Y209" i="35"/>
  <c r="T209" i="35"/>
  <c r="Q209" i="35"/>
  <c r="K209" i="35"/>
  <c r="M209" i="35"/>
  <c r="G209" i="35"/>
  <c r="F209" i="35"/>
  <c r="E209" i="35"/>
  <c r="D209" i="35"/>
  <c r="C209" i="35"/>
  <c r="A209" i="35"/>
  <c r="AI208" i="35"/>
  <c r="AE208" i="35"/>
  <c r="AD208" i="35"/>
  <c r="AA208" i="35"/>
  <c r="Z208" i="35"/>
  <c r="W208" i="35"/>
  <c r="Y208" i="35"/>
  <c r="T208" i="35"/>
  <c r="Q208" i="35"/>
  <c r="K208" i="35"/>
  <c r="M208" i="35"/>
  <c r="G208" i="35"/>
  <c r="F208" i="35"/>
  <c r="E208" i="35"/>
  <c r="D208" i="35"/>
  <c r="C208" i="35"/>
  <c r="A208" i="35"/>
  <c r="AI207" i="35"/>
  <c r="AE207" i="35"/>
  <c r="AD207" i="35"/>
  <c r="AA207" i="35"/>
  <c r="Z207" i="35"/>
  <c r="W207" i="35"/>
  <c r="Y207" i="35"/>
  <c r="T207" i="35"/>
  <c r="Q207" i="35"/>
  <c r="K207" i="35"/>
  <c r="M207" i="35"/>
  <c r="G207" i="35"/>
  <c r="F207" i="35"/>
  <c r="E207" i="35"/>
  <c r="D207" i="35"/>
  <c r="C207" i="35"/>
  <c r="A207" i="35"/>
  <c r="AI206" i="35"/>
  <c r="AE206" i="35"/>
  <c r="AD206" i="35"/>
  <c r="AA206" i="35"/>
  <c r="Z206" i="35"/>
  <c r="W206" i="35"/>
  <c r="Y206" i="35"/>
  <c r="T206" i="35"/>
  <c r="Q206" i="35"/>
  <c r="K206" i="35"/>
  <c r="M206" i="35"/>
  <c r="G206" i="35"/>
  <c r="F206" i="35"/>
  <c r="E206" i="35"/>
  <c r="D206" i="35"/>
  <c r="C206" i="35"/>
  <c r="A206" i="35"/>
  <c r="AI205" i="35"/>
  <c r="AE205" i="35"/>
  <c r="AD205" i="35"/>
  <c r="AA205" i="35"/>
  <c r="Z205" i="35"/>
  <c r="W205" i="35"/>
  <c r="Y205" i="35"/>
  <c r="T205" i="35"/>
  <c r="Q205" i="35"/>
  <c r="K205" i="35"/>
  <c r="M205" i="35"/>
  <c r="G205" i="35"/>
  <c r="F205" i="35"/>
  <c r="E205" i="35"/>
  <c r="D205" i="35"/>
  <c r="C205" i="35"/>
  <c r="A205" i="35"/>
  <c r="AI204" i="35"/>
  <c r="AE204" i="35"/>
  <c r="AD204" i="35"/>
  <c r="AA204" i="35"/>
  <c r="Z204" i="35"/>
  <c r="W204" i="35"/>
  <c r="Y204" i="35"/>
  <c r="T204" i="35"/>
  <c r="Q204" i="35"/>
  <c r="K204" i="35"/>
  <c r="M204" i="35"/>
  <c r="G204" i="35"/>
  <c r="F204" i="35"/>
  <c r="E204" i="35"/>
  <c r="D204" i="35"/>
  <c r="C204" i="35"/>
  <c r="A204" i="35"/>
  <c r="AI203" i="35"/>
  <c r="AE203" i="35"/>
  <c r="AD203" i="35"/>
  <c r="AA203" i="35"/>
  <c r="Z203" i="35"/>
  <c r="W203" i="35"/>
  <c r="Y203" i="35"/>
  <c r="T203" i="35"/>
  <c r="Q203" i="35"/>
  <c r="K203" i="35"/>
  <c r="M203" i="35"/>
  <c r="G203" i="35"/>
  <c r="F203" i="35"/>
  <c r="E203" i="35"/>
  <c r="D203" i="35"/>
  <c r="C203" i="35"/>
  <c r="A203" i="35"/>
  <c r="AI202" i="35"/>
  <c r="AE202" i="35"/>
  <c r="AD202" i="35"/>
  <c r="AA202" i="35"/>
  <c r="Z202" i="35"/>
  <c r="W202" i="35"/>
  <c r="Y202" i="35"/>
  <c r="T202" i="35"/>
  <c r="Q202" i="35"/>
  <c r="K202" i="35"/>
  <c r="M202" i="35"/>
  <c r="G202" i="35"/>
  <c r="F202" i="35"/>
  <c r="E202" i="35"/>
  <c r="D202" i="35"/>
  <c r="C202" i="35"/>
  <c r="A202" i="35"/>
  <c r="AI201" i="35"/>
  <c r="AE201" i="35"/>
  <c r="AD201" i="35"/>
  <c r="AA201" i="35"/>
  <c r="Z201" i="35"/>
  <c r="W201" i="35"/>
  <c r="Y201" i="35"/>
  <c r="T201" i="35"/>
  <c r="Q201" i="35"/>
  <c r="K201" i="35"/>
  <c r="M201" i="35"/>
  <c r="G201" i="35"/>
  <c r="F201" i="35"/>
  <c r="E201" i="35"/>
  <c r="D201" i="35"/>
  <c r="C201" i="35"/>
  <c r="A201" i="35"/>
  <c r="AI200" i="35"/>
  <c r="AE200" i="35"/>
  <c r="AD200" i="35"/>
  <c r="AA200" i="35"/>
  <c r="Z200" i="35"/>
  <c r="W200" i="35"/>
  <c r="Y200" i="35"/>
  <c r="T200" i="35"/>
  <c r="Q200" i="35"/>
  <c r="K200" i="35"/>
  <c r="M200" i="35"/>
  <c r="G200" i="35"/>
  <c r="F200" i="35"/>
  <c r="E200" i="35"/>
  <c r="D200" i="35"/>
  <c r="C200" i="35"/>
  <c r="A200" i="35"/>
  <c r="AI199" i="35"/>
  <c r="AE199" i="35"/>
  <c r="AD199" i="35"/>
  <c r="AA199" i="35"/>
  <c r="Z199" i="35"/>
  <c r="W199" i="35"/>
  <c r="Y199" i="35"/>
  <c r="T199" i="35"/>
  <c r="Q199" i="35"/>
  <c r="K199" i="35"/>
  <c r="M199" i="35"/>
  <c r="G199" i="35"/>
  <c r="F199" i="35"/>
  <c r="E199" i="35"/>
  <c r="D199" i="35"/>
  <c r="C199" i="35"/>
  <c r="A199" i="35"/>
  <c r="AI198" i="35"/>
  <c r="AE198" i="35"/>
  <c r="AD198" i="35"/>
  <c r="AA198" i="35"/>
  <c r="Z198" i="35"/>
  <c r="W198" i="35"/>
  <c r="Y198" i="35"/>
  <c r="T198" i="35"/>
  <c r="Q198" i="35"/>
  <c r="K198" i="35"/>
  <c r="M198" i="35"/>
  <c r="G198" i="35"/>
  <c r="F198" i="35"/>
  <c r="E198" i="35"/>
  <c r="D198" i="35"/>
  <c r="C198" i="35"/>
  <c r="A198" i="35"/>
  <c r="AI197" i="35"/>
  <c r="AE197" i="35"/>
  <c r="AD197" i="35"/>
  <c r="AA197" i="35"/>
  <c r="Z197" i="35"/>
  <c r="W197" i="35"/>
  <c r="Y197" i="35"/>
  <c r="T197" i="35"/>
  <c r="Q197" i="35"/>
  <c r="K197" i="35"/>
  <c r="M197" i="35"/>
  <c r="G197" i="35"/>
  <c r="F197" i="35"/>
  <c r="E197" i="35"/>
  <c r="D197" i="35"/>
  <c r="C197" i="35"/>
  <c r="A197" i="35"/>
  <c r="AI196" i="35"/>
  <c r="AE196" i="35"/>
  <c r="AD196" i="35"/>
  <c r="AA196" i="35"/>
  <c r="Z196" i="35"/>
  <c r="W196" i="35"/>
  <c r="Y196" i="35"/>
  <c r="T196" i="35"/>
  <c r="Q196" i="35"/>
  <c r="K196" i="35"/>
  <c r="M196" i="35"/>
  <c r="G196" i="35"/>
  <c r="F196" i="35"/>
  <c r="E196" i="35"/>
  <c r="D196" i="35"/>
  <c r="C196" i="35"/>
  <c r="A196" i="35"/>
  <c r="AI195" i="35"/>
  <c r="AE195" i="35"/>
  <c r="AD195" i="35"/>
  <c r="AA195" i="35"/>
  <c r="Z195" i="35"/>
  <c r="W195" i="35"/>
  <c r="Y195" i="35"/>
  <c r="T195" i="35"/>
  <c r="Q195" i="35"/>
  <c r="K195" i="35"/>
  <c r="M195" i="35"/>
  <c r="G195" i="35"/>
  <c r="F195" i="35"/>
  <c r="E195" i="35"/>
  <c r="D195" i="35"/>
  <c r="C195" i="35"/>
  <c r="A195" i="35"/>
  <c r="AI194" i="35"/>
  <c r="AE194" i="35"/>
  <c r="AD194" i="35"/>
  <c r="AA194" i="35"/>
  <c r="Z194" i="35"/>
  <c r="W194" i="35"/>
  <c r="Y194" i="35"/>
  <c r="T194" i="35"/>
  <c r="Q194" i="35"/>
  <c r="K194" i="35"/>
  <c r="M194" i="35"/>
  <c r="G194" i="35"/>
  <c r="F194" i="35"/>
  <c r="E194" i="35"/>
  <c r="D194" i="35"/>
  <c r="C194" i="35"/>
  <c r="A194" i="35"/>
  <c r="AI193" i="35"/>
  <c r="AE193" i="35"/>
  <c r="AD193" i="35"/>
  <c r="AA193" i="35"/>
  <c r="Z193" i="35"/>
  <c r="W193" i="35"/>
  <c r="Y193" i="35"/>
  <c r="T193" i="35"/>
  <c r="Q193" i="35"/>
  <c r="K193" i="35"/>
  <c r="M193" i="35"/>
  <c r="G193" i="35"/>
  <c r="F193" i="35"/>
  <c r="E193" i="35"/>
  <c r="D193" i="35"/>
  <c r="C193" i="35"/>
  <c r="A193" i="35"/>
  <c r="AI192" i="35"/>
  <c r="AE192" i="35"/>
  <c r="AD192" i="35"/>
  <c r="AA192" i="35"/>
  <c r="Z192" i="35"/>
  <c r="W192" i="35"/>
  <c r="Y192" i="35"/>
  <c r="T192" i="35"/>
  <c r="Q192" i="35"/>
  <c r="K192" i="35"/>
  <c r="M192" i="35"/>
  <c r="G192" i="35"/>
  <c r="F192" i="35"/>
  <c r="E192" i="35"/>
  <c r="D192" i="35"/>
  <c r="C192" i="35"/>
  <c r="A192" i="35"/>
  <c r="AI191" i="35"/>
  <c r="AE191" i="35"/>
  <c r="AD191" i="35"/>
  <c r="AA191" i="35"/>
  <c r="Z191" i="35"/>
  <c r="W191" i="35"/>
  <c r="Y191" i="35"/>
  <c r="T191" i="35"/>
  <c r="Q191" i="35"/>
  <c r="K191" i="35"/>
  <c r="M191" i="35"/>
  <c r="G191" i="35"/>
  <c r="F191" i="35"/>
  <c r="E191" i="35"/>
  <c r="D191" i="35"/>
  <c r="C191" i="35"/>
  <c r="A191" i="35"/>
  <c r="AI190" i="35"/>
  <c r="AE190" i="35"/>
  <c r="AD190" i="35"/>
  <c r="AA190" i="35"/>
  <c r="Z190" i="35"/>
  <c r="W190" i="35"/>
  <c r="Y190" i="35"/>
  <c r="T190" i="35"/>
  <c r="Q190" i="35"/>
  <c r="K190" i="35"/>
  <c r="M190" i="35"/>
  <c r="G190" i="35"/>
  <c r="F190" i="35"/>
  <c r="E190" i="35"/>
  <c r="D190" i="35"/>
  <c r="C190" i="35"/>
  <c r="A190" i="35"/>
  <c r="AI189" i="35"/>
  <c r="AE189" i="35"/>
  <c r="AD189" i="35"/>
  <c r="AA189" i="35"/>
  <c r="Z189" i="35"/>
  <c r="W189" i="35"/>
  <c r="Y189" i="35"/>
  <c r="T189" i="35"/>
  <c r="Q189" i="35"/>
  <c r="K189" i="35"/>
  <c r="M189" i="35"/>
  <c r="G189" i="35"/>
  <c r="F189" i="35"/>
  <c r="E189" i="35"/>
  <c r="D189" i="35"/>
  <c r="C189" i="35"/>
  <c r="A189" i="35"/>
  <c r="AI188" i="35"/>
  <c r="AE188" i="35"/>
  <c r="AD188" i="35"/>
  <c r="AA188" i="35"/>
  <c r="Z188" i="35"/>
  <c r="W188" i="35"/>
  <c r="Y188" i="35"/>
  <c r="T188" i="35"/>
  <c r="Q188" i="35"/>
  <c r="K188" i="35"/>
  <c r="M188" i="35"/>
  <c r="G188" i="35"/>
  <c r="F188" i="35"/>
  <c r="E188" i="35"/>
  <c r="D188" i="35"/>
  <c r="C188" i="35"/>
  <c r="A188" i="35"/>
  <c r="AI187" i="35"/>
  <c r="AE187" i="35"/>
  <c r="AD187" i="35"/>
  <c r="AA187" i="35"/>
  <c r="Z187" i="35"/>
  <c r="W187" i="35"/>
  <c r="Y187" i="35"/>
  <c r="T187" i="35"/>
  <c r="Q187" i="35"/>
  <c r="K187" i="35"/>
  <c r="M187" i="35"/>
  <c r="G187" i="35"/>
  <c r="F187" i="35"/>
  <c r="E187" i="35"/>
  <c r="D187" i="35"/>
  <c r="C187" i="35"/>
  <c r="A187" i="35"/>
  <c r="AI186" i="35"/>
  <c r="AE186" i="35"/>
  <c r="AD186" i="35"/>
  <c r="AA186" i="35"/>
  <c r="Z186" i="35"/>
  <c r="W186" i="35"/>
  <c r="Y186" i="35"/>
  <c r="T186" i="35"/>
  <c r="Q186" i="35"/>
  <c r="K186" i="35"/>
  <c r="M186" i="35"/>
  <c r="G186" i="35"/>
  <c r="F186" i="35"/>
  <c r="E186" i="35"/>
  <c r="D186" i="35"/>
  <c r="C186" i="35"/>
  <c r="A186" i="35"/>
  <c r="AI185" i="35"/>
  <c r="AE185" i="35"/>
  <c r="AD185" i="35"/>
  <c r="AA185" i="35"/>
  <c r="Z185" i="35"/>
  <c r="W185" i="35"/>
  <c r="Y185" i="35"/>
  <c r="T185" i="35"/>
  <c r="Q185" i="35"/>
  <c r="K185" i="35"/>
  <c r="M185" i="35"/>
  <c r="G185" i="35"/>
  <c r="F185" i="35"/>
  <c r="E185" i="35"/>
  <c r="D185" i="35"/>
  <c r="C185" i="35"/>
  <c r="A185" i="35"/>
  <c r="AI184" i="35"/>
  <c r="AE184" i="35"/>
  <c r="AD184" i="35"/>
  <c r="AA184" i="35"/>
  <c r="Z184" i="35"/>
  <c r="W184" i="35"/>
  <c r="Y184" i="35"/>
  <c r="T184" i="35"/>
  <c r="Q184" i="35"/>
  <c r="K184" i="35"/>
  <c r="M184" i="35"/>
  <c r="G184" i="35"/>
  <c r="F184" i="35"/>
  <c r="E184" i="35"/>
  <c r="D184" i="35"/>
  <c r="C184" i="35"/>
  <c r="A184" i="35"/>
  <c r="AI183" i="35"/>
  <c r="AE183" i="35"/>
  <c r="AD183" i="35"/>
  <c r="AA183" i="35"/>
  <c r="Z183" i="35"/>
  <c r="W183" i="35"/>
  <c r="Y183" i="35"/>
  <c r="T183" i="35"/>
  <c r="Q183" i="35"/>
  <c r="K183" i="35"/>
  <c r="M183" i="35"/>
  <c r="G183" i="35"/>
  <c r="F183" i="35"/>
  <c r="E183" i="35"/>
  <c r="D183" i="35"/>
  <c r="C183" i="35"/>
  <c r="A183" i="35"/>
  <c r="AI182" i="35"/>
  <c r="AE182" i="35"/>
  <c r="AD182" i="35"/>
  <c r="AA182" i="35"/>
  <c r="Z182" i="35"/>
  <c r="W182" i="35"/>
  <c r="Y182" i="35"/>
  <c r="T182" i="35"/>
  <c r="Q182" i="35"/>
  <c r="K182" i="35"/>
  <c r="M182" i="35"/>
  <c r="G182" i="35"/>
  <c r="F182" i="35"/>
  <c r="E182" i="35"/>
  <c r="D182" i="35"/>
  <c r="C182" i="35"/>
  <c r="A182" i="35"/>
  <c r="AI181" i="35"/>
  <c r="AE181" i="35"/>
  <c r="AD181" i="35"/>
  <c r="AA181" i="35"/>
  <c r="Z181" i="35"/>
  <c r="W181" i="35"/>
  <c r="Y181" i="35"/>
  <c r="T181" i="35"/>
  <c r="Q181" i="35"/>
  <c r="K181" i="35"/>
  <c r="M181" i="35"/>
  <c r="G181" i="35"/>
  <c r="F181" i="35"/>
  <c r="E181" i="35"/>
  <c r="D181" i="35"/>
  <c r="C181" i="35"/>
  <c r="A181" i="35"/>
  <c r="AI180" i="35"/>
  <c r="AE180" i="35"/>
  <c r="AD180" i="35"/>
  <c r="AA180" i="35"/>
  <c r="Z180" i="35"/>
  <c r="W180" i="35"/>
  <c r="Y180" i="35"/>
  <c r="T180" i="35"/>
  <c r="Q180" i="35"/>
  <c r="K180" i="35"/>
  <c r="M180" i="35"/>
  <c r="G180" i="35"/>
  <c r="F180" i="35"/>
  <c r="E180" i="35"/>
  <c r="D180" i="35"/>
  <c r="C180" i="35"/>
  <c r="A180" i="35"/>
  <c r="AI179" i="35"/>
  <c r="AE179" i="35"/>
  <c r="AD179" i="35"/>
  <c r="AA179" i="35"/>
  <c r="Z179" i="35"/>
  <c r="W179" i="35"/>
  <c r="Y179" i="35"/>
  <c r="T179" i="35"/>
  <c r="Q179" i="35"/>
  <c r="K179" i="35"/>
  <c r="M179" i="35"/>
  <c r="G179" i="35"/>
  <c r="F179" i="35"/>
  <c r="E179" i="35"/>
  <c r="D179" i="35"/>
  <c r="C179" i="35"/>
  <c r="A179" i="35"/>
  <c r="AI178" i="35"/>
  <c r="AE178" i="35"/>
  <c r="AD178" i="35"/>
  <c r="AA178" i="35"/>
  <c r="Z178" i="35"/>
  <c r="W178" i="35"/>
  <c r="Y178" i="35"/>
  <c r="T178" i="35"/>
  <c r="Q178" i="35"/>
  <c r="K178" i="35"/>
  <c r="M178" i="35"/>
  <c r="G178" i="35"/>
  <c r="F178" i="35"/>
  <c r="E178" i="35"/>
  <c r="D178" i="35"/>
  <c r="C178" i="35"/>
  <c r="A178" i="35"/>
  <c r="AI177" i="35"/>
  <c r="AE177" i="35"/>
  <c r="AD177" i="35"/>
  <c r="AA177" i="35"/>
  <c r="Z177" i="35"/>
  <c r="W177" i="35"/>
  <c r="Y177" i="35"/>
  <c r="T177" i="35"/>
  <c r="Q177" i="35"/>
  <c r="K177" i="35"/>
  <c r="M177" i="35"/>
  <c r="G177" i="35"/>
  <c r="F177" i="35"/>
  <c r="E177" i="35"/>
  <c r="D177" i="35"/>
  <c r="C177" i="35"/>
  <c r="A177" i="35"/>
  <c r="AI176" i="35"/>
  <c r="AE176" i="35"/>
  <c r="AD176" i="35"/>
  <c r="AA176" i="35"/>
  <c r="Z176" i="35"/>
  <c r="W176" i="35"/>
  <c r="Y176" i="35"/>
  <c r="T176" i="35"/>
  <c r="Q176" i="35"/>
  <c r="K176" i="35"/>
  <c r="M176" i="35"/>
  <c r="G176" i="35"/>
  <c r="F176" i="35"/>
  <c r="E176" i="35"/>
  <c r="D176" i="35"/>
  <c r="C176" i="35"/>
  <c r="A176" i="35"/>
  <c r="AI175" i="35"/>
  <c r="AE175" i="35"/>
  <c r="AD175" i="35"/>
  <c r="AA175" i="35"/>
  <c r="Z175" i="35"/>
  <c r="W175" i="35"/>
  <c r="Y175" i="35"/>
  <c r="T175" i="35"/>
  <c r="Q175" i="35"/>
  <c r="K175" i="35"/>
  <c r="M175" i="35"/>
  <c r="G175" i="35"/>
  <c r="F175" i="35"/>
  <c r="E175" i="35"/>
  <c r="D175" i="35"/>
  <c r="C175" i="35"/>
  <c r="A175" i="35"/>
  <c r="AI174" i="35"/>
  <c r="AE174" i="35"/>
  <c r="AD174" i="35"/>
  <c r="AA174" i="35"/>
  <c r="Z174" i="35"/>
  <c r="W174" i="35"/>
  <c r="Y174" i="35"/>
  <c r="T174" i="35"/>
  <c r="Q174" i="35"/>
  <c r="K174" i="35"/>
  <c r="M174" i="35"/>
  <c r="G174" i="35"/>
  <c r="F174" i="35"/>
  <c r="E174" i="35"/>
  <c r="D174" i="35"/>
  <c r="C174" i="35"/>
  <c r="A174" i="35"/>
  <c r="AI173" i="35"/>
  <c r="AE173" i="35"/>
  <c r="AD173" i="35"/>
  <c r="AA173" i="35"/>
  <c r="Z173" i="35"/>
  <c r="W173" i="35"/>
  <c r="Y173" i="35"/>
  <c r="T173" i="35"/>
  <c r="Q173" i="35"/>
  <c r="K173" i="35"/>
  <c r="M173" i="35"/>
  <c r="G173" i="35"/>
  <c r="F173" i="35"/>
  <c r="E173" i="35"/>
  <c r="D173" i="35"/>
  <c r="C173" i="35"/>
  <c r="A173" i="35"/>
  <c r="AI172" i="35"/>
  <c r="AE172" i="35"/>
  <c r="AD172" i="35"/>
  <c r="AA172" i="35"/>
  <c r="Z172" i="35"/>
  <c r="W172" i="35"/>
  <c r="Y172" i="35"/>
  <c r="T172" i="35"/>
  <c r="Q172" i="35"/>
  <c r="K172" i="35"/>
  <c r="M172" i="35"/>
  <c r="G172" i="35"/>
  <c r="F172" i="35"/>
  <c r="E172" i="35"/>
  <c r="D172" i="35"/>
  <c r="C172" i="35"/>
  <c r="A172" i="35"/>
  <c r="AI171" i="35"/>
  <c r="AE171" i="35"/>
  <c r="AD171" i="35"/>
  <c r="AA171" i="35"/>
  <c r="Z171" i="35"/>
  <c r="W171" i="35"/>
  <c r="Y171" i="35"/>
  <c r="T171" i="35"/>
  <c r="Q171" i="35"/>
  <c r="K171" i="35"/>
  <c r="M171" i="35"/>
  <c r="G171" i="35"/>
  <c r="F171" i="35"/>
  <c r="E171" i="35"/>
  <c r="D171" i="35"/>
  <c r="C171" i="35"/>
  <c r="A171" i="35"/>
  <c r="AI170" i="35"/>
  <c r="AE170" i="35"/>
  <c r="AD170" i="35"/>
  <c r="AA170" i="35"/>
  <c r="Z170" i="35"/>
  <c r="W170" i="35"/>
  <c r="Y170" i="35"/>
  <c r="T170" i="35"/>
  <c r="Q170" i="35"/>
  <c r="K170" i="35"/>
  <c r="M170" i="35"/>
  <c r="G170" i="35"/>
  <c r="F170" i="35"/>
  <c r="E170" i="35"/>
  <c r="D170" i="35"/>
  <c r="C170" i="35"/>
  <c r="A170" i="35"/>
  <c r="AI169" i="35"/>
  <c r="AE169" i="35"/>
  <c r="AD169" i="35"/>
  <c r="AA169" i="35"/>
  <c r="Z169" i="35"/>
  <c r="W169" i="35"/>
  <c r="Y169" i="35"/>
  <c r="T169" i="35"/>
  <c r="Q169" i="35"/>
  <c r="K169" i="35"/>
  <c r="M169" i="35"/>
  <c r="G169" i="35"/>
  <c r="F169" i="35"/>
  <c r="E169" i="35"/>
  <c r="D169" i="35"/>
  <c r="C169" i="35"/>
  <c r="A169" i="35"/>
  <c r="AI168" i="35"/>
  <c r="AE168" i="35"/>
  <c r="AD168" i="35"/>
  <c r="AA168" i="35"/>
  <c r="Z168" i="35"/>
  <c r="W168" i="35"/>
  <c r="Y168" i="35"/>
  <c r="T168" i="35"/>
  <c r="Q168" i="35"/>
  <c r="K168" i="35"/>
  <c r="M168" i="35"/>
  <c r="G168" i="35"/>
  <c r="F168" i="35"/>
  <c r="E168" i="35"/>
  <c r="D168" i="35"/>
  <c r="C168" i="35"/>
  <c r="A168" i="35"/>
  <c r="AI167" i="35"/>
  <c r="AE167" i="35"/>
  <c r="AD167" i="35"/>
  <c r="AA167" i="35"/>
  <c r="Z167" i="35"/>
  <c r="W167" i="35"/>
  <c r="Y167" i="35"/>
  <c r="T167" i="35"/>
  <c r="Q167" i="35"/>
  <c r="K167" i="35"/>
  <c r="M167" i="35"/>
  <c r="G167" i="35"/>
  <c r="F167" i="35"/>
  <c r="E167" i="35"/>
  <c r="D167" i="35"/>
  <c r="C167" i="35"/>
  <c r="A167" i="35"/>
  <c r="AI166" i="35"/>
  <c r="AE166" i="35"/>
  <c r="AD166" i="35"/>
  <c r="AA166" i="35"/>
  <c r="Z166" i="35"/>
  <c r="W166" i="35"/>
  <c r="Y166" i="35"/>
  <c r="T166" i="35"/>
  <c r="Q166" i="35"/>
  <c r="K166" i="35"/>
  <c r="M166" i="35"/>
  <c r="G166" i="35"/>
  <c r="F166" i="35"/>
  <c r="E166" i="35"/>
  <c r="D166" i="35"/>
  <c r="C166" i="35"/>
  <c r="A166" i="35"/>
  <c r="AI165" i="35"/>
  <c r="AE165" i="35"/>
  <c r="AD165" i="35"/>
  <c r="AA165" i="35"/>
  <c r="Z165" i="35"/>
  <c r="W165" i="35"/>
  <c r="Y165" i="35"/>
  <c r="T165" i="35"/>
  <c r="Q165" i="35"/>
  <c r="K165" i="35"/>
  <c r="M165" i="35"/>
  <c r="G165" i="35"/>
  <c r="F165" i="35"/>
  <c r="E165" i="35"/>
  <c r="D165" i="35"/>
  <c r="C165" i="35"/>
  <c r="A165" i="35"/>
  <c r="AI164" i="35"/>
  <c r="AE164" i="35"/>
  <c r="AD164" i="35"/>
  <c r="AA164" i="35"/>
  <c r="Z164" i="35"/>
  <c r="W164" i="35"/>
  <c r="Y164" i="35"/>
  <c r="T164" i="35"/>
  <c r="Q164" i="35"/>
  <c r="K164" i="35"/>
  <c r="M164" i="35"/>
  <c r="G164" i="35"/>
  <c r="F164" i="35"/>
  <c r="E164" i="35"/>
  <c r="D164" i="35"/>
  <c r="C164" i="35"/>
  <c r="A164" i="35"/>
  <c r="AI163" i="35"/>
  <c r="AE163" i="35"/>
  <c r="AD163" i="35"/>
  <c r="AA163" i="35"/>
  <c r="Z163" i="35"/>
  <c r="W163" i="35"/>
  <c r="Y163" i="35"/>
  <c r="T163" i="35"/>
  <c r="Q163" i="35"/>
  <c r="K163" i="35"/>
  <c r="M163" i="35"/>
  <c r="G163" i="35"/>
  <c r="F163" i="35"/>
  <c r="E163" i="35"/>
  <c r="D163" i="35"/>
  <c r="C163" i="35"/>
  <c r="A163" i="35"/>
  <c r="AI162" i="35"/>
  <c r="AE162" i="35"/>
  <c r="AD162" i="35"/>
  <c r="AA162" i="35"/>
  <c r="Z162" i="35"/>
  <c r="W162" i="35"/>
  <c r="Y162" i="35"/>
  <c r="T162" i="35"/>
  <c r="Q162" i="35"/>
  <c r="K162" i="35"/>
  <c r="M162" i="35"/>
  <c r="G162" i="35"/>
  <c r="F162" i="35"/>
  <c r="E162" i="35"/>
  <c r="D162" i="35"/>
  <c r="C162" i="35"/>
  <c r="A162" i="35"/>
  <c r="AI161" i="35"/>
  <c r="AE161" i="35"/>
  <c r="AD161" i="35"/>
  <c r="AA161" i="35"/>
  <c r="Z161" i="35"/>
  <c r="W161" i="35"/>
  <c r="Y161" i="35"/>
  <c r="T161" i="35"/>
  <c r="Q161" i="35"/>
  <c r="K161" i="35"/>
  <c r="M161" i="35"/>
  <c r="G161" i="35"/>
  <c r="F161" i="35"/>
  <c r="E161" i="35"/>
  <c r="D161" i="35"/>
  <c r="C161" i="35"/>
  <c r="A161" i="35"/>
  <c r="AI160" i="35"/>
  <c r="AE160" i="35"/>
  <c r="AD160" i="35"/>
  <c r="AA160" i="35"/>
  <c r="Z160" i="35"/>
  <c r="W160" i="35"/>
  <c r="Y160" i="35"/>
  <c r="T160" i="35"/>
  <c r="Q160" i="35"/>
  <c r="K160" i="35"/>
  <c r="M160" i="35"/>
  <c r="G160" i="35"/>
  <c r="F160" i="35"/>
  <c r="E160" i="35"/>
  <c r="D160" i="35"/>
  <c r="C160" i="35"/>
  <c r="A160" i="35"/>
  <c r="AI159" i="35"/>
  <c r="AE159" i="35"/>
  <c r="AD159" i="35"/>
  <c r="AA159" i="35"/>
  <c r="Z159" i="35"/>
  <c r="W159" i="35"/>
  <c r="Y159" i="35"/>
  <c r="T159" i="35"/>
  <c r="Q159" i="35"/>
  <c r="K159" i="35"/>
  <c r="M159" i="35"/>
  <c r="G159" i="35"/>
  <c r="F159" i="35"/>
  <c r="E159" i="35"/>
  <c r="D159" i="35"/>
  <c r="C159" i="35"/>
  <c r="A159" i="35"/>
  <c r="AI158" i="35"/>
  <c r="AE158" i="35"/>
  <c r="AD158" i="35"/>
  <c r="AA158" i="35"/>
  <c r="Z158" i="35"/>
  <c r="W158" i="35"/>
  <c r="Y158" i="35"/>
  <c r="T158" i="35"/>
  <c r="Q158" i="35"/>
  <c r="K158" i="35"/>
  <c r="M158" i="35"/>
  <c r="G158" i="35"/>
  <c r="F158" i="35"/>
  <c r="E158" i="35"/>
  <c r="D158" i="35"/>
  <c r="C158" i="35"/>
  <c r="A158" i="35"/>
  <c r="AI157" i="35"/>
  <c r="AE157" i="35"/>
  <c r="AD157" i="35"/>
  <c r="AA157" i="35"/>
  <c r="Z157" i="35"/>
  <c r="W157" i="35"/>
  <c r="Y157" i="35"/>
  <c r="T157" i="35"/>
  <c r="Q157" i="35"/>
  <c r="K157" i="35"/>
  <c r="M157" i="35"/>
  <c r="G157" i="35"/>
  <c r="F157" i="35"/>
  <c r="E157" i="35"/>
  <c r="D157" i="35"/>
  <c r="C157" i="35"/>
  <c r="A157" i="35"/>
  <c r="AI156" i="35"/>
  <c r="AE156" i="35"/>
  <c r="AD156" i="35"/>
  <c r="AA156" i="35"/>
  <c r="Z156" i="35"/>
  <c r="W156" i="35"/>
  <c r="Y156" i="35"/>
  <c r="T156" i="35"/>
  <c r="Q156" i="35"/>
  <c r="K156" i="35"/>
  <c r="M156" i="35"/>
  <c r="G156" i="35"/>
  <c r="F156" i="35"/>
  <c r="E156" i="35"/>
  <c r="D156" i="35"/>
  <c r="C156" i="35"/>
  <c r="A156" i="35"/>
  <c r="AI155" i="35"/>
  <c r="AE155" i="35"/>
  <c r="AD155" i="35"/>
  <c r="AA155" i="35"/>
  <c r="Z155" i="35"/>
  <c r="W155" i="35"/>
  <c r="Y155" i="35"/>
  <c r="T155" i="35"/>
  <c r="Q155" i="35"/>
  <c r="K155" i="35"/>
  <c r="M155" i="35"/>
  <c r="G155" i="35"/>
  <c r="F155" i="35"/>
  <c r="E155" i="35"/>
  <c r="D155" i="35"/>
  <c r="C155" i="35"/>
  <c r="A155" i="35"/>
  <c r="AI154" i="35"/>
  <c r="AE154" i="35"/>
  <c r="AD154" i="35"/>
  <c r="AA154" i="35"/>
  <c r="Z154" i="35"/>
  <c r="W154" i="35"/>
  <c r="Y154" i="35"/>
  <c r="T154" i="35"/>
  <c r="Q154" i="35"/>
  <c r="K154" i="35"/>
  <c r="M154" i="35"/>
  <c r="G154" i="35"/>
  <c r="F154" i="35"/>
  <c r="E154" i="35"/>
  <c r="D154" i="35"/>
  <c r="C154" i="35"/>
  <c r="A154" i="35"/>
  <c r="AI153" i="35"/>
  <c r="AE153" i="35"/>
  <c r="AD153" i="35"/>
  <c r="AA153" i="35"/>
  <c r="Z153" i="35"/>
  <c r="W153" i="35"/>
  <c r="Y153" i="35"/>
  <c r="T153" i="35"/>
  <c r="Q153" i="35"/>
  <c r="K153" i="35"/>
  <c r="M153" i="35"/>
  <c r="G153" i="35"/>
  <c r="F153" i="35"/>
  <c r="E153" i="35"/>
  <c r="D153" i="35"/>
  <c r="C153" i="35"/>
  <c r="A153" i="35"/>
  <c r="AI152" i="35"/>
  <c r="AE152" i="35"/>
  <c r="AD152" i="35"/>
  <c r="AA152" i="35"/>
  <c r="Z152" i="35"/>
  <c r="W152" i="35"/>
  <c r="Y152" i="35"/>
  <c r="T152" i="35"/>
  <c r="Q152" i="35"/>
  <c r="K152" i="35"/>
  <c r="M152" i="35"/>
  <c r="G152" i="35"/>
  <c r="F152" i="35"/>
  <c r="E152" i="35"/>
  <c r="D152" i="35"/>
  <c r="C152" i="35"/>
  <c r="A152" i="35"/>
  <c r="AI151" i="35"/>
  <c r="AE151" i="35"/>
  <c r="AD151" i="35"/>
  <c r="AA151" i="35"/>
  <c r="Z151" i="35"/>
  <c r="W151" i="35"/>
  <c r="Y151" i="35"/>
  <c r="T151" i="35"/>
  <c r="Q151" i="35"/>
  <c r="K151" i="35"/>
  <c r="M151" i="35"/>
  <c r="G151" i="35"/>
  <c r="F151" i="35"/>
  <c r="E151" i="35"/>
  <c r="D151" i="35"/>
  <c r="C151" i="35"/>
  <c r="A151" i="35"/>
  <c r="AI150" i="35"/>
  <c r="AE150" i="35"/>
  <c r="AD150" i="35"/>
  <c r="AA150" i="35"/>
  <c r="Z150" i="35"/>
  <c r="W150" i="35"/>
  <c r="Y150" i="35"/>
  <c r="T150" i="35"/>
  <c r="Q150" i="35"/>
  <c r="K150" i="35"/>
  <c r="M150" i="35"/>
  <c r="G150" i="35"/>
  <c r="F150" i="35"/>
  <c r="E150" i="35"/>
  <c r="D150" i="35"/>
  <c r="C150" i="35"/>
  <c r="A150" i="35"/>
  <c r="AI149" i="35"/>
  <c r="AE149" i="35"/>
  <c r="AD149" i="35"/>
  <c r="AA149" i="35"/>
  <c r="Z149" i="35"/>
  <c r="W149" i="35"/>
  <c r="Y149" i="35"/>
  <c r="T149" i="35"/>
  <c r="Q149" i="35"/>
  <c r="K149" i="35"/>
  <c r="M149" i="35"/>
  <c r="G149" i="35"/>
  <c r="F149" i="35"/>
  <c r="E149" i="35"/>
  <c r="D149" i="35"/>
  <c r="C149" i="35"/>
  <c r="A149" i="35"/>
  <c r="AI148" i="35"/>
  <c r="AE148" i="35"/>
  <c r="AD148" i="35"/>
  <c r="AA148" i="35"/>
  <c r="Z148" i="35"/>
  <c r="W148" i="35"/>
  <c r="Y148" i="35"/>
  <c r="T148" i="35"/>
  <c r="Q148" i="35"/>
  <c r="K148" i="35"/>
  <c r="M148" i="35"/>
  <c r="G148" i="35"/>
  <c r="F148" i="35"/>
  <c r="E148" i="35"/>
  <c r="D148" i="35"/>
  <c r="C148" i="35"/>
  <c r="A148" i="35"/>
  <c r="AI147" i="35"/>
  <c r="AE147" i="35"/>
  <c r="AD147" i="35"/>
  <c r="AA147" i="35"/>
  <c r="Z147" i="35"/>
  <c r="W147" i="35"/>
  <c r="Y147" i="35"/>
  <c r="T147" i="35"/>
  <c r="Q147" i="35"/>
  <c r="K147" i="35"/>
  <c r="M147" i="35"/>
  <c r="G147" i="35"/>
  <c r="F147" i="35"/>
  <c r="E147" i="35"/>
  <c r="D147" i="35"/>
  <c r="C147" i="35"/>
  <c r="A147" i="35"/>
  <c r="AI146" i="35"/>
  <c r="AE146" i="35"/>
  <c r="AD146" i="35"/>
  <c r="AA146" i="35"/>
  <c r="Z146" i="35"/>
  <c r="W146" i="35"/>
  <c r="Y146" i="35"/>
  <c r="T146" i="35"/>
  <c r="Q146" i="35"/>
  <c r="K146" i="35"/>
  <c r="M146" i="35"/>
  <c r="G146" i="35"/>
  <c r="F146" i="35"/>
  <c r="E146" i="35"/>
  <c r="D146" i="35"/>
  <c r="C146" i="35"/>
  <c r="A146" i="35"/>
  <c r="AI145" i="35"/>
  <c r="AE145" i="35"/>
  <c r="AD145" i="35"/>
  <c r="AA145" i="35"/>
  <c r="Z145" i="35"/>
  <c r="W145" i="35"/>
  <c r="Y145" i="35"/>
  <c r="T145" i="35"/>
  <c r="Q145" i="35"/>
  <c r="K145" i="35"/>
  <c r="M145" i="35"/>
  <c r="G145" i="35"/>
  <c r="F145" i="35"/>
  <c r="E145" i="35"/>
  <c r="D145" i="35"/>
  <c r="C145" i="35"/>
  <c r="A145" i="35"/>
  <c r="AI144" i="35"/>
  <c r="AE144" i="35"/>
  <c r="AD144" i="35"/>
  <c r="AA144" i="35"/>
  <c r="Z144" i="35"/>
  <c r="W144" i="35"/>
  <c r="Y144" i="35"/>
  <c r="T144" i="35"/>
  <c r="Q144" i="35"/>
  <c r="K144" i="35"/>
  <c r="M144" i="35"/>
  <c r="G144" i="35"/>
  <c r="F144" i="35"/>
  <c r="E144" i="35"/>
  <c r="D144" i="35"/>
  <c r="C144" i="35"/>
  <c r="A144" i="35"/>
  <c r="AI143" i="35"/>
  <c r="AE143" i="35"/>
  <c r="AD143" i="35"/>
  <c r="AA143" i="35"/>
  <c r="Z143" i="35"/>
  <c r="W143" i="35"/>
  <c r="Y143" i="35"/>
  <c r="T143" i="35"/>
  <c r="Q143" i="35"/>
  <c r="K143" i="35"/>
  <c r="M143" i="35"/>
  <c r="G143" i="35"/>
  <c r="F143" i="35"/>
  <c r="E143" i="35"/>
  <c r="D143" i="35"/>
  <c r="C143" i="35"/>
  <c r="A143" i="35"/>
  <c r="AI142" i="35"/>
  <c r="AE142" i="35"/>
  <c r="AD142" i="35"/>
  <c r="AA142" i="35"/>
  <c r="Z142" i="35"/>
  <c r="W142" i="35"/>
  <c r="Y142" i="35"/>
  <c r="T142" i="35"/>
  <c r="Q142" i="35"/>
  <c r="K142" i="35"/>
  <c r="M142" i="35"/>
  <c r="G142" i="35"/>
  <c r="F142" i="35"/>
  <c r="E142" i="35"/>
  <c r="D142" i="35"/>
  <c r="C142" i="35"/>
  <c r="A142" i="35"/>
  <c r="AI141" i="35"/>
  <c r="AE141" i="35"/>
  <c r="AD141" i="35"/>
  <c r="AA141" i="35"/>
  <c r="Z141" i="35"/>
  <c r="W141" i="35"/>
  <c r="Y141" i="35"/>
  <c r="T141" i="35"/>
  <c r="Q141" i="35"/>
  <c r="K141" i="35"/>
  <c r="M141" i="35"/>
  <c r="G141" i="35"/>
  <c r="F141" i="35"/>
  <c r="E141" i="35"/>
  <c r="D141" i="35"/>
  <c r="C141" i="35"/>
  <c r="A141" i="35"/>
  <c r="AI140" i="35"/>
  <c r="AE140" i="35"/>
  <c r="AD140" i="35"/>
  <c r="AA140" i="35"/>
  <c r="Z140" i="35"/>
  <c r="W140" i="35"/>
  <c r="Y140" i="35"/>
  <c r="T140" i="35"/>
  <c r="Q140" i="35"/>
  <c r="K140" i="35"/>
  <c r="M140" i="35"/>
  <c r="G140" i="35"/>
  <c r="F140" i="35"/>
  <c r="E140" i="35"/>
  <c r="D140" i="35"/>
  <c r="C140" i="35"/>
  <c r="A140" i="35"/>
  <c r="AI139" i="35"/>
  <c r="AE139" i="35"/>
  <c r="AD139" i="35"/>
  <c r="AA139" i="35"/>
  <c r="Z139" i="35"/>
  <c r="W139" i="35"/>
  <c r="Y139" i="35"/>
  <c r="T139" i="35"/>
  <c r="Q139" i="35"/>
  <c r="K139" i="35"/>
  <c r="M139" i="35"/>
  <c r="G139" i="35"/>
  <c r="F139" i="35"/>
  <c r="E139" i="35"/>
  <c r="D139" i="35"/>
  <c r="C139" i="35"/>
  <c r="A139" i="35"/>
  <c r="AI138" i="35"/>
  <c r="AE138" i="35"/>
  <c r="AD138" i="35"/>
  <c r="AA138" i="35"/>
  <c r="Z138" i="35"/>
  <c r="W138" i="35"/>
  <c r="Y138" i="35"/>
  <c r="T138" i="35"/>
  <c r="Q138" i="35"/>
  <c r="K138" i="35"/>
  <c r="M138" i="35"/>
  <c r="G138" i="35"/>
  <c r="F138" i="35"/>
  <c r="E138" i="35"/>
  <c r="D138" i="35"/>
  <c r="C138" i="35"/>
  <c r="A138" i="35"/>
  <c r="AI137" i="35"/>
  <c r="AE137" i="35"/>
  <c r="AD137" i="35"/>
  <c r="AA137" i="35"/>
  <c r="Z137" i="35"/>
  <c r="W137" i="35"/>
  <c r="Y137" i="35"/>
  <c r="T137" i="35"/>
  <c r="Q137" i="35"/>
  <c r="K137" i="35"/>
  <c r="M137" i="35"/>
  <c r="G137" i="35"/>
  <c r="F137" i="35"/>
  <c r="E137" i="35"/>
  <c r="D137" i="35"/>
  <c r="C137" i="35"/>
  <c r="A137" i="35"/>
  <c r="AI136" i="35"/>
  <c r="AE136" i="35"/>
  <c r="AD136" i="35"/>
  <c r="AA136" i="35"/>
  <c r="Z136" i="35"/>
  <c r="W136" i="35"/>
  <c r="Y136" i="35"/>
  <c r="T136" i="35"/>
  <c r="Q136" i="35"/>
  <c r="K136" i="35"/>
  <c r="M136" i="35"/>
  <c r="G136" i="35"/>
  <c r="F136" i="35"/>
  <c r="E136" i="35"/>
  <c r="D136" i="35"/>
  <c r="C136" i="35"/>
  <c r="A136" i="35"/>
  <c r="AI135" i="35"/>
  <c r="AE135" i="35"/>
  <c r="AD135" i="35"/>
  <c r="AA135" i="35"/>
  <c r="K135" i="35"/>
  <c r="M135" i="35"/>
  <c r="G135" i="35"/>
  <c r="F135" i="35"/>
  <c r="E135" i="35"/>
  <c r="D135" i="35"/>
  <c r="AI134" i="35"/>
  <c r="AE134" i="35"/>
  <c r="AD134" i="35"/>
  <c r="AA134" i="35"/>
  <c r="K134" i="35"/>
  <c r="M134" i="35"/>
  <c r="G134" i="35"/>
  <c r="F134" i="35"/>
  <c r="E134" i="35"/>
  <c r="D134" i="35"/>
  <c r="AI133" i="35"/>
  <c r="AE133" i="35"/>
  <c r="AD133" i="35"/>
  <c r="AA133" i="35"/>
  <c r="K133" i="35"/>
  <c r="M133" i="35"/>
  <c r="G133" i="35"/>
  <c r="F133" i="35"/>
  <c r="E133" i="35"/>
  <c r="D133" i="35"/>
  <c r="AI132" i="35"/>
  <c r="AE132" i="35"/>
  <c r="AD132" i="35"/>
  <c r="AA132" i="35"/>
  <c r="K132" i="35"/>
  <c r="M132" i="35"/>
  <c r="G132" i="35"/>
  <c r="F132" i="35"/>
  <c r="E132" i="35"/>
  <c r="D132" i="35"/>
  <c r="AI131" i="35"/>
  <c r="AE131" i="35"/>
  <c r="AD131" i="35"/>
  <c r="AA131" i="35"/>
  <c r="K131" i="35"/>
  <c r="M131" i="35"/>
  <c r="G131" i="35"/>
  <c r="F131" i="35"/>
  <c r="E131" i="35"/>
  <c r="D131" i="35"/>
  <c r="AI130" i="35"/>
  <c r="AE130" i="35"/>
  <c r="AD130" i="35"/>
  <c r="AA130" i="35"/>
  <c r="K130" i="35"/>
  <c r="M130" i="35"/>
  <c r="G130" i="35"/>
  <c r="F130" i="35"/>
  <c r="E130" i="35"/>
  <c r="D130" i="35"/>
  <c r="AI129" i="35"/>
  <c r="AE129" i="35"/>
  <c r="AD129" i="35"/>
  <c r="AA129" i="35"/>
  <c r="K129" i="35"/>
  <c r="M129" i="35"/>
  <c r="G129" i="35"/>
  <c r="F129" i="35"/>
  <c r="E129" i="35"/>
  <c r="D129" i="35"/>
  <c r="AI128" i="35"/>
  <c r="AE128" i="35"/>
  <c r="AD128" i="35"/>
  <c r="AA128" i="35"/>
  <c r="K128" i="35"/>
  <c r="M128" i="35"/>
  <c r="G128" i="35"/>
  <c r="F128" i="35"/>
  <c r="E128" i="35"/>
  <c r="D128" i="35"/>
  <c r="AI127" i="35"/>
  <c r="AE127" i="35"/>
  <c r="AD127" i="35"/>
  <c r="AA127" i="35"/>
  <c r="K127" i="35"/>
  <c r="M127" i="35"/>
  <c r="G127" i="35"/>
  <c r="F127" i="35"/>
  <c r="E127" i="35"/>
  <c r="D127" i="35"/>
  <c r="AI126" i="35"/>
  <c r="AE126" i="35"/>
  <c r="AD126" i="35"/>
  <c r="AA126" i="35"/>
  <c r="K126" i="35"/>
  <c r="M126" i="35"/>
  <c r="G126" i="35"/>
  <c r="F126" i="35"/>
  <c r="E126" i="35"/>
  <c r="D126" i="35"/>
  <c r="AI125" i="35"/>
  <c r="AE125" i="35"/>
  <c r="AD125" i="35"/>
  <c r="AA125" i="35"/>
  <c r="K125" i="35"/>
  <c r="M125" i="35"/>
  <c r="G125" i="35"/>
  <c r="F125" i="35"/>
  <c r="E125" i="35"/>
  <c r="D125" i="35"/>
  <c r="AI124" i="35"/>
  <c r="AE124" i="35"/>
  <c r="AD124" i="35"/>
  <c r="AA124" i="35"/>
  <c r="K124" i="35"/>
  <c r="M124" i="35"/>
  <c r="G124" i="35"/>
  <c r="F124" i="35"/>
  <c r="E124" i="35"/>
  <c r="D124" i="35"/>
  <c r="AI123" i="35"/>
  <c r="AE123" i="35"/>
  <c r="AD123" i="35"/>
  <c r="AA123" i="35"/>
  <c r="K123" i="35"/>
  <c r="M123" i="35"/>
  <c r="G123" i="35"/>
  <c r="F123" i="35"/>
  <c r="E123" i="35"/>
  <c r="D123" i="35"/>
  <c r="AI122" i="35"/>
  <c r="AE122" i="35"/>
  <c r="AD122" i="35"/>
  <c r="AA122" i="35"/>
  <c r="K122" i="35"/>
  <c r="M122" i="35"/>
  <c r="G122" i="35"/>
  <c r="F122" i="35"/>
  <c r="E122" i="35"/>
  <c r="D122" i="35"/>
  <c r="AI121" i="35"/>
  <c r="AE121" i="35"/>
  <c r="AD121" i="35"/>
  <c r="AA121" i="35"/>
  <c r="K121" i="35"/>
  <c r="M121" i="35"/>
  <c r="G121" i="35"/>
  <c r="F121" i="35"/>
  <c r="E121" i="35"/>
  <c r="D121" i="35"/>
  <c r="AI120" i="35"/>
  <c r="AE120" i="35"/>
  <c r="AD120" i="35"/>
  <c r="AA120" i="35"/>
  <c r="K120" i="35"/>
  <c r="M120" i="35"/>
  <c r="G120" i="35"/>
  <c r="F120" i="35"/>
  <c r="E120" i="35"/>
  <c r="D120" i="35"/>
  <c r="AI119" i="35"/>
  <c r="AE119" i="35"/>
  <c r="AD119" i="35"/>
  <c r="AA119" i="35"/>
  <c r="K119" i="35"/>
  <c r="M119" i="35"/>
  <c r="G119" i="35"/>
  <c r="F119" i="35"/>
  <c r="E119" i="35"/>
  <c r="D119" i="35"/>
  <c r="AI118" i="35"/>
  <c r="AE118" i="35"/>
  <c r="AD118" i="35"/>
  <c r="AA118" i="35"/>
  <c r="K118" i="35"/>
  <c r="M118" i="35"/>
  <c r="G118" i="35"/>
  <c r="F118" i="35"/>
  <c r="E118" i="35"/>
  <c r="D118" i="35"/>
  <c r="AI117" i="35"/>
  <c r="AE117" i="35"/>
  <c r="AD117" i="35"/>
  <c r="AA117" i="35"/>
  <c r="K117" i="35"/>
  <c r="M117" i="35"/>
  <c r="G117" i="35"/>
  <c r="F117" i="35"/>
  <c r="E117" i="35"/>
  <c r="D117" i="35"/>
  <c r="AI116" i="35"/>
  <c r="AE116" i="35"/>
  <c r="AD116" i="35"/>
  <c r="AA116" i="35"/>
  <c r="K116" i="35"/>
  <c r="M116" i="35"/>
  <c r="G116" i="35"/>
  <c r="F116" i="35"/>
  <c r="E116" i="35"/>
  <c r="D116" i="35"/>
  <c r="AI115" i="35"/>
  <c r="AE115" i="35"/>
  <c r="AD115" i="35"/>
  <c r="AA115" i="35"/>
  <c r="K115" i="35"/>
  <c r="M115" i="35"/>
  <c r="G115" i="35"/>
  <c r="F115" i="35"/>
  <c r="E115" i="35"/>
  <c r="D115" i="35"/>
  <c r="AI114" i="35"/>
  <c r="AE114" i="35"/>
  <c r="AD114" i="35"/>
  <c r="AA114" i="35"/>
  <c r="K114" i="35"/>
  <c r="M114" i="35"/>
  <c r="G114" i="35"/>
  <c r="F114" i="35"/>
  <c r="E114" i="35"/>
  <c r="D114" i="35"/>
  <c r="AI113" i="35"/>
  <c r="AE113" i="35"/>
  <c r="AD113" i="35"/>
  <c r="AA113" i="35"/>
  <c r="K113" i="35"/>
  <c r="M113" i="35"/>
  <c r="G113" i="35"/>
  <c r="F113" i="35"/>
  <c r="E113" i="35"/>
  <c r="D113" i="35"/>
  <c r="AI112" i="35"/>
  <c r="AE112" i="35"/>
  <c r="AD112" i="35"/>
  <c r="AA112" i="35"/>
  <c r="K112" i="35"/>
  <c r="M112" i="35"/>
  <c r="G112" i="35"/>
  <c r="F112" i="35"/>
  <c r="E112" i="35"/>
  <c r="D112" i="35"/>
  <c r="AI111" i="35"/>
  <c r="AE111" i="35"/>
  <c r="AD111" i="35"/>
  <c r="AA111" i="35"/>
  <c r="K111" i="35"/>
  <c r="M111" i="35"/>
  <c r="G111" i="35"/>
  <c r="F111" i="35"/>
  <c r="E111" i="35"/>
  <c r="D111" i="35"/>
  <c r="AI110" i="35"/>
  <c r="AE110" i="35"/>
  <c r="AD110" i="35"/>
  <c r="AA110" i="35"/>
  <c r="K110" i="35"/>
  <c r="M110" i="35"/>
  <c r="G110" i="35"/>
  <c r="F110" i="35"/>
  <c r="E110" i="35"/>
  <c r="D110" i="35"/>
  <c r="AI109" i="35"/>
  <c r="AE109" i="35"/>
  <c r="AD109" i="35"/>
  <c r="AA109" i="35"/>
  <c r="K109" i="35"/>
  <c r="M109" i="35"/>
  <c r="G109" i="35"/>
  <c r="F109" i="35"/>
  <c r="E109" i="35"/>
  <c r="D109" i="35"/>
  <c r="AI108" i="35"/>
  <c r="AE108" i="35"/>
  <c r="AD108" i="35"/>
  <c r="AA108" i="35"/>
  <c r="K108" i="35"/>
  <c r="M108" i="35"/>
  <c r="G108" i="35"/>
  <c r="F108" i="35"/>
  <c r="E108" i="35"/>
  <c r="D108" i="35"/>
  <c r="AI107" i="35"/>
  <c r="AE107" i="35"/>
  <c r="AD107" i="35"/>
  <c r="AA107" i="35"/>
  <c r="K107" i="35"/>
  <c r="M107" i="35"/>
  <c r="G107" i="35"/>
  <c r="F107" i="35"/>
  <c r="E107" i="35"/>
  <c r="D107" i="35"/>
  <c r="AI106" i="35"/>
  <c r="AE106" i="35"/>
  <c r="AD106" i="35"/>
  <c r="AA106" i="35"/>
  <c r="K106" i="35"/>
  <c r="M106" i="35"/>
  <c r="G106" i="35"/>
  <c r="F106" i="35"/>
  <c r="E106" i="35"/>
  <c r="D106" i="35"/>
  <c r="AI105" i="35"/>
  <c r="AE105" i="35"/>
  <c r="AD105" i="35"/>
  <c r="AA105" i="35"/>
  <c r="K105" i="35"/>
  <c r="M105" i="35"/>
  <c r="G105" i="35"/>
  <c r="F105" i="35"/>
  <c r="E105" i="35"/>
  <c r="D105" i="35"/>
  <c r="AI104" i="35"/>
  <c r="AE104" i="35"/>
  <c r="AD104" i="35"/>
  <c r="AA104" i="35"/>
  <c r="K104" i="35"/>
  <c r="M104" i="35"/>
  <c r="G104" i="35"/>
  <c r="F104" i="35"/>
  <c r="E104" i="35"/>
  <c r="D104" i="35"/>
  <c r="AI103" i="35"/>
  <c r="AE103" i="35"/>
  <c r="AD103" i="35"/>
  <c r="AA103" i="35"/>
  <c r="K103" i="35"/>
  <c r="M103" i="35"/>
  <c r="G103" i="35"/>
  <c r="F103" i="35"/>
  <c r="E103" i="35"/>
  <c r="D103" i="35"/>
  <c r="AI102" i="35"/>
  <c r="AE102" i="35"/>
  <c r="AD102" i="35"/>
  <c r="AA102" i="35"/>
  <c r="K102" i="35"/>
  <c r="M102" i="35"/>
  <c r="G102" i="35"/>
  <c r="F102" i="35"/>
  <c r="E102" i="35"/>
  <c r="D102" i="35"/>
  <c r="AI101" i="35"/>
  <c r="AE101" i="35"/>
  <c r="AD101" i="35"/>
  <c r="AA101" i="35"/>
  <c r="K101" i="35"/>
  <c r="M101" i="35"/>
  <c r="G101" i="35"/>
  <c r="F101" i="35"/>
  <c r="E101" i="35"/>
  <c r="D101" i="35"/>
  <c r="AI100" i="35"/>
  <c r="AE100" i="35"/>
  <c r="AD100" i="35"/>
  <c r="AA100" i="35"/>
  <c r="K100" i="35"/>
  <c r="M100" i="35"/>
  <c r="G100" i="35"/>
  <c r="F100" i="35"/>
  <c r="E100" i="35"/>
  <c r="D100" i="35"/>
  <c r="AI99" i="35"/>
  <c r="AE99" i="35"/>
  <c r="AD99" i="35"/>
  <c r="AA99" i="35"/>
  <c r="K99" i="35"/>
  <c r="M99" i="35"/>
  <c r="G99" i="35"/>
  <c r="F99" i="35"/>
  <c r="E99" i="35"/>
  <c r="D99" i="35"/>
  <c r="AI98" i="35"/>
  <c r="AE98" i="35"/>
  <c r="AD98" i="35"/>
  <c r="AA98" i="35"/>
  <c r="K98" i="35"/>
  <c r="M98" i="35"/>
  <c r="G98" i="35"/>
  <c r="F98" i="35"/>
  <c r="E98" i="35"/>
  <c r="D98" i="35"/>
  <c r="AI97" i="35"/>
  <c r="AE97" i="35"/>
  <c r="AD97" i="35"/>
  <c r="AA97" i="35"/>
  <c r="K97" i="35"/>
  <c r="M97" i="35"/>
  <c r="G97" i="35"/>
  <c r="F97" i="35"/>
  <c r="E97" i="35"/>
  <c r="D97" i="35"/>
  <c r="AI96" i="35"/>
  <c r="AE96" i="35"/>
  <c r="AD96" i="35"/>
  <c r="AA96" i="35"/>
  <c r="K96" i="35"/>
  <c r="M96" i="35"/>
  <c r="G96" i="35"/>
  <c r="F96" i="35"/>
  <c r="E96" i="35"/>
  <c r="D96" i="35"/>
  <c r="AI95" i="35"/>
  <c r="AE95" i="35"/>
  <c r="AD95" i="35"/>
  <c r="AA95" i="35"/>
  <c r="K95" i="35"/>
  <c r="M95" i="35"/>
  <c r="G95" i="35"/>
  <c r="F95" i="35"/>
  <c r="E95" i="35"/>
  <c r="D95" i="35"/>
  <c r="AI94" i="35"/>
  <c r="AE94" i="35"/>
  <c r="AD94" i="35"/>
  <c r="AA94" i="35"/>
  <c r="K94" i="35"/>
  <c r="M94" i="35"/>
  <c r="G94" i="35"/>
  <c r="F94" i="35"/>
  <c r="E94" i="35"/>
  <c r="D94" i="35"/>
  <c r="AI93" i="35"/>
  <c r="AE93" i="35"/>
  <c r="AD93" i="35"/>
  <c r="AA93" i="35"/>
  <c r="K93" i="35"/>
  <c r="M93" i="35"/>
  <c r="G93" i="35"/>
  <c r="F93" i="35"/>
  <c r="E93" i="35"/>
  <c r="D93" i="35"/>
  <c r="AI92" i="35"/>
  <c r="AE92" i="35"/>
  <c r="AD92" i="35"/>
  <c r="AA92" i="35"/>
  <c r="K92" i="35"/>
  <c r="M92" i="35"/>
  <c r="G92" i="35"/>
  <c r="F92" i="35"/>
  <c r="E92" i="35"/>
  <c r="D92" i="35"/>
  <c r="AI91" i="35"/>
  <c r="AE91" i="35"/>
  <c r="AD91" i="35"/>
  <c r="AA91" i="35"/>
  <c r="K91" i="35"/>
  <c r="M91" i="35"/>
  <c r="G91" i="35"/>
  <c r="F91" i="35"/>
  <c r="E91" i="35"/>
  <c r="D91" i="35"/>
  <c r="AI90" i="35"/>
  <c r="AE90" i="35"/>
  <c r="AD90" i="35"/>
  <c r="AA90" i="35"/>
  <c r="K90" i="35"/>
  <c r="M90" i="35"/>
  <c r="G90" i="35"/>
  <c r="F90" i="35"/>
  <c r="E90" i="35"/>
  <c r="D90" i="35"/>
  <c r="AI89" i="35"/>
  <c r="AE89" i="35"/>
  <c r="AD89" i="35"/>
  <c r="AA89" i="35"/>
  <c r="K89" i="35"/>
  <c r="M89" i="35"/>
  <c r="G89" i="35"/>
  <c r="F89" i="35"/>
  <c r="E89" i="35"/>
  <c r="D89" i="35"/>
  <c r="AI88" i="35"/>
  <c r="AE88" i="35"/>
  <c r="AD88" i="35"/>
  <c r="AA88" i="35"/>
  <c r="K88" i="35"/>
  <c r="M88" i="35"/>
  <c r="G88" i="35"/>
  <c r="F88" i="35"/>
  <c r="E88" i="35"/>
  <c r="D88" i="35"/>
  <c r="AI87" i="35"/>
  <c r="AE87" i="35"/>
  <c r="AD87" i="35"/>
  <c r="AA87" i="35"/>
  <c r="K87" i="35"/>
  <c r="M87" i="35"/>
  <c r="G87" i="35"/>
  <c r="F87" i="35"/>
  <c r="E87" i="35"/>
  <c r="D87" i="35"/>
  <c r="AI86" i="35"/>
  <c r="AE86" i="35"/>
  <c r="AD86" i="35"/>
  <c r="AA86" i="35"/>
  <c r="K86" i="35"/>
  <c r="M86" i="35"/>
  <c r="G86" i="35"/>
  <c r="F86" i="35"/>
  <c r="E86" i="35"/>
  <c r="D86" i="35"/>
  <c r="AI85" i="35"/>
  <c r="AE85" i="35"/>
  <c r="AD85" i="35"/>
  <c r="AA85" i="35"/>
  <c r="K85" i="35"/>
  <c r="M85" i="35"/>
  <c r="G85" i="35"/>
  <c r="F85" i="35"/>
  <c r="E85" i="35"/>
  <c r="D85" i="35"/>
  <c r="AI84" i="35"/>
  <c r="AE84" i="35"/>
  <c r="AD84" i="35"/>
  <c r="AA84" i="35"/>
  <c r="K84" i="35"/>
  <c r="M84" i="35"/>
  <c r="G84" i="35"/>
  <c r="F84" i="35"/>
  <c r="E84" i="35"/>
  <c r="D84" i="35"/>
  <c r="AI83" i="35"/>
  <c r="AE83" i="35"/>
  <c r="AD83" i="35"/>
  <c r="AA83" i="35"/>
  <c r="K83" i="35"/>
  <c r="M83" i="35"/>
  <c r="G83" i="35"/>
  <c r="F83" i="35"/>
  <c r="E83" i="35"/>
  <c r="D83" i="35"/>
  <c r="AI82" i="35"/>
  <c r="AE82" i="35"/>
  <c r="AD82" i="35"/>
  <c r="AA82" i="35"/>
  <c r="K82" i="35"/>
  <c r="M82" i="35"/>
  <c r="G82" i="35"/>
  <c r="F82" i="35"/>
  <c r="E82" i="35"/>
  <c r="D82" i="35"/>
  <c r="AI81" i="35"/>
  <c r="AE81" i="35"/>
  <c r="AD81" i="35"/>
  <c r="AA81" i="35"/>
  <c r="K81" i="35"/>
  <c r="M81" i="35"/>
  <c r="G81" i="35"/>
  <c r="F81" i="35"/>
  <c r="E81" i="35"/>
  <c r="D81" i="35"/>
  <c r="AI80" i="35"/>
  <c r="AE80" i="35"/>
  <c r="AD80" i="35"/>
  <c r="AA80" i="35"/>
  <c r="K80" i="35"/>
  <c r="M80" i="35"/>
  <c r="G80" i="35"/>
  <c r="F80" i="35"/>
  <c r="E80" i="35"/>
  <c r="D80" i="35"/>
  <c r="AI79" i="35"/>
  <c r="AE79" i="35"/>
  <c r="AD79" i="35"/>
  <c r="AA79" i="35"/>
  <c r="K79" i="35"/>
  <c r="M79" i="35"/>
  <c r="G79" i="35"/>
  <c r="F79" i="35"/>
  <c r="E79" i="35"/>
  <c r="D79" i="35"/>
  <c r="AI78" i="35"/>
  <c r="AE78" i="35"/>
  <c r="AD78" i="35"/>
  <c r="AA78" i="35"/>
  <c r="K78" i="35"/>
  <c r="M78" i="35"/>
  <c r="G78" i="35"/>
  <c r="F78" i="35"/>
  <c r="E78" i="35"/>
  <c r="D78" i="35"/>
  <c r="AI77" i="35"/>
  <c r="AE77" i="35"/>
  <c r="AD77" i="35"/>
  <c r="AA77" i="35"/>
  <c r="G77" i="35"/>
  <c r="F77" i="35"/>
  <c r="E77" i="35"/>
  <c r="D77" i="35"/>
  <c r="AI76" i="35"/>
  <c r="AE76" i="35"/>
  <c r="AD76" i="35"/>
  <c r="AA76" i="35"/>
  <c r="G76" i="35"/>
  <c r="F76" i="35"/>
  <c r="E76" i="35"/>
  <c r="D76" i="35"/>
  <c r="AI75" i="35"/>
  <c r="AE75" i="35"/>
  <c r="AD75" i="35"/>
  <c r="AA75" i="35"/>
  <c r="G75" i="35"/>
  <c r="F75" i="35"/>
  <c r="E75" i="35"/>
  <c r="D75" i="35"/>
  <c r="AI74" i="35"/>
  <c r="AE74" i="35"/>
  <c r="AD74" i="35"/>
  <c r="AA74" i="35"/>
  <c r="G74" i="35"/>
  <c r="F74" i="35"/>
  <c r="E74" i="35"/>
  <c r="D74" i="35"/>
  <c r="AI73" i="35"/>
  <c r="AE73" i="35"/>
  <c r="AD73" i="35"/>
  <c r="AA73" i="35"/>
  <c r="G73" i="35"/>
  <c r="F73" i="35"/>
  <c r="E73" i="35"/>
  <c r="D73" i="35"/>
  <c r="AI72" i="35"/>
  <c r="AE72" i="35"/>
  <c r="AD72" i="35"/>
  <c r="AA72" i="35"/>
  <c r="G72" i="35"/>
  <c r="F72" i="35"/>
  <c r="E72" i="35"/>
  <c r="D72" i="35"/>
  <c r="AI71" i="35"/>
  <c r="AE71" i="35"/>
  <c r="AD71" i="35"/>
  <c r="AA71" i="35"/>
  <c r="G71" i="35"/>
  <c r="F71" i="35"/>
  <c r="E71" i="35"/>
  <c r="D71" i="35"/>
  <c r="AI70" i="35"/>
  <c r="AE70" i="35"/>
  <c r="AD70" i="35"/>
  <c r="AA70" i="35"/>
  <c r="G70" i="35"/>
  <c r="F70" i="35"/>
  <c r="E70" i="35"/>
  <c r="D70" i="35"/>
  <c r="AI69" i="35"/>
  <c r="AE69" i="35"/>
  <c r="AD69" i="35"/>
  <c r="AA69" i="35"/>
  <c r="G69" i="35"/>
  <c r="F69" i="35"/>
  <c r="E69" i="35"/>
  <c r="D69" i="35"/>
  <c r="AI68" i="35"/>
  <c r="AE68" i="35"/>
  <c r="AD68" i="35"/>
  <c r="AA68" i="35"/>
  <c r="G68" i="35"/>
  <c r="F68" i="35"/>
  <c r="E68" i="35"/>
  <c r="D68" i="35"/>
  <c r="AI67" i="35"/>
  <c r="AE67" i="35"/>
  <c r="AD67" i="35"/>
  <c r="AA67" i="35"/>
  <c r="G67" i="35"/>
  <c r="F67" i="35"/>
  <c r="E67" i="35"/>
  <c r="D67" i="35"/>
  <c r="AI66" i="35"/>
  <c r="AE66" i="35"/>
  <c r="AD66" i="35"/>
  <c r="AA66" i="35"/>
  <c r="G66" i="35"/>
  <c r="F66" i="35"/>
  <c r="E66" i="35"/>
  <c r="D66" i="35"/>
  <c r="AI65" i="35"/>
  <c r="AE65" i="35"/>
  <c r="AD65" i="35"/>
  <c r="AA65" i="35"/>
  <c r="G65" i="35"/>
  <c r="F65" i="35"/>
  <c r="E65" i="35"/>
  <c r="D65" i="35"/>
  <c r="AI64" i="35"/>
  <c r="AE64" i="35"/>
  <c r="AD64" i="35"/>
  <c r="AA64" i="35"/>
  <c r="G64" i="35"/>
  <c r="F64" i="35"/>
  <c r="E64" i="35"/>
  <c r="D64" i="35"/>
  <c r="AI63" i="35"/>
  <c r="AE63" i="35"/>
  <c r="AD63" i="35"/>
  <c r="AA63" i="35"/>
  <c r="G63" i="35"/>
  <c r="F63" i="35"/>
  <c r="E63" i="35"/>
  <c r="D63" i="35"/>
  <c r="AI62" i="35"/>
  <c r="AE62" i="35"/>
  <c r="AD62" i="35"/>
  <c r="AA62" i="35"/>
  <c r="G62" i="35"/>
  <c r="F62" i="35"/>
  <c r="E62" i="35"/>
  <c r="D62" i="35"/>
  <c r="AI61" i="35"/>
  <c r="AE61" i="35"/>
  <c r="AD61" i="35"/>
  <c r="AA61" i="35"/>
  <c r="G61" i="35"/>
  <c r="F61" i="35"/>
  <c r="E61" i="35"/>
  <c r="D61" i="35"/>
  <c r="AI60" i="35"/>
  <c r="AE60" i="35"/>
  <c r="AD60" i="35"/>
  <c r="AA60" i="35"/>
  <c r="G60" i="35"/>
  <c r="F60" i="35"/>
  <c r="E60" i="35"/>
  <c r="D60" i="35"/>
  <c r="AI59" i="35"/>
  <c r="AE59" i="35"/>
  <c r="AD59" i="35"/>
  <c r="AA59" i="35"/>
  <c r="G59" i="35"/>
  <c r="F59" i="35"/>
  <c r="E59" i="35"/>
  <c r="D59" i="35"/>
  <c r="AI58" i="35"/>
  <c r="AE58" i="35"/>
  <c r="AD58" i="35"/>
  <c r="AA58" i="35"/>
  <c r="G58" i="35"/>
  <c r="F58" i="35"/>
  <c r="E58" i="35"/>
  <c r="D58" i="35"/>
  <c r="AI57" i="35"/>
  <c r="AE57" i="35"/>
  <c r="AD57" i="35"/>
  <c r="AA57" i="35"/>
  <c r="G57" i="35"/>
  <c r="F57" i="35"/>
  <c r="E57" i="35"/>
  <c r="D57" i="35"/>
  <c r="AI56" i="35"/>
  <c r="AE56" i="35"/>
  <c r="AD56" i="35"/>
  <c r="AA56" i="35"/>
  <c r="G56" i="35"/>
  <c r="F56" i="35"/>
  <c r="E56" i="35"/>
  <c r="D56" i="35"/>
  <c r="AI55" i="35"/>
  <c r="AE55" i="35"/>
  <c r="AD55" i="35"/>
  <c r="AA55" i="35"/>
  <c r="G55" i="35"/>
  <c r="F55" i="35"/>
  <c r="E55" i="35"/>
  <c r="D55" i="35"/>
  <c r="AI54" i="35"/>
  <c r="AE54" i="35"/>
  <c r="AD54" i="35"/>
  <c r="AA54" i="35"/>
  <c r="G54" i="35"/>
  <c r="F54" i="35"/>
  <c r="E54" i="35"/>
  <c r="D54" i="35"/>
  <c r="AI53" i="35"/>
  <c r="AE53" i="35"/>
  <c r="AD53" i="35"/>
  <c r="AA53" i="35"/>
  <c r="G53" i="35"/>
  <c r="F53" i="35"/>
  <c r="E53" i="35"/>
  <c r="D53" i="35"/>
  <c r="AI52" i="35"/>
  <c r="AE52" i="35"/>
  <c r="AD52" i="35"/>
  <c r="AA52" i="35"/>
  <c r="G52" i="35"/>
  <c r="F52" i="35"/>
  <c r="E52" i="35"/>
  <c r="D52" i="35"/>
  <c r="AI51" i="35"/>
  <c r="AE51" i="35"/>
  <c r="AD51" i="35"/>
  <c r="AA51" i="35"/>
  <c r="G51" i="35"/>
  <c r="F51" i="35"/>
  <c r="E51" i="35"/>
  <c r="D51" i="35"/>
  <c r="AI50" i="35"/>
  <c r="AE50" i="35"/>
  <c r="AD50" i="35"/>
  <c r="AA50" i="35"/>
  <c r="G50" i="35"/>
  <c r="F50" i="35"/>
  <c r="E50" i="35"/>
  <c r="D50" i="35"/>
  <c r="AI49" i="35"/>
  <c r="AE49" i="35"/>
  <c r="AD49" i="35"/>
  <c r="AA49" i="35"/>
  <c r="G49" i="35"/>
  <c r="F49" i="35"/>
  <c r="E49" i="35"/>
  <c r="D49" i="35"/>
  <c r="AI48" i="35"/>
  <c r="AE48" i="35"/>
  <c r="AD48" i="35"/>
  <c r="AA48" i="35"/>
  <c r="G48" i="35"/>
  <c r="F48" i="35"/>
  <c r="E48" i="35"/>
  <c r="D48" i="35"/>
  <c r="AI47" i="35"/>
  <c r="AE47" i="35"/>
  <c r="AD47" i="35"/>
  <c r="AA47" i="35"/>
  <c r="G47" i="35"/>
  <c r="F47" i="35"/>
  <c r="E47" i="35"/>
  <c r="D47" i="35"/>
  <c r="AI46" i="35"/>
  <c r="AE46" i="35"/>
  <c r="AD46" i="35"/>
  <c r="AA46" i="35"/>
  <c r="G46" i="35"/>
  <c r="F46" i="35"/>
  <c r="E46" i="35"/>
  <c r="D46" i="35"/>
  <c r="AI45" i="35"/>
  <c r="AE45" i="35"/>
  <c r="AD45" i="35"/>
  <c r="AA45" i="35"/>
  <c r="G45" i="35"/>
  <c r="F45" i="35"/>
  <c r="E45" i="35"/>
  <c r="D45" i="35"/>
  <c r="AI44" i="35"/>
  <c r="AE44" i="35"/>
  <c r="AD44" i="35"/>
  <c r="AA44" i="35"/>
  <c r="G44" i="35"/>
  <c r="F44" i="35"/>
  <c r="E44" i="35"/>
  <c r="D44" i="35"/>
  <c r="AI43" i="35"/>
  <c r="AE43" i="35"/>
  <c r="AD43" i="35"/>
  <c r="AA43" i="35"/>
  <c r="G43" i="35"/>
  <c r="F43" i="35"/>
  <c r="E43" i="35"/>
  <c r="D43" i="35"/>
  <c r="AI42" i="35"/>
  <c r="AE42" i="35"/>
  <c r="AD42" i="35"/>
  <c r="AA42" i="35"/>
  <c r="G42" i="35"/>
  <c r="F42" i="35"/>
  <c r="E42" i="35"/>
  <c r="D42" i="35"/>
  <c r="AI41" i="35"/>
  <c r="AE41" i="35"/>
  <c r="AD41" i="35"/>
  <c r="AA41" i="35"/>
  <c r="G41" i="35"/>
  <c r="F41" i="35"/>
  <c r="E41" i="35"/>
  <c r="D41" i="35"/>
  <c r="AI40" i="35"/>
  <c r="AE40" i="35"/>
  <c r="AD40" i="35"/>
  <c r="AA40" i="35"/>
  <c r="G40" i="35"/>
  <c r="F40" i="35"/>
  <c r="E40" i="35"/>
  <c r="D40" i="35"/>
  <c r="AI39" i="35"/>
  <c r="AE39" i="35"/>
  <c r="AD39" i="35"/>
  <c r="AA39" i="35"/>
  <c r="G39" i="35"/>
  <c r="F39" i="35"/>
  <c r="E39" i="35"/>
  <c r="D39" i="35"/>
  <c r="AI38" i="35"/>
  <c r="AE38" i="35"/>
  <c r="AD38" i="35"/>
  <c r="AA38" i="35"/>
  <c r="G38" i="35"/>
  <c r="F38" i="35"/>
  <c r="E38" i="35"/>
  <c r="D38" i="35"/>
  <c r="AI37" i="35"/>
  <c r="AE37" i="35"/>
  <c r="AD37" i="35"/>
  <c r="AA37" i="35"/>
  <c r="G37" i="35"/>
  <c r="F37" i="35"/>
  <c r="E37" i="35"/>
  <c r="D37" i="35"/>
  <c r="AI36" i="35"/>
  <c r="AE36" i="35"/>
  <c r="AD36" i="35"/>
  <c r="AA36" i="35"/>
  <c r="G36" i="35"/>
  <c r="F36" i="35"/>
  <c r="E36" i="35"/>
  <c r="D36" i="35"/>
  <c r="AI35" i="35"/>
  <c r="AE35" i="35"/>
  <c r="AD35" i="35"/>
  <c r="AA35" i="35"/>
  <c r="G35" i="35"/>
  <c r="F35" i="35"/>
  <c r="E35" i="35"/>
  <c r="D35" i="35"/>
  <c r="AI34" i="35"/>
  <c r="AE34" i="35"/>
  <c r="AD34" i="35"/>
  <c r="AA34" i="35"/>
  <c r="G34" i="35"/>
  <c r="F34" i="35"/>
  <c r="E34" i="35"/>
  <c r="D34" i="35"/>
  <c r="AI33" i="35"/>
  <c r="AE33" i="35"/>
  <c r="AD33" i="35"/>
  <c r="AA33" i="35"/>
  <c r="G33" i="35"/>
  <c r="F33" i="35"/>
  <c r="E33" i="35"/>
  <c r="D33" i="35"/>
  <c r="AI32" i="35"/>
  <c r="AE32" i="35"/>
  <c r="AD32" i="35"/>
  <c r="AA32" i="35"/>
  <c r="G32" i="35"/>
  <c r="F32" i="35"/>
  <c r="E32" i="35"/>
  <c r="D32" i="35"/>
  <c r="AI31" i="35"/>
  <c r="AE31" i="35"/>
  <c r="AD31" i="35"/>
  <c r="AA31" i="35"/>
  <c r="G31" i="35"/>
  <c r="F31" i="35"/>
  <c r="E31" i="35"/>
  <c r="D31" i="35"/>
  <c r="AI30" i="35"/>
  <c r="AE30" i="35"/>
  <c r="AD30" i="35"/>
  <c r="AA30" i="35"/>
  <c r="G30" i="35"/>
  <c r="F30" i="35"/>
  <c r="E30" i="35"/>
  <c r="D30" i="35"/>
  <c r="AI29" i="35"/>
  <c r="AE29" i="35"/>
  <c r="AD29" i="35"/>
  <c r="AA29" i="35"/>
  <c r="G29" i="35"/>
  <c r="F29" i="35"/>
  <c r="E29" i="35"/>
  <c r="D29" i="35"/>
  <c r="AI28" i="35"/>
  <c r="AE28" i="35"/>
  <c r="AD28" i="35"/>
  <c r="AA28" i="35"/>
  <c r="G28" i="35"/>
  <c r="F28" i="35"/>
  <c r="E28" i="35"/>
  <c r="D28" i="35"/>
  <c r="AI27" i="35"/>
  <c r="AE27" i="35"/>
  <c r="AD27" i="35"/>
  <c r="AA27" i="35"/>
  <c r="G27" i="35"/>
  <c r="F27" i="35"/>
  <c r="E27" i="35"/>
  <c r="D27" i="35"/>
  <c r="AI26" i="35"/>
  <c r="AE26" i="35"/>
  <c r="AD26" i="35"/>
  <c r="AA26" i="35"/>
  <c r="G26" i="35"/>
  <c r="F26" i="35"/>
  <c r="E26" i="35"/>
  <c r="D26" i="35"/>
  <c r="AI25" i="35"/>
  <c r="AE25" i="35"/>
  <c r="AD25" i="35"/>
  <c r="AA25" i="35"/>
  <c r="G25" i="35"/>
  <c r="F25" i="35"/>
  <c r="E25" i="35"/>
  <c r="D25" i="35"/>
  <c r="AI24" i="35"/>
  <c r="AE24" i="35"/>
  <c r="AD24" i="35"/>
  <c r="AA24" i="35"/>
  <c r="G24" i="35"/>
  <c r="F24" i="35"/>
  <c r="E24" i="35"/>
  <c r="D24" i="35"/>
  <c r="AI23" i="35"/>
  <c r="AE23" i="35"/>
  <c r="AD23" i="35"/>
  <c r="AA23" i="35"/>
  <c r="G23" i="35"/>
  <c r="F23" i="35"/>
  <c r="E23" i="35"/>
  <c r="D23" i="35"/>
  <c r="AI22" i="35"/>
  <c r="AE22" i="35"/>
  <c r="AD22" i="35"/>
  <c r="AA22" i="35"/>
  <c r="G22" i="35"/>
  <c r="F22" i="35"/>
  <c r="E22" i="35"/>
  <c r="D22" i="35"/>
  <c r="AI21" i="35"/>
  <c r="AE21" i="35"/>
  <c r="AD21" i="35"/>
  <c r="AA21" i="35"/>
  <c r="G21" i="35"/>
  <c r="F21" i="35"/>
  <c r="E21" i="35"/>
  <c r="D21" i="35"/>
  <c r="AI20" i="35"/>
  <c r="AE20" i="35"/>
  <c r="AD20" i="35"/>
  <c r="AA20" i="35"/>
  <c r="G20" i="35"/>
  <c r="F20" i="35"/>
  <c r="E20" i="35"/>
  <c r="D20" i="35"/>
  <c r="AI19" i="35"/>
  <c r="AE19" i="35"/>
  <c r="AD19" i="35"/>
  <c r="AA19" i="35"/>
  <c r="G19" i="35"/>
  <c r="F19" i="35"/>
  <c r="E19" i="35"/>
  <c r="D19" i="35"/>
  <c r="AI18" i="35"/>
  <c r="AE18" i="35"/>
  <c r="AD18" i="35"/>
  <c r="AA18" i="35"/>
  <c r="G18" i="35"/>
  <c r="F18" i="35"/>
  <c r="E18" i="35"/>
  <c r="D18" i="35"/>
  <c r="AI17" i="35"/>
  <c r="AE17" i="35"/>
  <c r="AD17" i="35"/>
  <c r="AA17" i="35"/>
  <c r="G17" i="35"/>
  <c r="F17" i="35"/>
  <c r="E17" i="35"/>
  <c r="D17" i="35"/>
  <c r="AI16" i="35"/>
  <c r="AE16" i="35"/>
  <c r="AD16" i="35"/>
  <c r="AA16" i="35"/>
  <c r="G16" i="35"/>
  <c r="F16" i="35"/>
  <c r="E16" i="35"/>
  <c r="D16" i="35"/>
  <c r="AI15" i="35"/>
  <c r="AE15" i="35"/>
  <c r="AD15" i="35"/>
  <c r="AA15" i="35"/>
  <c r="G15" i="35"/>
  <c r="F15" i="35"/>
  <c r="E15" i="35"/>
  <c r="D15" i="35"/>
  <c r="AI14" i="35"/>
  <c r="AE14" i="35"/>
  <c r="AD14" i="35"/>
  <c r="AA14" i="35"/>
  <c r="G14" i="35"/>
  <c r="F14" i="35"/>
  <c r="E14" i="35"/>
  <c r="D14" i="35"/>
  <c r="AI13" i="35"/>
  <c r="AE13" i="35"/>
  <c r="AD13" i="35"/>
  <c r="AA13" i="35"/>
  <c r="G13" i="35"/>
  <c r="F13" i="35"/>
  <c r="E13" i="35"/>
  <c r="D13" i="35"/>
  <c r="AI12" i="35"/>
  <c r="AE12" i="35"/>
  <c r="AD12" i="35"/>
  <c r="AA12" i="35"/>
  <c r="G12" i="35"/>
  <c r="F12" i="35"/>
  <c r="E12" i="35"/>
  <c r="D12" i="35"/>
  <c r="AI11" i="35"/>
  <c r="AE11" i="35"/>
  <c r="AD11" i="35"/>
  <c r="AA11" i="35"/>
  <c r="G11" i="35"/>
  <c r="F11" i="35"/>
  <c r="E11" i="35"/>
  <c r="D11" i="35"/>
  <c r="AI10" i="35"/>
  <c r="AE10" i="35"/>
  <c r="AD10" i="35"/>
  <c r="AA10" i="35"/>
  <c r="G10" i="35"/>
  <c r="F10" i="35"/>
  <c r="E10" i="35"/>
  <c r="D10" i="35"/>
  <c r="AI9" i="35"/>
  <c r="AE9" i="35"/>
  <c r="AD9" i="35"/>
  <c r="AA9" i="35"/>
  <c r="G9" i="35"/>
  <c r="F9" i="35"/>
  <c r="E9" i="35"/>
  <c r="D9" i="35"/>
  <c r="AI8" i="35"/>
  <c r="AE8" i="35"/>
  <c r="AD8" i="35"/>
  <c r="AA8" i="35"/>
  <c r="G8" i="35"/>
  <c r="F8" i="35"/>
  <c r="E8" i="35"/>
  <c r="D8" i="35"/>
  <c r="AI7" i="35"/>
  <c r="AE7" i="35"/>
  <c r="AD7" i="35"/>
  <c r="AA7" i="35"/>
  <c r="G7" i="35"/>
  <c r="F7" i="35"/>
  <c r="E7" i="35"/>
  <c r="D7" i="35"/>
  <c r="E5" i="22"/>
  <c r="C5" i="22"/>
  <c r="F5" i="22"/>
  <c r="D5" i="22"/>
  <c r="G5" i="22"/>
  <c r="H5" i="22"/>
  <c r="I5" i="22"/>
  <c r="J5" i="22"/>
  <c r="K5" i="22"/>
  <c r="E6" i="22"/>
  <c r="F6" i="22"/>
  <c r="G6" i="22"/>
  <c r="H6" i="22"/>
  <c r="B23" i="4"/>
  <c r="B24" i="4"/>
  <c r="I6" i="22"/>
  <c r="J6" i="22"/>
  <c r="K6" i="22"/>
  <c r="E7" i="22"/>
  <c r="F7" i="22"/>
  <c r="G7" i="22"/>
  <c r="H7" i="22"/>
  <c r="B25" i="4"/>
  <c r="I7" i="22"/>
  <c r="J7" i="22"/>
  <c r="K7" i="22"/>
  <c r="E8" i="22"/>
  <c r="F8" i="22"/>
  <c r="G8" i="22"/>
  <c r="H8" i="22"/>
  <c r="B26" i="4"/>
  <c r="B27" i="4"/>
  <c r="I8" i="22"/>
  <c r="J8" i="22"/>
  <c r="K8" i="22"/>
  <c r="E9" i="22"/>
  <c r="F9" i="22"/>
  <c r="G9" i="22"/>
  <c r="H9" i="22"/>
  <c r="B28" i="4"/>
  <c r="B29" i="4"/>
  <c r="I9" i="22"/>
  <c r="J9" i="22"/>
  <c r="K9" i="22"/>
  <c r="E10" i="22"/>
  <c r="F10" i="22"/>
  <c r="G10" i="22"/>
  <c r="H10" i="22"/>
  <c r="B30" i="4"/>
  <c r="I10" i="22"/>
  <c r="J10" i="22"/>
  <c r="K10" i="22"/>
  <c r="E11" i="22"/>
  <c r="F11" i="22"/>
  <c r="G11" i="22"/>
  <c r="H11" i="22"/>
  <c r="B31" i="4"/>
  <c r="B32" i="4"/>
  <c r="I11" i="22"/>
  <c r="J11" i="22"/>
  <c r="K11" i="22"/>
  <c r="E12" i="22"/>
  <c r="I12" i="22"/>
  <c r="J12" i="22"/>
  <c r="K12" i="22"/>
  <c r="K21" i="22"/>
  <c r="P21" i="22"/>
  <c r="E13" i="22"/>
  <c r="F13" i="22"/>
  <c r="H13" i="22"/>
  <c r="J13" i="22"/>
  <c r="K13" i="22"/>
  <c r="K20" i="22"/>
  <c r="P20" i="22"/>
  <c r="L5" i="22"/>
  <c r="L6" i="22"/>
  <c r="L7" i="22"/>
  <c r="L8" i="22"/>
  <c r="L9" i="22"/>
  <c r="L10" i="22"/>
  <c r="L11" i="22"/>
  <c r="L12" i="22"/>
  <c r="L13" i="22"/>
  <c r="L19" i="22"/>
  <c r="P19" i="22"/>
  <c r="I18" i="22"/>
  <c r="B33" i="4"/>
  <c r="P18" i="22"/>
  <c r="F17" i="22"/>
  <c r="P17" i="22"/>
  <c r="C16" i="22"/>
  <c r="P16" i="22"/>
  <c r="N13" i="22"/>
  <c r="O13" i="22"/>
  <c r="M13" i="22"/>
  <c r="I13" i="22"/>
  <c r="G13" i="22"/>
  <c r="B13" i="22"/>
  <c r="N12" i="22"/>
  <c r="O12" i="22"/>
  <c r="M5" i="22"/>
  <c r="M6" i="22"/>
  <c r="M7" i="22"/>
  <c r="M8" i="22"/>
  <c r="M9" i="22"/>
  <c r="M10" i="22"/>
  <c r="M11" i="22"/>
  <c r="M12" i="22"/>
  <c r="N11" i="22"/>
  <c r="O11" i="22"/>
  <c r="N10" i="22"/>
  <c r="O10" i="22"/>
  <c r="N9" i="22"/>
  <c r="O9" i="22"/>
  <c r="N8" i="22"/>
  <c r="O8" i="22"/>
  <c r="N7" i="22"/>
  <c r="O7" i="22"/>
  <c r="N6" i="22"/>
  <c r="O6" i="22"/>
  <c r="N5" i="22"/>
  <c r="O5" i="22"/>
  <c r="G74" i="8"/>
  <c r="S73" i="8"/>
  <c r="P73" i="8"/>
  <c r="R73" i="8"/>
  <c r="O73" i="8"/>
  <c r="N73" i="8"/>
  <c r="M73" i="8"/>
  <c r="L73" i="8"/>
  <c r="F73" i="8"/>
  <c r="S72" i="8"/>
  <c r="P72" i="8"/>
  <c r="R72" i="8"/>
  <c r="O72" i="8"/>
  <c r="N72" i="8"/>
  <c r="M72" i="8"/>
  <c r="L72" i="8"/>
  <c r="F72" i="8"/>
  <c r="S71" i="8"/>
  <c r="P71" i="8"/>
  <c r="R71" i="8"/>
  <c r="O71" i="8"/>
  <c r="N71" i="8"/>
  <c r="M71" i="8"/>
  <c r="L71" i="8"/>
  <c r="F71" i="8"/>
  <c r="S70" i="8"/>
  <c r="P70" i="8"/>
  <c r="R70" i="8"/>
  <c r="O70" i="8"/>
  <c r="N70" i="8"/>
  <c r="M70" i="8"/>
  <c r="L70" i="8"/>
  <c r="F70" i="8"/>
  <c r="S69" i="8"/>
  <c r="P69" i="8"/>
  <c r="R69" i="8"/>
  <c r="O69" i="8"/>
  <c r="N69" i="8"/>
  <c r="M69" i="8"/>
  <c r="L69" i="8"/>
  <c r="F69" i="8"/>
  <c r="S68" i="8"/>
  <c r="P68" i="8"/>
  <c r="R68" i="8"/>
  <c r="O68" i="8"/>
  <c r="N68" i="8"/>
  <c r="M68" i="8"/>
  <c r="L68" i="8"/>
  <c r="F68" i="8"/>
  <c r="S67" i="8"/>
  <c r="P67" i="8"/>
  <c r="R67" i="8"/>
  <c r="O67" i="8"/>
  <c r="N67" i="8"/>
  <c r="M67" i="8"/>
  <c r="L67" i="8"/>
  <c r="F67" i="8"/>
  <c r="S66" i="8"/>
  <c r="P66" i="8"/>
  <c r="R66" i="8"/>
  <c r="O66" i="8"/>
  <c r="N66" i="8"/>
  <c r="M66" i="8"/>
  <c r="L66" i="8"/>
  <c r="F66" i="8"/>
  <c r="S65" i="8"/>
  <c r="P65" i="8"/>
  <c r="R65" i="8"/>
  <c r="O65" i="8"/>
  <c r="N65" i="8"/>
  <c r="M65" i="8"/>
  <c r="L65" i="8"/>
  <c r="F65" i="8"/>
  <c r="S64" i="8"/>
  <c r="P64" i="8"/>
  <c r="R64" i="8"/>
  <c r="O64" i="8"/>
  <c r="N64" i="8"/>
  <c r="M64" i="8"/>
  <c r="L64" i="8"/>
  <c r="F64" i="8"/>
  <c r="S63" i="8"/>
  <c r="P63" i="8"/>
  <c r="R63" i="8"/>
  <c r="O63" i="8"/>
  <c r="N63" i="8"/>
  <c r="M63" i="8"/>
  <c r="L63" i="8"/>
  <c r="F63" i="8"/>
  <c r="S62" i="8"/>
  <c r="P62" i="8"/>
  <c r="R62" i="8"/>
  <c r="O62" i="8"/>
  <c r="N62" i="8"/>
  <c r="M62" i="8"/>
  <c r="L62" i="8"/>
  <c r="F62" i="8"/>
  <c r="S61" i="8"/>
  <c r="P61" i="8"/>
  <c r="R61" i="8"/>
  <c r="O61" i="8"/>
  <c r="N61" i="8"/>
  <c r="M61" i="8"/>
  <c r="L61" i="8"/>
  <c r="F61" i="8"/>
  <c r="S60" i="8"/>
  <c r="P60" i="8"/>
  <c r="R60" i="8"/>
  <c r="O60" i="8"/>
  <c r="N60" i="8"/>
  <c r="M60" i="8"/>
  <c r="L60" i="8"/>
  <c r="F60" i="8"/>
  <c r="S59" i="8"/>
  <c r="P59" i="8"/>
  <c r="R59" i="8"/>
  <c r="O59" i="8"/>
  <c r="N59" i="8"/>
  <c r="M59" i="8"/>
  <c r="L59" i="8"/>
  <c r="F59" i="8"/>
  <c r="S58" i="8"/>
  <c r="P58" i="8"/>
  <c r="R58" i="8"/>
  <c r="O58" i="8"/>
  <c r="N58" i="8"/>
  <c r="M58" i="8"/>
  <c r="L58" i="8"/>
  <c r="F58" i="8"/>
  <c r="S57" i="8"/>
  <c r="P57" i="8"/>
  <c r="R57" i="8"/>
  <c r="O57" i="8"/>
  <c r="N57" i="8"/>
  <c r="M57" i="8"/>
  <c r="L57" i="8"/>
  <c r="F57" i="8"/>
  <c r="S56" i="8"/>
  <c r="P56" i="8"/>
  <c r="R56" i="8"/>
  <c r="O56" i="8"/>
  <c r="N56" i="8"/>
  <c r="M56" i="8"/>
  <c r="L56" i="8"/>
  <c r="F56" i="8"/>
  <c r="S55" i="8"/>
  <c r="P55" i="8"/>
  <c r="R55" i="8"/>
  <c r="O55" i="8"/>
  <c r="N55" i="8"/>
  <c r="M55" i="8"/>
  <c r="L55" i="8"/>
  <c r="F55" i="8"/>
  <c r="S54" i="8"/>
  <c r="P54" i="8"/>
  <c r="R54" i="8"/>
  <c r="O54" i="8"/>
  <c r="N54" i="8"/>
  <c r="M54" i="8"/>
  <c r="L54" i="8"/>
  <c r="F54" i="8"/>
  <c r="S53" i="8"/>
  <c r="P53" i="8"/>
  <c r="R53" i="8"/>
  <c r="O53" i="8"/>
  <c r="N53" i="8"/>
  <c r="M53" i="8"/>
  <c r="L53" i="8"/>
  <c r="F53" i="8"/>
  <c r="S52" i="8"/>
  <c r="P52" i="8"/>
  <c r="R52" i="8"/>
  <c r="O52" i="8"/>
  <c r="N52" i="8"/>
  <c r="M52" i="8"/>
  <c r="L52" i="8"/>
  <c r="F52" i="8"/>
  <c r="S51" i="8"/>
  <c r="P51" i="8"/>
  <c r="R51" i="8"/>
  <c r="O51" i="8"/>
  <c r="N51" i="8"/>
  <c r="M51" i="8"/>
  <c r="L51" i="8"/>
  <c r="F51" i="8"/>
  <c r="S50" i="8"/>
  <c r="P50" i="8"/>
  <c r="R50" i="8"/>
  <c r="O50" i="8"/>
  <c r="N50" i="8"/>
  <c r="M50" i="8"/>
  <c r="L50" i="8"/>
  <c r="F50" i="8"/>
  <c r="S49" i="8"/>
  <c r="P49" i="8"/>
  <c r="R49" i="8"/>
  <c r="O49" i="8"/>
  <c r="N49" i="8"/>
  <c r="M49" i="8"/>
  <c r="L49" i="8"/>
  <c r="F49" i="8"/>
  <c r="S48" i="8"/>
  <c r="P48" i="8"/>
  <c r="R48" i="8"/>
  <c r="O48" i="8"/>
  <c r="N48" i="8"/>
  <c r="M48" i="8"/>
  <c r="L48" i="8"/>
  <c r="F48" i="8"/>
  <c r="S47" i="8"/>
  <c r="P47" i="8"/>
  <c r="R47" i="8"/>
  <c r="O47" i="8"/>
  <c r="N47" i="8"/>
  <c r="M47" i="8"/>
  <c r="L47" i="8"/>
  <c r="F47" i="8"/>
  <c r="S46" i="8"/>
  <c r="P46" i="8"/>
  <c r="R46" i="8"/>
  <c r="O46" i="8"/>
  <c r="N46" i="8"/>
  <c r="M46" i="8"/>
  <c r="L46" i="8"/>
  <c r="F46" i="8"/>
  <c r="S45" i="8"/>
  <c r="P45" i="8"/>
  <c r="R45" i="8"/>
  <c r="O45" i="8"/>
  <c r="N45" i="8"/>
  <c r="M45" i="8"/>
  <c r="L45" i="8"/>
  <c r="F45" i="8"/>
  <c r="S44" i="8"/>
  <c r="P44" i="8"/>
  <c r="R44" i="8"/>
  <c r="O44" i="8"/>
  <c r="N44" i="8"/>
  <c r="M44" i="8"/>
  <c r="L44" i="8"/>
  <c r="F44" i="8"/>
  <c r="S43" i="8"/>
  <c r="P43" i="8"/>
  <c r="R43" i="8"/>
  <c r="O43" i="8"/>
  <c r="N43" i="8"/>
  <c r="M43" i="8"/>
  <c r="L43" i="8"/>
  <c r="F43" i="8"/>
  <c r="S42" i="8"/>
  <c r="P42" i="8"/>
  <c r="R42" i="8"/>
  <c r="O42" i="8"/>
  <c r="N42" i="8"/>
  <c r="M42" i="8"/>
  <c r="L42" i="8"/>
  <c r="F42" i="8"/>
  <c r="S41" i="8"/>
  <c r="P41" i="8"/>
  <c r="R41" i="8"/>
  <c r="O41" i="8"/>
  <c r="N41" i="8"/>
  <c r="M41" i="8"/>
  <c r="L41" i="8"/>
  <c r="F41" i="8"/>
  <c r="S40" i="8"/>
  <c r="P40" i="8"/>
  <c r="R40" i="8"/>
  <c r="O40" i="8"/>
  <c r="N40" i="8"/>
  <c r="M40" i="8"/>
  <c r="L40" i="8"/>
  <c r="F40" i="8"/>
  <c r="S39" i="8"/>
  <c r="P39" i="8"/>
  <c r="R39" i="8"/>
  <c r="O39" i="8"/>
  <c r="N39" i="8"/>
  <c r="M39" i="8"/>
  <c r="L39" i="8"/>
  <c r="F39" i="8"/>
  <c r="S38" i="8"/>
  <c r="P38" i="8"/>
  <c r="R38" i="8"/>
  <c r="O38" i="8"/>
  <c r="N38" i="8"/>
  <c r="M38" i="8"/>
  <c r="L38" i="8"/>
  <c r="F38" i="8"/>
  <c r="S37" i="8"/>
  <c r="P37" i="8"/>
  <c r="R37" i="8"/>
  <c r="O37" i="8"/>
  <c r="N37" i="8"/>
  <c r="M37" i="8"/>
  <c r="L37" i="8"/>
  <c r="F37" i="8"/>
  <c r="S36" i="8"/>
  <c r="P36" i="8"/>
  <c r="R36" i="8"/>
  <c r="O36" i="8"/>
  <c r="N36" i="8"/>
  <c r="M36" i="8"/>
  <c r="L36" i="8"/>
  <c r="F36" i="8"/>
  <c r="S35" i="8"/>
  <c r="P35" i="8"/>
  <c r="R35" i="8"/>
  <c r="O35" i="8"/>
  <c r="N35" i="8"/>
  <c r="M35" i="8"/>
  <c r="L35" i="8"/>
  <c r="F35" i="8"/>
  <c r="S34" i="8"/>
  <c r="P34" i="8"/>
  <c r="R34" i="8"/>
  <c r="O34" i="8"/>
  <c r="N34" i="8"/>
  <c r="M34" i="8"/>
  <c r="L34" i="8"/>
  <c r="F34" i="8"/>
  <c r="S33" i="8"/>
  <c r="P33" i="8"/>
  <c r="R33" i="8"/>
  <c r="O33" i="8"/>
  <c r="N33" i="8"/>
  <c r="M33" i="8"/>
  <c r="L33" i="8"/>
  <c r="F33" i="8"/>
  <c r="S32" i="8"/>
  <c r="P32" i="8"/>
  <c r="R32" i="8"/>
  <c r="O32" i="8"/>
  <c r="N32" i="8"/>
  <c r="M32" i="8"/>
  <c r="L32" i="8"/>
  <c r="F32" i="8"/>
  <c r="S31" i="8"/>
  <c r="P31" i="8"/>
  <c r="R31" i="8"/>
  <c r="O31" i="8"/>
  <c r="N31" i="8"/>
  <c r="M31" i="8"/>
  <c r="L31" i="8"/>
  <c r="F31" i="8"/>
  <c r="S30" i="8"/>
  <c r="P30" i="8"/>
  <c r="R30" i="8"/>
  <c r="O30" i="8"/>
  <c r="N30" i="8"/>
  <c r="M30" i="8"/>
  <c r="L30" i="8"/>
  <c r="F30" i="8"/>
  <c r="S29" i="8"/>
  <c r="P29" i="8"/>
  <c r="R29" i="8"/>
  <c r="O29" i="8"/>
  <c r="N29" i="8"/>
  <c r="M29" i="8"/>
  <c r="L29" i="8"/>
  <c r="F29" i="8"/>
  <c r="S28" i="8"/>
  <c r="P28" i="8"/>
  <c r="R28" i="8"/>
  <c r="O28" i="8"/>
  <c r="N28" i="8"/>
  <c r="M28" i="8"/>
  <c r="L28" i="8"/>
  <c r="F28" i="8"/>
  <c r="S27" i="8"/>
  <c r="P27" i="8"/>
  <c r="R27" i="8"/>
  <c r="O27" i="8"/>
  <c r="N27" i="8"/>
  <c r="M27" i="8"/>
  <c r="L27" i="8"/>
  <c r="F27" i="8"/>
  <c r="S26" i="8"/>
  <c r="P26" i="8"/>
  <c r="R26" i="8"/>
  <c r="O26" i="8"/>
  <c r="N26" i="8"/>
  <c r="M26" i="8"/>
  <c r="L26" i="8"/>
  <c r="F26" i="8"/>
  <c r="S25" i="8"/>
  <c r="P25" i="8"/>
  <c r="R25" i="8"/>
  <c r="O25" i="8"/>
  <c r="N25" i="8"/>
  <c r="M25" i="8"/>
  <c r="L25" i="8"/>
  <c r="F25" i="8"/>
  <c r="S24" i="8"/>
  <c r="P24" i="8"/>
  <c r="R24" i="8"/>
  <c r="O24" i="8"/>
  <c r="N24" i="8"/>
  <c r="M24" i="8"/>
  <c r="L24" i="8"/>
  <c r="F24" i="8"/>
  <c r="S23" i="8"/>
  <c r="P23" i="8"/>
  <c r="R23" i="8"/>
  <c r="O23" i="8"/>
  <c r="N23" i="8"/>
  <c r="M23" i="8"/>
  <c r="L23" i="8"/>
  <c r="F23" i="8"/>
  <c r="S22" i="8"/>
  <c r="P22" i="8"/>
  <c r="R22" i="8"/>
  <c r="O22" i="8"/>
  <c r="N22" i="8"/>
  <c r="M22" i="8"/>
  <c r="L22" i="8"/>
  <c r="F22" i="8"/>
  <c r="S21" i="8"/>
  <c r="P21" i="8"/>
  <c r="R21" i="8"/>
  <c r="O21" i="8"/>
  <c r="N21" i="8"/>
  <c r="M21" i="8"/>
  <c r="L21" i="8"/>
  <c r="F21" i="8"/>
  <c r="S20" i="8"/>
  <c r="P20" i="8"/>
  <c r="R20" i="8"/>
  <c r="O20" i="8"/>
  <c r="N20" i="8"/>
  <c r="M20" i="8"/>
  <c r="L20" i="8"/>
  <c r="F20" i="8"/>
  <c r="S19" i="8"/>
  <c r="P19" i="8"/>
  <c r="R19" i="8"/>
  <c r="O19" i="8"/>
  <c r="N19" i="8"/>
  <c r="M19" i="8"/>
  <c r="L19" i="8"/>
  <c r="F19" i="8"/>
  <c r="S18" i="8"/>
  <c r="P18" i="8"/>
  <c r="R18" i="8"/>
  <c r="O18" i="8"/>
  <c r="N18" i="8"/>
  <c r="M18" i="8"/>
  <c r="L18" i="8"/>
  <c r="F18" i="8"/>
  <c r="S17" i="8"/>
  <c r="P17" i="8"/>
  <c r="R17" i="8"/>
  <c r="O17" i="8"/>
  <c r="N17" i="8"/>
  <c r="M17" i="8"/>
  <c r="L17" i="8"/>
  <c r="F17" i="8"/>
  <c r="S16" i="8"/>
  <c r="P16" i="8"/>
  <c r="R16" i="8"/>
  <c r="O16" i="8"/>
  <c r="N16" i="8"/>
  <c r="M16" i="8"/>
  <c r="L16" i="8"/>
  <c r="F16" i="8"/>
  <c r="S15" i="8"/>
  <c r="P15" i="8"/>
  <c r="R15" i="8"/>
  <c r="O15" i="8"/>
  <c r="N15" i="8"/>
  <c r="M15" i="8"/>
  <c r="L15" i="8"/>
  <c r="F15" i="8"/>
  <c r="S14" i="8"/>
  <c r="P14" i="8"/>
  <c r="R14" i="8"/>
  <c r="O14" i="8"/>
  <c r="N14" i="8"/>
  <c r="M14" i="8"/>
  <c r="L14" i="8"/>
  <c r="F14" i="8"/>
  <c r="S13" i="8"/>
  <c r="P13" i="8"/>
  <c r="R13" i="8"/>
  <c r="O13" i="8"/>
  <c r="N13" i="8"/>
  <c r="M13" i="8"/>
  <c r="L13" i="8"/>
  <c r="F13" i="8"/>
  <c r="S12" i="8"/>
  <c r="P12" i="8"/>
  <c r="R12" i="8"/>
  <c r="O12" i="8"/>
  <c r="N12" i="8"/>
  <c r="M12" i="8"/>
  <c r="L12" i="8"/>
  <c r="F12" i="8"/>
  <c r="S11" i="8"/>
  <c r="P11" i="8"/>
  <c r="R11" i="8"/>
  <c r="O11" i="8"/>
  <c r="N11" i="8"/>
  <c r="M11" i="8"/>
  <c r="L11" i="8"/>
  <c r="F11" i="8"/>
  <c r="S10" i="8"/>
  <c r="P10" i="8"/>
  <c r="R10" i="8"/>
  <c r="O10" i="8"/>
  <c r="N10" i="8"/>
  <c r="M10" i="8"/>
  <c r="L10" i="8"/>
  <c r="F10" i="8"/>
  <c r="S9" i="8"/>
  <c r="P9" i="8"/>
  <c r="R9" i="8"/>
  <c r="O9" i="8"/>
  <c r="N9" i="8"/>
  <c r="M9" i="8"/>
  <c r="L9" i="8"/>
  <c r="F9" i="8"/>
  <c r="S8" i="8"/>
  <c r="P8" i="8"/>
  <c r="R8" i="8"/>
  <c r="O8" i="8"/>
  <c r="N8" i="8"/>
  <c r="M8" i="8"/>
  <c r="L8" i="8"/>
  <c r="F8" i="8"/>
  <c r="S7" i="8"/>
  <c r="P7" i="8"/>
  <c r="R7" i="8"/>
  <c r="O7" i="8"/>
  <c r="N7" i="8"/>
  <c r="M7" i="8"/>
  <c r="L7" i="8"/>
  <c r="F7" i="8"/>
  <c r="S6" i="8"/>
  <c r="P6" i="8"/>
  <c r="R6" i="8"/>
  <c r="O6" i="8"/>
  <c r="N6" i="8"/>
  <c r="M6" i="8"/>
  <c r="L6" i="8"/>
  <c r="F6" i="8"/>
  <c r="S5" i="8"/>
  <c r="P5" i="8"/>
  <c r="R5" i="8"/>
  <c r="O5" i="8"/>
  <c r="N5" i="8"/>
  <c r="M5" i="8"/>
  <c r="L5" i="8"/>
  <c r="F5" i="8"/>
  <c r="S4" i="8"/>
  <c r="P4" i="8"/>
  <c r="R4" i="8"/>
  <c r="O4" i="8"/>
  <c r="N4" i="8"/>
  <c r="M4" i="8"/>
  <c r="L4" i="8"/>
  <c r="F4" i="8"/>
  <c r="S3" i="8"/>
  <c r="P3" i="8"/>
  <c r="R3" i="8"/>
  <c r="O3" i="8"/>
  <c r="N3" i="8"/>
  <c r="M3" i="8"/>
  <c r="L3" i="8"/>
  <c r="F3" i="8"/>
  <c r="K20" i="6"/>
  <c r="H20" i="6"/>
  <c r="K19" i="6"/>
  <c r="H19" i="6"/>
  <c r="K18" i="6"/>
  <c r="H18" i="6"/>
  <c r="K17" i="6"/>
  <c r="H17" i="6"/>
  <c r="K16" i="6"/>
  <c r="H16" i="6"/>
  <c r="K15" i="6"/>
  <c r="H15" i="6"/>
  <c r="K14" i="6"/>
  <c r="H14" i="6"/>
  <c r="K13" i="6"/>
  <c r="H13" i="6"/>
  <c r="K12" i="6"/>
  <c r="H12" i="6"/>
  <c r="K11" i="6"/>
  <c r="H11" i="6"/>
  <c r="K10" i="6"/>
  <c r="H10" i="6"/>
  <c r="K9" i="6"/>
  <c r="H9" i="6"/>
  <c r="K8" i="6"/>
  <c r="H8" i="6"/>
  <c r="K7" i="6"/>
  <c r="H7" i="6"/>
  <c r="K6" i="6"/>
  <c r="H6" i="6"/>
  <c r="K5" i="6"/>
  <c r="H5" i="6"/>
  <c r="I2" i="6"/>
  <c r="I1" i="6"/>
  <c r="B52" i="5"/>
  <c r="B53" i="5"/>
  <c r="B55" i="5"/>
  <c r="B56" i="5"/>
  <c r="B54" i="5"/>
  <c r="B48" i="5"/>
  <c r="B49" i="5"/>
  <c r="E45" i="5"/>
  <c r="D45" i="5"/>
  <c r="C45" i="5"/>
  <c r="A45" i="5"/>
  <c r="E44" i="5"/>
  <c r="D44" i="5"/>
  <c r="C44" i="5"/>
  <c r="A44" i="5"/>
  <c r="E43" i="5"/>
  <c r="D43" i="5"/>
  <c r="C43" i="5"/>
  <c r="A43" i="5"/>
  <c r="E42" i="5"/>
  <c r="D42" i="5"/>
  <c r="C42" i="5"/>
  <c r="A42" i="5"/>
  <c r="E38" i="5"/>
  <c r="D38" i="5"/>
  <c r="C38" i="5"/>
  <c r="A38" i="5"/>
  <c r="E37" i="5"/>
  <c r="D37" i="5"/>
  <c r="C37" i="5"/>
  <c r="A37" i="5"/>
  <c r="E36" i="5"/>
  <c r="D36" i="5"/>
  <c r="C36" i="5"/>
  <c r="A36" i="5"/>
  <c r="E35" i="5"/>
  <c r="D35" i="5"/>
  <c r="C35" i="5"/>
  <c r="A35" i="5"/>
  <c r="E34" i="5"/>
  <c r="D34" i="5"/>
  <c r="C34" i="5"/>
  <c r="A34" i="5"/>
  <c r="E33" i="5"/>
  <c r="D33" i="5"/>
  <c r="C33" i="5"/>
  <c r="A33" i="5"/>
  <c r="D32" i="5"/>
  <c r="C32" i="5"/>
  <c r="A32" i="5"/>
  <c r="D31" i="5"/>
  <c r="C31" i="5"/>
  <c r="A31" i="5"/>
  <c r="D30" i="5"/>
  <c r="C30" i="5"/>
  <c r="E29" i="5"/>
  <c r="D29" i="5"/>
  <c r="C29" i="5"/>
  <c r="A29" i="5"/>
  <c r="E28" i="5"/>
  <c r="D28" i="5"/>
  <c r="C28" i="5"/>
  <c r="A28" i="5"/>
  <c r="E27" i="5"/>
  <c r="D27" i="5"/>
  <c r="C27" i="5"/>
  <c r="A27" i="5"/>
  <c r="E26" i="5"/>
  <c r="D26" i="5"/>
  <c r="C26" i="5"/>
  <c r="A26" i="5"/>
  <c r="E25" i="5"/>
  <c r="D25" i="5"/>
  <c r="C25" i="5"/>
  <c r="A25" i="5"/>
  <c r="D24" i="5"/>
  <c r="C24" i="5"/>
  <c r="D23" i="5"/>
  <c r="C23" i="5"/>
  <c r="B75" i="4"/>
  <c r="B74" i="4"/>
  <c r="C74" i="4"/>
  <c r="B73" i="4"/>
  <c r="C73" i="4"/>
  <c r="B72" i="4"/>
  <c r="B71" i="4"/>
  <c r="B69" i="4"/>
  <c r="C69" i="4"/>
  <c r="B68" i="4"/>
  <c r="C68" i="4"/>
  <c r="B67" i="4"/>
  <c r="C67" i="4"/>
  <c r="C64" i="4"/>
  <c r="B64" i="4"/>
  <c r="D64" i="4"/>
  <c r="E64" i="4"/>
  <c r="B45" i="4"/>
  <c r="B46" i="4"/>
  <c r="C61" i="4"/>
  <c r="B61" i="4"/>
  <c r="D61" i="4"/>
  <c r="E61" i="4"/>
  <c r="C60" i="4"/>
  <c r="B60" i="4"/>
  <c r="D60" i="4"/>
  <c r="E60" i="4"/>
  <c r="C59" i="4"/>
  <c r="B59" i="4"/>
  <c r="D59" i="4"/>
  <c r="E59" i="4"/>
  <c r="C58" i="4"/>
  <c r="B58" i="4"/>
  <c r="D58" i="4"/>
  <c r="E58" i="4"/>
  <c r="B52" i="4"/>
  <c r="B51" i="4"/>
  <c r="B50" i="4"/>
  <c r="B49" i="4"/>
  <c r="B48" i="4"/>
  <c r="B47" i="4"/>
  <c r="B44" i="4"/>
  <c r="F99" i="1"/>
  <c r="E99" i="1"/>
  <c r="D99" i="1"/>
  <c r="C99" i="1"/>
  <c r="B99" i="1"/>
  <c r="A99" i="1"/>
  <c r="F98" i="1"/>
  <c r="E98" i="1"/>
  <c r="D98" i="1"/>
  <c r="C98" i="1"/>
  <c r="B98" i="1"/>
  <c r="A98" i="1"/>
  <c r="F97" i="1"/>
  <c r="E97" i="1"/>
  <c r="D97" i="1"/>
  <c r="C97" i="1"/>
  <c r="B97" i="1"/>
  <c r="A97" i="1"/>
  <c r="F96" i="1"/>
  <c r="E96" i="1"/>
  <c r="D96" i="1"/>
  <c r="C96" i="1"/>
  <c r="B96" i="1"/>
  <c r="A96" i="1"/>
  <c r="F95" i="1"/>
  <c r="E95" i="1"/>
  <c r="D95" i="1"/>
  <c r="C95" i="1"/>
  <c r="B95" i="1"/>
  <c r="A95" i="1"/>
  <c r="F94" i="1"/>
  <c r="E94" i="1"/>
  <c r="D94" i="1"/>
  <c r="C94" i="1"/>
  <c r="B94" i="1"/>
  <c r="A94" i="1"/>
  <c r="F93" i="1"/>
  <c r="E93" i="1"/>
  <c r="D93" i="1"/>
  <c r="C93" i="1"/>
  <c r="B93" i="1"/>
  <c r="A93" i="1"/>
  <c r="F92" i="1"/>
  <c r="E92" i="1"/>
  <c r="D92" i="1"/>
  <c r="C92" i="1"/>
  <c r="B92" i="1"/>
  <c r="A92" i="1"/>
  <c r="F91" i="1"/>
  <c r="E91" i="1"/>
  <c r="D91" i="1"/>
  <c r="C91" i="1"/>
  <c r="B91" i="1"/>
  <c r="A91" i="1"/>
  <c r="F90" i="1"/>
  <c r="E90" i="1"/>
  <c r="D90" i="1"/>
  <c r="C90" i="1"/>
  <c r="B90" i="1"/>
  <c r="A90" i="1"/>
  <c r="F89" i="1"/>
  <c r="E89" i="1"/>
  <c r="D89" i="1"/>
  <c r="C89" i="1"/>
  <c r="B89" i="1"/>
  <c r="A89" i="1"/>
  <c r="E5" i="1"/>
</calcChain>
</file>

<file path=xl/sharedStrings.xml><?xml version="1.0" encoding="utf-8"?>
<sst xmlns="http://schemas.openxmlformats.org/spreadsheetml/2006/main" count="2580" uniqueCount="1405">
  <si>
    <t>Project</t>
  </si>
  <si>
    <t>Location</t>
  </si>
  <si>
    <t>Scope</t>
  </si>
  <si>
    <t>Base direct estimate excl. GST</t>
  </si>
  <si>
    <t>Linked from Tender Build-Up</t>
  </si>
  <si>
    <t>Issue status</t>
  </si>
  <si>
    <t>Issue date</t>
  </si>
  <si>
    <t>Estimate basis</t>
  </si>
  <si>
    <t>HOW THE WORKBOOK WORKS</t>
  </si>
  <si>
    <t>1</t>
  </si>
  <si>
    <t>Enter/confirm job scope, item codes, quantities and takeoff references in QS Takeoff.</t>
  </si>
  <si>
    <t>2</t>
  </si>
  <si>
    <t>For every active QS Code, allocate labour, plant, materials, cartage/testing or subcontract resources in Resource Build-Up.</t>
  </si>
  <si>
    <t>3</t>
  </si>
  <si>
    <t>Maintain reusable current rates and sources in Resource Rate Library; use Job Rate Override in Resource Build-Up for job-specific quotes/rates.</t>
  </si>
  <si>
    <t>4</t>
  </si>
  <si>
    <t>QS Rate and Amount calculate from Resource Build-Up. Do not enter a separate QS lump-sum rate.</t>
  </si>
  <si>
    <t>5</t>
  </si>
  <si>
    <t>Tender Build-Up pulls section totals from QS Takeoff. Commercial Inputs is the only source for below-the-line contingency/overhead and profit/GST/retention provisions.</t>
  </si>
  <si>
    <t>6</t>
  </si>
  <si>
    <t>Summary pulls the live Tender Build-Up and includes cost-chain integrity checks. All checks must read OK before issue.</t>
  </si>
  <si>
    <t>7</t>
  </si>
  <si>
    <t>Stage Cashflow pulls tender revenue and Summary direct costs. Only stage timing/%/retention selections are inputs.</t>
  </si>
  <si>
    <t>Cover &amp; Instructions</t>
  </si>
  <si>
    <t>Job basis, document register, assumptions/RFIs, risks and release QA</t>
  </si>
  <si>
    <t>Summary</t>
  </si>
  <si>
    <t>Client/management summary plus end-to-end cost-chain integrity</t>
  </si>
  <si>
    <t>QS Takeoff</t>
  </si>
  <si>
    <t>Measured items/quantities; rate and amount are linked outputs from Resource Build-Up</t>
  </si>
  <si>
    <t>Resource Build-Up</t>
  </si>
  <si>
    <t>Direct-cost source of truth by QS Code: methodology, productivity and every allocated resource</t>
  </si>
  <si>
    <t>Resource Rate Library</t>
  </si>
  <si>
    <t>Tender Build-Up</t>
  </si>
  <si>
    <t>QS section totals plus formula-linked commercial build-up</t>
  </si>
  <si>
    <t>Commercial Inputs</t>
  </si>
  <si>
    <t>Stage Cashflow</t>
  </si>
  <si>
    <t>Formula-linked stage revenue, direct cost allocation and cashflow</t>
  </si>
  <si>
    <t>Yellow</t>
  </si>
  <si>
    <t>Intended input cells.</t>
  </si>
  <si>
    <t>Green / linked</t>
  </si>
  <si>
    <t>Formula-controlled outputs. Stop validation blocks ordinary edits and directs the estimator to the upstream source.</t>
  </si>
  <si>
    <t>QA</t>
  </si>
  <si>
    <t>If a linked formula is deliberately removed/bypassed, Summary chain checks expose a mismatch between Resource -&gt; QS -&gt; Tender -&gt; Summary.</t>
  </si>
  <si>
    <t>New-job reset</t>
  </si>
  <si>
    <t>Clear previous-job quantities/resources/sources and populate from the current takeoff. Do not carry project-specific resource rows or quotes into another job.</t>
  </si>
  <si>
    <t>Template rule</t>
  </si>
  <si>
    <t>STREAMLINED LINKED MODEL - WORKBOOK FLOW &amp; JOB CONTROLS</t>
  </si>
  <si>
    <t>Cost chain</t>
  </si>
  <si>
    <t>Resource Rate Library -&gt; Resource Build-Up -&gt; QS Takeoff -&gt; Tender Build-Up -&gt; Summary</t>
  </si>
  <si>
    <t>Commercial chain</t>
  </si>
  <si>
    <t>Commercial Inputs -&gt; Tender Build-Up -&gt; Summary</t>
  </si>
  <si>
    <t>Cashflow chain</t>
  </si>
  <si>
    <t>Tender total -&gt; Stage Cashflow</t>
  </si>
  <si>
    <t>Direct cost rule</t>
  </si>
  <si>
    <t>No direct-cost lump sum is typed into QS, Tender Build-Up or Summary. Every QS item cost must be created in Resource Build-Up using the same QS Code.</t>
  </si>
  <si>
    <t>Input rule</t>
  </si>
  <si>
    <t>Allowances / quotes</t>
  </si>
  <si>
    <t>Allowances, PC sums and specialist quotes still require a Resource Build-Up row (normally Lump Sum / Quote mode) unless they are below-the-line Commercial Inputs.</t>
  </si>
  <si>
    <t>Issue gate</t>
  </si>
  <si>
    <t>Summary cost-chain checks must all read OK before tender issue.</t>
  </si>
  <si>
    <t>DRAWING / DOCUMENT REGISTER</t>
  </si>
  <si>
    <t>Document / Drawing</t>
  </si>
  <si>
    <t>Reference</t>
  </si>
  <si>
    <t>Estimate use</t>
  </si>
  <si>
    <t>ASSUMPTIONS / QUALIFICATIONS / RFIs</t>
  </si>
  <si>
    <t>A1</t>
  </si>
  <si>
    <t>Price is for civil works only. Buildings, architectural fit-out, playground equipment, soft landscaping, architectural fencing and above-ground MEP are excluded.</t>
  </si>
  <si>
    <t>KEY RISKS / WATCHOUTS</t>
  </si>
  <si>
    <t>Risk ID</t>
  </si>
  <si>
    <t>Impact</t>
  </si>
  <si>
    <t>Rating</t>
  </si>
  <si>
    <t>Allowance / Response</t>
  </si>
  <si>
    <t>Owner</t>
  </si>
  <si>
    <t>Status</t>
  </si>
  <si>
    <t>Estimator</t>
  </si>
  <si>
    <t>Open</t>
  </si>
  <si>
    <t>PM / QS</t>
  </si>
  <si>
    <t>Geotech / QS</t>
  </si>
  <si>
    <t>Site team</t>
  </si>
  <si>
    <t>QS</t>
  </si>
  <si>
    <t>Engineer / QS</t>
  </si>
  <si>
    <t>PM</t>
  </si>
  <si>
    <t>Geotech</t>
  </si>
  <si>
    <t>TENDER RELEASE QA</t>
  </si>
  <si>
    <t>Section</t>
  </si>
  <si>
    <t>Required Before Tender?</t>
  </si>
  <si>
    <t>Evidence / Reference</t>
  </si>
  <si>
    <t>Notes</t>
  </si>
  <si>
    <t>Drawing set</t>
  </si>
  <si>
    <t>Source file</t>
  </si>
  <si>
    <t>Prepared</t>
  </si>
  <si>
    <t>Prepared by</t>
  </si>
  <si>
    <t>Scope basis</t>
  </si>
  <si>
    <t>Key Quantities</t>
  </si>
  <si>
    <t>Category</t>
  </si>
  <si>
    <t>Key item</t>
  </si>
  <si>
    <t>Quantity</t>
  </si>
  <si>
    <t>Unit</t>
  </si>
  <si>
    <t>Basis / note</t>
  </si>
  <si>
    <t>Amount</t>
  </si>
  <si>
    <t>1 Preliminaries &amp; General</t>
  </si>
  <si>
    <t>2 Erosion &amp; Sediment Control</t>
  </si>
  <si>
    <t>3 Earthworks</t>
  </si>
  <si>
    <t>4 Stormwater &amp; Detention</t>
  </si>
  <si>
    <t>5 Wastewater &amp; Water</t>
  </si>
  <si>
    <t>6 Pavements &amp; Concrete</t>
  </si>
  <si>
    <t>7 Kerbs, Channels &amp; External Sitework</t>
  </si>
  <si>
    <t>8 Retaining Walls</t>
  </si>
  <si>
    <t>9 Testing, As-Builts &amp; Compliance</t>
  </si>
  <si>
    <t>10 Reinstatement &amp; Handover</t>
  </si>
  <si>
    <t>Total priced amount excl. GST</t>
  </si>
  <si>
    <t>Pricing basis</t>
  </si>
  <si>
    <t>Resource-linked direct cost; specialist quote/PC rows are visible in Resource Build-Up.</t>
  </si>
  <si>
    <t>GST</t>
  </si>
  <si>
    <t>Accuracy</t>
  </si>
  <si>
    <t>Programme basis</t>
  </si>
  <si>
    <t>Tender Completion Build-Up (client-adjustable commercial provisions)</t>
  </si>
  <si>
    <t>Purpose</t>
  </si>
  <si>
    <t>This block reflects Tender Build-Up and current Commercial Inputs selections.</t>
  </si>
  <si>
    <t>Input sheet</t>
  </si>
  <si>
    <t>Use Commercial Inputs to adjust allowances, overhead and profit method, bonds, retention finance and GST.</t>
  </si>
  <si>
    <t>Line</t>
  </si>
  <si>
    <t>QS direct-cost estimate</t>
  </si>
  <si>
    <t>Commercial Inputs CA01-CA16</t>
  </si>
  <si>
    <t>Commercial adjustments</t>
  </si>
  <si>
    <t>Tender total excl. GST</t>
  </si>
  <si>
    <t>GST if selected</t>
  </si>
  <si>
    <t>Optional display</t>
  </si>
  <si>
    <t>Tender total incl. GST if selected</t>
  </si>
  <si>
    <t>Optional tax-inclusive check</t>
  </si>
  <si>
    <t>Net pre-GST payment after retention</t>
  </si>
  <si>
    <t>Retention release after holding period</t>
  </si>
  <si>
    <t>Deposit / advance payment</t>
  </si>
  <si>
    <t>Part of tender total; controlled by CA24</t>
  </si>
  <si>
    <t>Stage cashflow tab</t>
  </si>
  <si>
    <t>Editable stage profile and cumulative cashflow</t>
  </si>
  <si>
    <t>COST CHAIN INTEGRITY</t>
  </si>
  <si>
    <t>Check</t>
  </si>
  <si>
    <t>Upstream</t>
  </si>
  <si>
    <t>Downstream</t>
  </si>
  <si>
    <t>Difference</t>
  </si>
  <si>
    <t>Resource Build-Up -&gt; QS</t>
  </si>
  <si>
    <t>QS -&gt; Tender Build-Up</t>
  </si>
  <si>
    <t>Tender Build-Up -&gt; Summary</t>
  </si>
  <si>
    <t>Commercial Inputs -&gt; Tender Build-Up</t>
  </si>
  <si>
    <t>Formula control</t>
  </si>
  <si>
    <t>Formula/output cells are edit-blocked with Stop validation; yellow cells are intended inputs.</t>
  </si>
  <si>
    <t>Release rule</t>
  </si>
  <si>
    <t>All chain checks must read OK before issue.</t>
  </si>
  <si>
    <t>RATE &amp; PROGRAMME QA RELEASE GATE</t>
  </si>
  <si>
    <t>Count / Amount</t>
  </si>
  <si>
    <t>Action</t>
  </si>
  <si>
    <t>GREEN active resource rows</t>
  </si>
  <si>
    <t>Three checks present</t>
  </si>
  <si>
    <t>AMBER active resource rows</t>
  </si>
  <si>
    <t>Disclose allowance and firm before award</t>
  </si>
  <si>
    <t>RED active resource rows</t>
  </si>
  <si>
    <t>Quote/design evidence required</t>
  </si>
  <si>
    <t>Programme task count</t>
  </si>
  <si>
    <t>CSV matches one task per QS code</t>
  </si>
  <si>
    <t>Overall release</t>
  </si>
  <si>
    <t>Tender issue only while RED items remain</t>
  </si>
  <si>
    <t>Pricing status</t>
  </si>
  <si>
    <t>Optional GST display via Commercial Inputs CA21.</t>
  </si>
  <si>
    <t>Retention</t>
  </si>
  <si>
    <t>Cashflow only by default.</t>
  </si>
  <si>
    <t>No direct-cost values are entered on this sheet. Base costs flow from QS Takeoff; commercial provisions flow from Commercial Inputs.</t>
  </si>
  <si>
    <t>Amount excl. GST</t>
  </si>
  <si>
    <t>Source</t>
  </si>
  <si>
    <t>Treatment</t>
  </si>
  <si>
    <t>Preliminaries &amp; General</t>
  </si>
  <si>
    <t>Priced / provisional</t>
  </si>
  <si>
    <t>Erosion &amp; Sediment Control</t>
  </si>
  <si>
    <t>Earthworks</t>
  </si>
  <si>
    <t>Stormwater &amp; Detention</t>
  </si>
  <si>
    <t>Wastewater &amp; Water</t>
  </si>
  <si>
    <t>Pavements &amp; Concrete</t>
  </si>
  <si>
    <t>Kerbs, Channels &amp; External Sitework</t>
  </si>
  <si>
    <t>Retaining Walls</t>
  </si>
  <si>
    <t>Testing, As-Builts &amp; Compliance</t>
  </si>
  <si>
    <t>Reinstatement &amp; Handover</t>
  </si>
  <si>
    <t>Subtotal</t>
  </si>
  <si>
    <t>Calculated amount excl. GST</t>
  </si>
  <si>
    <t>Input source</t>
  </si>
  <si>
    <t>Include?</t>
  </si>
  <si>
    <t>Basis / Notes</t>
  </si>
  <si>
    <t>Pre-margin additions subtotal</t>
  </si>
  <si>
    <t>Subtotal before commercial adjustments</t>
  </si>
  <si>
    <t>Overhead, profit and other commercial adjustments</t>
  </si>
  <si>
    <t>Commercial adjustments subtotal</t>
  </si>
  <si>
    <t>Commercial Inputs CA21</t>
  </si>
  <si>
    <t>Optional</t>
  </si>
  <si>
    <t>GST applies only when CA21 Include? is Yes.</t>
  </si>
  <si>
    <t>For GST-inclusive check only.</t>
  </si>
  <si>
    <t>Cashflow / contract security visibility only</t>
  </si>
  <si>
    <t>Calculated value</t>
  </si>
  <si>
    <t>Contract retention withholding</t>
  </si>
  <si>
    <t>Commercial Inputs CA22</t>
  </si>
  <si>
    <t>Cashflow only</t>
  </si>
  <si>
    <t>Calculated</t>
  </si>
  <si>
    <t>Tender total excl. GST less current retention withholding.</t>
  </si>
  <si>
    <t>Retention holding period</t>
  </si>
  <si>
    <t>Commercial Inputs CA23</t>
  </si>
  <si>
    <t>Months from practical completion unless contract states otherwise.</t>
  </si>
  <si>
    <t>Retention released after holding period</t>
  </si>
  <si>
    <t>Equals current retention withholding; released after the CA23 holding period.</t>
  </si>
  <si>
    <t>Total pre-GST receipts including retention release</t>
  </si>
  <si>
    <t>Equals tender total excl. GST.</t>
  </si>
  <si>
    <t>Stage payment cashflow</t>
  </si>
  <si>
    <t>COMMERCIAL INPUTS - BELOW-THE-LINE SOURCE OF TRUTH</t>
  </si>
  <si>
    <t>Ref</t>
  </si>
  <si>
    <t>Allowance / adjustment</t>
  </si>
  <si>
    <t>Input method</t>
  </si>
  <si>
    <t>Input %</t>
  </si>
  <si>
    <t>PC Sum excl. GST</t>
  </si>
  <si>
    <t>Pricing stage</t>
  </si>
  <si>
    <t>Calculation / treatment</t>
  </si>
  <si>
    <t>Notes / basis</t>
  </si>
  <si>
    <t>Firm-up action</t>
  </si>
  <si>
    <t>Pricing method / flag shown in QS</t>
  </si>
  <si>
    <t>CA01</t>
  </si>
  <si>
    <t>Pre-margin addition</t>
  </si>
  <si>
    <t>CA02</t>
  </si>
  <si>
    <t>CA03</t>
  </si>
  <si>
    <t>Escalation / tender validity allowance</t>
  </si>
  <si>
    <t>Confirm construction start and validity.</t>
  </si>
  <si>
    <t>CA04</t>
  </si>
  <si>
    <t>Final subcontractor quote gap / market adjustment</t>
  </si>
  <si>
    <t>Reconcile tank, walls and connections.</t>
  </si>
  <si>
    <t>CA05</t>
  </si>
  <si>
    <t>Council / authority consent and inspection fees</t>
  </si>
  <si>
    <t>Confirm fee responsibility.</t>
  </si>
  <si>
    <t>CA06</t>
  </si>
  <si>
    <t>Utility authority fees / relocations</t>
  </si>
  <si>
    <t>Confirm utilities.</t>
  </si>
  <si>
    <t>CA07</t>
  </si>
  <si>
    <t>Temporary works engineering / PS documentation</t>
  </si>
  <si>
    <t>Avoid duplication.</t>
  </si>
  <si>
    <t>CA08</t>
  </si>
  <si>
    <t>Abnormal ground / contamination / rock allowance</t>
  </si>
  <si>
    <t>Review geotech/contamination data.</t>
  </si>
  <si>
    <t>CA09</t>
  </si>
  <si>
    <t>Construction dewatering / groundwater control</t>
  </si>
  <si>
    <t>Confirm methodology/groundwater.</t>
  </si>
  <si>
    <t>CA11</t>
  </si>
  <si>
    <t>No</t>
  </si>
  <si>
    <t>CA12</t>
  </si>
  <si>
    <t>Defects liability / maintenance beyond base</t>
  </si>
  <si>
    <t>Reasonable defects attendance included under RH02.</t>
  </si>
  <si>
    <t>Confirm special maintenance obligations.</t>
  </si>
  <si>
    <t>CA13</t>
  </si>
  <si>
    <t>Stakeholder liaison / access marshals beyond base</t>
  </si>
  <si>
    <t>Basic traffic/pedestrian management included in PG07.</t>
  </si>
  <si>
    <t>Confirm restricted operations.</t>
  </si>
  <si>
    <t>CA14</t>
  </si>
  <si>
    <t>Out-of-hours / restricted access premium</t>
  </si>
  <si>
    <t>Normal weekday access assumed.</t>
  </si>
  <si>
    <t>Confirm work windows.</t>
  </si>
  <si>
    <t>CA15</t>
  </si>
  <si>
    <t>Unforeseen post-tender client scope additions</t>
  </si>
  <si>
    <t>No allowance for later scope changes.</t>
  </si>
  <si>
    <t>Include only if instructed.</t>
  </si>
  <si>
    <t>CA16</t>
  </si>
  <si>
    <t>Final tender rounding / adjudication adjustment</t>
  </si>
  <si>
    <t>No balancing adjustment applied.</t>
  </si>
  <si>
    <t>Use only at approved adjudication.</t>
  </si>
  <si>
    <t>CA17</t>
  </si>
  <si>
    <t>Company overhead recovery</t>
  </si>
  <si>
    <t>Commercial adjustment</t>
  </si>
  <si>
    <t>Markup applied to cost subtotal before profit</t>
  </si>
  <si>
    <t>Jason to enter the verified company overhead recovery rate.</t>
  </si>
  <si>
    <t>% user input provision</t>
  </si>
  <si>
    <t>CA18</t>
  </si>
  <si>
    <t>Contractor profit</t>
  </si>
  <si>
    <t>Selectable true margin or markup after overhead and other commercial costs</t>
  </si>
  <si>
    <t>Confirm the target profit and calculation method at adjudication.</t>
  </si>
  <si>
    <t>CA19</t>
  </si>
  <si>
    <t>Bonds / contract securities allowance</t>
  </si>
  <si>
    <t>Applied if selected</t>
  </si>
  <si>
    <t>Confirm security terms.</t>
  </si>
  <si>
    <t>CA20</t>
  </si>
  <si>
    <t>Retention finance / cashflow cost allowance</t>
  </si>
  <si>
    <t>Confirm retention terms.</t>
  </si>
  <si>
    <t>CA21</t>
  </si>
  <si>
    <t>Tax</t>
  </si>
  <si>
    <t>Applied to tender total if selected</t>
  </si>
  <si>
    <t>Confirm submission format.</t>
  </si>
  <si>
    <t>CA22</t>
  </si>
  <si>
    <t>Visibility only</t>
  </si>
  <si>
    <t>Not added to tender price.</t>
  </si>
  <si>
    <t>Confirm retention cap/terms.</t>
  </si>
  <si>
    <t>User input</t>
  </si>
  <si>
    <t>CA23</t>
  </si>
  <si>
    <t>Times retention release</t>
  </si>
  <si>
    <t>Assumed 12 months.</t>
  </si>
  <si>
    <t>Confirm contract.</t>
  </si>
  <si>
    <t>CA24</t>
  </si>
  <si>
    <t>Part of tender value</t>
  </si>
  <si>
    <t>Used as first cashflow stage.</t>
  </si>
  <si>
    <t>Confirm whether permitted.</t>
  </si>
  <si>
    <t>User selection</t>
  </si>
  <si>
    <t>CA25</t>
  </si>
  <si>
    <t>Retention applies to deposit</t>
  </si>
  <si>
    <t>Yes/No selection</t>
  </si>
  <si>
    <t>Normally No.</t>
  </si>
  <si>
    <t>Leave Include? as No for any provision that is not to be included. Enter Input % or PC Sum depending on the intended basis; PC Sum overrides % where populated.</t>
  </si>
  <si>
    <t>Retentions are included as cashflow/security visibility only. They do not increase the tender price unless CA20 retention finance/cashflow cost is included.</t>
  </si>
  <si>
    <t>The deposit and stage cashflow are portions of the tender total, not additional revenue. Stage percentages must total 100%.</t>
  </si>
  <si>
    <t>Rate and Amount are linked from Resource Build-Up. Change scope/quantity here; change cost resources in Resource Build-Up.</t>
  </si>
  <si>
    <t>Civil Scope / WBS</t>
  </si>
  <si>
    <t>Code</t>
  </si>
  <si>
    <t>Description</t>
  </si>
  <si>
    <t>Rate excl. GST</t>
  </si>
  <si>
    <t>Quantity Basis</t>
  </si>
  <si>
    <t>Source drawing / scope</t>
  </si>
  <si>
    <t>Notes / Assumptions</t>
  </si>
  <si>
    <t>Pricing Method</t>
  </si>
  <si>
    <t>Pricing Basis / Build-up</t>
  </si>
  <si>
    <t>Source Type</t>
  </si>
  <si>
    <t>Source URL(s)</t>
  </si>
  <si>
    <t>Pricing Flag</t>
  </si>
  <si>
    <t>Confidence / Firm-up Action</t>
  </si>
  <si>
    <t>Verification Status</t>
  </si>
  <si>
    <t>Quote / Reference</t>
  </si>
  <si>
    <t>TOTAL MEASURED DIRECT COST</t>
  </si>
  <si>
    <t>Stage</t>
  </si>
  <si>
    <t>Timing / milestone</t>
  </si>
  <si>
    <t>Stage %</t>
  </si>
  <si>
    <t>Retention applies?</t>
  </si>
  <si>
    <t>Opening cash</t>
  </si>
  <si>
    <t>Gross stage revenue excl. GST</t>
  </si>
  <si>
    <t>Retention withheld</t>
  </si>
  <si>
    <t>Net stage revenue excl. GST</t>
  </si>
  <si>
    <t>Net cash movement</t>
  </si>
  <si>
    <t>Closing cash on hand</t>
  </si>
  <si>
    <t>Cumulative net revenue</t>
  </si>
  <si>
    <t>Cumulative retention held</t>
  </si>
  <si>
    <t>Net stage receipt incl. GST</t>
  </si>
  <si>
    <t>Deposit / advance</t>
  </si>
  <si>
    <t>On contract award</t>
  </si>
  <si>
    <t>Mobilisation, preliminaries and ESC</t>
  </si>
  <si>
    <t>Earthworks and imported fill</t>
  </si>
  <si>
    <t>Stormwater, detention, sewer and water</t>
  </si>
  <si>
    <t>Pavements, kerbs and sitework</t>
  </si>
  <si>
    <t>Retaining walls and interfaces</t>
  </si>
  <si>
    <t>Testing, completion and handover</t>
  </si>
  <si>
    <t>Retention release</t>
  </si>
  <si>
    <t>Cashflow checks</t>
  </si>
  <si>
    <t>Stage percentages total</t>
  </si>
  <si>
    <t>Gross stage revenue equals tender excl. GST</t>
  </si>
  <si>
    <t>Net receipts plus retention release equal tender</t>
  </si>
  <si>
    <t>Lowest closing cash before retention release</t>
  </si>
  <si>
    <t>Jason: enter verified actual company/supplier rates with source, date, region, GST basis, inclusions and exclusions. Mark replaced rates superseded/inactive rather than deleting them.</t>
  </si>
  <si>
    <t>Resource Code</t>
  </si>
  <si>
    <t>Resource Category</t>
  </si>
  <si>
    <t>Resource Description</t>
  </si>
  <si>
    <t>Default Cost Type</t>
  </si>
  <si>
    <t>Procurement Mode</t>
  </si>
  <si>
    <t>Operator Included?</t>
  </si>
  <si>
    <t>Fuel Included?</t>
  </si>
  <si>
    <t>Base Rate excl. GST</t>
  </si>
  <si>
    <t>Region / Market</t>
  </si>
  <si>
    <t>Effective Date</t>
  </si>
  <si>
    <t>Supplier / Source</t>
  </si>
  <si>
    <t>Source URL / Quote Ref</t>
  </si>
  <si>
    <t>Minimum / Mobilisation</t>
  </si>
  <si>
    <t>Rate Inclusions</t>
  </si>
  <si>
    <t>Rate Exclusions</t>
  </si>
  <si>
    <t>Confidence</t>
  </si>
  <si>
    <t>LAB-FOREMAN</t>
  </si>
  <si>
    <t>Labour</t>
  </si>
  <si>
    <t>Civil foreman / working foreman</t>
  </si>
  <si>
    <t>hr</t>
  </si>
  <si>
    <t>Internal / agency</t>
  </si>
  <si>
    <t>N/A</t>
  </si>
  <si>
    <t>Auckland / NZ</t>
  </si>
  <si>
    <t>13-Aug-2026</t>
  </si>
  <si>
    <t>Template market benchmark</t>
  </si>
  <si>
    <t>SEEK / statutory on-cost basis</t>
  </si>
  <si>
    <t>https://nz.seek.com/civil-drainage-jobs/in-All-Auckland | https://nz.seek.com/drainage-foreman-jobs/in-All-Auckland/full-time</t>
  </si>
  <si>
    <t>Direct employment allowance</t>
  </si>
  <si>
    <t>Margin, vehicle, overtime</t>
  </si>
  <si>
    <t>Medium</t>
  </si>
  <si>
    <t>AMBER - market/on-cost benchmark; company payroll required</t>
  </si>
  <si>
    <t>Firm to company payroll before award</t>
  </si>
  <si>
    <t>LAB-SUPERVISOR</t>
  </si>
  <si>
    <t>Site supervisor / project manager</t>
  </si>
  <si>
    <t>LAB-OPERATOR</t>
  </si>
  <si>
    <t>Plant operator</t>
  </si>
  <si>
    <t>Auckland civil market</t>
  </si>
  <si>
    <t>Plant and overtime</t>
  </si>
  <si>
    <t>LAB-DRAINLAYER</t>
  </si>
  <si>
    <t>Registered drainlayer / pipe layer</t>
  </si>
  <si>
    <t>Vehicle and overtime</t>
  </si>
  <si>
    <t>LAB-LABOURER</t>
  </si>
  <si>
    <t>Civil labourer</t>
  </si>
  <si>
    <t>Overtime</t>
  </si>
  <si>
    <t>LAB-CONCRETE</t>
  </si>
  <si>
    <t>Concrete placer / finisher</t>
  </si>
  <si>
    <t>Specialist pump</t>
  </si>
  <si>
    <t>PL-EXC-1.7</t>
  </si>
  <si>
    <t>Plant</t>
  </si>
  <si>
    <t>1.7 t excavator wet hire</t>
  </si>
  <si>
    <t>Wet hire</t>
  </si>
  <si>
    <t>Yes</t>
  </si>
  <si>
    <t>Auckland</t>
  </si>
  <si>
    <t>Published supplier wet-hire rate</t>
  </si>
  <si>
    <t>ASAP Machine Hire; NZ Machine Hire cross-check</t>
  </si>
  <si>
    <t>https://www.asapmachinehire.co.nz/price-list | https://www.nzmachinehire.co.nz/_files/ugd/d7f8c7_1379402df1a242f88fef70fc3ce1475c.pdf</t>
  </si>
  <si>
    <t>Delivery by quote</t>
  </si>
  <si>
    <t>Machine, operator, fuel and normal buckets</t>
  </si>
  <si>
    <t>Delivery, overtime and specialist attachments</t>
  </si>
  <si>
    <t>High</t>
  </si>
  <si>
    <t>GREEN - 3-point checked</t>
  </si>
  <si>
    <t>Wet rate. Do not add a separate operator or fuel line.</t>
  </si>
  <si>
    <t>PL-EXC-5</t>
  </si>
  <si>
    <t>5.5 t excavator wet hire</t>
  </si>
  <si>
    <t>Wet rate. Separate excavator-operator lines set to zero.</t>
  </si>
  <si>
    <t>PL-EXC-13</t>
  </si>
  <si>
    <t>14 t excavator wet hire</t>
  </si>
  <si>
    <t>Published current wet rate. Separate excavator-operator lines set to zero.</t>
  </si>
  <si>
    <t>PL-ROLLER</t>
  </si>
  <si>
    <t>7-9 t roller wet-hire equivalent</t>
  </si>
  <si>
    <t>Wet-hire equivalent</t>
  </si>
  <si>
    <t>Two-supplier dry-rate build-up</t>
  </si>
  <si>
    <t>NZ Machine Hire; Hire Smart</t>
  </si>
  <si>
    <t>https://www.nzmachinehire.co.nz/all-rollers | https://www.hiresmart.co.nz/for-hire/rollers/</t>
  </si>
  <si>
    <t>Transport by quote</t>
  </si>
  <si>
    <t>Dry hire, operator, normal fuel and insurance allowance</t>
  </si>
  <si>
    <t>Transport, overtime and specialist attachments</t>
  </si>
  <si>
    <t>AMBER - 3-point benchmark; quote required</t>
  </si>
  <si>
    <t>Built from two published dry rates plus operator/fuel allowance; obtain a project quote.</t>
  </si>
  <si>
    <t>PL-LOADER</t>
  </si>
  <si>
    <t>Loader / skid-steer dry hire</t>
  </si>
  <si>
    <t>Dry hire</t>
  </si>
  <si>
    <t>Estimator benchmark</t>
  </si>
  <si>
    <t>Plant-hire market</t>
  </si>
  <si>
    <t>Allowance - obtain hire quote</t>
  </si>
  <si>
    <t>Machine only</t>
  </si>
  <si>
    <t>Operator, fuel, mobilisation</t>
  </si>
  <si>
    <t>AMBER - benchmark/allowance only</t>
  </si>
  <si>
    <t>MAT-IMPFILL</t>
  </si>
  <si>
    <t>Material</t>
  </si>
  <si>
    <t>AP65-equivalent approved engineered fill delivered</t>
  </si>
  <si>
    <t>m3</t>
  </si>
  <si>
    <t>Merchant supply</t>
  </si>
  <si>
    <t>Tender allowance</t>
  </si>
  <si>
    <t>Aggregate supplier</t>
  </si>
  <si>
    <t>https://www.urbanquarry.co.nz/pricelist-2-2 | https://www.aggregate2u.co.nz/aggregates-delivery-south-auckland</t>
  </si>
  <si>
    <t>Delivered clean approved fill</t>
  </si>
  <si>
    <t>Testing and placement</t>
  </si>
  <si>
    <t>Low</t>
  </si>
  <si>
    <t>AMBER - two market checks; specification/delivery quote required</t>
  </si>
  <si>
    <t>Product specification and delivered rate still require supplier confirmation.</t>
  </si>
  <si>
    <t>MAT-AP65</t>
  </si>
  <si>
    <t>AP65 subbase aggregate</t>
  </si>
  <si>
    <t>t</t>
  </si>
  <si>
    <t>Auckland quarry market</t>
  </si>
  <si>
    <t>Ex-quarry / base material allowance</t>
  </si>
  <si>
    <t>Haul and placement</t>
  </si>
  <si>
    <t>Published GAP/AP benchmark; confirm specified grading and haul.</t>
  </si>
  <si>
    <t>MAT-AP40</t>
  </si>
  <si>
    <t>AP40 / GAP40 basecourse aggregate</t>
  </si>
  <si>
    <t>MAT-DRAINAGG</t>
  </si>
  <si>
    <t>Drainage aggregate</t>
  </si>
  <si>
    <t>https://www.aggregate2u.co.nz/aggregates-delivery-south-auckland | https://www.urbanquarry.co.nz/pricelist-2-2</t>
  </si>
  <si>
    <t>Aggregate</t>
  </si>
  <si>
    <t>Drainage aggregate benchmark; confirm delivered project quote.</t>
  </si>
  <si>
    <t>MAT-GEOTEXTILE</t>
  </si>
  <si>
    <t>Bidim A19 or approved geotextile</t>
  </si>
  <si>
    <t>m2</t>
  </si>
  <si>
    <t>Civil merchant</t>
  </si>
  <si>
    <t>Template baseline dated 13-Aug-2026</t>
  </si>
  <si>
    <t>Material only</t>
  </si>
  <si>
    <t>Installation</t>
  </si>
  <si>
    <t>MAT-CONC25</t>
  </si>
  <si>
    <t>25 MPa ready-mix concrete</t>
  </si>
  <si>
    <t>Delivered supply</t>
  </si>
  <si>
    <t>Ready-mix market</t>
  </si>
  <si>
    <t>Delivered concrete allowance</t>
  </si>
  <si>
    <t>Pump, testing, placing</t>
  </si>
  <si>
    <t>MAT-MESH</t>
  </si>
  <si>
    <t>SE62 / 662 mesh allowance</t>
  </si>
  <si>
    <t>Steel merchant</t>
  </si>
  <si>
    <t>Mesh material</t>
  </si>
  <si>
    <t>Chairs, laps above waste factor</t>
  </si>
  <si>
    <t>MAT-PIPE150</t>
  </si>
  <si>
    <t>150 mm uPVC RRJ drainage pipe</t>
  </si>
  <si>
    <t>lm</t>
  </si>
  <si>
    <t>Quote required</t>
  </si>
  <si>
    <t>Pipe and standard joints</t>
  </si>
  <si>
    <t>Fittings, bedding, install</t>
  </si>
  <si>
    <t>MAT-PIPE225</t>
  </si>
  <si>
    <t>225 mm uPVC RRJ stormwater pipe</t>
  </si>
  <si>
    <t>MAT-SUB110</t>
  </si>
  <si>
    <t>110 mm perforated subsoil pipe with sock</t>
  </si>
  <si>
    <t>Pipe and sock</t>
  </si>
  <si>
    <t>Aggregate and install</t>
  </si>
  <si>
    <t>MAT-WATER50</t>
  </si>
  <si>
    <t>50 mm PE watermain and fittings allowance</t>
  </si>
  <si>
    <t>PE pipe and normal fittings</t>
  </si>
  <si>
    <t>Connection, meter, testing</t>
  </si>
  <si>
    <t>MAT-SWMH</t>
  </si>
  <si>
    <t>Precast stormwater manhole set</t>
  </si>
  <si>
    <t>ea</t>
  </si>
  <si>
    <t>Precast supplier</t>
  </si>
  <si>
    <t>Chamber/riser/lid allowance</t>
  </si>
  <si>
    <t>Excavation, concrete, install</t>
  </si>
  <si>
    <t>MAT-SSMH</t>
  </si>
  <si>
    <t>Precast sewer manhole set</t>
  </si>
  <si>
    <t>Excavation, testing, install</t>
  </si>
  <si>
    <t>MAT-IC600</t>
  </si>
  <si>
    <t>600 mm inspection chamber set</t>
  </si>
  <si>
    <t>Chamber and lid</t>
  </si>
  <si>
    <t>Excavation and install</t>
  </si>
  <si>
    <t>MAT-CP</t>
  </si>
  <si>
    <t>Standard catchpit set</t>
  </si>
  <si>
    <t>Chamber, lid and grate</t>
  </si>
  <si>
    <t>MAT-DCP</t>
  </si>
  <si>
    <t>Double side-entry cesspit set</t>
  </si>
  <si>
    <t>Chamber, lid and grates</t>
  </si>
  <si>
    <t>SUB-ASPHALT30</t>
  </si>
  <si>
    <t>Subcontract</t>
  </si>
  <si>
    <t>30 mm asphalt surfacing incl prime/seal</t>
  </si>
  <si>
    <t>Specialist subcontract</t>
  </si>
  <si>
    <t>Budget allowance</t>
  </si>
  <si>
    <t>Asphalt subcontractor</t>
  </si>
  <si>
    <t>30 mm asphalt surfacing allowance</t>
  </si>
  <si>
    <t>Basecourse and testing</t>
  </si>
  <si>
    <t>RED - quote or job-specific evidence required</t>
  </si>
  <si>
    <t>SUB-KERB-T3</t>
  </si>
  <si>
    <t>Type 3 kerb and channel installed</t>
  </si>
  <si>
    <t>Kerb contractor</t>
  </si>
  <si>
    <t>Form/place/finish concrete kerb/channel</t>
  </si>
  <si>
    <t>Excavation and major base repair</t>
  </si>
  <si>
    <t>SUB-KERB-T7</t>
  </si>
  <si>
    <t>Type 7 kerb installed</t>
  </si>
  <si>
    <t>Form/place/finish kerb</t>
  </si>
  <si>
    <t>SUB-ACO-K100</t>
  </si>
  <si>
    <t>ACO K100S channel drain installed</t>
  </si>
  <si>
    <t>ACO / drainage installer</t>
  </si>
  <si>
    <t>Channel, grates and concrete surround allowance</t>
  </si>
  <si>
    <t>Outlet structures and design changes</t>
  </si>
  <si>
    <t>SUB-SPECIALIST</t>
  </si>
  <si>
    <t>Project-specific specialist package</t>
  </si>
  <si>
    <t>LS</t>
  </si>
  <si>
    <t>Project-specific</t>
  </si>
  <si>
    <t>Job override required</t>
  </si>
  <si>
    <t>Relevant specialist</t>
  </si>
  <si>
    <t>Quote / PC allowance shown in Resource Build-Up</t>
  </si>
  <si>
    <t>Only scope stated on build-up row</t>
  </si>
  <si>
    <t>Unstated scope</t>
  </si>
  <si>
    <t>Base $1 forces explicit job-rate override</t>
  </si>
  <si>
    <t>OTH-GENERAL</t>
  </si>
  <si>
    <t>Other</t>
  </si>
  <si>
    <t>Project-specific transparent allowance</t>
  </si>
  <si>
    <t>Job-specific</t>
  </si>
  <si>
    <t>Estimator allowance</t>
  </si>
  <si>
    <t>Basis shown in Resource Build-Up</t>
  </si>
  <si>
    <t>OTH-DISPOSAL</t>
  </si>
  <si>
    <t>Clean spoil disposal / tipping fee</t>
  </si>
  <si>
    <t>Commercial tip</t>
  </si>
  <si>
    <t>Auckland disposal market</t>
  </si>
  <si>
    <t>Clean spoil tipping</t>
  </si>
  <si>
    <t>Haul and contaminated material</t>
  </si>
  <si>
    <t>Ordinary civil plant stays Plant whether owned or hired. Specialist delivered capability such as mobile cranes is normally Subcontract. Wet hire must record operator/fuel inclusions to stop double counting.</t>
  </si>
  <si>
    <t>Build-Up Row ID</t>
  </si>
  <si>
    <t>QS Code</t>
  </si>
  <si>
    <t>WBS / Section</t>
  </si>
  <si>
    <t>Task Description</t>
  </si>
  <si>
    <t>QS Qty</t>
  </si>
  <si>
    <t>QS Unit</t>
  </si>
  <si>
    <t>Estimate Class</t>
  </si>
  <si>
    <t>Methodology / Work Step</t>
  </si>
  <si>
    <t>Productivity Rate</t>
  </si>
  <si>
    <t>Productivity Unit</t>
  </si>
  <si>
    <t>Calc Duration hrs</t>
  </si>
  <si>
    <t>Duration Override hrs</t>
  </si>
  <si>
    <t>Applied Duration hrs</t>
  </si>
  <si>
    <t>Calculation Mode</t>
  </si>
  <si>
    <t>Resource Type</t>
  </si>
  <si>
    <t>Resource Count / Factor</t>
  </si>
  <si>
    <t>Manual Resource Qty</t>
  </si>
  <si>
    <t>Resource Unit</t>
  </si>
  <si>
    <t>Utilisation %</t>
  </si>
  <si>
    <t>Waste %</t>
  </si>
  <si>
    <t>Library Rate</t>
  </si>
  <si>
    <t>Job Rate Override</t>
  </si>
  <si>
    <t>Applied Rate</t>
  </si>
  <si>
    <t>Extended Cost</t>
  </si>
  <si>
    <t>Library Source</t>
  </si>
  <si>
    <t>Job Quote / Source Ref</t>
  </si>
  <si>
    <t>Source Date</t>
  </si>
  <si>
    <t>Assumption / RFI</t>
  </si>
  <si>
    <t>Verified?</t>
  </si>
  <si>
    <t>QA / Double-Count Check</t>
  </si>
  <si>
    <t>GREEN requires: (1) current primary evidence, (2) an independent market check, and (3) a first-principles quantity/scope/arithmetic check. An allowance may remain AMBER; unsupported quote/design items are RED.</t>
  </si>
  <si>
    <t>Active rows</t>
  </si>
  <si>
    <t>Cost exposure excl. GST</t>
  </si>
  <si>
    <t>GREEN</t>
  </si>
  <si>
    <t>RED</t>
  </si>
  <si>
    <t>AMBER</t>
  </si>
  <si>
    <t>Release gate</t>
  </si>
  <si>
    <t>Tender issue only</t>
  </si>
  <si>
    <t>RED items must be disclosed and replaced before award</t>
  </si>
  <si>
    <t>Audit ID</t>
  </si>
  <si>
    <t>Build-Up Row</t>
  </si>
  <si>
    <t>Task / Method</t>
  </si>
  <si>
    <t>Resource</t>
  </si>
  <si>
    <t>Evidence 1 - primary/current</t>
  </si>
  <si>
    <t>Result 1</t>
  </si>
  <si>
    <t>Evidence 2 - independent check</t>
  </si>
  <si>
    <t>Result 2</t>
  </si>
  <si>
    <t>Evidence 3 - build-up/scope</t>
  </si>
  <si>
    <t>Result 3</t>
  </si>
  <si>
    <t>Score</t>
  </si>
  <si>
    <t>Release Status</t>
  </si>
  <si>
    <t>Required Action</t>
  </si>
  <si>
    <t>Scope / Assumption</t>
  </si>
  <si>
    <t>RV-001</t>
  </si>
  <si>
    <t>RV-002</t>
  </si>
  <si>
    <t>RV-003</t>
  </si>
  <si>
    <t>RV-004</t>
  </si>
  <si>
    <t>RV-005</t>
  </si>
  <si>
    <t>RV-006</t>
  </si>
  <si>
    <t>RV-007</t>
  </si>
  <si>
    <t>RV-008</t>
  </si>
  <si>
    <t>RV-009</t>
  </si>
  <si>
    <t>RV-010</t>
  </si>
  <si>
    <t>RV-011</t>
  </si>
  <si>
    <t>RV-012</t>
  </si>
  <si>
    <t>RV-013</t>
  </si>
  <si>
    <t>RV-014</t>
  </si>
  <si>
    <t>RV-015</t>
  </si>
  <si>
    <t>RV-016</t>
  </si>
  <si>
    <t>RV-017</t>
  </si>
  <si>
    <t>RV-018</t>
  </si>
  <si>
    <t>RV-019</t>
  </si>
  <si>
    <t>RV-020</t>
  </si>
  <si>
    <t>RV-021</t>
  </si>
  <si>
    <t>RV-022</t>
  </si>
  <si>
    <t>RV-023</t>
  </si>
  <si>
    <t>RV-024</t>
  </si>
  <si>
    <t>RV-025</t>
  </si>
  <si>
    <t>RV-026</t>
  </si>
  <si>
    <t>RV-027</t>
  </si>
  <si>
    <t>RV-028</t>
  </si>
  <si>
    <t>RV-029</t>
  </si>
  <si>
    <t>RV-030</t>
  </si>
  <si>
    <t>RV-031</t>
  </si>
  <si>
    <t>RV-032</t>
  </si>
  <si>
    <t>RV-033</t>
  </si>
  <si>
    <t>RV-034</t>
  </si>
  <si>
    <t>RV-035</t>
  </si>
  <si>
    <t>RV-036</t>
  </si>
  <si>
    <t>RV-037</t>
  </si>
  <si>
    <t>RV-038</t>
  </si>
  <si>
    <t>RV-039</t>
  </si>
  <si>
    <t>RV-040</t>
  </si>
  <si>
    <t>RV-041</t>
  </si>
  <si>
    <t>RV-042</t>
  </si>
  <si>
    <t>RV-043</t>
  </si>
  <si>
    <t>RV-044</t>
  </si>
  <si>
    <t>RV-045</t>
  </si>
  <si>
    <t>RV-046</t>
  </si>
  <si>
    <t>RV-047</t>
  </si>
  <si>
    <t>RV-048</t>
  </si>
  <si>
    <t>RV-049</t>
  </si>
  <si>
    <t>RV-050</t>
  </si>
  <si>
    <t>RV-051</t>
  </si>
  <si>
    <t>RV-052</t>
  </si>
  <si>
    <t>RV-053</t>
  </si>
  <si>
    <t>RV-054</t>
  </si>
  <si>
    <t>RV-055</t>
  </si>
  <si>
    <t>RV-056</t>
  </si>
  <si>
    <t>RV-057</t>
  </si>
  <si>
    <t>RV-058</t>
  </si>
  <si>
    <t>RV-059</t>
  </si>
  <si>
    <t>RV-060</t>
  </si>
  <si>
    <t>RV-061</t>
  </si>
  <si>
    <t>RV-062</t>
  </si>
  <si>
    <t>RV-063</t>
  </si>
  <si>
    <t>RV-064</t>
  </si>
  <si>
    <t>RV-065</t>
  </si>
  <si>
    <t>RV-066</t>
  </si>
  <si>
    <t>RV-067</t>
  </si>
  <si>
    <t>RV-068</t>
  </si>
  <si>
    <t>RV-069</t>
  </si>
  <si>
    <t>RV-070</t>
  </si>
  <si>
    <t>RV-071</t>
  </si>
  <si>
    <t>RV-072</t>
  </si>
  <si>
    <t>RV-073</t>
  </si>
  <si>
    <t>RV-074</t>
  </si>
  <si>
    <t>RV-075</t>
  </si>
  <si>
    <t>RV-076</t>
  </si>
  <si>
    <t>RV-077</t>
  </si>
  <si>
    <t>RV-078</t>
  </si>
  <si>
    <t>RV-079</t>
  </si>
  <si>
    <t>RV-080</t>
  </si>
  <si>
    <t>RV-081</t>
  </si>
  <si>
    <t>RV-082</t>
  </si>
  <si>
    <t>RV-083</t>
  </si>
  <si>
    <t>RV-084</t>
  </si>
  <si>
    <t>RV-085</t>
  </si>
  <si>
    <t>RV-086</t>
  </si>
  <si>
    <t>RV-087</t>
  </si>
  <si>
    <t>RV-088</t>
  </si>
  <si>
    <t>RV-089</t>
  </si>
  <si>
    <t>RV-090</t>
  </si>
  <si>
    <t>RV-091</t>
  </si>
  <si>
    <t>RV-092</t>
  </si>
  <si>
    <t>RV-093</t>
  </si>
  <si>
    <t>RV-094</t>
  </si>
  <si>
    <t>RV-095</t>
  </si>
  <si>
    <t>RV-096</t>
  </si>
  <si>
    <t>RV-097</t>
  </si>
  <si>
    <t>RV-098</t>
  </si>
  <si>
    <t>RV-099</t>
  </si>
  <si>
    <t>RV-100</t>
  </si>
  <si>
    <t>RV-101</t>
  </si>
  <si>
    <t>RV-102</t>
  </si>
  <si>
    <t>RV-103</t>
  </si>
  <si>
    <t>RV-104</t>
  </si>
  <si>
    <t>RV-105</t>
  </si>
  <si>
    <t>RV-106</t>
  </si>
  <si>
    <t>RV-107</t>
  </si>
  <si>
    <t>RV-108</t>
  </si>
  <si>
    <t>RV-109</t>
  </si>
  <si>
    <t>RV-110</t>
  </si>
  <si>
    <t>RV-111</t>
  </si>
  <si>
    <t>RV-112</t>
  </si>
  <si>
    <t>RV-113</t>
  </si>
  <si>
    <t>RV-114</t>
  </si>
  <si>
    <t>RV-115</t>
  </si>
  <si>
    <t>RV-116</t>
  </si>
  <si>
    <t>RV-117</t>
  </si>
  <si>
    <t>RV-118</t>
  </si>
  <si>
    <t>RV-119</t>
  </si>
  <si>
    <t>RV-120</t>
  </si>
  <si>
    <t>RV-121</t>
  </si>
  <si>
    <t>RV-122</t>
  </si>
  <si>
    <t>RV-123</t>
  </si>
  <si>
    <t>RV-124</t>
  </si>
  <si>
    <t>RV-125</t>
  </si>
  <si>
    <t>RV-126</t>
  </si>
  <si>
    <t>RV-127</t>
  </si>
  <si>
    <t>RV-128</t>
  </si>
  <si>
    <t>RV-129</t>
  </si>
  <si>
    <t>Microsoft import guidance: https://support.microsoft.com/en-us/project/export-or-import-data-to-another-file-format</t>
  </si>
  <si>
    <t>Import ID</t>
  </si>
  <si>
    <t>QS Row</t>
  </si>
  <si>
    <t>Task Name</t>
  </si>
  <si>
    <t>QS Fixed Cost</t>
  </si>
  <si>
    <t>Resource Cost Check</t>
  </si>
  <si>
    <t>Max Resource Duration hrs</t>
  </si>
  <si>
    <t>Derived Duration days</t>
  </si>
  <si>
    <t>Programme Override days</t>
  </si>
  <si>
    <t>Export Duration days</t>
  </si>
  <si>
    <t>Duration</t>
  </si>
  <si>
    <t>Duration Basis</t>
  </si>
  <si>
    <t>Predecessor QS Codes</t>
  </si>
  <si>
    <t>Predecessors</t>
  </si>
  <si>
    <t>Resource Summary</t>
  </si>
  <si>
    <t>Rate QA Status</t>
  </si>
  <si>
    <t>QS / Resource Difference</t>
  </si>
  <si>
    <t>Cost Check</t>
  </si>
  <si>
    <t>Task Mode</t>
  </si>
  <si>
    <t>Cost Accrual</t>
  </si>
  <si>
    <t>MASTER ESTIMATE WORKBOOK - LINKED FIRST-PRINCIPLES MODEL - REV3 RISK TRUTH</t>
  </si>
  <si>
    <t>Permanent estimating template. Direct costs originate in Resource Build-Up and flow through QS Takeoff, Tender Build-Up, Summary and Cashflow. Risk Truth controls residual risk treatment and prevents duplicate risk cost paths.</t>
  </si>
  <si>
    <t>MASTER TEMPLATE - populate the current job intake, documents, scope and evidence before pricing.</t>
  </si>
  <si>
    <t>17-Aug-2026</t>
  </si>
  <si>
    <t>Estimate basis must be rebuilt from the current project's drawings, specifications, takeoff, quotes, resource rates, programme and approved backend tools. Do not carry project-specific quantities, assumptions, RFIs or quotations from another job.</t>
  </si>
  <si>
    <t>8</t>
  </si>
  <si>
    <t>Weather Risk links live weather-exposed labour/plant, programme duration and time-related cost drivers to the approved Weather Tool run, then feeds CA10. Rerun the tool when its input gate changes.</t>
  </si>
  <si>
    <t>CORE WORKING TABS - LINKED COST, PROGRAMME, WEATHER AND RISK CONTROLS</t>
  </si>
  <si>
    <t>Reusable company resource master. Retain all resources across jobs; update verified rates/sources centrally. Heavy-access, crane, rigging, cartage and testing resources are reusable library codes; job-specific rates remain job overrides.</t>
  </si>
  <si>
    <t>Below-the-line commercial/risk/overhead/profit/GST/retention controls. CA01/CA02 can select Risk Engine / PC Sum / %; CA10 can select Weather Engine / PC Sum / %. Include? is the on/off switch and engine outputs remain live for audit.</t>
  </si>
  <si>
    <t>Weather Risk</t>
  </si>
  <si>
    <t>Approved weather-tool integration, exposed-resource audit, programme/calendar effects, weather cost buckets and rerun gate</t>
  </si>
  <si>
    <t>Risk Truth</t>
  </si>
  <si>
    <t>Risk-control and reconciliation module: tender baseline, residual exposure, duplication controls, integration target and release gate</t>
  </si>
  <si>
    <t>Every direct cost must have a QS Code and resource origin. Every commercial allowance must have a selected method, stated basis and Include? status. Engine outputs remain separate from manual PC/% overrides so the evidence trail is never destroyed.</t>
  </si>
  <si>
    <t>Yellow cells are intended inputs. Green/grey linked cells are formula outputs. Method selectors choose the pricing source; Include? controls whether that source enters the tender.</t>
  </si>
  <si>
    <t>Risk-control and reconciliation module. Tracks baseline vs residual exposure, prevents duplicate cost paths and routes risk once to QS, CA01/CA02 or specialist engines.</t>
  </si>
  <si>
    <t>Plans / drawings</t>
  </si>
  <si>
    <t>Geometry, quantities, interfaces and construction details</t>
  </si>
  <si>
    <t>Specifications</t>
  </si>
  <si>
    <t>Materials, workmanship, testing, tolerances and scope requirements</t>
  </si>
  <si>
    <t>Geotechnical / ground information</t>
  </si>
  <si>
    <t>Ground conditions, earthworks, foundations, groundwater and remediation basis</t>
  </si>
  <si>
    <t>Survey / CAD / models</t>
  </si>
  <si>
    <t>Measured quantities, levels, earthworks balance and setout basis</t>
  </si>
  <si>
    <t>Tender / contract / scope documents</t>
  </si>
  <si>
    <t>Work-package boundaries, commercial requirements and pricing schedule</t>
  </si>
  <si>
    <t>Supplier / subcontract quotations</t>
  </si>
  <si>
    <t>Project-specific pricing, inclusions, exclusions and validity</t>
  </si>
  <si>
    <t>Other consultants / approvals</t>
  </si>
  <si>
    <t>Project-specific evidence affecting quantity, method, cost or programme</t>
  </si>
  <si>
    <t>Correspondence / addenda / clarifications</t>
  </si>
  <si>
    <t>Instructions and changes affecting the tender basis</t>
  </si>
  <si>
    <t>Assume [enter project-specific access / working-hours basis].</t>
  </si>
  <si>
    <t>A2</t>
  </si>
  <si>
    <t>Assume [enter project-specific cartage / disposal / haul basis].</t>
  </si>
  <si>
    <t>A3</t>
  </si>
  <si>
    <t>Assume [enter project-specific ground / groundwater baseline].</t>
  </si>
  <si>
    <t>A4</t>
  </si>
  <si>
    <t>Assume [enter project-specific temporary works responsibility].</t>
  </si>
  <si>
    <t>A5</t>
  </si>
  <si>
    <t>Assume [enter project-specific testing / inspection basis].</t>
  </si>
  <si>
    <t>A6</t>
  </si>
  <si>
    <t>Assume [enter project-specific programme / work-front basis].</t>
  </si>
  <si>
    <t>A7</t>
  </si>
  <si>
    <t>Assume [enter project-specific weather / season basis or refer to Weather Risk].</t>
  </si>
  <si>
    <t>A8</t>
  </si>
  <si>
    <t>Assume [enter project-specific client / principal supplied items and interfaces].</t>
  </si>
  <si>
    <t>EX-01</t>
  </si>
  <si>
    <t>Exclude [enter explicit trade / scope exclusion].</t>
  </si>
  <si>
    <t>EX-02</t>
  </si>
  <si>
    <t>Exclude [enter explicit commercial / abnormal-condition exclusion].</t>
  </si>
  <si>
    <t>PRICING QUALIFICATIONS / RFIs</t>
  </si>
  <si>
    <t>RFI-01</t>
  </si>
  <si>
    <t>[enter missing / contradictory information, source reference, and quantity/cost/programme impact]</t>
  </si>
  <si>
    <t>RFI-02</t>
  </si>
  <si>
    <t>RFI-03</t>
  </si>
  <si>
    <t>RFI-04</t>
  </si>
  <si>
    <t>RFI-05</t>
  </si>
  <si>
    <t>RFI-06</t>
  </si>
  <si>
    <t>RFI-07</t>
  </si>
  <si>
    <t>RFI-08</t>
  </si>
  <si>
    <t>RFI-09</t>
  </si>
  <si>
    <t>RFI-10</t>
  </si>
  <si>
    <t>RFI-11</t>
  </si>
  <si>
    <t>RFI-12</t>
  </si>
  <si>
    <t>Likelihood</t>
  </si>
  <si>
    <t>References</t>
  </si>
  <si>
    <t>Current Intake, Master Prompt, Triple Verification and applicable backend tools confirmed</t>
  </si>
  <si>
    <t>Not Started</t>
  </si>
  <si>
    <t>Backend reference check</t>
  </si>
  <si>
    <t>Documents</t>
  </si>
  <si>
    <t>Current drawing/specification/tender register complete</t>
  </si>
  <si>
    <t>Document register</t>
  </si>
  <si>
    <t>Work-package inclusions, exclusions and interfaces defined</t>
  </si>
  <si>
    <t>Scope / assumptions</t>
  </si>
  <si>
    <t>Takeoff</t>
  </si>
  <si>
    <t>Major quantities measured and referenced to current drawings/specs</t>
  </si>
  <si>
    <t>Resource build-up</t>
  </si>
  <si>
    <t>Every active QS code has linked labour/plant/material/subcontract resources</t>
  </si>
  <si>
    <t>Rate verification</t>
  </si>
  <si>
    <t>Important rates and allowances classified and three-way verification reviewed</t>
  </si>
  <si>
    <t>Rate Verification</t>
  </si>
  <si>
    <t>Quotes / PCs</t>
  </si>
  <si>
    <t>PC sums and quote-required packages reconciled to live project evidence</t>
  </si>
  <si>
    <t>Rate Verification / quotes</t>
  </si>
  <si>
    <t>Assumptions</t>
  </si>
  <si>
    <t>Assumptions and exclusions are explicit, current and defensible</t>
  </si>
  <si>
    <t>Interfaces</t>
  </si>
  <si>
    <t>By-others / client / authority / consultant responsibilities confirmed</t>
  </si>
  <si>
    <t>Scope / RFIs</t>
  </si>
  <si>
    <t>All material risks have baseline, residual exposure and cost-treatment location</t>
  </si>
  <si>
    <t>Risk duplication</t>
  </si>
  <si>
    <t>No residual risk is costed twice; overlap groups and cost-treatment owners reviewed</t>
  </si>
  <si>
    <t>Weather</t>
  </si>
  <si>
    <t>Weather Risk reviewed; approved tool run current or documented N/A basis accepted</t>
  </si>
  <si>
    <t>Ground / geotech</t>
  </si>
  <si>
    <t>Ground and groundwater risks aligned to current geotechnical evidence</t>
  </si>
  <si>
    <t>Risk Truth / geotech</t>
  </si>
  <si>
    <t>Earthworks / haulage</t>
  </si>
  <si>
    <t>Earthworks balance, bulking, haul, disposal and import assumptions reconciled where applicable</t>
  </si>
  <si>
    <t>QS / Resource Build-Up</t>
  </si>
  <si>
    <t>Temporary works</t>
  </si>
  <si>
    <t>Temporary works requirements and responsibility identified where applicable</t>
  </si>
  <si>
    <t>PM / Estimator</t>
  </si>
  <si>
    <t>QS / Risk Truth</t>
  </si>
  <si>
    <t>Programme</t>
  </si>
  <si>
    <t>Working days, productive crew days, elapsed duration and work fronts reconciled</t>
  </si>
  <si>
    <t>Planner / PM</t>
  </si>
  <si>
    <t>Programme Export</t>
  </si>
  <si>
    <t>Programme cost check</t>
  </si>
  <si>
    <t>Programme Export resource/QS cost checks all read OK</t>
  </si>
  <si>
    <t>Commercial</t>
  </si>
  <si>
    <t>Overhead, profit, escalation, securities and commercial inputs independently reviewed</t>
  </si>
  <si>
    <t>Cashflow</t>
  </si>
  <si>
    <t>Stage profile, retention and deposit assumptions reviewed where required</t>
  </si>
  <si>
    <t>PM / Commercial</t>
  </si>
  <si>
    <t>Resource -&gt; QS -&gt; Tender -&gt; Summary -&gt; Cashflow reconciliation checks pass</t>
  </si>
  <si>
    <t>Pricing schedule</t>
  </si>
  <si>
    <t>Client/head-contractor pricing schedule mapped without double counting</t>
  </si>
  <si>
    <t>Tender return</t>
  </si>
  <si>
    <t>Adjudication</t>
  </si>
  <si>
    <t>Material AMBER/RED items, qualifications and residual risk reviewed at adjudication</t>
  </si>
  <si>
    <t>Estimator / Director</t>
  </si>
  <si>
    <t>Adjudication record</t>
  </si>
  <si>
    <t>Release</t>
  </si>
  <si>
    <t>Risk Truth release gate and formula/control checks reviewed</t>
  </si>
  <si>
    <t>Risk Truth / Summary</t>
  </si>
  <si>
    <t>Approval</t>
  </si>
  <si>
    <t>Final tender/estimate approved by authorised reviewer</t>
  </si>
  <si>
    <t>Director</t>
  </si>
  <si>
    <t>Approval record</t>
  </si>
  <si>
    <t>Archive</t>
  </si>
  <si>
    <t>Issued estimate, source evidence and previous release totals retained</t>
  </si>
  <si>
    <t>Document control</t>
  </si>
  <si>
    <t>Revision</t>
  </si>
  <si>
    <t>Date</t>
  </si>
  <si>
    <t>Master Estimate Workbook Rev1</t>
  </si>
  <si>
    <t>15-Aug-2026</t>
  </si>
  <si>
    <t>Permanent master promotion: Risk Truth residual-risk engine integrated; CA01/CA02 converted to Risk Truth feeds; programme duration compatibility and full-row formula propagation controls incorporated.</t>
  </si>
  <si>
    <t>Estimating system development</t>
  </si>
  <si>
    <t>SUPERSEDED BY REV2 - RETAIN FOR AUDIT</t>
  </si>
  <si>
    <t>Master Estimate Workbook Rev2</t>
  </si>
  <si>
    <t>Controlled master revision: commercial method selectors back-ported from Bridle test; engine outputs separated from manual PC/% overrides; Include? retained as on/off control; reusable crane, rigging, cartage, transporter, testing and temporary-access resources added to the central library.</t>
  </si>
  <si>
    <t>SUPERSEDED BY REV3 - RETAIN FOR AUDIT</t>
  </si>
  <si>
    <t>TRIPLE VERIFICATION &amp; RISK TRUTH - MANDATORY</t>
  </si>
  <si>
    <t>No rate, quantity, productivity, duration, allowance or risk provision is called verified without its required evidence and status.</t>
  </si>
  <si>
    <t>Quantifiable physical risk consequences return to Resource Build-Up / QS Takeoff; they are not hidden in CA01/CA02.</t>
  </si>
  <si>
    <t>CA01 and CA02 default to Risk Truth residual feeds. PC Sum or % may be selected only as an explicit, stated adjudication override; a generic project-value percentage is not an acceptable default.</t>
  </si>
  <si>
    <t>Weather remains in the Weather Risk specialist pathway. CA10 may use Weather Engine, an explicit PC Sum or %, and Include? may turn the allowance off; do not duplicate weather elsewhere.</t>
  </si>
  <si>
    <t>Any RED duplication, programme reconciliation or unresolved material Risk Truth item blocks final release until resolved, excluded or formally accepted under the governing standard.</t>
  </si>
  <si>
    <t>VALIDATION RECORD</t>
  </si>
  <si>
    <t>Method</t>
  </si>
  <si>
    <t>Risk Truth methodology was developed, red-teamed and dynamically tested against a real linked estimate before permanent promotion.</t>
  </si>
  <si>
    <t>PASS</t>
  </si>
  <si>
    <t>Workbook QA</t>
  </si>
  <si>
    <t>Rate, quantity, risk, programme, commercial and duplicate-cost propagation tests passed before this master template was created.</t>
  </si>
  <si>
    <t>Rev2 method-selector QA</t>
  </si>
  <si>
    <t>CA01 Risk Engine/PC/% and CA10 Weather Engine/PC/% were dynamically tested; Include? No returns $0 while engine outputs remain live.</t>
  </si>
  <si>
    <t>Rev2 resource-library QA</t>
  </si>
  <si>
    <t>New crane/cartage/rigging/testing resources resolve through the existing Resource Build-Up lookup range; no Clevedon-specific quantity or rate was promoted.</t>
  </si>
  <si>
    <t>Master Estimate Workbook Rev3</t>
  </si>
  <si>
    <t>Standard rates retained; 14 Allied alternatives added.</t>
  </si>
  <si>
    <t>APPROVED MASTER TEMPLATE</t>
  </si>
  <si>
    <t>Rev3 Allied-resource QA</t>
  </si>
  <si>
    <t>Allied codes and formula scan verified.</t>
  </si>
  <si>
    <t>PASS - COMMERCIAL INPUTS UNCHANGED</t>
  </si>
  <si>
    <t>MASTER ESTIMATE WORKBOOK - ESTIMATE SUMMARY - REV3 RISK TRUTH</t>
  </si>
  <si>
    <t>Base direct costs are linked from Resource Build-Up through QS Takeoff. Commercial provisions are controlled through Commercial Inputs. CA01/CA02 default to Risk Truth, CA10 defaults to Weather Risk, and explicit PC Sum / % overrides remain visible and auditable.</t>
  </si>
  <si>
    <t>MASTER TEMPLATE - not for issue until current project inputs and release gates are complete.</t>
  </si>
  <si>
    <t>Pricing Summary (direct-cost estimate)</t>
  </si>
  <si>
    <t>Resource-linked direct cost; current project PC/provisional/quoted items must be visible in Resource Build-Up and QS Takeoff.</t>
  </si>
  <si>
    <t>Rates exclude GST unless the optional tax display is activated in Commercial Inputs.</t>
  </si>
  <si>
    <t>Measured, provided, calculated, allowance/PC and quoted items must retain current source references and verification status.</t>
  </si>
  <si>
    <t>Programme basis must reconcile working days, productive crew days, elapsed calendar duration, time-related costs and applicable Weather Risk outputs.</t>
  </si>
  <si>
    <t>Pre-margin additions</t>
  </si>
  <si>
    <t>Tender total less retention withholding after CA25 deposit treatment.</t>
  </si>
  <si>
    <t>Released after CA23 retention period; amount follows CA25 deposit retention treatment.</t>
  </si>
  <si>
    <t>Weather Risk -&gt; Commercial Inputs CA10</t>
  </si>
  <si>
    <t>Weather model / task factors</t>
  </si>
  <si>
    <t>Task factors remain AMBER until calibrated</t>
  </si>
  <si>
    <t>Weather integration rerun gate</t>
  </si>
  <si>
    <t>Rerun when status says RERUN WEATHER TOOL</t>
  </si>
  <si>
    <t>Risk Truth release gate</t>
  </si>
  <si>
    <t>PASS required for final release</t>
  </si>
  <si>
    <t>Risk Truth recalculated tender total</t>
  </si>
  <si>
    <t>INFO</t>
  </si>
  <si>
    <t>Should equal the live tender total when Risk Truth feeds and commercial logic reconcile.</t>
  </si>
  <si>
    <t>MASTER ESTIMATE WORKBOOK - TENDER BUILD-UP - REV2 RISK TRUTH</t>
  </si>
  <si>
    <t>MASTER TEMPLATE - project-specific scope, quantities, rates, programme and commercial inputs not yet populated.</t>
  </si>
  <si>
    <t>Base direct estimate</t>
  </si>
  <si>
    <t>Linked QS section total; confirm current project scope, classification, source and firm-up action.</t>
  </si>
  <si>
    <t>Linked QS section total; confirm current project ESC scope and requirements.</t>
  </si>
  <si>
    <t>Linked QS section total; confirm current project quantities, ground basis, haul and disposal assumptions.</t>
  </si>
  <si>
    <t>Linked QS section total; confirm current project stormwater / detention design and supplier requirements.</t>
  </si>
  <si>
    <t>Linked QS section total; confirm current project wastewater / water scope and authority interfaces.</t>
  </si>
  <si>
    <t>Linked QS section total; confirm current project pavement / concrete scope and specification.</t>
  </si>
  <si>
    <t>Linked QS section total; confirm current project kerb / external sitework scope.</t>
  </si>
  <si>
    <t>Linked QS section total; confirm current project retaining-wall design, quantities and temporary works.</t>
  </si>
  <si>
    <t>Linked QS section total; confirm current testing, survey, as-built and compliance obligations.</t>
  </si>
  <si>
    <t>Linked QS section total; confirm current reinstatement, defects and handover obligations.</t>
  </si>
  <si>
    <t>Direct cost sourced from Resource Build-Up through QS Takeoff; includes measured, provisional, allowance and PC items.</t>
  </si>
  <si>
    <t>CA01 - Design / scope residual risk - Risk Truth</t>
  </si>
  <si>
    <t>CA01 defaults to Risk Truth. PC Sum or % may be selected as a stated adjudication override; Include? controls whether the selected treatment enters the tender.</t>
  </si>
  <si>
    <t>CA02 - Construction / execution residual risk - Risk Truth</t>
  </si>
  <si>
    <t>CA02 defaults to Risk Truth. PC Sum or % may be selected as a stated adjudication override; Include? controls whether the selected treatment enters the tender.</t>
  </si>
  <si>
    <t>CA08 - Abnormal ground / contamination / rock allowance</t>
  </si>
  <si>
    <t>No generic ground percentage. Use only an explicit evidence-based provision not more truthfully placed in QS or a specialist engine.</t>
  </si>
  <si>
    <t>Project-specific construction water-control provision only; check overlap with Weather / Ground risk treatment.</t>
  </si>
  <si>
    <t>CA10 defaults to Weather Engine. PC Sum or % may be selected explicitly; Include? can turn the weather allowance off while the engine output remains retained for audit.</t>
  </si>
  <si>
    <t>Base direct estimate + selected pre-margin additions + commercial adjustments.</t>
  </si>
  <si>
    <t>Retention withholding on retention-applicable contract value; deposit treatment controlled by CA25.</t>
  </si>
  <si>
    <t>Profit method</t>
  </si>
  <si>
    <t>CA18 method (linked)</t>
  </si>
  <si>
    <t>The calculation method is selected in column C. There is no second profit-method selector.</t>
  </si>
  <si>
    <t>CA01/CA02: Risk Engine, PC Sum or %. CA10: Weather Engine, PC Sum or %. Other pre-margin allowances: PC Sum or %. Column F Include? is the on/off switch. Engine outputs remain live in column L even when another method is selected, preserving the audit trail.</t>
  </si>
  <si>
    <t>Engine Amount excl. GST</t>
  </si>
  <si>
    <t>Engine Source / Status</t>
  </si>
  <si>
    <t>Design / scope residual risk - Risk Truth linked</t>
  </si>
  <si>
    <t>Risk Engine</t>
  </si>
  <si>
    <t>Residual design/scope risk only where the consequence cannot be more truthfully placed in Resource Build-Up/QS or a specialist engine.</t>
  </si>
  <si>
    <t>Close Risk Truth RED items and confirm residual is distinct / integration complete.</t>
  </si>
  <si>
    <t>Risk Truth CA01 design/scope residual</t>
  </si>
  <si>
    <t>Construction / execution residual risk - Risk Truth linked</t>
  </si>
  <si>
    <t>Residual construction/execution risk only where the consequence cannot be more truthfully placed in Resource Build-Up/QS or a specialist engine.</t>
  </si>
  <si>
    <t>Risk Truth CA02 construction/execution residual</t>
  </si>
  <si>
    <t>%</t>
  </si>
  <si>
    <t>Enter only where escalation is evidence-based; do not default to a generic percentage.</t>
  </si>
  <si>
    <t>No specialist engine linked - select PC Sum or %</t>
  </si>
  <si>
    <t>PC Sum</t>
  </si>
  <si>
    <t>Use only for a distinct reconciled live-quote gap not already included in QS/PC items or Risk Truth.</t>
  </si>
  <si>
    <t>Confirm contractual responsibility before inclusion.</t>
  </si>
  <si>
    <t>Confirm contractual responsibility; physical construction scope should normally sit in QS.</t>
  </si>
  <si>
    <t>Use only for temporary-works engineering / documentation not already in direct scope.</t>
  </si>
  <si>
    <t>Do not use as a generic ground-risk percentage. Quantifiable ground consequences belong in QS or an approved specialist risk treatment.</t>
  </si>
  <si>
    <t>Project-specific construction water-control allowance only; check Weather / Ground overlap before inclusion.</t>
  </si>
  <si>
    <t>CA10</t>
  </si>
  <si>
    <t>Weather risk allowance - linked approved engine</t>
  </si>
  <si>
    <t>Weather Engine</t>
  </si>
  <si>
    <t>Formula-linked approved Weather Risk output. Do not duplicate normal weather in CA02 or direct productivity.</t>
  </si>
  <si>
    <t>Rerun Weather Tool if start date, baseline duration, exposed resource cost/mix, work calendar or critical path changes.</t>
  </si>
  <si>
    <t>Weather Risk specialist engine -&gt; CA10</t>
  </si>
  <si>
    <t>Extended preliminaries beyond weather-adjusted tender baseline</t>
  </si>
  <si>
    <t>Do not use for weather delay already included through CA10. Base QS preliminaries remain reconciled to 99 working days.</t>
  </si>
  <si>
    <t>Add only for non-weather instructed extension or revised contract programme after checking CA10 overlap.</t>
  </si>
  <si>
    <t>Markup %</t>
  </si>
  <si>
    <t>Enter verified company overhead recovery separately from contractor profit.</t>
  </si>
  <si>
    <t>Margin %</t>
  </si>
  <si>
    <t>Enter approved contractor profit; choose Margin or Markup in the profit-method selector.</t>
  </si>
  <si>
    <t>Include only where contract securities create a genuine contractor cost.</t>
  </si>
  <si>
    <t>Finance cost only; retention withholding itself is a cashflow item.</t>
  </si>
  <si>
    <t>Optional tax display. Set 15% for NZ GST or 10% for Australian GST when applicable; estimate control total remains ex tax.</t>
  </si>
  <si>
    <t>Months</t>
  </si>
  <si>
    <t>Selection</t>
  </si>
  <si>
    <t>QS TAKEOFF - MASTER ESTIMATE WORKBOOK REV2 - RESOURCE-LINKED</t>
  </si>
  <si>
    <t>STAGE PAYMENT &amp; CASHFLOW - MASTER ESTIMATE WORKBOOK REV2</t>
  </si>
  <si>
    <t>Only stage timing, stage percentages and retention applicability are inputs. Revenue and direct-cost allocations remain formula linked.</t>
  </si>
  <si>
    <t>Cash on hand = cumulative net pre-GST receipts less base direct stage costs and included pre-margin provisions. Commercial adjustments (overhead/profit/bonds/finance) remain visible as commercial return/cost after those provisions.</t>
  </si>
  <si>
    <t>Stage cost / provision</t>
  </si>
  <si>
    <t>Included pre-margin cost / risk provisions</t>
  </si>
  <si>
    <t>Timing to allocate / refine</t>
  </si>
  <si>
    <t>Base direct costs + pre-margin provisions allocated</t>
  </si>
  <si>
    <t>Final cash equals commercial adjustments after cost provisions</t>
  </si>
  <si>
    <t>COMPANY RESOURCE RATE LIBRARY - MASTER ESTIMATE WORKBOOK REV2</t>
  </si>
  <si>
    <t>Reusable company / benchmark resource library. Retain useful history; update verified rates with source, effective date, region, GST basis, inclusions/exclusions and supersession reason.</t>
  </si>
  <si>
    <t>Confirm project-specific mesh grade and specification before order.</t>
  </si>
  <si>
    <t>LAB-RIGGER</t>
  </si>
  <si>
    <t>Certified crane rigger / dogman / lifting crew</t>
  </si>
  <si>
    <t>Specialist labour / subcontract</t>
  </si>
  <si>
    <t>NZ / AU project-specific</t>
  </si>
  <si>
    <t>Crane / rigging subcontractor</t>
  </si>
  <si>
    <t>Minimum call-out by quote</t>
  </si>
  <si>
    <t>Certified rigger/dogman labour to stated lift methodology</t>
  </si>
  <si>
    <t>Crane, rigging gear, travel and overtime unless specifically included</t>
  </si>
  <si>
    <t>Base $1 forces explicit job-rate override; verify competency and crew composition.</t>
  </si>
  <si>
    <t>PL-CRANE-70AT</t>
  </si>
  <si>
    <t>70 t all-terrain mobile crane wet hire</t>
  </si>
  <si>
    <t>Specialist crane hire</t>
  </si>
  <si>
    <t>Mobile crane supplier</t>
  </si>
  <si>
    <t>Minimum hire + mobilisation by quote</t>
  </si>
  <si>
    <t>Crane, operator and normal fuel subject to supplier quote</t>
  </si>
  <si>
    <t>Mobilisation, ballast transport, rigging, dogman, mats, travel/overtime unless included</t>
  </si>
  <si>
    <t>Capacity class only. Verify certified load chart, lift radius, ballast, outrigger reactions, access and minimum hire.</t>
  </si>
  <si>
    <t>PL-CRANE-90AT</t>
  </si>
  <si>
    <t>90 t all-terrain mobile crane wet hire</t>
  </si>
  <si>
    <t>PL-CRANE-120AT</t>
  </si>
  <si>
    <t>120 t all-terrain mobile crane wet hire</t>
  </si>
  <si>
    <t>PL-CRANE-MATS</t>
  </si>
  <si>
    <t>Crane mats / outrigger spreader mats hire set</t>
  </si>
  <si>
    <t>day</t>
  </si>
  <si>
    <t>Specialist hire</t>
  </si>
  <si>
    <t>Crane / temporary works supplier</t>
  </si>
  <si>
    <t>Minimum hire / transport by quote</t>
  </si>
  <si>
    <t>Mats/spreader set to supplier/temp-works requirement</t>
  </si>
  <si>
    <t>Transport, placement, design/certification and abnormal ground treatment unless included</t>
  </si>
  <si>
    <t>Base $1 forces explicit job override. Check whether crane supplier already includes mats to avoid duplication.</t>
  </si>
  <si>
    <t>PL-RIGGING-SET</t>
  </si>
  <si>
    <t>Certified crane rigging / lifting gear set</t>
  </si>
  <si>
    <t>Crane / rigging supplier</t>
  </si>
  <si>
    <t>Minimum hire / mobilisation by quote</t>
  </si>
  <si>
    <t>Certified slings, shackles and stated lifting gear set</t>
  </si>
  <si>
    <t>Project-specific lifting beam, proprietary clutches, engineered lifting frame and rigger labour unless included</t>
  </si>
  <si>
    <t>Base $1 forces explicit job override; reconcile with crane quote and precaster lifting requirements.</t>
  </si>
  <si>
    <t>PL-TRUCK-6W</t>
  </si>
  <si>
    <t>6-wheel tip truck wet hire</t>
  </si>
  <si>
    <t>Wet hire / cartage</t>
  </si>
  <si>
    <t>Civil cartage supplier</t>
  </si>
  <si>
    <t>Minimum hours / travel by quote</t>
  </si>
  <si>
    <t>Truck, driver and normal fuel subject to quote</t>
  </si>
  <si>
    <t>Tipping fees, material supply, permits and abnormal waiting unless included</t>
  </si>
  <si>
    <t>Use for internal/site cartage where hourly wet hire is the truthful basis; do not duplicate supplier-delivery charges.</t>
  </si>
  <si>
    <t>PL-TRANSPORT-HEAVY</t>
  </si>
  <si>
    <t>Heavy / oversize transporter or precast internal haul</t>
  </si>
  <si>
    <t>trip</t>
  </si>
  <si>
    <t>Specialist transport</t>
  </si>
  <si>
    <t>Heavy transport / precast carrier</t>
  </si>
  <si>
    <t>Mobilisation, permits and escort by quote</t>
  </si>
  <si>
    <t>Transport vehicle and driver to stated route/load</t>
  </si>
  <si>
    <t>Craneage, loading/unloading, permits/escorts and route strengthening unless included</t>
  </si>
  <si>
    <t>Use only where contractor transport scope is confirmed. Verify route, axle/load limits, turning and delivery responsibility.</t>
  </si>
  <si>
    <t>OTH-CARTAGE-LOAD</t>
  </si>
  <si>
    <t>Supplier delivery / cartage charge per load</t>
  </si>
  <si>
    <t>load</t>
  </si>
  <si>
    <t>Job-specific supplier delivery</t>
  </si>
  <si>
    <t>Material supplier / carrier</t>
  </si>
  <si>
    <t>Load size / zone / minimum by quote</t>
  </si>
  <si>
    <t>Delivery/cartage charge only to stated site and load size</t>
  </si>
  <si>
    <t>Material supply, waiting time, tipping, permits and rehandling unless included</t>
  </si>
  <si>
    <t>Reusable cost code only; project location, load size and delivered rate must be overridden from current evidence.</t>
  </si>
  <si>
    <t>SUB-PROOFROLL</t>
  </si>
  <si>
    <t>Proof-roll / working-platform verification / field testing attendance</t>
  </si>
  <si>
    <t>Geotech / testing provider</t>
  </si>
  <si>
    <t>Attendance / testing scope by quote</t>
  </si>
  <si>
    <t>Proof-roll or stated field-verification/testing attendance</t>
  </si>
  <si>
    <t>Temporary works design, geotech design certification, remediation and repeat visits unless included</t>
  </si>
  <si>
    <t>Keep testing/verification separate from temporary-works design and from physical platform construction.</t>
  </si>
  <si>
    <t>MAT-GEOGRID</t>
  </si>
  <si>
    <t>Geogrid / ground-stabilisation reinforcement - project specified</t>
  </si>
  <si>
    <t>Civil merchant / geosynthetics supplier</t>
  </si>
  <si>
    <t>Product/specification by quote</t>
  </si>
  <si>
    <t>Specified geogrid material only</t>
  </si>
  <si>
    <t>Design, geotextile, aggregate, installation and laps/waste unless included</t>
  </si>
  <si>
    <t>No generic rate. Select product from temporary works/geotech design and obtain project-specific quote.</t>
  </si>
  <si>
    <t>ALLIED-LAB-FOREMAN</t>
  </si>
  <si>
    <t>Civil foreman / working foreman - Allied specific</t>
  </si>
  <si>
    <t>Allied-specific rate - company input (AMBER)</t>
  </si>
  <si>
    <t>Allied Civil - Jason review</t>
  </si>
  <si>
    <t>Clevedon_Civil_Works_Tender_Estimate_Rev5JW.xlsx; comparison baseline LAB-FOREMAN = $64.00/hr</t>
  </si>
  <si>
    <t>ALLIED-LAB-SUPERVISOR</t>
  </si>
  <si>
    <t>Site supervisor / project manager - Allied specific</t>
  </si>
  <si>
    <t>Clevedon_Civil_Works_Tender_Estimate_Rev5JW.xlsx; comparison baseline LAB-SUPERVISOR = $73.00/hr</t>
  </si>
  <si>
    <t>ALLIED-LAB-DRAINLAYER</t>
  </si>
  <si>
    <t>Registered drainlayer / pipe layer - Allied specific</t>
  </si>
  <si>
    <t>Clevedon_Civil_Works_Tender_Estimate_Rev5JW.xlsx; comparison baseline LAB-DRAINLAYER = $51.00/hr</t>
  </si>
  <si>
    <t>ALLIED-PL-EXC-1.7</t>
  </si>
  <si>
    <t>1.7 t excavator wet hire - Allied specific</t>
  </si>
  <si>
    <t>Clevedon_Civil_Works_Tender_Estimate_Rev5JW.xlsx; comparison baseline PL-EXC-1.7 = $85.00/hr</t>
  </si>
  <si>
    <t>ALLIED-MAT-AP65</t>
  </si>
  <si>
    <t>AP65 subbase aggregate - Allied specific</t>
  </si>
  <si>
    <t>Rockshop Quarry - Allied direct-delivery / T&amp;T basis</t>
  </si>
  <si>
    <t>Clevedon_Civil_Works_Tender_Estimate_Rev5JW.xlsx; comparison baseline MAT-AP65 = $30.50/t</t>
  </si>
  <si>
    <t>Haul and placement; confirm whether Allied $/t basis includes T&amp;T direct delivery</t>
  </si>
  <si>
    <t>ALLIED-MAT-AP40</t>
  </si>
  <si>
    <t>AP40 / GAP40 basecourse aggregate - Allied specific</t>
  </si>
  <si>
    <t>Clevedon_Civil_Works_Tender_Estimate_Rev5JW.xlsx; comparison baseline MAT-AP40 = $31.00/t</t>
  </si>
  <si>
    <t>ALLIED-MAT-DRAINAGG</t>
  </si>
  <si>
    <t>Drainage aggregate - Allied specific</t>
  </si>
  <si>
    <t>Clevedon_Civil_Works_Tender_Estimate_Rev5JW.xlsx; comparison baseline MAT-DRAINAGG = $48.50/t</t>
  </si>
  <si>
    <t>ALLIED-MAT-SWMH</t>
  </si>
  <si>
    <t>Precast stormwater manhole set - Allied specific</t>
  </si>
  <si>
    <t>Allied Civil / Auckland Council safety-grate requirement</t>
  </si>
  <si>
    <t>Clevedon_Civil_Works_Tender_Estimate_Rev5JW.xlsx; comparison baseline MAT-SWMH = $5500.00/ea</t>
  </si>
  <si>
    <t>Chamber, riser, lid and safety grate allowance</t>
  </si>
  <si>
    <t>Excavation, concrete and installation</t>
  </si>
  <si>
    <t>ALLIED-OTH-FACILITIES</t>
  </si>
  <si>
    <t>Temporary facilities, utilities and welfare weekly allowance - Allied specific</t>
  </si>
  <si>
    <t>week</t>
  </si>
  <si>
    <t>Job-specific / hire allowance</t>
  </si>
  <si>
    <t>Clevedon_Civil_Works_Tender_Estimate_Rev5JW.xlsx; PG03 note; 20 weeks = $8,200.00</t>
  </si>
  <si>
    <t>Confirm hire minimums and mobilisation</t>
  </si>
  <si>
    <t>Weekly facilities, toilet, temporary power/water and consumables allowance</t>
  </si>
  <si>
    <t>Mobilisation, site-specific setup and abnormal servicing unless confirmed</t>
  </si>
  <si>
    <t>ALLIED-SUB-SURVEY-SET</t>
  </si>
  <si>
    <t>Drainage construction setout package - Allied specific</t>
  </si>
  <si>
    <t>Allied-specific supplier input (AMBER)</t>
  </si>
  <si>
    <t>Allied Civil survey supplier - not named</t>
  </si>
  <si>
    <t>Clevedon_Civil_Works_Tender_Estimate_Rev5JW.xlsx; Rate Verification note; rate recorded excl. GST</t>
  </si>
  <si>
    <t>One drainage setout package</t>
  </si>
  <si>
    <t>Drainage construction setout</t>
  </si>
  <si>
    <t>Other survey, rework, as-builts and additional visits</t>
  </si>
  <si>
    <t>ALLIED-SUB-SURVEY-ASB</t>
  </si>
  <si>
    <t>Drainage as-built survey package - Allied specific</t>
  </si>
  <si>
    <t>One drainage as-built package</t>
  </si>
  <si>
    <t>Drainage as-built survey</t>
  </si>
  <si>
    <t>Setout, other survey, rework and additional visits</t>
  </si>
  <si>
    <t>ALLIED-SUB-GPR-VISIT</t>
  </si>
  <si>
    <t>GPR utility-locating visit - Allied specific</t>
  </si>
  <si>
    <t>visit</t>
  </si>
  <si>
    <t>Allied Civil GPR supplier - not named</t>
  </si>
  <si>
    <t>Clevedon_Civil_Works_Tender_Estimate_Rev5JW.xlsx; Jason noted cash rate/no GST - formal invoicing and scope require verification</t>
  </si>
  <si>
    <t>Per visit; minimums and mobilisation to confirm</t>
  </si>
  <si>
    <t>GPR utility-locating visit</t>
  </si>
  <si>
    <t>Potholing, traffic management, additional visits and formal report unless confirmed</t>
  </si>
  <si>
    <t>ALLIED-SUB-TMP-DAY</t>
  </si>
  <si>
    <t>Traffic management delivery day - Allied specific</t>
  </si>
  <si>
    <t>Allied Civil TMP supplier - not named</t>
  </si>
  <si>
    <t>Clevedon_Civil_Works_Tender_Estimate_Rev5JW.xlsx; Rate Verification note; TMP plan/design is additional</t>
  </si>
  <si>
    <t>Daily minimum; confirm working hours</t>
  </si>
  <si>
    <t>On-site traffic management delivery day</t>
  </si>
  <si>
    <t>TMP plan/design, approvals, after-hours, fees and extensions</t>
  </si>
  <si>
    <t>ALLIED-SUB-LINEMARK</t>
  </si>
  <si>
    <t>Standard line marking - Allied specific</t>
  </si>
  <si>
    <t>Allied Civil line-marking supplier - not named</t>
  </si>
  <si>
    <t>Clevedon_Civil_Works_Tender_Estimate_Rev5JW.xlsx; QS PV06 firm-up note</t>
  </si>
  <si>
    <t>Minimum job charge to confirm</t>
  </si>
  <si>
    <t>Standard line marking per lineal metre</t>
  </si>
  <si>
    <t>Arrows, symbols, accessible markings, signs, preparation and traffic management unless quoted</t>
  </si>
  <si>
    <t>RESOURCE BUILD-UP - MASTER ESTIMATE WORKBOOK REV2 - LINKED COST / DURATION FORMULAS</t>
  </si>
  <si>
    <t>Every active QS Code must have resource rows here. Extended Cost totals by QS Code are pulled into QS Takeoff; do not type a second QS rate or amount.</t>
  </si>
  <si>
    <t>Calculation modes: Time x Count; QS Qty x Factor; Direct Qty; Lump Sum / Quote. Duration is derived from quantity/productivity or explicitly overridden where sequencing requires it.</t>
  </si>
  <si>
    <t>Weather controls: AK:AM are estimator inputs; AN is formula-controlled exposed Labour/Plant cost feeding Weather Risk. Materials, fixed subcontract and Other costs are excluded from direct weather productivity by default.</t>
  </si>
  <si>
    <t>Weather Exposed?</t>
  </si>
  <si>
    <t>Weather Task Type</t>
  </si>
  <si>
    <t>Weather Basis / Status</t>
  </si>
  <si>
    <t>Weather-Exposed Labour + Plant Cost</t>
  </si>
  <si>
    <t>RATE &amp; ALLOWANCE VERIFICATION - MASTER ESTIMATE WORKBOOK REV2</t>
  </si>
  <si>
    <t>PROGRAMME BUILD-UP &amp; MICROSOFT PROJECT EXPORT - MASTER ESTIMATE WORKBOOK REV2</t>
  </si>
  <si>
    <t>Programme durations derive from Resource Build-Up quantity/productivity unless an explicit programme override is entered. Set the current project calendar, start date, holidays, shutdowns and work fronts before issue.</t>
  </si>
  <si>
    <t>MS Project: import Tasks and map Name, Duration, Predecessors, Fixed Cost, Text fields, Notes, Task Mode and Fixed Cost Accrual. Do not also import the same resource costs when Fixed Cost is used, or costs will double.</t>
  </si>
  <si>
    <t>PROGRAMME RECONCILIATION: J takes the largest linked Resource Build-Up applied duration for each QS code using AGGREGATE; K converts hours to working days; M uses a stated Programme Override where entered otherwise the derived duration. Reconcile critical path, elapsed duration and time-related costs before issue.</t>
  </si>
  <si>
    <t>Auto Scheduled</t>
  </si>
  <si>
    <t>Prorated</t>
  </si>
  <si>
    <t>WEATHER RISK INTEGRATION - MASTER ESTIMATE WORKBOOK REV2</t>
  </si>
  <si>
    <t>Use the approved NZ Weather Risk Estimating Tool for climate/task calculations. This sheet links the tool run to live resources, programme, Commercial Inputs CA10, tender total and cashflow without using a flat weather percentage.</t>
  </si>
  <si>
    <t>LIVE PROJECT / PROGRAMME INPUTS</t>
  </si>
  <si>
    <t>INTEGRATION / RELEASE CONTROLS</t>
  </si>
  <si>
    <t>Project location</t>
  </si>
  <si>
    <t>Weather tool remains the approved climate/task calculation source; this workbook does not replace NIWA/tool logic.</t>
  </si>
  <si>
    <t>Weather station / representative location</t>
  </si>
  <si>
    <t>CA10 is formula-linked to Selected Weather Allowance. Do not re-enter a flat weather percentage in Commercial Inputs.</t>
  </si>
  <si>
    <t>Assumed construction start</t>
  </si>
  <si>
    <t>Direct productivity applies only to Resource Build-Up rows tagged Weather Exposed = Yes and Resource Type = Labour or Plant.</t>
  </si>
  <si>
    <t>Baseline working days</t>
  </si>
  <si>
    <t>Critical-path delay is not summed across concurrent tasks. Update the external Weather Tool when sequence or critical path changes.</t>
  </si>
  <si>
    <t>Working days per week</t>
  </si>
  <si>
    <t>Daily preliminaries derive from PG01 + PG04 + PG10. Weekly billed hire/facilities derive from PG03 + PG08.</t>
  </si>
  <si>
    <t>Weather-tool weekday-only base finish</t>
  </si>
  <si>
    <t>CA09 dewatering remains separate. Recovery/remediation in this sheet defaults to zero to avoid double counting unless project-specific evidence justifies it.</t>
  </si>
  <si>
    <t>Public holiday / entered shutdown adjusted base finish</t>
  </si>
  <si>
    <t>Wind proxy is excluded by default and remains AMBER unless a project-specific wind basis is verified.</t>
  </si>
  <si>
    <t>Weather-exposed labour + plant cost</t>
  </si>
  <si>
    <t>Rerun the Weather Tool when start date, baseline duration, exposed cost mix, work calendar or critical path materially changes.</t>
  </si>
  <si>
    <t>Daily time-related preliminaries</t>
  </si>
  <si>
    <t>9</t>
  </si>
  <si>
    <t>Entered statutory holidays/shutdowns affect calendar completion only; they are not weather delay.</t>
  </si>
  <si>
    <t>Weekly billed hire / facilities</t>
  </si>
  <si>
    <t>Baseline billed weeks</t>
  </si>
  <si>
    <t>Source / evidence</t>
  </si>
  <si>
    <t>NIWA 1991-2020 climate normals via NZ_Weather_Risk_Estimating_Tool_Rev2; public holiday dates via Employment New Zealand.</t>
  </si>
  <si>
    <t>Project-specific recovery / remediation allowance</t>
  </si>
  <si>
    <t>Holiday source URL</t>
  </si>
  <si>
    <t>https://www.employment.govt.nz/leave-and-holidays/public-holidays/public-holidays-and-anniversary-dates</t>
  </si>
  <si>
    <t>APPROVED WEATHER TOOL RUN RECORD</t>
  </si>
  <si>
    <t>WEATHER / TENDER RECONCILIATION</t>
  </si>
  <si>
    <t>Approved tool version</t>
  </si>
  <si>
    <t>NZ_Weather_Risk_Estimating_Tool_Rev2.xlsx</t>
  </si>
  <si>
    <t>Current exposed-cost difference vs tool run</t>
  </si>
  <si>
    <t>Tool run station</t>
  </si>
  <si>
    <t>Current start vs tool run</t>
  </si>
  <si>
    <t>Tool run start date</t>
  </si>
  <si>
    <t>Current baseline WD vs tool run</t>
  </si>
  <si>
    <t>Tool run baseline working days</t>
  </si>
  <si>
    <t>Tool run exposed labour + plant cost</t>
  </si>
  <si>
    <t>Selected wind status</t>
  </si>
  <si>
    <t>Rain / wet-ground direct productivity output</t>
  </si>
  <si>
    <t>Direct productivity impact rate</t>
  </si>
  <si>
    <t>Critical-path weather delay working days</t>
  </si>
  <si>
    <t>Additional billed hire weeks</t>
  </si>
  <si>
    <t>Wind proxy sensitivity - additional cost</t>
  </si>
  <si>
    <t>Include AMBER wind proxy?</t>
  </si>
  <si>
    <t>Tool output confidence</t>
  </si>
  <si>
    <t>RED - approved weather tool run not loaded</t>
  </si>
  <si>
    <t>Tool rerun status</t>
  </si>
  <si>
    <t>LIVE WEATHER COST INTEGRATION</t>
  </si>
  <si>
    <t>Direct productivity allowance - resource linked</t>
  </si>
  <si>
    <t>Critical-path time-related preliminaries</t>
  </si>
  <si>
    <t>Additional billed hire / facilities</t>
  </si>
  <si>
    <t>Project recovery / remediation</t>
  </si>
  <si>
    <t>Rain + wet-ground allowance</t>
  </si>
  <si>
    <t>AMBER wind proxy sensitivity</t>
  </si>
  <si>
    <t>SELECTED WEATHER ALLOWANCE -&gt; Commercial Inputs CA10</t>
  </si>
  <si>
    <t>Selected weather as % of base direct cost</t>
  </si>
  <si>
    <t>Previous approved weather allowance (optional)</t>
  </si>
  <si>
    <t>Weather allowance delta vs previous approved</t>
  </si>
  <si>
    <t>Previous approved tender total excl. GST (optional)</t>
  </si>
  <si>
    <t>Current tender total excl. GST</t>
  </si>
  <si>
    <t>Tender delta vs previous approved</t>
  </si>
  <si>
    <t>Weather-adjusted completion incl. entered non-working dates</t>
  </si>
  <si>
    <t>Elapsed calendar days from assumed start</t>
  </si>
  <si>
    <t>NON-WORKING DATE REGISTER - affects calendar span, not weather probability</t>
  </si>
  <si>
    <t>Weather Task Type - approved Rev2 library</t>
  </si>
  <si>
    <t>Non-working date</t>
  </si>
  <si>
    <t>Type / reason</t>
  </si>
  <si>
    <t>Evidence / note</t>
  </si>
  <si>
    <t>Erosion &amp; sediment controls</t>
  </si>
  <si>
    <t>Project non-working date / shutdown - enter if applicable</t>
  </si>
  <si>
    <t>Estimator / contract calendar evidence</t>
  </si>
  <si>
    <t>Bulk earthworks</t>
  </si>
  <si>
    <t>Detailed earthworks / trim subgrade</t>
  </si>
  <si>
    <t>Cut to fill / cartage</t>
  </si>
  <si>
    <t>Building platform / pad prep</t>
  </si>
  <si>
    <t>Drainage trenching</t>
  </si>
  <si>
    <t>Manholes / chambers</t>
  </si>
  <si>
    <t>Service trenches / ducting</t>
  </si>
  <si>
    <t>Retaining wall excavation</t>
  </si>
  <si>
    <t>Retaining wall installation</t>
  </si>
  <si>
    <t>External concrete placing</t>
  </si>
  <si>
    <t>External concrete finishing</t>
  </si>
  <si>
    <t>Kerb &amp; channel</t>
  </si>
  <si>
    <t>Subbase / pavement prep</t>
  </si>
  <si>
    <t>Asphalt / sealing</t>
  </si>
  <si>
    <t>Landscaping / topsoil / grassing</t>
  </si>
  <si>
    <t>Site establishment / temp fencing</t>
  </si>
  <si>
    <t>External painting / coatings</t>
  </si>
  <si>
    <t>RISK TRUTH ENGINE - MASTER ESTIMATE WORKBOOK REV2</t>
  </si>
  <si>
    <t>Permanent risk-control and reconciliation module. Record tender baseline before residual exposure. Quantifiable physical consequences return to Resource Build-Up / QS Takeoff; specialist engines remain separate. CA01/CA02 receive residual cross-cutting provisions only and are never default project-value percentages.</t>
  </si>
  <si>
    <t>RISK TRUTH / RELEASE CONTROL</t>
  </si>
  <si>
    <t>Value / Status</t>
  </si>
  <si>
    <t>INTEGRATION RULES</t>
  </si>
  <si>
    <t>RISK TRUTH COMMERCIAL RECALC</t>
  </si>
  <si>
    <t>Value</t>
  </si>
  <si>
    <t>Previous approved tender total (optional)</t>
  </si>
  <si>
    <t>Likelihood / impact prioritise management; they never create dollars automatically.</t>
  </si>
  <si>
    <t>Current live tender total</t>
  </si>
  <si>
    <t>Every exposure identifies where the risk is already treated before any residual is considered.</t>
  </si>
  <si>
    <t>CA17 overhead</t>
  </si>
  <si>
    <t>Previous approved CA01 (optional)</t>
  </si>
  <si>
    <t>Quantifiable physical work returns to Resource Build-Up / QS Takeoff.</t>
  </si>
  <si>
    <t>CA19 bonds</t>
  </si>
  <si>
    <t>Previous approved CA02 (optional)</t>
  </si>
  <si>
    <t>CA01 / CA02 receive residual cross-cutting provisions only when a more direct cost location is not truthful.</t>
  </si>
  <si>
    <t>CA20 retention finance</t>
  </si>
  <si>
    <t>Risk Truth CA01 design/scope residual total</t>
  </si>
  <si>
    <t>Weather remains Weather Risk -&gt; CA10. Dewatering remains CA09 unless separately changed.</t>
  </si>
  <si>
    <t>CA18 profit</t>
  </si>
  <si>
    <t>Risk Truth CA02 construction/execution residual total</t>
  </si>
  <si>
    <t>Any RED exposure, unproven duplicate or incomplete programme dependency blocks final release.</t>
  </si>
  <si>
    <t>Recalculated tender total</t>
  </si>
  <si>
    <t>One cost can have several contributing risks, but only one PRIMARY cost-treatment owner.</t>
  </si>
  <si>
    <t>Live CA01 feed -&gt; Commercial Inputs</t>
  </si>
  <si>
    <t>Actual outcomes are retained later for estimate-v-actual calibration; historic tender assumptions are not overwritten.</t>
  </si>
  <si>
    <t>Live CA02 feed -&gt; Commercial Inputs</t>
  </si>
  <si>
    <t>Current Risk Truth residual total</t>
  </si>
  <si>
    <t>RED risk count</t>
  </si>
  <si>
    <t>RED exposure count</t>
  </si>
  <si>
    <t>Duplicate-cost gate</t>
  </si>
  <si>
    <t>Programme dependency gate</t>
  </si>
  <si>
    <t>Current tender equals Risk Truth recalculation?</t>
  </si>
  <si>
    <t>Risk Truth calculation difference</t>
  </si>
  <si>
    <t>Risk Description</t>
  </si>
  <si>
    <t>Primary Class</t>
  </si>
  <si>
    <t>Current Response</t>
  </si>
  <si>
    <t>RFI / Action</t>
  </si>
  <si>
    <t>Tender Baseline</t>
  </si>
  <si>
    <t>Overall Status</t>
  </si>
  <si>
    <t>WX01</t>
  </si>
  <si>
    <t>Normal foreseeable weather exposure</t>
  </si>
  <si>
    <t>B - Normal foreseeable variability</t>
  </si>
  <si>
    <t>Modelled</t>
  </si>
  <si>
    <t>Approved Weather Risk engine -&gt; CA10; do not duplicate in CA02</t>
  </si>
  <si>
    <t>Weather rerun / N/A review</t>
  </si>
  <si>
    <t>CA10 linked Weather Risk</t>
  </si>
  <si>
    <t>Exposure ID</t>
  </si>
  <si>
    <t>Exposure / Cost Consequence</t>
  </si>
  <si>
    <t>Affected Driver</t>
  </si>
  <si>
    <t>Affected Cost Ref</t>
  </si>
  <si>
    <t>Existing Treatment</t>
  </si>
  <si>
    <t>Existing Baseline Amount</t>
  </si>
  <si>
    <t>Residual Exposure</t>
  </si>
  <si>
    <t>Residual Qty</t>
  </si>
  <si>
    <t>Unit Rate / Impact</t>
  </si>
  <si>
    <t>Probability</t>
  </si>
  <si>
    <t>Modelled Residual</t>
  </si>
  <si>
    <t>Selected Tender Provision</t>
  </si>
  <si>
    <t>Cost Treatment Owner</t>
  </si>
  <si>
    <t>Residual Distinct?</t>
  </si>
  <si>
    <t>Integration Target</t>
  </si>
  <si>
    <t>Include New Risk Cost?</t>
  </si>
  <si>
    <t>Risk Truth Addition</t>
  </si>
  <si>
    <t>Overlap Group</t>
  </si>
  <si>
    <t>Embedded Variability / Response?</t>
  </si>
  <si>
    <t>Evidence Status</t>
  </si>
  <si>
    <t>Duplication Check</t>
  </si>
  <si>
    <t>Integration Complete?</t>
  </si>
  <si>
    <t>Final Status</t>
  </si>
  <si>
    <t>Sensitivity / Basis</t>
  </si>
  <si>
    <t>Firm-Up / Rerun Action</t>
  </si>
  <si>
    <t>Source / Reference</t>
  </si>
  <si>
    <t>WX01-001</t>
  </si>
  <si>
    <t>Normal foreseeable weather productivity / critical-path exposure</t>
  </si>
  <si>
    <t>Productivity / Duration</t>
  </si>
  <si>
    <t>Specialist Weather Engine</t>
  </si>
  <si>
    <t>Weather model must be current or documented N/A</t>
  </si>
  <si>
    <t>Specialist Engine</t>
  </si>
  <si>
    <t>Primary</t>
  </si>
  <si>
    <t>WEATHER-PROGRAMME</t>
  </si>
  <si>
    <t>Existing</t>
  </si>
  <si>
    <t>Weather is modelled in the specialist engine and cannot also be included in CA02.</t>
  </si>
  <si>
    <t>Run the approved Weather Tool or document N/A basis; then update Evidence Status after review.</t>
  </si>
  <si>
    <t>Weather Risk / approved climate tool</t>
  </si>
  <si>
    <t>PERMANENT MASTER RELEASE RULES</t>
  </si>
  <si>
    <t>Rule 1</t>
  </si>
  <si>
    <t>Likelihood / impact prioritise management; they do not create dollars automatically.</t>
  </si>
  <si>
    <t>Rule 2</t>
  </si>
  <si>
    <t>Every risk exposure identifies where the risk is already treated before residual cost is considered.</t>
  </si>
  <si>
    <t>Rule 3</t>
  </si>
  <si>
    <t>Quantifiable physical consequences return to Resource Build-Up / QS Takeoff.</t>
  </si>
  <si>
    <t>Rule 4</t>
  </si>
  <si>
    <t>CA01 / CA02 contain residual cross-cutting risk only; generic project-value percentages are prohibited.</t>
  </si>
  <si>
    <t>Rule 5</t>
  </si>
  <si>
    <t>Specialist-engine risks remain in their specialist cost path and are referenced, not duplicated.</t>
  </si>
  <si>
    <t>Rule 6</t>
  </si>
  <si>
    <t>A positive Risk Truth addition requires a distinct residual basis, integration target and evidence status.</t>
  </si>
  <si>
    <t>Rule 7</t>
  </si>
  <si>
    <t>Any RED duplication, programme reconciliation or material risk item blocks final release.</t>
  </si>
  <si>
    <t>Rule 8</t>
  </si>
  <si>
    <t>MASTER PROMOTION VALIDATION</t>
  </si>
  <si>
    <t>Cost-chain propagation</t>
  </si>
  <si>
    <t>Resource rate and quantity changes propagated through linked direct-cost and tender outputs during development testing.</t>
  </si>
  <si>
    <t>Risk residual propagation</t>
  </si>
  <si>
    <t>Approved residual CA01/CA02 feeds were proven to enter the tender exactly once.</t>
  </si>
  <si>
    <t>Duplicate-cost blocker</t>
  </si>
  <si>
    <t>Non-distinct duplicate risk provisions were proven to return RED and block release.</t>
  </si>
  <si>
    <t>Programme propagation</t>
  </si>
  <si>
    <t>Productivity/duration changes were proven to flow to Programme Export and trigger weather rerun logic.</t>
  </si>
  <si>
    <t>Formula compatibility</t>
  </si>
  <si>
    <t>Programme maximum-duration logic uses AGGREGATE rather than incompatible MAXIFS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</si>
</sst>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164" formatCode="\$#,##0.00"/>
    <numFmt numFmtId="165" formatCode="\$#,##0.00;[Red]\-\$#,##0.00"/>
    <numFmt numFmtId="166" formatCode="0\ &quot;months&quot;"/>
    <numFmt numFmtId="167" formatCode="0.0%"/>
    <numFmt numFmtId="168" formatCode="0.0"/>
    <numFmt numFmtId="169" formatCode="dd\-mmm\-yyyy"/>
  </numFmts>
  <fonts count="18" x14ac:knownFonts="1">
    <font>
      <sz val="11"/>
      <name val="Carlito"/>
    </font>
    <font>
      <b/>
      <sz val="13"/>
      <color rgb="FFFFFFFF"/>
      <name val="Carlito"/>
    </font>
    <font>
      <b/>
      <sz val="11"/>
      <name val="Carlito"/>
    </font>
    <font>
      <b/>
      <sz val="12"/>
      <color rgb="FFFFFFFF"/>
      <name val="Carlito"/>
    </font>
    <font>
      <b/>
      <sz val="11"/>
      <color rgb="FFFFFFFF"/>
      <name val="Carlito"/>
    </font>
    <font>
      <b/>
      <sz val="14"/>
      <color rgb="FFFFFFFF"/>
      <name val="Carlito"/>
    </font>
    <font>
      <sz val="11"/>
      <name val="Carlito"/>
    </font>
    <font>
      <b/>
      <sz val="12"/>
      <color theme="0"/>
      <name val="Carlito"/>
    </font>
    <font>
      <sz val="11"/>
      <color theme="0"/>
      <name val="Carlito"/>
    </font>
    <font>
      <i/>
      <sz val="11"/>
      <color rgb="FF1F1F1F"/>
      <name val="Carlito"/>
    </font>
    <font>
      <sz val="10"/>
      <name val="Carlito"/>
    </font>
    <font>
      <b/>
      <sz val="11"/>
      <color rgb="FFC00000"/>
      <name val="Carlito"/>
    </font>
    <font>
      <b/>
      <sz val="11"/>
      <color rgb="FF000000"/>
      <name val="Carlito"/>
    </font>
    <font>
      <i/>
      <sz val="11"/>
      <name val="Carlito"/>
    </font>
    <font>
      <sz val="11"/>
      <color rgb="FFC00000"/>
      <name val="Carlito"/>
    </font>
    <font>
      <b/>
      <sz val="11"/>
      <color rgb="FF375623"/>
      <name val="Carlito"/>
    </font>
    <font>
      <i/>
      <sz val="11"/>
      <color rgb="FF666666"/>
      <name val="Carlito"/>
    </font>
    <font>
      <b/>
      <sz val="11"/>
      <color rgb="FF1F1F1F"/>
      <name val="Carlito"/>
    </font>
  </fonts>
  <fills count="49">
    <fill>
      <patternFill patternType="none"/>
    </fill>
    <fill>
      <patternFill patternType="gray125"/>
    </fill>
    <fill>
      <patternFill patternType="solid">
        <fgColor rgb="FF1F4E78"/>
      </patternFill>
    </fill>
    <fill>
      <patternFill patternType="solid">
        <fgColor rgb="FFD9EAF7"/>
      </patternFill>
    </fill>
    <fill>
      <patternFill patternType="solid">
        <fgColor rgb="FFD9EAD3"/>
      </patternFill>
    </fill>
    <fill>
      <patternFill patternType="solid">
        <fgColor rgb="FFFCE4D6"/>
      </patternFill>
    </fill>
    <fill>
      <patternFill patternType="solid">
        <fgColor rgb="FFE2F0D9"/>
      </patternFill>
    </fill>
    <fill>
      <patternFill patternType="solid">
        <fgColor rgb="FFFFF2CC"/>
      </patternFill>
    </fill>
    <fill>
      <patternFill patternType="solid">
        <fgColor rgb="FFEAF2F8"/>
      </patternFill>
    </fill>
    <fill>
      <patternFill patternType="solid">
        <fgColor rgb="FF5B9BD5"/>
      </patternFill>
    </fill>
    <fill>
      <patternFill patternType="solid">
        <fgColor rgb="FFFF9999"/>
      </patternFill>
    </fill>
    <fill>
      <patternFill patternType="solid">
        <fgColor rgb="FFF4B183"/>
      </patternFill>
    </fill>
    <fill>
      <patternFill patternType="solid">
        <fgColor rgb="FF17365D"/>
      </patternFill>
    </fill>
    <fill>
      <patternFill patternType="solid">
        <fgColor rgb="FFFFFFFF"/>
      </patternFill>
    </fill>
    <fill>
      <patternFill patternType="solid">
        <fgColor rgb="FFF2F2F2"/>
      </patternFill>
    </fill>
    <fill>
      <patternFill patternType="solid">
        <fgColor rgb="FF4472C4"/>
      </patternFill>
    </fill>
    <fill>
      <patternFill patternType="solid">
        <fgColor rgb="FFEAF4E2"/>
      </patternFill>
    </fill>
    <fill>
      <patternFill patternType="solid">
        <fgColor rgb="FFFFF2CC"/>
      </patternFill>
    </fill>
    <fill>
      <patternFill patternType="solid">
        <fgColor rgb="FFE2F0D9"/>
      </patternFill>
    </fill>
    <fill>
      <patternFill patternType="solid">
        <fgColor rgb="FF1F4E78"/>
      </patternFill>
    </fill>
    <fill>
      <patternFill patternType="solid">
        <fgColor rgb="FFF4B183"/>
      </patternFill>
    </fill>
    <fill>
      <patternFill patternType="solid">
        <fgColor rgb="FFD9EAF7"/>
      </patternFill>
    </fill>
    <fill>
      <patternFill patternType="solid">
        <fgColor rgb="FFE2F0D9"/>
      </patternFill>
    </fill>
    <fill>
      <patternFill patternType="solid">
        <fgColor rgb="FFFFF2CC"/>
      </patternFill>
    </fill>
    <fill>
      <patternFill patternType="solid">
        <fgColor rgb="FFF4CCCC"/>
      </patternFill>
    </fill>
    <fill>
      <patternFill patternType="solid">
        <fgColor rgb="FFFCE4D6"/>
      </patternFill>
    </fill>
    <fill>
      <patternFill patternType="solid">
        <fgColor rgb="FF5B9BD5"/>
      </patternFill>
    </fill>
    <fill>
      <patternFill patternType="solid">
        <fgColor rgb="FFE2F0D9"/>
      </patternFill>
    </fill>
    <fill>
      <patternFill patternType="solid">
        <fgColor rgb="FF17365D"/>
      </patternFill>
    </fill>
    <fill>
      <patternFill patternType="solid">
        <fgColor rgb="FFF3F6F8"/>
      </patternFill>
    </fill>
    <fill>
      <patternFill patternType="solid">
        <fgColor rgb="FFFFF2CC"/>
      </patternFill>
    </fill>
    <fill>
      <patternFill patternType="solid">
        <fgColor rgb="FFE2F0D9"/>
      </patternFill>
    </fill>
    <fill>
      <patternFill patternType="solid">
        <fgColor rgb="FFD9EAF7"/>
      </patternFill>
    </fill>
    <fill>
      <patternFill patternType="solid">
        <fgColor rgb="FF1F4E78"/>
      </patternFill>
    </fill>
    <fill>
      <patternFill patternType="solid">
        <fgColor rgb="FFD9EAD3"/>
      </patternFill>
    </fill>
    <fill>
      <patternFill patternType="solid">
        <fgColor rgb="FF5B9BD5"/>
      </patternFill>
    </fill>
    <fill>
      <patternFill patternType="solid">
        <fgColor rgb="FFD9EAF7"/>
      </patternFill>
    </fill>
    <fill>
      <patternFill patternType="solid">
        <fgColor rgb="FFE2F0D9"/>
      </patternFill>
    </fill>
    <fill>
      <patternFill patternType="solid">
        <fgColor rgb="FFFCE4D6"/>
      </patternFill>
    </fill>
    <fill>
      <patternFill patternType="solid">
        <fgColor rgb="FFFFF2CC"/>
      </patternFill>
    </fill>
    <fill>
      <patternFill patternType="solid">
        <fgColor rgb="FFE7E6E6"/>
      </patternFill>
    </fill>
    <fill>
      <patternFill patternType="solid">
        <fgColor rgb="FF5B9BD5"/>
      </patternFill>
    </fill>
    <fill>
      <patternFill patternType="solid">
        <fgColor rgb="FFD9EAF7"/>
      </patternFill>
    </fill>
    <fill>
      <patternFill patternType="solid">
        <fgColor rgb="FF1F4E78"/>
      </patternFill>
    </fill>
    <fill>
      <patternFill patternType="solid">
        <fgColor rgb="FFE2F0D9"/>
      </patternFill>
    </fill>
    <fill>
      <patternFill patternType="solid">
        <fgColor rgb="FFFCE4D6"/>
      </patternFill>
    </fill>
    <fill>
      <patternFill patternType="solid">
        <fgColor rgb="FFFFF2CC"/>
      </patternFill>
    </fill>
    <fill>
      <patternFill patternType="solid">
        <fgColor rgb="FF1F4E78"/>
      </patternFill>
    </fill>
    <fill>
      <patternFill patternType="solid">
        <fgColor rgb="FFE2F0D9"/>
      </patternFill>
    </fill>
  </fills>
  <borders count="15">
    <border>
      <left/>
      <right/>
      <top/>
      <bottom/>
      <diagonal/>
    </border>
    <border>
      <left style="thin">
        <color rgb="FFD9E1F2"/>
      </left>
      <right style="thin">
        <color rgb="FFD9E1F2"/>
      </right>
      <top style="thin">
        <color rgb="FFD9E1F2"/>
      </top>
      <bottom style="thin">
        <color rgb="FFD9E1F2"/>
      </bottom>
      <diagonal/>
    </border>
    <border>
      <left style="thin">
        <color rgb="FFD9E1F2"/>
      </left>
      <right/>
      <top/>
      <bottom/>
      <diagonal/>
    </border>
    <border>
      <left style="thin">
        <color rgb="FFD9E1F2"/>
      </left>
      <right style="thin">
        <color rgb="FFD9E1F2"/>
      </right>
      <top style="thin">
        <color rgb="FF000000"/>
      </top>
      <bottom style="thin">
        <color rgb="FFD9E1F2"/>
      </bottom>
      <diagonal/>
    </border>
    <border>
      <left/>
      <right/>
      <top/>
      <bottom/>
      <diagonal/>
    </border>
    <border>
      <left style="thin">
        <color rgb="FFD9E1F2"/>
      </left>
      <right/>
      <top/>
      <bottom style="thin">
        <color rgb="FFD9E1F2"/>
      </bottom>
      <diagonal/>
    </border>
    <border>
      <left/>
      <right/>
      <top/>
      <bottom style="thin">
        <color rgb="FFD9E1F2"/>
      </bottom>
      <diagonal/>
    </border>
    <border>
      <left style="thin">
        <color rgb="FFD9E1F2"/>
      </left>
      <right/>
      <top style="thin">
        <color rgb="FFD9E1F2"/>
      </top>
      <bottom/>
      <diagonal/>
    </border>
    <border>
      <left/>
      <right/>
      <top style="thin">
        <color rgb="FFD9E1F2"/>
      </top>
      <bottom/>
      <diagonal/>
    </border>
    <border>
      <left/>
      <right style="thin">
        <color rgb="FFD9E1F2"/>
      </right>
      <top style="thin">
        <color rgb="FFD9E1F2"/>
      </top>
      <bottom/>
      <diagonal/>
    </border>
    <border>
      <left/>
      <right style="thin">
        <color rgb="FFD9E1F2"/>
      </right>
      <top/>
      <bottom/>
      <diagonal/>
    </border>
    <border>
      <left/>
      <right style="thin">
        <color rgb="FFD9E1F2"/>
      </right>
      <top/>
      <bottom style="thin">
        <color rgb="FFD9E1F2"/>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2">
    <xf numFmtId="0" fontId="0" fillId="0" borderId="4"/>
    <xf numFmtId="44" fontId="6" fillId="0" borderId="4"/>
  </cellStyleXfs>
  <cellXfs count="304">
    <xf numFmtId="0" fontId="0" fillId="0" borderId="0" xfId="0" applyBorder="1"/>
    <xf numFmtId="0" fontId="0" fillId="0" borderId="0" xfId="0" applyBorder="1"/>
    <xf numFmtId="0" fontId="8" fillId="0" borderId="0" xfId="0" applyFont="1" applyBorder="1" applyAlignment="1">
      <alignment vertical="center"/>
    </xf>
    <xf numFmtId="0" fontId="0" fillId="0" borderId="0" xfId="0" applyBorder="1" applyAlignment="1">
      <alignment vertical="center"/>
    </xf>
    <xf numFmtId="44" fontId="0" fillId="0" borderId="0" xfId="1" applyFont="1" applyBorder="1"/>
    <xf numFmtId="44" fontId="2" fillId="8" borderId="1" xfId="0" applyNumberFormat="1" applyFont="1" applyFill="1" applyBorder="1" applyAlignment="1">
      <alignment vertical="top" wrapText="1"/>
    </xf>
    <xf numFmtId="44" fontId="2" fillId="4" borderId="1" xfId="0" applyNumberFormat="1" applyFont="1" applyFill="1" applyBorder="1" applyAlignment="1">
      <alignment vertical="top" wrapText="1"/>
    </xf>
    <xf numFmtId="0" fontId="2" fillId="4" borderId="1" xfId="0" applyNumberFormat="1" applyFont="1" applyFill="1" applyBorder="1" applyAlignment="1">
      <alignment vertical="top" wrapText="1"/>
    </xf>
    <xf numFmtId="0" fontId="2" fillId="8" borderId="1" xfId="0" applyNumberFormat="1" applyFont="1" applyFill="1" applyBorder="1" applyAlignment="1">
      <alignment vertical="top" wrapText="1"/>
    </xf>
    <xf numFmtId="0" fontId="2" fillId="3" borderId="1" xfId="0" applyNumberFormat="1" applyFont="1" applyFill="1" applyBorder="1" applyAlignment="1">
      <alignment vertical="top" wrapText="1"/>
    </xf>
    <xf numFmtId="0" fontId="2" fillId="4" borderId="0" xfId="0" applyNumberFormat="1" applyFont="1" applyFill="1" applyBorder="1" applyAlignment="1">
      <alignment vertical="top" wrapText="1"/>
    </xf>
    <xf numFmtId="0" fontId="4" fillId="2" borderId="0" xfId="0" applyNumberFormat="1" applyFont="1" applyFill="1" applyBorder="1" applyAlignment="1">
      <alignment vertical="top" wrapText="1"/>
    </xf>
    <xf numFmtId="0" fontId="4" fillId="2" borderId="0" xfId="0" applyNumberFormat="1" applyFont="1" applyFill="1" applyBorder="1" applyAlignment="1">
      <alignment vertical="center" wrapText="1"/>
    </xf>
    <xf numFmtId="0" fontId="4" fillId="2" borderId="1" xfId="0" applyNumberFormat="1" applyFont="1" applyFill="1" applyBorder="1" applyAlignment="1">
      <alignment vertical="center" wrapText="1"/>
    </xf>
    <xf numFmtId="4" fontId="4" fillId="2" borderId="1" xfId="0" applyNumberFormat="1" applyFont="1" applyFill="1" applyBorder="1" applyAlignment="1">
      <alignment vertical="center" wrapText="1"/>
    </xf>
    <xf numFmtId="164" fontId="4" fillId="2" borderId="1" xfId="0" applyNumberFormat="1" applyFont="1" applyFill="1" applyBorder="1" applyAlignment="1">
      <alignment vertical="center" wrapText="1"/>
    </xf>
    <xf numFmtId="0" fontId="3" fillId="2" borderId="0" xfId="0" applyNumberFormat="1" applyFont="1" applyFill="1" applyBorder="1" applyAlignment="1">
      <alignment vertical="top" wrapText="1"/>
    </xf>
    <xf numFmtId="4" fontId="2" fillId="7" borderId="0" xfId="0" applyNumberFormat="1" applyFont="1" applyFill="1" applyBorder="1" applyAlignment="1">
      <alignment vertical="center" wrapText="1"/>
    </xf>
    <xf numFmtId="4" fontId="2" fillId="6" borderId="1" xfId="0" applyNumberFormat="1" applyFont="1" applyFill="1" applyBorder="1" applyAlignment="1">
      <alignment vertical="center" wrapText="1"/>
    </xf>
    <xf numFmtId="0" fontId="4" fillId="15" borderId="0" xfId="0" applyNumberFormat="1" applyFont="1" applyFill="1" applyBorder="1" applyAlignment="1">
      <alignment horizontal="center" vertical="center" wrapText="1"/>
    </xf>
    <xf numFmtId="0" fontId="2" fillId="0" borderId="1" xfId="0" applyNumberFormat="1" applyFont="1" applyFill="1" applyBorder="1" applyAlignment="1">
      <alignment vertical="center" wrapText="1"/>
    </xf>
    <xf numFmtId="0" fontId="2" fillId="0" borderId="0" xfId="0" applyNumberFormat="1" applyFont="1" applyFill="1" applyBorder="1" applyAlignment="1">
      <alignment vertical="center" wrapText="1"/>
    </xf>
    <xf numFmtId="4" fontId="2" fillId="0" borderId="0" xfId="0" applyNumberFormat="1" applyFont="1" applyFill="1" applyBorder="1" applyAlignment="1">
      <alignment vertical="center" wrapText="1"/>
    </xf>
    <xf numFmtId="164" fontId="2" fillId="0" borderId="0" xfId="0" applyNumberFormat="1" applyFont="1" applyFill="1" applyBorder="1" applyAlignment="1">
      <alignment vertical="center" wrapText="1"/>
    </xf>
    <xf numFmtId="165" fontId="2" fillId="0" borderId="1" xfId="0" applyNumberFormat="1" applyFont="1" applyFill="1" applyBorder="1" applyAlignment="1">
      <alignment vertical="center" wrapText="1"/>
    </xf>
    <xf numFmtId="0" fontId="2" fillId="0" borderId="0" xfId="0" applyNumberFormat="1" applyFont="1" applyFill="1" applyBorder="1" applyAlignment="1">
      <alignment vertical="top" wrapText="1"/>
    </xf>
    <xf numFmtId="0" fontId="0" fillId="0" borderId="0" xfId="0" applyNumberFormat="1" applyFont="1" applyFill="1" applyBorder="1" applyAlignment="1">
      <alignment vertical="top" wrapText="1"/>
    </xf>
    <xf numFmtId="0" fontId="0" fillId="0" borderId="0" xfId="0" applyNumberFormat="1" applyFont="1" applyFill="1" applyBorder="1" applyAlignment="1">
      <alignment wrapText="1"/>
    </xf>
    <xf numFmtId="0" fontId="0" fillId="0" borderId="1" xfId="0" applyNumberFormat="1" applyFont="1" applyFill="1" applyBorder="1" applyAlignment="1">
      <alignment vertical="top" wrapText="1"/>
    </xf>
    <xf numFmtId="0" fontId="7" fillId="2" borderId="0" xfId="0" applyNumberFormat="1" applyFont="1" applyFill="1" applyBorder="1" applyAlignment="1">
      <alignment vertical="center" wrapText="1"/>
    </xf>
    <xf numFmtId="0" fontId="0" fillId="0" borderId="0" xfId="0" applyNumberFormat="1" applyFont="1" applyFill="1" applyBorder="1" applyAlignment="1">
      <alignment vertical="center"/>
    </xf>
    <xf numFmtId="0" fontId="4" fillId="2" borderId="0" xfId="0" applyNumberFormat="1" applyFont="1" applyFill="1" applyBorder="1" applyAlignment="1">
      <alignment horizontal="center" vertical="center" wrapText="1"/>
    </xf>
    <xf numFmtId="0" fontId="2" fillId="3" borderId="1" xfId="0" applyNumberFormat="1" applyFont="1" applyFill="1" applyBorder="1" applyAlignment="1">
      <alignment vertical="center" wrapText="1"/>
    </xf>
    <xf numFmtId="0" fontId="2" fillId="14" borderId="1" xfId="0" applyNumberFormat="1" applyFont="1" applyFill="1" applyBorder="1" applyAlignment="1">
      <alignment vertical="center" wrapText="1"/>
    </xf>
    <xf numFmtId="0" fontId="2" fillId="14" borderId="0" xfId="0" applyNumberFormat="1" applyFont="1" applyFill="1" applyBorder="1" applyAlignment="1">
      <alignment vertical="center" wrapText="1"/>
    </xf>
    <xf numFmtId="0" fontId="2" fillId="13" borderId="1" xfId="0" applyNumberFormat="1" applyFont="1" applyFill="1" applyBorder="1" applyAlignment="1">
      <alignment vertical="center" wrapText="1"/>
    </xf>
    <xf numFmtId="0" fontId="2" fillId="13" borderId="0" xfId="0" applyNumberFormat="1" applyFont="1" applyFill="1" applyBorder="1" applyAlignment="1">
      <alignment vertical="center" wrapText="1"/>
    </xf>
    <xf numFmtId="166" fontId="0" fillId="0" borderId="0" xfId="0" applyNumberFormat="1" applyFont="1" applyFill="1" applyBorder="1" applyAlignment="1">
      <alignment vertical="top" wrapText="1"/>
    </xf>
    <xf numFmtId="44" fontId="0" fillId="0" borderId="0" xfId="0" applyNumberFormat="1" applyFont="1" applyFill="1" applyBorder="1" applyAlignment="1">
      <alignment vertical="top" wrapText="1"/>
    </xf>
    <xf numFmtId="44" fontId="0" fillId="8" borderId="1" xfId="0" applyNumberFormat="1" applyFont="1" applyFill="1" applyBorder="1" applyAlignment="1">
      <alignment vertical="top" wrapText="1"/>
    </xf>
    <xf numFmtId="44" fontId="0" fillId="8" borderId="0" xfId="0" applyNumberFormat="1" applyFont="1" applyFill="1" applyBorder="1" applyAlignment="1">
      <alignment vertical="top" wrapText="1"/>
    </xf>
    <xf numFmtId="44" fontId="4" fillId="2" borderId="0" xfId="0" applyNumberFormat="1" applyFont="1" applyFill="1" applyBorder="1" applyAlignment="1">
      <alignment vertical="top" wrapText="1"/>
    </xf>
    <xf numFmtId="44" fontId="0" fillId="0" borderId="0" xfId="0" applyNumberFormat="1" applyFont="1" applyFill="1" applyBorder="1" applyAlignment="1">
      <alignment wrapText="1"/>
    </xf>
    <xf numFmtId="167" fontId="0" fillId="0" borderId="0" xfId="0" applyNumberFormat="1" applyFont="1" applyFill="1" applyBorder="1" applyAlignment="1">
      <alignment wrapText="1"/>
    </xf>
    <xf numFmtId="164" fontId="0" fillId="0" borderId="0" xfId="0" applyNumberFormat="1" applyFont="1" applyFill="1" applyBorder="1" applyAlignment="1">
      <alignment vertical="top" wrapText="1"/>
    </xf>
    <xf numFmtId="0" fontId="0" fillId="16" borderId="7" xfId="0" applyNumberFormat="1" applyFont="1" applyFill="1" applyBorder="1" applyAlignment="1">
      <alignment wrapText="1"/>
    </xf>
    <xf numFmtId="0" fontId="0" fillId="16" borderId="8" xfId="0" applyNumberFormat="1" applyFont="1" applyFill="1" applyBorder="1" applyAlignment="1">
      <alignment wrapText="1"/>
    </xf>
    <xf numFmtId="0" fontId="0" fillId="16" borderId="2" xfId="0" applyNumberFormat="1" applyFont="1" applyFill="1" applyBorder="1" applyAlignment="1">
      <alignment wrapText="1"/>
    </xf>
    <xf numFmtId="0" fontId="0" fillId="16" borderId="0" xfId="0" applyNumberFormat="1" applyFont="1" applyFill="1" applyBorder="1" applyAlignment="1">
      <alignment wrapText="1"/>
    </xf>
    <xf numFmtId="164" fontId="0" fillId="7" borderId="8" xfId="0" applyNumberFormat="1" applyFont="1" applyFill="1" applyBorder="1" applyAlignment="1">
      <alignment wrapText="1"/>
    </xf>
    <xf numFmtId="0" fontId="0" fillId="7" borderId="8" xfId="0" applyNumberFormat="1" applyFont="1" applyFill="1" applyBorder="1" applyAlignment="1">
      <alignment wrapText="1"/>
    </xf>
    <xf numFmtId="0" fontId="0" fillId="7" borderId="9" xfId="0" applyNumberFormat="1" applyFont="1" applyFill="1" applyBorder="1" applyAlignment="1">
      <alignment wrapText="1"/>
    </xf>
    <xf numFmtId="164" fontId="0" fillId="7" borderId="0" xfId="0" applyNumberFormat="1" applyFont="1" applyFill="1" applyBorder="1" applyAlignment="1">
      <alignment wrapText="1"/>
    </xf>
    <xf numFmtId="0" fontId="0" fillId="7" borderId="0" xfId="0" applyNumberFormat="1" applyFont="1" applyFill="1" applyBorder="1" applyAlignment="1">
      <alignment wrapText="1"/>
    </xf>
    <xf numFmtId="0" fontId="0" fillId="7" borderId="10" xfId="0" applyNumberFormat="1" applyFont="1" applyFill="1" applyBorder="1" applyAlignment="1">
      <alignment wrapText="1"/>
    </xf>
    <xf numFmtId="164" fontId="0" fillId="7" borderId="6" xfId="0" applyNumberFormat="1" applyFont="1" applyFill="1" applyBorder="1" applyAlignment="1">
      <alignment wrapText="1"/>
    </xf>
    <xf numFmtId="0" fontId="0" fillId="7" borderId="6" xfId="0" applyNumberFormat="1" applyFont="1" applyFill="1" applyBorder="1" applyAlignment="1">
      <alignment wrapText="1"/>
    </xf>
    <xf numFmtId="0" fontId="0" fillId="7" borderId="11" xfId="0" applyNumberFormat="1" applyFont="1" applyFill="1" applyBorder="1" applyAlignment="1">
      <alignment wrapText="1"/>
    </xf>
    <xf numFmtId="49" fontId="0" fillId="7" borderId="8" xfId="0" applyNumberFormat="1" applyFont="1" applyFill="1" applyBorder="1" applyAlignment="1">
      <alignment wrapText="1"/>
    </xf>
    <xf numFmtId="49" fontId="0" fillId="7" borderId="0" xfId="0" applyNumberFormat="1" applyFont="1" applyFill="1" applyBorder="1" applyAlignment="1">
      <alignment wrapText="1"/>
    </xf>
    <xf numFmtId="2" fontId="0" fillId="7" borderId="0" xfId="0" applyNumberFormat="1" applyFont="1" applyFill="1" applyBorder="1" applyAlignment="1">
      <alignment wrapText="1"/>
    </xf>
    <xf numFmtId="2" fontId="0" fillId="7" borderId="6" xfId="0" applyNumberFormat="1" applyFont="1" applyFill="1" applyBorder="1" applyAlignment="1">
      <alignment wrapText="1"/>
    </xf>
    <xf numFmtId="167" fontId="0" fillId="7" borderId="0" xfId="0" applyNumberFormat="1" applyFont="1" applyFill="1" applyBorder="1" applyAlignment="1">
      <alignment wrapText="1"/>
    </xf>
    <xf numFmtId="167" fontId="0" fillId="7" borderId="6" xfId="0" applyNumberFormat="1" applyFont="1" applyFill="1" applyBorder="1" applyAlignment="1">
      <alignment wrapText="1"/>
    </xf>
    <xf numFmtId="49" fontId="0" fillId="7" borderId="6" xfId="0" applyNumberFormat="1" applyFont="1" applyFill="1" applyBorder="1" applyAlignment="1">
      <alignment wrapText="1"/>
    </xf>
    <xf numFmtId="0" fontId="10" fillId="16" borderId="2" xfId="0" applyNumberFormat="1" applyFont="1" applyFill="1" applyBorder="1" applyAlignment="1">
      <alignment wrapText="1"/>
    </xf>
    <xf numFmtId="0" fontId="10" fillId="16" borderId="0" xfId="0" applyNumberFormat="1" applyFont="1" applyFill="1" applyBorder="1" applyAlignment="1">
      <alignment wrapText="1"/>
    </xf>
    <xf numFmtId="0" fontId="10" fillId="16" borderId="5" xfId="0" applyNumberFormat="1" applyFont="1" applyFill="1" applyBorder="1" applyAlignment="1">
      <alignment wrapText="1"/>
    </xf>
    <xf numFmtId="0" fontId="10" fillId="16" borderId="6" xfId="0" applyNumberFormat="1" applyFont="1" applyFill="1" applyBorder="1" applyAlignment="1">
      <alignment wrapText="1"/>
    </xf>
    <xf numFmtId="4" fontId="2" fillId="6" borderId="0" xfId="0" applyNumberFormat="1" applyFont="1" applyFill="1" applyBorder="1" applyAlignment="1">
      <alignment vertical="center" wrapText="1"/>
    </xf>
    <xf numFmtId="0" fontId="2" fillId="6" borderId="1" xfId="0" applyNumberFormat="1" applyFont="1" applyFill="1" applyBorder="1" applyAlignment="1">
      <alignment vertical="center" wrapText="1"/>
    </xf>
    <xf numFmtId="0" fontId="2" fillId="6" borderId="0" xfId="0" applyNumberFormat="1" applyFont="1" applyFill="1" applyBorder="1" applyAlignment="1">
      <alignment vertical="center" wrapText="1"/>
    </xf>
    <xf numFmtId="164" fontId="10" fillId="7" borderId="0" xfId="0" applyNumberFormat="1" applyFont="1" applyFill="1" applyBorder="1" applyAlignment="1">
      <alignment wrapText="1"/>
    </xf>
    <xf numFmtId="0" fontId="10" fillId="7" borderId="0" xfId="0" applyNumberFormat="1" applyFont="1" applyFill="1" applyBorder="1" applyAlignment="1">
      <alignment wrapText="1"/>
    </xf>
    <xf numFmtId="49" fontId="10" fillId="7" borderId="0" xfId="0" applyNumberFormat="1" applyFont="1" applyFill="1" applyBorder="1" applyAlignment="1">
      <alignment wrapText="1"/>
    </xf>
    <xf numFmtId="0" fontId="10" fillId="7" borderId="10" xfId="0" applyNumberFormat="1" applyFont="1" applyFill="1" applyBorder="1" applyAlignment="1">
      <alignment wrapText="1"/>
    </xf>
    <xf numFmtId="164" fontId="10" fillId="7" borderId="6" xfId="0" applyNumberFormat="1" applyFont="1" applyFill="1" applyBorder="1" applyAlignment="1">
      <alignment wrapText="1"/>
    </xf>
    <xf numFmtId="0" fontId="10" fillId="7" borderId="6" xfId="0" applyNumberFormat="1" applyFont="1" applyFill="1" applyBorder="1" applyAlignment="1">
      <alignment wrapText="1"/>
    </xf>
    <xf numFmtId="49" fontId="10" fillId="7" borderId="6" xfId="0" applyNumberFormat="1" applyFont="1" applyFill="1" applyBorder="1" applyAlignment="1">
      <alignment wrapText="1"/>
    </xf>
    <xf numFmtId="0" fontId="10" fillId="7" borderId="11" xfId="0" applyNumberFormat="1" applyFont="1" applyFill="1" applyBorder="1" applyAlignment="1">
      <alignment wrapText="1"/>
    </xf>
    <xf numFmtId="0" fontId="0" fillId="6" borderId="2" xfId="0" applyNumberFormat="1" applyFont="1" applyFill="1" applyBorder="1" applyAlignment="1">
      <alignment wrapText="1"/>
    </xf>
    <xf numFmtId="0" fontId="0" fillId="6" borderId="0" xfId="0" applyNumberFormat="1" applyFont="1" applyFill="1" applyBorder="1" applyAlignment="1">
      <alignment wrapText="1"/>
    </xf>
    <xf numFmtId="2" fontId="0" fillId="6" borderId="0" xfId="0" applyNumberFormat="1" applyFont="1" applyFill="1" applyBorder="1" applyAlignment="1">
      <alignment wrapText="1"/>
    </xf>
    <xf numFmtId="164" fontId="0" fillId="6" borderId="0" xfId="0" applyNumberFormat="1" applyFont="1" applyFill="1" applyBorder="1" applyAlignment="1">
      <alignment wrapText="1"/>
    </xf>
    <xf numFmtId="0" fontId="0" fillId="6" borderId="5" xfId="0" applyNumberFormat="1" applyFont="1" applyFill="1" applyBorder="1" applyAlignment="1">
      <alignment wrapText="1"/>
    </xf>
    <xf numFmtId="0" fontId="0" fillId="6" borderId="6" xfId="0" applyNumberFormat="1" applyFont="1" applyFill="1" applyBorder="1" applyAlignment="1">
      <alignment wrapText="1"/>
    </xf>
    <xf numFmtId="2" fontId="0" fillId="6" borderId="6" xfId="0" applyNumberFormat="1" applyFont="1" applyFill="1" applyBorder="1" applyAlignment="1">
      <alignment wrapText="1"/>
    </xf>
    <xf numFmtId="164" fontId="0" fillId="6" borderId="6" xfId="0" applyNumberFormat="1" applyFont="1" applyFill="1" applyBorder="1" applyAlignment="1">
      <alignment wrapText="1"/>
    </xf>
    <xf numFmtId="164" fontId="11" fillId="17" borderId="0" xfId="0" applyNumberFormat="1" applyFont="1" applyFill="1" applyBorder="1" applyAlignment="1">
      <alignment wrapText="1"/>
    </xf>
    <xf numFmtId="164" fontId="0" fillId="18" borderId="0" xfId="0" applyNumberFormat="1" applyFont="1" applyFill="1" applyBorder="1" applyAlignment="1">
      <alignment wrapText="1"/>
    </xf>
    <xf numFmtId="0" fontId="2" fillId="21" borderId="0" xfId="0" applyNumberFormat="1" applyFont="1" applyFill="1" applyBorder="1"/>
    <xf numFmtId="0" fontId="0" fillId="22" borderId="0" xfId="0" applyNumberFormat="1" applyFont="1" applyFill="1" applyBorder="1"/>
    <xf numFmtId="0" fontId="0" fillId="23" borderId="0" xfId="0" applyNumberFormat="1" applyFont="1" applyFill="1" applyBorder="1"/>
    <xf numFmtId="0" fontId="0" fillId="24" borderId="0" xfId="0" applyNumberFormat="1" applyFont="1" applyFill="1" applyBorder="1"/>
    <xf numFmtId="0" fontId="2" fillId="25" borderId="0" xfId="0" applyNumberFormat="1" applyFont="1" applyFill="1" applyBorder="1"/>
    <xf numFmtId="0" fontId="4" fillId="26" borderId="12" xfId="0" applyNumberFormat="1" applyFont="1" applyFill="1" applyBorder="1" applyAlignment="1">
      <alignment vertical="top" wrapText="1"/>
    </xf>
    <xf numFmtId="0" fontId="4" fillId="26" borderId="13" xfId="0" applyNumberFormat="1" applyFont="1" applyFill="1" applyBorder="1" applyAlignment="1">
      <alignment vertical="top" wrapText="1"/>
    </xf>
    <xf numFmtId="0" fontId="4" fillId="26" borderId="14" xfId="0" applyNumberFormat="1" applyFont="1" applyFill="1" applyBorder="1" applyAlignment="1">
      <alignment vertical="top" wrapText="1"/>
    </xf>
    <xf numFmtId="0" fontId="0" fillId="0" borderId="0" xfId="0" applyNumberFormat="1" applyFont="1" applyFill="1" applyBorder="1" applyAlignment="1">
      <alignment vertical="top"/>
    </xf>
    <xf numFmtId="0" fontId="2" fillId="23" borderId="0" xfId="0" applyNumberFormat="1" applyFont="1" applyFill="1" applyBorder="1" applyAlignment="1">
      <alignment vertical="top" wrapText="1"/>
    </xf>
    <xf numFmtId="0" fontId="2" fillId="24" borderId="0" xfId="0" applyNumberFormat="1" applyFont="1" applyFill="1" applyBorder="1" applyAlignment="1">
      <alignment vertical="top" wrapText="1"/>
    </xf>
    <xf numFmtId="0" fontId="2" fillId="22" borderId="0" xfId="0" applyNumberFormat="1" applyFont="1" applyFill="1" applyBorder="1" applyAlignment="1">
      <alignment vertical="top" wrapText="1"/>
    </xf>
    <xf numFmtId="0" fontId="2" fillId="0" borderId="0" xfId="0" applyFont="1" applyBorder="1"/>
    <xf numFmtId="0" fontId="2" fillId="0" borderId="0" xfId="0" applyFont="1" applyBorder="1" applyAlignment="1">
      <alignment vertical="center"/>
    </xf>
    <xf numFmtId="0" fontId="2" fillId="5" borderId="1" xfId="0" applyNumberFormat="1" applyFont="1" applyFill="1" applyBorder="1" applyAlignment="1">
      <alignment vertical="center" wrapText="1"/>
    </xf>
    <xf numFmtId="0" fontId="2" fillId="5" borderId="0" xfId="0" applyNumberFormat="1" applyFont="1" applyFill="1" applyBorder="1" applyAlignment="1">
      <alignment vertical="center" wrapText="1"/>
    </xf>
    <xf numFmtId="0" fontId="0" fillId="0" borderId="0" xfId="0" applyNumberFormat="1" applyFont="1" applyFill="1" applyBorder="1" applyAlignment="1">
      <alignment vertical="center" wrapText="1"/>
    </xf>
    <xf numFmtId="0" fontId="0" fillId="0" borderId="1" xfId="0" applyNumberFormat="1" applyFont="1" applyFill="1" applyBorder="1" applyAlignment="1">
      <alignment vertical="center" wrapText="1"/>
    </xf>
    <xf numFmtId="0" fontId="2" fillId="4" borderId="1" xfId="0" applyNumberFormat="1" applyFont="1" applyFill="1" applyBorder="1" applyAlignment="1">
      <alignment vertical="center" wrapText="1"/>
    </xf>
    <xf numFmtId="0" fontId="2" fillId="4" borderId="0" xfId="0" applyNumberFormat="1" applyFont="1" applyFill="1" applyBorder="1" applyAlignment="1">
      <alignment vertical="center" wrapText="1"/>
    </xf>
    <xf numFmtId="0" fontId="0" fillId="7" borderId="1" xfId="0" applyNumberFormat="1" applyFont="1" applyFill="1" applyBorder="1" applyAlignment="1">
      <alignment vertical="center" wrapText="1"/>
    </xf>
    <xf numFmtId="0" fontId="0" fillId="0" borderId="2" xfId="0" applyNumberFormat="1" applyFont="1" applyFill="1" applyBorder="1" applyAlignment="1">
      <alignment vertical="center" wrapText="1"/>
    </xf>
    <xf numFmtId="0" fontId="0" fillId="0" borderId="10" xfId="0" applyNumberFormat="1" applyFont="1" applyFill="1" applyBorder="1" applyAlignment="1">
      <alignment vertical="center" wrapText="1"/>
    </xf>
    <xf numFmtId="0" fontId="0" fillId="0" borderId="5" xfId="0" applyNumberFormat="1" applyFont="1" applyFill="1" applyBorder="1" applyAlignment="1">
      <alignment vertical="center" wrapText="1"/>
    </xf>
    <xf numFmtId="0" fontId="0" fillId="0" borderId="6" xfId="0" applyNumberFormat="1" applyFont="1" applyFill="1" applyBorder="1" applyAlignment="1">
      <alignment vertical="center" wrapText="1"/>
    </xf>
    <xf numFmtId="0" fontId="0" fillId="0" borderId="11" xfId="0" applyNumberFormat="1" applyFont="1" applyFill="1" applyBorder="1" applyAlignment="1">
      <alignment vertical="center" wrapText="1"/>
    </xf>
    <xf numFmtId="0" fontId="2" fillId="21" borderId="0" xfId="0" applyNumberFormat="1" applyFont="1" applyFill="1" applyBorder="1" applyAlignment="1">
      <alignment horizontal="center" vertical="center"/>
    </xf>
    <xf numFmtId="0" fontId="0" fillId="23" borderId="0" xfId="0" applyNumberFormat="1" applyFont="1" applyFill="1" applyBorder="1" applyAlignment="1">
      <alignment vertical="center" wrapText="1"/>
    </xf>
    <xf numFmtId="0" fontId="0" fillId="0" borderId="1" xfId="0" applyNumberFormat="1" applyFont="1" applyFill="1" applyBorder="1" applyAlignment="1">
      <alignment vertical="center"/>
    </xf>
    <xf numFmtId="4" fontId="0" fillId="0" borderId="1" xfId="0" applyNumberFormat="1" applyFont="1" applyFill="1" applyBorder="1" applyAlignment="1">
      <alignment vertical="center" wrapText="1"/>
    </xf>
    <xf numFmtId="44" fontId="0" fillId="0" borderId="1" xfId="0" applyNumberFormat="1" applyFont="1" applyFill="1" applyBorder="1" applyAlignment="1">
      <alignment vertical="center" wrapText="1"/>
    </xf>
    <xf numFmtId="44" fontId="0" fillId="0" borderId="0" xfId="0" applyNumberFormat="1" applyFont="1" applyFill="1" applyBorder="1" applyAlignment="1">
      <alignment vertical="center" wrapText="1"/>
    </xf>
    <xf numFmtId="44" fontId="2" fillId="3" borderId="1" xfId="0" applyNumberFormat="1" applyFont="1" applyFill="1" applyBorder="1" applyAlignment="1">
      <alignment vertical="center" wrapText="1"/>
    </xf>
    <xf numFmtId="0" fontId="2" fillId="3" borderId="0" xfId="0" applyNumberFormat="1" applyFont="1" applyFill="1" applyBorder="1" applyAlignment="1">
      <alignment vertical="center" wrapText="1"/>
    </xf>
    <xf numFmtId="44" fontId="0" fillId="8" borderId="1" xfId="0" applyNumberFormat="1" applyFont="1" applyFill="1" applyBorder="1" applyAlignment="1">
      <alignment vertical="center" wrapText="1"/>
    </xf>
    <xf numFmtId="164" fontId="0" fillId="8" borderId="1" xfId="0" applyNumberFormat="1" applyFont="1" applyFill="1" applyBorder="1" applyAlignment="1">
      <alignment vertical="center"/>
    </xf>
    <xf numFmtId="164" fontId="2" fillId="4" borderId="1" xfId="0" applyNumberFormat="1" applyFont="1" applyFill="1" applyBorder="1" applyAlignment="1">
      <alignment vertical="center"/>
    </xf>
    <xf numFmtId="44" fontId="0" fillId="0" borderId="2" xfId="0" applyNumberFormat="1" applyFont="1" applyFill="1" applyBorder="1" applyAlignment="1">
      <alignment vertical="center" wrapText="1"/>
    </xf>
    <xf numFmtId="164" fontId="2" fillId="4" borderId="1" xfId="0" applyNumberFormat="1" applyFont="1" applyFill="1" applyBorder="1" applyAlignment="1">
      <alignment vertical="center" wrapText="1"/>
    </xf>
    <xf numFmtId="164" fontId="0" fillId="8" borderId="1" xfId="0" applyNumberFormat="1" applyFont="1" applyFill="1" applyBorder="1" applyAlignment="1">
      <alignment vertical="center" wrapText="1"/>
    </xf>
    <xf numFmtId="164" fontId="0" fillId="0" borderId="0" xfId="0" applyNumberFormat="1" applyFont="1" applyFill="1" applyBorder="1" applyAlignment="1">
      <alignment vertical="center" wrapText="1"/>
    </xf>
    <xf numFmtId="44" fontId="2" fillId="8" borderId="1" xfId="0" applyNumberFormat="1" applyFont="1" applyFill="1" applyBorder="1" applyAlignment="1">
      <alignment vertical="center" wrapText="1"/>
    </xf>
    <xf numFmtId="44" fontId="2" fillId="4" borderId="1" xfId="0" applyNumberFormat="1" applyFont="1" applyFill="1" applyBorder="1" applyAlignment="1">
      <alignment vertical="center" wrapText="1"/>
    </xf>
    <xf numFmtId="44" fontId="0" fillId="8" borderId="0" xfId="0" applyNumberFormat="1" applyFont="1" applyFill="1" applyBorder="1" applyAlignment="1">
      <alignment vertical="center" wrapText="1"/>
    </xf>
    <xf numFmtId="44" fontId="2" fillId="8" borderId="0" xfId="0" applyNumberFormat="1" applyFont="1" applyFill="1" applyBorder="1" applyAlignment="1">
      <alignment vertical="top" wrapText="1"/>
    </xf>
    <xf numFmtId="0" fontId="3" fillId="2" borderId="0" xfId="0" applyNumberFormat="1" applyFont="1" applyFill="1" applyBorder="1" applyAlignment="1">
      <alignment vertical="center" wrapText="1"/>
    </xf>
    <xf numFmtId="10" fontId="0" fillId="7" borderId="0" xfId="0" applyNumberFormat="1" applyFont="1" applyFill="1" applyBorder="1" applyAlignment="1">
      <alignment vertical="center" wrapText="1"/>
    </xf>
    <xf numFmtId="164" fontId="0" fillId="7" borderId="0" xfId="0" applyNumberFormat="1" applyFont="1" applyFill="1" applyBorder="1" applyAlignment="1">
      <alignment vertical="center" wrapText="1"/>
    </xf>
    <xf numFmtId="0" fontId="0" fillId="10" borderId="1" xfId="0" applyNumberFormat="1" applyFont="1" applyFill="1" applyBorder="1" applyAlignment="1">
      <alignment vertical="center" wrapText="1"/>
    </xf>
    <xf numFmtId="0" fontId="0" fillId="11" borderId="1" xfId="0" applyNumberFormat="1" applyFont="1" applyFill="1" applyBorder="1" applyAlignment="1">
      <alignment vertical="center" wrapText="1"/>
    </xf>
    <xf numFmtId="0" fontId="0" fillId="7" borderId="0" xfId="0" applyNumberFormat="1" applyFont="1" applyFill="1" applyBorder="1" applyAlignment="1">
      <alignment vertical="center" wrapText="1"/>
    </xf>
    <xf numFmtId="167" fontId="0" fillId="7" borderId="0" xfId="0" applyNumberFormat="1" applyFont="1" applyFill="1" applyBorder="1" applyAlignment="1">
      <alignment vertical="center" wrapText="1"/>
    </xf>
    <xf numFmtId="0" fontId="5" fillId="12" borderId="0" xfId="0" applyNumberFormat="1" applyFont="1" applyFill="1" applyBorder="1" applyAlignment="1">
      <alignment vertical="center" wrapText="1"/>
    </xf>
    <xf numFmtId="4" fontId="5" fillId="12" borderId="0" xfId="0" applyNumberFormat="1" applyFont="1" applyFill="1" applyBorder="1" applyAlignment="1">
      <alignment vertical="center" wrapText="1"/>
    </xf>
    <xf numFmtId="164" fontId="5" fillId="12" borderId="0" xfId="0" applyNumberFormat="1" applyFont="1" applyFill="1" applyBorder="1" applyAlignment="1">
      <alignment vertical="center" wrapText="1"/>
    </xf>
    <xf numFmtId="0" fontId="5" fillId="12" borderId="1" xfId="0" applyNumberFormat="1" applyFont="1" applyFill="1" applyBorder="1" applyAlignment="1">
      <alignment vertical="center" wrapText="1"/>
    </xf>
    <xf numFmtId="0" fontId="0" fillId="6" borderId="0" xfId="0" applyNumberFormat="1" applyFont="1" applyFill="1" applyBorder="1" applyAlignment="1">
      <alignment vertical="center" wrapText="1"/>
    </xf>
    <xf numFmtId="0" fontId="0" fillId="14" borderId="1" xfId="0" applyNumberFormat="1" applyFont="1" applyFill="1" applyBorder="1" applyAlignment="1">
      <alignment vertical="center" wrapText="1"/>
    </xf>
    <xf numFmtId="4" fontId="0" fillId="7" borderId="1" xfId="0" applyNumberFormat="1" applyFont="1" applyFill="1" applyBorder="1" applyAlignment="1">
      <alignment vertical="center" wrapText="1"/>
    </xf>
    <xf numFmtId="4" fontId="0" fillId="6" borderId="1" xfId="0" applyNumberFormat="1" applyFont="1" applyFill="1" applyBorder="1" applyAlignment="1">
      <alignment vertical="center" wrapText="1"/>
    </xf>
    <xf numFmtId="0" fontId="0" fillId="6" borderId="1" xfId="0" applyNumberFormat="1" applyFont="1" applyFill="1" applyBorder="1" applyAlignment="1">
      <alignment vertical="center" wrapText="1"/>
    </xf>
    <xf numFmtId="0" fontId="0" fillId="13" borderId="1" xfId="0" applyNumberFormat="1" applyFont="1" applyFill="1" applyBorder="1" applyAlignment="1">
      <alignment vertical="center" wrapText="1"/>
    </xf>
    <xf numFmtId="4" fontId="2" fillId="7" borderId="1" xfId="0" applyNumberFormat="1" applyFont="1" applyFill="1" applyBorder="1" applyAlignment="1">
      <alignment vertical="center" wrapText="1"/>
    </xf>
    <xf numFmtId="0" fontId="0" fillId="14" borderId="0" xfId="0" applyNumberFormat="1" applyFont="1" applyFill="1" applyBorder="1" applyAlignment="1">
      <alignment vertical="center" wrapText="1"/>
    </xf>
    <xf numFmtId="4" fontId="0" fillId="7" borderId="0" xfId="0" applyNumberFormat="1" applyFont="1" applyFill="1" applyBorder="1" applyAlignment="1">
      <alignment vertical="center" wrapText="1"/>
    </xf>
    <xf numFmtId="4" fontId="0" fillId="6" borderId="0" xfId="0" applyNumberFormat="1" applyFont="1" applyFill="1" applyBorder="1" applyAlignment="1">
      <alignment vertical="center" wrapText="1"/>
    </xf>
    <xf numFmtId="0" fontId="0" fillId="13" borderId="0" xfId="0" applyNumberFormat="1" applyFont="1" applyFill="1" applyBorder="1" applyAlignment="1">
      <alignment vertical="center" wrapText="1"/>
    </xf>
    <xf numFmtId="0" fontId="2" fillId="4" borderId="3" xfId="0" applyNumberFormat="1" applyFont="1" applyFill="1" applyBorder="1" applyAlignment="1">
      <alignment vertical="center" wrapText="1"/>
    </xf>
    <xf numFmtId="4" fontId="2" fillId="4" borderId="3" xfId="0" applyNumberFormat="1" applyFont="1" applyFill="1" applyBorder="1" applyAlignment="1">
      <alignment vertical="center" wrapText="1"/>
    </xf>
    <xf numFmtId="164" fontId="2" fillId="4" borderId="3" xfId="0" applyNumberFormat="1" applyFont="1" applyFill="1" applyBorder="1" applyAlignment="1">
      <alignment vertical="center" wrapText="1"/>
    </xf>
    <xf numFmtId="164" fontId="0" fillId="0" borderId="1" xfId="0" applyNumberFormat="1" applyFont="1" applyFill="1" applyBorder="1" applyAlignment="1">
      <alignment vertical="center" wrapText="1"/>
    </xf>
    <xf numFmtId="165" fontId="0" fillId="0" borderId="1" xfId="0" applyNumberFormat="1" applyFont="1" applyFill="1" applyBorder="1" applyAlignment="1">
      <alignment vertical="center" wrapText="1"/>
    </xf>
    <xf numFmtId="4" fontId="2" fillId="0" borderId="1" xfId="0" applyNumberFormat="1" applyFont="1" applyFill="1" applyBorder="1" applyAlignment="1">
      <alignment vertical="center" wrapText="1"/>
    </xf>
    <xf numFmtId="164" fontId="2" fillId="0" borderId="1" xfId="0" applyNumberFormat="1" applyFont="1" applyFill="1" applyBorder="1" applyAlignment="1">
      <alignment vertical="center" wrapText="1"/>
    </xf>
    <xf numFmtId="4" fontId="0" fillId="0" borderId="0" xfId="0" applyNumberFormat="1" applyFont="1" applyFill="1" applyBorder="1" applyAlignment="1">
      <alignment vertical="center" wrapText="1"/>
    </xf>
    <xf numFmtId="10" fontId="0" fillId="0" borderId="1" xfId="0" applyNumberFormat="1" applyFont="1" applyFill="1" applyBorder="1" applyAlignment="1">
      <alignment vertical="center" wrapText="1"/>
    </xf>
    <xf numFmtId="165" fontId="0" fillId="0" borderId="0" xfId="0" applyNumberFormat="1" applyFont="1" applyFill="1" applyBorder="1" applyAlignment="1">
      <alignment vertical="center" wrapText="1"/>
    </xf>
    <xf numFmtId="0" fontId="4" fillId="9" borderId="0" xfId="0" applyNumberFormat="1" applyFont="1" applyFill="1" applyBorder="1" applyAlignment="1">
      <alignment vertical="center" wrapText="1"/>
    </xf>
    <xf numFmtId="44" fontId="0" fillId="6" borderId="0" xfId="0" applyNumberFormat="1" applyFont="1" applyFill="1" applyBorder="1" applyAlignment="1">
      <alignment vertical="center" wrapText="1"/>
    </xf>
    <xf numFmtId="167" fontId="0" fillId="0" borderId="0" xfId="0" applyNumberFormat="1" applyFont="1" applyFill="1" applyBorder="1" applyAlignment="1">
      <alignment vertical="center" wrapText="1"/>
    </xf>
    <xf numFmtId="167" fontId="0" fillId="6" borderId="0" xfId="0" applyNumberFormat="1" applyFont="1" applyFill="1" applyBorder="1" applyAlignment="1">
      <alignment vertical="center" wrapText="1"/>
    </xf>
    <xf numFmtId="167" fontId="4" fillId="2" borderId="0" xfId="0" applyNumberFormat="1" applyFont="1" applyFill="1" applyBorder="1" applyAlignment="1">
      <alignment vertical="center" wrapText="1"/>
    </xf>
    <xf numFmtId="44" fontId="4" fillId="2" borderId="0" xfId="0" applyNumberFormat="1" applyFont="1" applyFill="1" applyBorder="1" applyAlignment="1">
      <alignment vertical="center" wrapText="1"/>
    </xf>
    <xf numFmtId="0" fontId="4" fillId="2" borderId="7" xfId="0" applyNumberFormat="1" applyFont="1" applyFill="1" applyBorder="1" applyAlignment="1">
      <alignment horizontal="center" vertical="center" wrapText="1"/>
    </xf>
    <xf numFmtId="0" fontId="4" fillId="2" borderId="8" xfId="0" applyNumberFormat="1" applyFont="1" applyFill="1" applyBorder="1" applyAlignment="1">
      <alignment horizontal="center" vertical="center" wrapText="1"/>
    </xf>
    <xf numFmtId="0" fontId="4" fillId="2" borderId="9" xfId="0" applyNumberFormat="1" applyFont="1" applyFill="1" applyBorder="1" applyAlignment="1">
      <alignment horizontal="center" vertical="center" wrapText="1"/>
    </xf>
    <xf numFmtId="0" fontId="2" fillId="21" borderId="0" xfId="0" applyNumberFormat="1" applyFont="1" applyFill="1" applyBorder="1" applyAlignment="1">
      <alignment vertical="center"/>
    </xf>
    <xf numFmtId="0" fontId="0" fillId="22" borderId="0" xfId="0" applyNumberFormat="1" applyFont="1" applyFill="1" applyBorder="1" applyAlignment="1">
      <alignment vertical="center"/>
    </xf>
    <xf numFmtId="164" fontId="0" fillId="22" borderId="0" xfId="0" applyNumberFormat="1" applyFont="1" applyFill="1" applyBorder="1" applyAlignment="1">
      <alignment vertical="center"/>
    </xf>
    <xf numFmtId="0" fontId="0" fillId="24" borderId="0" xfId="0" applyNumberFormat="1" applyFont="1" applyFill="1" applyBorder="1" applyAlignment="1">
      <alignment vertical="center"/>
    </xf>
    <xf numFmtId="164" fontId="0" fillId="24" borderId="0" xfId="0" applyNumberFormat="1" applyFont="1" applyFill="1" applyBorder="1" applyAlignment="1">
      <alignment vertical="center"/>
    </xf>
    <xf numFmtId="0" fontId="0" fillId="23" borderId="0" xfId="0" applyNumberFormat="1" applyFont="1" applyFill="1" applyBorder="1" applyAlignment="1">
      <alignment vertical="center"/>
    </xf>
    <xf numFmtId="164" fontId="0" fillId="23" borderId="0" xfId="0" applyNumberFormat="1" applyFont="1" applyFill="1" applyBorder="1" applyAlignment="1">
      <alignment vertical="center"/>
    </xf>
    <xf numFmtId="0" fontId="2" fillId="25" borderId="0" xfId="0" applyNumberFormat="1" applyFont="1" applyFill="1" applyBorder="1" applyAlignment="1">
      <alignment vertical="center"/>
    </xf>
    <xf numFmtId="0" fontId="4" fillId="26" borderId="0" xfId="0" applyNumberFormat="1" applyFont="1" applyFill="1" applyBorder="1" applyAlignment="1">
      <alignment vertical="center" wrapText="1"/>
    </xf>
    <xf numFmtId="164" fontId="0" fillId="22" borderId="0" xfId="0" applyNumberFormat="1" applyFont="1" applyFill="1" applyBorder="1" applyAlignment="1">
      <alignment vertical="center" wrapText="1"/>
    </xf>
    <xf numFmtId="168" fontId="0" fillId="22" borderId="0" xfId="0" applyNumberFormat="1" applyFont="1" applyFill="1" applyBorder="1" applyAlignment="1">
      <alignment vertical="center" wrapText="1"/>
    </xf>
    <xf numFmtId="168" fontId="11" fillId="23" borderId="0" xfId="0" applyNumberFormat="1" applyFont="1" applyFill="1" applyBorder="1" applyAlignment="1">
      <alignment vertical="center" wrapText="1"/>
    </xf>
    <xf numFmtId="0" fontId="0" fillId="22" borderId="0" xfId="0" applyNumberFormat="1" applyFont="1" applyFill="1" applyBorder="1" applyAlignment="1">
      <alignment vertical="center" wrapText="1"/>
    </xf>
    <xf numFmtId="0" fontId="2" fillId="23" borderId="0" xfId="0" applyNumberFormat="1" applyFont="1" applyFill="1" applyBorder="1" applyAlignment="1">
      <alignment vertical="center" wrapText="1"/>
    </xf>
    <xf numFmtId="0" fontId="2" fillId="24" borderId="0" xfId="0" applyNumberFormat="1" applyFont="1" applyFill="1" applyBorder="1" applyAlignment="1">
      <alignment vertical="center" wrapText="1"/>
    </xf>
    <xf numFmtId="168" fontId="14" fillId="23" borderId="0" xfId="0" applyNumberFormat="1" applyFont="1" applyFill="1" applyBorder="1" applyAlignment="1">
      <alignment vertical="center" wrapText="1"/>
    </xf>
    <xf numFmtId="0" fontId="2" fillId="22" borderId="0" xfId="0" applyNumberFormat="1" applyFont="1" applyFill="1" applyBorder="1" applyAlignment="1">
      <alignment vertical="center" wrapText="1"/>
    </xf>
    <xf numFmtId="164" fontId="2" fillId="6" borderId="1" xfId="0" applyNumberFormat="1" applyFont="1" applyFill="1" applyBorder="1" applyAlignment="1">
      <alignment horizontal="center" vertical="center" wrapText="1"/>
    </xf>
    <xf numFmtId="10" fontId="0" fillId="7" borderId="0" xfId="0" applyNumberFormat="1" applyFont="1" applyFill="1" applyBorder="1" applyAlignment="1">
      <alignment vertical="center" wrapText="1"/>
    </xf>
    <xf numFmtId="10" fontId="0" fillId="7" borderId="1" xfId="0" applyNumberFormat="1" applyFont="1" applyFill="1" applyBorder="1" applyAlignment="1">
      <alignment vertical="center" wrapText="1"/>
    </xf>
    <xf numFmtId="1" fontId="0" fillId="7" borderId="0" xfId="0" applyNumberFormat="1" applyFont="1" applyFill="1" applyBorder="1" applyAlignment="1">
      <alignment vertical="center" wrapText="1"/>
    </xf>
    <xf numFmtId="0" fontId="0" fillId="30" borderId="0" xfId="0" applyNumberFormat="1" applyFont="1" applyFill="1" applyBorder="1"/>
    <xf numFmtId="164" fontId="0" fillId="0" borderId="0" xfId="0" applyNumberFormat="1" applyFont="1" applyFill="1" applyBorder="1"/>
    <xf numFmtId="164" fontId="0" fillId="31" borderId="0" xfId="0" applyNumberFormat="1" applyFont="1" applyFill="1" applyBorder="1"/>
    <xf numFmtId="0" fontId="0" fillId="29" borderId="0" xfId="0" applyNumberFormat="1" applyFont="1" applyFill="1" applyBorder="1" applyAlignment="1">
      <alignment vertical="top" wrapText="1"/>
    </xf>
    <xf numFmtId="0" fontId="4" fillId="28" borderId="0" xfId="0" applyNumberFormat="1" applyFont="1" applyFill="1" applyBorder="1" applyAlignment="1">
      <alignment vertical="top" wrapText="1"/>
    </xf>
    <xf numFmtId="4" fontId="0" fillId="0" borderId="0" xfId="0" applyNumberFormat="1" applyFont="1" applyFill="1" applyBorder="1" applyAlignment="1">
      <alignment vertical="top" wrapText="1"/>
    </xf>
    <xf numFmtId="4" fontId="0" fillId="30" borderId="0" xfId="0" applyNumberFormat="1" applyFont="1" applyFill="1" applyBorder="1" applyAlignment="1">
      <alignment vertical="top" wrapText="1"/>
    </xf>
    <xf numFmtId="169" fontId="0" fillId="30" borderId="0" xfId="0" applyNumberFormat="1" applyFont="1" applyFill="1" applyBorder="1" applyAlignment="1">
      <alignment vertical="top" wrapText="1"/>
    </xf>
    <xf numFmtId="1" fontId="0" fillId="0" borderId="0" xfId="0" applyNumberFormat="1" applyFont="1" applyFill="1" applyBorder="1" applyAlignment="1">
      <alignment vertical="top" wrapText="1"/>
    </xf>
    <xf numFmtId="169" fontId="0" fillId="0" borderId="0" xfId="0" applyNumberFormat="1" applyFont="1" applyFill="1" applyBorder="1" applyAlignment="1">
      <alignment vertical="top" wrapText="1"/>
    </xf>
    <xf numFmtId="164" fontId="0" fillId="0" borderId="0" xfId="0" applyNumberFormat="1" applyFont="1" applyFill="1" applyBorder="1" applyAlignment="1">
      <alignment vertical="top" wrapText="1"/>
    </xf>
    <xf numFmtId="164" fontId="0" fillId="30" borderId="0" xfId="0" applyNumberFormat="1" applyFont="1" applyFill="1" applyBorder="1" applyAlignment="1">
      <alignment vertical="top" wrapText="1"/>
    </xf>
    <xf numFmtId="0" fontId="0" fillId="30" borderId="0" xfId="0" applyNumberFormat="1" applyFont="1" applyFill="1" applyBorder="1" applyAlignment="1">
      <alignment vertical="top" wrapText="1"/>
    </xf>
    <xf numFmtId="10" fontId="0" fillId="0" borderId="0" xfId="0" applyNumberFormat="1" applyFont="1" applyFill="1" applyBorder="1" applyAlignment="1">
      <alignment vertical="top" wrapText="1"/>
    </xf>
    <xf numFmtId="2" fontId="0" fillId="30" borderId="0" xfId="0" applyNumberFormat="1" applyFont="1" applyFill="1" applyBorder="1" applyAlignment="1">
      <alignment vertical="top" wrapText="1"/>
    </xf>
    <xf numFmtId="164" fontId="2" fillId="31" borderId="0" xfId="0" applyNumberFormat="1" applyFont="1" applyFill="1" applyBorder="1" applyAlignment="1">
      <alignment vertical="top" wrapText="1"/>
    </xf>
    <xf numFmtId="0" fontId="2" fillId="32" borderId="0" xfId="0" applyNumberFormat="1" applyFont="1" applyFill="1" applyBorder="1" applyAlignment="1">
      <alignment vertical="top" wrapText="1"/>
    </xf>
    <xf numFmtId="0" fontId="4" fillId="28" borderId="0" xfId="0" applyNumberFormat="1" applyFont="1" applyFill="1" applyBorder="1" applyAlignment="1">
      <alignment horizontal="center" wrapText="1"/>
    </xf>
    <xf numFmtId="164" fontId="2" fillId="31" borderId="0" xfId="0" applyNumberFormat="1" applyFont="1" applyFill="1" applyBorder="1" applyAlignment="1">
      <alignment vertical="center" wrapText="1"/>
    </xf>
    <xf numFmtId="10" fontId="0" fillId="29" borderId="0" xfId="0" applyNumberFormat="1" applyFont="1" applyFill="1" applyBorder="1" applyAlignment="1">
      <alignment vertical="center" wrapText="1"/>
    </xf>
    <xf numFmtId="10" fontId="0" fillId="0" borderId="0" xfId="0" applyNumberFormat="1" applyFont="1" applyFill="1" applyBorder="1" applyAlignment="1">
      <alignment vertical="center" wrapText="1"/>
    </xf>
    <xf numFmtId="164" fontId="0" fillId="6" borderId="0" xfId="0" applyNumberFormat="1" applyFont="1" applyFill="1" applyBorder="1" applyAlignment="1">
      <alignment vertical="center" wrapText="1"/>
    </xf>
    <xf numFmtId="164" fontId="0" fillId="0" borderId="0" xfId="0" applyNumberFormat="1" applyFont="1" applyFill="1" applyBorder="1" applyAlignment="1">
      <alignment wrapText="1"/>
    </xf>
    <xf numFmtId="0" fontId="2" fillId="6" borderId="0" xfId="0" applyNumberFormat="1" applyFont="1" applyFill="1" applyBorder="1" applyAlignment="1">
      <alignment vertical="top" wrapText="1"/>
    </xf>
    <xf numFmtId="1" fontId="0" fillId="7" borderId="0" xfId="0" applyNumberFormat="1" applyFont="1" applyFill="1" applyBorder="1" applyAlignment="1">
      <alignment vertical="top" wrapText="1"/>
    </xf>
    <xf numFmtId="0" fontId="0" fillId="7" borderId="0" xfId="0" applyNumberFormat="1" applyFont="1" applyFill="1" applyBorder="1" applyAlignment="1">
      <alignment vertical="top" wrapText="1"/>
    </xf>
    <xf numFmtId="0" fontId="5" fillId="33" borderId="0" xfId="0" applyNumberFormat="1" applyFont="1" applyFill="1" applyBorder="1" applyAlignment="1">
      <alignment vertical="center"/>
    </xf>
    <xf numFmtId="0" fontId="2" fillId="34" borderId="0" xfId="0" applyNumberFormat="1" applyFont="1" applyFill="1" applyBorder="1" applyAlignment="1">
      <alignment wrapText="1"/>
    </xf>
    <xf numFmtId="0" fontId="4" fillId="35" borderId="0" xfId="0" applyNumberFormat="1" applyFont="1" applyFill="1" applyBorder="1" applyAlignment="1">
      <alignment vertical="center" wrapText="1"/>
    </xf>
    <xf numFmtId="0" fontId="17" fillId="36" borderId="0" xfId="0" applyNumberFormat="1" applyFont="1" applyFill="1" applyBorder="1" applyAlignment="1">
      <alignment vertical="center"/>
    </xf>
    <xf numFmtId="164" fontId="0" fillId="37" borderId="0" xfId="0" applyNumberFormat="1" applyFont="1" applyFill="1" applyBorder="1" applyAlignment="1">
      <alignment wrapText="1"/>
    </xf>
    <xf numFmtId="0" fontId="0" fillId="37" borderId="0" xfId="0" applyNumberFormat="1" applyFont="1" applyFill="1" applyBorder="1" applyAlignment="1">
      <alignment wrapText="1"/>
    </xf>
    <xf numFmtId="0" fontId="0" fillId="38" borderId="0" xfId="0" applyNumberFormat="1" applyFont="1" applyFill="1" applyBorder="1" applyAlignment="1">
      <alignment wrapText="1"/>
    </xf>
    <xf numFmtId="0" fontId="0" fillId="39" borderId="0" xfId="0" applyNumberFormat="1" applyFont="1" applyFill="1" applyBorder="1" applyAlignment="1">
      <alignment wrapText="1"/>
    </xf>
    <xf numFmtId="164" fontId="0" fillId="39" borderId="0" xfId="0" applyNumberFormat="1" applyFont="1" applyFill="1" applyBorder="1" applyAlignment="1">
      <alignment wrapText="1"/>
    </xf>
    <xf numFmtId="167" fontId="0" fillId="39" borderId="0" xfId="0" applyNumberFormat="1" applyFont="1" applyFill="1" applyBorder="1" applyAlignment="1">
      <alignment wrapText="1"/>
    </xf>
    <xf numFmtId="10" fontId="0" fillId="40" borderId="0" xfId="0" applyNumberFormat="1" applyFont="1" applyFill="1" applyBorder="1" applyAlignment="1">
      <alignment vertical="center" wrapText="1"/>
    </xf>
    <xf numFmtId="164" fontId="0" fillId="37" borderId="0" xfId="0" applyNumberFormat="1" applyFont="1" applyFill="1" applyBorder="1" applyAlignment="1">
      <alignment vertical="center" wrapText="1"/>
    </xf>
    <xf numFmtId="0" fontId="17" fillId="36" borderId="0" xfId="0" applyNumberFormat="1" applyFont="1" applyFill="1" applyBorder="1" applyAlignment="1">
      <alignment vertical="center" wrapText="1"/>
    </xf>
    <xf numFmtId="164" fontId="17" fillId="36" borderId="0" xfId="0" applyNumberFormat="1" applyFont="1" applyFill="1" applyBorder="1" applyAlignment="1">
      <alignment vertical="center" wrapText="1"/>
    </xf>
    <xf numFmtId="0" fontId="0" fillId="38" borderId="0" xfId="0" applyNumberFormat="1" applyFont="1" applyFill="1" applyBorder="1" applyAlignment="1">
      <alignment vertical="center" wrapText="1"/>
    </xf>
    <xf numFmtId="0" fontId="4" fillId="41" borderId="0" xfId="0" applyNumberFormat="1" applyFont="1" applyFill="1" applyBorder="1" applyAlignment="1">
      <alignment wrapText="1"/>
    </xf>
    <xf numFmtId="0" fontId="2" fillId="42" borderId="0" xfId="0" applyNumberFormat="1" applyFont="1" applyFill="1" applyBorder="1"/>
    <xf numFmtId="0" fontId="2" fillId="42" borderId="0" xfId="0" applyNumberFormat="1" applyFont="1" applyFill="1" applyBorder="1" applyAlignment="1">
      <alignment wrapText="1"/>
    </xf>
    <xf numFmtId="0" fontId="2" fillId="44" borderId="0" xfId="0" applyNumberFormat="1" applyFont="1" applyFill="1" applyBorder="1" applyAlignment="1">
      <alignment wrapText="1"/>
    </xf>
    <xf numFmtId="0" fontId="2" fillId="45" borderId="0" xfId="0" applyNumberFormat="1" applyFont="1" applyFill="1" applyBorder="1" applyAlignment="1">
      <alignment wrapText="1"/>
    </xf>
    <xf numFmtId="0" fontId="0" fillId="46" borderId="1" xfId="0" applyNumberFormat="1" applyFont="1" applyFill="1" applyBorder="1" applyAlignment="1">
      <alignment vertical="center" wrapText="1"/>
    </xf>
    <xf numFmtId="0" fontId="0" fillId="46" borderId="0" xfId="0" applyNumberFormat="1" applyFont="1" applyFill="1" applyBorder="1" applyAlignment="1">
      <alignment vertical="center" wrapText="1"/>
    </xf>
    <xf numFmtId="0" fontId="4" fillId="47" borderId="0" xfId="0" applyNumberFormat="1" applyFont="1" applyFill="1" applyBorder="1" applyAlignment="1">
      <alignment wrapText="1"/>
    </xf>
    <xf numFmtId="165" fontId="0" fillId="48" borderId="0" xfId="0" applyNumberFormat="1" applyFont="1" applyFill="1" applyBorder="1" applyAlignment="1">
      <alignment wrapText="1"/>
    </xf>
    <xf numFmtId="0" fontId="4" fillId="19" borderId="0" xfId="0" applyNumberFormat="1" applyFont="1" applyFill="1" applyBorder="1" applyAlignment="1">
      <alignment vertical="center"/>
    </xf>
    <xf numFmtId="0" fontId="2" fillId="3" borderId="0" xfId="0" applyNumberFormat="1" applyFont="1" applyFill="1" applyBorder="1" applyAlignment="1">
      <alignment vertical="center" wrapText="1"/>
    </xf>
    <xf numFmtId="0" fontId="5" fillId="2" borderId="1" xfId="0" applyNumberFormat="1" applyFont="1" applyFill="1" applyBorder="1" applyAlignment="1">
      <alignment vertical="center" wrapText="1"/>
    </xf>
    <xf numFmtId="0" fontId="1" fillId="2" borderId="0" xfId="0" applyNumberFormat="1" applyFont="1" applyFill="1" applyBorder="1" applyAlignment="1">
      <alignment vertical="center" wrapText="1"/>
    </xf>
    <xf numFmtId="0" fontId="4" fillId="2" borderId="1" xfId="0" applyNumberFormat="1" applyFont="1" applyFill="1" applyBorder="1" applyAlignment="1">
      <alignment vertical="center" wrapText="1"/>
    </xf>
    <xf numFmtId="0" fontId="2" fillId="3" borderId="1" xfId="0" applyNumberFormat="1" applyFont="1" applyFill="1" applyBorder="1" applyAlignment="1">
      <alignment vertical="center" wrapText="1"/>
    </xf>
    <xf numFmtId="0" fontId="2" fillId="3" borderId="7" xfId="0" applyNumberFormat="1" applyFont="1" applyFill="1" applyBorder="1" applyAlignment="1">
      <alignment vertical="center" wrapText="1"/>
    </xf>
    <xf numFmtId="0" fontId="2" fillId="3" borderId="8" xfId="0" applyNumberFormat="1" applyFont="1" applyFill="1" applyBorder="1" applyAlignment="1">
      <alignment vertical="center" wrapText="1"/>
    </xf>
    <xf numFmtId="0" fontId="2" fillId="3" borderId="9" xfId="0" applyNumberFormat="1" applyFont="1" applyFill="1" applyBorder="1" applyAlignment="1">
      <alignment vertical="center" wrapText="1"/>
    </xf>
    <xf numFmtId="0" fontId="3" fillId="2" borderId="0" xfId="0" applyNumberFormat="1" applyFont="1" applyFill="1" applyBorder="1" applyAlignment="1">
      <alignment vertical="center" wrapText="1"/>
    </xf>
    <xf numFmtId="0" fontId="5" fillId="33" borderId="0" xfId="0" applyNumberFormat="1" applyFont="1" applyFill="1" applyBorder="1" applyAlignment="1">
      <alignment vertical="center"/>
    </xf>
    <xf numFmtId="164" fontId="0" fillId="0" borderId="2" xfId="0" applyNumberFormat="1" applyFont="1" applyFill="1" applyBorder="1" applyAlignment="1">
      <alignment vertical="center" wrapText="1"/>
    </xf>
    <xf numFmtId="0" fontId="0" fillId="0" borderId="0" xfId="0" applyNumberFormat="1" applyFont="1" applyFill="1" applyBorder="1" applyAlignment="1">
      <alignment vertical="center" wrapText="1"/>
    </xf>
    <xf numFmtId="0" fontId="4" fillId="19" borderId="0" xfId="0" applyNumberFormat="1" applyFont="1" applyFill="1" applyBorder="1"/>
    <xf numFmtId="0" fontId="7" fillId="2" borderId="2" xfId="0" applyNumberFormat="1" applyFont="1" applyFill="1" applyBorder="1" applyAlignment="1">
      <alignment vertical="center" wrapText="1"/>
    </xf>
    <xf numFmtId="0" fontId="0" fillId="0" borderId="0" xfId="0" applyNumberFormat="1" applyFont="1" applyFill="1" applyBorder="1" applyAlignment="1">
      <alignment wrapText="1"/>
    </xf>
    <xf numFmtId="0" fontId="2" fillId="11" borderId="2" xfId="0" applyNumberFormat="1" applyFont="1" applyFill="1" applyBorder="1" applyAlignment="1">
      <alignment vertical="center" wrapText="1"/>
    </xf>
    <xf numFmtId="44" fontId="0" fillId="0" borderId="2" xfId="0" applyNumberFormat="1" applyFont="1" applyFill="1" applyBorder="1" applyAlignment="1">
      <alignment vertical="top" wrapText="1"/>
    </xf>
    <xf numFmtId="44" fontId="0" fillId="0" borderId="2" xfId="0" applyNumberFormat="1" applyFont="1" applyFill="1" applyBorder="1" applyAlignment="1">
      <alignment vertical="top"/>
    </xf>
    <xf numFmtId="0" fontId="0" fillId="0" borderId="0" xfId="0" applyNumberFormat="1" applyFont="1" applyFill="1" applyBorder="1" applyAlignment="1"/>
    <xf numFmtId="44" fontId="0" fillId="0" borderId="2" xfId="0" applyNumberFormat="1" applyFont="1" applyFill="1" applyBorder="1" applyAlignment="1">
      <alignment vertical="center"/>
    </xf>
    <xf numFmtId="0" fontId="0" fillId="0" borderId="0" xfId="0" applyNumberFormat="1" applyFont="1" applyFill="1" applyBorder="1" applyAlignment="1">
      <alignment vertical="center"/>
    </xf>
    <xf numFmtId="44" fontId="2" fillId="3" borderId="2" xfId="0" applyNumberFormat="1" applyFont="1" applyFill="1" applyBorder="1" applyAlignment="1">
      <alignment vertical="top" wrapText="1"/>
    </xf>
    <xf numFmtId="0" fontId="4" fillId="2" borderId="2" xfId="0" applyNumberFormat="1" applyFont="1" applyFill="1" applyBorder="1" applyAlignment="1">
      <alignment vertical="center" wrapText="1"/>
    </xf>
    <xf numFmtId="0" fontId="0" fillId="0" borderId="2" xfId="0" applyNumberFormat="1" applyFont="1" applyFill="1" applyBorder="1" applyAlignment="1">
      <alignment vertical="center" wrapText="1"/>
    </xf>
    <xf numFmtId="0" fontId="0" fillId="46" borderId="0" xfId="0" applyNumberFormat="1" applyFont="1" applyFill="1" applyBorder="1" applyAlignment="1">
      <alignment vertical="center" wrapText="1"/>
    </xf>
    <xf numFmtId="10" fontId="0" fillId="7" borderId="0" xfId="0" applyNumberFormat="1" applyFont="1" applyFill="1" applyBorder="1" applyAlignment="1">
      <alignment vertical="center" wrapText="1"/>
    </xf>
    <xf numFmtId="0" fontId="0" fillId="7" borderId="0" xfId="0" applyNumberFormat="1" applyFont="1" applyFill="1" applyBorder="1" applyAlignment="1">
      <alignment vertical="center" wrapText="1"/>
    </xf>
    <xf numFmtId="0" fontId="2" fillId="7" borderId="5" xfId="0" applyNumberFormat="1" applyFont="1" applyFill="1" applyBorder="1" applyAlignment="1">
      <alignment vertical="center" wrapText="1"/>
    </xf>
    <xf numFmtId="0" fontId="2" fillId="7" borderId="6" xfId="0" applyNumberFormat="1" applyFont="1" applyFill="1" applyBorder="1" applyAlignment="1">
      <alignment vertical="center" wrapText="1"/>
    </xf>
    <xf numFmtId="0" fontId="5" fillId="12" borderId="5" xfId="0" applyNumberFormat="1" applyFont="1" applyFill="1" applyBorder="1" applyAlignment="1">
      <alignment vertical="center" wrapText="1"/>
    </xf>
    <xf numFmtId="0" fontId="0" fillId="0" borderId="6" xfId="0" applyNumberFormat="1" applyFont="1" applyFill="1" applyBorder="1" applyAlignment="1">
      <alignment vertical="center" wrapText="1"/>
    </xf>
    <xf numFmtId="0" fontId="5" fillId="12" borderId="4" xfId="0" applyNumberFormat="1" applyFont="1" applyFill="1" applyBorder="1" applyAlignment="1">
      <alignment vertical="center" wrapText="1"/>
    </xf>
    <xf numFmtId="0" fontId="0" fillId="3" borderId="0" xfId="0" applyNumberFormat="1" applyFont="1" applyFill="1" applyBorder="1" applyAlignment="1">
      <alignment wrapText="1"/>
    </xf>
    <xf numFmtId="0" fontId="9" fillId="3" borderId="0" xfId="0" applyNumberFormat="1" applyFont="1" applyFill="1" applyBorder="1" applyAlignment="1">
      <alignment wrapText="1"/>
    </xf>
    <xf numFmtId="0" fontId="5" fillId="2" borderId="0" xfId="0" applyNumberFormat="1" applyFont="1" applyFill="1" applyBorder="1" applyAlignment="1">
      <alignment vertical="center" wrapText="1"/>
    </xf>
    <xf numFmtId="44" fontId="4" fillId="2" borderId="0" xfId="0" applyNumberFormat="1" applyFont="1" applyFill="1" applyBorder="1" applyAlignment="1">
      <alignment vertical="center" wrapText="1"/>
    </xf>
    <xf numFmtId="0" fontId="2" fillId="5" borderId="0" xfId="0" applyNumberFormat="1" applyFont="1" applyFill="1" applyBorder="1" applyAlignment="1">
      <alignment vertical="center" wrapText="1"/>
    </xf>
    <xf numFmtId="0" fontId="2" fillId="7" borderId="0" xfId="0" applyNumberFormat="1" applyFont="1" applyFill="1" applyBorder="1" applyAlignment="1">
      <alignment vertical="center" wrapText="1"/>
    </xf>
    <xf numFmtId="0" fontId="5" fillId="2" borderId="0" xfId="0" applyNumberFormat="1" applyFont="1" applyFill="1" applyBorder="1" applyAlignment="1">
      <alignment wrapText="1"/>
    </xf>
    <xf numFmtId="0" fontId="2" fillId="6" borderId="0" xfId="0" applyNumberFormat="1" applyFont="1" applyFill="1" applyBorder="1" applyAlignment="1">
      <alignment vertical="center" wrapText="1"/>
    </xf>
    <xf numFmtId="0" fontId="16" fillId="29" borderId="0" xfId="0" applyNumberFormat="1" applyFont="1" applyFill="1" applyBorder="1" applyAlignment="1">
      <alignment wrapText="1"/>
    </xf>
    <xf numFmtId="0" fontId="5" fillId="19" borderId="0" xfId="0" applyNumberFormat="1" applyFont="1" applyFill="1" applyBorder="1" applyAlignment="1">
      <alignment vertical="center"/>
    </xf>
    <xf numFmtId="0" fontId="12" fillId="20" borderId="0" xfId="0" applyNumberFormat="1" applyFont="1" applyFill="1" applyBorder="1" applyAlignment="1">
      <alignment vertical="center" wrapText="1"/>
    </xf>
    <xf numFmtId="0" fontId="2" fillId="20" borderId="0" xfId="0" applyNumberFormat="1" applyFont="1" applyFill="1" applyBorder="1" applyAlignment="1">
      <alignment vertical="center" wrapText="1"/>
    </xf>
    <xf numFmtId="0" fontId="0" fillId="21" borderId="0" xfId="0" applyNumberFormat="1" applyFont="1" applyFill="1" applyBorder="1" applyAlignment="1">
      <alignment vertical="center" wrapText="1"/>
    </xf>
    <xf numFmtId="0" fontId="13" fillId="22" borderId="0" xfId="0" applyNumberFormat="1" applyFont="1" applyFill="1" applyBorder="1" applyAlignment="1">
      <alignment vertical="center"/>
    </xf>
    <xf numFmtId="0" fontId="15" fillId="27" borderId="0" xfId="0" applyNumberFormat="1" applyFont="1" applyFill="1" applyBorder="1" applyAlignment="1">
      <alignment vertical="center" wrapText="1"/>
    </xf>
    <xf numFmtId="0" fontId="5" fillId="28" borderId="0" xfId="0" applyNumberFormat="1" applyFont="1" applyFill="1" applyBorder="1" applyAlignment="1">
      <alignment vertical="top" wrapText="1"/>
    </xf>
    <xf numFmtId="0" fontId="16" fillId="29" borderId="0" xfId="0" applyNumberFormat="1" applyFont="1" applyFill="1" applyBorder="1" applyAlignment="1">
      <alignment vertical="top" wrapText="1"/>
    </xf>
    <xf numFmtId="0" fontId="4" fillId="28" borderId="0" xfId="0" applyNumberFormat="1" applyFont="1" applyFill="1" applyBorder="1" applyAlignment="1">
      <alignment vertical="top" wrapText="1"/>
    </xf>
    <xf numFmtId="0" fontId="4" fillId="12" borderId="0" xfId="0" applyNumberFormat="1" applyFont="1" applyFill="1" applyBorder="1" applyAlignment="1">
      <alignment vertical="top" wrapText="1"/>
    </xf>
    <xf numFmtId="0" fontId="0" fillId="29" borderId="0" xfId="0" applyNumberFormat="1" applyFont="1" applyFill="1" applyBorder="1" applyAlignment="1">
      <alignment vertical="top" wrapText="1"/>
    </xf>
    <xf numFmtId="0" fontId="0" fillId="0" borderId="0" xfId="0" applyNumberFormat="1" applyFont="1" applyFill="1" applyBorder="1" applyAlignment="1">
      <alignment vertical="top" wrapText="1"/>
    </xf>
    <xf numFmtId="0" fontId="4" fillId="35" borderId="0" xfId="0" applyNumberFormat="1" applyFont="1" applyFill="1" applyBorder="1" applyAlignment="1">
      <alignment vertical="center" wrapText="1"/>
    </xf>
    <xf numFmtId="0" fontId="2" fillId="34" borderId="0" xfId="0" applyNumberFormat="1" applyFont="1" applyFill="1" applyBorder="1" applyAlignment="1">
      <alignment wrapText="1"/>
    </xf>
    <xf numFmtId="0" fontId="1" fillId="43" borderId="0" xfId="0" applyNumberFormat="1" applyFont="1" applyFill="1" applyBorder="1" applyAlignment="1">
      <alignment vertical="center"/>
    </xf>
  </cellXfs>
  <cellStyles count="2">
    <cellStyle name="Currency" xfId="1" xr:uid="{00000000-0005-0000-0000-000000000000}"/>
    <cellStyle name="Normal" xfId="0" builtinId="0"/>
  </cellStyles>
  <dxfs count="18">
    <dxf>
      <font>
        <b/>
      </font>
      <fill>
        <patternFill>
          <bgColor rgb="FFE2F0D9"/>
        </patternFill>
      </fill>
    </dxf>
    <dxf>
      <font>
        <b/>
      </font>
      <fill>
        <patternFill>
          <bgColor rgb="FFFCE4D6"/>
        </patternFill>
      </fill>
    </dxf>
    <dxf>
      <font>
        <b/>
      </font>
      <fill>
        <patternFill>
          <bgColor rgb="FFF4CCCC"/>
        </patternFill>
      </fill>
    </dxf>
    <dxf>
      <font>
        <b/>
      </font>
      <fill>
        <patternFill>
          <bgColor rgb="FFE2F0D9"/>
        </patternFill>
      </fill>
    </dxf>
    <dxf>
      <font>
        <b/>
      </font>
      <fill>
        <patternFill>
          <bgColor rgb="FFFCE4D6"/>
        </patternFill>
      </fill>
    </dxf>
    <dxf>
      <font>
        <b/>
      </font>
      <fill>
        <patternFill>
          <bgColor rgb="FFF4CCCC"/>
        </patternFill>
      </fill>
    </dxf>
    <dxf>
      <font>
        <b/>
      </font>
      <fill>
        <patternFill>
          <bgColor rgb="FFE2F0D9"/>
        </patternFill>
      </fill>
    </dxf>
    <dxf>
      <font>
        <b/>
      </font>
      <fill>
        <patternFill>
          <bgColor rgb="FFFCE4D6"/>
        </patternFill>
      </fill>
    </dxf>
    <dxf>
      <font>
        <b/>
      </font>
      <fill>
        <patternFill>
          <bgColor rgb="FFF4CCCC"/>
        </patternFill>
      </fill>
    </dxf>
    <dxf>
      <font>
        <b/>
      </font>
      <fill>
        <patternFill>
          <bgColor rgb="FFF4CCCC"/>
        </patternFill>
      </fill>
    </dxf>
    <dxf>
      <font>
        <b/>
      </font>
      <fill>
        <patternFill>
          <bgColor rgb="FFE2F0D9"/>
        </patternFill>
      </fill>
    </dxf>
    <dxf>
      <font>
        <b/>
      </font>
      <fill>
        <patternFill>
          <bgColor rgb="FFF4CCCC"/>
        </patternFill>
      </fill>
    </dxf>
    <dxf>
      <fill>
        <patternFill>
          <bgColor rgb="FFFFF2CC"/>
        </patternFill>
      </fill>
    </dxf>
    <dxf>
      <fill>
        <patternFill>
          <bgColor rgb="FFE2F0D9"/>
        </patternFill>
      </fill>
    </dxf>
    <dxf>
      <fill>
        <patternFill>
          <bgColor rgb="FFE2F0D9"/>
        </patternFill>
      </fill>
    </dxf>
    <dxf>
      <fill>
        <patternFill>
          <bgColor rgb="FFFFF2CC"/>
        </patternFill>
      </fill>
    </dxf>
    <dxf>
      <font>
        <b/>
        <color rgb="FF9C0006"/>
      </font>
      <fill>
        <patternFill>
          <bgColor rgb="FFF4CCCC"/>
        </patternFill>
      </fill>
    </dxf>
    <dxf>
      <font>
        <b/>
        <color rgb="FF9C0006"/>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6"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haredStrings" Target="sharedString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styles" Target="styles.xml"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3"/>
  <sheetViews>
    <sheetView tabSelected="1" zoomScaleNormal="60" zoomScaleSheetLayoutView="100" workbookViewId="0"/>
  </sheetViews>
  <sheetFormatPr defaultColWidth="8.7421875" defaultRowHeight="15" x14ac:dyDescent="0.2"/>
  <cols>
    <col min="1" max="1" width="32.1484375" style="3" customWidth="1"/>
    <col min="2" max="2" width="135.0625" style="3" customWidth="1"/>
    <col min="3" max="3" width="18.0234375" style="3" customWidth="1"/>
    <col min="4" max="4" width="30.265625" style="3" customWidth="1"/>
    <col min="5" max="5" width="29.19140625" style="3" customWidth="1"/>
    <col min="6" max="6" width="57.44140625" style="3" customWidth="1"/>
    <col min="7" max="8" width="18.0234375" style="3" customWidth="1"/>
    <col min="9" max="16384" width="8.7421875" style="3"/>
  </cols>
  <sheetData>
    <row r="1" spans="1:8" ht="22.5" customHeight="1" x14ac:dyDescent="0.2">
      <c r="A1" s="249" t="s">
        <v>768</v>
      </c>
      <c r="B1" s="250"/>
      <c r="C1" s="250"/>
      <c r="D1" s="250"/>
      <c r="E1" s="250"/>
      <c r="F1" s="250"/>
      <c r="G1" s="106"/>
      <c r="H1" s="106"/>
    </row>
    <row r="2" spans="1:8" ht="22.5" customHeight="1" x14ac:dyDescent="0.2">
      <c r="A2" s="251" t="s">
        <v>769</v>
      </c>
      <c r="B2" s="250"/>
      <c r="C2" s="250"/>
      <c r="D2" s="250"/>
      <c r="E2" s="250"/>
      <c r="F2" s="250"/>
      <c r="G2" s="106"/>
      <c r="H2" s="106"/>
    </row>
    <row r="3" spans="1:8" ht="26.85" customHeight="1" x14ac:dyDescent="0.2">
      <c r="A3" s="106"/>
      <c r="B3" s="106"/>
      <c r="C3" s="106"/>
      <c r="D3" s="106"/>
      <c r="E3" s="106"/>
      <c r="F3" s="106"/>
      <c r="G3" s="106"/>
      <c r="H3" s="106"/>
    </row>
    <row r="4" spans="1:8" ht="26.85" customHeight="1" x14ac:dyDescent="0.2">
      <c r="A4" s="20" t="s">
        <v>0</v>
      </c>
      <c r="B4" s="107"/>
      <c r="C4" s="106"/>
      <c r="D4" s="20" t="s">
        <v>1</v>
      </c>
      <c r="E4" s="107"/>
      <c r="F4" s="106"/>
      <c r="G4" s="106"/>
      <c r="H4" s="106"/>
    </row>
    <row r="5" spans="1:8" ht="26.85" customHeight="1" x14ac:dyDescent="0.2">
      <c r="A5" s="20" t="s">
        <v>2</v>
      </c>
      <c r="B5" s="107"/>
      <c r="C5" s="106"/>
      <c r="D5" s="70" t="s">
        <v>3</v>
      </c>
      <c r="E5" s="193">
        <f>'Tender Build-Up'!B20</f>
        <v>0</v>
      </c>
      <c r="F5" s="146" t="s">
        <v>4</v>
      </c>
      <c r="G5" s="106"/>
      <c r="H5" s="106"/>
    </row>
    <row r="6" spans="1:8" ht="26.85" customHeight="1" x14ac:dyDescent="0.2">
      <c r="A6" s="20" t="s">
        <v>5</v>
      </c>
      <c r="B6" s="107" t="s">
        <v>770</v>
      </c>
      <c r="C6" s="106"/>
      <c r="D6" s="20" t="s">
        <v>6</v>
      </c>
      <c r="E6" s="107" t="s">
        <v>771</v>
      </c>
      <c r="F6" s="106"/>
      <c r="G6" s="106"/>
      <c r="H6" s="106"/>
    </row>
    <row r="7" spans="1:8" ht="26.85" customHeight="1" x14ac:dyDescent="0.2">
      <c r="A7" s="20" t="s">
        <v>7</v>
      </c>
      <c r="B7" s="107" t="s">
        <v>772</v>
      </c>
      <c r="C7" s="106"/>
      <c r="D7" s="106"/>
      <c r="E7" s="106"/>
      <c r="F7" s="106"/>
      <c r="G7" s="106"/>
      <c r="H7" s="106"/>
    </row>
    <row r="8" spans="1:8" ht="26.85" customHeight="1" x14ac:dyDescent="0.2">
      <c r="A8" s="106"/>
      <c r="B8" s="106"/>
      <c r="C8" s="106"/>
      <c r="D8" s="106"/>
      <c r="E8" s="106"/>
      <c r="F8" s="106"/>
      <c r="G8" s="106"/>
      <c r="H8" s="106"/>
    </row>
    <row r="9" spans="1:8" ht="26.85" customHeight="1" x14ac:dyDescent="0.2">
      <c r="A9" s="252" t="s">
        <v>8</v>
      </c>
      <c r="B9" s="248"/>
      <c r="C9" s="248"/>
      <c r="D9" s="248"/>
      <c r="E9" s="248"/>
      <c r="F9" s="248"/>
      <c r="G9" s="106"/>
      <c r="H9" s="106"/>
    </row>
    <row r="10" spans="1:8" ht="21.2" customHeight="1" x14ac:dyDescent="0.2">
      <c r="A10" s="107" t="s">
        <v>9</v>
      </c>
      <c r="B10" s="107" t="s">
        <v>10</v>
      </c>
      <c r="C10" s="106"/>
      <c r="D10" s="106"/>
      <c r="E10" s="106"/>
      <c r="F10" s="106"/>
      <c r="G10" s="106"/>
      <c r="H10" s="106"/>
    </row>
    <row r="11" spans="1:8" ht="21.2" customHeight="1" x14ac:dyDescent="0.2">
      <c r="A11" s="107" t="s">
        <v>11</v>
      </c>
      <c r="B11" s="107" t="s">
        <v>12</v>
      </c>
      <c r="C11" s="106"/>
      <c r="D11" s="106"/>
      <c r="E11" s="106"/>
      <c r="F11" s="106"/>
      <c r="G11" s="106"/>
      <c r="H11" s="106"/>
    </row>
    <row r="12" spans="1:8" ht="21.2" customHeight="1" x14ac:dyDescent="0.2">
      <c r="A12" s="107" t="s">
        <v>13</v>
      </c>
      <c r="B12" s="107" t="s">
        <v>14</v>
      </c>
      <c r="C12" s="106"/>
      <c r="D12" s="106"/>
      <c r="E12" s="106"/>
      <c r="F12" s="106"/>
      <c r="G12" s="106"/>
      <c r="H12" s="106"/>
    </row>
    <row r="13" spans="1:8" ht="21.2" customHeight="1" x14ac:dyDescent="0.2">
      <c r="A13" s="107" t="s">
        <v>15</v>
      </c>
      <c r="B13" s="107" t="s">
        <v>16</v>
      </c>
      <c r="C13" s="106"/>
      <c r="D13" s="106"/>
      <c r="E13" s="106"/>
      <c r="F13" s="106"/>
      <c r="G13" s="106"/>
      <c r="H13" s="106"/>
    </row>
    <row r="14" spans="1:8" ht="21.2" customHeight="1" x14ac:dyDescent="0.2">
      <c r="A14" s="107" t="s">
        <v>17</v>
      </c>
      <c r="B14" s="107" t="s">
        <v>18</v>
      </c>
      <c r="C14" s="106"/>
      <c r="D14" s="106"/>
      <c r="E14" s="106"/>
      <c r="F14" s="106"/>
      <c r="G14" s="106"/>
      <c r="H14" s="106"/>
    </row>
    <row r="15" spans="1:8" ht="21.2" customHeight="1" x14ac:dyDescent="0.2">
      <c r="A15" s="106" t="s">
        <v>19</v>
      </c>
      <c r="B15" s="106" t="s">
        <v>20</v>
      </c>
      <c r="C15" s="106"/>
      <c r="D15" s="106"/>
      <c r="E15" s="106"/>
      <c r="F15" s="106"/>
      <c r="G15" s="106"/>
      <c r="H15" s="106"/>
    </row>
    <row r="16" spans="1:8" ht="21.2" customHeight="1" x14ac:dyDescent="0.2">
      <c r="A16" s="108" t="s">
        <v>21</v>
      </c>
      <c r="B16" s="109" t="s">
        <v>22</v>
      </c>
      <c r="C16" s="109"/>
      <c r="D16" s="109"/>
      <c r="E16" s="109"/>
      <c r="F16" s="109"/>
      <c r="G16" s="106"/>
      <c r="H16" s="106"/>
    </row>
    <row r="17" spans="1:8" ht="26.85" customHeight="1" x14ac:dyDescent="0.2">
      <c r="A17" s="107" t="s">
        <v>773</v>
      </c>
      <c r="B17" s="107" t="s">
        <v>774</v>
      </c>
      <c r="C17" s="106"/>
      <c r="D17" s="106"/>
      <c r="E17" s="106"/>
      <c r="F17" s="106"/>
      <c r="G17" s="106"/>
      <c r="H17" s="106"/>
    </row>
    <row r="18" spans="1:8" ht="26.85" customHeight="1" x14ac:dyDescent="0.2">
      <c r="A18" s="252" t="s">
        <v>775</v>
      </c>
      <c r="B18" s="252"/>
      <c r="C18" s="248"/>
      <c r="D18" s="248"/>
      <c r="E18" s="248"/>
      <c r="F18" s="248"/>
      <c r="G18" s="106"/>
      <c r="H18" s="106"/>
    </row>
    <row r="19" spans="1:8" ht="22.5" customHeight="1" x14ac:dyDescent="0.2">
      <c r="A19" s="107" t="s">
        <v>23</v>
      </c>
      <c r="B19" s="107" t="s">
        <v>24</v>
      </c>
      <c r="C19" s="106"/>
      <c r="D19" s="106"/>
      <c r="E19" s="106"/>
      <c r="F19" s="106"/>
      <c r="G19" s="106"/>
      <c r="H19" s="106"/>
    </row>
    <row r="20" spans="1:8" ht="22.5" customHeight="1" x14ac:dyDescent="0.2">
      <c r="A20" s="107" t="s">
        <v>25</v>
      </c>
      <c r="B20" s="107" t="s">
        <v>26</v>
      </c>
      <c r="C20" s="106"/>
      <c r="D20" s="106"/>
      <c r="E20" s="106"/>
      <c r="F20" s="106"/>
      <c r="G20" s="106"/>
      <c r="H20" s="106"/>
    </row>
    <row r="21" spans="1:8" ht="22.5" customHeight="1" x14ac:dyDescent="0.2">
      <c r="A21" s="107" t="s">
        <v>27</v>
      </c>
      <c r="B21" s="107" t="s">
        <v>28</v>
      </c>
      <c r="C21" s="106"/>
      <c r="D21" s="106"/>
      <c r="E21" s="106"/>
      <c r="F21" s="106"/>
      <c r="G21" s="106"/>
      <c r="H21" s="106"/>
    </row>
    <row r="22" spans="1:8" ht="22.5" customHeight="1" x14ac:dyDescent="0.2">
      <c r="A22" s="13" t="s">
        <v>29</v>
      </c>
      <c r="B22" s="107" t="s">
        <v>30</v>
      </c>
      <c r="C22" s="106"/>
      <c r="D22" s="106"/>
      <c r="E22" s="106"/>
      <c r="F22" s="106"/>
      <c r="G22" s="106"/>
      <c r="H22" s="106"/>
    </row>
    <row r="23" spans="1:8" ht="22.5" customHeight="1" x14ac:dyDescent="0.2">
      <c r="A23" s="110" t="s">
        <v>31</v>
      </c>
      <c r="B23" s="107" t="s">
        <v>776</v>
      </c>
      <c r="C23" s="106"/>
      <c r="D23" s="106"/>
      <c r="E23" s="106"/>
      <c r="F23" s="106"/>
      <c r="G23" s="106"/>
      <c r="H23" s="106"/>
    </row>
    <row r="24" spans="1:8" ht="22.5" customHeight="1" x14ac:dyDescent="0.2">
      <c r="A24" s="107" t="s">
        <v>32</v>
      </c>
      <c r="B24" s="107" t="s">
        <v>33</v>
      </c>
      <c r="C24" s="106"/>
      <c r="D24" s="106"/>
      <c r="E24" s="106"/>
      <c r="F24" s="106"/>
      <c r="G24" s="106"/>
      <c r="H24" s="106"/>
    </row>
    <row r="25" spans="1:8" ht="22.5" customHeight="1" x14ac:dyDescent="0.2">
      <c r="A25" s="107" t="s">
        <v>34</v>
      </c>
      <c r="B25" s="106" t="s">
        <v>777</v>
      </c>
      <c r="C25" s="106"/>
      <c r="D25" s="106"/>
      <c r="E25" s="106"/>
      <c r="F25" s="106"/>
      <c r="G25" s="106"/>
      <c r="H25" s="106"/>
    </row>
    <row r="26" spans="1:8" ht="34.15" customHeight="1" x14ac:dyDescent="0.2">
      <c r="A26" s="104" t="s">
        <v>35</v>
      </c>
      <c r="B26" s="104" t="s">
        <v>36</v>
      </c>
      <c r="C26" s="105"/>
      <c r="D26" s="105"/>
      <c r="E26" s="105"/>
      <c r="F26" s="105"/>
      <c r="G26" s="106"/>
      <c r="H26" s="106"/>
    </row>
    <row r="27" spans="1:8" x14ac:dyDescent="0.2">
      <c r="A27" s="106" t="s">
        <v>778</v>
      </c>
      <c r="B27" s="106" t="s">
        <v>779</v>
      </c>
      <c r="C27" s="106"/>
      <c r="D27" s="106"/>
      <c r="E27" s="106"/>
      <c r="F27" s="106"/>
      <c r="G27" s="106"/>
      <c r="H27" s="106"/>
    </row>
    <row r="28" spans="1:8" ht="28.7" customHeight="1" x14ac:dyDescent="0.2">
      <c r="A28" s="253" t="s">
        <v>780</v>
      </c>
      <c r="B28" s="254" t="s">
        <v>781</v>
      </c>
      <c r="C28" s="254"/>
      <c r="D28" s="254"/>
      <c r="E28" s="254"/>
      <c r="F28" s="255"/>
      <c r="G28" s="106"/>
      <c r="H28" s="106"/>
    </row>
    <row r="29" spans="1:8" ht="19.7" customHeight="1" x14ac:dyDescent="0.2">
      <c r="A29" s="111" t="s">
        <v>37</v>
      </c>
      <c r="B29" s="106" t="s">
        <v>38</v>
      </c>
      <c r="C29" s="106"/>
      <c r="D29" s="106"/>
      <c r="E29" s="106"/>
      <c r="F29" s="112"/>
      <c r="G29" s="106"/>
      <c r="H29" s="106"/>
    </row>
    <row r="30" spans="1:8" ht="19.7" customHeight="1" x14ac:dyDescent="0.2">
      <c r="A30" s="111" t="s">
        <v>39</v>
      </c>
      <c r="B30" s="106" t="s">
        <v>40</v>
      </c>
      <c r="C30" s="106"/>
      <c r="D30" s="106"/>
      <c r="E30" s="106"/>
      <c r="F30" s="112"/>
      <c r="G30" s="106"/>
      <c r="H30" s="106"/>
    </row>
    <row r="31" spans="1:8" ht="19.7" customHeight="1" x14ac:dyDescent="0.2">
      <c r="A31" s="111" t="s">
        <v>41</v>
      </c>
      <c r="B31" s="106" t="s">
        <v>42</v>
      </c>
      <c r="C31" s="106"/>
      <c r="D31" s="106"/>
      <c r="E31" s="106"/>
      <c r="F31" s="112"/>
      <c r="G31" s="106"/>
      <c r="H31" s="106"/>
    </row>
    <row r="32" spans="1:8" ht="19.7" customHeight="1" x14ac:dyDescent="0.2">
      <c r="A32" s="111" t="s">
        <v>43</v>
      </c>
      <c r="B32" s="106" t="s">
        <v>44</v>
      </c>
      <c r="C32" s="106"/>
      <c r="D32" s="106"/>
      <c r="E32" s="106"/>
      <c r="F32" s="112"/>
      <c r="G32" s="106"/>
      <c r="H32" s="106"/>
    </row>
    <row r="33" spans="1:8" ht="19.7" customHeight="1" x14ac:dyDescent="0.2">
      <c r="A33" s="113" t="s">
        <v>45</v>
      </c>
      <c r="B33" s="114" t="s">
        <v>782</v>
      </c>
      <c r="C33" s="114"/>
      <c r="D33" s="114"/>
      <c r="E33" s="114"/>
      <c r="F33" s="115"/>
      <c r="G33" s="106"/>
      <c r="H33" s="106"/>
    </row>
    <row r="34" spans="1:8" x14ac:dyDescent="0.2">
      <c r="A34" s="106"/>
      <c r="B34" s="106"/>
      <c r="C34" s="106"/>
      <c r="D34" s="106"/>
      <c r="E34" s="106"/>
      <c r="F34" s="106"/>
      <c r="G34" s="106"/>
      <c r="H34" s="106"/>
    </row>
    <row r="35" spans="1:8" ht="23.45" customHeight="1" x14ac:dyDescent="0.2">
      <c r="A35" s="256" t="s">
        <v>46</v>
      </c>
      <c r="B35" s="256"/>
      <c r="C35" s="256"/>
      <c r="D35" s="256"/>
      <c r="E35" s="256"/>
      <c r="F35" s="256"/>
      <c r="G35" s="256"/>
      <c r="H35" s="256"/>
    </row>
    <row r="36" spans="1:8" x14ac:dyDescent="0.2">
      <c r="A36" s="106"/>
      <c r="B36" s="106"/>
      <c r="C36" s="106"/>
      <c r="D36" s="106"/>
      <c r="E36" s="106"/>
      <c r="F36" s="106"/>
      <c r="G36" s="106"/>
      <c r="H36" s="106"/>
    </row>
    <row r="37" spans="1:8" ht="19.7" customHeight="1" x14ac:dyDescent="0.2">
      <c r="A37" s="21" t="s">
        <v>47</v>
      </c>
      <c r="B37" s="106" t="s">
        <v>48</v>
      </c>
      <c r="C37" s="106"/>
      <c r="D37" s="106"/>
      <c r="E37" s="106"/>
      <c r="F37" s="106"/>
      <c r="G37" s="106"/>
      <c r="H37" s="106"/>
    </row>
    <row r="38" spans="1:8" ht="19.7" customHeight="1" x14ac:dyDescent="0.2">
      <c r="A38" s="21" t="s">
        <v>49</v>
      </c>
      <c r="B38" s="106" t="s">
        <v>50</v>
      </c>
      <c r="C38" s="106"/>
      <c r="D38" s="106"/>
      <c r="E38" s="106"/>
      <c r="F38" s="106"/>
      <c r="G38" s="106"/>
      <c r="H38" s="106"/>
    </row>
    <row r="39" spans="1:8" ht="19.7" customHeight="1" x14ac:dyDescent="0.2">
      <c r="A39" s="21" t="s">
        <v>51</v>
      </c>
      <c r="B39" s="106" t="s">
        <v>52</v>
      </c>
      <c r="C39" s="106"/>
      <c r="D39" s="106"/>
      <c r="E39" s="106"/>
      <c r="F39" s="106"/>
      <c r="G39" s="106"/>
      <c r="H39" s="106"/>
    </row>
    <row r="40" spans="1:8" ht="19.7" customHeight="1" x14ac:dyDescent="0.2">
      <c r="A40" s="21" t="s">
        <v>53</v>
      </c>
      <c r="B40" s="106" t="s">
        <v>54</v>
      </c>
      <c r="C40" s="106"/>
      <c r="D40" s="106"/>
      <c r="E40" s="106"/>
      <c r="F40" s="106"/>
      <c r="G40" s="106"/>
      <c r="H40" s="106"/>
    </row>
    <row r="41" spans="1:8" ht="19.7" customHeight="1" x14ac:dyDescent="0.2">
      <c r="A41" s="21" t="s">
        <v>55</v>
      </c>
      <c r="B41" s="106" t="s">
        <v>783</v>
      </c>
      <c r="C41" s="106"/>
      <c r="D41" s="106"/>
      <c r="E41" s="106"/>
      <c r="F41" s="106"/>
      <c r="G41" s="106"/>
      <c r="H41" s="106"/>
    </row>
    <row r="42" spans="1:8" ht="19.7" customHeight="1" x14ac:dyDescent="0.2">
      <c r="A42" s="21" t="s">
        <v>56</v>
      </c>
      <c r="B42" s="106" t="s">
        <v>57</v>
      </c>
      <c r="C42" s="106"/>
      <c r="D42" s="106"/>
      <c r="E42" s="106"/>
      <c r="F42" s="106"/>
      <c r="G42" s="106"/>
      <c r="H42" s="106"/>
    </row>
    <row r="43" spans="1:8" ht="19.7" customHeight="1" x14ac:dyDescent="0.2">
      <c r="A43" s="21" t="s">
        <v>58</v>
      </c>
      <c r="B43" s="106" t="s">
        <v>59</v>
      </c>
      <c r="C43" s="106"/>
      <c r="D43" s="106"/>
      <c r="E43" s="106"/>
      <c r="F43" s="106"/>
      <c r="G43" s="106"/>
      <c r="H43" s="106"/>
    </row>
    <row r="44" spans="1:8" ht="16.7" customHeight="1" x14ac:dyDescent="0.2">
      <c r="A44" s="235" t="s">
        <v>780</v>
      </c>
      <c r="B44" s="106" t="s">
        <v>784</v>
      </c>
      <c r="C44" s="106"/>
      <c r="D44" s="106"/>
      <c r="E44" s="106"/>
      <c r="F44" s="106"/>
      <c r="G44" s="106"/>
      <c r="H44" s="106"/>
    </row>
    <row r="45" spans="1:8" x14ac:dyDescent="0.2">
      <c r="A45" s="106"/>
      <c r="B45" s="106"/>
      <c r="C45" s="106"/>
      <c r="D45" s="106"/>
      <c r="E45" s="106"/>
      <c r="F45" s="106"/>
      <c r="G45" s="106"/>
      <c r="H45" s="106"/>
    </row>
    <row r="46" spans="1:8" ht="17.25" customHeight="1" x14ac:dyDescent="0.2">
      <c r="A46" s="248" t="s">
        <v>60</v>
      </c>
      <c r="B46" s="248"/>
      <c r="C46" s="248"/>
      <c r="D46" s="248"/>
      <c r="E46" s="248"/>
      <c r="F46" s="248"/>
      <c r="G46" s="248"/>
      <c r="H46" s="248"/>
    </row>
    <row r="47" spans="1:8" ht="17.25" customHeight="1" x14ac:dyDescent="0.2">
      <c r="A47" s="106" t="s">
        <v>61</v>
      </c>
      <c r="B47" s="106" t="s">
        <v>62</v>
      </c>
      <c r="C47" s="30" t="s">
        <v>63</v>
      </c>
      <c r="D47" s="106"/>
      <c r="E47" s="106"/>
      <c r="F47" s="106"/>
      <c r="G47" s="106"/>
      <c r="H47" s="106"/>
    </row>
    <row r="48" spans="1:8" ht="33.75" customHeight="1" x14ac:dyDescent="0.2">
      <c r="A48" s="106" t="s">
        <v>785</v>
      </c>
      <c r="B48" s="106"/>
      <c r="C48" s="30" t="s">
        <v>786</v>
      </c>
      <c r="D48" s="106"/>
      <c r="E48" s="106"/>
      <c r="F48" s="106"/>
      <c r="G48" s="106"/>
      <c r="H48" s="106"/>
    </row>
    <row r="49" spans="1:8" ht="25.35" customHeight="1" x14ac:dyDescent="0.2">
      <c r="A49" s="106" t="s">
        <v>787</v>
      </c>
      <c r="B49" s="106"/>
      <c r="C49" s="30" t="s">
        <v>788</v>
      </c>
      <c r="D49" s="106"/>
      <c r="E49" s="106"/>
      <c r="F49" s="106"/>
      <c r="G49" s="106"/>
      <c r="H49" s="106"/>
    </row>
    <row r="50" spans="1:8" ht="33.75" customHeight="1" x14ac:dyDescent="0.2">
      <c r="A50" s="106" t="s">
        <v>789</v>
      </c>
      <c r="B50" s="106"/>
      <c r="C50" s="30" t="s">
        <v>790</v>
      </c>
      <c r="D50" s="106"/>
      <c r="E50" s="106"/>
      <c r="F50" s="106"/>
      <c r="G50" s="106"/>
      <c r="H50" s="106"/>
    </row>
    <row r="51" spans="1:8" ht="25.35" customHeight="1" x14ac:dyDescent="0.2">
      <c r="A51" s="106" t="s">
        <v>791</v>
      </c>
      <c r="B51" s="106"/>
      <c r="C51" s="30" t="s">
        <v>792</v>
      </c>
      <c r="D51" s="106"/>
      <c r="E51" s="106"/>
      <c r="F51" s="106"/>
      <c r="G51" s="106"/>
      <c r="H51" s="106"/>
    </row>
    <row r="52" spans="1:8" ht="33.75" customHeight="1" x14ac:dyDescent="0.2">
      <c r="A52" s="106" t="s">
        <v>793</v>
      </c>
      <c r="B52" s="106"/>
      <c r="C52" s="30" t="s">
        <v>794</v>
      </c>
      <c r="D52" s="106"/>
      <c r="E52" s="106"/>
      <c r="F52" s="106"/>
      <c r="G52" s="106"/>
      <c r="H52" s="106"/>
    </row>
    <row r="53" spans="1:8" ht="16.899999999999999" customHeight="1" x14ac:dyDescent="0.2">
      <c r="A53" s="106" t="s">
        <v>795</v>
      </c>
      <c r="B53" s="106"/>
      <c r="C53" s="30" t="s">
        <v>796</v>
      </c>
      <c r="D53" s="106"/>
      <c r="E53" s="106"/>
      <c r="F53" s="106"/>
      <c r="G53" s="106"/>
      <c r="H53" s="106"/>
    </row>
    <row r="54" spans="1:8" ht="25.35" customHeight="1" x14ac:dyDescent="0.2">
      <c r="A54" s="106" t="s">
        <v>797</v>
      </c>
      <c r="B54" s="106"/>
      <c r="C54" s="30" t="s">
        <v>798</v>
      </c>
      <c r="D54" s="106"/>
      <c r="E54" s="106"/>
      <c r="F54" s="106"/>
      <c r="G54" s="106"/>
      <c r="H54" s="106"/>
    </row>
    <row r="55" spans="1:8" ht="8.85" customHeight="1" x14ac:dyDescent="0.2">
      <c r="A55" s="106" t="s">
        <v>799</v>
      </c>
      <c r="B55" s="106"/>
      <c r="C55" s="106" t="s">
        <v>800</v>
      </c>
      <c r="D55" s="106"/>
      <c r="E55" s="106"/>
      <c r="F55" s="106"/>
      <c r="G55" s="106"/>
      <c r="H55" s="106"/>
    </row>
    <row r="56" spans="1:8" ht="8.85" customHeight="1" x14ac:dyDescent="0.2">
      <c r="A56" s="106"/>
      <c r="B56" s="106"/>
      <c r="C56" s="106"/>
      <c r="D56" s="106"/>
      <c r="E56" s="106"/>
      <c r="F56" s="106"/>
      <c r="G56" s="106"/>
      <c r="H56" s="106"/>
    </row>
    <row r="57" spans="1:8" ht="27.2" customHeight="1" x14ac:dyDescent="0.2">
      <c r="A57" s="248" t="s">
        <v>64</v>
      </c>
      <c r="B57" s="248"/>
      <c r="C57" s="248"/>
      <c r="D57" s="248"/>
      <c r="E57" s="248"/>
      <c r="F57" s="248"/>
      <c r="G57" s="248"/>
      <c r="H57" s="248"/>
    </row>
    <row r="58" spans="1:8" ht="27.75" customHeight="1" x14ac:dyDescent="0.2">
      <c r="A58" s="106" t="s">
        <v>65</v>
      </c>
      <c r="B58" s="106" t="s">
        <v>66</v>
      </c>
      <c r="C58" s="106"/>
      <c r="D58" s="106"/>
      <c r="E58" s="106"/>
      <c r="F58" s="106"/>
      <c r="G58" s="106"/>
      <c r="H58" s="106"/>
    </row>
    <row r="59" spans="1:8" ht="27.75" customHeight="1" x14ac:dyDescent="0.2">
      <c r="A59" s="106" t="s">
        <v>65</v>
      </c>
      <c r="B59" s="106" t="s">
        <v>801</v>
      </c>
      <c r="C59" s="106"/>
      <c r="D59" s="106"/>
      <c r="E59" s="106"/>
      <c r="F59" s="106"/>
      <c r="G59" s="106"/>
      <c r="H59" s="106"/>
    </row>
    <row r="60" spans="1:8" ht="27.75" customHeight="1" x14ac:dyDescent="0.2">
      <c r="A60" s="106" t="s">
        <v>802</v>
      </c>
      <c r="B60" s="106" t="s">
        <v>803</v>
      </c>
      <c r="C60" s="106"/>
      <c r="D60" s="106"/>
      <c r="E60" s="106"/>
      <c r="F60" s="106"/>
      <c r="G60" s="106"/>
      <c r="H60" s="106"/>
    </row>
    <row r="61" spans="1:8" ht="27.75" customHeight="1" x14ac:dyDescent="0.2">
      <c r="A61" s="106" t="s">
        <v>804</v>
      </c>
      <c r="B61" s="106" t="s">
        <v>805</v>
      </c>
      <c r="C61" s="106"/>
      <c r="D61" s="106"/>
      <c r="E61" s="106"/>
      <c r="F61" s="106"/>
      <c r="G61" s="106"/>
      <c r="H61" s="106"/>
    </row>
    <row r="62" spans="1:8" ht="27.75" customHeight="1" x14ac:dyDescent="0.2">
      <c r="A62" s="106" t="s">
        <v>806</v>
      </c>
      <c r="B62" s="106" t="s">
        <v>807</v>
      </c>
      <c r="C62" s="106"/>
      <c r="D62" s="106"/>
      <c r="E62" s="106"/>
      <c r="F62" s="106"/>
      <c r="G62" s="106"/>
      <c r="H62" s="106"/>
    </row>
    <row r="63" spans="1:8" ht="27.75" customHeight="1" x14ac:dyDescent="0.2">
      <c r="A63" s="106" t="s">
        <v>808</v>
      </c>
      <c r="B63" s="106" t="s">
        <v>809</v>
      </c>
      <c r="C63" s="106"/>
      <c r="D63" s="106"/>
      <c r="E63" s="106"/>
      <c r="F63" s="106"/>
      <c r="G63" s="106"/>
      <c r="H63" s="106"/>
    </row>
    <row r="64" spans="1:8" ht="27.75" customHeight="1" x14ac:dyDescent="0.2">
      <c r="A64" s="106" t="s">
        <v>810</v>
      </c>
      <c r="B64" s="106" t="s">
        <v>811</v>
      </c>
      <c r="C64" s="106"/>
      <c r="D64" s="106"/>
      <c r="E64" s="106"/>
      <c r="F64" s="106"/>
      <c r="G64" s="106"/>
      <c r="H64" s="106"/>
    </row>
    <row r="65" spans="1:8" ht="27.75" customHeight="1" x14ac:dyDescent="0.2">
      <c r="A65" s="106" t="s">
        <v>812</v>
      </c>
      <c r="B65" s="106" t="s">
        <v>813</v>
      </c>
      <c r="C65" s="106"/>
      <c r="D65" s="106"/>
      <c r="E65" s="106"/>
      <c r="F65" s="106"/>
      <c r="G65" s="106"/>
      <c r="H65" s="106"/>
    </row>
    <row r="66" spans="1:8" ht="27.75" customHeight="1" x14ac:dyDescent="0.2">
      <c r="A66" s="106" t="s">
        <v>814</v>
      </c>
      <c r="B66" s="106" t="s">
        <v>815</v>
      </c>
      <c r="C66" s="106"/>
      <c r="D66" s="106"/>
      <c r="E66" s="106"/>
      <c r="F66" s="106"/>
      <c r="G66" s="106"/>
      <c r="H66" s="106"/>
    </row>
    <row r="67" spans="1:8" ht="34.5" customHeight="1" x14ac:dyDescent="0.2">
      <c r="A67" s="106" t="s">
        <v>816</v>
      </c>
      <c r="B67" s="106" t="s">
        <v>817</v>
      </c>
      <c r="C67" s="106"/>
      <c r="D67" s="106"/>
      <c r="E67" s="106"/>
      <c r="F67" s="106"/>
      <c r="G67" s="106"/>
      <c r="H67" s="106"/>
    </row>
    <row r="68" spans="1:8" ht="27.75" customHeight="1" x14ac:dyDescent="0.2">
      <c r="A68" s="106" t="s">
        <v>818</v>
      </c>
      <c r="B68" s="106" t="s">
        <v>819</v>
      </c>
      <c r="C68" s="106"/>
      <c r="D68" s="106"/>
      <c r="E68" s="106"/>
      <c r="F68" s="106"/>
      <c r="G68" s="106"/>
      <c r="H68" s="106"/>
    </row>
    <row r="69" spans="1:8" ht="27.75" customHeight="1" x14ac:dyDescent="0.2">
      <c r="A69" s="106"/>
      <c r="B69" s="106"/>
      <c r="C69" s="106"/>
      <c r="D69" s="106"/>
      <c r="E69" s="106"/>
      <c r="F69" s="106"/>
      <c r="G69" s="106"/>
      <c r="H69" s="106"/>
    </row>
    <row r="70" spans="1:8" ht="27.75" customHeight="1" x14ac:dyDescent="0.2">
      <c r="A70" s="106" t="s">
        <v>820</v>
      </c>
      <c r="B70" s="106"/>
      <c r="C70" s="106"/>
      <c r="D70" s="106"/>
      <c r="E70" s="106"/>
      <c r="F70" s="106"/>
      <c r="G70" s="106"/>
      <c r="H70" s="106"/>
    </row>
    <row r="71" spans="1:8" ht="27.75" customHeight="1" x14ac:dyDescent="0.2">
      <c r="A71" s="106" t="s">
        <v>821</v>
      </c>
      <c r="B71" s="106" t="s">
        <v>822</v>
      </c>
      <c r="C71" s="106"/>
      <c r="D71" s="106"/>
      <c r="E71" s="106"/>
      <c r="F71" s="106"/>
      <c r="G71" s="106"/>
      <c r="H71" s="106"/>
    </row>
    <row r="72" spans="1:8" s="103" customFormat="1" ht="27.75" customHeight="1" x14ac:dyDescent="0.2">
      <c r="A72" s="21" t="s">
        <v>823</v>
      </c>
      <c r="B72" s="21" t="s">
        <v>822</v>
      </c>
      <c r="C72" s="21"/>
      <c r="D72" s="21"/>
      <c r="E72" s="21"/>
      <c r="F72" s="21"/>
      <c r="G72" s="21"/>
      <c r="H72" s="21"/>
    </row>
    <row r="73" spans="1:8" ht="27.75" customHeight="1" x14ac:dyDescent="0.2">
      <c r="A73" s="106" t="s">
        <v>824</v>
      </c>
      <c r="B73" s="106" t="s">
        <v>822</v>
      </c>
      <c r="C73" s="106"/>
      <c r="D73" s="106"/>
      <c r="E73" s="106"/>
      <c r="F73" s="106"/>
      <c r="G73" s="106"/>
      <c r="H73" s="106"/>
    </row>
    <row r="74" spans="1:8" ht="27.75" customHeight="1" x14ac:dyDescent="0.2">
      <c r="A74" s="106" t="s">
        <v>825</v>
      </c>
      <c r="B74" s="106" t="s">
        <v>822</v>
      </c>
      <c r="C74" s="106"/>
      <c r="D74" s="106"/>
      <c r="E74" s="106"/>
      <c r="F74" s="106"/>
      <c r="G74" s="106"/>
      <c r="H74" s="106"/>
    </row>
    <row r="75" spans="1:8" ht="27.75" customHeight="1" x14ac:dyDescent="0.2">
      <c r="A75" s="106" t="s">
        <v>826</v>
      </c>
      <c r="B75" s="106" t="s">
        <v>822</v>
      </c>
      <c r="C75" s="106"/>
      <c r="D75" s="106"/>
      <c r="E75" s="106"/>
      <c r="F75" s="106"/>
      <c r="G75" s="106"/>
      <c r="H75" s="106"/>
    </row>
    <row r="76" spans="1:8" ht="27.75" customHeight="1" x14ac:dyDescent="0.2">
      <c r="A76" s="106" t="s">
        <v>827</v>
      </c>
      <c r="B76" s="106" t="s">
        <v>822</v>
      </c>
      <c r="C76" s="106"/>
      <c r="D76" s="106"/>
      <c r="E76" s="106"/>
      <c r="F76" s="106"/>
      <c r="G76" s="106"/>
      <c r="H76" s="106"/>
    </row>
    <row r="77" spans="1:8" ht="27.75" customHeight="1" x14ac:dyDescent="0.2">
      <c r="A77" s="106" t="s">
        <v>828</v>
      </c>
      <c r="B77" s="106" t="s">
        <v>822</v>
      </c>
      <c r="C77" s="106"/>
      <c r="D77" s="106"/>
      <c r="E77" s="106"/>
      <c r="F77" s="106"/>
      <c r="G77" s="106"/>
      <c r="H77" s="106"/>
    </row>
    <row r="78" spans="1:8" ht="27.75" customHeight="1" x14ac:dyDescent="0.2">
      <c r="A78" s="106" t="s">
        <v>829</v>
      </c>
      <c r="B78" s="106" t="s">
        <v>822</v>
      </c>
      <c r="C78" s="106"/>
      <c r="D78" s="106"/>
      <c r="E78" s="106"/>
      <c r="F78" s="106"/>
      <c r="G78" s="106"/>
      <c r="H78" s="106"/>
    </row>
    <row r="79" spans="1:8" ht="27.75" customHeight="1" x14ac:dyDescent="0.2">
      <c r="A79" s="106" t="s">
        <v>830</v>
      </c>
      <c r="B79" s="106" t="s">
        <v>822</v>
      </c>
      <c r="C79" s="106"/>
      <c r="D79" s="106"/>
      <c r="E79" s="106"/>
      <c r="F79" s="106"/>
      <c r="G79" s="106"/>
      <c r="H79" s="106"/>
    </row>
    <row r="80" spans="1:8" ht="27.75" customHeight="1" x14ac:dyDescent="0.2">
      <c r="A80" s="106" t="s">
        <v>831</v>
      </c>
      <c r="B80" s="106" t="s">
        <v>822</v>
      </c>
      <c r="C80" s="106"/>
      <c r="D80" s="106"/>
      <c r="E80" s="106"/>
      <c r="F80" s="106"/>
      <c r="G80" s="106"/>
      <c r="H80" s="106"/>
    </row>
    <row r="81" spans="1:8" ht="27.75" customHeight="1" x14ac:dyDescent="0.2">
      <c r="A81" s="106" t="s">
        <v>832</v>
      </c>
      <c r="B81" s="106" t="s">
        <v>822</v>
      </c>
      <c r="C81" s="106"/>
      <c r="D81" s="106"/>
      <c r="E81" s="106"/>
      <c r="F81" s="106"/>
      <c r="G81" s="106"/>
      <c r="H81" s="106"/>
    </row>
    <row r="82" spans="1:8" ht="27.75" customHeight="1" x14ac:dyDescent="0.2">
      <c r="A82" s="106" t="s">
        <v>833</v>
      </c>
      <c r="B82" s="106" t="s">
        <v>822</v>
      </c>
      <c r="C82" s="106"/>
      <c r="D82" s="106"/>
      <c r="E82" s="106"/>
      <c r="F82" s="106"/>
      <c r="G82" s="106"/>
      <c r="H82" s="106"/>
    </row>
    <row r="83" spans="1:8" ht="27.75" customHeight="1" x14ac:dyDescent="0.2">
      <c r="A83" s="106"/>
      <c r="B83" s="106"/>
      <c r="C83" s="106"/>
      <c r="D83" s="106"/>
      <c r="E83" s="106"/>
      <c r="F83" s="106"/>
      <c r="G83" s="106"/>
      <c r="H83" s="106"/>
    </row>
    <row r="84" spans="1:8" ht="27.75" customHeight="1" x14ac:dyDescent="0.2">
      <c r="A84" s="106"/>
      <c r="B84" s="106"/>
      <c r="C84" s="106"/>
      <c r="D84" s="106"/>
      <c r="E84" s="106"/>
      <c r="F84" s="106"/>
      <c r="G84" s="106"/>
      <c r="H84" s="106"/>
    </row>
    <row r="85" spans="1:8" ht="50.85" customHeight="1" x14ac:dyDescent="0.2">
      <c r="A85" s="106"/>
      <c r="B85" s="106"/>
      <c r="C85" s="106"/>
      <c r="D85" s="106"/>
      <c r="E85" s="106"/>
      <c r="F85" s="106"/>
      <c r="G85" s="106"/>
      <c r="H85" s="106"/>
    </row>
    <row r="86" spans="1:8" ht="8.85" customHeight="1" x14ac:dyDescent="0.2">
      <c r="A86" s="106"/>
      <c r="B86" s="106"/>
      <c r="C86" s="106"/>
      <c r="D86" s="106"/>
      <c r="E86" s="106"/>
      <c r="F86" s="106"/>
      <c r="G86" s="106"/>
      <c r="H86" s="106"/>
    </row>
    <row r="87" spans="1:8" ht="25.35" customHeight="1" x14ac:dyDescent="0.2">
      <c r="A87" s="248" t="s">
        <v>67</v>
      </c>
      <c r="B87" s="248"/>
      <c r="C87" s="248"/>
      <c r="D87" s="248"/>
      <c r="E87" s="248"/>
      <c r="F87" s="248"/>
      <c r="G87" s="248"/>
      <c r="H87" s="248"/>
    </row>
    <row r="88" spans="1:8" ht="16.7" customHeight="1" x14ac:dyDescent="0.2">
      <c r="A88" s="21" t="s">
        <v>68</v>
      </c>
      <c r="B88" s="106"/>
      <c r="C88" s="106" t="s">
        <v>834</v>
      </c>
      <c r="D88" s="106" t="s">
        <v>69</v>
      </c>
      <c r="E88" s="106" t="s">
        <v>70</v>
      </c>
      <c r="F88" s="106" t="s">
        <v>71</v>
      </c>
      <c r="G88" s="106" t="s">
        <v>72</v>
      </c>
      <c r="H88" s="106" t="s">
        <v>73</v>
      </c>
    </row>
    <row r="89" spans="1:8" ht="25.35" customHeight="1" x14ac:dyDescent="0.2">
      <c r="A89" s="106">
        <f>'Risk Truth'!A25</f>
        <v>0</v>
      </c>
      <c r="B89" s="106">
        <f>'Risk Truth'!B25</f>
        <v>0</v>
      </c>
      <c r="C89" s="106">
        <f>'Risk Truth'!D25</f>
        <v>0</v>
      </c>
      <c r="D89" s="106">
        <f>'Risk Truth'!E25</f>
        <v>0</v>
      </c>
      <c r="E89" s="106">
        <f>'Risk Truth'!F25</f>
        <v>0</v>
      </c>
      <c r="F89" s="106">
        <f>'Risk Truth'!G25</f>
        <v>0</v>
      </c>
      <c r="G89" s="106" t="s">
        <v>74</v>
      </c>
      <c r="H89" s="106" t="s">
        <v>75</v>
      </c>
    </row>
    <row r="90" spans="1:8" ht="25.35" customHeight="1" x14ac:dyDescent="0.2">
      <c r="A90" s="106">
        <f>'Risk Truth'!A26</f>
        <v>0</v>
      </c>
      <c r="B90" s="106">
        <f>'Risk Truth'!B26</f>
        <v>0</v>
      </c>
      <c r="C90" s="106">
        <f>'Risk Truth'!D26</f>
        <v>0</v>
      </c>
      <c r="D90" s="106">
        <f>'Risk Truth'!E26</f>
        <v>0</v>
      </c>
      <c r="E90" s="106">
        <f>'Risk Truth'!F26</f>
        <v>0</v>
      </c>
      <c r="F90" s="106">
        <f>'Risk Truth'!G26</f>
        <v>0</v>
      </c>
      <c r="G90" s="106" t="s">
        <v>76</v>
      </c>
      <c r="H90" s="106" t="s">
        <v>75</v>
      </c>
    </row>
    <row r="91" spans="1:8" ht="25.35" customHeight="1" x14ac:dyDescent="0.2">
      <c r="A91" s="106">
        <f>'Risk Truth'!A27</f>
        <v>0</v>
      </c>
      <c r="B91" s="106">
        <f>'Risk Truth'!B27</f>
        <v>0</v>
      </c>
      <c r="C91" s="106">
        <f>'Risk Truth'!D27</f>
        <v>0</v>
      </c>
      <c r="D91" s="106">
        <f>'Risk Truth'!E27</f>
        <v>0</v>
      </c>
      <c r="E91" s="106">
        <f>'Risk Truth'!F27</f>
        <v>0</v>
      </c>
      <c r="F91" s="106">
        <f>'Risk Truth'!G27</f>
        <v>0</v>
      </c>
      <c r="G91" s="106" t="s">
        <v>77</v>
      </c>
      <c r="H91" s="106" t="s">
        <v>75</v>
      </c>
    </row>
    <row r="92" spans="1:8" ht="25.35" customHeight="1" x14ac:dyDescent="0.2">
      <c r="A92" s="106">
        <f>'Risk Truth'!A28</f>
        <v>0</v>
      </c>
      <c r="B92" s="106">
        <f>'Risk Truth'!B28</f>
        <v>0</v>
      </c>
      <c r="C92" s="106">
        <f>'Risk Truth'!D28</f>
        <v>0</v>
      </c>
      <c r="D92" s="106">
        <f>'Risk Truth'!E28</f>
        <v>0</v>
      </c>
      <c r="E92" s="106">
        <f>'Risk Truth'!F28</f>
        <v>0</v>
      </c>
      <c r="F92" s="106">
        <f>'Risk Truth'!G28</f>
        <v>0</v>
      </c>
      <c r="G92" s="106" t="s">
        <v>78</v>
      </c>
      <c r="H92" s="106" t="s">
        <v>75</v>
      </c>
    </row>
    <row r="93" spans="1:8" ht="16.899999999999999" customHeight="1" x14ac:dyDescent="0.2">
      <c r="A93" s="106">
        <f>'Risk Truth'!A29</f>
        <v>0</v>
      </c>
      <c r="B93" s="106">
        <f>'Risk Truth'!B29</f>
        <v>0</v>
      </c>
      <c r="C93" s="106">
        <f>'Risk Truth'!D29</f>
        <v>0</v>
      </c>
      <c r="D93" s="106">
        <f>'Risk Truth'!E29</f>
        <v>0</v>
      </c>
      <c r="E93" s="106">
        <f>'Risk Truth'!F29</f>
        <v>0</v>
      </c>
      <c r="F93" s="106">
        <f>'Risk Truth'!G29</f>
        <v>0</v>
      </c>
      <c r="G93" s="106" t="s">
        <v>79</v>
      </c>
      <c r="H93" s="106" t="s">
        <v>75</v>
      </c>
    </row>
    <row r="94" spans="1:8" ht="33.75" customHeight="1" x14ac:dyDescent="0.2">
      <c r="A94" s="106">
        <f>'Risk Truth'!A30</f>
        <v>0</v>
      </c>
      <c r="B94" s="106">
        <f>'Risk Truth'!B30</f>
        <v>0</v>
      </c>
      <c r="C94" s="106">
        <f>'Risk Truth'!D30</f>
        <v>0</v>
      </c>
      <c r="D94" s="106">
        <f>'Risk Truth'!E30</f>
        <v>0</v>
      </c>
      <c r="E94" s="106">
        <f>'Risk Truth'!F30</f>
        <v>0</v>
      </c>
      <c r="F94" s="106">
        <f>'Risk Truth'!G30</f>
        <v>0</v>
      </c>
      <c r="G94" s="106" t="s">
        <v>80</v>
      </c>
      <c r="H94" s="106" t="s">
        <v>75</v>
      </c>
    </row>
    <row r="95" spans="1:8" ht="33.75" customHeight="1" x14ac:dyDescent="0.2">
      <c r="A95" s="106">
        <f>'Risk Truth'!A31</f>
        <v>0</v>
      </c>
      <c r="B95" s="106">
        <f>'Risk Truth'!B31</f>
        <v>0</v>
      </c>
      <c r="C95" s="106">
        <f>'Risk Truth'!D31</f>
        <v>0</v>
      </c>
      <c r="D95" s="106">
        <f>'Risk Truth'!E31</f>
        <v>0</v>
      </c>
      <c r="E95" s="106">
        <f>'Risk Truth'!F31</f>
        <v>0</v>
      </c>
      <c r="F95" s="106">
        <f>'Risk Truth'!G31</f>
        <v>0</v>
      </c>
      <c r="G95" s="106" t="s">
        <v>81</v>
      </c>
      <c r="H95" s="106" t="s">
        <v>75</v>
      </c>
    </row>
    <row r="96" spans="1:8" ht="25.35" customHeight="1" x14ac:dyDescent="0.2">
      <c r="A96" s="106">
        <f>'Risk Truth'!A32</f>
        <v>0</v>
      </c>
      <c r="B96" s="106">
        <f>'Risk Truth'!B32</f>
        <v>0</v>
      </c>
      <c r="C96" s="106">
        <f>'Risk Truth'!D32</f>
        <v>0</v>
      </c>
      <c r="D96" s="106">
        <f>'Risk Truth'!E32</f>
        <v>0</v>
      </c>
      <c r="E96" s="106">
        <f>'Risk Truth'!F32</f>
        <v>0</v>
      </c>
      <c r="F96" s="106">
        <f>'Risk Truth'!G32</f>
        <v>0</v>
      </c>
      <c r="G96" s="106" t="s">
        <v>82</v>
      </c>
      <c r="H96" s="106" t="s">
        <v>75</v>
      </c>
    </row>
    <row r="97" spans="1:8" ht="25.35" customHeight="1" x14ac:dyDescent="0.2">
      <c r="A97" s="106">
        <f>'Risk Truth'!A33</f>
        <v>0</v>
      </c>
      <c r="B97" s="106">
        <f>'Risk Truth'!B33</f>
        <v>0</v>
      </c>
      <c r="C97" s="106">
        <f>'Risk Truth'!D33</f>
        <v>0</v>
      </c>
      <c r="D97" s="106">
        <f>'Risk Truth'!E33</f>
        <v>0</v>
      </c>
      <c r="E97" s="106">
        <f>'Risk Truth'!F33</f>
        <v>0</v>
      </c>
      <c r="F97" s="106">
        <f>'Risk Truth'!G33</f>
        <v>0</v>
      </c>
      <c r="G97" s="106" t="s">
        <v>81</v>
      </c>
      <c r="H97" s="106" t="s">
        <v>75</v>
      </c>
    </row>
    <row r="98" spans="1:8" ht="25.35" customHeight="1" x14ac:dyDescent="0.2">
      <c r="A98" s="106">
        <f>'Risk Truth'!A34</f>
        <v>0</v>
      </c>
      <c r="B98" s="106">
        <f>'Risk Truth'!B34</f>
        <v>0</v>
      </c>
      <c r="C98" s="106">
        <f>'Risk Truth'!D34</f>
        <v>0</v>
      </c>
      <c r="D98" s="106">
        <f>'Risk Truth'!E34</f>
        <v>0</v>
      </c>
      <c r="E98" s="106">
        <f>'Risk Truth'!F34</f>
        <v>0</v>
      </c>
      <c r="F98" s="106">
        <f>'Risk Truth'!G34</f>
        <v>0</v>
      </c>
      <c r="G98" s="106" t="s">
        <v>79</v>
      </c>
      <c r="H98" s="106" t="s">
        <v>75</v>
      </c>
    </row>
    <row r="99" spans="1:8" ht="8.85" customHeight="1" x14ac:dyDescent="0.2">
      <c r="A99" s="106">
        <f>'Risk Truth'!A35</f>
        <v>0</v>
      </c>
      <c r="B99" s="106">
        <f>'Risk Truth'!B35</f>
        <v>0</v>
      </c>
      <c r="C99" s="106">
        <f>'Risk Truth'!D35</f>
        <v>0</v>
      </c>
      <c r="D99" s="106">
        <f>'Risk Truth'!E35</f>
        <v>0</v>
      </c>
      <c r="E99" s="106">
        <f>'Risk Truth'!F35</f>
        <v>0</v>
      </c>
      <c r="F99" s="106">
        <f>'Risk Truth'!G35</f>
        <v>0</v>
      </c>
      <c r="G99" s="106"/>
      <c r="H99" s="106"/>
    </row>
    <row r="100" spans="1:8" ht="18.2" customHeight="1" x14ac:dyDescent="0.2">
      <c r="A100" s="248" t="s">
        <v>83</v>
      </c>
      <c r="B100" s="248"/>
      <c r="C100" s="248"/>
      <c r="D100" s="248"/>
      <c r="E100" s="248"/>
      <c r="F100" s="248"/>
      <c r="G100" s="248"/>
      <c r="H100" s="248"/>
    </row>
    <row r="101" spans="1:8" s="103" customFormat="1" ht="22.9" customHeight="1" x14ac:dyDescent="0.2">
      <c r="A101" s="21" t="s">
        <v>84</v>
      </c>
      <c r="B101" s="21"/>
      <c r="C101" s="21"/>
      <c r="D101" s="21" t="s">
        <v>72</v>
      </c>
      <c r="E101" s="21" t="s">
        <v>85</v>
      </c>
      <c r="F101" s="21" t="s">
        <v>86</v>
      </c>
      <c r="G101" s="21" t="s">
        <v>87</v>
      </c>
      <c r="H101" s="21"/>
    </row>
    <row r="102" spans="1:8" ht="19.7" customHeight="1" x14ac:dyDescent="0.2">
      <c r="A102" s="106" t="s">
        <v>835</v>
      </c>
      <c r="B102" s="106" t="s">
        <v>836</v>
      </c>
      <c r="C102" s="106" t="s">
        <v>837</v>
      </c>
      <c r="D102" s="106" t="s">
        <v>74</v>
      </c>
      <c r="E102" s="106" t="s">
        <v>404</v>
      </c>
      <c r="F102" s="106" t="s">
        <v>838</v>
      </c>
      <c r="G102" s="30"/>
      <c r="H102" s="106"/>
    </row>
    <row r="103" spans="1:8" ht="19.7" customHeight="1" x14ac:dyDescent="0.2">
      <c r="A103" s="106" t="s">
        <v>839</v>
      </c>
      <c r="B103" s="106" t="s">
        <v>840</v>
      </c>
      <c r="C103" s="106" t="s">
        <v>837</v>
      </c>
      <c r="D103" s="106" t="s">
        <v>74</v>
      </c>
      <c r="E103" s="106" t="s">
        <v>404</v>
      </c>
      <c r="F103" s="106" t="s">
        <v>841</v>
      </c>
      <c r="G103" s="30"/>
      <c r="H103" s="106"/>
    </row>
    <row r="104" spans="1:8" ht="19.7" customHeight="1" x14ac:dyDescent="0.2">
      <c r="A104" s="106" t="s">
        <v>2</v>
      </c>
      <c r="B104" s="106" t="s">
        <v>842</v>
      </c>
      <c r="C104" s="106" t="s">
        <v>837</v>
      </c>
      <c r="D104" s="106" t="s">
        <v>74</v>
      </c>
      <c r="E104" s="106" t="s">
        <v>404</v>
      </c>
      <c r="F104" s="106" t="s">
        <v>843</v>
      </c>
      <c r="G104" s="30"/>
      <c r="H104" s="106"/>
    </row>
    <row r="105" spans="1:8" ht="19.7" customHeight="1" x14ac:dyDescent="0.2">
      <c r="A105" s="106" t="s">
        <v>844</v>
      </c>
      <c r="B105" s="106" t="s">
        <v>845</v>
      </c>
      <c r="C105" s="106" t="s">
        <v>837</v>
      </c>
      <c r="D105" s="106" t="s">
        <v>79</v>
      </c>
      <c r="E105" s="106" t="s">
        <v>404</v>
      </c>
      <c r="F105" s="106" t="s">
        <v>27</v>
      </c>
      <c r="G105" s="30"/>
      <c r="H105" s="106"/>
    </row>
    <row r="106" spans="1:8" ht="19.7" customHeight="1" x14ac:dyDescent="0.2">
      <c r="A106" s="106" t="s">
        <v>846</v>
      </c>
      <c r="B106" s="106" t="s">
        <v>847</v>
      </c>
      <c r="C106" s="106" t="s">
        <v>837</v>
      </c>
      <c r="D106" s="106" t="s">
        <v>74</v>
      </c>
      <c r="E106" s="106" t="s">
        <v>404</v>
      </c>
      <c r="F106" s="106" t="s">
        <v>29</v>
      </c>
      <c r="G106" s="30"/>
      <c r="H106" s="106"/>
    </row>
    <row r="107" spans="1:8" ht="19.7" customHeight="1" x14ac:dyDescent="0.2">
      <c r="A107" s="106" t="s">
        <v>848</v>
      </c>
      <c r="B107" s="106" t="s">
        <v>849</v>
      </c>
      <c r="C107" s="106" t="s">
        <v>837</v>
      </c>
      <c r="D107" s="106" t="s">
        <v>74</v>
      </c>
      <c r="E107" s="106" t="s">
        <v>404</v>
      </c>
      <c r="F107" s="106" t="s">
        <v>850</v>
      </c>
      <c r="G107" s="30"/>
      <c r="H107" s="106"/>
    </row>
    <row r="108" spans="1:8" ht="19.7" customHeight="1" x14ac:dyDescent="0.2">
      <c r="A108" s="106" t="s">
        <v>851</v>
      </c>
      <c r="B108" s="106" t="s">
        <v>852</v>
      </c>
      <c r="C108" s="106" t="s">
        <v>837</v>
      </c>
      <c r="D108" s="106" t="s">
        <v>74</v>
      </c>
      <c r="E108" s="106" t="s">
        <v>404</v>
      </c>
      <c r="F108" s="106" t="s">
        <v>853</v>
      </c>
      <c r="G108" s="30"/>
      <c r="H108" s="106"/>
    </row>
    <row r="109" spans="1:8" ht="19.7" customHeight="1" x14ac:dyDescent="0.2">
      <c r="A109" s="106" t="s">
        <v>854</v>
      </c>
      <c r="B109" s="106" t="s">
        <v>855</v>
      </c>
      <c r="C109" s="106" t="s">
        <v>837</v>
      </c>
      <c r="D109" s="106" t="s">
        <v>74</v>
      </c>
      <c r="E109" s="106" t="s">
        <v>404</v>
      </c>
      <c r="F109" s="106" t="s">
        <v>23</v>
      </c>
      <c r="G109" s="30"/>
      <c r="H109" s="106"/>
    </row>
    <row r="110" spans="1:8" ht="19.7" customHeight="1" x14ac:dyDescent="0.2">
      <c r="A110" s="106" t="s">
        <v>856</v>
      </c>
      <c r="B110" s="106" t="s">
        <v>857</v>
      </c>
      <c r="C110" s="106" t="s">
        <v>837</v>
      </c>
      <c r="D110" s="106" t="s">
        <v>81</v>
      </c>
      <c r="E110" s="106" t="s">
        <v>404</v>
      </c>
      <c r="F110" s="106" t="s">
        <v>858</v>
      </c>
      <c r="G110" s="30"/>
      <c r="H110" s="106"/>
    </row>
    <row r="111" spans="1:8" ht="19.7" customHeight="1" x14ac:dyDescent="0.2">
      <c r="A111" s="106" t="s">
        <v>780</v>
      </c>
      <c r="B111" s="106" t="s">
        <v>859</v>
      </c>
      <c r="C111" s="106" t="s">
        <v>837</v>
      </c>
      <c r="D111" s="106" t="s">
        <v>74</v>
      </c>
      <c r="E111" s="106" t="s">
        <v>404</v>
      </c>
      <c r="F111" s="106" t="s">
        <v>780</v>
      </c>
      <c r="G111" s="30"/>
      <c r="H111" s="106"/>
    </row>
    <row r="112" spans="1:8" ht="19.7" customHeight="1" x14ac:dyDescent="0.2">
      <c r="A112" s="106" t="s">
        <v>860</v>
      </c>
      <c r="B112" s="106" t="s">
        <v>861</v>
      </c>
      <c r="C112" s="106" t="s">
        <v>837</v>
      </c>
      <c r="D112" s="106" t="s">
        <v>74</v>
      </c>
      <c r="E112" s="106" t="s">
        <v>404</v>
      </c>
      <c r="F112" s="106" t="s">
        <v>780</v>
      </c>
      <c r="G112" s="30"/>
      <c r="H112" s="106"/>
    </row>
    <row r="113" spans="1:8" ht="19.7" customHeight="1" x14ac:dyDescent="0.2">
      <c r="A113" s="106" t="s">
        <v>862</v>
      </c>
      <c r="B113" s="106" t="s">
        <v>863</v>
      </c>
      <c r="C113" s="106" t="s">
        <v>837</v>
      </c>
      <c r="D113" s="106" t="s">
        <v>74</v>
      </c>
      <c r="E113" s="106" t="s">
        <v>404</v>
      </c>
      <c r="F113" s="106" t="s">
        <v>778</v>
      </c>
      <c r="G113" s="30"/>
      <c r="H113" s="106"/>
    </row>
    <row r="114" spans="1:8" ht="19.7" customHeight="1" x14ac:dyDescent="0.2">
      <c r="A114" s="106" t="s">
        <v>864</v>
      </c>
      <c r="B114" s="106" t="s">
        <v>865</v>
      </c>
      <c r="C114" s="106" t="s">
        <v>837</v>
      </c>
      <c r="D114" s="106" t="s">
        <v>74</v>
      </c>
      <c r="E114" s="106" t="s">
        <v>404</v>
      </c>
      <c r="F114" s="106" t="s">
        <v>866</v>
      </c>
      <c r="G114" s="30"/>
      <c r="H114" s="106"/>
    </row>
    <row r="115" spans="1:8" ht="19.7" customHeight="1" x14ac:dyDescent="0.2">
      <c r="A115" s="106" t="s">
        <v>867</v>
      </c>
      <c r="B115" s="106" t="s">
        <v>868</v>
      </c>
      <c r="C115" s="106" t="s">
        <v>837</v>
      </c>
      <c r="D115" s="106" t="s">
        <v>79</v>
      </c>
      <c r="E115" s="106" t="s">
        <v>404</v>
      </c>
      <c r="F115" s="106" t="s">
        <v>869</v>
      </c>
      <c r="G115" s="30"/>
      <c r="H115" s="106"/>
    </row>
    <row r="116" spans="1:8" ht="19.7" customHeight="1" x14ac:dyDescent="0.2">
      <c r="A116" s="106" t="s">
        <v>870</v>
      </c>
      <c r="B116" s="106" t="s">
        <v>871</v>
      </c>
      <c r="C116" s="106" t="s">
        <v>837</v>
      </c>
      <c r="D116" s="106" t="s">
        <v>872</v>
      </c>
      <c r="E116" s="106" t="s">
        <v>404</v>
      </c>
      <c r="F116" s="106" t="s">
        <v>873</v>
      </c>
      <c r="G116" s="30"/>
      <c r="H116" s="106"/>
    </row>
    <row r="117" spans="1:8" ht="19.7" customHeight="1" x14ac:dyDescent="0.2">
      <c r="A117" s="106" t="s">
        <v>874</v>
      </c>
      <c r="B117" s="106" t="s">
        <v>875</v>
      </c>
      <c r="C117" s="106" t="s">
        <v>837</v>
      </c>
      <c r="D117" s="106" t="s">
        <v>876</v>
      </c>
      <c r="E117" s="106" t="s">
        <v>404</v>
      </c>
      <c r="F117" s="106" t="s">
        <v>877</v>
      </c>
      <c r="G117" s="30"/>
      <c r="H117" s="106"/>
    </row>
    <row r="118" spans="1:8" ht="19.7" customHeight="1" x14ac:dyDescent="0.2">
      <c r="A118" s="106" t="s">
        <v>878</v>
      </c>
      <c r="B118" s="106" t="s">
        <v>879</v>
      </c>
      <c r="C118" s="106" t="s">
        <v>837</v>
      </c>
      <c r="D118" s="106" t="s">
        <v>74</v>
      </c>
      <c r="E118" s="106" t="s">
        <v>404</v>
      </c>
      <c r="F118" s="106" t="s">
        <v>877</v>
      </c>
      <c r="G118" s="30"/>
      <c r="H118" s="106"/>
    </row>
    <row r="119" spans="1:8" ht="19.7" customHeight="1" x14ac:dyDescent="0.2">
      <c r="A119" s="106" t="s">
        <v>880</v>
      </c>
      <c r="B119" s="106" t="s">
        <v>881</v>
      </c>
      <c r="C119" s="106" t="s">
        <v>837</v>
      </c>
      <c r="D119" s="106" t="s">
        <v>880</v>
      </c>
      <c r="E119" s="106" t="s">
        <v>404</v>
      </c>
      <c r="F119" s="106" t="s">
        <v>34</v>
      </c>
      <c r="G119" s="30"/>
      <c r="H119" s="106"/>
    </row>
    <row r="120" spans="1:8" ht="19.7" customHeight="1" x14ac:dyDescent="0.2">
      <c r="A120" s="106" t="s">
        <v>882</v>
      </c>
      <c r="B120" s="106" t="s">
        <v>883</v>
      </c>
      <c r="C120" s="106" t="s">
        <v>837</v>
      </c>
      <c r="D120" s="106" t="s">
        <v>884</v>
      </c>
      <c r="E120" s="106" t="s">
        <v>245</v>
      </c>
      <c r="F120" s="106" t="s">
        <v>35</v>
      </c>
      <c r="G120" s="30"/>
      <c r="H120" s="106"/>
    </row>
    <row r="121" spans="1:8" ht="19.7" customHeight="1" x14ac:dyDescent="0.2">
      <c r="A121" s="106" t="s">
        <v>25</v>
      </c>
      <c r="B121" s="106" t="s">
        <v>885</v>
      </c>
      <c r="C121" s="106" t="s">
        <v>837</v>
      </c>
      <c r="D121" s="106" t="s">
        <v>74</v>
      </c>
      <c r="E121" s="106" t="s">
        <v>404</v>
      </c>
      <c r="F121" s="106" t="s">
        <v>25</v>
      </c>
      <c r="G121" s="30"/>
      <c r="H121" s="106"/>
    </row>
    <row r="122" spans="1:8" ht="19.7" customHeight="1" x14ac:dyDescent="0.2">
      <c r="A122" s="106" t="s">
        <v>886</v>
      </c>
      <c r="B122" s="106" t="s">
        <v>887</v>
      </c>
      <c r="C122" s="106" t="s">
        <v>837</v>
      </c>
      <c r="D122" s="106" t="s">
        <v>880</v>
      </c>
      <c r="E122" s="106" t="s">
        <v>404</v>
      </c>
      <c r="F122" s="106" t="s">
        <v>888</v>
      </c>
      <c r="G122" s="30"/>
      <c r="H122" s="106"/>
    </row>
    <row r="123" spans="1:8" ht="19.7" customHeight="1" x14ac:dyDescent="0.2">
      <c r="A123" s="106" t="s">
        <v>889</v>
      </c>
      <c r="B123" s="106" t="s">
        <v>890</v>
      </c>
      <c r="C123" s="106" t="s">
        <v>837</v>
      </c>
      <c r="D123" s="106" t="s">
        <v>891</v>
      </c>
      <c r="E123" s="106" t="s">
        <v>404</v>
      </c>
      <c r="F123" s="106" t="s">
        <v>892</v>
      </c>
      <c r="G123" s="30"/>
      <c r="H123" s="106"/>
    </row>
    <row r="124" spans="1:8" ht="19.7" customHeight="1" x14ac:dyDescent="0.2">
      <c r="A124" s="106" t="s">
        <v>893</v>
      </c>
      <c r="B124" s="106" t="s">
        <v>894</v>
      </c>
      <c r="C124" s="106" t="s">
        <v>837</v>
      </c>
      <c r="D124" s="106" t="s">
        <v>74</v>
      </c>
      <c r="E124" s="106" t="s">
        <v>404</v>
      </c>
      <c r="F124" s="106" t="s">
        <v>895</v>
      </c>
      <c r="G124" s="30"/>
      <c r="H124" s="106"/>
    </row>
    <row r="125" spans="1:8" ht="19.7" customHeight="1" x14ac:dyDescent="0.2">
      <c r="A125" s="237" t="s">
        <v>896</v>
      </c>
      <c r="B125" s="237" t="s">
        <v>897</v>
      </c>
      <c r="C125" s="237" t="s">
        <v>837</v>
      </c>
      <c r="D125" s="237" t="s">
        <v>898</v>
      </c>
      <c r="E125" s="237" t="s">
        <v>404</v>
      </c>
      <c r="F125" s="237" t="s">
        <v>899</v>
      </c>
      <c r="G125" s="106"/>
      <c r="H125" s="106"/>
    </row>
    <row r="126" spans="1:8" ht="15.4" customHeight="1" x14ac:dyDescent="0.2">
      <c r="A126" s="248" t="s">
        <v>900</v>
      </c>
      <c r="B126" s="248" t="s">
        <v>901</v>
      </c>
      <c r="C126" s="248" t="s">
        <v>837</v>
      </c>
      <c r="D126" s="248" t="s">
        <v>74</v>
      </c>
      <c r="E126" s="248" t="s">
        <v>404</v>
      </c>
      <c r="F126" s="248" t="s">
        <v>902</v>
      </c>
      <c r="G126" s="248"/>
      <c r="H126" s="248"/>
    </row>
    <row r="127" spans="1:8" ht="15.4" customHeight="1" x14ac:dyDescent="0.2">
      <c r="A127" s="106" t="s">
        <v>903</v>
      </c>
      <c r="B127" s="106" t="s">
        <v>904</v>
      </c>
      <c r="C127" s="106" t="s">
        <v>311</v>
      </c>
      <c r="D127" s="106" t="s">
        <v>91</v>
      </c>
      <c r="E127" s="106" t="s">
        <v>73</v>
      </c>
      <c r="F127" s="106"/>
      <c r="G127" s="106"/>
      <c r="H127" s="106"/>
    </row>
    <row r="128" spans="1:8" ht="94.15" customHeight="1" x14ac:dyDescent="0.2">
      <c r="A128" s="106" t="s">
        <v>905</v>
      </c>
      <c r="B128" s="106" t="s">
        <v>906</v>
      </c>
      <c r="C128" s="106" t="s">
        <v>907</v>
      </c>
      <c r="D128" s="106" t="s">
        <v>908</v>
      </c>
      <c r="E128" s="106" t="s">
        <v>909</v>
      </c>
      <c r="F128" s="106"/>
      <c r="G128" s="106"/>
      <c r="H128" s="106"/>
    </row>
    <row r="129" spans="1:8" ht="215.25" x14ac:dyDescent="0.2">
      <c r="A129" s="27" t="s">
        <v>910</v>
      </c>
      <c r="B129" s="27" t="s">
        <v>906</v>
      </c>
      <c r="C129" s="27" t="s">
        <v>911</v>
      </c>
      <c r="D129" s="27" t="s">
        <v>908</v>
      </c>
      <c r="E129" s="27" t="s">
        <v>912</v>
      </c>
      <c r="F129"/>
      <c r="G129"/>
      <c r="H129"/>
    </row>
    <row r="130" spans="1:8" ht="27.2" customHeight="1" x14ac:dyDescent="0.2">
      <c r="A130" s="247" t="s">
        <v>913</v>
      </c>
      <c r="B130" s="247"/>
      <c r="C130" s="247"/>
      <c r="D130" s="247"/>
      <c r="E130" s="247"/>
      <c r="F130" s="247"/>
      <c r="G130" s="247"/>
      <c r="H130" s="247"/>
    </row>
    <row r="131" spans="1:8" ht="22.9" customHeight="1" x14ac:dyDescent="0.2">
      <c r="A131" s="116" t="s">
        <v>9</v>
      </c>
      <c r="B131" s="117" t="s">
        <v>914</v>
      </c>
      <c r="C131"/>
      <c r="D131"/>
      <c r="E131"/>
      <c r="F131"/>
      <c r="G131"/>
      <c r="H131"/>
    </row>
    <row r="132" spans="1:8" ht="22.9" customHeight="1" x14ac:dyDescent="0.2">
      <c r="A132" s="116" t="s">
        <v>11</v>
      </c>
      <c r="B132" s="117" t="s">
        <v>915</v>
      </c>
      <c r="C132"/>
      <c r="D132"/>
      <c r="E132"/>
      <c r="F132"/>
      <c r="G132"/>
      <c r="H132"/>
    </row>
    <row r="133" spans="1:8" ht="22.9" customHeight="1" x14ac:dyDescent="0.2">
      <c r="A133" s="116" t="s">
        <v>13</v>
      </c>
      <c r="B133" s="117" t="s">
        <v>916</v>
      </c>
      <c r="C133"/>
      <c r="D133"/>
      <c r="E133"/>
      <c r="F133"/>
      <c r="G133"/>
      <c r="H133"/>
    </row>
    <row r="134" spans="1:8" ht="22.9" customHeight="1" x14ac:dyDescent="0.2">
      <c r="A134" s="116" t="s">
        <v>15</v>
      </c>
      <c r="B134" s="117" t="s">
        <v>917</v>
      </c>
      <c r="C134"/>
      <c r="D134"/>
      <c r="E134"/>
      <c r="F134"/>
      <c r="G134"/>
      <c r="H134"/>
    </row>
    <row r="135" spans="1:8" ht="22.9" customHeight="1" x14ac:dyDescent="0.2">
      <c r="A135" s="116" t="s">
        <v>17</v>
      </c>
      <c r="B135" s="117" t="s">
        <v>918</v>
      </c>
      <c r="C135"/>
      <c r="D135"/>
      <c r="E135"/>
      <c r="F135"/>
      <c r="G135"/>
      <c r="H135"/>
    </row>
    <row r="136" spans="1:8" x14ac:dyDescent="0.2">
      <c r="A136"/>
      <c r="B136"/>
      <c r="C136"/>
      <c r="D136"/>
      <c r="E136"/>
      <c r="F136"/>
      <c r="G136"/>
      <c r="H136"/>
    </row>
    <row r="137" spans="1:8" ht="18.75" x14ac:dyDescent="0.2">
      <c r="A137" s="257" t="s">
        <v>919</v>
      </c>
      <c r="B137" s="257"/>
      <c r="C137" s="257"/>
      <c r="D137" s="257"/>
      <c r="E137" s="257"/>
      <c r="F137"/>
      <c r="G137"/>
      <c r="H137"/>
    </row>
    <row r="138" spans="1:8" ht="121.5" x14ac:dyDescent="0.2">
      <c r="A138" s="229" t="s">
        <v>920</v>
      </c>
      <c r="B138" s="229" t="s">
        <v>906</v>
      </c>
      <c r="C138" s="229" t="s">
        <v>921</v>
      </c>
      <c r="D138" s="229" t="s">
        <v>908</v>
      </c>
      <c r="E138" s="229" t="s">
        <v>922</v>
      </c>
      <c r="F138"/>
      <c r="G138"/>
      <c r="H138"/>
    </row>
    <row r="139" spans="1:8" ht="108" x14ac:dyDescent="0.2">
      <c r="A139" s="27" t="s">
        <v>923</v>
      </c>
      <c r="B139" s="27" t="s">
        <v>906</v>
      </c>
      <c r="C139" s="27" t="s">
        <v>924</v>
      </c>
      <c r="D139" s="27" t="s">
        <v>908</v>
      </c>
      <c r="E139" s="27" t="s">
        <v>922</v>
      </c>
      <c r="F139"/>
      <c r="G139"/>
      <c r="H139"/>
    </row>
    <row r="140" spans="1:8" ht="56.1" customHeight="1" x14ac:dyDescent="0.2">
      <c r="A140" s="27" t="s">
        <v>925</v>
      </c>
      <c r="B140" s="27" t="s">
        <v>906</v>
      </c>
      <c r="C140" s="27" t="s">
        <v>926</v>
      </c>
      <c r="D140" s="27" t="s">
        <v>908</v>
      </c>
      <c r="E140" s="27" t="s">
        <v>922</v>
      </c>
      <c r="F140"/>
      <c r="G140"/>
      <c r="H140"/>
    </row>
    <row r="141" spans="1:8" x14ac:dyDescent="0.2">
      <c r="A141" t="s">
        <v>927</v>
      </c>
      <c r="B141" t="s">
        <v>906</v>
      </c>
      <c r="C141" t="s">
        <v>928</v>
      </c>
      <c r="D141" t="s">
        <v>908</v>
      </c>
      <c r="E141" t="s">
        <v>922</v>
      </c>
    </row>
    <row r="142" spans="1:8" ht="63.95" customHeight="1" x14ac:dyDescent="0.2">
      <c r="A142" s="27" t="s">
        <v>929</v>
      </c>
      <c r="B142" s="27" t="s">
        <v>771</v>
      </c>
      <c r="C142" s="27" t="s">
        <v>930</v>
      </c>
      <c r="D142" t="s">
        <v>908</v>
      </c>
      <c r="E142" t="s">
        <v>931</v>
      </c>
    </row>
    <row r="143" spans="1:8" ht="63.95" customHeight="1" x14ac:dyDescent="0.2">
      <c r="A143" s="27" t="s">
        <v>932</v>
      </c>
      <c r="B143" s="27" t="s">
        <v>771</v>
      </c>
      <c r="C143" s="27" t="s">
        <v>933</v>
      </c>
      <c r="D143" t="s">
        <v>908</v>
      </c>
      <c r="E143" t="s">
        <v>934</v>
      </c>
    </row>
  </sheetData>
  <mergeCells count="13">
    <mergeCell ref="A137:E137"/>
    <mergeCell ref="A130:H130"/>
    <mergeCell ref="A100:H100"/>
    <mergeCell ref="A126:H126"/>
    <mergeCell ref="A1:F1"/>
    <mergeCell ref="A2:F2"/>
    <mergeCell ref="A9:F9"/>
    <mergeCell ref="A18:F18"/>
    <mergeCell ref="A28:F28"/>
    <mergeCell ref="A35:H35"/>
    <mergeCell ref="A46:H46"/>
    <mergeCell ref="A57:H57"/>
    <mergeCell ref="A87:H87"/>
  </mergeCells>
  <dataValidations count="1">
    <dataValidation type="custom" allowBlank="1" showErrorMessage="1" errorTitle="Linked formula cell" error="This value is linked. Change the upstream input/source instead of overwriting this cell." sqref="E5" xr:uid="{00000000-0002-0000-0000-000000000000}">
      <formula1>FALSE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5"/>
  <sheetViews>
    <sheetView zoomScaleNormal="60" zoomScaleSheetLayoutView="100" workbookViewId="0"/>
  </sheetViews>
  <sheetFormatPr defaultRowHeight="15" x14ac:dyDescent="0.2"/>
  <cols>
    <col min="1" max="1" width="71.8359375" style="1" customWidth="1"/>
    <col min="2" max="2" width="38.60546875" style="1" customWidth="1"/>
    <col min="3" max="3" width="16.0078125" style="1" customWidth="1"/>
    <col min="4" max="4" width="13.98828125" style="1" customWidth="1"/>
    <col min="5" max="5" width="55.01953125" style="1" customWidth="1"/>
  </cols>
  <sheetData>
    <row r="1" spans="1:5" s="2" customFormat="1" ht="22.9" customHeight="1" x14ac:dyDescent="0.2">
      <c r="A1" s="261" t="s">
        <v>935</v>
      </c>
      <c r="B1" s="262"/>
      <c r="C1" s="29"/>
      <c r="D1" s="29"/>
      <c r="E1" s="29"/>
    </row>
    <row r="2" spans="1:5" s="3" customFormat="1" ht="22.9" customHeight="1" x14ac:dyDescent="0.2">
      <c r="A2" s="263" t="s">
        <v>936</v>
      </c>
      <c r="B2" s="262"/>
      <c r="C2" s="262"/>
      <c r="D2" s="262"/>
      <c r="E2" s="262"/>
    </row>
    <row r="3" spans="1:5" s="3" customFormat="1" ht="16.7" customHeight="1" x14ac:dyDescent="0.2">
      <c r="A3" s="20" t="s">
        <v>0</v>
      </c>
      <c r="B3" s="118"/>
      <c r="C3" s="106"/>
      <c r="D3" s="106"/>
      <c r="E3" s="106"/>
    </row>
    <row r="4" spans="1:5" s="3" customFormat="1" ht="16.7" customHeight="1" x14ac:dyDescent="0.2">
      <c r="A4" s="20" t="s">
        <v>1</v>
      </c>
      <c r="B4" s="118"/>
      <c r="C4" s="106"/>
      <c r="D4" s="106"/>
      <c r="E4" s="106"/>
    </row>
    <row r="5" spans="1:5" s="3" customFormat="1" ht="16.7" customHeight="1" x14ac:dyDescent="0.2">
      <c r="A5" s="20" t="s">
        <v>88</v>
      </c>
      <c r="B5" s="118"/>
      <c r="C5" s="106"/>
      <c r="D5" s="106"/>
      <c r="E5" s="106"/>
    </row>
    <row r="6" spans="1:5" s="3" customFormat="1" ht="16.7" customHeight="1" x14ac:dyDescent="0.2">
      <c r="A6" s="20" t="s">
        <v>5</v>
      </c>
      <c r="B6" s="118" t="s">
        <v>937</v>
      </c>
      <c r="C6" s="106"/>
      <c r="D6" s="106"/>
      <c r="E6" s="106"/>
    </row>
    <row r="7" spans="1:5" s="3" customFormat="1" ht="16.7" customHeight="1" x14ac:dyDescent="0.2">
      <c r="A7" s="20" t="s">
        <v>6</v>
      </c>
      <c r="B7" s="118" t="s">
        <v>771</v>
      </c>
      <c r="C7" s="106"/>
      <c r="D7" s="106"/>
      <c r="E7" s="106"/>
    </row>
    <row r="8" spans="1:5" s="3" customFormat="1" ht="16.7" customHeight="1" x14ac:dyDescent="0.2">
      <c r="A8" s="20" t="s">
        <v>89</v>
      </c>
      <c r="B8" s="118"/>
      <c r="C8" s="106"/>
      <c r="D8" s="106"/>
      <c r="E8" s="106"/>
    </row>
    <row r="9" spans="1:5" s="3" customFormat="1" ht="16.7" customHeight="1" x14ac:dyDescent="0.2">
      <c r="A9" s="20" t="s">
        <v>90</v>
      </c>
      <c r="B9" s="118"/>
      <c r="C9" s="106"/>
      <c r="D9" s="106"/>
      <c r="E9" s="106"/>
    </row>
    <row r="10" spans="1:5" s="3" customFormat="1" ht="16.7" customHeight="1" x14ac:dyDescent="0.2">
      <c r="A10" s="20" t="s">
        <v>91</v>
      </c>
      <c r="B10" s="118"/>
      <c r="C10" s="106"/>
      <c r="D10" s="106"/>
      <c r="E10" s="106"/>
    </row>
    <row r="11" spans="1:5" s="3" customFormat="1" ht="16.7" customHeight="1" x14ac:dyDescent="0.2">
      <c r="A11" s="20" t="s">
        <v>92</v>
      </c>
      <c r="B11" s="118"/>
      <c r="C11" s="106"/>
      <c r="D11" s="106"/>
      <c r="E11" s="106"/>
    </row>
    <row r="12" spans="1:5" ht="22.5" customHeight="1" x14ac:dyDescent="0.2">
      <c r="A12" s="20" t="s">
        <v>93</v>
      </c>
      <c r="B12" s="26"/>
      <c r="C12" s="26"/>
      <c r="D12" s="26"/>
      <c r="E12" s="26"/>
    </row>
    <row r="13" spans="1:5" s="3" customFormat="1" ht="14.45" customHeight="1" x14ac:dyDescent="0.2">
      <c r="A13" s="32" t="s">
        <v>94</v>
      </c>
      <c r="B13" s="32" t="s">
        <v>95</v>
      </c>
      <c r="C13" s="32" t="s">
        <v>96</v>
      </c>
      <c r="D13" s="32" t="s">
        <v>97</v>
      </c>
      <c r="E13" s="32" t="s">
        <v>98</v>
      </c>
    </row>
    <row r="14" spans="1:5" s="3" customFormat="1" ht="14.45" customHeight="1" x14ac:dyDescent="0.2">
      <c r="A14" s="107"/>
      <c r="B14" s="107"/>
      <c r="C14" s="119"/>
      <c r="D14" s="107"/>
      <c r="E14" s="107"/>
    </row>
    <row r="15" spans="1:5" s="3" customFormat="1" ht="14.45" customHeight="1" x14ac:dyDescent="0.2">
      <c r="A15" s="107"/>
      <c r="B15" s="107"/>
      <c r="C15" s="119"/>
      <c r="D15" s="107"/>
      <c r="E15" s="107"/>
    </row>
    <row r="16" spans="1:5" s="3" customFormat="1" ht="14.45" customHeight="1" x14ac:dyDescent="0.2">
      <c r="A16" s="107"/>
      <c r="B16" s="107"/>
      <c r="C16" s="119"/>
      <c r="D16" s="107"/>
      <c r="E16" s="107"/>
    </row>
    <row r="17" spans="1:5" s="3" customFormat="1" ht="14.45" customHeight="1" x14ac:dyDescent="0.2">
      <c r="A17" s="107"/>
      <c r="B17" s="107"/>
      <c r="C17" s="119"/>
      <c r="D17" s="107"/>
      <c r="E17" s="107"/>
    </row>
    <row r="18" spans="1:5" s="3" customFormat="1" ht="14.45" customHeight="1" x14ac:dyDescent="0.2">
      <c r="A18" s="107"/>
      <c r="B18" s="107"/>
      <c r="C18" s="119"/>
      <c r="D18" s="107"/>
      <c r="E18" s="107"/>
    </row>
    <row r="19" spans="1:5" s="3" customFormat="1" ht="14.45" customHeight="1" x14ac:dyDescent="0.2">
      <c r="A19" s="107"/>
      <c r="B19" s="107"/>
      <c r="C19" s="119"/>
      <c r="D19" s="107"/>
      <c r="E19" s="107"/>
    </row>
    <row r="20" spans="1:5" s="3" customFormat="1" ht="14.45" customHeight="1" x14ac:dyDescent="0.2">
      <c r="A20" s="107"/>
      <c r="B20" s="107"/>
      <c r="C20" s="119"/>
      <c r="D20" s="107"/>
      <c r="E20" s="107"/>
    </row>
    <row r="21" spans="1:5" s="3" customFormat="1" ht="14.45" customHeight="1" x14ac:dyDescent="0.2">
      <c r="A21" s="107" t="s">
        <v>938</v>
      </c>
      <c r="B21" s="107"/>
      <c r="C21" s="119"/>
      <c r="D21" s="107"/>
      <c r="E21" s="107"/>
    </row>
    <row r="22" spans="1:5" s="3" customFormat="1" ht="14.45" customHeight="1" x14ac:dyDescent="0.2">
      <c r="A22" s="107" t="s">
        <v>84</v>
      </c>
      <c r="B22" s="107" t="s">
        <v>99</v>
      </c>
      <c r="C22" s="119"/>
      <c r="D22" s="107"/>
      <c r="E22" s="107"/>
    </row>
    <row r="23" spans="1:5" s="3" customFormat="1" ht="14.45" customHeight="1" x14ac:dyDescent="0.2">
      <c r="A23" s="107" t="s">
        <v>100</v>
      </c>
      <c r="B23" s="120">
        <f>'Tender Build-Up'!B10</f>
        <v>0</v>
      </c>
      <c r="C23" s="119"/>
      <c r="D23" s="107"/>
      <c r="E23" s="107"/>
    </row>
    <row r="24" spans="1:5" s="3" customFormat="1" ht="14.45" customHeight="1" x14ac:dyDescent="0.2">
      <c r="A24" s="107" t="s">
        <v>101</v>
      </c>
      <c r="B24" s="120">
        <f>'Tender Build-Up'!B11</f>
        <v>0</v>
      </c>
      <c r="C24" s="119"/>
      <c r="D24" s="107"/>
      <c r="E24" s="107"/>
    </row>
    <row r="25" spans="1:5" s="3" customFormat="1" ht="14.45" customHeight="1" x14ac:dyDescent="0.2">
      <c r="A25" s="106" t="s">
        <v>102</v>
      </c>
      <c r="B25" s="121">
        <f>'Tender Build-Up'!B12</f>
        <v>0</v>
      </c>
      <c r="C25" s="106"/>
      <c r="D25" s="106"/>
      <c r="E25" s="106"/>
    </row>
    <row r="26" spans="1:5" s="3" customFormat="1" ht="14.45" customHeight="1" x14ac:dyDescent="0.2">
      <c r="A26" s="107" t="s">
        <v>103</v>
      </c>
      <c r="B26" s="121">
        <f>'Tender Build-Up'!B13</f>
        <v>0</v>
      </c>
      <c r="C26" s="106"/>
      <c r="D26" s="106"/>
      <c r="E26" s="106"/>
    </row>
    <row r="27" spans="1:5" s="3" customFormat="1" ht="14.45" customHeight="1" x14ac:dyDescent="0.2">
      <c r="A27" s="32" t="s">
        <v>104</v>
      </c>
      <c r="B27" s="122">
        <f>'Tender Build-Up'!B14</f>
        <v>0</v>
      </c>
      <c r="C27" s="123"/>
      <c r="D27" s="123"/>
      <c r="E27" s="123"/>
    </row>
    <row r="28" spans="1:5" s="3" customFormat="1" ht="14.45" customHeight="1" x14ac:dyDescent="0.2">
      <c r="A28" s="107" t="s">
        <v>105</v>
      </c>
      <c r="B28" s="124">
        <f>'Tender Build-Up'!B15</f>
        <v>0</v>
      </c>
      <c r="C28" s="106"/>
      <c r="D28" s="106"/>
      <c r="E28" s="106"/>
    </row>
    <row r="29" spans="1:5" s="3" customFormat="1" ht="14.45" customHeight="1" x14ac:dyDescent="0.2">
      <c r="A29" s="107" t="s">
        <v>106</v>
      </c>
      <c r="B29" s="124">
        <f>'Tender Build-Up'!B16</f>
        <v>0</v>
      </c>
      <c r="C29" s="106"/>
      <c r="D29" s="106"/>
      <c r="E29" s="106"/>
    </row>
    <row r="30" spans="1:5" s="3" customFormat="1" ht="14.45" customHeight="1" x14ac:dyDescent="0.2">
      <c r="A30" s="107" t="s">
        <v>107</v>
      </c>
      <c r="B30" s="124">
        <f>'Tender Build-Up'!B17</f>
        <v>0</v>
      </c>
      <c r="C30" s="106"/>
      <c r="D30" s="106"/>
      <c r="E30" s="106"/>
    </row>
    <row r="31" spans="1:5" s="3" customFormat="1" ht="14.45" customHeight="1" x14ac:dyDescent="0.2">
      <c r="A31" s="107" t="s">
        <v>108</v>
      </c>
      <c r="B31" s="124">
        <f>'Tender Build-Up'!B18</f>
        <v>0</v>
      </c>
      <c r="C31" s="106"/>
      <c r="D31" s="106"/>
      <c r="E31" s="106"/>
    </row>
    <row r="32" spans="1:5" s="3" customFormat="1" ht="14.45" customHeight="1" x14ac:dyDescent="0.2">
      <c r="A32" s="107" t="s">
        <v>109</v>
      </c>
      <c r="B32" s="124">
        <f>'Tender Build-Up'!B19</f>
        <v>0</v>
      </c>
      <c r="C32" s="106"/>
      <c r="D32" s="106"/>
      <c r="E32" s="106"/>
    </row>
    <row r="33" spans="1:5" s="3" customFormat="1" ht="14.45" customHeight="1" x14ac:dyDescent="0.2">
      <c r="A33" s="107" t="s">
        <v>110</v>
      </c>
      <c r="B33" s="124">
        <f>'Tender Build-Up'!B20</f>
        <v>0</v>
      </c>
      <c r="C33" s="106"/>
      <c r="D33" s="106"/>
      <c r="E33" s="106"/>
    </row>
    <row r="34" spans="1:5" s="3" customFormat="1" ht="14.45" customHeight="1" x14ac:dyDescent="0.2">
      <c r="A34" s="107" t="s">
        <v>111</v>
      </c>
      <c r="B34" s="125" t="s">
        <v>112</v>
      </c>
      <c r="C34" s="106"/>
      <c r="D34" s="106"/>
      <c r="E34" s="106"/>
    </row>
    <row r="35" spans="1:5" s="3" customFormat="1" ht="14.45" customHeight="1" x14ac:dyDescent="0.2">
      <c r="A35" s="107" t="s">
        <v>113</v>
      </c>
      <c r="B35" s="125" t="s">
        <v>939</v>
      </c>
      <c r="C35" s="106"/>
      <c r="D35" s="106"/>
      <c r="E35" s="106"/>
    </row>
    <row r="36" spans="1:5" s="3" customFormat="1" ht="14.45" customHeight="1" x14ac:dyDescent="0.2">
      <c r="A36" s="107" t="s">
        <v>2</v>
      </c>
      <c r="B36" s="125" t="s">
        <v>940</v>
      </c>
      <c r="C36" s="106"/>
      <c r="D36" s="106"/>
      <c r="E36" s="106"/>
    </row>
    <row r="37" spans="1:5" s="3" customFormat="1" ht="25.35" customHeight="1" x14ac:dyDescent="0.2">
      <c r="A37" s="108" t="s">
        <v>114</v>
      </c>
      <c r="B37" s="126" t="s">
        <v>941</v>
      </c>
      <c r="C37" s="109"/>
      <c r="D37" s="109"/>
      <c r="E37" s="109"/>
    </row>
    <row r="38" spans="1:5" s="3" customFormat="1" ht="26.45" customHeight="1" x14ac:dyDescent="0.2">
      <c r="A38" s="106" t="s">
        <v>115</v>
      </c>
      <c r="B38" s="258" t="s">
        <v>942</v>
      </c>
      <c r="C38" s="259"/>
      <c r="D38" s="259"/>
      <c r="E38" s="259"/>
    </row>
    <row r="39" spans="1:5" s="3" customFormat="1" ht="14.45" customHeight="1" x14ac:dyDescent="0.2">
      <c r="A39" s="107" t="s">
        <v>116</v>
      </c>
      <c r="B39" s="258"/>
      <c r="C39" s="259"/>
      <c r="D39" s="259"/>
      <c r="E39" s="259"/>
    </row>
    <row r="40" spans="1:5" s="3" customFormat="1" ht="14.45" customHeight="1" x14ac:dyDescent="0.2">
      <c r="A40" s="107" t="s">
        <v>117</v>
      </c>
      <c r="B40" s="258" t="s">
        <v>118</v>
      </c>
      <c r="C40" s="259"/>
      <c r="D40" s="259"/>
      <c r="E40" s="259"/>
    </row>
    <row r="41" spans="1:5" s="3" customFormat="1" ht="14.45" customHeight="1" x14ac:dyDescent="0.2">
      <c r="A41" s="107" t="s">
        <v>119</v>
      </c>
      <c r="B41" s="258" t="s">
        <v>120</v>
      </c>
      <c r="C41" s="259"/>
      <c r="D41" s="259"/>
      <c r="E41" s="259"/>
    </row>
    <row r="42" spans="1:5" s="3" customFormat="1" ht="14.45" customHeight="1" x14ac:dyDescent="0.2">
      <c r="A42" s="107"/>
      <c r="B42" s="258"/>
      <c r="C42" s="259"/>
      <c r="D42" s="259"/>
      <c r="E42" s="259"/>
    </row>
    <row r="43" spans="1:5" s="3" customFormat="1" ht="14.45" customHeight="1" x14ac:dyDescent="0.2">
      <c r="A43" s="107" t="s">
        <v>121</v>
      </c>
      <c r="B43" s="258"/>
      <c r="C43" s="259"/>
      <c r="D43" s="259"/>
      <c r="E43" s="259"/>
    </row>
    <row r="44" spans="1:5" s="3" customFormat="1" ht="14.45" customHeight="1" x14ac:dyDescent="0.2">
      <c r="A44" s="106" t="s">
        <v>3</v>
      </c>
      <c r="B44" s="121">
        <f>'Tender Build-Up'!B20</f>
        <v>0</v>
      </c>
      <c r="C44" s="106"/>
      <c r="D44" s="106"/>
      <c r="E44" s="106" t="s">
        <v>122</v>
      </c>
    </row>
    <row r="45" spans="1:5" s="3" customFormat="1" ht="14.45" customHeight="1" x14ac:dyDescent="0.2">
      <c r="A45" s="107" t="s">
        <v>943</v>
      </c>
      <c r="B45" s="121">
        <f ca="1">'Tender Build-Up'!B39</f>
        <v>0</v>
      </c>
      <c r="C45" s="106"/>
      <c r="D45" s="106"/>
      <c r="E45" s="106" t="s">
        <v>123</v>
      </c>
    </row>
    <row r="46" spans="1:5" s="3" customFormat="1" ht="14.45" customHeight="1" x14ac:dyDescent="0.2">
      <c r="A46" s="107" t="s">
        <v>124</v>
      </c>
      <c r="B46" s="127">
        <f>'Tender Build-Up'!B46</f>
        <v>0</v>
      </c>
      <c r="C46" s="106"/>
      <c r="D46" s="106"/>
      <c r="E46" s="106"/>
    </row>
    <row r="47" spans="1:5" s="3" customFormat="1" ht="14.45" customHeight="1" x14ac:dyDescent="0.2">
      <c r="A47" s="107" t="s">
        <v>125</v>
      </c>
      <c r="B47" s="127">
        <f ca="1">'Tender Build-Up'!B47</f>
        <v>0</v>
      </c>
      <c r="C47" s="106"/>
      <c r="D47" s="106"/>
      <c r="E47" s="106"/>
    </row>
    <row r="48" spans="1:5" s="3" customFormat="1" ht="14.45" customHeight="1" x14ac:dyDescent="0.2">
      <c r="A48" s="106" t="s">
        <v>126</v>
      </c>
      <c r="B48" s="121">
        <f>'Tender Build-Up'!B48</f>
        <v>0</v>
      </c>
      <c r="C48" s="106"/>
      <c r="D48" s="106"/>
      <c r="E48" s="106" t="s">
        <v>127</v>
      </c>
    </row>
    <row r="49" spans="1:5" s="3" customFormat="1" ht="14.45" customHeight="1" x14ac:dyDescent="0.2">
      <c r="A49" s="32" t="s">
        <v>128</v>
      </c>
      <c r="B49" s="122">
        <f ca="1">'Tender Build-Up'!B49</f>
        <v>0</v>
      </c>
      <c r="C49" s="123"/>
      <c r="D49" s="123"/>
      <c r="E49" s="32" t="s">
        <v>129</v>
      </c>
    </row>
    <row r="50" spans="1:5" s="3" customFormat="1" ht="14.45" customHeight="1" x14ac:dyDescent="0.2">
      <c r="A50" s="107" t="s">
        <v>130</v>
      </c>
      <c r="B50" s="124">
        <f ca="1">'Tender Build-Up'!B53</f>
        <v>0</v>
      </c>
      <c r="C50" s="106"/>
      <c r="D50" s="106"/>
      <c r="E50" s="107" t="s">
        <v>944</v>
      </c>
    </row>
    <row r="51" spans="1:5" s="3" customFormat="1" ht="14.45" customHeight="1" x14ac:dyDescent="0.2">
      <c r="A51" s="107" t="s">
        <v>131</v>
      </c>
      <c r="B51" s="124">
        <f>'Tender Build-Up'!B55</f>
        <v>0</v>
      </c>
      <c r="C51" s="106"/>
      <c r="D51" s="106"/>
      <c r="E51" s="107" t="s">
        <v>945</v>
      </c>
    </row>
    <row r="52" spans="1:5" s="3" customFormat="1" ht="14.45" customHeight="1" x14ac:dyDescent="0.2">
      <c r="A52" s="107" t="s">
        <v>132</v>
      </c>
      <c r="B52" s="124">
        <f>IF('Commercial Inputs'!F28="Yes",'Tender Build-Up'!B47*'Commercial Inputs'!D28,0)</f>
        <v>0</v>
      </c>
      <c r="C52" s="106"/>
      <c r="D52" s="106"/>
      <c r="E52" s="107" t="s">
        <v>133</v>
      </c>
    </row>
    <row r="53" spans="1:5" s="3" customFormat="1" ht="14.45" customHeight="1" x14ac:dyDescent="0.2">
      <c r="A53" s="108" t="s">
        <v>134</v>
      </c>
      <c r="B53" s="128"/>
      <c r="C53" s="109"/>
      <c r="D53" s="109"/>
      <c r="E53" s="108" t="s">
        <v>135</v>
      </c>
    </row>
    <row r="54" spans="1:5" s="3" customFormat="1" ht="14.45" customHeight="1" x14ac:dyDescent="0.2">
      <c r="A54" s="107"/>
      <c r="B54" s="129"/>
      <c r="C54" s="106"/>
      <c r="D54" s="106"/>
      <c r="E54" s="107"/>
    </row>
    <row r="55" spans="1:5" s="3" customFormat="1" ht="14.45" customHeight="1" x14ac:dyDescent="0.2">
      <c r="A55" s="107"/>
      <c r="B55" s="129"/>
      <c r="C55" s="106"/>
      <c r="D55" s="106"/>
      <c r="E55" s="107"/>
    </row>
    <row r="56" spans="1:5" s="3" customFormat="1" ht="22.5" customHeight="1" x14ac:dyDescent="0.2">
      <c r="A56" s="13" t="s">
        <v>136</v>
      </c>
      <c r="B56" s="15"/>
      <c r="C56" s="12"/>
      <c r="D56" s="12"/>
      <c r="E56" s="13"/>
    </row>
    <row r="57" spans="1:5" s="3" customFormat="1" ht="18.75" customHeight="1" x14ac:dyDescent="0.2">
      <c r="A57" s="123" t="s">
        <v>137</v>
      </c>
      <c r="B57" s="123" t="s">
        <v>138</v>
      </c>
      <c r="C57" s="123" t="s">
        <v>139</v>
      </c>
      <c r="D57" s="123" t="s">
        <v>140</v>
      </c>
      <c r="E57" s="123" t="s">
        <v>73</v>
      </c>
    </row>
    <row r="58" spans="1:5" s="3" customFormat="1" ht="15.4" customHeight="1" x14ac:dyDescent="0.2">
      <c r="A58" s="106" t="s">
        <v>141</v>
      </c>
      <c r="B58" s="130">
        <f>SUM('Resource Build-Up'!$Z$7:$Z$306)</f>
        <v>0</v>
      </c>
      <c r="C58" s="130">
        <f>SUM('QS Takeoff'!$G$3:$G$73)</f>
        <v>0</v>
      </c>
      <c r="D58" s="130">
        <f>C58-B58</f>
        <v>0</v>
      </c>
      <c r="E58" s="106" t="str">
        <f>IF(ABS(D58)&lt;0.01,"OK","CHECK")</f>
        <v>OK</v>
      </c>
    </row>
    <row r="59" spans="1:5" s="3" customFormat="1" ht="15.4" customHeight="1" x14ac:dyDescent="0.2">
      <c r="A59" s="106" t="s">
        <v>142</v>
      </c>
      <c r="B59" s="130">
        <f>SUM('QS Takeoff'!$G$3:$G$73)</f>
        <v>0</v>
      </c>
      <c r="C59" s="130">
        <f>'Tender Build-Up'!$B$20</f>
        <v>0</v>
      </c>
      <c r="D59" s="130">
        <f>C59-B59</f>
        <v>0</v>
      </c>
      <c r="E59" s="106" t="str">
        <f>IF(ABS(D59)&lt;0.01,"OK","CHECK")</f>
        <v>OK</v>
      </c>
    </row>
    <row r="60" spans="1:5" s="3" customFormat="1" ht="15.4" customHeight="1" x14ac:dyDescent="0.2">
      <c r="A60" s="106" t="s">
        <v>143</v>
      </c>
      <c r="B60" s="130">
        <f>'Tender Build-Up'!$B$20</f>
        <v>0</v>
      </c>
      <c r="C60" s="130">
        <f>$B$33</f>
        <v>0</v>
      </c>
      <c r="D60" s="130">
        <f>C60-B60</f>
        <v>0</v>
      </c>
      <c r="E60" s="106" t="str">
        <f>IF(ABS(D60)&lt;0.01,"OK","CHECK")</f>
        <v>OK</v>
      </c>
    </row>
    <row r="61" spans="1:5" s="3" customFormat="1" ht="15.4" customHeight="1" x14ac:dyDescent="0.2">
      <c r="A61" s="106" t="s">
        <v>144</v>
      </c>
      <c r="B61" s="130">
        <f ca="1">SUM('Tender Build-Up'!$B$23:$B$38)+SUM('Tender Build-Up'!$B$43:$B$45)</f>
        <v>0</v>
      </c>
      <c r="C61" s="130">
        <f ca="1">$B$45+$B$46</f>
        <v>0</v>
      </c>
      <c r="D61" s="130">
        <f ca="1">C61-B61</f>
        <v>0</v>
      </c>
      <c r="E61" s="106" t="str">
        <f ca="1">IF(ABS(D61)&lt;0.01,"OK","CHECK")</f>
        <v>OK</v>
      </c>
    </row>
    <row r="62" spans="1:5" s="3" customFormat="1" ht="15.4" customHeight="1" x14ac:dyDescent="0.2">
      <c r="A62" s="106" t="s">
        <v>145</v>
      </c>
      <c r="B62" s="30" t="s">
        <v>146</v>
      </c>
      <c r="C62" s="106"/>
      <c r="D62" s="106"/>
      <c r="E62" s="106"/>
    </row>
    <row r="63" spans="1:5" s="3" customFormat="1" ht="15.4" customHeight="1" x14ac:dyDescent="0.2">
      <c r="A63" s="106" t="s">
        <v>147</v>
      </c>
      <c r="B63" s="30" t="s">
        <v>148</v>
      </c>
      <c r="C63" s="106"/>
      <c r="D63" s="106"/>
      <c r="E63" s="106"/>
    </row>
    <row r="64" spans="1:5" s="3" customFormat="1" ht="15.4" customHeight="1" x14ac:dyDescent="0.2">
      <c r="A64" s="27" t="s">
        <v>946</v>
      </c>
      <c r="B64" s="219">
        <f ca="1">'Weather Risk'!$B$40</f>
        <v>0</v>
      </c>
      <c r="C64" s="219">
        <f ca="1">'Commercial Inputs'!$L$14</f>
        <v>0</v>
      </c>
      <c r="D64" s="219">
        <f ca="1">C64-B64</f>
        <v>0</v>
      </c>
      <c r="E64" s="27" t="str">
        <f ca="1">IF(ABS(D64)&lt;0.01,"OK","CHECK")</f>
        <v>OK</v>
      </c>
    </row>
    <row r="65" spans="1:5" ht="15.4" customHeight="1" x14ac:dyDescent="0.2">
      <c r="A65" s="260" t="s">
        <v>149</v>
      </c>
      <c r="B65" s="260"/>
      <c r="C65" s="260"/>
      <c r="D65" s="260"/>
      <c r="E65" s="260"/>
    </row>
    <row r="66" spans="1:5" ht="15.4" customHeight="1" x14ac:dyDescent="0.2">
      <c r="A66" s="90" t="s">
        <v>137</v>
      </c>
      <c r="B66" s="90" t="s">
        <v>150</v>
      </c>
      <c r="C66" s="90" t="s">
        <v>73</v>
      </c>
      <c r="D66" s="90" t="s">
        <v>151</v>
      </c>
      <c r="E66" s="90"/>
    </row>
    <row r="67" spans="1:5" ht="15.4" customHeight="1" x14ac:dyDescent="0.2">
      <c r="A67" s="91" t="s">
        <v>152</v>
      </c>
      <c r="B67" s="91">
        <f>'Rate Verification'!B4</f>
        <v>0</v>
      </c>
      <c r="C67" s="91" t="str">
        <f>IF(B67&gt;0,"GREEN","NONE")</f>
        <v>NONE</v>
      </c>
      <c r="D67" s="91" t="s">
        <v>153</v>
      </c>
      <c r="E67" s="91"/>
    </row>
    <row r="68" spans="1:5" ht="15.4" customHeight="1" x14ac:dyDescent="0.2">
      <c r="A68" s="92" t="s">
        <v>154</v>
      </c>
      <c r="B68" s="92">
        <f>'Rate Verification'!B5</f>
        <v>0</v>
      </c>
      <c r="C68" s="92" t="str">
        <f>IF(B68&gt;0,"AMBER","NONE")</f>
        <v>NONE</v>
      </c>
      <c r="D68" s="92" t="s">
        <v>155</v>
      </c>
      <c r="E68" s="92"/>
    </row>
    <row r="69" spans="1:5" ht="15.4" customHeight="1" x14ac:dyDescent="0.2">
      <c r="A69" s="93" t="s">
        <v>156</v>
      </c>
      <c r="B69" s="93">
        <f>'Rate Verification'!F4</f>
        <v>0</v>
      </c>
      <c r="C69" s="93" t="str">
        <f>IF(B69&gt;0,"RED","NONE")</f>
        <v>NONE</v>
      </c>
      <c r="D69" s="93" t="s">
        <v>157</v>
      </c>
      <c r="E69" s="93"/>
    </row>
    <row r="70" spans="1:5" ht="15.4" customHeight="1" x14ac:dyDescent="0.2">
      <c r="A70" t="s">
        <v>158</v>
      </c>
      <c r="B70">
        <v>71</v>
      </c>
      <c r="C70"/>
      <c r="D70" t="s">
        <v>159</v>
      </c>
      <c r="E70"/>
    </row>
    <row r="71" spans="1:5" ht="15.4" customHeight="1" x14ac:dyDescent="0.2">
      <c r="A71" s="94" t="s">
        <v>160</v>
      </c>
      <c r="B71" s="94" t="str">
        <f ca="1">IF(OR(C73="RED",C74="RED",COUNTIF('Programme Export'!$U$7:$U$77,"CHECK")&gt;0),"RED - release blocked",IF(B69&gt;0,"AMBER - tender only / RED closeout required","GREEN - releasable"))</f>
        <v>RED - release blocked</v>
      </c>
      <c r="C71" s="94"/>
      <c r="D71" s="94" t="s">
        <v>161</v>
      </c>
      <c r="E71" s="94"/>
    </row>
    <row r="72" spans="1:5" ht="41.25" x14ac:dyDescent="0.2">
      <c r="A72" s="27" t="s">
        <v>947</v>
      </c>
      <c r="B72" s="27" t="str">
        <f>'Weather Risk'!$B$30</f>
        <v>RED - approved weather tool run not loaded</v>
      </c>
      <c r="C72" s="27" t="s">
        <v>601</v>
      </c>
      <c r="D72" s="27" t="s">
        <v>948</v>
      </c>
    </row>
    <row r="73" spans="1:5" ht="54.75" x14ac:dyDescent="0.2">
      <c r="A73" s="27" t="s">
        <v>949</v>
      </c>
      <c r="B73" s="27" t="str">
        <f>'Weather Risk'!$B$31</f>
        <v>RERUN WEATHER TOOL</v>
      </c>
      <c r="C73" s="27" t="str">
        <f>IF(B73="RERUN WEATHER TOOL","RED","AMBER")</f>
        <v>RED</v>
      </c>
      <c r="D73" s="27" t="s">
        <v>950</v>
      </c>
    </row>
    <row r="74" spans="1:5" ht="27.75" x14ac:dyDescent="0.2">
      <c r="A74" s="229" t="s">
        <v>951</v>
      </c>
      <c r="B74" s="229" t="str">
        <f ca="1">'Risk Truth'!$B$15</f>
        <v>HOLD - RED ITEMS / INTEGRATION CHECK</v>
      </c>
      <c r="C74" s="229" t="str">
        <f ca="1">IF(LEFT(B74,4)="PASS","GREEN","RED")</f>
        <v>RED</v>
      </c>
      <c r="D74" s="229" t="s">
        <v>952</v>
      </c>
    </row>
    <row r="75" spans="1:5" ht="81" x14ac:dyDescent="0.2">
      <c r="A75" s="235" t="s">
        <v>953</v>
      </c>
      <c r="B75" s="236">
        <f ca="1">'Risk Truth'!$B$11</f>
        <v>0</v>
      </c>
      <c r="C75" s="235" t="s">
        <v>954</v>
      </c>
      <c r="D75" s="235" t="s">
        <v>955</v>
      </c>
    </row>
  </sheetData>
  <mergeCells count="9">
    <mergeCell ref="B43:E43"/>
    <mergeCell ref="B38:E38"/>
    <mergeCell ref="B39:E39"/>
    <mergeCell ref="A65:E65"/>
    <mergeCell ref="A1:B1"/>
    <mergeCell ref="B42:E42"/>
    <mergeCell ref="B40:E40"/>
    <mergeCell ref="B41:E41"/>
    <mergeCell ref="A2:E2"/>
  </mergeCells>
  <dataValidations count="1">
    <dataValidation type="custom" allowBlank="1" showErrorMessage="1" errorTitle="Linked formula cell" error="This value is linked. Change the upstream input/source instead of overwriting this cell." sqref="B23:B33 B58:E61 B44:B52" xr:uid="{00000000-0002-0000-0100-000000000000}">
      <formula1>FALSE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4"/>
  <sheetViews>
    <sheetView zoomScaleNormal="60" zoomScaleSheetLayoutView="100" workbookViewId="0"/>
  </sheetViews>
  <sheetFormatPr defaultRowHeight="15" x14ac:dyDescent="0.2"/>
  <cols>
    <col min="1" max="1" width="65.64453125" style="1" customWidth="1"/>
    <col min="2" max="2" width="28.78515625" style="4" customWidth="1"/>
    <col min="3" max="3" width="24.6171875" style="1" customWidth="1"/>
    <col min="4" max="4" width="24.88671875" style="1" customWidth="1"/>
    <col min="5" max="5" width="93.76171875" style="1" customWidth="1"/>
  </cols>
  <sheetData>
    <row r="1" spans="1:5" ht="21.4" customHeight="1" x14ac:dyDescent="0.2">
      <c r="A1" s="261" t="s">
        <v>956</v>
      </c>
      <c r="B1" s="262"/>
      <c r="C1" s="16"/>
      <c r="D1" s="16"/>
      <c r="E1" s="16"/>
    </row>
    <row r="2" spans="1:5" ht="21.4" customHeight="1" x14ac:dyDescent="0.2">
      <c r="A2" s="26"/>
      <c r="B2" s="38"/>
      <c r="C2" s="26"/>
      <c r="D2" s="26"/>
      <c r="E2" s="26"/>
    </row>
    <row r="3" spans="1:5" s="3" customFormat="1" ht="15.4" customHeight="1" x14ac:dyDescent="0.2">
      <c r="A3" s="107" t="s">
        <v>0</v>
      </c>
      <c r="B3" s="267"/>
      <c r="C3" s="268"/>
      <c r="D3" s="268"/>
      <c r="E3" s="268"/>
    </row>
    <row r="4" spans="1:5" s="3" customFormat="1" ht="15.4" customHeight="1" x14ac:dyDescent="0.2">
      <c r="A4" s="107" t="s">
        <v>162</v>
      </c>
      <c r="B4" s="267" t="s">
        <v>957</v>
      </c>
      <c r="C4" s="268"/>
      <c r="D4" s="268"/>
      <c r="E4" s="268"/>
    </row>
    <row r="5" spans="1:5" s="3" customFormat="1" ht="15.4" customHeight="1" x14ac:dyDescent="0.2">
      <c r="A5" s="107" t="s">
        <v>113</v>
      </c>
      <c r="B5" s="267" t="s">
        <v>163</v>
      </c>
      <c r="C5" s="268"/>
      <c r="D5" s="268"/>
      <c r="E5" s="268"/>
    </row>
    <row r="6" spans="1:5" s="3" customFormat="1" ht="15.4" customHeight="1" x14ac:dyDescent="0.2">
      <c r="A6" s="107" t="s">
        <v>164</v>
      </c>
      <c r="B6" s="267" t="s">
        <v>165</v>
      </c>
      <c r="C6" s="268"/>
      <c r="D6" s="268"/>
      <c r="E6" s="268"/>
    </row>
    <row r="7" spans="1:5" ht="25.35" customHeight="1" x14ac:dyDescent="0.2">
      <c r="A7" s="8" t="s">
        <v>166</v>
      </c>
      <c r="B7" s="265"/>
      <c r="C7" s="266"/>
      <c r="D7" s="266"/>
      <c r="E7" s="266"/>
    </row>
    <row r="8" spans="1:5" ht="8.85" customHeight="1" x14ac:dyDescent="0.2">
      <c r="A8" s="26"/>
      <c r="B8" s="38"/>
      <c r="C8" s="26"/>
      <c r="D8" s="26"/>
      <c r="E8" s="26"/>
    </row>
    <row r="9" spans="1:5" s="3" customFormat="1" ht="17.25" customHeight="1" x14ac:dyDescent="0.2">
      <c r="A9" s="32" t="s">
        <v>958</v>
      </c>
      <c r="B9" s="122" t="s">
        <v>167</v>
      </c>
      <c r="C9" s="32" t="s">
        <v>168</v>
      </c>
      <c r="D9" s="32" t="s">
        <v>169</v>
      </c>
      <c r="E9" s="32" t="s">
        <v>87</v>
      </c>
    </row>
    <row r="10" spans="1:5" s="3" customFormat="1" ht="15.75" customHeight="1" x14ac:dyDescent="0.2">
      <c r="A10" s="107" t="s">
        <v>170</v>
      </c>
      <c r="B10" s="124">
        <f>SUM('QS Takeoff'!G3:G12)</f>
        <v>0</v>
      </c>
      <c r="C10" s="107" t="s">
        <v>27</v>
      </c>
      <c r="D10" s="107" t="s">
        <v>171</v>
      </c>
      <c r="E10" s="107" t="s">
        <v>959</v>
      </c>
    </row>
    <row r="11" spans="1:5" s="3" customFormat="1" ht="15.75" customHeight="1" x14ac:dyDescent="0.2">
      <c r="A11" s="107" t="s">
        <v>172</v>
      </c>
      <c r="B11" s="124">
        <f>SUM('QS Takeoff'!G13:G20)</f>
        <v>0</v>
      </c>
      <c r="C11" s="107" t="s">
        <v>27</v>
      </c>
      <c r="D11" s="107" t="s">
        <v>171</v>
      </c>
      <c r="E11" s="107" t="s">
        <v>960</v>
      </c>
    </row>
    <row r="12" spans="1:5" s="3" customFormat="1" ht="15.75" customHeight="1" x14ac:dyDescent="0.2">
      <c r="A12" s="107" t="s">
        <v>173</v>
      </c>
      <c r="B12" s="124">
        <f>SUM('QS Takeoff'!G21:G30)</f>
        <v>0</v>
      </c>
      <c r="C12" s="107" t="s">
        <v>27</v>
      </c>
      <c r="D12" s="107" t="s">
        <v>171</v>
      </c>
      <c r="E12" s="107" t="s">
        <v>961</v>
      </c>
    </row>
    <row r="13" spans="1:5" s="3" customFormat="1" ht="15.75" customHeight="1" x14ac:dyDescent="0.2">
      <c r="A13" s="107" t="s">
        <v>174</v>
      </c>
      <c r="B13" s="124">
        <f>SUM('QS Takeoff'!G31:G39)</f>
        <v>0</v>
      </c>
      <c r="C13" s="107" t="s">
        <v>27</v>
      </c>
      <c r="D13" s="107" t="s">
        <v>171</v>
      </c>
      <c r="E13" s="107" t="s">
        <v>962</v>
      </c>
    </row>
    <row r="14" spans="1:5" s="3" customFormat="1" ht="15.75" customHeight="1" x14ac:dyDescent="0.2">
      <c r="A14" s="107" t="s">
        <v>175</v>
      </c>
      <c r="B14" s="124">
        <f>SUM('QS Takeoff'!G40:G46)</f>
        <v>0</v>
      </c>
      <c r="C14" s="107" t="s">
        <v>27</v>
      </c>
      <c r="D14" s="107" t="s">
        <v>171</v>
      </c>
      <c r="E14" s="107" t="s">
        <v>963</v>
      </c>
    </row>
    <row r="15" spans="1:5" s="3" customFormat="1" ht="15.75" customHeight="1" x14ac:dyDescent="0.2">
      <c r="A15" s="107" t="s">
        <v>176</v>
      </c>
      <c r="B15" s="124">
        <f>SUM('QS Takeoff'!G47:G52)</f>
        <v>0</v>
      </c>
      <c r="C15" s="107" t="s">
        <v>27</v>
      </c>
      <c r="D15" s="107" t="s">
        <v>171</v>
      </c>
      <c r="E15" s="107" t="s">
        <v>964</v>
      </c>
    </row>
    <row r="16" spans="1:5" s="3" customFormat="1" ht="15.75" customHeight="1" x14ac:dyDescent="0.2">
      <c r="A16" s="107" t="s">
        <v>177</v>
      </c>
      <c r="B16" s="124">
        <f>SUM('QS Takeoff'!G53:G61)</f>
        <v>0</v>
      </c>
      <c r="C16" s="107" t="s">
        <v>27</v>
      </c>
      <c r="D16" s="107" t="s">
        <v>171</v>
      </c>
      <c r="E16" s="107" t="s">
        <v>965</v>
      </c>
    </row>
    <row r="17" spans="1:5" s="3" customFormat="1" ht="15.75" customHeight="1" x14ac:dyDescent="0.2">
      <c r="A17" s="107" t="s">
        <v>178</v>
      </c>
      <c r="B17" s="124">
        <f>SUM('QS Takeoff'!G62:G67)</f>
        <v>0</v>
      </c>
      <c r="C17" s="107" t="s">
        <v>27</v>
      </c>
      <c r="D17" s="107" t="s">
        <v>171</v>
      </c>
      <c r="E17" s="107" t="s">
        <v>966</v>
      </c>
    </row>
    <row r="18" spans="1:5" s="3" customFormat="1" ht="15.75" customHeight="1" x14ac:dyDescent="0.2">
      <c r="A18" s="107" t="s">
        <v>179</v>
      </c>
      <c r="B18" s="124">
        <f>SUM('QS Takeoff'!G68:G69)</f>
        <v>0</v>
      </c>
      <c r="C18" s="107" t="s">
        <v>27</v>
      </c>
      <c r="D18" s="107" t="s">
        <v>171</v>
      </c>
      <c r="E18" s="107" t="s">
        <v>967</v>
      </c>
    </row>
    <row r="19" spans="1:5" s="3" customFormat="1" ht="15.75" customHeight="1" x14ac:dyDescent="0.2">
      <c r="A19" s="108" t="s">
        <v>180</v>
      </c>
      <c r="B19" s="132">
        <f>SUM('QS Takeoff'!G70:G73)</f>
        <v>0</v>
      </c>
      <c r="C19" s="109" t="s">
        <v>27</v>
      </c>
      <c r="D19" s="108" t="s">
        <v>171</v>
      </c>
      <c r="E19" s="108" t="s">
        <v>968</v>
      </c>
    </row>
    <row r="20" spans="1:5" s="3" customFormat="1" ht="15.75" customHeight="1" x14ac:dyDescent="0.2">
      <c r="A20" s="106" t="s">
        <v>3</v>
      </c>
      <c r="B20" s="133">
        <f>SUM(B10:B19)</f>
        <v>0</v>
      </c>
      <c r="C20" s="106"/>
      <c r="D20" s="106" t="s">
        <v>181</v>
      </c>
      <c r="E20" s="106" t="s">
        <v>969</v>
      </c>
    </row>
    <row r="21" spans="1:5" ht="15.75" customHeight="1" x14ac:dyDescent="0.2">
      <c r="A21" s="26"/>
      <c r="B21" s="40"/>
      <c r="C21" s="26"/>
      <c r="D21" s="26"/>
      <c r="E21" s="26"/>
    </row>
    <row r="22" spans="1:5" s="3" customFormat="1" ht="21.95" customHeight="1" x14ac:dyDescent="0.2">
      <c r="A22" s="32" t="s">
        <v>943</v>
      </c>
      <c r="B22" s="131" t="s">
        <v>182</v>
      </c>
      <c r="C22" s="32" t="s">
        <v>183</v>
      </c>
      <c r="D22" s="32" t="s">
        <v>184</v>
      </c>
      <c r="E22" s="32" t="s">
        <v>185</v>
      </c>
    </row>
    <row r="23" spans="1:5" ht="17.649999999999999" customHeight="1" x14ac:dyDescent="0.2">
      <c r="A23" s="26" t="s">
        <v>970</v>
      </c>
      <c r="B23" s="40">
        <f>IF('Commercial Inputs'!$F$5&lt;&gt;"Yes",0,IF(OR('Commercial Inputs'!$C$5="Risk Engine",'Commercial Inputs'!$C$5="Weather Engine"),N('Commercial Inputs'!$L$5),IF('Commercial Inputs'!$C$5="PC Sum",N('Commercial Inputs'!$E$5),IF('Commercial Inputs'!$C$5="%",$B$20*N('Commercial Inputs'!$D$5),0))))</f>
        <v>0</v>
      </c>
      <c r="C23" s="26" t="str">
        <f>'Commercial Inputs'!C5</f>
        <v>Risk Engine</v>
      </c>
      <c r="D23" s="26" t="str">
        <f>'Commercial Inputs'!F5</f>
        <v>Yes</v>
      </c>
      <c r="E23" s="26" t="s">
        <v>971</v>
      </c>
    </row>
    <row r="24" spans="1:5" ht="17.649999999999999" customHeight="1" x14ac:dyDescent="0.2">
      <c r="A24" s="28" t="s">
        <v>972</v>
      </c>
      <c r="B24" s="39">
        <f>IF('Commercial Inputs'!$F$6&lt;&gt;"Yes",0,IF(OR('Commercial Inputs'!$C$6="Risk Engine",'Commercial Inputs'!$C$6="Weather Engine"),N('Commercial Inputs'!$L$6),IF('Commercial Inputs'!$C$6="PC Sum",N('Commercial Inputs'!$E$6),IF('Commercial Inputs'!$C$6="%",$B$20*N('Commercial Inputs'!$D$6),0))))</f>
        <v>0</v>
      </c>
      <c r="C24" s="28" t="str">
        <f>'Commercial Inputs'!C6</f>
        <v>Risk Engine</v>
      </c>
      <c r="D24" s="28" t="str">
        <f>'Commercial Inputs'!F6</f>
        <v>Yes</v>
      </c>
      <c r="E24" s="28" t="s">
        <v>973</v>
      </c>
    </row>
    <row r="25" spans="1:5" ht="17.649999999999999" customHeight="1" x14ac:dyDescent="0.2">
      <c r="A25" s="28" t="str">
        <f>'Commercial Inputs'!A7&amp;" - "&amp;'Commercial Inputs'!B7</f>
        <v>CA03 - Escalation / tender validity allowance</v>
      </c>
      <c r="B25" s="39">
        <f>IF('Commercial Inputs'!$F$7&lt;&gt;"Yes",0,IF(OR('Commercial Inputs'!$C$7="Risk Engine",'Commercial Inputs'!$C$7="Weather Engine"),N('Commercial Inputs'!$L$7),IF('Commercial Inputs'!$C$7="PC Sum",N('Commercial Inputs'!$E$7),IF('Commercial Inputs'!$C$7="%",$B$20*N('Commercial Inputs'!$D$7),0))))</f>
        <v>0</v>
      </c>
      <c r="C25" s="28" t="str">
        <f>'Commercial Inputs'!C7</f>
        <v>%</v>
      </c>
      <c r="D25" s="28" t="str">
        <f>'Commercial Inputs'!F7</f>
        <v>No</v>
      </c>
      <c r="E25" s="28" t="str">
        <f>'Commercial Inputs'!I7</f>
        <v>Enter only where escalation is evidence-based; do not default to a generic percentage.</v>
      </c>
    </row>
    <row r="26" spans="1:5" ht="17.649999999999999" customHeight="1" x14ac:dyDescent="0.2">
      <c r="A26" s="28" t="str">
        <f>'Commercial Inputs'!A8&amp;" - "&amp;'Commercial Inputs'!B8</f>
        <v>CA04 - Final subcontractor quote gap / market adjustment</v>
      </c>
      <c r="B26" s="39">
        <f>IF('Commercial Inputs'!$F$8&lt;&gt;"Yes",0,IF(OR('Commercial Inputs'!$C$8="Risk Engine",'Commercial Inputs'!$C$8="Weather Engine"),N('Commercial Inputs'!$L$8),IF('Commercial Inputs'!$C$8="PC Sum",N('Commercial Inputs'!$E$8),IF('Commercial Inputs'!$C$8="%",$B$20*N('Commercial Inputs'!$D$8),0))))</f>
        <v>0</v>
      </c>
      <c r="C26" s="28" t="str">
        <f>'Commercial Inputs'!C8</f>
        <v>PC Sum</v>
      </c>
      <c r="D26" s="28" t="str">
        <f>'Commercial Inputs'!F8</f>
        <v>No</v>
      </c>
      <c r="E26" s="28" t="str">
        <f>'Commercial Inputs'!I8</f>
        <v>Use only for a distinct reconciled live-quote gap not already included in QS/PC items or Risk Truth.</v>
      </c>
    </row>
    <row r="27" spans="1:5" ht="17.649999999999999" customHeight="1" x14ac:dyDescent="0.2">
      <c r="A27" s="28" t="str">
        <f>'Commercial Inputs'!A9&amp;" - "&amp;'Commercial Inputs'!B9</f>
        <v>CA05 - Council / authority consent and inspection fees</v>
      </c>
      <c r="B27" s="39">
        <f>IF('Commercial Inputs'!$F$9&lt;&gt;"Yes",0,IF(OR('Commercial Inputs'!$C$9="Risk Engine",'Commercial Inputs'!$C$9="Weather Engine"),N('Commercial Inputs'!$L$9),IF('Commercial Inputs'!$C$9="PC Sum",N('Commercial Inputs'!$E$9),IF('Commercial Inputs'!$C$9="%",$B$20*N('Commercial Inputs'!$D$9),0))))</f>
        <v>0</v>
      </c>
      <c r="C27" s="28" t="str">
        <f>'Commercial Inputs'!C9</f>
        <v>PC Sum</v>
      </c>
      <c r="D27" s="28" t="str">
        <f>'Commercial Inputs'!F9</f>
        <v>No</v>
      </c>
      <c r="E27" s="28" t="str">
        <f>'Commercial Inputs'!I9</f>
        <v>Confirm contractual responsibility before inclusion.</v>
      </c>
    </row>
    <row r="28" spans="1:5" ht="17.649999999999999" customHeight="1" x14ac:dyDescent="0.2">
      <c r="A28" s="28" t="str">
        <f>'Commercial Inputs'!A10&amp;" - "&amp;'Commercial Inputs'!B10</f>
        <v>CA06 - Utility authority fees / relocations</v>
      </c>
      <c r="B28" s="39">
        <f>IF('Commercial Inputs'!$F$10&lt;&gt;"Yes",0,IF(OR('Commercial Inputs'!$C$10="Risk Engine",'Commercial Inputs'!$C$10="Weather Engine"),N('Commercial Inputs'!$L$10),IF('Commercial Inputs'!$C$10="PC Sum",N('Commercial Inputs'!$E$10),IF('Commercial Inputs'!$C$10="%",$B$20*N('Commercial Inputs'!$D$10),0))))</f>
        <v>0</v>
      </c>
      <c r="C28" s="28" t="str">
        <f>'Commercial Inputs'!C10</f>
        <v>PC Sum</v>
      </c>
      <c r="D28" s="28" t="str">
        <f>'Commercial Inputs'!F10</f>
        <v>No</v>
      </c>
      <c r="E28" s="28" t="str">
        <f>'Commercial Inputs'!I10</f>
        <v>Confirm contractual responsibility; physical construction scope should normally sit in QS.</v>
      </c>
    </row>
    <row r="29" spans="1:5" ht="17.649999999999999" customHeight="1" x14ac:dyDescent="0.2">
      <c r="A29" s="28" t="str">
        <f>'Commercial Inputs'!A11&amp;" - "&amp;'Commercial Inputs'!B11</f>
        <v>CA07 - Temporary works engineering / PS documentation</v>
      </c>
      <c r="B29" s="39">
        <f>IF('Commercial Inputs'!$F$11&lt;&gt;"Yes",0,IF(OR('Commercial Inputs'!$C$11="Risk Engine",'Commercial Inputs'!$C$11="Weather Engine"),N('Commercial Inputs'!$L$11),IF('Commercial Inputs'!$C$11="PC Sum",N('Commercial Inputs'!$E$11),IF('Commercial Inputs'!$C$11="%",$B$20*N('Commercial Inputs'!$D$11),0))))</f>
        <v>0</v>
      </c>
      <c r="C29" s="28" t="str">
        <f>'Commercial Inputs'!C11</f>
        <v>PC Sum</v>
      </c>
      <c r="D29" s="28" t="str">
        <f>'Commercial Inputs'!F11</f>
        <v>No</v>
      </c>
      <c r="E29" s="28" t="str">
        <f>'Commercial Inputs'!I11</f>
        <v>Use only for temporary-works engineering / documentation not already in direct scope.</v>
      </c>
    </row>
    <row r="30" spans="1:5" ht="17.649999999999999" customHeight="1" x14ac:dyDescent="0.2">
      <c r="A30" s="28" t="s">
        <v>974</v>
      </c>
      <c r="B30" s="39">
        <f>IF('Commercial Inputs'!$F$12&lt;&gt;"Yes",0,IF(OR('Commercial Inputs'!$C$12="Risk Engine",'Commercial Inputs'!$C$12="Weather Engine"),N('Commercial Inputs'!$L$12),IF('Commercial Inputs'!$C$12="PC Sum",N('Commercial Inputs'!$E$12),IF('Commercial Inputs'!$C$12="%",$B$20*N('Commercial Inputs'!$D$12),0))))</f>
        <v>0</v>
      </c>
      <c r="C30" s="28" t="str">
        <f>'Commercial Inputs'!C12</f>
        <v>PC Sum</v>
      </c>
      <c r="D30" s="28" t="str">
        <f>'Commercial Inputs'!F12</f>
        <v>No</v>
      </c>
      <c r="E30" s="28" t="s">
        <v>975</v>
      </c>
    </row>
    <row r="31" spans="1:5" ht="17.649999999999999" customHeight="1" x14ac:dyDescent="0.2">
      <c r="A31" s="28" t="str">
        <f>'Commercial Inputs'!A13&amp;" - "&amp;'Commercial Inputs'!B13</f>
        <v>CA09 - Construction dewatering / groundwater control</v>
      </c>
      <c r="B31" s="39">
        <f>IF('Commercial Inputs'!$F$13&lt;&gt;"Yes",0,IF(OR('Commercial Inputs'!$C$13="Risk Engine",'Commercial Inputs'!$C$13="Weather Engine"),N('Commercial Inputs'!$L$13),IF('Commercial Inputs'!$C$13="PC Sum",N('Commercial Inputs'!$E$13),IF('Commercial Inputs'!$C$13="%",$B$20*N('Commercial Inputs'!$D$13),0))))</f>
        <v>0</v>
      </c>
      <c r="C31" s="28" t="str">
        <f>'Commercial Inputs'!C13</f>
        <v>PC Sum</v>
      </c>
      <c r="D31" s="28" t="str">
        <f>'Commercial Inputs'!F13</f>
        <v>No</v>
      </c>
      <c r="E31" s="28" t="s">
        <v>976</v>
      </c>
    </row>
    <row r="32" spans="1:5" ht="17.649999999999999" customHeight="1" x14ac:dyDescent="0.2">
      <c r="A32" s="28" t="str">
        <f>'Commercial Inputs'!A14&amp;" - "&amp;'Commercial Inputs'!B14</f>
        <v>CA10 - Weather risk allowance - linked approved engine</v>
      </c>
      <c r="B32" s="39">
        <f ca="1">IF('Commercial Inputs'!$F$14&lt;&gt;"Yes",0,IF(OR('Commercial Inputs'!$C$14="Risk Engine",'Commercial Inputs'!$C$14="Weather Engine"),N('Commercial Inputs'!$L$14),IF('Commercial Inputs'!$C$14="PC Sum",N('Commercial Inputs'!$E$14),IF('Commercial Inputs'!$C$14="%",$B$20*N('Commercial Inputs'!$D$14),0))))</f>
        <v>0</v>
      </c>
      <c r="C32" s="28" t="str">
        <f>'Commercial Inputs'!C14</f>
        <v>Weather Engine</v>
      </c>
      <c r="D32" s="28" t="str">
        <f>'Commercial Inputs'!F14</f>
        <v>Yes</v>
      </c>
      <c r="E32" s="28" t="s">
        <v>977</v>
      </c>
    </row>
    <row r="33" spans="1:5" ht="17.649999999999999" customHeight="1" x14ac:dyDescent="0.2">
      <c r="A33" s="28" t="str">
        <f>'Commercial Inputs'!A15&amp;" - "&amp;'Commercial Inputs'!B15</f>
        <v>CA11 - Extended preliminaries beyond weather-adjusted tender baseline</v>
      </c>
      <c r="B33" s="39">
        <f>IF('Commercial Inputs'!$F$15&lt;&gt;"Yes",0,IF(OR('Commercial Inputs'!$C$15="Risk Engine",'Commercial Inputs'!$C$15="Weather Engine"),N('Commercial Inputs'!$L$15),IF('Commercial Inputs'!$C$15="PC Sum",N('Commercial Inputs'!$E$15),IF('Commercial Inputs'!$C$15="%",$B$20*N('Commercial Inputs'!$D$15),0))))</f>
        <v>0</v>
      </c>
      <c r="C33" s="28" t="str">
        <f>'Commercial Inputs'!C15</f>
        <v>PC Sum</v>
      </c>
      <c r="D33" s="28" t="str">
        <f>'Commercial Inputs'!F15</f>
        <v>No</v>
      </c>
      <c r="E33" s="28" t="str">
        <f>'Commercial Inputs'!I15</f>
        <v>Do not use for weather delay already included through CA10. Base QS preliminaries remain reconciled to 99 working days.</v>
      </c>
    </row>
    <row r="34" spans="1:5" ht="17.649999999999999" customHeight="1" x14ac:dyDescent="0.2">
      <c r="A34" s="28" t="str">
        <f>'Commercial Inputs'!A16&amp;" - "&amp;'Commercial Inputs'!B16</f>
        <v>CA12 - Defects liability / maintenance beyond base</v>
      </c>
      <c r="B34" s="39">
        <f>IF('Commercial Inputs'!$F$16&lt;&gt;"Yes",0,IF(OR('Commercial Inputs'!$C$16="Risk Engine",'Commercial Inputs'!$C$16="Weather Engine"),N('Commercial Inputs'!$L$16),IF('Commercial Inputs'!$C$16="PC Sum",N('Commercial Inputs'!$E$16),IF('Commercial Inputs'!$C$16="%",$B$20*N('Commercial Inputs'!$D$16),0))))</f>
        <v>0</v>
      </c>
      <c r="C34" s="28" t="str">
        <f>'Commercial Inputs'!C16</f>
        <v>PC Sum</v>
      </c>
      <c r="D34" s="28" t="str">
        <f>'Commercial Inputs'!F16</f>
        <v>No</v>
      </c>
      <c r="E34" s="28" t="str">
        <f>'Commercial Inputs'!I16</f>
        <v>Reasonable defects attendance included under RH02.</v>
      </c>
    </row>
    <row r="35" spans="1:5" ht="17.649999999999999" customHeight="1" x14ac:dyDescent="0.2">
      <c r="A35" s="28" t="str">
        <f>'Commercial Inputs'!A17&amp;" - "&amp;'Commercial Inputs'!B17</f>
        <v>CA13 - Stakeholder liaison / access marshals beyond base</v>
      </c>
      <c r="B35" s="39">
        <f>IF('Commercial Inputs'!$F$17&lt;&gt;"Yes",0,IF(OR('Commercial Inputs'!$C$17="Risk Engine",'Commercial Inputs'!$C$17="Weather Engine"),N('Commercial Inputs'!$L$17),IF('Commercial Inputs'!$C$17="PC Sum",N('Commercial Inputs'!$E$17),IF('Commercial Inputs'!$C$17="%",$B$20*N('Commercial Inputs'!$D$17),0))))</f>
        <v>0</v>
      </c>
      <c r="C35" s="28" t="str">
        <f>'Commercial Inputs'!C17</f>
        <v>PC Sum</v>
      </c>
      <c r="D35" s="28" t="str">
        <f>'Commercial Inputs'!F17</f>
        <v>No</v>
      </c>
      <c r="E35" s="28" t="str">
        <f>'Commercial Inputs'!I17</f>
        <v>Basic traffic/pedestrian management included in PG07.</v>
      </c>
    </row>
    <row r="36" spans="1:5" ht="17.649999999999999" customHeight="1" x14ac:dyDescent="0.2">
      <c r="A36" s="28" t="str">
        <f>'Commercial Inputs'!A18&amp;" - "&amp;'Commercial Inputs'!B18</f>
        <v>CA14 - Out-of-hours / restricted access premium</v>
      </c>
      <c r="B36" s="39">
        <f>IF('Commercial Inputs'!$F$18&lt;&gt;"Yes",0,IF(OR('Commercial Inputs'!$C$18="Risk Engine",'Commercial Inputs'!$C$18="Weather Engine"),N('Commercial Inputs'!$L$18),IF('Commercial Inputs'!$C$18="PC Sum",N('Commercial Inputs'!$E$18),IF('Commercial Inputs'!$C$18="%",$B$20*N('Commercial Inputs'!$D$18),0))))</f>
        <v>0</v>
      </c>
      <c r="C36" s="28" t="str">
        <f>'Commercial Inputs'!C18</f>
        <v>PC Sum</v>
      </c>
      <c r="D36" s="28" t="str">
        <f>'Commercial Inputs'!F18</f>
        <v>No</v>
      </c>
      <c r="E36" s="28" t="str">
        <f>'Commercial Inputs'!I18</f>
        <v>Normal weekday access assumed.</v>
      </c>
    </row>
    <row r="37" spans="1:5" ht="17.649999999999999" customHeight="1" x14ac:dyDescent="0.2">
      <c r="A37" s="28" t="str">
        <f>'Commercial Inputs'!A19&amp;" - "&amp;'Commercial Inputs'!B19</f>
        <v>CA15 - Unforeseen post-tender client scope additions</v>
      </c>
      <c r="B37" s="39">
        <f>IF('Commercial Inputs'!$F$19&lt;&gt;"Yes",0,IF(OR('Commercial Inputs'!$C$19="Risk Engine",'Commercial Inputs'!$C$19="Weather Engine"),N('Commercial Inputs'!$L$19),IF('Commercial Inputs'!$C$19="PC Sum",N('Commercial Inputs'!$E$19),IF('Commercial Inputs'!$C$19="%",$B$20*N('Commercial Inputs'!$D$19),0))))</f>
        <v>0</v>
      </c>
      <c r="C37" s="28" t="str">
        <f>'Commercial Inputs'!C19</f>
        <v>PC Sum</v>
      </c>
      <c r="D37" s="28" t="str">
        <f>'Commercial Inputs'!F19</f>
        <v>No</v>
      </c>
      <c r="E37" s="28" t="str">
        <f>'Commercial Inputs'!I19</f>
        <v>No allowance for later scope changes.</v>
      </c>
    </row>
    <row r="38" spans="1:5" ht="16.7" customHeight="1" x14ac:dyDescent="0.2">
      <c r="A38" s="28" t="str">
        <f>'Commercial Inputs'!A20&amp;" - "&amp;'Commercial Inputs'!B20</f>
        <v>CA16 - Final tender rounding / adjudication adjustment</v>
      </c>
      <c r="B38" s="39">
        <f>IF('Commercial Inputs'!$F$20&lt;&gt;"Yes",0,IF(OR('Commercial Inputs'!$C$20="Risk Engine",'Commercial Inputs'!$C$20="Weather Engine"),N('Commercial Inputs'!$L$20),IF('Commercial Inputs'!$C$20="PC Sum",N('Commercial Inputs'!$E$20),IF('Commercial Inputs'!$C$20="%",$B$20*N('Commercial Inputs'!$D$20),0))))</f>
        <v>0</v>
      </c>
      <c r="C38" s="28" t="str">
        <f>'Commercial Inputs'!C20</f>
        <v>PC Sum</v>
      </c>
      <c r="D38" s="28" t="str">
        <f>'Commercial Inputs'!F20</f>
        <v>No</v>
      </c>
      <c r="E38" s="28" t="str">
        <f>'Commercial Inputs'!I20</f>
        <v>No balancing adjustment applied.</v>
      </c>
    </row>
    <row r="39" spans="1:5" ht="16.7" customHeight="1" x14ac:dyDescent="0.2">
      <c r="A39" s="28" t="s">
        <v>186</v>
      </c>
      <c r="B39" s="39">
        <f ca="1">SUM(B23:B38)</f>
        <v>0</v>
      </c>
      <c r="C39" s="28"/>
      <c r="D39" s="28"/>
      <c r="E39" s="28"/>
    </row>
    <row r="40" spans="1:5" s="3" customFormat="1" ht="14.85" customHeight="1" x14ac:dyDescent="0.2">
      <c r="A40" s="108" t="s">
        <v>187</v>
      </c>
      <c r="B40" s="132">
        <f ca="1">B20+B39</f>
        <v>0</v>
      </c>
      <c r="C40" s="109"/>
      <c r="D40" s="109"/>
      <c r="E40" s="109"/>
    </row>
    <row r="41" spans="1:5" ht="16.350000000000001" customHeight="1" x14ac:dyDescent="0.2">
      <c r="A41" s="7" t="s">
        <v>188</v>
      </c>
      <c r="B41" s="6" t="s">
        <v>182</v>
      </c>
      <c r="C41" s="10" t="s">
        <v>183</v>
      </c>
      <c r="D41" s="10" t="s">
        <v>184</v>
      </c>
      <c r="E41" s="10" t="s">
        <v>185</v>
      </c>
    </row>
    <row r="42" spans="1:5" s="102" customFormat="1" ht="16.350000000000001" customHeight="1" x14ac:dyDescent="0.2">
      <c r="A42" s="25" t="str">
        <f>'Commercial Inputs'!A21&amp;" - "&amp;'Commercial Inputs'!B21</f>
        <v>CA17 - Company overhead recovery</v>
      </c>
      <c r="B42" s="134">
        <f>IF('Commercial Inputs'!$F$21&lt;&gt;"Yes",0,IF('Commercial Inputs'!$C$21="Markup %",$B$40*N('Commercial Inputs'!$D$21),IF('Commercial Inputs'!$C$21="Fixed Amount",N('Commercial Inputs'!$E$21),0)))</f>
        <v>0</v>
      </c>
      <c r="C42" s="25" t="str">
        <f>'Commercial Inputs'!C21</f>
        <v>Markup %</v>
      </c>
      <c r="D42" s="25" t="str">
        <f>'Commercial Inputs'!F21</f>
        <v>No</v>
      </c>
      <c r="E42" s="25" t="str">
        <f>'Commercial Inputs'!I21</f>
        <v>Enter verified company overhead recovery separately from contractor profit.</v>
      </c>
    </row>
    <row r="43" spans="1:5" ht="16.350000000000001" customHeight="1" x14ac:dyDescent="0.2">
      <c r="A43" s="9" t="str">
        <f>'Commercial Inputs'!A22&amp;" - "&amp;'Commercial Inputs'!B22</f>
        <v>CA18 - Contractor profit</v>
      </c>
      <c r="B43" s="5">
        <f>IF('Commercial Inputs'!$F$22&lt;&gt;"Yes",0,IF('Commercial Inputs'!$C$22="Margin %",($B$40+$B$42+$B$44+$B$45)/(1-N('Commercial Inputs'!$D$22))-($B$40+$B$42+$B$44+$B$45),IF('Commercial Inputs'!$C$22="Markup %",($B$40+$B$42+$B$44+$B$45)*N('Commercial Inputs'!$D$22),IF('Commercial Inputs'!$C$22="Fixed Amount",N('Commercial Inputs'!$E$22),0))))</f>
        <v>0</v>
      </c>
      <c r="C43" s="9" t="str">
        <f>'Commercial Inputs'!C22</f>
        <v>Margin %</v>
      </c>
      <c r="D43" s="9" t="str">
        <f>'Commercial Inputs'!F22</f>
        <v>No</v>
      </c>
      <c r="E43" s="9" t="str">
        <f>'Commercial Inputs'!I22</f>
        <v>Enter approved contractor profit; choose Margin or Markup in the profit-method selector.</v>
      </c>
    </row>
    <row r="44" spans="1:5" ht="16.350000000000001" customHeight="1" x14ac:dyDescent="0.2">
      <c r="A44" s="28" t="str">
        <f>'Commercial Inputs'!A23&amp;" - "&amp;'Commercial Inputs'!B23</f>
        <v>CA19 - Bonds / contract securities allowance</v>
      </c>
      <c r="B44" s="39">
        <f>IF('Commercial Inputs'!$F$23&lt;&gt;"Yes",0,IF('Commercial Inputs'!$C$23="%",$B$40*N('Commercial Inputs'!$D$23),IF('Commercial Inputs'!$C$23="PC Sum",N('Commercial Inputs'!$E$23),0)))</f>
        <v>0</v>
      </c>
      <c r="C44" s="28" t="str">
        <f>'Commercial Inputs'!C23</f>
        <v>%</v>
      </c>
      <c r="D44" s="28" t="str">
        <f>'Commercial Inputs'!F23</f>
        <v>No</v>
      </c>
      <c r="E44" s="28" t="str">
        <f>'Commercial Inputs'!I23</f>
        <v>Include only where contract securities create a genuine contractor cost.</v>
      </c>
    </row>
    <row r="45" spans="1:5" ht="16.350000000000001" customHeight="1" x14ac:dyDescent="0.2">
      <c r="A45" s="28" t="str">
        <f>'Commercial Inputs'!A24&amp;" - "&amp;'Commercial Inputs'!B24</f>
        <v>CA20 - Retention finance / cashflow cost allowance</v>
      </c>
      <c r="B45" s="39">
        <f>IF('Commercial Inputs'!$F$24&lt;&gt;"Yes",0,IF('Commercial Inputs'!$C$24="%",$B$40*N('Commercial Inputs'!$D$24),IF('Commercial Inputs'!$C$24="PC Sum",N('Commercial Inputs'!$E$24),0)))</f>
        <v>0</v>
      </c>
      <c r="C45" s="28" t="str">
        <f>'Commercial Inputs'!C24</f>
        <v>%</v>
      </c>
      <c r="D45" s="28" t="str">
        <f>'Commercial Inputs'!F24</f>
        <v>No</v>
      </c>
      <c r="E45" s="28" t="str">
        <f>'Commercial Inputs'!I24</f>
        <v>Finance cost only; retention withholding itself is a cashflow item.</v>
      </c>
    </row>
    <row r="46" spans="1:5" ht="16.350000000000001" customHeight="1" x14ac:dyDescent="0.2">
      <c r="A46" s="28" t="s">
        <v>189</v>
      </c>
      <c r="B46" s="39">
        <f>SUM(B42:B45)</f>
        <v>0</v>
      </c>
      <c r="C46" s="28"/>
      <c r="D46" s="28"/>
      <c r="E46" s="28"/>
    </row>
    <row r="47" spans="1:5" ht="16.350000000000001" customHeight="1" x14ac:dyDescent="0.2">
      <c r="A47" s="7" t="s">
        <v>125</v>
      </c>
      <c r="B47" s="6">
        <f ca="1">B40+B46</f>
        <v>0</v>
      </c>
      <c r="C47" s="10"/>
      <c r="D47" s="10" t="s">
        <v>181</v>
      </c>
      <c r="E47" s="10" t="s">
        <v>978</v>
      </c>
    </row>
    <row r="48" spans="1:5" ht="16.350000000000001" customHeight="1" x14ac:dyDescent="0.2">
      <c r="A48" s="7" t="s">
        <v>126</v>
      </c>
      <c r="B48" s="6">
        <f>IF('Commercial Inputs'!$F$25="Yes",$B$47*N('Commercial Inputs'!$D$25),0)</f>
        <v>0</v>
      </c>
      <c r="C48" s="10" t="s">
        <v>190</v>
      </c>
      <c r="D48" s="7" t="s">
        <v>191</v>
      </c>
      <c r="E48" s="7" t="s">
        <v>192</v>
      </c>
    </row>
    <row r="49" spans="1:5" ht="16.350000000000001" customHeight="1" x14ac:dyDescent="0.2">
      <c r="A49" s="7" t="s">
        <v>128</v>
      </c>
      <c r="B49" s="6">
        <f ca="1">B47+B48</f>
        <v>0</v>
      </c>
      <c r="C49" s="7"/>
      <c r="D49" s="7" t="s">
        <v>181</v>
      </c>
      <c r="E49" s="7" t="s">
        <v>193</v>
      </c>
    </row>
    <row r="50" spans="1:5" ht="16.350000000000001" customHeight="1" x14ac:dyDescent="0.2">
      <c r="A50" s="7"/>
      <c r="B50" s="6"/>
      <c r="C50" s="10"/>
      <c r="D50" s="7"/>
      <c r="E50" s="7"/>
    </row>
    <row r="51" spans="1:5" ht="16.7" customHeight="1" x14ac:dyDescent="0.2">
      <c r="A51" s="11" t="s">
        <v>194</v>
      </c>
      <c r="B51" s="41" t="s">
        <v>195</v>
      </c>
      <c r="C51" s="11" t="s">
        <v>183</v>
      </c>
      <c r="D51" s="11" t="s">
        <v>184</v>
      </c>
      <c r="E51" s="11" t="s">
        <v>87</v>
      </c>
    </row>
    <row r="52" spans="1:5" ht="16.7" customHeight="1" x14ac:dyDescent="0.2">
      <c r="A52" s="9" t="s">
        <v>196</v>
      </c>
      <c r="B52" s="5">
        <f>IF('Commercial Inputs'!$F$26&lt;&gt;"Yes",0,$B$47*'Commercial Inputs'!$D$26*(1-IF(AND('Commercial Inputs'!$F$28="Yes",'Commercial Inputs'!$F$29&lt;&gt;"Yes"),'Commercial Inputs'!$D$28,0)))</f>
        <v>0</v>
      </c>
      <c r="C52" s="9" t="s">
        <v>197</v>
      </c>
      <c r="D52" s="9" t="s">
        <v>198</v>
      </c>
      <c r="E52" s="9" t="s">
        <v>979</v>
      </c>
    </row>
    <row r="53" spans="1:5" ht="16.7" customHeight="1" x14ac:dyDescent="0.2">
      <c r="A53" s="7" t="s">
        <v>130</v>
      </c>
      <c r="B53" s="6">
        <f ca="1">$B$47-$B$52</f>
        <v>0</v>
      </c>
      <c r="C53" s="7" t="s">
        <v>199</v>
      </c>
      <c r="D53" s="7" t="s">
        <v>198</v>
      </c>
      <c r="E53" s="7" t="s">
        <v>200</v>
      </c>
    </row>
    <row r="54" spans="1:5" ht="16.7" customHeight="1" x14ac:dyDescent="0.2">
      <c r="A54" s="26" t="s">
        <v>201</v>
      </c>
      <c r="B54" s="37">
        <f>IF('Commercial Inputs'!$F$27="Yes",'Commercial Inputs'!$D$27,0)</f>
        <v>0</v>
      </c>
      <c r="C54" s="26" t="s">
        <v>202</v>
      </c>
      <c r="D54" s="26" t="s">
        <v>198</v>
      </c>
      <c r="E54" s="26" t="s">
        <v>203</v>
      </c>
    </row>
    <row r="55" spans="1:5" ht="16.7" customHeight="1" x14ac:dyDescent="0.2">
      <c r="A55" s="26" t="s">
        <v>204</v>
      </c>
      <c r="B55" s="38">
        <f>$B$52</f>
        <v>0</v>
      </c>
      <c r="C55" s="26" t="s">
        <v>199</v>
      </c>
      <c r="D55" s="26" t="s">
        <v>198</v>
      </c>
      <c r="E55" s="26" t="s">
        <v>205</v>
      </c>
    </row>
    <row r="56" spans="1:5" ht="16.7" customHeight="1" x14ac:dyDescent="0.2">
      <c r="A56" s="28" t="s">
        <v>206</v>
      </c>
      <c r="B56" s="38">
        <f ca="1">$B$53+$B$55</f>
        <v>0</v>
      </c>
      <c r="C56" s="26" t="s">
        <v>199</v>
      </c>
      <c r="D56" s="26" t="s">
        <v>198</v>
      </c>
      <c r="E56" s="26" t="s">
        <v>207</v>
      </c>
    </row>
    <row r="57" spans="1:5" ht="16.7" customHeight="1" x14ac:dyDescent="0.2">
      <c r="A57" s="28"/>
      <c r="B57" s="264"/>
      <c r="C57" s="262"/>
      <c r="D57" s="262"/>
      <c r="E57" s="262"/>
    </row>
    <row r="58" spans="1:5" ht="21.4" customHeight="1" x14ac:dyDescent="0.2">
      <c r="A58" s="9" t="s">
        <v>208</v>
      </c>
      <c r="B58" s="269"/>
      <c r="C58" s="262"/>
      <c r="D58" s="262"/>
      <c r="E58" s="262"/>
    </row>
    <row r="59" spans="1:5" ht="21.4" customHeight="1" x14ac:dyDescent="0.2">
      <c r="A59" s="28"/>
      <c r="B59" s="264"/>
      <c r="C59" s="262"/>
      <c r="D59" s="262"/>
      <c r="E59" s="262"/>
    </row>
    <row r="60" spans="1:5" ht="21.4" customHeight="1" x14ac:dyDescent="0.2">
      <c r="A60" s="28"/>
      <c r="B60" s="264"/>
      <c r="C60" s="262"/>
      <c r="D60" s="262"/>
      <c r="E60" s="262"/>
    </row>
    <row r="61" spans="1:5" ht="21.4" customHeight="1" x14ac:dyDescent="0.2">
      <c r="A61" s="28"/>
      <c r="B61" s="264"/>
      <c r="C61" s="262"/>
      <c r="D61" s="262"/>
      <c r="E61" s="262"/>
    </row>
    <row r="62" spans="1:5" ht="21.4" customHeight="1" x14ac:dyDescent="0.2">
      <c r="A62" s="28"/>
      <c r="B62" s="264"/>
      <c r="C62" s="262"/>
      <c r="D62" s="262"/>
      <c r="E62" s="262"/>
    </row>
    <row r="63" spans="1:5" ht="21.4" customHeight="1" x14ac:dyDescent="0.2">
      <c r="A63" s="28"/>
      <c r="B63" s="264"/>
      <c r="C63" s="262"/>
      <c r="D63" s="262"/>
      <c r="E63" s="262"/>
    </row>
    <row r="64" spans="1:5" ht="21.4" customHeight="1" x14ac:dyDescent="0.2">
      <c r="A64" s="28"/>
      <c r="B64" s="264"/>
      <c r="C64" s="262"/>
      <c r="D64" s="262"/>
      <c r="E64" s="262"/>
    </row>
  </sheetData>
  <mergeCells count="14">
    <mergeCell ref="B64:E64"/>
    <mergeCell ref="B7:E7"/>
    <mergeCell ref="B59:E59"/>
    <mergeCell ref="A1:B1"/>
    <mergeCell ref="B3:E3"/>
    <mergeCell ref="B5:E5"/>
    <mergeCell ref="B60:E60"/>
    <mergeCell ref="B63:E63"/>
    <mergeCell ref="B61:E61"/>
    <mergeCell ref="B57:E57"/>
    <mergeCell ref="B4:E4"/>
    <mergeCell ref="B58:E58"/>
    <mergeCell ref="B6:E6"/>
    <mergeCell ref="B62:E62"/>
  </mergeCells>
  <dataValidations count="2">
    <dataValidation type="custom" allowBlank="1" showErrorMessage="1" errorTitle="Linked formula cell" error="This value is formula-controlled. Change the upstream source/input instead." sqref="A23:A31 A33:A38" xr:uid="{00000000-0002-0000-0200-000000000000}">
      <formula1>FALSE</formula1>
    </dataValidation>
    <dataValidation type="custom" allowBlank="1" showErrorMessage="1" errorTitle="Linked formula cell" error="This value is linked. Change the upstream input/source instead of overwriting this cell." sqref="A43:A45 A23:A38 C43:E45 C23:E38 B52:B56 B43:B49 B23:B40 B10:B20" xr:uid="{00000000-0002-0000-0200-000001000000}">
      <formula1>FALSE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4"/>
  <sheetViews>
    <sheetView zoomScaleNormal="60" zoomScaleSheetLayoutView="100" workbookViewId="0"/>
  </sheetViews>
  <sheetFormatPr defaultColWidth="8.7421875" defaultRowHeight="15" x14ac:dyDescent="0.2"/>
  <cols>
    <col min="1" max="1" width="11.97265625" style="3" customWidth="1"/>
    <col min="2" max="2" width="60.53515625" style="3" customWidth="1"/>
    <col min="3" max="3" width="13.98828125" style="3" customWidth="1"/>
    <col min="4" max="4" width="11.97265625" style="3" customWidth="1"/>
    <col min="5" max="5" width="16.0078125" style="3" customWidth="1"/>
    <col min="6" max="6" width="11.97265625" style="3" customWidth="1"/>
    <col min="7" max="7" width="20.04296875" style="3" customWidth="1"/>
    <col min="8" max="8" width="29.99609375" style="3" customWidth="1"/>
    <col min="9" max="9" width="88.6484375" style="3" customWidth="1"/>
    <col min="10" max="10" width="58.515625" style="3" customWidth="1"/>
    <col min="11" max="11" width="29.99609375" style="3" customWidth="1"/>
    <col min="12" max="12" width="20.04296875" customWidth="1"/>
    <col min="13" max="13" width="43.98828125" customWidth="1"/>
    <col min="14" max="16384" width="8.7421875" style="3"/>
  </cols>
  <sheetData>
    <row r="1" spans="1:13" ht="22.9" customHeight="1" x14ac:dyDescent="0.2">
      <c r="A1" s="261" t="s">
        <v>209</v>
      </c>
      <c r="B1" s="259"/>
      <c r="C1" s="259"/>
      <c r="D1" s="135"/>
      <c r="E1" s="135"/>
      <c r="F1" s="135"/>
      <c r="G1" s="135"/>
      <c r="H1" s="135" t="s">
        <v>980</v>
      </c>
      <c r="I1" s="135" t="str">
        <f>C22</f>
        <v>Margin %</v>
      </c>
      <c r="J1" s="135"/>
      <c r="K1" s="135"/>
    </row>
    <row r="2" spans="1:13" ht="21.2" customHeight="1" x14ac:dyDescent="0.2">
      <c r="A2" s="106"/>
      <c r="B2" s="106"/>
      <c r="C2" s="106"/>
      <c r="D2" s="106"/>
      <c r="E2" s="106"/>
      <c r="F2" s="106"/>
      <c r="G2" s="106"/>
      <c r="H2" s="106" t="s">
        <v>981</v>
      </c>
      <c r="I2" s="140" t="str">
        <f>IF(C22="Margin %","Margin",IF(C22="Markup %","Markup",IF(C22="Fixed Amount","Fixed Amount",C22)))</f>
        <v>Margin</v>
      </c>
      <c r="J2" s="30" t="s">
        <v>982</v>
      </c>
      <c r="K2" s="106"/>
    </row>
    <row r="3" spans="1:13" ht="29.65" customHeight="1" x14ac:dyDescent="0.2">
      <c r="A3" s="275" t="s">
        <v>983</v>
      </c>
      <c r="B3" s="276"/>
      <c r="C3" s="276"/>
      <c r="D3" s="276"/>
      <c r="E3" s="276"/>
      <c r="F3" s="276"/>
      <c r="G3" s="276"/>
      <c r="H3" s="276"/>
      <c r="I3" s="106"/>
      <c r="J3" s="106"/>
      <c r="K3" s="106"/>
    </row>
    <row r="4" spans="1:13" ht="21.4" customHeight="1" x14ac:dyDescent="0.2">
      <c r="A4" s="32" t="s">
        <v>210</v>
      </c>
      <c r="B4" s="32" t="s">
        <v>211</v>
      </c>
      <c r="C4" s="32" t="s">
        <v>212</v>
      </c>
      <c r="D4" s="32" t="s">
        <v>213</v>
      </c>
      <c r="E4" s="32" t="s">
        <v>214</v>
      </c>
      <c r="F4" s="32" t="s">
        <v>184</v>
      </c>
      <c r="G4" s="32" t="s">
        <v>215</v>
      </c>
      <c r="H4" s="32" t="s">
        <v>216</v>
      </c>
      <c r="I4" s="32" t="s">
        <v>217</v>
      </c>
      <c r="J4" s="32" t="s">
        <v>218</v>
      </c>
      <c r="K4" s="32" t="s">
        <v>219</v>
      </c>
      <c r="L4" s="245" t="s">
        <v>984</v>
      </c>
      <c r="M4" s="245" t="s">
        <v>985</v>
      </c>
    </row>
    <row r="5" spans="1:13" ht="21.4" customHeight="1" x14ac:dyDescent="0.2">
      <c r="A5" s="107" t="s">
        <v>220</v>
      </c>
      <c r="B5" s="107" t="s">
        <v>986</v>
      </c>
      <c r="C5" s="243" t="s">
        <v>987</v>
      </c>
      <c r="D5" s="233"/>
      <c r="E5" s="234"/>
      <c r="F5" s="110" t="s">
        <v>404</v>
      </c>
      <c r="G5" s="107" t="s">
        <v>221</v>
      </c>
      <c r="H5" s="107" t="str">
        <f>IF(C5="Risk Engine","Uses linked Risk Truth engine amount in L5",IF(C5="Weather Engine","Uses linked Weather Risk amount in L5",IF(C5="PC Sum","Uses manual PC Sum in E5",IF(C5="%","Uses Input % in D5 against base direct cost","CHECK METHOD"))))</f>
        <v>Uses linked Risk Truth engine amount in L5</v>
      </c>
      <c r="I5" s="110" t="s">
        <v>988</v>
      </c>
      <c r="J5" s="110" t="s">
        <v>989</v>
      </c>
      <c r="K5" s="107" t="str">
        <f>IF(F5&lt;&gt;"Yes",C5&amp;" - OFF",C5)</f>
        <v>Risk Engine</v>
      </c>
      <c r="L5" s="246">
        <f>'Risk Truth'!$B$12</f>
        <v>0</v>
      </c>
      <c r="M5" s="27" t="s">
        <v>990</v>
      </c>
    </row>
    <row r="6" spans="1:13" ht="21.4" customHeight="1" x14ac:dyDescent="0.2">
      <c r="A6" s="107" t="s">
        <v>222</v>
      </c>
      <c r="B6" s="107" t="s">
        <v>991</v>
      </c>
      <c r="C6" s="243" t="s">
        <v>987</v>
      </c>
      <c r="D6" s="233"/>
      <c r="E6" s="234"/>
      <c r="F6" s="110" t="s">
        <v>404</v>
      </c>
      <c r="G6" s="107" t="s">
        <v>221</v>
      </c>
      <c r="H6" s="107" t="str">
        <f>IF(C6="Risk Engine","Uses linked Risk Truth engine amount in L6",IF(C6="Weather Engine","Uses linked Weather Risk amount in L6",IF(C6="PC Sum","Uses manual PC Sum in E6",IF(C6="%","Uses Input % in D6 against base direct cost","CHECK METHOD"))))</f>
        <v>Uses linked Risk Truth engine amount in L6</v>
      </c>
      <c r="I6" s="110" t="s">
        <v>992</v>
      </c>
      <c r="J6" s="110" t="s">
        <v>989</v>
      </c>
      <c r="K6" s="107" t="str">
        <f>IF(F6&lt;&gt;"Yes",C6&amp;" - OFF",C6)</f>
        <v>Risk Engine</v>
      </c>
      <c r="L6" s="246">
        <f>'Risk Truth'!$B$13</f>
        <v>0</v>
      </c>
      <c r="M6" s="27" t="s">
        <v>993</v>
      </c>
    </row>
    <row r="7" spans="1:13" ht="21.4" customHeight="1" x14ac:dyDescent="0.2">
      <c r="A7" s="107" t="s">
        <v>223</v>
      </c>
      <c r="B7" s="107" t="s">
        <v>224</v>
      </c>
      <c r="C7" s="243" t="s">
        <v>994</v>
      </c>
      <c r="D7" s="136">
        <v>0</v>
      </c>
      <c r="E7" s="137"/>
      <c r="F7" s="110" t="s">
        <v>245</v>
      </c>
      <c r="G7" s="107" t="s">
        <v>221</v>
      </c>
      <c r="H7" s="107" t="str">
        <f>IF(C7="Risk Engine","Uses linked Risk Truth engine amount in L7",IF(C7="Weather Engine","Uses linked Weather Risk amount in L7",IF(C7="PC Sum","Uses manual PC Sum in E7",IF(C7="%","Uses Input % in D7 against base direct cost","CHECK METHOD"))))</f>
        <v>Uses Input % in D7 against base direct cost</v>
      </c>
      <c r="I7" s="110" t="s">
        <v>995</v>
      </c>
      <c r="J7" s="110" t="s">
        <v>225</v>
      </c>
      <c r="K7" s="107" t="str">
        <f>IF(F7&lt;&gt;"Yes",C7&amp;" - OFF",C7)</f>
        <v>% - OFF</v>
      </c>
      <c r="L7" s="246">
        <v>0</v>
      </c>
      <c r="M7" s="27" t="s">
        <v>996</v>
      </c>
    </row>
    <row r="8" spans="1:13" ht="21.4" customHeight="1" x14ac:dyDescent="0.2">
      <c r="A8" s="107" t="s">
        <v>226</v>
      </c>
      <c r="B8" s="107" t="s">
        <v>227</v>
      </c>
      <c r="C8" s="243" t="s">
        <v>997</v>
      </c>
      <c r="D8" s="136"/>
      <c r="E8" s="137"/>
      <c r="F8" s="110" t="s">
        <v>245</v>
      </c>
      <c r="G8" s="107" t="s">
        <v>221</v>
      </c>
      <c r="H8" s="107" t="str">
        <f>IF(C8="Risk Engine","Uses linked Risk Truth engine amount in L8",IF(C8="Weather Engine","Uses linked Weather Risk amount in L8",IF(C8="PC Sum","Uses manual PC Sum in E8",IF(C8="%","Uses Input % in D8 against base direct cost","CHECK METHOD"))))</f>
        <v>Uses manual PC Sum in E8</v>
      </c>
      <c r="I8" s="110" t="s">
        <v>998</v>
      </c>
      <c r="J8" s="110" t="s">
        <v>228</v>
      </c>
      <c r="K8" s="107" t="str">
        <f>IF(F8&lt;&gt;"Yes",C8&amp;" - OFF",C8)</f>
        <v>PC Sum - OFF</v>
      </c>
      <c r="L8" s="246">
        <v>0</v>
      </c>
      <c r="M8" s="27" t="s">
        <v>996</v>
      </c>
    </row>
    <row r="9" spans="1:13" ht="21.4" customHeight="1" x14ac:dyDescent="0.2">
      <c r="A9" s="138" t="s">
        <v>229</v>
      </c>
      <c r="B9" s="138" t="s">
        <v>230</v>
      </c>
      <c r="C9" s="243" t="s">
        <v>997</v>
      </c>
      <c r="D9" s="136"/>
      <c r="E9" s="137"/>
      <c r="F9" s="110" t="s">
        <v>245</v>
      </c>
      <c r="G9" s="138" t="s">
        <v>221</v>
      </c>
      <c r="H9" s="138" t="str">
        <f>IF(C9="Risk Engine","Uses linked Risk Truth engine amount in L9",IF(C9="Weather Engine","Uses linked Weather Risk amount in L9",IF(C9="PC Sum","Uses manual PC Sum in E9",IF(C9="%","Uses Input % in D9 against base direct cost","CHECK METHOD"))))</f>
        <v>Uses manual PC Sum in E9</v>
      </c>
      <c r="I9" s="138" t="s">
        <v>999</v>
      </c>
      <c r="J9" s="110" t="s">
        <v>231</v>
      </c>
      <c r="K9" s="107" t="str">
        <f>IF(F9&lt;&gt;"Yes",C9&amp;" - OFF",C9)</f>
        <v>PC Sum - OFF</v>
      </c>
      <c r="L9" s="246">
        <v>0</v>
      </c>
      <c r="M9" s="27" t="s">
        <v>996</v>
      </c>
    </row>
    <row r="10" spans="1:13" ht="21.4" customHeight="1" x14ac:dyDescent="0.2">
      <c r="A10" s="138" t="s">
        <v>232</v>
      </c>
      <c r="B10" s="138" t="s">
        <v>233</v>
      </c>
      <c r="C10" s="243" t="s">
        <v>997</v>
      </c>
      <c r="D10" s="136"/>
      <c r="E10" s="137"/>
      <c r="F10" s="110" t="s">
        <v>245</v>
      </c>
      <c r="G10" s="138" t="s">
        <v>221</v>
      </c>
      <c r="H10" s="138" t="str">
        <f>IF(C10="Risk Engine","Uses linked Risk Truth engine amount in L10",IF(C10="Weather Engine","Uses linked Weather Risk amount in L10",IF(C10="PC Sum","Uses manual PC Sum in E10",IF(C10="%","Uses Input % in D10 against base direct cost","CHECK METHOD"))))</f>
        <v>Uses manual PC Sum in E10</v>
      </c>
      <c r="I10" s="138" t="s">
        <v>1000</v>
      </c>
      <c r="J10" s="110" t="s">
        <v>234</v>
      </c>
      <c r="K10" s="107" t="str">
        <f>IF(F10&lt;&gt;"Yes",C10&amp;" - OFF",C10)</f>
        <v>PC Sum - OFF</v>
      </c>
      <c r="L10" s="246">
        <v>0</v>
      </c>
      <c r="M10" s="27" t="s">
        <v>996</v>
      </c>
    </row>
    <row r="11" spans="1:13" ht="21.4" customHeight="1" x14ac:dyDescent="0.2">
      <c r="A11" s="138" t="s">
        <v>235</v>
      </c>
      <c r="B11" s="138" t="s">
        <v>236</v>
      </c>
      <c r="C11" s="243" t="s">
        <v>997</v>
      </c>
      <c r="D11" s="136"/>
      <c r="E11" s="137"/>
      <c r="F11" s="110" t="s">
        <v>245</v>
      </c>
      <c r="G11" s="138" t="s">
        <v>221</v>
      </c>
      <c r="H11" s="138" t="str">
        <f>IF(C11="Risk Engine","Uses linked Risk Truth engine amount in L11",IF(C11="Weather Engine","Uses linked Weather Risk amount in L11",IF(C11="PC Sum","Uses manual PC Sum in E11",IF(C11="%","Uses Input % in D11 against base direct cost","CHECK METHOD"))))</f>
        <v>Uses manual PC Sum in E11</v>
      </c>
      <c r="I11" s="138" t="s">
        <v>1001</v>
      </c>
      <c r="J11" s="110" t="s">
        <v>237</v>
      </c>
      <c r="K11" s="107" t="str">
        <f>IF(F11&lt;&gt;"Yes",C11&amp;" - OFF",C11)</f>
        <v>PC Sum - OFF</v>
      </c>
      <c r="L11" s="246">
        <v>0</v>
      </c>
      <c r="M11" s="27" t="s">
        <v>996</v>
      </c>
    </row>
    <row r="12" spans="1:13" ht="21.4" customHeight="1" x14ac:dyDescent="0.2">
      <c r="A12" s="139" t="s">
        <v>238</v>
      </c>
      <c r="B12" s="139" t="s">
        <v>239</v>
      </c>
      <c r="C12" s="243" t="s">
        <v>997</v>
      </c>
      <c r="D12" s="136">
        <v>0</v>
      </c>
      <c r="E12" s="137"/>
      <c r="F12" s="110" t="s">
        <v>245</v>
      </c>
      <c r="G12" s="139" t="s">
        <v>221</v>
      </c>
      <c r="H12" s="139" t="str">
        <f>IF(C12="Risk Engine","Uses linked Risk Truth engine amount in L12",IF(C12="Weather Engine","Uses linked Weather Risk amount in L12",IF(C12="PC Sum","Uses manual PC Sum in E12",IF(C12="%","Uses Input % in D12 against base direct cost","CHECK METHOD"))))</f>
        <v>Uses manual PC Sum in E12</v>
      </c>
      <c r="I12" s="139" t="s">
        <v>1002</v>
      </c>
      <c r="J12" s="110" t="s">
        <v>240</v>
      </c>
      <c r="K12" s="107" t="str">
        <f>IF(F12&lt;&gt;"Yes",C12&amp;" - OFF",C12)</f>
        <v>PC Sum - OFF</v>
      </c>
      <c r="L12" s="246">
        <v>0</v>
      </c>
      <c r="M12" s="27" t="s">
        <v>996</v>
      </c>
    </row>
    <row r="13" spans="1:13" ht="21.4" customHeight="1" x14ac:dyDescent="0.2">
      <c r="A13" s="107" t="s">
        <v>241</v>
      </c>
      <c r="B13" s="107" t="s">
        <v>242</v>
      </c>
      <c r="C13" s="243" t="s">
        <v>997</v>
      </c>
      <c r="D13" s="136"/>
      <c r="E13" s="137"/>
      <c r="F13" s="110" t="s">
        <v>245</v>
      </c>
      <c r="G13" s="107" t="s">
        <v>221</v>
      </c>
      <c r="H13" s="107" t="str">
        <f>IF(C13="Risk Engine","Uses linked Risk Truth engine amount in L13",IF(C13="Weather Engine","Uses linked Weather Risk amount in L13",IF(C13="PC Sum","Uses manual PC Sum in E13",IF(C13="%","Uses Input % in D13 against base direct cost","CHECK METHOD"))))</f>
        <v>Uses manual PC Sum in E13</v>
      </c>
      <c r="I13" s="110" t="s">
        <v>1003</v>
      </c>
      <c r="J13" s="110" t="s">
        <v>243</v>
      </c>
      <c r="K13" s="107" t="str">
        <f>IF(F13&lt;&gt;"Yes",C13&amp;" - OFF",C13)</f>
        <v>PC Sum - OFF</v>
      </c>
      <c r="L13" s="246">
        <v>0</v>
      </c>
      <c r="M13" s="27" t="s">
        <v>996</v>
      </c>
    </row>
    <row r="14" spans="1:13" ht="42" customHeight="1" x14ac:dyDescent="0.2">
      <c r="A14" s="139" t="s">
        <v>1004</v>
      </c>
      <c r="B14" s="139" t="s">
        <v>1005</v>
      </c>
      <c r="C14" s="243" t="s">
        <v>1006</v>
      </c>
      <c r="D14" s="216"/>
      <c r="E14" s="215"/>
      <c r="F14" s="110" t="s">
        <v>404</v>
      </c>
      <c r="G14" s="139" t="s">
        <v>221</v>
      </c>
      <c r="H14" s="139" t="str">
        <f>IF(C14="Risk Engine","Uses linked Risk Truth engine amount in L14",IF(C14="Weather Engine","Uses linked Weather Risk amount in L14",IF(C14="PC Sum","Uses manual PC Sum in E14",IF(C14="%","Uses Input % in D14 against base direct cost","CHECK METHOD"))))</f>
        <v>Uses linked Weather Risk amount in L14</v>
      </c>
      <c r="I14" s="139" t="s">
        <v>1007</v>
      </c>
      <c r="J14" s="110" t="s">
        <v>1008</v>
      </c>
      <c r="K14" s="107" t="str">
        <f>IF(F14&lt;&gt;"Yes",C14&amp;" - OFF",C14)</f>
        <v>Weather Engine</v>
      </c>
      <c r="L14" s="246">
        <f ca="1">'Weather Risk'!$B$40</f>
        <v>0</v>
      </c>
      <c r="M14" s="27" t="s">
        <v>1009</v>
      </c>
    </row>
    <row r="15" spans="1:13" ht="42" customHeight="1" x14ac:dyDescent="0.2">
      <c r="A15" s="107" t="s">
        <v>244</v>
      </c>
      <c r="B15" s="107" t="s">
        <v>1010</v>
      </c>
      <c r="C15" s="243" t="s">
        <v>997</v>
      </c>
      <c r="D15" s="136"/>
      <c r="E15" s="137"/>
      <c r="F15" s="110" t="s">
        <v>245</v>
      </c>
      <c r="G15" s="107" t="s">
        <v>221</v>
      </c>
      <c r="H15" s="107" t="str">
        <f>IF(C15="Risk Engine","Uses linked Risk Truth engine amount in L15",IF(C15="Weather Engine","Uses linked Weather Risk amount in L15",IF(C15="PC Sum","Uses manual PC Sum in E15",IF(C15="%","Uses Input % in D15 against base direct cost","CHECK METHOD"))))</f>
        <v>Uses manual PC Sum in E15</v>
      </c>
      <c r="I15" s="110" t="s">
        <v>1011</v>
      </c>
      <c r="J15" s="110" t="s">
        <v>1012</v>
      </c>
      <c r="K15" s="107" t="str">
        <f>IF(F15&lt;&gt;"Yes",C15&amp;" - OFF",C15)</f>
        <v>PC Sum - OFF</v>
      </c>
      <c r="L15" s="246">
        <v>0</v>
      </c>
      <c r="M15" s="27" t="s">
        <v>996</v>
      </c>
    </row>
    <row r="16" spans="1:13" ht="21.4" customHeight="1" x14ac:dyDescent="0.2">
      <c r="A16" s="139" t="s">
        <v>246</v>
      </c>
      <c r="B16" s="139" t="s">
        <v>247</v>
      </c>
      <c r="C16" s="243" t="s">
        <v>997</v>
      </c>
      <c r="D16" s="136"/>
      <c r="E16" s="137"/>
      <c r="F16" s="110" t="s">
        <v>245</v>
      </c>
      <c r="G16" s="139" t="s">
        <v>221</v>
      </c>
      <c r="H16" s="139" t="str">
        <f>IF(C16="Risk Engine","Uses linked Risk Truth engine amount in L16",IF(C16="Weather Engine","Uses linked Weather Risk amount in L16",IF(C16="PC Sum","Uses manual PC Sum in E16",IF(C16="%","Uses Input % in D16 against base direct cost","CHECK METHOD"))))</f>
        <v>Uses manual PC Sum in E16</v>
      </c>
      <c r="I16" s="139" t="s">
        <v>248</v>
      </c>
      <c r="J16" s="110" t="s">
        <v>249</v>
      </c>
      <c r="K16" s="107" t="str">
        <f>IF(F16&lt;&gt;"Yes",C16&amp;" - OFF",C16)</f>
        <v>PC Sum - OFF</v>
      </c>
      <c r="L16" s="246">
        <v>0</v>
      </c>
      <c r="M16" s="27" t="s">
        <v>996</v>
      </c>
    </row>
    <row r="17" spans="1:13" ht="21.4" customHeight="1" x14ac:dyDescent="0.2">
      <c r="A17" s="107" t="s">
        <v>250</v>
      </c>
      <c r="B17" s="107" t="s">
        <v>251</v>
      </c>
      <c r="C17" s="243" t="s">
        <v>997</v>
      </c>
      <c r="D17" s="136"/>
      <c r="E17" s="137"/>
      <c r="F17" s="110" t="s">
        <v>245</v>
      </c>
      <c r="G17" s="107" t="s">
        <v>221</v>
      </c>
      <c r="H17" s="107" t="str">
        <f>IF(C17="Risk Engine","Uses linked Risk Truth engine amount in L17",IF(C17="Weather Engine","Uses linked Weather Risk amount in L17",IF(C17="PC Sum","Uses manual PC Sum in E17",IF(C17="%","Uses Input % in D17 against base direct cost","CHECK METHOD"))))</f>
        <v>Uses manual PC Sum in E17</v>
      </c>
      <c r="I17" s="110" t="s">
        <v>252</v>
      </c>
      <c r="J17" s="110" t="s">
        <v>253</v>
      </c>
      <c r="K17" s="107" t="str">
        <f>IF(F17&lt;&gt;"Yes",C17&amp;" - OFF",C17)</f>
        <v>PC Sum - OFF</v>
      </c>
      <c r="L17" s="246">
        <v>0</v>
      </c>
      <c r="M17" s="27" t="s">
        <v>996</v>
      </c>
    </row>
    <row r="18" spans="1:13" ht="21.4" customHeight="1" x14ac:dyDescent="0.2">
      <c r="A18" s="107" t="s">
        <v>254</v>
      </c>
      <c r="B18" s="107" t="s">
        <v>255</v>
      </c>
      <c r="C18" s="243" t="s">
        <v>997</v>
      </c>
      <c r="D18" s="136"/>
      <c r="E18" s="137"/>
      <c r="F18" s="110" t="s">
        <v>245</v>
      </c>
      <c r="G18" s="107" t="s">
        <v>221</v>
      </c>
      <c r="H18" s="107" t="str">
        <f>IF(C18="Risk Engine","Uses linked Risk Truth engine amount in L18",IF(C18="Weather Engine","Uses linked Weather Risk amount in L18",IF(C18="PC Sum","Uses manual PC Sum in E18",IF(C18="%","Uses Input % in D18 against base direct cost","CHECK METHOD"))))</f>
        <v>Uses manual PC Sum in E18</v>
      </c>
      <c r="I18" s="110" t="s">
        <v>256</v>
      </c>
      <c r="J18" s="110" t="s">
        <v>257</v>
      </c>
      <c r="K18" s="107" t="str">
        <f>IF(F18&lt;&gt;"Yes",C18&amp;" - OFF",C18)</f>
        <v>PC Sum - OFF</v>
      </c>
      <c r="L18" s="246">
        <v>0</v>
      </c>
      <c r="M18" s="27" t="s">
        <v>996</v>
      </c>
    </row>
    <row r="19" spans="1:13" ht="21.4" customHeight="1" x14ac:dyDescent="0.2">
      <c r="A19" s="107" t="s">
        <v>258</v>
      </c>
      <c r="B19" s="107" t="s">
        <v>259</v>
      </c>
      <c r="C19" s="243" t="s">
        <v>997</v>
      </c>
      <c r="D19" s="136"/>
      <c r="E19" s="137"/>
      <c r="F19" s="110" t="s">
        <v>245</v>
      </c>
      <c r="G19" s="107" t="s">
        <v>221</v>
      </c>
      <c r="H19" s="107" t="str">
        <f>IF(C19="Risk Engine","Uses linked Risk Truth engine amount in L19",IF(C19="Weather Engine","Uses linked Weather Risk amount in L19",IF(C19="PC Sum","Uses manual PC Sum in E19",IF(C19="%","Uses Input % in D19 against base direct cost","CHECK METHOD"))))</f>
        <v>Uses manual PC Sum in E19</v>
      </c>
      <c r="I19" s="110" t="s">
        <v>260</v>
      </c>
      <c r="J19" s="110" t="s">
        <v>261</v>
      </c>
      <c r="K19" s="107" t="str">
        <f>IF(F19&lt;&gt;"Yes",C19&amp;" - OFF",C19)</f>
        <v>PC Sum - OFF</v>
      </c>
      <c r="L19" s="246">
        <v>0</v>
      </c>
      <c r="M19" s="27" t="s">
        <v>996</v>
      </c>
    </row>
    <row r="20" spans="1:13" ht="21.4" customHeight="1" x14ac:dyDescent="0.2">
      <c r="A20" s="107" t="s">
        <v>262</v>
      </c>
      <c r="B20" s="107" t="s">
        <v>263</v>
      </c>
      <c r="C20" s="243" t="s">
        <v>997</v>
      </c>
      <c r="D20" s="136"/>
      <c r="E20" s="137"/>
      <c r="F20" s="110" t="s">
        <v>245</v>
      </c>
      <c r="G20" s="107" t="s">
        <v>221</v>
      </c>
      <c r="H20" s="107" t="str">
        <f>IF(C20="Risk Engine","Uses linked Risk Truth engine amount in L20",IF(C20="Weather Engine","Uses linked Weather Risk amount in L20",IF(C20="PC Sum","Uses manual PC Sum in E20",IF(C20="%","Uses Input % in D20 against base direct cost","CHECK METHOD"))))</f>
        <v>Uses manual PC Sum in E20</v>
      </c>
      <c r="I20" s="110" t="s">
        <v>264</v>
      </c>
      <c r="J20" s="110" t="s">
        <v>265</v>
      </c>
      <c r="K20" s="107" t="str">
        <f>IF(F20&lt;&gt;"Yes",C20&amp;" - OFF",C20)</f>
        <v>PC Sum - OFF</v>
      </c>
      <c r="L20" s="246">
        <v>0</v>
      </c>
      <c r="M20" s="27" t="s">
        <v>996</v>
      </c>
    </row>
    <row r="21" spans="1:13" ht="21.4" customHeight="1" x14ac:dyDescent="0.2">
      <c r="A21" s="107" t="s">
        <v>266</v>
      </c>
      <c r="B21" s="107" t="s">
        <v>267</v>
      </c>
      <c r="C21" s="243" t="s">
        <v>1013</v>
      </c>
      <c r="D21" s="194">
        <v>0</v>
      </c>
      <c r="E21" s="137"/>
      <c r="F21" s="110" t="s">
        <v>245</v>
      </c>
      <c r="G21" s="107" t="s">
        <v>268</v>
      </c>
      <c r="H21" s="107" t="s">
        <v>269</v>
      </c>
      <c r="I21" s="110" t="s">
        <v>1014</v>
      </c>
      <c r="J21" s="110" t="s">
        <v>270</v>
      </c>
      <c r="K21" s="107" t="s">
        <v>271</v>
      </c>
    </row>
    <row r="22" spans="1:13" ht="21.4" customHeight="1" x14ac:dyDescent="0.2">
      <c r="A22" s="107" t="s">
        <v>272</v>
      </c>
      <c r="B22" s="107" t="s">
        <v>273</v>
      </c>
      <c r="C22" s="243" t="s">
        <v>1015</v>
      </c>
      <c r="D22" s="194">
        <v>0</v>
      </c>
      <c r="E22" s="137"/>
      <c r="F22" s="110" t="s">
        <v>245</v>
      </c>
      <c r="G22" s="107" t="s">
        <v>268</v>
      </c>
      <c r="H22" s="107" t="s">
        <v>274</v>
      </c>
      <c r="I22" s="110" t="s">
        <v>1016</v>
      </c>
      <c r="J22" s="110" t="s">
        <v>275</v>
      </c>
      <c r="K22" s="107" t="s">
        <v>271</v>
      </c>
    </row>
    <row r="23" spans="1:13" ht="21.4" customHeight="1" x14ac:dyDescent="0.2">
      <c r="A23" s="107" t="s">
        <v>276</v>
      </c>
      <c r="B23" s="107" t="s">
        <v>277</v>
      </c>
      <c r="C23" s="243" t="s">
        <v>994</v>
      </c>
      <c r="D23" s="194">
        <v>0</v>
      </c>
      <c r="E23" s="137"/>
      <c r="F23" s="110" t="s">
        <v>245</v>
      </c>
      <c r="G23" s="107" t="s">
        <v>268</v>
      </c>
      <c r="H23" s="107" t="s">
        <v>278</v>
      </c>
      <c r="I23" s="110" t="s">
        <v>1017</v>
      </c>
      <c r="J23" s="110" t="s">
        <v>279</v>
      </c>
      <c r="K23" s="107" t="s">
        <v>271</v>
      </c>
    </row>
    <row r="24" spans="1:13" ht="21.4" customHeight="1" x14ac:dyDescent="0.2">
      <c r="A24" s="107" t="s">
        <v>280</v>
      </c>
      <c r="B24" s="107" t="s">
        <v>281</v>
      </c>
      <c r="C24" s="243" t="s">
        <v>994</v>
      </c>
      <c r="D24" s="195">
        <v>0</v>
      </c>
      <c r="E24" s="137"/>
      <c r="F24" s="110" t="s">
        <v>245</v>
      </c>
      <c r="G24" s="107" t="s">
        <v>268</v>
      </c>
      <c r="H24" s="107" t="s">
        <v>278</v>
      </c>
      <c r="I24" s="110" t="s">
        <v>1018</v>
      </c>
      <c r="J24" s="110" t="s">
        <v>282</v>
      </c>
      <c r="K24" s="107" t="s">
        <v>271</v>
      </c>
    </row>
    <row r="25" spans="1:13" ht="21.4" customHeight="1" x14ac:dyDescent="0.2">
      <c r="A25" s="107" t="s">
        <v>283</v>
      </c>
      <c r="B25" s="107" t="s">
        <v>113</v>
      </c>
      <c r="C25" s="243" t="s">
        <v>994</v>
      </c>
      <c r="D25" s="194">
        <v>0.15</v>
      </c>
      <c r="E25" s="137"/>
      <c r="F25" s="110" t="s">
        <v>245</v>
      </c>
      <c r="G25" s="107" t="s">
        <v>284</v>
      </c>
      <c r="H25" s="107" t="s">
        <v>285</v>
      </c>
      <c r="I25" s="110" t="s">
        <v>1019</v>
      </c>
      <c r="J25" s="110" t="s">
        <v>286</v>
      </c>
      <c r="K25" s="107" t="s">
        <v>271</v>
      </c>
    </row>
    <row r="26" spans="1:13" ht="21.4" customHeight="1" x14ac:dyDescent="0.2">
      <c r="A26" s="106" t="s">
        <v>287</v>
      </c>
      <c r="B26" s="106" t="s">
        <v>196</v>
      </c>
      <c r="C26" s="244" t="s">
        <v>994</v>
      </c>
      <c r="D26" s="194">
        <v>0</v>
      </c>
      <c r="E26" s="140"/>
      <c r="F26" s="140" t="s">
        <v>245</v>
      </c>
      <c r="G26" s="106" t="s">
        <v>198</v>
      </c>
      <c r="H26" s="106" t="s">
        <v>288</v>
      </c>
      <c r="I26" s="106" t="s">
        <v>289</v>
      </c>
      <c r="J26" s="106" t="s">
        <v>290</v>
      </c>
      <c r="K26" s="106" t="s">
        <v>291</v>
      </c>
    </row>
    <row r="27" spans="1:13" ht="21.4" customHeight="1" x14ac:dyDescent="0.2">
      <c r="A27" s="107" t="s">
        <v>292</v>
      </c>
      <c r="B27" s="106" t="s">
        <v>201</v>
      </c>
      <c r="C27" s="244" t="s">
        <v>1020</v>
      </c>
      <c r="D27" s="196">
        <v>0</v>
      </c>
      <c r="E27" s="140"/>
      <c r="F27" s="140" t="s">
        <v>245</v>
      </c>
      <c r="G27" s="106" t="s">
        <v>198</v>
      </c>
      <c r="H27" s="106" t="s">
        <v>293</v>
      </c>
      <c r="I27" s="106" t="s">
        <v>294</v>
      </c>
      <c r="J27" s="106" t="s">
        <v>295</v>
      </c>
      <c r="K27" s="106" t="s">
        <v>271</v>
      </c>
    </row>
    <row r="28" spans="1:13" ht="21.4" customHeight="1" x14ac:dyDescent="0.2">
      <c r="A28" s="107" t="s">
        <v>296</v>
      </c>
      <c r="B28" s="271" t="s">
        <v>132</v>
      </c>
      <c r="C28" s="272" t="s">
        <v>994</v>
      </c>
      <c r="D28" s="273">
        <v>0</v>
      </c>
      <c r="E28" s="274"/>
      <c r="F28" s="274" t="s">
        <v>245</v>
      </c>
      <c r="G28" s="259" t="s">
        <v>198</v>
      </c>
      <c r="H28" s="259" t="s">
        <v>297</v>
      </c>
      <c r="I28" s="106" t="s">
        <v>298</v>
      </c>
      <c r="J28" s="106" t="s">
        <v>299</v>
      </c>
      <c r="K28" s="106" t="s">
        <v>300</v>
      </c>
    </row>
    <row r="29" spans="1:13" ht="21.4" customHeight="1" x14ac:dyDescent="0.2">
      <c r="A29" s="107" t="s">
        <v>301</v>
      </c>
      <c r="B29" s="271" t="s">
        <v>302</v>
      </c>
      <c r="C29" s="272" t="s">
        <v>1021</v>
      </c>
      <c r="D29" s="259"/>
      <c r="E29" s="259"/>
      <c r="F29" s="259" t="s">
        <v>245</v>
      </c>
      <c r="G29" s="259" t="s">
        <v>198</v>
      </c>
      <c r="H29" s="259" t="s">
        <v>303</v>
      </c>
      <c r="I29" s="106" t="s">
        <v>304</v>
      </c>
      <c r="J29" s="106" t="s">
        <v>295</v>
      </c>
      <c r="K29" s="106"/>
    </row>
    <row r="30" spans="1:13" ht="21.4" customHeight="1" x14ac:dyDescent="0.2">
      <c r="A30" s="13" t="s">
        <v>87</v>
      </c>
      <c r="B30" s="270"/>
      <c r="C30" s="259"/>
      <c r="D30" s="259"/>
      <c r="E30" s="259"/>
      <c r="F30" s="259"/>
      <c r="G30" s="259"/>
      <c r="H30" s="259"/>
      <c r="I30" s="12"/>
      <c r="J30" s="12"/>
      <c r="K30" s="12"/>
    </row>
    <row r="31" spans="1:13" ht="21.4" customHeight="1" x14ac:dyDescent="0.2">
      <c r="A31" s="106" t="s">
        <v>9</v>
      </c>
      <c r="B31" s="30" t="s">
        <v>305</v>
      </c>
      <c r="C31" s="106"/>
      <c r="D31" s="106"/>
      <c r="E31" s="106"/>
      <c r="F31" s="106"/>
      <c r="G31" s="106"/>
      <c r="H31" s="106"/>
      <c r="I31" s="106"/>
      <c r="J31" s="106"/>
      <c r="K31" s="106"/>
    </row>
    <row r="32" spans="1:13" ht="21.4" customHeight="1" x14ac:dyDescent="0.2">
      <c r="A32" s="106" t="s">
        <v>11</v>
      </c>
      <c r="B32" s="30" t="s">
        <v>306</v>
      </c>
      <c r="C32" s="106"/>
      <c r="D32" s="106"/>
      <c r="E32" s="106"/>
      <c r="F32" s="106"/>
      <c r="G32" s="106"/>
      <c r="H32" s="106"/>
      <c r="I32" s="106"/>
      <c r="J32" s="106"/>
      <c r="K32" s="106"/>
    </row>
    <row r="33" spans="1:11" ht="21.4" customHeight="1" x14ac:dyDescent="0.2">
      <c r="A33" s="106" t="s">
        <v>13</v>
      </c>
      <c r="B33" s="30" t="s">
        <v>307</v>
      </c>
      <c r="C33" s="106"/>
      <c r="D33" s="106"/>
      <c r="E33" s="106"/>
      <c r="F33" s="106"/>
      <c r="G33" s="106"/>
      <c r="H33" s="106"/>
      <c r="I33" s="106"/>
      <c r="J33" s="106"/>
      <c r="K33" s="106"/>
    </row>
    <row r="34" spans="1:11" ht="21.4" customHeight="1" x14ac:dyDescent="0.2"/>
  </sheetData>
  <mergeCells count="5">
    <mergeCell ref="A1:C1"/>
    <mergeCell ref="B30:H30"/>
    <mergeCell ref="B29:H29"/>
    <mergeCell ref="B28:H28"/>
    <mergeCell ref="A3:H3"/>
  </mergeCells>
  <dataValidations count="10">
    <dataValidation type="list" sqref="C5:C6" xr:uid="{00000000-0002-0000-0300-000000000000}">
      <formula1>"Risk Engine,PC Sum,%"</formula1>
    </dataValidation>
    <dataValidation type="list" sqref="C7:C13 C15:C20" xr:uid="{00000000-0002-0000-0300-000001000000}">
      <formula1>"PC Sum,%"</formula1>
    </dataValidation>
    <dataValidation type="list" sqref="C14" xr:uid="{00000000-0002-0000-0300-000002000000}">
      <formula1>"Weather Engine,PC Sum,%"</formula1>
    </dataValidation>
    <dataValidation type="list" sqref="C21" xr:uid="{00000000-0002-0000-0300-000004000000}">
      <formula1>"Markup %,Fixed Amount"</formula1>
    </dataValidation>
    <dataValidation type="list" sqref="C22" xr:uid="{00000000-0002-0000-0300-000005000000}">
      <formula1>"Margin %,Markup %,Fixed Amount"</formula1>
    </dataValidation>
    <dataValidation type="list" sqref="C23:C24" xr:uid="{00000000-0002-0000-0300-000006000000}">
      <formula1>"%,PC Sum"</formula1>
    </dataValidation>
    <dataValidation type="list" sqref="C25:C26 C28" xr:uid="{00000000-0002-0000-0300-000007000000}">
      <formula1>"%"</formula1>
    </dataValidation>
    <dataValidation type="list" sqref="C27" xr:uid="{00000000-0002-0000-0300-000008000000}">
      <formula1>"Months"</formula1>
    </dataValidation>
    <dataValidation type="list" sqref="C29" xr:uid="{00000000-0002-0000-0300-00000A000000}">
      <formula1>"Selection"</formula1>
    </dataValidation>
    <dataValidation type="list" sqref="F5:F29" xr:uid="{00000000-0002-0000-0300-00000B000000}">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37"/>
  <sheetViews>
    <sheetView zoomScaleNormal="60" zoomScaleSheetLayoutView="100" workbookViewId="0"/>
  </sheetViews>
  <sheetFormatPr defaultColWidth="8.7421875" defaultRowHeight="15" x14ac:dyDescent="0.2"/>
  <cols>
    <col min="1" max="1" width="43.8515625" style="3" customWidth="1"/>
    <col min="2" max="2" width="9.953125" style="3" customWidth="1"/>
    <col min="3" max="3" width="53.13671875" style="3" customWidth="1"/>
    <col min="4" max="4" width="9.953125" style="3" customWidth="1"/>
    <col min="5" max="5" width="11.97265625" style="3" customWidth="1"/>
    <col min="6" max="6" width="13.98828125" style="3" customWidth="1"/>
    <col min="7" max="7" width="16.0078125" style="3" customWidth="1"/>
    <col min="8" max="8" width="48.15625" style="3" customWidth="1"/>
    <col min="9" max="9" width="27.98046875" style="3" customWidth="1"/>
    <col min="10" max="10" width="11.97265625" style="3" customWidth="1"/>
    <col min="11" max="11" width="78.6953125" style="3" customWidth="1"/>
    <col min="12" max="12" width="26.90234375" style="3" customWidth="1"/>
    <col min="13" max="13" width="27.98046875" style="3" customWidth="1"/>
    <col min="14" max="14" width="22.05859375" style="3" customWidth="1"/>
    <col min="15" max="15" width="45.87109375" style="3" customWidth="1"/>
    <col min="16" max="16" width="23.5390625" style="3" customWidth="1"/>
    <col min="17" max="17" width="37.93359375" style="3" customWidth="1"/>
    <col min="18" max="18" width="11.97265625" style="3" customWidth="1"/>
    <col min="19" max="19" width="22.05859375" style="3" customWidth="1"/>
    <col min="20" max="20" width="27.98046875" style="3" customWidth="1"/>
    <col min="21" max="16384" width="8.7421875" style="3"/>
  </cols>
  <sheetData>
    <row r="1" spans="1:20" ht="93.2" customHeight="1" x14ac:dyDescent="0.25">
      <c r="A1" s="277" t="s">
        <v>1022</v>
      </c>
      <c r="B1" s="278"/>
      <c r="C1" s="278"/>
      <c r="D1" s="142"/>
      <c r="E1" s="143"/>
      <c r="F1" s="144"/>
      <c r="G1" s="144"/>
      <c r="H1" s="142"/>
      <c r="I1" s="142"/>
      <c r="J1" s="142"/>
      <c r="K1" s="142"/>
      <c r="L1" s="145" t="s">
        <v>308</v>
      </c>
      <c r="M1" s="142"/>
      <c r="N1" s="142"/>
      <c r="O1" s="142"/>
      <c r="P1" s="142"/>
      <c r="Q1" s="279"/>
      <c r="R1" s="279"/>
      <c r="S1" s="279"/>
      <c r="T1" s="279"/>
    </row>
    <row r="2" spans="1:20" ht="24" customHeight="1" x14ac:dyDescent="0.2">
      <c r="A2" s="13" t="s">
        <v>309</v>
      </c>
      <c r="B2" s="13" t="s">
        <v>310</v>
      </c>
      <c r="C2" s="13" t="s">
        <v>311</v>
      </c>
      <c r="D2" s="13" t="s">
        <v>97</v>
      </c>
      <c r="E2" s="14" t="s">
        <v>96</v>
      </c>
      <c r="F2" s="15" t="s">
        <v>312</v>
      </c>
      <c r="G2" s="15" t="s">
        <v>167</v>
      </c>
      <c r="H2" s="13" t="s">
        <v>313</v>
      </c>
      <c r="I2" s="13" t="s">
        <v>314</v>
      </c>
      <c r="J2" s="13" t="s">
        <v>73</v>
      </c>
      <c r="K2" s="13" t="s">
        <v>315</v>
      </c>
      <c r="L2" s="13" t="s">
        <v>316</v>
      </c>
      <c r="M2" s="13" t="s">
        <v>317</v>
      </c>
      <c r="N2" s="13" t="s">
        <v>318</v>
      </c>
      <c r="O2" s="13" t="s">
        <v>319</v>
      </c>
      <c r="P2" s="13" t="s">
        <v>320</v>
      </c>
      <c r="Q2" s="13" t="s">
        <v>321</v>
      </c>
      <c r="R2" s="19" t="s">
        <v>72</v>
      </c>
      <c r="S2" s="19" t="s">
        <v>322</v>
      </c>
      <c r="T2" s="19" t="s">
        <v>323</v>
      </c>
    </row>
    <row r="3" spans="1:20" ht="26.45" customHeight="1" x14ac:dyDescent="0.2">
      <c r="A3" s="35"/>
      <c r="B3" s="36"/>
      <c r="C3" s="36"/>
      <c r="D3" s="36"/>
      <c r="E3" s="17"/>
      <c r="F3" s="69">
        <f t="shared" ref="F3:F32" si="0">IF(OR(B3="",E3=0),0,G3/E3)</f>
        <v>0</v>
      </c>
      <c r="G3" s="69">
        <f>IF(B3="",0,SUMIF('Resource Build-Up'!$B$7:$B$306,B3,'Resource Build-Up'!$Z$7:$Z$306))</f>
        <v>0</v>
      </c>
      <c r="H3" s="36"/>
      <c r="I3" s="36"/>
      <c r="J3" s="36"/>
      <c r="K3" s="36"/>
      <c r="L3" s="71" t="str">
        <f t="shared" ref="L3:L32" si="1">IF(B3="","",IF(J3="Excluded","Excluded","Resource-linked"))</f>
        <v/>
      </c>
      <c r="M3" s="71" t="str">
        <f t="shared" ref="M3:M32" si="2">IF(B3="","",IF(G3=0,"No resource cost / review","Resource Build-Up -&gt; "&amp;B3))</f>
        <v/>
      </c>
      <c r="N3" s="71" t="str">
        <f t="shared" ref="N3:N32" si="3">IF(B3="","","Resource Build-Up")</f>
        <v/>
      </c>
      <c r="O3" s="71" t="str">
        <f t="shared" ref="O3:O32" si="4">IF(B3="","","See Resource Build-Up / Resource Rate Library")</f>
        <v/>
      </c>
      <c r="P3" s="71" t="str">
        <f>IF(B3="","",IF(COUNTIF('Resource Build-Up'!$B$7:$B$306,B3)=0,IF(G3=0,"ZERO / REVIEW","NO RESOURCE"),"RESOURCE LINKED"))</f>
        <v/>
      </c>
      <c r="Q3" s="36"/>
      <c r="R3" s="106" t="str">
        <f t="shared" ref="R3:R32" si="5">IF(OR(ISNUMBER(SEARCH("PC",P3)),ISNUMBER(SEARCH("quote",Q3))),"Jason","Rick")</f>
        <v>Rick</v>
      </c>
      <c r="S3" s="146" t="str">
        <f>IF(B3="","",IF(COUNTIF('Resource Build-Up'!$B$7:$B$306,B3)=0,"NO RESOURCE",IF(COUNTIFS('Resource Build-Up'!$B$7:$B$306,B3,'Resource Build-Up'!$AI$7:$AI$306,"&lt;&gt;OK")&gt;0,"RESOURCE QA","LINKED")))</f>
        <v/>
      </c>
      <c r="T3" s="140"/>
    </row>
    <row r="4" spans="1:20" ht="26.45" customHeight="1" x14ac:dyDescent="0.2">
      <c r="A4" s="147"/>
      <c r="B4" s="147"/>
      <c r="C4" s="147"/>
      <c r="D4" s="147"/>
      <c r="E4" s="148"/>
      <c r="F4" s="149">
        <f t="shared" si="0"/>
        <v>0</v>
      </c>
      <c r="G4" s="149">
        <f>IF(B4="",0,SUMIF('Resource Build-Up'!$B$7:$B$306,B4,'Resource Build-Up'!$Z$7:$Z$306))</f>
        <v>0</v>
      </c>
      <c r="H4" s="147"/>
      <c r="I4" s="147"/>
      <c r="J4" s="147"/>
      <c r="K4" s="147"/>
      <c r="L4" s="150" t="str">
        <f t="shared" si="1"/>
        <v/>
      </c>
      <c r="M4" s="150" t="str">
        <f t="shared" si="2"/>
        <v/>
      </c>
      <c r="N4" s="150" t="str">
        <f t="shared" si="3"/>
        <v/>
      </c>
      <c r="O4" s="150" t="str">
        <f t="shared" si="4"/>
        <v/>
      </c>
      <c r="P4" s="150" t="str">
        <f>IF(B4="","",IF(COUNTIF('Resource Build-Up'!$B$7:$B$306,B4)=0,IF(G4=0,"ZERO / REVIEW","NO RESOURCE"),"RESOURCE LINKED"))</f>
        <v/>
      </c>
      <c r="Q4" s="147"/>
      <c r="R4" s="106" t="str">
        <f t="shared" si="5"/>
        <v>Rick</v>
      </c>
      <c r="S4" s="146" t="str">
        <f>IF(B4="","",IF(COUNTIF('Resource Build-Up'!$B$7:$B$306,B4)=0,"NO RESOURCE",IF(COUNTIFS('Resource Build-Up'!$B$7:$B$306,B4,'Resource Build-Up'!$AI$7:$AI$306,"&lt;&gt;OK")&gt;0,"RESOURCE QA","LINKED")))</f>
        <v/>
      </c>
      <c r="T4" s="140"/>
    </row>
    <row r="5" spans="1:20" ht="26.45" customHeight="1" x14ac:dyDescent="0.2">
      <c r="A5" s="151"/>
      <c r="B5" s="151"/>
      <c r="C5" s="151"/>
      <c r="D5" s="151"/>
      <c r="E5" s="148"/>
      <c r="F5" s="149">
        <f t="shared" si="0"/>
        <v>0</v>
      </c>
      <c r="G5" s="149">
        <f>IF(B5="",0,SUMIF('Resource Build-Up'!$B$7:$B$306,B5,'Resource Build-Up'!$Z$7:$Z$306))</f>
        <v>0</v>
      </c>
      <c r="H5" s="151"/>
      <c r="I5" s="151"/>
      <c r="J5" s="151"/>
      <c r="K5" s="151"/>
      <c r="L5" s="150" t="str">
        <f t="shared" si="1"/>
        <v/>
      </c>
      <c r="M5" s="150" t="str">
        <f t="shared" si="2"/>
        <v/>
      </c>
      <c r="N5" s="150" t="str">
        <f t="shared" si="3"/>
        <v/>
      </c>
      <c r="O5" s="150" t="str">
        <f t="shared" si="4"/>
        <v/>
      </c>
      <c r="P5" s="150" t="str">
        <f>IF(B5="","",IF(COUNTIF('Resource Build-Up'!$B$7:$B$306,B5)=0,IF(G5=0,"ZERO / REVIEW","NO RESOURCE"),"RESOURCE LINKED"))</f>
        <v/>
      </c>
      <c r="Q5" s="151"/>
      <c r="R5" s="106" t="str">
        <f t="shared" si="5"/>
        <v>Rick</v>
      </c>
      <c r="S5" s="146" t="str">
        <f>IF(B5="","",IF(COUNTIF('Resource Build-Up'!$B$7:$B$306,B5)=0,"NO RESOURCE",IF(COUNTIFS('Resource Build-Up'!$B$7:$B$306,B5,'Resource Build-Up'!$AI$7:$AI$306,"&lt;&gt;OK")&gt;0,"RESOURCE QA","LINKED")))</f>
        <v/>
      </c>
      <c r="T5" s="140"/>
    </row>
    <row r="6" spans="1:20" ht="26.45" customHeight="1" x14ac:dyDescent="0.2">
      <c r="A6" s="147"/>
      <c r="B6" s="147"/>
      <c r="C6" s="147"/>
      <c r="D6" s="147"/>
      <c r="E6" s="148"/>
      <c r="F6" s="149">
        <f t="shared" si="0"/>
        <v>0</v>
      </c>
      <c r="G6" s="149">
        <f>IF(B6="",0,SUMIF('Resource Build-Up'!$B$7:$B$306,B6,'Resource Build-Up'!$Z$7:$Z$306))</f>
        <v>0</v>
      </c>
      <c r="H6" s="147"/>
      <c r="I6" s="147"/>
      <c r="J6" s="147"/>
      <c r="K6" s="147"/>
      <c r="L6" s="150" t="str">
        <f t="shared" si="1"/>
        <v/>
      </c>
      <c r="M6" s="150" t="str">
        <f t="shared" si="2"/>
        <v/>
      </c>
      <c r="N6" s="150" t="str">
        <f t="shared" si="3"/>
        <v/>
      </c>
      <c r="O6" s="150" t="str">
        <f t="shared" si="4"/>
        <v/>
      </c>
      <c r="P6" s="150" t="str">
        <f>IF(B6="","",IF(COUNTIF('Resource Build-Up'!$B$7:$B$306,B6)=0,IF(G6=0,"ZERO / REVIEW","NO RESOURCE"),"RESOURCE LINKED"))</f>
        <v/>
      </c>
      <c r="Q6" s="147"/>
      <c r="R6" s="106" t="str">
        <f t="shared" si="5"/>
        <v>Rick</v>
      </c>
      <c r="S6" s="146" t="str">
        <f>IF(B6="","",IF(COUNTIF('Resource Build-Up'!$B$7:$B$306,B6)=0,"NO RESOURCE",IF(COUNTIFS('Resource Build-Up'!$B$7:$B$306,B6,'Resource Build-Up'!$AI$7:$AI$306,"&lt;&gt;OK")&gt;0,"RESOURCE QA","LINKED")))</f>
        <v/>
      </c>
      <c r="T6" s="140"/>
    </row>
    <row r="7" spans="1:20" ht="26.45" customHeight="1" x14ac:dyDescent="0.2">
      <c r="A7" s="151"/>
      <c r="B7" s="151"/>
      <c r="C7" s="151"/>
      <c r="D7" s="151"/>
      <c r="E7" s="148"/>
      <c r="F7" s="149">
        <f t="shared" si="0"/>
        <v>0</v>
      </c>
      <c r="G7" s="149">
        <f>IF(B7="",0,SUMIF('Resource Build-Up'!$B$7:$B$306,B7,'Resource Build-Up'!$Z$7:$Z$306))</f>
        <v>0</v>
      </c>
      <c r="H7" s="151"/>
      <c r="I7" s="151"/>
      <c r="J7" s="151"/>
      <c r="K7" s="151"/>
      <c r="L7" s="150" t="str">
        <f t="shared" si="1"/>
        <v/>
      </c>
      <c r="M7" s="150" t="str">
        <f t="shared" si="2"/>
        <v/>
      </c>
      <c r="N7" s="150" t="str">
        <f t="shared" si="3"/>
        <v/>
      </c>
      <c r="O7" s="150" t="str">
        <f t="shared" si="4"/>
        <v/>
      </c>
      <c r="P7" s="150" t="str">
        <f>IF(B7="","",IF(COUNTIF('Resource Build-Up'!$B$7:$B$306,B7)=0,IF(G7=0,"ZERO / REVIEW","NO RESOURCE"),"RESOURCE LINKED"))</f>
        <v/>
      </c>
      <c r="Q7" s="151"/>
      <c r="R7" s="106" t="str">
        <f t="shared" si="5"/>
        <v>Rick</v>
      </c>
      <c r="S7" s="146" t="str">
        <f>IF(B7="","",IF(COUNTIF('Resource Build-Up'!$B$7:$B$306,B7)=0,"NO RESOURCE",IF(COUNTIFS('Resource Build-Up'!$B$7:$B$306,B7,'Resource Build-Up'!$AI$7:$AI$306,"&lt;&gt;OK")&gt;0,"RESOURCE QA","LINKED")))</f>
        <v/>
      </c>
      <c r="T7" s="140"/>
    </row>
    <row r="8" spans="1:20" ht="26.45" customHeight="1" x14ac:dyDescent="0.2">
      <c r="A8" s="147"/>
      <c r="B8" s="147"/>
      <c r="C8" s="147"/>
      <c r="D8" s="147"/>
      <c r="E8" s="148"/>
      <c r="F8" s="149">
        <f t="shared" si="0"/>
        <v>0</v>
      </c>
      <c r="G8" s="149">
        <f>IF(B8="",0,SUMIF('Resource Build-Up'!$B$7:$B$306,B8,'Resource Build-Up'!$Z$7:$Z$306))</f>
        <v>0</v>
      </c>
      <c r="H8" s="147"/>
      <c r="I8" s="147"/>
      <c r="J8" s="147"/>
      <c r="K8" s="147"/>
      <c r="L8" s="150" t="str">
        <f t="shared" si="1"/>
        <v/>
      </c>
      <c r="M8" s="150" t="str">
        <f t="shared" si="2"/>
        <v/>
      </c>
      <c r="N8" s="150" t="str">
        <f t="shared" si="3"/>
        <v/>
      </c>
      <c r="O8" s="150" t="str">
        <f t="shared" si="4"/>
        <v/>
      </c>
      <c r="P8" s="150" t="str">
        <f>IF(B8="","",IF(COUNTIF('Resource Build-Up'!$B$7:$B$306,B8)=0,IF(G8=0,"ZERO / REVIEW","NO RESOURCE"),"RESOURCE LINKED"))</f>
        <v/>
      </c>
      <c r="Q8" s="147"/>
      <c r="R8" s="106" t="str">
        <f t="shared" si="5"/>
        <v>Rick</v>
      </c>
      <c r="S8" s="146" t="str">
        <f>IF(B8="","",IF(COUNTIF('Resource Build-Up'!$B$7:$B$306,B8)=0,"NO RESOURCE",IF(COUNTIFS('Resource Build-Up'!$B$7:$B$306,B8,'Resource Build-Up'!$AI$7:$AI$306,"&lt;&gt;OK")&gt;0,"RESOURCE QA","LINKED")))</f>
        <v/>
      </c>
      <c r="T8" s="140"/>
    </row>
    <row r="9" spans="1:20" ht="26.45" customHeight="1" x14ac:dyDescent="0.2">
      <c r="A9" s="151"/>
      <c r="B9" s="151"/>
      <c r="C9" s="151"/>
      <c r="D9" s="151"/>
      <c r="E9" s="148"/>
      <c r="F9" s="149">
        <f t="shared" si="0"/>
        <v>0</v>
      </c>
      <c r="G9" s="149">
        <f>IF(B9="",0,SUMIF('Resource Build-Up'!$B$7:$B$306,B9,'Resource Build-Up'!$Z$7:$Z$306))</f>
        <v>0</v>
      </c>
      <c r="H9" s="151"/>
      <c r="I9" s="151"/>
      <c r="J9" s="151"/>
      <c r="K9" s="151"/>
      <c r="L9" s="150" t="str">
        <f t="shared" si="1"/>
        <v/>
      </c>
      <c r="M9" s="150" t="str">
        <f t="shared" si="2"/>
        <v/>
      </c>
      <c r="N9" s="150" t="str">
        <f t="shared" si="3"/>
        <v/>
      </c>
      <c r="O9" s="150" t="str">
        <f t="shared" si="4"/>
        <v/>
      </c>
      <c r="P9" s="150" t="str">
        <f>IF(B9="","",IF(COUNTIF('Resource Build-Up'!$B$7:$B$306,B9)=0,IF(G9=0,"ZERO / REVIEW","NO RESOURCE"),"RESOURCE LINKED"))</f>
        <v/>
      </c>
      <c r="Q9" s="151"/>
      <c r="R9" s="106" t="str">
        <f t="shared" si="5"/>
        <v>Rick</v>
      </c>
      <c r="S9" s="146" t="str">
        <f>IF(B9="","",IF(COUNTIF('Resource Build-Up'!$B$7:$B$306,B9)=0,"NO RESOURCE",IF(COUNTIFS('Resource Build-Up'!$B$7:$B$306,B9,'Resource Build-Up'!$AI$7:$AI$306,"&lt;&gt;OK")&gt;0,"RESOURCE QA","LINKED")))</f>
        <v/>
      </c>
      <c r="T9" s="140"/>
    </row>
    <row r="10" spans="1:20" ht="26.45" customHeight="1" x14ac:dyDescent="0.2">
      <c r="A10" s="147"/>
      <c r="B10" s="147"/>
      <c r="C10" s="147"/>
      <c r="D10" s="147"/>
      <c r="E10" s="148"/>
      <c r="F10" s="149">
        <f t="shared" si="0"/>
        <v>0</v>
      </c>
      <c r="G10" s="149">
        <f>IF(B10="",0,SUMIF('Resource Build-Up'!$B$7:$B$306,B10,'Resource Build-Up'!$Z$7:$Z$306))</f>
        <v>0</v>
      </c>
      <c r="H10" s="147"/>
      <c r="I10" s="147"/>
      <c r="J10" s="147"/>
      <c r="K10" s="147"/>
      <c r="L10" s="150" t="str">
        <f t="shared" si="1"/>
        <v/>
      </c>
      <c r="M10" s="150" t="str">
        <f t="shared" si="2"/>
        <v/>
      </c>
      <c r="N10" s="150" t="str">
        <f t="shared" si="3"/>
        <v/>
      </c>
      <c r="O10" s="150" t="str">
        <f t="shared" si="4"/>
        <v/>
      </c>
      <c r="P10" s="150" t="str">
        <f>IF(B10="","",IF(COUNTIF('Resource Build-Up'!$B$7:$B$306,B10)=0,IF(G10=0,"ZERO / REVIEW","NO RESOURCE"),"RESOURCE LINKED"))</f>
        <v/>
      </c>
      <c r="Q10" s="147"/>
      <c r="R10" s="106" t="str">
        <f t="shared" si="5"/>
        <v>Rick</v>
      </c>
      <c r="S10" s="146" t="str">
        <f>IF(B10="","",IF(COUNTIF('Resource Build-Up'!$B$7:$B$306,B10)=0,"NO RESOURCE",IF(COUNTIFS('Resource Build-Up'!$B$7:$B$306,B10,'Resource Build-Up'!$AI$7:$AI$306,"&lt;&gt;OK")&gt;0,"RESOURCE QA","LINKED")))</f>
        <v/>
      </c>
      <c r="T10" s="140"/>
    </row>
    <row r="11" spans="1:20" ht="26.45" customHeight="1" x14ac:dyDescent="0.2">
      <c r="A11" s="151"/>
      <c r="B11" s="151"/>
      <c r="C11" s="151"/>
      <c r="D11" s="151"/>
      <c r="E11" s="148"/>
      <c r="F11" s="149">
        <f t="shared" si="0"/>
        <v>0</v>
      </c>
      <c r="G11" s="149">
        <f>IF(B11="",0,SUMIF('Resource Build-Up'!$B$7:$B$306,B11,'Resource Build-Up'!$Z$7:$Z$306))</f>
        <v>0</v>
      </c>
      <c r="H11" s="151"/>
      <c r="I11" s="151"/>
      <c r="J11" s="151"/>
      <c r="K11" s="151"/>
      <c r="L11" s="150" t="str">
        <f t="shared" si="1"/>
        <v/>
      </c>
      <c r="M11" s="150" t="str">
        <f t="shared" si="2"/>
        <v/>
      </c>
      <c r="N11" s="150" t="str">
        <f t="shared" si="3"/>
        <v/>
      </c>
      <c r="O11" s="150" t="str">
        <f t="shared" si="4"/>
        <v/>
      </c>
      <c r="P11" s="150" t="str">
        <f>IF(B11="","",IF(COUNTIF('Resource Build-Up'!$B$7:$B$306,B11)=0,IF(G11=0,"ZERO / REVIEW","NO RESOURCE"),"RESOURCE LINKED"))</f>
        <v/>
      </c>
      <c r="Q11" s="151"/>
      <c r="R11" s="106" t="str">
        <f t="shared" si="5"/>
        <v>Rick</v>
      </c>
      <c r="S11" s="146" t="str">
        <f>IF(B11="","",IF(COUNTIF('Resource Build-Up'!$B$7:$B$306,B11)=0,"NO RESOURCE",IF(COUNTIFS('Resource Build-Up'!$B$7:$B$306,B11,'Resource Build-Up'!$AI$7:$AI$306,"&lt;&gt;OK")&gt;0,"RESOURCE QA","LINKED")))</f>
        <v/>
      </c>
      <c r="T11" s="140"/>
    </row>
    <row r="12" spans="1:20" ht="26.45" customHeight="1" x14ac:dyDescent="0.2">
      <c r="A12" s="147"/>
      <c r="B12" s="147"/>
      <c r="C12" s="147"/>
      <c r="D12" s="147"/>
      <c r="E12" s="148"/>
      <c r="F12" s="149">
        <f t="shared" si="0"/>
        <v>0</v>
      </c>
      <c r="G12" s="149">
        <f>IF(B12="",0,SUMIF('Resource Build-Up'!$B$7:$B$306,B12,'Resource Build-Up'!$Z$7:$Z$306))</f>
        <v>0</v>
      </c>
      <c r="H12" s="147"/>
      <c r="I12" s="147"/>
      <c r="J12" s="147"/>
      <c r="K12" s="147"/>
      <c r="L12" s="150" t="str">
        <f t="shared" si="1"/>
        <v/>
      </c>
      <c r="M12" s="150" t="str">
        <f t="shared" si="2"/>
        <v/>
      </c>
      <c r="N12" s="150" t="str">
        <f t="shared" si="3"/>
        <v/>
      </c>
      <c r="O12" s="150" t="str">
        <f t="shared" si="4"/>
        <v/>
      </c>
      <c r="P12" s="150" t="str">
        <f>IF(B12="","",IF(COUNTIF('Resource Build-Up'!$B$7:$B$306,B12)=0,IF(G12=0,"ZERO / REVIEW","NO RESOURCE"),"RESOURCE LINKED"))</f>
        <v/>
      </c>
      <c r="Q12" s="147"/>
      <c r="R12" s="106" t="str">
        <f t="shared" si="5"/>
        <v>Rick</v>
      </c>
      <c r="S12" s="146" t="str">
        <f>IF(B12="","",IF(COUNTIF('Resource Build-Up'!$B$7:$B$306,B12)=0,"NO RESOURCE",IF(COUNTIFS('Resource Build-Up'!$B$7:$B$306,B12,'Resource Build-Up'!$AI$7:$AI$306,"&lt;&gt;OK")&gt;0,"RESOURCE QA","LINKED")))</f>
        <v/>
      </c>
      <c r="T12" s="140"/>
    </row>
    <row r="13" spans="1:20" ht="26.45" customHeight="1" x14ac:dyDescent="0.2">
      <c r="A13" s="151"/>
      <c r="B13" s="151"/>
      <c r="C13" s="151"/>
      <c r="D13" s="151"/>
      <c r="E13" s="148"/>
      <c r="F13" s="149">
        <f t="shared" si="0"/>
        <v>0</v>
      </c>
      <c r="G13" s="149">
        <f>IF(B13="",0,SUMIF('Resource Build-Up'!$B$7:$B$306,B13,'Resource Build-Up'!$Z$7:$Z$306))</f>
        <v>0</v>
      </c>
      <c r="H13" s="151"/>
      <c r="I13" s="151"/>
      <c r="J13" s="151"/>
      <c r="K13" s="151"/>
      <c r="L13" s="150" t="str">
        <f t="shared" si="1"/>
        <v/>
      </c>
      <c r="M13" s="150" t="str">
        <f t="shared" si="2"/>
        <v/>
      </c>
      <c r="N13" s="150" t="str">
        <f t="shared" si="3"/>
        <v/>
      </c>
      <c r="O13" s="150" t="str">
        <f t="shared" si="4"/>
        <v/>
      </c>
      <c r="P13" s="150" t="str">
        <f>IF(B13="","",IF(COUNTIF('Resource Build-Up'!$B$7:$B$306,B13)=0,IF(G13=0,"ZERO / REVIEW","NO RESOURCE"),"RESOURCE LINKED"))</f>
        <v/>
      </c>
      <c r="Q13" s="151"/>
      <c r="R13" s="106" t="str">
        <f t="shared" si="5"/>
        <v>Rick</v>
      </c>
      <c r="S13" s="146" t="str">
        <f>IF(B13="","",IF(COUNTIF('Resource Build-Up'!$B$7:$B$306,B13)=0,"NO RESOURCE",IF(COUNTIFS('Resource Build-Up'!$B$7:$B$306,B13,'Resource Build-Up'!$AI$7:$AI$306,"&lt;&gt;OK")&gt;0,"RESOURCE QA","LINKED")))</f>
        <v/>
      </c>
      <c r="T13" s="140"/>
    </row>
    <row r="14" spans="1:20" ht="26.45" customHeight="1" x14ac:dyDescent="0.2">
      <c r="A14" s="33"/>
      <c r="B14" s="33"/>
      <c r="C14" s="33"/>
      <c r="D14" s="33"/>
      <c r="E14" s="152"/>
      <c r="F14" s="18">
        <f t="shared" si="0"/>
        <v>0</v>
      </c>
      <c r="G14" s="18">
        <f>IF(B14="",0,SUMIF('Resource Build-Up'!$B$7:$B$306,B14,'Resource Build-Up'!$Z$7:$Z$306))</f>
        <v>0</v>
      </c>
      <c r="H14" s="33"/>
      <c r="I14" s="33"/>
      <c r="J14" s="33"/>
      <c r="K14" s="33"/>
      <c r="L14" s="70" t="str">
        <f t="shared" si="1"/>
        <v/>
      </c>
      <c r="M14" s="70" t="str">
        <f t="shared" si="2"/>
        <v/>
      </c>
      <c r="N14" s="70" t="str">
        <f t="shared" si="3"/>
        <v/>
      </c>
      <c r="O14" s="70" t="str">
        <f t="shared" si="4"/>
        <v/>
      </c>
      <c r="P14" s="70" t="str">
        <f>IF(B14="","",IF(COUNTIF('Resource Build-Up'!$B$7:$B$306,B14)=0,IF(G14=0,"ZERO / REVIEW","NO RESOURCE"),"RESOURCE LINKED"))</f>
        <v/>
      </c>
      <c r="Q14" s="33"/>
      <c r="R14" s="106" t="str">
        <f t="shared" si="5"/>
        <v>Rick</v>
      </c>
      <c r="S14" s="146" t="str">
        <f>IF(B14="","",IF(COUNTIF('Resource Build-Up'!$B$7:$B$306,B14)=0,"NO RESOURCE",IF(COUNTIFS('Resource Build-Up'!$B$7:$B$306,B14,'Resource Build-Up'!$AI$7:$AI$306,"&lt;&gt;OK")&gt;0,"RESOURCE QA","LINKED")))</f>
        <v/>
      </c>
      <c r="T14" s="140"/>
    </row>
    <row r="15" spans="1:20" ht="26.45" customHeight="1" x14ac:dyDescent="0.2">
      <c r="A15" s="35"/>
      <c r="B15" s="36"/>
      <c r="C15" s="36"/>
      <c r="D15" s="36"/>
      <c r="E15" s="17"/>
      <c r="F15" s="69">
        <f t="shared" si="0"/>
        <v>0</v>
      </c>
      <c r="G15" s="18">
        <f>IF(B15="",0,SUMIF('Resource Build-Up'!$B$7:$B$306,B15,'Resource Build-Up'!$Z$7:$Z$306))</f>
        <v>0</v>
      </c>
      <c r="H15" s="36"/>
      <c r="I15" s="36"/>
      <c r="J15" s="36"/>
      <c r="K15" s="36"/>
      <c r="L15" s="70" t="str">
        <f t="shared" si="1"/>
        <v/>
      </c>
      <c r="M15" s="71" t="str">
        <f t="shared" si="2"/>
        <v/>
      </c>
      <c r="N15" s="71" t="str">
        <f t="shared" si="3"/>
        <v/>
      </c>
      <c r="O15" s="71" t="str">
        <f t="shared" si="4"/>
        <v/>
      </c>
      <c r="P15" s="70" t="str">
        <f>IF(B15="","",IF(COUNTIF('Resource Build-Up'!$B$7:$B$306,B15)=0,IF(G15=0,"ZERO / REVIEW","NO RESOURCE"),"RESOURCE LINKED"))</f>
        <v/>
      </c>
      <c r="Q15" s="36"/>
      <c r="R15" s="106" t="str">
        <f t="shared" si="5"/>
        <v>Rick</v>
      </c>
      <c r="S15" s="146" t="str">
        <f>IF(B15="","",IF(COUNTIF('Resource Build-Up'!$B$7:$B$306,B15)=0,"NO RESOURCE",IF(COUNTIFS('Resource Build-Up'!$B$7:$B$306,B15,'Resource Build-Up'!$AI$7:$AI$306,"&lt;&gt;OK")&gt;0,"RESOURCE QA","LINKED")))</f>
        <v/>
      </c>
      <c r="T15" s="140"/>
    </row>
    <row r="16" spans="1:20" ht="26.45" customHeight="1" x14ac:dyDescent="0.2">
      <c r="A16" s="153"/>
      <c r="B16" s="153"/>
      <c r="C16" s="153"/>
      <c r="D16" s="153"/>
      <c r="E16" s="154"/>
      <c r="F16" s="155">
        <f t="shared" si="0"/>
        <v>0</v>
      </c>
      <c r="G16" s="155">
        <f>IF(B16="",0,SUMIF('Resource Build-Up'!$B$7:$B$306,B16,'Resource Build-Up'!$Z$7:$Z$306))</f>
        <v>0</v>
      </c>
      <c r="H16" s="153"/>
      <c r="I16" s="153"/>
      <c r="J16" s="153"/>
      <c r="K16" s="153"/>
      <c r="L16" s="146" t="str">
        <f t="shared" si="1"/>
        <v/>
      </c>
      <c r="M16" s="146" t="str">
        <f t="shared" si="2"/>
        <v/>
      </c>
      <c r="N16" s="146" t="str">
        <f t="shared" si="3"/>
        <v/>
      </c>
      <c r="O16" s="146" t="str">
        <f t="shared" si="4"/>
        <v/>
      </c>
      <c r="P16" s="146" t="str">
        <f>IF(B16="","",IF(COUNTIF('Resource Build-Up'!$B$7:$B$306,B16)=0,IF(G16=0,"ZERO / REVIEW","NO RESOURCE"),"RESOURCE LINKED"))</f>
        <v/>
      </c>
      <c r="Q16" s="153"/>
      <c r="R16" s="106" t="str">
        <f t="shared" si="5"/>
        <v>Rick</v>
      </c>
      <c r="S16" s="146" t="str">
        <f>IF(B16="","",IF(COUNTIF('Resource Build-Up'!$B$7:$B$306,B16)=0,"NO RESOURCE",IF(COUNTIFS('Resource Build-Up'!$B$7:$B$306,B16,'Resource Build-Up'!$AI$7:$AI$306,"&lt;&gt;OK")&gt;0,"RESOURCE QA","LINKED")))</f>
        <v/>
      </c>
      <c r="T16" s="140"/>
    </row>
    <row r="17" spans="1:20" ht="26.45" customHeight="1" x14ac:dyDescent="0.2">
      <c r="A17" s="35"/>
      <c r="B17" s="36"/>
      <c r="C17" s="36"/>
      <c r="D17" s="36"/>
      <c r="E17" s="17"/>
      <c r="F17" s="69">
        <f t="shared" si="0"/>
        <v>0</v>
      </c>
      <c r="G17" s="69">
        <f>IF(B17="",0,SUMIF('Resource Build-Up'!$B$7:$B$306,B17,'Resource Build-Up'!$Z$7:$Z$306))</f>
        <v>0</v>
      </c>
      <c r="H17" s="36"/>
      <c r="I17" s="36"/>
      <c r="J17" s="36"/>
      <c r="K17" s="36"/>
      <c r="L17" s="71" t="str">
        <f t="shared" si="1"/>
        <v/>
      </c>
      <c r="M17" s="71" t="str">
        <f t="shared" si="2"/>
        <v/>
      </c>
      <c r="N17" s="71" t="str">
        <f t="shared" si="3"/>
        <v/>
      </c>
      <c r="O17" s="71" t="str">
        <f t="shared" si="4"/>
        <v/>
      </c>
      <c r="P17" s="71" t="str">
        <f>IF(B17="","",IF(COUNTIF('Resource Build-Up'!$B$7:$B$306,B17)=0,IF(G17=0,"ZERO / REVIEW","NO RESOURCE"),"RESOURCE LINKED"))</f>
        <v/>
      </c>
      <c r="Q17" s="36"/>
      <c r="R17" s="106" t="str">
        <f t="shared" si="5"/>
        <v>Rick</v>
      </c>
      <c r="S17" s="146" t="str">
        <f>IF(B17="","",IF(COUNTIF('Resource Build-Up'!$B$7:$B$306,B17)=0,"NO RESOURCE",IF(COUNTIFS('Resource Build-Up'!$B$7:$B$306,B17,'Resource Build-Up'!$AI$7:$AI$306,"&lt;&gt;OK")&gt;0,"RESOURCE QA","LINKED")))</f>
        <v/>
      </c>
      <c r="T17" s="140"/>
    </row>
    <row r="18" spans="1:20" ht="26.45" customHeight="1" x14ac:dyDescent="0.2">
      <c r="A18" s="147"/>
      <c r="B18" s="147"/>
      <c r="C18" s="147"/>
      <c r="D18" s="147"/>
      <c r="E18" s="148"/>
      <c r="F18" s="149">
        <f t="shared" si="0"/>
        <v>0</v>
      </c>
      <c r="G18" s="149">
        <f>IF(B18="",0,SUMIF('Resource Build-Up'!$B$7:$B$306,B18,'Resource Build-Up'!$Z$7:$Z$306))</f>
        <v>0</v>
      </c>
      <c r="H18" s="147"/>
      <c r="I18" s="147"/>
      <c r="J18" s="147"/>
      <c r="K18" s="147"/>
      <c r="L18" s="150" t="str">
        <f t="shared" si="1"/>
        <v/>
      </c>
      <c r="M18" s="150" t="str">
        <f t="shared" si="2"/>
        <v/>
      </c>
      <c r="N18" s="150" t="str">
        <f t="shared" si="3"/>
        <v/>
      </c>
      <c r="O18" s="150" t="str">
        <f t="shared" si="4"/>
        <v/>
      </c>
      <c r="P18" s="150" t="str">
        <f>IF(B18="","",IF(COUNTIF('Resource Build-Up'!$B$7:$B$306,B18)=0,IF(G18=0,"ZERO / REVIEW","NO RESOURCE"),"RESOURCE LINKED"))</f>
        <v/>
      </c>
      <c r="Q18" s="147"/>
      <c r="R18" s="106" t="str">
        <f t="shared" si="5"/>
        <v>Rick</v>
      </c>
      <c r="S18" s="146" t="str">
        <f>IF(B18="","",IF(COUNTIF('Resource Build-Up'!$B$7:$B$306,B18)=0,"NO RESOURCE",IF(COUNTIFS('Resource Build-Up'!$B$7:$B$306,B18,'Resource Build-Up'!$AI$7:$AI$306,"&lt;&gt;OK")&gt;0,"RESOURCE QA","LINKED")))</f>
        <v/>
      </c>
      <c r="T18" s="140"/>
    </row>
    <row r="19" spans="1:20" ht="26.45" customHeight="1" x14ac:dyDescent="0.2">
      <c r="A19" s="151"/>
      <c r="B19" s="151"/>
      <c r="C19" s="151"/>
      <c r="D19" s="151"/>
      <c r="E19" s="148"/>
      <c r="F19" s="149">
        <f t="shared" si="0"/>
        <v>0</v>
      </c>
      <c r="G19" s="149">
        <f>IF(B19="",0,SUMIF('Resource Build-Up'!$B$7:$B$306,B19,'Resource Build-Up'!$Z$7:$Z$306))</f>
        <v>0</v>
      </c>
      <c r="H19" s="151"/>
      <c r="I19" s="151"/>
      <c r="J19" s="151"/>
      <c r="K19" s="151"/>
      <c r="L19" s="150" t="str">
        <f t="shared" si="1"/>
        <v/>
      </c>
      <c r="M19" s="150" t="str">
        <f t="shared" si="2"/>
        <v/>
      </c>
      <c r="N19" s="150" t="str">
        <f t="shared" si="3"/>
        <v/>
      </c>
      <c r="O19" s="150" t="str">
        <f t="shared" si="4"/>
        <v/>
      </c>
      <c r="P19" s="150" t="str">
        <f>IF(B19="","",IF(COUNTIF('Resource Build-Up'!$B$7:$B$306,B19)=0,IF(G19=0,"ZERO / REVIEW","NO RESOURCE"),"RESOURCE LINKED"))</f>
        <v/>
      </c>
      <c r="Q19" s="151"/>
      <c r="R19" s="106" t="str">
        <f t="shared" si="5"/>
        <v>Rick</v>
      </c>
      <c r="S19" s="146" t="str">
        <f>IF(B19="","",IF(COUNTIF('Resource Build-Up'!$B$7:$B$306,B19)=0,"NO RESOURCE",IF(COUNTIFS('Resource Build-Up'!$B$7:$B$306,B19,'Resource Build-Up'!$AI$7:$AI$306,"&lt;&gt;OK")&gt;0,"RESOURCE QA","LINKED")))</f>
        <v/>
      </c>
      <c r="T19" s="140"/>
    </row>
    <row r="20" spans="1:20" ht="26.45" customHeight="1" x14ac:dyDescent="0.2">
      <c r="A20" s="147"/>
      <c r="B20" s="147"/>
      <c r="C20" s="147"/>
      <c r="D20" s="147"/>
      <c r="E20" s="148"/>
      <c r="F20" s="149">
        <f t="shared" si="0"/>
        <v>0</v>
      </c>
      <c r="G20" s="149">
        <f>IF(B20="",0,SUMIF('Resource Build-Up'!$B$7:$B$306,B20,'Resource Build-Up'!$Z$7:$Z$306))</f>
        <v>0</v>
      </c>
      <c r="H20" s="147"/>
      <c r="I20" s="147"/>
      <c r="J20" s="147"/>
      <c r="K20" s="147"/>
      <c r="L20" s="150" t="str">
        <f t="shared" si="1"/>
        <v/>
      </c>
      <c r="M20" s="150" t="str">
        <f t="shared" si="2"/>
        <v/>
      </c>
      <c r="N20" s="150" t="str">
        <f t="shared" si="3"/>
        <v/>
      </c>
      <c r="O20" s="150" t="str">
        <f t="shared" si="4"/>
        <v/>
      </c>
      <c r="P20" s="150" t="str">
        <f>IF(B20="","",IF(COUNTIF('Resource Build-Up'!$B$7:$B$306,B20)=0,IF(G20=0,"ZERO / REVIEW","NO RESOURCE"),"RESOURCE LINKED"))</f>
        <v/>
      </c>
      <c r="Q20" s="147"/>
      <c r="R20" s="106" t="str">
        <f t="shared" si="5"/>
        <v>Rick</v>
      </c>
      <c r="S20" s="146" t="str">
        <f>IF(B20="","",IF(COUNTIF('Resource Build-Up'!$B$7:$B$306,B20)=0,"NO RESOURCE",IF(COUNTIFS('Resource Build-Up'!$B$7:$B$306,B20,'Resource Build-Up'!$AI$7:$AI$306,"&lt;&gt;OK")&gt;0,"RESOURCE QA","LINKED")))</f>
        <v/>
      </c>
      <c r="T20" s="140"/>
    </row>
    <row r="21" spans="1:20" ht="26.45" customHeight="1" x14ac:dyDescent="0.2">
      <c r="A21" s="151"/>
      <c r="B21" s="151"/>
      <c r="C21" s="151"/>
      <c r="D21" s="151"/>
      <c r="E21" s="148"/>
      <c r="F21" s="149">
        <f t="shared" si="0"/>
        <v>0</v>
      </c>
      <c r="G21" s="149">
        <f>IF(B21="",0,SUMIF('Resource Build-Up'!$B$7:$B$306,B21,'Resource Build-Up'!$Z$7:$Z$306))</f>
        <v>0</v>
      </c>
      <c r="H21" s="151"/>
      <c r="I21" s="151"/>
      <c r="J21" s="151"/>
      <c r="K21" s="151"/>
      <c r="L21" s="150" t="str">
        <f t="shared" si="1"/>
        <v/>
      </c>
      <c r="M21" s="150" t="str">
        <f t="shared" si="2"/>
        <v/>
      </c>
      <c r="N21" s="150" t="str">
        <f t="shared" si="3"/>
        <v/>
      </c>
      <c r="O21" s="150" t="str">
        <f t="shared" si="4"/>
        <v/>
      </c>
      <c r="P21" s="150" t="str">
        <f>IF(B21="","",IF(COUNTIF('Resource Build-Up'!$B$7:$B$306,B21)=0,IF(G21=0,"ZERO / REVIEW","NO RESOURCE"),"RESOURCE LINKED"))</f>
        <v/>
      </c>
      <c r="Q21" s="151"/>
      <c r="R21" s="106" t="str">
        <f t="shared" si="5"/>
        <v>Rick</v>
      </c>
      <c r="S21" s="146" t="str">
        <f>IF(B21="","",IF(COUNTIF('Resource Build-Up'!$B$7:$B$306,B21)=0,"NO RESOURCE",IF(COUNTIFS('Resource Build-Up'!$B$7:$B$306,B21,'Resource Build-Up'!$AI$7:$AI$306,"&lt;&gt;OK")&gt;0,"RESOURCE QA","LINKED")))</f>
        <v/>
      </c>
      <c r="T21" s="140"/>
    </row>
    <row r="22" spans="1:20" ht="26.45" customHeight="1" x14ac:dyDescent="0.2">
      <c r="A22" s="147"/>
      <c r="B22" s="147"/>
      <c r="C22" s="147"/>
      <c r="D22" s="147"/>
      <c r="E22" s="148"/>
      <c r="F22" s="149">
        <f t="shared" si="0"/>
        <v>0</v>
      </c>
      <c r="G22" s="149">
        <f>IF(B22="",0,SUMIF('Resource Build-Up'!$B$7:$B$306,B22,'Resource Build-Up'!$Z$7:$Z$306))</f>
        <v>0</v>
      </c>
      <c r="H22" s="147"/>
      <c r="I22" s="147"/>
      <c r="J22" s="147"/>
      <c r="K22" s="147"/>
      <c r="L22" s="150" t="str">
        <f t="shared" si="1"/>
        <v/>
      </c>
      <c r="M22" s="150" t="str">
        <f t="shared" si="2"/>
        <v/>
      </c>
      <c r="N22" s="150" t="str">
        <f t="shared" si="3"/>
        <v/>
      </c>
      <c r="O22" s="150" t="str">
        <f t="shared" si="4"/>
        <v/>
      </c>
      <c r="P22" s="150" t="str">
        <f>IF(B22="","",IF(COUNTIF('Resource Build-Up'!$B$7:$B$306,B22)=0,IF(G22=0,"ZERO / REVIEW","NO RESOURCE"),"RESOURCE LINKED"))</f>
        <v/>
      </c>
      <c r="Q22" s="147"/>
      <c r="R22" s="106" t="str">
        <f t="shared" si="5"/>
        <v>Rick</v>
      </c>
      <c r="S22" s="146" t="str">
        <f>IF(B22="","",IF(COUNTIF('Resource Build-Up'!$B$7:$B$306,B22)=0,"NO RESOURCE",IF(COUNTIFS('Resource Build-Up'!$B$7:$B$306,B22,'Resource Build-Up'!$AI$7:$AI$306,"&lt;&gt;OK")&gt;0,"RESOURCE QA","LINKED")))</f>
        <v/>
      </c>
      <c r="T22" s="140"/>
    </row>
    <row r="23" spans="1:20" ht="26.45" customHeight="1" x14ac:dyDescent="0.2">
      <c r="A23" s="35"/>
      <c r="B23" s="35"/>
      <c r="C23" s="35"/>
      <c r="D23" s="35"/>
      <c r="E23" s="152"/>
      <c r="F23" s="18">
        <f t="shared" si="0"/>
        <v>0</v>
      </c>
      <c r="G23" s="18">
        <f>IF(B23="",0,SUMIF('Resource Build-Up'!$B$7:$B$306,B23,'Resource Build-Up'!$Z$7:$Z$306))</f>
        <v>0</v>
      </c>
      <c r="H23" s="35"/>
      <c r="I23" s="35"/>
      <c r="J23" s="35"/>
      <c r="K23" s="35"/>
      <c r="L23" s="70" t="str">
        <f t="shared" si="1"/>
        <v/>
      </c>
      <c r="M23" s="70" t="str">
        <f t="shared" si="2"/>
        <v/>
      </c>
      <c r="N23" s="70" t="str">
        <f t="shared" si="3"/>
        <v/>
      </c>
      <c r="O23" s="70" t="str">
        <f t="shared" si="4"/>
        <v/>
      </c>
      <c r="P23" s="70" t="str">
        <f>IF(B23="","",IF(COUNTIF('Resource Build-Up'!$B$7:$B$306,B23)=0,IF(G23=0,"ZERO / REVIEW","NO RESOURCE"),"RESOURCE LINKED"))</f>
        <v/>
      </c>
      <c r="Q23" s="35"/>
      <c r="R23" s="106" t="str">
        <f t="shared" si="5"/>
        <v>Rick</v>
      </c>
      <c r="S23" s="146" t="str">
        <f>IF(B23="","",IF(COUNTIF('Resource Build-Up'!$B$7:$B$306,B23)=0,"NO RESOURCE",IF(COUNTIFS('Resource Build-Up'!$B$7:$B$306,B23,'Resource Build-Up'!$AI$7:$AI$306,"&lt;&gt;OK")&gt;0,"RESOURCE QA","LINKED")))</f>
        <v/>
      </c>
      <c r="T23" s="140"/>
    </row>
    <row r="24" spans="1:20" ht="26.45" customHeight="1" x14ac:dyDescent="0.2">
      <c r="A24" s="33"/>
      <c r="B24" s="33"/>
      <c r="C24" s="33"/>
      <c r="D24" s="33"/>
      <c r="E24" s="152"/>
      <c r="F24" s="18">
        <f t="shared" si="0"/>
        <v>0</v>
      </c>
      <c r="G24" s="18">
        <f>IF(B24="",0,SUMIF('Resource Build-Up'!$B$7:$B$306,B24,'Resource Build-Up'!$Z$7:$Z$306))</f>
        <v>0</v>
      </c>
      <c r="H24" s="33"/>
      <c r="I24" s="33"/>
      <c r="J24" s="33"/>
      <c r="K24" s="33"/>
      <c r="L24" s="70" t="str">
        <f t="shared" si="1"/>
        <v/>
      </c>
      <c r="M24" s="70" t="str">
        <f t="shared" si="2"/>
        <v/>
      </c>
      <c r="N24" s="70" t="str">
        <f t="shared" si="3"/>
        <v/>
      </c>
      <c r="O24" s="70" t="str">
        <f t="shared" si="4"/>
        <v/>
      </c>
      <c r="P24" s="70" t="str">
        <f>IF(B24="","",IF(COUNTIF('Resource Build-Up'!$B$7:$B$306,B24)=0,IF(G24=0,"ZERO / REVIEW","NO RESOURCE"),"RESOURCE LINKED"))</f>
        <v/>
      </c>
      <c r="Q24" s="33"/>
      <c r="R24" s="106" t="str">
        <f t="shared" si="5"/>
        <v>Rick</v>
      </c>
      <c r="S24" s="146" t="str">
        <f>IF(B24="","",IF(COUNTIF('Resource Build-Up'!$B$7:$B$306,B24)=0,"NO RESOURCE",IF(COUNTIFS('Resource Build-Up'!$B$7:$B$306,B24,'Resource Build-Up'!$AI$7:$AI$306,"&lt;&gt;OK")&gt;0,"RESOURCE QA","LINKED")))</f>
        <v/>
      </c>
      <c r="T24" s="140"/>
    </row>
    <row r="25" spans="1:20" ht="26.45" customHeight="1" x14ac:dyDescent="0.2">
      <c r="A25" s="151"/>
      <c r="B25" s="151"/>
      <c r="C25" s="151"/>
      <c r="D25" s="151"/>
      <c r="E25" s="148"/>
      <c r="F25" s="149">
        <f t="shared" si="0"/>
        <v>0</v>
      </c>
      <c r="G25" s="149">
        <f>IF(B25="",0,SUMIF('Resource Build-Up'!$B$7:$B$306,B25,'Resource Build-Up'!$Z$7:$Z$306))</f>
        <v>0</v>
      </c>
      <c r="H25" s="151"/>
      <c r="I25" s="151"/>
      <c r="J25" s="151"/>
      <c r="K25" s="151"/>
      <c r="L25" s="150" t="str">
        <f t="shared" si="1"/>
        <v/>
      </c>
      <c r="M25" s="150" t="str">
        <f t="shared" si="2"/>
        <v/>
      </c>
      <c r="N25" s="150" t="str">
        <f t="shared" si="3"/>
        <v/>
      </c>
      <c r="O25" s="150" t="str">
        <f t="shared" si="4"/>
        <v/>
      </c>
      <c r="P25" s="150" t="str">
        <f>IF(B25="","",IF(COUNTIF('Resource Build-Up'!$B$7:$B$306,B25)=0,IF(G25=0,"ZERO / REVIEW","NO RESOURCE"),"RESOURCE LINKED"))</f>
        <v/>
      </c>
      <c r="Q25" s="151"/>
      <c r="R25" s="106" t="str">
        <f t="shared" si="5"/>
        <v>Rick</v>
      </c>
      <c r="S25" s="146" t="str">
        <f>IF(B25="","",IF(COUNTIF('Resource Build-Up'!$B$7:$B$306,B25)=0,"NO RESOURCE",IF(COUNTIFS('Resource Build-Up'!$B$7:$B$306,B25,'Resource Build-Up'!$AI$7:$AI$306,"&lt;&gt;OK")&gt;0,"RESOURCE QA","LINKED")))</f>
        <v/>
      </c>
      <c r="T25" s="140"/>
    </row>
    <row r="26" spans="1:20" ht="26.45" customHeight="1" x14ac:dyDescent="0.2">
      <c r="A26" s="147"/>
      <c r="B26" s="147"/>
      <c r="C26" s="147"/>
      <c r="D26" s="147"/>
      <c r="E26" s="148"/>
      <c r="F26" s="149">
        <f t="shared" si="0"/>
        <v>0</v>
      </c>
      <c r="G26" s="149">
        <f>IF(B26="",0,SUMIF('Resource Build-Up'!$B$7:$B$306,B26,'Resource Build-Up'!$Z$7:$Z$306))</f>
        <v>0</v>
      </c>
      <c r="H26" s="147"/>
      <c r="I26" s="147"/>
      <c r="J26" s="147"/>
      <c r="K26" s="147"/>
      <c r="L26" s="150" t="str">
        <f t="shared" si="1"/>
        <v/>
      </c>
      <c r="M26" s="150" t="str">
        <f t="shared" si="2"/>
        <v/>
      </c>
      <c r="N26" s="150" t="str">
        <f t="shared" si="3"/>
        <v/>
      </c>
      <c r="O26" s="150" t="str">
        <f t="shared" si="4"/>
        <v/>
      </c>
      <c r="P26" s="150" t="str">
        <f>IF(B26="","",IF(COUNTIF('Resource Build-Up'!$B$7:$B$306,B26)=0,IF(G26=0,"ZERO / REVIEW","NO RESOURCE"),"RESOURCE LINKED"))</f>
        <v/>
      </c>
      <c r="Q26" s="147"/>
      <c r="R26" s="106" t="str">
        <f t="shared" si="5"/>
        <v>Rick</v>
      </c>
      <c r="S26" s="146" t="str">
        <f>IF(B26="","",IF(COUNTIF('Resource Build-Up'!$B$7:$B$306,B26)=0,"NO RESOURCE",IF(COUNTIFS('Resource Build-Up'!$B$7:$B$306,B26,'Resource Build-Up'!$AI$7:$AI$306,"&lt;&gt;OK")&gt;0,"RESOURCE QA","LINKED")))</f>
        <v/>
      </c>
      <c r="T26" s="140"/>
    </row>
    <row r="27" spans="1:20" ht="26.45" customHeight="1" x14ac:dyDescent="0.2">
      <c r="A27" s="151"/>
      <c r="B27" s="151"/>
      <c r="C27" s="151"/>
      <c r="D27" s="151"/>
      <c r="E27" s="148"/>
      <c r="F27" s="149">
        <f t="shared" si="0"/>
        <v>0</v>
      </c>
      <c r="G27" s="149">
        <f>IF(B27="",0,SUMIF('Resource Build-Up'!$B$7:$B$306,B27,'Resource Build-Up'!$Z$7:$Z$306))</f>
        <v>0</v>
      </c>
      <c r="H27" s="151"/>
      <c r="I27" s="151"/>
      <c r="J27" s="151"/>
      <c r="K27" s="151"/>
      <c r="L27" s="150" t="str">
        <f t="shared" si="1"/>
        <v/>
      </c>
      <c r="M27" s="150" t="str">
        <f t="shared" si="2"/>
        <v/>
      </c>
      <c r="N27" s="150" t="str">
        <f t="shared" si="3"/>
        <v/>
      </c>
      <c r="O27" s="150" t="str">
        <f t="shared" si="4"/>
        <v/>
      </c>
      <c r="P27" s="150" t="str">
        <f>IF(B27="","",IF(COUNTIF('Resource Build-Up'!$B$7:$B$306,B27)=0,IF(G27=0,"ZERO / REVIEW","NO RESOURCE"),"RESOURCE LINKED"))</f>
        <v/>
      </c>
      <c r="Q27" s="151"/>
      <c r="R27" s="106" t="str">
        <f t="shared" si="5"/>
        <v>Rick</v>
      </c>
      <c r="S27" s="146" t="str">
        <f>IF(B27="","",IF(COUNTIF('Resource Build-Up'!$B$7:$B$306,B27)=0,"NO RESOURCE",IF(COUNTIFS('Resource Build-Up'!$B$7:$B$306,B27,'Resource Build-Up'!$AI$7:$AI$306,"&lt;&gt;OK")&gt;0,"RESOURCE QA","LINKED")))</f>
        <v/>
      </c>
      <c r="T27" s="140"/>
    </row>
    <row r="28" spans="1:20" ht="26.45" customHeight="1" x14ac:dyDescent="0.2">
      <c r="A28" s="33"/>
      <c r="B28" s="34"/>
      <c r="C28" s="34"/>
      <c r="D28" s="34"/>
      <c r="E28" s="17"/>
      <c r="F28" s="69">
        <f t="shared" si="0"/>
        <v>0</v>
      </c>
      <c r="G28" s="18">
        <f>IF(B28="",0,SUMIF('Resource Build-Up'!$B$7:$B$306,B28,'Resource Build-Up'!$Z$7:$Z$306))</f>
        <v>0</v>
      </c>
      <c r="H28" s="34"/>
      <c r="I28" s="34"/>
      <c r="J28" s="34"/>
      <c r="K28" s="34"/>
      <c r="L28" s="70" t="str">
        <f t="shared" si="1"/>
        <v/>
      </c>
      <c r="M28" s="71" t="str">
        <f t="shared" si="2"/>
        <v/>
      </c>
      <c r="N28" s="71" t="str">
        <f t="shared" si="3"/>
        <v/>
      </c>
      <c r="O28" s="71" t="str">
        <f t="shared" si="4"/>
        <v/>
      </c>
      <c r="P28" s="70" t="str">
        <f>IF(B28="","",IF(COUNTIF('Resource Build-Up'!$B$7:$B$306,B28)=0,IF(G28=0,"ZERO / REVIEW","NO RESOURCE"),"RESOURCE LINKED"))</f>
        <v/>
      </c>
      <c r="Q28" s="34"/>
      <c r="R28" s="106" t="str">
        <f t="shared" si="5"/>
        <v>Rick</v>
      </c>
      <c r="S28" s="146" t="str">
        <f>IF(B28="","",IF(COUNTIF('Resource Build-Up'!$B$7:$B$306,B28)=0,"NO RESOURCE",IF(COUNTIFS('Resource Build-Up'!$B$7:$B$306,B28,'Resource Build-Up'!$AI$7:$AI$306,"&lt;&gt;OK")&gt;0,"RESOURCE QA","LINKED")))</f>
        <v/>
      </c>
      <c r="T28" s="140"/>
    </row>
    <row r="29" spans="1:20" ht="26.45" customHeight="1" x14ac:dyDescent="0.2">
      <c r="A29" s="156"/>
      <c r="B29" s="156"/>
      <c r="C29" s="156"/>
      <c r="D29" s="156"/>
      <c r="E29" s="154"/>
      <c r="F29" s="155">
        <f t="shared" si="0"/>
        <v>0</v>
      </c>
      <c r="G29" s="155">
        <f>IF(B29="",0,SUMIF('Resource Build-Up'!$B$7:$B$306,B29,'Resource Build-Up'!$Z$7:$Z$306))</f>
        <v>0</v>
      </c>
      <c r="H29" s="156"/>
      <c r="I29" s="156"/>
      <c r="J29" s="156"/>
      <c r="K29" s="156"/>
      <c r="L29" s="146" t="str">
        <f t="shared" si="1"/>
        <v/>
      </c>
      <c r="M29" s="146" t="str">
        <f t="shared" si="2"/>
        <v/>
      </c>
      <c r="N29" s="146" t="str">
        <f t="shared" si="3"/>
        <v/>
      </c>
      <c r="O29" s="146" t="str">
        <f t="shared" si="4"/>
        <v/>
      </c>
      <c r="P29" s="146" t="str">
        <f>IF(B29="","",IF(COUNTIF('Resource Build-Up'!$B$7:$B$306,B29)=0,IF(G29=0,"ZERO / REVIEW","NO RESOURCE"),"RESOURCE LINKED"))</f>
        <v/>
      </c>
      <c r="Q29" s="156"/>
      <c r="R29" s="106" t="str">
        <f t="shared" si="5"/>
        <v>Rick</v>
      </c>
      <c r="S29" s="146" t="str">
        <f>IF(B29="","",IF(COUNTIF('Resource Build-Up'!$B$7:$B$306,B29)=0,"NO RESOURCE",IF(COUNTIFS('Resource Build-Up'!$B$7:$B$306,B29,'Resource Build-Up'!$AI$7:$AI$306,"&lt;&gt;OK")&gt;0,"RESOURCE QA","LINKED")))</f>
        <v/>
      </c>
      <c r="T29" s="140"/>
    </row>
    <row r="30" spans="1:20" ht="26.45" customHeight="1" x14ac:dyDescent="0.2">
      <c r="A30" s="33"/>
      <c r="B30" s="34"/>
      <c r="C30" s="34"/>
      <c r="D30" s="34"/>
      <c r="E30" s="17"/>
      <c r="F30" s="69">
        <f t="shared" si="0"/>
        <v>0</v>
      </c>
      <c r="G30" s="69">
        <f>IF(B30="",0,SUMIF('Resource Build-Up'!$B$7:$B$306,B30,'Resource Build-Up'!$Z$7:$Z$306))</f>
        <v>0</v>
      </c>
      <c r="H30" s="34"/>
      <c r="I30" s="34"/>
      <c r="J30" s="34"/>
      <c r="K30" s="34"/>
      <c r="L30" s="71" t="str">
        <f t="shared" si="1"/>
        <v/>
      </c>
      <c r="M30" s="71" t="str">
        <f t="shared" si="2"/>
        <v/>
      </c>
      <c r="N30" s="71" t="str">
        <f t="shared" si="3"/>
        <v/>
      </c>
      <c r="O30" s="71" t="str">
        <f t="shared" si="4"/>
        <v/>
      </c>
      <c r="P30" s="71" t="str">
        <f>IF(B30="","",IF(COUNTIF('Resource Build-Up'!$B$7:$B$306,B30)=0,IF(G30=0,"ZERO / REVIEW","NO RESOURCE"),"RESOURCE LINKED"))</f>
        <v/>
      </c>
      <c r="Q30" s="34"/>
      <c r="R30" s="106" t="str">
        <f t="shared" si="5"/>
        <v>Rick</v>
      </c>
      <c r="S30" s="146" t="str">
        <f>IF(B30="","",IF(COUNTIF('Resource Build-Up'!$B$7:$B$306,B30)=0,"NO RESOURCE",IF(COUNTIFS('Resource Build-Up'!$B$7:$B$306,B30,'Resource Build-Up'!$AI$7:$AI$306,"&lt;&gt;OK")&gt;0,"RESOURCE QA","LINKED")))</f>
        <v/>
      </c>
      <c r="T30" s="140"/>
    </row>
    <row r="31" spans="1:20" ht="26.45" customHeight="1" x14ac:dyDescent="0.2">
      <c r="A31" s="151"/>
      <c r="B31" s="151"/>
      <c r="C31" s="151"/>
      <c r="D31" s="151"/>
      <c r="E31" s="148"/>
      <c r="F31" s="149">
        <f t="shared" si="0"/>
        <v>0</v>
      </c>
      <c r="G31" s="149">
        <f>IF(B31="",0,SUMIF('Resource Build-Up'!$B$7:$B$306,B31,'Resource Build-Up'!$Z$7:$Z$306))</f>
        <v>0</v>
      </c>
      <c r="H31" s="151"/>
      <c r="I31" s="151"/>
      <c r="J31" s="151"/>
      <c r="K31" s="151"/>
      <c r="L31" s="150" t="str">
        <f t="shared" si="1"/>
        <v/>
      </c>
      <c r="M31" s="150" t="str">
        <f t="shared" si="2"/>
        <v/>
      </c>
      <c r="N31" s="150" t="str">
        <f t="shared" si="3"/>
        <v/>
      </c>
      <c r="O31" s="150" t="str">
        <f t="shared" si="4"/>
        <v/>
      </c>
      <c r="P31" s="150" t="str">
        <f>IF(B31="","",IF(COUNTIF('Resource Build-Up'!$B$7:$B$306,B31)=0,IF(G31=0,"ZERO / REVIEW","NO RESOURCE"),"RESOURCE LINKED"))</f>
        <v/>
      </c>
      <c r="Q31" s="151"/>
      <c r="R31" s="106" t="str">
        <f t="shared" si="5"/>
        <v>Rick</v>
      </c>
      <c r="S31" s="146" t="str">
        <f>IF(B31="","",IF(COUNTIF('Resource Build-Up'!$B$7:$B$306,B31)=0,"NO RESOURCE",IF(COUNTIFS('Resource Build-Up'!$B$7:$B$306,B31,'Resource Build-Up'!$AI$7:$AI$306,"&lt;&gt;OK")&gt;0,"RESOURCE QA","LINKED")))</f>
        <v/>
      </c>
      <c r="T31" s="140"/>
    </row>
    <row r="32" spans="1:20" ht="26.45" customHeight="1" x14ac:dyDescent="0.2">
      <c r="A32" s="147"/>
      <c r="B32" s="147"/>
      <c r="C32" s="147"/>
      <c r="D32" s="147"/>
      <c r="E32" s="148"/>
      <c r="F32" s="149">
        <f t="shared" si="0"/>
        <v>0</v>
      </c>
      <c r="G32" s="149">
        <f>IF(B32="",0,SUMIF('Resource Build-Up'!$B$7:$B$306,B32,'Resource Build-Up'!$Z$7:$Z$306))</f>
        <v>0</v>
      </c>
      <c r="H32" s="147"/>
      <c r="I32" s="147"/>
      <c r="J32" s="147"/>
      <c r="K32" s="147"/>
      <c r="L32" s="150" t="str">
        <f t="shared" si="1"/>
        <v/>
      </c>
      <c r="M32" s="150" t="str">
        <f t="shared" si="2"/>
        <v/>
      </c>
      <c r="N32" s="150" t="str">
        <f t="shared" si="3"/>
        <v/>
      </c>
      <c r="O32" s="150" t="str">
        <f t="shared" si="4"/>
        <v/>
      </c>
      <c r="P32" s="150" t="str">
        <f>IF(B32="","",IF(COUNTIF('Resource Build-Up'!$B$7:$B$306,B32)=0,IF(G32=0,"ZERO / REVIEW","NO RESOURCE"),"RESOURCE LINKED"))</f>
        <v/>
      </c>
      <c r="Q32" s="147"/>
      <c r="R32" s="106" t="str">
        <f t="shared" si="5"/>
        <v>Rick</v>
      </c>
      <c r="S32" s="146" t="str">
        <f>IF(B32="","",IF(COUNTIF('Resource Build-Up'!$B$7:$B$306,B32)=0,"NO RESOURCE",IF(COUNTIFS('Resource Build-Up'!$B$7:$B$306,B32,'Resource Build-Up'!$AI$7:$AI$306,"&lt;&gt;OK")&gt;0,"RESOURCE QA","LINKED")))</f>
        <v/>
      </c>
      <c r="T32" s="140"/>
    </row>
    <row r="33" spans="1:20" ht="26.45" customHeight="1" x14ac:dyDescent="0.2">
      <c r="A33" s="151"/>
      <c r="B33" s="151"/>
      <c r="C33" s="151"/>
      <c r="D33" s="151"/>
      <c r="E33" s="148"/>
      <c r="F33" s="149">
        <f t="shared" ref="F33:F63" si="6">IF(OR(B33="",E33=0),0,G33/E33)</f>
        <v>0</v>
      </c>
      <c r="G33" s="149">
        <f>IF(B33="",0,SUMIF('Resource Build-Up'!$B$7:$B$306,B33,'Resource Build-Up'!$Z$7:$Z$306))</f>
        <v>0</v>
      </c>
      <c r="H33" s="151"/>
      <c r="I33" s="151"/>
      <c r="J33" s="151"/>
      <c r="K33" s="151"/>
      <c r="L33" s="150" t="str">
        <f t="shared" ref="L33:L63" si="7">IF(B33="","",IF(J33="Excluded","Excluded","Resource-linked"))</f>
        <v/>
      </c>
      <c r="M33" s="150" t="str">
        <f t="shared" ref="M33:M63" si="8">IF(B33="","",IF(G33=0,"No resource cost / review","Resource Build-Up -&gt; "&amp;B33))</f>
        <v/>
      </c>
      <c r="N33" s="150" t="str">
        <f t="shared" ref="N33:N63" si="9">IF(B33="","","Resource Build-Up")</f>
        <v/>
      </c>
      <c r="O33" s="150" t="str">
        <f t="shared" ref="O33:O63" si="10">IF(B33="","","See Resource Build-Up / Resource Rate Library")</f>
        <v/>
      </c>
      <c r="P33" s="150" t="str">
        <f>IF(B33="","",IF(COUNTIF('Resource Build-Up'!$B$7:$B$306,B33)=0,IF(G33=0,"ZERO / REVIEW","NO RESOURCE"),"RESOURCE LINKED"))</f>
        <v/>
      </c>
      <c r="Q33" s="151"/>
      <c r="R33" s="106" t="str">
        <f t="shared" ref="R33:R63" si="11">IF(OR(ISNUMBER(SEARCH("PC",P33)),ISNUMBER(SEARCH("quote",Q33))),"Jason","Rick")</f>
        <v>Rick</v>
      </c>
      <c r="S33" s="146" t="str">
        <f>IF(B33="","",IF(COUNTIF('Resource Build-Up'!$B$7:$B$306,B33)=0,"NO RESOURCE",IF(COUNTIFS('Resource Build-Up'!$B$7:$B$306,B33,'Resource Build-Up'!$AI$7:$AI$306,"&lt;&gt;OK")&gt;0,"RESOURCE QA","LINKED")))</f>
        <v/>
      </c>
      <c r="T33" s="140"/>
    </row>
    <row r="34" spans="1:20" ht="26.45" customHeight="1" x14ac:dyDescent="0.2">
      <c r="A34" s="33"/>
      <c r="B34" s="33"/>
      <c r="C34" s="33"/>
      <c r="D34" s="33"/>
      <c r="E34" s="152"/>
      <c r="F34" s="18">
        <f t="shared" si="6"/>
        <v>0</v>
      </c>
      <c r="G34" s="18">
        <f>IF(B34="",0,SUMIF('Resource Build-Up'!$B$7:$B$306,B34,'Resource Build-Up'!$Z$7:$Z$306))</f>
        <v>0</v>
      </c>
      <c r="H34" s="33"/>
      <c r="I34" s="33"/>
      <c r="J34" s="33"/>
      <c r="K34" s="33"/>
      <c r="L34" s="70" t="str">
        <f t="shared" si="7"/>
        <v/>
      </c>
      <c r="M34" s="70" t="str">
        <f t="shared" si="8"/>
        <v/>
      </c>
      <c r="N34" s="70" t="str">
        <f t="shared" si="9"/>
        <v/>
      </c>
      <c r="O34" s="70" t="str">
        <f t="shared" si="10"/>
        <v/>
      </c>
      <c r="P34" s="70" t="str">
        <f>IF(B34="","",IF(COUNTIF('Resource Build-Up'!$B$7:$B$306,B34)=0,IF(G34=0,"ZERO / REVIEW","NO RESOURCE"),"RESOURCE LINKED"))</f>
        <v/>
      </c>
      <c r="Q34" s="33"/>
      <c r="R34" s="106" t="str">
        <f t="shared" si="11"/>
        <v>Rick</v>
      </c>
      <c r="S34" s="146" t="str">
        <f>IF(B34="","",IF(COUNTIF('Resource Build-Up'!$B$7:$B$306,B34)=0,"NO RESOURCE",IF(COUNTIFS('Resource Build-Up'!$B$7:$B$306,B34,'Resource Build-Up'!$AI$7:$AI$306,"&lt;&gt;OK")&gt;0,"RESOURCE QA","LINKED")))</f>
        <v/>
      </c>
      <c r="T34" s="140"/>
    </row>
    <row r="35" spans="1:20" ht="26.45" customHeight="1" x14ac:dyDescent="0.2">
      <c r="A35" s="35"/>
      <c r="B35" s="35"/>
      <c r="C35" s="35"/>
      <c r="D35" s="35"/>
      <c r="E35" s="152"/>
      <c r="F35" s="18">
        <f t="shared" si="6"/>
        <v>0</v>
      </c>
      <c r="G35" s="18">
        <f>IF(B35="",0,SUMIF('Resource Build-Up'!$B$7:$B$306,B35,'Resource Build-Up'!$Z$7:$Z$306))</f>
        <v>0</v>
      </c>
      <c r="H35" s="35"/>
      <c r="I35" s="35"/>
      <c r="J35" s="35"/>
      <c r="K35" s="35"/>
      <c r="L35" s="70" t="str">
        <f t="shared" si="7"/>
        <v/>
      </c>
      <c r="M35" s="70" t="str">
        <f t="shared" si="8"/>
        <v/>
      </c>
      <c r="N35" s="70" t="str">
        <f t="shared" si="9"/>
        <v/>
      </c>
      <c r="O35" s="70" t="str">
        <f t="shared" si="10"/>
        <v/>
      </c>
      <c r="P35" s="70" t="str">
        <f>IF(B35="","",IF(COUNTIF('Resource Build-Up'!$B$7:$B$306,B35)=0,IF(G35=0,"ZERO / REVIEW","NO RESOURCE"),"RESOURCE LINKED"))</f>
        <v/>
      </c>
      <c r="Q35" s="35"/>
      <c r="R35" s="106" t="str">
        <f t="shared" si="11"/>
        <v>Rick</v>
      </c>
      <c r="S35" s="146" t="str">
        <f>IF(B35="","",IF(COUNTIF('Resource Build-Up'!$B$7:$B$306,B35)=0,"NO RESOURCE",IF(COUNTIFS('Resource Build-Up'!$B$7:$B$306,B35,'Resource Build-Up'!$AI$7:$AI$306,"&lt;&gt;OK")&gt;0,"RESOURCE QA","LINKED")))</f>
        <v/>
      </c>
      <c r="T35" s="140"/>
    </row>
    <row r="36" spans="1:20" ht="26.45" customHeight="1" x14ac:dyDescent="0.2">
      <c r="A36" s="147"/>
      <c r="B36" s="147"/>
      <c r="C36" s="147"/>
      <c r="D36" s="147"/>
      <c r="E36" s="148"/>
      <c r="F36" s="149">
        <f t="shared" si="6"/>
        <v>0</v>
      </c>
      <c r="G36" s="149">
        <f>IF(B36="",0,SUMIF('Resource Build-Up'!$B$7:$B$306,B36,'Resource Build-Up'!$Z$7:$Z$306))</f>
        <v>0</v>
      </c>
      <c r="H36" s="147"/>
      <c r="I36" s="147"/>
      <c r="J36" s="147"/>
      <c r="K36" s="147"/>
      <c r="L36" s="150" t="str">
        <f t="shared" si="7"/>
        <v/>
      </c>
      <c r="M36" s="150" t="str">
        <f t="shared" si="8"/>
        <v/>
      </c>
      <c r="N36" s="150" t="str">
        <f t="shared" si="9"/>
        <v/>
      </c>
      <c r="O36" s="150" t="str">
        <f t="shared" si="10"/>
        <v/>
      </c>
      <c r="P36" s="150" t="str">
        <f>IF(B36="","",IF(COUNTIF('Resource Build-Up'!$B$7:$B$306,B36)=0,IF(G36=0,"ZERO / REVIEW","NO RESOURCE"),"RESOURCE LINKED"))</f>
        <v/>
      </c>
      <c r="Q36" s="147"/>
      <c r="R36" s="106" t="str">
        <f t="shared" si="11"/>
        <v>Rick</v>
      </c>
      <c r="S36" s="146" t="str">
        <f>IF(B36="","",IF(COUNTIF('Resource Build-Up'!$B$7:$B$306,B36)=0,"NO RESOURCE",IF(COUNTIFS('Resource Build-Up'!$B$7:$B$306,B36,'Resource Build-Up'!$AI$7:$AI$306,"&lt;&gt;OK")&gt;0,"RESOURCE QA","LINKED")))</f>
        <v/>
      </c>
      <c r="T36" s="140"/>
    </row>
    <row r="37" spans="1:20" ht="26.45" customHeight="1" x14ac:dyDescent="0.2">
      <c r="A37" s="151"/>
      <c r="B37" s="151"/>
      <c r="C37" s="151"/>
      <c r="D37" s="151"/>
      <c r="E37" s="148"/>
      <c r="F37" s="149">
        <f t="shared" si="6"/>
        <v>0</v>
      </c>
      <c r="G37" s="149">
        <f>IF(B37="",0,SUMIF('Resource Build-Up'!$B$7:$B$306,B37,'Resource Build-Up'!$Z$7:$Z$306))</f>
        <v>0</v>
      </c>
      <c r="H37" s="151"/>
      <c r="I37" s="151"/>
      <c r="J37" s="151"/>
      <c r="K37" s="151"/>
      <c r="L37" s="150" t="str">
        <f t="shared" si="7"/>
        <v/>
      </c>
      <c r="M37" s="150" t="str">
        <f t="shared" si="8"/>
        <v/>
      </c>
      <c r="N37" s="150" t="str">
        <f t="shared" si="9"/>
        <v/>
      </c>
      <c r="O37" s="150" t="str">
        <f t="shared" si="10"/>
        <v/>
      </c>
      <c r="P37" s="150" t="str">
        <f>IF(B37="","",IF(COUNTIF('Resource Build-Up'!$B$7:$B$306,B37)=0,IF(G37=0,"ZERO / REVIEW","NO RESOURCE"),"RESOURCE LINKED"))</f>
        <v/>
      </c>
      <c r="Q37" s="151"/>
      <c r="R37" s="106" t="str">
        <f t="shared" si="11"/>
        <v>Rick</v>
      </c>
      <c r="S37" s="146" t="str">
        <f>IF(B37="","",IF(COUNTIF('Resource Build-Up'!$B$7:$B$306,B37)=0,"NO RESOURCE",IF(COUNTIFS('Resource Build-Up'!$B$7:$B$306,B37,'Resource Build-Up'!$AI$7:$AI$306,"&lt;&gt;OK")&gt;0,"RESOURCE QA","LINKED")))</f>
        <v/>
      </c>
      <c r="T37" s="140"/>
    </row>
    <row r="38" spans="1:20" ht="26.45" customHeight="1" x14ac:dyDescent="0.2">
      <c r="A38" s="147"/>
      <c r="B38" s="147"/>
      <c r="C38" s="147"/>
      <c r="D38" s="147"/>
      <c r="E38" s="148"/>
      <c r="F38" s="149">
        <f t="shared" si="6"/>
        <v>0</v>
      </c>
      <c r="G38" s="149">
        <f>IF(B38="",0,SUMIF('Resource Build-Up'!$B$7:$B$306,B38,'Resource Build-Up'!$Z$7:$Z$306))</f>
        <v>0</v>
      </c>
      <c r="H38" s="147"/>
      <c r="I38" s="147"/>
      <c r="J38" s="147"/>
      <c r="K38" s="147"/>
      <c r="L38" s="150" t="str">
        <f t="shared" si="7"/>
        <v/>
      </c>
      <c r="M38" s="150" t="str">
        <f t="shared" si="8"/>
        <v/>
      </c>
      <c r="N38" s="150" t="str">
        <f t="shared" si="9"/>
        <v/>
      </c>
      <c r="O38" s="150" t="str">
        <f t="shared" si="10"/>
        <v/>
      </c>
      <c r="P38" s="150" t="str">
        <f>IF(B38="","",IF(COUNTIF('Resource Build-Up'!$B$7:$B$306,B38)=0,IF(G38=0,"ZERO / REVIEW","NO RESOURCE"),"RESOURCE LINKED"))</f>
        <v/>
      </c>
      <c r="Q38" s="147"/>
      <c r="R38" s="106" t="str">
        <f t="shared" si="11"/>
        <v>Rick</v>
      </c>
      <c r="S38" s="146" t="str">
        <f>IF(B38="","",IF(COUNTIF('Resource Build-Up'!$B$7:$B$306,B38)=0,"NO RESOURCE",IF(COUNTIFS('Resource Build-Up'!$B$7:$B$306,B38,'Resource Build-Up'!$AI$7:$AI$306,"&lt;&gt;OK")&gt;0,"RESOURCE QA","LINKED")))</f>
        <v/>
      </c>
      <c r="T38" s="140"/>
    </row>
    <row r="39" spans="1:20" ht="26.45" customHeight="1" x14ac:dyDescent="0.2">
      <c r="A39" s="151"/>
      <c r="B39" s="151"/>
      <c r="C39" s="151"/>
      <c r="D39" s="151"/>
      <c r="E39" s="148"/>
      <c r="F39" s="149">
        <f t="shared" si="6"/>
        <v>0</v>
      </c>
      <c r="G39" s="149">
        <f>IF(B39="",0,SUMIF('Resource Build-Up'!$B$7:$B$306,B39,'Resource Build-Up'!$Z$7:$Z$306))</f>
        <v>0</v>
      </c>
      <c r="H39" s="151"/>
      <c r="I39" s="151"/>
      <c r="J39" s="151"/>
      <c r="K39" s="151"/>
      <c r="L39" s="150" t="str">
        <f t="shared" si="7"/>
        <v/>
      </c>
      <c r="M39" s="150" t="str">
        <f t="shared" si="8"/>
        <v/>
      </c>
      <c r="N39" s="150" t="str">
        <f t="shared" si="9"/>
        <v/>
      </c>
      <c r="O39" s="150" t="str">
        <f t="shared" si="10"/>
        <v/>
      </c>
      <c r="P39" s="150" t="str">
        <f>IF(B39="","",IF(COUNTIF('Resource Build-Up'!$B$7:$B$306,B39)=0,IF(G39=0,"ZERO / REVIEW","NO RESOURCE"),"RESOURCE LINKED"))</f>
        <v/>
      </c>
      <c r="Q39" s="151"/>
      <c r="R39" s="106" t="str">
        <f t="shared" si="11"/>
        <v>Rick</v>
      </c>
      <c r="S39" s="146" t="str">
        <f>IF(B39="","",IF(COUNTIF('Resource Build-Up'!$B$7:$B$306,B39)=0,"NO RESOURCE",IF(COUNTIFS('Resource Build-Up'!$B$7:$B$306,B39,'Resource Build-Up'!$AI$7:$AI$306,"&lt;&gt;OK")&gt;0,"RESOURCE QA","LINKED")))</f>
        <v/>
      </c>
      <c r="T39" s="140"/>
    </row>
    <row r="40" spans="1:20" ht="26.45" customHeight="1" x14ac:dyDescent="0.2">
      <c r="A40" s="147"/>
      <c r="B40" s="147"/>
      <c r="C40" s="147"/>
      <c r="D40" s="147"/>
      <c r="E40" s="148"/>
      <c r="F40" s="149">
        <f t="shared" si="6"/>
        <v>0</v>
      </c>
      <c r="G40" s="149">
        <f>IF(B40="",0,SUMIF('Resource Build-Up'!$B$7:$B$306,B40,'Resource Build-Up'!$Z$7:$Z$306))</f>
        <v>0</v>
      </c>
      <c r="H40" s="147"/>
      <c r="I40" s="147"/>
      <c r="J40" s="147"/>
      <c r="K40" s="147"/>
      <c r="L40" s="150" t="str">
        <f t="shared" si="7"/>
        <v/>
      </c>
      <c r="M40" s="150" t="str">
        <f t="shared" si="8"/>
        <v/>
      </c>
      <c r="N40" s="150" t="str">
        <f t="shared" si="9"/>
        <v/>
      </c>
      <c r="O40" s="150" t="str">
        <f t="shared" si="10"/>
        <v/>
      </c>
      <c r="P40" s="150" t="str">
        <f>IF(B40="","",IF(COUNTIF('Resource Build-Up'!$B$7:$B$306,B40)=0,IF(G40=0,"ZERO / REVIEW","NO RESOURCE"),"RESOURCE LINKED"))</f>
        <v/>
      </c>
      <c r="Q40" s="147"/>
      <c r="R40" s="106" t="str">
        <f t="shared" si="11"/>
        <v>Rick</v>
      </c>
      <c r="S40" s="146" t="str">
        <f>IF(B40="","",IF(COUNTIF('Resource Build-Up'!$B$7:$B$306,B40)=0,"NO RESOURCE",IF(COUNTIFS('Resource Build-Up'!$B$7:$B$306,B40,'Resource Build-Up'!$AI$7:$AI$306,"&lt;&gt;OK")&gt;0,"RESOURCE QA","LINKED")))</f>
        <v/>
      </c>
      <c r="T40" s="140"/>
    </row>
    <row r="41" spans="1:20" ht="26.45" customHeight="1" x14ac:dyDescent="0.2">
      <c r="A41" s="151"/>
      <c r="B41" s="151"/>
      <c r="C41" s="151"/>
      <c r="D41" s="151"/>
      <c r="E41" s="148"/>
      <c r="F41" s="149">
        <f t="shared" si="6"/>
        <v>0</v>
      </c>
      <c r="G41" s="149">
        <f>IF(B41="",0,SUMIF('Resource Build-Up'!$B$7:$B$306,B41,'Resource Build-Up'!$Z$7:$Z$306))</f>
        <v>0</v>
      </c>
      <c r="H41" s="151"/>
      <c r="I41" s="151"/>
      <c r="J41" s="151"/>
      <c r="K41" s="151"/>
      <c r="L41" s="150" t="str">
        <f t="shared" si="7"/>
        <v/>
      </c>
      <c r="M41" s="150" t="str">
        <f t="shared" si="8"/>
        <v/>
      </c>
      <c r="N41" s="150" t="str">
        <f t="shared" si="9"/>
        <v/>
      </c>
      <c r="O41" s="150" t="str">
        <f t="shared" si="10"/>
        <v/>
      </c>
      <c r="P41" s="150" t="str">
        <f>IF(B41="","",IF(COUNTIF('Resource Build-Up'!$B$7:$B$306,B41)=0,IF(G41=0,"ZERO / REVIEW","NO RESOURCE"),"RESOURCE LINKED"))</f>
        <v/>
      </c>
      <c r="Q41" s="151"/>
      <c r="R41" s="106" t="str">
        <f t="shared" si="11"/>
        <v>Rick</v>
      </c>
      <c r="S41" s="146" t="str">
        <f>IF(B41="","",IF(COUNTIF('Resource Build-Up'!$B$7:$B$306,B41)=0,"NO RESOURCE",IF(COUNTIFS('Resource Build-Up'!$B$7:$B$306,B41,'Resource Build-Up'!$AI$7:$AI$306,"&lt;&gt;OK")&gt;0,"RESOURCE QA","LINKED")))</f>
        <v/>
      </c>
      <c r="T41" s="140"/>
    </row>
    <row r="42" spans="1:20" ht="26.45" customHeight="1" x14ac:dyDescent="0.2">
      <c r="A42" s="33"/>
      <c r="B42" s="34"/>
      <c r="C42" s="34"/>
      <c r="D42" s="34"/>
      <c r="E42" s="17"/>
      <c r="F42" s="69">
        <f t="shared" si="6"/>
        <v>0</v>
      </c>
      <c r="G42" s="18">
        <f>IF(B42="",0,SUMIF('Resource Build-Up'!$B$7:$B$306,B42,'Resource Build-Up'!$Z$7:$Z$306))</f>
        <v>0</v>
      </c>
      <c r="H42" s="34"/>
      <c r="I42" s="34"/>
      <c r="J42" s="34"/>
      <c r="K42" s="34"/>
      <c r="L42" s="70" t="str">
        <f t="shared" si="7"/>
        <v/>
      </c>
      <c r="M42" s="71" t="str">
        <f t="shared" si="8"/>
        <v/>
      </c>
      <c r="N42" s="71" t="str">
        <f t="shared" si="9"/>
        <v/>
      </c>
      <c r="O42" s="71" t="str">
        <f t="shared" si="10"/>
        <v/>
      </c>
      <c r="P42" s="70" t="str">
        <f>IF(B42="","",IF(COUNTIF('Resource Build-Up'!$B$7:$B$306,B42)=0,IF(G42=0,"ZERO / REVIEW","NO RESOURCE"),"RESOURCE LINKED"))</f>
        <v/>
      </c>
      <c r="Q42" s="34"/>
      <c r="R42" s="106" t="str">
        <f t="shared" si="11"/>
        <v>Rick</v>
      </c>
      <c r="S42" s="146" t="str">
        <f>IF(B42="","",IF(COUNTIF('Resource Build-Up'!$B$7:$B$306,B42)=0,"NO RESOURCE",IF(COUNTIFS('Resource Build-Up'!$B$7:$B$306,B42,'Resource Build-Up'!$AI$7:$AI$306,"&lt;&gt;OK")&gt;0,"RESOURCE QA","LINKED")))</f>
        <v/>
      </c>
      <c r="T42" s="140"/>
    </row>
    <row r="43" spans="1:20" ht="26.45" customHeight="1" x14ac:dyDescent="0.2">
      <c r="A43" s="156"/>
      <c r="B43" s="156"/>
      <c r="C43" s="156"/>
      <c r="D43" s="156"/>
      <c r="E43" s="154"/>
      <c r="F43" s="155">
        <f t="shared" si="6"/>
        <v>0</v>
      </c>
      <c r="G43" s="155">
        <f>IF(B43="",0,SUMIF('Resource Build-Up'!$B$7:$B$306,B43,'Resource Build-Up'!$Z$7:$Z$306))</f>
        <v>0</v>
      </c>
      <c r="H43" s="156"/>
      <c r="I43" s="156"/>
      <c r="J43" s="156"/>
      <c r="K43" s="156"/>
      <c r="L43" s="146" t="str">
        <f t="shared" si="7"/>
        <v/>
      </c>
      <c r="M43" s="146" t="str">
        <f t="shared" si="8"/>
        <v/>
      </c>
      <c r="N43" s="146" t="str">
        <f t="shared" si="9"/>
        <v/>
      </c>
      <c r="O43" s="146" t="str">
        <f t="shared" si="10"/>
        <v/>
      </c>
      <c r="P43" s="146" t="str">
        <f>IF(B43="","",IF(COUNTIF('Resource Build-Up'!$B$7:$B$306,B43)=0,IF(G43=0,"ZERO / REVIEW","NO RESOURCE"),"RESOURCE LINKED"))</f>
        <v/>
      </c>
      <c r="Q43" s="156"/>
      <c r="R43" s="106" t="str">
        <f t="shared" si="11"/>
        <v>Rick</v>
      </c>
      <c r="S43" s="146" t="str">
        <f>IF(B43="","",IF(COUNTIF('Resource Build-Up'!$B$7:$B$306,B43)=0,"NO RESOURCE",IF(COUNTIFS('Resource Build-Up'!$B$7:$B$306,B43,'Resource Build-Up'!$AI$7:$AI$306,"&lt;&gt;OK")&gt;0,"RESOURCE QA","LINKED")))</f>
        <v/>
      </c>
      <c r="T43" s="140"/>
    </row>
    <row r="44" spans="1:20" ht="26.45" customHeight="1" x14ac:dyDescent="0.2">
      <c r="A44" s="33"/>
      <c r="B44" s="34"/>
      <c r="C44" s="34"/>
      <c r="D44" s="34"/>
      <c r="E44" s="17"/>
      <c r="F44" s="69">
        <f t="shared" si="6"/>
        <v>0</v>
      </c>
      <c r="G44" s="69">
        <f>IF(B44="",0,SUMIF('Resource Build-Up'!$B$7:$B$306,B44,'Resource Build-Up'!$Z$7:$Z$306))</f>
        <v>0</v>
      </c>
      <c r="H44" s="34"/>
      <c r="I44" s="34"/>
      <c r="J44" s="34"/>
      <c r="K44" s="34"/>
      <c r="L44" s="71" t="str">
        <f t="shared" si="7"/>
        <v/>
      </c>
      <c r="M44" s="71" t="str">
        <f t="shared" si="8"/>
        <v/>
      </c>
      <c r="N44" s="71" t="str">
        <f t="shared" si="9"/>
        <v/>
      </c>
      <c r="O44" s="71" t="str">
        <f t="shared" si="10"/>
        <v/>
      </c>
      <c r="P44" s="71" t="str">
        <f>IF(B44="","",IF(COUNTIF('Resource Build-Up'!$B$7:$B$306,B44)=0,IF(G44=0,"ZERO / REVIEW","NO RESOURCE"),"RESOURCE LINKED"))</f>
        <v/>
      </c>
      <c r="Q44" s="34"/>
      <c r="R44" s="106" t="str">
        <f t="shared" si="11"/>
        <v>Rick</v>
      </c>
      <c r="S44" s="146" t="str">
        <f>IF(B44="","",IF(COUNTIF('Resource Build-Up'!$B$7:$B$306,B44)=0,"NO RESOURCE",IF(COUNTIFS('Resource Build-Up'!$B$7:$B$306,B44,'Resource Build-Up'!$AI$7:$AI$306,"&lt;&gt;OK")&gt;0,"RESOURCE QA","LINKED")))</f>
        <v/>
      </c>
      <c r="T44" s="140"/>
    </row>
    <row r="45" spans="1:20" ht="26.45" customHeight="1" x14ac:dyDescent="0.2">
      <c r="A45" s="35"/>
      <c r="B45" s="35"/>
      <c r="C45" s="35"/>
      <c r="D45" s="35"/>
      <c r="E45" s="152"/>
      <c r="F45" s="18">
        <f t="shared" si="6"/>
        <v>0</v>
      </c>
      <c r="G45" s="18">
        <f>IF(B45="",0,SUMIF('Resource Build-Up'!$B$7:$B$306,B45,'Resource Build-Up'!$Z$7:$Z$306))</f>
        <v>0</v>
      </c>
      <c r="H45" s="35"/>
      <c r="I45" s="35"/>
      <c r="J45" s="35"/>
      <c r="K45" s="35"/>
      <c r="L45" s="70" t="str">
        <f t="shared" si="7"/>
        <v/>
      </c>
      <c r="M45" s="70" t="str">
        <f t="shared" si="8"/>
        <v/>
      </c>
      <c r="N45" s="70" t="str">
        <f t="shared" si="9"/>
        <v/>
      </c>
      <c r="O45" s="70" t="str">
        <f t="shared" si="10"/>
        <v/>
      </c>
      <c r="P45" s="70" t="str">
        <f>IF(B45="","",IF(COUNTIF('Resource Build-Up'!$B$7:$B$306,B45)=0,IF(G45=0,"ZERO / REVIEW","NO RESOURCE"),"RESOURCE LINKED"))</f>
        <v/>
      </c>
      <c r="Q45" s="35"/>
      <c r="R45" s="106" t="str">
        <f t="shared" si="11"/>
        <v>Rick</v>
      </c>
      <c r="S45" s="146" t="str">
        <f>IF(B45="","",IF(COUNTIF('Resource Build-Up'!$B$7:$B$306,B45)=0,"NO RESOURCE",IF(COUNTIFS('Resource Build-Up'!$B$7:$B$306,B45,'Resource Build-Up'!$AI$7:$AI$306,"&lt;&gt;OK")&gt;0,"RESOURCE QA","LINKED")))</f>
        <v/>
      </c>
      <c r="T45" s="140"/>
    </row>
    <row r="46" spans="1:20" ht="26.45" customHeight="1" x14ac:dyDescent="0.2">
      <c r="A46" s="147"/>
      <c r="B46" s="147"/>
      <c r="C46" s="147"/>
      <c r="D46" s="147"/>
      <c r="E46" s="148"/>
      <c r="F46" s="149">
        <f t="shared" si="6"/>
        <v>0</v>
      </c>
      <c r="G46" s="149">
        <f>IF(B46="",0,SUMIF('Resource Build-Up'!$B$7:$B$306,B46,'Resource Build-Up'!$Z$7:$Z$306))</f>
        <v>0</v>
      </c>
      <c r="H46" s="147"/>
      <c r="I46" s="147"/>
      <c r="J46" s="147"/>
      <c r="K46" s="147"/>
      <c r="L46" s="150" t="str">
        <f t="shared" si="7"/>
        <v/>
      </c>
      <c r="M46" s="150" t="str">
        <f t="shared" si="8"/>
        <v/>
      </c>
      <c r="N46" s="150" t="str">
        <f t="shared" si="9"/>
        <v/>
      </c>
      <c r="O46" s="150" t="str">
        <f t="shared" si="10"/>
        <v/>
      </c>
      <c r="P46" s="150" t="str">
        <f>IF(B46="","",IF(COUNTIF('Resource Build-Up'!$B$7:$B$306,B46)=0,IF(G46=0,"ZERO / REVIEW","NO RESOURCE"),"RESOURCE LINKED"))</f>
        <v/>
      </c>
      <c r="Q46" s="147"/>
      <c r="R46" s="106" t="str">
        <f t="shared" si="11"/>
        <v>Rick</v>
      </c>
      <c r="S46" s="146" t="str">
        <f>IF(B46="","",IF(COUNTIF('Resource Build-Up'!$B$7:$B$306,B46)=0,"NO RESOURCE",IF(COUNTIFS('Resource Build-Up'!$B$7:$B$306,B46,'Resource Build-Up'!$AI$7:$AI$306,"&lt;&gt;OK")&gt;0,"RESOURCE QA","LINKED")))</f>
        <v/>
      </c>
      <c r="T46" s="140"/>
    </row>
    <row r="47" spans="1:20" ht="26.45" customHeight="1" x14ac:dyDescent="0.2">
      <c r="A47" s="151"/>
      <c r="B47" s="151"/>
      <c r="C47" s="151"/>
      <c r="D47" s="151"/>
      <c r="E47" s="148"/>
      <c r="F47" s="149">
        <f t="shared" si="6"/>
        <v>0</v>
      </c>
      <c r="G47" s="149">
        <f>IF(B47="",0,SUMIF('Resource Build-Up'!$B$7:$B$306,B47,'Resource Build-Up'!$Z$7:$Z$306))</f>
        <v>0</v>
      </c>
      <c r="H47" s="151"/>
      <c r="I47" s="151"/>
      <c r="J47" s="151"/>
      <c r="K47" s="151"/>
      <c r="L47" s="150" t="str">
        <f t="shared" si="7"/>
        <v/>
      </c>
      <c r="M47" s="150" t="str">
        <f t="shared" si="8"/>
        <v/>
      </c>
      <c r="N47" s="150" t="str">
        <f t="shared" si="9"/>
        <v/>
      </c>
      <c r="O47" s="150" t="str">
        <f t="shared" si="10"/>
        <v/>
      </c>
      <c r="P47" s="150" t="str">
        <f>IF(B47="","",IF(COUNTIF('Resource Build-Up'!$B$7:$B$306,B47)=0,IF(G47=0,"ZERO / REVIEW","NO RESOURCE"),"RESOURCE LINKED"))</f>
        <v/>
      </c>
      <c r="Q47" s="151"/>
      <c r="R47" s="106" t="str">
        <f t="shared" si="11"/>
        <v>Rick</v>
      </c>
      <c r="S47" s="146" t="str">
        <f>IF(B47="","",IF(COUNTIF('Resource Build-Up'!$B$7:$B$306,B47)=0,"NO RESOURCE",IF(COUNTIFS('Resource Build-Up'!$B$7:$B$306,B47,'Resource Build-Up'!$AI$7:$AI$306,"&lt;&gt;OK")&gt;0,"RESOURCE QA","LINKED")))</f>
        <v/>
      </c>
      <c r="T47" s="140"/>
    </row>
    <row r="48" spans="1:20" ht="26.45" customHeight="1" x14ac:dyDescent="0.2">
      <c r="A48" s="147"/>
      <c r="B48" s="147"/>
      <c r="C48" s="147"/>
      <c r="D48" s="147"/>
      <c r="E48" s="148"/>
      <c r="F48" s="149">
        <f t="shared" si="6"/>
        <v>0</v>
      </c>
      <c r="G48" s="149">
        <f>IF(B48="",0,SUMIF('Resource Build-Up'!$B$7:$B$306,B48,'Resource Build-Up'!$Z$7:$Z$306))</f>
        <v>0</v>
      </c>
      <c r="H48" s="147"/>
      <c r="I48" s="147"/>
      <c r="J48" s="147"/>
      <c r="K48" s="147"/>
      <c r="L48" s="150" t="str">
        <f t="shared" si="7"/>
        <v/>
      </c>
      <c r="M48" s="150" t="str">
        <f t="shared" si="8"/>
        <v/>
      </c>
      <c r="N48" s="150" t="str">
        <f t="shared" si="9"/>
        <v/>
      </c>
      <c r="O48" s="150" t="str">
        <f t="shared" si="10"/>
        <v/>
      </c>
      <c r="P48" s="150" t="str">
        <f>IF(B48="","",IF(COUNTIF('Resource Build-Up'!$B$7:$B$306,B48)=0,IF(G48=0,"ZERO / REVIEW","NO RESOURCE"),"RESOURCE LINKED"))</f>
        <v/>
      </c>
      <c r="Q48" s="147"/>
      <c r="R48" s="106" t="str">
        <f t="shared" si="11"/>
        <v>Rick</v>
      </c>
      <c r="S48" s="146" t="str">
        <f>IF(B48="","",IF(COUNTIF('Resource Build-Up'!$B$7:$B$306,B48)=0,"NO RESOURCE",IF(COUNTIFS('Resource Build-Up'!$B$7:$B$306,B48,'Resource Build-Up'!$AI$7:$AI$306,"&lt;&gt;OK")&gt;0,"RESOURCE QA","LINKED")))</f>
        <v/>
      </c>
      <c r="T48" s="140"/>
    </row>
    <row r="49" spans="1:20" ht="26.45" customHeight="1" x14ac:dyDescent="0.2">
      <c r="A49" s="151"/>
      <c r="B49" s="151"/>
      <c r="C49" s="151"/>
      <c r="D49" s="151"/>
      <c r="E49" s="148"/>
      <c r="F49" s="149">
        <f t="shared" si="6"/>
        <v>0</v>
      </c>
      <c r="G49" s="149">
        <f>IF(B49="",0,SUMIF('Resource Build-Up'!$B$7:$B$306,B49,'Resource Build-Up'!$Z$7:$Z$306))</f>
        <v>0</v>
      </c>
      <c r="H49" s="151"/>
      <c r="I49" s="151"/>
      <c r="J49" s="151"/>
      <c r="K49" s="151"/>
      <c r="L49" s="150" t="str">
        <f t="shared" si="7"/>
        <v/>
      </c>
      <c r="M49" s="150" t="str">
        <f t="shared" si="8"/>
        <v/>
      </c>
      <c r="N49" s="150" t="str">
        <f t="shared" si="9"/>
        <v/>
      </c>
      <c r="O49" s="150" t="str">
        <f t="shared" si="10"/>
        <v/>
      </c>
      <c r="P49" s="150" t="str">
        <f>IF(B49="","",IF(COUNTIF('Resource Build-Up'!$B$7:$B$306,B49)=0,IF(G49=0,"ZERO / REVIEW","NO RESOURCE"),"RESOURCE LINKED"))</f>
        <v/>
      </c>
      <c r="Q49" s="151"/>
      <c r="R49" s="106" t="str">
        <f t="shared" si="11"/>
        <v>Rick</v>
      </c>
      <c r="S49" s="146" t="str">
        <f>IF(B49="","",IF(COUNTIF('Resource Build-Up'!$B$7:$B$306,B49)=0,"NO RESOURCE",IF(COUNTIFS('Resource Build-Up'!$B$7:$B$306,B49,'Resource Build-Up'!$AI$7:$AI$306,"&lt;&gt;OK")&gt;0,"RESOURCE QA","LINKED")))</f>
        <v/>
      </c>
      <c r="T49" s="140"/>
    </row>
    <row r="50" spans="1:20" ht="26.45" customHeight="1" x14ac:dyDescent="0.2">
      <c r="A50" s="147"/>
      <c r="B50" s="147"/>
      <c r="C50" s="147"/>
      <c r="D50" s="147"/>
      <c r="E50" s="148"/>
      <c r="F50" s="149">
        <f t="shared" si="6"/>
        <v>0</v>
      </c>
      <c r="G50" s="149">
        <f>IF(B50="",0,SUMIF('Resource Build-Up'!$B$7:$B$306,B50,'Resource Build-Up'!$Z$7:$Z$306))</f>
        <v>0</v>
      </c>
      <c r="H50" s="147"/>
      <c r="I50" s="147"/>
      <c r="J50" s="147"/>
      <c r="K50" s="147"/>
      <c r="L50" s="150" t="str">
        <f t="shared" si="7"/>
        <v/>
      </c>
      <c r="M50" s="150" t="str">
        <f t="shared" si="8"/>
        <v/>
      </c>
      <c r="N50" s="150" t="str">
        <f t="shared" si="9"/>
        <v/>
      </c>
      <c r="O50" s="150" t="str">
        <f t="shared" si="10"/>
        <v/>
      </c>
      <c r="P50" s="150" t="str">
        <f>IF(B50="","",IF(COUNTIF('Resource Build-Up'!$B$7:$B$306,B50)=0,IF(G50=0,"ZERO / REVIEW","NO RESOURCE"),"RESOURCE LINKED"))</f>
        <v/>
      </c>
      <c r="Q50" s="147"/>
      <c r="R50" s="106" t="str">
        <f t="shared" si="11"/>
        <v>Rick</v>
      </c>
      <c r="S50" s="146" t="str">
        <f>IF(B50="","",IF(COUNTIF('Resource Build-Up'!$B$7:$B$306,B50)=0,"NO RESOURCE",IF(COUNTIFS('Resource Build-Up'!$B$7:$B$306,B50,'Resource Build-Up'!$AI$7:$AI$306,"&lt;&gt;OK")&gt;0,"RESOURCE QA","LINKED")))</f>
        <v/>
      </c>
      <c r="T50" s="140"/>
    </row>
    <row r="51" spans="1:20" ht="26.45" customHeight="1" x14ac:dyDescent="0.2">
      <c r="A51" s="151"/>
      <c r="B51" s="151"/>
      <c r="C51" s="151"/>
      <c r="D51" s="151"/>
      <c r="E51" s="148"/>
      <c r="F51" s="149">
        <f t="shared" si="6"/>
        <v>0</v>
      </c>
      <c r="G51" s="149">
        <f>IF(B51="",0,SUMIF('Resource Build-Up'!$B$7:$B$306,B51,'Resource Build-Up'!$Z$7:$Z$306))</f>
        <v>0</v>
      </c>
      <c r="H51" s="151"/>
      <c r="I51" s="151"/>
      <c r="J51" s="151"/>
      <c r="K51" s="151"/>
      <c r="L51" s="150" t="str">
        <f t="shared" si="7"/>
        <v/>
      </c>
      <c r="M51" s="150" t="str">
        <f t="shared" si="8"/>
        <v/>
      </c>
      <c r="N51" s="150" t="str">
        <f t="shared" si="9"/>
        <v/>
      </c>
      <c r="O51" s="150" t="str">
        <f t="shared" si="10"/>
        <v/>
      </c>
      <c r="P51" s="150" t="str">
        <f>IF(B51="","",IF(COUNTIF('Resource Build-Up'!$B$7:$B$306,B51)=0,IF(G51=0,"ZERO / REVIEW","NO RESOURCE"),"RESOURCE LINKED"))</f>
        <v/>
      </c>
      <c r="Q51" s="151"/>
      <c r="R51" s="106" t="str">
        <f t="shared" si="11"/>
        <v>Rick</v>
      </c>
      <c r="S51" s="146" t="str">
        <f>IF(B51="","",IF(COUNTIF('Resource Build-Up'!$B$7:$B$306,B51)=0,"NO RESOURCE",IF(COUNTIFS('Resource Build-Up'!$B$7:$B$306,B51,'Resource Build-Up'!$AI$7:$AI$306,"&lt;&gt;OK")&gt;0,"RESOURCE QA","LINKED")))</f>
        <v/>
      </c>
      <c r="T51" s="140"/>
    </row>
    <row r="52" spans="1:20" ht="26.45" customHeight="1" x14ac:dyDescent="0.2">
      <c r="A52" s="147"/>
      <c r="B52" s="147"/>
      <c r="C52" s="147"/>
      <c r="D52" s="147"/>
      <c r="E52" s="148"/>
      <c r="F52" s="149">
        <f t="shared" si="6"/>
        <v>0</v>
      </c>
      <c r="G52" s="149">
        <f>IF(B52="",0,SUMIF('Resource Build-Up'!$B$7:$B$306,B52,'Resource Build-Up'!$Z$7:$Z$306))</f>
        <v>0</v>
      </c>
      <c r="H52" s="147"/>
      <c r="I52" s="147"/>
      <c r="J52" s="147"/>
      <c r="K52" s="147"/>
      <c r="L52" s="150" t="str">
        <f t="shared" si="7"/>
        <v/>
      </c>
      <c r="M52" s="150" t="str">
        <f t="shared" si="8"/>
        <v/>
      </c>
      <c r="N52" s="150" t="str">
        <f t="shared" si="9"/>
        <v/>
      </c>
      <c r="O52" s="150" t="str">
        <f t="shared" si="10"/>
        <v/>
      </c>
      <c r="P52" s="150" t="str">
        <f>IF(B52="","",IF(COUNTIF('Resource Build-Up'!$B$7:$B$306,B52)=0,IF(G52=0,"ZERO / REVIEW","NO RESOURCE"),"RESOURCE LINKED"))</f>
        <v/>
      </c>
      <c r="Q52" s="147"/>
      <c r="R52" s="106" t="str">
        <f t="shared" si="11"/>
        <v>Rick</v>
      </c>
      <c r="S52" s="146" t="str">
        <f>IF(B52="","",IF(COUNTIF('Resource Build-Up'!$B$7:$B$306,B52)=0,"NO RESOURCE",IF(COUNTIFS('Resource Build-Up'!$B$7:$B$306,B52,'Resource Build-Up'!$AI$7:$AI$306,"&lt;&gt;OK")&gt;0,"RESOURCE QA","LINKED")))</f>
        <v/>
      </c>
      <c r="T52" s="140"/>
    </row>
    <row r="53" spans="1:20" ht="26.45" customHeight="1" x14ac:dyDescent="0.2">
      <c r="A53" s="151"/>
      <c r="B53" s="151"/>
      <c r="C53" s="151"/>
      <c r="D53" s="151"/>
      <c r="E53" s="148"/>
      <c r="F53" s="149">
        <f t="shared" si="6"/>
        <v>0</v>
      </c>
      <c r="G53" s="149">
        <f>IF(B53="",0,SUMIF('Resource Build-Up'!$B$7:$B$306,B53,'Resource Build-Up'!$Z$7:$Z$306))</f>
        <v>0</v>
      </c>
      <c r="H53" s="151"/>
      <c r="I53" s="151"/>
      <c r="J53" s="151"/>
      <c r="K53" s="151"/>
      <c r="L53" s="150" t="str">
        <f t="shared" si="7"/>
        <v/>
      </c>
      <c r="M53" s="150" t="str">
        <f t="shared" si="8"/>
        <v/>
      </c>
      <c r="N53" s="150" t="str">
        <f t="shared" si="9"/>
        <v/>
      </c>
      <c r="O53" s="150" t="str">
        <f t="shared" si="10"/>
        <v/>
      </c>
      <c r="P53" s="150" t="str">
        <f>IF(B53="","",IF(COUNTIF('Resource Build-Up'!$B$7:$B$306,B53)=0,IF(G53=0,"ZERO / REVIEW","NO RESOURCE"),"RESOURCE LINKED"))</f>
        <v/>
      </c>
      <c r="Q53" s="151"/>
      <c r="R53" s="106" t="str">
        <f t="shared" si="11"/>
        <v>Rick</v>
      </c>
      <c r="S53" s="146" t="str">
        <f>IF(B53="","",IF(COUNTIF('Resource Build-Up'!$B$7:$B$306,B53)=0,"NO RESOURCE",IF(COUNTIFS('Resource Build-Up'!$B$7:$B$306,B53,'Resource Build-Up'!$AI$7:$AI$306,"&lt;&gt;OK")&gt;0,"RESOURCE QA","LINKED")))</f>
        <v/>
      </c>
      <c r="T53" s="140"/>
    </row>
    <row r="54" spans="1:20" ht="26.45" customHeight="1" x14ac:dyDescent="0.2">
      <c r="A54" s="33"/>
      <c r="B54" s="34"/>
      <c r="C54" s="34"/>
      <c r="D54" s="34"/>
      <c r="E54" s="17"/>
      <c r="F54" s="69">
        <f t="shared" si="6"/>
        <v>0</v>
      </c>
      <c r="G54" s="18">
        <f>IF(B54="",0,SUMIF('Resource Build-Up'!$B$7:$B$306,B54,'Resource Build-Up'!$Z$7:$Z$306))</f>
        <v>0</v>
      </c>
      <c r="H54" s="34"/>
      <c r="I54" s="34"/>
      <c r="J54" s="34"/>
      <c r="K54" s="34"/>
      <c r="L54" s="70" t="str">
        <f t="shared" si="7"/>
        <v/>
      </c>
      <c r="M54" s="71" t="str">
        <f t="shared" si="8"/>
        <v/>
      </c>
      <c r="N54" s="71" t="str">
        <f t="shared" si="9"/>
        <v/>
      </c>
      <c r="O54" s="71" t="str">
        <f t="shared" si="10"/>
        <v/>
      </c>
      <c r="P54" s="70" t="str">
        <f>IF(B54="","",IF(COUNTIF('Resource Build-Up'!$B$7:$B$306,B54)=0,IF(G54=0,"ZERO / REVIEW","NO RESOURCE"),"RESOURCE LINKED"))</f>
        <v/>
      </c>
      <c r="Q54" s="34"/>
      <c r="R54" s="106" t="str">
        <f t="shared" si="11"/>
        <v>Rick</v>
      </c>
      <c r="S54" s="146" t="str">
        <f>IF(B54="","",IF(COUNTIF('Resource Build-Up'!$B$7:$B$306,B54)=0,"NO RESOURCE",IF(COUNTIFS('Resource Build-Up'!$B$7:$B$306,B54,'Resource Build-Up'!$AI$7:$AI$306,"&lt;&gt;OK")&gt;0,"RESOURCE QA","LINKED")))</f>
        <v/>
      </c>
      <c r="T54" s="140"/>
    </row>
    <row r="55" spans="1:20" ht="26.45" customHeight="1" x14ac:dyDescent="0.2">
      <c r="A55" s="156"/>
      <c r="B55" s="156"/>
      <c r="C55" s="156"/>
      <c r="D55" s="156"/>
      <c r="E55" s="154"/>
      <c r="F55" s="155">
        <f t="shared" si="6"/>
        <v>0</v>
      </c>
      <c r="G55" s="155">
        <f>IF(B55="",0,SUMIF('Resource Build-Up'!$B$7:$B$306,B55,'Resource Build-Up'!$Z$7:$Z$306))</f>
        <v>0</v>
      </c>
      <c r="H55" s="156"/>
      <c r="I55" s="156"/>
      <c r="J55" s="156"/>
      <c r="K55" s="156"/>
      <c r="L55" s="146" t="str">
        <f t="shared" si="7"/>
        <v/>
      </c>
      <c r="M55" s="146" t="str">
        <f t="shared" si="8"/>
        <v/>
      </c>
      <c r="N55" s="146" t="str">
        <f t="shared" si="9"/>
        <v/>
      </c>
      <c r="O55" s="146" t="str">
        <f t="shared" si="10"/>
        <v/>
      </c>
      <c r="P55" s="146" t="str">
        <f>IF(B55="","",IF(COUNTIF('Resource Build-Up'!$B$7:$B$306,B55)=0,IF(G55=0,"ZERO / REVIEW","NO RESOURCE"),"RESOURCE LINKED"))</f>
        <v/>
      </c>
      <c r="Q55" s="156"/>
      <c r="R55" s="106" t="str">
        <f t="shared" si="11"/>
        <v>Rick</v>
      </c>
      <c r="S55" s="146" t="str">
        <f>IF(B55="","",IF(COUNTIF('Resource Build-Up'!$B$7:$B$306,B55)=0,"NO RESOURCE",IF(COUNTIFS('Resource Build-Up'!$B$7:$B$306,B55,'Resource Build-Up'!$AI$7:$AI$306,"&lt;&gt;OK")&gt;0,"RESOURCE QA","LINKED")))</f>
        <v/>
      </c>
      <c r="T55" s="140"/>
    </row>
    <row r="56" spans="1:20" ht="26.45" customHeight="1" x14ac:dyDescent="0.2">
      <c r="A56" s="33"/>
      <c r="B56" s="34"/>
      <c r="C56" s="34"/>
      <c r="D56" s="34"/>
      <c r="E56" s="17"/>
      <c r="F56" s="69">
        <f t="shared" si="6"/>
        <v>0</v>
      </c>
      <c r="G56" s="69">
        <f>IF(B56="",0,SUMIF('Resource Build-Up'!$B$7:$B$306,B56,'Resource Build-Up'!$Z$7:$Z$306))</f>
        <v>0</v>
      </c>
      <c r="H56" s="34"/>
      <c r="I56" s="34"/>
      <c r="J56" s="34"/>
      <c r="K56" s="34"/>
      <c r="L56" s="71" t="str">
        <f t="shared" si="7"/>
        <v/>
      </c>
      <c r="M56" s="71" t="str">
        <f t="shared" si="8"/>
        <v/>
      </c>
      <c r="N56" s="71" t="str">
        <f t="shared" si="9"/>
        <v/>
      </c>
      <c r="O56" s="71" t="str">
        <f t="shared" si="10"/>
        <v/>
      </c>
      <c r="P56" s="71" t="str">
        <f>IF(B56="","",IF(COUNTIF('Resource Build-Up'!$B$7:$B$306,B56)=0,IF(G56=0,"ZERO / REVIEW","NO RESOURCE"),"RESOURCE LINKED"))</f>
        <v/>
      </c>
      <c r="Q56" s="34"/>
      <c r="R56" s="106" t="str">
        <f t="shared" si="11"/>
        <v>Rick</v>
      </c>
      <c r="S56" s="146" t="str">
        <f>IF(B56="","",IF(COUNTIF('Resource Build-Up'!$B$7:$B$306,B56)=0,"NO RESOURCE",IF(COUNTIFS('Resource Build-Up'!$B$7:$B$306,B56,'Resource Build-Up'!$AI$7:$AI$306,"&lt;&gt;OK")&gt;0,"RESOURCE QA","LINKED")))</f>
        <v/>
      </c>
      <c r="T56" s="140"/>
    </row>
    <row r="57" spans="1:20" ht="26.45" customHeight="1" x14ac:dyDescent="0.2">
      <c r="A57" s="151"/>
      <c r="B57" s="151"/>
      <c r="C57" s="151"/>
      <c r="D57" s="151"/>
      <c r="E57" s="148"/>
      <c r="F57" s="149">
        <f t="shared" si="6"/>
        <v>0</v>
      </c>
      <c r="G57" s="149">
        <f>IF(B57="",0,SUMIF('Resource Build-Up'!$B$7:$B$306,B57,'Resource Build-Up'!$Z$7:$Z$306))</f>
        <v>0</v>
      </c>
      <c r="H57" s="151"/>
      <c r="I57" s="151"/>
      <c r="J57" s="151"/>
      <c r="K57" s="151"/>
      <c r="L57" s="150" t="str">
        <f t="shared" si="7"/>
        <v/>
      </c>
      <c r="M57" s="150" t="str">
        <f t="shared" si="8"/>
        <v/>
      </c>
      <c r="N57" s="150" t="str">
        <f t="shared" si="9"/>
        <v/>
      </c>
      <c r="O57" s="150" t="str">
        <f t="shared" si="10"/>
        <v/>
      </c>
      <c r="P57" s="150" t="str">
        <f>IF(B57="","",IF(COUNTIF('Resource Build-Up'!$B$7:$B$306,B57)=0,IF(G57=0,"ZERO / REVIEW","NO RESOURCE"),"RESOURCE LINKED"))</f>
        <v/>
      </c>
      <c r="Q57" s="151"/>
      <c r="R57" s="106" t="str">
        <f t="shared" si="11"/>
        <v>Rick</v>
      </c>
      <c r="S57" s="146" t="str">
        <f>IF(B57="","",IF(COUNTIF('Resource Build-Up'!$B$7:$B$306,B57)=0,"NO RESOURCE",IF(COUNTIFS('Resource Build-Up'!$B$7:$B$306,B57,'Resource Build-Up'!$AI$7:$AI$306,"&lt;&gt;OK")&gt;0,"RESOURCE QA","LINKED")))</f>
        <v/>
      </c>
      <c r="T57" s="140"/>
    </row>
    <row r="58" spans="1:20" ht="26.45" customHeight="1" x14ac:dyDescent="0.2">
      <c r="A58" s="147"/>
      <c r="B58" s="147"/>
      <c r="C58" s="147"/>
      <c r="D58" s="147"/>
      <c r="E58" s="148"/>
      <c r="F58" s="149">
        <f t="shared" si="6"/>
        <v>0</v>
      </c>
      <c r="G58" s="149">
        <f>IF(B58="",0,SUMIF('Resource Build-Up'!$B$7:$B$306,B58,'Resource Build-Up'!$Z$7:$Z$306))</f>
        <v>0</v>
      </c>
      <c r="H58" s="147"/>
      <c r="I58" s="147"/>
      <c r="J58" s="147"/>
      <c r="K58" s="147"/>
      <c r="L58" s="150" t="str">
        <f t="shared" si="7"/>
        <v/>
      </c>
      <c r="M58" s="150" t="str">
        <f t="shared" si="8"/>
        <v/>
      </c>
      <c r="N58" s="150" t="str">
        <f t="shared" si="9"/>
        <v/>
      </c>
      <c r="O58" s="150" t="str">
        <f t="shared" si="10"/>
        <v/>
      </c>
      <c r="P58" s="150" t="str">
        <f>IF(B58="","",IF(COUNTIF('Resource Build-Up'!$B$7:$B$306,B58)=0,IF(G58=0,"ZERO / REVIEW","NO RESOURCE"),"RESOURCE LINKED"))</f>
        <v/>
      </c>
      <c r="Q58" s="147"/>
      <c r="R58" s="106" t="str">
        <f t="shared" si="11"/>
        <v>Rick</v>
      </c>
      <c r="S58" s="146" t="str">
        <f>IF(B58="","",IF(COUNTIF('Resource Build-Up'!$B$7:$B$306,B58)=0,"NO RESOURCE",IF(COUNTIFS('Resource Build-Up'!$B$7:$B$306,B58,'Resource Build-Up'!$AI$7:$AI$306,"&lt;&gt;OK")&gt;0,"RESOURCE QA","LINKED")))</f>
        <v/>
      </c>
      <c r="T58" s="140"/>
    </row>
    <row r="59" spans="1:20" ht="26.45" customHeight="1" x14ac:dyDescent="0.2">
      <c r="A59" s="151"/>
      <c r="B59" s="151"/>
      <c r="C59" s="151"/>
      <c r="D59" s="151"/>
      <c r="E59" s="148"/>
      <c r="F59" s="149">
        <f t="shared" si="6"/>
        <v>0</v>
      </c>
      <c r="G59" s="149">
        <f>IF(B59="",0,SUMIF('Resource Build-Up'!$B$7:$B$306,B59,'Resource Build-Up'!$Z$7:$Z$306))</f>
        <v>0</v>
      </c>
      <c r="H59" s="151"/>
      <c r="I59" s="151"/>
      <c r="J59" s="151"/>
      <c r="K59" s="151"/>
      <c r="L59" s="150" t="str">
        <f t="shared" si="7"/>
        <v/>
      </c>
      <c r="M59" s="150" t="str">
        <f t="shared" si="8"/>
        <v/>
      </c>
      <c r="N59" s="150" t="str">
        <f t="shared" si="9"/>
        <v/>
      </c>
      <c r="O59" s="150" t="str">
        <f t="shared" si="10"/>
        <v/>
      </c>
      <c r="P59" s="150" t="str">
        <f>IF(B59="","",IF(COUNTIF('Resource Build-Up'!$B$7:$B$306,B59)=0,IF(G59=0,"ZERO / REVIEW","NO RESOURCE"),"RESOURCE LINKED"))</f>
        <v/>
      </c>
      <c r="Q59" s="151"/>
      <c r="R59" s="106" t="str">
        <f t="shared" si="11"/>
        <v>Rick</v>
      </c>
      <c r="S59" s="146" t="str">
        <f>IF(B59="","",IF(COUNTIF('Resource Build-Up'!$B$7:$B$306,B59)=0,"NO RESOURCE",IF(COUNTIFS('Resource Build-Up'!$B$7:$B$306,B59,'Resource Build-Up'!$AI$7:$AI$306,"&lt;&gt;OK")&gt;0,"RESOURCE QA","LINKED")))</f>
        <v/>
      </c>
      <c r="T59" s="140"/>
    </row>
    <row r="60" spans="1:20" ht="26.45" customHeight="1" x14ac:dyDescent="0.2">
      <c r="A60" s="147"/>
      <c r="B60" s="147"/>
      <c r="C60" s="147"/>
      <c r="D60" s="147"/>
      <c r="E60" s="148"/>
      <c r="F60" s="149">
        <f t="shared" si="6"/>
        <v>0</v>
      </c>
      <c r="G60" s="149">
        <f>IF(B60="",0,SUMIF('Resource Build-Up'!$B$7:$B$306,B60,'Resource Build-Up'!$Z$7:$Z$306))</f>
        <v>0</v>
      </c>
      <c r="H60" s="147"/>
      <c r="I60" s="147"/>
      <c r="J60" s="147"/>
      <c r="K60" s="147"/>
      <c r="L60" s="150" t="str">
        <f t="shared" si="7"/>
        <v/>
      </c>
      <c r="M60" s="150" t="str">
        <f t="shared" si="8"/>
        <v/>
      </c>
      <c r="N60" s="150" t="str">
        <f t="shared" si="9"/>
        <v/>
      </c>
      <c r="O60" s="150" t="str">
        <f t="shared" si="10"/>
        <v/>
      </c>
      <c r="P60" s="150" t="str">
        <f>IF(B60="","",IF(COUNTIF('Resource Build-Up'!$B$7:$B$306,B60)=0,IF(G60=0,"ZERO / REVIEW","NO RESOURCE"),"RESOURCE LINKED"))</f>
        <v/>
      </c>
      <c r="Q60" s="147"/>
      <c r="R60" s="106" t="str">
        <f t="shared" si="11"/>
        <v>Rick</v>
      </c>
      <c r="S60" s="146" t="str">
        <f>IF(B60="","",IF(COUNTIF('Resource Build-Up'!$B$7:$B$306,B60)=0,"NO RESOURCE",IF(COUNTIFS('Resource Build-Up'!$B$7:$B$306,B60,'Resource Build-Up'!$AI$7:$AI$306,"&lt;&gt;OK")&gt;0,"RESOURCE QA","LINKED")))</f>
        <v/>
      </c>
      <c r="T60" s="140"/>
    </row>
    <row r="61" spans="1:20" ht="26.45" customHeight="1" x14ac:dyDescent="0.2">
      <c r="A61" s="151"/>
      <c r="B61" s="151"/>
      <c r="C61" s="151"/>
      <c r="D61" s="151"/>
      <c r="E61" s="148"/>
      <c r="F61" s="149">
        <f t="shared" si="6"/>
        <v>0</v>
      </c>
      <c r="G61" s="149">
        <f>IF(B61="",0,SUMIF('Resource Build-Up'!$B$7:$B$306,B61,'Resource Build-Up'!$Z$7:$Z$306))</f>
        <v>0</v>
      </c>
      <c r="H61" s="151"/>
      <c r="I61" s="151"/>
      <c r="J61" s="151"/>
      <c r="K61" s="151"/>
      <c r="L61" s="150" t="str">
        <f t="shared" si="7"/>
        <v/>
      </c>
      <c r="M61" s="150" t="str">
        <f t="shared" si="8"/>
        <v/>
      </c>
      <c r="N61" s="150" t="str">
        <f t="shared" si="9"/>
        <v/>
      </c>
      <c r="O61" s="150" t="str">
        <f t="shared" si="10"/>
        <v/>
      </c>
      <c r="P61" s="150" t="str">
        <f>IF(B61="","",IF(COUNTIF('Resource Build-Up'!$B$7:$B$306,B61)=0,IF(G61=0,"ZERO / REVIEW","NO RESOURCE"),"RESOURCE LINKED"))</f>
        <v/>
      </c>
      <c r="Q61" s="151"/>
      <c r="R61" s="106" t="str">
        <f t="shared" si="11"/>
        <v>Rick</v>
      </c>
      <c r="S61" s="146" t="str">
        <f>IF(B61="","",IF(COUNTIF('Resource Build-Up'!$B$7:$B$306,B61)=0,"NO RESOURCE",IF(COUNTIFS('Resource Build-Up'!$B$7:$B$306,B61,'Resource Build-Up'!$AI$7:$AI$306,"&lt;&gt;OK")&gt;0,"RESOURCE QA","LINKED")))</f>
        <v/>
      </c>
      <c r="T61" s="140"/>
    </row>
    <row r="62" spans="1:20" ht="26.45" customHeight="1" x14ac:dyDescent="0.2">
      <c r="A62" s="35"/>
      <c r="B62" s="35"/>
      <c r="C62" s="35"/>
      <c r="D62" s="35"/>
      <c r="E62" s="152"/>
      <c r="F62" s="18">
        <f t="shared" si="6"/>
        <v>0</v>
      </c>
      <c r="G62" s="18">
        <f>IF(B62="",0,SUMIF('Resource Build-Up'!$B$7:$B$306,B62,'Resource Build-Up'!$Z$7:$Z$306))</f>
        <v>0</v>
      </c>
      <c r="H62" s="35"/>
      <c r="I62" s="35"/>
      <c r="J62" s="35"/>
      <c r="K62" s="35"/>
      <c r="L62" s="70" t="str">
        <f t="shared" si="7"/>
        <v/>
      </c>
      <c r="M62" s="70" t="str">
        <f t="shared" si="8"/>
        <v/>
      </c>
      <c r="N62" s="70" t="str">
        <f t="shared" si="9"/>
        <v/>
      </c>
      <c r="O62" s="70" t="str">
        <f t="shared" si="10"/>
        <v/>
      </c>
      <c r="P62" s="70" t="str">
        <f>IF(B62="","",IF(COUNTIF('Resource Build-Up'!$B$7:$B$306,B62)=0,IF(G62=0,"ZERO / REVIEW","NO RESOURCE"),"RESOURCE LINKED"))</f>
        <v/>
      </c>
      <c r="Q62" s="35"/>
      <c r="R62" s="106" t="str">
        <f t="shared" si="11"/>
        <v>Rick</v>
      </c>
      <c r="S62" s="146" t="str">
        <f>IF(B62="","",IF(COUNTIF('Resource Build-Up'!$B$7:$B$306,B62)=0,"NO RESOURCE",IF(COUNTIFS('Resource Build-Up'!$B$7:$B$306,B62,'Resource Build-Up'!$AI$7:$AI$306,"&lt;&gt;OK")&gt;0,"RESOURCE QA","LINKED")))</f>
        <v/>
      </c>
      <c r="T62" s="140"/>
    </row>
    <row r="63" spans="1:20" ht="26.45" customHeight="1" x14ac:dyDescent="0.2">
      <c r="A63" s="33"/>
      <c r="B63" s="33"/>
      <c r="C63" s="33"/>
      <c r="D63" s="33"/>
      <c r="E63" s="152"/>
      <c r="F63" s="18">
        <f t="shared" si="6"/>
        <v>0</v>
      </c>
      <c r="G63" s="18">
        <f>IF(B63="",0,SUMIF('Resource Build-Up'!$B$7:$B$306,B63,'Resource Build-Up'!$Z$7:$Z$306))</f>
        <v>0</v>
      </c>
      <c r="H63" s="33"/>
      <c r="I63" s="33"/>
      <c r="J63" s="33"/>
      <c r="K63" s="33"/>
      <c r="L63" s="70" t="str">
        <f t="shared" si="7"/>
        <v/>
      </c>
      <c r="M63" s="70" t="str">
        <f t="shared" si="8"/>
        <v/>
      </c>
      <c r="N63" s="70" t="str">
        <f t="shared" si="9"/>
        <v/>
      </c>
      <c r="O63" s="70" t="str">
        <f t="shared" si="10"/>
        <v/>
      </c>
      <c r="P63" s="70" t="str">
        <f>IF(B63="","",IF(COUNTIF('Resource Build-Up'!$B$7:$B$306,B63)=0,IF(G63=0,"ZERO / REVIEW","NO RESOURCE"),"RESOURCE LINKED"))</f>
        <v/>
      </c>
      <c r="Q63" s="33"/>
      <c r="R63" s="106" t="str">
        <f t="shared" si="11"/>
        <v>Rick</v>
      </c>
      <c r="S63" s="146" t="str">
        <f>IF(B63="","",IF(COUNTIF('Resource Build-Up'!$B$7:$B$306,B63)=0,"NO RESOURCE",IF(COUNTIFS('Resource Build-Up'!$B$7:$B$306,B63,'Resource Build-Up'!$AI$7:$AI$306,"&lt;&gt;OK")&gt;0,"RESOURCE QA","LINKED")))</f>
        <v/>
      </c>
      <c r="T63" s="140"/>
    </row>
    <row r="64" spans="1:20" ht="26.45" customHeight="1" x14ac:dyDescent="0.2">
      <c r="A64" s="151"/>
      <c r="B64" s="151"/>
      <c r="C64" s="151"/>
      <c r="D64" s="151"/>
      <c r="E64" s="148"/>
      <c r="F64" s="149">
        <f t="shared" ref="F64:F73" si="12">IF(OR(B64="",E64=0),0,G64/E64)</f>
        <v>0</v>
      </c>
      <c r="G64" s="149">
        <f>IF(B64="",0,SUMIF('Resource Build-Up'!$B$7:$B$306,B64,'Resource Build-Up'!$Z$7:$Z$306))</f>
        <v>0</v>
      </c>
      <c r="H64" s="151"/>
      <c r="I64" s="151"/>
      <c r="J64" s="151"/>
      <c r="K64" s="151"/>
      <c r="L64" s="150" t="str">
        <f t="shared" ref="L64:L73" si="13">IF(B64="","",IF(J64="Excluded","Excluded","Resource-linked"))</f>
        <v/>
      </c>
      <c r="M64" s="150" t="str">
        <f t="shared" ref="M64:M73" si="14">IF(B64="","",IF(G64=0,"No resource cost / review","Resource Build-Up -&gt; "&amp;B64))</f>
        <v/>
      </c>
      <c r="N64" s="150" t="str">
        <f t="shared" ref="N64:N73" si="15">IF(B64="","","Resource Build-Up")</f>
        <v/>
      </c>
      <c r="O64" s="150" t="str">
        <f t="shared" ref="O64:O73" si="16">IF(B64="","","See Resource Build-Up / Resource Rate Library")</f>
        <v/>
      </c>
      <c r="P64" s="150" t="str">
        <f>IF(B64="","",IF(COUNTIF('Resource Build-Up'!$B$7:$B$306,B64)=0,IF(G64=0,"ZERO / REVIEW","NO RESOURCE"),"RESOURCE LINKED"))</f>
        <v/>
      </c>
      <c r="Q64" s="151"/>
      <c r="R64" s="106" t="str">
        <f t="shared" ref="R64:R73" si="17">IF(OR(ISNUMBER(SEARCH("PC",P64)),ISNUMBER(SEARCH("quote",Q64))),"Jason","Rick")</f>
        <v>Rick</v>
      </c>
      <c r="S64" s="146" t="str">
        <f>IF(B64="","",IF(COUNTIF('Resource Build-Up'!$B$7:$B$306,B64)=0,"NO RESOURCE",IF(COUNTIFS('Resource Build-Up'!$B$7:$B$306,B64,'Resource Build-Up'!$AI$7:$AI$306,"&lt;&gt;OK")&gt;0,"RESOURCE QA","LINKED")))</f>
        <v/>
      </c>
      <c r="T64" s="140"/>
    </row>
    <row r="65" spans="1:20" ht="26.45" customHeight="1" x14ac:dyDescent="0.2">
      <c r="A65" s="147"/>
      <c r="B65" s="147"/>
      <c r="C65" s="147"/>
      <c r="D65" s="147"/>
      <c r="E65" s="148"/>
      <c r="F65" s="149">
        <f t="shared" si="12"/>
        <v>0</v>
      </c>
      <c r="G65" s="149">
        <f>IF(B65="",0,SUMIF('Resource Build-Up'!$B$7:$B$306,B65,'Resource Build-Up'!$Z$7:$Z$306))</f>
        <v>0</v>
      </c>
      <c r="H65" s="147"/>
      <c r="I65" s="147"/>
      <c r="J65" s="147"/>
      <c r="K65" s="147"/>
      <c r="L65" s="150" t="str">
        <f t="shared" si="13"/>
        <v/>
      </c>
      <c r="M65" s="150" t="str">
        <f t="shared" si="14"/>
        <v/>
      </c>
      <c r="N65" s="150" t="str">
        <f t="shared" si="15"/>
        <v/>
      </c>
      <c r="O65" s="150" t="str">
        <f t="shared" si="16"/>
        <v/>
      </c>
      <c r="P65" s="150" t="str">
        <f>IF(B65="","",IF(COUNTIF('Resource Build-Up'!$B$7:$B$306,B65)=0,IF(G65=0,"ZERO / REVIEW","NO RESOURCE"),"RESOURCE LINKED"))</f>
        <v/>
      </c>
      <c r="Q65" s="147"/>
      <c r="R65" s="106" t="str">
        <f t="shared" si="17"/>
        <v>Rick</v>
      </c>
      <c r="S65" s="146" t="str">
        <f>IF(B65="","",IF(COUNTIF('Resource Build-Up'!$B$7:$B$306,B65)=0,"NO RESOURCE",IF(COUNTIFS('Resource Build-Up'!$B$7:$B$306,B65,'Resource Build-Up'!$AI$7:$AI$306,"&lt;&gt;OK")&gt;0,"RESOURCE QA","LINKED")))</f>
        <v/>
      </c>
      <c r="T65" s="140"/>
    </row>
    <row r="66" spans="1:20" ht="26.45" customHeight="1" x14ac:dyDescent="0.2">
      <c r="A66" s="151"/>
      <c r="B66" s="151"/>
      <c r="C66" s="151"/>
      <c r="D66" s="151"/>
      <c r="E66" s="148"/>
      <c r="F66" s="149">
        <f t="shared" si="12"/>
        <v>0</v>
      </c>
      <c r="G66" s="149">
        <f>IF(B66="",0,SUMIF('Resource Build-Up'!$B$7:$B$306,B66,'Resource Build-Up'!$Z$7:$Z$306))</f>
        <v>0</v>
      </c>
      <c r="H66" s="151"/>
      <c r="I66" s="151"/>
      <c r="J66" s="151"/>
      <c r="K66" s="151"/>
      <c r="L66" s="150" t="str">
        <f t="shared" si="13"/>
        <v/>
      </c>
      <c r="M66" s="150" t="str">
        <f t="shared" si="14"/>
        <v/>
      </c>
      <c r="N66" s="150" t="str">
        <f t="shared" si="15"/>
        <v/>
      </c>
      <c r="O66" s="150" t="str">
        <f t="shared" si="16"/>
        <v/>
      </c>
      <c r="P66" s="150" t="str">
        <f>IF(B66="","",IF(COUNTIF('Resource Build-Up'!$B$7:$B$306,B66)=0,IF(G66=0,"ZERO / REVIEW","NO RESOURCE"),"RESOURCE LINKED"))</f>
        <v/>
      </c>
      <c r="Q66" s="151"/>
      <c r="R66" s="106" t="str">
        <f t="shared" si="17"/>
        <v>Rick</v>
      </c>
      <c r="S66" s="146" t="str">
        <f>IF(B66="","",IF(COUNTIF('Resource Build-Up'!$B$7:$B$306,B66)=0,"NO RESOURCE",IF(COUNTIFS('Resource Build-Up'!$B$7:$B$306,B66,'Resource Build-Up'!$AI$7:$AI$306,"&lt;&gt;OK")&gt;0,"RESOURCE QA","LINKED")))</f>
        <v/>
      </c>
      <c r="T66" s="140"/>
    </row>
    <row r="67" spans="1:20" ht="26.45" customHeight="1" x14ac:dyDescent="0.2">
      <c r="A67" s="147"/>
      <c r="B67" s="147"/>
      <c r="C67" s="147"/>
      <c r="D67" s="147"/>
      <c r="E67" s="148"/>
      <c r="F67" s="149">
        <f t="shared" si="12"/>
        <v>0</v>
      </c>
      <c r="G67" s="149">
        <f>IF(B67="",0,SUMIF('Resource Build-Up'!$B$7:$B$306,B67,'Resource Build-Up'!$Z$7:$Z$306))</f>
        <v>0</v>
      </c>
      <c r="H67" s="147"/>
      <c r="I67" s="147"/>
      <c r="J67" s="147"/>
      <c r="K67" s="147"/>
      <c r="L67" s="150" t="str">
        <f t="shared" si="13"/>
        <v/>
      </c>
      <c r="M67" s="150" t="str">
        <f t="shared" si="14"/>
        <v/>
      </c>
      <c r="N67" s="150" t="str">
        <f t="shared" si="15"/>
        <v/>
      </c>
      <c r="O67" s="150" t="str">
        <f t="shared" si="16"/>
        <v/>
      </c>
      <c r="P67" s="150" t="str">
        <f>IF(B67="","",IF(COUNTIF('Resource Build-Up'!$B$7:$B$306,B67)=0,IF(G67=0,"ZERO / REVIEW","NO RESOURCE"),"RESOURCE LINKED"))</f>
        <v/>
      </c>
      <c r="Q67" s="147"/>
      <c r="R67" s="106" t="str">
        <f t="shared" si="17"/>
        <v>Rick</v>
      </c>
      <c r="S67" s="146" t="str">
        <f>IF(B67="","",IF(COUNTIF('Resource Build-Up'!$B$7:$B$306,B67)=0,"NO RESOURCE",IF(COUNTIFS('Resource Build-Up'!$B$7:$B$306,B67,'Resource Build-Up'!$AI$7:$AI$306,"&lt;&gt;OK")&gt;0,"RESOURCE QA","LINKED")))</f>
        <v/>
      </c>
      <c r="T67" s="140"/>
    </row>
    <row r="68" spans="1:20" ht="26.45" customHeight="1" x14ac:dyDescent="0.2">
      <c r="A68" s="151"/>
      <c r="B68" s="151"/>
      <c r="C68" s="151"/>
      <c r="D68" s="151"/>
      <c r="E68" s="148"/>
      <c r="F68" s="149">
        <f t="shared" si="12"/>
        <v>0</v>
      </c>
      <c r="G68" s="149">
        <f>IF(B68="",0,SUMIF('Resource Build-Up'!$B$7:$B$306,B68,'Resource Build-Up'!$Z$7:$Z$306))</f>
        <v>0</v>
      </c>
      <c r="H68" s="151"/>
      <c r="I68" s="151"/>
      <c r="J68" s="151"/>
      <c r="K68" s="151"/>
      <c r="L68" s="150" t="str">
        <f t="shared" si="13"/>
        <v/>
      </c>
      <c r="M68" s="150" t="str">
        <f t="shared" si="14"/>
        <v/>
      </c>
      <c r="N68" s="150" t="str">
        <f t="shared" si="15"/>
        <v/>
      </c>
      <c r="O68" s="150" t="str">
        <f t="shared" si="16"/>
        <v/>
      </c>
      <c r="P68" s="150" t="str">
        <f>IF(B68="","",IF(COUNTIF('Resource Build-Up'!$B$7:$B$306,B68)=0,IF(G68=0,"ZERO / REVIEW","NO RESOURCE"),"RESOURCE LINKED"))</f>
        <v/>
      </c>
      <c r="Q68" s="151"/>
      <c r="R68" s="106" t="str">
        <f t="shared" si="17"/>
        <v>Rick</v>
      </c>
      <c r="S68" s="146" t="str">
        <f>IF(B68="","",IF(COUNTIF('Resource Build-Up'!$B$7:$B$306,B68)=0,"NO RESOURCE",IF(COUNTIFS('Resource Build-Up'!$B$7:$B$306,B68,'Resource Build-Up'!$AI$7:$AI$306,"&lt;&gt;OK")&gt;0,"RESOURCE QA","LINKED")))</f>
        <v/>
      </c>
      <c r="T68" s="140"/>
    </row>
    <row r="69" spans="1:20" ht="26.45" customHeight="1" x14ac:dyDescent="0.2">
      <c r="A69" s="147"/>
      <c r="B69" s="147"/>
      <c r="C69" s="147"/>
      <c r="D69" s="147"/>
      <c r="E69" s="148"/>
      <c r="F69" s="149">
        <f t="shared" si="12"/>
        <v>0</v>
      </c>
      <c r="G69" s="149">
        <f>IF(B69="",0,SUMIF('Resource Build-Up'!$B$7:$B$306,B69,'Resource Build-Up'!$Z$7:$Z$306))</f>
        <v>0</v>
      </c>
      <c r="H69" s="147"/>
      <c r="I69" s="147"/>
      <c r="J69" s="147"/>
      <c r="K69" s="147"/>
      <c r="L69" s="150" t="str">
        <f t="shared" si="13"/>
        <v/>
      </c>
      <c r="M69" s="150" t="str">
        <f t="shared" si="14"/>
        <v/>
      </c>
      <c r="N69" s="150" t="str">
        <f t="shared" si="15"/>
        <v/>
      </c>
      <c r="O69" s="150" t="str">
        <f t="shared" si="16"/>
        <v/>
      </c>
      <c r="P69" s="150" t="str">
        <f>IF(B69="","",IF(COUNTIF('Resource Build-Up'!$B$7:$B$306,B69)=0,IF(G69=0,"ZERO / REVIEW","NO RESOURCE"),"RESOURCE LINKED"))</f>
        <v/>
      </c>
      <c r="Q69" s="147"/>
      <c r="R69" s="106" t="str">
        <f t="shared" si="17"/>
        <v>Rick</v>
      </c>
      <c r="S69" s="146" t="str">
        <f>IF(B69="","",IF(COUNTIF('Resource Build-Up'!$B$7:$B$306,B69)=0,"NO RESOURCE",IF(COUNTIFS('Resource Build-Up'!$B$7:$B$306,B69,'Resource Build-Up'!$AI$7:$AI$306,"&lt;&gt;OK")&gt;0,"RESOURCE QA","LINKED")))</f>
        <v/>
      </c>
      <c r="T69" s="140"/>
    </row>
    <row r="70" spans="1:20" ht="26.45" customHeight="1" x14ac:dyDescent="0.2">
      <c r="A70" s="35"/>
      <c r="B70" s="36"/>
      <c r="C70" s="36"/>
      <c r="D70" s="36"/>
      <c r="E70" s="17"/>
      <c r="F70" s="69">
        <f t="shared" si="12"/>
        <v>0</v>
      </c>
      <c r="G70" s="18">
        <f>IF(B70="",0,SUMIF('Resource Build-Up'!$B$7:$B$306,B70,'Resource Build-Up'!$Z$7:$Z$306))</f>
        <v>0</v>
      </c>
      <c r="H70" s="36"/>
      <c r="I70" s="36"/>
      <c r="J70" s="36"/>
      <c r="K70" s="36"/>
      <c r="L70" s="70" t="str">
        <f t="shared" si="13"/>
        <v/>
      </c>
      <c r="M70" s="71" t="str">
        <f t="shared" si="14"/>
        <v/>
      </c>
      <c r="N70" s="71" t="str">
        <f t="shared" si="15"/>
        <v/>
      </c>
      <c r="O70" s="71" t="str">
        <f t="shared" si="16"/>
        <v/>
      </c>
      <c r="P70" s="70" t="str">
        <f>IF(B70="","",IF(COUNTIF('Resource Build-Up'!$B$7:$B$306,B70)=0,IF(G70=0,"ZERO / REVIEW","NO RESOURCE"),"RESOURCE LINKED"))</f>
        <v/>
      </c>
      <c r="Q70" s="36"/>
      <c r="R70" s="106" t="str">
        <f t="shared" si="17"/>
        <v>Rick</v>
      </c>
      <c r="S70" s="146" t="str">
        <f>IF(B70="","",IF(COUNTIF('Resource Build-Up'!$B$7:$B$306,B70)=0,"NO RESOURCE",IF(COUNTIFS('Resource Build-Up'!$B$7:$B$306,B70,'Resource Build-Up'!$AI$7:$AI$306,"&lt;&gt;OK")&gt;0,"RESOURCE QA","LINKED")))</f>
        <v/>
      </c>
      <c r="T70" s="140"/>
    </row>
    <row r="71" spans="1:20" ht="26.45" customHeight="1" x14ac:dyDescent="0.2">
      <c r="A71" s="153"/>
      <c r="B71" s="153"/>
      <c r="C71" s="153"/>
      <c r="D71" s="153"/>
      <c r="E71" s="154"/>
      <c r="F71" s="155">
        <f t="shared" si="12"/>
        <v>0</v>
      </c>
      <c r="G71" s="155">
        <f>IF(B71="",0,SUMIF('Resource Build-Up'!$B$7:$B$306,B71,'Resource Build-Up'!$Z$7:$Z$306))</f>
        <v>0</v>
      </c>
      <c r="H71" s="153"/>
      <c r="I71" s="153"/>
      <c r="J71" s="153"/>
      <c r="K71" s="153"/>
      <c r="L71" s="146" t="str">
        <f t="shared" si="13"/>
        <v/>
      </c>
      <c r="M71" s="146" t="str">
        <f t="shared" si="14"/>
        <v/>
      </c>
      <c r="N71" s="146" t="str">
        <f t="shared" si="15"/>
        <v/>
      </c>
      <c r="O71" s="146" t="str">
        <f t="shared" si="16"/>
        <v/>
      </c>
      <c r="P71" s="146" t="str">
        <f>IF(B71="","",IF(COUNTIF('Resource Build-Up'!$B$7:$B$306,B71)=0,IF(G71=0,"ZERO / REVIEW","NO RESOURCE"),"RESOURCE LINKED"))</f>
        <v/>
      </c>
      <c r="Q71" s="153"/>
      <c r="R71" s="106" t="str">
        <f t="shared" si="17"/>
        <v>Rick</v>
      </c>
      <c r="S71" s="146" t="str">
        <f>IF(B71="","",IF(COUNTIF('Resource Build-Up'!$B$7:$B$306,B71)=0,"NO RESOURCE",IF(COUNTIFS('Resource Build-Up'!$B$7:$B$306,B71,'Resource Build-Up'!$AI$7:$AI$306,"&lt;&gt;OK")&gt;0,"RESOURCE QA","LINKED")))</f>
        <v/>
      </c>
      <c r="T71" s="140"/>
    </row>
    <row r="72" spans="1:20" ht="26.45" customHeight="1" x14ac:dyDescent="0.2">
      <c r="A72" s="35"/>
      <c r="B72" s="36"/>
      <c r="C72" s="36"/>
      <c r="D72" s="36"/>
      <c r="E72" s="17"/>
      <c r="F72" s="69">
        <f t="shared" si="12"/>
        <v>0</v>
      </c>
      <c r="G72" s="69">
        <f>IF(B72="",0,SUMIF('Resource Build-Up'!$B$7:$B$306,B72,'Resource Build-Up'!$Z$7:$Z$306))</f>
        <v>0</v>
      </c>
      <c r="H72" s="36"/>
      <c r="I72" s="36"/>
      <c r="J72" s="36"/>
      <c r="K72" s="36"/>
      <c r="L72" s="71" t="str">
        <f t="shared" si="13"/>
        <v/>
      </c>
      <c r="M72" s="71" t="str">
        <f t="shared" si="14"/>
        <v/>
      </c>
      <c r="N72" s="71" t="str">
        <f t="shared" si="15"/>
        <v/>
      </c>
      <c r="O72" s="71" t="str">
        <f t="shared" si="16"/>
        <v/>
      </c>
      <c r="P72" s="71" t="str">
        <f>IF(B72="","",IF(COUNTIF('Resource Build-Up'!$B$7:$B$306,B72)=0,IF(G72=0,"ZERO / REVIEW","NO RESOURCE"),"RESOURCE LINKED"))</f>
        <v/>
      </c>
      <c r="Q72" s="36"/>
      <c r="R72" s="106" t="str">
        <f t="shared" si="17"/>
        <v>Rick</v>
      </c>
      <c r="S72" s="146" t="str">
        <f>IF(B72="","",IF(COUNTIF('Resource Build-Up'!$B$7:$B$306,B72)=0,"NO RESOURCE",IF(COUNTIFS('Resource Build-Up'!$B$7:$B$306,B72,'Resource Build-Up'!$AI$7:$AI$306,"&lt;&gt;OK")&gt;0,"RESOURCE QA","LINKED")))</f>
        <v/>
      </c>
      <c r="T72" s="140"/>
    </row>
    <row r="73" spans="1:20" ht="26.45" customHeight="1" x14ac:dyDescent="0.2">
      <c r="A73" s="147"/>
      <c r="B73" s="147"/>
      <c r="C73" s="147"/>
      <c r="D73" s="147"/>
      <c r="E73" s="148"/>
      <c r="F73" s="149">
        <f t="shared" si="12"/>
        <v>0</v>
      </c>
      <c r="G73" s="149">
        <f>IF(B73="",0,SUMIF('Resource Build-Up'!$B$7:$B$306,B73,'Resource Build-Up'!$Z$7:$Z$306))</f>
        <v>0</v>
      </c>
      <c r="H73" s="147"/>
      <c r="I73" s="147"/>
      <c r="J73" s="147"/>
      <c r="K73" s="147"/>
      <c r="L73" s="150" t="str">
        <f t="shared" si="13"/>
        <v/>
      </c>
      <c r="M73" s="150" t="str">
        <f t="shared" si="14"/>
        <v/>
      </c>
      <c r="N73" s="150" t="str">
        <f t="shared" si="15"/>
        <v/>
      </c>
      <c r="O73" s="150" t="str">
        <f t="shared" si="16"/>
        <v/>
      </c>
      <c r="P73" s="150" t="str">
        <f>IF(B73="","",IF(COUNTIF('Resource Build-Up'!$B$7:$B$306,B73)=0,IF(G73=0,"ZERO / REVIEW","NO RESOURCE"),"RESOURCE LINKED"))</f>
        <v/>
      </c>
      <c r="Q73" s="147"/>
      <c r="R73" s="106" t="str">
        <f t="shared" si="17"/>
        <v>Rick</v>
      </c>
      <c r="S73" s="146" t="str">
        <f>IF(B73="","",IF(COUNTIF('Resource Build-Up'!$B$7:$B$306,B73)=0,"NO RESOURCE",IF(COUNTIFS('Resource Build-Up'!$B$7:$B$306,B73,'Resource Build-Up'!$AI$7:$AI$306,"&lt;&gt;OK")&gt;0,"RESOURCE QA","LINKED")))</f>
        <v/>
      </c>
      <c r="T73" s="140"/>
    </row>
    <row r="74" spans="1:20" ht="21.4" customHeight="1" x14ac:dyDescent="0.2">
      <c r="A74" s="157" t="s">
        <v>324</v>
      </c>
      <c r="B74" s="157"/>
      <c r="C74" s="157"/>
      <c r="D74" s="157"/>
      <c r="E74" s="158"/>
      <c r="F74" s="158"/>
      <c r="G74" s="159">
        <f>SUM(G3:G73)</f>
        <v>0</v>
      </c>
      <c r="H74" s="157"/>
      <c r="I74" s="157"/>
      <c r="J74" s="157"/>
      <c r="K74" s="157"/>
      <c r="L74" s="157"/>
      <c r="M74" s="157"/>
      <c r="N74" s="157"/>
      <c r="O74" s="157"/>
      <c r="P74" s="157"/>
      <c r="Q74" s="157"/>
      <c r="R74" s="106"/>
      <c r="S74" s="106"/>
      <c r="T74" s="140"/>
    </row>
    <row r="75" spans="1:20" ht="21.4" customHeight="1" x14ac:dyDescent="0.2">
      <c r="A75" s="107"/>
      <c r="B75" s="107"/>
      <c r="C75" s="107"/>
      <c r="D75" s="107"/>
      <c r="E75" s="119"/>
      <c r="F75" s="160"/>
      <c r="G75" s="161"/>
      <c r="H75" s="107"/>
      <c r="I75" s="107"/>
      <c r="J75" s="107"/>
      <c r="K75" s="107"/>
      <c r="L75" s="107"/>
      <c r="M75" s="107"/>
      <c r="N75" s="107"/>
      <c r="O75" s="107"/>
      <c r="P75" s="107"/>
      <c r="Q75" s="107"/>
      <c r="R75" s="106"/>
      <c r="S75" s="106"/>
      <c r="T75" s="106"/>
    </row>
    <row r="76" spans="1:20" ht="21.4" customHeight="1" x14ac:dyDescent="0.2">
      <c r="A76" s="107"/>
      <c r="B76" s="107"/>
      <c r="C76" s="107"/>
      <c r="D76" s="107"/>
      <c r="E76" s="119"/>
      <c r="F76" s="160"/>
      <c r="G76" s="161"/>
      <c r="H76" s="107"/>
      <c r="I76" s="107"/>
      <c r="J76" s="107"/>
      <c r="K76" s="107"/>
      <c r="L76" s="107"/>
      <c r="M76" s="107"/>
      <c r="N76" s="107"/>
      <c r="O76" s="107"/>
      <c r="P76" s="107"/>
      <c r="Q76" s="107"/>
      <c r="R76" s="106"/>
      <c r="S76" s="106"/>
      <c r="T76" s="106"/>
    </row>
    <row r="77" spans="1:20" ht="21.4" customHeight="1" x14ac:dyDescent="0.2">
      <c r="A77" s="20"/>
      <c r="B77" s="20"/>
      <c r="C77" s="20"/>
      <c r="D77" s="20"/>
      <c r="E77" s="162"/>
      <c r="F77" s="163"/>
      <c r="G77" s="24"/>
      <c r="H77" s="20"/>
      <c r="I77" s="20"/>
      <c r="J77" s="20"/>
      <c r="K77" s="21"/>
      <c r="L77" s="20"/>
      <c r="M77" s="20"/>
      <c r="N77" s="20"/>
      <c r="O77" s="20"/>
      <c r="P77" s="20"/>
      <c r="Q77" s="20"/>
      <c r="R77" s="106"/>
      <c r="S77" s="106"/>
      <c r="T77" s="106"/>
    </row>
    <row r="78" spans="1:20" ht="21.4" customHeight="1" x14ac:dyDescent="0.2">
      <c r="A78" s="20"/>
      <c r="B78" s="20"/>
      <c r="C78" s="20"/>
      <c r="D78" s="20"/>
      <c r="E78" s="162"/>
      <c r="F78" s="163"/>
      <c r="G78" s="24"/>
      <c r="H78" s="20"/>
      <c r="I78" s="20"/>
      <c r="J78" s="20"/>
      <c r="K78" s="21"/>
      <c r="L78" s="20"/>
      <c r="M78" s="20"/>
      <c r="N78" s="20"/>
      <c r="O78" s="20"/>
      <c r="P78" s="20"/>
      <c r="Q78" s="20"/>
      <c r="R78" s="106"/>
      <c r="S78" s="106"/>
      <c r="T78" s="106"/>
    </row>
    <row r="79" spans="1:20" ht="21.4" customHeight="1" x14ac:dyDescent="0.2">
      <c r="A79" s="107"/>
      <c r="B79" s="107"/>
      <c r="C79" s="107"/>
      <c r="D79" s="107"/>
      <c r="E79" s="119"/>
      <c r="F79" s="160"/>
      <c r="G79" s="161"/>
      <c r="H79" s="107"/>
      <c r="I79" s="107"/>
      <c r="J79" s="107"/>
      <c r="K79" s="107"/>
      <c r="L79" s="107"/>
      <c r="M79" s="107"/>
      <c r="N79" s="107"/>
      <c r="O79" s="107"/>
      <c r="P79" s="107"/>
      <c r="Q79" s="107"/>
      <c r="R79" s="106"/>
      <c r="S79" s="106"/>
      <c r="T79" s="106"/>
    </row>
    <row r="80" spans="1:20" ht="21.4" customHeight="1" x14ac:dyDescent="0.2">
      <c r="A80" s="20"/>
      <c r="B80" s="21"/>
      <c r="C80" s="21"/>
      <c r="D80" s="21"/>
      <c r="E80" s="22"/>
      <c r="F80" s="23"/>
      <c r="G80" s="24"/>
      <c r="H80" s="21"/>
      <c r="I80" s="21"/>
      <c r="J80" s="21"/>
      <c r="K80" s="21"/>
      <c r="L80" s="20"/>
      <c r="M80" s="21"/>
      <c r="N80" s="21"/>
      <c r="O80" s="21"/>
      <c r="P80" s="20"/>
      <c r="Q80" s="21"/>
      <c r="R80" s="106"/>
      <c r="S80" s="106"/>
      <c r="T80" s="106"/>
    </row>
    <row r="81" spans="1:20" ht="21.4" customHeight="1" x14ac:dyDescent="0.2">
      <c r="A81" s="106"/>
      <c r="B81" s="106"/>
      <c r="C81" s="106"/>
      <c r="D81" s="106"/>
      <c r="E81" s="164"/>
      <c r="F81" s="130"/>
      <c r="G81" s="130"/>
      <c r="H81" s="106"/>
      <c r="I81" s="106"/>
      <c r="J81" s="106"/>
      <c r="K81" s="106"/>
      <c r="L81" s="106"/>
      <c r="M81" s="106"/>
      <c r="N81" s="106"/>
      <c r="O81" s="106"/>
      <c r="P81" s="106"/>
      <c r="Q81" s="106"/>
      <c r="R81" s="106"/>
      <c r="S81" s="106"/>
      <c r="T81" s="106"/>
    </row>
    <row r="82" spans="1:20" ht="21.4" customHeight="1" x14ac:dyDescent="0.2">
      <c r="A82" s="20"/>
      <c r="B82" s="21"/>
      <c r="C82" s="21"/>
      <c r="D82" s="21"/>
      <c r="E82" s="22"/>
      <c r="F82" s="23"/>
      <c r="G82" s="23"/>
      <c r="H82" s="21"/>
      <c r="I82" s="21"/>
      <c r="J82" s="21"/>
      <c r="K82" s="21"/>
      <c r="L82" s="21"/>
      <c r="M82" s="21"/>
      <c r="N82" s="21"/>
      <c r="O82" s="21"/>
      <c r="P82" s="21"/>
      <c r="Q82" s="21"/>
      <c r="R82" s="106"/>
      <c r="S82" s="106"/>
      <c r="T82" s="106"/>
    </row>
    <row r="83" spans="1:20" ht="21.4" customHeight="1" x14ac:dyDescent="0.2">
      <c r="A83" s="107"/>
      <c r="B83" s="107"/>
      <c r="C83" s="107"/>
      <c r="D83" s="107"/>
      <c r="E83" s="119"/>
      <c r="F83" s="160"/>
      <c r="G83" s="161"/>
      <c r="H83" s="107"/>
      <c r="I83" s="107"/>
      <c r="J83" s="107"/>
      <c r="K83" s="107"/>
      <c r="L83" s="107"/>
      <c r="M83" s="107"/>
      <c r="N83" s="107"/>
      <c r="O83" s="107"/>
      <c r="P83" s="107"/>
      <c r="Q83" s="107"/>
      <c r="R83" s="106"/>
      <c r="S83" s="106"/>
      <c r="T83" s="106"/>
    </row>
    <row r="84" spans="1:20" ht="21.4" customHeight="1" x14ac:dyDescent="0.2">
      <c r="A84" s="107"/>
      <c r="B84" s="107"/>
      <c r="C84" s="107"/>
      <c r="D84" s="107"/>
      <c r="E84" s="119"/>
      <c r="F84" s="160"/>
      <c r="G84" s="161"/>
      <c r="H84" s="107"/>
      <c r="I84" s="107"/>
      <c r="J84" s="107"/>
      <c r="K84" s="106"/>
      <c r="L84" s="107"/>
      <c r="M84" s="107"/>
      <c r="N84" s="107"/>
      <c r="O84" s="107"/>
      <c r="P84" s="107"/>
      <c r="Q84" s="107"/>
      <c r="R84" s="106"/>
      <c r="S84" s="106"/>
      <c r="T84" s="106"/>
    </row>
    <row r="85" spans="1:20" ht="21.4" customHeight="1" x14ac:dyDescent="0.2">
      <c r="A85" s="107"/>
      <c r="B85" s="107"/>
      <c r="C85" s="107"/>
      <c r="D85" s="107"/>
      <c r="E85" s="119"/>
      <c r="F85" s="160"/>
      <c r="G85" s="161"/>
      <c r="H85" s="107"/>
      <c r="I85" s="107"/>
      <c r="J85" s="107"/>
      <c r="K85" s="106"/>
      <c r="L85" s="107"/>
      <c r="M85" s="107"/>
      <c r="N85" s="107"/>
      <c r="O85" s="107"/>
      <c r="P85" s="107"/>
      <c r="Q85" s="107"/>
      <c r="R85" s="106"/>
      <c r="S85" s="106"/>
      <c r="T85" s="106"/>
    </row>
    <row r="86" spans="1:20" ht="21.4" customHeight="1" x14ac:dyDescent="0.2">
      <c r="A86" s="107"/>
      <c r="B86" s="107"/>
      <c r="C86" s="107"/>
      <c r="D86" s="107"/>
      <c r="E86" s="119"/>
      <c r="F86" s="160"/>
      <c r="G86" s="161"/>
      <c r="H86" s="107"/>
      <c r="I86" s="107"/>
      <c r="J86" s="107"/>
      <c r="K86" s="106"/>
      <c r="L86" s="107"/>
      <c r="M86" s="107"/>
      <c r="N86" s="107"/>
      <c r="O86" s="107"/>
      <c r="P86" s="107"/>
      <c r="Q86" s="107"/>
      <c r="R86" s="106"/>
      <c r="S86" s="106"/>
      <c r="T86" s="106"/>
    </row>
    <row r="87" spans="1:20" ht="21.4" customHeight="1" x14ac:dyDescent="0.2">
      <c r="A87" s="107"/>
      <c r="B87" s="107"/>
      <c r="C87" s="107"/>
      <c r="D87" s="107"/>
      <c r="E87" s="119"/>
      <c r="F87" s="160"/>
      <c r="G87" s="161"/>
      <c r="H87" s="107"/>
      <c r="I87" s="107"/>
      <c r="J87" s="107"/>
      <c r="K87" s="107"/>
      <c r="L87" s="107"/>
      <c r="M87" s="107"/>
      <c r="N87" s="107"/>
      <c r="O87" s="107"/>
      <c r="P87" s="107"/>
      <c r="Q87" s="107"/>
      <c r="R87" s="106"/>
      <c r="S87" s="106"/>
      <c r="T87" s="106"/>
    </row>
    <row r="88" spans="1:20" ht="21.4" customHeight="1" x14ac:dyDescent="0.2">
      <c r="A88" s="107"/>
      <c r="B88" s="107"/>
      <c r="C88" s="107"/>
      <c r="D88" s="107"/>
      <c r="E88" s="119"/>
      <c r="F88" s="160"/>
      <c r="G88" s="161"/>
      <c r="H88" s="107"/>
      <c r="I88" s="107"/>
      <c r="J88" s="107"/>
      <c r="K88" s="106"/>
      <c r="L88" s="107"/>
      <c r="M88" s="107"/>
      <c r="N88" s="107"/>
      <c r="O88" s="107"/>
      <c r="P88" s="107"/>
      <c r="Q88" s="107"/>
      <c r="R88" s="106"/>
      <c r="S88" s="106"/>
      <c r="T88" s="106"/>
    </row>
    <row r="89" spans="1:20" ht="21.4" customHeight="1" x14ac:dyDescent="0.2">
      <c r="A89" s="20"/>
      <c r="B89" s="20"/>
      <c r="C89" s="20"/>
      <c r="D89" s="20"/>
      <c r="E89" s="162"/>
      <c r="F89" s="163"/>
      <c r="G89" s="24"/>
      <c r="H89" s="20"/>
      <c r="I89" s="20"/>
      <c r="J89" s="20"/>
      <c r="K89" s="20"/>
      <c r="L89" s="20"/>
      <c r="M89" s="20"/>
      <c r="N89" s="20"/>
      <c r="O89" s="20"/>
      <c r="P89" s="20"/>
      <c r="Q89" s="20"/>
      <c r="R89" s="106"/>
      <c r="S89" s="106"/>
      <c r="T89" s="106"/>
    </row>
    <row r="90" spans="1:20" ht="21.4" customHeight="1" x14ac:dyDescent="0.2">
      <c r="A90" s="20"/>
      <c r="B90" s="21"/>
      <c r="C90" s="21"/>
      <c r="D90" s="21"/>
      <c r="E90" s="22"/>
      <c r="F90" s="23"/>
      <c r="G90" s="24"/>
      <c r="H90" s="21"/>
      <c r="I90" s="21"/>
      <c r="J90" s="21"/>
      <c r="K90" s="21"/>
      <c r="L90" s="20"/>
      <c r="M90" s="21"/>
      <c r="N90" s="21"/>
      <c r="O90" s="21"/>
      <c r="P90" s="20"/>
      <c r="Q90" s="21"/>
      <c r="R90" s="106"/>
      <c r="S90" s="106"/>
      <c r="T90" s="106"/>
    </row>
    <row r="91" spans="1:20" ht="21.4" customHeight="1" x14ac:dyDescent="0.2">
      <c r="A91" s="106"/>
      <c r="B91" s="106"/>
      <c r="C91" s="106"/>
      <c r="D91" s="106"/>
      <c r="E91" s="164"/>
      <c r="F91" s="130"/>
      <c r="G91" s="130"/>
      <c r="H91" s="106"/>
      <c r="I91" s="106"/>
      <c r="J91" s="106"/>
      <c r="K91" s="106"/>
      <c r="L91" s="106"/>
      <c r="M91" s="106"/>
      <c r="N91" s="106"/>
      <c r="O91" s="106"/>
      <c r="P91" s="106"/>
      <c r="Q91" s="106"/>
      <c r="R91" s="106"/>
      <c r="S91" s="106"/>
      <c r="T91" s="106"/>
    </row>
    <row r="92" spans="1:20" ht="21.4" customHeight="1" x14ac:dyDescent="0.2">
      <c r="A92" s="20"/>
      <c r="B92" s="21"/>
      <c r="C92" s="21"/>
      <c r="D92" s="21"/>
      <c r="E92" s="22"/>
      <c r="F92" s="23"/>
      <c r="G92" s="23"/>
      <c r="H92" s="21"/>
      <c r="I92" s="21"/>
      <c r="J92" s="21"/>
      <c r="K92" s="21"/>
      <c r="L92" s="21"/>
      <c r="M92" s="21"/>
      <c r="N92" s="21"/>
      <c r="O92" s="21"/>
      <c r="P92" s="21"/>
      <c r="Q92" s="21"/>
      <c r="R92" s="106"/>
      <c r="S92" s="106"/>
      <c r="T92" s="106"/>
    </row>
    <row r="93" spans="1:20" ht="21.4" customHeight="1" x14ac:dyDescent="0.2">
      <c r="A93" s="107"/>
      <c r="B93" s="107"/>
      <c r="C93" s="107"/>
      <c r="D93" s="107"/>
      <c r="E93" s="119"/>
      <c r="F93" s="160"/>
      <c r="G93" s="161"/>
      <c r="H93" s="107"/>
      <c r="I93" s="107"/>
      <c r="J93" s="107"/>
      <c r="K93" s="107"/>
      <c r="L93" s="107"/>
      <c r="M93" s="107"/>
      <c r="N93" s="107"/>
      <c r="O93" s="107"/>
      <c r="P93" s="107"/>
      <c r="Q93" s="107"/>
      <c r="R93" s="106"/>
      <c r="S93" s="106"/>
      <c r="T93" s="106"/>
    </row>
    <row r="94" spans="1:20" ht="21.4" customHeight="1" x14ac:dyDescent="0.2">
      <c r="A94" s="107"/>
      <c r="B94" s="107"/>
      <c r="C94" s="107"/>
      <c r="D94" s="107"/>
      <c r="E94" s="119"/>
      <c r="F94" s="160"/>
      <c r="G94" s="161"/>
      <c r="H94" s="107"/>
      <c r="I94" s="107"/>
      <c r="J94" s="107"/>
      <c r="K94" s="107"/>
      <c r="L94" s="107"/>
      <c r="M94" s="107"/>
      <c r="N94" s="107"/>
      <c r="O94" s="107"/>
      <c r="P94" s="107"/>
      <c r="Q94" s="107"/>
      <c r="R94" s="106"/>
      <c r="S94" s="106"/>
      <c r="T94" s="106"/>
    </row>
    <row r="95" spans="1:20" ht="21.4" customHeight="1" x14ac:dyDescent="0.2">
      <c r="A95" s="20"/>
      <c r="B95" s="20"/>
      <c r="C95" s="20"/>
      <c r="D95" s="20"/>
      <c r="E95" s="162"/>
      <c r="F95" s="163"/>
      <c r="G95" s="24"/>
      <c r="H95" s="20"/>
      <c r="I95" s="20"/>
      <c r="J95" s="20"/>
      <c r="K95" s="21"/>
      <c r="L95" s="20"/>
      <c r="M95" s="20"/>
      <c r="N95" s="20"/>
      <c r="O95" s="20"/>
      <c r="P95" s="20"/>
      <c r="Q95" s="20"/>
      <c r="R95" s="106"/>
      <c r="S95" s="106"/>
      <c r="T95" s="106"/>
    </row>
    <row r="96" spans="1:20" ht="21.4" customHeight="1" x14ac:dyDescent="0.2">
      <c r="A96" s="20"/>
      <c r="B96" s="20"/>
      <c r="C96" s="20"/>
      <c r="D96" s="20"/>
      <c r="E96" s="162"/>
      <c r="F96" s="163"/>
      <c r="G96" s="24"/>
      <c r="H96" s="20"/>
      <c r="I96" s="20"/>
      <c r="J96" s="20"/>
      <c r="K96" s="20"/>
      <c r="L96" s="20"/>
      <c r="M96" s="20"/>
      <c r="N96" s="20"/>
      <c r="O96" s="20"/>
      <c r="P96" s="20"/>
      <c r="Q96" s="20"/>
      <c r="R96" s="106"/>
      <c r="S96" s="106"/>
      <c r="T96" s="106"/>
    </row>
    <row r="97" spans="1:20" ht="21.4" customHeight="1" x14ac:dyDescent="0.2">
      <c r="A97" s="20"/>
      <c r="B97" s="21"/>
      <c r="C97" s="21"/>
      <c r="D97" s="21"/>
      <c r="E97" s="22"/>
      <c r="F97" s="23"/>
      <c r="G97" s="24"/>
      <c r="H97" s="21"/>
      <c r="I97" s="21"/>
      <c r="J97" s="21"/>
      <c r="K97" s="21"/>
      <c r="L97" s="20"/>
      <c r="M97" s="21"/>
      <c r="N97" s="21"/>
      <c r="O97" s="21"/>
      <c r="P97" s="20"/>
      <c r="Q97" s="21"/>
      <c r="R97" s="106"/>
      <c r="S97" s="106"/>
      <c r="T97" s="106"/>
    </row>
    <row r="98" spans="1:20" ht="21.4" customHeight="1" x14ac:dyDescent="0.2">
      <c r="A98" s="106"/>
      <c r="B98" s="106"/>
      <c r="C98" s="106"/>
      <c r="D98" s="106"/>
      <c r="E98" s="164"/>
      <c r="F98" s="130"/>
      <c r="G98" s="130"/>
      <c r="H98" s="106"/>
      <c r="I98" s="106"/>
      <c r="J98" s="106"/>
      <c r="K98" s="106"/>
      <c r="L98" s="106"/>
      <c r="M98" s="106"/>
      <c r="N98" s="106"/>
      <c r="O98" s="106"/>
      <c r="P98" s="106"/>
      <c r="Q98" s="106"/>
      <c r="R98" s="106"/>
      <c r="S98" s="106"/>
      <c r="T98" s="106"/>
    </row>
    <row r="99" spans="1:20" ht="21.4" customHeight="1" x14ac:dyDescent="0.2">
      <c r="A99" s="20"/>
      <c r="B99" s="21"/>
      <c r="C99" s="21"/>
      <c r="D99" s="21"/>
      <c r="E99" s="22"/>
      <c r="F99" s="23"/>
      <c r="G99" s="23"/>
      <c r="H99" s="21"/>
      <c r="I99" s="21"/>
      <c r="J99" s="21"/>
      <c r="K99" s="20"/>
      <c r="L99" s="21"/>
      <c r="M99" s="21"/>
      <c r="N99" s="21"/>
      <c r="O99" s="21"/>
      <c r="P99" s="21"/>
      <c r="Q99" s="21"/>
      <c r="R99" s="106"/>
      <c r="S99" s="106"/>
      <c r="T99" s="106"/>
    </row>
    <row r="100" spans="1:20" ht="21.4" customHeight="1" x14ac:dyDescent="0.2">
      <c r="A100" s="107"/>
      <c r="B100" s="107"/>
      <c r="C100" s="107"/>
      <c r="D100" s="107"/>
      <c r="E100" s="119"/>
      <c r="F100" s="160"/>
      <c r="G100" s="161"/>
      <c r="H100" s="107"/>
      <c r="I100" s="107"/>
      <c r="J100" s="107"/>
      <c r="K100" s="107"/>
      <c r="L100" s="107"/>
      <c r="M100" s="107"/>
      <c r="N100" s="107"/>
      <c r="O100" s="107"/>
      <c r="P100" s="107"/>
      <c r="Q100" s="107"/>
      <c r="R100" s="106"/>
      <c r="S100" s="106"/>
      <c r="T100" s="106"/>
    </row>
    <row r="101" spans="1:20" ht="21.4" customHeight="1" x14ac:dyDescent="0.2">
      <c r="A101" s="107"/>
      <c r="B101" s="107"/>
      <c r="C101" s="107"/>
      <c r="D101" s="107"/>
      <c r="E101" s="119"/>
      <c r="F101" s="160"/>
      <c r="G101" s="161"/>
      <c r="H101" s="107"/>
      <c r="I101" s="107"/>
      <c r="J101" s="107"/>
      <c r="K101" s="107"/>
      <c r="L101" s="107"/>
      <c r="M101" s="107"/>
      <c r="N101" s="107"/>
      <c r="O101" s="107"/>
      <c r="P101" s="107"/>
      <c r="Q101" s="107"/>
      <c r="R101" s="106"/>
      <c r="S101" s="106"/>
      <c r="T101" s="106"/>
    </row>
    <row r="102" spans="1:20" ht="21.4" customHeight="1" x14ac:dyDescent="0.2">
      <c r="A102" s="107"/>
      <c r="B102" s="107"/>
      <c r="C102" s="107"/>
      <c r="D102" s="107"/>
      <c r="E102" s="119"/>
      <c r="F102" s="160"/>
      <c r="G102" s="161"/>
      <c r="H102" s="107"/>
      <c r="I102" s="107"/>
      <c r="J102" s="107"/>
      <c r="K102" s="107"/>
      <c r="L102" s="107"/>
      <c r="M102" s="107"/>
      <c r="N102" s="107"/>
      <c r="O102" s="107"/>
      <c r="P102" s="107"/>
      <c r="Q102" s="107"/>
      <c r="R102" s="106"/>
      <c r="S102" s="106"/>
      <c r="T102" s="106"/>
    </row>
    <row r="103" spans="1:20" ht="21.4" customHeight="1" x14ac:dyDescent="0.2">
      <c r="A103" s="107"/>
      <c r="B103" s="107"/>
      <c r="C103" s="107"/>
      <c r="D103" s="107"/>
      <c r="E103" s="119"/>
      <c r="F103" s="160"/>
      <c r="G103" s="161"/>
      <c r="H103" s="107"/>
      <c r="I103" s="107"/>
      <c r="J103" s="107"/>
      <c r="K103" s="107"/>
      <c r="L103" s="107"/>
      <c r="M103" s="107"/>
      <c r="N103" s="107"/>
      <c r="O103" s="107"/>
      <c r="P103" s="107"/>
      <c r="Q103" s="107"/>
      <c r="R103" s="106"/>
      <c r="S103" s="106"/>
      <c r="T103" s="106"/>
    </row>
    <row r="104" spans="1:20" ht="21.4" customHeight="1" x14ac:dyDescent="0.2">
      <c r="A104" s="20"/>
      <c r="B104" s="20"/>
      <c r="C104" s="20"/>
      <c r="D104" s="20"/>
      <c r="E104" s="162"/>
      <c r="F104" s="163"/>
      <c r="G104" s="24"/>
      <c r="H104" s="20"/>
      <c r="I104" s="20"/>
      <c r="J104" s="20"/>
      <c r="K104" s="20"/>
      <c r="L104" s="20"/>
      <c r="M104" s="20"/>
      <c r="N104" s="20"/>
      <c r="O104" s="20"/>
      <c r="P104" s="20"/>
      <c r="Q104" s="20"/>
      <c r="R104" s="106"/>
      <c r="S104" s="106"/>
      <c r="T104" s="106"/>
    </row>
    <row r="105" spans="1:20" ht="21.4" customHeight="1" x14ac:dyDescent="0.2">
      <c r="A105" s="20"/>
      <c r="B105" s="20"/>
      <c r="C105" s="20"/>
      <c r="D105" s="20"/>
      <c r="E105" s="162"/>
      <c r="F105" s="163"/>
      <c r="G105" s="24"/>
      <c r="H105" s="20"/>
      <c r="I105" s="20"/>
      <c r="J105" s="20"/>
      <c r="K105" s="20"/>
      <c r="L105" s="20"/>
      <c r="M105" s="20"/>
      <c r="N105" s="20"/>
      <c r="O105" s="20"/>
      <c r="P105" s="20"/>
      <c r="Q105" s="20"/>
      <c r="R105" s="106"/>
      <c r="S105" s="106"/>
      <c r="T105" s="106"/>
    </row>
    <row r="106" spans="1:20" ht="21.4" customHeight="1" x14ac:dyDescent="0.2">
      <c r="A106" s="107"/>
      <c r="B106" s="107"/>
      <c r="C106" s="107"/>
      <c r="D106" s="107"/>
      <c r="E106" s="119"/>
      <c r="F106" s="160"/>
      <c r="G106" s="161"/>
      <c r="H106" s="107"/>
      <c r="I106" s="107"/>
      <c r="J106" s="107"/>
      <c r="K106" s="107"/>
      <c r="L106" s="107"/>
      <c r="M106" s="107"/>
      <c r="N106" s="107"/>
      <c r="O106" s="107"/>
      <c r="P106" s="107"/>
      <c r="Q106" s="107"/>
      <c r="R106" s="106"/>
      <c r="S106" s="106"/>
      <c r="T106" s="106"/>
    </row>
    <row r="107" spans="1:20" ht="21.4" customHeight="1" x14ac:dyDescent="0.2">
      <c r="A107" s="107"/>
      <c r="B107" s="107"/>
      <c r="C107" s="107"/>
      <c r="D107" s="107"/>
      <c r="E107" s="119"/>
      <c r="F107" s="160"/>
      <c r="G107" s="161"/>
      <c r="H107" s="107"/>
      <c r="I107" s="107"/>
      <c r="J107" s="107"/>
      <c r="K107" s="107"/>
      <c r="L107" s="107"/>
      <c r="M107" s="107"/>
      <c r="N107" s="107"/>
      <c r="O107" s="107"/>
      <c r="P107" s="107"/>
      <c r="Q107" s="107"/>
      <c r="R107" s="106"/>
      <c r="S107" s="106"/>
      <c r="T107" s="106"/>
    </row>
    <row r="108" spans="1:20" ht="21.4" customHeight="1" x14ac:dyDescent="0.2">
      <c r="A108" s="107"/>
      <c r="B108" s="107"/>
      <c r="C108" s="107"/>
      <c r="D108" s="107"/>
      <c r="E108" s="119"/>
      <c r="F108" s="160"/>
      <c r="G108" s="161"/>
      <c r="H108" s="107"/>
      <c r="I108" s="107"/>
      <c r="J108" s="107"/>
      <c r="K108" s="106"/>
      <c r="L108" s="107"/>
      <c r="M108" s="107"/>
      <c r="N108" s="107"/>
      <c r="O108" s="107"/>
      <c r="P108" s="107"/>
      <c r="Q108" s="107"/>
      <c r="R108" s="106"/>
      <c r="S108" s="106"/>
      <c r="T108" s="106"/>
    </row>
    <row r="109" spans="1:20" ht="21.4" customHeight="1" x14ac:dyDescent="0.2">
      <c r="A109" s="107"/>
      <c r="B109" s="107"/>
      <c r="C109" s="107"/>
      <c r="D109" s="107"/>
      <c r="E109" s="119"/>
      <c r="F109" s="160"/>
      <c r="G109" s="161"/>
      <c r="H109" s="107"/>
      <c r="I109" s="107"/>
      <c r="J109" s="107"/>
      <c r="K109" s="106"/>
      <c r="L109" s="107"/>
      <c r="M109" s="107"/>
      <c r="N109" s="107"/>
      <c r="O109" s="107"/>
      <c r="P109" s="107"/>
      <c r="Q109" s="107"/>
      <c r="R109" s="106"/>
      <c r="S109" s="106"/>
      <c r="T109" s="106"/>
    </row>
    <row r="110" spans="1:20" ht="21.4" customHeight="1" x14ac:dyDescent="0.2">
      <c r="A110" s="20"/>
      <c r="B110" s="21"/>
      <c r="C110" s="21"/>
      <c r="D110" s="21"/>
      <c r="E110" s="22"/>
      <c r="F110" s="23"/>
      <c r="G110" s="24"/>
      <c r="H110" s="21"/>
      <c r="I110" s="21"/>
      <c r="J110" s="21"/>
      <c r="K110" s="21"/>
      <c r="L110" s="20"/>
      <c r="M110" s="21"/>
      <c r="N110" s="21"/>
      <c r="O110" s="21"/>
      <c r="P110" s="20"/>
      <c r="Q110" s="21"/>
      <c r="R110" s="106"/>
      <c r="S110" s="106"/>
      <c r="T110" s="106"/>
    </row>
    <row r="111" spans="1:20" ht="21.4" customHeight="1" x14ac:dyDescent="0.2">
      <c r="A111" s="21"/>
      <c r="B111" s="21"/>
      <c r="C111" s="21"/>
      <c r="D111" s="21"/>
      <c r="E111" s="22"/>
      <c r="F111" s="23"/>
      <c r="G111" s="23"/>
      <c r="H111" s="21"/>
      <c r="I111" s="21"/>
      <c r="J111" s="21"/>
      <c r="K111" s="21"/>
      <c r="L111" s="21"/>
      <c r="M111" s="21"/>
      <c r="N111" s="21"/>
      <c r="O111" s="21"/>
      <c r="P111" s="21"/>
      <c r="Q111" s="21"/>
      <c r="R111" s="106"/>
      <c r="S111" s="106"/>
      <c r="T111" s="106"/>
    </row>
    <row r="112" spans="1:20" ht="21.4" customHeight="1" x14ac:dyDescent="0.2">
      <c r="A112" s="20"/>
      <c r="B112" s="21"/>
      <c r="C112" s="21"/>
      <c r="D112" s="21"/>
      <c r="E112" s="22"/>
      <c r="F112" s="23"/>
      <c r="G112" s="23"/>
      <c r="H112" s="21"/>
      <c r="I112" s="21"/>
      <c r="J112" s="21"/>
      <c r="K112" s="21"/>
      <c r="L112" s="21"/>
      <c r="M112" s="21"/>
      <c r="N112" s="21"/>
      <c r="O112" s="21"/>
      <c r="P112" s="21"/>
      <c r="Q112" s="21"/>
      <c r="R112" s="106"/>
      <c r="S112" s="106"/>
      <c r="T112" s="106"/>
    </row>
    <row r="113" spans="1:20" ht="21.4" customHeight="1" x14ac:dyDescent="0.2">
      <c r="A113" s="107"/>
      <c r="B113" s="107"/>
      <c r="C113" s="107"/>
      <c r="D113" s="107"/>
      <c r="E113" s="165"/>
      <c r="F113" s="160"/>
      <c r="G113" s="161"/>
      <c r="H113" s="107"/>
      <c r="I113" s="107"/>
      <c r="J113" s="107"/>
      <c r="K113" s="107"/>
      <c r="L113" s="107"/>
      <c r="M113" s="107"/>
      <c r="N113" s="107"/>
      <c r="O113" s="107"/>
      <c r="P113" s="107"/>
      <c r="Q113" s="107"/>
      <c r="R113" s="106"/>
      <c r="S113" s="106"/>
      <c r="T113" s="106"/>
    </row>
    <row r="114" spans="1:20" ht="21.4" customHeight="1" x14ac:dyDescent="0.2">
      <c r="A114" s="107"/>
      <c r="B114" s="107"/>
      <c r="C114" s="107"/>
      <c r="D114" s="107"/>
      <c r="E114" s="165"/>
      <c r="F114" s="160"/>
      <c r="G114" s="161"/>
      <c r="H114" s="107"/>
      <c r="I114" s="107"/>
      <c r="J114" s="107"/>
      <c r="K114" s="107"/>
      <c r="L114" s="107"/>
      <c r="M114" s="107"/>
      <c r="N114" s="107"/>
      <c r="O114" s="107"/>
      <c r="P114" s="107"/>
      <c r="Q114" s="107"/>
      <c r="R114" s="106"/>
      <c r="S114" s="106"/>
      <c r="T114" s="106"/>
    </row>
    <row r="115" spans="1:20" ht="21.4" customHeight="1" x14ac:dyDescent="0.2">
      <c r="A115" s="107"/>
      <c r="B115" s="107"/>
      <c r="C115" s="107"/>
      <c r="D115" s="107"/>
      <c r="E115" s="165"/>
      <c r="F115" s="160"/>
      <c r="G115" s="161"/>
      <c r="H115" s="107"/>
      <c r="I115" s="107"/>
      <c r="J115" s="107"/>
      <c r="K115" s="107"/>
      <c r="L115" s="107"/>
      <c r="M115" s="107"/>
      <c r="N115" s="107"/>
      <c r="O115" s="107"/>
      <c r="P115" s="107"/>
      <c r="Q115" s="107"/>
      <c r="R115" s="106"/>
      <c r="S115" s="106"/>
      <c r="T115" s="106"/>
    </row>
    <row r="116" spans="1:20" ht="21.4" customHeight="1" x14ac:dyDescent="0.2">
      <c r="A116" s="107"/>
      <c r="B116" s="107"/>
      <c r="C116" s="107"/>
      <c r="D116" s="107"/>
      <c r="E116" s="165"/>
      <c r="F116" s="160"/>
      <c r="G116" s="161"/>
      <c r="H116" s="107"/>
      <c r="I116" s="107"/>
      <c r="J116" s="107"/>
      <c r="K116" s="107"/>
      <c r="L116" s="107"/>
      <c r="M116" s="107"/>
      <c r="N116" s="107"/>
      <c r="O116" s="107"/>
      <c r="P116" s="107"/>
      <c r="Q116" s="107"/>
      <c r="R116" s="106"/>
      <c r="S116" s="106"/>
      <c r="T116" s="106"/>
    </row>
    <row r="117" spans="1:20" ht="21.4" customHeight="1" x14ac:dyDescent="0.2">
      <c r="A117" s="107"/>
      <c r="B117" s="107"/>
      <c r="C117" s="107"/>
      <c r="D117" s="107"/>
      <c r="E117" s="165"/>
      <c r="F117" s="160"/>
      <c r="G117" s="161"/>
      <c r="H117" s="107"/>
      <c r="I117" s="107"/>
      <c r="J117" s="107"/>
      <c r="K117" s="107"/>
      <c r="L117" s="107"/>
      <c r="M117" s="107"/>
      <c r="N117" s="107"/>
      <c r="O117" s="107"/>
      <c r="P117" s="107"/>
      <c r="Q117" s="107"/>
      <c r="R117" s="106"/>
      <c r="S117" s="106"/>
      <c r="T117" s="106"/>
    </row>
    <row r="118" spans="1:20" ht="21.4" customHeight="1" x14ac:dyDescent="0.2">
      <c r="A118" s="107"/>
      <c r="B118" s="107"/>
      <c r="C118" s="107"/>
      <c r="D118" s="107"/>
      <c r="E118" s="165"/>
      <c r="F118" s="160"/>
      <c r="G118" s="161"/>
      <c r="H118" s="107"/>
      <c r="I118" s="107"/>
      <c r="J118" s="107"/>
      <c r="K118" s="107"/>
      <c r="L118" s="107"/>
      <c r="M118" s="107"/>
      <c r="N118" s="107"/>
      <c r="O118" s="107"/>
      <c r="P118" s="107"/>
      <c r="Q118" s="107"/>
      <c r="R118" s="106"/>
      <c r="S118" s="106"/>
      <c r="T118" s="106"/>
    </row>
    <row r="119" spans="1:20" ht="21.4" customHeight="1" x14ac:dyDescent="0.2">
      <c r="A119" s="107"/>
      <c r="B119" s="107"/>
      <c r="C119" s="107"/>
      <c r="D119" s="107"/>
      <c r="E119" s="165"/>
      <c r="F119" s="160"/>
      <c r="G119" s="161"/>
      <c r="H119" s="107"/>
      <c r="I119" s="107"/>
      <c r="J119" s="107"/>
      <c r="K119" s="107"/>
      <c r="L119" s="107"/>
      <c r="M119" s="107"/>
      <c r="N119" s="107"/>
      <c r="O119" s="107"/>
      <c r="P119" s="107"/>
      <c r="Q119" s="107"/>
      <c r="R119" s="106"/>
      <c r="S119" s="106"/>
      <c r="T119" s="106"/>
    </row>
    <row r="120" spans="1:20" ht="21.4" customHeight="1" x14ac:dyDescent="0.2">
      <c r="A120" s="107"/>
      <c r="B120" s="107"/>
      <c r="C120" s="107"/>
      <c r="D120" s="107"/>
      <c r="E120" s="165"/>
      <c r="F120" s="160"/>
      <c r="G120" s="161"/>
      <c r="H120" s="107"/>
      <c r="I120" s="107"/>
      <c r="J120" s="107"/>
      <c r="K120" s="107"/>
      <c r="L120" s="107"/>
      <c r="M120" s="107"/>
      <c r="N120" s="107"/>
      <c r="O120" s="107"/>
      <c r="P120" s="107"/>
      <c r="Q120" s="107"/>
      <c r="R120" s="106"/>
      <c r="S120" s="106"/>
      <c r="T120" s="106"/>
    </row>
    <row r="121" spans="1:20" ht="21.4" customHeight="1" x14ac:dyDescent="0.2">
      <c r="A121" s="107"/>
      <c r="B121" s="107"/>
      <c r="C121" s="107"/>
      <c r="D121" s="107"/>
      <c r="E121" s="165"/>
      <c r="F121" s="160"/>
      <c r="G121" s="161"/>
      <c r="H121" s="107"/>
      <c r="I121" s="107"/>
      <c r="J121" s="107"/>
      <c r="K121" s="107"/>
      <c r="L121" s="107"/>
      <c r="M121" s="107"/>
      <c r="N121" s="107"/>
      <c r="O121" s="107"/>
      <c r="P121" s="107"/>
      <c r="Q121" s="107"/>
      <c r="R121" s="106"/>
      <c r="S121" s="106"/>
      <c r="T121" s="106"/>
    </row>
    <row r="122" spans="1:20" ht="21.4" customHeight="1" x14ac:dyDescent="0.2">
      <c r="A122" s="107"/>
      <c r="B122" s="107"/>
      <c r="C122" s="107"/>
      <c r="D122" s="107"/>
      <c r="E122" s="165"/>
      <c r="F122" s="160"/>
      <c r="G122" s="161"/>
      <c r="H122" s="107"/>
      <c r="I122" s="107"/>
      <c r="J122" s="107"/>
      <c r="K122" s="107"/>
      <c r="L122" s="107"/>
      <c r="M122" s="107"/>
      <c r="N122" s="107"/>
      <c r="O122" s="107"/>
      <c r="P122" s="107"/>
      <c r="Q122" s="107"/>
      <c r="R122" s="106"/>
      <c r="S122" s="106"/>
      <c r="T122" s="106"/>
    </row>
    <row r="123" spans="1:20" ht="21.4" customHeight="1" x14ac:dyDescent="0.2">
      <c r="A123" s="107"/>
      <c r="B123" s="107"/>
      <c r="C123" s="107"/>
      <c r="D123" s="107"/>
      <c r="E123" s="165"/>
      <c r="F123" s="160"/>
      <c r="G123" s="161"/>
      <c r="H123" s="107"/>
      <c r="I123" s="107"/>
      <c r="J123" s="107"/>
      <c r="K123" s="107"/>
      <c r="L123" s="107"/>
      <c r="M123" s="107"/>
      <c r="N123" s="107"/>
      <c r="O123" s="107"/>
      <c r="P123" s="107"/>
      <c r="Q123" s="107"/>
      <c r="R123" s="106"/>
      <c r="S123" s="106"/>
      <c r="T123" s="106"/>
    </row>
    <row r="124" spans="1:20" ht="21.4" customHeight="1" x14ac:dyDescent="0.2">
      <c r="A124" s="107"/>
      <c r="B124" s="107"/>
      <c r="C124" s="107"/>
      <c r="D124" s="107"/>
      <c r="E124" s="165"/>
      <c r="F124" s="160"/>
      <c r="G124" s="161"/>
      <c r="H124" s="107"/>
      <c r="I124" s="107"/>
      <c r="J124" s="107"/>
      <c r="K124" s="107"/>
      <c r="L124" s="107"/>
      <c r="M124" s="107"/>
      <c r="N124" s="107"/>
      <c r="O124" s="107"/>
      <c r="P124" s="107"/>
      <c r="Q124" s="107"/>
      <c r="R124" s="106"/>
      <c r="S124" s="106"/>
      <c r="T124" s="106"/>
    </row>
    <row r="125" spans="1:20" ht="21.4" customHeight="1" x14ac:dyDescent="0.2">
      <c r="A125" s="107"/>
      <c r="B125" s="107"/>
      <c r="C125" s="107"/>
      <c r="D125" s="107"/>
      <c r="E125" s="165"/>
      <c r="F125" s="160"/>
      <c r="G125" s="161"/>
      <c r="H125" s="107"/>
      <c r="I125" s="107"/>
      <c r="J125" s="107"/>
      <c r="K125" s="107"/>
      <c r="L125" s="107"/>
      <c r="M125" s="107"/>
      <c r="N125" s="107"/>
      <c r="O125" s="107"/>
      <c r="P125" s="107"/>
      <c r="Q125" s="107"/>
      <c r="R125" s="106"/>
      <c r="S125" s="106"/>
      <c r="T125" s="106"/>
    </row>
    <row r="126" spans="1:20" ht="21.4" customHeight="1" x14ac:dyDescent="0.2">
      <c r="A126" s="107"/>
      <c r="B126" s="107"/>
      <c r="C126" s="107"/>
      <c r="D126" s="107"/>
      <c r="E126" s="165"/>
      <c r="F126" s="160"/>
      <c r="G126" s="161"/>
      <c r="H126" s="107"/>
      <c r="I126" s="107"/>
      <c r="J126" s="107"/>
      <c r="K126" s="107"/>
      <c r="L126" s="107"/>
      <c r="M126" s="107"/>
      <c r="N126" s="107"/>
      <c r="O126" s="107"/>
      <c r="P126" s="107"/>
      <c r="Q126" s="107"/>
      <c r="R126" s="106"/>
      <c r="S126" s="106"/>
      <c r="T126" s="106"/>
    </row>
    <row r="127" spans="1:20" ht="21.4" customHeight="1" x14ac:dyDescent="0.2">
      <c r="A127" s="107"/>
      <c r="B127" s="107"/>
      <c r="C127" s="107"/>
      <c r="D127" s="107"/>
      <c r="E127" s="165"/>
      <c r="F127" s="160"/>
      <c r="G127" s="161"/>
      <c r="H127" s="107"/>
      <c r="I127" s="107"/>
      <c r="J127" s="107"/>
      <c r="K127" s="107"/>
      <c r="L127" s="107"/>
      <c r="M127" s="107"/>
      <c r="N127" s="107"/>
      <c r="O127" s="107"/>
      <c r="P127" s="107"/>
      <c r="Q127" s="107"/>
      <c r="R127" s="106"/>
      <c r="S127" s="106"/>
      <c r="T127" s="106"/>
    </row>
    <row r="128" spans="1:20" ht="21.4" customHeight="1" x14ac:dyDescent="0.2">
      <c r="A128" s="107"/>
      <c r="B128" s="107"/>
      <c r="C128" s="107"/>
      <c r="D128" s="107"/>
      <c r="E128" s="165"/>
      <c r="F128" s="160"/>
      <c r="G128" s="161"/>
      <c r="H128" s="107"/>
      <c r="I128" s="107"/>
      <c r="J128" s="107"/>
      <c r="K128" s="107"/>
      <c r="L128" s="107"/>
      <c r="M128" s="107"/>
      <c r="N128" s="107"/>
      <c r="O128" s="107"/>
      <c r="P128" s="107"/>
      <c r="Q128" s="107"/>
      <c r="R128" s="106"/>
      <c r="S128" s="106"/>
      <c r="T128" s="106"/>
    </row>
    <row r="129" spans="1:20" ht="21.4" customHeight="1" x14ac:dyDescent="0.2">
      <c r="A129" s="107"/>
      <c r="B129" s="107"/>
      <c r="C129" s="107"/>
      <c r="D129" s="107"/>
      <c r="E129" s="165"/>
      <c r="F129" s="160"/>
      <c r="G129" s="161"/>
      <c r="H129" s="107"/>
      <c r="I129" s="107"/>
      <c r="J129" s="107"/>
      <c r="K129" s="107"/>
      <c r="L129" s="107"/>
      <c r="M129" s="107"/>
      <c r="N129" s="107"/>
      <c r="O129" s="107"/>
      <c r="P129" s="107"/>
      <c r="Q129" s="107"/>
      <c r="R129" s="106"/>
      <c r="S129" s="106"/>
      <c r="T129" s="106"/>
    </row>
    <row r="130" spans="1:20" ht="21.4" customHeight="1" x14ac:dyDescent="0.2">
      <c r="A130" s="107"/>
      <c r="B130" s="107"/>
      <c r="C130" s="107"/>
      <c r="D130" s="107"/>
      <c r="E130" s="165"/>
      <c r="F130" s="160"/>
      <c r="G130" s="161"/>
      <c r="H130" s="107"/>
      <c r="I130" s="107"/>
      <c r="J130" s="107"/>
      <c r="K130" s="107"/>
      <c r="L130" s="107"/>
      <c r="M130" s="107"/>
      <c r="N130" s="107"/>
      <c r="O130" s="107"/>
      <c r="P130" s="107"/>
      <c r="Q130" s="107"/>
      <c r="R130" s="106"/>
      <c r="S130" s="106"/>
      <c r="T130" s="106"/>
    </row>
    <row r="131" spans="1:20" ht="21.4" customHeight="1" x14ac:dyDescent="0.2">
      <c r="A131" s="107"/>
      <c r="B131" s="107"/>
      <c r="C131" s="107"/>
      <c r="D131" s="107"/>
      <c r="E131" s="165"/>
      <c r="F131" s="160"/>
      <c r="G131" s="161"/>
      <c r="H131" s="107"/>
      <c r="I131" s="107"/>
      <c r="J131" s="107"/>
      <c r="K131" s="107"/>
      <c r="L131" s="107"/>
      <c r="M131" s="107"/>
      <c r="N131" s="107"/>
      <c r="O131" s="107"/>
      <c r="P131" s="107"/>
      <c r="Q131" s="107"/>
      <c r="R131" s="106"/>
      <c r="S131" s="106"/>
      <c r="T131" s="106"/>
    </row>
    <row r="132" spans="1:20" ht="21.4" customHeight="1" x14ac:dyDescent="0.2">
      <c r="A132" s="107"/>
      <c r="B132" s="107"/>
      <c r="C132" s="107"/>
      <c r="D132" s="107"/>
      <c r="E132" s="165"/>
      <c r="F132" s="160"/>
      <c r="G132" s="161"/>
      <c r="H132" s="107"/>
      <c r="I132" s="107"/>
      <c r="J132" s="107"/>
      <c r="K132" s="107"/>
      <c r="L132" s="107"/>
      <c r="M132" s="107"/>
      <c r="N132" s="107"/>
      <c r="O132" s="107"/>
      <c r="P132" s="107"/>
      <c r="Q132" s="107"/>
      <c r="R132" s="106"/>
      <c r="S132" s="106"/>
      <c r="T132" s="106"/>
    </row>
    <row r="133" spans="1:20" ht="21.4" customHeight="1" x14ac:dyDescent="0.2">
      <c r="A133" s="107"/>
      <c r="B133" s="107"/>
      <c r="C133" s="107"/>
      <c r="D133" s="107"/>
      <c r="E133" s="165"/>
      <c r="F133" s="160"/>
      <c r="G133" s="161"/>
      <c r="H133" s="107"/>
      <c r="I133" s="107"/>
      <c r="J133" s="107"/>
      <c r="K133" s="107"/>
      <c r="L133" s="107"/>
      <c r="M133" s="107"/>
      <c r="N133" s="107"/>
      <c r="O133" s="107"/>
      <c r="P133" s="107"/>
      <c r="Q133" s="107"/>
      <c r="R133" s="106"/>
      <c r="S133" s="106"/>
      <c r="T133" s="106"/>
    </row>
    <row r="134" spans="1:20" ht="21.4" customHeight="1" x14ac:dyDescent="0.2">
      <c r="A134" s="106"/>
      <c r="B134" s="106"/>
      <c r="C134" s="106"/>
      <c r="D134" s="106"/>
      <c r="E134" s="164"/>
      <c r="F134" s="130"/>
      <c r="G134" s="130"/>
      <c r="H134" s="106"/>
      <c r="I134" s="106"/>
      <c r="J134" s="106"/>
      <c r="K134" s="106"/>
      <c r="L134" s="106"/>
      <c r="M134" s="106"/>
      <c r="N134" s="106"/>
      <c r="O134" s="106"/>
      <c r="P134" s="106"/>
      <c r="Q134" s="106"/>
      <c r="R134" s="106"/>
      <c r="S134" s="106"/>
      <c r="T134" s="106"/>
    </row>
    <row r="135" spans="1:20" ht="21.4" customHeight="1" x14ac:dyDescent="0.2">
      <c r="A135" s="107"/>
      <c r="B135" s="271"/>
      <c r="C135" s="259"/>
      <c r="D135" s="259"/>
      <c r="E135" s="164"/>
      <c r="F135" s="130"/>
      <c r="G135" s="166"/>
      <c r="H135" s="106"/>
      <c r="I135" s="106"/>
      <c r="J135" s="106"/>
      <c r="K135" s="106"/>
      <c r="L135" s="106"/>
      <c r="M135" s="106"/>
      <c r="N135" s="106"/>
      <c r="O135" s="106"/>
      <c r="P135" s="106"/>
      <c r="Q135" s="106"/>
      <c r="R135" s="106"/>
      <c r="S135" s="106"/>
      <c r="T135" s="106"/>
    </row>
    <row r="136" spans="1:20" ht="21.4" customHeight="1" x14ac:dyDescent="0.2">
      <c r="A136" s="107"/>
      <c r="B136" s="271"/>
      <c r="C136" s="259"/>
      <c r="D136" s="259"/>
      <c r="E136" s="164"/>
      <c r="F136" s="130"/>
      <c r="G136" s="166"/>
      <c r="H136" s="106"/>
      <c r="I136" s="106"/>
      <c r="J136" s="106"/>
      <c r="K136" s="106"/>
      <c r="L136" s="106"/>
      <c r="M136" s="106"/>
      <c r="N136" s="106"/>
      <c r="O136" s="106"/>
      <c r="P136" s="106"/>
      <c r="Q136" s="106"/>
      <c r="R136" s="106"/>
      <c r="S136" s="106"/>
      <c r="T136" s="106"/>
    </row>
    <row r="137" spans="1:20" ht="21.4" customHeight="1" x14ac:dyDescent="0.2">
      <c r="A137" s="107"/>
      <c r="B137" s="271"/>
      <c r="C137" s="259"/>
      <c r="D137" s="259"/>
      <c r="E137" s="164"/>
      <c r="F137" s="130"/>
      <c r="G137" s="166"/>
      <c r="H137" s="106"/>
      <c r="I137" s="106"/>
      <c r="J137" s="106"/>
      <c r="K137" s="106"/>
      <c r="L137" s="106"/>
      <c r="M137" s="106"/>
      <c r="N137" s="106"/>
      <c r="O137" s="106"/>
      <c r="P137" s="106"/>
      <c r="Q137" s="106"/>
      <c r="R137" s="106"/>
      <c r="S137" s="106"/>
      <c r="T137" s="106"/>
    </row>
  </sheetData>
  <mergeCells count="5">
    <mergeCell ref="A1:C1"/>
    <mergeCell ref="B135:D135"/>
    <mergeCell ref="B136:D136"/>
    <mergeCell ref="B137:D137"/>
    <mergeCell ref="Q1:T1"/>
  </mergeCells>
  <conditionalFormatting sqref="F3:F109">
    <cfRule type="expression" dxfId="17" priority="1">
      <formula>$R3="Jason"</formula>
    </cfRule>
  </conditionalFormatting>
  <conditionalFormatting sqref="S3:S109">
    <cfRule type="expression" dxfId="16" priority="2">
      <formula>$S3="PC / Quote Required"</formula>
    </cfRule>
    <cfRule type="expression" dxfId="15" priority="3">
      <formula>$S3="Market Rate"</formula>
    </cfRule>
    <cfRule type="expression" dxfId="14" priority="4">
      <formula>$S3="Supplier Quote"</formula>
    </cfRule>
  </conditionalFormatting>
  <dataValidations count="2">
    <dataValidation type="custom" allowBlank="1" showErrorMessage="1" errorTitle="Linked formula cell" error="This value is linked. Change the upstream input/source instead of overwriting this cell." sqref="R64 R33 R3 L3:P73 S3:S73 F3:F73 G3:G74" xr:uid="{00000000-0002-0000-0400-000000000000}">
      <formula1>FALSE</formula1>
    </dataValidation>
    <dataValidation type="list" sqref="S3:S109" xr:uid="{00000000-0002-0000-0400-000001000000}">
      <formula1>"Supplier Quote,Historical Quote,Market Rate,Measured / Review,QS Build-up,PC / Quote Required,Closed,Review"</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1"/>
  <sheetViews>
    <sheetView zoomScaleNormal="60" zoomScaleSheetLayoutView="100" workbookViewId="0"/>
  </sheetViews>
  <sheetFormatPr defaultRowHeight="15" x14ac:dyDescent="0.2"/>
  <cols>
    <col min="1" max="1" width="44.2578125" style="1" customWidth="1"/>
    <col min="2" max="2" width="18.0234375" style="1" customWidth="1"/>
    <col min="3" max="3" width="9.953125" style="1" customWidth="1"/>
    <col min="4" max="4" width="13.046875" style="1" customWidth="1"/>
    <col min="5" max="5" width="14.9296875" style="1" customWidth="1"/>
    <col min="6" max="6" width="16.94921875" style="1" customWidth="1"/>
    <col min="7" max="7" width="14.9296875" style="1" customWidth="1"/>
    <col min="8" max="8" width="16.94921875" style="1" customWidth="1"/>
    <col min="9" max="10" width="14.9296875" style="1" customWidth="1"/>
    <col min="11" max="13" width="16.0078125" style="1" customWidth="1"/>
    <col min="14" max="14" width="13.046875" style="1" customWidth="1"/>
    <col min="15" max="15" width="16.94921875" style="1" customWidth="1"/>
    <col min="16" max="16" width="57.44140625" style="1" customWidth="1"/>
  </cols>
  <sheetData>
    <row r="1" spans="1:16" ht="27.75" customHeight="1" x14ac:dyDescent="0.2">
      <c r="A1" s="282" t="s">
        <v>1023</v>
      </c>
      <c r="B1" s="282"/>
      <c r="C1" s="282"/>
      <c r="D1" s="282"/>
      <c r="E1" s="282"/>
      <c r="F1" s="282"/>
      <c r="G1" s="282"/>
      <c r="H1" s="282"/>
      <c r="I1" s="282"/>
      <c r="J1" s="282"/>
      <c r="K1" s="282"/>
      <c r="L1" s="282"/>
      <c r="M1" s="282"/>
      <c r="N1" s="282"/>
      <c r="O1" s="282"/>
      <c r="P1" s="282"/>
    </row>
    <row r="2" spans="1:16" x14ac:dyDescent="0.2">
      <c r="A2" s="280" t="s">
        <v>1024</v>
      </c>
      <c r="B2" s="262"/>
      <c r="C2" s="262"/>
      <c r="D2" s="262"/>
      <c r="E2" s="262"/>
      <c r="F2" s="262"/>
      <c r="G2" s="262"/>
      <c r="H2" s="262"/>
      <c r="I2" s="262"/>
      <c r="J2" s="262"/>
      <c r="K2" s="262"/>
      <c r="L2" s="262"/>
      <c r="M2" s="27"/>
      <c r="N2" s="27"/>
      <c r="O2" s="27"/>
      <c r="P2" s="27"/>
    </row>
    <row r="3" spans="1:16" ht="20.100000000000001" customHeight="1" x14ac:dyDescent="0.2">
      <c r="A3" s="281" t="s">
        <v>1025</v>
      </c>
      <c r="B3" s="262"/>
      <c r="C3" s="262"/>
      <c r="D3" s="262"/>
      <c r="E3" s="262"/>
      <c r="F3" s="262"/>
      <c r="G3" s="262"/>
      <c r="H3" s="262"/>
      <c r="I3" s="262"/>
      <c r="J3" s="262"/>
      <c r="K3" s="262"/>
      <c r="L3" s="262"/>
      <c r="M3" s="262"/>
      <c r="N3" s="262"/>
      <c r="O3" s="262"/>
      <c r="P3" s="262"/>
    </row>
    <row r="4" spans="1:16" s="3" customFormat="1" ht="28.7" customHeight="1" x14ac:dyDescent="0.2">
      <c r="A4" s="167" t="s">
        <v>325</v>
      </c>
      <c r="B4" s="167" t="s">
        <v>326</v>
      </c>
      <c r="C4" s="167" t="s">
        <v>327</v>
      </c>
      <c r="D4" s="167" t="s">
        <v>328</v>
      </c>
      <c r="E4" s="167" t="s">
        <v>329</v>
      </c>
      <c r="F4" s="167" t="s">
        <v>330</v>
      </c>
      <c r="G4" s="167" t="s">
        <v>331</v>
      </c>
      <c r="H4" s="167" t="s">
        <v>332</v>
      </c>
      <c r="I4" s="167" t="s">
        <v>1026</v>
      </c>
      <c r="J4" s="167" t="s">
        <v>333</v>
      </c>
      <c r="K4" s="167" t="s">
        <v>334</v>
      </c>
      <c r="L4" s="167" t="s">
        <v>335</v>
      </c>
      <c r="M4" s="31" t="s">
        <v>336</v>
      </c>
      <c r="N4" s="31" t="s">
        <v>126</v>
      </c>
      <c r="O4" s="31" t="s">
        <v>337</v>
      </c>
      <c r="P4" s="31" t="s">
        <v>87</v>
      </c>
    </row>
    <row r="5" spans="1:16" s="3" customFormat="1" ht="23.45" customHeight="1" x14ac:dyDescent="0.2">
      <c r="A5" s="106" t="s">
        <v>338</v>
      </c>
      <c r="B5" s="140" t="s">
        <v>339</v>
      </c>
      <c r="C5" s="141">
        <f>IF('Commercial Inputs'!$F$28="Yes",'Commercial Inputs'!$D$28,0)</f>
        <v>0</v>
      </c>
      <c r="D5" s="140" t="str">
        <f>IF('Commercial Inputs'!$F$29="Yes","Yes","No")</f>
        <v>No</v>
      </c>
      <c r="E5" s="168">
        <f>0</f>
        <v>0</v>
      </c>
      <c r="F5" s="168">
        <f ca="1">'Tender Build-Up'!$B$47*C5</f>
        <v>0</v>
      </c>
      <c r="G5" s="168">
        <f>IF(AND(D5="Yes",'Commercial Inputs'!$F$26="Yes"),F5*'Commercial Inputs'!$D$26,0)</f>
        <v>0</v>
      </c>
      <c r="H5" s="168">
        <f t="shared" ref="H5:H11" ca="1" si="0">F5-G5</f>
        <v>0</v>
      </c>
      <c r="I5" s="168">
        <f>0</f>
        <v>0</v>
      </c>
      <c r="J5" s="168">
        <f t="shared" ref="J5:J11" ca="1" si="1">H5-I5</f>
        <v>0</v>
      </c>
      <c r="K5" s="168">
        <f t="shared" ref="K5:K11" ca="1" si="2">E5+J5</f>
        <v>0</v>
      </c>
      <c r="L5" s="168">
        <f ca="1">H5</f>
        <v>0</v>
      </c>
      <c r="M5" s="168">
        <f>G5</f>
        <v>0</v>
      </c>
      <c r="N5" s="168">
        <f>IF('Commercial Inputs'!$F$25="Yes",H5*'Commercial Inputs'!$D$25,0)</f>
        <v>0</v>
      </c>
      <c r="O5" s="168">
        <f t="shared" ref="O5:O11" ca="1" si="3">H5+N5</f>
        <v>0</v>
      </c>
      <c r="P5" s="166"/>
    </row>
    <row r="6" spans="1:16" s="3" customFormat="1" ht="23.45" customHeight="1" x14ac:dyDescent="0.2">
      <c r="A6" s="106" t="s">
        <v>340</v>
      </c>
      <c r="B6" s="140"/>
      <c r="C6" s="141"/>
      <c r="D6" s="140"/>
      <c r="E6" s="168">
        <f t="shared" ref="E6:E11" ca="1" si="4">K5</f>
        <v>0</v>
      </c>
      <c r="F6" s="168">
        <f ca="1">'Tender Build-Up'!$B$47*C6</f>
        <v>0</v>
      </c>
      <c r="G6" s="168">
        <f>IF(AND(D6="Yes",'Commercial Inputs'!$F$26="Yes"),F6*'Commercial Inputs'!$D$26,0)</f>
        <v>0</v>
      </c>
      <c r="H6" s="168">
        <f t="shared" ca="1" si="0"/>
        <v>0</v>
      </c>
      <c r="I6" s="168">
        <f>SUM(Summary!$B$23:$B$24)</f>
        <v>0</v>
      </c>
      <c r="J6" s="168">
        <f t="shared" ca="1" si="1"/>
        <v>0</v>
      </c>
      <c r="K6" s="168">
        <f t="shared" ca="1" si="2"/>
        <v>0</v>
      </c>
      <c r="L6" s="168">
        <f t="shared" ref="L6:L11" ca="1" si="5">L5+H6</f>
        <v>0</v>
      </c>
      <c r="M6" s="168">
        <f t="shared" ref="M6:M11" si="6">M5+G6</f>
        <v>0</v>
      </c>
      <c r="N6" s="168">
        <f>IF('Commercial Inputs'!$F$25="Yes",H6*'Commercial Inputs'!$D$25,0)</f>
        <v>0</v>
      </c>
      <c r="O6" s="168">
        <f t="shared" ca="1" si="3"/>
        <v>0</v>
      </c>
      <c r="P6" s="166"/>
    </row>
    <row r="7" spans="1:16" s="3" customFormat="1" ht="23.45" customHeight="1" x14ac:dyDescent="0.2">
      <c r="A7" s="106" t="s">
        <v>341</v>
      </c>
      <c r="B7" s="140"/>
      <c r="C7" s="141"/>
      <c r="D7" s="140"/>
      <c r="E7" s="168">
        <f t="shared" ca="1" si="4"/>
        <v>0</v>
      </c>
      <c r="F7" s="168">
        <f ca="1">'Tender Build-Up'!$B$47*C7</f>
        <v>0</v>
      </c>
      <c r="G7" s="168">
        <f>IF(AND(D7="Yes",'Commercial Inputs'!$F$26="Yes"),F7*'Commercial Inputs'!$D$26,0)</f>
        <v>0</v>
      </c>
      <c r="H7" s="168">
        <f t="shared" ca="1" si="0"/>
        <v>0</v>
      </c>
      <c r="I7" s="168">
        <f>Summary!$B$25</f>
        <v>0</v>
      </c>
      <c r="J7" s="168">
        <f t="shared" ca="1" si="1"/>
        <v>0</v>
      </c>
      <c r="K7" s="168">
        <f t="shared" ca="1" si="2"/>
        <v>0</v>
      </c>
      <c r="L7" s="168">
        <f t="shared" ca="1" si="5"/>
        <v>0</v>
      </c>
      <c r="M7" s="168">
        <f t="shared" si="6"/>
        <v>0</v>
      </c>
      <c r="N7" s="168">
        <f>IF('Commercial Inputs'!$F$25="Yes",H7*'Commercial Inputs'!$D$25,0)</f>
        <v>0</v>
      </c>
      <c r="O7" s="168">
        <f t="shared" ca="1" si="3"/>
        <v>0</v>
      </c>
      <c r="P7" s="166"/>
    </row>
    <row r="8" spans="1:16" s="3" customFormat="1" ht="23.45" customHeight="1" x14ac:dyDescent="0.2">
      <c r="A8" s="106" t="s">
        <v>342</v>
      </c>
      <c r="B8" s="140"/>
      <c r="C8" s="141"/>
      <c r="D8" s="140"/>
      <c r="E8" s="168">
        <f t="shared" ca="1" si="4"/>
        <v>0</v>
      </c>
      <c r="F8" s="168">
        <f ca="1">'Tender Build-Up'!$B$47*C8</f>
        <v>0</v>
      </c>
      <c r="G8" s="168">
        <f>IF(AND(D8="Yes",'Commercial Inputs'!$F$26="Yes"),F8*'Commercial Inputs'!$D$26,0)</f>
        <v>0</v>
      </c>
      <c r="H8" s="168">
        <f t="shared" ca="1" si="0"/>
        <v>0</v>
      </c>
      <c r="I8" s="168">
        <f>SUM(Summary!$B$26:$B$27)</f>
        <v>0</v>
      </c>
      <c r="J8" s="168">
        <f t="shared" ca="1" si="1"/>
        <v>0</v>
      </c>
      <c r="K8" s="168">
        <f t="shared" ca="1" si="2"/>
        <v>0</v>
      </c>
      <c r="L8" s="168">
        <f t="shared" ca="1" si="5"/>
        <v>0</v>
      </c>
      <c r="M8" s="168">
        <f t="shared" si="6"/>
        <v>0</v>
      </c>
      <c r="N8" s="168">
        <f>IF('Commercial Inputs'!$F$25="Yes",H8*'Commercial Inputs'!$D$25,0)</f>
        <v>0</v>
      </c>
      <c r="O8" s="168">
        <f t="shared" ca="1" si="3"/>
        <v>0</v>
      </c>
      <c r="P8" s="166"/>
    </row>
    <row r="9" spans="1:16" s="3" customFormat="1" ht="23.45" customHeight="1" x14ac:dyDescent="0.2">
      <c r="A9" s="106" t="s">
        <v>343</v>
      </c>
      <c r="B9" s="140"/>
      <c r="C9" s="141"/>
      <c r="D9" s="140"/>
      <c r="E9" s="168">
        <f t="shared" ca="1" si="4"/>
        <v>0</v>
      </c>
      <c r="F9" s="168">
        <f ca="1">'Tender Build-Up'!$B$47*C9</f>
        <v>0</v>
      </c>
      <c r="G9" s="168">
        <f>IF(AND(D9="Yes",'Commercial Inputs'!$F$26="Yes"),F9*'Commercial Inputs'!$D$26,0)</f>
        <v>0</v>
      </c>
      <c r="H9" s="168">
        <f t="shared" ca="1" si="0"/>
        <v>0</v>
      </c>
      <c r="I9" s="168">
        <f>SUM(Summary!$B$28:$B$29)</f>
        <v>0</v>
      </c>
      <c r="J9" s="168">
        <f t="shared" ca="1" si="1"/>
        <v>0</v>
      </c>
      <c r="K9" s="168">
        <f t="shared" ca="1" si="2"/>
        <v>0</v>
      </c>
      <c r="L9" s="168">
        <f t="shared" ca="1" si="5"/>
        <v>0</v>
      </c>
      <c r="M9" s="168">
        <f t="shared" si="6"/>
        <v>0</v>
      </c>
      <c r="N9" s="168">
        <f>IF('Commercial Inputs'!$F$25="Yes",H9*'Commercial Inputs'!$D$25,0)</f>
        <v>0</v>
      </c>
      <c r="O9" s="168">
        <f t="shared" ca="1" si="3"/>
        <v>0</v>
      </c>
      <c r="P9" s="166"/>
    </row>
    <row r="10" spans="1:16" s="3" customFormat="1" ht="23.45" customHeight="1" x14ac:dyDescent="0.2">
      <c r="A10" s="106" t="s">
        <v>344</v>
      </c>
      <c r="B10" s="140"/>
      <c r="C10" s="141"/>
      <c r="D10" s="140"/>
      <c r="E10" s="168">
        <f t="shared" ca="1" si="4"/>
        <v>0</v>
      </c>
      <c r="F10" s="168">
        <f ca="1">'Tender Build-Up'!$B$47*C10</f>
        <v>0</v>
      </c>
      <c r="G10" s="168">
        <f>IF(AND(D10="Yes",'Commercial Inputs'!$F$26="Yes"),F10*'Commercial Inputs'!$D$26,0)</f>
        <v>0</v>
      </c>
      <c r="H10" s="168">
        <f t="shared" ca="1" si="0"/>
        <v>0</v>
      </c>
      <c r="I10" s="168">
        <f>Summary!$B$30</f>
        <v>0</v>
      </c>
      <c r="J10" s="168">
        <f t="shared" ca="1" si="1"/>
        <v>0</v>
      </c>
      <c r="K10" s="168">
        <f t="shared" ca="1" si="2"/>
        <v>0</v>
      </c>
      <c r="L10" s="168">
        <f t="shared" ca="1" si="5"/>
        <v>0</v>
      </c>
      <c r="M10" s="168">
        <f t="shared" si="6"/>
        <v>0</v>
      </c>
      <c r="N10" s="168">
        <f>IF('Commercial Inputs'!$F$25="Yes",H10*'Commercial Inputs'!$D$25,0)</f>
        <v>0</v>
      </c>
      <c r="O10" s="168">
        <f t="shared" ca="1" si="3"/>
        <v>0</v>
      </c>
      <c r="P10" s="166"/>
    </row>
    <row r="11" spans="1:16" s="3" customFormat="1" ht="23.45" customHeight="1" x14ac:dyDescent="0.2">
      <c r="A11" s="106" t="s">
        <v>345</v>
      </c>
      <c r="B11" s="140"/>
      <c r="C11" s="141"/>
      <c r="D11" s="140"/>
      <c r="E11" s="168">
        <f t="shared" ca="1" si="4"/>
        <v>0</v>
      </c>
      <c r="F11" s="168">
        <f ca="1">'Tender Build-Up'!$B$47*C11</f>
        <v>0</v>
      </c>
      <c r="G11" s="168">
        <f>IF(AND(D11="Yes",'Commercial Inputs'!$F$26="Yes"),F11*'Commercial Inputs'!$D$26,0)</f>
        <v>0</v>
      </c>
      <c r="H11" s="168">
        <f t="shared" ca="1" si="0"/>
        <v>0</v>
      </c>
      <c r="I11" s="168">
        <f>SUM(Summary!$B$31:$B$32)</f>
        <v>0</v>
      </c>
      <c r="J11" s="168">
        <f t="shared" ca="1" si="1"/>
        <v>0</v>
      </c>
      <c r="K11" s="168">
        <f t="shared" ca="1" si="2"/>
        <v>0</v>
      </c>
      <c r="L11" s="168">
        <f t="shared" ca="1" si="5"/>
        <v>0</v>
      </c>
      <c r="M11" s="168">
        <f t="shared" si="6"/>
        <v>0</v>
      </c>
      <c r="N11" s="168">
        <f>IF('Commercial Inputs'!$F$25="Yes",H11*'Commercial Inputs'!$D$25,0)</f>
        <v>0</v>
      </c>
      <c r="O11" s="168">
        <f t="shared" ca="1" si="3"/>
        <v>0</v>
      </c>
      <c r="P11" s="166"/>
    </row>
    <row r="12" spans="1:16" s="3" customFormat="1" ht="23.45" customHeight="1" x14ac:dyDescent="0.2">
      <c r="A12" s="106" t="s">
        <v>1027</v>
      </c>
      <c r="B12" s="106" t="s">
        <v>1028</v>
      </c>
      <c r="C12" s="217">
        <v>0</v>
      </c>
      <c r="D12" s="106" t="s">
        <v>245</v>
      </c>
      <c r="E12" s="218">
        <f ca="1">K11</f>
        <v>0</v>
      </c>
      <c r="F12" s="218">
        <v>0</v>
      </c>
      <c r="G12" s="218">
        <v>0</v>
      </c>
      <c r="H12" s="218">
        <v>0</v>
      </c>
      <c r="I12" s="218">
        <f ca="1">'Tender Build-Up'!$B$39</f>
        <v>0</v>
      </c>
      <c r="J12" s="218">
        <f ca="1">H12-I12</f>
        <v>0</v>
      </c>
      <c r="K12" s="218">
        <f ca="1">E12+J12</f>
        <v>0</v>
      </c>
      <c r="L12" s="218">
        <f ca="1">L11+H12</f>
        <v>0</v>
      </c>
      <c r="M12" s="218">
        <f>M11+G12</f>
        <v>0</v>
      </c>
      <c r="N12" s="218">
        <f>0</f>
        <v>0</v>
      </c>
      <c r="O12" s="218">
        <f>H12+N12</f>
        <v>0</v>
      </c>
      <c r="P12" s="166"/>
    </row>
    <row r="13" spans="1:16" s="3" customFormat="1" ht="23.45" customHeight="1" x14ac:dyDescent="0.2">
      <c r="A13" s="146" t="s">
        <v>346</v>
      </c>
      <c r="B13" s="146" t="str">
        <f>"After "&amp;TEXT('Commercial Inputs'!$D$27,"0")&amp;" months"</f>
        <v>After 0 months</v>
      </c>
      <c r="C13" s="170"/>
      <c r="D13" s="146" t="s">
        <v>245</v>
      </c>
      <c r="E13" s="168">
        <f ca="1">K12</f>
        <v>0</v>
      </c>
      <c r="F13" s="168">
        <f>SUM(G5:G11)</f>
        <v>0</v>
      </c>
      <c r="G13" s="168">
        <f>0</f>
        <v>0</v>
      </c>
      <c r="H13" s="168">
        <f>F13</f>
        <v>0</v>
      </c>
      <c r="I13" s="168">
        <f>0</f>
        <v>0</v>
      </c>
      <c r="J13" s="168">
        <f>H13</f>
        <v>0</v>
      </c>
      <c r="K13" s="168">
        <f ca="1">E13+J13</f>
        <v>0</v>
      </c>
      <c r="L13" s="168">
        <f ca="1">L12+H13</f>
        <v>0</v>
      </c>
      <c r="M13" s="168">
        <f>0</f>
        <v>0</v>
      </c>
      <c r="N13" s="168">
        <f>IF('Commercial Inputs'!$F$25="Yes",H13*'Commercial Inputs'!$D$25,0)</f>
        <v>0</v>
      </c>
      <c r="O13" s="168">
        <f>H13+N13</f>
        <v>0</v>
      </c>
      <c r="P13" s="166"/>
    </row>
    <row r="14" spans="1:16" ht="9.4" customHeight="1" x14ac:dyDescent="0.2">
      <c r="A14" s="27"/>
      <c r="B14" s="27"/>
      <c r="C14" s="43"/>
      <c r="D14" s="27"/>
      <c r="E14" s="42"/>
      <c r="F14" s="42"/>
      <c r="G14" s="42"/>
      <c r="H14" s="42"/>
      <c r="I14" s="42"/>
      <c r="J14" s="42"/>
      <c r="K14" s="42"/>
      <c r="L14" s="42"/>
      <c r="M14" s="42"/>
      <c r="N14" s="42"/>
      <c r="O14" s="42"/>
      <c r="P14" s="27"/>
    </row>
    <row r="15" spans="1:16" s="3" customFormat="1" ht="20.100000000000001" customHeight="1" x14ac:dyDescent="0.2">
      <c r="A15" s="12" t="s">
        <v>347</v>
      </c>
      <c r="B15" s="12"/>
      <c r="C15" s="171"/>
      <c r="D15" s="12"/>
      <c r="E15" s="172"/>
      <c r="F15" s="172"/>
      <c r="G15" s="172"/>
      <c r="H15" s="172"/>
      <c r="I15" s="172"/>
      <c r="J15" s="172"/>
      <c r="K15" s="172"/>
      <c r="L15" s="283"/>
      <c r="M15" s="283"/>
      <c r="N15" s="283"/>
      <c r="O15" s="283"/>
      <c r="P15" s="283"/>
    </row>
    <row r="16" spans="1:16" s="3" customFormat="1" ht="20.100000000000001" customHeight="1" x14ac:dyDescent="0.2">
      <c r="A16" s="106" t="s">
        <v>348</v>
      </c>
      <c r="B16" s="106"/>
      <c r="C16" s="169">
        <f>SUM(C5:C11)</f>
        <v>0</v>
      </c>
      <c r="D16" s="106"/>
      <c r="E16" s="121"/>
      <c r="F16" s="121"/>
      <c r="G16" s="121"/>
      <c r="H16" s="121"/>
      <c r="I16" s="121"/>
      <c r="J16" s="121"/>
      <c r="K16" s="121"/>
      <c r="L16" s="121"/>
      <c r="M16" s="121"/>
      <c r="N16" s="121"/>
      <c r="O16" s="121"/>
      <c r="P16" s="106" t="str">
        <f>IF(ABS(C16-1)&lt;0.000001,"OK","CHECK")</f>
        <v>CHECK</v>
      </c>
    </row>
    <row r="17" spans="1:16" s="3" customFormat="1" ht="20.100000000000001" customHeight="1" x14ac:dyDescent="0.2">
      <c r="A17" s="106" t="s">
        <v>349</v>
      </c>
      <c r="B17" s="106"/>
      <c r="C17" s="106"/>
      <c r="D17" s="106"/>
      <c r="E17" s="121"/>
      <c r="F17" s="121">
        <f ca="1">SUM(F5:F11)</f>
        <v>0</v>
      </c>
      <c r="G17" s="121"/>
      <c r="H17" s="121"/>
      <c r="I17" s="121"/>
      <c r="J17" s="121"/>
      <c r="K17" s="121"/>
      <c r="L17" s="121"/>
      <c r="M17" s="121"/>
      <c r="N17" s="121"/>
      <c r="O17" s="121"/>
      <c r="P17" s="106" t="str">
        <f ca="1">IF(ABS(F17-'Tender Build-Up'!$B$47)&lt;0.01,"OK","CHECK")</f>
        <v>OK</v>
      </c>
    </row>
    <row r="18" spans="1:16" s="3" customFormat="1" ht="20.100000000000001" customHeight="1" x14ac:dyDescent="0.2">
      <c r="A18" s="106" t="s">
        <v>1029</v>
      </c>
      <c r="B18" s="106"/>
      <c r="C18" s="106"/>
      <c r="D18" s="106"/>
      <c r="E18" s="121"/>
      <c r="F18" s="121"/>
      <c r="G18" s="121"/>
      <c r="H18" s="121"/>
      <c r="I18" s="121">
        <f ca="1">SUM(I5:I12)</f>
        <v>0</v>
      </c>
      <c r="J18" s="121"/>
      <c r="K18" s="121"/>
      <c r="L18" s="121"/>
      <c r="M18" s="121"/>
      <c r="N18" s="121"/>
      <c r="O18" s="121"/>
      <c r="P18" s="106" t="str">
        <f ca="1">IF(ABS(I18-(Summary!$B$33+'Tender Build-Up'!$B$39))&lt;0.01,"OK","CHECK")</f>
        <v>OK</v>
      </c>
    </row>
    <row r="19" spans="1:16" s="3" customFormat="1" ht="20.100000000000001" customHeight="1" x14ac:dyDescent="0.2">
      <c r="A19" s="106" t="s">
        <v>350</v>
      </c>
      <c r="B19" s="106"/>
      <c r="C19" s="106"/>
      <c r="D19" s="106"/>
      <c r="E19" s="121"/>
      <c r="F19" s="121"/>
      <c r="G19" s="121"/>
      <c r="H19" s="121"/>
      <c r="I19" s="121"/>
      <c r="J19" s="121"/>
      <c r="K19" s="121"/>
      <c r="L19" s="121">
        <f ca="1">L13</f>
        <v>0</v>
      </c>
      <c r="M19" s="121"/>
      <c r="N19" s="121"/>
      <c r="O19" s="121"/>
      <c r="P19" s="106" t="str">
        <f ca="1">IF(ABS(L19-'Tender Build-Up'!$B$47)&lt;0.01,"OK","CHECK")</f>
        <v>OK</v>
      </c>
    </row>
    <row r="20" spans="1:16" s="3" customFormat="1" ht="20.100000000000001" customHeight="1" x14ac:dyDescent="0.2">
      <c r="A20" s="106" t="s">
        <v>1030</v>
      </c>
      <c r="B20" s="106"/>
      <c r="C20" s="106"/>
      <c r="D20" s="106"/>
      <c r="E20" s="121"/>
      <c r="F20" s="121"/>
      <c r="G20" s="121"/>
      <c r="H20" s="121"/>
      <c r="I20" s="121"/>
      <c r="J20" s="121"/>
      <c r="K20" s="121">
        <f ca="1">K13</f>
        <v>0</v>
      </c>
      <c r="L20" s="121"/>
      <c r="M20" s="121"/>
      <c r="N20" s="121"/>
      <c r="O20" s="121"/>
      <c r="P20" s="166" t="str">
        <f ca="1">IF(ABS(K20-'Tender Build-Up'!$B$46)&lt;0.01,"OK","CHECK")</f>
        <v>OK</v>
      </c>
    </row>
    <row r="21" spans="1:16" s="3" customFormat="1" ht="20.100000000000001" customHeight="1" x14ac:dyDescent="0.2">
      <c r="A21" s="106" t="s">
        <v>351</v>
      </c>
      <c r="B21" s="106"/>
      <c r="C21" s="106"/>
      <c r="D21" s="106"/>
      <c r="E21" s="121"/>
      <c r="F21" s="121"/>
      <c r="G21" s="121"/>
      <c r="H21" s="121"/>
      <c r="I21" s="121"/>
      <c r="J21" s="121"/>
      <c r="K21" s="121">
        <f ca="1">MIN(K5:K12)</f>
        <v>0</v>
      </c>
      <c r="L21" s="121"/>
      <c r="M21" s="121"/>
      <c r="N21" s="121"/>
      <c r="O21" s="121"/>
      <c r="P21" s="166" t="str">
        <f ca="1">IF(K21&gt;=0,"POSITIVE","FUNDING REQUIRED")</f>
        <v>POSITIVE</v>
      </c>
    </row>
  </sheetData>
  <mergeCells count="4">
    <mergeCell ref="A2:L2"/>
    <mergeCell ref="A3:P3"/>
    <mergeCell ref="A1:P1"/>
    <mergeCell ref="L15:P15"/>
  </mergeCells>
  <dataValidations count="2">
    <dataValidation type="list" sqref="D5:D11" xr:uid="{00000000-0002-0000-0500-000000000000}">
      <formula1>"Yes,No"</formula1>
    </dataValidation>
    <dataValidation type="custom" allowBlank="1" showErrorMessage="1" errorTitle="Linked formula cell" error="This value is linked. Change the upstream input/source instead of overwriting this cell." sqref="B13 P16:P21 N13:O13 L19 K20:K21 J13:L13 I18 F17 E13:H13 E5:O11 C16" xr:uid="{00000000-0002-0000-0500-000001000000}">
      <formula1>FALSE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85"/>
  <sheetViews>
    <sheetView zoomScaleNormal="60" zoomScaleSheetLayoutView="100" workbookViewId="0"/>
  </sheetViews>
  <sheetFormatPr defaultRowHeight="15" x14ac:dyDescent="0.2"/>
  <cols>
    <col min="1" max="1" width="18.0234375" customWidth="1"/>
    <col min="2" max="2" width="13.98828125" customWidth="1"/>
    <col min="3" max="3" width="55.15234375" customWidth="1"/>
    <col min="4" max="4" width="13.98828125" customWidth="1"/>
    <col min="5" max="5" width="9.953125" customWidth="1"/>
    <col min="6" max="6" width="23.9453125" customWidth="1"/>
    <col min="7" max="8" width="13.046875" customWidth="1"/>
    <col min="9" max="9" width="13.98828125" customWidth="1"/>
    <col min="10" max="10" width="18.0234375" customWidth="1"/>
    <col min="11" max="11" width="13.046875" customWidth="1"/>
    <col min="12" max="12" width="30.53515625" customWidth="1"/>
    <col min="13" max="13" width="49.7734375" customWidth="1"/>
    <col min="14" max="14" width="44.2578125" customWidth="1"/>
    <col min="15" max="15" width="18.0234375" customWidth="1"/>
    <col min="16" max="16" width="52.05859375" customWidth="1"/>
    <col min="17" max="17" width="46.2734375" customWidth="1"/>
    <col min="18" max="18" width="11.97265625" customWidth="1"/>
    <col min="19" max="19" width="55.9609375" customWidth="1"/>
    <col min="20" max="20" width="75.6015625" customWidth="1"/>
  </cols>
  <sheetData>
    <row r="1" spans="1:20" ht="27.2" customHeight="1" x14ac:dyDescent="0.2">
      <c r="A1" s="282" t="s">
        <v>1031</v>
      </c>
      <c r="B1" s="282"/>
      <c r="C1" s="282"/>
      <c r="D1" s="282"/>
      <c r="E1" s="282"/>
      <c r="F1" s="282"/>
      <c r="G1" s="282"/>
      <c r="H1" s="282"/>
      <c r="I1" s="282"/>
      <c r="J1" s="282"/>
      <c r="K1" s="282"/>
      <c r="L1" s="282"/>
      <c r="M1" s="282"/>
      <c r="N1" s="282"/>
      <c r="O1" s="282"/>
      <c r="P1" s="282"/>
      <c r="Q1" s="282"/>
      <c r="R1" s="282"/>
      <c r="S1" s="282"/>
      <c r="T1" s="282"/>
    </row>
    <row r="2" spans="1:20" s="3" customFormat="1" ht="16.350000000000001" customHeight="1" x14ac:dyDescent="0.2">
      <c r="A2" s="284" t="s">
        <v>1032</v>
      </c>
      <c r="B2" s="284"/>
      <c r="C2" s="284"/>
      <c r="D2" s="284"/>
      <c r="E2" s="284"/>
      <c r="F2" s="284"/>
      <c r="G2" s="284"/>
      <c r="H2" s="284"/>
      <c r="I2" s="284"/>
      <c r="J2" s="284"/>
      <c r="K2" s="284"/>
      <c r="L2" s="284"/>
      <c r="M2" s="284"/>
      <c r="N2" s="284"/>
      <c r="O2" s="284"/>
      <c r="P2" s="284"/>
      <c r="Q2" s="284"/>
      <c r="R2" s="284"/>
      <c r="S2" s="284"/>
      <c r="T2" s="284"/>
    </row>
    <row r="3" spans="1:20" s="3" customFormat="1" ht="16.350000000000001" customHeight="1" x14ac:dyDescent="0.2">
      <c r="A3" s="285" t="s">
        <v>352</v>
      </c>
      <c r="B3" s="285"/>
      <c r="C3" s="285"/>
      <c r="D3" s="285"/>
      <c r="E3" s="285"/>
      <c r="F3" s="285"/>
      <c r="G3" s="285"/>
      <c r="H3" s="285"/>
      <c r="I3" s="285"/>
      <c r="J3" s="285"/>
      <c r="K3" s="285"/>
      <c r="L3" s="285"/>
      <c r="M3" s="285"/>
      <c r="N3" s="285"/>
      <c r="O3" s="285"/>
      <c r="P3" s="285"/>
      <c r="Q3" s="285"/>
      <c r="R3" s="285"/>
      <c r="S3" s="285"/>
      <c r="T3" s="285"/>
    </row>
    <row r="4" spans="1:20" s="3" customFormat="1" ht="29.25" customHeight="1" x14ac:dyDescent="0.2">
      <c r="A4" s="31" t="s">
        <v>353</v>
      </c>
      <c r="B4" s="31" t="s">
        <v>354</v>
      </c>
      <c r="C4" s="31" t="s">
        <v>355</v>
      </c>
      <c r="D4" s="31" t="s">
        <v>356</v>
      </c>
      <c r="E4" s="31" t="s">
        <v>97</v>
      </c>
      <c r="F4" s="31" t="s">
        <v>357</v>
      </c>
      <c r="G4" s="31" t="s">
        <v>358</v>
      </c>
      <c r="H4" s="31" t="s">
        <v>359</v>
      </c>
      <c r="I4" s="31" t="s">
        <v>360</v>
      </c>
      <c r="J4" s="31" t="s">
        <v>361</v>
      </c>
      <c r="K4" s="31" t="s">
        <v>362</v>
      </c>
      <c r="L4" s="31" t="s">
        <v>318</v>
      </c>
      <c r="M4" s="31" t="s">
        <v>363</v>
      </c>
      <c r="N4" s="31" t="s">
        <v>364</v>
      </c>
      <c r="O4" s="31" t="s">
        <v>365</v>
      </c>
      <c r="P4" s="31" t="s">
        <v>366</v>
      </c>
      <c r="Q4" s="31" t="s">
        <v>367</v>
      </c>
      <c r="R4" s="31" t="s">
        <v>368</v>
      </c>
      <c r="S4" s="31" t="s">
        <v>322</v>
      </c>
      <c r="T4" s="31" t="s">
        <v>87</v>
      </c>
    </row>
    <row r="5" spans="1:20" ht="19.149999999999999" customHeight="1" x14ac:dyDescent="0.2">
      <c r="A5" s="45" t="s">
        <v>369</v>
      </c>
      <c r="B5" s="46" t="s">
        <v>370</v>
      </c>
      <c r="C5" s="46" t="s">
        <v>371</v>
      </c>
      <c r="D5" s="46" t="s">
        <v>370</v>
      </c>
      <c r="E5" s="46" t="s">
        <v>372</v>
      </c>
      <c r="F5" s="46" t="s">
        <v>373</v>
      </c>
      <c r="G5" s="46" t="s">
        <v>374</v>
      </c>
      <c r="H5" s="46" t="s">
        <v>374</v>
      </c>
      <c r="I5" s="49">
        <v>64</v>
      </c>
      <c r="J5" s="50" t="s">
        <v>375</v>
      </c>
      <c r="K5" s="58" t="s">
        <v>376</v>
      </c>
      <c r="L5" s="50" t="s">
        <v>377</v>
      </c>
      <c r="M5" s="50" t="s">
        <v>378</v>
      </c>
      <c r="N5" s="50" t="s">
        <v>379</v>
      </c>
      <c r="O5" s="50"/>
      <c r="P5" s="50" t="s">
        <v>380</v>
      </c>
      <c r="Q5" s="50" t="s">
        <v>381</v>
      </c>
      <c r="R5" s="50" t="s">
        <v>382</v>
      </c>
      <c r="S5" s="50" t="s">
        <v>383</v>
      </c>
      <c r="T5" s="51" t="s">
        <v>384</v>
      </c>
    </row>
    <row r="6" spans="1:20" ht="19.149999999999999" customHeight="1" x14ac:dyDescent="0.2">
      <c r="A6" s="47" t="s">
        <v>385</v>
      </c>
      <c r="B6" s="48" t="s">
        <v>370</v>
      </c>
      <c r="C6" s="48" t="s">
        <v>386</v>
      </c>
      <c r="D6" s="48" t="s">
        <v>370</v>
      </c>
      <c r="E6" s="48" t="s">
        <v>372</v>
      </c>
      <c r="F6" s="48" t="s">
        <v>373</v>
      </c>
      <c r="G6" s="48" t="s">
        <v>374</v>
      </c>
      <c r="H6" s="48" t="s">
        <v>374</v>
      </c>
      <c r="I6" s="52">
        <v>73</v>
      </c>
      <c r="J6" s="53" t="s">
        <v>375</v>
      </c>
      <c r="K6" s="59" t="s">
        <v>376</v>
      </c>
      <c r="L6" s="53" t="s">
        <v>377</v>
      </c>
      <c r="M6" s="53" t="s">
        <v>378</v>
      </c>
      <c r="N6" s="53" t="s">
        <v>379</v>
      </c>
      <c r="O6" s="53"/>
      <c r="P6" s="53" t="s">
        <v>380</v>
      </c>
      <c r="Q6" s="53" t="s">
        <v>381</v>
      </c>
      <c r="R6" s="53" t="s">
        <v>382</v>
      </c>
      <c r="S6" s="53" t="s">
        <v>383</v>
      </c>
      <c r="T6" s="54" t="s">
        <v>384</v>
      </c>
    </row>
    <row r="7" spans="1:20" ht="19.149999999999999" customHeight="1" x14ac:dyDescent="0.2">
      <c r="A7" s="47" t="s">
        <v>387</v>
      </c>
      <c r="B7" s="48" t="s">
        <v>370</v>
      </c>
      <c r="C7" s="48" t="s">
        <v>388</v>
      </c>
      <c r="D7" s="48" t="s">
        <v>370</v>
      </c>
      <c r="E7" s="48" t="s">
        <v>372</v>
      </c>
      <c r="F7" s="48" t="s">
        <v>373</v>
      </c>
      <c r="G7" s="48" t="s">
        <v>374</v>
      </c>
      <c r="H7" s="48" t="s">
        <v>374</v>
      </c>
      <c r="I7" s="52">
        <v>45</v>
      </c>
      <c r="J7" s="53" t="s">
        <v>375</v>
      </c>
      <c r="K7" s="59" t="s">
        <v>376</v>
      </c>
      <c r="L7" s="53" t="s">
        <v>377</v>
      </c>
      <c r="M7" s="53" t="s">
        <v>389</v>
      </c>
      <c r="N7" s="53" t="s">
        <v>379</v>
      </c>
      <c r="O7" s="53"/>
      <c r="P7" s="53" t="s">
        <v>380</v>
      </c>
      <c r="Q7" s="53" t="s">
        <v>390</v>
      </c>
      <c r="R7" s="53" t="s">
        <v>382</v>
      </c>
      <c r="S7" s="53" t="s">
        <v>383</v>
      </c>
      <c r="T7" s="54"/>
    </row>
    <row r="8" spans="1:20" ht="19.149999999999999" customHeight="1" x14ac:dyDescent="0.2">
      <c r="A8" s="47" t="s">
        <v>391</v>
      </c>
      <c r="B8" s="48" t="s">
        <v>370</v>
      </c>
      <c r="C8" s="48" t="s">
        <v>392</v>
      </c>
      <c r="D8" s="48" t="s">
        <v>370</v>
      </c>
      <c r="E8" s="48" t="s">
        <v>372</v>
      </c>
      <c r="F8" s="48" t="s">
        <v>373</v>
      </c>
      <c r="G8" s="48" t="s">
        <v>374</v>
      </c>
      <c r="H8" s="48" t="s">
        <v>374</v>
      </c>
      <c r="I8" s="52">
        <v>51</v>
      </c>
      <c r="J8" s="53" t="s">
        <v>375</v>
      </c>
      <c r="K8" s="59" t="s">
        <v>376</v>
      </c>
      <c r="L8" s="53" t="s">
        <v>377</v>
      </c>
      <c r="M8" s="53" t="s">
        <v>389</v>
      </c>
      <c r="N8" s="53" t="s">
        <v>379</v>
      </c>
      <c r="O8" s="53"/>
      <c r="P8" s="53" t="s">
        <v>380</v>
      </c>
      <c r="Q8" s="53" t="s">
        <v>393</v>
      </c>
      <c r="R8" s="53" t="s">
        <v>382</v>
      </c>
      <c r="S8" s="53" t="s">
        <v>383</v>
      </c>
      <c r="T8" s="54"/>
    </row>
    <row r="9" spans="1:20" ht="19.149999999999999" customHeight="1" x14ac:dyDescent="0.2">
      <c r="A9" s="47" t="s">
        <v>394</v>
      </c>
      <c r="B9" s="48" t="s">
        <v>370</v>
      </c>
      <c r="C9" s="48" t="s">
        <v>395</v>
      </c>
      <c r="D9" s="48" t="s">
        <v>370</v>
      </c>
      <c r="E9" s="48" t="s">
        <v>372</v>
      </c>
      <c r="F9" s="48" t="s">
        <v>373</v>
      </c>
      <c r="G9" s="48" t="s">
        <v>374</v>
      </c>
      <c r="H9" s="48" t="s">
        <v>374</v>
      </c>
      <c r="I9" s="52">
        <v>38</v>
      </c>
      <c r="J9" s="53" t="s">
        <v>375</v>
      </c>
      <c r="K9" s="59" t="s">
        <v>376</v>
      </c>
      <c r="L9" s="53" t="s">
        <v>377</v>
      </c>
      <c r="M9" s="53" t="s">
        <v>389</v>
      </c>
      <c r="N9" s="53" t="s">
        <v>379</v>
      </c>
      <c r="O9" s="53"/>
      <c r="P9" s="53" t="s">
        <v>380</v>
      </c>
      <c r="Q9" s="53" t="s">
        <v>396</v>
      </c>
      <c r="R9" s="53" t="s">
        <v>382</v>
      </c>
      <c r="S9" s="53" t="s">
        <v>383</v>
      </c>
      <c r="T9" s="54"/>
    </row>
    <row r="10" spans="1:20" ht="19.149999999999999" customHeight="1" x14ac:dyDescent="0.2">
      <c r="A10" s="47" t="s">
        <v>397</v>
      </c>
      <c r="B10" s="48" t="s">
        <v>370</v>
      </c>
      <c r="C10" s="48" t="s">
        <v>398</v>
      </c>
      <c r="D10" s="48" t="s">
        <v>370</v>
      </c>
      <c r="E10" s="48" t="s">
        <v>372</v>
      </c>
      <c r="F10" s="48" t="s">
        <v>373</v>
      </c>
      <c r="G10" s="48" t="s">
        <v>374</v>
      </c>
      <c r="H10" s="48" t="s">
        <v>374</v>
      </c>
      <c r="I10" s="52">
        <v>44</v>
      </c>
      <c r="J10" s="53" t="s">
        <v>375</v>
      </c>
      <c r="K10" s="59" t="s">
        <v>376</v>
      </c>
      <c r="L10" s="53" t="s">
        <v>377</v>
      </c>
      <c r="M10" s="53" t="s">
        <v>389</v>
      </c>
      <c r="N10" s="53" t="s">
        <v>379</v>
      </c>
      <c r="O10" s="53"/>
      <c r="P10" s="53" t="s">
        <v>380</v>
      </c>
      <c r="Q10" s="53" t="s">
        <v>399</v>
      </c>
      <c r="R10" s="53" t="s">
        <v>382</v>
      </c>
      <c r="S10" s="53" t="s">
        <v>383</v>
      </c>
      <c r="T10" s="54"/>
    </row>
    <row r="11" spans="1:20" ht="19.149999999999999" customHeight="1" x14ac:dyDescent="0.2">
      <c r="A11" s="47" t="s">
        <v>400</v>
      </c>
      <c r="B11" s="48" t="s">
        <v>401</v>
      </c>
      <c r="C11" s="48" t="s">
        <v>402</v>
      </c>
      <c r="D11" s="48" t="s">
        <v>401</v>
      </c>
      <c r="E11" s="48" t="s">
        <v>372</v>
      </c>
      <c r="F11" s="48" t="s">
        <v>403</v>
      </c>
      <c r="G11" s="48" t="s">
        <v>404</v>
      </c>
      <c r="H11" s="48" t="s">
        <v>404</v>
      </c>
      <c r="I11" s="52">
        <v>85</v>
      </c>
      <c r="J11" s="53" t="s">
        <v>405</v>
      </c>
      <c r="K11" s="59" t="s">
        <v>376</v>
      </c>
      <c r="L11" s="53" t="s">
        <v>406</v>
      </c>
      <c r="M11" s="53" t="s">
        <v>407</v>
      </c>
      <c r="N11" s="53" t="s">
        <v>408</v>
      </c>
      <c r="O11" s="53" t="s">
        <v>409</v>
      </c>
      <c r="P11" s="53" t="s">
        <v>410</v>
      </c>
      <c r="Q11" s="53" t="s">
        <v>411</v>
      </c>
      <c r="R11" s="53" t="s">
        <v>412</v>
      </c>
      <c r="S11" s="53" t="s">
        <v>413</v>
      </c>
      <c r="T11" s="54" t="s">
        <v>414</v>
      </c>
    </row>
    <row r="12" spans="1:20" ht="19.149999999999999" customHeight="1" x14ac:dyDescent="0.2">
      <c r="A12" s="47" t="s">
        <v>415</v>
      </c>
      <c r="B12" s="48" t="s">
        <v>401</v>
      </c>
      <c r="C12" s="48" t="s">
        <v>416</v>
      </c>
      <c r="D12" s="48" t="s">
        <v>401</v>
      </c>
      <c r="E12" s="48" t="s">
        <v>372</v>
      </c>
      <c r="F12" s="48" t="s">
        <v>403</v>
      </c>
      <c r="G12" s="48" t="s">
        <v>404</v>
      </c>
      <c r="H12" s="48" t="s">
        <v>404</v>
      </c>
      <c r="I12" s="52">
        <v>110</v>
      </c>
      <c r="J12" s="53" t="s">
        <v>405</v>
      </c>
      <c r="K12" s="59" t="s">
        <v>376</v>
      </c>
      <c r="L12" s="53" t="s">
        <v>406</v>
      </c>
      <c r="M12" s="53" t="s">
        <v>407</v>
      </c>
      <c r="N12" s="53" t="s">
        <v>408</v>
      </c>
      <c r="O12" s="53" t="s">
        <v>409</v>
      </c>
      <c r="P12" s="53" t="s">
        <v>410</v>
      </c>
      <c r="Q12" s="53" t="s">
        <v>411</v>
      </c>
      <c r="R12" s="53" t="s">
        <v>412</v>
      </c>
      <c r="S12" s="53" t="s">
        <v>413</v>
      </c>
      <c r="T12" s="54" t="s">
        <v>417</v>
      </c>
    </row>
    <row r="13" spans="1:20" ht="19.149999999999999" customHeight="1" x14ac:dyDescent="0.2">
      <c r="A13" s="47" t="s">
        <v>418</v>
      </c>
      <c r="B13" s="48" t="s">
        <v>401</v>
      </c>
      <c r="C13" s="48" t="s">
        <v>419</v>
      </c>
      <c r="D13" s="48" t="s">
        <v>401</v>
      </c>
      <c r="E13" s="48" t="s">
        <v>372</v>
      </c>
      <c r="F13" s="48" t="s">
        <v>403</v>
      </c>
      <c r="G13" s="48" t="s">
        <v>404</v>
      </c>
      <c r="H13" s="48" t="s">
        <v>404</v>
      </c>
      <c r="I13" s="52">
        <v>150</v>
      </c>
      <c r="J13" s="53" t="s">
        <v>405</v>
      </c>
      <c r="K13" s="59" t="s">
        <v>376</v>
      </c>
      <c r="L13" s="53" t="s">
        <v>406</v>
      </c>
      <c r="M13" s="53" t="s">
        <v>407</v>
      </c>
      <c r="N13" s="53" t="s">
        <v>408</v>
      </c>
      <c r="O13" s="53" t="s">
        <v>409</v>
      </c>
      <c r="P13" s="53" t="s">
        <v>410</v>
      </c>
      <c r="Q13" s="53" t="s">
        <v>411</v>
      </c>
      <c r="R13" s="53" t="s">
        <v>412</v>
      </c>
      <c r="S13" s="53" t="s">
        <v>413</v>
      </c>
      <c r="T13" s="54" t="s">
        <v>420</v>
      </c>
    </row>
    <row r="14" spans="1:20" ht="19.149999999999999" customHeight="1" x14ac:dyDescent="0.2">
      <c r="A14" s="47" t="s">
        <v>421</v>
      </c>
      <c r="B14" s="48" t="s">
        <v>401</v>
      </c>
      <c r="C14" s="48" t="s">
        <v>422</v>
      </c>
      <c r="D14" s="48" t="s">
        <v>401</v>
      </c>
      <c r="E14" s="48" t="s">
        <v>372</v>
      </c>
      <c r="F14" s="48" t="s">
        <v>423</v>
      </c>
      <c r="G14" s="48" t="s">
        <v>404</v>
      </c>
      <c r="H14" s="48" t="s">
        <v>404</v>
      </c>
      <c r="I14" s="52">
        <v>110</v>
      </c>
      <c r="J14" s="53" t="s">
        <v>405</v>
      </c>
      <c r="K14" s="59" t="s">
        <v>376</v>
      </c>
      <c r="L14" s="53" t="s">
        <v>424</v>
      </c>
      <c r="M14" s="53" t="s">
        <v>425</v>
      </c>
      <c r="N14" s="53" t="s">
        <v>426</v>
      </c>
      <c r="O14" s="53" t="s">
        <v>427</v>
      </c>
      <c r="P14" s="53" t="s">
        <v>428</v>
      </c>
      <c r="Q14" s="53" t="s">
        <v>429</v>
      </c>
      <c r="R14" s="53" t="s">
        <v>382</v>
      </c>
      <c r="S14" s="53" t="s">
        <v>430</v>
      </c>
      <c r="T14" s="54" t="s">
        <v>431</v>
      </c>
    </row>
    <row r="15" spans="1:20" ht="19.149999999999999" customHeight="1" x14ac:dyDescent="0.2">
      <c r="A15" s="47" t="s">
        <v>432</v>
      </c>
      <c r="B15" s="48" t="s">
        <v>401</v>
      </c>
      <c r="C15" s="48" t="s">
        <v>433</v>
      </c>
      <c r="D15" s="48" t="s">
        <v>401</v>
      </c>
      <c r="E15" s="48" t="s">
        <v>372</v>
      </c>
      <c r="F15" s="48" t="s">
        <v>434</v>
      </c>
      <c r="G15" s="48" t="s">
        <v>245</v>
      </c>
      <c r="H15" s="48" t="s">
        <v>245</v>
      </c>
      <c r="I15" s="52">
        <v>120</v>
      </c>
      <c r="J15" s="53" t="s">
        <v>405</v>
      </c>
      <c r="K15" s="59" t="s">
        <v>376</v>
      </c>
      <c r="L15" s="53" t="s">
        <v>435</v>
      </c>
      <c r="M15" s="53" t="s">
        <v>436</v>
      </c>
      <c r="N15" s="53" t="s">
        <v>437</v>
      </c>
      <c r="O15" s="53"/>
      <c r="P15" s="53" t="s">
        <v>438</v>
      </c>
      <c r="Q15" s="53" t="s">
        <v>439</v>
      </c>
      <c r="R15" s="53" t="s">
        <v>382</v>
      </c>
      <c r="S15" s="53" t="s">
        <v>440</v>
      </c>
      <c r="T15" s="54"/>
    </row>
    <row r="16" spans="1:20" ht="19.149999999999999" customHeight="1" x14ac:dyDescent="0.2">
      <c r="A16" s="47" t="s">
        <v>441</v>
      </c>
      <c r="B16" s="48" t="s">
        <v>442</v>
      </c>
      <c r="C16" s="48" t="s">
        <v>443</v>
      </c>
      <c r="D16" s="48" t="s">
        <v>442</v>
      </c>
      <c r="E16" s="48" t="s">
        <v>444</v>
      </c>
      <c r="F16" s="48" t="s">
        <v>445</v>
      </c>
      <c r="G16" s="48" t="s">
        <v>374</v>
      </c>
      <c r="H16" s="48" t="s">
        <v>374</v>
      </c>
      <c r="I16" s="52">
        <v>65</v>
      </c>
      <c r="J16" s="53" t="s">
        <v>405</v>
      </c>
      <c r="K16" s="59" t="s">
        <v>376</v>
      </c>
      <c r="L16" s="53" t="s">
        <v>446</v>
      </c>
      <c r="M16" s="53" t="s">
        <v>447</v>
      </c>
      <c r="N16" s="53" t="s">
        <v>448</v>
      </c>
      <c r="O16" s="53"/>
      <c r="P16" s="53" t="s">
        <v>449</v>
      </c>
      <c r="Q16" s="53" t="s">
        <v>450</v>
      </c>
      <c r="R16" s="53" t="s">
        <v>451</v>
      </c>
      <c r="S16" s="53" t="s">
        <v>452</v>
      </c>
      <c r="T16" s="54" t="s">
        <v>453</v>
      </c>
    </row>
    <row r="17" spans="1:20" ht="19.149999999999999" customHeight="1" x14ac:dyDescent="0.2">
      <c r="A17" s="47" t="s">
        <v>454</v>
      </c>
      <c r="B17" s="48" t="s">
        <v>442</v>
      </c>
      <c r="C17" s="48" t="s">
        <v>455</v>
      </c>
      <c r="D17" s="48" t="s">
        <v>442</v>
      </c>
      <c r="E17" s="48" t="s">
        <v>456</v>
      </c>
      <c r="F17" s="48" t="s">
        <v>445</v>
      </c>
      <c r="G17" s="48" t="s">
        <v>374</v>
      </c>
      <c r="H17" s="48" t="s">
        <v>374</v>
      </c>
      <c r="I17" s="52">
        <v>30.5</v>
      </c>
      <c r="J17" s="53" t="s">
        <v>405</v>
      </c>
      <c r="K17" s="59" t="s">
        <v>376</v>
      </c>
      <c r="L17" s="53" t="s">
        <v>377</v>
      </c>
      <c r="M17" s="53" t="s">
        <v>457</v>
      </c>
      <c r="N17" s="53" t="s">
        <v>448</v>
      </c>
      <c r="O17" s="53"/>
      <c r="P17" s="53" t="s">
        <v>458</v>
      </c>
      <c r="Q17" s="53" t="s">
        <v>459</v>
      </c>
      <c r="R17" s="53" t="s">
        <v>412</v>
      </c>
      <c r="S17" s="53" t="s">
        <v>452</v>
      </c>
      <c r="T17" s="54" t="s">
        <v>460</v>
      </c>
    </row>
    <row r="18" spans="1:20" ht="19.149999999999999" customHeight="1" x14ac:dyDescent="0.2">
      <c r="A18" s="47" t="s">
        <v>461</v>
      </c>
      <c r="B18" s="48" t="s">
        <v>442</v>
      </c>
      <c r="C18" s="48" t="s">
        <v>462</v>
      </c>
      <c r="D18" s="48" t="s">
        <v>442</v>
      </c>
      <c r="E18" s="48" t="s">
        <v>456</v>
      </c>
      <c r="F18" s="48" t="s">
        <v>445</v>
      </c>
      <c r="G18" s="48" t="s">
        <v>374</v>
      </c>
      <c r="H18" s="48" t="s">
        <v>374</v>
      </c>
      <c r="I18" s="52">
        <v>31</v>
      </c>
      <c r="J18" s="53" t="s">
        <v>405</v>
      </c>
      <c r="K18" s="59" t="s">
        <v>376</v>
      </c>
      <c r="L18" s="53" t="s">
        <v>377</v>
      </c>
      <c r="M18" s="53" t="s">
        <v>457</v>
      </c>
      <c r="N18" s="53" t="s">
        <v>448</v>
      </c>
      <c r="O18" s="53"/>
      <c r="P18" s="53" t="s">
        <v>458</v>
      </c>
      <c r="Q18" s="53" t="s">
        <v>459</v>
      </c>
      <c r="R18" s="53" t="s">
        <v>412</v>
      </c>
      <c r="S18" s="53" t="s">
        <v>452</v>
      </c>
      <c r="T18" s="54" t="s">
        <v>460</v>
      </c>
    </row>
    <row r="19" spans="1:20" ht="19.149999999999999" customHeight="1" x14ac:dyDescent="0.2">
      <c r="A19" s="47" t="s">
        <v>463</v>
      </c>
      <c r="B19" s="48" t="s">
        <v>442</v>
      </c>
      <c r="C19" s="48" t="s">
        <v>464</v>
      </c>
      <c r="D19" s="48" t="s">
        <v>442</v>
      </c>
      <c r="E19" s="48" t="s">
        <v>456</v>
      </c>
      <c r="F19" s="48" t="s">
        <v>445</v>
      </c>
      <c r="G19" s="48" t="s">
        <v>374</v>
      </c>
      <c r="H19" s="48" t="s">
        <v>374</v>
      </c>
      <c r="I19" s="52">
        <v>48.5</v>
      </c>
      <c r="J19" s="53" t="s">
        <v>405</v>
      </c>
      <c r="K19" s="59" t="s">
        <v>376</v>
      </c>
      <c r="L19" s="53" t="s">
        <v>377</v>
      </c>
      <c r="M19" s="53" t="s">
        <v>457</v>
      </c>
      <c r="N19" s="53" t="s">
        <v>465</v>
      </c>
      <c r="O19" s="53"/>
      <c r="P19" s="53" t="s">
        <v>466</v>
      </c>
      <c r="Q19" s="53" t="s">
        <v>459</v>
      </c>
      <c r="R19" s="53" t="s">
        <v>412</v>
      </c>
      <c r="S19" s="53" t="s">
        <v>452</v>
      </c>
      <c r="T19" s="54" t="s">
        <v>467</v>
      </c>
    </row>
    <row r="20" spans="1:20" ht="19.149999999999999" customHeight="1" x14ac:dyDescent="0.2">
      <c r="A20" s="47" t="s">
        <v>468</v>
      </c>
      <c r="B20" s="48" t="s">
        <v>442</v>
      </c>
      <c r="C20" s="48" t="s">
        <v>469</v>
      </c>
      <c r="D20" s="48" t="s">
        <v>442</v>
      </c>
      <c r="E20" s="48" t="s">
        <v>470</v>
      </c>
      <c r="F20" s="48" t="s">
        <v>445</v>
      </c>
      <c r="G20" s="48" t="s">
        <v>374</v>
      </c>
      <c r="H20" s="48" t="s">
        <v>374</v>
      </c>
      <c r="I20" s="52">
        <v>3.25</v>
      </c>
      <c r="J20" s="53" t="s">
        <v>405</v>
      </c>
      <c r="K20" s="59" t="s">
        <v>376</v>
      </c>
      <c r="L20" s="53" t="s">
        <v>377</v>
      </c>
      <c r="M20" s="53" t="s">
        <v>471</v>
      </c>
      <c r="N20" s="53" t="s">
        <v>472</v>
      </c>
      <c r="O20" s="53"/>
      <c r="P20" s="53" t="s">
        <v>473</v>
      </c>
      <c r="Q20" s="53" t="s">
        <v>474</v>
      </c>
      <c r="R20" s="53" t="s">
        <v>382</v>
      </c>
      <c r="S20" s="53" t="s">
        <v>440</v>
      </c>
      <c r="T20" s="54"/>
    </row>
    <row r="21" spans="1:20" ht="19.149999999999999" customHeight="1" x14ac:dyDescent="0.2">
      <c r="A21" s="47" t="s">
        <v>475</v>
      </c>
      <c r="B21" s="48" t="s">
        <v>442</v>
      </c>
      <c r="C21" s="48" t="s">
        <v>476</v>
      </c>
      <c r="D21" s="48" t="s">
        <v>442</v>
      </c>
      <c r="E21" s="48" t="s">
        <v>444</v>
      </c>
      <c r="F21" s="48" t="s">
        <v>477</v>
      </c>
      <c r="G21" s="48" t="s">
        <v>374</v>
      </c>
      <c r="H21" s="48" t="s">
        <v>374</v>
      </c>
      <c r="I21" s="52">
        <v>325</v>
      </c>
      <c r="J21" s="53" t="s">
        <v>405</v>
      </c>
      <c r="K21" s="59" t="s">
        <v>376</v>
      </c>
      <c r="L21" s="53" t="s">
        <v>377</v>
      </c>
      <c r="M21" s="53" t="s">
        <v>478</v>
      </c>
      <c r="N21" s="53" t="s">
        <v>472</v>
      </c>
      <c r="O21" s="53"/>
      <c r="P21" s="53" t="s">
        <v>479</v>
      </c>
      <c r="Q21" s="53" t="s">
        <v>480</v>
      </c>
      <c r="R21" s="53" t="s">
        <v>382</v>
      </c>
      <c r="S21" s="53" t="s">
        <v>440</v>
      </c>
      <c r="T21" s="54"/>
    </row>
    <row r="22" spans="1:20" ht="19.149999999999999" customHeight="1" x14ac:dyDescent="0.2">
      <c r="A22" s="47" t="s">
        <v>481</v>
      </c>
      <c r="B22" s="48" t="s">
        <v>442</v>
      </c>
      <c r="C22" s="48" t="s">
        <v>482</v>
      </c>
      <c r="D22" s="48" t="s">
        <v>442</v>
      </c>
      <c r="E22" s="48" t="s">
        <v>470</v>
      </c>
      <c r="F22" s="48" t="s">
        <v>445</v>
      </c>
      <c r="G22" s="48" t="s">
        <v>374</v>
      </c>
      <c r="H22" s="48" t="s">
        <v>374</v>
      </c>
      <c r="I22" s="52">
        <v>20</v>
      </c>
      <c r="J22" s="53" t="s">
        <v>405</v>
      </c>
      <c r="K22" s="59" t="s">
        <v>376</v>
      </c>
      <c r="L22" s="53" t="s">
        <v>377</v>
      </c>
      <c r="M22" s="53" t="s">
        <v>483</v>
      </c>
      <c r="N22" s="53" t="s">
        <v>472</v>
      </c>
      <c r="O22" s="53"/>
      <c r="P22" s="53" t="s">
        <v>484</v>
      </c>
      <c r="Q22" s="53" t="s">
        <v>485</v>
      </c>
      <c r="R22" s="53" t="s">
        <v>382</v>
      </c>
      <c r="S22" s="53" t="s">
        <v>440</v>
      </c>
      <c r="T22" s="54" t="s">
        <v>1033</v>
      </c>
    </row>
    <row r="23" spans="1:20" ht="19.149999999999999" customHeight="1" x14ac:dyDescent="0.2">
      <c r="A23" s="47" t="s">
        <v>486</v>
      </c>
      <c r="B23" s="48" t="s">
        <v>442</v>
      </c>
      <c r="C23" s="48" t="s">
        <v>487</v>
      </c>
      <c r="D23" s="48" t="s">
        <v>442</v>
      </c>
      <c r="E23" s="48" t="s">
        <v>488</v>
      </c>
      <c r="F23" s="48" t="s">
        <v>445</v>
      </c>
      <c r="G23" s="48" t="s">
        <v>374</v>
      </c>
      <c r="H23" s="48" t="s">
        <v>374</v>
      </c>
      <c r="I23" s="52">
        <v>45</v>
      </c>
      <c r="J23" s="53" t="s">
        <v>405</v>
      </c>
      <c r="K23" s="59" t="s">
        <v>376</v>
      </c>
      <c r="L23" s="53" t="s">
        <v>446</v>
      </c>
      <c r="M23" s="53" t="s">
        <v>471</v>
      </c>
      <c r="N23" s="53" t="s">
        <v>489</v>
      </c>
      <c r="O23" s="53"/>
      <c r="P23" s="53" t="s">
        <v>490</v>
      </c>
      <c r="Q23" s="53" t="s">
        <v>491</v>
      </c>
      <c r="R23" s="53" t="s">
        <v>451</v>
      </c>
      <c r="S23" s="53" t="s">
        <v>440</v>
      </c>
      <c r="T23" s="54"/>
    </row>
    <row r="24" spans="1:20" ht="19.149999999999999" customHeight="1" x14ac:dyDescent="0.2">
      <c r="A24" s="47" t="s">
        <v>492</v>
      </c>
      <c r="B24" s="48" t="s">
        <v>442</v>
      </c>
      <c r="C24" s="48" t="s">
        <v>493</v>
      </c>
      <c r="D24" s="48" t="s">
        <v>442</v>
      </c>
      <c r="E24" s="48" t="s">
        <v>488</v>
      </c>
      <c r="F24" s="48" t="s">
        <v>445</v>
      </c>
      <c r="G24" s="48" t="s">
        <v>374</v>
      </c>
      <c r="H24" s="48" t="s">
        <v>374</v>
      </c>
      <c r="I24" s="52">
        <v>95</v>
      </c>
      <c r="J24" s="53" t="s">
        <v>405</v>
      </c>
      <c r="K24" s="59" t="s">
        <v>376</v>
      </c>
      <c r="L24" s="53" t="s">
        <v>446</v>
      </c>
      <c r="M24" s="53" t="s">
        <v>471</v>
      </c>
      <c r="N24" s="53" t="s">
        <v>489</v>
      </c>
      <c r="O24" s="53"/>
      <c r="P24" s="53" t="s">
        <v>490</v>
      </c>
      <c r="Q24" s="53" t="s">
        <v>491</v>
      </c>
      <c r="R24" s="53" t="s">
        <v>451</v>
      </c>
      <c r="S24" s="53" t="s">
        <v>440</v>
      </c>
      <c r="T24" s="54"/>
    </row>
    <row r="25" spans="1:20" ht="19.149999999999999" customHeight="1" x14ac:dyDescent="0.2">
      <c r="A25" s="47" t="s">
        <v>494</v>
      </c>
      <c r="B25" s="48" t="s">
        <v>442</v>
      </c>
      <c r="C25" s="48" t="s">
        <v>495</v>
      </c>
      <c r="D25" s="48" t="s">
        <v>442</v>
      </c>
      <c r="E25" s="48" t="s">
        <v>488</v>
      </c>
      <c r="F25" s="48" t="s">
        <v>445</v>
      </c>
      <c r="G25" s="48" t="s">
        <v>374</v>
      </c>
      <c r="H25" s="48" t="s">
        <v>374</v>
      </c>
      <c r="I25" s="52">
        <v>20</v>
      </c>
      <c r="J25" s="53" t="s">
        <v>405</v>
      </c>
      <c r="K25" s="59" t="s">
        <v>376</v>
      </c>
      <c r="L25" s="53" t="s">
        <v>446</v>
      </c>
      <c r="M25" s="53" t="s">
        <v>471</v>
      </c>
      <c r="N25" s="53" t="s">
        <v>489</v>
      </c>
      <c r="O25" s="53"/>
      <c r="P25" s="53" t="s">
        <v>496</v>
      </c>
      <c r="Q25" s="53" t="s">
        <v>497</v>
      </c>
      <c r="R25" s="53" t="s">
        <v>451</v>
      </c>
      <c r="S25" s="53" t="s">
        <v>440</v>
      </c>
      <c r="T25" s="54"/>
    </row>
    <row r="26" spans="1:20" ht="19.149999999999999" customHeight="1" x14ac:dyDescent="0.2">
      <c r="A26" s="47" t="s">
        <v>498</v>
      </c>
      <c r="B26" s="48" t="s">
        <v>442</v>
      </c>
      <c r="C26" s="48" t="s">
        <v>499</v>
      </c>
      <c r="D26" s="48" t="s">
        <v>442</v>
      </c>
      <c r="E26" s="48" t="s">
        <v>488</v>
      </c>
      <c r="F26" s="48" t="s">
        <v>445</v>
      </c>
      <c r="G26" s="48" t="s">
        <v>374</v>
      </c>
      <c r="H26" s="48" t="s">
        <v>374</v>
      </c>
      <c r="I26" s="52">
        <v>22</v>
      </c>
      <c r="J26" s="53" t="s">
        <v>405</v>
      </c>
      <c r="K26" s="59" t="s">
        <v>376</v>
      </c>
      <c r="L26" s="53" t="s">
        <v>446</v>
      </c>
      <c r="M26" s="53" t="s">
        <v>471</v>
      </c>
      <c r="N26" s="53" t="s">
        <v>489</v>
      </c>
      <c r="O26" s="53"/>
      <c r="P26" s="53" t="s">
        <v>500</v>
      </c>
      <c r="Q26" s="53" t="s">
        <v>501</v>
      </c>
      <c r="R26" s="53" t="s">
        <v>451</v>
      </c>
      <c r="S26" s="53" t="s">
        <v>440</v>
      </c>
      <c r="T26" s="54"/>
    </row>
    <row r="27" spans="1:20" ht="19.149999999999999" customHeight="1" x14ac:dyDescent="0.2">
      <c r="A27" s="47" t="s">
        <v>502</v>
      </c>
      <c r="B27" s="48" t="s">
        <v>442</v>
      </c>
      <c r="C27" s="48" t="s">
        <v>503</v>
      </c>
      <c r="D27" s="48" t="s">
        <v>442</v>
      </c>
      <c r="E27" s="48" t="s">
        <v>504</v>
      </c>
      <c r="F27" s="48" t="s">
        <v>505</v>
      </c>
      <c r="G27" s="48" t="s">
        <v>374</v>
      </c>
      <c r="H27" s="48" t="s">
        <v>374</v>
      </c>
      <c r="I27" s="52">
        <v>5500</v>
      </c>
      <c r="J27" s="53" t="s">
        <v>405</v>
      </c>
      <c r="K27" s="59" t="s">
        <v>376</v>
      </c>
      <c r="L27" s="53" t="s">
        <v>446</v>
      </c>
      <c r="M27" s="53" t="s">
        <v>505</v>
      </c>
      <c r="N27" s="53" t="s">
        <v>489</v>
      </c>
      <c r="O27" s="53"/>
      <c r="P27" s="53" t="s">
        <v>506</v>
      </c>
      <c r="Q27" s="53" t="s">
        <v>507</v>
      </c>
      <c r="R27" s="53" t="s">
        <v>451</v>
      </c>
      <c r="S27" s="53" t="s">
        <v>440</v>
      </c>
      <c r="T27" s="54"/>
    </row>
    <row r="28" spans="1:20" ht="19.149999999999999" customHeight="1" x14ac:dyDescent="0.2">
      <c r="A28" s="47" t="s">
        <v>508</v>
      </c>
      <c r="B28" s="48" t="s">
        <v>442</v>
      </c>
      <c r="C28" s="48" t="s">
        <v>509</v>
      </c>
      <c r="D28" s="48" t="s">
        <v>442</v>
      </c>
      <c r="E28" s="48" t="s">
        <v>504</v>
      </c>
      <c r="F28" s="48" t="s">
        <v>505</v>
      </c>
      <c r="G28" s="48" t="s">
        <v>374</v>
      </c>
      <c r="H28" s="48" t="s">
        <v>374</v>
      </c>
      <c r="I28" s="52">
        <v>7000</v>
      </c>
      <c r="J28" s="53" t="s">
        <v>405</v>
      </c>
      <c r="K28" s="59" t="s">
        <v>376</v>
      </c>
      <c r="L28" s="53" t="s">
        <v>446</v>
      </c>
      <c r="M28" s="53" t="s">
        <v>505</v>
      </c>
      <c r="N28" s="53" t="s">
        <v>489</v>
      </c>
      <c r="O28" s="53"/>
      <c r="P28" s="53" t="s">
        <v>506</v>
      </c>
      <c r="Q28" s="53" t="s">
        <v>510</v>
      </c>
      <c r="R28" s="53" t="s">
        <v>451</v>
      </c>
      <c r="S28" s="53" t="s">
        <v>440</v>
      </c>
      <c r="T28" s="54"/>
    </row>
    <row r="29" spans="1:20" ht="19.149999999999999" customHeight="1" x14ac:dyDescent="0.2">
      <c r="A29" s="47" t="s">
        <v>511</v>
      </c>
      <c r="B29" s="48" t="s">
        <v>442</v>
      </c>
      <c r="C29" s="48" t="s">
        <v>512</v>
      </c>
      <c r="D29" s="48" t="s">
        <v>442</v>
      </c>
      <c r="E29" s="48" t="s">
        <v>504</v>
      </c>
      <c r="F29" s="48" t="s">
        <v>445</v>
      </c>
      <c r="G29" s="48" t="s">
        <v>374</v>
      </c>
      <c r="H29" s="48" t="s">
        <v>374</v>
      </c>
      <c r="I29" s="52">
        <v>1800</v>
      </c>
      <c r="J29" s="53" t="s">
        <v>405</v>
      </c>
      <c r="K29" s="59" t="s">
        <v>376</v>
      </c>
      <c r="L29" s="53" t="s">
        <v>446</v>
      </c>
      <c r="M29" s="53" t="s">
        <v>471</v>
      </c>
      <c r="N29" s="53" t="s">
        <v>489</v>
      </c>
      <c r="O29" s="53"/>
      <c r="P29" s="53" t="s">
        <v>513</v>
      </c>
      <c r="Q29" s="53" t="s">
        <v>514</v>
      </c>
      <c r="R29" s="53" t="s">
        <v>451</v>
      </c>
      <c r="S29" s="53" t="s">
        <v>440</v>
      </c>
      <c r="T29" s="54"/>
    </row>
    <row r="30" spans="1:20" ht="19.149999999999999" customHeight="1" x14ac:dyDescent="0.2">
      <c r="A30" s="47" t="s">
        <v>515</v>
      </c>
      <c r="B30" s="48" t="s">
        <v>442</v>
      </c>
      <c r="C30" s="48" t="s">
        <v>516</v>
      </c>
      <c r="D30" s="48" t="s">
        <v>442</v>
      </c>
      <c r="E30" s="48" t="s">
        <v>504</v>
      </c>
      <c r="F30" s="48" t="s">
        <v>505</v>
      </c>
      <c r="G30" s="48" t="s">
        <v>374</v>
      </c>
      <c r="H30" s="48" t="s">
        <v>374</v>
      </c>
      <c r="I30" s="52">
        <v>1800</v>
      </c>
      <c r="J30" s="53" t="s">
        <v>405</v>
      </c>
      <c r="K30" s="59" t="s">
        <v>376</v>
      </c>
      <c r="L30" s="53" t="s">
        <v>446</v>
      </c>
      <c r="M30" s="53" t="s">
        <v>505</v>
      </c>
      <c r="N30" s="53" t="s">
        <v>489</v>
      </c>
      <c r="O30" s="53"/>
      <c r="P30" s="53" t="s">
        <v>517</v>
      </c>
      <c r="Q30" s="53" t="s">
        <v>514</v>
      </c>
      <c r="R30" s="53" t="s">
        <v>451</v>
      </c>
      <c r="S30" s="53" t="s">
        <v>440</v>
      </c>
      <c r="T30" s="54"/>
    </row>
    <row r="31" spans="1:20" ht="19.149999999999999" customHeight="1" x14ac:dyDescent="0.2">
      <c r="A31" s="47" t="s">
        <v>518</v>
      </c>
      <c r="B31" s="48" t="s">
        <v>442</v>
      </c>
      <c r="C31" s="48" t="s">
        <v>519</v>
      </c>
      <c r="D31" s="48" t="s">
        <v>442</v>
      </c>
      <c r="E31" s="48" t="s">
        <v>504</v>
      </c>
      <c r="F31" s="48" t="s">
        <v>505</v>
      </c>
      <c r="G31" s="48" t="s">
        <v>374</v>
      </c>
      <c r="H31" s="48" t="s">
        <v>374</v>
      </c>
      <c r="I31" s="52">
        <v>4500</v>
      </c>
      <c r="J31" s="53" t="s">
        <v>405</v>
      </c>
      <c r="K31" s="59" t="s">
        <v>376</v>
      </c>
      <c r="L31" s="53" t="s">
        <v>446</v>
      </c>
      <c r="M31" s="53" t="s">
        <v>505</v>
      </c>
      <c r="N31" s="53" t="s">
        <v>489</v>
      </c>
      <c r="O31" s="53"/>
      <c r="P31" s="53" t="s">
        <v>520</v>
      </c>
      <c r="Q31" s="53" t="s">
        <v>514</v>
      </c>
      <c r="R31" s="53" t="s">
        <v>451</v>
      </c>
      <c r="S31" s="53" t="s">
        <v>440</v>
      </c>
      <c r="T31" s="54"/>
    </row>
    <row r="32" spans="1:20" ht="19.149999999999999" customHeight="1" x14ac:dyDescent="0.2">
      <c r="A32" s="47" t="s">
        <v>521</v>
      </c>
      <c r="B32" s="48" t="s">
        <v>522</v>
      </c>
      <c r="C32" s="48" t="s">
        <v>523</v>
      </c>
      <c r="D32" s="48" t="s">
        <v>522</v>
      </c>
      <c r="E32" s="48" t="s">
        <v>470</v>
      </c>
      <c r="F32" s="48" t="s">
        <v>524</v>
      </c>
      <c r="G32" s="48" t="s">
        <v>404</v>
      </c>
      <c r="H32" s="48" t="s">
        <v>404</v>
      </c>
      <c r="I32" s="52">
        <v>55</v>
      </c>
      <c r="J32" s="53" t="s">
        <v>405</v>
      </c>
      <c r="K32" s="59" t="s">
        <v>376</v>
      </c>
      <c r="L32" s="53" t="s">
        <v>525</v>
      </c>
      <c r="M32" s="53" t="s">
        <v>526</v>
      </c>
      <c r="N32" s="53" t="s">
        <v>489</v>
      </c>
      <c r="O32" s="53"/>
      <c r="P32" s="53" t="s">
        <v>527</v>
      </c>
      <c r="Q32" s="53" t="s">
        <v>528</v>
      </c>
      <c r="R32" s="53" t="s">
        <v>451</v>
      </c>
      <c r="S32" s="53" t="s">
        <v>529</v>
      </c>
      <c r="T32" s="54"/>
    </row>
    <row r="33" spans="1:20" ht="19.149999999999999" customHeight="1" x14ac:dyDescent="0.2">
      <c r="A33" s="47" t="s">
        <v>530</v>
      </c>
      <c r="B33" s="48" t="s">
        <v>522</v>
      </c>
      <c r="C33" s="48" t="s">
        <v>531</v>
      </c>
      <c r="D33" s="48" t="s">
        <v>522</v>
      </c>
      <c r="E33" s="48" t="s">
        <v>488</v>
      </c>
      <c r="F33" s="48" t="s">
        <v>524</v>
      </c>
      <c r="G33" s="48" t="s">
        <v>404</v>
      </c>
      <c r="H33" s="48" t="s">
        <v>404</v>
      </c>
      <c r="I33" s="52">
        <v>145</v>
      </c>
      <c r="J33" s="53" t="s">
        <v>405</v>
      </c>
      <c r="K33" s="59" t="s">
        <v>376</v>
      </c>
      <c r="L33" s="53" t="s">
        <v>525</v>
      </c>
      <c r="M33" s="53" t="s">
        <v>532</v>
      </c>
      <c r="N33" s="53" t="s">
        <v>489</v>
      </c>
      <c r="O33" s="53"/>
      <c r="P33" s="53" t="s">
        <v>533</v>
      </c>
      <c r="Q33" s="53" t="s">
        <v>534</v>
      </c>
      <c r="R33" s="53" t="s">
        <v>451</v>
      </c>
      <c r="S33" s="53" t="s">
        <v>529</v>
      </c>
      <c r="T33" s="54"/>
    </row>
    <row r="34" spans="1:20" ht="19.149999999999999" customHeight="1" x14ac:dyDescent="0.2">
      <c r="A34" s="47" t="s">
        <v>535</v>
      </c>
      <c r="B34" s="48" t="s">
        <v>522</v>
      </c>
      <c r="C34" s="48" t="s">
        <v>536</v>
      </c>
      <c r="D34" s="48" t="s">
        <v>522</v>
      </c>
      <c r="E34" s="48" t="s">
        <v>488</v>
      </c>
      <c r="F34" s="48" t="s">
        <v>524</v>
      </c>
      <c r="G34" s="48" t="s">
        <v>404</v>
      </c>
      <c r="H34" s="48" t="s">
        <v>404</v>
      </c>
      <c r="I34" s="52">
        <v>115</v>
      </c>
      <c r="J34" s="53" t="s">
        <v>405</v>
      </c>
      <c r="K34" s="59" t="s">
        <v>376</v>
      </c>
      <c r="L34" s="53" t="s">
        <v>525</v>
      </c>
      <c r="M34" s="53" t="s">
        <v>532</v>
      </c>
      <c r="N34" s="53" t="s">
        <v>489</v>
      </c>
      <c r="O34" s="53"/>
      <c r="P34" s="53" t="s">
        <v>537</v>
      </c>
      <c r="Q34" s="53" t="s">
        <v>534</v>
      </c>
      <c r="R34" s="53" t="s">
        <v>451</v>
      </c>
      <c r="S34" s="53" t="s">
        <v>529</v>
      </c>
      <c r="T34" s="54"/>
    </row>
    <row r="35" spans="1:20" ht="19.149999999999999" customHeight="1" x14ac:dyDescent="0.2">
      <c r="A35" s="47" t="s">
        <v>538</v>
      </c>
      <c r="B35" s="48" t="s">
        <v>522</v>
      </c>
      <c r="C35" s="48" t="s">
        <v>539</v>
      </c>
      <c r="D35" s="48" t="s">
        <v>522</v>
      </c>
      <c r="E35" s="48" t="s">
        <v>488</v>
      </c>
      <c r="F35" s="48" t="s">
        <v>524</v>
      </c>
      <c r="G35" s="48" t="s">
        <v>404</v>
      </c>
      <c r="H35" s="48" t="s">
        <v>404</v>
      </c>
      <c r="I35" s="52">
        <v>275</v>
      </c>
      <c r="J35" s="53" t="s">
        <v>405</v>
      </c>
      <c r="K35" s="59" t="s">
        <v>376</v>
      </c>
      <c r="L35" s="53" t="s">
        <v>525</v>
      </c>
      <c r="M35" s="53" t="s">
        <v>540</v>
      </c>
      <c r="N35" s="53" t="s">
        <v>489</v>
      </c>
      <c r="O35" s="53"/>
      <c r="P35" s="53" t="s">
        <v>541</v>
      </c>
      <c r="Q35" s="53" t="s">
        <v>542</v>
      </c>
      <c r="R35" s="53" t="s">
        <v>451</v>
      </c>
      <c r="S35" s="53" t="s">
        <v>529</v>
      </c>
      <c r="T35" s="54"/>
    </row>
    <row r="36" spans="1:20" ht="19.149999999999999" customHeight="1" x14ac:dyDescent="0.2">
      <c r="A36" s="47" t="s">
        <v>543</v>
      </c>
      <c r="B36" s="48" t="s">
        <v>522</v>
      </c>
      <c r="C36" s="48" t="s">
        <v>544</v>
      </c>
      <c r="D36" s="48" t="s">
        <v>522</v>
      </c>
      <c r="E36" s="48" t="s">
        <v>545</v>
      </c>
      <c r="F36" s="48" t="s">
        <v>524</v>
      </c>
      <c r="G36" s="48" t="s">
        <v>374</v>
      </c>
      <c r="H36" s="48" t="s">
        <v>374</v>
      </c>
      <c r="I36" s="52">
        <v>1</v>
      </c>
      <c r="J36" s="53" t="s">
        <v>546</v>
      </c>
      <c r="K36" s="59" t="s">
        <v>376</v>
      </c>
      <c r="L36" s="53" t="s">
        <v>547</v>
      </c>
      <c r="M36" s="53" t="s">
        <v>548</v>
      </c>
      <c r="N36" s="53" t="s">
        <v>549</v>
      </c>
      <c r="O36" s="53"/>
      <c r="P36" s="53" t="s">
        <v>550</v>
      </c>
      <c r="Q36" s="53" t="s">
        <v>551</v>
      </c>
      <c r="R36" s="53" t="s">
        <v>451</v>
      </c>
      <c r="S36" s="53" t="s">
        <v>529</v>
      </c>
      <c r="T36" s="54" t="s">
        <v>552</v>
      </c>
    </row>
    <row r="37" spans="1:20" ht="19.149999999999999" customHeight="1" x14ac:dyDescent="0.2">
      <c r="A37" s="47" t="s">
        <v>553</v>
      </c>
      <c r="B37" s="48" t="s">
        <v>554</v>
      </c>
      <c r="C37" s="48" t="s">
        <v>555</v>
      </c>
      <c r="D37" s="48" t="s">
        <v>554</v>
      </c>
      <c r="E37" s="48" t="s">
        <v>545</v>
      </c>
      <c r="F37" s="48" t="s">
        <v>556</v>
      </c>
      <c r="G37" s="48" t="s">
        <v>374</v>
      </c>
      <c r="H37" s="48" t="s">
        <v>374</v>
      </c>
      <c r="I37" s="52">
        <v>1</v>
      </c>
      <c r="J37" s="53" t="s">
        <v>546</v>
      </c>
      <c r="K37" s="59" t="s">
        <v>376</v>
      </c>
      <c r="L37" s="53" t="s">
        <v>547</v>
      </c>
      <c r="M37" s="53" t="s">
        <v>557</v>
      </c>
      <c r="N37" s="53" t="s">
        <v>558</v>
      </c>
      <c r="O37" s="53"/>
      <c r="P37" s="53" t="s">
        <v>550</v>
      </c>
      <c r="Q37" s="53" t="s">
        <v>551</v>
      </c>
      <c r="R37" s="53" t="s">
        <v>382</v>
      </c>
      <c r="S37" s="53" t="s">
        <v>529</v>
      </c>
      <c r="T37" s="54" t="s">
        <v>552</v>
      </c>
    </row>
    <row r="38" spans="1:20" ht="19.149999999999999" customHeight="1" x14ac:dyDescent="0.2">
      <c r="A38" s="47" t="s">
        <v>559</v>
      </c>
      <c r="B38" s="48" t="s">
        <v>554</v>
      </c>
      <c r="C38" s="48" t="s">
        <v>560</v>
      </c>
      <c r="D38" s="48" t="s">
        <v>554</v>
      </c>
      <c r="E38" s="48" t="s">
        <v>456</v>
      </c>
      <c r="F38" s="48" t="s">
        <v>561</v>
      </c>
      <c r="G38" s="48" t="s">
        <v>374</v>
      </c>
      <c r="H38" s="48" t="s">
        <v>374</v>
      </c>
      <c r="I38" s="52">
        <v>22</v>
      </c>
      <c r="J38" s="53" t="s">
        <v>405</v>
      </c>
      <c r="K38" s="59" t="s">
        <v>376</v>
      </c>
      <c r="L38" s="53" t="s">
        <v>377</v>
      </c>
      <c r="M38" s="53" t="s">
        <v>562</v>
      </c>
      <c r="N38" s="53" t="s">
        <v>472</v>
      </c>
      <c r="O38" s="53"/>
      <c r="P38" s="53" t="s">
        <v>563</v>
      </c>
      <c r="Q38" s="53" t="s">
        <v>564</v>
      </c>
      <c r="R38" s="53" t="s">
        <v>412</v>
      </c>
      <c r="S38" s="53" t="s">
        <v>440</v>
      </c>
      <c r="T38" s="54"/>
    </row>
    <row r="39" spans="1:20" ht="19.149999999999999" customHeight="1" x14ac:dyDescent="0.2">
      <c r="A39" s="47" t="s">
        <v>1034</v>
      </c>
      <c r="B39" s="48" t="s">
        <v>370</v>
      </c>
      <c r="C39" s="48" t="s">
        <v>1035</v>
      </c>
      <c r="D39" s="48" t="s">
        <v>370</v>
      </c>
      <c r="E39" s="48" t="s">
        <v>372</v>
      </c>
      <c r="F39" s="48" t="s">
        <v>1036</v>
      </c>
      <c r="G39" s="48" t="s">
        <v>374</v>
      </c>
      <c r="H39" s="48" t="s">
        <v>374</v>
      </c>
      <c r="I39" s="52">
        <v>1</v>
      </c>
      <c r="J39" s="53" t="s">
        <v>1037</v>
      </c>
      <c r="K39" s="59" t="s">
        <v>906</v>
      </c>
      <c r="L39" s="53" t="s">
        <v>547</v>
      </c>
      <c r="M39" s="53" t="s">
        <v>1038</v>
      </c>
      <c r="N39" s="53" t="s">
        <v>489</v>
      </c>
      <c r="O39" s="53" t="s">
        <v>1039</v>
      </c>
      <c r="P39" s="53" t="s">
        <v>1040</v>
      </c>
      <c r="Q39" s="53" t="s">
        <v>1041</v>
      </c>
      <c r="R39" s="53" t="s">
        <v>451</v>
      </c>
      <c r="S39" s="53" t="s">
        <v>529</v>
      </c>
      <c r="T39" s="54" t="s">
        <v>1042</v>
      </c>
    </row>
    <row r="40" spans="1:20" ht="19.149999999999999" customHeight="1" x14ac:dyDescent="0.2">
      <c r="A40" s="47" t="s">
        <v>1043</v>
      </c>
      <c r="B40" s="48" t="s">
        <v>401</v>
      </c>
      <c r="C40" s="48" t="s">
        <v>1044</v>
      </c>
      <c r="D40" s="48" t="s">
        <v>401</v>
      </c>
      <c r="E40" s="48" t="s">
        <v>372</v>
      </c>
      <c r="F40" s="48" t="s">
        <v>1045</v>
      </c>
      <c r="G40" s="48" t="s">
        <v>404</v>
      </c>
      <c r="H40" s="48" t="s">
        <v>404</v>
      </c>
      <c r="I40" s="52">
        <v>1</v>
      </c>
      <c r="J40" s="53" t="s">
        <v>1037</v>
      </c>
      <c r="K40" s="59" t="s">
        <v>906</v>
      </c>
      <c r="L40" s="53" t="s">
        <v>547</v>
      </c>
      <c r="M40" s="53" t="s">
        <v>1046</v>
      </c>
      <c r="N40" s="53" t="s">
        <v>489</v>
      </c>
      <c r="O40" s="53" t="s">
        <v>1047</v>
      </c>
      <c r="P40" s="53" t="s">
        <v>1048</v>
      </c>
      <c r="Q40" s="53" t="s">
        <v>1049</v>
      </c>
      <c r="R40" s="53" t="s">
        <v>451</v>
      </c>
      <c r="S40" s="53" t="s">
        <v>529</v>
      </c>
      <c r="T40" s="54" t="s">
        <v>1050</v>
      </c>
    </row>
    <row r="41" spans="1:20" ht="19.149999999999999" customHeight="1" x14ac:dyDescent="0.2">
      <c r="A41" s="47" t="s">
        <v>1051</v>
      </c>
      <c r="B41" s="48" t="s">
        <v>401</v>
      </c>
      <c r="C41" s="48" t="s">
        <v>1052</v>
      </c>
      <c r="D41" s="48" t="s">
        <v>401</v>
      </c>
      <c r="E41" s="48" t="s">
        <v>372</v>
      </c>
      <c r="F41" s="48" t="s">
        <v>1045</v>
      </c>
      <c r="G41" s="48" t="s">
        <v>404</v>
      </c>
      <c r="H41" s="48" t="s">
        <v>404</v>
      </c>
      <c r="I41" s="52">
        <v>1</v>
      </c>
      <c r="J41" s="53" t="s">
        <v>1037</v>
      </c>
      <c r="K41" s="59" t="s">
        <v>906</v>
      </c>
      <c r="L41" s="53" t="s">
        <v>547</v>
      </c>
      <c r="M41" s="53" t="s">
        <v>1046</v>
      </c>
      <c r="N41" s="53" t="s">
        <v>489</v>
      </c>
      <c r="O41" s="53" t="s">
        <v>1047</v>
      </c>
      <c r="P41" s="53" t="s">
        <v>1048</v>
      </c>
      <c r="Q41" s="53" t="s">
        <v>1049</v>
      </c>
      <c r="R41" s="53" t="s">
        <v>451</v>
      </c>
      <c r="S41" s="53" t="s">
        <v>529</v>
      </c>
      <c r="T41" s="54" t="s">
        <v>1050</v>
      </c>
    </row>
    <row r="42" spans="1:20" ht="19.149999999999999" customHeight="1" x14ac:dyDescent="0.2">
      <c r="A42" s="47" t="s">
        <v>1053</v>
      </c>
      <c r="B42" s="48" t="s">
        <v>401</v>
      </c>
      <c r="C42" s="48" t="s">
        <v>1054</v>
      </c>
      <c r="D42" s="48" t="s">
        <v>401</v>
      </c>
      <c r="E42" s="48" t="s">
        <v>372</v>
      </c>
      <c r="F42" s="48" t="s">
        <v>1045</v>
      </c>
      <c r="G42" s="48" t="s">
        <v>404</v>
      </c>
      <c r="H42" s="48" t="s">
        <v>404</v>
      </c>
      <c r="I42" s="52">
        <v>1</v>
      </c>
      <c r="J42" s="53" t="s">
        <v>1037</v>
      </c>
      <c r="K42" s="59" t="s">
        <v>906</v>
      </c>
      <c r="L42" s="53" t="s">
        <v>547</v>
      </c>
      <c r="M42" s="53" t="s">
        <v>1046</v>
      </c>
      <c r="N42" s="53" t="s">
        <v>489</v>
      </c>
      <c r="O42" s="53" t="s">
        <v>1047</v>
      </c>
      <c r="P42" s="53" t="s">
        <v>1048</v>
      </c>
      <c r="Q42" s="53" t="s">
        <v>1049</v>
      </c>
      <c r="R42" s="53" t="s">
        <v>451</v>
      </c>
      <c r="S42" s="53" t="s">
        <v>529</v>
      </c>
      <c r="T42" s="54" t="s">
        <v>1050</v>
      </c>
    </row>
    <row r="43" spans="1:20" ht="19.149999999999999" customHeight="1" x14ac:dyDescent="0.2">
      <c r="A43" s="47" t="s">
        <v>1055</v>
      </c>
      <c r="B43" s="48" t="s">
        <v>401</v>
      </c>
      <c r="C43" s="48" t="s">
        <v>1056</v>
      </c>
      <c r="D43" s="48" t="s">
        <v>401</v>
      </c>
      <c r="E43" s="48" t="s">
        <v>1057</v>
      </c>
      <c r="F43" s="48" t="s">
        <v>1058</v>
      </c>
      <c r="G43" s="48" t="s">
        <v>374</v>
      </c>
      <c r="H43" s="48" t="s">
        <v>374</v>
      </c>
      <c r="I43" s="52">
        <v>1</v>
      </c>
      <c r="J43" s="53" t="s">
        <v>1037</v>
      </c>
      <c r="K43" s="59" t="s">
        <v>906</v>
      </c>
      <c r="L43" s="53" t="s">
        <v>547</v>
      </c>
      <c r="M43" s="53" t="s">
        <v>1059</v>
      </c>
      <c r="N43" s="53" t="s">
        <v>489</v>
      </c>
      <c r="O43" s="53" t="s">
        <v>1060</v>
      </c>
      <c r="P43" s="53" t="s">
        <v>1061</v>
      </c>
      <c r="Q43" s="53" t="s">
        <v>1062</v>
      </c>
      <c r="R43" s="53" t="s">
        <v>451</v>
      </c>
      <c r="S43" s="53" t="s">
        <v>529</v>
      </c>
      <c r="T43" s="54" t="s">
        <v>1063</v>
      </c>
    </row>
    <row r="44" spans="1:20" ht="19.149999999999999" customHeight="1" x14ac:dyDescent="0.2">
      <c r="A44" s="47" t="s">
        <v>1064</v>
      </c>
      <c r="B44" s="48" t="s">
        <v>401</v>
      </c>
      <c r="C44" s="48" t="s">
        <v>1065</v>
      </c>
      <c r="D44" s="48" t="s">
        <v>401</v>
      </c>
      <c r="E44" s="48" t="s">
        <v>1057</v>
      </c>
      <c r="F44" s="48" t="s">
        <v>1058</v>
      </c>
      <c r="G44" s="48" t="s">
        <v>374</v>
      </c>
      <c r="H44" s="48" t="s">
        <v>374</v>
      </c>
      <c r="I44" s="52">
        <v>1</v>
      </c>
      <c r="J44" s="53" t="s">
        <v>1037</v>
      </c>
      <c r="K44" s="59" t="s">
        <v>906</v>
      </c>
      <c r="L44" s="53" t="s">
        <v>547</v>
      </c>
      <c r="M44" s="53" t="s">
        <v>1066</v>
      </c>
      <c r="N44" s="53" t="s">
        <v>489</v>
      </c>
      <c r="O44" s="53" t="s">
        <v>1067</v>
      </c>
      <c r="P44" s="53" t="s">
        <v>1068</v>
      </c>
      <c r="Q44" s="53" t="s">
        <v>1069</v>
      </c>
      <c r="R44" s="53" t="s">
        <v>451</v>
      </c>
      <c r="S44" s="53" t="s">
        <v>529</v>
      </c>
      <c r="T44" s="54" t="s">
        <v>1070</v>
      </c>
    </row>
    <row r="45" spans="1:20" ht="19.149999999999999" customHeight="1" x14ac:dyDescent="0.2">
      <c r="A45" s="47" t="s">
        <v>1071</v>
      </c>
      <c r="B45" s="48" t="s">
        <v>401</v>
      </c>
      <c r="C45" s="48" t="s">
        <v>1072</v>
      </c>
      <c r="D45" s="48" t="s">
        <v>401</v>
      </c>
      <c r="E45" s="48" t="s">
        <v>372</v>
      </c>
      <c r="F45" s="48" t="s">
        <v>1073</v>
      </c>
      <c r="G45" s="48" t="s">
        <v>404</v>
      </c>
      <c r="H45" s="48" t="s">
        <v>404</v>
      </c>
      <c r="I45" s="52">
        <v>1</v>
      </c>
      <c r="J45" s="53" t="s">
        <v>1037</v>
      </c>
      <c r="K45" s="59" t="s">
        <v>906</v>
      </c>
      <c r="L45" s="53" t="s">
        <v>547</v>
      </c>
      <c r="M45" s="53" t="s">
        <v>1074</v>
      </c>
      <c r="N45" s="53" t="s">
        <v>489</v>
      </c>
      <c r="O45" s="53" t="s">
        <v>1075</v>
      </c>
      <c r="P45" s="53" t="s">
        <v>1076</v>
      </c>
      <c r="Q45" s="53" t="s">
        <v>1077</v>
      </c>
      <c r="R45" s="53" t="s">
        <v>451</v>
      </c>
      <c r="S45" s="53" t="s">
        <v>529</v>
      </c>
      <c r="T45" s="54" t="s">
        <v>1078</v>
      </c>
    </row>
    <row r="46" spans="1:20" ht="19.149999999999999" customHeight="1" x14ac:dyDescent="0.2">
      <c r="A46" s="47" t="s">
        <v>1079</v>
      </c>
      <c r="B46" s="48" t="s">
        <v>401</v>
      </c>
      <c r="C46" s="48" t="s">
        <v>1080</v>
      </c>
      <c r="D46" s="48" t="s">
        <v>401</v>
      </c>
      <c r="E46" s="48" t="s">
        <v>1081</v>
      </c>
      <c r="F46" s="48" t="s">
        <v>1082</v>
      </c>
      <c r="G46" s="48" t="s">
        <v>404</v>
      </c>
      <c r="H46" s="48" t="s">
        <v>404</v>
      </c>
      <c r="I46" s="52">
        <v>1</v>
      </c>
      <c r="J46" s="53" t="s">
        <v>1037</v>
      </c>
      <c r="K46" s="59" t="s">
        <v>906</v>
      </c>
      <c r="L46" s="53" t="s">
        <v>547</v>
      </c>
      <c r="M46" s="53" t="s">
        <v>1083</v>
      </c>
      <c r="N46" s="53" t="s">
        <v>489</v>
      </c>
      <c r="O46" s="53" t="s">
        <v>1084</v>
      </c>
      <c r="P46" s="53" t="s">
        <v>1085</v>
      </c>
      <c r="Q46" s="53" t="s">
        <v>1086</v>
      </c>
      <c r="R46" s="53" t="s">
        <v>451</v>
      </c>
      <c r="S46" s="53" t="s">
        <v>529</v>
      </c>
      <c r="T46" s="54" t="s">
        <v>1087</v>
      </c>
    </row>
    <row r="47" spans="1:20" ht="19.149999999999999" customHeight="1" x14ac:dyDescent="0.2">
      <c r="A47" s="47" t="s">
        <v>1088</v>
      </c>
      <c r="B47" s="48" t="s">
        <v>554</v>
      </c>
      <c r="C47" s="48" t="s">
        <v>1089</v>
      </c>
      <c r="D47" s="48" t="s">
        <v>554</v>
      </c>
      <c r="E47" s="48" t="s">
        <v>1090</v>
      </c>
      <c r="F47" s="48" t="s">
        <v>1091</v>
      </c>
      <c r="G47" s="48" t="s">
        <v>374</v>
      </c>
      <c r="H47" s="48" t="s">
        <v>374</v>
      </c>
      <c r="I47" s="52">
        <v>1</v>
      </c>
      <c r="J47" s="53" t="s">
        <v>546</v>
      </c>
      <c r="K47" s="59" t="s">
        <v>906</v>
      </c>
      <c r="L47" s="53" t="s">
        <v>547</v>
      </c>
      <c r="M47" s="53" t="s">
        <v>1092</v>
      </c>
      <c r="N47" s="53" t="s">
        <v>489</v>
      </c>
      <c r="O47" s="53" t="s">
        <v>1093</v>
      </c>
      <c r="P47" s="53" t="s">
        <v>1094</v>
      </c>
      <c r="Q47" s="53" t="s">
        <v>1095</v>
      </c>
      <c r="R47" s="53" t="s">
        <v>451</v>
      </c>
      <c r="S47" s="53" t="s">
        <v>529</v>
      </c>
      <c r="T47" s="54" t="s">
        <v>1096</v>
      </c>
    </row>
    <row r="48" spans="1:20" ht="19.149999999999999" customHeight="1" x14ac:dyDescent="0.2">
      <c r="A48" s="47" t="s">
        <v>1097</v>
      </c>
      <c r="B48" s="48" t="s">
        <v>522</v>
      </c>
      <c r="C48" s="48" t="s">
        <v>1098</v>
      </c>
      <c r="D48" s="48" t="s">
        <v>522</v>
      </c>
      <c r="E48" s="48" t="s">
        <v>545</v>
      </c>
      <c r="F48" s="48" t="s">
        <v>524</v>
      </c>
      <c r="G48" s="48" t="s">
        <v>374</v>
      </c>
      <c r="H48" s="48" t="s">
        <v>374</v>
      </c>
      <c r="I48" s="52">
        <v>1</v>
      </c>
      <c r="J48" s="53" t="s">
        <v>1037</v>
      </c>
      <c r="K48" s="59" t="s">
        <v>906</v>
      </c>
      <c r="L48" s="53" t="s">
        <v>547</v>
      </c>
      <c r="M48" s="53" t="s">
        <v>1099</v>
      </c>
      <c r="N48" s="53" t="s">
        <v>489</v>
      </c>
      <c r="O48" s="53" t="s">
        <v>1100</v>
      </c>
      <c r="P48" s="53" t="s">
        <v>1101</v>
      </c>
      <c r="Q48" s="53" t="s">
        <v>1102</v>
      </c>
      <c r="R48" s="53" t="s">
        <v>451</v>
      </c>
      <c r="S48" s="53" t="s">
        <v>529</v>
      </c>
      <c r="T48" s="54" t="s">
        <v>1103</v>
      </c>
    </row>
    <row r="49" spans="1:20" ht="19.149999999999999" customHeight="1" x14ac:dyDescent="0.2">
      <c r="A49" s="47" t="s">
        <v>1104</v>
      </c>
      <c r="B49" s="48" t="s">
        <v>442</v>
      </c>
      <c r="C49" s="48" t="s">
        <v>1105</v>
      </c>
      <c r="D49" s="48" t="s">
        <v>442</v>
      </c>
      <c r="E49" s="48" t="s">
        <v>470</v>
      </c>
      <c r="F49" s="48" t="s">
        <v>445</v>
      </c>
      <c r="G49" s="48" t="s">
        <v>374</v>
      </c>
      <c r="H49" s="48" t="s">
        <v>374</v>
      </c>
      <c r="I49" s="52">
        <v>1</v>
      </c>
      <c r="J49" s="53" t="s">
        <v>1037</v>
      </c>
      <c r="K49" s="59" t="s">
        <v>906</v>
      </c>
      <c r="L49" s="53" t="s">
        <v>547</v>
      </c>
      <c r="M49" s="53" t="s">
        <v>1106</v>
      </c>
      <c r="N49" s="53" t="s">
        <v>489</v>
      </c>
      <c r="O49" s="53" t="s">
        <v>1107</v>
      </c>
      <c r="P49" s="53" t="s">
        <v>1108</v>
      </c>
      <c r="Q49" s="53" t="s">
        <v>1109</v>
      </c>
      <c r="R49" s="53" t="s">
        <v>451</v>
      </c>
      <c r="S49" s="53" t="s">
        <v>529</v>
      </c>
      <c r="T49" s="54" t="s">
        <v>1110</v>
      </c>
    </row>
    <row r="50" spans="1:20" ht="33.950000000000003" customHeight="1" x14ac:dyDescent="0.2">
      <c r="A50" s="47" t="s">
        <v>1111</v>
      </c>
      <c r="B50" s="48" t="s">
        <v>370</v>
      </c>
      <c r="C50" s="48" t="s">
        <v>1112</v>
      </c>
      <c r="D50" s="48" t="s">
        <v>370</v>
      </c>
      <c r="E50" s="48" t="s">
        <v>372</v>
      </c>
      <c r="F50" s="48" t="s">
        <v>373</v>
      </c>
      <c r="G50" s="48" t="s">
        <v>374</v>
      </c>
      <c r="H50" s="48" t="s">
        <v>374</v>
      </c>
      <c r="I50" s="52">
        <v>65</v>
      </c>
      <c r="J50" s="53" t="s">
        <v>375</v>
      </c>
      <c r="K50" s="59" t="s">
        <v>771</v>
      </c>
      <c r="L50" s="53" t="s">
        <v>1113</v>
      </c>
      <c r="M50" s="53" t="s">
        <v>1114</v>
      </c>
      <c r="N50" s="53" t="s">
        <v>1115</v>
      </c>
      <c r="O50" s="53"/>
      <c r="P50" s="53" t="s">
        <v>380</v>
      </c>
      <c r="Q50" s="53" t="s">
        <v>381</v>
      </c>
      <c r="R50" s="53"/>
      <c r="S50" s="53"/>
      <c r="T50" s="54"/>
    </row>
    <row r="51" spans="1:20" ht="33.950000000000003" customHeight="1" x14ac:dyDescent="0.2">
      <c r="A51" s="47" t="s">
        <v>1116</v>
      </c>
      <c r="B51" s="48" t="s">
        <v>370</v>
      </c>
      <c r="C51" s="48" t="s">
        <v>1117</v>
      </c>
      <c r="D51" s="48" t="s">
        <v>370</v>
      </c>
      <c r="E51" s="48" t="s">
        <v>372</v>
      </c>
      <c r="F51" s="48" t="s">
        <v>373</v>
      </c>
      <c r="G51" s="48" t="s">
        <v>374</v>
      </c>
      <c r="H51" s="48" t="s">
        <v>374</v>
      </c>
      <c r="I51" s="52">
        <v>70</v>
      </c>
      <c r="J51" s="53" t="s">
        <v>375</v>
      </c>
      <c r="K51" s="59" t="s">
        <v>771</v>
      </c>
      <c r="L51" s="53" t="s">
        <v>1113</v>
      </c>
      <c r="M51" s="53" t="s">
        <v>1114</v>
      </c>
      <c r="N51" s="53" t="s">
        <v>1118</v>
      </c>
      <c r="O51" s="53"/>
      <c r="P51" s="53" t="s">
        <v>380</v>
      </c>
      <c r="Q51" s="53" t="s">
        <v>381</v>
      </c>
      <c r="R51" s="53"/>
      <c r="S51" s="53"/>
      <c r="T51" s="54"/>
    </row>
    <row r="52" spans="1:20" ht="33.950000000000003" customHeight="1" x14ac:dyDescent="0.2">
      <c r="A52" s="47" t="s">
        <v>1119</v>
      </c>
      <c r="B52" s="48" t="s">
        <v>370</v>
      </c>
      <c r="C52" s="48" t="s">
        <v>1120</v>
      </c>
      <c r="D52" s="48" t="s">
        <v>370</v>
      </c>
      <c r="E52" s="48" t="s">
        <v>372</v>
      </c>
      <c r="F52" s="48" t="s">
        <v>373</v>
      </c>
      <c r="G52" s="48" t="s">
        <v>374</v>
      </c>
      <c r="H52" s="48" t="s">
        <v>374</v>
      </c>
      <c r="I52" s="52">
        <v>45</v>
      </c>
      <c r="J52" s="53" t="s">
        <v>375</v>
      </c>
      <c r="K52" s="59" t="s">
        <v>771</v>
      </c>
      <c r="L52" s="53" t="s">
        <v>1113</v>
      </c>
      <c r="M52" s="53" t="s">
        <v>1114</v>
      </c>
      <c r="N52" s="53" t="s">
        <v>1121</v>
      </c>
      <c r="O52" s="53"/>
      <c r="P52" s="53" t="s">
        <v>380</v>
      </c>
      <c r="Q52" s="53" t="s">
        <v>393</v>
      </c>
      <c r="R52" s="53"/>
      <c r="S52" s="53"/>
      <c r="T52" s="54"/>
    </row>
    <row r="53" spans="1:20" ht="33.950000000000003" customHeight="1" x14ac:dyDescent="0.2">
      <c r="A53" s="47" t="s">
        <v>1122</v>
      </c>
      <c r="B53" s="48" t="s">
        <v>401</v>
      </c>
      <c r="C53" s="48" t="s">
        <v>1123</v>
      </c>
      <c r="D53" s="48" t="s">
        <v>401</v>
      </c>
      <c r="E53" s="48" t="s">
        <v>372</v>
      </c>
      <c r="F53" s="48" t="s">
        <v>403</v>
      </c>
      <c r="G53" s="48" t="s">
        <v>404</v>
      </c>
      <c r="H53" s="48" t="s">
        <v>404</v>
      </c>
      <c r="I53" s="52">
        <v>75</v>
      </c>
      <c r="J53" s="53" t="s">
        <v>405</v>
      </c>
      <c r="K53" s="59" t="s">
        <v>771</v>
      </c>
      <c r="L53" s="53" t="s">
        <v>1113</v>
      </c>
      <c r="M53" s="53" t="s">
        <v>1114</v>
      </c>
      <c r="N53" s="53" t="s">
        <v>1124</v>
      </c>
      <c r="O53" s="53" t="s">
        <v>409</v>
      </c>
      <c r="P53" s="53" t="s">
        <v>410</v>
      </c>
      <c r="Q53" s="53" t="s">
        <v>411</v>
      </c>
      <c r="R53" s="53"/>
      <c r="S53" s="53"/>
      <c r="T53" s="54"/>
    </row>
    <row r="54" spans="1:20" ht="33.950000000000003" customHeight="1" x14ac:dyDescent="0.2">
      <c r="A54" s="47" t="s">
        <v>1125</v>
      </c>
      <c r="B54" s="48" t="s">
        <v>442</v>
      </c>
      <c r="C54" s="48" t="s">
        <v>1126</v>
      </c>
      <c r="D54" s="48" t="s">
        <v>442</v>
      </c>
      <c r="E54" s="48" t="s">
        <v>456</v>
      </c>
      <c r="F54" s="48" t="s">
        <v>445</v>
      </c>
      <c r="G54" s="48" t="s">
        <v>374</v>
      </c>
      <c r="H54" s="48" t="s">
        <v>374</v>
      </c>
      <c r="I54" s="52">
        <v>29</v>
      </c>
      <c r="J54" s="53" t="s">
        <v>405</v>
      </c>
      <c r="K54" s="59" t="s">
        <v>771</v>
      </c>
      <c r="L54" s="53" t="s">
        <v>1113</v>
      </c>
      <c r="M54" s="53" t="s">
        <v>1127</v>
      </c>
      <c r="N54" s="53" t="s">
        <v>1128</v>
      </c>
      <c r="O54" s="53"/>
      <c r="P54" s="53" t="s">
        <v>458</v>
      </c>
      <c r="Q54" s="53" t="s">
        <v>1129</v>
      </c>
      <c r="R54" s="53"/>
      <c r="S54" s="53"/>
      <c r="T54" s="54"/>
    </row>
    <row r="55" spans="1:20" ht="33.950000000000003" customHeight="1" x14ac:dyDescent="0.2">
      <c r="A55" s="47" t="s">
        <v>1130</v>
      </c>
      <c r="B55" s="48" t="s">
        <v>442</v>
      </c>
      <c r="C55" s="48" t="s">
        <v>1131</v>
      </c>
      <c r="D55" s="48" t="s">
        <v>442</v>
      </c>
      <c r="E55" s="48" t="s">
        <v>456</v>
      </c>
      <c r="F55" s="48" t="s">
        <v>445</v>
      </c>
      <c r="G55" s="48" t="s">
        <v>374</v>
      </c>
      <c r="H55" s="48" t="s">
        <v>374</v>
      </c>
      <c r="I55" s="52">
        <v>29</v>
      </c>
      <c r="J55" s="53" t="s">
        <v>405</v>
      </c>
      <c r="K55" s="59" t="s">
        <v>771</v>
      </c>
      <c r="L55" s="53" t="s">
        <v>1113</v>
      </c>
      <c r="M55" s="53" t="s">
        <v>1127</v>
      </c>
      <c r="N55" s="53" t="s">
        <v>1132</v>
      </c>
      <c r="O55" s="53"/>
      <c r="P55" s="53" t="s">
        <v>458</v>
      </c>
      <c r="Q55" s="53" t="s">
        <v>1129</v>
      </c>
      <c r="R55" s="53"/>
      <c r="S55" s="53"/>
      <c r="T55" s="54"/>
    </row>
    <row r="56" spans="1:20" ht="33.950000000000003" customHeight="1" x14ac:dyDescent="0.2">
      <c r="A56" s="47" t="s">
        <v>1133</v>
      </c>
      <c r="B56" s="48" t="s">
        <v>442</v>
      </c>
      <c r="C56" s="48" t="s">
        <v>1134</v>
      </c>
      <c r="D56" s="48" t="s">
        <v>442</v>
      </c>
      <c r="E56" s="48" t="s">
        <v>456</v>
      </c>
      <c r="F56" s="48" t="s">
        <v>445</v>
      </c>
      <c r="G56" s="48" t="s">
        <v>374</v>
      </c>
      <c r="H56" s="48" t="s">
        <v>374</v>
      </c>
      <c r="I56" s="52">
        <v>36</v>
      </c>
      <c r="J56" s="53" t="s">
        <v>405</v>
      </c>
      <c r="K56" s="59" t="s">
        <v>771</v>
      </c>
      <c r="L56" s="53" t="s">
        <v>1113</v>
      </c>
      <c r="M56" s="53" t="s">
        <v>1127</v>
      </c>
      <c r="N56" s="53" t="s">
        <v>1135</v>
      </c>
      <c r="O56" s="53"/>
      <c r="P56" s="53" t="s">
        <v>466</v>
      </c>
      <c r="Q56" s="53" t="s">
        <v>1129</v>
      </c>
      <c r="R56" s="53"/>
      <c r="S56" s="53"/>
      <c r="T56" s="54"/>
    </row>
    <row r="57" spans="1:20" ht="33.950000000000003" customHeight="1" x14ac:dyDescent="0.2">
      <c r="A57" s="47" t="s">
        <v>1136</v>
      </c>
      <c r="B57" s="48" t="s">
        <v>442</v>
      </c>
      <c r="C57" s="48" t="s">
        <v>1137</v>
      </c>
      <c r="D57" s="48" t="s">
        <v>442</v>
      </c>
      <c r="E57" s="48" t="s">
        <v>504</v>
      </c>
      <c r="F57" s="48" t="s">
        <v>505</v>
      </c>
      <c r="G57" s="48" t="s">
        <v>374</v>
      </c>
      <c r="H57" s="48" t="s">
        <v>374</v>
      </c>
      <c r="I57" s="52">
        <v>7000</v>
      </c>
      <c r="J57" s="53" t="s">
        <v>405</v>
      </c>
      <c r="K57" s="59" t="s">
        <v>771</v>
      </c>
      <c r="L57" s="53" t="s">
        <v>1113</v>
      </c>
      <c r="M57" s="53" t="s">
        <v>1138</v>
      </c>
      <c r="N57" s="53" t="s">
        <v>1139</v>
      </c>
      <c r="O57" s="53"/>
      <c r="P57" s="53" t="s">
        <v>1140</v>
      </c>
      <c r="Q57" s="53" t="s">
        <v>1141</v>
      </c>
      <c r="R57" s="53"/>
      <c r="S57" s="53"/>
      <c r="T57" s="54"/>
    </row>
    <row r="58" spans="1:20" ht="33.950000000000003" customHeight="1" x14ac:dyDescent="0.2">
      <c r="A58" s="47" t="s">
        <v>1142</v>
      </c>
      <c r="B58" s="48" t="s">
        <v>554</v>
      </c>
      <c r="C58" s="48" t="s">
        <v>1143</v>
      </c>
      <c r="D58" s="48" t="s">
        <v>554</v>
      </c>
      <c r="E58" s="48" t="s">
        <v>1144</v>
      </c>
      <c r="F58" s="48" t="s">
        <v>1145</v>
      </c>
      <c r="G58" s="48" t="s">
        <v>374</v>
      </c>
      <c r="H58" s="48" t="s">
        <v>374</v>
      </c>
      <c r="I58" s="52">
        <v>410</v>
      </c>
      <c r="J58" s="53" t="s">
        <v>405</v>
      </c>
      <c r="K58" s="59" t="s">
        <v>771</v>
      </c>
      <c r="L58" s="53" t="s">
        <v>1113</v>
      </c>
      <c r="M58" s="53" t="s">
        <v>1114</v>
      </c>
      <c r="N58" s="53" t="s">
        <v>1146</v>
      </c>
      <c r="O58" s="53" t="s">
        <v>1147</v>
      </c>
      <c r="P58" s="53" t="s">
        <v>1148</v>
      </c>
      <c r="Q58" s="53" t="s">
        <v>1149</v>
      </c>
      <c r="R58" s="53"/>
      <c r="S58" s="53"/>
      <c r="T58" s="54"/>
    </row>
    <row r="59" spans="1:20" ht="33.950000000000003" customHeight="1" x14ac:dyDescent="0.2">
      <c r="A59" s="47" t="s">
        <v>1150</v>
      </c>
      <c r="B59" s="48" t="s">
        <v>522</v>
      </c>
      <c r="C59" s="48" t="s">
        <v>1151</v>
      </c>
      <c r="D59" s="48" t="s">
        <v>522</v>
      </c>
      <c r="E59" s="48" t="s">
        <v>545</v>
      </c>
      <c r="F59" s="48" t="s">
        <v>524</v>
      </c>
      <c r="G59" s="48" t="s">
        <v>374</v>
      </c>
      <c r="H59" s="48" t="s">
        <v>374</v>
      </c>
      <c r="I59" s="52">
        <v>1500</v>
      </c>
      <c r="J59" s="53" t="s">
        <v>405</v>
      </c>
      <c r="K59" s="59" t="s">
        <v>771</v>
      </c>
      <c r="L59" s="53" t="s">
        <v>1152</v>
      </c>
      <c r="M59" s="53" t="s">
        <v>1153</v>
      </c>
      <c r="N59" s="53" t="s">
        <v>1154</v>
      </c>
      <c r="O59" s="53" t="s">
        <v>1155</v>
      </c>
      <c r="P59" s="53" t="s">
        <v>1156</v>
      </c>
      <c r="Q59" s="53" t="s">
        <v>1157</v>
      </c>
      <c r="R59" s="53"/>
      <c r="S59" s="53"/>
      <c r="T59" s="54"/>
    </row>
    <row r="60" spans="1:20" ht="33.950000000000003" customHeight="1" x14ac:dyDescent="0.2">
      <c r="A60" s="47" t="s">
        <v>1158</v>
      </c>
      <c r="B60" s="48" t="s">
        <v>522</v>
      </c>
      <c r="C60" s="48" t="s">
        <v>1159</v>
      </c>
      <c r="D60" s="48" t="s">
        <v>522</v>
      </c>
      <c r="E60" s="48" t="s">
        <v>545</v>
      </c>
      <c r="F60" s="48" t="s">
        <v>524</v>
      </c>
      <c r="G60" s="48" t="s">
        <v>374</v>
      </c>
      <c r="H60" s="48" t="s">
        <v>374</v>
      </c>
      <c r="I60" s="52">
        <v>2500</v>
      </c>
      <c r="J60" s="53" t="s">
        <v>405</v>
      </c>
      <c r="K60" s="59" t="s">
        <v>771</v>
      </c>
      <c r="L60" s="53" t="s">
        <v>1152</v>
      </c>
      <c r="M60" s="53" t="s">
        <v>1153</v>
      </c>
      <c r="N60" s="53" t="s">
        <v>1154</v>
      </c>
      <c r="O60" s="53" t="s">
        <v>1160</v>
      </c>
      <c r="P60" s="53" t="s">
        <v>1161</v>
      </c>
      <c r="Q60" s="53" t="s">
        <v>1162</v>
      </c>
      <c r="R60" s="53"/>
      <c r="S60" s="53"/>
      <c r="T60" s="54"/>
    </row>
    <row r="61" spans="1:20" ht="33.950000000000003" customHeight="1" x14ac:dyDescent="0.2">
      <c r="A61" s="47" t="s">
        <v>1163</v>
      </c>
      <c r="B61" s="48" t="s">
        <v>522</v>
      </c>
      <c r="C61" s="48" t="s">
        <v>1164</v>
      </c>
      <c r="D61" s="48" t="s">
        <v>522</v>
      </c>
      <c r="E61" s="48" t="s">
        <v>1165</v>
      </c>
      <c r="F61" s="48" t="s">
        <v>524</v>
      </c>
      <c r="G61" s="48" t="s">
        <v>374</v>
      </c>
      <c r="H61" s="48" t="s">
        <v>374</v>
      </c>
      <c r="I61" s="52">
        <v>250</v>
      </c>
      <c r="J61" s="53" t="s">
        <v>405</v>
      </c>
      <c r="K61" s="59" t="s">
        <v>771</v>
      </c>
      <c r="L61" s="53" t="s">
        <v>1152</v>
      </c>
      <c r="M61" s="53" t="s">
        <v>1166</v>
      </c>
      <c r="N61" s="53" t="s">
        <v>1167</v>
      </c>
      <c r="O61" s="53" t="s">
        <v>1168</v>
      </c>
      <c r="P61" s="53" t="s">
        <v>1169</v>
      </c>
      <c r="Q61" s="53" t="s">
        <v>1170</v>
      </c>
      <c r="R61" s="53"/>
      <c r="S61" s="53"/>
      <c r="T61" s="54"/>
    </row>
    <row r="62" spans="1:20" ht="33.950000000000003" customHeight="1" x14ac:dyDescent="0.2">
      <c r="A62" s="65" t="s">
        <v>1171</v>
      </c>
      <c r="B62" s="66" t="s">
        <v>522</v>
      </c>
      <c r="C62" s="66" t="s">
        <v>1172</v>
      </c>
      <c r="D62" s="66" t="s">
        <v>522</v>
      </c>
      <c r="E62" s="66" t="s">
        <v>1057</v>
      </c>
      <c r="F62" s="66" t="s">
        <v>524</v>
      </c>
      <c r="G62" s="66" t="s">
        <v>404</v>
      </c>
      <c r="H62" s="66" t="s">
        <v>404</v>
      </c>
      <c r="I62" s="72">
        <v>1600</v>
      </c>
      <c r="J62" s="73" t="s">
        <v>405</v>
      </c>
      <c r="K62" s="74" t="s">
        <v>771</v>
      </c>
      <c r="L62" s="73" t="s">
        <v>1152</v>
      </c>
      <c r="M62" s="73" t="s">
        <v>1173</v>
      </c>
      <c r="N62" s="73" t="s">
        <v>1174</v>
      </c>
      <c r="O62" s="73" t="s">
        <v>1175</v>
      </c>
      <c r="P62" s="73" t="s">
        <v>1176</v>
      </c>
      <c r="Q62" s="73" t="s">
        <v>1177</v>
      </c>
      <c r="R62" s="73"/>
      <c r="S62" s="73"/>
      <c r="T62" s="75"/>
    </row>
    <row r="63" spans="1:20" ht="33.950000000000003" customHeight="1" x14ac:dyDescent="0.2">
      <c r="A63" s="65" t="s">
        <v>1178</v>
      </c>
      <c r="B63" s="66" t="s">
        <v>522</v>
      </c>
      <c r="C63" s="66" t="s">
        <v>1179</v>
      </c>
      <c r="D63" s="66" t="s">
        <v>522</v>
      </c>
      <c r="E63" s="66" t="s">
        <v>488</v>
      </c>
      <c r="F63" s="66" t="s">
        <v>524</v>
      </c>
      <c r="G63" s="66" t="s">
        <v>404</v>
      </c>
      <c r="H63" s="66" t="s">
        <v>404</v>
      </c>
      <c r="I63" s="72">
        <v>22</v>
      </c>
      <c r="J63" s="73" t="s">
        <v>405</v>
      </c>
      <c r="K63" s="74" t="s">
        <v>771</v>
      </c>
      <c r="L63" s="73" t="s">
        <v>1152</v>
      </c>
      <c r="M63" s="73" t="s">
        <v>1180</v>
      </c>
      <c r="N63" s="73" t="s">
        <v>1181</v>
      </c>
      <c r="O63" s="73" t="s">
        <v>1182</v>
      </c>
      <c r="P63" s="73" t="s">
        <v>1183</v>
      </c>
      <c r="Q63" s="73" t="s">
        <v>1184</v>
      </c>
      <c r="R63" s="73"/>
      <c r="S63" s="73"/>
      <c r="T63" s="75"/>
    </row>
    <row r="64" spans="1:20" ht="19.149999999999999" customHeight="1" x14ac:dyDescent="0.2">
      <c r="A64" s="65"/>
      <c r="B64" s="66"/>
      <c r="C64" s="66"/>
      <c r="D64" s="66"/>
      <c r="E64" s="66"/>
      <c r="F64" s="66"/>
      <c r="G64" s="66"/>
      <c r="H64" s="66"/>
      <c r="I64" s="72"/>
      <c r="J64" s="73"/>
      <c r="K64" s="74"/>
      <c r="L64" s="73"/>
      <c r="M64" s="73"/>
      <c r="N64" s="73"/>
      <c r="O64" s="73"/>
      <c r="P64" s="73"/>
      <c r="Q64" s="73"/>
      <c r="R64" s="73"/>
      <c r="S64" s="73"/>
      <c r="T64" s="75"/>
    </row>
    <row r="65" spans="1:20" ht="19.149999999999999" customHeight="1" x14ac:dyDescent="0.2">
      <c r="A65" s="65"/>
      <c r="B65" s="66"/>
      <c r="C65" s="66"/>
      <c r="D65" s="66"/>
      <c r="E65" s="66"/>
      <c r="F65" s="66"/>
      <c r="G65" s="66"/>
      <c r="H65" s="66"/>
      <c r="I65" s="72"/>
      <c r="J65" s="73"/>
      <c r="K65" s="74"/>
      <c r="L65" s="73"/>
      <c r="M65" s="73"/>
      <c r="N65" s="73"/>
      <c r="O65" s="73"/>
      <c r="P65" s="73"/>
      <c r="Q65" s="73"/>
      <c r="R65" s="73"/>
      <c r="S65" s="73"/>
      <c r="T65" s="75"/>
    </row>
    <row r="66" spans="1:20" ht="19.149999999999999" customHeight="1" x14ac:dyDescent="0.2">
      <c r="A66" s="65"/>
      <c r="B66" s="66"/>
      <c r="C66" s="66"/>
      <c r="D66" s="66"/>
      <c r="E66" s="66"/>
      <c r="F66" s="66"/>
      <c r="G66" s="66"/>
      <c r="H66" s="66"/>
      <c r="I66" s="72"/>
      <c r="J66" s="73"/>
      <c r="K66" s="74"/>
      <c r="L66" s="73"/>
      <c r="M66" s="73"/>
      <c r="N66" s="73"/>
      <c r="O66" s="73"/>
      <c r="P66" s="73"/>
      <c r="Q66" s="73"/>
      <c r="R66" s="73"/>
      <c r="S66" s="73"/>
      <c r="T66" s="75"/>
    </row>
    <row r="67" spans="1:20" ht="19.149999999999999" customHeight="1" x14ac:dyDescent="0.2">
      <c r="A67" s="65"/>
      <c r="B67" s="66"/>
      <c r="C67" s="66"/>
      <c r="D67" s="66"/>
      <c r="E67" s="66"/>
      <c r="F67" s="66"/>
      <c r="G67" s="66"/>
      <c r="H67" s="66"/>
      <c r="I67" s="72"/>
      <c r="J67" s="73"/>
      <c r="K67" s="74"/>
      <c r="L67" s="73"/>
      <c r="M67" s="73"/>
      <c r="N67" s="73"/>
      <c r="O67" s="73"/>
      <c r="P67" s="73"/>
      <c r="Q67" s="73"/>
      <c r="R67" s="73"/>
      <c r="S67" s="73"/>
      <c r="T67" s="75"/>
    </row>
    <row r="68" spans="1:20" ht="19.149999999999999" customHeight="1" x14ac:dyDescent="0.2">
      <c r="A68" s="65"/>
      <c r="B68" s="66"/>
      <c r="C68" s="66"/>
      <c r="D68" s="66"/>
      <c r="E68" s="66"/>
      <c r="F68" s="66"/>
      <c r="G68" s="66"/>
      <c r="H68" s="66"/>
      <c r="I68" s="72"/>
      <c r="J68" s="73"/>
      <c r="K68" s="74"/>
      <c r="L68" s="73"/>
      <c r="M68" s="73"/>
      <c r="N68" s="73"/>
      <c r="O68" s="73"/>
      <c r="P68" s="73"/>
      <c r="Q68" s="73"/>
      <c r="R68" s="73"/>
      <c r="S68" s="73"/>
      <c r="T68" s="75"/>
    </row>
    <row r="69" spans="1:20" ht="19.149999999999999" customHeight="1" x14ac:dyDescent="0.2">
      <c r="A69" s="65"/>
      <c r="B69" s="66"/>
      <c r="C69" s="66"/>
      <c r="D69" s="66"/>
      <c r="E69" s="66"/>
      <c r="F69" s="66"/>
      <c r="G69" s="66"/>
      <c r="H69" s="66"/>
      <c r="I69" s="72"/>
      <c r="J69" s="73"/>
      <c r="K69" s="74"/>
      <c r="L69" s="73"/>
      <c r="M69" s="73"/>
      <c r="N69" s="73"/>
      <c r="O69" s="73"/>
      <c r="P69" s="73"/>
      <c r="Q69" s="73"/>
      <c r="R69" s="73"/>
      <c r="S69" s="73"/>
      <c r="T69" s="75"/>
    </row>
    <row r="70" spans="1:20" ht="19.149999999999999" customHeight="1" x14ac:dyDescent="0.2">
      <c r="A70" s="65"/>
      <c r="B70" s="66"/>
      <c r="C70" s="66"/>
      <c r="D70" s="66"/>
      <c r="E70" s="66"/>
      <c r="F70" s="66"/>
      <c r="G70" s="66"/>
      <c r="H70" s="66"/>
      <c r="I70" s="72"/>
      <c r="J70" s="73"/>
      <c r="K70" s="74"/>
      <c r="L70" s="73"/>
      <c r="M70" s="73"/>
      <c r="N70" s="73"/>
      <c r="O70" s="73"/>
      <c r="P70" s="73"/>
      <c r="Q70" s="73"/>
      <c r="R70" s="73"/>
      <c r="S70" s="73"/>
      <c r="T70" s="75"/>
    </row>
    <row r="71" spans="1:20" ht="19.149999999999999" customHeight="1" x14ac:dyDescent="0.2">
      <c r="A71" s="65"/>
      <c r="B71" s="66"/>
      <c r="C71" s="66"/>
      <c r="D71" s="66"/>
      <c r="E71" s="66"/>
      <c r="F71" s="66"/>
      <c r="G71" s="66"/>
      <c r="H71" s="66"/>
      <c r="I71" s="72"/>
      <c r="J71" s="73"/>
      <c r="K71" s="74"/>
      <c r="L71" s="73"/>
      <c r="M71" s="73"/>
      <c r="N71" s="73"/>
      <c r="O71" s="73"/>
      <c r="P71" s="73"/>
      <c r="Q71" s="73"/>
      <c r="R71" s="73"/>
      <c r="S71" s="73"/>
      <c r="T71" s="75"/>
    </row>
    <row r="72" spans="1:20" ht="19.149999999999999" customHeight="1" x14ac:dyDescent="0.2">
      <c r="A72" s="65"/>
      <c r="B72" s="66"/>
      <c r="C72" s="66"/>
      <c r="D72" s="66"/>
      <c r="E72" s="66"/>
      <c r="F72" s="66"/>
      <c r="G72" s="66"/>
      <c r="H72" s="66"/>
      <c r="I72" s="72"/>
      <c r="J72" s="73"/>
      <c r="K72" s="74"/>
      <c r="L72" s="73"/>
      <c r="M72" s="73"/>
      <c r="N72" s="73"/>
      <c r="O72" s="73"/>
      <c r="P72" s="73"/>
      <c r="Q72" s="73"/>
      <c r="R72" s="73"/>
      <c r="S72" s="73"/>
      <c r="T72" s="75"/>
    </row>
    <row r="73" spans="1:20" ht="19.149999999999999" customHeight="1" x14ac:dyDescent="0.2">
      <c r="A73" s="65"/>
      <c r="B73" s="66"/>
      <c r="C73" s="66"/>
      <c r="D73" s="66"/>
      <c r="E73" s="66"/>
      <c r="F73" s="66"/>
      <c r="G73" s="66"/>
      <c r="H73" s="66"/>
      <c r="I73" s="72"/>
      <c r="J73" s="73"/>
      <c r="K73" s="74"/>
      <c r="L73" s="73"/>
      <c r="M73" s="73"/>
      <c r="N73" s="73"/>
      <c r="O73" s="73"/>
      <c r="P73" s="73"/>
      <c r="Q73" s="73"/>
      <c r="R73" s="73"/>
      <c r="S73" s="73"/>
      <c r="T73" s="75"/>
    </row>
    <row r="74" spans="1:20" ht="19.149999999999999" customHeight="1" x14ac:dyDescent="0.2">
      <c r="A74" s="65"/>
      <c r="B74" s="66"/>
      <c r="C74" s="66"/>
      <c r="D74" s="66"/>
      <c r="E74" s="66"/>
      <c r="F74" s="66"/>
      <c r="G74" s="66"/>
      <c r="H74" s="66"/>
      <c r="I74" s="72"/>
      <c r="J74" s="73"/>
      <c r="K74" s="74"/>
      <c r="L74" s="73"/>
      <c r="M74" s="73"/>
      <c r="N74" s="73"/>
      <c r="O74" s="73"/>
      <c r="P74" s="73"/>
      <c r="Q74" s="73"/>
      <c r="R74" s="73"/>
      <c r="S74" s="73"/>
      <c r="T74" s="75"/>
    </row>
    <row r="75" spans="1:20" ht="19.149999999999999" customHeight="1" x14ac:dyDescent="0.2">
      <c r="A75" s="65"/>
      <c r="B75" s="66"/>
      <c r="C75" s="66"/>
      <c r="D75" s="66"/>
      <c r="E75" s="66"/>
      <c r="F75" s="66"/>
      <c r="G75" s="66"/>
      <c r="H75" s="66"/>
      <c r="I75" s="72"/>
      <c r="J75" s="73"/>
      <c r="K75" s="74"/>
      <c r="L75" s="73"/>
      <c r="M75" s="73"/>
      <c r="N75" s="73"/>
      <c r="O75" s="73"/>
      <c r="P75" s="73"/>
      <c r="Q75" s="73"/>
      <c r="R75" s="73"/>
      <c r="S75" s="73"/>
      <c r="T75" s="75"/>
    </row>
    <row r="76" spans="1:20" ht="19.149999999999999" customHeight="1" x14ac:dyDescent="0.2">
      <c r="A76" s="65"/>
      <c r="B76" s="66"/>
      <c r="C76" s="66"/>
      <c r="D76" s="66"/>
      <c r="E76" s="66"/>
      <c r="F76" s="66"/>
      <c r="G76" s="66"/>
      <c r="H76" s="66"/>
      <c r="I76" s="72"/>
      <c r="J76" s="73"/>
      <c r="K76" s="74"/>
      <c r="L76" s="73"/>
      <c r="M76" s="73"/>
      <c r="N76" s="73"/>
      <c r="O76" s="73"/>
      <c r="P76" s="73"/>
      <c r="Q76" s="73"/>
      <c r="R76" s="73"/>
      <c r="S76" s="73"/>
      <c r="T76" s="75"/>
    </row>
    <row r="77" spans="1:20" ht="19.149999999999999" customHeight="1" x14ac:dyDescent="0.2">
      <c r="A77" s="65"/>
      <c r="B77" s="66"/>
      <c r="C77" s="66"/>
      <c r="D77" s="66"/>
      <c r="E77" s="66"/>
      <c r="F77" s="66"/>
      <c r="G77" s="66"/>
      <c r="H77" s="66"/>
      <c r="I77" s="72"/>
      <c r="J77" s="73"/>
      <c r="K77" s="74"/>
      <c r="L77" s="73"/>
      <c r="M77" s="73"/>
      <c r="N77" s="73"/>
      <c r="O77" s="73"/>
      <c r="P77" s="73"/>
      <c r="Q77" s="73"/>
      <c r="R77" s="73"/>
      <c r="S77" s="73"/>
      <c r="T77" s="75"/>
    </row>
    <row r="78" spans="1:20" ht="19.149999999999999" customHeight="1" x14ac:dyDescent="0.2">
      <c r="A78" s="65"/>
      <c r="B78" s="66"/>
      <c r="C78" s="66"/>
      <c r="D78" s="66"/>
      <c r="E78" s="66"/>
      <c r="F78" s="66"/>
      <c r="G78" s="66"/>
      <c r="H78" s="66"/>
      <c r="I78" s="72"/>
      <c r="J78" s="73"/>
      <c r="K78" s="74"/>
      <c r="L78" s="73"/>
      <c r="M78" s="73"/>
      <c r="N78" s="73"/>
      <c r="O78" s="73"/>
      <c r="P78" s="73"/>
      <c r="Q78" s="73"/>
      <c r="R78" s="73"/>
      <c r="S78" s="73"/>
      <c r="T78" s="75"/>
    </row>
    <row r="79" spans="1:20" ht="19.149999999999999" customHeight="1" x14ac:dyDescent="0.2">
      <c r="A79" s="65"/>
      <c r="B79" s="66"/>
      <c r="C79" s="66"/>
      <c r="D79" s="66"/>
      <c r="E79" s="66"/>
      <c r="F79" s="66"/>
      <c r="G79" s="66"/>
      <c r="H79" s="66"/>
      <c r="I79" s="72"/>
      <c r="J79" s="73"/>
      <c r="K79" s="74"/>
      <c r="L79" s="73"/>
      <c r="M79" s="73"/>
      <c r="N79" s="73"/>
      <c r="O79" s="73"/>
      <c r="P79" s="73"/>
      <c r="Q79" s="73"/>
      <c r="R79" s="73"/>
      <c r="S79" s="73"/>
      <c r="T79" s="75"/>
    </row>
    <row r="80" spans="1:20" ht="19.149999999999999" customHeight="1" x14ac:dyDescent="0.2">
      <c r="A80" s="65"/>
      <c r="B80" s="66"/>
      <c r="C80" s="66"/>
      <c r="D80" s="66"/>
      <c r="E80" s="66"/>
      <c r="F80" s="66"/>
      <c r="G80" s="66"/>
      <c r="H80" s="66"/>
      <c r="I80" s="72"/>
      <c r="J80" s="73"/>
      <c r="K80" s="74"/>
      <c r="L80" s="73"/>
      <c r="M80" s="73"/>
      <c r="N80" s="73"/>
      <c r="O80" s="73"/>
      <c r="P80" s="73"/>
      <c r="Q80" s="73"/>
      <c r="R80" s="73"/>
      <c r="S80" s="73"/>
      <c r="T80" s="75"/>
    </row>
    <row r="81" spans="1:20" ht="19.149999999999999" customHeight="1" x14ac:dyDescent="0.2">
      <c r="A81" s="65"/>
      <c r="B81" s="66"/>
      <c r="C81" s="66"/>
      <c r="D81" s="66"/>
      <c r="E81" s="66"/>
      <c r="F81" s="66"/>
      <c r="G81" s="66"/>
      <c r="H81" s="66"/>
      <c r="I81" s="72"/>
      <c r="J81" s="73"/>
      <c r="K81" s="74"/>
      <c r="L81" s="73"/>
      <c r="M81" s="73"/>
      <c r="N81" s="73"/>
      <c r="O81" s="73"/>
      <c r="P81" s="73"/>
      <c r="Q81" s="73"/>
      <c r="R81" s="73"/>
      <c r="S81" s="73"/>
      <c r="T81" s="75"/>
    </row>
    <row r="82" spans="1:20" ht="19.149999999999999" customHeight="1" x14ac:dyDescent="0.2">
      <c r="A82" s="65"/>
      <c r="B82" s="66"/>
      <c r="C82" s="66"/>
      <c r="D82" s="66"/>
      <c r="E82" s="66"/>
      <c r="F82" s="66"/>
      <c r="G82" s="66"/>
      <c r="H82" s="66"/>
      <c r="I82" s="72"/>
      <c r="J82" s="73"/>
      <c r="K82" s="74"/>
      <c r="L82" s="73"/>
      <c r="M82" s="73"/>
      <c r="N82" s="73"/>
      <c r="O82" s="73"/>
      <c r="P82" s="73"/>
      <c r="Q82" s="73"/>
      <c r="R82" s="73"/>
      <c r="S82" s="73"/>
      <c r="T82" s="75"/>
    </row>
    <row r="83" spans="1:20" ht="19.149999999999999" customHeight="1" x14ac:dyDescent="0.2">
      <c r="A83" s="65"/>
      <c r="B83" s="66"/>
      <c r="C83" s="66"/>
      <c r="D83" s="66"/>
      <c r="E83" s="66"/>
      <c r="F83" s="66"/>
      <c r="G83" s="66"/>
      <c r="H83" s="66"/>
      <c r="I83" s="72"/>
      <c r="J83" s="73"/>
      <c r="K83" s="74"/>
      <c r="L83" s="73"/>
      <c r="M83" s="73"/>
      <c r="N83" s="73"/>
      <c r="O83" s="73"/>
      <c r="P83" s="73"/>
      <c r="Q83" s="73"/>
      <c r="R83" s="73"/>
      <c r="S83" s="73"/>
      <c r="T83" s="75"/>
    </row>
    <row r="84" spans="1:20" ht="19.149999999999999" customHeight="1" x14ac:dyDescent="0.2">
      <c r="A84" s="65"/>
      <c r="B84" s="66"/>
      <c r="C84" s="66"/>
      <c r="D84" s="66"/>
      <c r="E84" s="66"/>
      <c r="F84" s="66"/>
      <c r="G84" s="66"/>
      <c r="H84" s="66"/>
      <c r="I84" s="72"/>
      <c r="J84" s="73"/>
      <c r="K84" s="74"/>
      <c r="L84" s="73"/>
      <c r="M84" s="73"/>
      <c r="N84" s="73"/>
      <c r="O84" s="73"/>
      <c r="P84" s="73"/>
      <c r="Q84" s="73"/>
      <c r="R84" s="73"/>
      <c r="S84" s="73"/>
      <c r="T84" s="75"/>
    </row>
    <row r="85" spans="1:20" ht="19.149999999999999" customHeight="1" x14ac:dyDescent="0.2">
      <c r="A85" s="67"/>
      <c r="B85" s="68"/>
      <c r="C85" s="68"/>
      <c r="D85" s="68"/>
      <c r="E85" s="68"/>
      <c r="F85" s="68"/>
      <c r="G85" s="68"/>
      <c r="H85" s="68"/>
      <c r="I85" s="76"/>
      <c r="J85" s="77"/>
      <c r="K85" s="78"/>
      <c r="L85" s="77"/>
      <c r="M85" s="77"/>
      <c r="N85" s="77"/>
      <c r="O85" s="77"/>
      <c r="P85" s="77"/>
      <c r="Q85" s="77"/>
      <c r="R85" s="77"/>
      <c r="S85" s="77"/>
      <c r="T85" s="79"/>
    </row>
  </sheetData>
  <mergeCells count="3">
    <mergeCell ref="A1:T1"/>
    <mergeCell ref="A2:T2"/>
    <mergeCell ref="A3:T3"/>
  </mergeCells>
  <dataValidations count="4">
    <dataValidation type="list" sqref="D5:D85" xr:uid="{00000000-0002-0000-0600-000000000000}">
      <formula1>"Labour,Plant,Material,Subcontract,Cartage,Disposal,Testing,Other"</formula1>
    </dataValidation>
    <dataValidation type="list" sqref="G5:H85" xr:uid="{00000000-0002-0000-0600-000001000000}">
      <formula1>"Yes,No,N/A"</formula1>
    </dataValidation>
    <dataValidation type="list" sqref="R5:R85" xr:uid="{00000000-0002-0000-0600-000002000000}">
      <formula1>"High,Medium,Low,Quote-backed,Not assessed"</formula1>
    </dataValidation>
    <dataValidation type="list" sqref="S5:S85" xr:uid="{00000000-0002-0000-0600-000003000000}">
      <formula1>"Verified,Rate required,Quote required,Expired / Reverify,Do not use"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306"/>
  <sheetViews>
    <sheetView zoomScaleNormal="60" zoomScaleSheetLayoutView="100" workbookViewId="0"/>
  </sheetViews>
  <sheetFormatPr defaultRowHeight="15" x14ac:dyDescent="0.2"/>
  <cols>
    <col min="1" max="1" width="16.94921875" customWidth="1"/>
    <col min="2" max="2" width="11.97265625" customWidth="1"/>
    <col min="3" max="3" width="37.26171875" customWidth="1"/>
    <col min="4" max="4" width="55.15234375" customWidth="1"/>
    <col min="5" max="6" width="9.953125" customWidth="1"/>
    <col min="7" max="7" width="13.98828125" customWidth="1"/>
    <col min="8" max="8" width="81.51953125" customWidth="1"/>
    <col min="9" max="13" width="13.98828125" customWidth="1"/>
    <col min="14" max="14" width="29.59375" customWidth="1"/>
    <col min="15" max="16" width="14.9296875" customWidth="1"/>
    <col min="17" max="17" width="29.99609375" customWidth="1"/>
    <col min="18" max="19" width="14.9296875" customWidth="1"/>
    <col min="20" max="20" width="11.97265625" customWidth="1"/>
    <col min="21" max="22" width="11.02734375" customWidth="1"/>
    <col min="23" max="26" width="13.98828125" customWidth="1"/>
    <col min="27" max="27" width="27.0390625" customWidth="1"/>
    <col min="28" max="28" width="52.8671875" customWidth="1"/>
    <col min="29" max="32" width="13.046875" customWidth="1"/>
    <col min="33" max="33" width="52.4609375" customWidth="1"/>
    <col min="34" max="34" width="11.97265625" customWidth="1"/>
    <col min="35" max="35" width="29.99609375" customWidth="1"/>
    <col min="36" max="36" width="23.9453125" customWidth="1"/>
    <col min="37" max="37" width="16.0078125" customWidth="1"/>
    <col min="38" max="38" width="34.03125" customWidth="1"/>
    <col min="39" max="39" width="43.98828125" customWidth="1"/>
    <col min="40" max="40" width="20.04296875" customWidth="1"/>
  </cols>
  <sheetData>
    <row r="1" spans="1:40" ht="22.5" customHeight="1" x14ac:dyDescent="0.25">
      <c r="A1" s="286" t="s">
        <v>1185</v>
      </c>
      <c r="B1" s="286"/>
      <c r="C1" s="286"/>
      <c r="D1" s="286"/>
      <c r="E1" s="286"/>
      <c r="F1" s="286"/>
      <c r="G1" s="286"/>
      <c r="H1" s="286"/>
      <c r="I1" s="286"/>
      <c r="J1" s="286"/>
      <c r="K1" s="286"/>
      <c r="L1" s="286"/>
      <c r="M1" s="286"/>
      <c r="N1" s="286"/>
      <c r="O1" s="286"/>
      <c r="P1" s="286"/>
      <c r="Q1" s="286"/>
      <c r="R1" s="286"/>
      <c r="S1" s="286"/>
      <c r="T1" s="286"/>
      <c r="U1" s="286"/>
      <c r="V1" s="286"/>
      <c r="W1" s="286"/>
      <c r="X1" s="286"/>
      <c r="Y1" s="286"/>
      <c r="Z1" s="286"/>
      <c r="AA1" s="286"/>
      <c r="AB1" s="286"/>
      <c r="AC1" s="286"/>
      <c r="AD1" s="286"/>
      <c r="AE1" s="286"/>
      <c r="AF1" s="286"/>
      <c r="AG1" s="286"/>
      <c r="AH1" s="286"/>
      <c r="AI1" s="286"/>
      <c r="AJ1" s="286"/>
    </row>
    <row r="2" spans="1:40" s="3" customFormat="1" ht="21.2" customHeight="1" x14ac:dyDescent="0.2">
      <c r="A2" s="284" t="s">
        <v>1186</v>
      </c>
      <c r="B2" s="284"/>
      <c r="C2" s="284"/>
      <c r="D2" s="284"/>
      <c r="E2" s="284"/>
      <c r="F2" s="284"/>
      <c r="G2" s="284"/>
      <c r="H2" s="284"/>
      <c r="I2" s="284"/>
      <c r="J2" s="284"/>
      <c r="K2" s="284"/>
      <c r="L2" s="284"/>
      <c r="M2" s="284"/>
      <c r="N2" s="284"/>
      <c r="O2" s="284"/>
      <c r="P2" s="284"/>
      <c r="Q2" s="284"/>
      <c r="R2" s="284"/>
      <c r="S2" s="284"/>
      <c r="T2" s="284"/>
      <c r="U2" s="284"/>
      <c r="V2" s="284"/>
      <c r="W2" s="284"/>
      <c r="X2" s="284"/>
      <c r="Y2" s="284"/>
      <c r="Z2" s="284"/>
      <c r="AA2" s="284"/>
      <c r="AB2" s="284"/>
      <c r="AC2" s="284"/>
      <c r="AD2" s="284"/>
      <c r="AE2" s="284"/>
      <c r="AF2" s="284"/>
      <c r="AG2" s="284"/>
      <c r="AH2" s="284"/>
      <c r="AI2" s="284"/>
      <c r="AJ2" s="284"/>
    </row>
    <row r="3" spans="1:40" s="3" customFormat="1" ht="21.2" customHeight="1" x14ac:dyDescent="0.2">
      <c r="A3" s="285" t="s">
        <v>565</v>
      </c>
      <c r="B3" s="285"/>
      <c r="C3" s="285"/>
      <c r="D3" s="285"/>
      <c r="E3" s="285"/>
      <c r="F3" s="285"/>
      <c r="G3" s="285"/>
      <c r="H3" s="285"/>
      <c r="I3" s="285"/>
      <c r="J3" s="285"/>
      <c r="K3" s="285"/>
      <c r="L3" s="285"/>
      <c r="M3" s="285"/>
      <c r="N3" s="285"/>
      <c r="O3" s="285"/>
      <c r="P3" s="285"/>
      <c r="Q3" s="285"/>
      <c r="R3" s="285"/>
      <c r="S3" s="285"/>
      <c r="T3" s="285"/>
      <c r="U3" s="285"/>
      <c r="V3" s="285"/>
      <c r="W3" s="285"/>
      <c r="X3" s="285"/>
      <c r="Y3" s="285"/>
      <c r="Z3" s="285"/>
      <c r="AA3" s="285"/>
      <c r="AB3" s="285"/>
      <c r="AC3" s="285"/>
      <c r="AD3" s="285"/>
      <c r="AE3" s="285"/>
      <c r="AF3" s="285"/>
      <c r="AG3" s="285"/>
      <c r="AH3" s="285"/>
      <c r="AI3" s="285"/>
      <c r="AJ3" s="285"/>
    </row>
    <row r="4" spans="1:40" s="3" customFormat="1" ht="21.2" customHeight="1" x14ac:dyDescent="0.2">
      <c r="A4" s="287" t="s">
        <v>1187</v>
      </c>
      <c r="B4" s="287"/>
      <c r="C4" s="287"/>
      <c r="D4" s="287"/>
      <c r="E4" s="287"/>
      <c r="F4" s="287"/>
      <c r="G4" s="287"/>
      <c r="H4" s="287"/>
      <c r="I4" s="287"/>
      <c r="J4" s="287"/>
      <c r="K4" s="287"/>
      <c r="L4" s="287"/>
      <c r="M4" s="287"/>
      <c r="N4" s="287"/>
      <c r="O4" s="287"/>
      <c r="P4" s="287"/>
      <c r="Q4" s="287"/>
      <c r="R4" s="287"/>
      <c r="S4" s="287"/>
      <c r="T4" s="287"/>
      <c r="U4" s="287"/>
      <c r="V4" s="287"/>
      <c r="W4" s="287"/>
      <c r="X4" s="287"/>
      <c r="Y4" s="287"/>
      <c r="Z4" s="287"/>
      <c r="AA4" s="287"/>
      <c r="AB4" s="287"/>
      <c r="AC4" s="287"/>
      <c r="AD4" s="287"/>
      <c r="AE4" s="287"/>
      <c r="AF4" s="287"/>
      <c r="AG4" s="287"/>
      <c r="AH4" s="287"/>
      <c r="AI4" s="287"/>
      <c r="AJ4" s="287"/>
    </row>
    <row r="5" spans="1:40" ht="33.950000000000003" customHeight="1" x14ac:dyDescent="0.2">
      <c r="A5" s="288" t="s">
        <v>1188</v>
      </c>
      <c r="B5" s="288"/>
      <c r="C5" s="288"/>
      <c r="D5" s="288"/>
      <c r="E5" s="288"/>
      <c r="F5" s="288"/>
      <c r="G5" s="288"/>
      <c r="H5" s="288"/>
      <c r="I5" s="288"/>
      <c r="J5" s="288"/>
      <c r="K5" s="288"/>
      <c r="L5" s="288"/>
      <c r="M5" s="288"/>
      <c r="N5" s="288"/>
      <c r="O5" s="288"/>
      <c r="P5" s="288"/>
      <c r="Q5" s="288"/>
      <c r="R5" s="288"/>
      <c r="S5" s="288"/>
      <c r="T5" s="288"/>
      <c r="U5" s="288"/>
      <c r="V5" s="288"/>
      <c r="W5" s="288"/>
      <c r="X5" s="288"/>
      <c r="Y5" s="288"/>
      <c r="Z5" s="288"/>
      <c r="AA5" s="288"/>
      <c r="AB5" s="288"/>
      <c r="AC5" s="288"/>
      <c r="AD5" s="288"/>
      <c r="AE5" s="288"/>
      <c r="AF5" s="288"/>
      <c r="AG5" s="288"/>
      <c r="AH5" s="288"/>
      <c r="AI5" s="288"/>
      <c r="AJ5" s="288"/>
      <c r="AK5" s="288"/>
      <c r="AL5" s="288"/>
      <c r="AM5" s="288"/>
      <c r="AN5" s="288"/>
    </row>
    <row r="6" spans="1:40" s="3" customFormat="1" ht="25.9" customHeight="1" x14ac:dyDescent="0.2">
      <c r="A6" s="173" t="s">
        <v>566</v>
      </c>
      <c r="B6" s="174" t="s">
        <v>567</v>
      </c>
      <c r="C6" s="174" t="s">
        <v>568</v>
      </c>
      <c r="D6" s="174" t="s">
        <v>569</v>
      </c>
      <c r="E6" s="174" t="s">
        <v>570</v>
      </c>
      <c r="F6" s="174" t="s">
        <v>571</v>
      </c>
      <c r="G6" s="174" t="s">
        <v>572</v>
      </c>
      <c r="H6" s="174" t="s">
        <v>573</v>
      </c>
      <c r="I6" s="174" t="s">
        <v>574</v>
      </c>
      <c r="J6" s="174" t="s">
        <v>575</v>
      </c>
      <c r="K6" s="174" t="s">
        <v>576</v>
      </c>
      <c r="L6" s="174" t="s">
        <v>577</v>
      </c>
      <c r="M6" s="174" t="s">
        <v>578</v>
      </c>
      <c r="N6" s="174" t="s">
        <v>579</v>
      </c>
      <c r="O6" s="174" t="s">
        <v>580</v>
      </c>
      <c r="P6" s="174" t="s">
        <v>353</v>
      </c>
      <c r="Q6" s="174" t="s">
        <v>355</v>
      </c>
      <c r="R6" s="174" t="s">
        <v>581</v>
      </c>
      <c r="S6" s="174" t="s">
        <v>582</v>
      </c>
      <c r="T6" s="174" t="s">
        <v>583</v>
      </c>
      <c r="U6" s="174" t="s">
        <v>584</v>
      </c>
      <c r="V6" s="174" t="s">
        <v>585</v>
      </c>
      <c r="W6" s="174" t="s">
        <v>586</v>
      </c>
      <c r="X6" s="174" t="s">
        <v>587</v>
      </c>
      <c r="Y6" s="174" t="s">
        <v>588</v>
      </c>
      <c r="Z6" s="174" t="s">
        <v>589</v>
      </c>
      <c r="AA6" s="174" t="s">
        <v>590</v>
      </c>
      <c r="AB6" s="174" t="s">
        <v>591</v>
      </c>
      <c r="AC6" s="174" t="s">
        <v>592</v>
      </c>
      <c r="AD6" s="174" t="s">
        <v>358</v>
      </c>
      <c r="AE6" s="174" t="s">
        <v>359</v>
      </c>
      <c r="AF6" s="174" t="s">
        <v>368</v>
      </c>
      <c r="AG6" s="174" t="s">
        <v>593</v>
      </c>
      <c r="AH6" s="174" t="s">
        <v>594</v>
      </c>
      <c r="AI6" s="174" t="s">
        <v>595</v>
      </c>
      <c r="AJ6" s="175" t="s">
        <v>87</v>
      </c>
      <c r="AK6" s="214" t="s">
        <v>1189</v>
      </c>
      <c r="AL6" s="214" t="s">
        <v>1190</v>
      </c>
      <c r="AM6" s="214" t="s">
        <v>1191</v>
      </c>
      <c r="AN6" s="214" t="s">
        <v>1192</v>
      </c>
    </row>
    <row r="7" spans="1:40" ht="21.95" customHeight="1" x14ac:dyDescent="0.2">
      <c r="A7" s="80" t="str">
        <f>IF(B7="","",B7&amp;"-"&amp;TEXT(COUNTIF($B$7:B7,B7),"000"))</f>
        <v/>
      </c>
      <c r="B7" s="53"/>
      <c r="C7" s="81" t="str">
        <f>IFERROR(INDEX('QS Takeoff'!$A$3:$A$194,MATCH(B7,'QS Takeoff'!$B$3:$B$194,0)),"")</f>
        <v/>
      </c>
      <c r="D7" s="81" t="str">
        <f>IFERROR(INDEX('QS Takeoff'!$C$3:$C$194,MATCH(B7,'QS Takeoff'!$B$3:$B$194,0)),"")</f>
        <v/>
      </c>
      <c r="E7" s="81" t="str">
        <f>IFERROR(INDEX('QS Takeoff'!$E$3:$E$194,MATCH(B7,'QS Takeoff'!$B$3:$B$194,0)),"")</f>
        <v/>
      </c>
      <c r="F7" s="81" t="str">
        <f>IFERROR(INDEX('QS Takeoff'!$D$3:$D$194,MATCH(B7,'QS Takeoff'!$B$3:$B$194,0)),"")</f>
        <v/>
      </c>
      <c r="G7" s="81" t="str">
        <f>IFERROR(INDEX('QS Takeoff'!$J$3:$J$194,MATCH(B7,'QS Takeoff'!$B$3:$B$194,0)),"")</f>
        <v/>
      </c>
      <c r="H7" s="53"/>
      <c r="I7" s="60"/>
      <c r="J7" s="60"/>
      <c r="K7" s="82" t="str">
        <f t="shared" ref="K7:K70" si="0">IF(OR(B7="",I7="",I7=0),"",E7/I7)</f>
        <v/>
      </c>
      <c r="L7" s="60"/>
      <c r="M7" s="82" t="str">
        <f t="shared" ref="M7:M70" si="1">IF(L7&gt;0,L7,K7)</f>
        <v/>
      </c>
      <c r="N7" s="53"/>
      <c r="O7" s="53"/>
      <c r="P7" s="53"/>
      <c r="Q7" s="81" t="str">
        <f>IFERROR(INDEX('Resource Rate Library'!$C$5:$C$85,MATCH(P7,'Resource Rate Library'!$A$5:$A$85,0)),"")</f>
        <v/>
      </c>
      <c r="R7" s="53"/>
      <c r="S7" s="53"/>
      <c r="T7" s="81" t="str">
        <f>IFERROR(INDEX('Resource Rate Library'!$E$5:$E$85,MATCH(P7,'Resource Rate Library'!$A$5:$A$85,0)),"")</f>
        <v/>
      </c>
      <c r="U7" s="62"/>
      <c r="V7" s="62"/>
      <c r="W7" s="83">
        <f>IFERROR(INDEX('Resource Rate Library'!$I$5:$I$85,MATCH(P7,'Resource Rate Library'!$A$5:$A$85,0)),0)</f>
        <v>0</v>
      </c>
      <c r="X7" s="52"/>
      <c r="Y7" s="83">
        <f t="shared" ref="Y7:Y70" si="2">IF(X7&gt;0,X7,W7)</f>
        <v>0</v>
      </c>
      <c r="Z7" s="83" t="str">
        <f t="shared" ref="Z7:Z70" si="3">IF(B7="","",IF(N7="Time x Count",M7*R7*IF(U7="",1,U7)*Y7,IF(N7="QS Qty x Factor",E7*R7*(1+IF(V7="",0,V7))*Y7,IF(N7="Direct Qty",S7*(1+IF(V7="",0,V7))*Y7,IF(N7="Lump Sum / Quote",S7*Y7,0)))))</f>
        <v/>
      </c>
      <c r="AA7" s="81" t="str">
        <f>IFERROR(INDEX('Resource Rate Library'!$N$5:$N$85,MATCH(P7,'Resource Rate Library'!$A$5:$A$85,0)),"")</f>
        <v/>
      </c>
      <c r="AB7" s="53"/>
      <c r="AC7" s="59"/>
      <c r="AD7" s="81" t="str">
        <f>IFERROR(INDEX('Resource Rate Library'!$G$5:$G$85,MATCH(P7,'Resource Rate Library'!$A$5:$A$85,0)),"")</f>
        <v/>
      </c>
      <c r="AE7" s="81" t="str">
        <f>IFERROR(INDEX('Resource Rate Library'!$H$5:$H$85,MATCH(P7,'Resource Rate Library'!$A$5:$A$85,0)),"")</f>
        <v/>
      </c>
      <c r="AF7" s="53"/>
      <c r="AG7" s="53"/>
      <c r="AH7" s="53"/>
      <c r="AI7" s="81" t="str">
        <f t="shared" ref="AI7:AI27" si="4">IF(B7="","",IF(AND(P7="",N7&lt;&gt;"Lump Sum / Quote"),"RESOURCE CODE",IF(Y7=0,"RATE MISSING",IF(AND(O7="Plant",AD7="Yes",COUNTIFS($B$7:$B$306,B7,$O$7:$O$306,"Labour",$Q$7:$Q$306,"*Operator*")&gt;0),"OPERATOR DOUBLE-COUNT",IF(AND(O7="Plant",AE7="Yes",COUNTIFS($B$7:$B$306,B7,$Q$7:$Q$306,"*Fuel*")&gt;0),"FUEL DOUBLE-COUNT",IF(AH7&lt;&gt;"Yes","VERIFY","OK"))))))</f>
        <v/>
      </c>
      <c r="AJ7" s="54"/>
      <c r="AK7" s="197"/>
      <c r="AL7" s="197"/>
      <c r="AM7" s="197"/>
      <c r="AN7" s="199">
        <f>IF(AND(AK7="Yes",OR(O7="Labour",O7="Plant")),Z7,0)</f>
        <v>0</v>
      </c>
    </row>
    <row r="8" spans="1:40" ht="21.95" customHeight="1" x14ac:dyDescent="0.2">
      <c r="A8" s="80" t="str">
        <f>IF(B8="","",B8&amp;"-"&amp;TEXT(COUNTIF($B$7:B8,B8),"000"))</f>
        <v/>
      </c>
      <c r="B8" s="53"/>
      <c r="C8" s="81" t="str">
        <f>IFERROR(INDEX('QS Takeoff'!$A$3:$A$194,MATCH(B8,'QS Takeoff'!$B$3:$B$194,0)),"")</f>
        <v/>
      </c>
      <c r="D8" s="81" t="str">
        <f>IFERROR(INDEX('QS Takeoff'!$C$3:$C$194,MATCH(B8,'QS Takeoff'!$B$3:$B$194,0)),"")</f>
        <v/>
      </c>
      <c r="E8" s="81" t="str">
        <f>IFERROR(INDEX('QS Takeoff'!$E$3:$E$194,MATCH(B8,'QS Takeoff'!$B$3:$B$194,0)),"")</f>
        <v/>
      </c>
      <c r="F8" s="81" t="str">
        <f>IFERROR(INDEX('QS Takeoff'!$D$3:$D$194,MATCH(B8,'QS Takeoff'!$B$3:$B$194,0)),"")</f>
        <v/>
      </c>
      <c r="G8" s="81" t="str">
        <f>IFERROR(INDEX('QS Takeoff'!$J$3:$J$194,MATCH(B8,'QS Takeoff'!$B$3:$B$194,0)),"")</f>
        <v/>
      </c>
      <c r="H8" s="53"/>
      <c r="I8" s="60"/>
      <c r="J8" s="60"/>
      <c r="K8" s="82" t="str">
        <f t="shared" si="0"/>
        <v/>
      </c>
      <c r="L8" s="60"/>
      <c r="M8" s="82" t="str">
        <f t="shared" si="1"/>
        <v/>
      </c>
      <c r="N8" s="53"/>
      <c r="O8" s="53"/>
      <c r="P8" s="53"/>
      <c r="Q8" s="81" t="str">
        <f>IFERROR(INDEX('Resource Rate Library'!$C$5:$C$85,MATCH(P8,'Resource Rate Library'!$A$5:$A$85,0)),"")</f>
        <v/>
      </c>
      <c r="R8" s="53"/>
      <c r="S8" s="53"/>
      <c r="T8" s="81" t="str">
        <f>IFERROR(INDEX('Resource Rate Library'!$E$5:$E$85,MATCH(P8,'Resource Rate Library'!$A$5:$A$85,0)),"")</f>
        <v/>
      </c>
      <c r="U8" s="62"/>
      <c r="V8" s="62"/>
      <c r="W8" s="83">
        <f>IFERROR(INDEX('Resource Rate Library'!$I$5:$I$85,MATCH(P8,'Resource Rate Library'!$A$5:$A$85,0)),0)</f>
        <v>0</v>
      </c>
      <c r="X8" s="52"/>
      <c r="Y8" s="83">
        <f t="shared" si="2"/>
        <v>0</v>
      </c>
      <c r="Z8" s="83" t="str">
        <f t="shared" si="3"/>
        <v/>
      </c>
      <c r="AA8" s="81" t="str">
        <f>IFERROR(INDEX('Resource Rate Library'!$N$5:$N$85,MATCH(P8,'Resource Rate Library'!$A$5:$A$85,0)),"")</f>
        <v/>
      </c>
      <c r="AB8" s="53"/>
      <c r="AC8" s="59"/>
      <c r="AD8" s="81" t="str">
        <f>IFERROR(INDEX('Resource Rate Library'!$G$5:$G$85,MATCH(P8,'Resource Rate Library'!$A$5:$A$85,0)),"")</f>
        <v/>
      </c>
      <c r="AE8" s="81" t="str">
        <f>IFERROR(INDEX('Resource Rate Library'!$H$5:$H$85,MATCH(P8,'Resource Rate Library'!$A$5:$A$85,0)),"")</f>
        <v/>
      </c>
      <c r="AF8" s="53"/>
      <c r="AG8" s="53"/>
      <c r="AH8" s="53"/>
      <c r="AI8" s="81" t="str">
        <f t="shared" si="4"/>
        <v/>
      </c>
      <c r="AJ8" s="54"/>
      <c r="AK8" s="197"/>
      <c r="AL8" s="197"/>
      <c r="AM8" s="197"/>
      <c r="AN8" s="199">
        <f>IF(AND(AK8="Yes",OR(O8="Labour",O8="Plant")),Z8,0)</f>
        <v>0</v>
      </c>
    </row>
    <row r="9" spans="1:40" ht="21.95" customHeight="1" x14ac:dyDescent="0.2">
      <c r="A9" s="80" t="str">
        <f>IF(B9="","",B9&amp;"-"&amp;TEXT(COUNTIF($B$7:B9,B9),"000"))</f>
        <v/>
      </c>
      <c r="B9" s="53"/>
      <c r="C9" s="81" t="str">
        <f>IFERROR(INDEX('QS Takeoff'!$A$3:$A$194,MATCH(B9,'QS Takeoff'!$B$3:$B$194,0)),"")</f>
        <v/>
      </c>
      <c r="D9" s="81" t="str">
        <f>IFERROR(INDEX('QS Takeoff'!$C$3:$C$194,MATCH(B9,'QS Takeoff'!$B$3:$B$194,0)),"")</f>
        <v/>
      </c>
      <c r="E9" s="81" t="str">
        <f>IFERROR(INDEX('QS Takeoff'!$E$3:$E$194,MATCH(B9,'QS Takeoff'!$B$3:$B$194,0)),"")</f>
        <v/>
      </c>
      <c r="F9" s="81" t="str">
        <f>IFERROR(INDEX('QS Takeoff'!$D$3:$D$194,MATCH(B9,'QS Takeoff'!$B$3:$B$194,0)),"")</f>
        <v/>
      </c>
      <c r="G9" s="81" t="str">
        <f>IFERROR(INDEX('QS Takeoff'!$J$3:$J$194,MATCH(B9,'QS Takeoff'!$B$3:$B$194,0)),"")</f>
        <v/>
      </c>
      <c r="H9" s="53"/>
      <c r="I9" s="60"/>
      <c r="J9" s="60"/>
      <c r="K9" s="82" t="str">
        <f t="shared" si="0"/>
        <v/>
      </c>
      <c r="L9" s="60"/>
      <c r="M9" s="82" t="str">
        <f t="shared" si="1"/>
        <v/>
      </c>
      <c r="N9" s="53"/>
      <c r="O9" s="53"/>
      <c r="P9" s="53"/>
      <c r="Q9" s="81" t="str">
        <f>IFERROR(INDEX('Resource Rate Library'!$C$5:$C$85,MATCH(P9,'Resource Rate Library'!$A$5:$A$85,0)),"")</f>
        <v/>
      </c>
      <c r="R9" s="53"/>
      <c r="S9" s="53"/>
      <c r="T9" s="81" t="str">
        <f>IFERROR(INDEX('Resource Rate Library'!$E$5:$E$85,MATCH(P9,'Resource Rate Library'!$A$5:$A$85,0)),"")</f>
        <v/>
      </c>
      <c r="U9" s="62"/>
      <c r="V9" s="62"/>
      <c r="W9" s="83">
        <f>IFERROR(INDEX('Resource Rate Library'!$I$5:$I$85,MATCH(P9,'Resource Rate Library'!$A$5:$A$85,0)),0)</f>
        <v>0</v>
      </c>
      <c r="X9" s="52"/>
      <c r="Y9" s="83">
        <f t="shared" si="2"/>
        <v>0</v>
      </c>
      <c r="Z9" s="83" t="str">
        <f t="shared" si="3"/>
        <v/>
      </c>
      <c r="AA9" s="81" t="str">
        <f>IFERROR(INDEX('Resource Rate Library'!$N$5:$N$85,MATCH(P9,'Resource Rate Library'!$A$5:$A$85,0)),"")</f>
        <v/>
      </c>
      <c r="AB9" s="53"/>
      <c r="AC9" s="59"/>
      <c r="AD9" s="81" t="str">
        <f>IFERROR(INDEX('Resource Rate Library'!$G$5:$G$85,MATCH(P9,'Resource Rate Library'!$A$5:$A$85,0)),"")</f>
        <v/>
      </c>
      <c r="AE9" s="81" t="str">
        <f>IFERROR(INDEX('Resource Rate Library'!$H$5:$H$85,MATCH(P9,'Resource Rate Library'!$A$5:$A$85,0)),"")</f>
        <v/>
      </c>
      <c r="AF9" s="53"/>
      <c r="AG9" s="53"/>
      <c r="AH9" s="53"/>
      <c r="AI9" s="81" t="str">
        <f t="shared" si="4"/>
        <v/>
      </c>
      <c r="AJ9" s="54"/>
      <c r="AK9" s="197"/>
      <c r="AL9" s="197"/>
      <c r="AM9" s="197"/>
      <c r="AN9" s="199">
        <f>IF(AND(AK9="Yes",OR(O9="Labour",O9="Plant")),Z9,0)</f>
        <v>0</v>
      </c>
    </row>
    <row r="10" spans="1:40" ht="21.95" customHeight="1" x14ac:dyDescent="0.2">
      <c r="A10" s="80" t="str">
        <f>IF(B10="","",B10&amp;"-"&amp;TEXT(COUNTIF($B$7:B10,B10),"000"))</f>
        <v/>
      </c>
      <c r="B10" s="53"/>
      <c r="C10" s="81" t="str">
        <f>IFERROR(INDEX('QS Takeoff'!$A$3:$A$194,MATCH(B10,'QS Takeoff'!$B$3:$B$194,0)),"")</f>
        <v/>
      </c>
      <c r="D10" s="81" t="str">
        <f>IFERROR(INDEX('QS Takeoff'!$C$3:$C$194,MATCH(B10,'QS Takeoff'!$B$3:$B$194,0)),"")</f>
        <v/>
      </c>
      <c r="E10" s="81" t="str">
        <f>IFERROR(INDEX('QS Takeoff'!$E$3:$E$194,MATCH(B10,'QS Takeoff'!$B$3:$B$194,0)),"")</f>
        <v/>
      </c>
      <c r="F10" s="81" t="str">
        <f>IFERROR(INDEX('QS Takeoff'!$D$3:$D$194,MATCH(B10,'QS Takeoff'!$B$3:$B$194,0)),"")</f>
        <v/>
      </c>
      <c r="G10" s="81" t="str">
        <f>IFERROR(INDEX('QS Takeoff'!$J$3:$J$194,MATCH(B10,'QS Takeoff'!$B$3:$B$194,0)),"")</f>
        <v/>
      </c>
      <c r="H10" s="53"/>
      <c r="I10" s="60"/>
      <c r="J10" s="60"/>
      <c r="K10" s="82" t="str">
        <f t="shared" si="0"/>
        <v/>
      </c>
      <c r="L10" s="60"/>
      <c r="M10" s="82" t="str">
        <f t="shared" si="1"/>
        <v/>
      </c>
      <c r="N10" s="53"/>
      <c r="O10" s="53"/>
      <c r="P10" s="53"/>
      <c r="Q10" s="81" t="str">
        <f>IFERROR(INDEX('Resource Rate Library'!$C$5:$C$85,MATCH(P10,'Resource Rate Library'!$A$5:$A$85,0)),"")</f>
        <v/>
      </c>
      <c r="R10" s="53"/>
      <c r="S10" s="53"/>
      <c r="T10" s="81" t="str">
        <f>IFERROR(INDEX('Resource Rate Library'!$E$5:$E$85,MATCH(P10,'Resource Rate Library'!$A$5:$A$85,0)),"")</f>
        <v/>
      </c>
      <c r="U10" s="62"/>
      <c r="V10" s="62"/>
      <c r="W10" s="83">
        <f>IFERROR(INDEX('Resource Rate Library'!$I$5:$I$85,MATCH(P10,'Resource Rate Library'!$A$5:$A$85,0)),0)</f>
        <v>0</v>
      </c>
      <c r="X10" s="52"/>
      <c r="Y10" s="83">
        <f t="shared" si="2"/>
        <v>0</v>
      </c>
      <c r="Z10" s="83" t="str">
        <f t="shared" si="3"/>
        <v/>
      </c>
      <c r="AA10" s="81" t="str">
        <f>IFERROR(INDEX('Resource Rate Library'!$N$5:$N$85,MATCH(P10,'Resource Rate Library'!$A$5:$A$85,0)),"")</f>
        <v/>
      </c>
      <c r="AB10" s="53"/>
      <c r="AC10" s="59"/>
      <c r="AD10" s="81" t="str">
        <f>IFERROR(INDEX('Resource Rate Library'!$G$5:$G$85,MATCH(P10,'Resource Rate Library'!$A$5:$A$85,0)),"")</f>
        <v/>
      </c>
      <c r="AE10" s="81" t="str">
        <f>IFERROR(INDEX('Resource Rate Library'!$H$5:$H$85,MATCH(P10,'Resource Rate Library'!$A$5:$A$85,0)),"")</f>
        <v/>
      </c>
      <c r="AF10" s="53"/>
      <c r="AG10" s="53"/>
      <c r="AH10" s="53"/>
      <c r="AI10" s="81" t="str">
        <f t="shared" si="4"/>
        <v/>
      </c>
      <c r="AJ10" s="54"/>
      <c r="AK10" s="197"/>
      <c r="AL10" s="197"/>
      <c r="AM10" s="197"/>
      <c r="AN10" s="199">
        <f>IF(AND(AK10="Yes",OR(O10="Labour",O10="Plant")),Z10,0)</f>
        <v>0</v>
      </c>
    </row>
    <row r="11" spans="1:40" ht="21.95" customHeight="1" x14ac:dyDescent="0.2">
      <c r="A11" s="80" t="str">
        <f>IF(B11="","",B11&amp;"-"&amp;TEXT(COUNTIF($B$7:B11,B11),"000"))</f>
        <v/>
      </c>
      <c r="B11" s="53"/>
      <c r="C11" s="81" t="str">
        <f>IFERROR(INDEX('QS Takeoff'!$A$3:$A$194,MATCH(B11,'QS Takeoff'!$B$3:$B$194,0)),"")</f>
        <v/>
      </c>
      <c r="D11" s="81" t="str">
        <f>IFERROR(INDEX('QS Takeoff'!$C$3:$C$194,MATCH(B11,'QS Takeoff'!$B$3:$B$194,0)),"")</f>
        <v/>
      </c>
      <c r="E11" s="81" t="str">
        <f>IFERROR(INDEX('QS Takeoff'!$E$3:$E$194,MATCH(B11,'QS Takeoff'!$B$3:$B$194,0)),"")</f>
        <v/>
      </c>
      <c r="F11" s="81" t="str">
        <f>IFERROR(INDEX('QS Takeoff'!$D$3:$D$194,MATCH(B11,'QS Takeoff'!$B$3:$B$194,0)),"")</f>
        <v/>
      </c>
      <c r="G11" s="81" t="str">
        <f>IFERROR(INDEX('QS Takeoff'!$J$3:$J$194,MATCH(B11,'QS Takeoff'!$B$3:$B$194,0)),"")</f>
        <v/>
      </c>
      <c r="H11" s="53"/>
      <c r="I11" s="60"/>
      <c r="J11" s="60"/>
      <c r="K11" s="82" t="str">
        <f t="shared" si="0"/>
        <v/>
      </c>
      <c r="L11" s="60"/>
      <c r="M11" s="82" t="str">
        <f t="shared" si="1"/>
        <v/>
      </c>
      <c r="N11" s="53"/>
      <c r="O11" s="53"/>
      <c r="P11" s="53"/>
      <c r="Q11" s="81" t="str">
        <f>IFERROR(INDEX('Resource Rate Library'!$C$5:$C$85,MATCH(P11,'Resource Rate Library'!$A$5:$A$85,0)),"")</f>
        <v/>
      </c>
      <c r="R11" s="53"/>
      <c r="S11" s="53"/>
      <c r="T11" s="81" t="str">
        <f>IFERROR(INDEX('Resource Rate Library'!$E$5:$E$85,MATCH(P11,'Resource Rate Library'!$A$5:$A$85,0)),"")</f>
        <v/>
      </c>
      <c r="U11" s="62"/>
      <c r="V11" s="62"/>
      <c r="W11" s="83">
        <f>IFERROR(INDEX('Resource Rate Library'!$I$5:$I$85,MATCH(P11,'Resource Rate Library'!$A$5:$A$85,0)),0)</f>
        <v>0</v>
      </c>
      <c r="X11" s="52"/>
      <c r="Y11" s="83">
        <f t="shared" si="2"/>
        <v>0</v>
      </c>
      <c r="Z11" s="83" t="str">
        <f t="shared" si="3"/>
        <v/>
      </c>
      <c r="AA11" s="81" t="str">
        <f>IFERROR(INDEX('Resource Rate Library'!$N$5:$N$85,MATCH(P11,'Resource Rate Library'!$A$5:$A$85,0)),"")</f>
        <v/>
      </c>
      <c r="AB11" s="53"/>
      <c r="AC11" s="59"/>
      <c r="AD11" s="81" t="str">
        <f>IFERROR(INDEX('Resource Rate Library'!$G$5:$G$85,MATCH(P11,'Resource Rate Library'!$A$5:$A$85,0)),"")</f>
        <v/>
      </c>
      <c r="AE11" s="81" t="str">
        <f>IFERROR(INDEX('Resource Rate Library'!$H$5:$H$85,MATCH(P11,'Resource Rate Library'!$A$5:$A$85,0)),"")</f>
        <v/>
      </c>
      <c r="AF11" s="53"/>
      <c r="AG11" s="53"/>
      <c r="AH11" s="53"/>
      <c r="AI11" s="81" t="str">
        <f t="shared" si="4"/>
        <v/>
      </c>
      <c r="AJ11" s="54"/>
      <c r="AK11" s="197"/>
      <c r="AL11" s="197"/>
      <c r="AM11" s="197"/>
      <c r="AN11" s="199">
        <f>IF(AND(AK11="Yes",OR(O11="Labour",O11="Plant")),Z11,0)</f>
        <v>0</v>
      </c>
    </row>
    <row r="12" spans="1:40" ht="21.95" customHeight="1" x14ac:dyDescent="0.2">
      <c r="A12" s="80" t="str">
        <f>IF(B12="","",B12&amp;"-"&amp;TEXT(COUNTIF($B$7:B12,B12),"000"))</f>
        <v/>
      </c>
      <c r="B12" s="53"/>
      <c r="C12" s="81" t="str">
        <f>IFERROR(INDEX('QS Takeoff'!$A$3:$A$194,MATCH(B12,'QS Takeoff'!$B$3:$B$194,0)),"")</f>
        <v/>
      </c>
      <c r="D12" s="81" t="str">
        <f>IFERROR(INDEX('QS Takeoff'!$C$3:$C$194,MATCH(B12,'QS Takeoff'!$B$3:$B$194,0)),"")</f>
        <v/>
      </c>
      <c r="E12" s="81" t="str">
        <f>IFERROR(INDEX('QS Takeoff'!$E$3:$E$194,MATCH(B12,'QS Takeoff'!$B$3:$B$194,0)),"")</f>
        <v/>
      </c>
      <c r="F12" s="81" t="str">
        <f>IFERROR(INDEX('QS Takeoff'!$D$3:$D$194,MATCH(B12,'QS Takeoff'!$B$3:$B$194,0)),"")</f>
        <v/>
      </c>
      <c r="G12" s="81" t="str">
        <f>IFERROR(INDEX('QS Takeoff'!$J$3:$J$194,MATCH(B12,'QS Takeoff'!$B$3:$B$194,0)),"")</f>
        <v/>
      </c>
      <c r="H12" s="53"/>
      <c r="I12" s="60"/>
      <c r="J12" s="60"/>
      <c r="K12" s="82" t="str">
        <f t="shared" si="0"/>
        <v/>
      </c>
      <c r="L12" s="60"/>
      <c r="M12" s="82" t="str">
        <f t="shared" si="1"/>
        <v/>
      </c>
      <c r="N12" s="53"/>
      <c r="O12" s="53"/>
      <c r="P12" s="53"/>
      <c r="Q12" s="81" t="str">
        <f>IFERROR(INDEX('Resource Rate Library'!$C$5:$C$85,MATCH(P12,'Resource Rate Library'!$A$5:$A$85,0)),"")</f>
        <v/>
      </c>
      <c r="R12" s="53"/>
      <c r="S12" s="53"/>
      <c r="T12" s="81" t="str">
        <f>IFERROR(INDEX('Resource Rate Library'!$E$5:$E$85,MATCH(P12,'Resource Rate Library'!$A$5:$A$85,0)),"")</f>
        <v/>
      </c>
      <c r="U12" s="62"/>
      <c r="V12" s="62"/>
      <c r="W12" s="83">
        <f>IFERROR(INDEX('Resource Rate Library'!$I$5:$I$85,MATCH(P12,'Resource Rate Library'!$A$5:$A$85,0)),0)</f>
        <v>0</v>
      </c>
      <c r="X12" s="52"/>
      <c r="Y12" s="83">
        <f t="shared" si="2"/>
        <v>0</v>
      </c>
      <c r="Z12" s="83" t="str">
        <f t="shared" si="3"/>
        <v/>
      </c>
      <c r="AA12" s="81" t="str">
        <f>IFERROR(INDEX('Resource Rate Library'!$N$5:$N$85,MATCH(P12,'Resource Rate Library'!$A$5:$A$85,0)),"")</f>
        <v/>
      </c>
      <c r="AB12" s="53"/>
      <c r="AC12" s="59"/>
      <c r="AD12" s="81" t="str">
        <f>IFERROR(INDEX('Resource Rate Library'!$G$5:$G$85,MATCH(P12,'Resource Rate Library'!$A$5:$A$85,0)),"")</f>
        <v/>
      </c>
      <c r="AE12" s="81" t="str">
        <f>IFERROR(INDEX('Resource Rate Library'!$H$5:$H$85,MATCH(P12,'Resource Rate Library'!$A$5:$A$85,0)),"")</f>
        <v/>
      </c>
      <c r="AF12" s="53"/>
      <c r="AG12" s="53"/>
      <c r="AH12" s="53"/>
      <c r="AI12" s="81" t="str">
        <f t="shared" si="4"/>
        <v/>
      </c>
      <c r="AJ12" s="54"/>
      <c r="AK12" s="197"/>
      <c r="AL12" s="197"/>
      <c r="AM12" s="197"/>
      <c r="AN12" s="199">
        <f>IF(AND(AK12="Yes",OR(O12="Labour",O12="Plant")),Z12,0)</f>
        <v>0</v>
      </c>
    </row>
    <row r="13" spans="1:40" ht="21.95" customHeight="1" x14ac:dyDescent="0.2">
      <c r="A13" s="80" t="str">
        <f>IF(B13="","",B13&amp;"-"&amp;TEXT(COUNTIF($B$7:B13,B13),"000"))</f>
        <v/>
      </c>
      <c r="B13" s="53"/>
      <c r="C13" s="81" t="str">
        <f>IFERROR(INDEX('QS Takeoff'!$A$3:$A$194,MATCH(B13,'QS Takeoff'!$B$3:$B$194,0)),"")</f>
        <v/>
      </c>
      <c r="D13" s="81" t="str">
        <f>IFERROR(INDEX('QS Takeoff'!$C$3:$C$194,MATCH(B13,'QS Takeoff'!$B$3:$B$194,0)),"")</f>
        <v/>
      </c>
      <c r="E13" s="81" t="str">
        <f>IFERROR(INDEX('QS Takeoff'!$E$3:$E$194,MATCH(B13,'QS Takeoff'!$B$3:$B$194,0)),"")</f>
        <v/>
      </c>
      <c r="F13" s="81" t="str">
        <f>IFERROR(INDEX('QS Takeoff'!$D$3:$D$194,MATCH(B13,'QS Takeoff'!$B$3:$B$194,0)),"")</f>
        <v/>
      </c>
      <c r="G13" s="81" t="str">
        <f>IFERROR(INDEX('QS Takeoff'!$J$3:$J$194,MATCH(B13,'QS Takeoff'!$B$3:$B$194,0)),"")</f>
        <v/>
      </c>
      <c r="H13" s="53"/>
      <c r="I13" s="60"/>
      <c r="J13" s="60"/>
      <c r="K13" s="82" t="str">
        <f t="shared" si="0"/>
        <v/>
      </c>
      <c r="L13" s="60"/>
      <c r="M13" s="82" t="str">
        <f t="shared" si="1"/>
        <v/>
      </c>
      <c r="N13" s="53"/>
      <c r="O13" s="53"/>
      <c r="P13" s="53"/>
      <c r="Q13" s="81" t="str">
        <f>IFERROR(INDEX('Resource Rate Library'!$C$5:$C$85,MATCH(P13,'Resource Rate Library'!$A$5:$A$85,0)),"")</f>
        <v/>
      </c>
      <c r="R13" s="53"/>
      <c r="S13" s="53"/>
      <c r="T13" s="81" t="str">
        <f>IFERROR(INDEX('Resource Rate Library'!$E$5:$E$85,MATCH(P13,'Resource Rate Library'!$A$5:$A$85,0)),"")</f>
        <v/>
      </c>
      <c r="U13" s="62"/>
      <c r="V13" s="62"/>
      <c r="W13" s="83">
        <f>IFERROR(INDEX('Resource Rate Library'!$I$5:$I$85,MATCH(P13,'Resource Rate Library'!$A$5:$A$85,0)),0)</f>
        <v>0</v>
      </c>
      <c r="X13" s="52"/>
      <c r="Y13" s="83">
        <f t="shared" si="2"/>
        <v>0</v>
      </c>
      <c r="Z13" s="83" t="str">
        <f t="shared" si="3"/>
        <v/>
      </c>
      <c r="AA13" s="81" t="str">
        <f>IFERROR(INDEX('Resource Rate Library'!$N$5:$N$85,MATCH(P13,'Resource Rate Library'!$A$5:$A$85,0)),"")</f>
        <v/>
      </c>
      <c r="AB13" s="53"/>
      <c r="AC13" s="59"/>
      <c r="AD13" s="81" t="str">
        <f>IFERROR(INDEX('Resource Rate Library'!$G$5:$G$85,MATCH(P13,'Resource Rate Library'!$A$5:$A$85,0)),"")</f>
        <v/>
      </c>
      <c r="AE13" s="81" t="str">
        <f>IFERROR(INDEX('Resource Rate Library'!$H$5:$H$85,MATCH(P13,'Resource Rate Library'!$A$5:$A$85,0)),"")</f>
        <v/>
      </c>
      <c r="AF13" s="53"/>
      <c r="AG13" s="53"/>
      <c r="AH13" s="53"/>
      <c r="AI13" s="81" t="str">
        <f t="shared" si="4"/>
        <v/>
      </c>
      <c r="AJ13" s="54"/>
      <c r="AK13" s="197"/>
      <c r="AL13" s="197"/>
      <c r="AM13" s="197"/>
      <c r="AN13" s="199">
        <f>IF(AND(AK13="Yes",OR(O13="Labour",O13="Plant")),Z13,0)</f>
        <v>0</v>
      </c>
    </row>
    <row r="14" spans="1:40" ht="21.95" customHeight="1" x14ac:dyDescent="0.2">
      <c r="A14" s="80" t="str">
        <f>IF(B14="","",B14&amp;"-"&amp;TEXT(COUNTIF($B$7:B14,B14),"000"))</f>
        <v/>
      </c>
      <c r="B14" s="53"/>
      <c r="C14" s="81" t="str">
        <f>IFERROR(INDEX('QS Takeoff'!$A$3:$A$194,MATCH(B14,'QS Takeoff'!$B$3:$B$194,0)),"")</f>
        <v/>
      </c>
      <c r="D14" s="81" t="str">
        <f>IFERROR(INDEX('QS Takeoff'!$C$3:$C$194,MATCH(B14,'QS Takeoff'!$B$3:$B$194,0)),"")</f>
        <v/>
      </c>
      <c r="E14" s="81" t="str">
        <f>IFERROR(INDEX('QS Takeoff'!$E$3:$E$194,MATCH(B14,'QS Takeoff'!$B$3:$B$194,0)),"")</f>
        <v/>
      </c>
      <c r="F14" s="81" t="str">
        <f>IFERROR(INDEX('QS Takeoff'!$D$3:$D$194,MATCH(B14,'QS Takeoff'!$B$3:$B$194,0)),"")</f>
        <v/>
      </c>
      <c r="G14" s="81" t="str">
        <f>IFERROR(INDEX('QS Takeoff'!$J$3:$J$194,MATCH(B14,'QS Takeoff'!$B$3:$B$194,0)),"")</f>
        <v/>
      </c>
      <c r="H14" s="53"/>
      <c r="I14" s="60"/>
      <c r="J14" s="60"/>
      <c r="K14" s="82" t="str">
        <f t="shared" si="0"/>
        <v/>
      </c>
      <c r="L14" s="60"/>
      <c r="M14" s="82" t="str">
        <f t="shared" si="1"/>
        <v/>
      </c>
      <c r="N14" s="53"/>
      <c r="O14" s="53"/>
      <c r="P14" s="53"/>
      <c r="Q14" s="81" t="str">
        <f>IFERROR(INDEX('Resource Rate Library'!$C$5:$C$85,MATCH(P14,'Resource Rate Library'!$A$5:$A$85,0)),"")</f>
        <v/>
      </c>
      <c r="R14" s="53"/>
      <c r="S14" s="53"/>
      <c r="T14" s="81" t="str">
        <f>IFERROR(INDEX('Resource Rate Library'!$E$5:$E$85,MATCH(P14,'Resource Rate Library'!$A$5:$A$85,0)),"")</f>
        <v/>
      </c>
      <c r="U14" s="62"/>
      <c r="V14" s="62"/>
      <c r="W14" s="83">
        <f>IFERROR(INDEX('Resource Rate Library'!$I$5:$I$85,MATCH(P14,'Resource Rate Library'!$A$5:$A$85,0)),0)</f>
        <v>0</v>
      </c>
      <c r="X14" s="52"/>
      <c r="Y14" s="83">
        <f t="shared" si="2"/>
        <v>0</v>
      </c>
      <c r="Z14" s="83" t="str">
        <f t="shared" si="3"/>
        <v/>
      </c>
      <c r="AA14" s="81" t="str">
        <f>IFERROR(INDEX('Resource Rate Library'!$N$5:$N$85,MATCH(P14,'Resource Rate Library'!$A$5:$A$85,0)),"")</f>
        <v/>
      </c>
      <c r="AB14" s="53"/>
      <c r="AC14" s="59"/>
      <c r="AD14" s="81" t="str">
        <f>IFERROR(INDEX('Resource Rate Library'!$G$5:$G$85,MATCH(P14,'Resource Rate Library'!$A$5:$A$85,0)),"")</f>
        <v/>
      </c>
      <c r="AE14" s="81" t="str">
        <f>IFERROR(INDEX('Resource Rate Library'!$H$5:$H$85,MATCH(P14,'Resource Rate Library'!$A$5:$A$85,0)),"")</f>
        <v/>
      </c>
      <c r="AF14" s="53"/>
      <c r="AG14" s="53"/>
      <c r="AH14" s="53"/>
      <c r="AI14" s="81" t="str">
        <f t="shared" si="4"/>
        <v/>
      </c>
      <c r="AJ14" s="54"/>
      <c r="AK14" s="197"/>
      <c r="AL14" s="197"/>
      <c r="AM14" s="197"/>
      <c r="AN14" s="199">
        <f>IF(AND(AK14="Yes",OR(O14="Labour",O14="Plant")),Z14,0)</f>
        <v>0</v>
      </c>
    </row>
    <row r="15" spans="1:40" ht="21.95" customHeight="1" x14ac:dyDescent="0.2">
      <c r="A15" s="80" t="str">
        <f>IF(B15="","",B15&amp;"-"&amp;TEXT(COUNTIF($B$7:B15,B15),"000"))</f>
        <v/>
      </c>
      <c r="B15" s="53"/>
      <c r="C15" s="81" t="str">
        <f>IFERROR(INDEX('QS Takeoff'!$A$3:$A$194,MATCH(B15,'QS Takeoff'!$B$3:$B$194,0)),"")</f>
        <v/>
      </c>
      <c r="D15" s="81" t="str">
        <f>IFERROR(INDEX('QS Takeoff'!$C$3:$C$194,MATCH(B15,'QS Takeoff'!$B$3:$B$194,0)),"")</f>
        <v/>
      </c>
      <c r="E15" s="81" t="str">
        <f>IFERROR(INDEX('QS Takeoff'!$E$3:$E$194,MATCH(B15,'QS Takeoff'!$B$3:$B$194,0)),"")</f>
        <v/>
      </c>
      <c r="F15" s="81" t="str">
        <f>IFERROR(INDEX('QS Takeoff'!$D$3:$D$194,MATCH(B15,'QS Takeoff'!$B$3:$B$194,0)),"")</f>
        <v/>
      </c>
      <c r="G15" s="81" t="str">
        <f>IFERROR(INDEX('QS Takeoff'!$J$3:$J$194,MATCH(B15,'QS Takeoff'!$B$3:$B$194,0)),"")</f>
        <v/>
      </c>
      <c r="H15" s="53"/>
      <c r="I15" s="60"/>
      <c r="J15" s="60"/>
      <c r="K15" s="82" t="str">
        <f t="shared" si="0"/>
        <v/>
      </c>
      <c r="L15" s="60"/>
      <c r="M15" s="82" t="str">
        <f t="shared" si="1"/>
        <v/>
      </c>
      <c r="N15" s="53"/>
      <c r="O15" s="53"/>
      <c r="P15" s="53"/>
      <c r="Q15" s="81" t="str">
        <f>IFERROR(INDEX('Resource Rate Library'!$C$5:$C$85,MATCH(P15,'Resource Rate Library'!$A$5:$A$85,0)),"")</f>
        <v/>
      </c>
      <c r="R15" s="53"/>
      <c r="S15" s="53"/>
      <c r="T15" s="81" t="str">
        <f>IFERROR(INDEX('Resource Rate Library'!$E$5:$E$85,MATCH(P15,'Resource Rate Library'!$A$5:$A$85,0)),"")</f>
        <v/>
      </c>
      <c r="U15" s="62"/>
      <c r="V15" s="62"/>
      <c r="W15" s="83">
        <f>IFERROR(INDEX('Resource Rate Library'!$I$5:$I$85,MATCH(P15,'Resource Rate Library'!$A$5:$A$85,0)),0)</f>
        <v>0</v>
      </c>
      <c r="X15" s="52"/>
      <c r="Y15" s="83">
        <f t="shared" si="2"/>
        <v>0</v>
      </c>
      <c r="Z15" s="83" t="str">
        <f t="shared" si="3"/>
        <v/>
      </c>
      <c r="AA15" s="81" t="str">
        <f>IFERROR(INDEX('Resource Rate Library'!$N$5:$N$85,MATCH(P15,'Resource Rate Library'!$A$5:$A$85,0)),"")</f>
        <v/>
      </c>
      <c r="AB15" s="53"/>
      <c r="AC15" s="59"/>
      <c r="AD15" s="81" t="str">
        <f>IFERROR(INDEX('Resource Rate Library'!$G$5:$G$85,MATCH(P15,'Resource Rate Library'!$A$5:$A$85,0)),"")</f>
        <v/>
      </c>
      <c r="AE15" s="81" t="str">
        <f>IFERROR(INDEX('Resource Rate Library'!$H$5:$H$85,MATCH(P15,'Resource Rate Library'!$A$5:$A$85,0)),"")</f>
        <v/>
      </c>
      <c r="AF15" s="53"/>
      <c r="AG15" s="53"/>
      <c r="AH15" s="53"/>
      <c r="AI15" s="81" t="str">
        <f t="shared" si="4"/>
        <v/>
      </c>
      <c r="AJ15" s="54"/>
      <c r="AK15" s="197"/>
      <c r="AL15" s="197"/>
      <c r="AM15" s="197"/>
      <c r="AN15" s="199">
        <f>IF(AND(AK15="Yes",OR(O15="Labour",O15="Plant")),Z15,0)</f>
        <v>0</v>
      </c>
    </row>
    <row r="16" spans="1:40" ht="21.95" customHeight="1" x14ac:dyDescent="0.2">
      <c r="A16" s="80" t="str">
        <f>IF(B16="","",B16&amp;"-"&amp;TEXT(COUNTIF($B$7:B16,B16),"000"))</f>
        <v/>
      </c>
      <c r="B16" s="53"/>
      <c r="C16" s="81" t="str">
        <f>IFERROR(INDEX('QS Takeoff'!$A$3:$A$194,MATCH(B16,'QS Takeoff'!$B$3:$B$194,0)),"")</f>
        <v/>
      </c>
      <c r="D16" s="81" t="str">
        <f>IFERROR(INDEX('QS Takeoff'!$C$3:$C$194,MATCH(B16,'QS Takeoff'!$B$3:$B$194,0)),"")</f>
        <v/>
      </c>
      <c r="E16" s="81" t="str">
        <f>IFERROR(INDEX('QS Takeoff'!$E$3:$E$194,MATCH(B16,'QS Takeoff'!$B$3:$B$194,0)),"")</f>
        <v/>
      </c>
      <c r="F16" s="81" t="str">
        <f>IFERROR(INDEX('QS Takeoff'!$D$3:$D$194,MATCH(B16,'QS Takeoff'!$B$3:$B$194,0)),"")</f>
        <v/>
      </c>
      <c r="G16" s="81" t="str">
        <f>IFERROR(INDEX('QS Takeoff'!$J$3:$J$194,MATCH(B16,'QS Takeoff'!$B$3:$B$194,0)),"")</f>
        <v/>
      </c>
      <c r="H16" s="53"/>
      <c r="I16" s="60"/>
      <c r="J16" s="60"/>
      <c r="K16" s="82" t="str">
        <f t="shared" si="0"/>
        <v/>
      </c>
      <c r="L16" s="60"/>
      <c r="M16" s="82" t="str">
        <f t="shared" si="1"/>
        <v/>
      </c>
      <c r="N16" s="53"/>
      <c r="O16" s="53"/>
      <c r="P16" s="53"/>
      <c r="Q16" s="81" t="str">
        <f>IFERROR(INDEX('Resource Rate Library'!$C$5:$C$85,MATCH(P16,'Resource Rate Library'!$A$5:$A$85,0)),"")</f>
        <v/>
      </c>
      <c r="R16" s="53"/>
      <c r="S16" s="53"/>
      <c r="T16" s="81" t="str">
        <f>IFERROR(INDEX('Resource Rate Library'!$E$5:$E$85,MATCH(P16,'Resource Rate Library'!$A$5:$A$85,0)),"")</f>
        <v/>
      </c>
      <c r="U16" s="62"/>
      <c r="V16" s="62"/>
      <c r="W16" s="83">
        <f>IFERROR(INDEX('Resource Rate Library'!$I$5:$I$85,MATCH(P16,'Resource Rate Library'!$A$5:$A$85,0)),0)</f>
        <v>0</v>
      </c>
      <c r="X16" s="52"/>
      <c r="Y16" s="83">
        <f t="shared" si="2"/>
        <v>0</v>
      </c>
      <c r="Z16" s="83" t="str">
        <f t="shared" si="3"/>
        <v/>
      </c>
      <c r="AA16" s="81" t="str">
        <f>IFERROR(INDEX('Resource Rate Library'!$N$5:$N$85,MATCH(P16,'Resource Rate Library'!$A$5:$A$85,0)),"")</f>
        <v/>
      </c>
      <c r="AB16" s="53"/>
      <c r="AC16" s="59"/>
      <c r="AD16" s="81" t="str">
        <f>IFERROR(INDEX('Resource Rate Library'!$G$5:$G$85,MATCH(P16,'Resource Rate Library'!$A$5:$A$85,0)),"")</f>
        <v/>
      </c>
      <c r="AE16" s="81" t="str">
        <f>IFERROR(INDEX('Resource Rate Library'!$H$5:$H$85,MATCH(P16,'Resource Rate Library'!$A$5:$A$85,0)),"")</f>
        <v/>
      </c>
      <c r="AF16" s="53"/>
      <c r="AG16" s="53"/>
      <c r="AH16" s="53"/>
      <c r="AI16" s="81" t="str">
        <f t="shared" si="4"/>
        <v/>
      </c>
      <c r="AJ16" s="54"/>
      <c r="AK16" s="197"/>
      <c r="AL16" s="197"/>
      <c r="AM16" s="197"/>
      <c r="AN16" s="199">
        <f>IF(AND(AK16="Yes",OR(O16="Labour",O16="Plant")),Z16,0)</f>
        <v>0</v>
      </c>
    </row>
    <row r="17" spans="1:40" ht="21.95" customHeight="1" x14ac:dyDescent="0.2">
      <c r="A17" s="80" t="str">
        <f>IF(B17="","",B17&amp;"-"&amp;TEXT(COUNTIF($B$7:B17,B17),"000"))</f>
        <v/>
      </c>
      <c r="B17" s="53"/>
      <c r="C17" s="81" t="str">
        <f>IFERROR(INDEX('QS Takeoff'!$A$3:$A$194,MATCH(B17,'QS Takeoff'!$B$3:$B$194,0)),"")</f>
        <v/>
      </c>
      <c r="D17" s="81" t="str">
        <f>IFERROR(INDEX('QS Takeoff'!$C$3:$C$194,MATCH(B17,'QS Takeoff'!$B$3:$B$194,0)),"")</f>
        <v/>
      </c>
      <c r="E17" s="81" t="str">
        <f>IFERROR(INDEX('QS Takeoff'!$E$3:$E$194,MATCH(B17,'QS Takeoff'!$B$3:$B$194,0)),"")</f>
        <v/>
      </c>
      <c r="F17" s="81" t="str">
        <f>IFERROR(INDEX('QS Takeoff'!$D$3:$D$194,MATCH(B17,'QS Takeoff'!$B$3:$B$194,0)),"")</f>
        <v/>
      </c>
      <c r="G17" s="81" t="str">
        <f>IFERROR(INDEX('QS Takeoff'!$J$3:$J$194,MATCH(B17,'QS Takeoff'!$B$3:$B$194,0)),"")</f>
        <v/>
      </c>
      <c r="H17" s="53"/>
      <c r="I17" s="60"/>
      <c r="J17" s="60"/>
      <c r="K17" s="82" t="str">
        <f t="shared" si="0"/>
        <v/>
      </c>
      <c r="L17" s="60"/>
      <c r="M17" s="82" t="str">
        <f t="shared" si="1"/>
        <v/>
      </c>
      <c r="N17" s="53"/>
      <c r="O17" s="53"/>
      <c r="P17" s="53"/>
      <c r="Q17" s="81" t="str">
        <f>IFERROR(INDEX('Resource Rate Library'!$C$5:$C$85,MATCH(P17,'Resource Rate Library'!$A$5:$A$85,0)),"")</f>
        <v/>
      </c>
      <c r="R17" s="53"/>
      <c r="S17" s="53"/>
      <c r="T17" s="81" t="str">
        <f>IFERROR(INDEX('Resource Rate Library'!$E$5:$E$85,MATCH(P17,'Resource Rate Library'!$A$5:$A$85,0)),"")</f>
        <v/>
      </c>
      <c r="U17" s="62"/>
      <c r="V17" s="62"/>
      <c r="W17" s="83">
        <f>IFERROR(INDEX('Resource Rate Library'!$I$5:$I$85,MATCH(P17,'Resource Rate Library'!$A$5:$A$85,0)),0)</f>
        <v>0</v>
      </c>
      <c r="X17" s="52"/>
      <c r="Y17" s="83">
        <f t="shared" si="2"/>
        <v>0</v>
      </c>
      <c r="Z17" s="83" t="str">
        <f t="shared" si="3"/>
        <v/>
      </c>
      <c r="AA17" s="81" t="str">
        <f>IFERROR(INDEX('Resource Rate Library'!$N$5:$N$85,MATCH(P17,'Resource Rate Library'!$A$5:$A$85,0)),"")</f>
        <v/>
      </c>
      <c r="AB17" s="53"/>
      <c r="AC17" s="59"/>
      <c r="AD17" s="81" t="str">
        <f>IFERROR(INDEX('Resource Rate Library'!$G$5:$G$85,MATCH(P17,'Resource Rate Library'!$A$5:$A$85,0)),"")</f>
        <v/>
      </c>
      <c r="AE17" s="81" t="str">
        <f>IFERROR(INDEX('Resource Rate Library'!$H$5:$H$85,MATCH(P17,'Resource Rate Library'!$A$5:$A$85,0)),"")</f>
        <v/>
      </c>
      <c r="AF17" s="53"/>
      <c r="AG17" s="53"/>
      <c r="AH17" s="53"/>
      <c r="AI17" s="81" t="str">
        <f t="shared" si="4"/>
        <v/>
      </c>
      <c r="AJ17" s="54"/>
      <c r="AK17" s="197"/>
      <c r="AL17" s="197"/>
      <c r="AM17" s="197"/>
      <c r="AN17" s="199">
        <f>IF(AND(AK17="Yes",OR(O17="Labour",O17="Plant")),Z17,0)</f>
        <v>0</v>
      </c>
    </row>
    <row r="18" spans="1:40" ht="21.95" customHeight="1" x14ac:dyDescent="0.2">
      <c r="A18" s="80" t="str">
        <f>IF(B18="","",B18&amp;"-"&amp;TEXT(COUNTIF($B$7:B18,B18),"000"))</f>
        <v/>
      </c>
      <c r="B18" s="53"/>
      <c r="C18" s="81" t="str">
        <f>IFERROR(INDEX('QS Takeoff'!$A$3:$A$194,MATCH(B18,'QS Takeoff'!$B$3:$B$194,0)),"")</f>
        <v/>
      </c>
      <c r="D18" s="81" t="str">
        <f>IFERROR(INDEX('QS Takeoff'!$C$3:$C$194,MATCH(B18,'QS Takeoff'!$B$3:$B$194,0)),"")</f>
        <v/>
      </c>
      <c r="E18" s="81" t="str">
        <f>IFERROR(INDEX('QS Takeoff'!$E$3:$E$194,MATCH(B18,'QS Takeoff'!$B$3:$B$194,0)),"")</f>
        <v/>
      </c>
      <c r="F18" s="81" t="str">
        <f>IFERROR(INDEX('QS Takeoff'!$D$3:$D$194,MATCH(B18,'QS Takeoff'!$B$3:$B$194,0)),"")</f>
        <v/>
      </c>
      <c r="G18" s="81" t="str">
        <f>IFERROR(INDEX('QS Takeoff'!$J$3:$J$194,MATCH(B18,'QS Takeoff'!$B$3:$B$194,0)),"")</f>
        <v/>
      </c>
      <c r="H18" s="53"/>
      <c r="I18" s="60"/>
      <c r="J18" s="60"/>
      <c r="K18" s="82" t="str">
        <f t="shared" si="0"/>
        <v/>
      </c>
      <c r="L18" s="60"/>
      <c r="M18" s="82" t="str">
        <f t="shared" si="1"/>
        <v/>
      </c>
      <c r="N18" s="53"/>
      <c r="O18" s="53"/>
      <c r="P18" s="53"/>
      <c r="Q18" s="81" t="str">
        <f>IFERROR(INDEX('Resource Rate Library'!$C$5:$C$85,MATCH(P18,'Resource Rate Library'!$A$5:$A$85,0)),"")</f>
        <v/>
      </c>
      <c r="R18" s="53"/>
      <c r="S18" s="53"/>
      <c r="T18" s="81" t="str">
        <f>IFERROR(INDEX('Resource Rate Library'!$E$5:$E$85,MATCH(P18,'Resource Rate Library'!$A$5:$A$85,0)),"")</f>
        <v/>
      </c>
      <c r="U18" s="62"/>
      <c r="V18" s="62"/>
      <c r="W18" s="83">
        <f>IFERROR(INDEX('Resource Rate Library'!$I$5:$I$85,MATCH(P18,'Resource Rate Library'!$A$5:$A$85,0)),0)</f>
        <v>0</v>
      </c>
      <c r="X18" s="52"/>
      <c r="Y18" s="83">
        <f t="shared" si="2"/>
        <v>0</v>
      </c>
      <c r="Z18" s="83" t="str">
        <f t="shared" si="3"/>
        <v/>
      </c>
      <c r="AA18" s="81" t="str">
        <f>IFERROR(INDEX('Resource Rate Library'!$N$5:$N$85,MATCH(P18,'Resource Rate Library'!$A$5:$A$85,0)),"")</f>
        <v/>
      </c>
      <c r="AB18" s="53"/>
      <c r="AC18" s="59"/>
      <c r="AD18" s="81" t="str">
        <f>IFERROR(INDEX('Resource Rate Library'!$G$5:$G$85,MATCH(P18,'Resource Rate Library'!$A$5:$A$85,0)),"")</f>
        <v/>
      </c>
      <c r="AE18" s="81" t="str">
        <f>IFERROR(INDEX('Resource Rate Library'!$H$5:$H$85,MATCH(P18,'Resource Rate Library'!$A$5:$A$85,0)),"")</f>
        <v/>
      </c>
      <c r="AF18" s="53"/>
      <c r="AG18" s="53"/>
      <c r="AH18" s="53"/>
      <c r="AI18" s="81" t="str">
        <f t="shared" si="4"/>
        <v/>
      </c>
      <c r="AJ18" s="54"/>
      <c r="AK18" s="197"/>
      <c r="AL18" s="197"/>
      <c r="AM18" s="197"/>
      <c r="AN18" s="199">
        <f>IF(AND(AK18="Yes",OR(O18="Labour",O18="Plant")),Z18,0)</f>
        <v>0</v>
      </c>
    </row>
    <row r="19" spans="1:40" ht="21.95" customHeight="1" x14ac:dyDescent="0.2">
      <c r="A19" s="80" t="str">
        <f>IF(B19="","",B19&amp;"-"&amp;TEXT(COUNTIF($B$7:B19,B19),"000"))</f>
        <v/>
      </c>
      <c r="B19" s="53"/>
      <c r="C19" s="81" t="str">
        <f>IFERROR(INDEX('QS Takeoff'!$A$3:$A$194,MATCH(B19,'QS Takeoff'!$B$3:$B$194,0)),"")</f>
        <v/>
      </c>
      <c r="D19" s="81" t="str">
        <f>IFERROR(INDEX('QS Takeoff'!$C$3:$C$194,MATCH(B19,'QS Takeoff'!$B$3:$B$194,0)),"")</f>
        <v/>
      </c>
      <c r="E19" s="81" t="str">
        <f>IFERROR(INDEX('QS Takeoff'!$E$3:$E$194,MATCH(B19,'QS Takeoff'!$B$3:$B$194,0)),"")</f>
        <v/>
      </c>
      <c r="F19" s="81" t="str">
        <f>IFERROR(INDEX('QS Takeoff'!$D$3:$D$194,MATCH(B19,'QS Takeoff'!$B$3:$B$194,0)),"")</f>
        <v/>
      </c>
      <c r="G19" s="81" t="str">
        <f>IFERROR(INDEX('QS Takeoff'!$J$3:$J$194,MATCH(B19,'QS Takeoff'!$B$3:$B$194,0)),"")</f>
        <v/>
      </c>
      <c r="H19" s="53"/>
      <c r="I19" s="60"/>
      <c r="J19" s="60"/>
      <c r="K19" s="82" t="str">
        <f t="shared" si="0"/>
        <v/>
      </c>
      <c r="L19" s="60"/>
      <c r="M19" s="82" t="str">
        <f t="shared" si="1"/>
        <v/>
      </c>
      <c r="N19" s="53"/>
      <c r="O19" s="53"/>
      <c r="P19" s="53"/>
      <c r="Q19" s="81" t="str">
        <f>IFERROR(INDEX('Resource Rate Library'!$C$5:$C$85,MATCH(P19,'Resource Rate Library'!$A$5:$A$85,0)),"")</f>
        <v/>
      </c>
      <c r="R19" s="53"/>
      <c r="S19" s="53"/>
      <c r="T19" s="81" t="str">
        <f>IFERROR(INDEX('Resource Rate Library'!$E$5:$E$85,MATCH(P19,'Resource Rate Library'!$A$5:$A$85,0)),"")</f>
        <v/>
      </c>
      <c r="U19" s="62"/>
      <c r="V19" s="62"/>
      <c r="W19" s="83">
        <f>IFERROR(INDEX('Resource Rate Library'!$I$5:$I$85,MATCH(P19,'Resource Rate Library'!$A$5:$A$85,0)),0)</f>
        <v>0</v>
      </c>
      <c r="X19" s="52"/>
      <c r="Y19" s="83">
        <f t="shared" si="2"/>
        <v>0</v>
      </c>
      <c r="Z19" s="83" t="str">
        <f t="shared" si="3"/>
        <v/>
      </c>
      <c r="AA19" s="81" t="str">
        <f>IFERROR(INDEX('Resource Rate Library'!$N$5:$N$85,MATCH(P19,'Resource Rate Library'!$A$5:$A$85,0)),"")</f>
        <v/>
      </c>
      <c r="AB19" s="53"/>
      <c r="AC19" s="59"/>
      <c r="AD19" s="81" t="str">
        <f>IFERROR(INDEX('Resource Rate Library'!$G$5:$G$85,MATCH(P19,'Resource Rate Library'!$A$5:$A$85,0)),"")</f>
        <v/>
      </c>
      <c r="AE19" s="81" t="str">
        <f>IFERROR(INDEX('Resource Rate Library'!$H$5:$H$85,MATCH(P19,'Resource Rate Library'!$A$5:$A$85,0)),"")</f>
        <v/>
      </c>
      <c r="AF19" s="53"/>
      <c r="AG19" s="53"/>
      <c r="AH19" s="53"/>
      <c r="AI19" s="81" t="str">
        <f t="shared" si="4"/>
        <v/>
      </c>
      <c r="AJ19" s="54"/>
      <c r="AK19" s="197"/>
      <c r="AL19" s="197"/>
      <c r="AM19" s="197"/>
      <c r="AN19" s="199">
        <f>IF(AND(AK19="Yes",OR(O19="Labour",O19="Plant")),Z19,0)</f>
        <v>0</v>
      </c>
    </row>
    <row r="20" spans="1:40" ht="21.95" customHeight="1" x14ac:dyDescent="0.2">
      <c r="A20" s="80" t="str">
        <f>IF(B20="","",B20&amp;"-"&amp;TEXT(COUNTIF($B$7:B20,B20),"000"))</f>
        <v/>
      </c>
      <c r="B20" s="53"/>
      <c r="C20" s="81" t="str">
        <f>IFERROR(INDEX('QS Takeoff'!$A$3:$A$194,MATCH(B20,'QS Takeoff'!$B$3:$B$194,0)),"")</f>
        <v/>
      </c>
      <c r="D20" s="81" t="str">
        <f>IFERROR(INDEX('QS Takeoff'!$C$3:$C$194,MATCH(B20,'QS Takeoff'!$B$3:$B$194,0)),"")</f>
        <v/>
      </c>
      <c r="E20" s="81" t="str">
        <f>IFERROR(INDEX('QS Takeoff'!$E$3:$E$194,MATCH(B20,'QS Takeoff'!$B$3:$B$194,0)),"")</f>
        <v/>
      </c>
      <c r="F20" s="81" t="str">
        <f>IFERROR(INDEX('QS Takeoff'!$D$3:$D$194,MATCH(B20,'QS Takeoff'!$B$3:$B$194,0)),"")</f>
        <v/>
      </c>
      <c r="G20" s="81" t="str">
        <f>IFERROR(INDEX('QS Takeoff'!$J$3:$J$194,MATCH(B20,'QS Takeoff'!$B$3:$B$194,0)),"")</f>
        <v/>
      </c>
      <c r="H20" s="53"/>
      <c r="I20" s="60"/>
      <c r="J20" s="60"/>
      <c r="K20" s="82" t="str">
        <f t="shared" si="0"/>
        <v/>
      </c>
      <c r="L20" s="60"/>
      <c r="M20" s="82" t="str">
        <f t="shared" si="1"/>
        <v/>
      </c>
      <c r="N20" s="53"/>
      <c r="O20" s="53"/>
      <c r="P20" s="53"/>
      <c r="Q20" s="81" t="str">
        <f>IFERROR(INDEX('Resource Rate Library'!$C$5:$C$85,MATCH(P20,'Resource Rate Library'!$A$5:$A$85,0)),"")</f>
        <v/>
      </c>
      <c r="R20" s="53"/>
      <c r="S20" s="53"/>
      <c r="T20" s="81" t="str">
        <f>IFERROR(INDEX('Resource Rate Library'!$E$5:$E$85,MATCH(P20,'Resource Rate Library'!$A$5:$A$85,0)),"")</f>
        <v/>
      </c>
      <c r="U20" s="62"/>
      <c r="V20" s="62"/>
      <c r="W20" s="83">
        <f>IFERROR(INDEX('Resource Rate Library'!$I$5:$I$85,MATCH(P20,'Resource Rate Library'!$A$5:$A$85,0)),0)</f>
        <v>0</v>
      </c>
      <c r="X20" s="52"/>
      <c r="Y20" s="83">
        <f t="shared" si="2"/>
        <v>0</v>
      </c>
      <c r="Z20" s="83" t="str">
        <f t="shared" si="3"/>
        <v/>
      </c>
      <c r="AA20" s="81" t="str">
        <f>IFERROR(INDEX('Resource Rate Library'!$N$5:$N$85,MATCH(P20,'Resource Rate Library'!$A$5:$A$85,0)),"")</f>
        <v/>
      </c>
      <c r="AB20" s="53"/>
      <c r="AC20" s="59"/>
      <c r="AD20" s="81" t="str">
        <f>IFERROR(INDEX('Resource Rate Library'!$G$5:$G$85,MATCH(P20,'Resource Rate Library'!$A$5:$A$85,0)),"")</f>
        <v/>
      </c>
      <c r="AE20" s="81" t="str">
        <f>IFERROR(INDEX('Resource Rate Library'!$H$5:$H$85,MATCH(P20,'Resource Rate Library'!$A$5:$A$85,0)),"")</f>
        <v/>
      </c>
      <c r="AF20" s="53"/>
      <c r="AG20" s="53"/>
      <c r="AH20" s="53"/>
      <c r="AI20" s="81" t="str">
        <f t="shared" si="4"/>
        <v/>
      </c>
      <c r="AJ20" s="54"/>
      <c r="AK20" s="197"/>
      <c r="AL20" s="197"/>
      <c r="AM20" s="197"/>
      <c r="AN20" s="199">
        <f>IF(AND(AK20="Yes",OR(O20="Labour",O20="Plant")),Z20,0)</f>
        <v>0</v>
      </c>
    </row>
    <row r="21" spans="1:40" ht="21.95" customHeight="1" x14ac:dyDescent="0.2">
      <c r="A21" s="80" t="str">
        <f>IF(B21="","",B21&amp;"-"&amp;TEXT(COUNTIF($B$7:B21,B21),"000"))</f>
        <v/>
      </c>
      <c r="B21" s="53"/>
      <c r="C21" s="81" t="str">
        <f>IFERROR(INDEX('QS Takeoff'!$A$3:$A$194,MATCH(B21,'QS Takeoff'!$B$3:$B$194,0)),"")</f>
        <v/>
      </c>
      <c r="D21" s="81" t="str">
        <f>IFERROR(INDEX('QS Takeoff'!$C$3:$C$194,MATCH(B21,'QS Takeoff'!$B$3:$B$194,0)),"")</f>
        <v/>
      </c>
      <c r="E21" s="81" t="str">
        <f>IFERROR(INDEX('QS Takeoff'!$E$3:$E$194,MATCH(B21,'QS Takeoff'!$B$3:$B$194,0)),"")</f>
        <v/>
      </c>
      <c r="F21" s="81" t="str">
        <f>IFERROR(INDEX('QS Takeoff'!$D$3:$D$194,MATCH(B21,'QS Takeoff'!$B$3:$B$194,0)),"")</f>
        <v/>
      </c>
      <c r="G21" s="81" t="str">
        <f>IFERROR(INDEX('QS Takeoff'!$J$3:$J$194,MATCH(B21,'QS Takeoff'!$B$3:$B$194,0)),"")</f>
        <v/>
      </c>
      <c r="H21" s="53"/>
      <c r="I21" s="60"/>
      <c r="J21" s="60"/>
      <c r="K21" s="82" t="str">
        <f t="shared" si="0"/>
        <v/>
      </c>
      <c r="L21" s="60"/>
      <c r="M21" s="82" t="str">
        <f t="shared" si="1"/>
        <v/>
      </c>
      <c r="N21" s="53"/>
      <c r="O21" s="53"/>
      <c r="P21" s="53"/>
      <c r="Q21" s="81" t="str">
        <f>IFERROR(INDEX('Resource Rate Library'!$C$5:$C$85,MATCH(P21,'Resource Rate Library'!$A$5:$A$85,0)),"")</f>
        <v/>
      </c>
      <c r="R21" s="53"/>
      <c r="S21" s="53"/>
      <c r="T21" s="81" t="str">
        <f>IFERROR(INDEX('Resource Rate Library'!$E$5:$E$85,MATCH(P21,'Resource Rate Library'!$A$5:$A$85,0)),"")</f>
        <v/>
      </c>
      <c r="U21" s="62"/>
      <c r="V21" s="62"/>
      <c r="W21" s="83">
        <f>IFERROR(INDEX('Resource Rate Library'!$I$5:$I$85,MATCH(P21,'Resource Rate Library'!$A$5:$A$85,0)),0)</f>
        <v>0</v>
      </c>
      <c r="X21" s="52"/>
      <c r="Y21" s="83">
        <f t="shared" si="2"/>
        <v>0</v>
      </c>
      <c r="Z21" s="83" t="str">
        <f t="shared" si="3"/>
        <v/>
      </c>
      <c r="AA21" s="81" t="str">
        <f>IFERROR(INDEX('Resource Rate Library'!$N$5:$N$85,MATCH(P21,'Resource Rate Library'!$A$5:$A$85,0)),"")</f>
        <v/>
      </c>
      <c r="AB21" s="53"/>
      <c r="AC21" s="59"/>
      <c r="AD21" s="81" t="str">
        <f>IFERROR(INDEX('Resource Rate Library'!$G$5:$G$85,MATCH(P21,'Resource Rate Library'!$A$5:$A$85,0)),"")</f>
        <v/>
      </c>
      <c r="AE21" s="81" t="str">
        <f>IFERROR(INDEX('Resource Rate Library'!$H$5:$H$85,MATCH(P21,'Resource Rate Library'!$A$5:$A$85,0)),"")</f>
        <v/>
      </c>
      <c r="AF21" s="53"/>
      <c r="AG21" s="53"/>
      <c r="AH21" s="53"/>
      <c r="AI21" s="81" t="str">
        <f t="shared" si="4"/>
        <v/>
      </c>
      <c r="AJ21" s="54"/>
      <c r="AK21" s="197"/>
      <c r="AL21" s="197"/>
      <c r="AM21" s="197"/>
      <c r="AN21" s="199">
        <f>IF(AND(AK21="Yes",OR(O21="Labour",O21="Plant")),Z21,0)</f>
        <v>0</v>
      </c>
    </row>
    <row r="22" spans="1:40" ht="21.95" customHeight="1" x14ac:dyDescent="0.2">
      <c r="A22" s="80" t="str">
        <f>IF(B22="","",B22&amp;"-"&amp;TEXT(COUNTIF($B$7:B22,B22),"000"))</f>
        <v/>
      </c>
      <c r="B22" s="53"/>
      <c r="C22" s="81" t="str">
        <f>IFERROR(INDEX('QS Takeoff'!$A$3:$A$194,MATCH(B22,'QS Takeoff'!$B$3:$B$194,0)),"")</f>
        <v/>
      </c>
      <c r="D22" s="81" t="str">
        <f>IFERROR(INDEX('QS Takeoff'!$C$3:$C$194,MATCH(B22,'QS Takeoff'!$B$3:$B$194,0)),"")</f>
        <v/>
      </c>
      <c r="E22" s="81" t="str">
        <f>IFERROR(INDEX('QS Takeoff'!$E$3:$E$194,MATCH(B22,'QS Takeoff'!$B$3:$B$194,0)),"")</f>
        <v/>
      </c>
      <c r="F22" s="81" t="str">
        <f>IFERROR(INDEX('QS Takeoff'!$D$3:$D$194,MATCH(B22,'QS Takeoff'!$B$3:$B$194,0)),"")</f>
        <v/>
      </c>
      <c r="G22" s="81" t="str">
        <f>IFERROR(INDEX('QS Takeoff'!$J$3:$J$194,MATCH(B22,'QS Takeoff'!$B$3:$B$194,0)),"")</f>
        <v/>
      </c>
      <c r="H22" s="53"/>
      <c r="I22" s="60"/>
      <c r="J22" s="60"/>
      <c r="K22" s="82" t="str">
        <f t="shared" si="0"/>
        <v/>
      </c>
      <c r="L22" s="60"/>
      <c r="M22" s="82" t="str">
        <f t="shared" si="1"/>
        <v/>
      </c>
      <c r="N22" s="53"/>
      <c r="O22" s="53"/>
      <c r="P22" s="53"/>
      <c r="Q22" s="81" t="str">
        <f>IFERROR(INDEX('Resource Rate Library'!$C$5:$C$85,MATCH(P22,'Resource Rate Library'!$A$5:$A$85,0)),"")</f>
        <v/>
      </c>
      <c r="R22" s="53"/>
      <c r="S22" s="53"/>
      <c r="T22" s="81" t="str">
        <f>IFERROR(INDEX('Resource Rate Library'!$E$5:$E$85,MATCH(P22,'Resource Rate Library'!$A$5:$A$85,0)),"")</f>
        <v/>
      </c>
      <c r="U22" s="62"/>
      <c r="V22" s="62"/>
      <c r="W22" s="83">
        <f>IFERROR(INDEX('Resource Rate Library'!$I$5:$I$85,MATCH(P22,'Resource Rate Library'!$A$5:$A$85,0)),0)</f>
        <v>0</v>
      </c>
      <c r="X22" s="52"/>
      <c r="Y22" s="83">
        <f t="shared" si="2"/>
        <v>0</v>
      </c>
      <c r="Z22" s="83" t="str">
        <f t="shared" si="3"/>
        <v/>
      </c>
      <c r="AA22" s="81" t="str">
        <f>IFERROR(INDEX('Resource Rate Library'!$N$5:$N$85,MATCH(P22,'Resource Rate Library'!$A$5:$A$85,0)),"")</f>
        <v/>
      </c>
      <c r="AB22" s="53"/>
      <c r="AC22" s="59"/>
      <c r="AD22" s="81" t="str">
        <f>IFERROR(INDEX('Resource Rate Library'!$G$5:$G$85,MATCH(P22,'Resource Rate Library'!$A$5:$A$85,0)),"")</f>
        <v/>
      </c>
      <c r="AE22" s="81" t="str">
        <f>IFERROR(INDEX('Resource Rate Library'!$H$5:$H$85,MATCH(P22,'Resource Rate Library'!$A$5:$A$85,0)),"")</f>
        <v/>
      </c>
      <c r="AF22" s="53"/>
      <c r="AG22" s="53"/>
      <c r="AH22" s="53"/>
      <c r="AI22" s="81" t="str">
        <f t="shared" si="4"/>
        <v/>
      </c>
      <c r="AJ22" s="54"/>
      <c r="AK22" s="197"/>
      <c r="AL22" s="197"/>
      <c r="AM22" s="197"/>
      <c r="AN22" s="199">
        <f>IF(AND(AK22="Yes",OR(O22="Labour",O22="Plant")),Z22,0)</f>
        <v>0</v>
      </c>
    </row>
    <row r="23" spans="1:40" ht="21.95" customHeight="1" x14ac:dyDescent="0.2">
      <c r="A23" s="80" t="str">
        <f>IF(B23="","",B23&amp;"-"&amp;TEXT(COUNTIF($B$7:B23,B23),"000"))</f>
        <v/>
      </c>
      <c r="B23" s="53"/>
      <c r="C23" s="81" t="str">
        <f>IFERROR(INDEX('QS Takeoff'!$A$3:$A$194,MATCH(B23,'QS Takeoff'!$B$3:$B$194,0)),"")</f>
        <v/>
      </c>
      <c r="D23" s="81" t="str">
        <f>IFERROR(INDEX('QS Takeoff'!$C$3:$C$194,MATCH(B23,'QS Takeoff'!$B$3:$B$194,0)),"")</f>
        <v/>
      </c>
      <c r="E23" s="81" t="str">
        <f>IFERROR(INDEX('QS Takeoff'!$E$3:$E$194,MATCH(B23,'QS Takeoff'!$B$3:$B$194,0)),"")</f>
        <v/>
      </c>
      <c r="F23" s="81" t="str">
        <f>IFERROR(INDEX('QS Takeoff'!$D$3:$D$194,MATCH(B23,'QS Takeoff'!$B$3:$B$194,0)),"")</f>
        <v/>
      </c>
      <c r="G23" s="81" t="str">
        <f>IFERROR(INDEX('QS Takeoff'!$J$3:$J$194,MATCH(B23,'QS Takeoff'!$B$3:$B$194,0)),"")</f>
        <v/>
      </c>
      <c r="H23" s="53"/>
      <c r="I23" s="60"/>
      <c r="J23" s="60"/>
      <c r="K23" s="82" t="str">
        <f t="shared" si="0"/>
        <v/>
      </c>
      <c r="L23" s="60"/>
      <c r="M23" s="82" t="str">
        <f t="shared" si="1"/>
        <v/>
      </c>
      <c r="N23" s="53"/>
      <c r="O23" s="53"/>
      <c r="P23" s="53"/>
      <c r="Q23" s="81" t="str">
        <f>IFERROR(INDEX('Resource Rate Library'!$C$5:$C$85,MATCH(P23,'Resource Rate Library'!$A$5:$A$85,0)),"")</f>
        <v/>
      </c>
      <c r="R23" s="53"/>
      <c r="S23" s="53"/>
      <c r="T23" s="81" t="str">
        <f>IFERROR(INDEX('Resource Rate Library'!$E$5:$E$85,MATCH(P23,'Resource Rate Library'!$A$5:$A$85,0)),"")</f>
        <v/>
      </c>
      <c r="U23" s="62"/>
      <c r="V23" s="62"/>
      <c r="W23" s="83">
        <f>IFERROR(INDEX('Resource Rate Library'!$I$5:$I$85,MATCH(P23,'Resource Rate Library'!$A$5:$A$85,0)),0)</f>
        <v>0</v>
      </c>
      <c r="X23" s="52"/>
      <c r="Y23" s="83">
        <f t="shared" si="2"/>
        <v>0</v>
      </c>
      <c r="Z23" s="83" t="str">
        <f t="shared" si="3"/>
        <v/>
      </c>
      <c r="AA23" s="81" t="str">
        <f>IFERROR(INDEX('Resource Rate Library'!$N$5:$N$85,MATCH(P23,'Resource Rate Library'!$A$5:$A$85,0)),"")</f>
        <v/>
      </c>
      <c r="AB23" s="53"/>
      <c r="AC23" s="59"/>
      <c r="AD23" s="81" t="str">
        <f>IFERROR(INDEX('Resource Rate Library'!$G$5:$G$85,MATCH(P23,'Resource Rate Library'!$A$5:$A$85,0)),"")</f>
        <v/>
      </c>
      <c r="AE23" s="81" t="str">
        <f>IFERROR(INDEX('Resource Rate Library'!$H$5:$H$85,MATCH(P23,'Resource Rate Library'!$A$5:$A$85,0)),"")</f>
        <v/>
      </c>
      <c r="AF23" s="53"/>
      <c r="AG23" s="53"/>
      <c r="AH23" s="53"/>
      <c r="AI23" s="81" t="str">
        <f t="shared" si="4"/>
        <v/>
      </c>
      <c r="AJ23" s="54"/>
      <c r="AK23" s="197"/>
      <c r="AL23" s="197"/>
      <c r="AM23" s="197"/>
      <c r="AN23" s="199">
        <f>IF(AND(AK23="Yes",OR(O23="Labour",O23="Plant")),Z23,0)</f>
        <v>0</v>
      </c>
    </row>
    <row r="24" spans="1:40" ht="21.95" customHeight="1" x14ac:dyDescent="0.2">
      <c r="A24" s="80" t="str">
        <f>IF(B24="","",B24&amp;"-"&amp;TEXT(COUNTIF($B$7:B24,B24),"000"))</f>
        <v/>
      </c>
      <c r="B24" s="53"/>
      <c r="C24" s="81" t="str">
        <f>IFERROR(INDEX('QS Takeoff'!$A$3:$A$194,MATCH(B24,'QS Takeoff'!$B$3:$B$194,0)),"")</f>
        <v/>
      </c>
      <c r="D24" s="81" t="str">
        <f>IFERROR(INDEX('QS Takeoff'!$C$3:$C$194,MATCH(B24,'QS Takeoff'!$B$3:$B$194,0)),"")</f>
        <v/>
      </c>
      <c r="E24" s="81" t="str">
        <f>IFERROR(INDEX('QS Takeoff'!$E$3:$E$194,MATCH(B24,'QS Takeoff'!$B$3:$B$194,0)),"")</f>
        <v/>
      </c>
      <c r="F24" s="81" t="str">
        <f>IFERROR(INDEX('QS Takeoff'!$D$3:$D$194,MATCH(B24,'QS Takeoff'!$B$3:$B$194,0)),"")</f>
        <v/>
      </c>
      <c r="G24" s="81" t="str">
        <f>IFERROR(INDEX('QS Takeoff'!$J$3:$J$194,MATCH(B24,'QS Takeoff'!$B$3:$B$194,0)),"")</f>
        <v/>
      </c>
      <c r="H24" s="53"/>
      <c r="I24" s="60"/>
      <c r="J24" s="60"/>
      <c r="K24" s="82" t="str">
        <f t="shared" si="0"/>
        <v/>
      </c>
      <c r="L24" s="60"/>
      <c r="M24" s="82" t="str">
        <f t="shared" si="1"/>
        <v/>
      </c>
      <c r="N24" s="53"/>
      <c r="O24" s="53"/>
      <c r="P24" s="53"/>
      <c r="Q24" s="81" t="str">
        <f>IFERROR(INDEX('Resource Rate Library'!$C$5:$C$85,MATCH(P24,'Resource Rate Library'!$A$5:$A$85,0)),"")</f>
        <v/>
      </c>
      <c r="R24" s="53"/>
      <c r="S24" s="53"/>
      <c r="T24" s="81" t="str">
        <f>IFERROR(INDEX('Resource Rate Library'!$E$5:$E$85,MATCH(P24,'Resource Rate Library'!$A$5:$A$85,0)),"")</f>
        <v/>
      </c>
      <c r="U24" s="62"/>
      <c r="V24" s="62"/>
      <c r="W24" s="83">
        <f>IFERROR(INDEX('Resource Rate Library'!$I$5:$I$85,MATCH(P24,'Resource Rate Library'!$A$5:$A$85,0)),0)</f>
        <v>0</v>
      </c>
      <c r="X24" s="52"/>
      <c r="Y24" s="83">
        <f t="shared" si="2"/>
        <v>0</v>
      </c>
      <c r="Z24" s="83" t="str">
        <f t="shared" si="3"/>
        <v/>
      </c>
      <c r="AA24" s="81" t="str">
        <f>IFERROR(INDEX('Resource Rate Library'!$N$5:$N$85,MATCH(P24,'Resource Rate Library'!$A$5:$A$85,0)),"")</f>
        <v/>
      </c>
      <c r="AB24" s="53"/>
      <c r="AC24" s="59"/>
      <c r="AD24" s="81" t="str">
        <f>IFERROR(INDEX('Resource Rate Library'!$G$5:$G$85,MATCH(P24,'Resource Rate Library'!$A$5:$A$85,0)),"")</f>
        <v/>
      </c>
      <c r="AE24" s="81" t="str">
        <f>IFERROR(INDEX('Resource Rate Library'!$H$5:$H$85,MATCH(P24,'Resource Rate Library'!$A$5:$A$85,0)),"")</f>
        <v/>
      </c>
      <c r="AF24" s="53"/>
      <c r="AG24" s="53"/>
      <c r="AH24" s="53"/>
      <c r="AI24" s="81" t="str">
        <f t="shared" si="4"/>
        <v/>
      </c>
      <c r="AJ24" s="54"/>
      <c r="AK24" s="197"/>
      <c r="AL24" s="197"/>
      <c r="AM24" s="197"/>
      <c r="AN24" s="199">
        <f>IF(AND(AK24="Yes",OR(O24="Labour",O24="Plant")),Z24,0)</f>
        <v>0</v>
      </c>
    </row>
    <row r="25" spans="1:40" ht="21.95" customHeight="1" x14ac:dyDescent="0.2">
      <c r="A25" s="80" t="str">
        <f>IF(B25="","",B25&amp;"-"&amp;TEXT(COUNTIF($B$7:B25,B25),"000"))</f>
        <v/>
      </c>
      <c r="B25" s="53"/>
      <c r="C25" s="81" t="str">
        <f>IFERROR(INDEX('QS Takeoff'!$A$3:$A$194,MATCH(B25,'QS Takeoff'!$B$3:$B$194,0)),"")</f>
        <v/>
      </c>
      <c r="D25" s="81" t="str">
        <f>IFERROR(INDEX('QS Takeoff'!$C$3:$C$194,MATCH(B25,'QS Takeoff'!$B$3:$B$194,0)),"")</f>
        <v/>
      </c>
      <c r="E25" s="81" t="str">
        <f>IFERROR(INDEX('QS Takeoff'!$E$3:$E$194,MATCH(B25,'QS Takeoff'!$B$3:$B$194,0)),"")</f>
        <v/>
      </c>
      <c r="F25" s="81" t="str">
        <f>IFERROR(INDEX('QS Takeoff'!$D$3:$D$194,MATCH(B25,'QS Takeoff'!$B$3:$B$194,0)),"")</f>
        <v/>
      </c>
      <c r="G25" s="81" t="str">
        <f>IFERROR(INDEX('QS Takeoff'!$J$3:$J$194,MATCH(B25,'QS Takeoff'!$B$3:$B$194,0)),"")</f>
        <v/>
      </c>
      <c r="H25" s="53"/>
      <c r="I25" s="60"/>
      <c r="J25" s="60"/>
      <c r="K25" s="82" t="str">
        <f t="shared" si="0"/>
        <v/>
      </c>
      <c r="L25" s="60"/>
      <c r="M25" s="82" t="str">
        <f t="shared" si="1"/>
        <v/>
      </c>
      <c r="N25" s="53"/>
      <c r="O25" s="53"/>
      <c r="P25" s="53"/>
      <c r="Q25" s="81" t="str">
        <f>IFERROR(INDEX('Resource Rate Library'!$C$5:$C$85,MATCH(P25,'Resource Rate Library'!$A$5:$A$85,0)),"")</f>
        <v/>
      </c>
      <c r="R25" s="53"/>
      <c r="S25" s="53"/>
      <c r="T25" s="81" t="str">
        <f>IFERROR(INDEX('Resource Rate Library'!$E$5:$E$85,MATCH(P25,'Resource Rate Library'!$A$5:$A$85,0)),"")</f>
        <v/>
      </c>
      <c r="U25" s="62"/>
      <c r="V25" s="62"/>
      <c r="W25" s="83">
        <f>IFERROR(INDEX('Resource Rate Library'!$I$5:$I$85,MATCH(P25,'Resource Rate Library'!$A$5:$A$85,0)),0)</f>
        <v>0</v>
      </c>
      <c r="X25" s="52"/>
      <c r="Y25" s="83">
        <f t="shared" si="2"/>
        <v>0</v>
      </c>
      <c r="Z25" s="83" t="str">
        <f t="shared" si="3"/>
        <v/>
      </c>
      <c r="AA25" s="81" t="str">
        <f>IFERROR(INDEX('Resource Rate Library'!$N$5:$N$85,MATCH(P25,'Resource Rate Library'!$A$5:$A$85,0)),"")</f>
        <v/>
      </c>
      <c r="AB25" s="53"/>
      <c r="AC25" s="59"/>
      <c r="AD25" s="81" t="str">
        <f>IFERROR(INDEX('Resource Rate Library'!$G$5:$G$85,MATCH(P25,'Resource Rate Library'!$A$5:$A$85,0)),"")</f>
        <v/>
      </c>
      <c r="AE25" s="81" t="str">
        <f>IFERROR(INDEX('Resource Rate Library'!$H$5:$H$85,MATCH(P25,'Resource Rate Library'!$A$5:$A$85,0)),"")</f>
        <v/>
      </c>
      <c r="AF25" s="53"/>
      <c r="AG25" s="53"/>
      <c r="AH25" s="53"/>
      <c r="AI25" s="81" t="str">
        <f t="shared" si="4"/>
        <v/>
      </c>
      <c r="AJ25" s="54"/>
      <c r="AK25" s="197"/>
      <c r="AL25" s="197"/>
      <c r="AM25" s="197"/>
      <c r="AN25" s="199">
        <f>IF(AND(AK25="Yes",OR(O25="Labour",O25="Plant")),Z25,0)</f>
        <v>0</v>
      </c>
    </row>
    <row r="26" spans="1:40" ht="21.95" customHeight="1" x14ac:dyDescent="0.2">
      <c r="A26" s="80" t="str">
        <f>IF(B26="","",B26&amp;"-"&amp;TEXT(COUNTIF($B$7:B26,B26),"000"))</f>
        <v/>
      </c>
      <c r="B26" s="53"/>
      <c r="C26" s="81" t="str">
        <f>IFERROR(INDEX('QS Takeoff'!$A$3:$A$194,MATCH(B26,'QS Takeoff'!$B$3:$B$194,0)),"")</f>
        <v/>
      </c>
      <c r="D26" s="81" t="str">
        <f>IFERROR(INDEX('QS Takeoff'!$C$3:$C$194,MATCH(B26,'QS Takeoff'!$B$3:$B$194,0)),"")</f>
        <v/>
      </c>
      <c r="E26" s="81" t="str">
        <f>IFERROR(INDEX('QS Takeoff'!$E$3:$E$194,MATCH(B26,'QS Takeoff'!$B$3:$B$194,0)),"")</f>
        <v/>
      </c>
      <c r="F26" s="81" t="str">
        <f>IFERROR(INDEX('QS Takeoff'!$D$3:$D$194,MATCH(B26,'QS Takeoff'!$B$3:$B$194,0)),"")</f>
        <v/>
      </c>
      <c r="G26" s="81" t="str">
        <f>IFERROR(INDEX('QS Takeoff'!$J$3:$J$194,MATCH(B26,'QS Takeoff'!$B$3:$B$194,0)),"")</f>
        <v/>
      </c>
      <c r="H26" s="53"/>
      <c r="I26" s="60"/>
      <c r="J26" s="60"/>
      <c r="K26" s="82" t="str">
        <f t="shared" si="0"/>
        <v/>
      </c>
      <c r="L26" s="60"/>
      <c r="M26" s="82" t="str">
        <f t="shared" si="1"/>
        <v/>
      </c>
      <c r="N26" s="53"/>
      <c r="O26" s="53"/>
      <c r="P26" s="53"/>
      <c r="Q26" s="81" t="str">
        <f>IFERROR(INDEX('Resource Rate Library'!$C$5:$C$85,MATCH(P26,'Resource Rate Library'!$A$5:$A$85,0)),"")</f>
        <v/>
      </c>
      <c r="R26" s="53"/>
      <c r="S26" s="53"/>
      <c r="T26" s="81" t="str">
        <f>IFERROR(INDEX('Resource Rate Library'!$E$5:$E$85,MATCH(P26,'Resource Rate Library'!$A$5:$A$85,0)),"")</f>
        <v/>
      </c>
      <c r="U26" s="62"/>
      <c r="V26" s="62"/>
      <c r="W26" s="83">
        <f>IFERROR(INDEX('Resource Rate Library'!$I$5:$I$85,MATCH(P26,'Resource Rate Library'!$A$5:$A$85,0)),0)</f>
        <v>0</v>
      </c>
      <c r="X26" s="52"/>
      <c r="Y26" s="83">
        <f t="shared" si="2"/>
        <v>0</v>
      </c>
      <c r="Z26" s="83" t="str">
        <f t="shared" si="3"/>
        <v/>
      </c>
      <c r="AA26" s="81" t="str">
        <f>IFERROR(INDEX('Resource Rate Library'!$N$5:$N$85,MATCH(P26,'Resource Rate Library'!$A$5:$A$85,0)),"")</f>
        <v/>
      </c>
      <c r="AB26" s="53"/>
      <c r="AC26" s="59"/>
      <c r="AD26" s="81" t="str">
        <f>IFERROR(INDEX('Resource Rate Library'!$G$5:$G$85,MATCH(P26,'Resource Rate Library'!$A$5:$A$85,0)),"")</f>
        <v/>
      </c>
      <c r="AE26" s="81" t="str">
        <f>IFERROR(INDEX('Resource Rate Library'!$H$5:$H$85,MATCH(P26,'Resource Rate Library'!$A$5:$A$85,0)),"")</f>
        <v/>
      </c>
      <c r="AF26" s="53"/>
      <c r="AG26" s="53"/>
      <c r="AH26" s="53"/>
      <c r="AI26" s="81" t="str">
        <f t="shared" si="4"/>
        <v/>
      </c>
      <c r="AJ26" s="54"/>
      <c r="AK26" s="197"/>
      <c r="AL26" s="197"/>
      <c r="AM26" s="197"/>
      <c r="AN26" s="199">
        <f>IF(AND(AK26="Yes",OR(O26="Labour",O26="Plant")),Z26,0)</f>
        <v>0</v>
      </c>
    </row>
    <row r="27" spans="1:40" ht="21.95" customHeight="1" x14ac:dyDescent="0.2">
      <c r="A27" s="80" t="str">
        <f>IF(B27="","",B27&amp;"-"&amp;TEXT(COUNTIF($B$7:B27,B27),"000"))</f>
        <v/>
      </c>
      <c r="B27" s="53"/>
      <c r="C27" s="81" t="str">
        <f>IFERROR(INDEX('QS Takeoff'!$A$3:$A$194,MATCH(B27,'QS Takeoff'!$B$3:$B$194,0)),"")</f>
        <v/>
      </c>
      <c r="D27" s="81" t="str">
        <f>IFERROR(INDEX('QS Takeoff'!$C$3:$C$194,MATCH(B27,'QS Takeoff'!$B$3:$B$194,0)),"")</f>
        <v/>
      </c>
      <c r="E27" s="81" t="str">
        <f>IFERROR(INDEX('QS Takeoff'!$E$3:$E$194,MATCH(B27,'QS Takeoff'!$B$3:$B$194,0)),"")</f>
        <v/>
      </c>
      <c r="F27" s="81" t="str">
        <f>IFERROR(INDEX('QS Takeoff'!$D$3:$D$194,MATCH(B27,'QS Takeoff'!$B$3:$B$194,0)),"")</f>
        <v/>
      </c>
      <c r="G27" s="81" t="str">
        <f>IFERROR(INDEX('QS Takeoff'!$J$3:$J$194,MATCH(B27,'QS Takeoff'!$B$3:$B$194,0)),"")</f>
        <v/>
      </c>
      <c r="H27" s="53"/>
      <c r="I27" s="60"/>
      <c r="J27" s="60"/>
      <c r="K27" s="82" t="str">
        <f t="shared" si="0"/>
        <v/>
      </c>
      <c r="L27" s="60"/>
      <c r="M27" s="82" t="str">
        <f t="shared" si="1"/>
        <v/>
      </c>
      <c r="N27" s="53"/>
      <c r="O27" s="53"/>
      <c r="P27" s="53"/>
      <c r="Q27" s="81" t="str">
        <f>IFERROR(INDEX('Resource Rate Library'!$C$5:$C$85,MATCH(P27,'Resource Rate Library'!$A$5:$A$85,0)),"")</f>
        <v/>
      </c>
      <c r="R27" s="53"/>
      <c r="S27" s="53"/>
      <c r="T27" s="81" t="str">
        <f>IFERROR(INDEX('Resource Rate Library'!$E$5:$E$85,MATCH(P27,'Resource Rate Library'!$A$5:$A$85,0)),"")</f>
        <v/>
      </c>
      <c r="U27" s="62"/>
      <c r="V27" s="62"/>
      <c r="W27" s="83">
        <f>IFERROR(INDEX('Resource Rate Library'!$I$5:$I$85,MATCH(P27,'Resource Rate Library'!$A$5:$A$85,0)),0)</f>
        <v>0</v>
      </c>
      <c r="X27" s="52"/>
      <c r="Y27" s="83">
        <f t="shared" si="2"/>
        <v>0</v>
      </c>
      <c r="Z27" s="83" t="str">
        <f t="shared" si="3"/>
        <v/>
      </c>
      <c r="AA27" s="81" t="str">
        <f>IFERROR(INDEX('Resource Rate Library'!$N$5:$N$85,MATCH(P27,'Resource Rate Library'!$A$5:$A$85,0)),"")</f>
        <v/>
      </c>
      <c r="AB27" s="53"/>
      <c r="AC27" s="59"/>
      <c r="AD27" s="81" t="str">
        <f>IFERROR(INDEX('Resource Rate Library'!$G$5:$G$85,MATCH(P27,'Resource Rate Library'!$A$5:$A$85,0)),"")</f>
        <v/>
      </c>
      <c r="AE27" s="81" t="str">
        <f>IFERROR(INDEX('Resource Rate Library'!$H$5:$H$85,MATCH(P27,'Resource Rate Library'!$A$5:$A$85,0)),"")</f>
        <v/>
      </c>
      <c r="AF27" s="53"/>
      <c r="AG27" s="53"/>
      <c r="AH27" s="53"/>
      <c r="AI27" s="81" t="str">
        <f t="shared" si="4"/>
        <v/>
      </c>
      <c r="AJ27" s="54"/>
      <c r="AK27" s="197"/>
      <c r="AL27" s="197"/>
      <c r="AM27" s="197"/>
      <c r="AN27" s="199">
        <f>IF(AND(AK27="Yes",OR(O27="Labour",O27="Plant")),Z27,0)</f>
        <v>0</v>
      </c>
    </row>
    <row r="28" spans="1:40" ht="21.95" customHeight="1" x14ac:dyDescent="0.2">
      <c r="A28" s="80" t="str">
        <f>IF(B28="","",B28&amp;"-"&amp;TEXT(COUNTIF($B$7:B28,B28),"000"))</f>
        <v/>
      </c>
      <c r="B28" s="53"/>
      <c r="C28" s="81" t="str">
        <f>IFERROR(INDEX('QS Takeoff'!$A$3:$A$194,MATCH(B28,'QS Takeoff'!$B$3:$B$194,0)),"")</f>
        <v/>
      </c>
      <c r="D28" s="81" t="str">
        <f>IFERROR(INDEX('QS Takeoff'!$C$3:$C$194,MATCH(B28,'QS Takeoff'!$B$3:$B$194,0)),"")</f>
        <v/>
      </c>
      <c r="E28" s="81" t="str">
        <f>IFERROR(INDEX('QS Takeoff'!$E$3:$E$194,MATCH(B28,'QS Takeoff'!$B$3:$B$194,0)),"")</f>
        <v/>
      </c>
      <c r="F28" s="81" t="str">
        <f>IFERROR(INDEX('QS Takeoff'!$D$3:$D$194,MATCH(B28,'QS Takeoff'!$B$3:$B$194,0)),"")</f>
        <v/>
      </c>
      <c r="G28" s="81" t="str">
        <f>IFERROR(INDEX('QS Takeoff'!$J$3:$J$194,MATCH(B28,'QS Takeoff'!$B$3:$B$194,0)),"")</f>
        <v/>
      </c>
      <c r="H28" s="53"/>
      <c r="I28" s="60"/>
      <c r="J28" s="60"/>
      <c r="K28" s="82" t="str">
        <f t="shared" si="0"/>
        <v/>
      </c>
      <c r="L28" s="60"/>
      <c r="M28" s="82" t="str">
        <f t="shared" si="1"/>
        <v/>
      </c>
      <c r="N28" s="53"/>
      <c r="O28" s="53"/>
      <c r="P28" s="53"/>
      <c r="Q28" s="81" t="str">
        <f>IFERROR(INDEX('Resource Rate Library'!$C$5:$C$85,MATCH(P28,'Resource Rate Library'!$A$5:$A$85,0)),"")</f>
        <v/>
      </c>
      <c r="R28" s="53"/>
      <c r="S28" s="53"/>
      <c r="T28" s="81" t="str">
        <f>IFERROR(INDEX('Resource Rate Library'!$E$5:$E$85,MATCH(P28,'Resource Rate Library'!$A$5:$A$85,0)),"")</f>
        <v/>
      </c>
      <c r="U28" s="62"/>
      <c r="V28" s="62"/>
      <c r="W28" s="83">
        <f>IFERROR(INDEX('Resource Rate Library'!$I$5:$I$85,MATCH(P28,'Resource Rate Library'!$A$5:$A$85,0)),0)</f>
        <v>0</v>
      </c>
      <c r="X28" s="52"/>
      <c r="Y28" s="83">
        <f t="shared" si="2"/>
        <v>0</v>
      </c>
      <c r="Z28" s="83" t="str">
        <f t="shared" si="3"/>
        <v/>
      </c>
      <c r="AA28" s="81" t="str">
        <f>IFERROR(INDEX('Resource Rate Library'!$N$5:$N$85,MATCH(P28,'Resource Rate Library'!$A$5:$A$85,0)),"")</f>
        <v/>
      </c>
      <c r="AB28" s="53"/>
      <c r="AC28" s="59"/>
      <c r="AD28" s="81" t="str">
        <f>IFERROR(INDEX('Resource Rate Library'!$G$5:$G$85,MATCH(P28,'Resource Rate Library'!$A$5:$A$85,0)),"")</f>
        <v/>
      </c>
      <c r="AE28" s="81" t="str">
        <f>IFERROR(INDEX('Resource Rate Library'!$H$5:$H$85,MATCH(P28,'Resource Rate Library'!$A$5:$A$85,0)),"")</f>
        <v/>
      </c>
      <c r="AF28" s="53"/>
      <c r="AG28" s="53"/>
      <c r="AH28" s="53"/>
      <c r="AI28" s="81" t="str">
        <f>IF(B28="","",IF(AND(P28="",N28&lt;&gt;"Lump Sum / Quote"),"RESOURCE CODE",IF(Y28=0,"RATE MISSING",IF(AND(O28="Plant",AD28="Yes",COUNTIFS($B$7:$B$306,B28,$O$7:$O$306,"Labour",$Q$7:$Q$306,"*Operator*")&gt;0),"OPERATOR DOUBLE-COUNT",IF(AND(O28="Plant",AE28="Yes",COUNTIFS($B$7:$B$306,B28,$Q$7:$Q$306,"*Fuel*")&gt;0),"FUEL DOUBLE-COUNT",IF(AH28&lt;&gt;"Yes","VERIFY","OK"))))))</f>
        <v/>
      </c>
      <c r="AJ28" s="54"/>
      <c r="AK28" s="197"/>
      <c r="AL28" s="197"/>
      <c r="AM28" s="197"/>
      <c r="AN28" s="199">
        <f>IF(AND(AK28="Yes",OR(O28="Labour",O28="Plant")),Z28,0)</f>
        <v>0</v>
      </c>
    </row>
    <row r="29" spans="1:40" ht="21.95" customHeight="1" x14ac:dyDescent="0.2">
      <c r="A29" s="80" t="str">
        <f>IF(B29="","",B29&amp;"-"&amp;TEXT(COUNTIF($B$7:B29,B29),"000"))</f>
        <v/>
      </c>
      <c r="B29" s="53"/>
      <c r="C29" s="81" t="str">
        <f>IFERROR(INDEX('QS Takeoff'!$A$3:$A$194,MATCH(B29,'QS Takeoff'!$B$3:$B$194,0)),"")</f>
        <v/>
      </c>
      <c r="D29" s="81" t="str">
        <f>IFERROR(INDEX('QS Takeoff'!$C$3:$C$194,MATCH(B29,'QS Takeoff'!$B$3:$B$194,0)),"")</f>
        <v/>
      </c>
      <c r="E29" s="81" t="str">
        <f>IFERROR(INDEX('QS Takeoff'!$E$3:$E$194,MATCH(B29,'QS Takeoff'!$B$3:$B$194,0)),"")</f>
        <v/>
      </c>
      <c r="F29" s="81" t="str">
        <f>IFERROR(INDEX('QS Takeoff'!$D$3:$D$194,MATCH(B29,'QS Takeoff'!$B$3:$B$194,0)),"")</f>
        <v/>
      </c>
      <c r="G29" s="81" t="str">
        <f>IFERROR(INDEX('QS Takeoff'!$J$3:$J$194,MATCH(B29,'QS Takeoff'!$B$3:$B$194,0)),"")</f>
        <v/>
      </c>
      <c r="H29" s="53"/>
      <c r="I29" s="60"/>
      <c r="J29" s="60"/>
      <c r="K29" s="82" t="str">
        <f t="shared" si="0"/>
        <v/>
      </c>
      <c r="L29" s="60"/>
      <c r="M29" s="82" t="str">
        <f t="shared" si="1"/>
        <v/>
      </c>
      <c r="N29" s="53"/>
      <c r="O29" s="53"/>
      <c r="P29" s="53"/>
      <c r="Q29" s="81" t="str">
        <f>IFERROR(INDEX('Resource Rate Library'!$C$5:$C$85,MATCH(P29,'Resource Rate Library'!$A$5:$A$85,0)),"")</f>
        <v/>
      </c>
      <c r="R29" s="53"/>
      <c r="S29" s="53"/>
      <c r="T29" s="81" t="str">
        <f>IFERROR(INDEX('Resource Rate Library'!$E$5:$E$85,MATCH(P29,'Resource Rate Library'!$A$5:$A$85,0)),"")</f>
        <v/>
      </c>
      <c r="U29" s="62"/>
      <c r="V29" s="62"/>
      <c r="W29" s="83">
        <f>IFERROR(INDEX('Resource Rate Library'!$I$5:$I$85,MATCH(P29,'Resource Rate Library'!$A$5:$A$85,0)),0)</f>
        <v>0</v>
      </c>
      <c r="X29" s="52"/>
      <c r="Y29" s="83">
        <f t="shared" si="2"/>
        <v>0</v>
      </c>
      <c r="Z29" s="83" t="str">
        <f t="shared" si="3"/>
        <v/>
      </c>
      <c r="AA29" s="81" t="str">
        <f>IFERROR(INDEX('Resource Rate Library'!$N$5:$N$85,MATCH(P29,'Resource Rate Library'!$A$5:$A$85,0)),"")</f>
        <v/>
      </c>
      <c r="AB29" s="53"/>
      <c r="AC29" s="59"/>
      <c r="AD29" s="81" t="str">
        <f>IFERROR(INDEX('Resource Rate Library'!$G$5:$G$85,MATCH(P29,'Resource Rate Library'!$A$5:$A$85,0)),"")</f>
        <v/>
      </c>
      <c r="AE29" s="81" t="str">
        <f>IFERROR(INDEX('Resource Rate Library'!$H$5:$H$85,MATCH(P29,'Resource Rate Library'!$A$5:$A$85,0)),"")</f>
        <v/>
      </c>
      <c r="AF29" s="53"/>
      <c r="AG29" s="53"/>
      <c r="AH29" s="53"/>
      <c r="AI29" s="81" t="str">
        <f>IF(B29="","",IF(AND(P29="",N29&lt;&gt;"Lump Sum / Quote"),"RESOURCE CODE",IF(Y29=0,"RATE MISSING",IF(AND(O29="Plant",AD29="Yes",COUNTIFS($B$7:$B$306,B29,$O$7:$O$306,"Labour",$Q$7:$Q$306,"*Operator*")&gt;0),"OPERATOR DOUBLE-COUNT",IF(AND(O29="Plant",AE29="Yes",COUNTIFS($B$7:$B$306,B29,$Q$7:$Q$306,"*Fuel*")&gt;0),"FUEL DOUBLE-COUNT",IF(AH29&lt;&gt;"Yes","VERIFY","OK"))))))</f>
        <v/>
      </c>
      <c r="AJ29" s="54"/>
      <c r="AK29" s="197"/>
      <c r="AL29" s="197"/>
      <c r="AM29" s="197"/>
      <c r="AN29" s="199">
        <f>IF(AND(AK29="Yes",OR(O29="Labour",O29="Plant")),Z29,0)</f>
        <v>0</v>
      </c>
    </row>
    <row r="30" spans="1:40" ht="21.95" customHeight="1" x14ac:dyDescent="0.2">
      <c r="A30" s="80" t="str">
        <f>IF(B30="","",B30&amp;"-"&amp;TEXT(COUNTIF($B$7:B30,B30),"000"))</f>
        <v/>
      </c>
      <c r="B30" s="53"/>
      <c r="C30" s="81" t="str">
        <f>IFERROR(INDEX('QS Takeoff'!$A$3:$A$194,MATCH(B30,'QS Takeoff'!$B$3:$B$194,0)),"")</f>
        <v/>
      </c>
      <c r="D30" s="81" t="str">
        <f>IFERROR(INDEX('QS Takeoff'!$C$3:$C$194,MATCH(B30,'QS Takeoff'!$B$3:$B$194,0)),"")</f>
        <v/>
      </c>
      <c r="E30" s="81" t="str">
        <f>IFERROR(INDEX('QS Takeoff'!$E$3:$E$194,MATCH(B30,'QS Takeoff'!$B$3:$B$194,0)),"")</f>
        <v/>
      </c>
      <c r="F30" s="81" t="str">
        <f>IFERROR(INDEX('QS Takeoff'!$D$3:$D$194,MATCH(B30,'QS Takeoff'!$B$3:$B$194,0)),"")</f>
        <v/>
      </c>
      <c r="G30" s="81" t="str">
        <f>IFERROR(INDEX('QS Takeoff'!$J$3:$J$194,MATCH(B30,'QS Takeoff'!$B$3:$B$194,0)),"")</f>
        <v/>
      </c>
      <c r="H30" s="53"/>
      <c r="I30" s="60"/>
      <c r="J30" s="60"/>
      <c r="K30" s="82" t="str">
        <f t="shared" si="0"/>
        <v/>
      </c>
      <c r="L30" s="60"/>
      <c r="M30" s="82" t="str">
        <f t="shared" si="1"/>
        <v/>
      </c>
      <c r="N30" s="53"/>
      <c r="O30" s="53"/>
      <c r="P30" s="53"/>
      <c r="Q30" s="81" t="str">
        <f>IFERROR(INDEX('Resource Rate Library'!$C$5:$C$85,MATCH(P30,'Resource Rate Library'!$A$5:$A$85,0)),"")</f>
        <v/>
      </c>
      <c r="R30" s="53"/>
      <c r="S30" s="53"/>
      <c r="T30" s="81" t="str">
        <f>IFERROR(INDEX('Resource Rate Library'!$E$5:$E$85,MATCH(P30,'Resource Rate Library'!$A$5:$A$85,0)),"")</f>
        <v/>
      </c>
      <c r="U30" s="62"/>
      <c r="V30" s="62"/>
      <c r="W30" s="83">
        <f>IFERROR(INDEX('Resource Rate Library'!$I$5:$I$85,MATCH(P30,'Resource Rate Library'!$A$5:$A$85,0)),0)</f>
        <v>0</v>
      </c>
      <c r="X30" s="52"/>
      <c r="Y30" s="83">
        <f t="shared" si="2"/>
        <v>0</v>
      </c>
      <c r="Z30" s="83" t="str">
        <f t="shared" si="3"/>
        <v/>
      </c>
      <c r="AA30" s="81" t="str">
        <f>IFERROR(INDEX('Resource Rate Library'!$N$5:$N$85,MATCH(P30,'Resource Rate Library'!$A$5:$A$85,0)),"")</f>
        <v/>
      </c>
      <c r="AB30" s="53"/>
      <c r="AC30" s="59"/>
      <c r="AD30" s="81" t="str">
        <f>IFERROR(INDEX('Resource Rate Library'!$G$5:$G$85,MATCH(P30,'Resource Rate Library'!$A$5:$A$85,0)),"")</f>
        <v/>
      </c>
      <c r="AE30" s="81" t="str">
        <f>IFERROR(INDEX('Resource Rate Library'!$H$5:$H$85,MATCH(P30,'Resource Rate Library'!$A$5:$A$85,0)),"")</f>
        <v/>
      </c>
      <c r="AF30" s="53"/>
      <c r="AG30" s="53"/>
      <c r="AH30" s="53"/>
      <c r="AI30" s="81" t="str">
        <f>IF(B30="","",IF(AND(P30="",N30&lt;&gt;"Lump Sum / Quote"),"RESOURCE CODE",IF(Y30=0,"RATE MISSING",IF(AND(O30="Plant",AD30="Yes",COUNTIFS($B$7:$B$306,B30,$O$7:$O$306,"Labour",$Q$7:$Q$306,"*Operator*")&gt;0),"OPERATOR DOUBLE-COUNT",IF(AND(O30="Plant",AE30="Yes",COUNTIFS($B$7:$B$306,B30,$Q$7:$Q$306,"*Fuel*")&gt;0),"FUEL DOUBLE-COUNT",IF(AH30&lt;&gt;"Yes","VERIFY","OK"))))))</f>
        <v/>
      </c>
      <c r="AJ30" s="54"/>
      <c r="AK30" s="197"/>
      <c r="AL30" s="197"/>
      <c r="AM30" s="197"/>
      <c r="AN30" s="199">
        <f>IF(AND(AK30="Yes",OR(O30="Labour",O30="Plant")),Z30,0)</f>
        <v>0</v>
      </c>
    </row>
    <row r="31" spans="1:40" ht="21.95" customHeight="1" x14ac:dyDescent="0.2">
      <c r="A31" s="80" t="str">
        <f>IF(B31="","",B31&amp;"-"&amp;TEXT(COUNTIF($B$7:B31,B31),"000"))</f>
        <v/>
      </c>
      <c r="B31" s="53"/>
      <c r="C31" s="81" t="str">
        <f>IFERROR(INDEX('QS Takeoff'!$A$3:$A$194,MATCH(B31,'QS Takeoff'!$B$3:$B$194,0)),"")</f>
        <v/>
      </c>
      <c r="D31" s="81" t="str">
        <f>IFERROR(INDEX('QS Takeoff'!$C$3:$C$194,MATCH(B31,'QS Takeoff'!$B$3:$B$194,0)),"")</f>
        <v/>
      </c>
      <c r="E31" s="81" t="str">
        <f>IFERROR(INDEX('QS Takeoff'!$E$3:$E$194,MATCH(B31,'QS Takeoff'!$B$3:$B$194,0)),"")</f>
        <v/>
      </c>
      <c r="F31" s="81" t="str">
        <f>IFERROR(INDEX('QS Takeoff'!$D$3:$D$194,MATCH(B31,'QS Takeoff'!$B$3:$B$194,0)),"")</f>
        <v/>
      </c>
      <c r="G31" s="81" t="str">
        <f>IFERROR(INDEX('QS Takeoff'!$J$3:$J$194,MATCH(B31,'QS Takeoff'!$B$3:$B$194,0)),"")</f>
        <v/>
      </c>
      <c r="H31" s="53"/>
      <c r="I31" s="60"/>
      <c r="J31" s="60"/>
      <c r="K31" s="82" t="str">
        <f t="shared" si="0"/>
        <v/>
      </c>
      <c r="L31" s="60"/>
      <c r="M31" s="82" t="str">
        <f t="shared" si="1"/>
        <v/>
      </c>
      <c r="N31" s="53"/>
      <c r="O31" s="53"/>
      <c r="P31" s="53"/>
      <c r="Q31" s="81" t="str">
        <f>IFERROR(INDEX('Resource Rate Library'!$C$5:$C$85,MATCH(P31,'Resource Rate Library'!$A$5:$A$85,0)),"")</f>
        <v/>
      </c>
      <c r="R31" s="53"/>
      <c r="S31" s="53"/>
      <c r="T31" s="81" t="str">
        <f>IFERROR(INDEX('Resource Rate Library'!$E$5:$E$85,MATCH(P31,'Resource Rate Library'!$A$5:$A$85,0)),"")</f>
        <v/>
      </c>
      <c r="U31" s="62"/>
      <c r="V31" s="62"/>
      <c r="W31" s="83">
        <f>IFERROR(INDEX('Resource Rate Library'!$I$5:$I$85,MATCH(P31,'Resource Rate Library'!$A$5:$A$85,0)),0)</f>
        <v>0</v>
      </c>
      <c r="X31" s="52"/>
      <c r="Y31" s="83">
        <f t="shared" si="2"/>
        <v>0</v>
      </c>
      <c r="Z31" s="83" t="str">
        <f t="shared" si="3"/>
        <v/>
      </c>
      <c r="AA31" s="81" t="str">
        <f>IFERROR(INDEX('Resource Rate Library'!$N$5:$N$85,MATCH(P31,'Resource Rate Library'!$A$5:$A$85,0)),"")</f>
        <v/>
      </c>
      <c r="AB31" s="53"/>
      <c r="AC31" s="59"/>
      <c r="AD31" s="81" t="str">
        <f>IFERROR(INDEX('Resource Rate Library'!$G$5:$G$85,MATCH(P31,'Resource Rate Library'!$A$5:$A$85,0)),"")</f>
        <v/>
      </c>
      <c r="AE31" s="81" t="str">
        <f>IFERROR(INDEX('Resource Rate Library'!$H$5:$H$85,MATCH(P31,'Resource Rate Library'!$A$5:$A$85,0)),"")</f>
        <v/>
      </c>
      <c r="AF31" s="53"/>
      <c r="AG31" s="53"/>
      <c r="AH31" s="53"/>
      <c r="AI31" s="81" t="str">
        <f>IF(B31="","",IF(AND(P31="",N31&lt;&gt;"Lump Sum / Quote"),"RESOURCE CODE",IF(Y31=0,"RATE MISSING",IF(AND(O31="Plant",AD31="Yes",COUNTIFS($B$7:$B$306,B31,$O$7:$O$306,"Labour",$Q$7:$Q$306,"*Operator*")&gt;0),"OPERATOR DOUBLE-COUNT",IF(AND(O31="Plant",AE31="Yes",COUNTIFS($B$7:$B$306,B31,$Q$7:$Q$306,"*Fuel*")&gt;0),"FUEL DOUBLE-COUNT",IF(AH31&lt;&gt;"Yes","VERIFY","OK"))))))</f>
        <v/>
      </c>
      <c r="AJ31" s="54"/>
      <c r="AK31" s="197"/>
      <c r="AL31" s="197"/>
      <c r="AM31" s="197"/>
      <c r="AN31" s="199">
        <f>IF(AND(AK31="Yes",OR(O31="Labour",O31="Plant")),Z31,0)</f>
        <v>0</v>
      </c>
    </row>
    <row r="32" spans="1:40" ht="21.95" customHeight="1" x14ac:dyDescent="0.2">
      <c r="A32" s="80" t="str">
        <f>IF(B32="","",B32&amp;"-"&amp;TEXT(COUNTIF($B$7:B32,B32),"000"))</f>
        <v/>
      </c>
      <c r="B32" s="53"/>
      <c r="C32" s="81" t="str">
        <f>IFERROR(INDEX('QS Takeoff'!$A$3:$A$194,MATCH(B32,'QS Takeoff'!$B$3:$B$194,0)),"")</f>
        <v/>
      </c>
      <c r="D32" s="81" t="str">
        <f>IFERROR(INDEX('QS Takeoff'!$C$3:$C$194,MATCH(B32,'QS Takeoff'!$B$3:$B$194,0)),"")</f>
        <v/>
      </c>
      <c r="E32" s="81" t="str">
        <f>IFERROR(INDEX('QS Takeoff'!$E$3:$E$194,MATCH(B32,'QS Takeoff'!$B$3:$B$194,0)),"")</f>
        <v/>
      </c>
      <c r="F32" s="81" t="str">
        <f>IFERROR(INDEX('QS Takeoff'!$D$3:$D$194,MATCH(B32,'QS Takeoff'!$B$3:$B$194,0)),"")</f>
        <v/>
      </c>
      <c r="G32" s="81" t="str">
        <f>IFERROR(INDEX('QS Takeoff'!$J$3:$J$194,MATCH(B32,'QS Takeoff'!$B$3:$B$194,0)),"")</f>
        <v/>
      </c>
      <c r="H32" s="53"/>
      <c r="I32" s="60"/>
      <c r="J32" s="60"/>
      <c r="K32" s="82" t="str">
        <f t="shared" si="0"/>
        <v/>
      </c>
      <c r="L32" s="60"/>
      <c r="M32" s="82" t="str">
        <f t="shared" si="1"/>
        <v/>
      </c>
      <c r="N32" s="53"/>
      <c r="O32" s="53"/>
      <c r="P32" s="53"/>
      <c r="Q32" s="81" t="str">
        <f>IFERROR(INDEX('Resource Rate Library'!$C$5:$C$85,MATCH(P32,'Resource Rate Library'!$A$5:$A$85,0)),"")</f>
        <v/>
      </c>
      <c r="R32" s="53"/>
      <c r="S32" s="53"/>
      <c r="T32" s="81" t="str">
        <f>IFERROR(INDEX('Resource Rate Library'!$E$5:$E$85,MATCH(P32,'Resource Rate Library'!$A$5:$A$85,0)),"")</f>
        <v/>
      </c>
      <c r="U32" s="62"/>
      <c r="V32" s="62"/>
      <c r="W32" s="83">
        <f>IFERROR(INDEX('Resource Rate Library'!$I$5:$I$85,MATCH(P32,'Resource Rate Library'!$A$5:$A$85,0)),0)</f>
        <v>0</v>
      </c>
      <c r="X32" s="52"/>
      <c r="Y32" s="83">
        <f t="shared" si="2"/>
        <v>0</v>
      </c>
      <c r="Z32" s="83" t="str">
        <f t="shared" si="3"/>
        <v/>
      </c>
      <c r="AA32" s="81" t="str">
        <f>IFERROR(INDEX('Resource Rate Library'!$N$5:$N$85,MATCH(P32,'Resource Rate Library'!$A$5:$A$85,0)),"")</f>
        <v/>
      </c>
      <c r="AB32" s="53"/>
      <c r="AC32" s="59"/>
      <c r="AD32" s="81" t="str">
        <f>IFERROR(INDEX('Resource Rate Library'!$G$5:$G$85,MATCH(P32,'Resource Rate Library'!$A$5:$A$85,0)),"")</f>
        <v/>
      </c>
      <c r="AE32" s="81" t="str">
        <f>IFERROR(INDEX('Resource Rate Library'!$H$5:$H$85,MATCH(P32,'Resource Rate Library'!$A$5:$A$85,0)),"")</f>
        <v/>
      </c>
      <c r="AF32" s="53"/>
      <c r="AG32" s="53"/>
      <c r="AH32" s="53"/>
      <c r="AI32" s="81" t="str">
        <f>IF(B32="","",IF(AND(P32="",N32&lt;&gt;"Lump Sum / Quote"),"RESOURCE CODE",IF(Y32=0,"RATE MISSING",IF(AND(O32="Plant",AD32="Yes",COUNTIFS($B$7:$B$306,B32,$O$7:$O$306,"Labour",$Q$7:$Q$306,"*Operator*")&gt;0),"OPERATOR DOUBLE-COUNT",IF(AND(O32="Plant",AE32="Yes",COUNTIFS($B$7:$B$306,B32,$Q$7:$Q$306,"*Fuel*")&gt;0),"FUEL DOUBLE-COUNT",IF(AH32&lt;&gt;"Yes","VERIFY","OK"))))))</f>
        <v/>
      </c>
      <c r="AJ32" s="54"/>
      <c r="AK32" s="197"/>
      <c r="AL32" s="197"/>
      <c r="AM32" s="197"/>
      <c r="AN32" s="199">
        <f>IF(AND(AK32="Yes",OR(O32="Labour",O32="Plant")),Z32,0)</f>
        <v>0</v>
      </c>
    </row>
    <row r="33" spans="1:40" ht="21.95" customHeight="1" x14ac:dyDescent="0.2">
      <c r="A33" s="80" t="str">
        <f>IF(B33="","",B33&amp;"-"&amp;TEXT(COUNTIF($B$7:B33,B33),"000"))</f>
        <v/>
      </c>
      <c r="B33" s="53"/>
      <c r="C33" s="81" t="str">
        <f>IFERROR(INDEX('QS Takeoff'!$A$3:$A$194,MATCH(B33,'QS Takeoff'!$B$3:$B$194,0)),"")</f>
        <v/>
      </c>
      <c r="D33" s="81" t="str">
        <f>IFERROR(INDEX('QS Takeoff'!$C$3:$C$194,MATCH(B33,'QS Takeoff'!$B$3:$B$194,0)),"")</f>
        <v/>
      </c>
      <c r="E33" s="81" t="str">
        <f>IFERROR(INDEX('QS Takeoff'!$E$3:$E$194,MATCH(B33,'QS Takeoff'!$B$3:$B$194,0)),"")</f>
        <v/>
      </c>
      <c r="F33" s="81" t="str">
        <f>IFERROR(INDEX('QS Takeoff'!$D$3:$D$194,MATCH(B33,'QS Takeoff'!$B$3:$B$194,0)),"")</f>
        <v/>
      </c>
      <c r="G33" s="81" t="str">
        <f>IFERROR(INDEX('QS Takeoff'!$J$3:$J$194,MATCH(B33,'QS Takeoff'!$B$3:$B$194,0)),"")</f>
        <v/>
      </c>
      <c r="H33" s="53"/>
      <c r="I33" s="60"/>
      <c r="J33" s="60"/>
      <c r="K33" s="82" t="str">
        <f t="shared" si="0"/>
        <v/>
      </c>
      <c r="L33" s="60"/>
      <c r="M33" s="82" t="str">
        <f t="shared" si="1"/>
        <v/>
      </c>
      <c r="N33" s="53"/>
      <c r="O33" s="53"/>
      <c r="P33" s="53"/>
      <c r="Q33" s="81" t="str">
        <f>IFERROR(INDEX('Resource Rate Library'!$C$5:$C$85,MATCH(P33,'Resource Rate Library'!$A$5:$A$85,0)),"")</f>
        <v/>
      </c>
      <c r="R33" s="53"/>
      <c r="S33" s="53"/>
      <c r="T33" s="81" t="str">
        <f>IFERROR(INDEX('Resource Rate Library'!$E$5:$E$85,MATCH(P33,'Resource Rate Library'!$A$5:$A$85,0)),"")</f>
        <v/>
      </c>
      <c r="U33" s="62"/>
      <c r="V33" s="62"/>
      <c r="W33" s="83">
        <f>IFERROR(INDEX('Resource Rate Library'!$I$5:$I$85,MATCH(P33,'Resource Rate Library'!$A$5:$A$85,0)),0)</f>
        <v>0</v>
      </c>
      <c r="X33" s="52"/>
      <c r="Y33" s="83">
        <f t="shared" si="2"/>
        <v>0</v>
      </c>
      <c r="Z33" s="83" t="str">
        <f t="shared" si="3"/>
        <v/>
      </c>
      <c r="AA33" s="81" t="str">
        <f>IFERROR(INDEX('Resource Rate Library'!$N$5:$N$85,MATCH(P33,'Resource Rate Library'!$A$5:$A$85,0)),"")</f>
        <v/>
      </c>
      <c r="AB33" s="53"/>
      <c r="AC33" s="59"/>
      <c r="AD33" s="81" t="str">
        <f>IFERROR(INDEX('Resource Rate Library'!$G$5:$G$85,MATCH(P33,'Resource Rate Library'!$A$5:$A$85,0)),"")</f>
        <v/>
      </c>
      <c r="AE33" s="81" t="str">
        <f>IFERROR(INDEX('Resource Rate Library'!$H$5:$H$85,MATCH(P33,'Resource Rate Library'!$A$5:$A$85,0)),"")</f>
        <v/>
      </c>
      <c r="AF33" s="53"/>
      <c r="AG33" s="53"/>
      <c r="AH33" s="53"/>
      <c r="AI33" s="81" t="str">
        <f>IF(B33="","",IF(AND(P33="",N33&lt;&gt;"Lump Sum / Quote"),"RESOURCE CODE",IF(Y33=0,"RATE MISSING",IF(AND(O33="Plant",AD33="Yes",COUNTIFS($B$7:$B$306,B33,$O$7:$O$306,"Labour",$Q$7:$Q$306,"*Operator*")&gt;0),"OPERATOR DOUBLE-COUNT",IF(AND(O33="Plant",AE33="Yes",COUNTIFS($B$7:$B$306,B33,$Q$7:$Q$306,"*Fuel*")&gt;0),"FUEL DOUBLE-COUNT",IF(AH33&lt;&gt;"Yes","VERIFY","OK"))))))</f>
        <v/>
      </c>
      <c r="AJ33" s="54"/>
      <c r="AK33" s="197"/>
      <c r="AL33" s="197"/>
      <c r="AM33" s="197"/>
      <c r="AN33" s="199">
        <f>IF(AND(AK33="Yes",OR(O33="Labour",O33="Plant")),Z33,0)</f>
        <v>0</v>
      </c>
    </row>
    <row r="34" spans="1:40" ht="21.95" customHeight="1" x14ac:dyDescent="0.2">
      <c r="A34" s="80" t="str">
        <f>IF(B34="","",B34&amp;"-"&amp;TEXT(COUNTIF($B$7:B34,B34),"000"))</f>
        <v/>
      </c>
      <c r="B34" s="53"/>
      <c r="C34" s="81" t="str">
        <f>IFERROR(INDEX('QS Takeoff'!$A$3:$A$194,MATCH(B34,'QS Takeoff'!$B$3:$B$194,0)),"")</f>
        <v/>
      </c>
      <c r="D34" s="81" t="str">
        <f>IFERROR(INDEX('QS Takeoff'!$C$3:$C$194,MATCH(B34,'QS Takeoff'!$B$3:$B$194,0)),"")</f>
        <v/>
      </c>
      <c r="E34" s="81" t="str">
        <f>IFERROR(INDEX('QS Takeoff'!$E$3:$E$194,MATCH(B34,'QS Takeoff'!$B$3:$B$194,0)),"")</f>
        <v/>
      </c>
      <c r="F34" s="81" t="str">
        <f>IFERROR(INDEX('QS Takeoff'!$D$3:$D$194,MATCH(B34,'QS Takeoff'!$B$3:$B$194,0)),"")</f>
        <v/>
      </c>
      <c r="G34" s="81" t="str">
        <f>IFERROR(INDEX('QS Takeoff'!$J$3:$J$194,MATCH(B34,'QS Takeoff'!$B$3:$B$194,0)),"")</f>
        <v/>
      </c>
      <c r="H34" s="53"/>
      <c r="I34" s="60"/>
      <c r="J34" s="60"/>
      <c r="K34" s="82" t="str">
        <f t="shared" si="0"/>
        <v/>
      </c>
      <c r="L34" s="60"/>
      <c r="M34" s="82" t="str">
        <f t="shared" si="1"/>
        <v/>
      </c>
      <c r="N34" s="53"/>
      <c r="O34" s="53"/>
      <c r="P34" s="53"/>
      <c r="Q34" s="81" t="str">
        <f>IFERROR(INDEX('Resource Rate Library'!$C$5:$C$85,MATCH(P34,'Resource Rate Library'!$A$5:$A$85,0)),"")</f>
        <v/>
      </c>
      <c r="R34" s="53"/>
      <c r="S34" s="53"/>
      <c r="T34" s="81" t="str">
        <f>IFERROR(INDEX('Resource Rate Library'!$E$5:$E$85,MATCH(P34,'Resource Rate Library'!$A$5:$A$85,0)),"")</f>
        <v/>
      </c>
      <c r="U34" s="62"/>
      <c r="V34" s="62"/>
      <c r="W34" s="83">
        <f>IFERROR(INDEX('Resource Rate Library'!$I$5:$I$85,MATCH(P34,'Resource Rate Library'!$A$5:$A$85,0)),0)</f>
        <v>0</v>
      </c>
      <c r="X34" s="52"/>
      <c r="Y34" s="83">
        <f t="shared" si="2"/>
        <v>0</v>
      </c>
      <c r="Z34" s="83" t="str">
        <f t="shared" si="3"/>
        <v/>
      </c>
      <c r="AA34" s="81" t="str">
        <f>IFERROR(INDEX('Resource Rate Library'!$N$5:$N$85,MATCH(P34,'Resource Rate Library'!$A$5:$A$85,0)),"")</f>
        <v/>
      </c>
      <c r="AB34" s="53"/>
      <c r="AC34" s="59"/>
      <c r="AD34" s="81" t="str">
        <f>IFERROR(INDEX('Resource Rate Library'!$G$5:$G$85,MATCH(P34,'Resource Rate Library'!$A$5:$A$85,0)),"")</f>
        <v/>
      </c>
      <c r="AE34" s="81" t="str">
        <f>IFERROR(INDEX('Resource Rate Library'!$H$5:$H$85,MATCH(P34,'Resource Rate Library'!$A$5:$A$85,0)),"")</f>
        <v/>
      </c>
      <c r="AF34" s="53"/>
      <c r="AG34" s="53"/>
      <c r="AH34" s="53"/>
      <c r="AI34" s="81" t="str">
        <f>IF(B34="","",IF(AND(P34="",N34&lt;&gt;"Lump Sum / Quote"),"RESOURCE CODE",IF(Y34=0,"RATE MISSING",IF(AND(O34="Plant",AD34="Yes",COUNTIFS($B$7:$B$306,B34,$O$7:$O$306,"Labour",$Q$7:$Q$306,"*Operator*")&gt;0),"OPERATOR DOUBLE-COUNT",IF(AND(O34="Plant",AE34="Yes",COUNTIFS($B$7:$B$306,B34,$Q$7:$Q$306,"*Fuel*")&gt;0),"FUEL DOUBLE-COUNT",IF(AH34&lt;&gt;"Yes","VERIFY","OK"))))))</f>
        <v/>
      </c>
      <c r="AJ34" s="54"/>
      <c r="AK34" s="197"/>
      <c r="AL34" s="197"/>
      <c r="AM34" s="197"/>
      <c r="AN34" s="199">
        <f>IF(AND(AK34="Yes",OR(O34="Labour",O34="Plant")),Z34,0)</f>
        <v>0</v>
      </c>
    </row>
    <row r="35" spans="1:40" ht="21.95" customHeight="1" x14ac:dyDescent="0.2">
      <c r="A35" s="80" t="str">
        <f>IF(B35="","",B35&amp;"-"&amp;TEXT(COUNTIF($B$7:B35,B35),"000"))</f>
        <v/>
      </c>
      <c r="B35" s="53"/>
      <c r="C35" s="81" t="str">
        <f>IFERROR(INDEX('QS Takeoff'!$A$3:$A$194,MATCH(B35,'QS Takeoff'!$B$3:$B$194,0)),"")</f>
        <v/>
      </c>
      <c r="D35" s="81" t="str">
        <f>IFERROR(INDEX('QS Takeoff'!$C$3:$C$194,MATCH(B35,'QS Takeoff'!$B$3:$B$194,0)),"")</f>
        <v/>
      </c>
      <c r="E35" s="81" t="str">
        <f>IFERROR(INDEX('QS Takeoff'!$E$3:$E$194,MATCH(B35,'QS Takeoff'!$B$3:$B$194,0)),"")</f>
        <v/>
      </c>
      <c r="F35" s="81" t="str">
        <f>IFERROR(INDEX('QS Takeoff'!$D$3:$D$194,MATCH(B35,'QS Takeoff'!$B$3:$B$194,0)),"")</f>
        <v/>
      </c>
      <c r="G35" s="81" t="str">
        <f>IFERROR(INDEX('QS Takeoff'!$J$3:$J$194,MATCH(B35,'QS Takeoff'!$B$3:$B$194,0)),"")</f>
        <v/>
      </c>
      <c r="H35" s="53"/>
      <c r="I35" s="60"/>
      <c r="J35" s="60"/>
      <c r="K35" s="82" t="str">
        <f t="shared" si="0"/>
        <v/>
      </c>
      <c r="L35" s="60"/>
      <c r="M35" s="82" t="str">
        <f t="shared" si="1"/>
        <v/>
      </c>
      <c r="N35" s="53"/>
      <c r="O35" s="53"/>
      <c r="P35" s="53"/>
      <c r="Q35" s="81" t="str">
        <f>IFERROR(INDEX('Resource Rate Library'!$C$5:$C$85,MATCH(P35,'Resource Rate Library'!$A$5:$A$85,0)),"")</f>
        <v/>
      </c>
      <c r="R35" s="53"/>
      <c r="S35" s="53"/>
      <c r="T35" s="81" t="str">
        <f>IFERROR(INDEX('Resource Rate Library'!$E$5:$E$85,MATCH(P35,'Resource Rate Library'!$A$5:$A$85,0)),"")</f>
        <v/>
      </c>
      <c r="U35" s="62"/>
      <c r="V35" s="62"/>
      <c r="W35" s="83">
        <f>IFERROR(INDEX('Resource Rate Library'!$I$5:$I$85,MATCH(P35,'Resource Rate Library'!$A$5:$A$85,0)),0)</f>
        <v>0</v>
      </c>
      <c r="X35" s="52"/>
      <c r="Y35" s="83">
        <f t="shared" si="2"/>
        <v>0</v>
      </c>
      <c r="Z35" s="83" t="str">
        <f t="shared" si="3"/>
        <v/>
      </c>
      <c r="AA35" s="81" t="str">
        <f>IFERROR(INDEX('Resource Rate Library'!$N$5:$N$85,MATCH(P35,'Resource Rate Library'!$A$5:$A$85,0)),"")</f>
        <v/>
      </c>
      <c r="AB35" s="53"/>
      <c r="AC35" s="59"/>
      <c r="AD35" s="81" t="str">
        <f>IFERROR(INDEX('Resource Rate Library'!$G$5:$G$85,MATCH(P35,'Resource Rate Library'!$A$5:$A$85,0)),"")</f>
        <v/>
      </c>
      <c r="AE35" s="81" t="str">
        <f>IFERROR(INDEX('Resource Rate Library'!$H$5:$H$85,MATCH(P35,'Resource Rate Library'!$A$5:$A$85,0)),"")</f>
        <v/>
      </c>
      <c r="AF35" s="53"/>
      <c r="AG35" s="53"/>
      <c r="AH35" s="53"/>
      <c r="AI35" s="81" t="str">
        <f>IF(B35="","",IF(AND(P35="",N35&lt;&gt;"Lump Sum / Quote"),"RESOURCE CODE",IF(Y35=0,"RATE MISSING",IF(AND(O35="Plant",AD35="Yes",COUNTIFS($B$7:$B$306,B35,$O$7:$O$306,"Labour",$Q$7:$Q$306,"*Operator*")&gt;0),"OPERATOR DOUBLE-COUNT",IF(AND(O35="Plant",AE35="Yes",COUNTIFS($B$7:$B$306,B35,$Q$7:$Q$306,"*Fuel*")&gt;0),"FUEL DOUBLE-COUNT",IF(AH35&lt;&gt;"Yes","VERIFY","OK"))))))</f>
        <v/>
      </c>
      <c r="AJ35" s="54"/>
      <c r="AK35" s="197"/>
      <c r="AL35" s="197"/>
      <c r="AM35" s="197"/>
      <c r="AN35" s="199">
        <f>IF(AND(AK35="Yes",OR(O35="Labour",O35="Plant")),Z35,0)</f>
        <v>0</v>
      </c>
    </row>
    <row r="36" spans="1:40" ht="21.95" customHeight="1" x14ac:dyDescent="0.2">
      <c r="A36" s="80" t="str">
        <f>IF(B36="","",B36&amp;"-"&amp;TEXT(COUNTIF($B$7:B36,B36),"000"))</f>
        <v/>
      </c>
      <c r="B36" s="53"/>
      <c r="C36" s="81" t="str">
        <f>IFERROR(INDEX('QS Takeoff'!$A$3:$A$194,MATCH(B36,'QS Takeoff'!$B$3:$B$194,0)),"")</f>
        <v/>
      </c>
      <c r="D36" s="81" t="str">
        <f>IFERROR(INDEX('QS Takeoff'!$C$3:$C$194,MATCH(B36,'QS Takeoff'!$B$3:$B$194,0)),"")</f>
        <v/>
      </c>
      <c r="E36" s="81" t="str">
        <f>IFERROR(INDEX('QS Takeoff'!$E$3:$E$194,MATCH(B36,'QS Takeoff'!$B$3:$B$194,0)),"")</f>
        <v/>
      </c>
      <c r="F36" s="81" t="str">
        <f>IFERROR(INDEX('QS Takeoff'!$D$3:$D$194,MATCH(B36,'QS Takeoff'!$B$3:$B$194,0)),"")</f>
        <v/>
      </c>
      <c r="G36" s="81" t="str">
        <f>IFERROR(INDEX('QS Takeoff'!$J$3:$J$194,MATCH(B36,'QS Takeoff'!$B$3:$B$194,0)),"")</f>
        <v/>
      </c>
      <c r="H36" s="53"/>
      <c r="I36" s="60"/>
      <c r="J36" s="60"/>
      <c r="K36" s="82" t="str">
        <f t="shared" si="0"/>
        <v/>
      </c>
      <c r="L36" s="60"/>
      <c r="M36" s="82" t="str">
        <f t="shared" si="1"/>
        <v/>
      </c>
      <c r="N36" s="53"/>
      <c r="O36" s="53"/>
      <c r="P36" s="53"/>
      <c r="Q36" s="81" t="str">
        <f>IFERROR(INDEX('Resource Rate Library'!$C$5:$C$85,MATCH(P36,'Resource Rate Library'!$A$5:$A$85,0)),"")</f>
        <v/>
      </c>
      <c r="R36" s="53"/>
      <c r="S36" s="53"/>
      <c r="T36" s="81" t="str">
        <f>IFERROR(INDEX('Resource Rate Library'!$E$5:$E$85,MATCH(P36,'Resource Rate Library'!$A$5:$A$85,0)),"")</f>
        <v/>
      </c>
      <c r="U36" s="62"/>
      <c r="V36" s="62"/>
      <c r="W36" s="83">
        <f>IFERROR(INDEX('Resource Rate Library'!$I$5:$I$85,MATCH(P36,'Resource Rate Library'!$A$5:$A$85,0)),0)</f>
        <v>0</v>
      </c>
      <c r="X36" s="52"/>
      <c r="Y36" s="83">
        <f t="shared" si="2"/>
        <v>0</v>
      </c>
      <c r="Z36" s="83" t="str">
        <f t="shared" si="3"/>
        <v/>
      </c>
      <c r="AA36" s="81" t="str">
        <f>IFERROR(INDEX('Resource Rate Library'!$N$5:$N$85,MATCH(P36,'Resource Rate Library'!$A$5:$A$85,0)),"")</f>
        <v/>
      </c>
      <c r="AB36" s="53"/>
      <c r="AC36" s="59"/>
      <c r="AD36" s="81" t="str">
        <f>IFERROR(INDEX('Resource Rate Library'!$G$5:$G$85,MATCH(P36,'Resource Rate Library'!$A$5:$A$85,0)),"")</f>
        <v/>
      </c>
      <c r="AE36" s="81" t="str">
        <f>IFERROR(INDEX('Resource Rate Library'!$H$5:$H$85,MATCH(P36,'Resource Rate Library'!$A$5:$A$85,0)),"")</f>
        <v/>
      </c>
      <c r="AF36" s="53"/>
      <c r="AG36" s="53"/>
      <c r="AH36" s="53"/>
      <c r="AI36" s="81" t="str">
        <f>IF(B36="","",IF(AND(P36="",N36&lt;&gt;"Lump Sum / Quote"),"RESOURCE CODE",IF(Y36=0,"RATE MISSING",IF(AND(O36="Plant",AD36="Yes",COUNTIFS($B$7:$B$306,B36,$O$7:$O$306,"Labour",$Q$7:$Q$306,"*Operator*")&gt;0),"OPERATOR DOUBLE-COUNT",IF(AND(O36="Plant",AE36="Yes",COUNTIFS($B$7:$B$306,B36,$Q$7:$Q$306,"*Fuel*")&gt;0),"FUEL DOUBLE-COUNT",IF(AH36&lt;&gt;"Yes","VERIFY","OK"))))))</f>
        <v/>
      </c>
      <c r="AJ36" s="54"/>
      <c r="AK36" s="197"/>
      <c r="AL36" s="197"/>
      <c r="AM36" s="197"/>
      <c r="AN36" s="199">
        <f>IF(AND(AK36="Yes",OR(O36="Labour",O36="Plant")),Z36,0)</f>
        <v>0</v>
      </c>
    </row>
    <row r="37" spans="1:40" ht="21.95" customHeight="1" x14ac:dyDescent="0.2">
      <c r="A37" s="80" t="str">
        <f>IF(B37="","",B37&amp;"-"&amp;TEXT(COUNTIF($B$7:B37,B37),"000"))</f>
        <v/>
      </c>
      <c r="B37" s="53"/>
      <c r="C37" s="81" t="str">
        <f>IFERROR(INDEX('QS Takeoff'!$A$3:$A$194,MATCH(B37,'QS Takeoff'!$B$3:$B$194,0)),"")</f>
        <v/>
      </c>
      <c r="D37" s="81" t="str">
        <f>IFERROR(INDEX('QS Takeoff'!$C$3:$C$194,MATCH(B37,'QS Takeoff'!$B$3:$B$194,0)),"")</f>
        <v/>
      </c>
      <c r="E37" s="81" t="str">
        <f>IFERROR(INDEX('QS Takeoff'!$E$3:$E$194,MATCH(B37,'QS Takeoff'!$B$3:$B$194,0)),"")</f>
        <v/>
      </c>
      <c r="F37" s="81" t="str">
        <f>IFERROR(INDEX('QS Takeoff'!$D$3:$D$194,MATCH(B37,'QS Takeoff'!$B$3:$B$194,0)),"")</f>
        <v/>
      </c>
      <c r="G37" s="81" t="str">
        <f>IFERROR(INDEX('QS Takeoff'!$J$3:$J$194,MATCH(B37,'QS Takeoff'!$B$3:$B$194,0)),"")</f>
        <v/>
      </c>
      <c r="H37" s="53"/>
      <c r="I37" s="60"/>
      <c r="J37" s="60"/>
      <c r="K37" s="82" t="str">
        <f t="shared" si="0"/>
        <v/>
      </c>
      <c r="L37" s="60"/>
      <c r="M37" s="82" t="str">
        <f t="shared" si="1"/>
        <v/>
      </c>
      <c r="N37" s="53"/>
      <c r="O37" s="53"/>
      <c r="P37" s="53"/>
      <c r="Q37" s="81" t="str">
        <f>IFERROR(INDEX('Resource Rate Library'!$C$5:$C$85,MATCH(P37,'Resource Rate Library'!$A$5:$A$85,0)),"")</f>
        <v/>
      </c>
      <c r="R37" s="53"/>
      <c r="S37" s="53"/>
      <c r="T37" s="81" t="str">
        <f>IFERROR(INDEX('Resource Rate Library'!$E$5:$E$85,MATCH(P37,'Resource Rate Library'!$A$5:$A$85,0)),"")</f>
        <v/>
      </c>
      <c r="U37" s="62"/>
      <c r="V37" s="62"/>
      <c r="W37" s="83">
        <f>IFERROR(INDEX('Resource Rate Library'!$I$5:$I$85,MATCH(P37,'Resource Rate Library'!$A$5:$A$85,0)),0)</f>
        <v>0</v>
      </c>
      <c r="X37" s="52"/>
      <c r="Y37" s="83">
        <f t="shared" si="2"/>
        <v>0</v>
      </c>
      <c r="Z37" s="83" t="str">
        <f t="shared" si="3"/>
        <v/>
      </c>
      <c r="AA37" s="81" t="str">
        <f>IFERROR(INDEX('Resource Rate Library'!$N$5:$N$85,MATCH(P37,'Resource Rate Library'!$A$5:$A$85,0)),"")</f>
        <v/>
      </c>
      <c r="AB37" s="53"/>
      <c r="AC37" s="59"/>
      <c r="AD37" s="81" t="str">
        <f>IFERROR(INDEX('Resource Rate Library'!$G$5:$G$85,MATCH(P37,'Resource Rate Library'!$A$5:$A$85,0)),"")</f>
        <v/>
      </c>
      <c r="AE37" s="81" t="str">
        <f>IFERROR(INDEX('Resource Rate Library'!$H$5:$H$85,MATCH(P37,'Resource Rate Library'!$A$5:$A$85,0)),"")</f>
        <v/>
      </c>
      <c r="AF37" s="53"/>
      <c r="AG37" s="53"/>
      <c r="AH37" s="53"/>
      <c r="AI37" s="81" t="str">
        <f>IF(B37="","",IF(AND(P37="",N37&lt;&gt;"Lump Sum / Quote"),"RESOURCE CODE",IF(Y37=0,"RATE MISSING",IF(AND(O37="Plant",AD37="Yes",COUNTIFS($B$7:$B$306,B37,$O$7:$O$306,"Labour",$Q$7:$Q$306,"*Operator*")&gt;0),"OPERATOR DOUBLE-COUNT",IF(AND(O37="Plant",AE37="Yes",COUNTIFS($B$7:$B$306,B37,$Q$7:$Q$306,"*Fuel*")&gt;0),"FUEL DOUBLE-COUNT",IF(AH37&lt;&gt;"Yes","VERIFY","OK"))))))</f>
        <v/>
      </c>
      <c r="AJ37" s="54"/>
      <c r="AK37" s="197"/>
      <c r="AL37" s="197"/>
      <c r="AM37" s="197"/>
      <c r="AN37" s="199">
        <f>IF(AND(AK37="Yes",OR(O37="Labour",O37="Plant")),Z37,0)</f>
        <v>0</v>
      </c>
    </row>
    <row r="38" spans="1:40" ht="21.95" customHeight="1" x14ac:dyDescent="0.2">
      <c r="A38" s="80" t="str">
        <f>IF(B38="","",B38&amp;"-"&amp;TEXT(COUNTIF($B$7:B38,B38),"000"))</f>
        <v/>
      </c>
      <c r="B38" s="53"/>
      <c r="C38" s="81" t="str">
        <f>IFERROR(INDEX('QS Takeoff'!$A$3:$A$194,MATCH(B38,'QS Takeoff'!$B$3:$B$194,0)),"")</f>
        <v/>
      </c>
      <c r="D38" s="81" t="str">
        <f>IFERROR(INDEX('QS Takeoff'!$C$3:$C$194,MATCH(B38,'QS Takeoff'!$B$3:$B$194,0)),"")</f>
        <v/>
      </c>
      <c r="E38" s="81" t="str">
        <f>IFERROR(INDEX('QS Takeoff'!$E$3:$E$194,MATCH(B38,'QS Takeoff'!$B$3:$B$194,0)),"")</f>
        <v/>
      </c>
      <c r="F38" s="81" t="str">
        <f>IFERROR(INDEX('QS Takeoff'!$D$3:$D$194,MATCH(B38,'QS Takeoff'!$B$3:$B$194,0)),"")</f>
        <v/>
      </c>
      <c r="G38" s="81" t="str">
        <f>IFERROR(INDEX('QS Takeoff'!$J$3:$J$194,MATCH(B38,'QS Takeoff'!$B$3:$B$194,0)),"")</f>
        <v/>
      </c>
      <c r="H38" s="53"/>
      <c r="I38" s="60"/>
      <c r="J38" s="60"/>
      <c r="K38" s="82" t="str">
        <f t="shared" si="0"/>
        <v/>
      </c>
      <c r="L38" s="60"/>
      <c r="M38" s="82" t="str">
        <f t="shared" si="1"/>
        <v/>
      </c>
      <c r="N38" s="53"/>
      <c r="O38" s="53"/>
      <c r="P38" s="53"/>
      <c r="Q38" s="81" t="str">
        <f>IFERROR(INDEX('Resource Rate Library'!$C$5:$C$85,MATCH(P38,'Resource Rate Library'!$A$5:$A$85,0)),"")</f>
        <v/>
      </c>
      <c r="R38" s="53"/>
      <c r="S38" s="53"/>
      <c r="T38" s="81" t="str">
        <f>IFERROR(INDEX('Resource Rate Library'!$E$5:$E$85,MATCH(P38,'Resource Rate Library'!$A$5:$A$85,0)),"")</f>
        <v/>
      </c>
      <c r="U38" s="62"/>
      <c r="V38" s="62"/>
      <c r="W38" s="83">
        <f>IFERROR(INDEX('Resource Rate Library'!$I$5:$I$85,MATCH(P38,'Resource Rate Library'!$A$5:$A$85,0)),0)</f>
        <v>0</v>
      </c>
      <c r="X38" s="52"/>
      <c r="Y38" s="83">
        <f t="shared" si="2"/>
        <v>0</v>
      </c>
      <c r="Z38" s="83" t="str">
        <f t="shared" si="3"/>
        <v/>
      </c>
      <c r="AA38" s="81" t="str">
        <f>IFERROR(INDEX('Resource Rate Library'!$N$5:$N$85,MATCH(P38,'Resource Rate Library'!$A$5:$A$85,0)),"")</f>
        <v/>
      </c>
      <c r="AB38" s="53"/>
      <c r="AC38" s="59"/>
      <c r="AD38" s="81" t="str">
        <f>IFERROR(INDEX('Resource Rate Library'!$G$5:$G$85,MATCH(P38,'Resource Rate Library'!$A$5:$A$85,0)),"")</f>
        <v/>
      </c>
      <c r="AE38" s="81" t="str">
        <f>IFERROR(INDEX('Resource Rate Library'!$H$5:$H$85,MATCH(P38,'Resource Rate Library'!$A$5:$A$85,0)),"")</f>
        <v/>
      </c>
      <c r="AF38" s="53"/>
      <c r="AG38" s="53"/>
      <c r="AH38" s="53"/>
      <c r="AI38" s="81" t="str">
        <f>IF(B38="","",IF(AND(P38="",N38&lt;&gt;"Lump Sum / Quote"),"RESOURCE CODE",IF(Y38=0,"RATE MISSING",IF(AND(O38="Plant",AD38="Yes",COUNTIFS($B$7:$B$306,B38,$O$7:$O$306,"Labour",$Q$7:$Q$306,"*Operator*")&gt;0),"OPERATOR DOUBLE-COUNT",IF(AND(O38="Plant",AE38="Yes",COUNTIFS($B$7:$B$306,B38,$Q$7:$Q$306,"*Fuel*")&gt;0),"FUEL DOUBLE-COUNT",IF(AH38&lt;&gt;"Yes","VERIFY","OK"))))))</f>
        <v/>
      </c>
      <c r="AJ38" s="54"/>
      <c r="AK38" s="197"/>
      <c r="AL38" s="197"/>
      <c r="AM38" s="197"/>
      <c r="AN38" s="199">
        <f>IF(AND(AK38="Yes",OR(O38="Labour",O38="Plant")),Z38,0)</f>
        <v>0</v>
      </c>
    </row>
    <row r="39" spans="1:40" ht="21.95" customHeight="1" x14ac:dyDescent="0.2">
      <c r="A39" s="80" t="str">
        <f>IF(B39="","",B39&amp;"-"&amp;TEXT(COUNTIF($B$7:B39,B39),"000"))</f>
        <v/>
      </c>
      <c r="B39" s="53"/>
      <c r="C39" s="81" t="str">
        <f>IFERROR(INDEX('QS Takeoff'!$A$3:$A$194,MATCH(B39,'QS Takeoff'!$B$3:$B$194,0)),"")</f>
        <v/>
      </c>
      <c r="D39" s="81" t="str">
        <f>IFERROR(INDEX('QS Takeoff'!$C$3:$C$194,MATCH(B39,'QS Takeoff'!$B$3:$B$194,0)),"")</f>
        <v/>
      </c>
      <c r="E39" s="81" t="str">
        <f>IFERROR(INDEX('QS Takeoff'!$E$3:$E$194,MATCH(B39,'QS Takeoff'!$B$3:$B$194,0)),"")</f>
        <v/>
      </c>
      <c r="F39" s="81" t="str">
        <f>IFERROR(INDEX('QS Takeoff'!$D$3:$D$194,MATCH(B39,'QS Takeoff'!$B$3:$B$194,0)),"")</f>
        <v/>
      </c>
      <c r="G39" s="81" t="str">
        <f>IFERROR(INDEX('QS Takeoff'!$J$3:$J$194,MATCH(B39,'QS Takeoff'!$B$3:$B$194,0)),"")</f>
        <v/>
      </c>
      <c r="H39" s="53"/>
      <c r="I39" s="60"/>
      <c r="J39" s="60"/>
      <c r="K39" s="82" t="str">
        <f t="shared" si="0"/>
        <v/>
      </c>
      <c r="L39" s="60"/>
      <c r="M39" s="82" t="str">
        <f t="shared" si="1"/>
        <v/>
      </c>
      <c r="N39" s="53"/>
      <c r="O39" s="53"/>
      <c r="P39" s="53"/>
      <c r="Q39" s="81" t="str">
        <f>IFERROR(INDEX('Resource Rate Library'!$C$5:$C$85,MATCH(P39,'Resource Rate Library'!$A$5:$A$85,0)),"")</f>
        <v/>
      </c>
      <c r="R39" s="53"/>
      <c r="S39" s="53"/>
      <c r="T39" s="81" t="str">
        <f>IFERROR(INDEX('Resource Rate Library'!$E$5:$E$85,MATCH(P39,'Resource Rate Library'!$A$5:$A$85,0)),"")</f>
        <v/>
      </c>
      <c r="U39" s="62"/>
      <c r="V39" s="62"/>
      <c r="W39" s="83">
        <f>IFERROR(INDEX('Resource Rate Library'!$I$5:$I$85,MATCH(P39,'Resource Rate Library'!$A$5:$A$85,0)),0)</f>
        <v>0</v>
      </c>
      <c r="X39" s="52"/>
      <c r="Y39" s="83">
        <f t="shared" si="2"/>
        <v>0</v>
      </c>
      <c r="Z39" s="83" t="str">
        <f t="shared" si="3"/>
        <v/>
      </c>
      <c r="AA39" s="81" t="str">
        <f>IFERROR(INDEX('Resource Rate Library'!$N$5:$N$85,MATCH(P39,'Resource Rate Library'!$A$5:$A$85,0)),"")</f>
        <v/>
      </c>
      <c r="AB39" s="53"/>
      <c r="AC39" s="59"/>
      <c r="AD39" s="81" t="str">
        <f>IFERROR(INDEX('Resource Rate Library'!$G$5:$G$85,MATCH(P39,'Resource Rate Library'!$A$5:$A$85,0)),"")</f>
        <v/>
      </c>
      <c r="AE39" s="81" t="str">
        <f>IFERROR(INDEX('Resource Rate Library'!$H$5:$H$85,MATCH(P39,'Resource Rate Library'!$A$5:$A$85,0)),"")</f>
        <v/>
      </c>
      <c r="AF39" s="53"/>
      <c r="AG39" s="53"/>
      <c r="AH39" s="53"/>
      <c r="AI39" s="81" t="str">
        <f>IF(B39="","",IF(AND(P39="",N39&lt;&gt;"Lump Sum / Quote"),"RESOURCE CODE",IF(Y39=0,"RATE MISSING",IF(AND(O39="Plant",AD39="Yes",COUNTIFS($B$7:$B$306,B39,$O$7:$O$306,"Labour",$Q$7:$Q$306,"*Operator*")&gt;0),"OPERATOR DOUBLE-COUNT",IF(AND(O39="Plant",AE39="Yes",COUNTIFS($B$7:$B$306,B39,$Q$7:$Q$306,"*Fuel*")&gt;0),"FUEL DOUBLE-COUNT",IF(AH39&lt;&gt;"Yes","VERIFY","OK"))))))</f>
        <v/>
      </c>
      <c r="AJ39" s="54"/>
      <c r="AK39" s="197"/>
      <c r="AL39" s="197"/>
      <c r="AM39" s="197"/>
      <c r="AN39" s="199">
        <f>IF(AND(AK39="Yes",OR(O39="Labour",O39="Plant")),Z39,0)</f>
        <v>0</v>
      </c>
    </row>
    <row r="40" spans="1:40" ht="21.95" customHeight="1" x14ac:dyDescent="0.2">
      <c r="A40" s="80" t="str">
        <f>IF(B40="","",B40&amp;"-"&amp;TEXT(COUNTIF($B$7:B40,B40),"000"))</f>
        <v/>
      </c>
      <c r="B40" s="53"/>
      <c r="C40" s="81" t="str">
        <f>IFERROR(INDEX('QS Takeoff'!$A$3:$A$194,MATCH(B40,'QS Takeoff'!$B$3:$B$194,0)),"")</f>
        <v/>
      </c>
      <c r="D40" s="81" t="str">
        <f>IFERROR(INDEX('QS Takeoff'!$C$3:$C$194,MATCH(B40,'QS Takeoff'!$B$3:$B$194,0)),"")</f>
        <v/>
      </c>
      <c r="E40" s="81" t="str">
        <f>IFERROR(INDEX('QS Takeoff'!$E$3:$E$194,MATCH(B40,'QS Takeoff'!$B$3:$B$194,0)),"")</f>
        <v/>
      </c>
      <c r="F40" s="81" t="str">
        <f>IFERROR(INDEX('QS Takeoff'!$D$3:$D$194,MATCH(B40,'QS Takeoff'!$B$3:$B$194,0)),"")</f>
        <v/>
      </c>
      <c r="G40" s="81" t="str">
        <f>IFERROR(INDEX('QS Takeoff'!$J$3:$J$194,MATCH(B40,'QS Takeoff'!$B$3:$B$194,0)),"")</f>
        <v/>
      </c>
      <c r="H40" s="53"/>
      <c r="I40" s="60"/>
      <c r="J40" s="60"/>
      <c r="K40" s="82" t="str">
        <f t="shared" si="0"/>
        <v/>
      </c>
      <c r="L40" s="60"/>
      <c r="M40" s="82" t="str">
        <f t="shared" si="1"/>
        <v/>
      </c>
      <c r="N40" s="53"/>
      <c r="O40" s="53"/>
      <c r="P40" s="53"/>
      <c r="Q40" s="81" t="str">
        <f>IFERROR(INDEX('Resource Rate Library'!$C$5:$C$85,MATCH(P40,'Resource Rate Library'!$A$5:$A$85,0)),"")</f>
        <v/>
      </c>
      <c r="R40" s="53"/>
      <c r="S40" s="53"/>
      <c r="T40" s="81" t="str">
        <f>IFERROR(INDEX('Resource Rate Library'!$E$5:$E$85,MATCH(P40,'Resource Rate Library'!$A$5:$A$85,0)),"")</f>
        <v/>
      </c>
      <c r="U40" s="62"/>
      <c r="V40" s="62"/>
      <c r="W40" s="83">
        <f>IFERROR(INDEX('Resource Rate Library'!$I$5:$I$85,MATCH(P40,'Resource Rate Library'!$A$5:$A$85,0)),0)</f>
        <v>0</v>
      </c>
      <c r="X40" s="52"/>
      <c r="Y40" s="83">
        <f t="shared" si="2"/>
        <v>0</v>
      </c>
      <c r="Z40" s="83" t="str">
        <f t="shared" si="3"/>
        <v/>
      </c>
      <c r="AA40" s="81" t="str">
        <f>IFERROR(INDEX('Resource Rate Library'!$N$5:$N$85,MATCH(P40,'Resource Rate Library'!$A$5:$A$85,0)),"")</f>
        <v/>
      </c>
      <c r="AB40" s="53"/>
      <c r="AC40" s="59"/>
      <c r="AD40" s="81" t="str">
        <f>IFERROR(INDEX('Resource Rate Library'!$G$5:$G$85,MATCH(P40,'Resource Rate Library'!$A$5:$A$85,0)),"")</f>
        <v/>
      </c>
      <c r="AE40" s="81" t="str">
        <f>IFERROR(INDEX('Resource Rate Library'!$H$5:$H$85,MATCH(P40,'Resource Rate Library'!$A$5:$A$85,0)),"")</f>
        <v/>
      </c>
      <c r="AF40" s="53"/>
      <c r="AG40" s="53"/>
      <c r="AH40" s="53"/>
      <c r="AI40" s="81" t="str">
        <f>IF(B40="","",IF(AND(P40="",N40&lt;&gt;"Lump Sum / Quote"),"RESOURCE CODE",IF(Y40=0,"RATE MISSING",IF(AND(O40="Plant",AD40="Yes",COUNTIFS($B$7:$B$306,B40,$O$7:$O$306,"Labour",$Q$7:$Q$306,"*Operator*")&gt;0),"OPERATOR DOUBLE-COUNT",IF(AND(O40="Plant",AE40="Yes",COUNTIFS($B$7:$B$306,B40,$Q$7:$Q$306,"*Fuel*")&gt;0),"FUEL DOUBLE-COUNT",IF(AH40&lt;&gt;"Yes","VERIFY","OK"))))))</f>
        <v/>
      </c>
      <c r="AJ40" s="54"/>
      <c r="AK40" s="197"/>
      <c r="AL40" s="197"/>
      <c r="AM40" s="197"/>
      <c r="AN40" s="199">
        <f>IF(AND(AK40="Yes",OR(O40="Labour",O40="Plant")),Z40,0)</f>
        <v>0</v>
      </c>
    </row>
    <row r="41" spans="1:40" ht="21.95" customHeight="1" x14ac:dyDescent="0.2">
      <c r="A41" s="80" t="str">
        <f>IF(B41="","",B41&amp;"-"&amp;TEXT(COUNTIF($B$7:B41,B41),"000"))</f>
        <v/>
      </c>
      <c r="B41" s="53"/>
      <c r="C41" s="81" t="str">
        <f>IFERROR(INDEX('QS Takeoff'!$A$3:$A$194,MATCH(B41,'QS Takeoff'!$B$3:$B$194,0)),"")</f>
        <v/>
      </c>
      <c r="D41" s="81" t="str">
        <f>IFERROR(INDEX('QS Takeoff'!$C$3:$C$194,MATCH(B41,'QS Takeoff'!$B$3:$B$194,0)),"")</f>
        <v/>
      </c>
      <c r="E41" s="81" t="str">
        <f>IFERROR(INDEX('QS Takeoff'!$E$3:$E$194,MATCH(B41,'QS Takeoff'!$B$3:$B$194,0)),"")</f>
        <v/>
      </c>
      <c r="F41" s="81" t="str">
        <f>IFERROR(INDEX('QS Takeoff'!$D$3:$D$194,MATCH(B41,'QS Takeoff'!$B$3:$B$194,0)),"")</f>
        <v/>
      </c>
      <c r="G41" s="81" t="str">
        <f>IFERROR(INDEX('QS Takeoff'!$J$3:$J$194,MATCH(B41,'QS Takeoff'!$B$3:$B$194,0)),"")</f>
        <v/>
      </c>
      <c r="H41" s="53"/>
      <c r="I41" s="60"/>
      <c r="J41" s="60"/>
      <c r="K41" s="82" t="str">
        <f t="shared" si="0"/>
        <v/>
      </c>
      <c r="L41" s="60"/>
      <c r="M41" s="82" t="str">
        <f t="shared" si="1"/>
        <v/>
      </c>
      <c r="N41" s="53"/>
      <c r="O41" s="53"/>
      <c r="P41" s="53"/>
      <c r="Q41" s="81" t="str">
        <f>IFERROR(INDEX('Resource Rate Library'!$C$5:$C$85,MATCH(P41,'Resource Rate Library'!$A$5:$A$85,0)),"")</f>
        <v/>
      </c>
      <c r="R41" s="53"/>
      <c r="S41" s="53"/>
      <c r="T41" s="81" t="str">
        <f>IFERROR(INDEX('Resource Rate Library'!$E$5:$E$85,MATCH(P41,'Resource Rate Library'!$A$5:$A$85,0)),"")</f>
        <v/>
      </c>
      <c r="U41" s="62"/>
      <c r="V41" s="62"/>
      <c r="W41" s="83">
        <f>IFERROR(INDEX('Resource Rate Library'!$I$5:$I$85,MATCH(P41,'Resource Rate Library'!$A$5:$A$85,0)),0)</f>
        <v>0</v>
      </c>
      <c r="X41" s="52"/>
      <c r="Y41" s="83">
        <f t="shared" si="2"/>
        <v>0</v>
      </c>
      <c r="Z41" s="83" t="str">
        <f t="shared" si="3"/>
        <v/>
      </c>
      <c r="AA41" s="81" t="str">
        <f>IFERROR(INDEX('Resource Rate Library'!$N$5:$N$85,MATCH(P41,'Resource Rate Library'!$A$5:$A$85,0)),"")</f>
        <v/>
      </c>
      <c r="AB41" s="53"/>
      <c r="AC41" s="59"/>
      <c r="AD41" s="81" t="str">
        <f>IFERROR(INDEX('Resource Rate Library'!$G$5:$G$85,MATCH(P41,'Resource Rate Library'!$A$5:$A$85,0)),"")</f>
        <v/>
      </c>
      <c r="AE41" s="81" t="str">
        <f>IFERROR(INDEX('Resource Rate Library'!$H$5:$H$85,MATCH(P41,'Resource Rate Library'!$A$5:$A$85,0)),"")</f>
        <v/>
      </c>
      <c r="AF41" s="53"/>
      <c r="AG41" s="53"/>
      <c r="AH41" s="53"/>
      <c r="AI41" s="81" t="str">
        <f>IF(B41="","",IF(AND(P41="",N41&lt;&gt;"Lump Sum / Quote"),"RESOURCE CODE",IF(Y41=0,"RATE MISSING",IF(AND(O41="Plant",AD41="Yes",COUNTIFS($B$7:$B$306,B41,$O$7:$O$306,"Labour",$Q$7:$Q$306,"*Operator*")&gt;0),"OPERATOR DOUBLE-COUNT",IF(AND(O41="Plant",AE41="Yes",COUNTIFS($B$7:$B$306,B41,$Q$7:$Q$306,"*Fuel*")&gt;0),"FUEL DOUBLE-COUNT",IF(AH41&lt;&gt;"Yes","VERIFY","OK"))))))</f>
        <v/>
      </c>
      <c r="AJ41" s="54"/>
      <c r="AK41" s="197"/>
      <c r="AL41" s="197"/>
      <c r="AM41" s="197"/>
      <c r="AN41" s="199">
        <f>IF(AND(AK41="Yes",OR(O41="Labour",O41="Plant")),Z41,0)</f>
        <v>0</v>
      </c>
    </row>
    <row r="42" spans="1:40" ht="21.95" customHeight="1" x14ac:dyDescent="0.2">
      <c r="A42" s="80" t="str">
        <f>IF(B42="","",B42&amp;"-"&amp;TEXT(COUNTIF($B$7:B42,B42),"000"))</f>
        <v/>
      </c>
      <c r="B42" s="53"/>
      <c r="C42" s="81" t="str">
        <f>IFERROR(INDEX('QS Takeoff'!$A$3:$A$194,MATCH(B42,'QS Takeoff'!$B$3:$B$194,0)),"")</f>
        <v/>
      </c>
      <c r="D42" s="81" t="str">
        <f>IFERROR(INDEX('QS Takeoff'!$C$3:$C$194,MATCH(B42,'QS Takeoff'!$B$3:$B$194,0)),"")</f>
        <v/>
      </c>
      <c r="E42" s="81" t="str">
        <f>IFERROR(INDEX('QS Takeoff'!$E$3:$E$194,MATCH(B42,'QS Takeoff'!$B$3:$B$194,0)),"")</f>
        <v/>
      </c>
      <c r="F42" s="81" t="str">
        <f>IFERROR(INDEX('QS Takeoff'!$D$3:$D$194,MATCH(B42,'QS Takeoff'!$B$3:$B$194,0)),"")</f>
        <v/>
      </c>
      <c r="G42" s="81" t="str">
        <f>IFERROR(INDEX('QS Takeoff'!$J$3:$J$194,MATCH(B42,'QS Takeoff'!$B$3:$B$194,0)),"")</f>
        <v/>
      </c>
      <c r="H42" s="53"/>
      <c r="I42" s="60"/>
      <c r="J42" s="60"/>
      <c r="K42" s="82" t="str">
        <f t="shared" si="0"/>
        <v/>
      </c>
      <c r="L42" s="60"/>
      <c r="M42" s="82" t="str">
        <f t="shared" si="1"/>
        <v/>
      </c>
      <c r="N42" s="53"/>
      <c r="O42" s="53"/>
      <c r="P42" s="53"/>
      <c r="Q42" s="81" t="str">
        <f>IFERROR(INDEX('Resource Rate Library'!$C$5:$C$85,MATCH(P42,'Resource Rate Library'!$A$5:$A$85,0)),"")</f>
        <v/>
      </c>
      <c r="R42" s="53"/>
      <c r="S42" s="53"/>
      <c r="T42" s="81" t="str">
        <f>IFERROR(INDEX('Resource Rate Library'!$E$5:$E$85,MATCH(P42,'Resource Rate Library'!$A$5:$A$85,0)),"")</f>
        <v/>
      </c>
      <c r="U42" s="62"/>
      <c r="V42" s="62"/>
      <c r="W42" s="83">
        <f>IFERROR(INDEX('Resource Rate Library'!$I$5:$I$85,MATCH(P42,'Resource Rate Library'!$A$5:$A$85,0)),0)</f>
        <v>0</v>
      </c>
      <c r="X42" s="52"/>
      <c r="Y42" s="83">
        <f t="shared" si="2"/>
        <v>0</v>
      </c>
      <c r="Z42" s="83" t="str">
        <f t="shared" si="3"/>
        <v/>
      </c>
      <c r="AA42" s="81" t="str">
        <f>IFERROR(INDEX('Resource Rate Library'!$N$5:$N$85,MATCH(P42,'Resource Rate Library'!$A$5:$A$85,0)),"")</f>
        <v/>
      </c>
      <c r="AB42" s="53"/>
      <c r="AC42" s="59"/>
      <c r="AD42" s="81" t="str">
        <f>IFERROR(INDEX('Resource Rate Library'!$G$5:$G$85,MATCH(P42,'Resource Rate Library'!$A$5:$A$85,0)),"")</f>
        <v/>
      </c>
      <c r="AE42" s="81" t="str">
        <f>IFERROR(INDEX('Resource Rate Library'!$H$5:$H$85,MATCH(P42,'Resource Rate Library'!$A$5:$A$85,0)),"")</f>
        <v/>
      </c>
      <c r="AF42" s="53"/>
      <c r="AG42" s="53"/>
      <c r="AH42" s="53"/>
      <c r="AI42" s="81" t="str">
        <f>IF(B42="","",IF(AND(P42="",N42&lt;&gt;"Lump Sum / Quote"),"RESOURCE CODE",IF(Y42=0,"RATE MISSING",IF(AND(O42="Plant",AD42="Yes",COUNTIFS($B$7:$B$306,B42,$O$7:$O$306,"Labour",$Q$7:$Q$306,"*Operator*")&gt;0),"OPERATOR DOUBLE-COUNT",IF(AND(O42="Plant",AE42="Yes",COUNTIFS($B$7:$B$306,B42,$Q$7:$Q$306,"*Fuel*")&gt;0),"FUEL DOUBLE-COUNT",IF(AH42&lt;&gt;"Yes","VERIFY","OK"))))))</f>
        <v/>
      </c>
      <c r="AJ42" s="54"/>
      <c r="AK42" s="197"/>
      <c r="AL42" s="197"/>
      <c r="AM42" s="197"/>
      <c r="AN42" s="199">
        <f>IF(AND(AK42="Yes",OR(O42="Labour",O42="Plant")),Z42,0)</f>
        <v>0</v>
      </c>
    </row>
    <row r="43" spans="1:40" ht="21.95" customHeight="1" x14ac:dyDescent="0.2">
      <c r="A43" s="80" t="str">
        <f>IF(B43="","",B43&amp;"-"&amp;TEXT(COUNTIF($B$7:B43,B43),"000"))</f>
        <v/>
      </c>
      <c r="B43" s="53"/>
      <c r="C43" s="81" t="str">
        <f>IFERROR(INDEX('QS Takeoff'!$A$3:$A$194,MATCH(B43,'QS Takeoff'!$B$3:$B$194,0)),"")</f>
        <v/>
      </c>
      <c r="D43" s="81" t="str">
        <f>IFERROR(INDEX('QS Takeoff'!$C$3:$C$194,MATCH(B43,'QS Takeoff'!$B$3:$B$194,0)),"")</f>
        <v/>
      </c>
      <c r="E43" s="81" t="str">
        <f>IFERROR(INDEX('QS Takeoff'!$E$3:$E$194,MATCH(B43,'QS Takeoff'!$B$3:$B$194,0)),"")</f>
        <v/>
      </c>
      <c r="F43" s="81" t="str">
        <f>IFERROR(INDEX('QS Takeoff'!$D$3:$D$194,MATCH(B43,'QS Takeoff'!$B$3:$B$194,0)),"")</f>
        <v/>
      </c>
      <c r="G43" s="81" t="str">
        <f>IFERROR(INDEX('QS Takeoff'!$J$3:$J$194,MATCH(B43,'QS Takeoff'!$B$3:$B$194,0)),"")</f>
        <v/>
      </c>
      <c r="H43" s="53"/>
      <c r="I43" s="60"/>
      <c r="J43" s="60"/>
      <c r="K43" s="82" t="str">
        <f t="shared" si="0"/>
        <v/>
      </c>
      <c r="L43" s="60"/>
      <c r="M43" s="82" t="str">
        <f t="shared" si="1"/>
        <v/>
      </c>
      <c r="N43" s="53"/>
      <c r="O43" s="53"/>
      <c r="P43" s="53"/>
      <c r="Q43" s="81" t="str">
        <f>IFERROR(INDEX('Resource Rate Library'!$C$5:$C$85,MATCH(P43,'Resource Rate Library'!$A$5:$A$85,0)),"")</f>
        <v/>
      </c>
      <c r="R43" s="53"/>
      <c r="S43" s="53"/>
      <c r="T43" s="81" t="str">
        <f>IFERROR(INDEX('Resource Rate Library'!$E$5:$E$85,MATCH(P43,'Resource Rate Library'!$A$5:$A$85,0)),"")</f>
        <v/>
      </c>
      <c r="U43" s="62"/>
      <c r="V43" s="62"/>
      <c r="W43" s="83">
        <f>IFERROR(INDEX('Resource Rate Library'!$I$5:$I$85,MATCH(P43,'Resource Rate Library'!$A$5:$A$85,0)),0)</f>
        <v>0</v>
      </c>
      <c r="X43" s="52"/>
      <c r="Y43" s="83">
        <f t="shared" si="2"/>
        <v>0</v>
      </c>
      <c r="Z43" s="83" t="str">
        <f t="shared" si="3"/>
        <v/>
      </c>
      <c r="AA43" s="81" t="str">
        <f>IFERROR(INDEX('Resource Rate Library'!$N$5:$N$85,MATCH(P43,'Resource Rate Library'!$A$5:$A$85,0)),"")</f>
        <v/>
      </c>
      <c r="AB43" s="53"/>
      <c r="AC43" s="59"/>
      <c r="AD43" s="81" t="str">
        <f>IFERROR(INDEX('Resource Rate Library'!$G$5:$G$85,MATCH(P43,'Resource Rate Library'!$A$5:$A$85,0)),"")</f>
        <v/>
      </c>
      <c r="AE43" s="81" t="str">
        <f>IFERROR(INDEX('Resource Rate Library'!$H$5:$H$85,MATCH(P43,'Resource Rate Library'!$A$5:$A$85,0)),"")</f>
        <v/>
      </c>
      <c r="AF43" s="53"/>
      <c r="AG43" s="53"/>
      <c r="AH43" s="53"/>
      <c r="AI43" s="81" t="str">
        <f>IF(B43="","",IF(AND(P43="",N43&lt;&gt;"Lump Sum / Quote"),"RESOURCE CODE",IF(Y43=0,"RATE MISSING",IF(AND(O43="Plant",AD43="Yes",COUNTIFS($B$7:$B$306,B43,$O$7:$O$306,"Labour",$Q$7:$Q$306,"*Operator*")&gt;0),"OPERATOR DOUBLE-COUNT",IF(AND(O43="Plant",AE43="Yes",COUNTIFS($B$7:$B$306,B43,$Q$7:$Q$306,"*Fuel*")&gt;0),"FUEL DOUBLE-COUNT",IF(AH43&lt;&gt;"Yes","VERIFY","OK"))))))</f>
        <v/>
      </c>
      <c r="AJ43" s="54"/>
      <c r="AK43" s="197"/>
      <c r="AL43" s="197"/>
      <c r="AM43" s="197"/>
      <c r="AN43" s="199">
        <f>IF(AND(AK43="Yes",OR(O43="Labour",O43="Plant")),Z43,0)</f>
        <v>0</v>
      </c>
    </row>
    <row r="44" spans="1:40" ht="21.95" customHeight="1" x14ac:dyDescent="0.2">
      <c r="A44" s="80" t="str">
        <f>IF(B44="","",B44&amp;"-"&amp;TEXT(COUNTIF($B$7:B44,B44),"000"))</f>
        <v/>
      </c>
      <c r="B44" s="53"/>
      <c r="C44" s="81" t="str">
        <f>IFERROR(INDEX('QS Takeoff'!$A$3:$A$194,MATCH(B44,'QS Takeoff'!$B$3:$B$194,0)),"")</f>
        <v/>
      </c>
      <c r="D44" s="81" t="str">
        <f>IFERROR(INDEX('QS Takeoff'!$C$3:$C$194,MATCH(B44,'QS Takeoff'!$B$3:$B$194,0)),"")</f>
        <v/>
      </c>
      <c r="E44" s="81" t="str">
        <f>IFERROR(INDEX('QS Takeoff'!$E$3:$E$194,MATCH(B44,'QS Takeoff'!$B$3:$B$194,0)),"")</f>
        <v/>
      </c>
      <c r="F44" s="81" t="str">
        <f>IFERROR(INDEX('QS Takeoff'!$D$3:$D$194,MATCH(B44,'QS Takeoff'!$B$3:$B$194,0)),"")</f>
        <v/>
      </c>
      <c r="G44" s="81" t="str">
        <f>IFERROR(INDEX('QS Takeoff'!$J$3:$J$194,MATCH(B44,'QS Takeoff'!$B$3:$B$194,0)),"")</f>
        <v/>
      </c>
      <c r="H44" s="53"/>
      <c r="I44" s="60"/>
      <c r="J44" s="60"/>
      <c r="K44" s="82" t="str">
        <f t="shared" si="0"/>
        <v/>
      </c>
      <c r="L44" s="60"/>
      <c r="M44" s="82" t="str">
        <f t="shared" si="1"/>
        <v/>
      </c>
      <c r="N44" s="53"/>
      <c r="O44" s="53"/>
      <c r="P44" s="53"/>
      <c r="Q44" s="81" t="str">
        <f>IFERROR(INDEX('Resource Rate Library'!$C$5:$C$85,MATCH(P44,'Resource Rate Library'!$A$5:$A$85,0)),"")</f>
        <v/>
      </c>
      <c r="R44" s="53"/>
      <c r="S44" s="53"/>
      <c r="T44" s="81" t="str">
        <f>IFERROR(INDEX('Resource Rate Library'!$E$5:$E$85,MATCH(P44,'Resource Rate Library'!$A$5:$A$85,0)),"")</f>
        <v/>
      </c>
      <c r="U44" s="62"/>
      <c r="V44" s="62"/>
      <c r="W44" s="83">
        <f>IFERROR(INDEX('Resource Rate Library'!$I$5:$I$85,MATCH(P44,'Resource Rate Library'!$A$5:$A$85,0)),0)</f>
        <v>0</v>
      </c>
      <c r="X44" s="52"/>
      <c r="Y44" s="83">
        <f t="shared" si="2"/>
        <v>0</v>
      </c>
      <c r="Z44" s="83" t="str">
        <f t="shared" si="3"/>
        <v/>
      </c>
      <c r="AA44" s="81" t="str">
        <f>IFERROR(INDEX('Resource Rate Library'!$N$5:$N$85,MATCH(P44,'Resource Rate Library'!$A$5:$A$85,0)),"")</f>
        <v/>
      </c>
      <c r="AB44" s="53"/>
      <c r="AC44" s="59"/>
      <c r="AD44" s="81" t="str">
        <f>IFERROR(INDEX('Resource Rate Library'!$G$5:$G$85,MATCH(P44,'Resource Rate Library'!$A$5:$A$85,0)),"")</f>
        <v/>
      </c>
      <c r="AE44" s="81" t="str">
        <f>IFERROR(INDEX('Resource Rate Library'!$H$5:$H$85,MATCH(P44,'Resource Rate Library'!$A$5:$A$85,0)),"")</f>
        <v/>
      </c>
      <c r="AF44" s="53"/>
      <c r="AG44" s="53"/>
      <c r="AH44" s="53"/>
      <c r="AI44" s="81" t="str">
        <f>IF(B44="","",IF(AND(P44="",N44&lt;&gt;"Lump Sum / Quote"),"RESOURCE CODE",IF(Y44=0,"RATE MISSING",IF(AND(O44="Plant",AD44="Yes",COUNTIFS($B$7:$B$306,B44,$O$7:$O$306,"Labour",$Q$7:$Q$306,"*Operator*")&gt;0),"OPERATOR DOUBLE-COUNT",IF(AND(O44="Plant",AE44="Yes",COUNTIFS($B$7:$B$306,B44,$Q$7:$Q$306,"*Fuel*")&gt;0),"FUEL DOUBLE-COUNT",IF(AH44&lt;&gt;"Yes","VERIFY","OK"))))))</f>
        <v/>
      </c>
      <c r="AJ44" s="54"/>
      <c r="AK44" s="197"/>
      <c r="AL44" s="197"/>
      <c r="AM44" s="197"/>
      <c r="AN44" s="199">
        <f>IF(AND(AK44="Yes",OR(O44="Labour",O44="Plant")),Z44,0)</f>
        <v>0</v>
      </c>
    </row>
    <row r="45" spans="1:40" ht="21.95" customHeight="1" x14ac:dyDescent="0.2">
      <c r="A45" s="80" t="str">
        <f>IF(B45="","",B45&amp;"-"&amp;TEXT(COUNTIF($B$7:B45,B45),"000"))</f>
        <v/>
      </c>
      <c r="B45" s="53"/>
      <c r="C45" s="81" t="str">
        <f>IFERROR(INDEX('QS Takeoff'!$A$3:$A$194,MATCH(B45,'QS Takeoff'!$B$3:$B$194,0)),"")</f>
        <v/>
      </c>
      <c r="D45" s="81" t="str">
        <f>IFERROR(INDEX('QS Takeoff'!$C$3:$C$194,MATCH(B45,'QS Takeoff'!$B$3:$B$194,0)),"")</f>
        <v/>
      </c>
      <c r="E45" s="81" t="str">
        <f>IFERROR(INDEX('QS Takeoff'!$E$3:$E$194,MATCH(B45,'QS Takeoff'!$B$3:$B$194,0)),"")</f>
        <v/>
      </c>
      <c r="F45" s="81" t="str">
        <f>IFERROR(INDEX('QS Takeoff'!$D$3:$D$194,MATCH(B45,'QS Takeoff'!$B$3:$B$194,0)),"")</f>
        <v/>
      </c>
      <c r="G45" s="81" t="str">
        <f>IFERROR(INDEX('QS Takeoff'!$J$3:$J$194,MATCH(B45,'QS Takeoff'!$B$3:$B$194,0)),"")</f>
        <v/>
      </c>
      <c r="H45" s="53"/>
      <c r="I45" s="60"/>
      <c r="J45" s="60"/>
      <c r="K45" s="82" t="str">
        <f t="shared" si="0"/>
        <v/>
      </c>
      <c r="L45" s="60"/>
      <c r="M45" s="82" t="str">
        <f t="shared" si="1"/>
        <v/>
      </c>
      <c r="N45" s="53"/>
      <c r="O45" s="53"/>
      <c r="P45" s="53"/>
      <c r="Q45" s="81" t="str">
        <f>IFERROR(INDEX('Resource Rate Library'!$C$5:$C$85,MATCH(P45,'Resource Rate Library'!$A$5:$A$85,0)),"")</f>
        <v/>
      </c>
      <c r="R45" s="53"/>
      <c r="S45" s="53"/>
      <c r="T45" s="81" t="str">
        <f>IFERROR(INDEX('Resource Rate Library'!$E$5:$E$85,MATCH(P45,'Resource Rate Library'!$A$5:$A$85,0)),"")</f>
        <v/>
      </c>
      <c r="U45" s="62"/>
      <c r="V45" s="62"/>
      <c r="W45" s="83">
        <f>IFERROR(INDEX('Resource Rate Library'!$I$5:$I$85,MATCH(P45,'Resource Rate Library'!$A$5:$A$85,0)),0)</f>
        <v>0</v>
      </c>
      <c r="X45" s="52"/>
      <c r="Y45" s="83">
        <f t="shared" si="2"/>
        <v>0</v>
      </c>
      <c r="Z45" s="83" t="str">
        <f t="shared" si="3"/>
        <v/>
      </c>
      <c r="AA45" s="81" t="str">
        <f>IFERROR(INDEX('Resource Rate Library'!$N$5:$N$85,MATCH(P45,'Resource Rate Library'!$A$5:$A$85,0)),"")</f>
        <v/>
      </c>
      <c r="AB45" s="53"/>
      <c r="AC45" s="59"/>
      <c r="AD45" s="81" t="str">
        <f>IFERROR(INDEX('Resource Rate Library'!$G$5:$G$85,MATCH(P45,'Resource Rate Library'!$A$5:$A$85,0)),"")</f>
        <v/>
      </c>
      <c r="AE45" s="81" t="str">
        <f>IFERROR(INDEX('Resource Rate Library'!$H$5:$H$85,MATCH(P45,'Resource Rate Library'!$A$5:$A$85,0)),"")</f>
        <v/>
      </c>
      <c r="AF45" s="53"/>
      <c r="AG45" s="53"/>
      <c r="AH45" s="53"/>
      <c r="AI45" s="81" t="str">
        <f>IF(B45="","",IF(AND(P45="",N45&lt;&gt;"Lump Sum / Quote"),"RESOURCE CODE",IF(Y45=0,"RATE MISSING",IF(AND(O45="Plant",AD45="Yes",COUNTIFS($B$7:$B$306,B45,$O$7:$O$306,"Labour",$Q$7:$Q$306,"*Operator*")&gt;0),"OPERATOR DOUBLE-COUNT",IF(AND(O45="Plant",AE45="Yes",COUNTIFS($B$7:$B$306,B45,$Q$7:$Q$306,"*Fuel*")&gt;0),"FUEL DOUBLE-COUNT",IF(AH45&lt;&gt;"Yes","VERIFY","OK"))))))</f>
        <v/>
      </c>
      <c r="AJ45" s="54"/>
      <c r="AK45" s="197"/>
      <c r="AL45" s="197"/>
      <c r="AM45" s="197"/>
      <c r="AN45" s="199">
        <f>IF(AND(AK45="Yes",OR(O45="Labour",O45="Plant")),Z45,0)</f>
        <v>0</v>
      </c>
    </row>
    <row r="46" spans="1:40" ht="21.95" customHeight="1" x14ac:dyDescent="0.2">
      <c r="A46" s="80" t="str">
        <f>IF(B46="","",B46&amp;"-"&amp;TEXT(COUNTIF($B$7:B46,B46),"000"))</f>
        <v/>
      </c>
      <c r="B46" s="53"/>
      <c r="C46" s="81" t="str">
        <f>IFERROR(INDEX('QS Takeoff'!$A$3:$A$194,MATCH(B46,'QS Takeoff'!$B$3:$B$194,0)),"")</f>
        <v/>
      </c>
      <c r="D46" s="81" t="str">
        <f>IFERROR(INDEX('QS Takeoff'!$C$3:$C$194,MATCH(B46,'QS Takeoff'!$B$3:$B$194,0)),"")</f>
        <v/>
      </c>
      <c r="E46" s="81" t="str">
        <f>IFERROR(INDEX('QS Takeoff'!$E$3:$E$194,MATCH(B46,'QS Takeoff'!$B$3:$B$194,0)),"")</f>
        <v/>
      </c>
      <c r="F46" s="81" t="str">
        <f>IFERROR(INDEX('QS Takeoff'!$D$3:$D$194,MATCH(B46,'QS Takeoff'!$B$3:$B$194,0)),"")</f>
        <v/>
      </c>
      <c r="G46" s="81" t="str">
        <f>IFERROR(INDEX('QS Takeoff'!$J$3:$J$194,MATCH(B46,'QS Takeoff'!$B$3:$B$194,0)),"")</f>
        <v/>
      </c>
      <c r="H46" s="53"/>
      <c r="I46" s="60"/>
      <c r="J46" s="60"/>
      <c r="K46" s="82" t="str">
        <f t="shared" si="0"/>
        <v/>
      </c>
      <c r="L46" s="60"/>
      <c r="M46" s="82" t="str">
        <f t="shared" si="1"/>
        <v/>
      </c>
      <c r="N46" s="53"/>
      <c r="O46" s="53"/>
      <c r="P46" s="53"/>
      <c r="Q46" s="81" t="str">
        <f>IFERROR(INDEX('Resource Rate Library'!$C$5:$C$85,MATCH(P46,'Resource Rate Library'!$A$5:$A$85,0)),"")</f>
        <v/>
      </c>
      <c r="R46" s="53"/>
      <c r="S46" s="53"/>
      <c r="T46" s="81" t="str">
        <f>IFERROR(INDEX('Resource Rate Library'!$E$5:$E$85,MATCH(P46,'Resource Rate Library'!$A$5:$A$85,0)),"")</f>
        <v/>
      </c>
      <c r="U46" s="62"/>
      <c r="V46" s="62"/>
      <c r="W46" s="83">
        <f>IFERROR(INDEX('Resource Rate Library'!$I$5:$I$85,MATCH(P46,'Resource Rate Library'!$A$5:$A$85,0)),0)</f>
        <v>0</v>
      </c>
      <c r="X46" s="52"/>
      <c r="Y46" s="83">
        <f t="shared" si="2"/>
        <v>0</v>
      </c>
      <c r="Z46" s="83" t="str">
        <f t="shared" si="3"/>
        <v/>
      </c>
      <c r="AA46" s="81" t="str">
        <f>IFERROR(INDEX('Resource Rate Library'!$N$5:$N$85,MATCH(P46,'Resource Rate Library'!$A$5:$A$85,0)),"")</f>
        <v/>
      </c>
      <c r="AB46" s="53"/>
      <c r="AC46" s="59"/>
      <c r="AD46" s="81" t="str">
        <f>IFERROR(INDEX('Resource Rate Library'!$G$5:$G$85,MATCH(P46,'Resource Rate Library'!$A$5:$A$85,0)),"")</f>
        <v/>
      </c>
      <c r="AE46" s="81" t="str">
        <f>IFERROR(INDEX('Resource Rate Library'!$H$5:$H$85,MATCH(P46,'Resource Rate Library'!$A$5:$A$85,0)),"")</f>
        <v/>
      </c>
      <c r="AF46" s="53"/>
      <c r="AG46" s="53"/>
      <c r="AH46" s="53"/>
      <c r="AI46" s="81" t="str">
        <f>IF(B46="","",IF(AND(P46="",N46&lt;&gt;"Lump Sum / Quote"),"RESOURCE CODE",IF(Y46=0,"RATE MISSING",IF(AND(O46="Plant",AD46="Yes",COUNTIFS($B$7:$B$306,B46,$O$7:$O$306,"Labour",$Q$7:$Q$306,"*Operator*")&gt;0),"OPERATOR DOUBLE-COUNT",IF(AND(O46="Plant",AE46="Yes",COUNTIFS($B$7:$B$306,B46,$Q$7:$Q$306,"*Fuel*")&gt;0),"FUEL DOUBLE-COUNT",IF(AH46&lt;&gt;"Yes","VERIFY","OK"))))))</f>
        <v/>
      </c>
      <c r="AJ46" s="54"/>
      <c r="AK46" s="197"/>
      <c r="AL46" s="197"/>
      <c r="AM46" s="197"/>
      <c r="AN46" s="199">
        <f>IF(AND(AK46="Yes",OR(O46="Labour",O46="Plant")),Z46,0)</f>
        <v>0</v>
      </c>
    </row>
    <row r="47" spans="1:40" ht="21.95" customHeight="1" x14ac:dyDescent="0.2">
      <c r="A47" s="80" t="str">
        <f>IF(B47="","",B47&amp;"-"&amp;TEXT(COUNTIF($B$7:B47,B47),"000"))</f>
        <v/>
      </c>
      <c r="B47" s="53"/>
      <c r="C47" s="81" t="str">
        <f>IFERROR(INDEX('QS Takeoff'!$A$3:$A$194,MATCH(B47,'QS Takeoff'!$B$3:$B$194,0)),"")</f>
        <v/>
      </c>
      <c r="D47" s="81" t="str">
        <f>IFERROR(INDEX('QS Takeoff'!$C$3:$C$194,MATCH(B47,'QS Takeoff'!$B$3:$B$194,0)),"")</f>
        <v/>
      </c>
      <c r="E47" s="81" t="str">
        <f>IFERROR(INDEX('QS Takeoff'!$E$3:$E$194,MATCH(B47,'QS Takeoff'!$B$3:$B$194,0)),"")</f>
        <v/>
      </c>
      <c r="F47" s="81" t="str">
        <f>IFERROR(INDEX('QS Takeoff'!$D$3:$D$194,MATCH(B47,'QS Takeoff'!$B$3:$B$194,0)),"")</f>
        <v/>
      </c>
      <c r="G47" s="81" t="str">
        <f>IFERROR(INDEX('QS Takeoff'!$J$3:$J$194,MATCH(B47,'QS Takeoff'!$B$3:$B$194,0)),"")</f>
        <v/>
      </c>
      <c r="H47" s="53"/>
      <c r="I47" s="60"/>
      <c r="J47" s="60"/>
      <c r="K47" s="82" t="str">
        <f t="shared" si="0"/>
        <v/>
      </c>
      <c r="L47" s="60"/>
      <c r="M47" s="82" t="str">
        <f t="shared" si="1"/>
        <v/>
      </c>
      <c r="N47" s="53"/>
      <c r="O47" s="53"/>
      <c r="P47" s="53"/>
      <c r="Q47" s="81" t="str">
        <f>IFERROR(INDEX('Resource Rate Library'!$C$5:$C$85,MATCH(P47,'Resource Rate Library'!$A$5:$A$85,0)),"")</f>
        <v/>
      </c>
      <c r="R47" s="53"/>
      <c r="S47" s="53"/>
      <c r="T47" s="81" t="str">
        <f>IFERROR(INDEX('Resource Rate Library'!$E$5:$E$85,MATCH(P47,'Resource Rate Library'!$A$5:$A$85,0)),"")</f>
        <v/>
      </c>
      <c r="U47" s="62"/>
      <c r="V47" s="62"/>
      <c r="W47" s="83">
        <f>IFERROR(INDEX('Resource Rate Library'!$I$5:$I$85,MATCH(P47,'Resource Rate Library'!$A$5:$A$85,0)),0)</f>
        <v>0</v>
      </c>
      <c r="X47" s="52"/>
      <c r="Y47" s="83">
        <f t="shared" si="2"/>
        <v>0</v>
      </c>
      <c r="Z47" s="83" t="str">
        <f t="shared" si="3"/>
        <v/>
      </c>
      <c r="AA47" s="81" t="str">
        <f>IFERROR(INDEX('Resource Rate Library'!$N$5:$N$85,MATCH(P47,'Resource Rate Library'!$A$5:$A$85,0)),"")</f>
        <v/>
      </c>
      <c r="AB47" s="53"/>
      <c r="AC47" s="59"/>
      <c r="AD47" s="81" t="str">
        <f>IFERROR(INDEX('Resource Rate Library'!$G$5:$G$85,MATCH(P47,'Resource Rate Library'!$A$5:$A$85,0)),"")</f>
        <v/>
      </c>
      <c r="AE47" s="81" t="str">
        <f>IFERROR(INDEX('Resource Rate Library'!$H$5:$H$85,MATCH(P47,'Resource Rate Library'!$A$5:$A$85,0)),"")</f>
        <v/>
      </c>
      <c r="AF47" s="53"/>
      <c r="AG47" s="53"/>
      <c r="AH47" s="53"/>
      <c r="AI47" s="81" t="str">
        <f>IF(B47="","",IF(AND(P47="",N47&lt;&gt;"Lump Sum / Quote"),"RESOURCE CODE",IF(Y47=0,"RATE MISSING",IF(AND(O47="Plant",AD47="Yes",COUNTIFS($B$7:$B$306,B47,$O$7:$O$306,"Labour",$Q$7:$Q$306,"*Operator*")&gt;0),"OPERATOR DOUBLE-COUNT",IF(AND(O47="Plant",AE47="Yes",COUNTIFS($B$7:$B$306,B47,$Q$7:$Q$306,"*Fuel*")&gt;0),"FUEL DOUBLE-COUNT",IF(AH47&lt;&gt;"Yes","VERIFY","OK"))))))</f>
        <v/>
      </c>
      <c r="AJ47" s="54"/>
      <c r="AK47" s="197"/>
      <c r="AL47" s="197"/>
      <c r="AM47" s="197"/>
      <c r="AN47" s="199">
        <f>IF(AND(AK47="Yes",OR(O47="Labour",O47="Plant")),Z47,0)</f>
        <v>0</v>
      </c>
    </row>
    <row r="48" spans="1:40" ht="21.95" customHeight="1" x14ac:dyDescent="0.2">
      <c r="A48" s="80" t="str">
        <f>IF(B48="","",B48&amp;"-"&amp;TEXT(COUNTIF($B$7:B48,B48),"000"))</f>
        <v/>
      </c>
      <c r="B48" s="53"/>
      <c r="C48" s="81" t="str">
        <f>IFERROR(INDEX('QS Takeoff'!$A$3:$A$194,MATCH(B48,'QS Takeoff'!$B$3:$B$194,0)),"")</f>
        <v/>
      </c>
      <c r="D48" s="81" t="str">
        <f>IFERROR(INDEX('QS Takeoff'!$C$3:$C$194,MATCH(B48,'QS Takeoff'!$B$3:$B$194,0)),"")</f>
        <v/>
      </c>
      <c r="E48" s="81" t="str">
        <f>IFERROR(INDEX('QS Takeoff'!$E$3:$E$194,MATCH(B48,'QS Takeoff'!$B$3:$B$194,0)),"")</f>
        <v/>
      </c>
      <c r="F48" s="81" t="str">
        <f>IFERROR(INDEX('QS Takeoff'!$D$3:$D$194,MATCH(B48,'QS Takeoff'!$B$3:$B$194,0)),"")</f>
        <v/>
      </c>
      <c r="G48" s="81" t="str">
        <f>IFERROR(INDEX('QS Takeoff'!$J$3:$J$194,MATCH(B48,'QS Takeoff'!$B$3:$B$194,0)),"")</f>
        <v/>
      </c>
      <c r="H48" s="53"/>
      <c r="I48" s="60"/>
      <c r="J48" s="60"/>
      <c r="K48" s="82" t="str">
        <f t="shared" si="0"/>
        <v/>
      </c>
      <c r="L48" s="60"/>
      <c r="M48" s="82" t="str">
        <f t="shared" si="1"/>
        <v/>
      </c>
      <c r="N48" s="53"/>
      <c r="O48" s="53"/>
      <c r="P48" s="53"/>
      <c r="Q48" s="81" t="str">
        <f>IFERROR(INDEX('Resource Rate Library'!$C$5:$C$85,MATCH(P48,'Resource Rate Library'!$A$5:$A$85,0)),"")</f>
        <v/>
      </c>
      <c r="R48" s="53"/>
      <c r="S48" s="53"/>
      <c r="T48" s="81" t="str">
        <f>IFERROR(INDEX('Resource Rate Library'!$E$5:$E$85,MATCH(P48,'Resource Rate Library'!$A$5:$A$85,0)),"")</f>
        <v/>
      </c>
      <c r="U48" s="62"/>
      <c r="V48" s="62"/>
      <c r="W48" s="83">
        <f>IFERROR(INDEX('Resource Rate Library'!$I$5:$I$85,MATCH(P48,'Resource Rate Library'!$A$5:$A$85,0)),0)</f>
        <v>0</v>
      </c>
      <c r="X48" s="52"/>
      <c r="Y48" s="83">
        <f t="shared" si="2"/>
        <v>0</v>
      </c>
      <c r="Z48" s="83" t="str">
        <f t="shared" si="3"/>
        <v/>
      </c>
      <c r="AA48" s="81" t="str">
        <f>IFERROR(INDEX('Resource Rate Library'!$N$5:$N$85,MATCH(P48,'Resource Rate Library'!$A$5:$A$85,0)),"")</f>
        <v/>
      </c>
      <c r="AB48" s="53"/>
      <c r="AC48" s="59"/>
      <c r="AD48" s="81" t="str">
        <f>IFERROR(INDEX('Resource Rate Library'!$G$5:$G$85,MATCH(P48,'Resource Rate Library'!$A$5:$A$85,0)),"")</f>
        <v/>
      </c>
      <c r="AE48" s="81" t="str">
        <f>IFERROR(INDEX('Resource Rate Library'!$H$5:$H$85,MATCH(P48,'Resource Rate Library'!$A$5:$A$85,0)),"")</f>
        <v/>
      </c>
      <c r="AF48" s="53"/>
      <c r="AG48" s="53"/>
      <c r="AH48" s="53"/>
      <c r="AI48" s="81" t="str">
        <f>IF(B48="","",IF(AND(P48="",N48&lt;&gt;"Lump Sum / Quote"),"RESOURCE CODE",IF(Y48=0,"RATE MISSING",IF(AND(O48="Plant",AD48="Yes",COUNTIFS($B$7:$B$306,B48,$O$7:$O$306,"Labour",$Q$7:$Q$306,"*Operator*")&gt;0),"OPERATOR DOUBLE-COUNT",IF(AND(O48="Plant",AE48="Yes",COUNTIFS($B$7:$B$306,B48,$Q$7:$Q$306,"*Fuel*")&gt;0),"FUEL DOUBLE-COUNT",IF(AH48&lt;&gt;"Yes","VERIFY","OK"))))))</f>
        <v/>
      </c>
      <c r="AJ48" s="54"/>
      <c r="AK48" s="197"/>
      <c r="AL48" s="197"/>
      <c r="AM48" s="197"/>
      <c r="AN48" s="199">
        <f>IF(AND(AK48="Yes",OR(O48="Labour",O48="Plant")),Z48,0)</f>
        <v>0</v>
      </c>
    </row>
    <row r="49" spans="1:40" ht="21.95" customHeight="1" x14ac:dyDescent="0.2">
      <c r="A49" s="80" t="str">
        <f>IF(B49="","",B49&amp;"-"&amp;TEXT(COUNTIF($B$7:B49,B49),"000"))</f>
        <v/>
      </c>
      <c r="B49" s="53"/>
      <c r="C49" s="81" t="str">
        <f>IFERROR(INDEX('QS Takeoff'!$A$3:$A$194,MATCH(B49,'QS Takeoff'!$B$3:$B$194,0)),"")</f>
        <v/>
      </c>
      <c r="D49" s="81" t="str">
        <f>IFERROR(INDEX('QS Takeoff'!$C$3:$C$194,MATCH(B49,'QS Takeoff'!$B$3:$B$194,0)),"")</f>
        <v/>
      </c>
      <c r="E49" s="81" t="str">
        <f>IFERROR(INDEX('QS Takeoff'!$E$3:$E$194,MATCH(B49,'QS Takeoff'!$B$3:$B$194,0)),"")</f>
        <v/>
      </c>
      <c r="F49" s="81" t="str">
        <f>IFERROR(INDEX('QS Takeoff'!$D$3:$D$194,MATCH(B49,'QS Takeoff'!$B$3:$B$194,0)),"")</f>
        <v/>
      </c>
      <c r="G49" s="81" t="str">
        <f>IFERROR(INDEX('QS Takeoff'!$J$3:$J$194,MATCH(B49,'QS Takeoff'!$B$3:$B$194,0)),"")</f>
        <v/>
      </c>
      <c r="H49" s="53"/>
      <c r="I49" s="60"/>
      <c r="J49" s="60"/>
      <c r="K49" s="82" t="str">
        <f t="shared" si="0"/>
        <v/>
      </c>
      <c r="L49" s="60"/>
      <c r="M49" s="82" t="str">
        <f t="shared" si="1"/>
        <v/>
      </c>
      <c r="N49" s="53"/>
      <c r="O49" s="53"/>
      <c r="P49" s="53"/>
      <c r="Q49" s="81" t="str">
        <f>IFERROR(INDEX('Resource Rate Library'!$C$5:$C$85,MATCH(P49,'Resource Rate Library'!$A$5:$A$85,0)),"")</f>
        <v/>
      </c>
      <c r="R49" s="53"/>
      <c r="S49" s="53"/>
      <c r="T49" s="81" t="str">
        <f>IFERROR(INDEX('Resource Rate Library'!$E$5:$E$85,MATCH(P49,'Resource Rate Library'!$A$5:$A$85,0)),"")</f>
        <v/>
      </c>
      <c r="U49" s="62"/>
      <c r="V49" s="62"/>
      <c r="W49" s="83">
        <f>IFERROR(INDEX('Resource Rate Library'!$I$5:$I$85,MATCH(P49,'Resource Rate Library'!$A$5:$A$85,0)),0)</f>
        <v>0</v>
      </c>
      <c r="X49" s="52"/>
      <c r="Y49" s="83">
        <f t="shared" si="2"/>
        <v>0</v>
      </c>
      <c r="Z49" s="83" t="str">
        <f t="shared" si="3"/>
        <v/>
      </c>
      <c r="AA49" s="81" t="str">
        <f>IFERROR(INDEX('Resource Rate Library'!$N$5:$N$85,MATCH(P49,'Resource Rate Library'!$A$5:$A$85,0)),"")</f>
        <v/>
      </c>
      <c r="AB49" s="53"/>
      <c r="AC49" s="59"/>
      <c r="AD49" s="81" t="str">
        <f>IFERROR(INDEX('Resource Rate Library'!$G$5:$G$85,MATCH(P49,'Resource Rate Library'!$A$5:$A$85,0)),"")</f>
        <v/>
      </c>
      <c r="AE49" s="81" t="str">
        <f>IFERROR(INDEX('Resource Rate Library'!$H$5:$H$85,MATCH(P49,'Resource Rate Library'!$A$5:$A$85,0)),"")</f>
        <v/>
      </c>
      <c r="AF49" s="53"/>
      <c r="AG49" s="53"/>
      <c r="AH49" s="53"/>
      <c r="AI49" s="81" t="str">
        <f>IF(B49="","",IF(AND(P49="",N49&lt;&gt;"Lump Sum / Quote"),"RESOURCE CODE",IF(Y49=0,"RATE MISSING",IF(AND(O49="Plant",AD49="Yes",COUNTIFS($B$7:$B$306,B49,$O$7:$O$306,"Labour",$Q$7:$Q$306,"*Operator*")&gt;0),"OPERATOR DOUBLE-COUNT",IF(AND(O49="Plant",AE49="Yes",COUNTIFS($B$7:$B$306,B49,$Q$7:$Q$306,"*Fuel*")&gt;0),"FUEL DOUBLE-COUNT",IF(AH49&lt;&gt;"Yes","VERIFY","OK"))))))</f>
        <v/>
      </c>
      <c r="AJ49" s="54"/>
      <c r="AK49" s="197"/>
      <c r="AL49" s="197"/>
      <c r="AM49" s="197"/>
      <c r="AN49" s="199">
        <f>IF(AND(AK49="Yes",OR(O49="Labour",O49="Plant")),Z49,0)</f>
        <v>0</v>
      </c>
    </row>
    <row r="50" spans="1:40" ht="21.95" customHeight="1" x14ac:dyDescent="0.2">
      <c r="A50" s="80" t="str">
        <f>IF(B50="","",B50&amp;"-"&amp;TEXT(COUNTIF($B$7:B50,B50),"000"))</f>
        <v/>
      </c>
      <c r="B50" s="53"/>
      <c r="C50" s="81" t="str">
        <f>IFERROR(INDEX('QS Takeoff'!$A$3:$A$194,MATCH(B50,'QS Takeoff'!$B$3:$B$194,0)),"")</f>
        <v/>
      </c>
      <c r="D50" s="81" t="str">
        <f>IFERROR(INDEX('QS Takeoff'!$C$3:$C$194,MATCH(B50,'QS Takeoff'!$B$3:$B$194,0)),"")</f>
        <v/>
      </c>
      <c r="E50" s="81" t="str">
        <f>IFERROR(INDEX('QS Takeoff'!$E$3:$E$194,MATCH(B50,'QS Takeoff'!$B$3:$B$194,0)),"")</f>
        <v/>
      </c>
      <c r="F50" s="81" t="str">
        <f>IFERROR(INDEX('QS Takeoff'!$D$3:$D$194,MATCH(B50,'QS Takeoff'!$B$3:$B$194,0)),"")</f>
        <v/>
      </c>
      <c r="G50" s="81" t="str">
        <f>IFERROR(INDEX('QS Takeoff'!$J$3:$J$194,MATCH(B50,'QS Takeoff'!$B$3:$B$194,0)),"")</f>
        <v/>
      </c>
      <c r="H50" s="53"/>
      <c r="I50" s="60"/>
      <c r="J50" s="60"/>
      <c r="K50" s="82" t="str">
        <f t="shared" si="0"/>
        <v/>
      </c>
      <c r="L50" s="60"/>
      <c r="M50" s="82" t="str">
        <f t="shared" si="1"/>
        <v/>
      </c>
      <c r="N50" s="53"/>
      <c r="O50" s="53"/>
      <c r="P50" s="53"/>
      <c r="Q50" s="81" t="str">
        <f>IFERROR(INDEX('Resource Rate Library'!$C$5:$C$85,MATCH(P50,'Resource Rate Library'!$A$5:$A$85,0)),"")</f>
        <v/>
      </c>
      <c r="R50" s="53"/>
      <c r="S50" s="53"/>
      <c r="T50" s="81" t="str">
        <f>IFERROR(INDEX('Resource Rate Library'!$E$5:$E$85,MATCH(P50,'Resource Rate Library'!$A$5:$A$85,0)),"")</f>
        <v/>
      </c>
      <c r="U50" s="62"/>
      <c r="V50" s="62"/>
      <c r="W50" s="83">
        <f>IFERROR(INDEX('Resource Rate Library'!$I$5:$I$85,MATCH(P50,'Resource Rate Library'!$A$5:$A$85,0)),0)</f>
        <v>0</v>
      </c>
      <c r="X50" s="52"/>
      <c r="Y50" s="83">
        <f t="shared" si="2"/>
        <v>0</v>
      </c>
      <c r="Z50" s="83" t="str">
        <f t="shared" si="3"/>
        <v/>
      </c>
      <c r="AA50" s="81" t="str">
        <f>IFERROR(INDEX('Resource Rate Library'!$N$5:$N$85,MATCH(P50,'Resource Rate Library'!$A$5:$A$85,0)),"")</f>
        <v/>
      </c>
      <c r="AB50" s="53"/>
      <c r="AC50" s="59"/>
      <c r="AD50" s="81" t="str">
        <f>IFERROR(INDEX('Resource Rate Library'!$G$5:$G$85,MATCH(P50,'Resource Rate Library'!$A$5:$A$85,0)),"")</f>
        <v/>
      </c>
      <c r="AE50" s="81" t="str">
        <f>IFERROR(INDEX('Resource Rate Library'!$H$5:$H$85,MATCH(P50,'Resource Rate Library'!$A$5:$A$85,0)),"")</f>
        <v/>
      </c>
      <c r="AF50" s="53"/>
      <c r="AG50" s="53"/>
      <c r="AH50" s="53"/>
      <c r="AI50" s="81" t="str">
        <f>IF(B50="","",IF(AND(P50="",N50&lt;&gt;"Lump Sum / Quote"),"RESOURCE CODE",IF(Y50=0,"RATE MISSING",IF(AND(O50="Plant",AD50="Yes",COUNTIFS($B$7:$B$306,B50,$O$7:$O$306,"Labour",$Q$7:$Q$306,"*Operator*")&gt;0),"OPERATOR DOUBLE-COUNT",IF(AND(O50="Plant",AE50="Yes",COUNTIFS($B$7:$B$306,B50,$Q$7:$Q$306,"*Fuel*")&gt;0),"FUEL DOUBLE-COUNT",IF(AH50&lt;&gt;"Yes","VERIFY","OK"))))))</f>
        <v/>
      </c>
      <c r="AJ50" s="54"/>
      <c r="AK50" s="197"/>
      <c r="AL50" s="197"/>
      <c r="AM50" s="197"/>
      <c r="AN50" s="199">
        <f>IF(AND(AK50="Yes",OR(O50="Labour",O50="Plant")),Z50,0)</f>
        <v>0</v>
      </c>
    </row>
    <row r="51" spans="1:40" ht="21.95" customHeight="1" x14ac:dyDescent="0.2">
      <c r="A51" s="80" t="str">
        <f>IF(B51="","",B51&amp;"-"&amp;TEXT(COUNTIF($B$7:B51,B51),"000"))</f>
        <v/>
      </c>
      <c r="B51" s="53"/>
      <c r="C51" s="81" t="str">
        <f>IFERROR(INDEX('QS Takeoff'!$A$3:$A$194,MATCH(B51,'QS Takeoff'!$B$3:$B$194,0)),"")</f>
        <v/>
      </c>
      <c r="D51" s="81" t="str">
        <f>IFERROR(INDEX('QS Takeoff'!$C$3:$C$194,MATCH(B51,'QS Takeoff'!$B$3:$B$194,0)),"")</f>
        <v/>
      </c>
      <c r="E51" s="81" t="str">
        <f>IFERROR(INDEX('QS Takeoff'!$E$3:$E$194,MATCH(B51,'QS Takeoff'!$B$3:$B$194,0)),"")</f>
        <v/>
      </c>
      <c r="F51" s="81" t="str">
        <f>IFERROR(INDEX('QS Takeoff'!$D$3:$D$194,MATCH(B51,'QS Takeoff'!$B$3:$B$194,0)),"")</f>
        <v/>
      </c>
      <c r="G51" s="81" t="str">
        <f>IFERROR(INDEX('QS Takeoff'!$J$3:$J$194,MATCH(B51,'QS Takeoff'!$B$3:$B$194,0)),"")</f>
        <v/>
      </c>
      <c r="H51" s="53"/>
      <c r="I51" s="60"/>
      <c r="J51" s="60"/>
      <c r="K51" s="82" t="str">
        <f t="shared" si="0"/>
        <v/>
      </c>
      <c r="L51" s="60"/>
      <c r="M51" s="82" t="str">
        <f t="shared" si="1"/>
        <v/>
      </c>
      <c r="N51" s="53"/>
      <c r="O51" s="53"/>
      <c r="P51" s="53"/>
      <c r="Q51" s="81" t="str">
        <f>IFERROR(INDEX('Resource Rate Library'!$C$5:$C$85,MATCH(P51,'Resource Rate Library'!$A$5:$A$85,0)),"")</f>
        <v/>
      </c>
      <c r="R51" s="53"/>
      <c r="S51" s="53"/>
      <c r="T51" s="81" t="str">
        <f>IFERROR(INDEX('Resource Rate Library'!$E$5:$E$85,MATCH(P51,'Resource Rate Library'!$A$5:$A$85,0)),"")</f>
        <v/>
      </c>
      <c r="U51" s="62"/>
      <c r="V51" s="62"/>
      <c r="W51" s="83">
        <f>IFERROR(INDEX('Resource Rate Library'!$I$5:$I$85,MATCH(P51,'Resource Rate Library'!$A$5:$A$85,0)),0)</f>
        <v>0</v>
      </c>
      <c r="X51" s="52"/>
      <c r="Y51" s="83">
        <f t="shared" si="2"/>
        <v>0</v>
      </c>
      <c r="Z51" s="83" t="str">
        <f t="shared" si="3"/>
        <v/>
      </c>
      <c r="AA51" s="81" t="str">
        <f>IFERROR(INDEX('Resource Rate Library'!$N$5:$N$85,MATCH(P51,'Resource Rate Library'!$A$5:$A$85,0)),"")</f>
        <v/>
      </c>
      <c r="AB51" s="53"/>
      <c r="AC51" s="59"/>
      <c r="AD51" s="81" t="str">
        <f>IFERROR(INDEX('Resource Rate Library'!$G$5:$G$85,MATCH(P51,'Resource Rate Library'!$A$5:$A$85,0)),"")</f>
        <v/>
      </c>
      <c r="AE51" s="81" t="str">
        <f>IFERROR(INDEX('Resource Rate Library'!$H$5:$H$85,MATCH(P51,'Resource Rate Library'!$A$5:$A$85,0)),"")</f>
        <v/>
      </c>
      <c r="AF51" s="53"/>
      <c r="AG51" s="53"/>
      <c r="AH51" s="53"/>
      <c r="AI51" s="81" t="str">
        <f>IF(B51="","",IF(AND(P51="",N51&lt;&gt;"Lump Sum / Quote"),"RESOURCE CODE",IF(Y51=0,"RATE MISSING",IF(AND(O51="Plant",AD51="Yes",COUNTIFS($B$7:$B$306,B51,$O$7:$O$306,"Labour",$Q$7:$Q$306,"*Operator*")&gt;0),"OPERATOR DOUBLE-COUNT",IF(AND(O51="Plant",AE51="Yes",COUNTIFS($B$7:$B$306,B51,$Q$7:$Q$306,"*Fuel*")&gt;0),"FUEL DOUBLE-COUNT",IF(AH51&lt;&gt;"Yes","VERIFY","OK"))))))</f>
        <v/>
      </c>
      <c r="AJ51" s="54"/>
      <c r="AK51" s="197"/>
      <c r="AL51" s="197"/>
      <c r="AM51" s="197"/>
      <c r="AN51" s="199">
        <f>IF(AND(AK51="Yes",OR(O51="Labour",O51="Plant")),Z51,0)</f>
        <v>0</v>
      </c>
    </row>
    <row r="52" spans="1:40" ht="21.95" customHeight="1" x14ac:dyDescent="0.2">
      <c r="A52" s="80" t="str">
        <f>IF(B52="","",B52&amp;"-"&amp;TEXT(COUNTIF($B$7:B52,B52),"000"))</f>
        <v/>
      </c>
      <c r="B52" s="53"/>
      <c r="C52" s="81" t="str">
        <f>IFERROR(INDEX('QS Takeoff'!$A$3:$A$194,MATCH(B52,'QS Takeoff'!$B$3:$B$194,0)),"")</f>
        <v/>
      </c>
      <c r="D52" s="81" t="str">
        <f>IFERROR(INDEX('QS Takeoff'!$C$3:$C$194,MATCH(B52,'QS Takeoff'!$B$3:$B$194,0)),"")</f>
        <v/>
      </c>
      <c r="E52" s="81" t="str">
        <f>IFERROR(INDEX('QS Takeoff'!$E$3:$E$194,MATCH(B52,'QS Takeoff'!$B$3:$B$194,0)),"")</f>
        <v/>
      </c>
      <c r="F52" s="81" t="str">
        <f>IFERROR(INDEX('QS Takeoff'!$D$3:$D$194,MATCH(B52,'QS Takeoff'!$B$3:$B$194,0)),"")</f>
        <v/>
      </c>
      <c r="G52" s="81" t="str">
        <f>IFERROR(INDEX('QS Takeoff'!$J$3:$J$194,MATCH(B52,'QS Takeoff'!$B$3:$B$194,0)),"")</f>
        <v/>
      </c>
      <c r="H52" s="53"/>
      <c r="I52" s="60"/>
      <c r="J52" s="60"/>
      <c r="K52" s="82" t="str">
        <f t="shared" si="0"/>
        <v/>
      </c>
      <c r="L52" s="60"/>
      <c r="M52" s="82" t="str">
        <f t="shared" si="1"/>
        <v/>
      </c>
      <c r="N52" s="53"/>
      <c r="O52" s="53"/>
      <c r="P52" s="53"/>
      <c r="Q52" s="81" t="str">
        <f>IFERROR(INDEX('Resource Rate Library'!$C$5:$C$85,MATCH(P52,'Resource Rate Library'!$A$5:$A$85,0)),"")</f>
        <v/>
      </c>
      <c r="R52" s="53"/>
      <c r="S52" s="53"/>
      <c r="T52" s="81" t="str">
        <f>IFERROR(INDEX('Resource Rate Library'!$E$5:$E$85,MATCH(P52,'Resource Rate Library'!$A$5:$A$85,0)),"")</f>
        <v/>
      </c>
      <c r="U52" s="62"/>
      <c r="V52" s="62"/>
      <c r="W52" s="83">
        <f>IFERROR(INDEX('Resource Rate Library'!$I$5:$I$85,MATCH(P52,'Resource Rate Library'!$A$5:$A$85,0)),0)</f>
        <v>0</v>
      </c>
      <c r="X52" s="52"/>
      <c r="Y52" s="83">
        <f t="shared" si="2"/>
        <v>0</v>
      </c>
      <c r="Z52" s="83" t="str">
        <f t="shared" si="3"/>
        <v/>
      </c>
      <c r="AA52" s="81" t="str">
        <f>IFERROR(INDEX('Resource Rate Library'!$N$5:$N$85,MATCH(P52,'Resource Rate Library'!$A$5:$A$85,0)),"")</f>
        <v/>
      </c>
      <c r="AB52" s="53"/>
      <c r="AC52" s="59"/>
      <c r="AD52" s="81" t="str">
        <f>IFERROR(INDEX('Resource Rate Library'!$G$5:$G$85,MATCH(P52,'Resource Rate Library'!$A$5:$A$85,0)),"")</f>
        <v/>
      </c>
      <c r="AE52" s="81" t="str">
        <f>IFERROR(INDEX('Resource Rate Library'!$H$5:$H$85,MATCH(P52,'Resource Rate Library'!$A$5:$A$85,0)),"")</f>
        <v/>
      </c>
      <c r="AF52" s="53"/>
      <c r="AG52" s="53"/>
      <c r="AH52" s="53"/>
      <c r="AI52" s="81" t="str">
        <f>IF(B52="","",IF(AND(P52="",N52&lt;&gt;"Lump Sum / Quote"),"RESOURCE CODE",IF(Y52=0,"RATE MISSING",IF(AND(O52="Plant",AD52="Yes",COUNTIFS($B$7:$B$306,B52,$O$7:$O$306,"Labour",$Q$7:$Q$306,"*Operator*")&gt;0),"OPERATOR DOUBLE-COUNT",IF(AND(O52="Plant",AE52="Yes",COUNTIFS($B$7:$B$306,B52,$Q$7:$Q$306,"*Fuel*")&gt;0),"FUEL DOUBLE-COUNT",IF(AH52&lt;&gt;"Yes","VERIFY","OK"))))))</f>
        <v/>
      </c>
      <c r="AJ52" s="54"/>
      <c r="AK52" s="197"/>
      <c r="AL52" s="197"/>
      <c r="AM52" s="197"/>
      <c r="AN52" s="199">
        <f>IF(AND(AK52="Yes",OR(O52="Labour",O52="Plant")),Z52,0)</f>
        <v>0</v>
      </c>
    </row>
    <row r="53" spans="1:40" ht="21.95" customHeight="1" x14ac:dyDescent="0.2">
      <c r="A53" s="80" t="str">
        <f>IF(B53="","",B53&amp;"-"&amp;TEXT(COUNTIF($B$7:B53,B53),"000"))</f>
        <v/>
      </c>
      <c r="B53" s="53"/>
      <c r="C53" s="81" t="str">
        <f>IFERROR(INDEX('QS Takeoff'!$A$3:$A$194,MATCH(B53,'QS Takeoff'!$B$3:$B$194,0)),"")</f>
        <v/>
      </c>
      <c r="D53" s="81" t="str">
        <f>IFERROR(INDEX('QS Takeoff'!$C$3:$C$194,MATCH(B53,'QS Takeoff'!$B$3:$B$194,0)),"")</f>
        <v/>
      </c>
      <c r="E53" s="81" t="str">
        <f>IFERROR(INDEX('QS Takeoff'!$E$3:$E$194,MATCH(B53,'QS Takeoff'!$B$3:$B$194,0)),"")</f>
        <v/>
      </c>
      <c r="F53" s="81" t="str">
        <f>IFERROR(INDEX('QS Takeoff'!$D$3:$D$194,MATCH(B53,'QS Takeoff'!$B$3:$B$194,0)),"")</f>
        <v/>
      </c>
      <c r="G53" s="81" t="str">
        <f>IFERROR(INDEX('QS Takeoff'!$J$3:$J$194,MATCH(B53,'QS Takeoff'!$B$3:$B$194,0)),"")</f>
        <v/>
      </c>
      <c r="H53" s="53"/>
      <c r="I53" s="60"/>
      <c r="J53" s="60"/>
      <c r="K53" s="82" t="str">
        <f t="shared" si="0"/>
        <v/>
      </c>
      <c r="L53" s="60"/>
      <c r="M53" s="82" t="str">
        <f t="shared" si="1"/>
        <v/>
      </c>
      <c r="N53" s="53"/>
      <c r="O53" s="53"/>
      <c r="P53" s="53"/>
      <c r="Q53" s="81" t="str">
        <f>IFERROR(INDEX('Resource Rate Library'!$C$5:$C$85,MATCH(P53,'Resource Rate Library'!$A$5:$A$85,0)),"")</f>
        <v/>
      </c>
      <c r="R53" s="53"/>
      <c r="S53" s="53"/>
      <c r="T53" s="81" t="str">
        <f>IFERROR(INDEX('Resource Rate Library'!$E$5:$E$85,MATCH(P53,'Resource Rate Library'!$A$5:$A$85,0)),"")</f>
        <v/>
      </c>
      <c r="U53" s="62"/>
      <c r="V53" s="62"/>
      <c r="W53" s="83">
        <f>IFERROR(INDEX('Resource Rate Library'!$I$5:$I$85,MATCH(P53,'Resource Rate Library'!$A$5:$A$85,0)),0)</f>
        <v>0</v>
      </c>
      <c r="X53" s="52"/>
      <c r="Y53" s="83">
        <f t="shared" si="2"/>
        <v>0</v>
      </c>
      <c r="Z53" s="83" t="str">
        <f t="shared" si="3"/>
        <v/>
      </c>
      <c r="AA53" s="81" t="str">
        <f>IFERROR(INDEX('Resource Rate Library'!$N$5:$N$85,MATCH(P53,'Resource Rate Library'!$A$5:$A$85,0)),"")</f>
        <v/>
      </c>
      <c r="AB53" s="53"/>
      <c r="AC53" s="59"/>
      <c r="AD53" s="81" t="str">
        <f>IFERROR(INDEX('Resource Rate Library'!$G$5:$G$85,MATCH(P53,'Resource Rate Library'!$A$5:$A$85,0)),"")</f>
        <v/>
      </c>
      <c r="AE53" s="81" t="str">
        <f>IFERROR(INDEX('Resource Rate Library'!$H$5:$H$85,MATCH(P53,'Resource Rate Library'!$A$5:$A$85,0)),"")</f>
        <v/>
      </c>
      <c r="AF53" s="53"/>
      <c r="AG53" s="53"/>
      <c r="AH53" s="53"/>
      <c r="AI53" s="81" t="str">
        <f>IF(B53="","",IF(AND(P53="",N53&lt;&gt;"Lump Sum / Quote"),"RESOURCE CODE",IF(Y53=0,"RATE MISSING",IF(AND(O53="Plant",AD53="Yes",COUNTIFS($B$7:$B$306,B53,$O$7:$O$306,"Labour",$Q$7:$Q$306,"*Operator*")&gt;0),"OPERATOR DOUBLE-COUNT",IF(AND(O53="Plant",AE53="Yes",COUNTIFS($B$7:$B$306,B53,$Q$7:$Q$306,"*Fuel*")&gt;0),"FUEL DOUBLE-COUNT",IF(AH53&lt;&gt;"Yes","VERIFY","OK"))))))</f>
        <v/>
      </c>
      <c r="AJ53" s="54"/>
      <c r="AK53" s="197"/>
      <c r="AL53" s="197"/>
      <c r="AM53" s="197"/>
      <c r="AN53" s="199">
        <f>IF(AND(AK53="Yes",OR(O53="Labour",O53="Plant")),Z53,0)</f>
        <v>0</v>
      </c>
    </row>
    <row r="54" spans="1:40" ht="21.95" customHeight="1" x14ac:dyDescent="0.2">
      <c r="A54" s="80" t="str">
        <f>IF(B54="","",B54&amp;"-"&amp;TEXT(COUNTIF($B$7:B54,B54),"000"))</f>
        <v/>
      </c>
      <c r="B54" s="53"/>
      <c r="C54" s="81" t="str">
        <f>IFERROR(INDEX('QS Takeoff'!$A$3:$A$194,MATCH(B54,'QS Takeoff'!$B$3:$B$194,0)),"")</f>
        <v/>
      </c>
      <c r="D54" s="81" t="str">
        <f>IFERROR(INDEX('QS Takeoff'!$C$3:$C$194,MATCH(B54,'QS Takeoff'!$B$3:$B$194,0)),"")</f>
        <v/>
      </c>
      <c r="E54" s="81" t="str">
        <f>IFERROR(INDEX('QS Takeoff'!$E$3:$E$194,MATCH(B54,'QS Takeoff'!$B$3:$B$194,0)),"")</f>
        <v/>
      </c>
      <c r="F54" s="81" t="str">
        <f>IFERROR(INDEX('QS Takeoff'!$D$3:$D$194,MATCH(B54,'QS Takeoff'!$B$3:$B$194,0)),"")</f>
        <v/>
      </c>
      <c r="G54" s="81" t="str">
        <f>IFERROR(INDEX('QS Takeoff'!$J$3:$J$194,MATCH(B54,'QS Takeoff'!$B$3:$B$194,0)),"")</f>
        <v/>
      </c>
      <c r="H54" s="53"/>
      <c r="I54" s="60"/>
      <c r="J54" s="60"/>
      <c r="K54" s="82" t="str">
        <f t="shared" si="0"/>
        <v/>
      </c>
      <c r="L54" s="60"/>
      <c r="M54" s="82" t="str">
        <f t="shared" si="1"/>
        <v/>
      </c>
      <c r="N54" s="53"/>
      <c r="O54" s="53"/>
      <c r="P54" s="53"/>
      <c r="Q54" s="81" t="str">
        <f>IFERROR(INDEX('Resource Rate Library'!$C$5:$C$85,MATCH(P54,'Resource Rate Library'!$A$5:$A$85,0)),"")</f>
        <v/>
      </c>
      <c r="R54" s="53"/>
      <c r="S54" s="53"/>
      <c r="T54" s="81" t="str">
        <f>IFERROR(INDEX('Resource Rate Library'!$E$5:$E$85,MATCH(P54,'Resource Rate Library'!$A$5:$A$85,0)),"")</f>
        <v/>
      </c>
      <c r="U54" s="62"/>
      <c r="V54" s="62"/>
      <c r="W54" s="83">
        <f>IFERROR(INDEX('Resource Rate Library'!$I$5:$I$85,MATCH(P54,'Resource Rate Library'!$A$5:$A$85,0)),0)</f>
        <v>0</v>
      </c>
      <c r="X54" s="52"/>
      <c r="Y54" s="83">
        <f t="shared" si="2"/>
        <v>0</v>
      </c>
      <c r="Z54" s="83" t="str">
        <f t="shared" si="3"/>
        <v/>
      </c>
      <c r="AA54" s="81" t="str">
        <f>IFERROR(INDEX('Resource Rate Library'!$N$5:$N$85,MATCH(P54,'Resource Rate Library'!$A$5:$A$85,0)),"")</f>
        <v/>
      </c>
      <c r="AB54" s="53"/>
      <c r="AC54" s="59"/>
      <c r="AD54" s="81" t="str">
        <f>IFERROR(INDEX('Resource Rate Library'!$G$5:$G$85,MATCH(P54,'Resource Rate Library'!$A$5:$A$85,0)),"")</f>
        <v/>
      </c>
      <c r="AE54" s="81" t="str">
        <f>IFERROR(INDEX('Resource Rate Library'!$H$5:$H$85,MATCH(P54,'Resource Rate Library'!$A$5:$A$85,0)),"")</f>
        <v/>
      </c>
      <c r="AF54" s="53"/>
      <c r="AG54" s="53"/>
      <c r="AH54" s="53"/>
      <c r="AI54" s="81" t="str">
        <f>IF(B54="","",IF(AND(P54="",N54&lt;&gt;"Lump Sum / Quote"),"RESOURCE CODE",IF(Y54=0,"RATE MISSING",IF(AND(O54="Plant",AD54="Yes",COUNTIFS($B$7:$B$306,B54,$O$7:$O$306,"Labour",$Q$7:$Q$306,"*Operator*")&gt;0),"OPERATOR DOUBLE-COUNT",IF(AND(O54="Plant",AE54="Yes",COUNTIFS($B$7:$B$306,B54,$Q$7:$Q$306,"*Fuel*")&gt;0),"FUEL DOUBLE-COUNT",IF(AH54&lt;&gt;"Yes","VERIFY","OK"))))))</f>
        <v/>
      </c>
      <c r="AJ54" s="54"/>
      <c r="AK54" s="197"/>
      <c r="AL54" s="197"/>
      <c r="AM54" s="197"/>
      <c r="AN54" s="199">
        <f>IF(AND(AK54="Yes",OR(O54="Labour",O54="Plant")),Z54,0)</f>
        <v>0</v>
      </c>
    </row>
    <row r="55" spans="1:40" ht="21.95" customHeight="1" x14ac:dyDescent="0.2">
      <c r="A55" s="80" t="str">
        <f>IF(B55="","",B55&amp;"-"&amp;TEXT(COUNTIF($B$7:B55,B55),"000"))</f>
        <v/>
      </c>
      <c r="B55" s="53"/>
      <c r="C55" s="81" t="str">
        <f>IFERROR(INDEX('QS Takeoff'!$A$3:$A$194,MATCH(B55,'QS Takeoff'!$B$3:$B$194,0)),"")</f>
        <v/>
      </c>
      <c r="D55" s="81" t="str">
        <f>IFERROR(INDEX('QS Takeoff'!$C$3:$C$194,MATCH(B55,'QS Takeoff'!$B$3:$B$194,0)),"")</f>
        <v/>
      </c>
      <c r="E55" s="81" t="str">
        <f>IFERROR(INDEX('QS Takeoff'!$E$3:$E$194,MATCH(B55,'QS Takeoff'!$B$3:$B$194,0)),"")</f>
        <v/>
      </c>
      <c r="F55" s="81" t="str">
        <f>IFERROR(INDEX('QS Takeoff'!$D$3:$D$194,MATCH(B55,'QS Takeoff'!$B$3:$B$194,0)),"")</f>
        <v/>
      </c>
      <c r="G55" s="81" t="str">
        <f>IFERROR(INDEX('QS Takeoff'!$J$3:$J$194,MATCH(B55,'QS Takeoff'!$B$3:$B$194,0)),"")</f>
        <v/>
      </c>
      <c r="H55" s="53"/>
      <c r="I55" s="60"/>
      <c r="J55" s="60"/>
      <c r="K55" s="82" t="str">
        <f t="shared" si="0"/>
        <v/>
      </c>
      <c r="L55" s="60"/>
      <c r="M55" s="82" t="str">
        <f t="shared" si="1"/>
        <v/>
      </c>
      <c r="N55" s="53"/>
      <c r="O55" s="53"/>
      <c r="P55" s="53"/>
      <c r="Q55" s="81" t="str">
        <f>IFERROR(INDEX('Resource Rate Library'!$C$5:$C$85,MATCH(P55,'Resource Rate Library'!$A$5:$A$85,0)),"")</f>
        <v/>
      </c>
      <c r="R55" s="53"/>
      <c r="S55" s="53"/>
      <c r="T55" s="81" t="str">
        <f>IFERROR(INDEX('Resource Rate Library'!$E$5:$E$85,MATCH(P55,'Resource Rate Library'!$A$5:$A$85,0)),"")</f>
        <v/>
      </c>
      <c r="U55" s="62"/>
      <c r="V55" s="62"/>
      <c r="W55" s="83">
        <f>IFERROR(INDEX('Resource Rate Library'!$I$5:$I$85,MATCH(P55,'Resource Rate Library'!$A$5:$A$85,0)),0)</f>
        <v>0</v>
      </c>
      <c r="X55" s="52"/>
      <c r="Y55" s="83">
        <f t="shared" si="2"/>
        <v>0</v>
      </c>
      <c r="Z55" s="83" t="str">
        <f t="shared" si="3"/>
        <v/>
      </c>
      <c r="AA55" s="81" t="str">
        <f>IFERROR(INDEX('Resource Rate Library'!$N$5:$N$85,MATCH(P55,'Resource Rate Library'!$A$5:$A$85,0)),"")</f>
        <v/>
      </c>
      <c r="AB55" s="53"/>
      <c r="AC55" s="59"/>
      <c r="AD55" s="81" t="str">
        <f>IFERROR(INDEX('Resource Rate Library'!$G$5:$G$85,MATCH(P55,'Resource Rate Library'!$A$5:$A$85,0)),"")</f>
        <v/>
      </c>
      <c r="AE55" s="81" t="str">
        <f>IFERROR(INDEX('Resource Rate Library'!$H$5:$H$85,MATCH(P55,'Resource Rate Library'!$A$5:$A$85,0)),"")</f>
        <v/>
      </c>
      <c r="AF55" s="53"/>
      <c r="AG55" s="53"/>
      <c r="AH55" s="53"/>
      <c r="AI55" s="81" t="str">
        <f>IF(B55="","",IF(AND(P55="",N55&lt;&gt;"Lump Sum / Quote"),"RESOURCE CODE",IF(Y55=0,"RATE MISSING",IF(AND(O55="Plant",AD55="Yes",COUNTIFS($B$7:$B$306,B55,$O$7:$O$306,"Labour",$Q$7:$Q$306,"*Operator*")&gt;0),"OPERATOR DOUBLE-COUNT",IF(AND(O55="Plant",AE55="Yes",COUNTIFS($B$7:$B$306,B55,$Q$7:$Q$306,"*Fuel*")&gt;0),"FUEL DOUBLE-COUNT",IF(AH55&lt;&gt;"Yes","VERIFY","OK"))))))</f>
        <v/>
      </c>
      <c r="AJ55" s="54"/>
      <c r="AK55" s="197"/>
      <c r="AL55" s="197"/>
      <c r="AM55" s="197"/>
      <c r="AN55" s="199">
        <f>IF(AND(AK55="Yes",OR(O55="Labour",O55="Plant")),Z55,0)</f>
        <v>0</v>
      </c>
    </row>
    <row r="56" spans="1:40" ht="21.95" customHeight="1" x14ac:dyDescent="0.2">
      <c r="A56" s="80" t="str">
        <f>IF(B56="","",B56&amp;"-"&amp;TEXT(COUNTIF($B$7:B56,B56),"000"))</f>
        <v/>
      </c>
      <c r="B56" s="53"/>
      <c r="C56" s="81" t="str">
        <f>IFERROR(INDEX('QS Takeoff'!$A$3:$A$194,MATCH(B56,'QS Takeoff'!$B$3:$B$194,0)),"")</f>
        <v/>
      </c>
      <c r="D56" s="81" t="str">
        <f>IFERROR(INDEX('QS Takeoff'!$C$3:$C$194,MATCH(B56,'QS Takeoff'!$B$3:$B$194,0)),"")</f>
        <v/>
      </c>
      <c r="E56" s="81" t="str">
        <f>IFERROR(INDEX('QS Takeoff'!$E$3:$E$194,MATCH(B56,'QS Takeoff'!$B$3:$B$194,0)),"")</f>
        <v/>
      </c>
      <c r="F56" s="81" t="str">
        <f>IFERROR(INDEX('QS Takeoff'!$D$3:$D$194,MATCH(B56,'QS Takeoff'!$B$3:$B$194,0)),"")</f>
        <v/>
      </c>
      <c r="G56" s="81" t="str">
        <f>IFERROR(INDEX('QS Takeoff'!$J$3:$J$194,MATCH(B56,'QS Takeoff'!$B$3:$B$194,0)),"")</f>
        <v/>
      </c>
      <c r="H56" s="53"/>
      <c r="I56" s="60"/>
      <c r="J56" s="60"/>
      <c r="K56" s="82" t="str">
        <f t="shared" si="0"/>
        <v/>
      </c>
      <c r="L56" s="60"/>
      <c r="M56" s="82" t="str">
        <f t="shared" si="1"/>
        <v/>
      </c>
      <c r="N56" s="53"/>
      <c r="O56" s="53"/>
      <c r="P56" s="53"/>
      <c r="Q56" s="81" t="str">
        <f>IFERROR(INDEX('Resource Rate Library'!$C$5:$C$85,MATCH(P56,'Resource Rate Library'!$A$5:$A$85,0)),"")</f>
        <v/>
      </c>
      <c r="R56" s="53"/>
      <c r="S56" s="53"/>
      <c r="T56" s="81" t="str">
        <f>IFERROR(INDEX('Resource Rate Library'!$E$5:$E$85,MATCH(P56,'Resource Rate Library'!$A$5:$A$85,0)),"")</f>
        <v/>
      </c>
      <c r="U56" s="62"/>
      <c r="V56" s="62"/>
      <c r="W56" s="83">
        <f>IFERROR(INDEX('Resource Rate Library'!$I$5:$I$85,MATCH(P56,'Resource Rate Library'!$A$5:$A$85,0)),0)</f>
        <v>0</v>
      </c>
      <c r="X56" s="52"/>
      <c r="Y56" s="83">
        <f t="shared" si="2"/>
        <v>0</v>
      </c>
      <c r="Z56" s="83" t="str">
        <f t="shared" si="3"/>
        <v/>
      </c>
      <c r="AA56" s="81" t="str">
        <f>IFERROR(INDEX('Resource Rate Library'!$N$5:$N$85,MATCH(P56,'Resource Rate Library'!$A$5:$A$85,0)),"")</f>
        <v/>
      </c>
      <c r="AB56" s="53"/>
      <c r="AC56" s="59"/>
      <c r="AD56" s="81" t="str">
        <f>IFERROR(INDEX('Resource Rate Library'!$G$5:$G$85,MATCH(P56,'Resource Rate Library'!$A$5:$A$85,0)),"")</f>
        <v/>
      </c>
      <c r="AE56" s="81" t="str">
        <f>IFERROR(INDEX('Resource Rate Library'!$H$5:$H$85,MATCH(P56,'Resource Rate Library'!$A$5:$A$85,0)),"")</f>
        <v/>
      </c>
      <c r="AF56" s="53"/>
      <c r="AG56" s="53"/>
      <c r="AH56" s="53"/>
      <c r="AI56" s="81" t="str">
        <f>IF(B56="","",IF(AND(P56="",N56&lt;&gt;"Lump Sum / Quote"),"RESOURCE CODE",IF(Y56=0,"RATE MISSING",IF(AND(O56="Plant",AD56="Yes",COUNTIFS($B$7:$B$306,B56,$O$7:$O$306,"Labour",$Q$7:$Q$306,"*Operator*")&gt;0),"OPERATOR DOUBLE-COUNT",IF(AND(O56="Plant",AE56="Yes",COUNTIFS($B$7:$B$306,B56,$Q$7:$Q$306,"*Fuel*")&gt;0),"FUEL DOUBLE-COUNT",IF(AH56&lt;&gt;"Yes","VERIFY","OK"))))))</f>
        <v/>
      </c>
      <c r="AJ56" s="54"/>
      <c r="AK56" s="197"/>
      <c r="AL56" s="197"/>
      <c r="AM56" s="197"/>
      <c r="AN56" s="199">
        <f>IF(AND(AK56="Yes",OR(O56="Labour",O56="Plant")),Z56,0)</f>
        <v>0</v>
      </c>
    </row>
    <row r="57" spans="1:40" ht="21.95" customHeight="1" x14ac:dyDescent="0.2">
      <c r="A57" s="80" t="str">
        <f>IF(B57="","",B57&amp;"-"&amp;TEXT(COUNTIF($B$7:B57,B57),"000"))</f>
        <v/>
      </c>
      <c r="B57" s="53"/>
      <c r="C57" s="81" t="str">
        <f>IFERROR(INDEX('QS Takeoff'!$A$3:$A$194,MATCH(B57,'QS Takeoff'!$B$3:$B$194,0)),"")</f>
        <v/>
      </c>
      <c r="D57" s="81" t="str">
        <f>IFERROR(INDEX('QS Takeoff'!$C$3:$C$194,MATCH(B57,'QS Takeoff'!$B$3:$B$194,0)),"")</f>
        <v/>
      </c>
      <c r="E57" s="81" t="str">
        <f>IFERROR(INDEX('QS Takeoff'!$E$3:$E$194,MATCH(B57,'QS Takeoff'!$B$3:$B$194,0)),"")</f>
        <v/>
      </c>
      <c r="F57" s="81" t="str">
        <f>IFERROR(INDEX('QS Takeoff'!$D$3:$D$194,MATCH(B57,'QS Takeoff'!$B$3:$B$194,0)),"")</f>
        <v/>
      </c>
      <c r="G57" s="81" t="str">
        <f>IFERROR(INDEX('QS Takeoff'!$J$3:$J$194,MATCH(B57,'QS Takeoff'!$B$3:$B$194,0)),"")</f>
        <v/>
      </c>
      <c r="H57" s="53"/>
      <c r="I57" s="60"/>
      <c r="J57" s="60"/>
      <c r="K57" s="82" t="str">
        <f t="shared" si="0"/>
        <v/>
      </c>
      <c r="L57" s="60"/>
      <c r="M57" s="82" t="str">
        <f t="shared" si="1"/>
        <v/>
      </c>
      <c r="N57" s="53"/>
      <c r="O57" s="53"/>
      <c r="P57" s="53"/>
      <c r="Q57" s="81" t="str">
        <f>IFERROR(INDEX('Resource Rate Library'!$C$5:$C$85,MATCH(P57,'Resource Rate Library'!$A$5:$A$85,0)),"")</f>
        <v/>
      </c>
      <c r="R57" s="53"/>
      <c r="S57" s="53"/>
      <c r="T57" s="81" t="str">
        <f>IFERROR(INDEX('Resource Rate Library'!$E$5:$E$85,MATCH(P57,'Resource Rate Library'!$A$5:$A$85,0)),"")</f>
        <v/>
      </c>
      <c r="U57" s="62"/>
      <c r="V57" s="62"/>
      <c r="W57" s="83">
        <f>IFERROR(INDEX('Resource Rate Library'!$I$5:$I$85,MATCH(P57,'Resource Rate Library'!$A$5:$A$85,0)),0)</f>
        <v>0</v>
      </c>
      <c r="X57" s="52"/>
      <c r="Y57" s="83">
        <f t="shared" si="2"/>
        <v>0</v>
      </c>
      <c r="Z57" s="83" t="str">
        <f t="shared" si="3"/>
        <v/>
      </c>
      <c r="AA57" s="81" t="str">
        <f>IFERROR(INDEX('Resource Rate Library'!$N$5:$N$85,MATCH(P57,'Resource Rate Library'!$A$5:$A$85,0)),"")</f>
        <v/>
      </c>
      <c r="AB57" s="53"/>
      <c r="AC57" s="59"/>
      <c r="AD57" s="81" t="str">
        <f>IFERROR(INDEX('Resource Rate Library'!$G$5:$G$85,MATCH(P57,'Resource Rate Library'!$A$5:$A$85,0)),"")</f>
        <v/>
      </c>
      <c r="AE57" s="81" t="str">
        <f>IFERROR(INDEX('Resource Rate Library'!$H$5:$H$85,MATCH(P57,'Resource Rate Library'!$A$5:$A$85,0)),"")</f>
        <v/>
      </c>
      <c r="AF57" s="53"/>
      <c r="AG57" s="53"/>
      <c r="AH57" s="53"/>
      <c r="AI57" s="81" t="str">
        <f>IF(B57="","",IF(AND(P57="",N57&lt;&gt;"Lump Sum / Quote"),"RESOURCE CODE",IF(Y57=0,"RATE MISSING",IF(AND(O57="Plant",AD57="Yes",COUNTIFS($B$7:$B$306,B57,$O$7:$O$306,"Labour",$Q$7:$Q$306,"*Operator*")&gt;0),"OPERATOR DOUBLE-COUNT",IF(AND(O57="Plant",AE57="Yes",COUNTIFS($B$7:$B$306,B57,$Q$7:$Q$306,"*Fuel*")&gt;0),"FUEL DOUBLE-COUNT",IF(AH57&lt;&gt;"Yes","VERIFY","OK"))))))</f>
        <v/>
      </c>
      <c r="AJ57" s="54"/>
      <c r="AK57" s="197"/>
      <c r="AL57" s="197"/>
      <c r="AM57" s="197"/>
      <c r="AN57" s="199">
        <f>IF(AND(AK57="Yes",OR(O57="Labour",O57="Plant")),Z57,0)</f>
        <v>0</v>
      </c>
    </row>
    <row r="58" spans="1:40" ht="21.95" customHeight="1" x14ac:dyDescent="0.2">
      <c r="A58" s="80" t="str">
        <f>IF(B58="","",B58&amp;"-"&amp;TEXT(COUNTIF($B$7:B58,B58),"000"))</f>
        <v/>
      </c>
      <c r="B58" s="53"/>
      <c r="C58" s="81" t="str">
        <f>IFERROR(INDEX('QS Takeoff'!$A$3:$A$194,MATCH(B58,'QS Takeoff'!$B$3:$B$194,0)),"")</f>
        <v/>
      </c>
      <c r="D58" s="81" t="str">
        <f>IFERROR(INDEX('QS Takeoff'!$C$3:$C$194,MATCH(B58,'QS Takeoff'!$B$3:$B$194,0)),"")</f>
        <v/>
      </c>
      <c r="E58" s="81" t="str">
        <f>IFERROR(INDEX('QS Takeoff'!$E$3:$E$194,MATCH(B58,'QS Takeoff'!$B$3:$B$194,0)),"")</f>
        <v/>
      </c>
      <c r="F58" s="81" t="str">
        <f>IFERROR(INDEX('QS Takeoff'!$D$3:$D$194,MATCH(B58,'QS Takeoff'!$B$3:$B$194,0)),"")</f>
        <v/>
      </c>
      <c r="G58" s="81" t="str">
        <f>IFERROR(INDEX('QS Takeoff'!$J$3:$J$194,MATCH(B58,'QS Takeoff'!$B$3:$B$194,0)),"")</f>
        <v/>
      </c>
      <c r="H58" s="53"/>
      <c r="I58" s="60"/>
      <c r="J58" s="60"/>
      <c r="K58" s="82" t="str">
        <f t="shared" si="0"/>
        <v/>
      </c>
      <c r="L58" s="60"/>
      <c r="M58" s="82" t="str">
        <f t="shared" si="1"/>
        <v/>
      </c>
      <c r="N58" s="53"/>
      <c r="O58" s="53"/>
      <c r="P58" s="53"/>
      <c r="Q58" s="81" t="str">
        <f>IFERROR(INDEX('Resource Rate Library'!$C$5:$C$85,MATCH(P58,'Resource Rate Library'!$A$5:$A$85,0)),"")</f>
        <v/>
      </c>
      <c r="R58" s="53"/>
      <c r="S58" s="53"/>
      <c r="T58" s="81" t="str">
        <f>IFERROR(INDEX('Resource Rate Library'!$E$5:$E$85,MATCH(P58,'Resource Rate Library'!$A$5:$A$85,0)),"")</f>
        <v/>
      </c>
      <c r="U58" s="62"/>
      <c r="V58" s="62"/>
      <c r="W58" s="83">
        <f>IFERROR(INDEX('Resource Rate Library'!$I$5:$I$85,MATCH(P58,'Resource Rate Library'!$A$5:$A$85,0)),0)</f>
        <v>0</v>
      </c>
      <c r="X58" s="52"/>
      <c r="Y58" s="83">
        <f t="shared" si="2"/>
        <v>0</v>
      </c>
      <c r="Z58" s="83" t="str">
        <f t="shared" si="3"/>
        <v/>
      </c>
      <c r="AA58" s="81" t="str">
        <f>IFERROR(INDEX('Resource Rate Library'!$N$5:$N$85,MATCH(P58,'Resource Rate Library'!$A$5:$A$85,0)),"")</f>
        <v/>
      </c>
      <c r="AB58" s="53"/>
      <c r="AC58" s="59"/>
      <c r="AD58" s="81" t="str">
        <f>IFERROR(INDEX('Resource Rate Library'!$G$5:$G$85,MATCH(P58,'Resource Rate Library'!$A$5:$A$85,0)),"")</f>
        <v/>
      </c>
      <c r="AE58" s="81" t="str">
        <f>IFERROR(INDEX('Resource Rate Library'!$H$5:$H$85,MATCH(P58,'Resource Rate Library'!$A$5:$A$85,0)),"")</f>
        <v/>
      </c>
      <c r="AF58" s="53"/>
      <c r="AG58" s="53"/>
      <c r="AH58" s="53"/>
      <c r="AI58" s="81" t="str">
        <f>IF(B58="","",IF(AND(P58="",N58&lt;&gt;"Lump Sum / Quote"),"RESOURCE CODE",IF(Y58=0,"RATE MISSING",IF(AND(O58="Plant",AD58="Yes",COUNTIFS($B$7:$B$306,B58,$O$7:$O$306,"Labour",$Q$7:$Q$306,"*Operator*")&gt;0),"OPERATOR DOUBLE-COUNT",IF(AND(O58="Plant",AE58="Yes",COUNTIFS($B$7:$B$306,B58,$Q$7:$Q$306,"*Fuel*")&gt;0),"FUEL DOUBLE-COUNT",IF(AH58&lt;&gt;"Yes","VERIFY","OK"))))))</f>
        <v/>
      </c>
      <c r="AJ58" s="54"/>
      <c r="AK58" s="197"/>
      <c r="AL58" s="197"/>
      <c r="AM58" s="197"/>
      <c r="AN58" s="199">
        <f>IF(AND(AK58="Yes",OR(O58="Labour",O58="Plant")),Z58,0)</f>
        <v>0</v>
      </c>
    </row>
    <row r="59" spans="1:40" ht="21.95" customHeight="1" x14ac:dyDescent="0.2">
      <c r="A59" s="80" t="str">
        <f>IF(B59="","",B59&amp;"-"&amp;TEXT(COUNTIF($B$7:B59,B59),"000"))</f>
        <v/>
      </c>
      <c r="B59" s="53"/>
      <c r="C59" s="81" t="str">
        <f>IFERROR(INDEX('QS Takeoff'!$A$3:$A$194,MATCH(B59,'QS Takeoff'!$B$3:$B$194,0)),"")</f>
        <v/>
      </c>
      <c r="D59" s="81" t="str">
        <f>IFERROR(INDEX('QS Takeoff'!$C$3:$C$194,MATCH(B59,'QS Takeoff'!$B$3:$B$194,0)),"")</f>
        <v/>
      </c>
      <c r="E59" s="81" t="str">
        <f>IFERROR(INDEX('QS Takeoff'!$E$3:$E$194,MATCH(B59,'QS Takeoff'!$B$3:$B$194,0)),"")</f>
        <v/>
      </c>
      <c r="F59" s="81" t="str">
        <f>IFERROR(INDEX('QS Takeoff'!$D$3:$D$194,MATCH(B59,'QS Takeoff'!$B$3:$B$194,0)),"")</f>
        <v/>
      </c>
      <c r="G59" s="81" t="str">
        <f>IFERROR(INDEX('QS Takeoff'!$J$3:$J$194,MATCH(B59,'QS Takeoff'!$B$3:$B$194,0)),"")</f>
        <v/>
      </c>
      <c r="H59" s="53"/>
      <c r="I59" s="60"/>
      <c r="J59" s="60"/>
      <c r="K59" s="82" t="str">
        <f t="shared" si="0"/>
        <v/>
      </c>
      <c r="L59" s="60"/>
      <c r="M59" s="82" t="str">
        <f t="shared" si="1"/>
        <v/>
      </c>
      <c r="N59" s="53"/>
      <c r="O59" s="53"/>
      <c r="P59" s="53"/>
      <c r="Q59" s="81" t="str">
        <f>IFERROR(INDEX('Resource Rate Library'!$C$5:$C$85,MATCH(P59,'Resource Rate Library'!$A$5:$A$85,0)),"")</f>
        <v/>
      </c>
      <c r="R59" s="53"/>
      <c r="S59" s="53"/>
      <c r="T59" s="81" t="str">
        <f>IFERROR(INDEX('Resource Rate Library'!$E$5:$E$85,MATCH(P59,'Resource Rate Library'!$A$5:$A$85,0)),"")</f>
        <v/>
      </c>
      <c r="U59" s="62"/>
      <c r="V59" s="62"/>
      <c r="W59" s="83">
        <f>IFERROR(INDEX('Resource Rate Library'!$I$5:$I$85,MATCH(P59,'Resource Rate Library'!$A$5:$A$85,0)),0)</f>
        <v>0</v>
      </c>
      <c r="X59" s="52"/>
      <c r="Y59" s="83">
        <f t="shared" si="2"/>
        <v>0</v>
      </c>
      <c r="Z59" s="83" t="str">
        <f t="shared" si="3"/>
        <v/>
      </c>
      <c r="AA59" s="81" t="str">
        <f>IFERROR(INDEX('Resource Rate Library'!$N$5:$N$85,MATCH(P59,'Resource Rate Library'!$A$5:$A$85,0)),"")</f>
        <v/>
      </c>
      <c r="AB59" s="53"/>
      <c r="AC59" s="59"/>
      <c r="AD59" s="81" t="str">
        <f>IFERROR(INDEX('Resource Rate Library'!$G$5:$G$85,MATCH(P59,'Resource Rate Library'!$A$5:$A$85,0)),"")</f>
        <v/>
      </c>
      <c r="AE59" s="81" t="str">
        <f>IFERROR(INDEX('Resource Rate Library'!$H$5:$H$85,MATCH(P59,'Resource Rate Library'!$A$5:$A$85,0)),"")</f>
        <v/>
      </c>
      <c r="AF59" s="53"/>
      <c r="AG59" s="53"/>
      <c r="AH59" s="53"/>
      <c r="AI59" s="81" t="str">
        <f>IF(B59="","",IF(AND(P59="",N59&lt;&gt;"Lump Sum / Quote"),"RESOURCE CODE",IF(Y59=0,"RATE MISSING",IF(AND(O59="Plant",AD59="Yes",COUNTIFS($B$7:$B$306,B59,$O$7:$O$306,"Labour",$Q$7:$Q$306,"*Operator*")&gt;0),"OPERATOR DOUBLE-COUNT",IF(AND(O59="Plant",AE59="Yes",COUNTIFS($B$7:$B$306,B59,$Q$7:$Q$306,"*Fuel*")&gt;0),"FUEL DOUBLE-COUNT",IF(AH59&lt;&gt;"Yes","VERIFY","OK"))))))</f>
        <v/>
      </c>
      <c r="AJ59" s="54"/>
      <c r="AK59" s="197"/>
      <c r="AL59" s="197"/>
      <c r="AM59" s="197"/>
      <c r="AN59" s="199">
        <f>IF(AND(AK59="Yes",OR(O59="Labour",O59="Plant")),Z59,0)</f>
        <v>0</v>
      </c>
    </row>
    <row r="60" spans="1:40" ht="21.95" customHeight="1" x14ac:dyDescent="0.2">
      <c r="A60" s="80" t="str">
        <f>IF(B60="","",B60&amp;"-"&amp;TEXT(COUNTIF($B$7:B60,B60),"000"))</f>
        <v/>
      </c>
      <c r="B60" s="53"/>
      <c r="C60" s="81" t="str">
        <f>IFERROR(INDEX('QS Takeoff'!$A$3:$A$194,MATCH(B60,'QS Takeoff'!$B$3:$B$194,0)),"")</f>
        <v/>
      </c>
      <c r="D60" s="81" t="str">
        <f>IFERROR(INDEX('QS Takeoff'!$C$3:$C$194,MATCH(B60,'QS Takeoff'!$B$3:$B$194,0)),"")</f>
        <v/>
      </c>
      <c r="E60" s="81" t="str">
        <f>IFERROR(INDEX('QS Takeoff'!$E$3:$E$194,MATCH(B60,'QS Takeoff'!$B$3:$B$194,0)),"")</f>
        <v/>
      </c>
      <c r="F60" s="81" t="str">
        <f>IFERROR(INDEX('QS Takeoff'!$D$3:$D$194,MATCH(B60,'QS Takeoff'!$B$3:$B$194,0)),"")</f>
        <v/>
      </c>
      <c r="G60" s="81" t="str">
        <f>IFERROR(INDEX('QS Takeoff'!$J$3:$J$194,MATCH(B60,'QS Takeoff'!$B$3:$B$194,0)),"")</f>
        <v/>
      </c>
      <c r="H60" s="53"/>
      <c r="I60" s="60"/>
      <c r="J60" s="60"/>
      <c r="K60" s="82" t="str">
        <f t="shared" si="0"/>
        <v/>
      </c>
      <c r="L60" s="60"/>
      <c r="M60" s="82" t="str">
        <f t="shared" si="1"/>
        <v/>
      </c>
      <c r="N60" s="53"/>
      <c r="O60" s="53"/>
      <c r="P60" s="53"/>
      <c r="Q60" s="81" t="str">
        <f>IFERROR(INDEX('Resource Rate Library'!$C$5:$C$85,MATCH(P60,'Resource Rate Library'!$A$5:$A$85,0)),"")</f>
        <v/>
      </c>
      <c r="R60" s="53"/>
      <c r="S60" s="53"/>
      <c r="T60" s="81" t="str">
        <f>IFERROR(INDEX('Resource Rate Library'!$E$5:$E$85,MATCH(P60,'Resource Rate Library'!$A$5:$A$85,0)),"")</f>
        <v/>
      </c>
      <c r="U60" s="62"/>
      <c r="V60" s="62"/>
      <c r="W60" s="83">
        <f>IFERROR(INDEX('Resource Rate Library'!$I$5:$I$85,MATCH(P60,'Resource Rate Library'!$A$5:$A$85,0)),0)</f>
        <v>0</v>
      </c>
      <c r="X60" s="52"/>
      <c r="Y60" s="83">
        <f t="shared" si="2"/>
        <v>0</v>
      </c>
      <c r="Z60" s="83" t="str">
        <f t="shared" si="3"/>
        <v/>
      </c>
      <c r="AA60" s="81" t="str">
        <f>IFERROR(INDEX('Resource Rate Library'!$N$5:$N$85,MATCH(P60,'Resource Rate Library'!$A$5:$A$85,0)),"")</f>
        <v/>
      </c>
      <c r="AB60" s="53"/>
      <c r="AC60" s="59"/>
      <c r="AD60" s="81" t="str">
        <f>IFERROR(INDEX('Resource Rate Library'!$G$5:$G$85,MATCH(P60,'Resource Rate Library'!$A$5:$A$85,0)),"")</f>
        <v/>
      </c>
      <c r="AE60" s="81" t="str">
        <f>IFERROR(INDEX('Resource Rate Library'!$H$5:$H$85,MATCH(P60,'Resource Rate Library'!$A$5:$A$85,0)),"")</f>
        <v/>
      </c>
      <c r="AF60" s="53"/>
      <c r="AG60" s="53"/>
      <c r="AH60" s="53"/>
      <c r="AI60" s="81" t="str">
        <f>IF(B60="","",IF(AND(P60="",N60&lt;&gt;"Lump Sum / Quote"),"RESOURCE CODE",IF(Y60=0,"RATE MISSING",IF(AND(O60="Plant",AD60="Yes",COUNTIFS($B$7:$B$306,B60,$O$7:$O$306,"Labour",$Q$7:$Q$306,"*Operator*")&gt;0),"OPERATOR DOUBLE-COUNT",IF(AND(O60="Plant",AE60="Yes",COUNTIFS($B$7:$B$306,B60,$Q$7:$Q$306,"*Fuel*")&gt;0),"FUEL DOUBLE-COUNT",IF(AH60&lt;&gt;"Yes","VERIFY","OK"))))))</f>
        <v/>
      </c>
      <c r="AJ60" s="54"/>
      <c r="AK60" s="197"/>
      <c r="AL60" s="197"/>
      <c r="AM60" s="197"/>
      <c r="AN60" s="199">
        <f>IF(AND(AK60="Yes",OR(O60="Labour",O60="Plant")),Z60,0)</f>
        <v>0</v>
      </c>
    </row>
    <row r="61" spans="1:40" ht="21.95" customHeight="1" x14ac:dyDescent="0.2">
      <c r="A61" s="80" t="str">
        <f>IF(B61="","",B61&amp;"-"&amp;TEXT(COUNTIF($B$7:B61,B61),"000"))</f>
        <v/>
      </c>
      <c r="B61" s="53"/>
      <c r="C61" s="81" t="str">
        <f>IFERROR(INDEX('QS Takeoff'!$A$3:$A$194,MATCH(B61,'QS Takeoff'!$B$3:$B$194,0)),"")</f>
        <v/>
      </c>
      <c r="D61" s="81" t="str">
        <f>IFERROR(INDEX('QS Takeoff'!$C$3:$C$194,MATCH(B61,'QS Takeoff'!$B$3:$B$194,0)),"")</f>
        <v/>
      </c>
      <c r="E61" s="81" t="str">
        <f>IFERROR(INDEX('QS Takeoff'!$E$3:$E$194,MATCH(B61,'QS Takeoff'!$B$3:$B$194,0)),"")</f>
        <v/>
      </c>
      <c r="F61" s="81" t="str">
        <f>IFERROR(INDEX('QS Takeoff'!$D$3:$D$194,MATCH(B61,'QS Takeoff'!$B$3:$B$194,0)),"")</f>
        <v/>
      </c>
      <c r="G61" s="81" t="str">
        <f>IFERROR(INDEX('QS Takeoff'!$J$3:$J$194,MATCH(B61,'QS Takeoff'!$B$3:$B$194,0)),"")</f>
        <v/>
      </c>
      <c r="H61" s="53"/>
      <c r="I61" s="60"/>
      <c r="J61" s="60"/>
      <c r="K61" s="82" t="str">
        <f t="shared" si="0"/>
        <v/>
      </c>
      <c r="L61" s="60"/>
      <c r="M61" s="82" t="str">
        <f t="shared" si="1"/>
        <v/>
      </c>
      <c r="N61" s="53"/>
      <c r="O61" s="53"/>
      <c r="P61" s="53"/>
      <c r="Q61" s="81" t="str">
        <f>IFERROR(INDEX('Resource Rate Library'!$C$5:$C$85,MATCH(P61,'Resource Rate Library'!$A$5:$A$85,0)),"")</f>
        <v/>
      </c>
      <c r="R61" s="53"/>
      <c r="S61" s="53"/>
      <c r="T61" s="81" t="str">
        <f>IFERROR(INDEX('Resource Rate Library'!$E$5:$E$85,MATCH(P61,'Resource Rate Library'!$A$5:$A$85,0)),"")</f>
        <v/>
      </c>
      <c r="U61" s="62"/>
      <c r="V61" s="62"/>
      <c r="W61" s="83">
        <f>IFERROR(INDEX('Resource Rate Library'!$I$5:$I$85,MATCH(P61,'Resource Rate Library'!$A$5:$A$85,0)),0)</f>
        <v>0</v>
      </c>
      <c r="X61" s="52"/>
      <c r="Y61" s="83">
        <f t="shared" si="2"/>
        <v>0</v>
      </c>
      <c r="Z61" s="83" t="str">
        <f t="shared" si="3"/>
        <v/>
      </c>
      <c r="AA61" s="81" t="str">
        <f>IFERROR(INDEX('Resource Rate Library'!$N$5:$N$85,MATCH(P61,'Resource Rate Library'!$A$5:$A$85,0)),"")</f>
        <v/>
      </c>
      <c r="AB61" s="53"/>
      <c r="AC61" s="59"/>
      <c r="AD61" s="81" t="str">
        <f>IFERROR(INDEX('Resource Rate Library'!$G$5:$G$85,MATCH(P61,'Resource Rate Library'!$A$5:$A$85,0)),"")</f>
        <v/>
      </c>
      <c r="AE61" s="81" t="str">
        <f>IFERROR(INDEX('Resource Rate Library'!$H$5:$H$85,MATCH(P61,'Resource Rate Library'!$A$5:$A$85,0)),"")</f>
        <v/>
      </c>
      <c r="AF61" s="53"/>
      <c r="AG61" s="53"/>
      <c r="AH61" s="53"/>
      <c r="AI61" s="81" t="str">
        <f>IF(B61="","",IF(AND(P61="",N61&lt;&gt;"Lump Sum / Quote"),"RESOURCE CODE",IF(Y61=0,"RATE MISSING",IF(AND(O61="Plant",AD61="Yes",COUNTIFS($B$7:$B$306,B61,$O$7:$O$306,"Labour",$Q$7:$Q$306,"*Operator*")&gt;0),"OPERATOR DOUBLE-COUNT",IF(AND(O61="Plant",AE61="Yes",COUNTIFS($B$7:$B$306,B61,$Q$7:$Q$306,"*Fuel*")&gt;0),"FUEL DOUBLE-COUNT",IF(AH61&lt;&gt;"Yes","VERIFY","OK"))))))</f>
        <v/>
      </c>
      <c r="AJ61" s="54"/>
      <c r="AK61" s="197"/>
      <c r="AL61" s="197"/>
      <c r="AM61" s="197"/>
      <c r="AN61" s="199">
        <f>IF(AND(AK61="Yes",OR(O61="Labour",O61="Plant")),Z61,0)</f>
        <v>0</v>
      </c>
    </row>
    <row r="62" spans="1:40" ht="21.95" customHeight="1" x14ac:dyDescent="0.2">
      <c r="A62" s="80" t="str">
        <f>IF(B62="","",B62&amp;"-"&amp;TEXT(COUNTIF($B$7:B62,B62),"000"))</f>
        <v/>
      </c>
      <c r="B62" s="53"/>
      <c r="C62" s="81" t="str">
        <f>IFERROR(INDEX('QS Takeoff'!$A$3:$A$194,MATCH(B62,'QS Takeoff'!$B$3:$B$194,0)),"")</f>
        <v/>
      </c>
      <c r="D62" s="81" t="str">
        <f>IFERROR(INDEX('QS Takeoff'!$C$3:$C$194,MATCH(B62,'QS Takeoff'!$B$3:$B$194,0)),"")</f>
        <v/>
      </c>
      <c r="E62" s="81" t="str">
        <f>IFERROR(INDEX('QS Takeoff'!$E$3:$E$194,MATCH(B62,'QS Takeoff'!$B$3:$B$194,0)),"")</f>
        <v/>
      </c>
      <c r="F62" s="81" t="str">
        <f>IFERROR(INDEX('QS Takeoff'!$D$3:$D$194,MATCH(B62,'QS Takeoff'!$B$3:$B$194,0)),"")</f>
        <v/>
      </c>
      <c r="G62" s="81" t="str">
        <f>IFERROR(INDEX('QS Takeoff'!$J$3:$J$194,MATCH(B62,'QS Takeoff'!$B$3:$B$194,0)),"")</f>
        <v/>
      </c>
      <c r="H62" s="53"/>
      <c r="I62" s="60"/>
      <c r="J62" s="60"/>
      <c r="K62" s="82" t="str">
        <f t="shared" si="0"/>
        <v/>
      </c>
      <c r="L62" s="60"/>
      <c r="M62" s="82" t="str">
        <f t="shared" si="1"/>
        <v/>
      </c>
      <c r="N62" s="53"/>
      <c r="O62" s="53"/>
      <c r="P62" s="53"/>
      <c r="Q62" s="81" t="str">
        <f>IFERROR(INDEX('Resource Rate Library'!$C$5:$C$85,MATCH(P62,'Resource Rate Library'!$A$5:$A$85,0)),"")</f>
        <v/>
      </c>
      <c r="R62" s="53"/>
      <c r="S62" s="53"/>
      <c r="T62" s="81" t="str">
        <f>IFERROR(INDEX('Resource Rate Library'!$E$5:$E$85,MATCH(P62,'Resource Rate Library'!$A$5:$A$85,0)),"")</f>
        <v/>
      </c>
      <c r="U62" s="62"/>
      <c r="V62" s="62"/>
      <c r="W62" s="83">
        <f>IFERROR(INDEX('Resource Rate Library'!$I$5:$I$85,MATCH(P62,'Resource Rate Library'!$A$5:$A$85,0)),0)</f>
        <v>0</v>
      </c>
      <c r="X62" s="52"/>
      <c r="Y62" s="83">
        <f t="shared" si="2"/>
        <v>0</v>
      </c>
      <c r="Z62" s="83" t="str">
        <f t="shared" si="3"/>
        <v/>
      </c>
      <c r="AA62" s="81" t="str">
        <f>IFERROR(INDEX('Resource Rate Library'!$N$5:$N$85,MATCH(P62,'Resource Rate Library'!$A$5:$A$85,0)),"")</f>
        <v/>
      </c>
      <c r="AB62" s="53"/>
      <c r="AC62" s="59"/>
      <c r="AD62" s="81" t="str">
        <f>IFERROR(INDEX('Resource Rate Library'!$G$5:$G$85,MATCH(P62,'Resource Rate Library'!$A$5:$A$85,0)),"")</f>
        <v/>
      </c>
      <c r="AE62" s="81" t="str">
        <f>IFERROR(INDEX('Resource Rate Library'!$H$5:$H$85,MATCH(P62,'Resource Rate Library'!$A$5:$A$85,0)),"")</f>
        <v/>
      </c>
      <c r="AF62" s="53"/>
      <c r="AG62" s="53"/>
      <c r="AH62" s="53"/>
      <c r="AI62" s="81" t="str">
        <f>IF(B62="","",IF(AND(P62="",N62&lt;&gt;"Lump Sum / Quote"),"RESOURCE CODE",IF(Y62=0,"RATE MISSING",IF(AND(O62="Plant",AD62="Yes",COUNTIFS($B$7:$B$306,B62,$O$7:$O$306,"Labour",$Q$7:$Q$306,"*Operator*")&gt;0),"OPERATOR DOUBLE-COUNT",IF(AND(O62="Plant",AE62="Yes",COUNTIFS($B$7:$B$306,B62,$Q$7:$Q$306,"*Fuel*")&gt;0),"FUEL DOUBLE-COUNT",IF(AH62&lt;&gt;"Yes","VERIFY","OK"))))))</f>
        <v/>
      </c>
      <c r="AJ62" s="54"/>
      <c r="AK62" s="197"/>
      <c r="AL62" s="197"/>
      <c r="AM62" s="197"/>
      <c r="AN62" s="199">
        <f>IF(AND(AK62="Yes",OR(O62="Labour",O62="Plant")),Z62,0)</f>
        <v>0</v>
      </c>
    </row>
    <row r="63" spans="1:40" ht="21.95" customHeight="1" x14ac:dyDescent="0.2">
      <c r="A63" s="80" t="str">
        <f>IF(B63="","",B63&amp;"-"&amp;TEXT(COUNTIF($B$7:B63,B63),"000"))</f>
        <v/>
      </c>
      <c r="B63" s="53"/>
      <c r="C63" s="81" t="str">
        <f>IFERROR(INDEX('QS Takeoff'!$A$3:$A$194,MATCH(B63,'QS Takeoff'!$B$3:$B$194,0)),"")</f>
        <v/>
      </c>
      <c r="D63" s="81" t="str">
        <f>IFERROR(INDEX('QS Takeoff'!$C$3:$C$194,MATCH(B63,'QS Takeoff'!$B$3:$B$194,0)),"")</f>
        <v/>
      </c>
      <c r="E63" s="81" t="str">
        <f>IFERROR(INDEX('QS Takeoff'!$E$3:$E$194,MATCH(B63,'QS Takeoff'!$B$3:$B$194,0)),"")</f>
        <v/>
      </c>
      <c r="F63" s="81" t="str">
        <f>IFERROR(INDEX('QS Takeoff'!$D$3:$D$194,MATCH(B63,'QS Takeoff'!$B$3:$B$194,0)),"")</f>
        <v/>
      </c>
      <c r="G63" s="81" t="str">
        <f>IFERROR(INDEX('QS Takeoff'!$J$3:$J$194,MATCH(B63,'QS Takeoff'!$B$3:$B$194,0)),"")</f>
        <v/>
      </c>
      <c r="H63" s="53"/>
      <c r="I63" s="60"/>
      <c r="J63" s="60"/>
      <c r="K63" s="82" t="str">
        <f t="shared" si="0"/>
        <v/>
      </c>
      <c r="L63" s="60"/>
      <c r="M63" s="82" t="str">
        <f t="shared" si="1"/>
        <v/>
      </c>
      <c r="N63" s="53"/>
      <c r="O63" s="53"/>
      <c r="P63" s="53"/>
      <c r="Q63" s="81" t="str">
        <f>IFERROR(INDEX('Resource Rate Library'!$C$5:$C$85,MATCH(P63,'Resource Rate Library'!$A$5:$A$85,0)),"")</f>
        <v/>
      </c>
      <c r="R63" s="53"/>
      <c r="S63" s="53"/>
      <c r="T63" s="81" t="str">
        <f>IFERROR(INDEX('Resource Rate Library'!$E$5:$E$85,MATCH(P63,'Resource Rate Library'!$A$5:$A$85,0)),"")</f>
        <v/>
      </c>
      <c r="U63" s="62"/>
      <c r="V63" s="62"/>
      <c r="W63" s="83">
        <f>IFERROR(INDEX('Resource Rate Library'!$I$5:$I$85,MATCH(P63,'Resource Rate Library'!$A$5:$A$85,0)),0)</f>
        <v>0</v>
      </c>
      <c r="X63" s="52"/>
      <c r="Y63" s="83">
        <f t="shared" si="2"/>
        <v>0</v>
      </c>
      <c r="Z63" s="83" t="str">
        <f t="shared" si="3"/>
        <v/>
      </c>
      <c r="AA63" s="81" t="str">
        <f>IFERROR(INDEX('Resource Rate Library'!$N$5:$N$85,MATCH(P63,'Resource Rate Library'!$A$5:$A$85,0)),"")</f>
        <v/>
      </c>
      <c r="AB63" s="53"/>
      <c r="AC63" s="59"/>
      <c r="AD63" s="81" t="str">
        <f>IFERROR(INDEX('Resource Rate Library'!$G$5:$G$85,MATCH(P63,'Resource Rate Library'!$A$5:$A$85,0)),"")</f>
        <v/>
      </c>
      <c r="AE63" s="81" t="str">
        <f>IFERROR(INDEX('Resource Rate Library'!$H$5:$H$85,MATCH(P63,'Resource Rate Library'!$A$5:$A$85,0)),"")</f>
        <v/>
      </c>
      <c r="AF63" s="53"/>
      <c r="AG63" s="53"/>
      <c r="AH63" s="53"/>
      <c r="AI63" s="81" t="str">
        <f>IF(B63="","",IF(AND(P63="",N63&lt;&gt;"Lump Sum / Quote"),"RESOURCE CODE",IF(Y63=0,"RATE MISSING",IF(AND(O63="Plant",AD63="Yes",COUNTIFS($B$7:$B$306,B63,$O$7:$O$306,"Labour",$Q$7:$Q$306,"*Operator*")&gt;0),"OPERATOR DOUBLE-COUNT",IF(AND(O63="Plant",AE63="Yes",COUNTIFS($B$7:$B$306,B63,$Q$7:$Q$306,"*Fuel*")&gt;0),"FUEL DOUBLE-COUNT",IF(AH63&lt;&gt;"Yes","VERIFY","OK"))))))</f>
        <v/>
      </c>
      <c r="AJ63" s="54"/>
      <c r="AK63" s="197"/>
      <c r="AL63" s="197"/>
      <c r="AM63" s="197"/>
      <c r="AN63" s="199">
        <f>IF(AND(AK63="Yes",OR(O63="Labour",O63="Plant")),Z63,0)</f>
        <v>0</v>
      </c>
    </row>
    <row r="64" spans="1:40" ht="21.95" customHeight="1" x14ac:dyDescent="0.2">
      <c r="A64" s="80" t="str">
        <f>IF(B64="","",B64&amp;"-"&amp;TEXT(COUNTIF($B$7:B64,B64),"000"))</f>
        <v/>
      </c>
      <c r="B64" s="53"/>
      <c r="C64" s="81" t="str">
        <f>IFERROR(INDEX('QS Takeoff'!$A$3:$A$194,MATCH(B64,'QS Takeoff'!$B$3:$B$194,0)),"")</f>
        <v/>
      </c>
      <c r="D64" s="81" t="str">
        <f>IFERROR(INDEX('QS Takeoff'!$C$3:$C$194,MATCH(B64,'QS Takeoff'!$B$3:$B$194,0)),"")</f>
        <v/>
      </c>
      <c r="E64" s="81" t="str">
        <f>IFERROR(INDEX('QS Takeoff'!$E$3:$E$194,MATCH(B64,'QS Takeoff'!$B$3:$B$194,0)),"")</f>
        <v/>
      </c>
      <c r="F64" s="81" t="str">
        <f>IFERROR(INDEX('QS Takeoff'!$D$3:$D$194,MATCH(B64,'QS Takeoff'!$B$3:$B$194,0)),"")</f>
        <v/>
      </c>
      <c r="G64" s="81" t="str">
        <f>IFERROR(INDEX('QS Takeoff'!$J$3:$J$194,MATCH(B64,'QS Takeoff'!$B$3:$B$194,0)),"")</f>
        <v/>
      </c>
      <c r="H64" s="53"/>
      <c r="I64" s="60"/>
      <c r="J64" s="60"/>
      <c r="K64" s="82" t="str">
        <f t="shared" si="0"/>
        <v/>
      </c>
      <c r="L64" s="60"/>
      <c r="M64" s="82" t="str">
        <f t="shared" si="1"/>
        <v/>
      </c>
      <c r="N64" s="53"/>
      <c r="O64" s="53"/>
      <c r="P64" s="53"/>
      <c r="Q64" s="81" t="str">
        <f>IFERROR(INDEX('Resource Rate Library'!$C$5:$C$85,MATCH(P64,'Resource Rate Library'!$A$5:$A$85,0)),"")</f>
        <v/>
      </c>
      <c r="R64" s="53"/>
      <c r="S64" s="53"/>
      <c r="T64" s="81" t="str">
        <f>IFERROR(INDEX('Resource Rate Library'!$E$5:$E$85,MATCH(P64,'Resource Rate Library'!$A$5:$A$85,0)),"")</f>
        <v/>
      </c>
      <c r="U64" s="62"/>
      <c r="V64" s="62"/>
      <c r="W64" s="83">
        <f>IFERROR(INDEX('Resource Rate Library'!$I$5:$I$85,MATCH(P64,'Resource Rate Library'!$A$5:$A$85,0)),0)</f>
        <v>0</v>
      </c>
      <c r="X64" s="52"/>
      <c r="Y64" s="83">
        <f t="shared" si="2"/>
        <v>0</v>
      </c>
      <c r="Z64" s="83" t="str">
        <f t="shared" si="3"/>
        <v/>
      </c>
      <c r="AA64" s="81" t="str">
        <f>IFERROR(INDEX('Resource Rate Library'!$N$5:$N$85,MATCH(P64,'Resource Rate Library'!$A$5:$A$85,0)),"")</f>
        <v/>
      </c>
      <c r="AB64" s="53"/>
      <c r="AC64" s="59"/>
      <c r="AD64" s="81" t="str">
        <f>IFERROR(INDEX('Resource Rate Library'!$G$5:$G$85,MATCH(P64,'Resource Rate Library'!$A$5:$A$85,0)),"")</f>
        <v/>
      </c>
      <c r="AE64" s="81" t="str">
        <f>IFERROR(INDEX('Resource Rate Library'!$H$5:$H$85,MATCH(P64,'Resource Rate Library'!$A$5:$A$85,0)),"")</f>
        <v/>
      </c>
      <c r="AF64" s="53"/>
      <c r="AG64" s="53"/>
      <c r="AH64" s="53"/>
      <c r="AI64" s="81" t="str">
        <f>IF(B64="","",IF(AND(P64="",N64&lt;&gt;"Lump Sum / Quote"),"RESOURCE CODE",IF(Y64=0,"RATE MISSING",IF(AND(O64="Plant",AD64="Yes",COUNTIFS($B$7:$B$306,B64,$O$7:$O$306,"Labour",$Q$7:$Q$306,"*Operator*")&gt;0),"OPERATOR DOUBLE-COUNT",IF(AND(O64="Plant",AE64="Yes",COUNTIFS($B$7:$B$306,B64,$Q$7:$Q$306,"*Fuel*")&gt;0),"FUEL DOUBLE-COUNT",IF(AH64&lt;&gt;"Yes","VERIFY","OK"))))))</f>
        <v/>
      </c>
      <c r="AJ64" s="54"/>
      <c r="AK64" s="197"/>
      <c r="AL64" s="197"/>
      <c r="AM64" s="197"/>
      <c r="AN64" s="199">
        <f>IF(AND(AK64="Yes",OR(O64="Labour",O64="Plant")),Z64,0)</f>
        <v>0</v>
      </c>
    </row>
    <row r="65" spans="1:40" ht="21.95" customHeight="1" x14ac:dyDescent="0.2">
      <c r="A65" s="80" t="str">
        <f>IF(B65="","",B65&amp;"-"&amp;TEXT(COUNTIF($B$7:B65,B65),"000"))</f>
        <v/>
      </c>
      <c r="B65" s="53"/>
      <c r="C65" s="81" t="str">
        <f>IFERROR(INDEX('QS Takeoff'!$A$3:$A$194,MATCH(B65,'QS Takeoff'!$B$3:$B$194,0)),"")</f>
        <v/>
      </c>
      <c r="D65" s="81" t="str">
        <f>IFERROR(INDEX('QS Takeoff'!$C$3:$C$194,MATCH(B65,'QS Takeoff'!$B$3:$B$194,0)),"")</f>
        <v/>
      </c>
      <c r="E65" s="81" t="str">
        <f>IFERROR(INDEX('QS Takeoff'!$E$3:$E$194,MATCH(B65,'QS Takeoff'!$B$3:$B$194,0)),"")</f>
        <v/>
      </c>
      <c r="F65" s="81" t="str">
        <f>IFERROR(INDEX('QS Takeoff'!$D$3:$D$194,MATCH(B65,'QS Takeoff'!$B$3:$B$194,0)),"")</f>
        <v/>
      </c>
      <c r="G65" s="81" t="str">
        <f>IFERROR(INDEX('QS Takeoff'!$J$3:$J$194,MATCH(B65,'QS Takeoff'!$B$3:$B$194,0)),"")</f>
        <v/>
      </c>
      <c r="H65" s="53"/>
      <c r="I65" s="60"/>
      <c r="J65" s="60"/>
      <c r="K65" s="82" t="str">
        <f t="shared" si="0"/>
        <v/>
      </c>
      <c r="L65" s="60"/>
      <c r="M65" s="82" t="str">
        <f t="shared" si="1"/>
        <v/>
      </c>
      <c r="N65" s="53"/>
      <c r="O65" s="53"/>
      <c r="P65" s="53"/>
      <c r="Q65" s="81" t="str">
        <f>IFERROR(INDEX('Resource Rate Library'!$C$5:$C$85,MATCH(P65,'Resource Rate Library'!$A$5:$A$85,0)),"")</f>
        <v/>
      </c>
      <c r="R65" s="53"/>
      <c r="S65" s="53"/>
      <c r="T65" s="81" t="str">
        <f>IFERROR(INDEX('Resource Rate Library'!$E$5:$E$85,MATCH(P65,'Resource Rate Library'!$A$5:$A$85,0)),"")</f>
        <v/>
      </c>
      <c r="U65" s="62"/>
      <c r="V65" s="62"/>
      <c r="W65" s="83">
        <f>IFERROR(INDEX('Resource Rate Library'!$I$5:$I$85,MATCH(P65,'Resource Rate Library'!$A$5:$A$85,0)),0)</f>
        <v>0</v>
      </c>
      <c r="X65" s="52"/>
      <c r="Y65" s="83">
        <f t="shared" si="2"/>
        <v>0</v>
      </c>
      <c r="Z65" s="83" t="str">
        <f t="shared" si="3"/>
        <v/>
      </c>
      <c r="AA65" s="81" t="str">
        <f>IFERROR(INDEX('Resource Rate Library'!$N$5:$N$85,MATCH(P65,'Resource Rate Library'!$A$5:$A$85,0)),"")</f>
        <v/>
      </c>
      <c r="AB65" s="53"/>
      <c r="AC65" s="59"/>
      <c r="AD65" s="81" t="str">
        <f>IFERROR(INDEX('Resource Rate Library'!$G$5:$G$85,MATCH(P65,'Resource Rate Library'!$A$5:$A$85,0)),"")</f>
        <v/>
      </c>
      <c r="AE65" s="81" t="str">
        <f>IFERROR(INDEX('Resource Rate Library'!$H$5:$H$85,MATCH(P65,'Resource Rate Library'!$A$5:$A$85,0)),"")</f>
        <v/>
      </c>
      <c r="AF65" s="53"/>
      <c r="AG65" s="53"/>
      <c r="AH65" s="53"/>
      <c r="AI65" s="81" t="str">
        <f>IF(B65="","",IF(AND(P65="",N65&lt;&gt;"Lump Sum / Quote"),"RESOURCE CODE",IF(Y65=0,"RATE MISSING",IF(AND(O65="Plant",AD65="Yes",COUNTIFS($B$7:$B$306,B65,$O$7:$O$306,"Labour",$Q$7:$Q$306,"*Operator*")&gt;0),"OPERATOR DOUBLE-COUNT",IF(AND(O65="Plant",AE65="Yes",COUNTIFS($B$7:$B$306,B65,$Q$7:$Q$306,"*Fuel*")&gt;0),"FUEL DOUBLE-COUNT",IF(AH65&lt;&gt;"Yes","VERIFY","OK"))))))</f>
        <v/>
      </c>
      <c r="AJ65" s="54"/>
      <c r="AK65" s="197"/>
      <c r="AL65" s="197"/>
      <c r="AM65" s="197"/>
      <c r="AN65" s="199">
        <f>IF(AND(AK65="Yes",OR(O65="Labour",O65="Plant")),Z65,0)</f>
        <v>0</v>
      </c>
    </row>
    <row r="66" spans="1:40" ht="21.95" customHeight="1" x14ac:dyDescent="0.2">
      <c r="A66" s="80" t="str">
        <f>IF(B66="","",B66&amp;"-"&amp;TEXT(COUNTIF($B$7:B66,B66),"000"))</f>
        <v/>
      </c>
      <c r="B66" s="53"/>
      <c r="C66" s="81" t="str">
        <f>IFERROR(INDEX('QS Takeoff'!$A$3:$A$194,MATCH(B66,'QS Takeoff'!$B$3:$B$194,0)),"")</f>
        <v/>
      </c>
      <c r="D66" s="81" t="str">
        <f>IFERROR(INDEX('QS Takeoff'!$C$3:$C$194,MATCH(B66,'QS Takeoff'!$B$3:$B$194,0)),"")</f>
        <v/>
      </c>
      <c r="E66" s="81" t="str">
        <f>IFERROR(INDEX('QS Takeoff'!$E$3:$E$194,MATCH(B66,'QS Takeoff'!$B$3:$B$194,0)),"")</f>
        <v/>
      </c>
      <c r="F66" s="81" t="str">
        <f>IFERROR(INDEX('QS Takeoff'!$D$3:$D$194,MATCH(B66,'QS Takeoff'!$B$3:$B$194,0)),"")</f>
        <v/>
      </c>
      <c r="G66" s="81" t="str">
        <f>IFERROR(INDEX('QS Takeoff'!$J$3:$J$194,MATCH(B66,'QS Takeoff'!$B$3:$B$194,0)),"")</f>
        <v/>
      </c>
      <c r="H66" s="53"/>
      <c r="I66" s="60"/>
      <c r="J66" s="60"/>
      <c r="K66" s="82" t="str">
        <f t="shared" si="0"/>
        <v/>
      </c>
      <c r="L66" s="60"/>
      <c r="M66" s="82" t="str">
        <f t="shared" si="1"/>
        <v/>
      </c>
      <c r="N66" s="53"/>
      <c r="O66" s="53"/>
      <c r="P66" s="53"/>
      <c r="Q66" s="81" t="str">
        <f>IFERROR(INDEX('Resource Rate Library'!$C$5:$C$85,MATCH(P66,'Resource Rate Library'!$A$5:$A$85,0)),"")</f>
        <v/>
      </c>
      <c r="R66" s="53"/>
      <c r="S66" s="53"/>
      <c r="T66" s="81" t="str">
        <f>IFERROR(INDEX('Resource Rate Library'!$E$5:$E$85,MATCH(P66,'Resource Rate Library'!$A$5:$A$85,0)),"")</f>
        <v/>
      </c>
      <c r="U66" s="62"/>
      <c r="V66" s="62"/>
      <c r="W66" s="83">
        <f>IFERROR(INDEX('Resource Rate Library'!$I$5:$I$85,MATCH(P66,'Resource Rate Library'!$A$5:$A$85,0)),0)</f>
        <v>0</v>
      </c>
      <c r="X66" s="52"/>
      <c r="Y66" s="83">
        <f t="shared" si="2"/>
        <v>0</v>
      </c>
      <c r="Z66" s="83" t="str">
        <f t="shared" si="3"/>
        <v/>
      </c>
      <c r="AA66" s="81" t="str">
        <f>IFERROR(INDEX('Resource Rate Library'!$N$5:$N$85,MATCH(P66,'Resource Rate Library'!$A$5:$A$85,0)),"")</f>
        <v/>
      </c>
      <c r="AB66" s="53"/>
      <c r="AC66" s="59"/>
      <c r="AD66" s="81" t="str">
        <f>IFERROR(INDEX('Resource Rate Library'!$G$5:$G$85,MATCH(P66,'Resource Rate Library'!$A$5:$A$85,0)),"")</f>
        <v/>
      </c>
      <c r="AE66" s="81" t="str">
        <f>IFERROR(INDEX('Resource Rate Library'!$H$5:$H$85,MATCH(P66,'Resource Rate Library'!$A$5:$A$85,0)),"")</f>
        <v/>
      </c>
      <c r="AF66" s="53"/>
      <c r="AG66" s="53"/>
      <c r="AH66" s="53"/>
      <c r="AI66" s="81" t="str">
        <f t="shared" ref="AI66:AI97" si="5">IF(B66="","",IF(AND(P66="",N66&lt;&gt;"Lump Sum / Quote"),"RESOURCE CODE",IF(Y66=0,"RATE MISSING",IF(AND(O66="Plant",AD66="Yes",COUNTIFS($B$7:$B$306,B66,$O$7:$O$306,"Labour",$Q$7:$Q$306,"*Operator*")&gt;0),"OPERATOR DOUBLE-COUNT",IF(AND(O66="Plant",AE66="Yes",COUNTIFS($B$7:$B$306,B66,$Q$7:$Q$306,"*Fuel*")&gt;0),"FUEL DOUBLE-COUNT",IF(AH66&lt;&gt;"Yes","VERIFY","OK"))))))</f>
        <v/>
      </c>
      <c r="AJ66" s="54"/>
      <c r="AK66" s="197"/>
      <c r="AL66" s="197"/>
      <c r="AM66" s="197"/>
      <c r="AN66" s="199">
        <f>IF(AND(AK66="Yes",OR(O66="Labour",O66="Plant")),Z66,0)</f>
        <v>0</v>
      </c>
    </row>
    <row r="67" spans="1:40" ht="21.95" customHeight="1" x14ac:dyDescent="0.2">
      <c r="A67" s="80" t="str">
        <f>IF(B67="","",B67&amp;"-"&amp;TEXT(COUNTIF($B$7:B67,B67),"000"))</f>
        <v/>
      </c>
      <c r="B67" s="53"/>
      <c r="C67" s="81" t="str">
        <f>IFERROR(INDEX('QS Takeoff'!$A$3:$A$194,MATCH(B67,'QS Takeoff'!$B$3:$B$194,0)),"")</f>
        <v/>
      </c>
      <c r="D67" s="81" t="str">
        <f>IFERROR(INDEX('QS Takeoff'!$C$3:$C$194,MATCH(B67,'QS Takeoff'!$B$3:$B$194,0)),"")</f>
        <v/>
      </c>
      <c r="E67" s="81" t="str">
        <f>IFERROR(INDEX('QS Takeoff'!$E$3:$E$194,MATCH(B67,'QS Takeoff'!$B$3:$B$194,0)),"")</f>
        <v/>
      </c>
      <c r="F67" s="81" t="str">
        <f>IFERROR(INDEX('QS Takeoff'!$D$3:$D$194,MATCH(B67,'QS Takeoff'!$B$3:$B$194,0)),"")</f>
        <v/>
      </c>
      <c r="G67" s="81" t="str">
        <f>IFERROR(INDEX('QS Takeoff'!$J$3:$J$194,MATCH(B67,'QS Takeoff'!$B$3:$B$194,0)),"")</f>
        <v/>
      </c>
      <c r="H67" s="53"/>
      <c r="I67" s="60"/>
      <c r="J67" s="60"/>
      <c r="K67" s="82" t="str">
        <f t="shared" si="0"/>
        <v/>
      </c>
      <c r="L67" s="60"/>
      <c r="M67" s="82" t="str">
        <f t="shared" si="1"/>
        <v/>
      </c>
      <c r="N67" s="53"/>
      <c r="O67" s="53"/>
      <c r="P67" s="53"/>
      <c r="Q67" s="81" t="str">
        <f>IFERROR(INDEX('Resource Rate Library'!$C$5:$C$85,MATCH(P67,'Resource Rate Library'!$A$5:$A$85,0)),"")</f>
        <v/>
      </c>
      <c r="R67" s="53"/>
      <c r="S67" s="53"/>
      <c r="T67" s="81" t="str">
        <f>IFERROR(INDEX('Resource Rate Library'!$E$5:$E$85,MATCH(P67,'Resource Rate Library'!$A$5:$A$85,0)),"")</f>
        <v/>
      </c>
      <c r="U67" s="62"/>
      <c r="V67" s="62"/>
      <c r="W67" s="83">
        <f>IFERROR(INDEX('Resource Rate Library'!$I$5:$I$85,MATCH(P67,'Resource Rate Library'!$A$5:$A$85,0)),0)</f>
        <v>0</v>
      </c>
      <c r="X67" s="52"/>
      <c r="Y67" s="83">
        <f t="shared" si="2"/>
        <v>0</v>
      </c>
      <c r="Z67" s="83" t="str">
        <f t="shared" si="3"/>
        <v/>
      </c>
      <c r="AA67" s="81" t="str">
        <f>IFERROR(INDEX('Resource Rate Library'!$N$5:$N$85,MATCH(P67,'Resource Rate Library'!$A$5:$A$85,0)),"")</f>
        <v/>
      </c>
      <c r="AB67" s="53"/>
      <c r="AC67" s="59"/>
      <c r="AD67" s="81" t="str">
        <f>IFERROR(INDEX('Resource Rate Library'!$G$5:$G$85,MATCH(P67,'Resource Rate Library'!$A$5:$A$85,0)),"")</f>
        <v/>
      </c>
      <c r="AE67" s="81" t="str">
        <f>IFERROR(INDEX('Resource Rate Library'!$H$5:$H$85,MATCH(P67,'Resource Rate Library'!$A$5:$A$85,0)),"")</f>
        <v/>
      </c>
      <c r="AF67" s="53"/>
      <c r="AG67" s="53"/>
      <c r="AH67" s="53"/>
      <c r="AI67" s="81" t="str">
        <f t="shared" si="5"/>
        <v/>
      </c>
      <c r="AJ67" s="54"/>
      <c r="AK67" s="197"/>
      <c r="AL67" s="197"/>
      <c r="AM67" s="197"/>
      <c r="AN67" s="199">
        <f>IF(AND(AK67="Yes",OR(O67="Labour",O67="Plant")),Z67,0)</f>
        <v>0</v>
      </c>
    </row>
    <row r="68" spans="1:40" ht="21.95" customHeight="1" x14ac:dyDescent="0.2">
      <c r="A68" s="80" t="str">
        <f>IF(B68="","",B68&amp;"-"&amp;TEXT(COUNTIF($B$7:B68,B68),"000"))</f>
        <v/>
      </c>
      <c r="B68" s="53"/>
      <c r="C68" s="81" t="str">
        <f>IFERROR(INDEX('QS Takeoff'!$A$3:$A$194,MATCH(B68,'QS Takeoff'!$B$3:$B$194,0)),"")</f>
        <v/>
      </c>
      <c r="D68" s="81" t="str">
        <f>IFERROR(INDEX('QS Takeoff'!$C$3:$C$194,MATCH(B68,'QS Takeoff'!$B$3:$B$194,0)),"")</f>
        <v/>
      </c>
      <c r="E68" s="81" t="str">
        <f>IFERROR(INDEX('QS Takeoff'!$E$3:$E$194,MATCH(B68,'QS Takeoff'!$B$3:$B$194,0)),"")</f>
        <v/>
      </c>
      <c r="F68" s="81" t="str">
        <f>IFERROR(INDEX('QS Takeoff'!$D$3:$D$194,MATCH(B68,'QS Takeoff'!$B$3:$B$194,0)),"")</f>
        <v/>
      </c>
      <c r="G68" s="81" t="str">
        <f>IFERROR(INDEX('QS Takeoff'!$J$3:$J$194,MATCH(B68,'QS Takeoff'!$B$3:$B$194,0)),"")</f>
        <v/>
      </c>
      <c r="H68" s="53"/>
      <c r="I68" s="60"/>
      <c r="J68" s="60"/>
      <c r="K68" s="82" t="str">
        <f t="shared" si="0"/>
        <v/>
      </c>
      <c r="L68" s="60"/>
      <c r="M68" s="82" t="str">
        <f t="shared" si="1"/>
        <v/>
      </c>
      <c r="N68" s="53"/>
      <c r="O68" s="53"/>
      <c r="P68" s="53"/>
      <c r="Q68" s="81" t="str">
        <f>IFERROR(INDEX('Resource Rate Library'!$C$5:$C$85,MATCH(P68,'Resource Rate Library'!$A$5:$A$85,0)),"")</f>
        <v/>
      </c>
      <c r="R68" s="53"/>
      <c r="S68" s="53"/>
      <c r="T68" s="81" t="str">
        <f>IFERROR(INDEX('Resource Rate Library'!$E$5:$E$85,MATCH(P68,'Resource Rate Library'!$A$5:$A$85,0)),"")</f>
        <v/>
      </c>
      <c r="U68" s="62"/>
      <c r="V68" s="62"/>
      <c r="W68" s="83">
        <f>IFERROR(INDEX('Resource Rate Library'!$I$5:$I$85,MATCH(P68,'Resource Rate Library'!$A$5:$A$85,0)),0)</f>
        <v>0</v>
      </c>
      <c r="X68" s="52"/>
      <c r="Y68" s="83">
        <f t="shared" si="2"/>
        <v>0</v>
      </c>
      <c r="Z68" s="83" t="str">
        <f t="shared" si="3"/>
        <v/>
      </c>
      <c r="AA68" s="81" t="str">
        <f>IFERROR(INDEX('Resource Rate Library'!$N$5:$N$85,MATCH(P68,'Resource Rate Library'!$A$5:$A$85,0)),"")</f>
        <v/>
      </c>
      <c r="AB68" s="53"/>
      <c r="AC68" s="59"/>
      <c r="AD68" s="81" t="str">
        <f>IFERROR(INDEX('Resource Rate Library'!$G$5:$G$85,MATCH(P68,'Resource Rate Library'!$A$5:$A$85,0)),"")</f>
        <v/>
      </c>
      <c r="AE68" s="81" t="str">
        <f>IFERROR(INDEX('Resource Rate Library'!$H$5:$H$85,MATCH(P68,'Resource Rate Library'!$A$5:$A$85,0)),"")</f>
        <v/>
      </c>
      <c r="AF68" s="53"/>
      <c r="AG68" s="53"/>
      <c r="AH68" s="53"/>
      <c r="AI68" s="81" t="str">
        <f t="shared" si="5"/>
        <v/>
      </c>
      <c r="AJ68" s="54"/>
      <c r="AK68" s="197"/>
      <c r="AL68" s="197"/>
      <c r="AM68" s="197"/>
      <c r="AN68" s="199">
        <f>IF(AND(AK68="Yes",OR(O68="Labour",O68="Plant")),Z68,0)</f>
        <v>0</v>
      </c>
    </row>
    <row r="69" spans="1:40" ht="21.95" customHeight="1" x14ac:dyDescent="0.2">
      <c r="A69" s="80" t="str">
        <f>IF(B69="","",B69&amp;"-"&amp;TEXT(COUNTIF($B$7:B69,B69),"000"))</f>
        <v/>
      </c>
      <c r="B69" s="53"/>
      <c r="C69" s="81" t="str">
        <f>IFERROR(INDEX('QS Takeoff'!$A$3:$A$194,MATCH(B69,'QS Takeoff'!$B$3:$B$194,0)),"")</f>
        <v/>
      </c>
      <c r="D69" s="81" t="str">
        <f>IFERROR(INDEX('QS Takeoff'!$C$3:$C$194,MATCH(B69,'QS Takeoff'!$B$3:$B$194,0)),"")</f>
        <v/>
      </c>
      <c r="E69" s="81" t="str">
        <f>IFERROR(INDEX('QS Takeoff'!$E$3:$E$194,MATCH(B69,'QS Takeoff'!$B$3:$B$194,0)),"")</f>
        <v/>
      </c>
      <c r="F69" s="81" t="str">
        <f>IFERROR(INDEX('QS Takeoff'!$D$3:$D$194,MATCH(B69,'QS Takeoff'!$B$3:$B$194,0)),"")</f>
        <v/>
      </c>
      <c r="G69" s="81" t="str">
        <f>IFERROR(INDEX('QS Takeoff'!$J$3:$J$194,MATCH(B69,'QS Takeoff'!$B$3:$B$194,0)),"")</f>
        <v/>
      </c>
      <c r="H69" s="53"/>
      <c r="I69" s="60"/>
      <c r="J69" s="60"/>
      <c r="K69" s="82" t="str">
        <f t="shared" si="0"/>
        <v/>
      </c>
      <c r="L69" s="60"/>
      <c r="M69" s="82" t="str">
        <f t="shared" si="1"/>
        <v/>
      </c>
      <c r="N69" s="53"/>
      <c r="O69" s="53"/>
      <c r="P69" s="53"/>
      <c r="Q69" s="81" t="str">
        <f>IFERROR(INDEX('Resource Rate Library'!$C$5:$C$85,MATCH(P69,'Resource Rate Library'!$A$5:$A$85,0)),"")</f>
        <v/>
      </c>
      <c r="R69" s="53"/>
      <c r="S69" s="53"/>
      <c r="T69" s="81" t="str">
        <f>IFERROR(INDEX('Resource Rate Library'!$E$5:$E$85,MATCH(P69,'Resource Rate Library'!$A$5:$A$85,0)),"")</f>
        <v/>
      </c>
      <c r="U69" s="62"/>
      <c r="V69" s="62"/>
      <c r="W69" s="83">
        <f>IFERROR(INDEX('Resource Rate Library'!$I$5:$I$85,MATCH(P69,'Resource Rate Library'!$A$5:$A$85,0)),0)</f>
        <v>0</v>
      </c>
      <c r="X69" s="52"/>
      <c r="Y69" s="83">
        <f t="shared" si="2"/>
        <v>0</v>
      </c>
      <c r="Z69" s="83" t="str">
        <f t="shared" si="3"/>
        <v/>
      </c>
      <c r="AA69" s="81" t="str">
        <f>IFERROR(INDEX('Resource Rate Library'!$N$5:$N$85,MATCH(P69,'Resource Rate Library'!$A$5:$A$85,0)),"")</f>
        <v/>
      </c>
      <c r="AB69" s="53"/>
      <c r="AC69" s="59"/>
      <c r="AD69" s="81" t="str">
        <f>IFERROR(INDEX('Resource Rate Library'!$G$5:$G$85,MATCH(P69,'Resource Rate Library'!$A$5:$A$85,0)),"")</f>
        <v/>
      </c>
      <c r="AE69" s="81" t="str">
        <f>IFERROR(INDEX('Resource Rate Library'!$H$5:$H$85,MATCH(P69,'Resource Rate Library'!$A$5:$A$85,0)),"")</f>
        <v/>
      </c>
      <c r="AF69" s="53"/>
      <c r="AG69" s="53"/>
      <c r="AH69" s="53"/>
      <c r="AI69" s="81" t="str">
        <f t="shared" si="5"/>
        <v/>
      </c>
      <c r="AJ69" s="54"/>
      <c r="AK69" s="197"/>
      <c r="AL69" s="197"/>
      <c r="AM69" s="197"/>
      <c r="AN69" s="199">
        <f>IF(AND(AK69="Yes",OR(O69="Labour",O69="Plant")),Z69,0)</f>
        <v>0</v>
      </c>
    </row>
    <row r="70" spans="1:40" ht="21.95" customHeight="1" x14ac:dyDescent="0.2">
      <c r="A70" s="80" t="str">
        <f>IF(B70="","",B70&amp;"-"&amp;TEXT(COUNTIF($B$7:B70,B70),"000"))</f>
        <v/>
      </c>
      <c r="B70" s="53"/>
      <c r="C70" s="81" t="str">
        <f>IFERROR(INDEX('QS Takeoff'!$A$3:$A$194,MATCH(B70,'QS Takeoff'!$B$3:$B$194,0)),"")</f>
        <v/>
      </c>
      <c r="D70" s="81" t="str">
        <f>IFERROR(INDEX('QS Takeoff'!$C$3:$C$194,MATCH(B70,'QS Takeoff'!$B$3:$B$194,0)),"")</f>
        <v/>
      </c>
      <c r="E70" s="81" t="str">
        <f>IFERROR(INDEX('QS Takeoff'!$E$3:$E$194,MATCH(B70,'QS Takeoff'!$B$3:$B$194,0)),"")</f>
        <v/>
      </c>
      <c r="F70" s="81" t="str">
        <f>IFERROR(INDEX('QS Takeoff'!$D$3:$D$194,MATCH(B70,'QS Takeoff'!$B$3:$B$194,0)),"")</f>
        <v/>
      </c>
      <c r="G70" s="81" t="str">
        <f>IFERROR(INDEX('QS Takeoff'!$J$3:$J$194,MATCH(B70,'QS Takeoff'!$B$3:$B$194,0)),"")</f>
        <v/>
      </c>
      <c r="H70" s="53"/>
      <c r="I70" s="60"/>
      <c r="J70" s="60"/>
      <c r="K70" s="82" t="str">
        <f t="shared" si="0"/>
        <v/>
      </c>
      <c r="L70" s="60"/>
      <c r="M70" s="82" t="str">
        <f t="shared" si="1"/>
        <v/>
      </c>
      <c r="N70" s="53"/>
      <c r="O70" s="53"/>
      <c r="P70" s="53"/>
      <c r="Q70" s="81" t="str">
        <f>IFERROR(INDEX('Resource Rate Library'!$C$5:$C$85,MATCH(P70,'Resource Rate Library'!$A$5:$A$85,0)),"")</f>
        <v/>
      </c>
      <c r="R70" s="53"/>
      <c r="S70" s="53"/>
      <c r="T70" s="81" t="str">
        <f>IFERROR(INDEX('Resource Rate Library'!$E$5:$E$85,MATCH(P70,'Resource Rate Library'!$A$5:$A$85,0)),"")</f>
        <v/>
      </c>
      <c r="U70" s="62"/>
      <c r="V70" s="62"/>
      <c r="W70" s="83">
        <f>IFERROR(INDEX('Resource Rate Library'!$I$5:$I$85,MATCH(P70,'Resource Rate Library'!$A$5:$A$85,0)),0)</f>
        <v>0</v>
      </c>
      <c r="X70" s="52"/>
      <c r="Y70" s="83">
        <f t="shared" si="2"/>
        <v>0</v>
      </c>
      <c r="Z70" s="83" t="str">
        <f t="shared" si="3"/>
        <v/>
      </c>
      <c r="AA70" s="81" t="str">
        <f>IFERROR(INDEX('Resource Rate Library'!$N$5:$N$85,MATCH(P70,'Resource Rate Library'!$A$5:$A$85,0)),"")</f>
        <v/>
      </c>
      <c r="AB70" s="53"/>
      <c r="AC70" s="59"/>
      <c r="AD70" s="81" t="str">
        <f>IFERROR(INDEX('Resource Rate Library'!$G$5:$G$85,MATCH(P70,'Resource Rate Library'!$A$5:$A$85,0)),"")</f>
        <v/>
      </c>
      <c r="AE70" s="81" t="str">
        <f>IFERROR(INDEX('Resource Rate Library'!$H$5:$H$85,MATCH(P70,'Resource Rate Library'!$A$5:$A$85,0)),"")</f>
        <v/>
      </c>
      <c r="AF70" s="53"/>
      <c r="AG70" s="53"/>
      <c r="AH70" s="53"/>
      <c r="AI70" s="81" t="str">
        <f t="shared" si="5"/>
        <v/>
      </c>
      <c r="AJ70" s="54"/>
      <c r="AK70" s="197"/>
      <c r="AL70" s="197"/>
      <c r="AM70" s="197"/>
      <c r="AN70" s="199">
        <f>IF(AND(AK70="Yes",OR(O70="Labour",O70="Plant")),Z70,0)</f>
        <v>0</v>
      </c>
    </row>
    <row r="71" spans="1:40" ht="21.95" customHeight="1" x14ac:dyDescent="0.2">
      <c r="A71" s="80" t="str">
        <f>IF(B71="","",B71&amp;"-"&amp;TEXT(COUNTIF($B$7:B71,B71),"000"))</f>
        <v/>
      </c>
      <c r="B71" s="53"/>
      <c r="C71" s="81" t="str">
        <f>IFERROR(INDEX('QS Takeoff'!$A$3:$A$194,MATCH(B71,'QS Takeoff'!$B$3:$B$194,0)),"")</f>
        <v/>
      </c>
      <c r="D71" s="81" t="str">
        <f>IFERROR(INDEX('QS Takeoff'!$C$3:$C$194,MATCH(B71,'QS Takeoff'!$B$3:$B$194,0)),"")</f>
        <v/>
      </c>
      <c r="E71" s="81" t="str">
        <f>IFERROR(INDEX('QS Takeoff'!$E$3:$E$194,MATCH(B71,'QS Takeoff'!$B$3:$B$194,0)),"")</f>
        <v/>
      </c>
      <c r="F71" s="81" t="str">
        <f>IFERROR(INDEX('QS Takeoff'!$D$3:$D$194,MATCH(B71,'QS Takeoff'!$B$3:$B$194,0)),"")</f>
        <v/>
      </c>
      <c r="G71" s="81" t="str">
        <f>IFERROR(INDEX('QS Takeoff'!$J$3:$J$194,MATCH(B71,'QS Takeoff'!$B$3:$B$194,0)),"")</f>
        <v/>
      </c>
      <c r="H71" s="53"/>
      <c r="I71" s="60"/>
      <c r="J71" s="60"/>
      <c r="K71" s="82" t="str">
        <f t="shared" ref="K71:K134" si="6">IF(OR(B71="",I71="",I71=0),"",E71/I71)</f>
        <v/>
      </c>
      <c r="L71" s="60"/>
      <c r="M71" s="82" t="str">
        <f t="shared" ref="M71:M134" si="7">IF(L71&gt;0,L71,K71)</f>
        <v/>
      </c>
      <c r="N71" s="53"/>
      <c r="O71" s="53"/>
      <c r="P71" s="53"/>
      <c r="Q71" s="81" t="str">
        <f>IFERROR(INDEX('Resource Rate Library'!$C$5:$C$85,MATCH(P71,'Resource Rate Library'!$A$5:$A$85,0)),"")</f>
        <v/>
      </c>
      <c r="R71" s="53"/>
      <c r="S71" s="53"/>
      <c r="T71" s="81" t="str">
        <f>IFERROR(INDEX('Resource Rate Library'!$E$5:$E$85,MATCH(P71,'Resource Rate Library'!$A$5:$A$85,0)),"")</f>
        <v/>
      </c>
      <c r="U71" s="62"/>
      <c r="V71" s="62"/>
      <c r="W71" s="83">
        <f>IFERROR(INDEX('Resource Rate Library'!$I$5:$I$85,MATCH(P71,'Resource Rate Library'!$A$5:$A$85,0)),0)</f>
        <v>0</v>
      </c>
      <c r="X71" s="52"/>
      <c r="Y71" s="83">
        <f t="shared" ref="Y71:Y134" si="8">IF(X71&gt;0,X71,W71)</f>
        <v>0</v>
      </c>
      <c r="Z71" s="83" t="str">
        <f t="shared" ref="Z71:Z134" si="9">IF(B71="","",IF(N71="Time x Count",M71*R71*IF(U71="",1,U71)*Y71,IF(N71="QS Qty x Factor",E71*R71*(1+IF(V71="",0,V71))*Y71,IF(N71="Direct Qty",S71*(1+IF(V71="",0,V71))*Y71,IF(N71="Lump Sum / Quote",S71*Y71,0)))))</f>
        <v/>
      </c>
      <c r="AA71" s="81" t="str">
        <f>IFERROR(INDEX('Resource Rate Library'!$N$5:$N$85,MATCH(P71,'Resource Rate Library'!$A$5:$A$85,0)),"")</f>
        <v/>
      </c>
      <c r="AB71" s="53"/>
      <c r="AC71" s="59"/>
      <c r="AD71" s="81" t="str">
        <f>IFERROR(INDEX('Resource Rate Library'!$G$5:$G$85,MATCH(P71,'Resource Rate Library'!$A$5:$A$85,0)),"")</f>
        <v/>
      </c>
      <c r="AE71" s="81" t="str">
        <f>IFERROR(INDEX('Resource Rate Library'!$H$5:$H$85,MATCH(P71,'Resource Rate Library'!$A$5:$A$85,0)),"")</f>
        <v/>
      </c>
      <c r="AF71" s="53"/>
      <c r="AG71" s="53"/>
      <c r="AH71" s="53"/>
      <c r="AI71" s="81" t="str">
        <f t="shared" si="5"/>
        <v/>
      </c>
      <c r="AJ71" s="54"/>
      <c r="AK71" s="197"/>
      <c r="AL71" s="197"/>
      <c r="AM71" s="197"/>
      <c r="AN71" s="199">
        <f>IF(AND(AK71="Yes",OR(O71="Labour",O71="Plant")),Z71,0)</f>
        <v>0</v>
      </c>
    </row>
    <row r="72" spans="1:40" ht="21.95" customHeight="1" x14ac:dyDescent="0.2">
      <c r="A72" s="80" t="str">
        <f>IF(B72="","",B72&amp;"-"&amp;TEXT(COUNTIF($B$7:B72,B72),"000"))</f>
        <v/>
      </c>
      <c r="B72" s="53"/>
      <c r="C72" s="81" t="str">
        <f>IFERROR(INDEX('QS Takeoff'!$A$3:$A$194,MATCH(B72,'QS Takeoff'!$B$3:$B$194,0)),"")</f>
        <v/>
      </c>
      <c r="D72" s="81" t="str">
        <f>IFERROR(INDEX('QS Takeoff'!$C$3:$C$194,MATCH(B72,'QS Takeoff'!$B$3:$B$194,0)),"")</f>
        <v/>
      </c>
      <c r="E72" s="81" t="str">
        <f>IFERROR(INDEX('QS Takeoff'!$E$3:$E$194,MATCH(B72,'QS Takeoff'!$B$3:$B$194,0)),"")</f>
        <v/>
      </c>
      <c r="F72" s="81" t="str">
        <f>IFERROR(INDEX('QS Takeoff'!$D$3:$D$194,MATCH(B72,'QS Takeoff'!$B$3:$B$194,0)),"")</f>
        <v/>
      </c>
      <c r="G72" s="81" t="str">
        <f>IFERROR(INDEX('QS Takeoff'!$J$3:$J$194,MATCH(B72,'QS Takeoff'!$B$3:$B$194,0)),"")</f>
        <v/>
      </c>
      <c r="H72" s="53"/>
      <c r="I72" s="60"/>
      <c r="J72" s="60"/>
      <c r="K72" s="82" t="str">
        <f t="shared" si="6"/>
        <v/>
      </c>
      <c r="L72" s="60"/>
      <c r="M72" s="82" t="str">
        <f t="shared" si="7"/>
        <v/>
      </c>
      <c r="N72" s="53"/>
      <c r="O72" s="53"/>
      <c r="P72" s="53"/>
      <c r="Q72" s="81" t="str">
        <f>IFERROR(INDEX('Resource Rate Library'!$C$5:$C$85,MATCH(P72,'Resource Rate Library'!$A$5:$A$85,0)),"")</f>
        <v/>
      </c>
      <c r="R72" s="53"/>
      <c r="S72" s="53"/>
      <c r="T72" s="81" t="str">
        <f>IFERROR(INDEX('Resource Rate Library'!$E$5:$E$85,MATCH(P72,'Resource Rate Library'!$A$5:$A$85,0)),"")</f>
        <v/>
      </c>
      <c r="U72" s="62"/>
      <c r="V72" s="62"/>
      <c r="W72" s="83">
        <f>IFERROR(INDEX('Resource Rate Library'!$I$5:$I$85,MATCH(P72,'Resource Rate Library'!$A$5:$A$85,0)),0)</f>
        <v>0</v>
      </c>
      <c r="X72" s="52"/>
      <c r="Y72" s="83">
        <f t="shared" si="8"/>
        <v>0</v>
      </c>
      <c r="Z72" s="83" t="str">
        <f t="shared" si="9"/>
        <v/>
      </c>
      <c r="AA72" s="81" t="str">
        <f>IFERROR(INDEX('Resource Rate Library'!$N$5:$N$85,MATCH(P72,'Resource Rate Library'!$A$5:$A$85,0)),"")</f>
        <v/>
      </c>
      <c r="AB72" s="53"/>
      <c r="AC72" s="59"/>
      <c r="AD72" s="81" t="str">
        <f>IFERROR(INDEX('Resource Rate Library'!$G$5:$G$85,MATCH(P72,'Resource Rate Library'!$A$5:$A$85,0)),"")</f>
        <v/>
      </c>
      <c r="AE72" s="81" t="str">
        <f>IFERROR(INDEX('Resource Rate Library'!$H$5:$H$85,MATCH(P72,'Resource Rate Library'!$A$5:$A$85,0)),"")</f>
        <v/>
      </c>
      <c r="AF72" s="53"/>
      <c r="AG72" s="53"/>
      <c r="AH72" s="53"/>
      <c r="AI72" s="81" t="str">
        <f t="shared" si="5"/>
        <v/>
      </c>
      <c r="AJ72" s="54"/>
      <c r="AK72" s="197"/>
      <c r="AL72" s="197"/>
      <c r="AM72" s="197"/>
      <c r="AN72" s="199">
        <f>IF(AND(AK72="Yes",OR(O72="Labour",O72="Plant")),Z72,0)</f>
        <v>0</v>
      </c>
    </row>
    <row r="73" spans="1:40" ht="21.95" customHeight="1" x14ac:dyDescent="0.2">
      <c r="A73" s="80" t="str">
        <f>IF(B73="","",B73&amp;"-"&amp;TEXT(COUNTIF($B$7:B73,B73),"000"))</f>
        <v/>
      </c>
      <c r="B73" s="53"/>
      <c r="C73" s="81" t="str">
        <f>IFERROR(INDEX('QS Takeoff'!$A$3:$A$194,MATCH(B73,'QS Takeoff'!$B$3:$B$194,0)),"")</f>
        <v/>
      </c>
      <c r="D73" s="81" t="str">
        <f>IFERROR(INDEX('QS Takeoff'!$C$3:$C$194,MATCH(B73,'QS Takeoff'!$B$3:$B$194,0)),"")</f>
        <v/>
      </c>
      <c r="E73" s="81" t="str">
        <f>IFERROR(INDEX('QS Takeoff'!$E$3:$E$194,MATCH(B73,'QS Takeoff'!$B$3:$B$194,0)),"")</f>
        <v/>
      </c>
      <c r="F73" s="81" t="str">
        <f>IFERROR(INDEX('QS Takeoff'!$D$3:$D$194,MATCH(B73,'QS Takeoff'!$B$3:$B$194,0)),"")</f>
        <v/>
      </c>
      <c r="G73" s="81" t="str">
        <f>IFERROR(INDEX('QS Takeoff'!$J$3:$J$194,MATCH(B73,'QS Takeoff'!$B$3:$B$194,0)),"")</f>
        <v/>
      </c>
      <c r="H73" s="53"/>
      <c r="I73" s="60"/>
      <c r="J73" s="60"/>
      <c r="K73" s="82" t="str">
        <f t="shared" si="6"/>
        <v/>
      </c>
      <c r="L73" s="60"/>
      <c r="M73" s="82" t="str">
        <f t="shared" si="7"/>
        <v/>
      </c>
      <c r="N73" s="53"/>
      <c r="O73" s="53"/>
      <c r="P73" s="53"/>
      <c r="Q73" s="81" t="str">
        <f>IFERROR(INDEX('Resource Rate Library'!$C$5:$C$85,MATCH(P73,'Resource Rate Library'!$A$5:$A$85,0)),"")</f>
        <v/>
      </c>
      <c r="R73" s="53"/>
      <c r="S73" s="53"/>
      <c r="T73" s="81" t="str">
        <f>IFERROR(INDEX('Resource Rate Library'!$E$5:$E$85,MATCH(P73,'Resource Rate Library'!$A$5:$A$85,0)),"")</f>
        <v/>
      </c>
      <c r="U73" s="62"/>
      <c r="V73" s="62"/>
      <c r="W73" s="83">
        <f>IFERROR(INDEX('Resource Rate Library'!$I$5:$I$85,MATCH(P73,'Resource Rate Library'!$A$5:$A$85,0)),0)</f>
        <v>0</v>
      </c>
      <c r="X73" s="52"/>
      <c r="Y73" s="83">
        <f t="shared" si="8"/>
        <v>0</v>
      </c>
      <c r="Z73" s="83" t="str">
        <f t="shared" si="9"/>
        <v/>
      </c>
      <c r="AA73" s="81" t="str">
        <f>IFERROR(INDEX('Resource Rate Library'!$N$5:$N$85,MATCH(P73,'Resource Rate Library'!$A$5:$A$85,0)),"")</f>
        <v/>
      </c>
      <c r="AB73" s="53"/>
      <c r="AC73" s="59"/>
      <c r="AD73" s="81" t="str">
        <f>IFERROR(INDEX('Resource Rate Library'!$G$5:$G$85,MATCH(P73,'Resource Rate Library'!$A$5:$A$85,0)),"")</f>
        <v/>
      </c>
      <c r="AE73" s="81" t="str">
        <f>IFERROR(INDEX('Resource Rate Library'!$H$5:$H$85,MATCH(P73,'Resource Rate Library'!$A$5:$A$85,0)),"")</f>
        <v/>
      </c>
      <c r="AF73" s="53"/>
      <c r="AG73" s="53"/>
      <c r="AH73" s="53"/>
      <c r="AI73" s="81" t="str">
        <f t="shared" si="5"/>
        <v/>
      </c>
      <c r="AJ73" s="54"/>
      <c r="AK73" s="197"/>
      <c r="AL73" s="197"/>
      <c r="AM73" s="197"/>
      <c r="AN73" s="199">
        <f>IF(AND(AK73="Yes",OR(O73="Labour",O73="Plant")),Z73,0)</f>
        <v>0</v>
      </c>
    </row>
    <row r="74" spans="1:40" ht="21.95" customHeight="1" x14ac:dyDescent="0.2">
      <c r="A74" s="80" t="str">
        <f>IF(B74="","",B74&amp;"-"&amp;TEXT(COUNTIF($B$7:B74,B74),"000"))</f>
        <v/>
      </c>
      <c r="B74" s="53"/>
      <c r="C74" s="81" t="str">
        <f>IFERROR(INDEX('QS Takeoff'!$A$3:$A$194,MATCH(B74,'QS Takeoff'!$B$3:$B$194,0)),"")</f>
        <v/>
      </c>
      <c r="D74" s="81" t="str">
        <f>IFERROR(INDEX('QS Takeoff'!$C$3:$C$194,MATCH(B74,'QS Takeoff'!$B$3:$B$194,0)),"")</f>
        <v/>
      </c>
      <c r="E74" s="81" t="str">
        <f>IFERROR(INDEX('QS Takeoff'!$E$3:$E$194,MATCH(B74,'QS Takeoff'!$B$3:$B$194,0)),"")</f>
        <v/>
      </c>
      <c r="F74" s="81" t="str">
        <f>IFERROR(INDEX('QS Takeoff'!$D$3:$D$194,MATCH(B74,'QS Takeoff'!$B$3:$B$194,0)),"")</f>
        <v/>
      </c>
      <c r="G74" s="81" t="str">
        <f>IFERROR(INDEX('QS Takeoff'!$J$3:$J$194,MATCH(B74,'QS Takeoff'!$B$3:$B$194,0)),"")</f>
        <v/>
      </c>
      <c r="H74" s="53"/>
      <c r="I74" s="60"/>
      <c r="J74" s="60"/>
      <c r="K74" s="82" t="str">
        <f t="shared" si="6"/>
        <v/>
      </c>
      <c r="L74" s="60"/>
      <c r="M74" s="82" t="str">
        <f t="shared" si="7"/>
        <v/>
      </c>
      <c r="N74" s="53"/>
      <c r="O74" s="53"/>
      <c r="P74" s="53"/>
      <c r="Q74" s="81" t="str">
        <f>IFERROR(INDEX('Resource Rate Library'!$C$5:$C$85,MATCH(P74,'Resource Rate Library'!$A$5:$A$85,0)),"")</f>
        <v/>
      </c>
      <c r="R74" s="53"/>
      <c r="S74" s="53"/>
      <c r="T74" s="81" t="str">
        <f>IFERROR(INDEX('Resource Rate Library'!$E$5:$E$85,MATCH(P74,'Resource Rate Library'!$A$5:$A$85,0)),"")</f>
        <v/>
      </c>
      <c r="U74" s="62"/>
      <c r="V74" s="62"/>
      <c r="W74" s="83">
        <f>IFERROR(INDEX('Resource Rate Library'!$I$5:$I$85,MATCH(P74,'Resource Rate Library'!$A$5:$A$85,0)),0)</f>
        <v>0</v>
      </c>
      <c r="X74" s="52"/>
      <c r="Y74" s="83">
        <f t="shared" si="8"/>
        <v>0</v>
      </c>
      <c r="Z74" s="83" t="str">
        <f t="shared" si="9"/>
        <v/>
      </c>
      <c r="AA74" s="81" t="str">
        <f>IFERROR(INDEX('Resource Rate Library'!$N$5:$N$85,MATCH(P74,'Resource Rate Library'!$A$5:$A$85,0)),"")</f>
        <v/>
      </c>
      <c r="AB74" s="53"/>
      <c r="AC74" s="59"/>
      <c r="AD74" s="81" t="str">
        <f>IFERROR(INDEX('Resource Rate Library'!$G$5:$G$85,MATCH(P74,'Resource Rate Library'!$A$5:$A$85,0)),"")</f>
        <v/>
      </c>
      <c r="AE74" s="81" t="str">
        <f>IFERROR(INDEX('Resource Rate Library'!$H$5:$H$85,MATCH(P74,'Resource Rate Library'!$A$5:$A$85,0)),"")</f>
        <v/>
      </c>
      <c r="AF74" s="53"/>
      <c r="AG74" s="53"/>
      <c r="AH74" s="53"/>
      <c r="AI74" s="81" t="str">
        <f t="shared" si="5"/>
        <v/>
      </c>
      <c r="AJ74" s="54"/>
      <c r="AK74" s="197"/>
      <c r="AL74" s="197"/>
      <c r="AM74" s="197"/>
      <c r="AN74" s="199">
        <f>IF(AND(AK74="Yes",OR(O74="Labour",O74="Plant")),Z74,0)</f>
        <v>0</v>
      </c>
    </row>
    <row r="75" spans="1:40" ht="21.95" customHeight="1" x14ac:dyDescent="0.2">
      <c r="A75" s="80" t="str">
        <f>IF(B75="","",B75&amp;"-"&amp;TEXT(COUNTIF($B$7:B75,B75),"000"))</f>
        <v/>
      </c>
      <c r="B75" s="53"/>
      <c r="C75" s="81" t="str">
        <f>IFERROR(INDEX('QS Takeoff'!$A$3:$A$194,MATCH(B75,'QS Takeoff'!$B$3:$B$194,0)),"")</f>
        <v/>
      </c>
      <c r="D75" s="81" t="str">
        <f>IFERROR(INDEX('QS Takeoff'!$C$3:$C$194,MATCH(B75,'QS Takeoff'!$B$3:$B$194,0)),"")</f>
        <v/>
      </c>
      <c r="E75" s="81" t="str">
        <f>IFERROR(INDEX('QS Takeoff'!$E$3:$E$194,MATCH(B75,'QS Takeoff'!$B$3:$B$194,0)),"")</f>
        <v/>
      </c>
      <c r="F75" s="81" t="str">
        <f>IFERROR(INDEX('QS Takeoff'!$D$3:$D$194,MATCH(B75,'QS Takeoff'!$B$3:$B$194,0)),"")</f>
        <v/>
      </c>
      <c r="G75" s="81" t="str">
        <f>IFERROR(INDEX('QS Takeoff'!$J$3:$J$194,MATCH(B75,'QS Takeoff'!$B$3:$B$194,0)),"")</f>
        <v/>
      </c>
      <c r="H75" s="53"/>
      <c r="I75" s="60"/>
      <c r="J75" s="60"/>
      <c r="K75" s="82" t="str">
        <f t="shared" si="6"/>
        <v/>
      </c>
      <c r="L75" s="60"/>
      <c r="M75" s="82" t="str">
        <f t="shared" si="7"/>
        <v/>
      </c>
      <c r="N75" s="53"/>
      <c r="O75" s="53"/>
      <c r="P75" s="53"/>
      <c r="Q75" s="81" t="str">
        <f>IFERROR(INDEX('Resource Rate Library'!$C$5:$C$85,MATCH(P75,'Resource Rate Library'!$A$5:$A$85,0)),"")</f>
        <v/>
      </c>
      <c r="R75" s="53"/>
      <c r="S75" s="53"/>
      <c r="T75" s="81" t="str">
        <f>IFERROR(INDEX('Resource Rate Library'!$E$5:$E$85,MATCH(P75,'Resource Rate Library'!$A$5:$A$85,0)),"")</f>
        <v/>
      </c>
      <c r="U75" s="62"/>
      <c r="V75" s="62"/>
      <c r="W75" s="83">
        <f>IFERROR(INDEX('Resource Rate Library'!$I$5:$I$85,MATCH(P75,'Resource Rate Library'!$A$5:$A$85,0)),0)</f>
        <v>0</v>
      </c>
      <c r="X75" s="52"/>
      <c r="Y75" s="83">
        <f t="shared" si="8"/>
        <v>0</v>
      </c>
      <c r="Z75" s="83" t="str">
        <f t="shared" si="9"/>
        <v/>
      </c>
      <c r="AA75" s="81" t="str">
        <f>IFERROR(INDEX('Resource Rate Library'!$N$5:$N$85,MATCH(P75,'Resource Rate Library'!$A$5:$A$85,0)),"")</f>
        <v/>
      </c>
      <c r="AB75" s="53"/>
      <c r="AC75" s="59"/>
      <c r="AD75" s="81" t="str">
        <f>IFERROR(INDEX('Resource Rate Library'!$G$5:$G$85,MATCH(P75,'Resource Rate Library'!$A$5:$A$85,0)),"")</f>
        <v/>
      </c>
      <c r="AE75" s="81" t="str">
        <f>IFERROR(INDEX('Resource Rate Library'!$H$5:$H$85,MATCH(P75,'Resource Rate Library'!$A$5:$A$85,0)),"")</f>
        <v/>
      </c>
      <c r="AF75" s="53"/>
      <c r="AG75" s="53"/>
      <c r="AH75" s="53"/>
      <c r="AI75" s="81" t="str">
        <f t="shared" si="5"/>
        <v/>
      </c>
      <c r="AJ75" s="54"/>
      <c r="AK75" s="197"/>
      <c r="AL75" s="197"/>
      <c r="AM75" s="197"/>
      <c r="AN75" s="199">
        <f>IF(AND(AK75="Yes",OR(O75="Labour",O75="Plant")),Z75,0)</f>
        <v>0</v>
      </c>
    </row>
    <row r="76" spans="1:40" ht="21.95" customHeight="1" x14ac:dyDescent="0.2">
      <c r="A76" s="80" t="str">
        <f>IF(B76="","",B76&amp;"-"&amp;TEXT(COUNTIF($B$7:B76,B76),"000"))</f>
        <v/>
      </c>
      <c r="B76" s="53"/>
      <c r="C76" s="81" t="str">
        <f>IFERROR(INDEX('QS Takeoff'!$A$3:$A$194,MATCH(B76,'QS Takeoff'!$B$3:$B$194,0)),"")</f>
        <v/>
      </c>
      <c r="D76" s="81" t="str">
        <f>IFERROR(INDEX('QS Takeoff'!$C$3:$C$194,MATCH(B76,'QS Takeoff'!$B$3:$B$194,0)),"")</f>
        <v/>
      </c>
      <c r="E76" s="81" t="str">
        <f>IFERROR(INDEX('QS Takeoff'!$E$3:$E$194,MATCH(B76,'QS Takeoff'!$B$3:$B$194,0)),"")</f>
        <v/>
      </c>
      <c r="F76" s="81" t="str">
        <f>IFERROR(INDEX('QS Takeoff'!$D$3:$D$194,MATCH(B76,'QS Takeoff'!$B$3:$B$194,0)),"")</f>
        <v/>
      </c>
      <c r="G76" s="81" t="str">
        <f>IFERROR(INDEX('QS Takeoff'!$J$3:$J$194,MATCH(B76,'QS Takeoff'!$B$3:$B$194,0)),"")</f>
        <v/>
      </c>
      <c r="H76" s="53"/>
      <c r="I76" s="60"/>
      <c r="J76" s="60"/>
      <c r="K76" s="82" t="str">
        <f t="shared" si="6"/>
        <v/>
      </c>
      <c r="L76" s="60"/>
      <c r="M76" s="82" t="str">
        <f t="shared" si="7"/>
        <v/>
      </c>
      <c r="N76" s="53"/>
      <c r="O76" s="53"/>
      <c r="P76" s="53"/>
      <c r="Q76" s="81" t="str">
        <f>IFERROR(INDEX('Resource Rate Library'!$C$5:$C$85,MATCH(P76,'Resource Rate Library'!$A$5:$A$85,0)),"")</f>
        <v/>
      </c>
      <c r="R76" s="53"/>
      <c r="S76" s="53"/>
      <c r="T76" s="81" t="str">
        <f>IFERROR(INDEX('Resource Rate Library'!$E$5:$E$85,MATCH(P76,'Resource Rate Library'!$A$5:$A$85,0)),"")</f>
        <v/>
      </c>
      <c r="U76" s="62"/>
      <c r="V76" s="62"/>
      <c r="W76" s="83">
        <f>IFERROR(INDEX('Resource Rate Library'!$I$5:$I$85,MATCH(P76,'Resource Rate Library'!$A$5:$A$85,0)),0)</f>
        <v>0</v>
      </c>
      <c r="X76" s="52"/>
      <c r="Y76" s="83">
        <f t="shared" si="8"/>
        <v>0</v>
      </c>
      <c r="Z76" s="83" t="str">
        <f t="shared" si="9"/>
        <v/>
      </c>
      <c r="AA76" s="81" t="str">
        <f>IFERROR(INDEX('Resource Rate Library'!$N$5:$N$85,MATCH(P76,'Resource Rate Library'!$A$5:$A$85,0)),"")</f>
        <v/>
      </c>
      <c r="AB76" s="53"/>
      <c r="AC76" s="59"/>
      <c r="AD76" s="81" t="str">
        <f>IFERROR(INDEX('Resource Rate Library'!$G$5:$G$85,MATCH(P76,'Resource Rate Library'!$A$5:$A$85,0)),"")</f>
        <v/>
      </c>
      <c r="AE76" s="81" t="str">
        <f>IFERROR(INDEX('Resource Rate Library'!$H$5:$H$85,MATCH(P76,'Resource Rate Library'!$A$5:$A$85,0)),"")</f>
        <v/>
      </c>
      <c r="AF76" s="53"/>
      <c r="AG76" s="53"/>
      <c r="AH76" s="53"/>
      <c r="AI76" s="81" t="str">
        <f t="shared" si="5"/>
        <v/>
      </c>
      <c r="AJ76" s="54"/>
      <c r="AK76" s="197"/>
      <c r="AL76" s="197"/>
      <c r="AM76" s="197"/>
      <c r="AN76" s="199">
        <f>IF(AND(AK76="Yes",OR(O76="Labour",O76="Plant")),Z76,0)</f>
        <v>0</v>
      </c>
    </row>
    <row r="77" spans="1:40" ht="21.95" customHeight="1" x14ac:dyDescent="0.2">
      <c r="A77" s="80" t="str">
        <f>IF(B77="","",B77&amp;"-"&amp;TEXT(COUNTIF($B$7:B77,B77),"000"))</f>
        <v/>
      </c>
      <c r="B77" s="53"/>
      <c r="C77" s="81" t="str">
        <f>IFERROR(INDEX('QS Takeoff'!$A$3:$A$194,MATCH(B77,'QS Takeoff'!$B$3:$B$194,0)),"")</f>
        <v/>
      </c>
      <c r="D77" s="81" t="str">
        <f>IFERROR(INDEX('QS Takeoff'!$C$3:$C$194,MATCH(B77,'QS Takeoff'!$B$3:$B$194,0)),"")</f>
        <v/>
      </c>
      <c r="E77" s="81" t="str">
        <f>IFERROR(INDEX('QS Takeoff'!$E$3:$E$194,MATCH(B77,'QS Takeoff'!$B$3:$B$194,0)),"")</f>
        <v/>
      </c>
      <c r="F77" s="81" t="str">
        <f>IFERROR(INDEX('QS Takeoff'!$D$3:$D$194,MATCH(B77,'QS Takeoff'!$B$3:$B$194,0)),"")</f>
        <v/>
      </c>
      <c r="G77" s="81" t="str">
        <f>IFERROR(INDEX('QS Takeoff'!$J$3:$J$194,MATCH(B77,'QS Takeoff'!$B$3:$B$194,0)),"")</f>
        <v/>
      </c>
      <c r="H77" s="53"/>
      <c r="I77" s="60"/>
      <c r="J77" s="60"/>
      <c r="K77" s="82" t="str">
        <f t="shared" si="6"/>
        <v/>
      </c>
      <c r="L77" s="60"/>
      <c r="M77" s="82" t="str">
        <f t="shared" si="7"/>
        <v/>
      </c>
      <c r="N77" s="53"/>
      <c r="O77" s="53"/>
      <c r="P77" s="53"/>
      <c r="Q77" s="81" t="str">
        <f>IFERROR(INDEX('Resource Rate Library'!$C$5:$C$85,MATCH(P77,'Resource Rate Library'!$A$5:$A$85,0)),"")</f>
        <v/>
      </c>
      <c r="R77" s="53"/>
      <c r="S77" s="53"/>
      <c r="T77" s="81" t="str">
        <f>IFERROR(INDEX('Resource Rate Library'!$E$5:$E$85,MATCH(P77,'Resource Rate Library'!$A$5:$A$85,0)),"")</f>
        <v/>
      </c>
      <c r="U77" s="62"/>
      <c r="V77" s="62"/>
      <c r="W77" s="83">
        <f>IFERROR(INDEX('Resource Rate Library'!$I$5:$I$85,MATCH(P77,'Resource Rate Library'!$A$5:$A$85,0)),0)</f>
        <v>0</v>
      </c>
      <c r="X77" s="52"/>
      <c r="Y77" s="83">
        <f t="shared" si="8"/>
        <v>0</v>
      </c>
      <c r="Z77" s="83" t="str">
        <f t="shared" si="9"/>
        <v/>
      </c>
      <c r="AA77" s="81" t="str">
        <f>IFERROR(INDEX('Resource Rate Library'!$N$5:$N$85,MATCH(P77,'Resource Rate Library'!$A$5:$A$85,0)),"")</f>
        <v/>
      </c>
      <c r="AB77" s="53"/>
      <c r="AC77" s="59"/>
      <c r="AD77" s="81" t="str">
        <f>IFERROR(INDEX('Resource Rate Library'!$G$5:$G$85,MATCH(P77,'Resource Rate Library'!$A$5:$A$85,0)),"")</f>
        <v/>
      </c>
      <c r="AE77" s="81" t="str">
        <f>IFERROR(INDEX('Resource Rate Library'!$H$5:$H$85,MATCH(P77,'Resource Rate Library'!$A$5:$A$85,0)),"")</f>
        <v/>
      </c>
      <c r="AF77" s="53"/>
      <c r="AG77" s="53"/>
      <c r="AH77" s="53"/>
      <c r="AI77" s="81" t="str">
        <f t="shared" si="5"/>
        <v/>
      </c>
      <c r="AJ77" s="54"/>
      <c r="AK77" s="197"/>
      <c r="AL77" s="197"/>
      <c r="AM77" s="197"/>
      <c r="AN77" s="199">
        <f>IF(AND(AK77="Yes",OR(O77="Labour",O77="Plant")),Z77,0)</f>
        <v>0</v>
      </c>
    </row>
    <row r="78" spans="1:40" ht="21.95" customHeight="1" x14ac:dyDescent="0.2">
      <c r="A78" s="80" t="str">
        <f>IF(B78="","",B78&amp;"-"&amp;TEXT(COUNTIF($B$7:B78,B78),"000"))</f>
        <v/>
      </c>
      <c r="B78" s="53"/>
      <c r="C78" s="81" t="str">
        <f>IFERROR(INDEX('QS Takeoff'!$A$3:$A$194,MATCH(B78,'QS Takeoff'!$B$3:$B$194,0)),"")</f>
        <v/>
      </c>
      <c r="D78" s="81" t="str">
        <f>IFERROR(INDEX('QS Takeoff'!$C$3:$C$194,MATCH(B78,'QS Takeoff'!$B$3:$B$194,0)),"")</f>
        <v/>
      </c>
      <c r="E78" s="81" t="str">
        <f>IFERROR(INDEX('QS Takeoff'!$E$3:$E$194,MATCH(B78,'QS Takeoff'!$B$3:$B$194,0)),"")</f>
        <v/>
      </c>
      <c r="F78" s="81" t="str">
        <f>IFERROR(INDEX('QS Takeoff'!$D$3:$D$194,MATCH(B78,'QS Takeoff'!$B$3:$B$194,0)),"")</f>
        <v/>
      </c>
      <c r="G78" s="81" t="str">
        <f>IFERROR(INDEX('QS Takeoff'!$J$3:$J$194,MATCH(B78,'QS Takeoff'!$B$3:$B$194,0)),"")</f>
        <v/>
      </c>
      <c r="H78" s="53"/>
      <c r="I78" s="60"/>
      <c r="J78" s="60"/>
      <c r="K78" s="82" t="str">
        <f t="shared" si="6"/>
        <v/>
      </c>
      <c r="L78" s="60"/>
      <c r="M78" s="82" t="str">
        <f t="shared" si="7"/>
        <v/>
      </c>
      <c r="N78" s="53"/>
      <c r="O78" s="53"/>
      <c r="P78" s="53"/>
      <c r="Q78" s="81" t="str">
        <f>IFERROR(INDEX('Resource Rate Library'!$C$5:$C$85,MATCH(P78,'Resource Rate Library'!$A$5:$A$85,0)),"")</f>
        <v/>
      </c>
      <c r="R78" s="53"/>
      <c r="S78" s="53"/>
      <c r="T78" s="81" t="str">
        <f>IFERROR(INDEX('Resource Rate Library'!$E$5:$E$85,MATCH(P78,'Resource Rate Library'!$A$5:$A$85,0)),"")</f>
        <v/>
      </c>
      <c r="U78" s="62"/>
      <c r="V78" s="62"/>
      <c r="W78" s="83">
        <f>IFERROR(INDEX('Resource Rate Library'!$I$5:$I$85,MATCH(P78,'Resource Rate Library'!$A$5:$A$85,0)),0)</f>
        <v>0</v>
      </c>
      <c r="X78" s="52"/>
      <c r="Y78" s="83">
        <f t="shared" si="8"/>
        <v>0</v>
      </c>
      <c r="Z78" s="83" t="str">
        <f t="shared" si="9"/>
        <v/>
      </c>
      <c r="AA78" s="81" t="str">
        <f>IFERROR(INDEX('Resource Rate Library'!$N$5:$N$85,MATCH(P78,'Resource Rate Library'!$A$5:$A$85,0)),"")</f>
        <v/>
      </c>
      <c r="AB78" s="53"/>
      <c r="AC78" s="59"/>
      <c r="AD78" s="81" t="str">
        <f>IFERROR(INDEX('Resource Rate Library'!$G$5:$G$85,MATCH(P78,'Resource Rate Library'!$A$5:$A$85,0)),"")</f>
        <v/>
      </c>
      <c r="AE78" s="81" t="str">
        <f>IFERROR(INDEX('Resource Rate Library'!$H$5:$H$85,MATCH(P78,'Resource Rate Library'!$A$5:$A$85,0)),"")</f>
        <v/>
      </c>
      <c r="AF78" s="53"/>
      <c r="AG78" s="53"/>
      <c r="AH78" s="53"/>
      <c r="AI78" s="81" t="str">
        <f t="shared" si="5"/>
        <v/>
      </c>
      <c r="AJ78" s="54"/>
      <c r="AK78" s="197"/>
      <c r="AL78" s="197"/>
      <c r="AM78" s="197"/>
      <c r="AN78" s="199">
        <f>IF(AND(AK78="Yes",OR(O78="Labour",O78="Plant")),Z78,0)</f>
        <v>0</v>
      </c>
    </row>
    <row r="79" spans="1:40" ht="21.95" customHeight="1" x14ac:dyDescent="0.2">
      <c r="A79" s="80" t="str">
        <f>IF(B79="","",B79&amp;"-"&amp;TEXT(COUNTIF($B$7:B79,B79),"000"))</f>
        <v/>
      </c>
      <c r="B79" s="53"/>
      <c r="C79" s="81" t="str">
        <f>IFERROR(INDEX('QS Takeoff'!$A$3:$A$194,MATCH(B79,'QS Takeoff'!$B$3:$B$194,0)),"")</f>
        <v/>
      </c>
      <c r="D79" s="81" t="str">
        <f>IFERROR(INDEX('QS Takeoff'!$C$3:$C$194,MATCH(B79,'QS Takeoff'!$B$3:$B$194,0)),"")</f>
        <v/>
      </c>
      <c r="E79" s="81" t="str">
        <f>IFERROR(INDEX('QS Takeoff'!$E$3:$E$194,MATCH(B79,'QS Takeoff'!$B$3:$B$194,0)),"")</f>
        <v/>
      </c>
      <c r="F79" s="81" t="str">
        <f>IFERROR(INDEX('QS Takeoff'!$D$3:$D$194,MATCH(B79,'QS Takeoff'!$B$3:$B$194,0)),"")</f>
        <v/>
      </c>
      <c r="G79" s="81" t="str">
        <f>IFERROR(INDEX('QS Takeoff'!$J$3:$J$194,MATCH(B79,'QS Takeoff'!$B$3:$B$194,0)),"")</f>
        <v/>
      </c>
      <c r="H79" s="53"/>
      <c r="I79" s="60"/>
      <c r="J79" s="60"/>
      <c r="K79" s="82" t="str">
        <f t="shared" si="6"/>
        <v/>
      </c>
      <c r="L79" s="60"/>
      <c r="M79" s="82" t="str">
        <f t="shared" si="7"/>
        <v/>
      </c>
      <c r="N79" s="53"/>
      <c r="O79" s="53"/>
      <c r="P79" s="53"/>
      <c r="Q79" s="81" t="str">
        <f>IFERROR(INDEX('Resource Rate Library'!$C$5:$C$85,MATCH(P79,'Resource Rate Library'!$A$5:$A$85,0)),"")</f>
        <v/>
      </c>
      <c r="R79" s="53"/>
      <c r="S79" s="53"/>
      <c r="T79" s="81" t="str">
        <f>IFERROR(INDEX('Resource Rate Library'!$E$5:$E$85,MATCH(P79,'Resource Rate Library'!$A$5:$A$85,0)),"")</f>
        <v/>
      </c>
      <c r="U79" s="62"/>
      <c r="V79" s="62"/>
      <c r="W79" s="83">
        <f>IFERROR(INDEX('Resource Rate Library'!$I$5:$I$85,MATCH(P79,'Resource Rate Library'!$A$5:$A$85,0)),0)</f>
        <v>0</v>
      </c>
      <c r="X79" s="52"/>
      <c r="Y79" s="83">
        <f t="shared" si="8"/>
        <v>0</v>
      </c>
      <c r="Z79" s="83" t="str">
        <f t="shared" si="9"/>
        <v/>
      </c>
      <c r="AA79" s="81" t="str">
        <f>IFERROR(INDEX('Resource Rate Library'!$N$5:$N$85,MATCH(P79,'Resource Rate Library'!$A$5:$A$85,0)),"")</f>
        <v/>
      </c>
      <c r="AB79" s="53"/>
      <c r="AC79" s="59"/>
      <c r="AD79" s="81" t="str">
        <f>IFERROR(INDEX('Resource Rate Library'!$G$5:$G$85,MATCH(P79,'Resource Rate Library'!$A$5:$A$85,0)),"")</f>
        <v/>
      </c>
      <c r="AE79" s="81" t="str">
        <f>IFERROR(INDEX('Resource Rate Library'!$H$5:$H$85,MATCH(P79,'Resource Rate Library'!$A$5:$A$85,0)),"")</f>
        <v/>
      </c>
      <c r="AF79" s="53"/>
      <c r="AG79" s="53"/>
      <c r="AH79" s="53"/>
      <c r="AI79" s="81" t="str">
        <f t="shared" si="5"/>
        <v/>
      </c>
      <c r="AJ79" s="54"/>
      <c r="AK79" s="197"/>
      <c r="AL79" s="197"/>
      <c r="AM79" s="197"/>
      <c r="AN79" s="199">
        <f>IF(AND(AK79="Yes",OR(O79="Labour",O79="Plant")),Z79,0)</f>
        <v>0</v>
      </c>
    </row>
    <row r="80" spans="1:40" ht="21.95" customHeight="1" x14ac:dyDescent="0.2">
      <c r="A80" s="80" t="str">
        <f>IF(B80="","",B80&amp;"-"&amp;TEXT(COUNTIF($B$7:B80,B80),"000"))</f>
        <v/>
      </c>
      <c r="B80" s="53"/>
      <c r="C80" s="81" t="str">
        <f>IFERROR(INDEX('QS Takeoff'!$A$3:$A$194,MATCH(B80,'QS Takeoff'!$B$3:$B$194,0)),"")</f>
        <v/>
      </c>
      <c r="D80" s="81" t="str">
        <f>IFERROR(INDEX('QS Takeoff'!$C$3:$C$194,MATCH(B80,'QS Takeoff'!$B$3:$B$194,0)),"")</f>
        <v/>
      </c>
      <c r="E80" s="81" t="str">
        <f>IFERROR(INDEX('QS Takeoff'!$E$3:$E$194,MATCH(B80,'QS Takeoff'!$B$3:$B$194,0)),"")</f>
        <v/>
      </c>
      <c r="F80" s="81" t="str">
        <f>IFERROR(INDEX('QS Takeoff'!$D$3:$D$194,MATCH(B80,'QS Takeoff'!$B$3:$B$194,0)),"")</f>
        <v/>
      </c>
      <c r="G80" s="81" t="str">
        <f>IFERROR(INDEX('QS Takeoff'!$J$3:$J$194,MATCH(B80,'QS Takeoff'!$B$3:$B$194,0)),"")</f>
        <v/>
      </c>
      <c r="H80" s="53"/>
      <c r="I80" s="60"/>
      <c r="J80" s="60"/>
      <c r="K80" s="82" t="str">
        <f t="shared" si="6"/>
        <v/>
      </c>
      <c r="L80" s="60"/>
      <c r="M80" s="82" t="str">
        <f t="shared" si="7"/>
        <v/>
      </c>
      <c r="N80" s="53"/>
      <c r="O80" s="53"/>
      <c r="P80" s="53"/>
      <c r="Q80" s="81" t="str">
        <f>IFERROR(INDEX('Resource Rate Library'!$C$5:$C$85,MATCH(P80,'Resource Rate Library'!$A$5:$A$85,0)),"")</f>
        <v/>
      </c>
      <c r="R80" s="53"/>
      <c r="S80" s="53"/>
      <c r="T80" s="81" t="str">
        <f>IFERROR(INDEX('Resource Rate Library'!$E$5:$E$85,MATCH(P80,'Resource Rate Library'!$A$5:$A$85,0)),"")</f>
        <v/>
      </c>
      <c r="U80" s="62"/>
      <c r="V80" s="62"/>
      <c r="W80" s="83">
        <f>IFERROR(INDEX('Resource Rate Library'!$I$5:$I$85,MATCH(P80,'Resource Rate Library'!$A$5:$A$85,0)),0)</f>
        <v>0</v>
      </c>
      <c r="X80" s="52"/>
      <c r="Y80" s="83">
        <f t="shared" si="8"/>
        <v>0</v>
      </c>
      <c r="Z80" s="83" t="str">
        <f t="shared" si="9"/>
        <v/>
      </c>
      <c r="AA80" s="81" t="str">
        <f>IFERROR(INDEX('Resource Rate Library'!$N$5:$N$85,MATCH(P80,'Resource Rate Library'!$A$5:$A$85,0)),"")</f>
        <v/>
      </c>
      <c r="AB80" s="53"/>
      <c r="AC80" s="59"/>
      <c r="AD80" s="81" t="str">
        <f>IFERROR(INDEX('Resource Rate Library'!$G$5:$G$85,MATCH(P80,'Resource Rate Library'!$A$5:$A$85,0)),"")</f>
        <v/>
      </c>
      <c r="AE80" s="81" t="str">
        <f>IFERROR(INDEX('Resource Rate Library'!$H$5:$H$85,MATCH(P80,'Resource Rate Library'!$A$5:$A$85,0)),"")</f>
        <v/>
      </c>
      <c r="AF80" s="53"/>
      <c r="AG80" s="53"/>
      <c r="AH80" s="53"/>
      <c r="AI80" s="81" t="str">
        <f t="shared" si="5"/>
        <v/>
      </c>
      <c r="AJ80" s="54"/>
      <c r="AK80" s="197"/>
      <c r="AL80" s="197"/>
      <c r="AM80" s="197"/>
      <c r="AN80" s="199">
        <f>IF(AND(AK80="Yes",OR(O80="Labour",O80="Plant")),Z80,0)</f>
        <v>0</v>
      </c>
    </row>
    <row r="81" spans="1:40" ht="21.95" customHeight="1" x14ac:dyDescent="0.2">
      <c r="A81" s="80" t="str">
        <f>IF(B81="","",B81&amp;"-"&amp;TEXT(COUNTIF($B$7:B81,B81),"000"))</f>
        <v/>
      </c>
      <c r="B81" s="53"/>
      <c r="C81" s="81" t="str">
        <f>IFERROR(INDEX('QS Takeoff'!$A$3:$A$194,MATCH(B81,'QS Takeoff'!$B$3:$B$194,0)),"")</f>
        <v/>
      </c>
      <c r="D81" s="81" t="str">
        <f>IFERROR(INDEX('QS Takeoff'!$C$3:$C$194,MATCH(B81,'QS Takeoff'!$B$3:$B$194,0)),"")</f>
        <v/>
      </c>
      <c r="E81" s="81" t="str">
        <f>IFERROR(INDEX('QS Takeoff'!$E$3:$E$194,MATCH(B81,'QS Takeoff'!$B$3:$B$194,0)),"")</f>
        <v/>
      </c>
      <c r="F81" s="81" t="str">
        <f>IFERROR(INDEX('QS Takeoff'!$D$3:$D$194,MATCH(B81,'QS Takeoff'!$B$3:$B$194,0)),"")</f>
        <v/>
      </c>
      <c r="G81" s="81" t="str">
        <f>IFERROR(INDEX('QS Takeoff'!$J$3:$J$194,MATCH(B81,'QS Takeoff'!$B$3:$B$194,0)),"")</f>
        <v/>
      </c>
      <c r="H81" s="53"/>
      <c r="I81" s="60"/>
      <c r="J81" s="60"/>
      <c r="K81" s="82" t="str">
        <f t="shared" si="6"/>
        <v/>
      </c>
      <c r="L81" s="60"/>
      <c r="M81" s="82" t="str">
        <f t="shared" si="7"/>
        <v/>
      </c>
      <c r="N81" s="53"/>
      <c r="O81" s="53"/>
      <c r="P81" s="53"/>
      <c r="Q81" s="81" t="str">
        <f>IFERROR(INDEX('Resource Rate Library'!$C$5:$C$85,MATCH(P81,'Resource Rate Library'!$A$5:$A$85,0)),"")</f>
        <v/>
      </c>
      <c r="R81" s="53"/>
      <c r="S81" s="53"/>
      <c r="T81" s="81" t="str">
        <f>IFERROR(INDEX('Resource Rate Library'!$E$5:$E$85,MATCH(P81,'Resource Rate Library'!$A$5:$A$85,0)),"")</f>
        <v/>
      </c>
      <c r="U81" s="62"/>
      <c r="V81" s="62"/>
      <c r="W81" s="83">
        <f>IFERROR(INDEX('Resource Rate Library'!$I$5:$I$85,MATCH(P81,'Resource Rate Library'!$A$5:$A$85,0)),0)</f>
        <v>0</v>
      </c>
      <c r="X81" s="88"/>
      <c r="Y81" s="89">
        <f t="shared" si="8"/>
        <v>0</v>
      </c>
      <c r="Z81" s="89" t="str">
        <f t="shared" si="9"/>
        <v/>
      </c>
      <c r="AA81" s="81" t="str">
        <f>IFERROR(INDEX('Resource Rate Library'!$N$5:$N$85,MATCH(P81,'Resource Rate Library'!$A$5:$A$85,0)),"")</f>
        <v/>
      </c>
      <c r="AB81" s="53"/>
      <c r="AC81" s="59"/>
      <c r="AD81" s="81" t="str">
        <f>IFERROR(INDEX('Resource Rate Library'!$G$5:$G$85,MATCH(P81,'Resource Rate Library'!$A$5:$A$85,0)),"")</f>
        <v/>
      </c>
      <c r="AE81" s="81" t="str">
        <f>IFERROR(INDEX('Resource Rate Library'!$H$5:$H$85,MATCH(P81,'Resource Rate Library'!$A$5:$A$85,0)),"")</f>
        <v/>
      </c>
      <c r="AF81" s="53"/>
      <c r="AG81" s="53"/>
      <c r="AH81" s="53"/>
      <c r="AI81" s="81" t="str">
        <f t="shared" si="5"/>
        <v/>
      </c>
      <c r="AJ81" s="54"/>
      <c r="AK81" s="197"/>
      <c r="AL81" s="197"/>
      <c r="AM81" s="197"/>
      <c r="AN81" s="199">
        <f>IF(AND(AK81="Yes",OR(O81="Labour",O81="Plant")),Z81,0)</f>
        <v>0</v>
      </c>
    </row>
    <row r="82" spans="1:40" ht="21.95" customHeight="1" x14ac:dyDescent="0.2">
      <c r="A82" s="80" t="str">
        <f>IF(B82="","",B82&amp;"-"&amp;TEXT(COUNTIF($B$7:B82,B82),"000"))</f>
        <v/>
      </c>
      <c r="B82" s="53"/>
      <c r="C82" s="81" t="str">
        <f>IFERROR(INDEX('QS Takeoff'!$A$3:$A$194,MATCH(B82,'QS Takeoff'!$B$3:$B$194,0)),"")</f>
        <v/>
      </c>
      <c r="D82" s="81" t="str">
        <f>IFERROR(INDEX('QS Takeoff'!$C$3:$C$194,MATCH(B82,'QS Takeoff'!$B$3:$B$194,0)),"")</f>
        <v/>
      </c>
      <c r="E82" s="81" t="str">
        <f>IFERROR(INDEX('QS Takeoff'!$E$3:$E$194,MATCH(B82,'QS Takeoff'!$B$3:$B$194,0)),"")</f>
        <v/>
      </c>
      <c r="F82" s="81" t="str">
        <f>IFERROR(INDEX('QS Takeoff'!$D$3:$D$194,MATCH(B82,'QS Takeoff'!$B$3:$B$194,0)),"")</f>
        <v/>
      </c>
      <c r="G82" s="81" t="str">
        <f>IFERROR(INDEX('QS Takeoff'!$J$3:$J$194,MATCH(B82,'QS Takeoff'!$B$3:$B$194,0)),"")</f>
        <v/>
      </c>
      <c r="H82" s="53"/>
      <c r="I82" s="60"/>
      <c r="J82" s="60"/>
      <c r="K82" s="82" t="str">
        <f t="shared" si="6"/>
        <v/>
      </c>
      <c r="L82" s="60"/>
      <c r="M82" s="82" t="str">
        <f t="shared" si="7"/>
        <v/>
      </c>
      <c r="N82" s="53"/>
      <c r="O82" s="53"/>
      <c r="P82" s="53"/>
      <c r="Q82" s="81" t="str">
        <f>IFERROR(INDEX('Resource Rate Library'!$C$5:$C$85,MATCH(P82,'Resource Rate Library'!$A$5:$A$85,0)),"")</f>
        <v/>
      </c>
      <c r="R82" s="53"/>
      <c r="S82" s="53"/>
      <c r="T82" s="81" t="str">
        <f>IFERROR(INDEX('Resource Rate Library'!$E$5:$E$85,MATCH(P82,'Resource Rate Library'!$A$5:$A$85,0)),"")</f>
        <v/>
      </c>
      <c r="U82" s="62"/>
      <c r="V82" s="62"/>
      <c r="W82" s="83">
        <f>IFERROR(INDEX('Resource Rate Library'!$I$5:$I$85,MATCH(P82,'Resource Rate Library'!$A$5:$A$85,0)),0)</f>
        <v>0</v>
      </c>
      <c r="X82" s="52"/>
      <c r="Y82" s="83">
        <f t="shared" si="8"/>
        <v>0</v>
      </c>
      <c r="Z82" s="83" t="str">
        <f t="shared" si="9"/>
        <v/>
      </c>
      <c r="AA82" s="81" t="str">
        <f>IFERROR(INDEX('Resource Rate Library'!$N$5:$N$85,MATCH(P82,'Resource Rate Library'!$A$5:$A$85,0)),"")</f>
        <v/>
      </c>
      <c r="AB82" s="53"/>
      <c r="AC82" s="59"/>
      <c r="AD82" s="81" t="str">
        <f>IFERROR(INDEX('Resource Rate Library'!$G$5:$G$85,MATCH(P82,'Resource Rate Library'!$A$5:$A$85,0)),"")</f>
        <v/>
      </c>
      <c r="AE82" s="81" t="str">
        <f>IFERROR(INDEX('Resource Rate Library'!$H$5:$H$85,MATCH(P82,'Resource Rate Library'!$A$5:$A$85,0)),"")</f>
        <v/>
      </c>
      <c r="AF82" s="53"/>
      <c r="AG82" s="53"/>
      <c r="AH82" s="53"/>
      <c r="AI82" s="81" t="str">
        <f t="shared" si="5"/>
        <v/>
      </c>
      <c r="AJ82" s="54"/>
      <c r="AK82" s="197"/>
      <c r="AL82" s="197"/>
      <c r="AM82" s="197"/>
      <c r="AN82" s="199">
        <f>IF(AND(AK82="Yes",OR(O82="Labour",O82="Plant")),Z82,0)</f>
        <v>0</v>
      </c>
    </row>
    <row r="83" spans="1:40" ht="21.95" customHeight="1" x14ac:dyDescent="0.2">
      <c r="A83" s="80" t="str">
        <f>IF(B83="","",B83&amp;"-"&amp;TEXT(COUNTIF($B$7:B83,B83),"000"))</f>
        <v/>
      </c>
      <c r="B83" s="53"/>
      <c r="C83" s="81" t="str">
        <f>IFERROR(INDEX('QS Takeoff'!$A$3:$A$194,MATCH(B83,'QS Takeoff'!$B$3:$B$194,0)),"")</f>
        <v/>
      </c>
      <c r="D83" s="81" t="str">
        <f>IFERROR(INDEX('QS Takeoff'!$C$3:$C$194,MATCH(B83,'QS Takeoff'!$B$3:$B$194,0)),"")</f>
        <v/>
      </c>
      <c r="E83" s="81" t="str">
        <f>IFERROR(INDEX('QS Takeoff'!$E$3:$E$194,MATCH(B83,'QS Takeoff'!$B$3:$B$194,0)),"")</f>
        <v/>
      </c>
      <c r="F83" s="81" t="str">
        <f>IFERROR(INDEX('QS Takeoff'!$D$3:$D$194,MATCH(B83,'QS Takeoff'!$B$3:$B$194,0)),"")</f>
        <v/>
      </c>
      <c r="G83" s="81" t="str">
        <f>IFERROR(INDEX('QS Takeoff'!$J$3:$J$194,MATCH(B83,'QS Takeoff'!$B$3:$B$194,0)),"")</f>
        <v/>
      </c>
      <c r="H83" s="53"/>
      <c r="I83" s="60"/>
      <c r="J83" s="60"/>
      <c r="K83" s="82" t="str">
        <f t="shared" si="6"/>
        <v/>
      </c>
      <c r="L83" s="60"/>
      <c r="M83" s="82" t="str">
        <f t="shared" si="7"/>
        <v/>
      </c>
      <c r="N83" s="53"/>
      <c r="O83" s="53"/>
      <c r="P83" s="53"/>
      <c r="Q83" s="81" t="str">
        <f>IFERROR(INDEX('Resource Rate Library'!$C$5:$C$85,MATCH(P83,'Resource Rate Library'!$A$5:$A$85,0)),"")</f>
        <v/>
      </c>
      <c r="R83" s="53"/>
      <c r="S83" s="53"/>
      <c r="T83" s="81" t="str">
        <f>IFERROR(INDEX('Resource Rate Library'!$E$5:$E$85,MATCH(P83,'Resource Rate Library'!$A$5:$A$85,0)),"")</f>
        <v/>
      </c>
      <c r="U83" s="62"/>
      <c r="V83" s="62"/>
      <c r="W83" s="83">
        <f>IFERROR(INDEX('Resource Rate Library'!$I$5:$I$85,MATCH(P83,'Resource Rate Library'!$A$5:$A$85,0)),0)</f>
        <v>0</v>
      </c>
      <c r="X83" s="52"/>
      <c r="Y83" s="83">
        <f t="shared" si="8"/>
        <v>0</v>
      </c>
      <c r="Z83" s="83" t="str">
        <f t="shared" si="9"/>
        <v/>
      </c>
      <c r="AA83" s="81" t="str">
        <f>IFERROR(INDEX('Resource Rate Library'!$N$5:$N$85,MATCH(P83,'Resource Rate Library'!$A$5:$A$85,0)),"")</f>
        <v/>
      </c>
      <c r="AB83" s="53"/>
      <c r="AC83" s="59"/>
      <c r="AD83" s="81" t="str">
        <f>IFERROR(INDEX('Resource Rate Library'!$G$5:$G$85,MATCH(P83,'Resource Rate Library'!$A$5:$A$85,0)),"")</f>
        <v/>
      </c>
      <c r="AE83" s="81" t="str">
        <f>IFERROR(INDEX('Resource Rate Library'!$H$5:$H$85,MATCH(P83,'Resource Rate Library'!$A$5:$A$85,0)),"")</f>
        <v/>
      </c>
      <c r="AF83" s="53"/>
      <c r="AG83" s="53"/>
      <c r="AH83" s="53"/>
      <c r="AI83" s="81" t="str">
        <f t="shared" si="5"/>
        <v/>
      </c>
      <c r="AJ83" s="54"/>
      <c r="AK83" s="197"/>
      <c r="AL83" s="197"/>
      <c r="AM83" s="197"/>
      <c r="AN83" s="199">
        <f>IF(AND(AK83="Yes",OR(O83="Labour",O83="Plant")),Z83,0)</f>
        <v>0</v>
      </c>
    </row>
    <row r="84" spans="1:40" ht="21.95" customHeight="1" x14ac:dyDescent="0.2">
      <c r="A84" s="80" t="str">
        <f>IF(B84="","",B84&amp;"-"&amp;TEXT(COUNTIF($B$7:B84,B84),"000"))</f>
        <v/>
      </c>
      <c r="B84" s="53"/>
      <c r="C84" s="81" t="str">
        <f>IFERROR(INDEX('QS Takeoff'!$A$3:$A$194,MATCH(B84,'QS Takeoff'!$B$3:$B$194,0)),"")</f>
        <v/>
      </c>
      <c r="D84" s="81" t="str">
        <f>IFERROR(INDEX('QS Takeoff'!$C$3:$C$194,MATCH(B84,'QS Takeoff'!$B$3:$B$194,0)),"")</f>
        <v/>
      </c>
      <c r="E84" s="81" t="str">
        <f>IFERROR(INDEX('QS Takeoff'!$E$3:$E$194,MATCH(B84,'QS Takeoff'!$B$3:$B$194,0)),"")</f>
        <v/>
      </c>
      <c r="F84" s="81" t="str">
        <f>IFERROR(INDEX('QS Takeoff'!$D$3:$D$194,MATCH(B84,'QS Takeoff'!$B$3:$B$194,0)),"")</f>
        <v/>
      </c>
      <c r="G84" s="81" t="str">
        <f>IFERROR(INDEX('QS Takeoff'!$J$3:$J$194,MATCH(B84,'QS Takeoff'!$B$3:$B$194,0)),"")</f>
        <v/>
      </c>
      <c r="H84" s="53"/>
      <c r="I84" s="60"/>
      <c r="J84" s="60"/>
      <c r="K84" s="82" t="str">
        <f t="shared" si="6"/>
        <v/>
      </c>
      <c r="L84" s="60"/>
      <c r="M84" s="82" t="str">
        <f t="shared" si="7"/>
        <v/>
      </c>
      <c r="N84" s="53"/>
      <c r="O84" s="53"/>
      <c r="P84" s="53"/>
      <c r="Q84" s="81" t="str">
        <f>IFERROR(INDEX('Resource Rate Library'!$C$5:$C$85,MATCH(P84,'Resource Rate Library'!$A$5:$A$85,0)),"")</f>
        <v/>
      </c>
      <c r="R84" s="53"/>
      <c r="S84" s="53"/>
      <c r="T84" s="81" t="str">
        <f>IFERROR(INDEX('Resource Rate Library'!$E$5:$E$85,MATCH(P84,'Resource Rate Library'!$A$5:$A$85,0)),"")</f>
        <v/>
      </c>
      <c r="U84" s="62"/>
      <c r="V84" s="62"/>
      <c r="W84" s="83">
        <f>IFERROR(INDEX('Resource Rate Library'!$I$5:$I$85,MATCH(P84,'Resource Rate Library'!$A$5:$A$85,0)),0)</f>
        <v>0</v>
      </c>
      <c r="X84" s="52"/>
      <c r="Y84" s="83">
        <f t="shared" si="8"/>
        <v>0</v>
      </c>
      <c r="Z84" s="83" t="str">
        <f t="shared" si="9"/>
        <v/>
      </c>
      <c r="AA84" s="81" t="str">
        <f>IFERROR(INDEX('Resource Rate Library'!$N$5:$N$85,MATCH(P84,'Resource Rate Library'!$A$5:$A$85,0)),"")</f>
        <v/>
      </c>
      <c r="AB84" s="53"/>
      <c r="AC84" s="59"/>
      <c r="AD84" s="81" t="str">
        <f>IFERROR(INDEX('Resource Rate Library'!$G$5:$G$85,MATCH(P84,'Resource Rate Library'!$A$5:$A$85,0)),"")</f>
        <v/>
      </c>
      <c r="AE84" s="81" t="str">
        <f>IFERROR(INDEX('Resource Rate Library'!$H$5:$H$85,MATCH(P84,'Resource Rate Library'!$A$5:$A$85,0)),"")</f>
        <v/>
      </c>
      <c r="AF84" s="53"/>
      <c r="AG84" s="53"/>
      <c r="AH84" s="53"/>
      <c r="AI84" s="81" t="str">
        <f t="shared" si="5"/>
        <v/>
      </c>
      <c r="AJ84" s="54"/>
      <c r="AK84" s="197"/>
      <c r="AL84" s="197"/>
      <c r="AM84" s="197"/>
      <c r="AN84" s="199">
        <f>IF(AND(AK84="Yes",OR(O84="Labour",O84="Plant")),Z84,0)</f>
        <v>0</v>
      </c>
    </row>
    <row r="85" spans="1:40" ht="21.95" customHeight="1" x14ac:dyDescent="0.2">
      <c r="A85" s="80" t="str">
        <f>IF(B85="","",B85&amp;"-"&amp;TEXT(COUNTIF($B$7:B85,B85),"000"))</f>
        <v/>
      </c>
      <c r="B85" s="53"/>
      <c r="C85" s="81" t="str">
        <f>IFERROR(INDEX('QS Takeoff'!$A$3:$A$194,MATCH(B85,'QS Takeoff'!$B$3:$B$194,0)),"")</f>
        <v/>
      </c>
      <c r="D85" s="81" t="str">
        <f>IFERROR(INDEX('QS Takeoff'!$C$3:$C$194,MATCH(B85,'QS Takeoff'!$B$3:$B$194,0)),"")</f>
        <v/>
      </c>
      <c r="E85" s="81" t="str">
        <f>IFERROR(INDEX('QS Takeoff'!$E$3:$E$194,MATCH(B85,'QS Takeoff'!$B$3:$B$194,0)),"")</f>
        <v/>
      </c>
      <c r="F85" s="81" t="str">
        <f>IFERROR(INDEX('QS Takeoff'!$D$3:$D$194,MATCH(B85,'QS Takeoff'!$B$3:$B$194,0)),"")</f>
        <v/>
      </c>
      <c r="G85" s="81" t="str">
        <f>IFERROR(INDEX('QS Takeoff'!$J$3:$J$194,MATCH(B85,'QS Takeoff'!$B$3:$B$194,0)),"")</f>
        <v/>
      </c>
      <c r="H85" s="53"/>
      <c r="I85" s="60"/>
      <c r="J85" s="60"/>
      <c r="K85" s="82" t="str">
        <f t="shared" si="6"/>
        <v/>
      </c>
      <c r="L85" s="60"/>
      <c r="M85" s="82" t="str">
        <f t="shared" si="7"/>
        <v/>
      </c>
      <c r="N85" s="53"/>
      <c r="O85" s="53"/>
      <c r="P85" s="53"/>
      <c r="Q85" s="81" t="str">
        <f>IFERROR(INDEX('Resource Rate Library'!$C$5:$C$85,MATCH(P85,'Resource Rate Library'!$A$5:$A$85,0)),"")</f>
        <v/>
      </c>
      <c r="R85" s="53"/>
      <c r="S85" s="53"/>
      <c r="T85" s="81" t="str">
        <f>IFERROR(INDEX('Resource Rate Library'!$E$5:$E$85,MATCH(P85,'Resource Rate Library'!$A$5:$A$85,0)),"")</f>
        <v/>
      </c>
      <c r="U85" s="62"/>
      <c r="V85" s="62"/>
      <c r="W85" s="83">
        <f>IFERROR(INDEX('Resource Rate Library'!$I$5:$I$85,MATCH(P85,'Resource Rate Library'!$A$5:$A$85,0)),0)</f>
        <v>0</v>
      </c>
      <c r="X85" s="52"/>
      <c r="Y85" s="83">
        <f t="shared" si="8"/>
        <v>0</v>
      </c>
      <c r="Z85" s="83" t="str">
        <f t="shared" si="9"/>
        <v/>
      </c>
      <c r="AA85" s="81" t="str">
        <f>IFERROR(INDEX('Resource Rate Library'!$N$5:$N$85,MATCH(P85,'Resource Rate Library'!$A$5:$A$85,0)),"")</f>
        <v/>
      </c>
      <c r="AB85" s="53"/>
      <c r="AC85" s="59"/>
      <c r="AD85" s="81" t="str">
        <f>IFERROR(INDEX('Resource Rate Library'!$G$5:$G$85,MATCH(P85,'Resource Rate Library'!$A$5:$A$85,0)),"")</f>
        <v/>
      </c>
      <c r="AE85" s="81" t="str">
        <f>IFERROR(INDEX('Resource Rate Library'!$H$5:$H$85,MATCH(P85,'Resource Rate Library'!$A$5:$A$85,0)),"")</f>
        <v/>
      </c>
      <c r="AF85" s="53"/>
      <c r="AG85" s="53"/>
      <c r="AH85" s="53"/>
      <c r="AI85" s="81" t="str">
        <f t="shared" si="5"/>
        <v/>
      </c>
      <c r="AJ85" s="54"/>
      <c r="AK85" s="197"/>
      <c r="AL85" s="197"/>
      <c r="AM85" s="197"/>
      <c r="AN85" s="199">
        <f>IF(AND(AK85="Yes",OR(O85="Labour",O85="Plant")),Z85,0)</f>
        <v>0</v>
      </c>
    </row>
    <row r="86" spans="1:40" ht="21.95" customHeight="1" x14ac:dyDescent="0.2">
      <c r="A86" s="80" t="str">
        <f>IF(B86="","",B86&amp;"-"&amp;TEXT(COUNTIF($B$7:B86,B86),"000"))</f>
        <v/>
      </c>
      <c r="B86" s="53"/>
      <c r="C86" s="81" t="str">
        <f>IFERROR(INDEX('QS Takeoff'!$A$3:$A$194,MATCH(B86,'QS Takeoff'!$B$3:$B$194,0)),"")</f>
        <v/>
      </c>
      <c r="D86" s="81" t="str">
        <f>IFERROR(INDEX('QS Takeoff'!$C$3:$C$194,MATCH(B86,'QS Takeoff'!$B$3:$B$194,0)),"")</f>
        <v/>
      </c>
      <c r="E86" s="81" t="str">
        <f>IFERROR(INDEX('QS Takeoff'!$E$3:$E$194,MATCH(B86,'QS Takeoff'!$B$3:$B$194,0)),"")</f>
        <v/>
      </c>
      <c r="F86" s="81" t="str">
        <f>IFERROR(INDEX('QS Takeoff'!$D$3:$D$194,MATCH(B86,'QS Takeoff'!$B$3:$B$194,0)),"")</f>
        <v/>
      </c>
      <c r="G86" s="81" t="str">
        <f>IFERROR(INDEX('QS Takeoff'!$J$3:$J$194,MATCH(B86,'QS Takeoff'!$B$3:$B$194,0)),"")</f>
        <v/>
      </c>
      <c r="H86" s="53"/>
      <c r="I86" s="60"/>
      <c r="J86" s="60"/>
      <c r="K86" s="82" t="str">
        <f t="shared" si="6"/>
        <v/>
      </c>
      <c r="L86" s="60"/>
      <c r="M86" s="82" t="str">
        <f t="shared" si="7"/>
        <v/>
      </c>
      <c r="N86" s="53"/>
      <c r="O86" s="53"/>
      <c r="P86" s="53"/>
      <c r="Q86" s="81" t="str">
        <f>IFERROR(INDEX('Resource Rate Library'!$C$5:$C$85,MATCH(P86,'Resource Rate Library'!$A$5:$A$85,0)),"")</f>
        <v/>
      </c>
      <c r="R86" s="53"/>
      <c r="S86" s="53"/>
      <c r="T86" s="81" t="str">
        <f>IFERROR(INDEX('Resource Rate Library'!$E$5:$E$85,MATCH(P86,'Resource Rate Library'!$A$5:$A$85,0)),"")</f>
        <v/>
      </c>
      <c r="U86" s="62"/>
      <c r="V86" s="62"/>
      <c r="W86" s="83">
        <f>IFERROR(INDEX('Resource Rate Library'!$I$5:$I$85,MATCH(P86,'Resource Rate Library'!$A$5:$A$85,0)),0)</f>
        <v>0</v>
      </c>
      <c r="X86" s="52"/>
      <c r="Y86" s="83">
        <f t="shared" si="8"/>
        <v>0</v>
      </c>
      <c r="Z86" s="83" t="str">
        <f t="shared" si="9"/>
        <v/>
      </c>
      <c r="AA86" s="81" t="str">
        <f>IFERROR(INDEX('Resource Rate Library'!$N$5:$N$85,MATCH(P86,'Resource Rate Library'!$A$5:$A$85,0)),"")</f>
        <v/>
      </c>
      <c r="AB86" s="53"/>
      <c r="AC86" s="59"/>
      <c r="AD86" s="81" t="str">
        <f>IFERROR(INDEX('Resource Rate Library'!$G$5:$G$85,MATCH(P86,'Resource Rate Library'!$A$5:$A$85,0)),"")</f>
        <v/>
      </c>
      <c r="AE86" s="81" t="str">
        <f>IFERROR(INDEX('Resource Rate Library'!$H$5:$H$85,MATCH(P86,'Resource Rate Library'!$A$5:$A$85,0)),"")</f>
        <v/>
      </c>
      <c r="AF86" s="53"/>
      <c r="AG86" s="53"/>
      <c r="AH86" s="53"/>
      <c r="AI86" s="81" t="str">
        <f t="shared" si="5"/>
        <v/>
      </c>
      <c r="AJ86" s="54"/>
      <c r="AK86" s="197"/>
      <c r="AL86" s="197"/>
      <c r="AM86" s="197"/>
      <c r="AN86" s="199">
        <f>IF(AND(AK86="Yes",OR(O86="Labour",O86="Plant")),Z86,0)</f>
        <v>0</v>
      </c>
    </row>
    <row r="87" spans="1:40" ht="21.95" customHeight="1" x14ac:dyDescent="0.2">
      <c r="A87" s="80" t="str">
        <f>IF(B87="","",B87&amp;"-"&amp;TEXT(COUNTIF($B$7:B87,B87),"000"))</f>
        <v/>
      </c>
      <c r="B87" s="53"/>
      <c r="C87" s="81" t="str">
        <f>IFERROR(INDEX('QS Takeoff'!$A$3:$A$194,MATCH(B87,'QS Takeoff'!$B$3:$B$194,0)),"")</f>
        <v/>
      </c>
      <c r="D87" s="81" t="str">
        <f>IFERROR(INDEX('QS Takeoff'!$C$3:$C$194,MATCH(B87,'QS Takeoff'!$B$3:$B$194,0)),"")</f>
        <v/>
      </c>
      <c r="E87" s="81" t="str">
        <f>IFERROR(INDEX('QS Takeoff'!$E$3:$E$194,MATCH(B87,'QS Takeoff'!$B$3:$B$194,0)),"")</f>
        <v/>
      </c>
      <c r="F87" s="81" t="str">
        <f>IFERROR(INDEX('QS Takeoff'!$D$3:$D$194,MATCH(B87,'QS Takeoff'!$B$3:$B$194,0)),"")</f>
        <v/>
      </c>
      <c r="G87" s="81" t="str">
        <f>IFERROR(INDEX('QS Takeoff'!$J$3:$J$194,MATCH(B87,'QS Takeoff'!$B$3:$B$194,0)),"")</f>
        <v/>
      </c>
      <c r="H87" s="53"/>
      <c r="I87" s="60"/>
      <c r="J87" s="60"/>
      <c r="K87" s="82" t="str">
        <f t="shared" si="6"/>
        <v/>
      </c>
      <c r="L87" s="60"/>
      <c r="M87" s="82" t="str">
        <f t="shared" si="7"/>
        <v/>
      </c>
      <c r="N87" s="53"/>
      <c r="O87" s="53"/>
      <c r="P87" s="53"/>
      <c r="Q87" s="81" t="str">
        <f>IFERROR(INDEX('Resource Rate Library'!$C$5:$C$85,MATCH(P87,'Resource Rate Library'!$A$5:$A$85,0)),"")</f>
        <v/>
      </c>
      <c r="R87" s="53"/>
      <c r="S87" s="53"/>
      <c r="T87" s="81" t="str">
        <f>IFERROR(INDEX('Resource Rate Library'!$E$5:$E$85,MATCH(P87,'Resource Rate Library'!$A$5:$A$85,0)),"")</f>
        <v/>
      </c>
      <c r="U87" s="62"/>
      <c r="V87" s="62"/>
      <c r="W87" s="83">
        <f>IFERROR(INDEX('Resource Rate Library'!$I$5:$I$85,MATCH(P87,'Resource Rate Library'!$A$5:$A$85,0)),0)</f>
        <v>0</v>
      </c>
      <c r="X87" s="52"/>
      <c r="Y87" s="83">
        <f t="shared" si="8"/>
        <v>0</v>
      </c>
      <c r="Z87" s="83" t="str">
        <f t="shared" si="9"/>
        <v/>
      </c>
      <c r="AA87" s="81" t="str">
        <f>IFERROR(INDEX('Resource Rate Library'!$N$5:$N$85,MATCH(P87,'Resource Rate Library'!$A$5:$A$85,0)),"")</f>
        <v/>
      </c>
      <c r="AB87" s="53"/>
      <c r="AC87" s="59"/>
      <c r="AD87" s="81" t="str">
        <f>IFERROR(INDEX('Resource Rate Library'!$G$5:$G$85,MATCH(P87,'Resource Rate Library'!$A$5:$A$85,0)),"")</f>
        <v/>
      </c>
      <c r="AE87" s="81" t="str">
        <f>IFERROR(INDEX('Resource Rate Library'!$H$5:$H$85,MATCH(P87,'Resource Rate Library'!$A$5:$A$85,0)),"")</f>
        <v/>
      </c>
      <c r="AF87" s="53"/>
      <c r="AG87" s="53"/>
      <c r="AH87" s="53"/>
      <c r="AI87" s="81" t="str">
        <f t="shared" si="5"/>
        <v/>
      </c>
      <c r="AJ87" s="54"/>
      <c r="AK87" s="197"/>
      <c r="AL87" s="197"/>
      <c r="AM87" s="197"/>
      <c r="AN87" s="199">
        <f>IF(AND(AK87="Yes",OR(O87="Labour",O87="Plant")),Z87,0)</f>
        <v>0</v>
      </c>
    </row>
    <row r="88" spans="1:40" ht="21.95" customHeight="1" x14ac:dyDescent="0.2">
      <c r="A88" s="80" t="str">
        <f>IF(B88="","",B88&amp;"-"&amp;TEXT(COUNTIF($B$7:B88,B88),"000"))</f>
        <v/>
      </c>
      <c r="B88" s="53"/>
      <c r="C88" s="81" t="str">
        <f>IFERROR(INDEX('QS Takeoff'!$A$3:$A$194,MATCH(B88,'QS Takeoff'!$B$3:$B$194,0)),"")</f>
        <v/>
      </c>
      <c r="D88" s="81" t="str">
        <f>IFERROR(INDEX('QS Takeoff'!$C$3:$C$194,MATCH(B88,'QS Takeoff'!$B$3:$B$194,0)),"")</f>
        <v/>
      </c>
      <c r="E88" s="81" t="str">
        <f>IFERROR(INDEX('QS Takeoff'!$E$3:$E$194,MATCH(B88,'QS Takeoff'!$B$3:$B$194,0)),"")</f>
        <v/>
      </c>
      <c r="F88" s="81" t="str">
        <f>IFERROR(INDEX('QS Takeoff'!$D$3:$D$194,MATCH(B88,'QS Takeoff'!$B$3:$B$194,0)),"")</f>
        <v/>
      </c>
      <c r="G88" s="81" t="str">
        <f>IFERROR(INDEX('QS Takeoff'!$J$3:$J$194,MATCH(B88,'QS Takeoff'!$B$3:$B$194,0)),"")</f>
        <v/>
      </c>
      <c r="H88" s="53"/>
      <c r="I88" s="60"/>
      <c r="J88" s="60"/>
      <c r="K88" s="82" t="str">
        <f t="shared" si="6"/>
        <v/>
      </c>
      <c r="L88" s="60"/>
      <c r="M88" s="82" t="str">
        <f t="shared" si="7"/>
        <v/>
      </c>
      <c r="N88" s="53"/>
      <c r="O88" s="53"/>
      <c r="P88" s="53"/>
      <c r="Q88" s="81" t="str">
        <f>IFERROR(INDEX('Resource Rate Library'!$C$5:$C$85,MATCH(P88,'Resource Rate Library'!$A$5:$A$85,0)),"")</f>
        <v/>
      </c>
      <c r="R88" s="53"/>
      <c r="S88" s="53"/>
      <c r="T88" s="81" t="str">
        <f>IFERROR(INDEX('Resource Rate Library'!$E$5:$E$85,MATCH(P88,'Resource Rate Library'!$A$5:$A$85,0)),"")</f>
        <v/>
      </c>
      <c r="U88" s="62"/>
      <c r="V88" s="62"/>
      <c r="W88" s="83">
        <f>IFERROR(INDEX('Resource Rate Library'!$I$5:$I$85,MATCH(P88,'Resource Rate Library'!$A$5:$A$85,0)),0)</f>
        <v>0</v>
      </c>
      <c r="X88" s="52"/>
      <c r="Y88" s="83">
        <f t="shared" si="8"/>
        <v>0</v>
      </c>
      <c r="Z88" s="83" t="str">
        <f t="shared" si="9"/>
        <v/>
      </c>
      <c r="AA88" s="81" t="str">
        <f>IFERROR(INDEX('Resource Rate Library'!$N$5:$N$85,MATCH(P88,'Resource Rate Library'!$A$5:$A$85,0)),"")</f>
        <v/>
      </c>
      <c r="AB88" s="53"/>
      <c r="AC88" s="59"/>
      <c r="AD88" s="81" t="str">
        <f>IFERROR(INDEX('Resource Rate Library'!$G$5:$G$85,MATCH(P88,'Resource Rate Library'!$A$5:$A$85,0)),"")</f>
        <v/>
      </c>
      <c r="AE88" s="81" t="str">
        <f>IFERROR(INDEX('Resource Rate Library'!$H$5:$H$85,MATCH(P88,'Resource Rate Library'!$A$5:$A$85,0)),"")</f>
        <v/>
      </c>
      <c r="AF88" s="53"/>
      <c r="AG88" s="53"/>
      <c r="AH88" s="53"/>
      <c r="AI88" s="81" t="str">
        <f t="shared" si="5"/>
        <v/>
      </c>
      <c r="AJ88" s="54"/>
      <c r="AK88" s="197"/>
      <c r="AL88" s="197"/>
      <c r="AM88" s="197"/>
      <c r="AN88" s="199">
        <f>IF(AND(AK88="Yes",OR(O88="Labour",O88="Plant")),Z88,0)</f>
        <v>0</v>
      </c>
    </row>
    <row r="89" spans="1:40" ht="21.95" customHeight="1" x14ac:dyDescent="0.2">
      <c r="A89" s="80" t="str">
        <f>IF(B89="","",B89&amp;"-"&amp;TEXT(COUNTIF($B$7:B89,B89),"000"))</f>
        <v/>
      </c>
      <c r="B89" s="53"/>
      <c r="C89" s="81" t="str">
        <f>IFERROR(INDEX('QS Takeoff'!$A$3:$A$194,MATCH(B89,'QS Takeoff'!$B$3:$B$194,0)),"")</f>
        <v/>
      </c>
      <c r="D89" s="81" t="str">
        <f>IFERROR(INDEX('QS Takeoff'!$C$3:$C$194,MATCH(B89,'QS Takeoff'!$B$3:$B$194,0)),"")</f>
        <v/>
      </c>
      <c r="E89" s="81" t="str">
        <f>IFERROR(INDEX('QS Takeoff'!$E$3:$E$194,MATCH(B89,'QS Takeoff'!$B$3:$B$194,0)),"")</f>
        <v/>
      </c>
      <c r="F89" s="81" t="str">
        <f>IFERROR(INDEX('QS Takeoff'!$D$3:$D$194,MATCH(B89,'QS Takeoff'!$B$3:$B$194,0)),"")</f>
        <v/>
      </c>
      <c r="G89" s="81" t="str">
        <f>IFERROR(INDEX('QS Takeoff'!$J$3:$J$194,MATCH(B89,'QS Takeoff'!$B$3:$B$194,0)),"")</f>
        <v/>
      </c>
      <c r="H89" s="53"/>
      <c r="I89" s="60"/>
      <c r="J89" s="60"/>
      <c r="K89" s="82" t="str">
        <f t="shared" si="6"/>
        <v/>
      </c>
      <c r="L89" s="60"/>
      <c r="M89" s="82" t="str">
        <f t="shared" si="7"/>
        <v/>
      </c>
      <c r="N89" s="53"/>
      <c r="O89" s="53"/>
      <c r="P89" s="53"/>
      <c r="Q89" s="81" t="str">
        <f>IFERROR(INDEX('Resource Rate Library'!$C$5:$C$85,MATCH(P89,'Resource Rate Library'!$A$5:$A$85,0)),"")</f>
        <v/>
      </c>
      <c r="R89" s="53"/>
      <c r="S89" s="53"/>
      <c r="T89" s="81" t="str">
        <f>IFERROR(INDEX('Resource Rate Library'!$E$5:$E$85,MATCH(P89,'Resource Rate Library'!$A$5:$A$85,0)),"")</f>
        <v/>
      </c>
      <c r="U89" s="62"/>
      <c r="V89" s="62"/>
      <c r="W89" s="83">
        <f>IFERROR(INDEX('Resource Rate Library'!$I$5:$I$85,MATCH(P89,'Resource Rate Library'!$A$5:$A$85,0)),0)</f>
        <v>0</v>
      </c>
      <c r="X89" s="52"/>
      <c r="Y89" s="83">
        <f t="shared" si="8"/>
        <v>0</v>
      </c>
      <c r="Z89" s="83" t="str">
        <f t="shared" si="9"/>
        <v/>
      </c>
      <c r="AA89" s="81" t="str">
        <f>IFERROR(INDEX('Resource Rate Library'!$N$5:$N$85,MATCH(P89,'Resource Rate Library'!$A$5:$A$85,0)),"")</f>
        <v/>
      </c>
      <c r="AB89" s="53"/>
      <c r="AC89" s="59"/>
      <c r="AD89" s="81" t="str">
        <f>IFERROR(INDEX('Resource Rate Library'!$G$5:$G$85,MATCH(P89,'Resource Rate Library'!$A$5:$A$85,0)),"")</f>
        <v/>
      </c>
      <c r="AE89" s="81" t="str">
        <f>IFERROR(INDEX('Resource Rate Library'!$H$5:$H$85,MATCH(P89,'Resource Rate Library'!$A$5:$A$85,0)),"")</f>
        <v/>
      </c>
      <c r="AF89" s="53"/>
      <c r="AG89" s="53"/>
      <c r="AH89" s="53"/>
      <c r="AI89" s="81" t="str">
        <f t="shared" si="5"/>
        <v/>
      </c>
      <c r="AJ89" s="54"/>
      <c r="AK89" s="197"/>
      <c r="AL89" s="197"/>
      <c r="AM89" s="197"/>
      <c r="AN89" s="199">
        <f>IF(AND(AK89="Yes",OR(O89="Labour",O89="Plant")),Z89,0)</f>
        <v>0</v>
      </c>
    </row>
    <row r="90" spans="1:40" ht="21.95" customHeight="1" x14ac:dyDescent="0.2">
      <c r="A90" s="80" t="str">
        <f>IF(B90="","",B90&amp;"-"&amp;TEXT(COUNTIF($B$7:B90,B90),"000"))</f>
        <v/>
      </c>
      <c r="B90" s="53"/>
      <c r="C90" s="81" t="str">
        <f>IFERROR(INDEX('QS Takeoff'!$A$3:$A$194,MATCH(B90,'QS Takeoff'!$B$3:$B$194,0)),"")</f>
        <v/>
      </c>
      <c r="D90" s="81" t="str">
        <f>IFERROR(INDEX('QS Takeoff'!$C$3:$C$194,MATCH(B90,'QS Takeoff'!$B$3:$B$194,0)),"")</f>
        <v/>
      </c>
      <c r="E90" s="81" t="str">
        <f>IFERROR(INDEX('QS Takeoff'!$E$3:$E$194,MATCH(B90,'QS Takeoff'!$B$3:$B$194,0)),"")</f>
        <v/>
      </c>
      <c r="F90" s="81" t="str">
        <f>IFERROR(INDEX('QS Takeoff'!$D$3:$D$194,MATCH(B90,'QS Takeoff'!$B$3:$B$194,0)),"")</f>
        <v/>
      </c>
      <c r="G90" s="81" t="str">
        <f>IFERROR(INDEX('QS Takeoff'!$J$3:$J$194,MATCH(B90,'QS Takeoff'!$B$3:$B$194,0)),"")</f>
        <v/>
      </c>
      <c r="H90" s="53"/>
      <c r="I90" s="60"/>
      <c r="J90" s="60"/>
      <c r="K90" s="82" t="str">
        <f t="shared" si="6"/>
        <v/>
      </c>
      <c r="L90" s="60"/>
      <c r="M90" s="82" t="str">
        <f t="shared" si="7"/>
        <v/>
      </c>
      <c r="N90" s="53"/>
      <c r="O90" s="53"/>
      <c r="P90" s="53"/>
      <c r="Q90" s="81" t="str">
        <f>IFERROR(INDEX('Resource Rate Library'!$C$5:$C$85,MATCH(P90,'Resource Rate Library'!$A$5:$A$85,0)),"")</f>
        <v/>
      </c>
      <c r="R90" s="53"/>
      <c r="S90" s="53"/>
      <c r="T90" s="81" t="str">
        <f>IFERROR(INDEX('Resource Rate Library'!$E$5:$E$85,MATCH(P90,'Resource Rate Library'!$A$5:$A$85,0)),"")</f>
        <v/>
      </c>
      <c r="U90" s="62"/>
      <c r="V90" s="62"/>
      <c r="W90" s="83">
        <f>IFERROR(INDEX('Resource Rate Library'!$I$5:$I$85,MATCH(P90,'Resource Rate Library'!$A$5:$A$85,0)),0)</f>
        <v>0</v>
      </c>
      <c r="X90" s="52"/>
      <c r="Y90" s="83">
        <f t="shared" si="8"/>
        <v>0</v>
      </c>
      <c r="Z90" s="83" t="str">
        <f t="shared" si="9"/>
        <v/>
      </c>
      <c r="AA90" s="81" t="str">
        <f>IFERROR(INDEX('Resource Rate Library'!$N$5:$N$85,MATCH(P90,'Resource Rate Library'!$A$5:$A$85,0)),"")</f>
        <v/>
      </c>
      <c r="AB90" s="53"/>
      <c r="AC90" s="59"/>
      <c r="AD90" s="81" t="str">
        <f>IFERROR(INDEX('Resource Rate Library'!$G$5:$G$85,MATCH(P90,'Resource Rate Library'!$A$5:$A$85,0)),"")</f>
        <v/>
      </c>
      <c r="AE90" s="81" t="str">
        <f>IFERROR(INDEX('Resource Rate Library'!$H$5:$H$85,MATCH(P90,'Resource Rate Library'!$A$5:$A$85,0)),"")</f>
        <v/>
      </c>
      <c r="AF90" s="53"/>
      <c r="AG90" s="53"/>
      <c r="AH90" s="53"/>
      <c r="AI90" s="81" t="str">
        <f t="shared" si="5"/>
        <v/>
      </c>
      <c r="AJ90" s="54"/>
      <c r="AK90" s="197"/>
      <c r="AL90" s="197"/>
      <c r="AM90" s="197"/>
      <c r="AN90" s="199">
        <f>IF(AND(AK90="Yes",OR(O90="Labour",O90="Plant")),Z90,0)</f>
        <v>0</v>
      </c>
    </row>
    <row r="91" spans="1:40" ht="21.95" customHeight="1" x14ac:dyDescent="0.2">
      <c r="A91" s="80" t="str">
        <f>IF(B91="","",B91&amp;"-"&amp;TEXT(COUNTIF($B$7:B91,B91),"000"))</f>
        <v/>
      </c>
      <c r="B91" s="53"/>
      <c r="C91" s="81" t="str">
        <f>IFERROR(INDEX('QS Takeoff'!$A$3:$A$194,MATCH(B91,'QS Takeoff'!$B$3:$B$194,0)),"")</f>
        <v/>
      </c>
      <c r="D91" s="81" t="str">
        <f>IFERROR(INDEX('QS Takeoff'!$C$3:$C$194,MATCH(B91,'QS Takeoff'!$B$3:$B$194,0)),"")</f>
        <v/>
      </c>
      <c r="E91" s="81" t="str">
        <f>IFERROR(INDEX('QS Takeoff'!$E$3:$E$194,MATCH(B91,'QS Takeoff'!$B$3:$B$194,0)),"")</f>
        <v/>
      </c>
      <c r="F91" s="81" t="str">
        <f>IFERROR(INDEX('QS Takeoff'!$D$3:$D$194,MATCH(B91,'QS Takeoff'!$B$3:$B$194,0)),"")</f>
        <v/>
      </c>
      <c r="G91" s="81" t="str">
        <f>IFERROR(INDEX('QS Takeoff'!$J$3:$J$194,MATCH(B91,'QS Takeoff'!$B$3:$B$194,0)),"")</f>
        <v/>
      </c>
      <c r="H91" s="53"/>
      <c r="I91" s="60"/>
      <c r="J91" s="60"/>
      <c r="K91" s="82" t="str">
        <f t="shared" si="6"/>
        <v/>
      </c>
      <c r="L91" s="60"/>
      <c r="M91" s="82" t="str">
        <f t="shared" si="7"/>
        <v/>
      </c>
      <c r="N91" s="53"/>
      <c r="O91" s="53"/>
      <c r="P91" s="53"/>
      <c r="Q91" s="81" t="str">
        <f>IFERROR(INDEX('Resource Rate Library'!$C$5:$C$85,MATCH(P91,'Resource Rate Library'!$A$5:$A$85,0)),"")</f>
        <v/>
      </c>
      <c r="R91" s="53"/>
      <c r="S91" s="53"/>
      <c r="T91" s="81" t="str">
        <f>IFERROR(INDEX('Resource Rate Library'!$E$5:$E$85,MATCH(P91,'Resource Rate Library'!$A$5:$A$85,0)),"")</f>
        <v/>
      </c>
      <c r="U91" s="62"/>
      <c r="V91" s="62"/>
      <c r="W91" s="83">
        <f>IFERROR(INDEX('Resource Rate Library'!$I$5:$I$85,MATCH(P91,'Resource Rate Library'!$A$5:$A$85,0)),0)</f>
        <v>0</v>
      </c>
      <c r="X91" s="52"/>
      <c r="Y91" s="83">
        <f t="shared" si="8"/>
        <v>0</v>
      </c>
      <c r="Z91" s="83" t="str">
        <f t="shared" si="9"/>
        <v/>
      </c>
      <c r="AA91" s="81" t="str">
        <f>IFERROR(INDEX('Resource Rate Library'!$N$5:$N$85,MATCH(P91,'Resource Rate Library'!$A$5:$A$85,0)),"")</f>
        <v/>
      </c>
      <c r="AB91" s="53"/>
      <c r="AC91" s="59"/>
      <c r="AD91" s="81" t="str">
        <f>IFERROR(INDEX('Resource Rate Library'!$G$5:$G$85,MATCH(P91,'Resource Rate Library'!$A$5:$A$85,0)),"")</f>
        <v/>
      </c>
      <c r="AE91" s="81" t="str">
        <f>IFERROR(INDEX('Resource Rate Library'!$H$5:$H$85,MATCH(P91,'Resource Rate Library'!$A$5:$A$85,0)),"")</f>
        <v/>
      </c>
      <c r="AF91" s="53"/>
      <c r="AG91" s="53"/>
      <c r="AH91" s="53"/>
      <c r="AI91" s="81" t="str">
        <f t="shared" si="5"/>
        <v/>
      </c>
      <c r="AJ91" s="54"/>
      <c r="AK91" s="197"/>
      <c r="AL91" s="197"/>
      <c r="AM91" s="197"/>
      <c r="AN91" s="199">
        <f>IF(AND(AK91="Yes",OR(O91="Labour",O91="Plant")),Z91,0)</f>
        <v>0</v>
      </c>
    </row>
    <row r="92" spans="1:40" ht="21.95" customHeight="1" x14ac:dyDescent="0.2">
      <c r="A92" s="80" t="str">
        <f>IF(B92="","",B92&amp;"-"&amp;TEXT(COUNTIF($B$7:B92,B92),"000"))</f>
        <v/>
      </c>
      <c r="B92" s="53"/>
      <c r="C92" s="81" t="str">
        <f>IFERROR(INDEX('QS Takeoff'!$A$3:$A$194,MATCH(B92,'QS Takeoff'!$B$3:$B$194,0)),"")</f>
        <v/>
      </c>
      <c r="D92" s="81" t="str">
        <f>IFERROR(INDEX('QS Takeoff'!$C$3:$C$194,MATCH(B92,'QS Takeoff'!$B$3:$B$194,0)),"")</f>
        <v/>
      </c>
      <c r="E92" s="81" t="str">
        <f>IFERROR(INDEX('QS Takeoff'!$E$3:$E$194,MATCH(B92,'QS Takeoff'!$B$3:$B$194,0)),"")</f>
        <v/>
      </c>
      <c r="F92" s="81" t="str">
        <f>IFERROR(INDEX('QS Takeoff'!$D$3:$D$194,MATCH(B92,'QS Takeoff'!$B$3:$B$194,0)),"")</f>
        <v/>
      </c>
      <c r="G92" s="81" t="str">
        <f>IFERROR(INDEX('QS Takeoff'!$J$3:$J$194,MATCH(B92,'QS Takeoff'!$B$3:$B$194,0)),"")</f>
        <v/>
      </c>
      <c r="H92" s="53"/>
      <c r="I92" s="60"/>
      <c r="J92" s="60"/>
      <c r="K92" s="82" t="str">
        <f t="shared" si="6"/>
        <v/>
      </c>
      <c r="L92" s="60"/>
      <c r="M92" s="82" t="str">
        <f t="shared" si="7"/>
        <v/>
      </c>
      <c r="N92" s="53"/>
      <c r="O92" s="53"/>
      <c r="P92" s="53"/>
      <c r="Q92" s="81" t="str">
        <f>IFERROR(INDEX('Resource Rate Library'!$C$5:$C$85,MATCH(P92,'Resource Rate Library'!$A$5:$A$85,0)),"")</f>
        <v/>
      </c>
      <c r="R92" s="53"/>
      <c r="S92" s="53"/>
      <c r="T92" s="81" t="str">
        <f>IFERROR(INDEX('Resource Rate Library'!$E$5:$E$85,MATCH(P92,'Resource Rate Library'!$A$5:$A$85,0)),"")</f>
        <v/>
      </c>
      <c r="U92" s="62"/>
      <c r="V92" s="62"/>
      <c r="W92" s="83">
        <f>IFERROR(INDEX('Resource Rate Library'!$I$5:$I$85,MATCH(P92,'Resource Rate Library'!$A$5:$A$85,0)),0)</f>
        <v>0</v>
      </c>
      <c r="X92" s="52"/>
      <c r="Y92" s="83">
        <f t="shared" si="8"/>
        <v>0</v>
      </c>
      <c r="Z92" s="83" t="str">
        <f t="shared" si="9"/>
        <v/>
      </c>
      <c r="AA92" s="81" t="str">
        <f>IFERROR(INDEX('Resource Rate Library'!$N$5:$N$85,MATCH(P92,'Resource Rate Library'!$A$5:$A$85,0)),"")</f>
        <v/>
      </c>
      <c r="AB92" s="53"/>
      <c r="AC92" s="59"/>
      <c r="AD92" s="81" t="str">
        <f>IFERROR(INDEX('Resource Rate Library'!$G$5:$G$85,MATCH(P92,'Resource Rate Library'!$A$5:$A$85,0)),"")</f>
        <v/>
      </c>
      <c r="AE92" s="81" t="str">
        <f>IFERROR(INDEX('Resource Rate Library'!$H$5:$H$85,MATCH(P92,'Resource Rate Library'!$A$5:$A$85,0)),"")</f>
        <v/>
      </c>
      <c r="AF92" s="53"/>
      <c r="AG92" s="53"/>
      <c r="AH92" s="53"/>
      <c r="AI92" s="81" t="str">
        <f t="shared" si="5"/>
        <v/>
      </c>
      <c r="AJ92" s="54"/>
      <c r="AK92" s="197"/>
      <c r="AL92" s="197"/>
      <c r="AM92" s="197"/>
      <c r="AN92" s="199">
        <f>IF(AND(AK92="Yes",OR(O92="Labour",O92="Plant")),Z92,0)</f>
        <v>0</v>
      </c>
    </row>
    <row r="93" spans="1:40" ht="21.95" customHeight="1" x14ac:dyDescent="0.2">
      <c r="A93" s="80" t="str">
        <f>IF(B93="","",B93&amp;"-"&amp;TEXT(COUNTIF($B$7:B93,B93),"000"))</f>
        <v/>
      </c>
      <c r="B93" s="53"/>
      <c r="C93" s="81" t="str">
        <f>IFERROR(INDEX('QS Takeoff'!$A$3:$A$194,MATCH(B93,'QS Takeoff'!$B$3:$B$194,0)),"")</f>
        <v/>
      </c>
      <c r="D93" s="81" t="str">
        <f>IFERROR(INDEX('QS Takeoff'!$C$3:$C$194,MATCH(B93,'QS Takeoff'!$B$3:$B$194,0)),"")</f>
        <v/>
      </c>
      <c r="E93" s="81" t="str">
        <f>IFERROR(INDEX('QS Takeoff'!$E$3:$E$194,MATCH(B93,'QS Takeoff'!$B$3:$B$194,0)),"")</f>
        <v/>
      </c>
      <c r="F93" s="81" t="str">
        <f>IFERROR(INDEX('QS Takeoff'!$D$3:$D$194,MATCH(B93,'QS Takeoff'!$B$3:$B$194,0)),"")</f>
        <v/>
      </c>
      <c r="G93" s="81" t="str">
        <f>IFERROR(INDEX('QS Takeoff'!$J$3:$J$194,MATCH(B93,'QS Takeoff'!$B$3:$B$194,0)),"")</f>
        <v/>
      </c>
      <c r="H93" s="53"/>
      <c r="I93" s="60"/>
      <c r="J93" s="60"/>
      <c r="K93" s="82" t="str">
        <f t="shared" si="6"/>
        <v/>
      </c>
      <c r="L93" s="60"/>
      <c r="M93" s="82" t="str">
        <f t="shared" si="7"/>
        <v/>
      </c>
      <c r="N93" s="53"/>
      <c r="O93" s="53"/>
      <c r="P93" s="53"/>
      <c r="Q93" s="81" t="str">
        <f>IFERROR(INDEX('Resource Rate Library'!$C$5:$C$85,MATCH(P93,'Resource Rate Library'!$A$5:$A$85,0)),"")</f>
        <v/>
      </c>
      <c r="R93" s="53"/>
      <c r="S93" s="53"/>
      <c r="T93" s="81" t="str">
        <f>IFERROR(INDEX('Resource Rate Library'!$E$5:$E$85,MATCH(P93,'Resource Rate Library'!$A$5:$A$85,0)),"")</f>
        <v/>
      </c>
      <c r="U93" s="62"/>
      <c r="V93" s="62"/>
      <c r="W93" s="83">
        <f>IFERROR(INDEX('Resource Rate Library'!$I$5:$I$85,MATCH(P93,'Resource Rate Library'!$A$5:$A$85,0)),0)</f>
        <v>0</v>
      </c>
      <c r="X93" s="52"/>
      <c r="Y93" s="83">
        <f t="shared" si="8"/>
        <v>0</v>
      </c>
      <c r="Z93" s="83" t="str">
        <f t="shared" si="9"/>
        <v/>
      </c>
      <c r="AA93" s="81" t="str">
        <f>IFERROR(INDEX('Resource Rate Library'!$N$5:$N$85,MATCH(P93,'Resource Rate Library'!$A$5:$A$85,0)),"")</f>
        <v/>
      </c>
      <c r="AB93" s="53"/>
      <c r="AC93" s="59"/>
      <c r="AD93" s="81" t="str">
        <f>IFERROR(INDEX('Resource Rate Library'!$G$5:$G$85,MATCH(P93,'Resource Rate Library'!$A$5:$A$85,0)),"")</f>
        <v/>
      </c>
      <c r="AE93" s="81" t="str">
        <f>IFERROR(INDEX('Resource Rate Library'!$H$5:$H$85,MATCH(P93,'Resource Rate Library'!$A$5:$A$85,0)),"")</f>
        <v/>
      </c>
      <c r="AF93" s="53"/>
      <c r="AG93" s="53"/>
      <c r="AH93" s="53"/>
      <c r="AI93" s="81" t="str">
        <f t="shared" si="5"/>
        <v/>
      </c>
      <c r="AJ93" s="54"/>
      <c r="AK93" s="197"/>
      <c r="AL93" s="197"/>
      <c r="AM93" s="197"/>
      <c r="AN93" s="199">
        <f>IF(AND(AK93="Yes",OR(O93="Labour",O93="Plant")),Z93,0)</f>
        <v>0</v>
      </c>
    </row>
    <row r="94" spans="1:40" ht="21.95" customHeight="1" x14ac:dyDescent="0.2">
      <c r="A94" s="80" t="str">
        <f>IF(B94="","",B94&amp;"-"&amp;TEXT(COUNTIF($B$7:B94,B94),"000"))</f>
        <v/>
      </c>
      <c r="B94" s="53"/>
      <c r="C94" s="81" t="str">
        <f>IFERROR(INDEX('QS Takeoff'!$A$3:$A$194,MATCH(B94,'QS Takeoff'!$B$3:$B$194,0)),"")</f>
        <v/>
      </c>
      <c r="D94" s="81" t="str">
        <f>IFERROR(INDEX('QS Takeoff'!$C$3:$C$194,MATCH(B94,'QS Takeoff'!$B$3:$B$194,0)),"")</f>
        <v/>
      </c>
      <c r="E94" s="81" t="str">
        <f>IFERROR(INDEX('QS Takeoff'!$E$3:$E$194,MATCH(B94,'QS Takeoff'!$B$3:$B$194,0)),"")</f>
        <v/>
      </c>
      <c r="F94" s="81" t="str">
        <f>IFERROR(INDEX('QS Takeoff'!$D$3:$D$194,MATCH(B94,'QS Takeoff'!$B$3:$B$194,0)),"")</f>
        <v/>
      </c>
      <c r="G94" s="81" t="str">
        <f>IFERROR(INDEX('QS Takeoff'!$J$3:$J$194,MATCH(B94,'QS Takeoff'!$B$3:$B$194,0)),"")</f>
        <v/>
      </c>
      <c r="H94" s="53"/>
      <c r="I94" s="60"/>
      <c r="J94" s="60"/>
      <c r="K94" s="82" t="str">
        <f t="shared" si="6"/>
        <v/>
      </c>
      <c r="L94" s="60"/>
      <c r="M94" s="82" t="str">
        <f t="shared" si="7"/>
        <v/>
      </c>
      <c r="N94" s="53"/>
      <c r="O94" s="53"/>
      <c r="P94" s="53"/>
      <c r="Q94" s="81" t="str">
        <f>IFERROR(INDEX('Resource Rate Library'!$C$5:$C$85,MATCH(P94,'Resource Rate Library'!$A$5:$A$85,0)),"")</f>
        <v/>
      </c>
      <c r="R94" s="53"/>
      <c r="S94" s="53"/>
      <c r="T94" s="81" t="str">
        <f>IFERROR(INDEX('Resource Rate Library'!$E$5:$E$85,MATCH(P94,'Resource Rate Library'!$A$5:$A$85,0)),"")</f>
        <v/>
      </c>
      <c r="U94" s="62"/>
      <c r="V94" s="62"/>
      <c r="W94" s="83">
        <f>IFERROR(INDEX('Resource Rate Library'!$I$5:$I$85,MATCH(P94,'Resource Rate Library'!$A$5:$A$85,0)),0)</f>
        <v>0</v>
      </c>
      <c r="X94" s="52"/>
      <c r="Y94" s="83">
        <f t="shared" si="8"/>
        <v>0</v>
      </c>
      <c r="Z94" s="83" t="str">
        <f t="shared" si="9"/>
        <v/>
      </c>
      <c r="AA94" s="81" t="str">
        <f>IFERROR(INDEX('Resource Rate Library'!$N$5:$N$85,MATCH(P94,'Resource Rate Library'!$A$5:$A$85,0)),"")</f>
        <v/>
      </c>
      <c r="AB94" s="53"/>
      <c r="AC94" s="59"/>
      <c r="AD94" s="81" t="str">
        <f>IFERROR(INDEX('Resource Rate Library'!$G$5:$G$85,MATCH(P94,'Resource Rate Library'!$A$5:$A$85,0)),"")</f>
        <v/>
      </c>
      <c r="AE94" s="81" t="str">
        <f>IFERROR(INDEX('Resource Rate Library'!$H$5:$H$85,MATCH(P94,'Resource Rate Library'!$A$5:$A$85,0)),"")</f>
        <v/>
      </c>
      <c r="AF94" s="53"/>
      <c r="AG94" s="53"/>
      <c r="AH94" s="53"/>
      <c r="AI94" s="81" t="str">
        <f t="shared" si="5"/>
        <v/>
      </c>
      <c r="AJ94" s="54"/>
      <c r="AK94" s="197"/>
      <c r="AL94" s="197"/>
      <c r="AM94" s="197"/>
      <c r="AN94" s="199">
        <f>IF(AND(AK94="Yes",OR(O94="Labour",O94="Plant")),Z94,0)</f>
        <v>0</v>
      </c>
    </row>
    <row r="95" spans="1:40" ht="21.95" customHeight="1" x14ac:dyDescent="0.2">
      <c r="A95" s="80" t="str">
        <f>IF(B95="","",B95&amp;"-"&amp;TEXT(COUNTIF($B$7:B95,B95),"000"))</f>
        <v/>
      </c>
      <c r="B95" s="53"/>
      <c r="C95" s="81" t="str">
        <f>IFERROR(INDEX('QS Takeoff'!$A$3:$A$194,MATCH(B95,'QS Takeoff'!$B$3:$B$194,0)),"")</f>
        <v/>
      </c>
      <c r="D95" s="81" t="str">
        <f>IFERROR(INDEX('QS Takeoff'!$C$3:$C$194,MATCH(B95,'QS Takeoff'!$B$3:$B$194,0)),"")</f>
        <v/>
      </c>
      <c r="E95" s="81" t="str">
        <f>IFERROR(INDEX('QS Takeoff'!$E$3:$E$194,MATCH(B95,'QS Takeoff'!$B$3:$B$194,0)),"")</f>
        <v/>
      </c>
      <c r="F95" s="81" t="str">
        <f>IFERROR(INDEX('QS Takeoff'!$D$3:$D$194,MATCH(B95,'QS Takeoff'!$B$3:$B$194,0)),"")</f>
        <v/>
      </c>
      <c r="G95" s="81" t="str">
        <f>IFERROR(INDEX('QS Takeoff'!$J$3:$J$194,MATCH(B95,'QS Takeoff'!$B$3:$B$194,0)),"")</f>
        <v/>
      </c>
      <c r="H95" s="53"/>
      <c r="I95" s="60"/>
      <c r="J95" s="60"/>
      <c r="K95" s="82" t="str">
        <f t="shared" si="6"/>
        <v/>
      </c>
      <c r="L95" s="60"/>
      <c r="M95" s="82" t="str">
        <f t="shared" si="7"/>
        <v/>
      </c>
      <c r="N95" s="53"/>
      <c r="O95" s="53"/>
      <c r="P95" s="53"/>
      <c r="Q95" s="81" t="str">
        <f>IFERROR(INDEX('Resource Rate Library'!$C$5:$C$85,MATCH(P95,'Resource Rate Library'!$A$5:$A$85,0)),"")</f>
        <v/>
      </c>
      <c r="R95" s="53"/>
      <c r="S95" s="53"/>
      <c r="T95" s="81" t="str">
        <f>IFERROR(INDEX('Resource Rate Library'!$E$5:$E$85,MATCH(P95,'Resource Rate Library'!$A$5:$A$85,0)),"")</f>
        <v/>
      </c>
      <c r="U95" s="62"/>
      <c r="V95" s="62"/>
      <c r="W95" s="83">
        <f>IFERROR(INDEX('Resource Rate Library'!$I$5:$I$85,MATCH(P95,'Resource Rate Library'!$A$5:$A$85,0)),0)</f>
        <v>0</v>
      </c>
      <c r="X95" s="52"/>
      <c r="Y95" s="83">
        <f t="shared" si="8"/>
        <v>0</v>
      </c>
      <c r="Z95" s="83" t="str">
        <f t="shared" si="9"/>
        <v/>
      </c>
      <c r="AA95" s="81" t="str">
        <f>IFERROR(INDEX('Resource Rate Library'!$N$5:$N$85,MATCH(P95,'Resource Rate Library'!$A$5:$A$85,0)),"")</f>
        <v/>
      </c>
      <c r="AB95" s="53"/>
      <c r="AC95" s="59"/>
      <c r="AD95" s="81" t="str">
        <f>IFERROR(INDEX('Resource Rate Library'!$G$5:$G$85,MATCH(P95,'Resource Rate Library'!$A$5:$A$85,0)),"")</f>
        <v/>
      </c>
      <c r="AE95" s="81" t="str">
        <f>IFERROR(INDEX('Resource Rate Library'!$H$5:$H$85,MATCH(P95,'Resource Rate Library'!$A$5:$A$85,0)),"")</f>
        <v/>
      </c>
      <c r="AF95" s="53"/>
      <c r="AG95" s="53"/>
      <c r="AH95" s="53"/>
      <c r="AI95" s="81" t="str">
        <f t="shared" si="5"/>
        <v/>
      </c>
      <c r="AJ95" s="54"/>
      <c r="AK95" s="197"/>
      <c r="AL95" s="197"/>
      <c r="AM95" s="197"/>
      <c r="AN95" s="199">
        <f>IF(AND(AK95="Yes",OR(O95="Labour",O95="Plant")),Z95,0)</f>
        <v>0</v>
      </c>
    </row>
    <row r="96" spans="1:40" ht="21.95" customHeight="1" x14ac:dyDescent="0.2">
      <c r="A96" s="80" t="str">
        <f>IF(B96="","",B96&amp;"-"&amp;TEXT(COUNTIF($B$7:B96,B96),"000"))</f>
        <v/>
      </c>
      <c r="B96" s="53"/>
      <c r="C96" s="81" t="str">
        <f>IFERROR(INDEX('QS Takeoff'!$A$3:$A$194,MATCH(B96,'QS Takeoff'!$B$3:$B$194,0)),"")</f>
        <v/>
      </c>
      <c r="D96" s="81" t="str">
        <f>IFERROR(INDEX('QS Takeoff'!$C$3:$C$194,MATCH(B96,'QS Takeoff'!$B$3:$B$194,0)),"")</f>
        <v/>
      </c>
      <c r="E96" s="81" t="str">
        <f>IFERROR(INDEX('QS Takeoff'!$E$3:$E$194,MATCH(B96,'QS Takeoff'!$B$3:$B$194,0)),"")</f>
        <v/>
      </c>
      <c r="F96" s="81" t="str">
        <f>IFERROR(INDEX('QS Takeoff'!$D$3:$D$194,MATCH(B96,'QS Takeoff'!$B$3:$B$194,0)),"")</f>
        <v/>
      </c>
      <c r="G96" s="81" t="str">
        <f>IFERROR(INDEX('QS Takeoff'!$J$3:$J$194,MATCH(B96,'QS Takeoff'!$B$3:$B$194,0)),"")</f>
        <v/>
      </c>
      <c r="H96" s="53"/>
      <c r="I96" s="60"/>
      <c r="J96" s="60"/>
      <c r="K96" s="82" t="str">
        <f t="shared" si="6"/>
        <v/>
      </c>
      <c r="L96" s="60"/>
      <c r="M96" s="82" t="str">
        <f t="shared" si="7"/>
        <v/>
      </c>
      <c r="N96" s="53"/>
      <c r="O96" s="53"/>
      <c r="P96" s="53"/>
      <c r="Q96" s="81" t="str">
        <f>IFERROR(INDEX('Resource Rate Library'!$C$5:$C$85,MATCH(P96,'Resource Rate Library'!$A$5:$A$85,0)),"")</f>
        <v/>
      </c>
      <c r="R96" s="53"/>
      <c r="S96" s="53"/>
      <c r="T96" s="81" t="str">
        <f>IFERROR(INDEX('Resource Rate Library'!$E$5:$E$85,MATCH(P96,'Resource Rate Library'!$A$5:$A$85,0)),"")</f>
        <v/>
      </c>
      <c r="U96" s="62"/>
      <c r="V96" s="62"/>
      <c r="W96" s="83">
        <f>IFERROR(INDEX('Resource Rate Library'!$I$5:$I$85,MATCH(P96,'Resource Rate Library'!$A$5:$A$85,0)),0)</f>
        <v>0</v>
      </c>
      <c r="X96" s="52"/>
      <c r="Y96" s="83">
        <f t="shared" si="8"/>
        <v>0</v>
      </c>
      <c r="Z96" s="83" t="str">
        <f t="shared" si="9"/>
        <v/>
      </c>
      <c r="AA96" s="81" t="str">
        <f>IFERROR(INDEX('Resource Rate Library'!$N$5:$N$85,MATCH(P96,'Resource Rate Library'!$A$5:$A$85,0)),"")</f>
        <v/>
      </c>
      <c r="AB96" s="53"/>
      <c r="AC96" s="59"/>
      <c r="AD96" s="81" t="str">
        <f>IFERROR(INDEX('Resource Rate Library'!$G$5:$G$85,MATCH(P96,'Resource Rate Library'!$A$5:$A$85,0)),"")</f>
        <v/>
      </c>
      <c r="AE96" s="81" t="str">
        <f>IFERROR(INDEX('Resource Rate Library'!$H$5:$H$85,MATCH(P96,'Resource Rate Library'!$A$5:$A$85,0)),"")</f>
        <v/>
      </c>
      <c r="AF96" s="53"/>
      <c r="AG96" s="53"/>
      <c r="AH96" s="53"/>
      <c r="AI96" s="81" t="str">
        <f t="shared" si="5"/>
        <v/>
      </c>
      <c r="AJ96" s="54"/>
      <c r="AK96" s="197"/>
      <c r="AL96" s="197"/>
      <c r="AM96" s="197"/>
      <c r="AN96" s="199">
        <f>IF(AND(AK96="Yes",OR(O96="Labour",O96="Plant")),Z96,0)</f>
        <v>0</v>
      </c>
    </row>
    <row r="97" spans="1:40" ht="21.95" customHeight="1" x14ac:dyDescent="0.2">
      <c r="A97" s="80" t="str">
        <f>IF(B97="","",B97&amp;"-"&amp;TEXT(COUNTIF($B$7:B97,B97),"000"))</f>
        <v/>
      </c>
      <c r="B97" s="53"/>
      <c r="C97" s="81" t="str">
        <f>IFERROR(INDEX('QS Takeoff'!$A$3:$A$194,MATCH(B97,'QS Takeoff'!$B$3:$B$194,0)),"")</f>
        <v/>
      </c>
      <c r="D97" s="81" t="str">
        <f>IFERROR(INDEX('QS Takeoff'!$C$3:$C$194,MATCH(B97,'QS Takeoff'!$B$3:$B$194,0)),"")</f>
        <v/>
      </c>
      <c r="E97" s="81" t="str">
        <f>IFERROR(INDEX('QS Takeoff'!$E$3:$E$194,MATCH(B97,'QS Takeoff'!$B$3:$B$194,0)),"")</f>
        <v/>
      </c>
      <c r="F97" s="81" t="str">
        <f>IFERROR(INDEX('QS Takeoff'!$D$3:$D$194,MATCH(B97,'QS Takeoff'!$B$3:$B$194,0)),"")</f>
        <v/>
      </c>
      <c r="G97" s="81" t="str">
        <f>IFERROR(INDEX('QS Takeoff'!$J$3:$J$194,MATCH(B97,'QS Takeoff'!$B$3:$B$194,0)),"")</f>
        <v/>
      </c>
      <c r="H97" s="53"/>
      <c r="I97" s="60"/>
      <c r="J97" s="60"/>
      <c r="K97" s="82" t="str">
        <f t="shared" si="6"/>
        <v/>
      </c>
      <c r="L97" s="60"/>
      <c r="M97" s="82" t="str">
        <f t="shared" si="7"/>
        <v/>
      </c>
      <c r="N97" s="53"/>
      <c r="O97" s="53"/>
      <c r="P97" s="53"/>
      <c r="Q97" s="81" t="str">
        <f>IFERROR(INDEX('Resource Rate Library'!$C$5:$C$85,MATCH(P97,'Resource Rate Library'!$A$5:$A$85,0)),"")</f>
        <v/>
      </c>
      <c r="R97" s="53"/>
      <c r="S97" s="53"/>
      <c r="T97" s="81" t="str">
        <f>IFERROR(INDEX('Resource Rate Library'!$E$5:$E$85,MATCH(P97,'Resource Rate Library'!$A$5:$A$85,0)),"")</f>
        <v/>
      </c>
      <c r="U97" s="62"/>
      <c r="V97" s="62"/>
      <c r="W97" s="83">
        <f>IFERROR(INDEX('Resource Rate Library'!$I$5:$I$85,MATCH(P97,'Resource Rate Library'!$A$5:$A$85,0)),0)</f>
        <v>0</v>
      </c>
      <c r="X97" s="52"/>
      <c r="Y97" s="83">
        <f t="shared" si="8"/>
        <v>0</v>
      </c>
      <c r="Z97" s="83" t="str">
        <f t="shared" si="9"/>
        <v/>
      </c>
      <c r="AA97" s="81" t="str">
        <f>IFERROR(INDEX('Resource Rate Library'!$N$5:$N$85,MATCH(P97,'Resource Rate Library'!$A$5:$A$85,0)),"")</f>
        <v/>
      </c>
      <c r="AB97" s="53"/>
      <c r="AC97" s="59"/>
      <c r="AD97" s="81" t="str">
        <f>IFERROR(INDEX('Resource Rate Library'!$G$5:$G$85,MATCH(P97,'Resource Rate Library'!$A$5:$A$85,0)),"")</f>
        <v/>
      </c>
      <c r="AE97" s="81" t="str">
        <f>IFERROR(INDEX('Resource Rate Library'!$H$5:$H$85,MATCH(P97,'Resource Rate Library'!$A$5:$A$85,0)),"")</f>
        <v/>
      </c>
      <c r="AF97" s="53"/>
      <c r="AG97" s="53"/>
      <c r="AH97" s="53"/>
      <c r="AI97" s="81" t="str">
        <f t="shared" si="5"/>
        <v/>
      </c>
      <c r="AJ97" s="54"/>
      <c r="AK97" s="197"/>
      <c r="AL97" s="197"/>
      <c r="AM97" s="197"/>
      <c r="AN97" s="199">
        <f>IF(AND(AK97="Yes",OR(O97="Labour",O97="Plant")),Z97,0)</f>
        <v>0</v>
      </c>
    </row>
    <row r="98" spans="1:40" ht="21.95" customHeight="1" x14ac:dyDescent="0.2">
      <c r="A98" s="80" t="str">
        <f>IF(B98="","",B98&amp;"-"&amp;TEXT(COUNTIF($B$7:B98,B98),"000"))</f>
        <v/>
      </c>
      <c r="B98" s="53"/>
      <c r="C98" s="81" t="str">
        <f>IFERROR(INDEX('QS Takeoff'!$A$3:$A$194,MATCH(B98,'QS Takeoff'!$B$3:$B$194,0)),"")</f>
        <v/>
      </c>
      <c r="D98" s="81" t="str">
        <f>IFERROR(INDEX('QS Takeoff'!$C$3:$C$194,MATCH(B98,'QS Takeoff'!$B$3:$B$194,0)),"")</f>
        <v/>
      </c>
      <c r="E98" s="81" t="str">
        <f>IFERROR(INDEX('QS Takeoff'!$E$3:$E$194,MATCH(B98,'QS Takeoff'!$B$3:$B$194,0)),"")</f>
        <v/>
      </c>
      <c r="F98" s="81" t="str">
        <f>IFERROR(INDEX('QS Takeoff'!$D$3:$D$194,MATCH(B98,'QS Takeoff'!$B$3:$B$194,0)),"")</f>
        <v/>
      </c>
      <c r="G98" s="81" t="str">
        <f>IFERROR(INDEX('QS Takeoff'!$J$3:$J$194,MATCH(B98,'QS Takeoff'!$B$3:$B$194,0)),"")</f>
        <v/>
      </c>
      <c r="H98" s="53"/>
      <c r="I98" s="60"/>
      <c r="J98" s="60"/>
      <c r="K98" s="82" t="str">
        <f t="shared" si="6"/>
        <v/>
      </c>
      <c r="L98" s="60"/>
      <c r="M98" s="82" t="str">
        <f t="shared" si="7"/>
        <v/>
      </c>
      <c r="N98" s="53"/>
      <c r="O98" s="53"/>
      <c r="P98" s="53"/>
      <c r="Q98" s="81" t="str">
        <f>IFERROR(INDEX('Resource Rate Library'!$C$5:$C$85,MATCH(P98,'Resource Rate Library'!$A$5:$A$85,0)),"")</f>
        <v/>
      </c>
      <c r="R98" s="53"/>
      <c r="S98" s="53"/>
      <c r="T98" s="81" t="str">
        <f>IFERROR(INDEX('Resource Rate Library'!$E$5:$E$85,MATCH(P98,'Resource Rate Library'!$A$5:$A$85,0)),"")</f>
        <v/>
      </c>
      <c r="U98" s="62"/>
      <c r="V98" s="62"/>
      <c r="W98" s="83">
        <f>IFERROR(INDEX('Resource Rate Library'!$I$5:$I$85,MATCH(P98,'Resource Rate Library'!$A$5:$A$85,0)),0)</f>
        <v>0</v>
      </c>
      <c r="X98" s="52"/>
      <c r="Y98" s="83">
        <f t="shared" si="8"/>
        <v>0</v>
      </c>
      <c r="Z98" s="83" t="str">
        <f t="shared" si="9"/>
        <v/>
      </c>
      <c r="AA98" s="81" t="str">
        <f>IFERROR(INDEX('Resource Rate Library'!$N$5:$N$85,MATCH(P98,'Resource Rate Library'!$A$5:$A$85,0)),"")</f>
        <v/>
      </c>
      <c r="AB98" s="53"/>
      <c r="AC98" s="59"/>
      <c r="AD98" s="81" t="str">
        <f>IFERROR(INDEX('Resource Rate Library'!$G$5:$G$85,MATCH(P98,'Resource Rate Library'!$A$5:$A$85,0)),"")</f>
        <v/>
      </c>
      <c r="AE98" s="81" t="str">
        <f>IFERROR(INDEX('Resource Rate Library'!$H$5:$H$85,MATCH(P98,'Resource Rate Library'!$A$5:$A$85,0)),"")</f>
        <v/>
      </c>
      <c r="AF98" s="53"/>
      <c r="AG98" s="53"/>
      <c r="AH98" s="53"/>
      <c r="AI98" s="81" t="str">
        <f t="shared" ref="AI98:AI119" si="10">IF(B98="","",IF(AND(P98="",N98&lt;&gt;"Lump Sum / Quote"),"RESOURCE CODE",IF(Y98=0,"RATE MISSING",IF(AND(O98="Plant",AD98="Yes",COUNTIFS($B$7:$B$306,B98,$O$7:$O$306,"Labour",$Q$7:$Q$306,"*Operator*")&gt;0),"OPERATOR DOUBLE-COUNT",IF(AND(O98="Plant",AE98="Yes",COUNTIFS($B$7:$B$306,B98,$Q$7:$Q$306,"*Fuel*")&gt;0),"FUEL DOUBLE-COUNT",IF(AH98&lt;&gt;"Yes","VERIFY","OK"))))))</f>
        <v/>
      </c>
      <c r="AJ98" s="54"/>
      <c r="AK98" s="197"/>
      <c r="AL98" s="197"/>
      <c r="AM98" s="197"/>
      <c r="AN98" s="199">
        <f>IF(AND(AK98="Yes",OR(O98="Labour",O98="Plant")),Z98,0)</f>
        <v>0</v>
      </c>
    </row>
    <row r="99" spans="1:40" ht="21.95" customHeight="1" x14ac:dyDescent="0.2">
      <c r="A99" s="80" t="str">
        <f>IF(B99="","",B99&amp;"-"&amp;TEXT(COUNTIF($B$7:B99,B99),"000"))</f>
        <v/>
      </c>
      <c r="B99" s="53"/>
      <c r="C99" s="81" t="str">
        <f>IFERROR(INDEX('QS Takeoff'!$A$3:$A$194,MATCH(B99,'QS Takeoff'!$B$3:$B$194,0)),"")</f>
        <v/>
      </c>
      <c r="D99" s="81" t="str">
        <f>IFERROR(INDEX('QS Takeoff'!$C$3:$C$194,MATCH(B99,'QS Takeoff'!$B$3:$B$194,0)),"")</f>
        <v/>
      </c>
      <c r="E99" s="81" t="str">
        <f>IFERROR(INDEX('QS Takeoff'!$E$3:$E$194,MATCH(B99,'QS Takeoff'!$B$3:$B$194,0)),"")</f>
        <v/>
      </c>
      <c r="F99" s="81" t="str">
        <f>IFERROR(INDEX('QS Takeoff'!$D$3:$D$194,MATCH(B99,'QS Takeoff'!$B$3:$B$194,0)),"")</f>
        <v/>
      </c>
      <c r="G99" s="81" t="str">
        <f>IFERROR(INDEX('QS Takeoff'!$J$3:$J$194,MATCH(B99,'QS Takeoff'!$B$3:$B$194,0)),"")</f>
        <v/>
      </c>
      <c r="H99" s="53"/>
      <c r="I99" s="60"/>
      <c r="J99" s="60"/>
      <c r="K99" s="82" t="str">
        <f t="shared" si="6"/>
        <v/>
      </c>
      <c r="L99" s="60"/>
      <c r="M99" s="82" t="str">
        <f t="shared" si="7"/>
        <v/>
      </c>
      <c r="N99" s="53"/>
      <c r="O99" s="53"/>
      <c r="P99" s="53"/>
      <c r="Q99" s="81" t="str">
        <f>IFERROR(INDEX('Resource Rate Library'!$C$5:$C$85,MATCH(P99,'Resource Rate Library'!$A$5:$A$85,0)),"")</f>
        <v/>
      </c>
      <c r="R99" s="53"/>
      <c r="S99" s="53"/>
      <c r="T99" s="81" t="str">
        <f>IFERROR(INDEX('Resource Rate Library'!$E$5:$E$85,MATCH(P99,'Resource Rate Library'!$A$5:$A$85,0)),"")</f>
        <v/>
      </c>
      <c r="U99" s="62"/>
      <c r="V99" s="62"/>
      <c r="W99" s="83">
        <f>IFERROR(INDEX('Resource Rate Library'!$I$5:$I$85,MATCH(P99,'Resource Rate Library'!$A$5:$A$85,0)),0)</f>
        <v>0</v>
      </c>
      <c r="X99" s="52"/>
      <c r="Y99" s="83">
        <f t="shared" si="8"/>
        <v>0</v>
      </c>
      <c r="Z99" s="83" t="str">
        <f t="shared" si="9"/>
        <v/>
      </c>
      <c r="AA99" s="81" t="str">
        <f>IFERROR(INDEX('Resource Rate Library'!$N$5:$N$85,MATCH(P99,'Resource Rate Library'!$A$5:$A$85,0)),"")</f>
        <v/>
      </c>
      <c r="AB99" s="53"/>
      <c r="AC99" s="59"/>
      <c r="AD99" s="81" t="str">
        <f>IFERROR(INDEX('Resource Rate Library'!$G$5:$G$85,MATCH(P99,'Resource Rate Library'!$A$5:$A$85,0)),"")</f>
        <v/>
      </c>
      <c r="AE99" s="81" t="str">
        <f>IFERROR(INDEX('Resource Rate Library'!$H$5:$H$85,MATCH(P99,'Resource Rate Library'!$A$5:$A$85,0)),"")</f>
        <v/>
      </c>
      <c r="AF99" s="53"/>
      <c r="AG99" s="53"/>
      <c r="AH99" s="53"/>
      <c r="AI99" s="81" t="str">
        <f t="shared" si="10"/>
        <v/>
      </c>
      <c r="AJ99" s="54"/>
      <c r="AK99" s="197"/>
      <c r="AL99" s="197"/>
      <c r="AM99" s="197"/>
      <c r="AN99" s="199">
        <f>IF(AND(AK99="Yes",OR(O99="Labour",O99="Plant")),Z99,0)</f>
        <v>0</v>
      </c>
    </row>
    <row r="100" spans="1:40" ht="21.95" customHeight="1" x14ac:dyDescent="0.2">
      <c r="A100" s="80" t="str">
        <f>IF(B100="","",B100&amp;"-"&amp;TEXT(COUNTIF($B$7:B100,B100),"000"))</f>
        <v/>
      </c>
      <c r="B100" s="53"/>
      <c r="C100" s="81" t="str">
        <f>IFERROR(INDEX('QS Takeoff'!$A$3:$A$194,MATCH(B100,'QS Takeoff'!$B$3:$B$194,0)),"")</f>
        <v/>
      </c>
      <c r="D100" s="81" t="str">
        <f>IFERROR(INDEX('QS Takeoff'!$C$3:$C$194,MATCH(B100,'QS Takeoff'!$B$3:$B$194,0)),"")</f>
        <v/>
      </c>
      <c r="E100" s="81" t="str">
        <f>IFERROR(INDEX('QS Takeoff'!$E$3:$E$194,MATCH(B100,'QS Takeoff'!$B$3:$B$194,0)),"")</f>
        <v/>
      </c>
      <c r="F100" s="81" t="str">
        <f>IFERROR(INDEX('QS Takeoff'!$D$3:$D$194,MATCH(B100,'QS Takeoff'!$B$3:$B$194,0)),"")</f>
        <v/>
      </c>
      <c r="G100" s="81" t="str">
        <f>IFERROR(INDEX('QS Takeoff'!$J$3:$J$194,MATCH(B100,'QS Takeoff'!$B$3:$B$194,0)),"")</f>
        <v/>
      </c>
      <c r="H100" s="53"/>
      <c r="I100" s="60"/>
      <c r="J100" s="60"/>
      <c r="K100" s="82" t="str">
        <f t="shared" si="6"/>
        <v/>
      </c>
      <c r="L100" s="60"/>
      <c r="M100" s="82" t="str">
        <f t="shared" si="7"/>
        <v/>
      </c>
      <c r="N100" s="53"/>
      <c r="O100" s="53"/>
      <c r="P100" s="53"/>
      <c r="Q100" s="81" t="str">
        <f>IFERROR(INDEX('Resource Rate Library'!$C$5:$C$85,MATCH(P100,'Resource Rate Library'!$A$5:$A$85,0)),"")</f>
        <v/>
      </c>
      <c r="R100" s="53"/>
      <c r="S100" s="53"/>
      <c r="T100" s="81" t="str">
        <f>IFERROR(INDEX('Resource Rate Library'!$E$5:$E$85,MATCH(P100,'Resource Rate Library'!$A$5:$A$85,0)),"")</f>
        <v/>
      </c>
      <c r="U100" s="62"/>
      <c r="V100" s="62"/>
      <c r="W100" s="83">
        <f>IFERROR(INDEX('Resource Rate Library'!$I$5:$I$85,MATCH(P100,'Resource Rate Library'!$A$5:$A$85,0)),0)</f>
        <v>0</v>
      </c>
      <c r="X100" s="52"/>
      <c r="Y100" s="83">
        <f t="shared" si="8"/>
        <v>0</v>
      </c>
      <c r="Z100" s="83" t="str">
        <f t="shared" si="9"/>
        <v/>
      </c>
      <c r="AA100" s="81" t="str">
        <f>IFERROR(INDEX('Resource Rate Library'!$N$5:$N$85,MATCH(P100,'Resource Rate Library'!$A$5:$A$85,0)),"")</f>
        <v/>
      </c>
      <c r="AB100" s="53"/>
      <c r="AC100" s="59"/>
      <c r="AD100" s="81" t="str">
        <f>IFERROR(INDEX('Resource Rate Library'!$G$5:$G$85,MATCH(P100,'Resource Rate Library'!$A$5:$A$85,0)),"")</f>
        <v/>
      </c>
      <c r="AE100" s="81" t="str">
        <f>IFERROR(INDEX('Resource Rate Library'!$H$5:$H$85,MATCH(P100,'Resource Rate Library'!$A$5:$A$85,0)),"")</f>
        <v/>
      </c>
      <c r="AF100" s="53"/>
      <c r="AG100" s="53"/>
      <c r="AH100" s="53"/>
      <c r="AI100" s="81" t="str">
        <f t="shared" si="10"/>
        <v/>
      </c>
      <c r="AJ100" s="54"/>
      <c r="AK100" s="197"/>
      <c r="AL100" s="197"/>
      <c r="AM100" s="197"/>
      <c r="AN100" s="199">
        <f>IF(AND(AK100="Yes",OR(O100="Labour",O100="Plant")),Z100,0)</f>
        <v>0</v>
      </c>
    </row>
    <row r="101" spans="1:40" ht="21.95" customHeight="1" x14ac:dyDescent="0.2">
      <c r="A101" s="80" t="str">
        <f>IF(B101="","",B101&amp;"-"&amp;TEXT(COUNTIF($B$7:B101,B101),"000"))</f>
        <v/>
      </c>
      <c r="B101" s="53"/>
      <c r="C101" s="81" t="str">
        <f>IFERROR(INDEX('QS Takeoff'!$A$3:$A$194,MATCH(B101,'QS Takeoff'!$B$3:$B$194,0)),"")</f>
        <v/>
      </c>
      <c r="D101" s="81" t="str">
        <f>IFERROR(INDEX('QS Takeoff'!$C$3:$C$194,MATCH(B101,'QS Takeoff'!$B$3:$B$194,0)),"")</f>
        <v/>
      </c>
      <c r="E101" s="81" t="str">
        <f>IFERROR(INDEX('QS Takeoff'!$E$3:$E$194,MATCH(B101,'QS Takeoff'!$B$3:$B$194,0)),"")</f>
        <v/>
      </c>
      <c r="F101" s="81" t="str">
        <f>IFERROR(INDEX('QS Takeoff'!$D$3:$D$194,MATCH(B101,'QS Takeoff'!$B$3:$B$194,0)),"")</f>
        <v/>
      </c>
      <c r="G101" s="81" t="str">
        <f>IFERROR(INDEX('QS Takeoff'!$J$3:$J$194,MATCH(B101,'QS Takeoff'!$B$3:$B$194,0)),"")</f>
        <v/>
      </c>
      <c r="H101" s="53"/>
      <c r="I101" s="60"/>
      <c r="J101" s="60"/>
      <c r="K101" s="82" t="str">
        <f t="shared" si="6"/>
        <v/>
      </c>
      <c r="L101" s="60"/>
      <c r="M101" s="82" t="str">
        <f t="shared" si="7"/>
        <v/>
      </c>
      <c r="N101" s="53"/>
      <c r="O101" s="53"/>
      <c r="P101" s="53"/>
      <c r="Q101" s="81" t="str">
        <f>IFERROR(INDEX('Resource Rate Library'!$C$5:$C$85,MATCH(P101,'Resource Rate Library'!$A$5:$A$85,0)),"")</f>
        <v/>
      </c>
      <c r="R101" s="53"/>
      <c r="S101" s="53"/>
      <c r="T101" s="81" t="str">
        <f>IFERROR(INDEX('Resource Rate Library'!$E$5:$E$85,MATCH(P101,'Resource Rate Library'!$A$5:$A$85,0)),"")</f>
        <v/>
      </c>
      <c r="U101" s="62"/>
      <c r="V101" s="62"/>
      <c r="W101" s="83">
        <f>IFERROR(INDEX('Resource Rate Library'!$I$5:$I$85,MATCH(P101,'Resource Rate Library'!$A$5:$A$85,0)),0)</f>
        <v>0</v>
      </c>
      <c r="X101" s="52"/>
      <c r="Y101" s="83">
        <f t="shared" si="8"/>
        <v>0</v>
      </c>
      <c r="Z101" s="83" t="str">
        <f t="shared" si="9"/>
        <v/>
      </c>
      <c r="AA101" s="81" t="str">
        <f>IFERROR(INDEX('Resource Rate Library'!$N$5:$N$85,MATCH(P101,'Resource Rate Library'!$A$5:$A$85,0)),"")</f>
        <v/>
      </c>
      <c r="AB101" s="53"/>
      <c r="AC101" s="59"/>
      <c r="AD101" s="81" t="str">
        <f>IFERROR(INDEX('Resource Rate Library'!$G$5:$G$85,MATCH(P101,'Resource Rate Library'!$A$5:$A$85,0)),"")</f>
        <v/>
      </c>
      <c r="AE101" s="81" t="str">
        <f>IFERROR(INDEX('Resource Rate Library'!$H$5:$H$85,MATCH(P101,'Resource Rate Library'!$A$5:$A$85,0)),"")</f>
        <v/>
      </c>
      <c r="AF101" s="53"/>
      <c r="AG101" s="53"/>
      <c r="AH101" s="53"/>
      <c r="AI101" s="81" t="str">
        <f t="shared" si="10"/>
        <v/>
      </c>
      <c r="AJ101" s="54"/>
      <c r="AK101" s="197"/>
      <c r="AL101" s="197"/>
      <c r="AM101" s="197"/>
      <c r="AN101" s="199">
        <f>IF(AND(AK101="Yes",OR(O101="Labour",O101="Plant")),Z101,0)</f>
        <v>0</v>
      </c>
    </row>
    <row r="102" spans="1:40" ht="21.95" customHeight="1" x14ac:dyDescent="0.2">
      <c r="A102" s="80" t="str">
        <f>IF(B102="","",B102&amp;"-"&amp;TEXT(COUNTIF($B$7:B102,B102),"000"))</f>
        <v/>
      </c>
      <c r="B102" s="53"/>
      <c r="C102" s="81" t="str">
        <f>IFERROR(INDEX('QS Takeoff'!$A$3:$A$194,MATCH(B102,'QS Takeoff'!$B$3:$B$194,0)),"")</f>
        <v/>
      </c>
      <c r="D102" s="81" t="str">
        <f>IFERROR(INDEX('QS Takeoff'!$C$3:$C$194,MATCH(B102,'QS Takeoff'!$B$3:$B$194,0)),"")</f>
        <v/>
      </c>
      <c r="E102" s="81" t="str">
        <f>IFERROR(INDEX('QS Takeoff'!$E$3:$E$194,MATCH(B102,'QS Takeoff'!$B$3:$B$194,0)),"")</f>
        <v/>
      </c>
      <c r="F102" s="81" t="str">
        <f>IFERROR(INDEX('QS Takeoff'!$D$3:$D$194,MATCH(B102,'QS Takeoff'!$B$3:$B$194,0)),"")</f>
        <v/>
      </c>
      <c r="G102" s="81" t="str">
        <f>IFERROR(INDEX('QS Takeoff'!$J$3:$J$194,MATCH(B102,'QS Takeoff'!$B$3:$B$194,0)),"")</f>
        <v/>
      </c>
      <c r="H102" s="53"/>
      <c r="I102" s="60"/>
      <c r="J102" s="60"/>
      <c r="K102" s="82" t="str">
        <f t="shared" si="6"/>
        <v/>
      </c>
      <c r="L102" s="60"/>
      <c r="M102" s="82" t="str">
        <f t="shared" si="7"/>
        <v/>
      </c>
      <c r="N102" s="53"/>
      <c r="O102" s="53"/>
      <c r="P102" s="53"/>
      <c r="Q102" s="81" t="str">
        <f>IFERROR(INDEX('Resource Rate Library'!$C$5:$C$85,MATCH(P102,'Resource Rate Library'!$A$5:$A$85,0)),"")</f>
        <v/>
      </c>
      <c r="R102" s="53"/>
      <c r="S102" s="53"/>
      <c r="T102" s="81" t="str">
        <f>IFERROR(INDEX('Resource Rate Library'!$E$5:$E$85,MATCH(P102,'Resource Rate Library'!$A$5:$A$85,0)),"")</f>
        <v/>
      </c>
      <c r="U102" s="62"/>
      <c r="V102" s="62"/>
      <c r="W102" s="83">
        <f>IFERROR(INDEX('Resource Rate Library'!$I$5:$I$85,MATCH(P102,'Resource Rate Library'!$A$5:$A$85,0)),0)</f>
        <v>0</v>
      </c>
      <c r="X102" s="52"/>
      <c r="Y102" s="83">
        <f t="shared" si="8"/>
        <v>0</v>
      </c>
      <c r="Z102" s="83" t="str">
        <f t="shared" si="9"/>
        <v/>
      </c>
      <c r="AA102" s="81" t="str">
        <f>IFERROR(INDEX('Resource Rate Library'!$N$5:$N$85,MATCH(P102,'Resource Rate Library'!$A$5:$A$85,0)),"")</f>
        <v/>
      </c>
      <c r="AB102" s="53"/>
      <c r="AC102" s="59"/>
      <c r="AD102" s="81" t="str">
        <f>IFERROR(INDEX('Resource Rate Library'!$G$5:$G$85,MATCH(P102,'Resource Rate Library'!$A$5:$A$85,0)),"")</f>
        <v/>
      </c>
      <c r="AE102" s="81" t="str">
        <f>IFERROR(INDEX('Resource Rate Library'!$H$5:$H$85,MATCH(P102,'Resource Rate Library'!$A$5:$A$85,0)),"")</f>
        <v/>
      </c>
      <c r="AF102" s="53"/>
      <c r="AG102" s="53"/>
      <c r="AH102" s="53"/>
      <c r="AI102" s="81" t="str">
        <f t="shared" si="10"/>
        <v/>
      </c>
      <c r="AJ102" s="54"/>
      <c r="AK102" s="197"/>
      <c r="AL102" s="197"/>
      <c r="AM102" s="197"/>
      <c r="AN102" s="199">
        <f>IF(AND(AK102="Yes",OR(O102="Labour",O102="Plant")),Z102,0)</f>
        <v>0</v>
      </c>
    </row>
    <row r="103" spans="1:40" ht="21.95" customHeight="1" x14ac:dyDescent="0.2">
      <c r="A103" s="80" t="str">
        <f>IF(B103="","",B103&amp;"-"&amp;TEXT(COUNTIF($B$7:B103,B103),"000"))</f>
        <v/>
      </c>
      <c r="B103" s="53"/>
      <c r="C103" s="81" t="str">
        <f>IFERROR(INDEX('QS Takeoff'!$A$3:$A$194,MATCH(B103,'QS Takeoff'!$B$3:$B$194,0)),"")</f>
        <v/>
      </c>
      <c r="D103" s="81" t="str">
        <f>IFERROR(INDEX('QS Takeoff'!$C$3:$C$194,MATCH(B103,'QS Takeoff'!$B$3:$B$194,0)),"")</f>
        <v/>
      </c>
      <c r="E103" s="81" t="str">
        <f>IFERROR(INDEX('QS Takeoff'!$E$3:$E$194,MATCH(B103,'QS Takeoff'!$B$3:$B$194,0)),"")</f>
        <v/>
      </c>
      <c r="F103" s="81" t="str">
        <f>IFERROR(INDEX('QS Takeoff'!$D$3:$D$194,MATCH(B103,'QS Takeoff'!$B$3:$B$194,0)),"")</f>
        <v/>
      </c>
      <c r="G103" s="81" t="str">
        <f>IFERROR(INDEX('QS Takeoff'!$J$3:$J$194,MATCH(B103,'QS Takeoff'!$B$3:$B$194,0)),"")</f>
        <v/>
      </c>
      <c r="H103" s="53"/>
      <c r="I103" s="60"/>
      <c r="J103" s="60"/>
      <c r="K103" s="82" t="str">
        <f t="shared" si="6"/>
        <v/>
      </c>
      <c r="L103" s="60"/>
      <c r="M103" s="82" t="str">
        <f t="shared" si="7"/>
        <v/>
      </c>
      <c r="N103" s="53"/>
      <c r="O103" s="53"/>
      <c r="P103" s="53"/>
      <c r="Q103" s="81" t="str">
        <f>IFERROR(INDEX('Resource Rate Library'!$C$5:$C$85,MATCH(P103,'Resource Rate Library'!$A$5:$A$85,0)),"")</f>
        <v/>
      </c>
      <c r="R103" s="53"/>
      <c r="S103" s="53"/>
      <c r="T103" s="81" t="str">
        <f>IFERROR(INDEX('Resource Rate Library'!$E$5:$E$85,MATCH(P103,'Resource Rate Library'!$A$5:$A$85,0)),"")</f>
        <v/>
      </c>
      <c r="U103" s="62"/>
      <c r="V103" s="62"/>
      <c r="W103" s="83">
        <f>IFERROR(INDEX('Resource Rate Library'!$I$5:$I$85,MATCH(P103,'Resource Rate Library'!$A$5:$A$85,0)),0)</f>
        <v>0</v>
      </c>
      <c r="X103" s="52"/>
      <c r="Y103" s="83">
        <f t="shared" si="8"/>
        <v>0</v>
      </c>
      <c r="Z103" s="83" t="str">
        <f t="shared" si="9"/>
        <v/>
      </c>
      <c r="AA103" s="81" t="str">
        <f>IFERROR(INDEX('Resource Rate Library'!$N$5:$N$85,MATCH(P103,'Resource Rate Library'!$A$5:$A$85,0)),"")</f>
        <v/>
      </c>
      <c r="AB103" s="53"/>
      <c r="AC103" s="59"/>
      <c r="AD103" s="81" t="str">
        <f>IFERROR(INDEX('Resource Rate Library'!$G$5:$G$85,MATCH(P103,'Resource Rate Library'!$A$5:$A$85,0)),"")</f>
        <v/>
      </c>
      <c r="AE103" s="81" t="str">
        <f>IFERROR(INDEX('Resource Rate Library'!$H$5:$H$85,MATCH(P103,'Resource Rate Library'!$A$5:$A$85,0)),"")</f>
        <v/>
      </c>
      <c r="AF103" s="53"/>
      <c r="AG103" s="53"/>
      <c r="AH103" s="53"/>
      <c r="AI103" s="81" t="str">
        <f t="shared" si="10"/>
        <v/>
      </c>
      <c r="AJ103" s="54"/>
      <c r="AK103" s="197"/>
      <c r="AL103" s="197"/>
      <c r="AM103" s="197"/>
      <c r="AN103" s="199">
        <f>IF(AND(AK103="Yes",OR(O103="Labour",O103="Plant")),Z103,0)</f>
        <v>0</v>
      </c>
    </row>
    <row r="104" spans="1:40" ht="21.95" customHeight="1" x14ac:dyDescent="0.2">
      <c r="A104" s="80" t="str">
        <f>IF(B104="","",B104&amp;"-"&amp;TEXT(COUNTIF($B$7:B104,B104),"000"))</f>
        <v/>
      </c>
      <c r="B104" s="53"/>
      <c r="C104" s="81" t="str">
        <f>IFERROR(INDEX('QS Takeoff'!$A$3:$A$194,MATCH(B104,'QS Takeoff'!$B$3:$B$194,0)),"")</f>
        <v/>
      </c>
      <c r="D104" s="81" t="str">
        <f>IFERROR(INDEX('QS Takeoff'!$C$3:$C$194,MATCH(B104,'QS Takeoff'!$B$3:$B$194,0)),"")</f>
        <v/>
      </c>
      <c r="E104" s="81" t="str">
        <f>IFERROR(INDEX('QS Takeoff'!$E$3:$E$194,MATCH(B104,'QS Takeoff'!$B$3:$B$194,0)),"")</f>
        <v/>
      </c>
      <c r="F104" s="81" t="str">
        <f>IFERROR(INDEX('QS Takeoff'!$D$3:$D$194,MATCH(B104,'QS Takeoff'!$B$3:$B$194,0)),"")</f>
        <v/>
      </c>
      <c r="G104" s="81" t="str">
        <f>IFERROR(INDEX('QS Takeoff'!$J$3:$J$194,MATCH(B104,'QS Takeoff'!$B$3:$B$194,0)),"")</f>
        <v/>
      </c>
      <c r="H104" s="53"/>
      <c r="I104" s="60"/>
      <c r="J104" s="60"/>
      <c r="K104" s="82" t="str">
        <f t="shared" si="6"/>
        <v/>
      </c>
      <c r="L104" s="60"/>
      <c r="M104" s="82" t="str">
        <f t="shared" si="7"/>
        <v/>
      </c>
      <c r="N104" s="53"/>
      <c r="O104" s="53"/>
      <c r="P104" s="53"/>
      <c r="Q104" s="81" t="str">
        <f>IFERROR(INDEX('Resource Rate Library'!$C$5:$C$85,MATCH(P104,'Resource Rate Library'!$A$5:$A$85,0)),"")</f>
        <v/>
      </c>
      <c r="R104" s="53"/>
      <c r="S104" s="53"/>
      <c r="T104" s="81" t="str">
        <f>IFERROR(INDEX('Resource Rate Library'!$E$5:$E$85,MATCH(P104,'Resource Rate Library'!$A$5:$A$85,0)),"")</f>
        <v/>
      </c>
      <c r="U104" s="62"/>
      <c r="V104" s="62"/>
      <c r="W104" s="83">
        <f>IFERROR(INDEX('Resource Rate Library'!$I$5:$I$85,MATCH(P104,'Resource Rate Library'!$A$5:$A$85,0)),0)</f>
        <v>0</v>
      </c>
      <c r="X104" s="52"/>
      <c r="Y104" s="83">
        <f t="shared" si="8"/>
        <v>0</v>
      </c>
      <c r="Z104" s="83" t="str">
        <f t="shared" si="9"/>
        <v/>
      </c>
      <c r="AA104" s="81" t="str">
        <f>IFERROR(INDEX('Resource Rate Library'!$N$5:$N$85,MATCH(P104,'Resource Rate Library'!$A$5:$A$85,0)),"")</f>
        <v/>
      </c>
      <c r="AB104" s="53"/>
      <c r="AC104" s="59"/>
      <c r="AD104" s="81" t="str">
        <f>IFERROR(INDEX('Resource Rate Library'!$G$5:$G$85,MATCH(P104,'Resource Rate Library'!$A$5:$A$85,0)),"")</f>
        <v/>
      </c>
      <c r="AE104" s="81" t="str">
        <f>IFERROR(INDEX('Resource Rate Library'!$H$5:$H$85,MATCH(P104,'Resource Rate Library'!$A$5:$A$85,0)),"")</f>
        <v/>
      </c>
      <c r="AF104" s="53"/>
      <c r="AG104" s="53"/>
      <c r="AH104" s="53"/>
      <c r="AI104" s="81" t="str">
        <f t="shared" si="10"/>
        <v/>
      </c>
      <c r="AJ104" s="54"/>
      <c r="AK104" s="197"/>
      <c r="AL104" s="197"/>
      <c r="AM104" s="197"/>
      <c r="AN104" s="199">
        <f>IF(AND(AK104="Yes",OR(O104="Labour",O104="Plant")),Z104,0)</f>
        <v>0</v>
      </c>
    </row>
    <row r="105" spans="1:40" ht="21.95" customHeight="1" x14ac:dyDescent="0.2">
      <c r="A105" s="80" t="str">
        <f>IF(B105="","",B105&amp;"-"&amp;TEXT(COUNTIF($B$7:B105,B105),"000"))</f>
        <v/>
      </c>
      <c r="B105" s="53"/>
      <c r="C105" s="81" t="str">
        <f>IFERROR(INDEX('QS Takeoff'!$A$3:$A$194,MATCH(B105,'QS Takeoff'!$B$3:$B$194,0)),"")</f>
        <v/>
      </c>
      <c r="D105" s="81" t="str">
        <f>IFERROR(INDEX('QS Takeoff'!$C$3:$C$194,MATCH(B105,'QS Takeoff'!$B$3:$B$194,0)),"")</f>
        <v/>
      </c>
      <c r="E105" s="81" t="str">
        <f>IFERROR(INDEX('QS Takeoff'!$E$3:$E$194,MATCH(B105,'QS Takeoff'!$B$3:$B$194,0)),"")</f>
        <v/>
      </c>
      <c r="F105" s="81" t="str">
        <f>IFERROR(INDEX('QS Takeoff'!$D$3:$D$194,MATCH(B105,'QS Takeoff'!$B$3:$B$194,0)),"")</f>
        <v/>
      </c>
      <c r="G105" s="81" t="str">
        <f>IFERROR(INDEX('QS Takeoff'!$J$3:$J$194,MATCH(B105,'QS Takeoff'!$B$3:$B$194,0)),"")</f>
        <v/>
      </c>
      <c r="H105" s="53"/>
      <c r="I105" s="60"/>
      <c r="J105" s="60"/>
      <c r="K105" s="82" t="str">
        <f t="shared" si="6"/>
        <v/>
      </c>
      <c r="L105" s="60"/>
      <c r="M105" s="82" t="str">
        <f t="shared" si="7"/>
        <v/>
      </c>
      <c r="N105" s="53"/>
      <c r="O105" s="53"/>
      <c r="P105" s="53"/>
      <c r="Q105" s="81" t="str">
        <f>IFERROR(INDEX('Resource Rate Library'!$C$5:$C$85,MATCH(P105,'Resource Rate Library'!$A$5:$A$85,0)),"")</f>
        <v/>
      </c>
      <c r="R105" s="53"/>
      <c r="S105" s="53"/>
      <c r="T105" s="81" t="str">
        <f>IFERROR(INDEX('Resource Rate Library'!$E$5:$E$85,MATCH(P105,'Resource Rate Library'!$A$5:$A$85,0)),"")</f>
        <v/>
      </c>
      <c r="U105" s="62"/>
      <c r="V105" s="62"/>
      <c r="W105" s="83">
        <f>IFERROR(INDEX('Resource Rate Library'!$I$5:$I$85,MATCH(P105,'Resource Rate Library'!$A$5:$A$85,0)),0)</f>
        <v>0</v>
      </c>
      <c r="X105" s="52"/>
      <c r="Y105" s="83">
        <f t="shared" si="8"/>
        <v>0</v>
      </c>
      <c r="Z105" s="83" t="str">
        <f t="shared" si="9"/>
        <v/>
      </c>
      <c r="AA105" s="81" t="str">
        <f>IFERROR(INDEX('Resource Rate Library'!$N$5:$N$85,MATCH(P105,'Resource Rate Library'!$A$5:$A$85,0)),"")</f>
        <v/>
      </c>
      <c r="AB105" s="53"/>
      <c r="AC105" s="59"/>
      <c r="AD105" s="81" t="str">
        <f>IFERROR(INDEX('Resource Rate Library'!$G$5:$G$85,MATCH(P105,'Resource Rate Library'!$A$5:$A$85,0)),"")</f>
        <v/>
      </c>
      <c r="AE105" s="81" t="str">
        <f>IFERROR(INDEX('Resource Rate Library'!$H$5:$H$85,MATCH(P105,'Resource Rate Library'!$A$5:$A$85,0)),"")</f>
        <v/>
      </c>
      <c r="AF105" s="53"/>
      <c r="AG105" s="53"/>
      <c r="AH105" s="53"/>
      <c r="AI105" s="81" t="str">
        <f t="shared" si="10"/>
        <v/>
      </c>
      <c r="AJ105" s="54"/>
      <c r="AK105" s="197"/>
      <c r="AL105" s="197"/>
      <c r="AM105" s="197"/>
      <c r="AN105" s="199">
        <f>IF(AND(AK105="Yes",OR(O105="Labour",O105="Plant")),Z105,0)</f>
        <v>0</v>
      </c>
    </row>
    <row r="106" spans="1:40" ht="21.95" customHeight="1" x14ac:dyDescent="0.2">
      <c r="A106" s="80" t="str">
        <f>IF(B106="","",B106&amp;"-"&amp;TEXT(COUNTIF($B$7:B106,B106),"000"))</f>
        <v/>
      </c>
      <c r="B106" s="53"/>
      <c r="C106" s="81" t="str">
        <f>IFERROR(INDEX('QS Takeoff'!$A$3:$A$194,MATCH(B106,'QS Takeoff'!$B$3:$B$194,0)),"")</f>
        <v/>
      </c>
      <c r="D106" s="81" t="str">
        <f>IFERROR(INDEX('QS Takeoff'!$C$3:$C$194,MATCH(B106,'QS Takeoff'!$B$3:$B$194,0)),"")</f>
        <v/>
      </c>
      <c r="E106" s="81" t="str">
        <f>IFERROR(INDEX('QS Takeoff'!$E$3:$E$194,MATCH(B106,'QS Takeoff'!$B$3:$B$194,0)),"")</f>
        <v/>
      </c>
      <c r="F106" s="81" t="str">
        <f>IFERROR(INDEX('QS Takeoff'!$D$3:$D$194,MATCH(B106,'QS Takeoff'!$B$3:$B$194,0)),"")</f>
        <v/>
      </c>
      <c r="G106" s="81" t="str">
        <f>IFERROR(INDEX('QS Takeoff'!$J$3:$J$194,MATCH(B106,'QS Takeoff'!$B$3:$B$194,0)),"")</f>
        <v/>
      </c>
      <c r="H106" s="53"/>
      <c r="I106" s="60"/>
      <c r="J106" s="60"/>
      <c r="K106" s="82" t="str">
        <f t="shared" si="6"/>
        <v/>
      </c>
      <c r="L106" s="60"/>
      <c r="M106" s="82" t="str">
        <f t="shared" si="7"/>
        <v/>
      </c>
      <c r="N106" s="53"/>
      <c r="O106" s="53"/>
      <c r="P106" s="53"/>
      <c r="Q106" s="81" t="str">
        <f>IFERROR(INDEX('Resource Rate Library'!$C$5:$C$85,MATCH(P106,'Resource Rate Library'!$A$5:$A$85,0)),"")</f>
        <v/>
      </c>
      <c r="R106" s="53"/>
      <c r="S106" s="53"/>
      <c r="T106" s="81" t="str">
        <f>IFERROR(INDEX('Resource Rate Library'!$E$5:$E$85,MATCH(P106,'Resource Rate Library'!$A$5:$A$85,0)),"")</f>
        <v/>
      </c>
      <c r="U106" s="62"/>
      <c r="V106" s="62"/>
      <c r="W106" s="83">
        <f>IFERROR(INDEX('Resource Rate Library'!$I$5:$I$85,MATCH(P106,'Resource Rate Library'!$A$5:$A$85,0)),0)</f>
        <v>0</v>
      </c>
      <c r="X106" s="52"/>
      <c r="Y106" s="83">
        <f t="shared" si="8"/>
        <v>0</v>
      </c>
      <c r="Z106" s="83" t="str">
        <f t="shared" si="9"/>
        <v/>
      </c>
      <c r="AA106" s="81" t="str">
        <f>IFERROR(INDEX('Resource Rate Library'!$N$5:$N$85,MATCH(P106,'Resource Rate Library'!$A$5:$A$85,0)),"")</f>
        <v/>
      </c>
      <c r="AB106" s="53"/>
      <c r="AC106" s="59"/>
      <c r="AD106" s="81" t="str">
        <f>IFERROR(INDEX('Resource Rate Library'!$G$5:$G$85,MATCH(P106,'Resource Rate Library'!$A$5:$A$85,0)),"")</f>
        <v/>
      </c>
      <c r="AE106" s="81" t="str">
        <f>IFERROR(INDEX('Resource Rate Library'!$H$5:$H$85,MATCH(P106,'Resource Rate Library'!$A$5:$A$85,0)),"")</f>
        <v/>
      </c>
      <c r="AF106" s="53"/>
      <c r="AG106" s="53"/>
      <c r="AH106" s="53"/>
      <c r="AI106" s="81" t="str">
        <f t="shared" si="10"/>
        <v/>
      </c>
      <c r="AJ106" s="54"/>
      <c r="AK106" s="197"/>
      <c r="AL106" s="197"/>
      <c r="AM106" s="197"/>
      <c r="AN106" s="199">
        <f>IF(AND(AK106="Yes",OR(O106="Labour",O106="Plant")),Z106,0)</f>
        <v>0</v>
      </c>
    </row>
    <row r="107" spans="1:40" ht="21.95" customHeight="1" x14ac:dyDescent="0.2">
      <c r="A107" s="80" t="str">
        <f>IF(B107="","",B107&amp;"-"&amp;TEXT(COUNTIF($B$7:B107,B107),"000"))</f>
        <v/>
      </c>
      <c r="B107" s="53"/>
      <c r="C107" s="81" t="str">
        <f>IFERROR(INDEX('QS Takeoff'!$A$3:$A$194,MATCH(B107,'QS Takeoff'!$B$3:$B$194,0)),"")</f>
        <v/>
      </c>
      <c r="D107" s="81" t="str">
        <f>IFERROR(INDEX('QS Takeoff'!$C$3:$C$194,MATCH(B107,'QS Takeoff'!$B$3:$B$194,0)),"")</f>
        <v/>
      </c>
      <c r="E107" s="81" t="str">
        <f>IFERROR(INDEX('QS Takeoff'!$E$3:$E$194,MATCH(B107,'QS Takeoff'!$B$3:$B$194,0)),"")</f>
        <v/>
      </c>
      <c r="F107" s="81" t="str">
        <f>IFERROR(INDEX('QS Takeoff'!$D$3:$D$194,MATCH(B107,'QS Takeoff'!$B$3:$B$194,0)),"")</f>
        <v/>
      </c>
      <c r="G107" s="81" t="str">
        <f>IFERROR(INDEX('QS Takeoff'!$J$3:$J$194,MATCH(B107,'QS Takeoff'!$B$3:$B$194,0)),"")</f>
        <v/>
      </c>
      <c r="H107" s="53"/>
      <c r="I107" s="60"/>
      <c r="J107" s="60"/>
      <c r="K107" s="82" t="str">
        <f t="shared" si="6"/>
        <v/>
      </c>
      <c r="L107" s="60"/>
      <c r="M107" s="82" t="str">
        <f t="shared" si="7"/>
        <v/>
      </c>
      <c r="N107" s="53"/>
      <c r="O107" s="53"/>
      <c r="P107" s="53"/>
      <c r="Q107" s="81" t="str">
        <f>IFERROR(INDEX('Resource Rate Library'!$C$5:$C$85,MATCH(P107,'Resource Rate Library'!$A$5:$A$85,0)),"")</f>
        <v/>
      </c>
      <c r="R107" s="53"/>
      <c r="S107" s="53"/>
      <c r="T107" s="81" t="str">
        <f>IFERROR(INDEX('Resource Rate Library'!$E$5:$E$85,MATCH(P107,'Resource Rate Library'!$A$5:$A$85,0)),"")</f>
        <v/>
      </c>
      <c r="U107" s="62"/>
      <c r="V107" s="62"/>
      <c r="W107" s="83">
        <f>IFERROR(INDEX('Resource Rate Library'!$I$5:$I$85,MATCH(P107,'Resource Rate Library'!$A$5:$A$85,0)),0)</f>
        <v>0</v>
      </c>
      <c r="X107" s="52"/>
      <c r="Y107" s="83">
        <f t="shared" si="8"/>
        <v>0</v>
      </c>
      <c r="Z107" s="83" t="str">
        <f t="shared" si="9"/>
        <v/>
      </c>
      <c r="AA107" s="81" t="str">
        <f>IFERROR(INDEX('Resource Rate Library'!$N$5:$N$85,MATCH(P107,'Resource Rate Library'!$A$5:$A$85,0)),"")</f>
        <v/>
      </c>
      <c r="AB107" s="53"/>
      <c r="AC107" s="59"/>
      <c r="AD107" s="81" t="str">
        <f>IFERROR(INDEX('Resource Rate Library'!$G$5:$G$85,MATCH(P107,'Resource Rate Library'!$A$5:$A$85,0)),"")</f>
        <v/>
      </c>
      <c r="AE107" s="81" t="str">
        <f>IFERROR(INDEX('Resource Rate Library'!$H$5:$H$85,MATCH(P107,'Resource Rate Library'!$A$5:$A$85,0)),"")</f>
        <v/>
      </c>
      <c r="AF107" s="53"/>
      <c r="AG107" s="53"/>
      <c r="AH107" s="53"/>
      <c r="AI107" s="81" t="str">
        <f t="shared" si="10"/>
        <v/>
      </c>
      <c r="AJ107" s="54"/>
      <c r="AK107" s="197"/>
      <c r="AL107" s="197"/>
      <c r="AM107" s="197"/>
      <c r="AN107" s="199">
        <f>IF(AND(AK107="Yes",OR(O107="Labour",O107="Plant")),Z107,0)</f>
        <v>0</v>
      </c>
    </row>
    <row r="108" spans="1:40" ht="21.95" customHeight="1" x14ac:dyDescent="0.2">
      <c r="A108" s="80" t="str">
        <f>IF(B108="","",B108&amp;"-"&amp;TEXT(COUNTIF($B$7:B108,B108),"000"))</f>
        <v/>
      </c>
      <c r="B108" s="53"/>
      <c r="C108" s="81" t="str">
        <f>IFERROR(INDEX('QS Takeoff'!$A$3:$A$194,MATCH(B108,'QS Takeoff'!$B$3:$B$194,0)),"")</f>
        <v/>
      </c>
      <c r="D108" s="81" t="str">
        <f>IFERROR(INDEX('QS Takeoff'!$C$3:$C$194,MATCH(B108,'QS Takeoff'!$B$3:$B$194,0)),"")</f>
        <v/>
      </c>
      <c r="E108" s="81" t="str">
        <f>IFERROR(INDEX('QS Takeoff'!$E$3:$E$194,MATCH(B108,'QS Takeoff'!$B$3:$B$194,0)),"")</f>
        <v/>
      </c>
      <c r="F108" s="81" t="str">
        <f>IFERROR(INDEX('QS Takeoff'!$D$3:$D$194,MATCH(B108,'QS Takeoff'!$B$3:$B$194,0)),"")</f>
        <v/>
      </c>
      <c r="G108" s="81" t="str">
        <f>IFERROR(INDEX('QS Takeoff'!$J$3:$J$194,MATCH(B108,'QS Takeoff'!$B$3:$B$194,0)),"")</f>
        <v/>
      </c>
      <c r="H108" s="53"/>
      <c r="I108" s="60"/>
      <c r="J108" s="60"/>
      <c r="K108" s="82" t="str">
        <f t="shared" si="6"/>
        <v/>
      </c>
      <c r="L108" s="60"/>
      <c r="M108" s="82" t="str">
        <f t="shared" si="7"/>
        <v/>
      </c>
      <c r="N108" s="53"/>
      <c r="O108" s="53"/>
      <c r="P108" s="53"/>
      <c r="Q108" s="81" t="str">
        <f>IFERROR(INDEX('Resource Rate Library'!$C$5:$C$85,MATCH(P108,'Resource Rate Library'!$A$5:$A$85,0)),"")</f>
        <v/>
      </c>
      <c r="R108" s="53"/>
      <c r="S108" s="53"/>
      <c r="T108" s="81" t="str">
        <f>IFERROR(INDEX('Resource Rate Library'!$E$5:$E$85,MATCH(P108,'Resource Rate Library'!$A$5:$A$85,0)),"")</f>
        <v/>
      </c>
      <c r="U108" s="62"/>
      <c r="V108" s="62"/>
      <c r="W108" s="83">
        <f>IFERROR(INDEX('Resource Rate Library'!$I$5:$I$85,MATCH(P108,'Resource Rate Library'!$A$5:$A$85,0)),0)</f>
        <v>0</v>
      </c>
      <c r="X108" s="52"/>
      <c r="Y108" s="83">
        <f t="shared" si="8"/>
        <v>0</v>
      </c>
      <c r="Z108" s="83" t="str">
        <f t="shared" si="9"/>
        <v/>
      </c>
      <c r="AA108" s="81" t="str">
        <f>IFERROR(INDEX('Resource Rate Library'!$N$5:$N$85,MATCH(P108,'Resource Rate Library'!$A$5:$A$85,0)),"")</f>
        <v/>
      </c>
      <c r="AB108" s="53"/>
      <c r="AC108" s="59"/>
      <c r="AD108" s="81" t="str">
        <f>IFERROR(INDEX('Resource Rate Library'!$G$5:$G$85,MATCH(P108,'Resource Rate Library'!$A$5:$A$85,0)),"")</f>
        <v/>
      </c>
      <c r="AE108" s="81" t="str">
        <f>IFERROR(INDEX('Resource Rate Library'!$H$5:$H$85,MATCH(P108,'Resource Rate Library'!$A$5:$A$85,0)),"")</f>
        <v/>
      </c>
      <c r="AF108" s="53"/>
      <c r="AG108" s="53"/>
      <c r="AH108" s="53"/>
      <c r="AI108" s="81" t="str">
        <f t="shared" si="10"/>
        <v/>
      </c>
      <c r="AJ108" s="54"/>
      <c r="AK108" s="197"/>
      <c r="AL108" s="197"/>
      <c r="AM108" s="197"/>
      <c r="AN108" s="199">
        <f>IF(AND(AK108="Yes",OR(O108="Labour",O108="Plant")),Z108,0)</f>
        <v>0</v>
      </c>
    </row>
    <row r="109" spans="1:40" ht="21.95" customHeight="1" x14ac:dyDescent="0.2">
      <c r="A109" s="80" t="str">
        <f>IF(B109="","",B109&amp;"-"&amp;TEXT(COUNTIF($B$7:B109,B109),"000"))</f>
        <v/>
      </c>
      <c r="B109" s="53"/>
      <c r="C109" s="81" t="str">
        <f>IFERROR(INDEX('QS Takeoff'!$A$3:$A$194,MATCH(B109,'QS Takeoff'!$B$3:$B$194,0)),"")</f>
        <v/>
      </c>
      <c r="D109" s="81" t="str">
        <f>IFERROR(INDEX('QS Takeoff'!$C$3:$C$194,MATCH(B109,'QS Takeoff'!$B$3:$B$194,0)),"")</f>
        <v/>
      </c>
      <c r="E109" s="81" t="str">
        <f>IFERROR(INDEX('QS Takeoff'!$E$3:$E$194,MATCH(B109,'QS Takeoff'!$B$3:$B$194,0)),"")</f>
        <v/>
      </c>
      <c r="F109" s="81" t="str">
        <f>IFERROR(INDEX('QS Takeoff'!$D$3:$D$194,MATCH(B109,'QS Takeoff'!$B$3:$B$194,0)),"")</f>
        <v/>
      </c>
      <c r="G109" s="81" t="str">
        <f>IFERROR(INDEX('QS Takeoff'!$J$3:$J$194,MATCH(B109,'QS Takeoff'!$B$3:$B$194,0)),"")</f>
        <v/>
      </c>
      <c r="H109" s="53"/>
      <c r="I109" s="60"/>
      <c r="J109" s="60"/>
      <c r="K109" s="82" t="str">
        <f t="shared" si="6"/>
        <v/>
      </c>
      <c r="L109" s="60"/>
      <c r="M109" s="82" t="str">
        <f t="shared" si="7"/>
        <v/>
      </c>
      <c r="N109" s="53"/>
      <c r="O109" s="53"/>
      <c r="P109" s="53"/>
      <c r="Q109" s="81" t="str">
        <f>IFERROR(INDEX('Resource Rate Library'!$C$5:$C$85,MATCH(P109,'Resource Rate Library'!$A$5:$A$85,0)),"")</f>
        <v/>
      </c>
      <c r="R109" s="53"/>
      <c r="S109" s="53"/>
      <c r="T109" s="81" t="str">
        <f>IFERROR(INDEX('Resource Rate Library'!$E$5:$E$85,MATCH(P109,'Resource Rate Library'!$A$5:$A$85,0)),"")</f>
        <v/>
      </c>
      <c r="U109" s="62"/>
      <c r="V109" s="62"/>
      <c r="W109" s="83">
        <f>IFERROR(INDEX('Resource Rate Library'!$I$5:$I$85,MATCH(P109,'Resource Rate Library'!$A$5:$A$85,0)),0)</f>
        <v>0</v>
      </c>
      <c r="X109" s="52"/>
      <c r="Y109" s="83">
        <f t="shared" si="8"/>
        <v>0</v>
      </c>
      <c r="Z109" s="83" t="str">
        <f t="shared" si="9"/>
        <v/>
      </c>
      <c r="AA109" s="81" t="str">
        <f>IFERROR(INDEX('Resource Rate Library'!$N$5:$N$85,MATCH(P109,'Resource Rate Library'!$A$5:$A$85,0)),"")</f>
        <v/>
      </c>
      <c r="AB109" s="53"/>
      <c r="AC109" s="59"/>
      <c r="AD109" s="81" t="str">
        <f>IFERROR(INDEX('Resource Rate Library'!$G$5:$G$85,MATCH(P109,'Resource Rate Library'!$A$5:$A$85,0)),"")</f>
        <v/>
      </c>
      <c r="AE109" s="81" t="str">
        <f>IFERROR(INDEX('Resource Rate Library'!$H$5:$H$85,MATCH(P109,'Resource Rate Library'!$A$5:$A$85,0)),"")</f>
        <v/>
      </c>
      <c r="AF109" s="53"/>
      <c r="AG109" s="53"/>
      <c r="AH109" s="53"/>
      <c r="AI109" s="81" t="str">
        <f t="shared" si="10"/>
        <v/>
      </c>
      <c r="AJ109" s="54"/>
      <c r="AK109" s="197"/>
      <c r="AL109" s="197"/>
      <c r="AM109" s="197"/>
      <c r="AN109" s="199">
        <f>IF(AND(AK109="Yes",OR(O109="Labour",O109="Plant")),Z109,0)</f>
        <v>0</v>
      </c>
    </row>
    <row r="110" spans="1:40" ht="21.95" customHeight="1" x14ac:dyDescent="0.2">
      <c r="A110" s="80" t="str">
        <f>IF(B110="","",B110&amp;"-"&amp;TEXT(COUNTIF($B$7:B110,B110),"000"))</f>
        <v/>
      </c>
      <c r="B110" s="53"/>
      <c r="C110" s="81" t="str">
        <f>IFERROR(INDEX('QS Takeoff'!$A$3:$A$194,MATCH(B110,'QS Takeoff'!$B$3:$B$194,0)),"")</f>
        <v/>
      </c>
      <c r="D110" s="81" t="str">
        <f>IFERROR(INDEX('QS Takeoff'!$C$3:$C$194,MATCH(B110,'QS Takeoff'!$B$3:$B$194,0)),"")</f>
        <v/>
      </c>
      <c r="E110" s="81" t="str">
        <f>IFERROR(INDEX('QS Takeoff'!$E$3:$E$194,MATCH(B110,'QS Takeoff'!$B$3:$B$194,0)),"")</f>
        <v/>
      </c>
      <c r="F110" s="81" t="str">
        <f>IFERROR(INDEX('QS Takeoff'!$D$3:$D$194,MATCH(B110,'QS Takeoff'!$B$3:$B$194,0)),"")</f>
        <v/>
      </c>
      <c r="G110" s="81" t="str">
        <f>IFERROR(INDEX('QS Takeoff'!$J$3:$J$194,MATCH(B110,'QS Takeoff'!$B$3:$B$194,0)),"")</f>
        <v/>
      </c>
      <c r="H110" s="53"/>
      <c r="I110" s="60"/>
      <c r="J110" s="60"/>
      <c r="K110" s="82" t="str">
        <f t="shared" si="6"/>
        <v/>
      </c>
      <c r="L110" s="60"/>
      <c r="M110" s="82" t="str">
        <f t="shared" si="7"/>
        <v/>
      </c>
      <c r="N110" s="53"/>
      <c r="O110" s="53"/>
      <c r="P110" s="53"/>
      <c r="Q110" s="81" t="str">
        <f>IFERROR(INDEX('Resource Rate Library'!$C$5:$C$85,MATCH(P110,'Resource Rate Library'!$A$5:$A$85,0)),"")</f>
        <v/>
      </c>
      <c r="R110" s="53"/>
      <c r="S110" s="53"/>
      <c r="T110" s="81" t="str">
        <f>IFERROR(INDEX('Resource Rate Library'!$E$5:$E$85,MATCH(P110,'Resource Rate Library'!$A$5:$A$85,0)),"")</f>
        <v/>
      </c>
      <c r="U110" s="62"/>
      <c r="V110" s="62"/>
      <c r="W110" s="83">
        <f>IFERROR(INDEX('Resource Rate Library'!$I$5:$I$85,MATCH(P110,'Resource Rate Library'!$A$5:$A$85,0)),0)</f>
        <v>0</v>
      </c>
      <c r="X110" s="52"/>
      <c r="Y110" s="83">
        <f t="shared" si="8"/>
        <v>0</v>
      </c>
      <c r="Z110" s="83" t="str">
        <f t="shared" si="9"/>
        <v/>
      </c>
      <c r="AA110" s="81" t="str">
        <f>IFERROR(INDEX('Resource Rate Library'!$N$5:$N$85,MATCH(P110,'Resource Rate Library'!$A$5:$A$85,0)),"")</f>
        <v/>
      </c>
      <c r="AB110" s="53"/>
      <c r="AC110" s="59"/>
      <c r="AD110" s="81" t="str">
        <f>IFERROR(INDEX('Resource Rate Library'!$G$5:$G$85,MATCH(P110,'Resource Rate Library'!$A$5:$A$85,0)),"")</f>
        <v/>
      </c>
      <c r="AE110" s="81" t="str">
        <f>IFERROR(INDEX('Resource Rate Library'!$H$5:$H$85,MATCH(P110,'Resource Rate Library'!$A$5:$A$85,0)),"")</f>
        <v/>
      </c>
      <c r="AF110" s="53"/>
      <c r="AG110" s="53"/>
      <c r="AH110" s="53"/>
      <c r="AI110" s="81" t="str">
        <f t="shared" si="10"/>
        <v/>
      </c>
      <c r="AJ110" s="54"/>
      <c r="AK110" s="197"/>
      <c r="AL110" s="197"/>
      <c r="AM110" s="197"/>
      <c r="AN110" s="199">
        <f>IF(AND(AK110="Yes",OR(O110="Labour",O110="Plant")),Z110,0)</f>
        <v>0</v>
      </c>
    </row>
    <row r="111" spans="1:40" ht="21.95" customHeight="1" x14ac:dyDescent="0.2">
      <c r="A111" s="80" t="str">
        <f>IF(B111="","",B111&amp;"-"&amp;TEXT(COUNTIF($B$7:B111,B111),"000"))</f>
        <v/>
      </c>
      <c r="B111" s="53"/>
      <c r="C111" s="81" t="str">
        <f>IFERROR(INDEX('QS Takeoff'!$A$3:$A$194,MATCH(B111,'QS Takeoff'!$B$3:$B$194,0)),"")</f>
        <v/>
      </c>
      <c r="D111" s="81" t="str">
        <f>IFERROR(INDEX('QS Takeoff'!$C$3:$C$194,MATCH(B111,'QS Takeoff'!$B$3:$B$194,0)),"")</f>
        <v/>
      </c>
      <c r="E111" s="81" t="str">
        <f>IFERROR(INDEX('QS Takeoff'!$E$3:$E$194,MATCH(B111,'QS Takeoff'!$B$3:$B$194,0)),"")</f>
        <v/>
      </c>
      <c r="F111" s="81" t="str">
        <f>IFERROR(INDEX('QS Takeoff'!$D$3:$D$194,MATCH(B111,'QS Takeoff'!$B$3:$B$194,0)),"")</f>
        <v/>
      </c>
      <c r="G111" s="81" t="str">
        <f>IFERROR(INDEX('QS Takeoff'!$J$3:$J$194,MATCH(B111,'QS Takeoff'!$B$3:$B$194,0)),"")</f>
        <v/>
      </c>
      <c r="H111" s="53"/>
      <c r="I111" s="60"/>
      <c r="J111" s="60"/>
      <c r="K111" s="82" t="str">
        <f t="shared" si="6"/>
        <v/>
      </c>
      <c r="L111" s="60"/>
      <c r="M111" s="82" t="str">
        <f t="shared" si="7"/>
        <v/>
      </c>
      <c r="N111" s="53"/>
      <c r="O111" s="53"/>
      <c r="P111" s="53"/>
      <c r="Q111" s="81" t="str">
        <f>IFERROR(INDEX('Resource Rate Library'!$C$5:$C$85,MATCH(P111,'Resource Rate Library'!$A$5:$A$85,0)),"")</f>
        <v/>
      </c>
      <c r="R111" s="53"/>
      <c r="S111" s="53"/>
      <c r="T111" s="81" t="str">
        <f>IFERROR(INDEX('Resource Rate Library'!$E$5:$E$85,MATCH(P111,'Resource Rate Library'!$A$5:$A$85,0)),"")</f>
        <v/>
      </c>
      <c r="U111" s="62"/>
      <c r="V111" s="62"/>
      <c r="W111" s="83">
        <f>IFERROR(INDEX('Resource Rate Library'!$I$5:$I$85,MATCH(P111,'Resource Rate Library'!$A$5:$A$85,0)),0)</f>
        <v>0</v>
      </c>
      <c r="X111" s="52"/>
      <c r="Y111" s="83">
        <f t="shared" si="8"/>
        <v>0</v>
      </c>
      <c r="Z111" s="83" t="str">
        <f t="shared" si="9"/>
        <v/>
      </c>
      <c r="AA111" s="81" t="str">
        <f>IFERROR(INDEX('Resource Rate Library'!$N$5:$N$85,MATCH(P111,'Resource Rate Library'!$A$5:$A$85,0)),"")</f>
        <v/>
      </c>
      <c r="AB111" s="53"/>
      <c r="AC111" s="59"/>
      <c r="AD111" s="81" t="str">
        <f>IFERROR(INDEX('Resource Rate Library'!$G$5:$G$85,MATCH(P111,'Resource Rate Library'!$A$5:$A$85,0)),"")</f>
        <v/>
      </c>
      <c r="AE111" s="81" t="str">
        <f>IFERROR(INDEX('Resource Rate Library'!$H$5:$H$85,MATCH(P111,'Resource Rate Library'!$A$5:$A$85,0)),"")</f>
        <v/>
      </c>
      <c r="AF111" s="53"/>
      <c r="AG111" s="53"/>
      <c r="AH111" s="53"/>
      <c r="AI111" s="81" t="str">
        <f t="shared" si="10"/>
        <v/>
      </c>
      <c r="AJ111" s="54"/>
      <c r="AK111" s="197"/>
      <c r="AL111" s="197"/>
      <c r="AM111" s="197"/>
      <c r="AN111" s="199">
        <f>IF(AND(AK111="Yes",OR(O111="Labour",O111="Plant")),Z111,0)</f>
        <v>0</v>
      </c>
    </row>
    <row r="112" spans="1:40" ht="21.95" customHeight="1" x14ac:dyDescent="0.2">
      <c r="A112" s="80" t="str">
        <f>IF(B112="","",B112&amp;"-"&amp;TEXT(COUNTIF($B$7:B112,B112),"000"))</f>
        <v/>
      </c>
      <c r="B112" s="53"/>
      <c r="C112" s="81" t="str">
        <f>IFERROR(INDEX('QS Takeoff'!$A$3:$A$194,MATCH(B112,'QS Takeoff'!$B$3:$B$194,0)),"")</f>
        <v/>
      </c>
      <c r="D112" s="81" t="str">
        <f>IFERROR(INDEX('QS Takeoff'!$C$3:$C$194,MATCH(B112,'QS Takeoff'!$B$3:$B$194,0)),"")</f>
        <v/>
      </c>
      <c r="E112" s="81" t="str">
        <f>IFERROR(INDEX('QS Takeoff'!$E$3:$E$194,MATCH(B112,'QS Takeoff'!$B$3:$B$194,0)),"")</f>
        <v/>
      </c>
      <c r="F112" s="81" t="str">
        <f>IFERROR(INDEX('QS Takeoff'!$D$3:$D$194,MATCH(B112,'QS Takeoff'!$B$3:$B$194,0)),"")</f>
        <v/>
      </c>
      <c r="G112" s="81" t="str">
        <f>IFERROR(INDEX('QS Takeoff'!$J$3:$J$194,MATCH(B112,'QS Takeoff'!$B$3:$B$194,0)),"")</f>
        <v/>
      </c>
      <c r="H112" s="53"/>
      <c r="I112" s="60"/>
      <c r="J112" s="60"/>
      <c r="K112" s="82" t="str">
        <f t="shared" si="6"/>
        <v/>
      </c>
      <c r="L112" s="60"/>
      <c r="M112" s="82" t="str">
        <f t="shared" si="7"/>
        <v/>
      </c>
      <c r="N112" s="53"/>
      <c r="O112" s="53"/>
      <c r="P112" s="53"/>
      <c r="Q112" s="81" t="str">
        <f>IFERROR(INDEX('Resource Rate Library'!$C$5:$C$85,MATCH(P112,'Resource Rate Library'!$A$5:$A$85,0)),"")</f>
        <v/>
      </c>
      <c r="R112" s="53"/>
      <c r="S112" s="53"/>
      <c r="T112" s="81" t="str">
        <f>IFERROR(INDEX('Resource Rate Library'!$E$5:$E$85,MATCH(P112,'Resource Rate Library'!$A$5:$A$85,0)),"")</f>
        <v/>
      </c>
      <c r="U112" s="62"/>
      <c r="V112" s="62"/>
      <c r="W112" s="83">
        <f>IFERROR(INDEX('Resource Rate Library'!$I$5:$I$85,MATCH(P112,'Resource Rate Library'!$A$5:$A$85,0)),0)</f>
        <v>0</v>
      </c>
      <c r="X112" s="52"/>
      <c r="Y112" s="83">
        <f t="shared" si="8"/>
        <v>0</v>
      </c>
      <c r="Z112" s="83" t="str">
        <f t="shared" si="9"/>
        <v/>
      </c>
      <c r="AA112" s="81" t="str">
        <f>IFERROR(INDEX('Resource Rate Library'!$N$5:$N$85,MATCH(P112,'Resource Rate Library'!$A$5:$A$85,0)),"")</f>
        <v/>
      </c>
      <c r="AB112" s="53"/>
      <c r="AC112" s="59"/>
      <c r="AD112" s="81" t="str">
        <f>IFERROR(INDEX('Resource Rate Library'!$G$5:$G$85,MATCH(P112,'Resource Rate Library'!$A$5:$A$85,0)),"")</f>
        <v/>
      </c>
      <c r="AE112" s="81" t="str">
        <f>IFERROR(INDEX('Resource Rate Library'!$H$5:$H$85,MATCH(P112,'Resource Rate Library'!$A$5:$A$85,0)),"")</f>
        <v/>
      </c>
      <c r="AF112" s="53"/>
      <c r="AG112" s="53"/>
      <c r="AH112" s="53"/>
      <c r="AI112" s="81" t="str">
        <f t="shared" si="10"/>
        <v/>
      </c>
      <c r="AJ112" s="54"/>
      <c r="AK112" s="197"/>
      <c r="AL112" s="197"/>
      <c r="AM112" s="197"/>
      <c r="AN112" s="199">
        <f>IF(AND(AK112="Yes",OR(O112="Labour",O112="Plant")),Z112,0)</f>
        <v>0</v>
      </c>
    </row>
    <row r="113" spans="1:40" ht="21.95" customHeight="1" x14ac:dyDescent="0.2">
      <c r="A113" s="80" t="str">
        <f>IF(B113="","",B113&amp;"-"&amp;TEXT(COUNTIF($B$7:B113,B113),"000"))</f>
        <v/>
      </c>
      <c r="B113" s="53"/>
      <c r="C113" s="81" t="str">
        <f>IFERROR(INDEX('QS Takeoff'!$A$3:$A$194,MATCH(B113,'QS Takeoff'!$B$3:$B$194,0)),"")</f>
        <v/>
      </c>
      <c r="D113" s="81" t="str">
        <f>IFERROR(INDEX('QS Takeoff'!$C$3:$C$194,MATCH(B113,'QS Takeoff'!$B$3:$B$194,0)),"")</f>
        <v/>
      </c>
      <c r="E113" s="81" t="str">
        <f>IFERROR(INDEX('QS Takeoff'!$E$3:$E$194,MATCH(B113,'QS Takeoff'!$B$3:$B$194,0)),"")</f>
        <v/>
      </c>
      <c r="F113" s="81" t="str">
        <f>IFERROR(INDEX('QS Takeoff'!$D$3:$D$194,MATCH(B113,'QS Takeoff'!$B$3:$B$194,0)),"")</f>
        <v/>
      </c>
      <c r="G113" s="81" t="str">
        <f>IFERROR(INDEX('QS Takeoff'!$J$3:$J$194,MATCH(B113,'QS Takeoff'!$B$3:$B$194,0)),"")</f>
        <v/>
      </c>
      <c r="H113" s="53"/>
      <c r="I113" s="60"/>
      <c r="J113" s="60"/>
      <c r="K113" s="82" t="str">
        <f t="shared" si="6"/>
        <v/>
      </c>
      <c r="L113" s="60"/>
      <c r="M113" s="82" t="str">
        <f t="shared" si="7"/>
        <v/>
      </c>
      <c r="N113" s="53"/>
      <c r="O113" s="53"/>
      <c r="P113" s="53"/>
      <c r="Q113" s="81" t="str">
        <f>IFERROR(INDEX('Resource Rate Library'!$C$5:$C$85,MATCH(P113,'Resource Rate Library'!$A$5:$A$85,0)),"")</f>
        <v/>
      </c>
      <c r="R113" s="53"/>
      <c r="S113" s="53"/>
      <c r="T113" s="81" t="str">
        <f>IFERROR(INDEX('Resource Rate Library'!$E$5:$E$85,MATCH(P113,'Resource Rate Library'!$A$5:$A$85,0)),"")</f>
        <v/>
      </c>
      <c r="U113" s="62"/>
      <c r="V113" s="62"/>
      <c r="W113" s="83">
        <f>IFERROR(INDEX('Resource Rate Library'!$I$5:$I$85,MATCH(P113,'Resource Rate Library'!$A$5:$A$85,0)),0)</f>
        <v>0</v>
      </c>
      <c r="X113" s="52"/>
      <c r="Y113" s="83">
        <f t="shared" si="8"/>
        <v>0</v>
      </c>
      <c r="Z113" s="83" t="str">
        <f t="shared" si="9"/>
        <v/>
      </c>
      <c r="AA113" s="81" t="str">
        <f>IFERROR(INDEX('Resource Rate Library'!$N$5:$N$85,MATCH(P113,'Resource Rate Library'!$A$5:$A$85,0)),"")</f>
        <v/>
      </c>
      <c r="AB113" s="53"/>
      <c r="AC113" s="59"/>
      <c r="AD113" s="81" t="str">
        <f>IFERROR(INDEX('Resource Rate Library'!$G$5:$G$85,MATCH(P113,'Resource Rate Library'!$A$5:$A$85,0)),"")</f>
        <v/>
      </c>
      <c r="AE113" s="81" t="str">
        <f>IFERROR(INDEX('Resource Rate Library'!$H$5:$H$85,MATCH(P113,'Resource Rate Library'!$A$5:$A$85,0)),"")</f>
        <v/>
      </c>
      <c r="AF113" s="53"/>
      <c r="AG113" s="53"/>
      <c r="AH113" s="53"/>
      <c r="AI113" s="81" t="str">
        <f t="shared" si="10"/>
        <v/>
      </c>
      <c r="AJ113" s="54"/>
      <c r="AK113" s="197"/>
      <c r="AL113" s="197"/>
      <c r="AM113" s="197"/>
      <c r="AN113" s="199">
        <f>IF(AND(AK113="Yes",OR(O113="Labour",O113="Plant")),Z113,0)</f>
        <v>0</v>
      </c>
    </row>
    <row r="114" spans="1:40" ht="21.95" customHeight="1" x14ac:dyDescent="0.2">
      <c r="A114" s="80" t="str">
        <f>IF(B114="","",B114&amp;"-"&amp;TEXT(COUNTIF($B$7:B114,B114),"000"))</f>
        <v/>
      </c>
      <c r="B114" s="53"/>
      <c r="C114" s="81" t="str">
        <f>IFERROR(INDEX('QS Takeoff'!$A$3:$A$194,MATCH(B114,'QS Takeoff'!$B$3:$B$194,0)),"")</f>
        <v/>
      </c>
      <c r="D114" s="81" t="str">
        <f>IFERROR(INDEX('QS Takeoff'!$C$3:$C$194,MATCH(B114,'QS Takeoff'!$B$3:$B$194,0)),"")</f>
        <v/>
      </c>
      <c r="E114" s="81" t="str">
        <f>IFERROR(INDEX('QS Takeoff'!$E$3:$E$194,MATCH(B114,'QS Takeoff'!$B$3:$B$194,0)),"")</f>
        <v/>
      </c>
      <c r="F114" s="81" t="str">
        <f>IFERROR(INDEX('QS Takeoff'!$D$3:$D$194,MATCH(B114,'QS Takeoff'!$B$3:$B$194,0)),"")</f>
        <v/>
      </c>
      <c r="G114" s="81" t="str">
        <f>IFERROR(INDEX('QS Takeoff'!$J$3:$J$194,MATCH(B114,'QS Takeoff'!$B$3:$B$194,0)),"")</f>
        <v/>
      </c>
      <c r="H114" s="53"/>
      <c r="I114" s="60"/>
      <c r="J114" s="60"/>
      <c r="K114" s="82" t="str">
        <f t="shared" si="6"/>
        <v/>
      </c>
      <c r="L114" s="60"/>
      <c r="M114" s="82" t="str">
        <f t="shared" si="7"/>
        <v/>
      </c>
      <c r="N114" s="53"/>
      <c r="O114" s="53"/>
      <c r="P114" s="53"/>
      <c r="Q114" s="81" t="str">
        <f>IFERROR(INDEX('Resource Rate Library'!$C$5:$C$85,MATCH(P114,'Resource Rate Library'!$A$5:$A$85,0)),"")</f>
        <v/>
      </c>
      <c r="R114" s="53"/>
      <c r="S114" s="53"/>
      <c r="T114" s="81" t="str">
        <f>IFERROR(INDEX('Resource Rate Library'!$E$5:$E$85,MATCH(P114,'Resource Rate Library'!$A$5:$A$85,0)),"")</f>
        <v/>
      </c>
      <c r="U114" s="62"/>
      <c r="V114" s="62"/>
      <c r="W114" s="83">
        <f>IFERROR(INDEX('Resource Rate Library'!$I$5:$I$85,MATCH(P114,'Resource Rate Library'!$A$5:$A$85,0)),0)</f>
        <v>0</v>
      </c>
      <c r="X114" s="52"/>
      <c r="Y114" s="83">
        <f t="shared" si="8"/>
        <v>0</v>
      </c>
      <c r="Z114" s="83" t="str">
        <f t="shared" si="9"/>
        <v/>
      </c>
      <c r="AA114" s="81" t="str">
        <f>IFERROR(INDEX('Resource Rate Library'!$N$5:$N$85,MATCH(P114,'Resource Rate Library'!$A$5:$A$85,0)),"")</f>
        <v/>
      </c>
      <c r="AB114" s="53"/>
      <c r="AC114" s="59"/>
      <c r="AD114" s="81" t="str">
        <f>IFERROR(INDEX('Resource Rate Library'!$G$5:$G$85,MATCH(P114,'Resource Rate Library'!$A$5:$A$85,0)),"")</f>
        <v/>
      </c>
      <c r="AE114" s="81" t="str">
        <f>IFERROR(INDEX('Resource Rate Library'!$H$5:$H$85,MATCH(P114,'Resource Rate Library'!$A$5:$A$85,0)),"")</f>
        <v/>
      </c>
      <c r="AF114" s="53"/>
      <c r="AG114" s="53"/>
      <c r="AH114" s="53"/>
      <c r="AI114" s="81" t="str">
        <f t="shared" si="10"/>
        <v/>
      </c>
      <c r="AJ114" s="54"/>
      <c r="AK114" s="197"/>
      <c r="AL114" s="197"/>
      <c r="AM114" s="197"/>
      <c r="AN114" s="199">
        <f>IF(AND(AK114="Yes",OR(O114="Labour",O114="Plant")),Z114,0)</f>
        <v>0</v>
      </c>
    </row>
    <row r="115" spans="1:40" ht="21.95" customHeight="1" x14ac:dyDescent="0.2">
      <c r="A115" s="80" t="str">
        <f>IF(B115="","",B115&amp;"-"&amp;TEXT(COUNTIF($B$7:B115,B115),"000"))</f>
        <v/>
      </c>
      <c r="B115" s="53"/>
      <c r="C115" s="81" t="str">
        <f>IFERROR(INDEX('QS Takeoff'!$A$3:$A$194,MATCH(B115,'QS Takeoff'!$B$3:$B$194,0)),"")</f>
        <v/>
      </c>
      <c r="D115" s="81" t="str">
        <f>IFERROR(INDEX('QS Takeoff'!$C$3:$C$194,MATCH(B115,'QS Takeoff'!$B$3:$B$194,0)),"")</f>
        <v/>
      </c>
      <c r="E115" s="81" t="str">
        <f>IFERROR(INDEX('QS Takeoff'!$E$3:$E$194,MATCH(B115,'QS Takeoff'!$B$3:$B$194,0)),"")</f>
        <v/>
      </c>
      <c r="F115" s="81" t="str">
        <f>IFERROR(INDEX('QS Takeoff'!$D$3:$D$194,MATCH(B115,'QS Takeoff'!$B$3:$B$194,0)),"")</f>
        <v/>
      </c>
      <c r="G115" s="81" t="str">
        <f>IFERROR(INDEX('QS Takeoff'!$J$3:$J$194,MATCH(B115,'QS Takeoff'!$B$3:$B$194,0)),"")</f>
        <v/>
      </c>
      <c r="H115" s="53"/>
      <c r="I115" s="60"/>
      <c r="J115" s="60"/>
      <c r="K115" s="82" t="str">
        <f t="shared" si="6"/>
        <v/>
      </c>
      <c r="L115" s="60"/>
      <c r="M115" s="82" t="str">
        <f t="shared" si="7"/>
        <v/>
      </c>
      <c r="N115" s="53"/>
      <c r="O115" s="53"/>
      <c r="P115" s="53"/>
      <c r="Q115" s="81" t="str">
        <f>IFERROR(INDEX('Resource Rate Library'!$C$5:$C$85,MATCH(P115,'Resource Rate Library'!$A$5:$A$85,0)),"")</f>
        <v/>
      </c>
      <c r="R115" s="53"/>
      <c r="S115" s="53"/>
      <c r="T115" s="81" t="str">
        <f>IFERROR(INDEX('Resource Rate Library'!$E$5:$E$85,MATCH(P115,'Resource Rate Library'!$A$5:$A$85,0)),"")</f>
        <v/>
      </c>
      <c r="U115" s="62"/>
      <c r="V115" s="62"/>
      <c r="W115" s="83">
        <f>IFERROR(INDEX('Resource Rate Library'!$I$5:$I$85,MATCH(P115,'Resource Rate Library'!$A$5:$A$85,0)),0)</f>
        <v>0</v>
      </c>
      <c r="X115" s="52"/>
      <c r="Y115" s="83">
        <f t="shared" si="8"/>
        <v>0</v>
      </c>
      <c r="Z115" s="83" t="str">
        <f t="shared" si="9"/>
        <v/>
      </c>
      <c r="AA115" s="81" t="str">
        <f>IFERROR(INDEX('Resource Rate Library'!$N$5:$N$85,MATCH(P115,'Resource Rate Library'!$A$5:$A$85,0)),"")</f>
        <v/>
      </c>
      <c r="AB115" s="53"/>
      <c r="AC115" s="59"/>
      <c r="AD115" s="81" t="str">
        <f>IFERROR(INDEX('Resource Rate Library'!$G$5:$G$85,MATCH(P115,'Resource Rate Library'!$A$5:$A$85,0)),"")</f>
        <v/>
      </c>
      <c r="AE115" s="81" t="str">
        <f>IFERROR(INDEX('Resource Rate Library'!$H$5:$H$85,MATCH(P115,'Resource Rate Library'!$A$5:$A$85,0)),"")</f>
        <v/>
      </c>
      <c r="AF115" s="53"/>
      <c r="AG115" s="53"/>
      <c r="AH115" s="53"/>
      <c r="AI115" s="81" t="str">
        <f t="shared" si="10"/>
        <v/>
      </c>
      <c r="AJ115" s="54"/>
      <c r="AK115" s="197"/>
      <c r="AL115" s="197"/>
      <c r="AM115" s="197"/>
      <c r="AN115" s="199">
        <f>IF(AND(AK115="Yes",OR(O115="Labour",O115="Plant")),Z115,0)</f>
        <v>0</v>
      </c>
    </row>
    <row r="116" spans="1:40" ht="21.95" customHeight="1" x14ac:dyDescent="0.2">
      <c r="A116" s="80" t="str">
        <f>IF(B116="","",B116&amp;"-"&amp;TEXT(COUNTIF($B$7:B116,B116),"000"))</f>
        <v/>
      </c>
      <c r="B116" s="53"/>
      <c r="C116" s="81" t="str">
        <f>IFERROR(INDEX('QS Takeoff'!$A$3:$A$194,MATCH(B116,'QS Takeoff'!$B$3:$B$194,0)),"")</f>
        <v/>
      </c>
      <c r="D116" s="81" t="str">
        <f>IFERROR(INDEX('QS Takeoff'!$C$3:$C$194,MATCH(B116,'QS Takeoff'!$B$3:$B$194,0)),"")</f>
        <v/>
      </c>
      <c r="E116" s="81" t="str">
        <f>IFERROR(INDEX('QS Takeoff'!$E$3:$E$194,MATCH(B116,'QS Takeoff'!$B$3:$B$194,0)),"")</f>
        <v/>
      </c>
      <c r="F116" s="81" t="str">
        <f>IFERROR(INDEX('QS Takeoff'!$D$3:$D$194,MATCH(B116,'QS Takeoff'!$B$3:$B$194,0)),"")</f>
        <v/>
      </c>
      <c r="G116" s="81" t="str">
        <f>IFERROR(INDEX('QS Takeoff'!$J$3:$J$194,MATCH(B116,'QS Takeoff'!$B$3:$B$194,0)),"")</f>
        <v/>
      </c>
      <c r="H116" s="53"/>
      <c r="I116" s="60"/>
      <c r="J116" s="60"/>
      <c r="K116" s="82" t="str">
        <f t="shared" si="6"/>
        <v/>
      </c>
      <c r="L116" s="60"/>
      <c r="M116" s="82" t="str">
        <f t="shared" si="7"/>
        <v/>
      </c>
      <c r="N116" s="53"/>
      <c r="O116" s="53"/>
      <c r="P116" s="53"/>
      <c r="Q116" s="81" t="str">
        <f>IFERROR(INDEX('Resource Rate Library'!$C$5:$C$85,MATCH(P116,'Resource Rate Library'!$A$5:$A$85,0)),"")</f>
        <v/>
      </c>
      <c r="R116" s="53"/>
      <c r="S116" s="53"/>
      <c r="T116" s="81" t="str">
        <f>IFERROR(INDEX('Resource Rate Library'!$E$5:$E$85,MATCH(P116,'Resource Rate Library'!$A$5:$A$85,0)),"")</f>
        <v/>
      </c>
      <c r="U116" s="62"/>
      <c r="V116" s="62"/>
      <c r="W116" s="83">
        <f>IFERROR(INDEX('Resource Rate Library'!$I$5:$I$85,MATCH(P116,'Resource Rate Library'!$A$5:$A$85,0)),0)</f>
        <v>0</v>
      </c>
      <c r="X116" s="52"/>
      <c r="Y116" s="83">
        <f t="shared" si="8"/>
        <v>0</v>
      </c>
      <c r="Z116" s="83" t="str">
        <f t="shared" si="9"/>
        <v/>
      </c>
      <c r="AA116" s="81" t="str">
        <f>IFERROR(INDEX('Resource Rate Library'!$N$5:$N$85,MATCH(P116,'Resource Rate Library'!$A$5:$A$85,0)),"")</f>
        <v/>
      </c>
      <c r="AB116" s="53"/>
      <c r="AC116" s="59"/>
      <c r="AD116" s="81" t="str">
        <f>IFERROR(INDEX('Resource Rate Library'!$G$5:$G$85,MATCH(P116,'Resource Rate Library'!$A$5:$A$85,0)),"")</f>
        <v/>
      </c>
      <c r="AE116" s="81" t="str">
        <f>IFERROR(INDEX('Resource Rate Library'!$H$5:$H$85,MATCH(P116,'Resource Rate Library'!$A$5:$A$85,0)),"")</f>
        <v/>
      </c>
      <c r="AF116" s="53"/>
      <c r="AG116" s="53"/>
      <c r="AH116" s="53"/>
      <c r="AI116" s="81" t="str">
        <f t="shared" si="10"/>
        <v/>
      </c>
      <c r="AJ116" s="54"/>
      <c r="AK116" s="197"/>
      <c r="AL116" s="197"/>
      <c r="AM116" s="197"/>
      <c r="AN116" s="199">
        <f>IF(AND(AK116="Yes",OR(O116="Labour",O116="Plant")),Z116,0)</f>
        <v>0</v>
      </c>
    </row>
    <row r="117" spans="1:40" ht="21.95" customHeight="1" x14ac:dyDescent="0.2">
      <c r="A117" s="80" t="str">
        <f>IF(B117="","",B117&amp;"-"&amp;TEXT(COUNTIF($B$7:B117,B117),"000"))</f>
        <v/>
      </c>
      <c r="B117" s="53"/>
      <c r="C117" s="81" t="str">
        <f>IFERROR(INDEX('QS Takeoff'!$A$3:$A$194,MATCH(B117,'QS Takeoff'!$B$3:$B$194,0)),"")</f>
        <v/>
      </c>
      <c r="D117" s="81" t="str">
        <f>IFERROR(INDEX('QS Takeoff'!$C$3:$C$194,MATCH(B117,'QS Takeoff'!$B$3:$B$194,0)),"")</f>
        <v/>
      </c>
      <c r="E117" s="81" t="str">
        <f>IFERROR(INDEX('QS Takeoff'!$E$3:$E$194,MATCH(B117,'QS Takeoff'!$B$3:$B$194,0)),"")</f>
        <v/>
      </c>
      <c r="F117" s="81" t="str">
        <f>IFERROR(INDEX('QS Takeoff'!$D$3:$D$194,MATCH(B117,'QS Takeoff'!$B$3:$B$194,0)),"")</f>
        <v/>
      </c>
      <c r="G117" s="81" t="str">
        <f>IFERROR(INDEX('QS Takeoff'!$J$3:$J$194,MATCH(B117,'QS Takeoff'!$B$3:$B$194,0)),"")</f>
        <v/>
      </c>
      <c r="H117" s="53"/>
      <c r="I117" s="60"/>
      <c r="J117" s="60"/>
      <c r="K117" s="82" t="str">
        <f t="shared" si="6"/>
        <v/>
      </c>
      <c r="L117" s="60"/>
      <c r="M117" s="82" t="str">
        <f t="shared" si="7"/>
        <v/>
      </c>
      <c r="N117" s="53"/>
      <c r="O117" s="53"/>
      <c r="P117" s="53"/>
      <c r="Q117" s="81" t="str">
        <f>IFERROR(INDEX('Resource Rate Library'!$C$5:$C$85,MATCH(P117,'Resource Rate Library'!$A$5:$A$85,0)),"")</f>
        <v/>
      </c>
      <c r="R117" s="53"/>
      <c r="S117" s="53"/>
      <c r="T117" s="81" t="str">
        <f>IFERROR(INDEX('Resource Rate Library'!$E$5:$E$85,MATCH(P117,'Resource Rate Library'!$A$5:$A$85,0)),"")</f>
        <v/>
      </c>
      <c r="U117" s="62"/>
      <c r="V117" s="62"/>
      <c r="W117" s="83">
        <f>IFERROR(INDEX('Resource Rate Library'!$I$5:$I$85,MATCH(P117,'Resource Rate Library'!$A$5:$A$85,0)),0)</f>
        <v>0</v>
      </c>
      <c r="X117" s="52"/>
      <c r="Y117" s="83">
        <f t="shared" si="8"/>
        <v>0</v>
      </c>
      <c r="Z117" s="83" t="str">
        <f t="shared" si="9"/>
        <v/>
      </c>
      <c r="AA117" s="81" t="str">
        <f>IFERROR(INDEX('Resource Rate Library'!$N$5:$N$85,MATCH(P117,'Resource Rate Library'!$A$5:$A$85,0)),"")</f>
        <v/>
      </c>
      <c r="AB117" s="53"/>
      <c r="AC117" s="59"/>
      <c r="AD117" s="81" t="str">
        <f>IFERROR(INDEX('Resource Rate Library'!$G$5:$G$85,MATCH(P117,'Resource Rate Library'!$A$5:$A$85,0)),"")</f>
        <v/>
      </c>
      <c r="AE117" s="81" t="str">
        <f>IFERROR(INDEX('Resource Rate Library'!$H$5:$H$85,MATCH(P117,'Resource Rate Library'!$A$5:$A$85,0)),"")</f>
        <v/>
      </c>
      <c r="AF117" s="53"/>
      <c r="AG117" s="53"/>
      <c r="AH117" s="53"/>
      <c r="AI117" s="81" t="str">
        <f t="shared" si="10"/>
        <v/>
      </c>
      <c r="AJ117" s="54"/>
      <c r="AK117" s="197"/>
      <c r="AL117" s="197"/>
      <c r="AM117" s="197"/>
      <c r="AN117" s="199">
        <f>IF(AND(AK117="Yes",OR(O117="Labour",O117="Plant")),Z117,0)</f>
        <v>0</v>
      </c>
    </row>
    <row r="118" spans="1:40" ht="21.95" customHeight="1" x14ac:dyDescent="0.2">
      <c r="A118" s="80" t="str">
        <f>IF(B118="","",B118&amp;"-"&amp;TEXT(COUNTIF($B$7:B118,B118),"000"))</f>
        <v/>
      </c>
      <c r="B118" s="53"/>
      <c r="C118" s="81" t="str">
        <f>IFERROR(INDEX('QS Takeoff'!$A$3:$A$194,MATCH(B118,'QS Takeoff'!$B$3:$B$194,0)),"")</f>
        <v/>
      </c>
      <c r="D118" s="81" t="str">
        <f>IFERROR(INDEX('QS Takeoff'!$C$3:$C$194,MATCH(B118,'QS Takeoff'!$B$3:$B$194,0)),"")</f>
        <v/>
      </c>
      <c r="E118" s="81" t="str">
        <f>IFERROR(INDEX('QS Takeoff'!$E$3:$E$194,MATCH(B118,'QS Takeoff'!$B$3:$B$194,0)),"")</f>
        <v/>
      </c>
      <c r="F118" s="81" t="str">
        <f>IFERROR(INDEX('QS Takeoff'!$D$3:$D$194,MATCH(B118,'QS Takeoff'!$B$3:$B$194,0)),"")</f>
        <v/>
      </c>
      <c r="G118" s="81" t="str">
        <f>IFERROR(INDEX('QS Takeoff'!$J$3:$J$194,MATCH(B118,'QS Takeoff'!$B$3:$B$194,0)),"")</f>
        <v/>
      </c>
      <c r="H118" s="53"/>
      <c r="I118" s="60"/>
      <c r="J118" s="60"/>
      <c r="K118" s="82" t="str">
        <f t="shared" si="6"/>
        <v/>
      </c>
      <c r="L118" s="60"/>
      <c r="M118" s="82" t="str">
        <f t="shared" si="7"/>
        <v/>
      </c>
      <c r="N118" s="53"/>
      <c r="O118" s="53"/>
      <c r="P118" s="53"/>
      <c r="Q118" s="81" t="str">
        <f>IFERROR(INDEX('Resource Rate Library'!$C$5:$C$85,MATCH(P118,'Resource Rate Library'!$A$5:$A$85,0)),"")</f>
        <v/>
      </c>
      <c r="R118" s="53"/>
      <c r="S118" s="53"/>
      <c r="T118" s="81" t="str">
        <f>IFERROR(INDEX('Resource Rate Library'!$E$5:$E$85,MATCH(P118,'Resource Rate Library'!$A$5:$A$85,0)),"")</f>
        <v/>
      </c>
      <c r="U118" s="62"/>
      <c r="V118" s="62"/>
      <c r="W118" s="83">
        <f>IFERROR(INDEX('Resource Rate Library'!$I$5:$I$85,MATCH(P118,'Resource Rate Library'!$A$5:$A$85,0)),0)</f>
        <v>0</v>
      </c>
      <c r="X118" s="52"/>
      <c r="Y118" s="83">
        <f t="shared" si="8"/>
        <v>0</v>
      </c>
      <c r="Z118" s="83" t="str">
        <f t="shared" si="9"/>
        <v/>
      </c>
      <c r="AA118" s="81" t="str">
        <f>IFERROR(INDEX('Resource Rate Library'!$N$5:$N$85,MATCH(P118,'Resource Rate Library'!$A$5:$A$85,0)),"")</f>
        <v/>
      </c>
      <c r="AB118" s="53"/>
      <c r="AC118" s="59"/>
      <c r="AD118" s="81" t="str">
        <f>IFERROR(INDEX('Resource Rate Library'!$G$5:$G$85,MATCH(P118,'Resource Rate Library'!$A$5:$A$85,0)),"")</f>
        <v/>
      </c>
      <c r="AE118" s="81" t="str">
        <f>IFERROR(INDEX('Resource Rate Library'!$H$5:$H$85,MATCH(P118,'Resource Rate Library'!$A$5:$A$85,0)),"")</f>
        <v/>
      </c>
      <c r="AF118" s="53"/>
      <c r="AG118" s="53"/>
      <c r="AH118" s="53"/>
      <c r="AI118" s="81" t="str">
        <f t="shared" si="10"/>
        <v/>
      </c>
      <c r="AJ118" s="54"/>
      <c r="AK118" s="197"/>
      <c r="AL118" s="197"/>
      <c r="AM118" s="197"/>
      <c r="AN118" s="199">
        <f>IF(AND(AK118="Yes",OR(O118="Labour",O118="Plant")),Z118,0)</f>
        <v>0</v>
      </c>
    </row>
    <row r="119" spans="1:40" ht="21.95" customHeight="1" x14ac:dyDescent="0.2">
      <c r="A119" s="80" t="str">
        <f>IF(B119="","",B119&amp;"-"&amp;TEXT(COUNTIF($B$7:B119,B119),"000"))</f>
        <v/>
      </c>
      <c r="B119" s="53"/>
      <c r="C119" s="81" t="str">
        <f>IFERROR(INDEX('QS Takeoff'!$A$3:$A$194,MATCH(B119,'QS Takeoff'!$B$3:$B$194,0)),"")</f>
        <v/>
      </c>
      <c r="D119" s="81" t="str">
        <f>IFERROR(INDEX('QS Takeoff'!$C$3:$C$194,MATCH(B119,'QS Takeoff'!$B$3:$B$194,0)),"")</f>
        <v/>
      </c>
      <c r="E119" s="81" t="str">
        <f>IFERROR(INDEX('QS Takeoff'!$E$3:$E$194,MATCH(B119,'QS Takeoff'!$B$3:$B$194,0)),"")</f>
        <v/>
      </c>
      <c r="F119" s="81" t="str">
        <f>IFERROR(INDEX('QS Takeoff'!$D$3:$D$194,MATCH(B119,'QS Takeoff'!$B$3:$B$194,0)),"")</f>
        <v/>
      </c>
      <c r="G119" s="81" t="str">
        <f>IFERROR(INDEX('QS Takeoff'!$J$3:$J$194,MATCH(B119,'QS Takeoff'!$B$3:$B$194,0)),"")</f>
        <v/>
      </c>
      <c r="H119" s="53"/>
      <c r="I119" s="60"/>
      <c r="J119" s="60"/>
      <c r="K119" s="82" t="str">
        <f t="shared" si="6"/>
        <v/>
      </c>
      <c r="L119" s="60"/>
      <c r="M119" s="82" t="str">
        <f t="shared" si="7"/>
        <v/>
      </c>
      <c r="N119" s="53"/>
      <c r="O119" s="53"/>
      <c r="P119" s="53"/>
      <c r="Q119" s="81" t="str">
        <f>IFERROR(INDEX('Resource Rate Library'!$C$5:$C$85,MATCH(P119,'Resource Rate Library'!$A$5:$A$85,0)),"")</f>
        <v/>
      </c>
      <c r="R119" s="53"/>
      <c r="S119" s="53"/>
      <c r="T119" s="81" t="str">
        <f>IFERROR(INDEX('Resource Rate Library'!$E$5:$E$85,MATCH(P119,'Resource Rate Library'!$A$5:$A$85,0)),"")</f>
        <v/>
      </c>
      <c r="U119" s="62"/>
      <c r="V119" s="62"/>
      <c r="W119" s="83">
        <f>IFERROR(INDEX('Resource Rate Library'!$I$5:$I$85,MATCH(P119,'Resource Rate Library'!$A$5:$A$85,0)),0)</f>
        <v>0</v>
      </c>
      <c r="X119" s="52"/>
      <c r="Y119" s="83">
        <f t="shared" si="8"/>
        <v>0</v>
      </c>
      <c r="Z119" s="83" t="str">
        <f t="shared" si="9"/>
        <v/>
      </c>
      <c r="AA119" s="81" t="str">
        <f>IFERROR(INDEX('Resource Rate Library'!$N$5:$N$85,MATCH(P119,'Resource Rate Library'!$A$5:$A$85,0)),"")</f>
        <v/>
      </c>
      <c r="AB119" s="53"/>
      <c r="AC119" s="59"/>
      <c r="AD119" s="81" t="str">
        <f>IFERROR(INDEX('Resource Rate Library'!$G$5:$G$85,MATCH(P119,'Resource Rate Library'!$A$5:$A$85,0)),"")</f>
        <v/>
      </c>
      <c r="AE119" s="81" t="str">
        <f>IFERROR(INDEX('Resource Rate Library'!$H$5:$H$85,MATCH(P119,'Resource Rate Library'!$A$5:$A$85,0)),"")</f>
        <v/>
      </c>
      <c r="AF119" s="53"/>
      <c r="AG119" s="53"/>
      <c r="AH119" s="53"/>
      <c r="AI119" s="81" t="str">
        <f t="shared" si="10"/>
        <v/>
      </c>
      <c r="AJ119" s="54"/>
      <c r="AK119" s="197"/>
      <c r="AL119" s="197"/>
      <c r="AM119" s="197"/>
      <c r="AN119" s="199">
        <f>IF(AND(AK119="Yes",OR(O119="Labour",O119="Plant")),Z119,0)</f>
        <v>0</v>
      </c>
    </row>
    <row r="120" spans="1:40" ht="21.95" customHeight="1" x14ac:dyDescent="0.2">
      <c r="A120" s="80" t="str">
        <f>IF(B120="","",B120&amp;"-"&amp;TEXT(COUNTIF($B$7:B120,B120),"000"))</f>
        <v/>
      </c>
      <c r="B120" s="53"/>
      <c r="C120" s="81" t="str">
        <f>IFERROR(INDEX('QS Takeoff'!$A$3:$A$194,MATCH(B120,'QS Takeoff'!$B$3:$B$194,0)),"")</f>
        <v/>
      </c>
      <c r="D120" s="81" t="str">
        <f>IFERROR(INDEX('QS Takeoff'!$C$3:$C$194,MATCH(B120,'QS Takeoff'!$B$3:$B$194,0)),"")</f>
        <v/>
      </c>
      <c r="E120" s="81" t="str">
        <f>IFERROR(INDEX('QS Takeoff'!$E$3:$E$194,MATCH(B120,'QS Takeoff'!$B$3:$B$194,0)),"")</f>
        <v/>
      </c>
      <c r="F120" s="81" t="str">
        <f>IFERROR(INDEX('QS Takeoff'!$D$3:$D$194,MATCH(B120,'QS Takeoff'!$B$3:$B$194,0)),"")</f>
        <v/>
      </c>
      <c r="G120" s="81" t="str">
        <f>IFERROR(INDEX('QS Takeoff'!$J$3:$J$194,MATCH(B120,'QS Takeoff'!$B$3:$B$194,0)),"")</f>
        <v/>
      </c>
      <c r="H120" s="53"/>
      <c r="I120" s="60"/>
      <c r="J120" s="60"/>
      <c r="K120" s="82" t="str">
        <f t="shared" si="6"/>
        <v/>
      </c>
      <c r="L120" s="60"/>
      <c r="M120" s="82" t="str">
        <f t="shared" si="7"/>
        <v/>
      </c>
      <c r="N120" s="53"/>
      <c r="O120" s="53"/>
      <c r="P120" s="53"/>
      <c r="Q120" s="81" t="str">
        <f>IFERROR(INDEX('Resource Rate Library'!$C$5:$C$85,MATCH(P120,'Resource Rate Library'!$A$5:$A$85,0)),"")</f>
        <v/>
      </c>
      <c r="R120" s="53"/>
      <c r="S120" s="53"/>
      <c r="T120" s="81" t="str">
        <f>IFERROR(INDEX('Resource Rate Library'!$E$5:$E$85,MATCH(P120,'Resource Rate Library'!$A$5:$A$85,0)),"")</f>
        <v/>
      </c>
      <c r="U120" s="62"/>
      <c r="V120" s="62"/>
      <c r="W120" s="83">
        <f>IFERROR(INDEX('Resource Rate Library'!$I$5:$I$85,MATCH(P120,'Resource Rate Library'!$A$5:$A$85,0)),0)</f>
        <v>0</v>
      </c>
      <c r="X120" s="52"/>
      <c r="Y120" s="83">
        <f t="shared" si="8"/>
        <v>0</v>
      </c>
      <c r="Z120" s="83" t="str">
        <f t="shared" si="9"/>
        <v/>
      </c>
      <c r="AA120" s="81" t="str">
        <f>IFERROR(INDEX('Resource Rate Library'!$N$5:$N$85,MATCH(P120,'Resource Rate Library'!$A$5:$A$85,0)),"")</f>
        <v/>
      </c>
      <c r="AB120" s="53"/>
      <c r="AC120" s="59"/>
      <c r="AD120" s="81" t="str">
        <f>IFERROR(INDEX('Resource Rate Library'!$G$5:$G$85,MATCH(P120,'Resource Rate Library'!$A$5:$A$85,0)),"")</f>
        <v/>
      </c>
      <c r="AE120" s="81" t="str">
        <f>IFERROR(INDEX('Resource Rate Library'!$H$5:$H$85,MATCH(P120,'Resource Rate Library'!$A$5:$A$85,0)),"")</f>
        <v/>
      </c>
      <c r="AF120" s="53"/>
      <c r="AG120" s="53"/>
      <c r="AH120" s="53"/>
      <c r="AI120" s="81" t="str">
        <f>IF(B120="","",IF(AND(P120="",N120&lt;&gt;"Lump Sum / Quote"),"RESOURCE CODE",IF(Y120=0,"RATE MISSING",IF(AND(O120="Plant",AD120="Yes",COUNTIFS($B$7:$B$306,B120,$O$7:$O$306,"Labour",$Q$7:$Q$306,"*Operator*")&gt;0),"OPERATOR DOUBLE-COUNT",IF(AND(O120="Plant",AE120="Yes",COUNTIFS($B$7:$B$306,B120,$Q$7:$Q$306,"*Fuel*")&gt;0),"FUEL DOUBLE-COUNT",IF(AH120&lt;&gt;"Yes","VERIFY","OK"))))))</f>
        <v/>
      </c>
      <c r="AJ120" s="54"/>
      <c r="AK120" s="197"/>
      <c r="AL120" s="197"/>
      <c r="AM120" s="197"/>
      <c r="AN120" s="199">
        <f>IF(AND(AK120="Yes",OR(O120="Labour",O120="Plant")),Z120,0)</f>
        <v>0</v>
      </c>
    </row>
    <row r="121" spans="1:40" ht="21.95" customHeight="1" x14ac:dyDescent="0.2">
      <c r="A121" s="80" t="str">
        <f>IF(B121="","",B121&amp;"-"&amp;TEXT(COUNTIF($B$7:B121,B121),"000"))</f>
        <v/>
      </c>
      <c r="B121" s="53"/>
      <c r="C121" s="81" t="str">
        <f>IFERROR(INDEX('QS Takeoff'!$A$3:$A$194,MATCH(B121,'QS Takeoff'!$B$3:$B$194,0)),"")</f>
        <v/>
      </c>
      <c r="D121" s="81" t="str">
        <f>IFERROR(INDEX('QS Takeoff'!$C$3:$C$194,MATCH(B121,'QS Takeoff'!$B$3:$B$194,0)),"")</f>
        <v/>
      </c>
      <c r="E121" s="81" t="str">
        <f>IFERROR(INDEX('QS Takeoff'!$E$3:$E$194,MATCH(B121,'QS Takeoff'!$B$3:$B$194,0)),"")</f>
        <v/>
      </c>
      <c r="F121" s="81" t="str">
        <f>IFERROR(INDEX('QS Takeoff'!$D$3:$D$194,MATCH(B121,'QS Takeoff'!$B$3:$B$194,0)),"")</f>
        <v/>
      </c>
      <c r="G121" s="81" t="str">
        <f>IFERROR(INDEX('QS Takeoff'!$J$3:$J$194,MATCH(B121,'QS Takeoff'!$B$3:$B$194,0)),"")</f>
        <v/>
      </c>
      <c r="H121" s="53"/>
      <c r="I121" s="60"/>
      <c r="J121" s="60"/>
      <c r="K121" s="82" t="str">
        <f t="shared" si="6"/>
        <v/>
      </c>
      <c r="L121" s="60"/>
      <c r="M121" s="82" t="str">
        <f t="shared" si="7"/>
        <v/>
      </c>
      <c r="N121" s="53"/>
      <c r="O121" s="53"/>
      <c r="P121" s="53"/>
      <c r="Q121" s="81" t="str">
        <f>IFERROR(INDEX('Resource Rate Library'!$C$5:$C$85,MATCH(P121,'Resource Rate Library'!$A$5:$A$85,0)),"")</f>
        <v/>
      </c>
      <c r="R121" s="53"/>
      <c r="S121" s="53"/>
      <c r="T121" s="81" t="str">
        <f>IFERROR(INDEX('Resource Rate Library'!$E$5:$E$85,MATCH(P121,'Resource Rate Library'!$A$5:$A$85,0)),"")</f>
        <v/>
      </c>
      <c r="U121" s="62"/>
      <c r="V121" s="62"/>
      <c r="W121" s="83">
        <f>IFERROR(INDEX('Resource Rate Library'!$I$5:$I$85,MATCH(P121,'Resource Rate Library'!$A$5:$A$85,0)),0)</f>
        <v>0</v>
      </c>
      <c r="X121" s="52"/>
      <c r="Y121" s="83">
        <f t="shared" si="8"/>
        <v>0</v>
      </c>
      <c r="Z121" s="83" t="str">
        <f t="shared" si="9"/>
        <v/>
      </c>
      <c r="AA121" s="81" t="str">
        <f>IFERROR(INDEX('Resource Rate Library'!$N$5:$N$85,MATCH(P121,'Resource Rate Library'!$A$5:$A$85,0)),"")</f>
        <v/>
      </c>
      <c r="AB121" s="53"/>
      <c r="AC121" s="59"/>
      <c r="AD121" s="81" t="str">
        <f>IFERROR(INDEX('Resource Rate Library'!$G$5:$G$85,MATCH(P121,'Resource Rate Library'!$A$5:$A$85,0)),"")</f>
        <v/>
      </c>
      <c r="AE121" s="81" t="str">
        <f>IFERROR(INDEX('Resource Rate Library'!$H$5:$H$85,MATCH(P121,'Resource Rate Library'!$A$5:$A$85,0)),"")</f>
        <v/>
      </c>
      <c r="AF121" s="53"/>
      <c r="AG121" s="53"/>
      <c r="AH121" s="53"/>
      <c r="AI121" s="81" t="str">
        <f t="shared" ref="AI121:AI152" si="11">IF(B121="","",IF(AND(P121="",N121&lt;&gt;"Lump Sum / Quote"),"RESOURCE CODE",IF(Y121=0,"RATE MISSING",IF(AND(O121="Plant",AD121="Yes",COUNTIFS($B$7:$B$306,B121,$O$7:$O$306,"Labour",$Q$7:$Q$306,"*Operator*")&gt;0),"OPERATOR DOUBLE-COUNT",IF(AND(O121="Plant",AE121="Yes",COUNTIFS($B$7:$B$306,B121,$Q$7:$Q$306,"*Fuel*")&gt;0),"FUEL DOUBLE-COUNT",IF(AH121&lt;&gt;"Yes","VERIFY","OK"))))))</f>
        <v/>
      </c>
      <c r="AJ121" s="54"/>
      <c r="AK121" s="197"/>
      <c r="AL121" s="197"/>
      <c r="AM121" s="197"/>
      <c r="AN121" s="199">
        <f>IF(AND(AK121="Yes",OR(O121="Labour",O121="Plant")),Z121,0)</f>
        <v>0</v>
      </c>
    </row>
    <row r="122" spans="1:40" ht="21.95" customHeight="1" x14ac:dyDescent="0.2">
      <c r="A122" s="80" t="str">
        <f>IF(B122="","",B122&amp;"-"&amp;TEXT(COUNTIF($B$7:B122,B122),"000"))</f>
        <v/>
      </c>
      <c r="B122" s="53"/>
      <c r="C122" s="81" t="str">
        <f>IFERROR(INDEX('QS Takeoff'!$A$3:$A$194,MATCH(B122,'QS Takeoff'!$B$3:$B$194,0)),"")</f>
        <v/>
      </c>
      <c r="D122" s="81" t="str">
        <f>IFERROR(INDEX('QS Takeoff'!$C$3:$C$194,MATCH(B122,'QS Takeoff'!$B$3:$B$194,0)),"")</f>
        <v/>
      </c>
      <c r="E122" s="81" t="str">
        <f>IFERROR(INDEX('QS Takeoff'!$E$3:$E$194,MATCH(B122,'QS Takeoff'!$B$3:$B$194,0)),"")</f>
        <v/>
      </c>
      <c r="F122" s="81" t="str">
        <f>IFERROR(INDEX('QS Takeoff'!$D$3:$D$194,MATCH(B122,'QS Takeoff'!$B$3:$B$194,0)),"")</f>
        <v/>
      </c>
      <c r="G122" s="81" t="str">
        <f>IFERROR(INDEX('QS Takeoff'!$J$3:$J$194,MATCH(B122,'QS Takeoff'!$B$3:$B$194,0)),"")</f>
        <v/>
      </c>
      <c r="H122" s="53"/>
      <c r="I122" s="60"/>
      <c r="J122" s="60"/>
      <c r="K122" s="82" t="str">
        <f t="shared" si="6"/>
        <v/>
      </c>
      <c r="L122" s="60"/>
      <c r="M122" s="82" t="str">
        <f t="shared" si="7"/>
        <v/>
      </c>
      <c r="N122" s="53"/>
      <c r="O122" s="53"/>
      <c r="P122" s="53"/>
      <c r="Q122" s="81" t="str">
        <f>IFERROR(INDEX('Resource Rate Library'!$C$5:$C$85,MATCH(P122,'Resource Rate Library'!$A$5:$A$85,0)),"")</f>
        <v/>
      </c>
      <c r="R122" s="53"/>
      <c r="S122" s="53"/>
      <c r="T122" s="81" t="str">
        <f>IFERROR(INDEX('Resource Rate Library'!$E$5:$E$85,MATCH(P122,'Resource Rate Library'!$A$5:$A$85,0)),"")</f>
        <v/>
      </c>
      <c r="U122" s="62"/>
      <c r="V122" s="62"/>
      <c r="W122" s="83">
        <f>IFERROR(INDEX('Resource Rate Library'!$I$5:$I$85,MATCH(P122,'Resource Rate Library'!$A$5:$A$85,0)),0)</f>
        <v>0</v>
      </c>
      <c r="X122" s="52"/>
      <c r="Y122" s="83">
        <f t="shared" si="8"/>
        <v>0</v>
      </c>
      <c r="Z122" s="83" t="str">
        <f t="shared" si="9"/>
        <v/>
      </c>
      <c r="AA122" s="81" t="str">
        <f>IFERROR(INDEX('Resource Rate Library'!$N$5:$N$85,MATCH(P122,'Resource Rate Library'!$A$5:$A$85,0)),"")</f>
        <v/>
      </c>
      <c r="AB122" s="53"/>
      <c r="AC122" s="59"/>
      <c r="AD122" s="81" t="str">
        <f>IFERROR(INDEX('Resource Rate Library'!$G$5:$G$85,MATCH(P122,'Resource Rate Library'!$A$5:$A$85,0)),"")</f>
        <v/>
      </c>
      <c r="AE122" s="81" t="str">
        <f>IFERROR(INDEX('Resource Rate Library'!$H$5:$H$85,MATCH(P122,'Resource Rate Library'!$A$5:$A$85,0)),"")</f>
        <v/>
      </c>
      <c r="AF122" s="53"/>
      <c r="AG122" s="53"/>
      <c r="AH122" s="53"/>
      <c r="AI122" s="81" t="str">
        <f t="shared" si="11"/>
        <v/>
      </c>
      <c r="AJ122" s="54"/>
      <c r="AK122" s="197"/>
      <c r="AL122" s="197"/>
      <c r="AM122" s="197"/>
      <c r="AN122" s="199">
        <f>IF(AND(AK122="Yes",OR(O122="Labour",O122="Plant")),Z122,0)</f>
        <v>0</v>
      </c>
    </row>
    <row r="123" spans="1:40" ht="21.95" customHeight="1" x14ac:dyDescent="0.2">
      <c r="A123" s="80" t="str">
        <f>IF(B123="","",B123&amp;"-"&amp;TEXT(COUNTIF($B$7:B123,B123),"000"))</f>
        <v/>
      </c>
      <c r="B123" s="53"/>
      <c r="C123" s="81" t="str">
        <f>IFERROR(INDEX('QS Takeoff'!$A$3:$A$194,MATCH(B123,'QS Takeoff'!$B$3:$B$194,0)),"")</f>
        <v/>
      </c>
      <c r="D123" s="81" t="str">
        <f>IFERROR(INDEX('QS Takeoff'!$C$3:$C$194,MATCH(B123,'QS Takeoff'!$B$3:$B$194,0)),"")</f>
        <v/>
      </c>
      <c r="E123" s="81" t="str">
        <f>IFERROR(INDEX('QS Takeoff'!$E$3:$E$194,MATCH(B123,'QS Takeoff'!$B$3:$B$194,0)),"")</f>
        <v/>
      </c>
      <c r="F123" s="81" t="str">
        <f>IFERROR(INDEX('QS Takeoff'!$D$3:$D$194,MATCH(B123,'QS Takeoff'!$B$3:$B$194,0)),"")</f>
        <v/>
      </c>
      <c r="G123" s="81" t="str">
        <f>IFERROR(INDEX('QS Takeoff'!$J$3:$J$194,MATCH(B123,'QS Takeoff'!$B$3:$B$194,0)),"")</f>
        <v/>
      </c>
      <c r="H123" s="53"/>
      <c r="I123" s="60"/>
      <c r="J123" s="60"/>
      <c r="K123" s="82" t="str">
        <f t="shared" si="6"/>
        <v/>
      </c>
      <c r="L123" s="60"/>
      <c r="M123" s="82" t="str">
        <f t="shared" si="7"/>
        <v/>
      </c>
      <c r="N123" s="53"/>
      <c r="O123" s="53"/>
      <c r="P123" s="53"/>
      <c r="Q123" s="81" t="str">
        <f>IFERROR(INDEX('Resource Rate Library'!$C$5:$C$85,MATCH(P123,'Resource Rate Library'!$A$5:$A$85,0)),"")</f>
        <v/>
      </c>
      <c r="R123" s="53"/>
      <c r="S123" s="53"/>
      <c r="T123" s="81" t="str">
        <f>IFERROR(INDEX('Resource Rate Library'!$E$5:$E$85,MATCH(P123,'Resource Rate Library'!$A$5:$A$85,0)),"")</f>
        <v/>
      </c>
      <c r="U123" s="62"/>
      <c r="V123" s="62"/>
      <c r="W123" s="83">
        <f>IFERROR(INDEX('Resource Rate Library'!$I$5:$I$85,MATCH(P123,'Resource Rate Library'!$A$5:$A$85,0)),0)</f>
        <v>0</v>
      </c>
      <c r="X123" s="52"/>
      <c r="Y123" s="83">
        <f t="shared" si="8"/>
        <v>0</v>
      </c>
      <c r="Z123" s="83" t="str">
        <f t="shared" si="9"/>
        <v/>
      </c>
      <c r="AA123" s="81" t="str">
        <f>IFERROR(INDEX('Resource Rate Library'!$N$5:$N$85,MATCH(P123,'Resource Rate Library'!$A$5:$A$85,0)),"")</f>
        <v/>
      </c>
      <c r="AB123" s="53"/>
      <c r="AC123" s="59"/>
      <c r="AD123" s="81" t="str">
        <f>IFERROR(INDEX('Resource Rate Library'!$G$5:$G$85,MATCH(P123,'Resource Rate Library'!$A$5:$A$85,0)),"")</f>
        <v/>
      </c>
      <c r="AE123" s="81" t="str">
        <f>IFERROR(INDEX('Resource Rate Library'!$H$5:$H$85,MATCH(P123,'Resource Rate Library'!$A$5:$A$85,0)),"")</f>
        <v/>
      </c>
      <c r="AF123" s="53"/>
      <c r="AG123" s="53"/>
      <c r="AH123" s="53"/>
      <c r="AI123" s="81" t="str">
        <f t="shared" si="11"/>
        <v/>
      </c>
      <c r="AJ123" s="54"/>
      <c r="AK123" s="197"/>
      <c r="AL123" s="197"/>
      <c r="AM123" s="197"/>
      <c r="AN123" s="199">
        <f>IF(AND(AK123="Yes",OR(O123="Labour",O123="Plant")),Z123,0)</f>
        <v>0</v>
      </c>
    </row>
    <row r="124" spans="1:40" ht="21.95" customHeight="1" x14ac:dyDescent="0.2">
      <c r="A124" s="80" t="str">
        <f>IF(B124="","",B124&amp;"-"&amp;TEXT(COUNTIF($B$7:B124,B124),"000"))</f>
        <v/>
      </c>
      <c r="B124" s="53"/>
      <c r="C124" s="81" t="str">
        <f>IFERROR(INDEX('QS Takeoff'!$A$3:$A$194,MATCH(B124,'QS Takeoff'!$B$3:$B$194,0)),"")</f>
        <v/>
      </c>
      <c r="D124" s="81" t="str">
        <f>IFERROR(INDEX('QS Takeoff'!$C$3:$C$194,MATCH(B124,'QS Takeoff'!$B$3:$B$194,0)),"")</f>
        <v/>
      </c>
      <c r="E124" s="81" t="str">
        <f>IFERROR(INDEX('QS Takeoff'!$E$3:$E$194,MATCH(B124,'QS Takeoff'!$B$3:$B$194,0)),"")</f>
        <v/>
      </c>
      <c r="F124" s="81" t="str">
        <f>IFERROR(INDEX('QS Takeoff'!$D$3:$D$194,MATCH(B124,'QS Takeoff'!$B$3:$B$194,0)),"")</f>
        <v/>
      </c>
      <c r="G124" s="81" t="str">
        <f>IFERROR(INDEX('QS Takeoff'!$J$3:$J$194,MATCH(B124,'QS Takeoff'!$B$3:$B$194,0)),"")</f>
        <v/>
      </c>
      <c r="H124" s="53"/>
      <c r="I124" s="60"/>
      <c r="J124" s="60"/>
      <c r="K124" s="82" t="str">
        <f t="shared" si="6"/>
        <v/>
      </c>
      <c r="L124" s="60"/>
      <c r="M124" s="82" t="str">
        <f t="shared" si="7"/>
        <v/>
      </c>
      <c r="N124" s="53"/>
      <c r="O124" s="53"/>
      <c r="P124" s="53"/>
      <c r="Q124" s="81" t="str">
        <f>IFERROR(INDEX('Resource Rate Library'!$C$5:$C$85,MATCH(P124,'Resource Rate Library'!$A$5:$A$85,0)),"")</f>
        <v/>
      </c>
      <c r="R124" s="53"/>
      <c r="S124" s="53"/>
      <c r="T124" s="81" t="str">
        <f>IFERROR(INDEX('Resource Rate Library'!$E$5:$E$85,MATCH(P124,'Resource Rate Library'!$A$5:$A$85,0)),"")</f>
        <v/>
      </c>
      <c r="U124" s="62"/>
      <c r="V124" s="62"/>
      <c r="W124" s="83">
        <f>IFERROR(INDEX('Resource Rate Library'!$I$5:$I$85,MATCH(P124,'Resource Rate Library'!$A$5:$A$85,0)),0)</f>
        <v>0</v>
      </c>
      <c r="X124" s="52"/>
      <c r="Y124" s="83">
        <f t="shared" si="8"/>
        <v>0</v>
      </c>
      <c r="Z124" s="83" t="str">
        <f t="shared" si="9"/>
        <v/>
      </c>
      <c r="AA124" s="81" t="str">
        <f>IFERROR(INDEX('Resource Rate Library'!$N$5:$N$85,MATCH(P124,'Resource Rate Library'!$A$5:$A$85,0)),"")</f>
        <v/>
      </c>
      <c r="AB124" s="53"/>
      <c r="AC124" s="59"/>
      <c r="AD124" s="81" t="str">
        <f>IFERROR(INDEX('Resource Rate Library'!$G$5:$G$85,MATCH(P124,'Resource Rate Library'!$A$5:$A$85,0)),"")</f>
        <v/>
      </c>
      <c r="AE124" s="81" t="str">
        <f>IFERROR(INDEX('Resource Rate Library'!$H$5:$H$85,MATCH(P124,'Resource Rate Library'!$A$5:$A$85,0)),"")</f>
        <v/>
      </c>
      <c r="AF124" s="53"/>
      <c r="AG124" s="53"/>
      <c r="AH124" s="53"/>
      <c r="AI124" s="81" t="str">
        <f t="shared" si="11"/>
        <v/>
      </c>
      <c r="AJ124" s="54"/>
      <c r="AK124" s="197"/>
      <c r="AL124" s="197"/>
      <c r="AM124" s="197"/>
      <c r="AN124" s="199">
        <f>IF(AND(AK124="Yes",OR(O124="Labour",O124="Plant")),Z124,0)</f>
        <v>0</v>
      </c>
    </row>
    <row r="125" spans="1:40" ht="21.95" customHeight="1" x14ac:dyDescent="0.2">
      <c r="A125" s="80" t="str">
        <f>IF(B125="","",B125&amp;"-"&amp;TEXT(COUNTIF($B$7:B125,B125),"000"))</f>
        <v/>
      </c>
      <c r="B125" s="53"/>
      <c r="C125" s="81" t="str">
        <f>IFERROR(INDEX('QS Takeoff'!$A$3:$A$194,MATCH(B125,'QS Takeoff'!$B$3:$B$194,0)),"")</f>
        <v/>
      </c>
      <c r="D125" s="81" t="str">
        <f>IFERROR(INDEX('QS Takeoff'!$C$3:$C$194,MATCH(B125,'QS Takeoff'!$B$3:$B$194,0)),"")</f>
        <v/>
      </c>
      <c r="E125" s="81" t="str">
        <f>IFERROR(INDEX('QS Takeoff'!$E$3:$E$194,MATCH(B125,'QS Takeoff'!$B$3:$B$194,0)),"")</f>
        <v/>
      </c>
      <c r="F125" s="81" t="str">
        <f>IFERROR(INDEX('QS Takeoff'!$D$3:$D$194,MATCH(B125,'QS Takeoff'!$B$3:$B$194,0)),"")</f>
        <v/>
      </c>
      <c r="G125" s="81" t="str">
        <f>IFERROR(INDEX('QS Takeoff'!$J$3:$J$194,MATCH(B125,'QS Takeoff'!$B$3:$B$194,0)),"")</f>
        <v/>
      </c>
      <c r="H125" s="53"/>
      <c r="I125" s="60"/>
      <c r="J125" s="60"/>
      <c r="K125" s="82" t="str">
        <f t="shared" si="6"/>
        <v/>
      </c>
      <c r="L125" s="60"/>
      <c r="M125" s="82" t="str">
        <f t="shared" si="7"/>
        <v/>
      </c>
      <c r="N125" s="53"/>
      <c r="O125" s="53"/>
      <c r="P125" s="53"/>
      <c r="Q125" s="81" t="str">
        <f>IFERROR(INDEX('Resource Rate Library'!$C$5:$C$85,MATCH(P125,'Resource Rate Library'!$A$5:$A$85,0)),"")</f>
        <v/>
      </c>
      <c r="R125" s="53"/>
      <c r="S125" s="53"/>
      <c r="T125" s="81" t="str">
        <f>IFERROR(INDEX('Resource Rate Library'!$E$5:$E$85,MATCH(P125,'Resource Rate Library'!$A$5:$A$85,0)),"")</f>
        <v/>
      </c>
      <c r="U125" s="62"/>
      <c r="V125" s="62"/>
      <c r="W125" s="83">
        <f>IFERROR(INDEX('Resource Rate Library'!$I$5:$I$85,MATCH(P125,'Resource Rate Library'!$A$5:$A$85,0)),0)</f>
        <v>0</v>
      </c>
      <c r="X125" s="52"/>
      <c r="Y125" s="83">
        <f t="shared" si="8"/>
        <v>0</v>
      </c>
      <c r="Z125" s="83" t="str">
        <f t="shared" si="9"/>
        <v/>
      </c>
      <c r="AA125" s="81" t="str">
        <f>IFERROR(INDEX('Resource Rate Library'!$N$5:$N$85,MATCH(P125,'Resource Rate Library'!$A$5:$A$85,0)),"")</f>
        <v/>
      </c>
      <c r="AB125" s="53"/>
      <c r="AC125" s="59"/>
      <c r="AD125" s="81" t="str">
        <f>IFERROR(INDEX('Resource Rate Library'!$G$5:$G$85,MATCH(P125,'Resource Rate Library'!$A$5:$A$85,0)),"")</f>
        <v/>
      </c>
      <c r="AE125" s="81" t="str">
        <f>IFERROR(INDEX('Resource Rate Library'!$H$5:$H$85,MATCH(P125,'Resource Rate Library'!$A$5:$A$85,0)),"")</f>
        <v/>
      </c>
      <c r="AF125" s="53"/>
      <c r="AG125" s="53"/>
      <c r="AH125" s="53"/>
      <c r="AI125" s="81" t="str">
        <f t="shared" si="11"/>
        <v/>
      </c>
      <c r="AJ125" s="54"/>
      <c r="AK125" s="197"/>
      <c r="AL125" s="197"/>
      <c r="AM125" s="197"/>
      <c r="AN125" s="199">
        <f>IF(AND(AK125="Yes",OR(O125="Labour",O125="Plant")),Z125,0)</f>
        <v>0</v>
      </c>
    </row>
    <row r="126" spans="1:40" ht="21.95" customHeight="1" x14ac:dyDescent="0.2">
      <c r="A126" s="80" t="str">
        <f>IF(B126="","",B126&amp;"-"&amp;TEXT(COUNTIF($B$7:B126,B126),"000"))</f>
        <v/>
      </c>
      <c r="B126" s="53"/>
      <c r="C126" s="81" t="str">
        <f>IFERROR(INDEX('QS Takeoff'!$A$3:$A$194,MATCH(B126,'QS Takeoff'!$B$3:$B$194,0)),"")</f>
        <v/>
      </c>
      <c r="D126" s="81" t="str">
        <f>IFERROR(INDEX('QS Takeoff'!$C$3:$C$194,MATCH(B126,'QS Takeoff'!$B$3:$B$194,0)),"")</f>
        <v/>
      </c>
      <c r="E126" s="81" t="str">
        <f>IFERROR(INDEX('QS Takeoff'!$E$3:$E$194,MATCH(B126,'QS Takeoff'!$B$3:$B$194,0)),"")</f>
        <v/>
      </c>
      <c r="F126" s="81" t="str">
        <f>IFERROR(INDEX('QS Takeoff'!$D$3:$D$194,MATCH(B126,'QS Takeoff'!$B$3:$B$194,0)),"")</f>
        <v/>
      </c>
      <c r="G126" s="81" t="str">
        <f>IFERROR(INDEX('QS Takeoff'!$J$3:$J$194,MATCH(B126,'QS Takeoff'!$B$3:$B$194,0)),"")</f>
        <v/>
      </c>
      <c r="H126" s="53"/>
      <c r="I126" s="60"/>
      <c r="J126" s="60"/>
      <c r="K126" s="82" t="str">
        <f t="shared" si="6"/>
        <v/>
      </c>
      <c r="L126" s="60"/>
      <c r="M126" s="82" t="str">
        <f t="shared" si="7"/>
        <v/>
      </c>
      <c r="N126" s="53"/>
      <c r="O126" s="53"/>
      <c r="P126" s="53"/>
      <c r="Q126" s="81" t="str">
        <f>IFERROR(INDEX('Resource Rate Library'!$C$5:$C$85,MATCH(P126,'Resource Rate Library'!$A$5:$A$85,0)),"")</f>
        <v/>
      </c>
      <c r="R126" s="53"/>
      <c r="S126" s="53"/>
      <c r="T126" s="81" t="str">
        <f>IFERROR(INDEX('Resource Rate Library'!$E$5:$E$85,MATCH(P126,'Resource Rate Library'!$A$5:$A$85,0)),"")</f>
        <v/>
      </c>
      <c r="U126" s="62"/>
      <c r="V126" s="62"/>
      <c r="W126" s="83">
        <f>IFERROR(INDEX('Resource Rate Library'!$I$5:$I$85,MATCH(P126,'Resource Rate Library'!$A$5:$A$85,0)),0)</f>
        <v>0</v>
      </c>
      <c r="X126" s="52"/>
      <c r="Y126" s="83">
        <f t="shared" si="8"/>
        <v>0</v>
      </c>
      <c r="Z126" s="83" t="str">
        <f t="shared" si="9"/>
        <v/>
      </c>
      <c r="AA126" s="81" t="str">
        <f>IFERROR(INDEX('Resource Rate Library'!$N$5:$N$85,MATCH(P126,'Resource Rate Library'!$A$5:$A$85,0)),"")</f>
        <v/>
      </c>
      <c r="AB126" s="53"/>
      <c r="AC126" s="59"/>
      <c r="AD126" s="81" t="str">
        <f>IFERROR(INDEX('Resource Rate Library'!$G$5:$G$85,MATCH(P126,'Resource Rate Library'!$A$5:$A$85,0)),"")</f>
        <v/>
      </c>
      <c r="AE126" s="81" t="str">
        <f>IFERROR(INDEX('Resource Rate Library'!$H$5:$H$85,MATCH(P126,'Resource Rate Library'!$A$5:$A$85,0)),"")</f>
        <v/>
      </c>
      <c r="AF126" s="53"/>
      <c r="AG126" s="53"/>
      <c r="AH126" s="53"/>
      <c r="AI126" s="81" t="str">
        <f t="shared" si="11"/>
        <v/>
      </c>
      <c r="AJ126" s="54"/>
      <c r="AK126" s="197"/>
      <c r="AL126" s="197"/>
      <c r="AM126" s="197"/>
      <c r="AN126" s="199">
        <f>IF(AND(AK126="Yes",OR(O126="Labour",O126="Plant")),Z126,0)</f>
        <v>0</v>
      </c>
    </row>
    <row r="127" spans="1:40" ht="21.95" customHeight="1" x14ac:dyDescent="0.2">
      <c r="A127" s="80" t="str">
        <f>IF(B127="","",B127&amp;"-"&amp;TEXT(COUNTIF($B$7:B127,B127),"000"))</f>
        <v/>
      </c>
      <c r="B127" s="53"/>
      <c r="C127" s="81" t="str">
        <f>IFERROR(INDEX('QS Takeoff'!$A$3:$A$194,MATCH(B127,'QS Takeoff'!$B$3:$B$194,0)),"")</f>
        <v/>
      </c>
      <c r="D127" s="81" t="str">
        <f>IFERROR(INDEX('QS Takeoff'!$C$3:$C$194,MATCH(B127,'QS Takeoff'!$B$3:$B$194,0)),"")</f>
        <v/>
      </c>
      <c r="E127" s="81" t="str">
        <f>IFERROR(INDEX('QS Takeoff'!$E$3:$E$194,MATCH(B127,'QS Takeoff'!$B$3:$B$194,0)),"")</f>
        <v/>
      </c>
      <c r="F127" s="81" t="str">
        <f>IFERROR(INDEX('QS Takeoff'!$D$3:$D$194,MATCH(B127,'QS Takeoff'!$B$3:$B$194,0)),"")</f>
        <v/>
      </c>
      <c r="G127" s="81" t="str">
        <f>IFERROR(INDEX('QS Takeoff'!$J$3:$J$194,MATCH(B127,'QS Takeoff'!$B$3:$B$194,0)),"")</f>
        <v/>
      </c>
      <c r="H127" s="53"/>
      <c r="I127" s="60"/>
      <c r="J127" s="60"/>
      <c r="K127" s="82" t="str">
        <f t="shared" si="6"/>
        <v/>
      </c>
      <c r="L127" s="60"/>
      <c r="M127" s="82" t="str">
        <f t="shared" si="7"/>
        <v/>
      </c>
      <c r="N127" s="53"/>
      <c r="O127" s="53"/>
      <c r="P127" s="53"/>
      <c r="Q127" s="81" t="str">
        <f>IFERROR(INDEX('Resource Rate Library'!$C$5:$C$85,MATCH(P127,'Resource Rate Library'!$A$5:$A$85,0)),"")</f>
        <v/>
      </c>
      <c r="R127" s="53"/>
      <c r="S127" s="53"/>
      <c r="T127" s="81" t="str">
        <f>IFERROR(INDEX('Resource Rate Library'!$E$5:$E$85,MATCH(P127,'Resource Rate Library'!$A$5:$A$85,0)),"")</f>
        <v/>
      </c>
      <c r="U127" s="62"/>
      <c r="V127" s="62"/>
      <c r="W127" s="83">
        <f>IFERROR(INDEX('Resource Rate Library'!$I$5:$I$85,MATCH(P127,'Resource Rate Library'!$A$5:$A$85,0)),0)</f>
        <v>0</v>
      </c>
      <c r="X127" s="52"/>
      <c r="Y127" s="83">
        <f t="shared" si="8"/>
        <v>0</v>
      </c>
      <c r="Z127" s="83" t="str">
        <f t="shared" si="9"/>
        <v/>
      </c>
      <c r="AA127" s="81" t="str">
        <f>IFERROR(INDEX('Resource Rate Library'!$N$5:$N$85,MATCH(P127,'Resource Rate Library'!$A$5:$A$85,0)),"")</f>
        <v/>
      </c>
      <c r="AB127" s="53"/>
      <c r="AC127" s="59"/>
      <c r="AD127" s="81" t="str">
        <f>IFERROR(INDEX('Resource Rate Library'!$G$5:$G$85,MATCH(P127,'Resource Rate Library'!$A$5:$A$85,0)),"")</f>
        <v/>
      </c>
      <c r="AE127" s="81" t="str">
        <f>IFERROR(INDEX('Resource Rate Library'!$H$5:$H$85,MATCH(P127,'Resource Rate Library'!$A$5:$A$85,0)),"")</f>
        <v/>
      </c>
      <c r="AF127" s="53"/>
      <c r="AG127" s="53"/>
      <c r="AH127" s="53"/>
      <c r="AI127" s="81" t="str">
        <f t="shared" si="11"/>
        <v/>
      </c>
      <c r="AJ127" s="54"/>
      <c r="AK127" s="197"/>
      <c r="AL127" s="197"/>
      <c r="AM127" s="197"/>
      <c r="AN127" s="199">
        <f>IF(AND(AK127="Yes",OR(O127="Labour",O127="Plant")),Z127,0)</f>
        <v>0</v>
      </c>
    </row>
    <row r="128" spans="1:40" ht="21.95" customHeight="1" x14ac:dyDescent="0.2">
      <c r="A128" s="80" t="str">
        <f>IF(B128="","",B128&amp;"-"&amp;TEXT(COUNTIF($B$7:B128,B128),"000"))</f>
        <v/>
      </c>
      <c r="B128" s="53"/>
      <c r="C128" s="81" t="str">
        <f>IFERROR(INDEX('QS Takeoff'!$A$3:$A$194,MATCH(B128,'QS Takeoff'!$B$3:$B$194,0)),"")</f>
        <v/>
      </c>
      <c r="D128" s="81" t="str">
        <f>IFERROR(INDEX('QS Takeoff'!$C$3:$C$194,MATCH(B128,'QS Takeoff'!$B$3:$B$194,0)),"")</f>
        <v/>
      </c>
      <c r="E128" s="81" t="str">
        <f>IFERROR(INDEX('QS Takeoff'!$E$3:$E$194,MATCH(B128,'QS Takeoff'!$B$3:$B$194,0)),"")</f>
        <v/>
      </c>
      <c r="F128" s="81" t="str">
        <f>IFERROR(INDEX('QS Takeoff'!$D$3:$D$194,MATCH(B128,'QS Takeoff'!$B$3:$B$194,0)),"")</f>
        <v/>
      </c>
      <c r="G128" s="81" t="str">
        <f>IFERROR(INDEX('QS Takeoff'!$J$3:$J$194,MATCH(B128,'QS Takeoff'!$B$3:$B$194,0)),"")</f>
        <v/>
      </c>
      <c r="H128" s="53"/>
      <c r="I128" s="60"/>
      <c r="J128" s="60"/>
      <c r="K128" s="82" t="str">
        <f t="shared" si="6"/>
        <v/>
      </c>
      <c r="L128" s="60"/>
      <c r="M128" s="82" t="str">
        <f t="shared" si="7"/>
        <v/>
      </c>
      <c r="N128" s="53"/>
      <c r="O128" s="53"/>
      <c r="P128" s="53"/>
      <c r="Q128" s="81" t="str">
        <f>IFERROR(INDEX('Resource Rate Library'!$C$5:$C$85,MATCH(P128,'Resource Rate Library'!$A$5:$A$85,0)),"")</f>
        <v/>
      </c>
      <c r="R128" s="53"/>
      <c r="S128" s="53"/>
      <c r="T128" s="81" t="str">
        <f>IFERROR(INDEX('Resource Rate Library'!$E$5:$E$85,MATCH(P128,'Resource Rate Library'!$A$5:$A$85,0)),"")</f>
        <v/>
      </c>
      <c r="U128" s="62"/>
      <c r="V128" s="62"/>
      <c r="W128" s="83">
        <f>IFERROR(INDEX('Resource Rate Library'!$I$5:$I$85,MATCH(P128,'Resource Rate Library'!$A$5:$A$85,0)),0)</f>
        <v>0</v>
      </c>
      <c r="X128" s="52"/>
      <c r="Y128" s="83">
        <f t="shared" si="8"/>
        <v>0</v>
      </c>
      <c r="Z128" s="83" t="str">
        <f t="shared" si="9"/>
        <v/>
      </c>
      <c r="AA128" s="81" t="str">
        <f>IFERROR(INDEX('Resource Rate Library'!$N$5:$N$85,MATCH(P128,'Resource Rate Library'!$A$5:$A$85,0)),"")</f>
        <v/>
      </c>
      <c r="AB128" s="53"/>
      <c r="AC128" s="59"/>
      <c r="AD128" s="81" t="str">
        <f>IFERROR(INDEX('Resource Rate Library'!$G$5:$G$85,MATCH(P128,'Resource Rate Library'!$A$5:$A$85,0)),"")</f>
        <v/>
      </c>
      <c r="AE128" s="81" t="str">
        <f>IFERROR(INDEX('Resource Rate Library'!$H$5:$H$85,MATCH(P128,'Resource Rate Library'!$A$5:$A$85,0)),"")</f>
        <v/>
      </c>
      <c r="AF128" s="53"/>
      <c r="AG128" s="53"/>
      <c r="AH128" s="53"/>
      <c r="AI128" s="81" t="str">
        <f t="shared" si="11"/>
        <v/>
      </c>
      <c r="AJ128" s="54"/>
      <c r="AK128" s="197"/>
      <c r="AL128" s="197"/>
      <c r="AM128" s="197"/>
      <c r="AN128" s="199">
        <f>IF(AND(AK128="Yes",OR(O128="Labour",O128="Plant")),Z128,0)</f>
        <v>0</v>
      </c>
    </row>
    <row r="129" spans="1:40" ht="21.95" customHeight="1" x14ac:dyDescent="0.2">
      <c r="A129" s="80" t="str">
        <f>IF(B129="","",B129&amp;"-"&amp;TEXT(COUNTIF($B$7:B129,B129),"000"))</f>
        <v/>
      </c>
      <c r="B129" s="53"/>
      <c r="C129" s="81" t="str">
        <f>IFERROR(INDEX('QS Takeoff'!$A$3:$A$194,MATCH(B129,'QS Takeoff'!$B$3:$B$194,0)),"")</f>
        <v/>
      </c>
      <c r="D129" s="81" t="str">
        <f>IFERROR(INDEX('QS Takeoff'!$C$3:$C$194,MATCH(B129,'QS Takeoff'!$B$3:$B$194,0)),"")</f>
        <v/>
      </c>
      <c r="E129" s="81" t="str">
        <f>IFERROR(INDEX('QS Takeoff'!$E$3:$E$194,MATCH(B129,'QS Takeoff'!$B$3:$B$194,0)),"")</f>
        <v/>
      </c>
      <c r="F129" s="81" t="str">
        <f>IFERROR(INDEX('QS Takeoff'!$D$3:$D$194,MATCH(B129,'QS Takeoff'!$B$3:$B$194,0)),"")</f>
        <v/>
      </c>
      <c r="G129" s="81" t="str">
        <f>IFERROR(INDEX('QS Takeoff'!$J$3:$J$194,MATCH(B129,'QS Takeoff'!$B$3:$B$194,0)),"")</f>
        <v/>
      </c>
      <c r="H129" s="53"/>
      <c r="I129" s="60"/>
      <c r="J129" s="60"/>
      <c r="K129" s="82" t="str">
        <f t="shared" si="6"/>
        <v/>
      </c>
      <c r="L129" s="60"/>
      <c r="M129" s="82" t="str">
        <f t="shared" si="7"/>
        <v/>
      </c>
      <c r="N129" s="53"/>
      <c r="O129" s="53"/>
      <c r="P129" s="53"/>
      <c r="Q129" s="81" t="str">
        <f>IFERROR(INDEX('Resource Rate Library'!$C$5:$C$85,MATCH(P129,'Resource Rate Library'!$A$5:$A$85,0)),"")</f>
        <v/>
      </c>
      <c r="R129" s="53"/>
      <c r="S129" s="53"/>
      <c r="T129" s="81" t="str">
        <f>IFERROR(INDEX('Resource Rate Library'!$E$5:$E$85,MATCH(P129,'Resource Rate Library'!$A$5:$A$85,0)),"")</f>
        <v/>
      </c>
      <c r="U129" s="62"/>
      <c r="V129" s="62"/>
      <c r="W129" s="83">
        <f>IFERROR(INDEX('Resource Rate Library'!$I$5:$I$85,MATCH(P129,'Resource Rate Library'!$A$5:$A$85,0)),0)</f>
        <v>0</v>
      </c>
      <c r="X129" s="52"/>
      <c r="Y129" s="83">
        <f t="shared" si="8"/>
        <v>0</v>
      </c>
      <c r="Z129" s="83" t="str">
        <f t="shared" si="9"/>
        <v/>
      </c>
      <c r="AA129" s="81" t="str">
        <f>IFERROR(INDEX('Resource Rate Library'!$N$5:$N$85,MATCH(P129,'Resource Rate Library'!$A$5:$A$85,0)),"")</f>
        <v/>
      </c>
      <c r="AB129" s="53"/>
      <c r="AC129" s="59"/>
      <c r="AD129" s="81" t="str">
        <f>IFERROR(INDEX('Resource Rate Library'!$G$5:$G$85,MATCH(P129,'Resource Rate Library'!$A$5:$A$85,0)),"")</f>
        <v/>
      </c>
      <c r="AE129" s="81" t="str">
        <f>IFERROR(INDEX('Resource Rate Library'!$H$5:$H$85,MATCH(P129,'Resource Rate Library'!$A$5:$A$85,0)),"")</f>
        <v/>
      </c>
      <c r="AF129" s="53"/>
      <c r="AG129" s="53"/>
      <c r="AH129" s="53"/>
      <c r="AI129" s="81" t="str">
        <f t="shared" si="11"/>
        <v/>
      </c>
      <c r="AJ129" s="54"/>
      <c r="AK129" s="197"/>
      <c r="AL129" s="197"/>
      <c r="AM129" s="197"/>
      <c r="AN129" s="199">
        <f>IF(AND(AK129="Yes",OR(O129="Labour",O129="Plant")),Z129,0)</f>
        <v>0</v>
      </c>
    </row>
    <row r="130" spans="1:40" ht="21.95" customHeight="1" x14ac:dyDescent="0.2">
      <c r="A130" s="80" t="str">
        <f>IF(B130="","",B130&amp;"-"&amp;TEXT(COUNTIF($B$7:B130,B130),"000"))</f>
        <v/>
      </c>
      <c r="B130" s="53"/>
      <c r="C130" s="81" t="str">
        <f>IFERROR(INDEX('QS Takeoff'!$A$3:$A$194,MATCH(B130,'QS Takeoff'!$B$3:$B$194,0)),"")</f>
        <v/>
      </c>
      <c r="D130" s="81" t="str">
        <f>IFERROR(INDEX('QS Takeoff'!$C$3:$C$194,MATCH(B130,'QS Takeoff'!$B$3:$B$194,0)),"")</f>
        <v/>
      </c>
      <c r="E130" s="81" t="str">
        <f>IFERROR(INDEX('QS Takeoff'!$E$3:$E$194,MATCH(B130,'QS Takeoff'!$B$3:$B$194,0)),"")</f>
        <v/>
      </c>
      <c r="F130" s="81" t="str">
        <f>IFERROR(INDEX('QS Takeoff'!$D$3:$D$194,MATCH(B130,'QS Takeoff'!$B$3:$B$194,0)),"")</f>
        <v/>
      </c>
      <c r="G130" s="81" t="str">
        <f>IFERROR(INDEX('QS Takeoff'!$J$3:$J$194,MATCH(B130,'QS Takeoff'!$B$3:$B$194,0)),"")</f>
        <v/>
      </c>
      <c r="H130" s="53"/>
      <c r="I130" s="60"/>
      <c r="J130" s="60"/>
      <c r="K130" s="82" t="str">
        <f t="shared" si="6"/>
        <v/>
      </c>
      <c r="L130" s="60"/>
      <c r="M130" s="82" t="str">
        <f t="shared" si="7"/>
        <v/>
      </c>
      <c r="N130" s="53"/>
      <c r="O130" s="53"/>
      <c r="P130" s="53"/>
      <c r="Q130" s="81" t="str">
        <f>IFERROR(INDEX('Resource Rate Library'!$C$5:$C$85,MATCH(P130,'Resource Rate Library'!$A$5:$A$85,0)),"")</f>
        <v/>
      </c>
      <c r="R130" s="53"/>
      <c r="S130" s="53"/>
      <c r="T130" s="81" t="str">
        <f>IFERROR(INDEX('Resource Rate Library'!$E$5:$E$85,MATCH(P130,'Resource Rate Library'!$A$5:$A$85,0)),"")</f>
        <v/>
      </c>
      <c r="U130" s="62"/>
      <c r="V130" s="62"/>
      <c r="W130" s="83">
        <f>IFERROR(INDEX('Resource Rate Library'!$I$5:$I$85,MATCH(P130,'Resource Rate Library'!$A$5:$A$85,0)),0)</f>
        <v>0</v>
      </c>
      <c r="X130" s="52"/>
      <c r="Y130" s="83">
        <f t="shared" si="8"/>
        <v>0</v>
      </c>
      <c r="Z130" s="83" t="str">
        <f t="shared" si="9"/>
        <v/>
      </c>
      <c r="AA130" s="81" t="str">
        <f>IFERROR(INDEX('Resource Rate Library'!$N$5:$N$85,MATCH(P130,'Resource Rate Library'!$A$5:$A$85,0)),"")</f>
        <v/>
      </c>
      <c r="AB130" s="53"/>
      <c r="AC130" s="59"/>
      <c r="AD130" s="81" t="str">
        <f>IFERROR(INDEX('Resource Rate Library'!$G$5:$G$85,MATCH(P130,'Resource Rate Library'!$A$5:$A$85,0)),"")</f>
        <v/>
      </c>
      <c r="AE130" s="81" t="str">
        <f>IFERROR(INDEX('Resource Rate Library'!$H$5:$H$85,MATCH(P130,'Resource Rate Library'!$A$5:$A$85,0)),"")</f>
        <v/>
      </c>
      <c r="AF130" s="53"/>
      <c r="AG130" s="53"/>
      <c r="AH130" s="53"/>
      <c r="AI130" s="81" t="str">
        <f t="shared" si="11"/>
        <v/>
      </c>
      <c r="AJ130" s="54"/>
      <c r="AK130" s="197"/>
      <c r="AL130" s="197"/>
      <c r="AM130" s="197"/>
      <c r="AN130" s="199">
        <f>IF(AND(AK130="Yes",OR(O130="Labour",O130="Plant")),Z130,0)</f>
        <v>0</v>
      </c>
    </row>
    <row r="131" spans="1:40" ht="21.95" customHeight="1" x14ac:dyDescent="0.2">
      <c r="A131" s="80" t="str">
        <f>IF(B131="","",B131&amp;"-"&amp;TEXT(COUNTIF($B$7:B131,B131),"000"))</f>
        <v/>
      </c>
      <c r="B131" s="53"/>
      <c r="C131" s="81" t="str">
        <f>IFERROR(INDEX('QS Takeoff'!$A$3:$A$194,MATCH(B131,'QS Takeoff'!$B$3:$B$194,0)),"")</f>
        <v/>
      </c>
      <c r="D131" s="81" t="str">
        <f>IFERROR(INDEX('QS Takeoff'!$C$3:$C$194,MATCH(B131,'QS Takeoff'!$B$3:$B$194,0)),"")</f>
        <v/>
      </c>
      <c r="E131" s="81" t="str">
        <f>IFERROR(INDEX('QS Takeoff'!$E$3:$E$194,MATCH(B131,'QS Takeoff'!$B$3:$B$194,0)),"")</f>
        <v/>
      </c>
      <c r="F131" s="81" t="str">
        <f>IFERROR(INDEX('QS Takeoff'!$D$3:$D$194,MATCH(B131,'QS Takeoff'!$B$3:$B$194,0)),"")</f>
        <v/>
      </c>
      <c r="G131" s="81" t="str">
        <f>IFERROR(INDEX('QS Takeoff'!$J$3:$J$194,MATCH(B131,'QS Takeoff'!$B$3:$B$194,0)),"")</f>
        <v/>
      </c>
      <c r="H131" s="53"/>
      <c r="I131" s="60"/>
      <c r="J131" s="60"/>
      <c r="K131" s="82" t="str">
        <f t="shared" si="6"/>
        <v/>
      </c>
      <c r="L131" s="60"/>
      <c r="M131" s="82" t="str">
        <f t="shared" si="7"/>
        <v/>
      </c>
      <c r="N131" s="53"/>
      <c r="O131" s="53"/>
      <c r="P131" s="53"/>
      <c r="Q131" s="81" t="str">
        <f>IFERROR(INDEX('Resource Rate Library'!$C$5:$C$85,MATCH(P131,'Resource Rate Library'!$A$5:$A$85,0)),"")</f>
        <v/>
      </c>
      <c r="R131" s="53"/>
      <c r="S131" s="53"/>
      <c r="T131" s="81" t="str">
        <f>IFERROR(INDEX('Resource Rate Library'!$E$5:$E$85,MATCH(P131,'Resource Rate Library'!$A$5:$A$85,0)),"")</f>
        <v/>
      </c>
      <c r="U131" s="62"/>
      <c r="V131" s="62"/>
      <c r="W131" s="83">
        <f>IFERROR(INDEX('Resource Rate Library'!$I$5:$I$85,MATCH(P131,'Resource Rate Library'!$A$5:$A$85,0)),0)</f>
        <v>0</v>
      </c>
      <c r="X131" s="52"/>
      <c r="Y131" s="83">
        <f t="shared" si="8"/>
        <v>0</v>
      </c>
      <c r="Z131" s="83" t="str">
        <f t="shared" si="9"/>
        <v/>
      </c>
      <c r="AA131" s="81" t="str">
        <f>IFERROR(INDEX('Resource Rate Library'!$N$5:$N$85,MATCH(P131,'Resource Rate Library'!$A$5:$A$85,0)),"")</f>
        <v/>
      </c>
      <c r="AB131" s="53"/>
      <c r="AC131" s="59"/>
      <c r="AD131" s="81" t="str">
        <f>IFERROR(INDEX('Resource Rate Library'!$G$5:$G$85,MATCH(P131,'Resource Rate Library'!$A$5:$A$85,0)),"")</f>
        <v/>
      </c>
      <c r="AE131" s="81" t="str">
        <f>IFERROR(INDEX('Resource Rate Library'!$H$5:$H$85,MATCH(P131,'Resource Rate Library'!$A$5:$A$85,0)),"")</f>
        <v/>
      </c>
      <c r="AF131" s="53"/>
      <c r="AG131" s="53"/>
      <c r="AH131" s="53"/>
      <c r="AI131" s="81" t="str">
        <f t="shared" si="11"/>
        <v/>
      </c>
      <c r="AJ131" s="54"/>
      <c r="AK131" s="197"/>
      <c r="AL131" s="197"/>
      <c r="AM131" s="197"/>
      <c r="AN131" s="199">
        <f>IF(AND(AK131="Yes",OR(O131="Labour",O131="Plant")),Z131,0)</f>
        <v>0</v>
      </c>
    </row>
    <row r="132" spans="1:40" ht="21.95" customHeight="1" x14ac:dyDescent="0.2">
      <c r="A132" s="80" t="str">
        <f>IF(B132="","",B132&amp;"-"&amp;TEXT(COUNTIF($B$7:B132,B132),"000"))</f>
        <v/>
      </c>
      <c r="B132" s="53"/>
      <c r="C132" s="81" t="str">
        <f>IFERROR(INDEX('QS Takeoff'!$A$3:$A$194,MATCH(B132,'QS Takeoff'!$B$3:$B$194,0)),"")</f>
        <v/>
      </c>
      <c r="D132" s="81" t="str">
        <f>IFERROR(INDEX('QS Takeoff'!$C$3:$C$194,MATCH(B132,'QS Takeoff'!$B$3:$B$194,0)),"")</f>
        <v/>
      </c>
      <c r="E132" s="81" t="str">
        <f>IFERROR(INDEX('QS Takeoff'!$E$3:$E$194,MATCH(B132,'QS Takeoff'!$B$3:$B$194,0)),"")</f>
        <v/>
      </c>
      <c r="F132" s="81" t="str">
        <f>IFERROR(INDEX('QS Takeoff'!$D$3:$D$194,MATCH(B132,'QS Takeoff'!$B$3:$B$194,0)),"")</f>
        <v/>
      </c>
      <c r="G132" s="81" t="str">
        <f>IFERROR(INDEX('QS Takeoff'!$J$3:$J$194,MATCH(B132,'QS Takeoff'!$B$3:$B$194,0)),"")</f>
        <v/>
      </c>
      <c r="H132" s="53"/>
      <c r="I132" s="60"/>
      <c r="J132" s="60"/>
      <c r="K132" s="82" t="str">
        <f t="shared" si="6"/>
        <v/>
      </c>
      <c r="L132" s="60"/>
      <c r="M132" s="82" t="str">
        <f t="shared" si="7"/>
        <v/>
      </c>
      <c r="N132" s="53"/>
      <c r="O132" s="53"/>
      <c r="P132" s="53"/>
      <c r="Q132" s="81" t="str">
        <f>IFERROR(INDEX('Resource Rate Library'!$C$5:$C$85,MATCH(P132,'Resource Rate Library'!$A$5:$A$85,0)),"")</f>
        <v/>
      </c>
      <c r="R132" s="53"/>
      <c r="S132" s="53"/>
      <c r="T132" s="81" t="str">
        <f>IFERROR(INDEX('Resource Rate Library'!$E$5:$E$85,MATCH(P132,'Resource Rate Library'!$A$5:$A$85,0)),"")</f>
        <v/>
      </c>
      <c r="U132" s="62"/>
      <c r="V132" s="62"/>
      <c r="W132" s="83">
        <f>IFERROR(INDEX('Resource Rate Library'!$I$5:$I$85,MATCH(P132,'Resource Rate Library'!$A$5:$A$85,0)),0)</f>
        <v>0</v>
      </c>
      <c r="X132" s="52"/>
      <c r="Y132" s="83">
        <f t="shared" si="8"/>
        <v>0</v>
      </c>
      <c r="Z132" s="83" t="str">
        <f t="shared" si="9"/>
        <v/>
      </c>
      <c r="AA132" s="81" t="str">
        <f>IFERROR(INDEX('Resource Rate Library'!$N$5:$N$85,MATCH(P132,'Resource Rate Library'!$A$5:$A$85,0)),"")</f>
        <v/>
      </c>
      <c r="AB132" s="53"/>
      <c r="AC132" s="59"/>
      <c r="AD132" s="81" t="str">
        <f>IFERROR(INDEX('Resource Rate Library'!$G$5:$G$85,MATCH(P132,'Resource Rate Library'!$A$5:$A$85,0)),"")</f>
        <v/>
      </c>
      <c r="AE132" s="81" t="str">
        <f>IFERROR(INDEX('Resource Rate Library'!$H$5:$H$85,MATCH(P132,'Resource Rate Library'!$A$5:$A$85,0)),"")</f>
        <v/>
      </c>
      <c r="AF132" s="53"/>
      <c r="AG132" s="53"/>
      <c r="AH132" s="53"/>
      <c r="AI132" s="81" t="str">
        <f t="shared" si="11"/>
        <v/>
      </c>
      <c r="AJ132" s="54"/>
      <c r="AK132" s="197"/>
      <c r="AL132" s="197"/>
      <c r="AM132" s="197"/>
      <c r="AN132" s="199">
        <f>IF(AND(AK132="Yes",OR(O132="Labour",O132="Plant")),Z132,0)</f>
        <v>0</v>
      </c>
    </row>
    <row r="133" spans="1:40" ht="21.95" customHeight="1" x14ac:dyDescent="0.2">
      <c r="A133" s="80" t="str">
        <f>IF(B133="","",B133&amp;"-"&amp;TEXT(COUNTIF($B$7:B133,B133),"000"))</f>
        <v/>
      </c>
      <c r="B133" s="53"/>
      <c r="C133" s="81" t="str">
        <f>IFERROR(INDEX('QS Takeoff'!$A$3:$A$194,MATCH(B133,'QS Takeoff'!$B$3:$B$194,0)),"")</f>
        <v/>
      </c>
      <c r="D133" s="81" t="str">
        <f>IFERROR(INDEX('QS Takeoff'!$C$3:$C$194,MATCH(B133,'QS Takeoff'!$B$3:$B$194,0)),"")</f>
        <v/>
      </c>
      <c r="E133" s="81" t="str">
        <f>IFERROR(INDEX('QS Takeoff'!$E$3:$E$194,MATCH(B133,'QS Takeoff'!$B$3:$B$194,0)),"")</f>
        <v/>
      </c>
      <c r="F133" s="81" t="str">
        <f>IFERROR(INDEX('QS Takeoff'!$D$3:$D$194,MATCH(B133,'QS Takeoff'!$B$3:$B$194,0)),"")</f>
        <v/>
      </c>
      <c r="G133" s="81" t="str">
        <f>IFERROR(INDEX('QS Takeoff'!$J$3:$J$194,MATCH(B133,'QS Takeoff'!$B$3:$B$194,0)),"")</f>
        <v/>
      </c>
      <c r="H133" s="53"/>
      <c r="I133" s="60"/>
      <c r="J133" s="60"/>
      <c r="K133" s="82" t="str">
        <f t="shared" si="6"/>
        <v/>
      </c>
      <c r="L133" s="60"/>
      <c r="M133" s="82" t="str">
        <f t="shared" si="7"/>
        <v/>
      </c>
      <c r="N133" s="53"/>
      <c r="O133" s="53"/>
      <c r="P133" s="53"/>
      <c r="Q133" s="81" t="str">
        <f>IFERROR(INDEX('Resource Rate Library'!$C$5:$C$85,MATCH(P133,'Resource Rate Library'!$A$5:$A$85,0)),"")</f>
        <v/>
      </c>
      <c r="R133" s="53"/>
      <c r="S133" s="53"/>
      <c r="T133" s="81" t="str">
        <f>IFERROR(INDEX('Resource Rate Library'!$E$5:$E$85,MATCH(P133,'Resource Rate Library'!$A$5:$A$85,0)),"")</f>
        <v/>
      </c>
      <c r="U133" s="62"/>
      <c r="V133" s="62"/>
      <c r="W133" s="83">
        <f>IFERROR(INDEX('Resource Rate Library'!$I$5:$I$85,MATCH(P133,'Resource Rate Library'!$A$5:$A$85,0)),0)</f>
        <v>0</v>
      </c>
      <c r="X133" s="52"/>
      <c r="Y133" s="83">
        <f t="shared" si="8"/>
        <v>0</v>
      </c>
      <c r="Z133" s="83" t="str">
        <f t="shared" si="9"/>
        <v/>
      </c>
      <c r="AA133" s="81" t="str">
        <f>IFERROR(INDEX('Resource Rate Library'!$N$5:$N$85,MATCH(P133,'Resource Rate Library'!$A$5:$A$85,0)),"")</f>
        <v/>
      </c>
      <c r="AB133" s="53"/>
      <c r="AC133" s="59"/>
      <c r="AD133" s="81" t="str">
        <f>IFERROR(INDEX('Resource Rate Library'!$G$5:$G$85,MATCH(P133,'Resource Rate Library'!$A$5:$A$85,0)),"")</f>
        <v/>
      </c>
      <c r="AE133" s="81" t="str">
        <f>IFERROR(INDEX('Resource Rate Library'!$H$5:$H$85,MATCH(P133,'Resource Rate Library'!$A$5:$A$85,0)),"")</f>
        <v/>
      </c>
      <c r="AF133" s="53"/>
      <c r="AG133" s="53"/>
      <c r="AH133" s="53"/>
      <c r="AI133" s="81" t="str">
        <f t="shared" si="11"/>
        <v/>
      </c>
      <c r="AJ133" s="54"/>
      <c r="AK133" s="197"/>
      <c r="AL133" s="197"/>
      <c r="AM133" s="197"/>
      <c r="AN133" s="199">
        <f>IF(AND(AK133="Yes",OR(O133="Labour",O133="Plant")),Z133,0)</f>
        <v>0</v>
      </c>
    </row>
    <row r="134" spans="1:40" ht="21.95" customHeight="1" x14ac:dyDescent="0.2">
      <c r="A134" s="80" t="str">
        <f>IF(B134="","",B134&amp;"-"&amp;TEXT(COUNTIF($B$7:B134,B134),"000"))</f>
        <v/>
      </c>
      <c r="B134" s="53"/>
      <c r="C134" s="81" t="str">
        <f>IFERROR(INDEX('QS Takeoff'!$A$3:$A$194,MATCH(B134,'QS Takeoff'!$B$3:$B$194,0)),"")</f>
        <v/>
      </c>
      <c r="D134" s="81" t="str">
        <f>IFERROR(INDEX('QS Takeoff'!$C$3:$C$194,MATCH(B134,'QS Takeoff'!$B$3:$B$194,0)),"")</f>
        <v/>
      </c>
      <c r="E134" s="81" t="str">
        <f>IFERROR(INDEX('QS Takeoff'!$E$3:$E$194,MATCH(B134,'QS Takeoff'!$B$3:$B$194,0)),"")</f>
        <v/>
      </c>
      <c r="F134" s="81" t="str">
        <f>IFERROR(INDEX('QS Takeoff'!$D$3:$D$194,MATCH(B134,'QS Takeoff'!$B$3:$B$194,0)),"")</f>
        <v/>
      </c>
      <c r="G134" s="81" t="str">
        <f>IFERROR(INDEX('QS Takeoff'!$J$3:$J$194,MATCH(B134,'QS Takeoff'!$B$3:$B$194,0)),"")</f>
        <v/>
      </c>
      <c r="H134" s="53"/>
      <c r="I134" s="60"/>
      <c r="J134" s="60"/>
      <c r="K134" s="82" t="str">
        <f t="shared" si="6"/>
        <v/>
      </c>
      <c r="L134" s="60"/>
      <c r="M134" s="82" t="str">
        <f t="shared" si="7"/>
        <v/>
      </c>
      <c r="N134" s="53"/>
      <c r="O134" s="53"/>
      <c r="P134" s="53"/>
      <c r="Q134" s="81" t="str">
        <f>IFERROR(INDEX('Resource Rate Library'!$C$5:$C$85,MATCH(P134,'Resource Rate Library'!$A$5:$A$85,0)),"")</f>
        <v/>
      </c>
      <c r="R134" s="53"/>
      <c r="S134" s="53"/>
      <c r="T134" s="81" t="str">
        <f>IFERROR(INDEX('Resource Rate Library'!$E$5:$E$85,MATCH(P134,'Resource Rate Library'!$A$5:$A$85,0)),"")</f>
        <v/>
      </c>
      <c r="U134" s="62"/>
      <c r="V134" s="62"/>
      <c r="W134" s="83">
        <f>IFERROR(INDEX('Resource Rate Library'!$I$5:$I$85,MATCH(P134,'Resource Rate Library'!$A$5:$A$85,0)),0)</f>
        <v>0</v>
      </c>
      <c r="X134" s="52"/>
      <c r="Y134" s="83">
        <f t="shared" si="8"/>
        <v>0</v>
      </c>
      <c r="Z134" s="83" t="str">
        <f t="shared" si="9"/>
        <v/>
      </c>
      <c r="AA134" s="81" t="str">
        <f>IFERROR(INDEX('Resource Rate Library'!$N$5:$N$85,MATCH(P134,'Resource Rate Library'!$A$5:$A$85,0)),"")</f>
        <v/>
      </c>
      <c r="AB134" s="53"/>
      <c r="AC134" s="59"/>
      <c r="AD134" s="81" t="str">
        <f>IFERROR(INDEX('Resource Rate Library'!$G$5:$G$85,MATCH(P134,'Resource Rate Library'!$A$5:$A$85,0)),"")</f>
        <v/>
      </c>
      <c r="AE134" s="81" t="str">
        <f>IFERROR(INDEX('Resource Rate Library'!$H$5:$H$85,MATCH(P134,'Resource Rate Library'!$A$5:$A$85,0)),"")</f>
        <v/>
      </c>
      <c r="AF134" s="53"/>
      <c r="AG134" s="53"/>
      <c r="AH134" s="53"/>
      <c r="AI134" s="81" t="str">
        <f t="shared" si="11"/>
        <v/>
      </c>
      <c r="AJ134" s="54"/>
      <c r="AK134" s="197"/>
      <c r="AL134" s="197"/>
      <c r="AM134" s="197"/>
      <c r="AN134" s="199">
        <f>IF(AND(AK134="Yes",OR(O134="Labour",O134="Plant")),Z134,0)</f>
        <v>0</v>
      </c>
    </row>
    <row r="135" spans="1:40" ht="21.95" customHeight="1" x14ac:dyDescent="0.2">
      <c r="A135" s="80" t="str">
        <f>IF(B135="","",B135&amp;"-"&amp;TEXT(COUNTIF($B$7:B135,B135),"000"))</f>
        <v/>
      </c>
      <c r="B135" s="53"/>
      <c r="C135" s="81" t="str">
        <f>IFERROR(INDEX('QS Takeoff'!$A$3:$A$194,MATCH(B135,'QS Takeoff'!$B$3:$B$194,0)),"")</f>
        <v/>
      </c>
      <c r="D135" s="81" t="str">
        <f>IFERROR(INDEX('QS Takeoff'!$C$3:$C$194,MATCH(B135,'QS Takeoff'!$B$3:$B$194,0)),"")</f>
        <v/>
      </c>
      <c r="E135" s="81" t="str">
        <f>IFERROR(INDEX('QS Takeoff'!$E$3:$E$194,MATCH(B135,'QS Takeoff'!$B$3:$B$194,0)),"")</f>
        <v/>
      </c>
      <c r="F135" s="81" t="str">
        <f>IFERROR(INDEX('QS Takeoff'!$D$3:$D$194,MATCH(B135,'QS Takeoff'!$B$3:$B$194,0)),"")</f>
        <v/>
      </c>
      <c r="G135" s="81" t="str">
        <f>IFERROR(INDEX('QS Takeoff'!$J$3:$J$194,MATCH(B135,'QS Takeoff'!$B$3:$B$194,0)),"")</f>
        <v/>
      </c>
      <c r="H135" s="53"/>
      <c r="I135" s="60"/>
      <c r="J135" s="60"/>
      <c r="K135" s="82" t="str">
        <f t="shared" ref="K135:K198" si="12">IF(OR(B135="",I135="",I135=0),"",E135/I135)</f>
        <v/>
      </c>
      <c r="L135" s="60"/>
      <c r="M135" s="82" t="str">
        <f t="shared" ref="M135:M198" si="13">IF(L135&gt;0,L135,K135)</f>
        <v/>
      </c>
      <c r="N135" s="53"/>
      <c r="O135" s="53"/>
      <c r="P135" s="53"/>
      <c r="Q135" s="81" t="str">
        <f>IFERROR(INDEX('Resource Rate Library'!$C$5:$C$85,MATCH(P135,'Resource Rate Library'!$A$5:$A$85,0)),"")</f>
        <v/>
      </c>
      <c r="R135" s="53"/>
      <c r="S135" s="53"/>
      <c r="T135" s="81" t="str">
        <f>IFERROR(INDEX('Resource Rate Library'!$E$5:$E$85,MATCH(P135,'Resource Rate Library'!$A$5:$A$85,0)),"")</f>
        <v/>
      </c>
      <c r="U135" s="62"/>
      <c r="V135" s="62"/>
      <c r="W135" s="83">
        <f>IFERROR(INDEX('Resource Rate Library'!$I$5:$I$85,MATCH(P135,'Resource Rate Library'!$A$5:$A$85,0)),0)</f>
        <v>0</v>
      </c>
      <c r="X135" s="52"/>
      <c r="Y135" s="83">
        <f t="shared" ref="Y135:Y198" si="14">IF(X135&gt;0,X135,W135)</f>
        <v>0</v>
      </c>
      <c r="Z135" s="83" t="str">
        <f t="shared" ref="Z135:Z198" si="15">IF(B135="","",IF(N135="Time x Count",M135*R135*IF(U135="",1,U135)*Y135,IF(N135="QS Qty x Factor",E135*R135*(1+IF(V135="",0,V135))*Y135,IF(N135="Direct Qty",S135*(1+IF(V135="",0,V135))*Y135,IF(N135="Lump Sum / Quote",S135*Y135,0)))))</f>
        <v/>
      </c>
      <c r="AA135" s="81" t="str">
        <f>IFERROR(INDEX('Resource Rate Library'!$N$5:$N$85,MATCH(P135,'Resource Rate Library'!$A$5:$A$85,0)),"")</f>
        <v/>
      </c>
      <c r="AB135" s="53"/>
      <c r="AC135" s="59"/>
      <c r="AD135" s="81" t="str">
        <f>IFERROR(INDEX('Resource Rate Library'!$G$5:$G$85,MATCH(P135,'Resource Rate Library'!$A$5:$A$85,0)),"")</f>
        <v/>
      </c>
      <c r="AE135" s="81" t="str">
        <f>IFERROR(INDEX('Resource Rate Library'!$H$5:$H$85,MATCH(P135,'Resource Rate Library'!$A$5:$A$85,0)),"")</f>
        <v/>
      </c>
      <c r="AF135" s="53"/>
      <c r="AG135" s="53"/>
      <c r="AH135" s="53"/>
      <c r="AI135" s="81" t="str">
        <f t="shared" si="11"/>
        <v/>
      </c>
      <c r="AJ135" s="54"/>
      <c r="AK135" s="197"/>
      <c r="AL135" s="197"/>
      <c r="AM135" s="197"/>
      <c r="AN135" s="199">
        <f>IF(AND(AK135="Yes",OR(O135="Labour",O135="Plant")),Z135,0)</f>
        <v>0</v>
      </c>
    </row>
    <row r="136" spans="1:40" x14ac:dyDescent="0.2">
      <c r="A136" s="80" t="str">
        <f>IF(B136="","",B136&amp;"-"&amp;TEXT(COUNTIF($B$7:B136,B136),"000"))</f>
        <v/>
      </c>
      <c r="B136" s="53"/>
      <c r="C136" s="81" t="str">
        <f>IFERROR(INDEX('QS Takeoff'!$A$3:$A$194,MATCH(B136,'QS Takeoff'!$B$3:$B$194,0)),"")</f>
        <v/>
      </c>
      <c r="D136" s="81" t="str">
        <f>IFERROR(INDEX('QS Takeoff'!$C$3:$C$194,MATCH(B136,'QS Takeoff'!$B$3:$B$194,0)),"")</f>
        <v/>
      </c>
      <c r="E136" s="81" t="str">
        <f>IFERROR(INDEX('QS Takeoff'!$E$3:$E$194,MATCH(B136,'QS Takeoff'!$B$3:$B$194,0)),"")</f>
        <v/>
      </c>
      <c r="F136" s="81" t="str">
        <f>IFERROR(INDEX('QS Takeoff'!$D$3:$D$194,MATCH(B136,'QS Takeoff'!$B$3:$B$194,0)),"")</f>
        <v/>
      </c>
      <c r="G136" s="81" t="str">
        <f>IFERROR(INDEX('QS Takeoff'!$J$3:$J$194,MATCH(B136,'QS Takeoff'!$B$3:$B$194,0)),"")</f>
        <v/>
      </c>
      <c r="H136" s="53"/>
      <c r="I136" s="60"/>
      <c r="J136" s="60"/>
      <c r="K136" s="82" t="str">
        <f t="shared" si="12"/>
        <v/>
      </c>
      <c r="L136" s="60"/>
      <c r="M136" s="82" t="str">
        <f t="shared" si="13"/>
        <v/>
      </c>
      <c r="N136" s="53"/>
      <c r="O136" s="53"/>
      <c r="P136" s="53"/>
      <c r="Q136" s="81" t="str">
        <f>IFERROR(INDEX('Resource Rate Library'!$C$5:$C$85,MATCH(P136,'Resource Rate Library'!$A$5:$A$85,0)),"")</f>
        <v/>
      </c>
      <c r="R136" s="53"/>
      <c r="S136" s="53"/>
      <c r="T136" s="81" t="str">
        <f>IFERROR(INDEX('Resource Rate Library'!$E$5:$E$85,MATCH(P136,'Resource Rate Library'!$A$5:$A$85,0)),"")</f>
        <v/>
      </c>
      <c r="U136" s="62"/>
      <c r="V136" s="62"/>
      <c r="W136" s="83">
        <f>IFERROR(INDEX('Resource Rate Library'!$I$5:$I$85,MATCH(P136,'Resource Rate Library'!$A$5:$A$85,0)),0)</f>
        <v>0</v>
      </c>
      <c r="X136" s="52"/>
      <c r="Y136" s="83">
        <f t="shared" si="14"/>
        <v>0</v>
      </c>
      <c r="Z136" s="83" t="str">
        <f t="shared" si="15"/>
        <v/>
      </c>
      <c r="AA136" s="81" t="str">
        <f>IFERROR(INDEX('Resource Rate Library'!$N$5:$N$85,MATCH(P136,'Resource Rate Library'!$A$5:$A$85,0)),"")</f>
        <v/>
      </c>
      <c r="AB136" s="53"/>
      <c r="AC136" s="59"/>
      <c r="AD136" s="81" t="str">
        <f>IFERROR(INDEX('Resource Rate Library'!$G$5:$G$85,MATCH(P136,'Resource Rate Library'!$A$5:$A$85,0)),"")</f>
        <v/>
      </c>
      <c r="AE136" s="81" t="str">
        <f>IFERROR(INDEX('Resource Rate Library'!$H$5:$H$85,MATCH(P136,'Resource Rate Library'!$A$5:$A$85,0)),"")</f>
        <v/>
      </c>
      <c r="AF136" s="53"/>
      <c r="AG136" s="53"/>
      <c r="AH136" s="53"/>
      <c r="AI136" s="81" t="str">
        <f t="shared" si="11"/>
        <v/>
      </c>
      <c r="AJ136" s="54"/>
      <c r="AK136" s="197"/>
      <c r="AL136" s="197"/>
      <c r="AM136" s="197"/>
      <c r="AN136" s="199">
        <f>IF(AND(AK136="Yes",OR(O136="Labour",O136="Plant")),Z136,0)</f>
        <v>0</v>
      </c>
    </row>
    <row r="137" spans="1:40" x14ac:dyDescent="0.2">
      <c r="A137" s="80" t="str">
        <f>IF(B137="","",B137&amp;"-"&amp;TEXT(COUNTIF($B$7:B137,B137),"000"))</f>
        <v/>
      </c>
      <c r="B137" s="53"/>
      <c r="C137" s="81" t="str">
        <f>IFERROR(INDEX('QS Takeoff'!$A$3:$A$194,MATCH(B137,'QS Takeoff'!$B$3:$B$194,0)),"")</f>
        <v/>
      </c>
      <c r="D137" s="81" t="str">
        <f>IFERROR(INDEX('QS Takeoff'!$C$3:$C$194,MATCH(B137,'QS Takeoff'!$B$3:$B$194,0)),"")</f>
        <v/>
      </c>
      <c r="E137" s="81" t="str">
        <f>IFERROR(INDEX('QS Takeoff'!$E$3:$E$194,MATCH(B137,'QS Takeoff'!$B$3:$B$194,0)),"")</f>
        <v/>
      </c>
      <c r="F137" s="81" t="str">
        <f>IFERROR(INDEX('QS Takeoff'!$D$3:$D$194,MATCH(B137,'QS Takeoff'!$B$3:$B$194,0)),"")</f>
        <v/>
      </c>
      <c r="G137" s="81" t="str">
        <f>IFERROR(INDEX('QS Takeoff'!$J$3:$J$194,MATCH(B137,'QS Takeoff'!$B$3:$B$194,0)),"")</f>
        <v/>
      </c>
      <c r="H137" s="53"/>
      <c r="I137" s="60"/>
      <c r="J137" s="60"/>
      <c r="K137" s="82" t="str">
        <f t="shared" si="12"/>
        <v/>
      </c>
      <c r="L137" s="60"/>
      <c r="M137" s="82" t="str">
        <f t="shared" si="13"/>
        <v/>
      </c>
      <c r="N137" s="53"/>
      <c r="O137" s="53"/>
      <c r="P137" s="53"/>
      <c r="Q137" s="81" t="str">
        <f>IFERROR(INDEX('Resource Rate Library'!$C$5:$C$85,MATCH(P137,'Resource Rate Library'!$A$5:$A$85,0)),"")</f>
        <v/>
      </c>
      <c r="R137" s="53"/>
      <c r="S137" s="53"/>
      <c r="T137" s="81" t="str">
        <f>IFERROR(INDEX('Resource Rate Library'!$E$5:$E$85,MATCH(P137,'Resource Rate Library'!$A$5:$A$85,0)),"")</f>
        <v/>
      </c>
      <c r="U137" s="62"/>
      <c r="V137" s="62"/>
      <c r="W137" s="83">
        <f>IFERROR(INDEX('Resource Rate Library'!$I$5:$I$85,MATCH(P137,'Resource Rate Library'!$A$5:$A$85,0)),0)</f>
        <v>0</v>
      </c>
      <c r="X137" s="52"/>
      <c r="Y137" s="83">
        <f t="shared" si="14"/>
        <v>0</v>
      </c>
      <c r="Z137" s="83" t="str">
        <f t="shared" si="15"/>
        <v/>
      </c>
      <c r="AA137" s="81" t="str">
        <f>IFERROR(INDEX('Resource Rate Library'!$N$5:$N$85,MATCH(P137,'Resource Rate Library'!$A$5:$A$85,0)),"")</f>
        <v/>
      </c>
      <c r="AB137" s="53"/>
      <c r="AC137" s="59"/>
      <c r="AD137" s="81" t="str">
        <f>IFERROR(INDEX('Resource Rate Library'!$G$5:$G$85,MATCH(P137,'Resource Rate Library'!$A$5:$A$85,0)),"")</f>
        <v/>
      </c>
      <c r="AE137" s="81" t="str">
        <f>IFERROR(INDEX('Resource Rate Library'!$H$5:$H$85,MATCH(P137,'Resource Rate Library'!$A$5:$A$85,0)),"")</f>
        <v/>
      </c>
      <c r="AF137" s="53"/>
      <c r="AG137" s="53"/>
      <c r="AH137" s="53"/>
      <c r="AI137" s="81" t="str">
        <f t="shared" si="11"/>
        <v/>
      </c>
      <c r="AJ137" s="54"/>
      <c r="AK137" s="197"/>
      <c r="AL137" s="197"/>
      <c r="AM137" s="197"/>
      <c r="AN137" s="199">
        <f>IF(AND(AK137="Yes",OR(O137="Labour",O137="Plant")),Z137,0)</f>
        <v>0</v>
      </c>
    </row>
    <row r="138" spans="1:40" x14ac:dyDescent="0.2">
      <c r="A138" s="80" t="str">
        <f>IF(B138="","",B138&amp;"-"&amp;TEXT(COUNTIF($B$7:B138,B138),"000"))</f>
        <v/>
      </c>
      <c r="B138" s="53"/>
      <c r="C138" s="81" t="str">
        <f>IFERROR(INDEX('QS Takeoff'!$A$3:$A$194,MATCH(B138,'QS Takeoff'!$B$3:$B$194,0)),"")</f>
        <v/>
      </c>
      <c r="D138" s="81" t="str">
        <f>IFERROR(INDEX('QS Takeoff'!$C$3:$C$194,MATCH(B138,'QS Takeoff'!$B$3:$B$194,0)),"")</f>
        <v/>
      </c>
      <c r="E138" s="81" t="str">
        <f>IFERROR(INDEX('QS Takeoff'!$E$3:$E$194,MATCH(B138,'QS Takeoff'!$B$3:$B$194,0)),"")</f>
        <v/>
      </c>
      <c r="F138" s="81" t="str">
        <f>IFERROR(INDEX('QS Takeoff'!$D$3:$D$194,MATCH(B138,'QS Takeoff'!$B$3:$B$194,0)),"")</f>
        <v/>
      </c>
      <c r="G138" s="81" t="str">
        <f>IFERROR(INDEX('QS Takeoff'!$J$3:$J$194,MATCH(B138,'QS Takeoff'!$B$3:$B$194,0)),"")</f>
        <v/>
      </c>
      <c r="H138" s="53"/>
      <c r="I138" s="60"/>
      <c r="J138" s="60"/>
      <c r="K138" s="82" t="str">
        <f t="shared" si="12"/>
        <v/>
      </c>
      <c r="L138" s="60"/>
      <c r="M138" s="82" t="str">
        <f t="shared" si="13"/>
        <v/>
      </c>
      <c r="N138" s="53"/>
      <c r="O138" s="53"/>
      <c r="P138" s="53"/>
      <c r="Q138" s="81" t="str">
        <f>IFERROR(INDEX('Resource Rate Library'!$C$5:$C$85,MATCH(P138,'Resource Rate Library'!$A$5:$A$85,0)),"")</f>
        <v/>
      </c>
      <c r="R138" s="53"/>
      <c r="S138" s="53"/>
      <c r="T138" s="81" t="str">
        <f>IFERROR(INDEX('Resource Rate Library'!$E$5:$E$85,MATCH(P138,'Resource Rate Library'!$A$5:$A$85,0)),"")</f>
        <v/>
      </c>
      <c r="U138" s="62"/>
      <c r="V138" s="62"/>
      <c r="W138" s="83">
        <f>IFERROR(INDEX('Resource Rate Library'!$I$5:$I$85,MATCH(P138,'Resource Rate Library'!$A$5:$A$85,0)),0)</f>
        <v>0</v>
      </c>
      <c r="X138" s="52"/>
      <c r="Y138" s="83">
        <f t="shared" si="14"/>
        <v>0</v>
      </c>
      <c r="Z138" s="83" t="str">
        <f t="shared" si="15"/>
        <v/>
      </c>
      <c r="AA138" s="81" t="str">
        <f>IFERROR(INDEX('Resource Rate Library'!$N$5:$N$85,MATCH(P138,'Resource Rate Library'!$A$5:$A$85,0)),"")</f>
        <v/>
      </c>
      <c r="AB138" s="53"/>
      <c r="AC138" s="59"/>
      <c r="AD138" s="81" t="str">
        <f>IFERROR(INDEX('Resource Rate Library'!$G$5:$G$85,MATCH(P138,'Resource Rate Library'!$A$5:$A$85,0)),"")</f>
        <v/>
      </c>
      <c r="AE138" s="81" t="str">
        <f>IFERROR(INDEX('Resource Rate Library'!$H$5:$H$85,MATCH(P138,'Resource Rate Library'!$A$5:$A$85,0)),"")</f>
        <v/>
      </c>
      <c r="AF138" s="53"/>
      <c r="AG138" s="53"/>
      <c r="AH138" s="53"/>
      <c r="AI138" s="81" t="str">
        <f t="shared" si="11"/>
        <v/>
      </c>
      <c r="AJ138" s="54"/>
      <c r="AK138" s="197"/>
      <c r="AL138" s="197"/>
      <c r="AM138" s="197"/>
      <c r="AN138" s="199">
        <f>IF(AND(AK138="Yes",OR(O138="Labour",O138="Plant")),Z138,0)</f>
        <v>0</v>
      </c>
    </row>
    <row r="139" spans="1:40" x14ac:dyDescent="0.2">
      <c r="A139" s="80" t="str">
        <f>IF(B139="","",B139&amp;"-"&amp;TEXT(COUNTIF($B$7:B139,B139),"000"))</f>
        <v/>
      </c>
      <c r="B139" s="53"/>
      <c r="C139" s="81" t="str">
        <f>IFERROR(INDEX('QS Takeoff'!$A$3:$A$194,MATCH(B139,'QS Takeoff'!$B$3:$B$194,0)),"")</f>
        <v/>
      </c>
      <c r="D139" s="81" t="str">
        <f>IFERROR(INDEX('QS Takeoff'!$C$3:$C$194,MATCH(B139,'QS Takeoff'!$B$3:$B$194,0)),"")</f>
        <v/>
      </c>
      <c r="E139" s="81" t="str">
        <f>IFERROR(INDEX('QS Takeoff'!$E$3:$E$194,MATCH(B139,'QS Takeoff'!$B$3:$B$194,0)),"")</f>
        <v/>
      </c>
      <c r="F139" s="81" t="str">
        <f>IFERROR(INDEX('QS Takeoff'!$D$3:$D$194,MATCH(B139,'QS Takeoff'!$B$3:$B$194,0)),"")</f>
        <v/>
      </c>
      <c r="G139" s="81" t="str">
        <f>IFERROR(INDEX('QS Takeoff'!$J$3:$J$194,MATCH(B139,'QS Takeoff'!$B$3:$B$194,0)),"")</f>
        <v/>
      </c>
      <c r="H139" s="53"/>
      <c r="I139" s="60"/>
      <c r="J139" s="60"/>
      <c r="K139" s="82" t="str">
        <f t="shared" si="12"/>
        <v/>
      </c>
      <c r="L139" s="60"/>
      <c r="M139" s="82" t="str">
        <f t="shared" si="13"/>
        <v/>
      </c>
      <c r="N139" s="53"/>
      <c r="O139" s="53"/>
      <c r="P139" s="53"/>
      <c r="Q139" s="81" t="str">
        <f>IFERROR(INDEX('Resource Rate Library'!$C$5:$C$85,MATCH(P139,'Resource Rate Library'!$A$5:$A$85,0)),"")</f>
        <v/>
      </c>
      <c r="R139" s="53"/>
      <c r="S139" s="53"/>
      <c r="T139" s="81" t="str">
        <f>IFERROR(INDEX('Resource Rate Library'!$E$5:$E$85,MATCH(P139,'Resource Rate Library'!$A$5:$A$85,0)),"")</f>
        <v/>
      </c>
      <c r="U139" s="62"/>
      <c r="V139" s="62"/>
      <c r="W139" s="83">
        <f>IFERROR(INDEX('Resource Rate Library'!$I$5:$I$85,MATCH(P139,'Resource Rate Library'!$A$5:$A$85,0)),0)</f>
        <v>0</v>
      </c>
      <c r="X139" s="52"/>
      <c r="Y139" s="83">
        <f t="shared" si="14"/>
        <v>0</v>
      </c>
      <c r="Z139" s="83" t="str">
        <f t="shared" si="15"/>
        <v/>
      </c>
      <c r="AA139" s="81" t="str">
        <f>IFERROR(INDEX('Resource Rate Library'!$N$5:$N$85,MATCH(P139,'Resource Rate Library'!$A$5:$A$85,0)),"")</f>
        <v/>
      </c>
      <c r="AB139" s="53"/>
      <c r="AC139" s="59"/>
      <c r="AD139" s="81" t="str">
        <f>IFERROR(INDEX('Resource Rate Library'!$G$5:$G$85,MATCH(P139,'Resource Rate Library'!$A$5:$A$85,0)),"")</f>
        <v/>
      </c>
      <c r="AE139" s="81" t="str">
        <f>IFERROR(INDEX('Resource Rate Library'!$H$5:$H$85,MATCH(P139,'Resource Rate Library'!$A$5:$A$85,0)),"")</f>
        <v/>
      </c>
      <c r="AF139" s="53"/>
      <c r="AG139" s="53"/>
      <c r="AH139" s="53"/>
      <c r="AI139" s="81" t="str">
        <f t="shared" si="11"/>
        <v/>
      </c>
      <c r="AJ139" s="54"/>
      <c r="AK139" s="197"/>
      <c r="AL139" s="197"/>
      <c r="AM139" s="197"/>
      <c r="AN139" s="199">
        <f>IF(AND(AK139="Yes",OR(O139="Labour",O139="Plant")),Z139,0)</f>
        <v>0</v>
      </c>
    </row>
    <row r="140" spans="1:40" x14ac:dyDescent="0.2">
      <c r="A140" s="80" t="str">
        <f>IF(B140="","",B140&amp;"-"&amp;TEXT(COUNTIF($B$7:B140,B140),"000"))</f>
        <v/>
      </c>
      <c r="B140" s="53"/>
      <c r="C140" s="81" t="str">
        <f>IFERROR(INDEX('QS Takeoff'!$A$3:$A$194,MATCH(B140,'QS Takeoff'!$B$3:$B$194,0)),"")</f>
        <v/>
      </c>
      <c r="D140" s="81" t="str">
        <f>IFERROR(INDEX('QS Takeoff'!$C$3:$C$194,MATCH(B140,'QS Takeoff'!$B$3:$B$194,0)),"")</f>
        <v/>
      </c>
      <c r="E140" s="81" t="str">
        <f>IFERROR(INDEX('QS Takeoff'!$E$3:$E$194,MATCH(B140,'QS Takeoff'!$B$3:$B$194,0)),"")</f>
        <v/>
      </c>
      <c r="F140" s="81" t="str">
        <f>IFERROR(INDEX('QS Takeoff'!$D$3:$D$194,MATCH(B140,'QS Takeoff'!$B$3:$B$194,0)),"")</f>
        <v/>
      </c>
      <c r="G140" s="81" t="str">
        <f>IFERROR(INDEX('QS Takeoff'!$J$3:$J$194,MATCH(B140,'QS Takeoff'!$B$3:$B$194,0)),"")</f>
        <v/>
      </c>
      <c r="H140" s="53"/>
      <c r="I140" s="60"/>
      <c r="J140" s="60"/>
      <c r="K140" s="82" t="str">
        <f t="shared" si="12"/>
        <v/>
      </c>
      <c r="L140" s="60"/>
      <c r="M140" s="82" t="str">
        <f t="shared" si="13"/>
        <v/>
      </c>
      <c r="N140" s="53"/>
      <c r="O140" s="53"/>
      <c r="P140" s="53"/>
      <c r="Q140" s="81" t="str">
        <f>IFERROR(INDEX('Resource Rate Library'!$C$5:$C$85,MATCH(P140,'Resource Rate Library'!$A$5:$A$85,0)),"")</f>
        <v/>
      </c>
      <c r="R140" s="53"/>
      <c r="S140" s="53"/>
      <c r="T140" s="81" t="str">
        <f>IFERROR(INDEX('Resource Rate Library'!$E$5:$E$85,MATCH(P140,'Resource Rate Library'!$A$5:$A$85,0)),"")</f>
        <v/>
      </c>
      <c r="U140" s="62"/>
      <c r="V140" s="62"/>
      <c r="W140" s="83">
        <f>IFERROR(INDEX('Resource Rate Library'!$I$5:$I$85,MATCH(P140,'Resource Rate Library'!$A$5:$A$85,0)),0)</f>
        <v>0</v>
      </c>
      <c r="X140" s="52"/>
      <c r="Y140" s="83">
        <f t="shared" si="14"/>
        <v>0</v>
      </c>
      <c r="Z140" s="83" t="str">
        <f t="shared" si="15"/>
        <v/>
      </c>
      <c r="AA140" s="81" t="str">
        <f>IFERROR(INDEX('Resource Rate Library'!$N$5:$N$85,MATCH(P140,'Resource Rate Library'!$A$5:$A$85,0)),"")</f>
        <v/>
      </c>
      <c r="AB140" s="53"/>
      <c r="AC140" s="59"/>
      <c r="AD140" s="81" t="str">
        <f>IFERROR(INDEX('Resource Rate Library'!$G$5:$G$85,MATCH(P140,'Resource Rate Library'!$A$5:$A$85,0)),"")</f>
        <v/>
      </c>
      <c r="AE140" s="81" t="str">
        <f>IFERROR(INDEX('Resource Rate Library'!$H$5:$H$85,MATCH(P140,'Resource Rate Library'!$A$5:$A$85,0)),"")</f>
        <v/>
      </c>
      <c r="AF140" s="53"/>
      <c r="AG140" s="53"/>
      <c r="AH140" s="53"/>
      <c r="AI140" s="81" t="str">
        <f t="shared" si="11"/>
        <v/>
      </c>
      <c r="AJ140" s="54"/>
      <c r="AK140" s="197"/>
      <c r="AL140" s="197"/>
      <c r="AM140" s="197"/>
      <c r="AN140" s="199">
        <f>IF(AND(AK140="Yes",OR(O140="Labour",O140="Plant")),Z140,0)</f>
        <v>0</v>
      </c>
    </row>
    <row r="141" spans="1:40" x14ac:dyDescent="0.2">
      <c r="A141" s="80" t="str">
        <f>IF(B141="","",B141&amp;"-"&amp;TEXT(COUNTIF($B$7:B141,B141),"000"))</f>
        <v/>
      </c>
      <c r="B141" s="53"/>
      <c r="C141" s="81" t="str">
        <f>IFERROR(INDEX('QS Takeoff'!$A$3:$A$194,MATCH(B141,'QS Takeoff'!$B$3:$B$194,0)),"")</f>
        <v/>
      </c>
      <c r="D141" s="81" t="str">
        <f>IFERROR(INDEX('QS Takeoff'!$C$3:$C$194,MATCH(B141,'QS Takeoff'!$B$3:$B$194,0)),"")</f>
        <v/>
      </c>
      <c r="E141" s="81" t="str">
        <f>IFERROR(INDEX('QS Takeoff'!$E$3:$E$194,MATCH(B141,'QS Takeoff'!$B$3:$B$194,0)),"")</f>
        <v/>
      </c>
      <c r="F141" s="81" t="str">
        <f>IFERROR(INDEX('QS Takeoff'!$D$3:$D$194,MATCH(B141,'QS Takeoff'!$B$3:$B$194,0)),"")</f>
        <v/>
      </c>
      <c r="G141" s="81" t="str">
        <f>IFERROR(INDEX('QS Takeoff'!$J$3:$J$194,MATCH(B141,'QS Takeoff'!$B$3:$B$194,0)),"")</f>
        <v/>
      </c>
      <c r="H141" s="53"/>
      <c r="I141" s="60"/>
      <c r="J141" s="60"/>
      <c r="K141" s="82" t="str">
        <f t="shared" si="12"/>
        <v/>
      </c>
      <c r="L141" s="60"/>
      <c r="M141" s="82" t="str">
        <f t="shared" si="13"/>
        <v/>
      </c>
      <c r="N141" s="53"/>
      <c r="O141" s="53"/>
      <c r="P141" s="53"/>
      <c r="Q141" s="81" t="str">
        <f>IFERROR(INDEX('Resource Rate Library'!$C$5:$C$85,MATCH(P141,'Resource Rate Library'!$A$5:$A$85,0)),"")</f>
        <v/>
      </c>
      <c r="R141" s="53"/>
      <c r="S141" s="53"/>
      <c r="T141" s="81" t="str">
        <f>IFERROR(INDEX('Resource Rate Library'!$E$5:$E$85,MATCH(P141,'Resource Rate Library'!$A$5:$A$85,0)),"")</f>
        <v/>
      </c>
      <c r="U141" s="62"/>
      <c r="V141" s="62"/>
      <c r="W141" s="83">
        <f>IFERROR(INDEX('Resource Rate Library'!$I$5:$I$85,MATCH(P141,'Resource Rate Library'!$A$5:$A$85,0)),0)</f>
        <v>0</v>
      </c>
      <c r="X141" s="52"/>
      <c r="Y141" s="83">
        <f t="shared" si="14"/>
        <v>0</v>
      </c>
      <c r="Z141" s="83" t="str">
        <f t="shared" si="15"/>
        <v/>
      </c>
      <c r="AA141" s="81" t="str">
        <f>IFERROR(INDEX('Resource Rate Library'!$N$5:$N$85,MATCH(P141,'Resource Rate Library'!$A$5:$A$85,0)),"")</f>
        <v/>
      </c>
      <c r="AB141" s="53"/>
      <c r="AC141" s="59"/>
      <c r="AD141" s="81" t="str">
        <f>IFERROR(INDEX('Resource Rate Library'!$G$5:$G$85,MATCH(P141,'Resource Rate Library'!$A$5:$A$85,0)),"")</f>
        <v/>
      </c>
      <c r="AE141" s="81" t="str">
        <f>IFERROR(INDEX('Resource Rate Library'!$H$5:$H$85,MATCH(P141,'Resource Rate Library'!$A$5:$A$85,0)),"")</f>
        <v/>
      </c>
      <c r="AF141" s="53"/>
      <c r="AG141" s="53"/>
      <c r="AH141" s="53"/>
      <c r="AI141" s="81" t="str">
        <f t="shared" si="11"/>
        <v/>
      </c>
      <c r="AJ141" s="54"/>
      <c r="AK141" s="197"/>
      <c r="AL141" s="197"/>
      <c r="AM141" s="197"/>
      <c r="AN141" s="199">
        <f>IF(AND(AK141="Yes",OR(O141="Labour",O141="Plant")),Z141,0)</f>
        <v>0</v>
      </c>
    </row>
    <row r="142" spans="1:40" x14ac:dyDescent="0.2">
      <c r="A142" s="80" t="str">
        <f>IF(B142="","",B142&amp;"-"&amp;TEXT(COUNTIF($B$7:B142,B142),"000"))</f>
        <v/>
      </c>
      <c r="B142" s="53"/>
      <c r="C142" s="81" t="str">
        <f>IFERROR(INDEX('QS Takeoff'!$A$3:$A$194,MATCH(B142,'QS Takeoff'!$B$3:$B$194,0)),"")</f>
        <v/>
      </c>
      <c r="D142" s="81" t="str">
        <f>IFERROR(INDEX('QS Takeoff'!$C$3:$C$194,MATCH(B142,'QS Takeoff'!$B$3:$B$194,0)),"")</f>
        <v/>
      </c>
      <c r="E142" s="81" t="str">
        <f>IFERROR(INDEX('QS Takeoff'!$E$3:$E$194,MATCH(B142,'QS Takeoff'!$B$3:$B$194,0)),"")</f>
        <v/>
      </c>
      <c r="F142" s="81" t="str">
        <f>IFERROR(INDEX('QS Takeoff'!$D$3:$D$194,MATCH(B142,'QS Takeoff'!$B$3:$B$194,0)),"")</f>
        <v/>
      </c>
      <c r="G142" s="81" t="str">
        <f>IFERROR(INDEX('QS Takeoff'!$J$3:$J$194,MATCH(B142,'QS Takeoff'!$B$3:$B$194,0)),"")</f>
        <v/>
      </c>
      <c r="H142" s="53"/>
      <c r="I142" s="60"/>
      <c r="J142" s="60"/>
      <c r="K142" s="82" t="str">
        <f t="shared" si="12"/>
        <v/>
      </c>
      <c r="L142" s="60"/>
      <c r="M142" s="82" t="str">
        <f t="shared" si="13"/>
        <v/>
      </c>
      <c r="N142" s="53"/>
      <c r="O142" s="53"/>
      <c r="P142" s="53"/>
      <c r="Q142" s="81" t="str">
        <f>IFERROR(INDEX('Resource Rate Library'!$C$5:$C$85,MATCH(P142,'Resource Rate Library'!$A$5:$A$85,0)),"")</f>
        <v/>
      </c>
      <c r="R142" s="53"/>
      <c r="S142" s="53"/>
      <c r="T142" s="81" t="str">
        <f>IFERROR(INDEX('Resource Rate Library'!$E$5:$E$85,MATCH(P142,'Resource Rate Library'!$A$5:$A$85,0)),"")</f>
        <v/>
      </c>
      <c r="U142" s="62"/>
      <c r="V142" s="62"/>
      <c r="W142" s="83">
        <f>IFERROR(INDEX('Resource Rate Library'!$I$5:$I$85,MATCH(P142,'Resource Rate Library'!$A$5:$A$85,0)),0)</f>
        <v>0</v>
      </c>
      <c r="X142" s="52"/>
      <c r="Y142" s="83">
        <f t="shared" si="14"/>
        <v>0</v>
      </c>
      <c r="Z142" s="83" t="str">
        <f t="shared" si="15"/>
        <v/>
      </c>
      <c r="AA142" s="81" t="str">
        <f>IFERROR(INDEX('Resource Rate Library'!$N$5:$N$85,MATCH(P142,'Resource Rate Library'!$A$5:$A$85,0)),"")</f>
        <v/>
      </c>
      <c r="AB142" s="53"/>
      <c r="AC142" s="59"/>
      <c r="AD142" s="81" t="str">
        <f>IFERROR(INDEX('Resource Rate Library'!$G$5:$G$85,MATCH(P142,'Resource Rate Library'!$A$5:$A$85,0)),"")</f>
        <v/>
      </c>
      <c r="AE142" s="81" t="str">
        <f>IFERROR(INDEX('Resource Rate Library'!$H$5:$H$85,MATCH(P142,'Resource Rate Library'!$A$5:$A$85,0)),"")</f>
        <v/>
      </c>
      <c r="AF142" s="53"/>
      <c r="AG142" s="53"/>
      <c r="AH142" s="53"/>
      <c r="AI142" s="81" t="str">
        <f t="shared" si="11"/>
        <v/>
      </c>
      <c r="AJ142" s="54"/>
      <c r="AK142" s="197"/>
      <c r="AL142" s="197"/>
      <c r="AM142" s="197"/>
      <c r="AN142" s="199">
        <f>IF(AND(AK142="Yes",OR(O142="Labour",O142="Plant")),Z142,0)</f>
        <v>0</v>
      </c>
    </row>
    <row r="143" spans="1:40" x14ac:dyDescent="0.2">
      <c r="A143" s="80" t="str">
        <f>IF(B143="","",B143&amp;"-"&amp;TEXT(COUNTIF($B$7:B143,B143),"000"))</f>
        <v/>
      </c>
      <c r="B143" s="53"/>
      <c r="C143" s="81" t="str">
        <f>IFERROR(INDEX('QS Takeoff'!$A$3:$A$194,MATCH(B143,'QS Takeoff'!$B$3:$B$194,0)),"")</f>
        <v/>
      </c>
      <c r="D143" s="81" t="str">
        <f>IFERROR(INDEX('QS Takeoff'!$C$3:$C$194,MATCH(B143,'QS Takeoff'!$B$3:$B$194,0)),"")</f>
        <v/>
      </c>
      <c r="E143" s="81" t="str">
        <f>IFERROR(INDEX('QS Takeoff'!$E$3:$E$194,MATCH(B143,'QS Takeoff'!$B$3:$B$194,0)),"")</f>
        <v/>
      </c>
      <c r="F143" s="81" t="str">
        <f>IFERROR(INDEX('QS Takeoff'!$D$3:$D$194,MATCH(B143,'QS Takeoff'!$B$3:$B$194,0)),"")</f>
        <v/>
      </c>
      <c r="G143" s="81" t="str">
        <f>IFERROR(INDEX('QS Takeoff'!$J$3:$J$194,MATCH(B143,'QS Takeoff'!$B$3:$B$194,0)),"")</f>
        <v/>
      </c>
      <c r="H143" s="53"/>
      <c r="I143" s="60"/>
      <c r="J143" s="60"/>
      <c r="K143" s="82" t="str">
        <f t="shared" si="12"/>
        <v/>
      </c>
      <c r="L143" s="60"/>
      <c r="M143" s="82" t="str">
        <f t="shared" si="13"/>
        <v/>
      </c>
      <c r="N143" s="53"/>
      <c r="O143" s="53"/>
      <c r="P143" s="53"/>
      <c r="Q143" s="81" t="str">
        <f>IFERROR(INDEX('Resource Rate Library'!$C$5:$C$85,MATCH(P143,'Resource Rate Library'!$A$5:$A$85,0)),"")</f>
        <v/>
      </c>
      <c r="R143" s="53"/>
      <c r="S143" s="53"/>
      <c r="T143" s="81" t="str">
        <f>IFERROR(INDEX('Resource Rate Library'!$E$5:$E$85,MATCH(P143,'Resource Rate Library'!$A$5:$A$85,0)),"")</f>
        <v/>
      </c>
      <c r="U143" s="62"/>
      <c r="V143" s="62"/>
      <c r="W143" s="83">
        <f>IFERROR(INDEX('Resource Rate Library'!$I$5:$I$85,MATCH(P143,'Resource Rate Library'!$A$5:$A$85,0)),0)</f>
        <v>0</v>
      </c>
      <c r="X143" s="52"/>
      <c r="Y143" s="83">
        <f t="shared" si="14"/>
        <v>0</v>
      </c>
      <c r="Z143" s="83" t="str">
        <f t="shared" si="15"/>
        <v/>
      </c>
      <c r="AA143" s="81" t="str">
        <f>IFERROR(INDEX('Resource Rate Library'!$N$5:$N$85,MATCH(P143,'Resource Rate Library'!$A$5:$A$85,0)),"")</f>
        <v/>
      </c>
      <c r="AB143" s="53"/>
      <c r="AC143" s="59"/>
      <c r="AD143" s="81" t="str">
        <f>IFERROR(INDEX('Resource Rate Library'!$G$5:$G$85,MATCH(P143,'Resource Rate Library'!$A$5:$A$85,0)),"")</f>
        <v/>
      </c>
      <c r="AE143" s="81" t="str">
        <f>IFERROR(INDEX('Resource Rate Library'!$H$5:$H$85,MATCH(P143,'Resource Rate Library'!$A$5:$A$85,0)),"")</f>
        <v/>
      </c>
      <c r="AF143" s="53"/>
      <c r="AG143" s="53"/>
      <c r="AH143" s="53"/>
      <c r="AI143" s="81" t="str">
        <f t="shared" si="11"/>
        <v/>
      </c>
      <c r="AJ143" s="54"/>
      <c r="AK143" s="197"/>
      <c r="AL143" s="197"/>
      <c r="AM143" s="197"/>
      <c r="AN143" s="199">
        <f>IF(AND(AK143="Yes",OR(O143="Labour",O143="Plant")),Z143,0)</f>
        <v>0</v>
      </c>
    </row>
    <row r="144" spans="1:40" x14ac:dyDescent="0.2">
      <c r="A144" s="80" t="str">
        <f>IF(B144="","",B144&amp;"-"&amp;TEXT(COUNTIF($B$7:B144,B144),"000"))</f>
        <v/>
      </c>
      <c r="B144" s="53"/>
      <c r="C144" s="81" t="str">
        <f>IFERROR(INDEX('QS Takeoff'!$A$3:$A$194,MATCH(B144,'QS Takeoff'!$B$3:$B$194,0)),"")</f>
        <v/>
      </c>
      <c r="D144" s="81" t="str">
        <f>IFERROR(INDEX('QS Takeoff'!$C$3:$C$194,MATCH(B144,'QS Takeoff'!$B$3:$B$194,0)),"")</f>
        <v/>
      </c>
      <c r="E144" s="81" t="str">
        <f>IFERROR(INDEX('QS Takeoff'!$E$3:$E$194,MATCH(B144,'QS Takeoff'!$B$3:$B$194,0)),"")</f>
        <v/>
      </c>
      <c r="F144" s="81" t="str">
        <f>IFERROR(INDEX('QS Takeoff'!$D$3:$D$194,MATCH(B144,'QS Takeoff'!$B$3:$B$194,0)),"")</f>
        <v/>
      </c>
      <c r="G144" s="81" t="str">
        <f>IFERROR(INDEX('QS Takeoff'!$J$3:$J$194,MATCH(B144,'QS Takeoff'!$B$3:$B$194,0)),"")</f>
        <v/>
      </c>
      <c r="H144" s="53"/>
      <c r="I144" s="60"/>
      <c r="J144" s="60"/>
      <c r="K144" s="82" t="str">
        <f t="shared" si="12"/>
        <v/>
      </c>
      <c r="L144" s="60"/>
      <c r="M144" s="82" t="str">
        <f t="shared" si="13"/>
        <v/>
      </c>
      <c r="N144" s="53"/>
      <c r="O144" s="53"/>
      <c r="P144" s="53"/>
      <c r="Q144" s="81" t="str">
        <f>IFERROR(INDEX('Resource Rate Library'!$C$5:$C$85,MATCH(P144,'Resource Rate Library'!$A$5:$A$85,0)),"")</f>
        <v/>
      </c>
      <c r="R144" s="53"/>
      <c r="S144" s="53"/>
      <c r="T144" s="81" t="str">
        <f>IFERROR(INDEX('Resource Rate Library'!$E$5:$E$85,MATCH(P144,'Resource Rate Library'!$A$5:$A$85,0)),"")</f>
        <v/>
      </c>
      <c r="U144" s="62"/>
      <c r="V144" s="62"/>
      <c r="W144" s="83">
        <f>IFERROR(INDEX('Resource Rate Library'!$I$5:$I$85,MATCH(P144,'Resource Rate Library'!$A$5:$A$85,0)),0)</f>
        <v>0</v>
      </c>
      <c r="X144" s="52"/>
      <c r="Y144" s="83">
        <f t="shared" si="14"/>
        <v>0</v>
      </c>
      <c r="Z144" s="83" t="str">
        <f t="shared" si="15"/>
        <v/>
      </c>
      <c r="AA144" s="81" t="str">
        <f>IFERROR(INDEX('Resource Rate Library'!$N$5:$N$85,MATCH(P144,'Resource Rate Library'!$A$5:$A$85,0)),"")</f>
        <v/>
      </c>
      <c r="AB144" s="53"/>
      <c r="AC144" s="59"/>
      <c r="AD144" s="81" t="str">
        <f>IFERROR(INDEX('Resource Rate Library'!$G$5:$G$85,MATCH(P144,'Resource Rate Library'!$A$5:$A$85,0)),"")</f>
        <v/>
      </c>
      <c r="AE144" s="81" t="str">
        <f>IFERROR(INDEX('Resource Rate Library'!$H$5:$H$85,MATCH(P144,'Resource Rate Library'!$A$5:$A$85,0)),"")</f>
        <v/>
      </c>
      <c r="AF144" s="53"/>
      <c r="AG144" s="53"/>
      <c r="AH144" s="53"/>
      <c r="AI144" s="81" t="str">
        <f t="shared" si="11"/>
        <v/>
      </c>
      <c r="AJ144" s="54"/>
      <c r="AK144" s="197"/>
      <c r="AL144" s="197"/>
      <c r="AM144" s="197"/>
      <c r="AN144" s="199">
        <f>IF(AND(AK144="Yes",OR(O144="Labour",O144="Plant")),Z144,0)</f>
        <v>0</v>
      </c>
    </row>
    <row r="145" spans="1:40" x14ac:dyDescent="0.2">
      <c r="A145" s="80" t="str">
        <f>IF(B145="","",B145&amp;"-"&amp;TEXT(COUNTIF($B$7:B145,B145),"000"))</f>
        <v/>
      </c>
      <c r="B145" s="53"/>
      <c r="C145" s="81" t="str">
        <f>IFERROR(INDEX('QS Takeoff'!$A$3:$A$194,MATCH(B145,'QS Takeoff'!$B$3:$B$194,0)),"")</f>
        <v/>
      </c>
      <c r="D145" s="81" t="str">
        <f>IFERROR(INDEX('QS Takeoff'!$C$3:$C$194,MATCH(B145,'QS Takeoff'!$B$3:$B$194,0)),"")</f>
        <v/>
      </c>
      <c r="E145" s="81" t="str">
        <f>IFERROR(INDEX('QS Takeoff'!$E$3:$E$194,MATCH(B145,'QS Takeoff'!$B$3:$B$194,0)),"")</f>
        <v/>
      </c>
      <c r="F145" s="81" t="str">
        <f>IFERROR(INDEX('QS Takeoff'!$D$3:$D$194,MATCH(B145,'QS Takeoff'!$B$3:$B$194,0)),"")</f>
        <v/>
      </c>
      <c r="G145" s="81" t="str">
        <f>IFERROR(INDEX('QS Takeoff'!$J$3:$J$194,MATCH(B145,'QS Takeoff'!$B$3:$B$194,0)),"")</f>
        <v/>
      </c>
      <c r="H145" s="53"/>
      <c r="I145" s="60"/>
      <c r="J145" s="60"/>
      <c r="K145" s="82" t="str">
        <f t="shared" si="12"/>
        <v/>
      </c>
      <c r="L145" s="60"/>
      <c r="M145" s="82" t="str">
        <f t="shared" si="13"/>
        <v/>
      </c>
      <c r="N145" s="53"/>
      <c r="O145" s="53"/>
      <c r="P145" s="53"/>
      <c r="Q145" s="81" t="str">
        <f>IFERROR(INDEX('Resource Rate Library'!$C$5:$C$85,MATCH(P145,'Resource Rate Library'!$A$5:$A$85,0)),"")</f>
        <v/>
      </c>
      <c r="R145" s="53"/>
      <c r="S145" s="53"/>
      <c r="T145" s="81" t="str">
        <f>IFERROR(INDEX('Resource Rate Library'!$E$5:$E$85,MATCH(P145,'Resource Rate Library'!$A$5:$A$85,0)),"")</f>
        <v/>
      </c>
      <c r="U145" s="62"/>
      <c r="V145" s="62"/>
      <c r="W145" s="83">
        <f>IFERROR(INDEX('Resource Rate Library'!$I$5:$I$85,MATCH(P145,'Resource Rate Library'!$A$5:$A$85,0)),0)</f>
        <v>0</v>
      </c>
      <c r="X145" s="52"/>
      <c r="Y145" s="83">
        <f t="shared" si="14"/>
        <v>0</v>
      </c>
      <c r="Z145" s="83" t="str">
        <f t="shared" si="15"/>
        <v/>
      </c>
      <c r="AA145" s="81" t="str">
        <f>IFERROR(INDEX('Resource Rate Library'!$N$5:$N$85,MATCH(P145,'Resource Rate Library'!$A$5:$A$85,0)),"")</f>
        <v/>
      </c>
      <c r="AB145" s="53"/>
      <c r="AC145" s="59"/>
      <c r="AD145" s="81" t="str">
        <f>IFERROR(INDEX('Resource Rate Library'!$G$5:$G$85,MATCH(P145,'Resource Rate Library'!$A$5:$A$85,0)),"")</f>
        <v/>
      </c>
      <c r="AE145" s="81" t="str">
        <f>IFERROR(INDEX('Resource Rate Library'!$H$5:$H$85,MATCH(P145,'Resource Rate Library'!$A$5:$A$85,0)),"")</f>
        <v/>
      </c>
      <c r="AF145" s="53"/>
      <c r="AG145" s="53"/>
      <c r="AH145" s="53"/>
      <c r="AI145" s="81" t="str">
        <f t="shared" si="11"/>
        <v/>
      </c>
      <c r="AJ145" s="54"/>
      <c r="AK145" s="197"/>
      <c r="AL145" s="197"/>
      <c r="AM145" s="197"/>
      <c r="AN145" s="199">
        <f>IF(AND(AK145="Yes",OR(O145="Labour",O145="Plant")),Z145,0)</f>
        <v>0</v>
      </c>
    </row>
    <row r="146" spans="1:40" x14ac:dyDescent="0.2">
      <c r="A146" s="80" t="str">
        <f>IF(B146="","",B146&amp;"-"&amp;TEXT(COUNTIF($B$7:B146,B146),"000"))</f>
        <v/>
      </c>
      <c r="B146" s="53"/>
      <c r="C146" s="81" t="str">
        <f>IFERROR(INDEX('QS Takeoff'!$A$3:$A$194,MATCH(B146,'QS Takeoff'!$B$3:$B$194,0)),"")</f>
        <v/>
      </c>
      <c r="D146" s="81" t="str">
        <f>IFERROR(INDEX('QS Takeoff'!$C$3:$C$194,MATCH(B146,'QS Takeoff'!$B$3:$B$194,0)),"")</f>
        <v/>
      </c>
      <c r="E146" s="81" t="str">
        <f>IFERROR(INDEX('QS Takeoff'!$E$3:$E$194,MATCH(B146,'QS Takeoff'!$B$3:$B$194,0)),"")</f>
        <v/>
      </c>
      <c r="F146" s="81" t="str">
        <f>IFERROR(INDEX('QS Takeoff'!$D$3:$D$194,MATCH(B146,'QS Takeoff'!$B$3:$B$194,0)),"")</f>
        <v/>
      </c>
      <c r="G146" s="81" t="str">
        <f>IFERROR(INDEX('QS Takeoff'!$J$3:$J$194,MATCH(B146,'QS Takeoff'!$B$3:$B$194,0)),"")</f>
        <v/>
      </c>
      <c r="H146" s="53"/>
      <c r="I146" s="60"/>
      <c r="J146" s="60"/>
      <c r="K146" s="82" t="str">
        <f t="shared" si="12"/>
        <v/>
      </c>
      <c r="L146" s="60"/>
      <c r="M146" s="82" t="str">
        <f t="shared" si="13"/>
        <v/>
      </c>
      <c r="N146" s="53"/>
      <c r="O146" s="53"/>
      <c r="P146" s="53"/>
      <c r="Q146" s="81" t="str">
        <f>IFERROR(INDEX('Resource Rate Library'!$C$5:$C$85,MATCH(P146,'Resource Rate Library'!$A$5:$A$85,0)),"")</f>
        <v/>
      </c>
      <c r="R146" s="53"/>
      <c r="S146" s="53"/>
      <c r="T146" s="81" t="str">
        <f>IFERROR(INDEX('Resource Rate Library'!$E$5:$E$85,MATCH(P146,'Resource Rate Library'!$A$5:$A$85,0)),"")</f>
        <v/>
      </c>
      <c r="U146" s="62"/>
      <c r="V146" s="62"/>
      <c r="W146" s="83">
        <f>IFERROR(INDEX('Resource Rate Library'!$I$5:$I$85,MATCH(P146,'Resource Rate Library'!$A$5:$A$85,0)),0)</f>
        <v>0</v>
      </c>
      <c r="X146" s="52"/>
      <c r="Y146" s="83">
        <f t="shared" si="14"/>
        <v>0</v>
      </c>
      <c r="Z146" s="83" t="str">
        <f t="shared" si="15"/>
        <v/>
      </c>
      <c r="AA146" s="81" t="str">
        <f>IFERROR(INDEX('Resource Rate Library'!$N$5:$N$85,MATCH(P146,'Resource Rate Library'!$A$5:$A$85,0)),"")</f>
        <v/>
      </c>
      <c r="AB146" s="53"/>
      <c r="AC146" s="59"/>
      <c r="AD146" s="81" t="str">
        <f>IFERROR(INDEX('Resource Rate Library'!$G$5:$G$85,MATCH(P146,'Resource Rate Library'!$A$5:$A$85,0)),"")</f>
        <v/>
      </c>
      <c r="AE146" s="81" t="str">
        <f>IFERROR(INDEX('Resource Rate Library'!$H$5:$H$85,MATCH(P146,'Resource Rate Library'!$A$5:$A$85,0)),"")</f>
        <v/>
      </c>
      <c r="AF146" s="53"/>
      <c r="AG146" s="53"/>
      <c r="AH146" s="53"/>
      <c r="AI146" s="81" t="str">
        <f t="shared" si="11"/>
        <v/>
      </c>
      <c r="AJ146" s="54"/>
      <c r="AK146" s="197"/>
      <c r="AL146" s="197"/>
      <c r="AM146" s="197"/>
      <c r="AN146" s="199">
        <f>IF(AND(AK146="Yes",OR(O146="Labour",O146="Plant")),Z146,0)</f>
        <v>0</v>
      </c>
    </row>
    <row r="147" spans="1:40" x14ac:dyDescent="0.2">
      <c r="A147" s="80" t="str">
        <f>IF(B147="","",B147&amp;"-"&amp;TEXT(COUNTIF($B$7:B147,B147),"000"))</f>
        <v/>
      </c>
      <c r="B147" s="53"/>
      <c r="C147" s="81" t="str">
        <f>IFERROR(INDEX('QS Takeoff'!$A$3:$A$194,MATCH(B147,'QS Takeoff'!$B$3:$B$194,0)),"")</f>
        <v/>
      </c>
      <c r="D147" s="81" t="str">
        <f>IFERROR(INDEX('QS Takeoff'!$C$3:$C$194,MATCH(B147,'QS Takeoff'!$B$3:$B$194,0)),"")</f>
        <v/>
      </c>
      <c r="E147" s="81" t="str">
        <f>IFERROR(INDEX('QS Takeoff'!$E$3:$E$194,MATCH(B147,'QS Takeoff'!$B$3:$B$194,0)),"")</f>
        <v/>
      </c>
      <c r="F147" s="81" t="str">
        <f>IFERROR(INDEX('QS Takeoff'!$D$3:$D$194,MATCH(B147,'QS Takeoff'!$B$3:$B$194,0)),"")</f>
        <v/>
      </c>
      <c r="G147" s="81" t="str">
        <f>IFERROR(INDEX('QS Takeoff'!$J$3:$J$194,MATCH(B147,'QS Takeoff'!$B$3:$B$194,0)),"")</f>
        <v/>
      </c>
      <c r="H147" s="53"/>
      <c r="I147" s="60"/>
      <c r="J147" s="60"/>
      <c r="K147" s="82" t="str">
        <f t="shared" si="12"/>
        <v/>
      </c>
      <c r="L147" s="60"/>
      <c r="M147" s="82" t="str">
        <f t="shared" si="13"/>
        <v/>
      </c>
      <c r="N147" s="53"/>
      <c r="O147" s="53"/>
      <c r="P147" s="53"/>
      <c r="Q147" s="81" t="str">
        <f>IFERROR(INDEX('Resource Rate Library'!$C$5:$C$85,MATCH(P147,'Resource Rate Library'!$A$5:$A$85,0)),"")</f>
        <v/>
      </c>
      <c r="R147" s="53"/>
      <c r="S147" s="53"/>
      <c r="T147" s="81" t="str">
        <f>IFERROR(INDEX('Resource Rate Library'!$E$5:$E$85,MATCH(P147,'Resource Rate Library'!$A$5:$A$85,0)),"")</f>
        <v/>
      </c>
      <c r="U147" s="62"/>
      <c r="V147" s="62"/>
      <c r="W147" s="83">
        <f>IFERROR(INDEX('Resource Rate Library'!$I$5:$I$85,MATCH(P147,'Resource Rate Library'!$A$5:$A$85,0)),0)</f>
        <v>0</v>
      </c>
      <c r="X147" s="52"/>
      <c r="Y147" s="83">
        <f t="shared" si="14"/>
        <v>0</v>
      </c>
      <c r="Z147" s="83" t="str">
        <f t="shared" si="15"/>
        <v/>
      </c>
      <c r="AA147" s="81" t="str">
        <f>IFERROR(INDEX('Resource Rate Library'!$N$5:$N$85,MATCH(P147,'Resource Rate Library'!$A$5:$A$85,0)),"")</f>
        <v/>
      </c>
      <c r="AB147" s="53"/>
      <c r="AC147" s="59"/>
      <c r="AD147" s="81" t="str">
        <f>IFERROR(INDEX('Resource Rate Library'!$G$5:$G$85,MATCH(P147,'Resource Rate Library'!$A$5:$A$85,0)),"")</f>
        <v/>
      </c>
      <c r="AE147" s="81" t="str">
        <f>IFERROR(INDEX('Resource Rate Library'!$H$5:$H$85,MATCH(P147,'Resource Rate Library'!$A$5:$A$85,0)),"")</f>
        <v/>
      </c>
      <c r="AF147" s="53"/>
      <c r="AG147" s="53"/>
      <c r="AH147" s="53"/>
      <c r="AI147" s="81" t="str">
        <f t="shared" si="11"/>
        <v/>
      </c>
      <c r="AJ147" s="54"/>
      <c r="AK147" s="197"/>
      <c r="AL147" s="197"/>
      <c r="AM147" s="197"/>
      <c r="AN147" s="199">
        <f>IF(AND(AK147="Yes",OR(O147="Labour",O147="Plant")),Z147,0)</f>
        <v>0</v>
      </c>
    </row>
    <row r="148" spans="1:40" x14ac:dyDescent="0.2">
      <c r="A148" s="80" t="str">
        <f>IF(B148="","",B148&amp;"-"&amp;TEXT(COUNTIF($B$7:B148,B148),"000"))</f>
        <v/>
      </c>
      <c r="B148" s="53"/>
      <c r="C148" s="81" t="str">
        <f>IFERROR(INDEX('QS Takeoff'!$A$3:$A$194,MATCH(B148,'QS Takeoff'!$B$3:$B$194,0)),"")</f>
        <v/>
      </c>
      <c r="D148" s="81" t="str">
        <f>IFERROR(INDEX('QS Takeoff'!$C$3:$C$194,MATCH(B148,'QS Takeoff'!$B$3:$B$194,0)),"")</f>
        <v/>
      </c>
      <c r="E148" s="81" t="str">
        <f>IFERROR(INDEX('QS Takeoff'!$E$3:$E$194,MATCH(B148,'QS Takeoff'!$B$3:$B$194,0)),"")</f>
        <v/>
      </c>
      <c r="F148" s="81" t="str">
        <f>IFERROR(INDEX('QS Takeoff'!$D$3:$D$194,MATCH(B148,'QS Takeoff'!$B$3:$B$194,0)),"")</f>
        <v/>
      </c>
      <c r="G148" s="81" t="str">
        <f>IFERROR(INDEX('QS Takeoff'!$J$3:$J$194,MATCH(B148,'QS Takeoff'!$B$3:$B$194,0)),"")</f>
        <v/>
      </c>
      <c r="H148" s="53"/>
      <c r="I148" s="60"/>
      <c r="J148" s="60"/>
      <c r="K148" s="82" t="str">
        <f t="shared" si="12"/>
        <v/>
      </c>
      <c r="L148" s="60"/>
      <c r="M148" s="82" t="str">
        <f t="shared" si="13"/>
        <v/>
      </c>
      <c r="N148" s="53"/>
      <c r="O148" s="53"/>
      <c r="P148" s="53"/>
      <c r="Q148" s="81" t="str">
        <f>IFERROR(INDEX('Resource Rate Library'!$C$5:$C$85,MATCH(P148,'Resource Rate Library'!$A$5:$A$85,0)),"")</f>
        <v/>
      </c>
      <c r="R148" s="53"/>
      <c r="S148" s="53"/>
      <c r="T148" s="81" t="str">
        <f>IFERROR(INDEX('Resource Rate Library'!$E$5:$E$85,MATCH(P148,'Resource Rate Library'!$A$5:$A$85,0)),"")</f>
        <v/>
      </c>
      <c r="U148" s="62"/>
      <c r="V148" s="62"/>
      <c r="W148" s="83">
        <f>IFERROR(INDEX('Resource Rate Library'!$I$5:$I$85,MATCH(P148,'Resource Rate Library'!$A$5:$A$85,0)),0)</f>
        <v>0</v>
      </c>
      <c r="X148" s="52"/>
      <c r="Y148" s="83">
        <f t="shared" si="14"/>
        <v>0</v>
      </c>
      <c r="Z148" s="83" t="str">
        <f t="shared" si="15"/>
        <v/>
      </c>
      <c r="AA148" s="81" t="str">
        <f>IFERROR(INDEX('Resource Rate Library'!$N$5:$N$85,MATCH(P148,'Resource Rate Library'!$A$5:$A$85,0)),"")</f>
        <v/>
      </c>
      <c r="AB148" s="53"/>
      <c r="AC148" s="59"/>
      <c r="AD148" s="81" t="str">
        <f>IFERROR(INDEX('Resource Rate Library'!$G$5:$G$85,MATCH(P148,'Resource Rate Library'!$A$5:$A$85,0)),"")</f>
        <v/>
      </c>
      <c r="AE148" s="81" t="str">
        <f>IFERROR(INDEX('Resource Rate Library'!$H$5:$H$85,MATCH(P148,'Resource Rate Library'!$A$5:$A$85,0)),"")</f>
        <v/>
      </c>
      <c r="AF148" s="53"/>
      <c r="AG148" s="53"/>
      <c r="AH148" s="53"/>
      <c r="AI148" s="81" t="str">
        <f t="shared" si="11"/>
        <v/>
      </c>
      <c r="AJ148" s="54"/>
      <c r="AK148" s="197"/>
      <c r="AL148" s="197"/>
      <c r="AM148" s="197"/>
      <c r="AN148" s="199">
        <f>IF(AND(AK148="Yes",OR(O148="Labour",O148="Plant")),Z148,0)</f>
        <v>0</v>
      </c>
    </row>
    <row r="149" spans="1:40" x14ac:dyDescent="0.2">
      <c r="A149" s="80" t="str">
        <f>IF(B149="","",B149&amp;"-"&amp;TEXT(COUNTIF($B$7:B149,B149),"000"))</f>
        <v/>
      </c>
      <c r="B149" s="53"/>
      <c r="C149" s="81" t="str">
        <f>IFERROR(INDEX('QS Takeoff'!$A$3:$A$194,MATCH(B149,'QS Takeoff'!$B$3:$B$194,0)),"")</f>
        <v/>
      </c>
      <c r="D149" s="81" t="str">
        <f>IFERROR(INDEX('QS Takeoff'!$C$3:$C$194,MATCH(B149,'QS Takeoff'!$B$3:$B$194,0)),"")</f>
        <v/>
      </c>
      <c r="E149" s="81" t="str">
        <f>IFERROR(INDEX('QS Takeoff'!$E$3:$E$194,MATCH(B149,'QS Takeoff'!$B$3:$B$194,0)),"")</f>
        <v/>
      </c>
      <c r="F149" s="81" t="str">
        <f>IFERROR(INDEX('QS Takeoff'!$D$3:$D$194,MATCH(B149,'QS Takeoff'!$B$3:$B$194,0)),"")</f>
        <v/>
      </c>
      <c r="G149" s="81" t="str">
        <f>IFERROR(INDEX('QS Takeoff'!$J$3:$J$194,MATCH(B149,'QS Takeoff'!$B$3:$B$194,0)),"")</f>
        <v/>
      </c>
      <c r="H149" s="53"/>
      <c r="I149" s="60"/>
      <c r="J149" s="60"/>
      <c r="K149" s="82" t="str">
        <f t="shared" si="12"/>
        <v/>
      </c>
      <c r="L149" s="60"/>
      <c r="M149" s="82" t="str">
        <f t="shared" si="13"/>
        <v/>
      </c>
      <c r="N149" s="53"/>
      <c r="O149" s="53"/>
      <c r="P149" s="53"/>
      <c r="Q149" s="81" t="str">
        <f>IFERROR(INDEX('Resource Rate Library'!$C$5:$C$85,MATCH(P149,'Resource Rate Library'!$A$5:$A$85,0)),"")</f>
        <v/>
      </c>
      <c r="R149" s="53"/>
      <c r="S149" s="53"/>
      <c r="T149" s="81" t="str">
        <f>IFERROR(INDEX('Resource Rate Library'!$E$5:$E$85,MATCH(P149,'Resource Rate Library'!$A$5:$A$85,0)),"")</f>
        <v/>
      </c>
      <c r="U149" s="62"/>
      <c r="V149" s="62"/>
      <c r="W149" s="83">
        <f>IFERROR(INDEX('Resource Rate Library'!$I$5:$I$85,MATCH(P149,'Resource Rate Library'!$A$5:$A$85,0)),0)</f>
        <v>0</v>
      </c>
      <c r="X149" s="52"/>
      <c r="Y149" s="83">
        <f t="shared" si="14"/>
        <v>0</v>
      </c>
      <c r="Z149" s="83" t="str">
        <f t="shared" si="15"/>
        <v/>
      </c>
      <c r="AA149" s="81" t="str">
        <f>IFERROR(INDEX('Resource Rate Library'!$N$5:$N$85,MATCH(P149,'Resource Rate Library'!$A$5:$A$85,0)),"")</f>
        <v/>
      </c>
      <c r="AB149" s="53"/>
      <c r="AC149" s="59"/>
      <c r="AD149" s="81" t="str">
        <f>IFERROR(INDEX('Resource Rate Library'!$G$5:$G$85,MATCH(P149,'Resource Rate Library'!$A$5:$A$85,0)),"")</f>
        <v/>
      </c>
      <c r="AE149" s="81" t="str">
        <f>IFERROR(INDEX('Resource Rate Library'!$H$5:$H$85,MATCH(P149,'Resource Rate Library'!$A$5:$A$85,0)),"")</f>
        <v/>
      </c>
      <c r="AF149" s="53"/>
      <c r="AG149" s="53"/>
      <c r="AH149" s="53"/>
      <c r="AI149" s="81" t="str">
        <f t="shared" si="11"/>
        <v/>
      </c>
      <c r="AJ149" s="54"/>
      <c r="AK149" s="197"/>
      <c r="AL149" s="197"/>
      <c r="AM149" s="197"/>
      <c r="AN149" s="199">
        <f>IF(AND(AK149="Yes",OR(O149="Labour",O149="Plant")),Z149,0)</f>
        <v>0</v>
      </c>
    </row>
    <row r="150" spans="1:40" x14ac:dyDescent="0.2">
      <c r="A150" s="80" t="str">
        <f>IF(B150="","",B150&amp;"-"&amp;TEXT(COUNTIF($B$7:B150,B150),"000"))</f>
        <v/>
      </c>
      <c r="B150" s="53"/>
      <c r="C150" s="81" t="str">
        <f>IFERROR(INDEX('QS Takeoff'!$A$3:$A$194,MATCH(B150,'QS Takeoff'!$B$3:$B$194,0)),"")</f>
        <v/>
      </c>
      <c r="D150" s="81" t="str">
        <f>IFERROR(INDEX('QS Takeoff'!$C$3:$C$194,MATCH(B150,'QS Takeoff'!$B$3:$B$194,0)),"")</f>
        <v/>
      </c>
      <c r="E150" s="81" t="str">
        <f>IFERROR(INDEX('QS Takeoff'!$E$3:$E$194,MATCH(B150,'QS Takeoff'!$B$3:$B$194,0)),"")</f>
        <v/>
      </c>
      <c r="F150" s="81" t="str">
        <f>IFERROR(INDEX('QS Takeoff'!$D$3:$D$194,MATCH(B150,'QS Takeoff'!$B$3:$B$194,0)),"")</f>
        <v/>
      </c>
      <c r="G150" s="81" t="str">
        <f>IFERROR(INDEX('QS Takeoff'!$J$3:$J$194,MATCH(B150,'QS Takeoff'!$B$3:$B$194,0)),"")</f>
        <v/>
      </c>
      <c r="H150" s="53"/>
      <c r="I150" s="60"/>
      <c r="J150" s="60"/>
      <c r="K150" s="82" t="str">
        <f t="shared" si="12"/>
        <v/>
      </c>
      <c r="L150" s="60"/>
      <c r="M150" s="82" t="str">
        <f t="shared" si="13"/>
        <v/>
      </c>
      <c r="N150" s="53"/>
      <c r="O150" s="53"/>
      <c r="P150" s="53"/>
      <c r="Q150" s="81" t="str">
        <f>IFERROR(INDEX('Resource Rate Library'!$C$5:$C$85,MATCH(P150,'Resource Rate Library'!$A$5:$A$85,0)),"")</f>
        <v/>
      </c>
      <c r="R150" s="53"/>
      <c r="S150" s="53"/>
      <c r="T150" s="81" t="str">
        <f>IFERROR(INDEX('Resource Rate Library'!$E$5:$E$85,MATCH(P150,'Resource Rate Library'!$A$5:$A$85,0)),"")</f>
        <v/>
      </c>
      <c r="U150" s="62"/>
      <c r="V150" s="62"/>
      <c r="W150" s="83">
        <f>IFERROR(INDEX('Resource Rate Library'!$I$5:$I$85,MATCH(P150,'Resource Rate Library'!$A$5:$A$85,0)),0)</f>
        <v>0</v>
      </c>
      <c r="X150" s="52"/>
      <c r="Y150" s="83">
        <f t="shared" si="14"/>
        <v>0</v>
      </c>
      <c r="Z150" s="83" t="str">
        <f t="shared" si="15"/>
        <v/>
      </c>
      <c r="AA150" s="81" t="str">
        <f>IFERROR(INDEX('Resource Rate Library'!$N$5:$N$85,MATCH(P150,'Resource Rate Library'!$A$5:$A$85,0)),"")</f>
        <v/>
      </c>
      <c r="AB150" s="53"/>
      <c r="AC150" s="59"/>
      <c r="AD150" s="81" t="str">
        <f>IFERROR(INDEX('Resource Rate Library'!$G$5:$G$85,MATCH(P150,'Resource Rate Library'!$A$5:$A$85,0)),"")</f>
        <v/>
      </c>
      <c r="AE150" s="81" t="str">
        <f>IFERROR(INDEX('Resource Rate Library'!$H$5:$H$85,MATCH(P150,'Resource Rate Library'!$A$5:$A$85,0)),"")</f>
        <v/>
      </c>
      <c r="AF150" s="53"/>
      <c r="AG150" s="53"/>
      <c r="AH150" s="53"/>
      <c r="AI150" s="81" t="str">
        <f t="shared" si="11"/>
        <v/>
      </c>
      <c r="AJ150" s="54"/>
      <c r="AK150" s="197"/>
      <c r="AL150" s="197"/>
      <c r="AM150" s="197"/>
      <c r="AN150" s="199">
        <f>IF(AND(AK150="Yes",OR(O150="Labour",O150="Plant")),Z150,0)</f>
        <v>0</v>
      </c>
    </row>
    <row r="151" spans="1:40" x14ac:dyDescent="0.2">
      <c r="A151" s="80" t="str">
        <f>IF(B151="","",B151&amp;"-"&amp;TEXT(COUNTIF($B$7:B151,B151),"000"))</f>
        <v/>
      </c>
      <c r="B151" s="53"/>
      <c r="C151" s="81" t="str">
        <f>IFERROR(INDEX('QS Takeoff'!$A$3:$A$194,MATCH(B151,'QS Takeoff'!$B$3:$B$194,0)),"")</f>
        <v/>
      </c>
      <c r="D151" s="81" t="str">
        <f>IFERROR(INDEX('QS Takeoff'!$C$3:$C$194,MATCH(B151,'QS Takeoff'!$B$3:$B$194,0)),"")</f>
        <v/>
      </c>
      <c r="E151" s="81" t="str">
        <f>IFERROR(INDEX('QS Takeoff'!$E$3:$E$194,MATCH(B151,'QS Takeoff'!$B$3:$B$194,0)),"")</f>
        <v/>
      </c>
      <c r="F151" s="81" t="str">
        <f>IFERROR(INDEX('QS Takeoff'!$D$3:$D$194,MATCH(B151,'QS Takeoff'!$B$3:$B$194,0)),"")</f>
        <v/>
      </c>
      <c r="G151" s="81" t="str">
        <f>IFERROR(INDEX('QS Takeoff'!$J$3:$J$194,MATCH(B151,'QS Takeoff'!$B$3:$B$194,0)),"")</f>
        <v/>
      </c>
      <c r="H151" s="53"/>
      <c r="I151" s="60"/>
      <c r="J151" s="60"/>
      <c r="K151" s="82" t="str">
        <f t="shared" si="12"/>
        <v/>
      </c>
      <c r="L151" s="60"/>
      <c r="M151" s="82" t="str">
        <f t="shared" si="13"/>
        <v/>
      </c>
      <c r="N151" s="53"/>
      <c r="O151" s="53"/>
      <c r="P151" s="53"/>
      <c r="Q151" s="81" t="str">
        <f>IFERROR(INDEX('Resource Rate Library'!$C$5:$C$85,MATCH(P151,'Resource Rate Library'!$A$5:$A$85,0)),"")</f>
        <v/>
      </c>
      <c r="R151" s="53"/>
      <c r="S151" s="53"/>
      <c r="T151" s="81" t="str">
        <f>IFERROR(INDEX('Resource Rate Library'!$E$5:$E$85,MATCH(P151,'Resource Rate Library'!$A$5:$A$85,0)),"")</f>
        <v/>
      </c>
      <c r="U151" s="62"/>
      <c r="V151" s="62"/>
      <c r="W151" s="83">
        <f>IFERROR(INDEX('Resource Rate Library'!$I$5:$I$85,MATCH(P151,'Resource Rate Library'!$A$5:$A$85,0)),0)</f>
        <v>0</v>
      </c>
      <c r="X151" s="52"/>
      <c r="Y151" s="83">
        <f t="shared" si="14"/>
        <v>0</v>
      </c>
      <c r="Z151" s="83" t="str">
        <f t="shared" si="15"/>
        <v/>
      </c>
      <c r="AA151" s="81" t="str">
        <f>IFERROR(INDEX('Resource Rate Library'!$N$5:$N$85,MATCH(P151,'Resource Rate Library'!$A$5:$A$85,0)),"")</f>
        <v/>
      </c>
      <c r="AB151" s="53"/>
      <c r="AC151" s="59"/>
      <c r="AD151" s="81" t="str">
        <f>IFERROR(INDEX('Resource Rate Library'!$G$5:$G$85,MATCH(P151,'Resource Rate Library'!$A$5:$A$85,0)),"")</f>
        <v/>
      </c>
      <c r="AE151" s="81" t="str">
        <f>IFERROR(INDEX('Resource Rate Library'!$H$5:$H$85,MATCH(P151,'Resource Rate Library'!$A$5:$A$85,0)),"")</f>
        <v/>
      </c>
      <c r="AF151" s="53"/>
      <c r="AG151" s="53"/>
      <c r="AH151" s="53"/>
      <c r="AI151" s="81" t="str">
        <f t="shared" si="11"/>
        <v/>
      </c>
      <c r="AJ151" s="54"/>
      <c r="AK151" s="197"/>
      <c r="AL151" s="197"/>
      <c r="AM151" s="197"/>
      <c r="AN151" s="199">
        <f>IF(AND(AK151="Yes",OR(O151="Labour",O151="Plant")),Z151,0)</f>
        <v>0</v>
      </c>
    </row>
    <row r="152" spans="1:40" x14ac:dyDescent="0.2">
      <c r="A152" s="80" t="str">
        <f>IF(B152="","",B152&amp;"-"&amp;TEXT(COUNTIF($B$7:B152,B152),"000"))</f>
        <v/>
      </c>
      <c r="B152" s="53"/>
      <c r="C152" s="81" t="str">
        <f>IFERROR(INDEX('QS Takeoff'!$A$3:$A$194,MATCH(B152,'QS Takeoff'!$B$3:$B$194,0)),"")</f>
        <v/>
      </c>
      <c r="D152" s="81" t="str">
        <f>IFERROR(INDEX('QS Takeoff'!$C$3:$C$194,MATCH(B152,'QS Takeoff'!$B$3:$B$194,0)),"")</f>
        <v/>
      </c>
      <c r="E152" s="81" t="str">
        <f>IFERROR(INDEX('QS Takeoff'!$E$3:$E$194,MATCH(B152,'QS Takeoff'!$B$3:$B$194,0)),"")</f>
        <v/>
      </c>
      <c r="F152" s="81" t="str">
        <f>IFERROR(INDEX('QS Takeoff'!$D$3:$D$194,MATCH(B152,'QS Takeoff'!$B$3:$B$194,0)),"")</f>
        <v/>
      </c>
      <c r="G152" s="81" t="str">
        <f>IFERROR(INDEX('QS Takeoff'!$J$3:$J$194,MATCH(B152,'QS Takeoff'!$B$3:$B$194,0)),"")</f>
        <v/>
      </c>
      <c r="H152" s="53"/>
      <c r="I152" s="60"/>
      <c r="J152" s="60"/>
      <c r="K152" s="82" t="str">
        <f t="shared" si="12"/>
        <v/>
      </c>
      <c r="L152" s="60"/>
      <c r="M152" s="82" t="str">
        <f t="shared" si="13"/>
        <v/>
      </c>
      <c r="N152" s="53"/>
      <c r="O152" s="53"/>
      <c r="P152" s="53"/>
      <c r="Q152" s="81" t="str">
        <f>IFERROR(INDEX('Resource Rate Library'!$C$5:$C$85,MATCH(P152,'Resource Rate Library'!$A$5:$A$85,0)),"")</f>
        <v/>
      </c>
      <c r="R152" s="53"/>
      <c r="S152" s="53"/>
      <c r="T152" s="81" t="str">
        <f>IFERROR(INDEX('Resource Rate Library'!$E$5:$E$85,MATCH(P152,'Resource Rate Library'!$A$5:$A$85,0)),"")</f>
        <v/>
      </c>
      <c r="U152" s="62"/>
      <c r="V152" s="62"/>
      <c r="W152" s="83">
        <f>IFERROR(INDEX('Resource Rate Library'!$I$5:$I$85,MATCH(P152,'Resource Rate Library'!$A$5:$A$85,0)),0)</f>
        <v>0</v>
      </c>
      <c r="X152" s="52"/>
      <c r="Y152" s="83">
        <f t="shared" si="14"/>
        <v>0</v>
      </c>
      <c r="Z152" s="83" t="str">
        <f t="shared" si="15"/>
        <v/>
      </c>
      <c r="AA152" s="81" t="str">
        <f>IFERROR(INDEX('Resource Rate Library'!$N$5:$N$85,MATCH(P152,'Resource Rate Library'!$A$5:$A$85,0)),"")</f>
        <v/>
      </c>
      <c r="AB152" s="53"/>
      <c r="AC152" s="59"/>
      <c r="AD152" s="81" t="str">
        <f>IFERROR(INDEX('Resource Rate Library'!$G$5:$G$85,MATCH(P152,'Resource Rate Library'!$A$5:$A$85,0)),"")</f>
        <v/>
      </c>
      <c r="AE152" s="81" t="str">
        <f>IFERROR(INDEX('Resource Rate Library'!$H$5:$H$85,MATCH(P152,'Resource Rate Library'!$A$5:$A$85,0)),"")</f>
        <v/>
      </c>
      <c r="AF152" s="53"/>
      <c r="AG152" s="53"/>
      <c r="AH152" s="53"/>
      <c r="AI152" s="81" t="str">
        <f t="shared" si="11"/>
        <v/>
      </c>
      <c r="AJ152" s="54"/>
      <c r="AK152" s="197"/>
      <c r="AL152" s="197"/>
      <c r="AM152" s="197"/>
      <c r="AN152" s="199">
        <f>IF(AND(AK152="Yes",OR(O152="Labour",O152="Plant")),Z152,0)</f>
        <v>0</v>
      </c>
    </row>
    <row r="153" spans="1:40" x14ac:dyDescent="0.2">
      <c r="A153" s="80" t="str">
        <f>IF(B153="","",B153&amp;"-"&amp;TEXT(COUNTIF($B$7:B153,B153),"000"))</f>
        <v/>
      </c>
      <c r="B153" s="53"/>
      <c r="C153" s="81" t="str">
        <f>IFERROR(INDEX('QS Takeoff'!$A$3:$A$194,MATCH(B153,'QS Takeoff'!$B$3:$B$194,0)),"")</f>
        <v/>
      </c>
      <c r="D153" s="81" t="str">
        <f>IFERROR(INDEX('QS Takeoff'!$C$3:$C$194,MATCH(B153,'QS Takeoff'!$B$3:$B$194,0)),"")</f>
        <v/>
      </c>
      <c r="E153" s="81" t="str">
        <f>IFERROR(INDEX('QS Takeoff'!$E$3:$E$194,MATCH(B153,'QS Takeoff'!$B$3:$B$194,0)),"")</f>
        <v/>
      </c>
      <c r="F153" s="81" t="str">
        <f>IFERROR(INDEX('QS Takeoff'!$D$3:$D$194,MATCH(B153,'QS Takeoff'!$B$3:$B$194,0)),"")</f>
        <v/>
      </c>
      <c r="G153" s="81" t="str">
        <f>IFERROR(INDEX('QS Takeoff'!$J$3:$J$194,MATCH(B153,'QS Takeoff'!$B$3:$B$194,0)),"")</f>
        <v/>
      </c>
      <c r="H153" s="53"/>
      <c r="I153" s="60"/>
      <c r="J153" s="60"/>
      <c r="K153" s="82" t="str">
        <f t="shared" si="12"/>
        <v/>
      </c>
      <c r="L153" s="60"/>
      <c r="M153" s="82" t="str">
        <f t="shared" si="13"/>
        <v/>
      </c>
      <c r="N153" s="53"/>
      <c r="O153" s="53"/>
      <c r="P153" s="53"/>
      <c r="Q153" s="81" t="str">
        <f>IFERROR(INDEX('Resource Rate Library'!$C$5:$C$85,MATCH(P153,'Resource Rate Library'!$A$5:$A$85,0)),"")</f>
        <v/>
      </c>
      <c r="R153" s="53"/>
      <c r="S153" s="53"/>
      <c r="T153" s="81" t="str">
        <f>IFERROR(INDEX('Resource Rate Library'!$E$5:$E$85,MATCH(P153,'Resource Rate Library'!$A$5:$A$85,0)),"")</f>
        <v/>
      </c>
      <c r="U153" s="62"/>
      <c r="V153" s="62"/>
      <c r="W153" s="83">
        <f>IFERROR(INDEX('Resource Rate Library'!$I$5:$I$85,MATCH(P153,'Resource Rate Library'!$A$5:$A$85,0)),0)</f>
        <v>0</v>
      </c>
      <c r="X153" s="52"/>
      <c r="Y153" s="83">
        <f t="shared" si="14"/>
        <v>0</v>
      </c>
      <c r="Z153" s="83" t="str">
        <f t="shared" si="15"/>
        <v/>
      </c>
      <c r="AA153" s="81" t="str">
        <f>IFERROR(INDEX('Resource Rate Library'!$N$5:$N$85,MATCH(P153,'Resource Rate Library'!$A$5:$A$85,0)),"")</f>
        <v/>
      </c>
      <c r="AB153" s="53"/>
      <c r="AC153" s="59"/>
      <c r="AD153" s="81" t="str">
        <f>IFERROR(INDEX('Resource Rate Library'!$G$5:$G$85,MATCH(P153,'Resource Rate Library'!$A$5:$A$85,0)),"")</f>
        <v/>
      </c>
      <c r="AE153" s="81" t="str">
        <f>IFERROR(INDEX('Resource Rate Library'!$H$5:$H$85,MATCH(P153,'Resource Rate Library'!$A$5:$A$85,0)),"")</f>
        <v/>
      </c>
      <c r="AF153" s="53"/>
      <c r="AG153" s="53"/>
      <c r="AH153" s="53"/>
      <c r="AI153" s="81" t="str">
        <f t="shared" ref="AI153:AI184" si="16">IF(B153="","",IF(AND(P153="",N153&lt;&gt;"Lump Sum / Quote"),"RESOURCE CODE",IF(Y153=0,"RATE MISSING",IF(AND(O153="Plant",AD153="Yes",COUNTIFS($B$7:$B$306,B153,$O$7:$O$306,"Labour",$Q$7:$Q$306,"*Operator*")&gt;0),"OPERATOR DOUBLE-COUNT",IF(AND(O153="Plant",AE153="Yes",COUNTIFS($B$7:$B$306,B153,$Q$7:$Q$306,"*Fuel*")&gt;0),"FUEL DOUBLE-COUNT",IF(AH153&lt;&gt;"Yes","VERIFY","OK"))))))</f>
        <v/>
      </c>
      <c r="AJ153" s="54"/>
      <c r="AK153" s="197"/>
      <c r="AL153" s="197"/>
      <c r="AM153" s="197"/>
      <c r="AN153" s="199">
        <f>IF(AND(AK153="Yes",OR(O153="Labour",O153="Plant")),Z153,0)</f>
        <v>0</v>
      </c>
    </row>
    <row r="154" spans="1:40" x14ac:dyDescent="0.2">
      <c r="A154" s="80" t="str">
        <f>IF(B154="","",B154&amp;"-"&amp;TEXT(COUNTIF($B$7:B154,B154),"000"))</f>
        <v/>
      </c>
      <c r="B154" s="53"/>
      <c r="C154" s="81" t="str">
        <f>IFERROR(INDEX('QS Takeoff'!$A$3:$A$194,MATCH(B154,'QS Takeoff'!$B$3:$B$194,0)),"")</f>
        <v/>
      </c>
      <c r="D154" s="81" t="str">
        <f>IFERROR(INDEX('QS Takeoff'!$C$3:$C$194,MATCH(B154,'QS Takeoff'!$B$3:$B$194,0)),"")</f>
        <v/>
      </c>
      <c r="E154" s="81" t="str">
        <f>IFERROR(INDEX('QS Takeoff'!$E$3:$E$194,MATCH(B154,'QS Takeoff'!$B$3:$B$194,0)),"")</f>
        <v/>
      </c>
      <c r="F154" s="81" t="str">
        <f>IFERROR(INDEX('QS Takeoff'!$D$3:$D$194,MATCH(B154,'QS Takeoff'!$B$3:$B$194,0)),"")</f>
        <v/>
      </c>
      <c r="G154" s="81" t="str">
        <f>IFERROR(INDEX('QS Takeoff'!$J$3:$J$194,MATCH(B154,'QS Takeoff'!$B$3:$B$194,0)),"")</f>
        <v/>
      </c>
      <c r="H154" s="53"/>
      <c r="I154" s="60"/>
      <c r="J154" s="60"/>
      <c r="K154" s="82" t="str">
        <f t="shared" si="12"/>
        <v/>
      </c>
      <c r="L154" s="60"/>
      <c r="M154" s="82" t="str">
        <f t="shared" si="13"/>
        <v/>
      </c>
      <c r="N154" s="53"/>
      <c r="O154" s="53"/>
      <c r="P154" s="53"/>
      <c r="Q154" s="81" t="str">
        <f>IFERROR(INDEX('Resource Rate Library'!$C$5:$C$85,MATCH(P154,'Resource Rate Library'!$A$5:$A$85,0)),"")</f>
        <v/>
      </c>
      <c r="R154" s="53"/>
      <c r="S154" s="53"/>
      <c r="T154" s="81" t="str">
        <f>IFERROR(INDEX('Resource Rate Library'!$E$5:$E$85,MATCH(P154,'Resource Rate Library'!$A$5:$A$85,0)),"")</f>
        <v/>
      </c>
      <c r="U154" s="62"/>
      <c r="V154" s="62"/>
      <c r="W154" s="83">
        <f>IFERROR(INDEX('Resource Rate Library'!$I$5:$I$85,MATCH(P154,'Resource Rate Library'!$A$5:$A$85,0)),0)</f>
        <v>0</v>
      </c>
      <c r="X154" s="52"/>
      <c r="Y154" s="83">
        <f t="shared" si="14"/>
        <v>0</v>
      </c>
      <c r="Z154" s="83" t="str">
        <f t="shared" si="15"/>
        <v/>
      </c>
      <c r="AA154" s="81" t="str">
        <f>IFERROR(INDEX('Resource Rate Library'!$N$5:$N$85,MATCH(P154,'Resource Rate Library'!$A$5:$A$85,0)),"")</f>
        <v/>
      </c>
      <c r="AB154" s="53"/>
      <c r="AC154" s="59"/>
      <c r="AD154" s="81" t="str">
        <f>IFERROR(INDEX('Resource Rate Library'!$G$5:$G$85,MATCH(P154,'Resource Rate Library'!$A$5:$A$85,0)),"")</f>
        <v/>
      </c>
      <c r="AE154" s="81" t="str">
        <f>IFERROR(INDEX('Resource Rate Library'!$H$5:$H$85,MATCH(P154,'Resource Rate Library'!$A$5:$A$85,0)),"")</f>
        <v/>
      </c>
      <c r="AF154" s="53"/>
      <c r="AG154" s="53"/>
      <c r="AH154" s="53"/>
      <c r="AI154" s="81" t="str">
        <f t="shared" si="16"/>
        <v/>
      </c>
      <c r="AJ154" s="54"/>
      <c r="AK154" s="197"/>
      <c r="AL154" s="197"/>
      <c r="AM154" s="197"/>
      <c r="AN154" s="199">
        <f>IF(AND(AK154="Yes",OR(O154="Labour",O154="Plant")),Z154,0)</f>
        <v>0</v>
      </c>
    </row>
    <row r="155" spans="1:40" x14ac:dyDescent="0.2">
      <c r="A155" s="80" t="str">
        <f>IF(B155="","",B155&amp;"-"&amp;TEXT(COUNTIF($B$7:B155,B155),"000"))</f>
        <v/>
      </c>
      <c r="B155" s="53"/>
      <c r="C155" s="81" t="str">
        <f>IFERROR(INDEX('QS Takeoff'!$A$3:$A$194,MATCH(B155,'QS Takeoff'!$B$3:$B$194,0)),"")</f>
        <v/>
      </c>
      <c r="D155" s="81" t="str">
        <f>IFERROR(INDEX('QS Takeoff'!$C$3:$C$194,MATCH(B155,'QS Takeoff'!$B$3:$B$194,0)),"")</f>
        <v/>
      </c>
      <c r="E155" s="81" t="str">
        <f>IFERROR(INDEX('QS Takeoff'!$E$3:$E$194,MATCH(B155,'QS Takeoff'!$B$3:$B$194,0)),"")</f>
        <v/>
      </c>
      <c r="F155" s="81" t="str">
        <f>IFERROR(INDEX('QS Takeoff'!$D$3:$D$194,MATCH(B155,'QS Takeoff'!$B$3:$B$194,0)),"")</f>
        <v/>
      </c>
      <c r="G155" s="81" t="str">
        <f>IFERROR(INDEX('QS Takeoff'!$J$3:$J$194,MATCH(B155,'QS Takeoff'!$B$3:$B$194,0)),"")</f>
        <v/>
      </c>
      <c r="H155" s="53"/>
      <c r="I155" s="60"/>
      <c r="J155" s="60"/>
      <c r="K155" s="82" t="str">
        <f t="shared" si="12"/>
        <v/>
      </c>
      <c r="L155" s="60"/>
      <c r="M155" s="82" t="str">
        <f t="shared" si="13"/>
        <v/>
      </c>
      <c r="N155" s="53"/>
      <c r="O155" s="53"/>
      <c r="P155" s="53"/>
      <c r="Q155" s="81" t="str">
        <f>IFERROR(INDEX('Resource Rate Library'!$C$5:$C$85,MATCH(P155,'Resource Rate Library'!$A$5:$A$85,0)),"")</f>
        <v/>
      </c>
      <c r="R155" s="53"/>
      <c r="S155" s="53"/>
      <c r="T155" s="81" t="str">
        <f>IFERROR(INDEX('Resource Rate Library'!$E$5:$E$85,MATCH(P155,'Resource Rate Library'!$A$5:$A$85,0)),"")</f>
        <v/>
      </c>
      <c r="U155" s="62"/>
      <c r="V155" s="62"/>
      <c r="W155" s="83">
        <f>IFERROR(INDEX('Resource Rate Library'!$I$5:$I$85,MATCH(P155,'Resource Rate Library'!$A$5:$A$85,0)),0)</f>
        <v>0</v>
      </c>
      <c r="X155" s="52"/>
      <c r="Y155" s="83">
        <f t="shared" si="14"/>
        <v>0</v>
      </c>
      <c r="Z155" s="83" t="str">
        <f t="shared" si="15"/>
        <v/>
      </c>
      <c r="AA155" s="81" t="str">
        <f>IFERROR(INDEX('Resource Rate Library'!$N$5:$N$85,MATCH(P155,'Resource Rate Library'!$A$5:$A$85,0)),"")</f>
        <v/>
      </c>
      <c r="AB155" s="53"/>
      <c r="AC155" s="59"/>
      <c r="AD155" s="81" t="str">
        <f>IFERROR(INDEX('Resource Rate Library'!$G$5:$G$85,MATCH(P155,'Resource Rate Library'!$A$5:$A$85,0)),"")</f>
        <v/>
      </c>
      <c r="AE155" s="81" t="str">
        <f>IFERROR(INDEX('Resource Rate Library'!$H$5:$H$85,MATCH(P155,'Resource Rate Library'!$A$5:$A$85,0)),"")</f>
        <v/>
      </c>
      <c r="AF155" s="53"/>
      <c r="AG155" s="53"/>
      <c r="AH155" s="53"/>
      <c r="AI155" s="81" t="str">
        <f t="shared" si="16"/>
        <v/>
      </c>
      <c r="AJ155" s="54"/>
      <c r="AK155" s="197"/>
      <c r="AL155" s="197"/>
      <c r="AM155" s="197"/>
      <c r="AN155" s="199">
        <f>IF(AND(AK155="Yes",OR(O155="Labour",O155="Plant")),Z155,0)</f>
        <v>0</v>
      </c>
    </row>
    <row r="156" spans="1:40" x14ac:dyDescent="0.2">
      <c r="A156" s="80" t="str">
        <f>IF(B156="","",B156&amp;"-"&amp;TEXT(COUNTIF($B$7:B156,B156),"000"))</f>
        <v/>
      </c>
      <c r="B156" s="53"/>
      <c r="C156" s="81" t="str">
        <f>IFERROR(INDEX('QS Takeoff'!$A$3:$A$194,MATCH(B156,'QS Takeoff'!$B$3:$B$194,0)),"")</f>
        <v/>
      </c>
      <c r="D156" s="81" t="str">
        <f>IFERROR(INDEX('QS Takeoff'!$C$3:$C$194,MATCH(B156,'QS Takeoff'!$B$3:$B$194,0)),"")</f>
        <v/>
      </c>
      <c r="E156" s="81" t="str">
        <f>IFERROR(INDEX('QS Takeoff'!$E$3:$E$194,MATCH(B156,'QS Takeoff'!$B$3:$B$194,0)),"")</f>
        <v/>
      </c>
      <c r="F156" s="81" t="str">
        <f>IFERROR(INDEX('QS Takeoff'!$D$3:$D$194,MATCH(B156,'QS Takeoff'!$B$3:$B$194,0)),"")</f>
        <v/>
      </c>
      <c r="G156" s="81" t="str">
        <f>IFERROR(INDEX('QS Takeoff'!$J$3:$J$194,MATCH(B156,'QS Takeoff'!$B$3:$B$194,0)),"")</f>
        <v/>
      </c>
      <c r="H156" s="53"/>
      <c r="I156" s="60"/>
      <c r="J156" s="60"/>
      <c r="K156" s="82" t="str">
        <f t="shared" si="12"/>
        <v/>
      </c>
      <c r="L156" s="60"/>
      <c r="M156" s="82" t="str">
        <f t="shared" si="13"/>
        <v/>
      </c>
      <c r="N156" s="53"/>
      <c r="O156" s="53"/>
      <c r="P156" s="53"/>
      <c r="Q156" s="81" t="str">
        <f>IFERROR(INDEX('Resource Rate Library'!$C$5:$C$85,MATCH(P156,'Resource Rate Library'!$A$5:$A$85,0)),"")</f>
        <v/>
      </c>
      <c r="R156" s="53"/>
      <c r="S156" s="53"/>
      <c r="T156" s="81" t="str">
        <f>IFERROR(INDEX('Resource Rate Library'!$E$5:$E$85,MATCH(P156,'Resource Rate Library'!$A$5:$A$85,0)),"")</f>
        <v/>
      </c>
      <c r="U156" s="62"/>
      <c r="V156" s="62"/>
      <c r="W156" s="83">
        <f>IFERROR(INDEX('Resource Rate Library'!$I$5:$I$85,MATCH(P156,'Resource Rate Library'!$A$5:$A$85,0)),0)</f>
        <v>0</v>
      </c>
      <c r="X156" s="52"/>
      <c r="Y156" s="83">
        <f t="shared" si="14"/>
        <v>0</v>
      </c>
      <c r="Z156" s="83" t="str">
        <f t="shared" si="15"/>
        <v/>
      </c>
      <c r="AA156" s="81" t="str">
        <f>IFERROR(INDEX('Resource Rate Library'!$N$5:$N$85,MATCH(P156,'Resource Rate Library'!$A$5:$A$85,0)),"")</f>
        <v/>
      </c>
      <c r="AB156" s="53"/>
      <c r="AC156" s="59"/>
      <c r="AD156" s="81" t="str">
        <f>IFERROR(INDEX('Resource Rate Library'!$G$5:$G$85,MATCH(P156,'Resource Rate Library'!$A$5:$A$85,0)),"")</f>
        <v/>
      </c>
      <c r="AE156" s="81" t="str">
        <f>IFERROR(INDEX('Resource Rate Library'!$H$5:$H$85,MATCH(P156,'Resource Rate Library'!$A$5:$A$85,0)),"")</f>
        <v/>
      </c>
      <c r="AF156" s="53"/>
      <c r="AG156" s="53"/>
      <c r="AH156" s="53"/>
      <c r="AI156" s="81" t="str">
        <f t="shared" si="16"/>
        <v/>
      </c>
      <c r="AJ156" s="54"/>
      <c r="AK156" s="197"/>
      <c r="AL156" s="197"/>
      <c r="AM156" s="197"/>
      <c r="AN156" s="199">
        <f>IF(AND(AK156="Yes",OR(O156="Labour",O156="Plant")),Z156,0)</f>
        <v>0</v>
      </c>
    </row>
    <row r="157" spans="1:40" x14ac:dyDescent="0.2">
      <c r="A157" s="80" t="str">
        <f>IF(B157="","",B157&amp;"-"&amp;TEXT(COUNTIF($B$7:B157,B157),"000"))</f>
        <v/>
      </c>
      <c r="B157" s="53"/>
      <c r="C157" s="81" t="str">
        <f>IFERROR(INDEX('QS Takeoff'!$A$3:$A$194,MATCH(B157,'QS Takeoff'!$B$3:$B$194,0)),"")</f>
        <v/>
      </c>
      <c r="D157" s="81" t="str">
        <f>IFERROR(INDEX('QS Takeoff'!$C$3:$C$194,MATCH(B157,'QS Takeoff'!$B$3:$B$194,0)),"")</f>
        <v/>
      </c>
      <c r="E157" s="81" t="str">
        <f>IFERROR(INDEX('QS Takeoff'!$E$3:$E$194,MATCH(B157,'QS Takeoff'!$B$3:$B$194,0)),"")</f>
        <v/>
      </c>
      <c r="F157" s="81" t="str">
        <f>IFERROR(INDEX('QS Takeoff'!$D$3:$D$194,MATCH(B157,'QS Takeoff'!$B$3:$B$194,0)),"")</f>
        <v/>
      </c>
      <c r="G157" s="81" t="str">
        <f>IFERROR(INDEX('QS Takeoff'!$J$3:$J$194,MATCH(B157,'QS Takeoff'!$B$3:$B$194,0)),"")</f>
        <v/>
      </c>
      <c r="H157" s="53"/>
      <c r="I157" s="60"/>
      <c r="J157" s="60"/>
      <c r="K157" s="82" t="str">
        <f t="shared" si="12"/>
        <v/>
      </c>
      <c r="L157" s="60"/>
      <c r="M157" s="82" t="str">
        <f t="shared" si="13"/>
        <v/>
      </c>
      <c r="N157" s="53"/>
      <c r="O157" s="53"/>
      <c r="P157" s="53"/>
      <c r="Q157" s="81" t="str">
        <f>IFERROR(INDEX('Resource Rate Library'!$C$5:$C$85,MATCH(P157,'Resource Rate Library'!$A$5:$A$85,0)),"")</f>
        <v/>
      </c>
      <c r="R157" s="53"/>
      <c r="S157" s="53"/>
      <c r="T157" s="81" t="str">
        <f>IFERROR(INDEX('Resource Rate Library'!$E$5:$E$85,MATCH(P157,'Resource Rate Library'!$A$5:$A$85,0)),"")</f>
        <v/>
      </c>
      <c r="U157" s="62"/>
      <c r="V157" s="62"/>
      <c r="W157" s="83">
        <f>IFERROR(INDEX('Resource Rate Library'!$I$5:$I$85,MATCH(P157,'Resource Rate Library'!$A$5:$A$85,0)),0)</f>
        <v>0</v>
      </c>
      <c r="X157" s="52"/>
      <c r="Y157" s="83">
        <f t="shared" si="14"/>
        <v>0</v>
      </c>
      <c r="Z157" s="83" t="str">
        <f t="shared" si="15"/>
        <v/>
      </c>
      <c r="AA157" s="81" t="str">
        <f>IFERROR(INDEX('Resource Rate Library'!$N$5:$N$85,MATCH(P157,'Resource Rate Library'!$A$5:$A$85,0)),"")</f>
        <v/>
      </c>
      <c r="AB157" s="53"/>
      <c r="AC157" s="59"/>
      <c r="AD157" s="81" t="str">
        <f>IFERROR(INDEX('Resource Rate Library'!$G$5:$G$85,MATCH(P157,'Resource Rate Library'!$A$5:$A$85,0)),"")</f>
        <v/>
      </c>
      <c r="AE157" s="81" t="str">
        <f>IFERROR(INDEX('Resource Rate Library'!$H$5:$H$85,MATCH(P157,'Resource Rate Library'!$A$5:$A$85,0)),"")</f>
        <v/>
      </c>
      <c r="AF157" s="53"/>
      <c r="AG157" s="53"/>
      <c r="AH157" s="53"/>
      <c r="AI157" s="81" t="str">
        <f t="shared" si="16"/>
        <v/>
      </c>
      <c r="AJ157" s="54"/>
      <c r="AK157" s="197"/>
      <c r="AL157" s="197"/>
      <c r="AM157" s="197"/>
      <c r="AN157" s="199">
        <f>IF(AND(AK157="Yes",OR(O157="Labour",O157="Plant")),Z157,0)</f>
        <v>0</v>
      </c>
    </row>
    <row r="158" spans="1:40" x14ac:dyDescent="0.2">
      <c r="A158" s="80" t="str">
        <f>IF(B158="","",B158&amp;"-"&amp;TEXT(COUNTIF($B$7:B158,B158),"000"))</f>
        <v/>
      </c>
      <c r="B158" s="53"/>
      <c r="C158" s="81" t="str">
        <f>IFERROR(INDEX('QS Takeoff'!$A$3:$A$194,MATCH(B158,'QS Takeoff'!$B$3:$B$194,0)),"")</f>
        <v/>
      </c>
      <c r="D158" s="81" t="str">
        <f>IFERROR(INDEX('QS Takeoff'!$C$3:$C$194,MATCH(B158,'QS Takeoff'!$B$3:$B$194,0)),"")</f>
        <v/>
      </c>
      <c r="E158" s="81" t="str">
        <f>IFERROR(INDEX('QS Takeoff'!$E$3:$E$194,MATCH(B158,'QS Takeoff'!$B$3:$B$194,0)),"")</f>
        <v/>
      </c>
      <c r="F158" s="81" t="str">
        <f>IFERROR(INDEX('QS Takeoff'!$D$3:$D$194,MATCH(B158,'QS Takeoff'!$B$3:$B$194,0)),"")</f>
        <v/>
      </c>
      <c r="G158" s="81" t="str">
        <f>IFERROR(INDEX('QS Takeoff'!$J$3:$J$194,MATCH(B158,'QS Takeoff'!$B$3:$B$194,0)),"")</f>
        <v/>
      </c>
      <c r="H158" s="53"/>
      <c r="I158" s="60"/>
      <c r="J158" s="60"/>
      <c r="K158" s="82" t="str">
        <f t="shared" si="12"/>
        <v/>
      </c>
      <c r="L158" s="60"/>
      <c r="M158" s="82" t="str">
        <f t="shared" si="13"/>
        <v/>
      </c>
      <c r="N158" s="53"/>
      <c r="O158" s="53"/>
      <c r="P158" s="53"/>
      <c r="Q158" s="81" t="str">
        <f>IFERROR(INDEX('Resource Rate Library'!$C$5:$C$85,MATCH(P158,'Resource Rate Library'!$A$5:$A$85,0)),"")</f>
        <v/>
      </c>
      <c r="R158" s="53"/>
      <c r="S158" s="53"/>
      <c r="T158" s="81" t="str">
        <f>IFERROR(INDEX('Resource Rate Library'!$E$5:$E$85,MATCH(P158,'Resource Rate Library'!$A$5:$A$85,0)),"")</f>
        <v/>
      </c>
      <c r="U158" s="62"/>
      <c r="V158" s="62"/>
      <c r="W158" s="83">
        <f>IFERROR(INDEX('Resource Rate Library'!$I$5:$I$85,MATCH(P158,'Resource Rate Library'!$A$5:$A$85,0)),0)</f>
        <v>0</v>
      </c>
      <c r="X158" s="52"/>
      <c r="Y158" s="83">
        <f t="shared" si="14"/>
        <v>0</v>
      </c>
      <c r="Z158" s="83" t="str">
        <f t="shared" si="15"/>
        <v/>
      </c>
      <c r="AA158" s="81" t="str">
        <f>IFERROR(INDEX('Resource Rate Library'!$N$5:$N$85,MATCH(P158,'Resource Rate Library'!$A$5:$A$85,0)),"")</f>
        <v/>
      </c>
      <c r="AB158" s="53"/>
      <c r="AC158" s="59"/>
      <c r="AD158" s="81" t="str">
        <f>IFERROR(INDEX('Resource Rate Library'!$G$5:$G$85,MATCH(P158,'Resource Rate Library'!$A$5:$A$85,0)),"")</f>
        <v/>
      </c>
      <c r="AE158" s="81" t="str">
        <f>IFERROR(INDEX('Resource Rate Library'!$H$5:$H$85,MATCH(P158,'Resource Rate Library'!$A$5:$A$85,0)),"")</f>
        <v/>
      </c>
      <c r="AF158" s="53"/>
      <c r="AG158" s="53"/>
      <c r="AH158" s="53"/>
      <c r="AI158" s="81" t="str">
        <f t="shared" si="16"/>
        <v/>
      </c>
      <c r="AJ158" s="54"/>
      <c r="AK158" s="197"/>
      <c r="AL158" s="197"/>
      <c r="AM158" s="197"/>
      <c r="AN158" s="199">
        <f>IF(AND(AK158="Yes",OR(O158="Labour",O158="Plant")),Z158,0)</f>
        <v>0</v>
      </c>
    </row>
    <row r="159" spans="1:40" x14ac:dyDescent="0.2">
      <c r="A159" s="80" t="str">
        <f>IF(B159="","",B159&amp;"-"&amp;TEXT(COUNTIF($B$7:B159,B159),"000"))</f>
        <v/>
      </c>
      <c r="B159" s="53"/>
      <c r="C159" s="81" t="str">
        <f>IFERROR(INDEX('QS Takeoff'!$A$3:$A$194,MATCH(B159,'QS Takeoff'!$B$3:$B$194,0)),"")</f>
        <v/>
      </c>
      <c r="D159" s="81" t="str">
        <f>IFERROR(INDEX('QS Takeoff'!$C$3:$C$194,MATCH(B159,'QS Takeoff'!$B$3:$B$194,0)),"")</f>
        <v/>
      </c>
      <c r="E159" s="81" t="str">
        <f>IFERROR(INDEX('QS Takeoff'!$E$3:$E$194,MATCH(B159,'QS Takeoff'!$B$3:$B$194,0)),"")</f>
        <v/>
      </c>
      <c r="F159" s="81" t="str">
        <f>IFERROR(INDEX('QS Takeoff'!$D$3:$D$194,MATCH(B159,'QS Takeoff'!$B$3:$B$194,0)),"")</f>
        <v/>
      </c>
      <c r="G159" s="81" t="str">
        <f>IFERROR(INDEX('QS Takeoff'!$J$3:$J$194,MATCH(B159,'QS Takeoff'!$B$3:$B$194,0)),"")</f>
        <v/>
      </c>
      <c r="H159" s="53"/>
      <c r="I159" s="60"/>
      <c r="J159" s="60"/>
      <c r="K159" s="82" t="str">
        <f t="shared" si="12"/>
        <v/>
      </c>
      <c r="L159" s="60"/>
      <c r="M159" s="82" t="str">
        <f t="shared" si="13"/>
        <v/>
      </c>
      <c r="N159" s="53"/>
      <c r="O159" s="53"/>
      <c r="P159" s="53"/>
      <c r="Q159" s="81" t="str">
        <f>IFERROR(INDEX('Resource Rate Library'!$C$5:$C$85,MATCH(P159,'Resource Rate Library'!$A$5:$A$85,0)),"")</f>
        <v/>
      </c>
      <c r="R159" s="53"/>
      <c r="S159" s="53"/>
      <c r="T159" s="81" t="str">
        <f>IFERROR(INDEX('Resource Rate Library'!$E$5:$E$85,MATCH(P159,'Resource Rate Library'!$A$5:$A$85,0)),"")</f>
        <v/>
      </c>
      <c r="U159" s="62"/>
      <c r="V159" s="62"/>
      <c r="W159" s="83">
        <f>IFERROR(INDEX('Resource Rate Library'!$I$5:$I$85,MATCH(P159,'Resource Rate Library'!$A$5:$A$85,0)),0)</f>
        <v>0</v>
      </c>
      <c r="X159" s="52"/>
      <c r="Y159" s="83">
        <f t="shared" si="14"/>
        <v>0</v>
      </c>
      <c r="Z159" s="83" t="str">
        <f t="shared" si="15"/>
        <v/>
      </c>
      <c r="AA159" s="81" t="str">
        <f>IFERROR(INDEX('Resource Rate Library'!$N$5:$N$85,MATCH(P159,'Resource Rate Library'!$A$5:$A$85,0)),"")</f>
        <v/>
      </c>
      <c r="AB159" s="53"/>
      <c r="AC159" s="59"/>
      <c r="AD159" s="81" t="str">
        <f>IFERROR(INDEX('Resource Rate Library'!$G$5:$G$85,MATCH(P159,'Resource Rate Library'!$A$5:$A$85,0)),"")</f>
        <v/>
      </c>
      <c r="AE159" s="81" t="str">
        <f>IFERROR(INDEX('Resource Rate Library'!$H$5:$H$85,MATCH(P159,'Resource Rate Library'!$A$5:$A$85,0)),"")</f>
        <v/>
      </c>
      <c r="AF159" s="53"/>
      <c r="AG159" s="53"/>
      <c r="AH159" s="53"/>
      <c r="AI159" s="81" t="str">
        <f t="shared" si="16"/>
        <v/>
      </c>
      <c r="AJ159" s="54"/>
      <c r="AK159" s="197"/>
      <c r="AL159" s="197"/>
      <c r="AM159" s="197"/>
      <c r="AN159" s="199">
        <f>IF(AND(AK159="Yes",OR(O159="Labour",O159="Plant")),Z159,0)</f>
        <v>0</v>
      </c>
    </row>
    <row r="160" spans="1:40" x14ac:dyDescent="0.2">
      <c r="A160" s="80" t="str">
        <f>IF(B160="","",B160&amp;"-"&amp;TEXT(COUNTIF($B$7:B160,B160),"000"))</f>
        <v/>
      </c>
      <c r="B160" s="53"/>
      <c r="C160" s="81" t="str">
        <f>IFERROR(INDEX('QS Takeoff'!$A$3:$A$194,MATCH(B160,'QS Takeoff'!$B$3:$B$194,0)),"")</f>
        <v/>
      </c>
      <c r="D160" s="81" t="str">
        <f>IFERROR(INDEX('QS Takeoff'!$C$3:$C$194,MATCH(B160,'QS Takeoff'!$B$3:$B$194,0)),"")</f>
        <v/>
      </c>
      <c r="E160" s="81" t="str">
        <f>IFERROR(INDEX('QS Takeoff'!$E$3:$E$194,MATCH(B160,'QS Takeoff'!$B$3:$B$194,0)),"")</f>
        <v/>
      </c>
      <c r="F160" s="81" t="str">
        <f>IFERROR(INDEX('QS Takeoff'!$D$3:$D$194,MATCH(B160,'QS Takeoff'!$B$3:$B$194,0)),"")</f>
        <v/>
      </c>
      <c r="G160" s="81" t="str">
        <f>IFERROR(INDEX('QS Takeoff'!$J$3:$J$194,MATCH(B160,'QS Takeoff'!$B$3:$B$194,0)),"")</f>
        <v/>
      </c>
      <c r="H160" s="53"/>
      <c r="I160" s="60"/>
      <c r="J160" s="60"/>
      <c r="K160" s="82" t="str">
        <f t="shared" si="12"/>
        <v/>
      </c>
      <c r="L160" s="60"/>
      <c r="M160" s="82" t="str">
        <f t="shared" si="13"/>
        <v/>
      </c>
      <c r="N160" s="53"/>
      <c r="O160" s="53"/>
      <c r="P160" s="53"/>
      <c r="Q160" s="81" t="str">
        <f>IFERROR(INDEX('Resource Rate Library'!$C$5:$C$85,MATCH(P160,'Resource Rate Library'!$A$5:$A$85,0)),"")</f>
        <v/>
      </c>
      <c r="R160" s="53"/>
      <c r="S160" s="53"/>
      <c r="T160" s="81" t="str">
        <f>IFERROR(INDEX('Resource Rate Library'!$E$5:$E$85,MATCH(P160,'Resource Rate Library'!$A$5:$A$85,0)),"")</f>
        <v/>
      </c>
      <c r="U160" s="62"/>
      <c r="V160" s="62"/>
      <c r="W160" s="83">
        <f>IFERROR(INDEX('Resource Rate Library'!$I$5:$I$85,MATCH(P160,'Resource Rate Library'!$A$5:$A$85,0)),0)</f>
        <v>0</v>
      </c>
      <c r="X160" s="52"/>
      <c r="Y160" s="83">
        <f t="shared" si="14"/>
        <v>0</v>
      </c>
      <c r="Z160" s="83" t="str">
        <f t="shared" si="15"/>
        <v/>
      </c>
      <c r="AA160" s="81" t="str">
        <f>IFERROR(INDEX('Resource Rate Library'!$N$5:$N$85,MATCH(P160,'Resource Rate Library'!$A$5:$A$85,0)),"")</f>
        <v/>
      </c>
      <c r="AB160" s="53"/>
      <c r="AC160" s="59"/>
      <c r="AD160" s="81" t="str">
        <f>IFERROR(INDEX('Resource Rate Library'!$G$5:$G$85,MATCH(P160,'Resource Rate Library'!$A$5:$A$85,0)),"")</f>
        <v/>
      </c>
      <c r="AE160" s="81" t="str">
        <f>IFERROR(INDEX('Resource Rate Library'!$H$5:$H$85,MATCH(P160,'Resource Rate Library'!$A$5:$A$85,0)),"")</f>
        <v/>
      </c>
      <c r="AF160" s="53"/>
      <c r="AG160" s="53"/>
      <c r="AH160" s="53"/>
      <c r="AI160" s="81" t="str">
        <f t="shared" si="16"/>
        <v/>
      </c>
      <c r="AJ160" s="54"/>
      <c r="AK160" s="197"/>
      <c r="AL160" s="197"/>
      <c r="AM160" s="197"/>
      <c r="AN160" s="199">
        <f>IF(AND(AK160="Yes",OR(O160="Labour",O160="Plant")),Z160,0)</f>
        <v>0</v>
      </c>
    </row>
    <row r="161" spans="1:40" x14ac:dyDescent="0.2">
      <c r="A161" s="80" t="str">
        <f>IF(B161="","",B161&amp;"-"&amp;TEXT(COUNTIF($B$7:B161,B161),"000"))</f>
        <v/>
      </c>
      <c r="B161" s="53"/>
      <c r="C161" s="81" t="str">
        <f>IFERROR(INDEX('QS Takeoff'!$A$3:$A$194,MATCH(B161,'QS Takeoff'!$B$3:$B$194,0)),"")</f>
        <v/>
      </c>
      <c r="D161" s="81" t="str">
        <f>IFERROR(INDEX('QS Takeoff'!$C$3:$C$194,MATCH(B161,'QS Takeoff'!$B$3:$B$194,0)),"")</f>
        <v/>
      </c>
      <c r="E161" s="81" t="str">
        <f>IFERROR(INDEX('QS Takeoff'!$E$3:$E$194,MATCH(B161,'QS Takeoff'!$B$3:$B$194,0)),"")</f>
        <v/>
      </c>
      <c r="F161" s="81" t="str">
        <f>IFERROR(INDEX('QS Takeoff'!$D$3:$D$194,MATCH(B161,'QS Takeoff'!$B$3:$B$194,0)),"")</f>
        <v/>
      </c>
      <c r="G161" s="81" t="str">
        <f>IFERROR(INDEX('QS Takeoff'!$J$3:$J$194,MATCH(B161,'QS Takeoff'!$B$3:$B$194,0)),"")</f>
        <v/>
      </c>
      <c r="H161" s="53"/>
      <c r="I161" s="60"/>
      <c r="J161" s="60"/>
      <c r="K161" s="82" t="str">
        <f t="shared" si="12"/>
        <v/>
      </c>
      <c r="L161" s="60"/>
      <c r="M161" s="82" t="str">
        <f t="shared" si="13"/>
        <v/>
      </c>
      <c r="N161" s="53"/>
      <c r="O161" s="53"/>
      <c r="P161" s="53"/>
      <c r="Q161" s="81" t="str">
        <f>IFERROR(INDEX('Resource Rate Library'!$C$5:$C$85,MATCH(P161,'Resource Rate Library'!$A$5:$A$85,0)),"")</f>
        <v/>
      </c>
      <c r="R161" s="53"/>
      <c r="S161" s="53"/>
      <c r="T161" s="81" t="str">
        <f>IFERROR(INDEX('Resource Rate Library'!$E$5:$E$85,MATCH(P161,'Resource Rate Library'!$A$5:$A$85,0)),"")</f>
        <v/>
      </c>
      <c r="U161" s="62"/>
      <c r="V161" s="62"/>
      <c r="W161" s="83">
        <f>IFERROR(INDEX('Resource Rate Library'!$I$5:$I$85,MATCH(P161,'Resource Rate Library'!$A$5:$A$85,0)),0)</f>
        <v>0</v>
      </c>
      <c r="X161" s="52"/>
      <c r="Y161" s="83">
        <f t="shared" si="14"/>
        <v>0</v>
      </c>
      <c r="Z161" s="83" t="str">
        <f t="shared" si="15"/>
        <v/>
      </c>
      <c r="AA161" s="81" t="str">
        <f>IFERROR(INDEX('Resource Rate Library'!$N$5:$N$85,MATCH(P161,'Resource Rate Library'!$A$5:$A$85,0)),"")</f>
        <v/>
      </c>
      <c r="AB161" s="53"/>
      <c r="AC161" s="59"/>
      <c r="AD161" s="81" t="str">
        <f>IFERROR(INDEX('Resource Rate Library'!$G$5:$G$85,MATCH(P161,'Resource Rate Library'!$A$5:$A$85,0)),"")</f>
        <v/>
      </c>
      <c r="AE161" s="81" t="str">
        <f>IFERROR(INDEX('Resource Rate Library'!$H$5:$H$85,MATCH(P161,'Resource Rate Library'!$A$5:$A$85,0)),"")</f>
        <v/>
      </c>
      <c r="AF161" s="53"/>
      <c r="AG161" s="53"/>
      <c r="AH161" s="53"/>
      <c r="AI161" s="81" t="str">
        <f t="shared" si="16"/>
        <v/>
      </c>
      <c r="AJ161" s="54"/>
      <c r="AK161" s="197"/>
      <c r="AL161" s="197"/>
      <c r="AM161" s="197"/>
      <c r="AN161" s="199">
        <f>IF(AND(AK161="Yes",OR(O161="Labour",O161="Plant")),Z161,0)</f>
        <v>0</v>
      </c>
    </row>
    <row r="162" spans="1:40" x14ac:dyDescent="0.2">
      <c r="A162" s="80" t="str">
        <f>IF(B162="","",B162&amp;"-"&amp;TEXT(COUNTIF($B$7:B162,B162),"000"))</f>
        <v/>
      </c>
      <c r="B162" s="53"/>
      <c r="C162" s="81" t="str">
        <f>IFERROR(INDEX('QS Takeoff'!$A$3:$A$194,MATCH(B162,'QS Takeoff'!$B$3:$B$194,0)),"")</f>
        <v/>
      </c>
      <c r="D162" s="81" t="str">
        <f>IFERROR(INDEX('QS Takeoff'!$C$3:$C$194,MATCH(B162,'QS Takeoff'!$B$3:$B$194,0)),"")</f>
        <v/>
      </c>
      <c r="E162" s="81" t="str">
        <f>IFERROR(INDEX('QS Takeoff'!$E$3:$E$194,MATCH(B162,'QS Takeoff'!$B$3:$B$194,0)),"")</f>
        <v/>
      </c>
      <c r="F162" s="81" t="str">
        <f>IFERROR(INDEX('QS Takeoff'!$D$3:$D$194,MATCH(B162,'QS Takeoff'!$B$3:$B$194,0)),"")</f>
        <v/>
      </c>
      <c r="G162" s="81" t="str">
        <f>IFERROR(INDEX('QS Takeoff'!$J$3:$J$194,MATCH(B162,'QS Takeoff'!$B$3:$B$194,0)),"")</f>
        <v/>
      </c>
      <c r="H162" s="53"/>
      <c r="I162" s="60"/>
      <c r="J162" s="60"/>
      <c r="K162" s="82" t="str">
        <f t="shared" si="12"/>
        <v/>
      </c>
      <c r="L162" s="60"/>
      <c r="M162" s="82" t="str">
        <f t="shared" si="13"/>
        <v/>
      </c>
      <c r="N162" s="53"/>
      <c r="O162" s="53"/>
      <c r="P162" s="53"/>
      <c r="Q162" s="81" t="str">
        <f>IFERROR(INDEX('Resource Rate Library'!$C$5:$C$85,MATCH(P162,'Resource Rate Library'!$A$5:$A$85,0)),"")</f>
        <v/>
      </c>
      <c r="R162" s="53"/>
      <c r="S162" s="53"/>
      <c r="T162" s="81" t="str">
        <f>IFERROR(INDEX('Resource Rate Library'!$E$5:$E$85,MATCH(P162,'Resource Rate Library'!$A$5:$A$85,0)),"")</f>
        <v/>
      </c>
      <c r="U162" s="62"/>
      <c r="V162" s="62"/>
      <c r="W162" s="83">
        <f>IFERROR(INDEX('Resource Rate Library'!$I$5:$I$85,MATCH(P162,'Resource Rate Library'!$A$5:$A$85,0)),0)</f>
        <v>0</v>
      </c>
      <c r="X162" s="52"/>
      <c r="Y162" s="83">
        <f t="shared" si="14"/>
        <v>0</v>
      </c>
      <c r="Z162" s="83" t="str">
        <f t="shared" si="15"/>
        <v/>
      </c>
      <c r="AA162" s="81" t="str">
        <f>IFERROR(INDEX('Resource Rate Library'!$N$5:$N$85,MATCH(P162,'Resource Rate Library'!$A$5:$A$85,0)),"")</f>
        <v/>
      </c>
      <c r="AB162" s="53"/>
      <c r="AC162" s="59"/>
      <c r="AD162" s="81" t="str">
        <f>IFERROR(INDEX('Resource Rate Library'!$G$5:$G$85,MATCH(P162,'Resource Rate Library'!$A$5:$A$85,0)),"")</f>
        <v/>
      </c>
      <c r="AE162" s="81" t="str">
        <f>IFERROR(INDEX('Resource Rate Library'!$H$5:$H$85,MATCH(P162,'Resource Rate Library'!$A$5:$A$85,0)),"")</f>
        <v/>
      </c>
      <c r="AF162" s="53"/>
      <c r="AG162" s="53"/>
      <c r="AH162" s="53"/>
      <c r="AI162" s="81" t="str">
        <f t="shared" si="16"/>
        <v/>
      </c>
      <c r="AJ162" s="54"/>
      <c r="AK162" s="197"/>
      <c r="AL162" s="197"/>
      <c r="AM162" s="197"/>
      <c r="AN162" s="199">
        <f>IF(AND(AK162="Yes",OR(O162="Labour",O162="Plant")),Z162,0)</f>
        <v>0</v>
      </c>
    </row>
    <row r="163" spans="1:40" x14ac:dyDescent="0.2">
      <c r="A163" s="80" t="str">
        <f>IF(B163="","",B163&amp;"-"&amp;TEXT(COUNTIF($B$7:B163,B163),"000"))</f>
        <v/>
      </c>
      <c r="B163" s="53"/>
      <c r="C163" s="81" t="str">
        <f>IFERROR(INDEX('QS Takeoff'!$A$3:$A$194,MATCH(B163,'QS Takeoff'!$B$3:$B$194,0)),"")</f>
        <v/>
      </c>
      <c r="D163" s="81" t="str">
        <f>IFERROR(INDEX('QS Takeoff'!$C$3:$C$194,MATCH(B163,'QS Takeoff'!$B$3:$B$194,0)),"")</f>
        <v/>
      </c>
      <c r="E163" s="81" t="str">
        <f>IFERROR(INDEX('QS Takeoff'!$E$3:$E$194,MATCH(B163,'QS Takeoff'!$B$3:$B$194,0)),"")</f>
        <v/>
      </c>
      <c r="F163" s="81" t="str">
        <f>IFERROR(INDEX('QS Takeoff'!$D$3:$D$194,MATCH(B163,'QS Takeoff'!$B$3:$B$194,0)),"")</f>
        <v/>
      </c>
      <c r="G163" s="81" t="str">
        <f>IFERROR(INDEX('QS Takeoff'!$J$3:$J$194,MATCH(B163,'QS Takeoff'!$B$3:$B$194,0)),"")</f>
        <v/>
      </c>
      <c r="H163" s="53"/>
      <c r="I163" s="60"/>
      <c r="J163" s="60"/>
      <c r="K163" s="82" t="str">
        <f t="shared" si="12"/>
        <v/>
      </c>
      <c r="L163" s="60"/>
      <c r="M163" s="82" t="str">
        <f t="shared" si="13"/>
        <v/>
      </c>
      <c r="N163" s="53"/>
      <c r="O163" s="53"/>
      <c r="P163" s="53"/>
      <c r="Q163" s="81" t="str">
        <f>IFERROR(INDEX('Resource Rate Library'!$C$5:$C$85,MATCH(P163,'Resource Rate Library'!$A$5:$A$85,0)),"")</f>
        <v/>
      </c>
      <c r="R163" s="53"/>
      <c r="S163" s="53"/>
      <c r="T163" s="81" t="str">
        <f>IFERROR(INDEX('Resource Rate Library'!$E$5:$E$85,MATCH(P163,'Resource Rate Library'!$A$5:$A$85,0)),"")</f>
        <v/>
      </c>
      <c r="U163" s="62"/>
      <c r="V163" s="62"/>
      <c r="W163" s="83">
        <f>IFERROR(INDEX('Resource Rate Library'!$I$5:$I$85,MATCH(P163,'Resource Rate Library'!$A$5:$A$85,0)),0)</f>
        <v>0</v>
      </c>
      <c r="X163" s="52"/>
      <c r="Y163" s="83">
        <f t="shared" si="14"/>
        <v>0</v>
      </c>
      <c r="Z163" s="83" t="str">
        <f t="shared" si="15"/>
        <v/>
      </c>
      <c r="AA163" s="81" t="str">
        <f>IFERROR(INDEX('Resource Rate Library'!$N$5:$N$85,MATCH(P163,'Resource Rate Library'!$A$5:$A$85,0)),"")</f>
        <v/>
      </c>
      <c r="AB163" s="53"/>
      <c r="AC163" s="59"/>
      <c r="AD163" s="81" t="str">
        <f>IFERROR(INDEX('Resource Rate Library'!$G$5:$G$85,MATCH(P163,'Resource Rate Library'!$A$5:$A$85,0)),"")</f>
        <v/>
      </c>
      <c r="AE163" s="81" t="str">
        <f>IFERROR(INDEX('Resource Rate Library'!$H$5:$H$85,MATCH(P163,'Resource Rate Library'!$A$5:$A$85,0)),"")</f>
        <v/>
      </c>
      <c r="AF163" s="53"/>
      <c r="AG163" s="53"/>
      <c r="AH163" s="53"/>
      <c r="AI163" s="81" t="str">
        <f t="shared" si="16"/>
        <v/>
      </c>
      <c r="AJ163" s="54"/>
      <c r="AK163" s="197"/>
      <c r="AL163" s="197"/>
      <c r="AM163" s="197"/>
      <c r="AN163" s="199">
        <f>IF(AND(AK163="Yes",OR(O163="Labour",O163="Plant")),Z163,0)</f>
        <v>0</v>
      </c>
    </row>
    <row r="164" spans="1:40" x14ac:dyDescent="0.2">
      <c r="A164" s="80" t="str">
        <f>IF(B164="","",B164&amp;"-"&amp;TEXT(COUNTIF($B$7:B164,B164),"000"))</f>
        <v/>
      </c>
      <c r="B164" s="53"/>
      <c r="C164" s="81" t="str">
        <f>IFERROR(INDEX('QS Takeoff'!$A$3:$A$194,MATCH(B164,'QS Takeoff'!$B$3:$B$194,0)),"")</f>
        <v/>
      </c>
      <c r="D164" s="81" t="str">
        <f>IFERROR(INDEX('QS Takeoff'!$C$3:$C$194,MATCH(B164,'QS Takeoff'!$B$3:$B$194,0)),"")</f>
        <v/>
      </c>
      <c r="E164" s="81" t="str">
        <f>IFERROR(INDEX('QS Takeoff'!$E$3:$E$194,MATCH(B164,'QS Takeoff'!$B$3:$B$194,0)),"")</f>
        <v/>
      </c>
      <c r="F164" s="81" t="str">
        <f>IFERROR(INDEX('QS Takeoff'!$D$3:$D$194,MATCH(B164,'QS Takeoff'!$B$3:$B$194,0)),"")</f>
        <v/>
      </c>
      <c r="G164" s="81" t="str">
        <f>IFERROR(INDEX('QS Takeoff'!$J$3:$J$194,MATCH(B164,'QS Takeoff'!$B$3:$B$194,0)),"")</f>
        <v/>
      </c>
      <c r="H164" s="53"/>
      <c r="I164" s="60"/>
      <c r="J164" s="60"/>
      <c r="K164" s="82" t="str">
        <f t="shared" si="12"/>
        <v/>
      </c>
      <c r="L164" s="60"/>
      <c r="M164" s="82" t="str">
        <f t="shared" si="13"/>
        <v/>
      </c>
      <c r="N164" s="53"/>
      <c r="O164" s="53"/>
      <c r="P164" s="53"/>
      <c r="Q164" s="81" t="str">
        <f>IFERROR(INDEX('Resource Rate Library'!$C$5:$C$85,MATCH(P164,'Resource Rate Library'!$A$5:$A$85,0)),"")</f>
        <v/>
      </c>
      <c r="R164" s="53"/>
      <c r="S164" s="53"/>
      <c r="T164" s="81" t="str">
        <f>IFERROR(INDEX('Resource Rate Library'!$E$5:$E$85,MATCH(P164,'Resource Rate Library'!$A$5:$A$85,0)),"")</f>
        <v/>
      </c>
      <c r="U164" s="62"/>
      <c r="V164" s="62"/>
      <c r="W164" s="83">
        <f>IFERROR(INDEX('Resource Rate Library'!$I$5:$I$85,MATCH(P164,'Resource Rate Library'!$A$5:$A$85,0)),0)</f>
        <v>0</v>
      </c>
      <c r="X164" s="52"/>
      <c r="Y164" s="83">
        <f t="shared" si="14"/>
        <v>0</v>
      </c>
      <c r="Z164" s="83" t="str">
        <f t="shared" si="15"/>
        <v/>
      </c>
      <c r="AA164" s="81" t="str">
        <f>IFERROR(INDEX('Resource Rate Library'!$N$5:$N$85,MATCH(P164,'Resource Rate Library'!$A$5:$A$85,0)),"")</f>
        <v/>
      </c>
      <c r="AB164" s="53"/>
      <c r="AC164" s="59"/>
      <c r="AD164" s="81" t="str">
        <f>IFERROR(INDEX('Resource Rate Library'!$G$5:$G$85,MATCH(P164,'Resource Rate Library'!$A$5:$A$85,0)),"")</f>
        <v/>
      </c>
      <c r="AE164" s="81" t="str">
        <f>IFERROR(INDEX('Resource Rate Library'!$H$5:$H$85,MATCH(P164,'Resource Rate Library'!$A$5:$A$85,0)),"")</f>
        <v/>
      </c>
      <c r="AF164" s="53"/>
      <c r="AG164" s="53"/>
      <c r="AH164" s="53"/>
      <c r="AI164" s="81" t="str">
        <f t="shared" si="16"/>
        <v/>
      </c>
      <c r="AJ164" s="54"/>
      <c r="AK164" s="197"/>
      <c r="AL164" s="197"/>
      <c r="AM164" s="197"/>
      <c r="AN164" s="199">
        <f>IF(AND(AK164="Yes",OR(O164="Labour",O164="Plant")),Z164,0)</f>
        <v>0</v>
      </c>
    </row>
    <row r="165" spans="1:40" x14ac:dyDescent="0.2">
      <c r="A165" s="80" t="str">
        <f>IF(B165="","",B165&amp;"-"&amp;TEXT(COUNTIF($B$7:B165,B165),"000"))</f>
        <v/>
      </c>
      <c r="B165" s="53"/>
      <c r="C165" s="81" t="str">
        <f>IFERROR(INDEX('QS Takeoff'!$A$3:$A$194,MATCH(B165,'QS Takeoff'!$B$3:$B$194,0)),"")</f>
        <v/>
      </c>
      <c r="D165" s="81" t="str">
        <f>IFERROR(INDEX('QS Takeoff'!$C$3:$C$194,MATCH(B165,'QS Takeoff'!$B$3:$B$194,0)),"")</f>
        <v/>
      </c>
      <c r="E165" s="81" t="str">
        <f>IFERROR(INDEX('QS Takeoff'!$E$3:$E$194,MATCH(B165,'QS Takeoff'!$B$3:$B$194,0)),"")</f>
        <v/>
      </c>
      <c r="F165" s="81" t="str">
        <f>IFERROR(INDEX('QS Takeoff'!$D$3:$D$194,MATCH(B165,'QS Takeoff'!$B$3:$B$194,0)),"")</f>
        <v/>
      </c>
      <c r="G165" s="81" t="str">
        <f>IFERROR(INDEX('QS Takeoff'!$J$3:$J$194,MATCH(B165,'QS Takeoff'!$B$3:$B$194,0)),"")</f>
        <v/>
      </c>
      <c r="H165" s="53"/>
      <c r="I165" s="60"/>
      <c r="J165" s="60"/>
      <c r="K165" s="82" t="str">
        <f t="shared" si="12"/>
        <v/>
      </c>
      <c r="L165" s="60"/>
      <c r="M165" s="82" t="str">
        <f t="shared" si="13"/>
        <v/>
      </c>
      <c r="N165" s="53"/>
      <c r="O165" s="53"/>
      <c r="P165" s="53"/>
      <c r="Q165" s="81" t="str">
        <f>IFERROR(INDEX('Resource Rate Library'!$C$5:$C$85,MATCH(P165,'Resource Rate Library'!$A$5:$A$85,0)),"")</f>
        <v/>
      </c>
      <c r="R165" s="53"/>
      <c r="S165" s="53"/>
      <c r="T165" s="81" t="str">
        <f>IFERROR(INDEX('Resource Rate Library'!$E$5:$E$85,MATCH(P165,'Resource Rate Library'!$A$5:$A$85,0)),"")</f>
        <v/>
      </c>
      <c r="U165" s="62"/>
      <c r="V165" s="62"/>
      <c r="W165" s="83">
        <f>IFERROR(INDEX('Resource Rate Library'!$I$5:$I$85,MATCH(P165,'Resource Rate Library'!$A$5:$A$85,0)),0)</f>
        <v>0</v>
      </c>
      <c r="X165" s="52"/>
      <c r="Y165" s="83">
        <f t="shared" si="14"/>
        <v>0</v>
      </c>
      <c r="Z165" s="83" t="str">
        <f t="shared" si="15"/>
        <v/>
      </c>
      <c r="AA165" s="81" t="str">
        <f>IFERROR(INDEX('Resource Rate Library'!$N$5:$N$85,MATCH(P165,'Resource Rate Library'!$A$5:$A$85,0)),"")</f>
        <v/>
      </c>
      <c r="AB165" s="53"/>
      <c r="AC165" s="59"/>
      <c r="AD165" s="81" t="str">
        <f>IFERROR(INDEX('Resource Rate Library'!$G$5:$G$85,MATCH(P165,'Resource Rate Library'!$A$5:$A$85,0)),"")</f>
        <v/>
      </c>
      <c r="AE165" s="81" t="str">
        <f>IFERROR(INDEX('Resource Rate Library'!$H$5:$H$85,MATCH(P165,'Resource Rate Library'!$A$5:$A$85,0)),"")</f>
        <v/>
      </c>
      <c r="AF165" s="53"/>
      <c r="AG165" s="53"/>
      <c r="AH165" s="53"/>
      <c r="AI165" s="81" t="str">
        <f t="shared" si="16"/>
        <v/>
      </c>
      <c r="AJ165" s="54"/>
      <c r="AK165" s="197"/>
      <c r="AL165" s="197"/>
      <c r="AM165" s="197"/>
      <c r="AN165" s="199">
        <f>IF(AND(AK165="Yes",OR(O165="Labour",O165="Plant")),Z165,0)</f>
        <v>0</v>
      </c>
    </row>
    <row r="166" spans="1:40" x14ac:dyDescent="0.2">
      <c r="A166" s="80" t="str">
        <f>IF(B166="","",B166&amp;"-"&amp;TEXT(COUNTIF($B$7:B166,B166),"000"))</f>
        <v/>
      </c>
      <c r="B166" s="53"/>
      <c r="C166" s="81" t="str">
        <f>IFERROR(INDEX('QS Takeoff'!$A$3:$A$194,MATCH(B166,'QS Takeoff'!$B$3:$B$194,0)),"")</f>
        <v/>
      </c>
      <c r="D166" s="81" t="str">
        <f>IFERROR(INDEX('QS Takeoff'!$C$3:$C$194,MATCH(B166,'QS Takeoff'!$B$3:$B$194,0)),"")</f>
        <v/>
      </c>
      <c r="E166" s="81" t="str">
        <f>IFERROR(INDEX('QS Takeoff'!$E$3:$E$194,MATCH(B166,'QS Takeoff'!$B$3:$B$194,0)),"")</f>
        <v/>
      </c>
      <c r="F166" s="81" t="str">
        <f>IFERROR(INDEX('QS Takeoff'!$D$3:$D$194,MATCH(B166,'QS Takeoff'!$B$3:$B$194,0)),"")</f>
        <v/>
      </c>
      <c r="G166" s="81" t="str">
        <f>IFERROR(INDEX('QS Takeoff'!$J$3:$J$194,MATCH(B166,'QS Takeoff'!$B$3:$B$194,0)),"")</f>
        <v/>
      </c>
      <c r="H166" s="53"/>
      <c r="I166" s="60"/>
      <c r="J166" s="60"/>
      <c r="K166" s="82" t="str">
        <f t="shared" si="12"/>
        <v/>
      </c>
      <c r="L166" s="60"/>
      <c r="M166" s="82" t="str">
        <f t="shared" si="13"/>
        <v/>
      </c>
      <c r="N166" s="53"/>
      <c r="O166" s="53"/>
      <c r="P166" s="53"/>
      <c r="Q166" s="81" t="str">
        <f>IFERROR(INDEX('Resource Rate Library'!$C$5:$C$85,MATCH(P166,'Resource Rate Library'!$A$5:$A$85,0)),"")</f>
        <v/>
      </c>
      <c r="R166" s="53"/>
      <c r="S166" s="53"/>
      <c r="T166" s="81" t="str">
        <f>IFERROR(INDEX('Resource Rate Library'!$E$5:$E$85,MATCH(P166,'Resource Rate Library'!$A$5:$A$85,0)),"")</f>
        <v/>
      </c>
      <c r="U166" s="62"/>
      <c r="V166" s="62"/>
      <c r="W166" s="83">
        <f>IFERROR(INDEX('Resource Rate Library'!$I$5:$I$85,MATCH(P166,'Resource Rate Library'!$A$5:$A$85,0)),0)</f>
        <v>0</v>
      </c>
      <c r="X166" s="52"/>
      <c r="Y166" s="83">
        <f t="shared" si="14"/>
        <v>0</v>
      </c>
      <c r="Z166" s="83" t="str">
        <f t="shared" si="15"/>
        <v/>
      </c>
      <c r="AA166" s="81" t="str">
        <f>IFERROR(INDEX('Resource Rate Library'!$N$5:$N$85,MATCH(P166,'Resource Rate Library'!$A$5:$A$85,0)),"")</f>
        <v/>
      </c>
      <c r="AB166" s="53"/>
      <c r="AC166" s="59"/>
      <c r="AD166" s="81" t="str">
        <f>IFERROR(INDEX('Resource Rate Library'!$G$5:$G$85,MATCH(P166,'Resource Rate Library'!$A$5:$A$85,0)),"")</f>
        <v/>
      </c>
      <c r="AE166" s="81" t="str">
        <f>IFERROR(INDEX('Resource Rate Library'!$H$5:$H$85,MATCH(P166,'Resource Rate Library'!$A$5:$A$85,0)),"")</f>
        <v/>
      </c>
      <c r="AF166" s="53"/>
      <c r="AG166" s="53"/>
      <c r="AH166" s="53"/>
      <c r="AI166" s="81" t="str">
        <f t="shared" si="16"/>
        <v/>
      </c>
      <c r="AJ166" s="54"/>
      <c r="AK166" s="197"/>
      <c r="AL166" s="197"/>
      <c r="AM166" s="197"/>
      <c r="AN166" s="199">
        <f>IF(AND(AK166="Yes",OR(O166="Labour",O166="Plant")),Z166,0)</f>
        <v>0</v>
      </c>
    </row>
    <row r="167" spans="1:40" x14ac:dyDescent="0.2">
      <c r="A167" s="80" t="str">
        <f>IF(B167="","",B167&amp;"-"&amp;TEXT(COUNTIF($B$7:B167,B167),"000"))</f>
        <v/>
      </c>
      <c r="B167" s="53"/>
      <c r="C167" s="81" t="str">
        <f>IFERROR(INDEX('QS Takeoff'!$A$3:$A$194,MATCH(B167,'QS Takeoff'!$B$3:$B$194,0)),"")</f>
        <v/>
      </c>
      <c r="D167" s="81" t="str">
        <f>IFERROR(INDEX('QS Takeoff'!$C$3:$C$194,MATCH(B167,'QS Takeoff'!$B$3:$B$194,0)),"")</f>
        <v/>
      </c>
      <c r="E167" s="81" t="str">
        <f>IFERROR(INDEX('QS Takeoff'!$E$3:$E$194,MATCH(B167,'QS Takeoff'!$B$3:$B$194,0)),"")</f>
        <v/>
      </c>
      <c r="F167" s="81" t="str">
        <f>IFERROR(INDEX('QS Takeoff'!$D$3:$D$194,MATCH(B167,'QS Takeoff'!$B$3:$B$194,0)),"")</f>
        <v/>
      </c>
      <c r="G167" s="81" t="str">
        <f>IFERROR(INDEX('QS Takeoff'!$J$3:$J$194,MATCH(B167,'QS Takeoff'!$B$3:$B$194,0)),"")</f>
        <v/>
      </c>
      <c r="H167" s="53"/>
      <c r="I167" s="60"/>
      <c r="J167" s="60"/>
      <c r="K167" s="82" t="str">
        <f t="shared" si="12"/>
        <v/>
      </c>
      <c r="L167" s="60"/>
      <c r="M167" s="82" t="str">
        <f t="shared" si="13"/>
        <v/>
      </c>
      <c r="N167" s="53"/>
      <c r="O167" s="53"/>
      <c r="P167" s="53"/>
      <c r="Q167" s="81" t="str">
        <f>IFERROR(INDEX('Resource Rate Library'!$C$5:$C$85,MATCH(P167,'Resource Rate Library'!$A$5:$A$85,0)),"")</f>
        <v/>
      </c>
      <c r="R167" s="53"/>
      <c r="S167" s="53"/>
      <c r="T167" s="81" t="str">
        <f>IFERROR(INDEX('Resource Rate Library'!$E$5:$E$85,MATCH(P167,'Resource Rate Library'!$A$5:$A$85,0)),"")</f>
        <v/>
      </c>
      <c r="U167" s="62"/>
      <c r="V167" s="62"/>
      <c r="W167" s="83">
        <f>IFERROR(INDEX('Resource Rate Library'!$I$5:$I$85,MATCH(P167,'Resource Rate Library'!$A$5:$A$85,0)),0)</f>
        <v>0</v>
      </c>
      <c r="X167" s="52"/>
      <c r="Y167" s="83">
        <f t="shared" si="14"/>
        <v>0</v>
      </c>
      <c r="Z167" s="83" t="str">
        <f t="shared" si="15"/>
        <v/>
      </c>
      <c r="AA167" s="81" t="str">
        <f>IFERROR(INDEX('Resource Rate Library'!$N$5:$N$85,MATCH(P167,'Resource Rate Library'!$A$5:$A$85,0)),"")</f>
        <v/>
      </c>
      <c r="AB167" s="53"/>
      <c r="AC167" s="59"/>
      <c r="AD167" s="81" t="str">
        <f>IFERROR(INDEX('Resource Rate Library'!$G$5:$G$85,MATCH(P167,'Resource Rate Library'!$A$5:$A$85,0)),"")</f>
        <v/>
      </c>
      <c r="AE167" s="81" t="str">
        <f>IFERROR(INDEX('Resource Rate Library'!$H$5:$H$85,MATCH(P167,'Resource Rate Library'!$A$5:$A$85,0)),"")</f>
        <v/>
      </c>
      <c r="AF167" s="53"/>
      <c r="AG167" s="53"/>
      <c r="AH167" s="53"/>
      <c r="AI167" s="81" t="str">
        <f t="shared" si="16"/>
        <v/>
      </c>
      <c r="AJ167" s="54"/>
      <c r="AK167" s="197"/>
      <c r="AL167" s="197"/>
      <c r="AM167" s="197"/>
      <c r="AN167" s="199">
        <f>IF(AND(AK167="Yes",OR(O167="Labour",O167="Plant")),Z167,0)</f>
        <v>0</v>
      </c>
    </row>
    <row r="168" spans="1:40" x14ac:dyDescent="0.2">
      <c r="A168" s="80" t="str">
        <f>IF(B168="","",B168&amp;"-"&amp;TEXT(COUNTIF($B$7:B168,B168),"000"))</f>
        <v/>
      </c>
      <c r="B168" s="53"/>
      <c r="C168" s="81" t="str">
        <f>IFERROR(INDEX('QS Takeoff'!$A$3:$A$194,MATCH(B168,'QS Takeoff'!$B$3:$B$194,0)),"")</f>
        <v/>
      </c>
      <c r="D168" s="81" t="str">
        <f>IFERROR(INDEX('QS Takeoff'!$C$3:$C$194,MATCH(B168,'QS Takeoff'!$B$3:$B$194,0)),"")</f>
        <v/>
      </c>
      <c r="E168" s="81" t="str">
        <f>IFERROR(INDEX('QS Takeoff'!$E$3:$E$194,MATCH(B168,'QS Takeoff'!$B$3:$B$194,0)),"")</f>
        <v/>
      </c>
      <c r="F168" s="81" t="str">
        <f>IFERROR(INDEX('QS Takeoff'!$D$3:$D$194,MATCH(B168,'QS Takeoff'!$B$3:$B$194,0)),"")</f>
        <v/>
      </c>
      <c r="G168" s="81" t="str">
        <f>IFERROR(INDEX('QS Takeoff'!$J$3:$J$194,MATCH(B168,'QS Takeoff'!$B$3:$B$194,0)),"")</f>
        <v/>
      </c>
      <c r="H168" s="53"/>
      <c r="I168" s="60"/>
      <c r="J168" s="60"/>
      <c r="K168" s="82" t="str">
        <f t="shared" si="12"/>
        <v/>
      </c>
      <c r="L168" s="60"/>
      <c r="M168" s="82" t="str">
        <f t="shared" si="13"/>
        <v/>
      </c>
      <c r="N168" s="53"/>
      <c r="O168" s="53"/>
      <c r="P168" s="53"/>
      <c r="Q168" s="81" t="str">
        <f>IFERROR(INDEX('Resource Rate Library'!$C$5:$C$85,MATCH(P168,'Resource Rate Library'!$A$5:$A$85,0)),"")</f>
        <v/>
      </c>
      <c r="R168" s="53"/>
      <c r="S168" s="53"/>
      <c r="T168" s="81" t="str">
        <f>IFERROR(INDEX('Resource Rate Library'!$E$5:$E$85,MATCH(P168,'Resource Rate Library'!$A$5:$A$85,0)),"")</f>
        <v/>
      </c>
      <c r="U168" s="62"/>
      <c r="V168" s="62"/>
      <c r="W168" s="83">
        <f>IFERROR(INDEX('Resource Rate Library'!$I$5:$I$85,MATCH(P168,'Resource Rate Library'!$A$5:$A$85,0)),0)</f>
        <v>0</v>
      </c>
      <c r="X168" s="52"/>
      <c r="Y168" s="83">
        <f t="shared" si="14"/>
        <v>0</v>
      </c>
      <c r="Z168" s="83" t="str">
        <f t="shared" si="15"/>
        <v/>
      </c>
      <c r="AA168" s="81" t="str">
        <f>IFERROR(INDEX('Resource Rate Library'!$N$5:$N$85,MATCH(P168,'Resource Rate Library'!$A$5:$A$85,0)),"")</f>
        <v/>
      </c>
      <c r="AB168" s="53"/>
      <c r="AC168" s="59"/>
      <c r="AD168" s="81" t="str">
        <f>IFERROR(INDEX('Resource Rate Library'!$G$5:$G$85,MATCH(P168,'Resource Rate Library'!$A$5:$A$85,0)),"")</f>
        <v/>
      </c>
      <c r="AE168" s="81" t="str">
        <f>IFERROR(INDEX('Resource Rate Library'!$H$5:$H$85,MATCH(P168,'Resource Rate Library'!$A$5:$A$85,0)),"")</f>
        <v/>
      </c>
      <c r="AF168" s="53"/>
      <c r="AG168" s="53"/>
      <c r="AH168" s="53"/>
      <c r="AI168" s="81" t="str">
        <f t="shared" si="16"/>
        <v/>
      </c>
      <c r="AJ168" s="54"/>
      <c r="AK168" s="197"/>
      <c r="AL168" s="197"/>
      <c r="AM168" s="197"/>
      <c r="AN168" s="199">
        <f>IF(AND(AK168="Yes",OR(O168="Labour",O168="Plant")),Z168,0)</f>
        <v>0</v>
      </c>
    </row>
    <row r="169" spans="1:40" x14ac:dyDescent="0.2">
      <c r="A169" s="80" t="str">
        <f>IF(B169="","",B169&amp;"-"&amp;TEXT(COUNTIF($B$7:B169,B169),"000"))</f>
        <v/>
      </c>
      <c r="B169" s="53"/>
      <c r="C169" s="81" t="str">
        <f>IFERROR(INDEX('QS Takeoff'!$A$3:$A$194,MATCH(B169,'QS Takeoff'!$B$3:$B$194,0)),"")</f>
        <v/>
      </c>
      <c r="D169" s="81" t="str">
        <f>IFERROR(INDEX('QS Takeoff'!$C$3:$C$194,MATCH(B169,'QS Takeoff'!$B$3:$B$194,0)),"")</f>
        <v/>
      </c>
      <c r="E169" s="81" t="str">
        <f>IFERROR(INDEX('QS Takeoff'!$E$3:$E$194,MATCH(B169,'QS Takeoff'!$B$3:$B$194,0)),"")</f>
        <v/>
      </c>
      <c r="F169" s="81" t="str">
        <f>IFERROR(INDEX('QS Takeoff'!$D$3:$D$194,MATCH(B169,'QS Takeoff'!$B$3:$B$194,0)),"")</f>
        <v/>
      </c>
      <c r="G169" s="81" t="str">
        <f>IFERROR(INDEX('QS Takeoff'!$J$3:$J$194,MATCH(B169,'QS Takeoff'!$B$3:$B$194,0)),"")</f>
        <v/>
      </c>
      <c r="H169" s="53"/>
      <c r="I169" s="60"/>
      <c r="J169" s="60"/>
      <c r="K169" s="82" t="str">
        <f t="shared" si="12"/>
        <v/>
      </c>
      <c r="L169" s="60"/>
      <c r="M169" s="82" t="str">
        <f t="shared" si="13"/>
        <v/>
      </c>
      <c r="N169" s="53"/>
      <c r="O169" s="53"/>
      <c r="P169" s="53"/>
      <c r="Q169" s="81" t="str">
        <f>IFERROR(INDEX('Resource Rate Library'!$C$5:$C$85,MATCH(P169,'Resource Rate Library'!$A$5:$A$85,0)),"")</f>
        <v/>
      </c>
      <c r="R169" s="53"/>
      <c r="S169" s="53"/>
      <c r="T169" s="81" t="str">
        <f>IFERROR(INDEX('Resource Rate Library'!$E$5:$E$85,MATCH(P169,'Resource Rate Library'!$A$5:$A$85,0)),"")</f>
        <v/>
      </c>
      <c r="U169" s="62"/>
      <c r="V169" s="62"/>
      <c r="W169" s="83">
        <f>IFERROR(INDEX('Resource Rate Library'!$I$5:$I$85,MATCH(P169,'Resource Rate Library'!$A$5:$A$85,0)),0)</f>
        <v>0</v>
      </c>
      <c r="X169" s="52"/>
      <c r="Y169" s="83">
        <f t="shared" si="14"/>
        <v>0</v>
      </c>
      <c r="Z169" s="83" t="str">
        <f t="shared" si="15"/>
        <v/>
      </c>
      <c r="AA169" s="81" t="str">
        <f>IFERROR(INDEX('Resource Rate Library'!$N$5:$N$85,MATCH(P169,'Resource Rate Library'!$A$5:$A$85,0)),"")</f>
        <v/>
      </c>
      <c r="AB169" s="53"/>
      <c r="AC169" s="59"/>
      <c r="AD169" s="81" t="str">
        <f>IFERROR(INDEX('Resource Rate Library'!$G$5:$G$85,MATCH(P169,'Resource Rate Library'!$A$5:$A$85,0)),"")</f>
        <v/>
      </c>
      <c r="AE169" s="81" t="str">
        <f>IFERROR(INDEX('Resource Rate Library'!$H$5:$H$85,MATCH(P169,'Resource Rate Library'!$A$5:$A$85,0)),"")</f>
        <v/>
      </c>
      <c r="AF169" s="53"/>
      <c r="AG169" s="53"/>
      <c r="AH169" s="53"/>
      <c r="AI169" s="81" t="str">
        <f t="shared" si="16"/>
        <v/>
      </c>
      <c r="AJ169" s="54"/>
      <c r="AK169" s="197"/>
      <c r="AL169" s="197"/>
      <c r="AM169" s="197"/>
      <c r="AN169" s="199">
        <f>IF(AND(AK169="Yes",OR(O169="Labour",O169="Plant")),Z169,0)</f>
        <v>0</v>
      </c>
    </row>
    <row r="170" spans="1:40" x14ac:dyDescent="0.2">
      <c r="A170" s="80" t="str">
        <f>IF(B170="","",B170&amp;"-"&amp;TEXT(COUNTIF($B$7:B170,B170),"000"))</f>
        <v/>
      </c>
      <c r="B170" s="53"/>
      <c r="C170" s="81" t="str">
        <f>IFERROR(INDEX('QS Takeoff'!$A$3:$A$194,MATCH(B170,'QS Takeoff'!$B$3:$B$194,0)),"")</f>
        <v/>
      </c>
      <c r="D170" s="81" t="str">
        <f>IFERROR(INDEX('QS Takeoff'!$C$3:$C$194,MATCH(B170,'QS Takeoff'!$B$3:$B$194,0)),"")</f>
        <v/>
      </c>
      <c r="E170" s="81" t="str">
        <f>IFERROR(INDEX('QS Takeoff'!$E$3:$E$194,MATCH(B170,'QS Takeoff'!$B$3:$B$194,0)),"")</f>
        <v/>
      </c>
      <c r="F170" s="81" t="str">
        <f>IFERROR(INDEX('QS Takeoff'!$D$3:$D$194,MATCH(B170,'QS Takeoff'!$B$3:$B$194,0)),"")</f>
        <v/>
      </c>
      <c r="G170" s="81" t="str">
        <f>IFERROR(INDEX('QS Takeoff'!$J$3:$J$194,MATCH(B170,'QS Takeoff'!$B$3:$B$194,0)),"")</f>
        <v/>
      </c>
      <c r="H170" s="53"/>
      <c r="I170" s="60"/>
      <c r="J170" s="60"/>
      <c r="K170" s="82" t="str">
        <f t="shared" si="12"/>
        <v/>
      </c>
      <c r="L170" s="60"/>
      <c r="M170" s="82" t="str">
        <f t="shared" si="13"/>
        <v/>
      </c>
      <c r="N170" s="53"/>
      <c r="O170" s="53"/>
      <c r="P170" s="53"/>
      <c r="Q170" s="81" t="str">
        <f>IFERROR(INDEX('Resource Rate Library'!$C$5:$C$85,MATCH(P170,'Resource Rate Library'!$A$5:$A$85,0)),"")</f>
        <v/>
      </c>
      <c r="R170" s="53"/>
      <c r="S170" s="53"/>
      <c r="T170" s="81" t="str">
        <f>IFERROR(INDEX('Resource Rate Library'!$E$5:$E$85,MATCH(P170,'Resource Rate Library'!$A$5:$A$85,0)),"")</f>
        <v/>
      </c>
      <c r="U170" s="62"/>
      <c r="V170" s="62"/>
      <c r="W170" s="83">
        <f>IFERROR(INDEX('Resource Rate Library'!$I$5:$I$85,MATCH(P170,'Resource Rate Library'!$A$5:$A$85,0)),0)</f>
        <v>0</v>
      </c>
      <c r="X170" s="52"/>
      <c r="Y170" s="83">
        <f t="shared" si="14"/>
        <v>0</v>
      </c>
      <c r="Z170" s="83" t="str">
        <f t="shared" si="15"/>
        <v/>
      </c>
      <c r="AA170" s="81" t="str">
        <f>IFERROR(INDEX('Resource Rate Library'!$N$5:$N$85,MATCH(P170,'Resource Rate Library'!$A$5:$A$85,0)),"")</f>
        <v/>
      </c>
      <c r="AB170" s="53"/>
      <c r="AC170" s="59"/>
      <c r="AD170" s="81" t="str">
        <f>IFERROR(INDEX('Resource Rate Library'!$G$5:$G$85,MATCH(P170,'Resource Rate Library'!$A$5:$A$85,0)),"")</f>
        <v/>
      </c>
      <c r="AE170" s="81" t="str">
        <f>IFERROR(INDEX('Resource Rate Library'!$H$5:$H$85,MATCH(P170,'Resource Rate Library'!$A$5:$A$85,0)),"")</f>
        <v/>
      </c>
      <c r="AF170" s="53"/>
      <c r="AG170" s="53"/>
      <c r="AH170" s="53"/>
      <c r="AI170" s="81" t="str">
        <f t="shared" si="16"/>
        <v/>
      </c>
      <c r="AJ170" s="54"/>
      <c r="AK170" s="197"/>
      <c r="AL170" s="197"/>
      <c r="AM170" s="197"/>
      <c r="AN170" s="199">
        <f>IF(AND(AK170="Yes",OR(O170="Labour",O170="Plant")),Z170,0)</f>
        <v>0</v>
      </c>
    </row>
    <row r="171" spans="1:40" x14ac:dyDescent="0.2">
      <c r="A171" s="80" t="str">
        <f>IF(B171="","",B171&amp;"-"&amp;TEXT(COUNTIF($B$7:B171,B171),"000"))</f>
        <v/>
      </c>
      <c r="B171" s="53"/>
      <c r="C171" s="81" t="str">
        <f>IFERROR(INDEX('QS Takeoff'!$A$3:$A$194,MATCH(B171,'QS Takeoff'!$B$3:$B$194,0)),"")</f>
        <v/>
      </c>
      <c r="D171" s="81" t="str">
        <f>IFERROR(INDEX('QS Takeoff'!$C$3:$C$194,MATCH(B171,'QS Takeoff'!$B$3:$B$194,0)),"")</f>
        <v/>
      </c>
      <c r="E171" s="81" t="str">
        <f>IFERROR(INDEX('QS Takeoff'!$E$3:$E$194,MATCH(B171,'QS Takeoff'!$B$3:$B$194,0)),"")</f>
        <v/>
      </c>
      <c r="F171" s="81" t="str">
        <f>IFERROR(INDEX('QS Takeoff'!$D$3:$D$194,MATCH(B171,'QS Takeoff'!$B$3:$B$194,0)),"")</f>
        <v/>
      </c>
      <c r="G171" s="81" t="str">
        <f>IFERROR(INDEX('QS Takeoff'!$J$3:$J$194,MATCH(B171,'QS Takeoff'!$B$3:$B$194,0)),"")</f>
        <v/>
      </c>
      <c r="H171" s="53"/>
      <c r="I171" s="60"/>
      <c r="J171" s="60"/>
      <c r="K171" s="82" t="str">
        <f t="shared" si="12"/>
        <v/>
      </c>
      <c r="L171" s="60"/>
      <c r="M171" s="82" t="str">
        <f t="shared" si="13"/>
        <v/>
      </c>
      <c r="N171" s="53"/>
      <c r="O171" s="53"/>
      <c r="P171" s="53"/>
      <c r="Q171" s="81" t="str">
        <f>IFERROR(INDEX('Resource Rate Library'!$C$5:$C$85,MATCH(P171,'Resource Rate Library'!$A$5:$A$85,0)),"")</f>
        <v/>
      </c>
      <c r="R171" s="53"/>
      <c r="S171" s="53"/>
      <c r="T171" s="81" t="str">
        <f>IFERROR(INDEX('Resource Rate Library'!$E$5:$E$85,MATCH(P171,'Resource Rate Library'!$A$5:$A$85,0)),"")</f>
        <v/>
      </c>
      <c r="U171" s="62"/>
      <c r="V171" s="62"/>
      <c r="W171" s="83">
        <f>IFERROR(INDEX('Resource Rate Library'!$I$5:$I$85,MATCH(P171,'Resource Rate Library'!$A$5:$A$85,0)),0)</f>
        <v>0</v>
      </c>
      <c r="X171" s="52"/>
      <c r="Y171" s="83">
        <f t="shared" si="14"/>
        <v>0</v>
      </c>
      <c r="Z171" s="83" t="str">
        <f t="shared" si="15"/>
        <v/>
      </c>
      <c r="AA171" s="81" t="str">
        <f>IFERROR(INDEX('Resource Rate Library'!$N$5:$N$85,MATCH(P171,'Resource Rate Library'!$A$5:$A$85,0)),"")</f>
        <v/>
      </c>
      <c r="AB171" s="53"/>
      <c r="AC171" s="59"/>
      <c r="AD171" s="81" t="str">
        <f>IFERROR(INDEX('Resource Rate Library'!$G$5:$G$85,MATCH(P171,'Resource Rate Library'!$A$5:$A$85,0)),"")</f>
        <v/>
      </c>
      <c r="AE171" s="81" t="str">
        <f>IFERROR(INDEX('Resource Rate Library'!$H$5:$H$85,MATCH(P171,'Resource Rate Library'!$A$5:$A$85,0)),"")</f>
        <v/>
      </c>
      <c r="AF171" s="53"/>
      <c r="AG171" s="53"/>
      <c r="AH171" s="53"/>
      <c r="AI171" s="81" t="str">
        <f t="shared" si="16"/>
        <v/>
      </c>
      <c r="AJ171" s="54"/>
      <c r="AK171" s="197"/>
      <c r="AL171" s="197"/>
      <c r="AM171" s="197"/>
      <c r="AN171" s="199">
        <f>IF(AND(AK171="Yes",OR(O171="Labour",O171="Plant")),Z171,0)</f>
        <v>0</v>
      </c>
    </row>
    <row r="172" spans="1:40" x14ac:dyDescent="0.2">
      <c r="A172" s="80" t="str">
        <f>IF(B172="","",B172&amp;"-"&amp;TEXT(COUNTIF($B$7:B172,B172),"000"))</f>
        <v/>
      </c>
      <c r="B172" s="53"/>
      <c r="C172" s="81" t="str">
        <f>IFERROR(INDEX('QS Takeoff'!$A$3:$A$194,MATCH(B172,'QS Takeoff'!$B$3:$B$194,0)),"")</f>
        <v/>
      </c>
      <c r="D172" s="81" t="str">
        <f>IFERROR(INDEX('QS Takeoff'!$C$3:$C$194,MATCH(B172,'QS Takeoff'!$B$3:$B$194,0)),"")</f>
        <v/>
      </c>
      <c r="E172" s="81" t="str">
        <f>IFERROR(INDEX('QS Takeoff'!$E$3:$E$194,MATCH(B172,'QS Takeoff'!$B$3:$B$194,0)),"")</f>
        <v/>
      </c>
      <c r="F172" s="81" t="str">
        <f>IFERROR(INDEX('QS Takeoff'!$D$3:$D$194,MATCH(B172,'QS Takeoff'!$B$3:$B$194,0)),"")</f>
        <v/>
      </c>
      <c r="G172" s="81" t="str">
        <f>IFERROR(INDEX('QS Takeoff'!$J$3:$J$194,MATCH(B172,'QS Takeoff'!$B$3:$B$194,0)),"")</f>
        <v/>
      </c>
      <c r="H172" s="53"/>
      <c r="I172" s="60"/>
      <c r="J172" s="60"/>
      <c r="K172" s="82" t="str">
        <f t="shared" si="12"/>
        <v/>
      </c>
      <c r="L172" s="60"/>
      <c r="M172" s="82" t="str">
        <f t="shared" si="13"/>
        <v/>
      </c>
      <c r="N172" s="53"/>
      <c r="O172" s="53"/>
      <c r="P172" s="53"/>
      <c r="Q172" s="81" t="str">
        <f>IFERROR(INDEX('Resource Rate Library'!$C$5:$C$85,MATCH(P172,'Resource Rate Library'!$A$5:$A$85,0)),"")</f>
        <v/>
      </c>
      <c r="R172" s="53"/>
      <c r="S172" s="53"/>
      <c r="T172" s="81" t="str">
        <f>IFERROR(INDEX('Resource Rate Library'!$E$5:$E$85,MATCH(P172,'Resource Rate Library'!$A$5:$A$85,0)),"")</f>
        <v/>
      </c>
      <c r="U172" s="62"/>
      <c r="V172" s="62"/>
      <c r="W172" s="83">
        <f>IFERROR(INDEX('Resource Rate Library'!$I$5:$I$85,MATCH(P172,'Resource Rate Library'!$A$5:$A$85,0)),0)</f>
        <v>0</v>
      </c>
      <c r="X172" s="52"/>
      <c r="Y172" s="83">
        <f t="shared" si="14"/>
        <v>0</v>
      </c>
      <c r="Z172" s="83" t="str">
        <f t="shared" si="15"/>
        <v/>
      </c>
      <c r="AA172" s="81" t="str">
        <f>IFERROR(INDEX('Resource Rate Library'!$N$5:$N$85,MATCH(P172,'Resource Rate Library'!$A$5:$A$85,0)),"")</f>
        <v/>
      </c>
      <c r="AB172" s="53"/>
      <c r="AC172" s="59"/>
      <c r="AD172" s="81" t="str">
        <f>IFERROR(INDEX('Resource Rate Library'!$G$5:$G$85,MATCH(P172,'Resource Rate Library'!$A$5:$A$85,0)),"")</f>
        <v/>
      </c>
      <c r="AE172" s="81" t="str">
        <f>IFERROR(INDEX('Resource Rate Library'!$H$5:$H$85,MATCH(P172,'Resource Rate Library'!$A$5:$A$85,0)),"")</f>
        <v/>
      </c>
      <c r="AF172" s="53"/>
      <c r="AG172" s="53"/>
      <c r="AH172" s="53"/>
      <c r="AI172" s="81" t="str">
        <f t="shared" si="16"/>
        <v/>
      </c>
      <c r="AJ172" s="54"/>
      <c r="AK172" s="197"/>
      <c r="AL172" s="197"/>
      <c r="AM172" s="197"/>
      <c r="AN172" s="199">
        <f>IF(AND(AK172="Yes",OR(O172="Labour",O172="Plant")),Z172,0)</f>
        <v>0</v>
      </c>
    </row>
    <row r="173" spans="1:40" x14ac:dyDescent="0.2">
      <c r="A173" s="80" t="str">
        <f>IF(B173="","",B173&amp;"-"&amp;TEXT(COUNTIF($B$7:B173,B173),"000"))</f>
        <v/>
      </c>
      <c r="B173" s="53"/>
      <c r="C173" s="81" t="str">
        <f>IFERROR(INDEX('QS Takeoff'!$A$3:$A$194,MATCH(B173,'QS Takeoff'!$B$3:$B$194,0)),"")</f>
        <v/>
      </c>
      <c r="D173" s="81" t="str">
        <f>IFERROR(INDEX('QS Takeoff'!$C$3:$C$194,MATCH(B173,'QS Takeoff'!$B$3:$B$194,0)),"")</f>
        <v/>
      </c>
      <c r="E173" s="81" t="str">
        <f>IFERROR(INDEX('QS Takeoff'!$E$3:$E$194,MATCH(B173,'QS Takeoff'!$B$3:$B$194,0)),"")</f>
        <v/>
      </c>
      <c r="F173" s="81" t="str">
        <f>IFERROR(INDEX('QS Takeoff'!$D$3:$D$194,MATCH(B173,'QS Takeoff'!$B$3:$B$194,0)),"")</f>
        <v/>
      </c>
      <c r="G173" s="81" t="str">
        <f>IFERROR(INDEX('QS Takeoff'!$J$3:$J$194,MATCH(B173,'QS Takeoff'!$B$3:$B$194,0)),"")</f>
        <v/>
      </c>
      <c r="H173" s="53"/>
      <c r="I173" s="60"/>
      <c r="J173" s="60"/>
      <c r="K173" s="82" t="str">
        <f t="shared" si="12"/>
        <v/>
      </c>
      <c r="L173" s="60"/>
      <c r="M173" s="82" t="str">
        <f t="shared" si="13"/>
        <v/>
      </c>
      <c r="N173" s="53"/>
      <c r="O173" s="53"/>
      <c r="P173" s="53"/>
      <c r="Q173" s="81" t="str">
        <f>IFERROR(INDEX('Resource Rate Library'!$C$5:$C$85,MATCH(P173,'Resource Rate Library'!$A$5:$A$85,0)),"")</f>
        <v/>
      </c>
      <c r="R173" s="53"/>
      <c r="S173" s="53"/>
      <c r="T173" s="81" t="str">
        <f>IFERROR(INDEX('Resource Rate Library'!$E$5:$E$85,MATCH(P173,'Resource Rate Library'!$A$5:$A$85,0)),"")</f>
        <v/>
      </c>
      <c r="U173" s="62"/>
      <c r="V173" s="62"/>
      <c r="W173" s="83">
        <f>IFERROR(INDEX('Resource Rate Library'!$I$5:$I$85,MATCH(P173,'Resource Rate Library'!$A$5:$A$85,0)),0)</f>
        <v>0</v>
      </c>
      <c r="X173" s="52"/>
      <c r="Y173" s="83">
        <f t="shared" si="14"/>
        <v>0</v>
      </c>
      <c r="Z173" s="83" t="str">
        <f t="shared" si="15"/>
        <v/>
      </c>
      <c r="AA173" s="81" t="str">
        <f>IFERROR(INDEX('Resource Rate Library'!$N$5:$N$85,MATCH(P173,'Resource Rate Library'!$A$5:$A$85,0)),"")</f>
        <v/>
      </c>
      <c r="AB173" s="53"/>
      <c r="AC173" s="59"/>
      <c r="AD173" s="81" t="str">
        <f>IFERROR(INDEX('Resource Rate Library'!$G$5:$G$85,MATCH(P173,'Resource Rate Library'!$A$5:$A$85,0)),"")</f>
        <v/>
      </c>
      <c r="AE173" s="81" t="str">
        <f>IFERROR(INDEX('Resource Rate Library'!$H$5:$H$85,MATCH(P173,'Resource Rate Library'!$A$5:$A$85,0)),"")</f>
        <v/>
      </c>
      <c r="AF173" s="53"/>
      <c r="AG173" s="53"/>
      <c r="AH173" s="53"/>
      <c r="AI173" s="81" t="str">
        <f t="shared" si="16"/>
        <v/>
      </c>
      <c r="AJ173" s="54"/>
      <c r="AK173" s="197"/>
      <c r="AL173" s="197"/>
      <c r="AM173" s="197"/>
      <c r="AN173" s="199">
        <f>IF(AND(AK173="Yes",OR(O173="Labour",O173="Plant")),Z173,0)</f>
        <v>0</v>
      </c>
    </row>
    <row r="174" spans="1:40" x14ac:dyDescent="0.2">
      <c r="A174" s="80" t="str">
        <f>IF(B174="","",B174&amp;"-"&amp;TEXT(COUNTIF($B$7:B174,B174),"000"))</f>
        <v/>
      </c>
      <c r="B174" s="53"/>
      <c r="C174" s="81" t="str">
        <f>IFERROR(INDEX('QS Takeoff'!$A$3:$A$194,MATCH(B174,'QS Takeoff'!$B$3:$B$194,0)),"")</f>
        <v/>
      </c>
      <c r="D174" s="81" t="str">
        <f>IFERROR(INDEX('QS Takeoff'!$C$3:$C$194,MATCH(B174,'QS Takeoff'!$B$3:$B$194,0)),"")</f>
        <v/>
      </c>
      <c r="E174" s="81" t="str">
        <f>IFERROR(INDEX('QS Takeoff'!$E$3:$E$194,MATCH(B174,'QS Takeoff'!$B$3:$B$194,0)),"")</f>
        <v/>
      </c>
      <c r="F174" s="81" t="str">
        <f>IFERROR(INDEX('QS Takeoff'!$D$3:$D$194,MATCH(B174,'QS Takeoff'!$B$3:$B$194,0)),"")</f>
        <v/>
      </c>
      <c r="G174" s="81" t="str">
        <f>IFERROR(INDEX('QS Takeoff'!$J$3:$J$194,MATCH(B174,'QS Takeoff'!$B$3:$B$194,0)),"")</f>
        <v/>
      </c>
      <c r="H174" s="53"/>
      <c r="I174" s="60"/>
      <c r="J174" s="60"/>
      <c r="K174" s="82" t="str">
        <f t="shared" si="12"/>
        <v/>
      </c>
      <c r="L174" s="60"/>
      <c r="M174" s="82" t="str">
        <f t="shared" si="13"/>
        <v/>
      </c>
      <c r="N174" s="53"/>
      <c r="O174" s="53"/>
      <c r="P174" s="53"/>
      <c r="Q174" s="81" t="str">
        <f>IFERROR(INDEX('Resource Rate Library'!$C$5:$C$85,MATCH(P174,'Resource Rate Library'!$A$5:$A$85,0)),"")</f>
        <v/>
      </c>
      <c r="R174" s="53"/>
      <c r="S174" s="53"/>
      <c r="T174" s="81" t="str">
        <f>IFERROR(INDEX('Resource Rate Library'!$E$5:$E$85,MATCH(P174,'Resource Rate Library'!$A$5:$A$85,0)),"")</f>
        <v/>
      </c>
      <c r="U174" s="62"/>
      <c r="V174" s="62"/>
      <c r="W174" s="83">
        <f>IFERROR(INDEX('Resource Rate Library'!$I$5:$I$85,MATCH(P174,'Resource Rate Library'!$A$5:$A$85,0)),0)</f>
        <v>0</v>
      </c>
      <c r="X174" s="52"/>
      <c r="Y174" s="83">
        <f t="shared" si="14"/>
        <v>0</v>
      </c>
      <c r="Z174" s="83" t="str">
        <f t="shared" si="15"/>
        <v/>
      </c>
      <c r="AA174" s="81" t="str">
        <f>IFERROR(INDEX('Resource Rate Library'!$N$5:$N$85,MATCH(P174,'Resource Rate Library'!$A$5:$A$85,0)),"")</f>
        <v/>
      </c>
      <c r="AB174" s="53"/>
      <c r="AC174" s="59"/>
      <c r="AD174" s="81" t="str">
        <f>IFERROR(INDEX('Resource Rate Library'!$G$5:$G$85,MATCH(P174,'Resource Rate Library'!$A$5:$A$85,0)),"")</f>
        <v/>
      </c>
      <c r="AE174" s="81" t="str">
        <f>IFERROR(INDEX('Resource Rate Library'!$H$5:$H$85,MATCH(P174,'Resource Rate Library'!$A$5:$A$85,0)),"")</f>
        <v/>
      </c>
      <c r="AF174" s="53"/>
      <c r="AG174" s="53"/>
      <c r="AH174" s="53"/>
      <c r="AI174" s="81" t="str">
        <f t="shared" si="16"/>
        <v/>
      </c>
      <c r="AJ174" s="54"/>
      <c r="AK174" s="197"/>
      <c r="AL174" s="197"/>
      <c r="AM174" s="197"/>
      <c r="AN174" s="199">
        <f>IF(AND(AK174="Yes",OR(O174="Labour",O174="Plant")),Z174,0)</f>
        <v>0</v>
      </c>
    </row>
    <row r="175" spans="1:40" x14ac:dyDescent="0.2">
      <c r="A175" s="80" t="str">
        <f>IF(B175="","",B175&amp;"-"&amp;TEXT(COUNTIF($B$7:B175,B175),"000"))</f>
        <v/>
      </c>
      <c r="B175" s="53"/>
      <c r="C175" s="81" t="str">
        <f>IFERROR(INDEX('QS Takeoff'!$A$3:$A$194,MATCH(B175,'QS Takeoff'!$B$3:$B$194,0)),"")</f>
        <v/>
      </c>
      <c r="D175" s="81" t="str">
        <f>IFERROR(INDEX('QS Takeoff'!$C$3:$C$194,MATCH(B175,'QS Takeoff'!$B$3:$B$194,0)),"")</f>
        <v/>
      </c>
      <c r="E175" s="81" t="str">
        <f>IFERROR(INDEX('QS Takeoff'!$E$3:$E$194,MATCH(B175,'QS Takeoff'!$B$3:$B$194,0)),"")</f>
        <v/>
      </c>
      <c r="F175" s="81" t="str">
        <f>IFERROR(INDEX('QS Takeoff'!$D$3:$D$194,MATCH(B175,'QS Takeoff'!$B$3:$B$194,0)),"")</f>
        <v/>
      </c>
      <c r="G175" s="81" t="str">
        <f>IFERROR(INDEX('QS Takeoff'!$J$3:$J$194,MATCH(B175,'QS Takeoff'!$B$3:$B$194,0)),"")</f>
        <v/>
      </c>
      <c r="H175" s="53"/>
      <c r="I175" s="60"/>
      <c r="J175" s="60"/>
      <c r="K175" s="82" t="str">
        <f t="shared" si="12"/>
        <v/>
      </c>
      <c r="L175" s="60"/>
      <c r="M175" s="82" t="str">
        <f t="shared" si="13"/>
        <v/>
      </c>
      <c r="N175" s="53"/>
      <c r="O175" s="53"/>
      <c r="P175" s="53"/>
      <c r="Q175" s="81" t="str">
        <f>IFERROR(INDEX('Resource Rate Library'!$C$5:$C$85,MATCH(P175,'Resource Rate Library'!$A$5:$A$85,0)),"")</f>
        <v/>
      </c>
      <c r="R175" s="53"/>
      <c r="S175" s="53"/>
      <c r="T175" s="81" t="str">
        <f>IFERROR(INDEX('Resource Rate Library'!$E$5:$E$85,MATCH(P175,'Resource Rate Library'!$A$5:$A$85,0)),"")</f>
        <v/>
      </c>
      <c r="U175" s="62"/>
      <c r="V175" s="62"/>
      <c r="W175" s="83">
        <f>IFERROR(INDEX('Resource Rate Library'!$I$5:$I$85,MATCH(P175,'Resource Rate Library'!$A$5:$A$85,0)),0)</f>
        <v>0</v>
      </c>
      <c r="X175" s="52"/>
      <c r="Y175" s="83">
        <f t="shared" si="14"/>
        <v>0</v>
      </c>
      <c r="Z175" s="83" t="str">
        <f t="shared" si="15"/>
        <v/>
      </c>
      <c r="AA175" s="81" t="str">
        <f>IFERROR(INDEX('Resource Rate Library'!$N$5:$N$85,MATCH(P175,'Resource Rate Library'!$A$5:$A$85,0)),"")</f>
        <v/>
      </c>
      <c r="AB175" s="53"/>
      <c r="AC175" s="59"/>
      <c r="AD175" s="81" t="str">
        <f>IFERROR(INDEX('Resource Rate Library'!$G$5:$G$85,MATCH(P175,'Resource Rate Library'!$A$5:$A$85,0)),"")</f>
        <v/>
      </c>
      <c r="AE175" s="81" t="str">
        <f>IFERROR(INDEX('Resource Rate Library'!$H$5:$H$85,MATCH(P175,'Resource Rate Library'!$A$5:$A$85,0)),"")</f>
        <v/>
      </c>
      <c r="AF175" s="53"/>
      <c r="AG175" s="53"/>
      <c r="AH175" s="53"/>
      <c r="AI175" s="81" t="str">
        <f t="shared" si="16"/>
        <v/>
      </c>
      <c r="AJ175" s="54"/>
      <c r="AK175" s="197"/>
      <c r="AL175" s="197"/>
      <c r="AM175" s="197"/>
      <c r="AN175" s="199">
        <f>IF(AND(AK175="Yes",OR(O175="Labour",O175="Plant")),Z175,0)</f>
        <v>0</v>
      </c>
    </row>
    <row r="176" spans="1:40" x14ac:dyDescent="0.2">
      <c r="A176" s="80" t="str">
        <f>IF(B176="","",B176&amp;"-"&amp;TEXT(COUNTIF($B$7:B176,B176),"000"))</f>
        <v/>
      </c>
      <c r="B176" s="53"/>
      <c r="C176" s="81" t="str">
        <f>IFERROR(INDEX('QS Takeoff'!$A$3:$A$194,MATCH(B176,'QS Takeoff'!$B$3:$B$194,0)),"")</f>
        <v/>
      </c>
      <c r="D176" s="81" t="str">
        <f>IFERROR(INDEX('QS Takeoff'!$C$3:$C$194,MATCH(B176,'QS Takeoff'!$B$3:$B$194,0)),"")</f>
        <v/>
      </c>
      <c r="E176" s="81" t="str">
        <f>IFERROR(INDEX('QS Takeoff'!$E$3:$E$194,MATCH(B176,'QS Takeoff'!$B$3:$B$194,0)),"")</f>
        <v/>
      </c>
      <c r="F176" s="81" t="str">
        <f>IFERROR(INDEX('QS Takeoff'!$D$3:$D$194,MATCH(B176,'QS Takeoff'!$B$3:$B$194,0)),"")</f>
        <v/>
      </c>
      <c r="G176" s="81" t="str">
        <f>IFERROR(INDEX('QS Takeoff'!$J$3:$J$194,MATCH(B176,'QS Takeoff'!$B$3:$B$194,0)),"")</f>
        <v/>
      </c>
      <c r="H176" s="53"/>
      <c r="I176" s="60"/>
      <c r="J176" s="60"/>
      <c r="K176" s="82" t="str">
        <f t="shared" si="12"/>
        <v/>
      </c>
      <c r="L176" s="60"/>
      <c r="M176" s="82" t="str">
        <f t="shared" si="13"/>
        <v/>
      </c>
      <c r="N176" s="53"/>
      <c r="O176" s="53"/>
      <c r="P176" s="53"/>
      <c r="Q176" s="81" t="str">
        <f>IFERROR(INDEX('Resource Rate Library'!$C$5:$C$85,MATCH(P176,'Resource Rate Library'!$A$5:$A$85,0)),"")</f>
        <v/>
      </c>
      <c r="R176" s="53"/>
      <c r="S176" s="53"/>
      <c r="T176" s="81" t="str">
        <f>IFERROR(INDEX('Resource Rate Library'!$E$5:$E$85,MATCH(P176,'Resource Rate Library'!$A$5:$A$85,0)),"")</f>
        <v/>
      </c>
      <c r="U176" s="62"/>
      <c r="V176" s="62"/>
      <c r="W176" s="83">
        <f>IFERROR(INDEX('Resource Rate Library'!$I$5:$I$85,MATCH(P176,'Resource Rate Library'!$A$5:$A$85,0)),0)</f>
        <v>0</v>
      </c>
      <c r="X176" s="52"/>
      <c r="Y176" s="83">
        <f t="shared" si="14"/>
        <v>0</v>
      </c>
      <c r="Z176" s="83" t="str">
        <f t="shared" si="15"/>
        <v/>
      </c>
      <c r="AA176" s="81" t="str">
        <f>IFERROR(INDEX('Resource Rate Library'!$N$5:$N$85,MATCH(P176,'Resource Rate Library'!$A$5:$A$85,0)),"")</f>
        <v/>
      </c>
      <c r="AB176" s="53"/>
      <c r="AC176" s="59"/>
      <c r="AD176" s="81" t="str">
        <f>IFERROR(INDEX('Resource Rate Library'!$G$5:$G$85,MATCH(P176,'Resource Rate Library'!$A$5:$A$85,0)),"")</f>
        <v/>
      </c>
      <c r="AE176" s="81" t="str">
        <f>IFERROR(INDEX('Resource Rate Library'!$H$5:$H$85,MATCH(P176,'Resource Rate Library'!$A$5:$A$85,0)),"")</f>
        <v/>
      </c>
      <c r="AF176" s="53"/>
      <c r="AG176" s="53"/>
      <c r="AH176" s="53"/>
      <c r="AI176" s="81" t="str">
        <f t="shared" si="16"/>
        <v/>
      </c>
      <c r="AJ176" s="54"/>
      <c r="AK176" s="197"/>
      <c r="AL176" s="197"/>
      <c r="AM176" s="197"/>
      <c r="AN176" s="199">
        <f>IF(AND(AK176="Yes",OR(O176="Labour",O176="Plant")),Z176,0)</f>
        <v>0</v>
      </c>
    </row>
    <row r="177" spans="1:40" x14ac:dyDescent="0.2">
      <c r="A177" s="80" t="str">
        <f>IF(B177="","",B177&amp;"-"&amp;TEXT(COUNTIF($B$7:B177,B177),"000"))</f>
        <v/>
      </c>
      <c r="B177" s="53"/>
      <c r="C177" s="81" t="str">
        <f>IFERROR(INDEX('QS Takeoff'!$A$3:$A$194,MATCH(B177,'QS Takeoff'!$B$3:$B$194,0)),"")</f>
        <v/>
      </c>
      <c r="D177" s="81" t="str">
        <f>IFERROR(INDEX('QS Takeoff'!$C$3:$C$194,MATCH(B177,'QS Takeoff'!$B$3:$B$194,0)),"")</f>
        <v/>
      </c>
      <c r="E177" s="81" t="str">
        <f>IFERROR(INDEX('QS Takeoff'!$E$3:$E$194,MATCH(B177,'QS Takeoff'!$B$3:$B$194,0)),"")</f>
        <v/>
      </c>
      <c r="F177" s="81" t="str">
        <f>IFERROR(INDEX('QS Takeoff'!$D$3:$D$194,MATCH(B177,'QS Takeoff'!$B$3:$B$194,0)),"")</f>
        <v/>
      </c>
      <c r="G177" s="81" t="str">
        <f>IFERROR(INDEX('QS Takeoff'!$J$3:$J$194,MATCH(B177,'QS Takeoff'!$B$3:$B$194,0)),"")</f>
        <v/>
      </c>
      <c r="H177" s="53"/>
      <c r="I177" s="60"/>
      <c r="J177" s="60"/>
      <c r="K177" s="82" t="str">
        <f t="shared" si="12"/>
        <v/>
      </c>
      <c r="L177" s="60"/>
      <c r="M177" s="82" t="str">
        <f t="shared" si="13"/>
        <v/>
      </c>
      <c r="N177" s="53"/>
      <c r="O177" s="53"/>
      <c r="P177" s="53"/>
      <c r="Q177" s="81" t="str">
        <f>IFERROR(INDEX('Resource Rate Library'!$C$5:$C$85,MATCH(P177,'Resource Rate Library'!$A$5:$A$85,0)),"")</f>
        <v/>
      </c>
      <c r="R177" s="53"/>
      <c r="S177" s="53"/>
      <c r="T177" s="81" t="str">
        <f>IFERROR(INDEX('Resource Rate Library'!$E$5:$E$85,MATCH(P177,'Resource Rate Library'!$A$5:$A$85,0)),"")</f>
        <v/>
      </c>
      <c r="U177" s="62"/>
      <c r="V177" s="62"/>
      <c r="W177" s="83">
        <f>IFERROR(INDEX('Resource Rate Library'!$I$5:$I$85,MATCH(P177,'Resource Rate Library'!$A$5:$A$85,0)),0)</f>
        <v>0</v>
      </c>
      <c r="X177" s="52"/>
      <c r="Y177" s="83">
        <f t="shared" si="14"/>
        <v>0</v>
      </c>
      <c r="Z177" s="83" t="str">
        <f t="shared" si="15"/>
        <v/>
      </c>
      <c r="AA177" s="81" t="str">
        <f>IFERROR(INDEX('Resource Rate Library'!$N$5:$N$85,MATCH(P177,'Resource Rate Library'!$A$5:$A$85,0)),"")</f>
        <v/>
      </c>
      <c r="AB177" s="53"/>
      <c r="AC177" s="59"/>
      <c r="AD177" s="81" t="str">
        <f>IFERROR(INDEX('Resource Rate Library'!$G$5:$G$85,MATCH(P177,'Resource Rate Library'!$A$5:$A$85,0)),"")</f>
        <v/>
      </c>
      <c r="AE177" s="81" t="str">
        <f>IFERROR(INDEX('Resource Rate Library'!$H$5:$H$85,MATCH(P177,'Resource Rate Library'!$A$5:$A$85,0)),"")</f>
        <v/>
      </c>
      <c r="AF177" s="53"/>
      <c r="AG177" s="53"/>
      <c r="AH177" s="53"/>
      <c r="AI177" s="81" t="str">
        <f t="shared" si="16"/>
        <v/>
      </c>
      <c r="AJ177" s="54"/>
      <c r="AK177" s="197"/>
      <c r="AL177" s="197"/>
      <c r="AM177" s="197"/>
      <c r="AN177" s="199">
        <f>IF(AND(AK177="Yes",OR(O177="Labour",O177="Plant")),Z177,0)</f>
        <v>0</v>
      </c>
    </row>
    <row r="178" spans="1:40" x14ac:dyDescent="0.2">
      <c r="A178" s="80" t="str">
        <f>IF(B178="","",B178&amp;"-"&amp;TEXT(COUNTIF($B$7:B178,B178),"000"))</f>
        <v/>
      </c>
      <c r="B178" s="53"/>
      <c r="C178" s="81" t="str">
        <f>IFERROR(INDEX('QS Takeoff'!$A$3:$A$194,MATCH(B178,'QS Takeoff'!$B$3:$B$194,0)),"")</f>
        <v/>
      </c>
      <c r="D178" s="81" t="str">
        <f>IFERROR(INDEX('QS Takeoff'!$C$3:$C$194,MATCH(B178,'QS Takeoff'!$B$3:$B$194,0)),"")</f>
        <v/>
      </c>
      <c r="E178" s="81" t="str">
        <f>IFERROR(INDEX('QS Takeoff'!$E$3:$E$194,MATCH(B178,'QS Takeoff'!$B$3:$B$194,0)),"")</f>
        <v/>
      </c>
      <c r="F178" s="81" t="str">
        <f>IFERROR(INDEX('QS Takeoff'!$D$3:$D$194,MATCH(B178,'QS Takeoff'!$B$3:$B$194,0)),"")</f>
        <v/>
      </c>
      <c r="G178" s="81" t="str">
        <f>IFERROR(INDEX('QS Takeoff'!$J$3:$J$194,MATCH(B178,'QS Takeoff'!$B$3:$B$194,0)),"")</f>
        <v/>
      </c>
      <c r="H178" s="53"/>
      <c r="I178" s="60"/>
      <c r="J178" s="60"/>
      <c r="K178" s="82" t="str">
        <f t="shared" si="12"/>
        <v/>
      </c>
      <c r="L178" s="60"/>
      <c r="M178" s="82" t="str">
        <f t="shared" si="13"/>
        <v/>
      </c>
      <c r="N178" s="53"/>
      <c r="O178" s="53"/>
      <c r="P178" s="53"/>
      <c r="Q178" s="81" t="str">
        <f>IFERROR(INDEX('Resource Rate Library'!$C$5:$C$85,MATCH(P178,'Resource Rate Library'!$A$5:$A$85,0)),"")</f>
        <v/>
      </c>
      <c r="R178" s="53"/>
      <c r="S178" s="53"/>
      <c r="T178" s="81" t="str">
        <f>IFERROR(INDEX('Resource Rate Library'!$E$5:$E$85,MATCH(P178,'Resource Rate Library'!$A$5:$A$85,0)),"")</f>
        <v/>
      </c>
      <c r="U178" s="62"/>
      <c r="V178" s="62"/>
      <c r="W178" s="83">
        <f>IFERROR(INDEX('Resource Rate Library'!$I$5:$I$85,MATCH(P178,'Resource Rate Library'!$A$5:$A$85,0)),0)</f>
        <v>0</v>
      </c>
      <c r="X178" s="52"/>
      <c r="Y178" s="83">
        <f t="shared" si="14"/>
        <v>0</v>
      </c>
      <c r="Z178" s="83" t="str">
        <f t="shared" si="15"/>
        <v/>
      </c>
      <c r="AA178" s="81" t="str">
        <f>IFERROR(INDEX('Resource Rate Library'!$N$5:$N$85,MATCH(P178,'Resource Rate Library'!$A$5:$A$85,0)),"")</f>
        <v/>
      </c>
      <c r="AB178" s="53"/>
      <c r="AC178" s="59"/>
      <c r="AD178" s="81" t="str">
        <f>IFERROR(INDEX('Resource Rate Library'!$G$5:$G$85,MATCH(P178,'Resource Rate Library'!$A$5:$A$85,0)),"")</f>
        <v/>
      </c>
      <c r="AE178" s="81" t="str">
        <f>IFERROR(INDEX('Resource Rate Library'!$H$5:$H$85,MATCH(P178,'Resource Rate Library'!$A$5:$A$85,0)),"")</f>
        <v/>
      </c>
      <c r="AF178" s="53"/>
      <c r="AG178" s="53"/>
      <c r="AH178" s="53"/>
      <c r="AI178" s="81" t="str">
        <f t="shared" si="16"/>
        <v/>
      </c>
      <c r="AJ178" s="54"/>
      <c r="AK178" s="197"/>
      <c r="AL178" s="197"/>
      <c r="AM178" s="197"/>
      <c r="AN178" s="199">
        <f>IF(AND(AK178="Yes",OR(O178="Labour",O178="Plant")),Z178,0)</f>
        <v>0</v>
      </c>
    </row>
    <row r="179" spans="1:40" x14ac:dyDescent="0.2">
      <c r="A179" s="80" t="str">
        <f>IF(B179="","",B179&amp;"-"&amp;TEXT(COUNTIF($B$7:B179,B179),"000"))</f>
        <v/>
      </c>
      <c r="B179" s="53"/>
      <c r="C179" s="81" t="str">
        <f>IFERROR(INDEX('QS Takeoff'!$A$3:$A$194,MATCH(B179,'QS Takeoff'!$B$3:$B$194,0)),"")</f>
        <v/>
      </c>
      <c r="D179" s="81" t="str">
        <f>IFERROR(INDEX('QS Takeoff'!$C$3:$C$194,MATCH(B179,'QS Takeoff'!$B$3:$B$194,0)),"")</f>
        <v/>
      </c>
      <c r="E179" s="81" t="str">
        <f>IFERROR(INDEX('QS Takeoff'!$E$3:$E$194,MATCH(B179,'QS Takeoff'!$B$3:$B$194,0)),"")</f>
        <v/>
      </c>
      <c r="F179" s="81" t="str">
        <f>IFERROR(INDEX('QS Takeoff'!$D$3:$D$194,MATCH(B179,'QS Takeoff'!$B$3:$B$194,0)),"")</f>
        <v/>
      </c>
      <c r="G179" s="81" t="str">
        <f>IFERROR(INDEX('QS Takeoff'!$J$3:$J$194,MATCH(B179,'QS Takeoff'!$B$3:$B$194,0)),"")</f>
        <v/>
      </c>
      <c r="H179" s="53"/>
      <c r="I179" s="60"/>
      <c r="J179" s="60"/>
      <c r="K179" s="82" t="str">
        <f t="shared" si="12"/>
        <v/>
      </c>
      <c r="L179" s="60"/>
      <c r="M179" s="82" t="str">
        <f t="shared" si="13"/>
        <v/>
      </c>
      <c r="N179" s="53"/>
      <c r="O179" s="53"/>
      <c r="P179" s="53"/>
      <c r="Q179" s="81" t="str">
        <f>IFERROR(INDEX('Resource Rate Library'!$C$5:$C$85,MATCH(P179,'Resource Rate Library'!$A$5:$A$85,0)),"")</f>
        <v/>
      </c>
      <c r="R179" s="53"/>
      <c r="S179" s="53"/>
      <c r="T179" s="81" t="str">
        <f>IFERROR(INDEX('Resource Rate Library'!$E$5:$E$85,MATCH(P179,'Resource Rate Library'!$A$5:$A$85,0)),"")</f>
        <v/>
      </c>
      <c r="U179" s="62"/>
      <c r="V179" s="62"/>
      <c r="W179" s="83">
        <f>IFERROR(INDEX('Resource Rate Library'!$I$5:$I$85,MATCH(P179,'Resource Rate Library'!$A$5:$A$85,0)),0)</f>
        <v>0</v>
      </c>
      <c r="X179" s="52"/>
      <c r="Y179" s="83">
        <f t="shared" si="14"/>
        <v>0</v>
      </c>
      <c r="Z179" s="83" t="str">
        <f t="shared" si="15"/>
        <v/>
      </c>
      <c r="AA179" s="81" t="str">
        <f>IFERROR(INDEX('Resource Rate Library'!$N$5:$N$85,MATCH(P179,'Resource Rate Library'!$A$5:$A$85,0)),"")</f>
        <v/>
      </c>
      <c r="AB179" s="53"/>
      <c r="AC179" s="59"/>
      <c r="AD179" s="81" t="str">
        <f>IFERROR(INDEX('Resource Rate Library'!$G$5:$G$85,MATCH(P179,'Resource Rate Library'!$A$5:$A$85,0)),"")</f>
        <v/>
      </c>
      <c r="AE179" s="81" t="str">
        <f>IFERROR(INDEX('Resource Rate Library'!$H$5:$H$85,MATCH(P179,'Resource Rate Library'!$A$5:$A$85,0)),"")</f>
        <v/>
      </c>
      <c r="AF179" s="53"/>
      <c r="AG179" s="53"/>
      <c r="AH179" s="53"/>
      <c r="AI179" s="81" t="str">
        <f t="shared" si="16"/>
        <v/>
      </c>
      <c r="AJ179" s="54"/>
      <c r="AK179" s="197"/>
      <c r="AL179" s="197"/>
      <c r="AM179" s="197"/>
      <c r="AN179" s="199">
        <f>IF(AND(AK179="Yes",OR(O179="Labour",O179="Plant")),Z179,0)</f>
        <v>0</v>
      </c>
    </row>
    <row r="180" spans="1:40" x14ac:dyDescent="0.2">
      <c r="A180" s="80" t="str">
        <f>IF(B180="","",B180&amp;"-"&amp;TEXT(COUNTIF($B$7:B180,B180),"000"))</f>
        <v/>
      </c>
      <c r="B180" s="53"/>
      <c r="C180" s="81" t="str">
        <f>IFERROR(INDEX('QS Takeoff'!$A$3:$A$194,MATCH(B180,'QS Takeoff'!$B$3:$B$194,0)),"")</f>
        <v/>
      </c>
      <c r="D180" s="81" t="str">
        <f>IFERROR(INDEX('QS Takeoff'!$C$3:$C$194,MATCH(B180,'QS Takeoff'!$B$3:$B$194,0)),"")</f>
        <v/>
      </c>
      <c r="E180" s="81" t="str">
        <f>IFERROR(INDEX('QS Takeoff'!$E$3:$E$194,MATCH(B180,'QS Takeoff'!$B$3:$B$194,0)),"")</f>
        <v/>
      </c>
      <c r="F180" s="81" t="str">
        <f>IFERROR(INDEX('QS Takeoff'!$D$3:$D$194,MATCH(B180,'QS Takeoff'!$B$3:$B$194,0)),"")</f>
        <v/>
      </c>
      <c r="G180" s="81" t="str">
        <f>IFERROR(INDEX('QS Takeoff'!$J$3:$J$194,MATCH(B180,'QS Takeoff'!$B$3:$B$194,0)),"")</f>
        <v/>
      </c>
      <c r="H180" s="53"/>
      <c r="I180" s="60"/>
      <c r="J180" s="60"/>
      <c r="K180" s="82" t="str">
        <f t="shared" si="12"/>
        <v/>
      </c>
      <c r="L180" s="60"/>
      <c r="M180" s="82" t="str">
        <f t="shared" si="13"/>
        <v/>
      </c>
      <c r="N180" s="53"/>
      <c r="O180" s="53"/>
      <c r="P180" s="53"/>
      <c r="Q180" s="81" t="str">
        <f>IFERROR(INDEX('Resource Rate Library'!$C$5:$C$85,MATCH(P180,'Resource Rate Library'!$A$5:$A$85,0)),"")</f>
        <v/>
      </c>
      <c r="R180" s="53"/>
      <c r="S180" s="53"/>
      <c r="T180" s="81" t="str">
        <f>IFERROR(INDEX('Resource Rate Library'!$E$5:$E$85,MATCH(P180,'Resource Rate Library'!$A$5:$A$85,0)),"")</f>
        <v/>
      </c>
      <c r="U180" s="62"/>
      <c r="V180" s="62"/>
      <c r="W180" s="83">
        <f>IFERROR(INDEX('Resource Rate Library'!$I$5:$I$85,MATCH(P180,'Resource Rate Library'!$A$5:$A$85,0)),0)</f>
        <v>0</v>
      </c>
      <c r="X180" s="52"/>
      <c r="Y180" s="83">
        <f t="shared" si="14"/>
        <v>0</v>
      </c>
      <c r="Z180" s="83" t="str">
        <f t="shared" si="15"/>
        <v/>
      </c>
      <c r="AA180" s="81" t="str">
        <f>IFERROR(INDEX('Resource Rate Library'!$N$5:$N$85,MATCH(P180,'Resource Rate Library'!$A$5:$A$85,0)),"")</f>
        <v/>
      </c>
      <c r="AB180" s="53"/>
      <c r="AC180" s="59"/>
      <c r="AD180" s="81" t="str">
        <f>IFERROR(INDEX('Resource Rate Library'!$G$5:$G$85,MATCH(P180,'Resource Rate Library'!$A$5:$A$85,0)),"")</f>
        <v/>
      </c>
      <c r="AE180" s="81" t="str">
        <f>IFERROR(INDEX('Resource Rate Library'!$H$5:$H$85,MATCH(P180,'Resource Rate Library'!$A$5:$A$85,0)),"")</f>
        <v/>
      </c>
      <c r="AF180" s="53"/>
      <c r="AG180" s="53"/>
      <c r="AH180" s="53"/>
      <c r="AI180" s="81" t="str">
        <f t="shared" si="16"/>
        <v/>
      </c>
      <c r="AJ180" s="54"/>
      <c r="AK180" s="197"/>
      <c r="AL180" s="197"/>
      <c r="AM180" s="197"/>
      <c r="AN180" s="199">
        <f>IF(AND(AK180="Yes",OR(O180="Labour",O180="Plant")),Z180,0)</f>
        <v>0</v>
      </c>
    </row>
    <row r="181" spans="1:40" x14ac:dyDescent="0.2">
      <c r="A181" s="80" t="str">
        <f>IF(B181="","",B181&amp;"-"&amp;TEXT(COUNTIF($B$7:B181,B181),"000"))</f>
        <v/>
      </c>
      <c r="B181" s="53"/>
      <c r="C181" s="81" t="str">
        <f>IFERROR(INDEX('QS Takeoff'!$A$3:$A$194,MATCH(B181,'QS Takeoff'!$B$3:$B$194,0)),"")</f>
        <v/>
      </c>
      <c r="D181" s="81" t="str">
        <f>IFERROR(INDEX('QS Takeoff'!$C$3:$C$194,MATCH(B181,'QS Takeoff'!$B$3:$B$194,0)),"")</f>
        <v/>
      </c>
      <c r="E181" s="81" t="str">
        <f>IFERROR(INDEX('QS Takeoff'!$E$3:$E$194,MATCH(B181,'QS Takeoff'!$B$3:$B$194,0)),"")</f>
        <v/>
      </c>
      <c r="F181" s="81" t="str">
        <f>IFERROR(INDEX('QS Takeoff'!$D$3:$D$194,MATCH(B181,'QS Takeoff'!$B$3:$B$194,0)),"")</f>
        <v/>
      </c>
      <c r="G181" s="81" t="str">
        <f>IFERROR(INDEX('QS Takeoff'!$J$3:$J$194,MATCH(B181,'QS Takeoff'!$B$3:$B$194,0)),"")</f>
        <v/>
      </c>
      <c r="H181" s="53"/>
      <c r="I181" s="60"/>
      <c r="J181" s="60"/>
      <c r="K181" s="82" t="str">
        <f t="shared" si="12"/>
        <v/>
      </c>
      <c r="L181" s="60"/>
      <c r="M181" s="82" t="str">
        <f t="shared" si="13"/>
        <v/>
      </c>
      <c r="N181" s="53"/>
      <c r="O181" s="53"/>
      <c r="P181" s="53"/>
      <c r="Q181" s="81" t="str">
        <f>IFERROR(INDEX('Resource Rate Library'!$C$5:$C$85,MATCH(P181,'Resource Rate Library'!$A$5:$A$85,0)),"")</f>
        <v/>
      </c>
      <c r="R181" s="53"/>
      <c r="S181" s="53"/>
      <c r="T181" s="81" t="str">
        <f>IFERROR(INDEX('Resource Rate Library'!$E$5:$E$85,MATCH(P181,'Resource Rate Library'!$A$5:$A$85,0)),"")</f>
        <v/>
      </c>
      <c r="U181" s="62"/>
      <c r="V181" s="62"/>
      <c r="W181" s="83">
        <f>IFERROR(INDEX('Resource Rate Library'!$I$5:$I$85,MATCH(P181,'Resource Rate Library'!$A$5:$A$85,0)),0)</f>
        <v>0</v>
      </c>
      <c r="X181" s="52"/>
      <c r="Y181" s="83">
        <f t="shared" si="14"/>
        <v>0</v>
      </c>
      <c r="Z181" s="83" t="str">
        <f t="shared" si="15"/>
        <v/>
      </c>
      <c r="AA181" s="81" t="str">
        <f>IFERROR(INDEX('Resource Rate Library'!$N$5:$N$85,MATCH(P181,'Resource Rate Library'!$A$5:$A$85,0)),"")</f>
        <v/>
      </c>
      <c r="AB181" s="53"/>
      <c r="AC181" s="59"/>
      <c r="AD181" s="81" t="str">
        <f>IFERROR(INDEX('Resource Rate Library'!$G$5:$G$85,MATCH(P181,'Resource Rate Library'!$A$5:$A$85,0)),"")</f>
        <v/>
      </c>
      <c r="AE181" s="81" t="str">
        <f>IFERROR(INDEX('Resource Rate Library'!$H$5:$H$85,MATCH(P181,'Resource Rate Library'!$A$5:$A$85,0)),"")</f>
        <v/>
      </c>
      <c r="AF181" s="53"/>
      <c r="AG181" s="53"/>
      <c r="AH181" s="53"/>
      <c r="AI181" s="81" t="str">
        <f t="shared" si="16"/>
        <v/>
      </c>
      <c r="AJ181" s="54"/>
      <c r="AK181" s="197"/>
      <c r="AL181" s="197"/>
      <c r="AM181" s="197"/>
      <c r="AN181" s="199">
        <f>IF(AND(AK181="Yes",OR(O181="Labour",O181="Plant")),Z181,0)</f>
        <v>0</v>
      </c>
    </row>
    <row r="182" spans="1:40" x14ac:dyDescent="0.2">
      <c r="A182" s="80" t="str">
        <f>IF(B182="","",B182&amp;"-"&amp;TEXT(COUNTIF($B$7:B182,B182),"000"))</f>
        <v/>
      </c>
      <c r="B182" s="53"/>
      <c r="C182" s="81" t="str">
        <f>IFERROR(INDEX('QS Takeoff'!$A$3:$A$194,MATCH(B182,'QS Takeoff'!$B$3:$B$194,0)),"")</f>
        <v/>
      </c>
      <c r="D182" s="81" t="str">
        <f>IFERROR(INDEX('QS Takeoff'!$C$3:$C$194,MATCH(B182,'QS Takeoff'!$B$3:$B$194,0)),"")</f>
        <v/>
      </c>
      <c r="E182" s="81" t="str">
        <f>IFERROR(INDEX('QS Takeoff'!$E$3:$E$194,MATCH(B182,'QS Takeoff'!$B$3:$B$194,0)),"")</f>
        <v/>
      </c>
      <c r="F182" s="81" t="str">
        <f>IFERROR(INDEX('QS Takeoff'!$D$3:$D$194,MATCH(B182,'QS Takeoff'!$B$3:$B$194,0)),"")</f>
        <v/>
      </c>
      <c r="G182" s="81" t="str">
        <f>IFERROR(INDEX('QS Takeoff'!$J$3:$J$194,MATCH(B182,'QS Takeoff'!$B$3:$B$194,0)),"")</f>
        <v/>
      </c>
      <c r="H182" s="53"/>
      <c r="I182" s="60"/>
      <c r="J182" s="60"/>
      <c r="K182" s="82" t="str">
        <f t="shared" si="12"/>
        <v/>
      </c>
      <c r="L182" s="60"/>
      <c r="M182" s="82" t="str">
        <f t="shared" si="13"/>
        <v/>
      </c>
      <c r="N182" s="53"/>
      <c r="O182" s="53"/>
      <c r="P182" s="53"/>
      <c r="Q182" s="81" t="str">
        <f>IFERROR(INDEX('Resource Rate Library'!$C$5:$C$85,MATCH(P182,'Resource Rate Library'!$A$5:$A$85,0)),"")</f>
        <v/>
      </c>
      <c r="R182" s="53"/>
      <c r="S182" s="53"/>
      <c r="T182" s="81" t="str">
        <f>IFERROR(INDEX('Resource Rate Library'!$E$5:$E$85,MATCH(P182,'Resource Rate Library'!$A$5:$A$85,0)),"")</f>
        <v/>
      </c>
      <c r="U182" s="62"/>
      <c r="V182" s="62"/>
      <c r="W182" s="83">
        <f>IFERROR(INDEX('Resource Rate Library'!$I$5:$I$85,MATCH(P182,'Resource Rate Library'!$A$5:$A$85,0)),0)</f>
        <v>0</v>
      </c>
      <c r="X182" s="52"/>
      <c r="Y182" s="83">
        <f t="shared" si="14"/>
        <v>0</v>
      </c>
      <c r="Z182" s="83" t="str">
        <f t="shared" si="15"/>
        <v/>
      </c>
      <c r="AA182" s="81" t="str">
        <f>IFERROR(INDEX('Resource Rate Library'!$N$5:$N$85,MATCH(P182,'Resource Rate Library'!$A$5:$A$85,0)),"")</f>
        <v/>
      </c>
      <c r="AB182" s="53"/>
      <c r="AC182" s="59"/>
      <c r="AD182" s="81" t="str">
        <f>IFERROR(INDEX('Resource Rate Library'!$G$5:$G$85,MATCH(P182,'Resource Rate Library'!$A$5:$A$85,0)),"")</f>
        <v/>
      </c>
      <c r="AE182" s="81" t="str">
        <f>IFERROR(INDEX('Resource Rate Library'!$H$5:$H$85,MATCH(P182,'Resource Rate Library'!$A$5:$A$85,0)),"")</f>
        <v/>
      </c>
      <c r="AF182" s="53"/>
      <c r="AG182" s="53"/>
      <c r="AH182" s="53"/>
      <c r="AI182" s="81" t="str">
        <f t="shared" si="16"/>
        <v/>
      </c>
      <c r="AJ182" s="54"/>
      <c r="AK182" s="197"/>
      <c r="AL182" s="197"/>
      <c r="AM182" s="197"/>
      <c r="AN182" s="199">
        <f>IF(AND(AK182="Yes",OR(O182="Labour",O182="Plant")),Z182,0)</f>
        <v>0</v>
      </c>
    </row>
    <row r="183" spans="1:40" x14ac:dyDescent="0.2">
      <c r="A183" s="80" t="str">
        <f>IF(B183="","",B183&amp;"-"&amp;TEXT(COUNTIF($B$7:B183,B183),"000"))</f>
        <v/>
      </c>
      <c r="B183" s="53"/>
      <c r="C183" s="81" t="str">
        <f>IFERROR(INDEX('QS Takeoff'!$A$3:$A$194,MATCH(B183,'QS Takeoff'!$B$3:$B$194,0)),"")</f>
        <v/>
      </c>
      <c r="D183" s="81" t="str">
        <f>IFERROR(INDEX('QS Takeoff'!$C$3:$C$194,MATCH(B183,'QS Takeoff'!$B$3:$B$194,0)),"")</f>
        <v/>
      </c>
      <c r="E183" s="81" t="str">
        <f>IFERROR(INDEX('QS Takeoff'!$E$3:$E$194,MATCH(B183,'QS Takeoff'!$B$3:$B$194,0)),"")</f>
        <v/>
      </c>
      <c r="F183" s="81" t="str">
        <f>IFERROR(INDEX('QS Takeoff'!$D$3:$D$194,MATCH(B183,'QS Takeoff'!$B$3:$B$194,0)),"")</f>
        <v/>
      </c>
      <c r="G183" s="81" t="str">
        <f>IFERROR(INDEX('QS Takeoff'!$J$3:$J$194,MATCH(B183,'QS Takeoff'!$B$3:$B$194,0)),"")</f>
        <v/>
      </c>
      <c r="H183" s="53"/>
      <c r="I183" s="60"/>
      <c r="J183" s="60"/>
      <c r="K183" s="82" t="str">
        <f t="shared" si="12"/>
        <v/>
      </c>
      <c r="L183" s="60"/>
      <c r="M183" s="82" t="str">
        <f t="shared" si="13"/>
        <v/>
      </c>
      <c r="N183" s="53"/>
      <c r="O183" s="53"/>
      <c r="P183" s="53"/>
      <c r="Q183" s="81" t="str">
        <f>IFERROR(INDEX('Resource Rate Library'!$C$5:$C$85,MATCH(P183,'Resource Rate Library'!$A$5:$A$85,0)),"")</f>
        <v/>
      </c>
      <c r="R183" s="53"/>
      <c r="S183" s="53"/>
      <c r="T183" s="81" t="str">
        <f>IFERROR(INDEX('Resource Rate Library'!$E$5:$E$85,MATCH(P183,'Resource Rate Library'!$A$5:$A$85,0)),"")</f>
        <v/>
      </c>
      <c r="U183" s="62"/>
      <c r="V183" s="62"/>
      <c r="W183" s="83">
        <f>IFERROR(INDEX('Resource Rate Library'!$I$5:$I$85,MATCH(P183,'Resource Rate Library'!$A$5:$A$85,0)),0)</f>
        <v>0</v>
      </c>
      <c r="X183" s="52"/>
      <c r="Y183" s="83">
        <f t="shared" si="14"/>
        <v>0</v>
      </c>
      <c r="Z183" s="83" t="str">
        <f t="shared" si="15"/>
        <v/>
      </c>
      <c r="AA183" s="81" t="str">
        <f>IFERROR(INDEX('Resource Rate Library'!$N$5:$N$85,MATCH(P183,'Resource Rate Library'!$A$5:$A$85,0)),"")</f>
        <v/>
      </c>
      <c r="AB183" s="53"/>
      <c r="AC183" s="59"/>
      <c r="AD183" s="81" t="str">
        <f>IFERROR(INDEX('Resource Rate Library'!$G$5:$G$85,MATCH(P183,'Resource Rate Library'!$A$5:$A$85,0)),"")</f>
        <v/>
      </c>
      <c r="AE183" s="81" t="str">
        <f>IFERROR(INDEX('Resource Rate Library'!$H$5:$H$85,MATCH(P183,'Resource Rate Library'!$A$5:$A$85,0)),"")</f>
        <v/>
      </c>
      <c r="AF183" s="53"/>
      <c r="AG183" s="53"/>
      <c r="AH183" s="53"/>
      <c r="AI183" s="81" t="str">
        <f t="shared" si="16"/>
        <v/>
      </c>
      <c r="AJ183" s="54"/>
      <c r="AK183" s="197"/>
      <c r="AL183" s="197"/>
      <c r="AM183" s="197"/>
      <c r="AN183" s="199">
        <f>IF(AND(AK183="Yes",OR(O183="Labour",O183="Plant")),Z183,0)</f>
        <v>0</v>
      </c>
    </row>
    <row r="184" spans="1:40" x14ac:dyDescent="0.2">
      <c r="A184" s="80" t="str">
        <f>IF(B184="","",B184&amp;"-"&amp;TEXT(COUNTIF($B$7:B184,B184),"000"))</f>
        <v/>
      </c>
      <c r="B184" s="53"/>
      <c r="C184" s="81" t="str">
        <f>IFERROR(INDEX('QS Takeoff'!$A$3:$A$194,MATCH(B184,'QS Takeoff'!$B$3:$B$194,0)),"")</f>
        <v/>
      </c>
      <c r="D184" s="81" t="str">
        <f>IFERROR(INDEX('QS Takeoff'!$C$3:$C$194,MATCH(B184,'QS Takeoff'!$B$3:$B$194,0)),"")</f>
        <v/>
      </c>
      <c r="E184" s="81" t="str">
        <f>IFERROR(INDEX('QS Takeoff'!$E$3:$E$194,MATCH(B184,'QS Takeoff'!$B$3:$B$194,0)),"")</f>
        <v/>
      </c>
      <c r="F184" s="81" t="str">
        <f>IFERROR(INDEX('QS Takeoff'!$D$3:$D$194,MATCH(B184,'QS Takeoff'!$B$3:$B$194,0)),"")</f>
        <v/>
      </c>
      <c r="G184" s="81" t="str">
        <f>IFERROR(INDEX('QS Takeoff'!$J$3:$J$194,MATCH(B184,'QS Takeoff'!$B$3:$B$194,0)),"")</f>
        <v/>
      </c>
      <c r="H184" s="53"/>
      <c r="I184" s="60"/>
      <c r="J184" s="60"/>
      <c r="K184" s="82" t="str">
        <f t="shared" si="12"/>
        <v/>
      </c>
      <c r="L184" s="60"/>
      <c r="M184" s="82" t="str">
        <f t="shared" si="13"/>
        <v/>
      </c>
      <c r="N184" s="53"/>
      <c r="O184" s="53"/>
      <c r="P184" s="53"/>
      <c r="Q184" s="81" t="str">
        <f>IFERROR(INDEX('Resource Rate Library'!$C$5:$C$85,MATCH(P184,'Resource Rate Library'!$A$5:$A$85,0)),"")</f>
        <v/>
      </c>
      <c r="R184" s="53"/>
      <c r="S184" s="53"/>
      <c r="T184" s="81" t="str">
        <f>IFERROR(INDEX('Resource Rate Library'!$E$5:$E$85,MATCH(P184,'Resource Rate Library'!$A$5:$A$85,0)),"")</f>
        <v/>
      </c>
      <c r="U184" s="62"/>
      <c r="V184" s="62"/>
      <c r="W184" s="83">
        <f>IFERROR(INDEX('Resource Rate Library'!$I$5:$I$85,MATCH(P184,'Resource Rate Library'!$A$5:$A$85,0)),0)</f>
        <v>0</v>
      </c>
      <c r="X184" s="52"/>
      <c r="Y184" s="83">
        <f t="shared" si="14"/>
        <v>0</v>
      </c>
      <c r="Z184" s="83" t="str">
        <f t="shared" si="15"/>
        <v/>
      </c>
      <c r="AA184" s="81" t="str">
        <f>IFERROR(INDEX('Resource Rate Library'!$N$5:$N$85,MATCH(P184,'Resource Rate Library'!$A$5:$A$85,0)),"")</f>
        <v/>
      </c>
      <c r="AB184" s="53"/>
      <c r="AC184" s="59"/>
      <c r="AD184" s="81" t="str">
        <f>IFERROR(INDEX('Resource Rate Library'!$G$5:$G$85,MATCH(P184,'Resource Rate Library'!$A$5:$A$85,0)),"")</f>
        <v/>
      </c>
      <c r="AE184" s="81" t="str">
        <f>IFERROR(INDEX('Resource Rate Library'!$H$5:$H$85,MATCH(P184,'Resource Rate Library'!$A$5:$A$85,0)),"")</f>
        <v/>
      </c>
      <c r="AF184" s="53"/>
      <c r="AG184" s="53"/>
      <c r="AH184" s="53"/>
      <c r="AI184" s="81" t="str">
        <f t="shared" si="16"/>
        <v/>
      </c>
      <c r="AJ184" s="54"/>
      <c r="AK184" s="197"/>
      <c r="AL184" s="197"/>
      <c r="AM184" s="197"/>
      <c r="AN184" s="199">
        <f>IF(AND(AK184="Yes",OR(O184="Labour",O184="Plant")),Z184,0)</f>
        <v>0</v>
      </c>
    </row>
    <row r="185" spans="1:40" x14ac:dyDescent="0.2">
      <c r="A185" s="80" t="str">
        <f>IF(B185="","",B185&amp;"-"&amp;TEXT(COUNTIF($B$7:B185,B185),"000"))</f>
        <v/>
      </c>
      <c r="B185" s="53"/>
      <c r="C185" s="81" t="str">
        <f>IFERROR(INDEX('QS Takeoff'!$A$3:$A$194,MATCH(B185,'QS Takeoff'!$B$3:$B$194,0)),"")</f>
        <v/>
      </c>
      <c r="D185" s="81" t="str">
        <f>IFERROR(INDEX('QS Takeoff'!$C$3:$C$194,MATCH(B185,'QS Takeoff'!$B$3:$B$194,0)),"")</f>
        <v/>
      </c>
      <c r="E185" s="81" t="str">
        <f>IFERROR(INDEX('QS Takeoff'!$E$3:$E$194,MATCH(B185,'QS Takeoff'!$B$3:$B$194,0)),"")</f>
        <v/>
      </c>
      <c r="F185" s="81" t="str">
        <f>IFERROR(INDEX('QS Takeoff'!$D$3:$D$194,MATCH(B185,'QS Takeoff'!$B$3:$B$194,0)),"")</f>
        <v/>
      </c>
      <c r="G185" s="81" t="str">
        <f>IFERROR(INDEX('QS Takeoff'!$J$3:$J$194,MATCH(B185,'QS Takeoff'!$B$3:$B$194,0)),"")</f>
        <v/>
      </c>
      <c r="H185" s="53"/>
      <c r="I185" s="60"/>
      <c r="J185" s="60"/>
      <c r="K185" s="82" t="str">
        <f t="shared" si="12"/>
        <v/>
      </c>
      <c r="L185" s="60"/>
      <c r="M185" s="82" t="str">
        <f t="shared" si="13"/>
        <v/>
      </c>
      <c r="N185" s="53"/>
      <c r="O185" s="53"/>
      <c r="P185" s="53"/>
      <c r="Q185" s="81" t="str">
        <f>IFERROR(INDEX('Resource Rate Library'!$C$5:$C$85,MATCH(P185,'Resource Rate Library'!$A$5:$A$85,0)),"")</f>
        <v/>
      </c>
      <c r="R185" s="53"/>
      <c r="S185" s="53"/>
      <c r="T185" s="81" t="str">
        <f>IFERROR(INDEX('Resource Rate Library'!$E$5:$E$85,MATCH(P185,'Resource Rate Library'!$A$5:$A$85,0)),"")</f>
        <v/>
      </c>
      <c r="U185" s="62"/>
      <c r="V185" s="62"/>
      <c r="W185" s="83">
        <f>IFERROR(INDEX('Resource Rate Library'!$I$5:$I$85,MATCH(P185,'Resource Rate Library'!$A$5:$A$85,0)),0)</f>
        <v>0</v>
      </c>
      <c r="X185" s="52"/>
      <c r="Y185" s="83">
        <f t="shared" si="14"/>
        <v>0</v>
      </c>
      <c r="Z185" s="83" t="str">
        <f t="shared" si="15"/>
        <v/>
      </c>
      <c r="AA185" s="81" t="str">
        <f>IFERROR(INDEX('Resource Rate Library'!$N$5:$N$85,MATCH(P185,'Resource Rate Library'!$A$5:$A$85,0)),"")</f>
        <v/>
      </c>
      <c r="AB185" s="53"/>
      <c r="AC185" s="59"/>
      <c r="AD185" s="81" t="str">
        <f>IFERROR(INDEX('Resource Rate Library'!$G$5:$G$85,MATCH(P185,'Resource Rate Library'!$A$5:$A$85,0)),"")</f>
        <v/>
      </c>
      <c r="AE185" s="81" t="str">
        <f>IFERROR(INDEX('Resource Rate Library'!$H$5:$H$85,MATCH(P185,'Resource Rate Library'!$A$5:$A$85,0)),"")</f>
        <v/>
      </c>
      <c r="AF185" s="53"/>
      <c r="AG185" s="53"/>
      <c r="AH185" s="53"/>
      <c r="AI185" s="81" t="str">
        <f t="shared" ref="AI185:AI216" si="17">IF(B185="","",IF(AND(P185="",N185&lt;&gt;"Lump Sum / Quote"),"RESOURCE CODE",IF(Y185=0,"RATE MISSING",IF(AND(O185="Plant",AD185="Yes",COUNTIFS($B$7:$B$306,B185,$O$7:$O$306,"Labour",$Q$7:$Q$306,"*Operator*")&gt;0),"OPERATOR DOUBLE-COUNT",IF(AND(O185="Plant",AE185="Yes",COUNTIFS($B$7:$B$306,B185,$Q$7:$Q$306,"*Fuel*")&gt;0),"FUEL DOUBLE-COUNT",IF(AH185&lt;&gt;"Yes","VERIFY","OK"))))))</f>
        <v/>
      </c>
      <c r="AJ185" s="54"/>
      <c r="AK185" s="197"/>
      <c r="AL185" s="197"/>
      <c r="AM185" s="197"/>
      <c r="AN185" s="199">
        <f>IF(AND(AK185="Yes",OR(O185="Labour",O185="Plant")),Z185,0)</f>
        <v>0</v>
      </c>
    </row>
    <row r="186" spans="1:40" x14ac:dyDescent="0.2">
      <c r="A186" s="80" t="str">
        <f>IF(B186="","",B186&amp;"-"&amp;TEXT(COUNTIF($B$7:B186,B186),"000"))</f>
        <v/>
      </c>
      <c r="B186" s="53"/>
      <c r="C186" s="81" t="str">
        <f>IFERROR(INDEX('QS Takeoff'!$A$3:$A$194,MATCH(B186,'QS Takeoff'!$B$3:$B$194,0)),"")</f>
        <v/>
      </c>
      <c r="D186" s="81" t="str">
        <f>IFERROR(INDEX('QS Takeoff'!$C$3:$C$194,MATCH(B186,'QS Takeoff'!$B$3:$B$194,0)),"")</f>
        <v/>
      </c>
      <c r="E186" s="81" t="str">
        <f>IFERROR(INDEX('QS Takeoff'!$E$3:$E$194,MATCH(B186,'QS Takeoff'!$B$3:$B$194,0)),"")</f>
        <v/>
      </c>
      <c r="F186" s="81" t="str">
        <f>IFERROR(INDEX('QS Takeoff'!$D$3:$D$194,MATCH(B186,'QS Takeoff'!$B$3:$B$194,0)),"")</f>
        <v/>
      </c>
      <c r="G186" s="81" t="str">
        <f>IFERROR(INDEX('QS Takeoff'!$J$3:$J$194,MATCH(B186,'QS Takeoff'!$B$3:$B$194,0)),"")</f>
        <v/>
      </c>
      <c r="H186" s="53"/>
      <c r="I186" s="60"/>
      <c r="J186" s="60"/>
      <c r="K186" s="82" t="str">
        <f t="shared" si="12"/>
        <v/>
      </c>
      <c r="L186" s="60"/>
      <c r="M186" s="82" t="str">
        <f t="shared" si="13"/>
        <v/>
      </c>
      <c r="N186" s="53"/>
      <c r="O186" s="53"/>
      <c r="P186" s="53"/>
      <c r="Q186" s="81" t="str">
        <f>IFERROR(INDEX('Resource Rate Library'!$C$5:$C$85,MATCH(P186,'Resource Rate Library'!$A$5:$A$85,0)),"")</f>
        <v/>
      </c>
      <c r="R186" s="53"/>
      <c r="S186" s="53"/>
      <c r="T186" s="81" t="str">
        <f>IFERROR(INDEX('Resource Rate Library'!$E$5:$E$85,MATCH(P186,'Resource Rate Library'!$A$5:$A$85,0)),"")</f>
        <v/>
      </c>
      <c r="U186" s="62"/>
      <c r="V186" s="62"/>
      <c r="W186" s="83">
        <f>IFERROR(INDEX('Resource Rate Library'!$I$5:$I$85,MATCH(P186,'Resource Rate Library'!$A$5:$A$85,0)),0)</f>
        <v>0</v>
      </c>
      <c r="X186" s="52"/>
      <c r="Y186" s="83">
        <f t="shared" si="14"/>
        <v>0</v>
      </c>
      <c r="Z186" s="83" t="str">
        <f t="shared" si="15"/>
        <v/>
      </c>
      <c r="AA186" s="81" t="str">
        <f>IFERROR(INDEX('Resource Rate Library'!$N$5:$N$85,MATCH(P186,'Resource Rate Library'!$A$5:$A$85,0)),"")</f>
        <v/>
      </c>
      <c r="AB186" s="53"/>
      <c r="AC186" s="59"/>
      <c r="AD186" s="81" t="str">
        <f>IFERROR(INDEX('Resource Rate Library'!$G$5:$G$85,MATCH(P186,'Resource Rate Library'!$A$5:$A$85,0)),"")</f>
        <v/>
      </c>
      <c r="AE186" s="81" t="str">
        <f>IFERROR(INDEX('Resource Rate Library'!$H$5:$H$85,MATCH(P186,'Resource Rate Library'!$A$5:$A$85,0)),"")</f>
        <v/>
      </c>
      <c r="AF186" s="53"/>
      <c r="AG186" s="53"/>
      <c r="AH186" s="53"/>
      <c r="AI186" s="81" t="str">
        <f t="shared" si="17"/>
        <v/>
      </c>
      <c r="AJ186" s="54"/>
      <c r="AK186" s="197"/>
      <c r="AL186" s="197"/>
      <c r="AM186" s="197"/>
      <c r="AN186" s="199">
        <f>IF(AND(AK186="Yes",OR(O186="Labour",O186="Plant")),Z186,0)</f>
        <v>0</v>
      </c>
    </row>
    <row r="187" spans="1:40" x14ac:dyDescent="0.2">
      <c r="A187" s="80" t="str">
        <f>IF(B187="","",B187&amp;"-"&amp;TEXT(COUNTIF($B$7:B187,B187),"000"))</f>
        <v/>
      </c>
      <c r="B187" s="53"/>
      <c r="C187" s="81" t="str">
        <f>IFERROR(INDEX('QS Takeoff'!$A$3:$A$194,MATCH(B187,'QS Takeoff'!$B$3:$B$194,0)),"")</f>
        <v/>
      </c>
      <c r="D187" s="81" t="str">
        <f>IFERROR(INDEX('QS Takeoff'!$C$3:$C$194,MATCH(B187,'QS Takeoff'!$B$3:$B$194,0)),"")</f>
        <v/>
      </c>
      <c r="E187" s="81" t="str">
        <f>IFERROR(INDEX('QS Takeoff'!$E$3:$E$194,MATCH(B187,'QS Takeoff'!$B$3:$B$194,0)),"")</f>
        <v/>
      </c>
      <c r="F187" s="81" t="str">
        <f>IFERROR(INDEX('QS Takeoff'!$D$3:$D$194,MATCH(B187,'QS Takeoff'!$B$3:$B$194,0)),"")</f>
        <v/>
      </c>
      <c r="G187" s="81" t="str">
        <f>IFERROR(INDEX('QS Takeoff'!$J$3:$J$194,MATCH(B187,'QS Takeoff'!$B$3:$B$194,0)),"")</f>
        <v/>
      </c>
      <c r="H187" s="53"/>
      <c r="I187" s="60"/>
      <c r="J187" s="60"/>
      <c r="K187" s="82" t="str">
        <f t="shared" si="12"/>
        <v/>
      </c>
      <c r="L187" s="60"/>
      <c r="M187" s="82" t="str">
        <f t="shared" si="13"/>
        <v/>
      </c>
      <c r="N187" s="53"/>
      <c r="O187" s="53"/>
      <c r="P187" s="53"/>
      <c r="Q187" s="81" t="str">
        <f>IFERROR(INDEX('Resource Rate Library'!$C$5:$C$85,MATCH(P187,'Resource Rate Library'!$A$5:$A$85,0)),"")</f>
        <v/>
      </c>
      <c r="R187" s="53"/>
      <c r="S187" s="53"/>
      <c r="T187" s="81" t="str">
        <f>IFERROR(INDEX('Resource Rate Library'!$E$5:$E$85,MATCH(P187,'Resource Rate Library'!$A$5:$A$85,0)),"")</f>
        <v/>
      </c>
      <c r="U187" s="62"/>
      <c r="V187" s="62"/>
      <c r="W187" s="83">
        <f>IFERROR(INDEX('Resource Rate Library'!$I$5:$I$85,MATCH(P187,'Resource Rate Library'!$A$5:$A$85,0)),0)</f>
        <v>0</v>
      </c>
      <c r="X187" s="52"/>
      <c r="Y187" s="83">
        <f t="shared" si="14"/>
        <v>0</v>
      </c>
      <c r="Z187" s="83" t="str">
        <f t="shared" si="15"/>
        <v/>
      </c>
      <c r="AA187" s="81" t="str">
        <f>IFERROR(INDEX('Resource Rate Library'!$N$5:$N$85,MATCH(P187,'Resource Rate Library'!$A$5:$A$85,0)),"")</f>
        <v/>
      </c>
      <c r="AB187" s="53"/>
      <c r="AC187" s="59"/>
      <c r="AD187" s="81" t="str">
        <f>IFERROR(INDEX('Resource Rate Library'!$G$5:$G$85,MATCH(P187,'Resource Rate Library'!$A$5:$A$85,0)),"")</f>
        <v/>
      </c>
      <c r="AE187" s="81" t="str">
        <f>IFERROR(INDEX('Resource Rate Library'!$H$5:$H$85,MATCH(P187,'Resource Rate Library'!$A$5:$A$85,0)),"")</f>
        <v/>
      </c>
      <c r="AF187" s="53"/>
      <c r="AG187" s="53"/>
      <c r="AH187" s="53"/>
      <c r="AI187" s="81" t="str">
        <f t="shared" si="17"/>
        <v/>
      </c>
      <c r="AJ187" s="54"/>
      <c r="AK187" s="197"/>
      <c r="AL187" s="197"/>
      <c r="AM187" s="197"/>
      <c r="AN187" s="199">
        <f>IF(AND(AK187="Yes",OR(O187="Labour",O187="Plant")),Z187,0)</f>
        <v>0</v>
      </c>
    </row>
    <row r="188" spans="1:40" x14ac:dyDescent="0.2">
      <c r="A188" s="80" t="str">
        <f>IF(B188="","",B188&amp;"-"&amp;TEXT(COUNTIF($B$7:B188,B188),"000"))</f>
        <v/>
      </c>
      <c r="B188" s="53"/>
      <c r="C188" s="81" t="str">
        <f>IFERROR(INDEX('QS Takeoff'!$A$3:$A$194,MATCH(B188,'QS Takeoff'!$B$3:$B$194,0)),"")</f>
        <v/>
      </c>
      <c r="D188" s="81" t="str">
        <f>IFERROR(INDEX('QS Takeoff'!$C$3:$C$194,MATCH(B188,'QS Takeoff'!$B$3:$B$194,0)),"")</f>
        <v/>
      </c>
      <c r="E188" s="81" t="str">
        <f>IFERROR(INDEX('QS Takeoff'!$E$3:$E$194,MATCH(B188,'QS Takeoff'!$B$3:$B$194,0)),"")</f>
        <v/>
      </c>
      <c r="F188" s="81" t="str">
        <f>IFERROR(INDEX('QS Takeoff'!$D$3:$D$194,MATCH(B188,'QS Takeoff'!$B$3:$B$194,0)),"")</f>
        <v/>
      </c>
      <c r="G188" s="81" t="str">
        <f>IFERROR(INDEX('QS Takeoff'!$J$3:$J$194,MATCH(B188,'QS Takeoff'!$B$3:$B$194,0)),"")</f>
        <v/>
      </c>
      <c r="H188" s="53"/>
      <c r="I188" s="60"/>
      <c r="J188" s="60"/>
      <c r="K188" s="82" t="str">
        <f t="shared" si="12"/>
        <v/>
      </c>
      <c r="L188" s="60"/>
      <c r="M188" s="82" t="str">
        <f t="shared" si="13"/>
        <v/>
      </c>
      <c r="N188" s="53"/>
      <c r="O188" s="53"/>
      <c r="P188" s="53"/>
      <c r="Q188" s="81" t="str">
        <f>IFERROR(INDEX('Resource Rate Library'!$C$5:$C$85,MATCH(P188,'Resource Rate Library'!$A$5:$A$85,0)),"")</f>
        <v/>
      </c>
      <c r="R188" s="53"/>
      <c r="S188" s="53"/>
      <c r="T188" s="81" t="str">
        <f>IFERROR(INDEX('Resource Rate Library'!$E$5:$E$85,MATCH(P188,'Resource Rate Library'!$A$5:$A$85,0)),"")</f>
        <v/>
      </c>
      <c r="U188" s="62"/>
      <c r="V188" s="62"/>
      <c r="W188" s="83">
        <f>IFERROR(INDEX('Resource Rate Library'!$I$5:$I$85,MATCH(P188,'Resource Rate Library'!$A$5:$A$85,0)),0)</f>
        <v>0</v>
      </c>
      <c r="X188" s="52"/>
      <c r="Y188" s="83">
        <f t="shared" si="14"/>
        <v>0</v>
      </c>
      <c r="Z188" s="83" t="str">
        <f t="shared" si="15"/>
        <v/>
      </c>
      <c r="AA188" s="81" t="str">
        <f>IFERROR(INDEX('Resource Rate Library'!$N$5:$N$85,MATCH(P188,'Resource Rate Library'!$A$5:$A$85,0)),"")</f>
        <v/>
      </c>
      <c r="AB188" s="53"/>
      <c r="AC188" s="59"/>
      <c r="AD188" s="81" t="str">
        <f>IFERROR(INDEX('Resource Rate Library'!$G$5:$G$85,MATCH(P188,'Resource Rate Library'!$A$5:$A$85,0)),"")</f>
        <v/>
      </c>
      <c r="AE188" s="81" t="str">
        <f>IFERROR(INDEX('Resource Rate Library'!$H$5:$H$85,MATCH(P188,'Resource Rate Library'!$A$5:$A$85,0)),"")</f>
        <v/>
      </c>
      <c r="AF188" s="53"/>
      <c r="AG188" s="53"/>
      <c r="AH188" s="53"/>
      <c r="AI188" s="81" t="str">
        <f t="shared" si="17"/>
        <v/>
      </c>
      <c r="AJ188" s="54"/>
      <c r="AK188" s="197"/>
      <c r="AL188" s="197"/>
      <c r="AM188" s="197"/>
      <c r="AN188" s="199">
        <f>IF(AND(AK188="Yes",OR(O188="Labour",O188="Plant")),Z188,0)</f>
        <v>0</v>
      </c>
    </row>
    <row r="189" spans="1:40" x14ac:dyDescent="0.2">
      <c r="A189" s="80" t="str">
        <f>IF(B189="","",B189&amp;"-"&amp;TEXT(COUNTIF($B$7:B189,B189),"000"))</f>
        <v/>
      </c>
      <c r="B189" s="53"/>
      <c r="C189" s="81" t="str">
        <f>IFERROR(INDEX('QS Takeoff'!$A$3:$A$194,MATCH(B189,'QS Takeoff'!$B$3:$B$194,0)),"")</f>
        <v/>
      </c>
      <c r="D189" s="81" t="str">
        <f>IFERROR(INDEX('QS Takeoff'!$C$3:$C$194,MATCH(B189,'QS Takeoff'!$B$3:$B$194,0)),"")</f>
        <v/>
      </c>
      <c r="E189" s="81" t="str">
        <f>IFERROR(INDEX('QS Takeoff'!$E$3:$E$194,MATCH(B189,'QS Takeoff'!$B$3:$B$194,0)),"")</f>
        <v/>
      </c>
      <c r="F189" s="81" t="str">
        <f>IFERROR(INDEX('QS Takeoff'!$D$3:$D$194,MATCH(B189,'QS Takeoff'!$B$3:$B$194,0)),"")</f>
        <v/>
      </c>
      <c r="G189" s="81" t="str">
        <f>IFERROR(INDEX('QS Takeoff'!$J$3:$J$194,MATCH(B189,'QS Takeoff'!$B$3:$B$194,0)),"")</f>
        <v/>
      </c>
      <c r="H189" s="53"/>
      <c r="I189" s="60"/>
      <c r="J189" s="60"/>
      <c r="K189" s="82" t="str">
        <f t="shared" si="12"/>
        <v/>
      </c>
      <c r="L189" s="60"/>
      <c r="M189" s="82" t="str">
        <f t="shared" si="13"/>
        <v/>
      </c>
      <c r="N189" s="53"/>
      <c r="O189" s="53"/>
      <c r="P189" s="53"/>
      <c r="Q189" s="81" t="str">
        <f>IFERROR(INDEX('Resource Rate Library'!$C$5:$C$85,MATCH(P189,'Resource Rate Library'!$A$5:$A$85,0)),"")</f>
        <v/>
      </c>
      <c r="R189" s="53"/>
      <c r="S189" s="53"/>
      <c r="T189" s="81" t="str">
        <f>IFERROR(INDEX('Resource Rate Library'!$E$5:$E$85,MATCH(P189,'Resource Rate Library'!$A$5:$A$85,0)),"")</f>
        <v/>
      </c>
      <c r="U189" s="62"/>
      <c r="V189" s="62"/>
      <c r="W189" s="83">
        <f>IFERROR(INDEX('Resource Rate Library'!$I$5:$I$85,MATCH(P189,'Resource Rate Library'!$A$5:$A$85,0)),0)</f>
        <v>0</v>
      </c>
      <c r="X189" s="52"/>
      <c r="Y189" s="83">
        <f t="shared" si="14"/>
        <v>0</v>
      </c>
      <c r="Z189" s="83" t="str">
        <f t="shared" si="15"/>
        <v/>
      </c>
      <c r="AA189" s="81" t="str">
        <f>IFERROR(INDEX('Resource Rate Library'!$N$5:$N$85,MATCH(P189,'Resource Rate Library'!$A$5:$A$85,0)),"")</f>
        <v/>
      </c>
      <c r="AB189" s="53"/>
      <c r="AC189" s="59"/>
      <c r="AD189" s="81" t="str">
        <f>IFERROR(INDEX('Resource Rate Library'!$G$5:$G$85,MATCH(P189,'Resource Rate Library'!$A$5:$A$85,0)),"")</f>
        <v/>
      </c>
      <c r="AE189" s="81" t="str">
        <f>IFERROR(INDEX('Resource Rate Library'!$H$5:$H$85,MATCH(P189,'Resource Rate Library'!$A$5:$A$85,0)),"")</f>
        <v/>
      </c>
      <c r="AF189" s="53"/>
      <c r="AG189" s="53"/>
      <c r="AH189" s="53"/>
      <c r="AI189" s="81" t="str">
        <f t="shared" si="17"/>
        <v/>
      </c>
      <c r="AJ189" s="54"/>
      <c r="AK189" s="197"/>
      <c r="AL189" s="197"/>
      <c r="AM189" s="197"/>
      <c r="AN189" s="199">
        <f>IF(AND(AK189="Yes",OR(O189="Labour",O189="Plant")),Z189,0)</f>
        <v>0</v>
      </c>
    </row>
    <row r="190" spans="1:40" x14ac:dyDescent="0.2">
      <c r="A190" s="80" t="str">
        <f>IF(B190="","",B190&amp;"-"&amp;TEXT(COUNTIF($B$7:B190,B190),"000"))</f>
        <v/>
      </c>
      <c r="B190" s="53"/>
      <c r="C190" s="81" t="str">
        <f>IFERROR(INDEX('QS Takeoff'!$A$3:$A$194,MATCH(B190,'QS Takeoff'!$B$3:$B$194,0)),"")</f>
        <v/>
      </c>
      <c r="D190" s="81" t="str">
        <f>IFERROR(INDEX('QS Takeoff'!$C$3:$C$194,MATCH(B190,'QS Takeoff'!$B$3:$B$194,0)),"")</f>
        <v/>
      </c>
      <c r="E190" s="81" t="str">
        <f>IFERROR(INDEX('QS Takeoff'!$E$3:$E$194,MATCH(B190,'QS Takeoff'!$B$3:$B$194,0)),"")</f>
        <v/>
      </c>
      <c r="F190" s="81" t="str">
        <f>IFERROR(INDEX('QS Takeoff'!$D$3:$D$194,MATCH(B190,'QS Takeoff'!$B$3:$B$194,0)),"")</f>
        <v/>
      </c>
      <c r="G190" s="81" t="str">
        <f>IFERROR(INDEX('QS Takeoff'!$J$3:$J$194,MATCH(B190,'QS Takeoff'!$B$3:$B$194,0)),"")</f>
        <v/>
      </c>
      <c r="H190" s="53"/>
      <c r="I190" s="60"/>
      <c r="J190" s="60"/>
      <c r="K190" s="82" t="str">
        <f t="shared" si="12"/>
        <v/>
      </c>
      <c r="L190" s="60"/>
      <c r="M190" s="82" t="str">
        <f t="shared" si="13"/>
        <v/>
      </c>
      <c r="N190" s="53"/>
      <c r="O190" s="53"/>
      <c r="P190" s="53"/>
      <c r="Q190" s="81" t="str">
        <f>IFERROR(INDEX('Resource Rate Library'!$C$5:$C$85,MATCH(P190,'Resource Rate Library'!$A$5:$A$85,0)),"")</f>
        <v/>
      </c>
      <c r="R190" s="53"/>
      <c r="S190" s="53"/>
      <c r="T190" s="81" t="str">
        <f>IFERROR(INDEX('Resource Rate Library'!$E$5:$E$85,MATCH(P190,'Resource Rate Library'!$A$5:$A$85,0)),"")</f>
        <v/>
      </c>
      <c r="U190" s="62"/>
      <c r="V190" s="62"/>
      <c r="W190" s="83">
        <f>IFERROR(INDEX('Resource Rate Library'!$I$5:$I$85,MATCH(P190,'Resource Rate Library'!$A$5:$A$85,0)),0)</f>
        <v>0</v>
      </c>
      <c r="X190" s="52"/>
      <c r="Y190" s="83">
        <f t="shared" si="14"/>
        <v>0</v>
      </c>
      <c r="Z190" s="83" t="str">
        <f t="shared" si="15"/>
        <v/>
      </c>
      <c r="AA190" s="81" t="str">
        <f>IFERROR(INDEX('Resource Rate Library'!$N$5:$N$85,MATCH(P190,'Resource Rate Library'!$A$5:$A$85,0)),"")</f>
        <v/>
      </c>
      <c r="AB190" s="53"/>
      <c r="AC190" s="59"/>
      <c r="AD190" s="81" t="str">
        <f>IFERROR(INDEX('Resource Rate Library'!$G$5:$G$85,MATCH(P190,'Resource Rate Library'!$A$5:$A$85,0)),"")</f>
        <v/>
      </c>
      <c r="AE190" s="81" t="str">
        <f>IFERROR(INDEX('Resource Rate Library'!$H$5:$H$85,MATCH(P190,'Resource Rate Library'!$A$5:$A$85,0)),"")</f>
        <v/>
      </c>
      <c r="AF190" s="53"/>
      <c r="AG190" s="53"/>
      <c r="AH190" s="53"/>
      <c r="AI190" s="81" t="str">
        <f t="shared" si="17"/>
        <v/>
      </c>
      <c r="AJ190" s="54"/>
      <c r="AK190" s="197"/>
      <c r="AL190" s="197"/>
      <c r="AM190" s="197"/>
      <c r="AN190" s="199">
        <f>IF(AND(AK190="Yes",OR(O190="Labour",O190="Plant")),Z190,0)</f>
        <v>0</v>
      </c>
    </row>
    <row r="191" spans="1:40" x14ac:dyDescent="0.2">
      <c r="A191" s="80" t="str">
        <f>IF(B191="","",B191&amp;"-"&amp;TEXT(COUNTIF($B$7:B191,B191),"000"))</f>
        <v/>
      </c>
      <c r="B191" s="53"/>
      <c r="C191" s="81" t="str">
        <f>IFERROR(INDEX('QS Takeoff'!$A$3:$A$194,MATCH(B191,'QS Takeoff'!$B$3:$B$194,0)),"")</f>
        <v/>
      </c>
      <c r="D191" s="81" t="str">
        <f>IFERROR(INDEX('QS Takeoff'!$C$3:$C$194,MATCH(B191,'QS Takeoff'!$B$3:$B$194,0)),"")</f>
        <v/>
      </c>
      <c r="E191" s="81" t="str">
        <f>IFERROR(INDEX('QS Takeoff'!$E$3:$E$194,MATCH(B191,'QS Takeoff'!$B$3:$B$194,0)),"")</f>
        <v/>
      </c>
      <c r="F191" s="81" t="str">
        <f>IFERROR(INDEX('QS Takeoff'!$D$3:$D$194,MATCH(B191,'QS Takeoff'!$B$3:$B$194,0)),"")</f>
        <v/>
      </c>
      <c r="G191" s="81" t="str">
        <f>IFERROR(INDEX('QS Takeoff'!$J$3:$J$194,MATCH(B191,'QS Takeoff'!$B$3:$B$194,0)),"")</f>
        <v/>
      </c>
      <c r="H191" s="53"/>
      <c r="I191" s="60"/>
      <c r="J191" s="60"/>
      <c r="K191" s="82" t="str">
        <f t="shared" si="12"/>
        <v/>
      </c>
      <c r="L191" s="60"/>
      <c r="M191" s="82" t="str">
        <f t="shared" si="13"/>
        <v/>
      </c>
      <c r="N191" s="53"/>
      <c r="O191" s="53"/>
      <c r="P191" s="53"/>
      <c r="Q191" s="81" t="str">
        <f>IFERROR(INDEX('Resource Rate Library'!$C$5:$C$85,MATCH(P191,'Resource Rate Library'!$A$5:$A$85,0)),"")</f>
        <v/>
      </c>
      <c r="R191" s="53"/>
      <c r="S191" s="53"/>
      <c r="T191" s="81" t="str">
        <f>IFERROR(INDEX('Resource Rate Library'!$E$5:$E$85,MATCH(P191,'Resource Rate Library'!$A$5:$A$85,0)),"")</f>
        <v/>
      </c>
      <c r="U191" s="62"/>
      <c r="V191" s="62"/>
      <c r="W191" s="83">
        <f>IFERROR(INDEX('Resource Rate Library'!$I$5:$I$85,MATCH(P191,'Resource Rate Library'!$A$5:$A$85,0)),0)</f>
        <v>0</v>
      </c>
      <c r="X191" s="52"/>
      <c r="Y191" s="83">
        <f t="shared" si="14"/>
        <v>0</v>
      </c>
      <c r="Z191" s="83" t="str">
        <f t="shared" si="15"/>
        <v/>
      </c>
      <c r="AA191" s="81" t="str">
        <f>IFERROR(INDEX('Resource Rate Library'!$N$5:$N$85,MATCH(P191,'Resource Rate Library'!$A$5:$A$85,0)),"")</f>
        <v/>
      </c>
      <c r="AB191" s="53"/>
      <c r="AC191" s="59"/>
      <c r="AD191" s="81" t="str">
        <f>IFERROR(INDEX('Resource Rate Library'!$G$5:$G$85,MATCH(P191,'Resource Rate Library'!$A$5:$A$85,0)),"")</f>
        <v/>
      </c>
      <c r="AE191" s="81" t="str">
        <f>IFERROR(INDEX('Resource Rate Library'!$H$5:$H$85,MATCH(P191,'Resource Rate Library'!$A$5:$A$85,0)),"")</f>
        <v/>
      </c>
      <c r="AF191" s="53"/>
      <c r="AG191" s="53"/>
      <c r="AH191" s="53"/>
      <c r="AI191" s="81" t="str">
        <f t="shared" si="17"/>
        <v/>
      </c>
      <c r="AJ191" s="54"/>
      <c r="AK191" s="197"/>
      <c r="AL191" s="197"/>
      <c r="AM191" s="197"/>
      <c r="AN191" s="199">
        <f>IF(AND(AK191="Yes",OR(O191="Labour",O191="Plant")),Z191,0)</f>
        <v>0</v>
      </c>
    </row>
    <row r="192" spans="1:40" x14ac:dyDescent="0.2">
      <c r="A192" s="80" t="str">
        <f>IF(B192="","",B192&amp;"-"&amp;TEXT(COUNTIF($B$7:B192,B192),"000"))</f>
        <v/>
      </c>
      <c r="B192" s="53"/>
      <c r="C192" s="81" t="str">
        <f>IFERROR(INDEX('QS Takeoff'!$A$3:$A$194,MATCH(B192,'QS Takeoff'!$B$3:$B$194,0)),"")</f>
        <v/>
      </c>
      <c r="D192" s="81" t="str">
        <f>IFERROR(INDEX('QS Takeoff'!$C$3:$C$194,MATCH(B192,'QS Takeoff'!$B$3:$B$194,0)),"")</f>
        <v/>
      </c>
      <c r="E192" s="81" t="str">
        <f>IFERROR(INDEX('QS Takeoff'!$E$3:$E$194,MATCH(B192,'QS Takeoff'!$B$3:$B$194,0)),"")</f>
        <v/>
      </c>
      <c r="F192" s="81" t="str">
        <f>IFERROR(INDEX('QS Takeoff'!$D$3:$D$194,MATCH(B192,'QS Takeoff'!$B$3:$B$194,0)),"")</f>
        <v/>
      </c>
      <c r="G192" s="81" t="str">
        <f>IFERROR(INDEX('QS Takeoff'!$J$3:$J$194,MATCH(B192,'QS Takeoff'!$B$3:$B$194,0)),"")</f>
        <v/>
      </c>
      <c r="H192" s="53"/>
      <c r="I192" s="60"/>
      <c r="J192" s="60"/>
      <c r="K192" s="82" t="str">
        <f t="shared" si="12"/>
        <v/>
      </c>
      <c r="L192" s="60"/>
      <c r="M192" s="82" t="str">
        <f t="shared" si="13"/>
        <v/>
      </c>
      <c r="N192" s="53"/>
      <c r="O192" s="53"/>
      <c r="P192" s="53"/>
      <c r="Q192" s="81" t="str">
        <f>IFERROR(INDEX('Resource Rate Library'!$C$5:$C$85,MATCH(P192,'Resource Rate Library'!$A$5:$A$85,0)),"")</f>
        <v/>
      </c>
      <c r="R192" s="53"/>
      <c r="S192" s="53"/>
      <c r="T192" s="81" t="str">
        <f>IFERROR(INDEX('Resource Rate Library'!$E$5:$E$85,MATCH(P192,'Resource Rate Library'!$A$5:$A$85,0)),"")</f>
        <v/>
      </c>
      <c r="U192" s="62"/>
      <c r="V192" s="62"/>
      <c r="W192" s="83">
        <f>IFERROR(INDEX('Resource Rate Library'!$I$5:$I$85,MATCH(P192,'Resource Rate Library'!$A$5:$A$85,0)),0)</f>
        <v>0</v>
      </c>
      <c r="X192" s="52"/>
      <c r="Y192" s="83">
        <f t="shared" si="14"/>
        <v>0</v>
      </c>
      <c r="Z192" s="83" t="str">
        <f t="shared" si="15"/>
        <v/>
      </c>
      <c r="AA192" s="81" t="str">
        <f>IFERROR(INDEX('Resource Rate Library'!$N$5:$N$85,MATCH(P192,'Resource Rate Library'!$A$5:$A$85,0)),"")</f>
        <v/>
      </c>
      <c r="AB192" s="53"/>
      <c r="AC192" s="59"/>
      <c r="AD192" s="81" t="str">
        <f>IFERROR(INDEX('Resource Rate Library'!$G$5:$G$85,MATCH(P192,'Resource Rate Library'!$A$5:$A$85,0)),"")</f>
        <v/>
      </c>
      <c r="AE192" s="81" t="str">
        <f>IFERROR(INDEX('Resource Rate Library'!$H$5:$H$85,MATCH(P192,'Resource Rate Library'!$A$5:$A$85,0)),"")</f>
        <v/>
      </c>
      <c r="AF192" s="53"/>
      <c r="AG192" s="53"/>
      <c r="AH192" s="53"/>
      <c r="AI192" s="81" t="str">
        <f t="shared" si="17"/>
        <v/>
      </c>
      <c r="AJ192" s="54"/>
      <c r="AK192" s="197"/>
      <c r="AL192" s="197"/>
      <c r="AM192" s="197"/>
      <c r="AN192" s="199">
        <f>IF(AND(AK192="Yes",OR(O192="Labour",O192="Plant")),Z192,0)</f>
        <v>0</v>
      </c>
    </row>
    <row r="193" spans="1:40" x14ac:dyDescent="0.2">
      <c r="A193" s="80" t="str">
        <f>IF(B193="","",B193&amp;"-"&amp;TEXT(COUNTIF($B$7:B193,B193),"000"))</f>
        <v/>
      </c>
      <c r="B193" s="53"/>
      <c r="C193" s="81" t="str">
        <f>IFERROR(INDEX('QS Takeoff'!$A$3:$A$194,MATCH(B193,'QS Takeoff'!$B$3:$B$194,0)),"")</f>
        <v/>
      </c>
      <c r="D193" s="81" t="str">
        <f>IFERROR(INDEX('QS Takeoff'!$C$3:$C$194,MATCH(B193,'QS Takeoff'!$B$3:$B$194,0)),"")</f>
        <v/>
      </c>
      <c r="E193" s="81" t="str">
        <f>IFERROR(INDEX('QS Takeoff'!$E$3:$E$194,MATCH(B193,'QS Takeoff'!$B$3:$B$194,0)),"")</f>
        <v/>
      </c>
      <c r="F193" s="81" t="str">
        <f>IFERROR(INDEX('QS Takeoff'!$D$3:$D$194,MATCH(B193,'QS Takeoff'!$B$3:$B$194,0)),"")</f>
        <v/>
      </c>
      <c r="G193" s="81" t="str">
        <f>IFERROR(INDEX('QS Takeoff'!$J$3:$J$194,MATCH(B193,'QS Takeoff'!$B$3:$B$194,0)),"")</f>
        <v/>
      </c>
      <c r="H193" s="53"/>
      <c r="I193" s="60"/>
      <c r="J193" s="60"/>
      <c r="K193" s="82" t="str">
        <f t="shared" si="12"/>
        <v/>
      </c>
      <c r="L193" s="60"/>
      <c r="M193" s="82" t="str">
        <f t="shared" si="13"/>
        <v/>
      </c>
      <c r="N193" s="53"/>
      <c r="O193" s="53"/>
      <c r="P193" s="53"/>
      <c r="Q193" s="81" t="str">
        <f>IFERROR(INDEX('Resource Rate Library'!$C$5:$C$85,MATCH(P193,'Resource Rate Library'!$A$5:$A$85,0)),"")</f>
        <v/>
      </c>
      <c r="R193" s="53"/>
      <c r="S193" s="53"/>
      <c r="T193" s="81" t="str">
        <f>IFERROR(INDEX('Resource Rate Library'!$E$5:$E$85,MATCH(P193,'Resource Rate Library'!$A$5:$A$85,0)),"")</f>
        <v/>
      </c>
      <c r="U193" s="62"/>
      <c r="V193" s="62"/>
      <c r="W193" s="83">
        <f>IFERROR(INDEX('Resource Rate Library'!$I$5:$I$85,MATCH(P193,'Resource Rate Library'!$A$5:$A$85,0)),0)</f>
        <v>0</v>
      </c>
      <c r="X193" s="52"/>
      <c r="Y193" s="83">
        <f t="shared" si="14"/>
        <v>0</v>
      </c>
      <c r="Z193" s="83" t="str">
        <f t="shared" si="15"/>
        <v/>
      </c>
      <c r="AA193" s="81" t="str">
        <f>IFERROR(INDEX('Resource Rate Library'!$N$5:$N$85,MATCH(P193,'Resource Rate Library'!$A$5:$A$85,0)),"")</f>
        <v/>
      </c>
      <c r="AB193" s="53"/>
      <c r="AC193" s="59"/>
      <c r="AD193" s="81" t="str">
        <f>IFERROR(INDEX('Resource Rate Library'!$G$5:$G$85,MATCH(P193,'Resource Rate Library'!$A$5:$A$85,0)),"")</f>
        <v/>
      </c>
      <c r="AE193" s="81" t="str">
        <f>IFERROR(INDEX('Resource Rate Library'!$H$5:$H$85,MATCH(P193,'Resource Rate Library'!$A$5:$A$85,0)),"")</f>
        <v/>
      </c>
      <c r="AF193" s="53"/>
      <c r="AG193" s="53"/>
      <c r="AH193" s="53"/>
      <c r="AI193" s="81" t="str">
        <f t="shared" si="17"/>
        <v/>
      </c>
      <c r="AJ193" s="54"/>
      <c r="AK193" s="197"/>
      <c r="AL193" s="197"/>
      <c r="AM193" s="197"/>
      <c r="AN193" s="199">
        <f>IF(AND(AK193="Yes",OR(O193="Labour",O193="Plant")),Z193,0)</f>
        <v>0</v>
      </c>
    </row>
    <row r="194" spans="1:40" x14ac:dyDescent="0.2">
      <c r="A194" s="80" t="str">
        <f>IF(B194="","",B194&amp;"-"&amp;TEXT(COUNTIF($B$7:B194,B194),"000"))</f>
        <v/>
      </c>
      <c r="B194" s="53"/>
      <c r="C194" s="81" t="str">
        <f>IFERROR(INDEX('QS Takeoff'!$A$3:$A$194,MATCH(B194,'QS Takeoff'!$B$3:$B$194,0)),"")</f>
        <v/>
      </c>
      <c r="D194" s="81" t="str">
        <f>IFERROR(INDEX('QS Takeoff'!$C$3:$C$194,MATCH(B194,'QS Takeoff'!$B$3:$B$194,0)),"")</f>
        <v/>
      </c>
      <c r="E194" s="81" t="str">
        <f>IFERROR(INDEX('QS Takeoff'!$E$3:$E$194,MATCH(B194,'QS Takeoff'!$B$3:$B$194,0)),"")</f>
        <v/>
      </c>
      <c r="F194" s="81" t="str">
        <f>IFERROR(INDEX('QS Takeoff'!$D$3:$D$194,MATCH(B194,'QS Takeoff'!$B$3:$B$194,0)),"")</f>
        <v/>
      </c>
      <c r="G194" s="81" t="str">
        <f>IFERROR(INDEX('QS Takeoff'!$J$3:$J$194,MATCH(B194,'QS Takeoff'!$B$3:$B$194,0)),"")</f>
        <v/>
      </c>
      <c r="H194" s="53"/>
      <c r="I194" s="60"/>
      <c r="J194" s="60"/>
      <c r="K194" s="82" t="str">
        <f t="shared" si="12"/>
        <v/>
      </c>
      <c r="L194" s="60"/>
      <c r="M194" s="82" t="str">
        <f t="shared" si="13"/>
        <v/>
      </c>
      <c r="N194" s="53"/>
      <c r="O194" s="53"/>
      <c r="P194" s="53"/>
      <c r="Q194" s="81" t="str">
        <f>IFERROR(INDEX('Resource Rate Library'!$C$5:$C$85,MATCH(P194,'Resource Rate Library'!$A$5:$A$85,0)),"")</f>
        <v/>
      </c>
      <c r="R194" s="53"/>
      <c r="S194" s="53"/>
      <c r="T194" s="81" t="str">
        <f>IFERROR(INDEX('Resource Rate Library'!$E$5:$E$85,MATCH(P194,'Resource Rate Library'!$A$5:$A$85,0)),"")</f>
        <v/>
      </c>
      <c r="U194" s="62"/>
      <c r="V194" s="62"/>
      <c r="W194" s="83">
        <f>IFERROR(INDEX('Resource Rate Library'!$I$5:$I$85,MATCH(P194,'Resource Rate Library'!$A$5:$A$85,0)),0)</f>
        <v>0</v>
      </c>
      <c r="X194" s="52"/>
      <c r="Y194" s="83">
        <f t="shared" si="14"/>
        <v>0</v>
      </c>
      <c r="Z194" s="83" t="str">
        <f t="shared" si="15"/>
        <v/>
      </c>
      <c r="AA194" s="81" t="str">
        <f>IFERROR(INDEX('Resource Rate Library'!$N$5:$N$85,MATCH(P194,'Resource Rate Library'!$A$5:$A$85,0)),"")</f>
        <v/>
      </c>
      <c r="AB194" s="53"/>
      <c r="AC194" s="59"/>
      <c r="AD194" s="81" t="str">
        <f>IFERROR(INDEX('Resource Rate Library'!$G$5:$G$85,MATCH(P194,'Resource Rate Library'!$A$5:$A$85,0)),"")</f>
        <v/>
      </c>
      <c r="AE194" s="81" t="str">
        <f>IFERROR(INDEX('Resource Rate Library'!$H$5:$H$85,MATCH(P194,'Resource Rate Library'!$A$5:$A$85,0)),"")</f>
        <v/>
      </c>
      <c r="AF194" s="53"/>
      <c r="AG194" s="53"/>
      <c r="AH194" s="53"/>
      <c r="AI194" s="81" t="str">
        <f t="shared" si="17"/>
        <v/>
      </c>
      <c r="AJ194" s="54"/>
      <c r="AK194" s="197"/>
      <c r="AL194" s="197"/>
      <c r="AM194" s="197"/>
      <c r="AN194" s="199">
        <f>IF(AND(AK194="Yes",OR(O194="Labour",O194="Plant")),Z194,0)</f>
        <v>0</v>
      </c>
    </row>
    <row r="195" spans="1:40" x14ac:dyDescent="0.2">
      <c r="A195" s="80" t="str">
        <f>IF(B195="","",B195&amp;"-"&amp;TEXT(COUNTIF($B$7:B195,B195),"000"))</f>
        <v/>
      </c>
      <c r="B195" s="53"/>
      <c r="C195" s="81" t="str">
        <f>IFERROR(INDEX('QS Takeoff'!$A$3:$A$194,MATCH(B195,'QS Takeoff'!$B$3:$B$194,0)),"")</f>
        <v/>
      </c>
      <c r="D195" s="81" t="str">
        <f>IFERROR(INDEX('QS Takeoff'!$C$3:$C$194,MATCH(B195,'QS Takeoff'!$B$3:$B$194,0)),"")</f>
        <v/>
      </c>
      <c r="E195" s="81" t="str">
        <f>IFERROR(INDEX('QS Takeoff'!$E$3:$E$194,MATCH(B195,'QS Takeoff'!$B$3:$B$194,0)),"")</f>
        <v/>
      </c>
      <c r="F195" s="81" t="str">
        <f>IFERROR(INDEX('QS Takeoff'!$D$3:$D$194,MATCH(B195,'QS Takeoff'!$B$3:$B$194,0)),"")</f>
        <v/>
      </c>
      <c r="G195" s="81" t="str">
        <f>IFERROR(INDEX('QS Takeoff'!$J$3:$J$194,MATCH(B195,'QS Takeoff'!$B$3:$B$194,0)),"")</f>
        <v/>
      </c>
      <c r="H195" s="53"/>
      <c r="I195" s="60"/>
      <c r="J195" s="60"/>
      <c r="K195" s="82" t="str">
        <f t="shared" si="12"/>
        <v/>
      </c>
      <c r="L195" s="60"/>
      <c r="M195" s="82" t="str">
        <f t="shared" si="13"/>
        <v/>
      </c>
      <c r="N195" s="53"/>
      <c r="O195" s="53"/>
      <c r="P195" s="53"/>
      <c r="Q195" s="81" t="str">
        <f>IFERROR(INDEX('Resource Rate Library'!$C$5:$C$85,MATCH(P195,'Resource Rate Library'!$A$5:$A$85,0)),"")</f>
        <v/>
      </c>
      <c r="R195" s="53"/>
      <c r="S195" s="53"/>
      <c r="T195" s="81" t="str">
        <f>IFERROR(INDEX('Resource Rate Library'!$E$5:$E$85,MATCH(P195,'Resource Rate Library'!$A$5:$A$85,0)),"")</f>
        <v/>
      </c>
      <c r="U195" s="62"/>
      <c r="V195" s="62"/>
      <c r="W195" s="83">
        <f>IFERROR(INDEX('Resource Rate Library'!$I$5:$I$85,MATCH(P195,'Resource Rate Library'!$A$5:$A$85,0)),0)</f>
        <v>0</v>
      </c>
      <c r="X195" s="52"/>
      <c r="Y195" s="83">
        <f t="shared" si="14"/>
        <v>0</v>
      </c>
      <c r="Z195" s="83" t="str">
        <f t="shared" si="15"/>
        <v/>
      </c>
      <c r="AA195" s="81" t="str">
        <f>IFERROR(INDEX('Resource Rate Library'!$N$5:$N$85,MATCH(P195,'Resource Rate Library'!$A$5:$A$85,0)),"")</f>
        <v/>
      </c>
      <c r="AB195" s="53"/>
      <c r="AC195" s="59"/>
      <c r="AD195" s="81" t="str">
        <f>IFERROR(INDEX('Resource Rate Library'!$G$5:$G$85,MATCH(P195,'Resource Rate Library'!$A$5:$A$85,0)),"")</f>
        <v/>
      </c>
      <c r="AE195" s="81" t="str">
        <f>IFERROR(INDEX('Resource Rate Library'!$H$5:$H$85,MATCH(P195,'Resource Rate Library'!$A$5:$A$85,0)),"")</f>
        <v/>
      </c>
      <c r="AF195" s="53"/>
      <c r="AG195" s="53"/>
      <c r="AH195" s="53"/>
      <c r="AI195" s="81" t="str">
        <f t="shared" si="17"/>
        <v/>
      </c>
      <c r="AJ195" s="54"/>
      <c r="AK195" s="197"/>
      <c r="AL195" s="197"/>
      <c r="AM195" s="197"/>
      <c r="AN195" s="199">
        <f>IF(AND(AK195="Yes",OR(O195="Labour",O195="Plant")),Z195,0)</f>
        <v>0</v>
      </c>
    </row>
    <row r="196" spans="1:40" x14ac:dyDescent="0.2">
      <c r="A196" s="80" t="str">
        <f>IF(B196="","",B196&amp;"-"&amp;TEXT(COUNTIF($B$7:B196,B196),"000"))</f>
        <v/>
      </c>
      <c r="B196" s="53"/>
      <c r="C196" s="81" t="str">
        <f>IFERROR(INDEX('QS Takeoff'!$A$3:$A$194,MATCH(B196,'QS Takeoff'!$B$3:$B$194,0)),"")</f>
        <v/>
      </c>
      <c r="D196" s="81" t="str">
        <f>IFERROR(INDEX('QS Takeoff'!$C$3:$C$194,MATCH(B196,'QS Takeoff'!$B$3:$B$194,0)),"")</f>
        <v/>
      </c>
      <c r="E196" s="81" t="str">
        <f>IFERROR(INDEX('QS Takeoff'!$E$3:$E$194,MATCH(B196,'QS Takeoff'!$B$3:$B$194,0)),"")</f>
        <v/>
      </c>
      <c r="F196" s="81" t="str">
        <f>IFERROR(INDEX('QS Takeoff'!$D$3:$D$194,MATCH(B196,'QS Takeoff'!$B$3:$B$194,0)),"")</f>
        <v/>
      </c>
      <c r="G196" s="81" t="str">
        <f>IFERROR(INDEX('QS Takeoff'!$J$3:$J$194,MATCH(B196,'QS Takeoff'!$B$3:$B$194,0)),"")</f>
        <v/>
      </c>
      <c r="H196" s="53"/>
      <c r="I196" s="60"/>
      <c r="J196" s="60"/>
      <c r="K196" s="82" t="str">
        <f t="shared" si="12"/>
        <v/>
      </c>
      <c r="L196" s="60"/>
      <c r="M196" s="82" t="str">
        <f t="shared" si="13"/>
        <v/>
      </c>
      <c r="N196" s="53"/>
      <c r="O196" s="53"/>
      <c r="P196" s="53"/>
      <c r="Q196" s="81" t="str">
        <f>IFERROR(INDEX('Resource Rate Library'!$C$5:$C$85,MATCH(P196,'Resource Rate Library'!$A$5:$A$85,0)),"")</f>
        <v/>
      </c>
      <c r="R196" s="53"/>
      <c r="S196" s="53"/>
      <c r="T196" s="81" t="str">
        <f>IFERROR(INDEX('Resource Rate Library'!$E$5:$E$85,MATCH(P196,'Resource Rate Library'!$A$5:$A$85,0)),"")</f>
        <v/>
      </c>
      <c r="U196" s="62"/>
      <c r="V196" s="62"/>
      <c r="W196" s="83">
        <f>IFERROR(INDEX('Resource Rate Library'!$I$5:$I$85,MATCH(P196,'Resource Rate Library'!$A$5:$A$85,0)),0)</f>
        <v>0</v>
      </c>
      <c r="X196" s="52"/>
      <c r="Y196" s="83">
        <f t="shared" si="14"/>
        <v>0</v>
      </c>
      <c r="Z196" s="83" t="str">
        <f t="shared" si="15"/>
        <v/>
      </c>
      <c r="AA196" s="81" t="str">
        <f>IFERROR(INDEX('Resource Rate Library'!$N$5:$N$85,MATCH(P196,'Resource Rate Library'!$A$5:$A$85,0)),"")</f>
        <v/>
      </c>
      <c r="AB196" s="53"/>
      <c r="AC196" s="59"/>
      <c r="AD196" s="81" t="str">
        <f>IFERROR(INDEX('Resource Rate Library'!$G$5:$G$85,MATCH(P196,'Resource Rate Library'!$A$5:$A$85,0)),"")</f>
        <v/>
      </c>
      <c r="AE196" s="81" t="str">
        <f>IFERROR(INDEX('Resource Rate Library'!$H$5:$H$85,MATCH(P196,'Resource Rate Library'!$A$5:$A$85,0)),"")</f>
        <v/>
      </c>
      <c r="AF196" s="53"/>
      <c r="AG196" s="53"/>
      <c r="AH196" s="53"/>
      <c r="AI196" s="81" t="str">
        <f t="shared" si="17"/>
        <v/>
      </c>
      <c r="AJ196" s="54"/>
      <c r="AK196" s="197"/>
      <c r="AL196" s="197"/>
      <c r="AM196" s="197"/>
      <c r="AN196" s="199">
        <f>IF(AND(AK196="Yes",OR(O196="Labour",O196="Plant")),Z196,0)</f>
        <v>0</v>
      </c>
    </row>
    <row r="197" spans="1:40" x14ac:dyDescent="0.2">
      <c r="A197" s="80" t="str">
        <f>IF(B197="","",B197&amp;"-"&amp;TEXT(COUNTIF($B$7:B197,B197),"000"))</f>
        <v/>
      </c>
      <c r="B197" s="53"/>
      <c r="C197" s="81" t="str">
        <f>IFERROR(INDEX('QS Takeoff'!$A$3:$A$194,MATCH(B197,'QS Takeoff'!$B$3:$B$194,0)),"")</f>
        <v/>
      </c>
      <c r="D197" s="81" t="str">
        <f>IFERROR(INDEX('QS Takeoff'!$C$3:$C$194,MATCH(B197,'QS Takeoff'!$B$3:$B$194,0)),"")</f>
        <v/>
      </c>
      <c r="E197" s="81" t="str">
        <f>IFERROR(INDEX('QS Takeoff'!$E$3:$E$194,MATCH(B197,'QS Takeoff'!$B$3:$B$194,0)),"")</f>
        <v/>
      </c>
      <c r="F197" s="81" t="str">
        <f>IFERROR(INDEX('QS Takeoff'!$D$3:$D$194,MATCH(B197,'QS Takeoff'!$B$3:$B$194,0)),"")</f>
        <v/>
      </c>
      <c r="G197" s="81" t="str">
        <f>IFERROR(INDEX('QS Takeoff'!$J$3:$J$194,MATCH(B197,'QS Takeoff'!$B$3:$B$194,0)),"")</f>
        <v/>
      </c>
      <c r="H197" s="53"/>
      <c r="I197" s="60"/>
      <c r="J197" s="60"/>
      <c r="K197" s="82" t="str">
        <f t="shared" si="12"/>
        <v/>
      </c>
      <c r="L197" s="60"/>
      <c r="M197" s="82" t="str">
        <f t="shared" si="13"/>
        <v/>
      </c>
      <c r="N197" s="53"/>
      <c r="O197" s="53"/>
      <c r="P197" s="53"/>
      <c r="Q197" s="81" t="str">
        <f>IFERROR(INDEX('Resource Rate Library'!$C$5:$C$85,MATCH(P197,'Resource Rate Library'!$A$5:$A$85,0)),"")</f>
        <v/>
      </c>
      <c r="R197" s="53"/>
      <c r="S197" s="53"/>
      <c r="T197" s="81" t="str">
        <f>IFERROR(INDEX('Resource Rate Library'!$E$5:$E$85,MATCH(P197,'Resource Rate Library'!$A$5:$A$85,0)),"")</f>
        <v/>
      </c>
      <c r="U197" s="62"/>
      <c r="V197" s="62"/>
      <c r="W197" s="83">
        <f>IFERROR(INDEX('Resource Rate Library'!$I$5:$I$85,MATCH(P197,'Resource Rate Library'!$A$5:$A$85,0)),0)</f>
        <v>0</v>
      </c>
      <c r="X197" s="52"/>
      <c r="Y197" s="83">
        <f t="shared" si="14"/>
        <v>0</v>
      </c>
      <c r="Z197" s="83" t="str">
        <f t="shared" si="15"/>
        <v/>
      </c>
      <c r="AA197" s="81" t="str">
        <f>IFERROR(INDEX('Resource Rate Library'!$N$5:$N$85,MATCH(P197,'Resource Rate Library'!$A$5:$A$85,0)),"")</f>
        <v/>
      </c>
      <c r="AB197" s="53"/>
      <c r="AC197" s="59"/>
      <c r="AD197" s="81" t="str">
        <f>IFERROR(INDEX('Resource Rate Library'!$G$5:$G$85,MATCH(P197,'Resource Rate Library'!$A$5:$A$85,0)),"")</f>
        <v/>
      </c>
      <c r="AE197" s="81" t="str">
        <f>IFERROR(INDEX('Resource Rate Library'!$H$5:$H$85,MATCH(P197,'Resource Rate Library'!$A$5:$A$85,0)),"")</f>
        <v/>
      </c>
      <c r="AF197" s="53"/>
      <c r="AG197" s="53"/>
      <c r="AH197" s="53"/>
      <c r="AI197" s="81" t="str">
        <f t="shared" si="17"/>
        <v/>
      </c>
      <c r="AJ197" s="54"/>
      <c r="AK197" s="197"/>
      <c r="AL197" s="197"/>
      <c r="AM197" s="197"/>
      <c r="AN197" s="199">
        <f>IF(AND(AK197="Yes",OR(O197="Labour",O197="Plant")),Z197,0)</f>
        <v>0</v>
      </c>
    </row>
    <row r="198" spans="1:40" x14ac:dyDescent="0.2">
      <c r="A198" s="80" t="str">
        <f>IF(B198="","",B198&amp;"-"&amp;TEXT(COUNTIF($B$7:B198,B198),"000"))</f>
        <v/>
      </c>
      <c r="B198" s="53"/>
      <c r="C198" s="81" t="str">
        <f>IFERROR(INDEX('QS Takeoff'!$A$3:$A$194,MATCH(B198,'QS Takeoff'!$B$3:$B$194,0)),"")</f>
        <v/>
      </c>
      <c r="D198" s="81" t="str">
        <f>IFERROR(INDEX('QS Takeoff'!$C$3:$C$194,MATCH(B198,'QS Takeoff'!$B$3:$B$194,0)),"")</f>
        <v/>
      </c>
      <c r="E198" s="81" t="str">
        <f>IFERROR(INDEX('QS Takeoff'!$E$3:$E$194,MATCH(B198,'QS Takeoff'!$B$3:$B$194,0)),"")</f>
        <v/>
      </c>
      <c r="F198" s="81" t="str">
        <f>IFERROR(INDEX('QS Takeoff'!$D$3:$D$194,MATCH(B198,'QS Takeoff'!$B$3:$B$194,0)),"")</f>
        <v/>
      </c>
      <c r="G198" s="81" t="str">
        <f>IFERROR(INDEX('QS Takeoff'!$J$3:$J$194,MATCH(B198,'QS Takeoff'!$B$3:$B$194,0)),"")</f>
        <v/>
      </c>
      <c r="H198" s="53"/>
      <c r="I198" s="60"/>
      <c r="J198" s="60"/>
      <c r="K198" s="82" t="str">
        <f t="shared" si="12"/>
        <v/>
      </c>
      <c r="L198" s="60"/>
      <c r="M198" s="82" t="str">
        <f t="shared" si="13"/>
        <v/>
      </c>
      <c r="N198" s="53"/>
      <c r="O198" s="53"/>
      <c r="P198" s="53"/>
      <c r="Q198" s="81" t="str">
        <f>IFERROR(INDEX('Resource Rate Library'!$C$5:$C$85,MATCH(P198,'Resource Rate Library'!$A$5:$A$85,0)),"")</f>
        <v/>
      </c>
      <c r="R198" s="53"/>
      <c r="S198" s="53"/>
      <c r="T198" s="81" t="str">
        <f>IFERROR(INDEX('Resource Rate Library'!$E$5:$E$85,MATCH(P198,'Resource Rate Library'!$A$5:$A$85,0)),"")</f>
        <v/>
      </c>
      <c r="U198" s="62"/>
      <c r="V198" s="62"/>
      <c r="W198" s="83">
        <f>IFERROR(INDEX('Resource Rate Library'!$I$5:$I$85,MATCH(P198,'Resource Rate Library'!$A$5:$A$85,0)),0)</f>
        <v>0</v>
      </c>
      <c r="X198" s="52"/>
      <c r="Y198" s="83">
        <f t="shared" si="14"/>
        <v>0</v>
      </c>
      <c r="Z198" s="83" t="str">
        <f t="shared" si="15"/>
        <v/>
      </c>
      <c r="AA198" s="81" t="str">
        <f>IFERROR(INDEX('Resource Rate Library'!$N$5:$N$85,MATCH(P198,'Resource Rate Library'!$A$5:$A$85,0)),"")</f>
        <v/>
      </c>
      <c r="AB198" s="53"/>
      <c r="AC198" s="59"/>
      <c r="AD198" s="81" t="str">
        <f>IFERROR(INDEX('Resource Rate Library'!$G$5:$G$85,MATCH(P198,'Resource Rate Library'!$A$5:$A$85,0)),"")</f>
        <v/>
      </c>
      <c r="AE198" s="81" t="str">
        <f>IFERROR(INDEX('Resource Rate Library'!$H$5:$H$85,MATCH(P198,'Resource Rate Library'!$A$5:$A$85,0)),"")</f>
        <v/>
      </c>
      <c r="AF198" s="53"/>
      <c r="AG198" s="53"/>
      <c r="AH198" s="53"/>
      <c r="AI198" s="81" t="str">
        <f t="shared" si="17"/>
        <v/>
      </c>
      <c r="AJ198" s="54"/>
      <c r="AK198" s="197"/>
      <c r="AL198" s="197"/>
      <c r="AM198" s="197"/>
      <c r="AN198" s="199">
        <f>IF(AND(AK198="Yes",OR(O198="Labour",O198="Plant")),Z198,0)</f>
        <v>0</v>
      </c>
    </row>
    <row r="199" spans="1:40" x14ac:dyDescent="0.2">
      <c r="A199" s="80" t="str">
        <f>IF(B199="","",B199&amp;"-"&amp;TEXT(COUNTIF($B$7:B199,B199),"000"))</f>
        <v/>
      </c>
      <c r="B199" s="53"/>
      <c r="C199" s="81" t="str">
        <f>IFERROR(INDEX('QS Takeoff'!$A$3:$A$194,MATCH(B199,'QS Takeoff'!$B$3:$B$194,0)),"")</f>
        <v/>
      </c>
      <c r="D199" s="81" t="str">
        <f>IFERROR(INDEX('QS Takeoff'!$C$3:$C$194,MATCH(B199,'QS Takeoff'!$B$3:$B$194,0)),"")</f>
        <v/>
      </c>
      <c r="E199" s="81" t="str">
        <f>IFERROR(INDEX('QS Takeoff'!$E$3:$E$194,MATCH(B199,'QS Takeoff'!$B$3:$B$194,0)),"")</f>
        <v/>
      </c>
      <c r="F199" s="81" t="str">
        <f>IFERROR(INDEX('QS Takeoff'!$D$3:$D$194,MATCH(B199,'QS Takeoff'!$B$3:$B$194,0)),"")</f>
        <v/>
      </c>
      <c r="G199" s="81" t="str">
        <f>IFERROR(INDEX('QS Takeoff'!$J$3:$J$194,MATCH(B199,'QS Takeoff'!$B$3:$B$194,0)),"")</f>
        <v/>
      </c>
      <c r="H199" s="53"/>
      <c r="I199" s="60"/>
      <c r="J199" s="60"/>
      <c r="K199" s="82" t="str">
        <f t="shared" ref="K199:K262" si="18">IF(OR(B199="",I199="",I199=0),"",E199/I199)</f>
        <v/>
      </c>
      <c r="L199" s="60"/>
      <c r="M199" s="82" t="str">
        <f t="shared" ref="M199:M262" si="19">IF(L199&gt;0,L199,K199)</f>
        <v/>
      </c>
      <c r="N199" s="53"/>
      <c r="O199" s="53"/>
      <c r="P199" s="53"/>
      <c r="Q199" s="81" t="str">
        <f>IFERROR(INDEX('Resource Rate Library'!$C$5:$C$85,MATCH(P199,'Resource Rate Library'!$A$5:$A$85,0)),"")</f>
        <v/>
      </c>
      <c r="R199" s="53"/>
      <c r="S199" s="53"/>
      <c r="T199" s="81" t="str">
        <f>IFERROR(INDEX('Resource Rate Library'!$E$5:$E$85,MATCH(P199,'Resource Rate Library'!$A$5:$A$85,0)),"")</f>
        <v/>
      </c>
      <c r="U199" s="62"/>
      <c r="V199" s="62"/>
      <c r="W199" s="83">
        <f>IFERROR(INDEX('Resource Rate Library'!$I$5:$I$85,MATCH(P199,'Resource Rate Library'!$A$5:$A$85,0)),0)</f>
        <v>0</v>
      </c>
      <c r="X199" s="52"/>
      <c r="Y199" s="83">
        <f t="shared" ref="Y199:Y262" si="20">IF(X199&gt;0,X199,W199)</f>
        <v>0</v>
      </c>
      <c r="Z199" s="83" t="str">
        <f t="shared" ref="Z199:Z262" si="21">IF(B199="","",IF(N199="Time x Count",M199*R199*IF(U199="",1,U199)*Y199,IF(N199="QS Qty x Factor",E199*R199*(1+IF(V199="",0,V199))*Y199,IF(N199="Direct Qty",S199*(1+IF(V199="",0,V199))*Y199,IF(N199="Lump Sum / Quote",S199*Y199,0)))))</f>
        <v/>
      </c>
      <c r="AA199" s="81" t="str">
        <f>IFERROR(INDEX('Resource Rate Library'!$N$5:$N$85,MATCH(P199,'Resource Rate Library'!$A$5:$A$85,0)),"")</f>
        <v/>
      </c>
      <c r="AB199" s="53"/>
      <c r="AC199" s="59"/>
      <c r="AD199" s="81" t="str">
        <f>IFERROR(INDEX('Resource Rate Library'!$G$5:$G$85,MATCH(P199,'Resource Rate Library'!$A$5:$A$85,0)),"")</f>
        <v/>
      </c>
      <c r="AE199" s="81" t="str">
        <f>IFERROR(INDEX('Resource Rate Library'!$H$5:$H$85,MATCH(P199,'Resource Rate Library'!$A$5:$A$85,0)),"")</f>
        <v/>
      </c>
      <c r="AF199" s="53"/>
      <c r="AG199" s="53"/>
      <c r="AH199" s="53"/>
      <c r="AI199" s="81" t="str">
        <f t="shared" si="17"/>
        <v/>
      </c>
      <c r="AJ199" s="54"/>
      <c r="AK199" s="197"/>
      <c r="AL199" s="197"/>
      <c r="AM199" s="197"/>
      <c r="AN199" s="199">
        <f>IF(AND(AK199="Yes",OR(O199="Labour",O199="Plant")),Z199,0)</f>
        <v>0</v>
      </c>
    </row>
    <row r="200" spans="1:40" x14ac:dyDescent="0.2">
      <c r="A200" s="80" t="str">
        <f>IF(B200="","",B200&amp;"-"&amp;TEXT(COUNTIF($B$7:B200,B200),"000"))</f>
        <v/>
      </c>
      <c r="B200" s="53"/>
      <c r="C200" s="81" t="str">
        <f>IFERROR(INDEX('QS Takeoff'!$A$3:$A$194,MATCH(B200,'QS Takeoff'!$B$3:$B$194,0)),"")</f>
        <v/>
      </c>
      <c r="D200" s="81" t="str">
        <f>IFERROR(INDEX('QS Takeoff'!$C$3:$C$194,MATCH(B200,'QS Takeoff'!$B$3:$B$194,0)),"")</f>
        <v/>
      </c>
      <c r="E200" s="81" t="str">
        <f>IFERROR(INDEX('QS Takeoff'!$E$3:$E$194,MATCH(B200,'QS Takeoff'!$B$3:$B$194,0)),"")</f>
        <v/>
      </c>
      <c r="F200" s="81" t="str">
        <f>IFERROR(INDEX('QS Takeoff'!$D$3:$D$194,MATCH(B200,'QS Takeoff'!$B$3:$B$194,0)),"")</f>
        <v/>
      </c>
      <c r="G200" s="81" t="str">
        <f>IFERROR(INDEX('QS Takeoff'!$J$3:$J$194,MATCH(B200,'QS Takeoff'!$B$3:$B$194,0)),"")</f>
        <v/>
      </c>
      <c r="H200" s="53"/>
      <c r="I200" s="60"/>
      <c r="J200" s="60"/>
      <c r="K200" s="82" t="str">
        <f t="shared" si="18"/>
        <v/>
      </c>
      <c r="L200" s="60"/>
      <c r="M200" s="82" t="str">
        <f t="shared" si="19"/>
        <v/>
      </c>
      <c r="N200" s="53"/>
      <c r="O200" s="53"/>
      <c r="P200" s="53"/>
      <c r="Q200" s="81" t="str">
        <f>IFERROR(INDEX('Resource Rate Library'!$C$5:$C$85,MATCH(P200,'Resource Rate Library'!$A$5:$A$85,0)),"")</f>
        <v/>
      </c>
      <c r="R200" s="53"/>
      <c r="S200" s="53"/>
      <c r="T200" s="81" t="str">
        <f>IFERROR(INDEX('Resource Rate Library'!$E$5:$E$85,MATCH(P200,'Resource Rate Library'!$A$5:$A$85,0)),"")</f>
        <v/>
      </c>
      <c r="U200" s="62"/>
      <c r="V200" s="62"/>
      <c r="W200" s="83">
        <f>IFERROR(INDEX('Resource Rate Library'!$I$5:$I$85,MATCH(P200,'Resource Rate Library'!$A$5:$A$85,0)),0)</f>
        <v>0</v>
      </c>
      <c r="X200" s="52"/>
      <c r="Y200" s="83">
        <f t="shared" si="20"/>
        <v>0</v>
      </c>
      <c r="Z200" s="83" t="str">
        <f t="shared" si="21"/>
        <v/>
      </c>
      <c r="AA200" s="81" t="str">
        <f>IFERROR(INDEX('Resource Rate Library'!$N$5:$N$85,MATCH(P200,'Resource Rate Library'!$A$5:$A$85,0)),"")</f>
        <v/>
      </c>
      <c r="AB200" s="53"/>
      <c r="AC200" s="59"/>
      <c r="AD200" s="81" t="str">
        <f>IFERROR(INDEX('Resource Rate Library'!$G$5:$G$85,MATCH(P200,'Resource Rate Library'!$A$5:$A$85,0)),"")</f>
        <v/>
      </c>
      <c r="AE200" s="81" t="str">
        <f>IFERROR(INDEX('Resource Rate Library'!$H$5:$H$85,MATCH(P200,'Resource Rate Library'!$A$5:$A$85,0)),"")</f>
        <v/>
      </c>
      <c r="AF200" s="53"/>
      <c r="AG200" s="53"/>
      <c r="AH200" s="53"/>
      <c r="AI200" s="81" t="str">
        <f t="shared" si="17"/>
        <v/>
      </c>
      <c r="AJ200" s="54"/>
      <c r="AK200" s="197"/>
      <c r="AL200" s="197"/>
      <c r="AM200" s="197"/>
      <c r="AN200" s="199">
        <f>IF(AND(AK200="Yes",OR(O200="Labour",O200="Plant")),Z200,0)</f>
        <v>0</v>
      </c>
    </row>
    <row r="201" spans="1:40" x14ac:dyDescent="0.2">
      <c r="A201" s="80" t="str">
        <f>IF(B201="","",B201&amp;"-"&amp;TEXT(COUNTIF($B$7:B201,B201),"000"))</f>
        <v/>
      </c>
      <c r="B201" s="53"/>
      <c r="C201" s="81" t="str">
        <f>IFERROR(INDEX('QS Takeoff'!$A$3:$A$194,MATCH(B201,'QS Takeoff'!$B$3:$B$194,0)),"")</f>
        <v/>
      </c>
      <c r="D201" s="81" t="str">
        <f>IFERROR(INDEX('QS Takeoff'!$C$3:$C$194,MATCH(B201,'QS Takeoff'!$B$3:$B$194,0)),"")</f>
        <v/>
      </c>
      <c r="E201" s="81" t="str">
        <f>IFERROR(INDEX('QS Takeoff'!$E$3:$E$194,MATCH(B201,'QS Takeoff'!$B$3:$B$194,0)),"")</f>
        <v/>
      </c>
      <c r="F201" s="81" t="str">
        <f>IFERROR(INDEX('QS Takeoff'!$D$3:$D$194,MATCH(B201,'QS Takeoff'!$B$3:$B$194,0)),"")</f>
        <v/>
      </c>
      <c r="G201" s="81" t="str">
        <f>IFERROR(INDEX('QS Takeoff'!$J$3:$J$194,MATCH(B201,'QS Takeoff'!$B$3:$B$194,0)),"")</f>
        <v/>
      </c>
      <c r="H201" s="53"/>
      <c r="I201" s="60"/>
      <c r="J201" s="60"/>
      <c r="K201" s="82" t="str">
        <f t="shared" si="18"/>
        <v/>
      </c>
      <c r="L201" s="60"/>
      <c r="M201" s="82" t="str">
        <f t="shared" si="19"/>
        <v/>
      </c>
      <c r="N201" s="53"/>
      <c r="O201" s="53"/>
      <c r="P201" s="53"/>
      <c r="Q201" s="81" t="str">
        <f>IFERROR(INDEX('Resource Rate Library'!$C$5:$C$85,MATCH(P201,'Resource Rate Library'!$A$5:$A$85,0)),"")</f>
        <v/>
      </c>
      <c r="R201" s="53"/>
      <c r="S201" s="53"/>
      <c r="T201" s="81" t="str">
        <f>IFERROR(INDEX('Resource Rate Library'!$E$5:$E$85,MATCH(P201,'Resource Rate Library'!$A$5:$A$85,0)),"")</f>
        <v/>
      </c>
      <c r="U201" s="62"/>
      <c r="V201" s="62"/>
      <c r="W201" s="83">
        <f>IFERROR(INDEX('Resource Rate Library'!$I$5:$I$85,MATCH(P201,'Resource Rate Library'!$A$5:$A$85,0)),0)</f>
        <v>0</v>
      </c>
      <c r="X201" s="52"/>
      <c r="Y201" s="83">
        <f t="shared" si="20"/>
        <v>0</v>
      </c>
      <c r="Z201" s="83" t="str">
        <f t="shared" si="21"/>
        <v/>
      </c>
      <c r="AA201" s="81" t="str">
        <f>IFERROR(INDEX('Resource Rate Library'!$N$5:$N$85,MATCH(P201,'Resource Rate Library'!$A$5:$A$85,0)),"")</f>
        <v/>
      </c>
      <c r="AB201" s="53"/>
      <c r="AC201" s="59"/>
      <c r="AD201" s="81" t="str">
        <f>IFERROR(INDEX('Resource Rate Library'!$G$5:$G$85,MATCH(P201,'Resource Rate Library'!$A$5:$A$85,0)),"")</f>
        <v/>
      </c>
      <c r="AE201" s="81" t="str">
        <f>IFERROR(INDEX('Resource Rate Library'!$H$5:$H$85,MATCH(P201,'Resource Rate Library'!$A$5:$A$85,0)),"")</f>
        <v/>
      </c>
      <c r="AF201" s="53"/>
      <c r="AG201" s="53"/>
      <c r="AH201" s="53"/>
      <c r="AI201" s="81" t="str">
        <f t="shared" si="17"/>
        <v/>
      </c>
      <c r="AJ201" s="54"/>
      <c r="AK201" s="197"/>
      <c r="AL201" s="197"/>
      <c r="AM201" s="197"/>
      <c r="AN201" s="199">
        <f>IF(AND(AK201="Yes",OR(O201="Labour",O201="Plant")),Z201,0)</f>
        <v>0</v>
      </c>
    </row>
    <row r="202" spans="1:40" x14ac:dyDescent="0.2">
      <c r="A202" s="80" t="str">
        <f>IF(B202="","",B202&amp;"-"&amp;TEXT(COUNTIF($B$7:B202,B202),"000"))</f>
        <v/>
      </c>
      <c r="B202" s="53"/>
      <c r="C202" s="81" t="str">
        <f>IFERROR(INDEX('QS Takeoff'!$A$3:$A$194,MATCH(B202,'QS Takeoff'!$B$3:$B$194,0)),"")</f>
        <v/>
      </c>
      <c r="D202" s="81" t="str">
        <f>IFERROR(INDEX('QS Takeoff'!$C$3:$C$194,MATCH(B202,'QS Takeoff'!$B$3:$B$194,0)),"")</f>
        <v/>
      </c>
      <c r="E202" s="81" t="str">
        <f>IFERROR(INDEX('QS Takeoff'!$E$3:$E$194,MATCH(B202,'QS Takeoff'!$B$3:$B$194,0)),"")</f>
        <v/>
      </c>
      <c r="F202" s="81" t="str">
        <f>IFERROR(INDEX('QS Takeoff'!$D$3:$D$194,MATCH(B202,'QS Takeoff'!$B$3:$B$194,0)),"")</f>
        <v/>
      </c>
      <c r="G202" s="81" t="str">
        <f>IFERROR(INDEX('QS Takeoff'!$J$3:$J$194,MATCH(B202,'QS Takeoff'!$B$3:$B$194,0)),"")</f>
        <v/>
      </c>
      <c r="H202" s="53"/>
      <c r="I202" s="60"/>
      <c r="J202" s="60"/>
      <c r="K202" s="82" t="str">
        <f t="shared" si="18"/>
        <v/>
      </c>
      <c r="L202" s="60"/>
      <c r="M202" s="82" t="str">
        <f t="shared" si="19"/>
        <v/>
      </c>
      <c r="N202" s="53"/>
      <c r="O202" s="53"/>
      <c r="P202" s="53"/>
      <c r="Q202" s="81" t="str">
        <f>IFERROR(INDEX('Resource Rate Library'!$C$5:$C$85,MATCH(P202,'Resource Rate Library'!$A$5:$A$85,0)),"")</f>
        <v/>
      </c>
      <c r="R202" s="53"/>
      <c r="S202" s="53"/>
      <c r="T202" s="81" t="str">
        <f>IFERROR(INDEX('Resource Rate Library'!$E$5:$E$85,MATCH(P202,'Resource Rate Library'!$A$5:$A$85,0)),"")</f>
        <v/>
      </c>
      <c r="U202" s="62"/>
      <c r="V202" s="62"/>
      <c r="W202" s="83">
        <f>IFERROR(INDEX('Resource Rate Library'!$I$5:$I$85,MATCH(P202,'Resource Rate Library'!$A$5:$A$85,0)),0)</f>
        <v>0</v>
      </c>
      <c r="X202" s="52"/>
      <c r="Y202" s="83">
        <f t="shared" si="20"/>
        <v>0</v>
      </c>
      <c r="Z202" s="83" t="str">
        <f t="shared" si="21"/>
        <v/>
      </c>
      <c r="AA202" s="81" t="str">
        <f>IFERROR(INDEX('Resource Rate Library'!$N$5:$N$85,MATCH(P202,'Resource Rate Library'!$A$5:$A$85,0)),"")</f>
        <v/>
      </c>
      <c r="AB202" s="53"/>
      <c r="AC202" s="59"/>
      <c r="AD202" s="81" t="str">
        <f>IFERROR(INDEX('Resource Rate Library'!$G$5:$G$85,MATCH(P202,'Resource Rate Library'!$A$5:$A$85,0)),"")</f>
        <v/>
      </c>
      <c r="AE202" s="81" t="str">
        <f>IFERROR(INDEX('Resource Rate Library'!$H$5:$H$85,MATCH(P202,'Resource Rate Library'!$A$5:$A$85,0)),"")</f>
        <v/>
      </c>
      <c r="AF202" s="53"/>
      <c r="AG202" s="53"/>
      <c r="AH202" s="53"/>
      <c r="AI202" s="81" t="str">
        <f t="shared" si="17"/>
        <v/>
      </c>
      <c r="AJ202" s="54"/>
      <c r="AK202" s="197"/>
      <c r="AL202" s="197"/>
      <c r="AM202" s="197"/>
      <c r="AN202" s="199">
        <f>IF(AND(AK202="Yes",OR(O202="Labour",O202="Plant")),Z202,0)</f>
        <v>0</v>
      </c>
    </row>
    <row r="203" spans="1:40" x14ac:dyDescent="0.2">
      <c r="A203" s="80" t="str">
        <f>IF(B203="","",B203&amp;"-"&amp;TEXT(COUNTIF($B$7:B203,B203),"000"))</f>
        <v/>
      </c>
      <c r="B203" s="53"/>
      <c r="C203" s="81" t="str">
        <f>IFERROR(INDEX('QS Takeoff'!$A$3:$A$194,MATCH(B203,'QS Takeoff'!$B$3:$B$194,0)),"")</f>
        <v/>
      </c>
      <c r="D203" s="81" t="str">
        <f>IFERROR(INDEX('QS Takeoff'!$C$3:$C$194,MATCH(B203,'QS Takeoff'!$B$3:$B$194,0)),"")</f>
        <v/>
      </c>
      <c r="E203" s="81" t="str">
        <f>IFERROR(INDEX('QS Takeoff'!$E$3:$E$194,MATCH(B203,'QS Takeoff'!$B$3:$B$194,0)),"")</f>
        <v/>
      </c>
      <c r="F203" s="81" t="str">
        <f>IFERROR(INDEX('QS Takeoff'!$D$3:$D$194,MATCH(B203,'QS Takeoff'!$B$3:$B$194,0)),"")</f>
        <v/>
      </c>
      <c r="G203" s="81" t="str">
        <f>IFERROR(INDEX('QS Takeoff'!$J$3:$J$194,MATCH(B203,'QS Takeoff'!$B$3:$B$194,0)),"")</f>
        <v/>
      </c>
      <c r="H203" s="53"/>
      <c r="I203" s="60"/>
      <c r="J203" s="60"/>
      <c r="K203" s="82" t="str">
        <f t="shared" si="18"/>
        <v/>
      </c>
      <c r="L203" s="60"/>
      <c r="M203" s="82" t="str">
        <f t="shared" si="19"/>
        <v/>
      </c>
      <c r="N203" s="53"/>
      <c r="O203" s="53"/>
      <c r="P203" s="53"/>
      <c r="Q203" s="81" t="str">
        <f>IFERROR(INDEX('Resource Rate Library'!$C$5:$C$85,MATCH(P203,'Resource Rate Library'!$A$5:$A$85,0)),"")</f>
        <v/>
      </c>
      <c r="R203" s="53"/>
      <c r="S203" s="53"/>
      <c r="T203" s="81" t="str">
        <f>IFERROR(INDEX('Resource Rate Library'!$E$5:$E$85,MATCH(P203,'Resource Rate Library'!$A$5:$A$85,0)),"")</f>
        <v/>
      </c>
      <c r="U203" s="62"/>
      <c r="V203" s="62"/>
      <c r="W203" s="83">
        <f>IFERROR(INDEX('Resource Rate Library'!$I$5:$I$85,MATCH(P203,'Resource Rate Library'!$A$5:$A$85,0)),0)</f>
        <v>0</v>
      </c>
      <c r="X203" s="52"/>
      <c r="Y203" s="83">
        <f t="shared" si="20"/>
        <v>0</v>
      </c>
      <c r="Z203" s="83" t="str">
        <f t="shared" si="21"/>
        <v/>
      </c>
      <c r="AA203" s="81" t="str">
        <f>IFERROR(INDEX('Resource Rate Library'!$N$5:$N$85,MATCH(P203,'Resource Rate Library'!$A$5:$A$85,0)),"")</f>
        <v/>
      </c>
      <c r="AB203" s="53"/>
      <c r="AC203" s="59"/>
      <c r="AD203" s="81" t="str">
        <f>IFERROR(INDEX('Resource Rate Library'!$G$5:$G$85,MATCH(P203,'Resource Rate Library'!$A$5:$A$85,0)),"")</f>
        <v/>
      </c>
      <c r="AE203" s="81" t="str">
        <f>IFERROR(INDEX('Resource Rate Library'!$H$5:$H$85,MATCH(P203,'Resource Rate Library'!$A$5:$A$85,0)),"")</f>
        <v/>
      </c>
      <c r="AF203" s="53"/>
      <c r="AG203" s="53"/>
      <c r="AH203" s="53"/>
      <c r="AI203" s="81" t="str">
        <f t="shared" si="17"/>
        <v/>
      </c>
      <c r="AJ203" s="54"/>
      <c r="AK203" s="197"/>
      <c r="AL203" s="197"/>
      <c r="AM203" s="197"/>
      <c r="AN203" s="199">
        <f>IF(AND(AK203="Yes",OR(O203="Labour",O203="Plant")),Z203,0)</f>
        <v>0</v>
      </c>
    </row>
    <row r="204" spans="1:40" x14ac:dyDescent="0.2">
      <c r="A204" s="80" t="str">
        <f>IF(B204="","",B204&amp;"-"&amp;TEXT(COUNTIF($B$7:B204,B204),"000"))</f>
        <v/>
      </c>
      <c r="B204" s="53"/>
      <c r="C204" s="81" t="str">
        <f>IFERROR(INDEX('QS Takeoff'!$A$3:$A$194,MATCH(B204,'QS Takeoff'!$B$3:$B$194,0)),"")</f>
        <v/>
      </c>
      <c r="D204" s="81" t="str">
        <f>IFERROR(INDEX('QS Takeoff'!$C$3:$C$194,MATCH(B204,'QS Takeoff'!$B$3:$B$194,0)),"")</f>
        <v/>
      </c>
      <c r="E204" s="81" t="str">
        <f>IFERROR(INDEX('QS Takeoff'!$E$3:$E$194,MATCH(B204,'QS Takeoff'!$B$3:$B$194,0)),"")</f>
        <v/>
      </c>
      <c r="F204" s="81" t="str">
        <f>IFERROR(INDEX('QS Takeoff'!$D$3:$D$194,MATCH(B204,'QS Takeoff'!$B$3:$B$194,0)),"")</f>
        <v/>
      </c>
      <c r="G204" s="81" t="str">
        <f>IFERROR(INDEX('QS Takeoff'!$J$3:$J$194,MATCH(B204,'QS Takeoff'!$B$3:$B$194,0)),"")</f>
        <v/>
      </c>
      <c r="H204" s="53"/>
      <c r="I204" s="60"/>
      <c r="J204" s="60"/>
      <c r="K204" s="82" t="str">
        <f t="shared" si="18"/>
        <v/>
      </c>
      <c r="L204" s="60"/>
      <c r="M204" s="82" t="str">
        <f t="shared" si="19"/>
        <v/>
      </c>
      <c r="N204" s="53"/>
      <c r="O204" s="53"/>
      <c r="P204" s="53"/>
      <c r="Q204" s="81" t="str">
        <f>IFERROR(INDEX('Resource Rate Library'!$C$5:$C$85,MATCH(P204,'Resource Rate Library'!$A$5:$A$85,0)),"")</f>
        <v/>
      </c>
      <c r="R204" s="53"/>
      <c r="S204" s="53"/>
      <c r="T204" s="81" t="str">
        <f>IFERROR(INDEX('Resource Rate Library'!$E$5:$E$85,MATCH(P204,'Resource Rate Library'!$A$5:$A$85,0)),"")</f>
        <v/>
      </c>
      <c r="U204" s="62"/>
      <c r="V204" s="62"/>
      <c r="W204" s="83">
        <f>IFERROR(INDEX('Resource Rate Library'!$I$5:$I$85,MATCH(P204,'Resource Rate Library'!$A$5:$A$85,0)),0)</f>
        <v>0</v>
      </c>
      <c r="X204" s="52"/>
      <c r="Y204" s="83">
        <f t="shared" si="20"/>
        <v>0</v>
      </c>
      <c r="Z204" s="83" t="str">
        <f t="shared" si="21"/>
        <v/>
      </c>
      <c r="AA204" s="81" t="str">
        <f>IFERROR(INDEX('Resource Rate Library'!$N$5:$N$85,MATCH(P204,'Resource Rate Library'!$A$5:$A$85,0)),"")</f>
        <v/>
      </c>
      <c r="AB204" s="53"/>
      <c r="AC204" s="59"/>
      <c r="AD204" s="81" t="str">
        <f>IFERROR(INDEX('Resource Rate Library'!$G$5:$G$85,MATCH(P204,'Resource Rate Library'!$A$5:$A$85,0)),"")</f>
        <v/>
      </c>
      <c r="AE204" s="81" t="str">
        <f>IFERROR(INDEX('Resource Rate Library'!$H$5:$H$85,MATCH(P204,'Resource Rate Library'!$A$5:$A$85,0)),"")</f>
        <v/>
      </c>
      <c r="AF204" s="53"/>
      <c r="AG204" s="53"/>
      <c r="AH204" s="53"/>
      <c r="AI204" s="81" t="str">
        <f t="shared" si="17"/>
        <v/>
      </c>
      <c r="AJ204" s="54"/>
      <c r="AK204" s="197"/>
      <c r="AL204" s="197"/>
      <c r="AM204" s="197"/>
      <c r="AN204" s="199">
        <f>IF(AND(AK204="Yes",OR(O204="Labour",O204="Plant")),Z204,0)</f>
        <v>0</v>
      </c>
    </row>
    <row r="205" spans="1:40" x14ac:dyDescent="0.2">
      <c r="A205" s="80" t="str">
        <f>IF(B205="","",B205&amp;"-"&amp;TEXT(COUNTIF($B$7:B205,B205),"000"))</f>
        <v/>
      </c>
      <c r="B205" s="53"/>
      <c r="C205" s="81" t="str">
        <f>IFERROR(INDEX('QS Takeoff'!$A$3:$A$194,MATCH(B205,'QS Takeoff'!$B$3:$B$194,0)),"")</f>
        <v/>
      </c>
      <c r="D205" s="81" t="str">
        <f>IFERROR(INDEX('QS Takeoff'!$C$3:$C$194,MATCH(B205,'QS Takeoff'!$B$3:$B$194,0)),"")</f>
        <v/>
      </c>
      <c r="E205" s="81" t="str">
        <f>IFERROR(INDEX('QS Takeoff'!$E$3:$E$194,MATCH(B205,'QS Takeoff'!$B$3:$B$194,0)),"")</f>
        <v/>
      </c>
      <c r="F205" s="81" t="str">
        <f>IFERROR(INDEX('QS Takeoff'!$D$3:$D$194,MATCH(B205,'QS Takeoff'!$B$3:$B$194,0)),"")</f>
        <v/>
      </c>
      <c r="G205" s="81" t="str">
        <f>IFERROR(INDEX('QS Takeoff'!$J$3:$J$194,MATCH(B205,'QS Takeoff'!$B$3:$B$194,0)),"")</f>
        <v/>
      </c>
      <c r="H205" s="53"/>
      <c r="I205" s="60"/>
      <c r="J205" s="60"/>
      <c r="K205" s="82" t="str">
        <f t="shared" si="18"/>
        <v/>
      </c>
      <c r="L205" s="60"/>
      <c r="M205" s="82" t="str">
        <f t="shared" si="19"/>
        <v/>
      </c>
      <c r="N205" s="53"/>
      <c r="O205" s="53"/>
      <c r="P205" s="53"/>
      <c r="Q205" s="81" t="str">
        <f>IFERROR(INDEX('Resource Rate Library'!$C$5:$C$85,MATCH(P205,'Resource Rate Library'!$A$5:$A$85,0)),"")</f>
        <v/>
      </c>
      <c r="R205" s="53"/>
      <c r="S205" s="53"/>
      <c r="T205" s="81" t="str">
        <f>IFERROR(INDEX('Resource Rate Library'!$E$5:$E$85,MATCH(P205,'Resource Rate Library'!$A$5:$A$85,0)),"")</f>
        <v/>
      </c>
      <c r="U205" s="62"/>
      <c r="V205" s="62"/>
      <c r="W205" s="83">
        <f>IFERROR(INDEX('Resource Rate Library'!$I$5:$I$85,MATCH(P205,'Resource Rate Library'!$A$5:$A$85,0)),0)</f>
        <v>0</v>
      </c>
      <c r="X205" s="52"/>
      <c r="Y205" s="83">
        <f t="shared" si="20"/>
        <v>0</v>
      </c>
      <c r="Z205" s="83" t="str">
        <f t="shared" si="21"/>
        <v/>
      </c>
      <c r="AA205" s="81" t="str">
        <f>IFERROR(INDEX('Resource Rate Library'!$N$5:$N$85,MATCH(P205,'Resource Rate Library'!$A$5:$A$85,0)),"")</f>
        <v/>
      </c>
      <c r="AB205" s="53"/>
      <c r="AC205" s="59"/>
      <c r="AD205" s="81" t="str">
        <f>IFERROR(INDEX('Resource Rate Library'!$G$5:$G$85,MATCH(P205,'Resource Rate Library'!$A$5:$A$85,0)),"")</f>
        <v/>
      </c>
      <c r="AE205" s="81" t="str">
        <f>IFERROR(INDEX('Resource Rate Library'!$H$5:$H$85,MATCH(P205,'Resource Rate Library'!$A$5:$A$85,0)),"")</f>
        <v/>
      </c>
      <c r="AF205" s="53"/>
      <c r="AG205" s="53"/>
      <c r="AH205" s="53"/>
      <c r="AI205" s="81" t="str">
        <f t="shared" si="17"/>
        <v/>
      </c>
      <c r="AJ205" s="54"/>
      <c r="AK205" s="197"/>
      <c r="AL205" s="197"/>
      <c r="AM205" s="197"/>
      <c r="AN205" s="199">
        <f>IF(AND(AK205="Yes",OR(O205="Labour",O205="Plant")),Z205,0)</f>
        <v>0</v>
      </c>
    </row>
    <row r="206" spans="1:40" x14ac:dyDescent="0.2">
      <c r="A206" s="80" t="str">
        <f>IF(B206="","",B206&amp;"-"&amp;TEXT(COUNTIF($B$7:B206,B206),"000"))</f>
        <v/>
      </c>
      <c r="B206" s="53"/>
      <c r="C206" s="81" t="str">
        <f>IFERROR(INDEX('QS Takeoff'!$A$3:$A$194,MATCH(B206,'QS Takeoff'!$B$3:$B$194,0)),"")</f>
        <v/>
      </c>
      <c r="D206" s="81" t="str">
        <f>IFERROR(INDEX('QS Takeoff'!$C$3:$C$194,MATCH(B206,'QS Takeoff'!$B$3:$B$194,0)),"")</f>
        <v/>
      </c>
      <c r="E206" s="81" t="str">
        <f>IFERROR(INDEX('QS Takeoff'!$E$3:$E$194,MATCH(B206,'QS Takeoff'!$B$3:$B$194,0)),"")</f>
        <v/>
      </c>
      <c r="F206" s="81" t="str">
        <f>IFERROR(INDEX('QS Takeoff'!$D$3:$D$194,MATCH(B206,'QS Takeoff'!$B$3:$B$194,0)),"")</f>
        <v/>
      </c>
      <c r="G206" s="81" t="str">
        <f>IFERROR(INDEX('QS Takeoff'!$J$3:$J$194,MATCH(B206,'QS Takeoff'!$B$3:$B$194,0)),"")</f>
        <v/>
      </c>
      <c r="H206" s="53"/>
      <c r="I206" s="60"/>
      <c r="J206" s="60"/>
      <c r="K206" s="82" t="str">
        <f t="shared" si="18"/>
        <v/>
      </c>
      <c r="L206" s="60"/>
      <c r="M206" s="82" t="str">
        <f t="shared" si="19"/>
        <v/>
      </c>
      <c r="N206" s="53"/>
      <c r="O206" s="53"/>
      <c r="P206" s="53"/>
      <c r="Q206" s="81" t="str">
        <f>IFERROR(INDEX('Resource Rate Library'!$C$5:$C$85,MATCH(P206,'Resource Rate Library'!$A$5:$A$85,0)),"")</f>
        <v/>
      </c>
      <c r="R206" s="53"/>
      <c r="S206" s="53"/>
      <c r="T206" s="81" t="str">
        <f>IFERROR(INDEX('Resource Rate Library'!$E$5:$E$85,MATCH(P206,'Resource Rate Library'!$A$5:$A$85,0)),"")</f>
        <v/>
      </c>
      <c r="U206" s="62"/>
      <c r="V206" s="62"/>
      <c r="W206" s="83">
        <f>IFERROR(INDEX('Resource Rate Library'!$I$5:$I$85,MATCH(P206,'Resource Rate Library'!$A$5:$A$85,0)),0)</f>
        <v>0</v>
      </c>
      <c r="X206" s="52"/>
      <c r="Y206" s="83">
        <f t="shared" si="20"/>
        <v>0</v>
      </c>
      <c r="Z206" s="83" t="str">
        <f t="shared" si="21"/>
        <v/>
      </c>
      <c r="AA206" s="81" t="str">
        <f>IFERROR(INDEX('Resource Rate Library'!$N$5:$N$85,MATCH(P206,'Resource Rate Library'!$A$5:$A$85,0)),"")</f>
        <v/>
      </c>
      <c r="AB206" s="53"/>
      <c r="AC206" s="59"/>
      <c r="AD206" s="81" t="str">
        <f>IFERROR(INDEX('Resource Rate Library'!$G$5:$G$85,MATCH(P206,'Resource Rate Library'!$A$5:$A$85,0)),"")</f>
        <v/>
      </c>
      <c r="AE206" s="81" t="str">
        <f>IFERROR(INDEX('Resource Rate Library'!$H$5:$H$85,MATCH(P206,'Resource Rate Library'!$A$5:$A$85,0)),"")</f>
        <v/>
      </c>
      <c r="AF206" s="53"/>
      <c r="AG206" s="53"/>
      <c r="AH206" s="53"/>
      <c r="AI206" s="81" t="str">
        <f t="shared" si="17"/>
        <v/>
      </c>
      <c r="AJ206" s="54"/>
      <c r="AK206" s="197"/>
      <c r="AL206" s="197"/>
      <c r="AM206" s="197"/>
      <c r="AN206" s="199">
        <f>IF(AND(AK206="Yes",OR(O206="Labour",O206="Plant")),Z206,0)</f>
        <v>0</v>
      </c>
    </row>
    <row r="207" spans="1:40" x14ac:dyDescent="0.2">
      <c r="A207" s="80" t="str">
        <f>IF(B207="","",B207&amp;"-"&amp;TEXT(COUNTIF($B$7:B207,B207),"000"))</f>
        <v/>
      </c>
      <c r="B207" s="53"/>
      <c r="C207" s="81" t="str">
        <f>IFERROR(INDEX('QS Takeoff'!$A$3:$A$194,MATCH(B207,'QS Takeoff'!$B$3:$B$194,0)),"")</f>
        <v/>
      </c>
      <c r="D207" s="81" t="str">
        <f>IFERROR(INDEX('QS Takeoff'!$C$3:$C$194,MATCH(B207,'QS Takeoff'!$B$3:$B$194,0)),"")</f>
        <v/>
      </c>
      <c r="E207" s="81" t="str">
        <f>IFERROR(INDEX('QS Takeoff'!$E$3:$E$194,MATCH(B207,'QS Takeoff'!$B$3:$B$194,0)),"")</f>
        <v/>
      </c>
      <c r="F207" s="81" t="str">
        <f>IFERROR(INDEX('QS Takeoff'!$D$3:$D$194,MATCH(B207,'QS Takeoff'!$B$3:$B$194,0)),"")</f>
        <v/>
      </c>
      <c r="G207" s="81" t="str">
        <f>IFERROR(INDEX('QS Takeoff'!$J$3:$J$194,MATCH(B207,'QS Takeoff'!$B$3:$B$194,0)),"")</f>
        <v/>
      </c>
      <c r="H207" s="53"/>
      <c r="I207" s="60"/>
      <c r="J207" s="60"/>
      <c r="K207" s="82" t="str">
        <f t="shared" si="18"/>
        <v/>
      </c>
      <c r="L207" s="60"/>
      <c r="M207" s="82" t="str">
        <f t="shared" si="19"/>
        <v/>
      </c>
      <c r="N207" s="53"/>
      <c r="O207" s="53"/>
      <c r="P207" s="53"/>
      <c r="Q207" s="81" t="str">
        <f>IFERROR(INDEX('Resource Rate Library'!$C$5:$C$85,MATCH(P207,'Resource Rate Library'!$A$5:$A$85,0)),"")</f>
        <v/>
      </c>
      <c r="R207" s="53"/>
      <c r="S207" s="53"/>
      <c r="T207" s="81" t="str">
        <f>IFERROR(INDEX('Resource Rate Library'!$E$5:$E$85,MATCH(P207,'Resource Rate Library'!$A$5:$A$85,0)),"")</f>
        <v/>
      </c>
      <c r="U207" s="62"/>
      <c r="V207" s="62"/>
      <c r="W207" s="83">
        <f>IFERROR(INDEX('Resource Rate Library'!$I$5:$I$85,MATCH(P207,'Resource Rate Library'!$A$5:$A$85,0)),0)</f>
        <v>0</v>
      </c>
      <c r="X207" s="52"/>
      <c r="Y207" s="83">
        <f t="shared" si="20"/>
        <v>0</v>
      </c>
      <c r="Z207" s="83" t="str">
        <f t="shared" si="21"/>
        <v/>
      </c>
      <c r="AA207" s="81" t="str">
        <f>IFERROR(INDEX('Resource Rate Library'!$N$5:$N$85,MATCH(P207,'Resource Rate Library'!$A$5:$A$85,0)),"")</f>
        <v/>
      </c>
      <c r="AB207" s="53"/>
      <c r="AC207" s="59"/>
      <c r="AD207" s="81" t="str">
        <f>IFERROR(INDEX('Resource Rate Library'!$G$5:$G$85,MATCH(P207,'Resource Rate Library'!$A$5:$A$85,0)),"")</f>
        <v/>
      </c>
      <c r="AE207" s="81" t="str">
        <f>IFERROR(INDEX('Resource Rate Library'!$H$5:$H$85,MATCH(P207,'Resource Rate Library'!$A$5:$A$85,0)),"")</f>
        <v/>
      </c>
      <c r="AF207" s="53"/>
      <c r="AG207" s="53"/>
      <c r="AH207" s="53"/>
      <c r="AI207" s="81" t="str">
        <f t="shared" si="17"/>
        <v/>
      </c>
      <c r="AJ207" s="54"/>
      <c r="AK207" s="197"/>
      <c r="AL207" s="197"/>
      <c r="AM207" s="197"/>
      <c r="AN207" s="199">
        <f>IF(AND(AK207="Yes",OR(O207="Labour",O207="Plant")),Z207,0)</f>
        <v>0</v>
      </c>
    </row>
    <row r="208" spans="1:40" x14ac:dyDescent="0.2">
      <c r="A208" s="80" t="str">
        <f>IF(B208="","",B208&amp;"-"&amp;TEXT(COUNTIF($B$7:B208,B208),"000"))</f>
        <v/>
      </c>
      <c r="B208" s="53"/>
      <c r="C208" s="81" t="str">
        <f>IFERROR(INDEX('QS Takeoff'!$A$3:$A$194,MATCH(B208,'QS Takeoff'!$B$3:$B$194,0)),"")</f>
        <v/>
      </c>
      <c r="D208" s="81" t="str">
        <f>IFERROR(INDEX('QS Takeoff'!$C$3:$C$194,MATCH(B208,'QS Takeoff'!$B$3:$B$194,0)),"")</f>
        <v/>
      </c>
      <c r="E208" s="81" t="str">
        <f>IFERROR(INDEX('QS Takeoff'!$E$3:$E$194,MATCH(B208,'QS Takeoff'!$B$3:$B$194,0)),"")</f>
        <v/>
      </c>
      <c r="F208" s="81" t="str">
        <f>IFERROR(INDEX('QS Takeoff'!$D$3:$D$194,MATCH(B208,'QS Takeoff'!$B$3:$B$194,0)),"")</f>
        <v/>
      </c>
      <c r="G208" s="81" t="str">
        <f>IFERROR(INDEX('QS Takeoff'!$J$3:$J$194,MATCH(B208,'QS Takeoff'!$B$3:$B$194,0)),"")</f>
        <v/>
      </c>
      <c r="H208" s="53"/>
      <c r="I208" s="60"/>
      <c r="J208" s="60"/>
      <c r="K208" s="82" t="str">
        <f t="shared" si="18"/>
        <v/>
      </c>
      <c r="L208" s="60"/>
      <c r="M208" s="82" t="str">
        <f t="shared" si="19"/>
        <v/>
      </c>
      <c r="N208" s="53"/>
      <c r="O208" s="53"/>
      <c r="P208" s="53"/>
      <c r="Q208" s="81" t="str">
        <f>IFERROR(INDEX('Resource Rate Library'!$C$5:$C$85,MATCH(P208,'Resource Rate Library'!$A$5:$A$85,0)),"")</f>
        <v/>
      </c>
      <c r="R208" s="53"/>
      <c r="S208" s="53"/>
      <c r="T208" s="81" t="str">
        <f>IFERROR(INDEX('Resource Rate Library'!$E$5:$E$85,MATCH(P208,'Resource Rate Library'!$A$5:$A$85,0)),"")</f>
        <v/>
      </c>
      <c r="U208" s="62"/>
      <c r="V208" s="62"/>
      <c r="W208" s="83">
        <f>IFERROR(INDEX('Resource Rate Library'!$I$5:$I$85,MATCH(P208,'Resource Rate Library'!$A$5:$A$85,0)),0)</f>
        <v>0</v>
      </c>
      <c r="X208" s="52"/>
      <c r="Y208" s="83">
        <f t="shared" si="20"/>
        <v>0</v>
      </c>
      <c r="Z208" s="83" t="str">
        <f t="shared" si="21"/>
        <v/>
      </c>
      <c r="AA208" s="81" t="str">
        <f>IFERROR(INDEX('Resource Rate Library'!$N$5:$N$85,MATCH(P208,'Resource Rate Library'!$A$5:$A$85,0)),"")</f>
        <v/>
      </c>
      <c r="AB208" s="53"/>
      <c r="AC208" s="59"/>
      <c r="AD208" s="81" t="str">
        <f>IFERROR(INDEX('Resource Rate Library'!$G$5:$G$85,MATCH(P208,'Resource Rate Library'!$A$5:$A$85,0)),"")</f>
        <v/>
      </c>
      <c r="AE208" s="81" t="str">
        <f>IFERROR(INDEX('Resource Rate Library'!$H$5:$H$85,MATCH(P208,'Resource Rate Library'!$A$5:$A$85,0)),"")</f>
        <v/>
      </c>
      <c r="AF208" s="53"/>
      <c r="AG208" s="53"/>
      <c r="AH208" s="53"/>
      <c r="AI208" s="81" t="str">
        <f t="shared" si="17"/>
        <v/>
      </c>
      <c r="AJ208" s="54"/>
      <c r="AK208" s="197"/>
      <c r="AL208" s="197"/>
      <c r="AM208" s="197"/>
      <c r="AN208" s="199">
        <f>IF(AND(AK208="Yes",OR(O208="Labour",O208="Plant")),Z208,0)</f>
        <v>0</v>
      </c>
    </row>
    <row r="209" spans="1:40" x14ac:dyDescent="0.2">
      <c r="A209" s="80" t="str">
        <f>IF(B209="","",B209&amp;"-"&amp;TEXT(COUNTIF($B$7:B209,B209),"000"))</f>
        <v/>
      </c>
      <c r="B209" s="53"/>
      <c r="C209" s="81" t="str">
        <f>IFERROR(INDEX('QS Takeoff'!$A$3:$A$194,MATCH(B209,'QS Takeoff'!$B$3:$B$194,0)),"")</f>
        <v/>
      </c>
      <c r="D209" s="81" t="str">
        <f>IFERROR(INDEX('QS Takeoff'!$C$3:$C$194,MATCH(B209,'QS Takeoff'!$B$3:$B$194,0)),"")</f>
        <v/>
      </c>
      <c r="E209" s="81" t="str">
        <f>IFERROR(INDEX('QS Takeoff'!$E$3:$E$194,MATCH(B209,'QS Takeoff'!$B$3:$B$194,0)),"")</f>
        <v/>
      </c>
      <c r="F209" s="81" t="str">
        <f>IFERROR(INDEX('QS Takeoff'!$D$3:$D$194,MATCH(B209,'QS Takeoff'!$B$3:$B$194,0)),"")</f>
        <v/>
      </c>
      <c r="G209" s="81" t="str">
        <f>IFERROR(INDEX('QS Takeoff'!$J$3:$J$194,MATCH(B209,'QS Takeoff'!$B$3:$B$194,0)),"")</f>
        <v/>
      </c>
      <c r="H209" s="53"/>
      <c r="I209" s="60"/>
      <c r="J209" s="60"/>
      <c r="K209" s="82" t="str">
        <f t="shared" si="18"/>
        <v/>
      </c>
      <c r="L209" s="60"/>
      <c r="M209" s="82" t="str">
        <f t="shared" si="19"/>
        <v/>
      </c>
      <c r="N209" s="53"/>
      <c r="O209" s="53"/>
      <c r="P209" s="53"/>
      <c r="Q209" s="81" t="str">
        <f>IFERROR(INDEX('Resource Rate Library'!$C$5:$C$85,MATCH(P209,'Resource Rate Library'!$A$5:$A$85,0)),"")</f>
        <v/>
      </c>
      <c r="R209" s="53"/>
      <c r="S209" s="53"/>
      <c r="T209" s="81" t="str">
        <f>IFERROR(INDEX('Resource Rate Library'!$E$5:$E$85,MATCH(P209,'Resource Rate Library'!$A$5:$A$85,0)),"")</f>
        <v/>
      </c>
      <c r="U209" s="62"/>
      <c r="V209" s="62"/>
      <c r="W209" s="83">
        <f>IFERROR(INDEX('Resource Rate Library'!$I$5:$I$85,MATCH(P209,'Resource Rate Library'!$A$5:$A$85,0)),0)</f>
        <v>0</v>
      </c>
      <c r="X209" s="52"/>
      <c r="Y209" s="83">
        <f t="shared" si="20"/>
        <v>0</v>
      </c>
      <c r="Z209" s="83" t="str">
        <f t="shared" si="21"/>
        <v/>
      </c>
      <c r="AA209" s="81" t="str">
        <f>IFERROR(INDEX('Resource Rate Library'!$N$5:$N$85,MATCH(P209,'Resource Rate Library'!$A$5:$A$85,0)),"")</f>
        <v/>
      </c>
      <c r="AB209" s="53"/>
      <c r="AC209" s="59"/>
      <c r="AD209" s="81" t="str">
        <f>IFERROR(INDEX('Resource Rate Library'!$G$5:$G$85,MATCH(P209,'Resource Rate Library'!$A$5:$A$85,0)),"")</f>
        <v/>
      </c>
      <c r="AE209" s="81" t="str">
        <f>IFERROR(INDEX('Resource Rate Library'!$H$5:$H$85,MATCH(P209,'Resource Rate Library'!$A$5:$A$85,0)),"")</f>
        <v/>
      </c>
      <c r="AF209" s="53"/>
      <c r="AG209" s="53"/>
      <c r="AH209" s="53"/>
      <c r="AI209" s="81" t="str">
        <f t="shared" si="17"/>
        <v/>
      </c>
      <c r="AJ209" s="54"/>
      <c r="AK209" s="197"/>
      <c r="AL209" s="197"/>
      <c r="AM209" s="197"/>
      <c r="AN209" s="199">
        <f>IF(AND(AK209="Yes",OR(O209="Labour",O209="Plant")),Z209,0)</f>
        <v>0</v>
      </c>
    </row>
    <row r="210" spans="1:40" x14ac:dyDescent="0.2">
      <c r="A210" s="80" t="str">
        <f>IF(B210="","",B210&amp;"-"&amp;TEXT(COUNTIF($B$7:B210,B210),"000"))</f>
        <v/>
      </c>
      <c r="B210" s="53"/>
      <c r="C210" s="81" t="str">
        <f>IFERROR(INDEX('QS Takeoff'!$A$3:$A$194,MATCH(B210,'QS Takeoff'!$B$3:$B$194,0)),"")</f>
        <v/>
      </c>
      <c r="D210" s="81" t="str">
        <f>IFERROR(INDEX('QS Takeoff'!$C$3:$C$194,MATCH(B210,'QS Takeoff'!$B$3:$B$194,0)),"")</f>
        <v/>
      </c>
      <c r="E210" s="81" t="str">
        <f>IFERROR(INDEX('QS Takeoff'!$E$3:$E$194,MATCH(B210,'QS Takeoff'!$B$3:$B$194,0)),"")</f>
        <v/>
      </c>
      <c r="F210" s="81" t="str">
        <f>IFERROR(INDEX('QS Takeoff'!$D$3:$D$194,MATCH(B210,'QS Takeoff'!$B$3:$B$194,0)),"")</f>
        <v/>
      </c>
      <c r="G210" s="81" t="str">
        <f>IFERROR(INDEX('QS Takeoff'!$J$3:$J$194,MATCH(B210,'QS Takeoff'!$B$3:$B$194,0)),"")</f>
        <v/>
      </c>
      <c r="H210" s="53"/>
      <c r="I210" s="60"/>
      <c r="J210" s="60"/>
      <c r="K210" s="82" t="str">
        <f t="shared" si="18"/>
        <v/>
      </c>
      <c r="L210" s="60"/>
      <c r="M210" s="82" t="str">
        <f t="shared" si="19"/>
        <v/>
      </c>
      <c r="N210" s="53"/>
      <c r="O210" s="53"/>
      <c r="P210" s="53"/>
      <c r="Q210" s="81" t="str">
        <f>IFERROR(INDEX('Resource Rate Library'!$C$5:$C$85,MATCH(P210,'Resource Rate Library'!$A$5:$A$85,0)),"")</f>
        <v/>
      </c>
      <c r="R210" s="53"/>
      <c r="S210" s="53"/>
      <c r="T210" s="81" t="str">
        <f>IFERROR(INDEX('Resource Rate Library'!$E$5:$E$85,MATCH(P210,'Resource Rate Library'!$A$5:$A$85,0)),"")</f>
        <v/>
      </c>
      <c r="U210" s="62"/>
      <c r="V210" s="62"/>
      <c r="W210" s="83">
        <f>IFERROR(INDEX('Resource Rate Library'!$I$5:$I$85,MATCH(P210,'Resource Rate Library'!$A$5:$A$85,0)),0)</f>
        <v>0</v>
      </c>
      <c r="X210" s="52"/>
      <c r="Y210" s="83">
        <f t="shared" si="20"/>
        <v>0</v>
      </c>
      <c r="Z210" s="83" t="str">
        <f t="shared" si="21"/>
        <v/>
      </c>
      <c r="AA210" s="81" t="str">
        <f>IFERROR(INDEX('Resource Rate Library'!$N$5:$N$85,MATCH(P210,'Resource Rate Library'!$A$5:$A$85,0)),"")</f>
        <v/>
      </c>
      <c r="AB210" s="53"/>
      <c r="AC210" s="59"/>
      <c r="AD210" s="81" t="str">
        <f>IFERROR(INDEX('Resource Rate Library'!$G$5:$G$85,MATCH(P210,'Resource Rate Library'!$A$5:$A$85,0)),"")</f>
        <v/>
      </c>
      <c r="AE210" s="81" t="str">
        <f>IFERROR(INDEX('Resource Rate Library'!$H$5:$H$85,MATCH(P210,'Resource Rate Library'!$A$5:$A$85,0)),"")</f>
        <v/>
      </c>
      <c r="AF210" s="53"/>
      <c r="AG210" s="53"/>
      <c r="AH210" s="53"/>
      <c r="AI210" s="81" t="str">
        <f t="shared" si="17"/>
        <v/>
      </c>
      <c r="AJ210" s="54"/>
      <c r="AK210" s="197"/>
      <c r="AL210" s="197"/>
      <c r="AM210" s="197"/>
      <c r="AN210" s="199">
        <f>IF(AND(AK210="Yes",OR(O210="Labour",O210="Plant")),Z210,0)</f>
        <v>0</v>
      </c>
    </row>
    <row r="211" spans="1:40" x14ac:dyDescent="0.2">
      <c r="A211" s="80" t="str">
        <f>IF(B211="","",B211&amp;"-"&amp;TEXT(COUNTIF($B$7:B211,B211),"000"))</f>
        <v/>
      </c>
      <c r="B211" s="53"/>
      <c r="C211" s="81" t="str">
        <f>IFERROR(INDEX('QS Takeoff'!$A$3:$A$194,MATCH(B211,'QS Takeoff'!$B$3:$B$194,0)),"")</f>
        <v/>
      </c>
      <c r="D211" s="81" t="str">
        <f>IFERROR(INDEX('QS Takeoff'!$C$3:$C$194,MATCH(B211,'QS Takeoff'!$B$3:$B$194,0)),"")</f>
        <v/>
      </c>
      <c r="E211" s="81" t="str">
        <f>IFERROR(INDEX('QS Takeoff'!$E$3:$E$194,MATCH(B211,'QS Takeoff'!$B$3:$B$194,0)),"")</f>
        <v/>
      </c>
      <c r="F211" s="81" t="str">
        <f>IFERROR(INDEX('QS Takeoff'!$D$3:$D$194,MATCH(B211,'QS Takeoff'!$B$3:$B$194,0)),"")</f>
        <v/>
      </c>
      <c r="G211" s="81" t="str">
        <f>IFERROR(INDEX('QS Takeoff'!$J$3:$J$194,MATCH(B211,'QS Takeoff'!$B$3:$B$194,0)),"")</f>
        <v/>
      </c>
      <c r="H211" s="53"/>
      <c r="I211" s="60"/>
      <c r="J211" s="60"/>
      <c r="K211" s="82" t="str">
        <f t="shared" si="18"/>
        <v/>
      </c>
      <c r="L211" s="60"/>
      <c r="M211" s="82" t="str">
        <f t="shared" si="19"/>
        <v/>
      </c>
      <c r="N211" s="53"/>
      <c r="O211" s="53"/>
      <c r="P211" s="53"/>
      <c r="Q211" s="81" t="str">
        <f>IFERROR(INDEX('Resource Rate Library'!$C$5:$C$85,MATCH(P211,'Resource Rate Library'!$A$5:$A$85,0)),"")</f>
        <v/>
      </c>
      <c r="R211" s="53"/>
      <c r="S211" s="53"/>
      <c r="T211" s="81" t="str">
        <f>IFERROR(INDEX('Resource Rate Library'!$E$5:$E$85,MATCH(P211,'Resource Rate Library'!$A$5:$A$85,0)),"")</f>
        <v/>
      </c>
      <c r="U211" s="62"/>
      <c r="V211" s="62"/>
      <c r="W211" s="83">
        <f>IFERROR(INDEX('Resource Rate Library'!$I$5:$I$85,MATCH(P211,'Resource Rate Library'!$A$5:$A$85,0)),0)</f>
        <v>0</v>
      </c>
      <c r="X211" s="52"/>
      <c r="Y211" s="83">
        <f t="shared" si="20"/>
        <v>0</v>
      </c>
      <c r="Z211" s="83" t="str">
        <f t="shared" si="21"/>
        <v/>
      </c>
      <c r="AA211" s="81" t="str">
        <f>IFERROR(INDEX('Resource Rate Library'!$N$5:$N$85,MATCH(P211,'Resource Rate Library'!$A$5:$A$85,0)),"")</f>
        <v/>
      </c>
      <c r="AB211" s="53"/>
      <c r="AC211" s="59"/>
      <c r="AD211" s="81" t="str">
        <f>IFERROR(INDEX('Resource Rate Library'!$G$5:$G$85,MATCH(P211,'Resource Rate Library'!$A$5:$A$85,0)),"")</f>
        <v/>
      </c>
      <c r="AE211" s="81" t="str">
        <f>IFERROR(INDEX('Resource Rate Library'!$H$5:$H$85,MATCH(P211,'Resource Rate Library'!$A$5:$A$85,0)),"")</f>
        <v/>
      </c>
      <c r="AF211" s="53"/>
      <c r="AG211" s="53"/>
      <c r="AH211" s="53"/>
      <c r="AI211" s="81" t="str">
        <f t="shared" si="17"/>
        <v/>
      </c>
      <c r="AJ211" s="54"/>
      <c r="AK211" s="197"/>
      <c r="AL211" s="197"/>
      <c r="AM211" s="197"/>
      <c r="AN211" s="199">
        <f>IF(AND(AK211="Yes",OR(O211="Labour",O211="Plant")),Z211,0)</f>
        <v>0</v>
      </c>
    </row>
    <row r="212" spans="1:40" x14ac:dyDescent="0.2">
      <c r="A212" s="80" t="str">
        <f>IF(B212="","",B212&amp;"-"&amp;TEXT(COUNTIF($B$7:B212,B212),"000"))</f>
        <v/>
      </c>
      <c r="B212" s="53"/>
      <c r="C212" s="81" t="str">
        <f>IFERROR(INDEX('QS Takeoff'!$A$3:$A$194,MATCH(B212,'QS Takeoff'!$B$3:$B$194,0)),"")</f>
        <v/>
      </c>
      <c r="D212" s="81" t="str">
        <f>IFERROR(INDEX('QS Takeoff'!$C$3:$C$194,MATCH(B212,'QS Takeoff'!$B$3:$B$194,0)),"")</f>
        <v/>
      </c>
      <c r="E212" s="81" t="str">
        <f>IFERROR(INDEX('QS Takeoff'!$E$3:$E$194,MATCH(B212,'QS Takeoff'!$B$3:$B$194,0)),"")</f>
        <v/>
      </c>
      <c r="F212" s="81" t="str">
        <f>IFERROR(INDEX('QS Takeoff'!$D$3:$D$194,MATCH(B212,'QS Takeoff'!$B$3:$B$194,0)),"")</f>
        <v/>
      </c>
      <c r="G212" s="81" t="str">
        <f>IFERROR(INDEX('QS Takeoff'!$J$3:$J$194,MATCH(B212,'QS Takeoff'!$B$3:$B$194,0)),"")</f>
        <v/>
      </c>
      <c r="H212" s="53"/>
      <c r="I212" s="60"/>
      <c r="J212" s="60"/>
      <c r="K212" s="82" t="str">
        <f t="shared" si="18"/>
        <v/>
      </c>
      <c r="L212" s="60"/>
      <c r="M212" s="82" t="str">
        <f t="shared" si="19"/>
        <v/>
      </c>
      <c r="N212" s="53"/>
      <c r="O212" s="53"/>
      <c r="P212" s="53"/>
      <c r="Q212" s="81" t="str">
        <f>IFERROR(INDEX('Resource Rate Library'!$C$5:$C$85,MATCH(P212,'Resource Rate Library'!$A$5:$A$85,0)),"")</f>
        <v/>
      </c>
      <c r="R212" s="53"/>
      <c r="S212" s="53"/>
      <c r="T212" s="81" t="str">
        <f>IFERROR(INDEX('Resource Rate Library'!$E$5:$E$85,MATCH(P212,'Resource Rate Library'!$A$5:$A$85,0)),"")</f>
        <v/>
      </c>
      <c r="U212" s="62"/>
      <c r="V212" s="62"/>
      <c r="W212" s="83">
        <f>IFERROR(INDEX('Resource Rate Library'!$I$5:$I$85,MATCH(P212,'Resource Rate Library'!$A$5:$A$85,0)),0)</f>
        <v>0</v>
      </c>
      <c r="X212" s="52"/>
      <c r="Y212" s="83">
        <f t="shared" si="20"/>
        <v>0</v>
      </c>
      <c r="Z212" s="83" t="str">
        <f t="shared" si="21"/>
        <v/>
      </c>
      <c r="AA212" s="81" t="str">
        <f>IFERROR(INDEX('Resource Rate Library'!$N$5:$N$85,MATCH(P212,'Resource Rate Library'!$A$5:$A$85,0)),"")</f>
        <v/>
      </c>
      <c r="AB212" s="53"/>
      <c r="AC212" s="59"/>
      <c r="AD212" s="81" t="str">
        <f>IFERROR(INDEX('Resource Rate Library'!$G$5:$G$85,MATCH(P212,'Resource Rate Library'!$A$5:$A$85,0)),"")</f>
        <v/>
      </c>
      <c r="AE212" s="81" t="str">
        <f>IFERROR(INDEX('Resource Rate Library'!$H$5:$H$85,MATCH(P212,'Resource Rate Library'!$A$5:$A$85,0)),"")</f>
        <v/>
      </c>
      <c r="AF212" s="53"/>
      <c r="AG212" s="53"/>
      <c r="AH212" s="53"/>
      <c r="AI212" s="81" t="str">
        <f t="shared" si="17"/>
        <v/>
      </c>
      <c r="AJ212" s="54"/>
      <c r="AK212" s="197"/>
      <c r="AL212" s="197"/>
      <c r="AM212" s="197"/>
      <c r="AN212" s="199">
        <f>IF(AND(AK212="Yes",OR(O212="Labour",O212="Plant")),Z212,0)</f>
        <v>0</v>
      </c>
    </row>
    <row r="213" spans="1:40" x14ac:dyDescent="0.2">
      <c r="A213" s="80" t="str">
        <f>IF(B213="","",B213&amp;"-"&amp;TEXT(COUNTIF($B$7:B213,B213),"000"))</f>
        <v/>
      </c>
      <c r="B213" s="53"/>
      <c r="C213" s="81" t="str">
        <f>IFERROR(INDEX('QS Takeoff'!$A$3:$A$194,MATCH(B213,'QS Takeoff'!$B$3:$B$194,0)),"")</f>
        <v/>
      </c>
      <c r="D213" s="81" t="str">
        <f>IFERROR(INDEX('QS Takeoff'!$C$3:$C$194,MATCH(B213,'QS Takeoff'!$B$3:$B$194,0)),"")</f>
        <v/>
      </c>
      <c r="E213" s="81" t="str">
        <f>IFERROR(INDEX('QS Takeoff'!$E$3:$E$194,MATCH(B213,'QS Takeoff'!$B$3:$B$194,0)),"")</f>
        <v/>
      </c>
      <c r="F213" s="81" t="str">
        <f>IFERROR(INDEX('QS Takeoff'!$D$3:$D$194,MATCH(B213,'QS Takeoff'!$B$3:$B$194,0)),"")</f>
        <v/>
      </c>
      <c r="G213" s="81" t="str">
        <f>IFERROR(INDEX('QS Takeoff'!$J$3:$J$194,MATCH(B213,'QS Takeoff'!$B$3:$B$194,0)),"")</f>
        <v/>
      </c>
      <c r="H213" s="53"/>
      <c r="I213" s="60"/>
      <c r="J213" s="60"/>
      <c r="K213" s="82" t="str">
        <f t="shared" si="18"/>
        <v/>
      </c>
      <c r="L213" s="60"/>
      <c r="M213" s="82" t="str">
        <f t="shared" si="19"/>
        <v/>
      </c>
      <c r="N213" s="53"/>
      <c r="O213" s="53"/>
      <c r="P213" s="53"/>
      <c r="Q213" s="81" t="str">
        <f>IFERROR(INDEX('Resource Rate Library'!$C$5:$C$85,MATCH(P213,'Resource Rate Library'!$A$5:$A$85,0)),"")</f>
        <v/>
      </c>
      <c r="R213" s="53"/>
      <c r="S213" s="53"/>
      <c r="T213" s="81" t="str">
        <f>IFERROR(INDEX('Resource Rate Library'!$E$5:$E$85,MATCH(P213,'Resource Rate Library'!$A$5:$A$85,0)),"")</f>
        <v/>
      </c>
      <c r="U213" s="62"/>
      <c r="V213" s="62"/>
      <c r="W213" s="83">
        <f>IFERROR(INDEX('Resource Rate Library'!$I$5:$I$85,MATCH(P213,'Resource Rate Library'!$A$5:$A$85,0)),0)</f>
        <v>0</v>
      </c>
      <c r="X213" s="52"/>
      <c r="Y213" s="83">
        <f t="shared" si="20"/>
        <v>0</v>
      </c>
      <c r="Z213" s="83" t="str">
        <f t="shared" si="21"/>
        <v/>
      </c>
      <c r="AA213" s="81" t="str">
        <f>IFERROR(INDEX('Resource Rate Library'!$N$5:$N$85,MATCH(P213,'Resource Rate Library'!$A$5:$A$85,0)),"")</f>
        <v/>
      </c>
      <c r="AB213" s="53"/>
      <c r="AC213" s="59"/>
      <c r="AD213" s="81" t="str">
        <f>IFERROR(INDEX('Resource Rate Library'!$G$5:$G$85,MATCH(P213,'Resource Rate Library'!$A$5:$A$85,0)),"")</f>
        <v/>
      </c>
      <c r="AE213" s="81" t="str">
        <f>IFERROR(INDEX('Resource Rate Library'!$H$5:$H$85,MATCH(P213,'Resource Rate Library'!$A$5:$A$85,0)),"")</f>
        <v/>
      </c>
      <c r="AF213" s="53"/>
      <c r="AG213" s="53"/>
      <c r="AH213" s="53"/>
      <c r="AI213" s="81" t="str">
        <f t="shared" si="17"/>
        <v/>
      </c>
      <c r="AJ213" s="54"/>
      <c r="AK213" s="197"/>
      <c r="AL213" s="197"/>
      <c r="AM213" s="197"/>
      <c r="AN213" s="199">
        <f>IF(AND(AK213="Yes",OR(O213="Labour",O213="Plant")),Z213,0)</f>
        <v>0</v>
      </c>
    </row>
    <row r="214" spans="1:40" x14ac:dyDescent="0.2">
      <c r="A214" s="80" t="str">
        <f>IF(B214="","",B214&amp;"-"&amp;TEXT(COUNTIF($B$7:B214,B214),"000"))</f>
        <v/>
      </c>
      <c r="B214" s="53"/>
      <c r="C214" s="81" t="str">
        <f>IFERROR(INDEX('QS Takeoff'!$A$3:$A$194,MATCH(B214,'QS Takeoff'!$B$3:$B$194,0)),"")</f>
        <v/>
      </c>
      <c r="D214" s="81" t="str">
        <f>IFERROR(INDEX('QS Takeoff'!$C$3:$C$194,MATCH(B214,'QS Takeoff'!$B$3:$B$194,0)),"")</f>
        <v/>
      </c>
      <c r="E214" s="81" t="str">
        <f>IFERROR(INDEX('QS Takeoff'!$E$3:$E$194,MATCH(B214,'QS Takeoff'!$B$3:$B$194,0)),"")</f>
        <v/>
      </c>
      <c r="F214" s="81" t="str">
        <f>IFERROR(INDEX('QS Takeoff'!$D$3:$D$194,MATCH(B214,'QS Takeoff'!$B$3:$B$194,0)),"")</f>
        <v/>
      </c>
      <c r="G214" s="81" t="str">
        <f>IFERROR(INDEX('QS Takeoff'!$J$3:$J$194,MATCH(B214,'QS Takeoff'!$B$3:$B$194,0)),"")</f>
        <v/>
      </c>
      <c r="H214" s="53"/>
      <c r="I214" s="60"/>
      <c r="J214" s="60"/>
      <c r="K214" s="82" t="str">
        <f t="shared" si="18"/>
        <v/>
      </c>
      <c r="L214" s="60"/>
      <c r="M214" s="82" t="str">
        <f t="shared" si="19"/>
        <v/>
      </c>
      <c r="N214" s="53"/>
      <c r="O214" s="53"/>
      <c r="P214" s="53"/>
      <c r="Q214" s="81" t="str">
        <f>IFERROR(INDEX('Resource Rate Library'!$C$5:$C$85,MATCH(P214,'Resource Rate Library'!$A$5:$A$85,0)),"")</f>
        <v/>
      </c>
      <c r="R214" s="53"/>
      <c r="S214" s="53"/>
      <c r="T214" s="81" t="str">
        <f>IFERROR(INDEX('Resource Rate Library'!$E$5:$E$85,MATCH(P214,'Resource Rate Library'!$A$5:$A$85,0)),"")</f>
        <v/>
      </c>
      <c r="U214" s="62"/>
      <c r="V214" s="62"/>
      <c r="W214" s="83">
        <f>IFERROR(INDEX('Resource Rate Library'!$I$5:$I$85,MATCH(P214,'Resource Rate Library'!$A$5:$A$85,0)),0)</f>
        <v>0</v>
      </c>
      <c r="X214" s="52"/>
      <c r="Y214" s="83">
        <f t="shared" si="20"/>
        <v>0</v>
      </c>
      <c r="Z214" s="83" t="str">
        <f t="shared" si="21"/>
        <v/>
      </c>
      <c r="AA214" s="81" t="str">
        <f>IFERROR(INDEX('Resource Rate Library'!$N$5:$N$85,MATCH(P214,'Resource Rate Library'!$A$5:$A$85,0)),"")</f>
        <v/>
      </c>
      <c r="AB214" s="53"/>
      <c r="AC214" s="59"/>
      <c r="AD214" s="81" t="str">
        <f>IFERROR(INDEX('Resource Rate Library'!$G$5:$G$85,MATCH(P214,'Resource Rate Library'!$A$5:$A$85,0)),"")</f>
        <v/>
      </c>
      <c r="AE214" s="81" t="str">
        <f>IFERROR(INDEX('Resource Rate Library'!$H$5:$H$85,MATCH(P214,'Resource Rate Library'!$A$5:$A$85,0)),"")</f>
        <v/>
      </c>
      <c r="AF214" s="53"/>
      <c r="AG214" s="53"/>
      <c r="AH214" s="53"/>
      <c r="AI214" s="81" t="str">
        <f t="shared" si="17"/>
        <v/>
      </c>
      <c r="AJ214" s="54"/>
      <c r="AK214" s="197"/>
      <c r="AL214" s="197"/>
      <c r="AM214" s="197"/>
      <c r="AN214" s="199">
        <f>IF(AND(AK214="Yes",OR(O214="Labour",O214="Plant")),Z214,0)</f>
        <v>0</v>
      </c>
    </row>
    <row r="215" spans="1:40" x14ac:dyDescent="0.2">
      <c r="A215" s="80" t="str">
        <f>IF(B215="","",B215&amp;"-"&amp;TEXT(COUNTIF($B$7:B215,B215),"000"))</f>
        <v/>
      </c>
      <c r="B215" s="53"/>
      <c r="C215" s="81" t="str">
        <f>IFERROR(INDEX('QS Takeoff'!$A$3:$A$194,MATCH(B215,'QS Takeoff'!$B$3:$B$194,0)),"")</f>
        <v/>
      </c>
      <c r="D215" s="81" t="str">
        <f>IFERROR(INDEX('QS Takeoff'!$C$3:$C$194,MATCH(B215,'QS Takeoff'!$B$3:$B$194,0)),"")</f>
        <v/>
      </c>
      <c r="E215" s="81" t="str">
        <f>IFERROR(INDEX('QS Takeoff'!$E$3:$E$194,MATCH(B215,'QS Takeoff'!$B$3:$B$194,0)),"")</f>
        <v/>
      </c>
      <c r="F215" s="81" t="str">
        <f>IFERROR(INDEX('QS Takeoff'!$D$3:$D$194,MATCH(B215,'QS Takeoff'!$B$3:$B$194,0)),"")</f>
        <v/>
      </c>
      <c r="G215" s="81" t="str">
        <f>IFERROR(INDEX('QS Takeoff'!$J$3:$J$194,MATCH(B215,'QS Takeoff'!$B$3:$B$194,0)),"")</f>
        <v/>
      </c>
      <c r="H215" s="53"/>
      <c r="I215" s="60"/>
      <c r="J215" s="60"/>
      <c r="K215" s="82" t="str">
        <f t="shared" si="18"/>
        <v/>
      </c>
      <c r="L215" s="60"/>
      <c r="M215" s="82" t="str">
        <f t="shared" si="19"/>
        <v/>
      </c>
      <c r="N215" s="53"/>
      <c r="O215" s="53"/>
      <c r="P215" s="53"/>
      <c r="Q215" s="81" t="str">
        <f>IFERROR(INDEX('Resource Rate Library'!$C$5:$C$85,MATCH(P215,'Resource Rate Library'!$A$5:$A$85,0)),"")</f>
        <v/>
      </c>
      <c r="R215" s="53"/>
      <c r="S215" s="53"/>
      <c r="T215" s="81" t="str">
        <f>IFERROR(INDEX('Resource Rate Library'!$E$5:$E$85,MATCH(P215,'Resource Rate Library'!$A$5:$A$85,0)),"")</f>
        <v/>
      </c>
      <c r="U215" s="62"/>
      <c r="V215" s="62"/>
      <c r="W215" s="83">
        <f>IFERROR(INDEX('Resource Rate Library'!$I$5:$I$85,MATCH(P215,'Resource Rate Library'!$A$5:$A$85,0)),0)</f>
        <v>0</v>
      </c>
      <c r="X215" s="52"/>
      <c r="Y215" s="83">
        <f t="shared" si="20"/>
        <v>0</v>
      </c>
      <c r="Z215" s="83" t="str">
        <f t="shared" si="21"/>
        <v/>
      </c>
      <c r="AA215" s="81" t="str">
        <f>IFERROR(INDEX('Resource Rate Library'!$N$5:$N$85,MATCH(P215,'Resource Rate Library'!$A$5:$A$85,0)),"")</f>
        <v/>
      </c>
      <c r="AB215" s="53"/>
      <c r="AC215" s="59"/>
      <c r="AD215" s="81" t="str">
        <f>IFERROR(INDEX('Resource Rate Library'!$G$5:$G$85,MATCH(P215,'Resource Rate Library'!$A$5:$A$85,0)),"")</f>
        <v/>
      </c>
      <c r="AE215" s="81" t="str">
        <f>IFERROR(INDEX('Resource Rate Library'!$H$5:$H$85,MATCH(P215,'Resource Rate Library'!$A$5:$A$85,0)),"")</f>
        <v/>
      </c>
      <c r="AF215" s="53"/>
      <c r="AG215" s="53"/>
      <c r="AH215" s="53"/>
      <c r="AI215" s="81" t="str">
        <f t="shared" si="17"/>
        <v/>
      </c>
      <c r="AJ215" s="54"/>
      <c r="AK215" s="197"/>
      <c r="AL215" s="197"/>
      <c r="AM215" s="197"/>
      <c r="AN215" s="199">
        <f>IF(AND(AK215="Yes",OR(O215="Labour",O215="Plant")),Z215,0)</f>
        <v>0</v>
      </c>
    </row>
    <row r="216" spans="1:40" x14ac:dyDescent="0.2">
      <c r="A216" s="80" t="str">
        <f>IF(B216="","",B216&amp;"-"&amp;TEXT(COUNTIF($B$7:B216,B216),"000"))</f>
        <v/>
      </c>
      <c r="B216" s="53"/>
      <c r="C216" s="81" t="str">
        <f>IFERROR(INDEX('QS Takeoff'!$A$3:$A$194,MATCH(B216,'QS Takeoff'!$B$3:$B$194,0)),"")</f>
        <v/>
      </c>
      <c r="D216" s="81" t="str">
        <f>IFERROR(INDEX('QS Takeoff'!$C$3:$C$194,MATCH(B216,'QS Takeoff'!$B$3:$B$194,0)),"")</f>
        <v/>
      </c>
      <c r="E216" s="81" t="str">
        <f>IFERROR(INDEX('QS Takeoff'!$E$3:$E$194,MATCH(B216,'QS Takeoff'!$B$3:$B$194,0)),"")</f>
        <v/>
      </c>
      <c r="F216" s="81" t="str">
        <f>IFERROR(INDEX('QS Takeoff'!$D$3:$D$194,MATCH(B216,'QS Takeoff'!$B$3:$B$194,0)),"")</f>
        <v/>
      </c>
      <c r="G216" s="81" t="str">
        <f>IFERROR(INDEX('QS Takeoff'!$J$3:$J$194,MATCH(B216,'QS Takeoff'!$B$3:$B$194,0)),"")</f>
        <v/>
      </c>
      <c r="H216" s="53"/>
      <c r="I216" s="60"/>
      <c r="J216" s="60"/>
      <c r="K216" s="82" t="str">
        <f t="shared" si="18"/>
        <v/>
      </c>
      <c r="L216" s="60"/>
      <c r="M216" s="82" t="str">
        <f t="shared" si="19"/>
        <v/>
      </c>
      <c r="N216" s="53"/>
      <c r="O216" s="53"/>
      <c r="P216" s="53"/>
      <c r="Q216" s="81" t="str">
        <f>IFERROR(INDEX('Resource Rate Library'!$C$5:$C$85,MATCH(P216,'Resource Rate Library'!$A$5:$A$85,0)),"")</f>
        <v/>
      </c>
      <c r="R216" s="53"/>
      <c r="S216" s="53"/>
      <c r="T216" s="81" t="str">
        <f>IFERROR(INDEX('Resource Rate Library'!$E$5:$E$85,MATCH(P216,'Resource Rate Library'!$A$5:$A$85,0)),"")</f>
        <v/>
      </c>
      <c r="U216" s="62"/>
      <c r="V216" s="62"/>
      <c r="W216" s="83">
        <f>IFERROR(INDEX('Resource Rate Library'!$I$5:$I$85,MATCH(P216,'Resource Rate Library'!$A$5:$A$85,0)),0)</f>
        <v>0</v>
      </c>
      <c r="X216" s="52"/>
      <c r="Y216" s="83">
        <f t="shared" si="20"/>
        <v>0</v>
      </c>
      <c r="Z216" s="83" t="str">
        <f t="shared" si="21"/>
        <v/>
      </c>
      <c r="AA216" s="81" t="str">
        <f>IFERROR(INDEX('Resource Rate Library'!$N$5:$N$85,MATCH(P216,'Resource Rate Library'!$A$5:$A$85,0)),"")</f>
        <v/>
      </c>
      <c r="AB216" s="53"/>
      <c r="AC216" s="59"/>
      <c r="AD216" s="81" t="str">
        <f>IFERROR(INDEX('Resource Rate Library'!$G$5:$G$85,MATCH(P216,'Resource Rate Library'!$A$5:$A$85,0)),"")</f>
        <v/>
      </c>
      <c r="AE216" s="81" t="str">
        <f>IFERROR(INDEX('Resource Rate Library'!$H$5:$H$85,MATCH(P216,'Resource Rate Library'!$A$5:$A$85,0)),"")</f>
        <v/>
      </c>
      <c r="AF216" s="53"/>
      <c r="AG216" s="53"/>
      <c r="AH216" s="53"/>
      <c r="AI216" s="81" t="str">
        <f t="shared" si="17"/>
        <v/>
      </c>
      <c r="AJ216" s="54"/>
      <c r="AK216" s="197"/>
      <c r="AL216" s="197"/>
      <c r="AM216" s="197"/>
      <c r="AN216" s="199">
        <f>IF(AND(AK216="Yes",OR(O216="Labour",O216="Plant")),Z216,0)</f>
        <v>0</v>
      </c>
    </row>
    <row r="217" spans="1:40" x14ac:dyDescent="0.2">
      <c r="A217" s="80" t="str">
        <f>IF(B217="","",B217&amp;"-"&amp;TEXT(COUNTIF($B$7:B217,B217),"000"))</f>
        <v/>
      </c>
      <c r="B217" s="53"/>
      <c r="C217" s="81" t="str">
        <f>IFERROR(INDEX('QS Takeoff'!$A$3:$A$194,MATCH(B217,'QS Takeoff'!$B$3:$B$194,0)),"")</f>
        <v/>
      </c>
      <c r="D217" s="81" t="str">
        <f>IFERROR(INDEX('QS Takeoff'!$C$3:$C$194,MATCH(B217,'QS Takeoff'!$B$3:$B$194,0)),"")</f>
        <v/>
      </c>
      <c r="E217" s="81" t="str">
        <f>IFERROR(INDEX('QS Takeoff'!$E$3:$E$194,MATCH(B217,'QS Takeoff'!$B$3:$B$194,0)),"")</f>
        <v/>
      </c>
      <c r="F217" s="81" t="str">
        <f>IFERROR(INDEX('QS Takeoff'!$D$3:$D$194,MATCH(B217,'QS Takeoff'!$B$3:$B$194,0)),"")</f>
        <v/>
      </c>
      <c r="G217" s="81" t="str">
        <f>IFERROR(INDEX('QS Takeoff'!$J$3:$J$194,MATCH(B217,'QS Takeoff'!$B$3:$B$194,0)),"")</f>
        <v/>
      </c>
      <c r="H217" s="53"/>
      <c r="I217" s="60"/>
      <c r="J217" s="60"/>
      <c r="K217" s="82" t="str">
        <f t="shared" si="18"/>
        <v/>
      </c>
      <c r="L217" s="60"/>
      <c r="M217" s="82" t="str">
        <f t="shared" si="19"/>
        <v/>
      </c>
      <c r="N217" s="53"/>
      <c r="O217" s="53"/>
      <c r="P217" s="53"/>
      <c r="Q217" s="81" t="str">
        <f>IFERROR(INDEX('Resource Rate Library'!$C$5:$C$85,MATCH(P217,'Resource Rate Library'!$A$5:$A$85,0)),"")</f>
        <v/>
      </c>
      <c r="R217" s="53"/>
      <c r="S217" s="53"/>
      <c r="T217" s="81" t="str">
        <f>IFERROR(INDEX('Resource Rate Library'!$E$5:$E$85,MATCH(P217,'Resource Rate Library'!$A$5:$A$85,0)),"")</f>
        <v/>
      </c>
      <c r="U217" s="62"/>
      <c r="V217" s="62"/>
      <c r="W217" s="83">
        <f>IFERROR(INDEX('Resource Rate Library'!$I$5:$I$85,MATCH(P217,'Resource Rate Library'!$A$5:$A$85,0)),0)</f>
        <v>0</v>
      </c>
      <c r="X217" s="52"/>
      <c r="Y217" s="83">
        <f t="shared" si="20"/>
        <v>0</v>
      </c>
      <c r="Z217" s="83" t="str">
        <f t="shared" si="21"/>
        <v/>
      </c>
      <c r="AA217" s="81" t="str">
        <f>IFERROR(INDEX('Resource Rate Library'!$N$5:$N$85,MATCH(P217,'Resource Rate Library'!$A$5:$A$85,0)),"")</f>
        <v/>
      </c>
      <c r="AB217" s="53"/>
      <c r="AC217" s="59"/>
      <c r="AD217" s="81" t="str">
        <f>IFERROR(INDEX('Resource Rate Library'!$G$5:$G$85,MATCH(P217,'Resource Rate Library'!$A$5:$A$85,0)),"")</f>
        <v/>
      </c>
      <c r="AE217" s="81" t="str">
        <f>IFERROR(INDEX('Resource Rate Library'!$H$5:$H$85,MATCH(P217,'Resource Rate Library'!$A$5:$A$85,0)),"")</f>
        <v/>
      </c>
      <c r="AF217" s="53"/>
      <c r="AG217" s="53"/>
      <c r="AH217" s="53"/>
      <c r="AI217" s="81" t="str">
        <f t="shared" ref="AI217:AI248" si="22">IF(B217="","",IF(AND(P217="",N217&lt;&gt;"Lump Sum / Quote"),"RESOURCE CODE",IF(Y217=0,"RATE MISSING",IF(AND(O217="Plant",AD217="Yes",COUNTIFS($B$7:$B$306,B217,$O$7:$O$306,"Labour",$Q$7:$Q$306,"*Operator*")&gt;0),"OPERATOR DOUBLE-COUNT",IF(AND(O217="Plant",AE217="Yes",COUNTIFS($B$7:$B$306,B217,$Q$7:$Q$306,"*Fuel*")&gt;0),"FUEL DOUBLE-COUNT",IF(AH217&lt;&gt;"Yes","VERIFY","OK"))))))</f>
        <v/>
      </c>
      <c r="AJ217" s="54"/>
      <c r="AK217" s="197"/>
      <c r="AL217" s="197"/>
      <c r="AM217" s="197"/>
      <c r="AN217" s="199">
        <f>IF(AND(AK217="Yes",OR(O217="Labour",O217="Plant")),Z217,0)</f>
        <v>0</v>
      </c>
    </row>
    <row r="218" spans="1:40" x14ac:dyDescent="0.2">
      <c r="A218" s="80" t="str">
        <f>IF(B218="","",B218&amp;"-"&amp;TEXT(COUNTIF($B$7:B218,B218),"000"))</f>
        <v/>
      </c>
      <c r="B218" s="53"/>
      <c r="C218" s="81" t="str">
        <f>IFERROR(INDEX('QS Takeoff'!$A$3:$A$194,MATCH(B218,'QS Takeoff'!$B$3:$B$194,0)),"")</f>
        <v/>
      </c>
      <c r="D218" s="81" t="str">
        <f>IFERROR(INDEX('QS Takeoff'!$C$3:$C$194,MATCH(B218,'QS Takeoff'!$B$3:$B$194,0)),"")</f>
        <v/>
      </c>
      <c r="E218" s="81" t="str">
        <f>IFERROR(INDEX('QS Takeoff'!$E$3:$E$194,MATCH(B218,'QS Takeoff'!$B$3:$B$194,0)),"")</f>
        <v/>
      </c>
      <c r="F218" s="81" t="str">
        <f>IFERROR(INDEX('QS Takeoff'!$D$3:$D$194,MATCH(B218,'QS Takeoff'!$B$3:$B$194,0)),"")</f>
        <v/>
      </c>
      <c r="G218" s="81" t="str">
        <f>IFERROR(INDEX('QS Takeoff'!$J$3:$J$194,MATCH(B218,'QS Takeoff'!$B$3:$B$194,0)),"")</f>
        <v/>
      </c>
      <c r="H218" s="53"/>
      <c r="I218" s="60"/>
      <c r="J218" s="60"/>
      <c r="K218" s="82" t="str">
        <f t="shared" si="18"/>
        <v/>
      </c>
      <c r="L218" s="60"/>
      <c r="M218" s="82" t="str">
        <f t="shared" si="19"/>
        <v/>
      </c>
      <c r="N218" s="53"/>
      <c r="O218" s="53"/>
      <c r="P218" s="53"/>
      <c r="Q218" s="81" t="str">
        <f>IFERROR(INDEX('Resource Rate Library'!$C$5:$C$85,MATCH(P218,'Resource Rate Library'!$A$5:$A$85,0)),"")</f>
        <v/>
      </c>
      <c r="R218" s="53"/>
      <c r="S218" s="53"/>
      <c r="T218" s="81" t="str">
        <f>IFERROR(INDEX('Resource Rate Library'!$E$5:$E$85,MATCH(P218,'Resource Rate Library'!$A$5:$A$85,0)),"")</f>
        <v/>
      </c>
      <c r="U218" s="62"/>
      <c r="V218" s="62"/>
      <c r="W218" s="83">
        <f>IFERROR(INDEX('Resource Rate Library'!$I$5:$I$85,MATCH(P218,'Resource Rate Library'!$A$5:$A$85,0)),0)</f>
        <v>0</v>
      </c>
      <c r="X218" s="52"/>
      <c r="Y218" s="83">
        <f t="shared" si="20"/>
        <v>0</v>
      </c>
      <c r="Z218" s="83" t="str">
        <f t="shared" si="21"/>
        <v/>
      </c>
      <c r="AA218" s="81" t="str">
        <f>IFERROR(INDEX('Resource Rate Library'!$N$5:$N$85,MATCH(P218,'Resource Rate Library'!$A$5:$A$85,0)),"")</f>
        <v/>
      </c>
      <c r="AB218" s="53"/>
      <c r="AC218" s="59"/>
      <c r="AD218" s="81" t="str">
        <f>IFERROR(INDEX('Resource Rate Library'!$G$5:$G$85,MATCH(P218,'Resource Rate Library'!$A$5:$A$85,0)),"")</f>
        <v/>
      </c>
      <c r="AE218" s="81" t="str">
        <f>IFERROR(INDEX('Resource Rate Library'!$H$5:$H$85,MATCH(P218,'Resource Rate Library'!$A$5:$A$85,0)),"")</f>
        <v/>
      </c>
      <c r="AF218" s="53"/>
      <c r="AG218" s="53"/>
      <c r="AH218" s="53"/>
      <c r="AI218" s="81" t="str">
        <f t="shared" si="22"/>
        <v/>
      </c>
      <c r="AJ218" s="54"/>
      <c r="AK218" s="197"/>
      <c r="AL218" s="197"/>
      <c r="AM218" s="197"/>
      <c r="AN218" s="199">
        <f>IF(AND(AK218="Yes",OR(O218="Labour",O218="Plant")),Z218,0)</f>
        <v>0</v>
      </c>
    </row>
    <row r="219" spans="1:40" x14ac:dyDescent="0.2">
      <c r="A219" s="80" t="str">
        <f>IF(B219="","",B219&amp;"-"&amp;TEXT(COUNTIF($B$7:B219,B219),"000"))</f>
        <v/>
      </c>
      <c r="B219" s="53"/>
      <c r="C219" s="81" t="str">
        <f>IFERROR(INDEX('QS Takeoff'!$A$3:$A$194,MATCH(B219,'QS Takeoff'!$B$3:$B$194,0)),"")</f>
        <v/>
      </c>
      <c r="D219" s="81" t="str">
        <f>IFERROR(INDEX('QS Takeoff'!$C$3:$C$194,MATCH(B219,'QS Takeoff'!$B$3:$B$194,0)),"")</f>
        <v/>
      </c>
      <c r="E219" s="81" t="str">
        <f>IFERROR(INDEX('QS Takeoff'!$E$3:$E$194,MATCH(B219,'QS Takeoff'!$B$3:$B$194,0)),"")</f>
        <v/>
      </c>
      <c r="F219" s="81" t="str">
        <f>IFERROR(INDEX('QS Takeoff'!$D$3:$D$194,MATCH(B219,'QS Takeoff'!$B$3:$B$194,0)),"")</f>
        <v/>
      </c>
      <c r="G219" s="81" t="str">
        <f>IFERROR(INDEX('QS Takeoff'!$J$3:$J$194,MATCH(B219,'QS Takeoff'!$B$3:$B$194,0)),"")</f>
        <v/>
      </c>
      <c r="H219" s="53"/>
      <c r="I219" s="60"/>
      <c r="J219" s="60"/>
      <c r="K219" s="82" t="str">
        <f t="shared" si="18"/>
        <v/>
      </c>
      <c r="L219" s="60"/>
      <c r="M219" s="82" t="str">
        <f t="shared" si="19"/>
        <v/>
      </c>
      <c r="N219" s="53"/>
      <c r="O219" s="53"/>
      <c r="P219" s="53"/>
      <c r="Q219" s="81" t="str">
        <f>IFERROR(INDEX('Resource Rate Library'!$C$5:$C$85,MATCH(P219,'Resource Rate Library'!$A$5:$A$85,0)),"")</f>
        <v/>
      </c>
      <c r="R219" s="53"/>
      <c r="S219" s="53"/>
      <c r="T219" s="81" t="str">
        <f>IFERROR(INDEX('Resource Rate Library'!$E$5:$E$85,MATCH(P219,'Resource Rate Library'!$A$5:$A$85,0)),"")</f>
        <v/>
      </c>
      <c r="U219" s="62"/>
      <c r="V219" s="62"/>
      <c r="W219" s="83">
        <f>IFERROR(INDEX('Resource Rate Library'!$I$5:$I$85,MATCH(P219,'Resource Rate Library'!$A$5:$A$85,0)),0)</f>
        <v>0</v>
      </c>
      <c r="X219" s="52"/>
      <c r="Y219" s="83">
        <f t="shared" si="20"/>
        <v>0</v>
      </c>
      <c r="Z219" s="83" t="str">
        <f t="shared" si="21"/>
        <v/>
      </c>
      <c r="AA219" s="81" t="str">
        <f>IFERROR(INDEX('Resource Rate Library'!$N$5:$N$85,MATCH(P219,'Resource Rate Library'!$A$5:$A$85,0)),"")</f>
        <v/>
      </c>
      <c r="AB219" s="53"/>
      <c r="AC219" s="59"/>
      <c r="AD219" s="81" t="str">
        <f>IFERROR(INDEX('Resource Rate Library'!$G$5:$G$85,MATCH(P219,'Resource Rate Library'!$A$5:$A$85,0)),"")</f>
        <v/>
      </c>
      <c r="AE219" s="81" t="str">
        <f>IFERROR(INDEX('Resource Rate Library'!$H$5:$H$85,MATCH(P219,'Resource Rate Library'!$A$5:$A$85,0)),"")</f>
        <v/>
      </c>
      <c r="AF219" s="53"/>
      <c r="AG219" s="53"/>
      <c r="AH219" s="53"/>
      <c r="AI219" s="81" t="str">
        <f t="shared" si="22"/>
        <v/>
      </c>
      <c r="AJ219" s="54"/>
      <c r="AK219" s="197"/>
      <c r="AL219" s="197"/>
      <c r="AM219" s="197"/>
      <c r="AN219" s="199">
        <f>IF(AND(AK219="Yes",OR(O219="Labour",O219="Plant")),Z219,0)</f>
        <v>0</v>
      </c>
    </row>
    <row r="220" spans="1:40" x14ac:dyDescent="0.2">
      <c r="A220" s="80" t="str">
        <f>IF(B220="","",B220&amp;"-"&amp;TEXT(COUNTIF($B$7:B220,B220),"000"))</f>
        <v/>
      </c>
      <c r="B220" s="53"/>
      <c r="C220" s="81" t="str">
        <f>IFERROR(INDEX('QS Takeoff'!$A$3:$A$194,MATCH(B220,'QS Takeoff'!$B$3:$B$194,0)),"")</f>
        <v/>
      </c>
      <c r="D220" s="81" t="str">
        <f>IFERROR(INDEX('QS Takeoff'!$C$3:$C$194,MATCH(B220,'QS Takeoff'!$B$3:$B$194,0)),"")</f>
        <v/>
      </c>
      <c r="E220" s="81" t="str">
        <f>IFERROR(INDEX('QS Takeoff'!$E$3:$E$194,MATCH(B220,'QS Takeoff'!$B$3:$B$194,0)),"")</f>
        <v/>
      </c>
      <c r="F220" s="81" t="str">
        <f>IFERROR(INDEX('QS Takeoff'!$D$3:$D$194,MATCH(B220,'QS Takeoff'!$B$3:$B$194,0)),"")</f>
        <v/>
      </c>
      <c r="G220" s="81" t="str">
        <f>IFERROR(INDEX('QS Takeoff'!$J$3:$J$194,MATCH(B220,'QS Takeoff'!$B$3:$B$194,0)),"")</f>
        <v/>
      </c>
      <c r="H220" s="53"/>
      <c r="I220" s="60"/>
      <c r="J220" s="60"/>
      <c r="K220" s="82" t="str">
        <f t="shared" si="18"/>
        <v/>
      </c>
      <c r="L220" s="60"/>
      <c r="M220" s="82" t="str">
        <f t="shared" si="19"/>
        <v/>
      </c>
      <c r="N220" s="53"/>
      <c r="O220" s="53"/>
      <c r="P220" s="53"/>
      <c r="Q220" s="81" t="str">
        <f>IFERROR(INDEX('Resource Rate Library'!$C$5:$C$85,MATCH(P220,'Resource Rate Library'!$A$5:$A$85,0)),"")</f>
        <v/>
      </c>
      <c r="R220" s="53"/>
      <c r="S220" s="53"/>
      <c r="T220" s="81" t="str">
        <f>IFERROR(INDEX('Resource Rate Library'!$E$5:$E$85,MATCH(P220,'Resource Rate Library'!$A$5:$A$85,0)),"")</f>
        <v/>
      </c>
      <c r="U220" s="62"/>
      <c r="V220" s="62"/>
      <c r="W220" s="83">
        <f>IFERROR(INDEX('Resource Rate Library'!$I$5:$I$85,MATCH(P220,'Resource Rate Library'!$A$5:$A$85,0)),0)</f>
        <v>0</v>
      </c>
      <c r="X220" s="52"/>
      <c r="Y220" s="83">
        <f t="shared" si="20"/>
        <v>0</v>
      </c>
      <c r="Z220" s="83" t="str">
        <f t="shared" si="21"/>
        <v/>
      </c>
      <c r="AA220" s="81" t="str">
        <f>IFERROR(INDEX('Resource Rate Library'!$N$5:$N$85,MATCH(P220,'Resource Rate Library'!$A$5:$A$85,0)),"")</f>
        <v/>
      </c>
      <c r="AB220" s="53"/>
      <c r="AC220" s="59"/>
      <c r="AD220" s="81" t="str">
        <f>IFERROR(INDEX('Resource Rate Library'!$G$5:$G$85,MATCH(P220,'Resource Rate Library'!$A$5:$A$85,0)),"")</f>
        <v/>
      </c>
      <c r="AE220" s="81" t="str">
        <f>IFERROR(INDEX('Resource Rate Library'!$H$5:$H$85,MATCH(P220,'Resource Rate Library'!$A$5:$A$85,0)),"")</f>
        <v/>
      </c>
      <c r="AF220" s="53"/>
      <c r="AG220" s="53"/>
      <c r="AH220" s="53"/>
      <c r="AI220" s="81" t="str">
        <f t="shared" si="22"/>
        <v/>
      </c>
      <c r="AJ220" s="54"/>
      <c r="AK220" s="197"/>
      <c r="AL220" s="197"/>
      <c r="AM220" s="197"/>
      <c r="AN220" s="199">
        <f>IF(AND(AK220="Yes",OR(O220="Labour",O220="Plant")),Z220,0)</f>
        <v>0</v>
      </c>
    </row>
    <row r="221" spans="1:40" x14ac:dyDescent="0.2">
      <c r="A221" s="80" t="str">
        <f>IF(B221="","",B221&amp;"-"&amp;TEXT(COUNTIF($B$7:B221,B221),"000"))</f>
        <v/>
      </c>
      <c r="B221" s="53"/>
      <c r="C221" s="81" t="str">
        <f>IFERROR(INDEX('QS Takeoff'!$A$3:$A$194,MATCH(B221,'QS Takeoff'!$B$3:$B$194,0)),"")</f>
        <v/>
      </c>
      <c r="D221" s="81" t="str">
        <f>IFERROR(INDEX('QS Takeoff'!$C$3:$C$194,MATCH(B221,'QS Takeoff'!$B$3:$B$194,0)),"")</f>
        <v/>
      </c>
      <c r="E221" s="81" t="str">
        <f>IFERROR(INDEX('QS Takeoff'!$E$3:$E$194,MATCH(B221,'QS Takeoff'!$B$3:$B$194,0)),"")</f>
        <v/>
      </c>
      <c r="F221" s="81" t="str">
        <f>IFERROR(INDEX('QS Takeoff'!$D$3:$D$194,MATCH(B221,'QS Takeoff'!$B$3:$B$194,0)),"")</f>
        <v/>
      </c>
      <c r="G221" s="81" t="str">
        <f>IFERROR(INDEX('QS Takeoff'!$J$3:$J$194,MATCH(B221,'QS Takeoff'!$B$3:$B$194,0)),"")</f>
        <v/>
      </c>
      <c r="H221" s="53"/>
      <c r="I221" s="60"/>
      <c r="J221" s="60"/>
      <c r="K221" s="82" t="str">
        <f t="shared" si="18"/>
        <v/>
      </c>
      <c r="L221" s="60"/>
      <c r="M221" s="82" t="str">
        <f t="shared" si="19"/>
        <v/>
      </c>
      <c r="N221" s="53"/>
      <c r="O221" s="53"/>
      <c r="P221" s="53"/>
      <c r="Q221" s="81" t="str">
        <f>IFERROR(INDEX('Resource Rate Library'!$C$5:$C$85,MATCH(P221,'Resource Rate Library'!$A$5:$A$85,0)),"")</f>
        <v/>
      </c>
      <c r="R221" s="53"/>
      <c r="S221" s="53"/>
      <c r="T221" s="81" t="str">
        <f>IFERROR(INDEX('Resource Rate Library'!$E$5:$E$85,MATCH(P221,'Resource Rate Library'!$A$5:$A$85,0)),"")</f>
        <v/>
      </c>
      <c r="U221" s="62"/>
      <c r="V221" s="62"/>
      <c r="W221" s="83">
        <f>IFERROR(INDEX('Resource Rate Library'!$I$5:$I$85,MATCH(P221,'Resource Rate Library'!$A$5:$A$85,0)),0)</f>
        <v>0</v>
      </c>
      <c r="X221" s="52"/>
      <c r="Y221" s="83">
        <f t="shared" si="20"/>
        <v>0</v>
      </c>
      <c r="Z221" s="83" t="str">
        <f t="shared" si="21"/>
        <v/>
      </c>
      <c r="AA221" s="81" t="str">
        <f>IFERROR(INDEX('Resource Rate Library'!$N$5:$N$85,MATCH(P221,'Resource Rate Library'!$A$5:$A$85,0)),"")</f>
        <v/>
      </c>
      <c r="AB221" s="53"/>
      <c r="AC221" s="59"/>
      <c r="AD221" s="81" t="str">
        <f>IFERROR(INDEX('Resource Rate Library'!$G$5:$G$85,MATCH(P221,'Resource Rate Library'!$A$5:$A$85,0)),"")</f>
        <v/>
      </c>
      <c r="AE221" s="81" t="str">
        <f>IFERROR(INDEX('Resource Rate Library'!$H$5:$H$85,MATCH(P221,'Resource Rate Library'!$A$5:$A$85,0)),"")</f>
        <v/>
      </c>
      <c r="AF221" s="53"/>
      <c r="AG221" s="53"/>
      <c r="AH221" s="53"/>
      <c r="AI221" s="81" t="str">
        <f t="shared" si="22"/>
        <v/>
      </c>
      <c r="AJ221" s="54"/>
      <c r="AK221" s="197"/>
      <c r="AL221" s="197"/>
      <c r="AM221" s="197"/>
      <c r="AN221" s="199">
        <f>IF(AND(AK221="Yes",OR(O221="Labour",O221="Plant")),Z221,0)</f>
        <v>0</v>
      </c>
    </row>
    <row r="222" spans="1:40" x14ac:dyDescent="0.2">
      <c r="A222" s="80" t="str">
        <f>IF(B222="","",B222&amp;"-"&amp;TEXT(COUNTIF($B$7:B222,B222),"000"))</f>
        <v/>
      </c>
      <c r="B222" s="53"/>
      <c r="C222" s="81" t="str">
        <f>IFERROR(INDEX('QS Takeoff'!$A$3:$A$194,MATCH(B222,'QS Takeoff'!$B$3:$B$194,0)),"")</f>
        <v/>
      </c>
      <c r="D222" s="81" t="str">
        <f>IFERROR(INDEX('QS Takeoff'!$C$3:$C$194,MATCH(B222,'QS Takeoff'!$B$3:$B$194,0)),"")</f>
        <v/>
      </c>
      <c r="E222" s="81" t="str">
        <f>IFERROR(INDEX('QS Takeoff'!$E$3:$E$194,MATCH(B222,'QS Takeoff'!$B$3:$B$194,0)),"")</f>
        <v/>
      </c>
      <c r="F222" s="81" t="str">
        <f>IFERROR(INDEX('QS Takeoff'!$D$3:$D$194,MATCH(B222,'QS Takeoff'!$B$3:$B$194,0)),"")</f>
        <v/>
      </c>
      <c r="G222" s="81" t="str">
        <f>IFERROR(INDEX('QS Takeoff'!$J$3:$J$194,MATCH(B222,'QS Takeoff'!$B$3:$B$194,0)),"")</f>
        <v/>
      </c>
      <c r="H222" s="53"/>
      <c r="I222" s="60"/>
      <c r="J222" s="60"/>
      <c r="K222" s="82" t="str">
        <f t="shared" si="18"/>
        <v/>
      </c>
      <c r="L222" s="60"/>
      <c r="M222" s="82" t="str">
        <f t="shared" si="19"/>
        <v/>
      </c>
      <c r="N222" s="53"/>
      <c r="O222" s="53"/>
      <c r="P222" s="53"/>
      <c r="Q222" s="81" t="str">
        <f>IFERROR(INDEX('Resource Rate Library'!$C$5:$C$85,MATCH(P222,'Resource Rate Library'!$A$5:$A$85,0)),"")</f>
        <v/>
      </c>
      <c r="R222" s="53"/>
      <c r="S222" s="53"/>
      <c r="T222" s="81" t="str">
        <f>IFERROR(INDEX('Resource Rate Library'!$E$5:$E$85,MATCH(P222,'Resource Rate Library'!$A$5:$A$85,0)),"")</f>
        <v/>
      </c>
      <c r="U222" s="62"/>
      <c r="V222" s="62"/>
      <c r="W222" s="83">
        <f>IFERROR(INDEX('Resource Rate Library'!$I$5:$I$85,MATCH(P222,'Resource Rate Library'!$A$5:$A$85,0)),0)</f>
        <v>0</v>
      </c>
      <c r="X222" s="52"/>
      <c r="Y222" s="83">
        <f t="shared" si="20"/>
        <v>0</v>
      </c>
      <c r="Z222" s="83" t="str">
        <f t="shared" si="21"/>
        <v/>
      </c>
      <c r="AA222" s="81" t="str">
        <f>IFERROR(INDEX('Resource Rate Library'!$N$5:$N$85,MATCH(P222,'Resource Rate Library'!$A$5:$A$85,0)),"")</f>
        <v/>
      </c>
      <c r="AB222" s="53"/>
      <c r="AC222" s="59"/>
      <c r="AD222" s="81" t="str">
        <f>IFERROR(INDEX('Resource Rate Library'!$G$5:$G$85,MATCH(P222,'Resource Rate Library'!$A$5:$A$85,0)),"")</f>
        <v/>
      </c>
      <c r="AE222" s="81" t="str">
        <f>IFERROR(INDEX('Resource Rate Library'!$H$5:$H$85,MATCH(P222,'Resource Rate Library'!$A$5:$A$85,0)),"")</f>
        <v/>
      </c>
      <c r="AF222" s="53"/>
      <c r="AG222" s="53"/>
      <c r="AH222" s="53"/>
      <c r="AI222" s="81" t="str">
        <f t="shared" si="22"/>
        <v/>
      </c>
      <c r="AJ222" s="54"/>
      <c r="AK222" s="197"/>
      <c r="AL222" s="197"/>
      <c r="AM222" s="197"/>
      <c r="AN222" s="199">
        <f>IF(AND(AK222="Yes",OR(O222="Labour",O222="Plant")),Z222,0)</f>
        <v>0</v>
      </c>
    </row>
    <row r="223" spans="1:40" x14ac:dyDescent="0.2">
      <c r="A223" s="80" t="str">
        <f>IF(B223="","",B223&amp;"-"&amp;TEXT(COUNTIF($B$7:B223,B223),"000"))</f>
        <v/>
      </c>
      <c r="B223" s="53"/>
      <c r="C223" s="81" t="str">
        <f>IFERROR(INDEX('QS Takeoff'!$A$3:$A$194,MATCH(B223,'QS Takeoff'!$B$3:$B$194,0)),"")</f>
        <v/>
      </c>
      <c r="D223" s="81" t="str">
        <f>IFERROR(INDEX('QS Takeoff'!$C$3:$C$194,MATCH(B223,'QS Takeoff'!$B$3:$B$194,0)),"")</f>
        <v/>
      </c>
      <c r="E223" s="81" t="str">
        <f>IFERROR(INDEX('QS Takeoff'!$E$3:$E$194,MATCH(B223,'QS Takeoff'!$B$3:$B$194,0)),"")</f>
        <v/>
      </c>
      <c r="F223" s="81" t="str">
        <f>IFERROR(INDEX('QS Takeoff'!$D$3:$D$194,MATCH(B223,'QS Takeoff'!$B$3:$B$194,0)),"")</f>
        <v/>
      </c>
      <c r="G223" s="81" t="str">
        <f>IFERROR(INDEX('QS Takeoff'!$J$3:$J$194,MATCH(B223,'QS Takeoff'!$B$3:$B$194,0)),"")</f>
        <v/>
      </c>
      <c r="H223" s="53"/>
      <c r="I223" s="60"/>
      <c r="J223" s="60"/>
      <c r="K223" s="82" t="str">
        <f t="shared" si="18"/>
        <v/>
      </c>
      <c r="L223" s="60"/>
      <c r="M223" s="82" t="str">
        <f t="shared" si="19"/>
        <v/>
      </c>
      <c r="N223" s="53"/>
      <c r="O223" s="53"/>
      <c r="P223" s="53"/>
      <c r="Q223" s="81" t="str">
        <f>IFERROR(INDEX('Resource Rate Library'!$C$5:$C$85,MATCH(P223,'Resource Rate Library'!$A$5:$A$85,0)),"")</f>
        <v/>
      </c>
      <c r="R223" s="53"/>
      <c r="S223" s="53"/>
      <c r="T223" s="81" t="str">
        <f>IFERROR(INDEX('Resource Rate Library'!$E$5:$E$85,MATCH(P223,'Resource Rate Library'!$A$5:$A$85,0)),"")</f>
        <v/>
      </c>
      <c r="U223" s="62"/>
      <c r="V223" s="62"/>
      <c r="W223" s="83">
        <f>IFERROR(INDEX('Resource Rate Library'!$I$5:$I$85,MATCH(P223,'Resource Rate Library'!$A$5:$A$85,0)),0)</f>
        <v>0</v>
      </c>
      <c r="X223" s="52"/>
      <c r="Y223" s="83">
        <f t="shared" si="20"/>
        <v>0</v>
      </c>
      <c r="Z223" s="83" t="str">
        <f t="shared" si="21"/>
        <v/>
      </c>
      <c r="AA223" s="81" t="str">
        <f>IFERROR(INDEX('Resource Rate Library'!$N$5:$N$85,MATCH(P223,'Resource Rate Library'!$A$5:$A$85,0)),"")</f>
        <v/>
      </c>
      <c r="AB223" s="53"/>
      <c r="AC223" s="59"/>
      <c r="AD223" s="81" t="str">
        <f>IFERROR(INDEX('Resource Rate Library'!$G$5:$G$85,MATCH(P223,'Resource Rate Library'!$A$5:$A$85,0)),"")</f>
        <v/>
      </c>
      <c r="AE223" s="81" t="str">
        <f>IFERROR(INDEX('Resource Rate Library'!$H$5:$H$85,MATCH(P223,'Resource Rate Library'!$A$5:$A$85,0)),"")</f>
        <v/>
      </c>
      <c r="AF223" s="53"/>
      <c r="AG223" s="53"/>
      <c r="AH223" s="53"/>
      <c r="AI223" s="81" t="str">
        <f t="shared" si="22"/>
        <v/>
      </c>
      <c r="AJ223" s="54"/>
      <c r="AK223" s="197"/>
      <c r="AL223" s="197"/>
      <c r="AM223" s="197"/>
      <c r="AN223" s="199">
        <f>IF(AND(AK223="Yes",OR(O223="Labour",O223="Plant")),Z223,0)</f>
        <v>0</v>
      </c>
    </row>
    <row r="224" spans="1:40" x14ac:dyDescent="0.2">
      <c r="A224" s="80" t="str">
        <f>IF(B224="","",B224&amp;"-"&amp;TEXT(COUNTIF($B$7:B224,B224),"000"))</f>
        <v/>
      </c>
      <c r="B224" s="53"/>
      <c r="C224" s="81" t="str">
        <f>IFERROR(INDEX('QS Takeoff'!$A$3:$A$194,MATCH(B224,'QS Takeoff'!$B$3:$B$194,0)),"")</f>
        <v/>
      </c>
      <c r="D224" s="81" t="str">
        <f>IFERROR(INDEX('QS Takeoff'!$C$3:$C$194,MATCH(B224,'QS Takeoff'!$B$3:$B$194,0)),"")</f>
        <v/>
      </c>
      <c r="E224" s="81" t="str">
        <f>IFERROR(INDEX('QS Takeoff'!$E$3:$E$194,MATCH(B224,'QS Takeoff'!$B$3:$B$194,0)),"")</f>
        <v/>
      </c>
      <c r="F224" s="81" t="str">
        <f>IFERROR(INDEX('QS Takeoff'!$D$3:$D$194,MATCH(B224,'QS Takeoff'!$B$3:$B$194,0)),"")</f>
        <v/>
      </c>
      <c r="G224" s="81" t="str">
        <f>IFERROR(INDEX('QS Takeoff'!$J$3:$J$194,MATCH(B224,'QS Takeoff'!$B$3:$B$194,0)),"")</f>
        <v/>
      </c>
      <c r="H224" s="53"/>
      <c r="I224" s="60"/>
      <c r="J224" s="60"/>
      <c r="K224" s="82" t="str">
        <f t="shared" si="18"/>
        <v/>
      </c>
      <c r="L224" s="60"/>
      <c r="M224" s="82" t="str">
        <f t="shared" si="19"/>
        <v/>
      </c>
      <c r="N224" s="53"/>
      <c r="O224" s="53"/>
      <c r="P224" s="53"/>
      <c r="Q224" s="81" t="str">
        <f>IFERROR(INDEX('Resource Rate Library'!$C$5:$C$85,MATCH(P224,'Resource Rate Library'!$A$5:$A$85,0)),"")</f>
        <v/>
      </c>
      <c r="R224" s="53"/>
      <c r="S224" s="53"/>
      <c r="T224" s="81" t="str">
        <f>IFERROR(INDEX('Resource Rate Library'!$E$5:$E$85,MATCH(P224,'Resource Rate Library'!$A$5:$A$85,0)),"")</f>
        <v/>
      </c>
      <c r="U224" s="62"/>
      <c r="V224" s="62"/>
      <c r="W224" s="83">
        <f>IFERROR(INDEX('Resource Rate Library'!$I$5:$I$85,MATCH(P224,'Resource Rate Library'!$A$5:$A$85,0)),0)</f>
        <v>0</v>
      </c>
      <c r="X224" s="52"/>
      <c r="Y224" s="83">
        <f t="shared" si="20"/>
        <v>0</v>
      </c>
      <c r="Z224" s="83" t="str">
        <f t="shared" si="21"/>
        <v/>
      </c>
      <c r="AA224" s="81" t="str">
        <f>IFERROR(INDEX('Resource Rate Library'!$N$5:$N$85,MATCH(P224,'Resource Rate Library'!$A$5:$A$85,0)),"")</f>
        <v/>
      </c>
      <c r="AB224" s="53"/>
      <c r="AC224" s="59"/>
      <c r="AD224" s="81" t="str">
        <f>IFERROR(INDEX('Resource Rate Library'!$G$5:$G$85,MATCH(P224,'Resource Rate Library'!$A$5:$A$85,0)),"")</f>
        <v/>
      </c>
      <c r="AE224" s="81" t="str">
        <f>IFERROR(INDEX('Resource Rate Library'!$H$5:$H$85,MATCH(P224,'Resource Rate Library'!$A$5:$A$85,0)),"")</f>
        <v/>
      </c>
      <c r="AF224" s="53"/>
      <c r="AG224" s="53"/>
      <c r="AH224" s="53"/>
      <c r="AI224" s="81" t="str">
        <f t="shared" si="22"/>
        <v/>
      </c>
      <c r="AJ224" s="54"/>
      <c r="AK224" s="197"/>
      <c r="AL224" s="197"/>
      <c r="AM224" s="197"/>
      <c r="AN224" s="199">
        <f>IF(AND(AK224="Yes",OR(O224="Labour",O224="Plant")),Z224,0)</f>
        <v>0</v>
      </c>
    </row>
    <row r="225" spans="1:40" x14ac:dyDescent="0.2">
      <c r="A225" s="80" t="str">
        <f>IF(B225="","",B225&amp;"-"&amp;TEXT(COUNTIF($B$7:B225,B225),"000"))</f>
        <v/>
      </c>
      <c r="B225" s="53"/>
      <c r="C225" s="81" t="str">
        <f>IFERROR(INDEX('QS Takeoff'!$A$3:$A$194,MATCH(B225,'QS Takeoff'!$B$3:$B$194,0)),"")</f>
        <v/>
      </c>
      <c r="D225" s="81" t="str">
        <f>IFERROR(INDEX('QS Takeoff'!$C$3:$C$194,MATCH(B225,'QS Takeoff'!$B$3:$B$194,0)),"")</f>
        <v/>
      </c>
      <c r="E225" s="81" t="str">
        <f>IFERROR(INDEX('QS Takeoff'!$E$3:$E$194,MATCH(B225,'QS Takeoff'!$B$3:$B$194,0)),"")</f>
        <v/>
      </c>
      <c r="F225" s="81" t="str">
        <f>IFERROR(INDEX('QS Takeoff'!$D$3:$D$194,MATCH(B225,'QS Takeoff'!$B$3:$B$194,0)),"")</f>
        <v/>
      </c>
      <c r="G225" s="81" t="str">
        <f>IFERROR(INDEX('QS Takeoff'!$J$3:$J$194,MATCH(B225,'QS Takeoff'!$B$3:$B$194,0)),"")</f>
        <v/>
      </c>
      <c r="H225" s="53"/>
      <c r="I225" s="60"/>
      <c r="J225" s="60"/>
      <c r="K225" s="82" t="str">
        <f t="shared" si="18"/>
        <v/>
      </c>
      <c r="L225" s="60"/>
      <c r="M225" s="82" t="str">
        <f t="shared" si="19"/>
        <v/>
      </c>
      <c r="N225" s="53"/>
      <c r="O225" s="53"/>
      <c r="P225" s="53"/>
      <c r="Q225" s="81" t="str">
        <f>IFERROR(INDEX('Resource Rate Library'!$C$5:$C$85,MATCH(P225,'Resource Rate Library'!$A$5:$A$85,0)),"")</f>
        <v/>
      </c>
      <c r="R225" s="53"/>
      <c r="S225" s="53"/>
      <c r="T225" s="81" t="str">
        <f>IFERROR(INDEX('Resource Rate Library'!$E$5:$E$85,MATCH(P225,'Resource Rate Library'!$A$5:$A$85,0)),"")</f>
        <v/>
      </c>
      <c r="U225" s="62"/>
      <c r="V225" s="62"/>
      <c r="W225" s="83">
        <f>IFERROR(INDEX('Resource Rate Library'!$I$5:$I$85,MATCH(P225,'Resource Rate Library'!$A$5:$A$85,0)),0)</f>
        <v>0</v>
      </c>
      <c r="X225" s="52"/>
      <c r="Y225" s="83">
        <f t="shared" si="20"/>
        <v>0</v>
      </c>
      <c r="Z225" s="83" t="str">
        <f t="shared" si="21"/>
        <v/>
      </c>
      <c r="AA225" s="81" t="str">
        <f>IFERROR(INDEX('Resource Rate Library'!$N$5:$N$85,MATCH(P225,'Resource Rate Library'!$A$5:$A$85,0)),"")</f>
        <v/>
      </c>
      <c r="AB225" s="53"/>
      <c r="AC225" s="59"/>
      <c r="AD225" s="81" t="str">
        <f>IFERROR(INDEX('Resource Rate Library'!$G$5:$G$85,MATCH(P225,'Resource Rate Library'!$A$5:$A$85,0)),"")</f>
        <v/>
      </c>
      <c r="AE225" s="81" t="str">
        <f>IFERROR(INDEX('Resource Rate Library'!$H$5:$H$85,MATCH(P225,'Resource Rate Library'!$A$5:$A$85,0)),"")</f>
        <v/>
      </c>
      <c r="AF225" s="53"/>
      <c r="AG225" s="53"/>
      <c r="AH225" s="53"/>
      <c r="AI225" s="81" t="str">
        <f t="shared" si="22"/>
        <v/>
      </c>
      <c r="AJ225" s="54"/>
      <c r="AK225" s="197"/>
      <c r="AL225" s="197"/>
      <c r="AM225" s="197"/>
      <c r="AN225" s="199">
        <f>IF(AND(AK225="Yes",OR(O225="Labour",O225="Plant")),Z225,0)</f>
        <v>0</v>
      </c>
    </row>
    <row r="226" spans="1:40" x14ac:dyDescent="0.2">
      <c r="A226" s="80" t="str">
        <f>IF(B226="","",B226&amp;"-"&amp;TEXT(COUNTIF($B$7:B226,B226),"000"))</f>
        <v/>
      </c>
      <c r="B226" s="53"/>
      <c r="C226" s="81" t="str">
        <f>IFERROR(INDEX('QS Takeoff'!$A$3:$A$194,MATCH(B226,'QS Takeoff'!$B$3:$B$194,0)),"")</f>
        <v/>
      </c>
      <c r="D226" s="81" t="str">
        <f>IFERROR(INDEX('QS Takeoff'!$C$3:$C$194,MATCH(B226,'QS Takeoff'!$B$3:$B$194,0)),"")</f>
        <v/>
      </c>
      <c r="E226" s="81" t="str">
        <f>IFERROR(INDEX('QS Takeoff'!$E$3:$E$194,MATCH(B226,'QS Takeoff'!$B$3:$B$194,0)),"")</f>
        <v/>
      </c>
      <c r="F226" s="81" t="str">
        <f>IFERROR(INDEX('QS Takeoff'!$D$3:$D$194,MATCH(B226,'QS Takeoff'!$B$3:$B$194,0)),"")</f>
        <v/>
      </c>
      <c r="G226" s="81" t="str">
        <f>IFERROR(INDEX('QS Takeoff'!$J$3:$J$194,MATCH(B226,'QS Takeoff'!$B$3:$B$194,0)),"")</f>
        <v/>
      </c>
      <c r="H226" s="53"/>
      <c r="I226" s="60"/>
      <c r="J226" s="60"/>
      <c r="K226" s="82" t="str">
        <f t="shared" si="18"/>
        <v/>
      </c>
      <c r="L226" s="60"/>
      <c r="M226" s="82" t="str">
        <f t="shared" si="19"/>
        <v/>
      </c>
      <c r="N226" s="53"/>
      <c r="O226" s="53"/>
      <c r="P226" s="53"/>
      <c r="Q226" s="81" t="str">
        <f>IFERROR(INDEX('Resource Rate Library'!$C$5:$C$85,MATCH(P226,'Resource Rate Library'!$A$5:$A$85,0)),"")</f>
        <v/>
      </c>
      <c r="R226" s="53"/>
      <c r="S226" s="53"/>
      <c r="T226" s="81" t="str">
        <f>IFERROR(INDEX('Resource Rate Library'!$E$5:$E$85,MATCH(P226,'Resource Rate Library'!$A$5:$A$85,0)),"")</f>
        <v/>
      </c>
      <c r="U226" s="62"/>
      <c r="V226" s="62"/>
      <c r="W226" s="83">
        <f>IFERROR(INDEX('Resource Rate Library'!$I$5:$I$85,MATCH(P226,'Resource Rate Library'!$A$5:$A$85,0)),0)</f>
        <v>0</v>
      </c>
      <c r="X226" s="52"/>
      <c r="Y226" s="83">
        <f t="shared" si="20"/>
        <v>0</v>
      </c>
      <c r="Z226" s="83" t="str">
        <f t="shared" si="21"/>
        <v/>
      </c>
      <c r="AA226" s="81" t="str">
        <f>IFERROR(INDEX('Resource Rate Library'!$N$5:$N$85,MATCH(P226,'Resource Rate Library'!$A$5:$A$85,0)),"")</f>
        <v/>
      </c>
      <c r="AB226" s="53"/>
      <c r="AC226" s="59"/>
      <c r="AD226" s="81" t="str">
        <f>IFERROR(INDEX('Resource Rate Library'!$G$5:$G$85,MATCH(P226,'Resource Rate Library'!$A$5:$A$85,0)),"")</f>
        <v/>
      </c>
      <c r="AE226" s="81" t="str">
        <f>IFERROR(INDEX('Resource Rate Library'!$H$5:$H$85,MATCH(P226,'Resource Rate Library'!$A$5:$A$85,0)),"")</f>
        <v/>
      </c>
      <c r="AF226" s="53"/>
      <c r="AG226" s="53"/>
      <c r="AH226" s="53"/>
      <c r="AI226" s="81" t="str">
        <f t="shared" si="22"/>
        <v/>
      </c>
      <c r="AJ226" s="54"/>
      <c r="AK226" s="197"/>
      <c r="AL226" s="197"/>
      <c r="AM226" s="197"/>
      <c r="AN226" s="199">
        <f>IF(AND(AK226="Yes",OR(O226="Labour",O226="Plant")),Z226,0)</f>
        <v>0</v>
      </c>
    </row>
    <row r="227" spans="1:40" x14ac:dyDescent="0.2">
      <c r="A227" s="80" t="str">
        <f>IF(B227="","",B227&amp;"-"&amp;TEXT(COUNTIF($B$7:B227,B227),"000"))</f>
        <v/>
      </c>
      <c r="B227" s="53"/>
      <c r="C227" s="81" t="str">
        <f>IFERROR(INDEX('QS Takeoff'!$A$3:$A$194,MATCH(B227,'QS Takeoff'!$B$3:$B$194,0)),"")</f>
        <v/>
      </c>
      <c r="D227" s="81" t="str">
        <f>IFERROR(INDEX('QS Takeoff'!$C$3:$C$194,MATCH(B227,'QS Takeoff'!$B$3:$B$194,0)),"")</f>
        <v/>
      </c>
      <c r="E227" s="81" t="str">
        <f>IFERROR(INDEX('QS Takeoff'!$E$3:$E$194,MATCH(B227,'QS Takeoff'!$B$3:$B$194,0)),"")</f>
        <v/>
      </c>
      <c r="F227" s="81" t="str">
        <f>IFERROR(INDEX('QS Takeoff'!$D$3:$D$194,MATCH(B227,'QS Takeoff'!$B$3:$B$194,0)),"")</f>
        <v/>
      </c>
      <c r="G227" s="81" t="str">
        <f>IFERROR(INDEX('QS Takeoff'!$J$3:$J$194,MATCH(B227,'QS Takeoff'!$B$3:$B$194,0)),"")</f>
        <v/>
      </c>
      <c r="H227" s="53"/>
      <c r="I227" s="60"/>
      <c r="J227" s="60"/>
      <c r="K227" s="82" t="str">
        <f t="shared" si="18"/>
        <v/>
      </c>
      <c r="L227" s="60"/>
      <c r="M227" s="82" t="str">
        <f t="shared" si="19"/>
        <v/>
      </c>
      <c r="N227" s="53"/>
      <c r="O227" s="53"/>
      <c r="P227" s="53"/>
      <c r="Q227" s="81" t="str">
        <f>IFERROR(INDEX('Resource Rate Library'!$C$5:$C$85,MATCH(P227,'Resource Rate Library'!$A$5:$A$85,0)),"")</f>
        <v/>
      </c>
      <c r="R227" s="53"/>
      <c r="S227" s="53"/>
      <c r="T227" s="81" t="str">
        <f>IFERROR(INDEX('Resource Rate Library'!$E$5:$E$85,MATCH(P227,'Resource Rate Library'!$A$5:$A$85,0)),"")</f>
        <v/>
      </c>
      <c r="U227" s="62"/>
      <c r="V227" s="62"/>
      <c r="W227" s="83">
        <f>IFERROR(INDEX('Resource Rate Library'!$I$5:$I$85,MATCH(P227,'Resource Rate Library'!$A$5:$A$85,0)),0)</f>
        <v>0</v>
      </c>
      <c r="X227" s="52"/>
      <c r="Y227" s="83">
        <f t="shared" si="20"/>
        <v>0</v>
      </c>
      <c r="Z227" s="83" t="str">
        <f t="shared" si="21"/>
        <v/>
      </c>
      <c r="AA227" s="81" t="str">
        <f>IFERROR(INDEX('Resource Rate Library'!$N$5:$N$85,MATCH(P227,'Resource Rate Library'!$A$5:$A$85,0)),"")</f>
        <v/>
      </c>
      <c r="AB227" s="53"/>
      <c r="AC227" s="59"/>
      <c r="AD227" s="81" t="str">
        <f>IFERROR(INDEX('Resource Rate Library'!$G$5:$G$85,MATCH(P227,'Resource Rate Library'!$A$5:$A$85,0)),"")</f>
        <v/>
      </c>
      <c r="AE227" s="81" t="str">
        <f>IFERROR(INDEX('Resource Rate Library'!$H$5:$H$85,MATCH(P227,'Resource Rate Library'!$A$5:$A$85,0)),"")</f>
        <v/>
      </c>
      <c r="AF227" s="53"/>
      <c r="AG227" s="53"/>
      <c r="AH227" s="53"/>
      <c r="AI227" s="81" t="str">
        <f t="shared" si="22"/>
        <v/>
      </c>
      <c r="AJ227" s="54"/>
      <c r="AK227" s="197"/>
      <c r="AL227" s="197"/>
      <c r="AM227" s="197"/>
      <c r="AN227" s="199">
        <f>IF(AND(AK227="Yes",OR(O227="Labour",O227="Plant")),Z227,0)</f>
        <v>0</v>
      </c>
    </row>
    <row r="228" spans="1:40" x14ac:dyDescent="0.2">
      <c r="A228" s="80" t="str">
        <f>IF(B228="","",B228&amp;"-"&amp;TEXT(COUNTIF($B$7:B228,B228),"000"))</f>
        <v/>
      </c>
      <c r="B228" s="53"/>
      <c r="C228" s="81" t="str">
        <f>IFERROR(INDEX('QS Takeoff'!$A$3:$A$194,MATCH(B228,'QS Takeoff'!$B$3:$B$194,0)),"")</f>
        <v/>
      </c>
      <c r="D228" s="81" t="str">
        <f>IFERROR(INDEX('QS Takeoff'!$C$3:$C$194,MATCH(B228,'QS Takeoff'!$B$3:$B$194,0)),"")</f>
        <v/>
      </c>
      <c r="E228" s="81" t="str">
        <f>IFERROR(INDEX('QS Takeoff'!$E$3:$E$194,MATCH(B228,'QS Takeoff'!$B$3:$B$194,0)),"")</f>
        <v/>
      </c>
      <c r="F228" s="81" t="str">
        <f>IFERROR(INDEX('QS Takeoff'!$D$3:$D$194,MATCH(B228,'QS Takeoff'!$B$3:$B$194,0)),"")</f>
        <v/>
      </c>
      <c r="G228" s="81" t="str">
        <f>IFERROR(INDEX('QS Takeoff'!$J$3:$J$194,MATCH(B228,'QS Takeoff'!$B$3:$B$194,0)),"")</f>
        <v/>
      </c>
      <c r="H228" s="53"/>
      <c r="I228" s="60"/>
      <c r="J228" s="60"/>
      <c r="K228" s="82" t="str">
        <f t="shared" si="18"/>
        <v/>
      </c>
      <c r="L228" s="60"/>
      <c r="M228" s="82" t="str">
        <f t="shared" si="19"/>
        <v/>
      </c>
      <c r="N228" s="53"/>
      <c r="O228" s="53"/>
      <c r="P228" s="53"/>
      <c r="Q228" s="81" t="str">
        <f>IFERROR(INDEX('Resource Rate Library'!$C$5:$C$85,MATCH(P228,'Resource Rate Library'!$A$5:$A$85,0)),"")</f>
        <v/>
      </c>
      <c r="R228" s="53"/>
      <c r="S228" s="53"/>
      <c r="T228" s="81" t="str">
        <f>IFERROR(INDEX('Resource Rate Library'!$E$5:$E$85,MATCH(P228,'Resource Rate Library'!$A$5:$A$85,0)),"")</f>
        <v/>
      </c>
      <c r="U228" s="62"/>
      <c r="V228" s="62"/>
      <c r="W228" s="83">
        <f>IFERROR(INDEX('Resource Rate Library'!$I$5:$I$85,MATCH(P228,'Resource Rate Library'!$A$5:$A$85,0)),0)</f>
        <v>0</v>
      </c>
      <c r="X228" s="52"/>
      <c r="Y228" s="83">
        <f t="shared" si="20"/>
        <v>0</v>
      </c>
      <c r="Z228" s="83" t="str">
        <f t="shared" si="21"/>
        <v/>
      </c>
      <c r="AA228" s="81" t="str">
        <f>IFERROR(INDEX('Resource Rate Library'!$N$5:$N$85,MATCH(P228,'Resource Rate Library'!$A$5:$A$85,0)),"")</f>
        <v/>
      </c>
      <c r="AB228" s="53"/>
      <c r="AC228" s="59"/>
      <c r="AD228" s="81" t="str">
        <f>IFERROR(INDEX('Resource Rate Library'!$G$5:$G$85,MATCH(P228,'Resource Rate Library'!$A$5:$A$85,0)),"")</f>
        <v/>
      </c>
      <c r="AE228" s="81" t="str">
        <f>IFERROR(INDEX('Resource Rate Library'!$H$5:$H$85,MATCH(P228,'Resource Rate Library'!$A$5:$A$85,0)),"")</f>
        <v/>
      </c>
      <c r="AF228" s="53"/>
      <c r="AG228" s="53"/>
      <c r="AH228" s="53"/>
      <c r="AI228" s="81" t="str">
        <f t="shared" si="22"/>
        <v/>
      </c>
      <c r="AJ228" s="54"/>
      <c r="AK228" s="197"/>
      <c r="AL228" s="197"/>
      <c r="AM228" s="197"/>
      <c r="AN228" s="199">
        <f>IF(AND(AK228="Yes",OR(O228="Labour",O228="Plant")),Z228,0)</f>
        <v>0</v>
      </c>
    </row>
    <row r="229" spans="1:40" x14ac:dyDescent="0.2">
      <c r="A229" s="80" t="str">
        <f>IF(B229="","",B229&amp;"-"&amp;TEXT(COUNTIF($B$7:B229,B229),"000"))</f>
        <v/>
      </c>
      <c r="B229" s="53"/>
      <c r="C229" s="81" t="str">
        <f>IFERROR(INDEX('QS Takeoff'!$A$3:$A$194,MATCH(B229,'QS Takeoff'!$B$3:$B$194,0)),"")</f>
        <v/>
      </c>
      <c r="D229" s="81" t="str">
        <f>IFERROR(INDEX('QS Takeoff'!$C$3:$C$194,MATCH(B229,'QS Takeoff'!$B$3:$B$194,0)),"")</f>
        <v/>
      </c>
      <c r="E229" s="81" t="str">
        <f>IFERROR(INDEX('QS Takeoff'!$E$3:$E$194,MATCH(B229,'QS Takeoff'!$B$3:$B$194,0)),"")</f>
        <v/>
      </c>
      <c r="F229" s="81" t="str">
        <f>IFERROR(INDEX('QS Takeoff'!$D$3:$D$194,MATCH(B229,'QS Takeoff'!$B$3:$B$194,0)),"")</f>
        <v/>
      </c>
      <c r="G229" s="81" t="str">
        <f>IFERROR(INDEX('QS Takeoff'!$J$3:$J$194,MATCH(B229,'QS Takeoff'!$B$3:$B$194,0)),"")</f>
        <v/>
      </c>
      <c r="H229" s="53"/>
      <c r="I229" s="60"/>
      <c r="J229" s="60"/>
      <c r="K229" s="82" t="str">
        <f t="shared" si="18"/>
        <v/>
      </c>
      <c r="L229" s="60"/>
      <c r="M229" s="82" t="str">
        <f t="shared" si="19"/>
        <v/>
      </c>
      <c r="N229" s="53"/>
      <c r="O229" s="53"/>
      <c r="P229" s="53"/>
      <c r="Q229" s="81" t="str">
        <f>IFERROR(INDEX('Resource Rate Library'!$C$5:$C$85,MATCH(P229,'Resource Rate Library'!$A$5:$A$85,0)),"")</f>
        <v/>
      </c>
      <c r="R229" s="53"/>
      <c r="S229" s="53"/>
      <c r="T229" s="81" t="str">
        <f>IFERROR(INDEX('Resource Rate Library'!$E$5:$E$85,MATCH(P229,'Resource Rate Library'!$A$5:$A$85,0)),"")</f>
        <v/>
      </c>
      <c r="U229" s="62"/>
      <c r="V229" s="62"/>
      <c r="W229" s="83">
        <f>IFERROR(INDEX('Resource Rate Library'!$I$5:$I$85,MATCH(P229,'Resource Rate Library'!$A$5:$A$85,0)),0)</f>
        <v>0</v>
      </c>
      <c r="X229" s="52"/>
      <c r="Y229" s="83">
        <f t="shared" si="20"/>
        <v>0</v>
      </c>
      <c r="Z229" s="83" t="str">
        <f t="shared" si="21"/>
        <v/>
      </c>
      <c r="AA229" s="81" t="str">
        <f>IFERROR(INDEX('Resource Rate Library'!$N$5:$N$85,MATCH(P229,'Resource Rate Library'!$A$5:$A$85,0)),"")</f>
        <v/>
      </c>
      <c r="AB229" s="53"/>
      <c r="AC229" s="59"/>
      <c r="AD229" s="81" t="str">
        <f>IFERROR(INDEX('Resource Rate Library'!$G$5:$G$85,MATCH(P229,'Resource Rate Library'!$A$5:$A$85,0)),"")</f>
        <v/>
      </c>
      <c r="AE229" s="81" t="str">
        <f>IFERROR(INDEX('Resource Rate Library'!$H$5:$H$85,MATCH(P229,'Resource Rate Library'!$A$5:$A$85,0)),"")</f>
        <v/>
      </c>
      <c r="AF229" s="53"/>
      <c r="AG229" s="53"/>
      <c r="AH229" s="53"/>
      <c r="AI229" s="81" t="str">
        <f t="shared" si="22"/>
        <v/>
      </c>
      <c r="AJ229" s="54"/>
      <c r="AK229" s="197"/>
      <c r="AL229" s="197"/>
      <c r="AM229" s="197"/>
      <c r="AN229" s="199">
        <f>IF(AND(AK229="Yes",OR(O229="Labour",O229="Plant")),Z229,0)</f>
        <v>0</v>
      </c>
    </row>
    <row r="230" spans="1:40" x14ac:dyDescent="0.2">
      <c r="A230" s="80" t="str">
        <f>IF(B230="","",B230&amp;"-"&amp;TEXT(COUNTIF($B$7:B230,B230),"000"))</f>
        <v/>
      </c>
      <c r="B230" s="53"/>
      <c r="C230" s="81" t="str">
        <f>IFERROR(INDEX('QS Takeoff'!$A$3:$A$194,MATCH(B230,'QS Takeoff'!$B$3:$B$194,0)),"")</f>
        <v/>
      </c>
      <c r="D230" s="81" t="str">
        <f>IFERROR(INDEX('QS Takeoff'!$C$3:$C$194,MATCH(B230,'QS Takeoff'!$B$3:$B$194,0)),"")</f>
        <v/>
      </c>
      <c r="E230" s="81" t="str">
        <f>IFERROR(INDEX('QS Takeoff'!$E$3:$E$194,MATCH(B230,'QS Takeoff'!$B$3:$B$194,0)),"")</f>
        <v/>
      </c>
      <c r="F230" s="81" t="str">
        <f>IFERROR(INDEX('QS Takeoff'!$D$3:$D$194,MATCH(B230,'QS Takeoff'!$B$3:$B$194,0)),"")</f>
        <v/>
      </c>
      <c r="G230" s="81" t="str">
        <f>IFERROR(INDEX('QS Takeoff'!$J$3:$J$194,MATCH(B230,'QS Takeoff'!$B$3:$B$194,0)),"")</f>
        <v/>
      </c>
      <c r="H230" s="53"/>
      <c r="I230" s="60"/>
      <c r="J230" s="60"/>
      <c r="K230" s="82" t="str">
        <f t="shared" si="18"/>
        <v/>
      </c>
      <c r="L230" s="60"/>
      <c r="M230" s="82" t="str">
        <f t="shared" si="19"/>
        <v/>
      </c>
      <c r="N230" s="53"/>
      <c r="O230" s="53"/>
      <c r="P230" s="53"/>
      <c r="Q230" s="81" t="str">
        <f>IFERROR(INDEX('Resource Rate Library'!$C$5:$C$85,MATCH(P230,'Resource Rate Library'!$A$5:$A$85,0)),"")</f>
        <v/>
      </c>
      <c r="R230" s="53"/>
      <c r="S230" s="53"/>
      <c r="T230" s="81" t="str">
        <f>IFERROR(INDEX('Resource Rate Library'!$E$5:$E$85,MATCH(P230,'Resource Rate Library'!$A$5:$A$85,0)),"")</f>
        <v/>
      </c>
      <c r="U230" s="62"/>
      <c r="V230" s="62"/>
      <c r="W230" s="83">
        <f>IFERROR(INDEX('Resource Rate Library'!$I$5:$I$85,MATCH(P230,'Resource Rate Library'!$A$5:$A$85,0)),0)</f>
        <v>0</v>
      </c>
      <c r="X230" s="52"/>
      <c r="Y230" s="83">
        <f t="shared" si="20"/>
        <v>0</v>
      </c>
      <c r="Z230" s="83" t="str">
        <f t="shared" si="21"/>
        <v/>
      </c>
      <c r="AA230" s="81" t="str">
        <f>IFERROR(INDEX('Resource Rate Library'!$N$5:$N$85,MATCH(P230,'Resource Rate Library'!$A$5:$A$85,0)),"")</f>
        <v/>
      </c>
      <c r="AB230" s="53"/>
      <c r="AC230" s="59"/>
      <c r="AD230" s="81" t="str">
        <f>IFERROR(INDEX('Resource Rate Library'!$G$5:$G$85,MATCH(P230,'Resource Rate Library'!$A$5:$A$85,0)),"")</f>
        <v/>
      </c>
      <c r="AE230" s="81" t="str">
        <f>IFERROR(INDEX('Resource Rate Library'!$H$5:$H$85,MATCH(P230,'Resource Rate Library'!$A$5:$A$85,0)),"")</f>
        <v/>
      </c>
      <c r="AF230" s="53"/>
      <c r="AG230" s="53"/>
      <c r="AH230" s="53"/>
      <c r="AI230" s="81" t="str">
        <f t="shared" si="22"/>
        <v/>
      </c>
      <c r="AJ230" s="54"/>
      <c r="AK230" s="197"/>
      <c r="AL230" s="197"/>
      <c r="AM230" s="197"/>
      <c r="AN230" s="199">
        <f>IF(AND(AK230="Yes",OR(O230="Labour",O230="Plant")),Z230,0)</f>
        <v>0</v>
      </c>
    </row>
    <row r="231" spans="1:40" x14ac:dyDescent="0.2">
      <c r="A231" s="80" t="str">
        <f>IF(B231="","",B231&amp;"-"&amp;TEXT(COUNTIF($B$7:B231,B231),"000"))</f>
        <v/>
      </c>
      <c r="B231" s="53"/>
      <c r="C231" s="81" t="str">
        <f>IFERROR(INDEX('QS Takeoff'!$A$3:$A$194,MATCH(B231,'QS Takeoff'!$B$3:$B$194,0)),"")</f>
        <v/>
      </c>
      <c r="D231" s="81" t="str">
        <f>IFERROR(INDEX('QS Takeoff'!$C$3:$C$194,MATCH(B231,'QS Takeoff'!$B$3:$B$194,0)),"")</f>
        <v/>
      </c>
      <c r="E231" s="81" t="str">
        <f>IFERROR(INDEX('QS Takeoff'!$E$3:$E$194,MATCH(B231,'QS Takeoff'!$B$3:$B$194,0)),"")</f>
        <v/>
      </c>
      <c r="F231" s="81" t="str">
        <f>IFERROR(INDEX('QS Takeoff'!$D$3:$D$194,MATCH(B231,'QS Takeoff'!$B$3:$B$194,0)),"")</f>
        <v/>
      </c>
      <c r="G231" s="81" t="str">
        <f>IFERROR(INDEX('QS Takeoff'!$J$3:$J$194,MATCH(B231,'QS Takeoff'!$B$3:$B$194,0)),"")</f>
        <v/>
      </c>
      <c r="H231" s="53"/>
      <c r="I231" s="60"/>
      <c r="J231" s="60"/>
      <c r="K231" s="82" t="str">
        <f t="shared" si="18"/>
        <v/>
      </c>
      <c r="L231" s="60"/>
      <c r="M231" s="82" t="str">
        <f t="shared" si="19"/>
        <v/>
      </c>
      <c r="N231" s="53"/>
      <c r="O231" s="53"/>
      <c r="P231" s="53"/>
      <c r="Q231" s="81" t="str">
        <f>IFERROR(INDEX('Resource Rate Library'!$C$5:$C$85,MATCH(P231,'Resource Rate Library'!$A$5:$A$85,0)),"")</f>
        <v/>
      </c>
      <c r="R231" s="53"/>
      <c r="S231" s="53"/>
      <c r="T231" s="81" t="str">
        <f>IFERROR(INDEX('Resource Rate Library'!$E$5:$E$85,MATCH(P231,'Resource Rate Library'!$A$5:$A$85,0)),"")</f>
        <v/>
      </c>
      <c r="U231" s="62"/>
      <c r="V231" s="62"/>
      <c r="W231" s="83">
        <f>IFERROR(INDEX('Resource Rate Library'!$I$5:$I$85,MATCH(P231,'Resource Rate Library'!$A$5:$A$85,0)),0)</f>
        <v>0</v>
      </c>
      <c r="X231" s="52"/>
      <c r="Y231" s="83">
        <f t="shared" si="20"/>
        <v>0</v>
      </c>
      <c r="Z231" s="83" t="str">
        <f t="shared" si="21"/>
        <v/>
      </c>
      <c r="AA231" s="81" t="str">
        <f>IFERROR(INDEX('Resource Rate Library'!$N$5:$N$85,MATCH(P231,'Resource Rate Library'!$A$5:$A$85,0)),"")</f>
        <v/>
      </c>
      <c r="AB231" s="53"/>
      <c r="AC231" s="59"/>
      <c r="AD231" s="81" t="str">
        <f>IFERROR(INDEX('Resource Rate Library'!$G$5:$G$85,MATCH(P231,'Resource Rate Library'!$A$5:$A$85,0)),"")</f>
        <v/>
      </c>
      <c r="AE231" s="81" t="str">
        <f>IFERROR(INDEX('Resource Rate Library'!$H$5:$H$85,MATCH(P231,'Resource Rate Library'!$A$5:$A$85,0)),"")</f>
        <v/>
      </c>
      <c r="AF231" s="53"/>
      <c r="AG231" s="53"/>
      <c r="AH231" s="53"/>
      <c r="AI231" s="81" t="str">
        <f t="shared" si="22"/>
        <v/>
      </c>
      <c r="AJ231" s="54"/>
      <c r="AK231" s="197"/>
      <c r="AL231" s="197"/>
      <c r="AM231" s="197"/>
      <c r="AN231" s="199">
        <f>IF(AND(AK231="Yes",OR(O231="Labour",O231="Plant")),Z231,0)</f>
        <v>0</v>
      </c>
    </row>
    <row r="232" spans="1:40" x14ac:dyDescent="0.2">
      <c r="A232" s="80" t="str">
        <f>IF(B232="","",B232&amp;"-"&amp;TEXT(COUNTIF($B$7:B232,B232),"000"))</f>
        <v/>
      </c>
      <c r="B232" s="53"/>
      <c r="C232" s="81" t="str">
        <f>IFERROR(INDEX('QS Takeoff'!$A$3:$A$194,MATCH(B232,'QS Takeoff'!$B$3:$B$194,0)),"")</f>
        <v/>
      </c>
      <c r="D232" s="81" t="str">
        <f>IFERROR(INDEX('QS Takeoff'!$C$3:$C$194,MATCH(B232,'QS Takeoff'!$B$3:$B$194,0)),"")</f>
        <v/>
      </c>
      <c r="E232" s="81" t="str">
        <f>IFERROR(INDEX('QS Takeoff'!$E$3:$E$194,MATCH(B232,'QS Takeoff'!$B$3:$B$194,0)),"")</f>
        <v/>
      </c>
      <c r="F232" s="81" t="str">
        <f>IFERROR(INDEX('QS Takeoff'!$D$3:$D$194,MATCH(B232,'QS Takeoff'!$B$3:$B$194,0)),"")</f>
        <v/>
      </c>
      <c r="G232" s="81" t="str">
        <f>IFERROR(INDEX('QS Takeoff'!$J$3:$J$194,MATCH(B232,'QS Takeoff'!$B$3:$B$194,0)),"")</f>
        <v/>
      </c>
      <c r="H232" s="53"/>
      <c r="I232" s="60"/>
      <c r="J232" s="60"/>
      <c r="K232" s="82" t="str">
        <f t="shared" si="18"/>
        <v/>
      </c>
      <c r="L232" s="60"/>
      <c r="M232" s="82" t="str">
        <f t="shared" si="19"/>
        <v/>
      </c>
      <c r="N232" s="53"/>
      <c r="O232" s="53"/>
      <c r="P232" s="53"/>
      <c r="Q232" s="81" t="str">
        <f>IFERROR(INDEX('Resource Rate Library'!$C$5:$C$85,MATCH(P232,'Resource Rate Library'!$A$5:$A$85,0)),"")</f>
        <v/>
      </c>
      <c r="R232" s="53"/>
      <c r="S232" s="53"/>
      <c r="T232" s="81" t="str">
        <f>IFERROR(INDEX('Resource Rate Library'!$E$5:$E$85,MATCH(P232,'Resource Rate Library'!$A$5:$A$85,0)),"")</f>
        <v/>
      </c>
      <c r="U232" s="62"/>
      <c r="V232" s="62"/>
      <c r="W232" s="83">
        <f>IFERROR(INDEX('Resource Rate Library'!$I$5:$I$85,MATCH(P232,'Resource Rate Library'!$A$5:$A$85,0)),0)</f>
        <v>0</v>
      </c>
      <c r="X232" s="52"/>
      <c r="Y232" s="83">
        <f t="shared" si="20"/>
        <v>0</v>
      </c>
      <c r="Z232" s="83" t="str">
        <f t="shared" si="21"/>
        <v/>
      </c>
      <c r="AA232" s="81" t="str">
        <f>IFERROR(INDEX('Resource Rate Library'!$N$5:$N$85,MATCH(P232,'Resource Rate Library'!$A$5:$A$85,0)),"")</f>
        <v/>
      </c>
      <c r="AB232" s="53"/>
      <c r="AC232" s="59"/>
      <c r="AD232" s="81" t="str">
        <f>IFERROR(INDEX('Resource Rate Library'!$G$5:$G$85,MATCH(P232,'Resource Rate Library'!$A$5:$A$85,0)),"")</f>
        <v/>
      </c>
      <c r="AE232" s="81" t="str">
        <f>IFERROR(INDEX('Resource Rate Library'!$H$5:$H$85,MATCH(P232,'Resource Rate Library'!$A$5:$A$85,0)),"")</f>
        <v/>
      </c>
      <c r="AF232" s="53"/>
      <c r="AG232" s="53"/>
      <c r="AH232" s="53"/>
      <c r="AI232" s="81" t="str">
        <f t="shared" si="22"/>
        <v/>
      </c>
      <c r="AJ232" s="54"/>
      <c r="AK232" s="197"/>
      <c r="AL232" s="197"/>
      <c r="AM232" s="197"/>
      <c r="AN232" s="199">
        <f>IF(AND(AK232="Yes",OR(O232="Labour",O232="Plant")),Z232,0)</f>
        <v>0</v>
      </c>
    </row>
    <row r="233" spans="1:40" x14ac:dyDescent="0.2">
      <c r="A233" s="80" t="str">
        <f>IF(B233="","",B233&amp;"-"&amp;TEXT(COUNTIF($B$7:B233,B233),"000"))</f>
        <v/>
      </c>
      <c r="B233" s="53"/>
      <c r="C233" s="81" t="str">
        <f>IFERROR(INDEX('QS Takeoff'!$A$3:$A$194,MATCH(B233,'QS Takeoff'!$B$3:$B$194,0)),"")</f>
        <v/>
      </c>
      <c r="D233" s="81" t="str">
        <f>IFERROR(INDEX('QS Takeoff'!$C$3:$C$194,MATCH(B233,'QS Takeoff'!$B$3:$B$194,0)),"")</f>
        <v/>
      </c>
      <c r="E233" s="81" t="str">
        <f>IFERROR(INDEX('QS Takeoff'!$E$3:$E$194,MATCH(B233,'QS Takeoff'!$B$3:$B$194,0)),"")</f>
        <v/>
      </c>
      <c r="F233" s="81" t="str">
        <f>IFERROR(INDEX('QS Takeoff'!$D$3:$D$194,MATCH(B233,'QS Takeoff'!$B$3:$B$194,0)),"")</f>
        <v/>
      </c>
      <c r="G233" s="81" t="str">
        <f>IFERROR(INDEX('QS Takeoff'!$J$3:$J$194,MATCH(B233,'QS Takeoff'!$B$3:$B$194,0)),"")</f>
        <v/>
      </c>
      <c r="H233" s="53"/>
      <c r="I233" s="60"/>
      <c r="J233" s="60"/>
      <c r="K233" s="82" t="str">
        <f t="shared" si="18"/>
        <v/>
      </c>
      <c r="L233" s="60"/>
      <c r="M233" s="82" t="str">
        <f t="shared" si="19"/>
        <v/>
      </c>
      <c r="N233" s="53"/>
      <c r="O233" s="53"/>
      <c r="P233" s="53"/>
      <c r="Q233" s="81" t="str">
        <f>IFERROR(INDEX('Resource Rate Library'!$C$5:$C$85,MATCH(P233,'Resource Rate Library'!$A$5:$A$85,0)),"")</f>
        <v/>
      </c>
      <c r="R233" s="53"/>
      <c r="S233" s="53"/>
      <c r="T233" s="81" t="str">
        <f>IFERROR(INDEX('Resource Rate Library'!$E$5:$E$85,MATCH(P233,'Resource Rate Library'!$A$5:$A$85,0)),"")</f>
        <v/>
      </c>
      <c r="U233" s="62"/>
      <c r="V233" s="62"/>
      <c r="W233" s="83">
        <f>IFERROR(INDEX('Resource Rate Library'!$I$5:$I$85,MATCH(P233,'Resource Rate Library'!$A$5:$A$85,0)),0)</f>
        <v>0</v>
      </c>
      <c r="X233" s="52"/>
      <c r="Y233" s="83">
        <f t="shared" si="20"/>
        <v>0</v>
      </c>
      <c r="Z233" s="83" t="str">
        <f t="shared" si="21"/>
        <v/>
      </c>
      <c r="AA233" s="81" t="str">
        <f>IFERROR(INDEX('Resource Rate Library'!$N$5:$N$85,MATCH(P233,'Resource Rate Library'!$A$5:$A$85,0)),"")</f>
        <v/>
      </c>
      <c r="AB233" s="53"/>
      <c r="AC233" s="59"/>
      <c r="AD233" s="81" t="str">
        <f>IFERROR(INDEX('Resource Rate Library'!$G$5:$G$85,MATCH(P233,'Resource Rate Library'!$A$5:$A$85,0)),"")</f>
        <v/>
      </c>
      <c r="AE233" s="81" t="str">
        <f>IFERROR(INDEX('Resource Rate Library'!$H$5:$H$85,MATCH(P233,'Resource Rate Library'!$A$5:$A$85,0)),"")</f>
        <v/>
      </c>
      <c r="AF233" s="53"/>
      <c r="AG233" s="53"/>
      <c r="AH233" s="53"/>
      <c r="AI233" s="81" t="str">
        <f t="shared" si="22"/>
        <v/>
      </c>
      <c r="AJ233" s="54"/>
      <c r="AK233" s="197"/>
      <c r="AL233" s="197"/>
      <c r="AM233" s="197"/>
      <c r="AN233" s="199">
        <f>IF(AND(AK233="Yes",OR(O233="Labour",O233="Plant")),Z233,0)</f>
        <v>0</v>
      </c>
    </row>
    <row r="234" spans="1:40" x14ac:dyDescent="0.2">
      <c r="A234" s="80" t="str">
        <f>IF(B234="","",B234&amp;"-"&amp;TEXT(COUNTIF($B$7:B234,B234),"000"))</f>
        <v/>
      </c>
      <c r="B234" s="53"/>
      <c r="C234" s="81" t="str">
        <f>IFERROR(INDEX('QS Takeoff'!$A$3:$A$194,MATCH(B234,'QS Takeoff'!$B$3:$B$194,0)),"")</f>
        <v/>
      </c>
      <c r="D234" s="81" t="str">
        <f>IFERROR(INDEX('QS Takeoff'!$C$3:$C$194,MATCH(B234,'QS Takeoff'!$B$3:$B$194,0)),"")</f>
        <v/>
      </c>
      <c r="E234" s="81" t="str">
        <f>IFERROR(INDEX('QS Takeoff'!$E$3:$E$194,MATCH(B234,'QS Takeoff'!$B$3:$B$194,0)),"")</f>
        <v/>
      </c>
      <c r="F234" s="81" t="str">
        <f>IFERROR(INDEX('QS Takeoff'!$D$3:$D$194,MATCH(B234,'QS Takeoff'!$B$3:$B$194,0)),"")</f>
        <v/>
      </c>
      <c r="G234" s="81" t="str">
        <f>IFERROR(INDEX('QS Takeoff'!$J$3:$J$194,MATCH(B234,'QS Takeoff'!$B$3:$B$194,0)),"")</f>
        <v/>
      </c>
      <c r="H234" s="53"/>
      <c r="I234" s="60"/>
      <c r="J234" s="60"/>
      <c r="K234" s="82" t="str">
        <f t="shared" si="18"/>
        <v/>
      </c>
      <c r="L234" s="60"/>
      <c r="M234" s="82" t="str">
        <f t="shared" si="19"/>
        <v/>
      </c>
      <c r="N234" s="53"/>
      <c r="O234" s="53"/>
      <c r="P234" s="53"/>
      <c r="Q234" s="81" t="str">
        <f>IFERROR(INDEX('Resource Rate Library'!$C$5:$C$85,MATCH(P234,'Resource Rate Library'!$A$5:$A$85,0)),"")</f>
        <v/>
      </c>
      <c r="R234" s="53"/>
      <c r="S234" s="53"/>
      <c r="T234" s="81" t="str">
        <f>IFERROR(INDEX('Resource Rate Library'!$E$5:$E$85,MATCH(P234,'Resource Rate Library'!$A$5:$A$85,0)),"")</f>
        <v/>
      </c>
      <c r="U234" s="62"/>
      <c r="V234" s="62"/>
      <c r="W234" s="83">
        <f>IFERROR(INDEX('Resource Rate Library'!$I$5:$I$85,MATCH(P234,'Resource Rate Library'!$A$5:$A$85,0)),0)</f>
        <v>0</v>
      </c>
      <c r="X234" s="52"/>
      <c r="Y234" s="83">
        <f t="shared" si="20"/>
        <v>0</v>
      </c>
      <c r="Z234" s="83" t="str">
        <f t="shared" si="21"/>
        <v/>
      </c>
      <c r="AA234" s="81" t="str">
        <f>IFERROR(INDEX('Resource Rate Library'!$N$5:$N$85,MATCH(P234,'Resource Rate Library'!$A$5:$A$85,0)),"")</f>
        <v/>
      </c>
      <c r="AB234" s="53"/>
      <c r="AC234" s="59"/>
      <c r="AD234" s="81" t="str">
        <f>IFERROR(INDEX('Resource Rate Library'!$G$5:$G$85,MATCH(P234,'Resource Rate Library'!$A$5:$A$85,0)),"")</f>
        <v/>
      </c>
      <c r="AE234" s="81" t="str">
        <f>IFERROR(INDEX('Resource Rate Library'!$H$5:$H$85,MATCH(P234,'Resource Rate Library'!$A$5:$A$85,0)),"")</f>
        <v/>
      </c>
      <c r="AF234" s="53"/>
      <c r="AG234" s="53"/>
      <c r="AH234" s="53"/>
      <c r="AI234" s="81" t="str">
        <f t="shared" si="22"/>
        <v/>
      </c>
      <c r="AJ234" s="54"/>
      <c r="AK234" s="197"/>
      <c r="AL234" s="197"/>
      <c r="AM234" s="197"/>
      <c r="AN234" s="199">
        <f>IF(AND(AK234="Yes",OR(O234="Labour",O234="Plant")),Z234,0)</f>
        <v>0</v>
      </c>
    </row>
    <row r="235" spans="1:40" x14ac:dyDescent="0.2">
      <c r="A235" s="80" t="str">
        <f>IF(B235="","",B235&amp;"-"&amp;TEXT(COUNTIF($B$7:B235,B235),"000"))</f>
        <v/>
      </c>
      <c r="B235" s="53"/>
      <c r="C235" s="81" t="str">
        <f>IFERROR(INDEX('QS Takeoff'!$A$3:$A$194,MATCH(B235,'QS Takeoff'!$B$3:$B$194,0)),"")</f>
        <v/>
      </c>
      <c r="D235" s="81" t="str">
        <f>IFERROR(INDEX('QS Takeoff'!$C$3:$C$194,MATCH(B235,'QS Takeoff'!$B$3:$B$194,0)),"")</f>
        <v/>
      </c>
      <c r="E235" s="81" t="str">
        <f>IFERROR(INDEX('QS Takeoff'!$E$3:$E$194,MATCH(B235,'QS Takeoff'!$B$3:$B$194,0)),"")</f>
        <v/>
      </c>
      <c r="F235" s="81" t="str">
        <f>IFERROR(INDEX('QS Takeoff'!$D$3:$D$194,MATCH(B235,'QS Takeoff'!$B$3:$B$194,0)),"")</f>
        <v/>
      </c>
      <c r="G235" s="81" t="str">
        <f>IFERROR(INDEX('QS Takeoff'!$J$3:$J$194,MATCH(B235,'QS Takeoff'!$B$3:$B$194,0)),"")</f>
        <v/>
      </c>
      <c r="H235" s="53"/>
      <c r="I235" s="60"/>
      <c r="J235" s="60"/>
      <c r="K235" s="82" t="str">
        <f t="shared" si="18"/>
        <v/>
      </c>
      <c r="L235" s="60"/>
      <c r="M235" s="82" t="str">
        <f t="shared" si="19"/>
        <v/>
      </c>
      <c r="N235" s="53"/>
      <c r="O235" s="53"/>
      <c r="P235" s="53"/>
      <c r="Q235" s="81" t="str">
        <f>IFERROR(INDEX('Resource Rate Library'!$C$5:$C$85,MATCH(P235,'Resource Rate Library'!$A$5:$A$85,0)),"")</f>
        <v/>
      </c>
      <c r="R235" s="53"/>
      <c r="S235" s="53"/>
      <c r="T235" s="81" t="str">
        <f>IFERROR(INDEX('Resource Rate Library'!$E$5:$E$85,MATCH(P235,'Resource Rate Library'!$A$5:$A$85,0)),"")</f>
        <v/>
      </c>
      <c r="U235" s="62"/>
      <c r="V235" s="62"/>
      <c r="W235" s="83">
        <f>IFERROR(INDEX('Resource Rate Library'!$I$5:$I$85,MATCH(P235,'Resource Rate Library'!$A$5:$A$85,0)),0)</f>
        <v>0</v>
      </c>
      <c r="X235" s="52"/>
      <c r="Y235" s="83">
        <f t="shared" si="20"/>
        <v>0</v>
      </c>
      <c r="Z235" s="83" t="str">
        <f t="shared" si="21"/>
        <v/>
      </c>
      <c r="AA235" s="81" t="str">
        <f>IFERROR(INDEX('Resource Rate Library'!$N$5:$N$85,MATCH(P235,'Resource Rate Library'!$A$5:$A$85,0)),"")</f>
        <v/>
      </c>
      <c r="AB235" s="53"/>
      <c r="AC235" s="59"/>
      <c r="AD235" s="81" t="str">
        <f>IFERROR(INDEX('Resource Rate Library'!$G$5:$G$85,MATCH(P235,'Resource Rate Library'!$A$5:$A$85,0)),"")</f>
        <v/>
      </c>
      <c r="AE235" s="81" t="str">
        <f>IFERROR(INDEX('Resource Rate Library'!$H$5:$H$85,MATCH(P235,'Resource Rate Library'!$A$5:$A$85,0)),"")</f>
        <v/>
      </c>
      <c r="AF235" s="53"/>
      <c r="AG235" s="53"/>
      <c r="AH235" s="53"/>
      <c r="AI235" s="81" t="str">
        <f t="shared" si="22"/>
        <v/>
      </c>
      <c r="AJ235" s="54"/>
      <c r="AK235" s="197"/>
      <c r="AL235" s="197"/>
      <c r="AM235" s="197"/>
      <c r="AN235" s="199">
        <f>IF(AND(AK235="Yes",OR(O235="Labour",O235="Plant")),Z235,0)</f>
        <v>0</v>
      </c>
    </row>
    <row r="236" spans="1:40" x14ac:dyDescent="0.2">
      <c r="A236" s="80" t="str">
        <f>IF(B236="","",B236&amp;"-"&amp;TEXT(COUNTIF($B$7:B236,B236),"000"))</f>
        <v/>
      </c>
      <c r="B236" s="53"/>
      <c r="C236" s="81" t="str">
        <f>IFERROR(INDEX('QS Takeoff'!$A$3:$A$194,MATCH(B236,'QS Takeoff'!$B$3:$B$194,0)),"")</f>
        <v/>
      </c>
      <c r="D236" s="81" t="str">
        <f>IFERROR(INDEX('QS Takeoff'!$C$3:$C$194,MATCH(B236,'QS Takeoff'!$B$3:$B$194,0)),"")</f>
        <v/>
      </c>
      <c r="E236" s="81" t="str">
        <f>IFERROR(INDEX('QS Takeoff'!$E$3:$E$194,MATCH(B236,'QS Takeoff'!$B$3:$B$194,0)),"")</f>
        <v/>
      </c>
      <c r="F236" s="81" t="str">
        <f>IFERROR(INDEX('QS Takeoff'!$D$3:$D$194,MATCH(B236,'QS Takeoff'!$B$3:$B$194,0)),"")</f>
        <v/>
      </c>
      <c r="G236" s="81" t="str">
        <f>IFERROR(INDEX('QS Takeoff'!$J$3:$J$194,MATCH(B236,'QS Takeoff'!$B$3:$B$194,0)),"")</f>
        <v/>
      </c>
      <c r="H236" s="53"/>
      <c r="I236" s="60"/>
      <c r="J236" s="60"/>
      <c r="K236" s="82" t="str">
        <f t="shared" si="18"/>
        <v/>
      </c>
      <c r="L236" s="60"/>
      <c r="M236" s="82" t="str">
        <f t="shared" si="19"/>
        <v/>
      </c>
      <c r="N236" s="53"/>
      <c r="O236" s="53"/>
      <c r="P236" s="53"/>
      <c r="Q236" s="81" t="str">
        <f>IFERROR(INDEX('Resource Rate Library'!$C$5:$C$85,MATCH(P236,'Resource Rate Library'!$A$5:$A$85,0)),"")</f>
        <v/>
      </c>
      <c r="R236" s="53"/>
      <c r="S236" s="53"/>
      <c r="T236" s="81" t="str">
        <f>IFERROR(INDEX('Resource Rate Library'!$E$5:$E$85,MATCH(P236,'Resource Rate Library'!$A$5:$A$85,0)),"")</f>
        <v/>
      </c>
      <c r="U236" s="62"/>
      <c r="V236" s="62"/>
      <c r="W236" s="83">
        <f>IFERROR(INDEX('Resource Rate Library'!$I$5:$I$85,MATCH(P236,'Resource Rate Library'!$A$5:$A$85,0)),0)</f>
        <v>0</v>
      </c>
      <c r="X236" s="52"/>
      <c r="Y236" s="83">
        <f t="shared" si="20"/>
        <v>0</v>
      </c>
      <c r="Z236" s="83" t="str">
        <f t="shared" si="21"/>
        <v/>
      </c>
      <c r="AA236" s="81" t="str">
        <f>IFERROR(INDEX('Resource Rate Library'!$N$5:$N$85,MATCH(P236,'Resource Rate Library'!$A$5:$A$85,0)),"")</f>
        <v/>
      </c>
      <c r="AB236" s="53"/>
      <c r="AC236" s="59"/>
      <c r="AD236" s="81" t="str">
        <f>IFERROR(INDEX('Resource Rate Library'!$G$5:$G$85,MATCH(P236,'Resource Rate Library'!$A$5:$A$85,0)),"")</f>
        <v/>
      </c>
      <c r="AE236" s="81" t="str">
        <f>IFERROR(INDEX('Resource Rate Library'!$H$5:$H$85,MATCH(P236,'Resource Rate Library'!$A$5:$A$85,0)),"")</f>
        <v/>
      </c>
      <c r="AF236" s="53"/>
      <c r="AG236" s="53"/>
      <c r="AH236" s="53"/>
      <c r="AI236" s="81" t="str">
        <f t="shared" si="22"/>
        <v/>
      </c>
      <c r="AJ236" s="54"/>
      <c r="AK236" s="197"/>
      <c r="AL236" s="197"/>
      <c r="AM236" s="197"/>
      <c r="AN236" s="199">
        <f>IF(AND(AK236="Yes",OR(O236="Labour",O236="Plant")),Z236,0)</f>
        <v>0</v>
      </c>
    </row>
    <row r="237" spans="1:40" x14ac:dyDescent="0.2">
      <c r="A237" s="80" t="str">
        <f>IF(B237="","",B237&amp;"-"&amp;TEXT(COUNTIF($B$7:B237,B237),"000"))</f>
        <v/>
      </c>
      <c r="B237" s="53"/>
      <c r="C237" s="81" t="str">
        <f>IFERROR(INDEX('QS Takeoff'!$A$3:$A$194,MATCH(B237,'QS Takeoff'!$B$3:$B$194,0)),"")</f>
        <v/>
      </c>
      <c r="D237" s="81" t="str">
        <f>IFERROR(INDEX('QS Takeoff'!$C$3:$C$194,MATCH(B237,'QS Takeoff'!$B$3:$B$194,0)),"")</f>
        <v/>
      </c>
      <c r="E237" s="81" t="str">
        <f>IFERROR(INDEX('QS Takeoff'!$E$3:$E$194,MATCH(B237,'QS Takeoff'!$B$3:$B$194,0)),"")</f>
        <v/>
      </c>
      <c r="F237" s="81" t="str">
        <f>IFERROR(INDEX('QS Takeoff'!$D$3:$D$194,MATCH(B237,'QS Takeoff'!$B$3:$B$194,0)),"")</f>
        <v/>
      </c>
      <c r="G237" s="81" t="str">
        <f>IFERROR(INDEX('QS Takeoff'!$J$3:$J$194,MATCH(B237,'QS Takeoff'!$B$3:$B$194,0)),"")</f>
        <v/>
      </c>
      <c r="H237" s="53"/>
      <c r="I237" s="60"/>
      <c r="J237" s="60"/>
      <c r="K237" s="82" t="str">
        <f t="shared" si="18"/>
        <v/>
      </c>
      <c r="L237" s="60"/>
      <c r="M237" s="82" t="str">
        <f t="shared" si="19"/>
        <v/>
      </c>
      <c r="N237" s="53"/>
      <c r="O237" s="53"/>
      <c r="P237" s="53"/>
      <c r="Q237" s="81" t="str">
        <f>IFERROR(INDEX('Resource Rate Library'!$C$5:$C$85,MATCH(P237,'Resource Rate Library'!$A$5:$A$85,0)),"")</f>
        <v/>
      </c>
      <c r="R237" s="53"/>
      <c r="S237" s="53"/>
      <c r="T237" s="81" t="str">
        <f>IFERROR(INDEX('Resource Rate Library'!$E$5:$E$85,MATCH(P237,'Resource Rate Library'!$A$5:$A$85,0)),"")</f>
        <v/>
      </c>
      <c r="U237" s="62"/>
      <c r="V237" s="62"/>
      <c r="W237" s="83">
        <f>IFERROR(INDEX('Resource Rate Library'!$I$5:$I$85,MATCH(P237,'Resource Rate Library'!$A$5:$A$85,0)),0)</f>
        <v>0</v>
      </c>
      <c r="X237" s="52"/>
      <c r="Y237" s="83">
        <f t="shared" si="20"/>
        <v>0</v>
      </c>
      <c r="Z237" s="83" t="str">
        <f t="shared" si="21"/>
        <v/>
      </c>
      <c r="AA237" s="81" t="str">
        <f>IFERROR(INDEX('Resource Rate Library'!$N$5:$N$85,MATCH(P237,'Resource Rate Library'!$A$5:$A$85,0)),"")</f>
        <v/>
      </c>
      <c r="AB237" s="53"/>
      <c r="AC237" s="59"/>
      <c r="AD237" s="81" t="str">
        <f>IFERROR(INDEX('Resource Rate Library'!$G$5:$G$85,MATCH(P237,'Resource Rate Library'!$A$5:$A$85,0)),"")</f>
        <v/>
      </c>
      <c r="AE237" s="81" t="str">
        <f>IFERROR(INDEX('Resource Rate Library'!$H$5:$H$85,MATCH(P237,'Resource Rate Library'!$A$5:$A$85,0)),"")</f>
        <v/>
      </c>
      <c r="AF237" s="53"/>
      <c r="AG237" s="53"/>
      <c r="AH237" s="53"/>
      <c r="AI237" s="81" t="str">
        <f t="shared" si="22"/>
        <v/>
      </c>
      <c r="AJ237" s="54"/>
      <c r="AK237" s="197"/>
      <c r="AL237" s="197"/>
      <c r="AM237" s="197"/>
      <c r="AN237" s="199">
        <f>IF(AND(AK237="Yes",OR(O237="Labour",O237="Plant")),Z237,0)</f>
        <v>0</v>
      </c>
    </row>
    <row r="238" spans="1:40" x14ac:dyDescent="0.2">
      <c r="A238" s="80" t="str">
        <f>IF(B238="","",B238&amp;"-"&amp;TEXT(COUNTIF($B$7:B238,B238),"000"))</f>
        <v/>
      </c>
      <c r="B238" s="53"/>
      <c r="C238" s="81" t="str">
        <f>IFERROR(INDEX('QS Takeoff'!$A$3:$A$194,MATCH(B238,'QS Takeoff'!$B$3:$B$194,0)),"")</f>
        <v/>
      </c>
      <c r="D238" s="81" t="str">
        <f>IFERROR(INDEX('QS Takeoff'!$C$3:$C$194,MATCH(B238,'QS Takeoff'!$B$3:$B$194,0)),"")</f>
        <v/>
      </c>
      <c r="E238" s="81" t="str">
        <f>IFERROR(INDEX('QS Takeoff'!$E$3:$E$194,MATCH(B238,'QS Takeoff'!$B$3:$B$194,0)),"")</f>
        <v/>
      </c>
      <c r="F238" s="81" t="str">
        <f>IFERROR(INDEX('QS Takeoff'!$D$3:$D$194,MATCH(B238,'QS Takeoff'!$B$3:$B$194,0)),"")</f>
        <v/>
      </c>
      <c r="G238" s="81" t="str">
        <f>IFERROR(INDEX('QS Takeoff'!$J$3:$J$194,MATCH(B238,'QS Takeoff'!$B$3:$B$194,0)),"")</f>
        <v/>
      </c>
      <c r="H238" s="53"/>
      <c r="I238" s="60"/>
      <c r="J238" s="60"/>
      <c r="K238" s="82" t="str">
        <f t="shared" si="18"/>
        <v/>
      </c>
      <c r="L238" s="60"/>
      <c r="M238" s="82" t="str">
        <f t="shared" si="19"/>
        <v/>
      </c>
      <c r="N238" s="53"/>
      <c r="O238" s="53"/>
      <c r="P238" s="53"/>
      <c r="Q238" s="81" t="str">
        <f>IFERROR(INDEX('Resource Rate Library'!$C$5:$C$85,MATCH(P238,'Resource Rate Library'!$A$5:$A$85,0)),"")</f>
        <v/>
      </c>
      <c r="R238" s="53"/>
      <c r="S238" s="53"/>
      <c r="T238" s="81" t="str">
        <f>IFERROR(INDEX('Resource Rate Library'!$E$5:$E$85,MATCH(P238,'Resource Rate Library'!$A$5:$A$85,0)),"")</f>
        <v/>
      </c>
      <c r="U238" s="62"/>
      <c r="V238" s="62"/>
      <c r="W238" s="83">
        <f>IFERROR(INDEX('Resource Rate Library'!$I$5:$I$85,MATCH(P238,'Resource Rate Library'!$A$5:$A$85,0)),0)</f>
        <v>0</v>
      </c>
      <c r="X238" s="52"/>
      <c r="Y238" s="83">
        <f t="shared" si="20"/>
        <v>0</v>
      </c>
      <c r="Z238" s="83" t="str">
        <f t="shared" si="21"/>
        <v/>
      </c>
      <c r="AA238" s="81" t="str">
        <f>IFERROR(INDEX('Resource Rate Library'!$N$5:$N$85,MATCH(P238,'Resource Rate Library'!$A$5:$A$85,0)),"")</f>
        <v/>
      </c>
      <c r="AB238" s="53"/>
      <c r="AC238" s="59"/>
      <c r="AD238" s="81" t="str">
        <f>IFERROR(INDEX('Resource Rate Library'!$G$5:$G$85,MATCH(P238,'Resource Rate Library'!$A$5:$A$85,0)),"")</f>
        <v/>
      </c>
      <c r="AE238" s="81" t="str">
        <f>IFERROR(INDEX('Resource Rate Library'!$H$5:$H$85,MATCH(P238,'Resource Rate Library'!$A$5:$A$85,0)),"")</f>
        <v/>
      </c>
      <c r="AF238" s="53"/>
      <c r="AG238" s="53"/>
      <c r="AH238" s="53"/>
      <c r="AI238" s="81" t="str">
        <f t="shared" si="22"/>
        <v/>
      </c>
      <c r="AJ238" s="54"/>
      <c r="AK238" s="197"/>
      <c r="AL238" s="197"/>
      <c r="AM238" s="197"/>
      <c r="AN238" s="199">
        <f>IF(AND(AK238="Yes",OR(O238="Labour",O238="Plant")),Z238,0)</f>
        <v>0</v>
      </c>
    </row>
    <row r="239" spans="1:40" x14ac:dyDescent="0.2">
      <c r="A239" s="80" t="str">
        <f>IF(B239="","",B239&amp;"-"&amp;TEXT(COUNTIF($B$7:B239,B239),"000"))</f>
        <v/>
      </c>
      <c r="B239" s="53"/>
      <c r="C239" s="81" t="str">
        <f>IFERROR(INDEX('QS Takeoff'!$A$3:$A$194,MATCH(B239,'QS Takeoff'!$B$3:$B$194,0)),"")</f>
        <v/>
      </c>
      <c r="D239" s="81" t="str">
        <f>IFERROR(INDEX('QS Takeoff'!$C$3:$C$194,MATCH(B239,'QS Takeoff'!$B$3:$B$194,0)),"")</f>
        <v/>
      </c>
      <c r="E239" s="81" t="str">
        <f>IFERROR(INDEX('QS Takeoff'!$E$3:$E$194,MATCH(B239,'QS Takeoff'!$B$3:$B$194,0)),"")</f>
        <v/>
      </c>
      <c r="F239" s="81" t="str">
        <f>IFERROR(INDEX('QS Takeoff'!$D$3:$D$194,MATCH(B239,'QS Takeoff'!$B$3:$B$194,0)),"")</f>
        <v/>
      </c>
      <c r="G239" s="81" t="str">
        <f>IFERROR(INDEX('QS Takeoff'!$J$3:$J$194,MATCH(B239,'QS Takeoff'!$B$3:$B$194,0)),"")</f>
        <v/>
      </c>
      <c r="H239" s="53"/>
      <c r="I239" s="60"/>
      <c r="J239" s="60"/>
      <c r="K239" s="82" t="str">
        <f t="shared" si="18"/>
        <v/>
      </c>
      <c r="L239" s="60"/>
      <c r="M239" s="82" t="str">
        <f t="shared" si="19"/>
        <v/>
      </c>
      <c r="N239" s="53"/>
      <c r="O239" s="53"/>
      <c r="P239" s="53"/>
      <c r="Q239" s="81" t="str">
        <f>IFERROR(INDEX('Resource Rate Library'!$C$5:$C$85,MATCH(P239,'Resource Rate Library'!$A$5:$A$85,0)),"")</f>
        <v/>
      </c>
      <c r="R239" s="53"/>
      <c r="S239" s="53"/>
      <c r="T239" s="81" t="str">
        <f>IFERROR(INDEX('Resource Rate Library'!$E$5:$E$85,MATCH(P239,'Resource Rate Library'!$A$5:$A$85,0)),"")</f>
        <v/>
      </c>
      <c r="U239" s="62"/>
      <c r="V239" s="62"/>
      <c r="W239" s="83">
        <f>IFERROR(INDEX('Resource Rate Library'!$I$5:$I$85,MATCH(P239,'Resource Rate Library'!$A$5:$A$85,0)),0)</f>
        <v>0</v>
      </c>
      <c r="X239" s="52"/>
      <c r="Y239" s="83">
        <f t="shared" si="20"/>
        <v>0</v>
      </c>
      <c r="Z239" s="83" t="str">
        <f t="shared" si="21"/>
        <v/>
      </c>
      <c r="AA239" s="81" t="str">
        <f>IFERROR(INDEX('Resource Rate Library'!$N$5:$N$85,MATCH(P239,'Resource Rate Library'!$A$5:$A$85,0)),"")</f>
        <v/>
      </c>
      <c r="AB239" s="53"/>
      <c r="AC239" s="59"/>
      <c r="AD239" s="81" t="str">
        <f>IFERROR(INDEX('Resource Rate Library'!$G$5:$G$85,MATCH(P239,'Resource Rate Library'!$A$5:$A$85,0)),"")</f>
        <v/>
      </c>
      <c r="AE239" s="81" t="str">
        <f>IFERROR(INDEX('Resource Rate Library'!$H$5:$H$85,MATCH(P239,'Resource Rate Library'!$A$5:$A$85,0)),"")</f>
        <v/>
      </c>
      <c r="AF239" s="53"/>
      <c r="AG239" s="53"/>
      <c r="AH239" s="53"/>
      <c r="AI239" s="81" t="str">
        <f t="shared" si="22"/>
        <v/>
      </c>
      <c r="AJ239" s="54"/>
      <c r="AK239" s="197"/>
      <c r="AL239" s="197"/>
      <c r="AM239" s="197"/>
      <c r="AN239" s="199">
        <f>IF(AND(AK239="Yes",OR(O239="Labour",O239="Plant")),Z239,0)</f>
        <v>0</v>
      </c>
    </row>
    <row r="240" spans="1:40" x14ac:dyDescent="0.2">
      <c r="A240" s="80" t="str">
        <f>IF(B240="","",B240&amp;"-"&amp;TEXT(COUNTIF($B$7:B240,B240),"000"))</f>
        <v/>
      </c>
      <c r="B240" s="53"/>
      <c r="C240" s="81" t="str">
        <f>IFERROR(INDEX('QS Takeoff'!$A$3:$A$194,MATCH(B240,'QS Takeoff'!$B$3:$B$194,0)),"")</f>
        <v/>
      </c>
      <c r="D240" s="81" t="str">
        <f>IFERROR(INDEX('QS Takeoff'!$C$3:$C$194,MATCH(B240,'QS Takeoff'!$B$3:$B$194,0)),"")</f>
        <v/>
      </c>
      <c r="E240" s="81" t="str">
        <f>IFERROR(INDEX('QS Takeoff'!$E$3:$E$194,MATCH(B240,'QS Takeoff'!$B$3:$B$194,0)),"")</f>
        <v/>
      </c>
      <c r="F240" s="81" t="str">
        <f>IFERROR(INDEX('QS Takeoff'!$D$3:$D$194,MATCH(B240,'QS Takeoff'!$B$3:$B$194,0)),"")</f>
        <v/>
      </c>
      <c r="G240" s="81" t="str">
        <f>IFERROR(INDEX('QS Takeoff'!$J$3:$J$194,MATCH(B240,'QS Takeoff'!$B$3:$B$194,0)),"")</f>
        <v/>
      </c>
      <c r="H240" s="53"/>
      <c r="I240" s="60"/>
      <c r="J240" s="60"/>
      <c r="K240" s="82" t="str">
        <f t="shared" si="18"/>
        <v/>
      </c>
      <c r="L240" s="60"/>
      <c r="M240" s="82" t="str">
        <f t="shared" si="19"/>
        <v/>
      </c>
      <c r="N240" s="53"/>
      <c r="O240" s="53"/>
      <c r="P240" s="53"/>
      <c r="Q240" s="81" t="str">
        <f>IFERROR(INDEX('Resource Rate Library'!$C$5:$C$85,MATCH(P240,'Resource Rate Library'!$A$5:$A$85,0)),"")</f>
        <v/>
      </c>
      <c r="R240" s="53"/>
      <c r="S240" s="53"/>
      <c r="T240" s="81" t="str">
        <f>IFERROR(INDEX('Resource Rate Library'!$E$5:$E$85,MATCH(P240,'Resource Rate Library'!$A$5:$A$85,0)),"")</f>
        <v/>
      </c>
      <c r="U240" s="62"/>
      <c r="V240" s="62"/>
      <c r="W240" s="83">
        <f>IFERROR(INDEX('Resource Rate Library'!$I$5:$I$85,MATCH(P240,'Resource Rate Library'!$A$5:$A$85,0)),0)</f>
        <v>0</v>
      </c>
      <c r="X240" s="52"/>
      <c r="Y240" s="83">
        <f t="shared" si="20"/>
        <v>0</v>
      </c>
      <c r="Z240" s="83" t="str">
        <f t="shared" si="21"/>
        <v/>
      </c>
      <c r="AA240" s="81" t="str">
        <f>IFERROR(INDEX('Resource Rate Library'!$N$5:$N$85,MATCH(P240,'Resource Rate Library'!$A$5:$A$85,0)),"")</f>
        <v/>
      </c>
      <c r="AB240" s="53"/>
      <c r="AC240" s="59"/>
      <c r="AD240" s="81" t="str">
        <f>IFERROR(INDEX('Resource Rate Library'!$G$5:$G$85,MATCH(P240,'Resource Rate Library'!$A$5:$A$85,0)),"")</f>
        <v/>
      </c>
      <c r="AE240" s="81" t="str">
        <f>IFERROR(INDEX('Resource Rate Library'!$H$5:$H$85,MATCH(P240,'Resource Rate Library'!$A$5:$A$85,0)),"")</f>
        <v/>
      </c>
      <c r="AF240" s="53"/>
      <c r="AG240" s="53"/>
      <c r="AH240" s="53"/>
      <c r="AI240" s="81" t="str">
        <f t="shared" si="22"/>
        <v/>
      </c>
      <c r="AJ240" s="54"/>
      <c r="AK240" s="197"/>
      <c r="AL240" s="197"/>
      <c r="AM240" s="197"/>
      <c r="AN240" s="199">
        <f>IF(AND(AK240="Yes",OR(O240="Labour",O240="Plant")),Z240,0)</f>
        <v>0</v>
      </c>
    </row>
    <row r="241" spans="1:40" x14ac:dyDescent="0.2">
      <c r="A241" s="80" t="str">
        <f>IF(B241="","",B241&amp;"-"&amp;TEXT(COUNTIF($B$7:B241,B241),"000"))</f>
        <v/>
      </c>
      <c r="B241" s="53"/>
      <c r="C241" s="81" t="str">
        <f>IFERROR(INDEX('QS Takeoff'!$A$3:$A$194,MATCH(B241,'QS Takeoff'!$B$3:$B$194,0)),"")</f>
        <v/>
      </c>
      <c r="D241" s="81" t="str">
        <f>IFERROR(INDEX('QS Takeoff'!$C$3:$C$194,MATCH(B241,'QS Takeoff'!$B$3:$B$194,0)),"")</f>
        <v/>
      </c>
      <c r="E241" s="81" t="str">
        <f>IFERROR(INDEX('QS Takeoff'!$E$3:$E$194,MATCH(B241,'QS Takeoff'!$B$3:$B$194,0)),"")</f>
        <v/>
      </c>
      <c r="F241" s="81" t="str">
        <f>IFERROR(INDEX('QS Takeoff'!$D$3:$D$194,MATCH(B241,'QS Takeoff'!$B$3:$B$194,0)),"")</f>
        <v/>
      </c>
      <c r="G241" s="81" t="str">
        <f>IFERROR(INDEX('QS Takeoff'!$J$3:$J$194,MATCH(B241,'QS Takeoff'!$B$3:$B$194,0)),"")</f>
        <v/>
      </c>
      <c r="H241" s="53"/>
      <c r="I241" s="60"/>
      <c r="J241" s="60"/>
      <c r="K241" s="82" t="str">
        <f t="shared" si="18"/>
        <v/>
      </c>
      <c r="L241" s="60"/>
      <c r="M241" s="82" t="str">
        <f t="shared" si="19"/>
        <v/>
      </c>
      <c r="N241" s="53"/>
      <c r="O241" s="53"/>
      <c r="P241" s="53"/>
      <c r="Q241" s="81" t="str">
        <f>IFERROR(INDEX('Resource Rate Library'!$C$5:$C$85,MATCH(P241,'Resource Rate Library'!$A$5:$A$85,0)),"")</f>
        <v/>
      </c>
      <c r="R241" s="53"/>
      <c r="S241" s="53"/>
      <c r="T241" s="81" t="str">
        <f>IFERROR(INDEX('Resource Rate Library'!$E$5:$E$85,MATCH(P241,'Resource Rate Library'!$A$5:$A$85,0)),"")</f>
        <v/>
      </c>
      <c r="U241" s="62"/>
      <c r="V241" s="62"/>
      <c r="W241" s="83">
        <f>IFERROR(INDEX('Resource Rate Library'!$I$5:$I$85,MATCH(P241,'Resource Rate Library'!$A$5:$A$85,0)),0)</f>
        <v>0</v>
      </c>
      <c r="X241" s="52"/>
      <c r="Y241" s="83">
        <f t="shared" si="20"/>
        <v>0</v>
      </c>
      <c r="Z241" s="83" t="str">
        <f t="shared" si="21"/>
        <v/>
      </c>
      <c r="AA241" s="81" t="str">
        <f>IFERROR(INDEX('Resource Rate Library'!$N$5:$N$85,MATCH(P241,'Resource Rate Library'!$A$5:$A$85,0)),"")</f>
        <v/>
      </c>
      <c r="AB241" s="53"/>
      <c r="AC241" s="59"/>
      <c r="AD241" s="81" t="str">
        <f>IFERROR(INDEX('Resource Rate Library'!$G$5:$G$85,MATCH(P241,'Resource Rate Library'!$A$5:$A$85,0)),"")</f>
        <v/>
      </c>
      <c r="AE241" s="81" t="str">
        <f>IFERROR(INDEX('Resource Rate Library'!$H$5:$H$85,MATCH(P241,'Resource Rate Library'!$A$5:$A$85,0)),"")</f>
        <v/>
      </c>
      <c r="AF241" s="53"/>
      <c r="AG241" s="53"/>
      <c r="AH241" s="53"/>
      <c r="AI241" s="81" t="str">
        <f t="shared" si="22"/>
        <v/>
      </c>
      <c r="AJ241" s="54"/>
      <c r="AK241" s="197"/>
      <c r="AL241" s="197"/>
      <c r="AM241" s="197"/>
      <c r="AN241" s="199">
        <f>IF(AND(AK241="Yes",OR(O241="Labour",O241="Plant")),Z241,0)</f>
        <v>0</v>
      </c>
    </row>
    <row r="242" spans="1:40" x14ac:dyDescent="0.2">
      <c r="A242" s="80" t="str">
        <f>IF(B242="","",B242&amp;"-"&amp;TEXT(COUNTIF($B$7:B242,B242),"000"))</f>
        <v/>
      </c>
      <c r="B242" s="53"/>
      <c r="C242" s="81" t="str">
        <f>IFERROR(INDEX('QS Takeoff'!$A$3:$A$194,MATCH(B242,'QS Takeoff'!$B$3:$B$194,0)),"")</f>
        <v/>
      </c>
      <c r="D242" s="81" t="str">
        <f>IFERROR(INDEX('QS Takeoff'!$C$3:$C$194,MATCH(B242,'QS Takeoff'!$B$3:$B$194,0)),"")</f>
        <v/>
      </c>
      <c r="E242" s="81" t="str">
        <f>IFERROR(INDEX('QS Takeoff'!$E$3:$E$194,MATCH(B242,'QS Takeoff'!$B$3:$B$194,0)),"")</f>
        <v/>
      </c>
      <c r="F242" s="81" t="str">
        <f>IFERROR(INDEX('QS Takeoff'!$D$3:$D$194,MATCH(B242,'QS Takeoff'!$B$3:$B$194,0)),"")</f>
        <v/>
      </c>
      <c r="G242" s="81" t="str">
        <f>IFERROR(INDEX('QS Takeoff'!$J$3:$J$194,MATCH(B242,'QS Takeoff'!$B$3:$B$194,0)),"")</f>
        <v/>
      </c>
      <c r="H242" s="53"/>
      <c r="I242" s="60"/>
      <c r="J242" s="60"/>
      <c r="K242" s="82" t="str">
        <f t="shared" si="18"/>
        <v/>
      </c>
      <c r="L242" s="60"/>
      <c r="M242" s="82" t="str">
        <f t="shared" si="19"/>
        <v/>
      </c>
      <c r="N242" s="53"/>
      <c r="O242" s="53"/>
      <c r="P242" s="53"/>
      <c r="Q242" s="81" t="str">
        <f>IFERROR(INDEX('Resource Rate Library'!$C$5:$C$85,MATCH(P242,'Resource Rate Library'!$A$5:$A$85,0)),"")</f>
        <v/>
      </c>
      <c r="R242" s="53"/>
      <c r="S242" s="53"/>
      <c r="T242" s="81" t="str">
        <f>IFERROR(INDEX('Resource Rate Library'!$E$5:$E$85,MATCH(P242,'Resource Rate Library'!$A$5:$A$85,0)),"")</f>
        <v/>
      </c>
      <c r="U242" s="62"/>
      <c r="V242" s="62"/>
      <c r="W242" s="83">
        <f>IFERROR(INDEX('Resource Rate Library'!$I$5:$I$85,MATCH(P242,'Resource Rate Library'!$A$5:$A$85,0)),0)</f>
        <v>0</v>
      </c>
      <c r="X242" s="52"/>
      <c r="Y242" s="83">
        <f t="shared" si="20"/>
        <v>0</v>
      </c>
      <c r="Z242" s="83" t="str">
        <f t="shared" si="21"/>
        <v/>
      </c>
      <c r="AA242" s="81" t="str">
        <f>IFERROR(INDEX('Resource Rate Library'!$N$5:$N$85,MATCH(P242,'Resource Rate Library'!$A$5:$A$85,0)),"")</f>
        <v/>
      </c>
      <c r="AB242" s="53"/>
      <c r="AC242" s="59"/>
      <c r="AD242" s="81" t="str">
        <f>IFERROR(INDEX('Resource Rate Library'!$G$5:$G$85,MATCH(P242,'Resource Rate Library'!$A$5:$A$85,0)),"")</f>
        <v/>
      </c>
      <c r="AE242" s="81" t="str">
        <f>IFERROR(INDEX('Resource Rate Library'!$H$5:$H$85,MATCH(P242,'Resource Rate Library'!$A$5:$A$85,0)),"")</f>
        <v/>
      </c>
      <c r="AF242" s="53"/>
      <c r="AG242" s="53"/>
      <c r="AH242" s="53"/>
      <c r="AI242" s="81" t="str">
        <f t="shared" si="22"/>
        <v/>
      </c>
      <c r="AJ242" s="54"/>
      <c r="AK242" s="197"/>
      <c r="AL242" s="197"/>
      <c r="AM242" s="197"/>
      <c r="AN242" s="199">
        <f>IF(AND(AK242="Yes",OR(O242="Labour",O242="Plant")),Z242,0)</f>
        <v>0</v>
      </c>
    </row>
    <row r="243" spans="1:40" x14ac:dyDescent="0.2">
      <c r="A243" s="80" t="str">
        <f>IF(B243="","",B243&amp;"-"&amp;TEXT(COUNTIF($B$7:B243,B243),"000"))</f>
        <v/>
      </c>
      <c r="B243" s="53"/>
      <c r="C243" s="81" t="str">
        <f>IFERROR(INDEX('QS Takeoff'!$A$3:$A$194,MATCH(B243,'QS Takeoff'!$B$3:$B$194,0)),"")</f>
        <v/>
      </c>
      <c r="D243" s="81" t="str">
        <f>IFERROR(INDEX('QS Takeoff'!$C$3:$C$194,MATCH(B243,'QS Takeoff'!$B$3:$B$194,0)),"")</f>
        <v/>
      </c>
      <c r="E243" s="81" t="str">
        <f>IFERROR(INDEX('QS Takeoff'!$E$3:$E$194,MATCH(B243,'QS Takeoff'!$B$3:$B$194,0)),"")</f>
        <v/>
      </c>
      <c r="F243" s="81" t="str">
        <f>IFERROR(INDEX('QS Takeoff'!$D$3:$D$194,MATCH(B243,'QS Takeoff'!$B$3:$B$194,0)),"")</f>
        <v/>
      </c>
      <c r="G243" s="81" t="str">
        <f>IFERROR(INDEX('QS Takeoff'!$J$3:$J$194,MATCH(B243,'QS Takeoff'!$B$3:$B$194,0)),"")</f>
        <v/>
      </c>
      <c r="H243" s="53"/>
      <c r="I243" s="60"/>
      <c r="J243" s="60"/>
      <c r="K243" s="82" t="str">
        <f t="shared" si="18"/>
        <v/>
      </c>
      <c r="L243" s="60"/>
      <c r="M243" s="82" t="str">
        <f t="shared" si="19"/>
        <v/>
      </c>
      <c r="N243" s="53"/>
      <c r="O243" s="53"/>
      <c r="P243" s="53"/>
      <c r="Q243" s="81" t="str">
        <f>IFERROR(INDEX('Resource Rate Library'!$C$5:$C$85,MATCH(P243,'Resource Rate Library'!$A$5:$A$85,0)),"")</f>
        <v/>
      </c>
      <c r="R243" s="53"/>
      <c r="S243" s="53"/>
      <c r="T243" s="81" t="str">
        <f>IFERROR(INDEX('Resource Rate Library'!$E$5:$E$85,MATCH(P243,'Resource Rate Library'!$A$5:$A$85,0)),"")</f>
        <v/>
      </c>
      <c r="U243" s="62"/>
      <c r="V243" s="62"/>
      <c r="W243" s="83">
        <f>IFERROR(INDEX('Resource Rate Library'!$I$5:$I$85,MATCH(P243,'Resource Rate Library'!$A$5:$A$85,0)),0)</f>
        <v>0</v>
      </c>
      <c r="X243" s="52"/>
      <c r="Y243" s="83">
        <f t="shared" si="20"/>
        <v>0</v>
      </c>
      <c r="Z243" s="83" t="str">
        <f t="shared" si="21"/>
        <v/>
      </c>
      <c r="AA243" s="81" t="str">
        <f>IFERROR(INDEX('Resource Rate Library'!$N$5:$N$85,MATCH(P243,'Resource Rate Library'!$A$5:$A$85,0)),"")</f>
        <v/>
      </c>
      <c r="AB243" s="53"/>
      <c r="AC243" s="59"/>
      <c r="AD243" s="81" t="str">
        <f>IFERROR(INDEX('Resource Rate Library'!$G$5:$G$85,MATCH(P243,'Resource Rate Library'!$A$5:$A$85,0)),"")</f>
        <v/>
      </c>
      <c r="AE243" s="81" t="str">
        <f>IFERROR(INDEX('Resource Rate Library'!$H$5:$H$85,MATCH(P243,'Resource Rate Library'!$A$5:$A$85,0)),"")</f>
        <v/>
      </c>
      <c r="AF243" s="53"/>
      <c r="AG243" s="53"/>
      <c r="AH243" s="53"/>
      <c r="AI243" s="81" t="str">
        <f t="shared" si="22"/>
        <v/>
      </c>
      <c r="AJ243" s="54"/>
      <c r="AK243" s="197"/>
      <c r="AL243" s="197"/>
      <c r="AM243" s="197"/>
      <c r="AN243" s="199">
        <f>IF(AND(AK243="Yes",OR(O243="Labour",O243="Plant")),Z243,0)</f>
        <v>0</v>
      </c>
    </row>
    <row r="244" spans="1:40" x14ac:dyDescent="0.2">
      <c r="A244" s="80" t="str">
        <f>IF(B244="","",B244&amp;"-"&amp;TEXT(COUNTIF($B$7:B244,B244),"000"))</f>
        <v/>
      </c>
      <c r="B244" s="53"/>
      <c r="C244" s="81" t="str">
        <f>IFERROR(INDEX('QS Takeoff'!$A$3:$A$194,MATCH(B244,'QS Takeoff'!$B$3:$B$194,0)),"")</f>
        <v/>
      </c>
      <c r="D244" s="81" t="str">
        <f>IFERROR(INDEX('QS Takeoff'!$C$3:$C$194,MATCH(B244,'QS Takeoff'!$B$3:$B$194,0)),"")</f>
        <v/>
      </c>
      <c r="E244" s="81" t="str">
        <f>IFERROR(INDEX('QS Takeoff'!$E$3:$E$194,MATCH(B244,'QS Takeoff'!$B$3:$B$194,0)),"")</f>
        <v/>
      </c>
      <c r="F244" s="81" t="str">
        <f>IFERROR(INDEX('QS Takeoff'!$D$3:$D$194,MATCH(B244,'QS Takeoff'!$B$3:$B$194,0)),"")</f>
        <v/>
      </c>
      <c r="G244" s="81" t="str">
        <f>IFERROR(INDEX('QS Takeoff'!$J$3:$J$194,MATCH(B244,'QS Takeoff'!$B$3:$B$194,0)),"")</f>
        <v/>
      </c>
      <c r="H244" s="53"/>
      <c r="I244" s="60"/>
      <c r="J244" s="60"/>
      <c r="K244" s="82" t="str">
        <f t="shared" si="18"/>
        <v/>
      </c>
      <c r="L244" s="60"/>
      <c r="M244" s="82" t="str">
        <f t="shared" si="19"/>
        <v/>
      </c>
      <c r="N244" s="53"/>
      <c r="O244" s="53"/>
      <c r="P244" s="53"/>
      <c r="Q244" s="81" t="str">
        <f>IFERROR(INDEX('Resource Rate Library'!$C$5:$C$85,MATCH(P244,'Resource Rate Library'!$A$5:$A$85,0)),"")</f>
        <v/>
      </c>
      <c r="R244" s="53"/>
      <c r="S244" s="53"/>
      <c r="T244" s="81" t="str">
        <f>IFERROR(INDEX('Resource Rate Library'!$E$5:$E$85,MATCH(P244,'Resource Rate Library'!$A$5:$A$85,0)),"")</f>
        <v/>
      </c>
      <c r="U244" s="62"/>
      <c r="V244" s="62"/>
      <c r="W244" s="83">
        <f>IFERROR(INDEX('Resource Rate Library'!$I$5:$I$85,MATCH(P244,'Resource Rate Library'!$A$5:$A$85,0)),0)</f>
        <v>0</v>
      </c>
      <c r="X244" s="52"/>
      <c r="Y244" s="83">
        <f t="shared" si="20"/>
        <v>0</v>
      </c>
      <c r="Z244" s="83" t="str">
        <f t="shared" si="21"/>
        <v/>
      </c>
      <c r="AA244" s="81" t="str">
        <f>IFERROR(INDEX('Resource Rate Library'!$N$5:$N$85,MATCH(P244,'Resource Rate Library'!$A$5:$A$85,0)),"")</f>
        <v/>
      </c>
      <c r="AB244" s="53"/>
      <c r="AC244" s="59"/>
      <c r="AD244" s="81" t="str">
        <f>IFERROR(INDEX('Resource Rate Library'!$G$5:$G$85,MATCH(P244,'Resource Rate Library'!$A$5:$A$85,0)),"")</f>
        <v/>
      </c>
      <c r="AE244" s="81" t="str">
        <f>IFERROR(INDEX('Resource Rate Library'!$H$5:$H$85,MATCH(P244,'Resource Rate Library'!$A$5:$A$85,0)),"")</f>
        <v/>
      </c>
      <c r="AF244" s="53"/>
      <c r="AG244" s="53"/>
      <c r="AH244" s="53"/>
      <c r="AI244" s="81" t="str">
        <f t="shared" si="22"/>
        <v/>
      </c>
      <c r="AJ244" s="54"/>
      <c r="AK244" s="197"/>
      <c r="AL244" s="197"/>
      <c r="AM244" s="197"/>
      <c r="AN244" s="199">
        <f>IF(AND(AK244="Yes",OR(O244="Labour",O244="Plant")),Z244,0)</f>
        <v>0</v>
      </c>
    </row>
    <row r="245" spans="1:40" x14ac:dyDescent="0.2">
      <c r="A245" s="80" t="str">
        <f>IF(B245="","",B245&amp;"-"&amp;TEXT(COUNTIF($B$7:B245,B245),"000"))</f>
        <v/>
      </c>
      <c r="B245" s="53"/>
      <c r="C245" s="81" t="str">
        <f>IFERROR(INDEX('QS Takeoff'!$A$3:$A$194,MATCH(B245,'QS Takeoff'!$B$3:$B$194,0)),"")</f>
        <v/>
      </c>
      <c r="D245" s="81" t="str">
        <f>IFERROR(INDEX('QS Takeoff'!$C$3:$C$194,MATCH(B245,'QS Takeoff'!$B$3:$B$194,0)),"")</f>
        <v/>
      </c>
      <c r="E245" s="81" t="str">
        <f>IFERROR(INDEX('QS Takeoff'!$E$3:$E$194,MATCH(B245,'QS Takeoff'!$B$3:$B$194,0)),"")</f>
        <v/>
      </c>
      <c r="F245" s="81" t="str">
        <f>IFERROR(INDEX('QS Takeoff'!$D$3:$D$194,MATCH(B245,'QS Takeoff'!$B$3:$B$194,0)),"")</f>
        <v/>
      </c>
      <c r="G245" s="81" t="str">
        <f>IFERROR(INDEX('QS Takeoff'!$J$3:$J$194,MATCH(B245,'QS Takeoff'!$B$3:$B$194,0)),"")</f>
        <v/>
      </c>
      <c r="H245" s="53"/>
      <c r="I245" s="60"/>
      <c r="J245" s="60"/>
      <c r="K245" s="82" t="str">
        <f t="shared" si="18"/>
        <v/>
      </c>
      <c r="L245" s="60"/>
      <c r="M245" s="82" t="str">
        <f t="shared" si="19"/>
        <v/>
      </c>
      <c r="N245" s="53"/>
      <c r="O245" s="53"/>
      <c r="P245" s="53"/>
      <c r="Q245" s="81" t="str">
        <f>IFERROR(INDEX('Resource Rate Library'!$C$5:$C$85,MATCH(P245,'Resource Rate Library'!$A$5:$A$85,0)),"")</f>
        <v/>
      </c>
      <c r="R245" s="53"/>
      <c r="S245" s="53"/>
      <c r="T245" s="81" t="str">
        <f>IFERROR(INDEX('Resource Rate Library'!$E$5:$E$85,MATCH(P245,'Resource Rate Library'!$A$5:$A$85,0)),"")</f>
        <v/>
      </c>
      <c r="U245" s="62"/>
      <c r="V245" s="62"/>
      <c r="W245" s="83">
        <f>IFERROR(INDEX('Resource Rate Library'!$I$5:$I$85,MATCH(P245,'Resource Rate Library'!$A$5:$A$85,0)),0)</f>
        <v>0</v>
      </c>
      <c r="X245" s="52"/>
      <c r="Y245" s="83">
        <f t="shared" si="20"/>
        <v>0</v>
      </c>
      <c r="Z245" s="83" t="str">
        <f t="shared" si="21"/>
        <v/>
      </c>
      <c r="AA245" s="81" t="str">
        <f>IFERROR(INDEX('Resource Rate Library'!$N$5:$N$85,MATCH(P245,'Resource Rate Library'!$A$5:$A$85,0)),"")</f>
        <v/>
      </c>
      <c r="AB245" s="53"/>
      <c r="AC245" s="59"/>
      <c r="AD245" s="81" t="str">
        <f>IFERROR(INDEX('Resource Rate Library'!$G$5:$G$85,MATCH(P245,'Resource Rate Library'!$A$5:$A$85,0)),"")</f>
        <v/>
      </c>
      <c r="AE245" s="81" t="str">
        <f>IFERROR(INDEX('Resource Rate Library'!$H$5:$H$85,MATCH(P245,'Resource Rate Library'!$A$5:$A$85,0)),"")</f>
        <v/>
      </c>
      <c r="AF245" s="53"/>
      <c r="AG245" s="53"/>
      <c r="AH245" s="53"/>
      <c r="AI245" s="81" t="str">
        <f t="shared" si="22"/>
        <v/>
      </c>
      <c r="AJ245" s="54"/>
      <c r="AK245" s="197"/>
      <c r="AL245" s="197"/>
      <c r="AM245" s="197"/>
      <c r="AN245" s="199">
        <f>IF(AND(AK245="Yes",OR(O245="Labour",O245="Plant")),Z245,0)</f>
        <v>0</v>
      </c>
    </row>
    <row r="246" spans="1:40" x14ac:dyDescent="0.2">
      <c r="A246" s="80" t="str">
        <f>IF(B246="","",B246&amp;"-"&amp;TEXT(COUNTIF($B$7:B246,B246),"000"))</f>
        <v/>
      </c>
      <c r="B246" s="53"/>
      <c r="C246" s="81" t="str">
        <f>IFERROR(INDEX('QS Takeoff'!$A$3:$A$194,MATCH(B246,'QS Takeoff'!$B$3:$B$194,0)),"")</f>
        <v/>
      </c>
      <c r="D246" s="81" t="str">
        <f>IFERROR(INDEX('QS Takeoff'!$C$3:$C$194,MATCH(B246,'QS Takeoff'!$B$3:$B$194,0)),"")</f>
        <v/>
      </c>
      <c r="E246" s="81" t="str">
        <f>IFERROR(INDEX('QS Takeoff'!$E$3:$E$194,MATCH(B246,'QS Takeoff'!$B$3:$B$194,0)),"")</f>
        <v/>
      </c>
      <c r="F246" s="81" t="str">
        <f>IFERROR(INDEX('QS Takeoff'!$D$3:$D$194,MATCH(B246,'QS Takeoff'!$B$3:$B$194,0)),"")</f>
        <v/>
      </c>
      <c r="G246" s="81" t="str">
        <f>IFERROR(INDEX('QS Takeoff'!$J$3:$J$194,MATCH(B246,'QS Takeoff'!$B$3:$B$194,0)),"")</f>
        <v/>
      </c>
      <c r="H246" s="53"/>
      <c r="I246" s="60"/>
      <c r="J246" s="60"/>
      <c r="K246" s="82" t="str">
        <f t="shared" si="18"/>
        <v/>
      </c>
      <c r="L246" s="60"/>
      <c r="M246" s="82" t="str">
        <f t="shared" si="19"/>
        <v/>
      </c>
      <c r="N246" s="53"/>
      <c r="O246" s="53"/>
      <c r="P246" s="53"/>
      <c r="Q246" s="81" t="str">
        <f>IFERROR(INDEX('Resource Rate Library'!$C$5:$C$85,MATCH(P246,'Resource Rate Library'!$A$5:$A$85,0)),"")</f>
        <v/>
      </c>
      <c r="R246" s="53"/>
      <c r="S246" s="53"/>
      <c r="T246" s="81" t="str">
        <f>IFERROR(INDEX('Resource Rate Library'!$E$5:$E$85,MATCH(P246,'Resource Rate Library'!$A$5:$A$85,0)),"")</f>
        <v/>
      </c>
      <c r="U246" s="62"/>
      <c r="V246" s="62"/>
      <c r="W246" s="83">
        <f>IFERROR(INDEX('Resource Rate Library'!$I$5:$I$85,MATCH(P246,'Resource Rate Library'!$A$5:$A$85,0)),0)</f>
        <v>0</v>
      </c>
      <c r="X246" s="52"/>
      <c r="Y246" s="83">
        <f t="shared" si="20"/>
        <v>0</v>
      </c>
      <c r="Z246" s="83" t="str">
        <f t="shared" si="21"/>
        <v/>
      </c>
      <c r="AA246" s="81" t="str">
        <f>IFERROR(INDEX('Resource Rate Library'!$N$5:$N$85,MATCH(P246,'Resource Rate Library'!$A$5:$A$85,0)),"")</f>
        <v/>
      </c>
      <c r="AB246" s="53"/>
      <c r="AC246" s="59"/>
      <c r="AD246" s="81" t="str">
        <f>IFERROR(INDEX('Resource Rate Library'!$G$5:$G$85,MATCH(P246,'Resource Rate Library'!$A$5:$A$85,0)),"")</f>
        <v/>
      </c>
      <c r="AE246" s="81" t="str">
        <f>IFERROR(INDEX('Resource Rate Library'!$H$5:$H$85,MATCH(P246,'Resource Rate Library'!$A$5:$A$85,0)),"")</f>
        <v/>
      </c>
      <c r="AF246" s="53"/>
      <c r="AG246" s="53"/>
      <c r="AH246" s="53"/>
      <c r="AI246" s="81" t="str">
        <f t="shared" si="22"/>
        <v/>
      </c>
      <c r="AJ246" s="54"/>
      <c r="AK246" s="197"/>
      <c r="AL246" s="197"/>
      <c r="AM246" s="197"/>
      <c r="AN246" s="199">
        <f>IF(AND(AK246="Yes",OR(O246="Labour",O246="Plant")),Z246,0)</f>
        <v>0</v>
      </c>
    </row>
    <row r="247" spans="1:40" x14ac:dyDescent="0.2">
      <c r="A247" s="80" t="str">
        <f>IF(B247="","",B247&amp;"-"&amp;TEXT(COUNTIF($B$7:B247,B247),"000"))</f>
        <v/>
      </c>
      <c r="B247" s="53"/>
      <c r="C247" s="81" t="str">
        <f>IFERROR(INDEX('QS Takeoff'!$A$3:$A$194,MATCH(B247,'QS Takeoff'!$B$3:$B$194,0)),"")</f>
        <v/>
      </c>
      <c r="D247" s="81" t="str">
        <f>IFERROR(INDEX('QS Takeoff'!$C$3:$C$194,MATCH(B247,'QS Takeoff'!$B$3:$B$194,0)),"")</f>
        <v/>
      </c>
      <c r="E247" s="81" t="str">
        <f>IFERROR(INDEX('QS Takeoff'!$E$3:$E$194,MATCH(B247,'QS Takeoff'!$B$3:$B$194,0)),"")</f>
        <v/>
      </c>
      <c r="F247" s="81" t="str">
        <f>IFERROR(INDEX('QS Takeoff'!$D$3:$D$194,MATCH(B247,'QS Takeoff'!$B$3:$B$194,0)),"")</f>
        <v/>
      </c>
      <c r="G247" s="81" t="str">
        <f>IFERROR(INDEX('QS Takeoff'!$J$3:$J$194,MATCH(B247,'QS Takeoff'!$B$3:$B$194,0)),"")</f>
        <v/>
      </c>
      <c r="H247" s="53"/>
      <c r="I247" s="60"/>
      <c r="J247" s="60"/>
      <c r="K247" s="82" t="str">
        <f t="shared" si="18"/>
        <v/>
      </c>
      <c r="L247" s="60"/>
      <c r="M247" s="82" t="str">
        <f t="shared" si="19"/>
        <v/>
      </c>
      <c r="N247" s="53"/>
      <c r="O247" s="53"/>
      <c r="P247" s="53"/>
      <c r="Q247" s="81" t="str">
        <f>IFERROR(INDEX('Resource Rate Library'!$C$5:$C$85,MATCH(P247,'Resource Rate Library'!$A$5:$A$85,0)),"")</f>
        <v/>
      </c>
      <c r="R247" s="53"/>
      <c r="S247" s="53"/>
      <c r="T247" s="81" t="str">
        <f>IFERROR(INDEX('Resource Rate Library'!$E$5:$E$85,MATCH(P247,'Resource Rate Library'!$A$5:$A$85,0)),"")</f>
        <v/>
      </c>
      <c r="U247" s="62"/>
      <c r="V247" s="62"/>
      <c r="W247" s="83">
        <f>IFERROR(INDEX('Resource Rate Library'!$I$5:$I$85,MATCH(P247,'Resource Rate Library'!$A$5:$A$85,0)),0)</f>
        <v>0</v>
      </c>
      <c r="X247" s="52"/>
      <c r="Y247" s="83">
        <f t="shared" si="20"/>
        <v>0</v>
      </c>
      <c r="Z247" s="83" t="str">
        <f t="shared" si="21"/>
        <v/>
      </c>
      <c r="AA247" s="81" t="str">
        <f>IFERROR(INDEX('Resource Rate Library'!$N$5:$N$85,MATCH(P247,'Resource Rate Library'!$A$5:$A$85,0)),"")</f>
        <v/>
      </c>
      <c r="AB247" s="53"/>
      <c r="AC247" s="59"/>
      <c r="AD247" s="81" t="str">
        <f>IFERROR(INDEX('Resource Rate Library'!$G$5:$G$85,MATCH(P247,'Resource Rate Library'!$A$5:$A$85,0)),"")</f>
        <v/>
      </c>
      <c r="AE247" s="81" t="str">
        <f>IFERROR(INDEX('Resource Rate Library'!$H$5:$H$85,MATCH(P247,'Resource Rate Library'!$A$5:$A$85,0)),"")</f>
        <v/>
      </c>
      <c r="AF247" s="53"/>
      <c r="AG247" s="53"/>
      <c r="AH247" s="53"/>
      <c r="AI247" s="81" t="str">
        <f t="shared" si="22"/>
        <v/>
      </c>
      <c r="AJ247" s="54"/>
      <c r="AK247" s="197"/>
      <c r="AL247" s="197"/>
      <c r="AM247" s="197"/>
      <c r="AN247" s="199">
        <f>IF(AND(AK247="Yes",OR(O247="Labour",O247="Plant")),Z247,0)</f>
        <v>0</v>
      </c>
    </row>
    <row r="248" spans="1:40" x14ac:dyDescent="0.2">
      <c r="A248" s="80" t="str">
        <f>IF(B248="","",B248&amp;"-"&amp;TEXT(COUNTIF($B$7:B248,B248),"000"))</f>
        <v/>
      </c>
      <c r="B248" s="53"/>
      <c r="C248" s="81" t="str">
        <f>IFERROR(INDEX('QS Takeoff'!$A$3:$A$194,MATCH(B248,'QS Takeoff'!$B$3:$B$194,0)),"")</f>
        <v/>
      </c>
      <c r="D248" s="81" t="str">
        <f>IFERROR(INDEX('QS Takeoff'!$C$3:$C$194,MATCH(B248,'QS Takeoff'!$B$3:$B$194,0)),"")</f>
        <v/>
      </c>
      <c r="E248" s="81" t="str">
        <f>IFERROR(INDEX('QS Takeoff'!$E$3:$E$194,MATCH(B248,'QS Takeoff'!$B$3:$B$194,0)),"")</f>
        <v/>
      </c>
      <c r="F248" s="81" t="str">
        <f>IFERROR(INDEX('QS Takeoff'!$D$3:$D$194,MATCH(B248,'QS Takeoff'!$B$3:$B$194,0)),"")</f>
        <v/>
      </c>
      <c r="G248" s="81" t="str">
        <f>IFERROR(INDEX('QS Takeoff'!$J$3:$J$194,MATCH(B248,'QS Takeoff'!$B$3:$B$194,0)),"")</f>
        <v/>
      </c>
      <c r="H248" s="53"/>
      <c r="I248" s="60"/>
      <c r="J248" s="60"/>
      <c r="K248" s="82" t="str">
        <f t="shared" si="18"/>
        <v/>
      </c>
      <c r="L248" s="60"/>
      <c r="M248" s="82" t="str">
        <f t="shared" si="19"/>
        <v/>
      </c>
      <c r="N248" s="53"/>
      <c r="O248" s="53"/>
      <c r="P248" s="53"/>
      <c r="Q248" s="81" t="str">
        <f>IFERROR(INDEX('Resource Rate Library'!$C$5:$C$85,MATCH(P248,'Resource Rate Library'!$A$5:$A$85,0)),"")</f>
        <v/>
      </c>
      <c r="R248" s="53"/>
      <c r="S248" s="53"/>
      <c r="T248" s="81" t="str">
        <f>IFERROR(INDEX('Resource Rate Library'!$E$5:$E$85,MATCH(P248,'Resource Rate Library'!$A$5:$A$85,0)),"")</f>
        <v/>
      </c>
      <c r="U248" s="62"/>
      <c r="V248" s="62"/>
      <c r="W248" s="83">
        <f>IFERROR(INDEX('Resource Rate Library'!$I$5:$I$85,MATCH(P248,'Resource Rate Library'!$A$5:$A$85,0)),0)</f>
        <v>0</v>
      </c>
      <c r="X248" s="52"/>
      <c r="Y248" s="83">
        <f t="shared" si="20"/>
        <v>0</v>
      </c>
      <c r="Z248" s="83" t="str">
        <f t="shared" si="21"/>
        <v/>
      </c>
      <c r="AA248" s="81" t="str">
        <f>IFERROR(INDEX('Resource Rate Library'!$N$5:$N$85,MATCH(P248,'Resource Rate Library'!$A$5:$A$85,0)),"")</f>
        <v/>
      </c>
      <c r="AB248" s="53"/>
      <c r="AC248" s="59"/>
      <c r="AD248" s="81" t="str">
        <f>IFERROR(INDEX('Resource Rate Library'!$G$5:$G$85,MATCH(P248,'Resource Rate Library'!$A$5:$A$85,0)),"")</f>
        <v/>
      </c>
      <c r="AE248" s="81" t="str">
        <f>IFERROR(INDEX('Resource Rate Library'!$H$5:$H$85,MATCH(P248,'Resource Rate Library'!$A$5:$A$85,0)),"")</f>
        <v/>
      </c>
      <c r="AF248" s="53"/>
      <c r="AG248" s="53"/>
      <c r="AH248" s="53"/>
      <c r="AI248" s="81" t="str">
        <f t="shared" si="22"/>
        <v/>
      </c>
      <c r="AJ248" s="54"/>
      <c r="AK248" s="197"/>
      <c r="AL248" s="197"/>
      <c r="AM248" s="197"/>
      <c r="AN248" s="199">
        <f>IF(AND(AK248="Yes",OR(O248="Labour",O248="Plant")),Z248,0)</f>
        <v>0</v>
      </c>
    </row>
    <row r="249" spans="1:40" x14ac:dyDescent="0.2">
      <c r="A249" s="80" t="str">
        <f>IF(B249="","",B249&amp;"-"&amp;TEXT(COUNTIF($B$7:B249,B249),"000"))</f>
        <v/>
      </c>
      <c r="B249" s="53"/>
      <c r="C249" s="81" t="str">
        <f>IFERROR(INDEX('QS Takeoff'!$A$3:$A$194,MATCH(B249,'QS Takeoff'!$B$3:$B$194,0)),"")</f>
        <v/>
      </c>
      <c r="D249" s="81" t="str">
        <f>IFERROR(INDEX('QS Takeoff'!$C$3:$C$194,MATCH(B249,'QS Takeoff'!$B$3:$B$194,0)),"")</f>
        <v/>
      </c>
      <c r="E249" s="81" t="str">
        <f>IFERROR(INDEX('QS Takeoff'!$E$3:$E$194,MATCH(B249,'QS Takeoff'!$B$3:$B$194,0)),"")</f>
        <v/>
      </c>
      <c r="F249" s="81" t="str">
        <f>IFERROR(INDEX('QS Takeoff'!$D$3:$D$194,MATCH(B249,'QS Takeoff'!$B$3:$B$194,0)),"")</f>
        <v/>
      </c>
      <c r="G249" s="81" t="str">
        <f>IFERROR(INDEX('QS Takeoff'!$J$3:$J$194,MATCH(B249,'QS Takeoff'!$B$3:$B$194,0)),"")</f>
        <v/>
      </c>
      <c r="H249" s="53"/>
      <c r="I249" s="60"/>
      <c r="J249" s="60"/>
      <c r="K249" s="82" t="str">
        <f t="shared" si="18"/>
        <v/>
      </c>
      <c r="L249" s="60"/>
      <c r="M249" s="82" t="str">
        <f t="shared" si="19"/>
        <v/>
      </c>
      <c r="N249" s="53"/>
      <c r="O249" s="53"/>
      <c r="P249" s="53"/>
      <c r="Q249" s="81" t="str">
        <f>IFERROR(INDEX('Resource Rate Library'!$C$5:$C$85,MATCH(P249,'Resource Rate Library'!$A$5:$A$85,0)),"")</f>
        <v/>
      </c>
      <c r="R249" s="53"/>
      <c r="S249" s="53"/>
      <c r="T249" s="81" t="str">
        <f>IFERROR(INDEX('Resource Rate Library'!$E$5:$E$85,MATCH(P249,'Resource Rate Library'!$A$5:$A$85,0)),"")</f>
        <v/>
      </c>
      <c r="U249" s="62"/>
      <c r="V249" s="62"/>
      <c r="W249" s="83">
        <f>IFERROR(INDEX('Resource Rate Library'!$I$5:$I$85,MATCH(P249,'Resource Rate Library'!$A$5:$A$85,0)),0)</f>
        <v>0</v>
      </c>
      <c r="X249" s="52"/>
      <c r="Y249" s="83">
        <f t="shared" si="20"/>
        <v>0</v>
      </c>
      <c r="Z249" s="83" t="str">
        <f t="shared" si="21"/>
        <v/>
      </c>
      <c r="AA249" s="81" t="str">
        <f>IFERROR(INDEX('Resource Rate Library'!$N$5:$N$85,MATCH(P249,'Resource Rate Library'!$A$5:$A$85,0)),"")</f>
        <v/>
      </c>
      <c r="AB249" s="53"/>
      <c r="AC249" s="59"/>
      <c r="AD249" s="81" t="str">
        <f>IFERROR(INDEX('Resource Rate Library'!$G$5:$G$85,MATCH(P249,'Resource Rate Library'!$A$5:$A$85,0)),"")</f>
        <v/>
      </c>
      <c r="AE249" s="81" t="str">
        <f>IFERROR(INDEX('Resource Rate Library'!$H$5:$H$85,MATCH(P249,'Resource Rate Library'!$A$5:$A$85,0)),"")</f>
        <v/>
      </c>
      <c r="AF249" s="53"/>
      <c r="AG249" s="53"/>
      <c r="AH249" s="53"/>
      <c r="AI249" s="81" t="str">
        <f t="shared" ref="AI249:AI280" si="23">IF(B249="","",IF(AND(P249="",N249&lt;&gt;"Lump Sum / Quote"),"RESOURCE CODE",IF(Y249=0,"RATE MISSING",IF(AND(O249="Plant",AD249="Yes",COUNTIFS($B$7:$B$306,B249,$O$7:$O$306,"Labour",$Q$7:$Q$306,"*Operator*")&gt;0),"OPERATOR DOUBLE-COUNT",IF(AND(O249="Plant",AE249="Yes",COUNTIFS($B$7:$B$306,B249,$Q$7:$Q$306,"*Fuel*")&gt;0),"FUEL DOUBLE-COUNT",IF(AH249&lt;&gt;"Yes","VERIFY","OK"))))))</f>
        <v/>
      </c>
      <c r="AJ249" s="54"/>
      <c r="AK249" s="197"/>
      <c r="AL249" s="197"/>
      <c r="AM249" s="197"/>
      <c r="AN249" s="199">
        <f>IF(AND(AK249="Yes",OR(O249="Labour",O249="Plant")),Z249,0)</f>
        <v>0</v>
      </c>
    </row>
    <row r="250" spans="1:40" x14ac:dyDescent="0.2">
      <c r="A250" s="80" t="str">
        <f>IF(B250="","",B250&amp;"-"&amp;TEXT(COUNTIF($B$7:B250,B250),"000"))</f>
        <v/>
      </c>
      <c r="B250" s="53"/>
      <c r="C250" s="81" t="str">
        <f>IFERROR(INDEX('QS Takeoff'!$A$3:$A$194,MATCH(B250,'QS Takeoff'!$B$3:$B$194,0)),"")</f>
        <v/>
      </c>
      <c r="D250" s="81" t="str">
        <f>IFERROR(INDEX('QS Takeoff'!$C$3:$C$194,MATCH(B250,'QS Takeoff'!$B$3:$B$194,0)),"")</f>
        <v/>
      </c>
      <c r="E250" s="81" t="str">
        <f>IFERROR(INDEX('QS Takeoff'!$E$3:$E$194,MATCH(B250,'QS Takeoff'!$B$3:$B$194,0)),"")</f>
        <v/>
      </c>
      <c r="F250" s="81" t="str">
        <f>IFERROR(INDEX('QS Takeoff'!$D$3:$D$194,MATCH(B250,'QS Takeoff'!$B$3:$B$194,0)),"")</f>
        <v/>
      </c>
      <c r="G250" s="81" t="str">
        <f>IFERROR(INDEX('QS Takeoff'!$J$3:$J$194,MATCH(B250,'QS Takeoff'!$B$3:$B$194,0)),"")</f>
        <v/>
      </c>
      <c r="H250" s="53"/>
      <c r="I250" s="60"/>
      <c r="J250" s="60"/>
      <c r="K250" s="82" t="str">
        <f t="shared" si="18"/>
        <v/>
      </c>
      <c r="L250" s="60"/>
      <c r="M250" s="82" t="str">
        <f t="shared" si="19"/>
        <v/>
      </c>
      <c r="N250" s="53"/>
      <c r="O250" s="53"/>
      <c r="P250" s="53"/>
      <c r="Q250" s="81" t="str">
        <f>IFERROR(INDEX('Resource Rate Library'!$C$5:$C$85,MATCH(P250,'Resource Rate Library'!$A$5:$A$85,0)),"")</f>
        <v/>
      </c>
      <c r="R250" s="53"/>
      <c r="S250" s="53"/>
      <c r="T250" s="81" t="str">
        <f>IFERROR(INDEX('Resource Rate Library'!$E$5:$E$85,MATCH(P250,'Resource Rate Library'!$A$5:$A$85,0)),"")</f>
        <v/>
      </c>
      <c r="U250" s="62"/>
      <c r="V250" s="62"/>
      <c r="W250" s="83">
        <f>IFERROR(INDEX('Resource Rate Library'!$I$5:$I$85,MATCH(P250,'Resource Rate Library'!$A$5:$A$85,0)),0)</f>
        <v>0</v>
      </c>
      <c r="X250" s="52"/>
      <c r="Y250" s="83">
        <f t="shared" si="20"/>
        <v>0</v>
      </c>
      <c r="Z250" s="83" t="str">
        <f t="shared" si="21"/>
        <v/>
      </c>
      <c r="AA250" s="81" t="str">
        <f>IFERROR(INDEX('Resource Rate Library'!$N$5:$N$85,MATCH(P250,'Resource Rate Library'!$A$5:$A$85,0)),"")</f>
        <v/>
      </c>
      <c r="AB250" s="53"/>
      <c r="AC250" s="59"/>
      <c r="AD250" s="81" t="str">
        <f>IFERROR(INDEX('Resource Rate Library'!$G$5:$G$85,MATCH(P250,'Resource Rate Library'!$A$5:$A$85,0)),"")</f>
        <v/>
      </c>
      <c r="AE250" s="81" t="str">
        <f>IFERROR(INDEX('Resource Rate Library'!$H$5:$H$85,MATCH(P250,'Resource Rate Library'!$A$5:$A$85,0)),"")</f>
        <v/>
      </c>
      <c r="AF250" s="53"/>
      <c r="AG250" s="53"/>
      <c r="AH250" s="53"/>
      <c r="AI250" s="81" t="str">
        <f t="shared" si="23"/>
        <v/>
      </c>
      <c r="AJ250" s="54"/>
      <c r="AK250" s="197"/>
      <c r="AL250" s="197"/>
      <c r="AM250" s="197"/>
      <c r="AN250" s="199">
        <f>IF(AND(AK250="Yes",OR(O250="Labour",O250="Plant")),Z250,0)</f>
        <v>0</v>
      </c>
    </row>
    <row r="251" spans="1:40" x14ac:dyDescent="0.2">
      <c r="A251" s="80" t="str">
        <f>IF(B251="","",B251&amp;"-"&amp;TEXT(COUNTIF($B$7:B251,B251),"000"))</f>
        <v/>
      </c>
      <c r="B251" s="53"/>
      <c r="C251" s="81" t="str">
        <f>IFERROR(INDEX('QS Takeoff'!$A$3:$A$194,MATCH(B251,'QS Takeoff'!$B$3:$B$194,0)),"")</f>
        <v/>
      </c>
      <c r="D251" s="81" t="str">
        <f>IFERROR(INDEX('QS Takeoff'!$C$3:$C$194,MATCH(B251,'QS Takeoff'!$B$3:$B$194,0)),"")</f>
        <v/>
      </c>
      <c r="E251" s="81" t="str">
        <f>IFERROR(INDEX('QS Takeoff'!$E$3:$E$194,MATCH(B251,'QS Takeoff'!$B$3:$B$194,0)),"")</f>
        <v/>
      </c>
      <c r="F251" s="81" t="str">
        <f>IFERROR(INDEX('QS Takeoff'!$D$3:$D$194,MATCH(B251,'QS Takeoff'!$B$3:$B$194,0)),"")</f>
        <v/>
      </c>
      <c r="G251" s="81" t="str">
        <f>IFERROR(INDEX('QS Takeoff'!$J$3:$J$194,MATCH(B251,'QS Takeoff'!$B$3:$B$194,0)),"")</f>
        <v/>
      </c>
      <c r="H251" s="53"/>
      <c r="I251" s="60"/>
      <c r="J251" s="60"/>
      <c r="K251" s="82" t="str">
        <f t="shared" si="18"/>
        <v/>
      </c>
      <c r="L251" s="60"/>
      <c r="M251" s="82" t="str">
        <f t="shared" si="19"/>
        <v/>
      </c>
      <c r="N251" s="53"/>
      <c r="O251" s="53"/>
      <c r="P251" s="53"/>
      <c r="Q251" s="81" t="str">
        <f>IFERROR(INDEX('Resource Rate Library'!$C$5:$C$85,MATCH(P251,'Resource Rate Library'!$A$5:$A$85,0)),"")</f>
        <v/>
      </c>
      <c r="R251" s="53"/>
      <c r="S251" s="53"/>
      <c r="T251" s="81" t="str">
        <f>IFERROR(INDEX('Resource Rate Library'!$E$5:$E$85,MATCH(P251,'Resource Rate Library'!$A$5:$A$85,0)),"")</f>
        <v/>
      </c>
      <c r="U251" s="62"/>
      <c r="V251" s="62"/>
      <c r="W251" s="83">
        <f>IFERROR(INDEX('Resource Rate Library'!$I$5:$I$85,MATCH(P251,'Resource Rate Library'!$A$5:$A$85,0)),0)</f>
        <v>0</v>
      </c>
      <c r="X251" s="52"/>
      <c r="Y251" s="83">
        <f t="shared" si="20"/>
        <v>0</v>
      </c>
      <c r="Z251" s="83" t="str">
        <f t="shared" si="21"/>
        <v/>
      </c>
      <c r="AA251" s="81" t="str">
        <f>IFERROR(INDEX('Resource Rate Library'!$N$5:$N$85,MATCH(P251,'Resource Rate Library'!$A$5:$A$85,0)),"")</f>
        <v/>
      </c>
      <c r="AB251" s="53"/>
      <c r="AC251" s="59"/>
      <c r="AD251" s="81" t="str">
        <f>IFERROR(INDEX('Resource Rate Library'!$G$5:$G$85,MATCH(P251,'Resource Rate Library'!$A$5:$A$85,0)),"")</f>
        <v/>
      </c>
      <c r="AE251" s="81" t="str">
        <f>IFERROR(INDEX('Resource Rate Library'!$H$5:$H$85,MATCH(P251,'Resource Rate Library'!$A$5:$A$85,0)),"")</f>
        <v/>
      </c>
      <c r="AF251" s="53"/>
      <c r="AG251" s="53"/>
      <c r="AH251" s="53"/>
      <c r="AI251" s="81" t="str">
        <f t="shared" si="23"/>
        <v/>
      </c>
      <c r="AJ251" s="54"/>
      <c r="AK251" s="197"/>
      <c r="AL251" s="197"/>
      <c r="AM251" s="197"/>
      <c r="AN251" s="199">
        <f>IF(AND(AK251="Yes",OR(O251="Labour",O251="Plant")),Z251,0)</f>
        <v>0</v>
      </c>
    </row>
    <row r="252" spans="1:40" x14ac:dyDescent="0.2">
      <c r="A252" s="80" t="str">
        <f>IF(B252="","",B252&amp;"-"&amp;TEXT(COUNTIF($B$7:B252,B252),"000"))</f>
        <v/>
      </c>
      <c r="B252" s="53"/>
      <c r="C252" s="81" t="str">
        <f>IFERROR(INDEX('QS Takeoff'!$A$3:$A$194,MATCH(B252,'QS Takeoff'!$B$3:$B$194,0)),"")</f>
        <v/>
      </c>
      <c r="D252" s="81" t="str">
        <f>IFERROR(INDEX('QS Takeoff'!$C$3:$C$194,MATCH(B252,'QS Takeoff'!$B$3:$B$194,0)),"")</f>
        <v/>
      </c>
      <c r="E252" s="81" t="str">
        <f>IFERROR(INDEX('QS Takeoff'!$E$3:$E$194,MATCH(B252,'QS Takeoff'!$B$3:$B$194,0)),"")</f>
        <v/>
      </c>
      <c r="F252" s="81" t="str">
        <f>IFERROR(INDEX('QS Takeoff'!$D$3:$D$194,MATCH(B252,'QS Takeoff'!$B$3:$B$194,0)),"")</f>
        <v/>
      </c>
      <c r="G252" s="81" t="str">
        <f>IFERROR(INDEX('QS Takeoff'!$J$3:$J$194,MATCH(B252,'QS Takeoff'!$B$3:$B$194,0)),"")</f>
        <v/>
      </c>
      <c r="H252" s="53"/>
      <c r="I252" s="60"/>
      <c r="J252" s="60"/>
      <c r="K252" s="82" t="str">
        <f t="shared" si="18"/>
        <v/>
      </c>
      <c r="L252" s="60"/>
      <c r="M252" s="82" t="str">
        <f t="shared" si="19"/>
        <v/>
      </c>
      <c r="N252" s="53"/>
      <c r="O252" s="53"/>
      <c r="P252" s="53"/>
      <c r="Q252" s="81" t="str">
        <f>IFERROR(INDEX('Resource Rate Library'!$C$5:$C$85,MATCH(P252,'Resource Rate Library'!$A$5:$A$85,0)),"")</f>
        <v/>
      </c>
      <c r="R252" s="53"/>
      <c r="S252" s="53"/>
      <c r="T252" s="81" t="str">
        <f>IFERROR(INDEX('Resource Rate Library'!$E$5:$E$85,MATCH(P252,'Resource Rate Library'!$A$5:$A$85,0)),"")</f>
        <v/>
      </c>
      <c r="U252" s="62"/>
      <c r="V252" s="62"/>
      <c r="W252" s="83">
        <f>IFERROR(INDEX('Resource Rate Library'!$I$5:$I$85,MATCH(P252,'Resource Rate Library'!$A$5:$A$85,0)),0)</f>
        <v>0</v>
      </c>
      <c r="X252" s="52"/>
      <c r="Y252" s="83">
        <f t="shared" si="20"/>
        <v>0</v>
      </c>
      <c r="Z252" s="83" t="str">
        <f t="shared" si="21"/>
        <v/>
      </c>
      <c r="AA252" s="81" t="str">
        <f>IFERROR(INDEX('Resource Rate Library'!$N$5:$N$85,MATCH(P252,'Resource Rate Library'!$A$5:$A$85,0)),"")</f>
        <v/>
      </c>
      <c r="AB252" s="53"/>
      <c r="AC252" s="59"/>
      <c r="AD252" s="81" t="str">
        <f>IFERROR(INDEX('Resource Rate Library'!$G$5:$G$85,MATCH(P252,'Resource Rate Library'!$A$5:$A$85,0)),"")</f>
        <v/>
      </c>
      <c r="AE252" s="81" t="str">
        <f>IFERROR(INDEX('Resource Rate Library'!$H$5:$H$85,MATCH(P252,'Resource Rate Library'!$A$5:$A$85,0)),"")</f>
        <v/>
      </c>
      <c r="AF252" s="53"/>
      <c r="AG252" s="53"/>
      <c r="AH252" s="53"/>
      <c r="AI252" s="81" t="str">
        <f t="shared" si="23"/>
        <v/>
      </c>
      <c r="AJ252" s="54"/>
      <c r="AK252" s="197"/>
      <c r="AL252" s="197"/>
      <c r="AM252" s="197"/>
      <c r="AN252" s="199">
        <f>IF(AND(AK252="Yes",OR(O252="Labour",O252="Plant")),Z252,0)</f>
        <v>0</v>
      </c>
    </row>
    <row r="253" spans="1:40" x14ac:dyDescent="0.2">
      <c r="A253" s="80" t="str">
        <f>IF(B253="","",B253&amp;"-"&amp;TEXT(COUNTIF($B$7:B253,B253),"000"))</f>
        <v/>
      </c>
      <c r="B253" s="53"/>
      <c r="C253" s="81" t="str">
        <f>IFERROR(INDEX('QS Takeoff'!$A$3:$A$194,MATCH(B253,'QS Takeoff'!$B$3:$B$194,0)),"")</f>
        <v/>
      </c>
      <c r="D253" s="81" t="str">
        <f>IFERROR(INDEX('QS Takeoff'!$C$3:$C$194,MATCH(B253,'QS Takeoff'!$B$3:$B$194,0)),"")</f>
        <v/>
      </c>
      <c r="E253" s="81" t="str">
        <f>IFERROR(INDEX('QS Takeoff'!$E$3:$E$194,MATCH(B253,'QS Takeoff'!$B$3:$B$194,0)),"")</f>
        <v/>
      </c>
      <c r="F253" s="81" t="str">
        <f>IFERROR(INDEX('QS Takeoff'!$D$3:$D$194,MATCH(B253,'QS Takeoff'!$B$3:$B$194,0)),"")</f>
        <v/>
      </c>
      <c r="G253" s="81" t="str">
        <f>IFERROR(INDEX('QS Takeoff'!$J$3:$J$194,MATCH(B253,'QS Takeoff'!$B$3:$B$194,0)),"")</f>
        <v/>
      </c>
      <c r="H253" s="53"/>
      <c r="I253" s="60"/>
      <c r="J253" s="60"/>
      <c r="K253" s="82" t="str">
        <f t="shared" si="18"/>
        <v/>
      </c>
      <c r="L253" s="60"/>
      <c r="M253" s="82" t="str">
        <f t="shared" si="19"/>
        <v/>
      </c>
      <c r="N253" s="53"/>
      <c r="O253" s="53"/>
      <c r="P253" s="53"/>
      <c r="Q253" s="81" t="str">
        <f>IFERROR(INDEX('Resource Rate Library'!$C$5:$C$85,MATCH(P253,'Resource Rate Library'!$A$5:$A$85,0)),"")</f>
        <v/>
      </c>
      <c r="R253" s="53"/>
      <c r="S253" s="53"/>
      <c r="T253" s="81" t="str">
        <f>IFERROR(INDEX('Resource Rate Library'!$E$5:$E$85,MATCH(P253,'Resource Rate Library'!$A$5:$A$85,0)),"")</f>
        <v/>
      </c>
      <c r="U253" s="62"/>
      <c r="V253" s="62"/>
      <c r="W253" s="83">
        <f>IFERROR(INDEX('Resource Rate Library'!$I$5:$I$85,MATCH(P253,'Resource Rate Library'!$A$5:$A$85,0)),0)</f>
        <v>0</v>
      </c>
      <c r="X253" s="52"/>
      <c r="Y253" s="83">
        <f t="shared" si="20"/>
        <v>0</v>
      </c>
      <c r="Z253" s="83" t="str">
        <f t="shared" si="21"/>
        <v/>
      </c>
      <c r="AA253" s="81" t="str">
        <f>IFERROR(INDEX('Resource Rate Library'!$N$5:$N$85,MATCH(P253,'Resource Rate Library'!$A$5:$A$85,0)),"")</f>
        <v/>
      </c>
      <c r="AB253" s="53"/>
      <c r="AC253" s="59"/>
      <c r="AD253" s="81" t="str">
        <f>IFERROR(INDEX('Resource Rate Library'!$G$5:$G$85,MATCH(P253,'Resource Rate Library'!$A$5:$A$85,0)),"")</f>
        <v/>
      </c>
      <c r="AE253" s="81" t="str">
        <f>IFERROR(INDEX('Resource Rate Library'!$H$5:$H$85,MATCH(P253,'Resource Rate Library'!$A$5:$A$85,0)),"")</f>
        <v/>
      </c>
      <c r="AF253" s="53"/>
      <c r="AG253" s="53"/>
      <c r="AH253" s="53"/>
      <c r="AI253" s="81" t="str">
        <f t="shared" si="23"/>
        <v/>
      </c>
      <c r="AJ253" s="54"/>
      <c r="AK253" s="197"/>
      <c r="AL253" s="197"/>
      <c r="AM253" s="197"/>
      <c r="AN253" s="199">
        <f>IF(AND(AK253="Yes",OR(O253="Labour",O253="Plant")),Z253,0)</f>
        <v>0</v>
      </c>
    </row>
    <row r="254" spans="1:40" x14ac:dyDescent="0.2">
      <c r="A254" s="80" t="str">
        <f>IF(B254="","",B254&amp;"-"&amp;TEXT(COUNTIF($B$7:B254,B254),"000"))</f>
        <v/>
      </c>
      <c r="B254" s="53"/>
      <c r="C254" s="81" t="str">
        <f>IFERROR(INDEX('QS Takeoff'!$A$3:$A$194,MATCH(B254,'QS Takeoff'!$B$3:$B$194,0)),"")</f>
        <v/>
      </c>
      <c r="D254" s="81" t="str">
        <f>IFERROR(INDEX('QS Takeoff'!$C$3:$C$194,MATCH(B254,'QS Takeoff'!$B$3:$B$194,0)),"")</f>
        <v/>
      </c>
      <c r="E254" s="81" t="str">
        <f>IFERROR(INDEX('QS Takeoff'!$E$3:$E$194,MATCH(B254,'QS Takeoff'!$B$3:$B$194,0)),"")</f>
        <v/>
      </c>
      <c r="F254" s="81" t="str">
        <f>IFERROR(INDEX('QS Takeoff'!$D$3:$D$194,MATCH(B254,'QS Takeoff'!$B$3:$B$194,0)),"")</f>
        <v/>
      </c>
      <c r="G254" s="81" t="str">
        <f>IFERROR(INDEX('QS Takeoff'!$J$3:$J$194,MATCH(B254,'QS Takeoff'!$B$3:$B$194,0)),"")</f>
        <v/>
      </c>
      <c r="H254" s="53"/>
      <c r="I254" s="60"/>
      <c r="J254" s="60"/>
      <c r="K254" s="82" t="str">
        <f t="shared" si="18"/>
        <v/>
      </c>
      <c r="L254" s="60"/>
      <c r="M254" s="82" t="str">
        <f t="shared" si="19"/>
        <v/>
      </c>
      <c r="N254" s="53"/>
      <c r="O254" s="53"/>
      <c r="P254" s="53"/>
      <c r="Q254" s="81" t="str">
        <f>IFERROR(INDEX('Resource Rate Library'!$C$5:$C$85,MATCH(P254,'Resource Rate Library'!$A$5:$A$85,0)),"")</f>
        <v/>
      </c>
      <c r="R254" s="53"/>
      <c r="S254" s="53"/>
      <c r="T254" s="81" t="str">
        <f>IFERROR(INDEX('Resource Rate Library'!$E$5:$E$85,MATCH(P254,'Resource Rate Library'!$A$5:$A$85,0)),"")</f>
        <v/>
      </c>
      <c r="U254" s="62"/>
      <c r="V254" s="62"/>
      <c r="W254" s="83">
        <f>IFERROR(INDEX('Resource Rate Library'!$I$5:$I$85,MATCH(P254,'Resource Rate Library'!$A$5:$A$85,0)),0)</f>
        <v>0</v>
      </c>
      <c r="X254" s="52"/>
      <c r="Y254" s="83">
        <f t="shared" si="20"/>
        <v>0</v>
      </c>
      <c r="Z254" s="83" t="str">
        <f t="shared" si="21"/>
        <v/>
      </c>
      <c r="AA254" s="81" t="str">
        <f>IFERROR(INDEX('Resource Rate Library'!$N$5:$N$85,MATCH(P254,'Resource Rate Library'!$A$5:$A$85,0)),"")</f>
        <v/>
      </c>
      <c r="AB254" s="53"/>
      <c r="AC254" s="59"/>
      <c r="AD254" s="81" t="str">
        <f>IFERROR(INDEX('Resource Rate Library'!$G$5:$G$85,MATCH(P254,'Resource Rate Library'!$A$5:$A$85,0)),"")</f>
        <v/>
      </c>
      <c r="AE254" s="81" t="str">
        <f>IFERROR(INDEX('Resource Rate Library'!$H$5:$H$85,MATCH(P254,'Resource Rate Library'!$A$5:$A$85,0)),"")</f>
        <v/>
      </c>
      <c r="AF254" s="53"/>
      <c r="AG254" s="53"/>
      <c r="AH254" s="53"/>
      <c r="AI254" s="81" t="str">
        <f t="shared" si="23"/>
        <v/>
      </c>
      <c r="AJ254" s="54"/>
      <c r="AK254" s="197"/>
      <c r="AL254" s="197"/>
      <c r="AM254" s="197"/>
      <c r="AN254" s="199">
        <f>IF(AND(AK254="Yes",OR(O254="Labour",O254="Plant")),Z254,0)</f>
        <v>0</v>
      </c>
    </row>
    <row r="255" spans="1:40" x14ac:dyDescent="0.2">
      <c r="A255" s="80" t="str">
        <f>IF(B255="","",B255&amp;"-"&amp;TEXT(COUNTIF($B$7:B255,B255),"000"))</f>
        <v/>
      </c>
      <c r="B255" s="53"/>
      <c r="C255" s="81" t="str">
        <f>IFERROR(INDEX('QS Takeoff'!$A$3:$A$194,MATCH(B255,'QS Takeoff'!$B$3:$B$194,0)),"")</f>
        <v/>
      </c>
      <c r="D255" s="81" t="str">
        <f>IFERROR(INDEX('QS Takeoff'!$C$3:$C$194,MATCH(B255,'QS Takeoff'!$B$3:$B$194,0)),"")</f>
        <v/>
      </c>
      <c r="E255" s="81" t="str">
        <f>IFERROR(INDEX('QS Takeoff'!$E$3:$E$194,MATCH(B255,'QS Takeoff'!$B$3:$B$194,0)),"")</f>
        <v/>
      </c>
      <c r="F255" s="81" t="str">
        <f>IFERROR(INDEX('QS Takeoff'!$D$3:$D$194,MATCH(B255,'QS Takeoff'!$B$3:$B$194,0)),"")</f>
        <v/>
      </c>
      <c r="G255" s="81" t="str">
        <f>IFERROR(INDEX('QS Takeoff'!$J$3:$J$194,MATCH(B255,'QS Takeoff'!$B$3:$B$194,0)),"")</f>
        <v/>
      </c>
      <c r="H255" s="53"/>
      <c r="I255" s="60"/>
      <c r="J255" s="60"/>
      <c r="K255" s="82" t="str">
        <f t="shared" si="18"/>
        <v/>
      </c>
      <c r="L255" s="60"/>
      <c r="M255" s="82" t="str">
        <f t="shared" si="19"/>
        <v/>
      </c>
      <c r="N255" s="53"/>
      <c r="O255" s="53"/>
      <c r="P255" s="53"/>
      <c r="Q255" s="81" t="str">
        <f>IFERROR(INDEX('Resource Rate Library'!$C$5:$C$85,MATCH(P255,'Resource Rate Library'!$A$5:$A$85,0)),"")</f>
        <v/>
      </c>
      <c r="R255" s="53"/>
      <c r="S255" s="53"/>
      <c r="T255" s="81" t="str">
        <f>IFERROR(INDEX('Resource Rate Library'!$E$5:$E$85,MATCH(P255,'Resource Rate Library'!$A$5:$A$85,0)),"")</f>
        <v/>
      </c>
      <c r="U255" s="62"/>
      <c r="V255" s="62"/>
      <c r="W255" s="83">
        <f>IFERROR(INDEX('Resource Rate Library'!$I$5:$I$85,MATCH(P255,'Resource Rate Library'!$A$5:$A$85,0)),0)</f>
        <v>0</v>
      </c>
      <c r="X255" s="52"/>
      <c r="Y255" s="83">
        <f t="shared" si="20"/>
        <v>0</v>
      </c>
      <c r="Z255" s="83" t="str">
        <f t="shared" si="21"/>
        <v/>
      </c>
      <c r="AA255" s="81" t="str">
        <f>IFERROR(INDEX('Resource Rate Library'!$N$5:$N$85,MATCH(P255,'Resource Rate Library'!$A$5:$A$85,0)),"")</f>
        <v/>
      </c>
      <c r="AB255" s="53"/>
      <c r="AC255" s="59"/>
      <c r="AD255" s="81" t="str">
        <f>IFERROR(INDEX('Resource Rate Library'!$G$5:$G$85,MATCH(P255,'Resource Rate Library'!$A$5:$A$85,0)),"")</f>
        <v/>
      </c>
      <c r="AE255" s="81" t="str">
        <f>IFERROR(INDEX('Resource Rate Library'!$H$5:$H$85,MATCH(P255,'Resource Rate Library'!$A$5:$A$85,0)),"")</f>
        <v/>
      </c>
      <c r="AF255" s="53"/>
      <c r="AG255" s="53"/>
      <c r="AH255" s="53"/>
      <c r="AI255" s="81" t="str">
        <f t="shared" si="23"/>
        <v/>
      </c>
      <c r="AJ255" s="54"/>
      <c r="AK255" s="197"/>
      <c r="AL255" s="197"/>
      <c r="AM255" s="197"/>
      <c r="AN255" s="199">
        <f>IF(AND(AK255="Yes",OR(O255="Labour",O255="Plant")),Z255,0)</f>
        <v>0</v>
      </c>
    </row>
    <row r="256" spans="1:40" x14ac:dyDescent="0.2">
      <c r="A256" s="80" t="str">
        <f>IF(B256="","",B256&amp;"-"&amp;TEXT(COUNTIF($B$7:B256,B256),"000"))</f>
        <v/>
      </c>
      <c r="B256" s="53"/>
      <c r="C256" s="81" t="str">
        <f>IFERROR(INDEX('QS Takeoff'!$A$3:$A$194,MATCH(B256,'QS Takeoff'!$B$3:$B$194,0)),"")</f>
        <v/>
      </c>
      <c r="D256" s="81" t="str">
        <f>IFERROR(INDEX('QS Takeoff'!$C$3:$C$194,MATCH(B256,'QS Takeoff'!$B$3:$B$194,0)),"")</f>
        <v/>
      </c>
      <c r="E256" s="81" t="str">
        <f>IFERROR(INDEX('QS Takeoff'!$E$3:$E$194,MATCH(B256,'QS Takeoff'!$B$3:$B$194,0)),"")</f>
        <v/>
      </c>
      <c r="F256" s="81" t="str">
        <f>IFERROR(INDEX('QS Takeoff'!$D$3:$D$194,MATCH(B256,'QS Takeoff'!$B$3:$B$194,0)),"")</f>
        <v/>
      </c>
      <c r="G256" s="81" t="str">
        <f>IFERROR(INDEX('QS Takeoff'!$J$3:$J$194,MATCH(B256,'QS Takeoff'!$B$3:$B$194,0)),"")</f>
        <v/>
      </c>
      <c r="H256" s="53"/>
      <c r="I256" s="60"/>
      <c r="J256" s="60"/>
      <c r="K256" s="82" t="str">
        <f t="shared" si="18"/>
        <v/>
      </c>
      <c r="L256" s="60"/>
      <c r="M256" s="82" t="str">
        <f t="shared" si="19"/>
        <v/>
      </c>
      <c r="N256" s="53"/>
      <c r="O256" s="53"/>
      <c r="P256" s="53"/>
      <c r="Q256" s="81" t="str">
        <f>IFERROR(INDEX('Resource Rate Library'!$C$5:$C$85,MATCH(P256,'Resource Rate Library'!$A$5:$A$85,0)),"")</f>
        <v/>
      </c>
      <c r="R256" s="53"/>
      <c r="S256" s="53"/>
      <c r="T256" s="81" t="str">
        <f>IFERROR(INDEX('Resource Rate Library'!$E$5:$E$85,MATCH(P256,'Resource Rate Library'!$A$5:$A$85,0)),"")</f>
        <v/>
      </c>
      <c r="U256" s="62"/>
      <c r="V256" s="62"/>
      <c r="W256" s="83">
        <f>IFERROR(INDEX('Resource Rate Library'!$I$5:$I$85,MATCH(P256,'Resource Rate Library'!$A$5:$A$85,0)),0)</f>
        <v>0</v>
      </c>
      <c r="X256" s="52"/>
      <c r="Y256" s="83">
        <f t="shared" si="20"/>
        <v>0</v>
      </c>
      <c r="Z256" s="83" t="str">
        <f t="shared" si="21"/>
        <v/>
      </c>
      <c r="AA256" s="81" t="str">
        <f>IFERROR(INDEX('Resource Rate Library'!$N$5:$N$85,MATCH(P256,'Resource Rate Library'!$A$5:$A$85,0)),"")</f>
        <v/>
      </c>
      <c r="AB256" s="53"/>
      <c r="AC256" s="59"/>
      <c r="AD256" s="81" t="str">
        <f>IFERROR(INDEX('Resource Rate Library'!$G$5:$G$85,MATCH(P256,'Resource Rate Library'!$A$5:$A$85,0)),"")</f>
        <v/>
      </c>
      <c r="AE256" s="81" t="str">
        <f>IFERROR(INDEX('Resource Rate Library'!$H$5:$H$85,MATCH(P256,'Resource Rate Library'!$A$5:$A$85,0)),"")</f>
        <v/>
      </c>
      <c r="AF256" s="53"/>
      <c r="AG256" s="53"/>
      <c r="AH256" s="53"/>
      <c r="AI256" s="81" t="str">
        <f t="shared" si="23"/>
        <v/>
      </c>
      <c r="AJ256" s="54"/>
      <c r="AK256" s="197"/>
      <c r="AL256" s="197"/>
      <c r="AM256" s="197"/>
      <c r="AN256" s="199">
        <f>IF(AND(AK256="Yes",OR(O256="Labour",O256="Plant")),Z256,0)</f>
        <v>0</v>
      </c>
    </row>
    <row r="257" spans="1:40" x14ac:dyDescent="0.2">
      <c r="A257" s="80" t="str">
        <f>IF(B257="","",B257&amp;"-"&amp;TEXT(COUNTIF($B$7:B257,B257),"000"))</f>
        <v/>
      </c>
      <c r="B257" s="53"/>
      <c r="C257" s="81" t="str">
        <f>IFERROR(INDEX('QS Takeoff'!$A$3:$A$194,MATCH(B257,'QS Takeoff'!$B$3:$B$194,0)),"")</f>
        <v/>
      </c>
      <c r="D257" s="81" t="str">
        <f>IFERROR(INDEX('QS Takeoff'!$C$3:$C$194,MATCH(B257,'QS Takeoff'!$B$3:$B$194,0)),"")</f>
        <v/>
      </c>
      <c r="E257" s="81" t="str">
        <f>IFERROR(INDEX('QS Takeoff'!$E$3:$E$194,MATCH(B257,'QS Takeoff'!$B$3:$B$194,0)),"")</f>
        <v/>
      </c>
      <c r="F257" s="81" t="str">
        <f>IFERROR(INDEX('QS Takeoff'!$D$3:$D$194,MATCH(B257,'QS Takeoff'!$B$3:$B$194,0)),"")</f>
        <v/>
      </c>
      <c r="G257" s="81" t="str">
        <f>IFERROR(INDEX('QS Takeoff'!$J$3:$J$194,MATCH(B257,'QS Takeoff'!$B$3:$B$194,0)),"")</f>
        <v/>
      </c>
      <c r="H257" s="53"/>
      <c r="I257" s="60"/>
      <c r="J257" s="60"/>
      <c r="K257" s="82" t="str">
        <f t="shared" si="18"/>
        <v/>
      </c>
      <c r="L257" s="60"/>
      <c r="M257" s="82" t="str">
        <f t="shared" si="19"/>
        <v/>
      </c>
      <c r="N257" s="53"/>
      <c r="O257" s="53"/>
      <c r="P257" s="53"/>
      <c r="Q257" s="81" t="str">
        <f>IFERROR(INDEX('Resource Rate Library'!$C$5:$C$85,MATCH(P257,'Resource Rate Library'!$A$5:$A$85,0)),"")</f>
        <v/>
      </c>
      <c r="R257" s="53"/>
      <c r="S257" s="53"/>
      <c r="T257" s="81" t="str">
        <f>IFERROR(INDEX('Resource Rate Library'!$E$5:$E$85,MATCH(P257,'Resource Rate Library'!$A$5:$A$85,0)),"")</f>
        <v/>
      </c>
      <c r="U257" s="62"/>
      <c r="V257" s="62"/>
      <c r="W257" s="83">
        <f>IFERROR(INDEX('Resource Rate Library'!$I$5:$I$85,MATCH(P257,'Resource Rate Library'!$A$5:$A$85,0)),0)</f>
        <v>0</v>
      </c>
      <c r="X257" s="52"/>
      <c r="Y257" s="83">
        <f t="shared" si="20"/>
        <v>0</v>
      </c>
      <c r="Z257" s="83" t="str">
        <f t="shared" si="21"/>
        <v/>
      </c>
      <c r="AA257" s="81" t="str">
        <f>IFERROR(INDEX('Resource Rate Library'!$N$5:$N$85,MATCH(P257,'Resource Rate Library'!$A$5:$A$85,0)),"")</f>
        <v/>
      </c>
      <c r="AB257" s="53"/>
      <c r="AC257" s="59"/>
      <c r="AD257" s="81" t="str">
        <f>IFERROR(INDEX('Resource Rate Library'!$G$5:$G$85,MATCH(P257,'Resource Rate Library'!$A$5:$A$85,0)),"")</f>
        <v/>
      </c>
      <c r="AE257" s="81" t="str">
        <f>IFERROR(INDEX('Resource Rate Library'!$H$5:$H$85,MATCH(P257,'Resource Rate Library'!$A$5:$A$85,0)),"")</f>
        <v/>
      </c>
      <c r="AF257" s="53"/>
      <c r="AG257" s="53"/>
      <c r="AH257" s="53"/>
      <c r="AI257" s="81" t="str">
        <f t="shared" si="23"/>
        <v/>
      </c>
      <c r="AJ257" s="54"/>
      <c r="AK257" s="197"/>
      <c r="AL257" s="197"/>
      <c r="AM257" s="197"/>
      <c r="AN257" s="199">
        <f>IF(AND(AK257="Yes",OR(O257="Labour",O257="Plant")),Z257,0)</f>
        <v>0</v>
      </c>
    </row>
    <row r="258" spans="1:40" x14ac:dyDescent="0.2">
      <c r="A258" s="80" t="str">
        <f>IF(B258="","",B258&amp;"-"&amp;TEXT(COUNTIF($B$7:B258,B258),"000"))</f>
        <v/>
      </c>
      <c r="B258" s="53"/>
      <c r="C258" s="81" t="str">
        <f>IFERROR(INDEX('QS Takeoff'!$A$3:$A$194,MATCH(B258,'QS Takeoff'!$B$3:$B$194,0)),"")</f>
        <v/>
      </c>
      <c r="D258" s="81" t="str">
        <f>IFERROR(INDEX('QS Takeoff'!$C$3:$C$194,MATCH(B258,'QS Takeoff'!$B$3:$B$194,0)),"")</f>
        <v/>
      </c>
      <c r="E258" s="81" t="str">
        <f>IFERROR(INDEX('QS Takeoff'!$E$3:$E$194,MATCH(B258,'QS Takeoff'!$B$3:$B$194,0)),"")</f>
        <v/>
      </c>
      <c r="F258" s="81" t="str">
        <f>IFERROR(INDEX('QS Takeoff'!$D$3:$D$194,MATCH(B258,'QS Takeoff'!$B$3:$B$194,0)),"")</f>
        <v/>
      </c>
      <c r="G258" s="81" t="str">
        <f>IFERROR(INDEX('QS Takeoff'!$J$3:$J$194,MATCH(B258,'QS Takeoff'!$B$3:$B$194,0)),"")</f>
        <v/>
      </c>
      <c r="H258" s="53"/>
      <c r="I258" s="60"/>
      <c r="J258" s="60"/>
      <c r="K258" s="82" t="str">
        <f t="shared" si="18"/>
        <v/>
      </c>
      <c r="L258" s="60"/>
      <c r="M258" s="82" t="str">
        <f t="shared" si="19"/>
        <v/>
      </c>
      <c r="N258" s="53"/>
      <c r="O258" s="53"/>
      <c r="P258" s="53"/>
      <c r="Q258" s="81" t="str">
        <f>IFERROR(INDEX('Resource Rate Library'!$C$5:$C$85,MATCH(P258,'Resource Rate Library'!$A$5:$A$85,0)),"")</f>
        <v/>
      </c>
      <c r="R258" s="53"/>
      <c r="S258" s="53"/>
      <c r="T258" s="81" t="str">
        <f>IFERROR(INDEX('Resource Rate Library'!$E$5:$E$85,MATCH(P258,'Resource Rate Library'!$A$5:$A$85,0)),"")</f>
        <v/>
      </c>
      <c r="U258" s="62"/>
      <c r="V258" s="62"/>
      <c r="W258" s="83">
        <f>IFERROR(INDEX('Resource Rate Library'!$I$5:$I$85,MATCH(P258,'Resource Rate Library'!$A$5:$A$85,0)),0)</f>
        <v>0</v>
      </c>
      <c r="X258" s="52"/>
      <c r="Y258" s="83">
        <f t="shared" si="20"/>
        <v>0</v>
      </c>
      <c r="Z258" s="83" t="str">
        <f t="shared" si="21"/>
        <v/>
      </c>
      <c r="AA258" s="81" t="str">
        <f>IFERROR(INDEX('Resource Rate Library'!$N$5:$N$85,MATCH(P258,'Resource Rate Library'!$A$5:$A$85,0)),"")</f>
        <v/>
      </c>
      <c r="AB258" s="53"/>
      <c r="AC258" s="59"/>
      <c r="AD258" s="81" t="str">
        <f>IFERROR(INDEX('Resource Rate Library'!$G$5:$G$85,MATCH(P258,'Resource Rate Library'!$A$5:$A$85,0)),"")</f>
        <v/>
      </c>
      <c r="AE258" s="81" t="str">
        <f>IFERROR(INDEX('Resource Rate Library'!$H$5:$H$85,MATCH(P258,'Resource Rate Library'!$A$5:$A$85,0)),"")</f>
        <v/>
      </c>
      <c r="AF258" s="53"/>
      <c r="AG258" s="53"/>
      <c r="AH258" s="53"/>
      <c r="AI258" s="81" t="str">
        <f t="shared" si="23"/>
        <v/>
      </c>
      <c r="AJ258" s="54"/>
      <c r="AK258" s="197"/>
      <c r="AL258" s="197"/>
      <c r="AM258" s="197"/>
      <c r="AN258" s="199">
        <f>IF(AND(AK258="Yes",OR(O258="Labour",O258="Plant")),Z258,0)</f>
        <v>0</v>
      </c>
    </row>
    <row r="259" spans="1:40" x14ac:dyDescent="0.2">
      <c r="A259" s="80" t="str">
        <f>IF(B259="","",B259&amp;"-"&amp;TEXT(COUNTIF($B$7:B259,B259),"000"))</f>
        <v/>
      </c>
      <c r="B259" s="53"/>
      <c r="C259" s="81" t="str">
        <f>IFERROR(INDEX('QS Takeoff'!$A$3:$A$194,MATCH(B259,'QS Takeoff'!$B$3:$B$194,0)),"")</f>
        <v/>
      </c>
      <c r="D259" s="81" t="str">
        <f>IFERROR(INDEX('QS Takeoff'!$C$3:$C$194,MATCH(B259,'QS Takeoff'!$B$3:$B$194,0)),"")</f>
        <v/>
      </c>
      <c r="E259" s="81" t="str">
        <f>IFERROR(INDEX('QS Takeoff'!$E$3:$E$194,MATCH(B259,'QS Takeoff'!$B$3:$B$194,0)),"")</f>
        <v/>
      </c>
      <c r="F259" s="81" t="str">
        <f>IFERROR(INDEX('QS Takeoff'!$D$3:$D$194,MATCH(B259,'QS Takeoff'!$B$3:$B$194,0)),"")</f>
        <v/>
      </c>
      <c r="G259" s="81" t="str">
        <f>IFERROR(INDEX('QS Takeoff'!$J$3:$J$194,MATCH(B259,'QS Takeoff'!$B$3:$B$194,0)),"")</f>
        <v/>
      </c>
      <c r="H259" s="53"/>
      <c r="I259" s="60"/>
      <c r="J259" s="60"/>
      <c r="K259" s="82" t="str">
        <f t="shared" si="18"/>
        <v/>
      </c>
      <c r="L259" s="60"/>
      <c r="M259" s="82" t="str">
        <f t="shared" si="19"/>
        <v/>
      </c>
      <c r="N259" s="53"/>
      <c r="O259" s="53"/>
      <c r="P259" s="53"/>
      <c r="Q259" s="81" t="str">
        <f>IFERROR(INDEX('Resource Rate Library'!$C$5:$C$85,MATCH(P259,'Resource Rate Library'!$A$5:$A$85,0)),"")</f>
        <v/>
      </c>
      <c r="R259" s="53"/>
      <c r="S259" s="53"/>
      <c r="T259" s="81" t="str">
        <f>IFERROR(INDEX('Resource Rate Library'!$E$5:$E$85,MATCH(P259,'Resource Rate Library'!$A$5:$A$85,0)),"")</f>
        <v/>
      </c>
      <c r="U259" s="62"/>
      <c r="V259" s="62"/>
      <c r="W259" s="83">
        <f>IFERROR(INDEX('Resource Rate Library'!$I$5:$I$85,MATCH(P259,'Resource Rate Library'!$A$5:$A$85,0)),0)</f>
        <v>0</v>
      </c>
      <c r="X259" s="52"/>
      <c r="Y259" s="83">
        <f t="shared" si="20"/>
        <v>0</v>
      </c>
      <c r="Z259" s="83" t="str">
        <f t="shared" si="21"/>
        <v/>
      </c>
      <c r="AA259" s="81" t="str">
        <f>IFERROR(INDEX('Resource Rate Library'!$N$5:$N$85,MATCH(P259,'Resource Rate Library'!$A$5:$A$85,0)),"")</f>
        <v/>
      </c>
      <c r="AB259" s="53"/>
      <c r="AC259" s="59"/>
      <c r="AD259" s="81" t="str">
        <f>IFERROR(INDEX('Resource Rate Library'!$G$5:$G$85,MATCH(P259,'Resource Rate Library'!$A$5:$A$85,0)),"")</f>
        <v/>
      </c>
      <c r="AE259" s="81" t="str">
        <f>IFERROR(INDEX('Resource Rate Library'!$H$5:$H$85,MATCH(P259,'Resource Rate Library'!$A$5:$A$85,0)),"")</f>
        <v/>
      </c>
      <c r="AF259" s="53"/>
      <c r="AG259" s="53"/>
      <c r="AH259" s="53"/>
      <c r="AI259" s="81" t="str">
        <f t="shared" si="23"/>
        <v/>
      </c>
      <c r="AJ259" s="54"/>
      <c r="AK259" s="197"/>
      <c r="AL259" s="197"/>
      <c r="AM259" s="197"/>
      <c r="AN259" s="199">
        <f>IF(AND(AK259="Yes",OR(O259="Labour",O259="Plant")),Z259,0)</f>
        <v>0</v>
      </c>
    </row>
    <row r="260" spans="1:40" x14ac:dyDescent="0.2">
      <c r="A260" s="80" t="str">
        <f>IF(B260="","",B260&amp;"-"&amp;TEXT(COUNTIF($B$7:B260,B260),"000"))</f>
        <v/>
      </c>
      <c r="B260" s="53"/>
      <c r="C260" s="81" t="str">
        <f>IFERROR(INDEX('QS Takeoff'!$A$3:$A$194,MATCH(B260,'QS Takeoff'!$B$3:$B$194,0)),"")</f>
        <v/>
      </c>
      <c r="D260" s="81" t="str">
        <f>IFERROR(INDEX('QS Takeoff'!$C$3:$C$194,MATCH(B260,'QS Takeoff'!$B$3:$B$194,0)),"")</f>
        <v/>
      </c>
      <c r="E260" s="81" t="str">
        <f>IFERROR(INDEX('QS Takeoff'!$E$3:$E$194,MATCH(B260,'QS Takeoff'!$B$3:$B$194,0)),"")</f>
        <v/>
      </c>
      <c r="F260" s="81" t="str">
        <f>IFERROR(INDEX('QS Takeoff'!$D$3:$D$194,MATCH(B260,'QS Takeoff'!$B$3:$B$194,0)),"")</f>
        <v/>
      </c>
      <c r="G260" s="81" t="str">
        <f>IFERROR(INDEX('QS Takeoff'!$J$3:$J$194,MATCH(B260,'QS Takeoff'!$B$3:$B$194,0)),"")</f>
        <v/>
      </c>
      <c r="H260" s="53"/>
      <c r="I260" s="60"/>
      <c r="J260" s="60"/>
      <c r="K260" s="82" t="str">
        <f t="shared" si="18"/>
        <v/>
      </c>
      <c r="L260" s="60"/>
      <c r="M260" s="82" t="str">
        <f t="shared" si="19"/>
        <v/>
      </c>
      <c r="N260" s="53"/>
      <c r="O260" s="53"/>
      <c r="P260" s="53"/>
      <c r="Q260" s="81" t="str">
        <f>IFERROR(INDEX('Resource Rate Library'!$C$5:$C$85,MATCH(P260,'Resource Rate Library'!$A$5:$A$85,0)),"")</f>
        <v/>
      </c>
      <c r="R260" s="53"/>
      <c r="S260" s="53"/>
      <c r="T260" s="81" t="str">
        <f>IFERROR(INDEX('Resource Rate Library'!$E$5:$E$85,MATCH(P260,'Resource Rate Library'!$A$5:$A$85,0)),"")</f>
        <v/>
      </c>
      <c r="U260" s="62"/>
      <c r="V260" s="62"/>
      <c r="W260" s="83">
        <f>IFERROR(INDEX('Resource Rate Library'!$I$5:$I$85,MATCH(P260,'Resource Rate Library'!$A$5:$A$85,0)),0)</f>
        <v>0</v>
      </c>
      <c r="X260" s="52"/>
      <c r="Y260" s="83">
        <f t="shared" si="20"/>
        <v>0</v>
      </c>
      <c r="Z260" s="83" t="str">
        <f t="shared" si="21"/>
        <v/>
      </c>
      <c r="AA260" s="81" t="str">
        <f>IFERROR(INDEX('Resource Rate Library'!$N$5:$N$85,MATCH(P260,'Resource Rate Library'!$A$5:$A$85,0)),"")</f>
        <v/>
      </c>
      <c r="AB260" s="53"/>
      <c r="AC260" s="59"/>
      <c r="AD260" s="81" t="str">
        <f>IFERROR(INDEX('Resource Rate Library'!$G$5:$G$85,MATCH(P260,'Resource Rate Library'!$A$5:$A$85,0)),"")</f>
        <v/>
      </c>
      <c r="AE260" s="81" t="str">
        <f>IFERROR(INDEX('Resource Rate Library'!$H$5:$H$85,MATCH(P260,'Resource Rate Library'!$A$5:$A$85,0)),"")</f>
        <v/>
      </c>
      <c r="AF260" s="53"/>
      <c r="AG260" s="53"/>
      <c r="AH260" s="53"/>
      <c r="AI260" s="81" t="str">
        <f t="shared" si="23"/>
        <v/>
      </c>
      <c r="AJ260" s="54"/>
      <c r="AK260" s="197"/>
      <c r="AL260" s="197"/>
      <c r="AM260" s="197"/>
      <c r="AN260" s="199">
        <f>IF(AND(AK260="Yes",OR(O260="Labour",O260="Plant")),Z260,0)</f>
        <v>0</v>
      </c>
    </row>
    <row r="261" spans="1:40" x14ac:dyDescent="0.2">
      <c r="A261" s="80" t="str">
        <f>IF(B261="","",B261&amp;"-"&amp;TEXT(COUNTIF($B$7:B261,B261),"000"))</f>
        <v/>
      </c>
      <c r="B261" s="53"/>
      <c r="C261" s="81" t="str">
        <f>IFERROR(INDEX('QS Takeoff'!$A$3:$A$194,MATCH(B261,'QS Takeoff'!$B$3:$B$194,0)),"")</f>
        <v/>
      </c>
      <c r="D261" s="81" t="str">
        <f>IFERROR(INDEX('QS Takeoff'!$C$3:$C$194,MATCH(B261,'QS Takeoff'!$B$3:$B$194,0)),"")</f>
        <v/>
      </c>
      <c r="E261" s="81" t="str">
        <f>IFERROR(INDEX('QS Takeoff'!$E$3:$E$194,MATCH(B261,'QS Takeoff'!$B$3:$B$194,0)),"")</f>
        <v/>
      </c>
      <c r="F261" s="81" t="str">
        <f>IFERROR(INDEX('QS Takeoff'!$D$3:$D$194,MATCH(B261,'QS Takeoff'!$B$3:$B$194,0)),"")</f>
        <v/>
      </c>
      <c r="G261" s="81" t="str">
        <f>IFERROR(INDEX('QS Takeoff'!$J$3:$J$194,MATCH(B261,'QS Takeoff'!$B$3:$B$194,0)),"")</f>
        <v/>
      </c>
      <c r="H261" s="53"/>
      <c r="I261" s="60"/>
      <c r="J261" s="60"/>
      <c r="K261" s="82" t="str">
        <f t="shared" si="18"/>
        <v/>
      </c>
      <c r="L261" s="60"/>
      <c r="M261" s="82" t="str">
        <f t="shared" si="19"/>
        <v/>
      </c>
      <c r="N261" s="53"/>
      <c r="O261" s="53"/>
      <c r="P261" s="53"/>
      <c r="Q261" s="81" t="str">
        <f>IFERROR(INDEX('Resource Rate Library'!$C$5:$C$85,MATCH(P261,'Resource Rate Library'!$A$5:$A$85,0)),"")</f>
        <v/>
      </c>
      <c r="R261" s="53"/>
      <c r="S261" s="53"/>
      <c r="T261" s="81" t="str">
        <f>IFERROR(INDEX('Resource Rate Library'!$E$5:$E$85,MATCH(P261,'Resource Rate Library'!$A$5:$A$85,0)),"")</f>
        <v/>
      </c>
      <c r="U261" s="62"/>
      <c r="V261" s="62"/>
      <c r="W261" s="83">
        <f>IFERROR(INDEX('Resource Rate Library'!$I$5:$I$85,MATCH(P261,'Resource Rate Library'!$A$5:$A$85,0)),0)</f>
        <v>0</v>
      </c>
      <c r="X261" s="52"/>
      <c r="Y261" s="83">
        <f t="shared" si="20"/>
        <v>0</v>
      </c>
      <c r="Z261" s="83" t="str">
        <f t="shared" si="21"/>
        <v/>
      </c>
      <c r="AA261" s="81" t="str">
        <f>IFERROR(INDEX('Resource Rate Library'!$N$5:$N$85,MATCH(P261,'Resource Rate Library'!$A$5:$A$85,0)),"")</f>
        <v/>
      </c>
      <c r="AB261" s="53"/>
      <c r="AC261" s="59"/>
      <c r="AD261" s="81" t="str">
        <f>IFERROR(INDEX('Resource Rate Library'!$G$5:$G$85,MATCH(P261,'Resource Rate Library'!$A$5:$A$85,0)),"")</f>
        <v/>
      </c>
      <c r="AE261" s="81" t="str">
        <f>IFERROR(INDEX('Resource Rate Library'!$H$5:$H$85,MATCH(P261,'Resource Rate Library'!$A$5:$A$85,0)),"")</f>
        <v/>
      </c>
      <c r="AF261" s="53"/>
      <c r="AG261" s="53"/>
      <c r="AH261" s="53"/>
      <c r="AI261" s="81" t="str">
        <f t="shared" si="23"/>
        <v/>
      </c>
      <c r="AJ261" s="54"/>
      <c r="AK261" s="197"/>
      <c r="AL261" s="197"/>
      <c r="AM261" s="197"/>
      <c r="AN261" s="199">
        <f>IF(AND(AK261="Yes",OR(O261="Labour",O261="Plant")),Z261,0)</f>
        <v>0</v>
      </c>
    </row>
    <row r="262" spans="1:40" x14ac:dyDescent="0.2">
      <c r="A262" s="80" t="str">
        <f>IF(B262="","",B262&amp;"-"&amp;TEXT(COUNTIF($B$7:B262,B262),"000"))</f>
        <v/>
      </c>
      <c r="B262" s="53"/>
      <c r="C262" s="81" t="str">
        <f>IFERROR(INDEX('QS Takeoff'!$A$3:$A$194,MATCH(B262,'QS Takeoff'!$B$3:$B$194,0)),"")</f>
        <v/>
      </c>
      <c r="D262" s="81" t="str">
        <f>IFERROR(INDEX('QS Takeoff'!$C$3:$C$194,MATCH(B262,'QS Takeoff'!$B$3:$B$194,0)),"")</f>
        <v/>
      </c>
      <c r="E262" s="81" t="str">
        <f>IFERROR(INDEX('QS Takeoff'!$E$3:$E$194,MATCH(B262,'QS Takeoff'!$B$3:$B$194,0)),"")</f>
        <v/>
      </c>
      <c r="F262" s="81" t="str">
        <f>IFERROR(INDEX('QS Takeoff'!$D$3:$D$194,MATCH(B262,'QS Takeoff'!$B$3:$B$194,0)),"")</f>
        <v/>
      </c>
      <c r="G262" s="81" t="str">
        <f>IFERROR(INDEX('QS Takeoff'!$J$3:$J$194,MATCH(B262,'QS Takeoff'!$B$3:$B$194,0)),"")</f>
        <v/>
      </c>
      <c r="H262" s="53"/>
      <c r="I262" s="60"/>
      <c r="J262" s="60"/>
      <c r="K262" s="82" t="str">
        <f t="shared" si="18"/>
        <v/>
      </c>
      <c r="L262" s="60"/>
      <c r="M262" s="82" t="str">
        <f t="shared" si="19"/>
        <v/>
      </c>
      <c r="N262" s="53"/>
      <c r="O262" s="53"/>
      <c r="P262" s="53"/>
      <c r="Q262" s="81" t="str">
        <f>IFERROR(INDEX('Resource Rate Library'!$C$5:$C$85,MATCH(P262,'Resource Rate Library'!$A$5:$A$85,0)),"")</f>
        <v/>
      </c>
      <c r="R262" s="53"/>
      <c r="S262" s="53"/>
      <c r="T262" s="81" t="str">
        <f>IFERROR(INDEX('Resource Rate Library'!$E$5:$E$85,MATCH(P262,'Resource Rate Library'!$A$5:$A$85,0)),"")</f>
        <v/>
      </c>
      <c r="U262" s="62"/>
      <c r="V262" s="62"/>
      <c r="W262" s="83">
        <f>IFERROR(INDEX('Resource Rate Library'!$I$5:$I$85,MATCH(P262,'Resource Rate Library'!$A$5:$A$85,0)),0)</f>
        <v>0</v>
      </c>
      <c r="X262" s="52"/>
      <c r="Y262" s="83">
        <f t="shared" si="20"/>
        <v>0</v>
      </c>
      <c r="Z262" s="83" t="str">
        <f t="shared" si="21"/>
        <v/>
      </c>
      <c r="AA262" s="81" t="str">
        <f>IFERROR(INDEX('Resource Rate Library'!$N$5:$N$85,MATCH(P262,'Resource Rate Library'!$A$5:$A$85,0)),"")</f>
        <v/>
      </c>
      <c r="AB262" s="53"/>
      <c r="AC262" s="59"/>
      <c r="AD262" s="81" t="str">
        <f>IFERROR(INDEX('Resource Rate Library'!$G$5:$G$85,MATCH(P262,'Resource Rate Library'!$A$5:$A$85,0)),"")</f>
        <v/>
      </c>
      <c r="AE262" s="81" t="str">
        <f>IFERROR(INDEX('Resource Rate Library'!$H$5:$H$85,MATCH(P262,'Resource Rate Library'!$A$5:$A$85,0)),"")</f>
        <v/>
      </c>
      <c r="AF262" s="53"/>
      <c r="AG262" s="53"/>
      <c r="AH262" s="53"/>
      <c r="AI262" s="81" t="str">
        <f t="shared" si="23"/>
        <v/>
      </c>
      <c r="AJ262" s="54"/>
      <c r="AK262" s="197"/>
      <c r="AL262" s="197"/>
      <c r="AM262" s="197"/>
      <c r="AN262" s="199">
        <f>IF(AND(AK262="Yes",OR(O262="Labour",O262="Plant")),Z262,0)</f>
        <v>0</v>
      </c>
    </row>
    <row r="263" spans="1:40" x14ac:dyDescent="0.2">
      <c r="A263" s="80" t="str">
        <f>IF(B263="","",B263&amp;"-"&amp;TEXT(COUNTIF($B$7:B263,B263),"000"))</f>
        <v/>
      </c>
      <c r="B263" s="53"/>
      <c r="C263" s="81" t="str">
        <f>IFERROR(INDEX('QS Takeoff'!$A$3:$A$194,MATCH(B263,'QS Takeoff'!$B$3:$B$194,0)),"")</f>
        <v/>
      </c>
      <c r="D263" s="81" t="str">
        <f>IFERROR(INDEX('QS Takeoff'!$C$3:$C$194,MATCH(B263,'QS Takeoff'!$B$3:$B$194,0)),"")</f>
        <v/>
      </c>
      <c r="E263" s="81" t="str">
        <f>IFERROR(INDEX('QS Takeoff'!$E$3:$E$194,MATCH(B263,'QS Takeoff'!$B$3:$B$194,0)),"")</f>
        <v/>
      </c>
      <c r="F263" s="81" t="str">
        <f>IFERROR(INDEX('QS Takeoff'!$D$3:$D$194,MATCH(B263,'QS Takeoff'!$B$3:$B$194,0)),"")</f>
        <v/>
      </c>
      <c r="G263" s="81" t="str">
        <f>IFERROR(INDEX('QS Takeoff'!$J$3:$J$194,MATCH(B263,'QS Takeoff'!$B$3:$B$194,0)),"")</f>
        <v/>
      </c>
      <c r="H263" s="53"/>
      <c r="I263" s="60"/>
      <c r="J263" s="60"/>
      <c r="K263" s="82" t="str">
        <f t="shared" ref="K263:K306" si="24">IF(OR(B263="",I263="",I263=0),"",E263/I263)</f>
        <v/>
      </c>
      <c r="L263" s="60"/>
      <c r="M263" s="82" t="str">
        <f t="shared" ref="M263:M306" si="25">IF(L263&gt;0,L263,K263)</f>
        <v/>
      </c>
      <c r="N263" s="53"/>
      <c r="O263" s="53"/>
      <c r="P263" s="53"/>
      <c r="Q263" s="81" t="str">
        <f>IFERROR(INDEX('Resource Rate Library'!$C$5:$C$85,MATCH(P263,'Resource Rate Library'!$A$5:$A$85,0)),"")</f>
        <v/>
      </c>
      <c r="R263" s="53"/>
      <c r="S263" s="53"/>
      <c r="T263" s="81" t="str">
        <f>IFERROR(INDEX('Resource Rate Library'!$E$5:$E$85,MATCH(P263,'Resource Rate Library'!$A$5:$A$85,0)),"")</f>
        <v/>
      </c>
      <c r="U263" s="62"/>
      <c r="V263" s="62"/>
      <c r="W263" s="83">
        <f>IFERROR(INDEX('Resource Rate Library'!$I$5:$I$85,MATCH(P263,'Resource Rate Library'!$A$5:$A$85,0)),0)</f>
        <v>0</v>
      </c>
      <c r="X263" s="52"/>
      <c r="Y263" s="83">
        <f t="shared" ref="Y263:Y306" si="26">IF(X263&gt;0,X263,W263)</f>
        <v>0</v>
      </c>
      <c r="Z263" s="83" t="str">
        <f t="shared" ref="Z263:Z306" si="27">IF(B263="","",IF(N263="Time x Count",M263*R263*IF(U263="",1,U263)*Y263,IF(N263="QS Qty x Factor",E263*R263*(1+IF(V263="",0,V263))*Y263,IF(N263="Direct Qty",S263*(1+IF(V263="",0,V263))*Y263,IF(N263="Lump Sum / Quote",S263*Y263,0)))))</f>
        <v/>
      </c>
      <c r="AA263" s="81" t="str">
        <f>IFERROR(INDEX('Resource Rate Library'!$N$5:$N$85,MATCH(P263,'Resource Rate Library'!$A$5:$A$85,0)),"")</f>
        <v/>
      </c>
      <c r="AB263" s="53"/>
      <c r="AC263" s="59"/>
      <c r="AD263" s="81" t="str">
        <f>IFERROR(INDEX('Resource Rate Library'!$G$5:$G$85,MATCH(P263,'Resource Rate Library'!$A$5:$A$85,0)),"")</f>
        <v/>
      </c>
      <c r="AE263" s="81" t="str">
        <f>IFERROR(INDEX('Resource Rate Library'!$H$5:$H$85,MATCH(P263,'Resource Rate Library'!$A$5:$A$85,0)),"")</f>
        <v/>
      </c>
      <c r="AF263" s="53"/>
      <c r="AG263" s="53"/>
      <c r="AH263" s="53"/>
      <c r="AI263" s="81" t="str">
        <f t="shared" si="23"/>
        <v/>
      </c>
      <c r="AJ263" s="54"/>
      <c r="AK263" s="197"/>
      <c r="AL263" s="197"/>
      <c r="AM263" s="197"/>
      <c r="AN263" s="199">
        <f>IF(AND(AK263="Yes",OR(O263="Labour",O263="Plant")),Z263,0)</f>
        <v>0</v>
      </c>
    </row>
    <row r="264" spans="1:40" x14ac:dyDescent="0.2">
      <c r="A264" s="80" t="str">
        <f>IF(B264="","",B264&amp;"-"&amp;TEXT(COUNTIF($B$7:B264,B264),"000"))</f>
        <v/>
      </c>
      <c r="B264" s="53"/>
      <c r="C264" s="81" t="str">
        <f>IFERROR(INDEX('QS Takeoff'!$A$3:$A$194,MATCH(B264,'QS Takeoff'!$B$3:$B$194,0)),"")</f>
        <v/>
      </c>
      <c r="D264" s="81" t="str">
        <f>IFERROR(INDEX('QS Takeoff'!$C$3:$C$194,MATCH(B264,'QS Takeoff'!$B$3:$B$194,0)),"")</f>
        <v/>
      </c>
      <c r="E264" s="81" t="str">
        <f>IFERROR(INDEX('QS Takeoff'!$E$3:$E$194,MATCH(B264,'QS Takeoff'!$B$3:$B$194,0)),"")</f>
        <v/>
      </c>
      <c r="F264" s="81" t="str">
        <f>IFERROR(INDEX('QS Takeoff'!$D$3:$D$194,MATCH(B264,'QS Takeoff'!$B$3:$B$194,0)),"")</f>
        <v/>
      </c>
      <c r="G264" s="81" t="str">
        <f>IFERROR(INDEX('QS Takeoff'!$J$3:$J$194,MATCH(B264,'QS Takeoff'!$B$3:$B$194,0)),"")</f>
        <v/>
      </c>
      <c r="H264" s="53"/>
      <c r="I264" s="60"/>
      <c r="J264" s="60"/>
      <c r="K264" s="82" t="str">
        <f t="shared" si="24"/>
        <v/>
      </c>
      <c r="L264" s="60"/>
      <c r="M264" s="82" t="str">
        <f t="shared" si="25"/>
        <v/>
      </c>
      <c r="N264" s="53"/>
      <c r="O264" s="53"/>
      <c r="P264" s="53"/>
      <c r="Q264" s="81" t="str">
        <f>IFERROR(INDEX('Resource Rate Library'!$C$5:$C$85,MATCH(P264,'Resource Rate Library'!$A$5:$A$85,0)),"")</f>
        <v/>
      </c>
      <c r="R264" s="53"/>
      <c r="S264" s="53"/>
      <c r="T264" s="81" t="str">
        <f>IFERROR(INDEX('Resource Rate Library'!$E$5:$E$85,MATCH(P264,'Resource Rate Library'!$A$5:$A$85,0)),"")</f>
        <v/>
      </c>
      <c r="U264" s="62"/>
      <c r="V264" s="62"/>
      <c r="W264" s="83">
        <f>IFERROR(INDEX('Resource Rate Library'!$I$5:$I$85,MATCH(P264,'Resource Rate Library'!$A$5:$A$85,0)),0)</f>
        <v>0</v>
      </c>
      <c r="X264" s="52"/>
      <c r="Y264" s="83">
        <f t="shared" si="26"/>
        <v>0</v>
      </c>
      <c r="Z264" s="83" t="str">
        <f t="shared" si="27"/>
        <v/>
      </c>
      <c r="AA264" s="81" t="str">
        <f>IFERROR(INDEX('Resource Rate Library'!$N$5:$N$85,MATCH(P264,'Resource Rate Library'!$A$5:$A$85,0)),"")</f>
        <v/>
      </c>
      <c r="AB264" s="53"/>
      <c r="AC264" s="59"/>
      <c r="AD264" s="81" t="str">
        <f>IFERROR(INDEX('Resource Rate Library'!$G$5:$G$85,MATCH(P264,'Resource Rate Library'!$A$5:$A$85,0)),"")</f>
        <v/>
      </c>
      <c r="AE264" s="81" t="str">
        <f>IFERROR(INDEX('Resource Rate Library'!$H$5:$H$85,MATCH(P264,'Resource Rate Library'!$A$5:$A$85,0)),"")</f>
        <v/>
      </c>
      <c r="AF264" s="53"/>
      <c r="AG264" s="53"/>
      <c r="AH264" s="53"/>
      <c r="AI264" s="81" t="str">
        <f t="shared" si="23"/>
        <v/>
      </c>
      <c r="AJ264" s="54"/>
      <c r="AK264" s="197"/>
      <c r="AL264" s="197"/>
      <c r="AM264" s="197"/>
      <c r="AN264" s="199">
        <f>IF(AND(AK264="Yes",OR(O264="Labour",O264="Plant")),Z264,0)</f>
        <v>0</v>
      </c>
    </row>
    <row r="265" spans="1:40" x14ac:dyDescent="0.2">
      <c r="A265" s="80" t="str">
        <f>IF(B265="","",B265&amp;"-"&amp;TEXT(COUNTIF($B$7:B265,B265),"000"))</f>
        <v/>
      </c>
      <c r="B265" s="53"/>
      <c r="C265" s="81" t="str">
        <f>IFERROR(INDEX('QS Takeoff'!$A$3:$A$194,MATCH(B265,'QS Takeoff'!$B$3:$B$194,0)),"")</f>
        <v/>
      </c>
      <c r="D265" s="81" t="str">
        <f>IFERROR(INDEX('QS Takeoff'!$C$3:$C$194,MATCH(B265,'QS Takeoff'!$B$3:$B$194,0)),"")</f>
        <v/>
      </c>
      <c r="E265" s="81" t="str">
        <f>IFERROR(INDEX('QS Takeoff'!$E$3:$E$194,MATCH(B265,'QS Takeoff'!$B$3:$B$194,0)),"")</f>
        <v/>
      </c>
      <c r="F265" s="81" t="str">
        <f>IFERROR(INDEX('QS Takeoff'!$D$3:$D$194,MATCH(B265,'QS Takeoff'!$B$3:$B$194,0)),"")</f>
        <v/>
      </c>
      <c r="G265" s="81" t="str">
        <f>IFERROR(INDEX('QS Takeoff'!$J$3:$J$194,MATCH(B265,'QS Takeoff'!$B$3:$B$194,0)),"")</f>
        <v/>
      </c>
      <c r="H265" s="53"/>
      <c r="I265" s="60"/>
      <c r="J265" s="60"/>
      <c r="K265" s="82" t="str">
        <f t="shared" si="24"/>
        <v/>
      </c>
      <c r="L265" s="60"/>
      <c r="M265" s="82" t="str">
        <f t="shared" si="25"/>
        <v/>
      </c>
      <c r="N265" s="53"/>
      <c r="O265" s="53"/>
      <c r="P265" s="53"/>
      <c r="Q265" s="81" t="str">
        <f>IFERROR(INDEX('Resource Rate Library'!$C$5:$C$85,MATCH(P265,'Resource Rate Library'!$A$5:$A$85,0)),"")</f>
        <v/>
      </c>
      <c r="R265" s="53"/>
      <c r="S265" s="53"/>
      <c r="T265" s="81" t="str">
        <f>IFERROR(INDEX('Resource Rate Library'!$E$5:$E$85,MATCH(P265,'Resource Rate Library'!$A$5:$A$85,0)),"")</f>
        <v/>
      </c>
      <c r="U265" s="62"/>
      <c r="V265" s="62"/>
      <c r="W265" s="83">
        <f>IFERROR(INDEX('Resource Rate Library'!$I$5:$I$85,MATCH(P265,'Resource Rate Library'!$A$5:$A$85,0)),0)</f>
        <v>0</v>
      </c>
      <c r="X265" s="52"/>
      <c r="Y265" s="83">
        <f t="shared" si="26"/>
        <v>0</v>
      </c>
      <c r="Z265" s="83" t="str">
        <f t="shared" si="27"/>
        <v/>
      </c>
      <c r="AA265" s="81" t="str">
        <f>IFERROR(INDEX('Resource Rate Library'!$N$5:$N$85,MATCH(P265,'Resource Rate Library'!$A$5:$A$85,0)),"")</f>
        <v/>
      </c>
      <c r="AB265" s="53"/>
      <c r="AC265" s="59"/>
      <c r="AD265" s="81" t="str">
        <f>IFERROR(INDEX('Resource Rate Library'!$G$5:$G$85,MATCH(P265,'Resource Rate Library'!$A$5:$A$85,0)),"")</f>
        <v/>
      </c>
      <c r="AE265" s="81" t="str">
        <f>IFERROR(INDEX('Resource Rate Library'!$H$5:$H$85,MATCH(P265,'Resource Rate Library'!$A$5:$A$85,0)),"")</f>
        <v/>
      </c>
      <c r="AF265" s="53"/>
      <c r="AG265" s="53"/>
      <c r="AH265" s="53"/>
      <c r="AI265" s="81" t="str">
        <f t="shared" si="23"/>
        <v/>
      </c>
      <c r="AJ265" s="54"/>
      <c r="AK265" s="197"/>
      <c r="AL265" s="197"/>
      <c r="AM265" s="197"/>
      <c r="AN265" s="199">
        <f>IF(AND(AK265="Yes",OR(O265="Labour",O265="Plant")),Z265,0)</f>
        <v>0</v>
      </c>
    </row>
    <row r="266" spans="1:40" x14ac:dyDescent="0.2">
      <c r="A266" s="80" t="str">
        <f>IF(B266="","",B266&amp;"-"&amp;TEXT(COUNTIF($B$7:B266,B266),"000"))</f>
        <v/>
      </c>
      <c r="B266" s="53"/>
      <c r="C266" s="81" t="str">
        <f>IFERROR(INDEX('QS Takeoff'!$A$3:$A$194,MATCH(B266,'QS Takeoff'!$B$3:$B$194,0)),"")</f>
        <v/>
      </c>
      <c r="D266" s="81" t="str">
        <f>IFERROR(INDEX('QS Takeoff'!$C$3:$C$194,MATCH(B266,'QS Takeoff'!$B$3:$B$194,0)),"")</f>
        <v/>
      </c>
      <c r="E266" s="81" t="str">
        <f>IFERROR(INDEX('QS Takeoff'!$E$3:$E$194,MATCH(B266,'QS Takeoff'!$B$3:$B$194,0)),"")</f>
        <v/>
      </c>
      <c r="F266" s="81" t="str">
        <f>IFERROR(INDEX('QS Takeoff'!$D$3:$D$194,MATCH(B266,'QS Takeoff'!$B$3:$B$194,0)),"")</f>
        <v/>
      </c>
      <c r="G266" s="81" t="str">
        <f>IFERROR(INDEX('QS Takeoff'!$J$3:$J$194,MATCH(B266,'QS Takeoff'!$B$3:$B$194,0)),"")</f>
        <v/>
      </c>
      <c r="H266" s="53"/>
      <c r="I266" s="60"/>
      <c r="J266" s="60"/>
      <c r="K266" s="82" t="str">
        <f t="shared" si="24"/>
        <v/>
      </c>
      <c r="L266" s="60"/>
      <c r="M266" s="82" t="str">
        <f t="shared" si="25"/>
        <v/>
      </c>
      <c r="N266" s="53"/>
      <c r="O266" s="53"/>
      <c r="P266" s="53"/>
      <c r="Q266" s="81" t="str">
        <f>IFERROR(INDEX('Resource Rate Library'!$C$5:$C$85,MATCH(P266,'Resource Rate Library'!$A$5:$A$85,0)),"")</f>
        <v/>
      </c>
      <c r="R266" s="53"/>
      <c r="S266" s="53"/>
      <c r="T266" s="81" t="str">
        <f>IFERROR(INDEX('Resource Rate Library'!$E$5:$E$85,MATCH(P266,'Resource Rate Library'!$A$5:$A$85,0)),"")</f>
        <v/>
      </c>
      <c r="U266" s="62"/>
      <c r="V266" s="62"/>
      <c r="W266" s="83">
        <f>IFERROR(INDEX('Resource Rate Library'!$I$5:$I$85,MATCH(P266,'Resource Rate Library'!$A$5:$A$85,0)),0)</f>
        <v>0</v>
      </c>
      <c r="X266" s="52"/>
      <c r="Y266" s="83">
        <f t="shared" si="26"/>
        <v>0</v>
      </c>
      <c r="Z266" s="83" t="str">
        <f t="shared" si="27"/>
        <v/>
      </c>
      <c r="AA266" s="81" t="str">
        <f>IFERROR(INDEX('Resource Rate Library'!$N$5:$N$85,MATCH(P266,'Resource Rate Library'!$A$5:$A$85,0)),"")</f>
        <v/>
      </c>
      <c r="AB266" s="53"/>
      <c r="AC266" s="59"/>
      <c r="AD266" s="81" t="str">
        <f>IFERROR(INDEX('Resource Rate Library'!$G$5:$G$85,MATCH(P266,'Resource Rate Library'!$A$5:$A$85,0)),"")</f>
        <v/>
      </c>
      <c r="AE266" s="81" t="str">
        <f>IFERROR(INDEX('Resource Rate Library'!$H$5:$H$85,MATCH(P266,'Resource Rate Library'!$A$5:$A$85,0)),"")</f>
        <v/>
      </c>
      <c r="AF266" s="53"/>
      <c r="AG266" s="53"/>
      <c r="AH266" s="53"/>
      <c r="AI266" s="81" t="str">
        <f t="shared" si="23"/>
        <v/>
      </c>
      <c r="AJ266" s="54"/>
      <c r="AK266" s="197"/>
      <c r="AL266" s="197"/>
      <c r="AM266" s="197"/>
      <c r="AN266" s="199">
        <f>IF(AND(AK266="Yes",OR(O266="Labour",O266="Plant")),Z266,0)</f>
        <v>0</v>
      </c>
    </row>
    <row r="267" spans="1:40" x14ac:dyDescent="0.2">
      <c r="A267" s="80" t="str">
        <f>IF(B267="","",B267&amp;"-"&amp;TEXT(COUNTIF($B$7:B267,B267),"000"))</f>
        <v/>
      </c>
      <c r="B267" s="53"/>
      <c r="C267" s="81" t="str">
        <f>IFERROR(INDEX('QS Takeoff'!$A$3:$A$194,MATCH(B267,'QS Takeoff'!$B$3:$B$194,0)),"")</f>
        <v/>
      </c>
      <c r="D267" s="81" t="str">
        <f>IFERROR(INDEX('QS Takeoff'!$C$3:$C$194,MATCH(B267,'QS Takeoff'!$B$3:$B$194,0)),"")</f>
        <v/>
      </c>
      <c r="E267" s="81" t="str">
        <f>IFERROR(INDEX('QS Takeoff'!$E$3:$E$194,MATCH(B267,'QS Takeoff'!$B$3:$B$194,0)),"")</f>
        <v/>
      </c>
      <c r="F267" s="81" t="str">
        <f>IFERROR(INDEX('QS Takeoff'!$D$3:$D$194,MATCH(B267,'QS Takeoff'!$B$3:$B$194,0)),"")</f>
        <v/>
      </c>
      <c r="G267" s="81" t="str">
        <f>IFERROR(INDEX('QS Takeoff'!$J$3:$J$194,MATCH(B267,'QS Takeoff'!$B$3:$B$194,0)),"")</f>
        <v/>
      </c>
      <c r="H267" s="53"/>
      <c r="I267" s="60"/>
      <c r="J267" s="60"/>
      <c r="K267" s="82" t="str">
        <f t="shared" si="24"/>
        <v/>
      </c>
      <c r="L267" s="60"/>
      <c r="M267" s="82" t="str">
        <f t="shared" si="25"/>
        <v/>
      </c>
      <c r="N267" s="53"/>
      <c r="O267" s="53"/>
      <c r="P267" s="53"/>
      <c r="Q267" s="81" t="str">
        <f>IFERROR(INDEX('Resource Rate Library'!$C$5:$C$85,MATCH(P267,'Resource Rate Library'!$A$5:$A$85,0)),"")</f>
        <v/>
      </c>
      <c r="R267" s="53"/>
      <c r="S267" s="53"/>
      <c r="T267" s="81" t="str">
        <f>IFERROR(INDEX('Resource Rate Library'!$E$5:$E$85,MATCH(P267,'Resource Rate Library'!$A$5:$A$85,0)),"")</f>
        <v/>
      </c>
      <c r="U267" s="62"/>
      <c r="V267" s="62"/>
      <c r="W267" s="83">
        <f>IFERROR(INDEX('Resource Rate Library'!$I$5:$I$85,MATCH(P267,'Resource Rate Library'!$A$5:$A$85,0)),0)</f>
        <v>0</v>
      </c>
      <c r="X267" s="52"/>
      <c r="Y267" s="83">
        <f t="shared" si="26"/>
        <v>0</v>
      </c>
      <c r="Z267" s="83" t="str">
        <f t="shared" si="27"/>
        <v/>
      </c>
      <c r="AA267" s="81" t="str">
        <f>IFERROR(INDEX('Resource Rate Library'!$N$5:$N$85,MATCH(P267,'Resource Rate Library'!$A$5:$A$85,0)),"")</f>
        <v/>
      </c>
      <c r="AB267" s="53"/>
      <c r="AC267" s="59"/>
      <c r="AD267" s="81" t="str">
        <f>IFERROR(INDEX('Resource Rate Library'!$G$5:$G$85,MATCH(P267,'Resource Rate Library'!$A$5:$A$85,0)),"")</f>
        <v/>
      </c>
      <c r="AE267" s="81" t="str">
        <f>IFERROR(INDEX('Resource Rate Library'!$H$5:$H$85,MATCH(P267,'Resource Rate Library'!$A$5:$A$85,0)),"")</f>
        <v/>
      </c>
      <c r="AF267" s="53"/>
      <c r="AG267" s="53"/>
      <c r="AH267" s="53"/>
      <c r="AI267" s="81" t="str">
        <f t="shared" si="23"/>
        <v/>
      </c>
      <c r="AJ267" s="54"/>
      <c r="AK267" s="197"/>
      <c r="AL267" s="197"/>
      <c r="AM267" s="197"/>
      <c r="AN267" s="199">
        <f>IF(AND(AK267="Yes",OR(O267="Labour",O267="Plant")),Z267,0)</f>
        <v>0</v>
      </c>
    </row>
    <row r="268" spans="1:40" x14ac:dyDescent="0.2">
      <c r="A268" s="80" t="str">
        <f>IF(B268="","",B268&amp;"-"&amp;TEXT(COUNTIF($B$7:B268,B268),"000"))</f>
        <v/>
      </c>
      <c r="B268" s="53"/>
      <c r="C268" s="81" t="str">
        <f>IFERROR(INDEX('QS Takeoff'!$A$3:$A$194,MATCH(B268,'QS Takeoff'!$B$3:$B$194,0)),"")</f>
        <v/>
      </c>
      <c r="D268" s="81" t="str">
        <f>IFERROR(INDEX('QS Takeoff'!$C$3:$C$194,MATCH(B268,'QS Takeoff'!$B$3:$B$194,0)),"")</f>
        <v/>
      </c>
      <c r="E268" s="81" t="str">
        <f>IFERROR(INDEX('QS Takeoff'!$E$3:$E$194,MATCH(B268,'QS Takeoff'!$B$3:$B$194,0)),"")</f>
        <v/>
      </c>
      <c r="F268" s="81" t="str">
        <f>IFERROR(INDEX('QS Takeoff'!$D$3:$D$194,MATCH(B268,'QS Takeoff'!$B$3:$B$194,0)),"")</f>
        <v/>
      </c>
      <c r="G268" s="81" t="str">
        <f>IFERROR(INDEX('QS Takeoff'!$J$3:$J$194,MATCH(B268,'QS Takeoff'!$B$3:$B$194,0)),"")</f>
        <v/>
      </c>
      <c r="H268" s="53"/>
      <c r="I268" s="60"/>
      <c r="J268" s="60"/>
      <c r="K268" s="82" t="str">
        <f t="shared" si="24"/>
        <v/>
      </c>
      <c r="L268" s="60"/>
      <c r="M268" s="82" t="str">
        <f t="shared" si="25"/>
        <v/>
      </c>
      <c r="N268" s="53"/>
      <c r="O268" s="53"/>
      <c r="P268" s="53"/>
      <c r="Q268" s="81" t="str">
        <f>IFERROR(INDEX('Resource Rate Library'!$C$5:$C$85,MATCH(P268,'Resource Rate Library'!$A$5:$A$85,0)),"")</f>
        <v/>
      </c>
      <c r="R268" s="53"/>
      <c r="S268" s="53"/>
      <c r="T268" s="81" t="str">
        <f>IFERROR(INDEX('Resource Rate Library'!$E$5:$E$85,MATCH(P268,'Resource Rate Library'!$A$5:$A$85,0)),"")</f>
        <v/>
      </c>
      <c r="U268" s="62"/>
      <c r="V268" s="62"/>
      <c r="W268" s="83">
        <f>IFERROR(INDEX('Resource Rate Library'!$I$5:$I$85,MATCH(P268,'Resource Rate Library'!$A$5:$A$85,0)),0)</f>
        <v>0</v>
      </c>
      <c r="X268" s="52"/>
      <c r="Y268" s="83">
        <f t="shared" si="26"/>
        <v>0</v>
      </c>
      <c r="Z268" s="83" t="str">
        <f t="shared" si="27"/>
        <v/>
      </c>
      <c r="AA268" s="81" t="str">
        <f>IFERROR(INDEX('Resource Rate Library'!$N$5:$N$85,MATCH(P268,'Resource Rate Library'!$A$5:$A$85,0)),"")</f>
        <v/>
      </c>
      <c r="AB268" s="53"/>
      <c r="AC268" s="59"/>
      <c r="AD268" s="81" t="str">
        <f>IFERROR(INDEX('Resource Rate Library'!$G$5:$G$85,MATCH(P268,'Resource Rate Library'!$A$5:$A$85,0)),"")</f>
        <v/>
      </c>
      <c r="AE268" s="81" t="str">
        <f>IFERROR(INDEX('Resource Rate Library'!$H$5:$H$85,MATCH(P268,'Resource Rate Library'!$A$5:$A$85,0)),"")</f>
        <v/>
      </c>
      <c r="AF268" s="53"/>
      <c r="AG268" s="53"/>
      <c r="AH268" s="53"/>
      <c r="AI268" s="81" t="str">
        <f t="shared" si="23"/>
        <v/>
      </c>
      <c r="AJ268" s="54"/>
      <c r="AK268" s="197"/>
      <c r="AL268" s="197"/>
      <c r="AM268" s="197"/>
      <c r="AN268" s="199">
        <f>IF(AND(AK268="Yes",OR(O268="Labour",O268="Plant")),Z268,0)</f>
        <v>0</v>
      </c>
    </row>
    <row r="269" spans="1:40" x14ac:dyDescent="0.2">
      <c r="A269" s="80" t="str">
        <f>IF(B269="","",B269&amp;"-"&amp;TEXT(COUNTIF($B$7:B269,B269),"000"))</f>
        <v/>
      </c>
      <c r="B269" s="53"/>
      <c r="C269" s="81" t="str">
        <f>IFERROR(INDEX('QS Takeoff'!$A$3:$A$194,MATCH(B269,'QS Takeoff'!$B$3:$B$194,0)),"")</f>
        <v/>
      </c>
      <c r="D269" s="81" t="str">
        <f>IFERROR(INDEX('QS Takeoff'!$C$3:$C$194,MATCH(B269,'QS Takeoff'!$B$3:$B$194,0)),"")</f>
        <v/>
      </c>
      <c r="E269" s="81" t="str">
        <f>IFERROR(INDEX('QS Takeoff'!$E$3:$E$194,MATCH(B269,'QS Takeoff'!$B$3:$B$194,0)),"")</f>
        <v/>
      </c>
      <c r="F269" s="81" t="str">
        <f>IFERROR(INDEX('QS Takeoff'!$D$3:$D$194,MATCH(B269,'QS Takeoff'!$B$3:$B$194,0)),"")</f>
        <v/>
      </c>
      <c r="G269" s="81" t="str">
        <f>IFERROR(INDEX('QS Takeoff'!$J$3:$J$194,MATCH(B269,'QS Takeoff'!$B$3:$B$194,0)),"")</f>
        <v/>
      </c>
      <c r="H269" s="53"/>
      <c r="I269" s="60"/>
      <c r="J269" s="60"/>
      <c r="K269" s="82" t="str">
        <f t="shared" si="24"/>
        <v/>
      </c>
      <c r="L269" s="60"/>
      <c r="M269" s="82" t="str">
        <f t="shared" si="25"/>
        <v/>
      </c>
      <c r="N269" s="53"/>
      <c r="O269" s="53"/>
      <c r="P269" s="53"/>
      <c r="Q269" s="81" t="str">
        <f>IFERROR(INDEX('Resource Rate Library'!$C$5:$C$85,MATCH(P269,'Resource Rate Library'!$A$5:$A$85,0)),"")</f>
        <v/>
      </c>
      <c r="R269" s="53"/>
      <c r="S269" s="53"/>
      <c r="T269" s="81" t="str">
        <f>IFERROR(INDEX('Resource Rate Library'!$E$5:$E$85,MATCH(P269,'Resource Rate Library'!$A$5:$A$85,0)),"")</f>
        <v/>
      </c>
      <c r="U269" s="62"/>
      <c r="V269" s="62"/>
      <c r="W269" s="83">
        <f>IFERROR(INDEX('Resource Rate Library'!$I$5:$I$85,MATCH(P269,'Resource Rate Library'!$A$5:$A$85,0)),0)</f>
        <v>0</v>
      </c>
      <c r="X269" s="52"/>
      <c r="Y269" s="83">
        <f t="shared" si="26"/>
        <v>0</v>
      </c>
      <c r="Z269" s="83" t="str">
        <f t="shared" si="27"/>
        <v/>
      </c>
      <c r="AA269" s="81" t="str">
        <f>IFERROR(INDEX('Resource Rate Library'!$N$5:$N$85,MATCH(P269,'Resource Rate Library'!$A$5:$A$85,0)),"")</f>
        <v/>
      </c>
      <c r="AB269" s="53"/>
      <c r="AC269" s="59"/>
      <c r="AD269" s="81" t="str">
        <f>IFERROR(INDEX('Resource Rate Library'!$G$5:$G$85,MATCH(P269,'Resource Rate Library'!$A$5:$A$85,0)),"")</f>
        <v/>
      </c>
      <c r="AE269" s="81" t="str">
        <f>IFERROR(INDEX('Resource Rate Library'!$H$5:$H$85,MATCH(P269,'Resource Rate Library'!$A$5:$A$85,0)),"")</f>
        <v/>
      </c>
      <c r="AF269" s="53"/>
      <c r="AG269" s="53"/>
      <c r="AH269" s="53"/>
      <c r="AI269" s="81" t="str">
        <f t="shared" si="23"/>
        <v/>
      </c>
      <c r="AJ269" s="54"/>
      <c r="AK269" s="197"/>
      <c r="AL269" s="197"/>
      <c r="AM269" s="197"/>
      <c r="AN269" s="199">
        <f>IF(AND(AK269="Yes",OR(O269="Labour",O269="Plant")),Z269,0)</f>
        <v>0</v>
      </c>
    </row>
    <row r="270" spans="1:40" x14ac:dyDescent="0.2">
      <c r="A270" s="80" t="str">
        <f>IF(B270="","",B270&amp;"-"&amp;TEXT(COUNTIF($B$7:B270,B270),"000"))</f>
        <v/>
      </c>
      <c r="B270" s="53"/>
      <c r="C270" s="81" t="str">
        <f>IFERROR(INDEX('QS Takeoff'!$A$3:$A$194,MATCH(B270,'QS Takeoff'!$B$3:$B$194,0)),"")</f>
        <v/>
      </c>
      <c r="D270" s="81" t="str">
        <f>IFERROR(INDEX('QS Takeoff'!$C$3:$C$194,MATCH(B270,'QS Takeoff'!$B$3:$B$194,0)),"")</f>
        <v/>
      </c>
      <c r="E270" s="81" t="str">
        <f>IFERROR(INDEX('QS Takeoff'!$E$3:$E$194,MATCH(B270,'QS Takeoff'!$B$3:$B$194,0)),"")</f>
        <v/>
      </c>
      <c r="F270" s="81" t="str">
        <f>IFERROR(INDEX('QS Takeoff'!$D$3:$D$194,MATCH(B270,'QS Takeoff'!$B$3:$B$194,0)),"")</f>
        <v/>
      </c>
      <c r="G270" s="81" t="str">
        <f>IFERROR(INDEX('QS Takeoff'!$J$3:$J$194,MATCH(B270,'QS Takeoff'!$B$3:$B$194,0)),"")</f>
        <v/>
      </c>
      <c r="H270" s="53"/>
      <c r="I270" s="60"/>
      <c r="J270" s="60"/>
      <c r="K270" s="82" t="str">
        <f t="shared" si="24"/>
        <v/>
      </c>
      <c r="L270" s="60"/>
      <c r="M270" s="82" t="str">
        <f t="shared" si="25"/>
        <v/>
      </c>
      <c r="N270" s="53"/>
      <c r="O270" s="53"/>
      <c r="P270" s="53"/>
      <c r="Q270" s="81" t="str">
        <f>IFERROR(INDEX('Resource Rate Library'!$C$5:$C$85,MATCH(P270,'Resource Rate Library'!$A$5:$A$85,0)),"")</f>
        <v/>
      </c>
      <c r="R270" s="53"/>
      <c r="S270" s="53"/>
      <c r="T270" s="81" t="str">
        <f>IFERROR(INDEX('Resource Rate Library'!$E$5:$E$85,MATCH(P270,'Resource Rate Library'!$A$5:$A$85,0)),"")</f>
        <v/>
      </c>
      <c r="U270" s="62"/>
      <c r="V270" s="62"/>
      <c r="W270" s="83">
        <f>IFERROR(INDEX('Resource Rate Library'!$I$5:$I$85,MATCH(P270,'Resource Rate Library'!$A$5:$A$85,0)),0)</f>
        <v>0</v>
      </c>
      <c r="X270" s="52"/>
      <c r="Y270" s="83">
        <f t="shared" si="26"/>
        <v>0</v>
      </c>
      <c r="Z270" s="83" t="str">
        <f t="shared" si="27"/>
        <v/>
      </c>
      <c r="AA270" s="81" t="str">
        <f>IFERROR(INDEX('Resource Rate Library'!$N$5:$N$85,MATCH(P270,'Resource Rate Library'!$A$5:$A$85,0)),"")</f>
        <v/>
      </c>
      <c r="AB270" s="53"/>
      <c r="AC270" s="59"/>
      <c r="AD270" s="81" t="str">
        <f>IFERROR(INDEX('Resource Rate Library'!$G$5:$G$85,MATCH(P270,'Resource Rate Library'!$A$5:$A$85,0)),"")</f>
        <v/>
      </c>
      <c r="AE270" s="81" t="str">
        <f>IFERROR(INDEX('Resource Rate Library'!$H$5:$H$85,MATCH(P270,'Resource Rate Library'!$A$5:$A$85,0)),"")</f>
        <v/>
      </c>
      <c r="AF270" s="53"/>
      <c r="AG270" s="53"/>
      <c r="AH270" s="53"/>
      <c r="AI270" s="81" t="str">
        <f t="shared" si="23"/>
        <v/>
      </c>
      <c r="AJ270" s="54"/>
      <c r="AK270" s="197"/>
      <c r="AL270" s="197"/>
      <c r="AM270" s="197"/>
      <c r="AN270" s="199">
        <f>IF(AND(AK270="Yes",OR(O270="Labour",O270="Plant")),Z270,0)</f>
        <v>0</v>
      </c>
    </row>
    <row r="271" spans="1:40" x14ac:dyDescent="0.2">
      <c r="A271" s="80" t="str">
        <f>IF(B271="","",B271&amp;"-"&amp;TEXT(COUNTIF($B$7:B271,B271),"000"))</f>
        <v/>
      </c>
      <c r="B271" s="53"/>
      <c r="C271" s="81" t="str">
        <f>IFERROR(INDEX('QS Takeoff'!$A$3:$A$194,MATCH(B271,'QS Takeoff'!$B$3:$B$194,0)),"")</f>
        <v/>
      </c>
      <c r="D271" s="81" t="str">
        <f>IFERROR(INDEX('QS Takeoff'!$C$3:$C$194,MATCH(B271,'QS Takeoff'!$B$3:$B$194,0)),"")</f>
        <v/>
      </c>
      <c r="E271" s="81" t="str">
        <f>IFERROR(INDEX('QS Takeoff'!$E$3:$E$194,MATCH(B271,'QS Takeoff'!$B$3:$B$194,0)),"")</f>
        <v/>
      </c>
      <c r="F271" s="81" t="str">
        <f>IFERROR(INDEX('QS Takeoff'!$D$3:$D$194,MATCH(B271,'QS Takeoff'!$B$3:$B$194,0)),"")</f>
        <v/>
      </c>
      <c r="G271" s="81" t="str">
        <f>IFERROR(INDEX('QS Takeoff'!$J$3:$J$194,MATCH(B271,'QS Takeoff'!$B$3:$B$194,0)),"")</f>
        <v/>
      </c>
      <c r="H271" s="53"/>
      <c r="I271" s="60"/>
      <c r="J271" s="60"/>
      <c r="K271" s="82" t="str">
        <f t="shared" si="24"/>
        <v/>
      </c>
      <c r="L271" s="60"/>
      <c r="M271" s="82" t="str">
        <f t="shared" si="25"/>
        <v/>
      </c>
      <c r="N271" s="53"/>
      <c r="O271" s="53"/>
      <c r="P271" s="53"/>
      <c r="Q271" s="81" t="str">
        <f>IFERROR(INDEX('Resource Rate Library'!$C$5:$C$85,MATCH(P271,'Resource Rate Library'!$A$5:$A$85,0)),"")</f>
        <v/>
      </c>
      <c r="R271" s="53"/>
      <c r="S271" s="53"/>
      <c r="T271" s="81" t="str">
        <f>IFERROR(INDEX('Resource Rate Library'!$E$5:$E$85,MATCH(P271,'Resource Rate Library'!$A$5:$A$85,0)),"")</f>
        <v/>
      </c>
      <c r="U271" s="62"/>
      <c r="V271" s="62"/>
      <c r="W271" s="83">
        <f>IFERROR(INDEX('Resource Rate Library'!$I$5:$I$85,MATCH(P271,'Resource Rate Library'!$A$5:$A$85,0)),0)</f>
        <v>0</v>
      </c>
      <c r="X271" s="52"/>
      <c r="Y271" s="83">
        <f t="shared" si="26"/>
        <v>0</v>
      </c>
      <c r="Z271" s="83" t="str">
        <f t="shared" si="27"/>
        <v/>
      </c>
      <c r="AA271" s="81" t="str">
        <f>IFERROR(INDEX('Resource Rate Library'!$N$5:$N$85,MATCH(P271,'Resource Rate Library'!$A$5:$A$85,0)),"")</f>
        <v/>
      </c>
      <c r="AB271" s="53"/>
      <c r="AC271" s="59"/>
      <c r="AD271" s="81" t="str">
        <f>IFERROR(INDEX('Resource Rate Library'!$G$5:$G$85,MATCH(P271,'Resource Rate Library'!$A$5:$A$85,0)),"")</f>
        <v/>
      </c>
      <c r="AE271" s="81" t="str">
        <f>IFERROR(INDEX('Resource Rate Library'!$H$5:$H$85,MATCH(P271,'Resource Rate Library'!$A$5:$A$85,0)),"")</f>
        <v/>
      </c>
      <c r="AF271" s="53"/>
      <c r="AG271" s="53"/>
      <c r="AH271" s="53"/>
      <c r="AI271" s="81" t="str">
        <f t="shared" si="23"/>
        <v/>
      </c>
      <c r="AJ271" s="54"/>
      <c r="AK271" s="197"/>
      <c r="AL271" s="197"/>
      <c r="AM271" s="197"/>
      <c r="AN271" s="199">
        <f>IF(AND(AK271="Yes",OR(O271="Labour",O271="Plant")),Z271,0)</f>
        <v>0</v>
      </c>
    </row>
    <row r="272" spans="1:40" x14ac:dyDescent="0.2">
      <c r="A272" s="80" t="str">
        <f>IF(B272="","",B272&amp;"-"&amp;TEXT(COUNTIF($B$7:B272,B272),"000"))</f>
        <v/>
      </c>
      <c r="B272" s="53"/>
      <c r="C272" s="81" t="str">
        <f>IFERROR(INDEX('QS Takeoff'!$A$3:$A$194,MATCH(B272,'QS Takeoff'!$B$3:$B$194,0)),"")</f>
        <v/>
      </c>
      <c r="D272" s="81" t="str">
        <f>IFERROR(INDEX('QS Takeoff'!$C$3:$C$194,MATCH(B272,'QS Takeoff'!$B$3:$B$194,0)),"")</f>
        <v/>
      </c>
      <c r="E272" s="81" t="str">
        <f>IFERROR(INDEX('QS Takeoff'!$E$3:$E$194,MATCH(B272,'QS Takeoff'!$B$3:$B$194,0)),"")</f>
        <v/>
      </c>
      <c r="F272" s="81" t="str">
        <f>IFERROR(INDEX('QS Takeoff'!$D$3:$D$194,MATCH(B272,'QS Takeoff'!$B$3:$B$194,0)),"")</f>
        <v/>
      </c>
      <c r="G272" s="81" t="str">
        <f>IFERROR(INDEX('QS Takeoff'!$J$3:$J$194,MATCH(B272,'QS Takeoff'!$B$3:$B$194,0)),"")</f>
        <v/>
      </c>
      <c r="H272" s="53"/>
      <c r="I272" s="60"/>
      <c r="J272" s="60"/>
      <c r="K272" s="82" t="str">
        <f t="shared" si="24"/>
        <v/>
      </c>
      <c r="L272" s="60"/>
      <c r="M272" s="82" t="str">
        <f t="shared" si="25"/>
        <v/>
      </c>
      <c r="N272" s="53"/>
      <c r="O272" s="53"/>
      <c r="P272" s="53"/>
      <c r="Q272" s="81" t="str">
        <f>IFERROR(INDEX('Resource Rate Library'!$C$5:$C$85,MATCH(P272,'Resource Rate Library'!$A$5:$A$85,0)),"")</f>
        <v/>
      </c>
      <c r="R272" s="53"/>
      <c r="S272" s="53"/>
      <c r="T272" s="81" t="str">
        <f>IFERROR(INDEX('Resource Rate Library'!$E$5:$E$85,MATCH(P272,'Resource Rate Library'!$A$5:$A$85,0)),"")</f>
        <v/>
      </c>
      <c r="U272" s="62"/>
      <c r="V272" s="62"/>
      <c r="W272" s="83">
        <f>IFERROR(INDEX('Resource Rate Library'!$I$5:$I$85,MATCH(P272,'Resource Rate Library'!$A$5:$A$85,0)),0)</f>
        <v>0</v>
      </c>
      <c r="X272" s="52"/>
      <c r="Y272" s="83">
        <f t="shared" si="26"/>
        <v>0</v>
      </c>
      <c r="Z272" s="83" t="str">
        <f t="shared" si="27"/>
        <v/>
      </c>
      <c r="AA272" s="81" t="str">
        <f>IFERROR(INDEX('Resource Rate Library'!$N$5:$N$85,MATCH(P272,'Resource Rate Library'!$A$5:$A$85,0)),"")</f>
        <v/>
      </c>
      <c r="AB272" s="53"/>
      <c r="AC272" s="59"/>
      <c r="AD272" s="81" t="str">
        <f>IFERROR(INDEX('Resource Rate Library'!$G$5:$G$85,MATCH(P272,'Resource Rate Library'!$A$5:$A$85,0)),"")</f>
        <v/>
      </c>
      <c r="AE272" s="81" t="str">
        <f>IFERROR(INDEX('Resource Rate Library'!$H$5:$H$85,MATCH(P272,'Resource Rate Library'!$A$5:$A$85,0)),"")</f>
        <v/>
      </c>
      <c r="AF272" s="53"/>
      <c r="AG272" s="53"/>
      <c r="AH272" s="53"/>
      <c r="AI272" s="81" t="str">
        <f t="shared" si="23"/>
        <v/>
      </c>
      <c r="AJ272" s="54"/>
      <c r="AK272" s="197"/>
      <c r="AL272" s="197"/>
      <c r="AM272" s="197"/>
      <c r="AN272" s="199">
        <f>IF(AND(AK272="Yes",OR(O272="Labour",O272="Plant")),Z272,0)</f>
        <v>0</v>
      </c>
    </row>
    <row r="273" spans="1:40" x14ac:dyDescent="0.2">
      <c r="A273" s="80" t="str">
        <f>IF(B273="","",B273&amp;"-"&amp;TEXT(COUNTIF($B$7:B273,B273),"000"))</f>
        <v/>
      </c>
      <c r="B273" s="53"/>
      <c r="C273" s="81" t="str">
        <f>IFERROR(INDEX('QS Takeoff'!$A$3:$A$194,MATCH(B273,'QS Takeoff'!$B$3:$B$194,0)),"")</f>
        <v/>
      </c>
      <c r="D273" s="81" t="str">
        <f>IFERROR(INDEX('QS Takeoff'!$C$3:$C$194,MATCH(B273,'QS Takeoff'!$B$3:$B$194,0)),"")</f>
        <v/>
      </c>
      <c r="E273" s="81" t="str">
        <f>IFERROR(INDEX('QS Takeoff'!$E$3:$E$194,MATCH(B273,'QS Takeoff'!$B$3:$B$194,0)),"")</f>
        <v/>
      </c>
      <c r="F273" s="81" t="str">
        <f>IFERROR(INDEX('QS Takeoff'!$D$3:$D$194,MATCH(B273,'QS Takeoff'!$B$3:$B$194,0)),"")</f>
        <v/>
      </c>
      <c r="G273" s="81" t="str">
        <f>IFERROR(INDEX('QS Takeoff'!$J$3:$J$194,MATCH(B273,'QS Takeoff'!$B$3:$B$194,0)),"")</f>
        <v/>
      </c>
      <c r="H273" s="53"/>
      <c r="I273" s="60"/>
      <c r="J273" s="60"/>
      <c r="K273" s="82" t="str">
        <f t="shared" si="24"/>
        <v/>
      </c>
      <c r="L273" s="60"/>
      <c r="M273" s="82" t="str">
        <f t="shared" si="25"/>
        <v/>
      </c>
      <c r="N273" s="53"/>
      <c r="O273" s="53"/>
      <c r="P273" s="53"/>
      <c r="Q273" s="81" t="str">
        <f>IFERROR(INDEX('Resource Rate Library'!$C$5:$C$85,MATCH(P273,'Resource Rate Library'!$A$5:$A$85,0)),"")</f>
        <v/>
      </c>
      <c r="R273" s="53"/>
      <c r="S273" s="53"/>
      <c r="T273" s="81" t="str">
        <f>IFERROR(INDEX('Resource Rate Library'!$E$5:$E$85,MATCH(P273,'Resource Rate Library'!$A$5:$A$85,0)),"")</f>
        <v/>
      </c>
      <c r="U273" s="62"/>
      <c r="V273" s="62"/>
      <c r="W273" s="83">
        <f>IFERROR(INDEX('Resource Rate Library'!$I$5:$I$85,MATCH(P273,'Resource Rate Library'!$A$5:$A$85,0)),0)</f>
        <v>0</v>
      </c>
      <c r="X273" s="52"/>
      <c r="Y273" s="83">
        <f t="shared" si="26"/>
        <v>0</v>
      </c>
      <c r="Z273" s="83" t="str">
        <f t="shared" si="27"/>
        <v/>
      </c>
      <c r="AA273" s="81" t="str">
        <f>IFERROR(INDEX('Resource Rate Library'!$N$5:$N$85,MATCH(P273,'Resource Rate Library'!$A$5:$A$85,0)),"")</f>
        <v/>
      </c>
      <c r="AB273" s="53"/>
      <c r="AC273" s="59"/>
      <c r="AD273" s="81" t="str">
        <f>IFERROR(INDEX('Resource Rate Library'!$G$5:$G$85,MATCH(P273,'Resource Rate Library'!$A$5:$A$85,0)),"")</f>
        <v/>
      </c>
      <c r="AE273" s="81" t="str">
        <f>IFERROR(INDEX('Resource Rate Library'!$H$5:$H$85,MATCH(P273,'Resource Rate Library'!$A$5:$A$85,0)),"")</f>
        <v/>
      </c>
      <c r="AF273" s="53"/>
      <c r="AG273" s="53"/>
      <c r="AH273" s="53"/>
      <c r="AI273" s="81" t="str">
        <f t="shared" si="23"/>
        <v/>
      </c>
      <c r="AJ273" s="54"/>
      <c r="AK273" s="197"/>
      <c r="AL273" s="197"/>
      <c r="AM273" s="197"/>
      <c r="AN273" s="199">
        <f>IF(AND(AK273="Yes",OR(O273="Labour",O273="Plant")),Z273,0)</f>
        <v>0</v>
      </c>
    </row>
    <row r="274" spans="1:40" x14ac:dyDescent="0.2">
      <c r="A274" s="80" t="str">
        <f>IF(B274="","",B274&amp;"-"&amp;TEXT(COUNTIF($B$7:B274,B274),"000"))</f>
        <v/>
      </c>
      <c r="B274" s="53"/>
      <c r="C274" s="81" t="str">
        <f>IFERROR(INDEX('QS Takeoff'!$A$3:$A$194,MATCH(B274,'QS Takeoff'!$B$3:$B$194,0)),"")</f>
        <v/>
      </c>
      <c r="D274" s="81" t="str">
        <f>IFERROR(INDEX('QS Takeoff'!$C$3:$C$194,MATCH(B274,'QS Takeoff'!$B$3:$B$194,0)),"")</f>
        <v/>
      </c>
      <c r="E274" s="81" t="str">
        <f>IFERROR(INDEX('QS Takeoff'!$E$3:$E$194,MATCH(B274,'QS Takeoff'!$B$3:$B$194,0)),"")</f>
        <v/>
      </c>
      <c r="F274" s="81" t="str">
        <f>IFERROR(INDEX('QS Takeoff'!$D$3:$D$194,MATCH(B274,'QS Takeoff'!$B$3:$B$194,0)),"")</f>
        <v/>
      </c>
      <c r="G274" s="81" t="str">
        <f>IFERROR(INDEX('QS Takeoff'!$J$3:$J$194,MATCH(B274,'QS Takeoff'!$B$3:$B$194,0)),"")</f>
        <v/>
      </c>
      <c r="H274" s="53"/>
      <c r="I274" s="60"/>
      <c r="J274" s="60"/>
      <c r="K274" s="82" t="str">
        <f t="shared" si="24"/>
        <v/>
      </c>
      <c r="L274" s="60"/>
      <c r="M274" s="82" t="str">
        <f t="shared" si="25"/>
        <v/>
      </c>
      <c r="N274" s="53"/>
      <c r="O274" s="53"/>
      <c r="P274" s="53"/>
      <c r="Q274" s="81" t="str">
        <f>IFERROR(INDEX('Resource Rate Library'!$C$5:$C$85,MATCH(P274,'Resource Rate Library'!$A$5:$A$85,0)),"")</f>
        <v/>
      </c>
      <c r="R274" s="53"/>
      <c r="S274" s="53"/>
      <c r="T274" s="81" t="str">
        <f>IFERROR(INDEX('Resource Rate Library'!$E$5:$E$85,MATCH(P274,'Resource Rate Library'!$A$5:$A$85,0)),"")</f>
        <v/>
      </c>
      <c r="U274" s="62"/>
      <c r="V274" s="62"/>
      <c r="W274" s="83">
        <f>IFERROR(INDEX('Resource Rate Library'!$I$5:$I$85,MATCH(P274,'Resource Rate Library'!$A$5:$A$85,0)),0)</f>
        <v>0</v>
      </c>
      <c r="X274" s="52"/>
      <c r="Y274" s="83">
        <f t="shared" si="26"/>
        <v>0</v>
      </c>
      <c r="Z274" s="83" t="str">
        <f t="shared" si="27"/>
        <v/>
      </c>
      <c r="AA274" s="81" t="str">
        <f>IFERROR(INDEX('Resource Rate Library'!$N$5:$N$85,MATCH(P274,'Resource Rate Library'!$A$5:$A$85,0)),"")</f>
        <v/>
      </c>
      <c r="AB274" s="53"/>
      <c r="AC274" s="59"/>
      <c r="AD274" s="81" t="str">
        <f>IFERROR(INDEX('Resource Rate Library'!$G$5:$G$85,MATCH(P274,'Resource Rate Library'!$A$5:$A$85,0)),"")</f>
        <v/>
      </c>
      <c r="AE274" s="81" t="str">
        <f>IFERROR(INDEX('Resource Rate Library'!$H$5:$H$85,MATCH(P274,'Resource Rate Library'!$A$5:$A$85,0)),"")</f>
        <v/>
      </c>
      <c r="AF274" s="53"/>
      <c r="AG274" s="53"/>
      <c r="AH274" s="53"/>
      <c r="AI274" s="81" t="str">
        <f t="shared" si="23"/>
        <v/>
      </c>
      <c r="AJ274" s="54"/>
      <c r="AK274" s="197"/>
      <c r="AL274" s="197"/>
      <c r="AM274" s="197"/>
      <c r="AN274" s="199">
        <f>IF(AND(AK274="Yes",OR(O274="Labour",O274="Plant")),Z274,0)</f>
        <v>0</v>
      </c>
    </row>
    <row r="275" spans="1:40" x14ac:dyDescent="0.2">
      <c r="A275" s="80" t="str">
        <f>IF(B275="","",B275&amp;"-"&amp;TEXT(COUNTIF($B$7:B275,B275),"000"))</f>
        <v/>
      </c>
      <c r="B275" s="53"/>
      <c r="C275" s="81" t="str">
        <f>IFERROR(INDEX('QS Takeoff'!$A$3:$A$194,MATCH(B275,'QS Takeoff'!$B$3:$B$194,0)),"")</f>
        <v/>
      </c>
      <c r="D275" s="81" t="str">
        <f>IFERROR(INDEX('QS Takeoff'!$C$3:$C$194,MATCH(B275,'QS Takeoff'!$B$3:$B$194,0)),"")</f>
        <v/>
      </c>
      <c r="E275" s="81" t="str">
        <f>IFERROR(INDEX('QS Takeoff'!$E$3:$E$194,MATCH(B275,'QS Takeoff'!$B$3:$B$194,0)),"")</f>
        <v/>
      </c>
      <c r="F275" s="81" t="str">
        <f>IFERROR(INDEX('QS Takeoff'!$D$3:$D$194,MATCH(B275,'QS Takeoff'!$B$3:$B$194,0)),"")</f>
        <v/>
      </c>
      <c r="G275" s="81" t="str">
        <f>IFERROR(INDEX('QS Takeoff'!$J$3:$J$194,MATCH(B275,'QS Takeoff'!$B$3:$B$194,0)),"")</f>
        <v/>
      </c>
      <c r="H275" s="53"/>
      <c r="I275" s="60"/>
      <c r="J275" s="60"/>
      <c r="K275" s="82" t="str">
        <f t="shared" si="24"/>
        <v/>
      </c>
      <c r="L275" s="60"/>
      <c r="M275" s="82" t="str">
        <f t="shared" si="25"/>
        <v/>
      </c>
      <c r="N275" s="53"/>
      <c r="O275" s="53"/>
      <c r="P275" s="53"/>
      <c r="Q275" s="81" t="str">
        <f>IFERROR(INDEX('Resource Rate Library'!$C$5:$C$85,MATCH(P275,'Resource Rate Library'!$A$5:$A$85,0)),"")</f>
        <v/>
      </c>
      <c r="R275" s="53"/>
      <c r="S275" s="53"/>
      <c r="T275" s="81" t="str">
        <f>IFERROR(INDEX('Resource Rate Library'!$E$5:$E$85,MATCH(P275,'Resource Rate Library'!$A$5:$A$85,0)),"")</f>
        <v/>
      </c>
      <c r="U275" s="62"/>
      <c r="V275" s="62"/>
      <c r="W275" s="83">
        <f>IFERROR(INDEX('Resource Rate Library'!$I$5:$I$85,MATCH(P275,'Resource Rate Library'!$A$5:$A$85,0)),0)</f>
        <v>0</v>
      </c>
      <c r="X275" s="52"/>
      <c r="Y275" s="83">
        <f t="shared" si="26"/>
        <v>0</v>
      </c>
      <c r="Z275" s="83" t="str">
        <f t="shared" si="27"/>
        <v/>
      </c>
      <c r="AA275" s="81" t="str">
        <f>IFERROR(INDEX('Resource Rate Library'!$N$5:$N$85,MATCH(P275,'Resource Rate Library'!$A$5:$A$85,0)),"")</f>
        <v/>
      </c>
      <c r="AB275" s="53"/>
      <c r="AC275" s="59"/>
      <c r="AD275" s="81" t="str">
        <f>IFERROR(INDEX('Resource Rate Library'!$G$5:$G$85,MATCH(P275,'Resource Rate Library'!$A$5:$A$85,0)),"")</f>
        <v/>
      </c>
      <c r="AE275" s="81" t="str">
        <f>IFERROR(INDEX('Resource Rate Library'!$H$5:$H$85,MATCH(P275,'Resource Rate Library'!$A$5:$A$85,0)),"")</f>
        <v/>
      </c>
      <c r="AF275" s="53"/>
      <c r="AG275" s="53"/>
      <c r="AH275" s="53"/>
      <c r="AI275" s="81" t="str">
        <f t="shared" si="23"/>
        <v/>
      </c>
      <c r="AJ275" s="54"/>
      <c r="AK275" s="197"/>
      <c r="AL275" s="197"/>
      <c r="AM275" s="197"/>
      <c r="AN275" s="199">
        <f>IF(AND(AK275="Yes",OR(O275="Labour",O275="Plant")),Z275,0)</f>
        <v>0</v>
      </c>
    </row>
    <row r="276" spans="1:40" x14ac:dyDescent="0.2">
      <c r="A276" s="80" t="str">
        <f>IF(B276="","",B276&amp;"-"&amp;TEXT(COUNTIF($B$7:B276,B276),"000"))</f>
        <v/>
      </c>
      <c r="B276" s="53"/>
      <c r="C276" s="81" t="str">
        <f>IFERROR(INDEX('QS Takeoff'!$A$3:$A$194,MATCH(B276,'QS Takeoff'!$B$3:$B$194,0)),"")</f>
        <v/>
      </c>
      <c r="D276" s="81" t="str">
        <f>IFERROR(INDEX('QS Takeoff'!$C$3:$C$194,MATCH(B276,'QS Takeoff'!$B$3:$B$194,0)),"")</f>
        <v/>
      </c>
      <c r="E276" s="81" t="str">
        <f>IFERROR(INDEX('QS Takeoff'!$E$3:$E$194,MATCH(B276,'QS Takeoff'!$B$3:$B$194,0)),"")</f>
        <v/>
      </c>
      <c r="F276" s="81" t="str">
        <f>IFERROR(INDEX('QS Takeoff'!$D$3:$D$194,MATCH(B276,'QS Takeoff'!$B$3:$B$194,0)),"")</f>
        <v/>
      </c>
      <c r="G276" s="81" t="str">
        <f>IFERROR(INDEX('QS Takeoff'!$J$3:$J$194,MATCH(B276,'QS Takeoff'!$B$3:$B$194,0)),"")</f>
        <v/>
      </c>
      <c r="H276" s="53"/>
      <c r="I276" s="60"/>
      <c r="J276" s="60"/>
      <c r="K276" s="82" t="str">
        <f t="shared" si="24"/>
        <v/>
      </c>
      <c r="L276" s="60"/>
      <c r="M276" s="82" t="str">
        <f t="shared" si="25"/>
        <v/>
      </c>
      <c r="N276" s="53"/>
      <c r="O276" s="53"/>
      <c r="P276" s="53"/>
      <c r="Q276" s="81" t="str">
        <f>IFERROR(INDEX('Resource Rate Library'!$C$5:$C$85,MATCH(P276,'Resource Rate Library'!$A$5:$A$85,0)),"")</f>
        <v/>
      </c>
      <c r="R276" s="53"/>
      <c r="S276" s="53"/>
      <c r="T276" s="81" t="str">
        <f>IFERROR(INDEX('Resource Rate Library'!$E$5:$E$85,MATCH(P276,'Resource Rate Library'!$A$5:$A$85,0)),"")</f>
        <v/>
      </c>
      <c r="U276" s="62"/>
      <c r="V276" s="62"/>
      <c r="W276" s="83">
        <f>IFERROR(INDEX('Resource Rate Library'!$I$5:$I$85,MATCH(P276,'Resource Rate Library'!$A$5:$A$85,0)),0)</f>
        <v>0</v>
      </c>
      <c r="X276" s="52"/>
      <c r="Y276" s="83">
        <f t="shared" si="26"/>
        <v>0</v>
      </c>
      <c r="Z276" s="83" t="str">
        <f t="shared" si="27"/>
        <v/>
      </c>
      <c r="AA276" s="81" t="str">
        <f>IFERROR(INDEX('Resource Rate Library'!$N$5:$N$85,MATCH(P276,'Resource Rate Library'!$A$5:$A$85,0)),"")</f>
        <v/>
      </c>
      <c r="AB276" s="53"/>
      <c r="AC276" s="59"/>
      <c r="AD276" s="81" t="str">
        <f>IFERROR(INDEX('Resource Rate Library'!$G$5:$G$85,MATCH(P276,'Resource Rate Library'!$A$5:$A$85,0)),"")</f>
        <v/>
      </c>
      <c r="AE276" s="81" t="str">
        <f>IFERROR(INDEX('Resource Rate Library'!$H$5:$H$85,MATCH(P276,'Resource Rate Library'!$A$5:$A$85,0)),"")</f>
        <v/>
      </c>
      <c r="AF276" s="53"/>
      <c r="AG276" s="53"/>
      <c r="AH276" s="53"/>
      <c r="AI276" s="81" t="str">
        <f t="shared" si="23"/>
        <v/>
      </c>
      <c r="AJ276" s="54"/>
      <c r="AK276" s="197"/>
      <c r="AL276" s="197"/>
      <c r="AM276" s="197"/>
      <c r="AN276" s="199">
        <f>IF(AND(AK276="Yes",OR(O276="Labour",O276="Plant")),Z276,0)</f>
        <v>0</v>
      </c>
    </row>
    <row r="277" spans="1:40" x14ac:dyDescent="0.2">
      <c r="A277" s="80" t="str">
        <f>IF(B277="","",B277&amp;"-"&amp;TEXT(COUNTIF($B$7:B277,B277),"000"))</f>
        <v/>
      </c>
      <c r="B277" s="53"/>
      <c r="C277" s="81" t="str">
        <f>IFERROR(INDEX('QS Takeoff'!$A$3:$A$194,MATCH(B277,'QS Takeoff'!$B$3:$B$194,0)),"")</f>
        <v/>
      </c>
      <c r="D277" s="81" t="str">
        <f>IFERROR(INDEX('QS Takeoff'!$C$3:$C$194,MATCH(B277,'QS Takeoff'!$B$3:$B$194,0)),"")</f>
        <v/>
      </c>
      <c r="E277" s="81" t="str">
        <f>IFERROR(INDEX('QS Takeoff'!$E$3:$E$194,MATCH(B277,'QS Takeoff'!$B$3:$B$194,0)),"")</f>
        <v/>
      </c>
      <c r="F277" s="81" t="str">
        <f>IFERROR(INDEX('QS Takeoff'!$D$3:$D$194,MATCH(B277,'QS Takeoff'!$B$3:$B$194,0)),"")</f>
        <v/>
      </c>
      <c r="G277" s="81" t="str">
        <f>IFERROR(INDEX('QS Takeoff'!$J$3:$J$194,MATCH(B277,'QS Takeoff'!$B$3:$B$194,0)),"")</f>
        <v/>
      </c>
      <c r="H277" s="53"/>
      <c r="I277" s="60"/>
      <c r="J277" s="60"/>
      <c r="K277" s="82" t="str">
        <f t="shared" si="24"/>
        <v/>
      </c>
      <c r="L277" s="60"/>
      <c r="M277" s="82" t="str">
        <f t="shared" si="25"/>
        <v/>
      </c>
      <c r="N277" s="53"/>
      <c r="O277" s="53"/>
      <c r="P277" s="53"/>
      <c r="Q277" s="81" t="str">
        <f>IFERROR(INDEX('Resource Rate Library'!$C$5:$C$85,MATCH(P277,'Resource Rate Library'!$A$5:$A$85,0)),"")</f>
        <v/>
      </c>
      <c r="R277" s="53"/>
      <c r="S277" s="53"/>
      <c r="T277" s="81" t="str">
        <f>IFERROR(INDEX('Resource Rate Library'!$E$5:$E$85,MATCH(P277,'Resource Rate Library'!$A$5:$A$85,0)),"")</f>
        <v/>
      </c>
      <c r="U277" s="62"/>
      <c r="V277" s="62"/>
      <c r="W277" s="83">
        <f>IFERROR(INDEX('Resource Rate Library'!$I$5:$I$85,MATCH(P277,'Resource Rate Library'!$A$5:$A$85,0)),0)</f>
        <v>0</v>
      </c>
      <c r="X277" s="52"/>
      <c r="Y277" s="83">
        <f t="shared" si="26"/>
        <v>0</v>
      </c>
      <c r="Z277" s="83" t="str">
        <f t="shared" si="27"/>
        <v/>
      </c>
      <c r="AA277" s="81" t="str">
        <f>IFERROR(INDEX('Resource Rate Library'!$N$5:$N$85,MATCH(P277,'Resource Rate Library'!$A$5:$A$85,0)),"")</f>
        <v/>
      </c>
      <c r="AB277" s="53"/>
      <c r="AC277" s="59"/>
      <c r="AD277" s="81" t="str">
        <f>IFERROR(INDEX('Resource Rate Library'!$G$5:$G$85,MATCH(P277,'Resource Rate Library'!$A$5:$A$85,0)),"")</f>
        <v/>
      </c>
      <c r="AE277" s="81" t="str">
        <f>IFERROR(INDEX('Resource Rate Library'!$H$5:$H$85,MATCH(P277,'Resource Rate Library'!$A$5:$A$85,0)),"")</f>
        <v/>
      </c>
      <c r="AF277" s="53"/>
      <c r="AG277" s="53"/>
      <c r="AH277" s="53"/>
      <c r="AI277" s="81" t="str">
        <f t="shared" si="23"/>
        <v/>
      </c>
      <c r="AJ277" s="54"/>
      <c r="AK277" s="197"/>
      <c r="AL277" s="197"/>
      <c r="AM277" s="197"/>
      <c r="AN277" s="199">
        <f>IF(AND(AK277="Yes",OR(O277="Labour",O277="Plant")),Z277,0)</f>
        <v>0</v>
      </c>
    </row>
    <row r="278" spans="1:40" x14ac:dyDescent="0.2">
      <c r="A278" s="80" t="str">
        <f>IF(B278="","",B278&amp;"-"&amp;TEXT(COUNTIF($B$7:B278,B278),"000"))</f>
        <v/>
      </c>
      <c r="B278" s="53"/>
      <c r="C278" s="81" t="str">
        <f>IFERROR(INDEX('QS Takeoff'!$A$3:$A$194,MATCH(B278,'QS Takeoff'!$B$3:$B$194,0)),"")</f>
        <v/>
      </c>
      <c r="D278" s="81" t="str">
        <f>IFERROR(INDEX('QS Takeoff'!$C$3:$C$194,MATCH(B278,'QS Takeoff'!$B$3:$B$194,0)),"")</f>
        <v/>
      </c>
      <c r="E278" s="81" t="str">
        <f>IFERROR(INDEX('QS Takeoff'!$E$3:$E$194,MATCH(B278,'QS Takeoff'!$B$3:$B$194,0)),"")</f>
        <v/>
      </c>
      <c r="F278" s="81" t="str">
        <f>IFERROR(INDEX('QS Takeoff'!$D$3:$D$194,MATCH(B278,'QS Takeoff'!$B$3:$B$194,0)),"")</f>
        <v/>
      </c>
      <c r="G278" s="81" t="str">
        <f>IFERROR(INDEX('QS Takeoff'!$J$3:$J$194,MATCH(B278,'QS Takeoff'!$B$3:$B$194,0)),"")</f>
        <v/>
      </c>
      <c r="H278" s="53"/>
      <c r="I278" s="60"/>
      <c r="J278" s="60"/>
      <c r="K278" s="82" t="str">
        <f t="shared" si="24"/>
        <v/>
      </c>
      <c r="L278" s="60"/>
      <c r="M278" s="82" t="str">
        <f t="shared" si="25"/>
        <v/>
      </c>
      <c r="N278" s="53"/>
      <c r="O278" s="53"/>
      <c r="P278" s="53"/>
      <c r="Q278" s="81" t="str">
        <f>IFERROR(INDEX('Resource Rate Library'!$C$5:$C$85,MATCH(P278,'Resource Rate Library'!$A$5:$A$85,0)),"")</f>
        <v/>
      </c>
      <c r="R278" s="53"/>
      <c r="S278" s="53"/>
      <c r="T278" s="81" t="str">
        <f>IFERROR(INDEX('Resource Rate Library'!$E$5:$E$85,MATCH(P278,'Resource Rate Library'!$A$5:$A$85,0)),"")</f>
        <v/>
      </c>
      <c r="U278" s="62"/>
      <c r="V278" s="62"/>
      <c r="W278" s="83">
        <f>IFERROR(INDEX('Resource Rate Library'!$I$5:$I$85,MATCH(P278,'Resource Rate Library'!$A$5:$A$85,0)),0)</f>
        <v>0</v>
      </c>
      <c r="X278" s="52"/>
      <c r="Y278" s="83">
        <f t="shared" si="26"/>
        <v>0</v>
      </c>
      <c r="Z278" s="83" t="str">
        <f t="shared" si="27"/>
        <v/>
      </c>
      <c r="AA278" s="81" t="str">
        <f>IFERROR(INDEX('Resource Rate Library'!$N$5:$N$85,MATCH(P278,'Resource Rate Library'!$A$5:$A$85,0)),"")</f>
        <v/>
      </c>
      <c r="AB278" s="53"/>
      <c r="AC278" s="59"/>
      <c r="AD278" s="81" t="str">
        <f>IFERROR(INDEX('Resource Rate Library'!$G$5:$G$85,MATCH(P278,'Resource Rate Library'!$A$5:$A$85,0)),"")</f>
        <v/>
      </c>
      <c r="AE278" s="81" t="str">
        <f>IFERROR(INDEX('Resource Rate Library'!$H$5:$H$85,MATCH(P278,'Resource Rate Library'!$A$5:$A$85,0)),"")</f>
        <v/>
      </c>
      <c r="AF278" s="53"/>
      <c r="AG278" s="53"/>
      <c r="AH278" s="53"/>
      <c r="AI278" s="81" t="str">
        <f t="shared" si="23"/>
        <v/>
      </c>
      <c r="AJ278" s="54"/>
      <c r="AK278" s="197"/>
      <c r="AL278" s="197"/>
      <c r="AM278" s="197"/>
      <c r="AN278" s="199">
        <f>IF(AND(AK278="Yes",OR(O278="Labour",O278="Plant")),Z278,0)</f>
        <v>0</v>
      </c>
    </row>
    <row r="279" spans="1:40" x14ac:dyDescent="0.2">
      <c r="A279" s="80" t="str">
        <f>IF(B279="","",B279&amp;"-"&amp;TEXT(COUNTIF($B$7:B279,B279),"000"))</f>
        <v/>
      </c>
      <c r="B279" s="53"/>
      <c r="C279" s="81" t="str">
        <f>IFERROR(INDEX('QS Takeoff'!$A$3:$A$194,MATCH(B279,'QS Takeoff'!$B$3:$B$194,0)),"")</f>
        <v/>
      </c>
      <c r="D279" s="81" t="str">
        <f>IFERROR(INDEX('QS Takeoff'!$C$3:$C$194,MATCH(B279,'QS Takeoff'!$B$3:$B$194,0)),"")</f>
        <v/>
      </c>
      <c r="E279" s="81" t="str">
        <f>IFERROR(INDEX('QS Takeoff'!$E$3:$E$194,MATCH(B279,'QS Takeoff'!$B$3:$B$194,0)),"")</f>
        <v/>
      </c>
      <c r="F279" s="81" t="str">
        <f>IFERROR(INDEX('QS Takeoff'!$D$3:$D$194,MATCH(B279,'QS Takeoff'!$B$3:$B$194,0)),"")</f>
        <v/>
      </c>
      <c r="G279" s="81" t="str">
        <f>IFERROR(INDEX('QS Takeoff'!$J$3:$J$194,MATCH(B279,'QS Takeoff'!$B$3:$B$194,0)),"")</f>
        <v/>
      </c>
      <c r="H279" s="53"/>
      <c r="I279" s="60"/>
      <c r="J279" s="60"/>
      <c r="K279" s="82" t="str">
        <f t="shared" si="24"/>
        <v/>
      </c>
      <c r="L279" s="60"/>
      <c r="M279" s="82" t="str">
        <f t="shared" si="25"/>
        <v/>
      </c>
      <c r="N279" s="53"/>
      <c r="O279" s="53"/>
      <c r="P279" s="53"/>
      <c r="Q279" s="81" t="str">
        <f>IFERROR(INDEX('Resource Rate Library'!$C$5:$C$85,MATCH(P279,'Resource Rate Library'!$A$5:$A$85,0)),"")</f>
        <v/>
      </c>
      <c r="R279" s="53"/>
      <c r="S279" s="53"/>
      <c r="T279" s="81" t="str">
        <f>IFERROR(INDEX('Resource Rate Library'!$E$5:$E$85,MATCH(P279,'Resource Rate Library'!$A$5:$A$85,0)),"")</f>
        <v/>
      </c>
      <c r="U279" s="62"/>
      <c r="V279" s="62"/>
      <c r="W279" s="83">
        <f>IFERROR(INDEX('Resource Rate Library'!$I$5:$I$85,MATCH(P279,'Resource Rate Library'!$A$5:$A$85,0)),0)</f>
        <v>0</v>
      </c>
      <c r="X279" s="52"/>
      <c r="Y279" s="83">
        <f t="shared" si="26"/>
        <v>0</v>
      </c>
      <c r="Z279" s="83" t="str">
        <f t="shared" si="27"/>
        <v/>
      </c>
      <c r="AA279" s="81" t="str">
        <f>IFERROR(INDEX('Resource Rate Library'!$N$5:$N$85,MATCH(P279,'Resource Rate Library'!$A$5:$A$85,0)),"")</f>
        <v/>
      </c>
      <c r="AB279" s="53"/>
      <c r="AC279" s="59"/>
      <c r="AD279" s="81" t="str">
        <f>IFERROR(INDEX('Resource Rate Library'!$G$5:$G$85,MATCH(P279,'Resource Rate Library'!$A$5:$A$85,0)),"")</f>
        <v/>
      </c>
      <c r="AE279" s="81" t="str">
        <f>IFERROR(INDEX('Resource Rate Library'!$H$5:$H$85,MATCH(P279,'Resource Rate Library'!$A$5:$A$85,0)),"")</f>
        <v/>
      </c>
      <c r="AF279" s="53"/>
      <c r="AG279" s="53"/>
      <c r="AH279" s="53"/>
      <c r="AI279" s="81" t="str">
        <f t="shared" si="23"/>
        <v/>
      </c>
      <c r="AJ279" s="54"/>
      <c r="AK279" s="197"/>
      <c r="AL279" s="197"/>
      <c r="AM279" s="197"/>
      <c r="AN279" s="199">
        <f>IF(AND(AK279="Yes",OR(O279="Labour",O279="Plant")),Z279,0)</f>
        <v>0</v>
      </c>
    </row>
    <row r="280" spans="1:40" x14ac:dyDescent="0.2">
      <c r="A280" s="80" t="str">
        <f>IF(B280="","",B280&amp;"-"&amp;TEXT(COUNTIF($B$7:B280,B280),"000"))</f>
        <v/>
      </c>
      <c r="B280" s="53"/>
      <c r="C280" s="81" t="str">
        <f>IFERROR(INDEX('QS Takeoff'!$A$3:$A$194,MATCH(B280,'QS Takeoff'!$B$3:$B$194,0)),"")</f>
        <v/>
      </c>
      <c r="D280" s="81" t="str">
        <f>IFERROR(INDEX('QS Takeoff'!$C$3:$C$194,MATCH(B280,'QS Takeoff'!$B$3:$B$194,0)),"")</f>
        <v/>
      </c>
      <c r="E280" s="81" t="str">
        <f>IFERROR(INDEX('QS Takeoff'!$E$3:$E$194,MATCH(B280,'QS Takeoff'!$B$3:$B$194,0)),"")</f>
        <v/>
      </c>
      <c r="F280" s="81" t="str">
        <f>IFERROR(INDEX('QS Takeoff'!$D$3:$D$194,MATCH(B280,'QS Takeoff'!$B$3:$B$194,0)),"")</f>
        <v/>
      </c>
      <c r="G280" s="81" t="str">
        <f>IFERROR(INDEX('QS Takeoff'!$J$3:$J$194,MATCH(B280,'QS Takeoff'!$B$3:$B$194,0)),"")</f>
        <v/>
      </c>
      <c r="H280" s="53"/>
      <c r="I280" s="60"/>
      <c r="J280" s="60"/>
      <c r="K280" s="82" t="str">
        <f t="shared" si="24"/>
        <v/>
      </c>
      <c r="L280" s="60"/>
      <c r="M280" s="82" t="str">
        <f t="shared" si="25"/>
        <v/>
      </c>
      <c r="N280" s="53"/>
      <c r="O280" s="53"/>
      <c r="P280" s="53"/>
      <c r="Q280" s="81" t="str">
        <f>IFERROR(INDEX('Resource Rate Library'!$C$5:$C$85,MATCH(P280,'Resource Rate Library'!$A$5:$A$85,0)),"")</f>
        <v/>
      </c>
      <c r="R280" s="53"/>
      <c r="S280" s="53"/>
      <c r="T280" s="81" t="str">
        <f>IFERROR(INDEX('Resource Rate Library'!$E$5:$E$85,MATCH(P280,'Resource Rate Library'!$A$5:$A$85,0)),"")</f>
        <v/>
      </c>
      <c r="U280" s="62"/>
      <c r="V280" s="62"/>
      <c r="W280" s="83">
        <f>IFERROR(INDEX('Resource Rate Library'!$I$5:$I$85,MATCH(P280,'Resource Rate Library'!$A$5:$A$85,0)),0)</f>
        <v>0</v>
      </c>
      <c r="X280" s="52"/>
      <c r="Y280" s="83">
        <f t="shared" si="26"/>
        <v>0</v>
      </c>
      <c r="Z280" s="83" t="str">
        <f t="shared" si="27"/>
        <v/>
      </c>
      <c r="AA280" s="81" t="str">
        <f>IFERROR(INDEX('Resource Rate Library'!$N$5:$N$85,MATCH(P280,'Resource Rate Library'!$A$5:$A$85,0)),"")</f>
        <v/>
      </c>
      <c r="AB280" s="53"/>
      <c r="AC280" s="59"/>
      <c r="AD280" s="81" t="str">
        <f>IFERROR(INDEX('Resource Rate Library'!$G$5:$G$85,MATCH(P280,'Resource Rate Library'!$A$5:$A$85,0)),"")</f>
        <v/>
      </c>
      <c r="AE280" s="81" t="str">
        <f>IFERROR(INDEX('Resource Rate Library'!$H$5:$H$85,MATCH(P280,'Resource Rate Library'!$A$5:$A$85,0)),"")</f>
        <v/>
      </c>
      <c r="AF280" s="53"/>
      <c r="AG280" s="53"/>
      <c r="AH280" s="53"/>
      <c r="AI280" s="81" t="str">
        <f t="shared" si="23"/>
        <v/>
      </c>
      <c r="AJ280" s="54"/>
      <c r="AK280" s="197"/>
      <c r="AL280" s="197"/>
      <c r="AM280" s="197"/>
      <c r="AN280" s="199">
        <f>IF(AND(AK280="Yes",OR(O280="Labour",O280="Plant")),Z280,0)</f>
        <v>0</v>
      </c>
    </row>
    <row r="281" spans="1:40" x14ac:dyDescent="0.2">
      <c r="A281" s="80" t="str">
        <f>IF(B281="","",B281&amp;"-"&amp;TEXT(COUNTIF($B$7:B281,B281),"000"))</f>
        <v/>
      </c>
      <c r="B281" s="53"/>
      <c r="C281" s="81" t="str">
        <f>IFERROR(INDEX('QS Takeoff'!$A$3:$A$194,MATCH(B281,'QS Takeoff'!$B$3:$B$194,0)),"")</f>
        <v/>
      </c>
      <c r="D281" s="81" t="str">
        <f>IFERROR(INDEX('QS Takeoff'!$C$3:$C$194,MATCH(B281,'QS Takeoff'!$B$3:$B$194,0)),"")</f>
        <v/>
      </c>
      <c r="E281" s="81" t="str">
        <f>IFERROR(INDEX('QS Takeoff'!$E$3:$E$194,MATCH(B281,'QS Takeoff'!$B$3:$B$194,0)),"")</f>
        <v/>
      </c>
      <c r="F281" s="81" t="str">
        <f>IFERROR(INDEX('QS Takeoff'!$D$3:$D$194,MATCH(B281,'QS Takeoff'!$B$3:$B$194,0)),"")</f>
        <v/>
      </c>
      <c r="G281" s="81" t="str">
        <f>IFERROR(INDEX('QS Takeoff'!$J$3:$J$194,MATCH(B281,'QS Takeoff'!$B$3:$B$194,0)),"")</f>
        <v/>
      </c>
      <c r="H281" s="53"/>
      <c r="I281" s="60"/>
      <c r="J281" s="60"/>
      <c r="K281" s="82" t="str">
        <f t="shared" si="24"/>
        <v/>
      </c>
      <c r="L281" s="60"/>
      <c r="M281" s="82" t="str">
        <f t="shared" si="25"/>
        <v/>
      </c>
      <c r="N281" s="53"/>
      <c r="O281" s="53"/>
      <c r="P281" s="53"/>
      <c r="Q281" s="81" t="str">
        <f>IFERROR(INDEX('Resource Rate Library'!$C$5:$C$85,MATCH(P281,'Resource Rate Library'!$A$5:$A$85,0)),"")</f>
        <v/>
      </c>
      <c r="R281" s="53"/>
      <c r="S281" s="53"/>
      <c r="T281" s="81" t="str">
        <f>IFERROR(INDEX('Resource Rate Library'!$E$5:$E$85,MATCH(P281,'Resource Rate Library'!$A$5:$A$85,0)),"")</f>
        <v/>
      </c>
      <c r="U281" s="62"/>
      <c r="V281" s="62"/>
      <c r="W281" s="83">
        <f>IFERROR(INDEX('Resource Rate Library'!$I$5:$I$85,MATCH(P281,'Resource Rate Library'!$A$5:$A$85,0)),0)</f>
        <v>0</v>
      </c>
      <c r="X281" s="52"/>
      <c r="Y281" s="83">
        <f t="shared" si="26"/>
        <v>0</v>
      </c>
      <c r="Z281" s="83" t="str">
        <f t="shared" si="27"/>
        <v/>
      </c>
      <c r="AA281" s="81" t="str">
        <f>IFERROR(INDEX('Resource Rate Library'!$N$5:$N$85,MATCH(P281,'Resource Rate Library'!$A$5:$A$85,0)),"")</f>
        <v/>
      </c>
      <c r="AB281" s="53"/>
      <c r="AC281" s="59"/>
      <c r="AD281" s="81" t="str">
        <f>IFERROR(INDEX('Resource Rate Library'!$G$5:$G$85,MATCH(P281,'Resource Rate Library'!$A$5:$A$85,0)),"")</f>
        <v/>
      </c>
      <c r="AE281" s="81" t="str">
        <f>IFERROR(INDEX('Resource Rate Library'!$H$5:$H$85,MATCH(P281,'Resource Rate Library'!$A$5:$A$85,0)),"")</f>
        <v/>
      </c>
      <c r="AF281" s="53"/>
      <c r="AG281" s="53"/>
      <c r="AH281" s="53"/>
      <c r="AI281" s="81" t="str">
        <f t="shared" ref="AI281:AI306" si="28">IF(B281="","",IF(AND(P281="",N281&lt;&gt;"Lump Sum / Quote"),"RESOURCE CODE",IF(Y281=0,"RATE MISSING",IF(AND(O281="Plant",AD281="Yes",COUNTIFS($B$7:$B$306,B281,$O$7:$O$306,"Labour",$Q$7:$Q$306,"*Operator*")&gt;0),"OPERATOR DOUBLE-COUNT",IF(AND(O281="Plant",AE281="Yes",COUNTIFS($B$7:$B$306,B281,$Q$7:$Q$306,"*Fuel*")&gt;0),"FUEL DOUBLE-COUNT",IF(AH281&lt;&gt;"Yes","VERIFY","OK"))))))</f>
        <v/>
      </c>
      <c r="AJ281" s="54"/>
      <c r="AK281" s="197"/>
      <c r="AL281" s="197"/>
      <c r="AM281" s="197"/>
      <c r="AN281" s="199">
        <f>IF(AND(AK281="Yes",OR(O281="Labour",O281="Plant")),Z281,0)</f>
        <v>0</v>
      </c>
    </row>
    <row r="282" spans="1:40" x14ac:dyDescent="0.2">
      <c r="A282" s="80" t="str">
        <f>IF(B282="","",B282&amp;"-"&amp;TEXT(COUNTIF($B$7:B282,B282),"000"))</f>
        <v/>
      </c>
      <c r="B282" s="53"/>
      <c r="C282" s="81" t="str">
        <f>IFERROR(INDEX('QS Takeoff'!$A$3:$A$194,MATCH(B282,'QS Takeoff'!$B$3:$B$194,0)),"")</f>
        <v/>
      </c>
      <c r="D282" s="81" t="str">
        <f>IFERROR(INDEX('QS Takeoff'!$C$3:$C$194,MATCH(B282,'QS Takeoff'!$B$3:$B$194,0)),"")</f>
        <v/>
      </c>
      <c r="E282" s="81" t="str">
        <f>IFERROR(INDEX('QS Takeoff'!$E$3:$E$194,MATCH(B282,'QS Takeoff'!$B$3:$B$194,0)),"")</f>
        <v/>
      </c>
      <c r="F282" s="81" t="str">
        <f>IFERROR(INDEX('QS Takeoff'!$D$3:$D$194,MATCH(B282,'QS Takeoff'!$B$3:$B$194,0)),"")</f>
        <v/>
      </c>
      <c r="G282" s="81" t="str">
        <f>IFERROR(INDEX('QS Takeoff'!$J$3:$J$194,MATCH(B282,'QS Takeoff'!$B$3:$B$194,0)),"")</f>
        <v/>
      </c>
      <c r="H282" s="53"/>
      <c r="I282" s="60"/>
      <c r="J282" s="60"/>
      <c r="K282" s="82" t="str">
        <f t="shared" si="24"/>
        <v/>
      </c>
      <c r="L282" s="60"/>
      <c r="M282" s="82" t="str">
        <f t="shared" si="25"/>
        <v/>
      </c>
      <c r="N282" s="53"/>
      <c r="O282" s="53"/>
      <c r="P282" s="53"/>
      <c r="Q282" s="81" t="str">
        <f>IFERROR(INDEX('Resource Rate Library'!$C$5:$C$85,MATCH(P282,'Resource Rate Library'!$A$5:$A$85,0)),"")</f>
        <v/>
      </c>
      <c r="R282" s="53"/>
      <c r="S282" s="53"/>
      <c r="T282" s="81" t="str">
        <f>IFERROR(INDEX('Resource Rate Library'!$E$5:$E$85,MATCH(P282,'Resource Rate Library'!$A$5:$A$85,0)),"")</f>
        <v/>
      </c>
      <c r="U282" s="62"/>
      <c r="V282" s="62"/>
      <c r="W282" s="83">
        <f>IFERROR(INDEX('Resource Rate Library'!$I$5:$I$85,MATCH(P282,'Resource Rate Library'!$A$5:$A$85,0)),0)</f>
        <v>0</v>
      </c>
      <c r="X282" s="52"/>
      <c r="Y282" s="83">
        <f t="shared" si="26"/>
        <v>0</v>
      </c>
      <c r="Z282" s="83" t="str">
        <f t="shared" si="27"/>
        <v/>
      </c>
      <c r="AA282" s="81" t="str">
        <f>IFERROR(INDEX('Resource Rate Library'!$N$5:$N$85,MATCH(P282,'Resource Rate Library'!$A$5:$A$85,0)),"")</f>
        <v/>
      </c>
      <c r="AB282" s="53"/>
      <c r="AC282" s="59"/>
      <c r="AD282" s="81" t="str">
        <f>IFERROR(INDEX('Resource Rate Library'!$G$5:$G$85,MATCH(P282,'Resource Rate Library'!$A$5:$A$85,0)),"")</f>
        <v/>
      </c>
      <c r="AE282" s="81" t="str">
        <f>IFERROR(INDEX('Resource Rate Library'!$H$5:$H$85,MATCH(P282,'Resource Rate Library'!$A$5:$A$85,0)),"")</f>
        <v/>
      </c>
      <c r="AF282" s="53"/>
      <c r="AG282" s="53"/>
      <c r="AH282" s="53"/>
      <c r="AI282" s="81" t="str">
        <f t="shared" si="28"/>
        <v/>
      </c>
      <c r="AJ282" s="54"/>
      <c r="AK282" s="197"/>
      <c r="AL282" s="197"/>
      <c r="AM282" s="197"/>
      <c r="AN282" s="199">
        <f>IF(AND(AK282="Yes",OR(O282="Labour",O282="Plant")),Z282,0)</f>
        <v>0</v>
      </c>
    </row>
    <row r="283" spans="1:40" x14ac:dyDescent="0.2">
      <c r="A283" s="80" t="str">
        <f>IF(B283="","",B283&amp;"-"&amp;TEXT(COUNTIF($B$7:B283,B283),"000"))</f>
        <v/>
      </c>
      <c r="B283" s="53"/>
      <c r="C283" s="81" t="str">
        <f>IFERROR(INDEX('QS Takeoff'!$A$3:$A$194,MATCH(B283,'QS Takeoff'!$B$3:$B$194,0)),"")</f>
        <v/>
      </c>
      <c r="D283" s="81" t="str">
        <f>IFERROR(INDEX('QS Takeoff'!$C$3:$C$194,MATCH(B283,'QS Takeoff'!$B$3:$B$194,0)),"")</f>
        <v/>
      </c>
      <c r="E283" s="81" t="str">
        <f>IFERROR(INDEX('QS Takeoff'!$E$3:$E$194,MATCH(B283,'QS Takeoff'!$B$3:$B$194,0)),"")</f>
        <v/>
      </c>
      <c r="F283" s="81" t="str">
        <f>IFERROR(INDEX('QS Takeoff'!$D$3:$D$194,MATCH(B283,'QS Takeoff'!$B$3:$B$194,0)),"")</f>
        <v/>
      </c>
      <c r="G283" s="81" t="str">
        <f>IFERROR(INDEX('QS Takeoff'!$J$3:$J$194,MATCH(B283,'QS Takeoff'!$B$3:$B$194,0)),"")</f>
        <v/>
      </c>
      <c r="H283" s="53"/>
      <c r="I283" s="60"/>
      <c r="J283" s="60"/>
      <c r="K283" s="82" t="str">
        <f t="shared" si="24"/>
        <v/>
      </c>
      <c r="L283" s="60"/>
      <c r="M283" s="82" t="str">
        <f t="shared" si="25"/>
        <v/>
      </c>
      <c r="N283" s="53"/>
      <c r="O283" s="53"/>
      <c r="P283" s="53"/>
      <c r="Q283" s="81" t="str">
        <f>IFERROR(INDEX('Resource Rate Library'!$C$5:$C$85,MATCH(P283,'Resource Rate Library'!$A$5:$A$85,0)),"")</f>
        <v/>
      </c>
      <c r="R283" s="53"/>
      <c r="S283" s="53"/>
      <c r="T283" s="81" t="str">
        <f>IFERROR(INDEX('Resource Rate Library'!$E$5:$E$85,MATCH(P283,'Resource Rate Library'!$A$5:$A$85,0)),"")</f>
        <v/>
      </c>
      <c r="U283" s="62"/>
      <c r="V283" s="62"/>
      <c r="W283" s="83">
        <f>IFERROR(INDEX('Resource Rate Library'!$I$5:$I$85,MATCH(P283,'Resource Rate Library'!$A$5:$A$85,0)),0)</f>
        <v>0</v>
      </c>
      <c r="X283" s="52"/>
      <c r="Y283" s="83">
        <f t="shared" si="26"/>
        <v>0</v>
      </c>
      <c r="Z283" s="83" t="str">
        <f t="shared" si="27"/>
        <v/>
      </c>
      <c r="AA283" s="81" t="str">
        <f>IFERROR(INDEX('Resource Rate Library'!$N$5:$N$85,MATCH(P283,'Resource Rate Library'!$A$5:$A$85,0)),"")</f>
        <v/>
      </c>
      <c r="AB283" s="53"/>
      <c r="AC283" s="59"/>
      <c r="AD283" s="81" t="str">
        <f>IFERROR(INDEX('Resource Rate Library'!$G$5:$G$85,MATCH(P283,'Resource Rate Library'!$A$5:$A$85,0)),"")</f>
        <v/>
      </c>
      <c r="AE283" s="81" t="str">
        <f>IFERROR(INDEX('Resource Rate Library'!$H$5:$H$85,MATCH(P283,'Resource Rate Library'!$A$5:$A$85,0)),"")</f>
        <v/>
      </c>
      <c r="AF283" s="53"/>
      <c r="AG283" s="53"/>
      <c r="AH283" s="53"/>
      <c r="AI283" s="81" t="str">
        <f t="shared" si="28"/>
        <v/>
      </c>
      <c r="AJ283" s="54"/>
      <c r="AK283" s="197"/>
      <c r="AL283" s="197"/>
      <c r="AM283" s="197"/>
      <c r="AN283" s="199">
        <f>IF(AND(AK283="Yes",OR(O283="Labour",O283="Plant")),Z283,0)</f>
        <v>0</v>
      </c>
    </row>
    <row r="284" spans="1:40" x14ac:dyDescent="0.2">
      <c r="A284" s="80" t="str">
        <f>IF(B284="","",B284&amp;"-"&amp;TEXT(COUNTIF($B$7:B284,B284),"000"))</f>
        <v/>
      </c>
      <c r="B284" s="53"/>
      <c r="C284" s="81" t="str">
        <f>IFERROR(INDEX('QS Takeoff'!$A$3:$A$194,MATCH(B284,'QS Takeoff'!$B$3:$B$194,0)),"")</f>
        <v/>
      </c>
      <c r="D284" s="81" t="str">
        <f>IFERROR(INDEX('QS Takeoff'!$C$3:$C$194,MATCH(B284,'QS Takeoff'!$B$3:$B$194,0)),"")</f>
        <v/>
      </c>
      <c r="E284" s="81" t="str">
        <f>IFERROR(INDEX('QS Takeoff'!$E$3:$E$194,MATCH(B284,'QS Takeoff'!$B$3:$B$194,0)),"")</f>
        <v/>
      </c>
      <c r="F284" s="81" t="str">
        <f>IFERROR(INDEX('QS Takeoff'!$D$3:$D$194,MATCH(B284,'QS Takeoff'!$B$3:$B$194,0)),"")</f>
        <v/>
      </c>
      <c r="G284" s="81" t="str">
        <f>IFERROR(INDEX('QS Takeoff'!$J$3:$J$194,MATCH(B284,'QS Takeoff'!$B$3:$B$194,0)),"")</f>
        <v/>
      </c>
      <c r="H284" s="53"/>
      <c r="I284" s="60"/>
      <c r="J284" s="60"/>
      <c r="K284" s="82" t="str">
        <f t="shared" si="24"/>
        <v/>
      </c>
      <c r="L284" s="60"/>
      <c r="M284" s="82" t="str">
        <f t="shared" si="25"/>
        <v/>
      </c>
      <c r="N284" s="53"/>
      <c r="O284" s="53"/>
      <c r="P284" s="53"/>
      <c r="Q284" s="81" t="str">
        <f>IFERROR(INDEX('Resource Rate Library'!$C$5:$C$85,MATCH(P284,'Resource Rate Library'!$A$5:$A$85,0)),"")</f>
        <v/>
      </c>
      <c r="R284" s="53"/>
      <c r="S284" s="53"/>
      <c r="T284" s="81" t="str">
        <f>IFERROR(INDEX('Resource Rate Library'!$E$5:$E$85,MATCH(P284,'Resource Rate Library'!$A$5:$A$85,0)),"")</f>
        <v/>
      </c>
      <c r="U284" s="62"/>
      <c r="V284" s="62"/>
      <c r="W284" s="83">
        <f>IFERROR(INDEX('Resource Rate Library'!$I$5:$I$85,MATCH(P284,'Resource Rate Library'!$A$5:$A$85,0)),0)</f>
        <v>0</v>
      </c>
      <c r="X284" s="52"/>
      <c r="Y284" s="83">
        <f t="shared" si="26"/>
        <v>0</v>
      </c>
      <c r="Z284" s="83" t="str">
        <f t="shared" si="27"/>
        <v/>
      </c>
      <c r="AA284" s="81" t="str">
        <f>IFERROR(INDEX('Resource Rate Library'!$N$5:$N$85,MATCH(P284,'Resource Rate Library'!$A$5:$A$85,0)),"")</f>
        <v/>
      </c>
      <c r="AB284" s="53"/>
      <c r="AC284" s="59"/>
      <c r="AD284" s="81" t="str">
        <f>IFERROR(INDEX('Resource Rate Library'!$G$5:$G$85,MATCH(P284,'Resource Rate Library'!$A$5:$A$85,0)),"")</f>
        <v/>
      </c>
      <c r="AE284" s="81" t="str">
        <f>IFERROR(INDEX('Resource Rate Library'!$H$5:$H$85,MATCH(P284,'Resource Rate Library'!$A$5:$A$85,0)),"")</f>
        <v/>
      </c>
      <c r="AF284" s="53"/>
      <c r="AG284" s="53"/>
      <c r="AH284" s="53"/>
      <c r="AI284" s="81" t="str">
        <f t="shared" si="28"/>
        <v/>
      </c>
      <c r="AJ284" s="54"/>
      <c r="AK284" s="197"/>
      <c r="AL284" s="197"/>
      <c r="AM284" s="197"/>
      <c r="AN284" s="199">
        <f>IF(AND(AK284="Yes",OR(O284="Labour",O284="Plant")),Z284,0)</f>
        <v>0</v>
      </c>
    </row>
    <row r="285" spans="1:40" x14ac:dyDescent="0.2">
      <c r="A285" s="80" t="str">
        <f>IF(B285="","",B285&amp;"-"&amp;TEXT(COUNTIF($B$7:B285,B285),"000"))</f>
        <v/>
      </c>
      <c r="B285" s="53"/>
      <c r="C285" s="81" t="str">
        <f>IFERROR(INDEX('QS Takeoff'!$A$3:$A$194,MATCH(B285,'QS Takeoff'!$B$3:$B$194,0)),"")</f>
        <v/>
      </c>
      <c r="D285" s="81" t="str">
        <f>IFERROR(INDEX('QS Takeoff'!$C$3:$C$194,MATCH(B285,'QS Takeoff'!$B$3:$B$194,0)),"")</f>
        <v/>
      </c>
      <c r="E285" s="81" t="str">
        <f>IFERROR(INDEX('QS Takeoff'!$E$3:$E$194,MATCH(B285,'QS Takeoff'!$B$3:$B$194,0)),"")</f>
        <v/>
      </c>
      <c r="F285" s="81" t="str">
        <f>IFERROR(INDEX('QS Takeoff'!$D$3:$D$194,MATCH(B285,'QS Takeoff'!$B$3:$B$194,0)),"")</f>
        <v/>
      </c>
      <c r="G285" s="81" t="str">
        <f>IFERROR(INDEX('QS Takeoff'!$J$3:$J$194,MATCH(B285,'QS Takeoff'!$B$3:$B$194,0)),"")</f>
        <v/>
      </c>
      <c r="H285" s="53"/>
      <c r="I285" s="60"/>
      <c r="J285" s="60"/>
      <c r="K285" s="82" t="str">
        <f t="shared" si="24"/>
        <v/>
      </c>
      <c r="L285" s="60"/>
      <c r="M285" s="82" t="str">
        <f t="shared" si="25"/>
        <v/>
      </c>
      <c r="N285" s="53"/>
      <c r="O285" s="53"/>
      <c r="P285" s="53"/>
      <c r="Q285" s="81" t="str">
        <f>IFERROR(INDEX('Resource Rate Library'!$C$5:$C$85,MATCH(P285,'Resource Rate Library'!$A$5:$A$85,0)),"")</f>
        <v/>
      </c>
      <c r="R285" s="53"/>
      <c r="S285" s="53"/>
      <c r="T285" s="81" t="str">
        <f>IFERROR(INDEX('Resource Rate Library'!$E$5:$E$85,MATCH(P285,'Resource Rate Library'!$A$5:$A$85,0)),"")</f>
        <v/>
      </c>
      <c r="U285" s="62"/>
      <c r="V285" s="62"/>
      <c r="W285" s="83">
        <f>IFERROR(INDEX('Resource Rate Library'!$I$5:$I$85,MATCH(P285,'Resource Rate Library'!$A$5:$A$85,0)),0)</f>
        <v>0</v>
      </c>
      <c r="X285" s="52"/>
      <c r="Y285" s="83">
        <f t="shared" si="26"/>
        <v>0</v>
      </c>
      <c r="Z285" s="83" t="str">
        <f t="shared" si="27"/>
        <v/>
      </c>
      <c r="AA285" s="81" t="str">
        <f>IFERROR(INDEX('Resource Rate Library'!$N$5:$N$85,MATCH(P285,'Resource Rate Library'!$A$5:$A$85,0)),"")</f>
        <v/>
      </c>
      <c r="AB285" s="53"/>
      <c r="AC285" s="59"/>
      <c r="AD285" s="81" t="str">
        <f>IFERROR(INDEX('Resource Rate Library'!$G$5:$G$85,MATCH(P285,'Resource Rate Library'!$A$5:$A$85,0)),"")</f>
        <v/>
      </c>
      <c r="AE285" s="81" t="str">
        <f>IFERROR(INDEX('Resource Rate Library'!$H$5:$H$85,MATCH(P285,'Resource Rate Library'!$A$5:$A$85,0)),"")</f>
        <v/>
      </c>
      <c r="AF285" s="53"/>
      <c r="AG285" s="53"/>
      <c r="AH285" s="53"/>
      <c r="AI285" s="81" t="str">
        <f t="shared" si="28"/>
        <v/>
      </c>
      <c r="AJ285" s="54"/>
      <c r="AK285" s="197"/>
      <c r="AL285" s="197"/>
      <c r="AM285" s="197"/>
      <c r="AN285" s="199">
        <f>IF(AND(AK285="Yes",OR(O285="Labour",O285="Plant")),Z285,0)</f>
        <v>0</v>
      </c>
    </row>
    <row r="286" spans="1:40" x14ac:dyDescent="0.2">
      <c r="A286" s="80" t="str">
        <f>IF(B286="","",B286&amp;"-"&amp;TEXT(COUNTIF($B$7:B286,B286),"000"))</f>
        <v/>
      </c>
      <c r="B286" s="53"/>
      <c r="C286" s="81" t="str">
        <f>IFERROR(INDEX('QS Takeoff'!$A$3:$A$194,MATCH(B286,'QS Takeoff'!$B$3:$B$194,0)),"")</f>
        <v/>
      </c>
      <c r="D286" s="81" t="str">
        <f>IFERROR(INDEX('QS Takeoff'!$C$3:$C$194,MATCH(B286,'QS Takeoff'!$B$3:$B$194,0)),"")</f>
        <v/>
      </c>
      <c r="E286" s="81" t="str">
        <f>IFERROR(INDEX('QS Takeoff'!$E$3:$E$194,MATCH(B286,'QS Takeoff'!$B$3:$B$194,0)),"")</f>
        <v/>
      </c>
      <c r="F286" s="81" t="str">
        <f>IFERROR(INDEX('QS Takeoff'!$D$3:$D$194,MATCH(B286,'QS Takeoff'!$B$3:$B$194,0)),"")</f>
        <v/>
      </c>
      <c r="G286" s="81" t="str">
        <f>IFERROR(INDEX('QS Takeoff'!$J$3:$J$194,MATCH(B286,'QS Takeoff'!$B$3:$B$194,0)),"")</f>
        <v/>
      </c>
      <c r="H286" s="53"/>
      <c r="I286" s="60"/>
      <c r="J286" s="60"/>
      <c r="K286" s="82" t="str">
        <f t="shared" si="24"/>
        <v/>
      </c>
      <c r="L286" s="60"/>
      <c r="M286" s="82" t="str">
        <f t="shared" si="25"/>
        <v/>
      </c>
      <c r="N286" s="53"/>
      <c r="O286" s="53"/>
      <c r="P286" s="53"/>
      <c r="Q286" s="81" t="str">
        <f>IFERROR(INDEX('Resource Rate Library'!$C$5:$C$85,MATCH(P286,'Resource Rate Library'!$A$5:$A$85,0)),"")</f>
        <v/>
      </c>
      <c r="R286" s="53"/>
      <c r="S286" s="53"/>
      <c r="T286" s="81" t="str">
        <f>IFERROR(INDEX('Resource Rate Library'!$E$5:$E$85,MATCH(P286,'Resource Rate Library'!$A$5:$A$85,0)),"")</f>
        <v/>
      </c>
      <c r="U286" s="62"/>
      <c r="V286" s="62"/>
      <c r="W286" s="83">
        <f>IFERROR(INDEX('Resource Rate Library'!$I$5:$I$85,MATCH(P286,'Resource Rate Library'!$A$5:$A$85,0)),0)</f>
        <v>0</v>
      </c>
      <c r="X286" s="52"/>
      <c r="Y286" s="83">
        <f t="shared" si="26"/>
        <v>0</v>
      </c>
      <c r="Z286" s="83" t="str">
        <f t="shared" si="27"/>
        <v/>
      </c>
      <c r="AA286" s="81" t="str">
        <f>IFERROR(INDEX('Resource Rate Library'!$N$5:$N$85,MATCH(P286,'Resource Rate Library'!$A$5:$A$85,0)),"")</f>
        <v/>
      </c>
      <c r="AB286" s="53"/>
      <c r="AC286" s="59"/>
      <c r="AD286" s="81" t="str">
        <f>IFERROR(INDEX('Resource Rate Library'!$G$5:$G$85,MATCH(P286,'Resource Rate Library'!$A$5:$A$85,0)),"")</f>
        <v/>
      </c>
      <c r="AE286" s="81" t="str">
        <f>IFERROR(INDEX('Resource Rate Library'!$H$5:$H$85,MATCH(P286,'Resource Rate Library'!$A$5:$A$85,0)),"")</f>
        <v/>
      </c>
      <c r="AF286" s="53"/>
      <c r="AG286" s="53"/>
      <c r="AH286" s="53"/>
      <c r="AI286" s="81" t="str">
        <f t="shared" si="28"/>
        <v/>
      </c>
      <c r="AJ286" s="54"/>
      <c r="AK286" s="197"/>
      <c r="AL286" s="197"/>
      <c r="AM286" s="197"/>
      <c r="AN286" s="199">
        <f>IF(AND(AK286="Yes",OR(O286="Labour",O286="Plant")),Z286,0)</f>
        <v>0</v>
      </c>
    </row>
    <row r="287" spans="1:40" x14ac:dyDescent="0.2">
      <c r="A287" s="80" t="str">
        <f>IF(B287="","",B287&amp;"-"&amp;TEXT(COUNTIF($B$7:B287,B287),"000"))</f>
        <v/>
      </c>
      <c r="B287" s="53"/>
      <c r="C287" s="81" t="str">
        <f>IFERROR(INDEX('QS Takeoff'!$A$3:$A$194,MATCH(B287,'QS Takeoff'!$B$3:$B$194,0)),"")</f>
        <v/>
      </c>
      <c r="D287" s="81" t="str">
        <f>IFERROR(INDEX('QS Takeoff'!$C$3:$C$194,MATCH(B287,'QS Takeoff'!$B$3:$B$194,0)),"")</f>
        <v/>
      </c>
      <c r="E287" s="81" t="str">
        <f>IFERROR(INDEX('QS Takeoff'!$E$3:$E$194,MATCH(B287,'QS Takeoff'!$B$3:$B$194,0)),"")</f>
        <v/>
      </c>
      <c r="F287" s="81" t="str">
        <f>IFERROR(INDEX('QS Takeoff'!$D$3:$D$194,MATCH(B287,'QS Takeoff'!$B$3:$B$194,0)),"")</f>
        <v/>
      </c>
      <c r="G287" s="81" t="str">
        <f>IFERROR(INDEX('QS Takeoff'!$J$3:$J$194,MATCH(B287,'QS Takeoff'!$B$3:$B$194,0)),"")</f>
        <v/>
      </c>
      <c r="H287" s="53"/>
      <c r="I287" s="60"/>
      <c r="J287" s="60"/>
      <c r="K287" s="82" t="str">
        <f t="shared" si="24"/>
        <v/>
      </c>
      <c r="L287" s="60"/>
      <c r="M287" s="82" t="str">
        <f t="shared" si="25"/>
        <v/>
      </c>
      <c r="N287" s="53"/>
      <c r="O287" s="53"/>
      <c r="P287" s="53"/>
      <c r="Q287" s="81" t="str">
        <f>IFERROR(INDEX('Resource Rate Library'!$C$5:$C$85,MATCH(P287,'Resource Rate Library'!$A$5:$A$85,0)),"")</f>
        <v/>
      </c>
      <c r="R287" s="53"/>
      <c r="S287" s="53"/>
      <c r="T287" s="81" t="str">
        <f>IFERROR(INDEX('Resource Rate Library'!$E$5:$E$85,MATCH(P287,'Resource Rate Library'!$A$5:$A$85,0)),"")</f>
        <v/>
      </c>
      <c r="U287" s="62"/>
      <c r="V287" s="62"/>
      <c r="W287" s="83">
        <f>IFERROR(INDEX('Resource Rate Library'!$I$5:$I$85,MATCH(P287,'Resource Rate Library'!$A$5:$A$85,0)),0)</f>
        <v>0</v>
      </c>
      <c r="X287" s="52"/>
      <c r="Y287" s="83">
        <f t="shared" si="26"/>
        <v>0</v>
      </c>
      <c r="Z287" s="83" t="str">
        <f t="shared" si="27"/>
        <v/>
      </c>
      <c r="AA287" s="81" t="str">
        <f>IFERROR(INDEX('Resource Rate Library'!$N$5:$N$85,MATCH(P287,'Resource Rate Library'!$A$5:$A$85,0)),"")</f>
        <v/>
      </c>
      <c r="AB287" s="53"/>
      <c r="AC287" s="59"/>
      <c r="AD287" s="81" t="str">
        <f>IFERROR(INDEX('Resource Rate Library'!$G$5:$G$85,MATCH(P287,'Resource Rate Library'!$A$5:$A$85,0)),"")</f>
        <v/>
      </c>
      <c r="AE287" s="81" t="str">
        <f>IFERROR(INDEX('Resource Rate Library'!$H$5:$H$85,MATCH(P287,'Resource Rate Library'!$A$5:$A$85,0)),"")</f>
        <v/>
      </c>
      <c r="AF287" s="53"/>
      <c r="AG287" s="53"/>
      <c r="AH287" s="53"/>
      <c r="AI287" s="81" t="str">
        <f t="shared" si="28"/>
        <v/>
      </c>
      <c r="AJ287" s="54"/>
      <c r="AK287" s="197"/>
      <c r="AL287" s="197"/>
      <c r="AM287" s="197"/>
      <c r="AN287" s="199">
        <f>IF(AND(AK287="Yes",OR(O287="Labour",O287="Plant")),Z287,0)</f>
        <v>0</v>
      </c>
    </row>
    <row r="288" spans="1:40" x14ac:dyDescent="0.2">
      <c r="A288" s="80" t="str">
        <f>IF(B288="","",B288&amp;"-"&amp;TEXT(COUNTIF($B$7:B288,B288),"000"))</f>
        <v/>
      </c>
      <c r="B288" s="53"/>
      <c r="C288" s="81" t="str">
        <f>IFERROR(INDEX('QS Takeoff'!$A$3:$A$194,MATCH(B288,'QS Takeoff'!$B$3:$B$194,0)),"")</f>
        <v/>
      </c>
      <c r="D288" s="81" t="str">
        <f>IFERROR(INDEX('QS Takeoff'!$C$3:$C$194,MATCH(B288,'QS Takeoff'!$B$3:$B$194,0)),"")</f>
        <v/>
      </c>
      <c r="E288" s="81" t="str">
        <f>IFERROR(INDEX('QS Takeoff'!$E$3:$E$194,MATCH(B288,'QS Takeoff'!$B$3:$B$194,0)),"")</f>
        <v/>
      </c>
      <c r="F288" s="81" t="str">
        <f>IFERROR(INDEX('QS Takeoff'!$D$3:$D$194,MATCH(B288,'QS Takeoff'!$B$3:$B$194,0)),"")</f>
        <v/>
      </c>
      <c r="G288" s="81" t="str">
        <f>IFERROR(INDEX('QS Takeoff'!$J$3:$J$194,MATCH(B288,'QS Takeoff'!$B$3:$B$194,0)),"")</f>
        <v/>
      </c>
      <c r="H288" s="53"/>
      <c r="I288" s="60"/>
      <c r="J288" s="60"/>
      <c r="K288" s="82" t="str">
        <f t="shared" si="24"/>
        <v/>
      </c>
      <c r="L288" s="60"/>
      <c r="M288" s="82" t="str">
        <f t="shared" si="25"/>
        <v/>
      </c>
      <c r="N288" s="53"/>
      <c r="O288" s="53"/>
      <c r="P288" s="53"/>
      <c r="Q288" s="81" t="str">
        <f>IFERROR(INDEX('Resource Rate Library'!$C$5:$C$85,MATCH(P288,'Resource Rate Library'!$A$5:$A$85,0)),"")</f>
        <v/>
      </c>
      <c r="R288" s="53"/>
      <c r="S288" s="53"/>
      <c r="T288" s="81" t="str">
        <f>IFERROR(INDEX('Resource Rate Library'!$E$5:$E$85,MATCH(P288,'Resource Rate Library'!$A$5:$A$85,0)),"")</f>
        <v/>
      </c>
      <c r="U288" s="62"/>
      <c r="V288" s="62"/>
      <c r="W288" s="83">
        <f>IFERROR(INDEX('Resource Rate Library'!$I$5:$I$85,MATCH(P288,'Resource Rate Library'!$A$5:$A$85,0)),0)</f>
        <v>0</v>
      </c>
      <c r="X288" s="52"/>
      <c r="Y288" s="83">
        <f t="shared" si="26"/>
        <v>0</v>
      </c>
      <c r="Z288" s="83" t="str">
        <f t="shared" si="27"/>
        <v/>
      </c>
      <c r="AA288" s="81" t="str">
        <f>IFERROR(INDEX('Resource Rate Library'!$N$5:$N$85,MATCH(P288,'Resource Rate Library'!$A$5:$A$85,0)),"")</f>
        <v/>
      </c>
      <c r="AB288" s="53"/>
      <c r="AC288" s="59"/>
      <c r="AD288" s="81" t="str">
        <f>IFERROR(INDEX('Resource Rate Library'!$G$5:$G$85,MATCH(P288,'Resource Rate Library'!$A$5:$A$85,0)),"")</f>
        <v/>
      </c>
      <c r="AE288" s="81" t="str">
        <f>IFERROR(INDEX('Resource Rate Library'!$H$5:$H$85,MATCH(P288,'Resource Rate Library'!$A$5:$A$85,0)),"")</f>
        <v/>
      </c>
      <c r="AF288" s="53"/>
      <c r="AG288" s="53"/>
      <c r="AH288" s="53"/>
      <c r="AI288" s="81" t="str">
        <f t="shared" si="28"/>
        <v/>
      </c>
      <c r="AJ288" s="54"/>
      <c r="AK288" s="197"/>
      <c r="AL288" s="197"/>
      <c r="AM288" s="197"/>
      <c r="AN288" s="199">
        <f>IF(AND(AK288="Yes",OR(O288="Labour",O288="Plant")),Z288,0)</f>
        <v>0</v>
      </c>
    </row>
    <row r="289" spans="1:40" x14ac:dyDescent="0.2">
      <c r="A289" s="80" t="str">
        <f>IF(B289="","",B289&amp;"-"&amp;TEXT(COUNTIF($B$7:B289,B289),"000"))</f>
        <v/>
      </c>
      <c r="B289" s="53"/>
      <c r="C289" s="81" t="str">
        <f>IFERROR(INDEX('QS Takeoff'!$A$3:$A$194,MATCH(B289,'QS Takeoff'!$B$3:$B$194,0)),"")</f>
        <v/>
      </c>
      <c r="D289" s="81" t="str">
        <f>IFERROR(INDEX('QS Takeoff'!$C$3:$C$194,MATCH(B289,'QS Takeoff'!$B$3:$B$194,0)),"")</f>
        <v/>
      </c>
      <c r="E289" s="81" t="str">
        <f>IFERROR(INDEX('QS Takeoff'!$E$3:$E$194,MATCH(B289,'QS Takeoff'!$B$3:$B$194,0)),"")</f>
        <v/>
      </c>
      <c r="F289" s="81" t="str">
        <f>IFERROR(INDEX('QS Takeoff'!$D$3:$D$194,MATCH(B289,'QS Takeoff'!$B$3:$B$194,0)),"")</f>
        <v/>
      </c>
      <c r="G289" s="81" t="str">
        <f>IFERROR(INDEX('QS Takeoff'!$J$3:$J$194,MATCH(B289,'QS Takeoff'!$B$3:$B$194,0)),"")</f>
        <v/>
      </c>
      <c r="H289" s="53"/>
      <c r="I289" s="60"/>
      <c r="J289" s="60"/>
      <c r="K289" s="82" t="str">
        <f t="shared" si="24"/>
        <v/>
      </c>
      <c r="L289" s="60"/>
      <c r="M289" s="82" t="str">
        <f t="shared" si="25"/>
        <v/>
      </c>
      <c r="N289" s="53"/>
      <c r="O289" s="53"/>
      <c r="P289" s="53"/>
      <c r="Q289" s="81" t="str">
        <f>IFERROR(INDEX('Resource Rate Library'!$C$5:$C$85,MATCH(P289,'Resource Rate Library'!$A$5:$A$85,0)),"")</f>
        <v/>
      </c>
      <c r="R289" s="53"/>
      <c r="S289" s="53"/>
      <c r="T289" s="81" t="str">
        <f>IFERROR(INDEX('Resource Rate Library'!$E$5:$E$85,MATCH(P289,'Resource Rate Library'!$A$5:$A$85,0)),"")</f>
        <v/>
      </c>
      <c r="U289" s="62"/>
      <c r="V289" s="62"/>
      <c r="W289" s="83">
        <f>IFERROR(INDEX('Resource Rate Library'!$I$5:$I$85,MATCH(P289,'Resource Rate Library'!$A$5:$A$85,0)),0)</f>
        <v>0</v>
      </c>
      <c r="X289" s="52"/>
      <c r="Y289" s="83">
        <f t="shared" si="26"/>
        <v>0</v>
      </c>
      <c r="Z289" s="83" t="str">
        <f t="shared" si="27"/>
        <v/>
      </c>
      <c r="AA289" s="81" t="str">
        <f>IFERROR(INDEX('Resource Rate Library'!$N$5:$N$85,MATCH(P289,'Resource Rate Library'!$A$5:$A$85,0)),"")</f>
        <v/>
      </c>
      <c r="AB289" s="53"/>
      <c r="AC289" s="59"/>
      <c r="AD289" s="81" t="str">
        <f>IFERROR(INDEX('Resource Rate Library'!$G$5:$G$85,MATCH(P289,'Resource Rate Library'!$A$5:$A$85,0)),"")</f>
        <v/>
      </c>
      <c r="AE289" s="81" t="str">
        <f>IFERROR(INDEX('Resource Rate Library'!$H$5:$H$85,MATCH(P289,'Resource Rate Library'!$A$5:$A$85,0)),"")</f>
        <v/>
      </c>
      <c r="AF289" s="53"/>
      <c r="AG289" s="53"/>
      <c r="AH289" s="53"/>
      <c r="AI289" s="81" t="str">
        <f t="shared" si="28"/>
        <v/>
      </c>
      <c r="AJ289" s="54"/>
      <c r="AK289" s="197"/>
      <c r="AL289" s="197"/>
      <c r="AM289" s="197"/>
      <c r="AN289" s="199">
        <f>IF(AND(AK289="Yes",OR(O289="Labour",O289="Plant")),Z289,0)</f>
        <v>0</v>
      </c>
    </row>
    <row r="290" spans="1:40" x14ac:dyDescent="0.2">
      <c r="A290" s="80" t="str">
        <f>IF(B290="","",B290&amp;"-"&amp;TEXT(COUNTIF($B$7:B290,B290),"000"))</f>
        <v/>
      </c>
      <c r="B290" s="53"/>
      <c r="C290" s="81" t="str">
        <f>IFERROR(INDEX('QS Takeoff'!$A$3:$A$194,MATCH(B290,'QS Takeoff'!$B$3:$B$194,0)),"")</f>
        <v/>
      </c>
      <c r="D290" s="81" t="str">
        <f>IFERROR(INDEX('QS Takeoff'!$C$3:$C$194,MATCH(B290,'QS Takeoff'!$B$3:$B$194,0)),"")</f>
        <v/>
      </c>
      <c r="E290" s="81" t="str">
        <f>IFERROR(INDEX('QS Takeoff'!$E$3:$E$194,MATCH(B290,'QS Takeoff'!$B$3:$B$194,0)),"")</f>
        <v/>
      </c>
      <c r="F290" s="81" t="str">
        <f>IFERROR(INDEX('QS Takeoff'!$D$3:$D$194,MATCH(B290,'QS Takeoff'!$B$3:$B$194,0)),"")</f>
        <v/>
      </c>
      <c r="G290" s="81" t="str">
        <f>IFERROR(INDEX('QS Takeoff'!$J$3:$J$194,MATCH(B290,'QS Takeoff'!$B$3:$B$194,0)),"")</f>
        <v/>
      </c>
      <c r="H290" s="53"/>
      <c r="I290" s="60"/>
      <c r="J290" s="60"/>
      <c r="K290" s="82" t="str">
        <f t="shared" si="24"/>
        <v/>
      </c>
      <c r="L290" s="60"/>
      <c r="M290" s="82" t="str">
        <f t="shared" si="25"/>
        <v/>
      </c>
      <c r="N290" s="53"/>
      <c r="O290" s="53"/>
      <c r="P290" s="53"/>
      <c r="Q290" s="81" t="str">
        <f>IFERROR(INDEX('Resource Rate Library'!$C$5:$C$85,MATCH(P290,'Resource Rate Library'!$A$5:$A$85,0)),"")</f>
        <v/>
      </c>
      <c r="R290" s="53"/>
      <c r="S290" s="53"/>
      <c r="T290" s="81" t="str">
        <f>IFERROR(INDEX('Resource Rate Library'!$E$5:$E$85,MATCH(P290,'Resource Rate Library'!$A$5:$A$85,0)),"")</f>
        <v/>
      </c>
      <c r="U290" s="62"/>
      <c r="V290" s="62"/>
      <c r="W290" s="83">
        <f>IFERROR(INDEX('Resource Rate Library'!$I$5:$I$85,MATCH(P290,'Resource Rate Library'!$A$5:$A$85,0)),0)</f>
        <v>0</v>
      </c>
      <c r="X290" s="52"/>
      <c r="Y290" s="83">
        <f t="shared" si="26"/>
        <v>0</v>
      </c>
      <c r="Z290" s="83" t="str">
        <f t="shared" si="27"/>
        <v/>
      </c>
      <c r="AA290" s="81" t="str">
        <f>IFERROR(INDEX('Resource Rate Library'!$N$5:$N$85,MATCH(P290,'Resource Rate Library'!$A$5:$A$85,0)),"")</f>
        <v/>
      </c>
      <c r="AB290" s="53"/>
      <c r="AC290" s="59"/>
      <c r="AD290" s="81" t="str">
        <f>IFERROR(INDEX('Resource Rate Library'!$G$5:$G$85,MATCH(P290,'Resource Rate Library'!$A$5:$A$85,0)),"")</f>
        <v/>
      </c>
      <c r="AE290" s="81" t="str">
        <f>IFERROR(INDEX('Resource Rate Library'!$H$5:$H$85,MATCH(P290,'Resource Rate Library'!$A$5:$A$85,0)),"")</f>
        <v/>
      </c>
      <c r="AF290" s="53"/>
      <c r="AG290" s="53"/>
      <c r="AH290" s="53"/>
      <c r="AI290" s="81" t="str">
        <f t="shared" si="28"/>
        <v/>
      </c>
      <c r="AJ290" s="54"/>
      <c r="AK290" s="197"/>
      <c r="AL290" s="197"/>
      <c r="AM290" s="197"/>
      <c r="AN290" s="199">
        <f>IF(AND(AK290="Yes",OR(O290="Labour",O290="Plant")),Z290,0)</f>
        <v>0</v>
      </c>
    </row>
    <row r="291" spans="1:40" x14ac:dyDescent="0.2">
      <c r="A291" s="80" t="str">
        <f>IF(B291="","",B291&amp;"-"&amp;TEXT(COUNTIF($B$7:B291,B291),"000"))</f>
        <v/>
      </c>
      <c r="B291" s="53"/>
      <c r="C291" s="81" t="str">
        <f>IFERROR(INDEX('QS Takeoff'!$A$3:$A$194,MATCH(B291,'QS Takeoff'!$B$3:$B$194,0)),"")</f>
        <v/>
      </c>
      <c r="D291" s="81" t="str">
        <f>IFERROR(INDEX('QS Takeoff'!$C$3:$C$194,MATCH(B291,'QS Takeoff'!$B$3:$B$194,0)),"")</f>
        <v/>
      </c>
      <c r="E291" s="81" t="str">
        <f>IFERROR(INDEX('QS Takeoff'!$E$3:$E$194,MATCH(B291,'QS Takeoff'!$B$3:$B$194,0)),"")</f>
        <v/>
      </c>
      <c r="F291" s="81" t="str">
        <f>IFERROR(INDEX('QS Takeoff'!$D$3:$D$194,MATCH(B291,'QS Takeoff'!$B$3:$B$194,0)),"")</f>
        <v/>
      </c>
      <c r="G291" s="81" t="str">
        <f>IFERROR(INDEX('QS Takeoff'!$J$3:$J$194,MATCH(B291,'QS Takeoff'!$B$3:$B$194,0)),"")</f>
        <v/>
      </c>
      <c r="H291" s="53"/>
      <c r="I291" s="60"/>
      <c r="J291" s="60"/>
      <c r="K291" s="82" t="str">
        <f t="shared" si="24"/>
        <v/>
      </c>
      <c r="L291" s="60"/>
      <c r="M291" s="82" t="str">
        <f t="shared" si="25"/>
        <v/>
      </c>
      <c r="N291" s="53"/>
      <c r="O291" s="53"/>
      <c r="P291" s="53"/>
      <c r="Q291" s="81" t="str">
        <f>IFERROR(INDEX('Resource Rate Library'!$C$5:$C$85,MATCH(P291,'Resource Rate Library'!$A$5:$A$85,0)),"")</f>
        <v/>
      </c>
      <c r="R291" s="53"/>
      <c r="S291" s="53"/>
      <c r="T291" s="81" t="str">
        <f>IFERROR(INDEX('Resource Rate Library'!$E$5:$E$85,MATCH(P291,'Resource Rate Library'!$A$5:$A$85,0)),"")</f>
        <v/>
      </c>
      <c r="U291" s="62"/>
      <c r="V291" s="62"/>
      <c r="W291" s="83">
        <f>IFERROR(INDEX('Resource Rate Library'!$I$5:$I$85,MATCH(P291,'Resource Rate Library'!$A$5:$A$85,0)),0)</f>
        <v>0</v>
      </c>
      <c r="X291" s="52"/>
      <c r="Y291" s="83">
        <f t="shared" si="26"/>
        <v>0</v>
      </c>
      <c r="Z291" s="83" t="str">
        <f t="shared" si="27"/>
        <v/>
      </c>
      <c r="AA291" s="81" t="str">
        <f>IFERROR(INDEX('Resource Rate Library'!$N$5:$N$85,MATCH(P291,'Resource Rate Library'!$A$5:$A$85,0)),"")</f>
        <v/>
      </c>
      <c r="AB291" s="53"/>
      <c r="AC291" s="59"/>
      <c r="AD291" s="81" t="str">
        <f>IFERROR(INDEX('Resource Rate Library'!$G$5:$G$85,MATCH(P291,'Resource Rate Library'!$A$5:$A$85,0)),"")</f>
        <v/>
      </c>
      <c r="AE291" s="81" t="str">
        <f>IFERROR(INDEX('Resource Rate Library'!$H$5:$H$85,MATCH(P291,'Resource Rate Library'!$A$5:$A$85,0)),"")</f>
        <v/>
      </c>
      <c r="AF291" s="53"/>
      <c r="AG291" s="53"/>
      <c r="AH291" s="53"/>
      <c r="AI291" s="81" t="str">
        <f t="shared" si="28"/>
        <v/>
      </c>
      <c r="AJ291" s="54"/>
      <c r="AK291" s="197"/>
      <c r="AL291" s="197"/>
      <c r="AM291" s="197"/>
      <c r="AN291" s="199">
        <f>IF(AND(AK291="Yes",OR(O291="Labour",O291="Plant")),Z291,0)</f>
        <v>0</v>
      </c>
    </row>
    <row r="292" spans="1:40" x14ac:dyDescent="0.2">
      <c r="A292" s="80" t="str">
        <f>IF(B292="","",B292&amp;"-"&amp;TEXT(COUNTIF($B$7:B292,B292),"000"))</f>
        <v/>
      </c>
      <c r="B292" s="53"/>
      <c r="C292" s="81" t="str">
        <f>IFERROR(INDEX('QS Takeoff'!$A$3:$A$194,MATCH(B292,'QS Takeoff'!$B$3:$B$194,0)),"")</f>
        <v/>
      </c>
      <c r="D292" s="81" t="str">
        <f>IFERROR(INDEX('QS Takeoff'!$C$3:$C$194,MATCH(B292,'QS Takeoff'!$B$3:$B$194,0)),"")</f>
        <v/>
      </c>
      <c r="E292" s="81" t="str">
        <f>IFERROR(INDEX('QS Takeoff'!$E$3:$E$194,MATCH(B292,'QS Takeoff'!$B$3:$B$194,0)),"")</f>
        <v/>
      </c>
      <c r="F292" s="81" t="str">
        <f>IFERROR(INDEX('QS Takeoff'!$D$3:$D$194,MATCH(B292,'QS Takeoff'!$B$3:$B$194,0)),"")</f>
        <v/>
      </c>
      <c r="G292" s="81" t="str">
        <f>IFERROR(INDEX('QS Takeoff'!$J$3:$J$194,MATCH(B292,'QS Takeoff'!$B$3:$B$194,0)),"")</f>
        <v/>
      </c>
      <c r="H292" s="53"/>
      <c r="I292" s="60"/>
      <c r="J292" s="60"/>
      <c r="K292" s="82" t="str">
        <f t="shared" si="24"/>
        <v/>
      </c>
      <c r="L292" s="60"/>
      <c r="M292" s="82" t="str">
        <f t="shared" si="25"/>
        <v/>
      </c>
      <c r="N292" s="53"/>
      <c r="O292" s="53"/>
      <c r="P292" s="53"/>
      <c r="Q292" s="81" t="str">
        <f>IFERROR(INDEX('Resource Rate Library'!$C$5:$C$85,MATCH(P292,'Resource Rate Library'!$A$5:$A$85,0)),"")</f>
        <v/>
      </c>
      <c r="R292" s="53"/>
      <c r="S292" s="53"/>
      <c r="T292" s="81" t="str">
        <f>IFERROR(INDEX('Resource Rate Library'!$E$5:$E$85,MATCH(P292,'Resource Rate Library'!$A$5:$A$85,0)),"")</f>
        <v/>
      </c>
      <c r="U292" s="62"/>
      <c r="V292" s="62"/>
      <c r="W292" s="83">
        <f>IFERROR(INDEX('Resource Rate Library'!$I$5:$I$85,MATCH(P292,'Resource Rate Library'!$A$5:$A$85,0)),0)</f>
        <v>0</v>
      </c>
      <c r="X292" s="52"/>
      <c r="Y292" s="83">
        <f t="shared" si="26"/>
        <v>0</v>
      </c>
      <c r="Z292" s="83" t="str">
        <f t="shared" si="27"/>
        <v/>
      </c>
      <c r="AA292" s="81" t="str">
        <f>IFERROR(INDEX('Resource Rate Library'!$N$5:$N$85,MATCH(P292,'Resource Rate Library'!$A$5:$A$85,0)),"")</f>
        <v/>
      </c>
      <c r="AB292" s="53"/>
      <c r="AC292" s="59"/>
      <c r="AD292" s="81" t="str">
        <f>IFERROR(INDEX('Resource Rate Library'!$G$5:$G$85,MATCH(P292,'Resource Rate Library'!$A$5:$A$85,0)),"")</f>
        <v/>
      </c>
      <c r="AE292" s="81" t="str">
        <f>IFERROR(INDEX('Resource Rate Library'!$H$5:$H$85,MATCH(P292,'Resource Rate Library'!$A$5:$A$85,0)),"")</f>
        <v/>
      </c>
      <c r="AF292" s="53"/>
      <c r="AG292" s="53"/>
      <c r="AH292" s="53"/>
      <c r="AI292" s="81" t="str">
        <f t="shared" si="28"/>
        <v/>
      </c>
      <c r="AJ292" s="54"/>
      <c r="AK292" s="197"/>
      <c r="AL292" s="197"/>
      <c r="AM292" s="197"/>
      <c r="AN292" s="199">
        <f>IF(AND(AK292="Yes",OR(O292="Labour",O292="Plant")),Z292,0)</f>
        <v>0</v>
      </c>
    </row>
    <row r="293" spans="1:40" x14ac:dyDescent="0.2">
      <c r="A293" s="80" t="str">
        <f>IF(B293="","",B293&amp;"-"&amp;TEXT(COUNTIF($B$7:B293,B293),"000"))</f>
        <v/>
      </c>
      <c r="B293" s="53"/>
      <c r="C293" s="81" t="str">
        <f>IFERROR(INDEX('QS Takeoff'!$A$3:$A$194,MATCH(B293,'QS Takeoff'!$B$3:$B$194,0)),"")</f>
        <v/>
      </c>
      <c r="D293" s="81" t="str">
        <f>IFERROR(INDEX('QS Takeoff'!$C$3:$C$194,MATCH(B293,'QS Takeoff'!$B$3:$B$194,0)),"")</f>
        <v/>
      </c>
      <c r="E293" s="81" t="str">
        <f>IFERROR(INDEX('QS Takeoff'!$E$3:$E$194,MATCH(B293,'QS Takeoff'!$B$3:$B$194,0)),"")</f>
        <v/>
      </c>
      <c r="F293" s="81" t="str">
        <f>IFERROR(INDEX('QS Takeoff'!$D$3:$D$194,MATCH(B293,'QS Takeoff'!$B$3:$B$194,0)),"")</f>
        <v/>
      </c>
      <c r="G293" s="81" t="str">
        <f>IFERROR(INDEX('QS Takeoff'!$J$3:$J$194,MATCH(B293,'QS Takeoff'!$B$3:$B$194,0)),"")</f>
        <v/>
      </c>
      <c r="H293" s="53"/>
      <c r="I293" s="60"/>
      <c r="J293" s="60"/>
      <c r="K293" s="82" t="str">
        <f t="shared" si="24"/>
        <v/>
      </c>
      <c r="L293" s="60"/>
      <c r="M293" s="82" t="str">
        <f t="shared" si="25"/>
        <v/>
      </c>
      <c r="N293" s="53"/>
      <c r="O293" s="53"/>
      <c r="P293" s="53"/>
      <c r="Q293" s="81" t="str">
        <f>IFERROR(INDEX('Resource Rate Library'!$C$5:$C$85,MATCH(P293,'Resource Rate Library'!$A$5:$A$85,0)),"")</f>
        <v/>
      </c>
      <c r="R293" s="53"/>
      <c r="S293" s="53"/>
      <c r="T293" s="81" t="str">
        <f>IFERROR(INDEX('Resource Rate Library'!$E$5:$E$85,MATCH(P293,'Resource Rate Library'!$A$5:$A$85,0)),"")</f>
        <v/>
      </c>
      <c r="U293" s="62"/>
      <c r="V293" s="62"/>
      <c r="W293" s="83">
        <f>IFERROR(INDEX('Resource Rate Library'!$I$5:$I$85,MATCH(P293,'Resource Rate Library'!$A$5:$A$85,0)),0)</f>
        <v>0</v>
      </c>
      <c r="X293" s="52"/>
      <c r="Y293" s="83">
        <f t="shared" si="26"/>
        <v>0</v>
      </c>
      <c r="Z293" s="83" t="str">
        <f t="shared" si="27"/>
        <v/>
      </c>
      <c r="AA293" s="81" t="str">
        <f>IFERROR(INDEX('Resource Rate Library'!$N$5:$N$85,MATCH(P293,'Resource Rate Library'!$A$5:$A$85,0)),"")</f>
        <v/>
      </c>
      <c r="AB293" s="53"/>
      <c r="AC293" s="59"/>
      <c r="AD293" s="81" t="str">
        <f>IFERROR(INDEX('Resource Rate Library'!$G$5:$G$85,MATCH(P293,'Resource Rate Library'!$A$5:$A$85,0)),"")</f>
        <v/>
      </c>
      <c r="AE293" s="81" t="str">
        <f>IFERROR(INDEX('Resource Rate Library'!$H$5:$H$85,MATCH(P293,'Resource Rate Library'!$A$5:$A$85,0)),"")</f>
        <v/>
      </c>
      <c r="AF293" s="53"/>
      <c r="AG293" s="53"/>
      <c r="AH293" s="53"/>
      <c r="AI293" s="81" t="str">
        <f t="shared" si="28"/>
        <v/>
      </c>
      <c r="AJ293" s="54"/>
      <c r="AK293" s="197"/>
      <c r="AL293" s="197"/>
      <c r="AM293" s="197"/>
      <c r="AN293" s="199">
        <f>IF(AND(AK293="Yes",OR(O293="Labour",O293="Plant")),Z293,0)</f>
        <v>0</v>
      </c>
    </row>
    <row r="294" spans="1:40" x14ac:dyDescent="0.2">
      <c r="A294" s="80" t="str">
        <f>IF(B294="","",B294&amp;"-"&amp;TEXT(COUNTIF($B$7:B294,B294),"000"))</f>
        <v/>
      </c>
      <c r="B294" s="53"/>
      <c r="C294" s="81" t="str">
        <f>IFERROR(INDEX('QS Takeoff'!$A$3:$A$194,MATCH(B294,'QS Takeoff'!$B$3:$B$194,0)),"")</f>
        <v/>
      </c>
      <c r="D294" s="81" t="str">
        <f>IFERROR(INDEX('QS Takeoff'!$C$3:$C$194,MATCH(B294,'QS Takeoff'!$B$3:$B$194,0)),"")</f>
        <v/>
      </c>
      <c r="E294" s="81" t="str">
        <f>IFERROR(INDEX('QS Takeoff'!$E$3:$E$194,MATCH(B294,'QS Takeoff'!$B$3:$B$194,0)),"")</f>
        <v/>
      </c>
      <c r="F294" s="81" t="str">
        <f>IFERROR(INDEX('QS Takeoff'!$D$3:$D$194,MATCH(B294,'QS Takeoff'!$B$3:$B$194,0)),"")</f>
        <v/>
      </c>
      <c r="G294" s="81" t="str">
        <f>IFERROR(INDEX('QS Takeoff'!$J$3:$J$194,MATCH(B294,'QS Takeoff'!$B$3:$B$194,0)),"")</f>
        <v/>
      </c>
      <c r="H294" s="53"/>
      <c r="I294" s="60"/>
      <c r="J294" s="60"/>
      <c r="K294" s="82" t="str">
        <f t="shared" si="24"/>
        <v/>
      </c>
      <c r="L294" s="60"/>
      <c r="M294" s="82" t="str">
        <f t="shared" si="25"/>
        <v/>
      </c>
      <c r="N294" s="53"/>
      <c r="O294" s="53"/>
      <c r="P294" s="53"/>
      <c r="Q294" s="81" t="str">
        <f>IFERROR(INDEX('Resource Rate Library'!$C$5:$C$85,MATCH(P294,'Resource Rate Library'!$A$5:$A$85,0)),"")</f>
        <v/>
      </c>
      <c r="R294" s="53"/>
      <c r="S294" s="53"/>
      <c r="T294" s="81" t="str">
        <f>IFERROR(INDEX('Resource Rate Library'!$E$5:$E$85,MATCH(P294,'Resource Rate Library'!$A$5:$A$85,0)),"")</f>
        <v/>
      </c>
      <c r="U294" s="62"/>
      <c r="V294" s="62"/>
      <c r="W294" s="83">
        <f>IFERROR(INDEX('Resource Rate Library'!$I$5:$I$85,MATCH(P294,'Resource Rate Library'!$A$5:$A$85,0)),0)</f>
        <v>0</v>
      </c>
      <c r="X294" s="52"/>
      <c r="Y294" s="83">
        <f t="shared" si="26"/>
        <v>0</v>
      </c>
      <c r="Z294" s="83" t="str">
        <f t="shared" si="27"/>
        <v/>
      </c>
      <c r="AA294" s="81" t="str">
        <f>IFERROR(INDEX('Resource Rate Library'!$N$5:$N$85,MATCH(P294,'Resource Rate Library'!$A$5:$A$85,0)),"")</f>
        <v/>
      </c>
      <c r="AB294" s="53"/>
      <c r="AC294" s="59"/>
      <c r="AD294" s="81" t="str">
        <f>IFERROR(INDEX('Resource Rate Library'!$G$5:$G$85,MATCH(P294,'Resource Rate Library'!$A$5:$A$85,0)),"")</f>
        <v/>
      </c>
      <c r="AE294" s="81" t="str">
        <f>IFERROR(INDEX('Resource Rate Library'!$H$5:$H$85,MATCH(P294,'Resource Rate Library'!$A$5:$A$85,0)),"")</f>
        <v/>
      </c>
      <c r="AF294" s="53"/>
      <c r="AG294" s="53"/>
      <c r="AH294" s="53"/>
      <c r="AI294" s="81" t="str">
        <f t="shared" si="28"/>
        <v/>
      </c>
      <c r="AJ294" s="54"/>
      <c r="AK294" s="197"/>
      <c r="AL294" s="197"/>
      <c r="AM294" s="197"/>
      <c r="AN294" s="199">
        <f>IF(AND(AK294="Yes",OR(O294="Labour",O294="Plant")),Z294,0)</f>
        <v>0</v>
      </c>
    </row>
    <row r="295" spans="1:40" x14ac:dyDescent="0.2">
      <c r="A295" s="80" t="str">
        <f>IF(B295="","",B295&amp;"-"&amp;TEXT(COUNTIF($B$7:B295,B295),"000"))</f>
        <v/>
      </c>
      <c r="B295" s="53"/>
      <c r="C295" s="81" t="str">
        <f>IFERROR(INDEX('QS Takeoff'!$A$3:$A$194,MATCH(B295,'QS Takeoff'!$B$3:$B$194,0)),"")</f>
        <v/>
      </c>
      <c r="D295" s="81" t="str">
        <f>IFERROR(INDEX('QS Takeoff'!$C$3:$C$194,MATCH(B295,'QS Takeoff'!$B$3:$B$194,0)),"")</f>
        <v/>
      </c>
      <c r="E295" s="81" t="str">
        <f>IFERROR(INDEX('QS Takeoff'!$E$3:$E$194,MATCH(B295,'QS Takeoff'!$B$3:$B$194,0)),"")</f>
        <v/>
      </c>
      <c r="F295" s="81" t="str">
        <f>IFERROR(INDEX('QS Takeoff'!$D$3:$D$194,MATCH(B295,'QS Takeoff'!$B$3:$B$194,0)),"")</f>
        <v/>
      </c>
      <c r="G295" s="81" t="str">
        <f>IFERROR(INDEX('QS Takeoff'!$J$3:$J$194,MATCH(B295,'QS Takeoff'!$B$3:$B$194,0)),"")</f>
        <v/>
      </c>
      <c r="H295" s="53"/>
      <c r="I295" s="60"/>
      <c r="J295" s="60"/>
      <c r="K295" s="82" t="str">
        <f t="shared" si="24"/>
        <v/>
      </c>
      <c r="L295" s="60"/>
      <c r="M295" s="82" t="str">
        <f t="shared" si="25"/>
        <v/>
      </c>
      <c r="N295" s="53"/>
      <c r="O295" s="53"/>
      <c r="P295" s="53"/>
      <c r="Q295" s="81" t="str">
        <f>IFERROR(INDEX('Resource Rate Library'!$C$5:$C$85,MATCH(P295,'Resource Rate Library'!$A$5:$A$85,0)),"")</f>
        <v/>
      </c>
      <c r="R295" s="53"/>
      <c r="S295" s="53"/>
      <c r="T295" s="81" t="str">
        <f>IFERROR(INDEX('Resource Rate Library'!$E$5:$E$85,MATCH(P295,'Resource Rate Library'!$A$5:$A$85,0)),"")</f>
        <v/>
      </c>
      <c r="U295" s="62"/>
      <c r="V295" s="62"/>
      <c r="W295" s="83">
        <f>IFERROR(INDEX('Resource Rate Library'!$I$5:$I$85,MATCH(P295,'Resource Rate Library'!$A$5:$A$85,0)),0)</f>
        <v>0</v>
      </c>
      <c r="X295" s="52"/>
      <c r="Y295" s="83">
        <f t="shared" si="26"/>
        <v>0</v>
      </c>
      <c r="Z295" s="83" t="str">
        <f t="shared" si="27"/>
        <v/>
      </c>
      <c r="AA295" s="81" t="str">
        <f>IFERROR(INDEX('Resource Rate Library'!$N$5:$N$85,MATCH(P295,'Resource Rate Library'!$A$5:$A$85,0)),"")</f>
        <v/>
      </c>
      <c r="AB295" s="53"/>
      <c r="AC295" s="59"/>
      <c r="AD295" s="81" t="str">
        <f>IFERROR(INDEX('Resource Rate Library'!$G$5:$G$85,MATCH(P295,'Resource Rate Library'!$A$5:$A$85,0)),"")</f>
        <v/>
      </c>
      <c r="AE295" s="81" t="str">
        <f>IFERROR(INDEX('Resource Rate Library'!$H$5:$H$85,MATCH(P295,'Resource Rate Library'!$A$5:$A$85,0)),"")</f>
        <v/>
      </c>
      <c r="AF295" s="53"/>
      <c r="AG295" s="53"/>
      <c r="AH295" s="53"/>
      <c r="AI295" s="81" t="str">
        <f t="shared" si="28"/>
        <v/>
      </c>
      <c r="AJ295" s="54"/>
      <c r="AK295" s="197"/>
      <c r="AL295" s="197"/>
      <c r="AM295" s="197"/>
      <c r="AN295" s="199">
        <f>IF(AND(AK295="Yes",OR(O295="Labour",O295="Plant")),Z295,0)</f>
        <v>0</v>
      </c>
    </row>
    <row r="296" spans="1:40" x14ac:dyDescent="0.2">
      <c r="A296" s="80" t="str">
        <f>IF(B296="","",B296&amp;"-"&amp;TEXT(COUNTIF($B$7:B296,B296),"000"))</f>
        <v/>
      </c>
      <c r="B296" s="53"/>
      <c r="C296" s="81" t="str">
        <f>IFERROR(INDEX('QS Takeoff'!$A$3:$A$194,MATCH(B296,'QS Takeoff'!$B$3:$B$194,0)),"")</f>
        <v/>
      </c>
      <c r="D296" s="81" t="str">
        <f>IFERROR(INDEX('QS Takeoff'!$C$3:$C$194,MATCH(B296,'QS Takeoff'!$B$3:$B$194,0)),"")</f>
        <v/>
      </c>
      <c r="E296" s="81" t="str">
        <f>IFERROR(INDEX('QS Takeoff'!$E$3:$E$194,MATCH(B296,'QS Takeoff'!$B$3:$B$194,0)),"")</f>
        <v/>
      </c>
      <c r="F296" s="81" t="str">
        <f>IFERROR(INDEX('QS Takeoff'!$D$3:$D$194,MATCH(B296,'QS Takeoff'!$B$3:$B$194,0)),"")</f>
        <v/>
      </c>
      <c r="G296" s="81" t="str">
        <f>IFERROR(INDEX('QS Takeoff'!$J$3:$J$194,MATCH(B296,'QS Takeoff'!$B$3:$B$194,0)),"")</f>
        <v/>
      </c>
      <c r="H296" s="53"/>
      <c r="I296" s="60"/>
      <c r="J296" s="60"/>
      <c r="K296" s="82" t="str">
        <f t="shared" si="24"/>
        <v/>
      </c>
      <c r="L296" s="60"/>
      <c r="M296" s="82" t="str">
        <f t="shared" si="25"/>
        <v/>
      </c>
      <c r="N296" s="53"/>
      <c r="O296" s="53"/>
      <c r="P296" s="53"/>
      <c r="Q296" s="81" t="str">
        <f>IFERROR(INDEX('Resource Rate Library'!$C$5:$C$85,MATCH(P296,'Resource Rate Library'!$A$5:$A$85,0)),"")</f>
        <v/>
      </c>
      <c r="R296" s="53"/>
      <c r="S296" s="53"/>
      <c r="T296" s="81" t="str">
        <f>IFERROR(INDEX('Resource Rate Library'!$E$5:$E$85,MATCH(P296,'Resource Rate Library'!$A$5:$A$85,0)),"")</f>
        <v/>
      </c>
      <c r="U296" s="62"/>
      <c r="V296" s="62"/>
      <c r="W296" s="83">
        <f>IFERROR(INDEX('Resource Rate Library'!$I$5:$I$85,MATCH(P296,'Resource Rate Library'!$A$5:$A$85,0)),0)</f>
        <v>0</v>
      </c>
      <c r="X296" s="52"/>
      <c r="Y296" s="83">
        <f t="shared" si="26"/>
        <v>0</v>
      </c>
      <c r="Z296" s="83" t="str">
        <f t="shared" si="27"/>
        <v/>
      </c>
      <c r="AA296" s="81" t="str">
        <f>IFERROR(INDEX('Resource Rate Library'!$N$5:$N$85,MATCH(P296,'Resource Rate Library'!$A$5:$A$85,0)),"")</f>
        <v/>
      </c>
      <c r="AB296" s="53"/>
      <c r="AC296" s="59"/>
      <c r="AD296" s="81" t="str">
        <f>IFERROR(INDEX('Resource Rate Library'!$G$5:$G$85,MATCH(P296,'Resource Rate Library'!$A$5:$A$85,0)),"")</f>
        <v/>
      </c>
      <c r="AE296" s="81" t="str">
        <f>IFERROR(INDEX('Resource Rate Library'!$H$5:$H$85,MATCH(P296,'Resource Rate Library'!$A$5:$A$85,0)),"")</f>
        <v/>
      </c>
      <c r="AF296" s="53"/>
      <c r="AG296" s="53"/>
      <c r="AH296" s="53"/>
      <c r="AI296" s="81" t="str">
        <f t="shared" si="28"/>
        <v/>
      </c>
      <c r="AJ296" s="54"/>
      <c r="AK296" s="197"/>
      <c r="AL296" s="197"/>
      <c r="AM296" s="197"/>
      <c r="AN296" s="199">
        <f>IF(AND(AK296="Yes",OR(O296="Labour",O296="Plant")),Z296,0)</f>
        <v>0</v>
      </c>
    </row>
    <row r="297" spans="1:40" x14ac:dyDescent="0.2">
      <c r="A297" s="80" t="str">
        <f>IF(B297="","",B297&amp;"-"&amp;TEXT(COUNTIF($B$7:B297,B297),"000"))</f>
        <v/>
      </c>
      <c r="B297" s="53"/>
      <c r="C297" s="81" t="str">
        <f>IFERROR(INDEX('QS Takeoff'!$A$3:$A$194,MATCH(B297,'QS Takeoff'!$B$3:$B$194,0)),"")</f>
        <v/>
      </c>
      <c r="D297" s="81" t="str">
        <f>IFERROR(INDEX('QS Takeoff'!$C$3:$C$194,MATCH(B297,'QS Takeoff'!$B$3:$B$194,0)),"")</f>
        <v/>
      </c>
      <c r="E297" s="81" t="str">
        <f>IFERROR(INDEX('QS Takeoff'!$E$3:$E$194,MATCH(B297,'QS Takeoff'!$B$3:$B$194,0)),"")</f>
        <v/>
      </c>
      <c r="F297" s="81" t="str">
        <f>IFERROR(INDEX('QS Takeoff'!$D$3:$D$194,MATCH(B297,'QS Takeoff'!$B$3:$B$194,0)),"")</f>
        <v/>
      </c>
      <c r="G297" s="81" t="str">
        <f>IFERROR(INDEX('QS Takeoff'!$J$3:$J$194,MATCH(B297,'QS Takeoff'!$B$3:$B$194,0)),"")</f>
        <v/>
      </c>
      <c r="H297" s="53"/>
      <c r="I297" s="60"/>
      <c r="J297" s="60"/>
      <c r="K297" s="82" t="str">
        <f t="shared" si="24"/>
        <v/>
      </c>
      <c r="L297" s="60"/>
      <c r="M297" s="82" t="str">
        <f t="shared" si="25"/>
        <v/>
      </c>
      <c r="N297" s="53"/>
      <c r="O297" s="53"/>
      <c r="P297" s="53"/>
      <c r="Q297" s="81" t="str">
        <f>IFERROR(INDEX('Resource Rate Library'!$C$5:$C$85,MATCH(P297,'Resource Rate Library'!$A$5:$A$85,0)),"")</f>
        <v/>
      </c>
      <c r="R297" s="53"/>
      <c r="S297" s="53"/>
      <c r="T297" s="81" t="str">
        <f>IFERROR(INDEX('Resource Rate Library'!$E$5:$E$85,MATCH(P297,'Resource Rate Library'!$A$5:$A$85,0)),"")</f>
        <v/>
      </c>
      <c r="U297" s="62"/>
      <c r="V297" s="62"/>
      <c r="W297" s="83">
        <f>IFERROR(INDEX('Resource Rate Library'!$I$5:$I$85,MATCH(P297,'Resource Rate Library'!$A$5:$A$85,0)),0)</f>
        <v>0</v>
      </c>
      <c r="X297" s="52"/>
      <c r="Y297" s="83">
        <f t="shared" si="26"/>
        <v>0</v>
      </c>
      <c r="Z297" s="83" t="str">
        <f t="shared" si="27"/>
        <v/>
      </c>
      <c r="AA297" s="81" t="str">
        <f>IFERROR(INDEX('Resource Rate Library'!$N$5:$N$85,MATCH(P297,'Resource Rate Library'!$A$5:$A$85,0)),"")</f>
        <v/>
      </c>
      <c r="AB297" s="53"/>
      <c r="AC297" s="59"/>
      <c r="AD297" s="81" t="str">
        <f>IFERROR(INDEX('Resource Rate Library'!$G$5:$G$85,MATCH(P297,'Resource Rate Library'!$A$5:$A$85,0)),"")</f>
        <v/>
      </c>
      <c r="AE297" s="81" t="str">
        <f>IFERROR(INDEX('Resource Rate Library'!$H$5:$H$85,MATCH(P297,'Resource Rate Library'!$A$5:$A$85,0)),"")</f>
        <v/>
      </c>
      <c r="AF297" s="53"/>
      <c r="AG297" s="53"/>
      <c r="AH297" s="53"/>
      <c r="AI297" s="81" t="str">
        <f t="shared" si="28"/>
        <v/>
      </c>
      <c r="AJ297" s="54"/>
      <c r="AK297" s="197"/>
      <c r="AL297" s="197"/>
      <c r="AM297" s="197"/>
      <c r="AN297" s="199">
        <f>IF(AND(AK297="Yes",OR(O297="Labour",O297="Plant")),Z297,0)</f>
        <v>0</v>
      </c>
    </row>
    <row r="298" spans="1:40" x14ac:dyDescent="0.2">
      <c r="A298" s="80" t="str">
        <f>IF(B298="","",B298&amp;"-"&amp;TEXT(COUNTIF($B$7:B298,B298),"000"))</f>
        <v/>
      </c>
      <c r="B298" s="53"/>
      <c r="C298" s="81" t="str">
        <f>IFERROR(INDEX('QS Takeoff'!$A$3:$A$194,MATCH(B298,'QS Takeoff'!$B$3:$B$194,0)),"")</f>
        <v/>
      </c>
      <c r="D298" s="81" t="str">
        <f>IFERROR(INDEX('QS Takeoff'!$C$3:$C$194,MATCH(B298,'QS Takeoff'!$B$3:$B$194,0)),"")</f>
        <v/>
      </c>
      <c r="E298" s="81" t="str">
        <f>IFERROR(INDEX('QS Takeoff'!$E$3:$E$194,MATCH(B298,'QS Takeoff'!$B$3:$B$194,0)),"")</f>
        <v/>
      </c>
      <c r="F298" s="81" t="str">
        <f>IFERROR(INDEX('QS Takeoff'!$D$3:$D$194,MATCH(B298,'QS Takeoff'!$B$3:$B$194,0)),"")</f>
        <v/>
      </c>
      <c r="G298" s="81" t="str">
        <f>IFERROR(INDEX('QS Takeoff'!$J$3:$J$194,MATCH(B298,'QS Takeoff'!$B$3:$B$194,0)),"")</f>
        <v/>
      </c>
      <c r="H298" s="53"/>
      <c r="I298" s="60"/>
      <c r="J298" s="60"/>
      <c r="K298" s="82" t="str">
        <f t="shared" si="24"/>
        <v/>
      </c>
      <c r="L298" s="60"/>
      <c r="M298" s="82" t="str">
        <f t="shared" si="25"/>
        <v/>
      </c>
      <c r="N298" s="53"/>
      <c r="O298" s="53"/>
      <c r="P298" s="53"/>
      <c r="Q298" s="81" t="str">
        <f>IFERROR(INDEX('Resource Rate Library'!$C$5:$C$85,MATCH(P298,'Resource Rate Library'!$A$5:$A$85,0)),"")</f>
        <v/>
      </c>
      <c r="R298" s="53"/>
      <c r="S298" s="53"/>
      <c r="T298" s="81" t="str">
        <f>IFERROR(INDEX('Resource Rate Library'!$E$5:$E$85,MATCH(P298,'Resource Rate Library'!$A$5:$A$85,0)),"")</f>
        <v/>
      </c>
      <c r="U298" s="62"/>
      <c r="V298" s="62"/>
      <c r="W298" s="83">
        <f>IFERROR(INDEX('Resource Rate Library'!$I$5:$I$85,MATCH(P298,'Resource Rate Library'!$A$5:$A$85,0)),0)</f>
        <v>0</v>
      </c>
      <c r="X298" s="52"/>
      <c r="Y298" s="83">
        <f t="shared" si="26"/>
        <v>0</v>
      </c>
      <c r="Z298" s="83" t="str">
        <f t="shared" si="27"/>
        <v/>
      </c>
      <c r="AA298" s="81" t="str">
        <f>IFERROR(INDEX('Resource Rate Library'!$N$5:$N$85,MATCH(P298,'Resource Rate Library'!$A$5:$A$85,0)),"")</f>
        <v/>
      </c>
      <c r="AB298" s="53"/>
      <c r="AC298" s="59"/>
      <c r="AD298" s="81" t="str">
        <f>IFERROR(INDEX('Resource Rate Library'!$G$5:$G$85,MATCH(P298,'Resource Rate Library'!$A$5:$A$85,0)),"")</f>
        <v/>
      </c>
      <c r="AE298" s="81" t="str">
        <f>IFERROR(INDEX('Resource Rate Library'!$H$5:$H$85,MATCH(P298,'Resource Rate Library'!$A$5:$A$85,0)),"")</f>
        <v/>
      </c>
      <c r="AF298" s="53"/>
      <c r="AG298" s="53"/>
      <c r="AH298" s="53"/>
      <c r="AI298" s="81" t="str">
        <f t="shared" si="28"/>
        <v/>
      </c>
      <c r="AJ298" s="54"/>
      <c r="AK298" s="197"/>
      <c r="AL298" s="197"/>
      <c r="AM298" s="197"/>
      <c r="AN298" s="199">
        <f>IF(AND(AK298="Yes",OR(O298="Labour",O298="Plant")),Z298,0)</f>
        <v>0</v>
      </c>
    </row>
    <row r="299" spans="1:40" x14ac:dyDescent="0.2">
      <c r="A299" s="80" t="str">
        <f>IF(B299="","",B299&amp;"-"&amp;TEXT(COUNTIF($B$7:B299,B299),"000"))</f>
        <v/>
      </c>
      <c r="B299" s="53"/>
      <c r="C299" s="81" t="str">
        <f>IFERROR(INDEX('QS Takeoff'!$A$3:$A$194,MATCH(B299,'QS Takeoff'!$B$3:$B$194,0)),"")</f>
        <v/>
      </c>
      <c r="D299" s="81" t="str">
        <f>IFERROR(INDEX('QS Takeoff'!$C$3:$C$194,MATCH(B299,'QS Takeoff'!$B$3:$B$194,0)),"")</f>
        <v/>
      </c>
      <c r="E299" s="81" t="str">
        <f>IFERROR(INDEX('QS Takeoff'!$E$3:$E$194,MATCH(B299,'QS Takeoff'!$B$3:$B$194,0)),"")</f>
        <v/>
      </c>
      <c r="F299" s="81" t="str">
        <f>IFERROR(INDEX('QS Takeoff'!$D$3:$D$194,MATCH(B299,'QS Takeoff'!$B$3:$B$194,0)),"")</f>
        <v/>
      </c>
      <c r="G299" s="81" t="str">
        <f>IFERROR(INDEX('QS Takeoff'!$J$3:$J$194,MATCH(B299,'QS Takeoff'!$B$3:$B$194,0)),"")</f>
        <v/>
      </c>
      <c r="H299" s="53"/>
      <c r="I299" s="60"/>
      <c r="J299" s="60"/>
      <c r="K299" s="82" t="str">
        <f t="shared" si="24"/>
        <v/>
      </c>
      <c r="L299" s="60"/>
      <c r="M299" s="82" t="str">
        <f t="shared" si="25"/>
        <v/>
      </c>
      <c r="N299" s="53"/>
      <c r="O299" s="53"/>
      <c r="P299" s="53"/>
      <c r="Q299" s="81" t="str">
        <f>IFERROR(INDEX('Resource Rate Library'!$C$5:$C$85,MATCH(P299,'Resource Rate Library'!$A$5:$A$85,0)),"")</f>
        <v/>
      </c>
      <c r="R299" s="53"/>
      <c r="S299" s="53"/>
      <c r="T299" s="81" t="str">
        <f>IFERROR(INDEX('Resource Rate Library'!$E$5:$E$85,MATCH(P299,'Resource Rate Library'!$A$5:$A$85,0)),"")</f>
        <v/>
      </c>
      <c r="U299" s="62"/>
      <c r="V299" s="62"/>
      <c r="W299" s="83">
        <f>IFERROR(INDEX('Resource Rate Library'!$I$5:$I$85,MATCH(P299,'Resource Rate Library'!$A$5:$A$85,0)),0)</f>
        <v>0</v>
      </c>
      <c r="X299" s="52"/>
      <c r="Y299" s="83">
        <f t="shared" si="26"/>
        <v>0</v>
      </c>
      <c r="Z299" s="83" t="str">
        <f t="shared" si="27"/>
        <v/>
      </c>
      <c r="AA299" s="81" t="str">
        <f>IFERROR(INDEX('Resource Rate Library'!$N$5:$N$85,MATCH(P299,'Resource Rate Library'!$A$5:$A$85,0)),"")</f>
        <v/>
      </c>
      <c r="AB299" s="53"/>
      <c r="AC299" s="59"/>
      <c r="AD299" s="81" t="str">
        <f>IFERROR(INDEX('Resource Rate Library'!$G$5:$G$85,MATCH(P299,'Resource Rate Library'!$A$5:$A$85,0)),"")</f>
        <v/>
      </c>
      <c r="AE299" s="81" t="str">
        <f>IFERROR(INDEX('Resource Rate Library'!$H$5:$H$85,MATCH(P299,'Resource Rate Library'!$A$5:$A$85,0)),"")</f>
        <v/>
      </c>
      <c r="AF299" s="53"/>
      <c r="AG299" s="53"/>
      <c r="AH299" s="53"/>
      <c r="AI299" s="81" t="str">
        <f t="shared" si="28"/>
        <v/>
      </c>
      <c r="AJ299" s="54"/>
      <c r="AK299" s="197"/>
      <c r="AL299" s="197"/>
      <c r="AM299" s="197"/>
      <c r="AN299" s="199">
        <f>IF(AND(AK299="Yes",OR(O299="Labour",O299="Plant")),Z299,0)</f>
        <v>0</v>
      </c>
    </row>
    <row r="300" spans="1:40" x14ac:dyDescent="0.2">
      <c r="A300" s="80" t="str">
        <f>IF(B300="","",B300&amp;"-"&amp;TEXT(COUNTIF($B$7:B300,B300),"000"))</f>
        <v/>
      </c>
      <c r="B300" s="53"/>
      <c r="C300" s="81" t="str">
        <f>IFERROR(INDEX('QS Takeoff'!$A$3:$A$194,MATCH(B300,'QS Takeoff'!$B$3:$B$194,0)),"")</f>
        <v/>
      </c>
      <c r="D300" s="81" t="str">
        <f>IFERROR(INDEX('QS Takeoff'!$C$3:$C$194,MATCH(B300,'QS Takeoff'!$B$3:$B$194,0)),"")</f>
        <v/>
      </c>
      <c r="E300" s="81" t="str">
        <f>IFERROR(INDEX('QS Takeoff'!$E$3:$E$194,MATCH(B300,'QS Takeoff'!$B$3:$B$194,0)),"")</f>
        <v/>
      </c>
      <c r="F300" s="81" t="str">
        <f>IFERROR(INDEX('QS Takeoff'!$D$3:$D$194,MATCH(B300,'QS Takeoff'!$B$3:$B$194,0)),"")</f>
        <v/>
      </c>
      <c r="G300" s="81" t="str">
        <f>IFERROR(INDEX('QS Takeoff'!$J$3:$J$194,MATCH(B300,'QS Takeoff'!$B$3:$B$194,0)),"")</f>
        <v/>
      </c>
      <c r="H300" s="53"/>
      <c r="I300" s="60"/>
      <c r="J300" s="60"/>
      <c r="K300" s="82" t="str">
        <f t="shared" si="24"/>
        <v/>
      </c>
      <c r="L300" s="60"/>
      <c r="M300" s="82" t="str">
        <f t="shared" si="25"/>
        <v/>
      </c>
      <c r="N300" s="53"/>
      <c r="O300" s="53"/>
      <c r="P300" s="53"/>
      <c r="Q300" s="81" t="str">
        <f>IFERROR(INDEX('Resource Rate Library'!$C$5:$C$85,MATCH(P300,'Resource Rate Library'!$A$5:$A$85,0)),"")</f>
        <v/>
      </c>
      <c r="R300" s="53"/>
      <c r="S300" s="53"/>
      <c r="T300" s="81" t="str">
        <f>IFERROR(INDEX('Resource Rate Library'!$E$5:$E$85,MATCH(P300,'Resource Rate Library'!$A$5:$A$85,0)),"")</f>
        <v/>
      </c>
      <c r="U300" s="62"/>
      <c r="V300" s="62"/>
      <c r="W300" s="83">
        <f>IFERROR(INDEX('Resource Rate Library'!$I$5:$I$85,MATCH(P300,'Resource Rate Library'!$A$5:$A$85,0)),0)</f>
        <v>0</v>
      </c>
      <c r="X300" s="52"/>
      <c r="Y300" s="83">
        <f t="shared" si="26"/>
        <v>0</v>
      </c>
      <c r="Z300" s="83" t="str">
        <f t="shared" si="27"/>
        <v/>
      </c>
      <c r="AA300" s="81" t="str">
        <f>IFERROR(INDEX('Resource Rate Library'!$N$5:$N$85,MATCH(P300,'Resource Rate Library'!$A$5:$A$85,0)),"")</f>
        <v/>
      </c>
      <c r="AB300" s="53"/>
      <c r="AC300" s="59"/>
      <c r="AD300" s="81" t="str">
        <f>IFERROR(INDEX('Resource Rate Library'!$G$5:$G$85,MATCH(P300,'Resource Rate Library'!$A$5:$A$85,0)),"")</f>
        <v/>
      </c>
      <c r="AE300" s="81" t="str">
        <f>IFERROR(INDEX('Resource Rate Library'!$H$5:$H$85,MATCH(P300,'Resource Rate Library'!$A$5:$A$85,0)),"")</f>
        <v/>
      </c>
      <c r="AF300" s="53"/>
      <c r="AG300" s="53"/>
      <c r="AH300" s="53"/>
      <c r="AI300" s="81" t="str">
        <f t="shared" si="28"/>
        <v/>
      </c>
      <c r="AJ300" s="54"/>
      <c r="AK300" s="197"/>
      <c r="AL300" s="197"/>
      <c r="AM300" s="197"/>
      <c r="AN300" s="199">
        <f>IF(AND(AK300="Yes",OR(O300="Labour",O300="Plant")),Z300,0)</f>
        <v>0</v>
      </c>
    </row>
    <row r="301" spans="1:40" x14ac:dyDescent="0.2">
      <c r="A301" s="80" t="str">
        <f>IF(B301="","",B301&amp;"-"&amp;TEXT(COUNTIF($B$7:B301,B301),"000"))</f>
        <v/>
      </c>
      <c r="B301" s="53"/>
      <c r="C301" s="81" t="str">
        <f>IFERROR(INDEX('QS Takeoff'!$A$3:$A$194,MATCH(B301,'QS Takeoff'!$B$3:$B$194,0)),"")</f>
        <v/>
      </c>
      <c r="D301" s="81" t="str">
        <f>IFERROR(INDEX('QS Takeoff'!$C$3:$C$194,MATCH(B301,'QS Takeoff'!$B$3:$B$194,0)),"")</f>
        <v/>
      </c>
      <c r="E301" s="81" t="str">
        <f>IFERROR(INDEX('QS Takeoff'!$E$3:$E$194,MATCH(B301,'QS Takeoff'!$B$3:$B$194,0)),"")</f>
        <v/>
      </c>
      <c r="F301" s="81" t="str">
        <f>IFERROR(INDEX('QS Takeoff'!$D$3:$D$194,MATCH(B301,'QS Takeoff'!$B$3:$B$194,0)),"")</f>
        <v/>
      </c>
      <c r="G301" s="81" t="str">
        <f>IFERROR(INDEX('QS Takeoff'!$J$3:$J$194,MATCH(B301,'QS Takeoff'!$B$3:$B$194,0)),"")</f>
        <v/>
      </c>
      <c r="H301" s="53"/>
      <c r="I301" s="60"/>
      <c r="J301" s="60"/>
      <c r="K301" s="82" t="str">
        <f t="shared" si="24"/>
        <v/>
      </c>
      <c r="L301" s="60"/>
      <c r="M301" s="82" t="str">
        <f t="shared" si="25"/>
        <v/>
      </c>
      <c r="N301" s="53"/>
      <c r="O301" s="53"/>
      <c r="P301" s="53"/>
      <c r="Q301" s="81" t="str">
        <f>IFERROR(INDEX('Resource Rate Library'!$C$5:$C$85,MATCH(P301,'Resource Rate Library'!$A$5:$A$85,0)),"")</f>
        <v/>
      </c>
      <c r="R301" s="53"/>
      <c r="S301" s="53"/>
      <c r="T301" s="81" t="str">
        <f>IFERROR(INDEX('Resource Rate Library'!$E$5:$E$85,MATCH(P301,'Resource Rate Library'!$A$5:$A$85,0)),"")</f>
        <v/>
      </c>
      <c r="U301" s="62"/>
      <c r="V301" s="62"/>
      <c r="W301" s="83">
        <f>IFERROR(INDEX('Resource Rate Library'!$I$5:$I$85,MATCH(P301,'Resource Rate Library'!$A$5:$A$85,0)),0)</f>
        <v>0</v>
      </c>
      <c r="X301" s="52"/>
      <c r="Y301" s="83">
        <f t="shared" si="26"/>
        <v>0</v>
      </c>
      <c r="Z301" s="83" t="str">
        <f t="shared" si="27"/>
        <v/>
      </c>
      <c r="AA301" s="81" t="str">
        <f>IFERROR(INDEX('Resource Rate Library'!$N$5:$N$85,MATCH(P301,'Resource Rate Library'!$A$5:$A$85,0)),"")</f>
        <v/>
      </c>
      <c r="AB301" s="53"/>
      <c r="AC301" s="59"/>
      <c r="AD301" s="81" t="str">
        <f>IFERROR(INDEX('Resource Rate Library'!$G$5:$G$85,MATCH(P301,'Resource Rate Library'!$A$5:$A$85,0)),"")</f>
        <v/>
      </c>
      <c r="AE301" s="81" t="str">
        <f>IFERROR(INDEX('Resource Rate Library'!$H$5:$H$85,MATCH(P301,'Resource Rate Library'!$A$5:$A$85,0)),"")</f>
        <v/>
      </c>
      <c r="AF301" s="53"/>
      <c r="AG301" s="53"/>
      <c r="AH301" s="53"/>
      <c r="AI301" s="81" t="str">
        <f t="shared" si="28"/>
        <v/>
      </c>
      <c r="AJ301" s="54"/>
      <c r="AK301" s="197"/>
      <c r="AL301" s="197"/>
      <c r="AM301" s="197"/>
      <c r="AN301" s="199">
        <f>IF(AND(AK301="Yes",OR(O301="Labour",O301="Plant")),Z301,0)</f>
        <v>0</v>
      </c>
    </row>
    <row r="302" spans="1:40" x14ac:dyDescent="0.2">
      <c r="A302" s="80" t="str">
        <f>IF(B302="","",B302&amp;"-"&amp;TEXT(COUNTIF($B$7:B302,B302),"000"))</f>
        <v/>
      </c>
      <c r="B302" s="53"/>
      <c r="C302" s="81" t="str">
        <f>IFERROR(INDEX('QS Takeoff'!$A$3:$A$194,MATCH(B302,'QS Takeoff'!$B$3:$B$194,0)),"")</f>
        <v/>
      </c>
      <c r="D302" s="81" t="str">
        <f>IFERROR(INDEX('QS Takeoff'!$C$3:$C$194,MATCH(B302,'QS Takeoff'!$B$3:$B$194,0)),"")</f>
        <v/>
      </c>
      <c r="E302" s="81" t="str">
        <f>IFERROR(INDEX('QS Takeoff'!$E$3:$E$194,MATCH(B302,'QS Takeoff'!$B$3:$B$194,0)),"")</f>
        <v/>
      </c>
      <c r="F302" s="81" t="str">
        <f>IFERROR(INDEX('QS Takeoff'!$D$3:$D$194,MATCH(B302,'QS Takeoff'!$B$3:$B$194,0)),"")</f>
        <v/>
      </c>
      <c r="G302" s="81" t="str">
        <f>IFERROR(INDEX('QS Takeoff'!$J$3:$J$194,MATCH(B302,'QS Takeoff'!$B$3:$B$194,0)),"")</f>
        <v/>
      </c>
      <c r="H302" s="53"/>
      <c r="I302" s="60"/>
      <c r="J302" s="60"/>
      <c r="K302" s="82" t="str">
        <f t="shared" si="24"/>
        <v/>
      </c>
      <c r="L302" s="60"/>
      <c r="M302" s="82" t="str">
        <f t="shared" si="25"/>
        <v/>
      </c>
      <c r="N302" s="53"/>
      <c r="O302" s="53"/>
      <c r="P302" s="53"/>
      <c r="Q302" s="81" t="str">
        <f>IFERROR(INDEX('Resource Rate Library'!$C$5:$C$85,MATCH(P302,'Resource Rate Library'!$A$5:$A$85,0)),"")</f>
        <v/>
      </c>
      <c r="R302" s="53"/>
      <c r="S302" s="53"/>
      <c r="T302" s="81" t="str">
        <f>IFERROR(INDEX('Resource Rate Library'!$E$5:$E$85,MATCH(P302,'Resource Rate Library'!$A$5:$A$85,0)),"")</f>
        <v/>
      </c>
      <c r="U302" s="62"/>
      <c r="V302" s="62"/>
      <c r="W302" s="83">
        <f>IFERROR(INDEX('Resource Rate Library'!$I$5:$I$85,MATCH(P302,'Resource Rate Library'!$A$5:$A$85,0)),0)</f>
        <v>0</v>
      </c>
      <c r="X302" s="52"/>
      <c r="Y302" s="83">
        <f t="shared" si="26"/>
        <v>0</v>
      </c>
      <c r="Z302" s="83" t="str">
        <f t="shared" si="27"/>
        <v/>
      </c>
      <c r="AA302" s="81" t="str">
        <f>IFERROR(INDEX('Resource Rate Library'!$N$5:$N$85,MATCH(P302,'Resource Rate Library'!$A$5:$A$85,0)),"")</f>
        <v/>
      </c>
      <c r="AB302" s="53"/>
      <c r="AC302" s="59"/>
      <c r="AD302" s="81" t="str">
        <f>IFERROR(INDEX('Resource Rate Library'!$G$5:$G$85,MATCH(P302,'Resource Rate Library'!$A$5:$A$85,0)),"")</f>
        <v/>
      </c>
      <c r="AE302" s="81" t="str">
        <f>IFERROR(INDEX('Resource Rate Library'!$H$5:$H$85,MATCH(P302,'Resource Rate Library'!$A$5:$A$85,0)),"")</f>
        <v/>
      </c>
      <c r="AF302" s="53"/>
      <c r="AG302" s="53"/>
      <c r="AH302" s="53"/>
      <c r="AI302" s="81" t="str">
        <f t="shared" si="28"/>
        <v/>
      </c>
      <c r="AJ302" s="54"/>
      <c r="AK302" s="197"/>
      <c r="AL302" s="197"/>
      <c r="AM302" s="197"/>
      <c r="AN302" s="199">
        <f>IF(AND(AK302="Yes",OR(O302="Labour",O302="Plant")),Z302,0)</f>
        <v>0</v>
      </c>
    </row>
    <row r="303" spans="1:40" x14ac:dyDescent="0.2">
      <c r="A303" s="80" t="str">
        <f>IF(B303="","",B303&amp;"-"&amp;TEXT(COUNTIF($B$7:B303,B303),"000"))</f>
        <v/>
      </c>
      <c r="B303" s="53"/>
      <c r="C303" s="81" t="str">
        <f>IFERROR(INDEX('QS Takeoff'!$A$3:$A$194,MATCH(B303,'QS Takeoff'!$B$3:$B$194,0)),"")</f>
        <v/>
      </c>
      <c r="D303" s="81" t="str">
        <f>IFERROR(INDEX('QS Takeoff'!$C$3:$C$194,MATCH(B303,'QS Takeoff'!$B$3:$B$194,0)),"")</f>
        <v/>
      </c>
      <c r="E303" s="81" t="str">
        <f>IFERROR(INDEX('QS Takeoff'!$E$3:$E$194,MATCH(B303,'QS Takeoff'!$B$3:$B$194,0)),"")</f>
        <v/>
      </c>
      <c r="F303" s="81" t="str">
        <f>IFERROR(INDEX('QS Takeoff'!$D$3:$D$194,MATCH(B303,'QS Takeoff'!$B$3:$B$194,0)),"")</f>
        <v/>
      </c>
      <c r="G303" s="81" t="str">
        <f>IFERROR(INDEX('QS Takeoff'!$J$3:$J$194,MATCH(B303,'QS Takeoff'!$B$3:$B$194,0)),"")</f>
        <v/>
      </c>
      <c r="H303" s="53"/>
      <c r="I303" s="60"/>
      <c r="J303" s="60"/>
      <c r="K303" s="82" t="str">
        <f t="shared" si="24"/>
        <v/>
      </c>
      <c r="L303" s="60"/>
      <c r="M303" s="82" t="str">
        <f t="shared" si="25"/>
        <v/>
      </c>
      <c r="N303" s="53"/>
      <c r="O303" s="53"/>
      <c r="P303" s="53"/>
      <c r="Q303" s="81" t="str">
        <f>IFERROR(INDEX('Resource Rate Library'!$C$5:$C$85,MATCH(P303,'Resource Rate Library'!$A$5:$A$85,0)),"")</f>
        <v/>
      </c>
      <c r="R303" s="53"/>
      <c r="S303" s="53"/>
      <c r="T303" s="81" t="str">
        <f>IFERROR(INDEX('Resource Rate Library'!$E$5:$E$85,MATCH(P303,'Resource Rate Library'!$A$5:$A$85,0)),"")</f>
        <v/>
      </c>
      <c r="U303" s="62"/>
      <c r="V303" s="62"/>
      <c r="W303" s="83">
        <f>IFERROR(INDEX('Resource Rate Library'!$I$5:$I$85,MATCH(P303,'Resource Rate Library'!$A$5:$A$85,0)),0)</f>
        <v>0</v>
      </c>
      <c r="X303" s="52"/>
      <c r="Y303" s="83">
        <f t="shared" si="26"/>
        <v>0</v>
      </c>
      <c r="Z303" s="83" t="str">
        <f t="shared" si="27"/>
        <v/>
      </c>
      <c r="AA303" s="81" t="str">
        <f>IFERROR(INDEX('Resource Rate Library'!$N$5:$N$85,MATCH(P303,'Resource Rate Library'!$A$5:$A$85,0)),"")</f>
        <v/>
      </c>
      <c r="AB303" s="53"/>
      <c r="AC303" s="59"/>
      <c r="AD303" s="81" t="str">
        <f>IFERROR(INDEX('Resource Rate Library'!$G$5:$G$85,MATCH(P303,'Resource Rate Library'!$A$5:$A$85,0)),"")</f>
        <v/>
      </c>
      <c r="AE303" s="81" t="str">
        <f>IFERROR(INDEX('Resource Rate Library'!$H$5:$H$85,MATCH(P303,'Resource Rate Library'!$A$5:$A$85,0)),"")</f>
        <v/>
      </c>
      <c r="AF303" s="53"/>
      <c r="AG303" s="53"/>
      <c r="AH303" s="53"/>
      <c r="AI303" s="81" t="str">
        <f t="shared" si="28"/>
        <v/>
      </c>
      <c r="AJ303" s="54"/>
      <c r="AK303" s="197"/>
      <c r="AL303" s="197"/>
      <c r="AM303" s="197"/>
      <c r="AN303" s="199">
        <f>IF(AND(AK303="Yes",OR(O303="Labour",O303="Plant")),Z303,0)</f>
        <v>0</v>
      </c>
    </row>
    <row r="304" spans="1:40" x14ac:dyDescent="0.2">
      <c r="A304" s="80" t="str">
        <f>IF(B304="","",B304&amp;"-"&amp;TEXT(COUNTIF($B$7:B304,B304),"000"))</f>
        <v/>
      </c>
      <c r="B304" s="53"/>
      <c r="C304" s="81" t="str">
        <f>IFERROR(INDEX('QS Takeoff'!$A$3:$A$194,MATCH(B304,'QS Takeoff'!$B$3:$B$194,0)),"")</f>
        <v/>
      </c>
      <c r="D304" s="81" t="str">
        <f>IFERROR(INDEX('QS Takeoff'!$C$3:$C$194,MATCH(B304,'QS Takeoff'!$B$3:$B$194,0)),"")</f>
        <v/>
      </c>
      <c r="E304" s="81" t="str">
        <f>IFERROR(INDEX('QS Takeoff'!$E$3:$E$194,MATCH(B304,'QS Takeoff'!$B$3:$B$194,0)),"")</f>
        <v/>
      </c>
      <c r="F304" s="81" t="str">
        <f>IFERROR(INDEX('QS Takeoff'!$D$3:$D$194,MATCH(B304,'QS Takeoff'!$B$3:$B$194,0)),"")</f>
        <v/>
      </c>
      <c r="G304" s="81" t="str">
        <f>IFERROR(INDEX('QS Takeoff'!$J$3:$J$194,MATCH(B304,'QS Takeoff'!$B$3:$B$194,0)),"")</f>
        <v/>
      </c>
      <c r="H304" s="53"/>
      <c r="I304" s="60"/>
      <c r="J304" s="60"/>
      <c r="K304" s="82" t="str">
        <f t="shared" si="24"/>
        <v/>
      </c>
      <c r="L304" s="60"/>
      <c r="M304" s="82" t="str">
        <f t="shared" si="25"/>
        <v/>
      </c>
      <c r="N304" s="53"/>
      <c r="O304" s="53"/>
      <c r="P304" s="53"/>
      <c r="Q304" s="81" t="str">
        <f>IFERROR(INDEX('Resource Rate Library'!$C$5:$C$85,MATCH(P304,'Resource Rate Library'!$A$5:$A$85,0)),"")</f>
        <v/>
      </c>
      <c r="R304" s="53"/>
      <c r="S304" s="53"/>
      <c r="T304" s="81" t="str">
        <f>IFERROR(INDEX('Resource Rate Library'!$E$5:$E$85,MATCH(P304,'Resource Rate Library'!$A$5:$A$85,0)),"")</f>
        <v/>
      </c>
      <c r="U304" s="62"/>
      <c r="V304" s="62"/>
      <c r="W304" s="83">
        <f>IFERROR(INDEX('Resource Rate Library'!$I$5:$I$85,MATCH(P304,'Resource Rate Library'!$A$5:$A$85,0)),0)</f>
        <v>0</v>
      </c>
      <c r="X304" s="52"/>
      <c r="Y304" s="83">
        <f t="shared" si="26"/>
        <v>0</v>
      </c>
      <c r="Z304" s="83" t="str">
        <f t="shared" si="27"/>
        <v/>
      </c>
      <c r="AA304" s="81" t="str">
        <f>IFERROR(INDEX('Resource Rate Library'!$N$5:$N$85,MATCH(P304,'Resource Rate Library'!$A$5:$A$85,0)),"")</f>
        <v/>
      </c>
      <c r="AB304" s="53"/>
      <c r="AC304" s="59"/>
      <c r="AD304" s="81" t="str">
        <f>IFERROR(INDEX('Resource Rate Library'!$G$5:$G$85,MATCH(P304,'Resource Rate Library'!$A$5:$A$85,0)),"")</f>
        <v/>
      </c>
      <c r="AE304" s="81" t="str">
        <f>IFERROR(INDEX('Resource Rate Library'!$H$5:$H$85,MATCH(P304,'Resource Rate Library'!$A$5:$A$85,0)),"")</f>
        <v/>
      </c>
      <c r="AF304" s="53"/>
      <c r="AG304" s="53"/>
      <c r="AH304" s="53"/>
      <c r="AI304" s="81" t="str">
        <f t="shared" si="28"/>
        <v/>
      </c>
      <c r="AJ304" s="54"/>
      <c r="AK304" s="197"/>
      <c r="AL304" s="197"/>
      <c r="AM304" s="197"/>
      <c r="AN304" s="199">
        <f>IF(AND(AK304="Yes",OR(O304="Labour",O304="Plant")),Z304,0)</f>
        <v>0</v>
      </c>
    </row>
    <row r="305" spans="1:40" x14ac:dyDescent="0.2">
      <c r="A305" s="80" t="str">
        <f>IF(B305="","",B305&amp;"-"&amp;TEXT(COUNTIF($B$7:B305,B305),"000"))</f>
        <v/>
      </c>
      <c r="B305" s="53"/>
      <c r="C305" s="81" t="str">
        <f>IFERROR(INDEX('QS Takeoff'!$A$3:$A$194,MATCH(B305,'QS Takeoff'!$B$3:$B$194,0)),"")</f>
        <v/>
      </c>
      <c r="D305" s="81" t="str">
        <f>IFERROR(INDEX('QS Takeoff'!$C$3:$C$194,MATCH(B305,'QS Takeoff'!$B$3:$B$194,0)),"")</f>
        <v/>
      </c>
      <c r="E305" s="81" t="str">
        <f>IFERROR(INDEX('QS Takeoff'!$E$3:$E$194,MATCH(B305,'QS Takeoff'!$B$3:$B$194,0)),"")</f>
        <v/>
      </c>
      <c r="F305" s="81" t="str">
        <f>IFERROR(INDEX('QS Takeoff'!$D$3:$D$194,MATCH(B305,'QS Takeoff'!$B$3:$B$194,0)),"")</f>
        <v/>
      </c>
      <c r="G305" s="81" t="str">
        <f>IFERROR(INDEX('QS Takeoff'!$J$3:$J$194,MATCH(B305,'QS Takeoff'!$B$3:$B$194,0)),"")</f>
        <v/>
      </c>
      <c r="H305" s="53"/>
      <c r="I305" s="60"/>
      <c r="J305" s="60"/>
      <c r="K305" s="82" t="str">
        <f t="shared" si="24"/>
        <v/>
      </c>
      <c r="L305" s="60"/>
      <c r="M305" s="82" t="str">
        <f t="shared" si="25"/>
        <v/>
      </c>
      <c r="N305" s="53"/>
      <c r="O305" s="53"/>
      <c r="P305" s="53"/>
      <c r="Q305" s="81" t="str">
        <f>IFERROR(INDEX('Resource Rate Library'!$C$5:$C$85,MATCH(P305,'Resource Rate Library'!$A$5:$A$85,0)),"")</f>
        <v/>
      </c>
      <c r="R305" s="53"/>
      <c r="S305" s="53"/>
      <c r="T305" s="81" t="str">
        <f>IFERROR(INDEX('Resource Rate Library'!$E$5:$E$85,MATCH(P305,'Resource Rate Library'!$A$5:$A$85,0)),"")</f>
        <v/>
      </c>
      <c r="U305" s="62"/>
      <c r="V305" s="62"/>
      <c r="W305" s="83">
        <f>IFERROR(INDEX('Resource Rate Library'!$I$5:$I$85,MATCH(P305,'Resource Rate Library'!$A$5:$A$85,0)),0)</f>
        <v>0</v>
      </c>
      <c r="X305" s="52"/>
      <c r="Y305" s="83">
        <f t="shared" si="26"/>
        <v>0</v>
      </c>
      <c r="Z305" s="83" t="str">
        <f t="shared" si="27"/>
        <v/>
      </c>
      <c r="AA305" s="81" t="str">
        <f>IFERROR(INDEX('Resource Rate Library'!$N$5:$N$85,MATCH(P305,'Resource Rate Library'!$A$5:$A$85,0)),"")</f>
        <v/>
      </c>
      <c r="AB305" s="53"/>
      <c r="AC305" s="59"/>
      <c r="AD305" s="81" t="str">
        <f>IFERROR(INDEX('Resource Rate Library'!$G$5:$G$85,MATCH(P305,'Resource Rate Library'!$A$5:$A$85,0)),"")</f>
        <v/>
      </c>
      <c r="AE305" s="81" t="str">
        <f>IFERROR(INDEX('Resource Rate Library'!$H$5:$H$85,MATCH(P305,'Resource Rate Library'!$A$5:$A$85,0)),"")</f>
        <v/>
      </c>
      <c r="AF305" s="53"/>
      <c r="AG305" s="53"/>
      <c r="AH305" s="53"/>
      <c r="AI305" s="81" t="str">
        <f t="shared" si="28"/>
        <v/>
      </c>
      <c r="AJ305" s="54"/>
      <c r="AK305" s="197"/>
      <c r="AL305" s="197"/>
      <c r="AM305" s="197"/>
      <c r="AN305" s="199">
        <f>IF(AND(AK305="Yes",OR(O305="Labour",O305="Plant")),Z305,0)</f>
        <v>0</v>
      </c>
    </row>
    <row r="306" spans="1:40" x14ac:dyDescent="0.2">
      <c r="A306" s="84" t="str">
        <f>IF(B306="","",B306&amp;"-"&amp;TEXT(COUNTIF($B$7:B306,B306),"000"))</f>
        <v/>
      </c>
      <c r="B306" s="56"/>
      <c r="C306" s="85" t="str">
        <f>IFERROR(INDEX('QS Takeoff'!$A$3:$A$194,MATCH(B306,'QS Takeoff'!$B$3:$B$194,0)),"")</f>
        <v/>
      </c>
      <c r="D306" s="85" t="str">
        <f>IFERROR(INDEX('QS Takeoff'!$C$3:$C$194,MATCH(B306,'QS Takeoff'!$B$3:$B$194,0)),"")</f>
        <v/>
      </c>
      <c r="E306" s="85" t="str">
        <f>IFERROR(INDEX('QS Takeoff'!$E$3:$E$194,MATCH(B306,'QS Takeoff'!$B$3:$B$194,0)),"")</f>
        <v/>
      </c>
      <c r="F306" s="85" t="str">
        <f>IFERROR(INDEX('QS Takeoff'!$D$3:$D$194,MATCH(B306,'QS Takeoff'!$B$3:$B$194,0)),"")</f>
        <v/>
      </c>
      <c r="G306" s="85" t="str">
        <f>IFERROR(INDEX('QS Takeoff'!$J$3:$J$194,MATCH(B306,'QS Takeoff'!$B$3:$B$194,0)),"")</f>
        <v/>
      </c>
      <c r="H306" s="56"/>
      <c r="I306" s="61"/>
      <c r="J306" s="61"/>
      <c r="K306" s="86" t="str">
        <f t="shared" si="24"/>
        <v/>
      </c>
      <c r="L306" s="61"/>
      <c r="M306" s="86" t="str">
        <f t="shared" si="25"/>
        <v/>
      </c>
      <c r="N306" s="56"/>
      <c r="O306" s="56"/>
      <c r="P306" s="56"/>
      <c r="Q306" s="85" t="str">
        <f>IFERROR(INDEX('Resource Rate Library'!$C$5:$C$85,MATCH(P306,'Resource Rate Library'!$A$5:$A$85,0)),"")</f>
        <v/>
      </c>
      <c r="R306" s="56"/>
      <c r="S306" s="56"/>
      <c r="T306" s="85" t="str">
        <f>IFERROR(INDEX('Resource Rate Library'!$E$5:$E$85,MATCH(P306,'Resource Rate Library'!$A$5:$A$85,0)),"")</f>
        <v/>
      </c>
      <c r="U306" s="63"/>
      <c r="V306" s="63"/>
      <c r="W306" s="87">
        <f>IFERROR(INDEX('Resource Rate Library'!$I$5:$I$85,MATCH(P306,'Resource Rate Library'!$A$5:$A$85,0)),0)</f>
        <v>0</v>
      </c>
      <c r="X306" s="55"/>
      <c r="Y306" s="87">
        <f t="shared" si="26"/>
        <v>0</v>
      </c>
      <c r="Z306" s="87" t="str">
        <f t="shared" si="27"/>
        <v/>
      </c>
      <c r="AA306" s="85" t="str">
        <f>IFERROR(INDEX('Resource Rate Library'!$N$5:$N$85,MATCH(P306,'Resource Rate Library'!$A$5:$A$85,0)),"")</f>
        <v/>
      </c>
      <c r="AB306" s="56"/>
      <c r="AC306" s="64"/>
      <c r="AD306" s="85" t="str">
        <f>IFERROR(INDEX('Resource Rate Library'!$G$5:$G$85,MATCH(P306,'Resource Rate Library'!$A$5:$A$85,0)),"")</f>
        <v/>
      </c>
      <c r="AE306" s="85" t="str">
        <f>IFERROR(INDEX('Resource Rate Library'!$H$5:$H$85,MATCH(P306,'Resource Rate Library'!$A$5:$A$85,0)),"")</f>
        <v/>
      </c>
      <c r="AF306" s="56"/>
      <c r="AG306" s="56"/>
      <c r="AH306" s="56"/>
      <c r="AI306" s="85" t="str">
        <f t="shared" si="28"/>
        <v/>
      </c>
      <c r="AJ306" s="57"/>
      <c r="AK306" s="197"/>
      <c r="AL306" s="197"/>
      <c r="AM306" s="197"/>
      <c r="AN306" s="199">
        <f>IF(AND(AK306="Yes",OR(O306="Labour",O306="Plant")),Z306,0)</f>
        <v>0</v>
      </c>
    </row>
  </sheetData>
  <mergeCells count="5">
    <mergeCell ref="A1:AJ1"/>
    <mergeCell ref="A2:AJ2"/>
    <mergeCell ref="A3:AJ3"/>
    <mergeCell ref="A4:AJ4"/>
    <mergeCell ref="A5:AN5"/>
  </mergeCells>
  <conditionalFormatting sqref="AJ7:AJ306">
    <cfRule type="expression" dxfId="13" priority="1">
      <formula>$AJ7="OK"</formula>
    </cfRule>
    <cfRule type="expression" dxfId="12" priority="2">
      <formula>OR($AJ7="VERIFY",$AJ7="RATE MISSING",$AJ7="RESOURCE CODE")</formula>
    </cfRule>
    <cfRule type="expression" dxfId="11" priority="3">
      <formula>OR($AJ7="OPERATOR DOUBLE-COUNT",$AJ7="FUEL DOUBLE-COUNT")</formula>
    </cfRule>
  </conditionalFormatting>
  <dataValidations count="7">
    <dataValidation type="list" sqref="N7:N306" xr:uid="{00000000-0002-0000-0700-000000000000}">
      <formula1>"Time x Count,QS Qty x Factor,Direct Qty,Lump Sum / Quote"</formula1>
    </dataValidation>
    <dataValidation type="list" sqref="O7:O306" xr:uid="{00000000-0002-0000-0700-000001000000}">
      <formula1>"Labour,Plant,Material,Subcontract,Cartage,Disposal,Testing,Other"</formula1>
    </dataValidation>
    <dataValidation type="list" sqref="AF7:AF306" xr:uid="{00000000-0002-0000-0700-000002000000}">
      <formula1>"High,Medium,Low,Quote-backed,Not assessed"</formula1>
    </dataValidation>
    <dataValidation type="list" sqref="AH7:AH306" xr:uid="{00000000-0002-0000-0700-000003000000}">
      <formula1>"Yes,No,Pending"</formula1>
    </dataValidation>
    <dataValidation type="custom" allowBlank="1" showErrorMessage="1" errorTitle="Linked formula cell" error="This value is linked. Change the upstream input/source instead of overwriting this cell." sqref="A7:A306 AI7:AI306 AD7:AE306 Y7:AA306 W7:W306 T7:T306 Q7:Q306 M7:M306 K7:K306 C7:G306" xr:uid="{00000000-0002-0000-0700-000004000000}">
      <formula1>FALSE</formula1>
    </dataValidation>
    <dataValidation type="decimal" operator="greaterThanOrEqual" sqref="X81" xr:uid="{00000000-0002-0000-0700-000005000000}">
      <formula1>0</formula1>
    </dataValidation>
    <dataValidation type="list" sqref="AK7:AK306" xr:uid="{00000000-0002-0000-0700-000006000000}">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xr:uid="{00000000-0002-0000-0700-000007000000}">
          <x14:formula1>
            <xm:f>'Weather Risk'!$J$54:$J$71</xm:f>
          </x14:formula1>
          <xm:sqref>AL7:AL306</xm:sqref>
        </x14:dataValidation>
        <x14:dataValidation type="list" xr:uid="{00000000-0002-0000-0700-000008000000}">
          <x14:formula1>
            <xm:f>'Resource Rate Library'!$A$5:$A$85</xm:f>
          </x14:formula1>
          <xm:sqref>P7:P306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36"/>
  <sheetViews>
    <sheetView showGridLines="0" workbookViewId="0"/>
  </sheetViews>
  <sheetFormatPr defaultRowHeight="15" x14ac:dyDescent="0.2"/>
  <cols>
    <col min="1" max="1" width="11.97265625" customWidth="1"/>
    <col min="2" max="2" width="13.98828125" customWidth="1"/>
    <col min="3" max="3" width="16.54296875" customWidth="1"/>
    <col min="4" max="4" width="33.62890625" customWidth="1"/>
    <col min="5" max="5" width="83.26953125" customWidth="1"/>
    <col min="6" max="6" width="25.15234375" customWidth="1"/>
    <col min="7" max="7" width="48.42578125" customWidth="1"/>
    <col min="8" max="8" width="9.953125" customWidth="1"/>
    <col min="9" max="9" width="13.046875" customWidth="1"/>
    <col min="10" max="10" width="14.9296875" customWidth="1"/>
    <col min="11" max="11" width="43.98828125" customWidth="1"/>
    <col min="12" max="12" width="9.953125" customWidth="1"/>
    <col min="13" max="13" width="43.98828125" customWidth="1"/>
    <col min="14" max="14" width="9.953125" customWidth="1"/>
    <col min="15" max="15" width="43.98828125" customWidth="1"/>
    <col min="16" max="16" width="9.953125" customWidth="1"/>
    <col min="17" max="17" width="7.93359375" customWidth="1"/>
    <col min="18" max="18" width="13.046875" customWidth="1"/>
    <col min="19" max="19" width="11.97265625" customWidth="1"/>
    <col min="20" max="20" width="53" customWidth="1"/>
    <col min="21" max="21" width="39.953125" customWidth="1"/>
    <col min="22" max="22" width="37.93359375" customWidth="1"/>
  </cols>
  <sheetData>
    <row r="1" spans="1:22" s="3" customFormat="1" ht="38.450000000000003" customHeight="1" x14ac:dyDescent="0.2">
      <c r="A1" s="289" t="s">
        <v>1193</v>
      </c>
      <c r="B1" s="289"/>
      <c r="C1" s="289"/>
      <c r="D1" s="289"/>
      <c r="E1" s="289"/>
      <c r="F1" s="289"/>
      <c r="G1" s="289"/>
      <c r="H1" s="289"/>
      <c r="I1" s="289"/>
      <c r="J1" s="289"/>
      <c r="K1" s="289"/>
      <c r="L1" s="289"/>
      <c r="M1" s="289"/>
      <c r="N1" s="289"/>
      <c r="O1" s="289"/>
      <c r="P1" s="289"/>
      <c r="Q1" s="289"/>
      <c r="R1" s="289"/>
      <c r="S1" s="289"/>
      <c r="T1" s="289"/>
      <c r="U1" s="289"/>
      <c r="V1" s="289"/>
    </row>
    <row r="2" spans="1:22" s="3" customFormat="1" ht="33.950000000000003" customHeight="1" x14ac:dyDescent="0.2">
      <c r="A2" s="290" t="s">
        <v>596</v>
      </c>
      <c r="B2" s="290"/>
      <c r="C2" s="290"/>
      <c r="D2" s="290"/>
      <c r="E2" s="290"/>
      <c r="F2" s="290"/>
      <c r="G2" s="290"/>
      <c r="H2" s="290"/>
      <c r="I2" s="290"/>
      <c r="J2" s="290"/>
      <c r="K2" s="290"/>
      <c r="L2" s="290"/>
      <c r="M2" s="290"/>
      <c r="N2" s="290"/>
      <c r="O2" s="290"/>
      <c r="P2" s="290"/>
      <c r="Q2" s="290"/>
      <c r="R2" s="290"/>
      <c r="S2" s="290"/>
      <c r="T2" s="290"/>
      <c r="U2" s="290"/>
      <c r="V2" s="290"/>
    </row>
    <row r="3" spans="1:22" s="3" customFormat="1" ht="18.600000000000001" customHeight="1" x14ac:dyDescent="0.2">
      <c r="A3" s="176" t="s">
        <v>73</v>
      </c>
      <c r="B3" s="176" t="s">
        <v>597</v>
      </c>
      <c r="C3" s="176" t="s">
        <v>598</v>
      </c>
      <c r="E3" s="176" t="s">
        <v>73</v>
      </c>
      <c r="F3" s="176" t="s">
        <v>597</v>
      </c>
      <c r="G3" s="176" t="s">
        <v>598</v>
      </c>
    </row>
    <row r="4" spans="1:22" s="3" customFormat="1" ht="18.600000000000001" customHeight="1" x14ac:dyDescent="0.2">
      <c r="A4" s="177" t="s">
        <v>599</v>
      </c>
      <c r="B4" s="177">
        <f>COUNTIF($T$8:$T$136,"GREEN - 3-point checked")+COUNTIF($T$8:$T$136,"GREEN - duplicate prevented")</f>
        <v>0</v>
      </c>
      <c r="C4" s="178">
        <f>SUMIF($T$8:$T$136,"GREEN - 3-point checked",$J$8:$J$136)+SUMIF($T$8:$T$136,"GREEN - duplicate prevented",$J$8:$J$136)</f>
        <v>0</v>
      </c>
      <c r="E4" s="179" t="s">
        <v>600</v>
      </c>
      <c r="F4" s="179">
        <f>COUNTIF($T$8:$T$136,"RED - live quote/design evidence required")+COUNTIF($T$8:$T$136,"RED - allowance basis/quote required")</f>
        <v>0</v>
      </c>
      <c r="G4" s="180">
        <f>SUMIF($T$8:$T$136,"RED - live quote/design evidence required",$J$8:$J$136)+SUMIF($T$8:$T$136,"RED - allowance basis/quote required",$J$8:$J$136)</f>
        <v>0</v>
      </c>
    </row>
    <row r="5" spans="1:22" s="3" customFormat="1" ht="18.600000000000001" customHeight="1" x14ac:dyDescent="0.2">
      <c r="A5" s="181" t="s">
        <v>601</v>
      </c>
      <c r="B5" s="181">
        <f>COUNTIF($T$8:$T$136,"AMBER - company cost rate required")+COUNTIF($T$8:$T$136,"AMBER - explicit allowance; second evidence required")+COUNTIF($T$8:$T$136,"AMBER - benchmark only")+COUNTIF($T$8:$T$136,"AMBER - 3-point benchmark; quote required")+COUNTIF($T$8:$T$136,"AMBER - specification/delivery quote required")+COUNTIF($T$8:$T$136,"AMBER - benchmarked PC; NZ supplier quote required")</f>
        <v>0</v>
      </c>
      <c r="C5" s="182">
        <f>SUMIF($T$8:$T$136,"AMBER - company cost rate required",$J$8:$J$136)+SUMIF($T$8:$T$136,"AMBER - explicit allowance; second evidence required",$J$8:$J$136)+SUMIF($T$8:$T$136,"AMBER - benchmark only",$J$8:$J$136)+SUMIF($T$8:$T$136,"AMBER - 3-point benchmark; quote required",$J$8:$J$136)+SUMIF($T$8:$T$136,"AMBER - specification/delivery quote required",$J$8:$J$136)+SUMIF($T$8:$T$136,"AMBER - benchmarked PC; NZ supplier quote required",$J$8:$J$136)</f>
        <v>0</v>
      </c>
      <c r="E5" s="183" t="s">
        <v>602</v>
      </c>
      <c r="F5" s="183" t="s">
        <v>603</v>
      </c>
      <c r="G5" s="183" t="s">
        <v>604</v>
      </c>
    </row>
    <row r="7" spans="1:22" ht="37.9" customHeight="1" x14ac:dyDescent="0.2">
      <c r="A7" s="95" t="s">
        <v>605</v>
      </c>
      <c r="B7" s="96" t="s">
        <v>606</v>
      </c>
      <c r="C7" s="96" t="s">
        <v>567</v>
      </c>
      <c r="D7" s="96" t="s">
        <v>568</v>
      </c>
      <c r="E7" s="96" t="s">
        <v>607</v>
      </c>
      <c r="F7" s="96" t="s">
        <v>353</v>
      </c>
      <c r="G7" s="96" t="s">
        <v>608</v>
      </c>
      <c r="H7" s="96" t="s">
        <v>97</v>
      </c>
      <c r="I7" s="96" t="s">
        <v>588</v>
      </c>
      <c r="J7" s="96" t="s">
        <v>589</v>
      </c>
      <c r="K7" s="96" t="s">
        <v>609</v>
      </c>
      <c r="L7" s="96" t="s">
        <v>610</v>
      </c>
      <c r="M7" s="96" t="s">
        <v>611</v>
      </c>
      <c r="N7" s="96" t="s">
        <v>612</v>
      </c>
      <c r="O7" s="96" t="s">
        <v>613</v>
      </c>
      <c r="P7" s="96" t="s">
        <v>614</v>
      </c>
      <c r="Q7" s="96" t="s">
        <v>615</v>
      </c>
      <c r="R7" s="96" t="s">
        <v>592</v>
      </c>
      <c r="S7" s="96" t="s">
        <v>368</v>
      </c>
      <c r="T7" s="96" t="s">
        <v>616</v>
      </c>
      <c r="U7" s="96" t="s">
        <v>617</v>
      </c>
      <c r="V7" s="97" t="s">
        <v>618</v>
      </c>
    </row>
    <row r="8" spans="1:22" ht="32.450000000000003" customHeight="1" x14ac:dyDescent="0.2">
      <c r="A8" s="98" t="s">
        <v>619</v>
      </c>
      <c r="B8" s="98" t="str">
        <f>'Resource Build-Up'!A7</f>
        <v/>
      </c>
      <c r="C8" s="98">
        <f>'Resource Build-Up'!B7</f>
        <v>0</v>
      </c>
      <c r="D8" s="26" t="str">
        <f>'Resource Build-Up'!C7</f>
        <v/>
      </c>
      <c r="E8" s="26">
        <f>'Resource Build-Up'!H7</f>
        <v>0</v>
      </c>
      <c r="F8" s="26">
        <f>'Resource Build-Up'!P7</f>
        <v>0</v>
      </c>
      <c r="G8" s="26" t="str">
        <f>'Resource Build-Up'!Q7</f>
        <v/>
      </c>
      <c r="H8" s="26" t="str">
        <f>'Resource Build-Up'!T7</f>
        <v/>
      </c>
      <c r="I8" s="44">
        <f>'Resource Build-Up'!Y7</f>
        <v>0</v>
      </c>
      <c r="J8" s="44" t="str">
        <f>'Resource Build-Up'!Z7</f>
        <v/>
      </c>
      <c r="K8" s="26"/>
      <c r="L8" s="26"/>
      <c r="M8" s="26"/>
      <c r="N8" s="26"/>
      <c r="O8" s="26"/>
      <c r="P8" s="26"/>
      <c r="Q8" s="26">
        <f t="shared" ref="Q8:Q39" si="0">COUNTIF(L8,"PASS")+COUNTIF(N8,"PASS")+COUNTIF(P8,"PASS")</f>
        <v>0</v>
      </c>
      <c r="R8" s="26">
        <f>'Resource Build-Up'!AC7</f>
        <v>0</v>
      </c>
      <c r="S8" s="26">
        <f>'Resource Build-Up'!AF7</f>
        <v>0</v>
      </c>
      <c r="T8" s="99"/>
      <c r="U8" s="26"/>
      <c r="V8" s="26">
        <f>'Resource Build-Up'!AG7</f>
        <v>0</v>
      </c>
    </row>
    <row r="9" spans="1:22" ht="32.450000000000003" customHeight="1" x14ac:dyDescent="0.2">
      <c r="A9" s="98" t="s">
        <v>620</v>
      </c>
      <c r="B9" s="98" t="str">
        <f>'Resource Build-Up'!A8</f>
        <v/>
      </c>
      <c r="C9" s="98">
        <f>'Resource Build-Up'!B8</f>
        <v>0</v>
      </c>
      <c r="D9" s="26" t="str">
        <f>'Resource Build-Up'!C8</f>
        <v/>
      </c>
      <c r="E9" s="26">
        <f>'Resource Build-Up'!H8</f>
        <v>0</v>
      </c>
      <c r="F9" s="26">
        <f>'Resource Build-Up'!P8</f>
        <v>0</v>
      </c>
      <c r="G9" s="26" t="str">
        <f>'Resource Build-Up'!Q8</f>
        <v/>
      </c>
      <c r="H9" s="26" t="str">
        <f>'Resource Build-Up'!T8</f>
        <v/>
      </c>
      <c r="I9" s="44">
        <f>'Resource Build-Up'!Y8</f>
        <v>0</v>
      </c>
      <c r="J9" s="44" t="str">
        <f>'Resource Build-Up'!Z8</f>
        <v/>
      </c>
      <c r="K9" s="26"/>
      <c r="L9" s="26"/>
      <c r="M9" s="26"/>
      <c r="N9" s="26"/>
      <c r="O9" s="26"/>
      <c r="P9" s="26"/>
      <c r="Q9" s="26">
        <f t="shared" si="0"/>
        <v>0</v>
      </c>
      <c r="R9" s="26">
        <f>'Resource Build-Up'!AC8</f>
        <v>0</v>
      </c>
      <c r="S9" s="26">
        <f>'Resource Build-Up'!AF8</f>
        <v>0</v>
      </c>
      <c r="T9" s="99"/>
      <c r="U9" s="26"/>
      <c r="V9" s="26">
        <f>'Resource Build-Up'!AG8</f>
        <v>0</v>
      </c>
    </row>
    <row r="10" spans="1:22" ht="32.450000000000003" customHeight="1" x14ac:dyDescent="0.2">
      <c r="A10" s="98" t="s">
        <v>621</v>
      </c>
      <c r="B10" s="98" t="str">
        <f>'Resource Build-Up'!A9</f>
        <v/>
      </c>
      <c r="C10" s="98">
        <f>'Resource Build-Up'!B9</f>
        <v>0</v>
      </c>
      <c r="D10" s="26" t="str">
        <f>'Resource Build-Up'!C9</f>
        <v/>
      </c>
      <c r="E10" s="26">
        <f>'Resource Build-Up'!H9</f>
        <v>0</v>
      </c>
      <c r="F10" s="26">
        <f>'Resource Build-Up'!P9</f>
        <v>0</v>
      </c>
      <c r="G10" s="26" t="str">
        <f>'Resource Build-Up'!Q9</f>
        <v/>
      </c>
      <c r="H10" s="26" t="str">
        <f>'Resource Build-Up'!T9</f>
        <v/>
      </c>
      <c r="I10" s="44">
        <f>'Resource Build-Up'!Y9</f>
        <v>0</v>
      </c>
      <c r="J10" s="44" t="str">
        <f>'Resource Build-Up'!Z9</f>
        <v/>
      </c>
      <c r="K10" s="26"/>
      <c r="L10" s="26"/>
      <c r="M10" s="26"/>
      <c r="N10" s="26"/>
      <c r="O10" s="26"/>
      <c r="P10" s="26"/>
      <c r="Q10" s="26">
        <f t="shared" si="0"/>
        <v>0</v>
      </c>
      <c r="R10" s="26">
        <f>'Resource Build-Up'!AC9</f>
        <v>0</v>
      </c>
      <c r="S10" s="26">
        <f>'Resource Build-Up'!AF9</f>
        <v>0</v>
      </c>
      <c r="T10" s="99"/>
      <c r="U10" s="26"/>
      <c r="V10" s="26">
        <f>'Resource Build-Up'!AG9</f>
        <v>0</v>
      </c>
    </row>
    <row r="11" spans="1:22" ht="32.450000000000003" customHeight="1" x14ac:dyDescent="0.2">
      <c r="A11" s="98" t="s">
        <v>622</v>
      </c>
      <c r="B11" s="98" t="str">
        <f>'Resource Build-Up'!A10</f>
        <v/>
      </c>
      <c r="C11" s="98">
        <f>'Resource Build-Up'!B10</f>
        <v>0</v>
      </c>
      <c r="D11" s="26" t="str">
        <f>'Resource Build-Up'!C10</f>
        <v/>
      </c>
      <c r="E11" s="26">
        <f>'Resource Build-Up'!H10</f>
        <v>0</v>
      </c>
      <c r="F11" s="26">
        <f>'Resource Build-Up'!P10</f>
        <v>0</v>
      </c>
      <c r="G11" s="26" t="str">
        <f>'Resource Build-Up'!Q10</f>
        <v/>
      </c>
      <c r="H11" s="26" t="str">
        <f>'Resource Build-Up'!T10</f>
        <v/>
      </c>
      <c r="I11" s="44">
        <f>'Resource Build-Up'!Y10</f>
        <v>0</v>
      </c>
      <c r="J11" s="44" t="str">
        <f>'Resource Build-Up'!Z10</f>
        <v/>
      </c>
      <c r="K11" s="26"/>
      <c r="L11" s="26"/>
      <c r="M11" s="26"/>
      <c r="N11" s="26"/>
      <c r="O11" s="26"/>
      <c r="P11" s="26"/>
      <c r="Q11" s="26">
        <f t="shared" si="0"/>
        <v>0</v>
      </c>
      <c r="R11" s="26">
        <f>'Resource Build-Up'!AC10</f>
        <v>0</v>
      </c>
      <c r="S11" s="26">
        <f>'Resource Build-Up'!AF10</f>
        <v>0</v>
      </c>
      <c r="T11" s="99"/>
      <c r="U11" s="26"/>
      <c r="V11" s="26">
        <f>'Resource Build-Up'!AG10</f>
        <v>0</v>
      </c>
    </row>
    <row r="12" spans="1:22" ht="32.450000000000003" customHeight="1" x14ac:dyDescent="0.2">
      <c r="A12" s="98" t="s">
        <v>623</v>
      </c>
      <c r="B12" s="98" t="str">
        <f>'Resource Build-Up'!A11</f>
        <v/>
      </c>
      <c r="C12" s="98">
        <f>'Resource Build-Up'!B11</f>
        <v>0</v>
      </c>
      <c r="D12" s="26" t="str">
        <f>'Resource Build-Up'!C11</f>
        <v/>
      </c>
      <c r="E12" s="26">
        <f>'Resource Build-Up'!H11</f>
        <v>0</v>
      </c>
      <c r="F12" s="26">
        <f>'Resource Build-Up'!P11</f>
        <v>0</v>
      </c>
      <c r="G12" s="26" t="str">
        <f>'Resource Build-Up'!Q11</f>
        <v/>
      </c>
      <c r="H12" s="26" t="str">
        <f>'Resource Build-Up'!T11</f>
        <v/>
      </c>
      <c r="I12" s="44">
        <f>'Resource Build-Up'!Y11</f>
        <v>0</v>
      </c>
      <c r="J12" s="44" t="str">
        <f>'Resource Build-Up'!Z11</f>
        <v/>
      </c>
      <c r="K12" s="26"/>
      <c r="L12" s="26"/>
      <c r="M12" s="26"/>
      <c r="N12" s="26"/>
      <c r="O12" s="26"/>
      <c r="P12" s="26"/>
      <c r="Q12" s="26">
        <f t="shared" si="0"/>
        <v>0</v>
      </c>
      <c r="R12" s="26">
        <f>'Resource Build-Up'!AC11</f>
        <v>0</v>
      </c>
      <c r="S12" s="26">
        <f>'Resource Build-Up'!AF11</f>
        <v>0</v>
      </c>
      <c r="T12" s="99"/>
      <c r="U12" s="26"/>
      <c r="V12" s="26">
        <f>'Resource Build-Up'!AG11</f>
        <v>0</v>
      </c>
    </row>
    <row r="13" spans="1:22" ht="32.450000000000003" customHeight="1" x14ac:dyDescent="0.2">
      <c r="A13" s="98" t="s">
        <v>624</v>
      </c>
      <c r="B13" s="98" t="str">
        <f>'Resource Build-Up'!A12</f>
        <v/>
      </c>
      <c r="C13" s="98">
        <f>'Resource Build-Up'!B12</f>
        <v>0</v>
      </c>
      <c r="D13" s="26" t="str">
        <f>'Resource Build-Up'!C12</f>
        <v/>
      </c>
      <c r="E13" s="26">
        <f>'Resource Build-Up'!H12</f>
        <v>0</v>
      </c>
      <c r="F13" s="26">
        <f>'Resource Build-Up'!P12</f>
        <v>0</v>
      </c>
      <c r="G13" s="26" t="str">
        <f>'Resource Build-Up'!Q12</f>
        <v/>
      </c>
      <c r="H13" s="26" t="str">
        <f>'Resource Build-Up'!T12</f>
        <v/>
      </c>
      <c r="I13" s="44">
        <f>'Resource Build-Up'!Y12</f>
        <v>0</v>
      </c>
      <c r="J13" s="44" t="str">
        <f>'Resource Build-Up'!Z12</f>
        <v/>
      </c>
      <c r="K13" s="26"/>
      <c r="L13" s="26"/>
      <c r="M13" s="26"/>
      <c r="N13" s="26"/>
      <c r="O13" s="26"/>
      <c r="P13" s="26"/>
      <c r="Q13" s="26">
        <f t="shared" si="0"/>
        <v>0</v>
      </c>
      <c r="R13" s="26">
        <f>'Resource Build-Up'!AC12</f>
        <v>0</v>
      </c>
      <c r="S13" s="26">
        <f>'Resource Build-Up'!AF12</f>
        <v>0</v>
      </c>
      <c r="T13" s="99"/>
      <c r="U13" s="26"/>
      <c r="V13" s="26">
        <f>'Resource Build-Up'!AG12</f>
        <v>0</v>
      </c>
    </row>
    <row r="14" spans="1:22" ht="32.450000000000003" customHeight="1" x14ac:dyDescent="0.2">
      <c r="A14" s="98" t="s">
        <v>625</v>
      </c>
      <c r="B14" s="98" t="str">
        <f>'Resource Build-Up'!A13</f>
        <v/>
      </c>
      <c r="C14" s="98">
        <f>'Resource Build-Up'!B13</f>
        <v>0</v>
      </c>
      <c r="D14" s="26" t="str">
        <f>'Resource Build-Up'!C13</f>
        <v/>
      </c>
      <c r="E14" s="26">
        <f>'Resource Build-Up'!H13</f>
        <v>0</v>
      </c>
      <c r="F14" s="26">
        <f>'Resource Build-Up'!P13</f>
        <v>0</v>
      </c>
      <c r="G14" s="26" t="str">
        <f>'Resource Build-Up'!Q13</f>
        <v/>
      </c>
      <c r="H14" s="26" t="str">
        <f>'Resource Build-Up'!T13</f>
        <v/>
      </c>
      <c r="I14" s="44">
        <f>'Resource Build-Up'!Y13</f>
        <v>0</v>
      </c>
      <c r="J14" s="44" t="str">
        <f>'Resource Build-Up'!Z13</f>
        <v/>
      </c>
      <c r="K14" s="26"/>
      <c r="L14" s="26"/>
      <c r="M14" s="26"/>
      <c r="N14" s="26"/>
      <c r="O14" s="26"/>
      <c r="P14" s="26"/>
      <c r="Q14" s="26">
        <f t="shared" si="0"/>
        <v>0</v>
      </c>
      <c r="R14" s="26">
        <f>'Resource Build-Up'!AC13</f>
        <v>0</v>
      </c>
      <c r="S14" s="26">
        <f>'Resource Build-Up'!AF13</f>
        <v>0</v>
      </c>
      <c r="T14" s="100"/>
      <c r="U14" s="26"/>
      <c r="V14" s="26">
        <f>'Resource Build-Up'!AG13</f>
        <v>0</v>
      </c>
    </row>
    <row r="15" spans="1:22" ht="32.450000000000003" customHeight="1" x14ac:dyDescent="0.2">
      <c r="A15" s="98" t="s">
        <v>626</v>
      </c>
      <c r="B15" s="98" t="str">
        <f>'Resource Build-Up'!A14</f>
        <v/>
      </c>
      <c r="C15" s="98">
        <f>'Resource Build-Up'!B14</f>
        <v>0</v>
      </c>
      <c r="D15" s="26" t="str">
        <f>'Resource Build-Up'!C14</f>
        <v/>
      </c>
      <c r="E15" s="26">
        <f>'Resource Build-Up'!H14</f>
        <v>0</v>
      </c>
      <c r="F15" s="26">
        <f>'Resource Build-Up'!P14</f>
        <v>0</v>
      </c>
      <c r="G15" s="26" t="str">
        <f>'Resource Build-Up'!Q14</f>
        <v/>
      </c>
      <c r="H15" s="26" t="str">
        <f>'Resource Build-Up'!T14</f>
        <v/>
      </c>
      <c r="I15" s="44">
        <f>'Resource Build-Up'!Y14</f>
        <v>0</v>
      </c>
      <c r="J15" s="44" t="str">
        <f>'Resource Build-Up'!Z14</f>
        <v/>
      </c>
      <c r="K15" s="26"/>
      <c r="L15" s="26"/>
      <c r="M15" s="26"/>
      <c r="N15" s="26"/>
      <c r="O15" s="26"/>
      <c r="P15" s="26"/>
      <c r="Q15" s="26">
        <f t="shared" si="0"/>
        <v>0</v>
      </c>
      <c r="R15" s="26">
        <f>'Resource Build-Up'!AC14</f>
        <v>0</v>
      </c>
      <c r="S15" s="26">
        <f>'Resource Build-Up'!AF14</f>
        <v>0</v>
      </c>
      <c r="T15" s="100"/>
      <c r="U15" s="26"/>
      <c r="V15" s="26">
        <f>'Resource Build-Up'!AG14</f>
        <v>0</v>
      </c>
    </row>
    <row r="16" spans="1:22" ht="32.450000000000003" customHeight="1" x14ac:dyDescent="0.2">
      <c r="A16" s="98" t="s">
        <v>627</v>
      </c>
      <c r="B16" s="98" t="str">
        <f>'Resource Build-Up'!A15</f>
        <v/>
      </c>
      <c r="C16" s="98">
        <f>'Resource Build-Up'!B15</f>
        <v>0</v>
      </c>
      <c r="D16" s="26" t="str">
        <f>'Resource Build-Up'!C15</f>
        <v/>
      </c>
      <c r="E16" s="26">
        <f>'Resource Build-Up'!H15</f>
        <v>0</v>
      </c>
      <c r="F16" s="26">
        <f>'Resource Build-Up'!P15</f>
        <v>0</v>
      </c>
      <c r="G16" s="26" t="str">
        <f>'Resource Build-Up'!Q15</f>
        <v/>
      </c>
      <c r="H16" s="26" t="str">
        <f>'Resource Build-Up'!T15</f>
        <v/>
      </c>
      <c r="I16" s="44">
        <f>'Resource Build-Up'!Y15</f>
        <v>0</v>
      </c>
      <c r="J16" s="44" t="str">
        <f>'Resource Build-Up'!Z15</f>
        <v/>
      </c>
      <c r="K16" s="26"/>
      <c r="L16" s="26"/>
      <c r="M16" s="26"/>
      <c r="N16" s="26"/>
      <c r="O16" s="26"/>
      <c r="P16" s="26"/>
      <c r="Q16" s="26">
        <f t="shared" si="0"/>
        <v>0</v>
      </c>
      <c r="R16" s="26">
        <f>'Resource Build-Up'!AC15</f>
        <v>0</v>
      </c>
      <c r="S16" s="26">
        <f>'Resource Build-Up'!AF15</f>
        <v>0</v>
      </c>
      <c r="T16" s="100"/>
      <c r="U16" s="26"/>
      <c r="V16" s="26">
        <f>'Resource Build-Up'!AG15</f>
        <v>0</v>
      </c>
    </row>
    <row r="17" spans="1:22" ht="32.450000000000003" customHeight="1" x14ac:dyDescent="0.2">
      <c r="A17" s="98" t="s">
        <v>628</v>
      </c>
      <c r="B17" s="98" t="str">
        <f>'Resource Build-Up'!A16</f>
        <v/>
      </c>
      <c r="C17" s="98">
        <f>'Resource Build-Up'!B16</f>
        <v>0</v>
      </c>
      <c r="D17" s="26" t="str">
        <f>'Resource Build-Up'!C16</f>
        <v/>
      </c>
      <c r="E17" s="26">
        <f>'Resource Build-Up'!H16</f>
        <v>0</v>
      </c>
      <c r="F17" s="26">
        <f>'Resource Build-Up'!P16</f>
        <v>0</v>
      </c>
      <c r="G17" s="26" t="str">
        <f>'Resource Build-Up'!Q16</f>
        <v/>
      </c>
      <c r="H17" s="26" t="str">
        <f>'Resource Build-Up'!T16</f>
        <v/>
      </c>
      <c r="I17" s="44">
        <f>'Resource Build-Up'!Y16</f>
        <v>0</v>
      </c>
      <c r="J17" s="44" t="str">
        <f>'Resource Build-Up'!Z16</f>
        <v/>
      </c>
      <c r="K17" s="26"/>
      <c r="L17" s="26"/>
      <c r="M17" s="26"/>
      <c r="N17" s="26"/>
      <c r="O17" s="26"/>
      <c r="P17" s="26"/>
      <c r="Q17" s="26">
        <f t="shared" si="0"/>
        <v>0</v>
      </c>
      <c r="R17" s="26">
        <f>'Resource Build-Up'!AC16</f>
        <v>0</v>
      </c>
      <c r="S17" s="26">
        <f>'Resource Build-Up'!AF16</f>
        <v>0</v>
      </c>
      <c r="T17" s="100"/>
      <c r="U17" s="26"/>
      <c r="V17" s="26">
        <f>'Resource Build-Up'!AG16</f>
        <v>0</v>
      </c>
    </row>
    <row r="18" spans="1:22" ht="32.450000000000003" customHeight="1" x14ac:dyDescent="0.2">
      <c r="A18" s="98" t="s">
        <v>629</v>
      </c>
      <c r="B18" s="98" t="str">
        <f>'Resource Build-Up'!A17</f>
        <v/>
      </c>
      <c r="C18" s="98">
        <f>'Resource Build-Up'!B17</f>
        <v>0</v>
      </c>
      <c r="D18" s="26" t="str">
        <f>'Resource Build-Up'!C17</f>
        <v/>
      </c>
      <c r="E18" s="26">
        <f>'Resource Build-Up'!H17</f>
        <v>0</v>
      </c>
      <c r="F18" s="26">
        <f>'Resource Build-Up'!P17</f>
        <v>0</v>
      </c>
      <c r="G18" s="26" t="str">
        <f>'Resource Build-Up'!Q17</f>
        <v/>
      </c>
      <c r="H18" s="26" t="str">
        <f>'Resource Build-Up'!T17</f>
        <v/>
      </c>
      <c r="I18" s="44">
        <f>'Resource Build-Up'!Y17</f>
        <v>0</v>
      </c>
      <c r="J18" s="44" t="str">
        <f>'Resource Build-Up'!Z17</f>
        <v/>
      </c>
      <c r="K18" s="26"/>
      <c r="L18" s="26"/>
      <c r="M18" s="26"/>
      <c r="N18" s="26"/>
      <c r="O18" s="26"/>
      <c r="P18" s="26"/>
      <c r="Q18" s="26">
        <f t="shared" si="0"/>
        <v>0</v>
      </c>
      <c r="R18" s="26">
        <f>'Resource Build-Up'!AC17</f>
        <v>0</v>
      </c>
      <c r="S18" s="26">
        <f>'Resource Build-Up'!AF17</f>
        <v>0</v>
      </c>
      <c r="T18" s="99"/>
      <c r="U18" s="26"/>
      <c r="V18" s="26">
        <f>'Resource Build-Up'!AG17</f>
        <v>0</v>
      </c>
    </row>
    <row r="19" spans="1:22" ht="32.450000000000003" customHeight="1" x14ac:dyDescent="0.2">
      <c r="A19" s="98" t="s">
        <v>630</v>
      </c>
      <c r="B19" s="98" t="str">
        <f>'Resource Build-Up'!A18</f>
        <v/>
      </c>
      <c r="C19" s="98">
        <f>'Resource Build-Up'!B18</f>
        <v>0</v>
      </c>
      <c r="D19" s="26" t="str">
        <f>'Resource Build-Up'!C18</f>
        <v/>
      </c>
      <c r="E19" s="26">
        <f>'Resource Build-Up'!H18</f>
        <v>0</v>
      </c>
      <c r="F19" s="26">
        <f>'Resource Build-Up'!P18</f>
        <v>0</v>
      </c>
      <c r="G19" s="26" t="str">
        <f>'Resource Build-Up'!Q18</f>
        <v/>
      </c>
      <c r="H19" s="26" t="str">
        <f>'Resource Build-Up'!T18</f>
        <v/>
      </c>
      <c r="I19" s="44">
        <f>'Resource Build-Up'!Y18</f>
        <v>0</v>
      </c>
      <c r="J19" s="44" t="str">
        <f>'Resource Build-Up'!Z18</f>
        <v/>
      </c>
      <c r="K19" s="26"/>
      <c r="L19" s="26"/>
      <c r="M19" s="26"/>
      <c r="N19" s="26"/>
      <c r="O19" s="26"/>
      <c r="P19" s="26"/>
      <c r="Q19" s="26">
        <f t="shared" si="0"/>
        <v>0</v>
      </c>
      <c r="R19" s="26">
        <f>'Resource Build-Up'!AC18</f>
        <v>0</v>
      </c>
      <c r="S19" s="26">
        <f>'Resource Build-Up'!AF18</f>
        <v>0</v>
      </c>
      <c r="T19" s="99"/>
      <c r="U19" s="26"/>
      <c r="V19" s="26">
        <f>'Resource Build-Up'!AG18</f>
        <v>0</v>
      </c>
    </row>
    <row r="20" spans="1:22" ht="32.450000000000003" customHeight="1" x14ac:dyDescent="0.2">
      <c r="A20" s="98" t="s">
        <v>631</v>
      </c>
      <c r="B20" s="98" t="str">
        <f>'Resource Build-Up'!A19</f>
        <v/>
      </c>
      <c r="C20" s="98">
        <f>'Resource Build-Up'!B19</f>
        <v>0</v>
      </c>
      <c r="D20" s="26" t="str">
        <f>'Resource Build-Up'!C19</f>
        <v/>
      </c>
      <c r="E20" s="26">
        <f>'Resource Build-Up'!H19</f>
        <v>0</v>
      </c>
      <c r="F20" s="26">
        <f>'Resource Build-Up'!P19</f>
        <v>0</v>
      </c>
      <c r="G20" s="26" t="str">
        <f>'Resource Build-Up'!Q19</f>
        <v/>
      </c>
      <c r="H20" s="26" t="str">
        <f>'Resource Build-Up'!T19</f>
        <v/>
      </c>
      <c r="I20" s="44">
        <f>'Resource Build-Up'!Y19</f>
        <v>0</v>
      </c>
      <c r="J20" s="44" t="str">
        <f>'Resource Build-Up'!Z19</f>
        <v/>
      </c>
      <c r="K20" s="26"/>
      <c r="L20" s="26"/>
      <c r="M20" s="26"/>
      <c r="N20" s="26"/>
      <c r="O20" s="26"/>
      <c r="P20" s="26"/>
      <c r="Q20" s="26">
        <f t="shared" si="0"/>
        <v>0</v>
      </c>
      <c r="R20" s="26">
        <f>'Resource Build-Up'!AC19</f>
        <v>0</v>
      </c>
      <c r="S20" s="26">
        <f>'Resource Build-Up'!AF19</f>
        <v>0</v>
      </c>
      <c r="T20" s="100"/>
      <c r="U20" s="26"/>
      <c r="V20" s="26">
        <f>'Resource Build-Up'!AG19</f>
        <v>0</v>
      </c>
    </row>
    <row r="21" spans="1:22" ht="32.450000000000003" customHeight="1" x14ac:dyDescent="0.2">
      <c r="A21" s="98" t="s">
        <v>632</v>
      </c>
      <c r="B21" s="98" t="str">
        <f>'Resource Build-Up'!A20</f>
        <v/>
      </c>
      <c r="C21" s="98">
        <f>'Resource Build-Up'!B20</f>
        <v>0</v>
      </c>
      <c r="D21" s="26" t="str">
        <f>'Resource Build-Up'!C20</f>
        <v/>
      </c>
      <c r="E21" s="26">
        <f>'Resource Build-Up'!H20</f>
        <v>0</v>
      </c>
      <c r="F21" s="26">
        <f>'Resource Build-Up'!P20</f>
        <v>0</v>
      </c>
      <c r="G21" s="26" t="str">
        <f>'Resource Build-Up'!Q20</f>
        <v/>
      </c>
      <c r="H21" s="26" t="str">
        <f>'Resource Build-Up'!T20</f>
        <v/>
      </c>
      <c r="I21" s="44">
        <f>'Resource Build-Up'!Y20</f>
        <v>0</v>
      </c>
      <c r="J21" s="44" t="str">
        <f>'Resource Build-Up'!Z20</f>
        <v/>
      </c>
      <c r="K21" s="26"/>
      <c r="L21" s="26"/>
      <c r="M21" s="26"/>
      <c r="N21" s="26"/>
      <c r="O21" s="26"/>
      <c r="P21" s="26"/>
      <c r="Q21" s="26">
        <f t="shared" si="0"/>
        <v>0</v>
      </c>
      <c r="R21" s="26">
        <f>'Resource Build-Up'!AC20</f>
        <v>0</v>
      </c>
      <c r="S21" s="26">
        <f>'Resource Build-Up'!AF20</f>
        <v>0</v>
      </c>
      <c r="T21" s="100"/>
      <c r="U21" s="26"/>
      <c r="V21" s="26">
        <f>'Resource Build-Up'!AG20</f>
        <v>0</v>
      </c>
    </row>
    <row r="22" spans="1:22" ht="32.450000000000003" customHeight="1" x14ac:dyDescent="0.2">
      <c r="A22" s="98" t="s">
        <v>633</v>
      </c>
      <c r="B22" s="98" t="str">
        <f>'Resource Build-Up'!A21</f>
        <v/>
      </c>
      <c r="C22" s="98">
        <f>'Resource Build-Up'!B21</f>
        <v>0</v>
      </c>
      <c r="D22" s="26" t="str">
        <f>'Resource Build-Up'!C21</f>
        <v/>
      </c>
      <c r="E22" s="26">
        <f>'Resource Build-Up'!H21</f>
        <v>0</v>
      </c>
      <c r="F22" s="26">
        <f>'Resource Build-Up'!P21</f>
        <v>0</v>
      </c>
      <c r="G22" s="26" t="str">
        <f>'Resource Build-Up'!Q21</f>
        <v/>
      </c>
      <c r="H22" s="26" t="str">
        <f>'Resource Build-Up'!T21</f>
        <v/>
      </c>
      <c r="I22" s="44">
        <f>'Resource Build-Up'!Y21</f>
        <v>0</v>
      </c>
      <c r="J22" s="44" t="str">
        <f>'Resource Build-Up'!Z21</f>
        <v/>
      </c>
      <c r="K22" s="26"/>
      <c r="L22" s="26"/>
      <c r="M22" s="26"/>
      <c r="N22" s="26"/>
      <c r="O22" s="26"/>
      <c r="P22" s="26"/>
      <c r="Q22" s="26">
        <f t="shared" si="0"/>
        <v>0</v>
      </c>
      <c r="R22" s="26">
        <f>'Resource Build-Up'!AC21</f>
        <v>0</v>
      </c>
      <c r="S22" s="26">
        <f>'Resource Build-Up'!AF21</f>
        <v>0</v>
      </c>
      <c r="T22" s="99"/>
      <c r="U22" s="26"/>
      <c r="V22" s="26">
        <f>'Resource Build-Up'!AG21</f>
        <v>0</v>
      </c>
    </row>
    <row r="23" spans="1:22" ht="32.450000000000003" customHeight="1" x14ac:dyDescent="0.2">
      <c r="A23" s="98" t="s">
        <v>634</v>
      </c>
      <c r="B23" s="98" t="str">
        <f>'Resource Build-Up'!A22</f>
        <v/>
      </c>
      <c r="C23" s="98">
        <f>'Resource Build-Up'!B22</f>
        <v>0</v>
      </c>
      <c r="D23" s="26" t="str">
        <f>'Resource Build-Up'!C22</f>
        <v/>
      </c>
      <c r="E23" s="26">
        <f>'Resource Build-Up'!H22</f>
        <v>0</v>
      </c>
      <c r="F23" s="26">
        <f>'Resource Build-Up'!P22</f>
        <v>0</v>
      </c>
      <c r="G23" s="26" t="str">
        <f>'Resource Build-Up'!Q22</f>
        <v/>
      </c>
      <c r="H23" s="26" t="str">
        <f>'Resource Build-Up'!T22</f>
        <v/>
      </c>
      <c r="I23" s="44">
        <f>'Resource Build-Up'!Y22</f>
        <v>0</v>
      </c>
      <c r="J23" s="44" t="str">
        <f>'Resource Build-Up'!Z22</f>
        <v/>
      </c>
      <c r="K23" s="26"/>
      <c r="L23" s="26"/>
      <c r="M23" s="26"/>
      <c r="N23" s="26"/>
      <c r="O23" s="26"/>
      <c r="P23" s="26"/>
      <c r="Q23" s="26">
        <f t="shared" si="0"/>
        <v>0</v>
      </c>
      <c r="R23" s="26">
        <f>'Resource Build-Up'!AC22</f>
        <v>0</v>
      </c>
      <c r="S23" s="26">
        <f>'Resource Build-Up'!AF22</f>
        <v>0</v>
      </c>
      <c r="T23" s="100"/>
      <c r="U23" s="26"/>
      <c r="V23" s="26">
        <f>'Resource Build-Up'!AG22</f>
        <v>0</v>
      </c>
    </row>
    <row r="24" spans="1:22" ht="32.450000000000003" customHeight="1" x14ac:dyDescent="0.2">
      <c r="A24" s="98" t="s">
        <v>635</v>
      </c>
      <c r="B24" s="98" t="str">
        <f>'Resource Build-Up'!A23</f>
        <v/>
      </c>
      <c r="C24" s="98">
        <f>'Resource Build-Up'!B23</f>
        <v>0</v>
      </c>
      <c r="D24" s="26" t="str">
        <f>'Resource Build-Up'!C23</f>
        <v/>
      </c>
      <c r="E24" s="26">
        <f>'Resource Build-Up'!H23</f>
        <v>0</v>
      </c>
      <c r="F24" s="26">
        <f>'Resource Build-Up'!P23</f>
        <v>0</v>
      </c>
      <c r="G24" s="26" t="str">
        <f>'Resource Build-Up'!Q23</f>
        <v/>
      </c>
      <c r="H24" s="26" t="str">
        <f>'Resource Build-Up'!T23</f>
        <v/>
      </c>
      <c r="I24" s="44">
        <f>'Resource Build-Up'!Y23</f>
        <v>0</v>
      </c>
      <c r="J24" s="44" t="str">
        <f>'Resource Build-Up'!Z23</f>
        <v/>
      </c>
      <c r="K24" s="26"/>
      <c r="L24" s="26"/>
      <c r="M24" s="26"/>
      <c r="N24" s="26"/>
      <c r="O24" s="26"/>
      <c r="P24" s="26"/>
      <c r="Q24" s="26">
        <f t="shared" si="0"/>
        <v>0</v>
      </c>
      <c r="R24" s="26">
        <f>'Resource Build-Up'!AC23</f>
        <v>0</v>
      </c>
      <c r="S24" s="26">
        <f>'Resource Build-Up'!AF23</f>
        <v>0</v>
      </c>
      <c r="T24" s="99"/>
      <c r="U24" s="26"/>
      <c r="V24" s="26">
        <f>'Resource Build-Up'!AG23</f>
        <v>0</v>
      </c>
    </row>
    <row r="25" spans="1:22" ht="32.450000000000003" customHeight="1" x14ac:dyDescent="0.2">
      <c r="A25" s="98" t="s">
        <v>636</v>
      </c>
      <c r="B25" s="98" t="str">
        <f>'Resource Build-Up'!A24</f>
        <v/>
      </c>
      <c r="C25" s="98">
        <f>'Resource Build-Up'!B24</f>
        <v>0</v>
      </c>
      <c r="D25" s="26" t="str">
        <f>'Resource Build-Up'!C24</f>
        <v/>
      </c>
      <c r="E25" s="26">
        <f>'Resource Build-Up'!H24</f>
        <v>0</v>
      </c>
      <c r="F25" s="26">
        <f>'Resource Build-Up'!P24</f>
        <v>0</v>
      </c>
      <c r="G25" s="26" t="str">
        <f>'Resource Build-Up'!Q24</f>
        <v/>
      </c>
      <c r="H25" s="26" t="str">
        <f>'Resource Build-Up'!T24</f>
        <v/>
      </c>
      <c r="I25" s="44">
        <f>'Resource Build-Up'!Y24</f>
        <v>0</v>
      </c>
      <c r="J25" s="44" t="str">
        <f>'Resource Build-Up'!Z24</f>
        <v/>
      </c>
      <c r="K25" s="26"/>
      <c r="L25" s="26"/>
      <c r="M25" s="26"/>
      <c r="N25" s="26"/>
      <c r="O25" s="26"/>
      <c r="P25" s="26"/>
      <c r="Q25" s="26">
        <f t="shared" si="0"/>
        <v>0</v>
      </c>
      <c r="R25" s="26">
        <f>'Resource Build-Up'!AC24</f>
        <v>0</v>
      </c>
      <c r="S25" s="26">
        <f>'Resource Build-Up'!AF24</f>
        <v>0</v>
      </c>
      <c r="T25" s="99"/>
      <c r="U25" s="26"/>
      <c r="V25" s="26">
        <f>'Resource Build-Up'!AG24</f>
        <v>0</v>
      </c>
    </row>
    <row r="26" spans="1:22" ht="32.450000000000003" customHeight="1" x14ac:dyDescent="0.2">
      <c r="A26" s="98" t="s">
        <v>637</v>
      </c>
      <c r="B26" s="98" t="str">
        <f>'Resource Build-Up'!A25</f>
        <v/>
      </c>
      <c r="C26" s="98">
        <f>'Resource Build-Up'!B25</f>
        <v>0</v>
      </c>
      <c r="D26" s="26" t="str">
        <f>'Resource Build-Up'!C25</f>
        <v/>
      </c>
      <c r="E26" s="26">
        <f>'Resource Build-Up'!H25</f>
        <v>0</v>
      </c>
      <c r="F26" s="26">
        <f>'Resource Build-Up'!P25</f>
        <v>0</v>
      </c>
      <c r="G26" s="26" t="str">
        <f>'Resource Build-Up'!Q25</f>
        <v/>
      </c>
      <c r="H26" s="26" t="str">
        <f>'Resource Build-Up'!T25</f>
        <v/>
      </c>
      <c r="I26" s="44">
        <f>'Resource Build-Up'!Y25</f>
        <v>0</v>
      </c>
      <c r="J26" s="44" t="str">
        <f>'Resource Build-Up'!Z25</f>
        <v/>
      </c>
      <c r="K26" s="26"/>
      <c r="L26" s="26"/>
      <c r="M26" s="26"/>
      <c r="N26" s="26"/>
      <c r="O26" s="26"/>
      <c r="P26" s="26"/>
      <c r="Q26" s="26">
        <f t="shared" si="0"/>
        <v>0</v>
      </c>
      <c r="R26" s="26">
        <f>'Resource Build-Up'!AC25</f>
        <v>0</v>
      </c>
      <c r="S26" s="26">
        <f>'Resource Build-Up'!AF25</f>
        <v>0</v>
      </c>
      <c r="T26" s="99"/>
      <c r="U26" s="26"/>
      <c r="V26" s="26">
        <f>'Resource Build-Up'!AG25</f>
        <v>0</v>
      </c>
    </row>
    <row r="27" spans="1:22" ht="32.450000000000003" customHeight="1" x14ac:dyDescent="0.2">
      <c r="A27" s="98" t="s">
        <v>638</v>
      </c>
      <c r="B27" s="98" t="str">
        <f>'Resource Build-Up'!A26</f>
        <v/>
      </c>
      <c r="C27" s="98">
        <f>'Resource Build-Up'!B26</f>
        <v>0</v>
      </c>
      <c r="D27" s="26" t="str">
        <f>'Resource Build-Up'!C26</f>
        <v/>
      </c>
      <c r="E27" s="26">
        <f>'Resource Build-Up'!H26</f>
        <v>0</v>
      </c>
      <c r="F27" s="26">
        <f>'Resource Build-Up'!P26</f>
        <v>0</v>
      </c>
      <c r="G27" s="26" t="str">
        <f>'Resource Build-Up'!Q26</f>
        <v/>
      </c>
      <c r="H27" s="26" t="str">
        <f>'Resource Build-Up'!T26</f>
        <v/>
      </c>
      <c r="I27" s="44">
        <f>'Resource Build-Up'!Y26</f>
        <v>0</v>
      </c>
      <c r="J27" s="44" t="str">
        <f>'Resource Build-Up'!Z26</f>
        <v/>
      </c>
      <c r="K27" s="26"/>
      <c r="L27" s="26"/>
      <c r="M27" s="26"/>
      <c r="N27" s="26"/>
      <c r="O27" s="26"/>
      <c r="P27" s="26"/>
      <c r="Q27" s="26">
        <f t="shared" si="0"/>
        <v>0</v>
      </c>
      <c r="R27" s="26">
        <f>'Resource Build-Up'!AC26</f>
        <v>0</v>
      </c>
      <c r="S27" s="26">
        <f>'Resource Build-Up'!AF26</f>
        <v>0</v>
      </c>
      <c r="T27" s="99"/>
      <c r="U27" s="26"/>
      <c r="V27" s="26">
        <f>'Resource Build-Up'!AG26</f>
        <v>0</v>
      </c>
    </row>
    <row r="28" spans="1:22" ht="32.450000000000003" customHeight="1" x14ac:dyDescent="0.2">
      <c r="A28" s="98" t="s">
        <v>639</v>
      </c>
      <c r="B28" s="98" t="str">
        <f>'Resource Build-Up'!A27</f>
        <v/>
      </c>
      <c r="C28" s="98">
        <f>'Resource Build-Up'!B27</f>
        <v>0</v>
      </c>
      <c r="D28" s="26" t="str">
        <f>'Resource Build-Up'!C27</f>
        <v/>
      </c>
      <c r="E28" s="26">
        <f>'Resource Build-Up'!H27</f>
        <v>0</v>
      </c>
      <c r="F28" s="26">
        <f>'Resource Build-Up'!P27</f>
        <v>0</v>
      </c>
      <c r="G28" s="26" t="str">
        <f>'Resource Build-Up'!Q27</f>
        <v/>
      </c>
      <c r="H28" s="26" t="str">
        <f>'Resource Build-Up'!T27</f>
        <v/>
      </c>
      <c r="I28" s="44">
        <f>'Resource Build-Up'!Y27</f>
        <v>0</v>
      </c>
      <c r="J28" s="44" t="str">
        <f>'Resource Build-Up'!Z27</f>
        <v/>
      </c>
      <c r="K28" s="26"/>
      <c r="L28" s="26"/>
      <c r="M28" s="26"/>
      <c r="N28" s="26"/>
      <c r="O28" s="26"/>
      <c r="P28" s="26"/>
      <c r="Q28" s="26">
        <f t="shared" si="0"/>
        <v>0</v>
      </c>
      <c r="R28" s="26">
        <f>'Resource Build-Up'!AC27</f>
        <v>0</v>
      </c>
      <c r="S28" s="26">
        <f>'Resource Build-Up'!AF27</f>
        <v>0</v>
      </c>
      <c r="T28" s="101"/>
      <c r="U28" s="26"/>
      <c r="V28" s="26">
        <f>'Resource Build-Up'!AG27</f>
        <v>0</v>
      </c>
    </row>
    <row r="29" spans="1:22" ht="32.450000000000003" customHeight="1" x14ac:dyDescent="0.2">
      <c r="A29" s="98" t="s">
        <v>640</v>
      </c>
      <c r="B29" s="98" t="str">
        <f>'Resource Build-Up'!A28</f>
        <v/>
      </c>
      <c r="C29" s="98">
        <f>'Resource Build-Up'!B28</f>
        <v>0</v>
      </c>
      <c r="D29" s="26" t="str">
        <f>'Resource Build-Up'!C28</f>
        <v/>
      </c>
      <c r="E29" s="26">
        <f>'Resource Build-Up'!H28</f>
        <v>0</v>
      </c>
      <c r="F29" s="26">
        <f>'Resource Build-Up'!P28</f>
        <v>0</v>
      </c>
      <c r="G29" s="26" t="str">
        <f>'Resource Build-Up'!Q28</f>
        <v/>
      </c>
      <c r="H29" s="26" t="str">
        <f>'Resource Build-Up'!T28</f>
        <v/>
      </c>
      <c r="I29" s="44">
        <f>'Resource Build-Up'!Y28</f>
        <v>0</v>
      </c>
      <c r="J29" s="44" t="str">
        <f>'Resource Build-Up'!Z28</f>
        <v/>
      </c>
      <c r="K29" s="26"/>
      <c r="L29" s="26"/>
      <c r="M29" s="26"/>
      <c r="N29" s="26"/>
      <c r="O29" s="26"/>
      <c r="P29" s="26"/>
      <c r="Q29" s="26">
        <f t="shared" si="0"/>
        <v>0</v>
      </c>
      <c r="R29" s="26">
        <f>'Resource Build-Up'!AC28</f>
        <v>0</v>
      </c>
      <c r="S29" s="26">
        <f>'Resource Build-Up'!AF28</f>
        <v>0</v>
      </c>
      <c r="T29" s="101"/>
      <c r="U29" s="26"/>
      <c r="V29" s="26">
        <f>'Resource Build-Up'!AG28</f>
        <v>0</v>
      </c>
    </row>
    <row r="30" spans="1:22" ht="32.450000000000003" customHeight="1" x14ac:dyDescent="0.2">
      <c r="A30" s="98" t="s">
        <v>641</v>
      </c>
      <c r="B30" s="98" t="str">
        <f>'Resource Build-Up'!A29</f>
        <v/>
      </c>
      <c r="C30" s="98">
        <f>'Resource Build-Up'!B29</f>
        <v>0</v>
      </c>
      <c r="D30" s="26" t="str">
        <f>'Resource Build-Up'!C29</f>
        <v/>
      </c>
      <c r="E30" s="26">
        <f>'Resource Build-Up'!H29</f>
        <v>0</v>
      </c>
      <c r="F30" s="26">
        <f>'Resource Build-Up'!P29</f>
        <v>0</v>
      </c>
      <c r="G30" s="26" t="str">
        <f>'Resource Build-Up'!Q29</f>
        <v/>
      </c>
      <c r="H30" s="26" t="str">
        <f>'Resource Build-Up'!T29</f>
        <v/>
      </c>
      <c r="I30" s="44">
        <f>'Resource Build-Up'!Y29</f>
        <v>0</v>
      </c>
      <c r="J30" s="44" t="str">
        <f>'Resource Build-Up'!Z29</f>
        <v/>
      </c>
      <c r="K30" s="26"/>
      <c r="L30" s="26"/>
      <c r="M30" s="26"/>
      <c r="N30" s="26"/>
      <c r="O30" s="26"/>
      <c r="P30" s="26"/>
      <c r="Q30" s="26">
        <f t="shared" si="0"/>
        <v>0</v>
      </c>
      <c r="R30" s="26">
        <f>'Resource Build-Up'!AC29</f>
        <v>0</v>
      </c>
      <c r="S30" s="26">
        <f>'Resource Build-Up'!AF29</f>
        <v>0</v>
      </c>
      <c r="T30" s="101"/>
      <c r="U30" s="26"/>
      <c r="V30" s="26">
        <f>'Resource Build-Up'!AG29</f>
        <v>0</v>
      </c>
    </row>
    <row r="31" spans="1:22" ht="32.450000000000003" customHeight="1" x14ac:dyDescent="0.2">
      <c r="A31" s="98" t="s">
        <v>642</v>
      </c>
      <c r="B31" s="98" t="str">
        <f>'Resource Build-Up'!A30</f>
        <v/>
      </c>
      <c r="C31" s="98">
        <f>'Resource Build-Up'!B30</f>
        <v>0</v>
      </c>
      <c r="D31" s="26" t="str">
        <f>'Resource Build-Up'!C30</f>
        <v/>
      </c>
      <c r="E31" s="26">
        <f>'Resource Build-Up'!H30</f>
        <v>0</v>
      </c>
      <c r="F31" s="26">
        <f>'Resource Build-Up'!P30</f>
        <v>0</v>
      </c>
      <c r="G31" s="26" t="str">
        <f>'Resource Build-Up'!Q30</f>
        <v/>
      </c>
      <c r="H31" s="26" t="str">
        <f>'Resource Build-Up'!T30</f>
        <v/>
      </c>
      <c r="I31" s="44">
        <f>'Resource Build-Up'!Y30</f>
        <v>0</v>
      </c>
      <c r="J31" s="44" t="str">
        <f>'Resource Build-Up'!Z30</f>
        <v/>
      </c>
      <c r="K31" s="26"/>
      <c r="L31" s="26"/>
      <c r="M31" s="26"/>
      <c r="N31" s="26"/>
      <c r="O31" s="26"/>
      <c r="P31" s="26"/>
      <c r="Q31" s="26">
        <f t="shared" si="0"/>
        <v>0</v>
      </c>
      <c r="R31" s="26">
        <f>'Resource Build-Up'!AC30</f>
        <v>0</v>
      </c>
      <c r="S31" s="26">
        <f>'Resource Build-Up'!AF30</f>
        <v>0</v>
      </c>
      <c r="T31" s="101"/>
      <c r="U31" s="26"/>
      <c r="V31" s="26">
        <f>'Resource Build-Up'!AG30</f>
        <v>0</v>
      </c>
    </row>
    <row r="32" spans="1:22" ht="32.450000000000003" customHeight="1" x14ac:dyDescent="0.2">
      <c r="A32" s="98" t="s">
        <v>643</v>
      </c>
      <c r="B32" s="98" t="str">
        <f>'Resource Build-Up'!A31</f>
        <v/>
      </c>
      <c r="C32" s="98">
        <f>'Resource Build-Up'!B31</f>
        <v>0</v>
      </c>
      <c r="D32" s="26" t="str">
        <f>'Resource Build-Up'!C31</f>
        <v/>
      </c>
      <c r="E32" s="26">
        <f>'Resource Build-Up'!H31</f>
        <v>0</v>
      </c>
      <c r="F32" s="26">
        <f>'Resource Build-Up'!P31</f>
        <v>0</v>
      </c>
      <c r="G32" s="26" t="str">
        <f>'Resource Build-Up'!Q31</f>
        <v/>
      </c>
      <c r="H32" s="26" t="str">
        <f>'Resource Build-Up'!T31</f>
        <v/>
      </c>
      <c r="I32" s="44">
        <f>'Resource Build-Up'!Y31</f>
        <v>0</v>
      </c>
      <c r="J32" s="44" t="str">
        <f>'Resource Build-Up'!Z31</f>
        <v/>
      </c>
      <c r="K32" s="26"/>
      <c r="L32" s="26"/>
      <c r="M32" s="26"/>
      <c r="N32" s="26"/>
      <c r="O32" s="26"/>
      <c r="P32" s="26"/>
      <c r="Q32" s="26">
        <f t="shared" si="0"/>
        <v>0</v>
      </c>
      <c r="R32" s="26">
        <f>'Resource Build-Up'!AC31</f>
        <v>0</v>
      </c>
      <c r="S32" s="26">
        <f>'Resource Build-Up'!AF31</f>
        <v>0</v>
      </c>
      <c r="T32" s="99"/>
      <c r="U32" s="26"/>
      <c r="V32" s="26">
        <f>'Resource Build-Up'!AG31</f>
        <v>0</v>
      </c>
    </row>
    <row r="33" spans="1:22" ht="32.450000000000003" customHeight="1" x14ac:dyDescent="0.2">
      <c r="A33" s="98" t="s">
        <v>644</v>
      </c>
      <c r="B33" s="98" t="str">
        <f>'Resource Build-Up'!A32</f>
        <v/>
      </c>
      <c r="C33" s="98">
        <f>'Resource Build-Up'!B32</f>
        <v>0</v>
      </c>
      <c r="D33" s="26" t="str">
        <f>'Resource Build-Up'!C32</f>
        <v/>
      </c>
      <c r="E33" s="26">
        <f>'Resource Build-Up'!H32</f>
        <v>0</v>
      </c>
      <c r="F33" s="26">
        <f>'Resource Build-Up'!P32</f>
        <v>0</v>
      </c>
      <c r="G33" s="26" t="str">
        <f>'Resource Build-Up'!Q32</f>
        <v/>
      </c>
      <c r="H33" s="26" t="str">
        <f>'Resource Build-Up'!T32</f>
        <v/>
      </c>
      <c r="I33" s="44">
        <f>'Resource Build-Up'!Y32</f>
        <v>0</v>
      </c>
      <c r="J33" s="44" t="str">
        <f>'Resource Build-Up'!Z32</f>
        <v/>
      </c>
      <c r="K33" s="26"/>
      <c r="L33" s="26"/>
      <c r="M33" s="26"/>
      <c r="N33" s="26"/>
      <c r="O33" s="26"/>
      <c r="P33" s="26"/>
      <c r="Q33" s="26">
        <f t="shared" si="0"/>
        <v>0</v>
      </c>
      <c r="R33" s="26">
        <f>'Resource Build-Up'!AC32</f>
        <v>0</v>
      </c>
      <c r="S33" s="26">
        <f>'Resource Build-Up'!AF32</f>
        <v>0</v>
      </c>
      <c r="T33" s="100"/>
      <c r="U33" s="26"/>
      <c r="V33" s="26">
        <f>'Resource Build-Up'!AG32</f>
        <v>0</v>
      </c>
    </row>
    <row r="34" spans="1:22" ht="32.450000000000003" customHeight="1" x14ac:dyDescent="0.2">
      <c r="A34" s="98" t="s">
        <v>645</v>
      </c>
      <c r="B34" s="98" t="str">
        <f>'Resource Build-Up'!A33</f>
        <v/>
      </c>
      <c r="C34" s="98">
        <f>'Resource Build-Up'!B33</f>
        <v>0</v>
      </c>
      <c r="D34" s="26" t="str">
        <f>'Resource Build-Up'!C33</f>
        <v/>
      </c>
      <c r="E34" s="26">
        <f>'Resource Build-Up'!H33</f>
        <v>0</v>
      </c>
      <c r="F34" s="26">
        <f>'Resource Build-Up'!P33</f>
        <v>0</v>
      </c>
      <c r="G34" s="26" t="str">
        <f>'Resource Build-Up'!Q33</f>
        <v/>
      </c>
      <c r="H34" s="26" t="str">
        <f>'Resource Build-Up'!T33</f>
        <v/>
      </c>
      <c r="I34" s="44">
        <f>'Resource Build-Up'!Y33</f>
        <v>0</v>
      </c>
      <c r="J34" s="44" t="str">
        <f>'Resource Build-Up'!Z33</f>
        <v/>
      </c>
      <c r="K34" s="26"/>
      <c r="L34" s="26"/>
      <c r="M34" s="26"/>
      <c r="N34" s="26"/>
      <c r="O34" s="26"/>
      <c r="P34" s="26"/>
      <c r="Q34" s="26">
        <f t="shared" si="0"/>
        <v>0</v>
      </c>
      <c r="R34" s="26">
        <f>'Resource Build-Up'!AC33</f>
        <v>0</v>
      </c>
      <c r="S34" s="26">
        <f>'Resource Build-Up'!AF33</f>
        <v>0</v>
      </c>
      <c r="T34" s="99"/>
      <c r="U34" s="26"/>
      <c r="V34" s="26">
        <f>'Resource Build-Up'!AG33</f>
        <v>0</v>
      </c>
    </row>
    <row r="35" spans="1:22" ht="32.450000000000003" customHeight="1" x14ac:dyDescent="0.2">
      <c r="A35" s="98" t="s">
        <v>646</v>
      </c>
      <c r="B35" s="98" t="str">
        <f>'Resource Build-Up'!A34</f>
        <v/>
      </c>
      <c r="C35" s="98">
        <f>'Resource Build-Up'!B34</f>
        <v>0</v>
      </c>
      <c r="D35" s="26" t="str">
        <f>'Resource Build-Up'!C34</f>
        <v/>
      </c>
      <c r="E35" s="26">
        <f>'Resource Build-Up'!H34</f>
        <v>0</v>
      </c>
      <c r="F35" s="26">
        <f>'Resource Build-Up'!P34</f>
        <v>0</v>
      </c>
      <c r="G35" s="26" t="str">
        <f>'Resource Build-Up'!Q34</f>
        <v/>
      </c>
      <c r="H35" s="26" t="str">
        <f>'Resource Build-Up'!T34</f>
        <v/>
      </c>
      <c r="I35" s="44">
        <f>'Resource Build-Up'!Y34</f>
        <v>0</v>
      </c>
      <c r="J35" s="44" t="str">
        <f>'Resource Build-Up'!Z34</f>
        <v/>
      </c>
      <c r="K35" s="26"/>
      <c r="L35" s="26"/>
      <c r="M35" s="26"/>
      <c r="N35" s="26"/>
      <c r="O35" s="26"/>
      <c r="P35" s="26"/>
      <c r="Q35" s="26">
        <f t="shared" si="0"/>
        <v>0</v>
      </c>
      <c r="R35" s="26">
        <f>'Resource Build-Up'!AC34</f>
        <v>0</v>
      </c>
      <c r="S35" s="26">
        <f>'Resource Build-Up'!AF34</f>
        <v>0</v>
      </c>
      <c r="T35" s="101"/>
      <c r="U35" s="26"/>
      <c r="V35" s="26">
        <f>'Resource Build-Up'!AG34</f>
        <v>0</v>
      </c>
    </row>
    <row r="36" spans="1:22" ht="32.450000000000003" customHeight="1" x14ac:dyDescent="0.2">
      <c r="A36" s="98" t="s">
        <v>647</v>
      </c>
      <c r="B36" s="98" t="str">
        <f>'Resource Build-Up'!A35</f>
        <v/>
      </c>
      <c r="C36" s="98">
        <f>'Resource Build-Up'!B35</f>
        <v>0</v>
      </c>
      <c r="D36" s="26" t="str">
        <f>'Resource Build-Up'!C35</f>
        <v/>
      </c>
      <c r="E36" s="26">
        <f>'Resource Build-Up'!H35</f>
        <v>0</v>
      </c>
      <c r="F36" s="26">
        <f>'Resource Build-Up'!P35</f>
        <v>0</v>
      </c>
      <c r="G36" s="26" t="str">
        <f>'Resource Build-Up'!Q35</f>
        <v/>
      </c>
      <c r="H36" s="26" t="str">
        <f>'Resource Build-Up'!T35</f>
        <v/>
      </c>
      <c r="I36" s="44">
        <f>'Resource Build-Up'!Y35</f>
        <v>0</v>
      </c>
      <c r="J36" s="44" t="str">
        <f>'Resource Build-Up'!Z35</f>
        <v/>
      </c>
      <c r="K36" s="26"/>
      <c r="L36" s="26"/>
      <c r="M36" s="26"/>
      <c r="N36" s="26"/>
      <c r="O36" s="26"/>
      <c r="P36" s="26"/>
      <c r="Q36" s="26">
        <f t="shared" si="0"/>
        <v>0</v>
      </c>
      <c r="R36" s="26">
        <f>'Resource Build-Up'!AC35</f>
        <v>0</v>
      </c>
      <c r="S36" s="26">
        <f>'Resource Build-Up'!AF35</f>
        <v>0</v>
      </c>
      <c r="T36" s="99"/>
      <c r="U36" s="26"/>
      <c r="V36" s="26">
        <f>'Resource Build-Up'!AG35</f>
        <v>0</v>
      </c>
    </row>
    <row r="37" spans="1:22" ht="32.450000000000003" customHeight="1" x14ac:dyDescent="0.2">
      <c r="A37" s="98" t="s">
        <v>648</v>
      </c>
      <c r="B37" s="98" t="str">
        <f>'Resource Build-Up'!A36</f>
        <v/>
      </c>
      <c r="C37" s="98">
        <f>'Resource Build-Up'!B36</f>
        <v>0</v>
      </c>
      <c r="D37" s="26" t="str">
        <f>'Resource Build-Up'!C36</f>
        <v/>
      </c>
      <c r="E37" s="26">
        <f>'Resource Build-Up'!H36</f>
        <v>0</v>
      </c>
      <c r="F37" s="26">
        <f>'Resource Build-Up'!P36</f>
        <v>0</v>
      </c>
      <c r="G37" s="26" t="str">
        <f>'Resource Build-Up'!Q36</f>
        <v/>
      </c>
      <c r="H37" s="26" t="str">
        <f>'Resource Build-Up'!T36</f>
        <v/>
      </c>
      <c r="I37" s="44">
        <f>'Resource Build-Up'!Y36</f>
        <v>0</v>
      </c>
      <c r="J37" s="44" t="str">
        <f>'Resource Build-Up'!Z36</f>
        <v/>
      </c>
      <c r="K37" s="26"/>
      <c r="L37" s="26"/>
      <c r="M37" s="26"/>
      <c r="N37" s="26"/>
      <c r="O37" s="26"/>
      <c r="P37" s="26"/>
      <c r="Q37" s="26">
        <f t="shared" si="0"/>
        <v>0</v>
      </c>
      <c r="R37" s="26">
        <f>'Resource Build-Up'!AC36</f>
        <v>0</v>
      </c>
      <c r="S37" s="26">
        <f>'Resource Build-Up'!AF36</f>
        <v>0</v>
      </c>
      <c r="T37" s="101"/>
      <c r="U37" s="26"/>
      <c r="V37" s="26">
        <f>'Resource Build-Up'!AG36</f>
        <v>0</v>
      </c>
    </row>
    <row r="38" spans="1:22" ht="32.450000000000003" customHeight="1" x14ac:dyDescent="0.2">
      <c r="A38" s="98" t="s">
        <v>649</v>
      </c>
      <c r="B38" s="98" t="str">
        <f>'Resource Build-Up'!A37</f>
        <v/>
      </c>
      <c r="C38" s="98">
        <f>'Resource Build-Up'!B37</f>
        <v>0</v>
      </c>
      <c r="D38" s="26" t="str">
        <f>'Resource Build-Up'!C37</f>
        <v/>
      </c>
      <c r="E38" s="26">
        <f>'Resource Build-Up'!H37</f>
        <v>0</v>
      </c>
      <c r="F38" s="26">
        <f>'Resource Build-Up'!P37</f>
        <v>0</v>
      </c>
      <c r="G38" s="26" t="str">
        <f>'Resource Build-Up'!Q37</f>
        <v/>
      </c>
      <c r="H38" s="26" t="str">
        <f>'Resource Build-Up'!T37</f>
        <v/>
      </c>
      <c r="I38" s="44">
        <f>'Resource Build-Up'!Y37</f>
        <v>0</v>
      </c>
      <c r="J38" s="44" t="str">
        <f>'Resource Build-Up'!Z37</f>
        <v/>
      </c>
      <c r="K38" s="26"/>
      <c r="L38" s="26"/>
      <c r="M38" s="26"/>
      <c r="N38" s="26"/>
      <c r="O38" s="26"/>
      <c r="P38" s="26"/>
      <c r="Q38" s="26">
        <f t="shared" si="0"/>
        <v>0</v>
      </c>
      <c r="R38" s="26">
        <f>'Resource Build-Up'!AC37</f>
        <v>0</v>
      </c>
      <c r="S38" s="26">
        <f>'Resource Build-Up'!AF37</f>
        <v>0</v>
      </c>
      <c r="T38" s="99"/>
      <c r="U38" s="26"/>
      <c r="V38" s="26">
        <f>'Resource Build-Up'!AG37</f>
        <v>0</v>
      </c>
    </row>
    <row r="39" spans="1:22" ht="32.450000000000003" customHeight="1" x14ac:dyDescent="0.2">
      <c r="A39" s="98" t="s">
        <v>650</v>
      </c>
      <c r="B39" s="98" t="str">
        <f>'Resource Build-Up'!A38</f>
        <v/>
      </c>
      <c r="C39" s="98">
        <f>'Resource Build-Up'!B38</f>
        <v>0</v>
      </c>
      <c r="D39" s="26" t="str">
        <f>'Resource Build-Up'!C38</f>
        <v/>
      </c>
      <c r="E39" s="26">
        <f>'Resource Build-Up'!H38</f>
        <v>0</v>
      </c>
      <c r="F39" s="26">
        <f>'Resource Build-Up'!P38</f>
        <v>0</v>
      </c>
      <c r="G39" s="26" t="str">
        <f>'Resource Build-Up'!Q38</f>
        <v/>
      </c>
      <c r="H39" s="26" t="str">
        <f>'Resource Build-Up'!T38</f>
        <v/>
      </c>
      <c r="I39" s="44">
        <f>'Resource Build-Up'!Y38</f>
        <v>0</v>
      </c>
      <c r="J39" s="44" t="str">
        <f>'Resource Build-Up'!Z38</f>
        <v/>
      </c>
      <c r="K39" s="26"/>
      <c r="L39" s="26"/>
      <c r="M39" s="26"/>
      <c r="N39" s="26"/>
      <c r="O39" s="26"/>
      <c r="P39" s="26"/>
      <c r="Q39" s="26">
        <f t="shared" si="0"/>
        <v>0</v>
      </c>
      <c r="R39" s="26">
        <f>'Resource Build-Up'!AC38</f>
        <v>0</v>
      </c>
      <c r="S39" s="26">
        <f>'Resource Build-Up'!AF38</f>
        <v>0</v>
      </c>
      <c r="T39" s="101"/>
      <c r="U39" s="26"/>
      <c r="V39" s="26">
        <f>'Resource Build-Up'!AG38</f>
        <v>0</v>
      </c>
    </row>
    <row r="40" spans="1:22" ht="32.450000000000003" customHeight="1" x14ac:dyDescent="0.2">
      <c r="A40" s="98" t="s">
        <v>651</v>
      </c>
      <c r="B40" s="98" t="str">
        <f>'Resource Build-Up'!A39</f>
        <v/>
      </c>
      <c r="C40" s="98">
        <f>'Resource Build-Up'!B39</f>
        <v>0</v>
      </c>
      <c r="D40" s="26" t="str">
        <f>'Resource Build-Up'!C39</f>
        <v/>
      </c>
      <c r="E40" s="26">
        <f>'Resource Build-Up'!H39</f>
        <v>0</v>
      </c>
      <c r="F40" s="26">
        <f>'Resource Build-Up'!P39</f>
        <v>0</v>
      </c>
      <c r="G40" s="26" t="str">
        <f>'Resource Build-Up'!Q39</f>
        <v/>
      </c>
      <c r="H40" s="26" t="str">
        <f>'Resource Build-Up'!T39</f>
        <v/>
      </c>
      <c r="I40" s="44">
        <f>'Resource Build-Up'!Y39</f>
        <v>0</v>
      </c>
      <c r="J40" s="44" t="str">
        <f>'Resource Build-Up'!Z39</f>
        <v/>
      </c>
      <c r="K40" s="26"/>
      <c r="L40" s="26"/>
      <c r="M40" s="26"/>
      <c r="N40" s="26"/>
      <c r="O40" s="26"/>
      <c r="P40" s="26"/>
      <c r="Q40" s="26">
        <f t="shared" ref="Q40:Q71" si="1">COUNTIF(L40,"PASS")+COUNTIF(N40,"PASS")+COUNTIF(P40,"PASS")</f>
        <v>0</v>
      </c>
      <c r="R40" s="26">
        <f>'Resource Build-Up'!AC39</f>
        <v>0</v>
      </c>
      <c r="S40" s="26">
        <f>'Resource Build-Up'!AF39</f>
        <v>0</v>
      </c>
      <c r="T40" s="99"/>
      <c r="U40" s="26"/>
      <c r="V40" s="26">
        <f>'Resource Build-Up'!AG39</f>
        <v>0</v>
      </c>
    </row>
    <row r="41" spans="1:22" ht="32.450000000000003" customHeight="1" x14ac:dyDescent="0.2">
      <c r="A41" s="98" t="s">
        <v>652</v>
      </c>
      <c r="B41" s="98" t="str">
        <f>'Resource Build-Up'!A40</f>
        <v/>
      </c>
      <c r="C41" s="98">
        <f>'Resource Build-Up'!B40</f>
        <v>0</v>
      </c>
      <c r="D41" s="26" t="str">
        <f>'Resource Build-Up'!C40</f>
        <v/>
      </c>
      <c r="E41" s="26">
        <f>'Resource Build-Up'!H40</f>
        <v>0</v>
      </c>
      <c r="F41" s="26">
        <f>'Resource Build-Up'!P40</f>
        <v>0</v>
      </c>
      <c r="G41" s="26" t="str">
        <f>'Resource Build-Up'!Q40</f>
        <v/>
      </c>
      <c r="H41" s="26" t="str">
        <f>'Resource Build-Up'!T40</f>
        <v/>
      </c>
      <c r="I41" s="44">
        <f>'Resource Build-Up'!Y40</f>
        <v>0</v>
      </c>
      <c r="J41" s="44" t="str">
        <f>'Resource Build-Up'!Z40</f>
        <v/>
      </c>
      <c r="K41" s="26"/>
      <c r="L41" s="26"/>
      <c r="M41" s="26"/>
      <c r="N41" s="26"/>
      <c r="O41" s="26"/>
      <c r="P41" s="26"/>
      <c r="Q41" s="26">
        <f t="shared" si="1"/>
        <v>0</v>
      </c>
      <c r="R41" s="26">
        <f>'Resource Build-Up'!AC40</f>
        <v>0</v>
      </c>
      <c r="S41" s="26">
        <f>'Resource Build-Up'!AF40</f>
        <v>0</v>
      </c>
      <c r="T41" s="100"/>
      <c r="U41" s="26"/>
      <c r="V41" s="26">
        <f>'Resource Build-Up'!AG40</f>
        <v>0</v>
      </c>
    </row>
    <row r="42" spans="1:22" ht="32.450000000000003" customHeight="1" x14ac:dyDescent="0.2">
      <c r="A42" s="98" t="s">
        <v>653</v>
      </c>
      <c r="B42" s="98" t="str">
        <f>'Resource Build-Up'!A41</f>
        <v/>
      </c>
      <c r="C42" s="98">
        <f>'Resource Build-Up'!B41</f>
        <v>0</v>
      </c>
      <c r="D42" s="26" t="str">
        <f>'Resource Build-Up'!C41</f>
        <v/>
      </c>
      <c r="E42" s="26">
        <f>'Resource Build-Up'!H41</f>
        <v>0</v>
      </c>
      <c r="F42" s="26">
        <f>'Resource Build-Up'!P41</f>
        <v>0</v>
      </c>
      <c r="G42" s="26" t="str">
        <f>'Resource Build-Up'!Q41</f>
        <v/>
      </c>
      <c r="H42" s="26" t="str">
        <f>'Resource Build-Up'!T41</f>
        <v/>
      </c>
      <c r="I42" s="44">
        <f>'Resource Build-Up'!Y41</f>
        <v>0</v>
      </c>
      <c r="J42" s="44" t="str">
        <f>'Resource Build-Up'!Z41</f>
        <v/>
      </c>
      <c r="K42" s="26"/>
      <c r="L42" s="26"/>
      <c r="M42" s="26"/>
      <c r="N42" s="26"/>
      <c r="O42" s="26"/>
      <c r="P42" s="26"/>
      <c r="Q42" s="26">
        <f t="shared" si="1"/>
        <v>0</v>
      </c>
      <c r="R42" s="26">
        <f>'Resource Build-Up'!AC41</f>
        <v>0</v>
      </c>
      <c r="S42" s="26">
        <f>'Resource Build-Up'!AF41</f>
        <v>0</v>
      </c>
      <c r="T42" s="101"/>
      <c r="U42" s="26"/>
      <c r="V42" s="26">
        <f>'Resource Build-Up'!AG41</f>
        <v>0</v>
      </c>
    </row>
    <row r="43" spans="1:22" ht="32.450000000000003" customHeight="1" x14ac:dyDescent="0.2">
      <c r="A43" s="98" t="s">
        <v>654</v>
      </c>
      <c r="B43" s="98" t="str">
        <f>'Resource Build-Up'!A42</f>
        <v/>
      </c>
      <c r="C43" s="98">
        <f>'Resource Build-Up'!B42</f>
        <v>0</v>
      </c>
      <c r="D43" s="26" t="str">
        <f>'Resource Build-Up'!C42</f>
        <v/>
      </c>
      <c r="E43" s="26">
        <f>'Resource Build-Up'!H42</f>
        <v>0</v>
      </c>
      <c r="F43" s="26">
        <f>'Resource Build-Up'!P42</f>
        <v>0</v>
      </c>
      <c r="G43" s="26" t="str">
        <f>'Resource Build-Up'!Q42</f>
        <v/>
      </c>
      <c r="H43" s="26" t="str">
        <f>'Resource Build-Up'!T42</f>
        <v/>
      </c>
      <c r="I43" s="44">
        <f>'Resource Build-Up'!Y42</f>
        <v>0</v>
      </c>
      <c r="J43" s="44" t="str">
        <f>'Resource Build-Up'!Z42</f>
        <v/>
      </c>
      <c r="K43" s="26"/>
      <c r="L43" s="26"/>
      <c r="M43" s="26"/>
      <c r="N43" s="26"/>
      <c r="O43" s="26"/>
      <c r="P43" s="26"/>
      <c r="Q43" s="26">
        <f t="shared" si="1"/>
        <v>0</v>
      </c>
      <c r="R43" s="26">
        <f>'Resource Build-Up'!AC42</f>
        <v>0</v>
      </c>
      <c r="S43" s="26">
        <f>'Resource Build-Up'!AF42</f>
        <v>0</v>
      </c>
      <c r="T43" s="101"/>
      <c r="U43" s="26"/>
      <c r="V43" s="26">
        <f>'Resource Build-Up'!AG42</f>
        <v>0</v>
      </c>
    </row>
    <row r="44" spans="1:22" ht="32.450000000000003" customHeight="1" x14ac:dyDescent="0.2">
      <c r="A44" s="98" t="s">
        <v>655</v>
      </c>
      <c r="B44" s="98" t="str">
        <f>'Resource Build-Up'!A43</f>
        <v/>
      </c>
      <c r="C44" s="98">
        <f>'Resource Build-Up'!B43</f>
        <v>0</v>
      </c>
      <c r="D44" s="26" t="str">
        <f>'Resource Build-Up'!C43</f>
        <v/>
      </c>
      <c r="E44" s="26">
        <f>'Resource Build-Up'!H43</f>
        <v>0</v>
      </c>
      <c r="F44" s="26">
        <f>'Resource Build-Up'!P43</f>
        <v>0</v>
      </c>
      <c r="G44" s="26" t="str">
        <f>'Resource Build-Up'!Q43</f>
        <v/>
      </c>
      <c r="H44" s="26" t="str">
        <f>'Resource Build-Up'!T43</f>
        <v/>
      </c>
      <c r="I44" s="44">
        <f>'Resource Build-Up'!Y43</f>
        <v>0</v>
      </c>
      <c r="J44" s="44" t="str">
        <f>'Resource Build-Up'!Z43</f>
        <v/>
      </c>
      <c r="K44" s="26"/>
      <c r="L44" s="26"/>
      <c r="M44" s="26"/>
      <c r="N44" s="26"/>
      <c r="O44" s="26"/>
      <c r="P44" s="26"/>
      <c r="Q44" s="26">
        <f t="shared" si="1"/>
        <v>0</v>
      </c>
      <c r="R44" s="26">
        <f>'Resource Build-Up'!AC43</f>
        <v>0</v>
      </c>
      <c r="S44" s="26">
        <f>'Resource Build-Up'!AF43</f>
        <v>0</v>
      </c>
      <c r="T44" s="99"/>
      <c r="U44" s="26"/>
      <c r="V44" s="26">
        <f>'Resource Build-Up'!AG43</f>
        <v>0</v>
      </c>
    </row>
    <row r="45" spans="1:22" ht="32.450000000000003" customHeight="1" x14ac:dyDescent="0.2">
      <c r="A45" s="98" t="s">
        <v>656</v>
      </c>
      <c r="B45" s="98" t="str">
        <f>'Resource Build-Up'!A44</f>
        <v/>
      </c>
      <c r="C45" s="98">
        <f>'Resource Build-Up'!B44</f>
        <v>0</v>
      </c>
      <c r="D45" s="26" t="str">
        <f>'Resource Build-Up'!C44</f>
        <v/>
      </c>
      <c r="E45" s="26">
        <f>'Resource Build-Up'!H44</f>
        <v>0</v>
      </c>
      <c r="F45" s="26">
        <f>'Resource Build-Up'!P44</f>
        <v>0</v>
      </c>
      <c r="G45" s="26" t="str">
        <f>'Resource Build-Up'!Q44</f>
        <v/>
      </c>
      <c r="H45" s="26" t="str">
        <f>'Resource Build-Up'!T44</f>
        <v/>
      </c>
      <c r="I45" s="44">
        <f>'Resource Build-Up'!Y44</f>
        <v>0</v>
      </c>
      <c r="J45" s="44" t="str">
        <f>'Resource Build-Up'!Z44</f>
        <v/>
      </c>
      <c r="K45" s="26"/>
      <c r="L45" s="26"/>
      <c r="M45" s="26"/>
      <c r="N45" s="26"/>
      <c r="O45" s="26"/>
      <c r="P45" s="26"/>
      <c r="Q45" s="26">
        <f t="shared" si="1"/>
        <v>0</v>
      </c>
      <c r="R45" s="26">
        <f>'Resource Build-Up'!AC44</f>
        <v>0</v>
      </c>
      <c r="S45" s="26">
        <f>'Resource Build-Up'!AF44</f>
        <v>0</v>
      </c>
      <c r="T45" s="100"/>
      <c r="U45" s="26"/>
      <c r="V45" s="26">
        <f>'Resource Build-Up'!AG44</f>
        <v>0</v>
      </c>
    </row>
    <row r="46" spans="1:22" ht="32.450000000000003" customHeight="1" x14ac:dyDescent="0.2">
      <c r="A46" s="98" t="s">
        <v>657</v>
      </c>
      <c r="B46" s="98" t="str">
        <f>'Resource Build-Up'!A45</f>
        <v/>
      </c>
      <c r="C46" s="98">
        <f>'Resource Build-Up'!B45</f>
        <v>0</v>
      </c>
      <c r="D46" s="26" t="str">
        <f>'Resource Build-Up'!C45</f>
        <v/>
      </c>
      <c r="E46" s="26">
        <f>'Resource Build-Up'!H45</f>
        <v>0</v>
      </c>
      <c r="F46" s="26">
        <f>'Resource Build-Up'!P45</f>
        <v>0</v>
      </c>
      <c r="G46" s="26" t="str">
        <f>'Resource Build-Up'!Q45</f>
        <v/>
      </c>
      <c r="H46" s="26" t="str">
        <f>'Resource Build-Up'!T45</f>
        <v/>
      </c>
      <c r="I46" s="44">
        <f>'Resource Build-Up'!Y45</f>
        <v>0</v>
      </c>
      <c r="J46" s="44" t="str">
        <f>'Resource Build-Up'!Z45</f>
        <v/>
      </c>
      <c r="K46" s="26"/>
      <c r="L46" s="26"/>
      <c r="M46" s="26"/>
      <c r="N46" s="26"/>
      <c r="O46" s="26"/>
      <c r="P46" s="26"/>
      <c r="Q46" s="26">
        <f t="shared" si="1"/>
        <v>0</v>
      </c>
      <c r="R46" s="26">
        <f>'Resource Build-Up'!AC45</f>
        <v>0</v>
      </c>
      <c r="S46" s="26">
        <f>'Resource Build-Up'!AF45</f>
        <v>0</v>
      </c>
      <c r="T46" s="99"/>
      <c r="U46" s="26"/>
      <c r="V46" s="26">
        <f>'Resource Build-Up'!AG45</f>
        <v>0</v>
      </c>
    </row>
    <row r="47" spans="1:22" ht="32.450000000000003" customHeight="1" x14ac:dyDescent="0.2">
      <c r="A47" s="98" t="s">
        <v>658</v>
      </c>
      <c r="B47" s="98" t="str">
        <f>'Resource Build-Up'!A46</f>
        <v/>
      </c>
      <c r="C47" s="98">
        <f>'Resource Build-Up'!B46</f>
        <v>0</v>
      </c>
      <c r="D47" s="26" t="str">
        <f>'Resource Build-Up'!C46</f>
        <v/>
      </c>
      <c r="E47" s="26">
        <f>'Resource Build-Up'!H46</f>
        <v>0</v>
      </c>
      <c r="F47" s="26">
        <f>'Resource Build-Up'!P46</f>
        <v>0</v>
      </c>
      <c r="G47" s="26" t="str">
        <f>'Resource Build-Up'!Q46</f>
        <v/>
      </c>
      <c r="H47" s="26" t="str">
        <f>'Resource Build-Up'!T46</f>
        <v/>
      </c>
      <c r="I47" s="44">
        <f>'Resource Build-Up'!Y46</f>
        <v>0</v>
      </c>
      <c r="J47" s="44" t="str">
        <f>'Resource Build-Up'!Z46</f>
        <v/>
      </c>
      <c r="K47" s="26"/>
      <c r="L47" s="26"/>
      <c r="M47" s="26"/>
      <c r="N47" s="26"/>
      <c r="O47" s="26"/>
      <c r="P47" s="26"/>
      <c r="Q47" s="26">
        <f t="shared" si="1"/>
        <v>0</v>
      </c>
      <c r="R47" s="26">
        <f>'Resource Build-Up'!AC46</f>
        <v>0</v>
      </c>
      <c r="S47" s="26">
        <f>'Resource Build-Up'!AF46</f>
        <v>0</v>
      </c>
      <c r="T47" s="99"/>
      <c r="U47" s="26"/>
      <c r="V47" s="26">
        <f>'Resource Build-Up'!AG46</f>
        <v>0</v>
      </c>
    </row>
    <row r="48" spans="1:22" ht="32.450000000000003" customHeight="1" x14ac:dyDescent="0.2">
      <c r="A48" s="98" t="s">
        <v>659</v>
      </c>
      <c r="B48" s="98" t="str">
        <f>'Resource Build-Up'!A47</f>
        <v/>
      </c>
      <c r="C48" s="98">
        <f>'Resource Build-Up'!B47</f>
        <v>0</v>
      </c>
      <c r="D48" s="26" t="str">
        <f>'Resource Build-Up'!C47</f>
        <v/>
      </c>
      <c r="E48" s="26">
        <f>'Resource Build-Up'!H47</f>
        <v>0</v>
      </c>
      <c r="F48" s="26">
        <f>'Resource Build-Up'!P47</f>
        <v>0</v>
      </c>
      <c r="G48" s="26" t="str">
        <f>'Resource Build-Up'!Q47</f>
        <v/>
      </c>
      <c r="H48" s="26" t="str">
        <f>'Resource Build-Up'!T47</f>
        <v/>
      </c>
      <c r="I48" s="44">
        <f>'Resource Build-Up'!Y47</f>
        <v>0</v>
      </c>
      <c r="J48" s="44" t="str">
        <f>'Resource Build-Up'!Z47</f>
        <v/>
      </c>
      <c r="K48" s="26"/>
      <c r="L48" s="26"/>
      <c r="M48" s="26"/>
      <c r="N48" s="26"/>
      <c r="O48" s="26"/>
      <c r="P48" s="26"/>
      <c r="Q48" s="26">
        <f t="shared" si="1"/>
        <v>0</v>
      </c>
      <c r="R48" s="26">
        <f>'Resource Build-Up'!AC47</f>
        <v>0</v>
      </c>
      <c r="S48" s="26">
        <f>'Resource Build-Up'!AF47</f>
        <v>0</v>
      </c>
      <c r="T48" s="101"/>
      <c r="U48" s="26"/>
      <c r="V48" s="26">
        <f>'Resource Build-Up'!AG47</f>
        <v>0</v>
      </c>
    </row>
    <row r="49" spans="1:22" ht="32.450000000000003" customHeight="1" x14ac:dyDescent="0.2">
      <c r="A49" s="98" t="s">
        <v>660</v>
      </c>
      <c r="B49" s="98" t="str">
        <f>'Resource Build-Up'!A48</f>
        <v/>
      </c>
      <c r="C49" s="98">
        <f>'Resource Build-Up'!B48</f>
        <v>0</v>
      </c>
      <c r="D49" s="26" t="str">
        <f>'Resource Build-Up'!C48</f>
        <v/>
      </c>
      <c r="E49" s="26">
        <f>'Resource Build-Up'!H48</f>
        <v>0</v>
      </c>
      <c r="F49" s="26">
        <f>'Resource Build-Up'!P48</f>
        <v>0</v>
      </c>
      <c r="G49" s="26" t="str">
        <f>'Resource Build-Up'!Q48</f>
        <v/>
      </c>
      <c r="H49" s="26" t="str">
        <f>'Resource Build-Up'!T48</f>
        <v/>
      </c>
      <c r="I49" s="44">
        <f>'Resource Build-Up'!Y48</f>
        <v>0</v>
      </c>
      <c r="J49" s="44" t="str">
        <f>'Resource Build-Up'!Z48</f>
        <v/>
      </c>
      <c r="K49" s="26"/>
      <c r="L49" s="26"/>
      <c r="M49" s="26"/>
      <c r="N49" s="26"/>
      <c r="O49" s="26"/>
      <c r="P49" s="26"/>
      <c r="Q49" s="26">
        <f t="shared" si="1"/>
        <v>0</v>
      </c>
      <c r="R49" s="26">
        <f>'Resource Build-Up'!AC48</f>
        <v>0</v>
      </c>
      <c r="S49" s="26">
        <f>'Resource Build-Up'!AF48</f>
        <v>0</v>
      </c>
      <c r="T49" s="101"/>
      <c r="U49" s="26"/>
      <c r="V49" s="26">
        <f>'Resource Build-Up'!AG48</f>
        <v>0</v>
      </c>
    </row>
    <row r="50" spans="1:22" ht="32.450000000000003" customHeight="1" x14ac:dyDescent="0.2">
      <c r="A50" s="98" t="s">
        <v>661</v>
      </c>
      <c r="B50" s="98" t="str">
        <f>'Resource Build-Up'!A49</f>
        <v/>
      </c>
      <c r="C50" s="98">
        <f>'Resource Build-Up'!B49</f>
        <v>0</v>
      </c>
      <c r="D50" s="26" t="str">
        <f>'Resource Build-Up'!C49</f>
        <v/>
      </c>
      <c r="E50" s="26">
        <f>'Resource Build-Up'!H49</f>
        <v>0</v>
      </c>
      <c r="F50" s="26">
        <f>'Resource Build-Up'!P49</f>
        <v>0</v>
      </c>
      <c r="G50" s="26" t="str">
        <f>'Resource Build-Up'!Q49</f>
        <v/>
      </c>
      <c r="H50" s="26" t="str">
        <f>'Resource Build-Up'!T49</f>
        <v/>
      </c>
      <c r="I50" s="44">
        <f>'Resource Build-Up'!Y49</f>
        <v>0</v>
      </c>
      <c r="J50" s="44" t="str">
        <f>'Resource Build-Up'!Z49</f>
        <v/>
      </c>
      <c r="K50" s="26"/>
      <c r="L50" s="26"/>
      <c r="M50" s="26"/>
      <c r="N50" s="26"/>
      <c r="O50" s="26"/>
      <c r="P50" s="26"/>
      <c r="Q50" s="26">
        <f t="shared" si="1"/>
        <v>0</v>
      </c>
      <c r="R50" s="26">
        <f>'Resource Build-Up'!AC49</f>
        <v>0</v>
      </c>
      <c r="S50" s="26">
        <f>'Resource Build-Up'!AF49</f>
        <v>0</v>
      </c>
      <c r="T50" s="99"/>
      <c r="U50" s="26"/>
      <c r="V50" s="26">
        <f>'Resource Build-Up'!AG49</f>
        <v>0</v>
      </c>
    </row>
    <row r="51" spans="1:22" ht="32.450000000000003" customHeight="1" x14ac:dyDescent="0.2">
      <c r="A51" s="98" t="s">
        <v>662</v>
      </c>
      <c r="B51" s="98" t="str">
        <f>'Resource Build-Up'!A50</f>
        <v/>
      </c>
      <c r="C51" s="98">
        <f>'Resource Build-Up'!B50</f>
        <v>0</v>
      </c>
      <c r="D51" s="26" t="str">
        <f>'Resource Build-Up'!C50</f>
        <v/>
      </c>
      <c r="E51" s="26">
        <f>'Resource Build-Up'!H50</f>
        <v>0</v>
      </c>
      <c r="F51" s="26">
        <f>'Resource Build-Up'!P50</f>
        <v>0</v>
      </c>
      <c r="G51" s="26" t="str">
        <f>'Resource Build-Up'!Q50</f>
        <v/>
      </c>
      <c r="H51" s="26" t="str">
        <f>'Resource Build-Up'!T50</f>
        <v/>
      </c>
      <c r="I51" s="44">
        <f>'Resource Build-Up'!Y50</f>
        <v>0</v>
      </c>
      <c r="J51" s="44" t="str">
        <f>'Resource Build-Up'!Z50</f>
        <v/>
      </c>
      <c r="K51" s="26"/>
      <c r="L51" s="26"/>
      <c r="M51" s="26"/>
      <c r="N51" s="26"/>
      <c r="O51" s="26"/>
      <c r="P51" s="26"/>
      <c r="Q51" s="26">
        <f t="shared" si="1"/>
        <v>0</v>
      </c>
      <c r="R51" s="26">
        <f>'Resource Build-Up'!AC50</f>
        <v>0</v>
      </c>
      <c r="S51" s="26">
        <f>'Resource Build-Up'!AF50</f>
        <v>0</v>
      </c>
      <c r="T51" s="100"/>
      <c r="U51" s="26"/>
      <c r="V51" s="26">
        <f>'Resource Build-Up'!AG50</f>
        <v>0</v>
      </c>
    </row>
    <row r="52" spans="1:22" ht="32.450000000000003" customHeight="1" x14ac:dyDescent="0.2">
      <c r="A52" s="98" t="s">
        <v>663</v>
      </c>
      <c r="B52" s="98" t="str">
        <f>'Resource Build-Up'!A51</f>
        <v/>
      </c>
      <c r="C52" s="98">
        <f>'Resource Build-Up'!B51</f>
        <v>0</v>
      </c>
      <c r="D52" s="26" t="str">
        <f>'Resource Build-Up'!C51</f>
        <v/>
      </c>
      <c r="E52" s="26">
        <f>'Resource Build-Up'!H51</f>
        <v>0</v>
      </c>
      <c r="F52" s="26">
        <f>'Resource Build-Up'!P51</f>
        <v>0</v>
      </c>
      <c r="G52" s="26" t="str">
        <f>'Resource Build-Up'!Q51</f>
        <v/>
      </c>
      <c r="H52" s="26" t="str">
        <f>'Resource Build-Up'!T51</f>
        <v/>
      </c>
      <c r="I52" s="44">
        <f>'Resource Build-Up'!Y51</f>
        <v>0</v>
      </c>
      <c r="J52" s="44" t="str">
        <f>'Resource Build-Up'!Z51</f>
        <v/>
      </c>
      <c r="K52" s="26"/>
      <c r="L52" s="26"/>
      <c r="M52" s="26"/>
      <c r="N52" s="26"/>
      <c r="O52" s="26"/>
      <c r="P52" s="26"/>
      <c r="Q52" s="26">
        <f t="shared" si="1"/>
        <v>0</v>
      </c>
      <c r="R52" s="26">
        <f>'Resource Build-Up'!AC51</f>
        <v>0</v>
      </c>
      <c r="S52" s="26">
        <f>'Resource Build-Up'!AF51</f>
        <v>0</v>
      </c>
      <c r="T52" s="99"/>
      <c r="U52" s="26"/>
      <c r="V52" s="26">
        <f>'Resource Build-Up'!AG51</f>
        <v>0</v>
      </c>
    </row>
    <row r="53" spans="1:22" ht="32.450000000000003" customHeight="1" x14ac:dyDescent="0.2">
      <c r="A53" s="98" t="s">
        <v>664</v>
      </c>
      <c r="B53" s="98" t="str">
        <f>'Resource Build-Up'!A52</f>
        <v/>
      </c>
      <c r="C53" s="98">
        <f>'Resource Build-Up'!B52</f>
        <v>0</v>
      </c>
      <c r="D53" s="26" t="str">
        <f>'Resource Build-Up'!C52</f>
        <v/>
      </c>
      <c r="E53" s="26">
        <f>'Resource Build-Up'!H52</f>
        <v>0</v>
      </c>
      <c r="F53" s="26">
        <f>'Resource Build-Up'!P52</f>
        <v>0</v>
      </c>
      <c r="G53" s="26" t="str">
        <f>'Resource Build-Up'!Q52</f>
        <v/>
      </c>
      <c r="H53" s="26" t="str">
        <f>'Resource Build-Up'!T52</f>
        <v/>
      </c>
      <c r="I53" s="44">
        <f>'Resource Build-Up'!Y52</f>
        <v>0</v>
      </c>
      <c r="J53" s="44" t="str">
        <f>'Resource Build-Up'!Z52</f>
        <v/>
      </c>
      <c r="K53" s="26"/>
      <c r="L53" s="26"/>
      <c r="M53" s="26"/>
      <c r="N53" s="26"/>
      <c r="O53" s="26"/>
      <c r="P53" s="26"/>
      <c r="Q53" s="26">
        <f t="shared" si="1"/>
        <v>0</v>
      </c>
      <c r="R53" s="26">
        <f>'Resource Build-Up'!AC52</f>
        <v>0</v>
      </c>
      <c r="S53" s="26">
        <f>'Resource Build-Up'!AF52</f>
        <v>0</v>
      </c>
      <c r="T53" s="101"/>
      <c r="U53" s="26"/>
      <c r="V53" s="26">
        <f>'Resource Build-Up'!AG52</f>
        <v>0</v>
      </c>
    </row>
    <row r="54" spans="1:22" ht="32.450000000000003" customHeight="1" x14ac:dyDescent="0.2">
      <c r="A54" s="98" t="s">
        <v>665</v>
      </c>
      <c r="B54" s="98" t="str">
        <f>'Resource Build-Up'!A53</f>
        <v/>
      </c>
      <c r="C54" s="98">
        <f>'Resource Build-Up'!B53</f>
        <v>0</v>
      </c>
      <c r="D54" s="26" t="str">
        <f>'Resource Build-Up'!C53</f>
        <v/>
      </c>
      <c r="E54" s="26">
        <f>'Resource Build-Up'!H53</f>
        <v>0</v>
      </c>
      <c r="F54" s="26">
        <f>'Resource Build-Up'!P53</f>
        <v>0</v>
      </c>
      <c r="G54" s="26" t="str">
        <f>'Resource Build-Up'!Q53</f>
        <v/>
      </c>
      <c r="H54" s="26" t="str">
        <f>'Resource Build-Up'!T53</f>
        <v/>
      </c>
      <c r="I54" s="44">
        <f>'Resource Build-Up'!Y53</f>
        <v>0</v>
      </c>
      <c r="J54" s="44" t="str">
        <f>'Resource Build-Up'!Z53</f>
        <v/>
      </c>
      <c r="K54" s="26"/>
      <c r="L54" s="26"/>
      <c r="M54" s="26"/>
      <c r="N54" s="26"/>
      <c r="O54" s="26"/>
      <c r="P54" s="26"/>
      <c r="Q54" s="26">
        <f t="shared" si="1"/>
        <v>0</v>
      </c>
      <c r="R54" s="26">
        <f>'Resource Build-Up'!AC53</f>
        <v>0</v>
      </c>
      <c r="S54" s="26">
        <f>'Resource Build-Up'!AF53</f>
        <v>0</v>
      </c>
      <c r="T54" s="101"/>
      <c r="U54" s="26"/>
      <c r="V54" s="26">
        <f>'Resource Build-Up'!AG53</f>
        <v>0</v>
      </c>
    </row>
    <row r="55" spans="1:22" ht="32.450000000000003" customHeight="1" x14ac:dyDescent="0.2">
      <c r="A55" s="98" t="s">
        <v>666</v>
      </c>
      <c r="B55" s="98" t="str">
        <f>'Resource Build-Up'!A54</f>
        <v/>
      </c>
      <c r="C55" s="98">
        <f>'Resource Build-Up'!B54</f>
        <v>0</v>
      </c>
      <c r="D55" s="26" t="str">
        <f>'Resource Build-Up'!C54</f>
        <v/>
      </c>
      <c r="E55" s="26">
        <f>'Resource Build-Up'!H54</f>
        <v>0</v>
      </c>
      <c r="F55" s="26">
        <f>'Resource Build-Up'!P54</f>
        <v>0</v>
      </c>
      <c r="G55" s="26" t="str">
        <f>'Resource Build-Up'!Q54</f>
        <v/>
      </c>
      <c r="H55" s="26" t="str">
        <f>'Resource Build-Up'!T54</f>
        <v/>
      </c>
      <c r="I55" s="44">
        <f>'Resource Build-Up'!Y54</f>
        <v>0</v>
      </c>
      <c r="J55" s="44" t="str">
        <f>'Resource Build-Up'!Z54</f>
        <v/>
      </c>
      <c r="K55" s="26"/>
      <c r="L55" s="26"/>
      <c r="M55" s="26"/>
      <c r="N55" s="26"/>
      <c r="O55" s="26"/>
      <c r="P55" s="26"/>
      <c r="Q55" s="26">
        <f t="shared" si="1"/>
        <v>0</v>
      </c>
      <c r="R55" s="26">
        <f>'Resource Build-Up'!AC54</f>
        <v>0</v>
      </c>
      <c r="S55" s="26">
        <f>'Resource Build-Up'!AF54</f>
        <v>0</v>
      </c>
      <c r="T55" s="99"/>
      <c r="U55" s="26"/>
      <c r="V55" s="26">
        <f>'Resource Build-Up'!AG54</f>
        <v>0</v>
      </c>
    </row>
    <row r="56" spans="1:22" ht="32.450000000000003" customHeight="1" x14ac:dyDescent="0.2">
      <c r="A56" s="98" t="s">
        <v>667</v>
      </c>
      <c r="B56" s="98" t="str">
        <f>'Resource Build-Up'!A55</f>
        <v/>
      </c>
      <c r="C56" s="98">
        <f>'Resource Build-Up'!B55</f>
        <v>0</v>
      </c>
      <c r="D56" s="26" t="str">
        <f>'Resource Build-Up'!C55</f>
        <v/>
      </c>
      <c r="E56" s="26">
        <f>'Resource Build-Up'!H55</f>
        <v>0</v>
      </c>
      <c r="F56" s="26">
        <f>'Resource Build-Up'!P55</f>
        <v>0</v>
      </c>
      <c r="G56" s="26" t="str">
        <f>'Resource Build-Up'!Q55</f>
        <v/>
      </c>
      <c r="H56" s="26" t="str">
        <f>'Resource Build-Up'!T55</f>
        <v/>
      </c>
      <c r="I56" s="44">
        <f>'Resource Build-Up'!Y55</f>
        <v>0</v>
      </c>
      <c r="J56" s="44" t="str">
        <f>'Resource Build-Up'!Z55</f>
        <v/>
      </c>
      <c r="K56" s="26"/>
      <c r="L56" s="26"/>
      <c r="M56" s="26"/>
      <c r="N56" s="26"/>
      <c r="O56" s="26"/>
      <c r="P56" s="26"/>
      <c r="Q56" s="26">
        <f t="shared" si="1"/>
        <v>0</v>
      </c>
      <c r="R56" s="26">
        <f>'Resource Build-Up'!AC55</f>
        <v>0</v>
      </c>
      <c r="S56" s="26">
        <f>'Resource Build-Up'!AF55</f>
        <v>0</v>
      </c>
      <c r="T56" s="99"/>
      <c r="U56" s="26"/>
      <c r="V56" s="26">
        <f>'Resource Build-Up'!AG55</f>
        <v>0</v>
      </c>
    </row>
    <row r="57" spans="1:22" ht="32.450000000000003" customHeight="1" x14ac:dyDescent="0.2">
      <c r="A57" s="98" t="s">
        <v>668</v>
      </c>
      <c r="B57" s="98" t="str">
        <f>'Resource Build-Up'!A56</f>
        <v/>
      </c>
      <c r="C57" s="98">
        <f>'Resource Build-Up'!B56</f>
        <v>0</v>
      </c>
      <c r="D57" s="26" t="str">
        <f>'Resource Build-Up'!C56</f>
        <v/>
      </c>
      <c r="E57" s="26">
        <f>'Resource Build-Up'!H56</f>
        <v>0</v>
      </c>
      <c r="F57" s="26">
        <f>'Resource Build-Up'!P56</f>
        <v>0</v>
      </c>
      <c r="G57" s="26" t="str">
        <f>'Resource Build-Up'!Q56</f>
        <v/>
      </c>
      <c r="H57" s="26" t="str">
        <f>'Resource Build-Up'!T56</f>
        <v/>
      </c>
      <c r="I57" s="44">
        <f>'Resource Build-Up'!Y56</f>
        <v>0</v>
      </c>
      <c r="J57" s="44" t="str">
        <f>'Resource Build-Up'!Z56</f>
        <v/>
      </c>
      <c r="K57" s="26"/>
      <c r="L57" s="26"/>
      <c r="M57" s="26"/>
      <c r="N57" s="26"/>
      <c r="O57" s="26"/>
      <c r="P57" s="26"/>
      <c r="Q57" s="26">
        <f t="shared" si="1"/>
        <v>0</v>
      </c>
      <c r="R57" s="26">
        <f>'Resource Build-Up'!AC56</f>
        <v>0</v>
      </c>
      <c r="S57" s="26">
        <f>'Resource Build-Up'!AF56</f>
        <v>0</v>
      </c>
      <c r="T57" s="100"/>
      <c r="U57" s="26"/>
      <c r="V57" s="26">
        <f>'Resource Build-Up'!AG56</f>
        <v>0</v>
      </c>
    </row>
    <row r="58" spans="1:22" ht="32.450000000000003" customHeight="1" x14ac:dyDescent="0.2">
      <c r="A58" s="98" t="s">
        <v>669</v>
      </c>
      <c r="B58" s="98" t="str">
        <f>'Resource Build-Up'!A57</f>
        <v/>
      </c>
      <c r="C58" s="98">
        <f>'Resource Build-Up'!B57</f>
        <v>0</v>
      </c>
      <c r="D58" s="26" t="str">
        <f>'Resource Build-Up'!C57</f>
        <v/>
      </c>
      <c r="E58" s="26">
        <f>'Resource Build-Up'!H57</f>
        <v>0</v>
      </c>
      <c r="F58" s="26">
        <f>'Resource Build-Up'!P57</f>
        <v>0</v>
      </c>
      <c r="G58" s="26" t="str">
        <f>'Resource Build-Up'!Q57</f>
        <v/>
      </c>
      <c r="H58" s="26" t="str">
        <f>'Resource Build-Up'!T57</f>
        <v/>
      </c>
      <c r="I58" s="44">
        <f>'Resource Build-Up'!Y57</f>
        <v>0</v>
      </c>
      <c r="J58" s="44" t="str">
        <f>'Resource Build-Up'!Z57</f>
        <v/>
      </c>
      <c r="K58" s="26"/>
      <c r="L58" s="26"/>
      <c r="M58" s="26"/>
      <c r="N58" s="26"/>
      <c r="O58" s="26"/>
      <c r="P58" s="26"/>
      <c r="Q58" s="26">
        <f t="shared" si="1"/>
        <v>0</v>
      </c>
      <c r="R58" s="26">
        <f>'Resource Build-Up'!AC57</f>
        <v>0</v>
      </c>
      <c r="S58" s="26">
        <f>'Resource Build-Up'!AF57</f>
        <v>0</v>
      </c>
      <c r="T58" s="99"/>
      <c r="U58" s="26"/>
      <c r="V58" s="26">
        <f>'Resource Build-Up'!AG57</f>
        <v>0</v>
      </c>
    </row>
    <row r="59" spans="1:22" ht="32.450000000000003" customHeight="1" x14ac:dyDescent="0.2">
      <c r="A59" s="98" t="s">
        <v>670</v>
      </c>
      <c r="B59" s="98" t="str">
        <f>'Resource Build-Up'!A58</f>
        <v/>
      </c>
      <c r="C59" s="98">
        <f>'Resource Build-Up'!B58</f>
        <v>0</v>
      </c>
      <c r="D59" s="26" t="str">
        <f>'Resource Build-Up'!C58</f>
        <v/>
      </c>
      <c r="E59" s="26">
        <f>'Resource Build-Up'!H58</f>
        <v>0</v>
      </c>
      <c r="F59" s="26">
        <f>'Resource Build-Up'!P58</f>
        <v>0</v>
      </c>
      <c r="G59" s="26" t="str">
        <f>'Resource Build-Up'!Q58</f>
        <v/>
      </c>
      <c r="H59" s="26" t="str">
        <f>'Resource Build-Up'!T58</f>
        <v/>
      </c>
      <c r="I59" s="44">
        <f>'Resource Build-Up'!Y58</f>
        <v>0</v>
      </c>
      <c r="J59" s="44" t="str">
        <f>'Resource Build-Up'!Z58</f>
        <v/>
      </c>
      <c r="K59" s="26"/>
      <c r="L59" s="26"/>
      <c r="M59" s="26"/>
      <c r="N59" s="26"/>
      <c r="O59" s="26"/>
      <c r="P59" s="26"/>
      <c r="Q59" s="26">
        <f t="shared" si="1"/>
        <v>0</v>
      </c>
      <c r="R59" s="26">
        <f>'Resource Build-Up'!AC58</f>
        <v>0</v>
      </c>
      <c r="S59" s="26">
        <f>'Resource Build-Up'!AF58</f>
        <v>0</v>
      </c>
      <c r="T59" s="101"/>
      <c r="U59" s="26"/>
      <c r="V59" s="26">
        <f>'Resource Build-Up'!AG58</f>
        <v>0</v>
      </c>
    </row>
    <row r="60" spans="1:22" ht="32.450000000000003" customHeight="1" x14ac:dyDescent="0.2">
      <c r="A60" s="98" t="s">
        <v>671</v>
      </c>
      <c r="B60" s="98" t="str">
        <f>'Resource Build-Up'!A59</f>
        <v/>
      </c>
      <c r="C60" s="98">
        <f>'Resource Build-Up'!B59</f>
        <v>0</v>
      </c>
      <c r="D60" s="26" t="str">
        <f>'Resource Build-Up'!C59</f>
        <v/>
      </c>
      <c r="E60" s="26">
        <f>'Resource Build-Up'!H59</f>
        <v>0</v>
      </c>
      <c r="F60" s="26">
        <f>'Resource Build-Up'!P59</f>
        <v>0</v>
      </c>
      <c r="G60" s="26" t="str">
        <f>'Resource Build-Up'!Q59</f>
        <v/>
      </c>
      <c r="H60" s="26" t="str">
        <f>'Resource Build-Up'!T59</f>
        <v/>
      </c>
      <c r="I60" s="44">
        <f>'Resource Build-Up'!Y59</f>
        <v>0</v>
      </c>
      <c r="J60" s="44" t="str">
        <f>'Resource Build-Up'!Z59</f>
        <v/>
      </c>
      <c r="K60" s="26"/>
      <c r="L60" s="26"/>
      <c r="M60" s="26"/>
      <c r="N60" s="26"/>
      <c r="O60" s="26"/>
      <c r="P60" s="26"/>
      <c r="Q60" s="26">
        <f t="shared" si="1"/>
        <v>0</v>
      </c>
      <c r="R60" s="26">
        <f>'Resource Build-Up'!AC59</f>
        <v>0</v>
      </c>
      <c r="S60" s="26">
        <f>'Resource Build-Up'!AF59</f>
        <v>0</v>
      </c>
      <c r="T60" s="101"/>
      <c r="U60" s="26"/>
      <c r="V60" s="26">
        <f>'Resource Build-Up'!AG59</f>
        <v>0</v>
      </c>
    </row>
    <row r="61" spans="1:22" ht="32.450000000000003" customHeight="1" x14ac:dyDescent="0.2">
      <c r="A61" s="98" t="s">
        <v>672</v>
      </c>
      <c r="B61" s="98" t="str">
        <f>'Resource Build-Up'!A60</f>
        <v/>
      </c>
      <c r="C61" s="98">
        <f>'Resource Build-Up'!B60</f>
        <v>0</v>
      </c>
      <c r="D61" s="26" t="str">
        <f>'Resource Build-Up'!C60</f>
        <v/>
      </c>
      <c r="E61" s="26">
        <f>'Resource Build-Up'!H60</f>
        <v>0</v>
      </c>
      <c r="F61" s="26">
        <f>'Resource Build-Up'!P60</f>
        <v>0</v>
      </c>
      <c r="G61" s="26" t="str">
        <f>'Resource Build-Up'!Q60</f>
        <v/>
      </c>
      <c r="H61" s="26" t="str">
        <f>'Resource Build-Up'!T60</f>
        <v/>
      </c>
      <c r="I61" s="44">
        <f>'Resource Build-Up'!Y60</f>
        <v>0</v>
      </c>
      <c r="J61" s="44" t="str">
        <f>'Resource Build-Up'!Z60</f>
        <v/>
      </c>
      <c r="K61" s="26"/>
      <c r="L61" s="26"/>
      <c r="M61" s="26"/>
      <c r="N61" s="26"/>
      <c r="O61" s="26"/>
      <c r="P61" s="26"/>
      <c r="Q61" s="26">
        <f t="shared" si="1"/>
        <v>0</v>
      </c>
      <c r="R61" s="26">
        <f>'Resource Build-Up'!AC60</f>
        <v>0</v>
      </c>
      <c r="S61" s="26">
        <f>'Resource Build-Up'!AF60</f>
        <v>0</v>
      </c>
      <c r="T61" s="99"/>
      <c r="U61" s="26"/>
      <c r="V61" s="26">
        <f>'Resource Build-Up'!AG60</f>
        <v>0</v>
      </c>
    </row>
    <row r="62" spans="1:22" ht="32.450000000000003" customHeight="1" x14ac:dyDescent="0.2">
      <c r="A62" s="98" t="s">
        <v>673</v>
      </c>
      <c r="B62" s="98" t="str">
        <f>'Resource Build-Up'!A61</f>
        <v/>
      </c>
      <c r="C62" s="98">
        <f>'Resource Build-Up'!B61</f>
        <v>0</v>
      </c>
      <c r="D62" s="26" t="str">
        <f>'Resource Build-Up'!C61</f>
        <v/>
      </c>
      <c r="E62" s="26">
        <f>'Resource Build-Up'!H61</f>
        <v>0</v>
      </c>
      <c r="F62" s="26">
        <f>'Resource Build-Up'!P61</f>
        <v>0</v>
      </c>
      <c r="G62" s="26" t="str">
        <f>'Resource Build-Up'!Q61</f>
        <v/>
      </c>
      <c r="H62" s="26" t="str">
        <f>'Resource Build-Up'!T61</f>
        <v/>
      </c>
      <c r="I62" s="44">
        <f>'Resource Build-Up'!Y61</f>
        <v>0</v>
      </c>
      <c r="J62" s="44" t="str">
        <f>'Resource Build-Up'!Z61</f>
        <v/>
      </c>
      <c r="K62" s="26"/>
      <c r="L62" s="26"/>
      <c r="M62" s="26"/>
      <c r="N62" s="26"/>
      <c r="O62" s="26"/>
      <c r="P62" s="26"/>
      <c r="Q62" s="26">
        <f t="shared" si="1"/>
        <v>0</v>
      </c>
      <c r="R62" s="26">
        <f>'Resource Build-Up'!AC61</f>
        <v>0</v>
      </c>
      <c r="S62" s="26">
        <f>'Resource Build-Up'!AF61</f>
        <v>0</v>
      </c>
      <c r="T62" s="99"/>
      <c r="U62" s="26"/>
      <c r="V62" s="26">
        <f>'Resource Build-Up'!AG61</f>
        <v>0</v>
      </c>
    </row>
    <row r="63" spans="1:22" ht="32.450000000000003" customHeight="1" x14ac:dyDescent="0.2">
      <c r="A63" s="98" t="s">
        <v>674</v>
      </c>
      <c r="B63" s="98" t="str">
        <f>'Resource Build-Up'!A62</f>
        <v/>
      </c>
      <c r="C63" s="98">
        <f>'Resource Build-Up'!B62</f>
        <v>0</v>
      </c>
      <c r="D63" s="26" t="str">
        <f>'Resource Build-Up'!C62</f>
        <v/>
      </c>
      <c r="E63" s="26">
        <f>'Resource Build-Up'!H62</f>
        <v>0</v>
      </c>
      <c r="F63" s="26">
        <f>'Resource Build-Up'!P62</f>
        <v>0</v>
      </c>
      <c r="G63" s="26" t="str">
        <f>'Resource Build-Up'!Q62</f>
        <v/>
      </c>
      <c r="H63" s="26" t="str">
        <f>'Resource Build-Up'!T62</f>
        <v/>
      </c>
      <c r="I63" s="44">
        <f>'Resource Build-Up'!Y62</f>
        <v>0</v>
      </c>
      <c r="J63" s="44" t="str">
        <f>'Resource Build-Up'!Z62</f>
        <v/>
      </c>
      <c r="K63" s="26"/>
      <c r="L63" s="26"/>
      <c r="M63" s="26"/>
      <c r="N63" s="26"/>
      <c r="O63" s="26"/>
      <c r="P63" s="26"/>
      <c r="Q63" s="26">
        <f t="shared" si="1"/>
        <v>0</v>
      </c>
      <c r="R63" s="26">
        <f>'Resource Build-Up'!AC62</f>
        <v>0</v>
      </c>
      <c r="S63" s="26">
        <f>'Resource Build-Up'!AF62</f>
        <v>0</v>
      </c>
      <c r="T63" s="100"/>
      <c r="U63" s="26"/>
      <c r="V63" s="26">
        <f>'Resource Build-Up'!AG62</f>
        <v>0</v>
      </c>
    </row>
    <row r="64" spans="1:22" ht="32.450000000000003" customHeight="1" x14ac:dyDescent="0.2">
      <c r="A64" s="98" t="s">
        <v>675</v>
      </c>
      <c r="B64" s="98" t="str">
        <f>'Resource Build-Up'!A63</f>
        <v/>
      </c>
      <c r="C64" s="98">
        <f>'Resource Build-Up'!B63</f>
        <v>0</v>
      </c>
      <c r="D64" s="26" t="str">
        <f>'Resource Build-Up'!C63</f>
        <v/>
      </c>
      <c r="E64" s="26">
        <f>'Resource Build-Up'!H63</f>
        <v>0</v>
      </c>
      <c r="F64" s="26">
        <f>'Resource Build-Up'!P63</f>
        <v>0</v>
      </c>
      <c r="G64" s="26" t="str">
        <f>'Resource Build-Up'!Q63</f>
        <v/>
      </c>
      <c r="H64" s="26" t="str">
        <f>'Resource Build-Up'!T63</f>
        <v/>
      </c>
      <c r="I64" s="44">
        <f>'Resource Build-Up'!Y63</f>
        <v>0</v>
      </c>
      <c r="J64" s="44" t="str">
        <f>'Resource Build-Up'!Z63</f>
        <v/>
      </c>
      <c r="K64" s="26"/>
      <c r="L64" s="26"/>
      <c r="M64" s="26"/>
      <c r="N64" s="26"/>
      <c r="O64" s="26"/>
      <c r="P64" s="26"/>
      <c r="Q64" s="26">
        <f t="shared" si="1"/>
        <v>0</v>
      </c>
      <c r="R64" s="26">
        <f>'Resource Build-Up'!AC63</f>
        <v>0</v>
      </c>
      <c r="S64" s="26">
        <f>'Resource Build-Up'!AF63</f>
        <v>0</v>
      </c>
      <c r="T64" s="99"/>
      <c r="U64" s="26"/>
      <c r="V64" s="26">
        <f>'Resource Build-Up'!AG63</f>
        <v>0</v>
      </c>
    </row>
    <row r="65" spans="1:22" ht="32.450000000000003" customHeight="1" x14ac:dyDescent="0.2">
      <c r="A65" s="98" t="s">
        <v>676</v>
      </c>
      <c r="B65" s="98" t="str">
        <f>'Resource Build-Up'!A64</f>
        <v/>
      </c>
      <c r="C65" s="98">
        <f>'Resource Build-Up'!B64</f>
        <v>0</v>
      </c>
      <c r="D65" s="26" t="str">
        <f>'Resource Build-Up'!C64</f>
        <v/>
      </c>
      <c r="E65" s="26">
        <f>'Resource Build-Up'!H64</f>
        <v>0</v>
      </c>
      <c r="F65" s="26">
        <f>'Resource Build-Up'!P64</f>
        <v>0</v>
      </c>
      <c r="G65" s="26" t="str">
        <f>'Resource Build-Up'!Q64</f>
        <v/>
      </c>
      <c r="H65" s="26" t="str">
        <f>'Resource Build-Up'!T64</f>
        <v/>
      </c>
      <c r="I65" s="44">
        <f>'Resource Build-Up'!Y64</f>
        <v>0</v>
      </c>
      <c r="J65" s="44" t="str">
        <f>'Resource Build-Up'!Z64</f>
        <v/>
      </c>
      <c r="K65" s="26"/>
      <c r="L65" s="26"/>
      <c r="M65" s="26"/>
      <c r="N65" s="26"/>
      <c r="O65" s="26"/>
      <c r="P65" s="26"/>
      <c r="Q65" s="26">
        <f t="shared" si="1"/>
        <v>0</v>
      </c>
      <c r="R65" s="26">
        <f>'Resource Build-Up'!AC64</f>
        <v>0</v>
      </c>
      <c r="S65" s="26">
        <f>'Resource Build-Up'!AF64</f>
        <v>0</v>
      </c>
      <c r="T65" s="101"/>
      <c r="U65" s="26"/>
      <c r="V65" s="26">
        <f>'Resource Build-Up'!AG64</f>
        <v>0</v>
      </c>
    </row>
    <row r="66" spans="1:22" ht="32.450000000000003" customHeight="1" x14ac:dyDescent="0.2">
      <c r="A66" s="98" t="s">
        <v>677</v>
      </c>
      <c r="B66" s="98" t="str">
        <f>'Resource Build-Up'!A65</f>
        <v/>
      </c>
      <c r="C66" s="98">
        <f>'Resource Build-Up'!B65</f>
        <v>0</v>
      </c>
      <c r="D66" s="26" t="str">
        <f>'Resource Build-Up'!C65</f>
        <v/>
      </c>
      <c r="E66" s="26">
        <f>'Resource Build-Up'!H65</f>
        <v>0</v>
      </c>
      <c r="F66" s="26">
        <f>'Resource Build-Up'!P65</f>
        <v>0</v>
      </c>
      <c r="G66" s="26" t="str">
        <f>'Resource Build-Up'!Q65</f>
        <v/>
      </c>
      <c r="H66" s="26" t="str">
        <f>'Resource Build-Up'!T65</f>
        <v/>
      </c>
      <c r="I66" s="44">
        <f>'Resource Build-Up'!Y65</f>
        <v>0</v>
      </c>
      <c r="J66" s="44" t="str">
        <f>'Resource Build-Up'!Z65</f>
        <v/>
      </c>
      <c r="K66" s="26"/>
      <c r="L66" s="26"/>
      <c r="M66" s="26"/>
      <c r="N66" s="26"/>
      <c r="O66" s="26"/>
      <c r="P66" s="26"/>
      <c r="Q66" s="26">
        <f t="shared" si="1"/>
        <v>0</v>
      </c>
      <c r="R66" s="26">
        <f>'Resource Build-Up'!AC65</f>
        <v>0</v>
      </c>
      <c r="S66" s="26">
        <f>'Resource Build-Up'!AF65</f>
        <v>0</v>
      </c>
      <c r="T66" s="101"/>
      <c r="U66" s="26"/>
      <c r="V66" s="26">
        <f>'Resource Build-Up'!AG65</f>
        <v>0</v>
      </c>
    </row>
    <row r="67" spans="1:22" ht="32.450000000000003" customHeight="1" x14ac:dyDescent="0.2">
      <c r="A67" s="98" t="s">
        <v>678</v>
      </c>
      <c r="B67" s="98" t="str">
        <f>'Resource Build-Up'!A66</f>
        <v/>
      </c>
      <c r="C67" s="98">
        <f>'Resource Build-Up'!B66</f>
        <v>0</v>
      </c>
      <c r="D67" s="26" t="str">
        <f>'Resource Build-Up'!C66</f>
        <v/>
      </c>
      <c r="E67" s="26">
        <f>'Resource Build-Up'!H66</f>
        <v>0</v>
      </c>
      <c r="F67" s="26">
        <f>'Resource Build-Up'!P66</f>
        <v>0</v>
      </c>
      <c r="G67" s="26" t="str">
        <f>'Resource Build-Up'!Q66</f>
        <v/>
      </c>
      <c r="H67" s="26" t="str">
        <f>'Resource Build-Up'!T66</f>
        <v/>
      </c>
      <c r="I67" s="44">
        <f>'Resource Build-Up'!Y66</f>
        <v>0</v>
      </c>
      <c r="J67" s="44" t="str">
        <f>'Resource Build-Up'!Z66</f>
        <v/>
      </c>
      <c r="K67" s="26"/>
      <c r="L67" s="26"/>
      <c r="M67" s="26"/>
      <c r="N67" s="26"/>
      <c r="O67" s="26"/>
      <c r="P67" s="26"/>
      <c r="Q67" s="26">
        <f t="shared" si="1"/>
        <v>0</v>
      </c>
      <c r="R67" s="26">
        <f>'Resource Build-Up'!AC66</f>
        <v>0</v>
      </c>
      <c r="S67" s="26">
        <f>'Resource Build-Up'!AF66</f>
        <v>0</v>
      </c>
      <c r="T67" s="99"/>
      <c r="U67" s="26"/>
      <c r="V67" s="26">
        <f>'Resource Build-Up'!AG66</f>
        <v>0</v>
      </c>
    </row>
    <row r="68" spans="1:22" ht="32.450000000000003" customHeight="1" x14ac:dyDescent="0.2">
      <c r="A68" s="98" t="s">
        <v>679</v>
      </c>
      <c r="B68" s="98" t="str">
        <f>'Resource Build-Up'!A67</f>
        <v/>
      </c>
      <c r="C68" s="98">
        <f>'Resource Build-Up'!B67</f>
        <v>0</v>
      </c>
      <c r="D68" s="26" t="str">
        <f>'Resource Build-Up'!C67</f>
        <v/>
      </c>
      <c r="E68" s="26">
        <f>'Resource Build-Up'!H67</f>
        <v>0</v>
      </c>
      <c r="F68" s="26">
        <f>'Resource Build-Up'!P67</f>
        <v>0</v>
      </c>
      <c r="G68" s="26" t="str">
        <f>'Resource Build-Up'!Q67</f>
        <v/>
      </c>
      <c r="H68" s="26" t="str">
        <f>'Resource Build-Up'!T67</f>
        <v/>
      </c>
      <c r="I68" s="44">
        <f>'Resource Build-Up'!Y67</f>
        <v>0</v>
      </c>
      <c r="J68" s="44" t="str">
        <f>'Resource Build-Up'!Z67</f>
        <v/>
      </c>
      <c r="K68" s="26"/>
      <c r="L68" s="26"/>
      <c r="M68" s="26"/>
      <c r="N68" s="26"/>
      <c r="O68" s="26"/>
      <c r="P68" s="26"/>
      <c r="Q68" s="26">
        <f t="shared" si="1"/>
        <v>0</v>
      </c>
      <c r="R68" s="26">
        <f>'Resource Build-Up'!AC67</f>
        <v>0</v>
      </c>
      <c r="S68" s="26">
        <f>'Resource Build-Up'!AF67</f>
        <v>0</v>
      </c>
      <c r="T68" s="99"/>
      <c r="U68" s="26"/>
      <c r="V68" s="26">
        <f>'Resource Build-Up'!AG67</f>
        <v>0</v>
      </c>
    </row>
    <row r="69" spans="1:22" ht="32.450000000000003" customHeight="1" x14ac:dyDescent="0.2">
      <c r="A69" s="98" t="s">
        <v>680</v>
      </c>
      <c r="B69" s="98" t="str">
        <f>'Resource Build-Up'!A68</f>
        <v/>
      </c>
      <c r="C69" s="98">
        <f>'Resource Build-Up'!B68</f>
        <v>0</v>
      </c>
      <c r="D69" s="26" t="str">
        <f>'Resource Build-Up'!C68</f>
        <v/>
      </c>
      <c r="E69" s="26">
        <f>'Resource Build-Up'!H68</f>
        <v>0</v>
      </c>
      <c r="F69" s="26">
        <f>'Resource Build-Up'!P68</f>
        <v>0</v>
      </c>
      <c r="G69" s="26" t="str">
        <f>'Resource Build-Up'!Q68</f>
        <v/>
      </c>
      <c r="H69" s="26" t="str">
        <f>'Resource Build-Up'!T68</f>
        <v/>
      </c>
      <c r="I69" s="44">
        <f>'Resource Build-Up'!Y68</f>
        <v>0</v>
      </c>
      <c r="J69" s="44" t="str">
        <f>'Resource Build-Up'!Z68</f>
        <v/>
      </c>
      <c r="K69" s="26"/>
      <c r="L69" s="26"/>
      <c r="M69" s="26"/>
      <c r="N69" s="26"/>
      <c r="O69" s="26"/>
      <c r="P69" s="26"/>
      <c r="Q69" s="26">
        <f t="shared" si="1"/>
        <v>0</v>
      </c>
      <c r="R69" s="26">
        <f>'Resource Build-Up'!AC68</f>
        <v>0</v>
      </c>
      <c r="S69" s="26">
        <f>'Resource Build-Up'!AF68</f>
        <v>0</v>
      </c>
      <c r="T69" s="100"/>
      <c r="U69" s="26"/>
      <c r="V69" s="26">
        <f>'Resource Build-Up'!AG68</f>
        <v>0</v>
      </c>
    </row>
    <row r="70" spans="1:22" ht="32.450000000000003" customHeight="1" x14ac:dyDescent="0.2">
      <c r="A70" s="98" t="s">
        <v>681</v>
      </c>
      <c r="B70" s="98" t="str">
        <f>'Resource Build-Up'!A69</f>
        <v/>
      </c>
      <c r="C70" s="98">
        <f>'Resource Build-Up'!B69</f>
        <v>0</v>
      </c>
      <c r="D70" s="26" t="str">
        <f>'Resource Build-Up'!C69</f>
        <v/>
      </c>
      <c r="E70" s="26">
        <f>'Resource Build-Up'!H69</f>
        <v>0</v>
      </c>
      <c r="F70" s="26">
        <f>'Resource Build-Up'!P69</f>
        <v>0</v>
      </c>
      <c r="G70" s="26" t="str">
        <f>'Resource Build-Up'!Q69</f>
        <v/>
      </c>
      <c r="H70" s="26" t="str">
        <f>'Resource Build-Up'!T69</f>
        <v/>
      </c>
      <c r="I70" s="44">
        <f>'Resource Build-Up'!Y69</f>
        <v>0</v>
      </c>
      <c r="J70" s="44" t="str">
        <f>'Resource Build-Up'!Z69</f>
        <v/>
      </c>
      <c r="K70" s="26"/>
      <c r="L70" s="26"/>
      <c r="M70" s="26"/>
      <c r="N70" s="26"/>
      <c r="O70" s="26"/>
      <c r="P70" s="26"/>
      <c r="Q70" s="26">
        <f t="shared" si="1"/>
        <v>0</v>
      </c>
      <c r="R70" s="26">
        <f>'Resource Build-Up'!AC69</f>
        <v>0</v>
      </c>
      <c r="S70" s="26">
        <f>'Resource Build-Up'!AF69</f>
        <v>0</v>
      </c>
      <c r="T70" s="99"/>
      <c r="U70" s="26"/>
      <c r="V70" s="26">
        <f>'Resource Build-Up'!AG69</f>
        <v>0</v>
      </c>
    </row>
    <row r="71" spans="1:22" ht="32.450000000000003" customHeight="1" x14ac:dyDescent="0.2">
      <c r="A71" s="98" t="s">
        <v>682</v>
      </c>
      <c r="B71" s="98" t="str">
        <f>'Resource Build-Up'!A70</f>
        <v/>
      </c>
      <c r="C71" s="98">
        <f>'Resource Build-Up'!B70</f>
        <v>0</v>
      </c>
      <c r="D71" s="26" t="str">
        <f>'Resource Build-Up'!C70</f>
        <v/>
      </c>
      <c r="E71" s="26">
        <f>'Resource Build-Up'!H70</f>
        <v>0</v>
      </c>
      <c r="F71" s="26">
        <f>'Resource Build-Up'!P70</f>
        <v>0</v>
      </c>
      <c r="G71" s="26" t="str">
        <f>'Resource Build-Up'!Q70</f>
        <v/>
      </c>
      <c r="H71" s="26" t="str">
        <f>'Resource Build-Up'!T70</f>
        <v/>
      </c>
      <c r="I71" s="44">
        <f>'Resource Build-Up'!Y70</f>
        <v>0</v>
      </c>
      <c r="J71" s="44" t="str">
        <f>'Resource Build-Up'!Z70</f>
        <v/>
      </c>
      <c r="K71" s="26"/>
      <c r="L71" s="26"/>
      <c r="M71" s="26"/>
      <c r="N71" s="26"/>
      <c r="O71" s="26"/>
      <c r="P71" s="26"/>
      <c r="Q71" s="26">
        <f t="shared" si="1"/>
        <v>0</v>
      </c>
      <c r="R71" s="26">
        <f>'Resource Build-Up'!AC70</f>
        <v>0</v>
      </c>
      <c r="S71" s="26">
        <f>'Resource Build-Up'!AF70</f>
        <v>0</v>
      </c>
      <c r="T71" s="101"/>
      <c r="U71" s="26"/>
      <c r="V71" s="26">
        <f>'Resource Build-Up'!AG70</f>
        <v>0</v>
      </c>
    </row>
    <row r="72" spans="1:22" ht="32.450000000000003" customHeight="1" x14ac:dyDescent="0.2">
      <c r="A72" s="98" t="s">
        <v>683</v>
      </c>
      <c r="B72" s="98" t="str">
        <f>'Resource Build-Up'!A71</f>
        <v/>
      </c>
      <c r="C72" s="98">
        <f>'Resource Build-Up'!B71</f>
        <v>0</v>
      </c>
      <c r="D72" s="26" t="str">
        <f>'Resource Build-Up'!C71</f>
        <v/>
      </c>
      <c r="E72" s="26">
        <f>'Resource Build-Up'!H71</f>
        <v>0</v>
      </c>
      <c r="F72" s="26">
        <f>'Resource Build-Up'!P71</f>
        <v>0</v>
      </c>
      <c r="G72" s="26" t="str">
        <f>'Resource Build-Up'!Q71</f>
        <v/>
      </c>
      <c r="H72" s="26" t="str">
        <f>'Resource Build-Up'!T71</f>
        <v/>
      </c>
      <c r="I72" s="44">
        <f>'Resource Build-Up'!Y71</f>
        <v>0</v>
      </c>
      <c r="J72" s="44" t="str">
        <f>'Resource Build-Up'!Z71</f>
        <v/>
      </c>
      <c r="K72" s="26"/>
      <c r="L72" s="26"/>
      <c r="M72" s="26"/>
      <c r="N72" s="26"/>
      <c r="O72" s="26"/>
      <c r="P72" s="26"/>
      <c r="Q72" s="26">
        <f t="shared" ref="Q72:Q103" si="2">COUNTIF(L72,"PASS")+COUNTIF(N72,"PASS")+COUNTIF(P72,"PASS")</f>
        <v>0</v>
      </c>
      <c r="R72" s="26">
        <f>'Resource Build-Up'!AC71</f>
        <v>0</v>
      </c>
      <c r="S72" s="26">
        <f>'Resource Build-Up'!AF71</f>
        <v>0</v>
      </c>
      <c r="T72" s="99"/>
      <c r="U72" s="26"/>
      <c r="V72" s="26">
        <f>'Resource Build-Up'!AG71</f>
        <v>0</v>
      </c>
    </row>
    <row r="73" spans="1:22" ht="32.450000000000003" customHeight="1" x14ac:dyDescent="0.2">
      <c r="A73" s="98" t="s">
        <v>684</v>
      </c>
      <c r="B73" s="98" t="str">
        <f>'Resource Build-Up'!A72</f>
        <v/>
      </c>
      <c r="C73" s="98">
        <f>'Resource Build-Up'!B72</f>
        <v>0</v>
      </c>
      <c r="D73" s="26" t="str">
        <f>'Resource Build-Up'!C72</f>
        <v/>
      </c>
      <c r="E73" s="26">
        <f>'Resource Build-Up'!H72</f>
        <v>0</v>
      </c>
      <c r="F73" s="26">
        <f>'Resource Build-Up'!P72</f>
        <v>0</v>
      </c>
      <c r="G73" s="26" t="str">
        <f>'Resource Build-Up'!Q72</f>
        <v/>
      </c>
      <c r="H73" s="26" t="str">
        <f>'Resource Build-Up'!T72</f>
        <v/>
      </c>
      <c r="I73" s="44">
        <f>'Resource Build-Up'!Y72</f>
        <v>0</v>
      </c>
      <c r="J73" s="44" t="str">
        <f>'Resource Build-Up'!Z72</f>
        <v/>
      </c>
      <c r="K73" s="26"/>
      <c r="L73" s="26"/>
      <c r="M73" s="26"/>
      <c r="N73" s="26"/>
      <c r="O73" s="26"/>
      <c r="P73" s="26"/>
      <c r="Q73" s="26">
        <f t="shared" si="2"/>
        <v>0</v>
      </c>
      <c r="R73" s="26">
        <f>'Resource Build-Up'!AC72</f>
        <v>0</v>
      </c>
      <c r="S73" s="26">
        <f>'Resource Build-Up'!AF72</f>
        <v>0</v>
      </c>
      <c r="T73" s="99"/>
      <c r="U73" s="26"/>
      <c r="V73" s="26">
        <f>'Resource Build-Up'!AG72</f>
        <v>0</v>
      </c>
    </row>
    <row r="74" spans="1:22" ht="32.450000000000003" customHeight="1" x14ac:dyDescent="0.2">
      <c r="A74" s="98" t="s">
        <v>685</v>
      </c>
      <c r="B74" s="98" t="str">
        <f>'Resource Build-Up'!A73</f>
        <v/>
      </c>
      <c r="C74" s="98">
        <f>'Resource Build-Up'!B73</f>
        <v>0</v>
      </c>
      <c r="D74" s="26" t="str">
        <f>'Resource Build-Up'!C73</f>
        <v/>
      </c>
      <c r="E74" s="26">
        <f>'Resource Build-Up'!H73</f>
        <v>0</v>
      </c>
      <c r="F74" s="26">
        <f>'Resource Build-Up'!P73</f>
        <v>0</v>
      </c>
      <c r="G74" s="26" t="str">
        <f>'Resource Build-Up'!Q73</f>
        <v/>
      </c>
      <c r="H74" s="26" t="str">
        <f>'Resource Build-Up'!T73</f>
        <v/>
      </c>
      <c r="I74" s="44">
        <f>'Resource Build-Up'!Y73</f>
        <v>0</v>
      </c>
      <c r="J74" s="44" t="str">
        <f>'Resource Build-Up'!Z73</f>
        <v/>
      </c>
      <c r="K74" s="26"/>
      <c r="L74" s="26"/>
      <c r="M74" s="26"/>
      <c r="N74" s="26"/>
      <c r="O74" s="26"/>
      <c r="P74" s="26"/>
      <c r="Q74" s="26">
        <f t="shared" si="2"/>
        <v>0</v>
      </c>
      <c r="R74" s="26">
        <f>'Resource Build-Up'!AC73</f>
        <v>0</v>
      </c>
      <c r="S74" s="26">
        <f>'Resource Build-Up'!AF73</f>
        <v>0</v>
      </c>
      <c r="T74" s="100"/>
      <c r="U74" s="26"/>
      <c r="V74" s="26">
        <f>'Resource Build-Up'!AG73</f>
        <v>0</v>
      </c>
    </row>
    <row r="75" spans="1:22" ht="32.450000000000003" customHeight="1" x14ac:dyDescent="0.2">
      <c r="A75" s="98" t="s">
        <v>686</v>
      </c>
      <c r="B75" s="98" t="str">
        <f>'Resource Build-Up'!A74</f>
        <v/>
      </c>
      <c r="C75" s="98">
        <f>'Resource Build-Up'!B74</f>
        <v>0</v>
      </c>
      <c r="D75" s="26" t="str">
        <f>'Resource Build-Up'!C74</f>
        <v/>
      </c>
      <c r="E75" s="26">
        <f>'Resource Build-Up'!H74</f>
        <v>0</v>
      </c>
      <c r="F75" s="26">
        <f>'Resource Build-Up'!P74</f>
        <v>0</v>
      </c>
      <c r="G75" s="26" t="str">
        <f>'Resource Build-Up'!Q74</f>
        <v/>
      </c>
      <c r="H75" s="26" t="str">
        <f>'Resource Build-Up'!T74</f>
        <v/>
      </c>
      <c r="I75" s="44">
        <f>'Resource Build-Up'!Y74</f>
        <v>0</v>
      </c>
      <c r="J75" s="44" t="str">
        <f>'Resource Build-Up'!Z74</f>
        <v/>
      </c>
      <c r="K75" s="26"/>
      <c r="L75" s="26"/>
      <c r="M75" s="26"/>
      <c r="N75" s="26"/>
      <c r="O75" s="26"/>
      <c r="P75" s="26"/>
      <c r="Q75" s="26">
        <f t="shared" si="2"/>
        <v>0</v>
      </c>
      <c r="R75" s="26">
        <f>'Resource Build-Up'!AC74</f>
        <v>0</v>
      </c>
      <c r="S75" s="26">
        <f>'Resource Build-Up'!AF74</f>
        <v>0</v>
      </c>
      <c r="T75" s="99"/>
      <c r="U75" s="26"/>
      <c r="V75" s="26">
        <f>'Resource Build-Up'!AG74</f>
        <v>0</v>
      </c>
    </row>
    <row r="76" spans="1:22" ht="32.450000000000003" customHeight="1" x14ac:dyDescent="0.2">
      <c r="A76" s="98" t="s">
        <v>687</v>
      </c>
      <c r="B76" s="98" t="str">
        <f>'Resource Build-Up'!A75</f>
        <v/>
      </c>
      <c r="C76" s="98">
        <f>'Resource Build-Up'!B75</f>
        <v>0</v>
      </c>
      <c r="D76" s="26" t="str">
        <f>'Resource Build-Up'!C75</f>
        <v/>
      </c>
      <c r="E76" s="26">
        <f>'Resource Build-Up'!H75</f>
        <v>0</v>
      </c>
      <c r="F76" s="26">
        <f>'Resource Build-Up'!P75</f>
        <v>0</v>
      </c>
      <c r="G76" s="26" t="str">
        <f>'Resource Build-Up'!Q75</f>
        <v/>
      </c>
      <c r="H76" s="26" t="str">
        <f>'Resource Build-Up'!T75</f>
        <v/>
      </c>
      <c r="I76" s="44">
        <f>'Resource Build-Up'!Y75</f>
        <v>0</v>
      </c>
      <c r="J76" s="44" t="str">
        <f>'Resource Build-Up'!Z75</f>
        <v/>
      </c>
      <c r="K76" s="26"/>
      <c r="L76" s="26"/>
      <c r="M76" s="26"/>
      <c r="N76" s="26"/>
      <c r="O76" s="26"/>
      <c r="P76" s="26"/>
      <c r="Q76" s="26">
        <f t="shared" si="2"/>
        <v>0</v>
      </c>
      <c r="R76" s="26">
        <f>'Resource Build-Up'!AC75</f>
        <v>0</v>
      </c>
      <c r="S76" s="26">
        <f>'Resource Build-Up'!AF75</f>
        <v>0</v>
      </c>
      <c r="T76" s="100"/>
      <c r="U76" s="26"/>
      <c r="V76" s="26">
        <f>'Resource Build-Up'!AG75</f>
        <v>0</v>
      </c>
    </row>
    <row r="77" spans="1:22" ht="32.450000000000003" customHeight="1" x14ac:dyDescent="0.2">
      <c r="A77" s="98" t="s">
        <v>688</v>
      </c>
      <c r="B77" s="98" t="str">
        <f>'Resource Build-Up'!A76</f>
        <v/>
      </c>
      <c r="C77" s="98">
        <f>'Resource Build-Up'!B76</f>
        <v>0</v>
      </c>
      <c r="D77" s="26" t="str">
        <f>'Resource Build-Up'!C76</f>
        <v/>
      </c>
      <c r="E77" s="26">
        <f>'Resource Build-Up'!H76</f>
        <v>0</v>
      </c>
      <c r="F77" s="26">
        <f>'Resource Build-Up'!P76</f>
        <v>0</v>
      </c>
      <c r="G77" s="26" t="str">
        <f>'Resource Build-Up'!Q76</f>
        <v/>
      </c>
      <c r="H77" s="26" t="str">
        <f>'Resource Build-Up'!T76</f>
        <v/>
      </c>
      <c r="I77" s="44">
        <f>'Resource Build-Up'!Y76</f>
        <v>0</v>
      </c>
      <c r="J77" s="44" t="str">
        <f>'Resource Build-Up'!Z76</f>
        <v/>
      </c>
      <c r="K77" s="26"/>
      <c r="L77" s="26"/>
      <c r="M77" s="26"/>
      <c r="N77" s="26"/>
      <c r="O77" s="26"/>
      <c r="P77" s="26"/>
      <c r="Q77" s="26">
        <f t="shared" si="2"/>
        <v>0</v>
      </c>
      <c r="R77" s="26">
        <f>'Resource Build-Up'!AC76</f>
        <v>0</v>
      </c>
      <c r="S77" s="26">
        <f>'Resource Build-Up'!AF76</f>
        <v>0</v>
      </c>
      <c r="T77" s="99"/>
      <c r="U77" s="26"/>
      <c r="V77" s="26">
        <f>'Resource Build-Up'!AG76</f>
        <v>0</v>
      </c>
    </row>
    <row r="78" spans="1:22" ht="32.450000000000003" customHeight="1" x14ac:dyDescent="0.2">
      <c r="A78" s="98" t="s">
        <v>689</v>
      </c>
      <c r="B78" s="98" t="str">
        <f>'Resource Build-Up'!A77</f>
        <v/>
      </c>
      <c r="C78" s="98">
        <f>'Resource Build-Up'!B77</f>
        <v>0</v>
      </c>
      <c r="D78" s="26" t="str">
        <f>'Resource Build-Up'!C77</f>
        <v/>
      </c>
      <c r="E78" s="26">
        <f>'Resource Build-Up'!H77</f>
        <v>0</v>
      </c>
      <c r="F78" s="26">
        <f>'Resource Build-Up'!P77</f>
        <v>0</v>
      </c>
      <c r="G78" s="26" t="str">
        <f>'Resource Build-Up'!Q77</f>
        <v/>
      </c>
      <c r="H78" s="26" t="str">
        <f>'Resource Build-Up'!T77</f>
        <v/>
      </c>
      <c r="I78" s="44">
        <f>'Resource Build-Up'!Y77</f>
        <v>0</v>
      </c>
      <c r="J78" s="44" t="str">
        <f>'Resource Build-Up'!Z77</f>
        <v/>
      </c>
      <c r="K78" s="26"/>
      <c r="L78" s="26"/>
      <c r="M78" s="26"/>
      <c r="N78" s="26"/>
      <c r="O78" s="26"/>
      <c r="P78" s="26"/>
      <c r="Q78" s="26">
        <f t="shared" si="2"/>
        <v>0</v>
      </c>
      <c r="R78" s="26">
        <f>'Resource Build-Up'!AC77</f>
        <v>0</v>
      </c>
      <c r="S78" s="26">
        <f>'Resource Build-Up'!AF77</f>
        <v>0</v>
      </c>
      <c r="T78" s="100"/>
      <c r="U78" s="26"/>
      <c r="V78" s="26">
        <f>'Resource Build-Up'!AG77</f>
        <v>0</v>
      </c>
    </row>
    <row r="79" spans="1:22" ht="32.450000000000003" customHeight="1" x14ac:dyDescent="0.2">
      <c r="A79" s="98" t="s">
        <v>690</v>
      </c>
      <c r="B79" s="98" t="str">
        <f>'Resource Build-Up'!A78</f>
        <v/>
      </c>
      <c r="C79" s="98">
        <f>'Resource Build-Up'!B78</f>
        <v>0</v>
      </c>
      <c r="D79" s="26" t="str">
        <f>'Resource Build-Up'!C78</f>
        <v/>
      </c>
      <c r="E79" s="26">
        <f>'Resource Build-Up'!H78</f>
        <v>0</v>
      </c>
      <c r="F79" s="26">
        <f>'Resource Build-Up'!P78</f>
        <v>0</v>
      </c>
      <c r="G79" s="26" t="str">
        <f>'Resource Build-Up'!Q78</f>
        <v/>
      </c>
      <c r="H79" s="26" t="str">
        <f>'Resource Build-Up'!T78</f>
        <v/>
      </c>
      <c r="I79" s="44">
        <f>'Resource Build-Up'!Y78</f>
        <v>0</v>
      </c>
      <c r="J79" s="44" t="str">
        <f>'Resource Build-Up'!Z78</f>
        <v/>
      </c>
      <c r="K79" s="26"/>
      <c r="L79" s="26"/>
      <c r="M79" s="26"/>
      <c r="N79" s="26"/>
      <c r="O79" s="26"/>
      <c r="P79" s="26"/>
      <c r="Q79" s="26">
        <f t="shared" si="2"/>
        <v>0</v>
      </c>
      <c r="R79" s="26">
        <f>'Resource Build-Up'!AC78</f>
        <v>0</v>
      </c>
      <c r="S79" s="26">
        <f>'Resource Build-Up'!AF78</f>
        <v>0</v>
      </c>
      <c r="T79" s="99"/>
      <c r="U79" s="26"/>
      <c r="V79" s="26">
        <f>'Resource Build-Up'!AG78</f>
        <v>0</v>
      </c>
    </row>
    <row r="80" spans="1:22" ht="32.450000000000003" customHeight="1" x14ac:dyDescent="0.2">
      <c r="A80" s="98" t="s">
        <v>691</v>
      </c>
      <c r="B80" s="98" t="str">
        <f>'Resource Build-Up'!A79</f>
        <v/>
      </c>
      <c r="C80" s="98">
        <f>'Resource Build-Up'!B79</f>
        <v>0</v>
      </c>
      <c r="D80" s="26" t="str">
        <f>'Resource Build-Up'!C79</f>
        <v/>
      </c>
      <c r="E80" s="26">
        <f>'Resource Build-Up'!H79</f>
        <v>0</v>
      </c>
      <c r="F80" s="26">
        <f>'Resource Build-Up'!P79</f>
        <v>0</v>
      </c>
      <c r="G80" s="26" t="str">
        <f>'Resource Build-Up'!Q79</f>
        <v/>
      </c>
      <c r="H80" s="26" t="str">
        <f>'Resource Build-Up'!T79</f>
        <v/>
      </c>
      <c r="I80" s="44">
        <f>'Resource Build-Up'!Y79</f>
        <v>0</v>
      </c>
      <c r="J80" s="44" t="str">
        <f>'Resource Build-Up'!Z79</f>
        <v/>
      </c>
      <c r="K80" s="26"/>
      <c r="L80" s="26"/>
      <c r="M80" s="26"/>
      <c r="N80" s="26"/>
      <c r="O80" s="26"/>
      <c r="P80" s="26"/>
      <c r="Q80" s="26">
        <f t="shared" si="2"/>
        <v>0</v>
      </c>
      <c r="R80" s="26">
        <f>'Resource Build-Up'!AC79</f>
        <v>0</v>
      </c>
      <c r="S80" s="26">
        <f>'Resource Build-Up'!AF79</f>
        <v>0</v>
      </c>
      <c r="T80" s="100"/>
      <c r="U80" s="26"/>
      <c r="V80" s="26">
        <f>'Resource Build-Up'!AG79</f>
        <v>0</v>
      </c>
    </row>
    <row r="81" spans="1:22" ht="32.450000000000003" customHeight="1" x14ac:dyDescent="0.2">
      <c r="A81" s="98" t="s">
        <v>692</v>
      </c>
      <c r="B81" s="98" t="str">
        <f>'Resource Build-Up'!A80</f>
        <v/>
      </c>
      <c r="C81" s="98">
        <f>'Resource Build-Up'!B80</f>
        <v>0</v>
      </c>
      <c r="D81" s="26" t="str">
        <f>'Resource Build-Up'!C80</f>
        <v/>
      </c>
      <c r="E81" s="26">
        <f>'Resource Build-Up'!H80</f>
        <v>0</v>
      </c>
      <c r="F81" s="26">
        <f>'Resource Build-Up'!P80</f>
        <v>0</v>
      </c>
      <c r="G81" s="26" t="str">
        <f>'Resource Build-Up'!Q80</f>
        <v/>
      </c>
      <c r="H81" s="26" t="str">
        <f>'Resource Build-Up'!T80</f>
        <v/>
      </c>
      <c r="I81" s="44">
        <f>'Resource Build-Up'!Y80</f>
        <v>0</v>
      </c>
      <c r="J81" s="44" t="str">
        <f>'Resource Build-Up'!Z80</f>
        <v/>
      </c>
      <c r="K81" s="26"/>
      <c r="L81" s="26"/>
      <c r="M81" s="26"/>
      <c r="N81" s="26"/>
      <c r="O81" s="26"/>
      <c r="P81" s="26"/>
      <c r="Q81" s="26">
        <f t="shared" si="2"/>
        <v>0</v>
      </c>
      <c r="R81" s="26">
        <f>'Resource Build-Up'!AC80</f>
        <v>0</v>
      </c>
      <c r="S81" s="26">
        <f>'Resource Build-Up'!AF80</f>
        <v>0</v>
      </c>
      <c r="T81" s="99"/>
      <c r="U81" s="26"/>
      <c r="V81" s="26">
        <f>'Resource Build-Up'!AG80</f>
        <v>0</v>
      </c>
    </row>
    <row r="82" spans="1:22" ht="32.450000000000003" customHeight="1" x14ac:dyDescent="0.2">
      <c r="A82" s="98" t="s">
        <v>693</v>
      </c>
      <c r="B82" s="98" t="str">
        <f>'Resource Build-Up'!A81</f>
        <v/>
      </c>
      <c r="C82" s="98">
        <f>'Resource Build-Up'!B81</f>
        <v>0</v>
      </c>
      <c r="D82" s="26" t="str">
        <f>'Resource Build-Up'!C81</f>
        <v/>
      </c>
      <c r="E82" s="26">
        <f>'Resource Build-Up'!H81</f>
        <v>0</v>
      </c>
      <c r="F82" s="26">
        <f>'Resource Build-Up'!P81</f>
        <v>0</v>
      </c>
      <c r="G82" s="26" t="str">
        <f>'Resource Build-Up'!Q81</f>
        <v/>
      </c>
      <c r="H82" s="26" t="str">
        <f>'Resource Build-Up'!T81</f>
        <v/>
      </c>
      <c r="I82" s="44">
        <f>'Resource Build-Up'!Y81</f>
        <v>0</v>
      </c>
      <c r="J82" s="44" t="str">
        <f>'Resource Build-Up'!Z81</f>
        <v/>
      </c>
      <c r="K82" s="26"/>
      <c r="L82" s="26"/>
      <c r="M82" s="26"/>
      <c r="N82" s="26"/>
      <c r="O82" s="26"/>
      <c r="P82" s="26"/>
      <c r="Q82" s="26">
        <f t="shared" si="2"/>
        <v>0</v>
      </c>
      <c r="R82" s="26">
        <f>'Resource Build-Up'!AC81</f>
        <v>0</v>
      </c>
      <c r="S82" s="26">
        <f>'Resource Build-Up'!AF81</f>
        <v>0</v>
      </c>
      <c r="T82" s="99"/>
      <c r="U82" s="26"/>
      <c r="V82" s="26">
        <f>'Resource Build-Up'!AG81</f>
        <v>0</v>
      </c>
    </row>
    <row r="83" spans="1:22" ht="32.450000000000003" customHeight="1" x14ac:dyDescent="0.2">
      <c r="A83" s="98" t="s">
        <v>694</v>
      </c>
      <c r="B83" s="98" t="str">
        <f>'Resource Build-Up'!A82</f>
        <v/>
      </c>
      <c r="C83" s="98">
        <f>'Resource Build-Up'!B82</f>
        <v>0</v>
      </c>
      <c r="D83" s="26" t="str">
        <f>'Resource Build-Up'!C82</f>
        <v/>
      </c>
      <c r="E83" s="26">
        <f>'Resource Build-Up'!H82</f>
        <v>0</v>
      </c>
      <c r="F83" s="26">
        <f>'Resource Build-Up'!P82</f>
        <v>0</v>
      </c>
      <c r="G83" s="26" t="str">
        <f>'Resource Build-Up'!Q82</f>
        <v/>
      </c>
      <c r="H83" s="26" t="str">
        <f>'Resource Build-Up'!T82</f>
        <v/>
      </c>
      <c r="I83" s="44">
        <f>'Resource Build-Up'!Y82</f>
        <v>0</v>
      </c>
      <c r="J83" s="44" t="str">
        <f>'Resource Build-Up'!Z82</f>
        <v/>
      </c>
      <c r="K83" s="26"/>
      <c r="L83" s="26"/>
      <c r="M83" s="26"/>
      <c r="N83" s="26"/>
      <c r="O83" s="26"/>
      <c r="P83" s="26"/>
      <c r="Q83" s="26">
        <f t="shared" si="2"/>
        <v>0</v>
      </c>
      <c r="R83" s="26">
        <f>'Resource Build-Up'!AC82</f>
        <v>0</v>
      </c>
      <c r="S83" s="26">
        <f>'Resource Build-Up'!AF82</f>
        <v>0</v>
      </c>
      <c r="T83" s="100"/>
      <c r="U83" s="26"/>
      <c r="V83" s="26">
        <f>'Resource Build-Up'!AG82</f>
        <v>0</v>
      </c>
    </row>
    <row r="84" spans="1:22" ht="32.450000000000003" customHeight="1" x14ac:dyDescent="0.2">
      <c r="A84" s="98" t="s">
        <v>695</v>
      </c>
      <c r="B84" s="98" t="str">
        <f>'Resource Build-Up'!A83</f>
        <v/>
      </c>
      <c r="C84" s="98">
        <f>'Resource Build-Up'!B83</f>
        <v>0</v>
      </c>
      <c r="D84" s="26" t="str">
        <f>'Resource Build-Up'!C83</f>
        <v/>
      </c>
      <c r="E84" s="26">
        <f>'Resource Build-Up'!H83</f>
        <v>0</v>
      </c>
      <c r="F84" s="26">
        <f>'Resource Build-Up'!P83</f>
        <v>0</v>
      </c>
      <c r="G84" s="26" t="str">
        <f>'Resource Build-Up'!Q83</f>
        <v/>
      </c>
      <c r="H84" s="26" t="str">
        <f>'Resource Build-Up'!T83</f>
        <v/>
      </c>
      <c r="I84" s="44">
        <f>'Resource Build-Up'!Y83</f>
        <v>0</v>
      </c>
      <c r="J84" s="44" t="str">
        <f>'Resource Build-Up'!Z83</f>
        <v/>
      </c>
      <c r="K84" s="26"/>
      <c r="L84" s="26"/>
      <c r="M84" s="26"/>
      <c r="N84" s="26"/>
      <c r="O84" s="26"/>
      <c r="P84" s="26"/>
      <c r="Q84" s="26">
        <f t="shared" si="2"/>
        <v>0</v>
      </c>
      <c r="R84" s="26">
        <f>'Resource Build-Up'!AC83</f>
        <v>0</v>
      </c>
      <c r="S84" s="26">
        <f>'Resource Build-Up'!AF83</f>
        <v>0</v>
      </c>
      <c r="T84" s="100"/>
      <c r="U84" s="26"/>
      <c r="V84" s="26">
        <f>'Resource Build-Up'!AG83</f>
        <v>0</v>
      </c>
    </row>
    <row r="85" spans="1:22" ht="32.450000000000003" customHeight="1" x14ac:dyDescent="0.2">
      <c r="A85" s="98" t="s">
        <v>696</v>
      </c>
      <c r="B85" s="98" t="str">
        <f>'Resource Build-Up'!A84</f>
        <v/>
      </c>
      <c r="C85" s="98">
        <f>'Resource Build-Up'!B84</f>
        <v>0</v>
      </c>
      <c r="D85" s="26" t="str">
        <f>'Resource Build-Up'!C84</f>
        <v/>
      </c>
      <c r="E85" s="26">
        <f>'Resource Build-Up'!H84</f>
        <v>0</v>
      </c>
      <c r="F85" s="26">
        <f>'Resource Build-Up'!P84</f>
        <v>0</v>
      </c>
      <c r="G85" s="26" t="str">
        <f>'Resource Build-Up'!Q84</f>
        <v/>
      </c>
      <c r="H85" s="26" t="str">
        <f>'Resource Build-Up'!T84</f>
        <v/>
      </c>
      <c r="I85" s="44">
        <f>'Resource Build-Up'!Y84</f>
        <v>0</v>
      </c>
      <c r="J85" s="44" t="str">
        <f>'Resource Build-Up'!Z84</f>
        <v/>
      </c>
      <c r="K85" s="26"/>
      <c r="L85" s="26"/>
      <c r="M85" s="26"/>
      <c r="N85" s="26"/>
      <c r="O85" s="26"/>
      <c r="P85" s="26"/>
      <c r="Q85" s="26">
        <f t="shared" si="2"/>
        <v>0</v>
      </c>
      <c r="R85" s="26">
        <f>'Resource Build-Up'!AC84</f>
        <v>0</v>
      </c>
      <c r="S85" s="26">
        <f>'Resource Build-Up'!AF84</f>
        <v>0</v>
      </c>
      <c r="T85" s="99"/>
      <c r="U85" s="26"/>
      <c r="V85" s="26">
        <f>'Resource Build-Up'!AG84</f>
        <v>0</v>
      </c>
    </row>
    <row r="86" spans="1:22" ht="32.450000000000003" customHeight="1" x14ac:dyDescent="0.2">
      <c r="A86" s="98" t="s">
        <v>697</v>
      </c>
      <c r="B86" s="98" t="str">
        <f>'Resource Build-Up'!A85</f>
        <v/>
      </c>
      <c r="C86" s="98">
        <f>'Resource Build-Up'!B85</f>
        <v>0</v>
      </c>
      <c r="D86" s="26" t="str">
        <f>'Resource Build-Up'!C85</f>
        <v/>
      </c>
      <c r="E86" s="26">
        <f>'Resource Build-Up'!H85</f>
        <v>0</v>
      </c>
      <c r="F86" s="26">
        <f>'Resource Build-Up'!P85</f>
        <v>0</v>
      </c>
      <c r="G86" s="26" t="str">
        <f>'Resource Build-Up'!Q85</f>
        <v/>
      </c>
      <c r="H86" s="26" t="str">
        <f>'Resource Build-Up'!T85</f>
        <v/>
      </c>
      <c r="I86" s="44">
        <f>'Resource Build-Up'!Y85</f>
        <v>0</v>
      </c>
      <c r="J86" s="44" t="str">
        <f>'Resource Build-Up'!Z85</f>
        <v/>
      </c>
      <c r="K86" s="26"/>
      <c r="L86" s="26"/>
      <c r="M86" s="26"/>
      <c r="N86" s="26"/>
      <c r="O86" s="26"/>
      <c r="P86" s="26"/>
      <c r="Q86" s="26">
        <f t="shared" si="2"/>
        <v>0</v>
      </c>
      <c r="R86" s="26">
        <f>'Resource Build-Up'!AC85</f>
        <v>0</v>
      </c>
      <c r="S86" s="26">
        <f>'Resource Build-Up'!AF85</f>
        <v>0</v>
      </c>
      <c r="T86" s="100"/>
      <c r="U86" s="26"/>
      <c r="V86" s="26">
        <f>'Resource Build-Up'!AG85</f>
        <v>0</v>
      </c>
    </row>
    <row r="87" spans="1:22" ht="32.450000000000003" customHeight="1" x14ac:dyDescent="0.2">
      <c r="A87" s="98" t="s">
        <v>698</v>
      </c>
      <c r="B87" s="98" t="str">
        <f>'Resource Build-Up'!A86</f>
        <v/>
      </c>
      <c r="C87" s="98">
        <f>'Resource Build-Up'!B86</f>
        <v>0</v>
      </c>
      <c r="D87" s="26" t="str">
        <f>'Resource Build-Up'!C86</f>
        <v/>
      </c>
      <c r="E87" s="26">
        <f>'Resource Build-Up'!H86</f>
        <v>0</v>
      </c>
      <c r="F87" s="26">
        <f>'Resource Build-Up'!P86</f>
        <v>0</v>
      </c>
      <c r="G87" s="26" t="str">
        <f>'Resource Build-Up'!Q86</f>
        <v/>
      </c>
      <c r="H87" s="26" t="str">
        <f>'Resource Build-Up'!T86</f>
        <v/>
      </c>
      <c r="I87" s="44">
        <f>'Resource Build-Up'!Y86</f>
        <v>0</v>
      </c>
      <c r="J87" s="44" t="str">
        <f>'Resource Build-Up'!Z86</f>
        <v/>
      </c>
      <c r="K87" s="26"/>
      <c r="L87" s="26"/>
      <c r="M87" s="26"/>
      <c r="N87" s="26"/>
      <c r="O87" s="26"/>
      <c r="P87" s="26"/>
      <c r="Q87" s="26">
        <f t="shared" si="2"/>
        <v>0</v>
      </c>
      <c r="R87" s="26">
        <f>'Resource Build-Up'!AC86</f>
        <v>0</v>
      </c>
      <c r="S87" s="26">
        <f>'Resource Build-Up'!AF86</f>
        <v>0</v>
      </c>
      <c r="T87" s="100"/>
      <c r="U87" s="26"/>
      <c r="V87" s="26">
        <f>'Resource Build-Up'!AG86</f>
        <v>0</v>
      </c>
    </row>
    <row r="88" spans="1:22" ht="32.450000000000003" customHeight="1" x14ac:dyDescent="0.2">
      <c r="A88" s="98" t="s">
        <v>699</v>
      </c>
      <c r="B88" s="98" t="str">
        <f>'Resource Build-Up'!A87</f>
        <v/>
      </c>
      <c r="C88" s="98">
        <f>'Resource Build-Up'!B87</f>
        <v>0</v>
      </c>
      <c r="D88" s="26" t="str">
        <f>'Resource Build-Up'!C87</f>
        <v/>
      </c>
      <c r="E88" s="26">
        <f>'Resource Build-Up'!H87</f>
        <v>0</v>
      </c>
      <c r="F88" s="26">
        <f>'Resource Build-Up'!P87</f>
        <v>0</v>
      </c>
      <c r="G88" s="26" t="str">
        <f>'Resource Build-Up'!Q87</f>
        <v/>
      </c>
      <c r="H88" s="26" t="str">
        <f>'Resource Build-Up'!T87</f>
        <v/>
      </c>
      <c r="I88" s="44">
        <f>'Resource Build-Up'!Y87</f>
        <v>0</v>
      </c>
      <c r="J88" s="44" t="str">
        <f>'Resource Build-Up'!Z87</f>
        <v/>
      </c>
      <c r="K88" s="26"/>
      <c r="L88" s="26"/>
      <c r="M88" s="26"/>
      <c r="N88" s="26"/>
      <c r="O88" s="26"/>
      <c r="P88" s="26"/>
      <c r="Q88" s="26">
        <f t="shared" si="2"/>
        <v>0</v>
      </c>
      <c r="R88" s="26">
        <f>'Resource Build-Up'!AC87</f>
        <v>0</v>
      </c>
      <c r="S88" s="26">
        <f>'Resource Build-Up'!AF87</f>
        <v>0</v>
      </c>
      <c r="T88" s="100"/>
      <c r="U88" s="26"/>
      <c r="V88" s="26">
        <f>'Resource Build-Up'!AG87</f>
        <v>0</v>
      </c>
    </row>
    <row r="89" spans="1:22" ht="32.450000000000003" customHeight="1" x14ac:dyDescent="0.2">
      <c r="A89" s="98" t="s">
        <v>700</v>
      </c>
      <c r="B89" s="98" t="str">
        <f>'Resource Build-Up'!A88</f>
        <v/>
      </c>
      <c r="C89" s="98">
        <f>'Resource Build-Up'!B88</f>
        <v>0</v>
      </c>
      <c r="D89" s="26" t="str">
        <f>'Resource Build-Up'!C88</f>
        <v/>
      </c>
      <c r="E89" s="26">
        <f>'Resource Build-Up'!H88</f>
        <v>0</v>
      </c>
      <c r="F89" s="26">
        <f>'Resource Build-Up'!P88</f>
        <v>0</v>
      </c>
      <c r="G89" s="26" t="str">
        <f>'Resource Build-Up'!Q88</f>
        <v/>
      </c>
      <c r="H89" s="26" t="str">
        <f>'Resource Build-Up'!T88</f>
        <v/>
      </c>
      <c r="I89" s="44">
        <f>'Resource Build-Up'!Y88</f>
        <v>0</v>
      </c>
      <c r="J89" s="44" t="str">
        <f>'Resource Build-Up'!Z88</f>
        <v/>
      </c>
      <c r="K89" s="26"/>
      <c r="L89" s="26"/>
      <c r="M89" s="26"/>
      <c r="N89" s="26"/>
      <c r="O89" s="26"/>
      <c r="P89" s="26"/>
      <c r="Q89" s="26">
        <f t="shared" si="2"/>
        <v>0</v>
      </c>
      <c r="R89" s="26">
        <f>'Resource Build-Up'!AC88</f>
        <v>0</v>
      </c>
      <c r="S89" s="26">
        <f>'Resource Build-Up'!AF88</f>
        <v>0</v>
      </c>
      <c r="T89" s="99"/>
      <c r="U89" s="26"/>
      <c r="V89" s="26">
        <f>'Resource Build-Up'!AG88</f>
        <v>0</v>
      </c>
    </row>
    <row r="90" spans="1:22" ht="32.450000000000003" customHeight="1" x14ac:dyDescent="0.2">
      <c r="A90" s="98" t="s">
        <v>701</v>
      </c>
      <c r="B90" s="98" t="str">
        <f>'Resource Build-Up'!A89</f>
        <v/>
      </c>
      <c r="C90" s="98">
        <f>'Resource Build-Up'!B89</f>
        <v>0</v>
      </c>
      <c r="D90" s="26" t="str">
        <f>'Resource Build-Up'!C89</f>
        <v/>
      </c>
      <c r="E90" s="26">
        <f>'Resource Build-Up'!H89</f>
        <v>0</v>
      </c>
      <c r="F90" s="26">
        <f>'Resource Build-Up'!P89</f>
        <v>0</v>
      </c>
      <c r="G90" s="26" t="str">
        <f>'Resource Build-Up'!Q89</f>
        <v/>
      </c>
      <c r="H90" s="26" t="str">
        <f>'Resource Build-Up'!T89</f>
        <v/>
      </c>
      <c r="I90" s="44">
        <f>'Resource Build-Up'!Y89</f>
        <v>0</v>
      </c>
      <c r="J90" s="44" t="str">
        <f>'Resource Build-Up'!Z89</f>
        <v/>
      </c>
      <c r="K90" s="26"/>
      <c r="L90" s="26"/>
      <c r="M90" s="26"/>
      <c r="N90" s="26"/>
      <c r="O90" s="26"/>
      <c r="P90" s="26"/>
      <c r="Q90" s="26">
        <f t="shared" si="2"/>
        <v>0</v>
      </c>
      <c r="R90" s="26">
        <f>'Resource Build-Up'!AC89</f>
        <v>0</v>
      </c>
      <c r="S90" s="26">
        <f>'Resource Build-Up'!AF89</f>
        <v>0</v>
      </c>
      <c r="T90" s="100"/>
      <c r="U90" s="26"/>
      <c r="V90" s="26">
        <f>'Resource Build-Up'!AG89</f>
        <v>0</v>
      </c>
    </row>
    <row r="91" spans="1:22" ht="32.450000000000003" customHeight="1" x14ac:dyDescent="0.2">
      <c r="A91" s="98" t="s">
        <v>702</v>
      </c>
      <c r="B91" s="98" t="str">
        <f>'Resource Build-Up'!A90</f>
        <v/>
      </c>
      <c r="C91" s="98">
        <f>'Resource Build-Up'!B90</f>
        <v>0</v>
      </c>
      <c r="D91" s="26" t="str">
        <f>'Resource Build-Up'!C90</f>
        <v/>
      </c>
      <c r="E91" s="26">
        <f>'Resource Build-Up'!H90</f>
        <v>0</v>
      </c>
      <c r="F91" s="26">
        <f>'Resource Build-Up'!P90</f>
        <v>0</v>
      </c>
      <c r="G91" s="26" t="str">
        <f>'Resource Build-Up'!Q90</f>
        <v/>
      </c>
      <c r="H91" s="26" t="str">
        <f>'Resource Build-Up'!T90</f>
        <v/>
      </c>
      <c r="I91" s="44">
        <f>'Resource Build-Up'!Y90</f>
        <v>0</v>
      </c>
      <c r="J91" s="44" t="str">
        <f>'Resource Build-Up'!Z90</f>
        <v/>
      </c>
      <c r="K91" s="26"/>
      <c r="L91" s="26"/>
      <c r="M91" s="26"/>
      <c r="N91" s="26"/>
      <c r="O91" s="26"/>
      <c r="P91" s="26"/>
      <c r="Q91" s="26">
        <f t="shared" si="2"/>
        <v>0</v>
      </c>
      <c r="R91" s="26">
        <f>'Resource Build-Up'!AC90</f>
        <v>0</v>
      </c>
      <c r="S91" s="26">
        <f>'Resource Build-Up'!AF90</f>
        <v>0</v>
      </c>
      <c r="T91" s="100"/>
      <c r="U91" s="26"/>
      <c r="V91" s="26">
        <f>'Resource Build-Up'!AG90</f>
        <v>0</v>
      </c>
    </row>
    <row r="92" spans="1:22" ht="32.450000000000003" customHeight="1" x14ac:dyDescent="0.2">
      <c r="A92" s="98" t="s">
        <v>703</v>
      </c>
      <c r="B92" s="98" t="str">
        <f>'Resource Build-Up'!A91</f>
        <v/>
      </c>
      <c r="C92" s="98">
        <f>'Resource Build-Up'!B91</f>
        <v>0</v>
      </c>
      <c r="D92" s="26" t="str">
        <f>'Resource Build-Up'!C91</f>
        <v/>
      </c>
      <c r="E92" s="26">
        <f>'Resource Build-Up'!H91</f>
        <v>0</v>
      </c>
      <c r="F92" s="26">
        <f>'Resource Build-Up'!P91</f>
        <v>0</v>
      </c>
      <c r="G92" s="26" t="str">
        <f>'Resource Build-Up'!Q91</f>
        <v/>
      </c>
      <c r="H92" s="26" t="str">
        <f>'Resource Build-Up'!T91</f>
        <v/>
      </c>
      <c r="I92" s="44">
        <f>'Resource Build-Up'!Y91</f>
        <v>0</v>
      </c>
      <c r="J92" s="44" t="str">
        <f>'Resource Build-Up'!Z91</f>
        <v/>
      </c>
      <c r="K92" s="26"/>
      <c r="L92" s="26"/>
      <c r="M92" s="26"/>
      <c r="N92" s="26"/>
      <c r="O92" s="26"/>
      <c r="P92" s="26"/>
      <c r="Q92" s="26">
        <f t="shared" si="2"/>
        <v>0</v>
      </c>
      <c r="R92" s="26">
        <f>'Resource Build-Up'!AC91</f>
        <v>0</v>
      </c>
      <c r="S92" s="26">
        <f>'Resource Build-Up'!AF91</f>
        <v>0</v>
      </c>
      <c r="T92" s="99"/>
      <c r="U92" s="26"/>
      <c r="V92" s="26">
        <f>'Resource Build-Up'!AG91</f>
        <v>0</v>
      </c>
    </row>
    <row r="93" spans="1:22" ht="32.450000000000003" customHeight="1" x14ac:dyDescent="0.2">
      <c r="A93" s="98" t="s">
        <v>704</v>
      </c>
      <c r="B93" s="98" t="str">
        <f>'Resource Build-Up'!A92</f>
        <v/>
      </c>
      <c r="C93" s="98">
        <f>'Resource Build-Up'!B92</f>
        <v>0</v>
      </c>
      <c r="D93" s="26" t="str">
        <f>'Resource Build-Up'!C92</f>
        <v/>
      </c>
      <c r="E93" s="26">
        <f>'Resource Build-Up'!H92</f>
        <v>0</v>
      </c>
      <c r="F93" s="26">
        <f>'Resource Build-Up'!P92</f>
        <v>0</v>
      </c>
      <c r="G93" s="26" t="str">
        <f>'Resource Build-Up'!Q92</f>
        <v/>
      </c>
      <c r="H93" s="26" t="str">
        <f>'Resource Build-Up'!T92</f>
        <v/>
      </c>
      <c r="I93" s="44">
        <f>'Resource Build-Up'!Y92</f>
        <v>0</v>
      </c>
      <c r="J93" s="44" t="str">
        <f>'Resource Build-Up'!Z92</f>
        <v/>
      </c>
      <c r="K93" s="26"/>
      <c r="L93" s="26"/>
      <c r="M93" s="26"/>
      <c r="N93" s="26"/>
      <c r="O93" s="26"/>
      <c r="P93" s="26"/>
      <c r="Q93" s="26">
        <f t="shared" si="2"/>
        <v>0</v>
      </c>
      <c r="R93" s="26">
        <f>'Resource Build-Up'!AC92</f>
        <v>0</v>
      </c>
      <c r="S93" s="26">
        <f>'Resource Build-Up'!AF92</f>
        <v>0</v>
      </c>
      <c r="T93" s="99"/>
      <c r="U93" s="26"/>
      <c r="V93" s="26">
        <f>'Resource Build-Up'!AG92</f>
        <v>0</v>
      </c>
    </row>
    <row r="94" spans="1:22" ht="32.450000000000003" customHeight="1" x14ac:dyDescent="0.2">
      <c r="A94" s="98" t="s">
        <v>705</v>
      </c>
      <c r="B94" s="98" t="str">
        <f>'Resource Build-Up'!A93</f>
        <v/>
      </c>
      <c r="C94" s="98">
        <f>'Resource Build-Up'!B93</f>
        <v>0</v>
      </c>
      <c r="D94" s="26" t="str">
        <f>'Resource Build-Up'!C93</f>
        <v/>
      </c>
      <c r="E94" s="26">
        <f>'Resource Build-Up'!H93</f>
        <v>0</v>
      </c>
      <c r="F94" s="26">
        <f>'Resource Build-Up'!P93</f>
        <v>0</v>
      </c>
      <c r="G94" s="26" t="str">
        <f>'Resource Build-Up'!Q93</f>
        <v/>
      </c>
      <c r="H94" s="26" t="str">
        <f>'Resource Build-Up'!T93</f>
        <v/>
      </c>
      <c r="I94" s="44">
        <f>'Resource Build-Up'!Y93</f>
        <v>0</v>
      </c>
      <c r="J94" s="44" t="str">
        <f>'Resource Build-Up'!Z93</f>
        <v/>
      </c>
      <c r="K94" s="26"/>
      <c r="L94" s="26"/>
      <c r="M94" s="26"/>
      <c r="N94" s="26"/>
      <c r="O94" s="26"/>
      <c r="P94" s="26"/>
      <c r="Q94" s="26">
        <f t="shared" si="2"/>
        <v>0</v>
      </c>
      <c r="R94" s="26">
        <f>'Resource Build-Up'!AC93</f>
        <v>0</v>
      </c>
      <c r="S94" s="26">
        <f>'Resource Build-Up'!AF93</f>
        <v>0</v>
      </c>
      <c r="T94" s="100"/>
      <c r="U94" s="26"/>
      <c r="V94" s="26">
        <f>'Resource Build-Up'!AG93</f>
        <v>0</v>
      </c>
    </row>
    <row r="95" spans="1:22" ht="32.450000000000003" customHeight="1" x14ac:dyDescent="0.2">
      <c r="A95" s="98" t="s">
        <v>706</v>
      </c>
      <c r="B95" s="98" t="str">
        <f>'Resource Build-Up'!A94</f>
        <v/>
      </c>
      <c r="C95" s="98">
        <f>'Resource Build-Up'!B94</f>
        <v>0</v>
      </c>
      <c r="D95" s="26" t="str">
        <f>'Resource Build-Up'!C94</f>
        <v/>
      </c>
      <c r="E95" s="26">
        <f>'Resource Build-Up'!H94</f>
        <v>0</v>
      </c>
      <c r="F95" s="26">
        <f>'Resource Build-Up'!P94</f>
        <v>0</v>
      </c>
      <c r="G95" s="26" t="str">
        <f>'Resource Build-Up'!Q94</f>
        <v/>
      </c>
      <c r="H95" s="26" t="str">
        <f>'Resource Build-Up'!T94</f>
        <v/>
      </c>
      <c r="I95" s="44">
        <f>'Resource Build-Up'!Y94</f>
        <v>0</v>
      </c>
      <c r="J95" s="44" t="str">
        <f>'Resource Build-Up'!Z94</f>
        <v/>
      </c>
      <c r="K95" s="26"/>
      <c r="L95" s="26"/>
      <c r="M95" s="26"/>
      <c r="N95" s="26"/>
      <c r="O95" s="26"/>
      <c r="P95" s="26"/>
      <c r="Q95" s="26">
        <f t="shared" si="2"/>
        <v>0</v>
      </c>
      <c r="R95" s="26">
        <f>'Resource Build-Up'!AC94</f>
        <v>0</v>
      </c>
      <c r="S95" s="26">
        <f>'Resource Build-Up'!AF94</f>
        <v>0</v>
      </c>
      <c r="T95" s="99"/>
      <c r="U95" s="26"/>
      <c r="V95" s="26">
        <f>'Resource Build-Up'!AG94</f>
        <v>0</v>
      </c>
    </row>
    <row r="96" spans="1:22" ht="32.450000000000003" customHeight="1" x14ac:dyDescent="0.2">
      <c r="A96" s="98" t="s">
        <v>707</v>
      </c>
      <c r="B96" s="98" t="str">
        <f>'Resource Build-Up'!A95</f>
        <v/>
      </c>
      <c r="C96" s="98">
        <f>'Resource Build-Up'!B95</f>
        <v>0</v>
      </c>
      <c r="D96" s="26" t="str">
        <f>'Resource Build-Up'!C95</f>
        <v/>
      </c>
      <c r="E96" s="26">
        <f>'Resource Build-Up'!H95</f>
        <v>0</v>
      </c>
      <c r="F96" s="26">
        <f>'Resource Build-Up'!P95</f>
        <v>0</v>
      </c>
      <c r="G96" s="26" t="str">
        <f>'Resource Build-Up'!Q95</f>
        <v/>
      </c>
      <c r="H96" s="26" t="str">
        <f>'Resource Build-Up'!T95</f>
        <v/>
      </c>
      <c r="I96" s="44">
        <f>'Resource Build-Up'!Y95</f>
        <v>0</v>
      </c>
      <c r="J96" s="44" t="str">
        <f>'Resource Build-Up'!Z95</f>
        <v/>
      </c>
      <c r="K96" s="26"/>
      <c r="L96" s="26"/>
      <c r="M96" s="26"/>
      <c r="N96" s="26"/>
      <c r="O96" s="26"/>
      <c r="P96" s="26"/>
      <c r="Q96" s="26">
        <f t="shared" si="2"/>
        <v>0</v>
      </c>
      <c r="R96" s="26">
        <f>'Resource Build-Up'!AC95</f>
        <v>0</v>
      </c>
      <c r="S96" s="26">
        <f>'Resource Build-Up'!AF95</f>
        <v>0</v>
      </c>
      <c r="T96" s="99"/>
      <c r="U96" s="26"/>
      <c r="V96" s="26">
        <f>'Resource Build-Up'!AG95</f>
        <v>0</v>
      </c>
    </row>
    <row r="97" spans="1:22" ht="32.450000000000003" customHeight="1" x14ac:dyDescent="0.2">
      <c r="A97" s="98" t="s">
        <v>708</v>
      </c>
      <c r="B97" s="98" t="str">
        <f>'Resource Build-Up'!A96</f>
        <v/>
      </c>
      <c r="C97" s="98">
        <f>'Resource Build-Up'!B96</f>
        <v>0</v>
      </c>
      <c r="D97" s="26" t="str">
        <f>'Resource Build-Up'!C96</f>
        <v/>
      </c>
      <c r="E97" s="26">
        <f>'Resource Build-Up'!H96</f>
        <v>0</v>
      </c>
      <c r="F97" s="26">
        <f>'Resource Build-Up'!P96</f>
        <v>0</v>
      </c>
      <c r="G97" s="26" t="str">
        <f>'Resource Build-Up'!Q96</f>
        <v/>
      </c>
      <c r="H97" s="26" t="str">
        <f>'Resource Build-Up'!T96</f>
        <v/>
      </c>
      <c r="I97" s="44">
        <f>'Resource Build-Up'!Y96</f>
        <v>0</v>
      </c>
      <c r="J97" s="44" t="str">
        <f>'Resource Build-Up'!Z96</f>
        <v/>
      </c>
      <c r="K97" s="26"/>
      <c r="L97" s="26"/>
      <c r="M97" s="26"/>
      <c r="N97" s="26"/>
      <c r="O97" s="26"/>
      <c r="P97" s="26"/>
      <c r="Q97" s="26">
        <f t="shared" si="2"/>
        <v>0</v>
      </c>
      <c r="R97" s="26">
        <f>'Resource Build-Up'!AC96</f>
        <v>0</v>
      </c>
      <c r="S97" s="26">
        <f>'Resource Build-Up'!AF96</f>
        <v>0</v>
      </c>
      <c r="T97" s="99"/>
      <c r="U97" s="26"/>
      <c r="V97" s="26">
        <f>'Resource Build-Up'!AG96</f>
        <v>0</v>
      </c>
    </row>
    <row r="98" spans="1:22" ht="32.450000000000003" customHeight="1" x14ac:dyDescent="0.2">
      <c r="A98" s="98" t="s">
        <v>709</v>
      </c>
      <c r="B98" s="98" t="str">
        <f>'Resource Build-Up'!A97</f>
        <v/>
      </c>
      <c r="C98" s="98">
        <f>'Resource Build-Up'!B97</f>
        <v>0</v>
      </c>
      <c r="D98" s="26" t="str">
        <f>'Resource Build-Up'!C97</f>
        <v/>
      </c>
      <c r="E98" s="26">
        <f>'Resource Build-Up'!H97</f>
        <v>0</v>
      </c>
      <c r="F98" s="26">
        <f>'Resource Build-Up'!P97</f>
        <v>0</v>
      </c>
      <c r="G98" s="26" t="str">
        <f>'Resource Build-Up'!Q97</f>
        <v/>
      </c>
      <c r="H98" s="26" t="str">
        <f>'Resource Build-Up'!T97</f>
        <v/>
      </c>
      <c r="I98" s="44">
        <f>'Resource Build-Up'!Y97</f>
        <v>0</v>
      </c>
      <c r="J98" s="44" t="str">
        <f>'Resource Build-Up'!Z97</f>
        <v/>
      </c>
      <c r="K98" s="26"/>
      <c r="L98" s="26"/>
      <c r="M98" s="26"/>
      <c r="N98" s="26"/>
      <c r="O98" s="26"/>
      <c r="P98" s="26"/>
      <c r="Q98" s="26">
        <f t="shared" si="2"/>
        <v>0</v>
      </c>
      <c r="R98" s="26">
        <f>'Resource Build-Up'!AC97</f>
        <v>0</v>
      </c>
      <c r="S98" s="26">
        <f>'Resource Build-Up'!AF97</f>
        <v>0</v>
      </c>
      <c r="T98" s="99"/>
      <c r="U98" s="26"/>
      <c r="V98" s="26">
        <f>'Resource Build-Up'!AG97</f>
        <v>0</v>
      </c>
    </row>
    <row r="99" spans="1:22" ht="32.450000000000003" customHeight="1" x14ac:dyDescent="0.2">
      <c r="A99" s="98" t="s">
        <v>710</v>
      </c>
      <c r="B99" s="98" t="str">
        <f>'Resource Build-Up'!A98</f>
        <v/>
      </c>
      <c r="C99" s="98">
        <f>'Resource Build-Up'!B98</f>
        <v>0</v>
      </c>
      <c r="D99" s="26" t="str">
        <f>'Resource Build-Up'!C98</f>
        <v/>
      </c>
      <c r="E99" s="26">
        <f>'Resource Build-Up'!H98</f>
        <v>0</v>
      </c>
      <c r="F99" s="26">
        <f>'Resource Build-Up'!P98</f>
        <v>0</v>
      </c>
      <c r="G99" s="26" t="str">
        <f>'Resource Build-Up'!Q98</f>
        <v/>
      </c>
      <c r="H99" s="26" t="str">
        <f>'Resource Build-Up'!T98</f>
        <v/>
      </c>
      <c r="I99" s="44">
        <f>'Resource Build-Up'!Y98</f>
        <v>0</v>
      </c>
      <c r="J99" s="44" t="str">
        <f>'Resource Build-Up'!Z98</f>
        <v/>
      </c>
      <c r="K99" s="26"/>
      <c r="L99" s="26"/>
      <c r="M99" s="26"/>
      <c r="N99" s="26"/>
      <c r="O99" s="26"/>
      <c r="P99" s="26"/>
      <c r="Q99" s="26">
        <f t="shared" si="2"/>
        <v>0</v>
      </c>
      <c r="R99" s="26">
        <f>'Resource Build-Up'!AC98</f>
        <v>0</v>
      </c>
      <c r="S99" s="26">
        <f>'Resource Build-Up'!AF98</f>
        <v>0</v>
      </c>
      <c r="T99" s="99"/>
      <c r="U99" s="26"/>
      <c r="V99" s="26">
        <f>'Resource Build-Up'!AG98</f>
        <v>0</v>
      </c>
    </row>
    <row r="100" spans="1:22" ht="32.450000000000003" customHeight="1" x14ac:dyDescent="0.2">
      <c r="A100" s="98" t="s">
        <v>711</v>
      </c>
      <c r="B100" s="98" t="str">
        <f>'Resource Build-Up'!A99</f>
        <v/>
      </c>
      <c r="C100" s="98">
        <f>'Resource Build-Up'!B99</f>
        <v>0</v>
      </c>
      <c r="D100" s="26" t="str">
        <f>'Resource Build-Up'!C99</f>
        <v/>
      </c>
      <c r="E100" s="26">
        <f>'Resource Build-Up'!H99</f>
        <v>0</v>
      </c>
      <c r="F100" s="26">
        <f>'Resource Build-Up'!P99</f>
        <v>0</v>
      </c>
      <c r="G100" s="26" t="str">
        <f>'Resource Build-Up'!Q99</f>
        <v/>
      </c>
      <c r="H100" s="26" t="str">
        <f>'Resource Build-Up'!T99</f>
        <v/>
      </c>
      <c r="I100" s="44">
        <f>'Resource Build-Up'!Y99</f>
        <v>0</v>
      </c>
      <c r="J100" s="44" t="str">
        <f>'Resource Build-Up'!Z99</f>
        <v/>
      </c>
      <c r="K100" s="26"/>
      <c r="L100" s="26"/>
      <c r="M100" s="26"/>
      <c r="N100" s="26"/>
      <c r="O100" s="26"/>
      <c r="P100" s="26"/>
      <c r="Q100" s="26">
        <f t="shared" si="2"/>
        <v>0</v>
      </c>
      <c r="R100" s="26">
        <f>'Resource Build-Up'!AC99</f>
        <v>0</v>
      </c>
      <c r="S100" s="26">
        <f>'Resource Build-Up'!AF99</f>
        <v>0</v>
      </c>
      <c r="T100" s="99"/>
      <c r="U100" s="26"/>
      <c r="V100" s="26">
        <f>'Resource Build-Up'!AG99</f>
        <v>0</v>
      </c>
    </row>
    <row r="101" spans="1:22" ht="32.450000000000003" customHeight="1" x14ac:dyDescent="0.2">
      <c r="A101" s="98" t="s">
        <v>712</v>
      </c>
      <c r="B101" s="98" t="str">
        <f>'Resource Build-Up'!A100</f>
        <v/>
      </c>
      <c r="C101" s="98">
        <f>'Resource Build-Up'!B100</f>
        <v>0</v>
      </c>
      <c r="D101" s="26" t="str">
        <f>'Resource Build-Up'!C100</f>
        <v/>
      </c>
      <c r="E101" s="26">
        <f>'Resource Build-Up'!H100</f>
        <v>0</v>
      </c>
      <c r="F101" s="26">
        <f>'Resource Build-Up'!P100</f>
        <v>0</v>
      </c>
      <c r="G101" s="26" t="str">
        <f>'Resource Build-Up'!Q100</f>
        <v/>
      </c>
      <c r="H101" s="26" t="str">
        <f>'Resource Build-Up'!T100</f>
        <v/>
      </c>
      <c r="I101" s="44">
        <f>'Resource Build-Up'!Y100</f>
        <v>0</v>
      </c>
      <c r="J101" s="44" t="str">
        <f>'Resource Build-Up'!Z100</f>
        <v/>
      </c>
      <c r="K101" s="26"/>
      <c r="L101" s="26"/>
      <c r="M101" s="26"/>
      <c r="N101" s="26"/>
      <c r="O101" s="26"/>
      <c r="P101" s="26"/>
      <c r="Q101" s="26">
        <f t="shared" si="2"/>
        <v>0</v>
      </c>
      <c r="R101" s="26">
        <f>'Resource Build-Up'!AC100</f>
        <v>0</v>
      </c>
      <c r="S101" s="26">
        <f>'Resource Build-Up'!AF100</f>
        <v>0</v>
      </c>
      <c r="T101" s="99"/>
      <c r="U101" s="26"/>
      <c r="V101" s="26">
        <f>'Resource Build-Up'!AG100</f>
        <v>0</v>
      </c>
    </row>
    <row r="102" spans="1:22" ht="32.450000000000003" customHeight="1" x14ac:dyDescent="0.2">
      <c r="A102" s="98" t="s">
        <v>713</v>
      </c>
      <c r="B102" s="98" t="str">
        <f>'Resource Build-Up'!A101</f>
        <v/>
      </c>
      <c r="C102" s="98">
        <f>'Resource Build-Up'!B101</f>
        <v>0</v>
      </c>
      <c r="D102" s="26" t="str">
        <f>'Resource Build-Up'!C101</f>
        <v/>
      </c>
      <c r="E102" s="26">
        <f>'Resource Build-Up'!H101</f>
        <v>0</v>
      </c>
      <c r="F102" s="26">
        <f>'Resource Build-Up'!P101</f>
        <v>0</v>
      </c>
      <c r="G102" s="26" t="str">
        <f>'Resource Build-Up'!Q101</f>
        <v/>
      </c>
      <c r="H102" s="26" t="str">
        <f>'Resource Build-Up'!T101</f>
        <v/>
      </c>
      <c r="I102" s="44">
        <f>'Resource Build-Up'!Y101</f>
        <v>0</v>
      </c>
      <c r="J102" s="44" t="str">
        <f>'Resource Build-Up'!Z101</f>
        <v/>
      </c>
      <c r="K102" s="26"/>
      <c r="L102" s="26"/>
      <c r="M102" s="26"/>
      <c r="N102" s="26"/>
      <c r="O102" s="26"/>
      <c r="P102" s="26"/>
      <c r="Q102" s="26">
        <f t="shared" si="2"/>
        <v>0</v>
      </c>
      <c r="R102" s="26">
        <f>'Resource Build-Up'!AC101</f>
        <v>0</v>
      </c>
      <c r="S102" s="26">
        <f>'Resource Build-Up'!AF101</f>
        <v>0</v>
      </c>
      <c r="T102" s="99"/>
      <c r="U102" s="26"/>
      <c r="V102" s="26">
        <f>'Resource Build-Up'!AG101</f>
        <v>0</v>
      </c>
    </row>
    <row r="103" spans="1:22" ht="32.450000000000003" customHeight="1" x14ac:dyDescent="0.2">
      <c r="A103" s="98" t="s">
        <v>714</v>
      </c>
      <c r="B103" s="98" t="str">
        <f>'Resource Build-Up'!A102</f>
        <v/>
      </c>
      <c r="C103" s="98">
        <f>'Resource Build-Up'!B102</f>
        <v>0</v>
      </c>
      <c r="D103" s="26" t="str">
        <f>'Resource Build-Up'!C102</f>
        <v/>
      </c>
      <c r="E103" s="26">
        <f>'Resource Build-Up'!H102</f>
        <v>0</v>
      </c>
      <c r="F103" s="26">
        <f>'Resource Build-Up'!P102</f>
        <v>0</v>
      </c>
      <c r="G103" s="26" t="str">
        <f>'Resource Build-Up'!Q102</f>
        <v/>
      </c>
      <c r="H103" s="26" t="str">
        <f>'Resource Build-Up'!T102</f>
        <v/>
      </c>
      <c r="I103" s="44">
        <f>'Resource Build-Up'!Y102</f>
        <v>0</v>
      </c>
      <c r="J103" s="44" t="str">
        <f>'Resource Build-Up'!Z102</f>
        <v/>
      </c>
      <c r="K103" s="26"/>
      <c r="L103" s="26"/>
      <c r="M103" s="26"/>
      <c r="N103" s="26"/>
      <c r="O103" s="26"/>
      <c r="P103" s="26"/>
      <c r="Q103" s="26">
        <f t="shared" si="2"/>
        <v>0</v>
      </c>
      <c r="R103" s="26">
        <f>'Resource Build-Up'!AC102</f>
        <v>0</v>
      </c>
      <c r="S103" s="26">
        <f>'Resource Build-Up'!AF102</f>
        <v>0</v>
      </c>
      <c r="T103" s="99"/>
      <c r="U103" s="26"/>
      <c r="V103" s="26">
        <f>'Resource Build-Up'!AG102</f>
        <v>0</v>
      </c>
    </row>
    <row r="104" spans="1:22" ht="32.450000000000003" customHeight="1" x14ac:dyDescent="0.2">
      <c r="A104" s="98" t="s">
        <v>715</v>
      </c>
      <c r="B104" s="98" t="str">
        <f>'Resource Build-Up'!A103</f>
        <v/>
      </c>
      <c r="C104" s="98">
        <f>'Resource Build-Up'!B103</f>
        <v>0</v>
      </c>
      <c r="D104" s="26" t="str">
        <f>'Resource Build-Up'!C103</f>
        <v/>
      </c>
      <c r="E104" s="26">
        <f>'Resource Build-Up'!H103</f>
        <v>0</v>
      </c>
      <c r="F104" s="26">
        <f>'Resource Build-Up'!P103</f>
        <v>0</v>
      </c>
      <c r="G104" s="26" t="str">
        <f>'Resource Build-Up'!Q103</f>
        <v/>
      </c>
      <c r="H104" s="26" t="str">
        <f>'Resource Build-Up'!T103</f>
        <v/>
      </c>
      <c r="I104" s="44">
        <f>'Resource Build-Up'!Y103</f>
        <v>0</v>
      </c>
      <c r="J104" s="44" t="str">
        <f>'Resource Build-Up'!Z103</f>
        <v/>
      </c>
      <c r="K104" s="26"/>
      <c r="L104" s="26"/>
      <c r="M104" s="26"/>
      <c r="N104" s="26"/>
      <c r="O104" s="26"/>
      <c r="P104" s="26"/>
      <c r="Q104" s="26">
        <f t="shared" ref="Q104:Q135" si="3">COUNTIF(L104,"PASS")+COUNTIF(N104,"PASS")+COUNTIF(P104,"PASS")</f>
        <v>0</v>
      </c>
      <c r="R104" s="26">
        <f>'Resource Build-Up'!AC103</f>
        <v>0</v>
      </c>
      <c r="S104" s="26">
        <f>'Resource Build-Up'!AF103</f>
        <v>0</v>
      </c>
      <c r="T104" s="99"/>
      <c r="U104" s="26"/>
      <c r="V104" s="26">
        <f>'Resource Build-Up'!AG103</f>
        <v>0</v>
      </c>
    </row>
    <row r="105" spans="1:22" ht="32.450000000000003" customHeight="1" x14ac:dyDescent="0.2">
      <c r="A105" s="98" t="s">
        <v>716</v>
      </c>
      <c r="B105" s="98" t="str">
        <f>'Resource Build-Up'!A104</f>
        <v/>
      </c>
      <c r="C105" s="98">
        <f>'Resource Build-Up'!B104</f>
        <v>0</v>
      </c>
      <c r="D105" s="26" t="str">
        <f>'Resource Build-Up'!C104</f>
        <v/>
      </c>
      <c r="E105" s="26">
        <f>'Resource Build-Up'!H104</f>
        <v>0</v>
      </c>
      <c r="F105" s="26">
        <f>'Resource Build-Up'!P104</f>
        <v>0</v>
      </c>
      <c r="G105" s="26" t="str">
        <f>'Resource Build-Up'!Q104</f>
        <v/>
      </c>
      <c r="H105" s="26" t="str">
        <f>'Resource Build-Up'!T104</f>
        <v/>
      </c>
      <c r="I105" s="44">
        <f>'Resource Build-Up'!Y104</f>
        <v>0</v>
      </c>
      <c r="J105" s="44" t="str">
        <f>'Resource Build-Up'!Z104</f>
        <v/>
      </c>
      <c r="K105" s="26"/>
      <c r="L105" s="26"/>
      <c r="M105" s="26"/>
      <c r="N105" s="26"/>
      <c r="O105" s="26"/>
      <c r="P105" s="26"/>
      <c r="Q105" s="26">
        <f t="shared" si="3"/>
        <v>0</v>
      </c>
      <c r="R105" s="26">
        <f>'Resource Build-Up'!AC104</f>
        <v>0</v>
      </c>
      <c r="S105" s="26">
        <f>'Resource Build-Up'!AF104</f>
        <v>0</v>
      </c>
      <c r="T105" s="99"/>
      <c r="U105" s="26"/>
      <c r="V105" s="26">
        <f>'Resource Build-Up'!AG104</f>
        <v>0</v>
      </c>
    </row>
    <row r="106" spans="1:22" ht="32.450000000000003" customHeight="1" x14ac:dyDescent="0.2">
      <c r="A106" s="98" t="s">
        <v>717</v>
      </c>
      <c r="B106" s="98" t="str">
        <f>'Resource Build-Up'!A105</f>
        <v/>
      </c>
      <c r="C106" s="98">
        <f>'Resource Build-Up'!B105</f>
        <v>0</v>
      </c>
      <c r="D106" s="26" t="str">
        <f>'Resource Build-Up'!C105</f>
        <v/>
      </c>
      <c r="E106" s="26">
        <f>'Resource Build-Up'!H105</f>
        <v>0</v>
      </c>
      <c r="F106" s="26">
        <f>'Resource Build-Up'!P105</f>
        <v>0</v>
      </c>
      <c r="G106" s="26" t="str">
        <f>'Resource Build-Up'!Q105</f>
        <v/>
      </c>
      <c r="H106" s="26" t="str">
        <f>'Resource Build-Up'!T105</f>
        <v/>
      </c>
      <c r="I106" s="44">
        <f>'Resource Build-Up'!Y105</f>
        <v>0</v>
      </c>
      <c r="J106" s="44" t="str">
        <f>'Resource Build-Up'!Z105</f>
        <v/>
      </c>
      <c r="K106" s="26"/>
      <c r="L106" s="26"/>
      <c r="M106" s="26"/>
      <c r="N106" s="26"/>
      <c r="O106" s="26"/>
      <c r="P106" s="26"/>
      <c r="Q106" s="26">
        <f t="shared" si="3"/>
        <v>0</v>
      </c>
      <c r="R106" s="26">
        <f>'Resource Build-Up'!AC105</f>
        <v>0</v>
      </c>
      <c r="S106" s="26">
        <f>'Resource Build-Up'!AF105</f>
        <v>0</v>
      </c>
      <c r="T106" s="99"/>
      <c r="U106" s="26"/>
      <c r="V106" s="26">
        <f>'Resource Build-Up'!AG105</f>
        <v>0</v>
      </c>
    </row>
    <row r="107" spans="1:22" ht="32.450000000000003" customHeight="1" x14ac:dyDescent="0.2">
      <c r="A107" s="98" t="s">
        <v>718</v>
      </c>
      <c r="B107" s="98" t="str">
        <f>'Resource Build-Up'!A106</f>
        <v/>
      </c>
      <c r="C107" s="98">
        <f>'Resource Build-Up'!B106</f>
        <v>0</v>
      </c>
      <c r="D107" s="26" t="str">
        <f>'Resource Build-Up'!C106</f>
        <v/>
      </c>
      <c r="E107" s="26">
        <f>'Resource Build-Up'!H106</f>
        <v>0</v>
      </c>
      <c r="F107" s="26">
        <f>'Resource Build-Up'!P106</f>
        <v>0</v>
      </c>
      <c r="G107" s="26" t="str">
        <f>'Resource Build-Up'!Q106</f>
        <v/>
      </c>
      <c r="H107" s="26" t="str">
        <f>'Resource Build-Up'!T106</f>
        <v/>
      </c>
      <c r="I107" s="44">
        <f>'Resource Build-Up'!Y106</f>
        <v>0</v>
      </c>
      <c r="J107" s="44" t="str">
        <f>'Resource Build-Up'!Z106</f>
        <v/>
      </c>
      <c r="K107" s="26"/>
      <c r="L107" s="26"/>
      <c r="M107" s="26"/>
      <c r="N107" s="26"/>
      <c r="O107" s="26"/>
      <c r="P107" s="26"/>
      <c r="Q107" s="26">
        <f t="shared" si="3"/>
        <v>0</v>
      </c>
      <c r="R107" s="26">
        <f>'Resource Build-Up'!AC106</f>
        <v>0</v>
      </c>
      <c r="S107" s="26">
        <f>'Resource Build-Up'!AF106</f>
        <v>0</v>
      </c>
      <c r="T107" s="99"/>
      <c r="U107" s="26"/>
      <c r="V107" s="26">
        <f>'Resource Build-Up'!AG106</f>
        <v>0</v>
      </c>
    </row>
    <row r="108" spans="1:22" ht="32.450000000000003" customHeight="1" x14ac:dyDescent="0.2">
      <c r="A108" s="98" t="s">
        <v>719</v>
      </c>
      <c r="B108" s="98" t="str">
        <f>'Resource Build-Up'!A107</f>
        <v/>
      </c>
      <c r="C108" s="98">
        <f>'Resource Build-Up'!B107</f>
        <v>0</v>
      </c>
      <c r="D108" s="26" t="str">
        <f>'Resource Build-Up'!C107</f>
        <v/>
      </c>
      <c r="E108" s="26">
        <f>'Resource Build-Up'!H107</f>
        <v>0</v>
      </c>
      <c r="F108" s="26">
        <f>'Resource Build-Up'!P107</f>
        <v>0</v>
      </c>
      <c r="G108" s="26" t="str">
        <f>'Resource Build-Up'!Q107</f>
        <v/>
      </c>
      <c r="H108" s="26" t="str">
        <f>'Resource Build-Up'!T107</f>
        <v/>
      </c>
      <c r="I108" s="44">
        <f>'Resource Build-Up'!Y107</f>
        <v>0</v>
      </c>
      <c r="J108" s="44" t="str">
        <f>'Resource Build-Up'!Z107</f>
        <v/>
      </c>
      <c r="K108" s="26"/>
      <c r="L108" s="26"/>
      <c r="M108" s="26"/>
      <c r="N108" s="26"/>
      <c r="O108" s="26"/>
      <c r="P108" s="26"/>
      <c r="Q108" s="26">
        <f t="shared" si="3"/>
        <v>0</v>
      </c>
      <c r="R108" s="26">
        <f>'Resource Build-Up'!AC107</f>
        <v>0</v>
      </c>
      <c r="S108" s="26">
        <f>'Resource Build-Up'!AF107</f>
        <v>0</v>
      </c>
      <c r="T108" s="100"/>
      <c r="U108" s="26"/>
      <c r="V108" s="26">
        <f>'Resource Build-Up'!AG107</f>
        <v>0</v>
      </c>
    </row>
    <row r="109" spans="1:22" ht="32.450000000000003" customHeight="1" x14ac:dyDescent="0.2">
      <c r="A109" s="98" t="s">
        <v>720</v>
      </c>
      <c r="B109" s="98" t="str">
        <f>'Resource Build-Up'!A108</f>
        <v/>
      </c>
      <c r="C109" s="98">
        <f>'Resource Build-Up'!B108</f>
        <v>0</v>
      </c>
      <c r="D109" s="26" t="str">
        <f>'Resource Build-Up'!C108</f>
        <v/>
      </c>
      <c r="E109" s="26">
        <f>'Resource Build-Up'!H108</f>
        <v>0</v>
      </c>
      <c r="F109" s="26">
        <f>'Resource Build-Up'!P108</f>
        <v>0</v>
      </c>
      <c r="G109" s="26" t="str">
        <f>'Resource Build-Up'!Q108</f>
        <v/>
      </c>
      <c r="H109" s="26" t="str">
        <f>'Resource Build-Up'!T108</f>
        <v/>
      </c>
      <c r="I109" s="44">
        <f>'Resource Build-Up'!Y108</f>
        <v>0</v>
      </c>
      <c r="J109" s="44" t="str">
        <f>'Resource Build-Up'!Z108</f>
        <v/>
      </c>
      <c r="K109" s="26"/>
      <c r="L109" s="26"/>
      <c r="M109" s="26"/>
      <c r="N109" s="26"/>
      <c r="O109" s="26"/>
      <c r="P109" s="26"/>
      <c r="Q109" s="26">
        <f t="shared" si="3"/>
        <v>0</v>
      </c>
      <c r="R109" s="26">
        <f>'Resource Build-Up'!AC108</f>
        <v>0</v>
      </c>
      <c r="S109" s="26">
        <f>'Resource Build-Up'!AF108</f>
        <v>0</v>
      </c>
      <c r="T109" s="100"/>
      <c r="U109" s="26"/>
      <c r="V109" s="26">
        <f>'Resource Build-Up'!AG108</f>
        <v>0</v>
      </c>
    </row>
    <row r="110" spans="1:22" ht="32.450000000000003" customHeight="1" x14ac:dyDescent="0.2">
      <c r="A110" s="98" t="s">
        <v>721</v>
      </c>
      <c r="B110" s="98" t="str">
        <f>'Resource Build-Up'!A109</f>
        <v/>
      </c>
      <c r="C110" s="98">
        <f>'Resource Build-Up'!B109</f>
        <v>0</v>
      </c>
      <c r="D110" s="26" t="str">
        <f>'Resource Build-Up'!C109</f>
        <v/>
      </c>
      <c r="E110" s="26">
        <f>'Resource Build-Up'!H109</f>
        <v>0</v>
      </c>
      <c r="F110" s="26">
        <f>'Resource Build-Up'!P109</f>
        <v>0</v>
      </c>
      <c r="G110" s="26" t="str">
        <f>'Resource Build-Up'!Q109</f>
        <v/>
      </c>
      <c r="H110" s="26" t="str">
        <f>'Resource Build-Up'!T109</f>
        <v/>
      </c>
      <c r="I110" s="44">
        <f>'Resource Build-Up'!Y109</f>
        <v>0</v>
      </c>
      <c r="J110" s="44" t="str">
        <f>'Resource Build-Up'!Z109</f>
        <v/>
      </c>
      <c r="K110" s="26"/>
      <c r="L110" s="26"/>
      <c r="M110" s="26"/>
      <c r="N110" s="26"/>
      <c r="O110" s="26"/>
      <c r="P110" s="26"/>
      <c r="Q110" s="26">
        <f t="shared" si="3"/>
        <v>0</v>
      </c>
      <c r="R110" s="26">
        <f>'Resource Build-Up'!AC109</f>
        <v>0</v>
      </c>
      <c r="S110" s="26">
        <f>'Resource Build-Up'!AF109</f>
        <v>0</v>
      </c>
      <c r="T110" s="100"/>
      <c r="U110" s="26"/>
      <c r="V110" s="26">
        <f>'Resource Build-Up'!AG109</f>
        <v>0</v>
      </c>
    </row>
    <row r="111" spans="1:22" ht="32.450000000000003" customHeight="1" x14ac:dyDescent="0.2">
      <c r="A111" s="98" t="s">
        <v>722</v>
      </c>
      <c r="B111" s="98" t="str">
        <f>'Resource Build-Up'!A110</f>
        <v/>
      </c>
      <c r="C111" s="98">
        <f>'Resource Build-Up'!B110</f>
        <v>0</v>
      </c>
      <c r="D111" s="26" t="str">
        <f>'Resource Build-Up'!C110</f>
        <v/>
      </c>
      <c r="E111" s="26">
        <f>'Resource Build-Up'!H110</f>
        <v>0</v>
      </c>
      <c r="F111" s="26">
        <f>'Resource Build-Up'!P110</f>
        <v>0</v>
      </c>
      <c r="G111" s="26" t="str">
        <f>'Resource Build-Up'!Q110</f>
        <v/>
      </c>
      <c r="H111" s="26" t="str">
        <f>'Resource Build-Up'!T110</f>
        <v/>
      </c>
      <c r="I111" s="44">
        <f>'Resource Build-Up'!Y110</f>
        <v>0</v>
      </c>
      <c r="J111" s="44" t="str">
        <f>'Resource Build-Up'!Z110</f>
        <v/>
      </c>
      <c r="K111" s="26"/>
      <c r="L111" s="26"/>
      <c r="M111" s="26"/>
      <c r="N111" s="26"/>
      <c r="O111" s="26"/>
      <c r="P111" s="26"/>
      <c r="Q111" s="26">
        <f t="shared" si="3"/>
        <v>0</v>
      </c>
      <c r="R111" s="26">
        <f>'Resource Build-Up'!AC110</f>
        <v>0</v>
      </c>
      <c r="S111" s="26">
        <f>'Resource Build-Up'!AF110</f>
        <v>0</v>
      </c>
      <c r="T111" s="100"/>
      <c r="U111" s="26"/>
      <c r="V111" s="26">
        <f>'Resource Build-Up'!AG110</f>
        <v>0</v>
      </c>
    </row>
    <row r="112" spans="1:22" ht="32.450000000000003" customHeight="1" x14ac:dyDescent="0.2">
      <c r="A112" s="98" t="s">
        <v>723</v>
      </c>
      <c r="B112" s="98" t="str">
        <f>'Resource Build-Up'!A111</f>
        <v/>
      </c>
      <c r="C112" s="98">
        <f>'Resource Build-Up'!B111</f>
        <v>0</v>
      </c>
      <c r="D112" s="26" t="str">
        <f>'Resource Build-Up'!C111</f>
        <v/>
      </c>
      <c r="E112" s="26">
        <f>'Resource Build-Up'!H111</f>
        <v>0</v>
      </c>
      <c r="F112" s="26">
        <f>'Resource Build-Up'!P111</f>
        <v>0</v>
      </c>
      <c r="G112" s="26" t="str">
        <f>'Resource Build-Up'!Q111</f>
        <v/>
      </c>
      <c r="H112" s="26" t="str">
        <f>'Resource Build-Up'!T111</f>
        <v/>
      </c>
      <c r="I112" s="44">
        <f>'Resource Build-Up'!Y111</f>
        <v>0</v>
      </c>
      <c r="J112" s="44" t="str">
        <f>'Resource Build-Up'!Z111</f>
        <v/>
      </c>
      <c r="K112" s="26"/>
      <c r="L112" s="26"/>
      <c r="M112" s="26"/>
      <c r="N112" s="26"/>
      <c r="O112" s="26"/>
      <c r="P112" s="26"/>
      <c r="Q112" s="26">
        <f t="shared" si="3"/>
        <v>0</v>
      </c>
      <c r="R112" s="26">
        <f>'Resource Build-Up'!AC111</f>
        <v>0</v>
      </c>
      <c r="S112" s="26">
        <f>'Resource Build-Up'!AF111</f>
        <v>0</v>
      </c>
      <c r="T112" s="100"/>
      <c r="U112" s="26"/>
      <c r="V112" s="26">
        <f>'Resource Build-Up'!AG111</f>
        <v>0</v>
      </c>
    </row>
    <row r="113" spans="1:22" ht="32.450000000000003" customHeight="1" x14ac:dyDescent="0.2">
      <c r="A113" s="98" t="s">
        <v>724</v>
      </c>
      <c r="B113" s="98" t="str">
        <f>'Resource Build-Up'!A112</f>
        <v/>
      </c>
      <c r="C113" s="98">
        <f>'Resource Build-Up'!B112</f>
        <v>0</v>
      </c>
      <c r="D113" s="26" t="str">
        <f>'Resource Build-Up'!C112</f>
        <v/>
      </c>
      <c r="E113" s="26">
        <f>'Resource Build-Up'!H112</f>
        <v>0</v>
      </c>
      <c r="F113" s="26">
        <f>'Resource Build-Up'!P112</f>
        <v>0</v>
      </c>
      <c r="G113" s="26" t="str">
        <f>'Resource Build-Up'!Q112</f>
        <v/>
      </c>
      <c r="H113" s="26" t="str">
        <f>'Resource Build-Up'!T112</f>
        <v/>
      </c>
      <c r="I113" s="44">
        <f>'Resource Build-Up'!Y112</f>
        <v>0</v>
      </c>
      <c r="J113" s="44" t="str">
        <f>'Resource Build-Up'!Z112</f>
        <v/>
      </c>
      <c r="K113" s="26"/>
      <c r="L113" s="26"/>
      <c r="M113" s="26"/>
      <c r="N113" s="26"/>
      <c r="O113" s="26"/>
      <c r="P113" s="26"/>
      <c r="Q113" s="26">
        <f t="shared" si="3"/>
        <v>0</v>
      </c>
      <c r="R113" s="26">
        <f>'Resource Build-Up'!AC112</f>
        <v>0</v>
      </c>
      <c r="S113" s="26">
        <f>'Resource Build-Up'!AF112</f>
        <v>0</v>
      </c>
      <c r="T113" s="99"/>
      <c r="U113" s="26"/>
      <c r="V113" s="26">
        <f>'Resource Build-Up'!AG112</f>
        <v>0</v>
      </c>
    </row>
    <row r="114" spans="1:22" ht="32.450000000000003" customHeight="1" x14ac:dyDescent="0.2">
      <c r="A114" s="98" t="s">
        <v>725</v>
      </c>
      <c r="B114" s="98" t="str">
        <f>'Resource Build-Up'!A113</f>
        <v/>
      </c>
      <c r="C114" s="98">
        <f>'Resource Build-Up'!B113</f>
        <v>0</v>
      </c>
      <c r="D114" s="26" t="str">
        <f>'Resource Build-Up'!C113</f>
        <v/>
      </c>
      <c r="E114" s="26">
        <f>'Resource Build-Up'!H113</f>
        <v>0</v>
      </c>
      <c r="F114" s="26">
        <f>'Resource Build-Up'!P113</f>
        <v>0</v>
      </c>
      <c r="G114" s="26" t="str">
        <f>'Resource Build-Up'!Q113</f>
        <v/>
      </c>
      <c r="H114" s="26" t="str">
        <f>'Resource Build-Up'!T113</f>
        <v/>
      </c>
      <c r="I114" s="44">
        <f>'Resource Build-Up'!Y113</f>
        <v>0</v>
      </c>
      <c r="J114" s="44" t="str">
        <f>'Resource Build-Up'!Z113</f>
        <v/>
      </c>
      <c r="K114" s="26"/>
      <c r="L114" s="26"/>
      <c r="M114" s="26"/>
      <c r="N114" s="26"/>
      <c r="O114" s="26"/>
      <c r="P114" s="26"/>
      <c r="Q114" s="26">
        <f t="shared" si="3"/>
        <v>0</v>
      </c>
      <c r="R114" s="26">
        <f>'Resource Build-Up'!AC113</f>
        <v>0</v>
      </c>
      <c r="S114" s="26">
        <f>'Resource Build-Up'!AF113</f>
        <v>0</v>
      </c>
      <c r="T114" s="100"/>
      <c r="U114" s="26"/>
      <c r="V114" s="26">
        <f>'Resource Build-Up'!AG113</f>
        <v>0</v>
      </c>
    </row>
    <row r="115" spans="1:22" ht="32.450000000000003" customHeight="1" x14ac:dyDescent="0.2">
      <c r="A115" s="98" t="s">
        <v>726</v>
      </c>
      <c r="B115" s="98" t="str">
        <f>'Resource Build-Up'!A114</f>
        <v/>
      </c>
      <c r="C115" s="98">
        <f>'Resource Build-Up'!B114</f>
        <v>0</v>
      </c>
      <c r="D115" s="26" t="str">
        <f>'Resource Build-Up'!C114</f>
        <v/>
      </c>
      <c r="E115" s="26">
        <f>'Resource Build-Up'!H114</f>
        <v>0</v>
      </c>
      <c r="F115" s="26">
        <f>'Resource Build-Up'!P114</f>
        <v>0</v>
      </c>
      <c r="G115" s="26" t="str">
        <f>'Resource Build-Up'!Q114</f>
        <v/>
      </c>
      <c r="H115" s="26" t="str">
        <f>'Resource Build-Up'!T114</f>
        <v/>
      </c>
      <c r="I115" s="44">
        <f>'Resource Build-Up'!Y114</f>
        <v>0</v>
      </c>
      <c r="J115" s="44" t="str">
        <f>'Resource Build-Up'!Z114</f>
        <v/>
      </c>
      <c r="K115" s="26"/>
      <c r="L115" s="26"/>
      <c r="M115" s="26"/>
      <c r="N115" s="26"/>
      <c r="O115" s="26"/>
      <c r="P115" s="26"/>
      <c r="Q115" s="26">
        <f t="shared" si="3"/>
        <v>0</v>
      </c>
      <c r="R115" s="26">
        <f>'Resource Build-Up'!AC114</f>
        <v>0</v>
      </c>
      <c r="S115" s="26">
        <f>'Resource Build-Up'!AF114</f>
        <v>0</v>
      </c>
      <c r="T115" s="100"/>
      <c r="U115" s="26"/>
      <c r="V115" s="26">
        <f>'Resource Build-Up'!AG114</f>
        <v>0</v>
      </c>
    </row>
    <row r="116" spans="1:22" ht="32.450000000000003" customHeight="1" x14ac:dyDescent="0.2">
      <c r="A116" s="98" t="s">
        <v>727</v>
      </c>
      <c r="B116" s="98" t="str">
        <f>'Resource Build-Up'!A115</f>
        <v/>
      </c>
      <c r="C116" s="98">
        <f>'Resource Build-Up'!B115</f>
        <v>0</v>
      </c>
      <c r="D116" s="26" t="str">
        <f>'Resource Build-Up'!C115</f>
        <v/>
      </c>
      <c r="E116" s="26">
        <f>'Resource Build-Up'!H115</f>
        <v>0</v>
      </c>
      <c r="F116" s="26">
        <f>'Resource Build-Up'!P115</f>
        <v>0</v>
      </c>
      <c r="G116" s="26" t="str">
        <f>'Resource Build-Up'!Q115</f>
        <v/>
      </c>
      <c r="H116" s="26" t="str">
        <f>'Resource Build-Up'!T115</f>
        <v/>
      </c>
      <c r="I116" s="44">
        <f>'Resource Build-Up'!Y115</f>
        <v>0</v>
      </c>
      <c r="J116" s="44" t="str">
        <f>'Resource Build-Up'!Z115</f>
        <v/>
      </c>
      <c r="K116" s="26"/>
      <c r="L116" s="26"/>
      <c r="M116" s="26"/>
      <c r="N116" s="26"/>
      <c r="O116" s="26"/>
      <c r="P116" s="26"/>
      <c r="Q116" s="26">
        <f t="shared" si="3"/>
        <v>0</v>
      </c>
      <c r="R116" s="26">
        <f>'Resource Build-Up'!AC115</f>
        <v>0</v>
      </c>
      <c r="S116" s="26">
        <f>'Resource Build-Up'!AF115</f>
        <v>0</v>
      </c>
      <c r="T116" s="99"/>
      <c r="U116" s="26"/>
      <c r="V116" s="26">
        <f>'Resource Build-Up'!AG115</f>
        <v>0</v>
      </c>
    </row>
    <row r="117" spans="1:22" ht="32.450000000000003" customHeight="1" x14ac:dyDescent="0.2">
      <c r="A117" s="98" t="s">
        <v>728</v>
      </c>
      <c r="B117" s="98" t="str">
        <f>'Resource Build-Up'!A116</f>
        <v/>
      </c>
      <c r="C117" s="98">
        <f>'Resource Build-Up'!B116</f>
        <v>0</v>
      </c>
      <c r="D117" s="26" t="str">
        <f>'Resource Build-Up'!C116</f>
        <v/>
      </c>
      <c r="E117" s="26">
        <f>'Resource Build-Up'!H116</f>
        <v>0</v>
      </c>
      <c r="F117" s="26">
        <f>'Resource Build-Up'!P116</f>
        <v>0</v>
      </c>
      <c r="G117" s="26" t="str">
        <f>'Resource Build-Up'!Q116</f>
        <v/>
      </c>
      <c r="H117" s="26" t="str">
        <f>'Resource Build-Up'!T116</f>
        <v/>
      </c>
      <c r="I117" s="44">
        <f>'Resource Build-Up'!Y116</f>
        <v>0</v>
      </c>
      <c r="J117" s="44" t="str">
        <f>'Resource Build-Up'!Z116</f>
        <v/>
      </c>
      <c r="K117" s="26"/>
      <c r="L117" s="26"/>
      <c r="M117" s="26"/>
      <c r="N117" s="26"/>
      <c r="O117" s="26"/>
      <c r="P117" s="26"/>
      <c r="Q117" s="26">
        <f t="shared" si="3"/>
        <v>0</v>
      </c>
      <c r="R117" s="26">
        <f>'Resource Build-Up'!AC116</f>
        <v>0</v>
      </c>
      <c r="S117" s="26">
        <f>'Resource Build-Up'!AF116</f>
        <v>0</v>
      </c>
      <c r="T117" s="99"/>
      <c r="U117" s="26"/>
      <c r="V117" s="26">
        <f>'Resource Build-Up'!AG116</f>
        <v>0</v>
      </c>
    </row>
    <row r="118" spans="1:22" ht="32.450000000000003" customHeight="1" x14ac:dyDescent="0.2">
      <c r="A118" s="98" t="s">
        <v>729</v>
      </c>
      <c r="B118" s="98" t="str">
        <f>'Resource Build-Up'!A117</f>
        <v/>
      </c>
      <c r="C118" s="98">
        <f>'Resource Build-Up'!B117</f>
        <v>0</v>
      </c>
      <c r="D118" s="26" t="str">
        <f>'Resource Build-Up'!C117</f>
        <v/>
      </c>
      <c r="E118" s="26">
        <f>'Resource Build-Up'!H117</f>
        <v>0</v>
      </c>
      <c r="F118" s="26">
        <f>'Resource Build-Up'!P117</f>
        <v>0</v>
      </c>
      <c r="G118" s="26" t="str">
        <f>'Resource Build-Up'!Q117</f>
        <v/>
      </c>
      <c r="H118" s="26" t="str">
        <f>'Resource Build-Up'!T117</f>
        <v/>
      </c>
      <c r="I118" s="44">
        <f>'Resource Build-Up'!Y117</f>
        <v>0</v>
      </c>
      <c r="J118" s="44" t="str">
        <f>'Resource Build-Up'!Z117</f>
        <v/>
      </c>
      <c r="K118" s="26"/>
      <c r="L118" s="26"/>
      <c r="M118" s="26"/>
      <c r="N118" s="26"/>
      <c r="O118" s="26"/>
      <c r="P118" s="26"/>
      <c r="Q118" s="26">
        <f t="shared" si="3"/>
        <v>0</v>
      </c>
      <c r="R118" s="26">
        <f>'Resource Build-Up'!AC117</f>
        <v>0</v>
      </c>
      <c r="S118" s="26">
        <f>'Resource Build-Up'!AF117</f>
        <v>0</v>
      </c>
      <c r="T118" s="99"/>
      <c r="U118" s="26"/>
      <c r="V118" s="26">
        <f>'Resource Build-Up'!AG117</f>
        <v>0</v>
      </c>
    </row>
    <row r="119" spans="1:22" ht="32.450000000000003" customHeight="1" x14ac:dyDescent="0.2">
      <c r="A119" s="98" t="s">
        <v>730</v>
      </c>
      <c r="B119" s="98" t="str">
        <f>'Resource Build-Up'!A118</f>
        <v/>
      </c>
      <c r="C119" s="98">
        <f>'Resource Build-Up'!B118</f>
        <v>0</v>
      </c>
      <c r="D119" s="26" t="str">
        <f>'Resource Build-Up'!C118</f>
        <v/>
      </c>
      <c r="E119" s="26">
        <f>'Resource Build-Up'!H118</f>
        <v>0</v>
      </c>
      <c r="F119" s="26">
        <f>'Resource Build-Up'!P118</f>
        <v>0</v>
      </c>
      <c r="G119" s="26" t="str">
        <f>'Resource Build-Up'!Q118</f>
        <v/>
      </c>
      <c r="H119" s="26" t="str">
        <f>'Resource Build-Up'!T118</f>
        <v/>
      </c>
      <c r="I119" s="44">
        <f>'Resource Build-Up'!Y118</f>
        <v>0</v>
      </c>
      <c r="J119" s="44" t="str">
        <f>'Resource Build-Up'!Z118</f>
        <v/>
      </c>
      <c r="K119" s="26"/>
      <c r="L119" s="26"/>
      <c r="M119" s="26"/>
      <c r="N119" s="26"/>
      <c r="O119" s="26"/>
      <c r="P119" s="26"/>
      <c r="Q119" s="26">
        <f t="shared" si="3"/>
        <v>0</v>
      </c>
      <c r="R119" s="26">
        <f>'Resource Build-Up'!AC118</f>
        <v>0</v>
      </c>
      <c r="S119" s="26">
        <f>'Resource Build-Up'!AF118</f>
        <v>0</v>
      </c>
      <c r="T119" s="100"/>
      <c r="U119" s="26"/>
      <c r="V119" s="26">
        <f>'Resource Build-Up'!AG118</f>
        <v>0</v>
      </c>
    </row>
    <row r="120" spans="1:22" ht="32.450000000000003" customHeight="1" x14ac:dyDescent="0.2">
      <c r="A120" s="98" t="s">
        <v>731</v>
      </c>
      <c r="B120" s="98" t="str">
        <f>'Resource Build-Up'!A119</f>
        <v/>
      </c>
      <c r="C120" s="98">
        <f>'Resource Build-Up'!B119</f>
        <v>0</v>
      </c>
      <c r="D120" s="26" t="str">
        <f>'Resource Build-Up'!C119</f>
        <v/>
      </c>
      <c r="E120" s="26">
        <f>'Resource Build-Up'!H119</f>
        <v>0</v>
      </c>
      <c r="F120" s="26">
        <f>'Resource Build-Up'!P119</f>
        <v>0</v>
      </c>
      <c r="G120" s="26" t="str">
        <f>'Resource Build-Up'!Q119</f>
        <v/>
      </c>
      <c r="H120" s="26" t="str">
        <f>'Resource Build-Up'!T119</f>
        <v/>
      </c>
      <c r="I120" s="44">
        <f>'Resource Build-Up'!Y119</f>
        <v>0</v>
      </c>
      <c r="J120" s="44" t="str">
        <f>'Resource Build-Up'!Z119</f>
        <v/>
      </c>
      <c r="K120" s="26"/>
      <c r="L120" s="26"/>
      <c r="M120" s="26"/>
      <c r="N120" s="26"/>
      <c r="O120" s="26"/>
      <c r="P120" s="26"/>
      <c r="Q120" s="26">
        <f t="shared" si="3"/>
        <v>0</v>
      </c>
      <c r="R120" s="26">
        <f>'Resource Build-Up'!AC119</f>
        <v>0</v>
      </c>
      <c r="S120" s="26">
        <f>'Resource Build-Up'!AF119</f>
        <v>0</v>
      </c>
      <c r="T120" s="101"/>
      <c r="U120" s="26"/>
      <c r="V120" s="26">
        <f>'Resource Build-Up'!AG119</f>
        <v>0</v>
      </c>
    </row>
    <row r="121" spans="1:22" ht="32.450000000000003" customHeight="1" x14ac:dyDescent="0.2">
      <c r="A121" s="98" t="s">
        <v>732</v>
      </c>
      <c r="B121" s="98" t="str">
        <f>'Resource Build-Up'!A120</f>
        <v/>
      </c>
      <c r="C121" s="98">
        <f>'Resource Build-Up'!B120</f>
        <v>0</v>
      </c>
      <c r="D121" s="26" t="str">
        <f>'Resource Build-Up'!C120</f>
        <v/>
      </c>
      <c r="E121" s="26">
        <f>'Resource Build-Up'!H120</f>
        <v>0</v>
      </c>
      <c r="F121" s="26">
        <f>'Resource Build-Up'!P120</f>
        <v>0</v>
      </c>
      <c r="G121" s="26" t="str">
        <f>'Resource Build-Up'!Q120</f>
        <v/>
      </c>
      <c r="H121" s="26" t="str">
        <f>'Resource Build-Up'!T120</f>
        <v/>
      </c>
      <c r="I121" s="44">
        <f>'Resource Build-Up'!Y120</f>
        <v>0</v>
      </c>
      <c r="J121" s="44" t="str">
        <f>'Resource Build-Up'!Z120</f>
        <v/>
      </c>
      <c r="K121" s="26"/>
      <c r="L121" s="26"/>
      <c r="M121" s="26"/>
      <c r="N121" s="26"/>
      <c r="O121" s="26"/>
      <c r="P121" s="26"/>
      <c r="Q121" s="26">
        <f t="shared" si="3"/>
        <v>0</v>
      </c>
      <c r="R121" s="26">
        <f>'Resource Build-Up'!AC120</f>
        <v>0</v>
      </c>
      <c r="S121" s="26">
        <f>'Resource Build-Up'!AF120</f>
        <v>0</v>
      </c>
      <c r="T121" s="101"/>
      <c r="U121" s="26"/>
      <c r="V121" s="26">
        <f>'Resource Build-Up'!AG120</f>
        <v>0</v>
      </c>
    </row>
    <row r="122" spans="1:22" ht="32.450000000000003" customHeight="1" x14ac:dyDescent="0.2">
      <c r="A122" s="98" t="s">
        <v>733</v>
      </c>
      <c r="B122" s="98" t="str">
        <f>'Resource Build-Up'!A121</f>
        <v/>
      </c>
      <c r="C122" s="98">
        <f>'Resource Build-Up'!B121</f>
        <v>0</v>
      </c>
      <c r="D122" s="26" t="str">
        <f>'Resource Build-Up'!C121</f>
        <v/>
      </c>
      <c r="E122" s="26">
        <f>'Resource Build-Up'!H121</f>
        <v>0</v>
      </c>
      <c r="F122" s="26">
        <f>'Resource Build-Up'!P121</f>
        <v>0</v>
      </c>
      <c r="G122" s="26" t="str">
        <f>'Resource Build-Up'!Q121</f>
        <v/>
      </c>
      <c r="H122" s="26" t="str">
        <f>'Resource Build-Up'!T121</f>
        <v/>
      </c>
      <c r="I122" s="44">
        <f>'Resource Build-Up'!Y121</f>
        <v>0</v>
      </c>
      <c r="J122" s="44" t="str">
        <f>'Resource Build-Up'!Z121</f>
        <v/>
      </c>
      <c r="K122" s="26"/>
      <c r="L122" s="26"/>
      <c r="M122" s="26"/>
      <c r="N122" s="26"/>
      <c r="O122" s="26"/>
      <c r="P122" s="26"/>
      <c r="Q122" s="26">
        <f t="shared" si="3"/>
        <v>0</v>
      </c>
      <c r="R122" s="26">
        <f>'Resource Build-Up'!AC121</f>
        <v>0</v>
      </c>
      <c r="S122" s="26">
        <f>'Resource Build-Up'!AF121</f>
        <v>0</v>
      </c>
      <c r="T122" s="99"/>
      <c r="U122" s="26"/>
      <c r="V122" s="26">
        <f>'Resource Build-Up'!AG121</f>
        <v>0</v>
      </c>
    </row>
    <row r="123" spans="1:22" ht="32.450000000000003" customHeight="1" x14ac:dyDescent="0.2">
      <c r="A123" s="98" t="s">
        <v>734</v>
      </c>
      <c r="B123" s="98" t="str">
        <f>'Resource Build-Up'!A122</f>
        <v/>
      </c>
      <c r="C123" s="98">
        <f>'Resource Build-Up'!B122</f>
        <v>0</v>
      </c>
      <c r="D123" s="26" t="str">
        <f>'Resource Build-Up'!C122</f>
        <v/>
      </c>
      <c r="E123" s="26">
        <f>'Resource Build-Up'!H122</f>
        <v>0</v>
      </c>
      <c r="F123" s="26">
        <f>'Resource Build-Up'!P122</f>
        <v>0</v>
      </c>
      <c r="G123" s="26" t="str">
        <f>'Resource Build-Up'!Q122</f>
        <v/>
      </c>
      <c r="H123" s="26" t="str">
        <f>'Resource Build-Up'!T122</f>
        <v/>
      </c>
      <c r="I123" s="44">
        <f>'Resource Build-Up'!Y122</f>
        <v>0</v>
      </c>
      <c r="J123" s="44" t="str">
        <f>'Resource Build-Up'!Z122</f>
        <v/>
      </c>
      <c r="K123" s="26"/>
      <c r="L123" s="26"/>
      <c r="M123" s="26"/>
      <c r="N123" s="26"/>
      <c r="O123" s="26"/>
      <c r="P123" s="26"/>
      <c r="Q123" s="26">
        <f t="shared" si="3"/>
        <v>0</v>
      </c>
      <c r="R123" s="26">
        <f>'Resource Build-Up'!AC122</f>
        <v>0</v>
      </c>
      <c r="S123" s="26">
        <f>'Resource Build-Up'!AF122</f>
        <v>0</v>
      </c>
      <c r="T123" s="99"/>
      <c r="U123" s="26"/>
      <c r="V123" s="26">
        <f>'Resource Build-Up'!AG122</f>
        <v>0</v>
      </c>
    </row>
    <row r="124" spans="1:22" ht="32.450000000000003" customHeight="1" x14ac:dyDescent="0.2">
      <c r="A124" s="98" t="s">
        <v>735</v>
      </c>
      <c r="B124" s="98" t="str">
        <f>'Resource Build-Up'!A123</f>
        <v/>
      </c>
      <c r="C124" s="98">
        <f>'Resource Build-Up'!B123</f>
        <v>0</v>
      </c>
      <c r="D124" s="26" t="str">
        <f>'Resource Build-Up'!C123</f>
        <v/>
      </c>
      <c r="E124" s="26">
        <f>'Resource Build-Up'!H123</f>
        <v>0</v>
      </c>
      <c r="F124" s="26">
        <f>'Resource Build-Up'!P123</f>
        <v>0</v>
      </c>
      <c r="G124" s="26" t="str">
        <f>'Resource Build-Up'!Q123</f>
        <v/>
      </c>
      <c r="H124" s="26" t="str">
        <f>'Resource Build-Up'!T123</f>
        <v/>
      </c>
      <c r="I124" s="44">
        <f>'Resource Build-Up'!Y123</f>
        <v>0</v>
      </c>
      <c r="J124" s="44" t="str">
        <f>'Resource Build-Up'!Z123</f>
        <v/>
      </c>
      <c r="K124" s="26"/>
      <c r="L124" s="26"/>
      <c r="M124" s="26"/>
      <c r="N124" s="26"/>
      <c r="O124" s="26"/>
      <c r="P124" s="26"/>
      <c r="Q124" s="26">
        <f t="shared" si="3"/>
        <v>0</v>
      </c>
      <c r="R124" s="26">
        <f>'Resource Build-Up'!AC123</f>
        <v>0</v>
      </c>
      <c r="S124" s="26">
        <f>'Resource Build-Up'!AF123</f>
        <v>0</v>
      </c>
      <c r="T124" s="100"/>
      <c r="U124" s="26"/>
      <c r="V124" s="26">
        <f>'Resource Build-Up'!AG123</f>
        <v>0</v>
      </c>
    </row>
    <row r="125" spans="1:22" ht="32.450000000000003" customHeight="1" x14ac:dyDescent="0.2">
      <c r="A125" s="98" t="s">
        <v>736</v>
      </c>
      <c r="B125" s="98" t="str">
        <f>'Resource Build-Up'!A124</f>
        <v/>
      </c>
      <c r="C125" s="98">
        <f>'Resource Build-Up'!B124</f>
        <v>0</v>
      </c>
      <c r="D125" s="26" t="str">
        <f>'Resource Build-Up'!C124</f>
        <v/>
      </c>
      <c r="E125" s="26">
        <f>'Resource Build-Up'!H124</f>
        <v>0</v>
      </c>
      <c r="F125" s="26">
        <f>'Resource Build-Up'!P124</f>
        <v>0</v>
      </c>
      <c r="G125" s="26" t="str">
        <f>'Resource Build-Up'!Q124</f>
        <v/>
      </c>
      <c r="H125" s="26" t="str">
        <f>'Resource Build-Up'!T124</f>
        <v/>
      </c>
      <c r="I125" s="44">
        <f>'Resource Build-Up'!Y124</f>
        <v>0</v>
      </c>
      <c r="J125" s="44" t="str">
        <f>'Resource Build-Up'!Z124</f>
        <v/>
      </c>
      <c r="K125" s="26"/>
      <c r="L125" s="26"/>
      <c r="M125" s="26"/>
      <c r="N125" s="26"/>
      <c r="O125" s="26"/>
      <c r="P125" s="26"/>
      <c r="Q125" s="26">
        <f t="shared" si="3"/>
        <v>0</v>
      </c>
      <c r="R125" s="26">
        <f>'Resource Build-Up'!AC124</f>
        <v>0</v>
      </c>
      <c r="S125" s="26">
        <f>'Resource Build-Up'!AF124</f>
        <v>0</v>
      </c>
      <c r="T125" s="99"/>
      <c r="U125" s="26"/>
      <c r="V125" s="26">
        <f>'Resource Build-Up'!AG124</f>
        <v>0</v>
      </c>
    </row>
    <row r="126" spans="1:22" ht="32.450000000000003" customHeight="1" x14ac:dyDescent="0.2">
      <c r="A126" s="98" t="s">
        <v>737</v>
      </c>
      <c r="B126" s="98" t="str">
        <f>'Resource Build-Up'!A125</f>
        <v/>
      </c>
      <c r="C126" s="98">
        <f>'Resource Build-Up'!B125</f>
        <v>0</v>
      </c>
      <c r="D126" s="26" t="str">
        <f>'Resource Build-Up'!C125</f>
        <v/>
      </c>
      <c r="E126" s="26">
        <f>'Resource Build-Up'!H125</f>
        <v>0</v>
      </c>
      <c r="F126" s="26">
        <f>'Resource Build-Up'!P125</f>
        <v>0</v>
      </c>
      <c r="G126" s="26" t="str">
        <f>'Resource Build-Up'!Q125</f>
        <v/>
      </c>
      <c r="H126" s="26" t="str">
        <f>'Resource Build-Up'!T125</f>
        <v/>
      </c>
      <c r="I126" s="44">
        <f>'Resource Build-Up'!Y125</f>
        <v>0</v>
      </c>
      <c r="J126" s="44" t="str">
        <f>'Resource Build-Up'!Z125</f>
        <v/>
      </c>
      <c r="K126" s="26"/>
      <c r="L126" s="26"/>
      <c r="M126" s="26"/>
      <c r="N126" s="26"/>
      <c r="O126" s="26"/>
      <c r="P126" s="26"/>
      <c r="Q126" s="26">
        <f t="shared" si="3"/>
        <v>0</v>
      </c>
      <c r="R126" s="26">
        <f>'Resource Build-Up'!AC125</f>
        <v>0</v>
      </c>
      <c r="S126" s="26">
        <f>'Resource Build-Up'!AF125</f>
        <v>0</v>
      </c>
      <c r="T126" s="99"/>
      <c r="U126" s="26"/>
      <c r="V126" s="26">
        <f>'Resource Build-Up'!AG125</f>
        <v>0</v>
      </c>
    </row>
    <row r="127" spans="1:22" ht="32.450000000000003" customHeight="1" x14ac:dyDescent="0.2">
      <c r="A127" s="98" t="s">
        <v>738</v>
      </c>
      <c r="B127" s="98" t="str">
        <f>'Resource Build-Up'!A126</f>
        <v/>
      </c>
      <c r="C127" s="98">
        <f>'Resource Build-Up'!B126</f>
        <v>0</v>
      </c>
      <c r="D127" s="26" t="str">
        <f>'Resource Build-Up'!C126</f>
        <v/>
      </c>
      <c r="E127" s="26">
        <f>'Resource Build-Up'!H126</f>
        <v>0</v>
      </c>
      <c r="F127" s="26">
        <f>'Resource Build-Up'!P126</f>
        <v>0</v>
      </c>
      <c r="G127" s="26" t="str">
        <f>'Resource Build-Up'!Q126</f>
        <v/>
      </c>
      <c r="H127" s="26" t="str">
        <f>'Resource Build-Up'!T126</f>
        <v/>
      </c>
      <c r="I127" s="44">
        <f>'Resource Build-Up'!Y126</f>
        <v>0</v>
      </c>
      <c r="J127" s="44" t="str">
        <f>'Resource Build-Up'!Z126</f>
        <v/>
      </c>
      <c r="K127" s="26"/>
      <c r="L127" s="26"/>
      <c r="M127" s="26"/>
      <c r="N127" s="26"/>
      <c r="O127" s="26"/>
      <c r="P127" s="26"/>
      <c r="Q127" s="26">
        <f t="shared" si="3"/>
        <v>0</v>
      </c>
      <c r="R127" s="26">
        <f>'Resource Build-Up'!AC126</f>
        <v>0</v>
      </c>
      <c r="S127" s="26">
        <f>'Resource Build-Up'!AF126</f>
        <v>0</v>
      </c>
      <c r="T127" s="100"/>
      <c r="U127" s="26"/>
      <c r="V127" s="26">
        <f>'Resource Build-Up'!AG126</f>
        <v>0</v>
      </c>
    </row>
    <row r="128" spans="1:22" ht="32.450000000000003" customHeight="1" x14ac:dyDescent="0.2">
      <c r="A128" s="98" t="s">
        <v>739</v>
      </c>
      <c r="B128" s="98" t="str">
        <f>'Resource Build-Up'!A127</f>
        <v/>
      </c>
      <c r="C128" s="98">
        <f>'Resource Build-Up'!B127</f>
        <v>0</v>
      </c>
      <c r="D128" s="26" t="str">
        <f>'Resource Build-Up'!C127</f>
        <v/>
      </c>
      <c r="E128" s="26">
        <f>'Resource Build-Up'!H127</f>
        <v>0</v>
      </c>
      <c r="F128" s="26">
        <f>'Resource Build-Up'!P127</f>
        <v>0</v>
      </c>
      <c r="G128" s="26" t="str">
        <f>'Resource Build-Up'!Q127</f>
        <v/>
      </c>
      <c r="H128" s="26" t="str">
        <f>'Resource Build-Up'!T127</f>
        <v/>
      </c>
      <c r="I128" s="44">
        <f>'Resource Build-Up'!Y127</f>
        <v>0</v>
      </c>
      <c r="J128" s="44" t="str">
        <f>'Resource Build-Up'!Z127</f>
        <v/>
      </c>
      <c r="K128" s="26"/>
      <c r="L128" s="26"/>
      <c r="M128" s="26"/>
      <c r="N128" s="26"/>
      <c r="O128" s="26"/>
      <c r="P128" s="26"/>
      <c r="Q128" s="26">
        <f t="shared" si="3"/>
        <v>0</v>
      </c>
      <c r="R128" s="26">
        <f>'Resource Build-Up'!AC127</f>
        <v>0</v>
      </c>
      <c r="S128" s="26">
        <f>'Resource Build-Up'!AF127</f>
        <v>0</v>
      </c>
      <c r="T128" s="100"/>
      <c r="U128" s="26"/>
      <c r="V128" s="26">
        <f>'Resource Build-Up'!AG127</f>
        <v>0</v>
      </c>
    </row>
    <row r="129" spans="1:22" ht="32.450000000000003" customHeight="1" x14ac:dyDescent="0.2">
      <c r="A129" s="98" t="s">
        <v>740</v>
      </c>
      <c r="B129" s="98" t="str">
        <f>'Resource Build-Up'!A128</f>
        <v/>
      </c>
      <c r="C129" s="98">
        <f>'Resource Build-Up'!B128</f>
        <v>0</v>
      </c>
      <c r="D129" s="26" t="str">
        <f>'Resource Build-Up'!C128</f>
        <v/>
      </c>
      <c r="E129" s="26">
        <f>'Resource Build-Up'!H128</f>
        <v>0</v>
      </c>
      <c r="F129" s="26">
        <f>'Resource Build-Up'!P128</f>
        <v>0</v>
      </c>
      <c r="G129" s="26" t="str">
        <f>'Resource Build-Up'!Q128</f>
        <v/>
      </c>
      <c r="H129" s="26" t="str">
        <f>'Resource Build-Up'!T128</f>
        <v/>
      </c>
      <c r="I129" s="44">
        <f>'Resource Build-Up'!Y128</f>
        <v>0</v>
      </c>
      <c r="J129" s="44" t="str">
        <f>'Resource Build-Up'!Z128</f>
        <v/>
      </c>
      <c r="K129" s="26"/>
      <c r="L129" s="26"/>
      <c r="M129" s="26"/>
      <c r="N129" s="26"/>
      <c r="O129" s="26"/>
      <c r="P129" s="26"/>
      <c r="Q129" s="26">
        <f t="shared" si="3"/>
        <v>0</v>
      </c>
      <c r="R129" s="26">
        <f>'Resource Build-Up'!AC128</f>
        <v>0</v>
      </c>
      <c r="S129" s="26">
        <f>'Resource Build-Up'!AF128</f>
        <v>0</v>
      </c>
      <c r="T129" s="100"/>
      <c r="U129" s="26"/>
      <c r="V129" s="26">
        <f>'Resource Build-Up'!AG128</f>
        <v>0</v>
      </c>
    </row>
    <row r="130" spans="1:22" ht="32.450000000000003" customHeight="1" x14ac:dyDescent="0.2">
      <c r="A130" s="98" t="s">
        <v>741</v>
      </c>
      <c r="B130" s="98" t="str">
        <f>'Resource Build-Up'!A129</f>
        <v/>
      </c>
      <c r="C130" s="98">
        <f>'Resource Build-Up'!B129</f>
        <v>0</v>
      </c>
      <c r="D130" s="26" t="str">
        <f>'Resource Build-Up'!C129</f>
        <v/>
      </c>
      <c r="E130" s="26">
        <f>'Resource Build-Up'!H129</f>
        <v>0</v>
      </c>
      <c r="F130" s="26">
        <f>'Resource Build-Up'!P129</f>
        <v>0</v>
      </c>
      <c r="G130" s="26" t="str">
        <f>'Resource Build-Up'!Q129</f>
        <v/>
      </c>
      <c r="H130" s="26" t="str">
        <f>'Resource Build-Up'!T129</f>
        <v/>
      </c>
      <c r="I130" s="44">
        <f>'Resource Build-Up'!Y129</f>
        <v>0</v>
      </c>
      <c r="J130" s="44" t="str">
        <f>'Resource Build-Up'!Z129</f>
        <v/>
      </c>
      <c r="K130" s="26"/>
      <c r="L130" s="26"/>
      <c r="M130" s="26"/>
      <c r="N130" s="26"/>
      <c r="O130" s="26"/>
      <c r="P130" s="26"/>
      <c r="Q130" s="26">
        <f t="shared" si="3"/>
        <v>0</v>
      </c>
      <c r="R130" s="26">
        <f>'Resource Build-Up'!AC129</f>
        <v>0</v>
      </c>
      <c r="S130" s="26">
        <f>'Resource Build-Up'!AF129</f>
        <v>0</v>
      </c>
      <c r="T130" s="100"/>
      <c r="U130" s="26"/>
      <c r="V130" s="26">
        <f>'Resource Build-Up'!AG129</f>
        <v>0</v>
      </c>
    </row>
    <row r="131" spans="1:22" ht="32.450000000000003" customHeight="1" x14ac:dyDescent="0.2">
      <c r="A131" s="98" t="s">
        <v>742</v>
      </c>
      <c r="B131" s="98" t="str">
        <f>'Resource Build-Up'!A130</f>
        <v/>
      </c>
      <c r="C131" s="98">
        <f>'Resource Build-Up'!B130</f>
        <v>0</v>
      </c>
      <c r="D131" s="26" t="str">
        <f>'Resource Build-Up'!C130</f>
        <v/>
      </c>
      <c r="E131" s="26">
        <f>'Resource Build-Up'!H130</f>
        <v>0</v>
      </c>
      <c r="F131" s="26">
        <f>'Resource Build-Up'!P130</f>
        <v>0</v>
      </c>
      <c r="G131" s="26" t="str">
        <f>'Resource Build-Up'!Q130</f>
        <v/>
      </c>
      <c r="H131" s="26" t="str">
        <f>'Resource Build-Up'!T130</f>
        <v/>
      </c>
      <c r="I131" s="44">
        <f>'Resource Build-Up'!Y130</f>
        <v>0</v>
      </c>
      <c r="J131" s="44" t="str">
        <f>'Resource Build-Up'!Z130</f>
        <v/>
      </c>
      <c r="K131" s="26"/>
      <c r="L131" s="26"/>
      <c r="M131" s="26"/>
      <c r="N131" s="26"/>
      <c r="O131" s="26"/>
      <c r="P131" s="26"/>
      <c r="Q131" s="26">
        <f t="shared" si="3"/>
        <v>0</v>
      </c>
      <c r="R131" s="26">
        <f>'Resource Build-Up'!AC130</f>
        <v>0</v>
      </c>
      <c r="S131" s="26">
        <f>'Resource Build-Up'!AF130</f>
        <v>0</v>
      </c>
      <c r="T131" s="99"/>
      <c r="U131" s="26"/>
      <c r="V131" s="26">
        <f>'Resource Build-Up'!AG130</f>
        <v>0</v>
      </c>
    </row>
    <row r="132" spans="1:22" ht="32.450000000000003" customHeight="1" x14ac:dyDescent="0.2">
      <c r="A132" s="98" t="s">
        <v>743</v>
      </c>
      <c r="B132" s="98" t="str">
        <f>'Resource Build-Up'!A131</f>
        <v/>
      </c>
      <c r="C132" s="98">
        <f>'Resource Build-Up'!B131</f>
        <v>0</v>
      </c>
      <c r="D132" s="26" t="str">
        <f>'Resource Build-Up'!C131</f>
        <v/>
      </c>
      <c r="E132" s="26">
        <f>'Resource Build-Up'!H131</f>
        <v>0</v>
      </c>
      <c r="F132" s="26">
        <f>'Resource Build-Up'!P131</f>
        <v>0</v>
      </c>
      <c r="G132" s="26" t="str">
        <f>'Resource Build-Up'!Q131</f>
        <v/>
      </c>
      <c r="H132" s="26" t="str">
        <f>'Resource Build-Up'!T131</f>
        <v/>
      </c>
      <c r="I132" s="44">
        <f>'Resource Build-Up'!Y131</f>
        <v>0</v>
      </c>
      <c r="J132" s="44" t="str">
        <f>'Resource Build-Up'!Z131</f>
        <v/>
      </c>
      <c r="K132" s="26"/>
      <c r="L132" s="26"/>
      <c r="M132" s="26"/>
      <c r="N132" s="26"/>
      <c r="O132" s="26"/>
      <c r="P132" s="26"/>
      <c r="Q132" s="26">
        <f t="shared" si="3"/>
        <v>0</v>
      </c>
      <c r="R132" s="26">
        <f>'Resource Build-Up'!AC131</f>
        <v>0</v>
      </c>
      <c r="S132" s="26">
        <f>'Resource Build-Up'!AF131</f>
        <v>0</v>
      </c>
      <c r="T132" s="100"/>
      <c r="U132" s="26"/>
      <c r="V132" s="26">
        <f>'Resource Build-Up'!AG131</f>
        <v>0</v>
      </c>
    </row>
    <row r="133" spans="1:22" ht="32.450000000000003" customHeight="1" x14ac:dyDescent="0.2">
      <c r="A133" s="98" t="s">
        <v>744</v>
      </c>
      <c r="B133" s="98" t="str">
        <f>'Resource Build-Up'!A132</f>
        <v/>
      </c>
      <c r="C133" s="98">
        <f>'Resource Build-Up'!B132</f>
        <v>0</v>
      </c>
      <c r="D133" s="26" t="str">
        <f>'Resource Build-Up'!C132</f>
        <v/>
      </c>
      <c r="E133" s="26">
        <f>'Resource Build-Up'!H132</f>
        <v>0</v>
      </c>
      <c r="F133" s="26">
        <f>'Resource Build-Up'!P132</f>
        <v>0</v>
      </c>
      <c r="G133" s="26" t="str">
        <f>'Resource Build-Up'!Q132</f>
        <v/>
      </c>
      <c r="H133" s="26" t="str">
        <f>'Resource Build-Up'!T132</f>
        <v/>
      </c>
      <c r="I133" s="44">
        <f>'Resource Build-Up'!Y132</f>
        <v>0</v>
      </c>
      <c r="J133" s="44" t="str">
        <f>'Resource Build-Up'!Z132</f>
        <v/>
      </c>
      <c r="K133" s="26"/>
      <c r="L133" s="26"/>
      <c r="M133" s="26"/>
      <c r="N133" s="26"/>
      <c r="O133" s="26"/>
      <c r="P133" s="26"/>
      <c r="Q133" s="26">
        <f t="shared" si="3"/>
        <v>0</v>
      </c>
      <c r="R133" s="26">
        <f>'Resource Build-Up'!AC132</f>
        <v>0</v>
      </c>
      <c r="S133" s="26">
        <f>'Resource Build-Up'!AF132</f>
        <v>0</v>
      </c>
      <c r="T133" s="99"/>
      <c r="U133" s="26"/>
      <c r="V133" s="26">
        <f>'Resource Build-Up'!AG132</f>
        <v>0</v>
      </c>
    </row>
    <row r="134" spans="1:22" ht="32.450000000000003" customHeight="1" x14ac:dyDescent="0.2">
      <c r="A134" s="98" t="s">
        <v>745</v>
      </c>
      <c r="B134" s="98" t="str">
        <f>'Resource Build-Up'!A133</f>
        <v/>
      </c>
      <c r="C134" s="98">
        <f>'Resource Build-Up'!B133</f>
        <v>0</v>
      </c>
      <c r="D134" s="26" t="str">
        <f>'Resource Build-Up'!C133</f>
        <v/>
      </c>
      <c r="E134" s="26">
        <f>'Resource Build-Up'!H133</f>
        <v>0</v>
      </c>
      <c r="F134" s="26">
        <f>'Resource Build-Up'!P133</f>
        <v>0</v>
      </c>
      <c r="G134" s="26" t="str">
        <f>'Resource Build-Up'!Q133</f>
        <v/>
      </c>
      <c r="H134" s="26" t="str">
        <f>'Resource Build-Up'!T133</f>
        <v/>
      </c>
      <c r="I134" s="44">
        <f>'Resource Build-Up'!Y133</f>
        <v>0</v>
      </c>
      <c r="J134" s="44" t="str">
        <f>'Resource Build-Up'!Z133</f>
        <v/>
      </c>
      <c r="K134" s="26"/>
      <c r="L134" s="26"/>
      <c r="M134" s="26"/>
      <c r="N134" s="26"/>
      <c r="O134" s="26"/>
      <c r="P134" s="26"/>
      <c r="Q134" s="26">
        <f t="shared" si="3"/>
        <v>0</v>
      </c>
      <c r="R134" s="26">
        <f>'Resource Build-Up'!AC133</f>
        <v>0</v>
      </c>
      <c r="S134" s="26">
        <f>'Resource Build-Up'!AF133</f>
        <v>0</v>
      </c>
      <c r="T134" s="99"/>
      <c r="U134" s="26"/>
      <c r="V134" s="26">
        <f>'Resource Build-Up'!AG133</f>
        <v>0</v>
      </c>
    </row>
    <row r="135" spans="1:22" ht="32.450000000000003" customHeight="1" x14ac:dyDescent="0.2">
      <c r="A135" s="98" t="s">
        <v>746</v>
      </c>
      <c r="B135" s="98" t="str">
        <f>'Resource Build-Up'!A134</f>
        <v/>
      </c>
      <c r="C135" s="98">
        <f>'Resource Build-Up'!B134</f>
        <v>0</v>
      </c>
      <c r="D135" s="26" t="str">
        <f>'Resource Build-Up'!C134</f>
        <v/>
      </c>
      <c r="E135" s="26">
        <f>'Resource Build-Up'!H134</f>
        <v>0</v>
      </c>
      <c r="F135" s="26">
        <f>'Resource Build-Up'!P134</f>
        <v>0</v>
      </c>
      <c r="G135" s="26" t="str">
        <f>'Resource Build-Up'!Q134</f>
        <v/>
      </c>
      <c r="H135" s="26" t="str">
        <f>'Resource Build-Up'!T134</f>
        <v/>
      </c>
      <c r="I135" s="44">
        <f>'Resource Build-Up'!Y134</f>
        <v>0</v>
      </c>
      <c r="J135" s="44" t="str">
        <f>'Resource Build-Up'!Z134</f>
        <v/>
      </c>
      <c r="K135" s="26"/>
      <c r="L135" s="26"/>
      <c r="M135" s="26"/>
      <c r="N135" s="26"/>
      <c r="O135" s="26"/>
      <c r="P135" s="26"/>
      <c r="Q135" s="26">
        <f t="shared" si="3"/>
        <v>0</v>
      </c>
      <c r="R135" s="26">
        <f>'Resource Build-Up'!AC134</f>
        <v>0</v>
      </c>
      <c r="S135" s="26">
        <f>'Resource Build-Up'!AF134</f>
        <v>0</v>
      </c>
      <c r="T135" s="100"/>
      <c r="U135" s="26"/>
      <c r="V135" s="26">
        <f>'Resource Build-Up'!AG134</f>
        <v>0</v>
      </c>
    </row>
    <row r="136" spans="1:22" ht="32.450000000000003" customHeight="1" x14ac:dyDescent="0.2">
      <c r="A136" s="98" t="s">
        <v>747</v>
      </c>
      <c r="B136" s="98" t="str">
        <f>'Resource Build-Up'!A135</f>
        <v/>
      </c>
      <c r="C136" s="98">
        <f>'Resource Build-Up'!B135</f>
        <v>0</v>
      </c>
      <c r="D136" s="26" t="str">
        <f>'Resource Build-Up'!C135</f>
        <v/>
      </c>
      <c r="E136" s="26">
        <f>'Resource Build-Up'!H135</f>
        <v>0</v>
      </c>
      <c r="F136" s="26">
        <f>'Resource Build-Up'!P135</f>
        <v>0</v>
      </c>
      <c r="G136" s="26" t="str">
        <f>'Resource Build-Up'!Q135</f>
        <v/>
      </c>
      <c r="H136" s="26" t="str">
        <f>'Resource Build-Up'!T135</f>
        <v/>
      </c>
      <c r="I136" s="44">
        <f>'Resource Build-Up'!Y135</f>
        <v>0</v>
      </c>
      <c r="J136" s="44" t="str">
        <f>'Resource Build-Up'!Z135</f>
        <v/>
      </c>
      <c r="K136" s="26"/>
      <c r="L136" s="26"/>
      <c r="M136" s="26"/>
      <c r="N136" s="26"/>
      <c r="O136" s="26"/>
      <c r="P136" s="26"/>
      <c r="Q136" s="26">
        <f t="shared" ref="Q136" si="4">COUNTIF(L136,"PASS")+COUNTIF(N136,"PASS")+COUNTIF(P136,"PASS")</f>
        <v>0</v>
      </c>
      <c r="R136" s="26">
        <f>'Resource Build-Up'!AC135</f>
        <v>0</v>
      </c>
      <c r="S136" s="26">
        <f>'Resource Build-Up'!AF135</f>
        <v>0</v>
      </c>
      <c r="T136" s="99"/>
      <c r="U136" s="26"/>
      <c r="V136" s="26">
        <f>'Resource Build-Up'!AG135</f>
        <v>0</v>
      </c>
    </row>
  </sheetData>
  <mergeCells count="2">
    <mergeCell ref="A1:V1"/>
    <mergeCell ref="A2:V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77"/>
  <sheetViews>
    <sheetView showGridLines="0" workbookViewId="0"/>
  </sheetViews>
  <sheetFormatPr defaultRowHeight="15" x14ac:dyDescent="0.2"/>
  <cols>
    <col min="1" max="1" width="9.953125" customWidth="1"/>
    <col min="2" max="2" width="9.01171875" customWidth="1"/>
    <col min="3" max="3" width="36.453125" customWidth="1"/>
    <col min="4" max="4" width="9.953125" customWidth="1"/>
    <col min="5" max="5" width="68.60546875" customWidth="1"/>
    <col min="6" max="6" width="11.97265625" customWidth="1"/>
    <col min="7" max="7" width="9.953125" customWidth="1"/>
    <col min="8" max="8" width="14.9296875" customWidth="1"/>
    <col min="9" max="10" width="16.0078125" customWidth="1"/>
    <col min="11" max="11" width="14.9296875" customWidth="1"/>
    <col min="12" max="12" width="16.94921875" customWidth="1"/>
    <col min="13" max="13" width="14.9296875" customWidth="1"/>
    <col min="14" max="14" width="13.046875" customWidth="1"/>
    <col min="15" max="15" width="86.6328125" customWidth="1"/>
    <col min="16" max="16" width="27.98046875" customWidth="1"/>
    <col min="17" max="17" width="16.0078125" customWidth="1"/>
    <col min="18" max="18" width="65.51171875" customWidth="1"/>
    <col min="19" max="19" width="44.2578125" customWidth="1"/>
    <col min="20" max="20" width="14.9296875" customWidth="1"/>
    <col min="21" max="21" width="11.97265625" customWidth="1"/>
    <col min="22" max="22" width="16.0078125" customWidth="1"/>
    <col min="23" max="23" width="13.98828125" customWidth="1"/>
    <col min="24" max="24" width="43.98828125" customWidth="1"/>
  </cols>
  <sheetData>
    <row r="1" spans="1:24" ht="34.700000000000003" customHeight="1" x14ac:dyDescent="0.2">
      <c r="A1" s="289" t="s">
        <v>1194</v>
      </c>
      <c r="B1" s="289"/>
      <c r="C1" s="289"/>
      <c r="D1" s="289"/>
      <c r="E1" s="289"/>
      <c r="F1" s="289"/>
      <c r="G1" s="289"/>
      <c r="H1" s="289"/>
      <c r="I1" s="289"/>
      <c r="J1" s="289"/>
      <c r="K1" s="289"/>
      <c r="L1" s="289"/>
      <c r="M1" s="289"/>
      <c r="N1" s="289"/>
      <c r="O1" s="289"/>
      <c r="P1" s="289"/>
      <c r="Q1" s="289"/>
      <c r="R1" s="289"/>
      <c r="S1" s="289"/>
      <c r="T1" s="289"/>
      <c r="U1" s="289"/>
      <c r="V1" s="289"/>
      <c r="W1" s="289"/>
      <c r="X1" s="289"/>
    </row>
    <row r="2" spans="1:24" s="3" customFormat="1" ht="34.700000000000003" customHeight="1" x14ac:dyDescent="0.2">
      <c r="A2" s="291" t="s">
        <v>1195</v>
      </c>
      <c r="B2" s="291"/>
      <c r="C2" s="291"/>
      <c r="D2" s="291"/>
      <c r="E2" s="291"/>
      <c r="F2" s="291"/>
      <c r="G2" s="291"/>
      <c r="H2" s="291"/>
      <c r="I2" s="291"/>
      <c r="J2" s="291"/>
      <c r="K2" s="291"/>
      <c r="L2" s="291"/>
      <c r="M2" s="291"/>
      <c r="N2" s="291"/>
      <c r="O2" s="291"/>
      <c r="P2" s="291"/>
      <c r="Q2" s="291"/>
      <c r="R2" s="291"/>
      <c r="S2" s="291"/>
      <c r="T2" s="291"/>
      <c r="U2" s="291"/>
      <c r="V2" s="291"/>
      <c r="W2" s="291"/>
      <c r="X2" s="291"/>
    </row>
    <row r="3" spans="1:24" s="3" customFormat="1" ht="34.700000000000003" customHeight="1" x14ac:dyDescent="0.2">
      <c r="A3" s="292" t="s">
        <v>1196</v>
      </c>
      <c r="B3" s="292"/>
      <c r="C3" s="292"/>
      <c r="D3" s="292"/>
      <c r="E3" s="292"/>
      <c r="F3" s="292"/>
      <c r="G3" s="292"/>
      <c r="H3" s="292"/>
      <c r="I3" s="292"/>
      <c r="J3" s="292"/>
      <c r="K3" s="292"/>
      <c r="L3" s="292"/>
      <c r="M3" s="292"/>
      <c r="N3" s="292"/>
      <c r="O3" s="292"/>
      <c r="P3" s="292"/>
      <c r="Q3" s="292"/>
      <c r="R3" s="292"/>
      <c r="S3" s="292"/>
      <c r="T3" s="292"/>
      <c r="U3" s="292"/>
      <c r="V3" s="292"/>
      <c r="W3" s="292"/>
      <c r="X3" s="292"/>
    </row>
    <row r="4" spans="1:24" s="3" customFormat="1" ht="34.700000000000003" customHeight="1" x14ac:dyDescent="0.2">
      <c r="A4" s="293" t="s">
        <v>748</v>
      </c>
      <c r="B4" s="293"/>
      <c r="C4" s="293"/>
      <c r="D4" s="293"/>
      <c r="E4" s="293"/>
      <c r="F4" s="293"/>
      <c r="G4" s="293"/>
      <c r="H4" s="293"/>
      <c r="I4" s="293"/>
      <c r="J4" s="293"/>
      <c r="K4" s="293"/>
      <c r="L4" s="293"/>
      <c r="M4" s="293"/>
      <c r="N4" s="293"/>
      <c r="O4" s="293"/>
      <c r="P4" s="293"/>
      <c r="Q4" s="293"/>
      <c r="R4" s="293"/>
      <c r="S4" s="293"/>
      <c r="T4" s="293"/>
      <c r="U4" s="293"/>
      <c r="V4" s="293"/>
      <c r="W4" s="293"/>
      <c r="X4" s="293"/>
    </row>
    <row r="5" spans="1:24" s="3" customFormat="1" ht="34.700000000000003" customHeight="1" x14ac:dyDescent="0.2">
      <c r="A5" s="294" t="s">
        <v>1197</v>
      </c>
      <c r="B5" s="294"/>
      <c r="C5" s="294"/>
      <c r="D5" s="294"/>
      <c r="E5" s="294"/>
      <c r="F5" s="294"/>
      <c r="G5" s="294"/>
      <c r="H5" s="294"/>
      <c r="I5" s="294"/>
      <c r="J5" s="294"/>
      <c r="K5" s="294"/>
      <c r="L5" s="294"/>
      <c r="M5" s="294"/>
      <c r="N5" s="294"/>
      <c r="O5" s="294"/>
      <c r="P5" s="294"/>
      <c r="Q5" s="294"/>
      <c r="R5" s="294"/>
      <c r="S5" s="294"/>
      <c r="T5" s="294"/>
      <c r="U5" s="294"/>
      <c r="V5" s="294"/>
      <c r="W5" s="294"/>
      <c r="X5" s="294"/>
    </row>
    <row r="6" spans="1:24" s="3" customFormat="1" ht="42" customHeight="1" x14ac:dyDescent="0.2">
      <c r="A6" s="184" t="s">
        <v>749</v>
      </c>
      <c r="B6" s="184" t="s">
        <v>750</v>
      </c>
      <c r="C6" s="184" t="s">
        <v>568</v>
      </c>
      <c r="D6" s="184" t="s">
        <v>567</v>
      </c>
      <c r="E6" s="184" t="s">
        <v>751</v>
      </c>
      <c r="F6" s="184" t="s">
        <v>96</v>
      </c>
      <c r="G6" s="184" t="s">
        <v>97</v>
      </c>
      <c r="H6" s="184" t="s">
        <v>752</v>
      </c>
      <c r="I6" s="184" t="s">
        <v>753</v>
      </c>
      <c r="J6" s="184" t="s">
        <v>754</v>
      </c>
      <c r="K6" s="184" t="s">
        <v>755</v>
      </c>
      <c r="L6" s="184" t="s">
        <v>756</v>
      </c>
      <c r="M6" s="184" t="s">
        <v>757</v>
      </c>
      <c r="N6" s="184" t="s">
        <v>758</v>
      </c>
      <c r="O6" s="184" t="s">
        <v>759</v>
      </c>
      <c r="P6" s="184" t="s">
        <v>760</v>
      </c>
      <c r="Q6" s="184" t="s">
        <v>761</v>
      </c>
      <c r="R6" s="184" t="s">
        <v>762</v>
      </c>
      <c r="S6" s="184" t="s">
        <v>763</v>
      </c>
      <c r="T6" s="184" t="s">
        <v>764</v>
      </c>
      <c r="U6" s="184" t="s">
        <v>765</v>
      </c>
      <c r="V6" s="184" t="s">
        <v>766</v>
      </c>
      <c r="W6" s="184" t="s">
        <v>767</v>
      </c>
      <c r="X6" s="184" t="s">
        <v>87</v>
      </c>
    </row>
    <row r="7" spans="1:24" s="3" customFormat="1" ht="52.7" customHeight="1" x14ac:dyDescent="0.2">
      <c r="A7" s="30">
        <v>1</v>
      </c>
      <c r="B7" s="30">
        <v>3</v>
      </c>
      <c r="C7" s="106">
        <f>'QS Takeoff'!A3</f>
        <v>0</v>
      </c>
      <c r="D7" s="106">
        <f>'QS Takeoff'!B3</f>
        <v>0</v>
      </c>
      <c r="E7" s="106">
        <f>'QS Takeoff'!C3</f>
        <v>0</v>
      </c>
      <c r="F7" s="106">
        <f>'QS Takeoff'!E3</f>
        <v>0</v>
      </c>
      <c r="G7" s="106">
        <f>'QS Takeoff'!D3</f>
        <v>0</v>
      </c>
      <c r="H7" s="185">
        <f>'QS Takeoff'!G3</f>
        <v>0</v>
      </c>
      <c r="I7" s="185">
        <f>SUMIF('Resource Build-Up'!$B$7:$B$306,D7,'Resource Build-Up'!$Z$7:$Z$306)</f>
        <v>0</v>
      </c>
      <c r="J7" s="186">
        <f ca="1">IFERROR(_xludf.AGGREGATE(14,6,'Resource Build-Up'!$M$7:$M$306/('Resource Build-Up'!$B$7:$B$306=D7),1),0)</f>
        <v>0</v>
      </c>
      <c r="K7" s="186" t="str">
        <f t="shared" ref="K7:K38" ca="1" si="0">IF(J7=0,"",ROUNDUP(J7/8,0))</f>
        <v/>
      </c>
      <c r="L7" s="187"/>
      <c r="M7" s="186" t="str">
        <f t="shared" ref="M7:M38" ca="1" si="1">IF(L7&lt;&gt;"",L7,K7)</f>
        <v/>
      </c>
      <c r="N7" s="188" t="str">
        <f t="shared" ref="N7:N38" ca="1" si="2">IF(M7="","",TEXT(M7,"0")&amp;" days")</f>
        <v/>
      </c>
      <c r="O7" s="106"/>
      <c r="P7" s="106"/>
      <c r="Q7" s="106"/>
      <c r="R7" s="106"/>
      <c r="S7" s="189"/>
      <c r="T7" s="130">
        <f t="shared" ref="T7:T38" si="3">I7-H7</f>
        <v>0</v>
      </c>
      <c r="U7" s="106" t="str">
        <f t="shared" ref="U7:U38" si="4">IF(ABS(T7)&lt;0.01,"OK","CHECK")</f>
        <v>OK</v>
      </c>
      <c r="V7" s="106" t="s">
        <v>1198</v>
      </c>
      <c r="W7" s="106" t="s">
        <v>1199</v>
      </c>
      <c r="X7" s="106"/>
    </row>
    <row r="8" spans="1:24" s="3" customFormat="1" ht="52.7" customHeight="1" x14ac:dyDescent="0.2">
      <c r="A8" s="30">
        <v>2</v>
      </c>
      <c r="B8" s="30">
        <v>4</v>
      </c>
      <c r="C8" s="106">
        <f>'QS Takeoff'!A4</f>
        <v>0</v>
      </c>
      <c r="D8" s="106">
        <f>'QS Takeoff'!B4</f>
        <v>0</v>
      </c>
      <c r="E8" s="106">
        <f>'QS Takeoff'!C4</f>
        <v>0</v>
      </c>
      <c r="F8" s="106">
        <f>'QS Takeoff'!E4</f>
        <v>0</v>
      </c>
      <c r="G8" s="106">
        <f>'QS Takeoff'!D4</f>
        <v>0</v>
      </c>
      <c r="H8" s="185">
        <f>'QS Takeoff'!G4</f>
        <v>0</v>
      </c>
      <c r="I8" s="185">
        <f>SUMIF('Resource Build-Up'!$B$7:$B$306,D8,'Resource Build-Up'!$Z$7:$Z$306)</f>
        <v>0</v>
      </c>
      <c r="J8" s="186">
        <f ca="1">IFERROR(_xludf.AGGREGATE(14,6,'Resource Build-Up'!$M$7:$M$306/('Resource Build-Up'!$B$7:$B$306=D8),1),0)</f>
        <v>0</v>
      </c>
      <c r="K8" s="186" t="str">
        <f t="shared" ca="1" si="0"/>
        <v/>
      </c>
      <c r="L8" s="187"/>
      <c r="M8" s="186" t="str">
        <f t="shared" ca="1" si="1"/>
        <v/>
      </c>
      <c r="N8" s="188" t="str">
        <f t="shared" ca="1" si="2"/>
        <v/>
      </c>
      <c r="O8" s="106"/>
      <c r="P8" s="106"/>
      <c r="Q8" s="106"/>
      <c r="R8" s="106"/>
      <c r="S8" s="189"/>
      <c r="T8" s="130">
        <f t="shared" si="3"/>
        <v>0</v>
      </c>
      <c r="U8" s="106" t="str">
        <f t="shared" si="4"/>
        <v>OK</v>
      </c>
      <c r="V8" s="106" t="s">
        <v>1198</v>
      </c>
      <c r="W8" s="106" t="s">
        <v>1199</v>
      </c>
      <c r="X8" s="106"/>
    </row>
    <row r="9" spans="1:24" s="3" customFormat="1" ht="52.7" customHeight="1" x14ac:dyDescent="0.2">
      <c r="A9" s="30">
        <v>3</v>
      </c>
      <c r="B9" s="30">
        <v>5</v>
      </c>
      <c r="C9" s="106">
        <f>'QS Takeoff'!A5</f>
        <v>0</v>
      </c>
      <c r="D9" s="106">
        <f>'QS Takeoff'!B5</f>
        <v>0</v>
      </c>
      <c r="E9" s="106">
        <f>'QS Takeoff'!C5</f>
        <v>0</v>
      </c>
      <c r="F9" s="106">
        <f>'QS Takeoff'!E5</f>
        <v>0</v>
      </c>
      <c r="G9" s="106">
        <f>'QS Takeoff'!D5</f>
        <v>0</v>
      </c>
      <c r="H9" s="185">
        <f>'QS Takeoff'!G5</f>
        <v>0</v>
      </c>
      <c r="I9" s="185">
        <f>SUMIF('Resource Build-Up'!$B$7:$B$306,D9,'Resource Build-Up'!$Z$7:$Z$306)</f>
        <v>0</v>
      </c>
      <c r="J9" s="186">
        <f ca="1">IFERROR(_xludf.AGGREGATE(14,6,'Resource Build-Up'!$M$7:$M$306/('Resource Build-Up'!$B$7:$B$306=D9),1),0)</f>
        <v>0</v>
      </c>
      <c r="K9" s="186" t="str">
        <f t="shared" ca="1" si="0"/>
        <v/>
      </c>
      <c r="L9" s="187"/>
      <c r="M9" s="186" t="str">
        <f t="shared" ca="1" si="1"/>
        <v/>
      </c>
      <c r="N9" s="188" t="str">
        <f t="shared" ca="1" si="2"/>
        <v/>
      </c>
      <c r="O9" s="106"/>
      <c r="P9" s="106"/>
      <c r="Q9" s="106"/>
      <c r="R9" s="106"/>
      <c r="S9" s="189"/>
      <c r="T9" s="130">
        <f t="shared" si="3"/>
        <v>0</v>
      </c>
      <c r="U9" s="106" t="str">
        <f t="shared" si="4"/>
        <v>OK</v>
      </c>
      <c r="V9" s="106" t="s">
        <v>1198</v>
      </c>
      <c r="W9" s="106" t="s">
        <v>1199</v>
      </c>
      <c r="X9" s="106"/>
    </row>
    <row r="10" spans="1:24" s="3" customFormat="1" ht="52.7" customHeight="1" x14ac:dyDescent="0.2">
      <c r="A10" s="30">
        <v>4</v>
      </c>
      <c r="B10" s="30">
        <v>6</v>
      </c>
      <c r="C10" s="106">
        <f>'QS Takeoff'!A6</f>
        <v>0</v>
      </c>
      <c r="D10" s="106">
        <f>'QS Takeoff'!B6</f>
        <v>0</v>
      </c>
      <c r="E10" s="106">
        <f>'QS Takeoff'!C6</f>
        <v>0</v>
      </c>
      <c r="F10" s="106">
        <f>'QS Takeoff'!E6</f>
        <v>0</v>
      </c>
      <c r="G10" s="106">
        <f>'QS Takeoff'!D6</f>
        <v>0</v>
      </c>
      <c r="H10" s="185">
        <f>'QS Takeoff'!G6</f>
        <v>0</v>
      </c>
      <c r="I10" s="185">
        <f>SUMIF('Resource Build-Up'!$B$7:$B$306,D10,'Resource Build-Up'!$Z$7:$Z$306)</f>
        <v>0</v>
      </c>
      <c r="J10" s="186">
        <f ca="1">IFERROR(_xludf.AGGREGATE(14,6,'Resource Build-Up'!$M$7:$M$306/('Resource Build-Up'!$B$7:$B$306=D10),1),0)</f>
        <v>0</v>
      </c>
      <c r="K10" s="186" t="str">
        <f t="shared" ca="1" si="0"/>
        <v/>
      </c>
      <c r="L10" s="187"/>
      <c r="M10" s="186" t="str">
        <f t="shared" ca="1" si="1"/>
        <v/>
      </c>
      <c r="N10" s="188" t="str">
        <f t="shared" ca="1" si="2"/>
        <v/>
      </c>
      <c r="O10" s="106"/>
      <c r="P10" s="106"/>
      <c r="Q10" s="106"/>
      <c r="R10" s="106"/>
      <c r="S10" s="189"/>
      <c r="T10" s="130">
        <f t="shared" si="3"/>
        <v>0</v>
      </c>
      <c r="U10" s="106" t="str">
        <f t="shared" si="4"/>
        <v>OK</v>
      </c>
      <c r="V10" s="106" t="s">
        <v>1198</v>
      </c>
      <c r="W10" s="106" t="s">
        <v>1199</v>
      </c>
      <c r="X10" s="106"/>
    </row>
    <row r="11" spans="1:24" s="3" customFormat="1" ht="52.7" customHeight="1" x14ac:dyDescent="0.2">
      <c r="A11" s="30">
        <v>5</v>
      </c>
      <c r="B11" s="30">
        <v>7</v>
      </c>
      <c r="C11" s="106">
        <f>'QS Takeoff'!A7</f>
        <v>0</v>
      </c>
      <c r="D11" s="106">
        <f>'QS Takeoff'!B7</f>
        <v>0</v>
      </c>
      <c r="E11" s="106">
        <f>'QS Takeoff'!C7</f>
        <v>0</v>
      </c>
      <c r="F11" s="106">
        <f>'QS Takeoff'!E7</f>
        <v>0</v>
      </c>
      <c r="G11" s="106">
        <f>'QS Takeoff'!D7</f>
        <v>0</v>
      </c>
      <c r="H11" s="185">
        <f>'QS Takeoff'!G7</f>
        <v>0</v>
      </c>
      <c r="I11" s="185">
        <f>SUMIF('Resource Build-Up'!$B$7:$B$306,D11,'Resource Build-Up'!$Z$7:$Z$306)</f>
        <v>0</v>
      </c>
      <c r="J11" s="186">
        <f ca="1">IFERROR(_xludf.AGGREGATE(14,6,'Resource Build-Up'!$M$7:$M$306/('Resource Build-Up'!$B$7:$B$306=D11),1),0)</f>
        <v>0</v>
      </c>
      <c r="K11" s="186" t="str">
        <f t="shared" ca="1" si="0"/>
        <v/>
      </c>
      <c r="L11" s="187"/>
      <c r="M11" s="186" t="str">
        <f t="shared" ca="1" si="1"/>
        <v/>
      </c>
      <c r="N11" s="188" t="str">
        <f t="shared" ca="1" si="2"/>
        <v/>
      </c>
      <c r="O11" s="106"/>
      <c r="P11" s="106"/>
      <c r="Q11" s="106"/>
      <c r="R11" s="106"/>
      <c r="S11" s="190"/>
      <c r="T11" s="130">
        <f t="shared" si="3"/>
        <v>0</v>
      </c>
      <c r="U11" s="106" t="str">
        <f t="shared" si="4"/>
        <v>OK</v>
      </c>
      <c r="V11" s="106" t="s">
        <v>1198</v>
      </c>
      <c r="W11" s="106" t="s">
        <v>1199</v>
      </c>
      <c r="X11" s="106"/>
    </row>
    <row r="12" spans="1:24" s="3" customFormat="1" ht="52.7" customHeight="1" x14ac:dyDescent="0.2">
      <c r="A12" s="30">
        <v>6</v>
      </c>
      <c r="B12" s="30">
        <v>8</v>
      </c>
      <c r="C12" s="106">
        <f>'QS Takeoff'!A8</f>
        <v>0</v>
      </c>
      <c r="D12" s="106">
        <f>'QS Takeoff'!B8</f>
        <v>0</v>
      </c>
      <c r="E12" s="106">
        <f>'QS Takeoff'!C8</f>
        <v>0</v>
      </c>
      <c r="F12" s="106">
        <f>'QS Takeoff'!E8</f>
        <v>0</v>
      </c>
      <c r="G12" s="106">
        <f>'QS Takeoff'!D8</f>
        <v>0</v>
      </c>
      <c r="H12" s="185">
        <f>'QS Takeoff'!G8</f>
        <v>0</v>
      </c>
      <c r="I12" s="185">
        <f>SUMIF('Resource Build-Up'!$B$7:$B$306,D12,'Resource Build-Up'!$Z$7:$Z$306)</f>
        <v>0</v>
      </c>
      <c r="J12" s="186">
        <f ca="1">IFERROR(_xludf.AGGREGATE(14,6,'Resource Build-Up'!$M$7:$M$306/('Resource Build-Up'!$B$7:$B$306=D12),1),0)</f>
        <v>0</v>
      </c>
      <c r="K12" s="186" t="str">
        <f t="shared" ca="1" si="0"/>
        <v/>
      </c>
      <c r="L12" s="187"/>
      <c r="M12" s="186" t="str">
        <f t="shared" ca="1" si="1"/>
        <v/>
      </c>
      <c r="N12" s="188" t="str">
        <f t="shared" ca="1" si="2"/>
        <v/>
      </c>
      <c r="O12" s="106"/>
      <c r="P12" s="106"/>
      <c r="Q12" s="106"/>
      <c r="R12" s="106"/>
      <c r="S12" s="190"/>
      <c r="T12" s="130">
        <f t="shared" si="3"/>
        <v>0</v>
      </c>
      <c r="U12" s="106" t="str">
        <f t="shared" si="4"/>
        <v>OK</v>
      </c>
      <c r="V12" s="106" t="s">
        <v>1198</v>
      </c>
      <c r="W12" s="106" t="s">
        <v>1199</v>
      </c>
      <c r="X12" s="106"/>
    </row>
    <row r="13" spans="1:24" s="3" customFormat="1" ht="52.7" customHeight="1" x14ac:dyDescent="0.2">
      <c r="A13" s="30">
        <v>7</v>
      </c>
      <c r="B13" s="30">
        <v>9</v>
      </c>
      <c r="C13" s="106">
        <f>'QS Takeoff'!A9</f>
        <v>0</v>
      </c>
      <c r="D13" s="106">
        <f>'QS Takeoff'!B9</f>
        <v>0</v>
      </c>
      <c r="E13" s="106">
        <f>'QS Takeoff'!C9</f>
        <v>0</v>
      </c>
      <c r="F13" s="106">
        <f>'QS Takeoff'!E9</f>
        <v>0</v>
      </c>
      <c r="G13" s="106">
        <f>'QS Takeoff'!D9</f>
        <v>0</v>
      </c>
      <c r="H13" s="185">
        <f>'QS Takeoff'!G9</f>
        <v>0</v>
      </c>
      <c r="I13" s="185">
        <f>SUMIF('Resource Build-Up'!$B$7:$B$306,D13,'Resource Build-Up'!$Z$7:$Z$306)</f>
        <v>0</v>
      </c>
      <c r="J13" s="186">
        <f ca="1">IFERROR(_xludf.AGGREGATE(14,6,'Resource Build-Up'!$M$7:$M$306/('Resource Build-Up'!$B$7:$B$306=D13),1),0)</f>
        <v>0</v>
      </c>
      <c r="K13" s="186" t="str">
        <f t="shared" ca="1" si="0"/>
        <v/>
      </c>
      <c r="L13" s="187"/>
      <c r="M13" s="186" t="str">
        <f t="shared" ca="1" si="1"/>
        <v/>
      </c>
      <c r="N13" s="188" t="str">
        <f t="shared" ca="1" si="2"/>
        <v/>
      </c>
      <c r="O13" s="106"/>
      <c r="P13" s="106"/>
      <c r="Q13" s="106"/>
      <c r="R13" s="106"/>
      <c r="S13" s="190"/>
      <c r="T13" s="130">
        <f t="shared" si="3"/>
        <v>0</v>
      </c>
      <c r="U13" s="106" t="str">
        <f t="shared" si="4"/>
        <v>OK</v>
      </c>
      <c r="V13" s="106" t="s">
        <v>1198</v>
      </c>
      <c r="W13" s="106" t="s">
        <v>1199</v>
      </c>
      <c r="X13" s="106"/>
    </row>
    <row r="14" spans="1:24" s="3" customFormat="1" ht="52.7" customHeight="1" x14ac:dyDescent="0.2">
      <c r="A14" s="30">
        <v>8</v>
      </c>
      <c r="B14" s="30">
        <v>10</v>
      </c>
      <c r="C14" s="106">
        <f>'QS Takeoff'!A10</f>
        <v>0</v>
      </c>
      <c r="D14" s="106">
        <f>'QS Takeoff'!B10</f>
        <v>0</v>
      </c>
      <c r="E14" s="106">
        <f>'QS Takeoff'!C10</f>
        <v>0</v>
      </c>
      <c r="F14" s="106">
        <f>'QS Takeoff'!E10</f>
        <v>0</v>
      </c>
      <c r="G14" s="106">
        <f>'QS Takeoff'!D10</f>
        <v>0</v>
      </c>
      <c r="H14" s="185">
        <f>'QS Takeoff'!G10</f>
        <v>0</v>
      </c>
      <c r="I14" s="185">
        <f>SUMIF('Resource Build-Up'!$B$7:$B$306,D14,'Resource Build-Up'!$Z$7:$Z$306)</f>
        <v>0</v>
      </c>
      <c r="J14" s="186">
        <f ca="1">IFERROR(_xludf.AGGREGATE(14,6,'Resource Build-Up'!$M$7:$M$306/('Resource Build-Up'!$B$7:$B$306=D14),1),0)</f>
        <v>0</v>
      </c>
      <c r="K14" s="186" t="str">
        <f t="shared" ca="1" si="0"/>
        <v/>
      </c>
      <c r="L14" s="187"/>
      <c r="M14" s="186" t="str">
        <f t="shared" ca="1" si="1"/>
        <v/>
      </c>
      <c r="N14" s="188" t="str">
        <f t="shared" ca="1" si="2"/>
        <v/>
      </c>
      <c r="O14" s="106"/>
      <c r="P14" s="106"/>
      <c r="Q14" s="106"/>
      <c r="R14" s="106"/>
      <c r="S14" s="190"/>
      <c r="T14" s="130">
        <f t="shared" si="3"/>
        <v>0</v>
      </c>
      <c r="U14" s="106" t="str">
        <f t="shared" si="4"/>
        <v>OK</v>
      </c>
      <c r="V14" s="106" t="s">
        <v>1198</v>
      </c>
      <c r="W14" s="106" t="s">
        <v>1199</v>
      </c>
      <c r="X14" s="106"/>
    </row>
    <row r="15" spans="1:24" s="3" customFormat="1" ht="52.7" customHeight="1" x14ac:dyDescent="0.2">
      <c r="A15" s="30">
        <v>9</v>
      </c>
      <c r="B15" s="30">
        <v>11</v>
      </c>
      <c r="C15" s="106">
        <f>'QS Takeoff'!A11</f>
        <v>0</v>
      </c>
      <c r="D15" s="106">
        <f>'QS Takeoff'!B11</f>
        <v>0</v>
      </c>
      <c r="E15" s="106">
        <f>'QS Takeoff'!C11</f>
        <v>0</v>
      </c>
      <c r="F15" s="106">
        <f>'QS Takeoff'!E11</f>
        <v>0</v>
      </c>
      <c r="G15" s="106">
        <f>'QS Takeoff'!D11</f>
        <v>0</v>
      </c>
      <c r="H15" s="185">
        <f>'QS Takeoff'!G11</f>
        <v>0</v>
      </c>
      <c r="I15" s="185">
        <f>SUMIF('Resource Build-Up'!$B$7:$B$306,D15,'Resource Build-Up'!$Z$7:$Z$306)</f>
        <v>0</v>
      </c>
      <c r="J15" s="186">
        <f ca="1">IFERROR(_xludf.AGGREGATE(14,6,'Resource Build-Up'!$M$7:$M$306/('Resource Build-Up'!$B$7:$B$306=D15),1),0)</f>
        <v>0</v>
      </c>
      <c r="K15" s="186" t="str">
        <f t="shared" ca="1" si="0"/>
        <v/>
      </c>
      <c r="L15" s="187"/>
      <c r="M15" s="186" t="str">
        <f t="shared" ca="1" si="1"/>
        <v/>
      </c>
      <c r="N15" s="188" t="str">
        <f t="shared" ca="1" si="2"/>
        <v/>
      </c>
      <c r="O15" s="106"/>
      <c r="P15" s="106"/>
      <c r="Q15" s="106"/>
      <c r="R15" s="106"/>
      <c r="S15" s="189"/>
      <c r="T15" s="130">
        <f t="shared" si="3"/>
        <v>0</v>
      </c>
      <c r="U15" s="106" t="str">
        <f t="shared" si="4"/>
        <v>OK</v>
      </c>
      <c r="V15" s="106" t="s">
        <v>1198</v>
      </c>
      <c r="W15" s="106" t="s">
        <v>1199</v>
      </c>
      <c r="X15" s="106"/>
    </row>
    <row r="16" spans="1:24" s="3" customFormat="1" ht="52.7" customHeight="1" x14ac:dyDescent="0.2">
      <c r="A16" s="30">
        <v>10</v>
      </c>
      <c r="B16" s="30">
        <v>12</v>
      </c>
      <c r="C16" s="106">
        <f>'QS Takeoff'!A12</f>
        <v>0</v>
      </c>
      <c r="D16" s="106">
        <f>'QS Takeoff'!B12</f>
        <v>0</v>
      </c>
      <c r="E16" s="106">
        <f>'QS Takeoff'!C12</f>
        <v>0</v>
      </c>
      <c r="F16" s="106">
        <f>'QS Takeoff'!E12</f>
        <v>0</v>
      </c>
      <c r="G16" s="106">
        <f>'QS Takeoff'!D12</f>
        <v>0</v>
      </c>
      <c r="H16" s="185">
        <f>'QS Takeoff'!G12</f>
        <v>0</v>
      </c>
      <c r="I16" s="185">
        <f>SUMIF('Resource Build-Up'!$B$7:$B$306,D16,'Resource Build-Up'!$Z$7:$Z$306)</f>
        <v>0</v>
      </c>
      <c r="J16" s="186">
        <f ca="1">IFERROR(_xludf.AGGREGATE(14,6,'Resource Build-Up'!$M$7:$M$306/('Resource Build-Up'!$B$7:$B$306=D16),1),0)</f>
        <v>0</v>
      </c>
      <c r="K16" s="186" t="str">
        <f t="shared" ca="1" si="0"/>
        <v/>
      </c>
      <c r="L16" s="187"/>
      <c r="M16" s="186" t="str">
        <f t="shared" ca="1" si="1"/>
        <v/>
      </c>
      <c r="N16" s="188" t="str">
        <f t="shared" ca="1" si="2"/>
        <v/>
      </c>
      <c r="O16" s="106"/>
      <c r="P16" s="106"/>
      <c r="Q16" s="106"/>
      <c r="R16" s="106"/>
      <c r="S16" s="189"/>
      <c r="T16" s="130">
        <f t="shared" si="3"/>
        <v>0</v>
      </c>
      <c r="U16" s="106" t="str">
        <f t="shared" si="4"/>
        <v>OK</v>
      </c>
      <c r="V16" s="106" t="s">
        <v>1198</v>
      </c>
      <c r="W16" s="106" t="s">
        <v>1199</v>
      </c>
      <c r="X16" s="106"/>
    </row>
    <row r="17" spans="1:24" s="3" customFormat="1" ht="52.7" customHeight="1" x14ac:dyDescent="0.2">
      <c r="A17" s="30">
        <v>11</v>
      </c>
      <c r="B17" s="30">
        <v>15</v>
      </c>
      <c r="C17" s="106">
        <f>'QS Takeoff'!A13</f>
        <v>0</v>
      </c>
      <c r="D17" s="106">
        <f>'QS Takeoff'!B13</f>
        <v>0</v>
      </c>
      <c r="E17" s="106">
        <f>'QS Takeoff'!C13</f>
        <v>0</v>
      </c>
      <c r="F17" s="106">
        <f>'QS Takeoff'!E13</f>
        <v>0</v>
      </c>
      <c r="G17" s="106">
        <f>'QS Takeoff'!D13</f>
        <v>0</v>
      </c>
      <c r="H17" s="185">
        <f>'QS Takeoff'!G13</f>
        <v>0</v>
      </c>
      <c r="I17" s="185">
        <f>SUMIF('Resource Build-Up'!$B$7:$B$306,D17,'Resource Build-Up'!$Z$7:$Z$306)</f>
        <v>0</v>
      </c>
      <c r="J17" s="186">
        <f ca="1">IFERROR(_xludf.AGGREGATE(14,6,'Resource Build-Up'!$M$7:$M$306/('Resource Build-Up'!$B$7:$B$306=D17),1),0)</f>
        <v>0</v>
      </c>
      <c r="K17" s="186" t="str">
        <f t="shared" ca="1" si="0"/>
        <v/>
      </c>
      <c r="L17" s="187"/>
      <c r="M17" s="186" t="str">
        <f t="shared" ca="1" si="1"/>
        <v/>
      </c>
      <c r="N17" s="188" t="str">
        <f t="shared" ca="1" si="2"/>
        <v/>
      </c>
      <c r="O17" s="106"/>
      <c r="P17" s="106"/>
      <c r="Q17" s="106"/>
      <c r="R17" s="106"/>
      <c r="S17" s="190"/>
      <c r="T17" s="130">
        <f t="shared" si="3"/>
        <v>0</v>
      </c>
      <c r="U17" s="106" t="str">
        <f t="shared" si="4"/>
        <v>OK</v>
      </c>
      <c r="V17" s="106" t="s">
        <v>1198</v>
      </c>
      <c r="W17" s="106" t="s">
        <v>1199</v>
      </c>
      <c r="X17" s="106"/>
    </row>
    <row r="18" spans="1:24" s="3" customFormat="1" ht="52.7" customHeight="1" x14ac:dyDescent="0.2">
      <c r="A18" s="30">
        <v>12</v>
      </c>
      <c r="B18" s="30">
        <v>16</v>
      </c>
      <c r="C18" s="106">
        <f>'QS Takeoff'!A14</f>
        <v>0</v>
      </c>
      <c r="D18" s="106">
        <f>'QS Takeoff'!B14</f>
        <v>0</v>
      </c>
      <c r="E18" s="106">
        <f>'QS Takeoff'!C14</f>
        <v>0</v>
      </c>
      <c r="F18" s="106">
        <f>'QS Takeoff'!E14</f>
        <v>0</v>
      </c>
      <c r="G18" s="106">
        <f>'QS Takeoff'!D14</f>
        <v>0</v>
      </c>
      <c r="H18" s="185">
        <f>'QS Takeoff'!G14</f>
        <v>0</v>
      </c>
      <c r="I18" s="185">
        <f>SUMIF('Resource Build-Up'!$B$7:$B$306,D18,'Resource Build-Up'!$Z$7:$Z$306)</f>
        <v>0</v>
      </c>
      <c r="J18" s="186">
        <f ca="1">IFERROR(_xludf.AGGREGATE(14,6,'Resource Build-Up'!$M$7:$M$306/('Resource Build-Up'!$B$7:$B$306=D18),1),0)</f>
        <v>0</v>
      </c>
      <c r="K18" s="186" t="str">
        <f t="shared" ca="1" si="0"/>
        <v/>
      </c>
      <c r="L18" s="187"/>
      <c r="M18" s="186" t="str">
        <f t="shared" ca="1" si="1"/>
        <v/>
      </c>
      <c r="N18" s="188" t="str">
        <f t="shared" ca="1" si="2"/>
        <v/>
      </c>
      <c r="O18" s="106"/>
      <c r="P18" s="106"/>
      <c r="Q18" s="106"/>
      <c r="R18" s="106"/>
      <c r="S18" s="190"/>
      <c r="T18" s="130">
        <f t="shared" si="3"/>
        <v>0</v>
      </c>
      <c r="U18" s="106" t="str">
        <f t="shared" si="4"/>
        <v>OK</v>
      </c>
      <c r="V18" s="106" t="s">
        <v>1198</v>
      </c>
      <c r="W18" s="106" t="s">
        <v>1199</v>
      </c>
      <c r="X18" s="106"/>
    </row>
    <row r="19" spans="1:24" s="3" customFormat="1" ht="52.7" customHeight="1" x14ac:dyDescent="0.2">
      <c r="A19" s="30">
        <v>13</v>
      </c>
      <c r="B19" s="30">
        <v>17</v>
      </c>
      <c r="C19" s="106">
        <f>'QS Takeoff'!A15</f>
        <v>0</v>
      </c>
      <c r="D19" s="106">
        <f>'QS Takeoff'!B15</f>
        <v>0</v>
      </c>
      <c r="E19" s="106">
        <f>'QS Takeoff'!C15</f>
        <v>0</v>
      </c>
      <c r="F19" s="106">
        <f>'QS Takeoff'!E15</f>
        <v>0</v>
      </c>
      <c r="G19" s="106">
        <f>'QS Takeoff'!D15</f>
        <v>0</v>
      </c>
      <c r="H19" s="185">
        <f>'QS Takeoff'!G15</f>
        <v>0</v>
      </c>
      <c r="I19" s="185">
        <f>SUMIF('Resource Build-Up'!$B$7:$B$306,D19,'Resource Build-Up'!$Z$7:$Z$306)</f>
        <v>0</v>
      </c>
      <c r="J19" s="186">
        <f ca="1">IFERROR(_xludf.AGGREGATE(14,6,'Resource Build-Up'!$M$7:$M$306/('Resource Build-Up'!$B$7:$B$306=D19),1),0)</f>
        <v>0</v>
      </c>
      <c r="K19" s="186" t="str">
        <f t="shared" ca="1" si="0"/>
        <v/>
      </c>
      <c r="L19" s="187"/>
      <c r="M19" s="186" t="str">
        <f t="shared" ca="1" si="1"/>
        <v/>
      </c>
      <c r="N19" s="188" t="str">
        <f t="shared" ca="1" si="2"/>
        <v/>
      </c>
      <c r="O19" s="106"/>
      <c r="P19" s="106"/>
      <c r="Q19" s="106"/>
      <c r="R19" s="106"/>
      <c r="S19" s="189"/>
      <c r="T19" s="130">
        <f t="shared" si="3"/>
        <v>0</v>
      </c>
      <c r="U19" s="106" t="str">
        <f t="shared" si="4"/>
        <v>OK</v>
      </c>
      <c r="V19" s="106" t="s">
        <v>1198</v>
      </c>
      <c r="W19" s="106" t="s">
        <v>1199</v>
      </c>
      <c r="X19" s="106"/>
    </row>
    <row r="20" spans="1:24" s="3" customFormat="1" ht="52.7" customHeight="1" x14ac:dyDescent="0.2">
      <c r="A20" s="30">
        <v>14</v>
      </c>
      <c r="B20" s="30">
        <v>18</v>
      </c>
      <c r="C20" s="106">
        <f>'QS Takeoff'!A16</f>
        <v>0</v>
      </c>
      <c r="D20" s="106">
        <f>'QS Takeoff'!B16</f>
        <v>0</v>
      </c>
      <c r="E20" s="106">
        <f>'QS Takeoff'!C16</f>
        <v>0</v>
      </c>
      <c r="F20" s="106">
        <f>'QS Takeoff'!E16</f>
        <v>0</v>
      </c>
      <c r="G20" s="106">
        <f>'QS Takeoff'!D16</f>
        <v>0</v>
      </c>
      <c r="H20" s="185">
        <f>'QS Takeoff'!G16</f>
        <v>0</v>
      </c>
      <c r="I20" s="185">
        <f>SUMIF('Resource Build-Up'!$B$7:$B$306,D20,'Resource Build-Up'!$Z$7:$Z$306)</f>
        <v>0</v>
      </c>
      <c r="J20" s="186">
        <f ca="1">IFERROR(_xludf.AGGREGATE(14,6,'Resource Build-Up'!$M$7:$M$306/('Resource Build-Up'!$B$7:$B$306=D20),1),0)</f>
        <v>0</v>
      </c>
      <c r="K20" s="186" t="str">
        <f t="shared" ca="1" si="0"/>
        <v/>
      </c>
      <c r="L20" s="187"/>
      <c r="M20" s="186" t="str">
        <f t="shared" ca="1" si="1"/>
        <v/>
      </c>
      <c r="N20" s="188" t="str">
        <f t="shared" ca="1" si="2"/>
        <v/>
      </c>
      <c r="O20" s="106"/>
      <c r="P20" s="106"/>
      <c r="Q20" s="106"/>
      <c r="R20" s="106"/>
      <c r="S20" s="190"/>
      <c r="T20" s="130">
        <f t="shared" si="3"/>
        <v>0</v>
      </c>
      <c r="U20" s="106" t="str">
        <f t="shared" si="4"/>
        <v>OK</v>
      </c>
      <c r="V20" s="106" t="s">
        <v>1198</v>
      </c>
      <c r="W20" s="106" t="s">
        <v>1199</v>
      </c>
      <c r="X20" s="106"/>
    </row>
    <row r="21" spans="1:24" s="3" customFormat="1" ht="52.7" customHeight="1" x14ac:dyDescent="0.2">
      <c r="A21" s="30">
        <v>15</v>
      </c>
      <c r="B21" s="30">
        <v>19</v>
      </c>
      <c r="C21" s="106">
        <f>'QS Takeoff'!A17</f>
        <v>0</v>
      </c>
      <c r="D21" s="106">
        <f>'QS Takeoff'!B17</f>
        <v>0</v>
      </c>
      <c r="E21" s="106">
        <f>'QS Takeoff'!C17</f>
        <v>0</v>
      </c>
      <c r="F21" s="106">
        <f>'QS Takeoff'!E17</f>
        <v>0</v>
      </c>
      <c r="G21" s="106">
        <f>'QS Takeoff'!D17</f>
        <v>0</v>
      </c>
      <c r="H21" s="185">
        <f>'QS Takeoff'!G17</f>
        <v>0</v>
      </c>
      <c r="I21" s="185">
        <f>SUMIF('Resource Build-Up'!$B$7:$B$306,D21,'Resource Build-Up'!$Z$7:$Z$306)</f>
        <v>0</v>
      </c>
      <c r="J21" s="186">
        <f ca="1">IFERROR(_xludf.AGGREGATE(14,6,'Resource Build-Up'!$M$7:$M$306/('Resource Build-Up'!$B$7:$B$306=D21),1),0)</f>
        <v>0</v>
      </c>
      <c r="K21" s="186" t="str">
        <f t="shared" ca="1" si="0"/>
        <v/>
      </c>
      <c r="L21" s="187"/>
      <c r="M21" s="186" t="str">
        <f t="shared" ca="1" si="1"/>
        <v/>
      </c>
      <c r="N21" s="188" t="str">
        <f t="shared" ca="1" si="2"/>
        <v/>
      </c>
      <c r="O21" s="106"/>
      <c r="P21" s="106"/>
      <c r="Q21" s="106"/>
      <c r="R21" s="106"/>
      <c r="S21" s="189"/>
      <c r="T21" s="130">
        <f t="shared" si="3"/>
        <v>0</v>
      </c>
      <c r="U21" s="106" t="str">
        <f t="shared" si="4"/>
        <v>OK</v>
      </c>
      <c r="V21" s="106" t="s">
        <v>1198</v>
      </c>
      <c r="W21" s="106" t="s">
        <v>1199</v>
      </c>
      <c r="X21" s="106"/>
    </row>
    <row r="22" spans="1:24" s="3" customFormat="1" ht="52.7" customHeight="1" x14ac:dyDescent="0.2">
      <c r="A22" s="30">
        <v>16</v>
      </c>
      <c r="B22" s="30">
        <v>20</v>
      </c>
      <c r="C22" s="106">
        <f>'QS Takeoff'!A18</f>
        <v>0</v>
      </c>
      <c r="D22" s="106">
        <f>'QS Takeoff'!B18</f>
        <v>0</v>
      </c>
      <c r="E22" s="106">
        <f>'QS Takeoff'!C18</f>
        <v>0</v>
      </c>
      <c r="F22" s="106">
        <f>'QS Takeoff'!E18</f>
        <v>0</v>
      </c>
      <c r="G22" s="106">
        <f>'QS Takeoff'!D18</f>
        <v>0</v>
      </c>
      <c r="H22" s="185">
        <f>'QS Takeoff'!G18</f>
        <v>0</v>
      </c>
      <c r="I22" s="185">
        <f>SUMIF('Resource Build-Up'!$B$7:$B$306,D22,'Resource Build-Up'!$Z$7:$Z$306)</f>
        <v>0</v>
      </c>
      <c r="J22" s="186">
        <f ca="1">IFERROR(_xludf.AGGREGATE(14,6,'Resource Build-Up'!$M$7:$M$306/('Resource Build-Up'!$B$7:$B$306=D22),1),0)</f>
        <v>0</v>
      </c>
      <c r="K22" s="186" t="str">
        <f t="shared" ca="1" si="0"/>
        <v/>
      </c>
      <c r="L22" s="187"/>
      <c r="M22" s="186" t="str">
        <f t="shared" ca="1" si="1"/>
        <v/>
      </c>
      <c r="N22" s="188" t="str">
        <f t="shared" ca="1" si="2"/>
        <v/>
      </c>
      <c r="O22" s="106"/>
      <c r="P22" s="106"/>
      <c r="Q22" s="106"/>
      <c r="R22" s="106"/>
      <c r="S22" s="189"/>
      <c r="T22" s="130">
        <f t="shared" si="3"/>
        <v>0</v>
      </c>
      <c r="U22" s="106" t="str">
        <f t="shared" si="4"/>
        <v>OK</v>
      </c>
      <c r="V22" s="106" t="s">
        <v>1198</v>
      </c>
      <c r="W22" s="106" t="s">
        <v>1199</v>
      </c>
      <c r="X22" s="106"/>
    </row>
    <row r="23" spans="1:24" s="3" customFormat="1" ht="52.7" customHeight="1" x14ac:dyDescent="0.2">
      <c r="A23" s="30">
        <v>17</v>
      </c>
      <c r="B23" s="30">
        <v>21</v>
      </c>
      <c r="C23" s="106">
        <f>'QS Takeoff'!A19</f>
        <v>0</v>
      </c>
      <c r="D23" s="106">
        <f>'QS Takeoff'!B19</f>
        <v>0</v>
      </c>
      <c r="E23" s="106">
        <f>'QS Takeoff'!C19</f>
        <v>0</v>
      </c>
      <c r="F23" s="106">
        <f>'QS Takeoff'!E19</f>
        <v>0</v>
      </c>
      <c r="G23" s="106">
        <f>'QS Takeoff'!D19</f>
        <v>0</v>
      </c>
      <c r="H23" s="185">
        <f>'QS Takeoff'!G19</f>
        <v>0</v>
      </c>
      <c r="I23" s="185">
        <f>SUMIF('Resource Build-Up'!$B$7:$B$306,D23,'Resource Build-Up'!$Z$7:$Z$306)</f>
        <v>0</v>
      </c>
      <c r="J23" s="186">
        <f ca="1">IFERROR(_xludf.AGGREGATE(14,6,'Resource Build-Up'!$M$7:$M$306/('Resource Build-Up'!$B$7:$B$306=D23),1),0)</f>
        <v>0</v>
      </c>
      <c r="K23" s="186" t="str">
        <f t="shared" ca="1" si="0"/>
        <v/>
      </c>
      <c r="L23" s="187"/>
      <c r="M23" s="186" t="str">
        <f t="shared" ca="1" si="1"/>
        <v/>
      </c>
      <c r="N23" s="188" t="str">
        <f t="shared" ca="1" si="2"/>
        <v/>
      </c>
      <c r="O23" s="106"/>
      <c r="P23" s="106"/>
      <c r="Q23" s="106"/>
      <c r="R23" s="106"/>
      <c r="S23" s="189"/>
      <c r="T23" s="130">
        <f t="shared" si="3"/>
        <v>0</v>
      </c>
      <c r="U23" s="106" t="str">
        <f t="shared" si="4"/>
        <v>OK</v>
      </c>
      <c r="V23" s="106" t="s">
        <v>1198</v>
      </c>
      <c r="W23" s="106" t="s">
        <v>1199</v>
      </c>
      <c r="X23" s="106"/>
    </row>
    <row r="24" spans="1:24" s="3" customFormat="1" ht="52.7" customHeight="1" x14ac:dyDescent="0.2">
      <c r="A24" s="30">
        <v>18</v>
      </c>
      <c r="B24" s="30">
        <v>22</v>
      </c>
      <c r="C24" s="106">
        <f>'QS Takeoff'!A20</f>
        <v>0</v>
      </c>
      <c r="D24" s="106">
        <f>'QS Takeoff'!B20</f>
        <v>0</v>
      </c>
      <c r="E24" s="106">
        <f>'QS Takeoff'!C20</f>
        <v>0</v>
      </c>
      <c r="F24" s="106">
        <f>'QS Takeoff'!E20</f>
        <v>0</v>
      </c>
      <c r="G24" s="106">
        <f>'QS Takeoff'!D20</f>
        <v>0</v>
      </c>
      <c r="H24" s="185">
        <f>'QS Takeoff'!G20</f>
        <v>0</v>
      </c>
      <c r="I24" s="185">
        <f>SUMIF('Resource Build-Up'!$B$7:$B$306,D24,'Resource Build-Up'!$Z$7:$Z$306)</f>
        <v>0</v>
      </c>
      <c r="J24" s="186">
        <f ca="1">IFERROR(_xludf.AGGREGATE(14,6,'Resource Build-Up'!$M$7:$M$306/('Resource Build-Up'!$B$7:$B$306=D24),1),0)</f>
        <v>0</v>
      </c>
      <c r="K24" s="186" t="str">
        <f t="shared" ca="1" si="0"/>
        <v/>
      </c>
      <c r="L24" s="187"/>
      <c r="M24" s="186" t="str">
        <f t="shared" ca="1" si="1"/>
        <v/>
      </c>
      <c r="N24" s="188" t="str">
        <f t="shared" ca="1" si="2"/>
        <v/>
      </c>
      <c r="O24" s="106"/>
      <c r="P24" s="106"/>
      <c r="Q24" s="106"/>
      <c r="R24" s="106"/>
      <c r="S24" s="189"/>
      <c r="T24" s="130">
        <f t="shared" si="3"/>
        <v>0</v>
      </c>
      <c r="U24" s="106" t="str">
        <f t="shared" si="4"/>
        <v>OK</v>
      </c>
      <c r="V24" s="106" t="s">
        <v>1198</v>
      </c>
      <c r="W24" s="106" t="s">
        <v>1199</v>
      </c>
      <c r="X24" s="106"/>
    </row>
    <row r="25" spans="1:24" s="3" customFormat="1" ht="52.7" customHeight="1" x14ac:dyDescent="0.2">
      <c r="A25" s="30">
        <v>19</v>
      </c>
      <c r="B25" s="30">
        <v>23</v>
      </c>
      <c r="C25" s="106">
        <f>'QS Takeoff'!A21</f>
        <v>0</v>
      </c>
      <c r="D25" s="106">
        <f>'QS Takeoff'!B21</f>
        <v>0</v>
      </c>
      <c r="E25" s="106">
        <f>'QS Takeoff'!C21</f>
        <v>0</v>
      </c>
      <c r="F25" s="106">
        <f>'QS Takeoff'!E21</f>
        <v>0</v>
      </c>
      <c r="G25" s="106">
        <f>'QS Takeoff'!D21</f>
        <v>0</v>
      </c>
      <c r="H25" s="185">
        <f>'QS Takeoff'!G21</f>
        <v>0</v>
      </c>
      <c r="I25" s="185">
        <f>SUMIF('Resource Build-Up'!$B$7:$B$306,D25,'Resource Build-Up'!$Z$7:$Z$306)</f>
        <v>0</v>
      </c>
      <c r="J25" s="186">
        <f ca="1">IFERROR(_xludf.AGGREGATE(14,6,'Resource Build-Up'!$M$7:$M$306/('Resource Build-Up'!$B$7:$B$306=D25),1),0)</f>
        <v>0</v>
      </c>
      <c r="K25" s="186" t="str">
        <f t="shared" ca="1" si="0"/>
        <v/>
      </c>
      <c r="L25" s="191"/>
      <c r="M25" s="186" t="str">
        <f t="shared" ca="1" si="1"/>
        <v/>
      </c>
      <c r="N25" s="188" t="str">
        <f t="shared" ca="1" si="2"/>
        <v/>
      </c>
      <c r="O25" s="106"/>
      <c r="P25" s="106"/>
      <c r="Q25" s="106"/>
      <c r="R25" s="106"/>
      <c r="S25" s="192"/>
      <c r="T25" s="130">
        <f t="shared" si="3"/>
        <v>0</v>
      </c>
      <c r="U25" s="106" t="str">
        <f t="shared" si="4"/>
        <v>OK</v>
      </c>
      <c r="V25" s="106" t="s">
        <v>1198</v>
      </c>
      <c r="W25" s="106" t="s">
        <v>1199</v>
      </c>
      <c r="X25" s="106"/>
    </row>
    <row r="26" spans="1:24" s="3" customFormat="1" ht="52.7" customHeight="1" x14ac:dyDescent="0.2">
      <c r="A26" s="30">
        <v>20</v>
      </c>
      <c r="B26" s="30">
        <v>24</v>
      </c>
      <c r="C26" s="106">
        <f>'QS Takeoff'!A22</f>
        <v>0</v>
      </c>
      <c r="D26" s="106">
        <f>'QS Takeoff'!B22</f>
        <v>0</v>
      </c>
      <c r="E26" s="106">
        <f>'QS Takeoff'!C22</f>
        <v>0</v>
      </c>
      <c r="F26" s="106">
        <f>'QS Takeoff'!E22</f>
        <v>0</v>
      </c>
      <c r="G26" s="106">
        <f>'QS Takeoff'!D22</f>
        <v>0</v>
      </c>
      <c r="H26" s="185">
        <f>'QS Takeoff'!G22</f>
        <v>0</v>
      </c>
      <c r="I26" s="185">
        <f>SUMIF('Resource Build-Up'!$B$7:$B$306,D26,'Resource Build-Up'!$Z$7:$Z$306)</f>
        <v>0</v>
      </c>
      <c r="J26" s="186">
        <f ca="1">IFERROR(_xludf.AGGREGATE(14,6,'Resource Build-Up'!$M$7:$M$306/('Resource Build-Up'!$B$7:$B$306=D26),1),0)</f>
        <v>0</v>
      </c>
      <c r="K26" s="186" t="str">
        <f t="shared" ca="1" si="0"/>
        <v/>
      </c>
      <c r="L26" s="191"/>
      <c r="M26" s="186" t="str">
        <f t="shared" ca="1" si="1"/>
        <v/>
      </c>
      <c r="N26" s="188" t="str">
        <f t="shared" ca="1" si="2"/>
        <v/>
      </c>
      <c r="O26" s="106"/>
      <c r="P26" s="106"/>
      <c r="Q26" s="106"/>
      <c r="R26" s="106"/>
      <c r="S26" s="192"/>
      <c r="T26" s="130">
        <f t="shared" si="3"/>
        <v>0</v>
      </c>
      <c r="U26" s="106" t="str">
        <f t="shared" si="4"/>
        <v>OK</v>
      </c>
      <c r="V26" s="106" t="s">
        <v>1198</v>
      </c>
      <c r="W26" s="106" t="s">
        <v>1199</v>
      </c>
      <c r="X26" s="106"/>
    </row>
    <row r="27" spans="1:24" s="3" customFormat="1" ht="52.7" customHeight="1" x14ac:dyDescent="0.2">
      <c r="A27" s="30">
        <v>21</v>
      </c>
      <c r="B27" s="30">
        <v>25</v>
      </c>
      <c r="C27" s="106">
        <f>'QS Takeoff'!A23</f>
        <v>0</v>
      </c>
      <c r="D27" s="106">
        <f>'QS Takeoff'!B23</f>
        <v>0</v>
      </c>
      <c r="E27" s="106">
        <f>'QS Takeoff'!C23</f>
        <v>0</v>
      </c>
      <c r="F27" s="106">
        <f>'QS Takeoff'!E23</f>
        <v>0</v>
      </c>
      <c r="G27" s="106">
        <f>'QS Takeoff'!D23</f>
        <v>0</v>
      </c>
      <c r="H27" s="185">
        <f>'QS Takeoff'!G23</f>
        <v>0</v>
      </c>
      <c r="I27" s="185">
        <f>SUMIF('Resource Build-Up'!$B$7:$B$306,D27,'Resource Build-Up'!$Z$7:$Z$306)</f>
        <v>0</v>
      </c>
      <c r="J27" s="186">
        <f ca="1">IFERROR(_xludf.AGGREGATE(14,6,'Resource Build-Up'!$M$7:$M$306/('Resource Build-Up'!$B$7:$B$306=D27),1),0)</f>
        <v>0</v>
      </c>
      <c r="K27" s="186" t="str">
        <f t="shared" ca="1" si="0"/>
        <v/>
      </c>
      <c r="L27" s="187"/>
      <c r="M27" s="186" t="str">
        <f t="shared" ca="1" si="1"/>
        <v/>
      </c>
      <c r="N27" s="188" t="str">
        <f t="shared" ca="1" si="2"/>
        <v/>
      </c>
      <c r="O27" s="106"/>
      <c r="P27" s="106"/>
      <c r="Q27" s="106"/>
      <c r="R27" s="106"/>
      <c r="S27" s="190"/>
      <c r="T27" s="130">
        <f t="shared" si="3"/>
        <v>0</v>
      </c>
      <c r="U27" s="106" t="str">
        <f t="shared" si="4"/>
        <v>OK</v>
      </c>
      <c r="V27" s="106" t="s">
        <v>1198</v>
      </c>
      <c r="W27" s="106" t="s">
        <v>1199</v>
      </c>
      <c r="X27" s="106"/>
    </row>
    <row r="28" spans="1:24" s="3" customFormat="1" ht="52.7" customHeight="1" x14ac:dyDescent="0.2">
      <c r="A28" s="30">
        <v>22</v>
      </c>
      <c r="B28" s="30">
        <v>26</v>
      </c>
      <c r="C28" s="106">
        <f>'QS Takeoff'!A24</f>
        <v>0</v>
      </c>
      <c r="D28" s="106">
        <f>'QS Takeoff'!B24</f>
        <v>0</v>
      </c>
      <c r="E28" s="106">
        <f>'QS Takeoff'!C24</f>
        <v>0</v>
      </c>
      <c r="F28" s="106">
        <f>'QS Takeoff'!E24</f>
        <v>0</v>
      </c>
      <c r="G28" s="106">
        <f>'QS Takeoff'!D24</f>
        <v>0</v>
      </c>
      <c r="H28" s="185">
        <f>'QS Takeoff'!G24</f>
        <v>0</v>
      </c>
      <c r="I28" s="185">
        <f>SUMIF('Resource Build-Up'!$B$7:$B$306,D28,'Resource Build-Up'!$Z$7:$Z$306)</f>
        <v>0</v>
      </c>
      <c r="J28" s="186">
        <f ca="1">IFERROR(_xludf.AGGREGATE(14,6,'Resource Build-Up'!$M$7:$M$306/('Resource Build-Up'!$B$7:$B$306=D28),1),0)</f>
        <v>0</v>
      </c>
      <c r="K28" s="186" t="str">
        <f t="shared" ca="1" si="0"/>
        <v/>
      </c>
      <c r="L28" s="191"/>
      <c r="M28" s="186" t="str">
        <f t="shared" ca="1" si="1"/>
        <v/>
      </c>
      <c r="N28" s="188" t="str">
        <f t="shared" ca="1" si="2"/>
        <v/>
      </c>
      <c r="O28" s="106"/>
      <c r="P28" s="106"/>
      <c r="Q28" s="106"/>
      <c r="R28" s="106"/>
      <c r="S28" s="189"/>
      <c r="T28" s="130">
        <f t="shared" si="3"/>
        <v>0</v>
      </c>
      <c r="U28" s="106" t="str">
        <f t="shared" si="4"/>
        <v>OK</v>
      </c>
      <c r="V28" s="106" t="s">
        <v>1198</v>
      </c>
      <c r="W28" s="106" t="s">
        <v>1199</v>
      </c>
      <c r="X28" s="106"/>
    </row>
    <row r="29" spans="1:24" s="3" customFormat="1" ht="52.7" customHeight="1" x14ac:dyDescent="0.2">
      <c r="A29" s="30">
        <v>23</v>
      </c>
      <c r="B29" s="30">
        <v>27</v>
      </c>
      <c r="C29" s="106">
        <f>'QS Takeoff'!A25</f>
        <v>0</v>
      </c>
      <c r="D29" s="106">
        <f>'QS Takeoff'!B25</f>
        <v>0</v>
      </c>
      <c r="E29" s="106">
        <f>'QS Takeoff'!C25</f>
        <v>0</v>
      </c>
      <c r="F29" s="106">
        <f>'QS Takeoff'!E25</f>
        <v>0</v>
      </c>
      <c r="G29" s="106">
        <f>'QS Takeoff'!D25</f>
        <v>0</v>
      </c>
      <c r="H29" s="185">
        <f>'QS Takeoff'!G25</f>
        <v>0</v>
      </c>
      <c r="I29" s="185">
        <f>SUMIF('Resource Build-Up'!$B$7:$B$306,D29,'Resource Build-Up'!$Z$7:$Z$306)</f>
        <v>0</v>
      </c>
      <c r="J29" s="186">
        <f ca="1">IFERROR(_xludf.AGGREGATE(14,6,'Resource Build-Up'!$M$7:$M$306/('Resource Build-Up'!$B$7:$B$306=D29),1),0)</f>
        <v>0</v>
      </c>
      <c r="K29" s="186" t="str">
        <f t="shared" ca="1" si="0"/>
        <v/>
      </c>
      <c r="L29" s="187"/>
      <c r="M29" s="186" t="str">
        <f t="shared" ca="1" si="1"/>
        <v/>
      </c>
      <c r="N29" s="188" t="str">
        <f t="shared" ca="1" si="2"/>
        <v/>
      </c>
      <c r="O29" s="106"/>
      <c r="P29" s="106"/>
      <c r="Q29" s="106"/>
      <c r="R29" s="106"/>
      <c r="S29" s="189"/>
      <c r="T29" s="130">
        <f t="shared" si="3"/>
        <v>0</v>
      </c>
      <c r="U29" s="106" t="str">
        <f t="shared" si="4"/>
        <v>OK</v>
      </c>
      <c r="V29" s="106" t="s">
        <v>1198</v>
      </c>
      <c r="W29" s="106" t="s">
        <v>1199</v>
      </c>
      <c r="X29" s="106"/>
    </row>
    <row r="30" spans="1:24" s="3" customFormat="1" ht="52.7" customHeight="1" x14ac:dyDescent="0.2">
      <c r="A30" s="30">
        <v>24</v>
      </c>
      <c r="B30" s="30">
        <v>28</v>
      </c>
      <c r="C30" s="106">
        <f>'QS Takeoff'!A26</f>
        <v>0</v>
      </c>
      <c r="D30" s="106">
        <f>'QS Takeoff'!B26</f>
        <v>0</v>
      </c>
      <c r="E30" s="106">
        <f>'QS Takeoff'!C26</f>
        <v>0</v>
      </c>
      <c r="F30" s="106">
        <f>'QS Takeoff'!E26</f>
        <v>0</v>
      </c>
      <c r="G30" s="106">
        <f>'QS Takeoff'!D26</f>
        <v>0</v>
      </c>
      <c r="H30" s="185">
        <f>'QS Takeoff'!G26</f>
        <v>0</v>
      </c>
      <c r="I30" s="185">
        <f>SUMIF('Resource Build-Up'!$B$7:$B$306,D30,'Resource Build-Up'!$Z$7:$Z$306)</f>
        <v>0</v>
      </c>
      <c r="J30" s="186">
        <f ca="1">IFERROR(_xludf.AGGREGATE(14,6,'Resource Build-Up'!$M$7:$M$306/('Resource Build-Up'!$B$7:$B$306=D30),1),0)</f>
        <v>0</v>
      </c>
      <c r="K30" s="186" t="str">
        <f t="shared" ca="1" si="0"/>
        <v/>
      </c>
      <c r="L30" s="191"/>
      <c r="M30" s="186" t="str">
        <f t="shared" ca="1" si="1"/>
        <v/>
      </c>
      <c r="N30" s="188" t="str">
        <f t="shared" ca="1" si="2"/>
        <v/>
      </c>
      <c r="O30" s="106"/>
      <c r="P30" s="106"/>
      <c r="Q30" s="106"/>
      <c r="R30" s="106"/>
      <c r="S30" s="189"/>
      <c r="T30" s="130">
        <f t="shared" si="3"/>
        <v>0</v>
      </c>
      <c r="U30" s="106" t="str">
        <f t="shared" si="4"/>
        <v>OK</v>
      </c>
      <c r="V30" s="106" t="s">
        <v>1198</v>
      </c>
      <c r="W30" s="106" t="s">
        <v>1199</v>
      </c>
      <c r="X30" s="106"/>
    </row>
    <row r="31" spans="1:24" s="3" customFormat="1" ht="52.7" customHeight="1" x14ac:dyDescent="0.2">
      <c r="A31" s="30">
        <v>25</v>
      </c>
      <c r="B31" s="30">
        <v>29</v>
      </c>
      <c r="C31" s="106">
        <f>'QS Takeoff'!A27</f>
        <v>0</v>
      </c>
      <c r="D31" s="106">
        <f>'QS Takeoff'!B27</f>
        <v>0</v>
      </c>
      <c r="E31" s="106">
        <f>'QS Takeoff'!C27</f>
        <v>0</v>
      </c>
      <c r="F31" s="106">
        <f>'QS Takeoff'!E27</f>
        <v>0</v>
      </c>
      <c r="G31" s="106">
        <f>'QS Takeoff'!D27</f>
        <v>0</v>
      </c>
      <c r="H31" s="185">
        <f>'QS Takeoff'!G27</f>
        <v>0</v>
      </c>
      <c r="I31" s="185">
        <f>SUMIF('Resource Build-Up'!$B$7:$B$306,D31,'Resource Build-Up'!$Z$7:$Z$306)</f>
        <v>0</v>
      </c>
      <c r="J31" s="186">
        <f ca="1">IFERROR(_xludf.AGGREGATE(14,6,'Resource Build-Up'!$M$7:$M$306/('Resource Build-Up'!$B$7:$B$306=D31),1),0)</f>
        <v>0</v>
      </c>
      <c r="K31" s="186" t="str">
        <f t="shared" ca="1" si="0"/>
        <v/>
      </c>
      <c r="L31" s="187"/>
      <c r="M31" s="186" t="str">
        <f t="shared" ca="1" si="1"/>
        <v/>
      </c>
      <c r="N31" s="188" t="str">
        <f t="shared" ca="1" si="2"/>
        <v/>
      </c>
      <c r="O31" s="106"/>
      <c r="P31" s="106"/>
      <c r="Q31" s="106"/>
      <c r="R31" s="106"/>
      <c r="S31" s="190"/>
      <c r="T31" s="130">
        <f t="shared" si="3"/>
        <v>0</v>
      </c>
      <c r="U31" s="106" t="str">
        <f t="shared" si="4"/>
        <v>OK</v>
      </c>
      <c r="V31" s="106" t="s">
        <v>1198</v>
      </c>
      <c r="W31" s="106" t="s">
        <v>1199</v>
      </c>
      <c r="X31" s="106"/>
    </row>
    <row r="32" spans="1:24" s="3" customFormat="1" ht="52.7" customHeight="1" x14ac:dyDescent="0.2">
      <c r="A32" s="30">
        <v>26</v>
      </c>
      <c r="B32" s="30">
        <v>30</v>
      </c>
      <c r="C32" s="106">
        <f>'QS Takeoff'!A28</f>
        <v>0</v>
      </c>
      <c r="D32" s="106">
        <f>'QS Takeoff'!B28</f>
        <v>0</v>
      </c>
      <c r="E32" s="106">
        <f>'QS Takeoff'!C28</f>
        <v>0</v>
      </c>
      <c r="F32" s="106">
        <f>'QS Takeoff'!E28</f>
        <v>0</v>
      </c>
      <c r="G32" s="106">
        <f>'QS Takeoff'!D28</f>
        <v>0</v>
      </c>
      <c r="H32" s="185">
        <f>'QS Takeoff'!G28</f>
        <v>0</v>
      </c>
      <c r="I32" s="185">
        <f>SUMIF('Resource Build-Up'!$B$7:$B$306,D32,'Resource Build-Up'!$Z$7:$Z$306)</f>
        <v>0</v>
      </c>
      <c r="J32" s="186">
        <f ca="1">IFERROR(_xludf.AGGREGATE(14,6,'Resource Build-Up'!$M$7:$M$306/('Resource Build-Up'!$B$7:$B$306=D32),1),0)</f>
        <v>0</v>
      </c>
      <c r="K32" s="186" t="str">
        <f t="shared" ca="1" si="0"/>
        <v/>
      </c>
      <c r="L32" s="191"/>
      <c r="M32" s="186" t="str">
        <f t="shared" ca="1" si="1"/>
        <v/>
      </c>
      <c r="N32" s="188" t="str">
        <f t="shared" ca="1" si="2"/>
        <v/>
      </c>
      <c r="O32" s="106"/>
      <c r="P32" s="106"/>
      <c r="Q32" s="106"/>
      <c r="R32" s="106"/>
      <c r="S32" s="190"/>
      <c r="T32" s="130">
        <f t="shared" si="3"/>
        <v>0</v>
      </c>
      <c r="U32" s="106" t="str">
        <f t="shared" si="4"/>
        <v>OK</v>
      </c>
      <c r="V32" s="106" t="s">
        <v>1198</v>
      </c>
      <c r="W32" s="106" t="s">
        <v>1199</v>
      </c>
      <c r="X32" s="106"/>
    </row>
    <row r="33" spans="1:24" s="3" customFormat="1" ht="52.7" customHeight="1" x14ac:dyDescent="0.2">
      <c r="A33" s="30">
        <v>27</v>
      </c>
      <c r="B33" s="30">
        <v>31</v>
      </c>
      <c r="C33" s="106">
        <f>'QS Takeoff'!A29</f>
        <v>0</v>
      </c>
      <c r="D33" s="106">
        <f>'QS Takeoff'!B29</f>
        <v>0</v>
      </c>
      <c r="E33" s="106">
        <f>'QS Takeoff'!C29</f>
        <v>0</v>
      </c>
      <c r="F33" s="106">
        <f>'QS Takeoff'!E29</f>
        <v>0</v>
      </c>
      <c r="G33" s="106">
        <f>'QS Takeoff'!D29</f>
        <v>0</v>
      </c>
      <c r="H33" s="185">
        <f>'QS Takeoff'!G29</f>
        <v>0</v>
      </c>
      <c r="I33" s="185">
        <f>SUMIF('Resource Build-Up'!$B$7:$B$306,D33,'Resource Build-Up'!$Z$7:$Z$306)</f>
        <v>0</v>
      </c>
      <c r="J33" s="186">
        <f ca="1">IFERROR(_xludf.AGGREGATE(14,6,'Resource Build-Up'!$M$7:$M$306/('Resource Build-Up'!$B$7:$B$306=D33),1),0)</f>
        <v>0</v>
      </c>
      <c r="K33" s="186" t="str">
        <f t="shared" ca="1" si="0"/>
        <v/>
      </c>
      <c r="L33" s="187"/>
      <c r="M33" s="186" t="str">
        <f t="shared" ca="1" si="1"/>
        <v/>
      </c>
      <c r="N33" s="188" t="str">
        <f t="shared" ca="1" si="2"/>
        <v/>
      </c>
      <c r="O33" s="106"/>
      <c r="P33" s="106"/>
      <c r="Q33" s="106"/>
      <c r="R33" s="106"/>
      <c r="S33" s="189"/>
      <c r="T33" s="130">
        <f t="shared" si="3"/>
        <v>0</v>
      </c>
      <c r="U33" s="106" t="str">
        <f t="shared" si="4"/>
        <v>OK</v>
      </c>
      <c r="V33" s="106" t="s">
        <v>1198</v>
      </c>
      <c r="W33" s="106" t="s">
        <v>1199</v>
      </c>
      <c r="X33" s="106"/>
    </row>
    <row r="34" spans="1:24" s="3" customFormat="1" ht="52.7" customHeight="1" x14ac:dyDescent="0.2">
      <c r="A34" s="30">
        <v>28</v>
      </c>
      <c r="B34" s="30">
        <v>32</v>
      </c>
      <c r="C34" s="106">
        <f>'QS Takeoff'!A30</f>
        <v>0</v>
      </c>
      <c r="D34" s="106">
        <f>'QS Takeoff'!B30</f>
        <v>0</v>
      </c>
      <c r="E34" s="106">
        <f>'QS Takeoff'!C30</f>
        <v>0</v>
      </c>
      <c r="F34" s="106">
        <f>'QS Takeoff'!E30</f>
        <v>0</v>
      </c>
      <c r="G34" s="106">
        <f>'QS Takeoff'!D30</f>
        <v>0</v>
      </c>
      <c r="H34" s="185">
        <f>'QS Takeoff'!G30</f>
        <v>0</v>
      </c>
      <c r="I34" s="185">
        <f>SUMIF('Resource Build-Up'!$B$7:$B$306,D34,'Resource Build-Up'!$Z$7:$Z$306)</f>
        <v>0</v>
      </c>
      <c r="J34" s="186">
        <f ca="1">IFERROR(_xludf.AGGREGATE(14,6,'Resource Build-Up'!$M$7:$M$306/('Resource Build-Up'!$B$7:$B$306=D34),1),0)</f>
        <v>0</v>
      </c>
      <c r="K34" s="186" t="str">
        <f t="shared" ca="1" si="0"/>
        <v/>
      </c>
      <c r="L34" s="191"/>
      <c r="M34" s="186" t="str">
        <f t="shared" ca="1" si="1"/>
        <v/>
      </c>
      <c r="N34" s="188" t="str">
        <f t="shared" ca="1" si="2"/>
        <v/>
      </c>
      <c r="O34" s="106"/>
      <c r="P34" s="106"/>
      <c r="Q34" s="106"/>
      <c r="R34" s="106"/>
      <c r="S34" s="189"/>
      <c r="T34" s="130">
        <f t="shared" si="3"/>
        <v>0</v>
      </c>
      <c r="U34" s="106" t="str">
        <f t="shared" si="4"/>
        <v>OK</v>
      </c>
      <c r="V34" s="106" t="s">
        <v>1198</v>
      </c>
      <c r="W34" s="106" t="s">
        <v>1199</v>
      </c>
      <c r="X34" s="106"/>
    </row>
    <row r="35" spans="1:24" s="3" customFormat="1" ht="52.7" customHeight="1" x14ac:dyDescent="0.2">
      <c r="A35" s="30">
        <v>29</v>
      </c>
      <c r="B35" s="30">
        <v>33</v>
      </c>
      <c r="C35" s="106">
        <f>'QS Takeoff'!A31</f>
        <v>0</v>
      </c>
      <c r="D35" s="106">
        <f>'QS Takeoff'!B31</f>
        <v>0</v>
      </c>
      <c r="E35" s="106">
        <f>'QS Takeoff'!C31</f>
        <v>0</v>
      </c>
      <c r="F35" s="106">
        <f>'QS Takeoff'!E31</f>
        <v>0</v>
      </c>
      <c r="G35" s="106">
        <f>'QS Takeoff'!D31</f>
        <v>0</v>
      </c>
      <c r="H35" s="185">
        <f>'QS Takeoff'!G31</f>
        <v>0</v>
      </c>
      <c r="I35" s="185">
        <f>SUMIF('Resource Build-Up'!$B$7:$B$306,D35,'Resource Build-Up'!$Z$7:$Z$306)</f>
        <v>0</v>
      </c>
      <c r="J35" s="186">
        <f ca="1">IFERROR(_xludf.AGGREGATE(14,6,'Resource Build-Up'!$M$7:$M$306/('Resource Build-Up'!$B$7:$B$306=D35),1),0)</f>
        <v>0</v>
      </c>
      <c r="K35" s="186" t="str">
        <f t="shared" ca="1" si="0"/>
        <v/>
      </c>
      <c r="L35" s="191"/>
      <c r="M35" s="186" t="str">
        <f t="shared" ca="1" si="1"/>
        <v/>
      </c>
      <c r="N35" s="188" t="str">
        <f t="shared" ca="1" si="2"/>
        <v/>
      </c>
      <c r="O35" s="106"/>
      <c r="P35" s="106"/>
      <c r="Q35" s="106"/>
      <c r="R35" s="106"/>
      <c r="S35" s="190"/>
      <c r="T35" s="130">
        <f t="shared" si="3"/>
        <v>0</v>
      </c>
      <c r="U35" s="106" t="str">
        <f t="shared" si="4"/>
        <v>OK</v>
      </c>
      <c r="V35" s="106" t="s">
        <v>1198</v>
      </c>
      <c r="W35" s="106" t="s">
        <v>1199</v>
      </c>
      <c r="X35" s="106"/>
    </row>
    <row r="36" spans="1:24" s="3" customFormat="1" ht="52.7" customHeight="1" x14ac:dyDescent="0.2">
      <c r="A36" s="30">
        <v>30</v>
      </c>
      <c r="B36" s="30">
        <v>34</v>
      </c>
      <c r="C36" s="106">
        <f>'QS Takeoff'!A32</f>
        <v>0</v>
      </c>
      <c r="D36" s="106">
        <f>'QS Takeoff'!B32</f>
        <v>0</v>
      </c>
      <c r="E36" s="106">
        <f>'QS Takeoff'!C32</f>
        <v>0</v>
      </c>
      <c r="F36" s="106">
        <f>'QS Takeoff'!E32</f>
        <v>0</v>
      </c>
      <c r="G36" s="106">
        <f>'QS Takeoff'!D32</f>
        <v>0</v>
      </c>
      <c r="H36" s="185">
        <f>'QS Takeoff'!G32</f>
        <v>0</v>
      </c>
      <c r="I36" s="185">
        <f>SUMIF('Resource Build-Up'!$B$7:$B$306,D36,'Resource Build-Up'!$Z$7:$Z$306)</f>
        <v>0</v>
      </c>
      <c r="J36" s="186">
        <f ca="1">IFERROR(_xludf.AGGREGATE(14,6,'Resource Build-Up'!$M$7:$M$306/('Resource Build-Up'!$B$7:$B$306=D36),1),0)</f>
        <v>0</v>
      </c>
      <c r="K36" s="186" t="str">
        <f t="shared" ca="1" si="0"/>
        <v/>
      </c>
      <c r="L36" s="191"/>
      <c r="M36" s="186" t="str">
        <f t="shared" ca="1" si="1"/>
        <v/>
      </c>
      <c r="N36" s="188" t="str">
        <f t="shared" ca="1" si="2"/>
        <v/>
      </c>
      <c r="O36" s="106"/>
      <c r="P36" s="106"/>
      <c r="Q36" s="106"/>
      <c r="R36" s="106"/>
      <c r="S36" s="190"/>
      <c r="T36" s="130">
        <f t="shared" si="3"/>
        <v>0</v>
      </c>
      <c r="U36" s="106" t="str">
        <f t="shared" si="4"/>
        <v>OK</v>
      </c>
      <c r="V36" s="106" t="s">
        <v>1198</v>
      </c>
      <c r="W36" s="106" t="s">
        <v>1199</v>
      </c>
      <c r="X36" s="106"/>
    </row>
    <row r="37" spans="1:24" s="3" customFormat="1" ht="52.7" customHeight="1" x14ac:dyDescent="0.2">
      <c r="A37" s="30">
        <v>31</v>
      </c>
      <c r="B37" s="30">
        <v>35</v>
      </c>
      <c r="C37" s="106">
        <f>'QS Takeoff'!A33</f>
        <v>0</v>
      </c>
      <c r="D37" s="106">
        <f>'QS Takeoff'!B33</f>
        <v>0</v>
      </c>
      <c r="E37" s="106">
        <f>'QS Takeoff'!C33</f>
        <v>0</v>
      </c>
      <c r="F37" s="106">
        <f>'QS Takeoff'!E33</f>
        <v>0</v>
      </c>
      <c r="G37" s="106">
        <f>'QS Takeoff'!D33</f>
        <v>0</v>
      </c>
      <c r="H37" s="185">
        <f>'QS Takeoff'!G33</f>
        <v>0</v>
      </c>
      <c r="I37" s="185">
        <f>SUMIF('Resource Build-Up'!$B$7:$B$306,D37,'Resource Build-Up'!$Z$7:$Z$306)</f>
        <v>0</v>
      </c>
      <c r="J37" s="186">
        <f ca="1">IFERROR(_xludf.AGGREGATE(14,6,'Resource Build-Up'!$M$7:$M$306/('Resource Build-Up'!$B$7:$B$306=D37),1),0)</f>
        <v>0</v>
      </c>
      <c r="K37" s="186" t="str">
        <f t="shared" ca="1" si="0"/>
        <v/>
      </c>
      <c r="L37" s="191"/>
      <c r="M37" s="186" t="str">
        <f t="shared" ca="1" si="1"/>
        <v/>
      </c>
      <c r="N37" s="188" t="str">
        <f t="shared" ca="1" si="2"/>
        <v/>
      </c>
      <c r="O37" s="106"/>
      <c r="P37" s="106"/>
      <c r="Q37" s="106"/>
      <c r="R37" s="106"/>
      <c r="S37" s="190"/>
      <c r="T37" s="130">
        <f t="shared" si="3"/>
        <v>0</v>
      </c>
      <c r="U37" s="106" t="str">
        <f t="shared" si="4"/>
        <v>OK</v>
      </c>
      <c r="V37" s="106" t="s">
        <v>1198</v>
      </c>
      <c r="W37" s="106" t="s">
        <v>1199</v>
      </c>
      <c r="X37" s="106"/>
    </row>
    <row r="38" spans="1:24" s="3" customFormat="1" ht="52.7" customHeight="1" x14ac:dyDescent="0.2">
      <c r="A38" s="30">
        <v>32</v>
      </c>
      <c r="B38" s="30">
        <v>36</v>
      </c>
      <c r="C38" s="106">
        <f>'QS Takeoff'!A34</f>
        <v>0</v>
      </c>
      <c r="D38" s="106">
        <f>'QS Takeoff'!B34</f>
        <v>0</v>
      </c>
      <c r="E38" s="106">
        <f>'QS Takeoff'!C34</f>
        <v>0</v>
      </c>
      <c r="F38" s="106">
        <f>'QS Takeoff'!E34</f>
        <v>0</v>
      </c>
      <c r="G38" s="106">
        <f>'QS Takeoff'!D34</f>
        <v>0</v>
      </c>
      <c r="H38" s="185">
        <f>'QS Takeoff'!G34</f>
        <v>0</v>
      </c>
      <c r="I38" s="185">
        <f>SUMIF('Resource Build-Up'!$B$7:$B$306,D38,'Resource Build-Up'!$Z$7:$Z$306)</f>
        <v>0</v>
      </c>
      <c r="J38" s="186">
        <f ca="1">IFERROR(_xludf.AGGREGATE(14,6,'Resource Build-Up'!$M$7:$M$306/('Resource Build-Up'!$B$7:$B$306=D38),1),0)</f>
        <v>0</v>
      </c>
      <c r="K38" s="186" t="str">
        <f t="shared" ca="1" si="0"/>
        <v/>
      </c>
      <c r="L38" s="187"/>
      <c r="M38" s="186" t="str">
        <f t="shared" ca="1" si="1"/>
        <v/>
      </c>
      <c r="N38" s="188" t="str">
        <f t="shared" ca="1" si="2"/>
        <v/>
      </c>
      <c r="O38" s="106"/>
      <c r="P38" s="106"/>
      <c r="Q38" s="106"/>
      <c r="R38" s="106"/>
      <c r="S38" s="190"/>
      <c r="T38" s="130">
        <f t="shared" si="3"/>
        <v>0</v>
      </c>
      <c r="U38" s="106" t="str">
        <f t="shared" si="4"/>
        <v>OK</v>
      </c>
      <c r="V38" s="106" t="s">
        <v>1198</v>
      </c>
      <c r="W38" s="106" t="s">
        <v>1199</v>
      </c>
      <c r="X38" s="106"/>
    </row>
    <row r="39" spans="1:24" s="3" customFormat="1" ht="52.7" customHeight="1" x14ac:dyDescent="0.2">
      <c r="A39" s="30">
        <v>33</v>
      </c>
      <c r="B39" s="30">
        <v>37</v>
      </c>
      <c r="C39" s="106">
        <f>'QS Takeoff'!A35</f>
        <v>0</v>
      </c>
      <c r="D39" s="106">
        <f>'QS Takeoff'!B35</f>
        <v>0</v>
      </c>
      <c r="E39" s="106">
        <f>'QS Takeoff'!C35</f>
        <v>0</v>
      </c>
      <c r="F39" s="106">
        <f>'QS Takeoff'!E35</f>
        <v>0</v>
      </c>
      <c r="G39" s="106">
        <f>'QS Takeoff'!D35</f>
        <v>0</v>
      </c>
      <c r="H39" s="185">
        <f>'QS Takeoff'!G35</f>
        <v>0</v>
      </c>
      <c r="I39" s="185">
        <f>SUMIF('Resource Build-Up'!$B$7:$B$306,D39,'Resource Build-Up'!$Z$7:$Z$306)</f>
        <v>0</v>
      </c>
      <c r="J39" s="186">
        <f ca="1">IFERROR(_xludf.AGGREGATE(14,6,'Resource Build-Up'!$M$7:$M$306/('Resource Build-Up'!$B$7:$B$306=D39),1),0)</f>
        <v>0</v>
      </c>
      <c r="K39" s="186" t="str">
        <f t="shared" ref="K39:K70" ca="1" si="5">IF(J39=0,"",ROUNDUP(J39/8,0))</f>
        <v/>
      </c>
      <c r="L39" s="187"/>
      <c r="M39" s="186" t="str">
        <f t="shared" ref="M39:M70" ca="1" si="6">IF(L39&lt;&gt;"",L39,K39)</f>
        <v/>
      </c>
      <c r="N39" s="188" t="str">
        <f t="shared" ref="N39:N70" ca="1" si="7">IF(M39="","",TEXT(M39,"0")&amp;" days")</f>
        <v/>
      </c>
      <c r="O39" s="106"/>
      <c r="P39" s="106"/>
      <c r="Q39" s="106"/>
      <c r="R39" s="106"/>
      <c r="S39" s="190"/>
      <c r="T39" s="130">
        <f t="shared" ref="T39:T70" si="8">I39-H39</f>
        <v>0</v>
      </c>
      <c r="U39" s="106" t="str">
        <f t="shared" ref="U39:U70" si="9">IF(ABS(T39)&lt;0.01,"OK","CHECK")</f>
        <v>OK</v>
      </c>
      <c r="V39" s="106" t="s">
        <v>1198</v>
      </c>
      <c r="W39" s="106" t="s">
        <v>1199</v>
      </c>
      <c r="X39" s="106"/>
    </row>
    <row r="40" spans="1:24" s="3" customFormat="1" ht="52.7" customHeight="1" x14ac:dyDescent="0.2">
      <c r="A40" s="30">
        <v>34</v>
      </c>
      <c r="B40" s="30">
        <v>38</v>
      </c>
      <c r="C40" s="106">
        <f>'QS Takeoff'!A36</f>
        <v>0</v>
      </c>
      <c r="D40" s="106">
        <f>'QS Takeoff'!B36</f>
        <v>0</v>
      </c>
      <c r="E40" s="106">
        <f>'QS Takeoff'!C36</f>
        <v>0</v>
      </c>
      <c r="F40" s="106">
        <f>'QS Takeoff'!E36</f>
        <v>0</v>
      </c>
      <c r="G40" s="106">
        <f>'QS Takeoff'!D36</f>
        <v>0</v>
      </c>
      <c r="H40" s="185">
        <f>'QS Takeoff'!G36</f>
        <v>0</v>
      </c>
      <c r="I40" s="185">
        <f>SUMIF('Resource Build-Up'!$B$7:$B$306,D40,'Resource Build-Up'!$Z$7:$Z$306)</f>
        <v>0</v>
      </c>
      <c r="J40" s="186">
        <f ca="1">IFERROR(_xludf.AGGREGATE(14,6,'Resource Build-Up'!$M$7:$M$306/('Resource Build-Up'!$B$7:$B$306=D40),1),0)</f>
        <v>0</v>
      </c>
      <c r="K40" s="186" t="str">
        <f t="shared" ca="1" si="5"/>
        <v/>
      </c>
      <c r="L40" s="187"/>
      <c r="M40" s="186" t="str">
        <f t="shared" ca="1" si="6"/>
        <v/>
      </c>
      <c r="N40" s="188" t="str">
        <f t="shared" ca="1" si="7"/>
        <v/>
      </c>
      <c r="O40" s="106"/>
      <c r="P40" s="106"/>
      <c r="Q40" s="106"/>
      <c r="R40" s="106"/>
      <c r="S40" s="190"/>
      <c r="T40" s="130">
        <f t="shared" si="8"/>
        <v>0</v>
      </c>
      <c r="U40" s="106" t="str">
        <f t="shared" si="9"/>
        <v>OK</v>
      </c>
      <c r="V40" s="106" t="s">
        <v>1198</v>
      </c>
      <c r="W40" s="106" t="s">
        <v>1199</v>
      </c>
      <c r="X40" s="106"/>
    </row>
    <row r="41" spans="1:24" s="3" customFormat="1" ht="52.7" customHeight="1" x14ac:dyDescent="0.2">
      <c r="A41" s="30">
        <v>35</v>
      </c>
      <c r="B41" s="30">
        <v>39</v>
      </c>
      <c r="C41" s="106">
        <f>'QS Takeoff'!A37</f>
        <v>0</v>
      </c>
      <c r="D41" s="106">
        <f>'QS Takeoff'!B37</f>
        <v>0</v>
      </c>
      <c r="E41" s="106">
        <f>'QS Takeoff'!C37</f>
        <v>0</v>
      </c>
      <c r="F41" s="106">
        <f>'QS Takeoff'!E37</f>
        <v>0</v>
      </c>
      <c r="G41" s="106">
        <f>'QS Takeoff'!D37</f>
        <v>0</v>
      </c>
      <c r="H41" s="185">
        <f>'QS Takeoff'!G37</f>
        <v>0</v>
      </c>
      <c r="I41" s="185">
        <f>SUMIF('Resource Build-Up'!$B$7:$B$306,D41,'Resource Build-Up'!$Z$7:$Z$306)</f>
        <v>0</v>
      </c>
      <c r="J41" s="186">
        <f ca="1">IFERROR(_xludf.AGGREGATE(14,6,'Resource Build-Up'!$M$7:$M$306/('Resource Build-Up'!$B$7:$B$306=D41),1),0)</f>
        <v>0</v>
      </c>
      <c r="K41" s="186" t="str">
        <f t="shared" ca="1" si="5"/>
        <v/>
      </c>
      <c r="L41" s="187"/>
      <c r="M41" s="186" t="str">
        <f t="shared" ca="1" si="6"/>
        <v/>
      </c>
      <c r="N41" s="188" t="str">
        <f t="shared" ca="1" si="7"/>
        <v/>
      </c>
      <c r="O41" s="106"/>
      <c r="P41" s="106"/>
      <c r="Q41" s="106"/>
      <c r="R41" s="106"/>
      <c r="S41" s="190"/>
      <c r="T41" s="130">
        <f t="shared" si="8"/>
        <v>0</v>
      </c>
      <c r="U41" s="106" t="str">
        <f t="shared" si="9"/>
        <v>OK</v>
      </c>
      <c r="V41" s="106" t="s">
        <v>1198</v>
      </c>
      <c r="W41" s="106" t="s">
        <v>1199</v>
      </c>
      <c r="X41" s="106"/>
    </row>
    <row r="42" spans="1:24" s="3" customFormat="1" ht="52.7" customHeight="1" x14ac:dyDescent="0.2">
      <c r="A42" s="30">
        <v>36</v>
      </c>
      <c r="B42" s="30">
        <v>40</v>
      </c>
      <c r="C42" s="106">
        <f>'QS Takeoff'!A38</f>
        <v>0</v>
      </c>
      <c r="D42" s="106">
        <f>'QS Takeoff'!B38</f>
        <v>0</v>
      </c>
      <c r="E42" s="106">
        <f>'QS Takeoff'!C38</f>
        <v>0</v>
      </c>
      <c r="F42" s="106">
        <f>'QS Takeoff'!E38</f>
        <v>0</v>
      </c>
      <c r="G42" s="106">
        <f>'QS Takeoff'!D38</f>
        <v>0</v>
      </c>
      <c r="H42" s="185">
        <f>'QS Takeoff'!G38</f>
        <v>0</v>
      </c>
      <c r="I42" s="185">
        <f>SUMIF('Resource Build-Up'!$B$7:$B$306,D42,'Resource Build-Up'!$Z$7:$Z$306)</f>
        <v>0</v>
      </c>
      <c r="J42" s="186">
        <f ca="1">IFERROR(_xludf.AGGREGATE(14,6,'Resource Build-Up'!$M$7:$M$306/('Resource Build-Up'!$B$7:$B$306=D42),1),0)</f>
        <v>0</v>
      </c>
      <c r="K42" s="186" t="str">
        <f t="shared" ca="1" si="5"/>
        <v/>
      </c>
      <c r="L42" s="187"/>
      <c r="M42" s="186" t="str">
        <f t="shared" ca="1" si="6"/>
        <v/>
      </c>
      <c r="N42" s="188" t="str">
        <f t="shared" ca="1" si="7"/>
        <v/>
      </c>
      <c r="O42" s="106"/>
      <c r="P42" s="106"/>
      <c r="Q42" s="106"/>
      <c r="R42" s="106"/>
      <c r="S42" s="189"/>
      <c r="T42" s="130">
        <f t="shared" si="8"/>
        <v>0</v>
      </c>
      <c r="U42" s="106" t="str">
        <f t="shared" si="9"/>
        <v>OK</v>
      </c>
      <c r="V42" s="106" t="s">
        <v>1198</v>
      </c>
      <c r="W42" s="106" t="s">
        <v>1199</v>
      </c>
      <c r="X42" s="106"/>
    </row>
    <row r="43" spans="1:24" s="3" customFormat="1" ht="52.7" customHeight="1" x14ac:dyDescent="0.2">
      <c r="A43" s="30">
        <v>37</v>
      </c>
      <c r="B43" s="30">
        <v>41</v>
      </c>
      <c r="C43" s="106">
        <f>'QS Takeoff'!A39</f>
        <v>0</v>
      </c>
      <c r="D43" s="106">
        <f>'QS Takeoff'!B39</f>
        <v>0</v>
      </c>
      <c r="E43" s="106">
        <f>'QS Takeoff'!C39</f>
        <v>0</v>
      </c>
      <c r="F43" s="106">
        <f>'QS Takeoff'!E39</f>
        <v>0</v>
      </c>
      <c r="G43" s="106">
        <f>'QS Takeoff'!D39</f>
        <v>0</v>
      </c>
      <c r="H43" s="185">
        <f>'QS Takeoff'!G39</f>
        <v>0</v>
      </c>
      <c r="I43" s="185">
        <f>SUMIF('Resource Build-Up'!$B$7:$B$306,D43,'Resource Build-Up'!$Z$7:$Z$306)</f>
        <v>0</v>
      </c>
      <c r="J43" s="186">
        <f ca="1">IFERROR(_xludf.AGGREGATE(14,6,'Resource Build-Up'!$M$7:$M$306/('Resource Build-Up'!$B$7:$B$306=D43),1),0)</f>
        <v>0</v>
      </c>
      <c r="K43" s="186" t="str">
        <f t="shared" ca="1" si="5"/>
        <v/>
      </c>
      <c r="L43" s="187"/>
      <c r="M43" s="186" t="str">
        <f t="shared" ca="1" si="6"/>
        <v/>
      </c>
      <c r="N43" s="188" t="str">
        <f t="shared" ca="1" si="7"/>
        <v/>
      </c>
      <c r="O43" s="106"/>
      <c r="P43" s="106"/>
      <c r="Q43" s="106"/>
      <c r="R43" s="106"/>
      <c r="S43" s="190"/>
      <c r="T43" s="130">
        <f t="shared" si="8"/>
        <v>0</v>
      </c>
      <c r="U43" s="106" t="str">
        <f t="shared" si="9"/>
        <v>OK</v>
      </c>
      <c r="V43" s="106" t="s">
        <v>1198</v>
      </c>
      <c r="W43" s="106" t="s">
        <v>1199</v>
      </c>
      <c r="X43" s="106"/>
    </row>
    <row r="44" spans="1:24" s="3" customFormat="1" ht="52.7" customHeight="1" x14ac:dyDescent="0.2">
      <c r="A44" s="30">
        <v>38</v>
      </c>
      <c r="B44" s="30">
        <v>42</v>
      </c>
      <c r="C44" s="106">
        <f>'QS Takeoff'!A40</f>
        <v>0</v>
      </c>
      <c r="D44" s="106">
        <f>'QS Takeoff'!B40</f>
        <v>0</v>
      </c>
      <c r="E44" s="106">
        <f>'QS Takeoff'!C40</f>
        <v>0</v>
      </c>
      <c r="F44" s="106">
        <f>'QS Takeoff'!E40</f>
        <v>0</v>
      </c>
      <c r="G44" s="106">
        <f>'QS Takeoff'!D40</f>
        <v>0</v>
      </c>
      <c r="H44" s="185">
        <f>'QS Takeoff'!G40</f>
        <v>0</v>
      </c>
      <c r="I44" s="185">
        <f>SUMIF('Resource Build-Up'!$B$7:$B$306,D44,'Resource Build-Up'!$Z$7:$Z$306)</f>
        <v>0</v>
      </c>
      <c r="J44" s="186">
        <f ca="1">IFERROR(_xludf.AGGREGATE(14,6,'Resource Build-Up'!$M$7:$M$306/('Resource Build-Up'!$B$7:$B$306=D44),1),0)</f>
        <v>0</v>
      </c>
      <c r="K44" s="186" t="str">
        <f t="shared" ca="1" si="5"/>
        <v/>
      </c>
      <c r="L44" s="191"/>
      <c r="M44" s="186" t="str">
        <f t="shared" ca="1" si="6"/>
        <v/>
      </c>
      <c r="N44" s="188" t="str">
        <f t="shared" ca="1" si="7"/>
        <v/>
      </c>
      <c r="O44" s="106"/>
      <c r="P44" s="106"/>
      <c r="Q44" s="106"/>
      <c r="R44" s="106"/>
      <c r="S44" s="190"/>
      <c r="T44" s="130">
        <f t="shared" si="8"/>
        <v>0</v>
      </c>
      <c r="U44" s="106" t="str">
        <f t="shared" si="9"/>
        <v>OK</v>
      </c>
      <c r="V44" s="106" t="s">
        <v>1198</v>
      </c>
      <c r="W44" s="106" t="s">
        <v>1199</v>
      </c>
      <c r="X44" s="106"/>
    </row>
    <row r="45" spans="1:24" s="3" customFormat="1" ht="52.7" customHeight="1" x14ac:dyDescent="0.2">
      <c r="A45" s="30">
        <v>39</v>
      </c>
      <c r="B45" s="30">
        <v>43</v>
      </c>
      <c r="C45" s="106">
        <f>'QS Takeoff'!A41</f>
        <v>0</v>
      </c>
      <c r="D45" s="106">
        <f>'QS Takeoff'!B41</f>
        <v>0</v>
      </c>
      <c r="E45" s="106">
        <f>'QS Takeoff'!C41</f>
        <v>0</v>
      </c>
      <c r="F45" s="106">
        <f>'QS Takeoff'!E41</f>
        <v>0</v>
      </c>
      <c r="G45" s="106">
        <f>'QS Takeoff'!D41</f>
        <v>0</v>
      </c>
      <c r="H45" s="185">
        <f>'QS Takeoff'!G41</f>
        <v>0</v>
      </c>
      <c r="I45" s="185">
        <f>SUMIF('Resource Build-Up'!$B$7:$B$306,D45,'Resource Build-Up'!$Z$7:$Z$306)</f>
        <v>0</v>
      </c>
      <c r="J45" s="186">
        <f ca="1">IFERROR(_xludf.AGGREGATE(14,6,'Resource Build-Up'!$M$7:$M$306/('Resource Build-Up'!$B$7:$B$306=D45),1),0)</f>
        <v>0</v>
      </c>
      <c r="K45" s="186" t="str">
        <f t="shared" ca="1" si="5"/>
        <v/>
      </c>
      <c r="L45" s="187"/>
      <c r="M45" s="186" t="str">
        <f t="shared" ca="1" si="6"/>
        <v/>
      </c>
      <c r="N45" s="188" t="str">
        <f t="shared" ca="1" si="7"/>
        <v/>
      </c>
      <c r="O45" s="106"/>
      <c r="P45" s="106"/>
      <c r="Q45" s="106"/>
      <c r="R45" s="106"/>
      <c r="S45" s="190"/>
      <c r="T45" s="130">
        <f t="shared" si="8"/>
        <v>0</v>
      </c>
      <c r="U45" s="106" t="str">
        <f t="shared" si="9"/>
        <v>OK</v>
      </c>
      <c r="V45" s="106" t="s">
        <v>1198</v>
      </c>
      <c r="W45" s="106" t="s">
        <v>1199</v>
      </c>
      <c r="X45" s="106"/>
    </row>
    <row r="46" spans="1:24" s="3" customFormat="1" ht="52.7" customHeight="1" x14ac:dyDescent="0.2">
      <c r="A46" s="30">
        <v>40</v>
      </c>
      <c r="B46" s="30">
        <v>44</v>
      </c>
      <c r="C46" s="106">
        <f>'QS Takeoff'!A42</f>
        <v>0</v>
      </c>
      <c r="D46" s="106">
        <f>'QS Takeoff'!B42</f>
        <v>0</v>
      </c>
      <c r="E46" s="106">
        <f>'QS Takeoff'!C42</f>
        <v>0</v>
      </c>
      <c r="F46" s="106">
        <f>'QS Takeoff'!E42</f>
        <v>0</v>
      </c>
      <c r="G46" s="106">
        <f>'QS Takeoff'!D42</f>
        <v>0</v>
      </c>
      <c r="H46" s="185">
        <f>'QS Takeoff'!G42</f>
        <v>0</v>
      </c>
      <c r="I46" s="185">
        <f>SUMIF('Resource Build-Up'!$B$7:$B$306,D46,'Resource Build-Up'!$Z$7:$Z$306)</f>
        <v>0</v>
      </c>
      <c r="J46" s="186">
        <f ca="1">IFERROR(_xludf.AGGREGATE(14,6,'Resource Build-Up'!$M$7:$M$306/('Resource Build-Up'!$B$7:$B$306=D46),1),0)</f>
        <v>0</v>
      </c>
      <c r="K46" s="186" t="str">
        <f t="shared" ca="1" si="5"/>
        <v/>
      </c>
      <c r="L46" s="187"/>
      <c r="M46" s="186" t="str">
        <f t="shared" ca="1" si="6"/>
        <v/>
      </c>
      <c r="N46" s="188" t="str">
        <f t="shared" ca="1" si="7"/>
        <v/>
      </c>
      <c r="O46" s="106"/>
      <c r="P46" s="106"/>
      <c r="Q46" s="106"/>
      <c r="R46" s="106"/>
      <c r="S46" s="190"/>
      <c r="T46" s="130">
        <f t="shared" si="8"/>
        <v>0</v>
      </c>
      <c r="U46" s="106" t="str">
        <f t="shared" si="9"/>
        <v>OK</v>
      </c>
      <c r="V46" s="106" t="s">
        <v>1198</v>
      </c>
      <c r="W46" s="106" t="s">
        <v>1199</v>
      </c>
      <c r="X46" s="106"/>
    </row>
    <row r="47" spans="1:24" s="3" customFormat="1" ht="52.7" customHeight="1" x14ac:dyDescent="0.2">
      <c r="A47" s="30">
        <v>41</v>
      </c>
      <c r="B47" s="30">
        <v>45</v>
      </c>
      <c r="C47" s="106">
        <f>'QS Takeoff'!A43</f>
        <v>0</v>
      </c>
      <c r="D47" s="106">
        <f>'QS Takeoff'!B43</f>
        <v>0</v>
      </c>
      <c r="E47" s="106">
        <f>'QS Takeoff'!C43</f>
        <v>0</v>
      </c>
      <c r="F47" s="106">
        <f>'QS Takeoff'!E43</f>
        <v>0</v>
      </c>
      <c r="G47" s="106">
        <f>'QS Takeoff'!D43</f>
        <v>0</v>
      </c>
      <c r="H47" s="185">
        <f>'QS Takeoff'!G43</f>
        <v>0</v>
      </c>
      <c r="I47" s="185">
        <f>SUMIF('Resource Build-Up'!$B$7:$B$306,D47,'Resource Build-Up'!$Z$7:$Z$306)</f>
        <v>0</v>
      </c>
      <c r="J47" s="186">
        <f ca="1">IFERROR(_xludf.AGGREGATE(14,6,'Resource Build-Up'!$M$7:$M$306/('Resource Build-Up'!$B$7:$B$306=D47),1),0)</f>
        <v>0</v>
      </c>
      <c r="K47" s="186" t="str">
        <f t="shared" ca="1" si="5"/>
        <v/>
      </c>
      <c r="L47" s="187"/>
      <c r="M47" s="186" t="str">
        <f t="shared" ca="1" si="6"/>
        <v/>
      </c>
      <c r="N47" s="188" t="str">
        <f t="shared" ca="1" si="7"/>
        <v/>
      </c>
      <c r="O47" s="106"/>
      <c r="P47" s="106"/>
      <c r="Q47" s="106"/>
      <c r="R47" s="106"/>
      <c r="S47" s="190"/>
      <c r="T47" s="130">
        <f t="shared" si="8"/>
        <v>0</v>
      </c>
      <c r="U47" s="106" t="str">
        <f t="shared" si="9"/>
        <v>OK</v>
      </c>
      <c r="V47" s="106" t="s">
        <v>1198</v>
      </c>
      <c r="W47" s="106" t="s">
        <v>1199</v>
      </c>
      <c r="X47" s="106"/>
    </row>
    <row r="48" spans="1:24" s="3" customFormat="1" ht="52.7" customHeight="1" x14ac:dyDescent="0.2">
      <c r="A48" s="30">
        <v>42</v>
      </c>
      <c r="B48" s="30">
        <v>46</v>
      </c>
      <c r="C48" s="106">
        <f>'QS Takeoff'!A44</f>
        <v>0</v>
      </c>
      <c r="D48" s="106">
        <f>'QS Takeoff'!B44</f>
        <v>0</v>
      </c>
      <c r="E48" s="106">
        <f>'QS Takeoff'!C44</f>
        <v>0</v>
      </c>
      <c r="F48" s="106">
        <f>'QS Takeoff'!E44</f>
        <v>0</v>
      </c>
      <c r="G48" s="106">
        <f>'QS Takeoff'!D44</f>
        <v>0</v>
      </c>
      <c r="H48" s="185">
        <f>'QS Takeoff'!G44</f>
        <v>0</v>
      </c>
      <c r="I48" s="185">
        <f>SUMIF('Resource Build-Up'!$B$7:$B$306,D48,'Resource Build-Up'!$Z$7:$Z$306)</f>
        <v>0</v>
      </c>
      <c r="J48" s="186">
        <f ca="1">IFERROR(_xludf.AGGREGATE(14,6,'Resource Build-Up'!$M$7:$M$306/('Resource Build-Up'!$B$7:$B$306=D48),1),0)</f>
        <v>0</v>
      </c>
      <c r="K48" s="186" t="str">
        <f t="shared" ca="1" si="5"/>
        <v/>
      </c>
      <c r="L48" s="187"/>
      <c r="M48" s="186" t="str">
        <f t="shared" ca="1" si="6"/>
        <v/>
      </c>
      <c r="N48" s="188" t="str">
        <f t="shared" ca="1" si="7"/>
        <v/>
      </c>
      <c r="O48" s="106"/>
      <c r="P48" s="106"/>
      <c r="Q48" s="106"/>
      <c r="R48" s="106"/>
      <c r="S48" s="190"/>
      <c r="T48" s="130">
        <f t="shared" si="8"/>
        <v>0</v>
      </c>
      <c r="U48" s="106" t="str">
        <f t="shared" si="9"/>
        <v>OK</v>
      </c>
      <c r="V48" s="106" t="s">
        <v>1198</v>
      </c>
      <c r="W48" s="106" t="s">
        <v>1199</v>
      </c>
      <c r="X48" s="106"/>
    </row>
    <row r="49" spans="1:24" s="3" customFormat="1" ht="52.7" customHeight="1" x14ac:dyDescent="0.2">
      <c r="A49" s="30">
        <v>43</v>
      </c>
      <c r="B49" s="30">
        <v>47</v>
      </c>
      <c r="C49" s="106">
        <f>'QS Takeoff'!A45</f>
        <v>0</v>
      </c>
      <c r="D49" s="106">
        <f>'QS Takeoff'!B45</f>
        <v>0</v>
      </c>
      <c r="E49" s="106">
        <f>'QS Takeoff'!C45</f>
        <v>0</v>
      </c>
      <c r="F49" s="106">
        <f>'QS Takeoff'!E45</f>
        <v>0</v>
      </c>
      <c r="G49" s="106">
        <f>'QS Takeoff'!D45</f>
        <v>0</v>
      </c>
      <c r="H49" s="185">
        <f>'QS Takeoff'!G45</f>
        <v>0</v>
      </c>
      <c r="I49" s="185">
        <f>SUMIF('Resource Build-Up'!$B$7:$B$306,D49,'Resource Build-Up'!$Z$7:$Z$306)</f>
        <v>0</v>
      </c>
      <c r="J49" s="186">
        <f ca="1">IFERROR(_xludf.AGGREGATE(14,6,'Resource Build-Up'!$M$7:$M$306/('Resource Build-Up'!$B$7:$B$306=D49),1),0)</f>
        <v>0</v>
      </c>
      <c r="K49" s="186" t="str">
        <f t="shared" ca="1" si="5"/>
        <v/>
      </c>
      <c r="L49" s="187"/>
      <c r="M49" s="186" t="str">
        <f t="shared" ca="1" si="6"/>
        <v/>
      </c>
      <c r="N49" s="188" t="str">
        <f t="shared" ca="1" si="7"/>
        <v/>
      </c>
      <c r="O49" s="106"/>
      <c r="P49" s="106"/>
      <c r="Q49" s="106"/>
      <c r="R49" s="106"/>
      <c r="S49" s="190"/>
      <c r="T49" s="130">
        <f t="shared" si="8"/>
        <v>0</v>
      </c>
      <c r="U49" s="106" t="str">
        <f t="shared" si="9"/>
        <v>OK</v>
      </c>
      <c r="V49" s="106" t="s">
        <v>1198</v>
      </c>
      <c r="W49" s="106" t="s">
        <v>1199</v>
      </c>
      <c r="X49" s="106"/>
    </row>
    <row r="50" spans="1:24" s="3" customFormat="1" ht="52.7" customHeight="1" x14ac:dyDescent="0.2">
      <c r="A50" s="30">
        <v>44</v>
      </c>
      <c r="B50" s="30">
        <v>48</v>
      </c>
      <c r="C50" s="106">
        <f>'QS Takeoff'!A46</f>
        <v>0</v>
      </c>
      <c r="D50" s="106">
        <f>'QS Takeoff'!B46</f>
        <v>0</v>
      </c>
      <c r="E50" s="106">
        <f>'QS Takeoff'!C46</f>
        <v>0</v>
      </c>
      <c r="F50" s="106">
        <f>'QS Takeoff'!E46</f>
        <v>0</v>
      </c>
      <c r="G50" s="106">
        <f>'QS Takeoff'!D46</f>
        <v>0</v>
      </c>
      <c r="H50" s="185">
        <f>'QS Takeoff'!G46</f>
        <v>0</v>
      </c>
      <c r="I50" s="185">
        <f>SUMIF('Resource Build-Up'!$B$7:$B$306,D50,'Resource Build-Up'!$Z$7:$Z$306)</f>
        <v>0</v>
      </c>
      <c r="J50" s="186">
        <f ca="1">IFERROR(_xludf.AGGREGATE(14,6,'Resource Build-Up'!$M$7:$M$306/('Resource Build-Up'!$B$7:$B$306=D50),1),0)</f>
        <v>0</v>
      </c>
      <c r="K50" s="186" t="str">
        <f t="shared" ca="1" si="5"/>
        <v/>
      </c>
      <c r="L50" s="187"/>
      <c r="M50" s="186" t="str">
        <f t="shared" ca="1" si="6"/>
        <v/>
      </c>
      <c r="N50" s="188" t="str">
        <f t="shared" ca="1" si="7"/>
        <v/>
      </c>
      <c r="O50" s="106"/>
      <c r="P50" s="106"/>
      <c r="Q50" s="106"/>
      <c r="R50" s="106"/>
      <c r="S50" s="190"/>
      <c r="T50" s="130">
        <f t="shared" si="8"/>
        <v>0</v>
      </c>
      <c r="U50" s="106" t="str">
        <f t="shared" si="9"/>
        <v>OK</v>
      </c>
      <c r="V50" s="106" t="s">
        <v>1198</v>
      </c>
      <c r="W50" s="106" t="s">
        <v>1199</v>
      </c>
      <c r="X50" s="106"/>
    </row>
    <row r="51" spans="1:24" s="3" customFormat="1" ht="52.7" customHeight="1" x14ac:dyDescent="0.2">
      <c r="A51" s="30">
        <v>45</v>
      </c>
      <c r="B51" s="30">
        <v>49</v>
      </c>
      <c r="C51" s="106">
        <f>'QS Takeoff'!A47</f>
        <v>0</v>
      </c>
      <c r="D51" s="106">
        <f>'QS Takeoff'!B47</f>
        <v>0</v>
      </c>
      <c r="E51" s="106">
        <f>'QS Takeoff'!C47</f>
        <v>0</v>
      </c>
      <c r="F51" s="106">
        <f>'QS Takeoff'!E47</f>
        <v>0</v>
      </c>
      <c r="G51" s="106">
        <f>'QS Takeoff'!D47</f>
        <v>0</v>
      </c>
      <c r="H51" s="185">
        <f>'QS Takeoff'!G47</f>
        <v>0</v>
      </c>
      <c r="I51" s="185">
        <f>SUMIF('Resource Build-Up'!$B$7:$B$306,D51,'Resource Build-Up'!$Z$7:$Z$306)</f>
        <v>0</v>
      </c>
      <c r="J51" s="186">
        <f ca="1">IFERROR(_xludf.AGGREGATE(14,6,'Resource Build-Up'!$M$7:$M$306/('Resource Build-Up'!$B$7:$B$306=D51),1),0)</f>
        <v>0</v>
      </c>
      <c r="K51" s="186" t="str">
        <f t="shared" ca="1" si="5"/>
        <v/>
      </c>
      <c r="L51" s="187"/>
      <c r="M51" s="186" t="str">
        <f t="shared" ca="1" si="6"/>
        <v/>
      </c>
      <c r="N51" s="188" t="str">
        <f t="shared" ca="1" si="7"/>
        <v/>
      </c>
      <c r="O51" s="106"/>
      <c r="P51" s="106"/>
      <c r="Q51" s="106"/>
      <c r="R51" s="106"/>
      <c r="S51" s="190"/>
      <c r="T51" s="130">
        <f t="shared" si="8"/>
        <v>0</v>
      </c>
      <c r="U51" s="106" t="str">
        <f t="shared" si="9"/>
        <v>OK</v>
      </c>
      <c r="V51" s="106" t="s">
        <v>1198</v>
      </c>
      <c r="W51" s="106" t="s">
        <v>1199</v>
      </c>
      <c r="X51" s="106"/>
    </row>
    <row r="52" spans="1:24" s="3" customFormat="1" ht="52.7" customHeight="1" x14ac:dyDescent="0.2">
      <c r="A52" s="30">
        <v>46</v>
      </c>
      <c r="B52" s="30">
        <v>50</v>
      </c>
      <c r="C52" s="106">
        <f>'QS Takeoff'!A48</f>
        <v>0</v>
      </c>
      <c r="D52" s="106">
        <f>'QS Takeoff'!B48</f>
        <v>0</v>
      </c>
      <c r="E52" s="106">
        <f>'QS Takeoff'!C48</f>
        <v>0</v>
      </c>
      <c r="F52" s="106">
        <f>'QS Takeoff'!E48</f>
        <v>0</v>
      </c>
      <c r="G52" s="106">
        <f>'QS Takeoff'!D48</f>
        <v>0</v>
      </c>
      <c r="H52" s="185">
        <f>'QS Takeoff'!G48</f>
        <v>0</v>
      </c>
      <c r="I52" s="185">
        <f>SUMIF('Resource Build-Up'!$B$7:$B$306,D52,'Resource Build-Up'!$Z$7:$Z$306)</f>
        <v>0</v>
      </c>
      <c r="J52" s="186">
        <f ca="1">IFERROR(_xludf.AGGREGATE(14,6,'Resource Build-Up'!$M$7:$M$306/('Resource Build-Up'!$B$7:$B$306=D52),1),0)</f>
        <v>0</v>
      </c>
      <c r="K52" s="186" t="str">
        <f t="shared" ca="1" si="5"/>
        <v/>
      </c>
      <c r="L52" s="191"/>
      <c r="M52" s="186" t="str">
        <f t="shared" ca="1" si="6"/>
        <v/>
      </c>
      <c r="N52" s="188" t="str">
        <f t="shared" ca="1" si="7"/>
        <v/>
      </c>
      <c r="O52" s="106"/>
      <c r="P52" s="106"/>
      <c r="Q52" s="106"/>
      <c r="R52" s="106"/>
      <c r="S52" s="189"/>
      <c r="T52" s="130">
        <f t="shared" si="8"/>
        <v>0</v>
      </c>
      <c r="U52" s="106" t="str">
        <f t="shared" si="9"/>
        <v>OK</v>
      </c>
      <c r="V52" s="106" t="s">
        <v>1198</v>
      </c>
      <c r="W52" s="106" t="s">
        <v>1199</v>
      </c>
      <c r="X52" s="106"/>
    </row>
    <row r="53" spans="1:24" s="3" customFormat="1" ht="52.7" customHeight="1" x14ac:dyDescent="0.2">
      <c r="A53" s="30">
        <v>47</v>
      </c>
      <c r="B53" s="30">
        <v>51</v>
      </c>
      <c r="C53" s="106">
        <f>'QS Takeoff'!A49</f>
        <v>0</v>
      </c>
      <c r="D53" s="106">
        <f>'QS Takeoff'!B49</f>
        <v>0</v>
      </c>
      <c r="E53" s="106">
        <f>'QS Takeoff'!C49</f>
        <v>0</v>
      </c>
      <c r="F53" s="106">
        <f>'QS Takeoff'!E49</f>
        <v>0</v>
      </c>
      <c r="G53" s="106">
        <f>'QS Takeoff'!D49</f>
        <v>0</v>
      </c>
      <c r="H53" s="185">
        <f>'QS Takeoff'!G49</f>
        <v>0</v>
      </c>
      <c r="I53" s="185">
        <f>SUMIF('Resource Build-Up'!$B$7:$B$306,D53,'Resource Build-Up'!$Z$7:$Z$306)</f>
        <v>0</v>
      </c>
      <c r="J53" s="186">
        <f ca="1">IFERROR(_xludf.AGGREGATE(14,6,'Resource Build-Up'!$M$7:$M$306/('Resource Build-Up'!$B$7:$B$306=D53),1),0)</f>
        <v>0</v>
      </c>
      <c r="K53" s="186" t="str">
        <f t="shared" ca="1" si="5"/>
        <v/>
      </c>
      <c r="L53" s="191"/>
      <c r="M53" s="186" t="str">
        <f t="shared" ca="1" si="6"/>
        <v/>
      </c>
      <c r="N53" s="188" t="str">
        <f t="shared" ca="1" si="7"/>
        <v/>
      </c>
      <c r="O53" s="106"/>
      <c r="P53" s="106"/>
      <c r="Q53" s="106"/>
      <c r="R53" s="106"/>
      <c r="S53" s="189"/>
      <c r="T53" s="130">
        <f t="shared" si="8"/>
        <v>0</v>
      </c>
      <c r="U53" s="106" t="str">
        <f t="shared" si="9"/>
        <v>OK</v>
      </c>
      <c r="V53" s="106" t="s">
        <v>1198</v>
      </c>
      <c r="W53" s="106" t="s">
        <v>1199</v>
      </c>
      <c r="X53" s="106"/>
    </row>
    <row r="54" spans="1:24" s="3" customFormat="1" ht="52.7" customHeight="1" x14ac:dyDescent="0.2">
      <c r="A54" s="30">
        <v>48</v>
      </c>
      <c r="B54" s="30">
        <v>52</v>
      </c>
      <c r="C54" s="106">
        <f>'QS Takeoff'!A50</f>
        <v>0</v>
      </c>
      <c r="D54" s="106">
        <f>'QS Takeoff'!B50</f>
        <v>0</v>
      </c>
      <c r="E54" s="106">
        <f>'QS Takeoff'!C50</f>
        <v>0</v>
      </c>
      <c r="F54" s="106">
        <f>'QS Takeoff'!E50</f>
        <v>0</v>
      </c>
      <c r="G54" s="106">
        <f>'QS Takeoff'!D50</f>
        <v>0</v>
      </c>
      <c r="H54" s="185">
        <f>'QS Takeoff'!G50</f>
        <v>0</v>
      </c>
      <c r="I54" s="185">
        <f>SUMIF('Resource Build-Up'!$B$7:$B$306,D54,'Resource Build-Up'!$Z$7:$Z$306)</f>
        <v>0</v>
      </c>
      <c r="J54" s="186">
        <f ca="1">IFERROR(_xludf.AGGREGATE(14,6,'Resource Build-Up'!$M$7:$M$306/('Resource Build-Up'!$B$7:$B$306=D54),1),0)</f>
        <v>0</v>
      </c>
      <c r="K54" s="186" t="str">
        <f t="shared" ca="1" si="5"/>
        <v/>
      </c>
      <c r="L54" s="187"/>
      <c r="M54" s="186" t="str">
        <f t="shared" ca="1" si="6"/>
        <v/>
      </c>
      <c r="N54" s="188" t="str">
        <f t="shared" ca="1" si="7"/>
        <v/>
      </c>
      <c r="O54" s="106"/>
      <c r="P54" s="106"/>
      <c r="Q54" s="106"/>
      <c r="R54" s="106"/>
      <c r="S54" s="189"/>
      <c r="T54" s="130">
        <f t="shared" si="8"/>
        <v>0</v>
      </c>
      <c r="U54" s="106" t="str">
        <f t="shared" si="9"/>
        <v>OK</v>
      </c>
      <c r="V54" s="106" t="s">
        <v>1198</v>
      </c>
      <c r="W54" s="106" t="s">
        <v>1199</v>
      </c>
      <c r="X54" s="106"/>
    </row>
    <row r="55" spans="1:24" s="3" customFormat="1" ht="52.7" customHeight="1" x14ac:dyDescent="0.2">
      <c r="A55" s="30">
        <v>49</v>
      </c>
      <c r="B55" s="30">
        <v>53</v>
      </c>
      <c r="C55" s="106">
        <f>'QS Takeoff'!A51</f>
        <v>0</v>
      </c>
      <c r="D55" s="106">
        <f>'QS Takeoff'!B51</f>
        <v>0</v>
      </c>
      <c r="E55" s="106">
        <f>'QS Takeoff'!C51</f>
        <v>0</v>
      </c>
      <c r="F55" s="106">
        <f>'QS Takeoff'!E51</f>
        <v>0</v>
      </c>
      <c r="G55" s="106">
        <f>'QS Takeoff'!D51</f>
        <v>0</v>
      </c>
      <c r="H55" s="185">
        <f>'QS Takeoff'!G51</f>
        <v>0</v>
      </c>
      <c r="I55" s="185">
        <f>SUMIF('Resource Build-Up'!$B$7:$B$306,D55,'Resource Build-Up'!$Z$7:$Z$306)</f>
        <v>0</v>
      </c>
      <c r="J55" s="186">
        <f ca="1">IFERROR(_xludf.AGGREGATE(14,6,'Resource Build-Up'!$M$7:$M$306/('Resource Build-Up'!$B$7:$B$306=D55),1),0)</f>
        <v>0</v>
      </c>
      <c r="K55" s="186" t="str">
        <f t="shared" ca="1" si="5"/>
        <v/>
      </c>
      <c r="L55" s="187"/>
      <c r="M55" s="186" t="str">
        <f t="shared" ca="1" si="6"/>
        <v/>
      </c>
      <c r="N55" s="188" t="str">
        <f t="shared" ca="1" si="7"/>
        <v/>
      </c>
      <c r="O55" s="106"/>
      <c r="P55" s="106"/>
      <c r="Q55" s="106"/>
      <c r="R55" s="106"/>
      <c r="S55" s="190"/>
      <c r="T55" s="130">
        <f t="shared" si="8"/>
        <v>0</v>
      </c>
      <c r="U55" s="106" t="str">
        <f t="shared" si="9"/>
        <v>OK</v>
      </c>
      <c r="V55" s="106" t="s">
        <v>1198</v>
      </c>
      <c r="W55" s="106" t="s">
        <v>1199</v>
      </c>
      <c r="X55" s="106"/>
    </row>
    <row r="56" spans="1:24" s="3" customFormat="1" ht="52.7" customHeight="1" x14ac:dyDescent="0.2">
      <c r="A56" s="30">
        <v>50</v>
      </c>
      <c r="B56" s="30">
        <v>54</v>
      </c>
      <c r="C56" s="106">
        <f>'QS Takeoff'!A52</f>
        <v>0</v>
      </c>
      <c r="D56" s="106">
        <f>'QS Takeoff'!B52</f>
        <v>0</v>
      </c>
      <c r="E56" s="106">
        <f>'QS Takeoff'!C52</f>
        <v>0</v>
      </c>
      <c r="F56" s="106">
        <f>'QS Takeoff'!E52</f>
        <v>0</v>
      </c>
      <c r="G56" s="106">
        <f>'QS Takeoff'!D52</f>
        <v>0</v>
      </c>
      <c r="H56" s="185">
        <f>'QS Takeoff'!G52</f>
        <v>0</v>
      </c>
      <c r="I56" s="185">
        <f>SUMIF('Resource Build-Up'!$B$7:$B$306,D56,'Resource Build-Up'!$Z$7:$Z$306)</f>
        <v>0</v>
      </c>
      <c r="J56" s="186">
        <f ca="1">IFERROR(_xludf.AGGREGATE(14,6,'Resource Build-Up'!$M$7:$M$306/('Resource Build-Up'!$B$7:$B$306=D56),1),0)</f>
        <v>0</v>
      </c>
      <c r="K56" s="186" t="str">
        <f t="shared" ca="1" si="5"/>
        <v/>
      </c>
      <c r="L56" s="187"/>
      <c r="M56" s="186" t="str">
        <f t="shared" ca="1" si="6"/>
        <v/>
      </c>
      <c r="N56" s="188" t="str">
        <f t="shared" ca="1" si="7"/>
        <v/>
      </c>
      <c r="O56" s="106"/>
      <c r="P56" s="106"/>
      <c r="Q56" s="106"/>
      <c r="R56" s="106"/>
      <c r="S56" s="190"/>
      <c r="T56" s="130">
        <f t="shared" si="8"/>
        <v>0</v>
      </c>
      <c r="U56" s="106" t="str">
        <f t="shared" si="9"/>
        <v>OK</v>
      </c>
      <c r="V56" s="106" t="s">
        <v>1198</v>
      </c>
      <c r="W56" s="106" t="s">
        <v>1199</v>
      </c>
      <c r="X56" s="106"/>
    </row>
    <row r="57" spans="1:24" s="3" customFormat="1" ht="52.7" customHeight="1" x14ac:dyDescent="0.2">
      <c r="A57" s="30">
        <v>51</v>
      </c>
      <c r="B57" s="30">
        <v>55</v>
      </c>
      <c r="C57" s="106">
        <f>'QS Takeoff'!A53</f>
        <v>0</v>
      </c>
      <c r="D57" s="106">
        <f>'QS Takeoff'!B53</f>
        <v>0</v>
      </c>
      <c r="E57" s="106">
        <f>'QS Takeoff'!C53</f>
        <v>0</v>
      </c>
      <c r="F57" s="106">
        <f>'QS Takeoff'!E53</f>
        <v>0</v>
      </c>
      <c r="G57" s="106">
        <f>'QS Takeoff'!D53</f>
        <v>0</v>
      </c>
      <c r="H57" s="185">
        <f>'QS Takeoff'!G53</f>
        <v>0</v>
      </c>
      <c r="I57" s="185">
        <f>SUMIF('Resource Build-Up'!$B$7:$B$306,D57,'Resource Build-Up'!$Z$7:$Z$306)</f>
        <v>0</v>
      </c>
      <c r="J57" s="186">
        <f ca="1">IFERROR(_xludf.AGGREGATE(14,6,'Resource Build-Up'!$M$7:$M$306/('Resource Build-Up'!$B$7:$B$306=D57),1),0)</f>
        <v>0</v>
      </c>
      <c r="K57" s="186" t="str">
        <f t="shared" ca="1" si="5"/>
        <v/>
      </c>
      <c r="L57" s="187"/>
      <c r="M57" s="186" t="str">
        <f t="shared" ca="1" si="6"/>
        <v/>
      </c>
      <c r="N57" s="188" t="str">
        <f t="shared" ca="1" si="7"/>
        <v/>
      </c>
      <c r="O57" s="106"/>
      <c r="P57" s="106"/>
      <c r="Q57" s="106"/>
      <c r="R57" s="106"/>
      <c r="S57" s="190"/>
      <c r="T57" s="130">
        <f t="shared" si="8"/>
        <v>0</v>
      </c>
      <c r="U57" s="106" t="str">
        <f t="shared" si="9"/>
        <v>OK</v>
      </c>
      <c r="V57" s="106" t="s">
        <v>1198</v>
      </c>
      <c r="W57" s="106" t="s">
        <v>1199</v>
      </c>
      <c r="X57" s="106"/>
    </row>
    <row r="58" spans="1:24" s="3" customFormat="1" ht="52.7" customHeight="1" x14ac:dyDescent="0.2">
      <c r="A58" s="30">
        <v>52</v>
      </c>
      <c r="B58" s="30">
        <v>56</v>
      </c>
      <c r="C58" s="106">
        <f>'QS Takeoff'!A54</f>
        <v>0</v>
      </c>
      <c r="D58" s="106">
        <f>'QS Takeoff'!B54</f>
        <v>0</v>
      </c>
      <c r="E58" s="106">
        <f>'QS Takeoff'!C54</f>
        <v>0</v>
      </c>
      <c r="F58" s="106">
        <f>'QS Takeoff'!E54</f>
        <v>0</v>
      </c>
      <c r="G58" s="106">
        <f>'QS Takeoff'!D54</f>
        <v>0</v>
      </c>
      <c r="H58" s="185">
        <f>'QS Takeoff'!G54</f>
        <v>0</v>
      </c>
      <c r="I58" s="185">
        <f>SUMIF('Resource Build-Up'!$B$7:$B$306,D58,'Resource Build-Up'!$Z$7:$Z$306)</f>
        <v>0</v>
      </c>
      <c r="J58" s="186">
        <f ca="1">IFERROR(_xludf.AGGREGATE(14,6,'Resource Build-Up'!$M$7:$M$306/('Resource Build-Up'!$B$7:$B$306=D58),1),0)</f>
        <v>0</v>
      </c>
      <c r="K58" s="186" t="str">
        <f t="shared" ca="1" si="5"/>
        <v/>
      </c>
      <c r="L58" s="187"/>
      <c r="M58" s="186" t="str">
        <f t="shared" ca="1" si="6"/>
        <v/>
      </c>
      <c r="N58" s="188" t="str">
        <f t="shared" ca="1" si="7"/>
        <v/>
      </c>
      <c r="O58" s="106"/>
      <c r="P58" s="106"/>
      <c r="Q58" s="106"/>
      <c r="R58" s="106"/>
      <c r="S58" s="190"/>
      <c r="T58" s="130">
        <f t="shared" si="8"/>
        <v>0</v>
      </c>
      <c r="U58" s="106" t="str">
        <f t="shared" si="9"/>
        <v>OK</v>
      </c>
      <c r="V58" s="106" t="s">
        <v>1198</v>
      </c>
      <c r="W58" s="106" t="s">
        <v>1199</v>
      </c>
      <c r="X58" s="106"/>
    </row>
    <row r="59" spans="1:24" s="3" customFormat="1" ht="52.7" customHeight="1" x14ac:dyDescent="0.2">
      <c r="A59" s="30">
        <v>53</v>
      </c>
      <c r="B59" s="30">
        <v>57</v>
      </c>
      <c r="C59" s="106">
        <f>'QS Takeoff'!A55</f>
        <v>0</v>
      </c>
      <c r="D59" s="106">
        <f>'QS Takeoff'!B55</f>
        <v>0</v>
      </c>
      <c r="E59" s="106">
        <f>'QS Takeoff'!C55</f>
        <v>0</v>
      </c>
      <c r="F59" s="106">
        <f>'QS Takeoff'!E55</f>
        <v>0</v>
      </c>
      <c r="G59" s="106">
        <f>'QS Takeoff'!D55</f>
        <v>0</v>
      </c>
      <c r="H59" s="185">
        <f>'QS Takeoff'!G55</f>
        <v>0</v>
      </c>
      <c r="I59" s="185">
        <f>SUMIF('Resource Build-Up'!$B$7:$B$306,D59,'Resource Build-Up'!$Z$7:$Z$306)</f>
        <v>0</v>
      </c>
      <c r="J59" s="186">
        <f ca="1">IFERROR(_xludf.AGGREGATE(14,6,'Resource Build-Up'!$M$7:$M$306/('Resource Build-Up'!$B$7:$B$306=D59),1),0)</f>
        <v>0</v>
      </c>
      <c r="K59" s="186" t="str">
        <f t="shared" ca="1" si="5"/>
        <v/>
      </c>
      <c r="L59" s="187"/>
      <c r="M59" s="186" t="str">
        <f t="shared" ca="1" si="6"/>
        <v/>
      </c>
      <c r="N59" s="188" t="str">
        <f t="shared" ca="1" si="7"/>
        <v/>
      </c>
      <c r="O59" s="106"/>
      <c r="P59" s="106"/>
      <c r="Q59" s="106"/>
      <c r="R59" s="106"/>
      <c r="S59" s="190"/>
      <c r="T59" s="130">
        <f t="shared" si="8"/>
        <v>0</v>
      </c>
      <c r="U59" s="106" t="str">
        <f t="shared" si="9"/>
        <v>OK</v>
      </c>
      <c r="V59" s="106" t="s">
        <v>1198</v>
      </c>
      <c r="W59" s="106" t="s">
        <v>1199</v>
      </c>
      <c r="X59" s="106"/>
    </row>
    <row r="60" spans="1:24" s="3" customFormat="1" ht="52.7" customHeight="1" x14ac:dyDescent="0.2">
      <c r="A60" s="30">
        <v>54</v>
      </c>
      <c r="B60" s="30">
        <v>58</v>
      </c>
      <c r="C60" s="106">
        <f>'QS Takeoff'!A56</f>
        <v>0</v>
      </c>
      <c r="D60" s="106">
        <f>'QS Takeoff'!B56</f>
        <v>0</v>
      </c>
      <c r="E60" s="106">
        <f>'QS Takeoff'!C56</f>
        <v>0</v>
      </c>
      <c r="F60" s="106">
        <f>'QS Takeoff'!E56</f>
        <v>0</v>
      </c>
      <c r="G60" s="106">
        <f>'QS Takeoff'!D56</f>
        <v>0</v>
      </c>
      <c r="H60" s="185">
        <f>'QS Takeoff'!G56</f>
        <v>0</v>
      </c>
      <c r="I60" s="185">
        <f>SUMIF('Resource Build-Up'!$B$7:$B$306,D60,'Resource Build-Up'!$Z$7:$Z$306)</f>
        <v>0</v>
      </c>
      <c r="J60" s="186">
        <f ca="1">IFERROR(_xludf.AGGREGATE(14,6,'Resource Build-Up'!$M$7:$M$306/('Resource Build-Up'!$B$7:$B$306=D60),1),0)</f>
        <v>0</v>
      </c>
      <c r="K60" s="186" t="str">
        <f t="shared" ca="1" si="5"/>
        <v/>
      </c>
      <c r="L60" s="187"/>
      <c r="M60" s="186" t="str">
        <f t="shared" ca="1" si="6"/>
        <v/>
      </c>
      <c r="N60" s="188" t="str">
        <f t="shared" ca="1" si="7"/>
        <v/>
      </c>
      <c r="O60" s="106"/>
      <c r="P60" s="106"/>
      <c r="Q60" s="106"/>
      <c r="R60" s="106"/>
      <c r="S60" s="189"/>
      <c r="T60" s="130">
        <f t="shared" si="8"/>
        <v>0</v>
      </c>
      <c r="U60" s="106" t="str">
        <f t="shared" si="9"/>
        <v>OK</v>
      </c>
      <c r="V60" s="106" t="s">
        <v>1198</v>
      </c>
      <c r="W60" s="106" t="s">
        <v>1199</v>
      </c>
      <c r="X60" s="106"/>
    </row>
    <row r="61" spans="1:24" s="3" customFormat="1" ht="52.7" customHeight="1" x14ac:dyDescent="0.2">
      <c r="A61" s="30">
        <v>55</v>
      </c>
      <c r="B61" s="30">
        <v>59</v>
      </c>
      <c r="C61" s="106">
        <f>'QS Takeoff'!A57</f>
        <v>0</v>
      </c>
      <c r="D61" s="106">
        <f>'QS Takeoff'!B57</f>
        <v>0</v>
      </c>
      <c r="E61" s="106">
        <f>'QS Takeoff'!C57</f>
        <v>0</v>
      </c>
      <c r="F61" s="106">
        <f>'QS Takeoff'!E57</f>
        <v>0</v>
      </c>
      <c r="G61" s="106">
        <f>'QS Takeoff'!D57</f>
        <v>0</v>
      </c>
      <c r="H61" s="185">
        <f>'QS Takeoff'!G57</f>
        <v>0</v>
      </c>
      <c r="I61" s="185">
        <f>SUMIF('Resource Build-Up'!$B$7:$B$306,D61,'Resource Build-Up'!$Z$7:$Z$306)</f>
        <v>0</v>
      </c>
      <c r="J61" s="186">
        <f ca="1">IFERROR(_xludf.AGGREGATE(14,6,'Resource Build-Up'!$M$7:$M$306/('Resource Build-Up'!$B$7:$B$306=D61),1),0)</f>
        <v>0</v>
      </c>
      <c r="K61" s="186" t="str">
        <f t="shared" ca="1" si="5"/>
        <v/>
      </c>
      <c r="L61" s="187"/>
      <c r="M61" s="186" t="str">
        <f t="shared" ca="1" si="6"/>
        <v/>
      </c>
      <c r="N61" s="188" t="str">
        <f t="shared" ca="1" si="7"/>
        <v/>
      </c>
      <c r="O61" s="106"/>
      <c r="P61" s="106"/>
      <c r="Q61" s="106"/>
      <c r="R61" s="106"/>
      <c r="S61" s="190"/>
      <c r="T61" s="130">
        <f t="shared" si="8"/>
        <v>0</v>
      </c>
      <c r="U61" s="106" t="str">
        <f t="shared" si="9"/>
        <v>OK</v>
      </c>
      <c r="V61" s="106" t="s">
        <v>1198</v>
      </c>
      <c r="W61" s="106" t="s">
        <v>1199</v>
      </c>
      <c r="X61" s="106"/>
    </row>
    <row r="62" spans="1:24" s="3" customFormat="1" ht="52.7" customHeight="1" x14ac:dyDescent="0.2">
      <c r="A62" s="30">
        <v>56</v>
      </c>
      <c r="B62" s="30">
        <v>60</v>
      </c>
      <c r="C62" s="106">
        <f>'QS Takeoff'!A58</f>
        <v>0</v>
      </c>
      <c r="D62" s="106">
        <f>'QS Takeoff'!B58</f>
        <v>0</v>
      </c>
      <c r="E62" s="106">
        <f>'QS Takeoff'!C58</f>
        <v>0</v>
      </c>
      <c r="F62" s="106">
        <f>'QS Takeoff'!E58</f>
        <v>0</v>
      </c>
      <c r="G62" s="106">
        <f>'QS Takeoff'!D58</f>
        <v>0</v>
      </c>
      <c r="H62" s="185">
        <f>'QS Takeoff'!G58</f>
        <v>0</v>
      </c>
      <c r="I62" s="185">
        <f>SUMIF('Resource Build-Up'!$B$7:$B$306,D62,'Resource Build-Up'!$Z$7:$Z$306)</f>
        <v>0</v>
      </c>
      <c r="J62" s="186">
        <f ca="1">IFERROR(_xludf.AGGREGATE(14,6,'Resource Build-Up'!$M$7:$M$306/('Resource Build-Up'!$B$7:$B$306=D62),1),0)</f>
        <v>0</v>
      </c>
      <c r="K62" s="186" t="str">
        <f t="shared" ca="1" si="5"/>
        <v/>
      </c>
      <c r="L62" s="187"/>
      <c r="M62" s="186" t="str">
        <f t="shared" ca="1" si="6"/>
        <v/>
      </c>
      <c r="N62" s="188" t="str">
        <f t="shared" ca="1" si="7"/>
        <v/>
      </c>
      <c r="O62" s="106"/>
      <c r="P62" s="106"/>
      <c r="Q62" s="106"/>
      <c r="R62" s="106"/>
      <c r="S62" s="190"/>
      <c r="T62" s="130">
        <f t="shared" si="8"/>
        <v>0</v>
      </c>
      <c r="U62" s="106" t="str">
        <f t="shared" si="9"/>
        <v>OK</v>
      </c>
      <c r="V62" s="106" t="s">
        <v>1198</v>
      </c>
      <c r="W62" s="106" t="s">
        <v>1199</v>
      </c>
      <c r="X62" s="106"/>
    </row>
    <row r="63" spans="1:24" s="3" customFormat="1" ht="52.7" customHeight="1" x14ac:dyDescent="0.2">
      <c r="A63" s="30">
        <v>57</v>
      </c>
      <c r="B63" s="30">
        <v>61</v>
      </c>
      <c r="C63" s="106">
        <f>'QS Takeoff'!A59</f>
        <v>0</v>
      </c>
      <c r="D63" s="106">
        <f>'QS Takeoff'!B59</f>
        <v>0</v>
      </c>
      <c r="E63" s="106">
        <f>'QS Takeoff'!C59</f>
        <v>0</v>
      </c>
      <c r="F63" s="106">
        <f>'QS Takeoff'!E59</f>
        <v>0</v>
      </c>
      <c r="G63" s="106">
        <f>'QS Takeoff'!D59</f>
        <v>0</v>
      </c>
      <c r="H63" s="185">
        <f>'QS Takeoff'!G59</f>
        <v>0</v>
      </c>
      <c r="I63" s="185">
        <f>SUMIF('Resource Build-Up'!$B$7:$B$306,D63,'Resource Build-Up'!$Z$7:$Z$306)</f>
        <v>0</v>
      </c>
      <c r="J63" s="186">
        <f ca="1">IFERROR(_xludf.AGGREGATE(14,6,'Resource Build-Up'!$M$7:$M$306/('Resource Build-Up'!$B$7:$B$306=D63),1),0)</f>
        <v>0</v>
      </c>
      <c r="K63" s="186" t="str">
        <f t="shared" ca="1" si="5"/>
        <v/>
      </c>
      <c r="L63" s="187"/>
      <c r="M63" s="186" t="str">
        <f t="shared" ca="1" si="6"/>
        <v/>
      </c>
      <c r="N63" s="188" t="str">
        <f t="shared" ca="1" si="7"/>
        <v/>
      </c>
      <c r="O63" s="106"/>
      <c r="P63" s="106"/>
      <c r="Q63" s="106"/>
      <c r="R63" s="106"/>
      <c r="S63" s="189"/>
      <c r="T63" s="130">
        <f t="shared" si="8"/>
        <v>0</v>
      </c>
      <c r="U63" s="106" t="str">
        <f t="shared" si="9"/>
        <v>OK</v>
      </c>
      <c r="V63" s="106" t="s">
        <v>1198</v>
      </c>
      <c r="W63" s="106" t="s">
        <v>1199</v>
      </c>
      <c r="X63" s="106"/>
    </row>
    <row r="64" spans="1:24" s="3" customFormat="1" ht="52.7" customHeight="1" x14ac:dyDescent="0.2">
      <c r="A64" s="30">
        <v>58</v>
      </c>
      <c r="B64" s="30">
        <v>62</v>
      </c>
      <c r="C64" s="106">
        <f>'QS Takeoff'!A60</f>
        <v>0</v>
      </c>
      <c r="D64" s="106">
        <f>'QS Takeoff'!B60</f>
        <v>0</v>
      </c>
      <c r="E64" s="106">
        <f>'QS Takeoff'!C60</f>
        <v>0</v>
      </c>
      <c r="F64" s="106">
        <f>'QS Takeoff'!E60</f>
        <v>0</v>
      </c>
      <c r="G64" s="106">
        <f>'QS Takeoff'!D60</f>
        <v>0</v>
      </c>
      <c r="H64" s="185">
        <f>'QS Takeoff'!G60</f>
        <v>0</v>
      </c>
      <c r="I64" s="185">
        <f>SUMIF('Resource Build-Up'!$B$7:$B$306,D64,'Resource Build-Up'!$Z$7:$Z$306)</f>
        <v>0</v>
      </c>
      <c r="J64" s="186">
        <f ca="1">IFERROR(_xludf.AGGREGATE(14,6,'Resource Build-Up'!$M$7:$M$306/('Resource Build-Up'!$B$7:$B$306=D64),1),0)</f>
        <v>0</v>
      </c>
      <c r="K64" s="186" t="str">
        <f t="shared" ca="1" si="5"/>
        <v/>
      </c>
      <c r="L64" s="187"/>
      <c r="M64" s="186" t="str">
        <f t="shared" ca="1" si="6"/>
        <v/>
      </c>
      <c r="N64" s="188" t="str">
        <f t="shared" ca="1" si="7"/>
        <v/>
      </c>
      <c r="O64" s="106"/>
      <c r="P64" s="106"/>
      <c r="Q64" s="106"/>
      <c r="R64" s="106"/>
      <c r="S64" s="189"/>
      <c r="T64" s="130">
        <f t="shared" si="8"/>
        <v>0</v>
      </c>
      <c r="U64" s="106" t="str">
        <f t="shared" si="9"/>
        <v>OK</v>
      </c>
      <c r="V64" s="106" t="s">
        <v>1198</v>
      </c>
      <c r="W64" s="106" t="s">
        <v>1199</v>
      </c>
      <c r="X64" s="106"/>
    </row>
    <row r="65" spans="1:24" s="3" customFormat="1" ht="52.7" customHeight="1" x14ac:dyDescent="0.2">
      <c r="A65" s="30">
        <v>59</v>
      </c>
      <c r="B65" s="30">
        <v>63</v>
      </c>
      <c r="C65" s="106">
        <f>'QS Takeoff'!A61</f>
        <v>0</v>
      </c>
      <c r="D65" s="106">
        <f>'QS Takeoff'!B61</f>
        <v>0</v>
      </c>
      <c r="E65" s="106">
        <f>'QS Takeoff'!C61</f>
        <v>0</v>
      </c>
      <c r="F65" s="106">
        <f>'QS Takeoff'!E61</f>
        <v>0</v>
      </c>
      <c r="G65" s="106">
        <f>'QS Takeoff'!D61</f>
        <v>0</v>
      </c>
      <c r="H65" s="185">
        <f>'QS Takeoff'!G61</f>
        <v>0</v>
      </c>
      <c r="I65" s="185">
        <f>SUMIF('Resource Build-Up'!$B$7:$B$306,D65,'Resource Build-Up'!$Z$7:$Z$306)</f>
        <v>0</v>
      </c>
      <c r="J65" s="186">
        <f ca="1">IFERROR(_xludf.AGGREGATE(14,6,'Resource Build-Up'!$M$7:$M$306/('Resource Build-Up'!$B$7:$B$306=D65),1),0)</f>
        <v>0</v>
      </c>
      <c r="K65" s="186" t="str">
        <f t="shared" ca="1" si="5"/>
        <v/>
      </c>
      <c r="L65" s="187"/>
      <c r="M65" s="186" t="str">
        <f t="shared" ca="1" si="6"/>
        <v/>
      </c>
      <c r="N65" s="188" t="str">
        <f t="shared" ca="1" si="7"/>
        <v/>
      </c>
      <c r="O65" s="106"/>
      <c r="P65" s="106"/>
      <c r="Q65" s="106"/>
      <c r="R65" s="106"/>
      <c r="S65" s="189"/>
      <c r="T65" s="130">
        <f t="shared" si="8"/>
        <v>0</v>
      </c>
      <c r="U65" s="106" t="str">
        <f t="shared" si="9"/>
        <v>OK</v>
      </c>
      <c r="V65" s="106" t="s">
        <v>1198</v>
      </c>
      <c r="W65" s="106" t="s">
        <v>1199</v>
      </c>
      <c r="X65" s="106"/>
    </row>
    <row r="66" spans="1:24" s="3" customFormat="1" ht="52.7" customHeight="1" x14ac:dyDescent="0.2">
      <c r="A66" s="30">
        <v>60</v>
      </c>
      <c r="B66" s="30">
        <v>65</v>
      </c>
      <c r="C66" s="106">
        <f>'QS Takeoff'!A62</f>
        <v>0</v>
      </c>
      <c r="D66" s="106">
        <f>'QS Takeoff'!B62</f>
        <v>0</v>
      </c>
      <c r="E66" s="106">
        <f>'QS Takeoff'!C62</f>
        <v>0</v>
      </c>
      <c r="F66" s="106">
        <f>'QS Takeoff'!E62</f>
        <v>0</v>
      </c>
      <c r="G66" s="106">
        <f>'QS Takeoff'!D62</f>
        <v>0</v>
      </c>
      <c r="H66" s="185">
        <f>'QS Takeoff'!G62</f>
        <v>0</v>
      </c>
      <c r="I66" s="185">
        <f>SUMIF('Resource Build-Up'!$B$7:$B$306,D66,'Resource Build-Up'!$Z$7:$Z$306)</f>
        <v>0</v>
      </c>
      <c r="J66" s="186">
        <f ca="1">IFERROR(_xludf.AGGREGATE(14,6,'Resource Build-Up'!$M$7:$M$306/('Resource Build-Up'!$B$7:$B$306=D66),1),0)</f>
        <v>0</v>
      </c>
      <c r="K66" s="186" t="str">
        <f t="shared" ca="1" si="5"/>
        <v/>
      </c>
      <c r="L66" s="187"/>
      <c r="M66" s="186" t="str">
        <f t="shared" ca="1" si="6"/>
        <v/>
      </c>
      <c r="N66" s="188" t="str">
        <f t="shared" ca="1" si="7"/>
        <v/>
      </c>
      <c r="O66" s="106"/>
      <c r="P66" s="106"/>
      <c r="Q66" s="106"/>
      <c r="R66" s="106"/>
      <c r="S66" s="190"/>
      <c r="T66" s="130">
        <f t="shared" si="8"/>
        <v>0</v>
      </c>
      <c r="U66" s="106" t="str">
        <f t="shared" si="9"/>
        <v>OK</v>
      </c>
      <c r="V66" s="106" t="s">
        <v>1198</v>
      </c>
      <c r="W66" s="106" t="s">
        <v>1199</v>
      </c>
      <c r="X66" s="106"/>
    </row>
    <row r="67" spans="1:24" s="3" customFormat="1" ht="52.7" customHeight="1" x14ac:dyDescent="0.2">
      <c r="A67" s="30">
        <v>61</v>
      </c>
      <c r="B67" s="30">
        <v>66</v>
      </c>
      <c r="C67" s="106">
        <f>'QS Takeoff'!A63</f>
        <v>0</v>
      </c>
      <c r="D67" s="106">
        <f>'QS Takeoff'!B63</f>
        <v>0</v>
      </c>
      <c r="E67" s="106">
        <f>'QS Takeoff'!C63</f>
        <v>0</v>
      </c>
      <c r="F67" s="106">
        <f>'QS Takeoff'!E63</f>
        <v>0</v>
      </c>
      <c r="G67" s="106">
        <f>'QS Takeoff'!D63</f>
        <v>0</v>
      </c>
      <c r="H67" s="185">
        <f>'QS Takeoff'!G63</f>
        <v>0</v>
      </c>
      <c r="I67" s="185">
        <f>SUMIF('Resource Build-Up'!$B$7:$B$306,D67,'Resource Build-Up'!$Z$7:$Z$306)</f>
        <v>0</v>
      </c>
      <c r="J67" s="186">
        <f ca="1">IFERROR(_xludf.AGGREGATE(14,6,'Resource Build-Up'!$M$7:$M$306/('Resource Build-Up'!$B$7:$B$306=D67),1),0)</f>
        <v>0</v>
      </c>
      <c r="K67" s="186" t="str">
        <f t="shared" ca="1" si="5"/>
        <v/>
      </c>
      <c r="L67" s="191"/>
      <c r="M67" s="186" t="str">
        <f t="shared" ca="1" si="6"/>
        <v/>
      </c>
      <c r="N67" s="188" t="str">
        <f t="shared" ca="1" si="7"/>
        <v/>
      </c>
      <c r="O67" s="106"/>
      <c r="P67" s="106"/>
      <c r="Q67" s="106"/>
      <c r="R67" s="106"/>
      <c r="S67" s="189"/>
      <c r="T67" s="130">
        <f t="shared" si="8"/>
        <v>0</v>
      </c>
      <c r="U67" s="106" t="str">
        <f t="shared" si="9"/>
        <v>OK</v>
      </c>
      <c r="V67" s="106" t="s">
        <v>1198</v>
      </c>
      <c r="W67" s="106" t="s">
        <v>1199</v>
      </c>
      <c r="X67" s="106"/>
    </row>
    <row r="68" spans="1:24" s="3" customFormat="1" ht="52.7" customHeight="1" x14ac:dyDescent="0.2">
      <c r="A68" s="30">
        <v>62</v>
      </c>
      <c r="B68" s="30">
        <v>67</v>
      </c>
      <c r="C68" s="106">
        <f>'QS Takeoff'!A64</f>
        <v>0</v>
      </c>
      <c r="D68" s="106">
        <f>'QS Takeoff'!B64</f>
        <v>0</v>
      </c>
      <c r="E68" s="106">
        <f>'QS Takeoff'!C64</f>
        <v>0</v>
      </c>
      <c r="F68" s="106">
        <f>'QS Takeoff'!E64</f>
        <v>0</v>
      </c>
      <c r="G68" s="106">
        <f>'QS Takeoff'!D64</f>
        <v>0</v>
      </c>
      <c r="H68" s="185">
        <f>'QS Takeoff'!G64</f>
        <v>0</v>
      </c>
      <c r="I68" s="185">
        <f>SUMIF('Resource Build-Up'!$B$7:$B$306,D68,'Resource Build-Up'!$Z$7:$Z$306)</f>
        <v>0</v>
      </c>
      <c r="J68" s="186">
        <f ca="1">IFERROR(_xludf.AGGREGATE(14,6,'Resource Build-Up'!$M$7:$M$306/('Resource Build-Up'!$B$7:$B$306=D68),1),0)</f>
        <v>0</v>
      </c>
      <c r="K68" s="186" t="str">
        <f t="shared" ca="1" si="5"/>
        <v/>
      </c>
      <c r="L68" s="187"/>
      <c r="M68" s="186" t="str">
        <f t="shared" ca="1" si="6"/>
        <v/>
      </c>
      <c r="N68" s="188" t="str">
        <f t="shared" ca="1" si="7"/>
        <v/>
      </c>
      <c r="O68" s="106"/>
      <c r="P68" s="106"/>
      <c r="Q68" s="106"/>
      <c r="R68" s="106"/>
      <c r="S68" s="190"/>
      <c r="T68" s="130">
        <f t="shared" si="8"/>
        <v>0</v>
      </c>
      <c r="U68" s="106" t="str">
        <f t="shared" si="9"/>
        <v>OK</v>
      </c>
      <c r="V68" s="106" t="s">
        <v>1198</v>
      </c>
      <c r="W68" s="106" t="s">
        <v>1199</v>
      </c>
      <c r="X68" s="106"/>
    </row>
    <row r="69" spans="1:24" s="3" customFormat="1" ht="52.7" customHeight="1" x14ac:dyDescent="0.2">
      <c r="A69" s="30">
        <v>63</v>
      </c>
      <c r="B69" s="30">
        <v>68</v>
      </c>
      <c r="C69" s="106">
        <f>'QS Takeoff'!A65</f>
        <v>0</v>
      </c>
      <c r="D69" s="106">
        <f>'QS Takeoff'!B65</f>
        <v>0</v>
      </c>
      <c r="E69" s="106">
        <f>'QS Takeoff'!C65</f>
        <v>0</v>
      </c>
      <c r="F69" s="106">
        <f>'QS Takeoff'!E65</f>
        <v>0</v>
      </c>
      <c r="G69" s="106">
        <f>'QS Takeoff'!D65</f>
        <v>0</v>
      </c>
      <c r="H69" s="185">
        <f>'QS Takeoff'!G65</f>
        <v>0</v>
      </c>
      <c r="I69" s="185">
        <f>SUMIF('Resource Build-Up'!$B$7:$B$306,D69,'Resource Build-Up'!$Z$7:$Z$306)</f>
        <v>0</v>
      </c>
      <c r="J69" s="186">
        <f ca="1">IFERROR(_xludf.AGGREGATE(14,6,'Resource Build-Up'!$M$7:$M$306/('Resource Build-Up'!$B$7:$B$306=D69),1),0)</f>
        <v>0</v>
      </c>
      <c r="K69" s="186" t="str">
        <f t="shared" ca="1" si="5"/>
        <v/>
      </c>
      <c r="L69" s="187"/>
      <c r="M69" s="186" t="str">
        <f t="shared" ca="1" si="6"/>
        <v/>
      </c>
      <c r="N69" s="188" t="str">
        <f t="shared" ca="1" si="7"/>
        <v/>
      </c>
      <c r="O69" s="106"/>
      <c r="P69" s="106"/>
      <c r="Q69" s="106"/>
      <c r="R69" s="106"/>
      <c r="S69" s="190"/>
      <c r="T69" s="130">
        <f t="shared" si="8"/>
        <v>0</v>
      </c>
      <c r="U69" s="106" t="str">
        <f t="shared" si="9"/>
        <v>OK</v>
      </c>
      <c r="V69" s="106" t="s">
        <v>1198</v>
      </c>
      <c r="W69" s="106" t="s">
        <v>1199</v>
      </c>
      <c r="X69" s="106"/>
    </row>
    <row r="70" spans="1:24" s="3" customFormat="1" ht="52.7" customHeight="1" x14ac:dyDescent="0.2">
      <c r="A70" s="30">
        <v>64</v>
      </c>
      <c r="B70" s="30">
        <v>69</v>
      </c>
      <c r="C70" s="106">
        <f>'QS Takeoff'!A66</f>
        <v>0</v>
      </c>
      <c r="D70" s="106">
        <f>'QS Takeoff'!B66</f>
        <v>0</v>
      </c>
      <c r="E70" s="106">
        <f>'QS Takeoff'!C66</f>
        <v>0</v>
      </c>
      <c r="F70" s="106">
        <f>'QS Takeoff'!E66</f>
        <v>0</v>
      </c>
      <c r="G70" s="106">
        <f>'QS Takeoff'!D66</f>
        <v>0</v>
      </c>
      <c r="H70" s="185">
        <f>'QS Takeoff'!G66</f>
        <v>0</v>
      </c>
      <c r="I70" s="185">
        <f>SUMIF('Resource Build-Up'!$B$7:$B$306,D70,'Resource Build-Up'!$Z$7:$Z$306)</f>
        <v>0</v>
      </c>
      <c r="J70" s="186">
        <f ca="1">IFERROR(_xludf.AGGREGATE(14,6,'Resource Build-Up'!$M$7:$M$306/('Resource Build-Up'!$B$7:$B$306=D70),1),0)</f>
        <v>0</v>
      </c>
      <c r="K70" s="186" t="str">
        <f t="shared" ca="1" si="5"/>
        <v/>
      </c>
      <c r="L70" s="187"/>
      <c r="M70" s="186" t="str">
        <f t="shared" ca="1" si="6"/>
        <v/>
      </c>
      <c r="N70" s="188" t="str">
        <f t="shared" ca="1" si="7"/>
        <v/>
      </c>
      <c r="O70" s="106"/>
      <c r="P70" s="106"/>
      <c r="Q70" s="106"/>
      <c r="R70" s="106"/>
      <c r="S70" s="190"/>
      <c r="T70" s="130">
        <f t="shared" si="8"/>
        <v>0</v>
      </c>
      <c r="U70" s="106" t="str">
        <f t="shared" si="9"/>
        <v>OK</v>
      </c>
      <c r="V70" s="106" t="s">
        <v>1198</v>
      </c>
      <c r="W70" s="106" t="s">
        <v>1199</v>
      </c>
      <c r="X70" s="106"/>
    </row>
    <row r="71" spans="1:24" s="3" customFormat="1" ht="52.7" customHeight="1" x14ac:dyDescent="0.2">
      <c r="A71" s="30">
        <v>65</v>
      </c>
      <c r="B71" s="30">
        <v>70</v>
      </c>
      <c r="C71" s="106">
        <f>'QS Takeoff'!A67</f>
        <v>0</v>
      </c>
      <c r="D71" s="106">
        <f>'QS Takeoff'!B67</f>
        <v>0</v>
      </c>
      <c r="E71" s="106">
        <f>'QS Takeoff'!C67</f>
        <v>0</v>
      </c>
      <c r="F71" s="106">
        <f>'QS Takeoff'!E67</f>
        <v>0</v>
      </c>
      <c r="G71" s="106">
        <f>'QS Takeoff'!D67</f>
        <v>0</v>
      </c>
      <c r="H71" s="185">
        <f>'QS Takeoff'!G67</f>
        <v>0</v>
      </c>
      <c r="I71" s="185">
        <f>SUMIF('Resource Build-Up'!$B$7:$B$306,D71,'Resource Build-Up'!$Z$7:$Z$306)</f>
        <v>0</v>
      </c>
      <c r="J71" s="186">
        <f ca="1">IFERROR(_xludf.AGGREGATE(14,6,'Resource Build-Up'!$M$7:$M$306/('Resource Build-Up'!$B$7:$B$306=D71),1),0)</f>
        <v>0</v>
      </c>
      <c r="K71" s="186" t="str">
        <f t="shared" ref="K71:K77" ca="1" si="10">IF(J71=0,"",ROUNDUP(J71/8,0))</f>
        <v/>
      </c>
      <c r="L71" s="187"/>
      <c r="M71" s="186" t="str">
        <f t="shared" ref="M71:M77" ca="1" si="11">IF(L71&lt;&gt;"",L71,K71)</f>
        <v/>
      </c>
      <c r="N71" s="188" t="str">
        <f t="shared" ref="N71:N74" ca="1" si="12">IF(M71="","",TEXT(M71,"0")&amp;" days")</f>
        <v/>
      </c>
      <c r="O71" s="106"/>
      <c r="P71" s="106"/>
      <c r="Q71" s="106"/>
      <c r="R71" s="106"/>
      <c r="S71" s="190"/>
      <c r="T71" s="130">
        <f t="shared" ref="T71:T77" si="13">I71-H71</f>
        <v>0</v>
      </c>
      <c r="U71" s="106" t="str">
        <f t="shared" ref="U71:U77" si="14">IF(ABS(T71)&lt;0.01,"OK","CHECK")</f>
        <v>OK</v>
      </c>
      <c r="V71" s="106" t="s">
        <v>1198</v>
      </c>
      <c r="W71" s="106" t="s">
        <v>1199</v>
      </c>
      <c r="X71" s="106"/>
    </row>
    <row r="72" spans="1:24" s="3" customFormat="1" ht="52.7" customHeight="1" x14ac:dyDescent="0.2">
      <c r="A72" s="30">
        <v>66</v>
      </c>
      <c r="B72" s="30">
        <v>73</v>
      </c>
      <c r="C72" s="106">
        <f>'QS Takeoff'!A68</f>
        <v>0</v>
      </c>
      <c r="D72" s="106">
        <f>'QS Takeoff'!B68</f>
        <v>0</v>
      </c>
      <c r="E72" s="106">
        <f>'QS Takeoff'!C68</f>
        <v>0</v>
      </c>
      <c r="F72" s="106">
        <f>'QS Takeoff'!E68</f>
        <v>0</v>
      </c>
      <c r="G72" s="106">
        <f>'QS Takeoff'!D68</f>
        <v>0</v>
      </c>
      <c r="H72" s="185">
        <f>'QS Takeoff'!G68</f>
        <v>0</v>
      </c>
      <c r="I72" s="185">
        <f>SUMIF('Resource Build-Up'!$B$7:$B$306,D72,'Resource Build-Up'!$Z$7:$Z$306)</f>
        <v>0</v>
      </c>
      <c r="J72" s="186">
        <f ca="1">IFERROR(_xludf.AGGREGATE(14,6,'Resource Build-Up'!$M$7:$M$306/('Resource Build-Up'!$B$7:$B$306=D72),1),0)</f>
        <v>0</v>
      </c>
      <c r="K72" s="186" t="str">
        <f t="shared" ca="1" si="10"/>
        <v/>
      </c>
      <c r="L72" s="187"/>
      <c r="M72" s="186" t="str">
        <f t="shared" ca="1" si="11"/>
        <v/>
      </c>
      <c r="N72" s="188" t="str">
        <f t="shared" ca="1" si="12"/>
        <v/>
      </c>
      <c r="O72" s="106"/>
      <c r="P72" s="106"/>
      <c r="Q72" s="106"/>
      <c r="R72" s="106"/>
      <c r="S72" s="190"/>
      <c r="T72" s="130">
        <f t="shared" si="13"/>
        <v>0</v>
      </c>
      <c r="U72" s="106" t="str">
        <f t="shared" si="14"/>
        <v>OK</v>
      </c>
      <c r="V72" s="106" t="s">
        <v>1198</v>
      </c>
      <c r="W72" s="106" t="s">
        <v>1199</v>
      </c>
      <c r="X72" s="106"/>
    </row>
    <row r="73" spans="1:24" s="3" customFormat="1" ht="52.7" customHeight="1" x14ac:dyDescent="0.2">
      <c r="A73" s="30">
        <v>67</v>
      </c>
      <c r="B73" s="30">
        <v>74</v>
      </c>
      <c r="C73" s="106">
        <f>'QS Takeoff'!A69</f>
        <v>0</v>
      </c>
      <c r="D73" s="106">
        <f>'QS Takeoff'!B69</f>
        <v>0</v>
      </c>
      <c r="E73" s="106">
        <f>'QS Takeoff'!C69</f>
        <v>0</v>
      </c>
      <c r="F73" s="106">
        <f>'QS Takeoff'!E69</f>
        <v>0</v>
      </c>
      <c r="G73" s="106">
        <f>'QS Takeoff'!D69</f>
        <v>0</v>
      </c>
      <c r="H73" s="185">
        <f>'QS Takeoff'!G69</f>
        <v>0</v>
      </c>
      <c r="I73" s="185">
        <f>SUMIF('Resource Build-Up'!$B$7:$B$306,D73,'Resource Build-Up'!$Z$7:$Z$306)</f>
        <v>0</v>
      </c>
      <c r="J73" s="186">
        <f ca="1">IFERROR(_xludf.AGGREGATE(14,6,'Resource Build-Up'!$M$7:$M$306/('Resource Build-Up'!$B$7:$B$306=D73),1),0)</f>
        <v>0</v>
      </c>
      <c r="K73" s="186" t="str">
        <f t="shared" ca="1" si="10"/>
        <v/>
      </c>
      <c r="L73" s="187"/>
      <c r="M73" s="186" t="str">
        <f t="shared" ca="1" si="11"/>
        <v/>
      </c>
      <c r="N73" s="188" t="str">
        <f t="shared" ca="1" si="12"/>
        <v/>
      </c>
      <c r="O73" s="106"/>
      <c r="P73" s="106"/>
      <c r="Q73" s="106"/>
      <c r="R73" s="106"/>
      <c r="S73" s="190"/>
      <c r="T73" s="130">
        <f t="shared" si="13"/>
        <v>0</v>
      </c>
      <c r="U73" s="106" t="str">
        <f t="shared" si="14"/>
        <v>OK</v>
      </c>
      <c r="V73" s="106" t="s">
        <v>1198</v>
      </c>
      <c r="W73" s="106" t="s">
        <v>1199</v>
      </c>
      <c r="X73" s="106"/>
    </row>
    <row r="74" spans="1:24" s="3" customFormat="1" ht="52.7" customHeight="1" x14ac:dyDescent="0.2">
      <c r="A74" s="30">
        <v>68</v>
      </c>
      <c r="B74" s="30">
        <v>75</v>
      </c>
      <c r="C74" s="106">
        <f>'QS Takeoff'!A70</f>
        <v>0</v>
      </c>
      <c r="D74" s="106">
        <f>'QS Takeoff'!B70</f>
        <v>0</v>
      </c>
      <c r="E74" s="106">
        <f>'QS Takeoff'!C70</f>
        <v>0</v>
      </c>
      <c r="F74" s="106">
        <f>'QS Takeoff'!E70</f>
        <v>0</v>
      </c>
      <c r="G74" s="106">
        <f>'QS Takeoff'!D70</f>
        <v>0</v>
      </c>
      <c r="H74" s="185">
        <f>'QS Takeoff'!G70</f>
        <v>0</v>
      </c>
      <c r="I74" s="185">
        <f>SUMIF('Resource Build-Up'!$B$7:$B$306,D74,'Resource Build-Up'!$Z$7:$Z$306)</f>
        <v>0</v>
      </c>
      <c r="J74" s="186">
        <f ca="1">IFERROR(_xludf.AGGREGATE(14,6,'Resource Build-Up'!$M$7:$M$306/('Resource Build-Up'!$B$7:$B$306=D74),1),0)</f>
        <v>0</v>
      </c>
      <c r="K74" s="186" t="str">
        <f t="shared" ca="1" si="10"/>
        <v/>
      </c>
      <c r="L74" s="187"/>
      <c r="M74" s="186" t="str">
        <f t="shared" ca="1" si="11"/>
        <v/>
      </c>
      <c r="N74" s="188" t="str">
        <f t="shared" ca="1" si="12"/>
        <v/>
      </c>
      <c r="O74" s="106"/>
      <c r="P74" s="106"/>
      <c r="Q74" s="106"/>
      <c r="R74" s="106"/>
      <c r="S74" s="189"/>
      <c r="T74" s="130">
        <f t="shared" si="13"/>
        <v>0</v>
      </c>
      <c r="U74" s="106" t="str">
        <f t="shared" si="14"/>
        <v>OK</v>
      </c>
      <c r="V74" s="106" t="s">
        <v>1198</v>
      </c>
      <c r="W74" s="106" t="s">
        <v>1199</v>
      </c>
      <c r="X74" s="106"/>
    </row>
    <row r="75" spans="1:24" s="3" customFormat="1" ht="52.7" customHeight="1" x14ac:dyDescent="0.2">
      <c r="A75" s="30">
        <v>69</v>
      </c>
      <c r="B75" s="30">
        <v>76</v>
      </c>
      <c r="C75" s="106">
        <f>'QS Takeoff'!A71</f>
        <v>0</v>
      </c>
      <c r="D75" s="106">
        <f>'QS Takeoff'!B71</f>
        <v>0</v>
      </c>
      <c r="E75" s="106">
        <f>'QS Takeoff'!C71</f>
        <v>0</v>
      </c>
      <c r="F75" s="106">
        <f>'QS Takeoff'!E71</f>
        <v>0</v>
      </c>
      <c r="G75" s="106">
        <f>'QS Takeoff'!D71</f>
        <v>0</v>
      </c>
      <c r="H75" s="185">
        <f>'QS Takeoff'!G71</f>
        <v>0</v>
      </c>
      <c r="I75" s="185">
        <f>SUMIF('Resource Build-Up'!$B$7:$B$306,D75,'Resource Build-Up'!$Z$7:$Z$306)</f>
        <v>0</v>
      </c>
      <c r="J75" s="186">
        <f ca="1">IFERROR(_xludf.AGGREGATE(14,6,'Resource Build-Up'!$M$7:$M$306/('Resource Build-Up'!$B$7:$B$306=D75),1),0)</f>
        <v>0</v>
      </c>
      <c r="K75" s="186" t="str">
        <f t="shared" ca="1" si="10"/>
        <v/>
      </c>
      <c r="L75" s="187"/>
      <c r="M75" s="186" t="str">
        <f t="shared" ca="1" si="11"/>
        <v/>
      </c>
      <c r="N75" s="188" t="str">
        <f ca="1">IF(M75="","",TEXT(M75,"0")&amp;" days")</f>
        <v/>
      </c>
      <c r="O75" s="106"/>
      <c r="P75" s="106"/>
      <c r="Q75" s="106"/>
      <c r="R75" s="106"/>
      <c r="S75" s="189"/>
      <c r="T75" s="130">
        <f t="shared" si="13"/>
        <v>0</v>
      </c>
      <c r="U75" s="106" t="str">
        <f t="shared" si="14"/>
        <v>OK</v>
      </c>
      <c r="V75" s="106" t="s">
        <v>1198</v>
      </c>
      <c r="W75" s="106" t="s">
        <v>1199</v>
      </c>
      <c r="X75" s="106"/>
    </row>
    <row r="76" spans="1:24" s="3" customFormat="1" ht="52.7" customHeight="1" x14ac:dyDescent="0.2">
      <c r="A76" s="30">
        <v>70</v>
      </c>
      <c r="B76" s="30">
        <v>77</v>
      </c>
      <c r="C76" s="106">
        <f>'QS Takeoff'!A72</f>
        <v>0</v>
      </c>
      <c r="D76" s="106">
        <f>'QS Takeoff'!B72</f>
        <v>0</v>
      </c>
      <c r="E76" s="106">
        <f>'QS Takeoff'!C72</f>
        <v>0</v>
      </c>
      <c r="F76" s="106">
        <f>'QS Takeoff'!E72</f>
        <v>0</v>
      </c>
      <c r="G76" s="106">
        <f>'QS Takeoff'!D72</f>
        <v>0</v>
      </c>
      <c r="H76" s="185">
        <f>'QS Takeoff'!G72</f>
        <v>0</v>
      </c>
      <c r="I76" s="185">
        <f>SUMIF('Resource Build-Up'!$B$7:$B$306,D76,'Resource Build-Up'!$Z$7:$Z$306)</f>
        <v>0</v>
      </c>
      <c r="J76" s="186">
        <f ca="1">IFERROR(_xludf.AGGREGATE(14,6,'Resource Build-Up'!$M$7:$M$306/('Resource Build-Up'!$B$7:$B$306=D76),1),0)</f>
        <v>0</v>
      </c>
      <c r="K76" s="186" t="str">
        <f t="shared" ca="1" si="10"/>
        <v/>
      </c>
      <c r="L76" s="187"/>
      <c r="M76" s="186" t="str">
        <f t="shared" ca="1" si="11"/>
        <v/>
      </c>
      <c r="N76" s="188" t="str">
        <f ca="1">IF(M76="","",TEXT(M76,"0")&amp;" days")</f>
        <v/>
      </c>
      <c r="O76" s="106"/>
      <c r="P76" s="106"/>
      <c r="Q76" s="106"/>
      <c r="R76" s="106"/>
      <c r="S76" s="190"/>
      <c r="T76" s="130">
        <f t="shared" si="13"/>
        <v>0</v>
      </c>
      <c r="U76" s="106" t="str">
        <f t="shared" si="14"/>
        <v>OK</v>
      </c>
      <c r="V76" s="106" t="s">
        <v>1198</v>
      </c>
      <c r="W76" s="106" t="s">
        <v>1199</v>
      </c>
      <c r="X76" s="106"/>
    </row>
    <row r="77" spans="1:24" s="3" customFormat="1" ht="52.7" customHeight="1" x14ac:dyDescent="0.2">
      <c r="A77" s="30">
        <v>71</v>
      </c>
      <c r="B77" s="30">
        <v>78</v>
      </c>
      <c r="C77" s="106">
        <f>'QS Takeoff'!A73</f>
        <v>0</v>
      </c>
      <c r="D77" s="106">
        <f>'QS Takeoff'!B73</f>
        <v>0</v>
      </c>
      <c r="E77" s="106">
        <f>'QS Takeoff'!C73</f>
        <v>0</v>
      </c>
      <c r="F77" s="106">
        <f>'QS Takeoff'!E73</f>
        <v>0</v>
      </c>
      <c r="G77" s="106">
        <f>'QS Takeoff'!D73</f>
        <v>0</v>
      </c>
      <c r="H77" s="185">
        <f>'QS Takeoff'!G73</f>
        <v>0</v>
      </c>
      <c r="I77" s="185">
        <f>SUMIF('Resource Build-Up'!$B$7:$B$306,D77,'Resource Build-Up'!$Z$7:$Z$306)</f>
        <v>0</v>
      </c>
      <c r="J77" s="186">
        <f ca="1">IFERROR(_xludf.AGGREGATE(14,6,'Resource Build-Up'!$M$7:$M$306/('Resource Build-Up'!$B$7:$B$306=D77),1),0)</f>
        <v>0</v>
      </c>
      <c r="K77" s="186" t="str">
        <f t="shared" ca="1" si="10"/>
        <v/>
      </c>
      <c r="L77" s="187"/>
      <c r="M77" s="186" t="str">
        <f t="shared" ca="1" si="11"/>
        <v/>
      </c>
      <c r="N77" s="188" t="str">
        <f ca="1">IF(M77="","",TEXT(M77,"0")&amp;" days")</f>
        <v/>
      </c>
      <c r="O77" s="106"/>
      <c r="P77" s="106"/>
      <c r="Q77" s="106"/>
      <c r="R77" s="106"/>
      <c r="S77" s="189"/>
      <c r="T77" s="130">
        <f t="shared" si="13"/>
        <v>0</v>
      </c>
      <c r="U77" s="106" t="str">
        <f t="shared" si="14"/>
        <v>OK</v>
      </c>
      <c r="V77" s="106" t="s">
        <v>1198</v>
      </c>
      <c r="W77" s="106" t="s">
        <v>1199</v>
      </c>
      <c r="X77" s="106"/>
    </row>
  </sheetData>
  <mergeCells count="5">
    <mergeCell ref="A1:X1"/>
    <mergeCell ref="A2:X2"/>
    <mergeCell ref="A3:X3"/>
    <mergeCell ref="A4:X4"/>
    <mergeCell ref="A5:X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90"/>
  <sheetViews>
    <sheetView zoomScaleNormal="60" zoomScaleSheetLayoutView="100" workbookViewId="0"/>
  </sheetViews>
  <sheetFormatPr defaultRowHeight="15" x14ac:dyDescent="0.2"/>
  <cols>
    <col min="1" max="1" width="43.046875" customWidth="1"/>
    <col min="2" max="2" width="32.015625" customWidth="1"/>
    <col min="4" max="4" width="25.01953125" customWidth="1"/>
    <col min="5" max="5" width="37.93359375" customWidth="1"/>
    <col min="6" max="6" width="18.0234375" customWidth="1"/>
    <col min="7" max="7" width="27.0390625" customWidth="1"/>
    <col min="8" max="8" width="34.03125" customWidth="1"/>
    <col min="10" max="10" width="37.93359375" customWidth="1"/>
  </cols>
  <sheetData>
    <row r="1" spans="1:10" ht="26.1" customHeight="1" x14ac:dyDescent="0.2">
      <c r="A1" s="295" t="s">
        <v>1200</v>
      </c>
      <c r="B1" s="295"/>
      <c r="C1" s="295"/>
      <c r="D1" s="295"/>
      <c r="E1" s="295"/>
      <c r="F1" s="295"/>
      <c r="G1" s="295"/>
      <c r="H1" s="295"/>
      <c r="I1" s="26"/>
      <c r="J1" s="26"/>
    </row>
    <row r="2" spans="1:10" ht="38.1" customHeight="1" x14ac:dyDescent="0.2">
      <c r="A2" s="296" t="s">
        <v>1201</v>
      </c>
      <c r="B2" s="296"/>
      <c r="C2" s="296"/>
      <c r="D2" s="296"/>
      <c r="E2" s="296"/>
      <c r="F2" s="296"/>
      <c r="G2" s="296"/>
      <c r="H2" s="296"/>
      <c r="I2" s="26"/>
      <c r="J2" s="26"/>
    </row>
    <row r="3" spans="1:10" x14ac:dyDescent="0.2">
      <c r="A3" s="26"/>
      <c r="B3" s="26"/>
      <c r="C3" s="26"/>
      <c r="D3" s="26"/>
      <c r="E3" s="26"/>
      <c r="F3" s="26"/>
      <c r="G3" s="26"/>
      <c r="H3" s="26"/>
      <c r="I3" s="26"/>
      <c r="J3" s="26"/>
    </row>
    <row r="4" spans="1:10" x14ac:dyDescent="0.2">
      <c r="A4" s="297" t="s">
        <v>1202</v>
      </c>
      <c r="B4" s="297"/>
      <c r="C4" s="26"/>
      <c r="D4" s="297" t="s">
        <v>1203</v>
      </c>
      <c r="E4" s="297"/>
      <c r="F4" s="297"/>
      <c r="G4" s="297"/>
      <c r="H4" s="297"/>
      <c r="I4" s="26"/>
      <c r="J4" s="26"/>
    </row>
    <row r="5" spans="1:10" x14ac:dyDescent="0.2">
      <c r="A5" s="26" t="s">
        <v>1204</v>
      </c>
      <c r="B5" s="202">
        <f>Summary!$B$4</f>
        <v>0</v>
      </c>
      <c r="C5" s="26"/>
      <c r="D5" s="26" t="s">
        <v>9</v>
      </c>
      <c r="E5" s="300" t="s">
        <v>1205</v>
      </c>
      <c r="F5" s="300"/>
      <c r="G5" s="300"/>
      <c r="H5" s="300"/>
      <c r="I5" s="26"/>
      <c r="J5" s="26"/>
    </row>
    <row r="6" spans="1:10" x14ac:dyDescent="0.2">
      <c r="A6" s="26" t="s">
        <v>1206</v>
      </c>
      <c r="B6" s="203"/>
      <c r="C6" s="26"/>
      <c r="D6" s="26" t="s">
        <v>11</v>
      </c>
      <c r="E6" s="300" t="s">
        <v>1207</v>
      </c>
      <c r="F6" s="300"/>
      <c r="G6" s="300"/>
      <c r="H6" s="300"/>
      <c r="I6" s="26"/>
      <c r="J6" s="26"/>
    </row>
    <row r="7" spans="1:10" x14ac:dyDescent="0.2">
      <c r="A7" s="26" t="s">
        <v>1208</v>
      </c>
      <c r="B7" s="204"/>
      <c r="C7" s="26"/>
      <c r="D7" s="26" t="s">
        <v>13</v>
      </c>
      <c r="E7" s="300" t="s">
        <v>1209</v>
      </c>
      <c r="F7" s="300"/>
      <c r="G7" s="300"/>
      <c r="H7" s="300"/>
      <c r="I7" s="26"/>
      <c r="J7" s="26"/>
    </row>
    <row r="8" spans="1:10" x14ac:dyDescent="0.2">
      <c r="A8" s="26" t="s">
        <v>1210</v>
      </c>
      <c r="B8" s="205">
        <f ca="1">MAX('Programme Export'!$M$7:$M$77)</f>
        <v>0</v>
      </c>
      <c r="C8" s="26"/>
      <c r="D8" s="26" t="s">
        <v>15</v>
      </c>
      <c r="E8" s="300" t="s">
        <v>1211</v>
      </c>
      <c r="F8" s="300"/>
      <c r="G8" s="300"/>
      <c r="H8" s="300"/>
      <c r="I8" s="26"/>
      <c r="J8" s="26"/>
    </row>
    <row r="9" spans="1:10" x14ac:dyDescent="0.2">
      <c r="A9" s="26" t="s">
        <v>1212</v>
      </c>
      <c r="B9" s="221">
        <v>5</v>
      </c>
      <c r="C9" s="26"/>
      <c r="D9" s="26" t="s">
        <v>17</v>
      </c>
      <c r="E9" s="300" t="s">
        <v>1213</v>
      </c>
      <c r="F9" s="300"/>
      <c r="G9" s="300"/>
      <c r="H9" s="300"/>
      <c r="I9" s="26"/>
      <c r="J9" s="26"/>
    </row>
    <row r="10" spans="1:10" x14ac:dyDescent="0.2">
      <c r="A10" s="26" t="s">
        <v>1214</v>
      </c>
      <c r="B10" s="206" t="str">
        <f ca="1">IF(OR(B7="",B8=""),"",WORKDAY(B7,B8-1))</f>
        <v/>
      </c>
      <c r="C10" s="26"/>
      <c r="D10" s="26" t="s">
        <v>19</v>
      </c>
      <c r="E10" s="300" t="s">
        <v>1215</v>
      </c>
      <c r="F10" s="300"/>
      <c r="G10" s="300"/>
      <c r="H10" s="300"/>
      <c r="I10" s="26"/>
      <c r="J10" s="26"/>
    </row>
    <row r="11" spans="1:10" ht="27.75" x14ac:dyDescent="0.2">
      <c r="A11" s="26" t="s">
        <v>1216</v>
      </c>
      <c r="B11" s="206" t="str">
        <f ca="1">IF(OR(B7="",B8=""),"",WORKDAY(B7,B8-1,$F$55:$F$70))</f>
        <v/>
      </c>
      <c r="C11" s="26"/>
      <c r="D11" s="26" t="s">
        <v>21</v>
      </c>
      <c r="E11" s="300" t="s">
        <v>1217</v>
      </c>
      <c r="F11" s="300"/>
      <c r="G11" s="300"/>
      <c r="H11" s="300"/>
      <c r="I11" s="26"/>
      <c r="J11" s="26"/>
    </row>
    <row r="12" spans="1:10" x14ac:dyDescent="0.2">
      <c r="A12" s="26" t="s">
        <v>1218</v>
      </c>
      <c r="B12" s="207">
        <f>SUM('Resource Build-Up'!$AN$7:$AN$306)</f>
        <v>0</v>
      </c>
      <c r="C12" s="26"/>
      <c r="D12" s="26" t="s">
        <v>773</v>
      </c>
      <c r="E12" s="300" t="s">
        <v>1219</v>
      </c>
      <c r="F12" s="300"/>
      <c r="G12" s="300"/>
      <c r="H12" s="300"/>
      <c r="I12" s="26"/>
      <c r="J12" s="26"/>
    </row>
    <row r="13" spans="1:10" x14ac:dyDescent="0.2">
      <c r="A13" s="26" t="s">
        <v>1220</v>
      </c>
      <c r="B13" s="207">
        <f ca="1">IFERROR((SUMIFS('QS Takeoff'!$G$3:$G$73,'QS Takeoff'!$B$3:$B$73,"PG01")+SUMIFS('QS Takeoff'!$G$3:$G$73,'QS Takeoff'!$B$3:$B$73,"PG04")+SUMIFS('QS Takeoff'!$G$3:$G$73,'QS Takeoff'!$B$3:$B$73,"PG10"))/B8,0)</f>
        <v>0</v>
      </c>
      <c r="C13" s="26"/>
      <c r="D13" s="26" t="s">
        <v>1221</v>
      </c>
      <c r="E13" s="300" t="s">
        <v>1222</v>
      </c>
      <c r="F13" s="300"/>
      <c r="G13" s="300"/>
      <c r="H13" s="300"/>
      <c r="I13" s="26"/>
      <c r="J13" s="26"/>
    </row>
    <row r="14" spans="1:10" x14ac:dyDescent="0.2">
      <c r="A14" s="26" t="s">
        <v>1223</v>
      </c>
      <c r="B14" s="207">
        <f ca="1">IFERROR((SUMIFS('QS Takeoff'!$G$3:$G$73,'QS Takeoff'!$B$3:$B$73,"PG03")+SUMIFS('QS Takeoff'!$G$3:$G$73,'QS Takeoff'!$B$3:$B$73,"PG08"))/B15,0)</f>
        <v>0</v>
      </c>
      <c r="C14" s="26"/>
      <c r="D14" s="26"/>
      <c r="E14" s="26"/>
      <c r="F14" s="26"/>
      <c r="G14" s="26"/>
      <c r="H14" s="26"/>
      <c r="I14" s="26"/>
      <c r="J14" s="26"/>
    </row>
    <row r="15" spans="1:10" x14ac:dyDescent="0.2">
      <c r="A15" s="26" t="s">
        <v>1224</v>
      </c>
      <c r="B15" s="205">
        <f ca="1">IF(OR(B8="",B9="",B9=0),0,ROUNDUP(B8/B9,0))</f>
        <v>0</v>
      </c>
      <c r="C15" s="26"/>
      <c r="D15" s="200" t="s">
        <v>1225</v>
      </c>
      <c r="E15" s="299" t="s">
        <v>1226</v>
      </c>
      <c r="F15" s="299"/>
      <c r="G15" s="299"/>
      <c r="H15" s="299"/>
      <c r="I15" s="26"/>
      <c r="J15" s="26"/>
    </row>
    <row r="16" spans="1:10" x14ac:dyDescent="0.2">
      <c r="A16" s="26" t="s">
        <v>1227</v>
      </c>
      <c r="B16" s="208">
        <v>0</v>
      </c>
      <c r="C16" s="26"/>
      <c r="D16" s="26" t="s">
        <v>1228</v>
      </c>
      <c r="E16" s="300" t="s">
        <v>1229</v>
      </c>
      <c r="F16" s="300"/>
      <c r="G16" s="300"/>
      <c r="H16" s="300"/>
      <c r="I16" s="26"/>
      <c r="J16" s="26"/>
    </row>
    <row r="17" spans="1:10" x14ac:dyDescent="0.2">
      <c r="A17" s="26"/>
      <c r="B17" s="26"/>
      <c r="C17" s="26"/>
      <c r="D17" s="26"/>
      <c r="E17" s="26"/>
      <c r="F17" s="26"/>
      <c r="G17" s="26"/>
      <c r="H17" s="26"/>
      <c r="I17" s="26"/>
      <c r="J17" s="26"/>
    </row>
    <row r="18" spans="1:10" x14ac:dyDescent="0.2">
      <c r="A18" s="298" t="s">
        <v>1230</v>
      </c>
      <c r="B18" s="297"/>
      <c r="C18" s="26"/>
      <c r="D18" s="297" t="s">
        <v>1231</v>
      </c>
      <c r="E18" s="297"/>
      <c r="F18" s="297"/>
      <c r="G18" s="297"/>
      <c r="H18" s="297"/>
      <c r="I18" s="26"/>
      <c r="J18" s="26"/>
    </row>
    <row r="19" spans="1:10" ht="27.75" x14ac:dyDescent="0.2">
      <c r="A19" s="26" t="s">
        <v>1232</v>
      </c>
      <c r="B19" s="26" t="s">
        <v>1233</v>
      </c>
      <c r="C19" s="26"/>
      <c r="D19" s="26" t="s">
        <v>1234</v>
      </c>
      <c r="E19" s="202">
        <f>B12-B23</f>
        <v>0</v>
      </c>
      <c r="F19" s="26"/>
      <c r="G19" s="26"/>
      <c r="H19" s="26"/>
      <c r="I19" s="26"/>
      <c r="J19" s="26"/>
    </row>
    <row r="20" spans="1:10" x14ac:dyDescent="0.2">
      <c r="A20" s="26" t="s">
        <v>1235</v>
      </c>
      <c r="B20" s="209"/>
      <c r="C20" s="26"/>
      <c r="D20" s="26" t="s">
        <v>1236</v>
      </c>
      <c r="E20" s="202">
        <f>B7-B21</f>
        <v>0</v>
      </c>
      <c r="F20" s="26"/>
      <c r="G20" s="26"/>
      <c r="H20" s="26"/>
      <c r="I20" s="26"/>
      <c r="J20" s="26"/>
    </row>
    <row r="21" spans="1:10" ht="27.75" x14ac:dyDescent="0.2">
      <c r="A21" s="26" t="s">
        <v>1237</v>
      </c>
      <c r="B21" s="204"/>
      <c r="C21" s="26"/>
      <c r="D21" s="26" t="s">
        <v>1238</v>
      </c>
      <c r="E21" s="202">
        <f ca="1">B8-B22</f>
        <v>0</v>
      </c>
      <c r="F21" s="26"/>
      <c r="G21" s="26"/>
      <c r="H21" s="26"/>
      <c r="I21" s="26"/>
      <c r="J21" s="26"/>
    </row>
    <row r="22" spans="1:10" ht="27.75" x14ac:dyDescent="0.2">
      <c r="A22" s="26" t="s">
        <v>1239</v>
      </c>
      <c r="B22" s="209"/>
      <c r="C22" s="26"/>
      <c r="D22" s="26" t="s">
        <v>946</v>
      </c>
      <c r="E22" s="202">
        <f ca="1">'Commercial Inputs'!$E$14-B40</f>
        <v>0</v>
      </c>
      <c r="F22" s="26"/>
      <c r="G22" s="26"/>
      <c r="H22" s="26"/>
      <c r="I22" s="26"/>
      <c r="J22" s="26"/>
    </row>
    <row r="23" spans="1:10" x14ac:dyDescent="0.2">
      <c r="A23" s="26" t="s">
        <v>1240</v>
      </c>
      <c r="B23" s="208"/>
      <c r="C23" s="26"/>
      <c r="D23" s="26" t="s">
        <v>1241</v>
      </c>
      <c r="E23" s="26" t="str">
        <f>IF(B29="Yes","AMBER - included","AMBER - sensitivity only / excluded")</f>
        <v>AMBER - sensitivity only / excluded</v>
      </c>
      <c r="F23" s="26"/>
      <c r="G23" s="26"/>
      <c r="H23" s="26"/>
      <c r="I23" s="26"/>
      <c r="J23" s="26"/>
    </row>
    <row r="24" spans="1:10" x14ac:dyDescent="0.2">
      <c r="A24" s="26" t="s">
        <v>1242</v>
      </c>
      <c r="B24" s="208"/>
      <c r="C24" s="26"/>
      <c r="D24" s="26"/>
      <c r="E24" s="26"/>
      <c r="F24" s="26"/>
      <c r="G24" s="26"/>
      <c r="H24" s="26"/>
      <c r="I24" s="26"/>
      <c r="J24" s="26"/>
    </row>
    <row r="25" spans="1:10" x14ac:dyDescent="0.2">
      <c r="A25" s="26" t="s">
        <v>1243</v>
      </c>
      <c r="B25" s="210">
        <f>IFERROR(B24/B23,0)</f>
        <v>0</v>
      </c>
      <c r="C25" s="26"/>
      <c r="D25" s="26"/>
      <c r="E25" s="26"/>
      <c r="F25" s="26"/>
      <c r="G25" s="26"/>
      <c r="H25" s="26"/>
      <c r="I25" s="26"/>
      <c r="J25" s="26"/>
    </row>
    <row r="26" spans="1:10" x14ac:dyDescent="0.2">
      <c r="A26" s="26" t="s">
        <v>1244</v>
      </c>
      <c r="B26" s="211"/>
      <c r="C26" s="26"/>
      <c r="D26" s="26"/>
      <c r="E26" s="26"/>
      <c r="F26" s="26"/>
      <c r="G26" s="26"/>
      <c r="H26" s="26"/>
      <c r="I26" s="26"/>
      <c r="J26" s="26"/>
    </row>
    <row r="27" spans="1:10" x14ac:dyDescent="0.2">
      <c r="A27" s="26" t="s">
        <v>1245</v>
      </c>
      <c r="B27" s="211"/>
      <c r="C27" s="26"/>
      <c r="D27" s="26"/>
      <c r="E27" s="26"/>
      <c r="F27" s="26"/>
      <c r="G27" s="26"/>
      <c r="H27" s="26"/>
      <c r="I27" s="26"/>
      <c r="J27" s="26"/>
    </row>
    <row r="28" spans="1:10" x14ac:dyDescent="0.2">
      <c r="A28" s="26" t="s">
        <v>1246</v>
      </c>
      <c r="B28" s="208"/>
      <c r="C28" s="26"/>
      <c r="D28" s="26"/>
      <c r="E28" s="26"/>
      <c r="F28" s="26"/>
      <c r="G28" s="26"/>
      <c r="H28" s="26"/>
      <c r="I28" s="26"/>
      <c r="J28" s="26"/>
    </row>
    <row r="29" spans="1:10" x14ac:dyDescent="0.2">
      <c r="A29" s="26" t="s">
        <v>1247</v>
      </c>
      <c r="B29" s="209" t="s">
        <v>245</v>
      </c>
      <c r="C29" s="26"/>
      <c r="D29" s="26"/>
      <c r="E29" s="26"/>
      <c r="F29" s="26"/>
      <c r="G29" s="26"/>
      <c r="H29" s="26"/>
      <c r="I29" s="26"/>
      <c r="J29" s="26"/>
    </row>
    <row r="30" spans="1:10" ht="27.75" x14ac:dyDescent="0.2">
      <c r="A30" s="26" t="s">
        <v>1248</v>
      </c>
      <c r="B30" s="222" t="s">
        <v>1249</v>
      </c>
      <c r="C30" s="26"/>
      <c r="D30" s="26"/>
      <c r="E30" s="26"/>
      <c r="F30" s="26"/>
      <c r="G30" s="26"/>
      <c r="H30" s="26"/>
      <c r="I30" s="26"/>
      <c r="J30" s="26"/>
    </row>
    <row r="31" spans="1:10" x14ac:dyDescent="0.2">
      <c r="A31" s="26" t="s">
        <v>1250</v>
      </c>
      <c r="B31" s="220" t="str">
        <f>IF(OR(B20="",B21="",B22="",B23="",B24=""),"RERUN WEATHER TOOL",IF(OR(B6&lt;&gt;B20,B7&lt;&gt;B21,B8&lt;&gt;B22,ABS(B12-B23)/MAX(1,B23)&gt;1%),"RERUN WEATHER TOOL","CURRENT - within 1% exposed-cost tolerance"))</f>
        <v>RERUN WEATHER TOOL</v>
      </c>
      <c r="C31" s="26"/>
      <c r="D31" s="26"/>
      <c r="E31" s="26"/>
      <c r="F31" s="26"/>
      <c r="G31" s="26"/>
      <c r="H31" s="26"/>
      <c r="I31" s="26"/>
      <c r="J31" s="26"/>
    </row>
    <row r="32" spans="1:10" x14ac:dyDescent="0.2">
      <c r="A32" s="26"/>
      <c r="B32" s="26"/>
      <c r="C32" s="26"/>
      <c r="D32" s="26"/>
      <c r="E32" s="26"/>
      <c r="F32" s="26"/>
      <c r="G32" s="26"/>
      <c r="H32" s="26"/>
      <c r="I32" s="26"/>
      <c r="J32" s="26"/>
    </row>
    <row r="33" spans="1:10" x14ac:dyDescent="0.2">
      <c r="A33" s="298" t="s">
        <v>1251</v>
      </c>
      <c r="B33" s="297"/>
      <c r="C33" s="26"/>
      <c r="D33" s="26"/>
      <c r="E33" s="26"/>
      <c r="F33" s="26"/>
      <c r="G33" s="26"/>
      <c r="H33" s="26"/>
      <c r="I33" s="26"/>
      <c r="J33" s="26"/>
    </row>
    <row r="34" spans="1:10" x14ac:dyDescent="0.2">
      <c r="A34" s="26" t="s">
        <v>1252</v>
      </c>
      <c r="B34" s="207">
        <f>IFERROR(B24*(B12/B23),0)</f>
        <v>0</v>
      </c>
      <c r="C34" s="26"/>
      <c r="D34" s="26"/>
      <c r="E34" s="26"/>
      <c r="F34" s="26"/>
      <c r="G34" s="26"/>
      <c r="H34" s="26"/>
      <c r="I34" s="26"/>
      <c r="J34" s="26"/>
    </row>
    <row r="35" spans="1:10" x14ac:dyDescent="0.2">
      <c r="A35" s="26" t="s">
        <v>1253</v>
      </c>
      <c r="B35" s="207">
        <f ca="1">B26*B13</f>
        <v>0</v>
      </c>
      <c r="C35" s="26"/>
      <c r="D35" s="26"/>
      <c r="E35" s="26"/>
      <c r="F35" s="26"/>
      <c r="G35" s="26"/>
      <c r="H35" s="26"/>
      <c r="I35" s="26"/>
      <c r="J35" s="26"/>
    </row>
    <row r="36" spans="1:10" x14ac:dyDescent="0.2">
      <c r="A36" s="26" t="s">
        <v>1254</v>
      </c>
      <c r="B36" s="207">
        <f ca="1">B27*B14</f>
        <v>0</v>
      </c>
      <c r="C36" s="26"/>
      <c r="D36" s="26"/>
      <c r="E36" s="26"/>
      <c r="F36" s="26"/>
      <c r="G36" s="26"/>
      <c r="H36" s="26"/>
      <c r="I36" s="26"/>
      <c r="J36" s="26"/>
    </row>
    <row r="37" spans="1:10" x14ac:dyDescent="0.2">
      <c r="A37" s="26" t="s">
        <v>1255</v>
      </c>
      <c r="B37" s="207">
        <f>B16</f>
        <v>0</v>
      </c>
      <c r="C37" s="26"/>
      <c r="D37" s="26"/>
      <c r="E37" s="26"/>
      <c r="F37" s="26"/>
      <c r="G37" s="26"/>
      <c r="H37" s="26"/>
      <c r="I37" s="26"/>
      <c r="J37" s="26"/>
    </row>
    <row r="38" spans="1:10" x14ac:dyDescent="0.2">
      <c r="A38" s="26" t="s">
        <v>1256</v>
      </c>
      <c r="B38" s="207">
        <f ca="1">SUM(B34:B37)</f>
        <v>0</v>
      </c>
      <c r="C38" s="26"/>
      <c r="D38" s="26"/>
      <c r="E38" s="26"/>
      <c r="F38" s="26"/>
      <c r="G38" s="26"/>
      <c r="H38" s="26"/>
      <c r="I38" s="26"/>
      <c r="J38" s="26"/>
    </row>
    <row r="39" spans="1:10" x14ac:dyDescent="0.2">
      <c r="A39" s="26" t="s">
        <v>1257</v>
      </c>
      <c r="B39" s="207">
        <f>B28</f>
        <v>0</v>
      </c>
      <c r="C39" s="26"/>
      <c r="D39" s="26"/>
      <c r="E39" s="26"/>
      <c r="F39" s="26"/>
      <c r="G39" s="26"/>
      <c r="H39" s="26"/>
      <c r="I39" s="26"/>
      <c r="J39" s="26"/>
    </row>
    <row r="40" spans="1:10" ht="27.75" x14ac:dyDescent="0.2">
      <c r="A40" s="220" t="s">
        <v>1258</v>
      </c>
      <c r="B40" s="212">
        <f ca="1">B38+IF(B29="Yes",B39,0)</f>
        <v>0</v>
      </c>
      <c r="C40" s="26"/>
      <c r="D40" s="26"/>
      <c r="E40" s="26"/>
      <c r="F40" s="26"/>
      <c r="G40" s="26"/>
      <c r="H40" s="26"/>
      <c r="I40" s="26"/>
      <c r="J40" s="26"/>
    </row>
    <row r="41" spans="1:10" x14ac:dyDescent="0.2">
      <c r="A41" s="26" t="s">
        <v>1259</v>
      </c>
      <c r="B41" s="210">
        <f ca="1">IFERROR(B40/'Tender Build-Up'!$B$20,0)</f>
        <v>0</v>
      </c>
      <c r="C41" s="26"/>
      <c r="D41" s="26"/>
      <c r="E41" s="26"/>
      <c r="F41" s="26"/>
      <c r="G41" s="26"/>
      <c r="H41" s="26"/>
      <c r="I41" s="26"/>
      <c r="J41" s="26"/>
    </row>
    <row r="42" spans="1:10" x14ac:dyDescent="0.2">
      <c r="A42" s="26" t="s">
        <v>1260</v>
      </c>
      <c r="B42" s="207">
        <v>0</v>
      </c>
      <c r="C42" s="26"/>
      <c r="D42" s="26"/>
      <c r="E42" s="26"/>
      <c r="F42" s="26"/>
      <c r="G42" s="26"/>
      <c r="H42" s="26"/>
      <c r="I42" s="26"/>
      <c r="J42" s="26"/>
    </row>
    <row r="43" spans="1:10" x14ac:dyDescent="0.2">
      <c r="A43" s="26" t="s">
        <v>1261</v>
      </c>
      <c r="B43" s="207">
        <f ca="1">B40-B42</f>
        <v>0</v>
      </c>
      <c r="C43" s="26"/>
      <c r="D43" s="26"/>
      <c r="E43" s="26"/>
      <c r="F43" s="26"/>
      <c r="G43" s="26"/>
      <c r="H43" s="26"/>
      <c r="I43" s="26"/>
      <c r="J43" s="26"/>
    </row>
    <row r="44" spans="1:10" x14ac:dyDescent="0.2">
      <c r="A44" s="26" t="s">
        <v>1262</v>
      </c>
      <c r="B44" s="207">
        <v>0</v>
      </c>
      <c r="C44" s="26"/>
      <c r="D44" s="26"/>
      <c r="E44" s="26"/>
      <c r="F44" s="26"/>
      <c r="G44" s="26"/>
      <c r="H44" s="26"/>
      <c r="I44" s="26"/>
      <c r="J44" s="26"/>
    </row>
    <row r="45" spans="1:10" x14ac:dyDescent="0.2">
      <c r="A45" s="26" t="s">
        <v>1263</v>
      </c>
      <c r="B45" s="207">
        <f ca="1">'Tender Build-Up'!$B$47</f>
        <v>0</v>
      </c>
      <c r="C45" s="26"/>
      <c r="D45" s="26"/>
      <c r="E45" s="26"/>
      <c r="F45" s="26"/>
      <c r="G45" s="26"/>
      <c r="H45" s="26"/>
      <c r="I45" s="26"/>
      <c r="J45" s="26"/>
    </row>
    <row r="46" spans="1:10" x14ac:dyDescent="0.2">
      <c r="A46" s="26" t="s">
        <v>1264</v>
      </c>
      <c r="B46" s="207">
        <f ca="1">B45-B44</f>
        <v>0</v>
      </c>
      <c r="C46" s="26"/>
      <c r="D46" s="26"/>
      <c r="E46" s="26"/>
      <c r="F46" s="26"/>
      <c r="G46" s="26"/>
      <c r="H46" s="26"/>
      <c r="I46" s="26"/>
      <c r="J46" s="26"/>
    </row>
    <row r="47" spans="1:10" ht="27.75" x14ac:dyDescent="0.2">
      <c r="A47" s="26" t="s">
        <v>1265</v>
      </c>
      <c r="B47" s="206" t="str">
        <f ca="1">IF(OR(B11="",B26=""),"",WORKDAY(B11,ROUNDUP(B26,0),$F$55:$F$70))</f>
        <v/>
      </c>
      <c r="C47" s="26"/>
      <c r="D47" s="26"/>
      <c r="E47" s="26"/>
      <c r="F47" s="26"/>
      <c r="G47" s="26"/>
      <c r="H47" s="26"/>
      <c r="I47" s="26"/>
      <c r="J47" s="26"/>
    </row>
    <row r="48" spans="1:10" x14ac:dyDescent="0.2">
      <c r="A48" s="26" t="s">
        <v>1266</v>
      </c>
      <c r="B48" s="205" t="str">
        <f ca="1">IF(OR(B47="",B7=""),"",B47-B7+1)</f>
        <v/>
      </c>
      <c r="C48" s="26"/>
      <c r="D48" s="26"/>
      <c r="E48" s="26"/>
      <c r="F48" s="26"/>
      <c r="G48" s="26"/>
      <c r="H48" s="26"/>
      <c r="I48" s="26"/>
      <c r="J48" s="26"/>
    </row>
    <row r="49" spans="1:10" x14ac:dyDescent="0.2">
      <c r="A49" s="26"/>
      <c r="B49" s="26"/>
      <c r="C49" s="26"/>
      <c r="D49" s="26"/>
      <c r="E49" s="26"/>
      <c r="F49" s="26"/>
      <c r="G49" s="26"/>
      <c r="H49" s="26"/>
      <c r="I49" s="26"/>
      <c r="J49" s="26"/>
    </row>
    <row r="50" spans="1:10" x14ac:dyDescent="0.2">
      <c r="A50" s="26"/>
      <c r="B50" s="26"/>
      <c r="C50" s="26"/>
      <c r="D50" s="26"/>
      <c r="E50" s="26"/>
      <c r="F50" s="26"/>
      <c r="G50" s="26"/>
      <c r="H50" s="26"/>
      <c r="I50" s="26"/>
      <c r="J50" s="26"/>
    </row>
    <row r="51" spans="1:10" x14ac:dyDescent="0.2">
      <c r="A51" s="26"/>
      <c r="B51" s="26"/>
      <c r="C51" s="26"/>
      <c r="D51" s="26"/>
      <c r="E51" s="26"/>
      <c r="F51" s="26"/>
      <c r="G51" s="26"/>
      <c r="H51" s="26"/>
      <c r="I51" s="26"/>
      <c r="J51" s="26"/>
    </row>
    <row r="52" spans="1:10" x14ac:dyDescent="0.2">
      <c r="A52" s="26"/>
      <c r="B52" s="26"/>
      <c r="C52" s="26"/>
      <c r="D52" s="26"/>
      <c r="E52" s="26"/>
      <c r="F52" s="26"/>
      <c r="G52" s="26"/>
      <c r="H52" s="26"/>
      <c r="I52" s="26"/>
      <c r="J52" s="26"/>
    </row>
    <row r="53" spans="1:10" x14ac:dyDescent="0.2">
      <c r="A53" s="26"/>
      <c r="B53" s="26"/>
      <c r="C53" s="26"/>
      <c r="D53" s="26"/>
      <c r="E53" s="26"/>
      <c r="F53" s="297" t="s">
        <v>1267</v>
      </c>
      <c r="G53" s="297"/>
      <c r="H53" s="297"/>
      <c r="I53" s="26"/>
      <c r="J53" s="201" t="s">
        <v>1268</v>
      </c>
    </row>
    <row r="54" spans="1:10" x14ac:dyDescent="0.2">
      <c r="A54" s="26"/>
      <c r="B54" s="26"/>
      <c r="C54" s="26"/>
      <c r="D54" s="26"/>
      <c r="E54" s="26"/>
      <c r="F54" s="213" t="s">
        <v>1269</v>
      </c>
      <c r="G54" s="213" t="s">
        <v>1270</v>
      </c>
      <c r="H54" s="213" t="s">
        <v>1271</v>
      </c>
      <c r="I54" s="26"/>
      <c r="J54" s="200" t="s">
        <v>1272</v>
      </c>
    </row>
    <row r="55" spans="1:10" ht="27.75" x14ac:dyDescent="0.2">
      <c r="A55" s="26"/>
      <c r="B55" s="26"/>
      <c r="C55" s="26"/>
      <c r="D55" s="26"/>
      <c r="E55" s="26"/>
      <c r="F55" s="206"/>
      <c r="G55" s="26" t="s">
        <v>1273</v>
      </c>
      <c r="H55" s="26" t="s">
        <v>1274</v>
      </c>
      <c r="I55" s="26"/>
      <c r="J55" s="200" t="s">
        <v>1275</v>
      </c>
    </row>
    <row r="56" spans="1:10" x14ac:dyDescent="0.2">
      <c r="A56" s="26"/>
      <c r="B56" s="26"/>
      <c r="C56" s="26"/>
      <c r="D56" s="26"/>
      <c r="E56" s="26"/>
      <c r="F56" s="206"/>
      <c r="G56" s="26"/>
      <c r="H56" s="26"/>
      <c r="I56" s="26"/>
      <c r="J56" s="200" t="s">
        <v>1276</v>
      </c>
    </row>
    <row r="57" spans="1:10" x14ac:dyDescent="0.2">
      <c r="A57" s="26"/>
      <c r="B57" s="26"/>
      <c r="C57" s="26"/>
      <c r="D57" s="26"/>
      <c r="E57" s="26"/>
      <c r="F57" s="206"/>
      <c r="G57" s="26"/>
      <c r="H57" s="26"/>
      <c r="I57" s="26"/>
      <c r="J57" s="200" t="s">
        <v>1277</v>
      </c>
    </row>
    <row r="58" spans="1:10" x14ac:dyDescent="0.2">
      <c r="A58" s="26"/>
      <c r="B58" s="26"/>
      <c r="C58" s="26"/>
      <c r="D58" s="26"/>
      <c r="E58" s="26"/>
      <c r="F58" s="206"/>
      <c r="G58" s="26"/>
      <c r="H58" s="26"/>
      <c r="I58" s="26"/>
      <c r="J58" s="200" t="s">
        <v>1278</v>
      </c>
    </row>
    <row r="59" spans="1:10" x14ac:dyDescent="0.2">
      <c r="A59" s="26"/>
      <c r="B59" s="26"/>
      <c r="C59" s="26"/>
      <c r="D59" s="26"/>
      <c r="E59" s="26"/>
      <c r="F59" s="206"/>
      <c r="G59" s="26"/>
      <c r="H59" s="26"/>
      <c r="I59" s="26"/>
      <c r="J59" s="200" t="s">
        <v>1279</v>
      </c>
    </row>
    <row r="60" spans="1:10" x14ac:dyDescent="0.2">
      <c r="A60" s="26"/>
      <c r="B60" s="26"/>
      <c r="C60" s="26"/>
      <c r="D60" s="26"/>
      <c r="E60" s="26"/>
      <c r="F60" s="206"/>
      <c r="G60" s="26"/>
      <c r="H60" s="26"/>
      <c r="I60" s="26"/>
      <c r="J60" s="200" t="s">
        <v>1280</v>
      </c>
    </row>
    <row r="61" spans="1:10" x14ac:dyDescent="0.2">
      <c r="A61" s="26"/>
      <c r="B61" s="26"/>
      <c r="C61" s="26"/>
      <c r="D61" s="26"/>
      <c r="E61" s="26"/>
      <c r="F61" s="206"/>
      <c r="G61" s="26"/>
      <c r="H61" s="26"/>
      <c r="I61" s="26"/>
      <c r="J61" s="200" t="s">
        <v>1281</v>
      </c>
    </row>
    <row r="62" spans="1:10" x14ac:dyDescent="0.2">
      <c r="A62" s="26"/>
      <c r="B62" s="26"/>
      <c r="C62" s="26"/>
      <c r="D62" s="26"/>
      <c r="E62" s="26"/>
      <c r="F62" s="204"/>
      <c r="G62" s="209"/>
      <c r="H62" s="209"/>
      <c r="I62" s="26"/>
      <c r="J62" s="200" t="s">
        <v>1282</v>
      </c>
    </row>
    <row r="63" spans="1:10" x14ac:dyDescent="0.2">
      <c r="A63" s="26"/>
      <c r="B63" s="26"/>
      <c r="C63" s="26"/>
      <c r="D63" s="26"/>
      <c r="E63" s="26"/>
      <c r="F63" s="204"/>
      <c r="G63" s="209"/>
      <c r="H63" s="209"/>
      <c r="I63" s="26"/>
      <c r="J63" s="200" t="s">
        <v>1283</v>
      </c>
    </row>
    <row r="64" spans="1:10" x14ac:dyDescent="0.2">
      <c r="A64" s="26"/>
      <c r="B64" s="26"/>
      <c r="C64" s="26"/>
      <c r="D64" s="26"/>
      <c r="E64" s="26"/>
      <c r="F64" s="204"/>
      <c r="G64" s="209"/>
      <c r="H64" s="209"/>
      <c r="I64" s="26"/>
      <c r="J64" s="200" t="s">
        <v>1284</v>
      </c>
    </row>
    <row r="65" spans="1:10" x14ac:dyDescent="0.2">
      <c r="A65" s="26"/>
      <c r="B65" s="26"/>
      <c r="C65" s="26"/>
      <c r="D65" s="26"/>
      <c r="E65" s="26"/>
      <c r="F65" s="204"/>
      <c r="G65" s="209"/>
      <c r="H65" s="209"/>
      <c r="I65" s="26"/>
      <c r="J65" s="200" t="s">
        <v>1285</v>
      </c>
    </row>
    <row r="66" spans="1:10" x14ac:dyDescent="0.2">
      <c r="A66" s="26"/>
      <c r="B66" s="26"/>
      <c r="C66" s="26"/>
      <c r="D66" s="26"/>
      <c r="E66" s="26"/>
      <c r="F66" s="204"/>
      <c r="G66" s="209"/>
      <c r="H66" s="209"/>
      <c r="I66" s="26"/>
      <c r="J66" s="200" t="s">
        <v>1286</v>
      </c>
    </row>
    <row r="67" spans="1:10" x14ac:dyDescent="0.2">
      <c r="A67" s="26"/>
      <c r="B67" s="26"/>
      <c r="C67" s="26"/>
      <c r="D67" s="26"/>
      <c r="E67" s="26"/>
      <c r="F67" s="204"/>
      <c r="G67" s="209"/>
      <c r="H67" s="209"/>
      <c r="I67" s="26"/>
      <c r="J67" s="200" t="s">
        <v>1287</v>
      </c>
    </row>
    <row r="68" spans="1:10" x14ac:dyDescent="0.2">
      <c r="A68" s="26"/>
      <c r="B68" s="26"/>
      <c r="C68" s="26"/>
      <c r="D68" s="26"/>
      <c r="E68" s="26"/>
      <c r="F68" s="204"/>
      <c r="G68" s="209"/>
      <c r="H68" s="209"/>
      <c r="I68" s="26"/>
      <c r="J68" s="200" t="s">
        <v>1288</v>
      </c>
    </row>
    <row r="69" spans="1:10" x14ac:dyDescent="0.2">
      <c r="A69" s="26"/>
      <c r="B69" s="26"/>
      <c r="C69" s="26"/>
      <c r="D69" s="26"/>
      <c r="E69" s="26"/>
      <c r="F69" s="204"/>
      <c r="G69" s="209"/>
      <c r="H69" s="209"/>
      <c r="I69" s="26"/>
      <c r="J69" s="200" t="s">
        <v>1289</v>
      </c>
    </row>
    <row r="70" spans="1:10" x14ac:dyDescent="0.2">
      <c r="A70" s="26"/>
      <c r="B70" s="26"/>
      <c r="C70" s="26"/>
      <c r="D70" s="26"/>
      <c r="E70" s="26"/>
      <c r="F70" s="204"/>
      <c r="G70" s="209"/>
      <c r="H70" s="209"/>
      <c r="I70" s="26"/>
      <c r="J70" s="200" t="s">
        <v>1290</v>
      </c>
    </row>
    <row r="71" spans="1:10" x14ac:dyDescent="0.2">
      <c r="A71" s="26"/>
      <c r="B71" s="26"/>
      <c r="C71" s="26"/>
      <c r="D71" s="26"/>
      <c r="E71" s="26"/>
      <c r="F71" s="26"/>
      <c r="G71" s="26"/>
      <c r="H71" s="26"/>
      <c r="I71" s="26"/>
      <c r="J71" s="200" t="s">
        <v>1291</v>
      </c>
    </row>
    <row r="72" spans="1:10" x14ac:dyDescent="0.2">
      <c r="A72" s="26"/>
      <c r="B72" s="26"/>
      <c r="C72" s="26"/>
      <c r="D72" s="26"/>
      <c r="E72" s="26"/>
      <c r="F72" s="26"/>
      <c r="G72" s="26"/>
      <c r="H72" s="26"/>
      <c r="I72" s="26"/>
      <c r="J72" s="26"/>
    </row>
    <row r="73" spans="1:10" x14ac:dyDescent="0.2">
      <c r="A73" s="26"/>
      <c r="B73" s="26"/>
      <c r="C73" s="26"/>
      <c r="D73" s="26"/>
      <c r="E73" s="26"/>
      <c r="F73" s="26"/>
      <c r="G73" s="26"/>
      <c r="H73" s="26"/>
      <c r="I73" s="26"/>
      <c r="J73" s="26"/>
    </row>
    <row r="74" spans="1:10" x14ac:dyDescent="0.2">
      <c r="A74" s="26"/>
      <c r="B74" s="26"/>
      <c r="C74" s="26"/>
      <c r="D74" s="26"/>
      <c r="E74" s="26"/>
      <c r="F74" s="26"/>
      <c r="G74" s="26"/>
      <c r="H74" s="26"/>
      <c r="I74" s="26"/>
      <c r="J74" s="26"/>
    </row>
    <row r="75" spans="1:10" x14ac:dyDescent="0.2">
      <c r="A75" s="26"/>
      <c r="B75" s="26"/>
      <c r="C75" s="26"/>
      <c r="D75" s="26"/>
      <c r="E75" s="26"/>
      <c r="F75" s="26"/>
      <c r="G75" s="26"/>
      <c r="H75" s="26"/>
      <c r="I75" s="26"/>
      <c r="J75" s="26"/>
    </row>
    <row r="76" spans="1:10" x14ac:dyDescent="0.2">
      <c r="A76" s="26"/>
      <c r="B76" s="26"/>
      <c r="C76" s="26"/>
      <c r="D76" s="26"/>
      <c r="E76" s="26"/>
      <c r="F76" s="26"/>
      <c r="G76" s="26"/>
      <c r="H76" s="26"/>
      <c r="I76" s="26"/>
      <c r="J76" s="26"/>
    </row>
    <row r="77" spans="1:10" x14ac:dyDescent="0.2">
      <c r="A77" s="26"/>
      <c r="B77" s="26"/>
      <c r="C77" s="26"/>
      <c r="D77" s="26"/>
      <c r="E77" s="26"/>
      <c r="F77" s="26"/>
      <c r="G77" s="26"/>
      <c r="H77" s="26"/>
      <c r="I77" s="26"/>
      <c r="J77" s="26"/>
    </row>
    <row r="78" spans="1:10" x14ac:dyDescent="0.2">
      <c r="A78" s="26"/>
      <c r="B78" s="26"/>
      <c r="C78" s="26"/>
      <c r="D78" s="26"/>
      <c r="E78" s="26"/>
      <c r="F78" s="26"/>
      <c r="G78" s="26"/>
      <c r="H78" s="26"/>
      <c r="I78" s="26"/>
      <c r="J78" s="26"/>
    </row>
    <row r="79" spans="1:10" x14ac:dyDescent="0.2">
      <c r="A79" s="26"/>
      <c r="B79" s="26"/>
      <c r="C79" s="26"/>
      <c r="D79" s="26"/>
      <c r="E79" s="26"/>
      <c r="F79" s="26"/>
      <c r="G79" s="26"/>
      <c r="H79" s="26"/>
      <c r="I79" s="26"/>
      <c r="J79" s="26"/>
    </row>
    <row r="80" spans="1:10" x14ac:dyDescent="0.2">
      <c r="A80" s="26"/>
      <c r="B80" s="26"/>
      <c r="C80" s="26"/>
      <c r="D80" s="26"/>
      <c r="E80" s="26"/>
      <c r="F80" s="26"/>
      <c r="G80" s="26"/>
      <c r="H80" s="26"/>
      <c r="I80" s="26"/>
      <c r="J80" s="26"/>
    </row>
    <row r="81" spans="1:10" x14ac:dyDescent="0.2">
      <c r="A81" s="26"/>
      <c r="B81" s="26"/>
      <c r="C81" s="26"/>
      <c r="D81" s="26"/>
      <c r="E81" s="26"/>
      <c r="F81" s="26"/>
      <c r="G81" s="26"/>
      <c r="H81" s="26"/>
      <c r="I81" s="26"/>
      <c r="J81" s="26"/>
    </row>
    <row r="82" spans="1:10" x14ac:dyDescent="0.2">
      <c r="A82" s="26"/>
      <c r="B82" s="26"/>
      <c r="C82" s="26"/>
      <c r="D82" s="26"/>
      <c r="E82" s="26"/>
      <c r="F82" s="26"/>
      <c r="G82" s="26"/>
      <c r="H82" s="26"/>
      <c r="I82" s="26"/>
      <c r="J82" s="26"/>
    </row>
    <row r="83" spans="1:10" x14ac:dyDescent="0.2">
      <c r="A83" s="26"/>
      <c r="B83" s="26"/>
      <c r="C83" s="26"/>
      <c r="D83" s="26"/>
      <c r="E83" s="26"/>
      <c r="F83" s="26"/>
      <c r="G83" s="26"/>
      <c r="H83" s="26"/>
      <c r="I83" s="26"/>
      <c r="J83" s="26"/>
    </row>
    <row r="84" spans="1:10" x14ac:dyDescent="0.2">
      <c r="A84" s="26"/>
      <c r="B84" s="26"/>
      <c r="C84" s="26"/>
      <c r="D84" s="26"/>
      <c r="E84" s="26"/>
      <c r="F84" s="26"/>
      <c r="G84" s="26"/>
      <c r="H84" s="26"/>
      <c r="I84" s="26"/>
      <c r="J84" s="26"/>
    </row>
    <row r="85" spans="1:10" x14ac:dyDescent="0.2">
      <c r="A85" s="26"/>
      <c r="B85" s="26"/>
      <c r="C85" s="26"/>
      <c r="D85" s="26"/>
      <c r="E85" s="26"/>
      <c r="F85" s="26"/>
      <c r="G85" s="26"/>
      <c r="H85" s="26"/>
      <c r="I85" s="26"/>
      <c r="J85" s="26"/>
    </row>
    <row r="86" spans="1:10" x14ac:dyDescent="0.2">
      <c r="A86" s="26"/>
      <c r="B86" s="26"/>
      <c r="C86" s="26"/>
      <c r="D86" s="26"/>
      <c r="E86" s="26"/>
      <c r="F86" s="26"/>
      <c r="G86" s="26"/>
      <c r="H86" s="26"/>
      <c r="I86" s="26"/>
      <c r="J86" s="26"/>
    </row>
    <row r="87" spans="1:10" x14ac:dyDescent="0.2">
      <c r="A87" s="26"/>
      <c r="B87" s="26"/>
      <c r="C87" s="26"/>
      <c r="D87" s="26"/>
      <c r="E87" s="26"/>
      <c r="F87" s="26"/>
      <c r="G87" s="26"/>
      <c r="H87" s="26"/>
      <c r="I87" s="26"/>
      <c r="J87" s="26"/>
    </row>
    <row r="88" spans="1:10" x14ac:dyDescent="0.2">
      <c r="A88" s="26"/>
      <c r="B88" s="26"/>
      <c r="C88" s="26"/>
      <c r="D88" s="26"/>
      <c r="E88" s="26"/>
      <c r="F88" s="26"/>
      <c r="G88" s="26"/>
      <c r="H88" s="26"/>
      <c r="I88" s="26"/>
      <c r="J88" s="26"/>
    </row>
    <row r="89" spans="1:10" x14ac:dyDescent="0.2">
      <c r="A89" s="26"/>
      <c r="B89" s="26"/>
      <c r="C89" s="26"/>
      <c r="D89" s="26"/>
      <c r="E89" s="26"/>
      <c r="F89" s="26"/>
      <c r="G89" s="26"/>
      <c r="H89" s="26"/>
      <c r="I89" s="26"/>
      <c r="J89" s="26"/>
    </row>
    <row r="90" spans="1:10" x14ac:dyDescent="0.2">
      <c r="A90" s="26"/>
      <c r="B90" s="26"/>
      <c r="C90" s="26"/>
      <c r="D90" s="26"/>
      <c r="E90" s="26"/>
      <c r="F90" s="26"/>
      <c r="G90" s="26"/>
      <c r="H90" s="26"/>
      <c r="I90" s="26"/>
      <c r="J90" s="26"/>
    </row>
  </sheetData>
  <mergeCells count="19">
    <mergeCell ref="F53:H53"/>
    <mergeCell ref="E5:H5"/>
    <mergeCell ref="E6:H6"/>
    <mergeCell ref="E7:H7"/>
    <mergeCell ref="E8:H8"/>
    <mergeCell ref="E9:H9"/>
    <mergeCell ref="E10:H10"/>
    <mergeCell ref="E11:H11"/>
    <mergeCell ref="E12:H12"/>
    <mergeCell ref="E13:H13"/>
    <mergeCell ref="A1:H1"/>
    <mergeCell ref="A2:H2"/>
    <mergeCell ref="A4:B4"/>
    <mergeCell ref="A18:B18"/>
    <mergeCell ref="A33:B33"/>
    <mergeCell ref="D4:H4"/>
    <mergeCell ref="E15:H15"/>
    <mergeCell ref="E16:H16"/>
    <mergeCell ref="D18:H18"/>
  </mergeCells>
  <dataValidations count="1">
    <dataValidation type="list" sqref="B29" xr:uid="{00000000-0002-0000-0A00-000000000000}">
      <formula1>"Yes,No"</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81"/>
  <sheetViews>
    <sheetView zoomScaleNormal="60" zoomScaleSheetLayoutView="100" workbookViewId="0"/>
  </sheetViews>
  <sheetFormatPr defaultRowHeight="15" x14ac:dyDescent="0.2"/>
  <cols>
    <col min="1" max="1" width="29.0546875" customWidth="1"/>
    <col min="2" max="2" width="52.05859375" customWidth="1"/>
    <col min="3" max="3" width="48.0234375" customWidth="1"/>
    <col min="4" max="4" width="13.98828125" customWidth="1"/>
    <col min="5" max="5" width="67.93359375" customWidth="1"/>
    <col min="6" max="6" width="18.0234375" customWidth="1"/>
    <col min="7" max="7" width="34.03125" customWidth="1"/>
    <col min="8" max="8" width="18.0234375" customWidth="1"/>
    <col min="9" max="9" width="30.9375" customWidth="1"/>
    <col min="10" max="10" width="18.0234375" customWidth="1"/>
    <col min="11" max="11" width="13.98828125" customWidth="1"/>
    <col min="12" max="12" width="16.94921875" customWidth="1"/>
    <col min="13" max="13" width="11.97265625" customWidth="1"/>
    <col min="14" max="16" width="18.0234375" customWidth="1"/>
    <col min="17" max="17" width="14.9296875" customWidth="1"/>
    <col min="18" max="18" width="18.0234375" customWidth="1"/>
    <col min="19" max="19" width="16.94921875" customWidth="1"/>
    <col min="20" max="20" width="18.0234375" customWidth="1"/>
    <col min="21" max="21" width="23.9453125" customWidth="1"/>
    <col min="22" max="22" width="25.01953125" customWidth="1"/>
    <col min="23" max="23" width="13.98828125" customWidth="1"/>
    <col min="24" max="24" width="23.9453125" customWidth="1"/>
    <col min="25" max="25" width="18.0234375" customWidth="1"/>
    <col min="26" max="26" width="13.98828125" customWidth="1"/>
    <col min="27" max="27" width="57.9765625" customWidth="1"/>
    <col min="28" max="28" width="48.0234375" customWidth="1"/>
    <col min="29" max="29" width="41.96875" customWidth="1"/>
  </cols>
  <sheetData>
    <row r="1" spans="1:29" ht="27.95" customHeight="1" x14ac:dyDescent="0.2">
      <c r="A1" s="257" t="s">
        <v>1292</v>
      </c>
      <c r="B1" s="257"/>
      <c r="C1" s="257"/>
      <c r="D1" s="257"/>
      <c r="E1" s="257"/>
      <c r="F1" s="257"/>
      <c r="G1" s="257"/>
      <c r="H1" s="257"/>
      <c r="I1" s="257"/>
      <c r="J1" s="257"/>
      <c r="K1" s="257"/>
      <c r="L1" s="223"/>
      <c r="M1" s="223"/>
      <c r="N1" s="223"/>
      <c r="O1" s="223"/>
      <c r="P1" s="223"/>
      <c r="Q1" s="223"/>
      <c r="R1" s="223"/>
      <c r="S1" s="223"/>
      <c r="T1" s="223"/>
      <c r="U1" s="223"/>
      <c r="V1" s="223"/>
      <c r="W1" s="223"/>
      <c r="X1" s="223"/>
      <c r="Y1" s="223"/>
      <c r="Z1" s="223"/>
      <c r="AA1" s="223"/>
      <c r="AB1" s="223"/>
      <c r="AC1" s="223"/>
    </row>
    <row r="2" spans="1:29" ht="36" customHeight="1" x14ac:dyDescent="0.2">
      <c r="A2" s="302" t="s">
        <v>1293</v>
      </c>
      <c r="B2" s="302"/>
      <c r="C2" s="302"/>
      <c r="D2" s="302"/>
      <c r="E2" s="302"/>
      <c r="F2" s="302"/>
      <c r="G2" s="302"/>
      <c r="H2" s="302"/>
      <c r="I2" s="302"/>
      <c r="J2" s="302"/>
      <c r="K2" s="302"/>
      <c r="L2" s="224"/>
      <c r="M2" s="224"/>
      <c r="N2" s="224"/>
      <c r="O2" s="224"/>
      <c r="P2" s="224"/>
      <c r="Q2" s="224"/>
      <c r="R2" s="224"/>
      <c r="S2" s="224"/>
      <c r="T2" s="224"/>
      <c r="U2" s="224"/>
      <c r="V2" s="224"/>
      <c r="W2" s="224"/>
      <c r="X2" s="224"/>
      <c r="Y2" s="224"/>
      <c r="Z2" s="224"/>
      <c r="AA2" s="224"/>
      <c r="AB2" s="224"/>
      <c r="AC2" s="224"/>
    </row>
    <row r="4" spans="1:29" x14ac:dyDescent="0.2">
      <c r="A4" s="225" t="s">
        <v>1294</v>
      </c>
      <c r="B4" s="225" t="s">
        <v>1295</v>
      </c>
      <c r="D4" s="301" t="s">
        <v>1296</v>
      </c>
      <c r="E4" s="301"/>
      <c r="F4" s="301"/>
      <c r="G4" s="301"/>
      <c r="I4" s="238" t="s">
        <v>1297</v>
      </c>
      <c r="J4" s="238" t="s">
        <v>1298</v>
      </c>
    </row>
    <row r="5" spans="1:29" ht="27.75" x14ac:dyDescent="0.2">
      <c r="A5" s="226" t="s">
        <v>1299</v>
      </c>
      <c r="B5" s="219">
        <v>0</v>
      </c>
      <c r="D5" s="226" t="s">
        <v>9</v>
      </c>
      <c r="E5" s="27" t="s">
        <v>1300</v>
      </c>
      <c r="I5" s="240" t="s">
        <v>187</v>
      </c>
      <c r="J5" s="198">
        <f ca="1">'Tender Build-Up'!$B$40</f>
        <v>0</v>
      </c>
    </row>
    <row r="6" spans="1:29" ht="27.75" x14ac:dyDescent="0.2">
      <c r="A6" s="226" t="s">
        <v>1301</v>
      </c>
      <c r="B6" s="227">
        <f ca="1">'Tender Build-Up'!$B$47</f>
        <v>0</v>
      </c>
      <c r="D6" s="226" t="s">
        <v>11</v>
      </c>
      <c r="E6" s="27" t="s">
        <v>1302</v>
      </c>
      <c r="I6" s="240" t="s">
        <v>1303</v>
      </c>
      <c r="J6" s="198">
        <f>IF('Commercial Inputs'!$F$21&lt;&gt;"Yes",0,IF('Commercial Inputs'!$C$21="Markup %",J5*N('Commercial Inputs'!$D$21),IF('Commercial Inputs'!$C$21="Fixed Amount",N('Commercial Inputs'!$E$21),0)))</f>
        <v>0</v>
      </c>
    </row>
    <row r="7" spans="1:29" x14ac:dyDescent="0.2">
      <c r="A7" s="226" t="s">
        <v>1304</v>
      </c>
      <c r="B7" s="227">
        <v>0</v>
      </c>
      <c r="D7" s="226" t="s">
        <v>13</v>
      </c>
      <c r="E7" s="27" t="s">
        <v>1305</v>
      </c>
      <c r="I7" s="240" t="s">
        <v>1306</v>
      </c>
      <c r="J7" s="198">
        <f>IF('Commercial Inputs'!$F$23&lt;&gt;"Yes",0,IF('Commercial Inputs'!$C$23="%",J5*N('Commercial Inputs'!$D$23),IF('Commercial Inputs'!$C$23="PC Sum",N('Commercial Inputs'!$E$23),0)))</f>
        <v>0</v>
      </c>
    </row>
    <row r="8" spans="1:29" ht="27.75" x14ac:dyDescent="0.2">
      <c r="A8" s="226" t="s">
        <v>1307</v>
      </c>
      <c r="B8" s="227">
        <v>0</v>
      </c>
      <c r="D8" s="226" t="s">
        <v>15</v>
      </c>
      <c r="E8" s="27" t="s">
        <v>1308</v>
      </c>
      <c r="I8" s="240" t="s">
        <v>1309</v>
      </c>
      <c r="J8" s="198">
        <f>IF('Commercial Inputs'!$F$24&lt;&gt;"Yes",0,IF('Commercial Inputs'!$C$24="%",J5*N('Commercial Inputs'!$D$24),IF('Commercial Inputs'!$C$24="PC Sum",N('Commercial Inputs'!$E$24),0)))</f>
        <v>0</v>
      </c>
    </row>
    <row r="9" spans="1:29" ht="27.75" x14ac:dyDescent="0.2">
      <c r="A9" s="226" t="s">
        <v>1310</v>
      </c>
      <c r="B9" s="227">
        <f>SUMIFS($T$41:$T$61,$R$41:$R$61,"CA01",$S$41:$S$61,"Yes")</f>
        <v>0</v>
      </c>
      <c r="D9" s="226" t="s">
        <v>17</v>
      </c>
      <c r="E9" s="27" t="s">
        <v>1311</v>
      </c>
      <c r="I9" s="240" t="s">
        <v>1312</v>
      </c>
      <c r="J9" s="198">
        <f>IF('Commercial Inputs'!$F$22&lt;&gt;"Yes",0,IF('Commercial Inputs'!$C$22="Margin %",(J5+J6+J7+J8)/(1-N('Commercial Inputs'!$D$22))-(J5+J6+J7+J8),IF('Commercial Inputs'!$C$22="Markup %",(J5+J6+J7+J8)*N('Commercial Inputs'!$D$22),IF('Commercial Inputs'!$C$22="Fixed Amount",N('Commercial Inputs'!$E$22),0))))</f>
        <v>0</v>
      </c>
    </row>
    <row r="10" spans="1:29" ht="27.75" x14ac:dyDescent="0.2">
      <c r="A10" s="226" t="s">
        <v>1313</v>
      </c>
      <c r="B10" s="227">
        <f>SUMIFS($T$41:$T$61,$R$41:$R$61,"CA02",$S$41:$S$61,"Yes")</f>
        <v>0</v>
      </c>
      <c r="D10" s="226" t="s">
        <v>19</v>
      </c>
      <c r="E10" s="27" t="s">
        <v>1314</v>
      </c>
      <c r="I10" s="240" t="s">
        <v>1315</v>
      </c>
      <c r="J10" s="198">
        <f ca="1">SUM(J5:J9)</f>
        <v>0</v>
      </c>
    </row>
    <row r="11" spans="1:29" ht="27.75" x14ac:dyDescent="0.2">
      <c r="A11" s="226" t="s">
        <v>953</v>
      </c>
      <c r="B11" s="227">
        <f ca="1">$J$10</f>
        <v>0</v>
      </c>
      <c r="D11" s="226" t="s">
        <v>21</v>
      </c>
      <c r="E11" s="27" t="s">
        <v>1316</v>
      </c>
    </row>
    <row r="12" spans="1:29" ht="27.75" x14ac:dyDescent="0.2">
      <c r="A12" s="226" t="s">
        <v>1317</v>
      </c>
      <c r="B12" s="227">
        <f>$B$9</f>
        <v>0</v>
      </c>
      <c r="D12" s="226" t="s">
        <v>773</v>
      </c>
      <c r="E12" s="27" t="s">
        <v>1318</v>
      </c>
    </row>
    <row r="13" spans="1:29" x14ac:dyDescent="0.2">
      <c r="A13" s="226" t="s">
        <v>1319</v>
      </c>
      <c r="B13" s="227">
        <f>$B$10</f>
        <v>0</v>
      </c>
    </row>
    <row r="14" spans="1:29" x14ac:dyDescent="0.2">
      <c r="A14" s="226" t="s">
        <v>1320</v>
      </c>
      <c r="B14" s="227">
        <f>$B$9+$B$10</f>
        <v>0</v>
      </c>
      <c r="D14" s="301"/>
      <c r="E14" s="301"/>
      <c r="F14" s="301"/>
      <c r="G14" s="301"/>
    </row>
    <row r="15" spans="1:29" x14ac:dyDescent="0.2">
      <c r="A15" s="226" t="s">
        <v>951</v>
      </c>
      <c r="B15" s="228" t="str">
        <f ca="1">IF(OR(B16&gt;0,B17&gt;0,B18&lt;&gt;"OK",LEFT(B19,3)="RED"),"HOLD - RED ITEMS / INTEGRATION CHECK","PASS")</f>
        <v>HOLD - RED ITEMS / INTEGRATION CHECK</v>
      </c>
      <c r="D15" s="27"/>
      <c r="E15" s="227"/>
      <c r="F15" s="27"/>
      <c r="G15" s="27"/>
    </row>
    <row r="16" spans="1:29" x14ac:dyDescent="0.2">
      <c r="A16" s="226" t="s">
        <v>1321</v>
      </c>
      <c r="B16" s="228">
        <f ca="1">COUNTIF($K$25:$K$36,"RED")</f>
        <v>1</v>
      </c>
      <c r="D16" s="27"/>
      <c r="E16" s="227"/>
      <c r="F16" s="27"/>
      <c r="G16" s="27"/>
    </row>
    <row r="17" spans="1:11" x14ac:dyDescent="0.2">
      <c r="A17" s="226" t="s">
        <v>1322</v>
      </c>
      <c r="B17" s="228">
        <f ca="1">COUNTIF($Z$41:$Z$61,"RED")</f>
        <v>1</v>
      </c>
      <c r="D17" s="27"/>
      <c r="E17" s="227"/>
      <c r="F17" s="27"/>
      <c r="G17" s="27"/>
    </row>
    <row r="18" spans="1:11" x14ac:dyDescent="0.2">
      <c r="A18" s="226" t="s">
        <v>1323</v>
      </c>
      <c r="B18" s="228" t="str">
        <f ca="1">IF(OR(COUNTIF($X$41:$X$61,"RED - RESIDUAL NOT DISTINCT")&gt;0,COUNTIF($X$41:$X$61,"RED - UNDECLARED OVERLAP")&gt;0),"RED","OK")</f>
        <v>OK</v>
      </c>
      <c r="D18" s="27"/>
      <c r="E18" s="227"/>
      <c r="F18" s="27"/>
      <c r="G18" s="27"/>
    </row>
    <row r="19" spans="1:11" x14ac:dyDescent="0.2">
      <c r="A19" s="226" t="s">
        <v>1324</v>
      </c>
      <c r="B19" s="229" t="str">
        <f>IF(COUNTIF('Programme Export'!$U$7:$U$77,"CHECK")&gt;0,"RED - PROGRAMME COST RECONCILIATION","OK")</f>
        <v>OK</v>
      </c>
      <c r="D19" s="27"/>
      <c r="E19" s="227"/>
      <c r="F19" s="27"/>
      <c r="G19" s="27"/>
    </row>
    <row r="20" spans="1:11" x14ac:dyDescent="0.2">
      <c r="A20" s="226" t="s">
        <v>1264</v>
      </c>
      <c r="B20" s="227" t="str">
        <f>IF(B5=0,"",B6-B5)</f>
        <v/>
      </c>
      <c r="D20" s="27"/>
      <c r="E20" s="227"/>
      <c r="F20" s="27"/>
      <c r="G20" s="27"/>
    </row>
    <row r="21" spans="1:11" x14ac:dyDescent="0.2">
      <c r="A21" s="226" t="s">
        <v>1325</v>
      </c>
      <c r="B21" s="227" t="str">
        <f ca="1">IF(ABS(B6-B11)&lt;0.01,"YES","NO")</f>
        <v>YES</v>
      </c>
      <c r="D21" s="27"/>
      <c r="E21" s="227"/>
      <c r="F21" s="27"/>
      <c r="G21" s="27"/>
    </row>
    <row r="22" spans="1:11" x14ac:dyDescent="0.2">
      <c r="A22" s="226" t="s">
        <v>1326</v>
      </c>
      <c r="B22" s="227">
        <f ca="1">B6-B11</f>
        <v>0</v>
      </c>
    </row>
    <row r="24" spans="1:11" x14ac:dyDescent="0.2">
      <c r="A24" s="225" t="s">
        <v>68</v>
      </c>
      <c r="B24" s="225" t="s">
        <v>1327</v>
      </c>
      <c r="C24" s="225" t="s">
        <v>1328</v>
      </c>
      <c r="D24" s="225" t="s">
        <v>834</v>
      </c>
      <c r="E24" s="225" t="s">
        <v>69</v>
      </c>
      <c r="F24" s="225" t="s">
        <v>70</v>
      </c>
      <c r="G24" s="225" t="s">
        <v>1329</v>
      </c>
      <c r="H24" s="225" t="s">
        <v>72</v>
      </c>
      <c r="I24" s="225" t="s">
        <v>1330</v>
      </c>
      <c r="J24" s="225" t="s">
        <v>1331</v>
      </c>
      <c r="K24" s="225" t="s">
        <v>1332</v>
      </c>
    </row>
    <row r="25" spans="1:11" x14ac:dyDescent="0.2">
      <c r="A25" s="27"/>
      <c r="B25" s="27"/>
      <c r="C25" s="27"/>
      <c r="D25" s="27"/>
      <c r="E25" s="27"/>
      <c r="F25" s="27"/>
      <c r="G25" s="27"/>
      <c r="H25" s="27"/>
      <c r="I25" s="27"/>
      <c r="J25" s="27"/>
      <c r="K25" s="27" t="str">
        <f>IF(A25="","",IF(COUNTIFS($B$41:$B$61,A25,$Z$41:$Z$61,"RED")&gt;0,"RED",IF(COUNTIFS($B$41:$B$61,A25,$Z$41:$Z$61,"AMBER")&gt;0,"AMBER","GREEN")))</f>
        <v/>
      </c>
    </row>
    <row r="26" spans="1:11" x14ac:dyDescent="0.2">
      <c r="A26" s="27"/>
      <c r="B26" s="27"/>
      <c r="C26" s="27"/>
      <c r="D26" s="27"/>
      <c r="E26" s="27"/>
      <c r="F26" s="27"/>
      <c r="G26" s="27"/>
      <c r="H26" s="27"/>
      <c r="I26" s="27"/>
      <c r="J26" s="27"/>
      <c r="K26" s="27" t="str">
        <f>IF(A26="","",IF(COUNTIFS($B$41:$B$61,A26,$Z$41:$Z$61,"RED")&gt;0,"RED",IF(COUNTIFS($B$41:$B$61,A26,$Z$41:$Z$61,"AMBER")&gt;0,"AMBER","GREEN")))</f>
        <v/>
      </c>
    </row>
    <row r="27" spans="1:11" x14ac:dyDescent="0.2">
      <c r="A27" s="27"/>
      <c r="B27" s="27"/>
      <c r="C27" s="27"/>
      <c r="D27" s="27"/>
      <c r="E27" s="27"/>
      <c r="F27" s="27"/>
      <c r="G27" s="27"/>
      <c r="H27" s="27"/>
      <c r="I27" s="27"/>
      <c r="J27" s="27"/>
      <c r="K27" s="27" t="str">
        <f>IF(A27="","",IF(COUNTIFS($B$41:$B$61,A27,$Z$41:$Z$61,"RED")&gt;0,"RED",IF(COUNTIFS($B$41:$B$61,A27,$Z$41:$Z$61,"AMBER")&gt;0,"AMBER","GREEN")))</f>
        <v/>
      </c>
    </row>
    <row r="28" spans="1:11" x14ac:dyDescent="0.2">
      <c r="A28" s="27"/>
      <c r="B28" s="27"/>
      <c r="C28" s="27"/>
      <c r="D28" s="27"/>
      <c r="E28" s="27"/>
      <c r="F28" s="27"/>
      <c r="G28" s="27"/>
      <c r="H28" s="27"/>
      <c r="I28" s="27"/>
      <c r="J28" s="27"/>
      <c r="K28" s="27" t="str">
        <f>IF(A28="","",IF(COUNTIFS($B$41:$B$61,A28,$Z$41:$Z$61,"RED")&gt;0,"RED",IF(COUNTIFS($B$41:$B$61,A28,$Z$41:$Z$61,"AMBER")&gt;0,"AMBER","GREEN")))</f>
        <v/>
      </c>
    </row>
    <row r="29" spans="1:11" x14ac:dyDescent="0.2">
      <c r="A29" s="27"/>
      <c r="B29" s="27"/>
      <c r="C29" s="27"/>
      <c r="D29" s="27"/>
      <c r="E29" s="27"/>
      <c r="F29" s="27"/>
      <c r="G29" s="27"/>
      <c r="H29" s="27"/>
      <c r="I29" s="27"/>
      <c r="J29" s="27"/>
      <c r="K29" s="27" t="str">
        <f>IF(A29="","",IF(COUNTIFS($B$41:$B$61,A29,$Z$41:$Z$61,"RED")&gt;0,"RED",IF(COUNTIFS($B$41:$B$61,A29,$Z$41:$Z$61,"AMBER")&gt;0,"AMBER","GREEN")))</f>
        <v/>
      </c>
    </row>
    <row r="30" spans="1:11" x14ac:dyDescent="0.2">
      <c r="A30" s="27"/>
      <c r="B30" s="27"/>
      <c r="C30" s="27"/>
      <c r="D30" s="27"/>
      <c r="E30" s="27"/>
      <c r="F30" s="27"/>
      <c r="G30" s="27"/>
      <c r="H30" s="27"/>
      <c r="I30" s="27"/>
      <c r="J30" s="27"/>
      <c r="K30" s="27" t="str">
        <f>IF(A30="","",IF(COUNTIFS($B$41:$B$61,A30,$Z$41:$Z$61,"RED")&gt;0,"RED",IF(COUNTIFS($B$41:$B$61,A30,$Z$41:$Z$61,"AMBER")&gt;0,"AMBER","GREEN")))</f>
        <v/>
      </c>
    </row>
    <row r="31" spans="1:11" x14ac:dyDescent="0.2">
      <c r="A31" s="27"/>
      <c r="B31" s="27"/>
      <c r="C31" s="27"/>
      <c r="D31" s="27"/>
      <c r="E31" s="27"/>
      <c r="F31" s="27"/>
      <c r="G31" s="27"/>
      <c r="H31" s="27"/>
      <c r="I31" s="27"/>
      <c r="J31" s="27"/>
      <c r="K31" s="27" t="str">
        <f>IF(A31="","",IF(COUNTIFS($B$41:$B$61,A31,$Z$41:$Z$61,"RED")&gt;0,"RED",IF(COUNTIFS($B$41:$B$61,A31,$Z$41:$Z$61,"AMBER")&gt;0,"AMBER","GREEN")))</f>
        <v/>
      </c>
    </row>
    <row r="32" spans="1:11" x14ac:dyDescent="0.2">
      <c r="A32" s="27"/>
      <c r="B32" s="27"/>
      <c r="C32" s="27"/>
      <c r="D32" s="27"/>
      <c r="E32" s="27"/>
      <c r="F32" s="27"/>
      <c r="G32" s="27"/>
      <c r="H32" s="27"/>
      <c r="I32" s="27"/>
      <c r="J32" s="27"/>
      <c r="K32" s="27" t="str">
        <f>IF(A32="","",IF(COUNTIFS($B$41:$B$61,A32,$Z$41:$Z$61,"RED")&gt;0,"RED",IF(COUNTIFS($B$41:$B$61,A32,$Z$41:$Z$61,"AMBER")&gt;0,"AMBER","GREEN")))</f>
        <v/>
      </c>
    </row>
    <row r="33" spans="1:29" x14ac:dyDescent="0.2">
      <c r="A33" s="27"/>
      <c r="B33" s="27"/>
      <c r="C33" s="27"/>
      <c r="D33" s="27"/>
      <c r="E33" s="27"/>
      <c r="F33" s="27"/>
      <c r="G33" s="27"/>
      <c r="H33" s="27"/>
      <c r="I33" s="27"/>
      <c r="J33" s="27"/>
      <c r="K33" s="27" t="str">
        <f>IF(A33="","",IF(COUNTIFS($B$41:$B$61,A33,$Z$41:$Z$61,"RED")&gt;0,"RED",IF(COUNTIFS($B$41:$B$61,A33,$Z$41:$Z$61,"AMBER")&gt;0,"AMBER","GREEN")))</f>
        <v/>
      </c>
    </row>
    <row r="34" spans="1:29" x14ac:dyDescent="0.2">
      <c r="A34" s="27"/>
      <c r="B34" s="27"/>
      <c r="C34" s="27"/>
      <c r="D34" s="27"/>
      <c r="E34" s="27"/>
      <c r="F34" s="27"/>
      <c r="G34" s="27"/>
      <c r="H34" s="27"/>
      <c r="I34" s="27"/>
      <c r="J34" s="27"/>
      <c r="K34" s="27" t="str">
        <f>IF(A34="","",IF(COUNTIFS($B$41:$B$61,A34,$Z$41:$Z$61,"RED")&gt;0,"RED",IF(COUNTIFS($B$41:$B$61,A34,$Z$41:$Z$61,"AMBER")&gt;0,"AMBER","GREEN")))</f>
        <v/>
      </c>
    </row>
    <row r="35" spans="1:29" x14ac:dyDescent="0.2">
      <c r="A35" s="27"/>
      <c r="B35" s="27"/>
      <c r="C35" s="27"/>
      <c r="D35" s="27"/>
      <c r="E35" s="27"/>
      <c r="F35" s="27"/>
      <c r="G35" s="27"/>
      <c r="H35" s="27"/>
      <c r="I35" s="27"/>
      <c r="J35" s="27"/>
      <c r="K35" s="27" t="str">
        <f>IF(A35="","",IF(COUNTIFS($B$41:$B$61,A35,$Z$41:$Z$61,"RED")&gt;0,"RED",IF(COUNTIFS($B$41:$B$61,A35,$Z$41:$Z$61,"AMBER")&gt;0,"AMBER","GREEN")))</f>
        <v/>
      </c>
    </row>
    <row r="36" spans="1:29" ht="27.75" x14ac:dyDescent="0.2">
      <c r="A36" s="27" t="s">
        <v>1333</v>
      </c>
      <c r="B36" s="27" t="s">
        <v>1334</v>
      </c>
      <c r="C36" s="27" t="s">
        <v>1335</v>
      </c>
      <c r="D36" s="27" t="s">
        <v>374</v>
      </c>
      <c r="E36" s="27" t="s">
        <v>374</v>
      </c>
      <c r="F36" s="27" t="s">
        <v>1336</v>
      </c>
      <c r="G36" s="27" t="s">
        <v>1337</v>
      </c>
      <c r="H36" s="27" t="s">
        <v>74</v>
      </c>
      <c r="I36" s="27" t="s">
        <v>1338</v>
      </c>
      <c r="J36" s="27" t="s">
        <v>1339</v>
      </c>
      <c r="K36" s="27" t="str">
        <f ca="1">IF(A36="","",IF(COUNTIFS($B$41:$B$61,A36,$Z$41:$Z$61,"RED")&gt;0,"RED",IF(COUNTIFS($B$41:$B$61,A36,$Z$41:$Z$61,"AMBER")&gt;0,"AMBER","GREEN")))</f>
        <v>RED</v>
      </c>
    </row>
    <row r="40" spans="1:29" ht="50.1" customHeight="1" x14ac:dyDescent="0.2">
      <c r="A40" s="225" t="s">
        <v>1340</v>
      </c>
      <c r="B40" s="225" t="s">
        <v>68</v>
      </c>
      <c r="C40" s="225" t="s">
        <v>1341</v>
      </c>
      <c r="D40" s="225" t="s">
        <v>1342</v>
      </c>
      <c r="E40" s="225" t="s">
        <v>1343</v>
      </c>
      <c r="F40" s="225" t="s">
        <v>1344</v>
      </c>
      <c r="G40" s="225" t="s">
        <v>1345</v>
      </c>
      <c r="H40" s="225" t="s">
        <v>1346</v>
      </c>
      <c r="I40" s="225" t="s">
        <v>579</v>
      </c>
      <c r="J40" s="225" t="s">
        <v>1347</v>
      </c>
      <c r="K40" s="225" t="s">
        <v>97</v>
      </c>
      <c r="L40" s="225" t="s">
        <v>1348</v>
      </c>
      <c r="M40" s="225" t="s">
        <v>1349</v>
      </c>
      <c r="N40" s="225" t="s">
        <v>1350</v>
      </c>
      <c r="O40" s="225" t="s">
        <v>1351</v>
      </c>
      <c r="P40" s="225" t="s">
        <v>1352</v>
      </c>
      <c r="Q40" s="225" t="s">
        <v>1353</v>
      </c>
      <c r="R40" s="225" t="s">
        <v>1354</v>
      </c>
      <c r="S40" s="225" t="s">
        <v>1355</v>
      </c>
      <c r="T40" s="225" t="s">
        <v>1356</v>
      </c>
      <c r="U40" s="225" t="s">
        <v>1357</v>
      </c>
      <c r="V40" s="225" t="s">
        <v>1358</v>
      </c>
      <c r="W40" s="225" t="s">
        <v>1359</v>
      </c>
      <c r="X40" s="225" t="s">
        <v>1360</v>
      </c>
      <c r="Y40" s="225" t="s">
        <v>1361</v>
      </c>
      <c r="Z40" s="225" t="s">
        <v>1362</v>
      </c>
      <c r="AA40" s="225" t="s">
        <v>1363</v>
      </c>
      <c r="AB40" s="225" t="s">
        <v>1364</v>
      </c>
      <c r="AC40" s="225" t="s">
        <v>1365</v>
      </c>
    </row>
    <row r="41" spans="1:29" x14ac:dyDescent="0.2">
      <c r="A41" s="27"/>
      <c r="B41" s="27"/>
      <c r="C41" s="27"/>
      <c r="D41" s="27"/>
      <c r="E41" s="27"/>
      <c r="F41" s="27"/>
      <c r="G41" s="227"/>
      <c r="H41" s="27"/>
      <c r="I41" s="27"/>
      <c r="J41" s="230"/>
      <c r="K41" s="230"/>
      <c r="L41" s="227"/>
      <c r="M41" s="232"/>
      <c r="N41" s="227" t="str">
        <f>IF(I41="Already in Base / No Add",0,IF(I41="Unit Rate Delta",IF(OR(J41="",L41=""),"",J41*L41),IF(I41="Probability x Impact",IF(OR(M41="",L41=""),"",M41*L41),IF(I41="Fixed Allowance",O41,IF(I41="Specialist Engine",O41,IF(I41="By Others / Excluded",0,""))))))</f>
        <v/>
      </c>
      <c r="O41" s="231"/>
      <c r="P41" s="230"/>
      <c r="Q41" s="230"/>
      <c r="R41" s="230"/>
      <c r="S41" s="230"/>
      <c r="T41" s="227">
        <f>IF(S41="Yes",N(O41),0)</f>
        <v>0</v>
      </c>
      <c r="U41" s="27"/>
      <c r="V41" s="230"/>
      <c r="W41" s="230"/>
      <c r="X41" s="228" t="str">
        <f>IF(AND(S41="Yes",N(O41)&gt;0,Q41&lt;&gt;"Yes"),"RED - RESIDUAL NOT DISTINCT",IF(AND(COUNTIF($E$41:$E$61,E41)&gt;1,U41=""),"RED - UNDECLARED OVERLAP",IF(COUNTIF($E$41:$E$61,E41)&gt;1,"DECLARED OVERLAP","OK")))</f>
        <v>OK</v>
      </c>
      <c r="Y41" s="230"/>
      <c r="Z41" s="228" t="str">
        <f>IF(LEFT(X41,3)="RED","RED",IF(OR(W41="RED",I41="RFI Hold",AND(I41="Unit Rate Delta",ISBLANK(J41))),"RED",IF(OR(W41="AMBER",LEFT(V41,5)="CHECK"),"AMBER","GREEN")))</f>
        <v>GREEN</v>
      </c>
      <c r="AA41" s="27"/>
      <c r="AB41" s="27"/>
      <c r="AC41" s="27"/>
    </row>
    <row r="42" spans="1:29" x14ac:dyDescent="0.2">
      <c r="A42" s="27"/>
      <c r="B42" s="27"/>
      <c r="C42" s="27"/>
      <c r="D42" s="27"/>
      <c r="E42" s="27"/>
      <c r="F42" s="27"/>
      <c r="G42" s="227"/>
      <c r="H42" s="27"/>
      <c r="I42" s="27"/>
      <c r="J42" s="230"/>
      <c r="K42" s="230"/>
      <c r="L42" s="227"/>
      <c r="M42" s="232"/>
      <c r="N42" s="227" t="str">
        <f>IF(I42="Already in Base / No Add",0,IF(I42="Unit Rate Delta",IF(OR(J42="",L42=""),"",J42*L42),IF(I42="Probability x Impact",IF(OR(M42="",L42=""),"",M42*L42),IF(I42="Fixed Allowance",O42,IF(I42="Specialist Engine",O42,IF(I42="By Others / Excluded",0,""))))))</f>
        <v/>
      </c>
      <c r="O42" s="231"/>
      <c r="P42" s="230"/>
      <c r="Q42" s="230"/>
      <c r="R42" s="230"/>
      <c r="S42" s="230"/>
      <c r="T42" s="227">
        <f>IF(S42="Yes",N(O42),0)</f>
        <v>0</v>
      </c>
      <c r="U42" s="27"/>
      <c r="V42" s="230"/>
      <c r="W42" s="230"/>
      <c r="X42" s="228" t="str">
        <f>IF(AND(S42="Yes",N(O42)&gt;0,Q42&lt;&gt;"Yes"),"RED - RESIDUAL NOT DISTINCT",IF(AND(COUNTIF($E$41:$E$61,E42)&gt;1,U42=""),"RED - UNDECLARED OVERLAP",IF(COUNTIF($E$41:$E$61,E42)&gt;1,"DECLARED OVERLAP","OK")))</f>
        <v>OK</v>
      </c>
      <c r="Y42" s="230"/>
      <c r="Z42" s="228" t="str">
        <f>IF(LEFT(X42,3)="RED","RED",IF(OR(W42="RED",I42="RFI Hold",AND(I42="Unit Rate Delta",ISBLANK(J42))),"RED",IF(OR(W42="AMBER",LEFT(V42,5)="CHECK"),"AMBER","GREEN")))</f>
        <v>GREEN</v>
      </c>
      <c r="AA42" s="27"/>
      <c r="AB42" s="27"/>
      <c r="AC42" s="27"/>
    </row>
    <row r="43" spans="1:29" x14ac:dyDescent="0.2">
      <c r="A43" s="27"/>
      <c r="B43" s="27"/>
      <c r="C43" s="27"/>
      <c r="D43" s="27"/>
      <c r="E43" s="27"/>
      <c r="F43" s="27"/>
      <c r="G43" s="227"/>
      <c r="H43" s="27"/>
      <c r="I43" s="27"/>
      <c r="J43" s="230"/>
      <c r="K43" s="230"/>
      <c r="L43" s="227"/>
      <c r="M43" s="232"/>
      <c r="N43" s="227" t="str">
        <f>IF(I43="Already in Base / No Add",0,IF(I43="Unit Rate Delta",IF(OR(J43="",L43=""),"",J43*L43),IF(I43="Probability x Impact",IF(OR(M43="",L43=""),"",M43*L43),IF(I43="Fixed Allowance",O43,IF(I43="Specialist Engine",O43,IF(I43="By Others / Excluded",0,""))))))</f>
        <v/>
      </c>
      <c r="O43" s="231"/>
      <c r="P43" s="230"/>
      <c r="Q43" s="230"/>
      <c r="R43" s="230"/>
      <c r="S43" s="230"/>
      <c r="T43" s="227">
        <f>IF(S43="Yes",N(O43),0)</f>
        <v>0</v>
      </c>
      <c r="U43" s="27"/>
      <c r="V43" s="230"/>
      <c r="W43" s="230"/>
      <c r="X43" s="228" t="str">
        <f>IF(AND(S43="Yes",N(O43)&gt;0,Q43&lt;&gt;"Yes"),"RED - RESIDUAL NOT DISTINCT",IF(AND(COUNTIF($E$41:$E$61,E43)&gt;1,U43=""),"RED - UNDECLARED OVERLAP",IF(COUNTIF($E$41:$E$61,E43)&gt;1,"DECLARED OVERLAP","OK")))</f>
        <v>OK</v>
      </c>
      <c r="Y43" s="230"/>
      <c r="Z43" s="228" t="str">
        <f>IF(LEFT(X43,3)="RED","RED",IF(OR(W43="RED",I43="RFI Hold",AND(I43="Unit Rate Delta",ISBLANK(J43))),"RED",IF(OR(W43="AMBER",LEFT(V43,5)="CHECK"),"AMBER","GREEN")))</f>
        <v>GREEN</v>
      </c>
      <c r="AA43" s="27"/>
      <c r="AB43" s="27"/>
      <c r="AC43" s="27"/>
    </row>
    <row r="44" spans="1:29" x14ac:dyDescent="0.2">
      <c r="A44" s="27"/>
      <c r="B44" s="27"/>
      <c r="C44" s="27"/>
      <c r="D44" s="27"/>
      <c r="E44" s="27"/>
      <c r="F44" s="27"/>
      <c r="G44" s="227"/>
      <c r="H44" s="27"/>
      <c r="I44" s="27"/>
      <c r="J44" s="230"/>
      <c r="K44" s="230"/>
      <c r="L44" s="227"/>
      <c r="M44" s="232"/>
      <c r="N44" s="227" t="str">
        <f>IF(I44="Already in Base / No Add",0,IF(I44="Unit Rate Delta",IF(OR(J44="",L44=""),"",J44*L44),IF(I44="Probability x Impact",IF(OR(M44="",L44=""),"",M44*L44),IF(I44="Fixed Allowance",O44,IF(I44="Specialist Engine",O44,IF(I44="By Others / Excluded",0,""))))))</f>
        <v/>
      </c>
      <c r="O44" s="231"/>
      <c r="P44" s="230"/>
      <c r="Q44" s="230"/>
      <c r="R44" s="230"/>
      <c r="S44" s="230"/>
      <c r="T44" s="227">
        <f>IF(S44="Yes",N(O44),0)</f>
        <v>0</v>
      </c>
      <c r="U44" s="27"/>
      <c r="V44" s="230"/>
      <c r="W44" s="230"/>
      <c r="X44" s="228" t="str">
        <f>IF(AND(S44="Yes",N(O44)&gt;0,Q44&lt;&gt;"Yes"),"RED - RESIDUAL NOT DISTINCT",IF(AND(COUNTIF($E$41:$E$61,E44)&gt;1,U44=""),"RED - UNDECLARED OVERLAP",IF(COUNTIF($E$41:$E$61,E44)&gt;1,"DECLARED OVERLAP","OK")))</f>
        <v>OK</v>
      </c>
      <c r="Y44" s="230"/>
      <c r="Z44" s="228" t="str">
        <f>IF(LEFT(X44,3)="RED","RED",IF(OR(W44="RED",I44="RFI Hold",AND(I44="Unit Rate Delta",ISBLANK(J44))),"RED",IF(OR(W44="AMBER",LEFT(V44,5)="CHECK"),"AMBER","GREEN")))</f>
        <v>GREEN</v>
      </c>
      <c r="AA44" s="27"/>
      <c r="AB44" s="27"/>
      <c r="AC44" s="27"/>
    </row>
    <row r="45" spans="1:29" x14ac:dyDescent="0.2">
      <c r="A45" s="27"/>
      <c r="B45" s="27"/>
      <c r="C45" s="27"/>
      <c r="D45" s="27"/>
      <c r="E45" s="27"/>
      <c r="F45" s="27"/>
      <c r="G45" s="227"/>
      <c r="H45" s="27"/>
      <c r="I45" s="27"/>
      <c r="J45" s="230"/>
      <c r="K45" s="230"/>
      <c r="L45" s="227"/>
      <c r="M45" s="232"/>
      <c r="N45" s="227" t="str">
        <f>IF(I45="Already in Base / No Add",0,IF(I45="Unit Rate Delta",IF(OR(J45="",L45=""),"",J45*L45),IF(I45="Probability x Impact",IF(OR(M45="",L45=""),"",M45*L45),IF(I45="Fixed Allowance",O45,IF(I45="Specialist Engine",O45,IF(I45="By Others / Excluded",0,""))))))</f>
        <v/>
      </c>
      <c r="O45" s="231"/>
      <c r="P45" s="230"/>
      <c r="Q45" s="230"/>
      <c r="R45" s="230"/>
      <c r="S45" s="230"/>
      <c r="T45" s="227">
        <f>IF(S45="Yes",N(O45),0)</f>
        <v>0</v>
      </c>
      <c r="U45" s="27"/>
      <c r="V45" s="230"/>
      <c r="W45" s="230"/>
      <c r="X45" s="228" t="str">
        <f>IF(AND(S45="Yes",N(O45)&gt;0,Q45&lt;&gt;"Yes"),"RED - RESIDUAL NOT DISTINCT",IF(AND(COUNTIF($E$41:$E$61,E45)&gt;1,U45=""),"RED - UNDECLARED OVERLAP",IF(COUNTIF($E$41:$E$61,E45)&gt;1,"DECLARED OVERLAP","OK")))</f>
        <v>OK</v>
      </c>
      <c r="Y45" s="230"/>
      <c r="Z45" s="228" t="str">
        <f>IF(LEFT(X45,3)="RED","RED",IF(OR(W45="RED",I45="RFI Hold",AND(I45="Unit Rate Delta",ISBLANK(J45))),"RED",IF(OR(W45="AMBER",LEFT(V45,5)="CHECK"),"AMBER","GREEN")))</f>
        <v>GREEN</v>
      </c>
      <c r="AA45" s="27"/>
      <c r="AB45" s="27"/>
      <c r="AC45" s="27"/>
    </row>
    <row r="46" spans="1:29" x14ac:dyDescent="0.2">
      <c r="A46" s="27"/>
      <c r="B46" s="27"/>
      <c r="C46" s="27"/>
      <c r="D46" s="27"/>
      <c r="E46" s="27"/>
      <c r="F46" s="27"/>
      <c r="G46" s="227"/>
      <c r="H46" s="27"/>
      <c r="I46" s="27"/>
      <c r="J46" s="230"/>
      <c r="K46" s="230"/>
      <c r="L46" s="227"/>
      <c r="M46" s="232"/>
      <c r="N46" s="227" t="str">
        <f>IF(I46="Already in Base / No Add",0,IF(I46="Unit Rate Delta",IF(OR(J46="",L46=""),"",J46*L46),IF(I46="Probability x Impact",IF(OR(M46="",L46=""),"",M46*L46),IF(I46="Fixed Allowance",O46,IF(I46="Specialist Engine",O46,IF(I46="By Others / Excluded",0,""))))))</f>
        <v/>
      </c>
      <c r="O46" s="231"/>
      <c r="P46" s="230"/>
      <c r="Q46" s="230"/>
      <c r="R46" s="230"/>
      <c r="S46" s="230"/>
      <c r="T46" s="227">
        <f>IF(S46="Yes",N(O46),0)</f>
        <v>0</v>
      </c>
      <c r="U46" s="27"/>
      <c r="V46" s="230"/>
      <c r="W46" s="230"/>
      <c r="X46" s="228" t="str">
        <f>IF(AND(S46="Yes",N(O46)&gt;0,Q46&lt;&gt;"Yes"),"RED - RESIDUAL NOT DISTINCT",IF(AND(COUNTIF($E$41:$E$61,E46)&gt;1,U46=""),"RED - UNDECLARED OVERLAP",IF(COUNTIF($E$41:$E$61,E46)&gt;1,"DECLARED OVERLAP","OK")))</f>
        <v>OK</v>
      </c>
      <c r="Y46" s="230"/>
      <c r="Z46" s="228" t="str">
        <f>IF(LEFT(X46,3)="RED","RED",IF(OR(W46="RED",I46="RFI Hold",AND(I46="Unit Rate Delta",ISBLANK(J46))),"RED",IF(OR(W46="AMBER",LEFT(V46,5)="CHECK"),"AMBER","GREEN")))</f>
        <v>GREEN</v>
      </c>
      <c r="AA46" s="27"/>
      <c r="AB46" s="27"/>
      <c r="AC46" s="27"/>
    </row>
    <row r="47" spans="1:29" x14ac:dyDescent="0.2">
      <c r="A47" s="27"/>
      <c r="B47" s="27"/>
      <c r="C47" s="27"/>
      <c r="D47" s="27"/>
      <c r="E47" s="27"/>
      <c r="F47" s="27"/>
      <c r="G47" s="227"/>
      <c r="H47" s="27"/>
      <c r="I47" s="27"/>
      <c r="J47" s="230"/>
      <c r="K47" s="230"/>
      <c r="L47" s="227"/>
      <c r="M47" s="232"/>
      <c r="N47" s="227" t="str">
        <f>IF(I47="Already in Base / No Add",0,IF(I47="Unit Rate Delta",IF(OR(J47="",L47=""),"",J47*L47),IF(I47="Probability x Impact",IF(OR(M47="",L47=""),"",M47*L47),IF(I47="Fixed Allowance",O47,IF(I47="Specialist Engine",O47,IF(I47="By Others / Excluded",0,""))))))</f>
        <v/>
      </c>
      <c r="O47" s="231"/>
      <c r="P47" s="230"/>
      <c r="Q47" s="230"/>
      <c r="R47" s="230"/>
      <c r="S47" s="230"/>
      <c r="T47" s="227">
        <f>IF(S47="Yes",N(O47),0)</f>
        <v>0</v>
      </c>
      <c r="U47" s="27"/>
      <c r="V47" s="230"/>
      <c r="W47" s="230"/>
      <c r="X47" s="228" t="str">
        <f>IF(AND(S47="Yes",N(O47)&gt;0,Q47&lt;&gt;"Yes"),"RED - RESIDUAL NOT DISTINCT",IF(AND(COUNTIF($E$41:$E$61,E47)&gt;1,U47=""),"RED - UNDECLARED OVERLAP",IF(COUNTIF($E$41:$E$61,E47)&gt;1,"DECLARED OVERLAP","OK")))</f>
        <v>OK</v>
      </c>
      <c r="Y47" s="230"/>
      <c r="Z47" s="228" t="str">
        <f>IF(LEFT(X47,3)="RED","RED",IF(OR(W47="RED",I47="RFI Hold",AND(I47="Unit Rate Delta",ISBLANK(J47))),"RED",IF(OR(W47="AMBER",LEFT(V47,5)="CHECK"),"AMBER","GREEN")))</f>
        <v>GREEN</v>
      </c>
      <c r="AA47" s="27"/>
      <c r="AB47" s="27"/>
      <c r="AC47" s="27"/>
    </row>
    <row r="48" spans="1:29" x14ac:dyDescent="0.2">
      <c r="A48" s="27"/>
      <c r="B48" s="27"/>
      <c r="C48" s="27"/>
      <c r="D48" s="27"/>
      <c r="E48" s="27"/>
      <c r="F48" s="27"/>
      <c r="G48" s="227"/>
      <c r="H48" s="27"/>
      <c r="I48" s="27"/>
      <c r="J48" s="230"/>
      <c r="K48" s="230"/>
      <c r="L48" s="227"/>
      <c r="M48" s="232"/>
      <c r="N48" s="227" t="str">
        <f>IF(I48="Already in Base / No Add",0,IF(I48="Unit Rate Delta",IF(OR(J48="",L48=""),"",J48*L48),IF(I48="Probability x Impact",IF(OR(M48="",L48=""),"",M48*L48),IF(I48="Fixed Allowance",O48,IF(I48="Specialist Engine",O48,IF(I48="By Others / Excluded",0,""))))))</f>
        <v/>
      </c>
      <c r="O48" s="231"/>
      <c r="P48" s="230"/>
      <c r="Q48" s="230"/>
      <c r="R48" s="230"/>
      <c r="S48" s="230"/>
      <c r="T48" s="227">
        <f>IF(S48="Yes",N(O48),0)</f>
        <v>0</v>
      </c>
      <c r="U48" s="27"/>
      <c r="V48" s="230"/>
      <c r="W48" s="230"/>
      <c r="X48" s="228" t="str">
        <f>IF(AND(S48="Yes",N(O48)&gt;0,Q48&lt;&gt;"Yes"),"RED - RESIDUAL NOT DISTINCT",IF(AND(COUNTIF($E$41:$E$61,E48)&gt;1,U48=""),"RED - UNDECLARED OVERLAP",IF(COUNTIF($E$41:$E$61,E48)&gt;1,"DECLARED OVERLAP","OK")))</f>
        <v>OK</v>
      </c>
      <c r="Y48" s="230"/>
      <c r="Z48" s="228" t="str">
        <f>IF(LEFT(X48,3)="RED","RED",IF(OR(W48="RED",I48="RFI Hold",AND(I48="Unit Rate Delta",ISBLANK(J48))),"RED",IF(OR(W48="AMBER",LEFT(V48,5)="CHECK"),"AMBER","GREEN")))</f>
        <v>GREEN</v>
      </c>
      <c r="AA48" s="27"/>
      <c r="AB48" s="27"/>
      <c r="AC48" s="27"/>
    </row>
    <row r="49" spans="1:29" x14ac:dyDescent="0.2">
      <c r="A49" s="27"/>
      <c r="B49" s="27"/>
      <c r="C49" s="27"/>
      <c r="D49" s="27"/>
      <c r="E49" s="27"/>
      <c r="F49" s="27"/>
      <c r="G49" s="227"/>
      <c r="H49" s="27"/>
      <c r="I49" s="27"/>
      <c r="J49" s="230"/>
      <c r="K49" s="230"/>
      <c r="L49" s="227"/>
      <c r="M49" s="232"/>
      <c r="N49" s="227" t="str">
        <f>IF(I49="Already in Base / No Add",0,IF(I49="Unit Rate Delta",IF(OR(J49="",L49=""),"",J49*L49),IF(I49="Probability x Impact",IF(OR(M49="",L49=""),"",M49*L49),IF(I49="Fixed Allowance",O49,IF(I49="Specialist Engine",O49,IF(I49="By Others / Excluded",0,""))))))</f>
        <v/>
      </c>
      <c r="O49" s="231"/>
      <c r="P49" s="230"/>
      <c r="Q49" s="230"/>
      <c r="R49" s="230"/>
      <c r="S49" s="230"/>
      <c r="T49" s="227">
        <f>IF(S49="Yes",N(O49),0)</f>
        <v>0</v>
      </c>
      <c r="U49" s="27"/>
      <c r="V49" s="230"/>
      <c r="W49" s="230"/>
      <c r="X49" s="228" t="str">
        <f>IF(AND(S49="Yes",N(O49)&gt;0,Q49&lt;&gt;"Yes"),"RED - RESIDUAL NOT DISTINCT",IF(AND(COUNTIF($E$41:$E$61,E49)&gt;1,U49=""),"RED - UNDECLARED OVERLAP",IF(COUNTIF($E$41:$E$61,E49)&gt;1,"DECLARED OVERLAP","OK")))</f>
        <v>OK</v>
      </c>
      <c r="Y49" s="230"/>
      <c r="Z49" s="228" t="str">
        <f>IF(LEFT(X49,3)="RED","RED",IF(OR(W49="RED",I49="RFI Hold",AND(I49="Unit Rate Delta",ISBLANK(J49))),"RED",IF(OR(W49="AMBER",LEFT(V49,5)="CHECK"),"AMBER","GREEN")))</f>
        <v>GREEN</v>
      </c>
      <c r="AA49" s="27"/>
      <c r="AB49" s="27"/>
      <c r="AC49" s="27"/>
    </row>
    <row r="50" spans="1:29" x14ac:dyDescent="0.2">
      <c r="A50" s="27"/>
      <c r="B50" s="27"/>
      <c r="C50" s="27"/>
      <c r="D50" s="27"/>
      <c r="E50" s="27"/>
      <c r="F50" s="27"/>
      <c r="G50" s="227"/>
      <c r="H50" s="27"/>
      <c r="I50" s="27"/>
      <c r="J50" s="230"/>
      <c r="K50" s="230"/>
      <c r="L50" s="227"/>
      <c r="M50" s="232"/>
      <c r="N50" s="227" t="str">
        <f>IF(I50="Already in Base / No Add",0,IF(I50="Unit Rate Delta",IF(OR(J50="",L50=""),"",J50*L50),IF(I50="Probability x Impact",IF(OR(M50="",L50=""),"",M50*L50),IF(I50="Fixed Allowance",O50,IF(I50="Specialist Engine",O50,IF(I50="By Others / Excluded",0,""))))))</f>
        <v/>
      </c>
      <c r="O50" s="231"/>
      <c r="P50" s="230"/>
      <c r="Q50" s="230"/>
      <c r="R50" s="230"/>
      <c r="S50" s="230"/>
      <c r="T50" s="227">
        <f>IF(S50="Yes",N(O50),0)</f>
        <v>0</v>
      </c>
      <c r="U50" s="27"/>
      <c r="V50" s="230"/>
      <c r="W50" s="230"/>
      <c r="X50" s="228" t="str">
        <f>IF(AND(S50="Yes",N(O50)&gt;0,Q50&lt;&gt;"Yes"),"RED - RESIDUAL NOT DISTINCT",IF(AND(COUNTIF($E$41:$E$61,E50)&gt;1,U50=""),"RED - UNDECLARED OVERLAP",IF(COUNTIF($E$41:$E$61,E50)&gt;1,"DECLARED OVERLAP","OK")))</f>
        <v>OK</v>
      </c>
      <c r="Y50" s="230"/>
      <c r="Z50" s="228" t="str">
        <f>IF(LEFT(X50,3)="RED","RED",IF(OR(W50="RED",I50="RFI Hold",AND(I50="Unit Rate Delta",ISBLANK(J50))),"RED",IF(OR(W50="AMBER",LEFT(V50,5)="CHECK"),"AMBER","GREEN")))</f>
        <v>GREEN</v>
      </c>
      <c r="AA50" s="27"/>
      <c r="AB50" s="27"/>
      <c r="AC50" s="27"/>
    </row>
    <row r="51" spans="1:29" x14ac:dyDescent="0.2">
      <c r="A51" s="27"/>
      <c r="B51" s="27"/>
      <c r="C51" s="27"/>
      <c r="D51" s="27"/>
      <c r="E51" s="27"/>
      <c r="F51" s="27"/>
      <c r="G51" s="227"/>
      <c r="H51" s="27"/>
      <c r="I51" s="27"/>
      <c r="J51" s="230"/>
      <c r="K51" s="230"/>
      <c r="L51" s="227"/>
      <c r="M51" s="232"/>
      <c r="N51" s="227" t="str">
        <f>IF(I51="Already in Base / No Add",0,IF(I51="Unit Rate Delta",IF(OR(J51="",L51=""),"",J51*L51),IF(I51="Probability x Impact",IF(OR(M51="",L51=""),"",M51*L51),IF(I51="Fixed Allowance",O51,IF(I51="Specialist Engine",O51,IF(I51="By Others / Excluded",0,""))))))</f>
        <v/>
      </c>
      <c r="O51" s="231"/>
      <c r="P51" s="230"/>
      <c r="Q51" s="230"/>
      <c r="R51" s="230"/>
      <c r="S51" s="230"/>
      <c r="T51" s="227">
        <f>IF(S51="Yes",N(O51),0)</f>
        <v>0</v>
      </c>
      <c r="U51" s="27"/>
      <c r="V51" s="230"/>
      <c r="W51" s="230"/>
      <c r="X51" s="228" t="str">
        <f>IF(AND(S51="Yes",N(O51)&gt;0,Q51&lt;&gt;"Yes"),"RED - RESIDUAL NOT DISTINCT",IF(AND(COUNTIF($E$41:$E$61,E51)&gt;1,U51=""),"RED - UNDECLARED OVERLAP",IF(COUNTIF($E$41:$E$61,E51)&gt;1,"DECLARED OVERLAP","OK")))</f>
        <v>OK</v>
      </c>
      <c r="Y51" s="230"/>
      <c r="Z51" s="228" t="str">
        <f>IF(LEFT(X51,3)="RED","RED",IF(OR(W51="RED",I51="RFI Hold",AND(I51="Unit Rate Delta",ISBLANK(J51))),"RED",IF(OR(W51="AMBER",LEFT(V51,5)="CHECK"),"AMBER","GREEN")))</f>
        <v>GREEN</v>
      </c>
      <c r="AA51" s="27"/>
      <c r="AB51" s="27"/>
      <c r="AC51" s="27"/>
    </row>
    <row r="52" spans="1:29" x14ac:dyDescent="0.2">
      <c r="A52" s="27"/>
      <c r="B52" s="27"/>
      <c r="C52" s="27"/>
      <c r="D52" s="27"/>
      <c r="E52" s="27"/>
      <c r="F52" s="27"/>
      <c r="G52" s="227"/>
      <c r="H52" s="27"/>
      <c r="I52" s="27"/>
      <c r="J52" s="230"/>
      <c r="K52" s="230"/>
      <c r="L52" s="227"/>
      <c r="M52" s="232"/>
      <c r="N52" s="227" t="str">
        <f>IF(I52="Already in Base / No Add",0,IF(I52="Unit Rate Delta",IF(OR(J52="",L52=""),"",J52*L52),IF(I52="Probability x Impact",IF(OR(M52="",L52=""),"",M52*L52),IF(I52="Fixed Allowance",O52,IF(I52="Specialist Engine",O52,IF(I52="By Others / Excluded",0,""))))))</f>
        <v/>
      </c>
      <c r="O52" s="231"/>
      <c r="P52" s="230"/>
      <c r="Q52" s="230"/>
      <c r="R52" s="230"/>
      <c r="S52" s="230"/>
      <c r="T52" s="227">
        <f>IF(S52="Yes",N(O52),0)</f>
        <v>0</v>
      </c>
      <c r="U52" s="27"/>
      <c r="V52" s="230"/>
      <c r="W52" s="230"/>
      <c r="X52" s="228" t="str">
        <f>IF(AND(S52="Yes",N(O52)&gt;0,Q52&lt;&gt;"Yes"),"RED - RESIDUAL NOT DISTINCT",IF(AND(COUNTIF($E$41:$E$61,E52)&gt;1,U52=""),"RED - UNDECLARED OVERLAP",IF(COUNTIF($E$41:$E$61,E52)&gt;1,"DECLARED OVERLAP","OK")))</f>
        <v>OK</v>
      </c>
      <c r="Y52" s="230"/>
      <c r="Z52" s="228" t="str">
        <f>IF(LEFT(X52,3)="RED","RED",IF(OR(W52="RED",I52="RFI Hold",AND(I52="Unit Rate Delta",ISBLANK(J52))),"RED",IF(OR(W52="AMBER",LEFT(V52,5)="CHECK"),"AMBER","GREEN")))</f>
        <v>GREEN</v>
      </c>
      <c r="AA52" s="27"/>
      <c r="AB52" s="27"/>
      <c r="AC52" s="27"/>
    </row>
    <row r="53" spans="1:29" x14ac:dyDescent="0.2">
      <c r="A53" s="27"/>
      <c r="B53" s="27"/>
      <c r="C53" s="27"/>
      <c r="D53" s="27"/>
      <c r="E53" s="27"/>
      <c r="F53" s="27"/>
      <c r="G53" s="227"/>
      <c r="H53" s="27"/>
      <c r="I53" s="27"/>
      <c r="J53" s="230"/>
      <c r="K53" s="230"/>
      <c r="L53" s="227"/>
      <c r="M53" s="232"/>
      <c r="N53" s="227" t="str">
        <f>IF(I53="Already in Base / No Add",0,IF(I53="Unit Rate Delta",IF(OR(J53="",L53=""),"",J53*L53),IF(I53="Probability x Impact",IF(OR(M53="",L53=""),"",M53*L53),IF(I53="Fixed Allowance",O53,IF(I53="Specialist Engine",O53,IF(I53="By Others / Excluded",0,""))))))</f>
        <v/>
      </c>
      <c r="O53" s="231"/>
      <c r="P53" s="230"/>
      <c r="Q53" s="230"/>
      <c r="R53" s="230"/>
      <c r="S53" s="230"/>
      <c r="T53" s="227">
        <f>IF(S53="Yes",N(O53),0)</f>
        <v>0</v>
      </c>
      <c r="U53" s="27"/>
      <c r="V53" s="230"/>
      <c r="W53" s="230"/>
      <c r="X53" s="228" t="str">
        <f>IF(AND(S53="Yes",N(O53)&gt;0,Q53&lt;&gt;"Yes"),"RED - RESIDUAL NOT DISTINCT",IF(AND(COUNTIF($E$41:$E$61,E53)&gt;1,U53=""),"RED - UNDECLARED OVERLAP",IF(COUNTIF($E$41:$E$61,E53)&gt;1,"DECLARED OVERLAP","OK")))</f>
        <v>OK</v>
      </c>
      <c r="Y53" s="230"/>
      <c r="Z53" s="228" t="str">
        <f>IF(LEFT(X53,3)="RED","RED",IF(OR(W53="RED",I53="RFI Hold",AND(I53="Unit Rate Delta",ISBLANK(J53))),"RED",IF(OR(W53="AMBER",LEFT(V53,5)="CHECK"),"AMBER","GREEN")))</f>
        <v>GREEN</v>
      </c>
      <c r="AA53" s="27"/>
      <c r="AB53" s="27"/>
      <c r="AC53" s="27"/>
    </row>
    <row r="54" spans="1:29" x14ac:dyDescent="0.2">
      <c r="A54" s="27"/>
      <c r="B54" s="27"/>
      <c r="C54" s="27"/>
      <c r="D54" s="27"/>
      <c r="E54" s="27"/>
      <c r="F54" s="27"/>
      <c r="G54" s="227"/>
      <c r="H54" s="27"/>
      <c r="I54" s="27"/>
      <c r="J54" s="230"/>
      <c r="K54" s="230"/>
      <c r="L54" s="227"/>
      <c r="M54" s="232"/>
      <c r="N54" s="227" t="str">
        <f>IF(I54="Already in Base / No Add",0,IF(I54="Unit Rate Delta",IF(OR(J54="",L54=""),"",J54*L54),IF(I54="Probability x Impact",IF(OR(M54="",L54=""),"",M54*L54),IF(I54="Fixed Allowance",O54,IF(I54="Specialist Engine",O54,IF(I54="By Others / Excluded",0,""))))))</f>
        <v/>
      </c>
      <c r="O54" s="231"/>
      <c r="P54" s="230"/>
      <c r="Q54" s="230"/>
      <c r="R54" s="230"/>
      <c r="S54" s="230"/>
      <c r="T54" s="227">
        <f>IF(S54="Yes",N(O54),0)</f>
        <v>0</v>
      </c>
      <c r="U54" s="27"/>
      <c r="V54" s="230"/>
      <c r="W54" s="230"/>
      <c r="X54" s="228" t="str">
        <f>IF(AND(S54="Yes",N(O54)&gt;0,Q54&lt;&gt;"Yes"),"RED - RESIDUAL NOT DISTINCT",IF(AND(COUNTIF($E$41:$E$61,E54)&gt;1,U54=""),"RED - UNDECLARED OVERLAP",IF(COUNTIF($E$41:$E$61,E54)&gt;1,"DECLARED OVERLAP","OK")))</f>
        <v>OK</v>
      </c>
      <c r="Y54" s="230"/>
      <c r="Z54" s="228" t="str">
        <f>IF(LEFT(X54,3)="RED","RED",IF(OR(W54="RED",I54="RFI Hold",AND(I54="Unit Rate Delta",ISBLANK(J54))),"RED",IF(OR(W54="AMBER",LEFT(V54,5)="CHECK"),"AMBER","GREEN")))</f>
        <v>GREEN</v>
      </c>
      <c r="AA54" s="27"/>
      <c r="AB54" s="27"/>
      <c r="AC54" s="27"/>
    </row>
    <row r="55" spans="1:29" x14ac:dyDescent="0.2">
      <c r="A55" s="27"/>
      <c r="B55" s="27"/>
      <c r="C55" s="27"/>
      <c r="D55" s="27"/>
      <c r="E55" s="27"/>
      <c r="F55" s="27"/>
      <c r="G55" s="227"/>
      <c r="H55" s="27"/>
      <c r="I55" s="27"/>
      <c r="J55" s="230"/>
      <c r="K55" s="230"/>
      <c r="L55" s="227"/>
      <c r="M55" s="232"/>
      <c r="N55" s="227" t="str">
        <f>IF(I55="Already in Base / No Add",0,IF(I55="Unit Rate Delta",IF(OR(J55="",L55=""),"",J55*L55),IF(I55="Probability x Impact",IF(OR(M55="",L55=""),"",M55*L55),IF(I55="Fixed Allowance",O55,IF(I55="Specialist Engine",O55,IF(I55="By Others / Excluded",0,""))))))</f>
        <v/>
      </c>
      <c r="O55" s="231"/>
      <c r="P55" s="230"/>
      <c r="Q55" s="230"/>
      <c r="R55" s="230"/>
      <c r="S55" s="230"/>
      <c r="T55" s="227">
        <f>IF(S55="Yes",N(O55),0)</f>
        <v>0</v>
      </c>
      <c r="U55" s="27"/>
      <c r="V55" s="230"/>
      <c r="W55" s="230"/>
      <c r="X55" s="228" t="str">
        <f>IF(AND(S55="Yes",N(O55)&gt;0,Q55&lt;&gt;"Yes"),"RED - RESIDUAL NOT DISTINCT",IF(AND(COUNTIF($E$41:$E$61,E55)&gt;1,U55=""),"RED - UNDECLARED OVERLAP",IF(COUNTIF($E$41:$E$61,E55)&gt;1,"DECLARED OVERLAP","OK")))</f>
        <v>OK</v>
      </c>
      <c r="Y55" s="230"/>
      <c r="Z55" s="228" t="str">
        <f>IF(LEFT(X55,3)="RED","RED",IF(OR(W55="RED",I55="RFI Hold",AND(I55="Unit Rate Delta",ISBLANK(J55))),"RED",IF(OR(W55="AMBER",LEFT(V55,5)="CHECK"),"AMBER","GREEN")))</f>
        <v>GREEN</v>
      </c>
      <c r="AA55" s="27"/>
      <c r="AB55" s="27"/>
      <c r="AC55" s="27"/>
    </row>
    <row r="56" spans="1:29" x14ac:dyDescent="0.2">
      <c r="A56" s="27"/>
      <c r="B56" s="27"/>
      <c r="C56" s="27"/>
      <c r="D56" s="27"/>
      <c r="E56" s="27"/>
      <c r="F56" s="27"/>
      <c r="G56" s="227"/>
      <c r="H56" s="27"/>
      <c r="I56" s="27"/>
      <c r="J56" s="230"/>
      <c r="K56" s="230"/>
      <c r="L56" s="227"/>
      <c r="M56" s="232"/>
      <c r="N56" s="227" t="str">
        <f>IF(I56="Already in Base / No Add",0,IF(I56="Unit Rate Delta",IF(OR(J56="",L56=""),"",J56*L56),IF(I56="Probability x Impact",IF(OR(M56="",L56=""),"",M56*L56),IF(I56="Fixed Allowance",O56,IF(I56="Specialist Engine",O56,IF(I56="By Others / Excluded",0,""))))))</f>
        <v/>
      </c>
      <c r="O56" s="231"/>
      <c r="P56" s="230"/>
      <c r="Q56" s="230"/>
      <c r="R56" s="230"/>
      <c r="S56" s="230"/>
      <c r="T56" s="227">
        <f>IF(S56="Yes",N(O56),0)</f>
        <v>0</v>
      </c>
      <c r="U56" s="27"/>
      <c r="V56" s="230"/>
      <c r="W56" s="230"/>
      <c r="X56" s="228" t="str">
        <f>IF(AND(S56="Yes",N(O56)&gt;0,Q56&lt;&gt;"Yes"),"RED - RESIDUAL NOT DISTINCT",IF(AND(COUNTIF($E$41:$E$61,E56)&gt;1,U56=""),"RED - UNDECLARED OVERLAP",IF(COUNTIF($E$41:$E$61,E56)&gt;1,"DECLARED OVERLAP","OK")))</f>
        <v>OK</v>
      </c>
      <c r="Y56" s="230"/>
      <c r="Z56" s="228" t="str">
        <f>IF(LEFT(X56,3)="RED","RED",IF(OR(W56="RED",I56="RFI Hold",AND(I56="Unit Rate Delta",ISBLANK(J56))),"RED",IF(OR(W56="AMBER",LEFT(V56,5)="CHECK"),"AMBER","GREEN")))</f>
        <v>GREEN</v>
      </c>
      <c r="AA56" s="27"/>
      <c r="AB56" s="27"/>
      <c r="AC56" s="27"/>
    </row>
    <row r="57" spans="1:29" x14ac:dyDescent="0.2">
      <c r="A57" s="27"/>
      <c r="B57" s="27"/>
      <c r="C57" s="27"/>
      <c r="D57" s="27"/>
      <c r="E57" s="27"/>
      <c r="F57" s="27"/>
      <c r="G57" s="227"/>
      <c r="H57" s="27"/>
      <c r="I57" s="27"/>
      <c r="J57" s="230"/>
      <c r="K57" s="230"/>
      <c r="L57" s="227"/>
      <c r="M57" s="232"/>
      <c r="N57" s="227" t="str">
        <f>IF(I57="Already in Base / No Add",0,IF(I57="Unit Rate Delta",IF(OR(J57="",L57=""),"",J57*L57),IF(I57="Probability x Impact",IF(OR(M57="",L57=""),"",M57*L57),IF(I57="Fixed Allowance",O57,IF(I57="Specialist Engine",O57,IF(I57="By Others / Excluded",0,""))))))</f>
        <v/>
      </c>
      <c r="O57" s="231"/>
      <c r="P57" s="230"/>
      <c r="Q57" s="230"/>
      <c r="R57" s="230"/>
      <c r="S57" s="230"/>
      <c r="T57" s="227">
        <f>IF(S57="Yes",N(O57),0)</f>
        <v>0</v>
      </c>
      <c r="U57" s="27"/>
      <c r="V57" s="230"/>
      <c r="W57" s="230"/>
      <c r="X57" s="228" t="str">
        <f>IF(AND(S57="Yes",N(O57)&gt;0,Q57&lt;&gt;"Yes"),"RED - RESIDUAL NOT DISTINCT",IF(AND(COUNTIF($E$41:$E$61,E57)&gt;1,U57=""),"RED - UNDECLARED OVERLAP",IF(COUNTIF($E$41:$E$61,E57)&gt;1,"DECLARED OVERLAP","OK")))</f>
        <v>OK</v>
      </c>
      <c r="Y57" s="230"/>
      <c r="Z57" s="228" t="str">
        <f>IF(LEFT(X57,3)="RED","RED",IF(OR(W57="RED",I57="RFI Hold",AND(I57="Unit Rate Delta",ISBLANK(J57))),"RED",IF(OR(W57="AMBER",LEFT(V57,5)="CHECK"),"AMBER","GREEN")))</f>
        <v>GREEN</v>
      </c>
      <c r="AA57" s="27"/>
      <c r="AB57" s="27"/>
      <c r="AC57" s="27"/>
    </row>
    <row r="58" spans="1:29" x14ac:dyDescent="0.2">
      <c r="A58" s="27"/>
      <c r="B58" s="27"/>
      <c r="C58" s="27"/>
      <c r="D58" s="27"/>
      <c r="E58" s="27"/>
      <c r="F58" s="27"/>
      <c r="G58" s="227"/>
      <c r="H58" s="27"/>
      <c r="I58" s="27"/>
      <c r="J58" s="230"/>
      <c r="K58" s="230"/>
      <c r="L58" s="227"/>
      <c r="M58" s="232"/>
      <c r="N58" s="227" t="str">
        <f>IF(I58="Already in Base / No Add",0,IF(I58="Unit Rate Delta",IF(OR(J58="",L58=""),"",J58*L58),IF(I58="Probability x Impact",IF(OR(M58="",L58=""),"",M58*L58),IF(I58="Fixed Allowance",O58,IF(I58="Specialist Engine",O58,IF(I58="By Others / Excluded",0,""))))))</f>
        <v/>
      </c>
      <c r="O58" s="231"/>
      <c r="P58" s="230"/>
      <c r="Q58" s="230"/>
      <c r="R58" s="230"/>
      <c r="S58" s="230"/>
      <c r="T58" s="227">
        <f>IF(S58="Yes",N(O58),0)</f>
        <v>0</v>
      </c>
      <c r="U58" s="27"/>
      <c r="V58" s="230"/>
      <c r="W58" s="230"/>
      <c r="X58" s="228" t="str">
        <f>IF(AND(S58="Yes",N(O58)&gt;0,Q58&lt;&gt;"Yes"),"RED - RESIDUAL NOT DISTINCT",IF(AND(COUNTIF($E$41:$E$61,E58)&gt;1,U58=""),"RED - UNDECLARED OVERLAP",IF(COUNTIF($E$41:$E$61,E58)&gt;1,"DECLARED OVERLAP","OK")))</f>
        <v>OK</v>
      </c>
      <c r="Y58" s="230"/>
      <c r="Z58" s="228" t="str">
        <f>IF(LEFT(X58,3)="RED","RED",IF(OR(W58="RED",I58="RFI Hold",AND(I58="Unit Rate Delta",ISBLANK(J58))),"RED",IF(OR(W58="AMBER",LEFT(V58,5)="CHECK"),"AMBER","GREEN")))</f>
        <v>GREEN</v>
      </c>
      <c r="AA58" s="27"/>
      <c r="AB58" s="27"/>
      <c r="AC58" s="27"/>
    </row>
    <row r="59" spans="1:29" x14ac:dyDescent="0.2">
      <c r="A59" s="27"/>
      <c r="B59" s="27"/>
      <c r="C59" s="27"/>
      <c r="D59" s="27"/>
      <c r="E59" s="27"/>
      <c r="F59" s="27"/>
      <c r="G59" s="227"/>
      <c r="H59" s="27"/>
      <c r="I59" s="27"/>
      <c r="J59" s="230"/>
      <c r="K59" s="230"/>
      <c r="L59" s="227"/>
      <c r="M59" s="232"/>
      <c r="N59" s="227" t="str">
        <f>IF(I59="Already in Base / No Add",0,IF(I59="Unit Rate Delta",IF(OR(J59="",L59=""),"",J59*L59),IF(I59="Probability x Impact",IF(OR(M59="",L59=""),"",M59*L59),IF(I59="Fixed Allowance",O59,IF(I59="Specialist Engine",O59,IF(I59="By Others / Excluded",0,""))))))</f>
        <v/>
      </c>
      <c r="O59" s="231"/>
      <c r="P59" s="230"/>
      <c r="Q59" s="230"/>
      <c r="R59" s="230"/>
      <c r="S59" s="230"/>
      <c r="T59" s="227">
        <f>IF(S59="Yes",N(O59),0)</f>
        <v>0</v>
      </c>
      <c r="U59" s="27"/>
      <c r="V59" s="230"/>
      <c r="W59" s="230"/>
      <c r="X59" s="228" t="str">
        <f>IF(AND(S59="Yes",N(O59)&gt;0,Q59&lt;&gt;"Yes"),"RED - RESIDUAL NOT DISTINCT",IF(AND(COUNTIF($E$41:$E$61,E59)&gt;1,U59=""),"RED - UNDECLARED OVERLAP",IF(COUNTIF($E$41:$E$61,E59)&gt;1,"DECLARED OVERLAP","OK")))</f>
        <v>OK</v>
      </c>
      <c r="Y59" s="230"/>
      <c r="Z59" s="228" t="str">
        <f>IF(LEFT(X59,3)="RED","RED",IF(OR(W59="RED",I59="RFI Hold",AND(I59="Unit Rate Delta",ISBLANK(J59))),"RED",IF(OR(W59="AMBER",LEFT(V59,5)="CHECK"),"AMBER","GREEN")))</f>
        <v>GREEN</v>
      </c>
      <c r="AA59" s="27"/>
      <c r="AB59" s="27"/>
      <c r="AC59" s="27"/>
    </row>
    <row r="60" spans="1:29" x14ac:dyDescent="0.2">
      <c r="A60" s="27"/>
      <c r="B60" s="27"/>
      <c r="C60" s="27"/>
      <c r="D60" s="27"/>
      <c r="E60" s="27"/>
      <c r="F60" s="27"/>
      <c r="G60" s="227"/>
      <c r="H60" s="27"/>
      <c r="I60" s="27"/>
      <c r="J60" s="230"/>
      <c r="K60" s="230"/>
      <c r="L60" s="227"/>
      <c r="M60" s="232"/>
      <c r="N60" s="227" t="str">
        <f>IF(I60="Already in Base / No Add",0,IF(I60="Unit Rate Delta",IF(OR(J60="",L60=""),"",J60*L60),IF(I60="Probability x Impact",IF(OR(M60="",L60=""),"",M60*L60),IF(I60="Fixed Allowance",O60,IF(I60="Specialist Engine",O60,IF(I60="By Others / Excluded",0,""))))))</f>
        <v/>
      </c>
      <c r="O60" s="231"/>
      <c r="P60" s="230"/>
      <c r="Q60" s="230"/>
      <c r="R60" s="230"/>
      <c r="S60" s="230"/>
      <c r="T60" s="227">
        <f>IF(S60="Yes",N(O60),0)</f>
        <v>0</v>
      </c>
      <c r="U60" s="27"/>
      <c r="V60" s="230"/>
      <c r="W60" s="230"/>
      <c r="X60" s="228" t="str">
        <f>IF(AND(S60="Yes",N(O60)&gt;0,Q60&lt;&gt;"Yes"),"RED - RESIDUAL NOT DISTINCT",IF(AND(COUNTIF($E$41:$E$61,E60)&gt;1,U60=""),"RED - UNDECLARED OVERLAP",IF(COUNTIF($E$41:$E$61,E60)&gt;1,"DECLARED OVERLAP","OK")))</f>
        <v>OK</v>
      </c>
      <c r="Y60" s="230"/>
      <c r="Z60" s="228" t="str">
        <f>IF(LEFT(X60,3)="RED","RED",IF(OR(W60="RED",I60="RFI Hold",AND(I60="Unit Rate Delta",ISBLANK(J60))),"RED",IF(OR(W60="AMBER",LEFT(V60,5)="CHECK"),"AMBER","GREEN")))</f>
        <v>GREEN</v>
      </c>
      <c r="AA60" s="27"/>
      <c r="AB60" s="27"/>
      <c r="AC60" s="27"/>
    </row>
    <row r="61" spans="1:29" ht="41.25" x14ac:dyDescent="0.2">
      <c r="A61" s="27" t="s">
        <v>1366</v>
      </c>
      <c r="B61" s="27" t="s">
        <v>1333</v>
      </c>
      <c r="C61" s="27" t="s">
        <v>1367</v>
      </c>
      <c r="D61" s="27" t="s">
        <v>1368</v>
      </c>
      <c r="E61" s="27" t="s">
        <v>1004</v>
      </c>
      <c r="F61" s="27" t="s">
        <v>1369</v>
      </c>
      <c r="G61" s="227">
        <f ca="1">'Weather Risk'!$B$40</f>
        <v>0</v>
      </c>
      <c r="H61" s="27" t="s">
        <v>1370</v>
      </c>
      <c r="I61" s="27" t="s">
        <v>1371</v>
      </c>
      <c r="J61" s="230"/>
      <c r="K61" s="230" t="s">
        <v>545</v>
      </c>
      <c r="L61" s="227"/>
      <c r="M61" s="232"/>
      <c r="N61" s="227">
        <f ca="1">IF(I61="Already in Base / No Add",0,IF(I61="Unit Rate Delta",IF(OR(J61="",L61=""),"",J61*L61),IF(I61="Probability x Impact",IF(OR(M61="",L61=""),"",M61*L61),IF(I61="Fixed Allowance",O61,IF(I61="Specialist Engine",O61,IF(I61="By Others / Excluded",0,""))))))</f>
        <v>0</v>
      </c>
      <c r="O61" s="231">
        <f ca="1">'Weather Risk'!$B$40</f>
        <v>0</v>
      </c>
      <c r="P61" s="230" t="s">
        <v>1372</v>
      </c>
      <c r="Q61" s="230" t="s">
        <v>374</v>
      </c>
      <c r="R61" s="230" t="s">
        <v>1004</v>
      </c>
      <c r="S61" s="230" t="s">
        <v>245</v>
      </c>
      <c r="T61" s="227">
        <f>IF(S61="Yes",N(O61),0)</f>
        <v>0</v>
      </c>
      <c r="U61" s="27" t="s">
        <v>1373</v>
      </c>
      <c r="V61" s="230" t="s">
        <v>245</v>
      </c>
      <c r="W61" s="230" t="s">
        <v>600</v>
      </c>
      <c r="X61" s="228" t="str">
        <f ca="1">IF(AND(S61="Yes",N(O61)&gt;0,Q61&lt;&gt;"Yes"),"RED - RESIDUAL NOT DISTINCT",IF(AND(COUNTIF($E$41:$E$61,E61)&gt;1,U61=""),"RED - UNDECLARED OVERLAP",IF(COUNTIF($E$41:$E$61,E61)&gt;1,"DECLARED OVERLAP","OK")))</f>
        <v>OK</v>
      </c>
      <c r="Y61" s="230" t="s">
        <v>1374</v>
      </c>
      <c r="Z61" s="228" t="str">
        <f ca="1">IF(LEFT(X61,3)="RED","RED",IF(OR(W61="RED",I61="RFI Hold",AND(I61="Unit Rate Delta",ISBLANK(J61))),"RED",IF(OR(W61="AMBER",LEFT(V61,5)="CHECK"),"AMBER","GREEN")))</f>
        <v>RED</v>
      </c>
      <c r="AA61" s="27" t="s">
        <v>1375</v>
      </c>
      <c r="AB61" s="27" t="s">
        <v>1376</v>
      </c>
      <c r="AC61" s="27" t="s">
        <v>1377</v>
      </c>
    </row>
    <row r="64" spans="1:29" ht="18" x14ac:dyDescent="0.2">
      <c r="A64" s="303" t="s">
        <v>1378</v>
      </c>
      <c r="B64" s="303"/>
      <c r="C64" s="303"/>
      <c r="D64" s="303"/>
      <c r="E64" s="303"/>
    </row>
    <row r="65" spans="1:5" ht="27.75" x14ac:dyDescent="0.2">
      <c r="A65" s="27" t="s">
        <v>1379</v>
      </c>
      <c r="B65" s="27" t="s">
        <v>1380</v>
      </c>
      <c r="C65" s="27"/>
      <c r="D65" s="27"/>
      <c r="E65" s="27"/>
    </row>
    <row r="66" spans="1:5" x14ac:dyDescent="0.2">
      <c r="A66" t="s">
        <v>1381</v>
      </c>
      <c r="B66" t="s">
        <v>1382</v>
      </c>
    </row>
    <row r="67" spans="1:5" ht="27.75" x14ac:dyDescent="0.2">
      <c r="A67" s="238" t="s">
        <v>1383</v>
      </c>
      <c r="B67" s="238" t="s">
        <v>1384</v>
      </c>
      <c r="C67" s="238"/>
      <c r="D67" s="238"/>
      <c r="E67" s="238"/>
    </row>
    <row r="68" spans="1:5" ht="27.75" x14ac:dyDescent="0.2">
      <c r="A68" s="27" t="s">
        <v>1385</v>
      </c>
      <c r="B68" s="27" t="s">
        <v>1386</v>
      </c>
      <c r="C68" s="27"/>
      <c r="D68" s="241"/>
      <c r="E68" s="27"/>
    </row>
    <row r="69" spans="1:5" ht="27.75" x14ac:dyDescent="0.2">
      <c r="A69" s="27" t="s">
        <v>1387</v>
      </c>
      <c r="B69" s="27" t="s">
        <v>1388</v>
      </c>
      <c r="C69" s="27"/>
      <c r="D69" s="241"/>
      <c r="E69" s="27"/>
    </row>
    <row r="70" spans="1:5" ht="27.75" x14ac:dyDescent="0.2">
      <c r="A70" s="27" t="s">
        <v>1389</v>
      </c>
      <c r="B70" s="27" t="s">
        <v>1390</v>
      </c>
      <c r="C70" s="27"/>
      <c r="D70" s="241"/>
      <c r="E70" s="27"/>
    </row>
    <row r="71" spans="1:5" ht="27.75" x14ac:dyDescent="0.2">
      <c r="A71" s="27" t="s">
        <v>1391</v>
      </c>
      <c r="B71" s="27" t="s">
        <v>1392</v>
      </c>
      <c r="C71" s="27"/>
      <c r="D71" s="241"/>
      <c r="E71" s="27"/>
    </row>
    <row r="72" spans="1:5" ht="27.75" x14ac:dyDescent="0.2">
      <c r="A72" s="27" t="s">
        <v>1393</v>
      </c>
      <c r="B72" s="27" t="s">
        <v>1318</v>
      </c>
      <c r="C72" s="27"/>
      <c r="D72" s="241"/>
      <c r="E72" s="27"/>
    </row>
    <row r="73" spans="1:5" x14ac:dyDescent="0.2">
      <c r="A73" s="27"/>
      <c r="B73" s="27"/>
      <c r="C73" s="27"/>
      <c r="D73" s="241"/>
      <c r="E73" s="27"/>
    </row>
    <row r="74" spans="1:5" ht="72" customHeight="1" x14ac:dyDescent="0.2">
      <c r="A74" s="27" t="s">
        <v>1394</v>
      </c>
      <c r="B74" s="27"/>
      <c r="C74" s="27"/>
      <c r="D74" s="27"/>
      <c r="E74" s="27"/>
    </row>
    <row r="75" spans="1:5" x14ac:dyDescent="0.2">
      <c r="A75" s="239" t="s">
        <v>1395</v>
      </c>
      <c r="B75" s="239" t="s">
        <v>922</v>
      </c>
      <c r="C75" s="239" t="s">
        <v>1396</v>
      </c>
      <c r="D75" s="239"/>
      <c r="E75" s="239"/>
    </row>
    <row r="76" spans="1:5" ht="27.75" x14ac:dyDescent="0.2">
      <c r="A76" s="27" t="s">
        <v>1397</v>
      </c>
      <c r="B76" s="27" t="s">
        <v>922</v>
      </c>
      <c r="C76" s="27" t="s">
        <v>1398</v>
      </c>
      <c r="D76" s="241"/>
      <c r="E76" s="27"/>
    </row>
    <row r="77" spans="1:5" ht="27.75" x14ac:dyDescent="0.2">
      <c r="A77" s="27" t="s">
        <v>1399</v>
      </c>
      <c r="B77" s="27" t="s">
        <v>922</v>
      </c>
      <c r="C77" s="27" t="s">
        <v>1400</v>
      </c>
      <c r="D77" s="241"/>
      <c r="E77" s="27"/>
    </row>
    <row r="78" spans="1:5" ht="27.75" x14ac:dyDescent="0.2">
      <c r="A78" s="27" t="s">
        <v>1401</v>
      </c>
      <c r="B78" s="27" t="s">
        <v>922</v>
      </c>
      <c r="C78" s="27" t="s">
        <v>1402</v>
      </c>
      <c r="D78" s="241"/>
      <c r="E78" s="27"/>
    </row>
    <row r="79" spans="1:5" ht="27.75" x14ac:dyDescent="0.2">
      <c r="A79" s="27" t="s">
        <v>1403</v>
      </c>
      <c r="B79" s="27" t="s">
        <v>922</v>
      </c>
      <c r="C79" s="27" t="s">
        <v>1404</v>
      </c>
      <c r="D79" s="242"/>
      <c r="E79" s="27"/>
    </row>
    <row r="80" spans="1:5" x14ac:dyDescent="0.2">
      <c r="A80" s="27"/>
      <c r="B80" s="27"/>
      <c r="C80" s="27"/>
      <c r="D80" s="242"/>
      <c r="E80" s="27"/>
    </row>
    <row r="81" spans="1:5" x14ac:dyDescent="0.2">
      <c r="A81" s="27"/>
      <c r="B81" s="27"/>
      <c r="C81" s="27"/>
      <c r="D81" s="242"/>
      <c r="E81" s="27"/>
    </row>
  </sheetData>
  <mergeCells count="5">
    <mergeCell ref="D4:G4"/>
    <mergeCell ref="D14:G14"/>
    <mergeCell ref="A1:K1"/>
    <mergeCell ref="A2:K2"/>
    <mergeCell ref="A64:E64"/>
  </mergeCells>
  <conditionalFormatting sqref="B15">
    <cfRule type="expression" dxfId="10" priority="10">
      <formula>LEFT(B15,4)="PASS"</formula>
    </cfRule>
    <cfRule type="expression" dxfId="9" priority="11">
      <formula>LEFT(B15,4)="HOLD"</formula>
    </cfRule>
  </conditionalFormatting>
  <conditionalFormatting sqref="K25:K36">
    <cfRule type="expression" dxfId="8" priority="1">
      <formula>K25="RED"</formula>
    </cfRule>
    <cfRule type="expression" dxfId="7" priority="2">
      <formula>K25="AMBER"</formula>
    </cfRule>
    <cfRule type="expression" dxfId="6" priority="3">
      <formula>K25="GREEN"</formula>
    </cfRule>
  </conditionalFormatting>
  <conditionalFormatting sqref="W41:W61">
    <cfRule type="expression" dxfId="5" priority="4">
      <formula>W41="RED"</formula>
    </cfRule>
    <cfRule type="expression" dxfId="4" priority="5">
      <formula>W41="AMBER"</formula>
    </cfRule>
    <cfRule type="expression" dxfId="3" priority="6">
      <formula>W41="GREEN"</formula>
    </cfRule>
  </conditionalFormatting>
  <conditionalFormatting sqref="Z41:Z61">
    <cfRule type="expression" dxfId="2" priority="7">
      <formula>Z41="RED"</formula>
    </cfRule>
    <cfRule type="expression" dxfId="1" priority="8">
      <formula>Z41="AMBER"</formula>
    </cfRule>
    <cfRule type="expression" dxfId="0" priority="9">
      <formula>Z41="GREEN"</formula>
    </cfRule>
  </conditionalFormatting>
  <dataValidations count="9">
    <dataValidation type="list" sqref="C25:C36" xr:uid="{00000000-0002-0000-0B00-000000000000}">
      <formula1>"A - Known/measurable,B - Normal foreseeable variability,C - Evidence-supported uncertainty,D - Known possible / unknown extent,E - Missing / contradictory information,F - Other-party responsibility,G - Abnormal / unforeseeable,D/F - Split exposures"</formula1>
    </dataValidation>
    <dataValidation type="list" sqref="D25:E36" xr:uid="{00000000-0002-0000-0B00-000001000000}">
      <formula1>"Low,Medium,High,N/A"</formula1>
    </dataValidation>
    <dataValidation type="list" sqref="I41:I61" xr:uid="{00000000-0002-0000-0B00-000002000000}">
      <formula1>"Already in Base / No Add,Unit Rate Delta,Probability x Impact,Scenario Weighted,Fixed Allowance,Specialist Engine,By Others / Excluded,RFI Hold"</formula1>
    </dataValidation>
    <dataValidation type="list" sqref="P41:P61" xr:uid="{00000000-0002-0000-0B00-000003000000}">
      <formula1>"Primary,Contributing,Reference Only"</formula1>
    </dataValidation>
    <dataValidation type="list" sqref="Q41:Q61" xr:uid="{00000000-0002-0000-0B00-000004000000}">
      <formula1>"Yes,No,N/A"</formula1>
    </dataValidation>
    <dataValidation type="list" sqref="R41:R61" xr:uid="{00000000-0002-0000-0B00-000005000000}">
      <formula1>"QS Direct,CA01,CA02,CA09,CA10,By Others,Excluded,Future Programme Risk,None"</formula1>
    </dataValidation>
    <dataValidation type="list" sqref="S41:S61" xr:uid="{00000000-0002-0000-0B00-000006000000}">
      <formula1>"Yes,No"</formula1>
    </dataValidation>
    <dataValidation type="list" sqref="W41:W61" xr:uid="{00000000-0002-0000-0B00-000007000000}">
      <formula1>"GREEN,AMBER,RED"</formula1>
    </dataValidation>
    <dataValidation type="list" sqref="Y41:Y61" xr:uid="{00000000-0002-0000-0B00-000008000000}">
      <formula1>"Yes,No,Existing,N/A"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12</vt:i4>
      </vt:variant>
    </vt:vector>
  </HeadingPairs>
  <TitlesOfParts>
    <vt:vector size="12" baseType="lpstr">
      <vt:lpstr>Cover &amp; Instructions</vt:lpstr>
      <vt:lpstr>Summary</vt:lpstr>
      <vt:lpstr>Tender Build-Up</vt:lpstr>
      <vt:lpstr>Commercial Inputs</vt:lpstr>
      <vt:lpstr>QS Takeoff</vt:lpstr>
      <vt:lpstr>Stage Cashflow</vt:lpstr>
      <vt:lpstr>Resource Rate Library</vt:lpstr>
      <vt:lpstr>Resource Build-Up</vt:lpstr>
      <vt:lpstr>Rate Verification</vt:lpstr>
      <vt:lpstr>Programme Export</vt:lpstr>
      <vt:lpstr>Weather Risk</vt:lpstr>
      <vt:lpstr>Risk Truth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Jones</dc:creator>
  <dcterms:created xsi:type="dcterms:W3CDTF">2026-09-06T12:00:39Z</dcterms:created>
</cp:coreProperties>
</file>